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選手一覧" sheetId="1" state="visible" r:id="rId3"/>
    <sheet name="高校別" sheetId="2" state="visible" r:id="rId4"/>
    <sheet name="5000m" sheetId="3" state="visible" r:id="rId5"/>
    <sheet name="3000mSC" sheetId="4" state="visible" r:id="rId6"/>
    <sheet name="1500m" sheetId="5" state="visible" r:id="rId7"/>
  </sheets>
  <definedNames>
    <definedName function="false" hidden="true" localSheetId="4" name="_xlnm._FilterDatabase" vbProcedure="false">1500m!$A$4:$J$1361</definedName>
    <definedName function="false" hidden="true" localSheetId="3" name="_xlnm._FilterDatabase" vbProcedure="false">3000mSC!$A$4:$J$1381</definedName>
    <definedName function="false" hidden="true" localSheetId="2" name="_xlnm._FilterDatabase" vbProcedure="false">5000m!$A$4:$J$1295</definedName>
    <definedName function="false" hidden="true" localSheetId="0" name="_xlnm._FilterDatabase" vbProcedure="false">選手一覧!$A$6:$O$2738</definedName>
    <definedName function="false" hidden="true" localSheetId="1" name="_xlnm._FilterDatabase" vbProcedure="false">高校別!$A$4:$H$1076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<sst xmlns="http://schemas.openxmlformats.org/spreadsheetml/2006/main" count="14831" uniqueCount="4027">
  <si>
    <r>
      <rPr>
        <b val="true"/>
        <sz val="14"/>
        <color rgb="FF000000"/>
        <rFont val="HGPｺﾞｼｯｸM"/>
        <family val="0"/>
        <charset val="1"/>
      </rPr>
      <t xml:space="preserve">2028</t>
    </r>
    <r>
      <rPr>
        <b val="true"/>
        <sz val="14"/>
        <color rgb="FF000000"/>
        <rFont val="WenQuanYi Zen Hei"/>
        <family val="2"/>
      </rPr>
      <t xml:space="preserve">年入学世代（現高校</t>
    </r>
    <r>
      <rPr>
        <b val="true"/>
        <sz val="14"/>
        <color rgb="FF000000"/>
        <rFont val="HGPｺﾞｼｯｸM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年）中長距離 選手一覧</t>
    </r>
  </si>
  <si>
    <r>
      <rPr>
        <sz val="9"/>
        <color rgb="FF000000"/>
        <rFont val="WenQuanYi Zen Hei"/>
        <family val="2"/>
      </rPr>
      <t xml:space="preserve">陸マガの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3000mSC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1500m</t>
    </r>
    <r>
      <rPr>
        <sz val="9"/>
        <color rgb="FF000000"/>
        <rFont val="WenQuanYi Zen Hei"/>
        <family val="2"/>
      </rPr>
      <t xml:space="preserve">ランキングを選手ごとに</t>
    </r>
    <r>
      <rPr>
        <sz val="9"/>
        <color rgb="FF000000"/>
        <rFont val="HGPｺﾞｼｯｸM"/>
        <family val="0"/>
        <charset val="1"/>
      </rPr>
      <t xml:space="preserve">1</t>
    </r>
    <r>
      <rPr>
        <sz val="9"/>
        <color rgb="FF000000"/>
        <rFont val="WenQuanYi Zen Hei"/>
        <family val="2"/>
      </rPr>
      <t xml:space="preserve">行にまとめたもの。並び順＝</t>
    </r>
    <r>
      <rPr>
        <sz val="9"/>
        <color rgb="FF000000"/>
        <rFont val="HGPｺﾞｼｯｸM"/>
        <family val="0"/>
        <charset val="1"/>
      </rPr>
      <t xml:space="preserve">3</t>
    </r>
    <r>
      <rPr>
        <sz val="9"/>
        <color rgb="FF000000"/>
        <rFont val="WenQuanYi Zen Hei"/>
        <family val="2"/>
      </rPr>
      <t xml:space="preserve">種目の中での最高順位。順位の色：濃い緑＝</t>
    </r>
    <r>
      <rPr>
        <sz val="9"/>
        <color rgb="FF000000"/>
        <rFont val="HGPｺﾞｼｯｸM"/>
        <family val="0"/>
        <charset val="1"/>
      </rPr>
      <t xml:space="preserve">10</t>
    </r>
    <r>
      <rPr>
        <sz val="9"/>
        <color rgb="FF000000"/>
        <rFont val="WenQuanYi Zen Hei"/>
        <family val="2"/>
      </rPr>
      <t xml:space="preserve">位以内、緑＝</t>
    </r>
    <r>
      <rPr>
        <sz val="9"/>
        <color rgb="FF000000"/>
        <rFont val="HGPｺﾞｼｯｸM"/>
        <family val="0"/>
        <charset val="1"/>
      </rPr>
      <t xml:space="preserve">50</t>
    </r>
    <r>
      <rPr>
        <sz val="9"/>
        <color rgb="FF000000"/>
        <rFont val="WenQuanYi Zen Hei"/>
        <family val="2"/>
      </rPr>
      <t xml:space="preserve">位以内、薄緑＝</t>
    </r>
    <r>
      <rPr>
        <sz val="9"/>
        <color rgb="FF000000"/>
        <rFont val="HGPｺﾞｼｯｸM"/>
        <family val="0"/>
        <charset val="1"/>
      </rPr>
      <t xml:space="preserve">100</t>
    </r>
    <r>
      <rPr>
        <sz val="9"/>
        <color rgb="FF000000"/>
        <rFont val="WenQuanYi Zen Hei"/>
        <family val="2"/>
      </rPr>
      <t xml:space="preserve">位以内。見出しのフィルターで高校名・種目数などを絞り込めます。</t>
    </r>
  </si>
  <si>
    <t xml:space="preserve">基準記録（黄色セルを編集）→</t>
  </si>
  <si>
    <t xml:space="preserve">5000m</t>
  </si>
  <si>
    <t xml:space="preserve">3000mSC</t>
  </si>
  <si>
    <t xml:space="preserve">1500m</t>
  </si>
  <si>
    <t xml:space="preserve">基準記録の初期値は仮の値です。「基準クリア」列はその記録以内の種目数を数えます。メモ列（黄色）は自由に記入してください。</t>
  </si>
  <si>
    <t xml:space="preserve">No</t>
  </si>
  <si>
    <t xml:space="preserve">氏名</t>
  </si>
  <si>
    <t xml:space="preserve">高校</t>
  </si>
  <si>
    <r>
      <rPr>
        <b val="true"/>
        <sz val="10"/>
        <color rgb="FF000000"/>
        <rFont val="HGPｺﾞｼｯｸM"/>
        <family val="0"/>
        <charset val="1"/>
      </rPr>
      <t xml:space="preserve">5000m
</t>
    </r>
    <r>
      <rPr>
        <b val="true"/>
        <sz val="10"/>
        <color rgb="FF000000"/>
        <rFont val="WenQuanYi Zen Hei"/>
        <family val="2"/>
      </rPr>
      <t xml:space="preserve">記録</t>
    </r>
  </si>
  <si>
    <r>
      <rPr>
        <b val="true"/>
        <sz val="10"/>
        <color rgb="FF000000"/>
        <rFont val="HGPｺﾞｼｯｸM"/>
        <family val="0"/>
        <charset val="1"/>
      </rPr>
      <t xml:space="preserve">5000m
</t>
    </r>
    <r>
      <rPr>
        <b val="true"/>
        <sz val="10"/>
        <color rgb="FF000000"/>
        <rFont val="WenQuanYi Zen Hei"/>
        <family val="2"/>
      </rPr>
      <t xml:space="preserve">順位</t>
    </r>
  </si>
  <si>
    <r>
      <rPr>
        <b val="true"/>
        <sz val="10"/>
        <color rgb="FF000000"/>
        <rFont val="HGPｺﾞｼｯｸM"/>
        <family val="0"/>
        <charset val="1"/>
      </rPr>
      <t xml:space="preserve">3000mSC
</t>
    </r>
    <r>
      <rPr>
        <b val="true"/>
        <sz val="10"/>
        <color rgb="FF000000"/>
        <rFont val="WenQuanYi Zen Hei"/>
        <family val="2"/>
      </rPr>
      <t xml:space="preserve">記録</t>
    </r>
  </si>
  <si>
    <r>
      <rPr>
        <b val="true"/>
        <sz val="10"/>
        <color rgb="FF000000"/>
        <rFont val="HGPｺﾞｼｯｸM"/>
        <family val="0"/>
        <charset val="1"/>
      </rPr>
      <t xml:space="preserve">3000mSC
</t>
    </r>
    <r>
      <rPr>
        <b val="true"/>
        <sz val="10"/>
        <color rgb="FF000000"/>
        <rFont val="WenQuanYi Zen Hei"/>
        <family val="2"/>
      </rPr>
      <t xml:space="preserve">順位</t>
    </r>
  </si>
  <si>
    <r>
      <rPr>
        <b val="true"/>
        <sz val="10"/>
        <color rgb="FF000000"/>
        <rFont val="HGPｺﾞｼｯｸM"/>
        <family val="0"/>
        <charset val="1"/>
      </rPr>
      <t xml:space="preserve">1500m
</t>
    </r>
    <r>
      <rPr>
        <b val="true"/>
        <sz val="10"/>
        <color rgb="FF000000"/>
        <rFont val="WenQuanYi Zen Hei"/>
        <family val="2"/>
      </rPr>
      <t xml:space="preserve">記録</t>
    </r>
  </si>
  <si>
    <r>
      <rPr>
        <b val="true"/>
        <sz val="10"/>
        <color rgb="FF000000"/>
        <rFont val="HGPｺﾞｼｯｸM"/>
        <family val="0"/>
        <charset val="1"/>
      </rPr>
      <t xml:space="preserve">1500m
</t>
    </r>
    <r>
      <rPr>
        <b val="true"/>
        <sz val="10"/>
        <color rgb="FF000000"/>
        <rFont val="WenQuanYi Zen Hei"/>
        <family val="2"/>
      </rPr>
      <t xml:space="preserve">順位</t>
    </r>
  </si>
  <si>
    <t xml:space="preserve">ランク入り
種目数</t>
  </si>
  <si>
    <t xml:space="preserve">最高
順位</t>
  </si>
  <si>
    <t xml:space="preserve">最高順位
の種目</t>
  </si>
  <si>
    <t xml:space="preserve">基準
クリア</t>
  </si>
  <si>
    <t xml:space="preserve">備考</t>
  </si>
  <si>
    <t xml:space="preserve">メモ</t>
  </si>
  <si>
    <t xml:space="preserve">稲垣　翔馴</t>
  </si>
  <si>
    <t xml:space="preserve">洛南高</t>
  </si>
  <si>
    <t xml:space="preserve">横浜　慶</t>
  </si>
  <si>
    <t xml:space="preserve">八千代松陰高</t>
  </si>
  <si>
    <t xml:space="preserve">ボイ　ビリス</t>
  </si>
  <si>
    <t xml:space="preserve">札幌山の手高</t>
  </si>
  <si>
    <t xml:space="preserve">橋本　蒼平</t>
  </si>
  <si>
    <t xml:space="preserve">佐久長聖高</t>
  </si>
  <si>
    <t xml:space="preserve">石原　向規</t>
  </si>
  <si>
    <t xml:space="preserve">久保　洋斗</t>
  </si>
  <si>
    <t xml:space="preserve">駒大高</t>
  </si>
  <si>
    <t xml:space="preserve">大賀　一誠</t>
  </si>
  <si>
    <t xml:space="preserve">樹徳高</t>
  </si>
  <si>
    <t xml:space="preserve">若田　大尚</t>
  </si>
  <si>
    <t xml:space="preserve">学法石川高</t>
  </si>
  <si>
    <t xml:space="preserve">座光寺　奏</t>
  </si>
  <si>
    <t xml:space="preserve">酒瀬川　新</t>
  </si>
  <si>
    <t xml:space="preserve">法政二高</t>
  </si>
  <si>
    <t xml:space="preserve">パレイヨ　アントニーイタ</t>
  </si>
  <si>
    <t xml:space="preserve">福岡一高</t>
  </si>
  <si>
    <t xml:space="preserve">加田　蒼</t>
  </si>
  <si>
    <t xml:space="preserve">稲生高</t>
  </si>
  <si>
    <t xml:space="preserve">亀田　十羽</t>
  </si>
  <si>
    <t xml:space="preserve">興国高</t>
  </si>
  <si>
    <t xml:space="preserve">喜多　勇貴</t>
  </si>
  <si>
    <t xml:space="preserve">徳島科技高</t>
  </si>
  <si>
    <t xml:space="preserve">時本　宝琉</t>
  </si>
  <si>
    <t xml:space="preserve">埼玉栄高</t>
  </si>
  <si>
    <t xml:space="preserve">増田　大誠</t>
  </si>
  <si>
    <t xml:space="preserve">上田西高</t>
  </si>
  <si>
    <t xml:space="preserve">サイモン　ムッソーニ</t>
  </si>
  <si>
    <t xml:space="preserve">鎮西学院高</t>
  </si>
  <si>
    <t xml:space="preserve">野口　琉太</t>
  </si>
  <si>
    <t xml:space="preserve">小林高</t>
  </si>
  <si>
    <t xml:space="preserve">ポール　ジョロゲ</t>
  </si>
  <si>
    <t xml:space="preserve">東海大附福岡高</t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</si>
  <si>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は二重掲載（</t>
    </r>
    <r>
      <rPr>
        <sz val="10"/>
        <color rgb="FF000000"/>
        <rFont val="HGPｺﾞｼｯｸM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位と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位）→上位を採用／</t>
    </r>
    <r>
      <rPr>
        <sz val="10"/>
        <color rgb="FF000000"/>
        <rFont val="HGPｺﾞｼｯｸM"/>
        <family val="0"/>
        <charset val="1"/>
      </rPr>
      <t xml:space="preserve">1500m</t>
    </r>
    <r>
      <rPr>
        <sz val="10"/>
        <color rgb="FF000000"/>
        <rFont val="WenQuanYi Zen Hei"/>
        <family val="2"/>
      </rPr>
      <t xml:space="preserve">は二重掲載（</t>
    </r>
    <r>
      <rPr>
        <sz val="10"/>
        <color rgb="FF000000"/>
        <rFont val="HGPｺﾞｼｯｸM"/>
        <family val="0"/>
        <charset val="1"/>
      </rPr>
      <t xml:space="preserve">24</t>
    </r>
    <r>
      <rPr>
        <sz val="10"/>
        <color rgb="FF000000"/>
        <rFont val="WenQuanYi Zen Hei"/>
        <family val="2"/>
      </rPr>
      <t xml:space="preserve">位と</t>
    </r>
    <r>
      <rPr>
        <sz val="10"/>
        <color rgb="FF000000"/>
        <rFont val="HGPｺﾞｼｯｸM"/>
        <family val="0"/>
        <charset val="1"/>
      </rPr>
      <t xml:space="preserve">49</t>
    </r>
    <r>
      <rPr>
        <sz val="10"/>
        <color rgb="FF000000"/>
        <rFont val="WenQuanYi Zen Hei"/>
        <family val="2"/>
      </rPr>
      <t xml:space="preserve">位）→上位を採用</t>
    </r>
  </si>
  <si>
    <t xml:space="preserve">中田　智紘</t>
  </si>
  <si>
    <t xml:space="preserve">川崎橘高</t>
  </si>
  <si>
    <t xml:space="preserve">隅田　圭太</t>
  </si>
  <si>
    <t xml:space="preserve">東京実高</t>
  </si>
  <si>
    <t xml:space="preserve">杉平　颯志</t>
  </si>
  <si>
    <t xml:space="preserve">鳥栖工高</t>
  </si>
  <si>
    <t xml:space="preserve">美沢　央佑</t>
  </si>
  <si>
    <t xml:space="preserve">小早川　駿也</t>
  </si>
  <si>
    <t xml:space="preserve">伊藤　遼</t>
  </si>
  <si>
    <t xml:space="preserve">箕浦　悠人</t>
  </si>
  <si>
    <t xml:space="preserve">草津東高</t>
  </si>
  <si>
    <t xml:space="preserve">武村　翔月</t>
  </si>
  <si>
    <t xml:space="preserve">辻井　智稀</t>
  </si>
  <si>
    <t xml:space="preserve">関大北陽高</t>
  </si>
  <si>
    <t xml:space="preserve">酒井　琉史</t>
  </si>
  <si>
    <t xml:space="preserve">荒木　琉偉</t>
  </si>
  <si>
    <t xml:space="preserve">小笠原慶翔</t>
  </si>
  <si>
    <t xml:space="preserve">川口市立高</t>
  </si>
  <si>
    <t xml:space="preserve">校名表記：川口市陸協／川口市立高</t>
  </si>
  <si>
    <t xml:space="preserve">若嶋　梨公</t>
  </si>
  <si>
    <t xml:space="preserve">和歌山北高</t>
  </si>
  <si>
    <t xml:space="preserve">谷口　侑</t>
  </si>
  <si>
    <t xml:space="preserve">大阪桐蔭高</t>
  </si>
  <si>
    <t xml:space="preserve">朝倉　悠羽</t>
  </si>
  <si>
    <t xml:space="preserve">山梨学院高</t>
  </si>
  <si>
    <t xml:space="preserve">岩下　幾海</t>
  </si>
  <si>
    <t xml:space="preserve">高知工高</t>
  </si>
  <si>
    <t xml:space="preserve">河野　莉空</t>
  </si>
  <si>
    <t xml:space="preserve">中京高</t>
  </si>
  <si>
    <t xml:space="preserve">福山　拓己</t>
  </si>
  <si>
    <t xml:space="preserve">竹田　櫂司</t>
  </si>
  <si>
    <t xml:space="preserve">服部　大翔</t>
  </si>
  <si>
    <t xml:space="preserve">名古屋経大高蔵高</t>
  </si>
  <si>
    <t xml:space="preserve">鴨作　大夢</t>
  </si>
  <si>
    <t xml:space="preserve">東海大甲府高</t>
  </si>
  <si>
    <t xml:space="preserve">川口　頼輝</t>
  </si>
  <si>
    <t xml:space="preserve">開新高</t>
  </si>
  <si>
    <t xml:space="preserve">砂浪　悠人</t>
  </si>
  <si>
    <t xml:space="preserve">近大附福岡高</t>
  </si>
  <si>
    <t xml:space="preserve">田代常太郎</t>
  </si>
  <si>
    <t xml:space="preserve">上杉　創亮</t>
  </si>
  <si>
    <t xml:space="preserve">落合　勇斗</t>
  </si>
  <si>
    <t xml:space="preserve">小山高</t>
  </si>
  <si>
    <t xml:space="preserve">平井　啓太郎</t>
  </si>
  <si>
    <t xml:space="preserve">西条農高</t>
  </si>
  <si>
    <t xml:space="preserve">舛谷　夢生</t>
  </si>
  <si>
    <t xml:space="preserve">倉敷高</t>
  </si>
  <si>
    <t xml:space="preserve">山田　莉生</t>
  </si>
  <si>
    <t xml:space="preserve">拓大一高</t>
  </si>
  <si>
    <t xml:space="preserve">西川　晴貴</t>
  </si>
  <si>
    <t xml:space="preserve">洛北高</t>
  </si>
  <si>
    <t xml:space="preserve">高杉　和希</t>
  </si>
  <si>
    <t xml:space="preserve">小松　大将</t>
  </si>
  <si>
    <t xml:space="preserve">東海大附大阪仰星高</t>
  </si>
  <si>
    <t xml:space="preserve">蓑島　颯佑</t>
  </si>
  <si>
    <t xml:space="preserve">三浦学苑高</t>
  </si>
  <si>
    <t xml:space="preserve">小原　健太郎</t>
  </si>
  <si>
    <t xml:space="preserve">花巻東高</t>
  </si>
  <si>
    <t xml:space="preserve">伊藤　瞭太</t>
  </si>
  <si>
    <t xml:space="preserve">田村高</t>
  </si>
  <si>
    <t xml:space="preserve">黒川　歩夢</t>
  </si>
  <si>
    <t xml:space="preserve">秋田工高</t>
  </si>
  <si>
    <t xml:space="preserve">杉田　来翔</t>
  </si>
  <si>
    <t xml:space="preserve">東海大附札幌高</t>
  </si>
  <si>
    <t xml:space="preserve">高田　康介</t>
  </si>
  <si>
    <t xml:space="preserve">東海大附相模高</t>
  </si>
  <si>
    <t xml:space="preserve">水上　颯祐</t>
  </si>
  <si>
    <t xml:space="preserve">前橋育英高</t>
  </si>
  <si>
    <t xml:space="preserve">新垣　蓮</t>
  </si>
  <si>
    <t xml:space="preserve">富士宮北高</t>
  </si>
  <si>
    <t xml:space="preserve">熊谷　颯柊</t>
  </si>
  <si>
    <t xml:space="preserve">武蔵野学院高</t>
  </si>
  <si>
    <t xml:space="preserve">宅島　悠</t>
  </si>
  <si>
    <t xml:space="preserve">生野高</t>
  </si>
  <si>
    <t xml:space="preserve">鳥谷部凌央</t>
  </si>
  <si>
    <t xml:space="preserve">青森山田高</t>
  </si>
  <si>
    <t xml:space="preserve">花田　健大</t>
  </si>
  <si>
    <t xml:space="preserve">神辺旭高</t>
  </si>
  <si>
    <t xml:space="preserve">吹春　瞬</t>
  </si>
  <si>
    <t xml:space="preserve">土屋　息吹</t>
  </si>
  <si>
    <t xml:space="preserve">静岡東高</t>
  </si>
  <si>
    <t xml:space="preserve">岸本　羽琉</t>
  </si>
  <si>
    <t xml:space="preserve">自由ケ丘高</t>
  </si>
  <si>
    <t xml:space="preserve">松本　陽樹</t>
  </si>
  <si>
    <t xml:space="preserve">千葉　海虎</t>
  </si>
  <si>
    <t xml:space="preserve">久保田　航陽</t>
  </si>
  <si>
    <t xml:space="preserve">県伊丹高</t>
  </si>
  <si>
    <t xml:space="preserve">小田　桜雅</t>
  </si>
  <si>
    <t xml:space="preserve">仙台育英学園高</t>
  </si>
  <si>
    <t xml:space="preserve">大金　勇翔</t>
  </si>
  <si>
    <t xml:space="preserve">作新学院高</t>
  </si>
  <si>
    <t xml:space="preserve">田代　悠翔</t>
  </si>
  <si>
    <t xml:space="preserve">エゼ　ディリチュク勇</t>
  </si>
  <si>
    <t xml:space="preserve">森田　正貴</t>
  </si>
  <si>
    <t xml:space="preserve">大西龍之輔</t>
  </si>
  <si>
    <t xml:space="preserve">花咲徳栄高</t>
  </si>
  <si>
    <t xml:space="preserve">亀山　純平</t>
  </si>
  <si>
    <t xml:space="preserve">佐野日大高</t>
  </si>
  <si>
    <t xml:space="preserve">田中　寿樹</t>
  </si>
  <si>
    <t xml:space="preserve">伊豆中央高</t>
  </si>
  <si>
    <t xml:space="preserve">江口　優</t>
  </si>
  <si>
    <t xml:space="preserve">小林　柾輝</t>
  </si>
  <si>
    <t xml:space="preserve">小山　秀太</t>
  </si>
  <si>
    <t xml:space="preserve">玉野光南高</t>
  </si>
  <si>
    <t xml:space="preserve">長尾　羚煌</t>
  </si>
  <si>
    <t xml:space="preserve">市長崎商高</t>
  </si>
  <si>
    <t xml:space="preserve">真船　煌大</t>
  </si>
  <si>
    <t xml:space="preserve">那須拓陽高</t>
  </si>
  <si>
    <t xml:space="preserve">伊藤　魁夢</t>
  </si>
  <si>
    <t xml:space="preserve">開志国際高</t>
  </si>
  <si>
    <t xml:space="preserve">中沢　侑己</t>
  </si>
  <si>
    <t xml:space="preserve">松下　翔</t>
  </si>
  <si>
    <t xml:space="preserve">浜松日体高</t>
  </si>
  <si>
    <t xml:space="preserve">大木　優</t>
  </si>
  <si>
    <t xml:space="preserve">福岡大附若葉高</t>
  </si>
  <si>
    <t xml:space="preserve">薮下　殿傑</t>
  </si>
  <si>
    <t xml:space="preserve">須磨学園高</t>
  </si>
  <si>
    <t xml:space="preserve">坂田　悠翔</t>
  </si>
  <si>
    <t xml:space="preserve">大阪商大高</t>
  </si>
  <si>
    <t xml:space="preserve">長　 　煌介</t>
  </si>
  <si>
    <t xml:space="preserve">鳥取城北高</t>
  </si>
  <si>
    <t xml:space="preserve">古川　零唯</t>
  </si>
  <si>
    <t xml:space="preserve">桂高</t>
  </si>
  <si>
    <t xml:space="preserve">松尾　奏杜</t>
  </si>
  <si>
    <t xml:space="preserve">大牟田高</t>
  </si>
  <si>
    <t xml:space="preserve">後藤　大晴</t>
  </si>
  <si>
    <t xml:space="preserve">相洋高</t>
  </si>
  <si>
    <t xml:space="preserve">木南　佑哉</t>
  </si>
  <si>
    <t xml:space="preserve">滝山　優世</t>
  </si>
  <si>
    <t xml:space="preserve">市熊本千原台高</t>
  </si>
  <si>
    <t xml:space="preserve">中川　悠晴</t>
  </si>
  <si>
    <t xml:space="preserve">富山商高</t>
  </si>
  <si>
    <t xml:space="preserve">松本　莉史</t>
  </si>
  <si>
    <t xml:space="preserve">立花　力輝</t>
  </si>
  <si>
    <t xml:space="preserve">広島国際学院高</t>
  </si>
  <si>
    <t xml:space="preserve">向岩　玖恩</t>
  </si>
  <si>
    <t xml:space="preserve">敦賀気比高</t>
  </si>
  <si>
    <t xml:space="preserve">岩田　健志</t>
  </si>
  <si>
    <t xml:space="preserve">稲岡　透亜</t>
  </si>
  <si>
    <t xml:space="preserve">富永　永輝愛</t>
  </si>
  <si>
    <t xml:space="preserve">増田　優太朗</t>
  </si>
  <si>
    <t xml:space="preserve">満原　丈晴</t>
  </si>
  <si>
    <t xml:space="preserve">専大松戸高</t>
  </si>
  <si>
    <t xml:space="preserve">緒方　志道</t>
  </si>
  <si>
    <t xml:space="preserve">原　 　心傘</t>
  </si>
  <si>
    <t xml:space="preserve">手島　雄大</t>
  </si>
  <si>
    <t xml:space="preserve">宮川　晴斗</t>
  </si>
  <si>
    <t xml:space="preserve">智弁学園奈良カレッジ高</t>
  </si>
  <si>
    <t xml:space="preserve">田尻　清雅</t>
  </si>
  <si>
    <t xml:space="preserve">慶誠高</t>
  </si>
  <si>
    <t xml:space="preserve">碇元　瑛太</t>
  </si>
  <si>
    <t xml:space="preserve">鹿児島城西高</t>
  </si>
  <si>
    <t xml:space="preserve">山岸　大智</t>
  </si>
  <si>
    <t xml:space="preserve">横田　滉介</t>
  </si>
  <si>
    <t xml:space="preserve">帝京安積高</t>
  </si>
  <si>
    <t xml:space="preserve">小野寺　駿</t>
  </si>
  <si>
    <t xml:space="preserve">一関学院高</t>
  </si>
  <si>
    <t xml:space="preserve">小畑　瑞貴</t>
  </si>
  <si>
    <t xml:space="preserve">山口　幸希</t>
  </si>
  <si>
    <t xml:space="preserve">市船橋高</t>
  </si>
  <si>
    <t xml:space="preserve">中島　希</t>
  </si>
  <si>
    <t xml:space="preserve">比叡山高</t>
  </si>
  <si>
    <t xml:space="preserve">平田　千隼</t>
  </si>
  <si>
    <t xml:space="preserve">関野　連太郎</t>
  </si>
  <si>
    <t xml:space="preserve">横浜栄高</t>
  </si>
  <si>
    <t xml:space="preserve">若松　悠馬</t>
  </si>
  <si>
    <t xml:space="preserve">坂場　凱仁</t>
  </si>
  <si>
    <t xml:space="preserve">水城高</t>
  </si>
  <si>
    <t xml:space="preserve">中岫　奏輔</t>
  </si>
  <si>
    <t xml:space="preserve">米村　和真</t>
  </si>
  <si>
    <t xml:space="preserve">九州学院高</t>
  </si>
  <si>
    <t xml:space="preserve">永田　敦士</t>
  </si>
  <si>
    <t xml:space="preserve">星　 　柊斗</t>
  </si>
  <si>
    <t xml:space="preserve">佐久間バラン　丈瑠</t>
  </si>
  <si>
    <t xml:space="preserve">岡島　稜</t>
  </si>
  <si>
    <t xml:space="preserve">伊賀白鳳高</t>
  </si>
  <si>
    <t xml:space="preserve">要田　芽</t>
  </si>
  <si>
    <t xml:space="preserve">渡部　喜市</t>
  </si>
  <si>
    <t xml:space="preserve">美濃加茂高</t>
  </si>
  <si>
    <t xml:space="preserve">山本　陽心</t>
  </si>
  <si>
    <t xml:space="preserve">中尾　駿佑</t>
  </si>
  <si>
    <t xml:space="preserve">膳所高</t>
  </si>
  <si>
    <t xml:space="preserve">岩崎　奏</t>
  </si>
  <si>
    <t xml:space="preserve">西脇工高</t>
  </si>
  <si>
    <t xml:space="preserve">本宮　修平</t>
  </si>
  <si>
    <t xml:space="preserve">船橋高</t>
  </si>
  <si>
    <t xml:space="preserve">若林　祥汰</t>
  </si>
  <si>
    <t xml:space="preserve">川口高</t>
  </si>
  <si>
    <t xml:space="preserve">池之端　琉月</t>
  </si>
  <si>
    <t xml:space="preserve">長瀬　礼</t>
  </si>
  <si>
    <t xml:space="preserve">竹原　慎作</t>
  </si>
  <si>
    <t xml:space="preserve">下諏訪向陽高</t>
  </si>
  <si>
    <t xml:space="preserve">渡辺　裕珂</t>
  </si>
  <si>
    <t xml:space="preserve">岸本　周真</t>
  </si>
  <si>
    <t xml:space="preserve">梅野　陽成</t>
  </si>
  <si>
    <t xml:space="preserve">京都外大西高</t>
  </si>
  <si>
    <t xml:space="preserve">林田　雅斗</t>
  </si>
  <si>
    <t xml:space="preserve">加賀龍之介</t>
  </si>
  <si>
    <t xml:space="preserve">国学院大久我山高</t>
  </si>
  <si>
    <t xml:space="preserve">成田　陸翔</t>
  </si>
  <si>
    <t xml:space="preserve">熊谷西高</t>
  </si>
  <si>
    <t xml:space="preserve">沢　 　佑斗</t>
  </si>
  <si>
    <t xml:space="preserve">中央学院高</t>
  </si>
  <si>
    <t xml:space="preserve">酒井　良</t>
  </si>
  <si>
    <t xml:space="preserve">長崎日大高</t>
  </si>
  <si>
    <t xml:space="preserve">神谷　勇輝</t>
  </si>
  <si>
    <t xml:space="preserve">小松　隼太</t>
  </si>
  <si>
    <t xml:space="preserve">阪口　泰生</t>
  </si>
  <si>
    <t xml:space="preserve">大阪学芸高</t>
  </si>
  <si>
    <t xml:space="preserve">泉　 　圭輔</t>
  </si>
  <si>
    <t xml:space="preserve">大塚　晴翔</t>
  </si>
  <si>
    <t xml:space="preserve">天草工高</t>
  </si>
  <si>
    <t xml:space="preserve">加藤　心翔</t>
  </si>
  <si>
    <t xml:space="preserve">柘植　源太</t>
  </si>
  <si>
    <t xml:space="preserve">笹尾　颯良</t>
  </si>
  <si>
    <t xml:space="preserve">上口　心大</t>
  </si>
  <si>
    <t xml:space="preserve">小玉　宗時朗</t>
  </si>
  <si>
    <t xml:space="preserve">譲次郎</t>
  </si>
  <si>
    <t xml:space="preserve">長野日大高</t>
  </si>
  <si>
    <t xml:space="preserve">相馬　瑞樹</t>
  </si>
  <si>
    <t xml:space="preserve">中越高</t>
  </si>
  <si>
    <t xml:space="preserve">佐藤　凌誠</t>
  </si>
  <si>
    <t xml:space="preserve">頼正　悠人</t>
  </si>
  <si>
    <t xml:space="preserve">岡山朝日高</t>
  </si>
  <si>
    <t xml:space="preserve">松下　悠真</t>
  </si>
  <si>
    <t xml:space="preserve">入江　佑典</t>
  </si>
  <si>
    <t xml:space="preserve">判治　直哉</t>
  </si>
  <si>
    <t xml:space="preserve">中京大附中京高</t>
  </si>
  <si>
    <t xml:space="preserve">堀　 　早汰</t>
  </si>
  <si>
    <t xml:space="preserve">湘南工科大附高</t>
  </si>
  <si>
    <t xml:space="preserve">坂口　智明</t>
  </si>
  <si>
    <t xml:space="preserve">市葺合高</t>
  </si>
  <si>
    <t xml:space="preserve">鈴木　快斗</t>
  </si>
  <si>
    <t xml:space="preserve">山川　瑛輔</t>
  </si>
  <si>
    <t xml:space="preserve">阿久根　英駿</t>
  </si>
  <si>
    <t xml:space="preserve">田中　智仁</t>
  </si>
  <si>
    <t xml:space="preserve">浦和高</t>
  </si>
  <si>
    <t xml:space="preserve">江川　颯大</t>
  </si>
  <si>
    <t xml:space="preserve">村田　凌唯</t>
  </si>
  <si>
    <t xml:space="preserve">文星芸大附高</t>
  </si>
  <si>
    <t xml:space="preserve">山口　陽也</t>
  </si>
  <si>
    <t xml:space="preserve">球磨工高</t>
  </si>
  <si>
    <t xml:space="preserve">丸山　遥輝</t>
  </si>
  <si>
    <t xml:space="preserve">城西大附城西高</t>
  </si>
  <si>
    <t xml:space="preserve">東　 　海斗</t>
  </si>
  <si>
    <t xml:space="preserve">細見　悠雅</t>
  </si>
  <si>
    <t xml:space="preserve">仲重　柊晴</t>
  </si>
  <si>
    <t xml:space="preserve">森田　航聖</t>
  </si>
  <si>
    <t xml:space="preserve">浦和実学高</t>
  </si>
  <si>
    <t xml:space="preserve">帖佐　宏哉</t>
  </si>
  <si>
    <t xml:space="preserve">鹿児島工高</t>
  </si>
  <si>
    <t xml:space="preserve">巽　 　陽南太</t>
  </si>
  <si>
    <t xml:space="preserve">西井　健真</t>
  </si>
  <si>
    <t xml:space="preserve">豊川高</t>
  </si>
  <si>
    <t xml:space="preserve">小坂　将人</t>
  </si>
  <si>
    <t xml:space="preserve">緒方　悠人</t>
  </si>
  <si>
    <t xml:space="preserve">糸島高</t>
  </si>
  <si>
    <t xml:space="preserve">泉　 　幸太郎</t>
  </si>
  <si>
    <t xml:space="preserve">奈良育英高</t>
  </si>
  <si>
    <t xml:space="preserve">成田　光希</t>
  </si>
  <si>
    <t xml:space="preserve">川人　仁嘉</t>
  </si>
  <si>
    <t xml:space="preserve">滝田　竜輔</t>
  </si>
  <si>
    <t xml:space="preserve">内藤　大輔</t>
  </si>
  <si>
    <t xml:space="preserve">平岡　大典</t>
  </si>
  <si>
    <t xml:space="preserve">畝傍高</t>
  </si>
  <si>
    <t xml:space="preserve">弓倉　航</t>
  </si>
  <si>
    <t xml:space="preserve">庄野　遥人</t>
  </si>
  <si>
    <t xml:space="preserve">純真高</t>
  </si>
  <si>
    <t xml:space="preserve">藤田　昂</t>
  </si>
  <si>
    <t xml:space="preserve">玉川　彩人</t>
  </si>
  <si>
    <t xml:space="preserve">松井　蓮</t>
  </si>
  <si>
    <t xml:space="preserve">代田　真司</t>
  </si>
  <si>
    <t xml:space="preserve">中島　篤志</t>
  </si>
  <si>
    <t xml:space="preserve">森永　和杜</t>
  </si>
  <si>
    <t xml:space="preserve">川内高</t>
  </si>
  <si>
    <t xml:space="preserve">蛭田　渉正</t>
  </si>
  <si>
    <t xml:space="preserve">樋口　隼</t>
  </si>
  <si>
    <t xml:space="preserve">星野　駿人</t>
  </si>
  <si>
    <t xml:space="preserve">篠原　歌</t>
  </si>
  <si>
    <t xml:space="preserve">八戸学院光星高</t>
  </si>
  <si>
    <t xml:space="preserve">前　 　春馬</t>
  </si>
  <si>
    <t xml:space="preserve">菊池　悠斗</t>
  </si>
  <si>
    <t xml:space="preserve">日立工高</t>
  </si>
  <si>
    <t xml:space="preserve">井上　悠夢</t>
  </si>
  <si>
    <t xml:space="preserve">中尾　瞭佑</t>
  </si>
  <si>
    <t xml:space="preserve">河村　俊志</t>
  </si>
  <si>
    <t xml:space="preserve">校名表記：智弁学園奈良カレッジ／智弁学園奈良カレッジ高</t>
  </si>
  <si>
    <t xml:space="preserve">竹内　琉カ</t>
  </si>
  <si>
    <t xml:space="preserve">漆畑　颯恭</t>
  </si>
  <si>
    <t xml:space="preserve">飛龍高</t>
  </si>
  <si>
    <t xml:space="preserve">金子　陽翔</t>
  </si>
  <si>
    <t xml:space="preserve">東洋大附牛久高</t>
  </si>
  <si>
    <t xml:space="preserve">吉田　柊汰</t>
  </si>
  <si>
    <t xml:space="preserve">留萌高</t>
  </si>
  <si>
    <t xml:space="preserve">谷崎　大翔</t>
  </si>
  <si>
    <t xml:space="preserve">和田　龍真</t>
  </si>
  <si>
    <t xml:space="preserve">堀之内　悠</t>
  </si>
  <si>
    <t xml:space="preserve">本川　竜光</t>
  </si>
  <si>
    <t xml:space="preserve">雑賀　温大</t>
  </si>
  <si>
    <t xml:space="preserve">土浦日大高</t>
  </si>
  <si>
    <t xml:space="preserve">米満　楓馬</t>
  </si>
  <si>
    <t xml:space="preserve">太田　泰聖</t>
  </si>
  <si>
    <t xml:space="preserve">渋谷　玖蒼</t>
  </si>
  <si>
    <t xml:space="preserve">坂口　大斗</t>
  </si>
  <si>
    <t xml:space="preserve">藤枝明誠高</t>
  </si>
  <si>
    <t xml:space="preserve">五社　泰至</t>
  </si>
  <si>
    <t xml:space="preserve">永井　弧</t>
  </si>
  <si>
    <t xml:space="preserve">山手学院高</t>
  </si>
  <si>
    <t xml:space="preserve">佐々木　凉蒼</t>
  </si>
  <si>
    <t xml:space="preserve">谷　 　康平</t>
  </si>
  <si>
    <t xml:space="preserve">黒木　玲雄</t>
  </si>
  <si>
    <t xml:space="preserve">吉原　貫太</t>
  </si>
  <si>
    <t xml:space="preserve">西京高</t>
  </si>
  <si>
    <t xml:space="preserve">小石沢　大翔</t>
  </si>
  <si>
    <t xml:space="preserve">燕　 　文哉</t>
  </si>
  <si>
    <t xml:space="preserve">秋田中央高</t>
  </si>
  <si>
    <t xml:space="preserve">藤井　洵太</t>
  </si>
  <si>
    <t xml:space="preserve">山下　匠</t>
  </si>
  <si>
    <t xml:space="preserve">水戸葵陵高</t>
  </si>
  <si>
    <t xml:space="preserve">山田　漣</t>
  </si>
  <si>
    <t xml:space="preserve">植野　元唯</t>
  </si>
  <si>
    <t xml:space="preserve">清風高</t>
  </si>
  <si>
    <t xml:space="preserve">薮崎　一心</t>
  </si>
  <si>
    <t xml:space="preserve">市松戸高</t>
  </si>
  <si>
    <t xml:space="preserve">渡辺　諒太</t>
  </si>
  <si>
    <t xml:space="preserve">伊勢村　優斗</t>
  </si>
  <si>
    <t xml:space="preserve">滋賀学園高</t>
  </si>
  <si>
    <t xml:space="preserve">宮下　海風</t>
  </si>
  <si>
    <t xml:space="preserve">旭丘高</t>
  </si>
  <si>
    <t xml:space="preserve">小島　大空</t>
  </si>
  <si>
    <t xml:space="preserve">谷　 　颯真</t>
  </si>
  <si>
    <t xml:space="preserve">坂手　真樹</t>
  </si>
  <si>
    <t xml:space="preserve">三田学園高</t>
  </si>
  <si>
    <t xml:space="preserve">田中　晴久</t>
  </si>
  <si>
    <t xml:space="preserve">山口高</t>
  </si>
  <si>
    <t xml:space="preserve">原田　隼</t>
  </si>
  <si>
    <t xml:space="preserve">高橋　空</t>
  </si>
  <si>
    <t xml:space="preserve">後藤　漣</t>
  </si>
  <si>
    <t xml:space="preserve">西武台千葉高</t>
  </si>
  <si>
    <t xml:space="preserve">木村　太郎</t>
  </si>
  <si>
    <t xml:space="preserve">希望が丘高</t>
  </si>
  <si>
    <t xml:space="preserve">品田　新雄</t>
  </si>
  <si>
    <t xml:space="preserve">三沢高</t>
  </si>
  <si>
    <t xml:space="preserve">岩尾　春</t>
  </si>
  <si>
    <t xml:space="preserve">東京国際大学：関東学連高</t>
  </si>
  <si>
    <t xml:space="preserve">柴山　英士</t>
  </si>
  <si>
    <t xml:space="preserve">九州文化学園高</t>
  </si>
  <si>
    <t xml:space="preserve">気賀沢　勇之助</t>
  </si>
  <si>
    <t xml:space="preserve">伊藤　成</t>
  </si>
  <si>
    <t xml:space="preserve">坂下　漣</t>
  </si>
  <si>
    <t xml:space="preserve">山崎　圭人</t>
  </si>
  <si>
    <t xml:space="preserve">辻江　皓</t>
  </si>
  <si>
    <t xml:space="preserve">渡辺　朝陽</t>
  </si>
  <si>
    <t xml:space="preserve">大林　凛太郎</t>
  </si>
  <si>
    <t xml:space="preserve">佐藤聡太郎</t>
  </si>
  <si>
    <t xml:space="preserve">大辻　剛己</t>
  </si>
  <si>
    <t xml:space="preserve">秋元　一葵</t>
  </si>
  <si>
    <t xml:space="preserve">都昭和高</t>
  </si>
  <si>
    <t xml:space="preserve">大野　真吾</t>
  </si>
  <si>
    <t xml:space="preserve">辻　 　晴充</t>
  </si>
  <si>
    <t xml:space="preserve">米山　幸汰</t>
  </si>
  <si>
    <t xml:space="preserve">札幌創成高</t>
  </si>
  <si>
    <t xml:space="preserve">西田　泰斗</t>
  </si>
  <si>
    <t xml:space="preserve">鹿児島実高</t>
  </si>
  <si>
    <t xml:space="preserve">薮本　尚士</t>
  </si>
  <si>
    <t xml:space="preserve">河野　蒼人</t>
  </si>
  <si>
    <t xml:space="preserve">世羅高</t>
  </si>
  <si>
    <t xml:space="preserve">加藤　聖大</t>
  </si>
  <si>
    <t xml:space="preserve">西中川　和真</t>
  </si>
  <si>
    <t xml:space="preserve">俣野　煌大</t>
  </si>
  <si>
    <t xml:space="preserve">高山　倖瑠</t>
  </si>
  <si>
    <t xml:space="preserve">川畑　僚大</t>
  </si>
  <si>
    <t xml:space="preserve">山寺　慧太</t>
  </si>
  <si>
    <t xml:space="preserve">菊池　大夢</t>
  </si>
  <si>
    <t xml:space="preserve">三明　淳一</t>
  </si>
  <si>
    <t xml:space="preserve">大多和学園開星高</t>
  </si>
  <si>
    <t xml:space="preserve">井上　広翔</t>
  </si>
  <si>
    <t xml:space="preserve">田崎　空汰</t>
  </si>
  <si>
    <t xml:space="preserve">熊本工高</t>
  </si>
  <si>
    <t xml:space="preserve">木村　剛士</t>
  </si>
  <si>
    <t xml:space="preserve">長谷川　獅</t>
  </si>
  <si>
    <t xml:space="preserve">盛岡大附高</t>
  </si>
  <si>
    <t xml:space="preserve">吉田　怜央</t>
  </si>
  <si>
    <t xml:space="preserve">山田　琉碧</t>
  </si>
  <si>
    <t xml:space="preserve">八頭高</t>
  </si>
  <si>
    <t xml:space="preserve">長原　淳志</t>
  </si>
  <si>
    <t xml:space="preserve">大阪高</t>
  </si>
  <si>
    <t xml:space="preserve">清水　大馳</t>
  </si>
  <si>
    <t xml:space="preserve">樋口　大人</t>
  </si>
  <si>
    <t xml:space="preserve">田坂　涼</t>
  </si>
  <si>
    <t xml:space="preserve">広島皆実高</t>
  </si>
  <si>
    <t xml:space="preserve">増田　和旺</t>
  </si>
  <si>
    <t xml:space="preserve">服部　恵吾</t>
  </si>
  <si>
    <t xml:space="preserve">坂口　太弥</t>
  </si>
  <si>
    <t xml:space="preserve">今野　怜</t>
  </si>
  <si>
    <t xml:space="preserve">渡部　湧斗</t>
  </si>
  <si>
    <t xml:space="preserve">中嶋　悠翔</t>
  </si>
  <si>
    <t xml:space="preserve">井沢　輝</t>
  </si>
  <si>
    <t xml:space="preserve">成田高</t>
  </si>
  <si>
    <t xml:space="preserve">杉山　力斗</t>
  </si>
  <si>
    <t xml:space="preserve">鈴木　竣太</t>
  </si>
  <si>
    <t xml:space="preserve">武蔵越生高</t>
  </si>
  <si>
    <t xml:space="preserve">徳永　昇生</t>
  </si>
  <si>
    <t xml:space="preserve">大分東明高</t>
  </si>
  <si>
    <t xml:space="preserve">五十嵐　陽希</t>
  </si>
  <si>
    <t xml:space="preserve">中安　快飛</t>
  </si>
  <si>
    <t xml:space="preserve">春日部高</t>
  </si>
  <si>
    <t xml:space="preserve">高森　稀隆</t>
  </si>
  <si>
    <t xml:space="preserve">金沢学院大附高</t>
  </si>
  <si>
    <t xml:space="preserve">校名表記：金沢学院大附高／金沢学大附高</t>
  </si>
  <si>
    <t xml:space="preserve">米山　煌星</t>
  </si>
  <si>
    <t xml:space="preserve">前川　侑大</t>
  </si>
  <si>
    <t xml:space="preserve">今治北高</t>
  </si>
  <si>
    <t xml:space="preserve">藤井　真生</t>
  </si>
  <si>
    <t xml:space="preserve">東海大山形高</t>
  </si>
  <si>
    <t xml:space="preserve">俣野　煌太</t>
  </si>
  <si>
    <t xml:space="preserve">水本　優翔</t>
  </si>
  <si>
    <t xml:space="preserve">堀口　蓮月</t>
  </si>
  <si>
    <t xml:space="preserve">千葉　海頼</t>
  </si>
  <si>
    <t xml:space="preserve">鈴木　陸斗</t>
  </si>
  <si>
    <t xml:space="preserve">菊池　蒼海</t>
  </si>
  <si>
    <t xml:space="preserve">花巻北高</t>
  </si>
  <si>
    <t xml:space="preserve">向井　駿輔</t>
  </si>
  <si>
    <t xml:space="preserve">麻溝台高</t>
  </si>
  <si>
    <t xml:space="preserve">南　 　遼貴</t>
  </si>
  <si>
    <t xml:space="preserve">飯塚高</t>
  </si>
  <si>
    <t xml:space="preserve">木村　樹</t>
  </si>
  <si>
    <t xml:space="preserve">高川学園高</t>
  </si>
  <si>
    <t xml:space="preserve">高松　龍星</t>
  </si>
  <si>
    <t xml:space="preserve">高田　有希也</t>
  </si>
  <si>
    <t xml:space="preserve">木川　恒輝</t>
  </si>
  <si>
    <t xml:space="preserve">長崎北陽台高</t>
  </si>
  <si>
    <t xml:space="preserve">多久和　竜空</t>
  </si>
  <si>
    <t xml:space="preserve">出雲工高</t>
  </si>
  <si>
    <t xml:space="preserve">蔵重　椋太</t>
  </si>
  <si>
    <t xml:space="preserve">岡山商大附高</t>
  </si>
  <si>
    <t xml:space="preserve">駒沢　直弥</t>
  </si>
  <si>
    <t xml:space="preserve">中村　碧吹</t>
  </si>
  <si>
    <t xml:space="preserve">藤田　翔蒼</t>
  </si>
  <si>
    <t xml:space="preserve">条野　冬也</t>
  </si>
  <si>
    <t xml:space="preserve">諏訪　暖人</t>
  </si>
  <si>
    <t xml:space="preserve">沼津東高</t>
  </si>
  <si>
    <t xml:space="preserve">石川　幸輝</t>
  </si>
  <si>
    <t xml:space="preserve">益田東高</t>
  </si>
  <si>
    <t xml:space="preserve">江刺家琉己</t>
  </si>
  <si>
    <t xml:space="preserve">和田　征太郎</t>
  </si>
  <si>
    <t xml:space="preserve">市沼田高</t>
  </si>
  <si>
    <r>
      <rPr>
        <sz val="10"/>
        <color rgb="FF000000"/>
        <rFont val="HGPｺﾞｼｯｸM"/>
        <family val="0"/>
        <charset val="1"/>
      </rPr>
      <t xml:space="preserve">3000mSC</t>
    </r>
    <r>
      <rPr>
        <sz val="10"/>
        <color rgb="FF000000"/>
        <rFont val="WenQuanYi Zen Hei"/>
        <family val="2"/>
      </rPr>
      <t xml:space="preserve">は二重掲載（</t>
    </r>
    <r>
      <rPr>
        <sz val="10"/>
        <color rgb="FF000000"/>
        <rFont val="HGPｺﾞｼｯｸM"/>
        <family val="0"/>
        <charset val="1"/>
      </rPr>
      <t xml:space="preserve">130</t>
    </r>
    <r>
      <rPr>
        <sz val="10"/>
        <color rgb="FF000000"/>
        <rFont val="WenQuanYi Zen Hei"/>
        <family val="2"/>
      </rPr>
      <t xml:space="preserve">位と</t>
    </r>
    <r>
      <rPr>
        <sz val="10"/>
        <color rgb="FF000000"/>
        <rFont val="HGPｺﾞｼｯｸM"/>
        <family val="0"/>
        <charset val="1"/>
      </rPr>
      <t xml:space="preserve">144</t>
    </r>
    <r>
      <rPr>
        <sz val="10"/>
        <color rgb="FF000000"/>
        <rFont val="WenQuanYi Zen Hei"/>
        <family val="2"/>
      </rPr>
      <t xml:space="preserve">位）→上位を採用</t>
    </r>
  </si>
  <si>
    <t xml:space="preserve">上田　浩士</t>
  </si>
  <si>
    <t xml:space="preserve">神大附中等・兵庫高</t>
  </si>
  <si>
    <t xml:space="preserve">校名表記：神大附中等・兵庫高／神戸大附中等</t>
  </si>
  <si>
    <t xml:space="preserve">菊池　悠太</t>
  </si>
  <si>
    <t xml:space="preserve">盛岡市立高</t>
  </si>
  <si>
    <t xml:space="preserve">五味　洸尊</t>
  </si>
  <si>
    <t xml:space="preserve">日大三島高</t>
  </si>
  <si>
    <t xml:space="preserve">田　 　有希也</t>
  </si>
  <si>
    <t xml:space="preserve">杉原　跳</t>
  </si>
  <si>
    <t xml:space="preserve">阿部　寛大</t>
  </si>
  <si>
    <t xml:space="preserve">橋　 　空</t>
  </si>
  <si>
    <t xml:space="preserve">藤川　蓮丸</t>
  </si>
  <si>
    <t xml:space="preserve">湘南高</t>
  </si>
  <si>
    <t xml:space="preserve">内山　航太</t>
  </si>
  <si>
    <t xml:space="preserve">浜松南高</t>
  </si>
  <si>
    <t xml:space="preserve">深沢　暖斗</t>
  </si>
  <si>
    <t xml:space="preserve">東農大二高</t>
  </si>
  <si>
    <t xml:space="preserve">角田　寛維</t>
  </si>
  <si>
    <t xml:space="preserve">河村　翔琉</t>
  </si>
  <si>
    <t xml:space="preserve">鈴木　結斗</t>
  </si>
  <si>
    <t xml:space="preserve">大野　晃誠</t>
  </si>
  <si>
    <t xml:space="preserve">野口　諒太郎</t>
  </si>
  <si>
    <t xml:space="preserve">八王子高</t>
  </si>
  <si>
    <t xml:space="preserve">鞍元　斗波</t>
  </si>
  <si>
    <t xml:space="preserve">米川　翔</t>
  </si>
  <si>
    <t xml:space="preserve">吉村　悠希</t>
  </si>
  <si>
    <t xml:space="preserve">喜多嶋　悠次</t>
  </si>
  <si>
    <t xml:space="preserve">九州国大附高</t>
  </si>
  <si>
    <t xml:space="preserve">平　 　龍将</t>
  </si>
  <si>
    <t xml:space="preserve">周　 　凱文</t>
  </si>
  <si>
    <t xml:space="preserve">阿部　薫</t>
  </si>
  <si>
    <t xml:space="preserve">日本文理高</t>
  </si>
  <si>
    <t xml:space="preserve">藤野　健太</t>
  </si>
  <si>
    <t xml:space="preserve">角鹿　大夢</t>
  </si>
  <si>
    <t xml:space="preserve">高田高</t>
  </si>
  <si>
    <t xml:space="preserve">秋田　順哉</t>
  </si>
  <si>
    <t xml:space="preserve">岡崎北高</t>
  </si>
  <si>
    <t xml:space="preserve">校名表記：岡崎北／岡崎北高</t>
  </si>
  <si>
    <t xml:space="preserve">吉本　健心</t>
  </si>
  <si>
    <t xml:space="preserve">岡崎城西高</t>
  </si>
  <si>
    <t xml:space="preserve">河村　拓真</t>
  </si>
  <si>
    <t xml:space="preserve">成田　光輝</t>
  </si>
  <si>
    <t xml:space="preserve">鹿児島高</t>
  </si>
  <si>
    <t xml:space="preserve">竹内　孔哉</t>
  </si>
  <si>
    <t xml:space="preserve">名城大附高</t>
  </si>
  <si>
    <t xml:space="preserve">小山　颯太</t>
  </si>
  <si>
    <t xml:space="preserve">磯部旭希</t>
  </si>
  <si>
    <t xml:space="preserve">岡本　玲哉</t>
  </si>
  <si>
    <t xml:space="preserve">智弁学園和歌山高</t>
  </si>
  <si>
    <t xml:space="preserve">校名表記：智弁和歌山／智弁学園和歌山高</t>
  </si>
  <si>
    <t xml:space="preserve">角掛　涼太</t>
  </si>
  <si>
    <t xml:space="preserve">五十嵐　琉晟</t>
  </si>
  <si>
    <t xml:space="preserve">上山　宙大</t>
  </si>
  <si>
    <t xml:space="preserve">植松　遼</t>
  </si>
  <si>
    <t xml:space="preserve">市尻　太朗</t>
  </si>
  <si>
    <t xml:space="preserve">古子璃陽翔</t>
  </si>
  <si>
    <t xml:space="preserve">牛尾　哲太</t>
  </si>
  <si>
    <t xml:space="preserve">福工大城東高</t>
  </si>
  <si>
    <t xml:space="preserve">月野　優人</t>
  </si>
  <si>
    <t xml:space="preserve">安部　裕多</t>
  </si>
  <si>
    <t xml:space="preserve">つるぎ高</t>
  </si>
  <si>
    <t xml:space="preserve">岩佐　仁誠</t>
  </si>
  <si>
    <t xml:space="preserve">磯崎　蓮凌</t>
  </si>
  <si>
    <t xml:space="preserve">光明学園相模原高</t>
  </si>
  <si>
    <t xml:space="preserve">西中川　和馬</t>
  </si>
  <si>
    <t xml:space="preserve">北川　歩夢</t>
  </si>
  <si>
    <t xml:space="preserve">徳田　湊介</t>
  </si>
  <si>
    <t xml:space="preserve">金泉　陽向</t>
  </si>
  <si>
    <t xml:space="preserve">浦田　稜誠</t>
  </si>
  <si>
    <t xml:space="preserve">前成　翔大</t>
  </si>
  <si>
    <t xml:space="preserve">荏田高</t>
  </si>
  <si>
    <t xml:space="preserve">松本　優哉</t>
  </si>
  <si>
    <t xml:space="preserve">坂本　大翼</t>
  </si>
  <si>
    <t xml:space="preserve">河崎　優太</t>
  </si>
  <si>
    <t xml:space="preserve">龍野北高</t>
  </si>
  <si>
    <t xml:space="preserve">篠田龍之介</t>
  </si>
  <si>
    <t xml:space="preserve">松本　玄</t>
  </si>
  <si>
    <t xml:space="preserve">山内　颯真</t>
  </si>
  <si>
    <t xml:space="preserve">乙訓高</t>
  </si>
  <si>
    <t xml:space="preserve">園田　拓海</t>
  </si>
  <si>
    <t xml:space="preserve">小島　孝太</t>
  </si>
  <si>
    <t xml:space="preserve">横浜清風高</t>
  </si>
  <si>
    <t xml:space="preserve">野副　智葵</t>
  </si>
  <si>
    <t xml:space="preserve">小倉南高</t>
  </si>
  <si>
    <t xml:space="preserve">新井　亮太</t>
  </si>
  <si>
    <t xml:space="preserve">瓊浦高</t>
  </si>
  <si>
    <t xml:space="preserve">大金　莉久</t>
  </si>
  <si>
    <t xml:space="preserve">高柳　譲次郎</t>
  </si>
  <si>
    <t xml:space="preserve">高橋　泰晴</t>
  </si>
  <si>
    <t xml:space="preserve">法大Ⅱ部高</t>
  </si>
  <si>
    <t xml:space="preserve">古沢　崇翔</t>
  </si>
  <si>
    <t xml:space="preserve">大塚　元輝</t>
  </si>
  <si>
    <t xml:space="preserve">宇都宮短大附高</t>
  </si>
  <si>
    <t xml:space="preserve">石沢　聖成</t>
  </si>
  <si>
    <t xml:space="preserve">加茂　史也</t>
  </si>
  <si>
    <t xml:space="preserve">姫野　来都</t>
  </si>
  <si>
    <t xml:space="preserve">遊学館高</t>
  </si>
  <si>
    <t xml:space="preserve">小海　温人</t>
  </si>
  <si>
    <t xml:space="preserve">韮山高</t>
  </si>
  <si>
    <t xml:space="preserve">服部　凉大</t>
  </si>
  <si>
    <t xml:space="preserve">北島　晃太朗</t>
  </si>
  <si>
    <t xml:space="preserve">上田　陽士</t>
  </si>
  <si>
    <t xml:space="preserve">小津高</t>
  </si>
  <si>
    <t xml:space="preserve">粟飯原　憲心</t>
  </si>
  <si>
    <t xml:space="preserve">赤松　新太</t>
  </si>
  <si>
    <t xml:space="preserve">四国学大香川西高</t>
  </si>
  <si>
    <t xml:space="preserve">田辺　颯梧</t>
  </si>
  <si>
    <t xml:space="preserve">時習館高</t>
  </si>
  <si>
    <t xml:space="preserve">尾関　柊空</t>
  </si>
  <si>
    <t xml:space="preserve">豊田大谷高</t>
  </si>
  <si>
    <t xml:space="preserve">校名表記：豊田大谷／豊田大谷高</t>
  </si>
  <si>
    <t xml:space="preserve">斎藤　颯馬</t>
  </si>
  <si>
    <t xml:space="preserve">柳　 　譲次郎</t>
  </si>
  <si>
    <t xml:space="preserve">山本　夏輝</t>
  </si>
  <si>
    <t xml:space="preserve">田辺工高</t>
  </si>
  <si>
    <t xml:space="preserve">校名表記：田辺工高／田辺工業高校</t>
  </si>
  <si>
    <t xml:space="preserve">湯野　健太</t>
  </si>
  <si>
    <t xml:space="preserve">中湊　来輝</t>
  </si>
  <si>
    <t xml:space="preserve">高岡向陵高</t>
  </si>
  <si>
    <t xml:space="preserve">松村　優樹</t>
  </si>
  <si>
    <t xml:space="preserve">盛岡一高</t>
  </si>
  <si>
    <t xml:space="preserve">長野　煌史</t>
  </si>
  <si>
    <t xml:space="preserve">藤原　和樹</t>
  </si>
  <si>
    <t xml:space="preserve">就実高</t>
  </si>
  <si>
    <t xml:space="preserve">服部　涼大</t>
  </si>
  <si>
    <t xml:space="preserve">千葉　渚斗</t>
  </si>
  <si>
    <t xml:space="preserve">田中　明斗</t>
  </si>
  <si>
    <t xml:space="preserve">辻江　晧</t>
  </si>
  <si>
    <t xml:space="preserve">堀越　音杜</t>
  </si>
  <si>
    <t xml:space="preserve">田中　翔真</t>
  </si>
  <si>
    <t xml:space="preserve">阿部　誠志郎</t>
  </si>
  <si>
    <t xml:space="preserve">野口　泰希</t>
  </si>
  <si>
    <t xml:space="preserve">吉田　圭佑</t>
  </si>
  <si>
    <t xml:space="preserve">岩田　逢希</t>
  </si>
  <si>
    <t xml:space="preserve">中根　俊</t>
  </si>
  <si>
    <t xml:space="preserve">元石川高</t>
  </si>
  <si>
    <t xml:space="preserve">深谷　将寛</t>
  </si>
  <si>
    <t xml:space="preserve">石田　握杜</t>
  </si>
  <si>
    <t xml:space="preserve">箕面自由学園高</t>
  </si>
  <si>
    <t xml:space="preserve">安藤　和真</t>
  </si>
  <si>
    <t xml:space="preserve">野口　遼太郎</t>
  </si>
  <si>
    <t xml:space="preserve">徳谷　航生</t>
  </si>
  <si>
    <t xml:space="preserve">西村　駿汰</t>
  </si>
  <si>
    <t xml:space="preserve">県岐阜商高</t>
  </si>
  <si>
    <t xml:space="preserve">松沢　歩</t>
  </si>
  <si>
    <t xml:space="preserve">群馬県中央中等高</t>
  </si>
  <si>
    <t xml:space="preserve">森川　恭丞</t>
  </si>
  <si>
    <t xml:space="preserve">小豆島中央高</t>
  </si>
  <si>
    <t xml:space="preserve">古川　幸典</t>
  </si>
  <si>
    <t xml:space="preserve">福岡大附大濠高</t>
  </si>
  <si>
    <t xml:space="preserve">酒尾　朋希</t>
  </si>
  <si>
    <t xml:space="preserve">金沢泉丘高</t>
  </si>
  <si>
    <t xml:space="preserve">矢野　快音</t>
  </si>
  <si>
    <t xml:space="preserve">高知農高</t>
  </si>
  <si>
    <t xml:space="preserve">金田　潤</t>
  </si>
  <si>
    <t xml:space="preserve">黒田　創太</t>
  </si>
  <si>
    <t xml:space="preserve">校名表記：名経大高蔵／名古屋経大高蔵高</t>
  </si>
  <si>
    <t xml:space="preserve">北条　航太郎</t>
  </si>
  <si>
    <t xml:space="preserve">丸山　駿介</t>
  </si>
  <si>
    <t xml:space="preserve">尾上　裕人</t>
  </si>
  <si>
    <t xml:space="preserve">磐田南高</t>
  </si>
  <si>
    <t xml:space="preserve">森　 　雄太郎</t>
  </si>
  <si>
    <t xml:space="preserve">上妻　和史</t>
  </si>
  <si>
    <t xml:space="preserve">良永　一馬</t>
  </si>
  <si>
    <t xml:space="preserve">弘部　和志</t>
  </si>
  <si>
    <t xml:space="preserve">穴井　優希</t>
  </si>
  <si>
    <t xml:space="preserve">大久保　太晴</t>
  </si>
  <si>
    <t xml:space="preserve">専大熊本高</t>
  </si>
  <si>
    <t xml:space="preserve">岸　 　慧大</t>
  </si>
  <si>
    <t xml:space="preserve">伊藤　洸瑠</t>
  </si>
  <si>
    <t xml:space="preserve">田村　龍</t>
  </si>
  <si>
    <t xml:space="preserve">松山北高</t>
  </si>
  <si>
    <t xml:space="preserve">古川　羽琉</t>
  </si>
  <si>
    <t xml:space="preserve">酒田南高</t>
  </si>
  <si>
    <t xml:space="preserve">国仲　江空斗</t>
  </si>
  <si>
    <t xml:space="preserve">金田　煌白</t>
  </si>
  <si>
    <t xml:space="preserve">森山　心翔</t>
  </si>
  <si>
    <t xml:space="preserve">美濃　鉄平</t>
  </si>
  <si>
    <t xml:space="preserve">東山高</t>
  </si>
  <si>
    <t xml:space="preserve">鈴木　蓮太郎</t>
  </si>
  <si>
    <t xml:space="preserve">菊地　裕陽</t>
  </si>
  <si>
    <t xml:space="preserve">東北高</t>
  </si>
  <si>
    <t xml:space="preserve">津村　輝真</t>
  </si>
  <si>
    <t xml:space="preserve">小玉　麗巳</t>
  </si>
  <si>
    <t xml:space="preserve">校名表記：宇都宮短大附高／宇短附高</t>
  </si>
  <si>
    <t xml:space="preserve">平岡　悠</t>
  </si>
  <si>
    <t xml:space="preserve">山口　祐生</t>
  </si>
  <si>
    <t xml:space="preserve">佐藤　健汰</t>
  </si>
  <si>
    <t xml:space="preserve">坂戸西高</t>
  </si>
  <si>
    <t xml:space="preserve">河野　柊輝</t>
  </si>
  <si>
    <t xml:space="preserve">日章学園高</t>
  </si>
  <si>
    <t xml:space="preserve">小谷　悠希</t>
  </si>
  <si>
    <t xml:space="preserve">松江高専</t>
  </si>
  <si>
    <t xml:space="preserve">斎藤　煌来</t>
  </si>
  <si>
    <t xml:space="preserve">牧野　快飛</t>
  </si>
  <si>
    <t xml:space="preserve">富士高</t>
  </si>
  <si>
    <t xml:space="preserve">吉池　琉仁</t>
  </si>
  <si>
    <t xml:space="preserve">小林　泰地</t>
  </si>
  <si>
    <t xml:space="preserve">姫路西高</t>
  </si>
  <si>
    <t xml:space="preserve">林　 　蒼介</t>
  </si>
  <si>
    <t xml:space="preserve">富田　蒼輝</t>
  </si>
  <si>
    <t xml:space="preserve">小林　大晟</t>
  </si>
  <si>
    <t xml:space="preserve">黒田　琉斗</t>
  </si>
  <si>
    <t xml:space="preserve">水越　琉平</t>
  </si>
  <si>
    <t xml:space="preserve">高野　疾颯</t>
  </si>
  <si>
    <t xml:space="preserve">美方高</t>
  </si>
  <si>
    <t xml:space="preserve">谷　 　圭悟</t>
  </si>
  <si>
    <t xml:space="preserve">杵築高</t>
  </si>
  <si>
    <t xml:space="preserve">伊藤　壮真</t>
  </si>
  <si>
    <t xml:space="preserve">近藤　聖真</t>
  </si>
  <si>
    <t xml:space="preserve">弘大医陸高</t>
  </si>
  <si>
    <t xml:space="preserve">藤原　瑞希</t>
  </si>
  <si>
    <t xml:space="preserve">中井　柊駕</t>
  </si>
  <si>
    <t xml:space="preserve">市西宮高</t>
  </si>
  <si>
    <t xml:space="preserve">溝辺　煌心</t>
  </si>
  <si>
    <t xml:space="preserve">主枝　史成</t>
  </si>
  <si>
    <t xml:space="preserve">古堅　翔也</t>
  </si>
  <si>
    <t xml:space="preserve">那覇西高</t>
  </si>
  <si>
    <t xml:space="preserve">大内　夏樹</t>
  </si>
  <si>
    <t xml:space="preserve">榎本　翔馬</t>
  </si>
  <si>
    <t xml:space="preserve">小野　凛人</t>
  </si>
  <si>
    <t xml:space="preserve">上田　輝空</t>
  </si>
  <si>
    <t xml:space="preserve">尾崎　柾斗</t>
  </si>
  <si>
    <t xml:space="preserve">桜丘高</t>
  </si>
  <si>
    <t xml:space="preserve">川村　緒十</t>
  </si>
  <si>
    <t xml:space="preserve">福長　正翔</t>
  </si>
  <si>
    <t xml:space="preserve">米子松蔭高</t>
  </si>
  <si>
    <t xml:space="preserve">高山　慧太</t>
  </si>
  <si>
    <t xml:space="preserve">三浦　康星</t>
  </si>
  <si>
    <t xml:space="preserve">谷口　隼太</t>
  </si>
  <si>
    <t xml:space="preserve">吉本　旭</t>
  </si>
  <si>
    <t xml:space="preserve">千代田高</t>
  </si>
  <si>
    <t xml:space="preserve">前田　竜希</t>
  </si>
  <si>
    <t xml:space="preserve">脇川　大輝</t>
  </si>
  <si>
    <t xml:space="preserve">阿見ＡＣ</t>
  </si>
  <si>
    <t xml:space="preserve">山本　航己</t>
  </si>
  <si>
    <t xml:space="preserve">石塚　煌人</t>
  </si>
  <si>
    <t xml:space="preserve">東農大三高</t>
  </si>
  <si>
    <t xml:space="preserve">長岡　佑悟</t>
  </si>
  <si>
    <t xml:space="preserve">宇和島東高</t>
  </si>
  <si>
    <t xml:space="preserve">嶋津　幸平</t>
  </si>
  <si>
    <t xml:space="preserve">前橋東高</t>
  </si>
  <si>
    <t xml:space="preserve">井上　陽人</t>
  </si>
  <si>
    <t xml:space="preserve">山崎　弘陽</t>
  </si>
  <si>
    <t xml:space="preserve">芦田　怜也</t>
  </si>
  <si>
    <t xml:space="preserve">川和高</t>
  </si>
  <si>
    <t xml:space="preserve">津田野　凌</t>
  </si>
  <si>
    <t xml:space="preserve">広島工大高</t>
  </si>
  <si>
    <t xml:space="preserve">三浦　敦仁</t>
  </si>
  <si>
    <t xml:space="preserve">折尾愛真高</t>
  </si>
  <si>
    <t xml:space="preserve">椎原　諒真</t>
  </si>
  <si>
    <t xml:space="preserve">鳳凰高</t>
  </si>
  <si>
    <t xml:space="preserve">小山　和楽</t>
  </si>
  <si>
    <t xml:space="preserve">渡辺　志</t>
  </si>
  <si>
    <t xml:space="preserve">綱　 　望夢</t>
  </si>
  <si>
    <t xml:space="preserve">埼玉陸協</t>
  </si>
  <si>
    <t xml:space="preserve">筒井　陽</t>
  </si>
  <si>
    <t xml:space="preserve">畔柳　圭佑</t>
  </si>
  <si>
    <t xml:space="preserve">金子　颯汰</t>
  </si>
  <si>
    <t xml:space="preserve">倉田　圭梧</t>
  </si>
  <si>
    <t xml:space="preserve">山路　梨生</t>
  </si>
  <si>
    <t xml:space="preserve">岡田　一輝</t>
  </si>
  <si>
    <t xml:space="preserve">向陽高</t>
  </si>
  <si>
    <t xml:space="preserve">藤井　祐人</t>
  </si>
  <si>
    <t xml:space="preserve">倉敷南高</t>
  </si>
  <si>
    <t xml:space="preserve">狩野　夢翔</t>
  </si>
  <si>
    <t xml:space="preserve">前田　峻佑</t>
  </si>
  <si>
    <t xml:space="preserve">斎藤　陽太</t>
  </si>
  <si>
    <t xml:space="preserve">稲見　綾真</t>
  </si>
  <si>
    <t xml:space="preserve">井沼　佑樹</t>
  </si>
  <si>
    <t xml:space="preserve">本間　遥裕</t>
  </si>
  <si>
    <t xml:space="preserve">打越　成都</t>
  </si>
  <si>
    <t xml:space="preserve">山本　航大</t>
  </si>
  <si>
    <t xml:space="preserve">小林　昇太</t>
  </si>
  <si>
    <t xml:space="preserve">沢口　彩星</t>
  </si>
  <si>
    <t xml:space="preserve">塚本　真優斗</t>
  </si>
  <si>
    <t xml:space="preserve">皇学館高</t>
  </si>
  <si>
    <t xml:space="preserve">山下　綾太</t>
  </si>
  <si>
    <t xml:space="preserve">森口　能有</t>
  </si>
  <si>
    <t xml:space="preserve">小柳津　翔太</t>
  </si>
  <si>
    <t xml:space="preserve">石坂　翔</t>
  </si>
  <si>
    <t xml:space="preserve">吉岡　俊樹</t>
  </si>
  <si>
    <t xml:space="preserve">藤岡　一心</t>
  </si>
  <si>
    <t xml:space="preserve">吉川　僚</t>
  </si>
  <si>
    <t xml:space="preserve">西湘高</t>
  </si>
  <si>
    <t xml:space="preserve">広田　悠斗</t>
  </si>
  <si>
    <t xml:space="preserve">岩美高</t>
  </si>
  <si>
    <t xml:space="preserve">五所村央歩</t>
  </si>
  <si>
    <t xml:space="preserve">小松高</t>
  </si>
  <si>
    <t xml:space="preserve">小椋　颯人</t>
  </si>
  <si>
    <t xml:space="preserve">修道高</t>
  </si>
  <si>
    <t xml:space="preserve">北条航太朗</t>
  </si>
  <si>
    <t xml:space="preserve">吉川　櫂永</t>
  </si>
  <si>
    <t xml:space="preserve">後閑　璃央希</t>
  </si>
  <si>
    <t xml:space="preserve">片岡　航大</t>
  </si>
  <si>
    <t xml:space="preserve">丸山　慶来</t>
  </si>
  <si>
    <t xml:space="preserve">早稲田実業高</t>
  </si>
  <si>
    <t xml:space="preserve">関沢　陽希</t>
  </si>
  <si>
    <t xml:space="preserve">平田　未来</t>
  </si>
  <si>
    <t xml:space="preserve">下関中等高</t>
  </si>
  <si>
    <t xml:space="preserve">鈴木　貫太</t>
  </si>
  <si>
    <t xml:space="preserve">黒津　大空</t>
  </si>
  <si>
    <t xml:space="preserve">武藤　蒼</t>
  </si>
  <si>
    <t xml:space="preserve">浜松開誠館高</t>
  </si>
  <si>
    <t xml:space="preserve">水島　優</t>
  </si>
  <si>
    <t xml:space="preserve">浜松市立高</t>
  </si>
  <si>
    <t xml:space="preserve">楯　 　冬次</t>
  </si>
  <si>
    <t xml:space="preserve">愛知学院愛知高</t>
  </si>
  <si>
    <t xml:space="preserve">謝花　郁光</t>
  </si>
  <si>
    <t xml:space="preserve">北山高</t>
  </si>
  <si>
    <t xml:space="preserve">上田　康誠</t>
  </si>
  <si>
    <t xml:space="preserve">奈良高</t>
  </si>
  <si>
    <t xml:space="preserve">橋　 　優輝</t>
  </si>
  <si>
    <t xml:space="preserve">野口　慎悟</t>
  </si>
  <si>
    <t xml:space="preserve">帝京長岡高</t>
  </si>
  <si>
    <t xml:space="preserve">楠　 　璽帥</t>
  </si>
  <si>
    <t xml:space="preserve">桐蔭学園高</t>
  </si>
  <si>
    <t xml:space="preserve">森　 　遥人</t>
  </si>
  <si>
    <t xml:space="preserve">富岡　弥雲</t>
  </si>
  <si>
    <t xml:space="preserve">横山　大翔</t>
  </si>
  <si>
    <t xml:space="preserve">佐伯麟太朗</t>
  </si>
  <si>
    <t xml:space="preserve">菖池　隆介</t>
  </si>
  <si>
    <t xml:space="preserve">一宮高</t>
  </si>
  <si>
    <t xml:space="preserve">鈴木　颯太</t>
  </si>
  <si>
    <t xml:space="preserve">桑名西高</t>
  </si>
  <si>
    <t xml:space="preserve">皆川　航瑠</t>
  </si>
  <si>
    <t xml:space="preserve">札幌一高</t>
  </si>
  <si>
    <t xml:space="preserve">金子　瑛太</t>
  </si>
  <si>
    <t xml:space="preserve">佐藤　有人</t>
  </si>
  <si>
    <t xml:space="preserve">拓大紅陵高</t>
  </si>
  <si>
    <t xml:space="preserve">松下　謙心</t>
  </si>
  <si>
    <t xml:space="preserve">山口　裕輝</t>
  </si>
  <si>
    <t xml:space="preserve">山副　昇太郎</t>
  </si>
  <si>
    <t xml:space="preserve">丹後緑風高</t>
  </si>
  <si>
    <t xml:space="preserve">山内　大矢</t>
  </si>
  <si>
    <t xml:space="preserve">河合　琢留</t>
  </si>
  <si>
    <t xml:space="preserve">矢野　半蔵</t>
  </si>
  <si>
    <t xml:space="preserve">田辺高</t>
  </si>
  <si>
    <t xml:space="preserve">平田　琉晟</t>
  </si>
  <si>
    <t xml:space="preserve">愛知産大三河高</t>
  </si>
  <si>
    <t xml:space="preserve">朝倉　凌</t>
  </si>
  <si>
    <t xml:space="preserve">新潟一高</t>
  </si>
  <si>
    <t xml:space="preserve">梅山　優志</t>
  </si>
  <si>
    <t xml:space="preserve">大分舞鶴高</t>
  </si>
  <si>
    <t xml:space="preserve">湯川　瑛斗</t>
  </si>
  <si>
    <t xml:space="preserve">勝呂　颯太</t>
  </si>
  <si>
    <t xml:space="preserve">甲田　優斗</t>
  </si>
  <si>
    <t xml:space="preserve">保土ケ谷高</t>
  </si>
  <si>
    <t xml:space="preserve">山本希海</t>
  </si>
  <si>
    <t xml:space="preserve">興梠　真人</t>
  </si>
  <si>
    <t xml:space="preserve">宮崎日大高</t>
  </si>
  <si>
    <t xml:space="preserve">米村　建人</t>
  </si>
  <si>
    <t xml:space="preserve">江口　尊琉</t>
  </si>
  <si>
    <t xml:space="preserve">武田　真統</t>
  </si>
  <si>
    <t xml:space="preserve">新発田高</t>
  </si>
  <si>
    <t xml:space="preserve">大塚　春斗</t>
  </si>
  <si>
    <t xml:space="preserve">小島　隆暉</t>
  </si>
  <si>
    <t xml:space="preserve">坂本　智哉</t>
  </si>
  <si>
    <t xml:space="preserve">宇土高</t>
  </si>
  <si>
    <t xml:space="preserve">久保田莉央</t>
  </si>
  <si>
    <t xml:space="preserve">竹花　廉太郎</t>
  </si>
  <si>
    <t xml:space="preserve">斎藤　光</t>
  </si>
  <si>
    <t xml:space="preserve">吉村　琉翔</t>
  </si>
  <si>
    <t xml:space="preserve">入江　僚太</t>
  </si>
  <si>
    <t xml:space="preserve">半谷　樹希翔</t>
  </si>
  <si>
    <t xml:space="preserve">至学館高</t>
  </si>
  <si>
    <t xml:space="preserve">茂籠　和生</t>
  </si>
  <si>
    <t xml:space="preserve">関西創価高</t>
  </si>
  <si>
    <t xml:space="preserve">太田　寛人</t>
  </si>
  <si>
    <t xml:space="preserve">伊田　悠馬</t>
  </si>
  <si>
    <t xml:space="preserve">山中　悠輔</t>
  </si>
  <si>
    <t xml:space="preserve">雜賀　温大</t>
  </si>
  <si>
    <t xml:space="preserve">造田　拓海</t>
  </si>
  <si>
    <t xml:space="preserve">高山　力帆</t>
  </si>
  <si>
    <t xml:space="preserve">浜松商高</t>
  </si>
  <si>
    <t xml:space="preserve">杉浦　秀亜</t>
  </si>
  <si>
    <t xml:space="preserve">清水　遥貴</t>
  </si>
  <si>
    <t xml:space="preserve">大東大一高</t>
  </si>
  <si>
    <t xml:space="preserve">辻？？　啓亜</t>
  </si>
  <si>
    <t xml:space="preserve">梶　 　悠磨</t>
  </si>
  <si>
    <t xml:space="preserve">竹内　蒼</t>
  </si>
  <si>
    <t xml:space="preserve">浅海　太勇</t>
  </si>
  <si>
    <t xml:space="preserve">辻　 　啓亜</t>
  </si>
  <si>
    <t xml:space="preserve">坂野　優心</t>
  </si>
  <si>
    <t xml:space="preserve">中村　舜大</t>
  </si>
  <si>
    <t xml:space="preserve">深井　真生</t>
  </si>
  <si>
    <t xml:space="preserve">中林　純</t>
  </si>
  <si>
    <t xml:space="preserve">木田　優吾</t>
  </si>
  <si>
    <t xml:space="preserve">近江　雄将</t>
  </si>
  <si>
    <t xml:space="preserve">柳　 　裕也</t>
  </si>
  <si>
    <t xml:space="preserve">指宿商高</t>
  </si>
  <si>
    <t xml:space="preserve">藤沢　勝猛</t>
  </si>
  <si>
    <t xml:space="preserve">市立太田高</t>
  </si>
  <si>
    <t xml:space="preserve">横田　拓実</t>
  </si>
  <si>
    <t xml:space="preserve">福田　晃希</t>
  </si>
  <si>
    <t xml:space="preserve">新居浜商高</t>
  </si>
  <si>
    <t xml:space="preserve">立花　愛士</t>
  </si>
  <si>
    <t xml:space="preserve">飾磨工高</t>
  </si>
  <si>
    <t xml:space="preserve">河治　晴真</t>
  </si>
  <si>
    <t xml:space="preserve">宇都宮高</t>
  </si>
  <si>
    <t xml:space="preserve">吉田　煌季</t>
  </si>
  <si>
    <t xml:space="preserve">小林　昂起</t>
  </si>
  <si>
    <t xml:space="preserve">須藤　幸輝</t>
  </si>
  <si>
    <t xml:space="preserve">下妻一高</t>
  </si>
  <si>
    <t xml:space="preserve">堀　 　楓真</t>
  </si>
  <si>
    <t xml:space="preserve">中薗　賢祐</t>
  </si>
  <si>
    <t xml:space="preserve">栗原　琉</t>
  </si>
  <si>
    <t xml:space="preserve">奥村　瑛斗</t>
  </si>
  <si>
    <t xml:space="preserve">大垣日大高</t>
  </si>
  <si>
    <t xml:space="preserve">河合　淳之介</t>
  </si>
  <si>
    <t xml:space="preserve">加藤学園高</t>
  </si>
  <si>
    <t xml:space="preserve">西田　修造</t>
  </si>
  <si>
    <t xml:space="preserve">東　 　直輝</t>
  </si>
  <si>
    <t xml:space="preserve">荒　 　遥斗</t>
  </si>
  <si>
    <t xml:space="preserve">掛川西高</t>
  </si>
  <si>
    <t xml:space="preserve">紀　 　将司</t>
  </si>
  <si>
    <t xml:space="preserve">藤田　悠聖</t>
  </si>
  <si>
    <t xml:space="preserve">戸高　友翔</t>
  </si>
  <si>
    <t xml:space="preserve">坂本　心優</t>
  </si>
  <si>
    <t xml:space="preserve">玉井　悠斗</t>
  </si>
  <si>
    <t xml:space="preserve">四日市高</t>
  </si>
  <si>
    <t xml:space="preserve">上原　衣月</t>
  </si>
  <si>
    <t xml:space="preserve">杉田　琉威</t>
  </si>
  <si>
    <t xml:space="preserve">後藤　漱介</t>
  </si>
  <si>
    <t xml:space="preserve">仙台二高</t>
  </si>
  <si>
    <t xml:space="preserve">可児　悠月</t>
  </si>
  <si>
    <t xml:space="preserve">大川　和真</t>
  </si>
  <si>
    <t xml:space="preserve">森下真乃介</t>
  </si>
  <si>
    <t xml:space="preserve">内山　翔羽</t>
  </si>
  <si>
    <t xml:space="preserve">松本　瑛都</t>
  </si>
  <si>
    <t xml:space="preserve">杉本　瑛汰</t>
  </si>
  <si>
    <t xml:space="preserve">札幌東高</t>
  </si>
  <si>
    <t xml:space="preserve">山口　伯流</t>
  </si>
  <si>
    <t xml:space="preserve">藤田　晴亮</t>
  </si>
  <si>
    <t xml:space="preserve">西原　蒼士</t>
  </si>
  <si>
    <t xml:space="preserve">菊地　晴空</t>
  </si>
  <si>
    <t xml:space="preserve">高橋　悠樹</t>
  </si>
  <si>
    <t xml:space="preserve">古川　寛貴</t>
  </si>
  <si>
    <t xml:space="preserve">伊奈学園総合高</t>
  </si>
  <si>
    <t xml:space="preserve">北島　煕将</t>
  </si>
  <si>
    <t xml:space="preserve">北野高</t>
  </si>
  <si>
    <t xml:space="preserve">田中　遥</t>
  </si>
  <si>
    <t xml:space="preserve">福岡高</t>
  </si>
  <si>
    <t xml:space="preserve">田村　陸斗</t>
  </si>
  <si>
    <t xml:space="preserve">中村　公洋</t>
  </si>
  <si>
    <t xml:space="preserve">船橋芝山高</t>
  </si>
  <si>
    <t xml:space="preserve">名倉　立晟</t>
  </si>
  <si>
    <t xml:space="preserve">浜松北高</t>
  </si>
  <si>
    <t xml:space="preserve">保高　道豊</t>
  </si>
  <si>
    <t xml:space="preserve">神野　吏輝</t>
  </si>
  <si>
    <t xml:space="preserve">鳥取　優作</t>
  </si>
  <si>
    <t xml:space="preserve">唐木　陽大</t>
  </si>
  <si>
    <t xml:space="preserve">松永　惟吹</t>
  </si>
  <si>
    <t xml:space="preserve">中川　琉暉</t>
  </si>
  <si>
    <t xml:space="preserve">角舘　歩樹</t>
  </si>
  <si>
    <t xml:space="preserve">山崎　湊太</t>
  </si>
  <si>
    <t xml:space="preserve">三条高</t>
  </si>
  <si>
    <t xml:space="preserve">山中　朔児</t>
  </si>
  <si>
    <t xml:space="preserve">渋谷　諒</t>
  </si>
  <si>
    <t xml:space="preserve">三郷高</t>
  </si>
  <si>
    <t xml:space="preserve">湯浅　紘翔</t>
  </si>
  <si>
    <t xml:space="preserve">久保　凪杜</t>
  </si>
  <si>
    <t xml:space="preserve">東海大附浦安高</t>
  </si>
  <si>
    <t xml:space="preserve">田丸　剣人</t>
  </si>
  <si>
    <t xml:space="preserve">長江　汰起</t>
  </si>
  <si>
    <t xml:space="preserve">小野原　奏</t>
  </si>
  <si>
    <t xml:space="preserve">曽我部　彪太</t>
  </si>
  <si>
    <t xml:space="preserve">新居浜西高</t>
  </si>
  <si>
    <t xml:space="preserve">塩谷幸之助</t>
  </si>
  <si>
    <t xml:space="preserve">青木　亮太朗</t>
  </si>
  <si>
    <t xml:space="preserve">亀井琥太郎</t>
  </si>
  <si>
    <t xml:space="preserve">岡本　湧善</t>
  </si>
  <si>
    <t xml:space="preserve">竹内　琉力</t>
  </si>
  <si>
    <t xml:space="preserve">浜口　昊太郎</t>
  </si>
  <si>
    <t xml:space="preserve">志学館高</t>
  </si>
  <si>
    <t xml:space="preserve">武者　篤樹</t>
  </si>
  <si>
    <t xml:space="preserve">新発田南高</t>
  </si>
  <si>
    <t xml:space="preserve">宮　 　大惺</t>
  </si>
  <si>
    <t xml:space="preserve">富田　和志</t>
  </si>
  <si>
    <t xml:space="preserve">宇和高</t>
  </si>
  <si>
    <t xml:space="preserve">内野　遥翔</t>
  </si>
  <si>
    <t xml:space="preserve">玉名高</t>
  </si>
  <si>
    <t xml:space="preserve">武田　巴瑠</t>
  </si>
  <si>
    <t xml:space="preserve">野村　一馬</t>
  </si>
  <si>
    <t xml:space="preserve">吉川　優斗</t>
  </si>
  <si>
    <t xml:space="preserve">牛久高</t>
  </si>
  <si>
    <t xml:space="preserve">山本　結仁</t>
  </si>
  <si>
    <t xml:space="preserve">松本　湊</t>
  </si>
  <si>
    <t xml:space="preserve">五島高</t>
  </si>
  <si>
    <t xml:space="preserve">後藤　陸斗</t>
  </si>
  <si>
    <t xml:space="preserve">麗沢瑞浪高</t>
  </si>
  <si>
    <t xml:space="preserve">一柳　航</t>
  </si>
  <si>
    <t xml:space="preserve">小牧高</t>
  </si>
  <si>
    <t xml:space="preserve">岸田　拓真</t>
  </si>
  <si>
    <t xml:space="preserve">本田　皐介</t>
  </si>
  <si>
    <t xml:space="preserve">柳田　悠吾</t>
  </si>
  <si>
    <t xml:space="preserve">高橋　海斗</t>
  </si>
  <si>
    <t xml:space="preserve">伊藤　尊</t>
  </si>
  <si>
    <t xml:space="preserve">北海道栄高</t>
  </si>
  <si>
    <t xml:space="preserve">水戸　海志</t>
  </si>
  <si>
    <t xml:space="preserve">北広島高</t>
  </si>
  <si>
    <t xml:space="preserve">兼松　翔大</t>
  </si>
  <si>
    <t xml:space="preserve">向井　駿</t>
  </si>
  <si>
    <t xml:space="preserve">長坂　潤</t>
  </si>
  <si>
    <t xml:space="preserve">鴫原　蒼祐</t>
  </si>
  <si>
    <t xml:space="preserve">藤本　庵史</t>
  </si>
  <si>
    <t xml:space="preserve">酒巻　隼人</t>
  </si>
  <si>
    <t xml:space="preserve">野下　慶太</t>
  </si>
  <si>
    <t xml:space="preserve">平野　颯太郎</t>
  </si>
  <si>
    <t xml:space="preserve">阿部　雅也</t>
  </si>
  <si>
    <t xml:space="preserve">嵯峨山　広太</t>
  </si>
  <si>
    <t xml:space="preserve">春日丘高</t>
  </si>
  <si>
    <t xml:space="preserve">吉田　隼也</t>
  </si>
  <si>
    <t xml:space="preserve">鯖江高</t>
  </si>
  <si>
    <t xml:space="preserve">水沢　駿一郎</t>
  </si>
  <si>
    <t xml:space="preserve">三浦　颯斗</t>
  </si>
  <si>
    <t xml:space="preserve">尽誠学園高</t>
  </si>
  <si>
    <t xml:space="preserve">二見　樹</t>
  </si>
  <si>
    <t xml:space="preserve">富田　秀太</t>
  </si>
  <si>
    <t xml:space="preserve">三嶋　奏汰</t>
  </si>
  <si>
    <t xml:space="preserve">門川高</t>
  </si>
  <si>
    <t xml:space="preserve">相浦　友哉</t>
  </si>
  <si>
    <t xml:space="preserve">新井　煌世</t>
  </si>
  <si>
    <t xml:space="preserve">田渕　秀真</t>
  </si>
  <si>
    <t xml:space="preserve">山下　智也</t>
  </si>
  <si>
    <t xml:space="preserve">福田　悠介</t>
  </si>
  <si>
    <t xml:space="preserve">都城工高</t>
  </si>
  <si>
    <t xml:space="preserve">天野　綺人</t>
  </si>
  <si>
    <t xml:space="preserve">山形中央高</t>
  </si>
  <si>
    <t xml:space="preserve">菅原　伶王</t>
  </si>
  <si>
    <t xml:space="preserve">小橋川　祐晟</t>
  </si>
  <si>
    <t xml:space="preserve">エナジック</t>
  </si>
  <si>
    <t xml:space="preserve">大釜　奏介</t>
  </si>
  <si>
    <t xml:space="preserve">追手門学院高</t>
  </si>
  <si>
    <t xml:space="preserve">水師　蒼太郎</t>
  </si>
  <si>
    <t xml:space="preserve">松江高</t>
  </si>
  <si>
    <t xml:space="preserve">校名表記：松江高専／松江高</t>
  </si>
  <si>
    <t xml:space="preserve">駒野　恵之</t>
  </si>
  <si>
    <t xml:space="preserve">上田　悠翔</t>
  </si>
  <si>
    <t xml:space="preserve">小野高</t>
  </si>
  <si>
    <t xml:space="preserve">盛本　滝</t>
  </si>
  <si>
    <t xml:space="preserve">鈴木　龍河</t>
  </si>
  <si>
    <t xml:space="preserve">北原　汰一</t>
  </si>
  <si>
    <t xml:space="preserve">富沢　奏太</t>
  </si>
  <si>
    <t xml:space="preserve">十日町高</t>
  </si>
  <si>
    <t xml:space="preserve">安藤陽太郎</t>
  </si>
  <si>
    <t xml:space="preserve">三浦　知都</t>
  </si>
  <si>
    <t xml:space="preserve">篠田　恵太</t>
  </si>
  <si>
    <t xml:space="preserve">北見北斗高</t>
  </si>
  <si>
    <t xml:space="preserve">小林　咲斗</t>
  </si>
  <si>
    <t xml:space="preserve">下田　悠太</t>
  </si>
  <si>
    <t xml:space="preserve">池亀　陽斗</t>
  </si>
  <si>
    <t xml:space="preserve">淑徳巣鴨高</t>
  </si>
  <si>
    <t xml:space="preserve">島田　新太</t>
  </si>
  <si>
    <t xml:space="preserve">並木　優和</t>
  </si>
  <si>
    <t xml:space="preserve">昌平高</t>
  </si>
  <si>
    <t xml:space="preserve">後藤　連</t>
  </si>
  <si>
    <t xml:space="preserve">角田　頼武</t>
  </si>
  <si>
    <t xml:space="preserve">西武学園文理高</t>
  </si>
  <si>
    <t xml:space="preserve">成沢　尚希</t>
  </si>
  <si>
    <t xml:space="preserve">松代高</t>
  </si>
  <si>
    <t xml:space="preserve">佐藤　瑠維</t>
  </si>
  <si>
    <t xml:space="preserve">利府高</t>
  </si>
  <si>
    <t xml:space="preserve">妹尾　太希</t>
  </si>
  <si>
    <t xml:space="preserve">エゼ　勇</t>
  </si>
  <si>
    <t xml:space="preserve">田中　智葵</t>
  </si>
  <si>
    <t xml:space="preserve">西北苦楽園高</t>
  </si>
  <si>
    <t xml:space="preserve">斎田　真也</t>
  </si>
  <si>
    <t xml:space="preserve">村上　慎一</t>
  </si>
  <si>
    <t xml:space="preserve">古谷　太一</t>
  </si>
  <si>
    <t xml:space="preserve">小林　丹</t>
  </si>
  <si>
    <t xml:space="preserve">樋口　翔優</t>
  </si>
  <si>
    <t xml:space="preserve">三池工高</t>
  </si>
  <si>
    <t xml:space="preserve">柳沢　佑斗</t>
  </si>
  <si>
    <t xml:space="preserve">川辺　孝志郎</t>
  </si>
  <si>
    <t xml:space="preserve">田宮　広翔</t>
  </si>
  <si>
    <t xml:space="preserve">進藤　晴仁</t>
  </si>
  <si>
    <t xml:space="preserve">重成　篤希</t>
  </si>
  <si>
    <t xml:space="preserve">堀木　朝日</t>
  </si>
  <si>
    <t xml:space="preserve">前沢　奏良</t>
  </si>
  <si>
    <t xml:space="preserve">同名の別選手あり（東海大山形高）</t>
  </si>
  <si>
    <t xml:space="preserve">大村　陽斗</t>
  </si>
  <si>
    <t xml:space="preserve">前川　天輔</t>
  </si>
  <si>
    <t xml:space="preserve">神戸市科技高</t>
  </si>
  <si>
    <t xml:space="preserve">高橋　優輝</t>
  </si>
  <si>
    <t xml:space="preserve">山口　隼</t>
  </si>
  <si>
    <t xml:space="preserve">松商学園高</t>
  </si>
  <si>
    <t xml:space="preserve">佐藤　駿成</t>
  </si>
  <si>
    <t xml:space="preserve">波間　優弥</t>
  </si>
  <si>
    <t xml:space="preserve">新発田中央高</t>
  </si>
  <si>
    <t xml:space="preserve">杉山　聖弥</t>
  </si>
  <si>
    <t xml:space="preserve">白樺学園高</t>
  </si>
  <si>
    <t xml:space="preserve">海老原　滉斗</t>
  </si>
  <si>
    <t xml:space="preserve">中熊　輝翔</t>
  </si>
  <si>
    <t xml:space="preserve">伊藤　翔貴</t>
  </si>
  <si>
    <t xml:space="preserve">福家　佑樹</t>
  </si>
  <si>
    <t xml:space="preserve">堀出　謡</t>
  </si>
  <si>
    <t xml:space="preserve">菅野　暖</t>
  </si>
  <si>
    <t xml:space="preserve">宮園　就也</t>
  </si>
  <si>
    <t xml:space="preserve">加治木高</t>
  </si>
  <si>
    <t xml:space="preserve">田中　櫂吏</t>
  </si>
  <si>
    <t xml:space="preserve">田中　煌晟</t>
  </si>
  <si>
    <t xml:space="preserve">時本　悠生</t>
  </si>
  <si>
    <t xml:space="preserve">宝塚高</t>
  </si>
  <si>
    <t xml:space="preserve">佐藤　史規</t>
  </si>
  <si>
    <t xml:space="preserve">深谷　春綺</t>
  </si>
  <si>
    <t xml:space="preserve">太田一高</t>
  </si>
  <si>
    <t xml:space="preserve">浜口　一楓</t>
  </si>
  <si>
    <t xml:space="preserve">重面　怜音</t>
  </si>
  <si>
    <t xml:space="preserve">小林　一奈</t>
  </si>
  <si>
    <t xml:space="preserve">菅野　一陽</t>
  </si>
  <si>
    <t xml:space="preserve">坂爪　樹</t>
  </si>
  <si>
    <t xml:space="preserve">越谷北高</t>
  </si>
  <si>
    <t xml:space="preserve">平沢　哉大</t>
  </si>
  <si>
    <t xml:space="preserve">牧川　和真</t>
  </si>
  <si>
    <t xml:space="preserve">八代東高</t>
  </si>
  <si>
    <t xml:space="preserve">小泉　陽樹</t>
  </si>
  <si>
    <t xml:space="preserve">石田　拓也</t>
  </si>
  <si>
    <t xml:space="preserve">水戸商高</t>
  </si>
  <si>
    <t xml:space="preserve">斎藤　皐成</t>
  </si>
  <si>
    <t xml:space="preserve">鳴門高</t>
  </si>
  <si>
    <t xml:space="preserve">横田　篤志</t>
  </si>
  <si>
    <t xml:space="preserve">高島　悠成</t>
  </si>
  <si>
    <t xml:space="preserve">鹿児島商高</t>
  </si>
  <si>
    <t xml:space="preserve">小森　奏介</t>
  </si>
  <si>
    <t xml:space="preserve">高岡商高</t>
  </si>
  <si>
    <t xml:space="preserve">比嘉　大輔</t>
  </si>
  <si>
    <t xml:space="preserve">吉園　清広</t>
  </si>
  <si>
    <t xml:space="preserve">平尾　輝久斗</t>
  </si>
  <si>
    <t xml:space="preserve">佐藤　真斗</t>
  </si>
  <si>
    <t xml:space="preserve">鶴崎工高</t>
  </si>
  <si>
    <t xml:space="preserve">武藤　風太</t>
  </si>
  <si>
    <t xml:space="preserve">箕浦　新太</t>
  </si>
  <si>
    <t xml:space="preserve">城北高</t>
  </si>
  <si>
    <t xml:space="preserve">片畑　阿弥</t>
  </si>
  <si>
    <t xml:space="preserve">尾上　倫太郎</t>
  </si>
  <si>
    <t xml:space="preserve">沖野　佑太</t>
  </si>
  <si>
    <t xml:space="preserve">金井　孝太朗</t>
  </si>
  <si>
    <t xml:space="preserve">高崎高</t>
  </si>
  <si>
    <t xml:space="preserve">久田　祐也</t>
  </si>
  <si>
    <t xml:space="preserve">高橋　空也</t>
  </si>
  <si>
    <t xml:space="preserve">徳田　楓士</t>
  </si>
  <si>
    <t xml:space="preserve">和田　遼大</t>
  </si>
  <si>
    <t xml:space="preserve">鹿角高</t>
  </si>
  <si>
    <t xml:space="preserve">涌嶋　洋輝</t>
  </si>
  <si>
    <t xml:space="preserve">竹田　雅矢</t>
  </si>
  <si>
    <t xml:space="preserve">上原　響</t>
  </si>
  <si>
    <t xml:space="preserve">富田　暖</t>
  </si>
  <si>
    <t xml:space="preserve">鹿島学園高</t>
  </si>
  <si>
    <t xml:space="preserve">小柳　和寛</t>
  </si>
  <si>
    <t xml:space="preserve">関西大倉高</t>
  </si>
  <si>
    <t xml:space="preserve">平本　悠翔</t>
  </si>
  <si>
    <t xml:space="preserve">宮川　恵伍</t>
  </si>
  <si>
    <t xml:space="preserve">片平　佳希</t>
  </si>
  <si>
    <t xml:space="preserve">近藤　勝</t>
  </si>
  <si>
    <t xml:space="preserve">工藤　翔太</t>
  </si>
  <si>
    <t xml:space="preserve">斎藤　鳳珠</t>
  </si>
  <si>
    <t xml:space="preserve">斎藤　陽</t>
  </si>
  <si>
    <t xml:space="preserve">中村　優月</t>
  </si>
  <si>
    <t xml:space="preserve">広島市立舟入高</t>
  </si>
  <si>
    <t xml:space="preserve">上条　悠太</t>
  </si>
  <si>
    <t xml:space="preserve">津々木　俊翔</t>
  </si>
  <si>
    <t xml:space="preserve">弥城　優太</t>
  </si>
  <si>
    <t xml:space="preserve">姫路工高</t>
  </si>
  <si>
    <t xml:space="preserve">岩木　美雄</t>
  </si>
  <si>
    <t xml:space="preserve">田中　心</t>
  </si>
  <si>
    <t xml:space="preserve">小林　煌来</t>
  </si>
  <si>
    <t xml:space="preserve">大宮東高</t>
  </si>
  <si>
    <t xml:space="preserve">本田　勇富</t>
  </si>
  <si>
    <t xml:space="preserve">渡辺　圭汰</t>
  </si>
  <si>
    <t xml:space="preserve">横浜高</t>
  </si>
  <si>
    <t xml:space="preserve">佐藤　環</t>
  </si>
  <si>
    <t xml:space="preserve">清水　誠多朗</t>
  </si>
  <si>
    <t xml:space="preserve">大谷高</t>
  </si>
  <si>
    <t xml:space="preserve">？？光寺　奏</t>
  </si>
  <si>
    <t xml:space="preserve">加藤　陸斗</t>
  </si>
  <si>
    <t xml:space="preserve">仙台大附明成高</t>
  </si>
  <si>
    <t xml:space="preserve">辻　 　瑛人</t>
  </si>
  <si>
    <t xml:space="preserve">東海　壮祐</t>
  </si>
  <si>
    <t xml:space="preserve">弘前南高</t>
  </si>
  <si>
    <t xml:space="preserve">柏木　紡</t>
  </si>
  <si>
    <t xml:space="preserve">津島東</t>
  </si>
  <si>
    <t xml:space="preserve">斎藤　隼</t>
  </si>
  <si>
    <t xml:space="preserve">井上　海人</t>
  </si>
  <si>
    <t xml:space="preserve">聖光高</t>
  </si>
  <si>
    <t xml:space="preserve">高田　秀優</t>
  </si>
  <si>
    <t xml:space="preserve">岩崎　大芽</t>
  </si>
  <si>
    <t xml:space="preserve">鴨沂高</t>
  </si>
  <si>
    <t xml:space="preserve">北野谷　光騎</t>
  </si>
  <si>
    <t xml:space="preserve">佐藤　優志</t>
  </si>
  <si>
    <t xml:space="preserve">長原　朋希</t>
  </si>
  <si>
    <t xml:space="preserve">武野谷　陸斗</t>
  </si>
  <si>
    <t xml:space="preserve">狭山ケ丘高</t>
  </si>
  <si>
    <t xml:space="preserve">後藤　匠登</t>
  </si>
  <si>
    <t xml:space="preserve">山口　翔馬</t>
  </si>
  <si>
    <t xml:space="preserve">山下　実臣</t>
  </si>
  <si>
    <t xml:space="preserve">津島東高</t>
  </si>
  <si>
    <t xml:space="preserve">中屋　拓望</t>
  </si>
  <si>
    <t xml:space="preserve">富山東高</t>
  </si>
  <si>
    <t xml:space="preserve">橋本　竜樹</t>
  </si>
  <si>
    <t xml:space="preserve">松本　青龍</t>
  </si>
  <si>
    <t xml:space="preserve">日向高</t>
  </si>
  <si>
    <t xml:space="preserve">中村　蓮鳳</t>
  </si>
  <si>
    <t xml:space="preserve">英明高</t>
  </si>
  <si>
    <t xml:space="preserve">鈴木　祐磨</t>
  </si>
  <si>
    <t xml:space="preserve">日大山形高</t>
  </si>
  <si>
    <t xml:space="preserve">玉井　誠也</t>
  </si>
  <si>
    <t xml:space="preserve">風祭　大和</t>
  </si>
  <si>
    <t xml:space="preserve">茂木　琉一叶</t>
  </si>
  <si>
    <t xml:space="preserve">桐生工高</t>
  </si>
  <si>
    <t xml:space="preserve">新藤　響</t>
  </si>
  <si>
    <t xml:space="preserve">佐藤　銀河</t>
  </si>
  <si>
    <t xml:space="preserve">九里学園高</t>
  </si>
  <si>
    <t xml:space="preserve">大場　俊輔</t>
  </si>
  <si>
    <t xml:space="preserve">大河内　健太郎</t>
  </si>
  <si>
    <t xml:space="preserve">蒔田　晃己</t>
  </si>
  <si>
    <t xml:space="preserve">八戸西高</t>
  </si>
  <si>
    <t xml:space="preserve">山本　岳</t>
  </si>
  <si>
    <t xml:space="preserve">横浜南高</t>
  </si>
  <si>
    <t xml:space="preserve">中沢　叶翔</t>
  </si>
  <si>
    <t xml:space="preserve">袖　 　瑞希</t>
  </si>
  <si>
    <t xml:space="preserve">三輪　航大</t>
  </si>
  <si>
    <t xml:space="preserve">大津緑洋高</t>
  </si>
  <si>
    <t xml:space="preserve">大和田　剛基</t>
  </si>
  <si>
    <t xml:space="preserve">いわき秀英高</t>
  </si>
  <si>
    <t xml:space="preserve">清光　理央</t>
  </si>
  <si>
    <t xml:space="preserve">浅井　遥陽</t>
  </si>
  <si>
    <t xml:space="preserve">竹田　大翔</t>
  </si>
  <si>
    <t xml:space="preserve">鈴木　遼真</t>
  </si>
  <si>
    <t xml:space="preserve">大塚　亮仁</t>
  </si>
  <si>
    <t xml:space="preserve">酒井　大空</t>
  </si>
  <si>
    <t xml:space="preserve">水篠　春樹</t>
  </si>
  <si>
    <t xml:space="preserve">八尾高</t>
  </si>
  <si>
    <t xml:space="preserve">丸山　皓大</t>
  </si>
  <si>
    <t xml:space="preserve">多胡　圭祐</t>
  </si>
  <si>
    <t xml:space="preserve">金子　怜矢</t>
  </si>
  <si>
    <t xml:space="preserve">不動岡高</t>
  </si>
  <si>
    <t xml:space="preserve">星野　葵</t>
  </si>
  <si>
    <t xml:space="preserve">田中　陽太</t>
  </si>
  <si>
    <t xml:space="preserve">吾妻中央高</t>
  </si>
  <si>
    <t xml:space="preserve">田中　駿成</t>
  </si>
  <si>
    <t xml:space="preserve">今田　旺輝</t>
  </si>
  <si>
    <t xml:space="preserve">前田　泰我</t>
  </si>
  <si>
    <t xml:space="preserve">南川　雄界</t>
  </si>
  <si>
    <t xml:space="preserve">太田　至</t>
  </si>
  <si>
    <t xml:space="preserve">川南　星流</t>
  </si>
  <si>
    <t xml:space="preserve">田嶋礼貴歩</t>
  </si>
  <si>
    <t xml:space="preserve">山下未来叶</t>
  </si>
  <si>
    <t xml:space="preserve">兵庫高</t>
  </si>
  <si>
    <t xml:space="preserve">仲尾　勇翔</t>
  </si>
  <si>
    <t xml:space="preserve">大宮南高</t>
  </si>
  <si>
    <t xml:space="preserve">有本　陸</t>
  </si>
  <si>
    <t xml:space="preserve">秋広　逞久真</t>
  </si>
  <si>
    <t xml:space="preserve">樟南高</t>
  </si>
  <si>
    <t xml:space="preserve">九平　来鷲</t>
  </si>
  <si>
    <t xml:space="preserve">石黒　和楽</t>
  </si>
  <si>
    <t xml:space="preserve">広島叡智学園高</t>
  </si>
  <si>
    <t xml:space="preserve">田中　悠晴</t>
  </si>
  <si>
    <t xml:space="preserve">高山西高</t>
  </si>
  <si>
    <t xml:space="preserve">相沢　嶺馬</t>
  </si>
  <si>
    <t xml:space="preserve">沢田　駈琉</t>
  </si>
  <si>
    <t xml:space="preserve">常葉大附菊川高</t>
  </si>
  <si>
    <t xml:space="preserve">高橋　俊輔</t>
  </si>
  <si>
    <t xml:space="preserve">水野　悠一朗</t>
  </si>
  <si>
    <t xml:space="preserve">東海南高</t>
  </si>
  <si>
    <t xml:space="preserve">竹本　珠吏</t>
  </si>
  <si>
    <t xml:space="preserve">古川　恵唯</t>
  </si>
  <si>
    <t xml:space="preserve">岡田　篤弥</t>
  </si>
  <si>
    <t xml:space="preserve">佐藤　駿宇</t>
  </si>
  <si>
    <t xml:space="preserve">新庄東高</t>
  </si>
  <si>
    <t xml:space="preserve">小宮　好陽</t>
  </si>
  <si>
    <t xml:space="preserve">白木　海音</t>
  </si>
  <si>
    <t xml:space="preserve">高木　煌士</t>
  </si>
  <si>
    <t xml:space="preserve">市西京高</t>
  </si>
  <si>
    <t xml:space="preserve">加藤　陸人</t>
  </si>
  <si>
    <t xml:space="preserve">岡田　逞斗</t>
  </si>
  <si>
    <t xml:space="preserve">一宮南高</t>
  </si>
  <si>
    <t xml:space="preserve">布野　央士</t>
  </si>
  <si>
    <t xml:space="preserve">藤枝　京太郎</t>
  </si>
  <si>
    <t xml:space="preserve">緑岡高</t>
  </si>
  <si>
    <t xml:space="preserve">小山田　航大</t>
  </si>
  <si>
    <t xml:space="preserve">盛岡四高</t>
  </si>
  <si>
    <t xml:space="preserve">喜多　勇希</t>
  </si>
  <si>
    <t xml:space="preserve">神永直太朗</t>
  </si>
  <si>
    <t xml:space="preserve">松川　龍世</t>
  </si>
  <si>
    <t xml:space="preserve">姉川　雷雅</t>
  </si>
  <si>
    <t xml:space="preserve">本多　皇春</t>
  </si>
  <si>
    <t xml:space="preserve">福崎　エスネイデル</t>
  </si>
  <si>
    <t xml:space="preserve">播磨南高</t>
  </si>
  <si>
    <t xml:space="preserve">西田　壮志</t>
  </si>
  <si>
    <t xml:space="preserve">早大本庄高</t>
  </si>
  <si>
    <t xml:space="preserve">遠藤　一継</t>
  </si>
  <si>
    <t xml:space="preserve">東川高</t>
  </si>
  <si>
    <t xml:space="preserve">増田　敬大</t>
  </si>
  <si>
    <t xml:space="preserve">文徳高</t>
  </si>
  <si>
    <t xml:space="preserve">松本　快風</t>
  </si>
  <si>
    <t xml:space="preserve">井口　敬太</t>
  </si>
  <si>
    <t xml:space="preserve">県尼崎高</t>
  </si>
  <si>
    <t xml:space="preserve">校名表記：県尼崎高／尼崎高</t>
  </si>
  <si>
    <t xml:space="preserve">山本　碧</t>
  </si>
  <si>
    <t xml:space="preserve">伊藤　春弥</t>
  </si>
  <si>
    <t xml:space="preserve">小塚　優喜</t>
  </si>
  <si>
    <t xml:space="preserve">金沢学大附高</t>
  </si>
  <si>
    <t xml:space="preserve">篠藤　涼太</t>
  </si>
  <si>
    <t xml:space="preserve">神港学園高</t>
  </si>
  <si>
    <t xml:space="preserve">小島　典粋</t>
  </si>
  <si>
    <t xml:space="preserve">天野　晃汰</t>
  </si>
  <si>
    <t xml:space="preserve">流通経大附柏高</t>
  </si>
  <si>
    <t xml:space="preserve">松下　恵丞</t>
  </si>
  <si>
    <t xml:space="preserve">岸野　ハルト</t>
  </si>
  <si>
    <t xml:space="preserve">小峰　太樹</t>
  </si>
  <si>
    <t xml:space="preserve">端　 　和洋</t>
  </si>
  <si>
    <t xml:space="preserve">宮内　健輔</t>
  </si>
  <si>
    <t xml:space="preserve">三好市陸協</t>
  </si>
  <si>
    <t xml:space="preserve">謝　 　瑾軒</t>
  </si>
  <si>
    <t xml:space="preserve">日体大柏高</t>
  </si>
  <si>
    <t xml:space="preserve">山本　穂高</t>
  </si>
  <si>
    <t xml:space="preserve">坂梨　天飛</t>
  </si>
  <si>
    <t xml:space="preserve">草野　海成</t>
  </si>
  <si>
    <t xml:space="preserve">福島高</t>
  </si>
  <si>
    <t xml:space="preserve">東　 　朝日</t>
  </si>
  <si>
    <t xml:space="preserve">加茂　大</t>
  </si>
  <si>
    <t xml:space="preserve">浜松湖北高</t>
  </si>
  <si>
    <t xml:space="preserve">森山　楽</t>
  </si>
  <si>
    <t xml:space="preserve">東海ＡＣ</t>
  </si>
  <si>
    <t xml:space="preserve">川下　日翔</t>
  </si>
  <si>
    <t xml:space="preserve">長田　晏空</t>
  </si>
  <si>
    <t xml:space="preserve">日立一高</t>
  </si>
  <si>
    <t xml:space="preserve">岸　 　優直</t>
  </si>
  <si>
    <t xml:space="preserve">愛知黎明高</t>
  </si>
  <si>
    <t xml:space="preserve">長谷川　晧平</t>
  </si>
  <si>
    <t xml:space="preserve">宮崎　寛大</t>
  </si>
  <si>
    <t xml:space="preserve">池田　壮吾</t>
  </si>
  <si>
    <t xml:space="preserve">紙谷　涼成</t>
  </si>
  <si>
    <t xml:space="preserve">金沢学院大附属高</t>
  </si>
  <si>
    <t xml:space="preserve">福島　翔大</t>
  </si>
  <si>
    <t xml:space="preserve">又吉　俊太</t>
  </si>
  <si>
    <t xml:space="preserve">エナジック高</t>
  </si>
  <si>
    <t xml:space="preserve">石川　颯人</t>
  </si>
  <si>
    <t xml:space="preserve">竹下　正竜</t>
  </si>
  <si>
    <t xml:space="preserve">緒方　紀人</t>
  </si>
  <si>
    <t xml:space="preserve">新田高</t>
  </si>
  <si>
    <t xml:space="preserve">ユ　 　ソンジェ</t>
  </si>
  <si>
    <t xml:space="preserve">竹本　恵太</t>
  </si>
  <si>
    <t xml:space="preserve">鳳高</t>
  </si>
  <si>
    <t xml:space="preserve">北条　裕貴</t>
  </si>
  <si>
    <t xml:space="preserve">静岡陸協</t>
  </si>
  <si>
    <t xml:space="preserve">原田　悠慎</t>
  </si>
  <si>
    <t xml:space="preserve">丹　 　幸生</t>
  </si>
  <si>
    <t xml:space="preserve">加藤　慶弥</t>
  </si>
  <si>
    <t xml:space="preserve">新居浜東高</t>
  </si>
  <si>
    <t xml:space="preserve">清家　大和</t>
  </si>
  <si>
    <t xml:space="preserve">草野　愛斗</t>
  </si>
  <si>
    <t xml:space="preserve">古谷　潤</t>
  </si>
  <si>
    <t xml:space="preserve">村上　翔太</t>
  </si>
  <si>
    <t xml:space="preserve">市前橋高</t>
  </si>
  <si>
    <t xml:space="preserve">山本　唯翔</t>
  </si>
  <si>
    <t xml:space="preserve">松山商高</t>
  </si>
  <si>
    <t xml:space="preserve">佐藤　陽星</t>
  </si>
  <si>
    <t xml:space="preserve">大曲工高</t>
  </si>
  <si>
    <t xml:space="preserve">岩瀬　光城</t>
  </si>
  <si>
    <t xml:space="preserve">田名部高</t>
  </si>
  <si>
    <t xml:space="preserve">深谷　弦汰</t>
  </si>
  <si>
    <t xml:space="preserve">佐賀工高</t>
  </si>
  <si>
    <t xml:space="preserve">脇田　優希</t>
  </si>
  <si>
    <t xml:space="preserve">寝屋川高</t>
  </si>
  <si>
    <t xml:space="preserve">田代　倖大</t>
  </si>
  <si>
    <t xml:space="preserve">白川　智也</t>
  </si>
  <si>
    <t xml:space="preserve">小村　匠</t>
  </si>
  <si>
    <t xml:space="preserve">奥村　斗愛</t>
  </si>
  <si>
    <t xml:space="preserve">東田　大亜</t>
  </si>
  <si>
    <t xml:space="preserve">城戸　晴仁</t>
  </si>
  <si>
    <t xml:space="preserve">内藤　健太郎</t>
  </si>
  <si>
    <t xml:space="preserve">朝戸　尊人</t>
  </si>
  <si>
    <t xml:space="preserve">出水中央高</t>
  </si>
  <si>
    <t xml:space="preserve">細貝　恒平</t>
  </si>
  <si>
    <t xml:space="preserve">逗子開成高</t>
  </si>
  <si>
    <t xml:space="preserve">松林　歩杜</t>
  </si>
  <si>
    <t xml:space="preserve">得丸　涼雅</t>
  </si>
  <si>
    <t xml:space="preserve">柳ケ浦高</t>
  </si>
  <si>
    <t xml:space="preserve">小平　潤</t>
  </si>
  <si>
    <t xml:space="preserve">平本　大河</t>
  </si>
  <si>
    <t xml:space="preserve">伊藤　槍太</t>
  </si>
  <si>
    <t xml:space="preserve">武生高</t>
  </si>
  <si>
    <t xml:space="preserve">藤坂　龍仁</t>
  </si>
  <si>
    <t xml:space="preserve">田中　智稀</t>
  </si>
  <si>
    <t xml:space="preserve">日当　瀬名</t>
  </si>
  <si>
    <t xml:space="preserve">武井　惇歩</t>
  </si>
  <si>
    <t xml:space="preserve">川越高</t>
  </si>
  <si>
    <t xml:space="preserve">佐藤　舷</t>
  </si>
  <si>
    <t xml:space="preserve">沢里　龍玖</t>
  </si>
  <si>
    <t xml:space="preserve">久慈高</t>
  </si>
  <si>
    <t xml:space="preserve">山下　陽南太</t>
  </si>
  <si>
    <t xml:space="preserve">原　 　佑樹</t>
  </si>
  <si>
    <t xml:space="preserve">三浦　翔空</t>
  </si>
  <si>
    <t xml:space="preserve">七五三　充綺</t>
  </si>
  <si>
    <t xml:space="preserve">内舘　大翔</t>
  </si>
  <si>
    <t xml:space="preserve">三上　風汰</t>
  </si>
  <si>
    <t xml:space="preserve">土浦二高</t>
  </si>
  <si>
    <t xml:space="preserve">前田　俊祐</t>
  </si>
  <si>
    <t xml:space="preserve">数野　優人</t>
  </si>
  <si>
    <t xml:space="preserve">吉田　竣貴</t>
  </si>
  <si>
    <t xml:space="preserve">松本　蒼生</t>
  </si>
  <si>
    <t xml:space="preserve">古里　理恭</t>
  </si>
  <si>
    <t xml:space="preserve">島田高</t>
  </si>
  <si>
    <t xml:space="preserve">広瀬　椋也</t>
  </si>
  <si>
    <t xml:space="preserve">四日市工高</t>
  </si>
  <si>
    <t xml:space="preserve">田村　夷久磨</t>
  </si>
  <si>
    <t xml:space="preserve">石川　琉斐</t>
  </si>
  <si>
    <t xml:space="preserve">中村　栄斗</t>
  </si>
  <si>
    <t xml:space="preserve">浜松西高</t>
  </si>
  <si>
    <t xml:space="preserve">川森　獅月</t>
  </si>
  <si>
    <t xml:space="preserve">保坂　充樹</t>
  </si>
  <si>
    <t xml:space="preserve">吉岡　陸翔</t>
  </si>
  <si>
    <t xml:space="preserve">原　 　大河</t>
  </si>
  <si>
    <t xml:space="preserve">柴田　優貴</t>
  </si>
  <si>
    <t xml:space="preserve">清教学園高</t>
  </si>
  <si>
    <t xml:space="preserve">松土　翔</t>
  </si>
  <si>
    <t xml:space="preserve">北杜高</t>
  </si>
  <si>
    <t xml:space="preserve">岡村　奏汰</t>
  </si>
  <si>
    <t xml:space="preserve">米原　羽壱琉</t>
  </si>
  <si>
    <t xml:space="preserve">瀬古　一心</t>
  </si>
  <si>
    <t xml:space="preserve">金原　雅宗</t>
  </si>
  <si>
    <t xml:space="preserve">与那嶺太地</t>
  </si>
  <si>
    <t xml:space="preserve">須賀　大晟</t>
  </si>
  <si>
    <t xml:space="preserve">松田　瑛太</t>
  </si>
  <si>
    <t xml:space="preserve">亀井　瑛人</t>
  </si>
  <si>
    <t xml:space="preserve">丸野内　大悟</t>
  </si>
  <si>
    <t xml:space="preserve">富永　琥聖</t>
  </si>
  <si>
    <t xml:space="preserve">川内商工高</t>
  </si>
  <si>
    <t xml:space="preserve">曽田　怜輝</t>
  </si>
  <si>
    <t xml:space="preserve">札幌日大高</t>
  </si>
  <si>
    <t xml:space="preserve">永益　広大</t>
  </si>
  <si>
    <t xml:space="preserve">白石高</t>
  </si>
  <si>
    <t xml:space="preserve">山中　唯颯</t>
  </si>
  <si>
    <t xml:space="preserve">間正　天</t>
  </si>
  <si>
    <t xml:space="preserve">本庄一高</t>
  </si>
  <si>
    <t xml:space="preserve">田口　瑛太</t>
  </si>
  <si>
    <t xml:space="preserve">鎌田　陽斗</t>
  </si>
  <si>
    <t xml:space="preserve">菅原　希一</t>
  </si>
  <si>
    <t xml:space="preserve">臼井　礼翔</t>
  </si>
  <si>
    <t xml:space="preserve">早川　南人</t>
  </si>
  <si>
    <t xml:space="preserve">宮谷　俊</t>
  </si>
  <si>
    <t xml:space="preserve">立花　冬虎</t>
  </si>
  <si>
    <t xml:space="preserve">吉田　一吹</t>
  </si>
  <si>
    <t xml:space="preserve">小林　慶信</t>
  </si>
  <si>
    <t xml:space="preserve">海星高</t>
  </si>
  <si>
    <t xml:space="preserve">岡田　陸</t>
  </si>
  <si>
    <t xml:space="preserve">黒木　太陽</t>
  </si>
  <si>
    <t xml:space="preserve">枚方高</t>
  </si>
  <si>
    <t xml:space="preserve">松尾　昴</t>
  </si>
  <si>
    <t xml:space="preserve">東播磨高</t>
  </si>
  <si>
    <t xml:space="preserve">坂本　結人</t>
  </si>
  <si>
    <t xml:space="preserve">長谷川　翔太</t>
  </si>
  <si>
    <t xml:space="preserve">与座鈴扶斗</t>
  </si>
  <si>
    <t xml:space="preserve">河西　隼叶</t>
  </si>
  <si>
    <t xml:space="preserve">上伊那農高</t>
  </si>
  <si>
    <t xml:space="preserve">小藤田爽真</t>
  </si>
  <si>
    <t xml:space="preserve">近松　暖人</t>
  </si>
  <si>
    <t xml:space="preserve">金子　晄</t>
  </si>
  <si>
    <t xml:space="preserve">前田　桔平</t>
  </si>
  <si>
    <t xml:space="preserve">阿南高</t>
  </si>
  <si>
    <t xml:space="preserve">校名表記：阿南高専／阿南高</t>
  </si>
  <si>
    <t xml:space="preserve">神谷　一希</t>
  </si>
  <si>
    <t xml:space="preserve">山下　月渚</t>
  </si>
  <si>
    <t xml:space="preserve">寺田　駿平</t>
  </si>
  <si>
    <t xml:space="preserve">田畑　泰司</t>
  </si>
  <si>
    <t xml:space="preserve">諏訪清陵高</t>
  </si>
  <si>
    <t xml:space="preserve">堀江　優翔</t>
  </si>
  <si>
    <t xml:space="preserve">村松　秀康</t>
  </si>
  <si>
    <t xml:space="preserve">中嶋　大善</t>
  </si>
  <si>
    <t xml:space="preserve">大久保　武</t>
  </si>
  <si>
    <t xml:space="preserve">和田　恵祐</t>
  </si>
  <si>
    <t xml:space="preserve">畠山　瑠仁</t>
  </si>
  <si>
    <t xml:space="preserve">高知商高</t>
  </si>
  <si>
    <t xml:space="preserve">上甲　侑羽里</t>
  </si>
  <si>
    <t xml:space="preserve">亀井　遼希</t>
  </si>
  <si>
    <t xml:space="preserve">三品　陸斗</t>
  </si>
  <si>
    <t xml:space="preserve">柴田高</t>
  </si>
  <si>
    <t xml:space="preserve">広田　雅史</t>
  </si>
  <si>
    <t xml:space="preserve">津島</t>
  </si>
  <si>
    <t xml:space="preserve">甲斐　偉知</t>
  </si>
  <si>
    <t xml:space="preserve">栗本　陽向</t>
  </si>
  <si>
    <t xml:space="preserve">玉腰　悠真</t>
  </si>
  <si>
    <t xml:space="preserve">都武蔵野北高</t>
  </si>
  <si>
    <t xml:space="preserve">北野　寛大</t>
  </si>
  <si>
    <t xml:space="preserve">今西　爽介</t>
  </si>
  <si>
    <t xml:space="preserve">野口　啓介</t>
  </si>
  <si>
    <t xml:space="preserve">安田　高良</t>
  </si>
  <si>
    <t xml:space="preserve">豊岡高</t>
  </si>
  <si>
    <t xml:space="preserve">鈴木　悠斗</t>
  </si>
  <si>
    <t xml:space="preserve">横須賀高</t>
  </si>
  <si>
    <t xml:space="preserve">村山　功揮</t>
  </si>
  <si>
    <t xml:space="preserve">松川　睦月</t>
  </si>
  <si>
    <t xml:space="preserve">郡山高</t>
  </si>
  <si>
    <t xml:space="preserve">中根　慧</t>
  </si>
  <si>
    <t xml:space="preserve">小林　嵩志</t>
  </si>
  <si>
    <t xml:space="preserve">会津学鳳高</t>
  </si>
  <si>
    <t xml:space="preserve">小野里　珀生</t>
  </si>
  <si>
    <t xml:space="preserve">大坪　蒼麻</t>
  </si>
  <si>
    <t xml:space="preserve">上郡高</t>
  </si>
  <si>
    <t xml:space="preserve">北島俊太郎</t>
  </si>
  <si>
    <t xml:space="preserve">斎藤　晴希</t>
  </si>
  <si>
    <t xml:space="preserve">城ノ内中等高</t>
  </si>
  <si>
    <t xml:space="preserve">武口　陸斗</t>
  </si>
  <si>
    <t xml:space="preserve">稲取高</t>
  </si>
  <si>
    <t xml:space="preserve">日比野　穰</t>
  </si>
  <si>
    <t xml:space="preserve">都桜修館中等高</t>
  </si>
  <si>
    <t xml:space="preserve">嶋津　涼介</t>
  </si>
  <si>
    <t xml:space="preserve">東海大附市原望洋高</t>
  </si>
  <si>
    <t xml:space="preserve">渡部　航晟</t>
  </si>
  <si>
    <t xml:space="preserve">松野　政嵩</t>
  </si>
  <si>
    <t xml:space="preserve">森　 　健剛</t>
  </si>
  <si>
    <t xml:space="preserve">市尼崎高</t>
  </si>
  <si>
    <t xml:space="preserve">前橋　快</t>
  </si>
  <si>
    <t xml:space="preserve">都福生高</t>
  </si>
  <si>
    <t xml:space="preserve">山本　歩</t>
  </si>
  <si>
    <t xml:space="preserve">野口　悠稀</t>
  </si>
  <si>
    <t xml:space="preserve">奥田　瑛太</t>
  </si>
  <si>
    <t xml:space="preserve">吉田　唯人</t>
  </si>
  <si>
    <t xml:space="preserve">境　 　皐我</t>
  </si>
  <si>
    <t xml:space="preserve">野添　智葵</t>
  </si>
  <si>
    <t xml:space="preserve">延永　大和</t>
  </si>
  <si>
    <t xml:space="preserve">青木　鴻棋</t>
  </si>
  <si>
    <t xml:space="preserve">犬塚　壮琉</t>
  </si>
  <si>
    <t xml:space="preserve">橋　 　海斗</t>
  </si>
  <si>
    <t xml:space="preserve">堤　 　煌</t>
  </si>
  <si>
    <t xml:space="preserve">北川　依吹</t>
  </si>
  <si>
    <t xml:space="preserve">大野　結士</t>
  </si>
  <si>
    <t xml:space="preserve">希望ケ丘高</t>
  </si>
  <si>
    <t xml:space="preserve">酒井　碧也</t>
  </si>
  <si>
    <t xml:space="preserve">長生高</t>
  </si>
  <si>
    <t xml:space="preserve">吉村　優翔</t>
  </si>
  <si>
    <t xml:space="preserve">山岡　央佳</t>
  </si>
  <si>
    <t xml:space="preserve">高田　大翔</t>
  </si>
  <si>
    <t xml:space="preserve">湯田　幸明</t>
  </si>
  <si>
    <t xml:space="preserve">信田　莞爾</t>
  </si>
  <si>
    <t xml:space="preserve">茶畑　空</t>
  </si>
  <si>
    <t xml:space="preserve">小松　幸平</t>
  </si>
  <si>
    <t xml:space="preserve">市西宮東高</t>
  </si>
  <si>
    <t xml:space="preserve">沢田　鷹玖</t>
  </si>
  <si>
    <t xml:space="preserve">星稜高</t>
  </si>
  <si>
    <t xml:space="preserve">福吉　輝</t>
  </si>
  <si>
    <t xml:space="preserve">小島　颯介</t>
  </si>
  <si>
    <t xml:space="preserve">鎌ケ谷高</t>
  </si>
  <si>
    <t xml:space="preserve">黒田　晴暉</t>
  </si>
  <si>
    <t xml:space="preserve">厚木高</t>
  </si>
  <si>
    <t xml:space="preserve">鈴木　蒼一朗</t>
  </si>
  <si>
    <t xml:space="preserve">中山　嘉人</t>
  </si>
  <si>
    <t xml:space="preserve">和泉高</t>
  </si>
  <si>
    <t xml:space="preserve">木村　裕世</t>
  </si>
  <si>
    <t xml:space="preserve">坂本　琉生</t>
  </si>
  <si>
    <t xml:space="preserve">中山　三四郎</t>
  </si>
  <si>
    <t xml:space="preserve">鹿本高</t>
  </si>
  <si>
    <t xml:space="preserve">藤原　衣吹</t>
  </si>
  <si>
    <t xml:space="preserve">渡辺　斗愛</t>
  </si>
  <si>
    <t xml:space="preserve">坂寄　都羽</t>
  </si>
  <si>
    <t xml:space="preserve">山斗　未徠</t>
  </si>
  <si>
    <t xml:space="preserve">大宮　玲士</t>
  </si>
  <si>
    <t xml:space="preserve">栗林　英士</t>
  </si>
  <si>
    <t xml:space="preserve">盛岡三高</t>
  </si>
  <si>
    <t xml:space="preserve">大沢　旅良</t>
  </si>
  <si>
    <t xml:space="preserve">長谷川　泰大</t>
  </si>
  <si>
    <t xml:space="preserve">瀬田工高</t>
  </si>
  <si>
    <t xml:space="preserve">小林　亮太</t>
  </si>
  <si>
    <t xml:space="preserve">藤森　翔希人</t>
  </si>
  <si>
    <t xml:space="preserve">摂津高</t>
  </si>
  <si>
    <t xml:space="preserve">永野　央樹</t>
  </si>
  <si>
    <t xml:space="preserve">船橋法典高</t>
  </si>
  <si>
    <t xml:space="preserve">平川　遼真</t>
  </si>
  <si>
    <t xml:space="preserve">瀬利　慶次郎</t>
  </si>
  <si>
    <t xml:space="preserve">国分高</t>
  </si>
  <si>
    <t xml:space="preserve">宮本　拳士</t>
  </si>
  <si>
    <t xml:space="preserve">パウデルセトリ　ウマンガ</t>
  </si>
  <si>
    <t xml:space="preserve">河田　怜真</t>
  </si>
  <si>
    <t xml:space="preserve">新潟高</t>
  </si>
  <si>
    <t xml:space="preserve">酢谷　椋太</t>
  </si>
  <si>
    <t xml:space="preserve">加藤　蒼礼</t>
  </si>
  <si>
    <t xml:space="preserve">大崎　次朗</t>
  </si>
  <si>
    <t xml:space="preserve">岩沢　春樹</t>
  </si>
  <si>
    <t xml:space="preserve">平野　裕介</t>
  </si>
  <si>
    <t xml:space="preserve">浦谷　康太郎</t>
  </si>
  <si>
    <t xml:space="preserve">中川青和高</t>
  </si>
  <si>
    <t xml:space="preserve">川崎　莉空</t>
  </si>
  <si>
    <t xml:space="preserve">杉本　涼雅</t>
  </si>
  <si>
    <t xml:space="preserve">与那嶺　希</t>
  </si>
  <si>
    <t xml:space="preserve">安達　蒼一郎</t>
  </si>
  <si>
    <t xml:space="preserve">池田　翼</t>
  </si>
  <si>
    <t xml:space="preserve">柏南高</t>
  </si>
  <si>
    <t xml:space="preserve">吉野　絢信</t>
  </si>
  <si>
    <t xml:space="preserve">飯田　葵斗</t>
  </si>
  <si>
    <t xml:space="preserve">池上　虎亜</t>
  </si>
  <si>
    <t xml:space="preserve">麻生高</t>
  </si>
  <si>
    <t xml:space="preserve">古賀　三大</t>
  </si>
  <si>
    <t xml:space="preserve">首藤　恵向</t>
  </si>
  <si>
    <t xml:space="preserve">大分西高</t>
  </si>
  <si>
    <t xml:space="preserve">加藤　颯真</t>
  </si>
  <si>
    <t xml:space="preserve">秋田南高</t>
  </si>
  <si>
    <t xml:space="preserve">阿部　敏人</t>
  </si>
  <si>
    <t xml:space="preserve">野崎　龍佑</t>
  </si>
  <si>
    <t xml:space="preserve">恩田　龍真</t>
  </si>
  <si>
    <t xml:space="preserve">旭野高</t>
  </si>
  <si>
    <t xml:space="preserve">佐伯　空叶</t>
  </si>
  <si>
    <t xml:space="preserve">下舌　亮樹</t>
  </si>
  <si>
    <t xml:space="preserve">専大北上高</t>
  </si>
  <si>
    <t xml:space="preserve">葛生　信進</t>
  </si>
  <si>
    <t xml:space="preserve">岬本　響也</t>
  </si>
  <si>
    <t xml:space="preserve">豊浦高</t>
  </si>
  <si>
    <t xml:space="preserve">斎藤　千晴</t>
  </si>
  <si>
    <t xml:space="preserve">関根学園高</t>
  </si>
  <si>
    <t xml:space="preserve">伊藤　大翔</t>
  </si>
  <si>
    <t xml:space="preserve">横手高</t>
  </si>
  <si>
    <t xml:space="preserve">山口　蓮斗</t>
  </si>
  <si>
    <t xml:space="preserve">石黒誠直</t>
  </si>
  <si>
    <t xml:space="preserve">座間高</t>
  </si>
  <si>
    <t xml:space="preserve">松本　弦人</t>
  </si>
  <si>
    <t xml:space="preserve">中山　広太郎</t>
  </si>
  <si>
    <t xml:space="preserve">多々良　亮那</t>
  </si>
  <si>
    <t xml:space="preserve">横山　智大</t>
  </si>
  <si>
    <t xml:space="preserve">尼崎稲園高</t>
  </si>
  <si>
    <t xml:space="preserve">山根　一希</t>
  </si>
  <si>
    <t xml:space="preserve">鳥取東高</t>
  </si>
  <si>
    <t xml:space="preserve">東出　海</t>
  </si>
  <si>
    <t xml:space="preserve">相模原弥栄高</t>
  </si>
  <si>
    <t xml:space="preserve">国分　駈</t>
  </si>
  <si>
    <t xml:space="preserve">甲斐　颯</t>
  </si>
  <si>
    <t xml:space="preserve">高沢　玲偉</t>
  </si>
  <si>
    <t xml:space="preserve">宇都宮北高</t>
  </si>
  <si>
    <t xml:space="preserve">宮崎　愛大</t>
  </si>
  <si>
    <t xml:space="preserve">福山　正鳴</t>
  </si>
  <si>
    <t xml:space="preserve">刀根山高</t>
  </si>
  <si>
    <t xml:space="preserve">小池　亮太</t>
  </si>
  <si>
    <t xml:space="preserve">鈴木　譲</t>
  </si>
  <si>
    <t xml:space="preserve">小森　友翔</t>
  </si>
  <si>
    <t xml:space="preserve">山本　慶介</t>
  </si>
  <si>
    <t xml:space="preserve">田畑　遥希</t>
  </si>
  <si>
    <t xml:space="preserve">横川　十樹</t>
  </si>
  <si>
    <t xml:space="preserve">土浦工高</t>
  </si>
  <si>
    <t xml:space="preserve">渡辺　朋希</t>
  </si>
  <si>
    <t xml:space="preserve">飯土井　皓汰</t>
  </si>
  <si>
    <t xml:space="preserve">旭高</t>
  </si>
  <si>
    <t xml:space="preserve">元家　純</t>
  </si>
  <si>
    <t xml:space="preserve">基町高</t>
  </si>
  <si>
    <t xml:space="preserve">住田　大翔</t>
  </si>
  <si>
    <t xml:space="preserve">横浜市立金沢高</t>
  </si>
  <si>
    <t xml:space="preserve">鈴木　李空</t>
  </si>
  <si>
    <t xml:space="preserve">慶応志木高</t>
  </si>
  <si>
    <t xml:space="preserve">江藤　太陽</t>
  </si>
  <si>
    <t xml:space="preserve">佐伯鶴城高</t>
  </si>
  <si>
    <t xml:space="preserve">名倉　凉真</t>
  </si>
  <si>
    <t xml:space="preserve">福田　圭一朗</t>
  </si>
  <si>
    <t xml:space="preserve">日大二高</t>
  </si>
  <si>
    <t xml:space="preserve">山崎　智哉</t>
  </si>
  <si>
    <t xml:space="preserve">東海大附静岡翔洋高</t>
  </si>
  <si>
    <t xml:space="preserve">森田　大智</t>
  </si>
  <si>
    <t xml:space="preserve">添上高</t>
  </si>
  <si>
    <t xml:space="preserve">上田　怜央</t>
  </si>
  <si>
    <t xml:space="preserve">開建高</t>
  </si>
  <si>
    <t xml:space="preserve">青木　暖士</t>
  </si>
  <si>
    <t xml:space="preserve">森谷　洵太</t>
  </si>
  <si>
    <t xml:space="preserve">梅月健太朗</t>
  </si>
  <si>
    <t xml:space="preserve">門司学園高</t>
  </si>
  <si>
    <t xml:space="preserve">東　 　翼作</t>
  </si>
  <si>
    <t xml:space="preserve">都松が谷高</t>
  </si>
  <si>
    <t xml:space="preserve">高橋　千景</t>
  </si>
  <si>
    <t xml:space="preserve">渡辺　彩人</t>
  </si>
  <si>
    <t xml:space="preserve">富士学苑高</t>
  </si>
  <si>
    <t xml:space="preserve">伊東　和之</t>
  </si>
  <si>
    <t xml:space="preserve">城北学園城北高</t>
  </si>
  <si>
    <t xml:space="preserve">沢口　煌己</t>
  </si>
  <si>
    <t xml:space="preserve">佐々木　道隆</t>
  </si>
  <si>
    <t xml:space="preserve">萩原　匠</t>
  </si>
  <si>
    <t xml:space="preserve">玉林　文人</t>
  </si>
  <si>
    <t xml:space="preserve">福知山成美高</t>
  </si>
  <si>
    <t xml:space="preserve">池上　颯</t>
  </si>
  <si>
    <t xml:space="preserve">竹内　雅功</t>
  </si>
  <si>
    <t xml:space="preserve">的場　大季</t>
  </si>
  <si>
    <t xml:space="preserve">札幌南高</t>
  </si>
  <si>
    <t xml:space="preserve">吉田　将大</t>
  </si>
  <si>
    <t xml:space="preserve">中村　優希</t>
  </si>
  <si>
    <t xml:space="preserve">同名の別選手あり（高崎高）</t>
  </si>
  <si>
    <t xml:space="preserve">塚本　悠己</t>
  </si>
  <si>
    <t xml:space="preserve">渡辺　諒</t>
  </si>
  <si>
    <t xml:space="preserve">鎌倉高</t>
  </si>
  <si>
    <t xml:space="preserve">市来　健</t>
  </si>
  <si>
    <t xml:space="preserve">奈良学園高</t>
  </si>
  <si>
    <t xml:space="preserve">校名表記：奈良学園高・奈良高／奈良学園高</t>
  </si>
  <si>
    <t xml:space="preserve">後藤　至温</t>
  </si>
  <si>
    <t xml:space="preserve">桑原　幸水</t>
  </si>
  <si>
    <t xml:space="preserve">早稲田大阪高</t>
  </si>
  <si>
    <t xml:space="preserve">清水優羽</t>
  </si>
  <si>
    <t xml:space="preserve">塚本　悠都</t>
  </si>
  <si>
    <t xml:space="preserve">工藤　瑛人</t>
  </si>
  <si>
    <t xml:space="preserve">古田　旬</t>
  </si>
  <si>
    <t xml:space="preserve">小沢　一輝</t>
  </si>
  <si>
    <t xml:space="preserve">愛知総合工科高</t>
  </si>
  <si>
    <t xml:space="preserve">大西　龍之介</t>
  </si>
  <si>
    <t xml:space="preserve">堀池　淳平</t>
  </si>
  <si>
    <t xml:space="preserve">小林　昴起</t>
  </si>
  <si>
    <t xml:space="preserve">井上　伸治</t>
  </si>
  <si>
    <t xml:space="preserve">山元　俊</t>
  </si>
  <si>
    <t xml:space="preserve">畠本　逸滉</t>
  </si>
  <si>
    <t xml:space="preserve">山岸　竜士</t>
  </si>
  <si>
    <t xml:space="preserve">平塚中等高</t>
  </si>
  <si>
    <t xml:space="preserve">山口　誠志郎</t>
  </si>
  <si>
    <t xml:space="preserve">岡山一宮高</t>
  </si>
  <si>
    <t xml:space="preserve">蓑田　滉翔</t>
  </si>
  <si>
    <t xml:space="preserve">金井　立志</t>
  </si>
  <si>
    <t xml:space="preserve">まつもとＴＦＣ</t>
  </si>
  <si>
    <t xml:space="preserve">渡部　太晴</t>
  </si>
  <si>
    <t xml:space="preserve">山形南高</t>
  </si>
  <si>
    <t xml:space="preserve">長内　悠斗</t>
  </si>
  <si>
    <t xml:space="preserve">梶本　来空</t>
  </si>
  <si>
    <t xml:space="preserve">我妻　尚哉</t>
  </si>
  <si>
    <t xml:space="preserve">米沢中央高</t>
  </si>
  <si>
    <t xml:space="preserve">山本　拓未</t>
  </si>
  <si>
    <t xml:space="preserve">大府東高</t>
  </si>
  <si>
    <t xml:space="preserve">折田　一篤</t>
  </si>
  <si>
    <t xml:space="preserve">永井　琉惺</t>
  </si>
  <si>
    <t xml:space="preserve">幕内　遥斗</t>
  </si>
  <si>
    <t xml:space="preserve">中村　龍希</t>
  </si>
  <si>
    <t xml:space="preserve">大城　正太郎</t>
  </si>
  <si>
    <t xml:space="preserve">岸和田高</t>
  </si>
  <si>
    <t xml:space="preserve">佐々木秀真</t>
  </si>
  <si>
    <t xml:space="preserve">家村　優基</t>
  </si>
  <si>
    <t xml:space="preserve">安陪　悠斗</t>
  </si>
  <si>
    <t xml:space="preserve">鳥取西高</t>
  </si>
  <si>
    <t xml:space="preserve">唐内　陽太</t>
  </si>
  <si>
    <t xml:space="preserve">平塚　智</t>
  </si>
  <si>
    <t xml:space="preserve">信大医陸高</t>
  </si>
  <si>
    <t xml:space="preserve">高橋　岳大</t>
  </si>
  <si>
    <t xml:space="preserve">岡山東商高</t>
  </si>
  <si>
    <t xml:space="preserve">大浜　悠生</t>
  </si>
  <si>
    <t xml:space="preserve">宇部鴻城高</t>
  </si>
  <si>
    <t xml:space="preserve">小沢　蓮</t>
  </si>
  <si>
    <t xml:space="preserve">韮崎高</t>
  </si>
  <si>
    <t xml:space="preserve">堀田　倖希</t>
  </si>
  <si>
    <t xml:space="preserve">賀茂高</t>
  </si>
  <si>
    <t xml:space="preserve">藤田　幸太郎</t>
  </si>
  <si>
    <t xml:space="preserve">竹内　飛夏</t>
  </si>
  <si>
    <t xml:space="preserve">長野高</t>
  </si>
  <si>
    <t xml:space="preserve">樺沢　大晴</t>
  </si>
  <si>
    <t xml:space="preserve">長岡向陵高</t>
  </si>
  <si>
    <t xml:space="preserve">斎藤　天飛</t>
  </si>
  <si>
    <t xml:space="preserve">川西緑台高</t>
  </si>
  <si>
    <t xml:space="preserve">鶴田　勇翔</t>
  </si>
  <si>
    <t xml:space="preserve">甲府南高</t>
  </si>
  <si>
    <t xml:space="preserve">紅林　明希</t>
  </si>
  <si>
    <t xml:space="preserve">上枝　龍矢</t>
  </si>
  <si>
    <t xml:space="preserve">木村　颯良</t>
  </si>
  <si>
    <t xml:space="preserve">須田　裕大</t>
  </si>
  <si>
    <t xml:space="preserve">桜美林高</t>
  </si>
  <si>
    <t xml:space="preserve">佐藤　光平</t>
  </si>
  <si>
    <t xml:space="preserve">新潟明訓高</t>
  </si>
  <si>
    <t xml:space="preserve">甲斐蒼心朗</t>
  </si>
  <si>
    <t xml:space="preserve">前沢　聡良</t>
  </si>
  <si>
    <t xml:space="preserve">反保　光大朗</t>
  </si>
  <si>
    <t xml:space="preserve">三国丘高</t>
  </si>
  <si>
    <t xml:space="preserve">東山　紘己</t>
  </si>
  <si>
    <t xml:space="preserve">東京国際陸上部</t>
  </si>
  <si>
    <t xml:space="preserve">増永　衣純</t>
  </si>
  <si>
    <t xml:space="preserve">渡辺　永遠</t>
  </si>
  <si>
    <t xml:space="preserve">安井　千暁</t>
  </si>
  <si>
    <t xml:space="preserve">桜井　大翔</t>
  </si>
  <si>
    <t xml:space="preserve">柳　 　晴也</t>
  </si>
  <si>
    <t xml:space="preserve">土浦日大中等高</t>
  </si>
  <si>
    <t xml:space="preserve">佐藤　煌生</t>
  </si>
  <si>
    <t xml:space="preserve">小林　隆太</t>
  </si>
  <si>
    <t xml:space="preserve">北海高</t>
  </si>
  <si>
    <t xml:space="preserve">御手洗　創太</t>
  </si>
  <si>
    <t xml:space="preserve">藤蔭高</t>
  </si>
  <si>
    <t xml:space="preserve">斎藤　桜翔</t>
  </si>
  <si>
    <t xml:space="preserve">境高</t>
  </si>
  <si>
    <t xml:space="preserve">平田　瑛太郎</t>
  </si>
  <si>
    <t xml:space="preserve">倉敷青陵高</t>
  </si>
  <si>
    <t xml:space="preserve">稲田　春樹</t>
  </si>
  <si>
    <t xml:space="preserve">松山東高</t>
  </si>
  <si>
    <t xml:space="preserve">伊藤　功太</t>
  </si>
  <si>
    <t xml:space="preserve">土居　篤季</t>
  </si>
  <si>
    <t xml:space="preserve">内子高</t>
  </si>
  <si>
    <t xml:space="preserve">広町　優信</t>
  </si>
  <si>
    <t xml:space="preserve">石井蓮</t>
  </si>
  <si>
    <t xml:space="preserve">秋田高</t>
  </si>
  <si>
    <t xml:space="preserve">五十嵐　由葵</t>
  </si>
  <si>
    <t xml:space="preserve">日比野　穣</t>
  </si>
  <si>
    <t xml:space="preserve">京谷　柊汰</t>
  </si>
  <si>
    <t xml:space="preserve">猪原　颯空</t>
  </si>
  <si>
    <t xml:space="preserve">戸田　悠大</t>
  </si>
  <si>
    <t xml:space="preserve">谷　 　弘明</t>
  </si>
  <si>
    <t xml:space="preserve">河合　悠</t>
  </si>
  <si>
    <t xml:space="preserve">大沼　慶汰</t>
  </si>
  <si>
    <t xml:space="preserve">増田　琉星</t>
  </si>
  <si>
    <t xml:space="preserve">大手前高</t>
  </si>
  <si>
    <t xml:space="preserve">竹下　優</t>
  </si>
  <si>
    <t xml:space="preserve">静岡高</t>
  </si>
  <si>
    <t xml:space="preserve">佐野　陽大</t>
  </si>
  <si>
    <t xml:space="preserve">岡山　遥晃</t>
  </si>
  <si>
    <t xml:space="preserve">美祢青嶺高</t>
  </si>
  <si>
    <t xml:space="preserve">小川　陽生</t>
  </si>
  <si>
    <t xml:space="preserve">安広　大耀</t>
  </si>
  <si>
    <t xml:space="preserve">下関西高</t>
  </si>
  <si>
    <t xml:space="preserve">有森　凰凱</t>
  </si>
  <si>
    <t xml:space="preserve">小清水　琢実</t>
  </si>
  <si>
    <t xml:space="preserve">鶴田　有馬</t>
  </si>
  <si>
    <t xml:space="preserve">大村工高</t>
  </si>
  <si>
    <t xml:space="preserve">飯田　玲夢</t>
  </si>
  <si>
    <t xml:space="preserve">市銚子高</t>
  </si>
  <si>
    <t xml:space="preserve">新坂上　爽</t>
  </si>
  <si>
    <t xml:space="preserve">竹内　大聖</t>
  </si>
  <si>
    <t xml:space="preserve">清藤　優成</t>
  </si>
  <si>
    <t xml:space="preserve">前田　大翔</t>
  </si>
  <si>
    <t xml:space="preserve">井口啓一郎</t>
  </si>
  <si>
    <t xml:space="preserve">立教新座高</t>
  </si>
  <si>
    <t xml:space="preserve">静　 　光大郎</t>
  </si>
  <si>
    <t xml:space="preserve">松山高</t>
  </si>
  <si>
    <t xml:space="preserve">山元　旺夏</t>
  </si>
  <si>
    <t xml:space="preserve">梶　 　悠馬</t>
  </si>
  <si>
    <t xml:space="preserve">長友　啓祐</t>
  </si>
  <si>
    <t xml:space="preserve">宮崎南高</t>
  </si>
  <si>
    <t xml:space="preserve">小野寺　宙</t>
  </si>
  <si>
    <t xml:space="preserve">平野　海翔</t>
  </si>
  <si>
    <t xml:space="preserve">銚子高</t>
  </si>
  <si>
    <t xml:space="preserve">堀江　昊</t>
  </si>
  <si>
    <t xml:space="preserve">大阪陸協</t>
  </si>
  <si>
    <t xml:space="preserve">別宗　琉空</t>
  </si>
  <si>
    <t xml:space="preserve">上田　蒼大</t>
  </si>
  <si>
    <t xml:space="preserve">市川　翔聖</t>
  </si>
  <si>
    <t xml:space="preserve">甲府工高</t>
  </si>
  <si>
    <t xml:space="preserve">遠藤　風翔</t>
  </si>
  <si>
    <t xml:space="preserve">藤山　羚音</t>
  </si>
  <si>
    <t xml:space="preserve">糸満高</t>
  </si>
  <si>
    <t xml:space="preserve">山口　怜士</t>
  </si>
  <si>
    <t xml:space="preserve">中部大一高</t>
  </si>
  <si>
    <t xml:space="preserve">松尾　健一朗</t>
  </si>
  <si>
    <t xml:space="preserve">西城陽高</t>
  </si>
  <si>
    <t xml:space="preserve">本間　日葵</t>
  </si>
  <si>
    <t xml:space="preserve">佐渡高</t>
  </si>
  <si>
    <t xml:space="preserve">井野　晃希</t>
  </si>
  <si>
    <t xml:space="preserve">後藤　遥希</t>
  </si>
  <si>
    <t xml:space="preserve">中村　剣城</t>
  </si>
  <si>
    <t xml:space="preserve">？？村　悠希</t>
  </si>
  <si>
    <t xml:space="preserve">井上　裕也</t>
  </si>
  <si>
    <t xml:space="preserve">鳥取中央育英高</t>
  </si>
  <si>
    <t xml:space="preserve">藤田　晃気</t>
  </si>
  <si>
    <t xml:space="preserve">野口　匠</t>
  </si>
  <si>
    <t xml:space="preserve">石岡一高</t>
  </si>
  <si>
    <t xml:space="preserve">大木　陽輝</t>
  </si>
  <si>
    <t xml:space="preserve">伊吹　朔弥</t>
  </si>
  <si>
    <t xml:space="preserve">東京高</t>
  </si>
  <si>
    <t xml:space="preserve">小野　智矢</t>
  </si>
  <si>
    <t xml:space="preserve">向陽高・和歌山高</t>
  </si>
  <si>
    <t xml:space="preserve">吉田　幸平</t>
  </si>
  <si>
    <t xml:space="preserve">岡田　京平</t>
  </si>
  <si>
    <t xml:space="preserve">鵜川　琉音</t>
  </si>
  <si>
    <t xml:space="preserve">茂木高</t>
  </si>
  <si>
    <t xml:space="preserve">内田　峻太郎</t>
  </si>
  <si>
    <t xml:space="preserve">甲府一高</t>
  </si>
  <si>
    <t xml:space="preserve">アムラタ　ルイ　カイリ</t>
  </si>
  <si>
    <t xml:space="preserve">市ケ尾高</t>
  </si>
  <si>
    <t xml:space="preserve">信田　虎太郎</t>
  </si>
  <si>
    <t xml:space="preserve">桑原　蓮</t>
  </si>
  <si>
    <t xml:space="preserve">東海大菅生高</t>
  </si>
  <si>
    <t xml:space="preserve">鈴木　隆斗</t>
  </si>
  <si>
    <t xml:space="preserve">鷲野　佑真</t>
  </si>
  <si>
    <t xml:space="preserve">飯山高</t>
  </si>
  <si>
    <t xml:space="preserve">大城　慶吾</t>
  </si>
  <si>
    <t xml:space="preserve">川越南高</t>
  </si>
  <si>
    <t xml:space="preserve">小林　悠人</t>
  </si>
  <si>
    <t xml:space="preserve">反町　徠翔</t>
  </si>
  <si>
    <t xml:space="preserve">健康福祉大高崎高</t>
  </si>
  <si>
    <t xml:space="preserve">氏田　優大</t>
  </si>
  <si>
    <t xml:space="preserve">矢板東高</t>
  </si>
  <si>
    <t xml:space="preserve">内田　侑希</t>
  </si>
  <si>
    <t xml:space="preserve">横尾　俊介</t>
  </si>
  <si>
    <t xml:space="preserve">飯山　吏央</t>
  </si>
  <si>
    <t xml:space="preserve">折原　旭陽</t>
  </si>
  <si>
    <t xml:space="preserve">御殿場西高</t>
  </si>
  <si>
    <t xml:space="preserve">阿部　佑月</t>
  </si>
  <si>
    <t xml:space="preserve">花巻南高</t>
  </si>
  <si>
    <t xml:space="preserve">谷川　雄太</t>
  </si>
  <si>
    <t xml:space="preserve">田中　廉士郎</t>
  </si>
  <si>
    <t xml:space="preserve">渋谷教育学園幕張高</t>
  </si>
  <si>
    <t xml:space="preserve">新城　陽道</t>
  </si>
  <si>
    <t xml:space="preserve">真壁　海翔</t>
  </si>
  <si>
    <t xml:space="preserve">松本　悠吾</t>
  </si>
  <si>
    <t xml:space="preserve">舞岡高</t>
  </si>
  <si>
    <t xml:space="preserve">牧田　隼知</t>
  </si>
  <si>
    <t xml:space="preserve">児玉　昊汰</t>
  </si>
  <si>
    <t xml:space="preserve">西木　琥珀</t>
  </si>
  <si>
    <t xml:space="preserve">深水　凰雅</t>
  </si>
  <si>
    <t xml:space="preserve">尚志館高</t>
  </si>
  <si>
    <t xml:space="preserve">比知屋　夏夢</t>
  </si>
  <si>
    <t xml:space="preserve">池田　翔一</t>
  </si>
  <si>
    <t xml:space="preserve">八代高</t>
  </si>
  <si>
    <t xml:space="preserve">ハサヌディン　知輝</t>
  </si>
  <si>
    <t xml:space="preserve">中西　経太</t>
  </si>
  <si>
    <t xml:space="preserve">伊勢高</t>
  </si>
  <si>
    <t xml:space="preserve">和田見　陽太</t>
  </si>
  <si>
    <t xml:space="preserve">都文京高</t>
  </si>
  <si>
    <t xml:space="preserve">溝口　蒼太</t>
  </si>
  <si>
    <t xml:space="preserve">立花学園高</t>
  </si>
  <si>
    <t xml:space="preserve">水島　征士</t>
  </si>
  <si>
    <t xml:space="preserve">桜井　裕介</t>
  </si>
  <si>
    <t xml:space="preserve">寄居城北高</t>
  </si>
  <si>
    <t xml:space="preserve">北原　稜大</t>
  </si>
  <si>
    <t xml:space="preserve">聖和学園高</t>
  </si>
  <si>
    <t xml:space="preserve">福山　新太</t>
  </si>
  <si>
    <t xml:space="preserve">加納高</t>
  </si>
  <si>
    <t xml:space="preserve">伊藤　謙伸</t>
  </si>
  <si>
    <t xml:space="preserve">平田高</t>
  </si>
  <si>
    <t xml:space="preserve">杉江　智</t>
  </si>
  <si>
    <t xml:space="preserve">野沢　岳己</t>
  </si>
  <si>
    <t xml:space="preserve">藤井　勝道</t>
  </si>
  <si>
    <t xml:space="preserve">岩佐　琉希亜</t>
  </si>
  <si>
    <t xml:space="preserve">東葉高</t>
  </si>
  <si>
    <t xml:space="preserve">沢田　倫太朗</t>
  </si>
  <si>
    <t xml:space="preserve">友野　顕大</t>
  </si>
  <si>
    <t xml:space="preserve">玉島商高</t>
  </si>
  <si>
    <t xml:space="preserve">小西　涼介</t>
  </si>
  <si>
    <t xml:space="preserve">横浜創学館高</t>
  </si>
  <si>
    <t xml:space="preserve">新美　昴征</t>
  </si>
  <si>
    <t xml:space="preserve">古谷　直己</t>
  </si>
  <si>
    <t xml:space="preserve">井上　雅也</t>
  </si>
  <si>
    <t xml:space="preserve">都城高</t>
  </si>
  <si>
    <t xml:space="preserve">校名表記：都城高／都城高専</t>
  </si>
  <si>
    <t xml:space="preserve">藤沢　直輝</t>
  </si>
  <si>
    <t xml:space="preserve">長野吉田高</t>
  </si>
  <si>
    <t xml:space="preserve">種本　翔</t>
  </si>
  <si>
    <t xml:space="preserve">板倉　健</t>
  </si>
  <si>
    <t xml:space="preserve">明学東村山高</t>
  </si>
  <si>
    <t xml:space="preserve">五十嵐　陽晟</t>
  </si>
  <si>
    <t xml:space="preserve">高木　郁真</t>
  </si>
  <si>
    <t xml:space="preserve">南　 　颯舞</t>
  </si>
  <si>
    <t xml:space="preserve">庄司　蓮</t>
  </si>
  <si>
    <t xml:space="preserve">武　 　蓮之介</t>
  </si>
  <si>
    <t xml:space="preserve">松陽高</t>
  </si>
  <si>
    <t xml:space="preserve">内田　純明</t>
  </si>
  <si>
    <t xml:space="preserve">松崎　心音</t>
  </si>
  <si>
    <t xml:space="preserve">新苗　哲平</t>
  </si>
  <si>
    <t xml:space="preserve">札幌英藍高</t>
  </si>
  <si>
    <t xml:space="preserve">桑原　遼</t>
  </si>
  <si>
    <t xml:space="preserve">茂泉　颯馬</t>
  </si>
  <si>
    <t xml:space="preserve">吉田　洸翔</t>
  </si>
  <si>
    <t xml:space="preserve">山川　幹大</t>
  </si>
  <si>
    <t xml:space="preserve">加藤　琉生</t>
  </si>
  <si>
    <t xml:space="preserve">福崎　子竜</t>
  </si>
  <si>
    <t xml:space="preserve">小原　大河</t>
  </si>
  <si>
    <t xml:space="preserve">早稲田　優太</t>
  </si>
  <si>
    <t xml:space="preserve">外崎　尋也</t>
  </si>
  <si>
    <t xml:space="preserve">山本　陸人</t>
  </si>
  <si>
    <t xml:space="preserve">福原　拓馬</t>
  </si>
  <si>
    <t xml:space="preserve">岡山芳泉高</t>
  </si>
  <si>
    <t xml:space="preserve">泊　 　博聖</t>
  </si>
  <si>
    <t xml:space="preserve">柳岡　碧輝</t>
  </si>
  <si>
    <t xml:space="preserve">豊永　大樹</t>
  </si>
  <si>
    <t xml:space="preserve">九産大附九州高</t>
  </si>
  <si>
    <t xml:space="preserve">香田　虎太郎</t>
  </si>
  <si>
    <t xml:space="preserve">浜島　夏絆</t>
  </si>
  <si>
    <t xml:space="preserve">貞方　大樹</t>
  </si>
  <si>
    <t xml:space="preserve">金沢　儀明</t>
  </si>
  <si>
    <t xml:space="preserve">末永　海翔</t>
  </si>
  <si>
    <t xml:space="preserve">大塚高</t>
  </si>
  <si>
    <t xml:space="preserve">横山　昇馬</t>
  </si>
  <si>
    <t xml:space="preserve">龍野高</t>
  </si>
  <si>
    <t xml:space="preserve">鳴瀬　夏輝</t>
  </si>
  <si>
    <t xml:space="preserve">青雲高</t>
  </si>
  <si>
    <t xml:space="preserve">政　 　匠栄</t>
  </si>
  <si>
    <t xml:space="preserve">木村　寛太</t>
  </si>
  <si>
    <t xml:space="preserve">白鴎大足利高</t>
  </si>
  <si>
    <t xml:space="preserve">熊谷　航介</t>
  </si>
  <si>
    <t xml:space="preserve">羽石　悠希</t>
  </si>
  <si>
    <t xml:space="preserve">中島　龍央馬</t>
  </si>
  <si>
    <t xml:space="preserve">都小平高</t>
  </si>
  <si>
    <t xml:space="preserve">中野　哲平</t>
  </si>
  <si>
    <t xml:space="preserve">吉田　悠真</t>
  </si>
  <si>
    <t xml:space="preserve">藤沢清流高</t>
  </si>
  <si>
    <t xml:space="preserve">新村　隼</t>
  </si>
  <si>
    <t xml:space="preserve">松隈　朝聖</t>
  </si>
  <si>
    <t xml:space="preserve">柏陵高</t>
  </si>
  <si>
    <t xml:space="preserve">高野　孝太郎</t>
  </si>
  <si>
    <t xml:space="preserve">小川　翔正</t>
  </si>
  <si>
    <t xml:space="preserve">山口　由翔</t>
  </si>
  <si>
    <t xml:space="preserve">森　 　優太</t>
  </si>
  <si>
    <t xml:space="preserve">明善高</t>
  </si>
  <si>
    <t xml:space="preserve">長浜　泰正</t>
  </si>
  <si>
    <t xml:space="preserve">水野　透麻</t>
  </si>
  <si>
    <t xml:space="preserve">県西宮高</t>
  </si>
  <si>
    <t xml:space="preserve">西田　稔也</t>
  </si>
  <si>
    <t xml:space="preserve">松本　辿翔</t>
  </si>
  <si>
    <t xml:space="preserve">吉池　光賀</t>
  </si>
  <si>
    <t xml:space="preserve">鷲沢　仁</t>
  </si>
  <si>
    <t xml:space="preserve">米子工高</t>
  </si>
  <si>
    <t xml:space="preserve">片岡　宙夢</t>
  </si>
  <si>
    <t xml:space="preserve">樫原　凛星</t>
  </si>
  <si>
    <t xml:space="preserve">前田　恭佑</t>
  </si>
  <si>
    <t xml:space="preserve">八戸工高</t>
  </si>
  <si>
    <t xml:space="preserve">小野　巧人</t>
  </si>
  <si>
    <t xml:space="preserve">鬼沢　優颯</t>
  </si>
  <si>
    <t xml:space="preserve">本多　蒼士</t>
  </si>
  <si>
    <t xml:space="preserve">森　 　奏輔</t>
  </si>
  <si>
    <t xml:space="preserve">工藤　峻也</t>
  </si>
  <si>
    <t xml:space="preserve">渡辺　日々輝</t>
  </si>
  <si>
    <t xml:space="preserve">済々黌高</t>
  </si>
  <si>
    <t xml:space="preserve">今泉　佑太</t>
  </si>
  <si>
    <t xml:space="preserve">佐藤　大叶</t>
  </si>
  <si>
    <t xml:space="preserve">槙山　泰正</t>
  </si>
  <si>
    <t xml:space="preserve">石原　和明</t>
  </si>
  <si>
    <t xml:space="preserve">扶蘇　一颯</t>
  </si>
  <si>
    <t xml:space="preserve">三木高</t>
  </si>
  <si>
    <t xml:space="preserve">寺島　弘希</t>
  </si>
  <si>
    <t xml:space="preserve">相馬総合高</t>
  </si>
  <si>
    <t xml:space="preserve">木村　雄太</t>
  </si>
  <si>
    <t xml:space="preserve">堀田　友希</t>
  </si>
  <si>
    <t xml:space="preserve">中山　陽登</t>
  </si>
  <si>
    <t xml:space="preserve">横浜翠嵐高</t>
  </si>
  <si>
    <t xml:space="preserve">中村　心音</t>
  </si>
  <si>
    <t xml:space="preserve">川那子　叶有</t>
  </si>
  <si>
    <t xml:space="preserve">保善高</t>
  </si>
  <si>
    <t xml:space="preserve">内田　賢吾</t>
  </si>
  <si>
    <t xml:space="preserve">成塚　宗一郎</t>
  </si>
  <si>
    <t xml:space="preserve">猿渡　結斗</t>
  </si>
  <si>
    <t xml:space="preserve">財前　人成</t>
  </si>
  <si>
    <t xml:space="preserve">小原　海緒</t>
  </si>
  <si>
    <t xml:space="preserve">山川　真裕</t>
  </si>
  <si>
    <t xml:space="preserve">東京陸協</t>
  </si>
  <si>
    <t xml:space="preserve">木下　結斗</t>
  </si>
  <si>
    <t xml:space="preserve">藤原　昴</t>
  </si>
  <si>
    <t xml:space="preserve">藤田　惇也</t>
  </si>
  <si>
    <t xml:space="preserve">大館鳳鳴高</t>
  </si>
  <si>
    <t xml:space="preserve">南　 　晴仁</t>
  </si>
  <si>
    <t xml:space="preserve">梶川　遼平</t>
  </si>
  <si>
    <t xml:space="preserve">川越東高</t>
  </si>
  <si>
    <t xml:space="preserve">吉田　伊吹</t>
  </si>
  <si>
    <t xml:space="preserve">小阪　琉碧</t>
  </si>
  <si>
    <t xml:space="preserve">報徳学園高</t>
  </si>
  <si>
    <t xml:space="preserve">蟹井　結月</t>
  </si>
  <si>
    <t xml:space="preserve">久古　陽大</t>
  </si>
  <si>
    <t xml:space="preserve">八千代高</t>
  </si>
  <si>
    <t xml:space="preserve">久野　柑太</t>
  </si>
  <si>
    <t xml:space="preserve">村島　幸太郎</t>
  </si>
  <si>
    <t xml:space="preserve">羽田　浬</t>
  </si>
  <si>
    <t xml:space="preserve">橋本　悠真</t>
  </si>
  <si>
    <t xml:space="preserve">安積高</t>
  </si>
  <si>
    <t xml:space="preserve">同名の別選手あり（もとみや市駅伝高）</t>
  </si>
  <si>
    <t xml:space="preserve">野崎　友稀</t>
  </si>
  <si>
    <t xml:space="preserve">毛利　友貴</t>
  </si>
  <si>
    <t xml:space="preserve">星陵高</t>
  </si>
  <si>
    <t xml:space="preserve">立石　虎心朗</t>
  </si>
  <si>
    <t xml:space="preserve">福留　晴</t>
  </si>
  <si>
    <t xml:space="preserve">篠永　悠斗</t>
  </si>
  <si>
    <t xml:space="preserve">西崎　諄</t>
  </si>
  <si>
    <t xml:space="preserve">神戸商高</t>
  </si>
  <si>
    <t xml:space="preserve">神藤　照太</t>
  </si>
  <si>
    <t xml:space="preserve">橘龍輝</t>
  </si>
  <si>
    <t xml:space="preserve">岩崎　柊真</t>
  </si>
  <si>
    <t xml:space="preserve">夢野台高</t>
  </si>
  <si>
    <t xml:space="preserve">近藤　勇人</t>
  </si>
  <si>
    <t xml:space="preserve">渡辺　翔弥</t>
  </si>
  <si>
    <t xml:space="preserve">井内　涼翔</t>
  </si>
  <si>
    <t xml:space="preserve">名西高</t>
  </si>
  <si>
    <t xml:space="preserve">堀井　洋人</t>
  </si>
  <si>
    <t xml:space="preserve">山田高</t>
  </si>
  <si>
    <t xml:space="preserve">山口　穣次</t>
  </si>
  <si>
    <t xml:space="preserve">柳　 　敬隼</t>
  </si>
  <si>
    <t xml:space="preserve">佐野　斗哉</t>
  </si>
  <si>
    <t xml:space="preserve">武相高</t>
  </si>
  <si>
    <t xml:space="preserve">横溝　賢汰</t>
  </si>
  <si>
    <t xml:space="preserve">岡山南高</t>
  </si>
  <si>
    <t xml:space="preserve">谷川　詩星</t>
  </si>
  <si>
    <t xml:space="preserve">摺出寺　優良</t>
  </si>
  <si>
    <t xml:space="preserve">泉北高</t>
  </si>
  <si>
    <t xml:space="preserve">藤　 　幸生</t>
  </si>
  <si>
    <t xml:space="preserve">東福岡高</t>
  </si>
  <si>
    <t xml:space="preserve">松浦　啓士</t>
  </si>
  <si>
    <t xml:space="preserve">畑井　海翔</t>
  </si>
  <si>
    <t xml:space="preserve">水口東高</t>
  </si>
  <si>
    <t xml:space="preserve">村松　侑真</t>
  </si>
  <si>
    <t xml:space="preserve">阿部　陽真</t>
  </si>
  <si>
    <t xml:space="preserve">原田　涼平</t>
  </si>
  <si>
    <t xml:space="preserve">小池　晴斗</t>
  </si>
  <si>
    <t xml:space="preserve">五泉高</t>
  </si>
  <si>
    <t xml:space="preserve">田頭　悠</t>
  </si>
  <si>
    <t xml:space="preserve">表　 　結翔</t>
  </si>
  <si>
    <t xml:space="preserve">斐太高</t>
  </si>
  <si>
    <t xml:space="preserve">椎葉　晴己</t>
  </si>
  <si>
    <t xml:space="preserve">茨木高</t>
  </si>
  <si>
    <t xml:space="preserve">萩原　佑樹</t>
  </si>
  <si>
    <t xml:space="preserve">郡　 　秀二郎</t>
  </si>
  <si>
    <t xml:space="preserve">高井　夕貴</t>
  </si>
  <si>
    <t xml:space="preserve">福田　蓮</t>
  </si>
  <si>
    <t xml:space="preserve">滑川総合高</t>
  </si>
  <si>
    <t xml:space="preserve">蔭野　将人</t>
  </si>
  <si>
    <t xml:space="preserve">高垣　優希</t>
  </si>
  <si>
    <t xml:space="preserve">橿原高</t>
  </si>
  <si>
    <t xml:space="preserve">小林　拓人</t>
  </si>
  <si>
    <t xml:space="preserve">芝　 　真輝</t>
  </si>
  <si>
    <t xml:space="preserve">金井高</t>
  </si>
  <si>
    <t xml:space="preserve">内村　凌</t>
  </si>
  <si>
    <t xml:space="preserve">小林　洸政</t>
  </si>
  <si>
    <t xml:space="preserve">長岡工高</t>
  </si>
  <si>
    <t xml:space="preserve">野口　啓太</t>
  </si>
  <si>
    <t xml:space="preserve">望月　一希</t>
  </si>
  <si>
    <t xml:space="preserve">森　 　悠豪</t>
  </si>
  <si>
    <t xml:space="preserve">対馬　伶</t>
  </si>
  <si>
    <t xml:space="preserve">静岡北高</t>
  </si>
  <si>
    <t xml:space="preserve">田中　音羽</t>
  </si>
  <si>
    <t xml:space="preserve">谷藤　亮太</t>
  </si>
  <si>
    <t xml:space="preserve">佐倉高</t>
  </si>
  <si>
    <t xml:space="preserve">池田　琢真</t>
  </si>
  <si>
    <t xml:space="preserve">藤田　敦人</t>
  </si>
  <si>
    <t xml:space="preserve">真柄　伊吹</t>
  </si>
  <si>
    <t xml:space="preserve">新津高</t>
  </si>
  <si>
    <t xml:space="preserve">島崎　凌雅</t>
  </si>
  <si>
    <t xml:space="preserve">天野　快晟</t>
  </si>
  <si>
    <t xml:space="preserve">永田　和門</t>
  </si>
  <si>
    <t xml:space="preserve">佐々木　壮輔</t>
  </si>
  <si>
    <t xml:space="preserve">北星学園大附高</t>
  </si>
  <si>
    <t xml:space="preserve">高岸　笑輝</t>
  </si>
  <si>
    <t xml:space="preserve">加瀬　智之</t>
  </si>
  <si>
    <t xml:space="preserve">伊藤　大葵</t>
  </si>
  <si>
    <t xml:space="preserve">福島東高</t>
  </si>
  <si>
    <t xml:space="preserve">高羽　渉</t>
  </si>
  <si>
    <t xml:space="preserve">所沢北高</t>
  </si>
  <si>
    <t xml:space="preserve">早田　悠希</t>
  </si>
  <si>
    <t xml:space="preserve">柳　 　琉生</t>
  </si>
  <si>
    <t xml:space="preserve">新潟陸協</t>
  </si>
  <si>
    <t xml:space="preserve">松沢　晃佑</t>
  </si>
  <si>
    <t xml:space="preserve">豊科高</t>
  </si>
  <si>
    <t xml:space="preserve">松尾心太郎</t>
  </si>
  <si>
    <t xml:space="preserve">北筑高</t>
  </si>
  <si>
    <t xml:space="preserve">渡辺　燈</t>
  </si>
  <si>
    <t xml:space="preserve">追手前高</t>
  </si>
  <si>
    <t xml:space="preserve">山下　晴也</t>
  </si>
  <si>
    <t xml:space="preserve">加古川東高</t>
  </si>
  <si>
    <t xml:space="preserve">飯島　健椰</t>
  </si>
  <si>
    <t xml:space="preserve">川嶋　帆航</t>
  </si>
  <si>
    <t xml:space="preserve">金子　泰蔵</t>
  </si>
  <si>
    <t xml:space="preserve">筈谷　育生</t>
  </si>
  <si>
    <t xml:space="preserve">古瀬　幹太</t>
  </si>
  <si>
    <t xml:space="preserve">当麻　雄心</t>
  </si>
  <si>
    <t xml:space="preserve">市呉高</t>
  </si>
  <si>
    <t xml:space="preserve">佐藤　歩斗</t>
  </si>
  <si>
    <t xml:space="preserve">大豆生田　竜世</t>
  </si>
  <si>
    <t xml:space="preserve">浜松　栄汰</t>
  </si>
  <si>
    <t xml:space="preserve">呉高</t>
  </si>
  <si>
    <t xml:space="preserve">校名表記：呉高専／呉高</t>
  </si>
  <si>
    <t xml:space="preserve">浅野　順正</t>
  </si>
  <si>
    <t xml:space="preserve">下地　惺大</t>
  </si>
  <si>
    <t xml:space="preserve">大津商高</t>
  </si>
  <si>
    <t xml:space="preserve">和田　晴凪</t>
  </si>
  <si>
    <t xml:space="preserve">有衛　桜華</t>
  </si>
  <si>
    <t xml:space="preserve">三橋　永和</t>
  </si>
  <si>
    <t xml:space="preserve">桑田　凌冴</t>
  </si>
  <si>
    <t xml:space="preserve">伊丹西高</t>
  </si>
  <si>
    <t xml:space="preserve">中村　迅</t>
  </si>
  <si>
    <t xml:space="preserve">松井　勇翔</t>
  </si>
  <si>
    <t xml:space="preserve">津川　悠真</t>
  </si>
  <si>
    <t xml:space="preserve">倉吉西</t>
  </si>
  <si>
    <t xml:space="preserve">金山　仁</t>
  </si>
  <si>
    <t xml:space="preserve">木村　蓮</t>
  </si>
  <si>
    <t xml:space="preserve">同名の別選手あり（浜松開誠館高）</t>
  </si>
  <si>
    <t xml:space="preserve">林　 　勇斗</t>
  </si>
  <si>
    <t xml:space="preserve">川口　朝陽</t>
  </si>
  <si>
    <t xml:space="preserve">長谷沼　伶皇</t>
  </si>
  <si>
    <t xml:space="preserve">会津若松ザベリオ学園高</t>
  </si>
  <si>
    <t xml:space="preserve">苅部　隼人</t>
  </si>
  <si>
    <t xml:space="preserve">慶応高</t>
  </si>
  <si>
    <t xml:space="preserve">武富　福久</t>
  </si>
  <si>
    <t xml:space="preserve">伊藤　一朝</t>
  </si>
  <si>
    <t xml:space="preserve">三上　大蔵</t>
  </si>
  <si>
    <t xml:space="preserve">奥園　一颯</t>
  </si>
  <si>
    <t xml:space="preserve">藤本　悠平</t>
  </si>
  <si>
    <t xml:space="preserve">林　 　和輝</t>
  </si>
  <si>
    <t xml:space="preserve">池田　大知</t>
  </si>
  <si>
    <t xml:space="preserve">昭和学院高</t>
  </si>
  <si>
    <t xml:space="preserve">竹内　将磨</t>
  </si>
  <si>
    <t xml:space="preserve">山口　寛十</t>
  </si>
  <si>
    <t xml:space="preserve">おかやま山陽高</t>
  </si>
  <si>
    <t xml:space="preserve">楽満　柊真</t>
  </si>
  <si>
    <t xml:space="preserve">鵬学園高</t>
  </si>
  <si>
    <t xml:space="preserve">水野　楓理</t>
  </si>
  <si>
    <t xml:space="preserve">イレチュク　エゼブライアン</t>
  </si>
  <si>
    <t xml:space="preserve">山本　悠駕</t>
  </si>
  <si>
    <t xml:space="preserve">山本　竣介</t>
  </si>
  <si>
    <t xml:space="preserve">中村　柊太</t>
  </si>
  <si>
    <t xml:space="preserve">市函館高</t>
  </si>
  <si>
    <t xml:space="preserve">川辺　昂輝</t>
  </si>
  <si>
    <t xml:space="preserve">松本　翔聖</t>
  </si>
  <si>
    <t xml:space="preserve">木ノ村　輝</t>
  </si>
  <si>
    <t xml:space="preserve">京産大附高</t>
  </si>
  <si>
    <t xml:space="preserve">重安　輝</t>
  </si>
  <si>
    <t xml:space="preserve">山本　蓮</t>
  </si>
  <si>
    <t xml:space="preserve">山内　陽</t>
  </si>
  <si>
    <t xml:space="preserve">小口　煌成</t>
  </si>
  <si>
    <t xml:space="preserve">市千葉高</t>
  </si>
  <si>
    <t xml:space="preserve">北山　幸士郎</t>
  </si>
  <si>
    <t xml:space="preserve">東北学院高</t>
  </si>
  <si>
    <t xml:space="preserve">大町　爽翔</t>
  </si>
  <si>
    <t xml:space="preserve">創成館高</t>
  </si>
  <si>
    <t xml:space="preserve">田辺　颯悟</t>
  </si>
  <si>
    <t xml:space="preserve">松田　昇磨</t>
  </si>
  <si>
    <t xml:space="preserve">杉林　雅斗</t>
  </si>
  <si>
    <t xml:space="preserve">棚町　颯斗</t>
  </si>
  <si>
    <t xml:space="preserve">三養基高</t>
  </si>
  <si>
    <t xml:space="preserve">今村　瑛太</t>
  </si>
  <si>
    <t xml:space="preserve">都城泉ケ丘高</t>
  </si>
  <si>
    <t xml:space="preserve">河野　宏真</t>
  </si>
  <si>
    <t xml:space="preserve">新郷　悠馬</t>
  </si>
  <si>
    <t xml:space="preserve">浦和学院高</t>
  </si>
  <si>
    <t xml:space="preserve">高橋　幸盛</t>
  </si>
  <si>
    <t xml:space="preserve">三次高</t>
  </si>
  <si>
    <t xml:space="preserve">太田　健翔</t>
  </si>
  <si>
    <t xml:space="preserve">小田原高</t>
  </si>
  <si>
    <t xml:space="preserve">中山　将宗</t>
  </si>
  <si>
    <t xml:space="preserve">唐津工高</t>
  </si>
  <si>
    <t xml:space="preserve">岩崎　叶</t>
  </si>
  <si>
    <t xml:space="preserve">田畑　暖</t>
  </si>
  <si>
    <t xml:space="preserve">重松　俊弥</t>
  </si>
  <si>
    <t xml:space="preserve">門平　大志</t>
  </si>
  <si>
    <t xml:space="preserve">天倉　煌太</t>
  </si>
  <si>
    <t xml:space="preserve">渡辺　将斗</t>
  </si>
  <si>
    <t xml:space="preserve">手島　隆登</t>
  </si>
  <si>
    <t xml:space="preserve">柏陽高</t>
  </si>
  <si>
    <t xml:space="preserve">野口　敬古</t>
  </si>
  <si>
    <t xml:space="preserve">井上　大堵</t>
  </si>
  <si>
    <t xml:space="preserve">保　 　道豊</t>
  </si>
  <si>
    <t xml:space="preserve">大東第一高</t>
  </si>
  <si>
    <t xml:space="preserve">田中丸政義</t>
  </si>
  <si>
    <t xml:space="preserve">武雄高</t>
  </si>
  <si>
    <t xml:space="preserve">宮嶋　悠翔</t>
  </si>
  <si>
    <t xml:space="preserve">坂田　愛将</t>
  </si>
  <si>
    <t xml:space="preserve">神戸高</t>
  </si>
  <si>
    <t xml:space="preserve">博野　心平</t>
  </si>
  <si>
    <t xml:space="preserve">明星学園高</t>
  </si>
  <si>
    <t xml:space="preserve">井上　彩人</t>
  </si>
  <si>
    <t xml:space="preserve">中尾　悠人</t>
  </si>
  <si>
    <t xml:space="preserve">姫路商高</t>
  </si>
  <si>
    <t xml:space="preserve">西方路　瑛太</t>
  </si>
  <si>
    <t xml:space="preserve">大阪桐蔭高校</t>
  </si>
  <si>
    <t xml:space="preserve">鈴木　涼太</t>
  </si>
  <si>
    <t xml:space="preserve">新村　成司</t>
  </si>
  <si>
    <t xml:space="preserve">ＡＵ，　Ｈｏ　Ｃｈｕｎ</t>
  </si>
  <si>
    <t xml:space="preserve">-</t>
  </si>
  <si>
    <t xml:space="preserve">高橋　春人</t>
  </si>
  <si>
    <t xml:space="preserve">新屋高</t>
  </si>
  <si>
    <t xml:space="preserve">田中　里旺</t>
  </si>
  <si>
    <t xml:space="preserve">大田原高</t>
  </si>
  <si>
    <t xml:space="preserve">伊藤　洸太</t>
  </si>
  <si>
    <t xml:space="preserve">山崎　倫太郎</t>
  </si>
  <si>
    <t xml:space="preserve">橋本　力輝</t>
  </si>
  <si>
    <t xml:space="preserve">平野　遊大</t>
  </si>
  <si>
    <t xml:space="preserve">名護高</t>
  </si>
  <si>
    <t xml:space="preserve">岡崎　奏空</t>
  </si>
  <si>
    <t xml:space="preserve">市岸和田産高</t>
  </si>
  <si>
    <t xml:space="preserve">もとみや市駅伝高</t>
  </si>
  <si>
    <t xml:space="preserve">同名の別選手あり（安積高）</t>
  </si>
  <si>
    <t xml:space="preserve">和田　凛太郎</t>
  </si>
  <si>
    <t xml:space="preserve">重藤　浩太</t>
  </si>
  <si>
    <t xml:space="preserve">古宇田　樹輝</t>
  </si>
  <si>
    <t xml:space="preserve">中沢　陽向</t>
  </si>
  <si>
    <t xml:space="preserve">松江南高</t>
  </si>
  <si>
    <t xml:space="preserve">大橋　暖史</t>
  </si>
  <si>
    <t xml:space="preserve">中島　宝良</t>
  </si>
  <si>
    <t xml:space="preserve">新井　健</t>
  </si>
  <si>
    <t xml:space="preserve">帝塚山学院泉ケ丘高</t>
  </si>
  <si>
    <t xml:space="preserve">今田　陸</t>
  </si>
  <si>
    <t xml:space="preserve">岩国高</t>
  </si>
  <si>
    <t xml:space="preserve">渋谷　宥成</t>
  </si>
  <si>
    <t xml:space="preserve">竹政　羽琉</t>
  </si>
  <si>
    <t xml:space="preserve">中野立志館高</t>
  </si>
  <si>
    <t xml:space="preserve">永田　航大</t>
  </si>
  <si>
    <t xml:space="preserve">松本県ケ丘高</t>
  </si>
  <si>
    <t xml:space="preserve">新垣　朝大</t>
  </si>
  <si>
    <t xml:space="preserve">工藤　涼大</t>
  </si>
  <si>
    <t xml:space="preserve">市大宮北高</t>
  </si>
  <si>
    <t xml:space="preserve">鶴田　亮介</t>
  </si>
  <si>
    <t xml:space="preserve">有馬高</t>
  </si>
  <si>
    <t xml:space="preserve">山口幸之介</t>
  </si>
  <si>
    <t xml:space="preserve">佐世保工高</t>
  </si>
  <si>
    <t xml:space="preserve">西尾　翔基</t>
  </si>
  <si>
    <t xml:space="preserve">鹿嶌　厚希</t>
  </si>
  <si>
    <t xml:space="preserve">君津高</t>
  </si>
  <si>
    <t xml:space="preserve">田渕　琥杜嗣</t>
  </si>
  <si>
    <t xml:space="preserve">橋本　湊</t>
  </si>
  <si>
    <t xml:space="preserve">成城学園高</t>
  </si>
  <si>
    <t xml:space="preserve">原田　結希斗</t>
  </si>
  <si>
    <t xml:space="preserve">神戸鈴蘭台高</t>
  </si>
  <si>
    <t xml:space="preserve">藤井　颯真</t>
  </si>
  <si>
    <t xml:space="preserve">辻　 　瑛大</t>
  </si>
  <si>
    <t xml:space="preserve">三沢　壬</t>
  </si>
  <si>
    <t xml:space="preserve">本荘高</t>
  </si>
  <si>
    <t xml:space="preserve">桧垣　咲玖</t>
  </si>
  <si>
    <t xml:space="preserve">祐誠高</t>
  </si>
  <si>
    <r>
      <rPr>
        <sz val="10"/>
        <color rgb="FF000000"/>
        <rFont val="WenQuanYi Zen Hei"/>
        <family val="2"/>
      </rPr>
      <t xml:space="preserve">手動計時：</t>
    </r>
    <r>
      <rPr>
        <sz val="10"/>
        <color rgb="FF000000"/>
        <rFont val="HGPｺﾞｼｯｸM"/>
        <family val="0"/>
        <charset val="1"/>
      </rPr>
      <t xml:space="preserve">3000mSC</t>
    </r>
  </si>
  <si>
    <t xml:space="preserve">小坂　拓生</t>
  </si>
  <si>
    <t xml:space="preserve">田中　詠太郎</t>
  </si>
  <si>
    <t xml:space="preserve">笹渡　礼</t>
  </si>
  <si>
    <t xml:space="preserve">アスリートＴＣ</t>
  </si>
  <si>
    <t xml:space="preserve">塩谷　謙</t>
  </si>
  <si>
    <t xml:space="preserve">都東大和高</t>
  </si>
  <si>
    <t xml:space="preserve">北川　仁貴</t>
  </si>
  <si>
    <t xml:space="preserve">野口　優斗</t>
  </si>
  <si>
    <t xml:space="preserve">星野高</t>
  </si>
  <si>
    <t xml:space="preserve">加藤　諒真</t>
  </si>
  <si>
    <t xml:space="preserve">所沢西高</t>
  </si>
  <si>
    <t xml:space="preserve">西岡　壱航</t>
  </si>
  <si>
    <t xml:space="preserve">富岡東高</t>
  </si>
  <si>
    <t xml:space="preserve">入江　陽希</t>
  </si>
  <si>
    <t xml:space="preserve">藤沢　洸希</t>
  </si>
  <si>
    <t xml:space="preserve">佐竹　紬</t>
  </si>
  <si>
    <t xml:space="preserve">森　 　悠晴</t>
  </si>
  <si>
    <t xml:space="preserve">宮後　佳永</t>
  </si>
  <si>
    <t xml:space="preserve">鈴木　秀宙</t>
  </si>
  <si>
    <t xml:space="preserve">中村　奏太</t>
  </si>
  <si>
    <t xml:space="preserve">都東大和南高</t>
  </si>
  <si>
    <t xml:space="preserve">牛島　成郁</t>
  </si>
  <si>
    <t xml:space="preserve">田中　渡</t>
  </si>
  <si>
    <t xml:space="preserve">臼田　颯介</t>
  </si>
  <si>
    <t xml:space="preserve">井上　漣</t>
  </si>
  <si>
    <t xml:space="preserve">徳原　莉緒斗</t>
  </si>
  <si>
    <t xml:space="preserve">渡辺　真之亮</t>
  </si>
  <si>
    <t xml:space="preserve">岡　 　雅翔</t>
  </si>
  <si>
    <t xml:space="preserve">池田高</t>
  </si>
  <si>
    <t xml:space="preserve">永井　陽智</t>
  </si>
  <si>
    <t xml:space="preserve">鈴木　稜空</t>
  </si>
  <si>
    <t xml:space="preserve">舘　 　佳史</t>
  </si>
  <si>
    <t xml:space="preserve">鳩場　万浬</t>
  </si>
  <si>
    <t xml:space="preserve">小野　芽久斗</t>
  </si>
  <si>
    <t xml:space="preserve">稲　 　勇斗</t>
  </si>
  <si>
    <t xml:space="preserve">御殿場南高</t>
  </si>
  <si>
    <t xml:space="preserve">桑原　琉之介</t>
  </si>
  <si>
    <t xml:space="preserve">税所　篤</t>
  </si>
  <si>
    <t xml:space="preserve">筑紫高</t>
  </si>
  <si>
    <t xml:space="preserve">田野　一希</t>
  </si>
  <si>
    <t xml:space="preserve">津司　健太朗</t>
  </si>
  <si>
    <t xml:space="preserve">脇町高</t>
  </si>
  <si>
    <t xml:space="preserve">村野　新太</t>
  </si>
  <si>
    <t xml:space="preserve">小森谷　奏太</t>
  </si>
  <si>
    <t xml:space="preserve">池田　秀太</t>
  </si>
  <si>
    <t xml:space="preserve">牧　 　文哉</t>
  </si>
  <si>
    <t xml:space="preserve">星名　康希</t>
  </si>
  <si>
    <t xml:space="preserve">永瀬　楓真</t>
  </si>
  <si>
    <t xml:space="preserve">野中　陸翔</t>
  </si>
  <si>
    <t xml:space="preserve">ＡＬＬ八代高</t>
  </si>
  <si>
    <t xml:space="preserve">八木　海音</t>
  </si>
  <si>
    <t xml:space="preserve">宮崎北高</t>
  </si>
  <si>
    <t xml:space="preserve">楠　 　璽師</t>
  </si>
  <si>
    <t xml:space="preserve">青木　陽翔</t>
  </si>
  <si>
    <t xml:space="preserve">都調布南高</t>
  </si>
  <si>
    <t xml:space="preserve">中道　勝太</t>
  </si>
  <si>
    <t xml:space="preserve">柴田　陸</t>
  </si>
  <si>
    <t xml:space="preserve">岡田　然</t>
  </si>
  <si>
    <t xml:space="preserve">大西　詩音</t>
  </si>
  <si>
    <t xml:space="preserve">上津原　啓介</t>
  </si>
  <si>
    <t xml:space="preserve">徳永　宇音</t>
  </si>
  <si>
    <t xml:space="preserve">池松　明日</t>
  </si>
  <si>
    <t xml:space="preserve">水俣高</t>
  </si>
  <si>
    <t xml:space="preserve">中村　悠真</t>
  </si>
  <si>
    <t xml:space="preserve">村松　丈慈</t>
  </si>
  <si>
    <t xml:space="preserve">上甲　直幸</t>
  </si>
  <si>
    <t xml:space="preserve">杉浦　彪牙</t>
  </si>
  <si>
    <t xml:space="preserve">藤野　光葉</t>
  </si>
  <si>
    <t xml:space="preserve">阿部　壮一朗</t>
  </si>
  <si>
    <t xml:space="preserve">行野　悠心</t>
  </si>
  <si>
    <t xml:space="preserve">西田　真央</t>
  </si>
  <si>
    <t xml:space="preserve">田口　智喜</t>
  </si>
  <si>
    <t xml:space="preserve">東大寺学園高</t>
  </si>
  <si>
    <t xml:space="preserve">牧野　光</t>
  </si>
  <si>
    <t xml:space="preserve">斎藤　太星</t>
  </si>
  <si>
    <t xml:space="preserve">竹田　幸生</t>
  </si>
  <si>
    <t xml:space="preserve">青木　健瑠</t>
  </si>
  <si>
    <t xml:space="preserve">豊岡　雄士</t>
  </si>
  <si>
    <t xml:space="preserve">石田　勝海</t>
  </si>
  <si>
    <t xml:space="preserve">高橋　岳人</t>
  </si>
  <si>
    <r>
      <rPr>
        <sz val="10"/>
        <color rgb="FF000000"/>
        <rFont val="WenQuanYi Zen Hei"/>
        <family val="2"/>
      </rPr>
      <t xml:space="preserve">手動計時：</t>
    </r>
    <r>
      <rPr>
        <sz val="10"/>
        <color rgb="FF000000"/>
        <rFont val="HGPｺﾞｼｯｸM"/>
        <family val="0"/>
        <charset val="1"/>
      </rPr>
      <t xml:space="preserve">1500m</t>
    </r>
  </si>
  <si>
    <t xml:space="preserve">森田　翔星</t>
  </si>
  <si>
    <t xml:space="preserve">小川　蒼平</t>
  </si>
  <si>
    <t xml:space="preserve">富吉　海翔</t>
  </si>
  <si>
    <t xml:space="preserve">寺内　諒太</t>
  </si>
  <si>
    <t xml:space="preserve">二松学舎大附柏高</t>
  </si>
  <si>
    <t xml:space="preserve">奥山　陽斗</t>
  </si>
  <si>
    <t xml:space="preserve">前田　駿</t>
  </si>
  <si>
    <t xml:space="preserve">大山　奏音</t>
  </si>
  <si>
    <t xml:space="preserve">武藤　瑛太</t>
  </si>
  <si>
    <t xml:space="preserve">佐々木　真斗</t>
  </si>
  <si>
    <t xml:space="preserve">小林　篤史</t>
  </si>
  <si>
    <t xml:space="preserve">相模原中等高</t>
  </si>
  <si>
    <t xml:space="preserve">菊地　莉空</t>
  </si>
  <si>
    <t xml:space="preserve">西邑楽高</t>
  </si>
  <si>
    <t xml:space="preserve">山下　詩恩</t>
  </si>
  <si>
    <t xml:space="preserve">倉本　琉心</t>
  </si>
  <si>
    <t xml:space="preserve">壱岐高</t>
  </si>
  <si>
    <t xml:space="preserve">野村　勘心</t>
  </si>
  <si>
    <t xml:space="preserve">吉川　敦悠</t>
  </si>
  <si>
    <t xml:space="preserve">松村　伊晟</t>
  </si>
  <si>
    <t xml:space="preserve">羽水高</t>
  </si>
  <si>
    <t xml:space="preserve">村上　樹</t>
  </si>
  <si>
    <t xml:space="preserve">中森　智治</t>
  </si>
  <si>
    <t xml:space="preserve">同名の別選手あり（酒田南高）</t>
  </si>
  <si>
    <t xml:space="preserve">筒井　遥斗</t>
  </si>
  <si>
    <t xml:space="preserve">正司　尚輝</t>
  </si>
  <si>
    <t xml:space="preserve">上高原　翔</t>
  </si>
  <si>
    <t xml:space="preserve">鎌倉学園高</t>
  </si>
  <si>
    <t xml:space="preserve">又城　沙俊</t>
  </si>
  <si>
    <t xml:space="preserve">鏡山　裕己</t>
  </si>
  <si>
    <t xml:space="preserve">渡辺　悠真</t>
  </si>
  <si>
    <t xml:space="preserve">花崎　陽仁</t>
  </si>
  <si>
    <t xml:space="preserve">相生高</t>
  </si>
  <si>
    <t xml:space="preserve">吉原　優</t>
  </si>
  <si>
    <t xml:space="preserve">加賀　壮志</t>
  </si>
  <si>
    <t xml:space="preserve">加藤　創士</t>
  </si>
  <si>
    <t xml:space="preserve">竜ケ崎一高</t>
  </si>
  <si>
    <t xml:space="preserve">伊藤　蒼</t>
  </si>
  <si>
    <t xml:space="preserve">鎌倉　尊</t>
  </si>
  <si>
    <t xml:space="preserve">千葉　創太</t>
  </si>
  <si>
    <t xml:space="preserve">佐藤　秀真</t>
  </si>
  <si>
    <t xml:space="preserve">有田　陽生</t>
  </si>
  <si>
    <t xml:space="preserve">八幡工高</t>
  </si>
  <si>
    <t xml:space="preserve">鎌田　隼年</t>
  </si>
  <si>
    <t xml:space="preserve">池尻　拓未</t>
  </si>
  <si>
    <t xml:space="preserve">広島大附高</t>
  </si>
  <si>
    <t xml:space="preserve">井手　健</t>
  </si>
  <si>
    <t xml:space="preserve">広島　亨介</t>
  </si>
  <si>
    <t xml:space="preserve">坂出高</t>
  </si>
  <si>
    <t xml:space="preserve">長谷川　皓平</t>
  </si>
  <si>
    <t xml:space="preserve">山本　優樹</t>
  </si>
  <si>
    <t xml:space="preserve">須藤　夏生</t>
  </si>
  <si>
    <t xml:space="preserve">下妻二高</t>
  </si>
  <si>
    <t xml:space="preserve">橘高　尊</t>
  </si>
  <si>
    <t xml:space="preserve">川口北高</t>
  </si>
  <si>
    <t xml:space="preserve">古賀　雄大</t>
  </si>
  <si>
    <t xml:space="preserve">旭川志峯高</t>
  </si>
  <si>
    <t xml:space="preserve">浅野　光祐</t>
  </si>
  <si>
    <t xml:space="preserve">金沢　俊輝</t>
  </si>
  <si>
    <t xml:space="preserve">石塚　聖河</t>
  </si>
  <si>
    <t xml:space="preserve">港北高</t>
  </si>
  <si>
    <t xml:space="preserve">久保　悠真</t>
  </si>
  <si>
    <t xml:space="preserve">同名の別選手あり（西条農高）</t>
  </si>
  <si>
    <t xml:space="preserve">高寺　翌桧</t>
  </si>
  <si>
    <t xml:space="preserve">大嶋　康生</t>
  </si>
  <si>
    <t xml:space="preserve">甲府東高</t>
  </si>
  <si>
    <t xml:space="preserve">徳重　伸</t>
  </si>
  <si>
    <t xml:space="preserve">呉高専</t>
  </si>
  <si>
    <t xml:space="preserve">江崎　ブライアン</t>
  </si>
  <si>
    <t xml:space="preserve">宮崎　寛士</t>
  </si>
  <si>
    <t xml:space="preserve">中島　海利</t>
  </si>
  <si>
    <t xml:space="preserve">小桜　奏太</t>
  </si>
  <si>
    <t xml:space="preserve">霜島　光希</t>
  </si>
  <si>
    <t xml:space="preserve">菅原　颯佑</t>
  </si>
  <si>
    <t xml:space="preserve">田中　翔樹</t>
  </si>
  <si>
    <t xml:space="preserve">大体大浪商高</t>
  </si>
  <si>
    <t xml:space="preserve">後藤　総汰</t>
  </si>
  <si>
    <t xml:space="preserve">橋　 　空也</t>
  </si>
  <si>
    <t xml:space="preserve">小松　雄朔</t>
  </si>
  <si>
    <t xml:space="preserve">安房高</t>
  </si>
  <si>
    <t xml:space="preserve">品田　京平</t>
  </si>
  <si>
    <t xml:space="preserve">小千谷高</t>
  </si>
  <si>
    <t xml:space="preserve">小野田　昊輝</t>
  </si>
  <si>
    <t xml:space="preserve">佐藤　朔</t>
  </si>
  <si>
    <t xml:space="preserve">遠藤　大翔</t>
  </si>
  <si>
    <t xml:space="preserve">加藤　悠真</t>
  </si>
  <si>
    <t xml:space="preserve">西尾高</t>
  </si>
  <si>
    <t xml:space="preserve">望月　光太</t>
  </si>
  <si>
    <t xml:space="preserve">柳田　温真</t>
  </si>
  <si>
    <t xml:space="preserve">竹内　一瑳</t>
  </si>
  <si>
    <t xml:space="preserve">猪口　琉汰</t>
  </si>
  <si>
    <t xml:space="preserve">林　 　誠也</t>
  </si>
  <si>
    <t xml:space="preserve">矢野　高臣</t>
  </si>
  <si>
    <t xml:space="preserve">徳元　奏太</t>
  </si>
  <si>
    <t xml:space="preserve">大森　悠喜</t>
  </si>
  <si>
    <t xml:space="preserve">武田　宗将</t>
  </si>
  <si>
    <t xml:space="preserve">吉浦　育飛</t>
  </si>
  <si>
    <t xml:space="preserve">菅原真太朗</t>
  </si>
  <si>
    <t xml:space="preserve">大曲高</t>
  </si>
  <si>
    <t xml:space="preserve">岩本幸志郎</t>
  </si>
  <si>
    <t xml:space="preserve">松永　空太</t>
  </si>
  <si>
    <t xml:space="preserve">鹿児島南高</t>
  </si>
  <si>
    <t xml:space="preserve">近野　孝太郎</t>
  </si>
  <si>
    <t xml:space="preserve">西部　尊</t>
  </si>
  <si>
    <t xml:space="preserve">日野　颯太</t>
  </si>
  <si>
    <t xml:space="preserve">松江工高</t>
  </si>
  <si>
    <t xml:space="preserve">ブラウン　レオ</t>
  </si>
  <si>
    <t xml:space="preserve">斎藤　英翔</t>
  </si>
  <si>
    <t xml:space="preserve">東京学館新潟高</t>
  </si>
  <si>
    <t xml:space="preserve">剣持　唯都</t>
  </si>
  <si>
    <t xml:space="preserve">磯辺高</t>
  </si>
  <si>
    <t xml:space="preserve">外勢礼央夢</t>
  </si>
  <si>
    <t xml:space="preserve">大曽根　悠</t>
  </si>
  <si>
    <t xml:space="preserve">鶴田　義和</t>
  </si>
  <si>
    <t xml:space="preserve">桃尾　奏志</t>
  </si>
  <si>
    <t xml:space="preserve">神戸高塚高</t>
  </si>
  <si>
    <t xml:space="preserve">川澄　優太</t>
  </si>
  <si>
    <t xml:space="preserve">前原　寿至</t>
  </si>
  <si>
    <t xml:space="preserve">桜井　新太</t>
  </si>
  <si>
    <t xml:space="preserve">山形市商高</t>
  </si>
  <si>
    <t xml:space="preserve">堀口　健丸</t>
  </si>
  <si>
    <t xml:space="preserve">同名の別選手あり（小倉南高）</t>
  </si>
  <si>
    <t xml:space="preserve">山田　心</t>
  </si>
  <si>
    <t xml:space="preserve">井指　陽介</t>
  </si>
  <si>
    <t xml:space="preserve">菅原　真之輔</t>
  </si>
  <si>
    <t xml:space="preserve">致道館高</t>
  </si>
  <si>
    <t xml:space="preserve">青木　凰陽</t>
  </si>
  <si>
    <t xml:space="preserve">菊川　智弘</t>
  </si>
  <si>
    <t xml:space="preserve">広島なぎさ高</t>
  </si>
  <si>
    <t xml:space="preserve">赤堀　寛仁</t>
  </si>
  <si>
    <t xml:space="preserve">浜北西高</t>
  </si>
  <si>
    <t xml:space="preserve">渡辺　孝哉</t>
  </si>
  <si>
    <t xml:space="preserve">辻　 　詠太</t>
  </si>
  <si>
    <t xml:space="preserve">服部　奏斗</t>
  </si>
  <si>
    <t xml:space="preserve">島戸　政次郎</t>
  </si>
  <si>
    <t xml:space="preserve">三池高</t>
  </si>
  <si>
    <t xml:space="preserve">吉野　優大</t>
  </si>
  <si>
    <t xml:space="preserve">左向　真空</t>
  </si>
  <si>
    <t xml:space="preserve">菊池　玲音</t>
  </si>
  <si>
    <t xml:space="preserve">泉　 　絆士郎</t>
  </si>
  <si>
    <t xml:space="preserve">岩瀬　優志</t>
  </si>
  <si>
    <t xml:space="preserve">小郡高</t>
  </si>
  <si>
    <t xml:space="preserve">矢端　遼</t>
  </si>
  <si>
    <t xml:space="preserve">浜口　嵐</t>
  </si>
  <si>
    <t xml:space="preserve">金井　瑞穂</t>
  </si>
  <si>
    <t xml:space="preserve">八木橋和紀</t>
  </si>
  <si>
    <t xml:space="preserve">磐城高</t>
  </si>
  <si>
    <t xml:space="preserve">川田　悠木</t>
  </si>
  <si>
    <t xml:space="preserve">金井　優空</t>
  </si>
  <si>
    <t xml:space="preserve">堀　 　維真</t>
  </si>
  <si>
    <t xml:space="preserve">石川高専</t>
  </si>
  <si>
    <t xml:space="preserve">杉町　橙</t>
  </si>
  <si>
    <t xml:space="preserve">京都翔英高</t>
  </si>
  <si>
    <t xml:space="preserve">松沢　卓三</t>
  </si>
  <si>
    <t xml:space="preserve">木村　祐介</t>
  </si>
  <si>
    <t xml:space="preserve">橋本　敏</t>
  </si>
  <si>
    <t xml:space="preserve">河村　優希</t>
  </si>
  <si>
    <t xml:space="preserve">藤井寺高</t>
  </si>
  <si>
    <t xml:space="preserve">遠藤　風雅</t>
  </si>
  <si>
    <t xml:space="preserve">吉本龍之介</t>
  </si>
  <si>
    <t xml:space="preserve">伊万里実業高</t>
  </si>
  <si>
    <t xml:space="preserve">高木　悠太</t>
  </si>
  <si>
    <t xml:space="preserve">黒田　嘉人</t>
  </si>
  <si>
    <t xml:space="preserve">神戸甲北高</t>
  </si>
  <si>
    <t xml:space="preserve">徳永　陽大</t>
  </si>
  <si>
    <t xml:space="preserve">東島　大成</t>
  </si>
  <si>
    <t xml:space="preserve">山田　稜晟</t>
  </si>
  <si>
    <t xml:space="preserve">荻田　裕央</t>
  </si>
  <si>
    <t xml:space="preserve">高知国際高</t>
  </si>
  <si>
    <t xml:space="preserve">飯塚　篤弥</t>
  </si>
  <si>
    <t xml:space="preserve">石山　竜聖</t>
  </si>
  <si>
    <t xml:space="preserve">函館中部高</t>
  </si>
  <si>
    <t xml:space="preserve">桜井　優諒</t>
  </si>
  <si>
    <t xml:space="preserve">市浦和高</t>
  </si>
  <si>
    <t xml:space="preserve">久保田　悠路</t>
  </si>
  <si>
    <t xml:space="preserve">宮古商工高</t>
  </si>
  <si>
    <t xml:space="preserve">打田　聖真</t>
  </si>
  <si>
    <t xml:space="preserve">米本　陸斗</t>
  </si>
  <si>
    <t xml:space="preserve">南陽工高</t>
  </si>
  <si>
    <t xml:space="preserve">畑田　優太</t>
  </si>
  <si>
    <t xml:space="preserve">野坂　怜央</t>
  </si>
  <si>
    <t xml:space="preserve">砂川　治斗</t>
  </si>
  <si>
    <t xml:space="preserve">區皓駿</t>
  </si>
  <si>
    <t xml:space="preserve">Ｄｉｏｃｅｓａｎ Ｂｏｙｓ’ Ｓｃｈｏｏｌ</t>
  </si>
  <si>
    <t xml:space="preserve">小林　右京</t>
  </si>
  <si>
    <t xml:space="preserve">熊本　珠樹</t>
  </si>
  <si>
    <t xml:space="preserve">小林　夕馬</t>
  </si>
  <si>
    <t xml:space="preserve">小田　湧斗</t>
  </si>
  <si>
    <t xml:space="preserve">坂本　一桂</t>
  </si>
  <si>
    <t xml:space="preserve">渡辺　大舞</t>
  </si>
  <si>
    <t xml:space="preserve">福永　一颯</t>
  </si>
  <si>
    <t xml:space="preserve">福島　拳成</t>
  </si>
  <si>
    <t xml:space="preserve">岡崎　丈</t>
  </si>
  <si>
    <t xml:space="preserve">内海　智希</t>
  </si>
  <si>
    <t xml:space="preserve">桜井　諒河</t>
  </si>
  <si>
    <t xml:space="preserve">真岡高</t>
  </si>
  <si>
    <t xml:space="preserve">弓指　浩平</t>
  </si>
  <si>
    <t xml:space="preserve">石本　翔生</t>
  </si>
  <si>
    <t xml:space="preserve">野田　匡人</t>
  </si>
  <si>
    <t xml:space="preserve">奈良原　優</t>
  </si>
  <si>
    <t xml:space="preserve">大島　瑛斗</t>
  </si>
  <si>
    <t xml:space="preserve">高久　湧雅</t>
  </si>
  <si>
    <t xml:space="preserve">川口　澄海</t>
  </si>
  <si>
    <t xml:space="preserve">山廼辺　渉</t>
  </si>
  <si>
    <t xml:space="preserve">磐城桜が丘高</t>
  </si>
  <si>
    <t xml:space="preserve">井上　銀次</t>
  </si>
  <si>
    <t xml:space="preserve">藤野　汰一</t>
  </si>
  <si>
    <t xml:space="preserve">井田　陸王</t>
  </si>
  <si>
    <t xml:space="preserve">雲雀丘高</t>
  </si>
  <si>
    <t xml:space="preserve">藤井　璃紘</t>
  </si>
  <si>
    <t xml:space="preserve">神奈川大附高</t>
  </si>
  <si>
    <t xml:space="preserve">中村　律</t>
  </si>
  <si>
    <t xml:space="preserve">橋爪　悠真</t>
  </si>
  <si>
    <t xml:space="preserve">鳥栖高</t>
  </si>
  <si>
    <t xml:space="preserve">和田　将明</t>
  </si>
  <si>
    <t xml:space="preserve">杉村　優介</t>
  </si>
  <si>
    <t xml:space="preserve">八幡高</t>
  </si>
  <si>
    <t xml:space="preserve">藤本　琉希</t>
  </si>
  <si>
    <t xml:space="preserve">斎藤　希祐</t>
  </si>
  <si>
    <t xml:space="preserve">筑前高</t>
  </si>
  <si>
    <t xml:space="preserve">新坂　祐斗</t>
  </si>
  <si>
    <t xml:space="preserve">人吉高</t>
  </si>
  <si>
    <t xml:space="preserve">阿部　楓士</t>
  </si>
  <si>
    <t xml:space="preserve">富田　健芯</t>
  </si>
  <si>
    <t xml:space="preserve">修猷館高</t>
  </si>
  <si>
    <t xml:space="preserve">藤尾　怜生</t>
  </si>
  <si>
    <t xml:space="preserve">吉田　緯空</t>
  </si>
  <si>
    <t xml:space="preserve">黒川　陽太郎</t>
  </si>
  <si>
    <t xml:space="preserve">米子西高</t>
  </si>
  <si>
    <t xml:space="preserve">森下　颯斗</t>
  </si>
  <si>
    <t xml:space="preserve">北　 　陽生</t>
  </si>
  <si>
    <t xml:space="preserve">成東高</t>
  </si>
  <si>
    <t xml:space="preserve">小島　拓朗</t>
  </si>
  <si>
    <t xml:space="preserve">新潟南高</t>
  </si>
  <si>
    <t xml:space="preserve">古谷　勇</t>
  </si>
  <si>
    <t xml:space="preserve">倉敷工高</t>
  </si>
  <si>
    <t xml:space="preserve">六車　遼太</t>
  </si>
  <si>
    <t xml:space="preserve">都石神井高</t>
  </si>
  <si>
    <t xml:space="preserve">岸　 　春輝</t>
  </si>
  <si>
    <t xml:space="preserve">高崎北高</t>
  </si>
  <si>
    <t xml:space="preserve">森　 　悠登</t>
  </si>
  <si>
    <t xml:space="preserve">岡田　健人</t>
  </si>
  <si>
    <t xml:space="preserve">真鍋　龍心</t>
  </si>
  <si>
    <t xml:space="preserve">有本　圭吾</t>
  </si>
  <si>
    <t xml:space="preserve">咲くやこの花高</t>
  </si>
  <si>
    <t xml:space="preserve">奥田　陽輝</t>
  </si>
  <si>
    <t xml:space="preserve">神奈川陸協</t>
  </si>
  <si>
    <t xml:space="preserve">武川　大雅</t>
  </si>
  <si>
    <t xml:space="preserve">長島　悠渡</t>
  </si>
  <si>
    <t xml:space="preserve">多治見北高</t>
  </si>
  <si>
    <t xml:space="preserve">水谷　柊人</t>
  </si>
  <si>
    <t xml:space="preserve">赤塚　佑星</t>
  </si>
  <si>
    <t xml:space="preserve">野口　翔登</t>
  </si>
  <si>
    <t xml:space="preserve">大久保　圭悟</t>
  </si>
  <si>
    <t xml:space="preserve">飯室　幸真</t>
  </si>
  <si>
    <t xml:space="preserve">福島　諒</t>
  </si>
  <si>
    <t xml:space="preserve">藤島高</t>
  </si>
  <si>
    <t xml:space="preserve">白石　渚</t>
  </si>
  <si>
    <t xml:space="preserve">大船渡高</t>
  </si>
  <si>
    <t xml:space="preserve">石川　巧</t>
  </si>
  <si>
    <t xml:space="preserve">山口　清夢</t>
  </si>
  <si>
    <t xml:space="preserve">斎藤　旬</t>
  </si>
  <si>
    <t xml:space="preserve">池田　稜弥</t>
  </si>
  <si>
    <t xml:space="preserve">栗木　康太</t>
  </si>
  <si>
    <t xml:space="preserve">横山　睦樹</t>
  </si>
  <si>
    <t xml:space="preserve">宮田　怜治</t>
  </si>
  <si>
    <t xml:space="preserve">海妻　靖久</t>
  </si>
  <si>
    <t xml:space="preserve">増田　拓朗</t>
  </si>
  <si>
    <t xml:space="preserve">島田工高</t>
  </si>
  <si>
    <t xml:space="preserve">小西　温葵</t>
  </si>
  <si>
    <t xml:space="preserve">松本　竜其</t>
  </si>
  <si>
    <t xml:space="preserve">藤本　倖成</t>
  </si>
  <si>
    <t xml:space="preserve">千葉明徳高</t>
  </si>
  <si>
    <t xml:space="preserve">田中　駿太郎</t>
  </si>
  <si>
    <t xml:space="preserve">谷内　颯</t>
  </si>
  <si>
    <t xml:space="preserve">権太　将利</t>
  </si>
  <si>
    <t xml:space="preserve">佐藤　豪</t>
  </si>
  <si>
    <t xml:space="preserve">渡辺一輝</t>
  </si>
  <si>
    <t xml:space="preserve">安楽　航太</t>
  </si>
  <si>
    <t xml:space="preserve">都城西高</t>
  </si>
  <si>
    <t xml:space="preserve">十河　晴樹</t>
  </si>
  <si>
    <t xml:space="preserve">福知山高</t>
  </si>
  <si>
    <t xml:space="preserve">浅原　龍之介</t>
  </si>
  <si>
    <t xml:space="preserve">富士田　聡太郎</t>
  </si>
  <si>
    <t xml:space="preserve">高津高</t>
  </si>
  <si>
    <t xml:space="preserve">横沢　春希</t>
  </si>
  <si>
    <t xml:space="preserve">波岸　凰介</t>
  </si>
  <si>
    <t xml:space="preserve">小西　立真</t>
  </si>
  <si>
    <t xml:space="preserve">大垣北高</t>
  </si>
  <si>
    <t xml:space="preserve">原田　将吾</t>
  </si>
  <si>
    <t xml:space="preserve">大角　剛琉</t>
  </si>
  <si>
    <t xml:space="preserve">滝下　響</t>
  </si>
  <si>
    <t xml:space="preserve">伊藤　蒼空</t>
  </si>
  <si>
    <t xml:space="preserve">大垣工高</t>
  </si>
  <si>
    <t xml:space="preserve">藤原　大和</t>
  </si>
  <si>
    <t xml:space="preserve">八鹿高</t>
  </si>
  <si>
    <t xml:space="preserve">山田　郁</t>
  </si>
  <si>
    <t xml:space="preserve">西武台高</t>
  </si>
  <si>
    <t xml:space="preserve">依田　開聖</t>
  </si>
  <si>
    <t xml:space="preserve">水田　叶希</t>
  </si>
  <si>
    <t xml:space="preserve">北九州高専</t>
  </si>
  <si>
    <t xml:space="preserve">生田　和獅</t>
  </si>
  <si>
    <t xml:space="preserve">荒井　愛斗</t>
  </si>
  <si>
    <t xml:space="preserve">日大藤沢高</t>
  </si>
  <si>
    <t xml:space="preserve">永井　結崇</t>
  </si>
  <si>
    <t xml:space="preserve">松本　琉生</t>
  </si>
  <si>
    <t xml:space="preserve">同名の別選手あり（水戸葵陵高校）</t>
  </si>
  <si>
    <t xml:space="preserve">古沢　輝翔</t>
  </si>
  <si>
    <t xml:space="preserve">真岡工高</t>
  </si>
  <si>
    <t xml:space="preserve">原　 　祥太</t>
  </si>
  <si>
    <t xml:space="preserve">永井　悠葵</t>
  </si>
  <si>
    <t xml:space="preserve">都野津田高</t>
  </si>
  <si>
    <t xml:space="preserve">千葉　映仁</t>
  </si>
  <si>
    <t xml:space="preserve">栗原　剛輝</t>
  </si>
  <si>
    <t xml:space="preserve">竹原　勇生</t>
  </si>
  <si>
    <t xml:space="preserve">山　 　大翔</t>
  </si>
  <si>
    <t xml:space="preserve">玉名工高</t>
  </si>
  <si>
    <t xml:space="preserve">川島　朔</t>
  </si>
  <si>
    <t xml:space="preserve">春日井</t>
  </si>
  <si>
    <t xml:space="preserve">佐藤　樹希</t>
  </si>
  <si>
    <t xml:space="preserve">いなべ総合学園高</t>
  </si>
  <si>
    <t xml:space="preserve">直井　琥太郎</t>
  </si>
  <si>
    <t xml:space="preserve">越谷南高</t>
  </si>
  <si>
    <t xml:space="preserve">近藤　匠真</t>
  </si>
  <si>
    <t xml:space="preserve">山辺　朱夏</t>
  </si>
  <si>
    <t xml:space="preserve">米子高専</t>
  </si>
  <si>
    <t xml:space="preserve">田口　煌司</t>
  </si>
  <si>
    <t xml:space="preserve">高田　蒼空</t>
  </si>
  <si>
    <t xml:space="preserve">二ノ宮　大知</t>
  </si>
  <si>
    <t xml:space="preserve">浜咲　優翔</t>
  </si>
  <si>
    <t xml:space="preserve">伊藤　絋一郎</t>
  </si>
  <si>
    <t xml:space="preserve">札幌龍谷高</t>
  </si>
  <si>
    <t xml:space="preserve">鈴木　侑</t>
  </si>
  <si>
    <t xml:space="preserve">松崎高</t>
  </si>
  <si>
    <t xml:space="preserve">三条　太土</t>
  </si>
  <si>
    <t xml:space="preserve">清水　幸夢</t>
  </si>
  <si>
    <t xml:space="preserve">根上　漣</t>
  </si>
  <si>
    <t xml:space="preserve">木村　光佑</t>
  </si>
  <si>
    <t xml:space="preserve">武田高</t>
  </si>
  <si>
    <t xml:space="preserve">下　 　隼人</t>
  </si>
  <si>
    <t xml:space="preserve">坂本　諭太</t>
  </si>
  <si>
    <t xml:space="preserve">栄木　快心</t>
  </si>
  <si>
    <t xml:space="preserve">諌早農高</t>
  </si>
  <si>
    <t xml:space="preserve">大山　椋平</t>
  </si>
  <si>
    <t xml:space="preserve">高島高</t>
  </si>
  <si>
    <t xml:space="preserve">田原　佑真</t>
  </si>
  <si>
    <t xml:space="preserve">大川　漣生</t>
  </si>
  <si>
    <t xml:space="preserve">田岡　将和</t>
  </si>
  <si>
    <t xml:space="preserve">久保真直人</t>
  </si>
  <si>
    <t xml:space="preserve">土方　廉矢</t>
  </si>
  <si>
    <t xml:space="preserve">堀越高</t>
  </si>
  <si>
    <t xml:space="preserve">秋田　優真</t>
  </si>
  <si>
    <t xml:space="preserve">都調布北高</t>
  </si>
  <si>
    <t xml:space="preserve">桑木　哲央</t>
  </si>
  <si>
    <t xml:space="preserve">横須賀学院高</t>
  </si>
  <si>
    <t xml:space="preserve">片桐　友朔</t>
  </si>
  <si>
    <t xml:space="preserve">奈良大附高</t>
  </si>
  <si>
    <t xml:space="preserve">向井　優賀</t>
  </si>
  <si>
    <t xml:space="preserve">足立　大翔</t>
  </si>
  <si>
    <t xml:space="preserve">篠崎　崇輔</t>
  </si>
  <si>
    <t xml:space="preserve">水戸工高</t>
  </si>
  <si>
    <t xml:space="preserve">平野　祐介</t>
  </si>
  <si>
    <t xml:space="preserve">山田　健太</t>
  </si>
  <si>
    <t xml:space="preserve">森下　永遠</t>
  </si>
  <si>
    <t xml:space="preserve">橋本　玲音</t>
  </si>
  <si>
    <t xml:space="preserve">林田　皇晟</t>
  </si>
  <si>
    <t xml:space="preserve">敬徳高</t>
  </si>
  <si>
    <t xml:space="preserve">高橋　匡佑</t>
  </si>
  <si>
    <t xml:space="preserve">西村　航太朗</t>
  </si>
  <si>
    <t xml:space="preserve">呉三津田高</t>
  </si>
  <si>
    <t xml:space="preserve">小坂　壮吾</t>
  </si>
  <si>
    <t xml:space="preserve">大川　和寿</t>
  </si>
  <si>
    <t xml:space="preserve">丸本浩太郎</t>
  </si>
  <si>
    <t xml:space="preserve">小林　勇斗</t>
  </si>
  <si>
    <t xml:space="preserve">新湊高</t>
  </si>
  <si>
    <t xml:space="preserve">小原　大和</t>
  </si>
  <si>
    <t xml:space="preserve">松岡　真輝</t>
  </si>
  <si>
    <t xml:space="preserve">本多　竣</t>
  </si>
  <si>
    <t xml:space="preserve">沼田高</t>
  </si>
  <si>
    <t xml:space="preserve">水野　蒼空</t>
  </si>
  <si>
    <t xml:space="preserve">富山工高</t>
  </si>
  <si>
    <t xml:space="preserve">戸田　大夢</t>
  </si>
  <si>
    <t xml:space="preserve">松尾高</t>
  </si>
  <si>
    <t xml:space="preserve">沢村　琉生</t>
  </si>
  <si>
    <t xml:space="preserve">日進西高</t>
  </si>
  <si>
    <t xml:space="preserve">山本　恭佑</t>
  </si>
  <si>
    <t xml:space="preserve">田辺　奏</t>
  </si>
  <si>
    <t xml:space="preserve">東野高</t>
  </si>
  <si>
    <t xml:space="preserve">小田桐皇輝</t>
  </si>
  <si>
    <t xml:space="preserve">竹井　翔真</t>
  </si>
  <si>
    <t xml:space="preserve">岡山操山高</t>
  </si>
  <si>
    <t xml:space="preserve">林　 　穣治</t>
  </si>
  <si>
    <t xml:space="preserve">豊橋工高</t>
  </si>
  <si>
    <t xml:space="preserve">三浦　航</t>
  </si>
  <si>
    <t xml:space="preserve">清水　岳</t>
  </si>
  <si>
    <t xml:space="preserve">船久保　稜太</t>
  </si>
  <si>
    <t xml:space="preserve">瀬戸西高</t>
  </si>
  <si>
    <t xml:space="preserve">渡辺　真紘</t>
  </si>
  <si>
    <t xml:space="preserve">石山　陽里</t>
  </si>
  <si>
    <t xml:space="preserve">安田　修平</t>
  </si>
  <si>
    <t xml:space="preserve">釈永　凛庵</t>
  </si>
  <si>
    <t xml:space="preserve">龍谷富山高</t>
  </si>
  <si>
    <t xml:space="preserve">安永　陽悠</t>
  </si>
  <si>
    <t xml:space="preserve">宗像高</t>
  </si>
  <si>
    <t xml:space="preserve">我部　陽太</t>
  </si>
  <si>
    <t xml:space="preserve">都新宿高</t>
  </si>
  <si>
    <t xml:space="preserve">校名表記：新宿高／都新宿高</t>
  </si>
  <si>
    <t xml:space="preserve">柳　 　慶士</t>
  </si>
  <si>
    <t xml:space="preserve">中村　晴希</t>
  </si>
  <si>
    <t xml:space="preserve">藤井　敬史郎</t>
  </si>
  <si>
    <t xml:space="preserve">名古屋市立高</t>
  </si>
  <si>
    <t xml:space="preserve">北村　愛介</t>
  </si>
  <si>
    <t xml:space="preserve">日野高</t>
  </si>
  <si>
    <t xml:space="preserve">梅原　幸太</t>
  </si>
  <si>
    <t xml:space="preserve">袋井高</t>
  </si>
  <si>
    <t xml:space="preserve">隈元　隆太</t>
  </si>
  <si>
    <t xml:space="preserve">吉田那由太</t>
  </si>
  <si>
    <t xml:space="preserve">小林　彩人</t>
  </si>
  <si>
    <t xml:space="preserve">北越高</t>
  </si>
  <si>
    <t xml:space="preserve">湯浅　充琉</t>
  </si>
  <si>
    <t xml:space="preserve">阿部　孝太郎</t>
  </si>
  <si>
    <t xml:space="preserve">初沢　尚馬</t>
  </si>
  <si>
    <t xml:space="preserve">小山　源氏</t>
  </si>
  <si>
    <t xml:space="preserve">都秋留台高</t>
  </si>
  <si>
    <t xml:space="preserve">平野　稜人</t>
  </si>
  <si>
    <t xml:space="preserve">広嵜　奏</t>
  </si>
  <si>
    <t xml:space="preserve">沖谷　羽閏</t>
  </si>
  <si>
    <t xml:space="preserve">清水　雅俊</t>
  </si>
  <si>
    <t xml:space="preserve">横畠　蒼大</t>
  </si>
  <si>
    <t xml:space="preserve">守山高</t>
  </si>
  <si>
    <t xml:space="preserve">李　 　宰成</t>
  </si>
  <si>
    <t xml:space="preserve">中尾　維吹</t>
  </si>
  <si>
    <t xml:space="preserve">佐々木　健</t>
  </si>
  <si>
    <t xml:space="preserve">谷口　晴翔</t>
  </si>
  <si>
    <t xml:space="preserve">大木　健太</t>
  </si>
  <si>
    <t xml:space="preserve">佐伯　憲吾</t>
  </si>
  <si>
    <t xml:space="preserve">横浜氷取沢高</t>
  </si>
  <si>
    <t xml:space="preserve">西内　悠記</t>
  </si>
  <si>
    <t xml:space="preserve">坂井　陽希</t>
  </si>
  <si>
    <t xml:space="preserve">植田　七碧</t>
  </si>
  <si>
    <t xml:space="preserve">宝塚東高</t>
  </si>
  <si>
    <t xml:space="preserve">藤平　海風</t>
  </si>
  <si>
    <t xml:space="preserve">青木　水南</t>
  </si>
  <si>
    <t xml:space="preserve">富士　歩夢</t>
  </si>
  <si>
    <t xml:space="preserve">葛　 　佑希</t>
  </si>
  <si>
    <t xml:space="preserve">茂原樟陽高</t>
  </si>
  <si>
    <t xml:space="preserve">清川　陵</t>
  </si>
  <si>
    <r>
      <rPr>
        <sz val="10"/>
        <color rgb="FF000000"/>
        <rFont val="WenQuanYi Zen Hei"/>
        <family val="2"/>
      </rPr>
      <t xml:space="preserve">手動計時：</t>
    </r>
    <r>
      <rPr>
        <sz val="10"/>
        <color rgb="FF000000"/>
        <rFont val="HGPｺﾞｼｯｸM"/>
        <family val="0"/>
        <charset val="1"/>
      </rPr>
      <t xml:space="preserve">5000m</t>
    </r>
  </si>
  <si>
    <t xml:space="preserve">柴原　璃空</t>
  </si>
  <si>
    <t xml:space="preserve">西山　裕惺</t>
  </si>
  <si>
    <t xml:space="preserve">山田　悟史</t>
  </si>
  <si>
    <t xml:space="preserve">仙台三高</t>
  </si>
  <si>
    <t xml:space="preserve">石橋　翔介</t>
  </si>
  <si>
    <t xml:space="preserve">同志社香里高</t>
  </si>
  <si>
    <t xml:space="preserve">浅井　雄介</t>
  </si>
  <si>
    <t xml:space="preserve">有薗　聡太朗</t>
  </si>
  <si>
    <t xml:space="preserve">五十崎　凪斗</t>
  </si>
  <si>
    <t xml:space="preserve">小田　煌翔</t>
  </si>
  <si>
    <t xml:space="preserve">小樽潮陵高</t>
  </si>
  <si>
    <t xml:space="preserve">下野　晃成</t>
  </si>
  <si>
    <t xml:space="preserve">岐阜高</t>
  </si>
  <si>
    <t xml:space="preserve">松永　拓通</t>
  </si>
  <si>
    <t xml:space="preserve">清水東高</t>
  </si>
  <si>
    <t xml:space="preserve">小松　翔波</t>
  </si>
  <si>
    <t xml:space="preserve">鶴岡工高</t>
  </si>
  <si>
    <t xml:space="preserve">坂口　岳大</t>
  </si>
  <si>
    <t xml:space="preserve">吉竹　怜央</t>
  </si>
  <si>
    <t xml:space="preserve">柏原高</t>
  </si>
  <si>
    <t xml:space="preserve">斎藤　弘哉</t>
  </si>
  <si>
    <t xml:space="preserve">大橋　悠翔</t>
  </si>
  <si>
    <t xml:space="preserve">浜名高</t>
  </si>
  <si>
    <t xml:space="preserve">相沢　怜央</t>
  </si>
  <si>
    <t xml:space="preserve">栗秋　裕人</t>
  </si>
  <si>
    <t xml:space="preserve">小倉工高</t>
  </si>
  <si>
    <t xml:space="preserve">長谷川　謙太</t>
  </si>
  <si>
    <t xml:space="preserve">成瀬　朔</t>
  </si>
  <si>
    <t xml:space="preserve">八女学院高</t>
  </si>
  <si>
    <t xml:space="preserve">谷村　光哉</t>
  </si>
  <si>
    <t xml:space="preserve">大島高</t>
  </si>
  <si>
    <t xml:space="preserve">古舘　拓</t>
  </si>
  <si>
    <t xml:space="preserve">盛岡中央高</t>
  </si>
  <si>
    <t xml:space="preserve">松浦　弘樹</t>
  </si>
  <si>
    <t xml:space="preserve">市福翔高</t>
  </si>
  <si>
    <t xml:space="preserve">山田　惺央</t>
  </si>
  <si>
    <t xml:space="preserve">藤井　孝晟</t>
  </si>
  <si>
    <t xml:space="preserve">与那嶺月渚</t>
  </si>
  <si>
    <t xml:space="preserve">二本木　真輝</t>
  </si>
  <si>
    <t xml:space="preserve">鈴木　秀幸</t>
  </si>
  <si>
    <t xml:space="preserve">松原　志隆</t>
  </si>
  <si>
    <t xml:space="preserve">綿貫倖太郎</t>
  </si>
  <si>
    <t xml:space="preserve">田中　鉄大</t>
  </si>
  <si>
    <t xml:space="preserve">馬場　健人</t>
  </si>
  <si>
    <t xml:space="preserve">森下　大空</t>
  </si>
  <si>
    <t xml:space="preserve">宮崎　康太</t>
  </si>
  <si>
    <t xml:space="preserve">三好　裕心</t>
  </si>
  <si>
    <t xml:space="preserve">吉成　快星</t>
  </si>
  <si>
    <t xml:space="preserve">谷口　昊</t>
  </si>
  <si>
    <t xml:space="preserve">小松　優月</t>
  </si>
  <si>
    <t xml:space="preserve">若林　祥太</t>
  </si>
  <si>
    <t xml:space="preserve">ＥＶＯ・ＴＣ</t>
  </si>
  <si>
    <t xml:space="preserve">守安　清匡</t>
  </si>
  <si>
    <t xml:space="preserve">木村　海人</t>
  </si>
  <si>
    <t xml:space="preserve">山本　桂士</t>
  </si>
  <si>
    <t xml:space="preserve">福岡舞鶴高</t>
  </si>
  <si>
    <t xml:space="preserve">西村　敦</t>
  </si>
  <si>
    <t xml:space="preserve">武者　陽</t>
  </si>
  <si>
    <t xml:space="preserve">植原　康瑛</t>
  </si>
  <si>
    <t xml:space="preserve">笛吹高</t>
  </si>
  <si>
    <t xml:space="preserve">北辻　陽平</t>
  </si>
  <si>
    <t xml:space="preserve">長谷川雅皇</t>
  </si>
  <si>
    <t xml:space="preserve">時田　悠椰</t>
  </si>
  <si>
    <t xml:space="preserve">駒ケ嶺　尚輝</t>
  </si>
  <si>
    <t xml:space="preserve">岩槻高</t>
  </si>
  <si>
    <t xml:space="preserve">和田　陽希</t>
  </si>
  <si>
    <t xml:space="preserve">荒井　啓</t>
  </si>
  <si>
    <t xml:space="preserve">伊賀　大悟</t>
  </si>
  <si>
    <t xml:space="preserve">平野　智春</t>
  </si>
  <si>
    <t xml:space="preserve">武　 　航生</t>
  </si>
  <si>
    <t xml:space="preserve">奥田　光貴</t>
  </si>
  <si>
    <t xml:space="preserve">細野　拓海</t>
  </si>
  <si>
    <t xml:space="preserve">山岡　琉</t>
  </si>
  <si>
    <t xml:space="preserve">府中高</t>
  </si>
  <si>
    <t xml:space="preserve">丸山　冬悟</t>
  </si>
  <si>
    <t xml:space="preserve">竹下　翼冴</t>
  </si>
  <si>
    <t xml:space="preserve">安芸南高</t>
  </si>
  <si>
    <t xml:space="preserve">小笠原　悠斗</t>
  </si>
  <si>
    <t xml:space="preserve">たちばな高</t>
  </si>
  <si>
    <t xml:space="preserve">松尾　一樹</t>
  </si>
  <si>
    <t xml:space="preserve">山中　絢心</t>
  </si>
  <si>
    <t xml:space="preserve">滋賀短大附高</t>
  </si>
  <si>
    <t xml:space="preserve">中山　大河</t>
  </si>
  <si>
    <t xml:space="preserve">黒田　虎太郎</t>
  </si>
  <si>
    <t xml:space="preserve">静内高</t>
  </si>
  <si>
    <t xml:space="preserve">鈴木　陽大</t>
  </si>
  <si>
    <t xml:space="preserve">亀田　煌斗</t>
  </si>
  <si>
    <t xml:space="preserve">釧路明輝高</t>
  </si>
  <si>
    <t xml:space="preserve">坂井　睦人</t>
  </si>
  <si>
    <t xml:space="preserve">原町高</t>
  </si>
  <si>
    <t xml:space="preserve">深山　巧翔</t>
  </si>
  <si>
    <t xml:space="preserve">向上高</t>
  </si>
  <si>
    <t xml:space="preserve">末吉　結翔</t>
  </si>
  <si>
    <t xml:space="preserve">島原高</t>
  </si>
  <si>
    <t xml:space="preserve">水野　恭輔</t>
  </si>
  <si>
    <t xml:space="preserve">千葉西高</t>
  </si>
  <si>
    <t xml:space="preserve">金沢　寛貴</t>
  </si>
  <si>
    <t xml:space="preserve">大内　音弥</t>
  </si>
  <si>
    <t xml:space="preserve">福嶋　蒼大</t>
  </si>
  <si>
    <t xml:space="preserve">小菅　絆</t>
  </si>
  <si>
    <t xml:space="preserve">春日部共栄高</t>
  </si>
  <si>
    <t xml:space="preserve">岩佐　拓斗</t>
  </si>
  <si>
    <t xml:space="preserve">門馬　有利</t>
  </si>
  <si>
    <t xml:space="preserve">山中　泰成</t>
  </si>
  <si>
    <t xml:space="preserve">岸本　成浩</t>
  </si>
  <si>
    <t xml:space="preserve">岡本　和真</t>
  </si>
  <si>
    <t xml:space="preserve">森屋　樹</t>
  </si>
  <si>
    <t xml:space="preserve">上田染谷丘高</t>
  </si>
  <si>
    <t xml:space="preserve">平見　吏都</t>
  </si>
  <si>
    <t xml:space="preserve">大谷　浩也</t>
  </si>
  <si>
    <t xml:space="preserve">生田高</t>
  </si>
  <si>
    <t xml:space="preserve">谷川　航太</t>
  </si>
  <si>
    <t xml:space="preserve">群馬陸協</t>
  </si>
  <si>
    <t xml:space="preserve">名村　太一</t>
  </si>
  <si>
    <t xml:space="preserve">並松　和心</t>
  </si>
  <si>
    <t xml:space="preserve">植松　海琉</t>
  </si>
  <si>
    <t xml:space="preserve">山田　蒼助</t>
  </si>
  <si>
    <t xml:space="preserve">石橋　大雅</t>
  </si>
  <si>
    <t xml:space="preserve">福岡工高</t>
  </si>
  <si>
    <t xml:space="preserve">西村　颯真</t>
  </si>
  <si>
    <t xml:space="preserve">金沢桜丘高</t>
  </si>
  <si>
    <t xml:space="preserve">吉見　颯真</t>
  </si>
  <si>
    <t xml:space="preserve">大渓　晟矢</t>
  </si>
  <si>
    <t xml:space="preserve">松木　悠真</t>
  </si>
  <si>
    <t xml:space="preserve">蕨高</t>
  </si>
  <si>
    <t xml:space="preserve">長牛　耀</t>
  </si>
  <si>
    <t xml:space="preserve">内藤　祐靖</t>
  </si>
  <si>
    <t xml:space="preserve">福田　冴吹</t>
  </si>
  <si>
    <t xml:space="preserve">岩田　貫</t>
  </si>
  <si>
    <t xml:space="preserve">京田　周</t>
  </si>
  <si>
    <t xml:space="preserve">守屋　幸朔</t>
  </si>
  <si>
    <t xml:space="preserve">吉川　怜玖</t>
  </si>
  <si>
    <t xml:space="preserve">城東高</t>
  </si>
  <si>
    <t xml:space="preserve">西山　隼人</t>
  </si>
  <si>
    <t xml:space="preserve">菅野　煌大</t>
  </si>
  <si>
    <t xml:space="preserve">岡崎　未来</t>
  </si>
  <si>
    <t xml:space="preserve">尾道北高</t>
  </si>
  <si>
    <t xml:space="preserve">兼子　大輝</t>
  </si>
  <si>
    <t xml:space="preserve">山本　蒼太</t>
  </si>
  <si>
    <t xml:space="preserve">川野　稜樹</t>
  </si>
  <si>
    <t xml:space="preserve">富岡西高</t>
  </si>
  <si>
    <t xml:space="preserve">飯田　晴羽</t>
  </si>
  <si>
    <t xml:space="preserve">松尾　崇雅</t>
  </si>
  <si>
    <t xml:space="preserve">野口祐ノ介</t>
  </si>
  <si>
    <t xml:space="preserve">唐津東高</t>
  </si>
  <si>
    <t xml:space="preserve">中元　結心</t>
  </si>
  <si>
    <t xml:space="preserve">野崎　聖夏</t>
  </si>
  <si>
    <t xml:space="preserve">飯野高</t>
  </si>
  <si>
    <t xml:space="preserve">今村　征史郎</t>
  </si>
  <si>
    <t xml:space="preserve">石原　優斗</t>
  </si>
  <si>
    <t xml:space="preserve">松村　欧太</t>
  </si>
  <si>
    <t xml:space="preserve">上山　夢叶</t>
  </si>
  <si>
    <t xml:space="preserve">市岐阜商高</t>
  </si>
  <si>
    <t xml:space="preserve">飯田　凌輝</t>
  </si>
  <si>
    <t xml:space="preserve">金光藤蔭高</t>
  </si>
  <si>
    <t xml:space="preserve">畠山　幸平</t>
  </si>
  <si>
    <t xml:space="preserve">敬愛学園高</t>
  </si>
  <si>
    <t xml:space="preserve">片倉　遼</t>
  </si>
  <si>
    <t xml:space="preserve">吉本　進翔</t>
  </si>
  <si>
    <t xml:space="preserve">鵠沼高</t>
  </si>
  <si>
    <t xml:space="preserve">吉田　詩音</t>
  </si>
  <si>
    <t xml:space="preserve">近大高専</t>
  </si>
  <si>
    <t xml:space="preserve">藤井　崇喜</t>
  </si>
  <si>
    <t xml:space="preserve">福山葦陽高</t>
  </si>
  <si>
    <t xml:space="preserve">崎枝　寿之</t>
  </si>
  <si>
    <t xml:space="preserve">西島　優希</t>
  </si>
  <si>
    <t xml:space="preserve">中里　翔太</t>
  </si>
  <si>
    <t xml:space="preserve">与野高</t>
  </si>
  <si>
    <t xml:space="preserve">岸　 　玲慧</t>
  </si>
  <si>
    <t xml:space="preserve">熊谷高</t>
  </si>
  <si>
    <t xml:space="preserve">月井　蒼空</t>
  </si>
  <si>
    <t xml:space="preserve">上田　凌和</t>
  </si>
  <si>
    <t xml:space="preserve">水戸桜ノ牧高</t>
  </si>
  <si>
    <t xml:space="preserve">中内　陸人</t>
  </si>
  <si>
    <t xml:space="preserve">熊本二高</t>
  </si>
  <si>
    <t xml:space="preserve">赤繁　直弥</t>
  </si>
  <si>
    <t xml:space="preserve">府中東高</t>
  </si>
  <si>
    <t xml:space="preserve">栗田　潤</t>
  </si>
  <si>
    <t xml:space="preserve">ＳＣＨＳ</t>
  </si>
  <si>
    <t xml:space="preserve">山本　将貴</t>
  </si>
  <si>
    <t xml:space="preserve">小室　璃空</t>
  </si>
  <si>
    <t xml:space="preserve">砂川　勇翔</t>
  </si>
  <si>
    <t xml:space="preserve">赤堀　陽樹</t>
  </si>
  <si>
    <t xml:space="preserve">聖隷クリストファー高</t>
  </si>
  <si>
    <t xml:space="preserve">大森　一真</t>
  </si>
  <si>
    <t xml:space="preserve">富岡高</t>
  </si>
  <si>
    <t xml:space="preserve">新井　立志</t>
  </si>
  <si>
    <t xml:space="preserve">同志社高</t>
  </si>
  <si>
    <t xml:space="preserve">塙　 　凛太郎</t>
  </si>
  <si>
    <t xml:space="preserve">綾　 　颯乃助</t>
  </si>
  <si>
    <t xml:space="preserve">観音寺総合高</t>
  </si>
  <si>
    <t xml:space="preserve">花井　海利</t>
  </si>
  <si>
    <t xml:space="preserve">金沢二水高</t>
  </si>
  <si>
    <t xml:space="preserve">田中　瑠音</t>
  </si>
  <si>
    <t xml:space="preserve">沢山滉太郎</t>
  </si>
  <si>
    <t xml:space="preserve">帯広工高</t>
  </si>
  <si>
    <t xml:space="preserve">難波　瑛俊</t>
  </si>
  <si>
    <t xml:space="preserve">関西高</t>
  </si>
  <si>
    <t xml:space="preserve">小沢逸己</t>
  </si>
  <si>
    <t xml:space="preserve">浜松工高</t>
  </si>
  <si>
    <t xml:space="preserve">長尾　凛汰朗</t>
  </si>
  <si>
    <t xml:space="preserve">淡路三原高</t>
  </si>
  <si>
    <t xml:space="preserve">清末　蒼真</t>
  </si>
  <si>
    <t xml:space="preserve">清川　恵佑</t>
  </si>
  <si>
    <t xml:space="preserve">江浦　嘉彬</t>
  </si>
  <si>
    <t xml:space="preserve">都立川高</t>
  </si>
  <si>
    <t xml:space="preserve">水戸葵陵高校</t>
  </si>
  <si>
    <t xml:space="preserve">同名の別選手あり（港北高）</t>
  </si>
  <si>
    <t xml:space="preserve">米村　健人</t>
  </si>
  <si>
    <t xml:space="preserve">雨宮　修真</t>
  </si>
  <si>
    <t xml:space="preserve">佐藤　桜士朗</t>
  </si>
  <si>
    <t xml:space="preserve">向井　俊輔</t>
  </si>
  <si>
    <t xml:space="preserve">大屋戸　聖</t>
  </si>
  <si>
    <t xml:space="preserve">有野　将貴</t>
  </si>
  <si>
    <t xml:space="preserve">鳴尾高</t>
  </si>
  <si>
    <t xml:space="preserve">丸山　千吏</t>
  </si>
  <si>
    <t xml:space="preserve">座間味　凛</t>
  </si>
  <si>
    <t xml:space="preserve">赤木　仁晟</t>
  </si>
  <si>
    <t xml:space="preserve">村田　惺</t>
  </si>
  <si>
    <t xml:space="preserve">河合　亮汰</t>
  </si>
  <si>
    <t xml:space="preserve">延沢　永真</t>
  </si>
  <si>
    <t xml:space="preserve">ＡＭＵＲＯ ＡＣ</t>
  </si>
  <si>
    <t xml:space="preserve">鈴木　遥飛</t>
  </si>
  <si>
    <t xml:space="preserve">長岡商高</t>
  </si>
  <si>
    <t xml:space="preserve">片岡　隆斗</t>
  </si>
  <si>
    <t xml:space="preserve">原　 　旺介</t>
  </si>
  <si>
    <t xml:space="preserve">畑野　駿亮</t>
  </si>
  <si>
    <t xml:space="preserve">後藤　丈</t>
  </si>
  <si>
    <t xml:space="preserve">山形学院高</t>
  </si>
  <si>
    <t xml:space="preserve">田村　俊輔</t>
  </si>
  <si>
    <t xml:space="preserve">高橋　謙信</t>
  </si>
  <si>
    <t xml:space="preserve">吉村　優斗</t>
  </si>
  <si>
    <t xml:space="preserve">松浦　龍成</t>
  </si>
  <si>
    <t xml:space="preserve">吉川　陽梧</t>
  </si>
  <si>
    <t xml:space="preserve">立命館宇治高</t>
  </si>
  <si>
    <t xml:space="preserve">椎山　遥空</t>
  </si>
  <si>
    <t xml:space="preserve">佐藤　凛太郎</t>
  </si>
  <si>
    <t xml:space="preserve">小石沢頼人</t>
  </si>
  <si>
    <t xml:space="preserve">森　 　悠人</t>
  </si>
  <si>
    <t xml:space="preserve">延岡工高</t>
  </si>
  <si>
    <t xml:space="preserve">竹山　心</t>
  </si>
  <si>
    <t xml:space="preserve">大商学園高</t>
  </si>
  <si>
    <t xml:space="preserve">新美　昂征</t>
  </si>
  <si>
    <t xml:space="preserve">佐藤　開斗</t>
  </si>
  <si>
    <t xml:space="preserve">佐藤　陽輝</t>
  </si>
  <si>
    <t xml:space="preserve">小川　真向</t>
  </si>
  <si>
    <t xml:space="preserve">佐原高</t>
  </si>
  <si>
    <t xml:space="preserve">角田　祥燿</t>
  </si>
  <si>
    <t xml:space="preserve">古川工高</t>
  </si>
  <si>
    <t xml:space="preserve">江上　泰正</t>
  </si>
  <si>
    <t xml:space="preserve">佐野　嶺</t>
  </si>
  <si>
    <t xml:space="preserve">常葉大学菊川高</t>
  </si>
  <si>
    <t xml:space="preserve">加藤　佑</t>
  </si>
  <si>
    <t xml:space="preserve">豊橋東高</t>
  </si>
  <si>
    <t xml:space="preserve">大山　陸翔</t>
  </si>
  <si>
    <t xml:space="preserve">押谷　凌多</t>
  </si>
  <si>
    <t xml:space="preserve">千種高</t>
  </si>
  <si>
    <t xml:space="preserve">中川　碧</t>
  </si>
  <si>
    <t xml:space="preserve">新城高</t>
  </si>
  <si>
    <t xml:space="preserve">大貫琳太郎</t>
  </si>
  <si>
    <t xml:space="preserve">田中　大夢</t>
  </si>
  <si>
    <t xml:space="preserve">寺岡　慧</t>
  </si>
  <si>
    <t xml:space="preserve">小林　有汰</t>
  </si>
  <si>
    <t xml:space="preserve">田之頭　陽葵</t>
  </si>
  <si>
    <t xml:space="preserve">西原　優人</t>
  </si>
  <si>
    <t xml:space="preserve">今井　洋翔</t>
  </si>
  <si>
    <t xml:space="preserve">大中　湊介</t>
  </si>
  <si>
    <t xml:space="preserve">蛯原　慶</t>
  </si>
  <si>
    <t xml:space="preserve">原　 　みらい</t>
  </si>
  <si>
    <t xml:space="preserve">田川高</t>
  </si>
  <si>
    <t xml:space="preserve">三田　海斗</t>
  </si>
  <si>
    <t xml:space="preserve">シンクレア　桜生</t>
  </si>
  <si>
    <t xml:space="preserve">高田　皓介</t>
  </si>
  <si>
    <t xml:space="preserve">平塚江南高</t>
  </si>
  <si>
    <t xml:space="preserve">岸和田　大河</t>
  </si>
  <si>
    <t xml:space="preserve">福嶋　光陽</t>
  </si>
  <si>
    <t xml:space="preserve">穴井　亮輔</t>
  </si>
  <si>
    <t xml:space="preserve">岩崎　大駕</t>
  </si>
  <si>
    <t xml:space="preserve">東総工高</t>
  </si>
  <si>
    <t xml:space="preserve">刈谷　賛</t>
  </si>
  <si>
    <t xml:space="preserve">伊来　祐太</t>
  </si>
  <si>
    <t xml:space="preserve">清次　怜桜</t>
  </si>
  <si>
    <t xml:space="preserve">山下　倖</t>
  </si>
  <si>
    <t xml:space="preserve">高間　渉</t>
  </si>
  <si>
    <t xml:space="preserve">一宮西高</t>
  </si>
  <si>
    <t xml:space="preserve">多田　暖</t>
  </si>
  <si>
    <t xml:space="preserve">佐藤　聖悟</t>
  </si>
  <si>
    <t xml:space="preserve">伊丹北高</t>
  </si>
  <si>
    <t xml:space="preserve">牛尾　一之亮</t>
  </si>
  <si>
    <t xml:space="preserve">熱田高</t>
  </si>
  <si>
    <t xml:space="preserve">山崎　航宙</t>
  </si>
  <si>
    <t xml:space="preserve">古川　咲音</t>
  </si>
  <si>
    <t xml:space="preserve">聖光学院高</t>
  </si>
  <si>
    <t xml:space="preserve">木船　湧惺</t>
  </si>
  <si>
    <t xml:space="preserve">巣鴨高</t>
  </si>
  <si>
    <t xml:space="preserve">平井　凰雅</t>
  </si>
  <si>
    <t xml:space="preserve">弘前学院聖愛高</t>
  </si>
  <si>
    <t xml:space="preserve">早川　宗佑</t>
  </si>
  <si>
    <t xml:space="preserve">関根　優斗</t>
  </si>
  <si>
    <t xml:space="preserve">浅川　龍之介</t>
  </si>
  <si>
    <t xml:space="preserve">増田　暁人</t>
  </si>
  <si>
    <t xml:space="preserve">上宮高</t>
  </si>
  <si>
    <t xml:space="preserve">松本　岳大</t>
  </si>
  <si>
    <t xml:space="preserve">黒崎　琉聖</t>
  </si>
  <si>
    <t xml:space="preserve">増本　健人</t>
  </si>
  <si>
    <t xml:space="preserve">検見川高</t>
  </si>
  <si>
    <t xml:space="preserve">加賀谷　凛太郎</t>
  </si>
  <si>
    <t xml:space="preserve">渥美農高</t>
  </si>
  <si>
    <t xml:space="preserve">広島　享介</t>
  </si>
  <si>
    <t xml:space="preserve">黒沢　大夢</t>
  </si>
  <si>
    <t xml:space="preserve">村川　礼</t>
  </si>
  <si>
    <t xml:space="preserve">出沢　侑也</t>
  </si>
  <si>
    <t xml:space="preserve">荒井　宥哉</t>
  </si>
  <si>
    <t xml:space="preserve">滝川西高</t>
  </si>
  <si>
    <t xml:space="preserve">栗原　聖也</t>
  </si>
  <si>
    <t xml:space="preserve">加藤　孝悠</t>
  </si>
  <si>
    <t xml:space="preserve">牧原　悠斗</t>
  </si>
  <si>
    <t xml:space="preserve">岡崎西高</t>
  </si>
  <si>
    <t xml:space="preserve">三原　真人</t>
  </si>
  <si>
    <t xml:space="preserve">工藤　優心</t>
  </si>
  <si>
    <t xml:space="preserve">植竹　優翔</t>
  </si>
  <si>
    <t xml:space="preserve">小川　綾</t>
  </si>
  <si>
    <t xml:space="preserve">北出　大耀</t>
  </si>
  <si>
    <t xml:space="preserve">野間　勇斗</t>
  </si>
  <si>
    <t xml:space="preserve">上原　大征</t>
  </si>
  <si>
    <t xml:space="preserve">清水　佑真</t>
  </si>
  <si>
    <t xml:space="preserve">明石商高</t>
  </si>
  <si>
    <t xml:space="preserve">斎藤　渉</t>
  </si>
  <si>
    <t xml:space="preserve">大西　静生</t>
  </si>
  <si>
    <t xml:space="preserve">加古川北高</t>
  </si>
  <si>
    <t xml:space="preserve">浜田　恵太</t>
  </si>
  <si>
    <t xml:space="preserve">藤田　陽斗</t>
  </si>
  <si>
    <t xml:space="preserve">佐々木　大翔</t>
  </si>
  <si>
    <t xml:space="preserve">宮古高</t>
  </si>
  <si>
    <t xml:space="preserve">小泉　一斗</t>
  </si>
  <si>
    <t xml:space="preserve">国学院大栃木高</t>
  </si>
  <si>
    <t xml:space="preserve">野崎　慶</t>
  </si>
  <si>
    <t xml:space="preserve">本山　愁晴</t>
  </si>
  <si>
    <t xml:space="preserve">成田　遥駿</t>
  </si>
  <si>
    <t xml:space="preserve">大府高</t>
  </si>
  <si>
    <t xml:space="preserve">山崎　智也</t>
  </si>
  <si>
    <t xml:space="preserve">桜井　惇太</t>
  </si>
  <si>
    <t xml:space="preserve">黒野　雄大</t>
  </si>
  <si>
    <t xml:space="preserve">千葉　蒼介</t>
  </si>
  <si>
    <t xml:space="preserve">塩田　将真</t>
  </si>
  <si>
    <t xml:space="preserve">富山　心陽</t>
  </si>
  <si>
    <t xml:space="preserve">登美丘高</t>
  </si>
  <si>
    <t xml:space="preserve">沢藤　颯斗</t>
  </si>
  <si>
    <t xml:space="preserve">狭山経済高</t>
  </si>
  <si>
    <t xml:space="preserve">浜口一颯</t>
  </si>
  <si>
    <t xml:space="preserve">市川　祐大</t>
  </si>
  <si>
    <t xml:space="preserve">村上　瑛祐</t>
  </si>
  <si>
    <t xml:space="preserve">山形　惺良</t>
  </si>
  <si>
    <t xml:space="preserve">巨摩高</t>
  </si>
  <si>
    <t xml:space="preserve">小林　景太</t>
  </si>
  <si>
    <t xml:space="preserve">福田　晃生</t>
  </si>
  <si>
    <t xml:space="preserve">前橋高</t>
  </si>
  <si>
    <t xml:space="preserve">伊藤　凌輔</t>
  </si>
  <si>
    <t xml:space="preserve">日体大附高</t>
  </si>
  <si>
    <t xml:space="preserve">伊藤　誠之介</t>
  </si>
  <si>
    <t xml:space="preserve">大野　凛人</t>
  </si>
  <si>
    <t xml:space="preserve">赤穂高</t>
  </si>
  <si>
    <t xml:space="preserve">中西　亮介</t>
  </si>
  <si>
    <t xml:space="preserve">柳沢　真翔</t>
  </si>
  <si>
    <t xml:space="preserve">南雲　歩志</t>
  </si>
  <si>
    <t xml:space="preserve">八海高</t>
  </si>
  <si>
    <t xml:space="preserve">井手玲太朗</t>
  </si>
  <si>
    <t xml:space="preserve">岩也　侑正</t>
  </si>
  <si>
    <t xml:space="preserve">小村　晴斗</t>
  </si>
  <si>
    <t xml:space="preserve">久光　航平</t>
  </si>
  <si>
    <t xml:space="preserve">延岡高</t>
  </si>
  <si>
    <t xml:space="preserve">渡壁　虹太</t>
  </si>
  <si>
    <t xml:space="preserve">瑞陵高</t>
  </si>
  <si>
    <t xml:space="preserve">四柳　仁清</t>
  </si>
  <si>
    <t xml:space="preserve">鳶谷　聖我</t>
  </si>
  <si>
    <t xml:space="preserve">渡辺　煌大</t>
  </si>
  <si>
    <t xml:space="preserve">芽室高</t>
  </si>
  <si>
    <t xml:space="preserve">松尾　真叶</t>
  </si>
  <si>
    <t xml:space="preserve">杉田　禅</t>
  </si>
  <si>
    <t xml:space="preserve">伊礼　碧人</t>
  </si>
  <si>
    <t xml:space="preserve">村里　聡太</t>
  </si>
  <si>
    <t xml:space="preserve">久木山　敬心</t>
  </si>
  <si>
    <t xml:space="preserve">松山　拓実</t>
  </si>
  <si>
    <t xml:space="preserve">江崎　翼</t>
  </si>
  <si>
    <t xml:space="preserve">都戸山高</t>
  </si>
  <si>
    <t xml:space="preserve">藤堂　和誠</t>
  </si>
  <si>
    <t xml:space="preserve">勝山高</t>
  </si>
  <si>
    <t xml:space="preserve">木下　結富</t>
  </si>
  <si>
    <t xml:space="preserve">東葛飾高</t>
  </si>
  <si>
    <t xml:space="preserve">平林　涼</t>
  </si>
  <si>
    <t xml:space="preserve">遠藤　空</t>
  </si>
  <si>
    <t xml:space="preserve">高井　奏斗</t>
  </si>
  <si>
    <t xml:space="preserve">東濃実高</t>
  </si>
  <si>
    <t xml:space="preserve">植木　歩</t>
  </si>
  <si>
    <t xml:space="preserve">黒木　太晴</t>
  </si>
  <si>
    <t xml:space="preserve">夜野　統真</t>
  </si>
  <si>
    <t xml:space="preserve">鈴木佑馬</t>
  </si>
  <si>
    <t xml:space="preserve">山口　海星</t>
  </si>
  <si>
    <t xml:space="preserve">小西　快</t>
  </si>
  <si>
    <t xml:space="preserve">山田　碧士</t>
  </si>
  <si>
    <t xml:space="preserve">草賀　斗真</t>
  </si>
  <si>
    <t xml:space="preserve">藤岡　凌</t>
  </si>
  <si>
    <t xml:space="preserve">神戸市立高</t>
  </si>
  <si>
    <t xml:space="preserve">杉田　瑛宥</t>
  </si>
  <si>
    <t xml:space="preserve">松井　大晴</t>
  </si>
  <si>
    <t xml:space="preserve">武井　蒼空</t>
  </si>
  <si>
    <t xml:space="preserve">芥川高</t>
  </si>
  <si>
    <t xml:space="preserve">大川　暖人</t>
  </si>
  <si>
    <t xml:space="preserve">西川　大暉</t>
  </si>
  <si>
    <t xml:space="preserve">藤田　悠良</t>
  </si>
  <si>
    <t xml:space="preserve">伊藤　蒼馬</t>
  </si>
  <si>
    <t xml:space="preserve">岩木　瑛澄</t>
  </si>
  <si>
    <t xml:space="preserve">宮永　陽太</t>
  </si>
  <si>
    <t xml:space="preserve">駒込高</t>
  </si>
  <si>
    <t xml:space="preserve">山田　凌空</t>
  </si>
  <si>
    <t xml:space="preserve">豊橋南高</t>
  </si>
  <si>
    <t xml:space="preserve">渡辺　航成</t>
  </si>
  <si>
    <t xml:space="preserve">長良高</t>
  </si>
  <si>
    <t xml:space="preserve">施　 　讃人</t>
  </si>
  <si>
    <t xml:space="preserve">六甲学院高</t>
  </si>
  <si>
    <t xml:space="preserve">佐藤　魁翔</t>
  </si>
  <si>
    <t xml:space="preserve">ふじみ野高</t>
  </si>
  <si>
    <t xml:space="preserve">村上　蒼空</t>
  </si>
  <si>
    <t xml:space="preserve">旭川工高</t>
  </si>
  <si>
    <t xml:space="preserve">木瀬　暖士</t>
  </si>
  <si>
    <t xml:space="preserve">前川　宏都</t>
  </si>
  <si>
    <t xml:space="preserve">金沢高</t>
  </si>
  <si>
    <t xml:space="preserve">山田　悠斗</t>
  </si>
  <si>
    <t xml:space="preserve">佐野本　大地</t>
  </si>
  <si>
    <t xml:space="preserve">風間　詩月</t>
  </si>
  <si>
    <t xml:space="preserve">六日町高</t>
  </si>
  <si>
    <t xml:space="preserve">鳴海　澄晴</t>
  </si>
  <si>
    <t xml:space="preserve">伊那弥生ケ丘高</t>
  </si>
  <si>
    <t xml:space="preserve">笠原　陽翔</t>
  </si>
  <si>
    <t xml:space="preserve">伊勢崎高</t>
  </si>
  <si>
    <t xml:space="preserve">梅田　優</t>
  </si>
  <si>
    <t xml:space="preserve">伊藤　紘一郎</t>
  </si>
  <si>
    <t xml:space="preserve">喜夛　悠斗</t>
  </si>
  <si>
    <t xml:space="preserve">佐久間　稔</t>
  </si>
  <si>
    <t xml:space="preserve">大方　優杜</t>
  </si>
  <si>
    <t xml:space="preserve">平田　央亮</t>
  </si>
  <si>
    <t xml:space="preserve">結城　笙</t>
  </si>
  <si>
    <t xml:space="preserve">小松明峰高</t>
  </si>
  <si>
    <t xml:space="preserve">松本　大河</t>
  </si>
  <si>
    <t xml:space="preserve">藤田　大志</t>
  </si>
  <si>
    <t xml:space="preserve">札幌北陵高</t>
  </si>
  <si>
    <t xml:space="preserve">黒沢　涼雅</t>
  </si>
  <si>
    <t xml:space="preserve">渋川高</t>
  </si>
  <si>
    <t xml:space="preserve">境井　龍輝</t>
  </si>
  <si>
    <t xml:space="preserve">吉本　拓夢</t>
  </si>
  <si>
    <t xml:space="preserve">高松工芸高</t>
  </si>
  <si>
    <t xml:space="preserve">嶽下　允希</t>
  </si>
  <si>
    <t xml:space="preserve">松戸　零武</t>
  </si>
  <si>
    <t xml:space="preserve">榊原　錬</t>
  </si>
  <si>
    <t xml:space="preserve">畠中　颯真</t>
  </si>
  <si>
    <t xml:space="preserve">三田祥雲館高</t>
  </si>
  <si>
    <t xml:space="preserve">太田　朝陽</t>
  </si>
  <si>
    <t xml:space="preserve">旭川北高</t>
  </si>
  <si>
    <t xml:space="preserve">鈴木　蒼真</t>
  </si>
  <si>
    <t xml:space="preserve">牧野　夏己</t>
  </si>
  <si>
    <t xml:space="preserve">佐世保北高</t>
  </si>
  <si>
    <t xml:space="preserve">妹尾　優羽</t>
  </si>
  <si>
    <t xml:space="preserve">井口高</t>
  </si>
  <si>
    <t xml:space="preserve">万玉　葦大</t>
  </si>
  <si>
    <t xml:space="preserve">高松農高</t>
  </si>
  <si>
    <t xml:space="preserve">島田　奈季</t>
  </si>
  <si>
    <t xml:space="preserve">鎮西高</t>
  </si>
  <si>
    <t xml:space="preserve">大隈　里玖</t>
  </si>
  <si>
    <t xml:space="preserve">岡崎　柊</t>
  </si>
  <si>
    <t xml:space="preserve">大津高</t>
  </si>
  <si>
    <t xml:space="preserve">橘田　太陽</t>
  </si>
  <si>
    <t xml:space="preserve">野坂　宗司</t>
  </si>
  <si>
    <t xml:space="preserve">松村　徳真</t>
  </si>
  <si>
    <t xml:space="preserve">五代　倫太郎</t>
  </si>
  <si>
    <t xml:space="preserve">中島　諒</t>
  </si>
  <si>
    <t xml:space="preserve">常翔学園高</t>
  </si>
  <si>
    <t xml:space="preserve">松岡　凌玖</t>
  </si>
  <si>
    <t xml:space="preserve">本島　岳</t>
  </si>
  <si>
    <t xml:space="preserve">長野高専</t>
  </si>
  <si>
    <t xml:space="preserve">富田　雄軌</t>
  </si>
  <si>
    <t xml:space="preserve">桜井　一蕗</t>
  </si>
  <si>
    <t xml:space="preserve">山形東高</t>
  </si>
  <si>
    <t xml:space="preserve">岩堀　蒼哉</t>
  </si>
  <si>
    <t xml:space="preserve">市柏高</t>
  </si>
  <si>
    <t xml:space="preserve">浜名　海里</t>
  </si>
  <si>
    <t xml:space="preserve">森島　瑠哉</t>
  </si>
  <si>
    <t xml:space="preserve">愛教大ク名古屋高</t>
  </si>
  <si>
    <t xml:space="preserve">大竹　悠仁</t>
  </si>
  <si>
    <t xml:space="preserve">会津高</t>
  </si>
  <si>
    <t xml:space="preserve">前村　空良</t>
  </si>
  <si>
    <t xml:space="preserve">木村　有友</t>
  </si>
  <si>
    <t xml:space="preserve">水口　悠大</t>
  </si>
  <si>
    <t xml:space="preserve">浅海　有星</t>
  </si>
  <si>
    <t xml:space="preserve">小柳　勇翔</t>
  </si>
  <si>
    <t xml:space="preserve">能見　大翔</t>
  </si>
  <si>
    <t xml:space="preserve">柏木学園高</t>
  </si>
  <si>
    <t xml:space="preserve">樽角　遼</t>
  </si>
  <si>
    <t xml:space="preserve">田中　翔希</t>
  </si>
  <si>
    <t xml:space="preserve">西田　聖哉</t>
  </si>
  <si>
    <t xml:space="preserve">中村　瑠</t>
  </si>
  <si>
    <t xml:space="preserve">藤原　柳希</t>
  </si>
  <si>
    <t xml:space="preserve">山口紋治郎</t>
  </si>
  <si>
    <t xml:space="preserve">遠藤　優剛</t>
  </si>
  <si>
    <t xml:space="preserve">石狩翔陽高</t>
  </si>
  <si>
    <t xml:space="preserve">松倉　悠悟</t>
  </si>
  <si>
    <t xml:space="preserve">八戸高</t>
  </si>
  <si>
    <t xml:space="preserve">高津　月翔</t>
  </si>
  <si>
    <t xml:space="preserve">松下　大悟</t>
  </si>
  <si>
    <t xml:space="preserve">長谷川　禅</t>
  </si>
  <si>
    <t xml:space="preserve">札幌工高</t>
  </si>
  <si>
    <t xml:space="preserve">内田　暖人</t>
  </si>
  <si>
    <t xml:space="preserve">長島　琉夏</t>
  </si>
  <si>
    <t xml:space="preserve">清水桜が丘高</t>
  </si>
  <si>
    <t xml:space="preserve">同名の別選手あり（平田高）</t>
  </si>
  <si>
    <t xml:space="preserve">遠藤　正基</t>
  </si>
  <si>
    <t xml:space="preserve">平工高</t>
  </si>
  <si>
    <t xml:space="preserve">高麗　颯太</t>
  </si>
  <si>
    <t xml:space="preserve">森岡　大歌</t>
  </si>
  <si>
    <t xml:space="preserve">林田　尚真</t>
  </si>
  <si>
    <t xml:space="preserve">香川中央高</t>
  </si>
  <si>
    <t xml:space="preserve">石川　結士</t>
  </si>
  <si>
    <t xml:space="preserve">横山　真生</t>
  </si>
  <si>
    <t xml:space="preserve">熊本国府高</t>
  </si>
  <si>
    <t xml:space="preserve">重村　仁稀</t>
  </si>
  <si>
    <t xml:space="preserve">秦野高</t>
  </si>
  <si>
    <t xml:space="preserve">大鷹　亮晴</t>
  </si>
  <si>
    <t xml:space="preserve">小谷口　柚希</t>
  </si>
  <si>
    <t xml:space="preserve">大阪国際大ＡＣ</t>
  </si>
  <si>
    <t xml:space="preserve">高橋　直之</t>
  </si>
  <si>
    <t xml:space="preserve">福山誠之館高</t>
  </si>
  <si>
    <t xml:space="preserve">石田　竜己</t>
  </si>
  <si>
    <t xml:space="preserve">石井　晴翔</t>
  </si>
  <si>
    <t xml:space="preserve">小林　悠希</t>
  </si>
  <si>
    <t xml:space="preserve">青柳　尚央</t>
  </si>
  <si>
    <t xml:space="preserve">筑紫丘高</t>
  </si>
  <si>
    <t xml:space="preserve">佐藤　流輝</t>
  </si>
  <si>
    <t xml:space="preserve">寺西　蒼生</t>
  </si>
  <si>
    <t xml:space="preserve">石井　翔</t>
  </si>
  <si>
    <t xml:space="preserve">よろしく真岡高</t>
  </si>
  <si>
    <t xml:space="preserve">重松　宗次郎</t>
  </si>
  <si>
    <t xml:space="preserve">村岡　駿</t>
  </si>
  <si>
    <t xml:space="preserve">市川高</t>
  </si>
  <si>
    <t xml:space="preserve">小田島　啓吾</t>
  </si>
  <si>
    <t xml:space="preserve">西村　悟</t>
  </si>
  <si>
    <t xml:space="preserve">及川　郁人</t>
  </si>
  <si>
    <t xml:space="preserve">河井　一真</t>
  </si>
  <si>
    <t xml:space="preserve">長久手高</t>
  </si>
  <si>
    <t xml:space="preserve">渡辺　曜</t>
  </si>
  <si>
    <t xml:space="preserve">東桜学館高</t>
  </si>
  <si>
    <t xml:space="preserve">内田　悠斗</t>
  </si>
  <si>
    <t xml:space="preserve">大船高</t>
  </si>
  <si>
    <t xml:space="preserve">小山　健真</t>
  </si>
  <si>
    <t xml:space="preserve">高槻高</t>
  </si>
  <si>
    <t xml:space="preserve">横山　数馬</t>
  </si>
  <si>
    <t xml:space="preserve">植村　優生</t>
  </si>
  <si>
    <t xml:space="preserve">高松西高</t>
  </si>
  <si>
    <t xml:space="preserve">坂口　竹虎</t>
  </si>
  <si>
    <t xml:space="preserve">柴原　史弥</t>
  </si>
  <si>
    <t xml:space="preserve">青木　桜大</t>
  </si>
  <si>
    <t xml:space="preserve">陣出　一志</t>
  </si>
  <si>
    <t xml:space="preserve">小松大谷高</t>
  </si>
  <si>
    <t xml:space="preserve">武下　爽祐</t>
  </si>
  <si>
    <t xml:space="preserve">古田　悠真</t>
  </si>
  <si>
    <t xml:space="preserve">松本　晴斗</t>
  </si>
  <si>
    <t xml:space="preserve">松本　倭和</t>
  </si>
  <si>
    <t xml:space="preserve">川瀬　晃太</t>
  </si>
  <si>
    <t xml:space="preserve">名張青峰高</t>
  </si>
  <si>
    <t xml:space="preserve">岡部　光希</t>
  </si>
  <si>
    <t xml:space="preserve">万波　翔樹</t>
  </si>
  <si>
    <t xml:space="preserve">宗像　大晴</t>
  </si>
  <si>
    <t xml:space="preserve">冬田　侑士</t>
  </si>
  <si>
    <t xml:space="preserve">野口　優介</t>
  </si>
  <si>
    <t xml:space="preserve">目代　来煌</t>
  </si>
  <si>
    <t xml:space="preserve">逆井　健瑠</t>
  </si>
  <si>
    <t xml:space="preserve">佐藤　多聞</t>
  </si>
  <si>
    <t xml:space="preserve">松尾　和篤</t>
  </si>
  <si>
    <t xml:space="preserve">須磨翔風高</t>
  </si>
  <si>
    <t xml:space="preserve">森川　敬介</t>
  </si>
  <si>
    <t xml:space="preserve">観音寺一高</t>
  </si>
  <si>
    <t xml:space="preserve">井上　晄汰</t>
  </si>
  <si>
    <t xml:space="preserve">木原　吏修</t>
  </si>
  <si>
    <t xml:space="preserve">石狩南高</t>
  </si>
  <si>
    <t xml:space="preserve">佐藤　光</t>
  </si>
  <si>
    <t xml:space="preserve">大上　哲平</t>
  </si>
  <si>
    <t xml:space="preserve">並木中等高</t>
  </si>
  <si>
    <t xml:space="preserve">中沢　颯大</t>
  </si>
  <si>
    <t xml:space="preserve">稲川　豪</t>
  </si>
  <si>
    <t xml:space="preserve">日野　修杜</t>
  </si>
  <si>
    <t xml:space="preserve">小林　琉星</t>
  </si>
  <si>
    <t xml:space="preserve">柿田　俊輔</t>
  </si>
  <si>
    <t xml:space="preserve">藤井　颯大</t>
  </si>
  <si>
    <t xml:space="preserve">山田　治人</t>
  </si>
  <si>
    <t xml:space="preserve">長崎東高</t>
  </si>
  <si>
    <t xml:space="preserve">高尾　碧生</t>
  </si>
  <si>
    <t xml:space="preserve">鶴嶺高</t>
  </si>
  <si>
    <t xml:space="preserve">石坂　太季</t>
  </si>
  <si>
    <t xml:space="preserve">渡辺　篤志</t>
  </si>
  <si>
    <t xml:space="preserve">海南高</t>
  </si>
  <si>
    <t xml:space="preserve">折原　光</t>
  </si>
  <si>
    <t xml:space="preserve">久喜北陽高</t>
  </si>
  <si>
    <t xml:space="preserve">岡崎　隼士</t>
  </si>
  <si>
    <t xml:space="preserve">大社高</t>
  </si>
  <si>
    <t xml:space="preserve">増田　絢斗</t>
  </si>
  <si>
    <t xml:space="preserve">林　 　衣岬</t>
  </si>
  <si>
    <t xml:space="preserve">北川　寛静</t>
  </si>
  <si>
    <t xml:space="preserve">橋本　匠太郎</t>
  </si>
  <si>
    <t xml:space="preserve">早大学院高</t>
  </si>
  <si>
    <t xml:space="preserve">島宗　庚成</t>
  </si>
  <si>
    <t xml:space="preserve">本倉　諒</t>
  </si>
  <si>
    <t xml:space="preserve">杉本　真昊</t>
  </si>
  <si>
    <t xml:space="preserve">鈴木　結太</t>
  </si>
  <si>
    <t xml:space="preserve">秋田高専</t>
  </si>
  <si>
    <t xml:space="preserve">浮島　大夢</t>
  </si>
  <si>
    <t xml:space="preserve">山口　陽希</t>
  </si>
  <si>
    <t xml:space="preserve">増子　新大</t>
  </si>
  <si>
    <t xml:space="preserve">安積黎明高</t>
  </si>
  <si>
    <t xml:space="preserve">道明　宣允</t>
  </si>
  <si>
    <t xml:space="preserve">結束　颯太</t>
  </si>
  <si>
    <t xml:space="preserve">黒崎　聡明</t>
  </si>
  <si>
    <t xml:space="preserve">野田中央高</t>
  </si>
  <si>
    <t xml:space="preserve">瀬田　淳太</t>
  </si>
  <si>
    <t xml:space="preserve">卯西　陽之</t>
  </si>
  <si>
    <t xml:space="preserve">モウルド　琉空</t>
  </si>
  <si>
    <t xml:space="preserve">長岡大手高</t>
  </si>
  <si>
    <t xml:space="preserve">高倉　慶太</t>
  </si>
  <si>
    <t xml:space="preserve">三国高</t>
  </si>
  <si>
    <t xml:space="preserve">太刀川　豪</t>
  </si>
  <si>
    <t xml:space="preserve">茅ケ崎市陸協</t>
  </si>
  <si>
    <t xml:space="preserve">植月　優太</t>
  </si>
  <si>
    <t xml:space="preserve">渡辺　成理</t>
  </si>
  <si>
    <t xml:space="preserve">小池　悠太</t>
  </si>
  <si>
    <t xml:space="preserve">同名の別選手あり（八頭高）</t>
  </si>
  <si>
    <t xml:space="preserve">西田　慎太郎</t>
  </si>
  <si>
    <t xml:space="preserve">土谷　陸斗</t>
  </si>
  <si>
    <t xml:space="preserve">飯島　遥太</t>
  </si>
  <si>
    <t xml:space="preserve">榎戸　翔希空</t>
  </si>
  <si>
    <t xml:space="preserve">窪田　理人</t>
  </si>
  <si>
    <t xml:space="preserve">小橋　由尭</t>
  </si>
  <si>
    <t xml:space="preserve">浜上　結心</t>
  </si>
  <si>
    <t xml:space="preserve">浜嶋　凌乃介</t>
  </si>
  <si>
    <t xml:space="preserve">杏和高</t>
  </si>
  <si>
    <t xml:space="preserve">片岡　大河</t>
  </si>
  <si>
    <t xml:space="preserve">池田　昂生</t>
  </si>
  <si>
    <t xml:space="preserve">近大附広島高福山</t>
  </si>
  <si>
    <t xml:space="preserve">干場　泰志</t>
  </si>
  <si>
    <t xml:space="preserve">輪島高</t>
  </si>
  <si>
    <t xml:space="preserve">重高　歩夢</t>
  </si>
  <si>
    <t xml:space="preserve">広瀬　尊</t>
  </si>
  <si>
    <t xml:space="preserve">富山南高</t>
  </si>
  <si>
    <t xml:space="preserve">瀬合　晴斗</t>
  </si>
  <si>
    <t xml:space="preserve">成城高</t>
  </si>
  <si>
    <t xml:space="preserve">末永　勇人</t>
  </si>
  <si>
    <t xml:space="preserve">田中　楓哉</t>
  </si>
  <si>
    <t xml:space="preserve">間嶋　隆太</t>
  </si>
  <si>
    <t xml:space="preserve">高柳　颯</t>
  </si>
  <si>
    <t xml:space="preserve">白幡　希音</t>
  </si>
  <si>
    <t xml:space="preserve">鶴岡東高</t>
  </si>
  <si>
    <t xml:space="preserve">二宗　冬磨</t>
  </si>
  <si>
    <t xml:space="preserve">津山商高</t>
  </si>
  <si>
    <t xml:space="preserve">森本　一鷲</t>
  </si>
  <si>
    <t xml:space="preserve">小宮山　空知</t>
  </si>
  <si>
    <t xml:space="preserve">松岡　凌央</t>
  </si>
  <si>
    <t xml:space="preserve">内野　湊太</t>
  </si>
  <si>
    <t xml:space="preserve">田中　清士郎</t>
  </si>
  <si>
    <t xml:space="preserve">新家　仁</t>
  </si>
  <si>
    <t xml:space="preserve">八木　悠成</t>
  </si>
  <si>
    <t xml:space="preserve">科学技術高</t>
  </si>
  <si>
    <t xml:space="preserve">河野　丞佑</t>
  </si>
  <si>
    <t xml:space="preserve">鶴田　力毅</t>
  </si>
  <si>
    <t xml:space="preserve">牧野　光希</t>
  </si>
  <si>
    <t xml:space="preserve">小久保　拓馬</t>
  </si>
  <si>
    <t xml:space="preserve">斎藤　奏太</t>
  </si>
  <si>
    <t xml:space="preserve">中松　丈</t>
  </si>
  <si>
    <t xml:space="preserve">兵藤　陸都</t>
  </si>
  <si>
    <t xml:space="preserve">中村紳太郎</t>
  </si>
  <si>
    <t xml:space="preserve">黒田　晃汰</t>
  </si>
  <si>
    <t xml:space="preserve">山田　優空</t>
  </si>
  <si>
    <t xml:space="preserve">日進高</t>
  </si>
  <si>
    <t xml:space="preserve">遠藤　拓実</t>
  </si>
  <si>
    <t xml:space="preserve">森下　裕也</t>
  </si>
  <si>
    <t xml:space="preserve">野口　琉</t>
  </si>
  <si>
    <t xml:space="preserve">永井　裕真</t>
  </si>
  <si>
    <t xml:space="preserve">清陵情報高</t>
  </si>
  <si>
    <t xml:space="preserve">佐藤　匠</t>
  </si>
  <si>
    <t xml:space="preserve">渡辺　流空</t>
  </si>
  <si>
    <t xml:space="preserve">稲田　応祐</t>
  </si>
  <si>
    <t xml:space="preserve">松田　匠翔</t>
  </si>
  <si>
    <t xml:space="preserve">土谷　侑奨</t>
  </si>
  <si>
    <t xml:space="preserve">村松　幸亮</t>
  </si>
  <si>
    <t xml:space="preserve">城　 　颯利</t>
  </si>
  <si>
    <t xml:space="preserve">高橋　翔威</t>
  </si>
  <si>
    <t xml:space="preserve">川上　達也</t>
  </si>
  <si>
    <t xml:space="preserve">杉山　大耀</t>
  </si>
  <si>
    <t xml:space="preserve">長谷川　凛</t>
  </si>
  <si>
    <t xml:space="preserve">ＦＥＬＵＳＴ</t>
  </si>
  <si>
    <t xml:space="preserve">坂本　光翼</t>
  </si>
  <si>
    <t xml:space="preserve">福田　煌叶</t>
  </si>
  <si>
    <t xml:space="preserve">小林　尋揮</t>
  </si>
  <si>
    <t xml:space="preserve">富良野高</t>
  </si>
  <si>
    <t xml:space="preserve">松本　英士</t>
  </si>
  <si>
    <t xml:space="preserve">立教池袋高</t>
  </si>
  <si>
    <t xml:space="preserve">松田　健汰</t>
  </si>
  <si>
    <t xml:space="preserve">高戸　健太郎</t>
  </si>
  <si>
    <t xml:space="preserve">乃田　健太朗</t>
  </si>
  <si>
    <t xml:space="preserve">新沢　愛翔</t>
  </si>
  <si>
    <t xml:space="preserve">山中　颯人</t>
  </si>
  <si>
    <t xml:space="preserve">相生産高</t>
  </si>
  <si>
    <t xml:space="preserve">細井　大慎</t>
  </si>
  <si>
    <t xml:space="preserve">松浦　強太</t>
  </si>
  <si>
    <t xml:space="preserve">浜松城北工高</t>
  </si>
  <si>
    <t xml:space="preserve">尾島　輝</t>
  </si>
  <si>
    <t xml:space="preserve">長浜　快柾</t>
  </si>
  <si>
    <t xml:space="preserve">諌早高</t>
  </si>
  <si>
    <t xml:space="preserve">石川　創史</t>
  </si>
  <si>
    <t xml:space="preserve">山根　大空</t>
  </si>
  <si>
    <t xml:space="preserve">森元　桜介</t>
  </si>
  <si>
    <t xml:space="preserve">川畑　季也</t>
  </si>
  <si>
    <t xml:space="preserve">市立札幌藻岩高</t>
  </si>
  <si>
    <t xml:space="preserve">北岡　瑛人</t>
  </si>
  <si>
    <t xml:space="preserve">星先　理一</t>
  </si>
  <si>
    <t xml:space="preserve">高木　碧翔</t>
  </si>
  <si>
    <t xml:space="preserve">市柏</t>
  </si>
  <si>
    <t xml:space="preserve">岡野　琉生</t>
  </si>
  <si>
    <t xml:space="preserve">市立伊丹高</t>
  </si>
  <si>
    <t xml:space="preserve">小山　慶太</t>
  </si>
  <si>
    <t xml:space="preserve">高輪高</t>
  </si>
  <si>
    <t xml:space="preserve">柳谷　透摩</t>
  </si>
  <si>
    <t xml:space="preserve">橋　 　千景</t>
  </si>
  <si>
    <t xml:space="preserve">野村　優也</t>
  </si>
  <si>
    <t xml:space="preserve">関東一高</t>
  </si>
  <si>
    <t xml:space="preserve">長島　寛樹</t>
  </si>
  <si>
    <t xml:space="preserve">田中　稟汰朗</t>
  </si>
  <si>
    <t xml:space="preserve">下田高</t>
  </si>
  <si>
    <t xml:space="preserve">小浜　漣</t>
  </si>
  <si>
    <t xml:space="preserve">釧路湖陵高</t>
  </si>
  <si>
    <t xml:space="preserve">小川　敦生</t>
  </si>
  <si>
    <t xml:space="preserve">佐分　蒼真</t>
  </si>
  <si>
    <t xml:space="preserve">久留米高専</t>
  </si>
  <si>
    <t xml:space="preserve">幕田　成勢</t>
  </si>
  <si>
    <t xml:space="preserve">奥村　直希</t>
  </si>
  <si>
    <t xml:space="preserve">安治川修聖</t>
  </si>
  <si>
    <t xml:space="preserve">宮崎西高</t>
  </si>
  <si>
    <t xml:space="preserve">瀬戸口　侑聖</t>
  </si>
  <si>
    <t xml:space="preserve">玉井　隆之介</t>
  </si>
  <si>
    <t xml:space="preserve">夏井　敦慎</t>
  </si>
  <si>
    <t xml:space="preserve">奥洞　啓太</t>
  </si>
  <si>
    <t xml:space="preserve">松田　蓮</t>
  </si>
  <si>
    <t xml:space="preserve">広陵高</t>
  </si>
  <si>
    <t xml:space="preserve">岩久　温之慎</t>
  </si>
  <si>
    <t xml:space="preserve">南　 　順也</t>
  </si>
  <si>
    <t xml:space="preserve">西村　淳希</t>
  </si>
  <si>
    <t xml:space="preserve">松山工高</t>
  </si>
  <si>
    <t xml:space="preserve">仙波　諒也</t>
  </si>
  <si>
    <t xml:space="preserve">山口　蓮人</t>
  </si>
  <si>
    <t xml:space="preserve">鈴木　優仁</t>
  </si>
  <si>
    <t xml:space="preserve">神尾　怜音</t>
  </si>
  <si>
    <t xml:space="preserve">清水　泰成</t>
  </si>
  <si>
    <t xml:space="preserve">松森　一樹</t>
  </si>
  <si>
    <t xml:space="preserve">啓新高</t>
  </si>
  <si>
    <t xml:space="preserve">山口　伶士</t>
  </si>
  <si>
    <t xml:space="preserve">鳥越　月仁</t>
  </si>
  <si>
    <t xml:space="preserve">笠岡高</t>
  </si>
  <si>
    <t xml:space="preserve">土岐　健翔</t>
  </si>
  <si>
    <t xml:space="preserve">岐阜高専</t>
  </si>
  <si>
    <t xml:space="preserve">盛山　晴空</t>
  </si>
  <si>
    <t xml:space="preserve">影山　康介</t>
  </si>
  <si>
    <t xml:space="preserve">沢山　礼慈</t>
  </si>
  <si>
    <t xml:space="preserve">帯広三条高</t>
  </si>
  <si>
    <t xml:space="preserve">真角　善司</t>
  </si>
  <si>
    <t xml:space="preserve">大井　梨功</t>
  </si>
  <si>
    <t xml:space="preserve">高石高</t>
  </si>
  <si>
    <t xml:space="preserve">渥美　開浬</t>
  </si>
  <si>
    <t xml:space="preserve">斎藤　瑚二郎</t>
  </si>
  <si>
    <t xml:space="preserve">ガードナー　エヴァン</t>
  </si>
  <si>
    <t xml:space="preserve">井上　魁人</t>
  </si>
  <si>
    <t xml:space="preserve">小桧山　悠斗</t>
  </si>
  <si>
    <t xml:space="preserve">佐田野　永久</t>
  </si>
  <si>
    <t xml:space="preserve">石川　稜馬</t>
  </si>
  <si>
    <t xml:space="preserve">サレジオ高専</t>
  </si>
  <si>
    <t xml:space="preserve">古厩　慎二</t>
  </si>
  <si>
    <t xml:space="preserve">大和高</t>
  </si>
  <si>
    <t xml:space="preserve">奥寺　一慧</t>
  </si>
  <si>
    <t xml:space="preserve">小笠原　悠椰</t>
  </si>
  <si>
    <t xml:space="preserve">鈴木　康悌</t>
  </si>
  <si>
    <t xml:space="preserve">栗原　一真</t>
  </si>
  <si>
    <t xml:space="preserve">妹尾　大希</t>
  </si>
  <si>
    <t xml:space="preserve">山本　陽翔</t>
  </si>
  <si>
    <t xml:space="preserve">井上　恵翔</t>
  </si>
  <si>
    <t xml:space="preserve">松島　佑一</t>
  </si>
  <si>
    <t xml:space="preserve">高陽高</t>
  </si>
  <si>
    <t xml:space="preserve">銭谷　光聖</t>
  </si>
  <si>
    <t xml:space="preserve">伊藤　節</t>
  </si>
  <si>
    <t xml:space="preserve">札幌旭丘高</t>
  </si>
  <si>
    <t xml:space="preserve">小桧山　悠翔</t>
  </si>
  <si>
    <t xml:space="preserve">飯塚　想太</t>
  </si>
  <si>
    <t xml:space="preserve">蒔田　明日真</t>
  </si>
  <si>
    <t xml:space="preserve">鈴木　改汰</t>
  </si>
  <si>
    <t xml:space="preserve">清田　航羽</t>
  </si>
  <si>
    <t xml:space="preserve">渡辺　拓真</t>
  </si>
  <si>
    <t xml:space="preserve">四日市南高</t>
  </si>
  <si>
    <t xml:space="preserve">津上　皓丞</t>
  </si>
  <si>
    <t xml:space="preserve">高本　蒼真</t>
  </si>
  <si>
    <t xml:space="preserve">熊本一高</t>
  </si>
  <si>
    <t xml:space="preserve">松本　啓吾</t>
  </si>
  <si>
    <t xml:space="preserve">亀甲　壮真</t>
  </si>
  <si>
    <t xml:space="preserve">住田　陽</t>
  </si>
  <si>
    <t xml:space="preserve">日大高</t>
  </si>
  <si>
    <t xml:space="preserve">高岡　帝</t>
  </si>
  <si>
    <t xml:space="preserve">宮川　祐</t>
  </si>
  <si>
    <t xml:space="preserve">平原　凛太郎</t>
  </si>
  <si>
    <t xml:space="preserve">名城　侍</t>
  </si>
  <si>
    <t xml:space="preserve">花倉　巧真</t>
  </si>
  <si>
    <t xml:space="preserve">首藤　聡汰</t>
  </si>
  <si>
    <t xml:space="preserve">妹尾　漣也</t>
  </si>
  <si>
    <t xml:space="preserve">市名古屋商高</t>
  </si>
  <si>
    <t xml:space="preserve">叶　 　遼太</t>
  </si>
  <si>
    <t xml:space="preserve">高木龍太郎</t>
  </si>
  <si>
    <t xml:space="preserve">万代　陽大</t>
  </si>
  <si>
    <t xml:space="preserve">峰野　椋太</t>
  </si>
  <si>
    <t xml:space="preserve">中谷　光汰</t>
  </si>
  <si>
    <t xml:space="preserve">伊那北高</t>
  </si>
  <si>
    <t xml:space="preserve">久野　温正</t>
  </si>
  <si>
    <t xml:space="preserve">吉満　馨</t>
  </si>
  <si>
    <t xml:space="preserve">横浜市立ＹＳＦ高</t>
  </si>
  <si>
    <t xml:space="preserve">後藤　幹翔</t>
  </si>
  <si>
    <t xml:space="preserve">高田　莉央</t>
  </si>
  <si>
    <t xml:space="preserve">海老原　晃斗</t>
  </si>
  <si>
    <t xml:space="preserve">楫部　悠真</t>
  </si>
  <si>
    <t xml:space="preserve">大田高</t>
  </si>
  <si>
    <t xml:space="preserve">朝井　郷牙</t>
  </si>
  <si>
    <t xml:space="preserve">山本　智也</t>
  </si>
  <si>
    <t xml:space="preserve">岡山白陵高</t>
  </si>
  <si>
    <t xml:space="preserve">南本　和顕</t>
  </si>
  <si>
    <t xml:space="preserve">伊藤　颯真</t>
  </si>
  <si>
    <t xml:space="preserve">札幌手稲高</t>
  </si>
  <si>
    <t xml:space="preserve">上妻　悠哉</t>
  </si>
  <si>
    <t xml:space="preserve">畠中　歩</t>
  </si>
  <si>
    <t xml:space="preserve">紫野高</t>
  </si>
  <si>
    <t xml:space="preserve">内田　善</t>
  </si>
  <si>
    <t xml:space="preserve">武藤　裕雅</t>
  </si>
  <si>
    <t xml:space="preserve">木村　聡介</t>
  </si>
  <si>
    <t xml:space="preserve">渡辺　心結</t>
  </si>
  <si>
    <t xml:space="preserve">高木　鼓太郎</t>
  </si>
  <si>
    <t xml:space="preserve">原田　蓮斗</t>
  </si>
  <si>
    <t xml:space="preserve">旭川西高</t>
  </si>
  <si>
    <t xml:space="preserve">若生　翼</t>
  </si>
  <si>
    <t xml:space="preserve">阪井　健心</t>
  </si>
  <si>
    <t xml:space="preserve">山村　絆斗</t>
  </si>
  <si>
    <t xml:space="preserve">吉目木　悠作</t>
  </si>
  <si>
    <t xml:space="preserve">滝川高</t>
  </si>
  <si>
    <t xml:space="preserve">小渕　陽彩</t>
  </si>
  <si>
    <t xml:space="preserve">野口祐之介</t>
  </si>
  <si>
    <t xml:space="preserve">高見　修平</t>
  </si>
  <si>
    <t xml:space="preserve">佐藤　悠生</t>
  </si>
  <si>
    <t xml:space="preserve">松本　悠汰</t>
  </si>
  <si>
    <t xml:space="preserve">桃山高</t>
  </si>
  <si>
    <t xml:space="preserve">杉本　翔輝</t>
  </si>
  <si>
    <t xml:space="preserve">大久保　惺太</t>
  </si>
  <si>
    <t xml:space="preserve">都城高専</t>
  </si>
  <si>
    <t xml:space="preserve">斎藤　皇</t>
  </si>
  <si>
    <t xml:space="preserve">松山　大希</t>
  </si>
  <si>
    <t xml:space="preserve">上条　将生</t>
  </si>
  <si>
    <t xml:space="preserve">樋川　新</t>
  </si>
  <si>
    <t xml:space="preserve">中道　大葵</t>
  </si>
  <si>
    <t xml:space="preserve">渡部　伶人</t>
  </si>
  <si>
    <t xml:space="preserve">辻横　陽馬</t>
  </si>
  <si>
    <t xml:space="preserve">井上　航佑</t>
  </si>
  <si>
    <t xml:space="preserve">武南高</t>
  </si>
  <si>
    <t xml:space="preserve">中山　敢太</t>
  </si>
  <si>
    <t xml:space="preserve">堀内　陽太</t>
  </si>
  <si>
    <t xml:space="preserve">田中　斗麻</t>
  </si>
  <si>
    <t xml:space="preserve">福岡西陵高</t>
  </si>
  <si>
    <t xml:space="preserve">坂本　拓未</t>
  </si>
  <si>
    <t xml:space="preserve">大聖寺高</t>
  </si>
  <si>
    <t xml:space="preserve">柳沢　蓮</t>
  </si>
  <si>
    <t xml:space="preserve">久野　湊太</t>
  </si>
  <si>
    <t xml:space="preserve">大垣東高</t>
  </si>
  <si>
    <t xml:space="preserve">野田　侑希</t>
  </si>
  <si>
    <t xml:space="preserve">新美　諒真</t>
  </si>
  <si>
    <t xml:space="preserve">半田高</t>
  </si>
  <si>
    <t xml:space="preserve">坂元　誠規</t>
  </si>
  <si>
    <t xml:space="preserve">伊志田高</t>
  </si>
  <si>
    <t xml:space="preserve">石橋　望</t>
  </si>
  <si>
    <t xml:space="preserve">豊中高</t>
  </si>
  <si>
    <t xml:space="preserve">山ノ井　太郎</t>
  </si>
  <si>
    <t xml:space="preserve">開成高</t>
  </si>
  <si>
    <t xml:space="preserve">安達　雄祐</t>
  </si>
  <si>
    <t xml:space="preserve">大阪産大附高</t>
  </si>
  <si>
    <t xml:space="preserve">小川　智史</t>
  </si>
  <si>
    <t xml:space="preserve">木村　光稀</t>
  </si>
  <si>
    <t xml:space="preserve">松山西中等高</t>
  </si>
  <si>
    <t xml:space="preserve">上本　瑞偉</t>
  </si>
  <si>
    <t xml:space="preserve">明石高</t>
  </si>
  <si>
    <t xml:space="preserve">中野　将希</t>
  </si>
  <si>
    <t xml:space="preserve">洲本高</t>
  </si>
  <si>
    <t xml:space="preserve">小林　遼太郎</t>
  </si>
  <si>
    <t xml:space="preserve">松尾　建吾</t>
  </si>
  <si>
    <t xml:space="preserve">兵庫工高</t>
  </si>
  <si>
    <t xml:space="preserve">竹内　樹生</t>
  </si>
  <si>
    <t xml:space="preserve">尚絅学院高</t>
  </si>
  <si>
    <t xml:space="preserve">大塚　進之介</t>
  </si>
  <si>
    <t xml:space="preserve">宇都宮クラーク高</t>
  </si>
  <si>
    <t xml:space="preserve">寺本　琥心</t>
  </si>
  <si>
    <t xml:space="preserve">宇治山田高</t>
  </si>
  <si>
    <t xml:space="preserve">平山　空</t>
  </si>
  <si>
    <t xml:space="preserve">山田　浩太郎</t>
  </si>
  <si>
    <t xml:space="preserve">名古屋高</t>
  </si>
  <si>
    <t xml:space="preserve">村上　煌心</t>
  </si>
  <si>
    <t xml:space="preserve">伊藤　虎鉄</t>
  </si>
  <si>
    <t xml:space="preserve">札幌啓成高</t>
  </si>
  <si>
    <t xml:space="preserve">南川　有琉真</t>
  </si>
  <si>
    <t xml:space="preserve">近大附高</t>
  </si>
  <si>
    <t xml:space="preserve">高橋　悠真</t>
  </si>
  <si>
    <t xml:space="preserve">三浦　冬馬</t>
  </si>
  <si>
    <t xml:space="preserve">伊藤　語</t>
  </si>
  <si>
    <t xml:space="preserve">大久保真尋</t>
  </si>
  <si>
    <t xml:space="preserve">石井　大河</t>
  </si>
  <si>
    <t xml:space="preserve">遠藤　団</t>
  </si>
  <si>
    <t xml:space="preserve">小島　蒼史</t>
  </si>
  <si>
    <t xml:space="preserve">日野</t>
  </si>
  <si>
    <t xml:space="preserve">折敷　一樹</t>
  </si>
  <si>
    <t xml:space="preserve">天王寺高</t>
  </si>
  <si>
    <t xml:space="preserve">畠山　琉夢</t>
  </si>
  <si>
    <t xml:space="preserve">鏡　 　洋喬</t>
  </si>
  <si>
    <t xml:space="preserve">鉾田一高</t>
  </si>
  <si>
    <t xml:space="preserve">伊藤　真之</t>
  </si>
  <si>
    <t xml:space="preserve">土師　壮介</t>
  </si>
  <si>
    <t xml:space="preserve">鎌田　奏良</t>
  </si>
  <si>
    <t xml:space="preserve">斎藤　充希</t>
  </si>
  <si>
    <t xml:space="preserve">帯広南商高</t>
  </si>
  <si>
    <t xml:space="preserve">奥野　景翔</t>
  </si>
  <si>
    <t xml:space="preserve">堤　 　煌平</t>
  </si>
  <si>
    <t xml:space="preserve">村尾　莉玖</t>
  </si>
  <si>
    <t xml:space="preserve">北嵯峨高</t>
  </si>
  <si>
    <t xml:space="preserve">江上　湧春</t>
  </si>
  <si>
    <t xml:space="preserve">尾崎　開</t>
  </si>
  <si>
    <t xml:space="preserve">工藤　蒼史</t>
  </si>
  <si>
    <t xml:space="preserve">旭川南高</t>
  </si>
  <si>
    <t xml:space="preserve">嘉門　尚志</t>
  </si>
  <si>
    <t xml:space="preserve">薬園台高</t>
  </si>
  <si>
    <t xml:space="preserve">鷹西　真弥</t>
  </si>
  <si>
    <t xml:space="preserve">高岡工芸高</t>
  </si>
  <si>
    <t xml:space="preserve">加塩　涼晟</t>
  </si>
  <si>
    <t xml:space="preserve">小谷　政志</t>
  </si>
  <si>
    <t xml:space="preserve">苫米地　颯梧</t>
  </si>
  <si>
    <t xml:space="preserve">三農恵拓高</t>
  </si>
  <si>
    <t xml:space="preserve">山中　琥太朗</t>
  </si>
  <si>
    <t xml:space="preserve">仙台一高</t>
  </si>
  <si>
    <t xml:space="preserve">三浦　心陽</t>
  </si>
  <si>
    <t xml:space="preserve">手塚　琥羽</t>
  </si>
  <si>
    <t xml:space="preserve">沖野　佑舵</t>
  </si>
  <si>
    <t xml:space="preserve">宜野湾高</t>
  </si>
  <si>
    <t xml:space="preserve">安斎　開清</t>
  </si>
  <si>
    <t xml:space="preserve">いわき光洋高</t>
  </si>
  <si>
    <t xml:space="preserve">伊藤　海太</t>
  </si>
  <si>
    <t xml:space="preserve">田中　達也</t>
  </si>
  <si>
    <t xml:space="preserve">平塚　栄太</t>
  </si>
  <si>
    <t xml:space="preserve">金足農高</t>
  </si>
  <si>
    <t xml:space="preserve">白川　綾悠</t>
  </si>
  <si>
    <t xml:space="preserve">土肥　優人</t>
  </si>
  <si>
    <t xml:space="preserve">重橋　寛介</t>
  </si>
  <si>
    <t xml:space="preserve">浦上　仁</t>
  </si>
  <si>
    <t xml:space="preserve">高橋　虹輝</t>
  </si>
  <si>
    <t xml:space="preserve">武村　悠聖</t>
  </si>
  <si>
    <t xml:space="preserve">菅原　純也</t>
  </si>
  <si>
    <t xml:space="preserve">加藤　大暉</t>
  </si>
  <si>
    <t xml:space="preserve">越崎　颯</t>
  </si>
  <si>
    <t xml:space="preserve">函館大谷高</t>
  </si>
  <si>
    <t xml:space="preserve">池田　湊鎮</t>
  </si>
  <si>
    <t xml:space="preserve">岡本　拳</t>
  </si>
  <si>
    <t xml:space="preserve">名古屋大谷高</t>
  </si>
  <si>
    <t xml:space="preserve">伊戸川　貴匡</t>
  </si>
  <si>
    <t xml:space="preserve">諏佐　晃己</t>
  </si>
  <si>
    <t xml:space="preserve">平川　晴介</t>
  </si>
  <si>
    <t xml:space="preserve">渡辺　真喜斗</t>
  </si>
  <si>
    <t xml:space="preserve">千歳高</t>
  </si>
  <si>
    <t xml:space="preserve">山本　蒼空</t>
  </si>
  <si>
    <t xml:space="preserve">大川　紘矢</t>
  </si>
  <si>
    <t xml:space="preserve">伊賀瀬　将輝</t>
  </si>
  <si>
    <t xml:space="preserve">松山中央高</t>
  </si>
  <si>
    <t xml:space="preserve">中尾宇一郎</t>
  </si>
  <si>
    <t xml:space="preserve">弘学館高</t>
  </si>
  <si>
    <t xml:space="preserve">富土原　慧</t>
  </si>
  <si>
    <t xml:space="preserve">姫路飾西高</t>
  </si>
  <si>
    <t xml:space="preserve">南幅　樹</t>
  </si>
  <si>
    <t xml:space="preserve">高井　陽翔</t>
  </si>
  <si>
    <t xml:space="preserve">大西　陽斗</t>
  </si>
  <si>
    <t xml:space="preserve">境　 　修真</t>
  </si>
  <si>
    <t xml:space="preserve">蛭川　聖大</t>
  </si>
  <si>
    <t xml:space="preserve">都保谷高</t>
  </si>
  <si>
    <t xml:space="preserve">沼平　亮太</t>
  </si>
  <si>
    <t xml:space="preserve">大村　渉翔</t>
  </si>
  <si>
    <t xml:space="preserve">福沢　愛大</t>
  </si>
  <si>
    <t xml:space="preserve">徳山　泰輝</t>
  </si>
  <si>
    <t xml:space="preserve">北島　琉空</t>
  </si>
  <si>
    <t xml:space="preserve">篠ノ井高</t>
  </si>
  <si>
    <t xml:space="preserve">佐志幸之輔</t>
  </si>
  <si>
    <t xml:space="preserve">伊万里高</t>
  </si>
  <si>
    <t xml:space="preserve">宇仁　想真</t>
  </si>
  <si>
    <t xml:space="preserve">山田　来希</t>
  </si>
  <si>
    <t xml:space="preserve">増山　匠</t>
  </si>
  <si>
    <t xml:space="preserve">富士北稜高</t>
  </si>
  <si>
    <t xml:space="preserve">川端　悠斗</t>
  </si>
  <si>
    <t xml:space="preserve">原　 　彬暢</t>
  </si>
  <si>
    <t xml:space="preserve">岩島　航平</t>
  </si>
  <si>
    <t xml:space="preserve">山口　弘稀</t>
  </si>
  <si>
    <t xml:space="preserve">内藤　優成</t>
  </si>
  <si>
    <t xml:space="preserve">静岡学園高</t>
  </si>
  <si>
    <t xml:space="preserve">久野　星弥</t>
  </si>
  <si>
    <t xml:space="preserve">伊波　大成</t>
  </si>
  <si>
    <t xml:space="preserve">沖縄工高専</t>
  </si>
  <si>
    <t xml:space="preserve">栗原　由侑</t>
  </si>
  <si>
    <t xml:space="preserve">田京　大治</t>
  </si>
  <si>
    <t xml:space="preserve">浜松湖南高</t>
  </si>
  <si>
    <t xml:space="preserve">神村　岳</t>
  </si>
  <si>
    <t xml:space="preserve">彦根東高</t>
  </si>
  <si>
    <t xml:space="preserve">伊丸岡　隼人</t>
  </si>
  <si>
    <t xml:space="preserve">岩見沢東高</t>
  </si>
  <si>
    <t xml:space="preserve">小森　悠貴</t>
  </si>
  <si>
    <t xml:space="preserve">小田　奏真</t>
  </si>
  <si>
    <t xml:space="preserve">三重高</t>
  </si>
  <si>
    <t xml:space="preserve">関根　佑真</t>
  </si>
  <si>
    <t xml:space="preserve">東京成徳大高</t>
  </si>
  <si>
    <t xml:space="preserve">粕谷　悠珠</t>
  </si>
  <si>
    <t xml:space="preserve">高校別：ランク入り選手の人数（スカウト訪問先の検討用）</t>
  </si>
  <si>
    <r>
      <rPr>
        <sz val="9"/>
        <color rgb="FF000000"/>
        <rFont val="WenQuanYi Zen Hei"/>
        <family val="2"/>
      </rPr>
      <t xml:space="preserve">人数は「選手一覧」から数式で集計。並び順＝</t>
    </r>
    <r>
      <rPr>
        <sz val="9"/>
        <color rgb="FF000000"/>
        <rFont val="HGPｺﾞｼｯｸM"/>
        <family val="0"/>
        <charset val="1"/>
      </rPr>
      <t xml:space="preserve">100</t>
    </r>
    <r>
      <rPr>
        <sz val="9"/>
        <color rgb="FF000000"/>
        <rFont val="WenQuanYi Zen Hei"/>
        <family val="2"/>
      </rPr>
      <t xml:space="preserve">位以内の人数→ランク入り人数。選手名はいずれかの種目で</t>
    </r>
    <r>
      <rPr>
        <sz val="9"/>
        <color rgb="FF000000"/>
        <rFont val="HGPｺﾞｼｯｸM"/>
        <family val="0"/>
        <charset val="1"/>
      </rPr>
      <t xml:space="preserve">100</t>
    </r>
    <r>
      <rPr>
        <sz val="9"/>
        <color rgb="FF000000"/>
        <rFont val="WenQuanYi Zen Hei"/>
        <family val="2"/>
      </rPr>
      <t xml:space="preserve">位以内の選手（最高順位）。</t>
    </r>
  </si>
  <si>
    <t xml:space="preserve">ランク入り
人数</t>
  </si>
  <si>
    <r>
      <rPr>
        <b val="true"/>
        <sz val="10"/>
        <color rgb="FF000000"/>
        <rFont val="WenQuanYi Zen Hei"/>
        <family val="2"/>
      </rPr>
      <t xml:space="preserve">いずれか
</t>
    </r>
    <r>
      <rPr>
        <b val="true"/>
        <sz val="10"/>
        <color rgb="FF000000"/>
        <rFont val="HGPｺﾞｼｯｸM"/>
        <family val="0"/>
        <charset val="1"/>
      </rPr>
      <t xml:space="preserve">100</t>
    </r>
    <r>
      <rPr>
        <b val="true"/>
        <sz val="10"/>
        <color rgb="FF000000"/>
        <rFont val="WenQuanYi Zen Hei"/>
        <family val="2"/>
      </rPr>
      <t xml:space="preserve">位以内</t>
    </r>
  </si>
  <si>
    <r>
      <rPr>
        <b val="true"/>
        <sz val="10"/>
        <color rgb="FF000000"/>
        <rFont val="HGPｺﾞｼｯｸM"/>
        <family val="0"/>
        <charset val="1"/>
      </rPr>
      <t xml:space="preserve">5000m
100</t>
    </r>
    <r>
      <rPr>
        <b val="true"/>
        <sz val="10"/>
        <color rgb="FF000000"/>
        <rFont val="WenQuanYi Zen Hei"/>
        <family val="2"/>
      </rPr>
      <t xml:space="preserve">位以内</t>
    </r>
  </si>
  <si>
    <r>
      <rPr>
        <b val="true"/>
        <sz val="10"/>
        <color rgb="FF000000"/>
        <rFont val="HGPｺﾞｼｯｸM"/>
        <family val="0"/>
        <charset val="1"/>
      </rPr>
      <t xml:space="preserve">3000mSC
100</t>
    </r>
    <r>
      <rPr>
        <b val="true"/>
        <sz val="10"/>
        <color rgb="FF000000"/>
        <rFont val="WenQuanYi Zen Hei"/>
        <family val="2"/>
      </rPr>
      <t xml:space="preserve">位以内</t>
    </r>
  </si>
  <si>
    <r>
      <rPr>
        <b val="true"/>
        <sz val="10"/>
        <color rgb="FF000000"/>
        <rFont val="HGPｺﾞｼｯｸM"/>
        <family val="0"/>
        <charset val="1"/>
      </rPr>
      <t xml:space="preserve">1500m
100</t>
    </r>
    <r>
      <rPr>
        <b val="true"/>
        <sz val="10"/>
        <color rgb="FF000000"/>
        <rFont val="WenQuanYi Zen Hei"/>
        <family val="2"/>
      </rPr>
      <t xml:space="preserve">位以内</t>
    </r>
  </si>
  <si>
    <t xml:space="preserve">最上位
順位</t>
  </si>
  <si>
    <r>
      <rPr>
        <b val="true"/>
        <sz val="10"/>
        <color rgb="FF000000"/>
        <rFont val="HGPｺﾞｼｯｸM"/>
        <family val="0"/>
        <charset val="1"/>
      </rPr>
      <t xml:space="preserve">100</t>
    </r>
    <r>
      <rPr>
        <b val="true"/>
        <sz val="10"/>
        <color rgb="FF000000"/>
        <rFont val="WenQuanYi Zen Hei"/>
        <family val="2"/>
      </rPr>
      <t xml:space="preserve">位以内の選手（最高順位）</t>
    </r>
  </si>
  <si>
    <r>
      <rPr>
        <sz val="10"/>
        <color rgb="FF000000"/>
        <rFont val="WenQuanYi Zen Hei"/>
        <family val="2"/>
      </rPr>
      <t xml:space="preserve">橋本蒼平</t>
    </r>
    <r>
      <rPr>
        <sz val="10"/>
        <color rgb="FF000000"/>
        <rFont val="HGPｺﾞｼｯｸM"/>
        <family val="0"/>
        <charset val="1"/>
      </rPr>
      <t xml:space="preserve">(2)</t>
    </r>
    <r>
      <rPr>
        <sz val="10"/>
        <color rgb="FF000000"/>
        <rFont val="WenQuanYi Zen Hei"/>
        <family val="2"/>
      </rPr>
      <t xml:space="preserve">、座光寺奏</t>
    </r>
    <r>
      <rPr>
        <sz val="10"/>
        <color rgb="FF000000"/>
        <rFont val="HGPｺﾞｼｯｸM"/>
        <family val="0"/>
        <charset val="1"/>
      </rPr>
      <t xml:space="preserve">(4)</t>
    </r>
    <r>
      <rPr>
        <sz val="10"/>
        <color rgb="FF000000"/>
        <rFont val="WenQuanYi Zen Hei"/>
        <family val="2"/>
      </rPr>
      <t xml:space="preserve">、伊藤遼</t>
    </r>
    <r>
      <rPr>
        <sz val="10"/>
        <color rgb="FF000000"/>
        <rFont val="HGPｺﾞｼｯｸM"/>
        <family val="0"/>
        <charset val="1"/>
      </rPr>
      <t xml:space="preserve">(10)</t>
    </r>
    <r>
      <rPr>
        <sz val="10"/>
        <color rgb="FF000000"/>
        <rFont val="WenQuanYi Zen Hei"/>
        <family val="2"/>
      </rPr>
      <t xml:space="preserve">、武村翔月</t>
    </r>
    <r>
      <rPr>
        <sz val="10"/>
        <color rgb="FF000000"/>
        <rFont val="HGPｺﾞｼｯｸM"/>
        <family val="0"/>
        <charset val="1"/>
      </rPr>
      <t xml:space="preserve">(11)</t>
    </r>
    <r>
      <rPr>
        <sz val="10"/>
        <color rgb="FF000000"/>
        <rFont val="WenQuanYi Zen Hei"/>
        <family val="2"/>
      </rPr>
      <t xml:space="preserve">、酒井琉史</t>
    </r>
    <r>
      <rPr>
        <sz val="10"/>
        <color rgb="FF000000"/>
        <rFont val="HGPｺﾞｼｯｸM"/>
        <family val="0"/>
        <charset val="1"/>
      </rPr>
      <t xml:space="preserve">(11)</t>
    </r>
    <r>
      <rPr>
        <sz val="10"/>
        <color rgb="FF000000"/>
        <rFont val="WenQuanYi Zen Hei"/>
        <family val="2"/>
      </rPr>
      <t xml:space="preserve">、中沢侑己</t>
    </r>
    <r>
      <rPr>
        <sz val="10"/>
        <color rgb="FF000000"/>
        <rFont val="HGPｺﾞｼｯｸM"/>
        <family val="0"/>
        <charset val="1"/>
      </rPr>
      <t xml:space="preserve">(33)</t>
    </r>
    <r>
      <rPr>
        <sz val="10"/>
        <color rgb="FF000000"/>
        <rFont val="WenQuanYi Zen Hei"/>
        <family val="2"/>
      </rPr>
      <t xml:space="preserve">、山岸大智</t>
    </r>
    <r>
      <rPr>
        <sz val="10"/>
        <color rgb="FF000000"/>
        <rFont val="HGPｺﾞｼｯｸM"/>
        <family val="0"/>
        <charset val="1"/>
      </rPr>
      <t xml:space="preserve">(42)</t>
    </r>
    <r>
      <rPr>
        <sz val="10"/>
        <color rgb="FF000000"/>
        <rFont val="WenQuanYi Zen Hei"/>
        <family val="2"/>
      </rPr>
      <t xml:space="preserve">、代田真司</t>
    </r>
    <r>
      <rPr>
        <sz val="10"/>
        <color rgb="FF000000"/>
        <rFont val="HGPｺﾞｼｯｸM"/>
        <family val="0"/>
        <charset val="1"/>
      </rPr>
      <t xml:space="preserve">(78)</t>
    </r>
  </si>
  <si>
    <r>
      <rPr>
        <sz val="10"/>
        <color rgb="FF000000"/>
        <rFont val="WenQuanYi Zen Hei"/>
        <family val="2"/>
      </rPr>
      <t xml:space="preserve">岩崎奏</t>
    </r>
    <r>
      <rPr>
        <sz val="10"/>
        <color rgb="FF000000"/>
        <rFont val="HGPｺﾞｼｯｸM"/>
        <family val="0"/>
        <charset val="1"/>
      </rPr>
      <t xml:space="preserve">(51)</t>
    </r>
    <r>
      <rPr>
        <sz val="10"/>
        <color rgb="FF000000"/>
        <rFont val="WenQuanYi Zen Hei"/>
        <family val="2"/>
      </rPr>
      <t xml:space="preserve">、渡辺裕珂</t>
    </r>
    <r>
      <rPr>
        <sz val="10"/>
        <color rgb="FF000000"/>
        <rFont val="HGPｺﾞｼｯｸM"/>
        <family val="0"/>
        <charset val="1"/>
      </rPr>
      <t xml:space="preserve">(54)</t>
    </r>
    <r>
      <rPr>
        <sz val="10"/>
        <color rgb="FF000000"/>
        <rFont val="WenQuanYi Zen Hei"/>
        <family val="2"/>
      </rPr>
      <t xml:space="preserve">、岸本周真</t>
    </r>
    <r>
      <rPr>
        <sz val="10"/>
        <color rgb="FF000000"/>
        <rFont val="HGPｺﾞｼｯｸM"/>
        <family val="0"/>
        <charset val="1"/>
      </rPr>
      <t xml:space="preserve">(54)</t>
    </r>
    <r>
      <rPr>
        <sz val="10"/>
        <color rgb="FF000000"/>
        <rFont val="WenQuanYi Zen Hei"/>
        <family val="2"/>
      </rPr>
      <t xml:space="preserve">、小坂将人</t>
    </r>
    <r>
      <rPr>
        <sz val="10"/>
        <color rgb="FF000000"/>
        <rFont val="HGPｺﾞｼｯｸM"/>
        <family val="0"/>
        <charset val="1"/>
      </rPr>
      <t xml:space="preserve">(72)</t>
    </r>
    <r>
      <rPr>
        <sz val="10"/>
        <color rgb="FF000000"/>
        <rFont val="WenQuanYi Zen Hei"/>
        <family val="2"/>
      </rPr>
      <t xml:space="preserve">、太田泰聖</t>
    </r>
    <r>
      <rPr>
        <sz val="10"/>
        <color rgb="FF000000"/>
        <rFont val="HGPｺﾞｼｯｸM"/>
        <family val="0"/>
        <charset val="1"/>
      </rPr>
      <t xml:space="preserve">(88)</t>
    </r>
  </si>
  <si>
    <r>
      <rPr>
        <sz val="10"/>
        <color rgb="FF000000"/>
        <rFont val="WenQuanYi Zen Hei"/>
        <family val="2"/>
      </rPr>
      <t xml:space="preserve">横浜慶</t>
    </r>
    <r>
      <rPr>
        <sz val="10"/>
        <color rgb="FF000000"/>
        <rFont val="HGPｺﾞｼｯｸM"/>
        <family val="0"/>
        <charset val="1"/>
      </rPr>
      <t xml:space="preserve">(1)</t>
    </r>
    <r>
      <rPr>
        <sz val="10"/>
        <color rgb="FF000000"/>
        <rFont val="WenQuanYi Zen Hei"/>
        <family val="2"/>
      </rPr>
      <t xml:space="preserve">、上杉創亮</t>
    </r>
    <r>
      <rPr>
        <sz val="10"/>
        <color rgb="FF000000"/>
        <rFont val="HGPｺﾞｼｯｸM"/>
        <family val="0"/>
        <charset val="1"/>
      </rPr>
      <t xml:space="preserve">(17)</t>
    </r>
    <r>
      <rPr>
        <sz val="10"/>
        <color rgb="FF000000"/>
        <rFont val="WenQuanYi Zen Hei"/>
        <family val="2"/>
      </rPr>
      <t xml:space="preserve">、高杉和希</t>
    </r>
    <r>
      <rPr>
        <sz val="10"/>
        <color rgb="FF000000"/>
        <rFont val="HGPｺﾞｼｯｸM"/>
        <family val="0"/>
        <charset val="1"/>
      </rPr>
      <t xml:space="preserve">(20)</t>
    </r>
    <r>
      <rPr>
        <sz val="10"/>
        <color rgb="FF000000"/>
        <rFont val="WenQuanYi Zen Hei"/>
        <family val="2"/>
      </rPr>
      <t xml:space="preserve">、小林柾輝</t>
    </r>
    <r>
      <rPr>
        <sz val="10"/>
        <color rgb="FF000000"/>
        <rFont val="HGPｺﾞｼｯｸM"/>
        <family val="0"/>
        <charset val="1"/>
      </rPr>
      <t xml:space="preserve">(31)</t>
    </r>
    <r>
      <rPr>
        <sz val="10"/>
        <color rgb="FF000000"/>
        <rFont val="WenQuanYi Zen Hei"/>
        <family val="2"/>
      </rPr>
      <t xml:space="preserve">、木南佑哉</t>
    </r>
    <r>
      <rPr>
        <sz val="10"/>
        <color rgb="FF000000"/>
        <rFont val="HGPｺﾞｼｯｸM"/>
        <family val="0"/>
        <charset val="1"/>
      </rPr>
      <t xml:space="preserve">(36)</t>
    </r>
  </si>
  <si>
    <r>
      <rPr>
        <sz val="10"/>
        <color rgb="FF000000"/>
        <rFont val="WenQuanYi Zen Hei"/>
        <family val="2"/>
      </rPr>
      <t xml:space="preserve">杉平颯志</t>
    </r>
    <r>
      <rPr>
        <sz val="10"/>
        <color rgb="FF000000"/>
        <rFont val="HGPｺﾞｼｯｸM"/>
        <family val="0"/>
        <charset val="1"/>
      </rPr>
      <t xml:space="preserve">(9)</t>
    </r>
    <r>
      <rPr>
        <sz val="10"/>
        <color rgb="FF000000"/>
        <rFont val="WenQuanYi Zen Hei"/>
        <family val="2"/>
      </rPr>
      <t xml:space="preserve">、田代常太郎</t>
    </r>
    <r>
      <rPr>
        <sz val="10"/>
        <color rgb="FF000000"/>
        <rFont val="HGPｺﾞｼｯｸM"/>
        <family val="0"/>
        <charset val="1"/>
      </rPr>
      <t xml:space="preserve">(17)</t>
    </r>
    <r>
      <rPr>
        <sz val="10"/>
        <color rgb="FF000000"/>
        <rFont val="WenQuanYi Zen Hei"/>
        <family val="2"/>
      </rPr>
      <t xml:space="preserve">、田代悠翔</t>
    </r>
    <r>
      <rPr>
        <sz val="10"/>
        <color rgb="FF000000"/>
        <rFont val="HGPｺﾞｼｯｸM"/>
        <family val="0"/>
        <charset val="1"/>
      </rPr>
      <t xml:space="preserve">(29)</t>
    </r>
    <r>
      <rPr>
        <sz val="10"/>
        <color rgb="FF000000"/>
        <rFont val="WenQuanYi Zen Hei"/>
        <family val="2"/>
      </rPr>
      <t xml:space="preserve">、手島雄大</t>
    </r>
    <r>
      <rPr>
        <sz val="10"/>
        <color rgb="FF000000"/>
        <rFont val="HGPｺﾞｼｯｸM"/>
        <family val="0"/>
        <charset val="1"/>
      </rPr>
      <t xml:space="preserve">(41)</t>
    </r>
    <r>
      <rPr>
        <sz val="10"/>
        <color rgb="FF000000"/>
        <rFont val="WenQuanYi Zen Hei"/>
        <family val="2"/>
      </rPr>
      <t xml:space="preserve">、永田敦士</t>
    </r>
    <r>
      <rPr>
        <sz val="10"/>
        <color rgb="FF000000"/>
        <rFont val="HGPｺﾞｼｯｸM"/>
        <family val="0"/>
        <charset val="1"/>
      </rPr>
      <t xml:space="preserve">(47)</t>
    </r>
  </si>
  <si>
    <r>
      <rPr>
        <sz val="10"/>
        <color rgb="FF000000"/>
        <rFont val="WenQuanYi Zen Hei"/>
        <family val="2"/>
      </rPr>
      <t xml:space="preserve">稲垣翔馴</t>
    </r>
    <r>
      <rPr>
        <sz val="10"/>
        <color rgb="FF000000"/>
        <rFont val="HGPｺﾞｼｯｸM"/>
        <family val="0"/>
        <charset val="1"/>
      </rPr>
      <t xml:space="preserve">(1)</t>
    </r>
    <r>
      <rPr>
        <sz val="10"/>
        <color rgb="FF000000"/>
        <rFont val="WenQuanYi Zen Hei"/>
        <family val="2"/>
      </rPr>
      <t xml:space="preserve">、石原向規</t>
    </r>
    <r>
      <rPr>
        <sz val="10"/>
        <color rgb="FF000000"/>
        <rFont val="HGPｺﾞｼｯｸM"/>
        <family val="0"/>
        <charset val="1"/>
      </rPr>
      <t xml:space="preserve">(2)</t>
    </r>
    <r>
      <rPr>
        <sz val="10"/>
        <color rgb="FF000000"/>
        <rFont val="WenQuanYi Zen Hei"/>
        <family val="2"/>
      </rPr>
      <t xml:space="preserve">、小早川駿也</t>
    </r>
    <r>
      <rPr>
        <sz val="10"/>
        <color rgb="FF000000"/>
        <rFont val="HGPｺﾞｼｯｸM"/>
        <family val="0"/>
        <charset val="1"/>
      </rPr>
      <t xml:space="preserve">(10)</t>
    </r>
    <r>
      <rPr>
        <sz val="10"/>
        <color rgb="FF000000"/>
        <rFont val="WenQuanYi Zen Hei"/>
        <family val="2"/>
      </rPr>
      <t xml:space="preserve">、玉川彩人</t>
    </r>
    <r>
      <rPr>
        <sz val="10"/>
        <color rgb="FF000000"/>
        <rFont val="HGPｺﾞｼｯｸM"/>
        <family val="0"/>
        <charset val="1"/>
      </rPr>
      <t xml:space="preserve">(77)</t>
    </r>
    <r>
      <rPr>
        <sz val="10"/>
        <color rgb="FF000000"/>
        <rFont val="WenQuanYi Zen Hei"/>
        <family val="2"/>
      </rPr>
      <t xml:space="preserve">、前 春馬</t>
    </r>
    <r>
      <rPr>
        <sz val="10"/>
        <color rgb="FF000000"/>
        <rFont val="HGPｺﾞｼｯｸM"/>
        <family val="0"/>
        <charset val="1"/>
      </rPr>
      <t xml:space="preserve">(80)</t>
    </r>
  </si>
  <si>
    <r>
      <rPr>
        <sz val="10"/>
        <color rgb="FF000000"/>
        <rFont val="WenQuanYi Zen Hei"/>
        <family val="2"/>
      </rPr>
      <t xml:space="preserve">サイモンムッソーニ</t>
    </r>
    <r>
      <rPr>
        <sz val="10"/>
        <color rgb="FF000000"/>
        <rFont val="HGPｺﾞｼｯｸM"/>
        <family val="0"/>
        <charset val="1"/>
      </rPr>
      <t xml:space="preserve">(7)</t>
    </r>
    <r>
      <rPr>
        <sz val="10"/>
        <color rgb="FF000000"/>
        <rFont val="WenQuanYi Zen Hei"/>
        <family val="2"/>
      </rPr>
      <t xml:space="preserve">、江口優</t>
    </r>
    <r>
      <rPr>
        <sz val="10"/>
        <color rgb="FF000000"/>
        <rFont val="HGPｺﾞｼｯｸM"/>
        <family val="0"/>
        <charset val="1"/>
      </rPr>
      <t xml:space="preserve">(31)</t>
    </r>
    <r>
      <rPr>
        <sz val="10"/>
        <color rgb="FF000000"/>
        <rFont val="WenQuanYi Zen Hei"/>
        <family val="2"/>
      </rPr>
      <t xml:space="preserve">、林田雅斗</t>
    </r>
    <r>
      <rPr>
        <sz val="10"/>
        <color rgb="FF000000"/>
        <rFont val="HGPｺﾞｼｯｸM"/>
        <family val="0"/>
        <charset val="1"/>
      </rPr>
      <t xml:space="preserve">(55)</t>
    </r>
    <r>
      <rPr>
        <sz val="10"/>
        <color rgb="FF000000"/>
        <rFont val="WenQuanYi Zen Hei"/>
        <family val="2"/>
      </rPr>
      <t xml:space="preserve">、山川瑛輔</t>
    </r>
    <r>
      <rPr>
        <sz val="10"/>
        <color rgb="FF000000"/>
        <rFont val="HGPｺﾞｼｯｸM"/>
        <family val="0"/>
        <charset val="1"/>
      </rPr>
      <t xml:space="preserve">(66)</t>
    </r>
    <r>
      <rPr>
        <sz val="10"/>
        <color rgb="FF000000"/>
        <rFont val="WenQuanYi Zen Hei"/>
        <family val="2"/>
      </rPr>
      <t xml:space="preserve">、米満楓馬</t>
    </r>
    <r>
      <rPr>
        <sz val="10"/>
        <color rgb="FF000000"/>
        <rFont val="HGPｺﾞｼｯｸM"/>
        <family val="0"/>
        <charset val="1"/>
      </rPr>
      <t xml:space="preserve">(87)</t>
    </r>
  </si>
  <si>
    <r>
      <rPr>
        <sz val="10"/>
        <color rgb="FF000000"/>
        <rFont val="WenQuanYi Zen Hei"/>
        <family val="2"/>
      </rPr>
      <t xml:space="preserve">平井啓太郎</t>
    </r>
    <r>
      <rPr>
        <sz val="10"/>
        <color rgb="FF000000"/>
        <rFont val="HGPｺﾞｼｯｸM"/>
        <family val="0"/>
        <charset val="1"/>
      </rPr>
      <t xml:space="preserve">(18)</t>
    </r>
    <r>
      <rPr>
        <sz val="10"/>
        <color rgb="FF000000"/>
        <rFont val="WenQuanYi Zen Hei"/>
        <family val="2"/>
      </rPr>
      <t xml:space="preserve">、千葉海虎</t>
    </r>
    <r>
      <rPr>
        <sz val="10"/>
        <color rgb="FF000000"/>
        <rFont val="HGPｺﾞｼｯｸM"/>
        <family val="0"/>
        <charset val="1"/>
      </rPr>
      <t xml:space="preserve">(27)</t>
    </r>
    <r>
      <rPr>
        <sz val="10"/>
        <color rgb="FF000000"/>
        <rFont val="WenQuanYi Zen Hei"/>
        <family val="2"/>
      </rPr>
      <t xml:space="preserve">、原 心傘</t>
    </r>
    <r>
      <rPr>
        <sz val="10"/>
        <color rgb="FF000000"/>
        <rFont val="HGPｺﾞｼｯｸM"/>
        <family val="0"/>
        <charset val="1"/>
      </rPr>
      <t xml:space="preserve">(40)</t>
    </r>
    <r>
      <rPr>
        <sz val="10"/>
        <color rgb="FF000000"/>
        <rFont val="WenQuanYi Zen Hei"/>
        <family val="2"/>
      </rPr>
      <t xml:space="preserve">、仲重柊晴</t>
    </r>
    <r>
      <rPr>
        <sz val="10"/>
        <color rgb="FF000000"/>
        <rFont val="HGPｺﾞｼｯｸM"/>
        <family val="0"/>
        <charset val="1"/>
      </rPr>
      <t xml:space="preserve">(70)</t>
    </r>
  </si>
  <si>
    <r>
      <rPr>
        <sz val="10"/>
        <color rgb="FF000000"/>
        <rFont val="WenQuanYi Zen Hei"/>
        <family val="2"/>
      </rPr>
      <t xml:space="preserve">長 煌介</t>
    </r>
    <r>
      <rPr>
        <sz val="10"/>
        <color rgb="FF000000"/>
        <rFont val="HGPｺﾞｼｯｸM"/>
        <family val="0"/>
        <charset val="1"/>
      </rPr>
      <t xml:space="preserve">(35)</t>
    </r>
    <r>
      <rPr>
        <sz val="10"/>
        <color rgb="FF000000"/>
        <rFont val="WenQuanYi Zen Hei"/>
        <family val="2"/>
      </rPr>
      <t xml:space="preserve">、平田千隼</t>
    </r>
    <r>
      <rPr>
        <sz val="10"/>
        <color rgb="FF000000"/>
        <rFont val="HGPｺﾞｼｯｸM"/>
        <family val="0"/>
        <charset val="1"/>
      </rPr>
      <t xml:space="preserve">(44)</t>
    </r>
    <r>
      <rPr>
        <sz val="10"/>
        <color rgb="FF000000"/>
        <rFont val="WenQuanYi Zen Hei"/>
        <family val="2"/>
      </rPr>
      <t xml:space="preserve">、松下悠真</t>
    </r>
    <r>
      <rPr>
        <sz val="10"/>
        <color rgb="FF000000"/>
        <rFont val="HGPｺﾞｼｯｸM"/>
        <family val="0"/>
        <charset val="1"/>
      </rPr>
      <t xml:space="preserve">(63)</t>
    </r>
    <r>
      <rPr>
        <sz val="10"/>
        <color rgb="FF000000"/>
        <rFont val="WenQuanYi Zen Hei"/>
        <family val="2"/>
      </rPr>
      <t xml:space="preserve">、堀之内悠</t>
    </r>
    <r>
      <rPr>
        <sz val="10"/>
        <color rgb="FF000000"/>
        <rFont val="HGPｺﾞｼｯｸM"/>
        <family val="0"/>
        <charset val="1"/>
      </rPr>
      <t xml:space="preserve">(86)</t>
    </r>
  </si>
  <si>
    <r>
      <rPr>
        <sz val="10"/>
        <color rgb="FF000000"/>
        <rFont val="WenQuanYi Zen Hei"/>
        <family val="2"/>
      </rPr>
      <t xml:space="preserve">金子陽翔</t>
    </r>
    <r>
      <rPr>
        <sz val="10"/>
        <color rgb="FF000000"/>
        <rFont val="HGPｺﾞｼｯｸM"/>
        <family val="0"/>
        <charset val="1"/>
      </rPr>
      <t xml:space="preserve">(84)</t>
    </r>
    <r>
      <rPr>
        <sz val="10"/>
        <color rgb="FF000000"/>
        <rFont val="WenQuanYi Zen Hei"/>
        <family val="2"/>
      </rPr>
      <t xml:space="preserve">、五社泰至</t>
    </r>
    <r>
      <rPr>
        <sz val="10"/>
        <color rgb="FF000000"/>
        <rFont val="HGPｺﾞｼｯｸM"/>
        <family val="0"/>
        <charset val="1"/>
      </rPr>
      <t xml:space="preserve">(89)</t>
    </r>
    <r>
      <rPr>
        <sz val="10"/>
        <color rgb="FF000000"/>
        <rFont val="WenQuanYi Zen Hei"/>
        <family val="2"/>
      </rPr>
      <t xml:space="preserve">、小石沢大翔</t>
    </r>
    <r>
      <rPr>
        <sz val="10"/>
        <color rgb="FF000000"/>
        <rFont val="HGPｺﾞｼｯｸM"/>
        <family val="0"/>
        <charset val="1"/>
      </rPr>
      <t xml:space="preserve">(92)</t>
    </r>
    <r>
      <rPr>
        <sz val="10"/>
        <color rgb="FF000000"/>
        <rFont val="WenQuanYi Zen Hei"/>
        <family val="2"/>
      </rPr>
      <t xml:space="preserve">、高橋空</t>
    </r>
    <r>
      <rPr>
        <sz val="10"/>
        <color rgb="FF000000"/>
        <rFont val="HGPｺﾞｼｯｸM"/>
        <family val="0"/>
        <charset val="1"/>
      </rPr>
      <t xml:space="preserve">(98)</t>
    </r>
  </si>
  <si>
    <r>
      <rPr>
        <sz val="10"/>
        <color rgb="FF000000"/>
        <rFont val="WenQuanYi Zen Hei"/>
        <family val="2"/>
      </rPr>
      <t xml:space="preserve">真船煌大</t>
    </r>
    <r>
      <rPr>
        <sz val="10"/>
        <color rgb="FF000000"/>
        <rFont val="HGPｺﾞｼｯｸM"/>
        <family val="0"/>
        <charset val="1"/>
      </rPr>
      <t xml:space="preserve">(32)</t>
    </r>
    <r>
      <rPr>
        <sz val="10"/>
        <color rgb="FF000000"/>
        <rFont val="WenQuanYi Zen Hei"/>
        <family val="2"/>
      </rPr>
      <t xml:space="preserve">、加藤心翔</t>
    </r>
    <r>
      <rPr>
        <sz val="10"/>
        <color rgb="FF000000"/>
        <rFont val="HGPｺﾞｼｯｸM"/>
        <family val="0"/>
        <charset val="1"/>
      </rPr>
      <t xml:space="preserve">(60)</t>
    </r>
    <r>
      <rPr>
        <sz val="10"/>
        <color rgb="FF000000"/>
        <rFont val="WenQuanYi Zen Hei"/>
        <family val="2"/>
      </rPr>
      <t xml:space="preserve">、入江佑典</t>
    </r>
    <r>
      <rPr>
        <sz val="10"/>
        <color rgb="FF000000"/>
        <rFont val="HGPｺﾞｼｯｸM"/>
        <family val="0"/>
        <charset val="1"/>
      </rPr>
      <t xml:space="preserve">(64)</t>
    </r>
    <r>
      <rPr>
        <sz val="10"/>
        <color rgb="FF000000"/>
        <rFont val="WenQuanYi Zen Hei"/>
        <family val="2"/>
      </rPr>
      <t xml:space="preserve">、竹内琉カ</t>
    </r>
    <r>
      <rPr>
        <sz val="10"/>
        <color rgb="FF000000"/>
        <rFont val="HGPｺﾞｼｯｸM"/>
        <family val="0"/>
        <charset val="1"/>
      </rPr>
      <t xml:space="preserve">(83)</t>
    </r>
  </si>
  <si>
    <r>
      <rPr>
        <sz val="10"/>
        <color rgb="FF000000"/>
        <rFont val="WenQuanYi Zen Hei"/>
        <family val="2"/>
      </rPr>
      <t xml:space="preserve">野口琉太</t>
    </r>
    <r>
      <rPr>
        <sz val="10"/>
        <color rgb="FF000000"/>
        <rFont val="HGPｺﾞｼｯｸM"/>
        <family val="0"/>
        <charset val="1"/>
      </rPr>
      <t xml:space="preserve">(8)</t>
    </r>
    <r>
      <rPr>
        <sz val="10"/>
        <color rgb="FF000000"/>
        <rFont val="WenQuanYi Zen Hei"/>
        <family val="2"/>
      </rPr>
      <t xml:space="preserve">、荒木琉偉</t>
    </r>
    <r>
      <rPr>
        <sz val="10"/>
        <color rgb="FF000000"/>
        <rFont val="HGPｺﾞｼｯｸM"/>
        <family val="0"/>
        <charset val="1"/>
      </rPr>
      <t xml:space="preserve">(12)</t>
    </r>
    <r>
      <rPr>
        <sz val="10"/>
        <color rgb="FF000000"/>
        <rFont val="WenQuanYi Zen Hei"/>
        <family val="2"/>
      </rPr>
      <t xml:space="preserve">、竹田櫂司</t>
    </r>
    <r>
      <rPr>
        <sz val="10"/>
        <color rgb="FF000000"/>
        <rFont val="HGPｺﾞｼｯｸM"/>
        <family val="0"/>
        <charset val="1"/>
      </rPr>
      <t xml:space="preserve">(15)</t>
    </r>
    <r>
      <rPr>
        <sz val="10"/>
        <color rgb="FF000000"/>
        <rFont val="WenQuanYi Zen Hei"/>
        <family val="2"/>
      </rPr>
      <t xml:space="preserve">、岩田健志</t>
    </r>
    <r>
      <rPr>
        <sz val="10"/>
        <color rgb="FF000000"/>
        <rFont val="HGPｺﾞｼｯｸM"/>
        <family val="0"/>
        <charset val="1"/>
      </rPr>
      <t xml:space="preserve">(38)</t>
    </r>
  </si>
  <si>
    <r>
      <rPr>
        <sz val="10"/>
        <color rgb="FF000000"/>
        <rFont val="WenQuanYi Zen Hei"/>
        <family val="2"/>
      </rPr>
      <t xml:space="preserve">高田康介</t>
    </r>
    <r>
      <rPr>
        <sz val="10"/>
        <color rgb="FF000000"/>
        <rFont val="HGPｺﾞｼｯｸM"/>
        <family val="0"/>
        <charset val="1"/>
      </rPr>
      <t xml:space="preserve">(22)</t>
    </r>
    <r>
      <rPr>
        <sz val="10"/>
        <color rgb="FF000000"/>
        <rFont val="WenQuanYi Zen Hei"/>
        <family val="2"/>
      </rPr>
      <t xml:space="preserve">、小松隼太</t>
    </r>
    <r>
      <rPr>
        <sz val="10"/>
        <color rgb="FF000000"/>
        <rFont val="HGPｺﾞｼｯｸM"/>
        <family val="0"/>
        <charset val="1"/>
      </rPr>
      <t xml:space="preserve">(57)</t>
    </r>
    <r>
      <rPr>
        <sz val="10"/>
        <color rgb="FF000000"/>
        <rFont val="WenQuanYi Zen Hei"/>
        <family val="2"/>
      </rPr>
      <t xml:space="preserve">、笹尾颯良</t>
    </r>
    <r>
      <rPr>
        <sz val="10"/>
        <color rgb="FF000000"/>
        <rFont val="HGPｺﾞｼｯｸM"/>
        <family val="0"/>
        <charset val="1"/>
      </rPr>
      <t xml:space="preserve">(60)</t>
    </r>
    <r>
      <rPr>
        <sz val="10"/>
        <color rgb="FF000000"/>
        <rFont val="WenQuanYi Zen Hei"/>
        <family val="2"/>
      </rPr>
      <t xml:space="preserve">、渡辺諒太</t>
    </r>
    <r>
      <rPr>
        <sz val="10"/>
        <color rgb="FF000000"/>
        <rFont val="HGPｺﾞｼｯｸM"/>
        <family val="0"/>
        <charset val="1"/>
      </rPr>
      <t xml:space="preserve">(94)</t>
    </r>
  </si>
  <si>
    <r>
      <rPr>
        <sz val="10"/>
        <color rgb="FF000000"/>
        <rFont val="WenQuanYi Zen Hei"/>
        <family val="2"/>
      </rPr>
      <t xml:space="preserve">ボイビリス</t>
    </r>
    <r>
      <rPr>
        <sz val="10"/>
        <color rgb="FF000000"/>
        <rFont val="HGPｺﾞｼｯｸM"/>
        <family val="0"/>
        <charset val="1"/>
      </rPr>
      <t xml:space="preserve">(1)</t>
    </r>
    <r>
      <rPr>
        <sz val="10"/>
        <color rgb="FF000000"/>
        <rFont val="WenQuanYi Zen Hei"/>
        <family val="2"/>
      </rPr>
      <t xml:space="preserve">、増田優太朗</t>
    </r>
    <r>
      <rPr>
        <sz val="10"/>
        <color rgb="FF000000"/>
        <rFont val="HGPｺﾞｼｯｸM"/>
        <family val="0"/>
        <charset val="1"/>
      </rPr>
      <t xml:space="preserve">(39)</t>
    </r>
    <r>
      <rPr>
        <sz val="10"/>
        <color rgb="FF000000"/>
        <rFont val="WenQuanYi Zen Hei"/>
        <family val="2"/>
      </rPr>
      <t xml:space="preserve">、小畑瑞貴</t>
    </r>
    <r>
      <rPr>
        <sz val="10"/>
        <color rgb="FF000000"/>
        <rFont val="HGPｺﾞｼｯｸM"/>
        <family val="0"/>
        <charset val="1"/>
      </rPr>
      <t xml:space="preserve">(43)</t>
    </r>
    <r>
      <rPr>
        <sz val="10"/>
        <color rgb="FF000000"/>
        <rFont val="WenQuanYi Zen Hei"/>
        <family val="2"/>
      </rPr>
      <t xml:space="preserve">、藤田昂</t>
    </r>
    <r>
      <rPr>
        <sz val="10"/>
        <color rgb="FF000000"/>
        <rFont val="HGPｺﾞｼｯｸM"/>
        <family val="0"/>
        <charset val="1"/>
      </rPr>
      <t xml:space="preserve">(77)</t>
    </r>
  </si>
  <si>
    <r>
      <rPr>
        <sz val="10"/>
        <color rgb="FF000000"/>
        <rFont val="WenQuanYi Zen Hei"/>
        <family val="2"/>
      </rPr>
      <t xml:space="preserve">西川晴貴</t>
    </r>
    <r>
      <rPr>
        <sz val="10"/>
        <color rgb="FF000000"/>
        <rFont val="HGPｺﾞｼｯｸM"/>
        <family val="0"/>
        <charset val="1"/>
      </rPr>
      <t xml:space="preserve">(20)</t>
    </r>
    <r>
      <rPr>
        <sz val="10"/>
        <color rgb="FF000000"/>
        <rFont val="WenQuanYi Zen Hei"/>
        <family val="2"/>
      </rPr>
      <t xml:space="preserve">、松本陽樹</t>
    </r>
    <r>
      <rPr>
        <sz val="10"/>
        <color rgb="FF000000"/>
        <rFont val="HGPｺﾞｼｯｸM"/>
        <family val="0"/>
        <charset val="1"/>
      </rPr>
      <t xml:space="preserve">(27)</t>
    </r>
    <r>
      <rPr>
        <sz val="10"/>
        <color rgb="FF000000"/>
        <rFont val="WenQuanYi Zen Hei"/>
        <family val="2"/>
      </rPr>
      <t xml:space="preserve">、長瀬礼</t>
    </r>
    <r>
      <rPr>
        <sz val="10"/>
        <color rgb="FF000000"/>
        <rFont val="HGPｺﾞｼｯｸM"/>
        <family val="0"/>
        <charset val="1"/>
      </rPr>
      <t xml:space="preserve">(53)</t>
    </r>
    <r>
      <rPr>
        <sz val="10"/>
        <color rgb="FF000000"/>
        <rFont val="WenQuanYi Zen Hei"/>
        <family val="2"/>
      </rPr>
      <t xml:space="preserve">、細見悠雅</t>
    </r>
    <r>
      <rPr>
        <sz val="10"/>
        <color rgb="FF000000"/>
        <rFont val="HGPｺﾞｼｯｸM"/>
        <family val="0"/>
        <charset val="1"/>
      </rPr>
      <t xml:space="preserve">(70)</t>
    </r>
  </si>
  <si>
    <r>
      <rPr>
        <sz val="10"/>
        <color rgb="FF000000"/>
        <rFont val="WenQuanYi Zen Hei"/>
        <family val="2"/>
      </rPr>
      <t xml:space="preserve">若田大尚</t>
    </r>
    <r>
      <rPr>
        <sz val="10"/>
        <color rgb="FF000000"/>
        <rFont val="HGPｺﾞｼｯｸM"/>
        <family val="0"/>
        <charset val="1"/>
      </rPr>
      <t xml:space="preserve">(4)</t>
    </r>
    <r>
      <rPr>
        <sz val="10"/>
        <color rgb="FF000000"/>
        <rFont val="WenQuanYi Zen Hei"/>
        <family val="2"/>
      </rPr>
      <t xml:space="preserve">、美沢央佑</t>
    </r>
    <r>
      <rPr>
        <sz val="10"/>
        <color rgb="FF000000"/>
        <rFont val="HGPｺﾞｼｯｸM"/>
        <family val="0"/>
        <charset val="1"/>
      </rPr>
      <t xml:space="preserve">(9)</t>
    </r>
    <r>
      <rPr>
        <sz val="10"/>
        <color rgb="FF000000"/>
        <rFont val="WenQuanYi Zen Hei"/>
        <family val="2"/>
      </rPr>
      <t xml:space="preserve">、星 柊斗</t>
    </r>
    <r>
      <rPr>
        <sz val="10"/>
        <color rgb="FF000000"/>
        <rFont val="HGPｺﾞｼｯｸM"/>
        <family val="0"/>
        <charset val="1"/>
      </rPr>
      <t xml:space="preserve">(47)</t>
    </r>
  </si>
  <si>
    <r>
      <rPr>
        <sz val="10"/>
        <color rgb="FF000000"/>
        <rFont val="WenQuanYi Zen Hei"/>
        <family val="2"/>
      </rPr>
      <t xml:space="preserve">辻井智稀</t>
    </r>
    <r>
      <rPr>
        <sz val="10"/>
        <color rgb="FF000000"/>
        <rFont val="HGPｺﾞｼｯｸM"/>
        <family val="0"/>
        <charset val="1"/>
      </rPr>
      <t xml:space="preserve">(11)</t>
    </r>
    <r>
      <rPr>
        <sz val="10"/>
        <color rgb="FF000000"/>
        <rFont val="WenQuanYi Zen Hei"/>
        <family val="2"/>
      </rPr>
      <t xml:space="preserve">、稲岡透亜</t>
    </r>
    <r>
      <rPr>
        <sz val="10"/>
        <color rgb="FF000000"/>
        <rFont val="HGPｺﾞｼｯｸM"/>
        <family val="0"/>
        <charset val="1"/>
      </rPr>
      <t xml:space="preserve">(39)</t>
    </r>
    <r>
      <rPr>
        <sz val="10"/>
        <color rgb="FF000000"/>
        <rFont val="WenQuanYi Zen Hei"/>
        <family val="2"/>
      </rPr>
      <t xml:space="preserve">、弓倉航</t>
    </r>
    <r>
      <rPr>
        <sz val="10"/>
        <color rgb="FF000000"/>
        <rFont val="HGPｺﾞｼｯｸM"/>
        <family val="0"/>
        <charset val="1"/>
      </rPr>
      <t xml:space="preserve">(76)</t>
    </r>
  </si>
  <si>
    <r>
      <rPr>
        <sz val="10"/>
        <color rgb="FF000000"/>
        <rFont val="WenQuanYi Zen Hei"/>
        <family val="2"/>
      </rPr>
      <t xml:space="preserve">川口頼輝</t>
    </r>
    <r>
      <rPr>
        <sz val="10"/>
        <color rgb="FF000000"/>
        <rFont val="HGPｺﾞｼｯｸM"/>
        <family val="0"/>
        <charset val="1"/>
      </rPr>
      <t xml:space="preserve">(16)</t>
    </r>
    <r>
      <rPr>
        <sz val="10"/>
        <color rgb="FF000000"/>
        <rFont val="WenQuanYi Zen Hei"/>
        <family val="2"/>
      </rPr>
      <t xml:space="preserve">、富永永輝愛</t>
    </r>
    <r>
      <rPr>
        <sz val="10"/>
        <color rgb="FF000000"/>
        <rFont val="HGPｺﾞｼｯｸM"/>
        <family val="0"/>
        <charset val="1"/>
      </rPr>
      <t xml:space="preserve">(39)</t>
    </r>
    <r>
      <rPr>
        <sz val="10"/>
        <color rgb="FF000000"/>
        <rFont val="WenQuanYi Zen Hei"/>
        <family val="2"/>
      </rPr>
      <t xml:space="preserve">、井上悠夢</t>
    </r>
    <r>
      <rPr>
        <sz val="10"/>
        <color rgb="FF000000"/>
        <rFont val="HGPｺﾞｼｯｸM"/>
        <family val="0"/>
        <charset val="1"/>
      </rPr>
      <t xml:space="preserve">(81)</t>
    </r>
  </si>
  <si>
    <r>
      <rPr>
        <sz val="10"/>
        <color rgb="FF000000"/>
        <rFont val="WenQuanYi Zen Hei"/>
        <family val="2"/>
      </rPr>
      <t xml:space="preserve">舛谷夢生</t>
    </r>
    <r>
      <rPr>
        <sz val="10"/>
        <color rgb="FF000000"/>
        <rFont val="HGPｺﾞｼｯｸM"/>
        <family val="0"/>
        <charset val="1"/>
      </rPr>
      <t xml:space="preserve">(19)</t>
    </r>
    <r>
      <rPr>
        <sz val="10"/>
        <color rgb="FF000000"/>
        <rFont val="WenQuanYi Zen Hei"/>
        <family val="2"/>
      </rPr>
      <t xml:space="preserve">、エゼディリチュク勇</t>
    </r>
    <r>
      <rPr>
        <sz val="10"/>
        <color rgb="FF000000"/>
        <rFont val="HGPｺﾞｼｯｸM"/>
        <family val="0"/>
        <charset val="1"/>
      </rPr>
      <t xml:space="preserve">(29)</t>
    </r>
    <r>
      <rPr>
        <sz val="10"/>
        <color rgb="FF000000"/>
        <rFont val="WenQuanYi Zen Hei"/>
        <family val="2"/>
      </rPr>
      <t xml:space="preserve">、川人仁嘉</t>
    </r>
    <r>
      <rPr>
        <sz val="10"/>
        <color rgb="FF000000"/>
        <rFont val="HGPｺﾞｼｯｸM"/>
        <family val="0"/>
        <charset val="1"/>
      </rPr>
      <t xml:space="preserve">(73)</t>
    </r>
  </si>
  <si>
    <r>
      <rPr>
        <sz val="10"/>
        <color rgb="FF000000"/>
        <rFont val="WenQuanYi Zen Hei"/>
        <family val="2"/>
      </rPr>
      <t xml:space="preserve">松下翔</t>
    </r>
    <r>
      <rPr>
        <sz val="10"/>
        <color rgb="FF000000"/>
        <rFont val="HGPｺﾞｼｯｸM"/>
        <family val="0"/>
        <charset val="1"/>
      </rPr>
      <t xml:space="preserve">(33)</t>
    </r>
    <r>
      <rPr>
        <sz val="10"/>
        <color rgb="FF000000"/>
        <rFont val="WenQuanYi Zen Hei"/>
        <family val="2"/>
      </rPr>
      <t xml:space="preserve">、柘植源太</t>
    </r>
    <r>
      <rPr>
        <sz val="10"/>
        <color rgb="FF000000"/>
        <rFont val="HGPｺﾞｼｯｸM"/>
        <family val="0"/>
        <charset val="1"/>
      </rPr>
      <t xml:space="preserve">(60)</t>
    </r>
    <r>
      <rPr>
        <sz val="10"/>
        <color rgb="FF000000"/>
        <rFont val="WenQuanYi Zen Hei"/>
        <family val="2"/>
      </rPr>
      <t xml:space="preserve">、上口心大</t>
    </r>
    <r>
      <rPr>
        <sz val="10"/>
        <color rgb="FF000000"/>
        <rFont val="HGPｺﾞｼｯｸM"/>
        <family val="0"/>
        <charset val="1"/>
      </rPr>
      <t xml:space="preserve">(61)</t>
    </r>
  </si>
  <si>
    <r>
      <rPr>
        <sz val="10"/>
        <color rgb="FF000000"/>
        <rFont val="WenQuanYi Zen Hei"/>
        <family val="2"/>
      </rPr>
      <t xml:space="preserve">鳥谷部凌央</t>
    </r>
    <r>
      <rPr>
        <sz val="10"/>
        <color rgb="FF000000"/>
        <rFont val="HGPｺﾞｼｯｸM"/>
        <family val="0"/>
        <charset val="1"/>
      </rPr>
      <t xml:space="preserve">(25)</t>
    </r>
    <r>
      <rPr>
        <sz val="10"/>
        <color rgb="FF000000"/>
        <rFont val="WenQuanYi Zen Hei"/>
        <family val="2"/>
      </rPr>
      <t xml:space="preserve">、中岫奏輔</t>
    </r>
    <r>
      <rPr>
        <sz val="10"/>
        <color rgb="FF000000"/>
        <rFont val="HGPｺﾞｼｯｸM"/>
        <family val="0"/>
        <charset val="1"/>
      </rPr>
      <t xml:space="preserve">(45)</t>
    </r>
    <r>
      <rPr>
        <sz val="10"/>
        <color rgb="FF000000"/>
        <rFont val="WenQuanYi Zen Hei"/>
        <family val="2"/>
      </rPr>
      <t xml:space="preserve">、佐々木凉蒼</t>
    </r>
    <r>
      <rPr>
        <sz val="10"/>
        <color rgb="FF000000"/>
        <rFont val="HGPｺﾞｼｯｸM"/>
        <family val="0"/>
        <charset val="1"/>
      </rPr>
      <t xml:space="preserve">(90)</t>
    </r>
  </si>
  <si>
    <r>
      <rPr>
        <sz val="10"/>
        <color rgb="FF000000"/>
        <rFont val="WenQuanYi Zen Hei"/>
        <family val="2"/>
      </rPr>
      <t xml:space="preserve">河野莉空</t>
    </r>
    <r>
      <rPr>
        <sz val="10"/>
        <color rgb="FF000000"/>
        <rFont val="HGPｺﾞｼｯｸM"/>
        <family val="0"/>
        <charset val="1"/>
      </rPr>
      <t xml:space="preserve">(15)</t>
    </r>
    <r>
      <rPr>
        <sz val="10"/>
        <color rgb="FF000000"/>
        <rFont val="WenQuanYi Zen Hei"/>
        <family val="2"/>
      </rPr>
      <t xml:space="preserve">、吹春瞬</t>
    </r>
    <r>
      <rPr>
        <sz val="10"/>
        <color rgb="FF000000"/>
        <rFont val="HGPｺﾞｼｯｸM"/>
        <family val="0"/>
        <charset val="1"/>
      </rPr>
      <t xml:space="preserve">(26)</t>
    </r>
    <r>
      <rPr>
        <sz val="10"/>
        <color rgb="FF000000"/>
        <rFont val="WenQuanYi Zen Hei"/>
        <family val="2"/>
      </rPr>
      <t xml:space="preserve">、阿久根英駿</t>
    </r>
    <r>
      <rPr>
        <sz val="10"/>
        <color rgb="FF000000"/>
        <rFont val="HGPｺﾞｼｯｸM"/>
        <family val="0"/>
        <charset val="1"/>
      </rPr>
      <t xml:space="preserve">(67)</t>
    </r>
  </si>
  <si>
    <r>
      <rPr>
        <sz val="10"/>
        <color rgb="FF000000"/>
        <rFont val="WenQuanYi Zen Hei"/>
        <family val="2"/>
      </rPr>
      <t xml:space="preserve">黒川歩夢</t>
    </r>
    <r>
      <rPr>
        <sz val="10"/>
        <color rgb="FF000000"/>
        <rFont val="HGPｺﾞｼｯｸM"/>
        <family val="0"/>
        <charset val="1"/>
      </rPr>
      <t xml:space="preserve">(22)</t>
    </r>
    <r>
      <rPr>
        <sz val="10"/>
        <color rgb="FF000000"/>
        <rFont val="WenQuanYi Zen Hei"/>
        <family val="2"/>
      </rPr>
      <t xml:space="preserve">、山本陽心</t>
    </r>
    <r>
      <rPr>
        <sz val="10"/>
        <color rgb="FF000000"/>
        <rFont val="HGPｺﾞｼｯｸM"/>
        <family val="0"/>
        <charset val="1"/>
      </rPr>
      <t xml:space="preserve">(50)</t>
    </r>
    <r>
      <rPr>
        <sz val="10"/>
        <color rgb="FF000000"/>
        <rFont val="WenQuanYi Zen Hei"/>
        <family val="2"/>
      </rPr>
      <t xml:space="preserve">、鈴木快斗</t>
    </r>
    <r>
      <rPr>
        <sz val="10"/>
        <color rgb="FF000000"/>
        <rFont val="HGPｺﾞｼｯｸM"/>
        <family val="0"/>
        <charset val="1"/>
      </rPr>
      <t xml:space="preserve">(66)</t>
    </r>
  </si>
  <si>
    <r>
      <rPr>
        <sz val="10"/>
        <color rgb="FF000000"/>
        <rFont val="WenQuanYi Zen Hei"/>
        <family val="2"/>
      </rPr>
      <t xml:space="preserve">岸本羽琉</t>
    </r>
    <r>
      <rPr>
        <sz val="10"/>
        <color rgb="FF000000"/>
        <rFont val="HGPｺﾞｼｯｸM"/>
        <family val="0"/>
        <charset val="1"/>
      </rPr>
      <t xml:space="preserve">(27)</t>
    </r>
    <r>
      <rPr>
        <sz val="10"/>
        <color rgb="FF000000"/>
        <rFont val="WenQuanYi Zen Hei"/>
        <family val="2"/>
      </rPr>
      <t xml:space="preserve">、蛭田渉正</t>
    </r>
    <r>
      <rPr>
        <sz val="10"/>
        <color rgb="FF000000"/>
        <rFont val="HGPｺﾞｼｯｸM"/>
        <family val="0"/>
        <charset val="1"/>
      </rPr>
      <t xml:space="preserve">(79)</t>
    </r>
    <r>
      <rPr>
        <sz val="10"/>
        <color rgb="FF000000"/>
        <rFont val="WenQuanYi Zen Hei"/>
        <family val="2"/>
      </rPr>
      <t xml:space="preserve">、原田隼</t>
    </r>
    <r>
      <rPr>
        <sz val="10"/>
        <color rgb="FF000000"/>
        <rFont val="HGPｺﾞｼｯｸM"/>
        <family val="0"/>
        <charset val="1"/>
      </rPr>
      <t xml:space="preserve">(97)</t>
    </r>
  </si>
  <si>
    <r>
      <rPr>
        <sz val="10"/>
        <color rgb="FF000000"/>
        <rFont val="WenQuanYi Zen Hei"/>
        <family val="2"/>
      </rPr>
      <t xml:space="preserve">碇元瑛太</t>
    </r>
    <r>
      <rPr>
        <sz val="10"/>
        <color rgb="FF000000"/>
        <rFont val="HGPｺﾞｼｯｸM"/>
        <family val="0"/>
        <charset val="1"/>
      </rPr>
      <t xml:space="preserve">(42)</t>
    </r>
    <r>
      <rPr>
        <sz val="10"/>
        <color rgb="FF000000"/>
        <rFont val="WenQuanYi Zen Hei"/>
        <family val="2"/>
      </rPr>
      <t xml:space="preserve">、若松悠馬</t>
    </r>
    <r>
      <rPr>
        <sz val="10"/>
        <color rgb="FF000000"/>
        <rFont val="HGPｺﾞｼｯｸM"/>
        <family val="0"/>
        <charset val="1"/>
      </rPr>
      <t xml:space="preserve">(45)</t>
    </r>
    <r>
      <rPr>
        <sz val="10"/>
        <color rgb="FF000000"/>
        <rFont val="WenQuanYi Zen Hei"/>
        <family val="2"/>
      </rPr>
      <t xml:space="preserve">、要田芽</t>
    </r>
    <r>
      <rPr>
        <sz val="10"/>
        <color rgb="FF000000"/>
        <rFont val="HGPｺﾞｼｯｸM"/>
        <family val="0"/>
        <charset val="1"/>
      </rPr>
      <t xml:space="preserve">(49)</t>
    </r>
  </si>
  <si>
    <r>
      <rPr>
        <sz val="10"/>
        <color rgb="FF000000"/>
        <rFont val="WenQuanYi Zen Hei"/>
        <family val="2"/>
      </rPr>
      <t xml:space="preserve">酒瀬川新</t>
    </r>
    <r>
      <rPr>
        <sz val="10"/>
        <color rgb="FF000000"/>
        <rFont val="HGPｺﾞｼｯｸM"/>
        <family val="0"/>
        <charset val="1"/>
      </rPr>
      <t xml:space="preserve">(5)</t>
    </r>
    <r>
      <rPr>
        <sz val="10"/>
        <color rgb="FF000000"/>
        <rFont val="WenQuanYi Zen Hei"/>
        <family val="2"/>
      </rPr>
      <t xml:space="preserve">、森田正貴</t>
    </r>
    <r>
      <rPr>
        <sz val="10"/>
        <color rgb="FF000000"/>
        <rFont val="HGPｺﾞｼｯｸM"/>
        <family val="0"/>
        <charset val="1"/>
      </rPr>
      <t xml:space="preserve">(30)</t>
    </r>
    <r>
      <rPr>
        <sz val="10"/>
        <color rgb="FF000000"/>
        <rFont val="WenQuanYi Zen Hei"/>
        <family val="2"/>
      </rPr>
      <t xml:space="preserve">、江川颯大</t>
    </r>
    <r>
      <rPr>
        <sz val="10"/>
        <color rgb="FF000000"/>
        <rFont val="HGPｺﾞｼｯｸM"/>
        <family val="0"/>
        <charset val="1"/>
      </rPr>
      <t xml:space="preserve">(68)</t>
    </r>
  </si>
  <si>
    <r>
      <rPr>
        <sz val="10"/>
        <color rgb="FF000000"/>
        <rFont val="WenQuanYi Zen Hei"/>
        <family val="2"/>
      </rPr>
      <t xml:space="preserve">隅田圭太</t>
    </r>
    <r>
      <rPr>
        <sz val="10"/>
        <color rgb="FF000000"/>
        <rFont val="HGPｺﾞｼｯｸM"/>
        <family val="0"/>
        <charset val="1"/>
      </rPr>
      <t xml:space="preserve">(9)</t>
    </r>
    <r>
      <rPr>
        <sz val="10"/>
        <color rgb="FF000000"/>
        <rFont val="WenQuanYi Zen Hei"/>
        <family val="2"/>
      </rPr>
      <t xml:space="preserve">、松本莉史</t>
    </r>
    <r>
      <rPr>
        <sz val="10"/>
        <color rgb="FF000000"/>
        <rFont val="HGPｺﾞｼｯｸM"/>
        <family val="0"/>
        <charset val="1"/>
      </rPr>
      <t xml:space="preserve">(37)</t>
    </r>
    <r>
      <rPr>
        <sz val="10"/>
        <color rgb="FF000000"/>
        <rFont val="WenQuanYi Zen Hei"/>
        <family val="2"/>
      </rPr>
      <t xml:space="preserve">、本川竜光</t>
    </r>
    <r>
      <rPr>
        <sz val="10"/>
        <color rgb="FF000000"/>
        <rFont val="HGPｺﾞｼｯｸM"/>
        <family val="0"/>
        <charset val="1"/>
      </rPr>
      <t xml:space="preserve">(86)</t>
    </r>
  </si>
  <si>
    <r>
      <rPr>
        <sz val="10"/>
        <color rgb="FF000000"/>
        <rFont val="WenQuanYi Zen Hei"/>
        <family val="2"/>
      </rPr>
      <t xml:space="preserve">宮川晴斗</t>
    </r>
    <r>
      <rPr>
        <sz val="10"/>
        <color rgb="FF000000"/>
        <rFont val="HGPｺﾞｼｯｸM"/>
        <family val="0"/>
        <charset val="1"/>
      </rPr>
      <t xml:space="preserve">(41)</t>
    </r>
    <r>
      <rPr>
        <sz val="10"/>
        <color rgb="FF000000"/>
        <rFont val="WenQuanYi Zen Hei"/>
        <family val="2"/>
      </rPr>
      <t xml:space="preserve">、神谷勇輝</t>
    </r>
    <r>
      <rPr>
        <sz val="10"/>
        <color rgb="FF000000"/>
        <rFont val="HGPｺﾞｼｯｸM"/>
        <family val="0"/>
        <charset val="1"/>
      </rPr>
      <t xml:space="preserve">(57)</t>
    </r>
    <r>
      <rPr>
        <sz val="10"/>
        <color rgb="FF000000"/>
        <rFont val="WenQuanYi Zen Hei"/>
        <family val="2"/>
      </rPr>
      <t xml:space="preserve">、河村俊志</t>
    </r>
    <r>
      <rPr>
        <sz val="10"/>
        <color rgb="FF000000"/>
        <rFont val="HGPｺﾞｼｯｸM"/>
        <family val="0"/>
        <charset val="1"/>
      </rPr>
      <t xml:space="preserve">(82)</t>
    </r>
  </si>
  <si>
    <r>
      <rPr>
        <sz val="10"/>
        <color rgb="FF000000"/>
        <rFont val="WenQuanYi Zen Hei"/>
        <family val="2"/>
      </rPr>
      <t xml:space="preserve">立花力輝</t>
    </r>
    <r>
      <rPr>
        <sz val="10"/>
        <color rgb="FF000000"/>
        <rFont val="HGPｺﾞｼｯｸM"/>
        <family val="0"/>
        <charset val="1"/>
      </rPr>
      <t xml:space="preserve">(38)</t>
    </r>
    <r>
      <rPr>
        <sz val="10"/>
        <color rgb="FF000000"/>
        <rFont val="WenQuanYi Zen Hei"/>
        <family val="2"/>
      </rPr>
      <t xml:space="preserve">、小玉宗時朗</t>
    </r>
    <r>
      <rPr>
        <sz val="10"/>
        <color rgb="FF000000"/>
        <rFont val="HGPｺﾞｼｯｸM"/>
        <family val="0"/>
        <charset val="1"/>
      </rPr>
      <t xml:space="preserve">(61)</t>
    </r>
    <r>
      <rPr>
        <sz val="10"/>
        <color rgb="FF000000"/>
        <rFont val="WenQuanYi Zen Hei"/>
        <family val="2"/>
      </rPr>
      <t xml:space="preserve">、松井蓮</t>
    </r>
    <r>
      <rPr>
        <sz val="10"/>
        <color rgb="FF000000"/>
        <rFont val="HGPｺﾞｼｯｸM"/>
        <family val="0"/>
        <charset val="1"/>
      </rPr>
      <t xml:space="preserve">(77)</t>
    </r>
  </si>
  <si>
    <r>
      <rPr>
        <sz val="10"/>
        <color rgb="FF000000"/>
        <rFont val="WenQuanYi Zen Hei"/>
        <family val="2"/>
      </rPr>
      <t xml:space="preserve">時本宝琉</t>
    </r>
    <r>
      <rPr>
        <sz val="10"/>
        <color rgb="FF000000"/>
        <rFont val="HGPｺﾞｼｯｸM"/>
        <family val="0"/>
        <charset val="1"/>
      </rPr>
      <t xml:space="preserve">(7)</t>
    </r>
    <r>
      <rPr>
        <sz val="10"/>
        <color rgb="FF000000"/>
        <rFont val="WenQuanYi Zen Hei"/>
        <family val="2"/>
      </rPr>
      <t xml:space="preserve">、福山拓己</t>
    </r>
    <r>
      <rPr>
        <sz val="10"/>
        <color rgb="FF000000"/>
        <rFont val="HGPｺﾞｼｯｸM"/>
        <family val="0"/>
        <charset val="1"/>
      </rPr>
      <t xml:space="preserve">(15)</t>
    </r>
  </si>
  <si>
    <r>
      <rPr>
        <sz val="10"/>
        <color rgb="FF000000"/>
        <rFont val="WenQuanYi Zen Hei"/>
        <family val="2"/>
      </rPr>
      <t xml:space="preserve">若嶋梨公</t>
    </r>
    <r>
      <rPr>
        <sz val="10"/>
        <color rgb="FF000000"/>
        <rFont val="HGPｺﾞｼｯｸM"/>
        <family val="0"/>
        <charset val="1"/>
      </rPr>
      <t xml:space="preserve">(13)</t>
    </r>
    <r>
      <rPr>
        <sz val="10"/>
        <color rgb="FF000000"/>
        <rFont val="WenQuanYi Zen Hei"/>
        <family val="2"/>
      </rPr>
      <t xml:space="preserve">、巽 陽南太</t>
    </r>
    <r>
      <rPr>
        <sz val="10"/>
        <color rgb="FF000000"/>
        <rFont val="HGPｺﾞｼｯｸM"/>
        <family val="0"/>
        <charset val="1"/>
      </rPr>
      <t xml:space="preserve">(71)</t>
    </r>
  </si>
  <si>
    <r>
      <rPr>
        <sz val="10"/>
        <color rgb="FF000000"/>
        <rFont val="WenQuanYi Zen Hei"/>
        <family val="2"/>
      </rPr>
      <t xml:space="preserve">山田莉生</t>
    </r>
    <r>
      <rPr>
        <sz val="10"/>
        <color rgb="FF000000"/>
        <rFont val="HGPｺﾞｼｯｸM"/>
        <family val="0"/>
        <charset val="1"/>
      </rPr>
      <t xml:space="preserve">(19)</t>
    </r>
    <r>
      <rPr>
        <sz val="10"/>
        <color rgb="FF000000"/>
        <rFont val="WenQuanYi Zen Hei"/>
        <family val="2"/>
      </rPr>
      <t xml:space="preserve">、渋谷玖蒼</t>
    </r>
    <r>
      <rPr>
        <sz val="10"/>
        <color rgb="FF000000"/>
        <rFont val="HGPｺﾞｼｯｸM"/>
        <family val="0"/>
        <charset val="1"/>
      </rPr>
      <t xml:space="preserve">(89)</t>
    </r>
  </si>
  <si>
    <r>
      <rPr>
        <sz val="10"/>
        <color rgb="FF000000"/>
        <rFont val="WenQuanYi Zen Hei"/>
        <family val="2"/>
      </rPr>
      <t xml:space="preserve">加田蒼</t>
    </r>
    <r>
      <rPr>
        <sz val="10"/>
        <color rgb="FF000000"/>
        <rFont val="HGPｺﾞｼｯｸM"/>
        <family val="0"/>
        <charset val="1"/>
      </rPr>
      <t xml:space="preserve">(5)</t>
    </r>
    <r>
      <rPr>
        <sz val="10"/>
        <color rgb="FF000000"/>
        <rFont val="WenQuanYi Zen Hei"/>
        <family val="2"/>
      </rPr>
      <t xml:space="preserve">、星野駿人</t>
    </r>
    <r>
      <rPr>
        <sz val="10"/>
        <color rgb="FF000000"/>
        <rFont val="HGPｺﾞｼｯｸM"/>
        <family val="0"/>
        <charset val="1"/>
      </rPr>
      <t xml:space="preserve">(79)</t>
    </r>
  </si>
  <si>
    <r>
      <rPr>
        <sz val="10"/>
        <color rgb="FF000000"/>
        <rFont val="WenQuanYi Zen Hei"/>
        <family val="2"/>
      </rPr>
      <t xml:space="preserve">大西龍之輔</t>
    </r>
    <r>
      <rPr>
        <sz val="10"/>
        <color rgb="FF000000"/>
        <rFont val="HGPｺﾞｼｯｸM"/>
        <family val="0"/>
        <charset val="1"/>
      </rPr>
      <t xml:space="preserve">(30)</t>
    </r>
    <r>
      <rPr>
        <sz val="10"/>
        <color rgb="FF000000"/>
        <rFont val="WenQuanYi Zen Hei"/>
        <family val="2"/>
      </rPr>
      <t xml:space="preserve">、樋口隼</t>
    </r>
    <r>
      <rPr>
        <sz val="10"/>
        <color rgb="FF000000"/>
        <rFont val="HGPｺﾞｼｯｸM"/>
        <family val="0"/>
        <charset val="1"/>
      </rPr>
      <t xml:space="preserve">(79)</t>
    </r>
  </si>
  <si>
    <r>
      <rPr>
        <sz val="10"/>
        <color rgb="FF000000"/>
        <rFont val="WenQuanYi Zen Hei"/>
        <family val="2"/>
      </rPr>
      <t xml:space="preserve">坂場凱仁</t>
    </r>
    <r>
      <rPr>
        <sz val="10"/>
        <color rgb="FF000000"/>
        <rFont val="HGPｺﾞｼｯｸM"/>
        <family val="0"/>
        <charset val="1"/>
      </rPr>
      <t xml:space="preserve">(45)</t>
    </r>
    <r>
      <rPr>
        <sz val="10"/>
        <color rgb="FF000000"/>
        <rFont val="WenQuanYi Zen Hei"/>
        <family val="2"/>
      </rPr>
      <t xml:space="preserve">、佐藤凌誠</t>
    </r>
    <r>
      <rPr>
        <sz val="10"/>
        <color rgb="FF000000"/>
        <rFont val="HGPｺﾞｼｯｸM"/>
        <family val="0"/>
        <charset val="1"/>
      </rPr>
      <t xml:space="preserve">(62)</t>
    </r>
  </si>
  <si>
    <r>
      <rPr>
        <sz val="10"/>
        <color rgb="FF000000"/>
        <rFont val="WenQuanYi Zen Hei"/>
        <family val="2"/>
      </rPr>
      <t xml:space="preserve">箕浦悠人</t>
    </r>
    <r>
      <rPr>
        <sz val="10"/>
        <color rgb="FF000000"/>
        <rFont val="HGPｺﾞｼｯｸM"/>
        <family val="0"/>
        <charset val="1"/>
      </rPr>
      <t xml:space="preserve">(10)</t>
    </r>
    <r>
      <rPr>
        <sz val="10"/>
        <color rgb="FF000000"/>
        <rFont val="WenQuanYi Zen Hei"/>
        <family val="2"/>
      </rPr>
      <t xml:space="preserve">、谷 康平</t>
    </r>
    <r>
      <rPr>
        <sz val="10"/>
        <color rgb="FF000000"/>
        <rFont val="HGPｺﾞｼｯｸM"/>
        <family val="0"/>
        <charset val="1"/>
      </rPr>
      <t xml:space="preserve">(91)</t>
    </r>
  </si>
  <si>
    <r>
      <rPr>
        <sz val="10"/>
        <color rgb="FF000000"/>
        <rFont val="WenQuanYi Zen Hei"/>
        <family val="2"/>
      </rPr>
      <t xml:space="preserve">蓑島颯佑</t>
    </r>
    <r>
      <rPr>
        <sz val="10"/>
        <color rgb="FF000000"/>
        <rFont val="HGPｺﾞｼｯｸM"/>
        <family val="0"/>
        <charset val="1"/>
      </rPr>
      <t xml:space="preserve">(21)</t>
    </r>
    <r>
      <rPr>
        <sz val="10"/>
        <color rgb="FF000000"/>
        <rFont val="WenQuanYi Zen Hei"/>
        <family val="2"/>
      </rPr>
      <t xml:space="preserve">、山田漣</t>
    </r>
    <r>
      <rPr>
        <sz val="10"/>
        <color rgb="FF000000"/>
        <rFont val="HGPｺﾞｼｯｸM"/>
        <family val="0"/>
        <charset val="1"/>
      </rPr>
      <t xml:space="preserve">(93)</t>
    </r>
  </si>
  <si>
    <r>
      <rPr>
        <sz val="10"/>
        <color rgb="FF000000"/>
        <rFont val="WenQuanYi Zen Hei"/>
        <family val="2"/>
      </rPr>
      <t xml:space="preserve">久保洋斗</t>
    </r>
    <r>
      <rPr>
        <sz val="10"/>
        <color rgb="FF000000"/>
        <rFont val="HGPｺﾞｼｯｸM"/>
        <family val="0"/>
        <charset val="1"/>
      </rPr>
      <t xml:space="preserve">(3)</t>
    </r>
    <r>
      <rPr>
        <sz val="10"/>
        <color rgb="FF000000"/>
        <rFont val="WenQuanYi Zen Hei"/>
        <family val="2"/>
      </rPr>
      <t xml:space="preserve">、気賀沢勇之助</t>
    </r>
    <r>
      <rPr>
        <sz val="10"/>
        <color rgb="FF000000"/>
        <rFont val="HGPｺﾞｼｯｸM"/>
        <family val="0"/>
        <charset val="1"/>
      </rPr>
      <t xml:space="preserve">(100)</t>
    </r>
  </si>
  <si>
    <r>
      <rPr>
        <sz val="10"/>
        <color rgb="FF000000"/>
        <rFont val="WenQuanYi Zen Hei"/>
        <family val="2"/>
      </rPr>
      <t xml:space="preserve">亀田十羽</t>
    </r>
    <r>
      <rPr>
        <sz val="10"/>
        <color rgb="FF000000"/>
        <rFont val="HGPｺﾞｼｯｸM"/>
        <family val="0"/>
        <charset val="1"/>
      </rPr>
      <t xml:space="preserve">(6)</t>
    </r>
    <r>
      <rPr>
        <sz val="10"/>
        <color rgb="FF000000"/>
        <rFont val="WenQuanYi Zen Hei"/>
        <family val="2"/>
      </rPr>
      <t xml:space="preserve">、東 海斗</t>
    </r>
    <r>
      <rPr>
        <sz val="10"/>
        <color rgb="FF000000"/>
        <rFont val="HGPｺﾞｼｯｸM"/>
        <family val="0"/>
        <charset val="1"/>
      </rPr>
      <t xml:space="preserve">(69)</t>
    </r>
  </si>
  <si>
    <r>
      <rPr>
        <sz val="10"/>
        <color rgb="FF000000"/>
        <rFont val="WenQuanYi Zen Hei"/>
        <family val="2"/>
      </rPr>
      <t xml:space="preserve">中田智紘</t>
    </r>
    <r>
      <rPr>
        <sz val="10"/>
        <color rgb="FF000000"/>
        <rFont val="HGPｺﾞｼｯｸM"/>
        <family val="0"/>
        <charset val="1"/>
      </rPr>
      <t xml:space="preserve">(8)</t>
    </r>
    <r>
      <rPr>
        <sz val="10"/>
        <color rgb="FF000000"/>
        <rFont val="WenQuanYi Zen Hei"/>
        <family val="2"/>
      </rPr>
      <t xml:space="preserve">、緒方志道</t>
    </r>
    <r>
      <rPr>
        <sz val="10"/>
        <color rgb="FF000000"/>
        <rFont val="HGPｺﾞｼｯｸM"/>
        <family val="0"/>
        <charset val="1"/>
      </rPr>
      <t xml:space="preserve">(40)</t>
    </r>
  </si>
  <si>
    <r>
      <rPr>
        <sz val="10"/>
        <color rgb="FF000000"/>
        <rFont val="WenQuanYi Zen Hei"/>
        <family val="2"/>
      </rPr>
      <t xml:space="preserve">朝倉悠羽</t>
    </r>
    <r>
      <rPr>
        <sz val="10"/>
        <color rgb="FF000000"/>
        <rFont val="HGPｺﾞｼｯｸM"/>
        <family val="0"/>
        <charset val="1"/>
      </rPr>
      <t xml:space="preserve">(14)</t>
    </r>
    <r>
      <rPr>
        <sz val="10"/>
        <color rgb="FF000000"/>
        <rFont val="WenQuanYi Zen Hei"/>
        <family val="2"/>
      </rPr>
      <t xml:space="preserve">、小島大空</t>
    </r>
    <r>
      <rPr>
        <sz val="10"/>
        <color rgb="FF000000"/>
        <rFont val="HGPｺﾞｼｯｸM"/>
        <family val="0"/>
        <charset val="1"/>
      </rPr>
      <t xml:space="preserve">(96)</t>
    </r>
  </si>
  <si>
    <r>
      <rPr>
        <sz val="10"/>
        <color rgb="FF000000"/>
        <rFont val="WenQuanYi Zen Hei"/>
        <family val="2"/>
      </rPr>
      <t xml:space="preserve">後藤大晴</t>
    </r>
    <r>
      <rPr>
        <sz val="10"/>
        <color rgb="FF000000"/>
        <rFont val="HGPｺﾞｼｯｸM"/>
        <family val="0"/>
        <charset val="1"/>
      </rPr>
      <t xml:space="preserve">(36)</t>
    </r>
    <r>
      <rPr>
        <sz val="10"/>
        <color rgb="FF000000"/>
        <rFont val="WenQuanYi Zen Hei"/>
        <family val="2"/>
      </rPr>
      <t xml:space="preserve">、成田光希</t>
    </r>
    <r>
      <rPr>
        <sz val="10"/>
        <color rgb="FF000000"/>
        <rFont val="HGPｺﾞｼｯｸM"/>
        <family val="0"/>
        <charset val="1"/>
      </rPr>
      <t xml:space="preserve">(73)</t>
    </r>
  </si>
  <si>
    <r>
      <rPr>
        <sz val="10"/>
        <color rgb="FF000000"/>
        <rFont val="WenQuanYi Zen Hei"/>
        <family val="2"/>
      </rPr>
      <t xml:space="preserve">沢 佑斗</t>
    </r>
    <r>
      <rPr>
        <sz val="10"/>
        <color rgb="FF000000"/>
        <rFont val="HGPｺﾞｼｯｸM"/>
        <family val="0"/>
        <charset val="1"/>
      </rPr>
      <t xml:space="preserve">(56)</t>
    </r>
    <r>
      <rPr>
        <sz val="10"/>
        <color rgb="FF000000"/>
        <rFont val="WenQuanYi Zen Hei"/>
        <family val="2"/>
      </rPr>
      <t xml:space="preserve">、滝田竜輔</t>
    </r>
    <r>
      <rPr>
        <sz val="10"/>
        <color rgb="FF000000"/>
        <rFont val="HGPｺﾞｼｯｸM"/>
        <family val="0"/>
        <charset val="1"/>
      </rPr>
      <t xml:space="preserve">(74)</t>
    </r>
  </si>
  <si>
    <r>
      <rPr>
        <sz val="10"/>
        <color rgb="FF000000"/>
        <rFont val="WenQuanYi Zen Hei"/>
        <family val="2"/>
      </rPr>
      <t xml:space="preserve">森田航聖</t>
    </r>
    <r>
      <rPr>
        <sz val="10"/>
        <color rgb="FF000000"/>
        <rFont val="HGPｺﾞｼｯｸM"/>
        <family val="0"/>
        <charset val="1"/>
      </rPr>
      <t xml:space="preserve">(71)</t>
    </r>
    <r>
      <rPr>
        <sz val="10"/>
        <color rgb="FF000000"/>
        <rFont val="WenQuanYi Zen Hei"/>
        <family val="2"/>
      </rPr>
      <t xml:space="preserve">、内藤大輔</t>
    </r>
    <r>
      <rPr>
        <sz val="10"/>
        <color rgb="FF000000"/>
        <rFont val="HGPｺﾞｼｯｸM"/>
        <family val="0"/>
        <charset val="1"/>
      </rPr>
      <t xml:space="preserve">(75)</t>
    </r>
  </si>
  <si>
    <r>
      <rPr>
        <sz val="10"/>
        <color rgb="FF000000"/>
        <rFont val="WenQuanYi Zen Hei"/>
        <family val="2"/>
      </rPr>
      <t xml:space="preserve">パレイヨアントニーイタ</t>
    </r>
    <r>
      <rPr>
        <sz val="10"/>
        <color rgb="FF000000"/>
        <rFont val="HGPｺﾞｼｯｸM"/>
        <family val="0"/>
        <charset val="1"/>
      </rPr>
      <t xml:space="preserve">(5)</t>
    </r>
    <r>
      <rPr>
        <sz val="10"/>
        <color rgb="FF000000"/>
        <rFont val="WenQuanYi Zen Hei"/>
        <family val="2"/>
      </rPr>
      <t xml:space="preserve">、谷崎大翔</t>
    </r>
    <r>
      <rPr>
        <sz val="10"/>
        <color rgb="FF000000"/>
        <rFont val="HGPｺﾞｼｯｸM"/>
        <family val="0"/>
        <charset val="1"/>
      </rPr>
      <t xml:space="preserve">(85)</t>
    </r>
  </si>
  <si>
    <r>
      <rPr>
        <sz val="10"/>
        <color rgb="FF000000"/>
        <rFont val="WenQuanYi Zen Hei"/>
        <family val="2"/>
      </rPr>
      <t xml:space="preserve">増田大誠</t>
    </r>
    <r>
      <rPr>
        <sz val="10"/>
        <color rgb="FF000000"/>
        <rFont val="HGPｺﾞｼｯｸM"/>
        <family val="0"/>
        <charset val="1"/>
      </rPr>
      <t xml:space="preserve">(7)</t>
    </r>
    <r>
      <rPr>
        <sz val="10"/>
        <color rgb="FF000000"/>
        <rFont val="WenQuanYi Zen Hei"/>
        <family val="2"/>
      </rPr>
      <t xml:space="preserve">、黒木玲雄</t>
    </r>
    <r>
      <rPr>
        <sz val="10"/>
        <color rgb="FF000000"/>
        <rFont val="HGPｺﾞｼｯｸM"/>
        <family val="0"/>
        <charset val="1"/>
      </rPr>
      <t xml:space="preserve">(91)</t>
    </r>
  </si>
  <si>
    <r>
      <rPr>
        <sz val="10"/>
        <color rgb="FF000000"/>
        <rFont val="WenQuanYi Zen Hei"/>
        <family val="2"/>
      </rPr>
      <t xml:space="preserve">ポールジョロゲ</t>
    </r>
    <r>
      <rPr>
        <sz val="10"/>
        <color rgb="FF000000"/>
        <rFont val="HGPｺﾞｼｯｸM"/>
        <family val="0"/>
        <charset val="1"/>
      </rPr>
      <t xml:space="preserve">(8)</t>
    </r>
    <r>
      <rPr>
        <sz val="10"/>
        <color rgb="FF000000"/>
        <rFont val="WenQuanYi Zen Hei"/>
        <family val="2"/>
      </rPr>
      <t xml:space="preserve">、藤井洵太</t>
    </r>
    <r>
      <rPr>
        <sz val="10"/>
        <color rgb="FF000000"/>
        <rFont val="HGPｺﾞｼｯｸM"/>
        <family val="0"/>
        <charset val="1"/>
      </rPr>
      <t xml:space="preserve">(93)</t>
    </r>
  </si>
  <si>
    <r>
      <rPr>
        <sz val="10"/>
        <color rgb="FF000000"/>
        <rFont val="WenQuanYi Zen Hei"/>
        <family val="2"/>
      </rPr>
      <t xml:space="preserve">杉田来翔</t>
    </r>
    <r>
      <rPr>
        <sz val="10"/>
        <color rgb="FF000000"/>
        <rFont val="HGPｺﾞｼｯｸM"/>
        <family val="0"/>
        <charset val="1"/>
      </rPr>
      <t xml:space="preserve">(22)</t>
    </r>
    <r>
      <rPr>
        <sz val="10"/>
        <color rgb="FF000000"/>
        <rFont val="WenQuanYi Zen Hei"/>
        <family val="2"/>
      </rPr>
      <t xml:space="preserve">、泉 圭輔</t>
    </r>
    <r>
      <rPr>
        <sz val="10"/>
        <color rgb="FF000000"/>
        <rFont val="HGPｺﾞｼｯｸM"/>
        <family val="0"/>
        <charset val="1"/>
      </rPr>
      <t xml:space="preserve">(59)</t>
    </r>
  </si>
  <si>
    <r>
      <rPr>
        <sz val="10"/>
        <color rgb="FF000000"/>
        <rFont val="WenQuanYi Zen Hei"/>
        <family val="2"/>
      </rPr>
      <t xml:space="preserve">大金勇翔</t>
    </r>
    <r>
      <rPr>
        <sz val="10"/>
        <color rgb="FF000000"/>
        <rFont val="HGPｺﾞｼｯｸM"/>
        <family val="0"/>
        <charset val="1"/>
      </rPr>
      <t xml:space="preserve">(28)</t>
    </r>
    <r>
      <rPr>
        <sz val="10"/>
        <color rgb="FF000000"/>
        <rFont val="WenQuanYi Zen Hei"/>
        <family val="2"/>
      </rPr>
      <t xml:space="preserve">、伊藤成</t>
    </r>
    <r>
      <rPr>
        <sz val="10"/>
        <color rgb="FF000000"/>
        <rFont val="HGPｺﾞｼｯｸM"/>
        <family val="0"/>
        <charset val="1"/>
      </rPr>
      <t xml:space="preserve">(100)</t>
    </r>
  </si>
  <si>
    <r>
      <rPr>
        <sz val="10"/>
        <color rgb="FF000000"/>
        <rFont val="WenQuanYi Zen Hei"/>
        <family val="2"/>
      </rPr>
      <t xml:space="preserve">田尻清雅</t>
    </r>
    <r>
      <rPr>
        <sz val="10"/>
        <color rgb="FF000000"/>
        <rFont val="HGPｺﾞｼｯｸM"/>
        <family val="0"/>
        <charset val="1"/>
      </rPr>
      <t xml:space="preserve">(41)</t>
    </r>
    <r>
      <rPr>
        <sz val="10"/>
        <color rgb="FF000000"/>
        <rFont val="WenQuanYi Zen Hei"/>
        <family val="2"/>
      </rPr>
      <t xml:space="preserve">、中島篤志</t>
    </r>
    <r>
      <rPr>
        <sz val="10"/>
        <color rgb="FF000000"/>
        <rFont val="HGPｺﾞｼｯｸM"/>
        <family val="0"/>
        <charset val="1"/>
      </rPr>
      <t xml:space="preserve">(78)</t>
    </r>
  </si>
  <si>
    <r>
      <rPr>
        <sz val="10"/>
        <color rgb="FF000000"/>
        <rFont val="WenQuanYi Zen Hei"/>
        <family val="2"/>
      </rPr>
      <t xml:space="preserve">渡部喜市</t>
    </r>
    <r>
      <rPr>
        <sz val="10"/>
        <color rgb="FF000000"/>
        <rFont val="HGPｺﾞｼｯｸM"/>
        <family val="0"/>
        <charset val="1"/>
      </rPr>
      <t xml:space="preserve">(49)</t>
    </r>
    <r>
      <rPr>
        <sz val="10"/>
        <color rgb="FF000000"/>
        <rFont val="WenQuanYi Zen Hei"/>
        <family val="2"/>
      </rPr>
      <t xml:space="preserve">、池之端琉月</t>
    </r>
    <r>
      <rPr>
        <sz val="10"/>
        <color rgb="FF000000"/>
        <rFont val="HGPｺﾞｼｯｸM"/>
        <family val="0"/>
        <charset val="1"/>
      </rPr>
      <t xml:space="preserve">(53)</t>
    </r>
  </si>
  <si>
    <r>
      <rPr>
        <sz val="10"/>
        <color rgb="FF000000"/>
        <rFont val="WenQuanYi Zen Hei"/>
        <family val="2"/>
      </rPr>
      <t xml:space="preserve">砂浪悠人</t>
    </r>
    <r>
      <rPr>
        <sz val="10"/>
        <color rgb="FF000000"/>
        <rFont val="HGPｺﾞｼｯｸM"/>
        <family val="0"/>
        <charset val="1"/>
      </rPr>
      <t xml:space="preserve">(17)</t>
    </r>
    <r>
      <rPr>
        <sz val="10"/>
        <color rgb="FF000000"/>
        <rFont val="WenQuanYi Zen Hei"/>
        <family val="2"/>
      </rPr>
      <t xml:space="preserve">、和田龍真</t>
    </r>
    <r>
      <rPr>
        <sz val="10"/>
        <color rgb="FF000000"/>
        <rFont val="HGPｺﾞｼｯｸM"/>
        <family val="0"/>
        <charset val="1"/>
      </rPr>
      <t xml:space="preserve">(85)</t>
    </r>
  </si>
  <si>
    <r>
      <rPr>
        <sz val="10"/>
        <color rgb="FF000000"/>
        <rFont val="WenQuanYi Zen Hei"/>
        <family val="2"/>
      </rPr>
      <t xml:space="preserve">亀山純平</t>
    </r>
    <r>
      <rPr>
        <sz val="10"/>
        <color rgb="FF000000"/>
        <rFont val="HGPｺﾞｼｯｸM"/>
        <family val="0"/>
        <charset val="1"/>
      </rPr>
      <t xml:space="preserve">(30)</t>
    </r>
    <r>
      <rPr>
        <sz val="10"/>
        <color rgb="FF000000"/>
        <rFont val="WenQuanYi Zen Hei"/>
        <family val="2"/>
      </rPr>
      <t xml:space="preserve">、谷 颯真</t>
    </r>
    <r>
      <rPr>
        <sz val="10"/>
        <color rgb="FF000000"/>
        <rFont val="HGPｺﾞｼｯｸM"/>
        <family val="0"/>
        <charset val="1"/>
      </rPr>
      <t xml:space="preserve">(96)</t>
    </r>
  </si>
  <si>
    <r>
      <rPr>
        <sz val="10"/>
        <color rgb="FF000000"/>
        <rFont val="WenQuanYi Zen Hei"/>
        <family val="2"/>
      </rPr>
      <t xml:space="preserve">中尾駿佑</t>
    </r>
    <r>
      <rPr>
        <sz val="10"/>
        <color rgb="FF000000"/>
        <rFont val="HGPｺﾞｼｯｸM"/>
        <family val="0"/>
        <charset val="1"/>
      </rPr>
      <t xml:space="preserve">(51)</t>
    </r>
    <r>
      <rPr>
        <sz val="10"/>
        <color rgb="FF000000"/>
        <rFont val="WenQuanYi Zen Hei"/>
        <family val="2"/>
      </rPr>
      <t xml:space="preserve">、中尾瞭佑</t>
    </r>
    <r>
      <rPr>
        <sz val="10"/>
        <color rgb="FF000000"/>
        <rFont val="HGPｺﾞｼｯｸM"/>
        <family val="0"/>
        <charset val="1"/>
      </rPr>
      <t xml:space="preserve">(81)</t>
    </r>
  </si>
  <si>
    <r>
      <rPr>
        <sz val="10"/>
        <color rgb="FF000000"/>
        <rFont val="WenQuanYi Zen Hei"/>
        <family val="2"/>
      </rPr>
      <t xml:space="preserve">小笠原慶翔</t>
    </r>
    <r>
      <rPr>
        <sz val="10"/>
        <color rgb="FF000000"/>
        <rFont val="HGPｺﾞｼｯｸM"/>
        <family val="0"/>
        <charset val="1"/>
      </rPr>
      <t xml:space="preserve">(12)</t>
    </r>
    <r>
      <rPr>
        <sz val="10"/>
        <color rgb="FF000000"/>
        <rFont val="WenQuanYi Zen Hei"/>
        <family val="2"/>
      </rPr>
      <t xml:space="preserve">、佐久間バラン丈瑠</t>
    </r>
    <r>
      <rPr>
        <sz val="10"/>
        <color rgb="FF000000"/>
        <rFont val="HGPｺﾞｼｯｸM"/>
        <family val="0"/>
        <charset val="1"/>
      </rPr>
      <t xml:space="preserve">(48)</t>
    </r>
  </si>
  <si>
    <r>
      <rPr>
        <sz val="10"/>
        <color rgb="FF000000"/>
        <rFont val="WenQuanYi Zen Hei"/>
        <family val="2"/>
      </rPr>
      <t xml:space="preserve">服部大翔</t>
    </r>
    <r>
      <rPr>
        <sz val="10"/>
        <color rgb="FF000000"/>
        <rFont val="HGPｺﾞｼｯｸM"/>
        <family val="0"/>
        <charset val="1"/>
      </rPr>
      <t xml:space="preserve">(16)</t>
    </r>
  </si>
  <si>
    <r>
      <rPr>
        <sz val="10"/>
        <color rgb="FF000000"/>
        <rFont val="WenQuanYi Zen Hei"/>
        <family val="2"/>
      </rPr>
      <t xml:space="preserve">西井健真</t>
    </r>
    <r>
      <rPr>
        <sz val="10"/>
        <color rgb="FF000000"/>
        <rFont val="HGPｺﾞｼｯｸM"/>
        <family val="0"/>
        <charset val="1"/>
      </rPr>
      <t xml:space="preserve">(72)</t>
    </r>
  </si>
  <si>
    <r>
      <rPr>
        <sz val="10"/>
        <color rgb="FF000000"/>
        <rFont val="WenQuanYi Zen Hei"/>
        <family val="2"/>
      </rPr>
      <t xml:space="preserve">山下匠</t>
    </r>
    <r>
      <rPr>
        <sz val="10"/>
        <color rgb="FF000000"/>
        <rFont val="HGPｺﾞｼｯｸM"/>
        <family val="0"/>
        <charset val="1"/>
      </rPr>
      <t xml:space="preserve">(93)</t>
    </r>
  </si>
  <si>
    <r>
      <rPr>
        <sz val="10"/>
        <color rgb="FF000000"/>
        <rFont val="WenQuanYi Zen Hei"/>
        <family val="2"/>
      </rPr>
      <t xml:space="preserve">薮下殿傑</t>
    </r>
    <r>
      <rPr>
        <sz val="10"/>
        <color rgb="FF000000"/>
        <rFont val="HGPｺﾞｼｯｸM"/>
        <family val="0"/>
        <charset val="1"/>
      </rPr>
      <t xml:space="preserve">(34)</t>
    </r>
  </si>
  <si>
    <r>
      <rPr>
        <sz val="10"/>
        <color rgb="FF000000"/>
        <rFont val="WenQuanYi Zen Hei"/>
        <family val="2"/>
      </rPr>
      <t xml:space="preserve">向岩玖恩</t>
    </r>
    <r>
      <rPr>
        <sz val="10"/>
        <color rgb="FF000000"/>
        <rFont val="HGPｺﾞｼｯｸM"/>
        <family val="0"/>
        <charset val="1"/>
      </rPr>
      <t xml:space="preserve">(38)</t>
    </r>
  </si>
  <si>
    <r>
      <rPr>
        <sz val="10"/>
        <color rgb="FF000000"/>
        <rFont val="WenQuanYi Zen Hei"/>
        <family val="2"/>
      </rPr>
      <t xml:space="preserve">判治直哉</t>
    </r>
    <r>
      <rPr>
        <sz val="10"/>
        <color rgb="FF000000"/>
        <rFont val="HGPｺﾞｼｯｸM"/>
        <family val="0"/>
        <charset val="1"/>
      </rPr>
      <t xml:space="preserve">(64)</t>
    </r>
  </si>
  <si>
    <r>
      <rPr>
        <sz val="10"/>
        <color rgb="FF000000"/>
        <rFont val="WenQuanYi Zen Hei"/>
        <family val="2"/>
      </rPr>
      <t xml:space="preserve">丸山遥輝</t>
    </r>
    <r>
      <rPr>
        <sz val="10"/>
        <color rgb="FF000000"/>
        <rFont val="HGPｺﾞｼｯｸM"/>
        <family val="0"/>
        <charset val="1"/>
      </rPr>
      <t xml:space="preserve">(69)</t>
    </r>
  </si>
  <si>
    <r>
      <rPr>
        <sz val="10"/>
        <color rgb="FF000000"/>
        <rFont val="WenQuanYi Zen Hei"/>
        <family val="2"/>
      </rPr>
      <t xml:space="preserve">梅野陽成</t>
    </r>
    <r>
      <rPr>
        <sz val="10"/>
        <color rgb="FF000000"/>
        <rFont val="HGPｺﾞｼｯｸM"/>
        <family val="0"/>
        <charset val="1"/>
      </rPr>
      <t xml:space="preserve">(54)</t>
    </r>
  </si>
  <si>
    <r>
      <rPr>
        <sz val="10"/>
        <color rgb="FF000000"/>
        <rFont val="WenQuanYi Zen Hei"/>
        <family val="2"/>
      </rPr>
      <t xml:space="preserve">水上颯祐</t>
    </r>
    <r>
      <rPr>
        <sz val="10"/>
        <color rgb="FF000000"/>
        <rFont val="HGPｺﾞｼｯｸM"/>
        <family val="0"/>
        <charset val="1"/>
      </rPr>
      <t xml:space="preserve">(23)</t>
    </r>
  </si>
  <si>
    <r>
      <rPr>
        <sz val="10"/>
        <color rgb="FF000000"/>
        <rFont val="WenQuanYi Zen Hei"/>
        <family val="2"/>
      </rPr>
      <t xml:space="preserve">米村和真</t>
    </r>
    <r>
      <rPr>
        <sz val="10"/>
        <color rgb="FF000000"/>
        <rFont val="HGPｺﾞｼｯｸM"/>
        <family val="0"/>
        <charset val="1"/>
      </rPr>
      <t xml:space="preserve">(46)</t>
    </r>
  </si>
  <si>
    <r>
      <rPr>
        <sz val="10"/>
        <color rgb="FF000000"/>
        <rFont val="WenQuanYi Zen Hei"/>
        <family val="2"/>
      </rPr>
      <t xml:space="preserve">宮下海風</t>
    </r>
    <r>
      <rPr>
        <sz val="10"/>
        <color rgb="FF000000"/>
        <rFont val="HGPｺﾞｼｯｸM"/>
        <family val="0"/>
        <charset val="1"/>
      </rPr>
      <t xml:space="preserve">(95)</t>
    </r>
  </si>
  <si>
    <r>
      <rPr>
        <sz val="10"/>
        <color rgb="FF000000"/>
        <rFont val="WenQuanYi Zen Hei"/>
        <family val="2"/>
      </rPr>
      <t xml:space="preserve">小松大将</t>
    </r>
    <r>
      <rPr>
        <sz val="10"/>
        <color rgb="FF000000"/>
        <rFont val="HGPｺﾞｼｯｸM"/>
        <family val="0"/>
        <charset val="1"/>
      </rPr>
      <t xml:space="preserve">(20)</t>
    </r>
  </si>
  <si>
    <r>
      <rPr>
        <sz val="10"/>
        <color rgb="FF000000"/>
        <rFont val="WenQuanYi Zen Hei"/>
        <family val="2"/>
      </rPr>
      <t xml:space="preserve">古川零唯</t>
    </r>
    <r>
      <rPr>
        <sz val="10"/>
        <color rgb="FF000000"/>
        <rFont val="HGPｺﾞｼｯｸM"/>
        <family val="0"/>
        <charset val="1"/>
      </rPr>
      <t xml:space="preserve">(35)</t>
    </r>
  </si>
  <si>
    <r>
      <rPr>
        <sz val="10"/>
        <color rgb="FF000000"/>
        <rFont val="WenQuanYi Zen Hei"/>
        <family val="2"/>
      </rPr>
      <t xml:space="preserve">譲次郎</t>
    </r>
    <r>
      <rPr>
        <sz val="10"/>
        <color rgb="FF000000"/>
        <rFont val="HGPｺﾞｼｯｸM"/>
        <family val="0"/>
        <charset val="1"/>
      </rPr>
      <t xml:space="preserve">(61)</t>
    </r>
  </si>
  <si>
    <r>
      <rPr>
        <sz val="10"/>
        <color rgb="FF000000"/>
        <rFont val="WenQuanYi Zen Hei"/>
        <family val="2"/>
      </rPr>
      <t xml:space="preserve">雑賀温大</t>
    </r>
    <r>
      <rPr>
        <sz val="10"/>
        <color rgb="FF000000"/>
        <rFont val="HGPｺﾞｼｯｸM"/>
        <family val="0"/>
        <charset val="1"/>
      </rPr>
      <t xml:space="preserve">(87)</t>
    </r>
  </si>
  <si>
    <r>
      <rPr>
        <sz val="10"/>
        <color rgb="FF000000"/>
        <rFont val="WenQuanYi Zen Hei"/>
        <family val="2"/>
      </rPr>
      <t xml:space="preserve">薮崎一心</t>
    </r>
    <r>
      <rPr>
        <sz val="10"/>
        <color rgb="FF000000"/>
        <rFont val="HGPｺﾞｼｯｸM"/>
        <family val="0"/>
        <charset val="1"/>
      </rPr>
      <t xml:space="preserve">(94)</t>
    </r>
  </si>
  <si>
    <r>
      <rPr>
        <sz val="10"/>
        <color rgb="FF000000"/>
        <rFont val="WenQuanYi Zen Hei"/>
        <family val="2"/>
      </rPr>
      <t xml:space="preserve">喜多勇貴</t>
    </r>
    <r>
      <rPr>
        <sz val="10"/>
        <color rgb="FF000000"/>
        <rFont val="HGPｺﾞｼｯｸM"/>
        <family val="0"/>
        <charset val="1"/>
      </rPr>
      <t xml:space="preserve">(6)</t>
    </r>
  </si>
  <si>
    <r>
      <rPr>
        <sz val="10"/>
        <color rgb="FF000000"/>
        <rFont val="WenQuanYi Zen Hei"/>
        <family val="2"/>
      </rPr>
      <t xml:space="preserve">伊藤瞭太</t>
    </r>
    <r>
      <rPr>
        <sz val="10"/>
        <color rgb="FF000000"/>
        <rFont val="HGPｺﾞｼｯｸM"/>
        <family val="0"/>
        <charset val="1"/>
      </rPr>
      <t xml:space="preserve">(21)</t>
    </r>
  </si>
  <si>
    <r>
      <rPr>
        <sz val="10"/>
        <color rgb="FF000000"/>
        <rFont val="WenQuanYi Zen Hei"/>
        <family val="2"/>
      </rPr>
      <t xml:space="preserve">酒井良</t>
    </r>
    <r>
      <rPr>
        <sz val="10"/>
        <color rgb="FF000000"/>
        <rFont val="HGPｺﾞｼｯｸM"/>
        <family val="0"/>
        <charset val="1"/>
      </rPr>
      <t xml:space="preserve">(57)</t>
    </r>
  </si>
  <si>
    <r>
      <rPr>
        <sz val="10"/>
        <color rgb="FF000000"/>
        <rFont val="WenQuanYi Zen Hei"/>
        <family val="2"/>
      </rPr>
      <t xml:space="preserve">村田凌唯</t>
    </r>
    <r>
      <rPr>
        <sz val="10"/>
        <color rgb="FF000000"/>
        <rFont val="HGPｺﾞｼｯｸM"/>
        <family val="0"/>
        <charset val="1"/>
      </rPr>
      <t xml:space="preserve">(68)</t>
    </r>
  </si>
  <si>
    <r>
      <rPr>
        <sz val="10"/>
        <color rgb="FF000000"/>
        <rFont val="WenQuanYi Zen Hei"/>
        <family val="2"/>
      </rPr>
      <t xml:space="preserve">吉原貫太</t>
    </r>
    <r>
      <rPr>
        <sz val="10"/>
        <color rgb="FF000000"/>
        <rFont val="HGPｺﾞｼｯｸM"/>
        <family val="0"/>
        <charset val="1"/>
      </rPr>
      <t xml:space="preserve">(92)</t>
    </r>
  </si>
  <si>
    <r>
      <rPr>
        <sz val="10"/>
        <color rgb="FF000000"/>
        <rFont val="WenQuanYi Zen Hei"/>
        <family val="2"/>
      </rPr>
      <t xml:space="preserve">後藤漣</t>
    </r>
    <r>
      <rPr>
        <sz val="10"/>
        <color rgb="FF000000"/>
        <rFont val="HGPｺﾞｼｯｸM"/>
        <family val="0"/>
        <charset val="1"/>
      </rPr>
      <t xml:space="preserve">(98)</t>
    </r>
  </si>
  <si>
    <r>
      <rPr>
        <sz val="10"/>
        <color rgb="FF000000"/>
        <rFont val="WenQuanYi Zen Hei"/>
        <family val="2"/>
      </rPr>
      <t xml:space="preserve">岩下幾海</t>
    </r>
    <r>
      <rPr>
        <sz val="10"/>
        <color rgb="FF000000"/>
        <rFont val="HGPｺﾞｼｯｸM"/>
        <family val="0"/>
        <charset val="1"/>
      </rPr>
      <t xml:space="preserve">(14)</t>
    </r>
  </si>
  <si>
    <r>
      <rPr>
        <sz val="10"/>
        <color rgb="FF000000"/>
        <rFont val="WenQuanYi Zen Hei"/>
        <family val="2"/>
      </rPr>
      <t xml:space="preserve">小田桜雅</t>
    </r>
    <r>
      <rPr>
        <sz val="10"/>
        <color rgb="FF000000"/>
        <rFont val="HGPｺﾞｼｯｸM"/>
        <family val="0"/>
        <charset val="1"/>
      </rPr>
      <t xml:space="preserve">(28)</t>
    </r>
  </si>
  <si>
    <r>
      <rPr>
        <sz val="10"/>
        <color rgb="FF000000"/>
        <rFont val="WenQuanYi Zen Hei"/>
        <family val="2"/>
      </rPr>
      <t xml:space="preserve">横田滉介</t>
    </r>
    <r>
      <rPr>
        <sz val="10"/>
        <color rgb="FF000000"/>
        <rFont val="HGPｺﾞｼｯｸM"/>
        <family val="0"/>
        <charset val="1"/>
      </rPr>
      <t xml:space="preserve">(42)</t>
    </r>
  </si>
  <si>
    <r>
      <rPr>
        <sz val="10"/>
        <color rgb="FF000000"/>
        <rFont val="WenQuanYi Zen Hei"/>
        <family val="2"/>
      </rPr>
      <t xml:space="preserve">相馬瑞樹</t>
    </r>
    <r>
      <rPr>
        <sz val="10"/>
        <color rgb="FF000000"/>
        <rFont val="HGPｺﾞｼｯｸM"/>
        <family val="0"/>
        <charset val="1"/>
      </rPr>
      <t xml:space="preserve">(62)</t>
    </r>
  </si>
  <si>
    <r>
      <rPr>
        <sz val="10"/>
        <color rgb="FF000000"/>
        <rFont val="WenQuanYi Zen Hei"/>
        <family val="2"/>
      </rPr>
      <t xml:space="preserve">帖佐宏哉</t>
    </r>
    <r>
      <rPr>
        <sz val="10"/>
        <color rgb="FF000000"/>
        <rFont val="HGPｺﾞｼｯｸM"/>
        <family val="0"/>
        <charset val="1"/>
      </rPr>
      <t xml:space="preserve">(71)</t>
    </r>
  </si>
  <si>
    <r>
      <rPr>
        <sz val="10"/>
        <color rgb="FF000000"/>
        <rFont val="WenQuanYi Zen Hei"/>
        <family val="2"/>
      </rPr>
      <t xml:space="preserve">泉 幸太郎</t>
    </r>
    <r>
      <rPr>
        <sz val="10"/>
        <color rgb="FF000000"/>
        <rFont val="HGPｺﾞｼｯｸM"/>
        <family val="0"/>
        <charset val="1"/>
      </rPr>
      <t xml:space="preserve">(73)</t>
    </r>
  </si>
  <si>
    <r>
      <rPr>
        <sz val="10"/>
        <color rgb="FF000000"/>
        <rFont val="WenQuanYi Zen Hei"/>
        <family val="2"/>
      </rPr>
      <t xml:space="preserve">坂口大斗</t>
    </r>
    <r>
      <rPr>
        <sz val="10"/>
        <color rgb="FF000000"/>
        <rFont val="HGPｺﾞｼｯｸM"/>
        <family val="0"/>
        <charset val="1"/>
      </rPr>
      <t xml:space="preserve">(89)</t>
    </r>
  </si>
  <si>
    <r>
      <rPr>
        <sz val="10"/>
        <color rgb="FF000000"/>
        <rFont val="WenQuanYi Zen Hei"/>
        <family val="2"/>
      </rPr>
      <t xml:space="preserve">植野元唯</t>
    </r>
    <r>
      <rPr>
        <sz val="10"/>
        <color rgb="FF000000"/>
        <rFont val="HGPｺﾞｼｯｸM"/>
        <family val="0"/>
        <charset val="1"/>
      </rPr>
      <t xml:space="preserve">(94)</t>
    </r>
  </si>
  <si>
    <r>
      <rPr>
        <sz val="10"/>
        <color rgb="FF000000"/>
        <rFont val="WenQuanYi Zen Hei"/>
        <family val="2"/>
      </rPr>
      <t xml:space="preserve">小原健太郎</t>
    </r>
    <r>
      <rPr>
        <sz val="10"/>
        <color rgb="FF000000"/>
        <rFont val="HGPｺﾞｼｯｸM"/>
        <family val="0"/>
        <charset val="1"/>
      </rPr>
      <t xml:space="preserve">(21)</t>
    </r>
  </si>
  <si>
    <r>
      <rPr>
        <sz val="10"/>
        <color rgb="FF000000"/>
        <rFont val="WenQuanYi Zen Hei"/>
        <family val="2"/>
      </rPr>
      <t xml:space="preserve">熊谷颯柊</t>
    </r>
    <r>
      <rPr>
        <sz val="10"/>
        <color rgb="FF000000"/>
        <rFont val="HGPｺﾞｼｯｸM"/>
        <family val="0"/>
        <charset val="1"/>
      </rPr>
      <t xml:space="preserve">(23)</t>
    </r>
  </si>
  <si>
    <r>
      <rPr>
        <sz val="10"/>
        <color rgb="FF000000"/>
        <rFont val="WenQuanYi Zen Hei"/>
        <family val="2"/>
      </rPr>
      <t xml:space="preserve">土屋息吹</t>
    </r>
    <r>
      <rPr>
        <sz val="10"/>
        <color rgb="FF000000"/>
        <rFont val="HGPｺﾞｼｯｸM"/>
        <family val="0"/>
        <charset val="1"/>
      </rPr>
      <t xml:space="preserve">(26)</t>
    </r>
  </si>
  <si>
    <r>
      <rPr>
        <sz val="10"/>
        <color rgb="FF000000"/>
        <rFont val="WenQuanYi Zen Hei"/>
        <family val="2"/>
      </rPr>
      <t xml:space="preserve">中川悠晴</t>
    </r>
    <r>
      <rPr>
        <sz val="10"/>
        <color rgb="FF000000"/>
        <rFont val="HGPｺﾞｼｯｸM"/>
        <family val="0"/>
        <charset val="1"/>
      </rPr>
      <t xml:space="preserve">(37)</t>
    </r>
  </si>
  <si>
    <r>
      <rPr>
        <sz val="10"/>
        <color rgb="FF000000"/>
        <rFont val="WenQuanYi Zen Hei"/>
        <family val="2"/>
      </rPr>
      <t xml:space="preserve">小野寺駿</t>
    </r>
    <r>
      <rPr>
        <sz val="10"/>
        <color rgb="FF000000"/>
        <rFont val="HGPｺﾞｼｯｸM"/>
        <family val="0"/>
        <charset val="1"/>
      </rPr>
      <t xml:space="preserve">(43)</t>
    </r>
  </si>
  <si>
    <r>
      <rPr>
        <sz val="10"/>
        <color rgb="FF000000"/>
        <rFont val="WenQuanYi Zen Hei"/>
        <family val="2"/>
      </rPr>
      <t xml:space="preserve">加賀龍之介</t>
    </r>
    <r>
      <rPr>
        <sz val="10"/>
        <color rgb="FF000000"/>
        <rFont val="HGPｺﾞｼｯｸM"/>
        <family val="0"/>
        <charset val="1"/>
      </rPr>
      <t xml:space="preserve">(55)</t>
    </r>
  </si>
  <si>
    <r>
      <rPr>
        <sz val="10"/>
        <color rgb="FF000000"/>
        <rFont val="WenQuanYi Zen Hei"/>
        <family val="2"/>
      </rPr>
      <t xml:space="preserve">庄野遥人</t>
    </r>
    <r>
      <rPr>
        <sz val="10"/>
        <color rgb="FF000000"/>
        <rFont val="HGPｺﾞｼｯｸM"/>
        <family val="0"/>
        <charset val="1"/>
      </rPr>
      <t xml:space="preserve">(76)</t>
    </r>
  </si>
  <si>
    <r>
      <rPr>
        <sz val="10"/>
        <color rgb="FF000000"/>
        <rFont val="WenQuanYi Zen Hei"/>
        <family val="2"/>
      </rPr>
      <t xml:space="preserve">漆畑颯恭</t>
    </r>
    <r>
      <rPr>
        <sz val="10"/>
        <color rgb="FF000000"/>
        <rFont val="HGPｺﾞｼｯｸM"/>
        <family val="0"/>
        <charset val="1"/>
      </rPr>
      <t xml:space="preserve">(83)</t>
    </r>
  </si>
  <si>
    <r>
      <rPr>
        <sz val="10"/>
        <color rgb="FF000000"/>
        <rFont val="WenQuanYi Zen Hei"/>
        <family val="2"/>
      </rPr>
      <t xml:space="preserve">大賀一誠</t>
    </r>
    <r>
      <rPr>
        <sz val="10"/>
        <color rgb="FF000000"/>
        <rFont val="HGPｺﾞｼｯｸM"/>
        <family val="0"/>
        <charset val="1"/>
      </rPr>
      <t xml:space="preserve">(4)</t>
    </r>
  </si>
  <si>
    <r>
      <rPr>
        <sz val="10"/>
        <color rgb="FF000000"/>
        <rFont val="WenQuanYi Zen Hei"/>
        <family val="2"/>
      </rPr>
      <t xml:space="preserve">花田健大</t>
    </r>
    <r>
      <rPr>
        <sz val="10"/>
        <color rgb="FF000000"/>
        <rFont val="HGPｺﾞｼｯｸM"/>
        <family val="0"/>
        <charset val="1"/>
      </rPr>
      <t xml:space="preserve">(25)</t>
    </r>
  </si>
  <si>
    <r>
      <rPr>
        <sz val="10"/>
        <color rgb="FF000000"/>
        <rFont val="WenQuanYi Zen Hei"/>
        <family val="2"/>
      </rPr>
      <t xml:space="preserve">小山秀太</t>
    </r>
    <r>
      <rPr>
        <sz val="10"/>
        <color rgb="FF000000"/>
        <rFont val="HGPｺﾞｼｯｸM"/>
        <family val="0"/>
        <charset val="1"/>
      </rPr>
      <t xml:space="preserve">(32)</t>
    </r>
  </si>
  <si>
    <r>
      <rPr>
        <sz val="10"/>
        <color rgb="FF000000"/>
        <rFont val="WenQuanYi Zen Hei"/>
        <family val="2"/>
      </rPr>
      <t xml:space="preserve">松尾奏杜</t>
    </r>
    <r>
      <rPr>
        <sz val="10"/>
        <color rgb="FF000000"/>
        <rFont val="HGPｺﾞｼｯｸM"/>
        <family val="0"/>
        <charset val="1"/>
      </rPr>
      <t xml:space="preserve">(36)</t>
    </r>
  </si>
  <si>
    <r>
      <rPr>
        <sz val="10"/>
        <color rgb="FF000000"/>
        <rFont val="WenQuanYi Zen Hei"/>
        <family val="2"/>
      </rPr>
      <t xml:space="preserve">満原丈晴</t>
    </r>
    <r>
      <rPr>
        <sz val="10"/>
        <color rgb="FF000000"/>
        <rFont val="HGPｺﾞｼｯｸM"/>
        <family val="0"/>
        <charset val="1"/>
      </rPr>
      <t xml:space="preserve">(40)</t>
    </r>
  </si>
  <si>
    <r>
      <rPr>
        <sz val="10"/>
        <color rgb="FF000000"/>
        <rFont val="WenQuanYi Zen Hei"/>
        <family val="2"/>
      </rPr>
      <t xml:space="preserve">山口幸希</t>
    </r>
    <r>
      <rPr>
        <sz val="10"/>
        <color rgb="FF000000"/>
        <rFont val="HGPｺﾞｼｯｸM"/>
        <family val="0"/>
        <charset val="1"/>
      </rPr>
      <t xml:space="preserve">(43)</t>
    </r>
  </si>
  <si>
    <r>
      <rPr>
        <sz val="10"/>
        <color rgb="FF000000"/>
        <rFont val="WenQuanYi Zen Hei"/>
        <family val="2"/>
      </rPr>
      <t xml:space="preserve">岡島稜</t>
    </r>
    <r>
      <rPr>
        <sz val="10"/>
        <color rgb="FF000000"/>
        <rFont val="HGPｺﾞｼｯｸM"/>
        <family val="0"/>
        <charset val="1"/>
      </rPr>
      <t xml:space="preserve">(48)</t>
    </r>
  </si>
  <si>
    <r>
      <rPr>
        <sz val="10"/>
        <color rgb="FF000000"/>
        <rFont val="WenQuanYi Zen Hei"/>
        <family val="2"/>
      </rPr>
      <t xml:space="preserve">堀 早汰</t>
    </r>
    <r>
      <rPr>
        <sz val="10"/>
        <color rgb="FF000000"/>
        <rFont val="HGPｺﾞｼｯｸM"/>
        <family val="0"/>
        <charset val="1"/>
      </rPr>
      <t xml:space="preserve">(64)</t>
    </r>
  </si>
  <si>
    <r>
      <rPr>
        <sz val="10"/>
        <color rgb="FF000000"/>
        <rFont val="WenQuanYi Zen Hei"/>
        <family val="2"/>
      </rPr>
      <t xml:space="preserve">木村太郎</t>
    </r>
    <r>
      <rPr>
        <sz val="10"/>
        <color rgb="FF000000"/>
        <rFont val="HGPｺﾞｼｯｸM"/>
        <family val="0"/>
        <charset val="1"/>
      </rPr>
      <t xml:space="preserve">(99)</t>
    </r>
  </si>
  <si>
    <r>
      <rPr>
        <sz val="10"/>
        <color rgb="FF000000"/>
        <rFont val="WenQuanYi Zen Hei"/>
        <family val="2"/>
      </rPr>
      <t xml:space="preserve">谷口侑</t>
    </r>
    <r>
      <rPr>
        <sz val="10"/>
        <color rgb="FF000000"/>
        <rFont val="HGPｺﾞｼｯｸM"/>
        <family val="0"/>
        <charset val="1"/>
      </rPr>
      <t xml:space="preserve">(14)</t>
    </r>
  </si>
  <si>
    <r>
      <rPr>
        <sz val="10"/>
        <color rgb="FF000000"/>
        <rFont val="WenQuanYi Zen Hei"/>
        <family val="2"/>
      </rPr>
      <t xml:space="preserve">鴨作大夢</t>
    </r>
    <r>
      <rPr>
        <sz val="10"/>
        <color rgb="FF000000"/>
        <rFont val="HGPｺﾞｼｯｸM"/>
        <family val="0"/>
        <charset val="1"/>
      </rPr>
      <t xml:space="preserve">(16)</t>
    </r>
  </si>
  <si>
    <r>
      <rPr>
        <sz val="10"/>
        <color rgb="FF000000"/>
        <rFont val="WenQuanYi Zen Hei"/>
        <family val="2"/>
      </rPr>
      <t xml:space="preserve">新垣蓮</t>
    </r>
    <r>
      <rPr>
        <sz val="10"/>
        <color rgb="FF000000"/>
        <rFont val="HGPｺﾞｼｯｸM"/>
        <family val="0"/>
        <charset val="1"/>
      </rPr>
      <t xml:space="preserve">(23)</t>
    </r>
  </si>
  <si>
    <r>
      <rPr>
        <sz val="10"/>
        <color rgb="FF000000"/>
        <rFont val="WenQuanYi Zen Hei"/>
        <family val="2"/>
      </rPr>
      <t xml:space="preserve">滝山優世</t>
    </r>
    <r>
      <rPr>
        <sz val="10"/>
        <color rgb="FF000000"/>
        <rFont val="HGPｺﾞｼｯｸM"/>
        <family val="0"/>
        <charset val="1"/>
      </rPr>
      <t xml:space="preserve">(37)</t>
    </r>
  </si>
  <si>
    <r>
      <rPr>
        <sz val="10"/>
        <color rgb="FF000000"/>
        <rFont val="WenQuanYi Zen Hei"/>
        <family val="2"/>
      </rPr>
      <t xml:space="preserve">本宮修平</t>
    </r>
    <r>
      <rPr>
        <sz val="10"/>
        <color rgb="FF000000"/>
        <rFont val="HGPｺﾞｼｯｸM"/>
        <family val="0"/>
        <charset val="1"/>
      </rPr>
      <t xml:space="preserve">(52)</t>
    </r>
  </si>
  <si>
    <r>
      <rPr>
        <sz val="10"/>
        <color rgb="FF000000"/>
        <rFont val="WenQuanYi Zen Hei"/>
        <family val="2"/>
      </rPr>
      <t xml:space="preserve">若林祥汰</t>
    </r>
    <r>
      <rPr>
        <sz val="10"/>
        <color rgb="FF000000"/>
        <rFont val="HGPｺﾞｼｯｸM"/>
        <family val="0"/>
        <charset val="1"/>
      </rPr>
      <t xml:space="preserve">(52)</t>
    </r>
  </si>
  <si>
    <r>
      <rPr>
        <sz val="10"/>
        <color rgb="FF000000"/>
        <rFont val="WenQuanYi Zen Hei"/>
        <family val="2"/>
      </rPr>
      <t xml:space="preserve">阪口泰生</t>
    </r>
    <r>
      <rPr>
        <sz val="10"/>
        <color rgb="FF000000"/>
        <rFont val="HGPｺﾞｼｯｸM"/>
        <family val="0"/>
        <charset val="1"/>
      </rPr>
      <t xml:space="preserve">(58)</t>
    </r>
  </si>
  <si>
    <r>
      <rPr>
        <sz val="10"/>
        <color rgb="FF000000"/>
        <rFont val="WenQuanYi Zen Hei"/>
        <family val="2"/>
      </rPr>
      <t xml:space="preserve">田中智仁</t>
    </r>
    <r>
      <rPr>
        <sz val="10"/>
        <color rgb="FF000000"/>
        <rFont val="HGPｺﾞｼｯｸM"/>
        <family val="0"/>
        <charset val="1"/>
      </rPr>
      <t xml:space="preserve">(67)</t>
    </r>
  </si>
  <si>
    <r>
      <rPr>
        <sz val="10"/>
        <color rgb="FF000000"/>
        <rFont val="WenQuanYi Zen Hei"/>
        <family val="2"/>
      </rPr>
      <t xml:space="preserve">山口陽也</t>
    </r>
    <r>
      <rPr>
        <sz val="10"/>
        <color rgb="FF000000"/>
        <rFont val="HGPｺﾞｼｯｸM"/>
        <family val="0"/>
        <charset val="1"/>
      </rPr>
      <t xml:space="preserve">(69)</t>
    </r>
  </si>
  <si>
    <r>
      <rPr>
        <sz val="10"/>
        <color rgb="FF000000"/>
        <rFont val="WenQuanYi Zen Hei"/>
        <family val="2"/>
      </rPr>
      <t xml:space="preserve">菊池悠斗</t>
    </r>
    <r>
      <rPr>
        <sz val="10"/>
        <color rgb="FF000000"/>
        <rFont val="HGPｺﾞｼｯｸM"/>
        <family val="0"/>
        <charset val="1"/>
      </rPr>
      <t xml:space="preserve">(81)</t>
    </r>
  </si>
  <si>
    <r>
      <rPr>
        <sz val="10"/>
        <color rgb="FF000000"/>
        <rFont val="WenQuanYi Zen Hei"/>
        <family val="2"/>
      </rPr>
      <t xml:space="preserve">坂手真樹</t>
    </r>
    <r>
      <rPr>
        <sz val="10"/>
        <color rgb="FF000000"/>
        <rFont val="HGPｺﾞｼｯｸM"/>
        <family val="0"/>
        <charset val="1"/>
      </rPr>
      <t xml:space="preserve">(96)</t>
    </r>
  </si>
  <si>
    <r>
      <rPr>
        <sz val="10"/>
        <color rgb="FF000000"/>
        <rFont val="WenQuanYi Zen Hei"/>
        <family val="2"/>
      </rPr>
      <t xml:space="preserve">田中晴久</t>
    </r>
    <r>
      <rPr>
        <sz val="10"/>
        <color rgb="FF000000"/>
        <rFont val="HGPｺﾞｼｯｸM"/>
        <family val="0"/>
        <charset val="1"/>
      </rPr>
      <t xml:space="preserve">(97)</t>
    </r>
  </si>
  <si>
    <r>
      <rPr>
        <sz val="10"/>
        <color rgb="FF000000"/>
        <rFont val="WenQuanYi Zen Hei"/>
        <family val="2"/>
      </rPr>
      <t xml:space="preserve">品田新雄</t>
    </r>
    <r>
      <rPr>
        <sz val="10"/>
        <color rgb="FF000000"/>
        <rFont val="HGPｺﾞｼｯｸM"/>
        <family val="0"/>
        <charset val="1"/>
      </rPr>
      <t xml:space="preserve">(99)</t>
    </r>
  </si>
  <si>
    <r>
      <rPr>
        <sz val="10"/>
        <color rgb="FF000000"/>
        <rFont val="WenQuanYi Zen Hei"/>
        <family val="2"/>
      </rPr>
      <t xml:space="preserve">柴山英士</t>
    </r>
    <r>
      <rPr>
        <sz val="10"/>
        <color rgb="FF000000"/>
        <rFont val="HGPｺﾞｼｯｸM"/>
        <family val="0"/>
        <charset val="1"/>
      </rPr>
      <t xml:space="preserve">(100)</t>
    </r>
  </si>
  <si>
    <r>
      <rPr>
        <sz val="10"/>
        <color rgb="FF000000"/>
        <rFont val="WenQuanYi Zen Hei"/>
        <family val="2"/>
      </rPr>
      <t xml:space="preserve">宅島悠</t>
    </r>
    <r>
      <rPr>
        <sz val="10"/>
        <color rgb="FF000000"/>
        <rFont val="HGPｺﾞｼｯｸM"/>
        <family val="0"/>
        <charset val="1"/>
      </rPr>
      <t xml:space="preserve">(24)</t>
    </r>
  </si>
  <si>
    <r>
      <rPr>
        <sz val="10"/>
        <color rgb="FF000000"/>
        <rFont val="WenQuanYi Zen Hei"/>
        <family val="2"/>
      </rPr>
      <t xml:space="preserve">久保田航陽</t>
    </r>
    <r>
      <rPr>
        <sz val="10"/>
        <color rgb="FF000000"/>
        <rFont val="HGPｺﾞｼｯｸM"/>
        <family val="0"/>
        <charset val="1"/>
      </rPr>
      <t xml:space="preserve">(28)</t>
    </r>
  </si>
  <si>
    <r>
      <rPr>
        <sz val="10"/>
        <color rgb="FF000000"/>
        <rFont val="WenQuanYi Zen Hei"/>
        <family val="2"/>
      </rPr>
      <t xml:space="preserve">田中寿樹</t>
    </r>
    <r>
      <rPr>
        <sz val="10"/>
        <color rgb="FF000000"/>
        <rFont val="HGPｺﾞｼｯｸM"/>
        <family val="0"/>
        <charset val="1"/>
      </rPr>
      <t xml:space="preserve">(31)</t>
    </r>
  </si>
  <si>
    <r>
      <rPr>
        <sz val="10"/>
        <color rgb="FF000000"/>
        <rFont val="WenQuanYi Zen Hei"/>
        <family val="2"/>
      </rPr>
      <t xml:space="preserve">大木優</t>
    </r>
    <r>
      <rPr>
        <sz val="10"/>
        <color rgb="FF000000"/>
        <rFont val="HGPｺﾞｼｯｸM"/>
        <family val="0"/>
        <charset val="1"/>
      </rPr>
      <t xml:space="preserve">(34)</t>
    </r>
  </si>
  <si>
    <r>
      <rPr>
        <sz val="10"/>
        <color rgb="FF000000"/>
        <rFont val="WenQuanYi Zen Hei"/>
        <family val="2"/>
      </rPr>
      <t xml:space="preserve">中島希</t>
    </r>
    <r>
      <rPr>
        <sz val="10"/>
        <color rgb="FF000000"/>
        <rFont val="HGPｺﾞｼｯｸM"/>
        <family val="0"/>
        <charset val="1"/>
      </rPr>
      <t xml:space="preserve">(44)</t>
    </r>
  </si>
  <si>
    <r>
      <rPr>
        <sz val="10"/>
        <color rgb="FF000000"/>
        <rFont val="WenQuanYi Zen Hei"/>
        <family val="2"/>
      </rPr>
      <t xml:space="preserve">関野連太郎</t>
    </r>
    <r>
      <rPr>
        <sz val="10"/>
        <color rgb="FF000000"/>
        <rFont val="HGPｺﾞｼｯｸM"/>
        <family val="0"/>
        <charset val="1"/>
      </rPr>
      <t xml:space="preserve">(44)</t>
    </r>
  </si>
  <si>
    <r>
      <rPr>
        <sz val="10"/>
        <color rgb="FF000000"/>
        <rFont val="WenQuanYi Zen Hei"/>
        <family val="2"/>
      </rPr>
      <t xml:space="preserve">頼正悠人</t>
    </r>
    <r>
      <rPr>
        <sz val="10"/>
        <color rgb="FF000000"/>
        <rFont val="HGPｺﾞｼｯｸM"/>
        <family val="0"/>
        <charset val="1"/>
      </rPr>
      <t xml:space="preserve">(63)</t>
    </r>
  </si>
  <si>
    <r>
      <rPr>
        <sz val="10"/>
        <color rgb="FF000000"/>
        <rFont val="WenQuanYi Zen Hei"/>
        <family val="2"/>
      </rPr>
      <t xml:space="preserve">坂口智明</t>
    </r>
    <r>
      <rPr>
        <sz val="10"/>
        <color rgb="FF000000"/>
        <rFont val="HGPｺﾞｼｯｸM"/>
        <family val="0"/>
        <charset val="1"/>
      </rPr>
      <t xml:space="preserve">(65)</t>
    </r>
  </si>
  <si>
    <r>
      <rPr>
        <sz val="10"/>
        <color rgb="FF000000"/>
        <rFont val="WenQuanYi Zen Hei"/>
        <family val="2"/>
      </rPr>
      <t xml:space="preserve">平岡大典</t>
    </r>
    <r>
      <rPr>
        <sz val="10"/>
        <color rgb="FF000000"/>
        <rFont val="HGPｺﾞｼｯｸM"/>
        <family val="0"/>
        <charset val="1"/>
      </rPr>
      <t xml:space="preserve">(75)</t>
    </r>
  </si>
  <si>
    <r>
      <rPr>
        <sz val="10"/>
        <color rgb="FF000000"/>
        <rFont val="WenQuanYi Zen Hei"/>
        <family val="2"/>
      </rPr>
      <t xml:space="preserve">篠原歌</t>
    </r>
    <r>
      <rPr>
        <sz val="10"/>
        <color rgb="FF000000"/>
        <rFont val="HGPｺﾞｼｯｸM"/>
        <family val="0"/>
        <charset val="1"/>
      </rPr>
      <t xml:space="preserve">(80)</t>
    </r>
  </si>
  <si>
    <r>
      <rPr>
        <sz val="10"/>
        <color rgb="FF000000"/>
        <rFont val="WenQuanYi Zen Hei"/>
        <family val="2"/>
      </rPr>
      <t xml:space="preserve">燕 文哉</t>
    </r>
    <r>
      <rPr>
        <sz val="10"/>
        <color rgb="FF000000"/>
        <rFont val="HGPｺﾞｼｯｸM"/>
        <family val="0"/>
        <charset val="1"/>
      </rPr>
      <t xml:space="preserve">(92)</t>
    </r>
  </si>
  <si>
    <r>
      <rPr>
        <sz val="10"/>
        <color rgb="FF000000"/>
        <rFont val="WenQuanYi Zen Hei"/>
        <family val="2"/>
      </rPr>
      <t xml:space="preserve">伊勢村優斗</t>
    </r>
    <r>
      <rPr>
        <sz val="10"/>
        <color rgb="FF000000"/>
        <rFont val="HGPｺﾞｼｯｸM"/>
        <family val="0"/>
        <charset val="1"/>
      </rPr>
      <t xml:space="preserve">(95)</t>
    </r>
  </si>
  <si>
    <r>
      <rPr>
        <sz val="10"/>
        <color rgb="FF000000"/>
        <rFont val="WenQuanYi Zen Hei"/>
        <family val="2"/>
      </rPr>
      <t xml:space="preserve">落合勇斗</t>
    </r>
    <r>
      <rPr>
        <sz val="10"/>
        <color rgb="FF000000"/>
        <rFont val="HGPｺﾞｼｯｸM"/>
        <family val="0"/>
        <charset val="1"/>
      </rPr>
      <t xml:space="preserve">(18)</t>
    </r>
  </si>
  <si>
    <r>
      <rPr>
        <sz val="10"/>
        <color rgb="FF000000"/>
        <rFont val="WenQuanYi Zen Hei"/>
        <family val="2"/>
      </rPr>
      <t xml:space="preserve">長尾羚煌</t>
    </r>
    <r>
      <rPr>
        <sz val="10"/>
        <color rgb="FF000000"/>
        <rFont val="HGPｺﾞｼｯｸM"/>
        <family val="0"/>
        <charset val="1"/>
      </rPr>
      <t xml:space="preserve">(32)</t>
    </r>
  </si>
  <si>
    <r>
      <rPr>
        <sz val="10"/>
        <color rgb="FF000000"/>
        <rFont val="WenQuanYi Zen Hei"/>
        <family val="2"/>
      </rPr>
      <t xml:space="preserve">伊藤魁夢</t>
    </r>
    <r>
      <rPr>
        <sz val="10"/>
        <color rgb="FF000000"/>
        <rFont val="HGPｺﾞｼｯｸM"/>
        <family val="0"/>
        <charset val="1"/>
      </rPr>
      <t xml:space="preserve">(33)</t>
    </r>
  </si>
  <si>
    <r>
      <rPr>
        <sz val="10"/>
        <color rgb="FF000000"/>
        <rFont val="WenQuanYi Zen Hei"/>
        <family val="2"/>
      </rPr>
      <t xml:space="preserve">坂田悠翔</t>
    </r>
    <r>
      <rPr>
        <sz val="10"/>
        <color rgb="FF000000"/>
        <rFont val="HGPｺﾞｼｯｸM"/>
        <family val="0"/>
        <charset val="1"/>
      </rPr>
      <t xml:space="preserve">(35)</t>
    </r>
  </si>
  <si>
    <r>
      <rPr>
        <sz val="10"/>
        <color rgb="FF000000"/>
        <rFont val="WenQuanYi Zen Hei"/>
        <family val="2"/>
      </rPr>
      <t xml:space="preserve">竹原慎作</t>
    </r>
    <r>
      <rPr>
        <sz val="10"/>
        <color rgb="FF000000"/>
        <rFont val="HGPｺﾞｼｯｸM"/>
        <family val="0"/>
        <charset val="1"/>
      </rPr>
      <t xml:space="preserve">(53)</t>
    </r>
  </si>
  <si>
    <r>
      <rPr>
        <sz val="10"/>
        <color rgb="FF000000"/>
        <rFont val="WenQuanYi Zen Hei"/>
        <family val="2"/>
      </rPr>
      <t xml:space="preserve">成田陸翔</t>
    </r>
    <r>
      <rPr>
        <sz val="10"/>
        <color rgb="FF000000"/>
        <rFont val="HGPｺﾞｼｯｸM"/>
        <family val="0"/>
        <charset val="1"/>
      </rPr>
      <t xml:space="preserve">(56)</t>
    </r>
  </si>
  <si>
    <r>
      <rPr>
        <sz val="10"/>
        <color rgb="FF000000"/>
        <rFont val="WenQuanYi Zen Hei"/>
        <family val="2"/>
      </rPr>
      <t xml:space="preserve">大塚晴翔</t>
    </r>
    <r>
      <rPr>
        <sz val="10"/>
        <color rgb="FF000000"/>
        <rFont val="HGPｺﾞｼｯｸM"/>
        <family val="0"/>
        <charset val="1"/>
      </rPr>
      <t xml:space="preserve">(59)</t>
    </r>
  </si>
  <si>
    <r>
      <rPr>
        <sz val="10"/>
        <color rgb="FF000000"/>
        <rFont val="WenQuanYi Zen Hei"/>
        <family val="2"/>
      </rPr>
      <t xml:space="preserve">緒方悠人</t>
    </r>
    <r>
      <rPr>
        <sz val="10"/>
        <color rgb="FF000000"/>
        <rFont val="HGPｺﾞｼｯｸM"/>
        <family val="0"/>
        <charset val="1"/>
      </rPr>
      <t xml:space="preserve">(72)</t>
    </r>
  </si>
  <si>
    <r>
      <rPr>
        <sz val="10"/>
        <color rgb="FF000000"/>
        <rFont val="WenQuanYi Zen Hei"/>
        <family val="2"/>
      </rPr>
      <t xml:space="preserve">森永和杜</t>
    </r>
    <r>
      <rPr>
        <sz val="10"/>
        <color rgb="FF000000"/>
        <rFont val="HGPｺﾞｼｯｸM"/>
        <family val="0"/>
        <charset val="1"/>
      </rPr>
      <t xml:space="preserve">(78)</t>
    </r>
  </si>
  <si>
    <r>
      <rPr>
        <sz val="10"/>
        <color rgb="FF000000"/>
        <rFont val="WenQuanYi Zen Hei"/>
        <family val="2"/>
      </rPr>
      <t xml:space="preserve">吉田柊汰</t>
    </r>
    <r>
      <rPr>
        <sz val="10"/>
        <color rgb="FF000000"/>
        <rFont val="HGPｺﾞｼｯｸM"/>
        <family val="0"/>
        <charset val="1"/>
      </rPr>
      <t xml:space="preserve">(85)</t>
    </r>
  </si>
  <si>
    <r>
      <rPr>
        <sz val="10"/>
        <color rgb="FF000000"/>
        <rFont val="WenQuanYi Zen Hei"/>
        <family val="2"/>
      </rPr>
      <t xml:space="preserve">永井弧</t>
    </r>
    <r>
      <rPr>
        <sz val="10"/>
        <color rgb="FF000000"/>
        <rFont val="HGPｺﾞｼｯｸM"/>
        <family val="0"/>
        <charset val="1"/>
      </rPr>
      <t xml:space="preserve">(90)</t>
    </r>
  </si>
  <si>
    <r>
      <rPr>
        <sz val="10"/>
        <color rgb="FF000000"/>
        <rFont val="WenQuanYi Zen Hei"/>
        <family val="2"/>
      </rPr>
      <t xml:space="preserve">岩尾春</t>
    </r>
    <r>
      <rPr>
        <sz val="10"/>
        <color rgb="FF000000"/>
        <rFont val="HGPｺﾞｼｯｸM"/>
        <family val="0"/>
        <charset val="1"/>
      </rPr>
      <t xml:space="preserve">(99)</t>
    </r>
  </si>
  <si>
    <r>
      <rPr>
        <b val="true"/>
        <sz val="14"/>
        <color rgb="FF000000"/>
        <rFont val="HGPｺﾞｼｯｸM"/>
        <family val="0"/>
        <charset val="1"/>
      </rPr>
      <t xml:space="preserve">5000m </t>
    </r>
    <r>
      <rPr>
        <b val="true"/>
        <sz val="14"/>
        <color rgb="FF000000"/>
        <rFont val="WenQuanYi Zen Hei"/>
        <family val="2"/>
      </rPr>
      <t xml:space="preserve">ランキング（陸マガ掲載順）</t>
    </r>
  </si>
  <si>
    <r>
      <rPr>
        <sz val="9"/>
        <color rgb="FF000000"/>
        <rFont val="WenQuanYi Zen Hei"/>
        <family val="2"/>
      </rPr>
      <t xml:space="preserve">記録は元データのまま。トップ差・</t>
    </r>
    <r>
      <rPr>
        <sz val="9"/>
        <color rgb="FF000000"/>
        <rFont val="HGPｺﾞｼｯｸM"/>
        <family val="0"/>
        <charset val="1"/>
      </rPr>
      <t xml:space="preserve">3000mSC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1500m</t>
    </r>
    <r>
      <rPr>
        <sz val="9"/>
        <color rgb="FF000000"/>
        <rFont val="WenQuanYi Zen Hei"/>
        <family val="2"/>
      </rPr>
      <t xml:space="preserve">は「選手一覧」から数式で参照（同一人物と判定できた場合のみ）。</t>
    </r>
  </si>
  <si>
    <t xml:space="preserve">順位</t>
  </si>
  <si>
    <t xml:space="preserve">記録</t>
  </si>
  <si>
    <r>
      <rPr>
        <b val="true"/>
        <sz val="10"/>
        <color rgb="FF000000"/>
        <rFont val="WenQuanYi Zen Hei"/>
        <family val="2"/>
      </rPr>
      <t xml:space="preserve">トップ差
</t>
    </r>
    <r>
      <rPr>
        <b val="true"/>
        <sz val="10"/>
        <color rgb="FF000000"/>
        <rFont val="HGPｺﾞｼｯｸM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秒</t>
    </r>
    <r>
      <rPr>
        <b val="true"/>
        <sz val="10"/>
        <color rgb="FF000000"/>
        <rFont val="HGPｺﾞｼｯｸM"/>
        <family val="0"/>
        <charset val="1"/>
      </rPr>
      <t xml:space="preserve">)</t>
    </r>
  </si>
  <si>
    <t xml:space="preserve">ポールンジョロゲ</t>
  </si>
  <si>
    <t xml:space="preserve">田辺工業高校</t>
  </si>
  <si>
    <t xml:space="preserve">奈良学園高・奈良高</t>
  </si>
  <si>
    <t xml:space="preserve">尼崎高</t>
  </si>
  <si>
    <t xml:space="preserve">和田征太郎</t>
  </si>
  <si>
    <r>
      <rPr>
        <b val="true"/>
        <sz val="14"/>
        <color rgb="FF000000"/>
        <rFont val="HGPｺﾞｼｯｸM"/>
        <family val="0"/>
        <charset val="1"/>
      </rPr>
      <t xml:space="preserve">3000mSC </t>
    </r>
    <r>
      <rPr>
        <b val="true"/>
        <sz val="14"/>
        <color rgb="FF000000"/>
        <rFont val="WenQuanYi Zen Hei"/>
        <family val="2"/>
      </rPr>
      <t xml:space="preserve">ランキング（陸マガ掲載順）</t>
    </r>
  </si>
  <si>
    <r>
      <rPr>
        <sz val="9"/>
        <color rgb="FF000000"/>
        <rFont val="WenQuanYi Zen Hei"/>
        <family val="2"/>
      </rPr>
      <t xml:space="preserve">記録は元データのまま。トップ差・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1500m</t>
    </r>
    <r>
      <rPr>
        <sz val="9"/>
        <color rgb="FF000000"/>
        <rFont val="WenQuanYi Zen Hei"/>
        <family val="2"/>
      </rPr>
      <t xml:space="preserve">は「選手一覧」から数式で参照（同一人物と判定できた場合のみ）。</t>
    </r>
  </si>
  <si>
    <t xml:space="preserve">智弁学園奈良カレッジ</t>
  </si>
  <si>
    <t xml:space="preserve">豊田大谷</t>
  </si>
  <si>
    <t xml:space="preserve">名経大高蔵</t>
  </si>
  <si>
    <t xml:space="preserve">阿南高専</t>
  </si>
  <si>
    <t xml:space="preserve">新宿高</t>
  </si>
  <si>
    <r>
      <rPr>
        <b val="true"/>
        <sz val="14"/>
        <color rgb="FF000000"/>
        <rFont val="HGPｺﾞｼｯｸM"/>
        <family val="0"/>
        <charset val="1"/>
      </rPr>
      <t xml:space="preserve">1500m </t>
    </r>
    <r>
      <rPr>
        <b val="true"/>
        <sz val="14"/>
        <color rgb="FF000000"/>
        <rFont val="WenQuanYi Zen Hei"/>
        <family val="2"/>
      </rPr>
      <t xml:space="preserve">ランキング（陸マガ掲載順）</t>
    </r>
  </si>
  <si>
    <r>
      <rPr>
        <sz val="9"/>
        <color rgb="FF000000"/>
        <rFont val="WenQuanYi Zen Hei"/>
        <family val="2"/>
      </rPr>
      <t xml:space="preserve">記録は元データのまま。トップ差・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3000mSC</t>
    </r>
    <r>
      <rPr>
        <sz val="9"/>
        <color rgb="FF000000"/>
        <rFont val="WenQuanYi Zen Hei"/>
        <family val="2"/>
      </rPr>
      <t xml:space="preserve">は「選手一覧」から数式で参照（同一人物と判定できた場合のみ）。</t>
    </r>
  </si>
  <si>
    <t xml:space="preserve">川口市陸協</t>
  </si>
  <si>
    <t xml:space="preserve">ＰＡＲＥＩＹＯ　ＡＮＴＯＮＹＩＴＡ</t>
  </si>
  <si>
    <t xml:space="preserve">岡崎北</t>
  </si>
  <si>
    <t xml:space="preserve">智弁和歌山</t>
  </si>
  <si>
    <t xml:space="preserve">神戸大附中等</t>
  </si>
  <si>
    <t xml:space="preserve">宇短附高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</si>
</sst>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\分"/>
    <numFmt numFmtId="166" formatCode="0.00\秒"/>
    <numFmt numFmtId="167" formatCode="[m]:ss.00"/>
    <numFmt numFmtId="168" formatCode="0"/>
    <numFmt numFmtId="169" formatCode="0;;&quot;&quot;"/>
    <numFmt numFmtId="170" formatCode="\+0.00;\-0.00;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HGPｺﾞｼｯｸM"/>
      <family val="0"/>
      <charset val="1"/>
    </font>
    <font>
      <b val="true"/>
      <sz val="14"/>
      <color rgb="FF000000"/>
      <name val="WenQuanYi Zen Hei"/>
      <family val="2"/>
    </font>
    <font>
      <sz val="9"/>
      <color rgb="FF000000"/>
      <name val="WenQuanYi Zen Hei"/>
      <family val="2"/>
    </font>
    <font>
      <sz val="9"/>
      <color rgb="FF000000"/>
      <name val="HGPｺﾞｼｯｸM"/>
      <family val="0"/>
      <charset val="1"/>
    </font>
    <font>
      <b val="true"/>
      <sz val="10"/>
      <color rgb="FF000000"/>
      <name val="WenQuanYi Zen Hei"/>
      <family val="2"/>
    </font>
    <font>
      <b val="true"/>
      <sz val="10"/>
      <color rgb="FF000000"/>
      <name val="HGPｺﾞｼｯｸM"/>
      <family val="0"/>
      <charset val="1"/>
    </font>
    <font>
      <sz val="10"/>
      <color rgb="FF000000"/>
      <name val="HGPｺﾞｼｯｸM"/>
      <family val="0"/>
      <charset val="1"/>
    </font>
    <font>
      <sz val="10"/>
      <color rgb="FF00000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99"/>
        <bgColor rgb="FFFFEB9C"/>
      </patternFill>
    </fill>
    <fill>
      <patternFill patternType="solid">
        <fgColor rgb="FFA9D08E"/>
        <bgColor rgb="FFBFBFB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A9D0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FFF99"/>
          <bgColor rgb="FF000000"/>
        </patternFill>
      </fill>
    </dxf>
    <dxf>
      <fill>
        <patternFill>
          <bgColor rgb="FF63BE7B"/>
        </patternFill>
      </fill>
    </dxf>
    <dxf>
      <fill>
        <patternFill>
          <bgColor rgb="FFA9D08E"/>
        </patternFill>
      </fill>
    </dxf>
    <dxf>
      <fill>
        <patternFill>
          <bgColor rgb="FFE2EFDA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EB9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9D08E"/>
      <rgbColor rgb="FFFF99CC"/>
      <rgbColor rgb="FFCC99FF"/>
      <rgbColor rgb="FFFFCC99"/>
      <rgbColor rgb="FF3366FF"/>
      <rgbColor rgb="FF63BE7B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738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6" min="6" style="0" width="10"/>
    <col collapsed="false" customWidth="true" hidden="false" outlineLevel="0" max="7" min="7" style="0" width="7"/>
    <col collapsed="false" customWidth="true" hidden="false" outlineLevel="0" max="8" min="8" style="0" width="10"/>
    <col collapsed="false" customWidth="true" hidden="false" outlineLevel="0" max="9" min="9" style="0" width="7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9"/>
    <col collapsed="false" customWidth="true" hidden="false" outlineLevel="0" max="13" min="13" style="0" width="7"/>
    <col collapsed="false" customWidth="true" hidden="false" outlineLevel="0" max="14" min="14" style="0" width="40"/>
    <col collapsed="false" customWidth="true" hidden="false" outlineLevel="0" max="15" min="15" style="0" width="30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D3" s="4" t="s">
        <v>3</v>
      </c>
      <c r="E3" s="5" t="n">
        <v>14</v>
      </c>
      <c r="F3" s="6" t="n">
        <v>30</v>
      </c>
      <c r="H3" s="4" t="s">
        <v>4</v>
      </c>
      <c r="I3" s="5" t="n">
        <v>9</v>
      </c>
      <c r="J3" s="6" t="n">
        <v>20</v>
      </c>
      <c r="L3" s="4" t="s">
        <v>5</v>
      </c>
      <c r="M3" s="5" t="n">
        <v>3</v>
      </c>
      <c r="N3" s="6" t="n">
        <v>55</v>
      </c>
    </row>
    <row r="4" customFormat="false" ht="15" hidden="false" customHeight="false" outlineLevel="0" collapsed="false">
      <c r="A4" s="2" t="s">
        <v>6</v>
      </c>
    </row>
    <row r="6" customFormat="false" ht="33.75" hidden="false" customHeight="true" outlineLevel="0" collapsed="false">
      <c r="A6" s="7" t="s">
        <v>7</v>
      </c>
      <c r="B6" s="8" t="s">
        <v>8</v>
      </c>
      <c r="C6" s="8" t="s">
        <v>9</v>
      </c>
      <c r="D6" s="7" t="s">
        <v>10</v>
      </c>
      <c r="E6" s="7" t="s">
        <v>11</v>
      </c>
      <c r="F6" s="7" t="s">
        <v>12</v>
      </c>
      <c r="G6" s="7" t="s">
        <v>13</v>
      </c>
      <c r="H6" s="7" t="s">
        <v>14</v>
      </c>
      <c r="I6" s="7" t="s">
        <v>15</v>
      </c>
      <c r="J6" s="8" t="s">
        <v>16</v>
      </c>
      <c r="K6" s="8" t="s">
        <v>17</v>
      </c>
      <c r="L6" s="8" t="s">
        <v>18</v>
      </c>
      <c r="M6" s="8" t="s">
        <v>19</v>
      </c>
      <c r="N6" s="8" t="s">
        <v>20</v>
      </c>
      <c r="O6" s="8" t="s">
        <v>21</v>
      </c>
    </row>
    <row r="7" customFormat="false" ht="15" hidden="false" customHeight="false" outlineLevel="0" collapsed="false">
      <c r="A7" s="9" t="n">
        <v>1</v>
      </c>
      <c r="B7" s="10" t="s">
        <v>22</v>
      </c>
      <c r="C7" s="10" t="s">
        <v>23</v>
      </c>
      <c r="D7" s="11" t="n">
        <v>0.00964340277777778</v>
      </c>
      <c r="E7" s="12" t="n">
        <v>2</v>
      </c>
      <c r="F7" s="11" t="n">
        <v>0.00642048611111111</v>
      </c>
      <c r="G7" s="12" t="n">
        <v>19</v>
      </c>
      <c r="H7" s="11" t="n">
        <v>0.00260451388888889</v>
      </c>
      <c r="I7" s="12" t="n">
        <v>1</v>
      </c>
      <c r="J7" s="12" t="n">
        <f aca="false">COUNT(E7,G7,I7)</f>
        <v>3</v>
      </c>
      <c r="K7" s="13" t="n">
        <f aca="false">MIN(E7,G7,I7)</f>
        <v>1</v>
      </c>
      <c r="L7" s="9" t="str">
        <f aca="false">IF(E7=K7,"5000m",IF(G7=K7,"3000mSC","1500m"))</f>
        <v>1500m</v>
      </c>
      <c r="M7" s="14" t="n">
        <f aca="false">(D7&lt;&gt;"")*(D7&lt;=($E$3*60+$F$3)/86400)+(F7&lt;&gt;"")*(F7&lt;=($I$3*60+$J$3)/86400)+(H7&lt;&gt;"")*(H7&lt;=($M$3*60+$N$3)/86400)</f>
        <v>3</v>
      </c>
      <c r="N7" s="10"/>
      <c r="O7" s="15"/>
    </row>
    <row r="8" customFormat="false" ht="25.35" hidden="false" customHeight="false" outlineLevel="0" collapsed="false">
      <c r="A8" s="9" t="n">
        <v>2</v>
      </c>
      <c r="B8" s="10" t="s">
        <v>24</v>
      </c>
      <c r="C8" s="10" t="s">
        <v>25</v>
      </c>
      <c r="D8" s="11" t="n">
        <v>0.0102148148148148</v>
      </c>
      <c r="E8" s="12" t="n">
        <v>104</v>
      </c>
      <c r="F8" s="11" t="n">
        <v>0.00623865740740741</v>
      </c>
      <c r="G8" s="12" t="n">
        <v>1</v>
      </c>
      <c r="H8" s="11" t="n">
        <v>0.00286273148148148</v>
      </c>
      <c r="I8" s="12" t="n">
        <v>654</v>
      </c>
      <c r="J8" s="12" t="n">
        <f aca="false">COUNT(E8,G8,I8)</f>
        <v>3</v>
      </c>
      <c r="K8" s="13" t="n">
        <f aca="false">MIN(E8,G8,I8)</f>
        <v>1</v>
      </c>
      <c r="L8" s="9" t="str">
        <f aca="false">IF(E8=K8,"5000m",IF(G8=K8,"3000mSC","1500m"))</f>
        <v>3000mSC</v>
      </c>
      <c r="M8" s="14" t="n">
        <f aca="false">(D8&lt;&gt;"")*(D8&lt;=($E$3*60+$F$3)/86400)+(F8&lt;&gt;"")*(F8&lt;=($I$3*60+$J$3)/86400)+(H8&lt;&gt;"")*(H8&lt;=($M$3*60+$N$3)/86400)</f>
        <v>1</v>
      </c>
      <c r="N8" s="10"/>
      <c r="O8" s="15"/>
    </row>
    <row r="9" customFormat="false" ht="15" hidden="false" customHeight="false" outlineLevel="0" collapsed="false">
      <c r="A9" s="9" t="n">
        <v>3</v>
      </c>
      <c r="B9" s="10" t="s">
        <v>26</v>
      </c>
      <c r="C9" s="10" t="s">
        <v>27</v>
      </c>
      <c r="D9" s="11" t="n">
        <v>0.00914050925925926</v>
      </c>
      <c r="E9" s="12" t="n">
        <v>1</v>
      </c>
      <c r="F9" s="11"/>
      <c r="G9" s="12"/>
      <c r="H9" s="11" t="n">
        <v>0.00264097222222222</v>
      </c>
      <c r="I9" s="12" t="n">
        <v>3</v>
      </c>
      <c r="J9" s="12" t="n">
        <f aca="false">COUNT(E9,G9,I9)</f>
        <v>2</v>
      </c>
      <c r="K9" s="13" t="n">
        <f aca="false">MIN(E9,G9,I9)</f>
        <v>1</v>
      </c>
      <c r="L9" s="9" t="str">
        <f aca="false">IF(E9=K9,"5000m",IF(G9=K9,"3000mSC","1500m"))</f>
        <v>5000m</v>
      </c>
      <c r="M9" s="14" t="n">
        <f aca="false">(D9&lt;&gt;"")*(D9&lt;=($E$3*60+$F$3)/86400)+(F9&lt;&gt;"")*(F9&lt;=($I$3*60+$J$3)/86400)+(H9&lt;&gt;"")*(H9&lt;=($M$3*60+$N$3)/86400)</f>
        <v>2</v>
      </c>
      <c r="N9" s="10"/>
      <c r="O9" s="15"/>
    </row>
    <row r="10" customFormat="false" ht="25.35" hidden="false" customHeight="false" outlineLevel="0" collapsed="false">
      <c r="A10" s="9" t="n">
        <v>4</v>
      </c>
      <c r="B10" s="10" t="s">
        <v>28</v>
      </c>
      <c r="C10" s="10" t="s">
        <v>29</v>
      </c>
      <c r="D10" s="11" t="n">
        <v>0.00975914351851852</v>
      </c>
      <c r="E10" s="12" t="n">
        <v>6</v>
      </c>
      <c r="F10" s="11" t="n">
        <v>0.00626909722222222</v>
      </c>
      <c r="G10" s="12" t="n">
        <v>2</v>
      </c>
      <c r="H10" s="11" t="n">
        <v>0.00278136574074074</v>
      </c>
      <c r="I10" s="12" t="n">
        <v>209</v>
      </c>
      <c r="J10" s="12" t="n">
        <f aca="false">COUNT(E10,G10,I10)</f>
        <v>3</v>
      </c>
      <c r="K10" s="13" t="n">
        <f aca="false">MIN(E10,G10,I10)</f>
        <v>2</v>
      </c>
      <c r="L10" s="9" t="str">
        <f aca="false">IF(E10=K10,"5000m",IF(G10=K10,"3000mSC","1500m"))</f>
        <v>3000mSC</v>
      </c>
      <c r="M10" s="14" t="n">
        <f aca="false">(D10&lt;&gt;"")*(D10&lt;=($E$3*60+$F$3)/86400)+(F10&lt;&gt;"")*(F10&lt;=($I$3*60+$J$3)/86400)+(H10&lt;&gt;"")*(H10&lt;=($M$3*60+$N$3)/86400)</f>
        <v>2</v>
      </c>
      <c r="N10" s="10"/>
      <c r="O10" s="15"/>
    </row>
    <row r="11" customFormat="false" ht="15" hidden="false" customHeight="false" outlineLevel="0" collapsed="false">
      <c r="A11" s="9" t="n">
        <v>5</v>
      </c>
      <c r="B11" s="10" t="s">
        <v>30</v>
      </c>
      <c r="C11" s="10" t="s">
        <v>23</v>
      </c>
      <c r="D11" s="11" t="n">
        <v>0.00968773148148148</v>
      </c>
      <c r="E11" s="12" t="n">
        <v>3</v>
      </c>
      <c r="F11" s="11"/>
      <c r="G11" s="12"/>
      <c r="H11" s="11" t="n">
        <v>0.00262800925925926</v>
      </c>
      <c r="I11" s="12" t="n">
        <v>2</v>
      </c>
      <c r="J11" s="12" t="n">
        <f aca="false">COUNT(E11,G11,I11)</f>
        <v>2</v>
      </c>
      <c r="K11" s="13" t="n">
        <f aca="false">MIN(E11,G11,I11)</f>
        <v>2</v>
      </c>
      <c r="L11" s="9" t="str">
        <f aca="false">IF(E11=K11,"5000m",IF(G11=K11,"3000mSC","1500m"))</f>
        <v>1500m</v>
      </c>
      <c r="M11" s="14" t="n">
        <f aca="false">(D11&lt;&gt;"")*(D11&lt;=($E$3*60+$F$3)/86400)+(F11&lt;&gt;"")*(F11&lt;=($I$3*60+$J$3)/86400)+(H11&lt;&gt;"")*(H11&lt;=($M$3*60+$N$3)/86400)</f>
        <v>2</v>
      </c>
      <c r="N11" s="10"/>
      <c r="O11" s="15"/>
    </row>
    <row r="12" customFormat="false" ht="25.35" hidden="false" customHeight="false" outlineLevel="0" collapsed="false">
      <c r="A12" s="9" t="n">
        <v>6</v>
      </c>
      <c r="B12" s="10" t="s">
        <v>31</v>
      </c>
      <c r="C12" s="10" t="s">
        <v>32</v>
      </c>
      <c r="D12" s="11" t="n">
        <v>0.0102784722222222</v>
      </c>
      <c r="E12" s="12" t="n">
        <v>146</v>
      </c>
      <c r="F12" s="11" t="n">
        <v>0.00627025462962963</v>
      </c>
      <c r="G12" s="12" t="n">
        <v>3</v>
      </c>
      <c r="H12" s="11" t="n">
        <v>0.0029193287037037</v>
      </c>
      <c r="I12" s="12" t="n">
        <v>1088</v>
      </c>
      <c r="J12" s="12" t="n">
        <f aca="false">COUNT(E12,G12,I12)</f>
        <v>3</v>
      </c>
      <c r="K12" s="13" t="n">
        <f aca="false">MIN(E12,G12,I12)</f>
        <v>3</v>
      </c>
      <c r="L12" s="9" t="str">
        <f aca="false">IF(E12=K12,"5000m",IF(G12=K12,"3000mSC","1500m"))</f>
        <v>3000mSC</v>
      </c>
      <c r="M12" s="14" t="n">
        <f aca="false">(D12&lt;&gt;"")*(D12&lt;=($E$3*60+$F$3)/86400)+(F12&lt;&gt;"")*(F12&lt;=($I$3*60+$J$3)/86400)+(H12&lt;&gt;"")*(H12&lt;=($M$3*60+$N$3)/86400)</f>
        <v>1</v>
      </c>
      <c r="N12" s="10"/>
      <c r="O12" s="15"/>
    </row>
    <row r="13" customFormat="false" ht="25.35" hidden="false" customHeight="false" outlineLevel="0" collapsed="false">
      <c r="A13" s="9" t="n">
        <v>7</v>
      </c>
      <c r="B13" s="10" t="s">
        <v>33</v>
      </c>
      <c r="C13" s="10" t="s">
        <v>34</v>
      </c>
      <c r="D13" s="11" t="n">
        <v>0.0103481481481482</v>
      </c>
      <c r="E13" s="12" t="n">
        <v>201</v>
      </c>
      <c r="F13" s="11" t="n">
        <v>0.00630729166666667</v>
      </c>
      <c r="G13" s="12" t="n">
        <v>4</v>
      </c>
      <c r="H13" s="11" t="n">
        <v>0.00273877314814815</v>
      </c>
      <c r="I13" s="12" t="n">
        <v>82</v>
      </c>
      <c r="J13" s="12" t="n">
        <f aca="false">COUNT(E13,G13,I13)</f>
        <v>3</v>
      </c>
      <c r="K13" s="13" t="n">
        <f aca="false">MIN(E13,G13,I13)</f>
        <v>4</v>
      </c>
      <c r="L13" s="9" t="str">
        <f aca="false">IF(E13=K13,"5000m",IF(G13=K13,"3000mSC","1500m"))</f>
        <v>3000mSC</v>
      </c>
      <c r="M13" s="14" t="n">
        <f aca="false">(D13&lt;&gt;"")*(D13&lt;=($E$3*60+$F$3)/86400)+(F13&lt;&gt;"")*(F13&lt;=($I$3*60+$J$3)/86400)+(H13&lt;&gt;"")*(H13&lt;=($M$3*60+$N$3)/86400)</f>
        <v>1</v>
      </c>
      <c r="N13" s="10"/>
      <c r="O13" s="15"/>
    </row>
    <row r="14" customFormat="false" ht="15" hidden="false" customHeight="false" outlineLevel="0" collapsed="false">
      <c r="A14" s="9" t="n">
        <v>8</v>
      </c>
      <c r="B14" s="10" t="s">
        <v>35</v>
      </c>
      <c r="C14" s="10" t="s">
        <v>36</v>
      </c>
      <c r="D14" s="11" t="n">
        <v>0.00971435185185185</v>
      </c>
      <c r="E14" s="12" t="n">
        <v>4</v>
      </c>
      <c r="F14" s="11"/>
      <c r="G14" s="12"/>
      <c r="H14" s="11" t="n">
        <v>0.002721875</v>
      </c>
      <c r="I14" s="12" t="n">
        <v>51</v>
      </c>
      <c r="J14" s="12" t="n">
        <f aca="false">COUNT(E14,G14,I14)</f>
        <v>2</v>
      </c>
      <c r="K14" s="13" t="n">
        <f aca="false">MIN(E14,G14,I14)</f>
        <v>4</v>
      </c>
      <c r="L14" s="9" t="str">
        <f aca="false">IF(E14=K14,"5000m",IF(G14=K14,"3000mSC","1500m"))</f>
        <v>5000m</v>
      </c>
      <c r="M14" s="14" t="n">
        <f aca="false">(D14&lt;&gt;"")*(D14&lt;=($E$3*60+$F$3)/86400)+(F14&lt;&gt;"")*(F14&lt;=($I$3*60+$J$3)/86400)+(H14&lt;&gt;"")*(H14&lt;=($M$3*60+$N$3)/86400)</f>
        <v>1</v>
      </c>
      <c r="N14" s="10"/>
      <c r="O14" s="15"/>
    </row>
    <row r="15" customFormat="false" ht="15" hidden="false" customHeight="false" outlineLevel="0" collapsed="false">
      <c r="A15" s="9" t="n">
        <v>9</v>
      </c>
      <c r="B15" s="10" t="s">
        <v>37</v>
      </c>
      <c r="C15" s="10" t="s">
        <v>29</v>
      </c>
      <c r="D15" s="11"/>
      <c r="E15" s="12"/>
      <c r="F15" s="11"/>
      <c r="G15" s="12"/>
      <c r="H15" s="11" t="n">
        <v>0.00265011574074074</v>
      </c>
      <c r="I15" s="12" t="n">
        <v>4</v>
      </c>
      <c r="J15" s="12" t="n">
        <f aca="false">COUNT(E15,G15,I15)</f>
        <v>1</v>
      </c>
      <c r="K15" s="13" t="n">
        <f aca="false">MIN(E15,G15,I15)</f>
        <v>4</v>
      </c>
      <c r="L15" s="9" t="str">
        <f aca="false">IF(E15=K15,"5000m",IF(G15=K15,"3000mSC","1500m"))</f>
        <v>1500m</v>
      </c>
      <c r="M15" s="14" t="n">
        <f aca="false">(D15&lt;&gt;"")*(D15&lt;=($E$3*60+$F$3)/86400)+(F15&lt;&gt;"")*(F15&lt;=($I$3*60+$J$3)/86400)+(H15&lt;&gt;"")*(H15&lt;=($M$3*60+$N$3)/86400)</f>
        <v>1</v>
      </c>
      <c r="N15" s="10"/>
      <c r="O15" s="15"/>
    </row>
    <row r="16" customFormat="false" ht="25.35" hidden="false" customHeight="false" outlineLevel="0" collapsed="false">
      <c r="A16" s="9" t="n">
        <v>10</v>
      </c>
      <c r="B16" s="10" t="s">
        <v>38</v>
      </c>
      <c r="C16" s="10" t="s">
        <v>39</v>
      </c>
      <c r="D16" s="11" t="n">
        <v>0.0102916666666667</v>
      </c>
      <c r="E16" s="12" t="n">
        <v>155</v>
      </c>
      <c r="F16" s="11" t="n">
        <v>0.00632650462962963</v>
      </c>
      <c r="G16" s="12" t="n">
        <v>5</v>
      </c>
      <c r="H16" s="11" t="n">
        <v>0.00284988425925926</v>
      </c>
      <c r="I16" s="12" t="n">
        <v>569</v>
      </c>
      <c r="J16" s="12" t="n">
        <f aca="false">COUNT(E16,G16,I16)</f>
        <v>3</v>
      </c>
      <c r="K16" s="13" t="n">
        <f aca="false">MIN(E16,G16,I16)</f>
        <v>5</v>
      </c>
      <c r="L16" s="9" t="str">
        <f aca="false">IF(E16=K16,"5000m",IF(G16=K16,"3000mSC","1500m"))</f>
        <v>3000mSC</v>
      </c>
      <c r="M16" s="14" t="n">
        <f aca="false">(D16&lt;&gt;"")*(D16&lt;=($E$3*60+$F$3)/86400)+(F16&lt;&gt;"")*(F16&lt;=($I$3*60+$J$3)/86400)+(H16&lt;&gt;"")*(H16&lt;=($M$3*60+$N$3)/86400)</f>
        <v>1</v>
      </c>
      <c r="N16" s="10"/>
      <c r="O16" s="15"/>
    </row>
    <row r="17" customFormat="false" ht="15" hidden="false" customHeight="false" outlineLevel="0" collapsed="false">
      <c r="A17" s="9" t="n">
        <v>11</v>
      </c>
      <c r="B17" s="10" t="s">
        <v>40</v>
      </c>
      <c r="C17" s="10" t="s">
        <v>41</v>
      </c>
      <c r="D17" s="11" t="n">
        <v>0.00974224537037037</v>
      </c>
      <c r="E17" s="12" t="n">
        <v>5</v>
      </c>
      <c r="F17" s="11"/>
      <c r="G17" s="12"/>
      <c r="H17" s="11" t="n">
        <v>0.00267881944444444</v>
      </c>
      <c r="I17" s="12" t="n">
        <v>13</v>
      </c>
      <c r="J17" s="12" t="n">
        <f aca="false">COUNT(E17,G17,I17)</f>
        <v>2</v>
      </c>
      <c r="K17" s="13" t="n">
        <f aca="false">MIN(E17,G17,I17)</f>
        <v>5</v>
      </c>
      <c r="L17" s="9" t="str">
        <f aca="false">IF(E17=K17,"5000m",IF(G17=K17,"3000mSC","1500m"))</f>
        <v>5000m</v>
      </c>
      <c r="M17" s="14" t="n">
        <f aca="false">(D17&lt;&gt;"")*(D17&lt;=($E$3*60+$F$3)/86400)+(F17&lt;&gt;"")*(F17&lt;=($I$3*60+$J$3)/86400)+(H17&lt;&gt;"")*(H17&lt;=($M$3*60+$N$3)/86400)</f>
        <v>2</v>
      </c>
      <c r="N17" s="10"/>
      <c r="O17" s="15"/>
    </row>
    <row r="18" customFormat="false" ht="15" hidden="false" customHeight="false" outlineLevel="0" collapsed="false">
      <c r="A18" s="9" t="n">
        <v>12</v>
      </c>
      <c r="B18" s="10" t="s">
        <v>42</v>
      </c>
      <c r="C18" s="10" t="s">
        <v>43</v>
      </c>
      <c r="D18" s="11" t="n">
        <v>0.0108256944444445</v>
      </c>
      <c r="E18" s="12" t="n">
        <v>784</v>
      </c>
      <c r="F18" s="11"/>
      <c r="G18" s="12"/>
      <c r="H18" s="11" t="n">
        <v>0.00266215277777778</v>
      </c>
      <c r="I18" s="12" t="n">
        <v>5</v>
      </c>
      <c r="J18" s="12" t="n">
        <f aca="false">COUNT(E18,G18,I18)</f>
        <v>2</v>
      </c>
      <c r="K18" s="13" t="n">
        <f aca="false">MIN(E18,G18,I18)</f>
        <v>5</v>
      </c>
      <c r="L18" s="9" t="str">
        <f aca="false">IF(E18=K18,"5000m",IF(G18=K18,"3000mSC","1500m"))</f>
        <v>1500m</v>
      </c>
      <c r="M18" s="14" t="n">
        <f aca="false">(D18&lt;&gt;"")*(D18&lt;=($E$3*60+$F$3)/86400)+(F18&lt;&gt;"")*(F18&lt;=($I$3*60+$J$3)/86400)+(H18&lt;&gt;"")*(H18&lt;=($M$3*60+$N$3)/86400)</f>
        <v>1</v>
      </c>
      <c r="N18" s="10"/>
      <c r="O18" s="15"/>
    </row>
    <row r="19" customFormat="false" ht="25.35" hidden="false" customHeight="false" outlineLevel="0" collapsed="false">
      <c r="A19" s="9" t="n">
        <v>13</v>
      </c>
      <c r="B19" s="10" t="s">
        <v>44</v>
      </c>
      <c r="C19" s="10" t="s">
        <v>45</v>
      </c>
      <c r="D19" s="11" t="n">
        <v>0.0102140046296296</v>
      </c>
      <c r="E19" s="12" t="n">
        <v>102</v>
      </c>
      <c r="F19" s="11" t="n">
        <v>0.00633553240740741</v>
      </c>
      <c r="G19" s="12" t="n">
        <v>6</v>
      </c>
      <c r="H19" s="11" t="n">
        <v>0.00285925925925926</v>
      </c>
      <c r="I19" s="12" t="n">
        <v>630</v>
      </c>
      <c r="J19" s="12" t="n">
        <f aca="false">COUNT(E19,G19,I19)</f>
        <v>3</v>
      </c>
      <c r="K19" s="13" t="n">
        <f aca="false">MIN(E19,G19,I19)</f>
        <v>6</v>
      </c>
      <c r="L19" s="9" t="str">
        <f aca="false">IF(E19=K19,"5000m",IF(G19=K19,"3000mSC","1500m"))</f>
        <v>3000mSC</v>
      </c>
      <c r="M19" s="14" t="n">
        <f aca="false">(D19&lt;&gt;"")*(D19&lt;=($E$3*60+$F$3)/86400)+(F19&lt;&gt;"")*(F19&lt;=($I$3*60+$J$3)/86400)+(H19&lt;&gt;"")*(H19&lt;=($M$3*60+$N$3)/86400)</f>
        <v>1</v>
      </c>
      <c r="N19" s="10"/>
      <c r="O19" s="15"/>
    </row>
    <row r="20" customFormat="false" ht="15" hidden="false" customHeight="false" outlineLevel="0" collapsed="false">
      <c r="A20" s="9" t="n">
        <v>14</v>
      </c>
      <c r="B20" s="10" t="s">
        <v>46</v>
      </c>
      <c r="C20" s="10" t="s">
        <v>47</v>
      </c>
      <c r="D20" s="11" t="n">
        <v>0.0103711805555556</v>
      </c>
      <c r="E20" s="12" t="n">
        <v>226</v>
      </c>
      <c r="F20" s="11"/>
      <c r="G20" s="12"/>
      <c r="H20" s="11" t="n">
        <v>0.0026662037037037</v>
      </c>
      <c r="I20" s="12" t="n">
        <v>6</v>
      </c>
      <c r="J20" s="12" t="n">
        <f aca="false">COUNT(E20,G20,I20)</f>
        <v>2</v>
      </c>
      <c r="K20" s="13" t="n">
        <f aca="false">MIN(E20,G20,I20)</f>
        <v>6</v>
      </c>
      <c r="L20" s="9" t="str">
        <f aca="false">IF(E20=K20,"5000m",IF(G20=K20,"3000mSC","1500m"))</f>
        <v>1500m</v>
      </c>
      <c r="M20" s="14" t="n">
        <f aca="false">(D20&lt;&gt;"")*(D20&lt;=($E$3*60+$F$3)/86400)+(F20&lt;&gt;"")*(F20&lt;=($I$3*60+$J$3)/86400)+(H20&lt;&gt;"")*(H20&lt;=($M$3*60+$N$3)/86400)</f>
        <v>1</v>
      </c>
      <c r="N20" s="10"/>
      <c r="O20" s="15"/>
    </row>
    <row r="21" customFormat="false" ht="25.35" hidden="false" customHeight="false" outlineLevel="0" collapsed="false">
      <c r="A21" s="9" t="n">
        <v>15</v>
      </c>
      <c r="B21" s="10" t="s">
        <v>48</v>
      </c>
      <c r="C21" s="10" t="s">
        <v>49</v>
      </c>
      <c r="D21" s="11" t="n">
        <v>0.0101377314814815</v>
      </c>
      <c r="E21" s="12" t="n">
        <v>67</v>
      </c>
      <c r="F21" s="11" t="n">
        <v>0.00634039351851852</v>
      </c>
      <c r="G21" s="12" t="n">
        <v>7</v>
      </c>
      <c r="H21" s="11" t="n">
        <v>0.0028818287037037</v>
      </c>
      <c r="I21" s="12" t="n">
        <v>787</v>
      </c>
      <c r="J21" s="12" t="n">
        <f aca="false">COUNT(E21,G21,I21)</f>
        <v>3</v>
      </c>
      <c r="K21" s="13" t="n">
        <f aca="false">MIN(E21,G21,I21)</f>
        <v>7</v>
      </c>
      <c r="L21" s="9" t="str">
        <f aca="false">IF(E21=K21,"5000m",IF(G21=K21,"3000mSC","1500m"))</f>
        <v>3000mSC</v>
      </c>
      <c r="M21" s="14" t="n">
        <f aca="false">(D21&lt;&gt;"")*(D21&lt;=($E$3*60+$F$3)/86400)+(F21&lt;&gt;"")*(F21&lt;=($I$3*60+$J$3)/86400)+(H21&lt;&gt;"")*(H21&lt;=($M$3*60+$N$3)/86400)</f>
        <v>1</v>
      </c>
      <c r="N21" s="10"/>
      <c r="O21" s="15"/>
    </row>
    <row r="22" customFormat="false" ht="15" hidden="false" customHeight="false" outlineLevel="0" collapsed="false">
      <c r="A22" s="9" t="n">
        <v>16</v>
      </c>
      <c r="B22" s="10" t="s">
        <v>50</v>
      </c>
      <c r="C22" s="10" t="s">
        <v>51</v>
      </c>
      <c r="D22" s="11" t="n">
        <v>0.010022337962963</v>
      </c>
      <c r="E22" s="12" t="n">
        <v>26</v>
      </c>
      <c r="F22" s="11"/>
      <c r="G22" s="12"/>
      <c r="H22" s="11" t="n">
        <v>0.00267071759259259</v>
      </c>
      <c r="I22" s="12" t="n">
        <v>7</v>
      </c>
      <c r="J22" s="12" t="n">
        <f aca="false">COUNT(E22,G22,I22)</f>
        <v>2</v>
      </c>
      <c r="K22" s="13" t="n">
        <f aca="false">MIN(E22,G22,I22)</f>
        <v>7</v>
      </c>
      <c r="L22" s="9" t="str">
        <f aca="false">IF(E22=K22,"5000m",IF(G22=K22,"3000mSC","1500m"))</f>
        <v>1500m</v>
      </c>
      <c r="M22" s="14" t="n">
        <f aca="false">(D22&lt;&gt;"")*(D22&lt;=($E$3*60+$F$3)/86400)+(F22&lt;&gt;"")*(F22&lt;=($I$3*60+$J$3)/86400)+(H22&lt;&gt;"")*(H22&lt;=($M$3*60+$N$3)/86400)</f>
        <v>2</v>
      </c>
      <c r="N22" s="10"/>
      <c r="O22" s="15"/>
    </row>
    <row r="23" customFormat="false" ht="15" hidden="false" customHeight="false" outlineLevel="0" collapsed="false">
      <c r="A23" s="9" t="n">
        <v>17</v>
      </c>
      <c r="B23" s="10" t="s">
        <v>52</v>
      </c>
      <c r="C23" s="10" t="s">
        <v>53</v>
      </c>
      <c r="D23" s="11" t="n">
        <v>0.00977974537037037</v>
      </c>
      <c r="E23" s="12" t="n">
        <v>7</v>
      </c>
      <c r="F23" s="11"/>
      <c r="G23" s="12"/>
      <c r="H23" s="11"/>
      <c r="I23" s="12"/>
      <c r="J23" s="12" t="n">
        <f aca="false">COUNT(E23,G23,I23)</f>
        <v>1</v>
      </c>
      <c r="K23" s="13" t="n">
        <f aca="false">MIN(E23,G23,I23)</f>
        <v>7</v>
      </c>
      <c r="L23" s="9" t="str">
        <f aca="false">IF(E23=K23,"5000m",IF(G23=K23,"3000mSC","1500m"))</f>
        <v>5000m</v>
      </c>
      <c r="M23" s="14" t="n">
        <f aca="false">(D23&lt;&gt;"")*(D23&lt;=($E$3*60+$F$3)/86400)+(F23&lt;&gt;"")*(F23&lt;=($I$3*60+$J$3)/86400)+(H23&lt;&gt;"")*(H23&lt;=($M$3*60+$N$3)/86400)</f>
        <v>1</v>
      </c>
      <c r="N23" s="10"/>
      <c r="O23" s="15"/>
    </row>
    <row r="24" customFormat="false" ht="15" hidden="false" customHeight="false" outlineLevel="0" collapsed="false">
      <c r="A24" s="9" t="n">
        <v>18</v>
      </c>
      <c r="B24" s="10" t="s">
        <v>54</v>
      </c>
      <c r="C24" s="10" t="s">
        <v>55</v>
      </c>
      <c r="D24" s="11" t="n">
        <v>0.00987303240740741</v>
      </c>
      <c r="E24" s="12" t="n">
        <v>12</v>
      </c>
      <c r="F24" s="11"/>
      <c r="G24" s="12"/>
      <c r="H24" s="11" t="n">
        <v>0.00267592592592593</v>
      </c>
      <c r="I24" s="12" t="n">
        <v>8</v>
      </c>
      <c r="J24" s="12" t="n">
        <f aca="false">COUNT(E24,G24,I24)</f>
        <v>2</v>
      </c>
      <c r="K24" s="13" t="n">
        <f aca="false">MIN(E24,G24,I24)</f>
        <v>8</v>
      </c>
      <c r="L24" s="9" t="str">
        <f aca="false">IF(E24=K24,"5000m",IF(G24=K24,"3000mSC","1500m"))</f>
        <v>1500m</v>
      </c>
      <c r="M24" s="14" t="n">
        <f aca="false">(D24&lt;&gt;"")*(D24&lt;=($E$3*60+$F$3)/86400)+(F24&lt;&gt;"")*(F24&lt;=($I$3*60+$J$3)/86400)+(H24&lt;&gt;"")*(H24&lt;=($M$3*60+$N$3)/86400)</f>
        <v>2</v>
      </c>
      <c r="N24" s="10"/>
      <c r="O24" s="15"/>
    </row>
    <row r="25" customFormat="false" ht="15" hidden="false" customHeight="false" outlineLevel="0" collapsed="false">
      <c r="A25" s="9" t="n">
        <v>19</v>
      </c>
      <c r="B25" s="10" t="s">
        <v>56</v>
      </c>
      <c r="C25" s="10" t="s">
        <v>57</v>
      </c>
      <c r="D25" s="11" t="n">
        <v>0.00981168981481482</v>
      </c>
      <c r="E25" s="12" t="n">
        <v>8</v>
      </c>
      <c r="F25" s="11"/>
      <c r="G25" s="12"/>
      <c r="H25" s="11" t="n">
        <v>0.00269803240740741</v>
      </c>
      <c r="I25" s="12" t="n">
        <v>24</v>
      </c>
      <c r="J25" s="12" t="n">
        <f aca="false">COUNT(E25,G25,I25)</f>
        <v>2</v>
      </c>
      <c r="K25" s="13" t="n">
        <f aca="false">MIN(E25,G25,I25)</f>
        <v>8</v>
      </c>
      <c r="L25" s="9" t="str">
        <f aca="false">IF(E25=K25,"5000m",IF(G25=K25,"3000mSC","1500m"))</f>
        <v>5000m</v>
      </c>
      <c r="M25" s="14" t="n">
        <f aca="false">(D25&lt;&gt;"")*(D25&lt;=($E$3*60+$F$3)/86400)+(F25&lt;&gt;"")*(F25&lt;=($I$3*60+$J$3)/86400)+(H25&lt;&gt;"")*(H25&lt;=($M$3*60+$N$3)/86400)</f>
        <v>2</v>
      </c>
      <c r="N25" s="16" t="s">
        <v>58</v>
      </c>
      <c r="O25" s="15"/>
    </row>
    <row r="26" customFormat="false" ht="25.35" hidden="false" customHeight="false" outlineLevel="0" collapsed="false">
      <c r="A26" s="9" t="n">
        <v>20</v>
      </c>
      <c r="B26" s="10" t="s">
        <v>59</v>
      </c>
      <c r="C26" s="10" t="s">
        <v>60</v>
      </c>
      <c r="D26" s="11" t="n">
        <v>0.0103640046296296</v>
      </c>
      <c r="E26" s="12" t="n">
        <v>220</v>
      </c>
      <c r="F26" s="11" t="n">
        <v>0.00634456018518519</v>
      </c>
      <c r="G26" s="12" t="n">
        <v>8</v>
      </c>
      <c r="H26" s="11"/>
      <c r="I26" s="12"/>
      <c r="J26" s="12" t="n">
        <f aca="false">COUNT(E26,G26,I26)</f>
        <v>2</v>
      </c>
      <c r="K26" s="13" t="n">
        <f aca="false">MIN(E26,G26,I26)</f>
        <v>8</v>
      </c>
      <c r="L26" s="9" t="str">
        <f aca="false">IF(E26=K26,"5000m",IF(G26=K26,"3000mSC","1500m"))</f>
        <v>3000mSC</v>
      </c>
      <c r="M26" s="14" t="n">
        <f aca="false">(D26&lt;&gt;"")*(D26&lt;=($E$3*60+$F$3)/86400)+(F26&lt;&gt;"")*(F26&lt;=($I$3*60+$J$3)/86400)+(H26&lt;&gt;"")*(H26&lt;=($M$3*60+$N$3)/86400)</f>
        <v>1</v>
      </c>
      <c r="N26" s="16"/>
      <c r="O26" s="15"/>
    </row>
    <row r="27" customFormat="false" ht="25.35" hidden="false" customHeight="false" outlineLevel="0" collapsed="false">
      <c r="A27" s="9" t="n">
        <v>21</v>
      </c>
      <c r="B27" s="10" t="s">
        <v>61</v>
      </c>
      <c r="C27" s="10" t="s">
        <v>62</v>
      </c>
      <c r="D27" s="11" t="n">
        <v>0.010716087962963</v>
      </c>
      <c r="E27" s="12" t="n">
        <v>608</v>
      </c>
      <c r="F27" s="11" t="n">
        <v>0.00634525462962963</v>
      </c>
      <c r="G27" s="12" t="n">
        <v>9</v>
      </c>
      <c r="H27" s="11" t="n">
        <v>0.00277592592592593</v>
      </c>
      <c r="I27" s="12" t="n">
        <v>180</v>
      </c>
      <c r="J27" s="12" t="n">
        <f aca="false">COUNT(E27,G27,I27)</f>
        <v>3</v>
      </c>
      <c r="K27" s="13" t="n">
        <f aca="false">MIN(E27,G27,I27)</f>
        <v>9</v>
      </c>
      <c r="L27" s="9" t="str">
        <f aca="false">IF(E27=K27,"5000m",IF(G27=K27,"3000mSC","1500m"))</f>
        <v>3000mSC</v>
      </c>
      <c r="M27" s="14" t="n">
        <f aca="false">(D27&lt;&gt;"")*(D27&lt;=($E$3*60+$F$3)/86400)+(F27&lt;&gt;"")*(F27&lt;=($I$3*60+$J$3)/86400)+(H27&lt;&gt;"")*(H27&lt;=($M$3*60+$N$3)/86400)</f>
        <v>1</v>
      </c>
      <c r="N27" s="16"/>
      <c r="O27" s="15"/>
    </row>
    <row r="28" customFormat="false" ht="15" hidden="false" customHeight="false" outlineLevel="0" collapsed="false">
      <c r="A28" s="9" t="n">
        <v>22</v>
      </c>
      <c r="B28" s="10" t="s">
        <v>63</v>
      </c>
      <c r="C28" s="10" t="s">
        <v>64</v>
      </c>
      <c r="D28" s="11" t="n">
        <v>0.0100194444444444</v>
      </c>
      <c r="E28" s="12" t="n">
        <v>25</v>
      </c>
      <c r="F28" s="11"/>
      <c r="G28" s="12"/>
      <c r="H28" s="11" t="n">
        <v>0.00267650462962963</v>
      </c>
      <c r="I28" s="12" t="n">
        <v>9</v>
      </c>
      <c r="J28" s="12" t="n">
        <f aca="false">COUNT(E28,G28,I28)</f>
        <v>2</v>
      </c>
      <c r="K28" s="13" t="n">
        <f aca="false">MIN(E28,G28,I28)</f>
        <v>9</v>
      </c>
      <c r="L28" s="9" t="str">
        <f aca="false">IF(E28=K28,"5000m",IF(G28=K28,"3000mSC","1500m"))</f>
        <v>1500m</v>
      </c>
      <c r="M28" s="14" t="n">
        <f aca="false">(D28&lt;&gt;"")*(D28&lt;=($E$3*60+$F$3)/86400)+(F28&lt;&gt;"")*(F28&lt;=($I$3*60+$J$3)/86400)+(H28&lt;&gt;"")*(H28&lt;=($M$3*60+$N$3)/86400)</f>
        <v>2</v>
      </c>
      <c r="N28" s="16"/>
      <c r="O28" s="15"/>
    </row>
    <row r="29" customFormat="false" ht="15" hidden="false" customHeight="false" outlineLevel="0" collapsed="false">
      <c r="A29" s="9" t="n">
        <v>23</v>
      </c>
      <c r="B29" s="10" t="s">
        <v>65</v>
      </c>
      <c r="C29" s="10" t="s">
        <v>36</v>
      </c>
      <c r="D29" s="11" t="n">
        <v>0.00981481481481481</v>
      </c>
      <c r="E29" s="12" t="n">
        <v>9</v>
      </c>
      <c r="F29" s="11"/>
      <c r="G29" s="12"/>
      <c r="H29" s="11" t="n">
        <v>0.00277962962962963</v>
      </c>
      <c r="I29" s="12" t="n">
        <v>200</v>
      </c>
      <c r="J29" s="12" t="n">
        <f aca="false">COUNT(E29,G29,I29)</f>
        <v>2</v>
      </c>
      <c r="K29" s="13" t="n">
        <f aca="false">MIN(E29,G29,I29)</f>
        <v>9</v>
      </c>
      <c r="L29" s="9" t="str">
        <f aca="false">IF(E29=K29,"5000m",IF(G29=K29,"3000mSC","1500m"))</f>
        <v>5000m</v>
      </c>
      <c r="M29" s="14" t="n">
        <f aca="false">(D29&lt;&gt;"")*(D29&lt;=($E$3*60+$F$3)/86400)+(F29&lt;&gt;"")*(F29&lt;=($I$3*60+$J$3)/86400)+(H29&lt;&gt;"")*(H29&lt;=($M$3*60+$N$3)/86400)</f>
        <v>1</v>
      </c>
      <c r="N29" s="16"/>
      <c r="O29" s="15"/>
    </row>
    <row r="30" customFormat="false" ht="25.35" hidden="false" customHeight="false" outlineLevel="0" collapsed="false">
      <c r="A30" s="9" t="n">
        <v>24</v>
      </c>
      <c r="B30" s="10" t="s">
        <v>66</v>
      </c>
      <c r="C30" s="10" t="s">
        <v>23</v>
      </c>
      <c r="D30" s="11" t="n">
        <v>0.0101787037037037</v>
      </c>
      <c r="E30" s="12" t="n">
        <v>84</v>
      </c>
      <c r="F30" s="11" t="n">
        <v>0.00635891203703704</v>
      </c>
      <c r="G30" s="12" t="n">
        <v>10</v>
      </c>
      <c r="H30" s="11"/>
      <c r="I30" s="12"/>
      <c r="J30" s="12" t="n">
        <f aca="false">COUNT(E30,G30,I30)</f>
        <v>2</v>
      </c>
      <c r="K30" s="13" t="n">
        <f aca="false">MIN(E30,G30,I30)</f>
        <v>10</v>
      </c>
      <c r="L30" s="9" t="str">
        <f aca="false">IF(E30=K30,"5000m",IF(G30=K30,"3000mSC","1500m"))</f>
        <v>3000mSC</v>
      </c>
      <c r="M30" s="14" t="n">
        <f aca="false">(D30&lt;&gt;"")*(D30&lt;=($E$3*60+$F$3)/86400)+(F30&lt;&gt;"")*(F30&lt;=($I$3*60+$J$3)/86400)+(H30&lt;&gt;"")*(H30&lt;=($M$3*60+$N$3)/86400)</f>
        <v>1</v>
      </c>
      <c r="N30" s="16"/>
      <c r="O30" s="15"/>
    </row>
    <row r="31" customFormat="false" ht="15" hidden="false" customHeight="false" outlineLevel="0" collapsed="false">
      <c r="A31" s="9" t="n">
        <v>25</v>
      </c>
      <c r="B31" s="10" t="s">
        <v>67</v>
      </c>
      <c r="C31" s="10" t="s">
        <v>29</v>
      </c>
      <c r="D31" s="11" t="n">
        <v>0.00986527777777778</v>
      </c>
      <c r="E31" s="12" t="n">
        <v>10</v>
      </c>
      <c r="F31" s="11"/>
      <c r="G31" s="12"/>
      <c r="H31" s="11" t="n">
        <v>0.00282071759259259</v>
      </c>
      <c r="I31" s="12" t="n">
        <v>367</v>
      </c>
      <c r="J31" s="12" t="n">
        <f aca="false">COUNT(E31,G31,I31)</f>
        <v>2</v>
      </c>
      <c r="K31" s="13" t="n">
        <f aca="false">MIN(E31,G31,I31)</f>
        <v>10</v>
      </c>
      <c r="L31" s="9" t="str">
        <f aca="false">IF(E31=K31,"5000m",IF(G31=K31,"3000mSC","1500m"))</f>
        <v>5000m</v>
      </c>
      <c r="M31" s="14" t="n">
        <f aca="false">(D31&lt;&gt;"")*(D31&lt;=($E$3*60+$F$3)/86400)+(F31&lt;&gt;"")*(F31&lt;=($I$3*60+$J$3)/86400)+(H31&lt;&gt;"")*(H31&lt;=($M$3*60+$N$3)/86400)</f>
        <v>1</v>
      </c>
      <c r="N31" s="16"/>
      <c r="O31" s="15"/>
    </row>
    <row r="32" customFormat="false" ht="15" hidden="false" customHeight="false" outlineLevel="0" collapsed="false">
      <c r="A32" s="9" t="n">
        <v>26</v>
      </c>
      <c r="B32" s="10" t="s">
        <v>68</v>
      </c>
      <c r="C32" s="10" t="s">
        <v>69</v>
      </c>
      <c r="D32" s="11" t="n">
        <v>0.0107309027777778</v>
      </c>
      <c r="E32" s="12" t="n">
        <v>633</v>
      </c>
      <c r="F32" s="11"/>
      <c r="G32" s="12"/>
      <c r="H32" s="11" t="n">
        <v>0.00267708333333333</v>
      </c>
      <c r="I32" s="12" t="n">
        <v>10</v>
      </c>
      <c r="J32" s="12" t="n">
        <f aca="false">COUNT(E32,G32,I32)</f>
        <v>2</v>
      </c>
      <c r="K32" s="13" t="n">
        <f aca="false">MIN(E32,G32,I32)</f>
        <v>10</v>
      </c>
      <c r="L32" s="9" t="str">
        <f aca="false">IF(E32=K32,"5000m",IF(G32=K32,"3000mSC","1500m"))</f>
        <v>1500m</v>
      </c>
      <c r="M32" s="14" t="n">
        <f aca="false">(D32&lt;&gt;"")*(D32&lt;=($E$3*60+$F$3)/86400)+(F32&lt;&gt;"")*(F32&lt;=($I$3*60+$J$3)/86400)+(H32&lt;&gt;"")*(H32&lt;=($M$3*60+$N$3)/86400)</f>
        <v>1</v>
      </c>
      <c r="N32" s="16"/>
      <c r="O32" s="15"/>
    </row>
    <row r="33" customFormat="false" ht="25.35" hidden="false" customHeight="false" outlineLevel="0" collapsed="false">
      <c r="A33" s="9" t="n">
        <v>27</v>
      </c>
      <c r="B33" s="10" t="s">
        <v>70</v>
      </c>
      <c r="C33" s="10" t="s">
        <v>29</v>
      </c>
      <c r="D33" s="11" t="n">
        <v>0.0100170138888889</v>
      </c>
      <c r="E33" s="12" t="n">
        <v>24</v>
      </c>
      <c r="F33" s="11" t="n">
        <v>0.00636747685185185</v>
      </c>
      <c r="G33" s="12" t="n">
        <v>11</v>
      </c>
      <c r="H33" s="11" t="n">
        <v>0.00280856481481482</v>
      </c>
      <c r="I33" s="12" t="n">
        <v>320</v>
      </c>
      <c r="J33" s="12" t="n">
        <f aca="false">COUNT(E33,G33,I33)</f>
        <v>3</v>
      </c>
      <c r="K33" s="13" t="n">
        <f aca="false">MIN(E33,G33,I33)</f>
        <v>11</v>
      </c>
      <c r="L33" s="9" t="str">
        <f aca="false">IF(E33=K33,"5000m",IF(G33=K33,"3000mSC","1500m"))</f>
        <v>3000mSC</v>
      </c>
      <c r="M33" s="14" t="n">
        <f aca="false">(D33&lt;&gt;"")*(D33&lt;=($E$3*60+$F$3)/86400)+(F33&lt;&gt;"")*(F33&lt;=($I$3*60+$J$3)/86400)+(H33&lt;&gt;"")*(H33&lt;=($M$3*60+$N$3)/86400)</f>
        <v>2</v>
      </c>
      <c r="N33" s="16"/>
      <c r="O33" s="15"/>
    </row>
    <row r="34" customFormat="false" ht="15" hidden="false" customHeight="false" outlineLevel="0" collapsed="false">
      <c r="A34" s="9" t="n">
        <v>28</v>
      </c>
      <c r="B34" s="10" t="s">
        <v>71</v>
      </c>
      <c r="C34" s="10" t="s">
        <v>72</v>
      </c>
      <c r="D34" s="11" t="n">
        <v>0.0102041666666667</v>
      </c>
      <c r="E34" s="12" t="n">
        <v>98</v>
      </c>
      <c r="F34" s="11"/>
      <c r="G34" s="12"/>
      <c r="H34" s="11" t="n">
        <v>0.00267743055555556</v>
      </c>
      <c r="I34" s="12" t="n">
        <v>11</v>
      </c>
      <c r="J34" s="12" t="n">
        <f aca="false">COUNT(E34,G34,I34)</f>
        <v>2</v>
      </c>
      <c r="K34" s="13" t="n">
        <f aca="false">MIN(E34,G34,I34)</f>
        <v>11</v>
      </c>
      <c r="L34" s="9" t="str">
        <f aca="false">IF(E34=K34,"5000m",IF(G34=K34,"3000mSC","1500m"))</f>
        <v>1500m</v>
      </c>
      <c r="M34" s="14" t="n">
        <f aca="false">(D34&lt;&gt;"")*(D34&lt;=($E$3*60+$F$3)/86400)+(F34&lt;&gt;"")*(F34&lt;=($I$3*60+$J$3)/86400)+(H34&lt;&gt;"")*(H34&lt;=($M$3*60+$N$3)/86400)</f>
        <v>1</v>
      </c>
      <c r="N34" s="16"/>
      <c r="O34" s="15"/>
    </row>
    <row r="35" customFormat="false" ht="15" hidden="false" customHeight="false" outlineLevel="0" collapsed="false">
      <c r="A35" s="9" t="n">
        <v>29</v>
      </c>
      <c r="B35" s="10" t="s">
        <v>73</v>
      </c>
      <c r="C35" s="10" t="s">
        <v>29</v>
      </c>
      <c r="D35" s="11" t="n">
        <v>0.00987071759259259</v>
      </c>
      <c r="E35" s="12" t="n">
        <v>11</v>
      </c>
      <c r="F35" s="11"/>
      <c r="G35" s="12"/>
      <c r="H35" s="11" t="n">
        <v>0.00275902777777778</v>
      </c>
      <c r="I35" s="12" t="n">
        <v>132</v>
      </c>
      <c r="J35" s="12" t="n">
        <f aca="false">COUNT(E35,G35,I35)</f>
        <v>2</v>
      </c>
      <c r="K35" s="13" t="n">
        <f aca="false">MIN(E35,G35,I35)</f>
        <v>11</v>
      </c>
      <c r="L35" s="9" t="str">
        <f aca="false">IF(E35=K35,"5000m",IF(G35=K35,"3000mSC","1500m"))</f>
        <v>5000m</v>
      </c>
      <c r="M35" s="14" t="n">
        <f aca="false">(D35&lt;&gt;"")*(D35&lt;=($E$3*60+$F$3)/86400)+(F35&lt;&gt;"")*(F35&lt;=($I$3*60+$J$3)/86400)+(H35&lt;&gt;"")*(H35&lt;=($M$3*60+$N$3)/86400)</f>
        <v>1</v>
      </c>
      <c r="N35" s="16"/>
      <c r="O35" s="15"/>
    </row>
    <row r="36" customFormat="false" ht="25.35" hidden="false" customHeight="false" outlineLevel="0" collapsed="false">
      <c r="A36" s="9" t="n">
        <v>30</v>
      </c>
      <c r="B36" s="10" t="s">
        <v>74</v>
      </c>
      <c r="C36" s="10" t="s">
        <v>55</v>
      </c>
      <c r="D36" s="11" t="n">
        <v>0.0102784722222222</v>
      </c>
      <c r="E36" s="12" t="n">
        <v>147</v>
      </c>
      <c r="F36" s="11" t="n">
        <v>0.00638402777777778</v>
      </c>
      <c r="G36" s="12" t="n">
        <v>12</v>
      </c>
      <c r="H36" s="11" t="n">
        <v>0.0027630787037037</v>
      </c>
      <c r="I36" s="12" t="n">
        <v>142</v>
      </c>
      <c r="J36" s="12" t="n">
        <f aca="false">COUNT(E36,G36,I36)</f>
        <v>3</v>
      </c>
      <c r="K36" s="13" t="n">
        <f aca="false">MIN(E36,G36,I36)</f>
        <v>12</v>
      </c>
      <c r="L36" s="9" t="str">
        <f aca="false">IF(E36=K36,"5000m",IF(G36=K36,"3000mSC","1500m"))</f>
        <v>3000mSC</v>
      </c>
      <c r="M36" s="14" t="n">
        <f aca="false">(D36&lt;&gt;"")*(D36&lt;=($E$3*60+$F$3)/86400)+(F36&lt;&gt;"")*(F36&lt;=($I$3*60+$J$3)/86400)+(H36&lt;&gt;"")*(H36&lt;=($M$3*60+$N$3)/86400)</f>
        <v>1</v>
      </c>
      <c r="N36" s="16"/>
      <c r="O36" s="15"/>
    </row>
    <row r="37" customFormat="false" ht="15" hidden="false" customHeight="false" outlineLevel="0" collapsed="false">
      <c r="A37" s="9" t="n">
        <v>31</v>
      </c>
      <c r="B37" s="10" t="s">
        <v>75</v>
      </c>
      <c r="C37" s="10" t="s">
        <v>76</v>
      </c>
      <c r="D37" s="11" t="n">
        <v>0.0103765046296296</v>
      </c>
      <c r="E37" s="12" t="n">
        <v>236</v>
      </c>
      <c r="F37" s="11"/>
      <c r="G37" s="12"/>
      <c r="H37" s="11" t="n">
        <v>0.00267881944444444</v>
      </c>
      <c r="I37" s="12" t="n">
        <v>12</v>
      </c>
      <c r="J37" s="12" t="n">
        <f aca="false">COUNT(E37,G37,I37)</f>
        <v>2</v>
      </c>
      <c r="K37" s="13" t="n">
        <f aca="false">MIN(E37,G37,I37)</f>
        <v>12</v>
      </c>
      <c r="L37" s="9" t="str">
        <f aca="false">IF(E37=K37,"5000m",IF(G37=K37,"3000mSC","1500m"))</f>
        <v>1500m</v>
      </c>
      <c r="M37" s="14" t="n">
        <f aca="false">(D37&lt;&gt;"")*(D37&lt;=($E$3*60+$F$3)/86400)+(F37&lt;&gt;"")*(F37&lt;=($I$3*60+$J$3)/86400)+(H37&lt;&gt;"")*(H37&lt;=($M$3*60+$N$3)/86400)</f>
        <v>1</v>
      </c>
      <c r="N37" s="10" t="s">
        <v>77</v>
      </c>
      <c r="O37" s="15"/>
    </row>
    <row r="38" customFormat="false" ht="25.35" hidden="false" customHeight="false" outlineLevel="0" collapsed="false">
      <c r="A38" s="9" t="n">
        <v>32</v>
      </c>
      <c r="B38" s="10" t="s">
        <v>78</v>
      </c>
      <c r="C38" s="10" t="s">
        <v>79</v>
      </c>
      <c r="D38" s="11" t="n">
        <v>0.0107954861111111</v>
      </c>
      <c r="E38" s="12" t="n">
        <v>735</v>
      </c>
      <c r="F38" s="11" t="n">
        <v>0.00638576388888889</v>
      </c>
      <c r="G38" s="12" t="n">
        <v>13</v>
      </c>
      <c r="H38" s="11" t="n">
        <v>0.00290115740740741</v>
      </c>
      <c r="I38" s="12" t="n">
        <v>956</v>
      </c>
      <c r="J38" s="12" t="n">
        <f aca="false">COUNT(E38,G38,I38)</f>
        <v>3</v>
      </c>
      <c r="K38" s="13" t="n">
        <f aca="false">MIN(E38,G38,I38)</f>
        <v>13</v>
      </c>
      <c r="L38" s="9" t="str">
        <f aca="false">IF(E38=K38,"5000m",IF(G38=K38,"3000mSC","1500m"))</f>
        <v>3000mSC</v>
      </c>
      <c r="M38" s="14" t="n">
        <f aca="false">(D38&lt;&gt;"")*(D38&lt;=($E$3*60+$F$3)/86400)+(F38&lt;&gt;"")*(F38&lt;=($I$3*60+$J$3)/86400)+(H38&lt;&gt;"")*(H38&lt;=($M$3*60+$N$3)/86400)</f>
        <v>1</v>
      </c>
      <c r="N38" s="16"/>
      <c r="O38" s="15"/>
    </row>
    <row r="39" customFormat="false" ht="25.35" hidden="false" customHeight="false" outlineLevel="0" collapsed="false">
      <c r="A39" s="9" t="n">
        <v>33</v>
      </c>
      <c r="B39" s="10" t="s">
        <v>80</v>
      </c>
      <c r="C39" s="10" t="s">
        <v>81</v>
      </c>
      <c r="D39" s="11" t="n">
        <v>0.0105398148148148</v>
      </c>
      <c r="E39" s="12" t="n">
        <v>385</v>
      </c>
      <c r="F39" s="11" t="n">
        <v>0.00639525462962963</v>
      </c>
      <c r="G39" s="12" t="n">
        <v>14</v>
      </c>
      <c r="H39" s="11" t="n">
        <v>0.00272905092592593</v>
      </c>
      <c r="I39" s="12" t="n">
        <v>63</v>
      </c>
      <c r="J39" s="12" t="n">
        <f aca="false">COUNT(E39,G39,I39)</f>
        <v>3</v>
      </c>
      <c r="K39" s="13" t="n">
        <f aca="false">MIN(E39,G39,I39)</f>
        <v>14</v>
      </c>
      <c r="L39" s="9" t="str">
        <f aca="false">IF(E39=K39,"5000m",IF(G39=K39,"3000mSC","1500m"))</f>
        <v>3000mSC</v>
      </c>
      <c r="M39" s="14" t="n">
        <f aca="false">(D39&lt;&gt;"")*(D39&lt;=($E$3*60+$F$3)/86400)+(F39&lt;&gt;"")*(F39&lt;=($I$3*60+$J$3)/86400)+(H39&lt;&gt;"")*(H39&lt;=($M$3*60+$N$3)/86400)</f>
        <v>1</v>
      </c>
      <c r="N39" s="16"/>
      <c r="O39" s="15"/>
    </row>
    <row r="40" customFormat="false" ht="15" hidden="false" customHeight="false" outlineLevel="0" collapsed="false">
      <c r="A40" s="9" t="n">
        <v>34</v>
      </c>
      <c r="B40" s="10" t="s">
        <v>82</v>
      </c>
      <c r="C40" s="10" t="s">
        <v>83</v>
      </c>
      <c r="D40" s="11" t="n">
        <v>0.00990069444444445</v>
      </c>
      <c r="E40" s="12" t="n">
        <v>14</v>
      </c>
      <c r="F40" s="11"/>
      <c r="G40" s="12"/>
      <c r="H40" s="11" t="n">
        <v>0.00268946759259259</v>
      </c>
      <c r="I40" s="12" t="n">
        <v>18</v>
      </c>
      <c r="J40" s="12" t="n">
        <f aca="false">COUNT(E40,G40,I40)</f>
        <v>2</v>
      </c>
      <c r="K40" s="13" t="n">
        <f aca="false">MIN(E40,G40,I40)</f>
        <v>14</v>
      </c>
      <c r="L40" s="9" t="str">
        <f aca="false">IF(E40=K40,"5000m",IF(G40=K40,"3000mSC","1500m"))</f>
        <v>5000m</v>
      </c>
      <c r="M40" s="14" t="n">
        <f aca="false">(D40&lt;&gt;"")*(D40&lt;=($E$3*60+$F$3)/86400)+(F40&lt;&gt;"")*(F40&lt;=($I$3*60+$J$3)/86400)+(H40&lt;&gt;"")*(H40&lt;=($M$3*60+$N$3)/86400)</f>
        <v>2</v>
      </c>
      <c r="N40" s="16"/>
      <c r="O40" s="15"/>
    </row>
    <row r="41" customFormat="false" ht="15" hidden="false" customHeight="false" outlineLevel="0" collapsed="false">
      <c r="A41" s="9" t="n">
        <v>35</v>
      </c>
      <c r="B41" s="10" t="s">
        <v>84</v>
      </c>
      <c r="C41" s="10" t="s">
        <v>85</v>
      </c>
      <c r="D41" s="11" t="n">
        <v>0.0102939814814815</v>
      </c>
      <c r="E41" s="12" t="n">
        <v>157</v>
      </c>
      <c r="F41" s="11"/>
      <c r="G41" s="12"/>
      <c r="H41" s="11" t="n">
        <v>0.00268113425925926</v>
      </c>
      <c r="I41" s="12" t="n">
        <v>14</v>
      </c>
      <c r="J41" s="12" t="n">
        <f aca="false">COUNT(E41,G41,I41)</f>
        <v>2</v>
      </c>
      <c r="K41" s="13" t="n">
        <f aca="false">MIN(E41,G41,I41)</f>
        <v>14</v>
      </c>
      <c r="L41" s="9" t="str">
        <f aca="false">IF(E41=K41,"5000m",IF(G41=K41,"3000mSC","1500m"))</f>
        <v>1500m</v>
      </c>
      <c r="M41" s="14" t="n">
        <f aca="false">(D41&lt;&gt;"")*(D41&lt;=($E$3*60+$F$3)/86400)+(F41&lt;&gt;"")*(F41&lt;=($I$3*60+$J$3)/86400)+(H41&lt;&gt;"")*(H41&lt;=($M$3*60+$N$3)/86400)</f>
        <v>1</v>
      </c>
      <c r="N41" s="16"/>
      <c r="O41" s="15"/>
    </row>
    <row r="42" customFormat="false" ht="15" hidden="false" customHeight="false" outlineLevel="0" collapsed="false">
      <c r="A42" s="9" t="n">
        <v>36</v>
      </c>
      <c r="B42" s="10" t="s">
        <v>86</v>
      </c>
      <c r="C42" s="10" t="s">
        <v>87</v>
      </c>
      <c r="D42" s="11" t="n">
        <v>0.0101737268518519</v>
      </c>
      <c r="E42" s="12" t="n">
        <v>82</v>
      </c>
      <c r="F42" s="11"/>
      <c r="G42" s="12"/>
      <c r="H42" s="11" t="n">
        <v>0.00268391203703704</v>
      </c>
      <c r="I42" s="12" t="n">
        <v>15</v>
      </c>
      <c r="J42" s="12" t="n">
        <f aca="false">COUNT(E42,G42,I42)</f>
        <v>2</v>
      </c>
      <c r="K42" s="13" t="n">
        <f aca="false">MIN(E42,G42,I42)</f>
        <v>15</v>
      </c>
      <c r="L42" s="9" t="str">
        <f aca="false">IF(E42=K42,"5000m",IF(G42=K42,"3000mSC","1500m"))</f>
        <v>1500m</v>
      </c>
      <c r="M42" s="14" t="n">
        <f aca="false">(D42&lt;&gt;"")*(D42&lt;=($E$3*60+$F$3)/86400)+(F42&lt;&gt;"")*(F42&lt;=($I$3*60+$J$3)/86400)+(H42&lt;&gt;"")*(H42&lt;=($M$3*60+$N$3)/86400)</f>
        <v>1</v>
      </c>
      <c r="N42" s="16"/>
      <c r="O42" s="15"/>
    </row>
    <row r="43" customFormat="false" ht="25.35" hidden="false" customHeight="false" outlineLevel="0" collapsed="false">
      <c r="A43" s="9" t="n">
        <v>37</v>
      </c>
      <c r="B43" s="10" t="s">
        <v>88</v>
      </c>
      <c r="C43" s="10" t="s">
        <v>49</v>
      </c>
      <c r="D43" s="11" t="n">
        <v>0.0104841435185185</v>
      </c>
      <c r="E43" s="12" t="n">
        <v>326</v>
      </c>
      <c r="F43" s="11" t="n">
        <v>0.00640497685185185</v>
      </c>
      <c r="G43" s="12" t="n">
        <v>15</v>
      </c>
      <c r="H43" s="11"/>
      <c r="I43" s="12"/>
      <c r="J43" s="12" t="n">
        <f aca="false">COUNT(E43,G43,I43)</f>
        <v>2</v>
      </c>
      <c r="K43" s="13" t="n">
        <f aca="false">MIN(E43,G43,I43)</f>
        <v>15</v>
      </c>
      <c r="L43" s="9" t="str">
        <f aca="false">IF(E43=K43,"5000m",IF(G43=K43,"3000mSC","1500m"))</f>
        <v>3000mSC</v>
      </c>
      <c r="M43" s="14" t="n">
        <f aca="false">(D43&lt;&gt;"")*(D43&lt;=($E$3*60+$F$3)/86400)+(F43&lt;&gt;"")*(F43&lt;=($I$3*60+$J$3)/86400)+(H43&lt;&gt;"")*(H43&lt;=($M$3*60+$N$3)/86400)</f>
        <v>1</v>
      </c>
      <c r="N43" s="16"/>
      <c r="O43" s="15"/>
    </row>
    <row r="44" customFormat="false" ht="15" hidden="false" customHeight="false" outlineLevel="0" collapsed="false">
      <c r="A44" s="9" t="n">
        <v>38</v>
      </c>
      <c r="B44" s="10" t="s">
        <v>89</v>
      </c>
      <c r="C44" s="10" t="s">
        <v>55</v>
      </c>
      <c r="D44" s="11" t="n">
        <v>0.00990787037037037</v>
      </c>
      <c r="E44" s="12" t="n">
        <v>15</v>
      </c>
      <c r="F44" s="11"/>
      <c r="G44" s="12"/>
      <c r="H44" s="11" t="n">
        <v>0.00283935185185185</v>
      </c>
      <c r="I44" s="12" t="n">
        <v>491</v>
      </c>
      <c r="J44" s="12" t="n">
        <f aca="false">COUNT(E44,G44,I44)</f>
        <v>2</v>
      </c>
      <c r="K44" s="13" t="n">
        <f aca="false">MIN(E44,G44,I44)</f>
        <v>15</v>
      </c>
      <c r="L44" s="9" t="str">
        <f aca="false">IF(E44=K44,"5000m",IF(G44=K44,"3000mSC","1500m"))</f>
        <v>5000m</v>
      </c>
      <c r="M44" s="14" t="n">
        <f aca="false">(D44&lt;&gt;"")*(D44&lt;=($E$3*60+$F$3)/86400)+(F44&lt;&gt;"")*(F44&lt;=($I$3*60+$J$3)/86400)+(H44&lt;&gt;"")*(H44&lt;=($M$3*60+$N$3)/86400)</f>
        <v>1</v>
      </c>
      <c r="N44" s="16"/>
      <c r="O44" s="15"/>
    </row>
    <row r="45" customFormat="false" ht="25.35" hidden="false" customHeight="false" outlineLevel="0" collapsed="false">
      <c r="A45" s="9" t="n">
        <v>39</v>
      </c>
      <c r="B45" s="10" t="s">
        <v>90</v>
      </c>
      <c r="C45" s="10" t="s">
        <v>91</v>
      </c>
      <c r="D45" s="11" t="n">
        <v>0.0106957175925926</v>
      </c>
      <c r="E45" s="12" t="n">
        <v>573</v>
      </c>
      <c r="F45" s="11" t="n">
        <v>0.0064099537037037</v>
      </c>
      <c r="G45" s="12" t="n">
        <v>16</v>
      </c>
      <c r="H45" s="11" t="n">
        <v>0.00277777777777778</v>
      </c>
      <c r="I45" s="12" t="n">
        <v>189</v>
      </c>
      <c r="J45" s="12" t="n">
        <f aca="false">COUNT(E45,G45,I45)</f>
        <v>3</v>
      </c>
      <c r="K45" s="13" t="n">
        <f aca="false">MIN(E45,G45,I45)</f>
        <v>16</v>
      </c>
      <c r="L45" s="9" t="str">
        <f aca="false">IF(E45=K45,"5000m",IF(G45=K45,"3000mSC","1500m"))</f>
        <v>3000mSC</v>
      </c>
      <c r="M45" s="14" t="n">
        <f aca="false">(D45&lt;&gt;"")*(D45&lt;=($E$3*60+$F$3)/86400)+(F45&lt;&gt;"")*(F45&lt;=($I$3*60+$J$3)/86400)+(H45&lt;&gt;"")*(H45&lt;=($M$3*60+$N$3)/86400)</f>
        <v>1</v>
      </c>
      <c r="N45" s="16"/>
      <c r="O45" s="15"/>
    </row>
    <row r="46" customFormat="false" ht="15" hidden="false" customHeight="false" outlineLevel="0" collapsed="false">
      <c r="A46" s="9" t="n">
        <v>40</v>
      </c>
      <c r="B46" s="10" t="s">
        <v>92</v>
      </c>
      <c r="C46" s="10" t="s">
        <v>93</v>
      </c>
      <c r="D46" s="11" t="n">
        <v>0.00992893518518519</v>
      </c>
      <c r="E46" s="12" t="n">
        <v>16</v>
      </c>
      <c r="F46" s="11"/>
      <c r="G46" s="12"/>
      <c r="H46" s="11" t="n">
        <v>0.00270949074074074</v>
      </c>
      <c r="I46" s="12" t="n">
        <v>34</v>
      </c>
      <c r="J46" s="12" t="n">
        <f aca="false">COUNT(E46,G46,I46)</f>
        <v>2</v>
      </c>
      <c r="K46" s="13" t="n">
        <f aca="false">MIN(E46,G46,I46)</f>
        <v>16</v>
      </c>
      <c r="L46" s="9" t="str">
        <f aca="false">IF(E46=K46,"5000m",IF(G46=K46,"3000mSC","1500m"))</f>
        <v>5000m</v>
      </c>
      <c r="M46" s="14" t="n">
        <f aca="false">(D46&lt;&gt;"")*(D46&lt;=($E$3*60+$F$3)/86400)+(F46&lt;&gt;"")*(F46&lt;=($I$3*60+$J$3)/86400)+(H46&lt;&gt;"")*(H46&lt;=($M$3*60+$N$3)/86400)</f>
        <v>2</v>
      </c>
      <c r="N46" s="16"/>
      <c r="O46" s="15"/>
    </row>
    <row r="47" customFormat="false" ht="15" hidden="false" customHeight="false" outlineLevel="0" collapsed="false">
      <c r="A47" s="9" t="n">
        <v>41</v>
      </c>
      <c r="B47" s="10" t="s">
        <v>94</v>
      </c>
      <c r="C47" s="10" t="s">
        <v>95</v>
      </c>
      <c r="D47" s="11" t="n">
        <v>0.0101146990740741</v>
      </c>
      <c r="E47" s="12" t="n">
        <v>58</v>
      </c>
      <c r="F47" s="11"/>
      <c r="G47" s="12"/>
      <c r="H47" s="11" t="n">
        <v>0.00268472222222222</v>
      </c>
      <c r="I47" s="12" t="n">
        <v>16</v>
      </c>
      <c r="J47" s="12" t="n">
        <f aca="false">COUNT(E47,G47,I47)</f>
        <v>2</v>
      </c>
      <c r="K47" s="13" t="n">
        <f aca="false">MIN(E47,G47,I47)</f>
        <v>16</v>
      </c>
      <c r="L47" s="9" t="str">
        <f aca="false">IF(E47=K47,"5000m",IF(G47=K47,"3000mSC","1500m"))</f>
        <v>1500m</v>
      </c>
      <c r="M47" s="14" t="n">
        <f aca="false">(D47&lt;&gt;"")*(D47&lt;=($E$3*60+$F$3)/86400)+(F47&lt;&gt;"")*(F47&lt;=($I$3*60+$J$3)/86400)+(H47&lt;&gt;"")*(H47&lt;=($M$3*60+$N$3)/86400)</f>
        <v>1</v>
      </c>
      <c r="N47" s="16"/>
      <c r="O47" s="15"/>
    </row>
    <row r="48" customFormat="false" ht="25.35" hidden="false" customHeight="false" outlineLevel="0" collapsed="false">
      <c r="A48" s="9" t="n">
        <v>42</v>
      </c>
      <c r="B48" s="10" t="s">
        <v>96</v>
      </c>
      <c r="C48" s="10" t="s">
        <v>97</v>
      </c>
      <c r="D48" s="11" t="n">
        <v>0.0108052083333333</v>
      </c>
      <c r="E48" s="12" t="n">
        <v>751</v>
      </c>
      <c r="F48" s="11" t="n">
        <v>0.00641087962962963</v>
      </c>
      <c r="G48" s="12" t="n">
        <v>17</v>
      </c>
      <c r="H48" s="11" t="n">
        <v>0.00279456018518519</v>
      </c>
      <c r="I48" s="12" t="n">
        <v>257</v>
      </c>
      <c r="J48" s="12" t="n">
        <f aca="false">COUNT(E48,G48,I48)</f>
        <v>3</v>
      </c>
      <c r="K48" s="13" t="n">
        <f aca="false">MIN(E48,G48,I48)</f>
        <v>17</v>
      </c>
      <c r="L48" s="9" t="str">
        <f aca="false">IF(E48=K48,"5000m",IF(G48=K48,"3000mSC","1500m"))</f>
        <v>3000mSC</v>
      </c>
      <c r="M48" s="14" t="n">
        <f aca="false">(D48&lt;&gt;"")*(D48&lt;=($E$3*60+$F$3)/86400)+(F48&lt;&gt;"")*(F48&lt;=($I$3*60+$J$3)/86400)+(H48&lt;&gt;"")*(H48&lt;=($M$3*60+$N$3)/86400)</f>
        <v>1</v>
      </c>
      <c r="N48" s="16"/>
      <c r="O48" s="15"/>
    </row>
    <row r="49" customFormat="false" ht="15" hidden="false" customHeight="false" outlineLevel="0" collapsed="false">
      <c r="A49" s="9" t="n">
        <v>43</v>
      </c>
      <c r="B49" s="10" t="s">
        <v>98</v>
      </c>
      <c r="C49" s="10" t="s">
        <v>64</v>
      </c>
      <c r="D49" s="11" t="n">
        <v>0.0103006944444444</v>
      </c>
      <c r="E49" s="12" t="n">
        <v>162</v>
      </c>
      <c r="F49" s="11"/>
      <c r="G49" s="12"/>
      <c r="H49" s="11" t="n">
        <v>0.00268900462962963</v>
      </c>
      <c r="I49" s="12" t="n">
        <v>17</v>
      </c>
      <c r="J49" s="12" t="n">
        <f aca="false">COUNT(E49,G49,I49)</f>
        <v>2</v>
      </c>
      <c r="K49" s="13" t="n">
        <f aca="false">MIN(E49,G49,I49)</f>
        <v>17</v>
      </c>
      <c r="L49" s="9" t="str">
        <f aca="false">IF(E49=K49,"5000m",IF(G49=K49,"3000mSC","1500m"))</f>
        <v>1500m</v>
      </c>
      <c r="M49" s="14" t="n">
        <f aca="false">(D49&lt;&gt;"")*(D49&lt;=($E$3*60+$F$3)/86400)+(F49&lt;&gt;"")*(F49&lt;=($I$3*60+$J$3)/86400)+(H49&lt;&gt;"")*(H49&lt;=($M$3*60+$N$3)/86400)</f>
        <v>1</v>
      </c>
      <c r="N49" s="16"/>
      <c r="O49" s="15"/>
    </row>
    <row r="50" customFormat="false" ht="15" hidden="false" customHeight="false" outlineLevel="0" collapsed="false">
      <c r="A50" s="9" t="n">
        <v>44</v>
      </c>
      <c r="B50" s="10" t="s">
        <v>99</v>
      </c>
      <c r="C50" s="10" t="s">
        <v>25</v>
      </c>
      <c r="D50" s="11" t="n">
        <v>0.00994131944444444</v>
      </c>
      <c r="E50" s="12" t="n">
        <v>17</v>
      </c>
      <c r="F50" s="11"/>
      <c r="G50" s="12"/>
      <c r="H50" s="11" t="n">
        <v>0.0028630787037037</v>
      </c>
      <c r="I50" s="12" t="n">
        <v>656</v>
      </c>
      <c r="J50" s="12" t="n">
        <f aca="false">COUNT(E50,G50,I50)</f>
        <v>2</v>
      </c>
      <c r="K50" s="13" t="n">
        <f aca="false">MIN(E50,G50,I50)</f>
        <v>17</v>
      </c>
      <c r="L50" s="9" t="str">
        <f aca="false">IF(E50=K50,"5000m",IF(G50=K50,"3000mSC","1500m"))</f>
        <v>5000m</v>
      </c>
      <c r="M50" s="14" t="n">
        <f aca="false">(D50&lt;&gt;"")*(D50&lt;=($E$3*60+$F$3)/86400)+(F50&lt;&gt;"")*(F50&lt;=($I$3*60+$J$3)/86400)+(H50&lt;&gt;"")*(H50&lt;=($M$3*60+$N$3)/86400)</f>
        <v>1</v>
      </c>
      <c r="N50" s="16"/>
      <c r="O50" s="15"/>
    </row>
    <row r="51" customFormat="false" ht="25.35" hidden="false" customHeight="false" outlineLevel="0" collapsed="false">
      <c r="A51" s="9" t="n">
        <v>45</v>
      </c>
      <c r="B51" s="10" t="s">
        <v>100</v>
      </c>
      <c r="C51" s="10" t="s">
        <v>101</v>
      </c>
      <c r="D51" s="11" t="n">
        <v>0.0105877314814815</v>
      </c>
      <c r="E51" s="12" t="n">
        <v>451</v>
      </c>
      <c r="F51" s="11" t="n">
        <v>0.00641585648148148</v>
      </c>
      <c r="G51" s="12" t="n">
        <v>18</v>
      </c>
      <c r="H51" s="11" t="n">
        <v>0.00284467592592593</v>
      </c>
      <c r="I51" s="12" t="n">
        <v>532</v>
      </c>
      <c r="J51" s="12" t="n">
        <f aca="false">COUNT(E51,G51,I51)</f>
        <v>3</v>
      </c>
      <c r="K51" s="13" t="n">
        <f aca="false">MIN(E51,G51,I51)</f>
        <v>18</v>
      </c>
      <c r="L51" s="9" t="str">
        <f aca="false">IF(E51=K51,"5000m",IF(G51=K51,"3000mSC","1500m"))</f>
        <v>3000mSC</v>
      </c>
      <c r="M51" s="14" t="n">
        <f aca="false">(D51&lt;&gt;"")*(D51&lt;=($E$3*60+$F$3)/86400)+(F51&lt;&gt;"")*(F51&lt;=($I$3*60+$J$3)/86400)+(H51&lt;&gt;"")*(H51&lt;=($M$3*60+$N$3)/86400)</f>
        <v>1</v>
      </c>
      <c r="N51" s="16"/>
      <c r="O51" s="15"/>
    </row>
    <row r="52" customFormat="false" ht="15" hidden="false" customHeight="false" outlineLevel="0" collapsed="false">
      <c r="A52" s="9" t="n">
        <v>46</v>
      </c>
      <c r="B52" s="10" t="s">
        <v>102</v>
      </c>
      <c r="C52" s="10" t="s">
        <v>103</v>
      </c>
      <c r="D52" s="11" t="n">
        <v>0.0099462962962963</v>
      </c>
      <c r="E52" s="12" t="n">
        <v>18</v>
      </c>
      <c r="F52" s="11"/>
      <c r="G52" s="12"/>
      <c r="H52" s="11" t="n">
        <v>0.00272430555555556</v>
      </c>
      <c r="I52" s="12" t="n">
        <v>55</v>
      </c>
      <c r="J52" s="12" t="n">
        <f aca="false">COUNT(E52,G52,I52)</f>
        <v>2</v>
      </c>
      <c r="K52" s="13" t="n">
        <f aca="false">MIN(E52,G52,I52)</f>
        <v>18</v>
      </c>
      <c r="L52" s="9" t="str">
        <f aca="false">IF(E52=K52,"5000m",IF(G52=K52,"3000mSC","1500m"))</f>
        <v>5000m</v>
      </c>
      <c r="M52" s="14" t="n">
        <f aca="false">(D52&lt;&gt;"")*(D52&lt;=($E$3*60+$F$3)/86400)+(F52&lt;&gt;"")*(F52&lt;=($I$3*60+$J$3)/86400)+(H52&lt;&gt;"")*(H52&lt;=($M$3*60+$N$3)/86400)</f>
        <v>1</v>
      </c>
      <c r="N52" s="16"/>
      <c r="O52" s="15"/>
    </row>
    <row r="53" customFormat="false" ht="15" hidden="false" customHeight="false" outlineLevel="0" collapsed="false">
      <c r="A53" s="9" t="n">
        <v>47</v>
      </c>
      <c r="B53" s="10" t="s">
        <v>104</v>
      </c>
      <c r="C53" s="10" t="s">
        <v>105</v>
      </c>
      <c r="D53" s="11" t="n">
        <v>0.0101371527777778</v>
      </c>
      <c r="E53" s="12" t="n">
        <v>65</v>
      </c>
      <c r="F53" s="11"/>
      <c r="G53" s="12"/>
      <c r="H53" s="11" t="n">
        <v>0.00269143518518519</v>
      </c>
      <c r="I53" s="12" t="n">
        <v>19</v>
      </c>
      <c r="J53" s="12" t="n">
        <f aca="false">COUNT(E53,G53,I53)</f>
        <v>2</v>
      </c>
      <c r="K53" s="13" t="n">
        <f aca="false">MIN(E53,G53,I53)</f>
        <v>19</v>
      </c>
      <c r="L53" s="9" t="str">
        <f aca="false">IF(E53=K53,"5000m",IF(G53=K53,"3000mSC","1500m"))</f>
        <v>1500m</v>
      </c>
      <c r="M53" s="14" t="n">
        <f aca="false">(D53&lt;&gt;"")*(D53&lt;=($E$3*60+$F$3)/86400)+(F53&lt;&gt;"")*(F53&lt;=($I$3*60+$J$3)/86400)+(H53&lt;&gt;"")*(H53&lt;=($M$3*60+$N$3)/86400)</f>
        <v>1</v>
      </c>
      <c r="N53" s="16"/>
      <c r="O53" s="15"/>
    </row>
    <row r="54" customFormat="false" ht="15" hidden="false" customHeight="false" outlineLevel="0" collapsed="false">
      <c r="A54" s="9" t="n">
        <v>48</v>
      </c>
      <c r="B54" s="10" t="s">
        <v>106</v>
      </c>
      <c r="C54" s="10" t="s">
        <v>107</v>
      </c>
      <c r="D54" s="11" t="n">
        <v>0.00997210648148148</v>
      </c>
      <c r="E54" s="12" t="n">
        <v>19</v>
      </c>
      <c r="F54" s="11"/>
      <c r="G54" s="12"/>
      <c r="H54" s="11" t="n">
        <v>0.00273252314814815</v>
      </c>
      <c r="I54" s="12" t="n">
        <v>70</v>
      </c>
      <c r="J54" s="12" t="n">
        <f aca="false">COUNT(E54,G54,I54)</f>
        <v>2</v>
      </c>
      <c r="K54" s="13" t="n">
        <f aca="false">MIN(E54,G54,I54)</f>
        <v>19</v>
      </c>
      <c r="L54" s="9" t="str">
        <f aca="false">IF(E54=K54,"5000m",IF(G54=K54,"3000mSC","1500m"))</f>
        <v>5000m</v>
      </c>
      <c r="M54" s="14" t="n">
        <f aca="false">(D54&lt;&gt;"")*(D54&lt;=($E$3*60+$F$3)/86400)+(F54&lt;&gt;"")*(F54&lt;=($I$3*60+$J$3)/86400)+(H54&lt;&gt;"")*(H54&lt;=($M$3*60+$N$3)/86400)</f>
        <v>1</v>
      </c>
      <c r="N54" s="16"/>
      <c r="O54" s="15"/>
    </row>
    <row r="55" customFormat="false" ht="15" hidden="false" customHeight="false" outlineLevel="0" collapsed="false">
      <c r="A55" s="9" t="n">
        <v>49</v>
      </c>
      <c r="B55" s="10" t="s">
        <v>108</v>
      </c>
      <c r="C55" s="10" t="s">
        <v>109</v>
      </c>
      <c r="D55" s="11" t="n">
        <v>0.00997581018518519</v>
      </c>
      <c r="E55" s="12" t="n">
        <v>20</v>
      </c>
      <c r="F55" s="11"/>
      <c r="G55" s="12"/>
      <c r="H55" s="11" t="n">
        <v>0.00273564814814815</v>
      </c>
      <c r="I55" s="12" t="n">
        <v>74</v>
      </c>
      <c r="J55" s="12" t="n">
        <f aca="false">COUNT(E55,G55,I55)</f>
        <v>2</v>
      </c>
      <c r="K55" s="13" t="n">
        <f aca="false">MIN(E55,G55,I55)</f>
        <v>20</v>
      </c>
      <c r="L55" s="9" t="str">
        <f aca="false">IF(E55=K55,"5000m",IF(G55=K55,"3000mSC","1500m"))</f>
        <v>5000m</v>
      </c>
      <c r="M55" s="14" t="n">
        <f aca="false">(D55&lt;&gt;"")*(D55&lt;=($E$3*60+$F$3)/86400)+(F55&lt;&gt;"")*(F55&lt;=($I$3*60+$J$3)/86400)+(H55&lt;&gt;"")*(H55&lt;=($M$3*60+$N$3)/86400)</f>
        <v>1</v>
      </c>
      <c r="N55" s="16"/>
      <c r="O55" s="15"/>
    </row>
    <row r="56" customFormat="false" ht="25.35" hidden="false" customHeight="false" outlineLevel="0" collapsed="false">
      <c r="A56" s="9" t="n">
        <v>50</v>
      </c>
      <c r="B56" s="10" t="s">
        <v>110</v>
      </c>
      <c r="C56" s="10" t="s">
        <v>25</v>
      </c>
      <c r="D56" s="11" t="n">
        <v>0.0105289351851852</v>
      </c>
      <c r="E56" s="12" t="n">
        <v>369</v>
      </c>
      <c r="F56" s="11" t="n">
        <v>0.00642326388888889</v>
      </c>
      <c r="G56" s="12" t="n">
        <v>20</v>
      </c>
      <c r="H56" s="11"/>
      <c r="I56" s="12"/>
      <c r="J56" s="12" t="n">
        <f aca="false">COUNT(E56,G56,I56)</f>
        <v>2</v>
      </c>
      <c r="K56" s="13" t="n">
        <f aca="false">MIN(E56,G56,I56)</f>
        <v>20</v>
      </c>
      <c r="L56" s="9" t="str">
        <f aca="false">IF(E56=K56,"5000m",IF(G56=K56,"3000mSC","1500m"))</f>
        <v>3000mSC</v>
      </c>
      <c r="M56" s="14" t="n">
        <f aca="false">(D56&lt;&gt;"")*(D56&lt;=($E$3*60+$F$3)/86400)+(F56&lt;&gt;"")*(F56&lt;=($I$3*60+$J$3)/86400)+(H56&lt;&gt;"")*(H56&lt;=($M$3*60+$N$3)/86400)</f>
        <v>1</v>
      </c>
      <c r="N56" s="16"/>
      <c r="O56" s="15"/>
    </row>
    <row r="57" customFormat="false" ht="15" hidden="false" customHeight="false" outlineLevel="0" collapsed="false">
      <c r="A57" s="9" t="n">
        <v>51</v>
      </c>
      <c r="B57" s="10" t="s">
        <v>111</v>
      </c>
      <c r="C57" s="10" t="s">
        <v>112</v>
      </c>
      <c r="D57" s="11"/>
      <c r="E57" s="12"/>
      <c r="F57" s="11"/>
      <c r="G57" s="12"/>
      <c r="H57" s="11" t="n">
        <v>0.00269189814814815</v>
      </c>
      <c r="I57" s="12" t="n">
        <v>20</v>
      </c>
      <c r="J57" s="12" t="n">
        <f aca="false">COUNT(E57,G57,I57)</f>
        <v>1</v>
      </c>
      <c r="K57" s="13" t="n">
        <f aca="false">MIN(E57,G57,I57)</f>
        <v>20</v>
      </c>
      <c r="L57" s="9" t="str">
        <f aca="false">IF(E57=K57,"5000m",IF(G57=K57,"3000mSC","1500m"))</f>
        <v>1500m</v>
      </c>
      <c r="M57" s="14" t="n">
        <f aca="false">(D57&lt;&gt;"")*(D57&lt;=($E$3*60+$F$3)/86400)+(F57&lt;&gt;"")*(F57&lt;=($I$3*60+$J$3)/86400)+(H57&lt;&gt;"")*(H57&lt;=($M$3*60+$N$3)/86400)</f>
        <v>1</v>
      </c>
      <c r="N57" s="16"/>
      <c r="O57" s="15"/>
    </row>
    <row r="58" customFormat="false" ht="25.35" hidden="false" customHeight="false" outlineLevel="0" collapsed="false">
      <c r="A58" s="9" t="n">
        <v>52</v>
      </c>
      <c r="B58" s="10" t="s">
        <v>113</v>
      </c>
      <c r="C58" s="10" t="s">
        <v>114</v>
      </c>
      <c r="D58" s="11" t="n">
        <v>0.0104758101851852</v>
      </c>
      <c r="E58" s="12" t="n">
        <v>321</v>
      </c>
      <c r="F58" s="11" t="n">
        <v>0.0064306712962963</v>
      </c>
      <c r="G58" s="12" t="n">
        <v>21</v>
      </c>
      <c r="H58" s="11" t="n">
        <v>0.00282106481481482</v>
      </c>
      <c r="I58" s="12" t="n">
        <v>369</v>
      </c>
      <c r="J58" s="12" t="n">
        <f aca="false">COUNT(E58,G58,I58)</f>
        <v>3</v>
      </c>
      <c r="K58" s="13" t="n">
        <f aca="false">MIN(E58,G58,I58)</f>
        <v>21</v>
      </c>
      <c r="L58" s="9" t="str">
        <f aca="false">IF(E58=K58,"5000m",IF(G58=K58,"3000mSC","1500m"))</f>
        <v>3000mSC</v>
      </c>
      <c r="M58" s="14" t="n">
        <f aca="false">(D58&lt;&gt;"")*(D58&lt;=($E$3*60+$F$3)/86400)+(F58&lt;&gt;"")*(F58&lt;=($I$3*60+$J$3)/86400)+(H58&lt;&gt;"")*(H58&lt;=($M$3*60+$N$3)/86400)</f>
        <v>1</v>
      </c>
      <c r="N58" s="16"/>
      <c r="O58" s="15"/>
    </row>
    <row r="59" customFormat="false" ht="15" hidden="false" customHeight="false" outlineLevel="0" collapsed="false">
      <c r="A59" s="9" t="n">
        <v>53</v>
      </c>
      <c r="B59" s="10" t="s">
        <v>115</v>
      </c>
      <c r="C59" s="10" t="s">
        <v>116</v>
      </c>
      <c r="D59" s="11" t="n">
        <v>0.00997708333333333</v>
      </c>
      <c r="E59" s="12" t="n">
        <v>21</v>
      </c>
      <c r="F59" s="11"/>
      <c r="G59" s="12"/>
      <c r="H59" s="11" t="n">
        <v>0.0027244212962963</v>
      </c>
      <c r="I59" s="12" t="n">
        <v>56</v>
      </c>
      <c r="J59" s="12" t="n">
        <f aca="false">COUNT(E59,G59,I59)</f>
        <v>2</v>
      </c>
      <c r="K59" s="13" t="n">
        <f aca="false">MIN(E59,G59,I59)</f>
        <v>21</v>
      </c>
      <c r="L59" s="9" t="str">
        <f aca="false">IF(E59=K59,"5000m",IF(G59=K59,"3000mSC","1500m"))</f>
        <v>5000m</v>
      </c>
      <c r="M59" s="14" t="n">
        <f aca="false">(D59&lt;&gt;"")*(D59&lt;=($E$3*60+$F$3)/86400)+(F59&lt;&gt;"")*(F59&lt;=($I$3*60+$J$3)/86400)+(H59&lt;&gt;"")*(H59&lt;=($M$3*60+$N$3)/86400)</f>
        <v>1</v>
      </c>
      <c r="N59" s="16"/>
      <c r="O59" s="15"/>
    </row>
    <row r="60" customFormat="false" ht="15" hidden="false" customHeight="false" outlineLevel="0" collapsed="false">
      <c r="A60" s="9" t="n">
        <v>54</v>
      </c>
      <c r="B60" s="10" t="s">
        <v>117</v>
      </c>
      <c r="C60" s="10" t="s">
        <v>118</v>
      </c>
      <c r="D60" s="11" t="n">
        <v>0.010284837962963</v>
      </c>
      <c r="E60" s="12" t="n">
        <v>153</v>
      </c>
      <c r="F60" s="11"/>
      <c r="G60" s="12"/>
      <c r="H60" s="11" t="n">
        <v>0.00269259259259259</v>
      </c>
      <c r="I60" s="12" t="n">
        <v>21</v>
      </c>
      <c r="J60" s="12" t="n">
        <f aca="false">COUNT(E60,G60,I60)</f>
        <v>2</v>
      </c>
      <c r="K60" s="13" t="n">
        <f aca="false">MIN(E60,G60,I60)</f>
        <v>21</v>
      </c>
      <c r="L60" s="9" t="str">
        <f aca="false">IF(E60=K60,"5000m",IF(G60=K60,"3000mSC","1500m"))</f>
        <v>1500m</v>
      </c>
      <c r="M60" s="14" t="n">
        <f aca="false">(D60&lt;&gt;"")*(D60&lt;=($E$3*60+$F$3)/86400)+(F60&lt;&gt;"")*(F60&lt;=($I$3*60+$J$3)/86400)+(H60&lt;&gt;"")*(H60&lt;=($M$3*60+$N$3)/86400)</f>
        <v>1</v>
      </c>
      <c r="N60" s="16"/>
      <c r="O60" s="15"/>
    </row>
    <row r="61" customFormat="false" ht="25.35" hidden="false" customHeight="false" outlineLevel="0" collapsed="false">
      <c r="A61" s="9" t="n">
        <v>55</v>
      </c>
      <c r="B61" s="10" t="s">
        <v>119</v>
      </c>
      <c r="C61" s="10" t="s">
        <v>120</v>
      </c>
      <c r="D61" s="11" t="n">
        <v>0.0102828703703704</v>
      </c>
      <c r="E61" s="12" t="n">
        <v>152</v>
      </c>
      <c r="F61" s="11" t="n">
        <v>0.00644189814814815</v>
      </c>
      <c r="G61" s="12" t="n">
        <v>22</v>
      </c>
      <c r="H61" s="11" t="n">
        <v>0.00278020833333333</v>
      </c>
      <c r="I61" s="12" t="n">
        <v>201</v>
      </c>
      <c r="J61" s="12" t="n">
        <f aca="false">COUNT(E61,G61,I61)</f>
        <v>3</v>
      </c>
      <c r="K61" s="13" t="n">
        <f aca="false">MIN(E61,G61,I61)</f>
        <v>22</v>
      </c>
      <c r="L61" s="9" t="str">
        <f aca="false">IF(E61=K61,"5000m",IF(G61=K61,"3000mSC","1500m"))</f>
        <v>3000mSC</v>
      </c>
      <c r="M61" s="14" t="n">
        <f aca="false">(D61&lt;&gt;"")*(D61&lt;=($E$3*60+$F$3)/86400)+(F61&lt;&gt;"")*(F61&lt;=($I$3*60+$J$3)/86400)+(H61&lt;&gt;"")*(H61&lt;=($M$3*60+$N$3)/86400)</f>
        <v>1</v>
      </c>
      <c r="N61" s="16"/>
      <c r="O61" s="15"/>
    </row>
    <row r="62" customFormat="false" ht="15" hidden="false" customHeight="false" outlineLevel="0" collapsed="false">
      <c r="A62" s="9" t="n">
        <v>56</v>
      </c>
      <c r="B62" s="10" t="s">
        <v>121</v>
      </c>
      <c r="C62" s="10" t="s">
        <v>122</v>
      </c>
      <c r="D62" s="11" t="n">
        <v>0.0100962962962963</v>
      </c>
      <c r="E62" s="12" t="n">
        <v>50</v>
      </c>
      <c r="F62" s="11"/>
      <c r="G62" s="12"/>
      <c r="H62" s="11" t="n">
        <v>0.0026931712962963</v>
      </c>
      <c r="I62" s="12" t="n">
        <v>22</v>
      </c>
      <c r="J62" s="12" t="n">
        <f aca="false">COUNT(E62,G62,I62)</f>
        <v>2</v>
      </c>
      <c r="K62" s="13" t="n">
        <f aca="false">MIN(E62,G62,I62)</f>
        <v>22</v>
      </c>
      <c r="L62" s="9" t="str">
        <f aca="false">IF(E62=K62,"5000m",IF(G62=K62,"3000mSC","1500m"))</f>
        <v>1500m</v>
      </c>
      <c r="M62" s="14" t="n">
        <f aca="false">(D62&lt;&gt;"")*(D62&lt;=($E$3*60+$F$3)/86400)+(F62&lt;&gt;"")*(F62&lt;=($I$3*60+$J$3)/86400)+(H62&lt;&gt;"")*(H62&lt;=($M$3*60+$N$3)/86400)</f>
        <v>1</v>
      </c>
      <c r="N62" s="16"/>
      <c r="O62" s="15"/>
    </row>
    <row r="63" customFormat="false" ht="15" hidden="false" customHeight="false" outlineLevel="0" collapsed="false">
      <c r="A63" s="9" t="n">
        <v>57</v>
      </c>
      <c r="B63" s="10" t="s">
        <v>123</v>
      </c>
      <c r="C63" s="10" t="s">
        <v>124</v>
      </c>
      <c r="D63" s="11" t="n">
        <v>0.0100024305555556</v>
      </c>
      <c r="E63" s="12" t="n">
        <v>22</v>
      </c>
      <c r="F63" s="11"/>
      <c r="G63" s="12"/>
      <c r="H63" s="11" t="n">
        <v>0.00293900462962963</v>
      </c>
      <c r="I63" s="12" t="n">
        <v>1197</v>
      </c>
      <c r="J63" s="12" t="n">
        <f aca="false">COUNT(E63,G63,I63)</f>
        <v>2</v>
      </c>
      <c r="K63" s="13" t="n">
        <f aca="false">MIN(E63,G63,I63)</f>
        <v>22</v>
      </c>
      <c r="L63" s="9" t="str">
        <f aca="false">IF(E63=K63,"5000m",IF(G63=K63,"3000mSC","1500m"))</f>
        <v>5000m</v>
      </c>
      <c r="M63" s="14" t="n">
        <f aca="false">(D63&lt;&gt;"")*(D63&lt;=($E$3*60+$F$3)/86400)+(F63&lt;&gt;"")*(F63&lt;=($I$3*60+$J$3)/86400)+(H63&lt;&gt;"")*(H63&lt;=($M$3*60+$N$3)/86400)</f>
        <v>1</v>
      </c>
      <c r="N63" s="16"/>
      <c r="O63" s="15"/>
    </row>
    <row r="64" customFormat="false" ht="25.35" hidden="false" customHeight="false" outlineLevel="0" collapsed="false">
      <c r="A64" s="9" t="n">
        <v>58</v>
      </c>
      <c r="B64" s="10" t="s">
        <v>125</v>
      </c>
      <c r="C64" s="10" t="s">
        <v>126</v>
      </c>
      <c r="D64" s="11" t="n">
        <v>0.0106157407407407</v>
      </c>
      <c r="E64" s="12" t="n">
        <v>487</v>
      </c>
      <c r="F64" s="11" t="n">
        <v>0.00645543981481482</v>
      </c>
      <c r="G64" s="12" t="n">
        <v>23</v>
      </c>
      <c r="H64" s="11" t="n">
        <v>0.00290162037037037</v>
      </c>
      <c r="I64" s="12" t="n">
        <v>960</v>
      </c>
      <c r="J64" s="12" t="n">
        <f aca="false">COUNT(E64,G64,I64)</f>
        <v>3</v>
      </c>
      <c r="K64" s="13" t="n">
        <f aca="false">MIN(E64,G64,I64)</f>
        <v>23</v>
      </c>
      <c r="L64" s="9" t="str">
        <f aca="false">IF(E64=K64,"5000m",IF(G64=K64,"3000mSC","1500m"))</f>
        <v>3000mSC</v>
      </c>
      <c r="M64" s="14" t="n">
        <f aca="false">(D64&lt;&gt;"")*(D64&lt;=($E$3*60+$F$3)/86400)+(F64&lt;&gt;"")*(F64&lt;=($I$3*60+$J$3)/86400)+(H64&lt;&gt;"")*(H64&lt;=($M$3*60+$N$3)/86400)</f>
        <v>1</v>
      </c>
      <c r="N64" s="16"/>
      <c r="O64" s="15"/>
    </row>
    <row r="65" customFormat="false" ht="15" hidden="false" customHeight="false" outlineLevel="0" collapsed="false">
      <c r="A65" s="9" t="n">
        <v>59</v>
      </c>
      <c r="B65" s="10" t="s">
        <v>127</v>
      </c>
      <c r="C65" s="10" t="s">
        <v>128</v>
      </c>
      <c r="D65" s="11" t="n">
        <v>0.0101960648148148</v>
      </c>
      <c r="E65" s="12" t="n">
        <v>95</v>
      </c>
      <c r="F65" s="11"/>
      <c r="G65" s="12"/>
      <c r="H65" s="11" t="n">
        <v>0.00269340277777778</v>
      </c>
      <c r="I65" s="12" t="n">
        <v>23</v>
      </c>
      <c r="J65" s="12" t="n">
        <f aca="false">COUNT(E65,G65,I65)</f>
        <v>2</v>
      </c>
      <c r="K65" s="13" t="n">
        <f aca="false">MIN(E65,G65,I65)</f>
        <v>23</v>
      </c>
      <c r="L65" s="9" t="str">
        <f aca="false">IF(E65=K65,"5000m",IF(G65=K65,"3000mSC","1500m"))</f>
        <v>1500m</v>
      </c>
      <c r="M65" s="14" t="n">
        <f aca="false">(D65&lt;&gt;"")*(D65&lt;=($E$3*60+$F$3)/86400)+(F65&lt;&gt;"")*(F65&lt;=($I$3*60+$J$3)/86400)+(H65&lt;&gt;"")*(H65&lt;=($M$3*60+$N$3)/86400)</f>
        <v>1</v>
      </c>
      <c r="N65" s="16"/>
      <c r="O65" s="15"/>
    </row>
    <row r="66" customFormat="false" ht="15" hidden="false" customHeight="false" outlineLevel="0" collapsed="false">
      <c r="A66" s="9" t="n">
        <v>60</v>
      </c>
      <c r="B66" s="10" t="s">
        <v>129</v>
      </c>
      <c r="C66" s="10" t="s">
        <v>130</v>
      </c>
      <c r="D66" s="11" t="n">
        <v>0.0100109953703704</v>
      </c>
      <c r="E66" s="12" t="n">
        <v>23</v>
      </c>
      <c r="F66" s="11"/>
      <c r="G66" s="12"/>
      <c r="H66" s="11"/>
      <c r="I66" s="12"/>
      <c r="J66" s="12" t="n">
        <f aca="false">COUNT(E66,G66,I66)</f>
        <v>1</v>
      </c>
      <c r="K66" s="13" t="n">
        <f aca="false">MIN(E66,G66,I66)</f>
        <v>23</v>
      </c>
      <c r="L66" s="9" t="str">
        <f aca="false">IF(E66=K66,"5000m",IF(G66=K66,"3000mSC","1500m"))</f>
        <v>5000m</v>
      </c>
      <c r="M66" s="14" t="n">
        <f aca="false">(D66&lt;&gt;"")*(D66&lt;=($E$3*60+$F$3)/86400)+(F66&lt;&gt;"")*(F66&lt;=($I$3*60+$J$3)/86400)+(H66&lt;&gt;"")*(H66&lt;=($M$3*60+$N$3)/86400)</f>
        <v>1</v>
      </c>
      <c r="N66" s="16"/>
      <c r="O66" s="15"/>
    </row>
    <row r="67" customFormat="false" ht="25.35" hidden="false" customHeight="false" outlineLevel="0" collapsed="false">
      <c r="A67" s="9" t="n">
        <v>61</v>
      </c>
      <c r="B67" s="10" t="s">
        <v>131</v>
      </c>
      <c r="C67" s="10" t="s">
        <v>132</v>
      </c>
      <c r="D67" s="11" t="n">
        <v>0.0109490740740741</v>
      </c>
      <c r="E67" s="12" t="n">
        <v>996</v>
      </c>
      <c r="F67" s="11" t="n">
        <v>0.00645844907407407</v>
      </c>
      <c r="G67" s="12" t="n">
        <v>24</v>
      </c>
      <c r="H67" s="11" t="n">
        <v>0.00285740740740741</v>
      </c>
      <c r="I67" s="12" t="n">
        <v>618</v>
      </c>
      <c r="J67" s="12" t="n">
        <f aca="false">COUNT(E67,G67,I67)</f>
        <v>3</v>
      </c>
      <c r="K67" s="13" t="n">
        <f aca="false">MIN(E67,G67,I67)</f>
        <v>24</v>
      </c>
      <c r="L67" s="9" t="str">
        <f aca="false">IF(E67=K67,"5000m",IF(G67=K67,"3000mSC","1500m"))</f>
        <v>3000mSC</v>
      </c>
      <c r="M67" s="14" t="n">
        <f aca="false">(D67&lt;&gt;"")*(D67&lt;=($E$3*60+$F$3)/86400)+(F67&lt;&gt;"")*(F67&lt;=($I$3*60+$J$3)/86400)+(H67&lt;&gt;"")*(H67&lt;=($M$3*60+$N$3)/86400)</f>
        <v>1</v>
      </c>
      <c r="N67" s="16"/>
      <c r="O67" s="15"/>
    </row>
    <row r="68" customFormat="false" ht="15" hidden="false" customHeight="false" outlineLevel="0" collapsed="false">
      <c r="A68" s="9" t="n">
        <v>62</v>
      </c>
      <c r="B68" s="10" t="s">
        <v>133</v>
      </c>
      <c r="C68" s="10" t="s">
        <v>134</v>
      </c>
      <c r="D68" s="11" t="n">
        <v>0.0102357638888889</v>
      </c>
      <c r="E68" s="12" t="n">
        <v>114</v>
      </c>
      <c r="F68" s="11" t="n">
        <v>0.00656354166666667</v>
      </c>
      <c r="G68" s="12" t="n">
        <v>50</v>
      </c>
      <c r="H68" s="11" t="n">
        <v>0.00269826388888889</v>
      </c>
      <c r="I68" s="12" t="n">
        <v>25</v>
      </c>
      <c r="J68" s="12" t="n">
        <f aca="false">COUNT(E68,G68,I68)</f>
        <v>3</v>
      </c>
      <c r="K68" s="13" t="n">
        <f aca="false">MIN(E68,G68,I68)</f>
        <v>25</v>
      </c>
      <c r="L68" s="9" t="str">
        <f aca="false">IF(E68=K68,"5000m",IF(G68=K68,"3000mSC","1500m"))</f>
        <v>1500m</v>
      </c>
      <c r="M68" s="14" t="n">
        <f aca="false">(D68&lt;&gt;"")*(D68&lt;=($E$3*60+$F$3)/86400)+(F68&lt;&gt;"")*(F68&lt;=($I$3*60+$J$3)/86400)+(H68&lt;&gt;"")*(H68&lt;=($M$3*60+$N$3)/86400)</f>
        <v>1</v>
      </c>
      <c r="N68" s="16"/>
      <c r="O68" s="15"/>
    </row>
    <row r="69" customFormat="false" ht="25.35" hidden="false" customHeight="false" outlineLevel="0" collapsed="false">
      <c r="A69" s="9" t="n">
        <v>63</v>
      </c>
      <c r="B69" s="10" t="s">
        <v>135</v>
      </c>
      <c r="C69" s="10" t="s">
        <v>136</v>
      </c>
      <c r="D69" s="11" t="n">
        <v>0.0103917824074074</v>
      </c>
      <c r="E69" s="12" t="n">
        <v>252</v>
      </c>
      <c r="F69" s="11" t="n">
        <v>0.00646053240740741</v>
      </c>
      <c r="G69" s="12" t="n">
        <v>25</v>
      </c>
      <c r="H69" s="11" t="n">
        <v>0.00286458333333333</v>
      </c>
      <c r="I69" s="12" t="n">
        <v>663</v>
      </c>
      <c r="J69" s="12" t="n">
        <f aca="false">COUNT(E69,G69,I69)</f>
        <v>3</v>
      </c>
      <c r="K69" s="13" t="n">
        <f aca="false">MIN(E69,G69,I69)</f>
        <v>25</v>
      </c>
      <c r="L69" s="9" t="str">
        <f aca="false">IF(E69=K69,"5000m",IF(G69=K69,"3000mSC","1500m"))</f>
        <v>3000mSC</v>
      </c>
      <c r="M69" s="14" t="n">
        <f aca="false">(D69&lt;&gt;"")*(D69&lt;=($E$3*60+$F$3)/86400)+(F69&lt;&gt;"")*(F69&lt;=($I$3*60+$J$3)/86400)+(H69&lt;&gt;"")*(H69&lt;=($M$3*60+$N$3)/86400)</f>
        <v>1</v>
      </c>
      <c r="N69" s="16"/>
      <c r="O69" s="15"/>
    </row>
    <row r="70" customFormat="false" ht="25.35" hidden="false" customHeight="false" outlineLevel="0" collapsed="false">
      <c r="A70" s="9" t="n">
        <v>64</v>
      </c>
      <c r="B70" s="10" t="s">
        <v>137</v>
      </c>
      <c r="C70" s="10" t="s">
        <v>87</v>
      </c>
      <c r="D70" s="11" t="n">
        <v>0.0103675925925926</v>
      </c>
      <c r="E70" s="12" t="n">
        <v>222</v>
      </c>
      <c r="F70" s="11" t="n">
        <v>0.0064625</v>
      </c>
      <c r="G70" s="12" t="n">
        <v>26</v>
      </c>
      <c r="H70" s="11" t="n">
        <v>0.00275833333333333</v>
      </c>
      <c r="I70" s="12" t="n">
        <v>130</v>
      </c>
      <c r="J70" s="12" t="n">
        <f aca="false">COUNT(E70,G70,I70)</f>
        <v>3</v>
      </c>
      <c r="K70" s="13" t="n">
        <f aca="false">MIN(E70,G70,I70)</f>
        <v>26</v>
      </c>
      <c r="L70" s="9" t="str">
        <f aca="false">IF(E70=K70,"5000m",IF(G70=K70,"3000mSC","1500m"))</f>
        <v>3000mSC</v>
      </c>
      <c r="M70" s="14" t="n">
        <f aca="false">(D70&lt;&gt;"")*(D70&lt;=($E$3*60+$F$3)/86400)+(F70&lt;&gt;"")*(F70&lt;=($I$3*60+$J$3)/86400)+(H70&lt;&gt;"")*(H70&lt;=($M$3*60+$N$3)/86400)</f>
        <v>1</v>
      </c>
      <c r="N70" s="16"/>
      <c r="O70" s="15"/>
    </row>
    <row r="71" customFormat="false" ht="15" hidden="false" customHeight="false" outlineLevel="0" collapsed="false">
      <c r="A71" s="9" t="n">
        <v>65</v>
      </c>
      <c r="B71" s="10" t="s">
        <v>138</v>
      </c>
      <c r="C71" s="10" t="s">
        <v>139</v>
      </c>
      <c r="D71" s="11" t="n">
        <v>0.0108923611111111</v>
      </c>
      <c r="E71" s="12" t="n">
        <v>907</v>
      </c>
      <c r="F71" s="11"/>
      <c r="G71" s="12"/>
      <c r="H71" s="11" t="n">
        <v>0.00270081018518519</v>
      </c>
      <c r="I71" s="12" t="n">
        <v>26</v>
      </c>
      <c r="J71" s="12" t="n">
        <f aca="false">COUNT(E71,G71,I71)</f>
        <v>2</v>
      </c>
      <c r="K71" s="13" t="n">
        <f aca="false">MIN(E71,G71,I71)</f>
        <v>26</v>
      </c>
      <c r="L71" s="9" t="str">
        <f aca="false">IF(E71=K71,"5000m",IF(G71=K71,"3000mSC","1500m"))</f>
        <v>1500m</v>
      </c>
      <c r="M71" s="14" t="n">
        <f aca="false">(D71&lt;&gt;"")*(D71&lt;=($E$3*60+$F$3)/86400)+(F71&lt;&gt;"")*(F71&lt;=($I$3*60+$J$3)/86400)+(H71&lt;&gt;"")*(H71&lt;=($M$3*60+$N$3)/86400)</f>
        <v>1</v>
      </c>
      <c r="N71" s="16"/>
      <c r="O71" s="15"/>
    </row>
    <row r="72" customFormat="false" ht="25.35" hidden="false" customHeight="false" outlineLevel="0" collapsed="false">
      <c r="A72" s="9" t="n">
        <v>66</v>
      </c>
      <c r="B72" s="10" t="s">
        <v>140</v>
      </c>
      <c r="C72" s="10" t="s">
        <v>141</v>
      </c>
      <c r="D72" s="11" t="n">
        <v>0.0105503472222222</v>
      </c>
      <c r="E72" s="12" t="n">
        <v>399</v>
      </c>
      <c r="F72" s="11" t="n">
        <v>0.00646284722222222</v>
      </c>
      <c r="G72" s="12" t="n">
        <v>27</v>
      </c>
      <c r="H72" s="11" t="n">
        <v>0.00287256944444445</v>
      </c>
      <c r="I72" s="12" t="n">
        <v>719</v>
      </c>
      <c r="J72" s="12" t="n">
        <f aca="false">COUNT(E72,G72,I72)</f>
        <v>3</v>
      </c>
      <c r="K72" s="13" t="n">
        <f aca="false">MIN(E72,G72,I72)</f>
        <v>27</v>
      </c>
      <c r="L72" s="9" t="str">
        <f aca="false">IF(E72=K72,"5000m",IF(G72=K72,"3000mSC","1500m"))</f>
        <v>3000mSC</v>
      </c>
      <c r="M72" s="14" t="n">
        <f aca="false">(D72&lt;&gt;"")*(D72&lt;=($E$3*60+$F$3)/86400)+(F72&lt;&gt;"")*(F72&lt;=($I$3*60+$J$3)/86400)+(H72&lt;&gt;"")*(H72&lt;=($M$3*60+$N$3)/86400)</f>
        <v>1</v>
      </c>
      <c r="N72" s="16"/>
      <c r="O72" s="15"/>
    </row>
    <row r="73" customFormat="false" ht="15" hidden="false" customHeight="false" outlineLevel="0" collapsed="false">
      <c r="A73" s="9" t="n">
        <v>67</v>
      </c>
      <c r="B73" s="10" t="s">
        <v>142</v>
      </c>
      <c r="C73" s="10" t="s">
        <v>109</v>
      </c>
      <c r="D73" s="11" t="n">
        <v>0.0101863425925926</v>
      </c>
      <c r="E73" s="12" t="n">
        <v>88</v>
      </c>
      <c r="F73" s="11"/>
      <c r="G73" s="12"/>
      <c r="H73" s="11" t="n">
        <v>0.00270231481481482</v>
      </c>
      <c r="I73" s="12" t="n">
        <v>27</v>
      </c>
      <c r="J73" s="12" t="n">
        <f aca="false">COUNT(E73,G73,I73)</f>
        <v>2</v>
      </c>
      <c r="K73" s="13" t="n">
        <f aca="false">MIN(E73,G73,I73)</f>
        <v>27</v>
      </c>
      <c r="L73" s="9" t="str">
        <f aca="false">IF(E73=K73,"5000m",IF(G73=K73,"3000mSC","1500m"))</f>
        <v>1500m</v>
      </c>
      <c r="M73" s="14" t="n">
        <f aca="false">(D73&lt;&gt;"")*(D73&lt;=($E$3*60+$F$3)/86400)+(F73&lt;&gt;"")*(F73&lt;=($I$3*60+$J$3)/86400)+(H73&lt;&gt;"")*(H73&lt;=($M$3*60+$N$3)/86400)</f>
        <v>1</v>
      </c>
      <c r="N73" s="16"/>
      <c r="O73" s="15"/>
    </row>
    <row r="74" customFormat="false" ht="15" hidden="false" customHeight="false" outlineLevel="0" collapsed="false">
      <c r="A74" s="9" t="n">
        <v>68</v>
      </c>
      <c r="B74" s="10" t="s">
        <v>143</v>
      </c>
      <c r="C74" s="10" t="s">
        <v>103</v>
      </c>
      <c r="D74" s="11" t="n">
        <v>0.0100325231481482</v>
      </c>
      <c r="E74" s="12" t="n">
        <v>27</v>
      </c>
      <c r="F74" s="11"/>
      <c r="G74" s="12"/>
      <c r="H74" s="11"/>
      <c r="I74" s="12"/>
      <c r="J74" s="12" t="n">
        <f aca="false">COUNT(E74,G74,I74)</f>
        <v>1</v>
      </c>
      <c r="K74" s="13" t="n">
        <f aca="false">MIN(E74,G74,I74)</f>
        <v>27</v>
      </c>
      <c r="L74" s="9" t="str">
        <f aca="false">IF(E74=K74,"5000m",IF(G74=K74,"3000mSC","1500m"))</f>
        <v>5000m</v>
      </c>
      <c r="M74" s="14" t="n">
        <f aca="false">(D74&lt;&gt;"")*(D74&lt;=($E$3*60+$F$3)/86400)+(F74&lt;&gt;"")*(F74&lt;=($I$3*60+$J$3)/86400)+(H74&lt;&gt;"")*(H74&lt;=($M$3*60+$N$3)/86400)</f>
        <v>1</v>
      </c>
      <c r="N74" s="16"/>
      <c r="O74" s="15"/>
    </row>
    <row r="75" customFormat="false" ht="25.35" hidden="false" customHeight="false" outlineLevel="0" collapsed="false">
      <c r="A75" s="9" t="n">
        <v>69</v>
      </c>
      <c r="B75" s="10" t="s">
        <v>144</v>
      </c>
      <c r="C75" s="10" t="s">
        <v>145</v>
      </c>
      <c r="D75" s="11" t="n">
        <v>0.0106737268518519</v>
      </c>
      <c r="E75" s="12" t="n">
        <v>553</v>
      </c>
      <c r="F75" s="11" t="n">
        <v>0.00646342592592593</v>
      </c>
      <c r="G75" s="12" t="n">
        <v>28</v>
      </c>
      <c r="H75" s="11" t="n">
        <v>0.00288541666666667</v>
      </c>
      <c r="I75" s="12" t="n">
        <v>821</v>
      </c>
      <c r="J75" s="12" t="n">
        <f aca="false">COUNT(E75,G75,I75)</f>
        <v>3</v>
      </c>
      <c r="K75" s="13" t="n">
        <f aca="false">MIN(E75,G75,I75)</f>
        <v>28</v>
      </c>
      <c r="L75" s="9" t="str">
        <f aca="false">IF(E75=K75,"5000m",IF(G75=K75,"3000mSC","1500m"))</f>
        <v>3000mSC</v>
      </c>
      <c r="M75" s="14" t="n">
        <f aca="false">(D75&lt;&gt;"")*(D75&lt;=($E$3*60+$F$3)/86400)+(F75&lt;&gt;"")*(F75&lt;=($I$3*60+$J$3)/86400)+(H75&lt;&gt;"")*(H75&lt;=($M$3*60+$N$3)/86400)</f>
        <v>1</v>
      </c>
      <c r="N75" s="16"/>
      <c r="O75" s="15"/>
    </row>
    <row r="76" customFormat="false" ht="15" hidden="false" customHeight="false" outlineLevel="0" collapsed="false">
      <c r="A76" s="9" t="n">
        <v>70</v>
      </c>
      <c r="B76" s="10" t="s">
        <v>146</v>
      </c>
      <c r="C76" s="10" t="s">
        <v>147</v>
      </c>
      <c r="D76" s="11" t="n">
        <v>0.0100331018518519</v>
      </c>
      <c r="E76" s="12" t="n">
        <v>28</v>
      </c>
      <c r="F76" s="11"/>
      <c r="G76" s="12"/>
      <c r="H76" s="11" t="n">
        <v>0.00271909722222222</v>
      </c>
      <c r="I76" s="12" t="n">
        <v>48</v>
      </c>
      <c r="J76" s="12" t="n">
        <f aca="false">COUNT(E76,G76,I76)</f>
        <v>2</v>
      </c>
      <c r="K76" s="13" t="n">
        <f aca="false">MIN(E76,G76,I76)</f>
        <v>28</v>
      </c>
      <c r="L76" s="9" t="str">
        <f aca="false">IF(E76=K76,"5000m",IF(G76=K76,"3000mSC","1500m"))</f>
        <v>5000m</v>
      </c>
      <c r="M76" s="14" t="n">
        <f aca="false">(D76&lt;&gt;"")*(D76&lt;=($E$3*60+$F$3)/86400)+(F76&lt;&gt;"")*(F76&lt;=($I$3*60+$J$3)/86400)+(H76&lt;&gt;"")*(H76&lt;=($M$3*60+$N$3)/86400)</f>
        <v>2</v>
      </c>
      <c r="N76" s="16"/>
      <c r="O76" s="15"/>
    </row>
    <row r="77" customFormat="false" ht="15" hidden="false" customHeight="false" outlineLevel="0" collapsed="false">
      <c r="A77" s="9" t="n">
        <v>71</v>
      </c>
      <c r="B77" s="10" t="s">
        <v>148</v>
      </c>
      <c r="C77" s="10" t="s">
        <v>149</v>
      </c>
      <c r="D77" s="11" t="n">
        <v>0.010893287037037</v>
      </c>
      <c r="E77" s="12" t="n">
        <v>908</v>
      </c>
      <c r="F77" s="11"/>
      <c r="G77" s="12"/>
      <c r="H77" s="11" t="n">
        <v>0.00270462962962963</v>
      </c>
      <c r="I77" s="12" t="n">
        <v>28</v>
      </c>
      <c r="J77" s="12" t="n">
        <f aca="false">COUNT(E77,G77,I77)</f>
        <v>2</v>
      </c>
      <c r="K77" s="13" t="n">
        <f aca="false">MIN(E77,G77,I77)</f>
        <v>28</v>
      </c>
      <c r="L77" s="9" t="str">
        <f aca="false">IF(E77=K77,"5000m",IF(G77=K77,"3000mSC","1500m"))</f>
        <v>1500m</v>
      </c>
      <c r="M77" s="14" t="n">
        <f aca="false">(D77&lt;&gt;"")*(D77&lt;=($E$3*60+$F$3)/86400)+(F77&lt;&gt;"")*(F77&lt;=($I$3*60+$J$3)/86400)+(H77&lt;&gt;"")*(H77&lt;=($M$3*60+$N$3)/86400)</f>
        <v>1</v>
      </c>
      <c r="N77" s="16"/>
      <c r="O77" s="15"/>
    </row>
    <row r="78" customFormat="false" ht="15" hidden="false" customHeight="false" outlineLevel="0" collapsed="false">
      <c r="A78" s="9" t="n">
        <v>72</v>
      </c>
      <c r="B78" s="10" t="s">
        <v>150</v>
      </c>
      <c r="C78" s="10" t="s">
        <v>64</v>
      </c>
      <c r="D78" s="11" t="n">
        <v>0.0100400462962963</v>
      </c>
      <c r="E78" s="12" t="n">
        <v>29</v>
      </c>
      <c r="F78" s="11" t="n">
        <v>0.00702037037037037</v>
      </c>
      <c r="G78" s="12" t="n">
        <v>355</v>
      </c>
      <c r="H78" s="11" t="n">
        <v>0.00270590277777778</v>
      </c>
      <c r="I78" s="12" t="n">
        <v>29</v>
      </c>
      <c r="J78" s="12" t="n">
        <f aca="false">COUNT(E78,G78,I78)</f>
        <v>3</v>
      </c>
      <c r="K78" s="13" t="n">
        <f aca="false">MIN(E78,G78,I78)</f>
        <v>29</v>
      </c>
      <c r="L78" s="9" t="str">
        <f aca="false">IF(E78=K78,"5000m",IF(G78=K78,"3000mSC","1500m"))</f>
        <v>5000m</v>
      </c>
      <c r="M78" s="14" t="n">
        <f aca="false">(D78&lt;&gt;"")*(D78&lt;=($E$3*60+$F$3)/86400)+(F78&lt;&gt;"")*(F78&lt;=($I$3*60+$J$3)/86400)+(H78&lt;&gt;"")*(H78&lt;=($M$3*60+$N$3)/86400)</f>
        <v>2</v>
      </c>
      <c r="N78" s="16"/>
      <c r="O78" s="15"/>
    </row>
    <row r="79" customFormat="false" ht="25.35" hidden="false" customHeight="false" outlineLevel="0" collapsed="false">
      <c r="A79" s="9" t="n">
        <v>73</v>
      </c>
      <c r="B79" s="10" t="s">
        <v>151</v>
      </c>
      <c r="C79" s="10" t="s">
        <v>105</v>
      </c>
      <c r="D79" s="11" t="n">
        <v>0.0101585648148148</v>
      </c>
      <c r="E79" s="12" t="n">
        <v>74</v>
      </c>
      <c r="F79" s="11" t="n">
        <v>0.00647060185185185</v>
      </c>
      <c r="G79" s="12" t="n">
        <v>29</v>
      </c>
      <c r="H79" s="11"/>
      <c r="I79" s="12"/>
      <c r="J79" s="12" t="n">
        <f aca="false">COUNT(E79,G79,I79)</f>
        <v>2</v>
      </c>
      <c r="K79" s="13" t="n">
        <f aca="false">MIN(E79,G79,I79)</f>
        <v>29</v>
      </c>
      <c r="L79" s="9" t="str">
        <f aca="false">IF(E79=K79,"5000m",IF(G79=K79,"3000mSC","1500m"))</f>
        <v>3000mSC</v>
      </c>
      <c r="M79" s="14" t="n">
        <f aca="false">(D79&lt;&gt;"")*(D79&lt;=($E$3*60+$F$3)/86400)+(F79&lt;&gt;"")*(F79&lt;=($I$3*60+$J$3)/86400)+(H79&lt;&gt;"")*(H79&lt;=($M$3*60+$N$3)/86400)</f>
        <v>1</v>
      </c>
      <c r="N79" s="16"/>
      <c r="O79" s="15"/>
    </row>
    <row r="80" customFormat="false" ht="25.35" hidden="false" customHeight="false" outlineLevel="0" collapsed="false">
      <c r="A80" s="9" t="n">
        <v>74</v>
      </c>
      <c r="B80" s="10" t="s">
        <v>152</v>
      </c>
      <c r="C80" s="10" t="s">
        <v>39</v>
      </c>
      <c r="D80" s="11" t="n">
        <v>0.0103246527777778</v>
      </c>
      <c r="E80" s="12" t="n">
        <v>175</v>
      </c>
      <c r="F80" s="11" t="n">
        <v>0.00648136574074074</v>
      </c>
      <c r="G80" s="12" t="n">
        <v>30</v>
      </c>
      <c r="H80" s="11" t="n">
        <v>0.00279930555555556</v>
      </c>
      <c r="I80" s="12" t="n">
        <v>279</v>
      </c>
      <c r="J80" s="12" t="n">
        <f aca="false">COUNT(E80,G80,I80)</f>
        <v>3</v>
      </c>
      <c r="K80" s="13" t="n">
        <f aca="false">MIN(E80,G80,I80)</f>
        <v>30</v>
      </c>
      <c r="L80" s="9" t="str">
        <f aca="false">IF(E80=K80,"5000m",IF(G80=K80,"3000mSC","1500m"))</f>
        <v>3000mSC</v>
      </c>
      <c r="M80" s="14" t="n">
        <f aca="false">(D80&lt;&gt;"")*(D80&lt;=($E$3*60+$F$3)/86400)+(F80&lt;&gt;"")*(F80&lt;=($I$3*60+$J$3)/86400)+(H80&lt;&gt;"")*(H80&lt;=($M$3*60+$N$3)/86400)</f>
        <v>1</v>
      </c>
      <c r="N80" s="16"/>
      <c r="O80" s="15"/>
    </row>
    <row r="81" customFormat="false" ht="15" hidden="false" customHeight="false" outlineLevel="0" collapsed="false">
      <c r="A81" s="9" t="n">
        <v>75</v>
      </c>
      <c r="B81" s="10" t="s">
        <v>153</v>
      </c>
      <c r="C81" s="10" t="s">
        <v>154</v>
      </c>
      <c r="D81" s="11" t="n">
        <v>0.0104215277777778</v>
      </c>
      <c r="E81" s="12" t="n">
        <v>286</v>
      </c>
      <c r="F81" s="11"/>
      <c r="G81" s="12"/>
      <c r="H81" s="11" t="n">
        <v>0.00270625</v>
      </c>
      <c r="I81" s="12" t="n">
        <v>30</v>
      </c>
      <c r="J81" s="12" t="n">
        <f aca="false">COUNT(E81,G81,I81)</f>
        <v>2</v>
      </c>
      <c r="K81" s="13" t="n">
        <f aca="false">MIN(E81,G81,I81)</f>
        <v>30</v>
      </c>
      <c r="L81" s="9" t="str">
        <f aca="false">IF(E81=K81,"5000m",IF(G81=K81,"3000mSC","1500m"))</f>
        <v>1500m</v>
      </c>
      <c r="M81" s="14" t="n">
        <f aca="false">(D81&lt;&gt;"")*(D81&lt;=($E$3*60+$F$3)/86400)+(F81&lt;&gt;"")*(F81&lt;=($I$3*60+$J$3)/86400)+(H81&lt;&gt;"")*(H81&lt;=($M$3*60+$N$3)/86400)</f>
        <v>1</v>
      </c>
      <c r="N81" s="16"/>
      <c r="O81" s="15"/>
    </row>
    <row r="82" customFormat="false" ht="15" hidden="false" customHeight="false" outlineLevel="0" collapsed="false">
      <c r="A82" s="9" t="n">
        <v>76</v>
      </c>
      <c r="B82" s="10" t="s">
        <v>155</v>
      </c>
      <c r="C82" s="10" t="s">
        <v>156</v>
      </c>
      <c r="D82" s="11" t="n">
        <v>0.010040162037037</v>
      </c>
      <c r="E82" s="12" t="n">
        <v>30</v>
      </c>
      <c r="F82" s="11"/>
      <c r="G82" s="12"/>
      <c r="H82" s="11" t="n">
        <v>0.00284363425925926</v>
      </c>
      <c r="I82" s="12" t="n">
        <v>520</v>
      </c>
      <c r="J82" s="12" t="n">
        <f aca="false">COUNT(E82,G82,I82)</f>
        <v>2</v>
      </c>
      <c r="K82" s="13" t="n">
        <f aca="false">MIN(E82,G82,I82)</f>
        <v>30</v>
      </c>
      <c r="L82" s="9" t="str">
        <f aca="false">IF(E82=K82,"5000m",IF(G82=K82,"3000mSC","1500m"))</f>
        <v>5000m</v>
      </c>
      <c r="M82" s="14" t="n">
        <f aca="false">(D82&lt;&gt;"")*(D82&lt;=($E$3*60+$F$3)/86400)+(F82&lt;&gt;"")*(F82&lt;=($I$3*60+$J$3)/86400)+(H82&lt;&gt;"")*(H82&lt;=($M$3*60+$N$3)/86400)</f>
        <v>1</v>
      </c>
      <c r="N82" s="16"/>
      <c r="O82" s="15"/>
    </row>
    <row r="83" customFormat="false" ht="25.35" hidden="false" customHeight="false" outlineLevel="0" collapsed="false">
      <c r="A83" s="9" t="n">
        <v>77</v>
      </c>
      <c r="B83" s="10" t="s">
        <v>157</v>
      </c>
      <c r="C83" s="10" t="s">
        <v>158</v>
      </c>
      <c r="D83" s="11" t="n">
        <v>0.0102012731481482</v>
      </c>
      <c r="E83" s="12" t="n">
        <v>97</v>
      </c>
      <c r="F83" s="11" t="n">
        <v>0.00648483796296296</v>
      </c>
      <c r="G83" s="12" t="n">
        <v>31</v>
      </c>
      <c r="H83" s="11" t="n">
        <v>0.00275451388888889</v>
      </c>
      <c r="I83" s="12" t="n">
        <v>120</v>
      </c>
      <c r="J83" s="12" t="n">
        <f aca="false">COUNT(E83,G83,I83)</f>
        <v>3</v>
      </c>
      <c r="K83" s="13" t="n">
        <f aca="false">MIN(E83,G83,I83)</f>
        <v>31</v>
      </c>
      <c r="L83" s="9" t="str">
        <f aca="false">IF(E83=K83,"5000m",IF(G83=K83,"3000mSC","1500m"))</f>
        <v>3000mSC</v>
      </c>
      <c r="M83" s="14" t="n">
        <f aca="false">(D83&lt;&gt;"")*(D83&lt;=($E$3*60+$F$3)/86400)+(F83&lt;&gt;"")*(F83&lt;=($I$3*60+$J$3)/86400)+(H83&lt;&gt;"")*(H83&lt;=($M$3*60+$N$3)/86400)</f>
        <v>0</v>
      </c>
      <c r="N83" s="16"/>
      <c r="O83" s="15"/>
    </row>
    <row r="84" customFormat="false" ht="15" hidden="false" customHeight="false" outlineLevel="0" collapsed="false">
      <c r="A84" s="9" t="n">
        <v>78</v>
      </c>
      <c r="B84" s="10" t="s">
        <v>159</v>
      </c>
      <c r="C84" s="10" t="s">
        <v>53</v>
      </c>
      <c r="D84" s="11" t="n">
        <v>0.010275462962963</v>
      </c>
      <c r="E84" s="12" t="n">
        <v>141</v>
      </c>
      <c r="F84" s="11"/>
      <c r="G84" s="12"/>
      <c r="H84" s="11" t="n">
        <v>0.00270763888888889</v>
      </c>
      <c r="I84" s="12" t="n">
        <v>31</v>
      </c>
      <c r="J84" s="12" t="n">
        <f aca="false">COUNT(E84,G84,I84)</f>
        <v>2</v>
      </c>
      <c r="K84" s="13" t="n">
        <f aca="false">MIN(E84,G84,I84)</f>
        <v>31</v>
      </c>
      <c r="L84" s="9" t="str">
        <f aca="false">IF(E84=K84,"5000m",IF(G84=K84,"3000mSC","1500m"))</f>
        <v>1500m</v>
      </c>
      <c r="M84" s="14" t="n">
        <f aca="false">(D84&lt;&gt;"")*(D84&lt;=($E$3*60+$F$3)/86400)+(F84&lt;&gt;"")*(F84&lt;=($I$3*60+$J$3)/86400)+(H84&lt;&gt;"")*(H84&lt;=($M$3*60+$N$3)/86400)</f>
        <v>1</v>
      </c>
      <c r="N84" s="16"/>
      <c r="O84" s="15"/>
    </row>
    <row r="85" customFormat="false" ht="15" hidden="false" customHeight="false" outlineLevel="0" collapsed="false">
      <c r="A85" s="9" t="n">
        <v>79</v>
      </c>
      <c r="B85" s="10" t="s">
        <v>160</v>
      </c>
      <c r="C85" s="10" t="s">
        <v>25</v>
      </c>
      <c r="D85" s="11" t="n">
        <v>0.0100422453703704</v>
      </c>
      <c r="E85" s="12" t="n">
        <v>31</v>
      </c>
      <c r="F85" s="11"/>
      <c r="G85" s="12"/>
      <c r="H85" s="11"/>
      <c r="I85" s="12"/>
      <c r="J85" s="12" t="n">
        <f aca="false">COUNT(E85,G85,I85)</f>
        <v>1</v>
      </c>
      <c r="K85" s="13" t="n">
        <f aca="false">MIN(E85,G85,I85)</f>
        <v>31</v>
      </c>
      <c r="L85" s="9" t="str">
        <f aca="false">IF(E85=K85,"5000m",IF(G85=K85,"3000mSC","1500m"))</f>
        <v>5000m</v>
      </c>
      <c r="M85" s="14" t="n">
        <f aca="false">(D85&lt;&gt;"")*(D85&lt;=($E$3*60+$F$3)/86400)+(F85&lt;&gt;"")*(F85&lt;=($I$3*60+$J$3)/86400)+(H85&lt;&gt;"")*(H85&lt;=($M$3*60+$N$3)/86400)</f>
        <v>1</v>
      </c>
      <c r="N85" s="16"/>
      <c r="O85" s="15"/>
    </row>
    <row r="86" customFormat="false" ht="25.35" hidden="false" customHeight="false" outlineLevel="0" collapsed="false">
      <c r="A86" s="9" t="n">
        <v>80</v>
      </c>
      <c r="B86" s="10" t="s">
        <v>161</v>
      </c>
      <c r="C86" s="10" t="s">
        <v>162</v>
      </c>
      <c r="D86" s="11" t="n">
        <v>0.0106686342592593</v>
      </c>
      <c r="E86" s="12" t="n">
        <v>544</v>
      </c>
      <c r="F86" s="11" t="n">
        <v>0.00648645833333333</v>
      </c>
      <c r="G86" s="12" t="n">
        <v>32</v>
      </c>
      <c r="H86" s="11" t="n">
        <v>0.00273206018518519</v>
      </c>
      <c r="I86" s="12" t="n">
        <v>68</v>
      </c>
      <c r="J86" s="12" t="n">
        <f aca="false">COUNT(E86,G86,I86)</f>
        <v>3</v>
      </c>
      <c r="K86" s="13" t="n">
        <f aca="false">MIN(E86,G86,I86)</f>
        <v>32</v>
      </c>
      <c r="L86" s="9" t="str">
        <f aca="false">IF(E86=K86,"5000m",IF(G86=K86,"3000mSC","1500m"))</f>
        <v>3000mSC</v>
      </c>
      <c r="M86" s="14" t="n">
        <f aca="false">(D86&lt;&gt;"")*(D86&lt;=($E$3*60+$F$3)/86400)+(F86&lt;&gt;"")*(F86&lt;=($I$3*60+$J$3)/86400)+(H86&lt;&gt;"")*(H86&lt;=($M$3*60+$N$3)/86400)</f>
        <v>0</v>
      </c>
      <c r="N86" s="16"/>
      <c r="O86" s="15"/>
    </row>
    <row r="87" customFormat="false" ht="15" hidden="false" customHeight="false" outlineLevel="0" collapsed="false">
      <c r="A87" s="9" t="n">
        <v>81</v>
      </c>
      <c r="B87" s="10" t="s">
        <v>163</v>
      </c>
      <c r="C87" s="10" t="s">
        <v>164</v>
      </c>
      <c r="D87" s="11" t="n">
        <v>0.0100430555555556</v>
      </c>
      <c r="E87" s="12" t="n">
        <v>32</v>
      </c>
      <c r="F87" s="11"/>
      <c r="G87" s="12"/>
      <c r="H87" s="11" t="n">
        <v>0.00272511574074074</v>
      </c>
      <c r="I87" s="12" t="n">
        <v>58</v>
      </c>
      <c r="J87" s="12" t="n">
        <f aca="false">COUNT(E87,G87,I87)</f>
        <v>2</v>
      </c>
      <c r="K87" s="13" t="n">
        <f aca="false">MIN(E87,G87,I87)</f>
        <v>32</v>
      </c>
      <c r="L87" s="9" t="str">
        <f aca="false">IF(E87=K87,"5000m",IF(G87=K87,"3000mSC","1500m"))</f>
        <v>5000m</v>
      </c>
      <c r="M87" s="14" t="n">
        <f aca="false">(D87&lt;&gt;"")*(D87&lt;=($E$3*60+$F$3)/86400)+(F87&lt;&gt;"")*(F87&lt;=($I$3*60+$J$3)/86400)+(H87&lt;&gt;"")*(H87&lt;=($M$3*60+$N$3)/86400)</f>
        <v>1</v>
      </c>
      <c r="N87" s="16"/>
      <c r="O87" s="15"/>
    </row>
    <row r="88" customFormat="false" ht="15" hidden="false" customHeight="false" outlineLevel="0" collapsed="false">
      <c r="A88" s="9" t="n">
        <v>82</v>
      </c>
      <c r="B88" s="10" t="s">
        <v>165</v>
      </c>
      <c r="C88" s="10" t="s">
        <v>166</v>
      </c>
      <c r="D88" s="11" t="n">
        <v>0.010158912037037</v>
      </c>
      <c r="E88" s="12" t="n">
        <v>75</v>
      </c>
      <c r="F88" s="11"/>
      <c r="G88" s="12"/>
      <c r="H88" s="11" t="n">
        <v>0.00270787037037037</v>
      </c>
      <c r="I88" s="12" t="n">
        <v>32</v>
      </c>
      <c r="J88" s="12" t="n">
        <f aca="false">COUNT(E88,G88,I88)</f>
        <v>2</v>
      </c>
      <c r="K88" s="13" t="n">
        <f aca="false">MIN(E88,G88,I88)</f>
        <v>32</v>
      </c>
      <c r="L88" s="9" t="str">
        <f aca="false">IF(E88=K88,"5000m",IF(G88=K88,"3000mSC","1500m"))</f>
        <v>1500m</v>
      </c>
      <c r="M88" s="14" t="n">
        <f aca="false">(D88&lt;&gt;"")*(D88&lt;=($E$3*60+$F$3)/86400)+(F88&lt;&gt;"")*(F88&lt;=($I$3*60+$J$3)/86400)+(H88&lt;&gt;"")*(H88&lt;=($M$3*60+$N$3)/86400)</f>
        <v>1</v>
      </c>
      <c r="N88" s="16"/>
      <c r="O88" s="15"/>
    </row>
    <row r="89" customFormat="false" ht="25.35" hidden="false" customHeight="false" outlineLevel="0" collapsed="false">
      <c r="A89" s="9" t="n">
        <v>83</v>
      </c>
      <c r="B89" s="10" t="s">
        <v>167</v>
      </c>
      <c r="C89" s="10" t="s">
        <v>168</v>
      </c>
      <c r="D89" s="11" t="n">
        <v>0.0106184027777778</v>
      </c>
      <c r="E89" s="12" t="n">
        <v>495</v>
      </c>
      <c r="F89" s="11" t="n">
        <v>0.00649166666666667</v>
      </c>
      <c r="G89" s="12" t="n">
        <v>33</v>
      </c>
      <c r="H89" s="11" t="n">
        <v>0.0028912037037037</v>
      </c>
      <c r="I89" s="12" t="n">
        <v>878</v>
      </c>
      <c r="J89" s="12" t="n">
        <f aca="false">COUNT(E89,G89,I89)</f>
        <v>3</v>
      </c>
      <c r="K89" s="13" t="n">
        <f aca="false">MIN(E89,G89,I89)</f>
        <v>33</v>
      </c>
      <c r="L89" s="9" t="str">
        <f aca="false">IF(E89=K89,"5000m",IF(G89=K89,"3000mSC","1500m"))</f>
        <v>3000mSC</v>
      </c>
      <c r="M89" s="14" t="n">
        <f aca="false">(D89&lt;&gt;"")*(D89&lt;=($E$3*60+$F$3)/86400)+(F89&lt;&gt;"")*(F89&lt;=($I$3*60+$J$3)/86400)+(H89&lt;&gt;"")*(H89&lt;=($M$3*60+$N$3)/86400)</f>
        <v>0</v>
      </c>
      <c r="N89" s="16"/>
      <c r="O89" s="15"/>
    </row>
    <row r="90" customFormat="false" ht="15" hidden="false" customHeight="false" outlineLevel="0" collapsed="false">
      <c r="A90" s="9" t="n">
        <v>84</v>
      </c>
      <c r="B90" s="10" t="s">
        <v>169</v>
      </c>
      <c r="C90" s="10" t="s">
        <v>29</v>
      </c>
      <c r="D90" s="11" t="n">
        <v>0.0100454861111111</v>
      </c>
      <c r="E90" s="12" t="n">
        <v>33</v>
      </c>
      <c r="F90" s="11"/>
      <c r="G90" s="12"/>
      <c r="H90" s="11" t="n">
        <v>0.00273946759259259</v>
      </c>
      <c r="I90" s="12" t="n">
        <v>84</v>
      </c>
      <c r="J90" s="12" t="n">
        <f aca="false">COUNT(E90,G90,I90)</f>
        <v>2</v>
      </c>
      <c r="K90" s="13" t="n">
        <f aca="false">MIN(E90,G90,I90)</f>
        <v>33</v>
      </c>
      <c r="L90" s="9" t="str">
        <f aca="false">IF(E90=K90,"5000m",IF(G90=K90,"3000mSC","1500m"))</f>
        <v>5000m</v>
      </c>
      <c r="M90" s="14" t="n">
        <f aca="false">(D90&lt;&gt;"")*(D90&lt;=($E$3*60+$F$3)/86400)+(F90&lt;&gt;"")*(F90&lt;=($I$3*60+$J$3)/86400)+(H90&lt;&gt;"")*(H90&lt;=($M$3*60+$N$3)/86400)</f>
        <v>1</v>
      </c>
      <c r="N90" s="16"/>
      <c r="O90" s="15"/>
    </row>
    <row r="91" customFormat="false" ht="15" hidden="false" customHeight="false" outlineLevel="0" collapsed="false">
      <c r="A91" s="9" t="n">
        <v>85</v>
      </c>
      <c r="B91" s="10" t="s">
        <v>170</v>
      </c>
      <c r="C91" s="10" t="s">
        <v>171</v>
      </c>
      <c r="D91" s="11" t="n">
        <v>0.0104740740740741</v>
      </c>
      <c r="E91" s="12" t="n">
        <v>320</v>
      </c>
      <c r="F91" s="11"/>
      <c r="G91" s="12"/>
      <c r="H91" s="11" t="n">
        <v>0.00270844907407407</v>
      </c>
      <c r="I91" s="12" t="n">
        <v>33</v>
      </c>
      <c r="J91" s="12" t="n">
        <f aca="false">COUNT(E91,G91,I91)</f>
        <v>2</v>
      </c>
      <c r="K91" s="13" t="n">
        <f aca="false">MIN(E91,G91,I91)</f>
        <v>33</v>
      </c>
      <c r="L91" s="9" t="str">
        <f aca="false">IF(E91=K91,"5000m",IF(G91=K91,"3000mSC","1500m"))</f>
        <v>1500m</v>
      </c>
      <c r="M91" s="14" t="n">
        <f aca="false">(D91&lt;&gt;"")*(D91&lt;=($E$3*60+$F$3)/86400)+(F91&lt;&gt;"")*(F91&lt;=($I$3*60+$J$3)/86400)+(H91&lt;&gt;"")*(H91&lt;=($M$3*60+$N$3)/86400)</f>
        <v>1</v>
      </c>
      <c r="N91" s="16"/>
      <c r="O91" s="15"/>
    </row>
    <row r="92" customFormat="false" ht="25.35" hidden="false" customHeight="false" outlineLevel="0" collapsed="false">
      <c r="A92" s="9" t="n">
        <v>86</v>
      </c>
      <c r="B92" s="10" t="s">
        <v>172</v>
      </c>
      <c r="C92" s="10" t="s">
        <v>173</v>
      </c>
      <c r="D92" s="11" t="n">
        <v>0.0104847222222222</v>
      </c>
      <c r="E92" s="12" t="n">
        <v>328</v>
      </c>
      <c r="F92" s="11" t="n">
        <v>0.00649502314814815</v>
      </c>
      <c r="G92" s="12" t="n">
        <v>34</v>
      </c>
      <c r="H92" s="11" t="n">
        <v>0.00281458333333333</v>
      </c>
      <c r="I92" s="12" t="n">
        <v>342</v>
      </c>
      <c r="J92" s="12" t="n">
        <f aca="false">COUNT(E92,G92,I92)</f>
        <v>3</v>
      </c>
      <c r="K92" s="13" t="n">
        <f aca="false">MIN(E92,G92,I92)</f>
        <v>34</v>
      </c>
      <c r="L92" s="9" t="str">
        <f aca="false">IF(E92=K92,"5000m",IF(G92=K92,"3000mSC","1500m"))</f>
        <v>3000mSC</v>
      </c>
      <c r="M92" s="14" t="n">
        <f aca="false">(D92&lt;&gt;"")*(D92&lt;=($E$3*60+$F$3)/86400)+(F92&lt;&gt;"")*(F92&lt;=($I$3*60+$J$3)/86400)+(H92&lt;&gt;"")*(H92&lt;=($M$3*60+$N$3)/86400)</f>
        <v>0</v>
      </c>
      <c r="N92" s="16"/>
      <c r="O92" s="15"/>
    </row>
    <row r="93" customFormat="false" ht="15" hidden="false" customHeight="false" outlineLevel="0" collapsed="false">
      <c r="A93" s="9" t="n">
        <v>87</v>
      </c>
      <c r="B93" s="10" t="s">
        <v>174</v>
      </c>
      <c r="C93" s="10" t="s">
        <v>175</v>
      </c>
      <c r="D93" s="11" t="n">
        <v>0.0100482638888889</v>
      </c>
      <c r="E93" s="12" t="n">
        <v>34</v>
      </c>
      <c r="F93" s="11"/>
      <c r="G93" s="12"/>
      <c r="H93" s="11"/>
      <c r="I93" s="12"/>
      <c r="J93" s="12" t="n">
        <f aca="false">COUNT(E93,G93,I93)</f>
        <v>1</v>
      </c>
      <c r="K93" s="13" t="n">
        <f aca="false">MIN(E93,G93,I93)</f>
        <v>34</v>
      </c>
      <c r="L93" s="9" t="str">
        <f aca="false">IF(E93=K93,"5000m",IF(G93=K93,"3000mSC","1500m"))</f>
        <v>5000m</v>
      </c>
      <c r="M93" s="14" t="n">
        <f aca="false">(D93&lt;&gt;"")*(D93&lt;=($E$3*60+$F$3)/86400)+(F93&lt;&gt;"")*(F93&lt;=($I$3*60+$J$3)/86400)+(H93&lt;&gt;"")*(H93&lt;=($M$3*60+$N$3)/86400)</f>
        <v>1</v>
      </c>
      <c r="N93" s="16"/>
      <c r="O93" s="15"/>
    </row>
    <row r="94" customFormat="false" ht="25.35" hidden="false" customHeight="false" outlineLevel="0" collapsed="false">
      <c r="A94" s="9" t="n">
        <v>88</v>
      </c>
      <c r="B94" s="10" t="s">
        <v>176</v>
      </c>
      <c r="C94" s="10" t="s">
        <v>177</v>
      </c>
      <c r="D94" s="11" t="n">
        <v>0.0109936342592593</v>
      </c>
      <c r="E94" s="12" t="n">
        <v>1086</v>
      </c>
      <c r="F94" s="11" t="n">
        <v>0.00649803240740741</v>
      </c>
      <c r="G94" s="12" t="n">
        <v>35</v>
      </c>
      <c r="H94" s="11" t="n">
        <v>0.00290150462962963</v>
      </c>
      <c r="I94" s="12" t="n">
        <v>958</v>
      </c>
      <c r="J94" s="12" t="n">
        <f aca="false">COUNT(E94,G94,I94)</f>
        <v>3</v>
      </c>
      <c r="K94" s="13" t="n">
        <f aca="false">MIN(E94,G94,I94)</f>
        <v>35</v>
      </c>
      <c r="L94" s="9" t="str">
        <f aca="false">IF(E94=K94,"5000m",IF(G94=K94,"3000mSC","1500m"))</f>
        <v>3000mSC</v>
      </c>
      <c r="M94" s="14" t="n">
        <f aca="false">(D94&lt;&gt;"")*(D94&lt;=($E$3*60+$F$3)/86400)+(F94&lt;&gt;"")*(F94&lt;=($I$3*60+$J$3)/86400)+(H94&lt;&gt;"")*(H94&lt;=($M$3*60+$N$3)/86400)</f>
        <v>0</v>
      </c>
      <c r="N94" s="16"/>
      <c r="O94" s="15"/>
    </row>
    <row r="95" customFormat="false" ht="15" hidden="false" customHeight="false" outlineLevel="0" collapsed="false">
      <c r="A95" s="9" t="n">
        <v>89</v>
      </c>
      <c r="B95" s="10" t="s">
        <v>178</v>
      </c>
      <c r="C95" s="10" t="s">
        <v>179</v>
      </c>
      <c r="D95" s="11" t="n">
        <v>0.0100494212962963</v>
      </c>
      <c r="E95" s="12" t="n">
        <v>35</v>
      </c>
      <c r="F95" s="11"/>
      <c r="G95" s="12"/>
      <c r="H95" s="11" t="n">
        <v>0.00274490740740741</v>
      </c>
      <c r="I95" s="12" t="n">
        <v>90</v>
      </c>
      <c r="J95" s="12" t="n">
        <f aca="false">COUNT(E95,G95,I95)</f>
        <v>2</v>
      </c>
      <c r="K95" s="13" t="n">
        <f aca="false">MIN(E95,G95,I95)</f>
        <v>35</v>
      </c>
      <c r="L95" s="9" t="str">
        <f aca="false">IF(E95=K95,"5000m",IF(G95=K95,"3000mSC","1500m"))</f>
        <v>5000m</v>
      </c>
      <c r="M95" s="14" t="n">
        <f aca="false">(D95&lt;&gt;"")*(D95&lt;=($E$3*60+$F$3)/86400)+(F95&lt;&gt;"")*(F95&lt;=($I$3*60+$J$3)/86400)+(H95&lt;&gt;"")*(H95&lt;=($M$3*60+$N$3)/86400)</f>
        <v>1</v>
      </c>
      <c r="N95" s="16"/>
      <c r="O95" s="15"/>
    </row>
    <row r="96" customFormat="false" ht="15" hidden="false" customHeight="false" outlineLevel="0" collapsed="false">
      <c r="A96" s="9" t="n">
        <v>90</v>
      </c>
      <c r="B96" s="10" t="s">
        <v>180</v>
      </c>
      <c r="C96" s="10" t="s">
        <v>181</v>
      </c>
      <c r="D96" s="11" t="n">
        <v>0.0105988425925926</v>
      </c>
      <c r="E96" s="12" t="n">
        <v>461</v>
      </c>
      <c r="F96" s="11"/>
      <c r="G96" s="12"/>
      <c r="H96" s="11" t="n">
        <v>0.00270983796296296</v>
      </c>
      <c r="I96" s="12" t="n">
        <v>35</v>
      </c>
      <c r="J96" s="12" t="n">
        <f aca="false">COUNT(E96,G96,I96)</f>
        <v>2</v>
      </c>
      <c r="K96" s="13" t="n">
        <f aca="false">MIN(E96,G96,I96)</f>
        <v>35</v>
      </c>
      <c r="L96" s="9" t="str">
        <f aca="false">IF(E96=K96,"5000m",IF(G96=K96,"3000mSC","1500m"))</f>
        <v>1500m</v>
      </c>
      <c r="M96" s="14" t="n">
        <f aca="false">(D96&lt;&gt;"")*(D96&lt;=($E$3*60+$F$3)/86400)+(F96&lt;&gt;"")*(F96&lt;=($I$3*60+$J$3)/86400)+(H96&lt;&gt;"")*(H96&lt;=($M$3*60+$N$3)/86400)</f>
        <v>1</v>
      </c>
      <c r="N96" s="16"/>
      <c r="O96" s="15"/>
    </row>
    <row r="97" customFormat="false" ht="25.35" hidden="false" customHeight="false" outlineLevel="0" collapsed="false">
      <c r="A97" s="9" t="n">
        <v>91</v>
      </c>
      <c r="B97" s="10" t="s">
        <v>182</v>
      </c>
      <c r="C97" s="10" t="s">
        <v>183</v>
      </c>
      <c r="D97" s="11" t="n">
        <v>0.0104319444444445</v>
      </c>
      <c r="E97" s="12" t="n">
        <v>295</v>
      </c>
      <c r="F97" s="11" t="n">
        <v>0.00650046296296296</v>
      </c>
      <c r="G97" s="12" t="n">
        <v>36</v>
      </c>
      <c r="H97" s="11" t="n">
        <v>0.00285821759259259</v>
      </c>
      <c r="I97" s="12" t="n">
        <v>623</v>
      </c>
      <c r="J97" s="12" t="n">
        <f aca="false">COUNT(E97,G97,I97)</f>
        <v>3</v>
      </c>
      <c r="K97" s="13" t="n">
        <f aca="false">MIN(E97,G97,I97)</f>
        <v>36</v>
      </c>
      <c r="L97" s="9" t="str">
        <f aca="false">IF(E97=K97,"5000m",IF(G97=K97,"3000mSC","1500m"))</f>
        <v>3000mSC</v>
      </c>
      <c r="M97" s="14" t="n">
        <f aca="false">(D97&lt;&gt;"")*(D97&lt;=($E$3*60+$F$3)/86400)+(F97&lt;&gt;"")*(F97&lt;=($I$3*60+$J$3)/86400)+(H97&lt;&gt;"")*(H97&lt;=($M$3*60+$N$3)/86400)</f>
        <v>0</v>
      </c>
      <c r="N97" s="16"/>
      <c r="O97" s="15"/>
    </row>
    <row r="98" customFormat="false" ht="15" hidden="false" customHeight="false" outlineLevel="0" collapsed="false">
      <c r="A98" s="9" t="n">
        <v>92</v>
      </c>
      <c r="B98" s="10" t="s">
        <v>184</v>
      </c>
      <c r="C98" s="10" t="s">
        <v>185</v>
      </c>
      <c r="D98" s="11" t="n">
        <v>0.0100496527777778</v>
      </c>
      <c r="E98" s="12" t="n">
        <v>36</v>
      </c>
      <c r="F98" s="11"/>
      <c r="G98" s="12"/>
      <c r="H98" s="11" t="n">
        <v>0.00277361111111111</v>
      </c>
      <c r="I98" s="12" t="n">
        <v>171</v>
      </c>
      <c r="J98" s="12" t="n">
        <f aca="false">COUNT(E98,G98,I98)</f>
        <v>2</v>
      </c>
      <c r="K98" s="13" t="n">
        <f aca="false">MIN(E98,G98,I98)</f>
        <v>36</v>
      </c>
      <c r="L98" s="9" t="str">
        <f aca="false">IF(E98=K98,"5000m",IF(G98=K98,"3000mSC","1500m"))</f>
        <v>5000m</v>
      </c>
      <c r="M98" s="14" t="n">
        <f aca="false">(D98&lt;&gt;"")*(D98&lt;=($E$3*60+$F$3)/86400)+(F98&lt;&gt;"")*(F98&lt;=($I$3*60+$J$3)/86400)+(H98&lt;&gt;"")*(H98&lt;=($M$3*60+$N$3)/86400)</f>
        <v>1</v>
      </c>
      <c r="N98" s="16"/>
      <c r="O98" s="15"/>
    </row>
    <row r="99" customFormat="false" ht="15" hidden="false" customHeight="false" outlineLevel="0" collapsed="false">
      <c r="A99" s="9" t="n">
        <v>93</v>
      </c>
      <c r="B99" s="10" t="s">
        <v>186</v>
      </c>
      <c r="C99" s="10" t="s">
        <v>25</v>
      </c>
      <c r="D99" s="11"/>
      <c r="E99" s="12"/>
      <c r="F99" s="11"/>
      <c r="G99" s="12"/>
      <c r="H99" s="11" t="n">
        <v>0.00271087962962963</v>
      </c>
      <c r="I99" s="12" t="n">
        <v>36</v>
      </c>
      <c r="J99" s="12" t="n">
        <f aca="false">COUNT(E99,G99,I99)</f>
        <v>1</v>
      </c>
      <c r="K99" s="13" t="n">
        <f aca="false">MIN(E99,G99,I99)</f>
        <v>36</v>
      </c>
      <c r="L99" s="9" t="str">
        <f aca="false">IF(E99=K99,"5000m",IF(G99=K99,"3000mSC","1500m"))</f>
        <v>1500m</v>
      </c>
      <c r="M99" s="14" t="n">
        <f aca="false">(D99&lt;&gt;"")*(D99&lt;=($E$3*60+$F$3)/86400)+(F99&lt;&gt;"")*(F99&lt;=($I$3*60+$J$3)/86400)+(H99&lt;&gt;"")*(H99&lt;=($M$3*60+$N$3)/86400)</f>
        <v>1</v>
      </c>
      <c r="N99" s="16"/>
      <c r="O99" s="15"/>
    </row>
    <row r="100" customFormat="false" ht="25.35" hidden="false" customHeight="false" outlineLevel="0" collapsed="false">
      <c r="A100" s="9" t="n">
        <v>94</v>
      </c>
      <c r="B100" s="10" t="s">
        <v>187</v>
      </c>
      <c r="C100" s="10" t="s">
        <v>188</v>
      </c>
      <c r="D100" s="11" t="n">
        <v>0.0103741898148148</v>
      </c>
      <c r="E100" s="12" t="n">
        <v>229</v>
      </c>
      <c r="F100" s="11" t="n">
        <v>0.00650520833333333</v>
      </c>
      <c r="G100" s="12" t="n">
        <v>37</v>
      </c>
      <c r="H100" s="11" t="n">
        <v>0.00288148148148148</v>
      </c>
      <c r="I100" s="12" t="n">
        <v>784</v>
      </c>
      <c r="J100" s="12" t="n">
        <f aca="false">COUNT(E100,G100,I100)</f>
        <v>3</v>
      </c>
      <c r="K100" s="13" t="n">
        <f aca="false">MIN(E100,G100,I100)</f>
        <v>37</v>
      </c>
      <c r="L100" s="9" t="str">
        <f aca="false">IF(E100=K100,"5000m",IF(G100=K100,"3000mSC","1500m"))</f>
        <v>3000mSC</v>
      </c>
      <c r="M100" s="14" t="n">
        <f aca="false">(D100&lt;&gt;"")*(D100&lt;=($E$3*60+$F$3)/86400)+(F100&lt;&gt;"")*(F100&lt;=($I$3*60+$J$3)/86400)+(H100&lt;&gt;"")*(H100&lt;=($M$3*60+$N$3)/86400)</f>
        <v>0</v>
      </c>
      <c r="N100" s="16"/>
      <c r="O100" s="15"/>
    </row>
    <row r="101" customFormat="false" ht="15" hidden="false" customHeight="false" outlineLevel="0" collapsed="false">
      <c r="A101" s="9" t="n">
        <v>95</v>
      </c>
      <c r="B101" s="10" t="s">
        <v>189</v>
      </c>
      <c r="C101" s="10" t="s">
        <v>190</v>
      </c>
      <c r="D101" s="11" t="n">
        <v>0.0100549768518519</v>
      </c>
      <c r="E101" s="12" t="n">
        <v>37</v>
      </c>
      <c r="F101" s="11"/>
      <c r="G101" s="12"/>
      <c r="H101" s="11" t="n">
        <v>0.00277592592592593</v>
      </c>
      <c r="I101" s="12" t="n">
        <v>182</v>
      </c>
      <c r="J101" s="12" t="n">
        <f aca="false">COUNT(E101,G101,I101)</f>
        <v>2</v>
      </c>
      <c r="K101" s="13" t="n">
        <f aca="false">MIN(E101,G101,I101)</f>
        <v>37</v>
      </c>
      <c r="L101" s="9" t="str">
        <f aca="false">IF(E101=K101,"5000m",IF(G101=K101,"3000mSC","1500m"))</f>
        <v>5000m</v>
      </c>
      <c r="M101" s="14" t="n">
        <f aca="false">(D101&lt;&gt;"")*(D101&lt;=($E$3*60+$F$3)/86400)+(F101&lt;&gt;"")*(F101&lt;=($I$3*60+$J$3)/86400)+(H101&lt;&gt;"")*(H101&lt;=($M$3*60+$N$3)/86400)</f>
        <v>1</v>
      </c>
      <c r="N101" s="16"/>
      <c r="O101" s="15"/>
    </row>
    <row r="102" customFormat="false" ht="15" hidden="false" customHeight="false" outlineLevel="0" collapsed="false">
      <c r="A102" s="9" t="n">
        <v>96</v>
      </c>
      <c r="B102" s="10" t="s">
        <v>191</v>
      </c>
      <c r="C102" s="10" t="s">
        <v>62</v>
      </c>
      <c r="D102" s="11" t="n">
        <v>0.0103731481481482</v>
      </c>
      <c r="E102" s="12" t="n">
        <v>227</v>
      </c>
      <c r="F102" s="11"/>
      <c r="G102" s="12"/>
      <c r="H102" s="11" t="n">
        <v>0.00271180555555556</v>
      </c>
      <c r="I102" s="12" t="n">
        <v>37</v>
      </c>
      <c r="J102" s="12" t="n">
        <f aca="false">COUNT(E102,G102,I102)</f>
        <v>2</v>
      </c>
      <c r="K102" s="13" t="n">
        <f aca="false">MIN(E102,G102,I102)</f>
        <v>37</v>
      </c>
      <c r="L102" s="9" t="str">
        <f aca="false">IF(E102=K102,"5000m",IF(G102=K102,"3000mSC","1500m"))</f>
        <v>1500m</v>
      </c>
      <c r="M102" s="14" t="n">
        <f aca="false">(D102&lt;&gt;"")*(D102&lt;=($E$3*60+$F$3)/86400)+(F102&lt;&gt;"")*(F102&lt;=($I$3*60+$J$3)/86400)+(H102&lt;&gt;"")*(H102&lt;=($M$3*60+$N$3)/86400)</f>
        <v>1</v>
      </c>
      <c r="N102" s="16"/>
      <c r="O102" s="15"/>
    </row>
    <row r="103" customFormat="false" ht="25.35" hidden="false" customHeight="false" outlineLevel="0" collapsed="false">
      <c r="A103" s="9" t="n">
        <v>97</v>
      </c>
      <c r="B103" s="10" t="s">
        <v>192</v>
      </c>
      <c r="C103" s="10" t="s">
        <v>193</v>
      </c>
      <c r="D103" s="11" t="n">
        <v>0.0104118055555556</v>
      </c>
      <c r="E103" s="12" t="n">
        <v>279</v>
      </c>
      <c r="F103" s="11" t="n">
        <v>0.00650740740740741</v>
      </c>
      <c r="G103" s="12" t="n">
        <v>38</v>
      </c>
      <c r="H103" s="11" t="n">
        <v>0.00278425925925926</v>
      </c>
      <c r="I103" s="12" t="n">
        <v>217</v>
      </c>
      <c r="J103" s="12" t="n">
        <f aca="false">COUNT(E103,G103,I103)</f>
        <v>3</v>
      </c>
      <c r="K103" s="13" t="n">
        <f aca="false">MIN(E103,G103,I103)</f>
        <v>38</v>
      </c>
      <c r="L103" s="9" t="str">
        <f aca="false">IF(E103=K103,"5000m",IF(G103=K103,"3000mSC","1500m"))</f>
        <v>3000mSC</v>
      </c>
      <c r="M103" s="14" t="n">
        <f aca="false">(D103&lt;&gt;"")*(D103&lt;=($E$3*60+$F$3)/86400)+(F103&lt;&gt;"")*(F103&lt;=($I$3*60+$J$3)/86400)+(H103&lt;&gt;"")*(H103&lt;=($M$3*60+$N$3)/86400)</f>
        <v>0</v>
      </c>
      <c r="N103" s="16"/>
      <c r="O103" s="15"/>
    </row>
    <row r="104" customFormat="false" ht="15" hidden="false" customHeight="false" outlineLevel="0" collapsed="false">
      <c r="A104" s="9" t="n">
        <v>98</v>
      </c>
      <c r="B104" s="10" t="s">
        <v>194</v>
      </c>
      <c r="C104" s="10" t="s">
        <v>195</v>
      </c>
      <c r="D104" s="11" t="n">
        <v>0.0100549768518519</v>
      </c>
      <c r="E104" s="12" t="n">
        <v>38</v>
      </c>
      <c r="F104" s="11"/>
      <c r="G104" s="12"/>
      <c r="H104" s="11" t="n">
        <v>0.00271759259259259</v>
      </c>
      <c r="I104" s="12" t="n">
        <v>46</v>
      </c>
      <c r="J104" s="12" t="n">
        <f aca="false">COUNT(E104,G104,I104)</f>
        <v>2</v>
      </c>
      <c r="K104" s="13" t="n">
        <f aca="false">MIN(E104,G104,I104)</f>
        <v>38</v>
      </c>
      <c r="L104" s="9" t="str">
        <f aca="false">IF(E104=K104,"5000m",IF(G104=K104,"3000mSC","1500m"))</f>
        <v>5000m</v>
      </c>
      <c r="M104" s="14" t="n">
        <f aca="false">(D104&lt;&gt;"")*(D104&lt;=($E$3*60+$F$3)/86400)+(F104&lt;&gt;"")*(F104&lt;=($I$3*60+$J$3)/86400)+(H104&lt;&gt;"")*(H104&lt;=($M$3*60+$N$3)/86400)</f>
        <v>2</v>
      </c>
      <c r="N104" s="16"/>
      <c r="O104" s="15"/>
    </row>
    <row r="105" customFormat="false" ht="15" hidden="false" customHeight="false" outlineLevel="0" collapsed="false">
      <c r="A105" s="9" t="n">
        <v>99</v>
      </c>
      <c r="B105" s="10" t="s">
        <v>196</v>
      </c>
      <c r="C105" s="10" t="s">
        <v>55</v>
      </c>
      <c r="D105" s="11" t="n">
        <v>0.0100895833333333</v>
      </c>
      <c r="E105" s="12" t="n">
        <v>46</v>
      </c>
      <c r="F105" s="11"/>
      <c r="G105" s="12"/>
      <c r="H105" s="11" t="n">
        <v>0.00271238425925926</v>
      </c>
      <c r="I105" s="12" t="n">
        <v>38</v>
      </c>
      <c r="J105" s="12" t="n">
        <f aca="false">COUNT(E105,G105,I105)</f>
        <v>2</v>
      </c>
      <c r="K105" s="13" t="n">
        <f aca="false">MIN(E105,G105,I105)</f>
        <v>38</v>
      </c>
      <c r="L105" s="9" t="str">
        <f aca="false">IF(E105=K105,"5000m",IF(G105=K105,"3000mSC","1500m"))</f>
        <v>1500m</v>
      </c>
      <c r="M105" s="14" t="n">
        <f aca="false">(D105&lt;&gt;"")*(D105&lt;=($E$3*60+$F$3)/86400)+(F105&lt;&gt;"")*(F105&lt;=($I$3*60+$J$3)/86400)+(H105&lt;&gt;"")*(H105&lt;=($M$3*60+$N$3)/86400)</f>
        <v>1</v>
      </c>
      <c r="N105" s="16"/>
      <c r="O105" s="15"/>
    </row>
    <row r="106" customFormat="false" ht="25.35" hidden="false" customHeight="false" outlineLevel="0" collapsed="false">
      <c r="A106" s="9" t="n">
        <v>100</v>
      </c>
      <c r="B106" s="10" t="s">
        <v>197</v>
      </c>
      <c r="C106" s="10" t="s">
        <v>72</v>
      </c>
      <c r="D106" s="11" t="n">
        <v>0.010396412037037</v>
      </c>
      <c r="E106" s="12" t="n">
        <v>256</v>
      </c>
      <c r="F106" s="11" t="n">
        <v>0.00652337962962963</v>
      </c>
      <c r="G106" s="12" t="n">
        <v>39</v>
      </c>
      <c r="H106" s="11" t="n">
        <v>0.00278912037037037</v>
      </c>
      <c r="I106" s="12" t="n">
        <v>237</v>
      </c>
      <c r="J106" s="12" t="n">
        <f aca="false">COUNT(E106,G106,I106)</f>
        <v>3</v>
      </c>
      <c r="K106" s="13" t="n">
        <f aca="false">MIN(E106,G106,I106)</f>
        <v>39</v>
      </c>
      <c r="L106" s="9" t="str">
        <f aca="false">IF(E106=K106,"5000m",IF(G106=K106,"3000mSC","1500m"))</f>
        <v>3000mSC</v>
      </c>
      <c r="M106" s="14" t="n">
        <f aca="false">(D106&lt;&gt;"")*(D106&lt;=($E$3*60+$F$3)/86400)+(F106&lt;&gt;"")*(F106&lt;=($I$3*60+$J$3)/86400)+(H106&lt;&gt;"")*(H106&lt;=($M$3*60+$N$3)/86400)</f>
        <v>0</v>
      </c>
      <c r="N106" s="16"/>
      <c r="O106" s="15"/>
    </row>
    <row r="107" customFormat="false" ht="15" hidden="false" customHeight="false" outlineLevel="0" collapsed="false">
      <c r="A107" s="9" t="n">
        <v>101</v>
      </c>
      <c r="B107" s="10" t="s">
        <v>198</v>
      </c>
      <c r="C107" s="10" t="s">
        <v>95</v>
      </c>
      <c r="D107" s="11" t="n">
        <v>0.0101003472222222</v>
      </c>
      <c r="E107" s="12" t="n">
        <v>52</v>
      </c>
      <c r="F107" s="11"/>
      <c r="G107" s="12"/>
      <c r="H107" s="11" t="n">
        <v>0.00271296296296296</v>
      </c>
      <c r="I107" s="12" t="n">
        <v>39</v>
      </c>
      <c r="J107" s="12" t="n">
        <f aca="false">COUNT(E107,G107,I107)</f>
        <v>2</v>
      </c>
      <c r="K107" s="13" t="n">
        <f aca="false">MIN(E107,G107,I107)</f>
        <v>39</v>
      </c>
      <c r="L107" s="9" t="str">
        <f aca="false">IF(E107=K107,"5000m",IF(G107=K107,"3000mSC","1500m"))</f>
        <v>1500m</v>
      </c>
      <c r="M107" s="14" t="n">
        <f aca="false">(D107&lt;&gt;"")*(D107&lt;=($E$3*60+$F$3)/86400)+(F107&lt;&gt;"")*(F107&lt;=($I$3*60+$J$3)/86400)+(H107&lt;&gt;"")*(H107&lt;=($M$3*60+$N$3)/86400)</f>
        <v>1</v>
      </c>
      <c r="N107" s="16"/>
      <c r="O107" s="15"/>
    </row>
    <row r="108" customFormat="false" ht="15" hidden="false" customHeight="false" outlineLevel="0" collapsed="false">
      <c r="A108" s="9" t="n">
        <v>102</v>
      </c>
      <c r="B108" s="10" t="s">
        <v>199</v>
      </c>
      <c r="C108" s="10" t="s">
        <v>27</v>
      </c>
      <c r="D108" s="11" t="n">
        <v>0.010055787037037</v>
      </c>
      <c r="E108" s="12" t="n">
        <v>39</v>
      </c>
      <c r="F108" s="11"/>
      <c r="G108" s="12"/>
      <c r="H108" s="11" t="n">
        <v>0.00295462962962963</v>
      </c>
      <c r="I108" s="12" t="n">
        <v>1252</v>
      </c>
      <c r="J108" s="12" t="n">
        <f aca="false">COUNT(E108,G108,I108)</f>
        <v>2</v>
      </c>
      <c r="K108" s="13" t="n">
        <f aca="false">MIN(E108,G108,I108)</f>
        <v>39</v>
      </c>
      <c r="L108" s="9" t="str">
        <f aca="false">IF(E108=K108,"5000m",IF(G108=K108,"3000mSC","1500m"))</f>
        <v>5000m</v>
      </c>
      <c r="M108" s="14" t="n">
        <f aca="false">(D108&lt;&gt;"")*(D108&lt;=($E$3*60+$F$3)/86400)+(F108&lt;&gt;"")*(F108&lt;=($I$3*60+$J$3)/86400)+(H108&lt;&gt;"")*(H108&lt;=($M$3*60+$N$3)/86400)</f>
        <v>1</v>
      </c>
      <c r="N108" s="16"/>
      <c r="O108" s="15"/>
    </row>
    <row r="109" customFormat="false" ht="25.35" hidden="false" customHeight="false" outlineLevel="0" collapsed="false">
      <c r="A109" s="9" t="n">
        <v>103</v>
      </c>
      <c r="B109" s="10" t="s">
        <v>200</v>
      </c>
      <c r="C109" s="10" t="s">
        <v>201</v>
      </c>
      <c r="D109" s="11" t="n">
        <v>0.0104782407407407</v>
      </c>
      <c r="E109" s="12" t="n">
        <v>323</v>
      </c>
      <c r="F109" s="11" t="n">
        <v>0.00652893518518519</v>
      </c>
      <c r="G109" s="12" t="n">
        <v>40</v>
      </c>
      <c r="H109" s="11"/>
      <c r="I109" s="12"/>
      <c r="J109" s="12" t="n">
        <f aca="false">COUNT(E109,G109,I109)</f>
        <v>2</v>
      </c>
      <c r="K109" s="13" t="n">
        <f aca="false">MIN(E109,G109,I109)</f>
        <v>40</v>
      </c>
      <c r="L109" s="9" t="str">
        <f aca="false">IF(E109=K109,"5000m",IF(G109=K109,"3000mSC","1500m"))</f>
        <v>3000mSC</v>
      </c>
      <c r="M109" s="14" t="n">
        <f aca="false">(D109&lt;&gt;"")*(D109&lt;=($E$3*60+$F$3)/86400)+(F109&lt;&gt;"")*(F109&lt;=($I$3*60+$J$3)/86400)+(H109&lt;&gt;"")*(H109&lt;=($M$3*60+$N$3)/86400)</f>
        <v>0</v>
      </c>
      <c r="N109" s="16"/>
      <c r="O109" s="15"/>
    </row>
    <row r="110" customFormat="false" ht="15" hidden="false" customHeight="false" outlineLevel="0" collapsed="false">
      <c r="A110" s="9" t="n">
        <v>104</v>
      </c>
      <c r="B110" s="10" t="s">
        <v>202</v>
      </c>
      <c r="C110" s="10" t="s">
        <v>60</v>
      </c>
      <c r="D110" s="11" t="n">
        <v>0.0106701388888889</v>
      </c>
      <c r="E110" s="12" t="n">
        <v>548</v>
      </c>
      <c r="F110" s="11"/>
      <c r="G110" s="12"/>
      <c r="H110" s="11" t="n">
        <v>0.0027130787037037</v>
      </c>
      <c r="I110" s="12" t="n">
        <v>40</v>
      </c>
      <c r="J110" s="12" t="n">
        <f aca="false">COUNT(E110,G110,I110)</f>
        <v>2</v>
      </c>
      <c r="K110" s="13" t="n">
        <f aca="false">MIN(E110,G110,I110)</f>
        <v>40</v>
      </c>
      <c r="L110" s="9" t="str">
        <f aca="false">IF(E110=K110,"5000m",IF(G110=K110,"3000mSC","1500m"))</f>
        <v>1500m</v>
      </c>
      <c r="M110" s="14" t="n">
        <f aca="false">(D110&lt;&gt;"")*(D110&lt;=($E$3*60+$F$3)/86400)+(F110&lt;&gt;"")*(F110&lt;=($I$3*60+$J$3)/86400)+(H110&lt;&gt;"")*(H110&lt;=($M$3*60+$N$3)/86400)</f>
        <v>1</v>
      </c>
      <c r="N110" s="16"/>
      <c r="O110" s="15"/>
    </row>
    <row r="111" customFormat="false" ht="15" hidden="false" customHeight="false" outlineLevel="0" collapsed="false">
      <c r="A111" s="9" t="n">
        <v>105</v>
      </c>
      <c r="B111" s="10" t="s">
        <v>203</v>
      </c>
      <c r="C111" s="10" t="s">
        <v>103</v>
      </c>
      <c r="D111" s="11" t="n">
        <v>0.0100653935185185</v>
      </c>
      <c r="E111" s="12" t="n">
        <v>40</v>
      </c>
      <c r="F111" s="11"/>
      <c r="G111" s="12"/>
      <c r="H111" s="11"/>
      <c r="I111" s="12"/>
      <c r="J111" s="12" t="n">
        <f aca="false">COUNT(E111,G111,I111)</f>
        <v>1</v>
      </c>
      <c r="K111" s="13" t="n">
        <f aca="false">MIN(E111,G111,I111)</f>
        <v>40</v>
      </c>
      <c r="L111" s="9" t="str">
        <f aca="false">IF(E111=K111,"5000m",IF(G111=K111,"3000mSC","1500m"))</f>
        <v>5000m</v>
      </c>
      <c r="M111" s="14" t="n">
        <f aca="false">(D111&lt;&gt;"")*(D111&lt;=($E$3*60+$F$3)/86400)+(F111&lt;&gt;"")*(F111&lt;=($I$3*60+$J$3)/86400)+(H111&lt;&gt;"")*(H111&lt;=($M$3*60+$N$3)/86400)</f>
        <v>1</v>
      </c>
      <c r="N111" s="16"/>
      <c r="O111" s="15"/>
    </row>
    <row r="112" customFormat="false" ht="25.35" hidden="false" customHeight="false" outlineLevel="0" collapsed="false">
      <c r="A112" s="9" t="n">
        <v>106</v>
      </c>
      <c r="B112" s="10" t="s">
        <v>204</v>
      </c>
      <c r="C112" s="10" t="s">
        <v>64</v>
      </c>
      <c r="D112" s="11" t="n">
        <v>0.0107318287037037</v>
      </c>
      <c r="E112" s="12" t="n">
        <v>636</v>
      </c>
      <c r="F112" s="11" t="n">
        <v>0.00653611111111111</v>
      </c>
      <c r="G112" s="12" t="n">
        <v>41</v>
      </c>
      <c r="H112" s="11" t="n">
        <v>0.00287986111111111</v>
      </c>
      <c r="I112" s="12" t="n">
        <v>770</v>
      </c>
      <c r="J112" s="12" t="n">
        <f aca="false">COUNT(E112,G112,I112)</f>
        <v>3</v>
      </c>
      <c r="K112" s="13" t="n">
        <f aca="false">MIN(E112,G112,I112)</f>
        <v>41</v>
      </c>
      <c r="L112" s="9" t="str">
        <f aca="false">IF(E112=K112,"5000m",IF(G112=K112,"3000mSC","1500m"))</f>
        <v>3000mSC</v>
      </c>
      <c r="M112" s="14" t="n">
        <f aca="false">(D112&lt;&gt;"")*(D112&lt;=($E$3*60+$F$3)/86400)+(F112&lt;&gt;"")*(F112&lt;=($I$3*60+$J$3)/86400)+(H112&lt;&gt;"")*(H112&lt;=($M$3*60+$N$3)/86400)</f>
        <v>0</v>
      </c>
      <c r="N112" s="16"/>
      <c r="O112" s="15"/>
    </row>
    <row r="113" customFormat="false" ht="15" hidden="false" customHeight="false" outlineLevel="0" collapsed="false">
      <c r="A113" s="9" t="n">
        <v>107</v>
      </c>
      <c r="B113" s="10" t="s">
        <v>205</v>
      </c>
      <c r="C113" s="10" t="s">
        <v>206</v>
      </c>
      <c r="D113" s="11" t="n">
        <v>0.010127662037037</v>
      </c>
      <c r="E113" s="12" t="n">
        <v>59</v>
      </c>
      <c r="F113" s="11"/>
      <c r="G113" s="12"/>
      <c r="H113" s="11" t="n">
        <v>0.00271319444444444</v>
      </c>
      <c r="I113" s="12" t="n">
        <v>41</v>
      </c>
      <c r="J113" s="12" t="n">
        <f aca="false">COUNT(E113,G113,I113)</f>
        <v>2</v>
      </c>
      <c r="K113" s="13" t="n">
        <f aca="false">MIN(E113,G113,I113)</f>
        <v>41</v>
      </c>
      <c r="L113" s="9" t="str">
        <f aca="false">IF(E113=K113,"5000m",IF(G113=K113,"3000mSC","1500m"))</f>
        <v>1500m</v>
      </c>
      <c r="M113" s="14" t="n">
        <f aca="false">(D113&lt;&gt;"")*(D113&lt;=($E$3*60+$F$3)/86400)+(F113&lt;&gt;"")*(F113&lt;=($I$3*60+$J$3)/86400)+(H113&lt;&gt;"")*(H113&lt;=($M$3*60+$N$3)/86400)</f>
        <v>1</v>
      </c>
      <c r="N113" s="16"/>
      <c r="O113" s="15"/>
    </row>
    <row r="114" customFormat="false" ht="15" hidden="false" customHeight="false" outlineLevel="0" collapsed="false">
      <c r="A114" s="9" t="n">
        <v>108</v>
      </c>
      <c r="B114" s="10" t="s">
        <v>207</v>
      </c>
      <c r="C114" s="10" t="s">
        <v>208</v>
      </c>
      <c r="D114" s="11" t="n">
        <v>0.0100755787037037</v>
      </c>
      <c r="E114" s="12" t="n">
        <v>41</v>
      </c>
      <c r="F114" s="11"/>
      <c r="G114" s="12"/>
      <c r="H114" s="11" t="n">
        <v>0.00276655092592593</v>
      </c>
      <c r="I114" s="12" t="n">
        <v>153</v>
      </c>
      <c r="J114" s="12" t="n">
        <f aca="false">COUNT(E114,G114,I114)</f>
        <v>2</v>
      </c>
      <c r="K114" s="13" t="n">
        <f aca="false">MIN(E114,G114,I114)</f>
        <v>41</v>
      </c>
      <c r="L114" s="9" t="str">
        <f aca="false">IF(E114=K114,"5000m",IF(G114=K114,"3000mSC","1500m"))</f>
        <v>5000m</v>
      </c>
      <c r="M114" s="14" t="n">
        <f aca="false">(D114&lt;&gt;"")*(D114&lt;=($E$3*60+$F$3)/86400)+(F114&lt;&gt;"")*(F114&lt;=($I$3*60+$J$3)/86400)+(H114&lt;&gt;"")*(H114&lt;=($M$3*60+$N$3)/86400)</f>
        <v>0</v>
      </c>
      <c r="N114" s="16"/>
      <c r="O114" s="15"/>
    </row>
    <row r="115" customFormat="false" ht="15" hidden="false" customHeight="false" outlineLevel="0" collapsed="false">
      <c r="A115" s="9" t="n">
        <v>109</v>
      </c>
      <c r="B115" s="10" t="s">
        <v>209</v>
      </c>
      <c r="C115" s="10" t="s">
        <v>210</v>
      </c>
      <c r="D115" s="11" t="n">
        <v>0.0103403935185185</v>
      </c>
      <c r="E115" s="12" t="n">
        <v>193</v>
      </c>
      <c r="F115" s="11"/>
      <c r="G115" s="12"/>
      <c r="H115" s="11" t="n">
        <v>0.00271400462962963</v>
      </c>
      <c r="I115" s="12" t="n">
        <v>42</v>
      </c>
      <c r="J115" s="12" t="n">
        <f aca="false">COUNT(E115,G115,I115)</f>
        <v>2</v>
      </c>
      <c r="K115" s="13" t="n">
        <f aca="false">MIN(E115,G115,I115)</f>
        <v>42</v>
      </c>
      <c r="L115" s="9" t="str">
        <f aca="false">IF(E115=K115,"5000m",IF(G115=K115,"3000mSC","1500m"))</f>
        <v>1500m</v>
      </c>
      <c r="M115" s="14" t="n">
        <f aca="false">(D115&lt;&gt;"")*(D115&lt;=($E$3*60+$F$3)/86400)+(F115&lt;&gt;"")*(F115&lt;=($I$3*60+$J$3)/86400)+(H115&lt;&gt;"")*(H115&lt;=($M$3*60+$N$3)/86400)</f>
        <v>1</v>
      </c>
      <c r="N115" s="16"/>
      <c r="O115" s="15"/>
    </row>
    <row r="116" customFormat="false" ht="15" hidden="false" customHeight="false" outlineLevel="0" collapsed="false">
      <c r="A116" s="9" t="n">
        <v>110</v>
      </c>
      <c r="B116" s="10" t="s">
        <v>211</v>
      </c>
      <c r="C116" s="10" t="s">
        <v>29</v>
      </c>
      <c r="D116" s="11" t="n">
        <v>0.0100759259259259</v>
      </c>
      <c r="E116" s="12" t="n">
        <v>42</v>
      </c>
      <c r="F116" s="11"/>
      <c r="G116" s="12"/>
      <c r="H116" s="11" t="n">
        <v>0.00279201388888889</v>
      </c>
      <c r="I116" s="12" t="n">
        <v>249</v>
      </c>
      <c r="J116" s="12" t="n">
        <f aca="false">COUNT(E116,G116,I116)</f>
        <v>2</v>
      </c>
      <c r="K116" s="13" t="n">
        <f aca="false">MIN(E116,G116,I116)</f>
        <v>42</v>
      </c>
      <c r="L116" s="9" t="str">
        <f aca="false">IF(E116=K116,"5000m",IF(G116=K116,"3000mSC","1500m"))</f>
        <v>5000m</v>
      </c>
      <c r="M116" s="14" t="n">
        <f aca="false">(D116&lt;&gt;"")*(D116&lt;=($E$3*60+$F$3)/86400)+(F116&lt;&gt;"")*(F116&lt;=($I$3*60+$J$3)/86400)+(H116&lt;&gt;"")*(H116&lt;=($M$3*60+$N$3)/86400)</f>
        <v>0</v>
      </c>
      <c r="N116" s="16"/>
      <c r="O116" s="15"/>
    </row>
    <row r="117" customFormat="false" ht="25.35" hidden="false" customHeight="false" outlineLevel="0" collapsed="false">
      <c r="A117" s="9" t="n">
        <v>111</v>
      </c>
      <c r="B117" s="10" t="s">
        <v>212</v>
      </c>
      <c r="C117" s="10" t="s">
        <v>213</v>
      </c>
      <c r="D117" s="11" t="n">
        <v>0.0107283564814815</v>
      </c>
      <c r="E117" s="12" t="n">
        <v>630</v>
      </c>
      <c r="F117" s="11" t="n">
        <v>0.00653715277777778</v>
      </c>
      <c r="G117" s="12" t="n">
        <v>42</v>
      </c>
      <c r="H117" s="11"/>
      <c r="I117" s="12"/>
      <c r="J117" s="12" t="n">
        <f aca="false">COUNT(E117,G117,I117)</f>
        <v>2</v>
      </c>
      <c r="K117" s="13" t="n">
        <f aca="false">MIN(E117,G117,I117)</f>
        <v>42</v>
      </c>
      <c r="L117" s="9" t="str">
        <f aca="false">IF(E117=K117,"5000m",IF(G117=K117,"3000mSC","1500m"))</f>
        <v>3000mSC</v>
      </c>
      <c r="M117" s="14" t="n">
        <f aca="false">(D117&lt;&gt;"")*(D117&lt;=($E$3*60+$F$3)/86400)+(F117&lt;&gt;"")*(F117&lt;=($I$3*60+$J$3)/86400)+(H117&lt;&gt;"")*(H117&lt;=($M$3*60+$N$3)/86400)</f>
        <v>0</v>
      </c>
      <c r="N117" s="16"/>
      <c r="O117" s="15"/>
    </row>
    <row r="118" customFormat="false" ht="25.35" hidden="false" customHeight="false" outlineLevel="0" collapsed="false">
      <c r="A118" s="9" t="n">
        <v>112</v>
      </c>
      <c r="B118" s="10" t="s">
        <v>214</v>
      </c>
      <c r="C118" s="10" t="s">
        <v>215</v>
      </c>
      <c r="D118" s="11" t="n">
        <v>0.0103181712962963</v>
      </c>
      <c r="E118" s="12" t="n">
        <v>172</v>
      </c>
      <c r="F118" s="11" t="n">
        <v>0.006540625</v>
      </c>
      <c r="G118" s="12" t="n">
        <v>43</v>
      </c>
      <c r="H118" s="11" t="n">
        <v>0.00277326388888889</v>
      </c>
      <c r="I118" s="12" t="n">
        <v>168</v>
      </c>
      <c r="J118" s="12" t="n">
        <f aca="false">COUNT(E118,G118,I118)</f>
        <v>3</v>
      </c>
      <c r="K118" s="13" t="n">
        <f aca="false">MIN(E118,G118,I118)</f>
        <v>43</v>
      </c>
      <c r="L118" s="9" t="str">
        <f aca="false">IF(E118=K118,"5000m",IF(G118=K118,"3000mSC","1500m"))</f>
        <v>3000mSC</v>
      </c>
      <c r="M118" s="14" t="n">
        <f aca="false">(D118&lt;&gt;"")*(D118&lt;=($E$3*60+$F$3)/86400)+(F118&lt;&gt;"")*(F118&lt;=($I$3*60+$J$3)/86400)+(H118&lt;&gt;"")*(H118&lt;=($M$3*60+$N$3)/86400)</f>
        <v>0</v>
      </c>
      <c r="N118" s="16"/>
      <c r="O118" s="15"/>
    </row>
    <row r="119" customFormat="false" ht="15" hidden="false" customHeight="false" outlineLevel="0" collapsed="false">
      <c r="A119" s="9" t="n">
        <v>113</v>
      </c>
      <c r="B119" s="10" t="s">
        <v>216</v>
      </c>
      <c r="C119" s="10" t="s">
        <v>27</v>
      </c>
      <c r="D119" s="11" t="n">
        <v>0.0100761574074074</v>
      </c>
      <c r="E119" s="12" t="n">
        <v>43</v>
      </c>
      <c r="F119" s="11"/>
      <c r="G119" s="12"/>
      <c r="H119" s="11" t="n">
        <v>0.00275925925925926</v>
      </c>
      <c r="I119" s="12" t="n">
        <v>133</v>
      </c>
      <c r="J119" s="12" t="n">
        <f aca="false">COUNT(E119,G119,I119)</f>
        <v>2</v>
      </c>
      <c r="K119" s="13" t="n">
        <f aca="false">MIN(E119,G119,I119)</f>
        <v>43</v>
      </c>
      <c r="L119" s="9" t="str">
        <f aca="false">IF(E119=K119,"5000m",IF(G119=K119,"3000mSC","1500m"))</f>
        <v>5000m</v>
      </c>
      <c r="M119" s="14" t="n">
        <f aca="false">(D119&lt;&gt;"")*(D119&lt;=($E$3*60+$F$3)/86400)+(F119&lt;&gt;"")*(F119&lt;=($I$3*60+$J$3)/86400)+(H119&lt;&gt;"")*(H119&lt;=($M$3*60+$N$3)/86400)</f>
        <v>0</v>
      </c>
      <c r="N119" s="16"/>
      <c r="O119" s="15"/>
    </row>
    <row r="120" customFormat="false" ht="15" hidden="false" customHeight="false" outlineLevel="0" collapsed="false">
      <c r="A120" s="9" t="n">
        <v>114</v>
      </c>
      <c r="B120" s="10" t="s">
        <v>217</v>
      </c>
      <c r="C120" s="10" t="s">
        <v>218</v>
      </c>
      <c r="D120" s="11" t="n">
        <v>0.0108314814814815</v>
      </c>
      <c r="E120" s="12" t="n">
        <v>794</v>
      </c>
      <c r="F120" s="11"/>
      <c r="G120" s="12"/>
      <c r="H120" s="11" t="n">
        <v>0.00271527777777778</v>
      </c>
      <c r="I120" s="12" t="n">
        <v>43</v>
      </c>
      <c r="J120" s="12" t="n">
        <f aca="false">COUNT(E120,G120,I120)</f>
        <v>2</v>
      </c>
      <c r="K120" s="13" t="n">
        <f aca="false">MIN(E120,G120,I120)</f>
        <v>43</v>
      </c>
      <c r="L120" s="9" t="str">
        <f aca="false">IF(E120=K120,"5000m",IF(G120=K120,"3000mSC","1500m"))</f>
        <v>1500m</v>
      </c>
      <c r="M120" s="14" t="n">
        <f aca="false">(D120&lt;&gt;"")*(D120&lt;=($E$3*60+$F$3)/86400)+(F120&lt;&gt;"")*(F120&lt;=($I$3*60+$J$3)/86400)+(H120&lt;&gt;"")*(H120&lt;=($M$3*60+$N$3)/86400)</f>
        <v>1</v>
      </c>
      <c r="N120" s="16"/>
      <c r="O120" s="15"/>
    </row>
    <row r="121" customFormat="false" ht="15" hidden="false" customHeight="false" outlineLevel="0" collapsed="false">
      <c r="A121" s="9" t="n">
        <v>115</v>
      </c>
      <c r="B121" s="10" t="s">
        <v>219</v>
      </c>
      <c r="C121" s="10" t="s">
        <v>220</v>
      </c>
      <c r="D121" s="11" t="n">
        <v>0.0102458333333333</v>
      </c>
      <c r="E121" s="12" t="n">
        <v>126</v>
      </c>
      <c r="F121" s="11" t="n">
        <v>0.00804594907407407</v>
      </c>
      <c r="G121" s="12" t="n">
        <v>1199</v>
      </c>
      <c r="H121" s="11" t="n">
        <v>0.00271724537037037</v>
      </c>
      <c r="I121" s="12" t="n">
        <v>44</v>
      </c>
      <c r="J121" s="12" t="n">
        <f aca="false">COUNT(E121,G121,I121)</f>
        <v>3</v>
      </c>
      <c r="K121" s="13" t="n">
        <f aca="false">MIN(E121,G121,I121)</f>
        <v>44</v>
      </c>
      <c r="L121" s="9" t="str">
        <f aca="false">IF(E121=K121,"5000m",IF(G121=K121,"3000mSC","1500m"))</f>
        <v>1500m</v>
      </c>
      <c r="M121" s="14" t="n">
        <f aca="false">(D121&lt;&gt;"")*(D121&lt;=($E$3*60+$F$3)/86400)+(F121&lt;&gt;"")*(F121&lt;=($I$3*60+$J$3)/86400)+(H121&lt;&gt;"")*(H121&lt;=($M$3*60+$N$3)/86400)</f>
        <v>1</v>
      </c>
      <c r="N121" s="16"/>
      <c r="O121" s="15"/>
    </row>
    <row r="122" customFormat="false" ht="15" hidden="false" customHeight="false" outlineLevel="0" collapsed="false">
      <c r="A122" s="9" t="n">
        <v>116</v>
      </c>
      <c r="B122" s="10" t="s">
        <v>221</v>
      </c>
      <c r="C122" s="10" t="s">
        <v>179</v>
      </c>
      <c r="D122" s="11" t="n">
        <v>0.010080787037037</v>
      </c>
      <c r="E122" s="12" t="n">
        <v>44</v>
      </c>
      <c r="F122" s="11"/>
      <c r="G122" s="12"/>
      <c r="H122" s="11" t="n">
        <v>0.00285601851851852</v>
      </c>
      <c r="I122" s="12" t="n">
        <v>608</v>
      </c>
      <c r="J122" s="12" t="n">
        <f aca="false">COUNT(E122,G122,I122)</f>
        <v>2</v>
      </c>
      <c r="K122" s="13" t="n">
        <f aca="false">MIN(E122,G122,I122)</f>
        <v>44</v>
      </c>
      <c r="L122" s="9" t="str">
        <f aca="false">IF(E122=K122,"5000m",IF(G122=K122,"3000mSC","1500m"))</f>
        <v>5000m</v>
      </c>
      <c r="M122" s="14" t="n">
        <f aca="false">(D122&lt;&gt;"")*(D122&lt;=($E$3*60+$F$3)/86400)+(F122&lt;&gt;"")*(F122&lt;=($I$3*60+$J$3)/86400)+(H122&lt;&gt;"")*(H122&lt;=($M$3*60+$N$3)/86400)</f>
        <v>0</v>
      </c>
      <c r="N122" s="16"/>
      <c r="O122" s="15"/>
    </row>
    <row r="123" customFormat="false" ht="25.35" hidden="false" customHeight="false" outlineLevel="0" collapsed="false">
      <c r="A123" s="9" t="n">
        <v>117</v>
      </c>
      <c r="B123" s="10" t="s">
        <v>222</v>
      </c>
      <c r="C123" s="10" t="s">
        <v>223</v>
      </c>
      <c r="D123" s="11" t="n">
        <v>0.0109534722222222</v>
      </c>
      <c r="E123" s="12" t="n">
        <v>1010</v>
      </c>
      <c r="F123" s="11" t="n">
        <v>0.00654305555555556</v>
      </c>
      <c r="G123" s="12" t="n">
        <v>44</v>
      </c>
      <c r="H123" s="11"/>
      <c r="I123" s="12"/>
      <c r="J123" s="12" t="n">
        <f aca="false">COUNT(E123,G123,I123)</f>
        <v>2</v>
      </c>
      <c r="K123" s="13" t="n">
        <f aca="false">MIN(E123,G123,I123)</f>
        <v>44</v>
      </c>
      <c r="L123" s="9" t="str">
        <f aca="false">IF(E123=K123,"5000m",IF(G123=K123,"3000mSC","1500m"))</f>
        <v>3000mSC</v>
      </c>
      <c r="M123" s="14" t="n">
        <f aca="false">(D123&lt;&gt;"")*(D123&lt;=($E$3*60+$F$3)/86400)+(F123&lt;&gt;"")*(F123&lt;=($I$3*60+$J$3)/86400)+(H123&lt;&gt;"")*(H123&lt;=($M$3*60+$N$3)/86400)</f>
        <v>0</v>
      </c>
      <c r="N123" s="16"/>
      <c r="O123" s="15"/>
    </row>
    <row r="124" customFormat="false" ht="25.35" hidden="false" customHeight="false" outlineLevel="0" collapsed="false">
      <c r="A124" s="9" t="n">
        <v>118</v>
      </c>
      <c r="B124" s="10" t="s">
        <v>224</v>
      </c>
      <c r="C124" s="10" t="s">
        <v>210</v>
      </c>
      <c r="D124" s="11" t="n">
        <v>0.0103172453703704</v>
      </c>
      <c r="E124" s="12" t="n">
        <v>170</v>
      </c>
      <c r="F124" s="11" t="n">
        <v>0.00654826388888889</v>
      </c>
      <c r="G124" s="12" t="n">
        <v>45</v>
      </c>
      <c r="H124" s="11" t="n">
        <v>0.00278391203703704</v>
      </c>
      <c r="I124" s="12" t="n">
        <v>216</v>
      </c>
      <c r="J124" s="12" t="n">
        <f aca="false">COUNT(E124,G124,I124)</f>
        <v>3</v>
      </c>
      <c r="K124" s="13" t="n">
        <f aca="false">MIN(E124,G124,I124)</f>
        <v>45</v>
      </c>
      <c r="L124" s="9" t="str">
        <f aca="false">IF(E124=K124,"5000m",IF(G124=K124,"3000mSC","1500m"))</f>
        <v>3000mSC</v>
      </c>
      <c r="M124" s="14" t="n">
        <f aca="false">(D124&lt;&gt;"")*(D124&lt;=($E$3*60+$F$3)/86400)+(F124&lt;&gt;"")*(F124&lt;=($I$3*60+$J$3)/86400)+(H124&lt;&gt;"")*(H124&lt;=($M$3*60+$N$3)/86400)</f>
        <v>0</v>
      </c>
      <c r="N124" s="16"/>
      <c r="O124" s="15"/>
    </row>
    <row r="125" customFormat="false" ht="15" hidden="false" customHeight="false" outlineLevel="0" collapsed="false">
      <c r="A125" s="9" t="n">
        <v>119</v>
      </c>
      <c r="B125" s="10" t="s">
        <v>225</v>
      </c>
      <c r="C125" s="10" t="s">
        <v>226</v>
      </c>
      <c r="D125" s="11" t="n">
        <v>0.0100890046296296</v>
      </c>
      <c r="E125" s="12" t="n">
        <v>45</v>
      </c>
      <c r="F125" s="11"/>
      <c r="G125" s="12"/>
      <c r="H125" s="11" t="n">
        <v>0.00272962962962963</v>
      </c>
      <c r="I125" s="12" t="n">
        <v>65</v>
      </c>
      <c r="J125" s="12" t="n">
        <f aca="false">COUNT(E125,G125,I125)</f>
        <v>2</v>
      </c>
      <c r="K125" s="13" t="n">
        <f aca="false">MIN(E125,G125,I125)</f>
        <v>45</v>
      </c>
      <c r="L125" s="9" t="str">
        <f aca="false">IF(E125=K125,"5000m",IF(G125=K125,"3000mSC","1500m"))</f>
        <v>5000m</v>
      </c>
      <c r="M125" s="14" t="n">
        <f aca="false">(D125&lt;&gt;"")*(D125&lt;=($E$3*60+$F$3)/86400)+(F125&lt;&gt;"")*(F125&lt;=($I$3*60+$J$3)/86400)+(H125&lt;&gt;"")*(H125&lt;=($M$3*60+$N$3)/86400)</f>
        <v>0</v>
      </c>
      <c r="N125" s="16"/>
      <c r="O125" s="15"/>
    </row>
    <row r="126" customFormat="false" ht="15" hidden="false" customHeight="false" outlineLevel="0" collapsed="false">
      <c r="A126" s="9" t="n">
        <v>120</v>
      </c>
      <c r="B126" s="10" t="s">
        <v>227</v>
      </c>
      <c r="C126" s="10" t="s">
        <v>134</v>
      </c>
      <c r="D126" s="11" t="n">
        <v>0.0101373842592593</v>
      </c>
      <c r="E126" s="12" t="n">
        <v>66</v>
      </c>
      <c r="F126" s="11"/>
      <c r="G126" s="12"/>
      <c r="H126" s="11" t="n">
        <v>0.00271736111111111</v>
      </c>
      <c r="I126" s="12" t="n">
        <v>45</v>
      </c>
      <c r="J126" s="12" t="n">
        <f aca="false">COUNT(E126,G126,I126)</f>
        <v>2</v>
      </c>
      <c r="K126" s="13" t="n">
        <f aca="false">MIN(E126,G126,I126)</f>
        <v>45</v>
      </c>
      <c r="L126" s="9" t="str">
        <f aca="false">IF(E126=K126,"5000m",IF(G126=K126,"3000mSC","1500m"))</f>
        <v>1500m</v>
      </c>
      <c r="M126" s="14" t="n">
        <f aca="false">(D126&lt;&gt;"")*(D126&lt;=($E$3*60+$F$3)/86400)+(F126&lt;&gt;"")*(F126&lt;=($I$3*60+$J$3)/86400)+(H126&lt;&gt;"")*(H126&lt;=($M$3*60+$N$3)/86400)</f>
        <v>1</v>
      </c>
      <c r="N126" s="16"/>
      <c r="O126" s="15"/>
    </row>
    <row r="127" customFormat="false" ht="25.35" hidden="false" customHeight="false" outlineLevel="0" collapsed="false">
      <c r="A127" s="9" t="n">
        <v>121</v>
      </c>
      <c r="B127" s="10" t="s">
        <v>228</v>
      </c>
      <c r="C127" s="10" t="s">
        <v>229</v>
      </c>
      <c r="D127" s="11" t="n">
        <v>0.0105116898148148</v>
      </c>
      <c r="E127" s="12" t="n">
        <v>352</v>
      </c>
      <c r="F127" s="11" t="n">
        <v>0.00655925925925926</v>
      </c>
      <c r="G127" s="12" t="n">
        <v>46</v>
      </c>
      <c r="H127" s="11" t="n">
        <v>0.00283414351851852</v>
      </c>
      <c r="I127" s="12" t="n">
        <v>451</v>
      </c>
      <c r="J127" s="12" t="n">
        <f aca="false">COUNT(E127,G127,I127)</f>
        <v>3</v>
      </c>
      <c r="K127" s="13" t="n">
        <f aca="false">MIN(E127,G127,I127)</f>
        <v>46</v>
      </c>
      <c r="L127" s="9" t="str">
        <f aca="false">IF(E127=K127,"5000m",IF(G127=K127,"3000mSC","1500m"))</f>
        <v>3000mSC</v>
      </c>
      <c r="M127" s="14" t="n">
        <f aca="false">(D127&lt;&gt;"")*(D127&lt;=($E$3*60+$F$3)/86400)+(F127&lt;&gt;"")*(F127&lt;=($I$3*60+$J$3)/86400)+(H127&lt;&gt;"")*(H127&lt;=($M$3*60+$N$3)/86400)</f>
        <v>0</v>
      </c>
      <c r="N127" s="16"/>
      <c r="O127" s="15"/>
    </row>
    <row r="128" customFormat="false" ht="25.35" hidden="false" customHeight="false" outlineLevel="0" collapsed="false">
      <c r="A128" s="9" t="n">
        <v>122</v>
      </c>
      <c r="B128" s="10" t="s">
        <v>230</v>
      </c>
      <c r="C128" s="10" t="s">
        <v>64</v>
      </c>
      <c r="D128" s="11" t="n">
        <v>0.0105115740740741</v>
      </c>
      <c r="E128" s="12" t="n">
        <v>351</v>
      </c>
      <c r="F128" s="11" t="n">
        <v>0.006559375</v>
      </c>
      <c r="G128" s="12" t="n">
        <v>47</v>
      </c>
      <c r="H128" s="11" t="n">
        <v>0.00293391203703704</v>
      </c>
      <c r="I128" s="12" t="n">
        <v>1182</v>
      </c>
      <c r="J128" s="12" t="n">
        <f aca="false">COUNT(E128,G128,I128)</f>
        <v>3</v>
      </c>
      <c r="K128" s="13" t="n">
        <f aca="false">MIN(E128,G128,I128)</f>
        <v>47</v>
      </c>
      <c r="L128" s="9" t="str">
        <f aca="false">IF(E128=K128,"5000m",IF(G128=K128,"3000mSC","1500m"))</f>
        <v>3000mSC</v>
      </c>
      <c r="M128" s="14" t="n">
        <f aca="false">(D128&lt;&gt;"")*(D128&lt;=($E$3*60+$F$3)/86400)+(F128&lt;&gt;"")*(F128&lt;=($I$3*60+$J$3)/86400)+(H128&lt;&gt;"")*(H128&lt;=($M$3*60+$N$3)/86400)</f>
        <v>0</v>
      </c>
      <c r="N128" s="16"/>
      <c r="O128" s="15"/>
    </row>
    <row r="129" customFormat="false" ht="15" hidden="false" customHeight="false" outlineLevel="0" collapsed="false">
      <c r="A129" s="9" t="n">
        <v>123</v>
      </c>
      <c r="B129" s="10" t="s">
        <v>231</v>
      </c>
      <c r="C129" s="10" t="s">
        <v>36</v>
      </c>
      <c r="D129" s="11" t="n">
        <v>0.0100917824074074</v>
      </c>
      <c r="E129" s="12" t="n">
        <v>47</v>
      </c>
      <c r="F129" s="11"/>
      <c r="G129" s="12"/>
      <c r="H129" s="11" t="n">
        <v>0.00271898148148148</v>
      </c>
      <c r="I129" s="12" t="n">
        <v>47</v>
      </c>
      <c r="J129" s="12" t="n">
        <f aca="false">COUNT(E129,G129,I129)</f>
        <v>2</v>
      </c>
      <c r="K129" s="13" t="n">
        <f aca="false">MIN(E129,G129,I129)</f>
        <v>47</v>
      </c>
      <c r="L129" s="9" t="str">
        <f aca="false">IF(E129=K129,"5000m",IF(G129=K129,"3000mSC","1500m"))</f>
        <v>5000m</v>
      </c>
      <c r="M129" s="14" t="n">
        <f aca="false">(D129&lt;&gt;"")*(D129&lt;=($E$3*60+$F$3)/86400)+(F129&lt;&gt;"")*(F129&lt;=($I$3*60+$J$3)/86400)+(H129&lt;&gt;"")*(H129&lt;=($M$3*60+$N$3)/86400)</f>
        <v>1</v>
      </c>
      <c r="N129" s="16"/>
      <c r="O129" s="15"/>
    </row>
    <row r="130" customFormat="false" ht="25.35" hidden="false" customHeight="false" outlineLevel="0" collapsed="false">
      <c r="A130" s="9" t="n">
        <v>124</v>
      </c>
      <c r="B130" s="10" t="s">
        <v>232</v>
      </c>
      <c r="C130" s="10" t="s">
        <v>76</v>
      </c>
      <c r="D130" s="11" t="n">
        <v>0.0106239583333333</v>
      </c>
      <c r="E130" s="12" t="n">
        <v>502</v>
      </c>
      <c r="F130" s="11" t="n">
        <v>0.00656226851851852</v>
      </c>
      <c r="G130" s="12" t="n">
        <v>48</v>
      </c>
      <c r="H130" s="11" t="n">
        <v>0.00275960648148148</v>
      </c>
      <c r="I130" s="12" t="n">
        <v>135</v>
      </c>
      <c r="J130" s="12" t="n">
        <f aca="false">COUNT(E130,G130,I130)</f>
        <v>3</v>
      </c>
      <c r="K130" s="13" t="n">
        <f aca="false">MIN(E130,G130,I130)</f>
        <v>48</v>
      </c>
      <c r="L130" s="9" t="str">
        <f aca="false">IF(E130=K130,"5000m",IF(G130=K130,"3000mSC","1500m"))</f>
        <v>3000mSC</v>
      </c>
      <c r="M130" s="14" t="n">
        <f aca="false">(D130&lt;&gt;"")*(D130&lt;=($E$3*60+$F$3)/86400)+(F130&lt;&gt;"")*(F130&lt;=($I$3*60+$J$3)/86400)+(H130&lt;&gt;"")*(H130&lt;=($M$3*60+$N$3)/86400)</f>
        <v>0</v>
      </c>
      <c r="N130" s="16"/>
      <c r="O130" s="15"/>
    </row>
    <row r="131" customFormat="false" ht="15" hidden="false" customHeight="false" outlineLevel="0" collapsed="false">
      <c r="A131" s="9" t="n">
        <v>125</v>
      </c>
      <c r="B131" s="10" t="s">
        <v>233</v>
      </c>
      <c r="C131" s="10" t="s">
        <v>234</v>
      </c>
      <c r="D131" s="11" t="n">
        <v>0.0100947916666667</v>
      </c>
      <c r="E131" s="12" t="n">
        <v>48</v>
      </c>
      <c r="F131" s="11"/>
      <c r="G131" s="12"/>
      <c r="H131" s="11" t="n">
        <v>0.00276203703703704</v>
      </c>
      <c r="I131" s="12" t="n">
        <v>139</v>
      </c>
      <c r="J131" s="12" t="n">
        <f aca="false">COUNT(E131,G131,I131)</f>
        <v>2</v>
      </c>
      <c r="K131" s="13" t="n">
        <f aca="false">MIN(E131,G131,I131)</f>
        <v>48</v>
      </c>
      <c r="L131" s="9" t="str">
        <f aca="false">IF(E131=K131,"5000m",IF(G131=K131,"3000mSC","1500m"))</f>
        <v>5000m</v>
      </c>
      <c r="M131" s="14" t="n">
        <f aca="false">(D131&lt;&gt;"")*(D131&lt;=($E$3*60+$F$3)/86400)+(F131&lt;&gt;"")*(F131&lt;=($I$3*60+$J$3)/86400)+(H131&lt;&gt;"")*(H131&lt;=($M$3*60+$N$3)/86400)</f>
        <v>0</v>
      </c>
      <c r="N131" s="16"/>
      <c r="O131" s="15"/>
    </row>
    <row r="132" customFormat="false" ht="25.35" hidden="false" customHeight="false" outlineLevel="0" collapsed="false">
      <c r="A132" s="9" t="n">
        <v>126</v>
      </c>
      <c r="B132" s="10" t="s">
        <v>235</v>
      </c>
      <c r="C132" s="10" t="s">
        <v>210</v>
      </c>
      <c r="D132" s="11" t="n">
        <v>0.0107427083333333</v>
      </c>
      <c r="E132" s="12" t="n">
        <v>657</v>
      </c>
      <c r="F132" s="11" t="n">
        <v>0.00656342592592593</v>
      </c>
      <c r="G132" s="12" t="n">
        <v>49</v>
      </c>
      <c r="H132" s="11" t="n">
        <v>0.00286423611111111</v>
      </c>
      <c r="I132" s="12" t="n">
        <v>661</v>
      </c>
      <c r="J132" s="12" t="n">
        <f aca="false">COUNT(E132,G132,I132)</f>
        <v>3</v>
      </c>
      <c r="K132" s="13" t="n">
        <f aca="false">MIN(E132,G132,I132)</f>
        <v>49</v>
      </c>
      <c r="L132" s="9" t="str">
        <f aca="false">IF(E132=K132,"5000m",IF(G132=K132,"3000mSC","1500m"))</f>
        <v>3000mSC</v>
      </c>
      <c r="M132" s="14" t="n">
        <f aca="false">(D132&lt;&gt;"")*(D132&lt;=($E$3*60+$F$3)/86400)+(F132&lt;&gt;"")*(F132&lt;=($I$3*60+$J$3)/86400)+(H132&lt;&gt;"")*(H132&lt;=($M$3*60+$N$3)/86400)</f>
        <v>0</v>
      </c>
      <c r="N132" s="16"/>
      <c r="O132" s="15"/>
    </row>
    <row r="133" customFormat="false" ht="15" hidden="false" customHeight="false" outlineLevel="0" collapsed="false">
      <c r="A133" s="9" t="n">
        <v>127</v>
      </c>
      <c r="B133" s="10" t="s">
        <v>236</v>
      </c>
      <c r="C133" s="10" t="s">
        <v>237</v>
      </c>
      <c r="D133" s="11" t="n">
        <v>0.0100954861111111</v>
      </c>
      <c r="E133" s="12" t="n">
        <v>49</v>
      </c>
      <c r="F133" s="11"/>
      <c r="G133" s="12"/>
      <c r="H133" s="11" t="n">
        <v>0.00272893518518519</v>
      </c>
      <c r="I133" s="12" t="n">
        <v>62</v>
      </c>
      <c r="J133" s="12" t="n">
        <f aca="false">COUNT(E133,G133,I133)</f>
        <v>2</v>
      </c>
      <c r="K133" s="13" t="n">
        <f aca="false">MIN(E133,G133,I133)</f>
        <v>49</v>
      </c>
      <c r="L133" s="9" t="str">
        <f aca="false">IF(E133=K133,"5000m",IF(G133=K133,"3000mSC","1500m"))</f>
        <v>5000m</v>
      </c>
      <c r="M133" s="14" t="n">
        <f aca="false">(D133&lt;&gt;"")*(D133&lt;=($E$3*60+$F$3)/86400)+(F133&lt;&gt;"")*(F133&lt;=($I$3*60+$J$3)/86400)+(H133&lt;&gt;"")*(H133&lt;=($M$3*60+$N$3)/86400)</f>
        <v>0</v>
      </c>
      <c r="N133" s="16"/>
      <c r="O133" s="15"/>
    </row>
    <row r="134" customFormat="false" ht="15" hidden="false" customHeight="false" outlineLevel="0" collapsed="false">
      <c r="A134" s="9" t="n">
        <v>128</v>
      </c>
      <c r="B134" s="10" t="s">
        <v>238</v>
      </c>
      <c r="C134" s="10" t="s">
        <v>120</v>
      </c>
      <c r="D134" s="11" t="n">
        <v>0.010671412037037</v>
      </c>
      <c r="E134" s="12" t="n">
        <v>550</v>
      </c>
      <c r="F134" s="11"/>
      <c r="G134" s="12"/>
      <c r="H134" s="11" t="n">
        <v>0.00272175925925926</v>
      </c>
      <c r="I134" s="12" t="n">
        <v>50</v>
      </c>
      <c r="J134" s="12" t="n">
        <f aca="false">COUNT(E134,G134,I134)</f>
        <v>2</v>
      </c>
      <c r="K134" s="13" t="n">
        <f aca="false">MIN(E134,G134,I134)</f>
        <v>50</v>
      </c>
      <c r="L134" s="9" t="str">
        <f aca="false">IF(E134=K134,"5000m",IF(G134=K134,"3000mSC","1500m"))</f>
        <v>1500m</v>
      </c>
      <c r="M134" s="14" t="n">
        <f aca="false">(D134&lt;&gt;"")*(D134&lt;=($E$3*60+$F$3)/86400)+(F134&lt;&gt;"")*(F134&lt;=($I$3*60+$J$3)/86400)+(H134&lt;&gt;"")*(H134&lt;=($M$3*60+$N$3)/86400)</f>
        <v>0</v>
      </c>
      <c r="N134" s="16"/>
      <c r="O134" s="15"/>
    </row>
    <row r="135" customFormat="false" ht="25.35" hidden="false" customHeight="false" outlineLevel="0" collapsed="false">
      <c r="A135" s="9" t="n">
        <v>129</v>
      </c>
      <c r="B135" s="10" t="s">
        <v>239</v>
      </c>
      <c r="C135" s="10" t="s">
        <v>240</v>
      </c>
      <c r="D135" s="11" t="n">
        <v>0.0106162037037037</v>
      </c>
      <c r="E135" s="12" t="n">
        <v>489</v>
      </c>
      <c r="F135" s="11" t="n">
        <v>0.00656377314814815</v>
      </c>
      <c r="G135" s="12" t="n">
        <v>51</v>
      </c>
      <c r="H135" s="11" t="n">
        <v>0.00284421296296296</v>
      </c>
      <c r="I135" s="12" t="n">
        <v>528</v>
      </c>
      <c r="J135" s="12" t="n">
        <f aca="false">COUNT(E135,G135,I135)</f>
        <v>3</v>
      </c>
      <c r="K135" s="13" t="n">
        <f aca="false">MIN(E135,G135,I135)</f>
        <v>51</v>
      </c>
      <c r="L135" s="9" t="str">
        <f aca="false">IF(E135=K135,"5000m",IF(G135=K135,"3000mSC","1500m"))</f>
        <v>3000mSC</v>
      </c>
      <c r="M135" s="14" t="n">
        <f aca="false">(D135&lt;&gt;"")*(D135&lt;=($E$3*60+$F$3)/86400)+(F135&lt;&gt;"")*(F135&lt;=($I$3*60+$J$3)/86400)+(H135&lt;&gt;"")*(H135&lt;=($M$3*60+$N$3)/86400)</f>
        <v>0</v>
      </c>
      <c r="N135" s="16"/>
      <c r="O135" s="15"/>
    </row>
    <row r="136" customFormat="false" ht="15" hidden="false" customHeight="false" outlineLevel="0" collapsed="false">
      <c r="A136" s="9" t="n">
        <v>130</v>
      </c>
      <c r="B136" s="10" t="s">
        <v>241</v>
      </c>
      <c r="C136" s="10" t="s">
        <v>242</v>
      </c>
      <c r="D136" s="11" t="n">
        <v>0.0100986111111111</v>
      </c>
      <c r="E136" s="12" t="n">
        <v>51</v>
      </c>
      <c r="F136" s="11"/>
      <c r="G136" s="12"/>
      <c r="H136" s="11"/>
      <c r="I136" s="12"/>
      <c r="J136" s="12" t="n">
        <f aca="false">COUNT(E136,G136,I136)</f>
        <v>1</v>
      </c>
      <c r="K136" s="13" t="n">
        <f aca="false">MIN(E136,G136,I136)</f>
        <v>51</v>
      </c>
      <c r="L136" s="9" t="str">
        <f aca="false">IF(E136=K136,"5000m",IF(G136=K136,"3000mSC","1500m"))</f>
        <v>5000m</v>
      </c>
      <c r="M136" s="14" t="n">
        <f aca="false">(D136&lt;&gt;"")*(D136&lt;=($E$3*60+$F$3)/86400)+(F136&lt;&gt;"")*(F136&lt;=($I$3*60+$J$3)/86400)+(H136&lt;&gt;"")*(H136&lt;=($M$3*60+$N$3)/86400)</f>
        <v>0</v>
      </c>
      <c r="N136" s="16"/>
      <c r="O136" s="15"/>
    </row>
    <row r="137" customFormat="false" ht="15" hidden="false" customHeight="false" outlineLevel="0" collapsed="false">
      <c r="A137" s="9" t="n">
        <v>131</v>
      </c>
      <c r="B137" s="10" t="s">
        <v>243</v>
      </c>
      <c r="C137" s="10" t="s">
        <v>244</v>
      </c>
      <c r="D137" s="11" t="n">
        <v>0.0104509259259259</v>
      </c>
      <c r="E137" s="12" t="n">
        <v>304</v>
      </c>
      <c r="F137" s="11"/>
      <c r="G137" s="12"/>
      <c r="H137" s="11" t="n">
        <v>0.00272256944444444</v>
      </c>
      <c r="I137" s="12" t="n">
        <v>52</v>
      </c>
      <c r="J137" s="12" t="n">
        <f aca="false">COUNT(E137,G137,I137)</f>
        <v>2</v>
      </c>
      <c r="K137" s="13" t="n">
        <f aca="false">MIN(E137,G137,I137)</f>
        <v>52</v>
      </c>
      <c r="L137" s="9" t="str">
        <f aca="false">IF(E137=K137,"5000m",IF(G137=K137,"3000mSC","1500m"))</f>
        <v>1500m</v>
      </c>
      <c r="M137" s="14" t="n">
        <f aca="false">(D137&lt;&gt;"")*(D137&lt;=($E$3*60+$F$3)/86400)+(F137&lt;&gt;"")*(F137&lt;=($I$3*60+$J$3)/86400)+(H137&lt;&gt;"")*(H137&lt;=($M$3*60+$N$3)/86400)</f>
        <v>0</v>
      </c>
      <c r="N137" s="16"/>
      <c r="O137" s="15"/>
    </row>
    <row r="138" customFormat="false" ht="25.35" hidden="false" customHeight="false" outlineLevel="0" collapsed="false">
      <c r="A138" s="9" t="n">
        <v>132</v>
      </c>
      <c r="B138" s="10" t="s">
        <v>245</v>
      </c>
      <c r="C138" s="10" t="s">
        <v>246</v>
      </c>
      <c r="D138" s="11" t="n">
        <v>0.0107493055555556</v>
      </c>
      <c r="E138" s="12" t="n">
        <v>666</v>
      </c>
      <c r="F138" s="11" t="n">
        <v>0.00656388888888889</v>
      </c>
      <c r="G138" s="12" t="n">
        <v>52</v>
      </c>
      <c r="H138" s="11"/>
      <c r="I138" s="12"/>
      <c r="J138" s="12" t="n">
        <f aca="false">COUNT(E138,G138,I138)</f>
        <v>2</v>
      </c>
      <c r="K138" s="13" t="n">
        <f aca="false">MIN(E138,G138,I138)</f>
        <v>52</v>
      </c>
      <c r="L138" s="9" t="str">
        <f aca="false">IF(E138=K138,"5000m",IF(G138=K138,"3000mSC","1500m"))</f>
        <v>3000mSC</v>
      </c>
      <c r="M138" s="14" t="n">
        <f aca="false">(D138&lt;&gt;"")*(D138&lt;=($E$3*60+$F$3)/86400)+(F138&lt;&gt;"")*(F138&lt;=($I$3*60+$J$3)/86400)+(H138&lt;&gt;"")*(H138&lt;=($M$3*60+$N$3)/86400)</f>
        <v>0</v>
      </c>
      <c r="N138" s="16"/>
      <c r="O138" s="15"/>
    </row>
    <row r="139" customFormat="false" ht="25.35" hidden="false" customHeight="false" outlineLevel="0" collapsed="false">
      <c r="A139" s="9" t="n">
        <v>133</v>
      </c>
      <c r="B139" s="10" t="s">
        <v>247</v>
      </c>
      <c r="C139" s="10" t="s">
        <v>237</v>
      </c>
      <c r="D139" s="11" t="n">
        <v>0.0105804398148148</v>
      </c>
      <c r="E139" s="12" t="n">
        <v>433</v>
      </c>
      <c r="F139" s="11" t="n">
        <v>0.00656412037037037</v>
      </c>
      <c r="G139" s="12" t="n">
        <v>53</v>
      </c>
      <c r="H139" s="11" t="n">
        <v>0.00287986111111111</v>
      </c>
      <c r="I139" s="12" t="n">
        <v>769</v>
      </c>
      <c r="J139" s="12" t="n">
        <f aca="false">COUNT(E139,G139,I139)</f>
        <v>3</v>
      </c>
      <c r="K139" s="13" t="n">
        <f aca="false">MIN(E139,G139,I139)</f>
        <v>53</v>
      </c>
      <c r="L139" s="9" t="str">
        <f aca="false">IF(E139=K139,"5000m",IF(G139=K139,"3000mSC","1500m"))</f>
        <v>3000mSC</v>
      </c>
      <c r="M139" s="14" t="n">
        <f aca="false">(D139&lt;&gt;"")*(D139&lt;=($E$3*60+$F$3)/86400)+(F139&lt;&gt;"")*(F139&lt;=($I$3*60+$J$3)/86400)+(H139&lt;&gt;"")*(H139&lt;=($M$3*60+$N$3)/86400)</f>
        <v>0</v>
      </c>
      <c r="N139" s="16"/>
      <c r="O139" s="15"/>
    </row>
    <row r="140" customFormat="false" ht="15" hidden="false" customHeight="false" outlineLevel="0" collapsed="false">
      <c r="A140" s="9" t="n">
        <v>134</v>
      </c>
      <c r="B140" s="10" t="s">
        <v>248</v>
      </c>
      <c r="C140" s="10" t="s">
        <v>109</v>
      </c>
      <c r="D140" s="11" t="n">
        <v>0.0101015046296296</v>
      </c>
      <c r="E140" s="12" t="n">
        <v>53</v>
      </c>
      <c r="F140" s="11"/>
      <c r="G140" s="12"/>
      <c r="H140" s="11" t="n">
        <v>0.00281412037037037</v>
      </c>
      <c r="I140" s="12" t="n">
        <v>340</v>
      </c>
      <c r="J140" s="12" t="n">
        <f aca="false">COUNT(E140,G140,I140)</f>
        <v>2</v>
      </c>
      <c r="K140" s="13" t="n">
        <f aca="false">MIN(E140,G140,I140)</f>
        <v>53</v>
      </c>
      <c r="L140" s="9" t="str">
        <f aca="false">IF(E140=K140,"5000m",IF(G140=K140,"3000mSC","1500m"))</f>
        <v>5000m</v>
      </c>
      <c r="M140" s="14" t="n">
        <f aca="false">(D140&lt;&gt;"")*(D140&lt;=($E$3*60+$F$3)/86400)+(F140&lt;&gt;"")*(F140&lt;=($I$3*60+$J$3)/86400)+(H140&lt;&gt;"")*(H140&lt;=($M$3*60+$N$3)/86400)</f>
        <v>0</v>
      </c>
      <c r="N140" s="16"/>
      <c r="O140" s="15"/>
    </row>
    <row r="141" customFormat="false" ht="15" hidden="false" customHeight="false" outlineLevel="0" collapsed="false">
      <c r="A141" s="9" t="n">
        <v>135</v>
      </c>
      <c r="B141" s="10" t="s">
        <v>249</v>
      </c>
      <c r="C141" s="10" t="s">
        <v>250</v>
      </c>
      <c r="D141" s="11" t="n">
        <v>0.0108503472222222</v>
      </c>
      <c r="E141" s="12" t="n">
        <v>837</v>
      </c>
      <c r="F141" s="11"/>
      <c r="G141" s="12"/>
      <c r="H141" s="11" t="n">
        <v>0.00272280092592593</v>
      </c>
      <c r="I141" s="12" t="n">
        <v>53</v>
      </c>
      <c r="J141" s="12" t="n">
        <f aca="false">COUNT(E141,G141,I141)</f>
        <v>2</v>
      </c>
      <c r="K141" s="13" t="n">
        <f aca="false">MIN(E141,G141,I141)</f>
        <v>53</v>
      </c>
      <c r="L141" s="9" t="str">
        <f aca="false">IF(E141=K141,"5000m",IF(G141=K141,"3000mSC","1500m"))</f>
        <v>1500m</v>
      </c>
      <c r="M141" s="14" t="n">
        <f aca="false">(D141&lt;&gt;"")*(D141&lt;=($E$3*60+$F$3)/86400)+(F141&lt;&gt;"")*(F141&lt;=($I$3*60+$J$3)/86400)+(H141&lt;&gt;"")*(H141&lt;=($M$3*60+$N$3)/86400)</f>
        <v>0</v>
      </c>
      <c r="N141" s="16"/>
      <c r="O141" s="15"/>
    </row>
    <row r="142" customFormat="false" ht="25.35" hidden="false" customHeight="false" outlineLevel="0" collapsed="false">
      <c r="A142" s="9" t="n">
        <v>136</v>
      </c>
      <c r="B142" s="10" t="s">
        <v>251</v>
      </c>
      <c r="C142" s="10" t="s">
        <v>242</v>
      </c>
      <c r="D142" s="11" t="n">
        <v>0.0105601851851852</v>
      </c>
      <c r="E142" s="12" t="n">
        <v>411</v>
      </c>
      <c r="F142" s="11" t="n">
        <v>0.00656631944444445</v>
      </c>
      <c r="G142" s="12" t="n">
        <v>54</v>
      </c>
      <c r="H142" s="11" t="n">
        <v>0.00290775462962963</v>
      </c>
      <c r="I142" s="12" t="n">
        <v>999</v>
      </c>
      <c r="J142" s="12" t="n">
        <f aca="false">COUNT(E142,G142,I142)</f>
        <v>3</v>
      </c>
      <c r="K142" s="13" t="n">
        <f aca="false">MIN(E142,G142,I142)</f>
        <v>54</v>
      </c>
      <c r="L142" s="9" t="str">
        <f aca="false">IF(E142=K142,"5000m",IF(G142=K142,"3000mSC","1500m"))</f>
        <v>3000mSC</v>
      </c>
      <c r="M142" s="14" t="n">
        <f aca="false">(D142&lt;&gt;"")*(D142&lt;=($E$3*60+$F$3)/86400)+(F142&lt;&gt;"")*(F142&lt;=($I$3*60+$J$3)/86400)+(H142&lt;&gt;"")*(H142&lt;=($M$3*60+$N$3)/86400)</f>
        <v>0</v>
      </c>
      <c r="N142" s="16"/>
      <c r="O142" s="15"/>
    </row>
    <row r="143" customFormat="false" ht="15" hidden="false" customHeight="false" outlineLevel="0" collapsed="false">
      <c r="A143" s="9" t="n">
        <v>137</v>
      </c>
      <c r="B143" s="10" t="s">
        <v>252</v>
      </c>
      <c r="C143" s="10" t="s">
        <v>242</v>
      </c>
      <c r="D143" s="11" t="n">
        <v>0.0101061342592593</v>
      </c>
      <c r="E143" s="12" t="n">
        <v>54</v>
      </c>
      <c r="F143" s="11"/>
      <c r="G143" s="12"/>
      <c r="H143" s="11" t="n">
        <v>0.00276990740740741</v>
      </c>
      <c r="I143" s="12" t="n">
        <v>161</v>
      </c>
      <c r="J143" s="12" t="n">
        <f aca="false">COUNT(E143,G143,I143)</f>
        <v>2</v>
      </c>
      <c r="K143" s="13" t="n">
        <f aca="false">MIN(E143,G143,I143)</f>
        <v>54</v>
      </c>
      <c r="L143" s="9" t="str">
        <f aca="false">IF(E143=K143,"5000m",IF(G143=K143,"3000mSC","1500m"))</f>
        <v>5000m</v>
      </c>
      <c r="M143" s="14" t="n">
        <f aca="false">(D143&lt;&gt;"")*(D143&lt;=($E$3*60+$F$3)/86400)+(F143&lt;&gt;"")*(F143&lt;=($I$3*60+$J$3)/86400)+(H143&lt;&gt;"")*(H143&lt;=($M$3*60+$N$3)/86400)</f>
        <v>0</v>
      </c>
      <c r="N143" s="16"/>
      <c r="O143" s="15"/>
    </row>
    <row r="144" customFormat="false" ht="15" hidden="false" customHeight="false" outlineLevel="0" collapsed="false">
      <c r="A144" s="9" t="n">
        <v>138</v>
      </c>
      <c r="B144" s="10" t="s">
        <v>253</v>
      </c>
      <c r="C144" s="10" t="s">
        <v>254</v>
      </c>
      <c r="D144" s="11" t="n">
        <v>0.0106987268518519</v>
      </c>
      <c r="E144" s="12" t="n">
        <v>578</v>
      </c>
      <c r="F144" s="11"/>
      <c r="G144" s="12"/>
      <c r="H144" s="11" t="n">
        <v>0.00272337962962963</v>
      </c>
      <c r="I144" s="12" t="n">
        <v>54</v>
      </c>
      <c r="J144" s="12" t="n">
        <f aca="false">COUNT(E144,G144,I144)</f>
        <v>2</v>
      </c>
      <c r="K144" s="13" t="n">
        <f aca="false">MIN(E144,G144,I144)</f>
        <v>54</v>
      </c>
      <c r="L144" s="9" t="str">
        <f aca="false">IF(E144=K144,"5000m",IF(G144=K144,"3000mSC","1500m"))</f>
        <v>1500m</v>
      </c>
      <c r="M144" s="14" t="n">
        <f aca="false">(D144&lt;&gt;"")*(D144&lt;=($E$3*60+$F$3)/86400)+(F144&lt;&gt;"")*(F144&lt;=($I$3*60+$J$3)/86400)+(H144&lt;&gt;"")*(H144&lt;=($M$3*60+$N$3)/86400)</f>
        <v>0</v>
      </c>
      <c r="N144" s="16"/>
      <c r="O144" s="15"/>
    </row>
    <row r="145" customFormat="false" ht="25.35" hidden="false" customHeight="false" outlineLevel="0" collapsed="false">
      <c r="A145" s="9" t="n">
        <v>139</v>
      </c>
      <c r="B145" s="10" t="s">
        <v>255</v>
      </c>
      <c r="C145" s="10" t="s">
        <v>53</v>
      </c>
      <c r="D145" s="11" t="n">
        <v>0.0105528935185185</v>
      </c>
      <c r="E145" s="12" t="n">
        <v>404</v>
      </c>
      <c r="F145" s="11" t="n">
        <v>0.00656655092592593</v>
      </c>
      <c r="G145" s="12" t="n">
        <v>55</v>
      </c>
      <c r="H145" s="11" t="n">
        <v>0.00294768518518519</v>
      </c>
      <c r="I145" s="12" t="n">
        <v>1225</v>
      </c>
      <c r="J145" s="12" t="n">
        <f aca="false">COUNT(E145,G145,I145)</f>
        <v>3</v>
      </c>
      <c r="K145" s="13" t="n">
        <f aca="false">MIN(E145,G145,I145)</f>
        <v>55</v>
      </c>
      <c r="L145" s="9" t="str">
        <f aca="false">IF(E145=K145,"5000m",IF(G145=K145,"3000mSC","1500m"))</f>
        <v>3000mSC</v>
      </c>
      <c r="M145" s="14" t="n">
        <f aca="false">(D145&lt;&gt;"")*(D145&lt;=($E$3*60+$F$3)/86400)+(F145&lt;&gt;"")*(F145&lt;=($I$3*60+$J$3)/86400)+(H145&lt;&gt;"")*(H145&lt;=($M$3*60+$N$3)/86400)</f>
        <v>0</v>
      </c>
      <c r="N145" s="16"/>
      <c r="O145" s="15"/>
    </row>
    <row r="146" customFormat="false" ht="15" hidden="false" customHeight="false" outlineLevel="0" collapsed="false">
      <c r="A146" s="9" t="n">
        <v>140</v>
      </c>
      <c r="B146" s="10" t="s">
        <v>256</v>
      </c>
      <c r="C146" s="10" t="s">
        <v>257</v>
      </c>
      <c r="D146" s="11" t="n">
        <v>0.01010625</v>
      </c>
      <c r="E146" s="12" t="n">
        <v>55</v>
      </c>
      <c r="F146" s="11"/>
      <c r="G146" s="12"/>
      <c r="H146" s="11" t="n">
        <v>0.00283935185185185</v>
      </c>
      <c r="I146" s="12" t="n">
        <v>492</v>
      </c>
      <c r="J146" s="12" t="n">
        <f aca="false">COUNT(E146,G146,I146)</f>
        <v>2</v>
      </c>
      <c r="K146" s="13" t="n">
        <f aca="false">MIN(E146,G146,I146)</f>
        <v>55</v>
      </c>
      <c r="L146" s="9" t="str">
        <f aca="false">IF(E146=K146,"5000m",IF(G146=K146,"3000mSC","1500m"))</f>
        <v>5000m</v>
      </c>
      <c r="M146" s="14" t="n">
        <f aca="false">(D146&lt;&gt;"")*(D146&lt;=($E$3*60+$F$3)/86400)+(F146&lt;&gt;"")*(F146&lt;=($I$3*60+$J$3)/86400)+(H146&lt;&gt;"")*(H146&lt;=($M$3*60+$N$3)/86400)</f>
        <v>0</v>
      </c>
      <c r="N146" s="16"/>
      <c r="O146" s="15"/>
    </row>
    <row r="147" customFormat="false" ht="25.35" hidden="false" customHeight="false" outlineLevel="0" collapsed="false">
      <c r="A147" s="9" t="n">
        <v>141</v>
      </c>
      <c r="B147" s="10" t="s">
        <v>258</v>
      </c>
      <c r="C147" s="10" t="s">
        <v>259</v>
      </c>
      <c r="D147" s="11"/>
      <c r="E147" s="12"/>
      <c r="F147" s="11" t="n">
        <v>0.00656701388888889</v>
      </c>
      <c r="G147" s="12" t="n">
        <v>56</v>
      </c>
      <c r="H147" s="11" t="n">
        <v>0.0028380787037037</v>
      </c>
      <c r="I147" s="12" t="n">
        <v>483</v>
      </c>
      <c r="J147" s="12" t="n">
        <f aca="false">COUNT(E147,G147,I147)</f>
        <v>2</v>
      </c>
      <c r="K147" s="13" t="n">
        <f aca="false">MIN(E147,G147,I147)</f>
        <v>56</v>
      </c>
      <c r="L147" s="9" t="str">
        <f aca="false">IF(E147=K147,"5000m",IF(G147=K147,"3000mSC","1500m"))</f>
        <v>3000mSC</v>
      </c>
      <c r="M147" s="14" t="n">
        <f aca="false">(D147&lt;&gt;"")*(D147&lt;=($E$3*60+$F$3)/86400)+(F147&lt;&gt;"")*(F147&lt;=($I$3*60+$J$3)/86400)+(H147&lt;&gt;"")*(H147&lt;=($M$3*60+$N$3)/86400)</f>
        <v>0</v>
      </c>
      <c r="N147" s="16"/>
      <c r="O147" s="15"/>
    </row>
    <row r="148" customFormat="false" ht="15" hidden="false" customHeight="false" outlineLevel="0" collapsed="false">
      <c r="A148" s="9" t="n">
        <v>142</v>
      </c>
      <c r="B148" s="10" t="s">
        <v>260</v>
      </c>
      <c r="C148" s="10" t="s">
        <v>261</v>
      </c>
      <c r="D148" s="11" t="n">
        <v>0.0101087962962963</v>
      </c>
      <c r="E148" s="12" t="n">
        <v>56</v>
      </c>
      <c r="F148" s="11"/>
      <c r="G148" s="12"/>
      <c r="H148" s="11"/>
      <c r="I148" s="12"/>
      <c r="J148" s="12" t="n">
        <f aca="false">COUNT(E148,G148,I148)</f>
        <v>1</v>
      </c>
      <c r="K148" s="13" t="n">
        <f aca="false">MIN(E148,G148,I148)</f>
        <v>56</v>
      </c>
      <c r="L148" s="9" t="str">
        <f aca="false">IF(E148=K148,"5000m",IF(G148=K148,"3000mSC","1500m"))</f>
        <v>5000m</v>
      </c>
      <c r="M148" s="14" t="n">
        <f aca="false">(D148&lt;&gt;"")*(D148&lt;=($E$3*60+$F$3)/86400)+(F148&lt;&gt;"")*(F148&lt;=($I$3*60+$J$3)/86400)+(H148&lt;&gt;"")*(H148&lt;=($M$3*60+$N$3)/86400)</f>
        <v>0</v>
      </c>
      <c r="N148" s="16"/>
      <c r="O148" s="15"/>
    </row>
    <row r="149" customFormat="false" ht="25.35" hidden="false" customHeight="false" outlineLevel="0" collapsed="false">
      <c r="A149" s="9" t="n">
        <v>143</v>
      </c>
      <c r="B149" s="10" t="s">
        <v>262</v>
      </c>
      <c r="C149" s="10" t="s">
        <v>263</v>
      </c>
      <c r="D149" s="11" t="n">
        <v>0.0104730324074074</v>
      </c>
      <c r="E149" s="12" t="n">
        <v>318</v>
      </c>
      <c r="F149" s="11" t="n">
        <v>0.00656898148148148</v>
      </c>
      <c r="G149" s="12" t="n">
        <v>57</v>
      </c>
      <c r="H149" s="11" t="n">
        <v>0.00279351851851852</v>
      </c>
      <c r="I149" s="12" t="n">
        <v>251</v>
      </c>
      <c r="J149" s="12" t="n">
        <f aca="false">COUNT(E149,G149,I149)</f>
        <v>3</v>
      </c>
      <c r="K149" s="13" t="n">
        <f aca="false">MIN(E149,G149,I149)</f>
        <v>57</v>
      </c>
      <c r="L149" s="9" t="str">
        <f aca="false">IF(E149=K149,"5000m",IF(G149=K149,"3000mSC","1500m"))</f>
        <v>3000mSC</v>
      </c>
      <c r="M149" s="14" t="n">
        <f aca="false">(D149&lt;&gt;"")*(D149&lt;=($E$3*60+$F$3)/86400)+(F149&lt;&gt;"")*(F149&lt;=($I$3*60+$J$3)/86400)+(H149&lt;&gt;"")*(H149&lt;=($M$3*60+$N$3)/86400)</f>
        <v>0</v>
      </c>
      <c r="N149" s="16"/>
      <c r="O149" s="15"/>
    </row>
    <row r="150" customFormat="false" ht="15" hidden="false" customHeight="false" outlineLevel="0" collapsed="false">
      <c r="A150" s="9" t="n">
        <v>144</v>
      </c>
      <c r="B150" s="10" t="s">
        <v>264</v>
      </c>
      <c r="C150" s="10" t="s">
        <v>206</v>
      </c>
      <c r="D150" s="11" t="n">
        <v>0.0102142361111111</v>
      </c>
      <c r="E150" s="12" t="n">
        <v>103</v>
      </c>
      <c r="F150" s="11"/>
      <c r="G150" s="12"/>
      <c r="H150" s="11" t="n">
        <v>0.00272511574074074</v>
      </c>
      <c r="I150" s="12" t="n">
        <v>57</v>
      </c>
      <c r="J150" s="12" t="n">
        <f aca="false">COUNT(E150,G150,I150)</f>
        <v>2</v>
      </c>
      <c r="K150" s="13" t="n">
        <f aca="false">MIN(E150,G150,I150)</f>
        <v>57</v>
      </c>
      <c r="L150" s="9" t="str">
        <f aca="false">IF(E150=K150,"5000m",IF(G150=K150,"3000mSC","1500m"))</f>
        <v>1500m</v>
      </c>
      <c r="M150" s="14" t="n">
        <f aca="false">(D150&lt;&gt;"")*(D150&lt;=($E$3*60+$F$3)/86400)+(F150&lt;&gt;"")*(F150&lt;=($I$3*60+$J$3)/86400)+(H150&lt;&gt;"")*(H150&lt;=($M$3*60+$N$3)/86400)</f>
        <v>0</v>
      </c>
      <c r="N150" s="16"/>
      <c r="O150" s="15"/>
    </row>
    <row r="151" customFormat="false" ht="15" hidden="false" customHeight="false" outlineLevel="0" collapsed="false">
      <c r="A151" s="9" t="n">
        <v>145</v>
      </c>
      <c r="B151" s="10" t="s">
        <v>265</v>
      </c>
      <c r="C151" s="10" t="s">
        <v>124</v>
      </c>
      <c r="D151" s="11" t="n">
        <v>0.0101109953703704</v>
      </c>
      <c r="E151" s="12" t="n">
        <v>57</v>
      </c>
      <c r="F151" s="11"/>
      <c r="G151" s="12"/>
      <c r="H151" s="11"/>
      <c r="I151" s="12"/>
      <c r="J151" s="12" t="n">
        <f aca="false">COUNT(E151,G151,I151)</f>
        <v>1</v>
      </c>
      <c r="K151" s="13" t="n">
        <f aca="false">MIN(E151,G151,I151)</f>
        <v>57</v>
      </c>
      <c r="L151" s="9" t="str">
        <f aca="false">IF(E151=K151,"5000m",IF(G151=K151,"3000mSC","1500m"))</f>
        <v>5000m</v>
      </c>
      <c r="M151" s="14" t="n">
        <f aca="false">(D151&lt;&gt;"")*(D151&lt;=($E$3*60+$F$3)/86400)+(F151&lt;&gt;"")*(F151&lt;=($I$3*60+$J$3)/86400)+(H151&lt;&gt;"")*(H151&lt;=($M$3*60+$N$3)/86400)</f>
        <v>0</v>
      </c>
      <c r="N151" s="16"/>
      <c r="O151" s="15"/>
    </row>
    <row r="152" customFormat="false" ht="25.35" hidden="false" customHeight="false" outlineLevel="0" collapsed="false">
      <c r="A152" s="9" t="n">
        <v>146</v>
      </c>
      <c r="B152" s="10" t="s">
        <v>266</v>
      </c>
      <c r="C152" s="10" t="s">
        <v>267</v>
      </c>
      <c r="D152" s="11" t="n">
        <v>0.01085625</v>
      </c>
      <c r="E152" s="12" t="n">
        <v>844</v>
      </c>
      <c r="F152" s="11" t="n">
        <v>0.00656909722222222</v>
      </c>
      <c r="G152" s="12" t="n">
        <v>58</v>
      </c>
      <c r="H152" s="11" t="n">
        <v>0.00284525462962963</v>
      </c>
      <c r="I152" s="12" t="n">
        <v>538</v>
      </c>
      <c r="J152" s="12" t="n">
        <f aca="false">COUNT(E152,G152,I152)</f>
        <v>3</v>
      </c>
      <c r="K152" s="13" t="n">
        <f aca="false">MIN(E152,G152,I152)</f>
        <v>58</v>
      </c>
      <c r="L152" s="9" t="str">
        <f aca="false">IF(E152=K152,"5000m",IF(G152=K152,"3000mSC","1500m"))</f>
        <v>3000mSC</v>
      </c>
      <c r="M152" s="14" t="n">
        <f aca="false">(D152&lt;&gt;"")*(D152&lt;=($E$3*60+$F$3)/86400)+(F152&lt;&gt;"")*(F152&lt;=($I$3*60+$J$3)/86400)+(H152&lt;&gt;"")*(H152&lt;=($M$3*60+$N$3)/86400)</f>
        <v>0</v>
      </c>
      <c r="N152" s="16"/>
      <c r="O152" s="15"/>
    </row>
    <row r="153" customFormat="false" ht="25.35" hidden="false" customHeight="false" outlineLevel="0" collapsed="false">
      <c r="A153" s="9" t="n">
        <v>147</v>
      </c>
      <c r="B153" s="10" t="s">
        <v>268</v>
      </c>
      <c r="C153" s="10" t="s">
        <v>122</v>
      </c>
      <c r="D153" s="11" t="n">
        <v>0.0104480324074074</v>
      </c>
      <c r="E153" s="12" t="n">
        <v>301</v>
      </c>
      <c r="F153" s="11" t="n">
        <v>0.00657083333333333</v>
      </c>
      <c r="G153" s="12" t="n">
        <v>59</v>
      </c>
      <c r="H153" s="11" t="n">
        <v>0.00284861111111111</v>
      </c>
      <c r="I153" s="12" t="n">
        <v>559</v>
      </c>
      <c r="J153" s="12" t="n">
        <f aca="false">COUNT(E153,G153,I153)</f>
        <v>3</v>
      </c>
      <c r="K153" s="13" t="n">
        <f aca="false">MIN(E153,G153,I153)</f>
        <v>59</v>
      </c>
      <c r="L153" s="9" t="str">
        <f aca="false">IF(E153=K153,"5000m",IF(G153=K153,"3000mSC","1500m"))</f>
        <v>3000mSC</v>
      </c>
      <c r="M153" s="14" t="n">
        <f aca="false">(D153&lt;&gt;"")*(D153&lt;=($E$3*60+$F$3)/86400)+(F153&lt;&gt;"")*(F153&lt;=($I$3*60+$J$3)/86400)+(H153&lt;&gt;"")*(H153&lt;=($M$3*60+$N$3)/86400)</f>
        <v>0</v>
      </c>
      <c r="N153" s="16"/>
      <c r="O153" s="15"/>
    </row>
    <row r="154" customFormat="false" ht="15" hidden="false" customHeight="false" outlineLevel="0" collapsed="false">
      <c r="A154" s="9" t="n">
        <v>148</v>
      </c>
      <c r="B154" s="10" t="s">
        <v>269</v>
      </c>
      <c r="C154" s="10" t="s">
        <v>270</v>
      </c>
      <c r="D154" s="11" t="n">
        <v>0.0106994212962963</v>
      </c>
      <c r="E154" s="12" t="n">
        <v>581</v>
      </c>
      <c r="F154" s="11"/>
      <c r="G154" s="12"/>
      <c r="H154" s="11" t="n">
        <v>0.00272546296296296</v>
      </c>
      <c r="I154" s="12" t="n">
        <v>59</v>
      </c>
      <c r="J154" s="12" t="n">
        <f aca="false">COUNT(E154,G154,I154)</f>
        <v>2</v>
      </c>
      <c r="K154" s="13" t="n">
        <f aca="false">MIN(E154,G154,I154)</f>
        <v>59</v>
      </c>
      <c r="L154" s="9" t="str">
        <f aca="false">IF(E154=K154,"5000m",IF(G154=K154,"3000mSC","1500m"))</f>
        <v>1500m</v>
      </c>
      <c r="M154" s="14" t="n">
        <f aca="false">(D154&lt;&gt;"")*(D154&lt;=($E$3*60+$F$3)/86400)+(F154&lt;&gt;"")*(F154&lt;=($I$3*60+$J$3)/86400)+(H154&lt;&gt;"")*(H154&lt;=($M$3*60+$N$3)/86400)</f>
        <v>0</v>
      </c>
      <c r="N154" s="16"/>
      <c r="O154" s="15"/>
    </row>
    <row r="155" customFormat="false" ht="15" hidden="false" customHeight="false" outlineLevel="0" collapsed="false">
      <c r="A155" s="9" t="n">
        <v>149</v>
      </c>
      <c r="B155" s="10" t="s">
        <v>271</v>
      </c>
      <c r="C155" s="10" t="s">
        <v>166</v>
      </c>
      <c r="D155" s="11" t="n">
        <v>0.0101766203703704</v>
      </c>
      <c r="E155" s="12" t="n">
        <v>83</v>
      </c>
      <c r="F155" s="11"/>
      <c r="G155" s="12"/>
      <c r="H155" s="11" t="n">
        <v>0.00272847222222222</v>
      </c>
      <c r="I155" s="12" t="n">
        <v>60</v>
      </c>
      <c r="J155" s="12" t="n">
        <f aca="false">COUNT(E155,G155,I155)</f>
        <v>2</v>
      </c>
      <c r="K155" s="13" t="n">
        <f aca="false">MIN(E155,G155,I155)</f>
        <v>60</v>
      </c>
      <c r="L155" s="9" t="str">
        <f aca="false">IF(E155=K155,"5000m",IF(G155=K155,"3000mSC","1500m"))</f>
        <v>1500m</v>
      </c>
      <c r="M155" s="14" t="n">
        <f aca="false">(D155&lt;&gt;"")*(D155&lt;=($E$3*60+$F$3)/86400)+(F155&lt;&gt;"")*(F155&lt;=($I$3*60+$J$3)/86400)+(H155&lt;&gt;"")*(H155&lt;=($M$3*60+$N$3)/86400)</f>
        <v>0</v>
      </c>
      <c r="N155" s="16"/>
      <c r="O155" s="15"/>
    </row>
    <row r="156" customFormat="false" ht="15" hidden="false" customHeight="false" outlineLevel="0" collapsed="false">
      <c r="A156" s="9" t="n">
        <v>150</v>
      </c>
      <c r="B156" s="10" t="s">
        <v>272</v>
      </c>
      <c r="C156" s="10" t="s">
        <v>171</v>
      </c>
      <c r="D156" s="11" t="n">
        <v>0.0101305555555556</v>
      </c>
      <c r="E156" s="12" t="n">
        <v>60</v>
      </c>
      <c r="F156" s="11"/>
      <c r="G156" s="12"/>
      <c r="H156" s="11" t="n">
        <v>0.00274467592592593</v>
      </c>
      <c r="I156" s="12" t="n">
        <v>88</v>
      </c>
      <c r="J156" s="12" t="n">
        <f aca="false">COUNT(E156,G156,I156)</f>
        <v>2</v>
      </c>
      <c r="K156" s="13" t="n">
        <f aca="false">MIN(E156,G156,I156)</f>
        <v>60</v>
      </c>
      <c r="L156" s="9" t="str">
        <f aca="false">IF(E156=K156,"5000m",IF(G156=K156,"3000mSC","1500m"))</f>
        <v>5000m</v>
      </c>
      <c r="M156" s="14" t="n">
        <f aca="false">(D156&lt;&gt;"")*(D156&lt;=($E$3*60+$F$3)/86400)+(F156&lt;&gt;"")*(F156&lt;=($I$3*60+$J$3)/86400)+(H156&lt;&gt;"")*(H156&lt;=($M$3*60+$N$3)/86400)</f>
        <v>0</v>
      </c>
      <c r="N156" s="16"/>
      <c r="O156" s="15"/>
    </row>
    <row r="157" customFormat="false" ht="25.35" hidden="false" customHeight="false" outlineLevel="0" collapsed="false">
      <c r="A157" s="9" t="n">
        <v>151</v>
      </c>
      <c r="B157" s="10" t="s">
        <v>273</v>
      </c>
      <c r="C157" s="10" t="s">
        <v>124</v>
      </c>
      <c r="D157" s="11" t="n">
        <v>0.0105637731481482</v>
      </c>
      <c r="E157" s="12" t="n">
        <v>415</v>
      </c>
      <c r="F157" s="11" t="n">
        <v>0.00657152777777778</v>
      </c>
      <c r="G157" s="12" t="n">
        <v>60</v>
      </c>
      <c r="H157" s="11"/>
      <c r="I157" s="12"/>
      <c r="J157" s="12" t="n">
        <f aca="false">COUNT(E157,G157,I157)</f>
        <v>2</v>
      </c>
      <c r="K157" s="13" t="n">
        <f aca="false">MIN(E157,G157,I157)</f>
        <v>60</v>
      </c>
      <c r="L157" s="9" t="str">
        <f aca="false">IF(E157=K157,"5000m",IF(G157=K157,"3000mSC","1500m"))</f>
        <v>3000mSC</v>
      </c>
      <c r="M157" s="14" t="n">
        <f aca="false">(D157&lt;&gt;"")*(D157&lt;=($E$3*60+$F$3)/86400)+(F157&lt;&gt;"")*(F157&lt;=($I$3*60+$J$3)/86400)+(H157&lt;&gt;"")*(H157&lt;=($M$3*60+$N$3)/86400)</f>
        <v>0</v>
      </c>
      <c r="N157" s="16"/>
      <c r="O157" s="15"/>
    </row>
    <row r="158" customFormat="false" ht="15" hidden="false" customHeight="false" outlineLevel="0" collapsed="false">
      <c r="A158" s="9" t="n">
        <v>152</v>
      </c>
      <c r="B158" s="10" t="s">
        <v>274</v>
      </c>
      <c r="C158" s="10" t="s">
        <v>171</v>
      </c>
      <c r="D158" s="11" t="n">
        <v>0.0109706018518519</v>
      </c>
      <c r="E158" s="12" t="n">
        <v>1041</v>
      </c>
      <c r="F158" s="11"/>
      <c r="G158" s="12"/>
      <c r="H158" s="11" t="n">
        <v>0.00272881944444445</v>
      </c>
      <c r="I158" s="12" t="n">
        <v>61</v>
      </c>
      <c r="J158" s="12" t="n">
        <f aca="false">COUNT(E158,G158,I158)</f>
        <v>2</v>
      </c>
      <c r="K158" s="13" t="n">
        <f aca="false">MIN(E158,G158,I158)</f>
        <v>61</v>
      </c>
      <c r="L158" s="9" t="str">
        <f aca="false">IF(E158=K158,"5000m",IF(G158=K158,"3000mSC","1500m"))</f>
        <v>1500m</v>
      </c>
      <c r="M158" s="14" t="n">
        <f aca="false">(D158&lt;&gt;"")*(D158&lt;=($E$3*60+$F$3)/86400)+(F158&lt;&gt;"")*(F158&lt;=($I$3*60+$J$3)/86400)+(H158&lt;&gt;"")*(H158&lt;=($M$3*60+$N$3)/86400)</f>
        <v>0</v>
      </c>
      <c r="N158" s="16"/>
      <c r="O158" s="15"/>
    </row>
    <row r="159" customFormat="false" ht="25.35" hidden="false" customHeight="false" outlineLevel="0" collapsed="false">
      <c r="A159" s="9" t="n">
        <v>153</v>
      </c>
      <c r="B159" s="10" t="s">
        <v>275</v>
      </c>
      <c r="C159" s="10" t="s">
        <v>193</v>
      </c>
      <c r="D159" s="11" t="n">
        <v>0.0110438657407407</v>
      </c>
      <c r="E159" s="12" t="n">
        <v>1186</v>
      </c>
      <c r="F159" s="11" t="n">
        <v>0.006571875</v>
      </c>
      <c r="G159" s="12" t="n">
        <v>61</v>
      </c>
      <c r="H159" s="11"/>
      <c r="I159" s="12"/>
      <c r="J159" s="12" t="n">
        <f aca="false">COUNT(E159,G159,I159)</f>
        <v>2</v>
      </c>
      <c r="K159" s="13" t="n">
        <f aca="false">MIN(E159,G159,I159)</f>
        <v>61</v>
      </c>
      <c r="L159" s="9" t="str">
        <f aca="false">IF(E159=K159,"5000m",IF(G159=K159,"3000mSC","1500m"))</f>
        <v>3000mSC</v>
      </c>
      <c r="M159" s="14" t="n">
        <f aca="false">(D159&lt;&gt;"")*(D159&lt;=($E$3*60+$F$3)/86400)+(F159&lt;&gt;"")*(F159&lt;=($I$3*60+$J$3)/86400)+(H159&lt;&gt;"")*(H159&lt;=($M$3*60+$N$3)/86400)</f>
        <v>0</v>
      </c>
      <c r="N159" s="16"/>
      <c r="O159" s="15"/>
    </row>
    <row r="160" customFormat="false" ht="15" hidden="false" customHeight="false" outlineLevel="0" collapsed="false">
      <c r="A160" s="9" t="n">
        <v>154</v>
      </c>
      <c r="B160" s="10" t="s">
        <v>276</v>
      </c>
      <c r="C160" s="10" t="s">
        <v>277</v>
      </c>
      <c r="D160" s="11" t="n">
        <v>0.0101342592592593</v>
      </c>
      <c r="E160" s="12" t="n">
        <v>61</v>
      </c>
      <c r="F160" s="11"/>
      <c r="G160" s="12"/>
      <c r="H160" s="11"/>
      <c r="I160" s="12"/>
      <c r="J160" s="12" t="n">
        <f aca="false">COUNT(E160,G160,I160)</f>
        <v>1</v>
      </c>
      <c r="K160" s="13" t="n">
        <f aca="false">MIN(E160,G160,I160)</f>
        <v>61</v>
      </c>
      <c r="L160" s="9" t="str">
        <f aca="false">IF(E160=K160,"5000m",IF(G160=K160,"3000mSC","1500m"))</f>
        <v>5000m</v>
      </c>
      <c r="M160" s="14" t="n">
        <f aca="false">(D160&lt;&gt;"")*(D160&lt;=($E$3*60+$F$3)/86400)+(F160&lt;&gt;"")*(F160&lt;=($I$3*60+$J$3)/86400)+(H160&lt;&gt;"")*(H160&lt;=($M$3*60+$N$3)/86400)</f>
        <v>0</v>
      </c>
      <c r="N160" s="16"/>
      <c r="O160" s="15"/>
    </row>
    <row r="161" customFormat="false" ht="25.35" hidden="false" customHeight="false" outlineLevel="0" collapsed="false">
      <c r="A161" s="9" t="n">
        <v>155</v>
      </c>
      <c r="B161" s="10" t="s">
        <v>278</v>
      </c>
      <c r="C161" s="10" t="s">
        <v>279</v>
      </c>
      <c r="D161" s="11" t="n">
        <v>0.010794212962963</v>
      </c>
      <c r="E161" s="12" t="n">
        <v>733</v>
      </c>
      <c r="F161" s="11" t="n">
        <v>0.00658078703703704</v>
      </c>
      <c r="G161" s="12" t="n">
        <v>62</v>
      </c>
      <c r="H161" s="11" t="n">
        <v>0.00291354166666667</v>
      </c>
      <c r="I161" s="12" t="n">
        <v>1046</v>
      </c>
      <c r="J161" s="12" t="n">
        <f aca="false">COUNT(E161,G161,I161)</f>
        <v>3</v>
      </c>
      <c r="K161" s="13" t="n">
        <f aca="false">MIN(E161,G161,I161)</f>
        <v>62</v>
      </c>
      <c r="L161" s="9" t="str">
        <f aca="false">IF(E161=K161,"5000m",IF(G161=K161,"3000mSC","1500m"))</f>
        <v>3000mSC</v>
      </c>
      <c r="M161" s="14" t="n">
        <f aca="false">(D161&lt;&gt;"")*(D161&lt;=($E$3*60+$F$3)/86400)+(F161&lt;&gt;"")*(F161&lt;=($I$3*60+$J$3)/86400)+(H161&lt;&gt;"")*(H161&lt;=($M$3*60+$N$3)/86400)</f>
        <v>0</v>
      </c>
      <c r="N161" s="16"/>
      <c r="O161" s="15"/>
    </row>
    <row r="162" customFormat="false" ht="15" hidden="false" customHeight="false" outlineLevel="0" collapsed="false">
      <c r="A162" s="9" t="n">
        <v>156</v>
      </c>
      <c r="B162" s="10" t="s">
        <v>280</v>
      </c>
      <c r="C162" s="10" t="s">
        <v>226</v>
      </c>
      <c r="D162" s="11" t="n">
        <v>0.0101347222222222</v>
      </c>
      <c r="E162" s="12" t="n">
        <v>62</v>
      </c>
      <c r="F162" s="11"/>
      <c r="G162" s="12"/>
      <c r="H162" s="11" t="n">
        <v>0.00273715277777778</v>
      </c>
      <c r="I162" s="12" t="n">
        <v>80</v>
      </c>
      <c r="J162" s="12" t="n">
        <f aca="false">COUNT(E162,G162,I162)</f>
        <v>2</v>
      </c>
      <c r="K162" s="13" t="n">
        <f aca="false">MIN(E162,G162,I162)</f>
        <v>62</v>
      </c>
      <c r="L162" s="9" t="str">
        <f aca="false">IF(E162=K162,"5000m",IF(G162=K162,"3000mSC","1500m"))</f>
        <v>5000m</v>
      </c>
      <c r="M162" s="14" t="n">
        <f aca="false">(D162&lt;&gt;"")*(D162&lt;=($E$3*60+$F$3)/86400)+(F162&lt;&gt;"")*(F162&lt;=($I$3*60+$J$3)/86400)+(H162&lt;&gt;"")*(H162&lt;=($M$3*60+$N$3)/86400)</f>
        <v>0</v>
      </c>
      <c r="N162" s="16"/>
      <c r="O162" s="15"/>
    </row>
    <row r="163" customFormat="false" ht="25.35" hidden="false" customHeight="false" outlineLevel="0" collapsed="false">
      <c r="A163" s="9" t="n">
        <v>157</v>
      </c>
      <c r="B163" s="10" t="s">
        <v>281</v>
      </c>
      <c r="C163" s="10" t="s">
        <v>282</v>
      </c>
      <c r="D163" s="11"/>
      <c r="E163" s="12"/>
      <c r="F163" s="11" t="n">
        <v>0.00658125</v>
      </c>
      <c r="G163" s="12" t="n">
        <v>63</v>
      </c>
      <c r="H163" s="11" t="n">
        <v>0.00282916666666667</v>
      </c>
      <c r="I163" s="12" t="n">
        <v>421</v>
      </c>
      <c r="J163" s="12" t="n">
        <f aca="false">COUNT(E163,G163,I163)</f>
        <v>2</v>
      </c>
      <c r="K163" s="13" t="n">
        <f aca="false">MIN(E163,G163,I163)</f>
        <v>63</v>
      </c>
      <c r="L163" s="9" t="str">
        <f aca="false">IF(E163=K163,"5000m",IF(G163=K163,"3000mSC","1500m"))</f>
        <v>3000mSC</v>
      </c>
      <c r="M163" s="14" t="n">
        <f aca="false">(D163&lt;&gt;"")*(D163&lt;=($E$3*60+$F$3)/86400)+(F163&lt;&gt;"")*(F163&lt;=($I$3*60+$J$3)/86400)+(H163&lt;&gt;"")*(H163&lt;=($M$3*60+$N$3)/86400)</f>
        <v>0</v>
      </c>
      <c r="N163" s="16"/>
      <c r="O163" s="15"/>
    </row>
    <row r="164" customFormat="false" ht="15" hidden="false" customHeight="false" outlineLevel="0" collapsed="false">
      <c r="A164" s="9" t="n">
        <v>158</v>
      </c>
      <c r="B164" s="10" t="s">
        <v>283</v>
      </c>
      <c r="C164" s="10" t="s">
        <v>179</v>
      </c>
      <c r="D164" s="11" t="n">
        <v>0.0101351851851852</v>
      </c>
      <c r="E164" s="12" t="n">
        <v>63</v>
      </c>
      <c r="F164" s="11"/>
      <c r="G164" s="12"/>
      <c r="H164" s="11" t="n">
        <v>0.0028431712962963</v>
      </c>
      <c r="I164" s="12" t="n">
        <v>517</v>
      </c>
      <c r="J164" s="12" t="n">
        <f aca="false">COUNT(E164,G164,I164)</f>
        <v>2</v>
      </c>
      <c r="K164" s="13" t="n">
        <f aca="false">MIN(E164,G164,I164)</f>
        <v>63</v>
      </c>
      <c r="L164" s="9" t="str">
        <f aca="false">IF(E164=K164,"5000m",IF(G164=K164,"3000mSC","1500m"))</f>
        <v>5000m</v>
      </c>
      <c r="M164" s="14" t="n">
        <f aca="false">(D164&lt;&gt;"")*(D164&lt;=($E$3*60+$F$3)/86400)+(F164&lt;&gt;"")*(F164&lt;=($I$3*60+$J$3)/86400)+(H164&lt;&gt;"")*(H164&lt;=($M$3*60+$N$3)/86400)</f>
        <v>0</v>
      </c>
      <c r="N164" s="16"/>
      <c r="O164" s="15"/>
    </row>
    <row r="165" customFormat="false" ht="15" hidden="false" customHeight="false" outlineLevel="0" collapsed="false">
      <c r="A165" s="9" t="n">
        <v>159</v>
      </c>
      <c r="B165" s="10" t="s">
        <v>284</v>
      </c>
      <c r="C165" s="10" t="s">
        <v>166</v>
      </c>
      <c r="D165" s="11" t="n">
        <v>0.0101362268518519</v>
      </c>
      <c r="E165" s="12" t="n">
        <v>64</v>
      </c>
      <c r="F165" s="11" t="n">
        <v>0.00668483796296296</v>
      </c>
      <c r="G165" s="12" t="n">
        <v>102</v>
      </c>
      <c r="H165" s="11" t="n">
        <v>0.0028724537037037</v>
      </c>
      <c r="I165" s="12" t="n">
        <v>718</v>
      </c>
      <c r="J165" s="12" t="n">
        <f aca="false">COUNT(E165,G165,I165)</f>
        <v>3</v>
      </c>
      <c r="K165" s="13" t="n">
        <f aca="false">MIN(E165,G165,I165)</f>
        <v>64</v>
      </c>
      <c r="L165" s="9" t="str">
        <f aca="false">IF(E165=K165,"5000m",IF(G165=K165,"3000mSC","1500m"))</f>
        <v>5000m</v>
      </c>
      <c r="M165" s="14" t="n">
        <f aca="false">(D165&lt;&gt;"")*(D165&lt;=($E$3*60+$F$3)/86400)+(F165&lt;&gt;"")*(F165&lt;=($I$3*60+$J$3)/86400)+(H165&lt;&gt;"")*(H165&lt;=($M$3*60+$N$3)/86400)</f>
        <v>0</v>
      </c>
      <c r="N165" s="16"/>
      <c r="O165" s="15"/>
    </row>
    <row r="166" customFormat="false" ht="15" hidden="false" customHeight="false" outlineLevel="0" collapsed="false">
      <c r="A166" s="9" t="n">
        <v>160</v>
      </c>
      <c r="B166" s="10" t="s">
        <v>285</v>
      </c>
      <c r="C166" s="10" t="s">
        <v>286</v>
      </c>
      <c r="D166" s="11" t="n">
        <v>0.0111055555555556</v>
      </c>
      <c r="E166" s="12" t="n">
        <v>1276</v>
      </c>
      <c r="F166" s="11"/>
      <c r="G166" s="12"/>
      <c r="H166" s="11" t="n">
        <v>0.00272905092592593</v>
      </c>
      <c r="I166" s="12" t="n">
        <v>64</v>
      </c>
      <c r="J166" s="12" t="n">
        <f aca="false">COUNT(E166,G166,I166)</f>
        <v>2</v>
      </c>
      <c r="K166" s="13" t="n">
        <f aca="false">MIN(E166,G166,I166)</f>
        <v>64</v>
      </c>
      <c r="L166" s="9" t="str">
        <f aca="false">IF(E166=K166,"5000m",IF(G166=K166,"3000mSC","1500m"))</f>
        <v>1500m</v>
      </c>
      <c r="M166" s="14" t="n">
        <f aca="false">(D166&lt;&gt;"")*(D166&lt;=($E$3*60+$F$3)/86400)+(F166&lt;&gt;"")*(F166&lt;=($I$3*60+$J$3)/86400)+(H166&lt;&gt;"")*(H166&lt;=($M$3*60+$N$3)/86400)</f>
        <v>0</v>
      </c>
      <c r="N166" s="16"/>
      <c r="O166" s="15"/>
    </row>
    <row r="167" customFormat="false" ht="25.35" hidden="false" customHeight="false" outlineLevel="0" collapsed="false">
      <c r="A167" s="9" t="n">
        <v>161</v>
      </c>
      <c r="B167" s="10" t="s">
        <v>287</v>
      </c>
      <c r="C167" s="10" t="s">
        <v>288</v>
      </c>
      <c r="D167" s="11"/>
      <c r="E167" s="12"/>
      <c r="F167" s="11" t="n">
        <v>0.00658298611111111</v>
      </c>
      <c r="G167" s="12" t="n">
        <v>64</v>
      </c>
      <c r="H167" s="11"/>
      <c r="I167" s="12"/>
      <c r="J167" s="12" t="n">
        <f aca="false">COUNT(E167,G167,I167)</f>
        <v>1</v>
      </c>
      <c r="K167" s="13" t="n">
        <f aca="false">MIN(E167,G167,I167)</f>
        <v>64</v>
      </c>
      <c r="L167" s="9" t="str">
        <f aca="false">IF(E167=K167,"5000m",IF(G167=K167,"3000mSC","1500m"))</f>
        <v>3000mSC</v>
      </c>
      <c r="M167" s="14" t="n">
        <f aca="false">(D167&lt;&gt;"")*(D167&lt;=($E$3*60+$F$3)/86400)+(F167&lt;&gt;"")*(F167&lt;=($I$3*60+$J$3)/86400)+(H167&lt;&gt;"")*(H167&lt;=($M$3*60+$N$3)/86400)</f>
        <v>0</v>
      </c>
      <c r="N167" s="16"/>
      <c r="O167" s="15"/>
    </row>
    <row r="168" customFormat="false" ht="25.35" hidden="false" customHeight="false" outlineLevel="0" collapsed="false">
      <c r="A168" s="9" t="n">
        <v>162</v>
      </c>
      <c r="B168" s="10" t="s">
        <v>289</v>
      </c>
      <c r="C168" s="10" t="s">
        <v>290</v>
      </c>
      <c r="D168" s="11"/>
      <c r="E168" s="12"/>
      <c r="F168" s="11" t="n">
        <v>0.00658587962962963</v>
      </c>
      <c r="G168" s="12" t="n">
        <v>65</v>
      </c>
      <c r="H168" s="11"/>
      <c r="I168" s="12"/>
      <c r="J168" s="12" t="n">
        <f aca="false">COUNT(E168,G168,I168)</f>
        <v>1</v>
      </c>
      <c r="K168" s="13" t="n">
        <f aca="false">MIN(E168,G168,I168)</f>
        <v>65</v>
      </c>
      <c r="L168" s="9" t="str">
        <f aca="false">IF(E168=K168,"5000m",IF(G168=K168,"3000mSC","1500m"))</f>
        <v>3000mSC</v>
      </c>
      <c r="M168" s="14" t="n">
        <f aca="false">(D168&lt;&gt;"")*(D168&lt;=($E$3*60+$F$3)/86400)+(F168&lt;&gt;"")*(F168&lt;=($I$3*60+$J$3)/86400)+(H168&lt;&gt;"")*(H168&lt;=($M$3*60+$N$3)/86400)</f>
        <v>0</v>
      </c>
      <c r="N168" s="16"/>
      <c r="O168" s="15"/>
    </row>
    <row r="169" customFormat="false" ht="25.35" hidden="false" customHeight="false" outlineLevel="0" collapsed="false">
      <c r="A169" s="9" t="n">
        <v>163</v>
      </c>
      <c r="B169" s="10" t="s">
        <v>291</v>
      </c>
      <c r="C169" s="10" t="s">
        <v>120</v>
      </c>
      <c r="D169" s="11" t="n">
        <v>0.0106621527777778</v>
      </c>
      <c r="E169" s="12" t="n">
        <v>537</v>
      </c>
      <c r="F169" s="11" t="n">
        <v>0.00659155092592593</v>
      </c>
      <c r="G169" s="12" t="n">
        <v>66</v>
      </c>
      <c r="H169" s="11"/>
      <c r="I169" s="12"/>
      <c r="J169" s="12" t="n">
        <f aca="false">COUNT(E169,G169,I169)</f>
        <v>2</v>
      </c>
      <c r="K169" s="13" t="n">
        <f aca="false">MIN(E169,G169,I169)</f>
        <v>66</v>
      </c>
      <c r="L169" s="9" t="str">
        <f aca="false">IF(E169=K169,"5000m",IF(G169=K169,"3000mSC","1500m"))</f>
        <v>3000mSC</v>
      </c>
      <c r="M169" s="14" t="n">
        <f aca="false">(D169&lt;&gt;"")*(D169&lt;=($E$3*60+$F$3)/86400)+(F169&lt;&gt;"")*(F169&lt;=($I$3*60+$J$3)/86400)+(H169&lt;&gt;"")*(H169&lt;=($M$3*60+$N$3)/86400)</f>
        <v>0</v>
      </c>
      <c r="N169" s="16"/>
      <c r="O169" s="15"/>
    </row>
    <row r="170" customFormat="false" ht="15" hidden="false" customHeight="false" outlineLevel="0" collapsed="false">
      <c r="A170" s="9" t="n">
        <v>164</v>
      </c>
      <c r="B170" s="10" t="s">
        <v>292</v>
      </c>
      <c r="C170" s="10" t="s">
        <v>53</v>
      </c>
      <c r="D170" s="11" t="n">
        <v>0.0107623842592593</v>
      </c>
      <c r="E170" s="12" t="n">
        <v>685</v>
      </c>
      <c r="F170" s="11"/>
      <c r="G170" s="12"/>
      <c r="H170" s="11" t="n">
        <v>0.00273078703703704</v>
      </c>
      <c r="I170" s="12" t="n">
        <v>66</v>
      </c>
      <c r="J170" s="12" t="n">
        <f aca="false">COUNT(E170,G170,I170)</f>
        <v>2</v>
      </c>
      <c r="K170" s="13" t="n">
        <f aca="false">MIN(E170,G170,I170)</f>
        <v>66</v>
      </c>
      <c r="L170" s="9" t="str">
        <f aca="false">IF(E170=K170,"5000m",IF(G170=K170,"3000mSC","1500m"))</f>
        <v>1500m</v>
      </c>
      <c r="M170" s="14" t="n">
        <f aca="false">(D170&lt;&gt;"")*(D170&lt;=($E$3*60+$F$3)/86400)+(F170&lt;&gt;"")*(F170&lt;=($I$3*60+$J$3)/86400)+(H170&lt;&gt;"")*(H170&lt;=($M$3*60+$N$3)/86400)</f>
        <v>0</v>
      </c>
      <c r="N170" s="16"/>
      <c r="O170" s="15"/>
    </row>
    <row r="171" customFormat="false" ht="25.35" hidden="false" customHeight="false" outlineLevel="0" collapsed="false">
      <c r="A171" s="9" t="n">
        <v>165</v>
      </c>
      <c r="B171" s="10" t="s">
        <v>293</v>
      </c>
      <c r="C171" s="10" t="s">
        <v>87</v>
      </c>
      <c r="D171" s="11" t="n">
        <v>0.0106052083333333</v>
      </c>
      <c r="E171" s="12" t="n">
        <v>468</v>
      </c>
      <c r="F171" s="11" t="n">
        <v>0.00659479166666667</v>
      </c>
      <c r="G171" s="12" t="n">
        <v>67</v>
      </c>
      <c r="H171" s="11" t="n">
        <v>0.0027806712962963</v>
      </c>
      <c r="I171" s="12" t="n">
        <v>205</v>
      </c>
      <c r="J171" s="12" t="n">
        <f aca="false">COUNT(E171,G171,I171)</f>
        <v>3</v>
      </c>
      <c r="K171" s="13" t="n">
        <f aca="false">MIN(E171,G171,I171)</f>
        <v>67</v>
      </c>
      <c r="L171" s="9" t="str">
        <f aca="false">IF(E171=K171,"5000m",IF(G171=K171,"3000mSC","1500m"))</f>
        <v>3000mSC</v>
      </c>
      <c r="M171" s="14" t="n">
        <f aca="false">(D171&lt;&gt;"")*(D171&lt;=($E$3*60+$F$3)/86400)+(F171&lt;&gt;"")*(F171&lt;=($I$3*60+$J$3)/86400)+(H171&lt;&gt;"")*(H171&lt;=($M$3*60+$N$3)/86400)</f>
        <v>0</v>
      </c>
      <c r="N171" s="16"/>
      <c r="O171" s="15"/>
    </row>
    <row r="172" customFormat="false" ht="15" hidden="false" customHeight="false" outlineLevel="0" collapsed="false">
      <c r="A172" s="9" t="n">
        <v>166</v>
      </c>
      <c r="B172" s="10" t="s">
        <v>294</v>
      </c>
      <c r="C172" s="10" t="s">
        <v>295</v>
      </c>
      <c r="D172" s="11"/>
      <c r="E172" s="12"/>
      <c r="F172" s="11"/>
      <c r="G172" s="12"/>
      <c r="H172" s="11" t="n">
        <v>0.00273125</v>
      </c>
      <c r="I172" s="12" t="n">
        <v>67</v>
      </c>
      <c r="J172" s="12" t="n">
        <f aca="false">COUNT(E172,G172,I172)</f>
        <v>1</v>
      </c>
      <c r="K172" s="13" t="n">
        <f aca="false">MIN(E172,G172,I172)</f>
        <v>67</v>
      </c>
      <c r="L172" s="9" t="str">
        <f aca="false">IF(E172=K172,"5000m",IF(G172=K172,"3000mSC","1500m"))</f>
        <v>1500m</v>
      </c>
      <c r="M172" s="14" t="n">
        <f aca="false">(D172&lt;&gt;"")*(D172&lt;=($E$3*60+$F$3)/86400)+(F172&lt;&gt;"")*(F172&lt;=($I$3*60+$J$3)/86400)+(H172&lt;&gt;"")*(H172&lt;=($M$3*60+$N$3)/86400)</f>
        <v>0</v>
      </c>
      <c r="N172" s="16"/>
      <c r="O172" s="15"/>
    </row>
    <row r="173" customFormat="false" ht="25.35" hidden="false" customHeight="false" outlineLevel="0" collapsed="false">
      <c r="A173" s="9" t="n">
        <v>167</v>
      </c>
      <c r="B173" s="10" t="s">
        <v>296</v>
      </c>
      <c r="C173" s="10" t="s">
        <v>39</v>
      </c>
      <c r="D173" s="11" t="n">
        <v>0.0105496527777778</v>
      </c>
      <c r="E173" s="12" t="n">
        <v>398</v>
      </c>
      <c r="F173" s="11" t="n">
        <v>0.00659895833333333</v>
      </c>
      <c r="G173" s="12" t="n">
        <v>68</v>
      </c>
      <c r="H173" s="11" t="n">
        <v>0.00293402777777778</v>
      </c>
      <c r="I173" s="12" t="n">
        <v>1183</v>
      </c>
      <c r="J173" s="12" t="n">
        <f aca="false">COUNT(E173,G173,I173)</f>
        <v>3</v>
      </c>
      <c r="K173" s="13" t="n">
        <f aca="false">MIN(E173,G173,I173)</f>
        <v>68</v>
      </c>
      <c r="L173" s="9" t="str">
        <f aca="false">IF(E173=K173,"5000m",IF(G173=K173,"3000mSC","1500m"))</f>
        <v>3000mSC</v>
      </c>
      <c r="M173" s="14" t="n">
        <f aca="false">(D173&lt;&gt;"")*(D173&lt;=($E$3*60+$F$3)/86400)+(F173&lt;&gt;"")*(F173&lt;=($I$3*60+$J$3)/86400)+(H173&lt;&gt;"")*(H173&lt;=($M$3*60+$N$3)/86400)</f>
        <v>0</v>
      </c>
      <c r="N173" s="16"/>
      <c r="O173" s="15"/>
    </row>
    <row r="174" customFormat="false" ht="15" hidden="false" customHeight="false" outlineLevel="0" collapsed="false">
      <c r="A174" s="9" t="n">
        <v>168</v>
      </c>
      <c r="B174" s="10" t="s">
        <v>297</v>
      </c>
      <c r="C174" s="10" t="s">
        <v>298</v>
      </c>
      <c r="D174" s="11" t="n">
        <v>0.0101380787037037</v>
      </c>
      <c r="E174" s="12" t="n">
        <v>68</v>
      </c>
      <c r="F174" s="11"/>
      <c r="G174" s="12"/>
      <c r="H174" s="11" t="n">
        <v>0.0027568287037037</v>
      </c>
      <c r="I174" s="12" t="n">
        <v>127</v>
      </c>
      <c r="J174" s="12" t="n">
        <f aca="false">COUNT(E174,G174,I174)</f>
        <v>2</v>
      </c>
      <c r="K174" s="13" t="n">
        <f aca="false">MIN(E174,G174,I174)</f>
        <v>68</v>
      </c>
      <c r="L174" s="9" t="str">
        <f aca="false">IF(E174=K174,"5000m",IF(G174=K174,"3000mSC","1500m"))</f>
        <v>5000m</v>
      </c>
      <c r="M174" s="14" t="n">
        <f aca="false">(D174&lt;&gt;"")*(D174&lt;=($E$3*60+$F$3)/86400)+(F174&lt;&gt;"")*(F174&lt;=($I$3*60+$J$3)/86400)+(H174&lt;&gt;"")*(H174&lt;=($M$3*60+$N$3)/86400)</f>
        <v>0</v>
      </c>
      <c r="N174" s="16"/>
      <c r="O174" s="15"/>
    </row>
    <row r="175" customFormat="false" ht="25.35" hidden="false" customHeight="false" outlineLevel="0" collapsed="false">
      <c r="A175" s="9" t="n">
        <v>169</v>
      </c>
      <c r="B175" s="10" t="s">
        <v>299</v>
      </c>
      <c r="C175" s="10" t="s">
        <v>300</v>
      </c>
      <c r="D175" s="11" t="n">
        <v>0.010846412037037</v>
      </c>
      <c r="E175" s="12" t="n">
        <v>827</v>
      </c>
      <c r="F175" s="11" t="n">
        <v>0.0066087962962963</v>
      </c>
      <c r="G175" s="12" t="n">
        <v>69</v>
      </c>
      <c r="H175" s="11" t="n">
        <v>0.00290763888888889</v>
      </c>
      <c r="I175" s="12" t="n">
        <v>997</v>
      </c>
      <c r="J175" s="12" t="n">
        <f aca="false">COUNT(E175,G175,I175)</f>
        <v>3</v>
      </c>
      <c r="K175" s="13" t="n">
        <f aca="false">MIN(E175,G175,I175)</f>
        <v>69</v>
      </c>
      <c r="L175" s="9" t="str">
        <f aca="false">IF(E175=K175,"5000m",IF(G175=K175,"3000mSC","1500m"))</f>
        <v>3000mSC</v>
      </c>
      <c r="M175" s="14" t="n">
        <f aca="false">(D175&lt;&gt;"")*(D175&lt;=($E$3*60+$F$3)/86400)+(F175&lt;&gt;"")*(F175&lt;=($I$3*60+$J$3)/86400)+(H175&lt;&gt;"")*(H175&lt;=($M$3*60+$N$3)/86400)</f>
        <v>0</v>
      </c>
      <c r="N175" s="16"/>
      <c r="O175" s="15"/>
    </row>
    <row r="176" customFormat="false" ht="15" hidden="false" customHeight="false" outlineLevel="0" collapsed="false">
      <c r="A176" s="9" t="n">
        <v>170</v>
      </c>
      <c r="B176" s="10" t="s">
        <v>301</v>
      </c>
      <c r="C176" s="10" t="s">
        <v>302</v>
      </c>
      <c r="D176" s="11" t="n">
        <v>0.0105918981481482</v>
      </c>
      <c r="E176" s="12" t="n">
        <v>458</v>
      </c>
      <c r="F176" s="11"/>
      <c r="G176" s="12"/>
      <c r="H176" s="11" t="n">
        <v>0.00273240740740741</v>
      </c>
      <c r="I176" s="12" t="n">
        <v>69</v>
      </c>
      <c r="J176" s="12" t="n">
        <f aca="false">COUNT(E176,G176,I176)</f>
        <v>2</v>
      </c>
      <c r="K176" s="13" t="n">
        <f aca="false">MIN(E176,G176,I176)</f>
        <v>69</v>
      </c>
      <c r="L176" s="9" t="str">
        <f aca="false">IF(E176=K176,"5000m",IF(G176=K176,"3000mSC","1500m"))</f>
        <v>1500m</v>
      </c>
      <c r="M176" s="14" t="n">
        <f aca="false">(D176&lt;&gt;"")*(D176&lt;=($E$3*60+$F$3)/86400)+(F176&lt;&gt;"")*(F176&lt;=($I$3*60+$J$3)/86400)+(H176&lt;&gt;"")*(H176&lt;=($M$3*60+$N$3)/86400)</f>
        <v>0</v>
      </c>
      <c r="N176" s="16"/>
      <c r="O176" s="15"/>
    </row>
    <row r="177" customFormat="false" ht="15" hidden="false" customHeight="false" outlineLevel="0" collapsed="false">
      <c r="A177" s="9" t="n">
        <v>171</v>
      </c>
      <c r="B177" s="10" t="s">
        <v>303</v>
      </c>
      <c r="C177" s="10" t="s">
        <v>45</v>
      </c>
      <c r="D177" s="11" t="n">
        <v>0.0101414351851852</v>
      </c>
      <c r="E177" s="12" t="n">
        <v>69</v>
      </c>
      <c r="F177" s="11"/>
      <c r="G177" s="12"/>
      <c r="H177" s="11" t="n">
        <v>0.00285590277777778</v>
      </c>
      <c r="I177" s="12" t="n">
        <v>607</v>
      </c>
      <c r="J177" s="12" t="n">
        <f aca="false">COUNT(E177,G177,I177)</f>
        <v>2</v>
      </c>
      <c r="K177" s="13" t="n">
        <f aca="false">MIN(E177,G177,I177)</f>
        <v>69</v>
      </c>
      <c r="L177" s="9" t="str">
        <f aca="false">IF(E177=K177,"5000m",IF(G177=K177,"3000mSC","1500m"))</f>
        <v>5000m</v>
      </c>
      <c r="M177" s="14" t="n">
        <f aca="false">(D177&lt;&gt;"")*(D177&lt;=($E$3*60+$F$3)/86400)+(F177&lt;&gt;"")*(F177&lt;=($I$3*60+$J$3)/86400)+(H177&lt;&gt;"")*(H177&lt;=($M$3*60+$N$3)/86400)</f>
        <v>0</v>
      </c>
      <c r="N177" s="16"/>
      <c r="O177" s="15"/>
    </row>
    <row r="178" customFormat="false" ht="25.35" hidden="false" customHeight="false" outlineLevel="0" collapsed="false">
      <c r="A178" s="9" t="n">
        <v>172</v>
      </c>
      <c r="B178" s="10" t="s">
        <v>304</v>
      </c>
      <c r="C178" s="10" t="s">
        <v>109</v>
      </c>
      <c r="D178" s="11" t="n">
        <v>0.0109865740740741</v>
      </c>
      <c r="E178" s="12" t="n">
        <v>1073</v>
      </c>
      <c r="F178" s="11" t="n">
        <v>0.00661006944444444</v>
      </c>
      <c r="G178" s="12" t="n">
        <v>70</v>
      </c>
      <c r="H178" s="11" t="n">
        <v>0.00288993055555556</v>
      </c>
      <c r="I178" s="12" t="n">
        <v>864</v>
      </c>
      <c r="J178" s="12" t="n">
        <f aca="false">COUNT(E178,G178,I178)</f>
        <v>3</v>
      </c>
      <c r="K178" s="13" t="n">
        <f aca="false">MIN(E178,G178,I178)</f>
        <v>70</v>
      </c>
      <c r="L178" s="9" t="str">
        <f aca="false">IF(E178=K178,"5000m",IF(G178=K178,"3000mSC","1500m"))</f>
        <v>3000mSC</v>
      </c>
      <c r="M178" s="14" t="n">
        <f aca="false">(D178&lt;&gt;"")*(D178&lt;=($E$3*60+$F$3)/86400)+(F178&lt;&gt;"")*(F178&lt;=($I$3*60+$J$3)/86400)+(H178&lt;&gt;"")*(H178&lt;=($M$3*60+$N$3)/86400)</f>
        <v>0</v>
      </c>
      <c r="N178" s="16"/>
      <c r="O178" s="15"/>
    </row>
    <row r="179" customFormat="false" ht="15" hidden="false" customHeight="false" outlineLevel="0" collapsed="false">
      <c r="A179" s="9" t="n">
        <v>173</v>
      </c>
      <c r="B179" s="10" t="s">
        <v>305</v>
      </c>
      <c r="C179" s="10" t="s">
        <v>103</v>
      </c>
      <c r="D179" s="11" t="n">
        <v>0.0101446759259259</v>
      </c>
      <c r="E179" s="12" t="n">
        <v>70</v>
      </c>
      <c r="F179" s="11"/>
      <c r="G179" s="12"/>
      <c r="H179" s="11"/>
      <c r="I179" s="12"/>
      <c r="J179" s="12" t="n">
        <f aca="false">COUNT(E179,G179,I179)</f>
        <v>1</v>
      </c>
      <c r="K179" s="13" t="n">
        <f aca="false">MIN(E179,G179,I179)</f>
        <v>70</v>
      </c>
      <c r="L179" s="9" t="str">
        <f aca="false">IF(E179=K179,"5000m",IF(G179=K179,"3000mSC","1500m"))</f>
        <v>5000m</v>
      </c>
      <c r="M179" s="14" t="n">
        <f aca="false">(D179&lt;&gt;"")*(D179&lt;=($E$3*60+$F$3)/86400)+(F179&lt;&gt;"")*(F179&lt;=($I$3*60+$J$3)/86400)+(H179&lt;&gt;"")*(H179&lt;=($M$3*60+$N$3)/86400)</f>
        <v>0</v>
      </c>
      <c r="N179" s="16"/>
      <c r="O179" s="15"/>
    </row>
    <row r="180" customFormat="false" ht="15" hidden="false" customHeight="false" outlineLevel="0" collapsed="false">
      <c r="A180" s="9" t="n">
        <v>174</v>
      </c>
      <c r="B180" s="10" t="s">
        <v>306</v>
      </c>
      <c r="C180" s="10" t="s">
        <v>307</v>
      </c>
      <c r="D180" s="11" t="n">
        <v>0.0101478009259259</v>
      </c>
      <c r="E180" s="12" t="n">
        <v>71</v>
      </c>
      <c r="F180" s="11" t="n">
        <v>0.00698865740740741</v>
      </c>
      <c r="G180" s="12" t="n">
        <v>323</v>
      </c>
      <c r="H180" s="11" t="n">
        <v>0.00275729166666667</v>
      </c>
      <c r="I180" s="12" t="n">
        <v>128</v>
      </c>
      <c r="J180" s="12" t="n">
        <f aca="false">COUNT(E180,G180,I180)</f>
        <v>3</v>
      </c>
      <c r="K180" s="13" t="n">
        <f aca="false">MIN(E180,G180,I180)</f>
        <v>71</v>
      </c>
      <c r="L180" s="9" t="str">
        <f aca="false">IF(E180=K180,"5000m",IF(G180=K180,"3000mSC","1500m"))</f>
        <v>5000m</v>
      </c>
      <c r="M180" s="14" t="n">
        <f aca="false">(D180&lt;&gt;"")*(D180&lt;=($E$3*60+$F$3)/86400)+(F180&lt;&gt;"")*(F180&lt;=($I$3*60+$J$3)/86400)+(H180&lt;&gt;"")*(H180&lt;=($M$3*60+$N$3)/86400)</f>
        <v>0</v>
      </c>
      <c r="N180" s="16"/>
      <c r="O180" s="15"/>
    </row>
    <row r="181" customFormat="false" ht="25.35" hidden="false" customHeight="false" outlineLevel="0" collapsed="false">
      <c r="A181" s="9" t="n">
        <v>175</v>
      </c>
      <c r="B181" s="10" t="s">
        <v>308</v>
      </c>
      <c r="C181" s="10" t="s">
        <v>309</v>
      </c>
      <c r="D181" s="11" t="n">
        <v>0.0106396990740741</v>
      </c>
      <c r="E181" s="12" t="n">
        <v>509</v>
      </c>
      <c r="F181" s="11" t="n">
        <v>0.00661840277777778</v>
      </c>
      <c r="G181" s="12" t="n">
        <v>71</v>
      </c>
      <c r="H181" s="11" t="n">
        <v>0.002884375</v>
      </c>
      <c r="I181" s="12" t="n">
        <v>811</v>
      </c>
      <c r="J181" s="12" t="n">
        <f aca="false">COUNT(E181,G181,I181)</f>
        <v>3</v>
      </c>
      <c r="K181" s="13" t="n">
        <f aca="false">MIN(E181,G181,I181)</f>
        <v>71</v>
      </c>
      <c r="L181" s="9" t="str">
        <f aca="false">IF(E181=K181,"5000m",IF(G181=K181,"3000mSC","1500m"))</f>
        <v>3000mSC</v>
      </c>
      <c r="M181" s="14" t="n">
        <f aca="false">(D181&lt;&gt;"")*(D181&lt;=($E$3*60+$F$3)/86400)+(F181&lt;&gt;"")*(F181&lt;=($I$3*60+$J$3)/86400)+(H181&lt;&gt;"")*(H181&lt;=($M$3*60+$N$3)/86400)</f>
        <v>0</v>
      </c>
      <c r="N181" s="16"/>
      <c r="O181" s="15"/>
    </row>
    <row r="182" customFormat="false" ht="15" hidden="false" customHeight="false" outlineLevel="0" collapsed="false">
      <c r="A182" s="9" t="n">
        <v>176</v>
      </c>
      <c r="B182" s="10" t="s">
        <v>310</v>
      </c>
      <c r="C182" s="10" t="s">
        <v>79</v>
      </c>
      <c r="D182" s="11" t="n">
        <v>0.0106170138888889</v>
      </c>
      <c r="E182" s="12" t="n">
        <v>491</v>
      </c>
      <c r="F182" s="11"/>
      <c r="G182" s="12"/>
      <c r="H182" s="11" t="n">
        <v>0.00273449074074074</v>
      </c>
      <c r="I182" s="12" t="n">
        <v>71</v>
      </c>
      <c r="J182" s="12" t="n">
        <f aca="false">COUNT(E182,G182,I182)</f>
        <v>2</v>
      </c>
      <c r="K182" s="13" t="n">
        <f aca="false">MIN(E182,G182,I182)</f>
        <v>71</v>
      </c>
      <c r="L182" s="9" t="str">
        <f aca="false">IF(E182=K182,"5000m",IF(G182=K182,"3000mSC","1500m"))</f>
        <v>1500m</v>
      </c>
      <c r="M182" s="14" t="n">
        <f aca="false">(D182&lt;&gt;"")*(D182&lt;=($E$3*60+$F$3)/86400)+(F182&lt;&gt;"")*(F182&lt;=($I$3*60+$J$3)/86400)+(H182&lt;&gt;"")*(H182&lt;=($M$3*60+$N$3)/86400)</f>
        <v>0</v>
      </c>
      <c r="N182" s="16"/>
      <c r="O182" s="15"/>
    </row>
    <row r="183" customFormat="false" ht="15" hidden="false" customHeight="false" outlineLevel="0" collapsed="false">
      <c r="A183" s="9" t="n">
        <v>177</v>
      </c>
      <c r="B183" s="10" t="s">
        <v>311</v>
      </c>
      <c r="C183" s="10" t="s">
        <v>312</v>
      </c>
      <c r="D183" s="11" t="n">
        <v>0.0101538194444444</v>
      </c>
      <c r="E183" s="12" t="n">
        <v>72</v>
      </c>
      <c r="F183" s="11"/>
      <c r="G183" s="12"/>
      <c r="H183" s="11" t="n">
        <v>0.00274097222222222</v>
      </c>
      <c r="I183" s="12" t="n">
        <v>86</v>
      </c>
      <c r="J183" s="12" t="n">
        <f aca="false">COUNT(E183,G183,I183)</f>
        <v>2</v>
      </c>
      <c r="K183" s="13" t="n">
        <f aca="false">MIN(E183,G183,I183)</f>
        <v>72</v>
      </c>
      <c r="L183" s="9" t="str">
        <f aca="false">IF(E183=K183,"5000m",IF(G183=K183,"3000mSC","1500m"))</f>
        <v>5000m</v>
      </c>
      <c r="M183" s="14" t="n">
        <f aca="false">(D183&lt;&gt;"")*(D183&lt;=($E$3*60+$F$3)/86400)+(F183&lt;&gt;"")*(F183&lt;=($I$3*60+$J$3)/86400)+(H183&lt;&gt;"")*(H183&lt;=($M$3*60+$N$3)/86400)</f>
        <v>0</v>
      </c>
      <c r="N183" s="16"/>
      <c r="O183" s="15"/>
    </row>
    <row r="184" customFormat="false" ht="15" hidden="false" customHeight="false" outlineLevel="0" collapsed="false">
      <c r="A184" s="9" t="n">
        <v>178</v>
      </c>
      <c r="B184" s="10" t="s">
        <v>313</v>
      </c>
      <c r="C184" s="10" t="s">
        <v>242</v>
      </c>
      <c r="D184" s="11" t="n">
        <v>0.0106119212962963</v>
      </c>
      <c r="E184" s="12" t="n">
        <v>480</v>
      </c>
      <c r="F184" s="11"/>
      <c r="G184" s="12"/>
      <c r="H184" s="11" t="n">
        <v>0.00273506944444444</v>
      </c>
      <c r="I184" s="12" t="n">
        <v>72</v>
      </c>
      <c r="J184" s="12" t="n">
        <f aca="false">COUNT(E184,G184,I184)</f>
        <v>2</v>
      </c>
      <c r="K184" s="13" t="n">
        <f aca="false">MIN(E184,G184,I184)</f>
        <v>72</v>
      </c>
      <c r="L184" s="9" t="str">
        <f aca="false">IF(E184=K184,"5000m",IF(G184=K184,"3000mSC","1500m"))</f>
        <v>1500m</v>
      </c>
      <c r="M184" s="14" t="n">
        <f aca="false">(D184&lt;&gt;"")*(D184&lt;=($E$3*60+$F$3)/86400)+(F184&lt;&gt;"")*(F184&lt;=($I$3*60+$J$3)/86400)+(H184&lt;&gt;"")*(H184&lt;=($M$3*60+$N$3)/86400)</f>
        <v>0</v>
      </c>
      <c r="N184" s="16"/>
      <c r="O184" s="15"/>
    </row>
    <row r="185" customFormat="false" ht="25.35" hidden="false" customHeight="false" outlineLevel="0" collapsed="false">
      <c r="A185" s="9" t="n">
        <v>179</v>
      </c>
      <c r="B185" s="10" t="s">
        <v>314</v>
      </c>
      <c r="C185" s="10" t="s">
        <v>315</v>
      </c>
      <c r="D185" s="11"/>
      <c r="E185" s="12"/>
      <c r="F185" s="11" t="n">
        <v>0.00662453703703704</v>
      </c>
      <c r="G185" s="12" t="n">
        <v>72</v>
      </c>
      <c r="H185" s="11"/>
      <c r="I185" s="12"/>
      <c r="J185" s="12" t="n">
        <f aca="false">COUNT(E185,G185,I185)</f>
        <v>1</v>
      </c>
      <c r="K185" s="13" t="n">
        <f aca="false">MIN(E185,G185,I185)</f>
        <v>72</v>
      </c>
      <c r="L185" s="9" t="str">
        <f aca="false">IF(E185=K185,"5000m",IF(G185=K185,"3000mSC","1500m"))</f>
        <v>3000mSC</v>
      </c>
      <c r="M185" s="14" t="n">
        <f aca="false">(D185&lt;&gt;"")*(D185&lt;=($E$3*60+$F$3)/86400)+(F185&lt;&gt;"")*(F185&lt;=($I$3*60+$J$3)/86400)+(H185&lt;&gt;"")*(H185&lt;=($M$3*60+$N$3)/86400)</f>
        <v>0</v>
      </c>
      <c r="N185" s="16"/>
      <c r="O185" s="15"/>
    </row>
    <row r="186" customFormat="false" ht="25.35" hidden="false" customHeight="false" outlineLevel="0" collapsed="false">
      <c r="A186" s="9" t="n">
        <v>180</v>
      </c>
      <c r="B186" s="10" t="s">
        <v>316</v>
      </c>
      <c r="C186" s="10" t="s">
        <v>317</v>
      </c>
      <c r="D186" s="11" t="n">
        <v>0.0107778935185185</v>
      </c>
      <c r="E186" s="12" t="n">
        <v>705</v>
      </c>
      <c r="F186" s="11" t="n">
        <v>0.0066275462962963</v>
      </c>
      <c r="G186" s="12" t="n">
        <v>73</v>
      </c>
      <c r="H186" s="11" t="n">
        <v>0.00289895833333333</v>
      </c>
      <c r="I186" s="12" t="n">
        <v>938</v>
      </c>
      <c r="J186" s="12" t="n">
        <f aca="false">COUNT(E186,G186,I186)</f>
        <v>3</v>
      </c>
      <c r="K186" s="13" t="n">
        <f aca="false">MIN(E186,G186,I186)</f>
        <v>73</v>
      </c>
      <c r="L186" s="9" t="str">
        <f aca="false">IF(E186=K186,"5000m",IF(G186=K186,"3000mSC","1500m"))</f>
        <v>3000mSC</v>
      </c>
      <c r="M186" s="14" t="n">
        <f aca="false">(D186&lt;&gt;"")*(D186&lt;=($E$3*60+$F$3)/86400)+(F186&lt;&gt;"")*(F186&lt;=($I$3*60+$J$3)/86400)+(H186&lt;&gt;"")*(H186&lt;=($M$3*60+$N$3)/86400)</f>
        <v>0</v>
      </c>
      <c r="N186" s="16"/>
      <c r="O186" s="15"/>
    </row>
    <row r="187" customFormat="false" ht="15" hidden="false" customHeight="false" outlineLevel="0" collapsed="false">
      <c r="A187" s="9" t="n">
        <v>181</v>
      </c>
      <c r="B187" s="10" t="s">
        <v>318</v>
      </c>
      <c r="C187" s="10" t="s">
        <v>185</v>
      </c>
      <c r="D187" s="11" t="n">
        <v>0.0104302083333333</v>
      </c>
      <c r="E187" s="12" t="n">
        <v>294</v>
      </c>
      <c r="F187" s="11"/>
      <c r="G187" s="12"/>
      <c r="H187" s="11" t="n">
        <v>0.00273530092592593</v>
      </c>
      <c r="I187" s="12" t="n">
        <v>73</v>
      </c>
      <c r="J187" s="12" t="n">
        <f aca="false">COUNT(E187,G187,I187)</f>
        <v>2</v>
      </c>
      <c r="K187" s="13" t="n">
        <f aca="false">MIN(E187,G187,I187)</f>
        <v>73</v>
      </c>
      <c r="L187" s="9" t="str">
        <f aca="false">IF(E187=K187,"5000m",IF(G187=K187,"3000mSC","1500m"))</f>
        <v>1500m</v>
      </c>
      <c r="M187" s="14" t="n">
        <f aca="false">(D187&lt;&gt;"")*(D187&lt;=($E$3*60+$F$3)/86400)+(F187&lt;&gt;"")*(F187&lt;=($I$3*60+$J$3)/86400)+(H187&lt;&gt;"")*(H187&lt;=($M$3*60+$N$3)/86400)</f>
        <v>0</v>
      </c>
      <c r="N187" s="16"/>
      <c r="O187" s="15"/>
    </row>
    <row r="188" customFormat="false" ht="15" hidden="false" customHeight="false" outlineLevel="0" collapsed="false">
      <c r="A188" s="9" t="n">
        <v>182</v>
      </c>
      <c r="B188" s="10" t="s">
        <v>319</v>
      </c>
      <c r="C188" s="10" t="s">
        <v>105</v>
      </c>
      <c r="D188" s="11" t="n">
        <v>0.0101539351851852</v>
      </c>
      <c r="E188" s="12" t="n">
        <v>73</v>
      </c>
      <c r="F188" s="11"/>
      <c r="G188" s="12"/>
      <c r="H188" s="11"/>
      <c r="I188" s="12"/>
      <c r="J188" s="12" t="n">
        <f aca="false">COUNT(E188,G188,I188)</f>
        <v>1</v>
      </c>
      <c r="K188" s="13" t="n">
        <f aca="false">MIN(E188,G188,I188)</f>
        <v>73</v>
      </c>
      <c r="L188" s="9" t="str">
        <f aca="false">IF(E188=K188,"5000m",IF(G188=K188,"3000mSC","1500m"))</f>
        <v>5000m</v>
      </c>
      <c r="M188" s="14" t="n">
        <f aca="false">(D188&lt;&gt;"")*(D188&lt;=($E$3*60+$F$3)/86400)+(F188&lt;&gt;"")*(F188&lt;=($I$3*60+$J$3)/86400)+(H188&lt;&gt;"")*(H188&lt;=($M$3*60+$N$3)/86400)</f>
        <v>0</v>
      </c>
      <c r="N188" s="16"/>
      <c r="O188" s="15"/>
    </row>
    <row r="189" customFormat="false" ht="25.35" hidden="false" customHeight="false" outlineLevel="0" collapsed="false">
      <c r="A189" s="9" t="n">
        <v>183</v>
      </c>
      <c r="B189" s="10" t="s">
        <v>320</v>
      </c>
      <c r="C189" s="10" t="s">
        <v>261</v>
      </c>
      <c r="D189" s="11" t="n">
        <v>0.01075625</v>
      </c>
      <c r="E189" s="12" t="n">
        <v>677</v>
      </c>
      <c r="F189" s="11" t="n">
        <v>0.00663287037037037</v>
      </c>
      <c r="G189" s="12" t="n">
        <v>74</v>
      </c>
      <c r="H189" s="11"/>
      <c r="I189" s="12"/>
      <c r="J189" s="12" t="n">
        <f aca="false">COUNT(E189,G189,I189)</f>
        <v>2</v>
      </c>
      <c r="K189" s="13" t="n">
        <f aca="false">MIN(E189,G189,I189)</f>
        <v>74</v>
      </c>
      <c r="L189" s="9" t="str">
        <f aca="false">IF(E189=K189,"5000m",IF(G189=K189,"3000mSC","1500m"))</f>
        <v>3000mSC</v>
      </c>
      <c r="M189" s="14" t="n">
        <f aca="false">(D189&lt;&gt;"")*(D189&lt;=($E$3*60+$F$3)/86400)+(F189&lt;&gt;"")*(F189&lt;=($I$3*60+$J$3)/86400)+(H189&lt;&gt;"")*(H189&lt;=($M$3*60+$N$3)/86400)</f>
        <v>0</v>
      </c>
      <c r="N189" s="16"/>
      <c r="O189" s="15"/>
    </row>
    <row r="190" customFormat="false" ht="15" hidden="false" customHeight="false" outlineLevel="0" collapsed="false">
      <c r="A190" s="9" t="n">
        <v>184</v>
      </c>
      <c r="B190" s="10" t="s">
        <v>321</v>
      </c>
      <c r="C190" s="10" t="s">
        <v>307</v>
      </c>
      <c r="D190" s="11" t="n">
        <v>0.010159837962963</v>
      </c>
      <c r="E190" s="12" t="n">
        <v>76</v>
      </c>
      <c r="F190" s="11"/>
      <c r="G190" s="12"/>
      <c r="H190" s="11" t="n">
        <v>0.00273576388888889</v>
      </c>
      <c r="I190" s="12" t="n">
        <v>75</v>
      </c>
      <c r="J190" s="12" t="n">
        <f aca="false">COUNT(E190,G190,I190)</f>
        <v>2</v>
      </c>
      <c r="K190" s="13" t="n">
        <f aca="false">MIN(E190,G190,I190)</f>
        <v>75</v>
      </c>
      <c r="L190" s="9" t="str">
        <f aca="false">IF(E190=K190,"5000m",IF(G190=K190,"3000mSC","1500m"))</f>
        <v>1500m</v>
      </c>
      <c r="M190" s="14" t="n">
        <f aca="false">(D190&lt;&gt;"")*(D190&lt;=($E$3*60+$F$3)/86400)+(F190&lt;&gt;"")*(F190&lt;=($I$3*60+$J$3)/86400)+(H190&lt;&gt;"")*(H190&lt;=($M$3*60+$N$3)/86400)</f>
        <v>0</v>
      </c>
      <c r="N190" s="16"/>
      <c r="O190" s="15"/>
    </row>
    <row r="191" customFormat="false" ht="25.35" hidden="false" customHeight="false" outlineLevel="0" collapsed="false">
      <c r="A191" s="9" t="n">
        <v>185</v>
      </c>
      <c r="B191" s="10" t="s">
        <v>322</v>
      </c>
      <c r="C191" s="10" t="s">
        <v>323</v>
      </c>
      <c r="D191" s="11" t="n">
        <v>0.0108936342592593</v>
      </c>
      <c r="E191" s="12" t="n">
        <v>909</v>
      </c>
      <c r="F191" s="11" t="n">
        <v>0.0066337962962963</v>
      </c>
      <c r="G191" s="12" t="n">
        <v>75</v>
      </c>
      <c r="H191" s="11"/>
      <c r="I191" s="12"/>
      <c r="J191" s="12" t="n">
        <f aca="false">COUNT(E191,G191,I191)</f>
        <v>2</v>
      </c>
      <c r="K191" s="13" t="n">
        <f aca="false">MIN(E191,G191,I191)</f>
        <v>75</v>
      </c>
      <c r="L191" s="9" t="str">
        <f aca="false">IF(E191=K191,"5000m",IF(G191=K191,"3000mSC","1500m"))</f>
        <v>3000mSC</v>
      </c>
      <c r="M191" s="14" t="n">
        <f aca="false">(D191&lt;&gt;"")*(D191&lt;=($E$3*60+$F$3)/86400)+(F191&lt;&gt;"")*(F191&lt;=($I$3*60+$J$3)/86400)+(H191&lt;&gt;"")*(H191&lt;=($M$3*60+$N$3)/86400)</f>
        <v>0</v>
      </c>
      <c r="N191" s="16"/>
      <c r="O191" s="15"/>
    </row>
    <row r="192" customFormat="false" ht="25.35" hidden="false" customHeight="false" outlineLevel="0" collapsed="false">
      <c r="A192" s="9" t="n">
        <v>186</v>
      </c>
      <c r="B192" s="10" t="s">
        <v>324</v>
      </c>
      <c r="C192" s="10" t="s">
        <v>72</v>
      </c>
      <c r="D192" s="11" t="n">
        <v>0.0104962962962963</v>
      </c>
      <c r="E192" s="12" t="n">
        <v>338</v>
      </c>
      <c r="F192" s="11" t="n">
        <v>0.00663680555555556</v>
      </c>
      <c r="G192" s="12" t="n">
        <v>76</v>
      </c>
      <c r="H192" s="11" t="n">
        <v>0.00287071759259259</v>
      </c>
      <c r="I192" s="12" t="n">
        <v>701</v>
      </c>
      <c r="J192" s="12" t="n">
        <f aca="false">COUNT(E192,G192,I192)</f>
        <v>3</v>
      </c>
      <c r="K192" s="13" t="n">
        <f aca="false">MIN(E192,G192,I192)</f>
        <v>76</v>
      </c>
      <c r="L192" s="9" t="str">
        <f aca="false">IF(E192=K192,"5000m",IF(G192=K192,"3000mSC","1500m"))</f>
        <v>3000mSC</v>
      </c>
      <c r="M192" s="14" t="n">
        <f aca="false">(D192&lt;&gt;"")*(D192&lt;=($E$3*60+$F$3)/86400)+(F192&lt;&gt;"")*(F192&lt;=($I$3*60+$J$3)/86400)+(H192&lt;&gt;"")*(H192&lt;=($M$3*60+$N$3)/86400)</f>
        <v>0</v>
      </c>
      <c r="N192" s="16"/>
      <c r="O192" s="15"/>
    </row>
    <row r="193" customFormat="false" ht="15" hidden="false" customHeight="false" outlineLevel="0" collapsed="false">
      <c r="A193" s="9" t="n">
        <v>187</v>
      </c>
      <c r="B193" s="10" t="s">
        <v>325</v>
      </c>
      <c r="C193" s="10" t="s">
        <v>326</v>
      </c>
      <c r="D193" s="11" t="n">
        <v>0.0108737268518519</v>
      </c>
      <c r="E193" s="12" t="n">
        <v>878</v>
      </c>
      <c r="F193" s="11"/>
      <c r="G193" s="12"/>
      <c r="H193" s="11" t="n">
        <v>0.00273611111111111</v>
      </c>
      <c r="I193" s="12" t="n">
        <v>76</v>
      </c>
      <c r="J193" s="12" t="n">
        <f aca="false">COUNT(E193,G193,I193)</f>
        <v>2</v>
      </c>
      <c r="K193" s="13" t="n">
        <f aca="false">MIN(E193,G193,I193)</f>
        <v>76</v>
      </c>
      <c r="L193" s="9" t="str">
        <f aca="false">IF(E193=K193,"5000m",IF(G193=K193,"3000mSC","1500m"))</f>
        <v>1500m</v>
      </c>
      <c r="M193" s="14" t="n">
        <f aca="false">(D193&lt;&gt;"")*(D193&lt;=($E$3*60+$F$3)/86400)+(F193&lt;&gt;"")*(F193&lt;=($I$3*60+$J$3)/86400)+(H193&lt;&gt;"")*(H193&lt;=($M$3*60+$N$3)/86400)</f>
        <v>0</v>
      </c>
      <c r="N193" s="16"/>
      <c r="O193" s="15"/>
    </row>
    <row r="194" customFormat="false" ht="15" hidden="false" customHeight="false" outlineLevel="0" collapsed="false">
      <c r="A194" s="9" t="n">
        <v>188</v>
      </c>
      <c r="B194" s="10" t="s">
        <v>327</v>
      </c>
      <c r="C194" s="10" t="s">
        <v>27</v>
      </c>
      <c r="D194" s="11" t="n">
        <v>0.0101636574074074</v>
      </c>
      <c r="E194" s="12" t="n">
        <v>77</v>
      </c>
      <c r="F194" s="11" t="n">
        <v>0.00668576388888889</v>
      </c>
      <c r="G194" s="12" t="n">
        <v>103</v>
      </c>
      <c r="H194" s="11" t="n">
        <v>0.00296979166666667</v>
      </c>
      <c r="I194" s="12" t="n">
        <v>1310</v>
      </c>
      <c r="J194" s="12" t="n">
        <f aca="false">COUNT(E194,G194,I194)</f>
        <v>3</v>
      </c>
      <c r="K194" s="13" t="n">
        <f aca="false">MIN(E194,G194,I194)</f>
        <v>77</v>
      </c>
      <c r="L194" s="9" t="str">
        <f aca="false">IF(E194=K194,"5000m",IF(G194=K194,"3000mSC","1500m"))</f>
        <v>5000m</v>
      </c>
      <c r="M194" s="14" t="n">
        <f aca="false">(D194&lt;&gt;"")*(D194&lt;=($E$3*60+$F$3)/86400)+(F194&lt;&gt;"")*(F194&lt;=($I$3*60+$J$3)/86400)+(H194&lt;&gt;"")*(H194&lt;=($M$3*60+$N$3)/86400)</f>
        <v>0</v>
      </c>
      <c r="N194" s="16"/>
      <c r="O194" s="15"/>
    </row>
    <row r="195" customFormat="false" ht="25.35" hidden="false" customHeight="false" outlineLevel="0" collapsed="false">
      <c r="A195" s="9" t="n">
        <v>189</v>
      </c>
      <c r="B195" s="10" t="s">
        <v>328</v>
      </c>
      <c r="C195" s="10" t="s">
        <v>23</v>
      </c>
      <c r="D195" s="11" t="n">
        <v>0.0104017361111111</v>
      </c>
      <c r="E195" s="12" t="n">
        <v>268</v>
      </c>
      <c r="F195" s="11" t="n">
        <v>0.00663773148148148</v>
      </c>
      <c r="G195" s="12" t="n">
        <v>77</v>
      </c>
      <c r="H195" s="11"/>
      <c r="I195" s="12"/>
      <c r="J195" s="12" t="n">
        <f aca="false">COUNT(E195,G195,I195)</f>
        <v>2</v>
      </c>
      <c r="K195" s="13" t="n">
        <f aca="false">MIN(E195,G195,I195)</f>
        <v>77</v>
      </c>
      <c r="L195" s="9" t="str">
        <f aca="false">IF(E195=K195,"5000m",IF(G195=K195,"3000mSC","1500m"))</f>
        <v>3000mSC</v>
      </c>
      <c r="M195" s="14" t="n">
        <f aca="false">(D195&lt;&gt;"")*(D195&lt;=($E$3*60+$F$3)/86400)+(F195&lt;&gt;"")*(F195&lt;=($I$3*60+$J$3)/86400)+(H195&lt;&gt;"")*(H195&lt;=($M$3*60+$N$3)/86400)</f>
        <v>0</v>
      </c>
      <c r="N195" s="16"/>
      <c r="O195" s="15"/>
    </row>
    <row r="196" customFormat="false" ht="15" hidden="false" customHeight="false" outlineLevel="0" collapsed="false">
      <c r="A196" s="9" t="n">
        <v>190</v>
      </c>
      <c r="B196" s="10" t="s">
        <v>329</v>
      </c>
      <c r="C196" s="10" t="s">
        <v>193</v>
      </c>
      <c r="D196" s="11" t="n">
        <v>0.0107082175925926</v>
      </c>
      <c r="E196" s="12" t="n">
        <v>597</v>
      </c>
      <c r="F196" s="11"/>
      <c r="G196" s="12"/>
      <c r="H196" s="11" t="n">
        <v>0.00273611111111111</v>
      </c>
      <c r="I196" s="12" t="n">
        <v>77</v>
      </c>
      <c r="J196" s="12" t="n">
        <f aca="false">COUNT(E196,G196,I196)</f>
        <v>2</v>
      </c>
      <c r="K196" s="13" t="n">
        <f aca="false">MIN(E196,G196,I196)</f>
        <v>77</v>
      </c>
      <c r="L196" s="9" t="str">
        <f aca="false">IF(E196=K196,"5000m",IF(G196=K196,"3000mSC","1500m"))</f>
        <v>1500m</v>
      </c>
      <c r="M196" s="14" t="n">
        <f aca="false">(D196&lt;&gt;"")*(D196&lt;=($E$3*60+$F$3)/86400)+(F196&lt;&gt;"")*(F196&lt;=($I$3*60+$J$3)/86400)+(H196&lt;&gt;"")*(H196&lt;=($M$3*60+$N$3)/86400)</f>
        <v>0</v>
      </c>
      <c r="N196" s="16"/>
      <c r="O196" s="15"/>
    </row>
    <row r="197" customFormat="false" ht="15" hidden="false" customHeight="false" outlineLevel="0" collapsed="false">
      <c r="A197" s="9" t="n">
        <v>191</v>
      </c>
      <c r="B197" s="10" t="s">
        <v>330</v>
      </c>
      <c r="C197" s="10" t="s">
        <v>29</v>
      </c>
      <c r="D197" s="11" t="n">
        <v>0.0101642361111111</v>
      </c>
      <c r="E197" s="12" t="n">
        <v>78</v>
      </c>
      <c r="F197" s="11" t="n">
        <v>0.00702662037037037</v>
      </c>
      <c r="G197" s="12" t="n">
        <v>360</v>
      </c>
      <c r="H197" s="11" t="n">
        <v>0.00284363425925926</v>
      </c>
      <c r="I197" s="12" t="n">
        <v>522</v>
      </c>
      <c r="J197" s="12" t="n">
        <f aca="false">COUNT(E197,G197,I197)</f>
        <v>3</v>
      </c>
      <c r="K197" s="13" t="n">
        <f aca="false">MIN(E197,G197,I197)</f>
        <v>78</v>
      </c>
      <c r="L197" s="9" t="str">
        <f aca="false">IF(E197=K197,"5000m",IF(G197=K197,"3000mSC","1500m"))</f>
        <v>5000m</v>
      </c>
      <c r="M197" s="14" t="n">
        <f aca="false">(D197&lt;&gt;"")*(D197&lt;=($E$3*60+$F$3)/86400)+(F197&lt;&gt;"")*(F197&lt;=($I$3*60+$J$3)/86400)+(H197&lt;&gt;"")*(H197&lt;=($M$3*60+$N$3)/86400)</f>
        <v>0</v>
      </c>
      <c r="N197" s="16"/>
      <c r="O197" s="15"/>
    </row>
    <row r="198" customFormat="false" ht="25.35" hidden="false" customHeight="false" outlineLevel="0" collapsed="false">
      <c r="A198" s="9" t="n">
        <v>192</v>
      </c>
      <c r="B198" s="10" t="s">
        <v>331</v>
      </c>
      <c r="C198" s="10" t="s">
        <v>208</v>
      </c>
      <c r="D198" s="11" t="n">
        <v>0.0104184027777778</v>
      </c>
      <c r="E198" s="12" t="n">
        <v>283</v>
      </c>
      <c r="F198" s="11" t="n">
        <v>0.00663900462962963</v>
      </c>
      <c r="G198" s="12" t="n">
        <v>78</v>
      </c>
      <c r="H198" s="11" t="n">
        <v>0.00285671296296296</v>
      </c>
      <c r="I198" s="12" t="n">
        <v>612</v>
      </c>
      <c r="J198" s="12" t="n">
        <f aca="false">COUNT(E198,G198,I198)</f>
        <v>3</v>
      </c>
      <c r="K198" s="13" t="n">
        <f aca="false">MIN(E198,G198,I198)</f>
        <v>78</v>
      </c>
      <c r="L198" s="9" t="str">
        <f aca="false">IF(E198=K198,"5000m",IF(G198=K198,"3000mSC","1500m"))</f>
        <v>3000mSC</v>
      </c>
      <c r="M198" s="14" t="n">
        <f aca="false">(D198&lt;&gt;"")*(D198&lt;=($E$3*60+$F$3)/86400)+(F198&lt;&gt;"")*(F198&lt;=($I$3*60+$J$3)/86400)+(H198&lt;&gt;"")*(H198&lt;=($M$3*60+$N$3)/86400)</f>
        <v>0</v>
      </c>
      <c r="N198" s="16"/>
      <c r="O198" s="15"/>
    </row>
    <row r="199" customFormat="false" ht="15" hidden="false" customHeight="false" outlineLevel="0" collapsed="false">
      <c r="A199" s="9" t="n">
        <v>193</v>
      </c>
      <c r="B199" s="10" t="s">
        <v>332</v>
      </c>
      <c r="C199" s="10" t="s">
        <v>333</v>
      </c>
      <c r="D199" s="11" t="n">
        <v>0.0107920138888889</v>
      </c>
      <c r="E199" s="12" t="n">
        <v>729</v>
      </c>
      <c r="F199" s="11"/>
      <c r="G199" s="12"/>
      <c r="H199" s="11" t="n">
        <v>0.00273657407407407</v>
      </c>
      <c r="I199" s="12" t="n">
        <v>78</v>
      </c>
      <c r="J199" s="12" t="n">
        <f aca="false">COUNT(E199,G199,I199)</f>
        <v>2</v>
      </c>
      <c r="K199" s="13" t="n">
        <f aca="false">MIN(E199,G199,I199)</f>
        <v>78</v>
      </c>
      <c r="L199" s="9" t="str">
        <f aca="false">IF(E199=K199,"5000m",IF(G199=K199,"3000mSC","1500m"))</f>
        <v>1500m</v>
      </c>
      <c r="M199" s="14" t="n">
        <f aca="false">(D199&lt;&gt;"")*(D199&lt;=($E$3*60+$F$3)/86400)+(F199&lt;&gt;"")*(F199&lt;=($I$3*60+$J$3)/86400)+(H199&lt;&gt;"")*(H199&lt;=($M$3*60+$N$3)/86400)</f>
        <v>0</v>
      </c>
      <c r="N199" s="16"/>
      <c r="O199" s="15"/>
    </row>
    <row r="200" customFormat="false" ht="15" hidden="false" customHeight="false" outlineLevel="0" collapsed="false">
      <c r="A200" s="9" t="n">
        <v>194</v>
      </c>
      <c r="B200" s="10" t="s">
        <v>334</v>
      </c>
      <c r="C200" s="10" t="s">
        <v>141</v>
      </c>
      <c r="D200" s="11" t="n">
        <v>0.0102657407407407</v>
      </c>
      <c r="E200" s="12" t="n">
        <v>132</v>
      </c>
      <c r="F200" s="11" t="n">
        <v>0.00676458333333333</v>
      </c>
      <c r="G200" s="12" t="n">
        <v>141</v>
      </c>
      <c r="H200" s="11" t="n">
        <v>0.00273703703703704</v>
      </c>
      <c r="I200" s="12" t="n">
        <v>79</v>
      </c>
      <c r="J200" s="12" t="n">
        <f aca="false">COUNT(E200,G200,I200)</f>
        <v>3</v>
      </c>
      <c r="K200" s="13" t="n">
        <f aca="false">MIN(E200,G200,I200)</f>
        <v>79</v>
      </c>
      <c r="L200" s="9" t="str">
        <f aca="false">IF(E200=K200,"5000m",IF(G200=K200,"3000mSC","1500m"))</f>
        <v>1500m</v>
      </c>
      <c r="M200" s="14" t="n">
        <f aca="false">(D200&lt;&gt;"")*(D200&lt;=($E$3*60+$F$3)/86400)+(F200&lt;&gt;"")*(F200&lt;=($I$3*60+$J$3)/86400)+(H200&lt;&gt;"")*(H200&lt;=($M$3*60+$N$3)/86400)</f>
        <v>0</v>
      </c>
      <c r="N200" s="16"/>
      <c r="O200" s="15"/>
    </row>
    <row r="201" customFormat="false" ht="25.35" hidden="false" customHeight="false" outlineLevel="0" collapsed="false">
      <c r="A201" s="9" t="n">
        <v>195</v>
      </c>
      <c r="B201" s="10" t="s">
        <v>335</v>
      </c>
      <c r="C201" s="10" t="s">
        <v>154</v>
      </c>
      <c r="D201" s="11" t="n">
        <v>0.0103547453703704</v>
      </c>
      <c r="E201" s="12" t="n">
        <v>209</v>
      </c>
      <c r="F201" s="11" t="n">
        <v>0.0066412037037037</v>
      </c>
      <c r="G201" s="12" t="n">
        <v>79</v>
      </c>
      <c r="H201" s="11" t="n">
        <v>0.00275543981481482</v>
      </c>
      <c r="I201" s="12" t="n">
        <v>121</v>
      </c>
      <c r="J201" s="12" t="n">
        <f aca="false">COUNT(E201,G201,I201)</f>
        <v>3</v>
      </c>
      <c r="K201" s="13" t="n">
        <f aca="false">MIN(E201,G201,I201)</f>
        <v>79</v>
      </c>
      <c r="L201" s="9" t="str">
        <f aca="false">IF(E201=K201,"5000m",IF(G201=K201,"3000mSC","1500m"))</f>
        <v>3000mSC</v>
      </c>
      <c r="M201" s="14" t="n">
        <f aca="false">(D201&lt;&gt;"")*(D201&lt;=($E$3*60+$F$3)/86400)+(F201&lt;&gt;"")*(F201&lt;=($I$3*60+$J$3)/86400)+(H201&lt;&gt;"")*(H201&lt;=($M$3*60+$N$3)/86400)</f>
        <v>0</v>
      </c>
      <c r="N201" s="16"/>
      <c r="O201" s="15"/>
    </row>
    <row r="202" customFormat="false" ht="15" hidden="false" customHeight="false" outlineLevel="0" collapsed="false">
      <c r="A202" s="9" t="n">
        <v>196</v>
      </c>
      <c r="B202" s="10" t="s">
        <v>336</v>
      </c>
      <c r="C202" s="10" t="s">
        <v>43</v>
      </c>
      <c r="D202" s="11" t="n">
        <v>0.0101675925925926</v>
      </c>
      <c r="E202" s="12" t="n">
        <v>79</v>
      </c>
      <c r="F202" s="11"/>
      <c r="G202" s="12"/>
      <c r="H202" s="11" t="n">
        <v>0.00288171296296296</v>
      </c>
      <c r="I202" s="12" t="n">
        <v>785</v>
      </c>
      <c r="J202" s="12" t="n">
        <f aca="false">COUNT(E202,G202,I202)</f>
        <v>2</v>
      </c>
      <c r="K202" s="13" t="n">
        <f aca="false">MIN(E202,G202,I202)</f>
        <v>79</v>
      </c>
      <c r="L202" s="9" t="str">
        <f aca="false">IF(E202=K202,"5000m",IF(G202=K202,"3000mSC","1500m"))</f>
        <v>5000m</v>
      </c>
      <c r="M202" s="14" t="n">
        <f aca="false">(D202&lt;&gt;"")*(D202&lt;=($E$3*60+$F$3)/86400)+(F202&lt;&gt;"")*(F202&lt;=($I$3*60+$J$3)/86400)+(H202&lt;&gt;"")*(H202&lt;=($M$3*60+$N$3)/86400)</f>
        <v>0</v>
      </c>
      <c r="N202" s="16"/>
      <c r="O202" s="15"/>
    </row>
    <row r="203" customFormat="false" ht="25.35" hidden="false" customHeight="false" outlineLevel="0" collapsed="false">
      <c r="A203" s="9" t="n">
        <v>197</v>
      </c>
      <c r="B203" s="10" t="s">
        <v>337</v>
      </c>
      <c r="C203" s="10" t="s">
        <v>338</v>
      </c>
      <c r="D203" s="11" t="n">
        <v>0.0109703703703704</v>
      </c>
      <c r="E203" s="12" t="n">
        <v>1040</v>
      </c>
      <c r="F203" s="11" t="n">
        <v>0.00664293981481482</v>
      </c>
      <c r="G203" s="12" t="n">
        <v>80</v>
      </c>
      <c r="H203" s="11" t="n">
        <v>0.00283680555555556</v>
      </c>
      <c r="I203" s="12" t="n">
        <v>476</v>
      </c>
      <c r="J203" s="12" t="n">
        <f aca="false">COUNT(E203,G203,I203)</f>
        <v>3</v>
      </c>
      <c r="K203" s="13" t="n">
        <f aca="false">MIN(E203,G203,I203)</f>
        <v>80</v>
      </c>
      <c r="L203" s="9" t="str">
        <f aca="false">IF(E203=K203,"5000m",IF(G203=K203,"3000mSC","1500m"))</f>
        <v>3000mSC</v>
      </c>
      <c r="M203" s="14" t="n">
        <f aca="false">(D203&lt;&gt;"")*(D203&lt;=($E$3*60+$F$3)/86400)+(F203&lt;&gt;"")*(F203&lt;=($I$3*60+$J$3)/86400)+(H203&lt;&gt;"")*(H203&lt;=($M$3*60+$N$3)/86400)</f>
        <v>0</v>
      </c>
      <c r="N203" s="16"/>
      <c r="O203" s="15"/>
    </row>
    <row r="204" customFormat="false" ht="15" hidden="false" customHeight="false" outlineLevel="0" collapsed="false">
      <c r="A204" s="9" t="n">
        <v>198</v>
      </c>
      <c r="B204" s="10" t="s">
        <v>339</v>
      </c>
      <c r="C204" s="10" t="s">
        <v>23</v>
      </c>
      <c r="D204" s="11" t="n">
        <v>0.0101733796296296</v>
      </c>
      <c r="E204" s="12" t="n">
        <v>80</v>
      </c>
      <c r="F204" s="11"/>
      <c r="G204" s="12"/>
      <c r="H204" s="11"/>
      <c r="I204" s="12"/>
      <c r="J204" s="12" t="n">
        <f aca="false">COUNT(E204,G204,I204)</f>
        <v>1</v>
      </c>
      <c r="K204" s="13" t="n">
        <f aca="false">MIN(E204,G204,I204)</f>
        <v>80</v>
      </c>
      <c r="L204" s="9" t="str">
        <f aca="false">IF(E204=K204,"5000m",IF(G204=K204,"3000mSC","1500m"))</f>
        <v>5000m</v>
      </c>
      <c r="M204" s="14" t="n">
        <f aca="false">(D204&lt;&gt;"")*(D204&lt;=($E$3*60+$F$3)/86400)+(F204&lt;&gt;"")*(F204&lt;=($I$3*60+$J$3)/86400)+(H204&lt;&gt;"")*(H204&lt;=($M$3*60+$N$3)/86400)</f>
        <v>0</v>
      </c>
      <c r="N204" s="16"/>
      <c r="O204" s="15"/>
    </row>
    <row r="205" customFormat="false" ht="25.35" hidden="false" customHeight="false" outlineLevel="0" collapsed="false">
      <c r="A205" s="9" t="n">
        <v>199</v>
      </c>
      <c r="B205" s="10" t="s">
        <v>340</v>
      </c>
      <c r="C205" s="10" t="s">
        <v>341</v>
      </c>
      <c r="D205" s="11" t="n">
        <v>0.0108959490740741</v>
      </c>
      <c r="E205" s="12" t="n">
        <v>915</v>
      </c>
      <c r="F205" s="11" t="n">
        <v>0.0066474537037037</v>
      </c>
      <c r="G205" s="12" t="n">
        <v>81</v>
      </c>
      <c r="H205" s="11" t="n">
        <v>0.00277650462962963</v>
      </c>
      <c r="I205" s="12" t="n">
        <v>184</v>
      </c>
      <c r="J205" s="12" t="n">
        <f aca="false">COUNT(E205,G205,I205)</f>
        <v>3</v>
      </c>
      <c r="K205" s="13" t="n">
        <f aca="false">MIN(E205,G205,I205)</f>
        <v>81</v>
      </c>
      <c r="L205" s="9" t="str">
        <f aca="false">IF(E205=K205,"5000m",IF(G205=K205,"3000mSC","1500m"))</f>
        <v>3000mSC</v>
      </c>
      <c r="M205" s="14" t="n">
        <f aca="false">(D205&lt;&gt;"")*(D205&lt;=($E$3*60+$F$3)/86400)+(F205&lt;&gt;"")*(F205&lt;=($I$3*60+$J$3)/86400)+(H205&lt;&gt;"")*(H205&lt;=($M$3*60+$N$3)/86400)</f>
        <v>0</v>
      </c>
      <c r="N205" s="16"/>
      <c r="O205" s="15"/>
    </row>
    <row r="206" customFormat="false" ht="15" hidden="false" customHeight="false" outlineLevel="0" collapsed="false">
      <c r="A206" s="9" t="n">
        <v>200</v>
      </c>
      <c r="B206" s="10" t="s">
        <v>342</v>
      </c>
      <c r="C206" s="10" t="s">
        <v>95</v>
      </c>
      <c r="D206" s="11" t="n">
        <v>0.0101733796296296</v>
      </c>
      <c r="E206" s="12" t="n">
        <v>81</v>
      </c>
      <c r="F206" s="11"/>
      <c r="G206" s="12"/>
      <c r="H206" s="11" t="n">
        <v>0.00274398148148148</v>
      </c>
      <c r="I206" s="12" t="n">
        <v>87</v>
      </c>
      <c r="J206" s="12" t="n">
        <f aca="false">COUNT(E206,G206,I206)</f>
        <v>2</v>
      </c>
      <c r="K206" s="13" t="n">
        <f aca="false">MIN(E206,G206,I206)</f>
        <v>81</v>
      </c>
      <c r="L206" s="9" t="str">
        <f aca="false">IF(E206=K206,"5000m",IF(G206=K206,"3000mSC","1500m"))</f>
        <v>5000m</v>
      </c>
      <c r="M206" s="14" t="n">
        <f aca="false">(D206&lt;&gt;"")*(D206&lt;=($E$3*60+$F$3)/86400)+(F206&lt;&gt;"")*(F206&lt;=($I$3*60+$J$3)/86400)+(H206&lt;&gt;"")*(H206&lt;=($M$3*60+$N$3)/86400)</f>
        <v>0</v>
      </c>
      <c r="N206" s="16"/>
      <c r="O206" s="15"/>
    </row>
    <row r="207" customFormat="false" ht="15" hidden="false" customHeight="false" outlineLevel="0" collapsed="false">
      <c r="A207" s="9" t="n">
        <v>201</v>
      </c>
      <c r="B207" s="10" t="s">
        <v>343</v>
      </c>
      <c r="C207" s="10" t="s">
        <v>240</v>
      </c>
      <c r="D207" s="11"/>
      <c r="E207" s="12"/>
      <c r="F207" s="11"/>
      <c r="G207" s="12"/>
      <c r="H207" s="11" t="n">
        <v>0.00273796296296296</v>
      </c>
      <c r="I207" s="12" t="n">
        <v>81</v>
      </c>
      <c r="J207" s="12" t="n">
        <f aca="false">COUNT(E207,G207,I207)</f>
        <v>1</v>
      </c>
      <c r="K207" s="13" t="n">
        <f aca="false">MIN(E207,G207,I207)</f>
        <v>81</v>
      </c>
      <c r="L207" s="9" t="str">
        <f aca="false">IF(E207=K207,"5000m",IF(G207=K207,"3000mSC","1500m"))</f>
        <v>1500m</v>
      </c>
      <c r="M207" s="14" t="n">
        <f aca="false">(D207&lt;&gt;"")*(D207&lt;=($E$3*60+$F$3)/86400)+(F207&lt;&gt;"")*(F207&lt;=($I$3*60+$J$3)/86400)+(H207&lt;&gt;"")*(H207&lt;=($M$3*60+$N$3)/86400)</f>
        <v>0</v>
      </c>
      <c r="N207" s="16"/>
      <c r="O207" s="15"/>
    </row>
    <row r="208" customFormat="false" ht="25.35" hidden="false" customHeight="false" outlineLevel="0" collapsed="false">
      <c r="A208" s="9" t="n">
        <v>202</v>
      </c>
      <c r="B208" s="10" t="s">
        <v>344</v>
      </c>
      <c r="C208" s="10" t="s">
        <v>206</v>
      </c>
      <c r="D208" s="11" t="n">
        <v>0.010465162037037</v>
      </c>
      <c r="E208" s="12" t="n">
        <v>315</v>
      </c>
      <c r="F208" s="11" t="n">
        <v>0.00664930555555556</v>
      </c>
      <c r="G208" s="12" t="n">
        <v>82</v>
      </c>
      <c r="H208" s="11" t="n">
        <v>0.00282824074074074</v>
      </c>
      <c r="I208" s="12" t="n">
        <v>413</v>
      </c>
      <c r="J208" s="12" t="n">
        <f aca="false">COUNT(E208,G208,I208)</f>
        <v>3</v>
      </c>
      <c r="K208" s="13" t="n">
        <f aca="false">MIN(E208,G208,I208)</f>
        <v>82</v>
      </c>
      <c r="L208" s="9" t="str">
        <f aca="false">IF(E208=K208,"5000m",IF(G208=K208,"3000mSC","1500m"))</f>
        <v>3000mSC</v>
      </c>
      <c r="M208" s="14" t="n">
        <f aca="false">(D208&lt;&gt;"")*(D208&lt;=($E$3*60+$F$3)/86400)+(F208&lt;&gt;"")*(F208&lt;=($I$3*60+$J$3)/86400)+(H208&lt;&gt;"")*(H208&lt;=($M$3*60+$N$3)/86400)</f>
        <v>0</v>
      </c>
      <c r="N208" s="10" t="s">
        <v>345</v>
      </c>
      <c r="O208" s="15"/>
    </row>
    <row r="209" customFormat="false" ht="25.35" hidden="false" customHeight="false" outlineLevel="0" collapsed="false">
      <c r="A209" s="9" t="n">
        <v>203</v>
      </c>
      <c r="B209" s="10" t="s">
        <v>346</v>
      </c>
      <c r="C209" s="10" t="s">
        <v>166</v>
      </c>
      <c r="D209" s="11" t="n">
        <v>0.0107975694444444</v>
      </c>
      <c r="E209" s="12" t="n">
        <v>738</v>
      </c>
      <c r="F209" s="11" t="n">
        <v>0.00665</v>
      </c>
      <c r="G209" s="12" t="n">
        <v>83</v>
      </c>
      <c r="H209" s="11" t="n">
        <v>0.00279027777777778</v>
      </c>
      <c r="I209" s="12" t="n">
        <v>241</v>
      </c>
      <c r="J209" s="12" t="n">
        <f aca="false">COUNT(E209,G209,I209)</f>
        <v>3</v>
      </c>
      <c r="K209" s="13" t="n">
        <f aca="false">MIN(E209,G209,I209)</f>
        <v>83</v>
      </c>
      <c r="L209" s="9" t="str">
        <f aca="false">IF(E209=K209,"5000m",IF(G209=K209,"3000mSC","1500m"))</f>
        <v>3000mSC</v>
      </c>
      <c r="M209" s="14" t="n">
        <f aca="false">(D209&lt;&gt;"")*(D209&lt;=($E$3*60+$F$3)/86400)+(F209&lt;&gt;"")*(F209&lt;=($I$3*60+$J$3)/86400)+(H209&lt;&gt;"")*(H209&lt;=($M$3*60+$N$3)/86400)</f>
        <v>0</v>
      </c>
      <c r="N209" s="16"/>
      <c r="O209" s="15"/>
    </row>
    <row r="210" customFormat="false" ht="15" hidden="false" customHeight="false" outlineLevel="0" collapsed="false">
      <c r="A210" s="9" t="n">
        <v>204</v>
      </c>
      <c r="B210" s="10" t="s">
        <v>347</v>
      </c>
      <c r="C210" s="10" t="s">
        <v>348</v>
      </c>
      <c r="D210" s="11" t="n">
        <v>0.0102315972222222</v>
      </c>
      <c r="E210" s="12" t="n">
        <v>112</v>
      </c>
      <c r="F210" s="11"/>
      <c r="G210" s="12"/>
      <c r="H210" s="11" t="n">
        <v>0.00273877314814815</v>
      </c>
      <c r="I210" s="12" t="n">
        <v>83</v>
      </c>
      <c r="J210" s="12" t="n">
        <f aca="false">COUNT(E210,G210,I210)</f>
        <v>2</v>
      </c>
      <c r="K210" s="13" t="n">
        <f aca="false">MIN(E210,G210,I210)</f>
        <v>83</v>
      </c>
      <c r="L210" s="9" t="str">
        <f aca="false">IF(E210=K210,"5000m",IF(G210=K210,"3000mSC","1500m"))</f>
        <v>1500m</v>
      </c>
      <c r="M210" s="14" t="n">
        <f aca="false">(D210&lt;&gt;"")*(D210&lt;=($E$3*60+$F$3)/86400)+(F210&lt;&gt;"")*(F210&lt;=($I$3*60+$J$3)/86400)+(H210&lt;&gt;"")*(H210&lt;=($M$3*60+$N$3)/86400)</f>
        <v>0</v>
      </c>
      <c r="N210" s="16"/>
      <c r="O210" s="15"/>
    </row>
    <row r="211" customFormat="false" ht="25.35" hidden="false" customHeight="false" outlineLevel="0" collapsed="false">
      <c r="A211" s="9" t="n">
        <v>205</v>
      </c>
      <c r="B211" s="10" t="s">
        <v>349</v>
      </c>
      <c r="C211" s="10" t="s">
        <v>350</v>
      </c>
      <c r="D211" s="11" t="n">
        <v>0.0101881944444444</v>
      </c>
      <c r="E211" s="12" t="n">
        <v>91</v>
      </c>
      <c r="F211" s="11" t="n">
        <v>0.00665277777777778</v>
      </c>
      <c r="G211" s="12" t="n">
        <v>84</v>
      </c>
      <c r="H211" s="11" t="n">
        <v>0.00280810185185185</v>
      </c>
      <c r="I211" s="12" t="n">
        <v>317</v>
      </c>
      <c r="J211" s="12" t="n">
        <f aca="false">COUNT(E211,G211,I211)</f>
        <v>3</v>
      </c>
      <c r="K211" s="13" t="n">
        <f aca="false">MIN(E211,G211,I211)</f>
        <v>84</v>
      </c>
      <c r="L211" s="9" t="str">
        <f aca="false">IF(E211=K211,"5000m",IF(G211=K211,"3000mSC","1500m"))</f>
        <v>3000mSC</v>
      </c>
      <c r="M211" s="14" t="n">
        <f aca="false">(D211&lt;&gt;"")*(D211&lt;=($E$3*60+$F$3)/86400)+(F211&lt;&gt;"")*(F211&lt;=($I$3*60+$J$3)/86400)+(H211&lt;&gt;"")*(H211&lt;=($M$3*60+$N$3)/86400)</f>
        <v>0</v>
      </c>
      <c r="N211" s="16"/>
      <c r="O211" s="15"/>
    </row>
    <row r="212" customFormat="false" ht="25.35" hidden="false" customHeight="false" outlineLevel="0" collapsed="false">
      <c r="A212" s="9" t="n">
        <v>206</v>
      </c>
      <c r="B212" s="10" t="s">
        <v>351</v>
      </c>
      <c r="C212" s="10" t="s">
        <v>352</v>
      </c>
      <c r="D212" s="11" t="n">
        <v>0.010646875</v>
      </c>
      <c r="E212" s="12" t="n">
        <v>519</v>
      </c>
      <c r="F212" s="11" t="n">
        <v>0.00665532407407407</v>
      </c>
      <c r="G212" s="12" t="n">
        <v>85</v>
      </c>
      <c r="H212" s="11" t="n">
        <v>0.00282071759259259</v>
      </c>
      <c r="I212" s="12" t="n">
        <v>365</v>
      </c>
      <c r="J212" s="12" t="n">
        <f aca="false">COUNT(E212,G212,I212)</f>
        <v>3</v>
      </c>
      <c r="K212" s="13" t="n">
        <f aca="false">MIN(E212,G212,I212)</f>
        <v>85</v>
      </c>
      <c r="L212" s="9" t="str">
        <f aca="false">IF(E212=K212,"5000m",IF(G212=K212,"3000mSC","1500m"))</f>
        <v>3000mSC</v>
      </c>
      <c r="M212" s="14" t="n">
        <f aca="false">(D212&lt;&gt;"")*(D212&lt;=($E$3*60+$F$3)/86400)+(F212&lt;&gt;"")*(F212&lt;=($I$3*60+$J$3)/86400)+(H212&lt;&gt;"")*(H212&lt;=($M$3*60+$N$3)/86400)</f>
        <v>0</v>
      </c>
      <c r="N212" s="16"/>
      <c r="O212" s="15"/>
    </row>
    <row r="213" customFormat="false" ht="15" hidden="false" customHeight="false" outlineLevel="0" collapsed="false">
      <c r="A213" s="9" t="n">
        <v>207</v>
      </c>
      <c r="B213" s="10" t="s">
        <v>353</v>
      </c>
      <c r="C213" s="10" t="s">
        <v>41</v>
      </c>
      <c r="D213" s="11" t="n">
        <v>0.0101798611111111</v>
      </c>
      <c r="E213" s="12" t="n">
        <v>85</v>
      </c>
      <c r="F213" s="11"/>
      <c r="G213" s="12"/>
      <c r="H213" s="11" t="n">
        <v>0.002865625</v>
      </c>
      <c r="I213" s="12" t="n">
        <v>668</v>
      </c>
      <c r="J213" s="12" t="n">
        <f aca="false">COUNT(E213,G213,I213)</f>
        <v>2</v>
      </c>
      <c r="K213" s="13" t="n">
        <f aca="false">MIN(E213,G213,I213)</f>
        <v>85</v>
      </c>
      <c r="L213" s="9" t="str">
        <f aca="false">IF(E213=K213,"5000m",IF(G213=K213,"3000mSC","1500m"))</f>
        <v>5000m</v>
      </c>
      <c r="M213" s="14" t="n">
        <f aca="false">(D213&lt;&gt;"")*(D213&lt;=($E$3*60+$F$3)/86400)+(F213&lt;&gt;"")*(F213&lt;=($I$3*60+$J$3)/86400)+(H213&lt;&gt;"")*(H213&lt;=($M$3*60+$N$3)/86400)</f>
        <v>0</v>
      </c>
      <c r="N213" s="16"/>
      <c r="O213" s="15"/>
    </row>
    <row r="214" customFormat="false" ht="15" hidden="false" customHeight="false" outlineLevel="0" collapsed="false">
      <c r="A214" s="9" t="n">
        <v>208</v>
      </c>
      <c r="B214" s="10" t="s">
        <v>354</v>
      </c>
      <c r="C214" s="10" t="s">
        <v>97</v>
      </c>
      <c r="D214" s="11"/>
      <c r="E214" s="12"/>
      <c r="F214" s="11"/>
      <c r="G214" s="12"/>
      <c r="H214" s="11" t="n">
        <v>0.00273969907407407</v>
      </c>
      <c r="I214" s="12" t="n">
        <v>85</v>
      </c>
      <c r="J214" s="12" t="n">
        <f aca="false">COUNT(E214,G214,I214)</f>
        <v>1</v>
      </c>
      <c r="K214" s="13" t="n">
        <f aca="false">MIN(E214,G214,I214)</f>
        <v>85</v>
      </c>
      <c r="L214" s="9" t="str">
        <f aca="false">IF(E214=K214,"5000m",IF(G214=K214,"3000mSC","1500m"))</f>
        <v>1500m</v>
      </c>
      <c r="M214" s="14" t="n">
        <f aca="false">(D214&lt;&gt;"")*(D214&lt;=($E$3*60+$F$3)/86400)+(F214&lt;&gt;"")*(F214&lt;=($I$3*60+$J$3)/86400)+(H214&lt;&gt;"")*(H214&lt;=($M$3*60+$N$3)/86400)</f>
        <v>0</v>
      </c>
      <c r="N214" s="16"/>
      <c r="O214" s="15"/>
    </row>
    <row r="215" customFormat="false" ht="25.35" hidden="false" customHeight="false" outlineLevel="0" collapsed="false">
      <c r="A215" s="9" t="n">
        <v>209</v>
      </c>
      <c r="B215" s="10" t="s">
        <v>355</v>
      </c>
      <c r="C215" s="10" t="s">
        <v>179</v>
      </c>
      <c r="D215" s="11" t="n">
        <v>0.0106728009259259</v>
      </c>
      <c r="E215" s="12" t="n">
        <v>552</v>
      </c>
      <c r="F215" s="11" t="n">
        <v>0.00665798611111111</v>
      </c>
      <c r="G215" s="12" t="n">
        <v>86</v>
      </c>
      <c r="H215" s="11" t="n">
        <v>0.00286006944444445</v>
      </c>
      <c r="I215" s="12" t="n">
        <v>636</v>
      </c>
      <c r="J215" s="12" t="n">
        <f aca="false">COUNT(E215,G215,I215)</f>
        <v>3</v>
      </c>
      <c r="K215" s="13" t="n">
        <f aca="false">MIN(E215,G215,I215)</f>
        <v>86</v>
      </c>
      <c r="L215" s="9" t="str">
        <f aca="false">IF(E215=K215,"5000m",IF(G215=K215,"3000mSC","1500m"))</f>
        <v>3000mSC</v>
      </c>
      <c r="M215" s="14" t="n">
        <f aca="false">(D215&lt;&gt;"")*(D215&lt;=($E$3*60+$F$3)/86400)+(F215&lt;&gt;"")*(F215&lt;=($I$3*60+$J$3)/86400)+(H215&lt;&gt;"")*(H215&lt;=($M$3*60+$N$3)/86400)</f>
        <v>0</v>
      </c>
      <c r="N215" s="16"/>
      <c r="O215" s="15"/>
    </row>
    <row r="216" customFormat="false" ht="15" hidden="false" customHeight="false" outlineLevel="0" collapsed="false">
      <c r="A216" s="9" t="n">
        <v>210</v>
      </c>
      <c r="B216" s="10" t="s">
        <v>356</v>
      </c>
      <c r="C216" s="10" t="s">
        <v>62</v>
      </c>
      <c r="D216" s="11" t="n">
        <v>0.0101837962962963</v>
      </c>
      <c r="E216" s="12" t="n">
        <v>86</v>
      </c>
      <c r="F216" s="11"/>
      <c r="G216" s="12"/>
      <c r="H216" s="11" t="n">
        <v>0.00292476851851852</v>
      </c>
      <c r="I216" s="12" t="n">
        <v>1142</v>
      </c>
      <c r="J216" s="12" t="n">
        <f aca="false">COUNT(E216,G216,I216)</f>
        <v>2</v>
      </c>
      <c r="K216" s="13" t="n">
        <f aca="false">MIN(E216,G216,I216)</f>
        <v>86</v>
      </c>
      <c r="L216" s="9" t="str">
        <f aca="false">IF(E216=K216,"5000m",IF(G216=K216,"3000mSC","1500m"))</f>
        <v>5000m</v>
      </c>
      <c r="M216" s="14" t="n">
        <f aca="false">(D216&lt;&gt;"")*(D216&lt;=($E$3*60+$F$3)/86400)+(F216&lt;&gt;"")*(F216&lt;=($I$3*60+$J$3)/86400)+(H216&lt;&gt;"")*(H216&lt;=($M$3*60+$N$3)/86400)</f>
        <v>0</v>
      </c>
      <c r="N216" s="16"/>
      <c r="O216" s="15"/>
    </row>
    <row r="217" customFormat="false" ht="15" hidden="false" customHeight="false" outlineLevel="0" collapsed="false">
      <c r="A217" s="9" t="n">
        <v>211</v>
      </c>
      <c r="B217" s="10" t="s">
        <v>357</v>
      </c>
      <c r="C217" s="10" t="s">
        <v>358</v>
      </c>
      <c r="D217" s="11" t="n">
        <v>0.0101858796296296</v>
      </c>
      <c r="E217" s="12" t="n">
        <v>87</v>
      </c>
      <c r="F217" s="11"/>
      <c r="G217" s="12"/>
      <c r="H217" s="11" t="n">
        <v>0.00276203703703704</v>
      </c>
      <c r="I217" s="12" t="n">
        <v>140</v>
      </c>
      <c r="J217" s="12" t="n">
        <f aca="false">COUNT(E217,G217,I217)</f>
        <v>2</v>
      </c>
      <c r="K217" s="13" t="n">
        <f aca="false">MIN(E217,G217,I217)</f>
        <v>87</v>
      </c>
      <c r="L217" s="9" t="str">
        <f aca="false">IF(E217=K217,"5000m",IF(G217=K217,"3000mSC","1500m"))</f>
        <v>5000m</v>
      </c>
      <c r="M217" s="14" t="n">
        <f aca="false">(D217&lt;&gt;"")*(D217&lt;=($E$3*60+$F$3)/86400)+(F217&lt;&gt;"")*(F217&lt;=($I$3*60+$J$3)/86400)+(H217&lt;&gt;"")*(H217&lt;=($M$3*60+$N$3)/86400)</f>
        <v>0</v>
      </c>
      <c r="N217" s="16"/>
      <c r="O217" s="15"/>
    </row>
    <row r="218" customFormat="false" ht="25.35" hidden="false" customHeight="false" outlineLevel="0" collapsed="false">
      <c r="A218" s="9" t="n">
        <v>212</v>
      </c>
      <c r="B218" s="10" t="s">
        <v>359</v>
      </c>
      <c r="C218" s="10" t="s">
        <v>53</v>
      </c>
      <c r="D218" s="11" t="n">
        <v>0.0105715277777778</v>
      </c>
      <c r="E218" s="12" t="n">
        <v>425</v>
      </c>
      <c r="F218" s="11" t="n">
        <v>0.00665925925925926</v>
      </c>
      <c r="G218" s="12" t="n">
        <v>87</v>
      </c>
      <c r="H218" s="11"/>
      <c r="I218" s="12"/>
      <c r="J218" s="12" t="n">
        <f aca="false">COUNT(E218,G218,I218)</f>
        <v>2</v>
      </c>
      <c r="K218" s="13" t="n">
        <f aca="false">MIN(E218,G218,I218)</f>
        <v>87</v>
      </c>
      <c r="L218" s="9" t="str">
        <f aca="false">IF(E218=K218,"5000m",IF(G218=K218,"3000mSC","1500m"))</f>
        <v>3000mSC</v>
      </c>
      <c r="M218" s="14" t="n">
        <f aca="false">(D218&lt;&gt;"")*(D218&lt;=($E$3*60+$F$3)/86400)+(F218&lt;&gt;"")*(F218&lt;=($I$3*60+$J$3)/86400)+(H218&lt;&gt;"")*(H218&lt;=($M$3*60+$N$3)/86400)</f>
        <v>0</v>
      </c>
      <c r="N218" s="16"/>
      <c r="O218" s="15"/>
    </row>
    <row r="219" customFormat="false" ht="25.35" hidden="false" customHeight="false" outlineLevel="0" collapsed="false">
      <c r="A219" s="9" t="n">
        <v>213</v>
      </c>
      <c r="B219" s="10" t="s">
        <v>360</v>
      </c>
      <c r="C219" s="10" t="s">
        <v>242</v>
      </c>
      <c r="D219" s="11" t="n">
        <v>0.0103774305555556</v>
      </c>
      <c r="E219" s="12" t="n">
        <v>238</v>
      </c>
      <c r="F219" s="11" t="n">
        <v>0.006659375</v>
      </c>
      <c r="G219" s="12" t="n">
        <v>88</v>
      </c>
      <c r="H219" s="11" t="n">
        <v>0.00296747685185185</v>
      </c>
      <c r="I219" s="12" t="n">
        <v>1300</v>
      </c>
      <c r="J219" s="12" t="n">
        <f aca="false">COUNT(E219,G219,I219)</f>
        <v>3</v>
      </c>
      <c r="K219" s="13" t="n">
        <f aca="false">MIN(E219,G219,I219)</f>
        <v>88</v>
      </c>
      <c r="L219" s="9" t="str">
        <f aca="false">IF(E219=K219,"5000m",IF(G219=K219,"3000mSC","1500m"))</f>
        <v>3000mSC</v>
      </c>
      <c r="M219" s="14" t="n">
        <f aca="false">(D219&lt;&gt;"")*(D219&lt;=($E$3*60+$F$3)/86400)+(F219&lt;&gt;"")*(F219&lt;=($I$3*60+$J$3)/86400)+(H219&lt;&gt;"")*(H219&lt;=($M$3*60+$N$3)/86400)</f>
        <v>0</v>
      </c>
      <c r="N219" s="16"/>
      <c r="O219" s="15"/>
    </row>
    <row r="220" customFormat="false" ht="25.35" hidden="false" customHeight="false" outlineLevel="0" collapsed="false">
      <c r="A220" s="9" t="n">
        <v>214</v>
      </c>
      <c r="B220" s="10" t="s">
        <v>361</v>
      </c>
      <c r="C220" s="10" t="s">
        <v>107</v>
      </c>
      <c r="D220" s="11" t="n">
        <v>0.0105200231481482</v>
      </c>
      <c r="E220" s="12" t="n">
        <v>363</v>
      </c>
      <c r="F220" s="11" t="n">
        <v>0.00666423611111111</v>
      </c>
      <c r="G220" s="12" t="n">
        <v>89</v>
      </c>
      <c r="H220" s="11" t="n">
        <v>0.00283993055555556</v>
      </c>
      <c r="I220" s="12" t="n">
        <v>496</v>
      </c>
      <c r="J220" s="12" t="n">
        <f aca="false">COUNT(E220,G220,I220)</f>
        <v>3</v>
      </c>
      <c r="K220" s="13" t="n">
        <f aca="false">MIN(E220,G220,I220)</f>
        <v>89</v>
      </c>
      <c r="L220" s="9" t="str">
        <f aca="false">IF(E220=K220,"5000m",IF(G220=K220,"3000mSC","1500m"))</f>
        <v>3000mSC</v>
      </c>
      <c r="M220" s="14" t="n">
        <f aca="false">(D220&lt;&gt;"")*(D220&lt;=($E$3*60+$F$3)/86400)+(F220&lt;&gt;"")*(F220&lt;=($I$3*60+$J$3)/86400)+(H220&lt;&gt;"")*(H220&lt;=($M$3*60+$N$3)/86400)</f>
        <v>0</v>
      </c>
      <c r="N220" s="16"/>
      <c r="O220" s="15"/>
    </row>
    <row r="221" customFormat="false" ht="15" hidden="false" customHeight="false" outlineLevel="0" collapsed="false">
      <c r="A221" s="9" t="n">
        <v>215</v>
      </c>
      <c r="B221" s="10" t="s">
        <v>362</v>
      </c>
      <c r="C221" s="10" t="s">
        <v>363</v>
      </c>
      <c r="D221" s="11" t="n">
        <v>0.0105601851851852</v>
      </c>
      <c r="E221" s="12" t="n">
        <v>410</v>
      </c>
      <c r="F221" s="11"/>
      <c r="G221" s="12"/>
      <c r="H221" s="11" t="n">
        <v>0.00274479166666667</v>
      </c>
      <c r="I221" s="12" t="n">
        <v>89</v>
      </c>
      <c r="J221" s="12" t="n">
        <f aca="false">COUNT(E221,G221,I221)</f>
        <v>2</v>
      </c>
      <c r="K221" s="13" t="n">
        <f aca="false">MIN(E221,G221,I221)</f>
        <v>89</v>
      </c>
      <c r="L221" s="9" t="str">
        <f aca="false">IF(E221=K221,"5000m",IF(G221=K221,"3000mSC","1500m"))</f>
        <v>1500m</v>
      </c>
      <c r="M221" s="14" t="n">
        <f aca="false">(D221&lt;&gt;"")*(D221&lt;=($E$3*60+$F$3)/86400)+(F221&lt;&gt;"")*(F221&lt;=($I$3*60+$J$3)/86400)+(H221&lt;&gt;"")*(H221&lt;=($M$3*60+$N$3)/86400)</f>
        <v>0</v>
      </c>
      <c r="N221" s="16"/>
      <c r="O221" s="15"/>
    </row>
    <row r="222" customFormat="false" ht="15" hidden="false" customHeight="false" outlineLevel="0" collapsed="false">
      <c r="A222" s="9" t="n">
        <v>216</v>
      </c>
      <c r="B222" s="10" t="s">
        <v>364</v>
      </c>
      <c r="C222" s="10" t="s">
        <v>350</v>
      </c>
      <c r="D222" s="11" t="n">
        <v>0.0101872685185185</v>
      </c>
      <c r="E222" s="12" t="n">
        <v>89</v>
      </c>
      <c r="F222" s="11"/>
      <c r="G222" s="12"/>
      <c r="H222" s="11" t="n">
        <v>0.00286180555555556</v>
      </c>
      <c r="I222" s="12" t="n">
        <v>643</v>
      </c>
      <c r="J222" s="12" t="n">
        <f aca="false">COUNT(E222,G222,I222)</f>
        <v>2</v>
      </c>
      <c r="K222" s="13" t="n">
        <f aca="false">MIN(E222,G222,I222)</f>
        <v>89</v>
      </c>
      <c r="L222" s="9" t="str">
        <f aca="false">IF(E222=K222,"5000m",IF(G222=K222,"3000mSC","1500m"))</f>
        <v>5000m</v>
      </c>
      <c r="M222" s="14" t="n">
        <f aca="false">(D222&lt;&gt;"")*(D222&lt;=($E$3*60+$F$3)/86400)+(F222&lt;&gt;"")*(F222&lt;=($I$3*60+$J$3)/86400)+(H222&lt;&gt;"")*(H222&lt;=($M$3*60+$N$3)/86400)</f>
        <v>0</v>
      </c>
      <c r="N222" s="16"/>
      <c r="O222" s="15"/>
    </row>
    <row r="223" customFormat="false" ht="25.35" hidden="false" customHeight="false" outlineLevel="0" collapsed="false">
      <c r="A223" s="9" t="n">
        <v>217</v>
      </c>
      <c r="B223" s="10" t="s">
        <v>365</v>
      </c>
      <c r="C223" s="10" t="s">
        <v>366</v>
      </c>
      <c r="D223" s="11" t="n">
        <v>0.0106671296296296</v>
      </c>
      <c r="E223" s="12" t="n">
        <v>543</v>
      </c>
      <c r="F223" s="11" t="n">
        <v>0.00666493055555556</v>
      </c>
      <c r="G223" s="12" t="n">
        <v>90</v>
      </c>
      <c r="H223" s="11"/>
      <c r="I223" s="12"/>
      <c r="J223" s="12" t="n">
        <f aca="false">COUNT(E223,G223,I223)</f>
        <v>2</v>
      </c>
      <c r="K223" s="13" t="n">
        <f aca="false">MIN(E223,G223,I223)</f>
        <v>90</v>
      </c>
      <c r="L223" s="9" t="str">
        <f aca="false">IF(E223=K223,"5000m",IF(G223=K223,"3000mSC","1500m"))</f>
        <v>3000mSC</v>
      </c>
      <c r="M223" s="14" t="n">
        <f aca="false">(D223&lt;&gt;"")*(D223&lt;=($E$3*60+$F$3)/86400)+(F223&lt;&gt;"")*(F223&lt;=($I$3*60+$J$3)/86400)+(H223&lt;&gt;"")*(H223&lt;=($M$3*60+$N$3)/86400)</f>
        <v>0</v>
      </c>
      <c r="N223" s="16"/>
      <c r="O223" s="15"/>
    </row>
    <row r="224" customFormat="false" ht="15" hidden="false" customHeight="false" outlineLevel="0" collapsed="false">
      <c r="A224" s="9" t="n">
        <v>218</v>
      </c>
      <c r="B224" s="10" t="s">
        <v>367</v>
      </c>
      <c r="C224" s="10" t="s">
        <v>134</v>
      </c>
      <c r="D224" s="11" t="n">
        <v>0.0101877314814815</v>
      </c>
      <c r="E224" s="12" t="n">
        <v>90</v>
      </c>
      <c r="F224" s="11"/>
      <c r="G224" s="12"/>
      <c r="H224" s="11" t="n">
        <v>0.00289039351851852</v>
      </c>
      <c r="I224" s="12" t="n">
        <v>871</v>
      </c>
      <c r="J224" s="12" t="n">
        <f aca="false">COUNT(E224,G224,I224)</f>
        <v>2</v>
      </c>
      <c r="K224" s="13" t="n">
        <f aca="false">MIN(E224,G224,I224)</f>
        <v>90</v>
      </c>
      <c r="L224" s="9" t="str">
        <f aca="false">IF(E224=K224,"5000m",IF(G224=K224,"3000mSC","1500m"))</f>
        <v>5000m</v>
      </c>
      <c r="M224" s="14" t="n">
        <f aca="false">(D224&lt;&gt;"")*(D224&lt;=($E$3*60+$F$3)/86400)+(F224&lt;&gt;"")*(F224&lt;=($I$3*60+$J$3)/86400)+(H224&lt;&gt;"")*(H224&lt;=($M$3*60+$N$3)/86400)</f>
        <v>0</v>
      </c>
      <c r="N224" s="16"/>
      <c r="O224" s="15"/>
    </row>
    <row r="225" customFormat="false" ht="25.35" hidden="false" customHeight="false" outlineLevel="0" collapsed="false">
      <c r="A225" s="9" t="n">
        <v>219</v>
      </c>
      <c r="B225" s="10" t="s">
        <v>368</v>
      </c>
      <c r="C225" s="10" t="s">
        <v>69</v>
      </c>
      <c r="D225" s="11" t="n">
        <v>0.0107229166666667</v>
      </c>
      <c r="E225" s="12" t="n">
        <v>617</v>
      </c>
      <c r="F225" s="11" t="n">
        <v>0.00666805555555556</v>
      </c>
      <c r="G225" s="12" t="n">
        <v>91</v>
      </c>
      <c r="H225" s="11" t="n">
        <v>0.00291608796296296</v>
      </c>
      <c r="I225" s="12" t="n">
        <v>1059</v>
      </c>
      <c r="J225" s="12" t="n">
        <f aca="false">COUNT(E225,G225,I225)</f>
        <v>3</v>
      </c>
      <c r="K225" s="13" t="n">
        <f aca="false">MIN(E225,G225,I225)</f>
        <v>91</v>
      </c>
      <c r="L225" s="9" t="str">
        <f aca="false">IF(E225=K225,"5000m",IF(G225=K225,"3000mSC","1500m"))</f>
        <v>3000mSC</v>
      </c>
      <c r="M225" s="14" t="n">
        <f aca="false">(D225&lt;&gt;"")*(D225&lt;=($E$3*60+$F$3)/86400)+(F225&lt;&gt;"")*(F225&lt;=($I$3*60+$J$3)/86400)+(H225&lt;&gt;"")*(H225&lt;=($M$3*60+$N$3)/86400)</f>
        <v>0</v>
      </c>
      <c r="N225" s="16"/>
      <c r="O225" s="15"/>
    </row>
    <row r="226" customFormat="false" ht="15" hidden="false" customHeight="false" outlineLevel="0" collapsed="false">
      <c r="A226" s="9" t="n">
        <v>220</v>
      </c>
      <c r="B226" s="10" t="s">
        <v>369</v>
      </c>
      <c r="C226" s="10" t="s">
        <v>51</v>
      </c>
      <c r="D226" s="11" t="n">
        <v>0.0107099537037037</v>
      </c>
      <c r="E226" s="12" t="n">
        <v>599</v>
      </c>
      <c r="F226" s="11"/>
      <c r="G226" s="12"/>
      <c r="H226" s="11" t="n">
        <v>0.00274537037037037</v>
      </c>
      <c r="I226" s="12" t="n">
        <v>91</v>
      </c>
      <c r="J226" s="12" t="n">
        <f aca="false">COUNT(E226,G226,I226)</f>
        <v>2</v>
      </c>
      <c r="K226" s="13" t="n">
        <f aca="false">MIN(E226,G226,I226)</f>
        <v>91</v>
      </c>
      <c r="L226" s="9" t="str">
        <f aca="false">IF(E226=K226,"5000m",IF(G226=K226,"3000mSC","1500m"))</f>
        <v>1500m</v>
      </c>
      <c r="M226" s="14" t="n">
        <f aca="false">(D226&lt;&gt;"")*(D226&lt;=($E$3*60+$F$3)/86400)+(F226&lt;&gt;"")*(F226&lt;=($I$3*60+$J$3)/86400)+(H226&lt;&gt;"")*(H226&lt;=($M$3*60+$N$3)/86400)</f>
        <v>0</v>
      </c>
      <c r="N226" s="16"/>
      <c r="O226" s="15"/>
    </row>
    <row r="227" customFormat="false" ht="25.35" hidden="false" customHeight="false" outlineLevel="0" collapsed="false">
      <c r="A227" s="9" t="n">
        <v>221</v>
      </c>
      <c r="B227" s="10" t="s">
        <v>370</v>
      </c>
      <c r="C227" s="10" t="s">
        <v>371</v>
      </c>
      <c r="D227" s="11" t="n">
        <v>0.0102929398148148</v>
      </c>
      <c r="E227" s="12" t="n">
        <v>156</v>
      </c>
      <c r="F227" s="11" t="n">
        <v>0.00667303240740741</v>
      </c>
      <c r="G227" s="12" t="n">
        <v>92</v>
      </c>
      <c r="H227" s="11" t="n">
        <v>0.00289953703703704</v>
      </c>
      <c r="I227" s="12" t="n">
        <v>941</v>
      </c>
      <c r="J227" s="12" t="n">
        <f aca="false">COUNT(E227,G227,I227)</f>
        <v>3</v>
      </c>
      <c r="K227" s="13" t="n">
        <f aca="false">MIN(E227,G227,I227)</f>
        <v>92</v>
      </c>
      <c r="L227" s="9" t="str">
        <f aca="false">IF(E227=K227,"5000m",IF(G227=K227,"3000mSC","1500m"))</f>
        <v>3000mSC</v>
      </c>
      <c r="M227" s="14" t="n">
        <f aca="false">(D227&lt;&gt;"")*(D227&lt;=($E$3*60+$F$3)/86400)+(F227&lt;&gt;"")*(F227&lt;=($I$3*60+$J$3)/86400)+(H227&lt;&gt;"")*(H227&lt;=($M$3*60+$N$3)/86400)</f>
        <v>0</v>
      </c>
      <c r="N227" s="16"/>
      <c r="O227" s="15"/>
    </row>
    <row r="228" customFormat="false" ht="15" hidden="false" customHeight="false" outlineLevel="0" collapsed="false">
      <c r="A228" s="9" t="n">
        <v>222</v>
      </c>
      <c r="B228" s="10" t="s">
        <v>372</v>
      </c>
      <c r="C228" s="10" t="s">
        <v>350</v>
      </c>
      <c r="D228" s="11" t="n">
        <v>0.0101917824074074</v>
      </c>
      <c r="E228" s="12" t="n">
        <v>92</v>
      </c>
      <c r="F228" s="11"/>
      <c r="G228" s="12"/>
      <c r="H228" s="11" t="n">
        <v>0.0028181712962963</v>
      </c>
      <c r="I228" s="12" t="n">
        <v>355</v>
      </c>
      <c r="J228" s="12" t="n">
        <f aca="false">COUNT(E228,G228,I228)</f>
        <v>2</v>
      </c>
      <c r="K228" s="13" t="n">
        <f aca="false">MIN(E228,G228,I228)</f>
        <v>92</v>
      </c>
      <c r="L228" s="9" t="str">
        <f aca="false">IF(E228=K228,"5000m",IF(G228=K228,"3000mSC","1500m"))</f>
        <v>5000m</v>
      </c>
      <c r="M228" s="14" t="n">
        <f aca="false">(D228&lt;&gt;"")*(D228&lt;=($E$3*60+$F$3)/86400)+(F228&lt;&gt;"")*(F228&lt;=($I$3*60+$J$3)/86400)+(H228&lt;&gt;"")*(H228&lt;=($M$3*60+$N$3)/86400)</f>
        <v>0</v>
      </c>
      <c r="N228" s="16"/>
      <c r="O228" s="15"/>
    </row>
    <row r="229" customFormat="false" ht="15" hidden="false" customHeight="false" outlineLevel="0" collapsed="false">
      <c r="A229" s="9" t="n">
        <v>223</v>
      </c>
      <c r="B229" s="10" t="s">
        <v>373</v>
      </c>
      <c r="C229" s="10" t="s">
        <v>374</v>
      </c>
      <c r="D229" s="11"/>
      <c r="E229" s="12"/>
      <c r="F229" s="11"/>
      <c r="G229" s="12"/>
      <c r="H229" s="11" t="n">
        <v>0.00274583333333333</v>
      </c>
      <c r="I229" s="12" t="n">
        <v>92</v>
      </c>
      <c r="J229" s="12" t="n">
        <f aca="false">COUNT(E229,G229,I229)</f>
        <v>1</v>
      </c>
      <c r="K229" s="13" t="n">
        <f aca="false">MIN(E229,G229,I229)</f>
        <v>92</v>
      </c>
      <c r="L229" s="9" t="str">
        <f aca="false">IF(E229=K229,"5000m",IF(G229=K229,"3000mSC","1500m"))</f>
        <v>1500m</v>
      </c>
      <c r="M229" s="14" t="n">
        <f aca="false">(D229&lt;&gt;"")*(D229&lt;=($E$3*60+$F$3)/86400)+(F229&lt;&gt;"")*(F229&lt;=($I$3*60+$J$3)/86400)+(H229&lt;&gt;"")*(H229&lt;=($M$3*60+$N$3)/86400)</f>
        <v>0</v>
      </c>
      <c r="N229" s="16"/>
      <c r="O229" s="15"/>
    </row>
    <row r="230" customFormat="false" ht="25.35" hidden="false" customHeight="false" outlineLevel="0" collapsed="false">
      <c r="A230" s="9" t="n">
        <v>224</v>
      </c>
      <c r="B230" s="10" t="s">
        <v>375</v>
      </c>
      <c r="C230" s="10" t="s">
        <v>57</v>
      </c>
      <c r="D230" s="11" t="n">
        <v>0.0107228009259259</v>
      </c>
      <c r="E230" s="12" t="n">
        <v>615</v>
      </c>
      <c r="F230" s="11" t="n">
        <v>0.00667372685185185</v>
      </c>
      <c r="G230" s="12" t="n">
        <v>93</v>
      </c>
      <c r="H230" s="11" t="n">
        <v>0.00285810185185185</v>
      </c>
      <c r="I230" s="12" t="n">
        <v>622</v>
      </c>
      <c r="J230" s="12" t="n">
        <f aca="false">COUNT(E230,G230,I230)</f>
        <v>3</v>
      </c>
      <c r="K230" s="13" t="n">
        <f aca="false">MIN(E230,G230,I230)</f>
        <v>93</v>
      </c>
      <c r="L230" s="9" t="str">
        <f aca="false">IF(E230=K230,"5000m",IF(G230=K230,"3000mSC","1500m"))</f>
        <v>3000mSC</v>
      </c>
      <c r="M230" s="14" t="n">
        <f aca="false">(D230&lt;&gt;"")*(D230&lt;=($E$3*60+$F$3)/86400)+(F230&lt;&gt;"")*(F230&lt;=($I$3*60+$J$3)/86400)+(H230&lt;&gt;"")*(H230&lt;=($M$3*60+$N$3)/86400)</f>
        <v>0</v>
      </c>
      <c r="N230" s="16"/>
      <c r="O230" s="15"/>
    </row>
    <row r="231" customFormat="false" ht="15" hidden="false" customHeight="false" outlineLevel="0" collapsed="false">
      <c r="A231" s="9" t="n">
        <v>225</v>
      </c>
      <c r="B231" s="10" t="s">
        <v>376</v>
      </c>
      <c r="C231" s="10" t="s">
        <v>377</v>
      </c>
      <c r="D231" s="11" t="n">
        <v>0.0101918981481482</v>
      </c>
      <c r="E231" s="12" t="n">
        <v>93</v>
      </c>
      <c r="F231" s="11"/>
      <c r="G231" s="12"/>
      <c r="H231" s="11" t="n">
        <v>0.00282222222222222</v>
      </c>
      <c r="I231" s="12" t="n">
        <v>375</v>
      </c>
      <c r="J231" s="12" t="n">
        <f aca="false">COUNT(E231,G231,I231)</f>
        <v>2</v>
      </c>
      <c r="K231" s="13" t="n">
        <f aca="false">MIN(E231,G231,I231)</f>
        <v>93</v>
      </c>
      <c r="L231" s="9" t="str">
        <f aca="false">IF(E231=K231,"5000m",IF(G231=K231,"3000mSC","1500m"))</f>
        <v>5000m</v>
      </c>
      <c r="M231" s="14" t="n">
        <f aca="false">(D231&lt;&gt;"")*(D231&lt;=($E$3*60+$F$3)/86400)+(F231&lt;&gt;"")*(F231&lt;=($I$3*60+$J$3)/86400)+(H231&lt;&gt;"")*(H231&lt;=($M$3*60+$N$3)/86400)</f>
        <v>0</v>
      </c>
      <c r="N231" s="16"/>
      <c r="O231" s="15"/>
    </row>
    <row r="232" customFormat="false" ht="15" hidden="false" customHeight="false" outlineLevel="0" collapsed="false">
      <c r="A232" s="9" t="n">
        <v>226</v>
      </c>
      <c r="B232" s="10" t="s">
        <v>378</v>
      </c>
      <c r="C232" s="10" t="s">
        <v>114</v>
      </c>
      <c r="D232" s="11"/>
      <c r="E232" s="12"/>
      <c r="F232" s="11"/>
      <c r="G232" s="12"/>
      <c r="H232" s="11" t="n">
        <v>0.00274652777777778</v>
      </c>
      <c r="I232" s="12" t="n">
        <v>93</v>
      </c>
      <c r="J232" s="12" t="n">
        <f aca="false">COUNT(E232,G232,I232)</f>
        <v>1</v>
      </c>
      <c r="K232" s="13" t="n">
        <f aca="false">MIN(E232,G232,I232)</f>
        <v>93</v>
      </c>
      <c r="L232" s="9" t="str">
        <f aca="false">IF(E232=K232,"5000m",IF(G232=K232,"3000mSC","1500m"))</f>
        <v>1500m</v>
      </c>
      <c r="M232" s="14" t="n">
        <f aca="false">(D232&lt;&gt;"")*(D232&lt;=($E$3*60+$F$3)/86400)+(F232&lt;&gt;"")*(F232&lt;=($I$3*60+$J$3)/86400)+(H232&lt;&gt;"")*(H232&lt;=($M$3*60+$N$3)/86400)</f>
        <v>0</v>
      </c>
      <c r="N232" s="16"/>
      <c r="O232" s="15"/>
    </row>
    <row r="233" customFormat="false" ht="15" hidden="false" customHeight="false" outlineLevel="0" collapsed="false">
      <c r="A233" s="9" t="n">
        <v>227</v>
      </c>
      <c r="B233" s="10" t="s">
        <v>379</v>
      </c>
      <c r="C233" s="10" t="s">
        <v>380</v>
      </c>
      <c r="D233" s="11" t="n">
        <v>0.0101935185185185</v>
      </c>
      <c r="E233" s="12" t="n">
        <v>94</v>
      </c>
      <c r="F233" s="11"/>
      <c r="G233" s="12"/>
      <c r="H233" s="11" t="n">
        <v>0.00275324074074074</v>
      </c>
      <c r="I233" s="12" t="n">
        <v>111</v>
      </c>
      <c r="J233" s="12" t="n">
        <f aca="false">COUNT(E233,G233,I233)</f>
        <v>2</v>
      </c>
      <c r="K233" s="13" t="n">
        <f aca="false">MIN(E233,G233,I233)</f>
        <v>94</v>
      </c>
      <c r="L233" s="9" t="str">
        <f aca="false">IF(E233=K233,"5000m",IF(G233=K233,"3000mSC","1500m"))</f>
        <v>5000m</v>
      </c>
      <c r="M233" s="14" t="n">
        <f aca="false">(D233&lt;&gt;"")*(D233&lt;=($E$3*60+$F$3)/86400)+(F233&lt;&gt;"")*(F233&lt;=($I$3*60+$J$3)/86400)+(H233&lt;&gt;"")*(H233&lt;=($M$3*60+$N$3)/86400)</f>
        <v>0</v>
      </c>
      <c r="N233" s="16"/>
      <c r="O233" s="15"/>
    </row>
    <row r="234" customFormat="false" ht="15" hidden="false" customHeight="false" outlineLevel="0" collapsed="false">
      <c r="A234" s="9" t="n">
        <v>228</v>
      </c>
      <c r="B234" s="10" t="s">
        <v>381</v>
      </c>
      <c r="C234" s="10" t="s">
        <v>382</v>
      </c>
      <c r="D234" s="11" t="n">
        <v>0.010277662037037</v>
      </c>
      <c r="E234" s="12" t="n">
        <v>144</v>
      </c>
      <c r="F234" s="11"/>
      <c r="G234" s="12"/>
      <c r="H234" s="11" t="n">
        <v>0.00274710648148148</v>
      </c>
      <c r="I234" s="12" t="n">
        <v>94</v>
      </c>
      <c r="J234" s="12" t="n">
        <f aca="false">COUNT(E234,G234,I234)</f>
        <v>2</v>
      </c>
      <c r="K234" s="13" t="n">
        <f aca="false">MIN(E234,G234,I234)</f>
        <v>94</v>
      </c>
      <c r="L234" s="9" t="str">
        <f aca="false">IF(E234=K234,"5000m",IF(G234=K234,"3000mSC","1500m"))</f>
        <v>1500m</v>
      </c>
      <c r="M234" s="14" t="n">
        <f aca="false">(D234&lt;&gt;"")*(D234&lt;=($E$3*60+$F$3)/86400)+(F234&lt;&gt;"")*(F234&lt;=($I$3*60+$J$3)/86400)+(H234&lt;&gt;"")*(H234&lt;=($M$3*60+$N$3)/86400)</f>
        <v>0</v>
      </c>
      <c r="N234" s="16"/>
      <c r="O234" s="15"/>
    </row>
    <row r="235" customFormat="false" ht="25.35" hidden="false" customHeight="false" outlineLevel="0" collapsed="false">
      <c r="A235" s="9" t="n">
        <v>229</v>
      </c>
      <c r="B235" s="10" t="s">
        <v>383</v>
      </c>
      <c r="C235" s="10" t="s">
        <v>124</v>
      </c>
      <c r="D235" s="11" t="n">
        <v>0.0107457175925926</v>
      </c>
      <c r="E235" s="12" t="n">
        <v>662</v>
      </c>
      <c r="F235" s="11" t="n">
        <v>0.0066755787037037</v>
      </c>
      <c r="G235" s="12" t="n">
        <v>94</v>
      </c>
      <c r="H235" s="11"/>
      <c r="I235" s="12"/>
      <c r="J235" s="12" t="n">
        <f aca="false">COUNT(E235,G235,I235)</f>
        <v>2</v>
      </c>
      <c r="K235" s="13" t="n">
        <f aca="false">MIN(E235,G235,I235)</f>
        <v>94</v>
      </c>
      <c r="L235" s="9" t="str">
        <f aca="false">IF(E235=K235,"5000m",IF(G235=K235,"3000mSC","1500m"))</f>
        <v>3000mSC</v>
      </c>
      <c r="M235" s="14" t="n">
        <f aca="false">(D235&lt;&gt;"")*(D235&lt;=($E$3*60+$F$3)/86400)+(F235&lt;&gt;"")*(F235&lt;=($I$3*60+$J$3)/86400)+(H235&lt;&gt;"")*(H235&lt;=($M$3*60+$N$3)/86400)</f>
        <v>0</v>
      </c>
      <c r="N235" s="16"/>
      <c r="O235" s="15"/>
    </row>
    <row r="236" customFormat="false" ht="25.35" hidden="false" customHeight="false" outlineLevel="0" collapsed="false">
      <c r="A236" s="9" t="n">
        <v>230</v>
      </c>
      <c r="B236" s="10" t="s">
        <v>384</v>
      </c>
      <c r="C236" s="10" t="s">
        <v>385</v>
      </c>
      <c r="D236" s="11" t="n">
        <v>0.0108484953703704</v>
      </c>
      <c r="E236" s="12" t="n">
        <v>834</v>
      </c>
      <c r="F236" s="11" t="n">
        <v>0.00667592592592593</v>
      </c>
      <c r="G236" s="12" t="n">
        <v>95</v>
      </c>
      <c r="H236" s="11" t="n">
        <v>0.00277916666666667</v>
      </c>
      <c r="I236" s="12" t="n">
        <v>196</v>
      </c>
      <c r="J236" s="12" t="n">
        <f aca="false">COUNT(E236,G236,I236)</f>
        <v>3</v>
      </c>
      <c r="K236" s="13" t="n">
        <f aca="false">MIN(E236,G236,I236)</f>
        <v>95</v>
      </c>
      <c r="L236" s="9" t="str">
        <f aca="false">IF(E236=K236,"5000m",IF(G236=K236,"3000mSC","1500m"))</f>
        <v>3000mSC</v>
      </c>
      <c r="M236" s="14" t="n">
        <f aca="false">(D236&lt;&gt;"")*(D236&lt;=($E$3*60+$F$3)/86400)+(F236&lt;&gt;"")*(F236&lt;=($I$3*60+$J$3)/86400)+(H236&lt;&gt;"")*(H236&lt;=($M$3*60+$N$3)/86400)</f>
        <v>0</v>
      </c>
      <c r="N236" s="16"/>
      <c r="O236" s="15"/>
    </row>
    <row r="237" customFormat="false" ht="15" hidden="false" customHeight="false" outlineLevel="0" collapsed="false">
      <c r="A237" s="9" t="n">
        <v>231</v>
      </c>
      <c r="B237" s="10" t="s">
        <v>386</v>
      </c>
      <c r="C237" s="10" t="s">
        <v>387</v>
      </c>
      <c r="D237" s="11" t="n">
        <v>0.0103971064814815</v>
      </c>
      <c r="E237" s="12" t="n">
        <v>259</v>
      </c>
      <c r="F237" s="11"/>
      <c r="G237" s="12"/>
      <c r="H237" s="11" t="n">
        <v>0.00274768518518519</v>
      </c>
      <c r="I237" s="12" t="n">
        <v>95</v>
      </c>
      <c r="J237" s="12" t="n">
        <f aca="false">COUNT(E237,G237,I237)</f>
        <v>2</v>
      </c>
      <c r="K237" s="13" t="n">
        <f aca="false">MIN(E237,G237,I237)</f>
        <v>95</v>
      </c>
      <c r="L237" s="9" t="str">
        <f aca="false">IF(E237=K237,"5000m",IF(G237=K237,"3000mSC","1500m"))</f>
        <v>1500m</v>
      </c>
      <c r="M237" s="14" t="n">
        <f aca="false">(D237&lt;&gt;"")*(D237&lt;=($E$3*60+$F$3)/86400)+(F237&lt;&gt;"")*(F237&lt;=($I$3*60+$J$3)/86400)+(H237&lt;&gt;"")*(H237&lt;=($M$3*60+$N$3)/86400)</f>
        <v>0</v>
      </c>
      <c r="N237" s="16"/>
      <c r="O237" s="15"/>
    </row>
    <row r="238" customFormat="false" ht="25.35" hidden="false" customHeight="false" outlineLevel="0" collapsed="false">
      <c r="A238" s="9" t="n">
        <v>232</v>
      </c>
      <c r="B238" s="10" t="s">
        <v>388</v>
      </c>
      <c r="C238" s="10" t="s">
        <v>83</v>
      </c>
      <c r="D238" s="11" t="n">
        <v>0.0106108796296296</v>
      </c>
      <c r="E238" s="12" t="n">
        <v>477</v>
      </c>
      <c r="F238" s="11" t="n">
        <v>0.00667673611111111</v>
      </c>
      <c r="G238" s="12" t="n">
        <v>96</v>
      </c>
      <c r="H238" s="11" t="n">
        <v>0.00289733796296296</v>
      </c>
      <c r="I238" s="12" t="n">
        <v>929</v>
      </c>
      <c r="J238" s="12" t="n">
        <f aca="false">COUNT(E238,G238,I238)</f>
        <v>3</v>
      </c>
      <c r="K238" s="13" t="n">
        <f aca="false">MIN(E238,G238,I238)</f>
        <v>96</v>
      </c>
      <c r="L238" s="9" t="str">
        <f aca="false">IF(E238=K238,"5000m",IF(G238=K238,"3000mSC","1500m"))</f>
        <v>3000mSC</v>
      </c>
      <c r="M238" s="14" t="n">
        <f aca="false">(D238&lt;&gt;"")*(D238&lt;=($E$3*60+$F$3)/86400)+(F238&lt;&gt;"")*(F238&lt;=($I$3*60+$J$3)/86400)+(H238&lt;&gt;"")*(H238&lt;=($M$3*60+$N$3)/86400)</f>
        <v>0</v>
      </c>
      <c r="N238" s="16"/>
      <c r="O238" s="15"/>
    </row>
    <row r="239" customFormat="false" ht="15" hidden="false" customHeight="false" outlineLevel="0" collapsed="false">
      <c r="A239" s="9" t="n">
        <v>233</v>
      </c>
      <c r="B239" s="10" t="s">
        <v>389</v>
      </c>
      <c r="C239" s="10" t="s">
        <v>156</v>
      </c>
      <c r="D239" s="11" t="n">
        <v>0.0101975694444444</v>
      </c>
      <c r="E239" s="12" t="n">
        <v>96</v>
      </c>
      <c r="F239" s="11"/>
      <c r="G239" s="12"/>
      <c r="H239" s="11" t="n">
        <v>0.00275451388888889</v>
      </c>
      <c r="I239" s="12" t="n">
        <v>119</v>
      </c>
      <c r="J239" s="12" t="n">
        <f aca="false">COUNT(E239,G239,I239)</f>
        <v>2</v>
      </c>
      <c r="K239" s="13" t="n">
        <f aca="false">MIN(E239,G239,I239)</f>
        <v>96</v>
      </c>
      <c r="L239" s="9" t="str">
        <f aca="false">IF(E239=K239,"5000m",IF(G239=K239,"3000mSC","1500m"))</f>
        <v>5000m</v>
      </c>
      <c r="M239" s="14" t="n">
        <f aca="false">(D239&lt;&gt;"")*(D239&lt;=($E$3*60+$F$3)/86400)+(F239&lt;&gt;"")*(F239&lt;=($I$3*60+$J$3)/86400)+(H239&lt;&gt;"")*(H239&lt;=($M$3*60+$N$3)/86400)</f>
        <v>0</v>
      </c>
      <c r="N239" s="16"/>
      <c r="O239" s="15"/>
    </row>
    <row r="240" customFormat="false" ht="15" hidden="false" customHeight="false" outlineLevel="0" collapsed="false">
      <c r="A240" s="9" t="n">
        <v>234</v>
      </c>
      <c r="B240" s="10" t="s">
        <v>390</v>
      </c>
      <c r="C240" s="10" t="s">
        <v>391</v>
      </c>
      <c r="D240" s="11" t="n">
        <v>0.0104578703703704</v>
      </c>
      <c r="E240" s="12" t="n">
        <v>308</v>
      </c>
      <c r="F240" s="11"/>
      <c r="G240" s="12"/>
      <c r="H240" s="11" t="n">
        <v>0.00274791666666667</v>
      </c>
      <c r="I240" s="12" t="n">
        <v>96</v>
      </c>
      <c r="J240" s="12" t="n">
        <f aca="false">COUNT(E240,G240,I240)</f>
        <v>2</v>
      </c>
      <c r="K240" s="13" t="n">
        <f aca="false">MIN(E240,G240,I240)</f>
        <v>96</v>
      </c>
      <c r="L240" s="9" t="str">
        <f aca="false">IF(E240=K240,"5000m",IF(G240=K240,"3000mSC","1500m"))</f>
        <v>1500m</v>
      </c>
      <c r="M240" s="14" t="n">
        <f aca="false">(D240&lt;&gt;"")*(D240&lt;=($E$3*60+$F$3)/86400)+(F240&lt;&gt;"")*(F240&lt;=($I$3*60+$J$3)/86400)+(H240&lt;&gt;"")*(H240&lt;=($M$3*60+$N$3)/86400)</f>
        <v>0</v>
      </c>
      <c r="N240" s="16"/>
      <c r="O240" s="15"/>
    </row>
    <row r="241" customFormat="false" ht="25.35" hidden="false" customHeight="false" outlineLevel="0" collapsed="false">
      <c r="A241" s="9" t="n">
        <v>235</v>
      </c>
      <c r="B241" s="10" t="s">
        <v>392</v>
      </c>
      <c r="C241" s="10" t="s">
        <v>393</v>
      </c>
      <c r="D241" s="11" t="n">
        <v>0.0107601851851852</v>
      </c>
      <c r="E241" s="12" t="n">
        <v>679</v>
      </c>
      <c r="F241" s="11" t="n">
        <v>0.00667858796296296</v>
      </c>
      <c r="G241" s="12" t="n">
        <v>97</v>
      </c>
      <c r="H241" s="11" t="n">
        <v>0.00279768518518519</v>
      </c>
      <c r="I241" s="12" t="n">
        <v>273</v>
      </c>
      <c r="J241" s="12" t="n">
        <f aca="false">COUNT(E241,G241,I241)</f>
        <v>3</v>
      </c>
      <c r="K241" s="13" t="n">
        <f aca="false">MIN(E241,G241,I241)</f>
        <v>97</v>
      </c>
      <c r="L241" s="9" t="str">
        <f aca="false">IF(E241=K241,"5000m",IF(G241=K241,"3000mSC","1500m"))</f>
        <v>3000mSC</v>
      </c>
      <c r="M241" s="14" t="n">
        <f aca="false">(D241&lt;&gt;"")*(D241&lt;=($E$3*60+$F$3)/86400)+(F241&lt;&gt;"")*(F241&lt;=($I$3*60+$J$3)/86400)+(H241&lt;&gt;"")*(H241&lt;=($M$3*60+$N$3)/86400)</f>
        <v>0</v>
      </c>
      <c r="N241" s="16"/>
      <c r="O241" s="15"/>
    </row>
    <row r="242" customFormat="false" ht="15" hidden="false" customHeight="false" outlineLevel="0" collapsed="false">
      <c r="A242" s="9" t="n">
        <v>236</v>
      </c>
      <c r="B242" s="10" t="s">
        <v>394</v>
      </c>
      <c r="C242" s="10" t="s">
        <v>141</v>
      </c>
      <c r="D242" s="11" t="n">
        <v>0.0102170138888889</v>
      </c>
      <c r="E242" s="12" t="n">
        <v>107</v>
      </c>
      <c r="F242" s="11"/>
      <c r="G242" s="12"/>
      <c r="H242" s="11" t="n">
        <v>0.00274849537037037</v>
      </c>
      <c r="I242" s="12" t="n">
        <v>97</v>
      </c>
      <c r="J242" s="12" t="n">
        <f aca="false">COUNT(E242,G242,I242)</f>
        <v>2</v>
      </c>
      <c r="K242" s="13" t="n">
        <f aca="false">MIN(E242,G242,I242)</f>
        <v>97</v>
      </c>
      <c r="L242" s="9" t="str">
        <f aca="false">IF(E242=K242,"5000m",IF(G242=K242,"3000mSC","1500m"))</f>
        <v>1500m</v>
      </c>
      <c r="M242" s="14" t="n">
        <f aca="false">(D242&lt;&gt;"")*(D242&lt;=($E$3*60+$F$3)/86400)+(F242&lt;&gt;"")*(F242&lt;=($I$3*60+$J$3)/86400)+(H242&lt;&gt;"")*(H242&lt;=($M$3*60+$N$3)/86400)</f>
        <v>0</v>
      </c>
      <c r="N242" s="16"/>
      <c r="O242" s="15"/>
    </row>
    <row r="243" customFormat="false" ht="25.35" hidden="false" customHeight="false" outlineLevel="0" collapsed="false">
      <c r="A243" s="9" t="n">
        <v>237</v>
      </c>
      <c r="B243" s="10" t="s">
        <v>395</v>
      </c>
      <c r="C243" s="10" t="s">
        <v>350</v>
      </c>
      <c r="D243" s="11" t="n">
        <v>0.0102157407407407</v>
      </c>
      <c r="E243" s="12" t="n">
        <v>106</v>
      </c>
      <c r="F243" s="11" t="n">
        <v>0.00668009259259259</v>
      </c>
      <c r="G243" s="12" t="n">
        <v>98</v>
      </c>
      <c r="H243" s="11"/>
      <c r="I243" s="12"/>
      <c r="J243" s="12" t="n">
        <f aca="false">COUNT(E243,G243,I243)</f>
        <v>2</v>
      </c>
      <c r="K243" s="13" t="n">
        <f aca="false">MIN(E243,G243,I243)</f>
        <v>98</v>
      </c>
      <c r="L243" s="9" t="str">
        <f aca="false">IF(E243=K243,"5000m",IF(G243=K243,"3000mSC","1500m"))</f>
        <v>3000mSC</v>
      </c>
      <c r="M243" s="14" t="n">
        <f aca="false">(D243&lt;&gt;"")*(D243&lt;=($E$3*60+$F$3)/86400)+(F243&lt;&gt;"")*(F243&lt;=($I$3*60+$J$3)/86400)+(H243&lt;&gt;"")*(H243&lt;=($M$3*60+$N$3)/86400)</f>
        <v>0</v>
      </c>
      <c r="N243" s="16"/>
      <c r="O243" s="15"/>
    </row>
    <row r="244" customFormat="false" ht="15" hidden="false" customHeight="false" outlineLevel="0" collapsed="false">
      <c r="A244" s="9" t="n">
        <v>238</v>
      </c>
      <c r="B244" s="10" t="s">
        <v>396</v>
      </c>
      <c r="C244" s="10" t="s">
        <v>397</v>
      </c>
      <c r="D244" s="11" t="n">
        <v>0.0105414351851852</v>
      </c>
      <c r="E244" s="12" t="n">
        <v>389</v>
      </c>
      <c r="F244" s="11"/>
      <c r="G244" s="12"/>
      <c r="H244" s="11" t="n">
        <v>0.00274861111111111</v>
      </c>
      <c r="I244" s="12" t="n">
        <v>98</v>
      </c>
      <c r="J244" s="12" t="n">
        <f aca="false">COUNT(E244,G244,I244)</f>
        <v>2</v>
      </c>
      <c r="K244" s="13" t="n">
        <f aca="false">MIN(E244,G244,I244)</f>
        <v>98</v>
      </c>
      <c r="L244" s="9" t="str">
        <f aca="false">IF(E244=K244,"5000m",IF(G244=K244,"3000mSC","1500m"))</f>
        <v>1500m</v>
      </c>
      <c r="M244" s="14" t="n">
        <f aca="false">(D244&lt;&gt;"")*(D244&lt;=($E$3*60+$F$3)/86400)+(F244&lt;&gt;"")*(F244&lt;=($I$3*60+$J$3)/86400)+(H244&lt;&gt;"")*(H244&lt;=($M$3*60+$N$3)/86400)</f>
        <v>0</v>
      </c>
      <c r="N244" s="16"/>
      <c r="O244" s="15"/>
    </row>
    <row r="245" customFormat="false" ht="15" hidden="false" customHeight="false" outlineLevel="0" collapsed="false">
      <c r="A245" s="9" t="n">
        <v>239</v>
      </c>
      <c r="B245" s="10" t="s">
        <v>398</v>
      </c>
      <c r="C245" s="10" t="s">
        <v>399</v>
      </c>
      <c r="D245" s="11" t="n">
        <v>0.0102435185185185</v>
      </c>
      <c r="E245" s="12" t="n">
        <v>123</v>
      </c>
      <c r="F245" s="11"/>
      <c r="G245" s="12"/>
      <c r="H245" s="11" t="n">
        <v>0.00274872685185185</v>
      </c>
      <c r="I245" s="12" t="n">
        <v>99</v>
      </c>
      <c r="J245" s="12" t="n">
        <f aca="false">COUNT(E245,G245,I245)</f>
        <v>2</v>
      </c>
      <c r="K245" s="13" t="n">
        <f aca="false">MIN(E245,G245,I245)</f>
        <v>99</v>
      </c>
      <c r="L245" s="9" t="str">
        <f aca="false">IF(E245=K245,"5000m",IF(G245=K245,"3000mSC","1500m"))</f>
        <v>1500m</v>
      </c>
      <c r="M245" s="14" t="n">
        <f aca="false">(D245&lt;&gt;"")*(D245&lt;=($E$3*60+$F$3)/86400)+(F245&lt;&gt;"")*(F245&lt;=($I$3*60+$J$3)/86400)+(H245&lt;&gt;"")*(H245&lt;=($M$3*60+$N$3)/86400)</f>
        <v>0</v>
      </c>
      <c r="N245" s="16"/>
      <c r="O245" s="15"/>
    </row>
    <row r="246" customFormat="false" ht="25.35" hidden="false" customHeight="false" outlineLevel="0" collapsed="false">
      <c r="A246" s="9" t="n">
        <v>240</v>
      </c>
      <c r="B246" s="10" t="s">
        <v>400</v>
      </c>
      <c r="C246" s="10" t="s">
        <v>401</v>
      </c>
      <c r="D246" s="11"/>
      <c r="E246" s="12"/>
      <c r="F246" s="11" t="n">
        <v>0.00668229166666667</v>
      </c>
      <c r="G246" s="12" t="n">
        <v>99</v>
      </c>
      <c r="H246" s="11" t="n">
        <v>0.00280578703703704</v>
      </c>
      <c r="I246" s="12" t="n">
        <v>305</v>
      </c>
      <c r="J246" s="12" t="n">
        <f aca="false">COUNT(E246,G246,I246)</f>
        <v>2</v>
      </c>
      <c r="K246" s="13" t="n">
        <f aca="false">MIN(E246,G246,I246)</f>
        <v>99</v>
      </c>
      <c r="L246" s="9" t="str">
        <f aca="false">IF(E246=K246,"5000m",IF(G246=K246,"3000mSC","1500m"))</f>
        <v>3000mSC</v>
      </c>
      <c r="M246" s="14" t="n">
        <f aca="false">(D246&lt;&gt;"")*(D246&lt;=($E$3*60+$F$3)/86400)+(F246&lt;&gt;"")*(F246&lt;=($I$3*60+$J$3)/86400)+(H246&lt;&gt;"")*(H246&lt;=($M$3*60+$N$3)/86400)</f>
        <v>0</v>
      </c>
      <c r="N246" s="16"/>
      <c r="O246" s="15"/>
    </row>
    <row r="247" customFormat="false" ht="15" hidden="false" customHeight="false" outlineLevel="0" collapsed="false">
      <c r="A247" s="9" t="n">
        <v>241</v>
      </c>
      <c r="B247" s="10" t="s">
        <v>402</v>
      </c>
      <c r="C247" s="10" t="s">
        <v>403</v>
      </c>
      <c r="D247" s="11" t="n">
        <v>0.0102086805555556</v>
      </c>
      <c r="E247" s="12" t="n">
        <v>99</v>
      </c>
      <c r="F247" s="11"/>
      <c r="G247" s="12"/>
      <c r="H247" s="11"/>
      <c r="I247" s="12"/>
      <c r="J247" s="12" t="n">
        <f aca="false">COUNT(E247,G247,I247)</f>
        <v>1</v>
      </c>
      <c r="K247" s="13" t="n">
        <f aca="false">MIN(E247,G247,I247)</f>
        <v>99</v>
      </c>
      <c r="L247" s="9" t="str">
        <f aca="false">IF(E247=K247,"5000m",IF(G247=K247,"3000mSC","1500m"))</f>
        <v>5000m</v>
      </c>
      <c r="M247" s="14" t="n">
        <f aca="false">(D247&lt;&gt;"")*(D247&lt;=($E$3*60+$F$3)/86400)+(F247&lt;&gt;"")*(F247&lt;=($I$3*60+$J$3)/86400)+(H247&lt;&gt;"")*(H247&lt;=($M$3*60+$N$3)/86400)</f>
        <v>0</v>
      </c>
      <c r="N247" s="16"/>
      <c r="O247" s="15"/>
    </row>
    <row r="248" customFormat="false" ht="25.35" hidden="false" customHeight="false" outlineLevel="0" collapsed="false">
      <c r="A248" s="9" t="n">
        <v>242</v>
      </c>
      <c r="B248" s="10" t="s">
        <v>404</v>
      </c>
      <c r="C248" s="10" t="s">
        <v>405</v>
      </c>
      <c r="D248" s="11" t="n">
        <v>0.0110321759259259</v>
      </c>
      <c r="E248" s="12" t="n">
        <v>1157</v>
      </c>
      <c r="F248" s="11" t="n">
        <v>0.00668368055555556</v>
      </c>
      <c r="G248" s="12" t="n">
        <v>100</v>
      </c>
      <c r="H248" s="11"/>
      <c r="I248" s="12"/>
      <c r="J248" s="12" t="n">
        <f aca="false">COUNT(E248,G248,I248)</f>
        <v>2</v>
      </c>
      <c r="K248" s="13" t="n">
        <f aca="false">MIN(E248,G248,I248)</f>
        <v>100</v>
      </c>
      <c r="L248" s="9" t="str">
        <f aca="false">IF(E248=K248,"5000m",IF(G248=K248,"3000mSC","1500m"))</f>
        <v>3000mSC</v>
      </c>
      <c r="M248" s="14" t="n">
        <f aca="false">(D248&lt;&gt;"")*(D248&lt;=($E$3*60+$F$3)/86400)+(F248&lt;&gt;"")*(F248&lt;=($I$3*60+$J$3)/86400)+(H248&lt;&gt;"")*(H248&lt;=($M$3*60+$N$3)/86400)</f>
        <v>0</v>
      </c>
      <c r="N248" s="16"/>
      <c r="O248" s="15"/>
    </row>
    <row r="249" customFormat="false" ht="15" hidden="false" customHeight="false" outlineLevel="0" collapsed="false">
      <c r="A249" s="9" t="n">
        <v>243</v>
      </c>
      <c r="B249" s="10" t="s">
        <v>406</v>
      </c>
      <c r="C249" s="10" t="s">
        <v>32</v>
      </c>
      <c r="D249" s="11" t="n">
        <v>0.0102087962962963</v>
      </c>
      <c r="E249" s="12" t="n">
        <v>100</v>
      </c>
      <c r="F249" s="11"/>
      <c r="G249" s="12"/>
      <c r="H249" s="11"/>
      <c r="I249" s="12"/>
      <c r="J249" s="12" t="n">
        <f aca="false">COUNT(E249,G249,I249)</f>
        <v>1</v>
      </c>
      <c r="K249" s="13" t="n">
        <f aca="false">MIN(E249,G249,I249)</f>
        <v>100</v>
      </c>
      <c r="L249" s="9" t="str">
        <f aca="false">IF(E249=K249,"5000m",IF(G249=K249,"3000mSC","1500m"))</f>
        <v>5000m</v>
      </c>
      <c r="M249" s="14" t="n">
        <f aca="false">(D249&lt;&gt;"")*(D249&lt;=($E$3*60+$F$3)/86400)+(F249&lt;&gt;"")*(F249&lt;=($I$3*60+$J$3)/86400)+(H249&lt;&gt;"")*(H249&lt;=($M$3*60+$N$3)/86400)</f>
        <v>0</v>
      </c>
      <c r="N249" s="16"/>
      <c r="O249" s="15"/>
    </row>
    <row r="250" customFormat="false" ht="15" hidden="false" customHeight="false" outlineLevel="0" collapsed="false">
      <c r="A250" s="9" t="n">
        <v>244</v>
      </c>
      <c r="B250" s="10" t="s">
        <v>407</v>
      </c>
      <c r="C250" s="10" t="s">
        <v>149</v>
      </c>
      <c r="D250" s="11"/>
      <c r="E250" s="12"/>
      <c r="F250" s="11"/>
      <c r="G250" s="12"/>
      <c r="H250" s="11" t="n">
        <v>0.00274872685185185</v>
      </c>
      <c r="I250" s="12" t="n">
        <v>100</v>
      </c>
      <c r="J250" s="12" t="n">
        <f aca="false">COUNT(E250,G250,I250)</f>
        <v>1</v>
      </c>
      <c r="K250" s="13" t="n">
        <f aca="false">MIN(E250,G250,I250)</f>
        <v>100</v>
      </c>
      <c r="L250" s="9" t="str">
        <f aca="false">IF(E250=K250,"5000m",IF(G250=K250,"3000mSC","1500m"))</f>
        <v>1500m</v>
      </c>
      <c r="M250" s="14" t="n">
        <f aca="false">(D250&lt;&gt;"")*(D250&lt;=($E$3*60+$F$3)/86400)+(F250&lt;&gt;"")*(F250&lt;=($I$3*60+$J$3)/86400)+(H250&lt;&gt;"")*(H250&lt;=($M$3*60+$N$3)/86400)</f>
        <v>0</v>
      </c>
      <c r="N250" s="16"/>
      <c r="O250" s="15"/>
    </row>
    <row r="251" customFormat="false" ht="25.35" hidden="false" customHeight="false" outlineLevel="0" collapsed="false">
      <c r="A251" s="9" t="n">
        <v>245</v>
      </c>
      <c r="B251" s="10" t="s">
        <v>408</v>
      </c>
      <c r="C251" s="10" t="s">
        <v>134</v>
      </c>
      <c r="D251" s="11" t="n">
        <v>0.0107659722222222</v>
      </c>
      <c r="E251" s="12" t="n">
        <v>692</v>
      </c>
      <c r="F251" s="11" t="n">
        <v>0.00668391203703704</v>
      </c>
      <c r="G251" s="12" t="n">
        <v>101</v>
      </c>
      <c r="H251" s="11" t="n">
        <v>0.00280405092592593</v>
      </c>
      <c r="I251" s="12" t="n">
        <v>300</v>
      </c>
      <c r="J251" s="12" t="n">
        <f aca="false">COUNT(E251,G251,I251)</f>
        <v>3</v>
      </c>
      <c r="K251" s="13" t="n">
        <f aca="false">MIN(E251,G251,I251)</f>
        <v>101</v>
      </c>
      <c r="L251" s="9" t="str">
        <f aca="false">IF(E251=K251,"5000m",IF(G251=K251,"3000mSC","1500m"))</f>
        <v>3000mSC</v>
      </c>
      <c r="M251" s="14" t="n">
        <f aca="false">(D251&lt;&gt;"")*(D251&lt;=($E$3*60+$F$3)/86400)+(F251&lt;&gt;"")*(F251&lt;=($I$3*60+$J$3)/86400)+(H251&lt;&gt;"")*(H251&lt;=($M$3*60+$N$3)/86400)</f>
        <v>0</v>
      </c>
      <c r="N251" s="16"/>
      <c r="O251" s="15"/>
    </row>
    <row r="252" customFormat="false" ht="15" hidden="false" customHeight="false" outlineLevel="0" collapsed="false">
      <c r="A252" s="9" t="n">
        <v>246</v>
      </c>
      <c r="B252" s="10" t="s">
        <v>409</v>
      </c>
      <c r="C252" s="10" t="s">
        <v>124</v>
      </c>
      <c r="D252" s="11" t="n">
        <v>0.0102111111111111</v>
      </c>
      <c r="E252" s="12" t="n">
        <v>101</v>
      </c>
      <c r="F252" s="11"/>
      <c r="G252" s="12"/>
      <c r="H252" s="11" t="n">
        <v>0.00277835648148148</v>
      </c>
      <c r="I252" s="12" t="n">
        <v>194</v>
      </c>
      <c r="J252" s="12" t="n">
        <f aca="false">COUNT(E252,G252,I252)</f>
        <v>2</v>
      </c>
      <c r="K252" s="13" t="n">
        <f aca="false">MIN(E252,G252,I252)</f>
        <v>101</v>
      </c>
      <c r="L252" s="9" t="str">
        <f aca="false">IF(E252=K252,"5000m",IF(G252=K252,"3000mSC","1500m"))</f>
        <v>5000m</v>
      </c>
      <c r="M252" s="14" t="n">
        <f aca="false">(D252&lt;&gt;"")*(D252&lt;=($E$3*60+$F$3)/86400)+(F252&lt;&gt;"")*(F252&lt;=($I$3*60+$J$3)/86400)+(H252&lt;&gt;"")*(H252&lt;=($M$3*60+$N$3)/86400)</f>
        <v>0</v>
      </c>
      <c r="N252" s="16"/>
      <c r="O252" s="15"/>
    </row>
    <row r="253" customFormat="false" ht="15" hidden="false" customHeight="false" outlineLevel="0" collapsed="false">
      <c r="A253" s="9" t="n">
        <v>247</v>
      </c>
      <c r="B253" s="10" t="s">
        <v>410</v>
      </c>
      <c r="C253" s="10" t="s">
        <v>175</v>
      </c>
      <c r="D253" s="11"/>
      <c r="E253" s="12"/>
      <c r="F253" s="11"/>
      <c r="G253" s="12"/>
      <c r="H253" s="11" t="n">
        <v>0.00274895833333333</v>
      </c>
      <c r="I253" s="12" t="n">
        <v>101</v>
      </c>
      <c r="J253" s="12" t="n">
        <f aca="false">COUNT(E253,G253,I253)</f>
        <v>1</v>
      </c>
      <c r="K253" s="13" t="n">
        <f aca="false">MIN(E253,G253,I253)</f>
        <v>101</v>
      </c>
      <c r="L253" s="9" t="str">
        <f aca="false">IF(E253=K253,"5000m",IF(G253=K253,"3000mSC","1500m"))</f>
        <v>1500m</v>
      </c>
      <c r="M253" s="14" t="n">
        <f aca="false">(D253&lt;&gt;"")*(D253&lt;=($E$3*60+$F$3)/86400)+(F253&lt;&gt;"")*(F253&lt;=($I$3*60+$J$3)/86400)+(H253&lt;&gt;"")*(H253&lt;=($M$3*60+$N$3)/86400)</f>
        <v>0</v>
      </c>
      <c r="N253" s="16"/>
      <c r="O253" s="15"/>
    </row>
    <row r="254" customFormat="false" ht="15" hidden="false" customHeight="false" outlineLevel="0" collapsed="false">
      <c r="A254" s="9" t="n">
        <v>248</v>
      </c>
      <c r="B254" s="10" t="s">
        <v>411</v>
      </c>
      <c r="C254" s="10" t="s">
        <v>363</v>
      </c>
      <c r="D254" s="11" t="n">
        <v>0.0107466435185185</v>
      </c>
      <c r="E254" s="12" t="n">
        <v>664</v>
      </c>
      <c r="F254" s="11"/>
      <c r="G254" s="12"/>
      <c r="H254" s="11" t="n">
        <v>0.00274930555555556</v>
      </c>
      <c r="I254" s="12" t="n">
        <v>102</v>
      </c>
      <c r="J254" s="12" t="n">
        <f aca="false">COUNT(E254,G254,I254)</f>
        <v>2</v>
      </c>
      <c r="K254" s="13" t="n">
        <f aca="false">MIN(E254,G254,I254)</f>
        <v>102</v>
      </c>
      <c r="L254" s="9" t="str">
        <f aca="false">IF(E254=K254,"5000m",IF(G254=K254,"3000mSC","1500m"))</f>
        <v>1500m</v>
      </c>
      <c r="M254" s="14" t="n">
        <f aca="false">(D254&lt;&gt;"")*(D254&lt;=($E$3*60+$F$3)/86400)+(F254&lt;&gt;"")*(F254&lt;=($I$3*60+$J$3)/86400)+(H254&lt;&gt;"")*(H254&lt;=($M$3*60+$N$3)/86400)</f>
        <v>0</v>
      </c>
      <c r="N254" s="16"/>
      <c r="O254" s="15"/>
    </row>
    <row r="255" customFormat="false" ht="15" hidden="false" customHeight="false" outlineLevel="0" collapsed="false">
      <c r="A255" s="9" t="n">
        <v>249</v>
      </c>
      <c r="B255" s="10" t="s">
        <v>412</v>
      </c>
      <c r="C255" s="10" t="s">
        <v>69</v>
      </c>
      <c r="D255" s="11" t="n">
        <v>0.0104733796296296</v>
      </c>
      <c r="E255" s="12" t="n">
        <v>319</v>
      </c>
      <c r="F255" s="11"/>
      <c r="G255" s="12"/>
      <c r="H255" s="11" t="n">
        <v>0.00274976851851852</v>
      </c>
      <c r="I255" s="12" t="n">
        <v>103</v>
      </c>
      <c r="J255" s="12" t="n">
        <f aca="false">COUNT(E255,G255,I255)</f>
        <v>2</v>
      </c>
      <c r="K255" s="13" t="n">
        <f aca="false">MIN(E255,G255,I255)</f>
        <v>103</v>
      </c>
      <c r="L255" s="9" t="str">
        <f aca="false">IF(E255=K255,"5000m",IF(G255=K255,"3000mSC","1500m"))</f>
        <v>1500m</v>
      </c>
      <c r="M255" s="14" t="n">
        <f aca="false">(D255&lt;&gt;"")*(D255&lt;=($E$3*60+$F$3)/86400)+(F255&lt;&gt;"")*(F255&lt;=($I$3*60+$J$3)/86400)+(H255&lt;&gt;"")*(H255&lt;=($M$3*60+$N$3)/86400)</f>
        <v>0</v>
      </c>
      <c r="N255" s="16"/>
      <c r="O255" s="15"/>
    </row>
    <row r="256" customFormat="false" ht="15" hidden="false" customHeight="false" outlineLevel="0" collapsed="false">
      <c r="A256" s="9" t="n">
        <v>250</v>
      </c>
      <c r="B256" s="10" t="s">
        <v>413</v>
      </c>
      <c r="C256" s="10" t="s">
        <v>229</v>
      </c>
      <c r="D256" s="11" t="n">
        <v>0.0102799768518519</v>
      </c>
      <c r="E256" s="12" t="n">
        <v>148</v>
      </c>
      <c r="F256" s="11"/>
      <c r="G256" s="12"/>
      <c r="H256" s="11" t="n">
        <v>0.00274988425925926</v>
      </c>
      <c r="I256" s="12" t="n">
        <v>104</v>
      </c>
      <c r="J256" s="12" t="n">
        <f aca="false">COUNT(E256,G256,I256)</f>
        <v>2</v>
      </c>
      <c r="K256" s="13" t="n">
        <f aca="false">MIN(E256,G256,I256)</f>
        <v>104</v>
      </c>
      <c r="L256" s="9" t="str">
        <f aca="false">IF(E256=K256,"5000m",IF(G256=K256,"3000mSC","1500m"))</f>
        <v>1500m</v>
      </c>
      <c r="M256" s="14" t="n">
        <f aca="false">(D256&lt;&gt;"")*(D256&lt;=($E$3*60+$F$3)/86400)+(F256&lt;&gt;"")*(F256&lt;=($I$3*60+$J$3)/86400)+(H256&lt;&gt;"")*(H256&lt;=($M$3*60+$N$3)/86400)</f>
        <v>0</v>
      </c>
      <c r="N256" s="16"/>
      <c r="O256" s="15"/>
    </row>
    <row r="257" customFormat="false" ht="25.35" hidden="false" customHeight="false" outlineLevel="0" collapsed="false">
      <c r="A257" s="9" t="n">
        <v>251</v>
      </c>
      <c r="B257" s="10" t="s">
        <v>414</v>
      </c>
      <c r="C257" s="10" t="s">
        <v>226</v>
      </c>
      <c r="D257" s="11" t="n">
        <v>0.0107376157407407</v>
      </c>
      <c r="E257" s="12" t="n">
        <v>649</v>
      </c>
      <c r="F257" s="11" t="n">
        <v>0.00668634259259259</v>
      </c>
      <c r="G257" s="12" t="n">
        <v>104</v>
      </c>
      <c r="H257" s="11"/>
      <c r="I257" s="12"/>
      <c r="J257" s="12" t="n">
        <f aca="false">COUNT(E257,G257,I257)</f>
        <v>2</v>
      </c>
      <c r="K257" s="13" t="n">
        <f aca="false">MIN(E257,G257,I257)</f>
        <v>104</v>
      </c>
      <c r="L257" s="9" t="str">
        <f aca="false">IF(E257=K257,"5000m",IF(G257=K257,"3000mSC","1500m"))</f>
        <v>3000mSC</v>
      </c>
      <c r="M257" s="14" t="n">
        <f aca="false">(D257&lt;&gt;"")*(D257&lt;=($E$3*60+$F$3)/86400)+(F257&lt;&gt;"")*(F257&lt;=($I$3*60+$J$3)/86400)+(H257&lt;&gt;"")*(H257&lt;=($M$3*60+$N$3)/86400)</f>
        <v>0</v>
      </c>
      <c r="N257" s="16"/>
      <c r="O257" s="15"/>
    </row>
    <row r="258" customFormat="false" ht="25.35" hidden="false" customHeight="false" outlineLevel="0" collapsed="false">
      <c r="A258" s="9" t="n">
        <v>252</v>
      </c>
      <c r="B258" s="10" t="s">
        <v>415</v>
      </c>
      <c r="C258" s="10" t="s">
        <v>416</v>
      </c>
      <c r="D258" s="11"/>
      <c r="E258" s="12"/>
      <c r="F258" s="11" t="n">
        <v>0.00669270833333333</v>
      </c>
      <c r="G258" s="12" t="n">
        <v>105</v>
      </c>
      <c r="H258" s="11" t="n">
        <v>0.00284722222222222</v>
      </c>
      <c r="I258" s="12" t="n">
        <v>553</v>
      </c>
      <c r="J258" s="12" t="n">
        <f aca="false">COUNT(E258,G258,I258)</f>
        <v>2</v>
      </c>
      <c r="K258" s="13" t="n">
        <f aca="false">MIN(E258,G258,I258)</f>
        <v>105</v>
      </c>
      <c r="L258" s="9" t="str">
        <f aca="false">IF(E258=K258,"5000m",IF(G258=K258,"3000mSC","1500m"))</f>
        <v>3000mSC</v>
      </c>
      <c r="M258" s="14" t="n">
        <f aca="false">(D258&lt;&gt;"")*(D258&lt;=($E$3*60+$F$3)/86400)+(F258&lt;&gt;"")*(F258&lt;=($I$3*60+$J$3)/86400)+(H258&lt;&gt;"")*(H258&lt;=($M$3*60+$N$3)/86400)</f>
        <v>0</v>
      </c>
      <c r="N258" s="16"/>
      <c r="O258" s="15"/>
    </row>
    <row r="259" customFormat="false" ht="15" hidden="false" customHeight="false" outlineLevel="0" collapsed="false">
      <c r="A259" s="9" t="n">
        <v>253</v>
      </c>
      <c r="B259" s="10" t="s">
        <v>417</v>
      </c>
      <c r="C259" s="10" t="s">
        <v>25</v>
      </c>
      <c r="D259" s="11" t="n">
        <v>0.010215625</v>
      </c>
      <c r="E259" s="12" t="n">
        <v>105</v>
      </c>
      <c r="F259" s="11"/>
      <c r="G259" s="12"/>
      <c r="H259" s="11" t="n">
        <v>0.00285358796296296</v>
      </c>
      <c r="I259" s="12" t="n">
        <v>590</v>
      </c>
      <c r="J259" s="12" t="n">
        <f aca="false">COUNT(E259,G259,I259)</f>
        <v>2</v>
      </c>
      <c r="K259" s="13" t="n">
        <f aca="false">MIN(E259,G259,I259)</f>
        <v>105</v>
      </c>
      <c r="L259" s="9" t="str">
        <f aca="false">IF(E259=K259,"5000m",IF(G259=K259,"3000mSC","1500m"))</f>
        <v>5000m</v>
      </c>
      <c r="M259" s="14" t="n">
        <f aca="false">(D259&lt;&gt;"")*(D259&lt;=($E$3*60+$F$3)/86400)+(F259&lt;&gt;"")*(F259&lt;=($I$3*60+$J$3)/86400)+(H259&lt;&gt;"")*(H259&lt;=($M$3*60+$N$3)/86400)</f>
        <v>0</v>
      </c>
      <c r="N259" s="16"/>
      <c r="O259" s="15"/>
    </row>
    <row r="260" customFormat="false" ht="15" hidden="false" customHeight="false" outlineLevel="0" collapsed="false">
      <c r="A260" s="9" t="n">
        <v>254</v>
      </c>
      <c r="B260" s="10" t="s">
        <v>418</v>
      </c>
      <c r="C260" s="10" t="s">
        <v>267</v>
      </c>
      <c r="D260" s="11" t="n">
        <v>0.0109083333333333</v>
      </c>
      <c r="E260" s="12" t="n">
        <v>934</v>
      </c>
      <c r="F260" s="11"/>
      <c r="G260" s="12"/>
      <c r="H260" s="11" t="n">
        <v>0.00275104166666667</v>
      </c>
      <c r="I260" s="12" t="n">
        <v>105</v>
      </c>
      <c r="J260" s="12" t="n">
        <f aca="false">COUNT(E260,G260,I260)</f>
        <v>2</v>
      </c>
      <c r="K260" s="13" t="n">
        <f aca="false">MIN(E260,G260,I260)</f>
        <v>105</v>
      </c>
      <c r="L260" s="9" t="str">
        <f aca="false">IF(E260=K260,"5000m",IF(G260=K260,"3000mSC","1500m"))</f>
        <v>1500m</v>
      </c>
      <c r="M260" s="14" t="n">
        <f aca="false">(D260&lt;&gt;"")*(D260&lt;=($E$3*60+$F$3)/86400)+(F260&lt;&gt;"")*(F260&lt;=($I$3*60+$J$3)/86400)+(H260&lt;&gt;"")*(H260&lt;=($M$3*60+$N$3)/86400)</f>
        <v>0</v>
      </c>
      <c r="N260" s="16"/>
      <c r="O260" s="15"/>
    </row>
    <row r="261" customFormat="false" ht="15" hidden="false" customHeight="false" outlineLevel="0" collapsed="false">
      <c r="A261" s="9" t="n">
        <v>255</v>
      </c>
      <c r="B261" s="10" t="s">
        <v>419</v>
      </c>
      <c r="C261" s="10" t="s">
        <v>420</v>
      </c>
      <c r="D261" s="11" t="n">
        <v>0.0107515046296296</v>
      </c>
      <c r="E261" s="12" t="n">
        <v>670</v>
      </c>
      <c r="F261" s="11"/>
      <c r="G261" s="12"/>
      <c r="H261" s="11" t="n">
        <v>0.00275115740740741</v>
      </c>
      <c r="I261" s="12" t="n">
        <v>106</v>
      </c>
      <c r="J261" s="12" t="n">
        <f aca="false">COUNT(E261,G261,I261)</f>
        <v>2</v>
      </c>
      <c r="K261" s="13" t="n">
        <f aca="false">MIN(E261,G261,I261)</f>
        <v>106</v>
      </c>
      <c r="L261" s="9" t="str">
        <f aca="false">IF(E261=K261,"5000m",IF(G261=K261,"3000mSC","1500m"))</f>
        <v>1500m</v>
      </c>
      <c r="M261" s="14" t="n">
        <f aca="false">(D261&lt;&gt;"")*(D261&lt;=($E$3*60+$F$3)/86400)+(F261&lt;&gt;"")*(F261&lt;=($I$3*60+$J$3)/86400)+(H261&lt;&gt;"")*(H261&lt;=($M$3*60+$N$3)/86400)</f>
        <v>0</v>
      </c>
      <c r="N261" s="16"/>
      <c r="O261" s="15"/>
    </row>
    <row r="262" customFormat="false" ht="25.35" hidden="false" customHeight="false" outlineLevel="0" collapsed="false">
      <c r="A262" s="9" t="n">
        <v>256</v>
      </c>
      <c r="B262" s="10" t="s">
        <v>421</v>
      </c>
      <c r="C262" s="10" t="s">
        <v>422</v>
      </c>
      <c r="D262" s="11" t="n">
        <v>0.0111061342592593</v>
      </c>
      <c r="E262" s="12" t="n">
        <v>1277</v>
      </c>
      <c r="F262" s="11" t="n">
        <v>0.00669803240740741</v>
      </c>
      <c r="G262" s="12" t="n">
        <v>106</v>
      </c>
      <c r="H262" s="11"/>
      <c r="I262" s="12"/>
      <c r="J262" s="12" t="n">
        <f aca="false">COUNT(E262,G262,I262)</f>
        <v>2</v>
      </c>
      <c r="K262" s="13" t="n">
        <f aca="false">MIN(E262,G262,I262)</f>
        <v>106</v>
      </c>
      <c r="L262" s="9" t="str">
        <f aca="false">IF(E262=K262,"5000m",IF(G262=K262,"3000mSC","1500m"))</f>
        <v>3000mSC</v>
      </c>
      <c r="M262" s="14" t="n">
        <f aca="false">(D262&lt;&gt;"")*(D262&lt;=($E$3*60+$F$3)/86400)+(F262&lt;&gt;"")*(F262&lt;=($I$3*60+$J$3)/86400)+(H262&lt;&gt;"")*(H262&lt;=($M$3*60+$N$3)/86400)</f>
        <v>0</v>
      </c>
      <c r="N262" s="16"/>
      <c r="O262" s="15"/>
    </row>
    <row r="263" customFormat="false" ht="25.35" hidden="false" customHeight="false" outlineLevel="0" collapsed="false">
      <c r="A263" s="9" t="n">
        <v>257</v>
      </c>
      <c r="B263" s="10" t="s">
        <v>423</v>
      </c>
      <c r="C263" s="10" t="s">
        <v>91</v>
      </c>
      <c r="D263" s="11" t="n">
        <v>0.0103505787037037</v>
      </c>
      <c r="E263" s="12" t="n">
        <v>203</v>
      </c>
      <c r="F263" s="11" t="n">
        <v>0.00669953703703704</v>
      </c>
      <c r="G263" s="12" t="n">
        <v>107</v>
      </c>
      <c r="H263" s="11" t="n">
        <v>0.00276481481481482</v>
      </c>
      <c r="I263" s="12" t="n">
        <v>149</v>
      </c>
      <c r="J263" s="12" t="n">
        <f aca="false">COUNT(E263,G263,I263)</f>
        <v>3</v>
      </c>
      <c r="K263" s="13" t="n">
        <f aca="false">MIN(E263,G263,I263)</f>
        <v>107</v>
      </c>
      <c r="L263" s="9" t="str">
        <f aca="false">IF(E263=K263,"5000m",IF(G263=K263,"3000mSC","1500m"))</f>
        <v>3000mSC</v>
      </c>
      <c r="M263" s="14" t="n">
        <f aca="false">(D263&lt;&gt;"")*(D263&lt;=($E$3*60+$F$3)/86400)+(F263&lt;&gt;"")*(F263&lt;=($I$3*60+$J$3)/86400)+(H263&lt;&gt;"")*(H263&lt;=($M$3*60+$N$3)/86400)</f>
        <v>0</v>
      </c>
      <c r="N263" s="16"/>
      <c r="O263" s="15"/>
    </row>
    <row r="264" customFormat="false" ht="15" hidden="false" customHeight="false" outlineLevel="0" collapsed="false">
      <c r="A264" s="9" t="n">
        <v>258</v>
      </c>
      <c r="B264" s="10" t="s">
        <v>424</v>
      </c>
      <c r="C264" s="10" t="s">
        <v>425</v>
      </c>
      <c r="D264" s="11" t="n">
        <v>0.0105753472222222</v>
      </c>
      <c r="E264" s="12" t="n">
        <v>431</v>
      </c>
      <c r="F264" s="11"/>
      <c r="G264" s="12"/>
      <c r="H264" s="11" t="n">
        <v>0.00275185185185185</v>
      </c>
      <c r="I264" s="12" t="n">
        <v>107</v>
      </c>
      <c r="J264" s="12" t="n">
        <f aca="false">COUNT(E264,G264,I264)</f>
        <v>2</v>
      </c>
      <c r="K264" s="13" t="n">
        <f aca="false">MIN(E264,G264,I264)</f>
        <v>107</v>
      </c>
      <c r="L264" s="9" t="str">
        <f aca="false">IF(E264=K264,"5000m",IF(G264=K264,"3000mSC","1500m"))</f>
        <v>1500m</v>
      </c>
      <c r="M264" s="14" t="n">
        <f aca="false">(D264&lt;&gt;"")*(D264&lt;=($E$3*60+$F$3)/86400)+(F264&lt;&gt;"")*(F264&lt;=($I$3*60+$J$3)/86400)+(H264&lt;&gt;"")*(H264&lt;=($M$3*60+$N$3)/86400)</f>
        <v>0</v>
      </c>
      <c r="N264" s="16"/>
      <c r="O264" s="15"/>
    </row>
    <row r="265" customFormat="false" ht="15" hidden="false" customHeight="false" outlineLevel="0" collapsed="false">
      <c r="A265" s="9" t="n">
        <v>259</v>
      </c>
      <c r="B265" s="10" t="s">
        <v>426</v>
      </c>
      <c r="C265" s="10" t="s">
        <v>166</v>
      </c>
      <c r="D265" s="11" t="n">
        <v>0.0102987268518519</v>
      </c>
      <c r="E265" s="12" t="n">
        <v>159</v>
      </c>
      <c r="F265" s="11"/>
      <c r="G265" s="12"/>
      <c r="H265" s="11" t="n">
        <v>0.00275208333333333</v>
      </c>
      <c r="I265" s="12" t="n">
        <v>108</v>
      </c>
      <c r="J265" s="12" t="n">
        <f aca="false">COUNT(E265,G265,I265)</f>
        <v>2</v>
      </c>
      <c r="K265" s="13" t="n">
        <f aca="false">MIN(E265,G265,I265)</f>
        <v>108</v>
      </c>
      <c r="L265" s="9" t="str">
        <f aca="false">IF(E265=K265,"5000m",IF(G265=K265,"3000mSC","1500m"))</f>
        <v>1500m</v>
      </c>
      <c r="M265" s="14" t="n">
        <f aca="false">(D265&lt;&gt;"")*(D265&lt;=($E$3*60+$F$3)/86400)+(F265&lt;&gt;"")*(F265&lt;=($I$3*60+$J$3)/86400)+(H265&lt;&gt;"")*(H265&lt;=($M$3*60+$N$3)/86400)</f>
        <v>0</v>
      </c>
      <c r="N265" s="16"/>
      <c r="O265" s="15"/>
    </row>
    <row r="266" customFormat="false" ht="15" hidden="false" customHeight="false" outlineLevel="0" collapsed="false">
      <c r="A266" s="9" t="n">
        <v>260</v>
      </c>
      <c r="B266" s="10" t="s">
        <v>427</v>
      </c>
      <c r="C266" s="10" t="s">
        <v>312</v>
      </c>
      <c r="D266" s="11" t="n">
        <v>0.0102188657407407</v>
      </c>
      <c r="E266" s="12" t="n">
        <v>108</v>
      </c>
      <c r="F266" s="11"/>
      <c r="G266" s="12"/>
      <c r="H266" s="11" t="n">
        <v>0.00279363425925926</v>
      </c>
      <c r="I266" s="12" t="n">
        <v>252</v>
      </c>
      <c r="J266" s="12" t="n">
        <f aca="false">COUNT(E266,G266,I266)</f>
        <v>2</v>
      </c>
      <c r="K266" s="13" t="n">
        <f aca="false">MIN(E266,G266,I266)</f>
        <v>108</v>
      </c>
      <c r="L266" s="9" t="str">
        <f aca="false">IF(E266=K266,"5000m",IF(G266=K266,"3000mSC","1500m"))</f>
        <v>5000m</v>
      </c>
      <c r="M266" s="14" t="n">
        <f aca="false">(D266&lt;&gt;"")*(D266&lt;=($E$3*60+$F$3)/86400)+(F266&lt;&gt;"")*(F266&lt;=($I$3*60+$J$3)/86400)+(H266&lt;&gt;"")*(H266&lt;=($M$3*60+$N$3)/86400)</f>
        <v>0</v>
      </c>
      <c r="N266" s="16"/>
      <c r="O266" s="15"/>
    </row>
    <row r="267" customFormat="false" ht="25.35" hidden="false" customHeight="false" outlineLevel="0" collapsed="false">
      <c r="A267" s="9" t="n">
        <v>261</v>
      </c>
      <c r="B267" s="10" t="s">
        <v>428</v>
      </c>
      <c r="C267" s="10" t="s">
        <v>23</v>
      </c>
      <c r="D267" s="11"/>
      <c r="E267" s="12"/>
      <c r="F267" s="11" t="n">
        <v>0.00669976851851852</v>
      </c>
      <c r="G267" s="12" t="n">
        <v>108</v>
      </c>
      <c r="H267" s="11"/>
      <c r="I267" s="12"/>
      <c r="J267" s="12" t="n">
        <f aca="false">COUNT(E267,G267,I267)</f>
        <v>1</v>
      </c>
      <c r="K267" s="13" t="n">
        <f aca="false">MIN(E267,G267,I267)</f>
        <v>108</v>
      </c>
      <c r="L267" s="9" t="str">
        <f aca="false">IF(E267=K267,"5000m",IF(G267=K267,"3000mSC","1500m"))</f>
        <v>3000mSC</v>
      </c>
      <c r="M267" s="14" t="n">
        <f aca="false">(D267&lt;&gt;"")*(D267&lt;=($E$3*60+$F$3)/86400)+(F267&lt;&gt;"")*(F267&lt;=($I$3*60+$J$3)/86400)+(H267&lt;&gt;"")*(H267&lt;=($M$3*60+$N$3)/86400)</f>
        <v>0</v>
      </c>
      <c r="N267" s="16"/>
      <c r="O267" s="15"/>
    </row>
    <row r="268" customFormat="false" ht="25.35" hidden="false" customHeight="false" outlineLevel="0" collapsed="false">
      <c r="A268" s="9" t="n">
        <v>262</v>
      </c>
      <c r="B268" s="10" t="s">
        <v>429</v>
      </c>
      <c r="C268" s="10" t="s">
        <v>420</v>
      </c>
      <c r="D268" s="11" t="n">
        <v>0.0106591435185185</v>
      </c>
      <c r="E268" s="12" t="n">
        <v>534</v>
      </c>
      <c r="F268" s="11" t="n">
        <v>0.00670185185185185</v>
      </c>
      <c r="G268" s="12" t="n">
        <v>109</v>
      </c>
      <c r="H268" s="11" t="n">
        <v>0.00288518518518519</v>
      </c>
      <c r="I268" s="12" t="n">
        <v>820</v>
      </c>
      <c r="J268" s="12" t="n">
        <f aca="false">COUNT(E268,G268,I268)</f>
        <v>3</v>
      </c>
      <c r="K268" s="13" t="n">
        <f aca="false">MIN(E268,G268,I268)</f>
        <v>109</v>
      </c>
      <c r="L268" s="9" t="str">
        <f aca="false">IF(E268=K268,"5000m",IF(G268=K268,"3000mSC","1500m"))</f>
        <v>3000mSC</v>
      </c>
      <c r="M268" s="14" t="n">
        <f aca="false">(D268&lt;&gt;"")*(D268&lt;=($E$3*60+$F$3)/86400)+(F268&lt;&gt;"")*(F268&lt;=($I$3*60+$J$3)/86400)+(H268&lt;&gt;"")*(H268&lt;=($M$3*60+$N$3)/86400)</f>
        <v>0</v>
      </c>
      <c r="N268" s="16"/>
      <c r="O268" s="15"/>
    </row>
    <row r="269" customFormat="false" ht="15" hidden="false" customHeight="false" outlineLevel="0" collapsed="false">
      <c r="A269" s="9" t="n">
        <v>263</v>
      </c>
      <c r="B269" s="10" t="s">
        <v>430</v>
      </c>
      <c r="C269" s="10" t="s">
        <v>195</v>
      </c>
      <c r="D269" s="11" t="n">
        <v>0.0105134259259259</v>
      </c>
      <c r="E269" s="12" t="n">
        <v>355</v>
      </c>
      <c r="F269" s="11"/>
      <c r="G269" s="12"/>
      <c r="H269" s="11" t="n">
        <v>0.00275243055555556</v>
      </c>
      <c r="I269" s="12" t="n">
        <v>109</v>
      </c>
      <c r="J269" s="12" t="n">
        <f aca="false">COUNT(E269,G269,I269)</f>
        <v>2</v>
      </c>
      <c r="K269" s="13" t="n">
        <f aca="false">MIN(E269,G269,I269)</f>
        <v>109</v>
      </c>
      <c r="L269" s="9" t="str">
        <f aca="false">IF(E269=K269,"5000m",IF(G269=K269,"3000mSC","1500m"))</f>
        <v>1500m</v>
      </c>
      <c r="M269" s="14" t="n">
        <f aca="false">(D269&lt;&gt;"")*(D269&lt;=($E$3*60+$F$3)/86400)+(F269&lt;&gt;"")*(F269&lt;=($I$3*60+$J$3)/86400)+(H269&lt;&gt;"")*(H269&lt;=($M$3*60+$N$3)/86400)</f>
        <v>0</v>
      </c>
      <c r="N269" s="16"/>
      <c r="O269" s="15"/>
    </row>
    <row r="270" customFormat="false" ht="15" hidden="false" customHeight="false" outlineLevel="0" collapsed="false">
      <c r="A270" s="9" t="n">
        <v>264</v>
      </c>
      <c r="B270" s="10" t="s">
        <v>431</v>
      </c>
      <c r="C270" s="10" t="s">
        <v>36</v>
      </c>
      <c r="D270" s="11" t="n">
        <v>0.0102216435185185</v>
      </c>
      <c r="E270" s="12" t="n">
        <v>109</v>
      </c>
      <c r="F270" s="11"/>
      <c r="G270" s="12"/>
      <c r="H270" s="11" t="n">
        <v>0.00285625</v>
      </c>
      <c r="I270" s="12" t="n">
        <v>610</v>
      </c>
      <c r="J270" s="12" t="n">
        <f aca="false">COUNT(E270,G270,I270)</f>
        <v>2</v>
      </c>
      <c r="K270" s="13" t="n">
        <f aca="false">MIN(E270,G270,I270)</f>
        <v>109</v>
      </c>
      <c r="L270" s="9" t="str">
        <f aca="false">IF(E270=K270,"5000m",IF(G270=K270,"3000mSC","1500m"))</f>
        <v>5000m</v>
      </c>
      <c r="M270" s="14" t="n">
        <f aca="false">(D270&lt;&gt;"")*(D270&lt;=($E$3*60+$F$3)/86400)+(F270&lt;&gt;"")*(F270&lt;=($I$3*60+$J$3)/86400)+(H270&lt;&gt;"")*(H270&lt;=($M$3*60+$N$3)/86400)</f>
        <v>0</v>
      </c>
      <c r="N270" s="16"/>
      <c r="O270" s="15"/>
    </row>
    <row r="271" customFormat="false" ht="15" hidden="false" customHeight="false" outlineLevel="0" collapsed="false">
      <c r="A271" s="9" t="n">
        <v>265</v>
      </c>
      <c r="B271" s="10" t="s">
        <v>432</v>
      </c>
      <c r="C271" s="10" t="s">
        <v>134</v>
      </c>
      <c r="D271" s="11" t="n">
        <v>0.0102280092592593</v>
      </c>
      <c r="E271" s="12" t="n">
        <v>110</v>
      </c>
      <c r="F271" s="11"/>
      <c r="G271" s="12"/>
      <c r="H271" s="11" t="n">
        <v>0.00285231481481482</v>
      </c>
      <c r="I271" s="12" t="n">
        <v>581</v>
      </c>
      <c r="J271" s="12" t="n">
        <f aca="false">COUNT(E271,G271,I271)</f>
        <v>2</v>
      </c>
      <c r="K271" s="13" t="n">
        <f aca="false">MIN(E271,G271,I271)</f>
        <v>110</v>
      </c>
      <c r="L271" s="9" t="str">
        <f aca="false">IF(E271=K271,"5000m",IF(G271=K271,"3000mSC","1500m"))</f>
        <v>5000m</v>
      </c>
      <c r="M271" s="14" t="n">
        <f aca="false">(D271&lt;&gt;"")*(D271&lt;=($E$3*60+$F$3)/86400)+(F271&lt;&gt;"")*(F271&lt;=($I$3*60+$J$3)/86400)+(H271&lt;&gt;"")*(H271&lt;=($M$3*60+$N$3)/86400)</f>
        <v>0</v>
      </c>
      <c r="N271" s="16"/>
      <c r="O271" s="15"/>
    </row>
    <row r="272" customFormat="false" ht="25.35" hidden="false" customHeight="false" outlineLevel="0" collapsed="false">
      <c r="A272" s="9" t="n">
        <v>266</v>
      </c>
      <c r="B272" s="10" t="s">
        <v>433</v>
      </c>
      <c r="C272" s="10" t="s">
        <v>434</v>
      </c>
      <c r="D272" s="11"/>
      <c r="E272" s="12"/>
      <c r="F272" s="11" t="n">
        <v>0.00670486111111111</v>
      </c>
      <c r="G272" s="12" t="n">
        <v>110</v>
      </c>
      <c r="H272" s="11" t="n">
        <v>0.00292025462962963</v>
      </c>
      <c r="I272" s="12" t="n">
        <v>1102</v>
      </c>
      <c r="J272" s="12" t="n">
        <f aca="false">COUNT(E272,G272,I272)</f>
        <v>2</v>
      </c>
      <c r="K272" s="13" t="n">
        <f aca="false">MIN(E272,G272,I272)</f>
        <v>110</v>
      </c>
      <c r="L272" s="9" t="str">
        <f aca="false">IF(E272=K272,"5000m",IF(G272=K272,"3000mSC","1500m"))</f>
        <v>3000mSC</v>
      </c>
      <c r="M272" s="14" t="n">
        <f aca="false">(D272&lt;&gt;"")*(D272&lt;=($E$3*60+$F$3)/86400)+(F272&lt;&gt;"")*(F272&lt;=($I$3*60+$J$3)/86400)+(H272&lt;&gt;"")*(H272&lt;=($M$3*60+$N$3)/86400)</f>
        <v>0</v>
      </c>
      <c r="N272" s="16"/>
      <c r="O272" s="15"/>
    </row>
    <row r="273" customFormat="false" ht="15" hidden="false" customHeight="false" outlineLevel="0" collapsed="false">
      <c r="A273" s="9" t="n">
        <v>267</v>
      </c>
      <c r="B273" s="10" t="s">
        <v>435</v>
      </c>
      <c r="C273" s="10" t="s">
        <v>317</v>
      </c>
      <c r="D273" s="11" t="n">
        <v>0.0110163194444444</v>
      </c>
      <c r="E273" s="12" t="n">
        <v>1121</v>
      </c>
      <c r="F273" s="11"/>
      <c r="G273" s="12"/>
      <c r="H273" s="11" t="n">
        <v>0.00275289351851852</v>
      </c>
      <c r="I273" s="12" t="n">
        <v>110</v>
      </c>
      <c r="J273" s="12" t="n">
        <f aca="false">COUNT(E273,G273,I273)</f>
        <v>2</v>
      </c>
      <c r="K273" s="13" t="n">
        <f aca="false">MIN(E273,G273,I273)</f>
        <v>110</v>
      </c>
      <c r="L273" s="9" t="str">
        <f aca="false">IF(E273=K273,"5000m",IF(G273=K273,"3000mSC","1500m"))</f>
        <v>1500m</v>
      </c>
      <c r="M273" s="14" t="n">
        <f aca="false">(D273&lt;&gt;"")*(D273&lt;=($E$3*60+$F$3)/86400)+(F273&lt;&gt;"")*(F273&lt;=($I$3*60+$J$3)/86400)+(H273&lt;&gt;"")*(H273&lt;=($M$3*60+$N$3)/86400)</f>
        <v>0</v>
      </c>
      <c r="N273" s="16"/>
      <c r="O273" s="15"/>
    </row>
    <row r="274" customFormat="false" ht="25.35" hidden="false" customHeight="false" outlineLevel="0" collapsed="false">
      <c r="A274" s="9" t="n">
        <v>268</v>
      </c>
      <c r="B274" s="10" t="s">
        <v>436</v>
      </c>
      <c r="C274" s="10" t="s">
        <v>437</v>
      </c>
      <c r="D274" s="11" t="n">
        <v>0.0104903935185185</v>
      </c>
      <c r="E274" s="12" t="n">
        <v>333</v>
      </c>
      <c r="F274" s="11" t="n">
        <v>0.00670543981481482</v>
      </c>
      <c r="G274" s="12" t="n">
        <v>111</v>
      </c>
      <c r="H274" s="11" t="n">
        <v>0.00282905092592593</v>
      </c>
      <c r="I274" s="12" t="n">
        <v>419</v>
      </c>
      <c r="J274" s="12" t="n">
        <f aca="false">COUNT(E274,G274,I274)</f>
        <v>3</v>
      </c>
      <c r="K274" s="13" t="n">
        <f aca="false">MIN(E274,G274,I274)</f>
        <v>111</v>
      </c>
      <c r="L274" s="9" t="str">
        <f aca="false">IF(E274=K274,"5000m",IF(G274=K274,"3000mSC","1500m"))</f>
        <v>3000mSC</v>
      </c>
      <c r="M274" s="14" t="n">
        <f aca="false">(D274&lt;&gt;"")*(D274&lt;=($E$3*60+$F$3)/86400)+(F274&lt;&gt;"")*(F274&lt;=($I$3*60+$J$3)/86400)+(H274&lt;&gt;"")*(H274&lt;=($M$3*60+$N$3)/86400)</f>
        <v>0</v>
      </c>
      <c r="N274" s="16"/>
      <c r="O274" s="15"/>
    </row>
    <row r="275" customFormat="false" ht="15" hidden="false" customHeight="false" outlineLevel="0" collapsed="false">
      <c r="A275" s="9" t="n">
        <v>269</v>
      </c>
      <c r="B275" s="10" t="s">
        <v>438</v>
      </c>
      <c r="C275" s="10" t="s">
        <v>237</v>
      </c>
      <c r="D275" s="11" t="n">
        <v>0.0102291666666667</v>
      </c>
      <c r="E275" s="12" t="n">
        <v>111</v>
      </c>
      <c r="F275" s="11"/>
      <c r="G275" s="12"/>
      <c r="H275" s="11" t="n">
        <v>0.00281643518518519</v>
      </c>
      <c r="I275" s="12" t="n">
        <v>346</v>
      </c>
      <c r="J275" s="12" t="n">
        <f aca="false">COUNT(E275,G275,I275)</f>
        <v>2</v>
      </c>
      <c r="K275" s="13" t="n">
        <f aca="false">MIN(E275,G275,I275)</f>
        <v>111</v>
      </c>
      <c r="L275" s="9" t="str">
        <f aca="false">IF(E275=K275,"5000m",IF(G275=K275,"3000mSC","1500m"))</f>
        <v>5000m</v>
      </c>
      <c r="M275" s="14" t="n">
        <f aca="false">(D275&lt;&gt;"")*(D275&lt;=($E$3*60+$F$3)/86400)+(F275&lt;&gt;"")*(F275&lt;=($I$3*60+$J$3)/86400)+(H275&lt;&gt;"")*(H275&lt;=($M$3*60+$N$3)/86400)</f>
        <v>0</v>
      </c>
      <c r="N275" s="16"/>
      <c r="O275" s="15"/>
    </row>
    <row r="276" customFormat="false" ht="25.35" hidden="false" customHeight="false" outlineLevel="0" collapsed="false">
      <c r="A276" s="9" t="n">
        <v>270</v>
      </c>
      <c r="B276" s="10" t="s">
        <v>439</v>
      </c>
      <c r="C276" s="10" t="s">
        <v>440</v>
      </c>
      <c r="D276" s="11" t="n">
        <v>0.0105166666666667</v>
      </c>
      <c r="E276" s="12" t="n">
        <v>360</v>
      </c>
      <c r="F276" s="11" t="n">
        <v>0.00671261574074074</v>
      </c>
      <c r="G276" s="12" t="n">
        <v>112</v>
      </c>
      <c r="H276" s="11" t="n">
        <v>0.00284456018518519</v>
      </c>
      <c r="I276" s="12" t="n">
        <v>531</v>
      </c>
      <c r="J276" s="12" t="n">
        <f aca="false">COUNT(E276,G276,I276)</f>
        <v>3</v>
      </c>
      <c r="K276" s="13" t="n">
        <f aca="false">MIN(E276,G276,I276)</f>
        <v>112</v>
      </c>
      <c r="L276" s="9" t="str">
        <f aca="false">IF(E276=K276,"5000m",IF(G276=K276,"3000mSC","1500m"))</f>
        <v>3000mSC</v>
      </c>
      <c r="M276" s="14" t="n">
        <f aca="false">(D276&lt;&gt;"")*(D276&lt;=($E$3*60+$F$3)/86400)+(F276&lt;&gt;"")*(F276&lt;=($I$3*60+$J$3)/86400)+(H276&lt;&gt;"")*(H276&lt;=($M$3*60+$N$3)/86400)</f>
        <v>0</v>
      </c>
      <c r="N276" s="16"/>
      <c r="O276" s="15"/>
    </row>
    <row r="277" customFormat="false" ht="15" hidden="false" customHeight="false" outlineLevel="0" collapsed="false">
      <c r="A277" s="9" t="n">
        <v>271</v>
      </c>
      <c r="B277" s="10" t="s">
        <v>441</v>
      </c>
      <c r="C277" s="10" t="s">
        <v>49</v>
      </c>
      <c r="D277" s="11" t="n">
        <v>0.0105428240740741</v>
      </c>
      <c r="E277" s="12" t="n">
        <v>391</v>
      </c>
      <c r="F277" s="11"/>
      <c r="G277" s="12"/>
      <c r="H277" s="11" t="n">
        <v>0.0027537037037037</v>
      </c>
      <c r="I277" s="12" t="n">
        <v>112</v>
      </c>
      <c r="J277" s="12" t="n">
        <f aca="false">COUNT(E277,G277,I277)</f>
        <v>2</v>
      </c>
      <c r="K277" s="13" t="n">
        <f aca="false">MIN(E277,G277,I277)</f>
        <v>112</v>
      </c>
      <c r="L277" s="9" t="str">
        <f aca="false">IF(E277=K277,"5000m",IF(G277=K277,"3000mSC","1500m"))</f>
        <v>1500m</v>
      </c>
      <c r="M277" s="14" t="n">
        <f aca="false">(D277&lt;&gt;"")*(D277&lt;=($E$3*60+$F$3)/86400)+(F277&lt;&gt;"")*(F277&lt;=($I$3*60+$J$3)/86400)+(H277&lt;&gt;"")*(H277&lt;=($M$3*60+$N$3)/86400)</f>
        <v>0</v>
      </c>
      <c r="N277" s="16"/>
      <c r="O277" s="15"/>
    </row>
    <row r="278" customFormat="false" ht="15" hidden="false" customHeight="false" outlineLevel="0" collapsed="false">
      <c r="A278" s="9" t="n">
        <v>272</v>
      </c>
      <c r="B278" s="10" t="s">
        <v>442</v>
      </c>
      <c r="C278" s="10" t="s">
        <v>443</v>
      </c>
      <c r="D278" s="11" t="n">
        <v>0.0103003472222222</v>
      </c>
      <c r="E278" s="12" t="n">
        <v>161</v>
      </c>
      <c r="F278" s="11" t="n">
        <v>0.0070880787037037</v>
      </c>
      <c r="G278" s="12" t="n">
        <v>437</v>
      </c>
      <c r="H278" s="11" t="n">
        <v>0.00275381944444445</v>
      </c>
      <c r="I278" s="12" t="n">
        <v>113</v>
      </c>
      <c r="J278" s="12" t="n">
        <f aca="false">COUNT(E278,G278,I278)</f>
        <v>3</v>
      </c>
      <c r="K278" s="13" t="n">
        <f aca="false">MIN(E278,G278,I278)</f>
        <v>113</v>
      </c>
      <c r="L278" s="9" t="str">
        <f aca="false">IF(E278=K278,"5000m",IF(G278=K278,"3000mSC","1500m"))</f>
        <v>1500m</v>
      </c>
      <c r="M278" s="14" t="n">
        <f aca="false">(D278&lt;&gt;"")*(D278&lt;=($E$3*60+$F$3)/86400)+(F278&lt;&gt;"")*(F278&lt;=($I$3*60+$J$3)/86400)+(H278&lt;&gt;"")*(H278&lt;=($M$3*60+$N$3)/86400)</f>
        <v>0</v>
      </c>
      <c r="N278" s="16"/>
      <c r="O278" s="15"/>
    </row>
    <row r="279" customFormat="false" ht="25.35" hidden="false" customHeight="false" outlineLevel="0" collapsed="false">
      <c r="A279" s="9" t="n">
        <v>273</v>
      </c>
      <c r="B279" s="10" t="s">
        <v>444</v>
      </c>
      <c r="C279" s="10" t="s">
        <v>445</v>
      </c>
      <c r="D279" s="11" t="n">
        <v>0.010703587962963</v>
      </c>
      <c r="E279" s="12" t="n">
        <v>589</v>
      </c>
      <c r="F279" s="11" t="n">
        <v>0.00671666666666667</v>
      </c>
      <c r="G279" s="12" t="n">
        <v>113</v>
      </c>
      <c r="H279" s="11"/>
      <c r="I279" s="12"/>
      <c r="J279" s="12" t="n">
        <f aca="false">COUNT(E279,G279,I279)</f>
        <v>2</v>
      </c>
      <c r="K279" s="13" t="n">
        <f aca="false">MIN(E279,G279,I279)</f>
        <v>113</v>
      </c>
      <c r="L279" s="9" t="str">
        <f aca="false">IF(E279=K279,"5000m",IF(G279=K279,"3000mSC","1500m"))</f>
        <v>3000mSC</v>
      </c>
      <c r="M279" s="14" t="n">
        <f aca="false">(D279&lt;&gt;"")*(D279&lt;=($E$3*60+$F$3)/86400)+(F279&lt;&gt;"")*(F279&lt;=($I$3*60+$J$3)/86400)+(H279&lt;&gt;"")*(H279&lt;=($M$3*60+$N$3)/86400)</f>
        <v>0</v>
      </c>
      <c r="N279" s="16"/>
      <c r="O279" s="15"/>
    </row>
    <row r="280" customFormat="false" ht="15" hidden="false" customHeight="false" outlineLevel="0" collapsed="false">
      <c r="A280" s="9" t="n">
        <v>274</v>
      </c>
      <c r="B280" s="10" t="s">
        <v>446</v>
      </c>
      <c r="C280" s="10" t="s">
        <v>29</v>
      </c>
      <c r="D280" s="11" t="n">
        <v>0.010234837962963</v>
      </c>
      <c r="E280" s="12" t="n">
        <v>113</v>
      </c>
      <c r="F280" s="11"/>
      <c r="G280" s="12"/>
      <c r="H280" s="11"/>
      <c r="I280" s="12"/>
      <c r="J280" s="12" t="n">
        <f aca="false">COUNT(E280,G280,I280)</f>
        <v>1</v>
      </c>
      <c r="K280" s="13" t="n">
        <f aca="false">MIN(E280,G280,I280)</f>
        <v>113</v>
      </c>
      <c r="L280" s="9" t="str">
        <f aca="false">IF(E280=K280,"5000m",IF(G280=K280,"3000mSC","1500m"))</f>
        <v>5000m</v>
      </c>
      <c r="M280" s="14" t="n">
        <f aca="false">(D280&lt;&gt;"")*(D280&lt;=($E$3*60+$F$3)/86400)+(F280&lt;&gt;"")*(F280&lt;=($I$3*60+$J$3)/86400)+(H280&lt;&gt;"")*(H280&lt;=($M$3*60+$N$3)/86400)</f>
        <v>0</v>
      </c>
      <c r="N280" s="16"/>
      <c r="O280" s="15"/>
    </row>
    <row r="281" customFormat="false" ht="15" hidden="false" customHeight="false" outlineLevel="0" collapsed="false">
      <c r="A281" s="9" t="n">
        <v>275</v>
      </c>
      <c r="B281" s="10" t="s">
        <v>447</v>
      </c>
      <c r="C281" s="10" t="s">
        <v>279</v>
      </c>
      <c r="D281" s="11" t="n">
        <v>0.0109527777777778</v>
      </c>
      <c r="E281" s="12" t="n">
        <v>1006</v>
      </c>
      <c r="F281" s="11"/>
      <c r="G281" s="12"/>
      <c r="H281" s="11" t="n">
        <v>0.00275393518518519</v>
      </c>
      <c r="I281" s="12" t="n">
        <v>114</v>
      </c>
      <c r="J281" s="12" t="n">
        <f aca="false">COUNT(E281,G281,I281)</f>
        <v>2</v>
      </c>
      <c r="K281" s="13" t="n">
        <f aca="false">MIN(E281,G281,I281)</f>
        <v>114</v>
      </c>
      <c r="L281" s="9" t="str">
        <f aca="false">IF(E281=K281,"5000m",IF(G281=K281,"3000mSC","1500m"))</f>
        <v>1500m</v>
      </c>
      <c r="M281" s="14" t="n">
        <f aca="false">(D281&lt;&gt;"")*(D281&lt;=($E$3*60+$F$3)/86400)+(F281&lt;&gt;"")*(F281&lt;=($I$3*60+$J$3)/86400)+(H281&lt;&gt;"")*(H281&lt;=($M$3*60+$N$3)/86400)</f>
        <v>0</v>
      </c>
      <c r="N281" s="16"/>
      <c r="O281" s="15"/>
    </row>
    <row r="282" customFormat="false" ht="25.35" hidden="false" customHeight="false" outlineLevel="0" collapsed="false">
      <c r="A282" s="9" t="n">
        <v>276</v>
      </c>
      <c r="B282" s="10" t="s">
        <v>448</v>
      </c>
      <c r="C282" s="10" t="s">
        <v>449</v>
      </c>
      <c r="D282" s="11" t="n">
        <v>0.0109608796296296</v>
      </c>
      <c r="E282" s="12" t="n">
        <v>1021</v>
      </c>
      <c r="F282" s="11" t="n">
        <v>0.00672141203703704</v>
      </c>
      <c r="G282" s="12" t="n">
        <v>114</v>
      </c>
      <c r="H282" s="11"/>
      <c r="I282" s="12"/>
      <c r="J282" s="12" t="n">
        <f aca="false">COUNT(E282,G282,I282)</f>
        <v>2</v>
      </c>
      <c r="K282" s="13" t="n">
        <f aca="false">MIN(E282,G282,I282)</f>
        <v>114</v>
      </c>
      <c r="L282" s="9" t="str">
        <f aca="false">IF(E282=K282,"5000m",IF(G282=K282,"3000mSC","1500m"))</f>
        <v>3000mSC</v>
      </c>
      <c r="M282" s="14" t="n">
        <f aca="false">(D282&lt;&gt;"")*(D282&lt;=($E$3*60+$F$3)/86400)+(F282&lt;&gt;"")*(F282&lt;=($I$3*60+$J$3)/86400)+(H282&lt;&gt;"")*(H282&lt;=($M$3*60+$N$3)/86400)</f>
        <v>0</v>
      </c>
      <c r="N282" s="16"/>
      <c r="O282" s="15"/>
    </row>
    <row r="283" customFormat="false" ht="15" hidden="false" customHeight="false" outlineLevel="0" collapsed="false">
      <c r="A283" s="9" t="n">
        <v>277</v>
      </c>
      <c r="B283" s="10" t="s">
        <v>450</v>
      </c>
      <c r="C283" s="10" t="s">
        <v>109</v>
      </c>
      <c r="D283" s="11" t="n">
        <v>0.0105856481481482</v>
      </c>
      <c r="E283" s="12" t="n">
        <v>447</v>
      </c>
      <c r="F283" s="11" t="n">
        <v>0.00672800925925926</v>
      </c>
      <c r="G283" s="12" t="n">
        <v>118</v>
      </c>
      <c r="H283" s="11" t="n">
        <v>0.00275428240740741</v>
      </c>
      <c r="I283" s="12" t="n">
        <v>115</v>
      </c>
      <c r="J283" s="12" t="n">
        <f aca="false">COUNT(E283,G283,I283)</f>
        <v>3</v>
      </c>
      <c r="K283" s="13" t="n">
        <f aca="false">MIN(E283,G283,I283)</f>
        <v>115</v>
      </c>
      <c r="L283" s="9" t="str">
        <f aca="false">IF(E283=K283,"5000m",IF(G283=K283,"3000mSC","1500m"))</f>
        <v>1500m</v>
      </c>
      <c r="M283" s="14" t="n">
        <f aca="false">(D283&lt;&gt;"")*(D283&lt;=($E$3*60+$F$3)/86400)+(F283&lt;&gt;"")*(F283&lt;=($I$3*60+$J$3)/86400)+(H283&lt;&gt;"")*(H283&lt;=($M$3*60+$N$3)/86400)</f>
        <v>0</v>
      </c>
      <c r="N283" s="16"/>
      <c r="O283" s="15"/>
    </row>
    <row r="284" customFormat="false" ht="25.35" hidden="false" customHeight="false" outlineLevel="0" collapsed="false">
      <c r="A284" s="9" t="n">
        <v>278</v>
      </c>
      <c r="B284" s="10" t="s">
        <v>451</v>
      </c>
      <c r="C284" s="10" t="s">
        <v>237</v>
      </c>
      <c r="D284" s="11" t="n">
        <v>0.010559375</v>
      </c>
      <c r="E284" s="12" t="n">
        <v>408</v>
      </c>
      <c r="F284" s="11" t="n">
        <v>0.006721875</v>
      </c>
      <c r="G284" s="12" t="n">
        <v>115</v>
      </c>
      <c r="H284" s="11" t="n">
        <v>0.00281990740740741</v>
      </c>
      <c r="I284" s="12" t="n">
        <v>362</v>
      </c>
      <c r="J284" s="12" t="n">
        <f aca="false">COUNT(E284,G284,I284)</f>
        <v>3</v>
      </c>
      <c r="K284" s="13" t="n">
        <f aca="false">MIN(E284,G284,I284)</f>
        <v>115</v>
      </c>
      <c r="L284" s="9" t="str">
        <f aca="false">IF(E284=K284,"5000m",IF(G284=K284,"3000mSC","1500m"))</f>
        <v>3000mSC</v>
      </c>
      <c r="M284" s="14" t="n">
        <f aca="false">(D284&lt;&gt;"")*(D284&lt;=($E$3*60+$F$3)/86400)+(F284&lt;&gt;"")*(F284&lt;=($I$3*60+$J$3)/86400)+(H284&lt;&gt;"")*(H284&lt;=($M$3*60+$N$3)/86400)</f>
        <v>0</v>
      </c>
      <c r="N284" s="16"/>
      <c r="O284" s="15"/>
    </row>
    <row r="285" customFormat="false" ht="15" hidden="false" customHeight="false" outlineLevel="0" collapsed="false">
      <c r="A285" s="9" t="n">
        <v>279</v>
      </c>
      <c r="B285" s="10" t="s">
        <v>452</v>
      </c>
      <c r="C285" s="10" t="s">
        <v>79</v>
      </c>
      <c r="D285" s="11" t="n">
        <v>0.0102358796296296</v>
      </c>
      <c r="E285" s="12" t="n">
        <v>115</v>
      </c>
      <c r="F285" s="11"/>
      <c r="G285" s="12"/>
      <c r="H285" s="11" t="n">
        <v>0.0029318287037037</v>
      </c>
      <c r="I285" s="12" t="n">
        <v>1177</v>
      </c>
      <c r="J285" s="12" t="n">
        <f aca="false">COUNT(E285,G285,I285)</f>
        <v>2</v>
      </c>
      <c r="K285" s="13" t="n">
        <f aca="false">MIN(E285,G285,I285)</f>
        <v>115</v>
      </c>
      <c r="L285" s="9" t="str">
        <f aca="false">IF(E285=K285,"5000m",IF(G285=K285,"3000mSC","1500m"))</f>
        <v>5000m</v>
      </c>
      <c r="M285" s="14" t="n">
        <f aca="false">(D285&lt;&gt;"")*(D285&lt;=($E$3*60+$F$3)/86400)+(F285&lt;&gt;"")*(F285&lt;=($I$3*60+$J$3)/86400)+(H285&lt;&gt;"")*(H285&lt;=($M$3*60+$N$3)/86400)</f>
        <v>0</v>
      </c>
      <c r="N285" s="16"/>
      <c r="O285" s="15"/>
    </row>
    <row r="286" customFormat="false" ht="25.35" hidden="false" customHeight="false" outlineLevel="0" collapsed="false">
      <c r="A286" s="9" t="n">
        <v>280</v>
      </c>
      <c r="B286" s="10" t="s">
        <v>453</v>
      </c>
      <c r="C286" s="10" t="s">
        <v>307</v>
      </c>
      <c r="D286" s="11" t="n">
        <v>0.010816087962963</v>
      </c>
      <c r="E286" s="12" t="n">
        <v>771</v>
      </c>
      <c r="F286" s="11" t="n">
        <v>0.00672430555555556</v>
      </c>
      <c r="G286" s="12" t="n">
        <v>116</v>
      </c>
      <c r="H286" s="11"/>
      <c r="I286" s="12"/>
      <c r="J286" s="12" t="n">
        <f aca="false">COUNT(E286,G286,I286)</f>
        <v>2</v>
      </c>
      <c r="K286" s="13" t="n">
        <f aca="false">MIN(E286,G286,I286)</f>
        <v>116</v>
      </c>
      <c r="L286" s="9" t="str">
        <f aca="false">IF(E286=K286,"5000m",IF(G286=K286,"3000mSC","1500m"))</f>
        <v>3000mSC</v>
      </c>
      <c r="M286" s="14" t="n">
        <f aca="false">(D286&lt;&gt;"")*(D286&lt;=($E$3*60+$F$3)/86400)+(F286&lt;&gt;"")*(F286&lt;=($I$3*60+$J$3)/86400)+(H286&lt;&gt;"")*(H286&lt;=($M$3*60+$N$3)/86400)</f>
        <v>0</v>
      </c>
      <c r="N286" s="16"/>
      <c r="O286" s="15"/>
    </row>
    <row r="287" customFormat="false" ht="15" hidden="false" customHeight="false" outlineLevel="0" collapsed="false">
      <c r="A287" s="9" t="n">
        <v>281</v>
      </c>
      <c r="B287" s="10" t="s">
        <v>454</v>
      </c>
      <c r="C287" s="10" t="s">
        <v>213</v>
      </c>
      <c r="D287" s="11" t="n">
        <v>0.0102368055555556</v>
      </c>
      <c r="E287" s="12" t="n">
        <v>116</v>
      </c>
      <c r="F287" s="11"/>
      <c r="G287" s="12"/>
      <c r="H287" s="11"/>
      <c r="I287" s="12"/>
      <c r="J287" s="12" t="n">
        <f aca="false">COUNT(E287,G287,I287)</f>
        <v>1</v>
      </c>
      <c r="K287" s="13" t="n">
        <f aca="false">MIN(E287,G287,I287)</f>
        <v>116</v>
      </c>
      <c r="L287" s="9" t="str">
        <f aca="false">IF(E287=K287,"5000m",IF(G287=K287,"3000mSC","1500m"))</f>
        <v>5000m</v>
      </c>
      <c r="M287" s="14" t="n">
        <f aca="false">(D287&lt;&gt;"")*(D287&lt;=($E$3*60+$F$3)/86400)+(F287&lt;&gt;"")*(F287&lt;=($I$3*60+$J$3)/86400)+(H287&lt;&gt;"")*(H287&lt;=($M$3*60+$N$3)/86400)</f>
        <v>0</v>
      </c>
      <c r="N287" s="16"/>
      <c r="O287" s="15"/>
    </row>
    <row r="288" customFormat="false" ht="15" hidden="false" customHeight="false" outlineLevel="0" collapsed="false">
      <c r="A288" s="9" t="n">
        <v>282</v>
      </c>
      <c r="B288" s="10" t="s">
        <v>455</v>
      </c>
      <c r="C288" s="10" t="s">
        <v>69</v>
      </c>
      <c r="D288" s="11"/>
      <c r="E288" s="12"/>
      <c r="F288" s="11"/>
      <c r="G288" s="12"/>
      <c r="H288" s="11" t="n">
        <v>0.00275439814814815</v>
      </c>
      <c r="I288" s="12" t="n">
        <v>116</v>
      </c>
      <c r="J288" s="12" t="n">
        <f aca="false">COUNT(E288,G288,I288)</f>
        <v>1</v>
      </c>
      <c r="K288" s="13" t="n">
        <f aca="false">MIN(E288,G288,I288)</f>
        <v>116</v>
      </c>
      <c r="L288" s="9" t="str">
        <f aca="false">IF(E288=K288,"5000m",IF(G288=K288,"3000mSC","1500m"))</f>
        <v>1500m</v>
      </c>
      <c r="M288" s="14" t="n">
        <f aca="false">(D288&lt;&gt;"")*(D288&lt;=($E$3*60+$F$3)/86400)+(F288&lt;&gt;"")*(F288&lt;=($I$3*60+$J$3)/86400)+(H288&lt;&gt;"")*(H288&lt;=($M$3*60+$N$3)/86400)</f>
        <v>0</v>
      </c>
      <c r="N288" s="16"/>
      <c r="O288" s="15"/>
    </row>
    <row r="289" customFormat="false" ht="25.35" hidden="false" customHeight="false" outlineLevel="0" collapsed="false">
      <c r="A289" s="9" t="n">
        <v>283</v>
      </c>
      <c r="B289" s="10" t="s">
        <v>456</v>
      </c>
      <c r="C289" s="10" t="s">
        <v>457</v>
      </c>
      <c r="D289" s="11"/>
      <c r="E289" s="12"/>
      <c r="F289" s="11" t="n">
        <v>0.00672592592592593</v>
      </c>
      <c r="G289" s="12" t="n">
        <v>117</v>
      </c>
      <c r="H289" s="11" t="n">
        <v>0.00285335648148148</v>
      </c>
      <c r="I289" s="12" t="n">
        <v>587</v>
      </c>
      <c r="J289" s="12" t="n">
        <f aca="false">COUNT(E289,G289,I289)</f>
        <v>2</v>
      </c>
      <c r="K289" s="13" t="n">
        <f aca="false">MIN(E289,G289,I289)</f>
        <v>117</v>
      </c>
      <c r="L289" s="9" t="str">
        <f aca="false">IF(E289=K289,"5000m",IF(G289=K289,"3000mSC","1500m"))</f>
        <v>3000mSC</v>
      </c>
      <c r="M289" s="14" t="n">
        <f aca="false">(D289&lt;&gt;"")*(D289&lt;=($E$3*60+$F$3)/86400)+(F289&lt;&gt;"")*(F289&lt;=($I$3*60+$J$3)/86400)+(H289&lt;&gt;"")*(H289&lt;=($M$3*60+$N$3)/86400)</f>
        <v>0</v>
      </c>
      <c r="N289" s="16"/>
      <c r="O289" s="15"/>
    </row>
    <row r="290" customFormat="false" ht="15" hidden="false" customHeight="false" outlineLevel="0" collapsed="false">
      <c r="A290" s="9" t="n">
        <v>284</v>
      </c>
      <c r="B290" s="10" t="s">
        <v>458</v>
      </c>
      <c r="C290" s="10" t="s">
        <v>229</v>
      </c>
      <c r="D290" s="11" t="n">
        <v>0.0102376157407407</v>
      </c>
      <c r="E290" s="12" t="n">
        <v>117</v>
      </c>
      <c r="F290" s="11"/>
      <c r="G290" s="12"/>
      <c r="H290" s="11" t="n">
        <v>0.00285590277777778</v>
      </c>
      <c r="I290" s="12" t="n">
        <v>605</v>
      </c>
      <c r="J290" s="12" t="n">
        <f aca="false">COUNT(E290,G290,I290)</f>
        <v>2</v>
      </c>
      <c r="K290" s="13" t="n">
        <f aca="false">MIN(E290,G290,I290)</f>
        <v>117</v>
      </c>
      <c r="L290" s="9" t="str">
        <f aca="false">IF(E290=K290,"5000m",IF(G290=K290,"3000mSC","1500m"))</f>
        <v>5000m</v>
      </c>
      <c r="M290" s="14" t="n">
        <f aca="false">(D290&lt;&gt;"")*(D290&lt;=($E$3*60+$F$3)/86400)+(F290&lt;&gt;"")*(F290&lt;=($I$3*60+$J$3)/86400)+(H290&lt;&gt;"")*(H290&lt;=($M$3*60+$N$3)/86400)</f>
        <v>0</v>
      </c>
      <c r="N290" s="16"/>
      <c r="O290" s="15"/>
    </row>
    <row r="291" customFormat="false" ht="15" hidden="false" customHeight="false" outlineLevel="0" collapsed="false">
      <c r="A291" s="9" t="n">
        <v>285</v>
      </c>
      <c r="B291" s="10" t="s">
        <v>459</v>
      </c>
      <c r="C291" s="10" t="s">
        <v>460</v>
      </c>
      <c r="D291" s="11" t="n">
        <v>0.0111229166666667</v>
      </c>
      <c r="E291" s="12" t="n">
        <v>1291</v>
      </c>
      <c r="F291" s="11"/>
      <c r="G291" s="12"/>
      <c r="H291" s="11" t="n">
        <v>0.00275451388888889</v>
      </c>
      <c r="I291" s="12" t="n">
        <v>117</v>
      </c>
      <c r="J291" s="12" t="n">
        <f aca="false">COUNT(E291,G291,I291)</f>
        <v>2</v>
      </c>
      <c r="K291" s="13" t="n">
        <f aca="false">MIN(E291,G291,I291)</f>
        <v>117</v>
      </c>
      <c r="L291" s="9" t="str">
        <f aca="false">IF(E291=K291,"5000m",IF(G291=K291,"3000mSC","1500m"))</f>
        <v>1500m</v>
      </c>
      <c r="M291" s="14" t="n">
        <f aca="false">(D291&lt;&gt;"")*(D291&lt;=($E$3*60+$F$3)/86400)+(F291&lt;&gt;"")*(F291&lt;=($I$3*60+$J$3)/86400)+(H291&lt;&gt;"")*(H291&lt;=($M$3*60+$N$3)/86400)</f>
        <v>0</v>
      </c>
      <c r="N291" s="16"/>
      <c r="O291" s="15"/>
    </row>
    <row r="292" customFormat="false" ht="15" hidden="false" customHeight="false" outlineLevel="0" collapsed="false">
      <c r="A292" s="9" t="n">
        <v>286</v>
      </c>
      <c r="B292" s="10" t="s">
        <v>461</v>
      </c>
      <c r="C292" s="10" t="s">
        <v>462</v>
      </c>
      <c r="D292" s="11" t="n">
        <v>0.0102384259259259</v>
      </c>
      <c r="E292" s="12" t="n">
        <v>118</v>
      </c>
      <c r="F292" s="11"/>
      <c r="G292" s="12"/>
      <c r="H292" s="11" t="n">
        <v>0.00276053240740741</v>
      </c>
      <c r="I292" s="12" t="n">
        <v>137</v>
      </c>
      <c r="J292" s="12" t="n">
        <f aca="false">COUNT(E292,G292,I292)</f>
        <v>2</v>
      </c>
      <c r="K292" s="13" t="n">
        <f aca="false">MIN(E292,G292,I292)</f>
        <v>118</v>
      </c>
      <c r="L292" s="9" t="str">
        <f aca="false">IF(E292=K292,"5000m",IF(G292=K292,"3000mSC","1500m"))</f>
        <v>5000m</v>
      </c>
      <c r="M292" s="14" t="n">
        <f aca="false">(D292&lt;&gt;"")*(D292&lt;=($E$3*60+$F$3)/86400)+(F292&lt;&gt;"")*(F292&lt;=($I$3*60+$J$3)/86400)+(H292&lt;&gt;"")*(H292&lt;=($M$3*60+$N$3)/86400)</f>
        <v>0</v>
      </c>
      <c r="N292" s="16"/>
      <c r="O292" s="15"/>
    </row>
    <row r="293" customFormat="false" ht="15" hidden="false" customHeight="false" outlineLevel="0" collapsed="false">
      <c r="A293" s="9" t="n">
        <v>287</v>
      </c>
      <c r="B293" s="10" t="s">
        <v>463</v>
      </c>
      <c r="C293" s="10" t="s">
        <v>215</v>
      </c>
      <c r="D293" s="11" t="n">
        <v>0.0102777777777778</v>
      </c>
      <c r="E293" s="12" t="n">
        <v>145</v>
      </c>
      <c r="F293" s="11"/>
      <c r="G293" s="12"/>
      <c r="H293" s="11" t="n">
        <v>0.00275451388888889</v>
      </c>
      <c r="I293" s="12" t="n">
        <v>118</v>
      </c>
      <c r="J293" s="12" t="n">
        <f aca="false">COUNT(E293,G293,I293)</f>
        <v>2</v>
      </c>
      <c r="K293" s="13" t="n">
        <f aca="false">MIN(E293,G293,I293)</f>
        <v>118</v>
      </c>
      <c r="L293" s="9" t="str">
        <f aca="false">IF(E293=K293,"5000m",IF(G293=K293,"3000mSC","1500m"))</f>
        <v>1500m</v>
      </c>
      <c r="M293" s="14" t="n">
        <f aca="false">(D293&lt;&gt;"")*(D293&lt;=($E$3*60+$F$3)/86400)+(F293&lt;&gt;"")*(F293&lt;=($I$3*60+$J$3)/86400)+(H293&lt;&gt;"")*(H293&lt;=($M$3*60+$N$3)/86400)</f>
        <v>0</v>
      </c>
      <c r="N293" s="16"/>
      <c r="O293" s="15"/>
    </row>
    <row r="294" customFormat="false" ht="25.35" hidden="false" customHeight="false" outlineLevel="0" collapsed="false">
      <c r="A294" s="9" t="n">
        <v>288</v>
      </c>
      <c r="B294" s="10" t="s">
        <v>464</v>
      </c>
      <c r="C294" s="10" t="s">
        <v>465</v>
      </c>
      <c r="D294" s="11" t="n">
        <v>0.0104655092592593</v>
      </c>
      <c r="E294" s="12" t="n">
        <v>316</v>
      </c>
      <c r="F294" s="11" t="n">
        <v>0.00672824074074074</v>
      </c>
      <c r="G294" s="12" t="n">
        <v>119</v>
      </c>
      <c r="H294" s="11" t="n">
        <v>0.00280833333333333</v>
      </c>
      <c r="I294" s="12" t="n">
        <v>318</v>
      </c>
      <c r="J294" s="12" t="n">
        <f aca="false">COUNT(E294,G294,I294)</f>
        <v>3</v>
      </c>
      <c r="K294" s="13" t="n">
        <f aca="false">MIN(E294,G294,I294)</f>
        <v>119</v>
      </c>
      <c r="L294" s="9" t="str">
        <f aca="false">IF(E294=K294,"5000m",IF(G294=K294,"3000mSC","1500m"))</f>
        <v>3000mSC</v>
      </c>
      <c r="M294" s="14" t="n">
        <f aca="false">(D294&lt;&gt;"")*(D294&lt;=($E$3*60+$F$3)/86400)+(F294&lt;&gt;"")*(F294&lt;=($I$3*60+$J$3)/86400)+(H294&lt;&gt;"")*(H294&lt;=($M$3*60+$N$3)/86400)</f>
        <v>0</v>
      </c>
      <c r="N294" s="16"/>
      <c r="O294" s="15"/>
    </row>
    <row r="295" customFormat="false" ht="15" hidden="false" customHeight="false" outlineLevel="0" collapsed="false">
      <c r="A295" s="9" t="n">
        <v>289</v>
      </c>
      <c r="B295" s="10" t="s">
        <v>466</v>
      </c>
      <c r="C295" s="10" t="s">
        <v>467</v>
      </c>
      <c r="D295" s="11" t="n">
        <v>0.0102386574074074</v>
      </c>
      <c r="E295" s="12" t="n">
        <v>119</v>
      </c>
      <c r="F295" s="11"/>
      <c r="G295" s="12"/>
      <c r="H295" s="11" t="n">
        <v>0.00282083333333333</v>
      </c>
      <c r="I295" s="12" t="n">
        <v>368</v>
      </c>
      <c r="J295" s="12" t="n">
        <f aca="false">COUNT(E295,G295,I295)</f>
        <v>2</v>
      </c>
      <c r="K295" s="13" t="n">
        <f aca="false">MIN(E295,G295,I295)</f>
        <v>119</v>
      </c>
      <c r="L295" s="9" t="str">
        <f aca="false">IF(E295=K295,"5000m",IF(G295=K295,"3000mSC","1500m"))</f>
        <v>5000m</v>
      </c>
      <c r="M295" s="14" t="n">
        <f aca="false">(D295&lt;&gt;"")*(D295&lt;=($E$3*60+$F$3)/86400)+(F295&lt;&gt;"")*(F295&lt;=($I$3*60+$J$3)/86400)+(H295&lt;&gt;"")*(H295&lt;=($M$3*60+$N$3)/86400)</f>
        <v>0</v>
      </c>
      <c r="N295" s="10" t="s">
        <v>468</v>
      </c>
      <c r="O295" s="15"/>
    </row>
    <row r="296" customFormat="false" ht="25.35" hidden="false" customHeight="false" outlineLevel="0" collapsed="false">
      <c r="A296" s="9" t="n">
        <v>290</v>
      </c>
      <c r="B296" s="10" t="s">
        <v>469</v>
      </c>
      <c r="C296" s="10" t="s">
        <v>166</v>
      </c>
      <c r="D296" s="11" t="n">
        <v>0.0107994212962963</v>
      </c>
      <c r="E296" s="12" t="n">
        <v>739</v>
      </c>
      <c r="F296" s="11" t="n">
        <v>0.00673020833333333</v>
      </c>
      <c r="G296" s="12" t="n">
        <v>120</v>
      </c>
      <c r="H296" s="11" t="n">
        <v>0.00282962962962963</v>
      </c>
      <c r="I296" s="12" t="n">
        <v>424</v>
      </c>
      <c r="J296" s="12" t="n">
        <f aca="false">COUNT(E296,G296,I296)</f>
        <v>3</v>
      </c>
      <c r="K296" s="13" t="n">
        <f aca="false">MIN(E296,G296,I296)</f>
        <v>120</v>
      </c>
      <c r="L296" s="9" t="str">
        <f aca="false">IF(E296=K296,"5000m",IF(G296=K296,"3000mSC","1500m"))</f>
        <v>3000mSC</v>
      </c>
      <c r="M296" s="14" t="n">
        <f aca="false">(D296&lt;&gt;"")*(D296&lt;=($E$3*60+$F$3)/86400)+(F296&lt;&gt;"")*(F296&lt;=($I$3*60+$J$3)/86400)+(H296&lt;&gt;"")*(H296&lt;=($M$3*60+$N$3)/86400)</f>
        <v>0</v>
      </c>
      <c r="N296" s="16"/>
      <c r="O296" s="15"/>
    </row>
    <row r="297" customFormat="false" ht="15" hidden="false" customHeight="false" outlineLevel="0" collapsed="false">
      <c r="A297" s="9" t="n">
        <v>291</v>
      </c>
      <c r="B297" s="10" t="s">
        <v>470</v>
      </c>
      <c r="C297" s="10" t="s">
        <v>471</v>
      </c>
      <c r="D297" s="11" t="n">
        <v>0.0102403935185185</v>
      </c>
      <c r="E297" s="12" t="n">
        <v>120</v>
      </c>
      <c r="F297" s="11"/>
      <c r="G297" s="12"/>
      <c r="H297" s="11" t="n">
        <v>0.00279675925925926</v>
      </c>
      <c r="I297" s="12" t="n">
        <v>268</v>
      </c>
      <c r="J297" s="12" t="n">
        <f aca="false">COUNT(E297,G297,I297)</f>
        <v>2</v>
      </c>
      <c r="K297" s="13" t="n">
        <f aca="false">MIN(E297,G297,I297)</f>
        <v>120</v>
      </c>
      <c r="L297" s="9" t="str">
        <f aca="false">IF(E297=K297,"5000m",IF(G297=K297,"3000mSC","1500m"))</f>
        <v>5000m</v>
      </c>
      <c r="M297" s="14" t="n">
        <f aca="false">(D297&lt;&gt;"")*(D297&lt;=($E$3*60+$F$3)/86400)+(F297&lt;&gt;"")*(F297&lt;=($I$3*60+$J$3)/86400)+(H297&lt;&gt;"")*(H297&lt;=($M$3*60+$N$3)/86400)</f>
        <v>0</v>
      </c>
      <c r="N297" s="16"/>
      <c r="O297" s="15"/>
    </row>
    <row r="298" customFormat="false" ht="15" hidden="false" customHeight="false" outlineLevel="0" collapsed="false">
      <c r="A298" s="9" t="n">
        <v>292</v>
      </c>
      <c r="B298" s="10" t="s">
        <v>472</v>
      </c>
      <c r="C298" s="10" t="s">
        <v>473</v>
      </c>
      <c r="D298" s="11" t="n">
        <v>0.0102405092592593</v>
      </c>
      <c r="E298" s="12" t="n">
        <v>121</v>
      </c>
      <c r="F298" s="11"/>
      <c r="G298" s="12"/>
      <c r="H298" s="11" t="n">
        <v>0.00284490740740741</v>
      </c>
      <c r="I298" s="12" t="n">
        <v>535</v>
      </c>
      <c r="J298" s="12" t="n">
        <f aca="false">COUNT(E298,G298,I298)</f>
        <v>2</v>
      </c>
      <c r="K298" s="13" t="n">
        <f aca="false">MIN(E298,G298,I298)</f>
        <v>121</v>
      </c>
      <c r="L298" s="9" t="str">
        <f aca="false">IF(E298=K298,"5000m",IF(G298=K298,"3000mSC","1500m"))</f>
        <v>5000m</v>
      </c>
      <c r="M298" s="14" t="n">
        <f aca="false">(D298&lt;&gt;"")*(D298&lt;=($E$3*60+$F$3)/86400)+(F298&lt;&gt;"")*(F298&lt;=($I$3*60+$J$3)/86400)+(H298&lt;&gt;"")*(H298&lt;=($M$3*60+$N$3)/86400)</f>
        <v>0</v>
      </c>
      <c r="N298" s="16"/>
      <c r="O298" s="15"/>
    </row>
    <row r="299" customFormat="false" ht="25.35" hidden="false" customHeight="false" outlineLevel="0" collapsed="false">
      <c r="A299" s="9" t="n">
        <v>293</v>
      </c>
      <c r="B299" s="10" t="s">
        <v>474</v>
      </c>
      <c r="C299" s="10" t="s">
        <v>23</v>
      </c>
      <c r="D299" s="11" t="n">
        <v>0.0107247685185185</v>
      </c>
      <c r="E299" s="12" t="n">
        <v>621</v>
      </c>
      <c r="F299" s="11" t="n">
        <v>0.00673368055555556</v>
      </c>
      <c r="G299" s="12" t="n">
        <v>121</v>
      </c>
      <c r="H299" s="11"/>
      <c r="I299" s="12"/>
      <c r="J299" s="12" t="n">
        <f aca="false">COUNT(E299,G299,I299)</f>
        <v>2</v>
      </c>
      <c r="K299" s="13" t="n">
        <f aca="false">MIN(E299,G299,I299)</f>
        <v>121</v>
      </c>
      <c r="L299" s="9" t="str">
        <f aca="false">IF(E299=K299,"5000m",IF(G299=K299,"3000mSC","1500m"))</f>
        <v>3000mSC</v>
      </c>
      <c r="M299" s="14" t="n">
        <f aca="false">(D299&lt;&gt;"")*(D299&lt;=($E$3*60+$F$3)/86400)+(F299&lt;&gt;"")*(F299&lt;=($I$3*60+$J$3)/86400)+(H299&lt;&gt;"")*(H299&lt;=($M$3*60+$N$3)/86400)</f>
        <v>0</v>
      </c>
      <c r="N299" s="16"/>
      <c r="O299" s="15"/>
    </row>
    <row r="300" customFormat="false" ht="25.35" hidden="false" customHeight="false" outlineLevel="0" collapsed="false">
      <c r="A300" s="9" t="n">
        <v>294</v>
      </c>
      <c r="B300" s="10" t="s">
        <v>475</v>
      </c>
      <c r="C300" s="10" t="s">
        <v>229</v>
      </c>
      <c r="D300" s="11" t="n">
        <v>0.0104005787037037</v>
      </c>
      <c r="E300" s="12" t="n">
        <v>267</v>
      </c>
      <c r="F300" s="11" t="n">
        <v>0.00673564814814815</v>
      </c>
      <c r="G300" s="12" t="n">
        <v>122</v>
      </c>
      <c r="H300" s="11" t="n">
        <v>0.00283460648148148</v>
      </c>
      <c r="I300" s="12" t="n">
        <v>456</v>
      </c>
      <c r="J300" s="12" t="n">
        <f aca="false">COUNT(E300,G300,I300)</f>
        <v>3</v>
      </c>
      <c r="K300" s="13" t="n">
        <f aca="false">MIN(E300,G300,I300)</f>
        <v>122</v>
      </c>
      <c r="L300" s="9" t="str">
        <f aca="false">IF(E300=K300,"5000m",IF(G300=K300,"3000mSC","1500m"))</f>
        <v>3000mSC</v>
      </c>
      <c r="M300" s="14" t="n">
        <f aca="false">(D300&lt;&gt;"")*(D300&lt;=($E$3*60+$F$3)/86400)+(F300&lt;&gt;"")*(F300&lt;=($I$3*60+$J$3)/86400)+(H300&lt;&gt;"")*(H300&lt;=($M$3*60+$N$3)/86400)</f>
        <v>0</v>
      </c>
      <c r="N300" s="16"/>
      <c r="O300" s="15"/>
    </row>
    <row r="301" customFormat="false" ht="15" hidden="false" customHeight="false" outlineLevel="0" collapsed="false">
      <c r="A301" s="9" t="n">
        <v>295</v>
      </c>
      <c r="B301" s="10" t="s">
        <v>476</v>
      </c>
      <c r="C301" s="10" t="s">
        <v>122</v>
      </c>
      <c r="D301" s="11" t="n">
        <v>0.0107158564814815</v>
      </c>
      <c r="E301" s="12" t="n">
        <v>607</v>
      </c>
      <c r="F301" s="11"/>
      <c r="G301" s="12"/>
      <c r="H301" s="11" t="n">
        <v>0.0027556712962963</v>
      </c>
      <c r="I301" s="12" t="n">
        <v>122</v>
      </c>
      <c r="J301" s="12" t="n">
        <f aca="false">COUNT(E301,G301,I301)</f>
        <v>2</v>
      </c>
      <c r="K301" s="13" t="n">
        <f aca="false">MIN(E301,G301,I301)</f>
        <v>122</v>
      </c>
      <c r="L301" s="9" t="str">
        <f aca="false">IF(E301=K301,"5000m",IF(G301=K301,"3000mSC","1500m"))</f>
        <v>1500m</v>
      </c>
      <c r="M301" s="14" t="n">
        <f aca="false">(D301&lt;&gt;"")*(D301&lt;=($E$3*60+$F$3)/86400)+(F301&lt;&gt;"")*(F301&lt;=($I$3*60+$J$3)/86400)+(H301&lt;&gt;"")*(H301&lt;=($M$3*60+$N$3)/86400)</f>
        <v>0</v>
      </c>
      <c r="N301" s="16"/>
      <c r="O301" s="15"/>
    </row>
    <row r="302" customFormat="false" ht="15" hidden="false" customHeight="false" outlineLevel="0" collapsed="false">
      <c r="A302" s="9" t="n">
        <v>296</v>
      </c>
      <c r="B302" s="10" t="s">
        <v>477</v>
      </c>
      <c r="C302" s="10" t="s">
        <v>29</v>
      </c>
      <c r="D302" s="11" t="n">
        <v>0.0102427083333333</v>
      </c>
      <c r="E302" s="12" t="n">
        <v>122</v>
      </c>
      <c r="F302" s="11"/>
      <c r="G302" s="12"/>
      <c r="H302" s="11" t="n">
        <v>0.00289537037037037</v>
      </c>
      <c r="I302" s="12" t="n">
        <v>913</v>
      </c>
      <c r="J302" s="12" t="n">
        <f aca="false">COUNT(E302,G302,I302)</f>
        <v>2</v>
      </c>
      <c r="K302" s="13" t="n">
        <f aca="false">MIN(E302,G302,I302)</f>
        <v>122</v>
      </c>
      <c r="L302" s="9" t="str">
        <f aca="false">IF(E302=K302,"5000m",IF(G302=K302,"3000mSC","1500m"))</f>
        <v>5000m</v>
      </c>
      <c r="M302" s="14" t="n">
        <f aca="false">(D302&lt;&gt;"")*(D302&lt;=($E$3*60+$F$3)/86400)+(F302&lt;&gt;"")*(F302&lt;=($I$3*60+$J$3)/86400)+(H302&lt;&gt;"")*(H302&lt;=($M$3*60+$N$3)/86400)</f>
        <v>0</v>
      </c>
      <c r="N302" s="16"/>
      <c r="O302" s="15"/>
    </row>
    <row r="303" customFormat="false" ht="25.35" hidden="false" customHeight="false" outlineLevel="0" collapsed="false">
      <c r="A303" s="9" t="n">
        <v>297</v>
      </c>
      <c r="B303" s="10" t="s">
        <v>478</v>
      </c>
      <c r="C303" s="10" t="s">
        <v>72</v>
      </c>
      <c r="D303" s="11" t="n">
        <v>0.0103144675925926</v>
      </c>
      <c r="E303" s="12" t="n">
        <v>167</v>
      </c>
      <c r="F303" s="11" t="n">
        <v>0.00674305555555556</v>
      </c>
      <c r="G303" s="12" t="n">
        <v>123</v>
      </c>
      <c r="H303" s="11" t="n">
        <v>0.00277951388888889</v>
      </c>
      <c r="I303" s="12" t="n">
        <v>199</v>
      </c>
      <c r="J303" s="12" t="n">
        <f aca="false">COUNT(E303,G303,I303)</f>
        <v>3</v>
      </c>
      <c r="K303" s="13" t="n">
        <f aca="false">MIN(E303,G303,I303)</f>
        <v>123</v>
      </c>
      <c r="L303" s="9" t="str">
        <f aca="false">IF(E303=K303,"5000m",IF(G303=K303,"3000mSC","1500m"))</f>
        <v>3000mSC</v>
      </c>
      <c r="M303" s="14" t="n">
        <f aca="false">(D303&lt;&gt;"")*(D303&lt;=($E$3*60+$F$3)/86400)+(F303&lt;&gt;"")*(F303&lt;=($I$3*60+$J$3)/86400)+(H303&lt;&gt;"")*(H303&lt;=($M$3*60+$N$3)/86400)</f>
        <v>0</v>
      </c>
      <c r="N303" s="16"/>
      <c r="O303" s="15"/>
    </row>
    <row r="304" customFormat="false" ht="15" hidden="false" customHeight="false" outlineLevel="0" collapsed="false">
      <c r="A304" s="9" t="n">
        <v>298</v>
      </c>
      <c r="B304" s="10" t="s">
        <v>479</v>
      </c>
      <c r="C304" s="10" t="s">
        <v>480</v>
      </c>
      <c r="D304" s="11" t="n">
        <v>0.0107768518518519</v>
      </c>
      <c r="E304" s="12" t="n">
        <v>704</v>
      </c>
      <c r="F304" s="11"/>
      <c r="G304" s="12"/>
      <c r="H304" s="11" t="n">
        <v>0.00275601851851852</v>
      </c>
      <c r="I304" s="12" t="n">
        <v>123</v>
      </c>
      <c r="J304" s="12" t="n">
        <f aca="false">COUNT(E304,G304,I304)</f>
        <v>2</v>
      </c>
      <c r="K304" s="13" t="n">
        <f aca="false">MIN(E304,G304,I304)</f>
        <v>123</v>
      </c>
      <c r="L304" s="9" t="str">
        <f aca="false">IF(E304=K304,"5000m",IF(G304=K304,"3000mSC","1500m"))</f>
        <v>1500m</v>
      </c>
      <c r="M304" s="14" t="n">
        <f aca="false">(D304&lt;&gt;"")*(D304&lt;=($E$3*60+$F$3)/86400)+(F304&lt;&gt;"")*(F304&lt;=($I$3*60+$J$3)/86400)+(H304&lt;&gt;"")*(H304&lt;=($M$3*60+$N$3)/86400)</f>
        <v>0</v>
      </c>
      <c r="N304" s="16"/>
      <c r="O304" s="15"/>
    </row>
    <row r="305" customFormat="false" ht="15" hidden="false" customHeight="false" outlineLevel="0" collapsed="false">
      <c r="A305" s="9" t="n">
        <v>299</v>
      </c>
      <c r="B305" s="10" t="s">
        <v>481</v>
      </c>
      <c r="C305" s="10" t="s">
        <v>482</v>
      </c>
      <c r="D305" s="11" t="n">
        <v>0.0102439814814815</v>
      </c>
      <c r="E305" s="12" t="n">
        <v>124</v>
      </c>
      <c r="F305" s="11"/>
      <c r="G305" s="12"/>
      <c r="H305" s="11" t="n">
        <v>0.00282534722222222</v>
      </c>
      <c r="I305" s="12" t="n">
        <v>395</v>
      </c>
      <c r="J305" s="12" t="n">
        <f aca="false">COUNT(E305,G305,I305)</f>
        <v>2</v>
      </c>
      <c r="K305" s="13" t="n">
        <f aca="false">MIN(E305,G305,I305)</f>
        <v>124</v>
      </c>
      <c r="L305" s="9" t="str">
        <f aca="false">IF(E305=K305,"5000m",IF(G305=K305,"3000mSC","1500m"))</f>
        <v>5000m</v>
      </c>
      <c r="M305" s="14" t="n">
        <f aca="false">(D305&lt;&gt;"")*(D305&lt;=($E$3*60+$F$3)/86400)+(F305&lt;&gt;"")*(F305&lt;=($I$3*60+$J$3)/86400)+(H305&lt;&gt;"")*(H305&lt;=($M$3*60+$N$3)/86400)</f>
        <v>0</v>
      </c>
      <c r="N305" s="16"/>
      <c r="O305" s="15"/>
    </row>
    <row r="306" customFormat="false" ht="15" hidden="false" customHeight="false" outlineLevel="0" collapsed="false">
      <c r="A306" s="9" t="n">
        <v>300</v>
      </c>
      <c r="B306" s="10" t="s">
        <v>483</v>
      </c>
      <c r="C306" s="10" t="s">
        <v>484</v>
      </c>
      <c r="D306" s="11" t="n">
        <v>0.010562962962963</v>
      </c>
      <c r="E306" s="12" t="n">
        <v>414</v>
      </c>
      <c r="F306" s="11"/>
      <c r="G306" s="12"/>
      <c r="H306" s="11" t="n">
        <v>0.00275613425925926</v>
      </c>
      <c r="I306" s="12" t="n">
        <v>124</v>
      </c>
      <c r="J306" s="12" t="n">
        <f aca="false">COUNT(E306,G306,I306)</f>
        <v>2</v>
      </c>
      <c r="K306" s="13" t="n">
        <f aca="false">MIN(E306,G306,I306)</f>
        <v>124</v>
      </c>
      <c r="L306" s="9" t="str">
        <f aca="false">IF(E306=K306,"5000m",IF(G306=K306,"3000mSC","1500m"))</f>
        <v>1500m</v>
      </c>
      <c r="M306" s="14" t="n">
        <f aca="false">(D306&lt;&gt;"")*(D306&lt;=($E$3*60+$F$3)/86400)+(F306&lt;&gt;"")*(F306&lt;=($I$3*60+$J$3)/86400)+(H306&lt;&gt;"")*(H306&lt;=($M$3*60+$N$3)/86400)</f>
        <v>0</v>
      </c>
      <c r="N306" s="16"/>
      <c r="O306" s="15"/>
    </row>
    <row r="307" customFormat="false" ht="25.35" hidden="false" customHeight="false" outlineLevel="0" collapsed="false">
      <c r="A307" s="9" t="n">
        <v>301</v>
      </c>
      <c r="B307" s="10" t="s">
        <v>485</v>
      </c>
      <c r="C307" s="10" t="s">
        <v>486</v>
      </c>
      <c r="D307" s="11" t="n">
        <v>0.0107274305555556</v>
      </c>
      <c r="E307" s="12" t="n">
        <v>626</v>
      </c>
      <c r="F307" s="11" t="n">
        <v>0.00674560185185185</v>
      </c>
      <c r="G307" s="12" t="n">
        <v>124</v>
      </c>
      <c r="H307" s="11"/>
      <c r="I307" s="12"/>
      <c r="J307" s="12" t="n">
        <f aca="false">COUNT(E307,G307,I307)</f>
        <v>2</v>
      </c>
      <c r="K307" s="13" t="n">
        <f aca="false">MIN(E307,G307,I307)</f>
        <v>124</v>
      </c>
      <c r="L307" s="9" t="str">
        <f aca="false">IF(E307=K307,"5000m",IF(G307=K307,"3000mSC","1500m"))</f>
        <v>3000mSC</v>
      </c>
      <c r="M307" s="14" t="n">
        <f aca="false">(D307&lt;&gt;"")*(D307&lt;=($E$3*60+$F$3)/86400)+(F307&lt;&gt;"")*(F307&lt;=($I$3*60+$J$3)/86400)+(H307&lt;&gt;"")*(H307&lt;=($M$3*60+$N$3)/86400)</f>
        <v>0</v>
      </c>
      <c r="N307" s="16"/>
      <c r="O307" s="15"/>
    </row>
    <row r="308" customFormat="false" ht="15" hidden="false" customHeight="false" outlineLevel="0" collapsed="false">
      <c r="A308" s="9" t="n">
        <v>302</v>
      </c>
      <c r="B308" s="10" t="s">
        <v>487</v>
      </c>
      <c r="C308" s="10" t="s">
        <v>55</v>
      </c>
      <c r="D308" s="11" t="n">
        <v>0.0102445601851852</v>
      </c>
      <c r="E308" s="12" t="n">
        <v>125</v>
      </c>
      <c r="F308" s="11"/>
      <c r="G308" s="12"/>
      <c r="H308" s="11" t="n">
        <v>0.00285393518518519</v>
      </c>
      <c r="I308" s="12" t="n">
        <v>593</v>
      </c>
      <c r="J308" s="12" t="n">
        <f aca="false">COUNT(E308,G308,I308)</f>
        <v>2</v>
      </c>
      <c r="K308" s="13" t="n">
        <f aca="false">MIN(E308,G308,I308)</f>
        <v>125</v>
      </c>
      <c r="L308" s="9" t="str">
        <f aca="false">IF(E308=K308,"5000m",IF(G308=K308,"3000mSC","1500m"))</f>
        <v>5000m</v>
      </c>
      <c r="M308" s="14" t="n">
        <f aca="false">(D308&lt;&gt;"")*(D308&lt;=($E$3*60+$F$3)/86400)+(F308&lt;&gt;"")*(F308&lt;=($I$3*60+$J$3)/86400)+(H308&lt;&gt;"")*(H308&lt;=($M$3*60+$N$3)/86400)</f>
        <v>0</v>
      </c>
      <c r="N308" s="16"/>
      <c r="O308" s="15"/>
    </row>
    <row r="309" customFormat="false" ht="15" hidden="false" customHeight="false" outlineLevel="0" collapsed="false">
      <c r="A309" s="9" t="n">
        <v>303</v>
      </c>
      <c r="B309" s="10" t="s">
        <v>488</v>
      </c>
      <c r="C309" s="10" t="s">
        <v>175</v>
      </c>
      <c r="D309" s="11" t="n">
        <v>0.0107890046296296</v>
      </c>
      <c r="E309" s="12" t="n">
        <v>719</v>
      </c>
      <c r="F309" s="11"/>
      <c r="G309" s="12"/>
      <c r="H309" s="11" t="n">
        <v>0.00275671296296296</v>
      </c>
      <c r="I309" s="12" t="n">
        <v>125</v>
      </c>
      <c r="J309" s="12" t="n">
        <f aca="false">COUNT(E309,G309,I309)</f>
        <v>2</v>
      </c>
      <c r="K309" s="13" t="n">
        <f aca="false">MIN(E309,G309,I309)</f>
        <v>125</v>
      </c>
      <c r="L309" s="9" t="str">
        <f aca="false">IF(E309=K309,"5000m",IF(G309=K309,"3000mSC","1500m"))</f>
        <v>1500m</v>
      </c>
      <c r="M309" s="14" t="n">
        <f aca="false">(D309&lt;&gt;"")*(D309&lt;=($E$3*60+$F$3)/86400)+(F309&lt;&gt;"")*(F309&lt;=($I$3*60+$J$3)/86400)+(H309&lt;&gt;"")*(H309&lt;=($M$3*60+$N$3)/86400)</f>
        <v>0</v>
      </c>
      <c r="N309" s="16"/>
      <c r="O309" s="15"/>
    </row>
    <row r="310" customFormat="false" ht="25.35" hidden="false" customHeight="false" outlineLevel="0" collapsed="false">
      <c r="A310" s="9" t="n">
        <v>304</v>
      </c>
      <c r="B310" s="10" t="s">
        <v>489</v>
      </c>
      <c r="C310" s="10" t="s">
        <v>490</v>
      </c>
      <c r="D310" s="11"/>
      <c r="E310" s="12"/>
      <c r="F310" s="11" t="n">
        <v>0.00674641203703704</v>
      </c>
      <c r="G310" s="12" t="n">
        <v>125</v>
      </c>
      <c r="H310" s="11" t="n">
        <v>0.00295428240740741</v>
      </c>
      <c r="I310" s="12" t="n">
        <v>1251</v>
      </c>
      <c r="J310" s="12" t="n">
        <f aca="false">COUNT(E310,G310,I310)</f>
        <v>2</v>
      </c>
      <c r="K310" s="13" t="n">
        <f aca="false">MIN(E310,G310,I310)</f>
        <v>125</v>
      </c>
      <c r="L310" s="9" t="str">
        <f aca="false">IF(E310=K310,"5000m",IF(G310=K310,"3000mSC","1500m"))</f>
        <v>3000mSC</v>
      </c>
      <c r="M310" s="14" t="n">
        <f aca="false">(D310&lt;&gt;"")*(D310&lt;=($E$3*60+$F$3)/86400)+(F310&lt;&gt;"")*(F310&lt;=($I$3*60+$J$3)/86400)+(H310&lt;&gt;"")*(H310&lt;=($M$3*60+$N$3)/86400)</f>
        <v>0</v>
      </c>
      <c r="N310" s="16"/>
      <c r="O310" s="15"/>
    </row>
    <row r="311" customFormat="false" ht="25.35" hidden="false" customHeight="false" outlineLevel="0" collapsed="false">
      <c r="A311" s="9" t="n">
        <v>305</v>
      </c>
      <c r="B311" s="10" t="s">
        <v>491</v>
      </c>
      <c r="C311" s="10" t="s">
        <v>492</v>
      </c>
      <c r="D311" s="11" t="n">
        <v>0.0106412037037037</v>
      </c>
      <c r="E311" s="12" t="n">
        <v>511</v>
      </c>
      <c r="F311" s="11" t="n">
        <v>0.00674803240740741</v>
      </c>
      <c r="G311" s="12" t="n">
        <v>126</v>
      </c>
      <c r="H311" s="11" t="n">
        <v>0.00282048611111111</v>
      </c>
      <c r="I311" s="12" t="n">
        <v>364</v>
      </c>
      <c r="J311" s="12" t="n">
        <f aca="false">COUNT(E311,G311,I311)</f>
        <v>3</v>
      </c>
      <c r="K311" s="13" t="n">
        <f aca="false">MIN(E311,G311,I311)</f>
        <v>126</v>
      </c>
      <c r="L311" s="9" t="str">
        <f aca="false">IF(E311=K311,"5000m",IF(G311=K311,"3000mSC","1500m"))</f>
        <v>3000mSC</v>
      </c>
      <c r="M311" s="14" t="n">
        <f aca="false">(D311&lt;&gt;"")*(D311&lt;=($E$3*60+$F$3)/86400)+(F311&lt;&gt;"")*(F311&lt;=($I$3*60+$J$3)/86400)+(H311&lt;&gt;"")*(H311&lt;=($M$3*60+$N$3)/86400)</f>
        <v>0</v>
      </c>
      <c r="N311" s="16"/>
      <c r="O311" s="15"/>
    </row>
    <row r="312" customFormat="false" ht="15" hidden="false" customHeight="false" outlineLevel="0" collapsed="false">
      <c r="A312" s="9" t="n">
        <v>306</v>
      </c>
      <c r="B312" s="10" t="s">
        <v>493</v>
      </c>
      <c r="C312" s="10" t="s">
        <v>494</v>
      </c>
      <c r="D312" s="11" t="n">
        <v>0.0107209490740741</v>
      </c>
      <c r="E312" s="12" t="n">
        <v>613</v>
      </c>
      <c r="F312" s="11"/>
      <c r="G312" s="12"/>
      <c r="H312" s="11" t="n">
        <v>0.0027568287037037</v>
      </c>
      <c r="I312" s="12" t="n">
        <v>126</v>
      </c>
      <c r="J312" s="12" t="n">
        <f aca="false">COUNT(E312,G312,I312)</f>
        <v>2</v>
      </c>
      <c r="K312" s="13" t="n">
        <f aca="false">MIN(E312,G312,I312)</f>
        <v>126</v>
      </c>
      <c r="L312" s="9" t="str">
        <f aca="false">IF(E312=K312,"5000m",IF(G312=K312,"3000mSC","1500m"))</f>
        <v>1500m</v>
      </c>
      <c r="M312" s="14" t="n">
        <f aca="false">(D312&lt;&gt;"")*(D312&lt;=($E$3*60+$F$3)/86400)+(F312&lt;&gt;"")*(F312&lt;=($I$3*60+$J$3)/86400)+(H312&lt;&gt;"")*(H312&lt;=($M$3*60+$N$3)/86400)</f>
        <v>0</v>
      </c>
      <c r="N312" s="16"/>
      <c r="O312" s="15"/>
    </row>
    <row r="313" customFormat="false" ht="25.35" hidden="false" customHeight="false" outlineLevel="0" collapsed="false">
      <c r="A313" s="9" t="n">
        <v>307</v>
      </c>
      <c r="B313" s="10" t="s">
        <v>495</v>
      </c>
      <c r="C313" s="10" t="s">
        <v>185</v>
      </c>
      <c r="D313" s="11" t="n">
        <v>0.0107236111111111</v>
      </c>
      <c r="E313" s="12" t="n">
        <v>620</v>
      </c>
      <c r="F313" s="11" t="n">
        <v>0.00674884259259259</v>
      </c>
      <c r="G313" s="12" t="n">
        <v>127</v>
      </c>
      <c r="H313" s="11" t="n">
        <v>0.00295983796296296</v>
      </c>
      <c r="I313" s="12" t="n">
        <v>1271</v>
      </c>
      <c r="J313" s="12" t="n">
        <f aca="false">COUNT(E313,G313,I313)</f>
        <v>3</v>
      </c>
      <c r="K313" s="13" t="n">
        <f aca="false">MIN(E313,G313,I313)</f>
        <v>127</v>
      </c>
      <c r="L313" s="9" t="str">
        <f aca="false">IF(E313=K313,"5000m",IF(G313=K313,"3000mSC","1500m"))</f>
        <v>3000mSC</v>
      </c>
      <c r="M313" s="14" t="n">
        <f aca="false">(D313&lt;&gt;"")*(D313&lt;=($E$3*60+$F$3)/86400)+(F313&lt;&gt;"")*(F313&lt;=($I$3*60+$J$3)/86400)+(H313&lt;&gt;"")*(H313&lt;=($M$3*60+$N$3)/86400)</f>
        <v>0</v>
      </c>
      <c r="N313" s="16"/>
      <c r="O313" s="15"/>
    </row>
    <row r="314" customFormat="false" ht="15" hidden="false" customHeight="false" outlineLevel="0" collapsed="false">
      <c r="A314" s="9" t="n">
        <v>308</v>
      </c>
      <c r="B314" s="10" t="s">
        <v>496</v>
      </c>
      <c r="C314" s="10" t="s">
        <v>218</v>
      </c>
      <c r="D314" s="11" t="n">
        <v>0.0102467592592593</v>
      </c>
      <c r="E314" s="12" t="n">
        <v>127</v>
      </c>
      <c r="F314" s="11"/>
      <c r="G314" s="12"/>
      <c r="H314" s="11" t="n">
        <v>0.00287627314814815</v>
      </c>
      <c r="I314" s="12" t="n">
        <v>741</v>
      </c>
      <c r="J314" s="12" t="n">
        <f aca="false">COUNT(E314,G314,I314)</f>
        <v>2</v>
      </c>
      <c r="K314" s="13" t="n">
        <f aca="false">MIN(E314,G314,I314)</f>
        <v>127</v>
      </c>
      <c r="L314" s="9" t="str">
        <f aca="false">IF(E314=K314,"5000m",IF(G314=K314,"3000mSC","1500m"))</f>
        <v>5000m</v>
      </c>
      <c r="M314" s="14" t="n">
        <f aca="false">(D314&lt;&gt;"")*(D314&lt;=($E$3*60+$F$3)/86400)+(F314&lt;&gt;"")*(F314&lt;=($I$3*60+$J$3)/86400)+(H314&lt;&gt;"")*(H314&lt;=($M$3*60+$N$3)/86400)</f>
        <v>0</v>
      </c>
      <c r="N314" s="16"/>
      <c r="O314" s="15"/>
    </row>
    <row r="315" customFormat="false" ht="15" hidden="false" customHeight="false" outlineLevel="0" collapsed="false">
      <c r="A315" s="9" t="n">
        <v>309</v>
      </c>
      <c r="B315" s="10" t="s">
        <v>497</v>
      </c>
      <c r="C315" s="10" t="s">
        <v>312</v>
      </c>
      <c r="D315" s="11" t="n">
        <v>0.0102480324074074</v>
      </c>
      <c r="E315" s="12" t="n">
        <v>128</v>
      </c>
      <c r="F315" s="11"/>
      <c r="G315" s="12"/>
      <c r="H315" s="11" t="n">
        <v>0.00277349537037037</v>
      </c>
      <c r="I315" s="12" t="n">
        <v>170</v>
      </c>
      <c r="J315" s="12" t="n">
        <f aca="false">COUNT(E315,G315,I315)</f>
        <v>2</v>
      </c>
      <c r="K315" s="13" t="n">
        <f aca="false">MIN(E315,G315,I315)</f>
        <v>128</v>
      </c>
      <c r="L315" s="9" t="str">
        <f aca="false">IF(E315=K315,"5000m",IF(G315=K315,"3000mSC","1500m"))</f>
        <v>5000m</v>
      </c>
      <c r="M315" s="14" t="n">
        <f aca="false">(D315&lt;&gt;"")*(D315&lt;=($E$3*60+$F$3)/86400)+(F315&lt;&gt;"")*(F315&lt;=($I$3*60+$J$3)/86400)+(H315&lt;&gt;"")*(H315&lt;=($M$3*60+$N$3)/86400)</f>
        <v>0</v>
      </c>
      <c r="N315" s="16"/>
      <c r="O315" s="15"/>
    </row>
    <row r="316" customFormat="false" ht="25.35" hidden="false" customHeight="false" outlineLevel="0" collapsed="false">
      <c r="A316" s="9" t="n">
        <v>310</v>
      </c>
      <c r="B316" s="10" t="s">
        <v>498</v>
      </c>
      <c r="C316" s="10" t="s">
        <v>484</v>
      </c>
      <c r="D316" s="11"/>
      <c r="E316" s="12"/>
      <c r="F316" s="11" t="n">
        <v>0.00674988425925926</v>
      </c>
      <c r="G316" s="12" t="n">
        <v>128</v>
      </c>
      <c r="H316" s="11"/>
      <c r="I316" s="12"/>
      <c r="J316" s="12" t="n">
        <f aca="false">COUNT(E316,G316,I316)</f>
        <v>1</v>
      </c>
      <c r="K316" s="13" t="n">
        <f aca="false">MIN(E316,G316,I316)</f>
        <v>128</v>
      </c>
      <c r="L316" s="9" t="str">
        <f aca="false">IF(E316=K316,"5000m",IF(G316=K316,"3000mSC","1500m"))</f>
        <v>3000mSC</v>
      </c>
      <c r="M316" s="14" t="n">
        <f aca="false">(D316&lt;&gt;"")*(D316&lt;=($E$3*60+$F$3)/86400)+(F316&lt;&gt;"")*(F316&lt;=($I$3*60+$J$3)/86400)+(H316&lt;&gt;"")*(H316&lt;=($M$3*60+$N$3)/86400)</f>
        <v>0</v>
      </c>
      <c r="N316" s="16"/>
      <c r="O316" s="15"/>
    </row>
    <row r="317" customFormat="false" ht="25.35" hidden="false" customHeight="false" outlineLevel="0" collapsed="false">
      <c r="A317" s="9" t="n">
        <v>311</v>
      </c>
      <c r="B317" s="10" t="s">
        <v>499</v>
      </c>
      <c r="C317" s="10" t="s">
        <v>500</v>
      </c>
      <c r="D317" s="11" t="n">
        <v>0.0109840277777778</v>
      </c>
      <c r="E317" s="12" t="n">
        <v>1065</v>
      </c>
      <c r="F317" s="11" t="n">
        <v>0.00675092592592593</v>
      </c>
      <c r="G317" s="12" t="n">
        <v>129</v>
      </c>
      <c r="H317" s="11" t="n">
        <v>0.00298101851851852</v>
      </c>
      <c r="I317" s="12" t="n">
        <v>1356</v>
      </c>
      <c r="J317" s="12" t="n">
        <f aca="false">COUNT(E317,G317,I317)</f>
        <v>3</v>
      </c>
      <c r="K317" s="13" t="n">
        <f aca="false">MIN(E317,G317,I317)</f>
        <v>129</v>
      </c>
      <c r="L317" s="9" t="str">
        <f aca="false">IF(E317=K317,"5000m",IF(G317=K317,"3000mSC","1500m"))</f>
        <v>3000mSC</v>
      </c>
      <c r="M317" s="14" t="n">
        <f aca="false">(D317&lt;&gt;"")*(D317&lt;=($E$3*60+$F$3)/86400)+(F317&lt;&gt;"")*(F317&lt;=($I$3*60+$J$3)/86400)+(H317&lt;&gt;"")*(H317&lt;=($M$3*60+$N$3)/86400)</f>
        <v>0</v>
      </c>
      <c r="N317" s="16"/>
      <c r="O317" s="15"/>
    </row>
    <row r="318" customFormat="false" ht="15" hidden="false" customHeight="false" outlineLevel="0" collapsed="false">
      <c r="A318" s="9" t="n">
        <v>312</v>
      </c>
      <c r="B318" s="10" t="s">
        <v>501</v>
      </c>
      <c r="C318" s="10" t="s">
        <v>502</v>
      </c>
      <c r="D318" s="11" t="n">
        <v>0.0102574074074074</v>
      </c>
      <c r="E318" s="12" t="n">
        <v>129</v>
      </c>
      <c r="F318" s="11"/>
      <c r="G318" s="12"/>
      <c r="H318" s="11" t="n">
        <v>0.00276655092592593</v>
      </c>
      <c r="I318" s="12" t="n">
        <v>152</v>
      </c>
      <c r="J318" s="12" t="n">
        <f aca="false">COUNT(E318,G318,I318)</f>
        <v>2</v>
      </c>
      <c r="K318" s="13" t="n">
        <f aca="false">MIN(E318,G318,I318)</f>
        <v>129</v>
      </c>
      <c r="L318" s="9" t="str">
        <f aca="false">IF(E318=K318,"5000m",IF(G318=K318,"3000mSC","1500m"))</f>
        <v>5000m</v>
      </c>
      <c r="M318" s="14" t="n">
        <f aca="false">(D318&lt;&gt;"")*(D318&lt;=($E$3*60+$F$3)/86400)+(F318&lt;&gt;"")*(F318&lt;=($I$3*60+$J$3)/86400)+(H318&lt;&gt;"")*(H318&lt;=($M$3*60+$N$3)/86400)</f>
        <v>0</v>
      </c>
      <c r="N318" s="16"/>
      <c r="O318" s="15"/>
    </row>
    <row r="319" customFormat="false" ht="15" hidden="false" customHeight="false" outlineLevel="0" collapsed="false">
      <c r="A319" s="9" t="n">
        <v>313</v>
      </c>
      <c r="B319" s="10" t="s">
        <v>503</v>
      </c>
      <c r="C319" s="10" t="s">
        <v>134</v>
      </c>
      <c r="D319" s="11" t="n">
        <v>0.0105644675925926</v>
      </c>
      <c r="E319" s="12" t="n">
        <v>417</v>
      </c>
      <c r="F319" s="11"/>
      <c r="G319" s="12"/>
      <c r="H319" s="11" t="n">
        <v>0.00275775462962963</v>
      </c>
      <c r="I319" s="12" t="n">
        <v>129</v>
      </c>
      <c r="J319" s="12" t="n">
        <f aca="false">COUNT(E319,G319,I319)</f>
        <v>2</v>
      </c>
      <c r="K319" s="13" t="n">
        <f aca="false">MIN(E319,G319,I319)</f>
        <v>129</v>
      </c>
      <c r="L319" s="9" t="str">
        <f aca="false">IF(E319=K319,"5000m",IF(G319=K319,"3000mSC","1500m"))</f>
        <v>1500m</v>
      </c>
      <c r="M319" s="14" t="n">
        <f aca="false">(D319&lt;&gt;"")*(D319&lt;=($E$3*60+$F$3)/86400)+(F319&lt;&gt;"")*(F319&lt;=($I$3*60+$J$3)/86400)+(H319&lt;&gt;"")*(H319&lt;=($M$3*60+$N$3)/86400)</f>
        <v>0</v>
      </c>
      <c r="N319" s="16"/>
      <c r="O319" s="15"/>
    </row>
    <row r="320" customFormat="false" ht="25.35" hidden="false" customHeight="false" outlineLevel="0" collapsed="false">
      <c r="A320" s="9" t="n">
        <v>314</v>
      </c>
      <c r="B320" s="10" t="s">
        <v>504</v>
      </c>
      <c r="C320" s="10" t="s">
        <v>505</v>
      </c>
      <c r="D320" s="11" t="n">
        <v>0.0109672453703704</v>
      </c>
      <c r="E320" s="12" t="n">
        <v>1029</v>
      </c>
      <c r="F320" s="11" t="n">
        <v>0.00675219907407407</v>
      </c>
      <c r="G320" s="12" t="n">
        <v>130</v>
      </c>
      <c r="H320" s="11" t="n">
        <v>0.0029099537037037</v>
      </c>
      <c r="I320" s="12" t="n">
        <v>1019</v>
      </c>
      <c r="J320" s="12" t="n">
        <f aca="false">COUNT(E320,G320,I320)</f>
        <v>3</v>
      </c>
      <c r="K320" s="13" t="n">
        <f aca="false">MIN(E320,G320,I320)</f>
        <v>130</v>
      </c>
      <c r="L320" s="9" t="str">
        <f aca="false">IF(E320=K320,"5000m",IF(G320=K320,"3000mSC","1500m"))</f>
        <v>3000mSC</v>
      </c>
      <c r="M320" s="14" t="n">
        <f aca="false">(D320&lt;&gt;"")*(D320&lt;=($E$3*60+$F$3)/86400)+(F320&lt;&gt;"")*(F320&lt;=($I$3*60+$J$3)/86400)+(H320&lt;&gt;"")*(H320&lt;=($M$3*60+$N$3)/86400)</f>
        <v>0</v>
      </c>
      <c r="N320" s="16" t="s">
        <v>506</v>
      </c>
      <c r="O320" s="15"/>
    </row>
    <row r="321" customFormat="false" ht="15" hidden="false" customHeight="false" outlineLevel="0" collapsed="false">
      <c r="A321" s="9" t="n">
        <v>315</v>
      </c>
      <c r="B321" s="10" t="s">
        <v>507</v>
      </c>
      <c r="C321" s="10" t="s">
        <v>508</v>
      </c>
      <c r="D321" s="11" t="n">
        <v>0.0102626157407407</v>
      </c>
      <c r="E321" s="12" t="n">
        <v>130</v>
      </c>
      <c r="F321" s="11"/>
      <c r="G321" s="12"/>
      <c r="H321" s="11" t="n">
        <v>0.0027681712962963</v>
      </c>
      <c r="I321" s="12" t="n">
        <v>158</v>
      </c>
      <c r="J321" s="12" t="n">
        <f aca="false">COUNT(E321,G321,I321)</f>
        <v>2</v>
      </c>
      <c r="K321" s="13" t="n">
        <f aca="false">MIN(E321,G321,I321)</f>
        <v>130</v>
      </c>
      <c r="L321" s="9" t="str">
        <f aca="false">IF(E321=K321,"5000m",IF(G321=K321,"3000mSC","1500m"))</f>
        <v>5000m</v>
      </c>
      <c r="M321" s="14" t="n">
        <f aca="false">(D321&lt;&gt;"")*(D321&lt;=($E$3*60+$F$3)/86400)+(F321&lt;&gt;"")*(F321&lt;=($I$3*60+$J$3)/86400)+(H321&lt;&gt;"")*(H321&lt;=($M$3*60+$N$3)/86400)</f>
        <v>0</v>
      </c>
      <c r="N321" s="10" t="s">
        <v>509</v>
      </c>
      <c r="O321" s="15"/>
    </row>
    <row r="322" customFormat="false" ht="25.35" hidden="false" customHeight="false" outlineLevel="0" collapsed="false">
      <c r="A322" s="9" t="n">
        <v>316</v>
      </c>
      <c r="B322" s="10" t="s">
        <v>510</v>
      </c>
      <c r="C322" s="10" t="s">
        <v>511</v>
      </c>
      <c r="D322" s="11"/>
      <c r="E322" s="12"/>
      <c r="F322" s="11" t="n">
        <v>0.00675428240740741</v>
      </c>
      <c r="G322" s="12" t="n">
        <v>131</v>
      </c>
      <c r="H322" s="11" t="n">
        <v>0.0028306712962963</v>
      </c>
      <c r="I322" s="12" t="n">
        <v>430</v>
      </c>
      <c r="J322" s="12" t="n">
        <f aca="false">COUNT(E322,G322,I322)</f>
        <v>2</v>
      </c>
      <c r="K322" s="13" t="n">
        <f aca="false">MIN(E322,G322,I322)</f>
        <v>131</v>
      </c>
      <c r="L322" s="9" t="str">
        <f aca="false">IF(E322=K322,"5000m",IF(G322=K322,"3000mSC","1500m"))</f>
        <v>3000mSC</v>
      </c>
      <c r="M322" s="14" t="n">
        <f aca="false">(D322&lt;&gt;"")*(D322&lt;=($E$3*60+$F$3)/86400)+(F322&lt;&gt;"")*(F322&lt;=($I$3*60+$J$3)/86400)+(H322&lt;&gt;"")*(H322&lt;=($M$3*60+$N$3)/86400)</f>
        <v>0</v>
      </c>
      <c r="N322" s="16"/>
      <c r="O322" s="15"/>
    </row>
    <row r="323" customFormat="false" ht="15" hidden="false" customHeight="false" outlineLevel="0" collapsed="false">
      <c r="A323" s="9" t="n">
        <v>317</v>
      </c>
      <c r="B323" s="10" t="s">
        <v>512</v>
      </c>
      <c r="C323" s="10" t="s">
        <v>513</v>
      </c>
      <c r="D323" s="11" t="n">
        <v>0.0110846064814815</v>
      </c>
      <c r="E323" s="12" t="n">
        <v>1257</v>
      </c>
      <c r="F323" s="11"/>
      <c r="G323" s="12"/>
      <c r="H323" s="11" t="n">
        <v>0.00275856481481482</v>
      </c>
      <c r="I323" s="12" t="n">
        <v>131</v>
      </c>
      <c r="J323" s="12" t="n">
        <f aca="false">COUNT(E323,G323,I323)</f>
        <v>2</v>
      </c>
      <c r="K323" s="13" t="n">
        <f aca="false">MIN(E323,G323,I323)</f>
        <v>131</v>
      </c>
      <c r="L323" s="9" t="str">
        <f aca="false">IF(E323=K323,"5000m",IF(G323=K323,"3000mSC","1500m"))</f>
        <v>1500m</v>
      </c>
      <c r="M323" s="14" t="n">
        <f aca="false">(D323&lt;&gt;"")*(D323&lt;=($E$3*60+$F$3)/86400)+(F323&lt;&gt;"")*(F323&lt;=($I$3*60+$J$3)/86400)+(H323&lt;&gt;"")*(H323&lt;=($M$3*60+$N$3)/86400)</f>
        <v>0</v>
      </c>
      <c r="N323" s="16"/>
      <c r="O323" s="15"/>
    </row>
    <row r="324" customFormat="false" ht="15" hidden="false" customHeight="false" outlineLevel="0" collapsed="false">
      <c r="A324" s="9" t="n">
        <v>318</v>
      </c>
      <c r="B324" s="10" t="s">
        <v>514</v>
      </c>
      <c r="C324" s="10" t="s">
        <v>175</v>
      </c>
      <c r="D324" s="11" t="n">
        <v>0.0102633101851852</v>
      </c>
      <c r="E324" s="12" t="n">
        <v>131</v>
      </c>
      <c r="F324" s="11"/>
      <c r="G324" s="12"/>
      <c r="H324" s="11"/>
      <c r="I324" s="12"/>
      <c r="J324" s="12" t="n">
        <f aca="false">COUNT(E324,G324,I324)</f>
        <v>1</v>
      </c>
      <c r="K324" s="13" t="n">
        <f aca="false">MIN(E324,G324,I324)</f>
        <v>131</v>
      </c>
      <c r="L324" s="9" t="str">
        <f aca="false">IF(E324=K324,"5000m",IF(G324=K324,"3000mSC","1500m"))</f>
        <v>5000m</v>
      </c>
      <c r="M324" s="14" t="n">
        <f aca="false">(D324&lt;&gt;"")*(D324&lt;=($E$3*60+$F$3)/86400)+(F324&lt;&gt;"")*(F324&lt;=($I$3*60+$J$3)/86400)+(H324&lt;&gt;"")*(H324&lt;=($M$3*60+$N$3)/86400)</f>
        <v>0</v>
      </c>
      <c r="N324" s="16"/>
      <c r="O324" s="15"/>
    </row>
    <row r="325" customFormat="false" ht="25.35" hidden="false" customHeight="false" outlineLevel="0" collapsed="false">
      <c r="A325" s="9" t="n">
        <v>319</v>
      </c>
      <c r="B325" s="10" t="s">
        <v>515</v>
      </c>
      <c r="C325" s="10" t="s">
        <v>185</v>
      </c>
      <c r="D325" s="11" t="n">
        <v>0.010731712962963</v>
      </c>
      <c r="E325" s="12" t="n">
        <v>635</v>
      </c>
      <c r="F325" s="11" t="n">
        <v>0.00675474537037037</v>
      </c>
      <c r="G325" s="12" t="n">
        <v>132</v>
      </c>
      <c r="H325" s="11" t="n">
        <v>0.00289351851851852</v>
      </c>
      <c r="I325" s="12" t="n">
        <v>901</v>
      </c>
      <c r="J325" s="12" t="n">
        <f aca="false">COUNT(E325,G325,I325)</f>
        <v>3</v>
      </c>
      <c r="K325" s="13" t="n">
        <f aca="false">MIN(E325,G325,I325)</f>
        <v>132</v>
      </c>
      <c r="L325" s="9" t="str">
        <f aca="false">IF(E325=K325,"5000m",IF(G325=K325,"3000mSC","1500m"))</f>
        <v>3000mSC</v>
      </c>
      <c r="M325" s="14" t="n">
        <f aca="false">(D325&lt;&gt;"")*(D325&lt;=($E$3*60+$F$3)/86400)+(F325&lt;&gt;"")*(F325&lt;=($I$3*60+$J$3)/86400)+(H325&lt;&gt;"")*(H325&lt;=($M$3*60+$N$3)/86400)</f>
        <v>0</v>
      </c>
      <c r="N325" s="16"/>
      <c r="O325" s="15"/>
    </row>
    <row r="326" customFormat="false" ht="25.35" hidden="false" customHeight="false" outlineLevel="0" collapsed="false">
      <c r="A326" s="9" t="n">
        <v>320</v>
      </c>
      <c r="B326" s="10" t="s">
        <v>516</v>
      </c>
      <c r="C326" s="10" t="s">
        <v>473</v>
      </c>
      <c r="D326" s="11" t="n">
        <v>0.0109390046296296</v>
      </c>
      <c r="E326" s="12" t="n">
        <v>980</v>
      </c>
      <c r="F326" s="11" t="n">
        <v>0.0067556712962963</v>
      </c>
      <c r="G326" s="12" t="n">
        <v>133</v>
      </c>
      <c r="H326" s="11" t="n">
        <v>0.00283229166666667</v>
      </c>
      <c r="I326" s="12" t="n">
        <v>442</v>
      </c>
      <c r="J326" s="12" t="n">
        <f aca="false">COUNT(E326,G326,I326)</f>
        <v>3</v>
      </c>
      <c r="K326" s="13" t="n">
        <f aca="false">MIN(E326,G326,I326)</f>
        <v>133</v>
      </c>
      <c r="L326" s="9" t="str">
        <f aca="false">IF(E326=K326,"5000m",IF(G326=K326,"3000mSC","1500m"))</f>
        <v>3000mSC</v>
      </c>
      <c r="M326" s="14" t="n">
        <f aca="false">(D326&lt;&gt;"")*(D326&lt;=($E$3*60+$F$3)/86400)+(F326&lt;&gt;"")*(F326&lt;=($I$3*60+$J$3)/86400)+(H326&lt;&gt;"")*(H326&lt;=($M$3*60+$N$3)/86400)</f>
        <v>0</v>
      </c>
      <c r="N326" s="16"/>
      <c r="O326" s="15"/>
    </row>
    <row r="327" customFormat="false" ht="15" hidden="false" customHeight="false" outlineLevel="0" collapsed="false">
      <c r="A327" s="9" t="n">
        <v>321</v>
      </c>
      <c r="B327" s="10" t="s">
        <v>517</v>
      </c>
      <c r="C327" s="10" t="s">
        <v>350</v>
      </c>
      <c r="D327" s="11" t="n">
        <v>0.0102665509259259</v>
      </c>
      <c r="E327" s="12" t="n">
        <v>133</v>
      </c>
      <c r="F327" s="11"/>
      <c r="G327" s="12"/>
      <c r="H327" s="11"/>
      <c r="I327" s="12"/>
      <c r="J327" s="12" t="n">
        <f aca="false">COUNT(E327,G327,I327)</f>
        <v>1</v>
      </c>
      <c r="K327" s="13" t="n">
        <f aca="false">MIN(E327,G327,I327)</f>
        <v>133</v>
      </c>
      <c r="L327" s="9" t="str">
        <f aca="false">IF(E327=K327,"5000m",IF(G327=K327,"3000mSC","1500m"))</f>
        <v>5000m</v>
      </c>
      <c r="M327" s="14" t="n">
        <f aca="false">(D327&lt;&gt;"")*(D327&lt;=($E$3*60+$F$3)/86400)+(F327&lt;&gt;"")*(F327&lt;=($I$3*60+$J$3)/86400)+(H327&lt;&gt;"")*(H327&lt;=($M$3*60+$N$3)/86400)</f>
        <v>0</v>
      </c>
      <c r="N327" s="16"/>
      <c r="O327" s="15"/>
    </row>
    <row r="328" customFormat="false" ht="25.35" hidden="false" customHeight="false" outlineLevel="0" collapsed="false">
      <c r="A328" s="9" t="n">
        <v>322</v>
      </c>
      <c r="B328" s="10" t="s">
        <v>518</v>
      </c>
      <c r="C328" s="10" t="s">
        <v>519</v>
      </c>
      <c r="D328" s="11" t="n">
        <v>0.0106959490740741</v>
      </c>
      <c r="E328" s="12" t="n">
        <v>574</v>
      </c>
      <c r="F328" s="11" t="n">
        <v>0.00675868055555556</v>
      </c>
      <c r="G328" s="12" t="n">
        <v>134</v>
      </c>
      <c r="H328" s="11" t="n">
        <v>0.00285069444444445</v>
      </c>
      <c r="I328" s="12" t="n">
        <v>574</v>
      </c>
      <c r="J328" s="12" t="n">
        <f aca="false">COUNT(E328,G328,I328)</f>
        <v>3</v>
      </c>
      <c r="K328" s="13" t="n">
        <f aca="false">MIN(E328,G328,I328)</f>
        <v>134</v>
      </c>
      <c r="L328" s="9" t="str">
        <f aca="false">IF(E328=K328,"5000m",IF(G328=K328,"3000mSC","1500m"))</f>
        <v>3000mSC</v>
      </c>
      <c r="M328" s="14" t="n">
        <f aca="false">(D328&lt;&gt;"")*(D328&lt;=($E$3*60+$F$3)/86400)+(F328&lt;&gt;"")*(F328&lt;=($I$3*60+$J$3)/86400)+(H328&lt;&gt;"")*(H328&lt;=($M$3*60+$N$3)/86400)</f>
        <v>0</v>
      </c>
      <c r="N328" s="16"/>
      <c r="O328" s="15"/>
    </row>
    <row r="329" customFormat="false" ht="15" hidden="false" customHeight="false" outlineLevel="0" collapsed="false">
      <c r="A329" s="9" t="n">
        <v>323</v>
      </c>
      <c r="B329" s="10" t="s">
        <v>520</v>
      </c>
      <c r="C329" s="10" t="s">
        <v>521</v>
      </c>
      <c r="D329" s="11" t="n">
        <v>0.0107475694444445</v>
      </c>
      <c r="E329" s="12" t="n">
        <v>665</v>
      </c>
      <c r="F329" s="11"/>
      <c r="G329" s="12"/>
      <c r="H329" s="11" t="n">
        <v>0.00275949074074074</v>
      </c>
      <c r="I329" s="12" t="n">
        <v>134</v>
      </c>
      <c r="J329" s="12" t="n">
        <f aca="false">COUNT(E329,G329,I329)</f>
        <v>2</v>
      </c>
      <c r="K329" s="13" t="n">
        <f aca="false">MIN(E329,G329,I329)</f>
        <v>134</v>
      </c>
      <c r="L329" s="9" t="str">
        <f aca="false">IF(E329=K329,"5000m",IF(G329=K329,"3000mSC","1500m"))</f>
        <v>1500m</v>
      </c>
      <c r="M329" s="14" t="n">
        <f aca="false">(D329&lt;&gt;"")*(D329&lt;=($E$3*60+$F$3)/86400)+(F329&lt;&gt;"")*(F329&lt;=($I$3*60+$J$3)/86400)+(H329&lt;&gt;"")*(H329&lt;=($M$3*60+$N$3)/86400)</f>
        <v>0</v>
      </c>
      <c r="N329" s="16"/>
      <c r="O329" s="15"/>
    </row>
    <row r="330" customFormat="false" ht="15" hidden="false" customHeight="false" outlineLevel="0" collapsed="false">
      <c r="A330" s="9" t="n">
        <v>324</v>
      </c>
      <c r="B330" s="10" t="s">
        <v>522</v>
      </c>
      <c r="C330" s="10" t="s">
        <v>523</v>
      </c>
      <c r="D330" s="11" t="n">
        <v>0.0102667824074074</v>
      </c>
      <c r="E330" s="12" t="n">
        <v>134</v>
      </c>
      <c r="F330" s="11"/>
      <c r="G330" s="12"/>
      <c r="H330" s="11"/>
      <c r="I330" s="12"/>
      <c r="J330" s="12" t="n">
        <f aca="false">COUNT(E330,G330,I330)</f>
        <v>1</v>
      </c>
      <c r="K330" s="13" t="n">
        <f aca="false">MIN(E330,G330,I330)</f>
        <v>134</v>
      </c>
      <c r="L330" s="9" t="str">
        <f aca="false">IF(E330=K330,"5000m",IF(G330=K330,"3000mSC","1500m"))</f>
        <v>5000m</v>
      </c>
      <c r="M330" s="14" t="n">
        <f aca="false">(D330&lt;&gt;"")*(D330&lt;=($E$3*60+$F$3)/86400)+(F330&lt;&gt;"")*(F330&lt;=($I$3*60+$J$3)/86400)+(H330&lt;&gt;"")*(H330&lt;=($M$3*60+$N$3)/86400)</f>
        <v>0</v>
      </c>
      <c r="N330" s="16"/>
      <c r="O330" s="15"/>
    </row>
    <row r="331" customFormat="false" ht="15" hidden="false" customHeight="false" outlineLevel="0" collapsed="false">
      <c r="A331" s="9" t="n">
        <v>325</v>
      </c>
      <c r="B331" s="10" t="s">
        <v>524</v>
      </c>
      <c r="C331" s="10" t="s">
        <v>257</v>
      </c>
      <c r="D331" s="11" t="n">
        <v>0.0102670138888889</v>
      </c>
      <c r="E331" s="12" t="n">
        <v>135</v>
      </c>
      <c r="F331" s="11" t="n">
        <v>0.00697407407407407</v>
      </c>
      <c r="G331" s="12" t="n">
        <v>308</v>
      </c>
      <c r="H331" s="11" t="n">
        <v>0.00291087962962963</v>
      </c>
      <c r="I331" s="12" t="n">
        <v>1028</v>
      </c>
      <c r="J331" s="12" t="n">
        <f aca="false">COUNT(E331,G331,I331)</f>
        <v>3</v>
      </c>
      <c r="K331" s="13" t="n">
        <f aca="false">MIN(E331,G331,I331)</f>
        <v>135</v>
      </c>
      <c r="L331" s="9" t="str">
        <f aca="false">IF(E331=K331,"5000m",IF(G331=K331,"3000mSC","1500m"))</f>
        <v>5000m</v>
      </c>
      <c r="M331" s="14" t="n">
        <f aca="false">(D331&lt;&gt;"")*(D331&lt;=($E$3*60+$F$3)/86400)+(F331&lt;&gt;"")*(F331&lt;=($I$3*60+$J$3)/86400)+(H331&lt;&gt;"")*(H331&lt;=($M$3*60+$N$3)/86400)</f>
        <v>0</v>
      </c>
      <c r="N331" s="16"/>
      <c r="O331" s="15"/>
    </row>
    <row r="332" customFormat="false" ht="25.35" hidden="false" customHeight="false" outlineLevel="0" collapsed="false">
      <c r="A332" s="9" t="n">
        <v>326</v>
      </c>
      <c r="B332" s="10" t="s">
        <v>525</v>
      </c>
      <c r="C332" s="10" t="s">
        <v>312</v>
      </c>
      <c r="D332" s="11" t="n">
        <v>0.0110791666666667</v>
      </c>
      <c r="E332" s="12" t="n">
        <v>1249</v>
      </c>
      <c r="F332" s="11" t="n">
        <v>0.00676053240740741</v>
      </c>
      <c r="G332" s="12" t="n">
        <v>135</v>
      </c>
      <c r="H332" s="11" t="n">
        <v>0.00285729166666667</v>
      </c>
      <c r="I332" s="12" t="n">
        <v>617</v>
      </c>
      <c r="J332" s="12" t="n">
        <f aca="false">COUNT(E332,G332,I332)</f>
        <v>3</v>
      </c>
      <c r="K332" s="13" t="n">
        <f aca="false">MIN(E332,G332,I332)</f>
        <v>135</v>
      </c>
      <c r="L332" s="9" t="str">
        <f aca="false">IF(E332=K332,"5000m",IF(G332=K332,"3000mSC","1500m"))</f>
        <v>3000mSC</v>
      </c>
      <c r="M332" s="14" t="n">
        <f aca="false">(D332&lt;&gt;"")*(D332&lt;=($E$3*60+$F$3)/86400)+(F332&lt;&gt;"")*(F332&lt;=($I$3*60+$J$3)/86400)+(H332&lt;&gt;"")*(H332&lt;=($M$3*60+$N$3)/86400)</f>
        <v>0</v>
      </c>
      <c r="N332" s="16"/>
      <c r="O332" s="15"/>
    </row>
    <row r="333" customFormat="false" ht="25.35" hidden="false" customHeight="false" outlineLevel="0" collapsed="false">
      <c r="A333" s="9" t="n">
        <v>327</v>
      </c>
      <c r="B333" s="10" t="s">
        <v>526</v>
      </c>
      <c r="C333" s="10" t="s">
        <v>363</v>
      </c>
      <c r="D333" s="11" t="n">
        <v>0.0110524305555556</v>
      </c>
      <c r="E333" s="12" t="n">
        <v>1202</v>
      </c>
      <c r="F333" s="11" t="n">
        <v>0.00676064814814815</v>
      </c>
      <c r="G333" s="12" t="n">
        <v>136</v>
      </c>
      <c r="H333" s="11" t="n">
        <v>0.00297037037037037</v>
      </c>
      <c r="I333" s="12" t="n">
        <v>1311</v>
      </c>
      <c r="J333" s="12" t="n">
        <f aca="false">COUNT(E333,G333,I333)</f>
        <v>3</v>
      </c>
      <c r="K333" s="13" t="n">
        <f aca="false">MIN(E333,G333,I333)</f>
        <v>136</v>
      </c>
      <c r="L333" s="9" t="str">
        <f aca="false">IF(E333=K333,"5000m",IF(G333=K333,"3000mSC","1500m"))</f>
        <v>3000mSC</v>
      </c>
      <c r="M333" s="14" t="n">
        <f aca="false">(D333&lt;&gt;"")*(D333&lt;=($E$3*60+$F$3)/86400)+(F333&lt;&gt;"")*(F333&lt;=($I$3*60+$J$3)/86400)+(H333&lt;&gt;"")*(H333&lt;=($M$3*60+$N$3)/86400)</f>
        <v>0</v>
      </c>
      <c r="N333" s="16"/>
      <c r="O333" s="15"/>
    </row>
    <row r="334" customFormat="false" ht="15" hidden="false" customHeight="false" outlineLevel="0" collapsed="false">
      <c r="A334" s="9" t="n">
        <v>328</v>
      </c>
      <c r="B334" s="10" t="s">
        <v>527</v>
      </c>
      <c r="C334" s="10" t="s">
        <v>484</v>
      </c>
      <c r="D334" s="11" t="n">
        <v>0.0102678240740741</v>
      </c>
      <c r="E334" s="12" t="n">
        <v>136</v>
      </c>
      <c r="F334" s="11"/>
      <c r="G334" s="12"/>
      <c r="H334" s="11"/>
      <c r="I334" s="12"/>
      <c r="J334" s="12" t="n">
        <f aca="false">COUNT(E334,G334,I334)</f>
        <v>1</v>
      </c>
      <c r="K334" s="13" t="n">
        <f aca="false">MIN(E334,G334,I334)</f>
        <v>136</v>
      </c>
      <c r="L334" s="9" t="str">
        <f aca="false">IF(E334=K334,"5000m",IF(G334=K334,"3000mSC","1500m"))</f>
        <v>5000m</v>
      </c>
      <c r="M334" s="14" t="n">
        <f aca="false">(D334&lt;&gt;"")*(D334&lt;=($E$3*60+$F$3)/86400)+(F334&lt;&gt;"")*(F334&lt;=($I$3*60+$J$3)/86400)+(H334&lt;&gt;"")*(H334&lt;=($M$3*60+$N$3)/86400)</f>
        <v>0</v>
      </c>
      <c r="N334" s="16"/>
      <c r="O334" s="15"/>
    </row>
    <row r="335" customFormat="false" ht="15" hidden="false" customHeight="false" outlineLevel="0" collapsed="false">
      <c r="A335" s="9" t="n">
        <v>329</v>
      </c>
      <c r="B335" s="10" t="s">
        <v>528</v>
      </c>
      <c r="C335" s="10" t="s">
        <v>529</v>
      </c>
      <c r="D335" s="11"/>
      <c r="E335" s="12"/>
      <c r="F335" s="11"/>
      <c r="G335" s="12"/>
      <c r="H335" s="11" t="n">
        <v>0.00276030092592593</v>
      </c>
      <c r="I335" s="12" t="n">
        <v>136</v>
      </c>
      <c r="J335" s="12" t="n">
        <f aca="false">COUNT(E335,G335,I335)</f>
        <v>1</v>
      </c>
      <c r="K335" s="13" t="n">
        <f aca="false">MIN(E335,G335,I335)</f>
        <v>136</v>
      </c>
      <c r="L335" s="9" t="str">
        <f aca="false">IF(E335=K335,"5000m",IF(G335=K335,"3000mSC","1500m"))</f>
        <v>1500m</v>
      </c>
      <c r="M335" s="14" t="n">
        <f aca="false">(D335&lt;&gt;"")*(D335&lt;=($E$3*60+$F$3)/86400)+(F335&lt;&gt;"")*(F335&lt;=($I$3*60+$J$3)/86400)+(H335&lt;&gt;"")*(H335&lt;=($M$3*60+$N$3)/86400)</f>
        <v>0</v>
      </c>
      <c r="N335" s="16"/>
      <c r="O335" s="15"/>
    </row>
    <row r="336" customFormat="false" ht="25.35" hidden="false" customHeight="false" outlineLevel="0" collapsed="false">
      <c r="A336" s="9" t="n">
        <v>330</v>
      </c>
      <c r="B336" s="10" t="s">
        <v>530</v>
      </c>
      <c r="C336" s="10" t="s">
        <v>257</v>
      </c>
      <c r="D336" s="11" t="n">
        <v>0.0105037037037037</v>
      </c>
      <c r="E336" s="12" t="n">
        <v>343</v>
      </c>
      <c r="F336" s="11" t="n">
        <v>0.00676122685185185</v>
      </c>
      <c r="G336" s="12" t="n">
        <v>137</v>
      </c>
      <c r="H336" s="11" t="n">
        <v>0.00281898148148148</v>
      </c>
      <c r="I336" s="12" t="n">
        <v>359</v>
      </c>
      <c r="J336" s="12" t="n">
        <f aca="false">COUNT(E336,G336,I336)</f>
        <v>3</v>
      </c>
      <c r="K336" s="13" t="n">
        <f aca="false">MIN(E336,G336,I336)</f>
        <v>137</v>
      </c>
      <c r="L336" s="9" t="str">
        <f aca="false">IF(E336=K336,"5000m",IF(G336=K336,"3000mSC","1500m"))</f>
        <v>3000mSC</v>
      </c>
      <c r="M336" s="14" t="n">
        <f aca="false">(D336&lt;&gt;"")*(D336&lt;=($E$3*60+$F$3)/86400)+(F336&lt;&gt;"")*(F336&lt;=($I$3*60+$J$3)/86400)+(H336&lt;&gt;"")*(H336&lt;=($M$3*60+$N$3)/86400)</f>
        <v>0</v>
      </c>
      <c r="N336" s="16"/>
      <c r="O336" s="15"/>
    </row>
    <row r="337" customFormat="false" ht="15" hidden="false" customHeight="false" outlineLevel="0" collapsed="false">
      <c r="A337" s="9" t="n">
        <v>331</v>
      </c>
      <c r="B337" s="10" t="s">
        <v>531</v>
      </c>
      <c r="C337" s="10" t="s">
        <v>60</v>
      </c>
      <c r="D337" s="11" t="n">
        <v>0.01026875</v>
      </c>
      <c r="E337" s="12" t="n">
        <v>137</v>
      </c>
      <c r="F337" s="11"/>
      <c r="G337" s="12"/>
      <c r="H337" s="11" t="n">
        <v>0.00279618055555556</v>
      </c>
      <c r="I337" s="12" t="n">
        <v>266</v>
      </c>
      <c r="J337" s="12" t="n">
        <f aca="false">COUNT(E337,G337,I337)</f>
        <v>2</v>
      </c>
      <c r="K337" s="13" t="n">
        <f aca="false">MIN(E337,G337,I337)</f>
        <v>137</v>
      </c>
      <c r="L337" s="9" t="str">
        <f aca="false">IF(E337=K337,"5000m",IF(G337=K337,"3000mSC","1500m"))</f>
        <v>5000m</v>
      </c>
      <c r="M337" s="14" t="n">
        <f aca="false">(D337&lt;&gt;"")*(D337&lt;=($E$3*60+$F$3)/86400)+(F337&lt;&gt;"")*(F337&lt;=($I$3*60+$J$3)/86400)+(H337&lt;&gt;"")*(H337&lt;=($M$3*60+$N$3)/86400)</f>
        <v>0</v>
      </c>
      <c r="N337" s="16"/>
      <c r="O337" s="15"/>
    </row>
    <row r="338" customFormat="false" ht="15" hidden="false" customHeight="false" outlineLevel="0" collapsed="false">
      <c r="A338" s="9" t="n">
        <v>332</v>
      </c>
      <c r="B338" s="10" t="s">
        <v>532</v>
      </c>
      <c r="C338" s="10" t="s">
        <v>91</v>
      </c>
      <c r="D338" s="11" t="n">
        <v>0.010269212962963</v>
      </c>
      <c r="E338" s="12" t="n">
        <v>138</v>
      </c>
      <c r="F338" s="11"/>
      <c r="G338" s="12"/>
      <c r="H338" s="11" t="n">
        <v>0.0027837962962963</v>
      </c>
      <c r="I338" s="12" t="n">
        <v>215</v>
      </c>
      <c r="J338" s="12" t="n">
        <f aca="false">COUNT(E338,G338,I338)</f>
        <v>2</v>
      </c>
      <c r="K338" s="13" t="n">
        <f aca="false">MIN(E338,G338,I338)</f>
        <v>138</v>
      </c>
      <c r="L338" s="9" t="str">
        <f aca="false">IF(E338=K338,"5000m",IF(G338=K338,"3000mSC","1500m"))</f>
        <v>5000m</v>
      </c>
      <c r="M338" s="14" t="n">
        <f aca="false">(D338&lt;&gt;"")*(D338&lt;=($E$3*60+$F$3)/86400)+(F338&lt;&gt;"")*(F338&lt;=($I$3*60+$J$3)/86400)+(H338&lt;&gt;"")*(H338&lt;=($M$3*60+$N$3)/86400)</f>
        <v>0</v>
      </c>
      <c r="N338" s="16"/>
      <c r="O338" s="15"/>
    </row>
    <row r="339" customFormat="false" ht="15" hidden="false" customHeight="false" outlineLevel="0" collapsed="false">
      <c r="A339" s="9" t="n">
        <v>333</v>
      </c>
      <c r="B339" s="10" t="s">
        <v>533</v>
      </c>
      <c r="C339" s="10" t="s">
        <v>534</v>
      </c>
      <c r="D339" s="11" t="n">
        <v>0.0104116898148148</v>
      </c>
      <c r="E339" s="12" t="n">
        <v>278</v>
      </c>
      <c r="F339" s="11"/>
      <c r="G339" s="12"/>
      <c r="H339" s="11" t="n">
        <v>0.00276064814814815</v>
      </c>
      <c r="I339" s="12" t="n">
        <v>138</v>
      </c>
      <c r="J339" s="12" t="n">
        <f aca="false">COUNT(E339,G339,I339)</f>
        <v>2</v>
      </c>
      <c r="K339" s="13" t="n">
        <f aca="false">MIN(E339,G339,I339)</f>
        <v>138</v>
      </c>
      <c r="L339" s="9" t="str">
        <f aca="false">IF(E339=K339,"5000m",IF(G339=K339,"3000mSC","1500m"))</f>
        <v>1500m</v>
      </c>
      <c r="M339" s="14" t="n">
        <f aca="false">(D339&lt;&gt;"")*(D339&lt;=($E$3*60+$F$3)/86400)+(F339&lt;&gt;"")*(F339&lt;=($I$3*60+$J$3)/86400)+(H339&lt;&gt;"")*(H339&lt;=($M$3*60+$N$3)/86400)</f>
        <v>0</v>
      </c>
      <c r="N339" s="16"/>
      <c r="O339" s="15"/>
    </row>
    <row r="340" customFormat="false" ht="25.35" hidden="false" customHeight="false" outlineLevel="0" collapsed="false">
      <c r="A340" s="9" t="n">
        <v>334</v>
      </c>
      <c r="B340" s="10" t="s">
        <v>535</v>
      </c>
      <c r="C340" s="10" t="s">
        <v>473</v>
      </c>
      <c r="D340" s="11" t="n">
        <v>0.0108078703703704</v>
      </c>
      <c r="E340" s="12" t="n">
        <v>760</v>
      </c>
      <c r="F340" s="11" t="n">
        <v>0.00676238425925926</v>
      </c>
      <c r="G340" s="12" t="n">
        <v>138</v>
      </c>
      <c r="H340" s="11"/>
      <c r="I340" s="12"/>
      <c r="J340" s="12" t="n">
        <f aca="false">COUNT(E340,G340,I340)</f>
        <v>2</v>
      </c>
      <c r="K340" s="13" t="n">
        <f aca="false">MIN(E340,G340,I340)</f>
        <v>138</v>
      </c>
      <c r="L340" s="9" t="str">
        <f aca="false">IF(E340=K340,"5000m",IF(G340=K340,"3000mSC","1500m"))</f>
        <v>3000mSC</v>
      </c>
      <c r="M340" s="14" t="n">
        <f aca="false">(D340&lt;&gt;"")*(D340&lt;=($E$3*60+$F$3)/86400)+(F340&lt;&gt;"")*(F340&lt;=($I$3*60+$J$3)/86400)+(H340&lt;&gt;"")*(H340&lt;=($M$3*60+$N$3)/86400)</f>
        <v>0</v>
      </c>
      <c r="N340" s="16"/>
      <c r="O340" s="15"/>
    </row>
    <row r="341" customFormat="false" ht="15" hidden="false" customHeight="false" outlineLevel="0" collapsed="false">
      <c r="A341" s="9" t="n">
        <v>335</v>
      </c>
      <c r="B341" s="10" t="s">
        <v>536</v>
      </c>
      <c r="C341" s="10" t="s">
        <v>23</v>
      </c>
      <c r="D341" s="11" t="n">
        <v>0.0102702546296296</v>
      </c>
      <c r="E341" s="12" t="n">
        <v>139</v>
      </c>
      <c r="F341" s="11"/>
      <c r="G341" s="12"/>
      <c r="H341" s="11" t="n">
        <v>0.00287025462962963</v>
      </c>
      <c r="I341" s="12" t="n">
        <v>697</v>
      </c>
      <c r="J341" s="12" t="n">
        <f aca="false">COUNT(E341,G341,I341)</f>
        <v>2</v>
      </c>
      <c r="K341" s="13" t="n">
        <f aca="false">MIN(E341,G341,I341)</f>
        <v>139</v>
      </c>
      <c r="L341" s="9" t="str">
        <f aca="false">IF(E341=K341,"5000m",IF(G341=K341,"3000mSC","1500m"))</f>
        <v>5000m</v>
      </c>
      <c r="M341" s="14" t="n">
        <f aca="false">(D341&lt;&gt;"")*(D341&lt;=($E$3*60+$F$3)/86400)+(F341&lt;&gt;"")*(F341&lt;=($I$3*60+$J$3)/86400)+(H341&lt;&gt;"")*(H341&lt;=($M$3*60+$N$3)/86400)</f>
        <v>0</v>
      </c>
      <c r="N341" s="16"/>
      <c r="O341" s="15"/>
    </row>
    <row r="342" customFormat="false" ht="25.35" hidden="false" customHeight="false" outlineLevel="0" collapsed="false">
      <c r="A342" s="9" t="n">
        <v>336</v>
      </c>
      <c r="B342" s="10" t="s">
        <v>537</v>
      </c>
      <c r="C342" s="10" t="s">
        <v>538</v>
      </c>
      <c r="D342" s="11" t="n">
        <v>0.0108568287037037</v>
      </c>
      <c r="E342" s="12" t="n">
        <v>845</v>
      </c>
      <c r="F342" s="11" t="n">
        <v>0.00676296296296296</v>
      </c>
      <c r="G342" s="12" t="n">
        <v>139</v>
      </c>
      <c r="H342" s="11"/>
      <c r="I342" s="12"/>
      <c r="J342" s="12" t="n">
        <f aca="false">COUNT(E342,G342,I342)</f>
        <v>2</v>
      </c>
      <c r="K342" s="13" t="n">
        <f aca="false">MIN(E342,G342,I342)</f>
        <v>139</v>
      </c>
      <c r="L342" s="9" t="str">
        <f aca="false">IF(E342=K342,"5000m",IF(G342=K342,"3000mSC","1500m"))</f>
        <v>3000mSC</v>
      </c>
      <c r="M342" s="14" t="n">
        <f aca="false">(D342&lt;&gt;"")*(D342&lt;=($E$3*60+$F$3)/86400)+(F342&lt;&gt;"")*(F342&lt;=($I$3*60+$J$3)/86400)+(H342&lt;&gt;"")*(H342&lt;=($M$3*60+$N$3)/86400)</f>
        <v>0</v>
      </c>
      <c r="N342" s="16"/>
      <c r="O342" s="15"/>
    </row>
    <row r="343" customFormat="false" ht="15" hidden="false" customHeight="false" outlineLevel="0" collapsed="false">
      <c r="A343" s="9" t="n">
        <v>337</v>
      </c>
      <c r="B343" s="10" t="s">
        <v>539</v>
      </c>
      <c r="C343" s="10" t="s">
        <v>141</v>
      </c>
      <c r="D343" s="11" t="n">
        <v>0.0102734953703704</v>
      </c>
      <c r="E343" s="12" t="n">
        <v>140</v>
      </c>
      <c r="F343" s="11"/>
      <c r="G343" s="12"/>
      <c r="H343" s="11" t="n">
        <v>0.00287731481481482</v>
      </c>
      <c r="I343" s="12" t="n">
        <v>749</v>
      </c>
      <c r="J343" s="12" t="n">
        <f aca="false">COUNT(E343,G343,I343)</f>
        <v>2</v>
      </c>
      <c r="K343" s="13" t="n">
        <f aca="false">MIN(E343,G343,I343)</f>
        <v>140</v>
      </c>
      <c r="L343" s="9" t="str">
        <f aca="false">IF(E343=K343,"5000m",IF(G343=K343,"3000mSC","1500m"))</f>
        <v>5000m</v>
      </c>
      <c r="M343" s="14" t="n">
        <f aca="false">(D343&lt;&gt;"")*(D343&lt;=($E$3*60+$F$3)/86400)+(F343&lt;&gt;"")*(F343&lt;=($I$3*60+$J$3)/86400)+(H343&lt;&gt;"")*(H343&lt;=($M$3*60+$N$3)/86400)</f>
        <v>0</v>
      </c>
      <c r="N343" s="16"/>
      <c r="O343" s="15"/>
    </row>
    <row r="344" customFormat="false" ht="25.35" hidden="false" customHeight="false" outlineLevel="0" collapsed="false">
      <c r="A344" s="9" t="n">
        <v>338</v>
      </c>
      <c r="B344" s="10" t="s">
        <v>540</v>
      </c>
      <c r="C344" s="10" t="s">
        <v>541</v>
      </c>
      <c r="D344" s="11" t="n">
        <v>0.0108684027777778</v>
      </c>
      <c r="E344" s="12" t="n">
        <v>869</v>
      </c>
      <c r="F344" s="11" t="n">
        <v>0.00676365740740741</v>
      </c>
      <c r="G344" s="12" t="n">
        <v>140</v>
      </c>
      <c r="H344" s="11"/>
      <c r="I344" s="12"/>
      <c r="J344" s="12" t="n">
        <f aca="false">COUNT(E344,G344,I344)</f>
        <v>2</v>
      </c>
      <c r="K344" s="13" t="n">
        <f aca="false">MIN(E344,G344,I344)</f>
        <v>140</v>
      </c>
      <c r="L344" s="9" t="str">
        <f aca="false">IF(E344=K344,"5000m",IF(G344=K344,"3000mSC","1500m"))</f>
        <v>3000mSC</v>
      </c>
      <c r="M344" s="14" t="n">
        <f aca="false">(D344&lt;&gt;"")*(D344&lt;=($E$3*60+$F$3)/86400)+(F344&lt;&gt;"")*(F344&lt;=($I$3*60+$J$3)/86400)+(H344&lt;&gt;"")*(H344&lt;=($M$3*60+$N$3)/86400)</f>
        <v>0</v>
      </c>
      <c r="N344" s="16"/>
      <c r="O344" s="15"/>
    </row>
    <row r="345" customFormat="false" ht="15" hidden="false" customHeight="false" outlineLevel="0" collapsed="false">
      <c r="A345" s="9" t="n">
        <v>339</v>
      </c>
      <c r="B345" s="10" t="s">
        <v>542</v>
      </c>
      <c r="C345" s="10" t="s">
        <v>543</v>
      </c>
      <c r="D345" s="11" t="n">
        <v>0.0106296296296296</v>
      </c>
      <c r="E345" s="12" t="n">
        <v>504</v>
      </c>
      <c r="F345" s="11"/>
      <c r="G345" s="12"/>
      <c r="H345" s="11" t="n">
        <v>0.00276284722222222</v>
      </c>
      <c r="I345" s="12" t="n">
        <v>141</v>
      </c>
      <c r="J345" s="12" t="n">
        <f aca="false">COUNT(E345,G345,I345)</f>
        <v>2</v>
      </c>
      <c r="K345" s="13" t="n">
        <f aca="false">MIN(E345,G345,I345)</f>
        <v>141</v>
      </c>
      <c r="L345" s="9" t="str">
        <f aca="false">IF(E345=K345,"5000m",IF(G345=K345,"3000mSC","1500m"))</f>
        <v>1500m</v>
      </c>
      <c r="M345" s="14" t="n">
        <f aca="false">(D345&lt;&gt;"")*(D345&lt;=($E$3*60+$F$3)/86400)+(F345&lt;&gt;"")*(F345&lt;=($I$3*60+$J$3)/86400)+(H345&lt;&gt;"")*(H345&lt;=($M$3*60+$N$3)/86400)</f>
        <v>0</v>
      </c>
      <c r="N345" s="10" t="s">
        <v>544</v>
      </c>
      <c r="O345" s="15"/>
    </row>
    <row r="346" customFormat="false" ht="15" hidden="false" customHeight="false" outlineLevel="0" collapsed="false">
      <c r="A346" s="9" t="n">
        <v>340</v>
      </c>
      <c r="B346" s="10" t="s">
        <v>545</v>
      </c>
      <c r="C346" s="10" t="s">
        <v>546</v>
      </c>
      <c r="D346" s="11" t="n">
        <v>0.0102767361111111</v>
      </c>
      <c r="E346" s="12" t="n">
        <v>142</v>
      </c>
      <c r="F346" s="11"/>
      <c r="G346" s="12"/>
      <c r="H346" s="11" t="n">
        <v>0.00282476851851852</v>
      </c>
      <c r="I346" s="12" t="n">
        <v>391</v>
      </c>
      <c r="J346" s="12" t="n">
        <f aca="false">COUNT(E346,G346,I346)</f>
        <v>2</v>
      </c>
      <c r="K346" s="13" t="n">
        <f aca="false">MIN(E346,G346,I346)</f>
        <v>142</v>
      </c>
      <c r="L346" s="9" t="str">
        <f aca="false">IF(E346=K346,"5000m",IF(G346=K346,"3000mSC","1500m"))</f>
        <v>5000m</v>
      </c>
      <c r="M346" s="14" t="n">
        <f aca="false">(D346&lt;&gt;"")*(D346&lt;=($E$3*60+$F$3)/86400)+(F346&lt;&gt;"")*(F346&lt;=($I$3*60+$J$3)/86400)+(H346&lt;&gt;"")*(H346&lt;=($M$3*60+$N$3)/86400)</f>
        <v>0</v>
      </c>
      <c r="N346" s="16"/>
      <c r="O346" s="15"/>
    </row>
    <row r="347" customFormat="false" ht="25.35" hidden="false" customHeight="false" outlineLevel="0" collapsed="false">
      <c r="A347" s="9" t="n">
        <v>341</v>
      </c>
      <c r="B347" s="10" t="s">
        <v>547</v>
      </c>
      <c r="C347" s="10" t="s">
        <v>371</v>
      </c>
      <c r="D347" s="11" t="n">
        <v>0.0107333333333333</v>
      </c>
      <c r="E347" s="12" t="n">
        <v>640</v>
      </c>
      <c r="F347" s="11" t="n">
        <v>0.00676458333333333</v>
      </c>
      <c r="G347" s="12" t="n">
        <v>142</v>
      </c>
      <c r="H347" s="11"/>
      <c r="I347" s="12"/>
      <c r="J347" s="12" t="n">
        <f aca="false">COUNT(E347,G347,I347)</f>
        <v>2</v>
      </c>
      <c r="K347" s="13" t="n">
        <f aca="false">MIN(E347,G347,I347)</f>
        <v>142</v>
      </c>
      <c r="L347" s="9" t="str">
        <f aca="false">IF(E347=K347,"5000m",IF(G347=K347,"3000mSC","1500m"))</f>
        <v>3000mSC</v>
      </c>
      <c r="M347" s="14" t="n">
        <f aca="false">(D347&lt;&gt;"")*(D347&lt;=($E$3*60+$F$3)/86400)+(F347&lt;&gt;"")*(F347&lt;=($I$3*60+$J$3)/86400)+(H347&lt;&gt;"")*(H347&lt;=($M$3*60+$N$3)/86400)</f>
        <v>0</v>
      </c>
      <c r="N347" s="16"/>
      <c r="O347" s="15"/>
    </row>
    <row r="348" customFormat="false" ht="15" hidden="false" customHeight="false" outlineLevel="0" collapsed="false">
      <c r="A348" s="9" t="n">
        <v>342</v>
      </c>
      <c r="B348" s="10" t="s">
        <v>548</v>
      </c>
      <c r="C348" s="10" t="s">
        <v>549</v>
      </c>
      <c r="D348" s="11" t="n">
        <v>0.0103766203703704</v>
      </c>
      <c r="E348" s="12" t="n">
        <v>237</v>
      </c>
      <c r="F348" s="11"/>
      <c r="G348" s="12"/>
      <c r="H348" s="11" t="n">
        <v>0.00276319444444444</v>
      </c>
      <c r="I348" s="12" t="n">
        <v>143</v>
      </c>
      <c r="J348" s="12" t="n">
        <f aca="false">COUNT(E348,G348,I348)</f>
        <v>2</v>
      </c>
      <c r="K348" s="13" t="n">
        <f aca="false">MIN(E348,G348,I348)</f>
        <v>143</v>
      </c>
      <c r="L348" s="9" t="str">
        <f aca="false">IF(E348=K348,"5000m",IF(G348=K348,"3000mSC","1500m"))</f>
        <v>1500m</v>
      </c>
      <c r="M348" s="14" t="n">
        <f aca="false">(D348&lt;&gt;"")*(D348&lt;=($E$3*60+$F$3)/86400)+(F348&lt;&gt;"")*(F348&lt;=($I$3*60+$J$3)/86400)+(H348&lt;&gt;"")*(H348&lt;=($M$3*60+$N$3)/86400)</f>
        <v>0</v>
      </c>
      <c r="N348" s="16"/>
      <c r="O348" s="15"/>
    </row>
    <row r="349" customFormat="false" ht="25.35" hidden="false" customHeight="false" outlineLevel="0" collapsed="false">
      <c r="A349" s="9" t="n">
        <v>343</v>
      </c>
      <c r="B349" s="10" t="s">
        <v>550</v>
      </c>
      <c r="C349" s="10" t="s">
        <v>551</v>
      </c>
      <c r="D349" s="11"/>
      <c r="E349" s="12"/>
      <c r="F349" s="11" t="n">
        <v>0.00676597222222222</v>
      </c>
      <c r="G349" s="12" t="n">
        <v>143</v>
      </c>
      <c r="H349" s="11" t="n">
        <v>0.00289074074074074</v>
      </c>
      <c r="I349" s="12" t="n">
        <v>872</v>
      </c>
      <c r="J349" s="12" t="n">
        <f aca="false">COUNT(E349,G349,I349)</f>
        <v>2</v>
      </c>
      <c r="K349" s="13" t="n">
        <f aca="false">MIN(E349,G349,I349)</f>
        <v>143</v>
      </c>
      <c r="L349" s="9" t="str">
        <f aca="false">IF(E349=K349,"5000m",IF(G349=K349,"3000mSC","1500m"))</f>
        <v>3000mSC</v>
      </c>
      <c r="M349" s="14" t="n">
        <f aca="false">(D349&lt;&gt;"")*(D349&lt;=($E$3*60+$F$3)/86400)+(F349&lt;&gt;"")*(F349&lt;=($I$3*60+$J$3)/86400)+(H349&lt;&gt;"")*(H349&lt;=($M$3*60+$N$3)/86400)</f>
        <v>0</v>
      </c>
      <c r="N349" s="16"/>
      <c r="O349" s="15"/>
    </row>
    <row r="350" customFormat="false" ht="15" hidden="false" customHeight="false" outlineLevel="0" collapsed="false">
      <c r="A350" s="9" t="n">
        <v>344</v>
      </c>
      <c r="B350" s="10" t="s">
        <v>552</v>
      </c>
      <c r="C350" s="10" t="s">
        <v>83</v>
      </c>
      <c r="D350" s="11" t="n">
        <v>0.0102770833333333</v>
      </c>
      <c r="E350" s="12" t="n">
        <v>143</v>
      </c>
      <c r="F350" s="11"/>
      <c r="G350" s="12"/>
      <c r="H350" s="11" t="n">
        <v>0.00292951388888889</v>
      </c>
      <c r="I350" s="12" t="n">
        <v>1173</v>
      </c>
      <c r="J350" s="12" t="n">
        <f aca="false">COUNT(E350,G350,I350)</f>
        <v>2</v>
      </c>
      <c r="K350" s="13" t="n">
        <f aca="false">MIN(E350,G350,I350)</f>
        <v>143</v>
      </c>
      <c r="L350" s="9" t="str">
        <f aca="false">IF(E350=K350,"5000m",IF(G350=K350,"3000mSC","1500m"))</f>
        <v>5000m</v>
      </c>
      <c r="M350" s="14" t="n">
        <f aca="false">(D350&lt;&gt;"")*(D350&lt;=($E$3*60+$F$3)/86400)+(F350&lt;&gt;"")*(F350&lt;=($I$3*60+$J$3)/86400)+(H350&lt;&gt;"")*(H350&lt;=($M$3*60+$N$3)/86400)</f>
        <v>0</v>
      </c>
      <c r="N350" s="16"/>
      <c r="O350" s="15"/>
    </row>
    <row r="351" customFormat="false" ht="15" hidden="false" customHeight="false" outlineLevel="0" collapsed="false">
      <c r="A351" s="9" t="n">
        <v>345</v>
      </c>
      <c r="B351" s="10" t="s">
        <v>553</v>
      </c>
      <c r="C351" s="10" t="s">
        <v>83</v>
      </c>
      <c r="D351" s="11" t="n">
        <v>0.0104083333333333</v>
      </c>
      <c r="E351" s="12" t="n">
        <v>272</v>
      </c>
      <c r="F351" s="11"/>
      <c r="G351" s="12"/>
      <c r="H351" s="11" t="n">
        <v>0.00276331018518519</v>
      </c>
      <c r="I351" s="12" t="n">
        <v>144</v>
      </c>
      <c r="J351" s="12" t="n">
        <f aca="false">COUNT(E351,G351,I351)</f>
        <v>2</v>
      </c>
      <c r="K351" s="13" t="n">
        <f aca="false">MIN(E351,G351,I351)</f>
        <v>144</v>
      </c>
      <c r="L351" s="9" t="str">
        <f aca="false">IF(E351=K351,"5000m",IF(G351=K351,"3000mSC","1500m"))</f>
        <v>1500m</v>
      </c>
      <c r="M351" s="14" t="n">
        <f aca="false">(D351&lt;&gt;"")*(D351&lt;=($E$3*60+$F$3)/86400)+(F351&lt;&gt;"")*(F351&lt;=($I$3*60+$J$3)/86400)+(H351&lt;&gt;"")*(H351&lt;=($M$3*60+$N$3)/86400)</f>
        <v>0</v>
      </c>
      <c r="N351" s="16"/>
      <c r="O351" s="15"/>
    </row>
    <row r="352" customFormat="false" ht="15" hidden="false" customHeight="false" outlineLevel="0" collapsed="false">
      <c r="A352" s="9" t="n">
        <v>346</v>
      </c>
      <c r="B352" s="10" t="s">
        <v>554</v>
      </c>
      <c r="C352" s="10" t="s">
        <v>555</v>
      </c>
      <c r="D352" s="11"/>
      <c r="E352" s="12"/>
      <c r="F352" s="11" t="n">
        <v>0.00771712962962963</v>
      </c>
      <c r="G352" s="12" t="n">
        <v>1084</v>
      </c>
      <c r="H352" s="11" t="n">
        <v>0.00276412037037037</v>
      </c>
      <c r="I352" s="12" t="n">
        <v>145</v>
      </c>
      <c r="J352" s="12" t="n">
        <f aca="false">COUNT(E352,G352,I352)</f>
        <v>2</v>
      </c>
      <c r="K352" s="13" t="n">
        <f aca="false">MIN(E352,G352,I352)</f>
        <v>145</v>
      </c>
      <c r="L352" s="9" t="str">
        <f aca="false">IF(E352=K352,"5000m",IF(G352=K352,"3000mSC","1500m"))</f>
        <v>1500m</v>
      </c>
      <c r="M352" s="14" t="n">
        <f aca="false">(D352&lt;&gt;"")*(D352&lt;=($E$3*60+$F$3)/86400)+(F352&lt;&gt;"")*(F352&lt;=($I$3*60+$J$3)/86400)+(H352&lt;&gt;"")*(H352&lt;=($M$3*60+$N$3)/86400)</f>
        <v>0</v>
      </c>
      <c r="N352" s="10" t="s">
        <v>556</v>
      </c>
      <c r="O352" s="15"/>
    </row>
    <row r="353" customFormat="false" ht="25.35" hidden="false" customHeight="false" outlineLevel="0" collapsed="false">
      <c r="A353" s="9" t="n">
        <v>347</v>
      </c>
      <c r="B353" s="10" t="s">
        <v>557</v>
      </c>
      <c r="C353" s="10" t="s">
        <v>440</v>
      </c>
      <c r="D353" s="11"/>
      <c r="E353" s="12"/>
      <c r="F353" s="11" t="n">
        <v>0.00676759259259259</v>
      </c>
      <c r="G353" s="12" t="n">
        <v>145</v>
      </c>
      <c r="H353" s="11"/>
      <c r="I353" s="12"/>
      <c r="J353" s="12" t="n">
        <f aca="false">COUNT(E353,G353,I353)</f>
        <v>1</v>
      </c>
      <c r="K353" s="13" t="n">
        <f aca="false">MIN(E353,G353,I353)</f>
        <v>145</v>
      </c>
      <c r="L353" s="9" t="str">
        <f aca="false">IF(E353=K353,"5000m",IF(G353=K353,"3000mSC","1500m"))</f>
        <v>3000mSC</v>
      </c>
      <c r="M353" s="14" t="n">
        <f aca="false">(D353&lt;&gt;"")*(D353&lt;=($E$3*60+$F$3)/86400)+(F353&lt;&gt;"")*(F353&lt;=($I$3*60+$J$3)/86400)+(H353&lt;&gt;"")*(H353&lt;=($M$3*60+$N$3)/86400)</f>
        <v>0</v>
      </c>
      <c r="N353" s="16"/>
      <c r="O353" s="15"/>
    </row>
    <row r="354" customFormat="false" ht="25.35" hidden="false" customHeight="false" outlineLevel="0" collapsed="false">
      <c r="A354" s="9" t="n">
        <v>348</v>
      </c>
      <c r="B354" s="10" t="s">
        <v>558</v>
      </c>
      <c r="C354" s="10" t="s">
        <v>298</v>
      </c>
      <c r="D354" s="11" t="n">
        <v>0.0109322916666667</v>
      </c>
      <c r="E354" s="12" t="n">
        <v>971</v>
      </c>
      <c r="F354" s="11" t="n">
        <v>0.00676782407407408</v>
      </c>
      <c r="G354" s="12" t="n">
        <v>146</v>
      </c>
      <c r="H354" s="11" t="n">
        <v>0.0028806712962963</v>
      </c>
      <c r="I354" s="12" t="n">
        <v>775</v>
      </c>
      <c r="J354" s="12" t="n">
        <f aca="false">COUNT(E354,G354,I354)</f>
        <v>3</v>
      </c>
      <c r="K354" s="13" t="n">
        <f aca="false">MIN(E354,G354,I354)</f>
        <v>146</v>
      </c>
      <c r="L354" s="9" t="str">
        <f aca="false">IF(E354=K354,"5000m",IF(G354=K354,"3000mSC","1500m"))</f>
        <v>3000mSC</v>
      </c>
      <c r="M354" s="14" t="n">
        <f aca="false">(D354&lt;&gt;"")*(D354&lt;=($E$3*60+$F$3)/86400)+(F354&lt;&gt;"")*(F354&lt;=($I$3*60+$J$3)/86400)+(H354&lt;&gt;"")*(H354&lt;=($M$3*60+$N$3)/86400)</f>
        <v>0</v>
      </c>
      <c r="N354" s="16"/>
      <c r="O354" s="15"/>
    </row>
    <row r="355" customFormat="false" ht="15" hidden="false" customHeight="false" outlineLevel="0" collapsed="false">
      <c r="A355" s="9" t="n">
        <v>349</v>
      </c>
      <c r="B355" s="10" t="s">
        <v>559</v>
      </c>
      <c r="C355" s="10" t="s">
        <v>175</v>
      </c>
      <c r="D355" s="11" t="n">
        <v>0.0104099537037037</v>
      </c>
      <c r="E355" s="12" t="n">
        <v>275</v>
      </c>
      <c r="F355" s="11"/>
      <c r="G355" s="12"/>
      <c r="H355" s="11" t="n">
        <v>0.00276446759259259</v>
      </c>
      <c r="I355" s="12" t="n">
        <v>146</v>
      </c>
      <c r="J355" s="12" t="n">
        <f aca="false">COUNT(E355,G355,I355)</f>
        <v>2</v>
      </c>
      <c r="K355" s="13" t="n">
        <f aca="false">MIN(E355,G355,I355)</f>
        <v>146</v>
      </c>
      <c r="L355" s="9" t="str">
        <f aca="false">IF(E355=K355,"5000m",IF(G355=K355,"3000mSC","1500m"))</f>
        <v>1500m</v>
      </c>
      <c r="M355" s="14" t="n">
        <f aca="false">(D355&lt;&gt;"")*(D355&lt;=($E$3*60+$F$3)/86400)+(F355&lt;&gt;"")*(F355&lt;=($I$3*60+$J$3)/86400)+(H355&lt;&gt;"")*(H355&lt;=($M$3*60+$N$3)/86400)</f>
        <v>0</v>
      </c>
      <c r="N355" s="16"/>
      <c r="O355" s="15"/>
    </row>
    <row r="356" customFormat="false" ht="15" hidden="false" customHeight="false" outlineLevel="0" collapsed="false">
      <c r="A356" s="9" t="n">
        <v>350</v>
      </c>
      <c r="B356" s="10" t="s">
        <v>560</v>
      </c>
      <c r="C356" s="10" t="s">
        <v>49</v>
      </c>
      <c r="D356" s="11" t="n">
        <v>0.0103599537037037</v>
      </c>
      <c r="E356" s="12" t="n">
        <v>217</v>
      </c>
      <c r="F356" s="11"/>
      <c r="G356" s="12"/>
      <c r="H356" s="11" t="n">
        <v>0.00276469907407407</v>
      </c>
      <c r="I356" s="12" t="n">
        <v>147</v>
      </c>
      <c r="J356" s="12" t="n">
        <f aca="false">COUNT(E356,G356,I356)</f>
        <v>2</v>
      </c>
      <c r="K356" s="13" t="n">
        <f aca="false">MIN(E356,G356,I356)</f>
        <v>147</v>
      </c>
      <c r="L356" s="9" t="str">
        <f aca="false">IF(E356=K356,"5000m",IF(G356=K356,"3000mSC","1500m"))</f>
        <v>1500m</v>
      </c>
      <c r="M356" s="14" t="n">
        <f aca="false">(D356&lt;&gt;"")*(D356&lt;=($E$3*60+$F$3)/86400)+(F356&lt;&gt;"")*(F356&lt;=($I$3*60+$J$3)/86400)+(H356&lt;&gt;"")*(H356&lt;=($M$3*60+$N$3)/86400)</f>
        <v>0</v>
      </c>
      <c r="N356" s="16"/>
      <c r="O356" s="15"/>
    </row>
    <row r="357" customFormat="false" ht="25.35" hidden="false" customHeight="false" outlineLevel="0" collapsed="false">
      <c r="A357" s="9" t="n">
        <v>351</v>
      </c>
      <c r="B357" s="10" t="s">
        <v>561</v>
      </c>
      <c r="C357" s="10" t="s">
        <v>393</v>
      </c>
      <c r="D357" s="11" t="n">
        <v>0.0109861111111111</v>
      </c>
      <c r="E357" s="12" t="n">
        <v>1070</v>
      </c>
      <c r="F357" s="11" t="n">
        <v>0.00677037037037037</v>
      </c>
      <c r="G357" s="12" t="n">
        <v>147</v>
      </c>
      <c r="H357" s="11"/>
      <c r="I357" s="12"/>
      <c r="J357" s="12" t="n">
        <f aca="false">COUNT(E357,G357,I357)</f>
        <v>2</v>
      </c>
      <c r="K357" s="13" t="n">
        <f aca="false">MIN(E357,G357,I357)</f>
        <v>147</v>
      </c>
      <c r="L357" s="9" t="str">
        <f aca="false">IF(E357=K357,"5000m",IF(G357=K357,"3000mSC","1500m"))</f>
        <v>3000mSC</v>
      </c>
      <c r="M357" s="14" t="n">
        <f aca="false">(D357&lt;&gt;"")*(D357&lt;=($E$3*60+$F$3)/86400)+(F357&lt;&gt;"")*(F357&lt;=($I$3*60+$J$3)/86400)+(H357&lt;&gt;"")*(H357&lt;=($M$3*60+$N$3)/86400)</f>
        <v>0</v>
      </c>
      <c r="N357" s="16"/>
      <c r="O357" s="15"/>
    </row>
    <row r="358" customFormat="false" ht="15" hidden="false" customHeight="false" outlineLevel="0" collapsed="false">
      <c r="A358" s="9" t="n">
        <v>352</v>
      </c>
      <c r="B358" s="10" t="s">
        <v>562</v>
      </c>
      <c r="C358" s="10" t="s">
        <v>53</v>
      </c>
      <c r="D358" s="11" t="n">
        <v>0.0107357638888889</v>
      </c>
      <c r="E358" s="12" t="n">
        <v>643</v>
      </c>
      <c r="F358" s="11"/>
      <c r="G358" s="12"/>
      <c r="H358" s="11" t="n">
        <v>0.00276481481481482</v>
      </c>
      <c r="I358" s="12" t="n">
        <v>148</v>
      </c>
      <c r="J358" s="12" t="n">
        <f aca="false">COUNT(E358,G358,I358)</f>
        <v>2</v>
      </c>
      <c r="K358" s="13" t="n">
        <f aca="false">MIN(E358,G358,I358)</f>
        <v>148</v>
      </c>
      <c r="L358" s="9" t="str">
        <f aca="false">IF(E358=K358,"5000m",IF(G358=K358,"3000mSC","1500m"))</f>
        <v>1500m</v>
      </c>
      <c r="M358" s="14" t="n">
        <f aca="false">(D358&lt;&gt;"")*(D358&lt;=($E$3*60+$F$3)/86400)+(F358&lt;&gt;"")*(F358&lt;=($I$3*60+$J$3)/86400)+(H358&lt;&gt;"")*(H358&lt;=($M$3*60+$N$3)/86400)</f>
        <v>0</v>
      </c>
      <c r="N358" s="16"/>
      <c r="O358" s="15"/>
    </row>
    <row r="359" customFormat="false" ht="25.35" hidden="false" customHeight="false" outlineLevel="0" collapsed="false">
      <c r="A359" s="9" t="n">
        <v>353</v>
      </c>
      <c r="B359" s="10" t="s">
        <v>563</v>
      </c>
      <c r="C359" s="10" t="s">
        <v>564</v>
      </c>
      <c r="D359" s="11" t="n">
        <v>0.0109428240740741</v>
      </c>
      <c r="E359" s="12" t="n">
        <v>988</v>
      </c>
      <c r="F359" s="11" t="n">
        <v>0.00677060185185185</v>
      </c>
      <c r="G359" s="12" t="n">
        <v>148</v>
      </c>
      <c r="H359" s="11"/>
      <c r="I359" s="12"/>
      <c r="J359" s="12" t="n">
        <f aca="false">COUNT(E359,G359,I359)</f>
        <v>2</v>
      </c>
      <c r="K359" s="13" t="n">
        <f aca="false">MIN(E359,G359,I359)</f>
        <v>148</v>
      </c>
      <c r="L359" s="9" t="str">
        <f aca="false">IF(E359=K359,"5000m",IF(G359=K359,"3000mSC","1500m"))</f>
        <v>3000mSC</v>
      </c>
      <c r="M359" s="14" t="n">
        <f aca="false">(D359&lt;&gt;"")*(D359&lt;=($E$3*60+$F$3)/86400)+(F359&lt;&gt;"")*(F359&lt;=($I$3*60+$J$3)/86400)+(H359&lt;&gt;"")*(H359&lt;=($M$3*60+$N$3)/86400)</f>
        <v>0</v>
      </c>
      <c r="N359" s="16"/>
      <c r="O359" s="15"/>
    </row>
    <row r="360" customFormat="false" ht="15" hidden="false" customHeight="false" outlineLevel="0" collapsed="false">
      <c r="A360" s="9" t="n">
        <v>354</v>
      </c>
      <c r="B360" s="10" t="s">
        <v>565</v>
      </c>
      <c r="C360" s="10" t="s">
        <v>380</v>
      </c>
      <c r="D360" s="11" t="n">
        <v>0.0102820601851852</v>
      </c>
      <c r="E360" s="12" t="n">
        <v>149</v>
      </c>
      <c r="F360" s="11" t="n">
        <v>0.00693680555555556</v>
      </c>
      <c r="G360" s="12" t="n">
        <v>280</v>
      </c>
      <c r="H360" s="11" t="n">
        <v>0.00288113425925926</v>
      </c>
      <c r="I360" s="12" t="n">
        <v>778</v>
      </c>
      <c r="J360" s="12" t="n">
        <f aca="false">COUNT(E360,G360,I360)</f>
        <v>3</v>
      </c>
      <c r="K360" s="13" t="n">
        <f aca="false">MIN(E360,G360,I360)</f>
        <v>149</v>
      </c>
      <c r="L360" s="9" t="str">
        <f aca="false">IF(E360=K360,"5000m",IF(G360=K360,"3000mSC","1500m"))</f>
        <v>5000m</v>
      </c>
      <c r="M360" s="14" t="n">
        <f aca="false">(D360&lt;&gt;"")*(D360&lt;=($E$3*60+$F$3)/86400)+(F360&lt;&gt;"")*(F360&lt;=($I$3*60+$J$3)/86400)+(H360&lt;&gt;"")*(H360&lt;=($M$3*60+$N$3)/86400)</f>
        <v>0</v>
      </c>
      <c r="N360" s="16"/>
      <c r="O360" s="15"/>
    </row>
    <row r="361" customFormat="false" ht="25.35" hidden="false" customHeight="false" outlineLevel="0" collapsed="false">
      <c r="A361" s="9" t="n">
        <v>355</v>
      </c>
      <c r="B361" s="10" t="s">
        <v>566</v>
      </c>
      <c r="C361" s="10" t="s">
        <v>567</v>
      </c>
      <c r="D361" s="11" t="n">
        <v>0.0106440972222222</v>
      </c>
      <c r="E361" s="12" t="n">
        <v>517</v>
      </c>
      <c r="F361" s="11" t="n">
        <v>0.00677175925925926</v>
      </c>
      <c r="G361" s="12" t="n">
        <v>149</v>
      </c>
      <c r="H361" s="11"/>
      <c r="I361" s="12"/>
      <c r="J361" s="12" t="n">
        <f aca="false">COUNT(E361,G361,I361)</f>
        <v>2</v>
      </c>
      <c r="K361" s="13" t="n">
        <f aca="false">MIN(E361,G361,I361)</f>
        <v>149</v>
      </c>
      <c r="L361" s="9" t="str">
        <f aca="false">IF(E361=K361,"5000m",IF(G361=K361,"3000mSC","1500m"))</f>
        <v>3000mSC</v>
      </c>
      <c r="M361" s="14" t="n">
        <f aca="false">(D361&lt;&gt;"")*(D361&lt;=($E$3*60+$F$3)/86400)+(F361&lt;&gt;"")*(F361&lt;=($I$3*60+$J$3)/86400)+(H361&lt;&gt;"")*(H361&lt;=($M$3*60+$N$3)/86400)</f>
        <v>0</v>
      </c>
      <c r="N361" s="16"/>
      <c r="O361" s="15"/>
    </row>
    <row r="362" customFormat="false" ht="25.35" hidden="false" customHeight="false" outlineLevel="0" collapsed="false">
      <c r="A362" s="9" t="n">
        <v>356</v>
      </c>
      <c r="B362" s="10" t="s">
        <v>568</v>
      </c>
      <c r="C362" s="10" t="s">
        <v>47</v>
      </c>
      <c r="D362" s="11" t="n">
        <v>0.0107232638888889</v>
      </c>
      <c r="E362" s="12" t="n">
        <v>619</v>
      </c>
      <c r="F362" s="11" t="n">
        <v>0.00677303240740741</v>
      </c>
      <c r="G362" s="12" t="n">
        <v>150</v>
      </c>
      <c r="H362" s="11" t="n">
        <v>0.00282118055555556</v>
      </c>
      <c r="I362" s="12" t="n">
        <v>370</v>
      </c>
      <c r="J362" s="12" t="n">
        <f aca="false">COUNT(E362,G362,I362)</f>
        <v>3</v>
      </c>
      <c r="K362" s="13" t="n">
        <f aca="false">MIN(E362,G362,I362)</f>
        <v>150</v>
      </c>
      <c r="L362" s="9" t="str">
        <f aca="false">IF(E362=K362,"5000m",IF(G362=K362,"3000mSC","1500m"))</f>
        <v>3000mSC</v>
      </c>
      <c r="M362" s="14" t="n">
        <f aca="false">(D362&lt;&gt;"")*(D362&lt;=($E$3*60+$F$3)/86400)+(F362&lt;&gt;"")*(F362&lt;=($I$3*60+$J$3)/86400)+(H362&lt;&gt;"")*(H362&lt;=($M$3*60+$N$3)/86400)</f>
        <v>0</v>
      </c>
      <c r="N362" s="16"/>
      <c r="O362" s="15"/>
    </row>
    <row r="363" customFormat="false" ht="15" hidden="false" customHeight="false" outlineLevel="0" collapsed="false">
      <c r="A363" s="9" t="n">
        <v>357</v>
      </c>
      <c r="B363" s="10" t="s">
        <v>569</v>
      </c>
      <c r="C363" s="10" t="s">
        <v>570</v>
      </c>
      <c r="D363" s="11" t="n">
        <v>0.0102821759259259</v>
      </c>
      <c r="E363" s="12" t="n">
        <v>150</v>
      </c>
      <c r="F363" s="11"/>
      <c r="G363" s="12"/>
      <c r="H363" s="11" t="n">
        <v>0.00280266203703704</v>
      </c>
      <c r="I363" s="12" t="n">
        <v>294</v>
      </c>
      <c r="J363" s="12" t="n">
        <f aca="false">COUNT(E363,G363,I363)</f>
        <v>2</v>
      </c>
      <c r="K363" s="13" t="n">
        <f aca="false">MIN(E363,G363,I363)</f>
        <v>150</v>
      </c>
      <c r="L363" s="9" t="str">
        <f aca="false">IF(E363=K363,"5000m",IF(G363=K363,"3000mSC","1500m"))</f>
        <v>5000m</v>
      </c>
      <c r="M363" s="14" t="n">
        <f aca="false">(D363&lt;&gt;"")*(D363&lt;=($E$3*60+$F$3)/86400)+(F363&lt;&gt;"")*(F363&lt;=($I$3*60+$J$3)/86400)+(H363&lt;&gt;"")*(H363&lt;=($M$3*60+$N$3)/86400)</f>
        <v>0</v>
      </c>
      <c r="N363" s="16"/>
      <c r="O363" s="15"/>
    </row>
    <row r="364" customFormat="false" ht="15" hidden="false" customHeight="false" outlineLevel="0" collapsed="false">
      <c r="A364" s="9" t="n">
        <v>358</v>
      </c>
      <c r="B364" s="10" t="s">
        <v>571</v>
      </c>
      <c r="C364" s="10" t="s">
        <v>312</v>
      </c>
      <c r="D364" s="11" t="n">
        <v>0.0107869212962963</v>
      </c>
      <c r="E364" s="12" t="n">
        <v>714</v>
      </c>
      <c r="F364" s="11"/>
      <c r="G364" s="12"/>
      <c r="H364" s="11" t="n">
        <v>0.00276516203703704</v>
      </c>
      <c r="I364" s="12" t="n">
        <v>150</v>
      </c>
      <c r="J364" s="12" t="n">
        <f aca="false">COUNT(E364,G364,I364)</f>
        <v>2</v>
      </c>
      <c r="K364" s="13" t="n">
        <f aca="false">MIN(E364,G364,I364)</f>
        <v>150</v>
      </c>
      <c r="L364" s="9" t="str">
        <f aca="false">IF(E364=K364,"5000m",IF(G364=K364,"3000mSC","1500m"))</f>
        <v>1500m</v>
      </c>
      <c r="M364" s="14" t="n">
        <f aca="false">(D364&lt;&gt;"")*(D364&lt;=($E$3*60+$F$3)/86400)+(F364&lt;&gt;"")*(F364&lt;=($I$3*60+$J$3)/86400)+(H364&lt;&gt;"")*(H364&lt;=($M$3*60+$N$3)/86400)</f>
        <v>0</v>
      </c>
      <c r="N364" s="16"/>
      <c r="O364" s="15"/>
    </row>
    <row r="365" customFormat="false" ht="15" hidden="false" customHeight="false" outlineLevel="0" collapsed="false">
      <c r="A365" s="9" t="n">
        <v>359</v>
      </c>
      <c r="B365" s="10" t="s">
        <v>572</v>
      </c>
      <c r="C365" s="10" t="s">
        <v>85</v>
      </c>
      <c r="D365" s="11" t="n">
        <v>0.0102822916666667</v>
      </c>
      <c r="E365" s="12" t="n">
        <v>151</v>
      </c>
      <c r="F365" s="11"/>
      <c r="G365" s="12"/>
      <c r="H365" s="11" t="n">
        <v>0.00278773148148148</v>
      </c>
      <c r="I365" s="12" t="n">
        <v>233</v>
      </c>
      <c r="J365" s="12" t="n">
        <f aca="false">COUNT(E365,G365,I365)</f>
        <v>2</v>
      </c>
      <c r="K365" s="13" t="n">
        <f aca="false">MIN(E365,G365,I365)</f>
        <v>151</v>
      </c>
      <c r="L365" s="9" t="str">
        <f aca="false">IF(E365=K365,"5000m",IF(G365=K365,"3000mSC","1500m"))</f>
        <v>5000m</v>
      </c>
      <c r="M365" s="14" t="n">
        <f aca="false">(D365&lt;&gt;"")*(D365&lt;=($E$3*60+$F$3)/86400)+(F365&lt;&gt;"")*(F365&lt;=($I$3*60+$J$3)/86400)+(H365&lt;&gt;"")*(H365&lt;=($M$3*60+$N$3)/86400)</f>
        <v>0</v>
      </c>
      <c r="N365" s="16"/>
      <c r="O365" s="15"/>
    </row>
    <row r="366" customFormat="false" ht="15" hidden="false" customHeight="false" outlineLevel="0" collapsed="false">
      <c r="A366" s="9" t="n">
        <v>360</v>
      </c>
      <c r="B366" s="10" t="s">
        <v>573</v>
      </c>
      <c r="C366" s="10" t="s">
        <v>112</v>
      </c>
      <c r="D366" s="11" t="n">
        <v>0.01070625</v>
      </c>
      <c r="E366" s="12" t="n">
        <v>590</v>
      </c>
      <c r="F366" s="11"/>
      <c r="G366" s="12"/>
      <c r="H366" s="11" t="n">
        <v>0.00276585648148148</v>
      </c>
      <c r="I366" s="12" t="n">
        <v>151</v>
      </c>
      <c r="J366" s="12" t="n">
        <f aca="false">COUNT(E366,G366,I366)</f>
        <v>2</v>
      </c>
      <c r="K366" s="13" t="n">
        <f aca="false">MIN(E366,G366,I366)</f>
        <v>151</v>
      </c>
      <c r="L366" s="9" t="str">
        <f aca="false">IF(E366=K366,"5000m",IF(G366=K366,"3000mSC","1500m"))</f>
        <v>1500m</v>
      </c>
      <c r="M366" s="14" t="n">
        <f aca="false">(D366&lt;&gt;"")*(D366&lt;=($E$3*60+$F$3)/86400)+(F366&lt;&gt;"")*(F366&lt;=($I$3*60+$J$3)/86400)+(H366&lt;&gt;"")*(H366&lt;=($M$3*60+$N$3)/86400)</f>
        <v>0</v>
      </c>
      <c r="N366" s="16"/>
      <c r="O366" s="15"/>
    </row>
    <row r="367" customFormat="false" ht="25.35" hidden="false" customHeight="false" outlineLevel="0" collapsed="false">
      <c r="A367" s="9" t="n">
        <v>361</v>
      </c>
      <c r="B367" s="10" t="s">
        <v>574</v>
      </c>
      <c r="C367" s="10" t="s">
        <v>397</v>
      </c>
      <c r="D367" s="11"/>
      <c r="E367" s="12"/>
      <c r="F367" s="11" t="n">
        <v>0.00677511574074074</v>
      </c>
      <c r="G367" s="12" t="n">
        <v>151</v>
      </c>
      <c r="H367" s="11"/>
      <c r="I367" s="12"/>
      <c r="J367" s="12" t="n">
        <f aca="false">COUNT(E367,G367,I367)</f>
        <v>1</v>
      </c>
      <c r="K367" s="13" t="n">
        <f aca="false">MIN(E367,G367,I367)</f>
        <v>151</v>
      </c>
      <c r="L367" s="9" t="str">
        <f aca="false">IF(E367=K367,"5000m",IF(G367=K367,"3000mSC","1500m"))</f>
        <v>3000mSC</v>
      </c>
      <c r="M367" s="14" t="n">
        <f aca="false">(D367&lt;&gt;"")*(D367&lt;=($E$3*60+$F$3)/86400)+(F367&lt;&gt;"")*(F367&lt;=($I$3*60+$J$3)/86400)+(H367&lt;&gt;"")*(H367&lt;=($M$3*60+$N$3)/86400)</f>
        <v>0</v>
      </c>
      <c r="N367" s="16"/>
      <c r="O367" s="15"/>
    </row>
    <row r="368" customFormat="false" ht="25.35" hidden="false" customHeight="false" outlineLevel="0" collapsed="false">
      <c r="A368" s="9" t="n">
        <v>362</v>
      </c>
      <c r="B368" s="10" t="s">
        <v>575</v>
      </c>
      <c r="C368" s="10" t="s">
        <v>95</v>
      </c>
      <c r="D368" s="11" t="n">
        <v>0.0107016203703704</v>
      </c>
      <c r="E368" s="12" t="n">
        <v>587</v>
      </c>
      <c r="F368" s="11" t="n">
        <v>0.00677569444444444</v>
      </c>
      <c r="G368" s="12" t="n">
        <v>152</v>
      </c>
      <c r="H368" s="11" t="n">
        <v>0.00289988425925926</v>
      </c>
      <c r="I368" s="12" t="n">
        <v>946</v>
      </c>
      <c r="J368" s="12" t="n">
        <f aca="false">COUNT(E368,G368,I368)</f>
        <v>3</v>
      </c>
      <c r="K368" s="13" t="n">
        <f aca="false">MIN(E368,G368,I368)</f>
        <v>152</v>
      </c>
      <c r="L368" s="9" t="str">
        <f aca="false">IF(E368=K368,"5000m",IF(G368=K368,"3000mSC","1500m"))</f>
        <v>3000mSC</v>
      </c>
      <c r="M368" s="14" t="n">
        <f aca="false">(D368&lt;&gt;"")*(D368&lt;=($E$3*60+$F$3)/86400)+(F368&lt;&gt;"")*(F368&lt;=($I$3*60+$J$3)/86400)+(H368&lt;&gt;"")*(H368&lt;=($M$3*60+$N$3)/86400)</f>
        <v>0</v>
      </c>
      <c r="N368" s="16"/>
      <c r="O368" s="15"/>
    </row>
    <row r="369" customFormat="false" ht="25.35" hidden="false" customHeight="false" outlineLevel="0" collapsed="false">
      <c r="A369" s="9" t="n">
        <v>363</v>
      </c>
      <c r="B369" s="10" t="s">
        <v>576</v>
      </c>
      <c r="C369" s="10" t="s">
        <v>577</v>
      </c>
      <c r="D369" s="11" t="n">
        <v>0.011018287037037</v>
      </c>
      <c r="E369" s="12" t="n">
        <v>1126</v>
      </c>
      <c r="F369" s="11" t="n">
        <v>0.00677627314814815</v>
      </c>
      <c r="G369" s="12" t="n">
        <v>153</v>
      </c>
      <c r="H369" s="11"/>
      <c r="I369" s="12"/>
      <c r="J369" s="12" t="n">
        <f aca="false">COUNT(E369,G369,I369)</f>
        <v>2</v>
      </c>
      <c r="K369" s="13" t="n">
        <f aca="false">MIN(E369,G369,I369)</f>
        <v>153</v>
      </c>
      <c r="L369" s="9" t="str">
        <f aca="false">IF(E369=K369,"5000m",IF(G369=K369,"3000mSC","1500m"))</f>
        <v>3000mSC</v>
      </c>
      <c r="M369" s="14" t="n">
        <f aca="false">(D369&lt;&gt;"")*(D369&lt;=($E$3*60+$F$3)/86400)+(F369&lt;&gt;"")*(F369&lt;=($I$3*60+$J$3)/86400)+(H369&lt;&gt;"")*(H369&lt;=($M$3*60+$N$3)/86400)</f>
        <v>0</v>
      </c>
      <c r="N369" s="16"/>
      <c r="O369" s="15"/>
    </row>
    <row r="370" customFormat="false" ht="15" hidden="false" customHeight="false" outlineLevel="0" collapsed="false">
      <c r="A370" s="9" t="n">
        <v>364</v>
      </c>
      <c r="B370" s="10" t="s">
        <v>578</v>
      </c>
      <c r="C370" s="10" t="s">
        <v>371</v>
      </c>
      <c r="D370" s="11" t="n">
        <v>0.0102885416666667</v>
      </c>
      <c r="E370" s="12" t="n">
        <v>154</v>
      </c>
      <c r="F370" s="11"/>
      <c r="G370" s="12"/>
      <c r="H370" s="11" t="n">
        <v>0.00280694444444444</v>
      </c>
      <c r="I370" s="12" t="n">
        <v>313</v>
      </c>
      <c r="J370" s="12" t="n">
        <f aca="false">COUNT(E370,G370,I370)</f>
        <v>2</v>
      </c>
      <c r="K370" s="13" t="n">
        <f aca="false">MIN(E370,G370,I370)</f>
        <v>154</v>
      </c>
      <c r="L370" s="9" t="str">
        <f aca="false">IF(E370=K370,"5000m",IF(G370=K370,"3000mSC","1500m"))</f>
        <v>5000m</v>
      </c>
      <c r="M370" s="14" t="n">
        <f aca="false">(D370&lt;&gt;"")*(D370&lt;=($E$3*60+$F$3)/86400)+(F370&lt;&gt;"")*(F370&lt;=($I$3*60+$J$3)/86400)+(H370&lt;&gt;"")*(H370&lt;=($M$3*60+$N$3)/86400)</f>
        <v>0</v>
      </c>
      <c r="N370" s="16"/>
      <c r="O370" s="15"/>
    </row>
    <row r="371" customFormat="false" ht="15" hidden="false" customHeight="false" outlineLevel="0" collapsed="false">
      <c r="A371" s="9" t="n">
        <v>365</v>
      </c>
      <c r="B371" s="10" t="s">
        <v>579</v>
      </c>
      <c r="C371" s="10" t="s">
        <v>25</v>
      </c>
      <c r="D371" s="11" t="n">
        <v>0.0105172453703704</v>
      </c>
      <c r="E371" s="12" t="n">
        <v>362</v>
      </c>
      <c r="F371" s="11"/>
      <c r="G371" s="12"/>
      <c r="H371" s="11" t="n">
        <v>0.00276666666666667</v>
      </c>
      <c r="I371" s="12" t="n">
        <v>154</v>
      </c>
      <c r="J371" s="12" t="n">
        <f aca="false">COUNT(E371,G371,I371)</f>
        <v>2</v>
      </c>
      <c r="K371" s="13" t="n">
        <f aca="false">MIN(E371,G371,I371)</f>
        <v>154</v>
      </c>
      <c r="L371" s="9" t="str">
        <f aca="false">IF(E371=K371,"5000m",IF(G371=K371,"3000mSC","1500m"))</f>
        <v>1500m</v>
      </c>
      <c r="M371" s="14" t="n">
        <f aca="false">(D371&lt;&gt;"")*(D371&lt;=($E$3*60+$F$3)/86400)+(F371&lt;&gt;"")*(F371&lt;=($I$3*60+$J$3)/86400)+(H371&lt;&gt;"")*(H371&lt;=($M$3*60+$N$3)/86400)</f>
        <v>0</v>
      </c>
      <c r="N371" s="16"/>
      <c r="O371" s="15"/>
    </row>
    <row r="372" customFormat="false" ht="25.35" hidden="false" customHeight="false" outlineLevel="0" collapsed="false">
      <c r="A372" s="9" t="n">
        <v>366</v>
      </c>
      <c r="B372" s="10" t="s">
        <v>580</v>
      </c>
      <c r="C372" s="10" t="s">
        <v>581</v>
      </c>
      <c r="D372" s="11" t="n">
        <v>0.0108369212962963</v>
      </c>
      <c r="E372" s="12" t="n">
        <v>804</v>
      </c>
      <c r="F372" s="11" t="n">
        <v>0.00677928240740741</v>
      </c>
      <c r="G372" s="12" t="n">
        <v>154</v>
      </c>
      <c r="H372" s="11"/>
      <c r="I372" s="12"/>
      <c r="J372" s="12" t="n">
        <f aca="false">COUNT(E372,G372,I372)</f>
        <v>2</v>
      </c>
      <c r="K372" s="13" t="n">
        <f aca="false">MIN(E372,G372,I372)</f>
        <v>154</v>
      </c>
      <c r="L372" s="9" t="str">
        <f aca="false">IF(E372=K372,"5000m",IF(G372=K372,"3000mSC","1500m"))</f>
        <v>3000mSC</v>
      </c>
      <c r="M372" s="14" t="n">
        <f aca="false">(D372&lt;&gt;"")*(D372&lt;=($E$3*60+$F$3)/86400)+(F372&lt;&gt;"")*(F372&lt;=($I$3*60+$J$3)/86400)+(H372&lt;&gt;"")*(H372&lt;=($M$3*60+$N$3)/86400)</f>
        <v>0</v>
      </c>
      <c r="N372" s="16"/>
      <c r="O372" s="15"/>
    </row>
    <row r="373" customFormat="false" ht="15" hidden="false" customHeight="false" outlineLevel="0" collapsed="false">
      <c r="A373" s="9" t="n">
        <v>367</v>
      </c>
      <c r="B373" s="10" t="s">
        <v>582</v>
      </c>
      <c r="C373" s="10" t="s">
        <v>534</v>
      </c>
      <c r="D373" s="11" t="n">
        <v>0.0107707175925926</v>
      </c>
      <c r="E373" s="12" t="n">
        <v>697</v>
      </c>
      <c r="F373" s="11"/>
      <c r="G373" s="12"/>
      <c r="H373" s="11" t="n">
        <v>0.00276678240740741</v>
      </c>
      <c r="I373" s="12" t="n">
        <v>155</v>
      </c>
      <c r="J373" s="12" t="n">
        <f aca="false">COUNT(E373,G373,I373)</f>
        <v>2</v>
      </c>
      <c r="K373" s="13" t="n">
        <f aca="false">MIN(E373,G373,I373)</f>
        <v>155</v>
      </c>
      <c r="L373" s="9" t="str">
        <f aca="false">IF(E373=K373,"5000m",IF(G373=K373,"3000mSC","1500m"))</f>
        <v>1500m</v>
      </c>
      <c r="M373" s="14" t="n">
        <f aca="false">(D373&lt;&gt;"")*(D373&lt;=($E$3*60+$F$3)/86400)+(F373&lt;&gt;"")*(F373&lt;=($I$3*60+$J$3)/86400)+(H373&lt;&gt;"")*(H373&lt;=($M$3*60+$N$3)/86400)</f>
        <v>0</v>
      </c>
      <c r="N373" s="16"/>
      <c r="O373" s="15"/>
    </row>
    <row r="374" customFormat="false" ht="25.35" hidden="false" customHeight="false" outlineLevel="0" collapsed="false">
      <c r="A374" s="9" t="n">
        <v>368</v>
      </c>
      <c r="B374" s="10" t="s">
        <v>583</v>
      </c>
      <c r="C374" s="10" t="s">
        <v>162</v>
      </c>
      <c r="D374" s="11"/>
      <c r="E374" s="12"/>
      <c r="F374" s="11" t="n">
        <v>0.00677997685185185</v>
      </c>
      <c r="G374" s="12" t="n">
        <v>155</v>
      </c>
      <c r="H374" s="11" t="n">
        <v>0.00287476851851852</v>
      </c>
      <c r="I374" s="12" t="n">
        <v>732</v>
      </c>
      <c r="J374" s="12" t="n">
        <f aca="false">COUNT(E374,G374,I374)</f>
        <v>2</v>
      </c>
      <c r="K374" s="13" t="n">
        <f aca="false">MIN(E374,G374,I374)</f>
        <v>155</v>
      </c>
      <c r="L374" s="9" t="str">
        <f aca="false">IF(E374=K374,"5000m",IF(G374=K374,"3000mSC","1500m"))</f>
        <v>3000mSC</v>
      </c>
      <c r="M374" s="14" t="n">
        <f aca="false">(D374&lt;&gt;"")*(D374&lt;=($E$3*60+$F$3)/86400)+(F374&lt;&gt;"")*(F374&lt;=($I$3*60+$J$3)/86400)+(H374&lt;&gt;"")*(H374&lt;=($M$3*60+$N$3)/86400)</f>
        <v>0</v>
      </c>
      <c r="N374" s="16"/>
      <c r="O374" s="15"/>
    </row>
    <row r="375" customFormat="false" ht="15" hidden="false" customHeight="false" outlineLevel="0" collapsed="false">
      <c r="A375" s="9" t="n">
        <v>369</v>
      </c>
      <c r="B375" s="10" t="s">
        <v>584</v>
      </c>
      <c r="C375" s="10" t="s">
        <v>585</v>
      </c>
      <c r="D375" s="11" t="n">
        <v>0.0104265046296296</v>
      </c>
      <c r="E375" s="12" t="n">
        <v>292</v>
      </c>
      <c r="F375" s="11"/>
      <c r="G375" s="12"/>
      <c r="H375" s="11" t="n">
        <v>0.00276736111111111</v>
      </c>
      <c r="I375" s="12" t="n">
        <v>156</v>
      </c>
      <c r="J375" s="12" t="n">
        <f aca="false">COUNT(E375,G375,I375)</f>
        <v>2</v>
      </c>
      <c r="K375" s="13" t="n">
        <f aca="false">MIN(E375,G375,I375)</f>
        <v>156</v>
      </c>
      <c r="L375" s="9" t="str">
        <f aca="false">IF(E375=K375,"5000m",IF(G375=K375,"3000mSC","1500m"))</f>
        <v>1500m</v>
      </c>
      <c r="M375" s="14" t="n">
        <f aca="false">(D375&lt;&gt;"")*(D375&lt;=($E$3*60+$F$3)/86400)+(F375&lt;&gt;"")*(F375&lt;=($I$3*60+$J$3)/86400)+(H375&lt;&gt;"")*(H375&lt;=($M$3*60+$N$3)/86400)</f>
        <v>0</v>
      </c>
      <c r="N375" s="16"/>
      <c r="O375" s="15"/>
    </row>
    <row r="376" customFormat="false" ht="25.35" hidden="false" customHeight="false" outlineLevel="0" collapsed="false">
      <c r="A376" s="9" t="n">
        <v>370</v>
      </c>
      <c r="B376" s="10" t="s">
        <v>586</v>
      </c>
      <c r="C376" s="10" t="s">
        <v>57</v>
      </c>
      <c r="D376" s="11" t="n">
        <v>0.0109530092592593</v>
      </c>
      <c r="E376" s="12" t="n">
        <v>1007</v>
      </c>
      <c r="F376" s="11" t="n">
        <v>0.00678148148148148</v>
      </c>
      <c r="G376" s="12" t="n">
        <v>156</v>
      </c>
      <c r="H376" s="11"/>
      <c r="I376" s="12"/>
      <c r="J376" s="12" t="n">
        <f aca="false">COUNT(E376,G376,I376)</f>
        <v>2</v>
      </c>
      <c r="K376" s="13" t="n">
        <f aca="false">MIN(E376,G376,I376)</f>
        <v>156</v>
      </c>
      <c r="L376" s="9" t="str">
        <f aca="false">IF(E376=K376,"5000m",IF(G376=K376,"3000mSC","1500m"))</f>
        <v>3000mSC</v>
      </c>
      <c r="M376" s="14" t="n">
        <f aca="false">(D376&lt;&gt;"")*(D376&lt;=($E$3*60+$F$3)/86400)+(F376&lt;&gt;"")*(F376&lt;=($I$3*60+$J$3)/86400)+(H376&lt;&gt;"")*(H376&lt;=($M$3*60+$N$3)/86400)</f>
        <v>0</v>
      </c>
      <c r="N376" s="16"/>
      <c r="O376" s="15"/>
    </row>
    <row r="377" customFormat="false" ht="25.35" hidden="false" customHeight="false" outlineLevel="0" collapsed="false">
      <c r="A377" s="9" t="n">
        <v>371</v>
      </c>
      <c r="B377" s="10" t="s">
        <v>587</v>
      </c>
      <c r="C377" s="10" t="s">
        <v>588</v>
      </c>
      <c r="D377" s="11" t="n">
        <v>0.0110810185185185</v>
      </c>
      <c r="E377" s="12" t="n">
        <v>1255</v>
      </c>
      <c r="F377" s="11" t="n">
        <v>0.00678206018518519</v>
      </c>
      <c r="G377" s="12" t="n">
        <v>157</v>
      </c>
      <c r="H377" s="11" t="n">
        <v>0.00290636574074074</v>
      </c>
      <c r="I377" s="12" t="n">
        <v>993</v>
      </c>
      <c r="J377" s="12" t="n">
        <f aca="false">COUNT(E377,G377,I377)</f>
        <v>3</v>
      </c>
      <c r="K377" s="13" t="n">
        <f aca="false">MIN(E377,G377,I377)</f>
        <v>157</v>
      </c>
      <c r="L377" s="9" t="str">
        <f aca="false">IF(E377=K377,"5000m",IF(G377=K377,"3000mSC","1500m"))</f>
        <v>3000mSC</v>
      </c>
      <c r="M377" s="14" t="n">
        <f aca="false">(D377&lt;&gt;"")*(D377&lt;=($E$3*60+$F$3)/86400)+(F377&lt;&gt;"")*(F377&lt;=($I$3*60+$J$3)/86400)+(H377&lt;&gt;"")*(H377&lt;=($M$3*60+$N$3)/86400)</f>
        <v>0</v>
      </c>
      <c r="N377" s="16"/>
      <c r="O377" s="15"/>
    </row>
    <row r="378" customFormat="false" ht="15" hidden="false" customHeight="false" outlineLevel="0" collapsed="false">
      <c r="A378" s="9" t="n">
        <v>372</v>
      </c>
      <c r="B378" s="10" t="s">
        <v>589</v>
      </c>
      <c r="C378" s="10" t="s">
        <v>590</v>
      </c>
      <c r="D378" s="11"/>
      <c r="E378" s="12"/>
      <c r="F378" s="11"/>
      <c r="G378" s="12"/>
      <c r="H378" s="11" t="n">
        <v>0.00276805555555556</v>
      </c>
      <c r="I378" s="12" t="n">
        <v>157</v>
      </c>
      <c r="J378" s="12" t="n">
        <f aca="false">COUNT(E378,G378,I378)</f>
        <v>1</v>
      </c>
      <c r="K378" s="13" t="n">
        <f aca="false">MIN(E378,G378,I378)</f>
        <v>157</v>
      </c>
      <c r="L378" s="9" t="str">
        <f aca="false">IF(E378=K378,"5000m",IF(G378=K378,"3000mSC","1500m"))</f>
        <v>1500m</v>
      </c>
      <c r="M378" s="14" t="n">
        <f aca="false">(D378&lt;&gt;"")*(D378&lt;=($E$3*60+$F$3)/86400)+(F378&lt;&gt;"")*(F378&lt;=($I$3*60+$J$3)/86400)+(H378&lt;&gt;"")*(H378&lt;=($M$3*60+$N$3)/86400)</f>
        <v>0</v>
      </c>
      <c r="N378" s="16"/>
      <c r="O378" s="15"/>
    </row>
    <row r="379" customFormat="false" ht="25.35" hidden="false" customHeight="false" outlineLevel="0" collapsed="false">
      <c r="A379" s="9" t="n">
        <v>373</v>
      </c>
      <c r="B379" s="10" t="s">
        <v>591</v>
      </c>
      <c r="C379" s="10" t="s">
        <v>592</v>
      </c>
      <c r="D379" s="11" t="n">
        <v>0.0108329861111111</v>
      </c>
      <c r="E379" s="12" t="n">
        <v>799</v>
      </c>
      <c r="F379" s="11" t="n">
        <v>0.00678356481481482</v>
      </c>
      <c r="G379" s="12" t="n">
        <v>158</v>
      </c>
      <c r="H379" s="11" t="n">
        <v>0.00286273148148148</v>
      </c>
      <c r="I379" s="12" t="n">
        <v>655</v>
      </c>
      <c r="J379" s="12" t="n">
        <f aca="false">COUNT(E379,G379,I379)</f>
        <v>3</v>
      </c>
      <c r="K379" s="13" t="n">
        <f aca="false">MIN(E379,G379,I379)</f>
        <v>158</v>
      </c>
      <c r="L379" s="9" t="str">
        <f aca="false">IF(E379=K379,"5000m",IF(G379=K379,"3000mSC","1500m"))</f>
        <v>3000mSC</v>
      </c>
      <c r="M379" s="14" t="n">
        <f aca="false">(D379&lt;&gt;"")*(D379&lt;=($E$3*60+$F$3)/86400)+(F379&lt;&gt;"")*(F379&lt;=($I$3*60+$J$3)/86400)+(H379&lt;&gt;"")*(H379&lt;=($M$3*60+$N$3)/86400)</f>
        <v>0</v>
      </c>
      <c r="N379" s="16"/>
      <c r="O379" s="15"/>
    </row>
    <row r="380" customFormat="false" ht="15" hidden="false" customHeight="false" outlineLevel="0" collapsed="false">
      <c r="A380" s="9" t="n">
        <v>374</v>
      </c>
      <c r="B380" s="10" t="s">
        <v>593</v>
      </c>
      <c r="C380" s="10" t="s">
        <v>166</v>
      </c>
      <c r="D380" s="11" t="n">
        <v>0.0102986111111111</v>
      </c>
      <c r="E380" s="12" t="n">
        <v>158</v>
      </c>
      <c r="F380" s="11"/>
      <c r="G380" s="12"/>
      <c r="H380" s="11" t="n">
        <v>0.00277789351851852</v>
      </c>
      <c r="I380" s="12" t="n">
        <v>190</v>
      </c>
      <c r="J380" s="12" t="n">
        <f aca="false">COUNT(E380,G380,I380)</f>
        <v>2</v>
      </c>
      <c r="K380" s="13" t="n">
        <f aca="false">MIN(E380,G380,I380)</f>
        <v>158</v>
      </c>
      <c r="L380" s="9" t="str">
        <f aca="false">IF(E380=K380,"5000m",IF(G380=K380,"3000mSC","1500m"))</f>
        <v>5000m</v>
      </c>
      <c r="M380" s="14" t="n">
        <f aca="false">(D380&lt;&gt;"")*(D380&lt;=($E$3*60+$F$3)/86400)+(F380&lt;&gt;"")*(F380&lt;=($I$3*60+$J$3)/86400)+(H380&lt;&gt;"")*(H380&lt;=($M$3*60+$N$3)/86400)</f>
        <v>0</v>
      </c>
      <c r="N380" s="16"/>
      <c r="O380" s="15"/>
    </row>
    <row r="381" customFormat="false" ht="15" hidden="false" customHeight="false" outlineLevel="0" collapsed="false">
      <c r="A381" s="9" t="n">
        <v>375</v>
      </c>
      <c r="B381" s="10" t="s">
        <v>594</v>
      </c>
      <c r="C381" s="10" t="s">
        <v>277</v>
      </c>
      <c r="D381" s="11" t="n">
        <v>0.0104261574074074</v>
      </c>
      <c r="E381" s="12" t="n">
        <v>291</v>
      </c>
      <c r="F381" s="11"/>
      <c r="G381" s="12"/>
      <c r="H381" s="11" t="n">
        <v>0.00276944444444445</v>
      </c>
      <c r="I381" s="12" t="n">
        <v>159</v>
      </c>
      <c r="J381" s="12" t="n">
        <f aca="false">COUNT(E381,G381,I381)</f>
        <v>2</v>
      </c>
      <c r="K381" s="13" t="n">
        <f aca="false">MIN(E381,G381,I381)</f>
        <v>159</v>
      </c>
      <c r="L381" s="9" t="str">
        <f aca="false">IF(E381=K381,"5000m",IF(G381=K381,"3000mSC","1500m"))</f>
        <v>1500m</v>
      </c>
      <c r="M381" s="14" t="n">
        <f aca="false">(D381&lt;&gt;"")*(D381&lt;=($E$3*60+$F$3)/86400)+(F381&lt;&gt;"")*(F381&lt;=($I$3*60+$J$3)/86400)+(H381&lt;&gt;"")*(H381&lt;=($M$3*60+$N$3)/86400)</f>
        <v>0</v>
      </c>
      <c r="N381" s="16"/>
      <c r="O381" s="15"/>
    </row>
    <row r="382" customFormat="false" ht="25.35" hidden="false" customHeight="false" outlineLevel="0" collapsed="false">
      <c r="A382" s="9" t="n">
        <v>376</v>
      </c>
      <c r="B382" s="10" t="s">
        <v>595</v>
      </c>
      <c r="C382" s="10" t="s">
        <v>596</v>
      </c>
      <c r="D382" s="11"/>
      <c r="E382" s="12"/>
      <c r="F382" s="11" t="n">
        <v>0.00678368055555556</v>
      </c>
      <c r="G382" s="12" t="n">
        <v>159</v>
      </c>
      <c r="H382" s="11" t="n">
        <v>0.00281643518518519</v>
      </c>
      <c r="I382" s="12" t="n">
        <v>347</v>
      </c>
      <c r="J382" s="12" t="n">
        <f aca="false">COUNT(E382,G382,I382)</f>
        <v>2</v>
      </c>
      <c r="K382" s="13" t="n">
        <f aca="false">MIN(E382,G382,I382)</f>
        <v>159</v>
      </c>
      <c r="L382" s="9" t="str">
        <f aca="false">IF(E382=K382,"5000m",IF(G382=K382,"3000mSC","1500m"))</f>
        <v>3000mSC</v>
      </c>
      <c r="M382" s="14" t="n">
        <f aca="false">(D382&lt;&gt;"")*(D382&lt;=($E$3*60+$F$3)/86400)+(F382&lt;&gt;"")*(F382&lt;=($I$3*60+$J$3)/86400)+(H382&lt;&gt;"")*(H382&lt;=($M$3*60+$N$3)/86400)</f>
        <v>0</v>
      </c>
      <c r="N382" s="16"/>
      <c r="O382" s="15"/>
    </row>
    <row r="383" customFormat="false" ht="15" hidden="false" customHeight="false" outlineLevel="0" collapsed="false">
      <c r="A383" s="9" t="n">
        <v>377</v>
      </c>
      <c r="B383" s="10" t="s">
        <v>597</v>
      </c>
      <c r="C383" s="10" t="s">
        <v>229</v>
      </c>
      <c r="D383" s="11" t="n">
        <v>0.0103002314814815</v>
      </c>
      <c r="E383" s="12" t="n">
        <v>160</v>
      </c>
      <c r="F383" s="11" t="n">
        <v>0.00701736111111111</v>
      </c>
      <c r="G383" s="12" t="n">
        <v>354</v>
      </c>
      <c r="H383" s="11" t="n">
        <v>0.0028443287037037</v>
      </c>
      <c r="I383" s="12" t="n">
        <v>529</v>
      </c>
      <c r="J383" s="12" t="n">
        <f aca="false">COUNT(E383,G383,I383)</f>
        <v>3</v>
      </c>
      <c r="K383" s="13" t="n">
        <f aca="false">MIN(E383,G383,I383)</f>
        <v>160</v>
      </c>
      <c r="L383" s="9" t="str">
        <f aca="false">IF(E383=K383,"5000m",IF(G383=K383,"3000mSC","1500m"))</f>
        <v>5000m</v>
      </c>
      <c r="M383" s="14" t="n">
        <f aca="false">(D383&lt;&gt;"")*(D383&lt;=($E$3*60+$F$3)/86400)+(F383&lt;&gt;"")*(F383&lt;=($I$3*60+$J$3)/86400)+(H383&lt;&gt;"")*(H383&lt;=($M$3*60+$N$3)/86400)</f>
        <v>0</v>
      </c>
      <c r="N383" s="16"/>
      <c r="O383" s="15"/>
    </row>
    <row r="384" customFormat="false" ht="25.35" hidden="false" customHeight="false" outlineLevel="0" collapsed="false">
      <c r="A384" s="9" t="n">
        <v>378</v>
      </c>
      <c r="B384" s="10" t="s">
        <v>598</v>
      </c>
      <c r="C384" s="10" t="s">
        <v>599</v>
      </c>
      <c r="D384" s="11" t="n">
        <v>0.010999537037037</v>
      </c>
      <c r="E384" s="12" t="n">
        <v>1096</v>
      </c>
      <c r="F384" s="11" t="n">
        <v>0.006784375</v>
      </c>
      <c r="G384" s="12" t="n">
        <v>160</v>
      </c>
      <c r="H384" s="11"/>
      <c r="I384" s="12"/>
      <c r="J384" s="12" t="n">
        <f aca="false">COUNT(E384,G384,I384)</f>
        <v>2</v>
      </c>
      <c r="K384" s="13" t="n">
        <f aca="false">MIN(E384,G384,I384)</f>
        <v>160</v>
      </c>
      <c r="L384" s="9" t="str">
        <f aca="false">IF(E384=K384,"5000m",IF(G384=K384,"3000mSC","1500m"))</f>
        <v>3000mSC</v>
      </c>
      <c r="M384" s="14" t="n">
        <f aca="false">(D384&lt;&gt;"")*(D384&lt;=($E$3*60+$F$3)/86400)+(F384&lt;&gt;"")*(F384&lt;=($I$3*60+$J$3)/86400)+(H384&lt;&gt;"")*(H384&lt;=($M$3*60+$N$3)/86400)</f>
        <v>0</v>
      </c>
      <c r="N384" s="16"/>
      <c r="O384" s="15"/>
    </row>
    <row r="385" customFormat="false" ht="15" hidden="false" customHeight="false" outlineLevel="0" collapsed="false">
      <c r="A385" s="9" t="n">
        <v>379</v>
      </c>
      <c r="B385" s="10" t="s">
        <v>600</v>
      </c>
      <c r="C385" s="10" t="s">
        <v>286</v>
      </c>
      <c r="D385" s="11"/>
      <c r="E385" s="12"/>
      <c r="F385" s="11"/>
      <c r="G385" s="12"/>
      <c r="H385" s="11" t="n">
        <v>0.00276979166666667</v>
      </c>
      <c r="I385" s="12" t="n">
        <v>160</v>
      </c>
      <c r="J385" s="12" t="n">
        <f aca="false">COUNT(E385,G385,I385)</f>
        <v>1</v>
      </c>
      <c r="K385" s="13" t="n">
        <f aca="false">MIN(E385,G385,I385)</f>
        <v>160</v>
      </c>
      <c r="L385" s="9" t="str">
        <f aca="false">IF(E385=K385,"5000m",IF(G385=K385,"3000mSC","1500m"))</f>
        <v>1500m</v>
      </c>
      <c r="M385" s="14" t="n">
        <f aca="false">(D385&lt;&gt;"")*(D385&lt;=($E$3*60+$F$3)/86400)+(F385&lt;&gt;"")*(F385&lt;=($I$3*60+$J$3)/86400)+(H385&lt;&gt;"")*(H385&lt;=($M$3*60+$N$3)/86400)</f>
        <v>0</v>
      </c>
      <c r="N385" s="16"/>
      <c r="O385" s="15"/>
    </row>
    <row r="386" customFormat="false" ht="25.35" hidden="false" customHeight="false" outlineLevel="0" collapsed="false">
      <c r="A386" s="9" t="n">
        <v>380</v>
      </c>
      <c r="B386" s="10" t="s">
        <v>601</v>
      </c>
      <c r="C386" s="10" t="s">
        <v>555</v>
      </c>
      <c r="D386" s="11"/>
      <c r="E386" s="12"/>
      <c r="F386" s="11" t="n">
        <v>0.00678472222222222</v>
      </c>
      <c r="G386" s="12" t="n">
        <v>161</v>
      </c>
      <c r="H386" s="11" t="n">
        <v>0.00283680555555556</v>
      </c>
      <c r="I386" s="12" t="n">
        <v>475</v>
      </c>
      <c r="J386" s="12" t="n">
        <f aca="false">COUNT(E386,G386,I386)</f>
        <v>2</v>
      </c>
      <c r="K386" s="13" t="n">
        <f aca="false">MIN(E386,G386,I386)</f>
        <v>161</v>
      </c>
      <c r="L386" s="9" t="str">
        <f aca="false">IF(E386=K386,"5000m",IF(G386=K386,"3000mSC","1500m"))</f>
        <v>3000mSC</v>
      </c>
      <c r="M386" s="14" t="n">
        <f aca="false">(D386&lt;&gt;"")*(D386&lt;=($E$3*60+$F$3)/86400)+(F386&lt;&gt;"")*(F386&lt;=($I$3*60+$J$3)/86400)+(H386&lt;&gt;"")*(H386&lt;=($M$3*60+$N$3)/86400)</f>
        <v>0</v>
      </c>
      <c r="N386" s="16"/>
      <c r="O386" s="15"/>
    </row>
    <row r="387" customFormat="false" ht="25.35" hidden="false" customHeight="false" outlineLevel="0" collapsed="false">
      <c r="A387" s="9" t="n">
        <v>381</v>
      </c>
      <c r="B387" s="10" t="s">
        <v>602</v>
      </c>
      <c r="C387" s="10" t="s">
        <v>603</v>
      </c>
      <c r="D387" s="11"/>
      <c r="E387" s="12"/>
      <c r="F387" s="11" t="n">
        <v>0.00678715277777778</v>
      </c>
      <c r="G387" s="12" t="n">
        <v>162</v>
      </c>
      <c r="H387" s="11"/>
      <c r="I387" s="12"/>
      <c r="J387" s="12" t="n">
        <f aca="false">COUNT(E387,G387,I387)</f>
        <v>1</v>
      </c>
      <c r="K387" s="13" t="n">
        <f aca="false">MIN(E387,G387,I387)</f>
        <v>162</v>
      </c>
      <c r="L387" s="9" t="str">
        <f aca="false">IF(E387=K387,"5000m",IF(G387=K387,"3000mSC","1500m"))</f>
        <v>3000mSC</v>
      </c>
      <c r="M387" s="14" t="n">
        <f aca="false">(D387&lt;&gt;"")*(D387&lt;=($E$3*60+$F$3)/86400)+(F387&lt;&gt;"")*(F387&lt;=($I$3*60+$J$3)/86400)+(H387&lt;&gt;"")*(H387&lt;=($M$3*60+$N$3)/86400)</f>
        <v>0</v>
      </c>
      <c r="N387" s="16"/>
      <c r="O387" s="15"/>
    </row>
    <row r="388" customFormat="false" ht="15" hidden="false" customHeight="false" outlineLevel="0" collapsed="false">
      <c r="A388" s="9" t="n">
        <v>382</v>
      </c>
      <c r="B388" s="10" t="s">
        <v>604</v>
      </c>
      <c r="C388" s="10" t="s">
        <v>605</v>
      </c>
      <c r="D388" s="11"/>
      <c r="E388" s="12"/>
      <c r="F388" s="11"/>
      <c r="G388" s="12"/>
      <c r="H388" s="11" t="n">
        <v>0.00276990740740741</v>
      </c>
      <c r="I388" s="12" t="n">
        <v>162</v>
      </c>
      <c r="J388" s="12" t="n">
        <f aca="false">COUNT(E388,G388,I388)</f>
        <v>1</v>
      </c>
      <c r="K388" s="13" t="n">
        <f aca="false">MIN(E388,G388,I388)</f>
        <v>162</v>
      </c>
      <c r="L388" s="9" t="str">
        <f aca="false">IF(E388=K388,"5000m",IF(G388=K388,"3000mSC","1500m"))</f>
        <v>1500m</v>
      </c>
      <c r="M388" s="14" t="n">
        <f aca="false">(D388&lt;&gt;"")*(D388&lt;=($E$3*60+$F$3)/86400)+(F388&lt;&gt;"")*(F388&lt;=($I$3*60+$J$3)/86400)+(H388&lt;&gt;"")*(H388&lt;=($M$3*60+$N$3)/86400)</f>
        <v>0</v>
      </c>
      <c r="N388" s="16"/>
      <c r="O388" s="15"/>
    </row>
    <row r="389" customFormat="false" ht="15" hidden="false" customHeight="false" outlineLevel="0" collapsed="false">
      <c r="A389" s="9" t="n">
        <v>383</v>
      </c>
      <c r="B389" s="10" t="s">
        <v>606</v>
      </c>
      <c r="C389" s="10" t="s">
        <v>312</v>
      </c>
      <c r="D389" s="11" t="n">
        <v>0.0103019675925926</v>
      </c>
      <c r="E389" s="12" t="n">
        <v>163</v>
      </c>
      <c r="F389" s="11" t="n">
        <v>0.00693576388888889</v>
      </c>
      <c r="G389" s="12" t="n">
        <v>278</v>
      </c>
      <c r="H389" s="11" t="n">
        <v>0.00278275462962963</v>
      </c>
      <c r="I389" s="12" t="n">
        <v>212</v>
      </c>
      <c r="J389" s="12" t="n">
        <f aca="false">COUNT(E389,G389,I389)</f>
        <v>3</v>
      </c>
      <c r="K389" s="13" t="n">
        <f aca="false">MIN(E389,G389,I389)</f>
        <v>163</v>
      </c>
      <c r="L389" s="9" t="str">
        <f aca="false">IF(E389=K389,"5000m",IF(G389=K389,"3000mSC","1500m"))</f>
        <v>5000m</v>
      </c>
      <c r="M389" s="14" t="n">
        <f aca="false">(D389&lt;&gt;"")*(D389&lt;=($E$3*60+$F$3)/86400)+(F389&lt;&gt;"")*(F389&lt;=($I$3*60+$J$3)/86400)+(H389&lt;&gt;"")*(H389&lt;=($M$3*60+$N$3)/86400)</f>
        <v>0</v>
      </c>
      <c r="N389" s="16"/>
      <c r="O389" s="15"/>
    </row>
    <row r="390" customFormat="false" ht="25.35" hidden="false" customHeight="false" outlineLevel="0" collapsed="false">
      <c r="A390" s="9" t="n">
        <v>384</v>
      </c>
      <c r="B390" s="10" t="s">
        <v>607</v>
      </c>
      <c r="C390" s="10" t="s">
        <v>348</v>
      </c>
      <c r="D390" s="11" t="n">
        <v>0.0110097222222222</v>
      </c>
      <c r="E390" s="12" t="n">
        <v>1110</v>
      </c>
      <c r="F390" s="11" t="n">
        <v>0.00679131944444444</v>
      </c>
      <c r="G390" s="12" t="n">
        <v>163</v>
      </c>
      <c r="H390" s="11"/>
      <c r="I390" s="12"/>
      <c r="J390" s="12" t="n">
        <f aca="false">COUNT(E390,G390,I390)</f>
        <v>2</v>
      </c>
      <c r="K390" s="13" t="n">
        <f aca="false">MIN(E390,G390,I390)</f>
        <v>163</v>
      </c>
      <c r="L390" s="9" t="str">
        <f aca="false">IF(E390=K390,"5000m",IF(G390=K390,"3000mSC","1500m"))</f>
        <v>3000mSC</v>
      </c>
      <c r="M390" s="14" t="n">
        <f aca="false">(D390&lt;&gt;"")*(D390&lt;=($E$3*60+$F$3)/86400)+(F390&lt;&gt;"")*(F390&lt;=($I$3*60+$J$3)/86400)+(H390&lt;&gt;"")*(H390&lt;=($M$3*60+$N$3)/86400)</f>
        <v>0</v>
      </c>
      <c r="N390" s="16"/>
      <c r="O390" s="15"/>
    </row>
    <row r="391" customFormat="false" ht="15" hidden="false" customHeight="false" outlineLevel="0" collapsed="false">
      <c r="A391" s="9" t="n">
        <v>385</v>
      </c>
      <c r="B391" s="10" t="s">
        <v>608</v>
      </c>
      <c r="C391" s="10" t="s">
        <v>609</v>
      </c>
      <c r="D391" s="11"/>
      <c r="E391" s="12"/>
      <c r="F391" s="11"/>
      <c r="G391" s="12"/>
      <c r="H391" s="11" t="n">
        <v>0.00276990740740741</v>
      </c>
      <c r="I391" s="12" t="n">
        <v>163</v>
      </c>
      <c r="J391" s="12" t="n">
        <f aca="false">COUNT(E391,G391,I391)</f>
        <v>1</v>
      </c>
      <c r="K391" s="13" t="n">
        <f aca="false">MIN(E391,G391,I391)</f>
        <v>163</v>
      </c>
      <c r="L391" s="9" t="str">
        <f aca="false">IF(E391=K391,"5000m",IF(G391=K391,"3000mSC","1500m"))</f>
        <v>1500m</v>
      </c>
      <c r="M391" s="14" t="n">
        <f aca="false">(D391&lt;&gt;"")*(D391&lt;=($E$3*60+$F$3)/86400)+(F391&lt;&gt;"")*(F391&lt;=($I$3*60+$J$3)/86400)+(H391&lt;&gt;"")*(H391&lt;=($M$3*60+$N$3)/86400)</f>
        <v>0</v>
      </c>
      <c r="N391" s="16"/>
      <c r="O391" s="15"/>
    </row>
    <row r="392" customFormat="false" ht="25.35" hidden="false" customHeight="false" outlineLevel="0" collapsed="false">
      <c r="A392" s="9" t="n">
        <v>386</v>
      </c>
      <c r="B392" s="10" t="s">
        <v>610</v>
      </c>
      <c r="C392" s="10" t="s">
        <v>72</v>
      </c>
      <c r="D392" s="11" t="n">
        <v>0.0109127314814815</v>
      </c>
      <c r="E392" s="12" t="n">
        <v>942</v>
      </c>
      <c r="F392" s="11" t="n">
        <v>0.00679247685185185</v>
      </c>
      <c r="G392" s="12" t="n">
        <v>164</v>
      </c>
      <c r="H392" s="11" t="n">
        <v>0.00288148148148148</v>
      </c>
      <c r="I392" s="12" t="n">
        <v>783</v>
      </c>
      <c r="J392" s="12" t="n">
        <f aca="false">COUNT(E392,G392,I392)</f>
        <v>3</v>
      </c>
      <c r="K392" s="13" t="n">
        <f aca="false">MIN(E392,G392,I392)</f>
        <v>164</v>
      </c>
      <c r="L392" s="9" t="str">
        <f aca="false">IF(E392=K392,"5000m",IF(G392=K392,"3000mSC","1500m"))</f>
        <v>3000mSC</v>
      </c>
      <c r="M392" s="14" t="n">
        <f aca="false">(D392&lt;&gt;"")*(D392&lt;=($E$3*60+$F$3)/86400)+(F392&lt;&gt;"")*(F392&lt;=($I$3*60+$J$3)/86400)+(H392&lt;&gt;"")*(H392&lt;=($M$3*60+$N$3)/86400)</f>
        <v>0</v>
      </c>
      <c r="N392" s="16"/>
      <c r="O392" s="15"/>
    </row>
    <row r="393" customFormat="false" ht="15" hidden="false" customHeight="false" outlineLevel="0" collapsed="false">
      <c r="A393" s="9" t="n">
        <v>387</v>
      </c>
      <c r="B393" s="10" t="s">
        <v>611</v>
      </c>
      <c r="C393" s="10" t="s">
        <v>612</v>
      </c>
      <c r="D393" s="11" t="n">
        <v>0.0103054398148148</v>
      </c>
      <c r="E393" s="12" t="n">
        <v>164</v>
      </c>
      <c r="F393" s="11"/>
      <c r="G393" s="12"/>
      <c r="H393" s="11" t="n">
        <v>0.00280335648148148</v>
      </c>
      <c r="I393" s="12" t="n">
        <v>297</v>
      </c>
      <c r="J393" s="12" t="n">
        <f aca="false">COUNT(E393,G393,I393)</f>
        <v>2</v>
      </c>
      <c r="K393" s="13" t="n">
        <f aca="false">MIN(E393,G393,I393)</f>
        <v>164</v>
      </c>
      <c r="L393" s="9" t="str">
        <f aca="false">IF(E393=K393,"5000m",IF(G393=K393,"3000mSC","1500m"))</f>
        <v>5000m</v>
      </c>
      <c r="M393" s="14" t="n">
        <f aca="false">(D393&lt;&gt;"")*(D393&lt;=($E$3*60+$F$3)/86400)+(F393&lt;&gt;"")*(F393&lt;=($I$3*60+$J$3)/86400)+(H393&lt;&gt;"")*(H393&lt;=($M$3*60+$N$3)/86400)</f>
        <v>0</v>
      </c>
      <c r="N393" s="16"/>
      <c r="O393" s="15"/>
    </row>
    <row r="394" customFormat="false" ht="15" hidden="false" customHeight="false" outlineLevel="0" collapsed="false">
      <c r="A394" s="9" t="n">
        <v>388</v>
      </c>
      <c r="B394" s="10" t="s">
        <v>613</v>
      </c>
      <c r="C394" s="10" t="s">
        <v>614</v>
      </c>
      <c r="D394" s="11" t="n">
        <v>0.0106023148148148</v>
      </c>
      <c r="E394" s="12" t="n">
        <v>466</v>
      </c>
      <c r="F394" s="11"/>
      <c r="G394" s="12"/>
      <c r="H394" s="11" t="n">
        <v>0.00277002314814815</v>
      </c>
      <c r="I394" s="12" t="n">
        <v>164</v>
      </c>
      <c r="J394" s="12" t="n">
        <f aca="false">COUNT(E394,G394,I394)</f>
        <v>2</v>
      </c>
      <c r="K394" s="13" t="n">
        <f aca="false">MIN(E394,G394,I394)</f>
        <v>164</v>
      </c>
      <c r="L394" s="9" t="str">
        <f aca="false">IF(E394=K394,"5000m",IF(G394=K394,"3000mSC","1500m"))</f>
        <v>1500m</v>
      </c>
      <c r="M394" s="14" t="n">
        <f aca="false">(D394&lt;&gt;"")*(D394&lt;=($E$3*60+$F$3)/86400)+(F394&lt;&gt;"")*(F394&lt;=($I$3*60+$J$3)/86400)+(H394&lt;&gt;"")*(H394&lt;=($M$3*60+$N$3)/86400)</f>
        <v>0</v>
      </c>
      <c r="N394" s="16"/>
      <c r="O394" s="15"/>
    </row>
    <row r="395" customFormat="false" ht="25.35" hidden="false" customHeight="false" outlineLevel="0" collapsed="false">
      <c r="A395" s="9" t="n">
        <v>389</v>
      </c>
      <c r="B395" s="10" t="s">
        <v>615</v>
      </c>
      <c r="C395" s="10" t="s">
        <v>616</v>
      </c>
      <c r="D395" s="11" t="n">
        <v>0.0109480324074074</v>
      </c>
      <c r="E395" s="12" t="n">
        <v>993</v>
      </c>
      <c r="F395" s="11" t="n">
        <v>0.00679340277777778</v>
      </c>
      <c r="G395" s="12" t="n">
        <v>165</v>
      </c>
      <c r="H395" s="11" t="n">
        <v>0.00291875</v>
      </c>
      <c r="I395" s="12" t="n">
        <v>1081</v>
      </c>
      <c r="J395" s="12" t="n">
        <f aca="false">COUNT(E395,G395,I395)</f>
        <v>3</v>
      </c>
      <c r="K395" s="13" t="n">
        <f aca="false">MIN(E395,G395,I395)</f>
        <v>165</v>
      </c>
      <c r="L395" s="9" t="str">
        <f aca="false">IF(E395=K395,"5000m",IF(G395=K395,"3000mSC","1500m"))</f>
        <v>3000mSC</v>
      </c>
      <c r="M395" s="14" t="n">
        <f aca="false">(D395&lt;&gt;"")*(D395&lt;=($E$3*60+$F$3)/86400)+(F395&lt;&gt;"")*(F395&lt;=($I$3*60+$J$3)/86400)+(H395&lt;&gt;"")*(H395&lt;=($M$3*60+$N$3)/86400)</f>
        <v>0</v>
      </c>
      <c r="N395" s="10" t="s">
        <v>617</v>
      </c>
      <c r="O395" s="15"/>
    </row>
    <row r="396" customFormat="false" ht="15" hidden="false" customHeight="false" outlineLevel="0" collapsed="false">
      <c r="A396" s="9" t="n">
        <v>390</v>
      </c>
      <c r="B396" s="10" t="s">
        <v>618</v>
      </c>
      <c r="C396" s="10" t="s">
        <v>616</v>
      </c>
      <c r="D396" s="11" t="n">
        <v>0.0107372685185185</v>
      </c>
      <c r="E396" s="12" t="n">
        <v>648</v>
      </c>
      <c r="F396" s="11"/>
      <c r="G396" s="12"/>
      <c r="H396" s="11" t="n">
        <v>0.002771875</v>
      </c>
      <c r="I396" s="12" t="n">
        <v>165</v>
      </c>
      <c r="J396" s="12" t="n">
        <f aca="false">COUNT(E396,G396,I396)</f>
        <v>2</v>
      </c>
      <c r="K396" s="13" t="n">
        <f aca="false">MIN(E396,G396,I396)</f>
        <v>165</v>
      </c>
      <c r="L396" s="9" t="str">
        <f aca="false">IF(E396=K396,"5000m",IF(G396=K396,"3000mSC","1500m"))</f>
        <v>1500m</v>
      </c>
      <c r="M396" s="14" t="n">
        <f aca="false">(D396&lt;&gt;"")*(D396&lt;=($E$3*60+$F$3)/86400)+(F396&lt;&gt;"")*(F396&lt;=($I$3*60+$J$3)/86400)+(H396&lt;&gt;"")*(H396&lt;=($M$3*60+$N$3)/86400)</f>
        <v>0</v>
      </c>
      <c r="N396" s="16"/>
      <c r="O396" s="15"/>
    </row>
    <row r="397" customFormat="false" ht="15" hidden="false" customHeight="false" outlineLevel="0" collapsed="false">
      <c r="A397" s="9" t="n">
        <v>391</v>
      </c>
      <c r="B397" s="10" t="s">
        <v>619</v>
      </c>
      <c r="C397" s="10" t="s">
        <v>277</v>
      </c>
      <c r="D397" s="11" t="n">
        <v>0.0103106481481482</v>
      </c>
      <c r="E397" s="12" t="n">
        <v>165</v>
      </c>
      <c r="F397" s="11"/>
      <c r="G397" s="12"/>
      <c r="H397" s="11"/>
      <c r="I397" s="12"/>
      <c r="J397" s="12" t="n">
        <f aca="false">COUNT(E397,G397,I397)</f>
        <v>1</v>
      </c>
      <c r="K397" s="13" t="n">
        <f aca="false">MIN(E397,G397,I397)</f>
        <v>165</v>
      </c>
      <c r="L397" s="9" t="str">
        <f aca="false">IF(E397=K397,"5000m",IF(G397=K397,"3000mSC","1500m"))</f>
        <v>5000m</v>
      </c>
      <c r="M397" s="14" t="n">
        <f aca="false">(D397&lt;&gt;"")*(D397&lt;=($E$3*60+$F$3)/86400)+(F397&lt;&gt;"")*(F397&lt;=($I$3*60+$J$3)/86400)+(H397&lt;&gt;"")*(H397&lt;=($M$3*60+$N$3)/86400)</f>
        <v>0</v>
      </c>
      <c r="N397" s="16"/>
      <c r="O397" s="15"/>
    </row>
    <row r="398" customFormat="false" ht="15" hidden="false" customHeight="false" outlineLevel="0" collapsed="false">
      <c r="A398" s="9" t="n">
        <v>392</v>
      </c>
      <c r="B398" s="10" t="s">
        <v>620</v>
      </c>
      <c r="C398" s="10" t="s">
        <v>621</v>
      </c>
      <c r="D398" s="11" t="n">
        <v>0.0105568287037037</v>
      </c>
      <c r="E398" s="12" t="n">
        <v>407</v>
      </c>
      <c r="F398" s="11"/>
      <c r="G398" s="12"/>
      <c r="H398" s="11" t="n">
        <v>0.00277222222222222</v>
      </c>
      <c r="I398" s="12" t="n">
        <v>166</v>
      </c>
      <c r="J398" s="12" t="n">
        <f aca="false">COUNT(E398,G398,I398)</f>
        <v>2</v>
      </c>
      <c r="K398" s="13" t="n">
        <f aca="false">MIN(E398,G398,I398)</f>
        <v>166</v>
      </c>
      <c r="L398" s="9" t="str">
        <f aca="false">IF(E398=K398,"5000m",IF(G398=K398,"3000mSC","1500m"))</f>
        <v>1500m</v>
      </c>
      <c r="M398" s="14" t="n">
        <f aca="false">(D398&lt;&gt;"")*(D398&lt;=($E$3*60+$F$3)/86400)+(F398&lt;&gt;"")*(F398&lt;=($I$3*60+$J$3)/86400)+(H398&lt;&gt;"")*(H398&lt;=($M$3*60+$N$3)/86400)</f>
        <v>0</v>
      </c>
      <c r="N398" s="10" t="s">
        <v>622</v>
      </c>
      <c r="O398" s="15"/>
    </row>
    <row r="399" customFormat="false" ht="15" hidden="false" customHeight="false" outlineLevel="0" collapsed="false">
      <c r="A399" s="9" t="n">
        <v>393</v>
      </c>
      <c r="B399" s="10" t="s">
        <v>623</v>
      </c>
      <c r="C399" s="10" t="s">
        <v>147</v>
      </c>
      <c r="D399" s="11" t="n">
        <v>0.0103112268518519</v>
      </c>
      <c r="E399" s="12" t="n">
        <v>166</v>
      </c>
      <c r="F399" s="11"/>
      <c r="G399" s="12"/>
      <c r="H399" s="11" t="n">
        <v>0.00283043981481482</v>
      </c>
      <c r="I399" s="12" t="n">
        <v>429</v>
      </c>
      <c r="J399" s="12" t="n">
        <f aca="false">COUNT(E399,G399,I399)</f>
        <v>2</v>
      </c>
      <c r="K399" s="13" t="n">
        <f aca="false">MIN(E399,G399,I399)</f>
        <v>166</v>
      </c>
      <c r="L399" s="9" t="str">
        <f aca="false">IF(E399=K399,"5000m",IF(G399=K399,"3000mSC","1500m"))</f>
        <v>5000m</v>
      </c>
      <c r="M399" s="14" t="n">
        <f aca="false">(D399&lt;&gt;"")*(D399&lt;=($E$3*60+$F$3)/86400)+(F399&lt;&gt;"")*(F399&lt;=($I$3*60+$J$3)/86400)+(H399&lt;&gt;"")*(H399&lt;=($M$3*60+$N$3)/86400)</f>
        <v>0</v>
      </c>
      <c r="N399" s="16"/>
      <c r="O399" s="15"/>
    </row>
    <row r="400" customFormat="false" ht="25.35" hidden="false" customHeight="false" outlineLevel="0" collapsed="false">
      <c r="A400" s="9" t="n">
        <v>394</v>
      </c>
      <c r="B400" s="10" t="s">
        <v>624</v>
      </c>
      <c r="C400" s="10" t="s">
        <v>625</v>
      </c>
      <c r="D400" s="11" t="n">
        <v>0.0106417824074074</v>
      </c>
      <c r="E400" s="12" t="n">
        <v>514</v>
      </c>
      <c r="F400" s="11" t="n">
        <v>0.00679351851851852</v>
      </c>
      <c r="G400" s="12" t="n">
        <v>166</v>
      </c>
      <c r="H400" s="11"/>
      <c r="I400" s="12"/>
      <c r="J400" s="12" t="n">
        <f aca="false">COUNT(E400,G400,I400)</f>
        <v>2</v>
      </c>
      <c r="K400" s="13" t="n">
        <f aca="false">MIN(E400,G400,I400)</f>
        <v>166</v>
      </c>
      <c r="L400" s="9" t="str">
        <f aca="false">IF(E400=K400,"5000m",IF(G400=K400,"3000mSC","1500m"))</f>
        <v>3000mSC</v>
      </c>
      <c r="M400" s="14" t="n">
        <f aca="false">(D400&lt;&gt;"")*(D400&lt;=($E$3*60+$F$3)/86400)+(F400&lt;&gt;"")*(F400&lt;=($I$3*60+$J$3)/86400)+(H400&lt;&gt;"")*(H400&lt;=($M$3*60+$N$3)/86400)</f>
        <v>0</v>
      </c>
      <c r="N400" s="16"/>
      <c r="O400" s="15"/>
    </row>
    <row r="401" customFormat="false" ht="25.35" hidden="false" customHeight="false" outlineLevel="0" collapsed="false">
      <c r="A401" s="9" t="n">
        <v>395</v>
      </c>
      <c r="B401" s="10" t="s">
        <v>626</v>
      </c>
      <c r="C401" s="10" t="s">
        <v>627</v>
      </c>
      <c r="D401" s="11" t="n">
        <v>0.0108678240740741</v>
      </c>
      <c r="E401" s="12" t="n">
        <v>868</v>
      </c>
      <c r="F401" s="11" t="n">
        <v>0.00679560185185185</v>
      </c>
      <c r="G401" s="12" t="n">
        <v>167</v>
      </c>
      <c r="H401" s="11"/>
      <c r="I401" s="12"/>
      <c r="J401" s="12" t="n">
        <f aca="false">COUNT(E401,G401,I401)</f>
        <v>2</v>
      </c>
      <c r="K401" s="13" t="n">
        <f aca="false">MIN(E401,G401,I401)</f>
        <v>167</v>
      </c>
      <c r="L401" s="9" t="str">
        <f aca="false">IF(E401=K401,"5000m",IF(G401=K401,"3000mSC","1500m"))</f>
        <v>3000mSC</v>
      </c>
      <c r="M401" s="14" t="n">
        <f aca="false">(D401&lt;&gt;"")*(D401&lt;=($E$3*60+$F$3)/86400)+(F401&lt;&gt;"")*(F401&lt;=($I$3*60+$J$3)/86400)+(H401&lt;&gt;"")*(H401&lt;=($M$3*60+$N$3)/86400)</f>
        <v>0</v>
      </c>
      <c r="N401" s="16"/>
      <c r="O401" s="15"/>
    </row>
    <row r="402" customFormat="false" ht="15" hidden="false" customHeight="false" outlineLevel="0" collapsed="false">
      <c r="A402" s="9" t="n">
        <v>396</v>
      </c>
      <c r="B402" s="10" t="s">
        <v>628</v>
      </c>
      <c r="C402" s="10" t="s">
        <v>505</v>
      </c>
      <c r="D402" s="11"/>
      <c r="E402" s="12"/>
      <c r="F402" s="11"/>
      <c r="G402" s="12"/>
      <c r="H402" s="11" t="n">
        <v>0.00277280092592593</v>
      </c>
      <c r="I402" s="12" t="n">
        <v>167</v>
      </c>
      <c r="J402" s="12" t="n">
        <f aca="false">COUNT(E402,G402,I402)</f>
        <v>1</v>
      </c>
      <c r="K402" s="13" t="n">
        <f aca="false">MIN(E402,G402,I402)</f>
        <v>167</v>
      </c>
      <c r="L402" s="9" t="str">
        <f aca="false">IF(E402=K402,"5000m",IF(G402=K402,"3000mSC","1500m"))</f>
        <v>1500m</v>
      </c>
      <c r="M402" s="14" t="n">
        <f aca="false">(D402&lt;&gt;"")*(D402&lt;=($E$3*60+$F$3)/86400)+(F402&lt;&gt;"")*(F402&lt;=($I$3*60+$J$3)/86400)+(H402&lt;&gt;"")*(H402&lt;=($M$3*60+$N$3)/86400)</f>
        <v>0</v>
      </c>
      <c r="N402" s="16"/>
      <c r="O402" s="15"/>
    </row>
    <row r="403" customFormat="false" ht="25.35" hidden="false" customHeight="false" outlineLevel="0" collapsed="false">
      <c r="A403" s="9" t="n">
        <v>397</v>
      </c>
      <c r="B403" s="10" t="s">
        <v>629</v>
      </c>
      <c r="C403" s="10" t="s">
        <v>630</v>
      </c>
      <c r="D403" s="11" t="n">
        <v>0.0106542824074074</v>
      </c>
      <c r="E403" s="12" t="n">
        <v>531</v>
      </c>
      <c r="F403" s="11" t="n">
        <v>0.00679710648148148</v>
      </c>
      <c r="G403" s="12" t="n">
        <v>168</v>
      </c>
      <c r="H403" s="11" t="n">
        <v>0.0028880787037037</v>
      </c>
      <c r="I403" s="12" t="n">
        <v>848</v>
      </c>
      <c r="J403" s="12" t="n">
        <f aca="false">COUNT(E403,G403,I403)</f>
        <v>3</v>
      </c>
      <c r="K403" s="13" t="n">
        <f aca="false">MIN(E403,G403,I403)</f>
        <v>168</v>
      </c>
      <c r="L403" s="9" t="str">
        <f aca="false">IF(E403=K403,"5000m",IF(G403=K403,"3000mSC","1500m"))</f>
        <v>3000mSC</v>
      </c>
      <c r="M403" s="14" t="n">
        <f aca="false">(D403&lt;&gt;"")*(D403&lt;=($E$3*60+$F$3)/86400)+(F403&lt;&gt;"")*(F403&lt;=($I$3*60+$J$3)/86400)+(H403&lt;&gt;"")*(H403&lt;=($M$3*60+$N$3)/86400)</f>
        <v>0</v>
      </c>
      <c r="N403" s="16"/>
      <c r="O403" s="15"/>
    </row>
    <row r="404" customFormat="false" ht="15" hidden="false" customHeight="false" outlineLevel="0" collapsed="false">
      <c r="A404" s="9" t="n">
        <v>398</v>
      </c>
      <c r="B404" s="10" t="s">
        <v>631</v>
      </c>
      <c r="C404" s="10" t="s">
        <v>312</v>
      </c>
      <c r="D404" s="11" t="n">
        <v>0.010315625</v>
      </c>
      <c r="E404" s="12" t="n">
        <v>168</v>
      </c>
      <c r="F404" s="11"/>
      <c r="G404" s="12"/>
      <c r="H404" s="11"/>
      <c r="I404" s="12"/>
      <c r="J404" s="12" t="n">
        <f aca="false">COUNT(E404,G404,I404)</f>
        <v>1</v>
      </c>
      <c r="K404" s="13" t="n">
        <f aca="false">MIN(E404,G404,I404)</f>
        <v>168</v>
      </c>
      <c r="L404" s="9" t="str">
        <f aca="false">IF(E404=K404,"5000m",IF(G404=K404,"3000mSC","1500m"))</f>
        <v>5000m</v>
      </c>
      <c r="M404" s="14" t="n">
        <f aca="false">(D404&lt;&gt;"")*(D404&lt;=($E$3*60+$F$3)/86400)+(F404&lt;&gt;"")*(F404&lt;=($I$3*60+$J$3)/86400)+(H404&lt;&gt;"")*(H404&lt;=($M$3*60+$N$3)/86400)</f>
        <v>0</v>
      </c>
      <c r="N404" s="16"/>
      <c r="O404" s="15"/>
    </row>
    <row r="405" customFormat="false" ht="15" hidden="false" customHeight="false" outlineLevel="0" collapsed="false">
      <c r="A405" s="9" t="n">
        <v>399</v>
      </c>
      <c r="B405" s="10" t="s">
        <v>632</v>
      </c>
      <c r="C405" s="10" t="s">
        <v>193</v>
      </c>
      <c r="D405" s="11" t="n">
        <v>0.0103164351851852</v>
      </c>
      <c r="E405" s="12" t="n">
        <v>169</v>
      </c>
      <c r="F405" s="11"/>
      <c r="G405" s="12"/>
      <c r="H405" s="11" t="n">
        <v>0.00283576388888889</v>
      </c>
      <c r="I405" s="12" t="n">
        <v>468</v>
      </c>
      <c r="J405" s="12" t="n">
        <f aca="false">COUNT(E405,G405,I405)</f>
        <v>2</v>
      </c>
      <c r="K405" s="13" t="n">
        <f aca="false">MIN(E405,G405,I405)</f>
        <v>169</v>
      </c>
      <c r="L405" s="9" t="str">
        <f aca="false">IF(E405=K405,"5000m",IF(G405=K405,"3000mSC","1500m"))</f>
        <v>5000m</v>
      </c>
      <c r="M405" s="14" t="n">
        <f aca="false">(D405&lt;&gt;"")*(D405&lt;=($E$3*60+$F$3)/86400)+(F405&lt;&gt;"")*(F405&lt;=($I$3*60+$J$3)/86400)+(H405&lt;&gt;"")*(H405&lt;=($M$3*60+$N$3)/86400)</f>
        <v>0</v>
      </c>
      <c r="N405" s="16"/>
      <c r="O405" s="15"/>
    </row>
    <row r="406" customFormat="false" ht="25.35" hidden="false" customHeight="false" outlineLevel="0" collapsed="false">
      <c r="A406" s="9" t="n">
        <v>400</v>
      </c>
      <c r="B406" s="10" t="s">
        <v>633</v>
      </c>
      <c r="C406" s="10" t="s">
        <v>326</v>
      </c>
      <c r="D406" s="11" t="n">
        <v>0.0110388888888889</v>
      </c>
      <c r="E406" s="12" t="n">
        <v>1175</v>
      </c>
      <c r="F406" s="11" t="n">
        <v>0.00679861111111111</v>
      </c>
      <c r="G406" s="12" t="n">
        <v>169</v>
      </c>
      <c r="H406" s="11"/>
      <c r="I406" s="12"/>
      <c r="J406" s="12" t="n">
        <f aca="false">COUNT(E406,G406,I406)</f>
        <v>2</v>
      </c>
      <c r="K406" s="13" t="n">
        <f aca="false">MIN(E406,G406,I406)</f>
        <v>169</v>
      </c>
      <c r="L406" s="9" t="str">
        <f aca="false">IF(E406=K406,"5000m",IF(G406=K406,"3000mSC","1500m"))</f>
        <v>3000mSC</v>
      </c>
      <c r="M406" s="14" t="n">
        <f aca="false">(D406&lt;&gt;"")*(D406&lt;=($E$3*60+$F$3)/86400)+(F406&lt;&gt;"")*(F406&lt;=($I$3*60+$J$3)/86400)+(H406&lt;&gt;"")*(H406&lt;=($M$3*60+$N$3)/86400)</f>
        <v>0</v>
      </c>
      <c r="N406" s="16"/>
      <c r="O406" s="15"/>
    </row>
    <row r="407" customFormat="false" ht="15" hidden="false" customHeight="false" outlineLevel="0" collapsed="false">
      <c r="A407" s="9" t="n">
        <v>401</v>
      </c>
      <c r="B407" s="10" t="s">
        <v>634</v>
      </c>
      <c r="C407" s="10" t="s">
        <v>175</v>
      </c>
      <c r="D407" s="11"/>
      <c r="E407" s="12"/>
      <c r="F407" s="11"/>
      <c r="G407" s="12"/>
      <c r="H407" s="11" t="n">
        <v>0.00277337962962963</v>
      </c>
      <c r="I407" s="12" t="n">
        <v>169</v>
      </c>
      <c r="J407" s="12" t="n">
        <f aca="false">COUNT(E407,G407,I407)</f>
        <v>1</v>
      </c>
      <c r="K407" s="13" t="n">
        <f aca="false">MIN(E407,G407,I407)</f>
        <v>169</v>
      </c>
      <c r="L407" s="9" t="str">
        <f aca="false">IF(E407=K407,"5000m",IF(G407=K407,"3000mSC","1500m"))</f>
        <v>1500m</v>
      </c>
      <c r="M407" s="14" t="n">
        <f aca="false">(D407&lt;&gt;"")*(D407&lt;=($E$3*60+$F$3)/86400)+(F407&lt;&gt;"")*(F407&lt;=($I$3*60+$J$3)/86400)+(H407&lt;&gt;"")*(H407&lt;=($M$3*60+$N$3)/86400)</f>
        <v>0</v>
      </c>
      <c r="N407" s="16"/>
      <c r="O407" s="15"/>
    </row>
    <row r="408" customFormat="false" ht="25.35" hidden="false" customHeight="false" outlineLevel="0" collapsed="false">
      <c r="A408" s="9" t="n">
        <v>402</v>
      </c>
      <c r="B408" s="10" t="s">
        <v>635</v>
      </c>
      <c r="C408" s="10" t="s">
        <v>34</v>
      </c>
      <c r="D408" s="11" t="n">
        <v>0.0108527777777778</v>
      </c>
      <c r="E408" s="12" t="n">
        <v>842</v>
      </c>
      <c r="F408" s="11" t="n">
        <v>0.0068</v>
      </c>
      <c r="G408" s="12" t="n">
        <v>170</v>
      </c>
      <c r="H408" s="11"/>
      <c r="I408" s="12"/>
      <c r="J408" s="12" t="n">
        <f aca="false">COUNT(E408,G408,I408)</f>
        <v>2</v>
      </c>
      <c r="K408" s="13" t="n">
        <f aca="false">MIN(E408,G408,I408)</f>
        <v>170</v>
      </c>
      <c r="L408" s="9" t="str">
        <f aca="false">IF(E408=K408,"5000m",IF(G408=K408,"3000mSC","1500m"))</f>
        <v>3000mSC</v>
      </c>
      <c r="M408" s="14" t="n">
        <f aca="false">(D408&lt;&gt;"")*(D408&lt;=($E$3*60+$F$3)/86400)+(F408&lt;&gt;"")*(F408&lt;=($I$3*60+$J$3)/86400)+(H408&lt;&gt;"")*(H408&lt;=($M$3*60+$N$3)/86400)</f>
        <v>0</v>
      </c>
      <c r="N408" s="16"/>
      <c r="O408" s="15"/>
    </row>
    <row r="409" customFormat="false" ht="25.35" hidden="false" customHeight="false" outlineLevel="0" collapsed="false">
      <c r="A409" s="9" t="n">
        <v>403</v>
      </c>
      <c r="B409" s="10" t="s">
        <v>636</v>
      </c>
      <c r="C409" s="10" t="s">
        <v>523</v>
      </c>
      <c r="D409" s="11" t="n">
        <v>0.0105296296296296</v>
      </c>
      <c r="E409" s="12" t="n">
        <v>370</v>
      </c>
      <c r="F409" s="11" t="n">
        <v>0.0068</v>
      </c>
      <c r="G409" s="12" t="n">
        <v>171</v>
      </c>
      <c r="H409" s="11"/>
      <c r="I409" s="12"/>
      <c r="J409" s="12" t="n">
        <f aca="false">COUNT(E409,G409,I409)</f>
        <v>2</v>
      </c>
      <c r="K409" s="13" t="n">
        <f aca="false">MIN(E409,G409,I409)</f>
        <v>171</v>
      </c>
      <c r="L409" s="9" t="str">
        <f aca="false">IF(E409=K409,"5000m",IF(G409=K409,"3000mSC","1500m"))</f>
        <v>3000mSC</v>
      </c>
      <c r="M409" s="14" t="n">
        <f aca="false">(D409&lt;&gt;"")*(D409&lt;=($E$3*60+$F$3)/86400)+(F409&lt;&gt;"")*(F409&lt;=($I$3*60+$J$3)/86400)+(H409&lt;&gt;"")*(H409&lt;=($M$3*60+$N$3)/86400)</f>
        <v>0</v>
      </c>
      <c r="N409" s="16"/>
      <c r="O409" s="15"/>
    </row>
    <row r="410" customFormat="false" ht="15" hidden="false" customHeight="false" outlineLevel="0" collapsed="false">
      <c r="A410" s="9" t="n">
        <v>404</v>
      </c>
      <c r="B410" s="10" t="s">
        <v>637</v>
      </c>
      <c r="C410" s="10" t="s">
        <v>23</v>
      </c>
      <c r="D410" s="11" t="n">
        <v>0.0103173611111111</v>
      </c>
      <c r="E410" s="12" t="n">
        <v>171</v>
      </c>
      <c r="F410" s="11"/>
      <c r="G410" s="12"/>
      <c r="H410" s="11" t="n">
        <v>0.0028712962962963</v>
      </c>
      <c r="I410" s="12" t="n">
        <v>709</v>
      </c>
      <c r="J410" s="12" t="n">
        <f aca="false">COUNT(E410,G410,I410)</f>
        <v>2</v>
      </c>
      <c r="K410" s="13" t="n">
        <f aca="false">MIN(E410,G410,I410)</f>
        <v>171</v>
      </c>
      <c r="L410" s="9" t="str">
        <f aca="false">IF(E410=K410,"5000m",IF(G410=K410,"3000mSC","1500m"))</f>
        <v>5000m</v>
      </c>
      <c r="M410" s="14" t="n">
        <f aca="false">(D410&lt;&gt;"")*(D410&lt;=($E$3*60+$F$3)/86400)+(F410&lt;&gt;"")*(F410&lt;=($I$3*60+$J$3)/86400)+(H410&lt;&gt;"")*(H410&lt;=($M$3*60+$N$3)/86400)</f>
        <v>0</v>
      </c>
      <c r="N410" s="16"/>
      <c r="O410" s="15"/>
    </row>
    <row r="411" customFormat="false" ht="15" hidden="false" customHeight="false" outlineLevel="0" collapsed="false">
      <c r="A411" s="9" t="n">
        <v>405</v>
      </c>
      <c r="B411" s="10" t="s">
        <v>638</v>
      </c>
      <c r="C411" s="10" t="s">
        <v>134</v>
      </c>
      <c r="D411" s="11" t="n">
        <v>0.0103755787037037</v>
      </c>
      <c r="E411" s="12" t="n">
        <v>233</v>
      </c>
      <c r="F411" s="11"/>
      <c r="G411" s="12"/>
      <c r="H411" s="11" t="n">
        <v>0.00277407407407407</v>
      </c>
      <c r="I411" s="12" t="n">
        <v>172</v>
      </c>
      <c r="J411" s="12" t="n">
        <f aca="false">COUNT(E411,G411,I411)</f>
        <v>2</v>
      </c>
      <c r="K411" s="13" t="n">
        <f aca="false">MIN(E411,G411,I411)</f>
        <v>172</v>
      </c>
      <c r="L411" s="9" t="str">
        <f aca="false">IF(E411=K411,"5000m",IF(G411=K411,"3000mSC","1500m"))</f>
        <v>1500m</v>
      </c>
      <c r="M411" s="14" t="n">
        <f aca="false">(D411&lt;&gt;"")*(D411&lt;=($E$3*60+$F$3)/86400)+(F411&lt;&gt;"")*(F411&lt;=($I$3*60+$J$3)/86400)+(H411&lt;&gt;"")*(H411&lt;=($M$3*60+$N$3)/86400)</f>
        <v>0</v>
      </c>
      <c r="N411" s="16"/>
      <c r="O411" s="15"/>
    </row>
    <row r="412" customFormat="false" ht="25.35" hidden="false" customHeight="false" outlineLevel="0" collapsed="false">
      <c r="A412" s="9" t="n">
        <v>406</v>
      </c>
      <c r="B412" s="10" t="s">
        <v>639</v>
      </c>
      <c r="C412" s="10" t="s">
        <v>226</v>
      </c>
      <c r="D412" s="11" t="n">
        <v>0.0109670138888889</v>
      </c>
      <c r="E412" s="12" t="n">
        <v>1028</v>
      </c>
      <c r="F412" s="11" t="n">
        <v>0.00680034722222222</v>
      </c>
      <c r="G412" s="12" t="n">
        <v>172</v>
      </c>
      <c r="H412" s="11"/>
      <c r="I412" s="12"/>
      <c r="J412" s="12" t="n">
        <f aca="false">COUNT(E412,G412,I412)</f>
        <v>2</v>
      </c>
      <c r="K412" s="13" t="n">
        <f aca="false">MIN(E412,G412,I412)</f>
        <v>172</v>
      </c>
      <c r="L412" s="9" t="str">
        <f aca="false">IF(E412=K412,"5000m",IF(G412=K412,"3000mSC","1500m"))</f>
        <v>3000mSC</v>
      </c>
      <c r="M412" s="14" t="n">
        <f aca="false">(D412&lt;&gt;"")*(D412&lt;=($E$3*60+$F$3)/86400)+(F412&lt;&gt;"")*(F412&lt;=($I$3*60+$J$3)/86400)+(H412&lt;&gt;"")*(H412&lt;=($M$3*60+$N$3)/86400)</f>
        <v>0</v>
      </c>
      <c r="N412" s="16"/>
      <c r="O412" s="15"/>
    </row>
    <row r="413" customFormat="false" ht="15" hidden="false" customHeight="false" outlineLevel="0" collapsed="false">
      <c r="A413" s="9" t="n">
        <v>407</v>
      </c>
      <c r="B413" s="10" t="s">
        <v>640</v>
      </c>
      <c r="C413" s="10" t="s">
        <v>87</v>
      </c>
      <c r="D413" s="11" t="n">
        <v>0.01031875</v>
      </c>
      <c r="E413" s="12" t="n">
        <v>173</v>
      </c>
      <c r="F413" s="11"/>
      <c r="G413" s="12"/>
      <c r="H413" s="11" t="n">
        <v>0.00285532407407407</v>
      </c>
      <c r="I413" s="12" t="n">
        <v>598</v>
      </c>
      <c r="J413" s="12" t="n">
        <f aca="false">COUNT(E413,G413,I413)</f>
        <v>2</v>
      </c>
      <c r="K413" s="13" t="n">
        <f aca="false">MIN(E413,G413,I413)</f>
        <v>173</v>
      </c>
      <c r="L413" s="9" t="str">
        <f aca="false">IF(E413=K413,"5000m",IF(G413=K413,"3000mSC","1500m"))</f>
        <v>5000m</v>
      </c>
      <c r="M413" s="14" t="n">
        <f aca="false">(D413&lt;&gt;"")*(D413&lt;=($E$3*60+$F$3)/86400)+(F413&lt;&gt;"")*(F413&lt;=($I$3*60+$J$3)/86400)+(H413&lt;&gt;"")*(H413&lt;=($M$3*60+$N$3)/86400)</f>
        <v>0</v>
      </c>
      <c r="N413" s="16"/>
      <c r="O413" s="15"/>
    </row>
    <row r="414" customFormat="false" ht="25.35" hidden="false" customHeight="false" outlineLevel="0" collapsed="false">
      <c r="A414" s="9" t="n">
        <v>408</v>
      </c>
      <c r="B414" s="10" t="s">
        <v>641</v>
      </c>
      <c r="C414" s="10" t="s">
        <v>642</v>
      </c>
      <c r="D414" s="11" t="n">
        <v>0.0110141203703704</v>
      </c>
      <c r="E414" s="12" t="n">
        <v>1117</v>
      </c>
      <c r="F414" s="11" t="n">
        <v>0.00680150462962963</v>
      </c>
      <c r="G414" s="12" t="n">
        <v>173</v>
      </c>
      <c r="H414" s="11"/>
      <c r="I414" s="12"/>
      <c r="J414" s="12" t="n">
        <f aca="false">COUNT(E414,G414,I414)</f>
        <v>2</v>
      </c>
      <c r="K414" s="13" t="n">
        <f aca="false">MIN(E414,G414,I414)</f>
        <v>173</v>
      </c>
      <c r="L414" s="9" t="str">
        <f aca="false">IF(E414=K414,"5000m",IF(G414=K414,"3000mSC","1500m"))</f>
        <v>3000mSC</v>
      </c>
      <c r="M414" s="14" t="n">
        <f aca="false">(D414&lt;&gt;"")*(D414&lt;=($E$3*60+$F$3)/86400)+(F414&lt;&gt;"")*(F414&lt;=($I$3*60+$J$3)/86400)+(H414&lt;&gt;"")*(H414&lt;=($M$3*60+$N$3)/86400)</f>
        <v>0</v>
      </c>
      <c r="N414" s="16"/>
      <c r="O414" s="15"/>
    </row>
    <row r="415" customFormat="false" ht="15" hidden="false" customHeight="false" outlineLevel="0" collapsed="false">
      <c r="A415" s="9" t="n">
        <v>409</v>
      </c>
      <c r="B415" s="10" t="s">
        <v>643</v>
      </c>
      <c r="C415" s="10" t="s">
        <v>387</v>
      </c>
      <c r="D415" s="11"/>
      <c r="E415" s="12"/>
      <c r="F415" s="11"/>
      <c r="G415" s="12"/>
      <c r="H415" s="11" t="n">
        <v>0.0027744212962963</v>
      </c>
      <c r="I415" s="12" t="n">
        <v>173</v>
      </c>
      <c r="J415" s="12" t="n">
        <f aca="false">COUNT(E415,G415,I415)</f>
        <v>1</v>
      </c>
      <c r="K415" s="13" t="n">
        <f aca="false">MIN(E415,G415,I415)</f>
        <v>173</v>
      </c>
      <c r="L415" s="9" t="str">
        <f aca="false">IF(E415=K415,"5000m",IF(G415=K415,"3000mSC","1500m"))</f>
        <v>1500m</v>
      </c>
      <c r="M415" s="14" t="n">
        <f aca="false">(D415&lt;&gt;"")*(D415&lt;=($E$3*60+$F$3)/86400)+(F415&lt;&gt;"")*(F415&lt;=($I$3*60+$J$3)/86400)+(H415&lt;&gt;"")*(H415&lt;=($M$3*60+$N$3)/86400)</f>
        <v>0</v>
      </c>
      <c r="N415" s="16"/>
      <c r="O415" s="15"/>
    </row>
    <row r="416" customFormat="false" ht="25.35" hidden="false" customHeight="false" outlineLevel="0" collapsed="false">
      <c r="A416" s="9" t="n">
        <v>410</v>
      </c>
      <c r="B416" s="10" t="s">
        <v>644</v>
      </c>
      <c r="C416" s="10" t="s">
        <v>645</v>
      </c>
      <c r="D416" s="11"/>
      <c r="E416" s="12"/>
      <c r="F416" s="11" t="n">
        <v>0.00680185185185185</v>
      </c>
      <c r="G416" s="12" t="n">
        <v>174</v>
      </c>
      <c r="H416" s="11" t="n">
        <v>0.0029025462962963</v>
      </c>
      <c r="I416" s="12" t="n">
        <v>967</v>
      </c>
      <c r="J416" s="12" t="n">
        <f aca="false">COUNT(E416,G416,I416)</f>
        <v>2</v>
      </c>
      <c r="K416" s="13" t="n">
        <f aca="false">MIN(E416,G416,I416)</f>
        <v>174</v>
      </c>
      <c r="L416" s="9" t="str">
        <f aca="false">IF(E416=K416,"5000m",IF(G416=K416,"3000mSC","1500m"))</f>
        <v>3000mSC</v>
      </c>
      <c r="M416" s="14" t="n">
        <f aca="false">(D416&lt;&gt;"")*(D416&lt;=($E$3*60+$F$3)/86400)+(F416&lt;&gt;"")*(F416&lt;=($I$3*60+$J$3)/86400)+(H416&lt;&gt;"")*(H416&lt;=($M$3*60+$N$3)/86400)</f>
        <v>0</v>
      </c>
      <c r="N416" s="16"/>
      <c r="O416" s="15"/>
    </row>
    <row r="417" customFormat="false" ht="15" hidden="false" customHeight="false" outlineLevel="0" collapsed="false">
      <c r="A417" s="9" t="n">
        <v>411</v>
      </c>
      <c r="B417" s="10" t="s">
        <v>646</v>
      </c>
      <c r="C417" s="10" t="s">
        <v>43</v>
      </c>
      <c r="D417" s="11" t="n">
        <v>0.0103224537037037</v>
      </c>
      <c r="E417" s="12" t="n">
        <v>174</v>
      </c>
      <c r="F417" s="11"/>
      <c r="G417" s="12"/>
      <c r="H417" s="11" t="n">
        <v>0.00290902777777778</v>
      </c>
      <c r="I417" s="12" t="n">
        <v>1009</v>
      </c>
      <c r="J417" s="12" t="n">
        <f aca="false">COUNT(E417,G417,I417)</f>
        <v>2</v>
      </c>
      <c r="K417" s="13" t="n">
        <f aca="false">MIN(E417,G417,I417)</f>
        <v>174</v>
      </c>
      <c r="L417" s="9" t="str">
        <f aca="false">IF(E417=K417,"5000m",IF(G417=K417,"3000mSC","1500m"))</f>
        <v>5000m</v>
      </c>
      <c r="M417" s="14" t="n">
        <f aca="false">(D417&lt;&gt;"")*(D417&lt;=($E$3*60+$F$3)/86400)+(F417&lt;&gt;"")*(F417&lt;=($I$3*60+$J$3)/86400)+(H417&lt;&gt;"")*(H417&lt;=($M$3*60+$N$3)/86400)</f>
        <v>0</v>
      </c>
      <c r="N417" s="16"/>
      <c r="O417" s="15"/>
    </row>
    <row r="418" customFormat="false" ht="15" hidden="false" customHeight="false" outlineLevel="0" collapsed="false">
      <c r="A418" s="9" t="n">
        <v>412</v>
      </c>
      <c r="B418" s="10" t="s">
        <v>647</v>
      </c>
      <c r="C418" s="10" t="s">
        <v>529</v>
      </c>
      <c r="D418" s="11"/>
      <c r="E418" s="12"/>
      <c r="F418" s="11"/>
      <c r="G418" s="12"/>
      <c r="H418" s="11" t="n">
        <v>0.00277453703703704</v>
      </c>
      <c r="I418" s="12" t="n">
        <v>174</v>
      </c>
      <c r="J418" s="12" t="n">
        <f aca="false">COUNT(E418,G418,I418)</f>
        <v>1</v>
      </c>
      <c r="K418" s="13" t="n">
        <f aca="false">MIN(E418,G418,I418)</f>
        <v>174</v>
      </c>
      <c r="L418" s="9" t="str">
        <f aca="false">IF(E418=K418,"5000m",IF(G418=K418,"3000mSC","1500m"))</f>
        <v>1500m</v>
      </c>
      <c r="M418" s="14" t="n">
        <f aca="false">(D418&lt;&gt;"")*(D418&lt;=($E$3*60+$F$3)/86400)+(F418&lt;&gt;"")*(F418&lt;=($I$3*60+$J$3)/86400)+(H418&lt;&gt;"")*(H418&lt;=($M$3*60+$N$3)/86400)</f>
        <v>0</v>
      </c>
      <c r="N418" s="16"/>
      <c r="O418" s="15"/>
    </row>
    <row r="419" customFormat="false" ht="15" hidden="false" customHeight="false" outlineLevel="0" collapsed="false">
      <c r="A419" s="9" t="n">
        <v>413</v>
      </c>
      <c r="B419" s="10" t="s">
        <v>648</v>
      </c>
      <c r="C419" s="10" t="s">
        <v>25</v>
      </c>
      <c r="D419" s="11" t="n">
        <v>0.0104</v>
      </c>
      <c r="E419" s="12" t="n">
        <v>264</v>
      </c>
      <c r="F419" s="11"/>
      <c r="G419" s="12"/>
      <c r="H419" s="11" t="n">
        <v>0.00277476851851852</v>
      </c>
      <c r="I419" s="12" t="n">
        <v>175</v>
      </c>
      <c r="J419" s="12" t="n">
        <f aca="false">COUNT(E419,G419,I419)</f>
        <v>2</v>
      </c>
      <c r="K419" s="13" t="n">
        <f aca="false">MIN(E419,G419,I419)</f>
        <v>175</v>
      </c>
      <c r="L419" s="9" t="str">
        <f aca="false">IF(E419=K419,"5000m",IF(G419=K419,"3000mSC","1500m"))</f>
        <v>1500m</v>
      </c>
      <c r="M419" s="14" t="n">
        <f aca="false">(D419&lt;&gt;"")*(D419&lt;=($E$3*60+$F$3)/86400)+(F419&lt;&gt;"")*(F419&lt;=($I$3*60+$J$3)/86400)+(H419&lt;&gt;"")*(H419&lt;=($M$3*60+$N$3)/86400)</f>
        <v>0</v>
      </c>
      <c r="N419" s="16"/>
      <c r="O419" s="15"/>
    </row>
    <row r="420" customFormat="false" ht="25.35" hidden="false" customHeight="false" outlineLevel="0" collapsed="false">
      <c r="A420" s="9" t="n">
        <v>414</v>
      </c>
      <c r="B420" s="10" t="s">
        <v>649</v>
      </c>
      <c r="C420" s="10" t="s">
        <v>650</v>
      </c>
      <c r="D420" s="11"/>
      <c r="E420" s="12"/>
      <c r="F420" s="11" t="n">
        <v>0.00680416666666667</v>
      </c>
      <c r="G420" s="12" t="n">
        <v>175</v>
      </c>
      <c r="H420" s="11" t="n">
        <v>0.00291759259259259</v>
      </c>
      <c r="I420" s="12" t="n">
        <v>1071</v>
      </c>
      <c r="J420" s="12" t="n">
        <f aca="false">COUNT(E420,G420,I420)</f>
        <v>2</v>
      </c>
      <c r="K420" s="13" t="n">
        <f aca="false">MIN(E420,G420,I420)</f>
        <v>175</v>
      </c>
      <c r="L420" s="9" t="str">
        <f aca="false">IF(E420=K420,"5000m",IF(G420=K420,"3000mSC","1500m"))</f>
        <v>3000mSC</v>
      </c>
      <c r="M420" s="14" t="n">
        <f aca="false">(D420&lt;&gt;"")*(D420&lt;=($E$3*60+$F$3)/86400)+(F420&lt;&gt;"")*(F420&lt;=($I$3*60+$J$3)/86400)+(H420&lt;&gt;"")*(H420&lt;=($M$3*60+$N$3)/86400)</f>
        <v>0</v>
      </c>
      <c r="N420" s="16"/>
      <c r="O420" s="15"/>
    </row>
    <row r="421" customFormat="false" ht="15" hidden="false" customHeight="false" outlineLevel="0" collapsed="false">
      <c r="A421" s="9" t="n">
        <v>415</v>
      </c>
      <c r="B421" s="10" t="s">
        <v>651</v>
      </c>
      <c r="C421" s="10" t="s">
        <v>652</v>
      </c>
      <c r="D421" s="11" t="n">
        <v>0.010437962962963</v>
      </c>
      <c r="E421" s="12" t="n">
        <v>299</v>
      </c>
      <c r="F421" s="11"/>
      <c r="G421" s="12"/>
      <c r="H421" s="11" t="n">
        <v>0.0027755787037037</v>
      </c>
      <c r="I421" s="12" t="n">
        <v>176</v>
      </c>
      <c r="J421" s="12" t="n">
        <f aca="false">COUNT(E421,G421,I421)</f>
        <v>2</v>
      </c>
      <c r="K421" s="13" t="n">
        <f aca="false">MIN(E421,G421,I421)</f>
        <v>176</v>
      </c>
      <c r="L421" s="9" t="str">
        <f aca="false">IF(E421=K421,"5000m",IF(G421=K421,"3000mSC","1500m"))</f>
        <v>1500m</v>
      </c>
      <c r="M421" s="14" t="n">
        <f aca="false">(D421&lt;&gt;"")*(D421&lt;=($E$3*60+$F$3)/86400)+(F421&lt;&gt;"")*(F421&lt;=($I$3*60+$J$3)/86400)+(H421&lt;&gt;"")*(H421&lt;=($M$3*60+$N$3)/86400)</f>
        <v>0</v>
      </c>
      <c r="N421" s="16"/>
      <c r="O421" s="15"/>
    </row>
    <row r="422" customFormat="false" ht="15" hidden="false" customHeight="false" outlineLevel="0" collapsed="false">
      <c r="A422" s="9" t="n">
        <v>416</v>
      </c>
      <c r="B422" s="10" t="s">
        <v>653</v>
      </c>
      <c r="C422" s="10" t="s">
        <v>654</v>
      </c>
      <c r="D422" s="11" t="n">
        <v>0.0103251157407407</v>
      </c>
      <c r="E422" s="12" t="n">
        <v>176</v>
      </c>
      <c r="F422" s="11"/>
      <c r="G422" s="12"/>
      <c r="H422" s="11" t="n">
        <v>0.00282268518518519</v>
      </c>
      <c r="I422" s="12" t="n">
        <v>379</v>
      </c>
      <c r="J422" s="12" t="n">
        <f aca="false">COUNT(E422,G422,I422)</f>
        <v>2</v>
      </c>
      <c r="K422" s="13" t="n">
        <f aca="false">MIN(E422,G422,I422)</f>
        <v>176</v>
      </c>
      <c r="L422" s="9" t="str">
        <f aca="false">IF(E422=K422,"5000m",IF(G422=K422,"3000mSC","1500m"))</f>
        <v>5000m</v>
      </c>
      <c r="M422" s="14" t="n">
        <f aca="false">(D422&lt;&gt;"")*(D422&lt;=($E$3*60+$F$3)/86400)+(F422&lt;&gt;"")*(F422&lt;=($I$3*60+$J$3)/86400)+(H422&lt;&gt;"")*(H422&lt;=($M$3*60+$N$3)/86400)</f>
        <v>0</v>
      </c>
      <c r="N422" s="16"/>
      <c r="O422" s="15"/>
    </row>
    <row r="423" customFormat="false" ht="25.35" hidden="false" customHeight="false" outlineLevel="0" collapsed="false">
      <c r="A423" s="9" t="n">
        <v>417</v>
      </c>
      <c r="B423" s="10" t="s">
        <v>655</v>
      </c>
      <c r="C423" s="10" t="s">
        <v>656</v>
      </c>
      <c r="D423" s="11"/>
      <c r="E423" s="12"/>
      <c r="F423" s="11" t="n">
        <v>0.00680648148148148</v>
      </c>
      <c r="G423" s="12" t="n">
        <v>176</v>
      </c>
      <c r="H423" s="11"/>
      <c r="I423" s="12"/>
      <c r="J423" s="12" t="n">
        <f aca="false">COUNT(E423,G423,I423)</f>
        <v>1</v>
      </c>
      <c r="K423" s="13" t="n">
        <f aca="false">MIN(E423,G423,I423)</f>
        <v>176</v>
      </c>
      <c r="L423" s="9" t="str">
        <f aca="false">IF(E423=K423,"5000m",IF(G423=K423,"3000mSC","1500m"))</f>
        <v>3000mSC</v>
      </c>
      <c r="M423" s="14" t="n">
        <f aca="false">(D423&lt;&gt;"")*(D423&lt;=($E$3*60+$F$3)/86400)+(F423&lt;&gt;"")*(F423&lt;=($I$3*60+$J$3)/86400)+(H423&lt;&gt;"")*(H423&lt;=($M$3*60+$N$3)/86400)</f>
        <v>0</v>
      </c>
      <c r="N423" s="16"/>
      <c r="O423" s="15"/>
    </row>
    <row r="424" customFormat="false" ht="15" hidden="false" customHeight="false" outlineLevel="0" collapsed="false">
      <c r="A424" s="9" t="n">
        <v>418</v>
      </c>
      <c r="B424" s="10" t="s">
        <v>657</v>
      </c>
      <c r="C424" s="10" t="s">
        <v>658</v>
      </c>
      <c r="D424" s="11" t="n">
        <v>0.0106484953703704</v>
      </c>
      <c r="E424" s="12" t="n">
        <v>522</v>
      </c>
      <c r="F424" s="11"/>
      <c r="G424" s="12"/>
      <c r="H424" s="11" t="n">
        <v>0.00277569444444444</v>
      </c>
      <c r="I424" s="12" t="n">
        <v>177</v>
      </c>
      <c r="J424" s="12" t="n">
        <f aca="false">COUNT(E424,G424,I424)</f>
        <v>2</v>
      </c>
      <c r="K424" s="13" t="n">
        <f aca="false">MIN(E424,G424,I424)</f>
        <v>177</v>
      </c>
      <c r="L424" s="9" t="str">
        <f aca="false">IF(E424=K424,"5000m",IF(G424=K424,"3000mSC","1500m"))</f>
        <v>1500m</v>
      </c>
      <c r="M424" s="14" t="n">
        <f aca="false">(D424&lt;&gt;"")*(D424&lt;=($E$3*60+$F$3)/86400)+(F424&lt;&gt;"")*(F424&lt;=($I$3*60+$J$3)/86400)+(H424&lt;&gt;"")*(H424&lt;=($M$3*60+$N$3)/86400)</f>
        <v>0</v>
      </c>
      <c r="N424" s="16"/>
      <c r="O424" s="15"/>
    </row>
    <row r="425" customFormat="false" ht="25.35" hidden="false" customHeight="false" outlineLevel="0" collapsed="false">
      <c r="A425" s="9" t="n">
        <v>419</v>
      </c>
      <c r="B425" s="10" t="s">
        <v>659</v>
      </c>
      <c r="C425" s="10" t="s">
        <v>660</v>
      </c>
      <c r="D425" s="11" t="n">
        <v>0.0109517361111111</v>
      </c>
      <c r="E425" s="12" t="n">
        <v>1003</v>
      </c>
      <c r="F425" s="11" t="n">
        <v>0.00680671296296296</v>
      </c>
      <c r="G425" s="12" t="n">
        <v>177</v>
      </c>
      <c r="H425" s="11"/>
      <c r="I425" s="12"/>
      <c r="J425" s="12" t="n">
        <f aca="false">COUNT(E425,G425,I425)</f>
        <v>2</v>
      </c>
      <c r="K425" s="13" t="n">
        <f aca="false">MIN(E425,G425,I425)</f>
        <v>177</v>
      </c>
      <c r="L425" s="9" t="str">
        <f aca="false">IF(E425=K425,"5000m",IF(G425=K425,"3000mSC","1500m"))</f>
        <v>3000mSC</v>
      </c>
      <c r="M425" s="14" t="n">
        <f aca="false">(D425&lt;&gt;"")*(D425&lt;=($E$3*60+$F$3)/86400)+(F425&lt;&gt;"")*(F425&lt;=($I$3*60+$J$3)/86400)+(H425&lt;&gt;"")*(H425&lt;=($M$3*60+$N$3)/86400)</f>
        <v>0</v>
      </c>
      <c r="N425" s="16"/>
      <c r="O425" s="15"/>
    </row>
    <row r="426" customFormat="false" ht="15" hidden="false" customHeight="false" outlineLevel="0" collapsed="false">
      <c r="A426" s="9" t="n">
        <v>420</v>
      </c>
      <c r="B426" s="10" t="s">
        <v>661</v>
      </c>
      <c r="C426" s="10" t="s">
        <v>570</v>
      </c>
      <c r="D426" s="11" t="n">
        <v>0.0103259259259259</v>
      </c>
      <c r="E426" s="12" t="n">
        <v>177</v>
      </c>
      <c r="F426" s="11"/>
      <c r="G426" s="12"/>
      <c r="H426" s="11" t="n">
        <v>0.00296030092592593</v>
      </c>
      <c r="I426" s="12" t="n">
        <v>1273</v>
      </c>
      <c r="J426" s="12" t="n">
        <f aca="false">COUNT(E426,G426,I426)</f>
        <v>2</v>
      </c>
      <c r="K426" s="13" t="n">
        <f aca="false">MIN(E426,G426,I426)</f>
        <v>177</v>
      </c>
      <c r="L426" s="9" t="str">
        <f aca="false">IF(E426=K426,"5000m",IF(G426=K426,"3000mSC","1500m"))</f>
        <v>5000m</v>
      </c>
      <c r="M426" s="14" t="n">
        <f aca="false">(D426&lt;&gt;"")*(D426&lt;=($E$3*60+$F$3)/86400)+(F426&lt;&gt;"")*(F426&lt;=($I$3*60+$J$3)/86400)+(H426&lt;&gt;"")*(H426&lt;=($M$3*60+$N$3)/86400)</f>
        <v>0</v>
      </c>
      <c r="N426" s="16"/>
      <c r="O426" s="15"/>
    </row>
    <row r="427" customFormat="false" ht="25.35" hidden="false" customHeight="false" outlineLevel="0" collapsed="false">
      <c r="A427" s="9" t="n">
        <v>421</v>
      </c>
      <c r="B427" s="10" t="s">
        <v>662</v>
      </c>
      <c r="C427" s="10" t="s">
        <v>91</v>
      </c>
      <c r="D427" s="11" t="n">
        <v>0.0106987268518519</v>
      </c>
      <c r="E427" s="12" t="n">
        <v>579</v>
      </c>
      <c r="F427" s="11" t="n">
        <v>0.00680717592592593</v>
      </c>
      <c r="G427" s="12" t="n">
        <v>178</v>
      </c>
      <c r="H427" s="11" t="n">
        <v>0.00288356481481481</v>
      </c>
      <c r="I427" s="12" t="n">
        <v>803</v>
      </c>
      <c r="J427" s="12" t="n">
        <f aca="false">COUNT(E427,G427,I427)</f>
        <v>3</v>
      </c>
      <c r="K427" s="13" t="n">
        <f aca="false">MIN(E427,G427,I427)</f>
        <v>178</v>
      </c>
      <c r="L427" s="9" t="str">
        <f aca="false">IF(E427=K427,"5000m",IF(G427=K427,"3000mSC","1500m"))</f>
        <v>3000mSC</v>
      </c>
      <c r="M427" s="14" t="n">
        <f aca="false">(D427&lt;&gt;"")*(D427&lt;=($E$3*60+$F$3)/86400)+(F427&lt;&gt;"")*(F427&lt;=($I$3*60+$J$3)/86400)+(H427&lt;&gt;"")*(H427&lt;=($M$3*60+$N$3)/86400)</f>
        <v>0</v>
      </c>
      <c r="N427" s="10" t="s">
        <v>663</v>
      </c>
      <c r="O427" s="15"/>
    </row>
    <row r="428" customFormat="false" ht="15" hidden="false" customHeight="false" outlineLevel="0" collapsed="false">
      <c r="A428" s="9" t="n">
        <v>422</v>
      </c>
      <c r="B428" s="10" t="s">
        <v>664</v>
      </c>
      <c r="C428" s="10" t="s">
        <v>242</v>
      </c>
      <c r="D428" s="11" t="n">
        <v>0.0103260416666667</v>
      </c>
      <c r="E428" s="12" t="n">
        <v>178</v>
      </c>
      <c r="F428" s="11"/>
      <c r="G428" s="12"/>
      <c r="H428" s="11" t="n">
        <v>0.00282430555555556</v>
      </c>
      <c r="I428" s="12" t="n">
        <v>389</v>
      </c>
      <c r="J428" s="12" t="n">
        <f aca="false">COUNT(E428,G428,I428)</f>
        <v>2</v>
      </c>
      <c r="K428" s="13" t="n">
        <f aca="false">MIN(E428,G428,I428)</f>
        <v>178</v>
      </c>
      <c r="L428" s="9" t="str">
        <f aca="false">IF(E428=K428,"5000m",IF(G428=K428,"3000mSC","1500m"))</f>
        <v>5000m</v>
      </c>
      <c r="M428" s="14" t="n">
        <f aca="false">(D428&lt;&gt;"")*(D428&lt;=($E$3*60+$F$3)/86400)+(F428&lt;&gt;"")*(F428&lt;=($I$3*60+$J$3)/86400)+(H428&lt;&gt;"")*(H428&lt;=($M$3*60+$N$3)/86400)</f>
        <v>0</v>
      </c>
      <c r="N428" s="16"/>
      <c r="O428" s="15"/>
    </row>
    <row r="429" customFormat="false" ht="15" hidden="false" customHeight="false" outlineLevel="0" collapsed="false">
      <c r="A429" s="9" t="n">
        <v>423</v>
      </c>
      <c r="B429" s="10" t="s">
        <v>665</v>
      </c>
      <c r="C429" s="10" t="s">
        <v>288</v>
      </c>
      <c r="D429" s="11"/>
      <c r="E429" s="12"/>
      <c r="F429" s="11"/>
      <c r="G429" s="12"/>
      <c r="H429" s="11" t="n">
        <v>0.00277569444444444</v>
      </c>
      <c r="I429" s="12" t="n">
        <v>178</v>
      </c>
      <c r="J429" s="12" t="n">
        <f aca="false">COUNT(E429,G429,I429)</f>
        <v>1</v>
      </c>
      <c r="K429" s="13" t="n">
        <f aca="false">MIN(E429,G429,I429)</f>
        <v>178</v>
      </c>
      <c r="L429" s="9" t="str">
        <f aca="false">IF(E429=K429,"5000m",IF(G429=K429,"3000mSC","1500m"))</f>
        <v>1500m</v>
      </c>
      <c r="M429" s="14" t="n">
        <f aca="false">(D429&lt;&gt;"")*(D429&lt;=($E$3*60+$F$3)/86400)+(F429&lt;&gt;"")*(F429&lt;=($I$3*60+$J$3)/86400)+(H429&lt;&gt;"")*(H429&lt;=($M$3*60+$N$3)/86400)</f>
        <v>0</v>
      </c>
      <c r="N429" s="16"/>
      <c r="O429" s="15"/>
    </row>
    <row r="430" customFormat="false" ht="15" hidden="false" customHeight="false" outlineLevel="0" collapsed="false">
      <c r="A430" s="9" t="n">
        <v>424</v>
      </c>
      <c r="B430" s="10" t="s">
        <v>666</v>
      </c>
      <c r="C430" s="10" t="s">
        <v>667</v>
      </c>
      <c r="D430" s="11" t="n">
        <v>0.010875462962963</v>
      </c>
      <c r="E430" s="12" t="n">
        <v>882</v>
      </c>
      <c r="F430" s="11" t="n">
        <v>0.00731689814814815</v>
      </c>
      <c r="G430" s="12" t="n">
        <v>664</v>
      </c>
      <c r="H430" s="11" t="n">
        <v>0.00277581018518519</v>
      </c>
      <c r="I430" s="12" t="n">
        <v>179</v>
      </c>
      <c r="J430" s="12" t="n">
        <f aca="false">COUNT(E430,G430,I430)</f>
        <v>3</v>
      </c>
      <c r="K430" s="13" t="n">
        <f aca="false">MIN(E430,G430,I430)</f>
        <v>179</v>
      </c>
      <c r="L430" s="9" t="str">
        <f aca="false">IF(E430=K430,"5000m",IF(G430=K430,"3000mSC","1500m"))</f>
        <v>1500m</v>
      </c>
      <c r="M430" s="14" t="n">
        <f aca="false">(D430&lt;&gt;"")*(D430&lt;=($E$3*60+$F$3)/86400)+(F430&lt;&gt;"")*(F430&lt;=($I$3*60+$J$3)/86400)+(H430&lt;&gt;"")*(H430&lt;=($M$3*60+$N$3)/86400)</f>
        <v>0</v>
      </c>
      <c r="N430" s="16"/>
      <c r="O430" s="15"/>
    </row>
    <row r="431" customFormat="false" ht="25.35" hidden="false" customHeight="false" outlineLevel="0" collapsed="false">
      <c r="A431" s="9" t="n">
        <v>425</v>
      </c>
      <c r="B431" s="10" t="s">
        <v>668</v>
      </c>
      <c r="C431" s="10" t="s">
        <v>263</v>
      </c>
      <c r="D431" s="11" t="n">
        <v>0.0107228009259259</v>
      </c>
      <c r="E431" s="12" t="n">
        <v>616</v>
      </c>
      <c r="F431" s="11" t="n">
        <v>0.00680914351851852</v>
      </c>
      <c r="G431" s="12" t="n">
        <v>179</v>
      </c>
      <c r="H431" s="11" t="n">
        <v>0.00292210648148148</v>
      </c>
      <c r="I431" s="12" t="n">
        <v>1115</v>
      </c>
      <c r="J431" s="12" t="n">
        <f aca="false">COUNT(E431,G431,I431)</f>
        <v>3</v>
      </c>
      <c r="K431" s="13" t="n">
        <f aca="false">MIN(E431,G431,I431)</f>
        <v>179</v>
      </c>
      <c r="L431" s="9" t="str">
        <f aca="false">IF(E431=K431,"5000m",IF(G431=K431,"3000mSC","1500m"))</f>
        <v>3000mSC</v>
      </c>
      <c r="M431" s="14" t="n">
        <f aca="false">(D431&lt;&gt;"")*(D431&lt;=($E$3*60+$F$3)/86400)+(F431&lt;&gt;"")*(F431&lt;=($I$3*60+$J$3)/86400)+(H431&lt;&gt;"")*(H431&lt;=($M$3*60+$N$3)/86400)</f>
        <v>0</v>
      </c>
      <c r="N431" s="16"/>
      <c r="O431" s="15"/>
    </row>
    <row r="432" customFormat="false" ht="15" hidden="false" customHeight="false" outlineLevel="0" collapsed="false">
      <c r="A432" s="9" t="n">
        <v>426</v>
      </c>
      <c r="B432" s="10" t="s">
        <v>669</v>
      </c>
      <c r="C432" s="10" t="s">
        <v>83</v>
      </c>
      <c r="D432" s="11" t="n">
        <v>0.0103261574074074</v>
      </c>
      <c r="E432" s="12" t="n">
        <v>179</v>
      </c>
      <c r="F432" s="11"/>
      <c r="G432" s="12"/>
      <c r="H432" s="11" t="n">
        <v>0.00288576388888889</v>
      </c>
      <c r="I432" s="12" t="n">
        <v>822</v>
      </c>
      <c r="J432" s="12" t="n">
        <f aca="false">COUNT(E432,G432,I432)</f>
        <v>2</v>
      </c>
      <c r="K432" s="13" t="n">
        <f aca="false">MIN(E432,G432,I432)</f>
        <v>179</v>
      </c>
      <c r="L432" s="9" t="str">
        <f aca="false">IF(E432=K432,"5000m",IF(G432=K432,"3000mSC","1500m"))</f>
        <v>5000m</v>
      </c>
      <c r="M432" s="14" t="n">
        <f aca="false">(D432&lt;&gt;"")*(D432&lt;=($E$3*60+$F$3)/86400)+(F432&lt;&gt;"")*(F432&lt;=($I$3*60+$J$3)/86400)+(H432&lt;&gt;"")*(H432&lt;=($M$3*60+$N$3)/86400)</f>
        <v>0</v>
      </c>
      <c r="N432" s="16"/>
      <c r="O432" s="15"/>
    </row>
    <row r="433" customFormat="false" ht="15" hidden="false" customHeight="false" outlineLevel="0" collapsed="false">
      <c r="A433" s="9" t="n">
        <v>427</v>
      </c>
      <c r="B433" s="10" t="s">
        <v>670</v>
      </c>
      <c r="C433" s="10" t="s">
        <v>64</v>
      </c>
      <c r="D433" s="11" t="n">
        <v>0.0103270833333333</v>
      </c>
      <c r="E433" s="12" t="n">
        <v>180</v>
      </c>
      <c r="F433" s="11" t="n">
        <v>0.00692604166666667</v>
      </c>
      <c r="G433" s="12" t="n">
        <v>266</v>
      </c>
      <c r="H433" s="11" t="n">
        <v>0.00286608796296296</v>
      </c>
      <c r="I433" s="12" t="n">
        <v>670</v>
      </c>
      <c r="J433" s="12" t="n">
        <f aca="false">COUNT(E433,G433,I433)</f>
        <v>3</v>
      </c>
      <c r="K433" s="13" t="n">
        <f aca="false">MIN(E433,G433,I433)</f>
        <v>180</v>
      </c>
      <c r="L433" s="9" t="str">
        <f aca="false">IF(E433=K433,"5000m",IF(G433=K433,"3000mSC","1500m"))</f>
        <v>5000m</v>
      </c>
      <c r="M433" s="14" t="n">
        <f aca="false">(D433&lt;&gt;"")*(D433&lt;=($E$3*60+$F$3)/86400)+(F433&lt;&gt;"")*(F433&lt;=($I$3*60+$J$3)/86400)+(H433&lt;&gt;"")*(H433&lt;=($M$3*60+$N$3)/86400)</f>
        <v>0</v>
      </c>
      <c r="N433" s="16"/>
      <c r="O433" s="15"/>
    </row>
    <row r="434" customFormat="false" ht="25.35" hidden="false" customHeight="false" outlineLevel="0" collapsed="false">
      <c r="A434" s="9" t="n">
        <v>428</v>
      </c>
      <c r="B434" s="10" t="s">
        <v>671</v>
      </c>
      <c r="C434" s="10" t="s">
        <v>195</v>
      </c>
      <c r="D434" s="11" t="n">
        <v>0.0109353009259259</v>
      </c>
      <c r="E434" s="12" t="n">
        <v>976</v>
      </c>
      <c r="F434" s="11" t="n">
        <v>0.00680972222222222</v>
      </c>
      <c r="G434" s="12" t="n">
        <v>180</v>
      </c>
      <c r="H434" s="11" t="n">
        <v>0.00288136574074074</v>
      </c>
      <c r="I434" s="12" t="n">
        <v>781</v>
      </c>
      <c r="J434" s="12" t="n">
        <f aca="false">COUNT(E434,G434,I434)</f>
        <v>3</v>
      </c>
      <c r="K434" s="13" t="n">
        <f aca="false">MIN(E434,G434,I434)</f>
        <v>180</v>
      </c>
      <c r="L434" s="9" t="str">
        <f aca="false">IF(E434=K434,"5000m",IF(G434=K434,"3000mSC","1500m"))</f>
        <v>3000mSC</v>
      </c>
      <c r="M434" s="14" t="n">
        <f aca="false">(D434&lt;&gt;"")*(D434&lt;=($E$3*60+$F$3)/86400)+(F434&lt;&gt;"")*(F434&lt;=($I$3*60+$J$3)/86400)+(H434&lt;&gt;"")*(H434&lt;=($M$3*60+$N$3)/86400)</f>
        <v>0</v>
      </c>
      <c r="N434" s="16"/>
      <c r="O434" s="15"/>
    </row>
    <row r="435" customFormat="false" ht="15" hidden="false" customHeight="false" outlineLevel="0" collapsed="false">
      <c r="A435" s="9" t="n">
        <v>429</v>
      </c>
      <c r="B435" s="10" t="s">
        <v>672</v>
      </c>
      <c r="C435" s="10" t="s">
        <v>462</v>
      </c>
      <c r="D435" s="11" t="n">
        <v>0.0103782407407407</v>
      </c>
      <c r="E435" s="12" t="n">
        <v>242</v>
      </c>
      <c r="F435" s="11"/>
      <c r="G435" s="12"/>
      <c r="H435" s="11" t="n">
        <v>0.00277592592592593</v>
      </c>
      <c r="I435" s="12" t="n">
        <v>181</v>
      </c>
      <c r="J435" s="12" t="n">
        <f aca="false">COUNT(E435,G435,I435)</f>
        <v>2</v>
      </c>
      <c r="K435" s="13" t="n">
        <f aca="false">MIN(E435,G435,I435)</f>
        <v>181</v>
      </c>
      <c r="L435" s="9" t="str">
        <f aca="false">IF(E435=K435,"5000m",IF(G435=K435,"3000mSC","1500m"))</f>
        <v>1500m</v>
      </c>
      <c r="M435" s="14" t="n">
        <f aca="false">(D435&lt;&gt;"")*(D435&lt;=($E$3*60+$F$3)/86400)+(F435&lt;&gt;"")*(F435&lt;=($I$3*60+$J$3)/86400)+(H435&lt;&gt;"")*(H435&lt;=($M$3*60+$N$3)/86400)</f>
        <v>0</v>
      </c>
      <c r="N435" s="16"/>
      <c r="O435" s="15"/>
    </row>
    <row r="436" customFormat="false" ht="25.35" hidden="false" customHeight="false" outlineLevel="0" collapsed="false">
      <c r="A436" s="9" t="n">
        <v>430</v>
      </c>
      <c r="B436" s="10" t="s">
        <v>673</v>
      </c>
      <c r="C436" s="10" t="s">
        <v>674</v>
      </c>
      <c r="D436" s="11" t="n">
        <v>0.0111204861111111</v>
      </c>
      <c r="E436" s="12" t="n">
        <v>1288</v>
      </c>
      <c r="F436" s="11" t="n">
        <v>0.00681215277777778</v>
      </c>
      <c r="G436" s="12" t="n">
        <v>181</v>
      </c>
      <c r="H436" s="11"/>
      <c r="I436" s="12"/>
      <c r="J436" s="12" t="n">
        <f aca="false">COUNT(E436,G436,I436)</f>
        <v>2</v>
      </c>
      <c r="K436" s="13" t="n">
        <f aca="false">MIN(E436,G436,I436)</f>
        <v>181</v>
      </c>
      <c r="L436" s="9" t="str">
        <f aca="false">IF(E436=K436,"5000m",IF(G436=K436,"3000mSC","1500m"))</f>
        <v>3000mSC</v>
      </c>
      <c r="M436" s="14" t="n">
        <f aca="false">(D436&lt;&gt;"")*(D436&lt;=($E$3*60+$F$3)/86400)+(F436&lt;&gt;"")*(F436&lt;=($I$3*60+$J$3)/86400)+(H436&lt;&gt;"")*(H436&lt;=($M$3*60+$N$3)/86400)</f>
        <v>0</v>
      </c>
      <c r="N436" s="16"/>
      <c r="O436" s="15"/>
    </row>
    <row r="437" customFormat="false" ht="15" hidden="false" customHeight="false" outlineLevel="0" collapsed="false">
      <c r="A437" s="9" t="n">
        <v>431</v>
      </c>
      <c r="B437" s="10" t="s">
        <v>675</v>
      </c>
      <c r="C437" s="10" t="s">
        <v>49</v>
      </c>
      <c r="D437" s="11" t="n">
        <v>0.0103275462962963</v>
      </c>
      <c r="E437" s="12" t="n">
        <v>181</v>
      </c>
      <c r="F437" s="11"/>
      <c r="G437" s="12"/>
      <c r="H437" s="11"/>
      <c r="I437" s="12"/>
      <c r="J437" s="12" t="n">
        <f aca="false">COUNT(E437,G437,I437)</f>
        <v>1</v>
      </c>
      <c r="K437" s="13" t="n">
        <f aca="false">MIN(E437,G437,I437)</f>
        <v>181</v>
      </c>
      <c r="L437" s="9" t="str">
        <f aca="false">IF(E437=K437,"5000m",IF(G437=K437,"3000mSC","1500m"))</f>
        <v>5000m</v>
      </c>
      <c r="M437" s="14" t="n">
        <f aca="false">(D437&lt;&gt;"")*(D437&lt;=($E$3*60+$F$3)/86400)+(F437&lt;&gt;"")*(F437&lt;=($I$3*60+$J$3)/86400)+(H437&lt;&gt;"")*(H437&lt;=($M$3*60+$N$3)/86400)</f>
        <v>0</v>
      </c>
      <c r="N437" s="16"/>
      <c r="O437" s="15"/>
    </row>
    <row r="438" customFormat="false" ht="15" hidden="false" customHeight="false" outlineLevel="0" collapsed="false">
      <c r="A438" s="9" t="n">
        <v>432</v>
      </c>
      <c r="B438" s="10" t="s">
        <v>676</v>
      </c>
      <c r="C438" s="10" t="s">
        <v>387</v>
      </c>
      <c r="D438" s="11" t="n">
        <v>0.0103303240740741</v>
      </c>
      <c r="E438" s="12" t="n">
        <v>182</v>
      </c>
      <c r="F438" s="11" t="n">
        <v>0.00704131944444445</v>
      </c>
      <c r="G438" s="12" t="n">
        <v>378</v>
      </c>
      <c r="H438" s="11" t="n">
        <v>0.00277731481481482</v>
      </c>
      <c r="I438" s="12" t="n">
        <v>187</v>
      </c>
      <c r="J438" s="12" t="n">
        <f aca="false">COUNT(E438,G438,I438)</f>
        <v>3</v>
      </c>
      <c r="K438" s="13" t="n">
        <f aca="false">MIN(E438,G438,I438)</f>
        <v>182</v>
      </c>
      <c r="L438" s="9" t="str">
        <f aca="false">IF(E438=K438,"5000m",IF(G438=K438,"3000mSC","1500m"))</f>
        <v>5000m</v>
      </c>
      <c r="M438" s="14" t="n">
        <f aca="false">(D438&lt;&gt;"")*(D438&lt;=($E$3*60+$F$3)/86400)+(F438&lt;&gt;"")*(F438&lt;=($I$3*60+$J$3)/86400)+(H438&lt;&gt;"")*(H438&lt;=($M$3*60+$N$3)/86400)</f>
        <v>0</v>
      </c>
      <c r="N438" s="16"/>
      <c r="O438" s="15"/>
    </row>
    <row r="439" customFormat="false" ht="25.35" hidden="false" customHeight="false" outlineLevel="0" collapsed="false">
      <c r="A439" s="9" t="n">
        <v>433</v>
      </c>
      <c r="B439" s="10" t="s">
        <v>677</v>
      </c>
      <c r="C439" s="10" t="s">
        <v>678</v>
      </c>
      <c r="D439" s="11"/>
      <c r="E439" s="12"/>
      <c r="F439" s="11" t="n">
        <v>0.0068150462962963</v>
      </c>
      <c r="G439" s="12" t="n">
        <v>182</v>
      </c>
      <c r="H439" s="11" t="n">
        <v>0.00288391203703704</v>
      </c>
      <c r="I439" s="12" t="n">
        <v>808</v>
      </c>
      <c r="J439" s="12" t="n">
        <f aca="false">COUNT(E439,G439,I439)</f>
        <v>2</v>
      </c>
      <c r="K439" s="13" t="n">
        <f aca="false">MIN(E439,G439,I439)</f>
        <v>182</v>
      </c>
      <c r="L439" s="9" t="str">
        <f aca="false">IF(E439=K439,"5000m",IF(G439=K439,"3000mSC","1500m"))</f>
        <v>3000mSC</v>
      </c>
      <c r="M439" s="14" t="n">
        <f aca="false">(D439&lt;&gt;"")*(D439&lt;=($E$3*60+$F$3)/86400)+(F439&lt;&gt;"")*(F439&lt;=($I$3*60+$J$3)/86400)+(H439&lt;&gt;"")*(H439&lt;=($M$3*60+$N$3)/86400)</f>
        <v>0</v>
      </c>
      <c r="N439" s="16"/>
      <c r="O439" s="15"/>
    </row>
    <row r="440" customFormat="false" ht="25.35" hidden="false" customHeight="false" outlineLevel="0" collapsed="false">
      <c r="A440" s="9" t="n">
        <v>434</v>
      </c>
      <c r="B440" s="10" t="s">
        <v>679</v>
      </c>
      <c r="C440" s="10" t="s">
        <v>680</v>
      </c>
      <c r="D440" s="11" t="n">
        <v>0.0107380787037037</v>
      </c>
      <c r="E440" s="12" t="n">
        <v>650</v>
      </c>
      <c r="F440" s="11" t="n">
        <v>0.00681689814814815</v>
      </c>
      <c r="G440" s="12" t="n">
        <v>183</v>
      </c>
      <c r="H440" s="11" t="n">
        <v>0.00282615740740741</v>
      </c>
      <c r="I440" s="12" t="n">
        <v>399</v>
      </c>
      <c r="J440" s="12" t="n">
        <f aca="false">COUNT(E440,G440,I440)</f>
        <v>3</v>
      </c>
      <c r="K440" s="13" t="n">
        <f aca="false">MIN(E440,G440,I440)</f>
        <v>183</v>
      </c>
      <c r="L440" s="9" t="str">
        <f aca="false">IF(E440=K440,"5000m",IF(G440=K440,"3000mSC","1500m"))</f>
        <v>3000mSC</v>
      </c>
      <c r="M440" s="14" t="n">
        <f aca="false">(D440&lt;&gt;"")*(D440&lt;=($E$3*60+$F$3)/86400)+(F440&lt;&gt;"")*(F440&lt;=($I$3*60+$J$3)/86400)+(H440&lt;&gt;"")*(H440&lt;=($M$3*60+$N$3)/86400)</f>
        <v>0</v>
      </c>
      <c r="N440" s="16"/>
      <c r="O440" s="15"/>
    </row>
    <row r="441" customFormat="false" ht="15" hidden="false" customHeight="false" outlineLevel="0" collapsed="false">
      <c r="A441" s="9" t="n">
        <v>435</v>
      </c>
      <c r="B441" s="10" t="s">
        <v>681</v>
      </c>
      <c r="C441" s="10" t="s">
        <v>91</v>
      </c>
      <c r="D441" s="11" t="n">
        <v>0.0105304398148148</v>
      </c>
      <c r="E441" s="12" t="n">
        <v>373</v>
      </c>
      <c r="F441" s="11"/>
      <c r="G441" s="12"/>
      <c r="H441" s="11" t="n">
        <v>0.00277627314814815</v>
      </c>
      <c r="I441" s="12" t="n">
        <v>183</v>
      </c>
      <c r="J441" s="12" t="n">
        <f aca="false">COUNT(E441,G441,I441)</f>
        <v>2</v>
      </c>
      <c r="K441" s="13" t="n">
        <f aca="false">MIN(E441,G441,I441)</f>
        <v>183</v>
      </c>
      <c r="L441" s="9" t="str">
        <f aca="false">IF(E441=K441,"5000m",IF(G441=K441,"3000mSC","1500m"))</f>
        <v>1500m</v>
      </c>
      <c r="M441" s="14" t="n">
        <f aca="false">(D441&lt;&gt;"")*(D441&lt;=($E$3*60+$F$3)/86400)+(F441&lt;&gt;"")*(F441&lt;=($I$3*60+$J$3)/86400)+(H441&lt;&gt;"")*(H441&lt;=($M$3*60+$N$3)/86400)</f>
        <v>0</v>
      </c>
      <c r="N441" s="16"/>
      <c r="O441" s="15"/>
    </row>
    <row r="442" customFormat="false" ht="15" hidden="false" customHeight="false" outlineLevel="0" collapsed="false">
      <c r="A442" s="9" t="n">
        <v>436</v>
      </c>
      <c r="B442" s="10" t="s">
        <v>682</v>
      </c>
      <c r="C442" s="10" t="s">
        <v>171</v>
      </c>
      <c r="D442" s="11" t="n">
        <v>0.0103304398148148</v>
      </c>
      <c r="E442" s="12" t="n">
        <v>183</v>
      </c>
      <c r="F442" s="11"/>
      <c r="G442" s="12"/>
      <c r="H442" s="11" t="n">
        <v>0.00295821759259259</v>
      </c>
      <c r="I442" s="12" t="n">
        <v>1262</v>
      </c>
      <c r="J442" s="12" t="n">
        <f aca="false">COUNT(E442,G442,I442)</f>
        <v>2</v>
      </c>
      <c r="K442" s="13" t="n">
        <f aca="false">MIN(E442,G442,I442)</f>
        <v>183</v>
      </c>
      <c r="L442" s="9" t="str">
        <f aca="false">IF(E442=K442,"5000m",IF(G442=K442,"3000mSC","1500m"))</f>
        <v>5000m</v>
      </c>
      <c r="M442" s="14" t="n">
        <f aca="false">(D442&lt;&gt;"")*(D442&lt;=($E$3*60+$F$3)/86400)+(F442&lt;&gt;"")*(F442&lt;=($I$3*60+$J$3)/86400)+(H442&lt;&gt;"")*(H442&lt;=($M$3*60+$N$3)/86400)</f>
        <v>0</v>
      </c>
      <c r="N442" s="16"/>
      <c r="O442" s="15"/>
    </row>
    <row r="443" customFormat="false" ht="15" hidden="false" customHeight="false" outlineLevel="0" collapsed="false">
      <c r="A443" s="9" t="n">
        <v>437</v>
      </c>
      <c r="B443" s="10" t="s">
        <v>683</v>
      </c>
      <c r="C443" s="10" t="s">
        <v>64</v>
      </c>
      <c r="D443" s="11" t="n">
        <v>0.0103328703703704</v>
      </c>
      <c r="E443" s="12" t="n">
        <v>184</v>
      </c>
      <c r="F443" s="11"/>
      <c r="G443" s="12"/>
      <c r="H443" s="11" t="n">
        <v>0.00282314814814815</v>
      </c>
      <c r="I443" s="12" t="n">
        <v>382</v>
      </c>
      <c r="J443" s="12" t="n">
        <f aca="false">COUNT(E443,G443,I443)</f>
        <v>2</v>
      </c>
      <c r="K443" s="13" t="n">
        <f aca="false">MIN(E443,G443,I443)</f>
        <v>184</v>
      </c>
      <c r="L443" s="9" t="str">
        <f aca="false">IF(E443=K443,"5000m",IF(G443=K443,"3000mSC","1500m"))</f>
        <v>5000m</v>
      </c>
      <c r="M443" s="14" t="n">
        <f aca="false">(D443&lt;&gt;"")*(D443&lt;=($E$3*60+$F$3)/86400)+(F443&lt;&gt;"")*(F443&lt;=($I$3*60+$J$3)/86400)+(H443&lt;&gt;"")*(H443&lt;=($M$3*60+$N$3)/86400)</f>
        <v>0</v>
      </c>
      <c r="N443" s="16"/>
      <c r="O443" s="15"/>
    </row>
    <row r="444" customFormat="false" ht="25.35" hidden="false" customHeight="false" outlineLevel="0" collapsed="false">
      <c r="A444" s="9" t="n">
        <v>438</v>
      </c>
      <c r="B444" s="10" t="s">
        <v>684</v>
      </c>
      <c r="C444" s="10" t="s">
        <v>685</v>
      </c>
      <c r="D444" s="11" t="n">
        <v>0.0108366898148148</v>
      </c>
      <c r="E444" s="12" t="n">
        <v>803</v>
      </c>
      <c r="F444" s="11" t="n">
        <v>0.00681701388888889</v>
      </c>
      <c r="G444" s="12" t="n">
        <v>184</v>
      </c>
      <c r="H444" s="11"/>
      <c r="I444" s="12"/>
      <c r="J444" s="12" t="n">
        <f aca="false">COUNT(E444,G444,I444)</f>
        <v>2</v>
      </c>
      <c r="K444" s="13" t="n">
        <f aca="false">MIN(E444,G444,I444)</f>
        <v>184</v>
      </c>
      <c r="L444" s="9" t="str">
        <f aca="false">IF(E444=K444,"5000m",IF(G444=K444,"3000mSC","1500m"))</f>
        <v>3000mSC</v>
      </c>
      <c r="M444" s="14" t="n">
        <f aca="false">(D444&lt;&gt;"")*(D444&lt;=($E$3*60+$F$3)/86400)+(F444&lt;&gt;"")*(F444&lt;=($I$3*60+$J$3)/86400)+(H444&lt;&gt;"")*(H444&lt;=($M$3*60+$N$3)/86400)</f>
        <v>0</v>
      </c>
      <c r="N444" s="16"/>
      <c r="O444" s="15"/>
    </row>
    <row r="445" customFormat="false" ht="15" hidden="false" customHeight="false" outlineLevel="0" collapsed="false">
      <c r="A445" s="9" t="n">
        <v>439</v>
      </c>
      <c r="B445" s="10" t="s">
        <v>686</v>
      </c>
      <c r="C445" s="10" t="s">
        <v>382</v>
      </c>
      <c r="D445" s="11"/>
      <c r="E445" s="12"/>
      <c r="F445" s="11" t="n">
        <v>0.00708506944444444</v>
      </c>
      <c r="G445" s="12" t="n">
        <v>433</v>
      </c>
      <c r="H445" s="11" t="n">
        <v>0.00277673611111111</v>
      </c>
      <c r="I445" s="12" t="n">
        <v>185</v>
      </c>
      <c r="J445" s="12" t="n">
        <f aca="false">COUNT(E445,G445,I445)</f>
        <v>2</v>
      </c>
      <c r="K445" s="13" t="n">
        <f aca="false">MIN(E445,G445,I445)</f>
        <v>185</v>
      </c>
      <c r="L445" s="9" t="str">
        <f aca="false">IF(E445=K445,"5000m",IF(G445=K445,"3000mSC","1500m"))</f>
        <v>1500m</v>
      </c>
      <c r="M445" s="14" t="n">
        <f aca="false">(D445&lt;&gt;"")*(D445&lt;=($E$3*60+$F$3)/86400)+(F445&lt;&gt;"")*(F445&lt;=($I$3*60+$J$3)/86400)+(H445&lt;&gt;"")*(H445&lt;=($M$3*60+$N$3)/86400)</f>
        <v>0</v>
      </c>
      <c r="N445" s="16"/>
      <c r="O445" s="15"/>
    </row>
    <row r="446" customFormat="false" ht="15" hidden="false" customHeight="false" outlineLevel="0" collapsed="false">
      <c r="A446" s="9" t="n">
        <v>440</v>
      </c>
      <c r="B446" s="10" t="s">
        <v>687</v>
      </c>
      <c r="C446" s="10" t="s">
        <v>688</v>
      </c>
      <c r="D446" s="11" t="n">
        <v>0.0103357638888889</v>
      </c>
      <c r="E446" s="12" t="n">
        <v>185</v>
      </c>
      <c r="F446" s="11"/>
      <c r="G446" s="12"/>
      <c r="H446" s="11"/>
      <c r="I446" s="12"/>
      <c r="J446" s="12" t="n">
        <f aca="false">COUNT(E446,G446,I446)</f>
        <v>1</v>
      </c>
      <c r="K446" s="13" t="n">
        <f aca="false">MIN(E446,G446,I446)</f>
        <v>185</v>
      </c>
      <c r="L446" s="9" t="str">
        <f aca="false">IF(E446=K446,"5000m",IF(G446=K446,"3000mSC","1500m"))</f>
        <v>5000m</v>
      </c>
      <c r="M446" s="14" t="n">
        <f aca="false">(D446&lt;&gt;"")*(D446&lt;=($E$3*60+$F$3)/86400)+(F446&lt;&gt;"")*(F446&lt;=($I$3*60+$J$3)/86400)+(H446&lt;&gt;"")*(H446&lt;=($M$3*60+$N$3)/86400)</f>
        <v>0</v>
      </c>
      <c r="N446" s="16"/>
      <c r="O446" s="15"/>
    </row>
    <row r="447" customFormat="false" ht="25.35" hidden="false" customHeight="false" outlineLevel="0" collapsed="false">
      <c r="A447" s="9" t="n">
        <v>441</v>
      </c>
      <c r="B447" s="10" t="s">
        <v>689</v>
      </c>
      <c r="C447" s="10" t="s">
        <v>484</v>
      </c>
      <c r="D447" s="11"/>
      <c r="E447" s="12"/>
      <c r="F447" s="11" t="n">
        <v>0.00681712962962963</v>
      </c>
      <c r="G447" s="12" t="n">
        <v>185</v>
      </c>
      <c r="H447" s="11"/>
      <c r="I447" s="12"/>
      <c r="J447" s="12" t="n">
        <f aca="false">COUNT(E447,G447,I447)</f>
        <v>1</v>
      </c>
      <c r="K447" s="13" t="n">
        <f aca="false">MIN(E447,G447,I447)</f>
        <v>185</v>
      </c>
      <c r="L447" s="9" t="str">
        <f aca="false">IF(E447=K447,"5000m",IF(G447=K447,"3000mSC","1500m"))</f>
        <v>3000mSC</v>
      </c>
      <c r="M447" s="14" t="n">
        <f aca="false">(D447&lt;&gt;"")*(D447&lt;=($E$3*60+$F$3)/86400)+(F447&lt;&gt;"")*(F447&lt;=($I$3*60+$J$3)/86400)+(H447&lt;&gt;"")*(H447&lt;=($M$3*60+$N$3)/86400)</f>
        <v>0</v>
      </c>
      <c r="N447" s="16"/>
      <c r="O447" s="15"/>
    </row>
    <row r="448" customFormat="false" ht="15" hidden="false" customHeight="false" outlineLevel="0" collapsed="false">
      <c r="A448" s="9" t="n">
        <v>442</v>
      </c>
      <c r="B448" s="10" t="s">
        <v>690</v>
      </c>
      <c r="C448" s="10" t="s">
        <v>599</v>
      </c>
      <c r="D448" s="11" t="n">
        <v>0.0103365740740741</v>
      </c>
      <c r="E448" s="12" t="n">
        <v>186</v>
      </c>
      <c r="F448" s="11" t="n">
        <v>0.00739351851851852</v>
      </c>
      <c r="G448" s="12" t="n">
        <v>765</v>
      </c>
      <c r="H448" s="11" t="n">
        <v>0.002790625</v>
      </c>
      <c r="I448" s="12" t="n">
        <v>243</v>
      </c>
      <c r="J448" s="12" t="n">
        <f aca="false">COUNT(E448,G448,I448)</f>
        <v>3</v>
      </c>
      <c r="K448" s="13" t="n">
        <f aca="false">MIN(E448,G448,I448)</f>
        <v>186</v>
      </c>
      <c r="L448" s="9" t="str">
        <f aca="false">IF(E448=K448,"5000m",IF(G448=K448,"3000mSC","1500m"))</f>
        <v>5000m</v>
      </c>
      <c r="M448" s="14" t="n">
        <f aca="false">(D448&lt;&gt;"")*(D448&lt;=($E$3*60+$F$3)/86400)+(F448&lt;&gt;"")*(F448&lt;=($I$3*60+$J$3)/86400)+(H448&lt;&gt;"")*(H448&lt;=($M$3*60+$N$3)/86400)</f>
        <v>0</v>
      </c>
      <c r="N448" s="10" t="s">
        <v>691</v>
      </c>
      <c r="O448" s="15"/>
    </row>
    <row r="449" customFormat="false" ht="15" hidden="false" customHeight="false" outlineLevel="0" collapsed="false">
      <c r="A449" s="9" t="n">
        <v>443</v>
      </c>
      <c r="B449" s="10" t="s">
        <v>692</v>
      </c>
      <c r="C449" s="10" t="s">
        <v>201</v>
      </c>
      <c r="D449" s="11" t="n">
        <v>0.0105891203703704</v>
      </c>
      <c r="E449" s="12" t="n">
        <v>453</v>
      </c>
      <c r="F449" s="11"/>
      <c r="G449" s="12"/>
      <c r="H449" s="11" t="n">
        <v>0.00277696759259259</v>
      </c>
      <c r="I449" s="12" t="n">
        <v>186</v>
      </c>
      <c r="J449" s="12" t="n">
        <f aca="false">COUNT(E449,G449,I449)</f>
        <v>2</v>
      </c>
      <c r="K449" s="13" t="n">
        <f aca="false">MIN(E449,G449,I449)</f>
        <v>186</v>
      </c>
      <c r="L449" s="9" t="str">
        <f aca="false">IF(E449=K449,"5000m",IF(G449=K449,"3000mSC","1500m"))</f>
        <v>1500m</v>
      </c>
      <c r="M449" s="14" t="n">
        <f aca="false">(D449&lt;&gt;"")*(D449&lt;=($E$3*60+$F$3)/86400)+(F449&lt;&gt;"")*(F449&lt;=($I$3*60+$J$3)/86400)+(H449&lt;&gt;"")*(H449&lt;=($M$3*60+$N$3)/86400)</f>
        <v>0</v>
      </c>
      <c r="N449" s="16"/>
      <c r="O449" s="15"/>
    </row>
    <row r="450" customFormat="false" ht="25.35" hidden="false" customHeight="false" outlineLevel="0" collapsed="false">
      <c r="A450" s="9" t="n">
        <v>444</v>
      </c>
      <c r="B450" s="10" t="s">
        <v>693</v>
      </c>
      <c r="C450" s="10" t="s">
        <v>387</v>
      </c>
      <c r="D450" s="11"/>
      <c r="E450" s="12"/>
      <c r="F450" s="11" t="n">
        <v>0.00681759259259259</v>
      </c>
      <c r="G450" s="12" t="n">
        <v>186</v>
      </c>
      <c r="H450" s="11"/>
      <c r="I450" s="12"/>
      <c r="J450" s="12" t="n">
        <f aca="false">COUNT(E450,G450,I450)</f>
        <v>1</v>
      </c>
      <c r="K450" s="13" t="n">
        <f aca="false">MIN(E450,G450,I450)</f>
        <v>186</v>
      </c>
      <c r="L450" s="9" t="str">
        <f aca="false">IF(E450=K450,"5000m",IF(G450=K450,"3000mSC","1500m"))</f>
        <v>3000mSC</v>
      </c>
      <c r="M450" s="14" t="n">
        <f aca="false">(D450&lt;&gt;"")*(D450&lt;=($E$3*60+$F$3)/86400)+(F450&lt;&gt;"")*(F450&lt;=($I$3*60+$J$3)/86400)+(H450&lt;&gt;"")*(H450&lt;=($M$3*60+$N$3)/86400)</f>
        <v>0</v>
      </c>
      <c r="N450" s="16"/>
      <c r="O450" s="15"/>
    </row>
    <row r="451" customFormat="false" ht="15" hidden="false" customHeight="false" outlineLevel="0" collapsed="false">
      <c r="A451" s="9" t="n">
        <v>445</v>
      </c>
      <c r="B451" s="10" t="s">
        <v>694</v>
      </c>
      <c r="C451" s="10" t="s">
        <v>695</v>
      </c>
      <c r="D451" s="11" t="n">
        <v>0.0103375</v>
      </c>
      <c r="E451" s="12" t="n">
        <v>187</v>
      </c>
      <c r="F451" s="11" t="n">
        <v>0.00693090277777778</v>
      </c>
      <c r="G451" s="12" t="n">
        <v>274</v>
      </c>
      <c r="H451" s="11" t="n">
        <v>0.00290196759259259</v>
      </c>
      <c r="I451" s="12" t="n">
        <v>964</v>
      </c>
      <c r="J451" s="12" t="n">
        <f aca="false">COUNT(E451,G451,I451)</f>
        <v>3</v>
      </c>
      <c r="K451" s="13" t="n">
        <f aca="false">MIN(E451,G451,I451)</f>
        <v>187</v>
      </c>
      <c r="L451" s="9" t="str">
        <f aca="false">IF(E451=K451,"5000m",IF(G451=K451,"3000mSC","1500m"))</f>
        <v>5000m</v>
      </c>
      <c r="M451" s="14" t="n">
        <f aca="false">(D451&lt;&gt;"")*(D451&lt;=($E$3*60+$F$3)/86400)+(F451&lt;&gt;"")*(F451&lt;=($I$3*60+$J$3)/86400)+(H451&lt;&gt;"")*(H451&lt;=($M$3*60+$N$3)/86400)</f>
        <v>0</v>
      </c>
      <c r="N451" s="16"/>
      <c r="O451" s="15"/>
    </row>
    <row r="452" customFormat="false" ht="25.35" hidden="false" customHeight="false" outlineLevel="0" collapsed="false">
      <c r="A452" s="9" t="n">
        <v>446</v>
      </c>
      <c r="B452" s="10" t="s">
        <v>696</v>
      </c>
      <c r="C452" s="10" t="s">
        <v>697</v>
      </c>
      <c r="D452" s="11"/>
      <c r="E452" s="12"/>
      <c r="F452" s="11" t="n">
        <v>0.00682222222222222</v>
      </c>
      <c r="G452" s="12" t="n">
        <v>187</v>
      </c>
      <c r="H452" s="11"/>
      <c r="I452" s="12"/>
      <c r="J452" s="12" t="n">
        <f aca="false">COUNT(E452,G452,I452)</f>
        <v>1</v>
      </c>
      <c r="K452" s="13" t="n">
        <f aca="false">MIN(E452,G452,I452)</f>
        <v>187</v>
      </c>
      <c r="L452" s="9" t="str">
        <f aca="false">IF(E452=K452,"5000m",IF(G452=K452,"3000mSC","1500m"))</f>
        <v>3000mSC</v>
      </c>
      <c r="M452" s="14" t="n">
        <f aca="false">(D452&lt;&gt;"")*(D452&lt;=($E$3*60+$F$3)/86400)+(F452&lt;&gt;"")*(F452&lt;=($I$3*60+$J$3)/86400)+(H452&lt;&gt;"")*(H452&lt;=($M$3*60+$N$3)/86400)</f>
        <v>0</v>
      </c>
      <c r="N452" s="16"/>
      <c r="O452" s="15"/>
    </row>
    <row r="453" customFormat="false" ht="15" hidden="false" customHeight="false" outlineLevel="0" collapsed="false">
      <c r="A453" s="9" t="n">
        <v>447</v>
      </c>
      <c r="B453" s="10" t="s">
        <v>698</v>
      </c>
      <c r="C453" s="10" t="s">
        <v>699</v>
      </c>
      <c r="D453" s="11" t="n">
        <v>0.0107502314814815</v>
      </c>
      <c r="E453" s="12" t="n">
        <v>667</v>
      </c>
      <c r="F453" s="11"/>
      <c r="G453" s="12"/>
      <c r="H453" s="11" t="n">
        <v>0.00277743055555556</v>
      </c>
      <c r="I453" s="12" t="n">
        <v>188</v>
      </c>
      <c r="J453" s="12" t="n">
        <f aca="false">COUNT(E453,G453,I453)</f>
        <v>2</v>
      </c>
      <c r="K453" s="13" t="n">
        <f aca="false">MIN(E453,G453,I453)</f>
        <v>188</v>
      </c>
      <c r="L453" s="9" t="str">
        <f aca="false">IF(E453=K453,"5000m",IF(G453=K453,"3000mSC","1500m"))</f>
        <v>1500m</v>
      </c>
      <c r="M453" s="14" t="n">
        <f aca="false">(D453&lt;&gt;"")*(D453&lt;=($E$3*60+$F$3)/86400)+(F453&lt;&gt;"")*(F453&lt;=($I$3*60+$J$3)/86400)+(H453&lt;&gt;"")*(H453&lt;=($M$3*60+$N$3)/86400)</f>
        <v>0</v>
      </c>
      <c r="N453" s="16"/>
      <c r="O453" s="15"/>
    </row>
    <row r="454" customFormat="false" ht="15" hidden="false" customHeight="false" outlineLevel="0" collapsed="false">
      <c r="A454" s="9" t="n">
        <v>448</v>
      </c>
      <c r="B454" s="10" t="s">
        <v>700</v>
      </c>
      <c r="C454" s="10" t="s">
        <v>486</v>
      </c>
      <c r="D454" s="11" t="n">
        <v>0.010337962962963</v>
      </c>
      <c r="E454" s="12" t="n">
        <v>188</v>
      </c>
      <c r="F454" s="11"/>
      <c r="G454" s="12"/>
      <c r="H454" s="11"/>
      <c r="I454" s="12"/>
      <c r="J454" s="12" t="n">
        <f aca="false">COUNT(E454,G454,I454)</f>
        <v>1</v>
      </c>
      <c r="K454" s="13" t="n">
        <f aca="false">MIN(E454,G454,I454)</f>
        <v>188</v>
      </c>
      <c r="L454" s="9" t="str">
        <f aca="false">IF(E454=K454,"5000m",IF(G454=K454,"3000mSC","1500m"))</f>
        <v>5000m</v>
      </c>
      <c r="M454" s="14" t="n">
        <f aca="false">(D454&lt;&gt;"")*(D454&lt;=($E$3*60+$F$3)/86400)+(F454&lt;&gt;"")*(F454&lt;=($I$3*60+$J$3)/86400)+(H454&lt;&gt;"")*(H454&lt;=($M$3*60+$N$3)/86400)</f>
        <v>0</v>
      </c>
      <c r="N454" s="16"/>
      <c r="O454" s="15"/>
    </row>
    <row r="455" customFormat="false" ht="25.35" hidden="false" customHeight="false" outlineLevel="0" collapsed="false">
      <c r="A455" s="9" t="n">
        <v>449</v>
      </c>
      <c r="B455" s="10" t="s">
        <v>701</v>
      </c>
      <c r="C455" s="10" t="s">
        <v>702</v>
      </c>
      <c r="D455" s="11"/>
      <c r="E455" s="12"/>
      <c r="F455" s="11" t="n">
        <v>0.00682488425925926</v>
      </c>
      <c r="G455" s="12" t="n">
        <v>188</v>
      </c>
      <c r="H455" s="11"/>
      <c r="I455" s="12"/>
      <c r="J455" s="12" t="n">
        <f aca="false">COUNT(E455,G455,I455)</f>
        <v>1</v>
      </c>
      <c r="K455" s="13" t="n">
        <f aca="false">MIN(E455,G455,I455)</f>
        <v>188</v>
      </c>
      <c r="L455" s="9" t="str">
        <f aca="false">IF(E455=K455,"5000m",IF(G455=K455,"3000mSC","1500m"))</f>
        <v>3000mSC</v>
      </c>
      <c r="M455" s="14" t="n">
        <f aca="false">(D455&lt;&gt;"")*(D455&lt;=($E$3*60+$F$3)/86400)+(F455&lt;&gt;"")*(F455&lt;=($I$3*60+$J$3)/86400)+(H455&lt;&gt;"")*(H455&lt;=($M$3*60+$N$3)/86400)</f>
        <v>0</v>
      </c>
      <c r="N455" s="16"/>
      <c r="O455" s="15"/>
    </row>
    <row r="456" customFormat="false" ht="15" hidden="false" customHeight="false" outlineLevel="0" collapsed="false">
      <c r="A456" s="9" t="n">
        <v>450</v>
      </c>
      <c r="B456" s="10" t="s">
        <v>703</v>
      </c>
      <c r="C456" s="10" t="s">
        <v>29</v>
      </c>
      <c r="D456" s="11" t="n">
        <v>0.0103387731481482</v>
      </c>
      <c r="E456" s="12" t="n">
        <v>189</v>
      </c>
      <c r="F456" s="11"/>
      <c r="G456" s="12"/>
      <c r="H456" s="11" t="n">
        <v>0.00288298611111111</v>
      </c>
      <c r="I456" s="12" t="n">
        <v>802</v>
      </c>
      <c r="J456" s="12" t="n">
        <f aca="false">COUNT(E456,G456,I456)</f>
        <v>2</v>
      </c>
      <c r="K456" s="13" t="n">
        <f aca="false">MIN(E456,G456,I456)</f>
        <v>189</v>
      </c>
      <c r="L456" s="9" t="str">
        <f aca="false">IF(E456=K456,"5000m",IF(G456=K456,"3000mSC","1500m"))</f>
        <v>5000m</v>
      </c>
      <c r="M456" s="14" t="n">
        <f aca="false">(D456&lt;&gt;"")*(D456&lt;=($E$3*60+$F$3)/86400)+(F456&lt;&gt;"")*(F456&lt;=($I$3*60+$J$3)/86400)+(H456&lt;&gt;"")*(H456&lt;=($M$3*60+$N$3)/86400)</f>
        <v>0</v>
      </c>
      <c r="N456" s="16"/>
      <c r="O456" s="15"/>
    </row>
    <row r="457" customFormat="false" ht="25.35" hidden="false" customHeight="false" outlineLevel="0" collapsed="false">
      <c r="A457" s="9" t="n">
        <v>451</v>
      </c>
      <c r="B457" s="10" t="s">
        <v>704</v>
      </c>
      <c r="C457" s="10" t="s">
        <v>705</v>
      </c>
      <c r="D457" s="11"/>
      <c r="E457" s="12"/>
      <c r="F457" s="11" t="n">
        <v>0.00682673611111111</v>
      </c>
      <c r="G457" s="12" t="n">
        <v>189</v>
      </c>
      <c r="H457" s="11" t="n">
        <v>0.00289930555555556</v>
      </c>
      <c r="I457" s="12" t="n">
        <v>939</v>
      </c>
      <c r="J457" s="12" t="n">
        <f aca="false">COUNT(E457,G457,I457)</f>
        <v>2</v>
      </c>
      <c r="K457" s="13" t="n">
        <f aca="false">MIN(E457,G457,I457)</f>
        <v>189</v>
      </c>
      <c r="L457" s="9" t="str">
        <f aca="false">IF(E457=K457,"5000m",IF(G457=K457,"3000mSC","1500m"))</f>
        <v>3000mSC</v>
      </c>
      <c r="M457" s="14" t="n">
        <f aca="false">(D457&lt;&gt;"")*(D457&lt;=($E$3*60+$F$3)/86400)+(F457&lt;&gt;"")*(F457&lt;=($I$3*60+$J$3)/86400)+(H457&lt;&gt;"")*(H457&lt;=($M$3*60+$N$3)/86400)</f>
        <v>0</v>
      </c>
      <c r="N457" s="16"/>
      <c r="O457" s="15"/>
    </row>
    <row r="458" customFormat="false" ht="15" hidden="false" customHeight="false" outlineLevel="0" collapsed="false">
      <c r="A458" s="9" t="n">
        <v>452</v>
      </c>
      <c r="B458" s="10" t="s">
        <v>706</v>
      </c>
      <c r="C458" s="10" t="s">
        <v>185</v>
      </c>
      <c r="D458" s="11" t="n">
        <v>0.0103393518518519</v>
      </c>
      <c r="E458" s="12" t="n">
        <v>190</v>
      </c>
      <c r="F458" s="11" t="n">
        <v>0.00682673611111111</v>
      </c>
      <c r="G458" s="12" t="n">
        <v>190</v>
      </c>
      <c r="H458" s="11" t="n">
        <v>0.0028119212962963</v>
      </c>
      <c r="I458" s="12" t="n">
        <v>329</v>
      </c>
      <c r="J458" s="12" t="n">
        <f aca="false">COUNT(E458,G458,I458)</f>
        <v>3</v>
      </c>
      <c r="K458" s="13" t="n">
        <f aca="false">MIN(E458,G458,I458)</f>
        <v>190</v>
      </c>
      <c r="L458" s="9" t="str">
        <f aca="false">IF(E458=K458,"5000m",IF(G458=K458,"3000mSC","1500m"))</f>
        <v>5000m</v>
      </c>
      <c r="M458" s="14" t="n">
        <f aca="false">(D458&lt;&gt;"")*(D458&lt;=($E$3*60+$F$3)/86400)+(F458&lt;&gt;"")*(F458&lt;=($I$3*60+$J$3)/86400)+(H458&lt;&gt;"")*(H458&lt;=($M$3*60+$N$3)/86400)</f>
        <v>0</v>
      </c>
      <c r="N458" s="16"/>
      <c r="O458" s="15"/>
    </row>
    <row r="459" customFormat="false" ht="15" hidden="false" customHeight="false" outlineLevel="0" collapsed="false">
      <c r="A459" s="9" t="n">
        <v>453</v>
      </c>
      <c r="B459" s="10" t="s">
        <v>707</v>
      </c>
      <c r="C459" s="10" t="s">
        <v>229</v>
      </c>
      <c r="D459" s="11" t="n">
        <v>0.0104916666666667</v>
      </c>
      <c r="E459" s="12" t="n">
        <v>336</v>
      </c>
      <c r="F459" s="11"/>
      <c r="G459" s="12"/>
      <c r="H459" s="11" t="n">
        <v>0.002778125</v>
      </c>
      <c r="I459" s="12" t="n">
        <v>191</v>
      </c>
      <c r="J459" s="12" t="n">
        <f aca="false">COUNT(E459,G459,I459)</f>
        <v>2</v>
      </c>
      <c r="K459" s="13" t="n">
        <f aca="false">MIN(E459,G459,I459)</f>
        <v>191</v>
      </c>
      <c r="L459" s="9" t="str">
        <f aca="false">IF(E459=K459,"5000m",IF(G459=K459,"3000mSC","1500m"))</f>
        <v>1500m</v>
      </c>
      <c r="M459" s="14" t="n">
        <f aca="false">(D459&lt;&gt;"")*(D459&lt;=($E$3*60+$F$3)/86400)+(F459&lt;&gt;"")*(F459&lt;=($I$3*60+$J$3)/86400)+(H459&lt;&gt;"")*(H459&lt;=($M$3*60+$N$3)/86400)</f>
        <v>0</v>
      </c>
      <c r="N459" s="16"/>
      <c r="O459" s="15"/>
    </row>
    <row r="460" customFormat="false" ht="25.35" hidden="false" customHeight="false" outlineLevel="0" collapsed="false">
      <c r="A460" s="9" t="n">
        <v>454</v>
      </c>
      <c r="B460" s="10" t="s">
        <v>708</v>
      </c>
      <c r="C460" s="10" t="s">
        <v>546</v>
      </c>
      <c r="D460" s="11" t="n">
        <v>0.0110608796296296</v>
      </c>
      <c r="E460" s="12" t="n">
        <v>1217</v>
      </c>
      <c r="F460" s="11" t="n">
        <v>0.00682800925925926</v>
      </c>
      <c r="G460" s="12" t="n">
        <v>191</v>
      </c>
      <c r="H460" s="11"/>
      <c r="I460" s="12"/>
      <c r="J460" s="12" t="n">
        <f aca="false">COUNT(E460,G460,I460)</f>
        <v>2</v>
      </c>
      <c r="K460" s="13" t="n">
        <f aca="false">MIN(E460,G460,I460)</f>
        <v>191</v>
      </c>
      <c r="L460" s="9" t="str">
        <f aca="false">IF(E460=K460,"5000m",IF(G460=K460,"3000mSC","1500m"))</f>
        <v>3000mSC</v>
      </c>
      <c r="M460" s="14" t="n">
        <f aca="false">(D460&lt;&gt;"")*(D460&lt;=($E$3*60+$F$3)/86400)+(F460&lt;&gt;"")*(F460&lt;=($I$3*60+$J$3)/86400)+(H460&lt;&gt;"")*(H460&lt;=($M$3*60+$N$3)/86400)</f>
        <v>0</v>
      </c>
      <c r="N460" s="16"/>
      <c r="O460" s="15"/>
    </row>
    <row r="461" customFormat="false" ht="15" hidden="false" customHeight="false" outlineLevel="0" collapsed="false">
      <c r="A461" s="9" t="n">
        <v>455</v>
      </c>
      <c r="B461" s="10" t="s">
        <v>709</v>
      </c>
      <c r="C461" s="10" t="s">
        <v>688</v>
      </c>
      <c r="D461" s="11" t="n">
        <v>0.0103395833333333</v>
      </c>
      <c r="E461" s="12" t="n">
        <v>191</v>
      </c>
      <c r="F461" s="11"/>
      <c r="G461" s="12"/>
      <c r="H461" s="11"/>
      <c r="I461" s="12"/>
      <c r="J461" s="12" t="n">
        <f aca="false">COUNT(E461,G461,I461)</f>
        <v>1</v>
      </c>
      <c r="K461" s="13" t="n">
        <f aca="false">MIN(E461,G461,I461)</f>
        <v>191</v>
      </c>
      <c r="L461" s="9" t="str">
        <f aca="false">IF(E461=K461,"5000m",IF(G461=K461,"3000mSC","1500m"))</f>
        <v>5000m</v>
      </c>
      <c r="M461" s="14" t="n">
        <f aca="false">(D461&lt;&gt;"")*(D461&lt;=($E$3*60+$F$3)/86400)+(F461&lt;&gt;"")*(F461&lt;=($I$3*60+$J$3)/86400)+(H461&lt;&gt;"")*(H461&lt;=($M$3*60+$N$3)/86400)</f>
        <v>0</v>
      </c>
      <c r="N461" s="16"/>
      <c r="O461" s="15"/>
    </row>
    <row r="462" customFormat="false" ht="15" hidden="false" customHeight="false" outlineLevel="0" collapsed="false">
      <c r="A462" s="9" t="n">
        <v>456</v>
      </c>
      <c r="B462" s="10" t="s">
        <v>710</v>
      </c>
      <c r="C462" s="10" t="s">
        <v>49</v>
      </c>
      <c r="D462" s="11" t="n">
        <v>0.010340162037037</v>
      </c>
      <c r="E462" s="12" t="n">
        <v>192</v>
      </c>
      <c r="F462" s="11"/>
      <c r="G462" s="12"/>
      <c r="H462" s="11" t="n">
        <v>0.00288611111111111</v>
      </c>
      <c r="I462" s="12" t="n">
        <v>826</v>
      </c>
      <c r="J462" s="12" t="n">
        <f aca="false">COUNT(E462,G462,I462)</f>
        <v>2</v>
      </c>
      <c r="K462" s="13" t="n">
        <f aca="false">MIN(E462,G462,I462)</f>
        <v>192</v>
      </c>
      <c r="L462" s="9" t="str">
        <f aca="false">IF(E462=K462,"5000m",IF(G462=K462,"3000mSC","1500m"))</f>
        <v>5000m</v>
      </c>
      <c r="M462" s="14" t="n">
        <f aca="false">(D462&lt;&gt;"")*(D462&lt;=($E$3*60+$F$3)/86400)+(F462&lt;&gt;"")*(F462&lt;=($I$3*60+$J$3)/86400)+(H462&lt;&gt;"")*(H462&lt;=($M$3*60+$N$3)/86400)</f>
        <v>0</v>
      </c>
      <c r="N462" s="16"/>
      <c r="O462" s="15"/>
    </row>
    <row r="463" customFormat="false" ht="25.35" hidden="false" customHeight="false" outlineLevel="0" collapsed="false">
      <c r="A463" s="9" t="n">
        <v>457</v>
      </c>
      <c r="B463" s="10" t="s">
        <v>711</v>
      </c>
      <c r="C463" s="10" t="s">
        <v>712</v>
      </c>
      <c r="D463" s="11" t="n">
        <v>0.0109842592592593</v>
      </c>
      <c r="E463" s="12" t="n">
        <v>1066</v>
      </c>
      <c r="F463" s="11" t="n">
        <v>0.006828125</v>
      </c>
      <c r="G463" s="12" t="n">
        <v>192</v>
      </c>
      <c r="H463" s="11"/>
      <c r="I463" s="12"/>
      <c r="J463" s="12" t="n">
        <f aca="false">COUNT(E463,G463,I463)</f>
        <v>2</v>
      </c>
      <c r="K463" s="13" t="n">
        <f aca="false">MIN(E463,G463,I463)</f>
        <v>192</v>
      </c>
      <c r="L463" s="9" t="str">
        <f aca="false">IF(E463=K463,"5000m",IF(G463=K463,"3000mSC","1500m"))</f>
        <v>3000mSC</v>
      </c>
      <c r="M463" s="14" t="n">
        <f aca="false">(D463&lt;&gt;"")*(D463&lt;=($E$3*60+$F$3)/86400)+(F463&lt;&gt;"")*(F463&lt;=($I$3*60+$J$3)/86400)+(H463&lt;&gt;"")*(H463&lt;=($M$3*60+$N$3)/86400)</f>
        <v>0</v>
      </c>
      <c r="N463" s="16"/>
      <c r="O463" s="15"/>
    </row>
    <row r="464" customFormat="false" ht="15" hidden="false" customHeight="false" outlineLevel="0" collapsed="false">
      <c r="A464" s="9" t="n">
        <v>458</v>
      </c>
      <c r="B464" s="10" t="s">
        <v>713</v>
      </c>
      <c r="C464" s="10" t="s">
        <v>714</v>
      </c>
      <c r="D464" s="11"/>
      <c r="E464" s="12"/>
      <c r="F464" s="11"/>
      <c r="G464" s="12"/>
      <c r="H464" s="11" t="n">
        <v>0.00277824074074074</v>
      </c>
      <c r="I464" s="12" t="n">
        <v>192</v>
      </c>
      <c r="J464" s="12" t="n">
        <f aca="false">COUNT(E464,G464,I464)</f>
        <v>1</v>
      </c>
      <c r="K464" s="13" t="n">
        <f aca="false">MIN(E464,G464,I464)</f>
        <v>192</v>
      </c>
      <c r="L464" s="9" t="str">
        <f aca="false">IF(E464=K464,"5000m",IF(G464=K464,"3000mSC","1500m"))</f>
        <v>1500m</v>
      </c>
      <c r="M464" s="14" t="n">
        <f aca="false">(D464&lt;&gt;"")*(D464&lt;=($E$3*60+$F$3)/86400)+(F464&lt;&gt;"")*(F464&lt;=($I$3*60+$J$3)/86400)+(H464&lt;&gt;"")*(H464&lt;=($M$3*60+$N$3)/86400)</f>
        <v>0</v>
      </c>
      <c r="N464" s="16"/>
      <c r="O464" s="15"/>
    </row>
    <row r="465" customFormat="false" ht="15" hidden="false" customHeight="false" outlineLevel="0" collapsed="false">
      <c r="A465" s="9" t="n">
        <v>459</v>
      </c>
      <c r="B465" s="10" t="s">
        <v>715</v>
      </c>
      <c r="C465" s="10" t="s">
        <v>462</v>
      </c>
      <c r="D465" s="11" t="n">
        <v>0.010665162037037</v>
      </c>
      <c r="E465" s="12" t="n">
        <v>539</v>
      </c>
      <c r="F465" s="11"/>
      <c r="G465" s="12"/>
      <c r="H465" s="11" t="n">
        <v>0.00277835648148148</v>
      </c>
      <c r="I465" s="12" t="n">
        <v>193</v>
      </c>
      <c r="J465" s="12" t="n">
        <f aca="false">COUNT(E465,G465,I465)</f>
        <v>2</v>
      </c>
      <c r="K465" s="13" t="n">
        <f aca="false">MIN(E465,G465,I465)</f>
        <v>193</v>
      </c>
      <c r="L465" s="9" t="str">
        <f aca="false">IF(E465=K465,"5000m",IF(G465=K465,"3000mSC","1500m"))</f>
        <v>1500m</v>
      </c>
      <c r="M465" s="14" t="n">
        <f aca="false">(D465&lt;&gt;"")*(D465&lt;=($E$3*60+$F$3)/86400)+(F465&lt;&gt;"")*(F465&lt;=($I$3*60+$J$3)/86400)+(H465&lt;&gt;"")*(H465&lt;=($M$3*60+$N$3)/86400)</f>
        <v>0</v>
      </c>
      <c r="N465" s="16"/>
      <c r="O465" s="15"/>
    </row>
    <row r="466" customFormat="false" ht="25.35" hidden="false" customHeight="false" outlineLevel="0" collapsed="false">
      <c r="A466" s="9" t="n">
        <v>460</v>
      </c>
      <c r="B466" s="10" t="s">
        <v>716</v>
      </c>
      <c r="C466" s="10" t="s">
        <v>717</v>
      </c>
      <c r="D466" s="11"/>
      <c r="E466" s="12"/>
      <c r="F466" s="11" t="n">
        <v>0.00682905092592593</v>
      </c>
      <c r="G466" s="12" t="n">
        <v>193</v>
      </c>
      <c r="H466" s="11" t="n">
        <v>0.00291747685185185</v>
      </c>
      <c r="I466" s="12" t="n">
        <v>1070</v>
      </c>
      <c r="J466" s="12" t="n">
        <f aca="false">COUNT(E466,G466,I466)</f>
        <v>2</v>
      </c>
      <c r="K466" s="13" t="n">
        <f aca="false">MIN(E466,G466,I466)</f>
        <v>193</v>
      </c>
      <c r="L466" s="9" t="str">
        <f aca="false">IF(E466=K466,"5000m",IF(G466=K466,"3000mSC","1500m"))</f>
        <v>3000mSC</v>
      </c>
      <c r="M466" s="14" t="n">
        <f aca="false">(D466&lt;&gt;"")*(D466&lt;=($E$3*60+$F$3)/86400)+(F466&lt;&gt;"")*(F466&lt;=($I$3*60+$J$3)/86400)+(H466&lt;&gt;"")*(H466&lt;=($M$3*60+$N$3)/86400)</f>
        <v>0</v>
      </c>
      <c r="N466" s="16"/>
      <c r="O466" s="15"/>
    </row>
    <row r="467" customFormat="false" ht="25.35" hidden="false" customHeight="false" outlineLevel="0" collapsed="false">
      <c r="A467" s="9" t="n">
        <v>461</v>
      </c>
      <c r="B467" s="10" t="s">
        <v>718</v>
      </c>
      <c r="C467" s="10" t="s">
        <v>103</v>
      </c>
      <c r="D467" s="11" t="n">
        <v>0.0107074074074074</v>
      </c>
      <c r="E467" s="12" t="n">
        <v>593</v>
      </c>
      <c r="F467" s="11" t="n">
        <v>0.00683229166666667</v>
      </c>
      <c r="G467" s="12" t="n">
        <v>194</v>
      </c>
      <c r="H467" s="11"/>
      <c r="I467" s="12"/>
      <c r="J467" s="12" t="n">
        <f aca="false">COUNT(E467,G467,I467)</f>
        <v>2</v>
      </c>
      <c r="K467" s="13" t="n">
        <f aca="false">MIN(E467,G467,I467)</f>
        <v>194</v>
      </c>
      <c r="L467" s="9" t="str">
        <f aca="false">IF(E467=K467,"5000m",IF(G467=K467,"3000mSC","1500m"))</f>
        <v>3000mSC</v>
      </c>
      <c r="M467" s="14" t="n">
        <f aca="false">(D467&lt;&gt;"")*(D467&lt;=($E$3*60+$F$3)/86400)+(F467&lt;&gt;"")*(F467&lt;=($I$3*60+$J$3)/86400)+(H467&lt;&gt;"")*(H467&lt;=($M$3*60+$N$3)/86400)</f>
        <v>0</v>
      </c>
      <c r="N467" s="16"/>
      <c r="O467" s="15"/>
    </row>
    <row r="468" customFormat="false" ht="15" hidden="false" customHeight="false" outlineLevel="0" collapsed="false">
      <c r="A468" s="9" t="n">
        <v>462</v>
      </c>
      <c r="B468" s="10" t="s">
        <v>719</v>
      </c>
      <c r="C468" s="10" t="s">
        <v>720</v>
      </c>
      <c r="D468" s="11" t="n">
        <v>0.010341087962963</v>
      </c>
      <c r="E468" s="12" t="n">
        <v>194</v>
      </c>
      <c r="F468" s="11"/>
      <c r="G468" s="12"/>
      <c r="H468" s="11"/>
      <c r="I468" s="12"/>
      <c r="J468" s="12" t="n">
        <f aca="false">COUNT(E468,G468,I468)</f>
        <v>1</v>
      </c>
      <c r="K468" s="13" t="n">
        <f aca="false">MIN(E468,G468,I468)</f>
        <v>194</v>
      </c>
      <c r="L468" s="9" t="str">
        <f aca="false">IF(E468=K468,"5000m",IF(G468=K468,"3000mSC","1500m"))</f>
        <v>5000m</v>
      </c>
      <c r="M468" s="14" t="n">
        <f aca="false">(D468&lt;&gt;"")*(D468&lt;=($E$3*60+$F$3)/86400)+(F468&lt;&gt;"")*(F468&lt;=($I$3*60+$J$3)/86400)+(H468&lt;&gt;"")*(H468&lt;=($M$3*60+$N$3)/86400)</f>
        <v>0</v>
      </c>
      <c r="N468" s="16"/>
      <c r="O468" s="15"/>
    </row>
    <row r="469" customFormat="false" ht="15" hidden="false" customHeight="false" outlineLevel="0" collapsed="false">
      <c r="A469" s="9" t="n">
        <v>463</v>
      </c>
      <c r="B469" s="10" t="s">
        <v>721</v>
      </c>
      <c r="C469" s="10" t="s">
        <v>229</v>
      </c>
      <c r="D469" s="11" t="n">
        <v>0.0103414351851852</v>
      </c>
      <c r="E469" s="12" t="n">
        <v>195</v>
      </c>
      <c r="F469" s="11"/>
      <c r="G469" s="12"/>
      <c r="H469" s="11" t="n">
        <v>0.00285347222222222</v>
      </c>
      <c r="I469" s="12" t="n">
        <v>588</v>
      </c>
      <c r="J469" s="12" t="n">
        <f aca="false">COUNT(E469,G469,I469)</f>
        <v>2</v>
      </c>
      <c r="K469" s="13" t="n">
        <f aca="false">MIN(E469,G469,I469)</f>
        <v>195</v>
      </c>
      <c r="L469" s="9" t="str">
        <f aca="false">IF(E469=K469,"5000m",IF(G469=K469,"3000mSC","1500m"))</f>
        <v>5000m</v>
      </c>
      <c r="M469" s="14" t="n">
        <f aca="false">(D469&lt;&gt;"")*(D469&lt;=($E$3*60+$F$3)/86400)+(F469&lt;&gt;"")*(F469&lt;=($I$3*60+$J$3)/86400)+(H469&lt;&gt;"")*(H469&lt;=($M$3*60+$N$3)/86400)</f>
        <v>0</v>
      </c>
      <c r="N469" s="16"/>
      <c r="O469" s="15"/>
    </row>
    <row r="470" customFormat="false" ht="25.35" hidden="false" customHeight="false" outlineLevel="0" collapsed="false">
      <c r="A470" s="9" t="n">
        <v>464</v>
      </c>
      <c r="B470" s="10" t="s">
        <v>722</v>
      </c>
      <c r="C470" s="10" t="s">
        <v>425</v>
      </c>
      <c r="D470" s="11" t="n">
        <v>0.0109677083333333</v>
      </c>
      <c r="E470" s="12" t="n">
        <v>1030</v>
      </c>
      <c r="F470" s="11" t="n">
        <v>0.0068337962962963</v>
      </c>
      <c r="G470" s="12" t="n">
        <v>195</v>
      </c>
      <c r="H470" s="11"/>
      <c r="I470" s="12"/>
      <c r="J470" s="12" t="n">
        <f aca="false">COUNT(E470,G470,I470)</f>
        <v>2</v>
      </c>
      <c r="K470" s="13" t="n">
        <f aca="false">MIN(E470,G470,I470)</f>
        <v>195</v>
      </c>
      <c r="L470" s="9" t="str">
        <f aca="false">IF(E470=K470,"5000m",IF(G470=K470,"3000mSC","1500m"))</f>
        <v>3000mSC</v>
      </c>
      <c r="M470" s="14" t="n">
        <f aca="false">(D470&lt;&gt;"")*(D470&lt;=($E$3*60+$F$3)/86400)+(F470&lt;&gt;"")*(F470&lt;=($I$3*60+$J$3)/86400)+(H470&lt;&gt;"")*(H470&lt;=($M$3*60+$N$3)/86400)</f>
        <v>0</v>
      </c>
      <c r="N470" s="16"/>
      <c r="O470" s="15"/>
    </row>
    <row r="471" customFormat="false" ht="15" hidden="false" customHeight="false" outlineLevel="0" collapsed="false">
      <c r="A471" s="9" t="n">
        <v>465</v>
      </c>
      <c r="B471" s="10" t="s">
        <v>723</v>
      </c>
      <c r="C471" s="10" t="s">
        <v>724</v>
      </c>
      <c r="D471" s="11"/>
      <c r="E471" s="12"/>
      <c r="F471" s="11"/>
      <c r="G471" s="12"/>
      <c r="H471" s="11" t="n">
        <v>0.0027787037037037</v>
      </c>
      <c r="I471" s="12" t="n">
        <v>195</v>
      </c>
      <c r="J471" s="12" t="n">
        <f aca="false">COUNT(E471,G471,I471)</f>
        <v>1</v>
      </c>
      <c r="K471" s="13" t="n">
        <f aca="false">MIN(E471,G471,I471)</f>
        <v>195</v>
      </c>
      <c r="L471" s="9" t="str">
        <f aca="false">IF(E471=K471,"5000m",IF(G471=K471,"3000mSC","1500m"))</f>
        <v>1500m</v>
      </c>
      <c r="M471" s="14" t="n">
        <f aca="false">(D471&lt;&gt;"")*(D471&lt;=($E$3*60+$F$3)/86400)+(F471&lt;&gt;"")*(F471&lt;=($I$3*60+$J$3)/86400)+(H471&lt;&gt;"")*(H471&lt;=($M$3*60+$N$3)/86400)</f>
        <v>0</v>
      </c>
      <c r="N471" s="16"/>
      <c r="O471" s="15"/>
    </row>
    <row r="472" customFormat="false" ht="25.35" hidden="false" customHeight="false" outlineLevel="0" collapsed="false">
      <c r="A472" s="9" t="n">
        <v>466</v>
      </c>
      <c r="B472" s="10" t="s">
        <v>725</v>
      </c>
      <c r="C472" s="10" t="s">
        <v>254</v>
      </c>
      <c r="D472" s="11" t="n">
        <v>0.0106498842592593</v>
      </c>
      <c r="E472" s="12" t="n">
        <v>525</v>
      </c>
      <c r="F472" s="11" t="n">
        <v>0.006834375</v>
      </c>
      <c r="G472" s="12" t="n">
        <v>196</v>
      </c>
      <c r="H472" s="11" t="n">
        <v>0.00289097222222222</v>
      </c>
      <c r="I472" s="12" t="n">
        <v>875</v>
      </c>
      <c r="J472" s="12" t="n">
        <f aca="false">COUNT(E472,G472,I472)</f>
        <v>3</v>
      </c>
      <c r="K472" s="13" t="n">
        <f aca="false">MIN(E472,G472,I472)</f>
        <v>196</v>
      </c>
      <c r="L472" s="9" t="str">
        <f aca="false">IF(E472=K472,"5000m",IF(G472=K472,"3000mSC","1500m"))</f>
        <v>3000mSC</v>
      </c>
      <c r="M472" s="14" t="n">
        <f aca="false">(D472&lt;&gt;"")*(D472&lt;=($E$3*60+$F$3)/86400)+(F472&lt;&gt;"")*(F472&lt;=($I$3*60+$J$3)/86400)+(H472&lt;&gt;"")*(H472&lt;=($M$3*60+$N$3)/86400)</f>
        <v>0</v>
      </c>
      <c r="N472" s="16"/>
      <c r="O472" s="15"/>
    </row>
    <row r="473" customFormat="false" ht="15" hidden="false" customHeight="false" outlineLevel="0" collapsed="false">
      <c r="A473" s="9" t="n">
        <v>467</v>
      </c>
      <c r="B473" s="10" t="s">
        <v>726</v>
      </c>
      <c r="C473" s="10" t="s">
        <v>242</v>
      </c>
      <c r="D473" s="11" t="n">
        <v>0.0103417824074074</v>
      </c>
      <c r="E473" s="12" t="n">
        <v>196</v>
      </c>
      <c r="F473" s="11"/>
      <c r="G473" s="12"/>
      <c r="H473" s="11" t="n">
        <v>0.00290543981481482</v>
      </c>
      <c r="I473" s="12" t="n">
        <v>986</v>
      </c>
      <c r="J473" s="12" t="n">
        <f aca="false">COUNT(E473,G473,I473)</f>
        <v>2</v>
      </c>
      <c r="K473" s="13" t="n">
        <f aca="false">MIN(E473,G473,I473)</f>
        <v>196</v>
      </c>
      <c r="L473" s="9" t="str">
        <f aca="false">IF(E473=K473,"5000m",IF(G473=K473,"3000mSC","1500m"))</f>
        <v>5000m</v>
      </c>
      <c r="M473" s="14" t="n">
        <f aca="false">(D473&lt;&gt;"")*(D473&lt;=($E$3*60+$F$3)/86400)+(F473&lt;&gt;"")*(F473&lt;=($I$3*60+$J$3)/86400)+(H473&lt;&gt;"")*(H473&lt;=($M$3*60+$N$3)/86400)</f>
        <v>0</v>
      </c>
      <c r="N473" s="16"/>
      <c r="O473" s="15"/>
    </row>
    <row r="474" customFormat="false" ht="25.35" hidden="false" customHeight="false" outlineLevel="0" collapsed="false">
      <c r="A474" s="9" t="n">
        <v>468</v>
      </c>
      <c r="B474" s="10" t="s">
        <v>727</v>
      </c>
      <c r="C474" s="10" t="s">
        <v>120</v>
      </c>
      <c r="D474" s="11" t="n">
        <v>0.0106954861111111</v>
      </c>
      <c r="E474" s="12" t="n">
        <v>572</v>
      </c>
      <c r="F474" s="11" t="n">
        <v>0.00684027777777778</v>
      </c>
      <c r="G474" s="12" t="n">
        <v>197</v>
      </c>
      <c r="H474" s="11"/>
      <c r="I474" s="12"/>
      <c r="J474" s="12" t="n">
        <f aca="false">COUNT(E474,G474,I474)</f>
        <v>2</v>
      </c>
      <c r="K474" s="13" t="n">
        <f aca="false">MIN(E474,G474,I474)</f>
        <v>197</v>
      </c>
      <c r="L474" s="9" t="str">
        <f aca="false">IF(E474=K474,"5000m",IF(G474=K474,"3000mSC","1500m"))</f>
        <v>3000mSC</v>
      </c>
      <c r="M474" s="14" t="n">
        <f aca="false">(D474&lt;&gt;"")*(D474&lt;=($E$3*60+$F$3)/86400)+(F474&lt;&gt;"")*(F474&lt;=($I$3*60+$J$3)/86400)+(H474&lt;&gt;"")*(H474&lt;=($M$3*60+$N$3)/86400)</f>
        <v>0</v>
      </c>
      <c r="N474" s="16"/>
      <c r="O474" s="15"/>
    </row>
    <row r="475" customFormat="false" ht="15" hidden="false" customHeight="false" outlineLevel="0" collapsed="false">
      <c r="A475" s="9" t="n">
        <v>469</v>
      </c>
      <c r="B475" s="10" t="s">
        <v>728</v>
      </c>
      <c r="C475" s="10" t="s">
        <v>695</v>
      </c>
      <c r="D475" s="11" t="n">
        <v>0.0103466435185185</v>
      </c>
      <c r="E475" s="12" t="n">
        <v>197</v>
      </c>
      <c r="F475" s="11"/>
      <c r="G475" s="12"/>
      <c r="H475" s="11" t="n">
        <v>0.00286898148148148</v>
      </c>
      <c r="I475" s="12" t="n">
        <v>687</v>
      </c>
      <c r="J475" s="12" t="n">
        <f aca="false">COUNT(E475,G475,I475)</f>
        <v>2</v>
      </c>
      <c r="K475" s="13" t="n">
        <f aca="false">MIN(E475,G475,I475)</f>
        <v>197</v>
      </c>
      <c r="L475" s="9" t="str">
        <f aca="false">IF(E475=K475,"5000m",IF(G475=K475,"3000mSC","1500m"))</f>
        <v>5000m</v>
      </c>
      <c r="M475" s="14" t="n">
        <f aca="false">(D475&lt;&gt;"")*(D475&lt;=($E$3*60+$F$3)/86400)+(F475&lt;&gt;"")*(F475&lt;=($I$3*60+$J$3)/86400)+(H475&lt;&gt;"")*(H475&lt;=($M$3*60+$N$3)/86400)</f>
        <v>0</v>
      </c>
      <c r="N475" s="16"/>
      <c r="O475" s="15"/>
    </row>
    <row r="476" customFormat="false" ht="15" hidden="false" customHeight="false" outlineLevel="0" collapsed="false">
      <c r="A476" s="9" t="n">
        <v>470</v>
      </c>
      <c r="B476" s="10" t="s">
        <v>729</v>
      </c>
      <c r="C476" s="10" t="s">
        <v>730</v>
      </c>
      <c r="D476" s="11"/>
      <c r="E476" s="12"/>
      <c r="F476" s="11"/>
      <c r="G476" s="12"/>
      <c r="H476" s="11" t="n">
        <v>0.00277928240740741</v>
      </c>
      <c r="I476" s="12" t="n">
        <v>197</v>
      </c>
      <c r="J476" s="12" t="n">
        <f aca="false">COUNT(E476,G476,I476)</f>
        <v>1</v>
      </c>
      <c r="K476" s="13" t="n">
        <f aca="false">MIN(E476,G476,I476)</f>
        <v>197</v>
      </c>
      <c r="L476" s="9" t="str">
        <f aca="false">IF(E476=K476,"5000m",IF(G476=K476,"3000mSC","1500m"))</f>
        <v>1500m</v>
      </c>
      <c r="M476" s="14" t="n">
        <f aca="false">(D476&lt;&gt;"")*(D476&lt;=($E$3*60+$F$3)/86400)+(F476&lt;&gt;"")*(F476&lt;=($I$3*60+$J$3)/86400)+(H476&lt;&gt;"")*(H476&lt;=($M$3*60+$N$3)/86400)</f>
        <v>0</v>
      </c>
      <c r="N476" s="16"/>
      <c r="O476" s="15"/>
    </row>
    <row r="477" customFormat="false" ht="15" hidden="false" customHeight="false" outlineLevel="0" collapsed="false">
      <c r="A477" s="9" t="n">
        <v>471</v>
      </c>
      <c r="B477" s="10" t="s">
        <v>731</v>
      </c>
      <c r="C477" s="10" t="s">
        <v>440</v>
      </c>
      <c r="D477" s="11" t="n">
        <v>0.0103467592592593</v>
      </c>
      <c r="E477" s="12" t="n">
        <v>198</v>
      </c>
      <c r="F477" s="11"/>
      <c r="G477" s="12"/>
      <c r="H477" s="11" t="n">
        <v>0.00278680555555556</v>
      </c>
      <c r="I477" s="12" t="n">
        <v>227</v>
      </c>
      <c r="J477" s="12" t="n">
        <f aca="false">COUNT(E477,G477,I477)</f>
        <v>2</v>
      </c>
      <c r="K477" s="13" t="n">
        <f aca="false">MIN(E477,G477,I477)</f>
        <v>198</v>
      </c>
      <c r="L477" s="9" t="str">
        <f aca="false">IF(E477=K477,"5000m",IF(G477=K477,"3000mSC","1500m"))</f>
        <v>5000m</v>
      </c>
      <c r="M477" s="14" t="n">
        <f aca="false">(D477&lt;&gt;"")*(D477&lt;=($E$3*60+$F$3)/86400)+(F477&lt;&gt;"")*(F477&lt;=($I$3*60+$J$3)/86400)+(H477&lt;&gt;"")*(H477&lt;=($M$3*60+$N$3)/86400)</f>
        <v>0</v>
      </c>
      <c r="N477" s="16"/>
      <c r="O477" s="15"/>
    </row>
    <row r="478" customFormat="false" ht="15" hidden="false" customHeight="false" outlineLevel="0" collapsed="false">
      <c r="A478" s="9" t="n">
        <v>472</v>
      </c>
      <c r="B478" s="10" t="s">
        <v>732</v>
      </c>
      <c r="C478" s="10" t="s">
        <v>733</v>
      </c>
      <c r="D478" s="11" t="n">
        <v>0.0105118055555556</v>
      </c>
      <c r="E478" s="12" t="n">
        <v>354</v>
      </c>
      <c r="F478" s="11"/>
      <c r="G478" s="12"/>
      <c r="H478" s="11" t="n">
        <v>0.00277939814814815</v>
      </c>
      <c r="I478" s="12" t="n">
        <v>198</v>
      </c>
      <c r="J478" s="12" t="n">
        <f aca="false">COUNT(E478,G478,I478)</f>
        <v>2</v>
      </c>
      <c r="K478" s="13" t="n">
        <f aca="false">MIN(E478,G478,I478)</f>
        <v>198</v>
      </c>
      <c r="L478" s="9" t="str">
        <f aca="false">IF(E478=K478,"5000m",IF(G478=K478,"3000mSC","1500m"))</f>
        <v>1500m</v>
      </c>
      <c r="M478" s="14" t="n">
        <f aca="false">(D478&lt;&gt;"")*(D478&lt;=($E$3*60+$F$3)/86400)+(F478&lt;&gt;"")*(F478&lt;=($I$3*60+$J$3)/86400)+(H478&lt;&gt;"")*(H478&lt;=($M$3*60+$N$3)/86400)</f>
        <v>0</v>
      </c>
      <c r="N478" s="16"/>
      <c r="O478" s="15"/>
    </row>
    <row r="479" customFormat="false" ht="25.35" hidden="false" customHeight="false" outlineLevel="0" collapsed="false">
      <c r="A479" s="9" t="n">
        <v>473</v>
      </c>
      <c r="B479" s="10" t="s">
        <v>734</v>
      </c>
      <c r="C479" s="10" t="s">
        <v>484</v>
      </c>
      <c r="D479" s="11"/>
      <c r="E479" s="12"/>
      <c r="F479" s="11" t="n">
        <v>0.00684363425925926</v>
      </c>
      <c r="G479" s="12" t="n">
        <v>198</v>
      </c>
      <c r="H479" s="11"/>
      <c r="I479" s="12"/>
      <c r="J479" s="12" t="n">
        <f aca="false">COUNT(E479,G479,I479)</f>
        <v>1</v>
      </c>
      <c r="K479" s="13" t="n">
        <f aca="false">MIN(E479,G479,I479)</f>
        <v>198</v>
      </c>
      <c r="L479" s="9" t="str">
        <f aca="false">IF(E479=K479,"5000m",IF(G479=K479,"3000mSC","1500m"))</f>
        <v>3000mSC</v>
      </c>
      <c r="M479" s="14" t="n">
        <f aca="false">(D479&lt;&gt;"")*(D479&lt;=($E$3*60+$F$3)/86400)+(F479&lt;&gt;"")*(F479&lt;=($I$3*60+$J$3)/86400)+(H479&lt;&gt;"")*(H479&lt;=($M$3*60+$N$3)/86400)</f>
        <v>0</v>
      </c>
      <c r="N479" s="16"/>
      <c r="O479" s="15"/>
    </row>
    <row r="480" customFormat="false" ht="15" hidden="false" customHeight="false" outlineLevel="0" collapsed="false">
      <c r="A480" s="9" t="n">
        <v>474</v>
      </c>
      <c r="B480" s="10" t="s">
        <v>735</v>
      </c>
      <c r="C480" s="10" t="s">
        <v>473</v>
      </c>
      <c r="D480" s="11" t="n">
        <v>0.010347337962963</v>
      </c>
      <c r="E480" s="12" t="n">
        <v>199</v>
      </c>
      <c r="F480" s="11"/>
      <c r="G480" s="12"/>
      <c r="H480" s="11" t="n">
        <v>0.00289305555555556</v>
      </c>
      <c r="I480" s="12" t="n">
        <v>898</v>
      </c>
      <c r="J480" s="12" t="n">
        <f aca="false">COUNT(E480,G480,I480)</f>
        <v>2</v>
      </c>
      <c r="K480" s="13" t="n">
        <f aca="false">MIN(E480,G480,I480)</f>
        <v>199</v>
      </c>
      <c r="L480" s="9" t="str">
        <f aca="false">IF(E480=K480,"5000m",IF(G480=K480,"3000mSC","1500m"))</f>
        <v>5000m</v>
      </c>
      <c r="M480" s="14" t="n">
        <f aca="false">(D480&lt;&gt;"")*(D480&lt;=($E$3*60+$F$3)/86400)+(F480&lt;&gt;"")*(F480&lt;=($I$3*60+$J$3)/86400)+(H480&lt;&gt;"")*(H480&lt;=($M$3*60+$N$3)/86400)</f>
        <v>0</v>
      </c>
      <c r="N480" s="16"/>
      <c r="O480" s="15"/>
    </row>
    <row r="481" customFormat="false" ht="25.35" hidden="false" customHeight="false" outlineLevel="0" collapsed="false">
      <c r="A481" s="9" t="n">
        <v>475</v>
      </c>
      <c r="B481" s="10" t="s">
        <v>736</v>
      </c>
      <c r="C481" s="10" t="s">
        <v>60</v>
      </c>
      <c r="D481" s="11"/>
      <c r="E481" s="12"/>
      <c r="F481" s="11" t="n">
        <v>0.00684398148148148</v>
      </c>
      <c r="G481" s="12" t="n">
        <v>199</v>
      </c>
      <c r="H481" s="11"/>
      <c r="I481" s="12"/>
      <c r="J481" s="12" t="n">
        <f aca="false">COUNT(E481,G481,I481)</f>
        <v>1</v>
      </c>
      <c r="K481" s="13" t="n">
        <f aca="false">MIN(E481,G481,I481)</f>
        <v>199</v>
      </c>
      <c r="L481" s="9" t="str">
        <f aca="false">IF(E481=K481,"5000m",IF(G481=K481,"3000mSC","1500m"))</f>
        <v>3000mSC</v>
      </c>
      <c r="M481" s="14" t="n">
        <f aca="false">(D481&lt;&gt;"")*(D481&lt;=($E$3*60+$F$3)/86400)+(F481&lt;&gt;"")*(F481&lt;=($I$3*60+$J$3)/86400)+(H481&lt;&gt;"")*(H481&lt;=($M$3*60+$N$3)/86400)</f>
        <v>0</v>
      </c>
      <c r="N481" s="16"/>
      <c r="O481" s="15"/>
    </row>
    <row r="482" customFormat="false" ht="25.35" hidden="false" customHeight="false" outlineLevel="0" collapsed="false">
      <c r="A482" s="9" t="n">
        <v>476</v>
      </c>
      <c r="B482" s="10" t="s">
        <v>737</v>
      </c>
      <c r="C482" s="10" t="s">
        <v>738</v>
      </c>
      <c r="D482" s="11" t="n">
        <v>0.0108596064814815</v>
      </c>
      <c r="E482" s="12" t="n">
        <v>847</v>
      </c>
      <c r="F482" s="11" t="n">
        <v>0.00684479166666667</v>
      </c>
      <c r="G482" s="12" t="n">
        <v>200</v>
      </c>
      <c r="H482" s="11" t="n">
        <v>0.00286238425925926</v>
      </c>
      <c r="I482" s="12" t="n">
        <v>650</v>
      </c>
      <c r="J482" s="12" t="n">
        <f aca="false">COUNT(E482,G482,I482)</f>
        <v>3</v>
      </c>
      <c r="K482" s="13" t="n">
        <f aca="false">MIN(E482,G482,I482)</f>
        <v>200</v>
      </c>
      <c r="L482" s="9" t="str">
        <f aca="false">IF(E482=K482,"5000m",IF(G482=K482,"3000mSC","1500m"))</f>
        <v>3000mSC</v>
      </c>
      <c r="M482" s="14" t="n">
        <f aca="false">(D482&lt;&gt;"")*(D482&lt;=($E$3*60+$F$3)/86400)+(F482&lt;&gt;"")*(F482&lt;=($I$3*60+$J$3)/86400)+(H482&lt;&gt;"")*(H482&lt;=($M$3*60+$N$3)/86400)</f>
        <v>0</v>
      </c>
      <c r="N482" s="16"/>
      <c r="O482" s="15"/>
    </row>
    <row r="483" customFormat="false" ht="15" hidden="false" customHeight="false" outlineLevel="0" collapsed="false">
      <c r="A483" s="9" t="n">
        <v>477</v>
      </c>
      <c r="B483" s="10" t="s">
        <v>739</v>
      </c>
      <c r="C483" s="10" t="s">
        <v>72</v>
      </c>
      <c r="D483" s="11" t="n">
        <v>0.0103476851851852</v>
      </c>
      <c r="E483" s="12" t="n">
        <v>200</v>
      </c>
      <c r="F483" s="11"/>
      <c r="G483" s="12"/>
      <c r="H483" s="11" t="n">
        <v>0.00298055555555556</v>
      </c>
      <c r="I483" s="12" t="n">
        <v>1355</v>
      </c>
      <c r="J483" s="12" t="n">
        <f aca="false">COUNT(E483,G483,I483)</f>
        <v>2</v>
      </c>
      <c r="K483" s="13" t="n">
        <f aca="false">MIN(E483,G483,I483)</f>
        <v>200</v>
      </c>
      <c r="L483" s="9" t="str">
        <f aca="false">IF(E483=K483,"5000m",IF(G483=K483,"3000mSC","1500m"))</f>
        <v>5000m</v>
      </c>
      <c r="M483" s="14" t="n">
        <f aca="false">(D483&lt;&gt;"")*(D483&lt;=($E$3*60+$F$3)/86400)+(F483&lt;&gt;"")*(F483&lt;=($I$3*60+$J$3)/86400)+(H483&lt;&gt;"")*(H483&lt;=($M$3*60+$N$3)/86400)</f>
        <v>0</v>
      </c>
      <c r="N483" s="16"/>
      <c r="O483" s="15"/>
    </row>
    <row r="484" customFormat="false" ht="25.35" hidden="false" customHeight="false" outlineLevel="0" collapsed="false">
      <c r="A484" s="9" t="n">
        <v>478</v>
      </c>
      <c r="B484" s="10" t="s">
        <v>740</v>
      </c>
      <c r="C484" s="10" t="s">
        <v>741</v>
      </c>
      <c r="D484" s="11" t="n">
        <v>0.0107795138888889</v>
      </c>
      <c r="E484" s="12" t="n">
        <v>706</v>
      </c>
      <c r="F484" s="11" t="n">
        <v>0.00684710648148148</v>
      </c>
      <c r="G484" s="12" t="n">
        <v>201</v>
      </c>
      <c r="H484" s="11" t="n">
        <v>0.00284722222222222</v>
      </c>
      <c r="I484" s="12" t="n">
        <v>552</v>
      </c>
      <c r="J484" s="12" t="n">
        <f aca="false">COUNT(E484,G484,I484)</f>
        <v>3</v>
      </c>
      <c r="K484" s="13" t="n">
        <f aca="false">MIN(E484,G484,I484)</f>
        <v>201</v>
      </c>
      <c r="L484" s="9" t="str">
        <f aca="false">IF(E484=K484,"5000m",IF(G484=K484,"3000mSC","1500m"))</f>
        <v>3000mSC</v>
      </c>
      <c r="M484" s="14" t="n">
        <f aca="false">(D484&lt;&gt;"")*(D484&lt;=($E$3*60+$F$3)/86400)+(F484&lt;&gt;"")*(F484&lt;=($I$3*60+$J$3)/86400)+(H484&lt;&gt;"")*(H484&lt;=($M$3*60+$N$3)/86400)</f>
        <v>0</v>
      </c>
      <c r="N484" s="16"/>
      <c r="O484" s="15"/>
    </row>
    <row r="485" customFormat="false" ht="15" hidden="false" customHeight="false" outlineLevel="0" collapsed="false">
      <c r="A485" s="9" t="n">
        <v>479</v>
      </c>
      <c r="B485" s="10" t="s">
        <v>742</v>
      </c>
      <c r="C485" s="10" t="s">
        <v>36</v>
      </c>
      <c r="D485" s="11" t="n">
        <v>0.0103487268518519</v>
      </c>
      <c r="E485" s="12" t="n">
        <v>202</v>
      </c>
      <c r="F485" s="11" t="n">
        <v>0.00709699074074074</v>
      </c>
      <c r="G485" s="12" t="n">
        <v>444</v>
      </c>
      <c r="H485" s="11" t="n">
        <v>0.0028431712962963</v>
      </c>
      <c r="I485" s="12" t="n">
        <v>518</v>
      </c>
      <c r="J485" s="12" t="n">
        <f aca="false">COUNT(E485,G485,I485)</f>
        <v>3</v>
      </c>
      <c r="K485" s="13" t="n">
        <f aca="false">MIN(E485,G485,I485)</f>
        <v>202</v>
      </c>
      <c r="L485" s="9" t="str">
        <f aca="false">IF(E485=K485,"5000m",IF(G485=K485,"3000mSC","1500m"))</f>
        <v>5000m</v>
      </c>
      <c r="M485" s="14" t="n">
        <f aca="false">(D485&lt;&gt;"")*(D485&lt;=($E$3*60+$F$3)/86400)+(F485&lt;&gt;"")*(F485&lt;=($I$3*60+$J$3)/86400)+(H485&lt;&gt;"")*(H485&lt;=($M$3*60+$N$3)/86400)</f>
        <v>0</v>
      </c>
      <c r="N485" s="16"/>
      <c r="O485" s="15"/>
    </row>
    <row r="486" customFormat="false" ht="15" hidden="false" customHeight="false" outlineLevel="0" collapsed="false">
      <c r="A486" s="9" t="n">
        <v>480</v>
      </c>
      <c r="B486" s="10" t="s">
        <v>743</v>
      </c>
      <c r="C486" s="10" t="s">
        <v>744</v>
      </c>
      <c r="D486" s="11" t="n">
        <v>0.0104189814814815</v>
      </c>
      <c r="E486" s="12" t="n">
        <v>284</v>
      </c>
      <c r="F486" s="11"/>
      <c r="G486" s="12"/>
      <c r="H486" s="11" t="n">
        <v>0.00278032407407407</v>
      </c>
      <c r="I486" s="12" t="n">
        <v>202</v>
      </c>
      <c r="J486" s="12" t="n">
        <f aca="false">COUNT(E486,G486,I486)</f>
        <v>2</v>
      </c>
      <c r="K486" s="13" t="n">
        <f aca="false">MIN(E486,G486,I486)</f>
        <v>202</v>
      </c>
      <c r="L486" s="9" t="str">
        <f aca="false">IF(E486=K486,"5000m",IF(G486=K486,"3000mSC","1500m"))</f>
        <v>1500m</v>
      </c>
      <c r="M486" s="14" t="n">
        <f aca="false">(D486&lt;&gt;"")*(D486&lt;=($E$3*60+$F$3)/86400)+(F486&lt;&gt;"")*(F486&lt;=($I$3*60+$J$3)/86400)+(H486&lt;&gt;"")*(H486&lt;=($M$3*60+$N$3)/86400)</f>
        <v>0</v>
      </c>
      <c r="N486" s="16"/>
      <c r="O486" s="15"/>
    </row>
    <row r="487" customFormat="false" ht="25.35" hidden="false" customHeight="false" outlineLevel="0" collapsed="false">
      <c r="A487" s="9" t="n">
        <v>481</v>
      </c>
      <c r="B487" s="10" t="s">
        <v>745</v>
      </c>
      <c r="C487" s="10" t="s">
        <v>746</v>
      </c>
      <c r="D487" s="11"/>
      <c r="E487" s="12"/>
      <c r="F487" s="11" t="n">
        <v>0.00684768518518519</v>
      </c>
      <c r="G487" s="12" t="n">
        <v>202</v>
      </c>
      <c r="H487" s="11"/>
      <c r="I487" s="12"/>
      <c r="J487" s="12" t="n">
        <f aca="false">COUNT(E487,G487,I487)</f>
        <v>1</v>
      </c>
      <c r="K487" s="13" t="n">
        <f aca="false">MIN(E487,G487,I487)</f>
        <v>202</v>
      </c>
      <c r="L487" s="9" t="str">
        <f aca="false">IF(E487=K487,"5000m",IF(G487=K487,"3000mSC","1500m"))</f>
        <v>3000mSC</v>
      </c>
      <c r="M487" s="14" t="n">
        <f aca="false">(D487&lt;&gt;"")*(D487&lt;=($E$3*60+$F$3)/86400)+(F487&lt;&gt;"")*(F487&lt;=($I$3*60+$J$3)/86400)+(H487&lt;&gt;"")*(H487&lt;=($M$3*60+$N$3)/86400)</f>
        <v>0</v>
      </c>
      <c r="N487" s="16"/>
      <c r="O487" s="15"/>
    </row>
    <row r="488" customFormat="false" ht="25.35" hidden="false" customHeight="false" outlineLevel="0" collapsed="false">
      <c r="A488" s="9" t="n">
        <v>482</v>
      </c>
      <c r="B488" s="10" t="s">
        <v>747</v>
      </c>
      <c r="C488" s="10" t="s">
        <v>748</v>
      </c>
      <c r="D488" s="11" t="n">
        <v>0.0108645833333333</v>
      </c>
      <c r="E488" s="12" t="n">
        <v>860</v>
      </c>
      <c r="F488" s="11" t="n">
        <v>0.00684953703703704</v>
      </c>
      <c r="G488" s="12" t="n">
        <v>203</v>
      </c>
      <c r="H488" s="11" t="n">
        <v>0.00284097222222222</v>
      </c>
      <c r="I488" s="12" t="n">
        <v>506</v>
      </c>
      <c r="J488" s="12" t="n">
        <f aca="false">COUNT(E488,G488,I488)</f>
        <v>3</v>
      </c>
      <c r="K488" s="13" t="n">
        <f aca="false">MIN(E488,G488,I488)</f>
        <v>203</v>
      </c>
      <c r="L488" s="9" t="str">
        <f aca="false">IF(E488=K488,"5000m",IF(G488=K488,"3000mSC","1500m"))</f>
        <v>3000mSC</v>
      </c>
      <c r="M488" s="14" t="n">
        <f aca="false">(D488&lt;&gt;"")*(D488&lt;=($E$3*60+$F$3)/86400)+(F488&lt;&gt;"")*(F488&lt;=($I$3*60+$J$3)/86400)+(H488&lt;&gt;"")*(H488&lt;=($M$3*60+$N$3)/86400)</f>
        <v>0</v>
      </c>
      <c r="N488" s="16"/>
      <c r="O488" s="15"/>
    </row>
    <row r="489" customFormat="false" ht="15" hidden="false" customHeight="false" outlineLevel="0" collapsed="false">
      <c r="A489" s="9" t="n">
        <v>483</v>
      </c>
      <c r="B489" s="10" t="s">
        <v>749</v>
      </c>
      <c r="C489" s="10" t="s">
        <v>72</v>
      </c>
      <c r="D489" s="11" t="n">
        <v>0.0108065972222222</v>
      </c>
      <c r="E489" s="12" t="n">
        <v>756</v>
      </c>
      <c r="F489" s="11"/>
      <c r="G489" s="12"/>
      <c r="H489" s="11" t="n">
        <v>0.00278055555555556</v>
      </c>
      <c r="I489" s="12" t="n">
        <v>203</v>
      </c>
      <c r="J489" s="12" t="n">
        <f aca="false">COUNT(E489,G489,I489)</f>
        <v>2</v>
      </c>
      <c r="K489" s="13" t="n">
        <f aca="false">MIN(E489,G489,I489)</f>
        <v>203</v>
      </c>
      <c r="L489" s="9" t="str">
        <f aca="false">IF(E489=K489,"5000m",IF(G489=K489,"3000mSC","1500m"))</f>
        <v>1500m</v>
      </c>
      <c r="M489" s="14" t="n">
        <f aca="false">(D489&lt;&gt;"")*(D489&lt;=($E$3*60+$F$3)/86400)+(F489&lt;&gt;"")*(F489&lt;=($I$3*60+$J$3)/86400)+(H489&lt;&gt;"")*(H489&lt;=($M$3*60+$N$3)/86400)</f>
        <v>0</v>
      </c>
      <c r="N489" s="16"/>
      <c r="O489" s="15"/>
    </row>
    <row r="490" customFormat="false" ht="15" hidden="false" customHeight="false" outlineLevel="0" collapsed="false">
      <c r="A490" s="9" t="n">
        <v>484</v>
      </c>
      <c r="B490" s="10" t="s">
        <v>750</v>
      </c>
      <c r="C490" s="10" t="s">
        <v>445</v>
      </c>
      <c r="D490" s="11" t="n">
        <v>0.0103506944444444</v>
      </c>
      <c r="E490" s="12" t="n">
        <v>204</v>
      </c>
      <c r="F490" s="11"/>
      <c r="G490" s="12"/>
      <c r="H490" s="11" t="n">
        <v>0.0028349537037037</v>
      </c>
      <c r="I490" s="12" t="n">
        <v>461</v>
      </c>
      <c r="J490" s="12" t="n">
        <f aca="false">COUNT(E490,G490,I490)</f>
        <v>2</v>
      </c>
      <c r="K490" s="13" t="n">
        <f aca="false">MIN(E490,G490,I490)</f>
        <v>204</v>
      </c>
      <c r="L490" s="9" t="str">
        <f aca="false">IF(E490=K490,"5000m",IF(G490=K490,"3000mSC","1500m"))</f>
        <v>5000m</v>
      </c>
      <c r="M490" s="14" t="n">
        <f aca="false">(D490&lt;&gt;"")*(D490&lt;=($E$3*60+$F$3)/86400)+(F490&lt;&gt;"")*(F490&lt;=($I$3*60+$J$3)/86400)+(H490&lt;&gt;"")*(H490&lt;=($M$3*60+$N$3)/86400)</f>
        <v>0</v>
      </c>
      <c r="N490" s="16"/>
      <c r="O490" s="15"/>
    </row>
    <row r="491" customFormat="false" ht="15" hidden="false" customHeight="false" outlineLevel="0" collapsed="false">
      <c r="A491" s="9" t="n">
        <v>485</v>
      </c>
      <c r="B491" s="10" t="s">
        <v>751</v>
      </c>
      <c r="C491" s="10" t="s">
        <v>752</v>
      </c>
      <c r="D491" s="11" t="n">
        <v>0.0108310185185185</v>
      </c>
      <c r="E491" s="12" t="n">
        <v>792</v>
      </c>
      <c r="F491" s="11"/>
      <c r="G491" s="12"/>
      <c r="H491" s="11" t="n">
        <v>0.00278055555555556</v>
      </c>
      <c r="I491" s="12" t="n">
        <v>204</v>
      </c>
      <c r="J491" s="12" t="n">
        <f aca="false">COUNT(E491,G491,I491)</f>
        <v>2</v>
      </c>
      <c r="K491" s="13" t="n">
        <f aca="false">MIN(E491,G491,I491)</f>
        <v>204</v>
      </c>
      <c r="L491" s="9" t="str">
        <f aca="false">IF(E491=K491,"5000m",IF(G491=K491,"3000mSC","1500m"))</f>
        <v>1500m</v>
      </c>
      <c r="M491" s="14" t="n">
        <f aca="false">(D491&lt;&gt;"")*(D491&lt;=($E$3*60+$F$3)/86400)+(F491&lt;&gt;"")*(F491&lt;=($I$3*60+$J$3)/86400)+(H491&lt;&gt;"")*(H491&lt;=($M$3*60+$N$3)/86400)</f>
        <v>0</v>
      </c>
      <c r="N491" s="16"/>
      <c r="O491" s="15"/>
    </row>
    <row r="492" customFormat="false" ht="25.35" hidden="false" customHeight="false" outlineLevel="0" collapsed="false">
      <c r="A492" s="9" t="n">
        <v>486</v>
      </c>
      <c r="B492" s="10" t="s">
        <v>753</v>
      </c>
      <c r="C492" s="10" t="s">
        <v>754</v>
      </c>
      <c r="D492" s="11"/>
      <c r="E492" s="12"/>
      <c r="F492" s="11" t="n">
        <v>0.00685393518518518</v>
      </c>
      <c r="G492" s="12" t="n">
        <v>204</v>
      </c>
      <c r="H492" s="11"/>
      <c r="I492" s="12"/>
      <c r="J492" s="12" t="n">
        <f aca="false">COUNT(E492,G492,I492)</f>
        <v>1</v>
      </c>
      <c r="K492" s="13" t="n">
        <f aca="false">MIN(E492,G492,I492)</f>
        <v>204</v>
      </c>
      <c r="L492" s="9" t="str">
        <f aca="false">IF(E492=K492,"5000m",IF(G492=K492,"3000mSC","1500m"))</f>
        <v>3000mSC</v>
      </c>
      <c r="M492" s="14" t="n">
        <f aca="false">(D492&lt;&gt;"")*(D492&lt;=($E$3*60+$F$3)/86400)+(F492&lt;&gt;"")*(F492&lt;=($I$3*60+$J$3)/86400)+(H492&lt;&gt;"")*(H492&lt;=($M$3*60+$N$3)/86400)</f>
        <v>0</v>
      </c>
      <c r="N492" s="16"/>
      <c r="O492" s="15"/>
    </row>
    <row r="493" customFormat="false" ht="15" hidden="false" customHeight="false" outlineLevel="0" collapsed="false">
      <c r="A493" s="9" t="n">
        <v>487</v>
      </c>
      <c r="B493" s="10" t="s">
        <v>755</v>
      </c>
      <c r="C493" s="10" t="s">
        <v>756</v>
      </c>
      <c r="D493" s="11" t="n">
        <v>0.0103510416666667</v>
      </c>
      <c r="E493" s="12" t="n">
        <v>205</v>
      </c>
      <c r="F493" s="11"/>
      <c r="G493" s="12"/>
      <c r="H493" s="11" t="n">
        <v>0.00279907407407407</v>
      </c>
      <c r="I493" s="12" t="n">
        <v>277</v>
      </c>
      <c r="J493" s="12" t="n">
        <f aca="false">COUNT(E493,G493,I493)</f>
        <v>2</v>
      </c>
      <c r="K493" s="13" t="n">
        <f aca="false">MIN(E493,G493,I493)</f>
        <v>205</v>
      </c>
      <c r="L493" s="9" t="str">
        <f aca="false">IF(E493=K493,"5000m",IF(G493=K493,"3000mSC","1500m"))</f>
        <v>5000m</v>
      </c>
      <c r="M493" s="14" t="n">
        <f aca="false">(D493&lt;&gt;"")*(D493&lt;=($E$3*60+$F$3)/86400)+(F493&lt;&gt;"")*(F493&lt;=($I$3*60+$J$3)/86400)+(H493&lt;&gt;"")*(H493&lt;=($M$3*60+$N$3)/86400)</f>
        <v>0</v>
      </c>
      <c r="N493" s="16"/>
      <c r="O493" s="15"/>
    </row>
    <row r="494" customFormat="false" ht="25.35" hidden="false" customHeight="false" outlineLevel="0" collapsed="false">
      <c r="A494" s="9" t="n">
        <v>488</v>
      </c>
      <c r="B494" s="10" t="s">
        <v>757</v>
      </c>
      <c r="C494" s="10" t="s">
        <v>758</v>
      </c>
      <c r="D494" s="11" t="n">
        <v>0.0109927083333333</v>
      </c>
      <c r="E494" s="12" t="n">
        <v>1085</v>
      </c>
      <c r="F494" s="11" t="n">
        <v>0.0068556712962963</v>
      </c>
      <c r="G494" s="12" t="n">
        <v>205</v>
      </c>
      <c r="H494" s="11"/>
      <c r="I494" s="12"/>
      <c r="J494" s="12" t="n">
        <f aca="false">COUNT(E494,G494,I494)</f>
        <v>2</v>
      </c>
      <c r="K494" s="13" t="n">
        <f aca="false">MIN(E494,G494,I494)</f>
        <v>205</v>
      </c>
      <c r="L494" s="9" t="str">
        <f aca="false">IF(E494=K494,"5000m",IF(G494=K494,"3000mSC","1500m"))</f>
        <v>3000mSC</v>
      </c>
      <c r="M494" s="14" t="n">
        <f aca="false">(D494&lt;&gt;"")*(D494&lt;=($E$3*60+$F$3)/86400)+(F494&lt;&gt;"")*(F494&lt;=($I$3*60+$J$3)/86400)+(H494&lt;&gt;"")*(H494&lt;=($M$3*60+$N$3)/86400)</f>
        <v>0</v>
      </c>
      <c r="N494" s="16"/>
      <c r="O494" s="15"/>
    </row>
    <row r="495" customFormat="false" ht="25.35" hidden="false" customHeight="false" outlineLevel="0" collapsed="false">
      <c r="A495" s="9" t="n">
        <v>489</v>
      </c>
      <c r="B495" s="10" t="s">
        <v>759</v>
      </c>
      <c r="C495" s="10" t="s">
        <v>312</v>
      </c>
      <c r="D495" s="11" t="n">
        <v>0.0108479166666667</v>
      </c>
      <c r="E495" s="12" t="n">
        <v>830</v>
      </c>
      <c r="F495" s="11" t="n">
        <v>0.00685613425925926</v>
      </c>
      <c r="G495" s="12" t="n">
        <v>206</v>
      </c>
      <c r="H495" s="11" t="n">
        <v>0.00282800925925926</v>
      </c>
      <c r="I495" s="12" t="n">
        <v>410</v>
      </c>
      <c r="J495" s="12" t="n">
        <f aca="false">COUNT(E495,G495,I495)</f>
        <v>3</v>
      </c>
      <c r="K495" s="13" t="n">
        <f aca="false">MIN(E495,G495,I495)</f>
        <v>206</v>
      </c>
      <c r="L495" s="9" t="str">
        <f aca="false">IF(E495=K495,"5000m",IF(G495=K495,"3000mSC","1500m"))</f>
        <v>3000mSC</v>
      </c>
      <c r="M495" s="14" t="n">
        <f aca="false">(D495&lt;&gt;"")*(D495&lt;=($E$3*60+$F$3)/86400)+(F495&lt;&gt;"")*(F495&lt;=($I$3*60+$J$3)/86400)+(H495&lt;&gt;"")*(H495&lt;=($M$3*60+$N$3)/86400)</f>
        <v>0</v>
      </c>
      <c r="N495" s="16"/>
      <c r="O495" s="15"/>
    </row>
    <row r="496" customFormat="false" ht="15" hidden="false" customHeight="false" outlineLevel="0" collapsed="false">
      <c r="A496" s="9" t="n">
        <v>490</v>
      </c>
      <c r="B496" s="10" t="s">
        <v>760</v>
      </c>
      <c r="C496" s="10" t="s">
        <v>141</v>
      </c>
      <c r="D496" s="11" t="n">
        <v>0.0103516203703704</v>
      </c>
      <c r="E496" s="12" t="n">
        <v>206</v>
      </c>
      <c r="F496" s="11"/>
      <c r="G496" s="12"/>
      <c r="H496" s="11" t="n">
        <v>0.00282152777777778</v>
      </c>
      <c r="I496" s="12" t="n">
        <v>372</v>
      </c>
      <c r="J496" s="12" t="n">
        <f aca="false">COUNT(E496,G496,I496)</f>
        <v>2</v>
      </c>
      <c r="K496" s="13" t="n">
        <f aca="false">MIN(E496,G496,I496)</f>
        <v>206</v>
      </c>
      <c r="L496" s="9" t="str">
        <f aca="false">IF(E496=K496,"5000m",IF(G496=K496,"3000mSC","1500m"))</f>
        <v>5000m</v>
      </c>
      <c r="M496" s="14" t="n">
        <f aca="false">(D496&lt;&gt;"")*(D496&lt;=($E$3*60+$F$3)/86400)+(F496&lt;&gt;"")*(F496&lt;=($I$3*60+$J$3)/86400)+(H496&lt;&gt;"")*(H496&lt;=($M$3*60+$N$3)/86400)</f>
        <v>0</v>
      </c>
      <c r="N496" s="16"/>
      <c r="O496" s="15"/>
    </row>
    <row r="497" customFormat="false" ht="15" hidden="false" customHeight="false" outlineLevel="0" collapsed="false">
      <c r="A497" s="9" t="n">
        <v>491</v>
      </c>
      <c r="B497" s="10" t="s">
        <v>761</v>
      </c>
      <c r="C497" s="10" t="s">
        <v>762</v>
      </c>
      <c r="D497" s="11"/>
      <c r="E497" s="12"/>
      <c r="F497" s="11"/>
      <c r="G497" s="12"/>
      <c r="H497" s="11" t="n">
        <v>0.00278113425925926</v>
      </c>
      <c r="I497" s="12" t="n">
        <v>206</v>
      </c>
      <c r="J497" s="12" t="n">
        <f aca="false">COUNT(E497,G497,I497)</f>
        <v>1</v>
      </c>
      <c r="K497" s="13" t="n">
        <f aca="false">MIN(E497,G497,I497)</f>
        <v>206</v>
      </c>
      <c r="L497" s="9" t="str">
        <f aca="false">IF(E497=K497,"5000m",IF(G497=K497,"3000mSC","1500m"))</f>
        <v>1500m</v>
      </c>
      <c r="M497" s="14" t="n">
        <f aca="false">(D497&lt;&gt;"")*(D497&lt;=($E$3*60+$F$3)/86400)+(F497&lt;&gt;"")*(F497&lt;=($I$3*60+$J$3)/86400)+(H497&lt;&gt;"")*(H497&lt;=($M$3*60+$N$3)/86400)</f>
        <v>0</v>
      </c>
      <c r="N497" s="16"/>
      <c r="O497" s="15"/>
    </row>
    <row r="498" customFormat="false" ht="15" hidden="false" customHeight="false" outlineLevel="0" collapsed="false">
      <c r="A498" s="9" t="n">
        <v>492</v>
      </c>
      <c r="B498" s="10" t="s">
        <v>763</v>
      </c>
      <c r="C498" s="10" t="s">
        <v>29</v>
      </c>
      <c r="D498" s="11" t="n">
        <v>0.0103527777777778</v>
      </c>
      <c r="E498" s="12" t="n">
        <v>207</v>
      </c>
      <c r="F498" s="11"/>
      <c r="G498" s="12"/>
      <c r="H498" s="11" t="n">
        <v>0.00286099537037037</v>
      </c>
      <c r="I498" s="12" t="n">
        <v>640</v>
      </c>
      <c r="J498" s="12" t="n">
        <f aca="false">COUNT(E498,G498,I498)</f>
        <v>2</v>
      </c>
      <c r="K498" s="13" t="n">
        <f aca="false">MIN(E498,G498,I498)</f>
        <v>207</v>
      </c>
      <c r="L498" s="9" t="str">
        <f aca="false">IF(E498=K498,"5000m",IF(G498=K498,"3000mSC","1500m"))</f>
        <v>5000m</v>
      </c>
      <c r="M498" s="14" t="n">
        <f aca="false">(D498&lt;&gt;"")*(D498&lt;=($E$3*60+$F$3)/86400)+(F498&lt;&gt;"")*(F498&lt;=($I$3*60+$J$3)/86400)+(H498&lt;&gt;"")*(H498&lt;=($M$3*60+$N$3)/86400)</f>
        <v>0</v>
      </c>
      <c r="N498" s="16"/>
      <c r="O498" s="15"/>
    </row>
    <row r="499" customFormat="false" ht="15" hidden="false" customHeight="false" outlineLevel="0" collapsed="false">
      <c r="A499" s="9" t="n">
        <v>493</v>
      </c>
      <c r="B499" s="10" t="s">
        <v>764</v>
      </c>
      <c r="C499" s="10" t="s">
        <v>69</v>
      </c>
      <c r="D499" s="11" t="n">
        <v>0.0107627314814815</v>
      </c>
      <c r="E499" s="12" t="n">
        <v>686</v>
      </c>
      <c r="F499" s="11"/>
      <c r="G499" s="12"/>
      <c r="H499" s="11" t="n">
        <v>0.00278125</v>
      </c>
      <c r="I499" s="12" t="n">
        <v>207</v>
      </c>
      <c r="J499" s="12" t="n">
        <f aca="false">COUNT(E499,G499,I499)</f>
        <v>2</v>
      </c>
      <c r="K499" s="13" t="n">
        <f aca="false">MIN(E499,G499,I499)</f>
        <v>207</v>
      </c>
      <c r="L499" s="9" t="str">
        <f aca="false">IF(E499=K499,"5000m",IF(G499=K499,"3000mSC","1500m"))</f>
        <v>1500m</v>
      </c>
      <c r="M499" s="14" t="n">
        <f aca="false">(D499&lt;&gt;"")*(D499&lt;=($E$3*60+$F$3)/86400)+(F499&lt;&gt;"")*(F499&lt;=($I$3*60+$J$3)/86400)+(H499&lt;&gt;"")*(H499&lt;=($M$3*60+$N$3)/86400)</f>
        <v>0</v>
      </c>
      <c r="N499" s="16"/>
      <c r="O499" s="15"/>
    </row>
    <row r="500" customFormat="false" ht="25.35" hidden="false" customHeight="false" outlineLevel="0" collapsed="false">
      <c r="A500" s="9" t="n">
        <v>494</v>
      </c>
      <c r="B500" s="10" t="s">
        <v>765</v>
      </c>
      <c r="C500" s="10" t="s">
        <v>154</v>
      </c>
      <c r="D500" s="11" t="n">
        <v>0.0108614583333333</v>
      </c>
      <c r="E500" s="12" t="n">
        <v>853</v>
      </c>
      <c r="F500" s="11" t="n">
        <v>0.00685671296296296</v>
      </c>
      <c r="G500" s="12" t="n">
        <v>207</v>
      </c>
      <c r="H500" s="11"/>
      <c r="I500" s="12"/>
      <c r="J500" s="12" t="n">
        <f aca="false">COUNT(E500,G500,I500)</f>
        <v>2</v>
      </c>
      <c r="K500" s="13" t="n">
        <f aca="false">MIN(E500,G500,I500)</f>
        <v>207</v>
      </c>
      <c r="L500" s="9" t="str">
        <f aca="false">IF(E500=K500,"5000m",IF(G500=K500,"3000mSC","1500m"))</f>
        <v>3000mSC</v>
      </c>
      <c r="M500" s="14" t="n">
        <f aca="false">(D500&lt;&gt;"")*(D500&lt;=($E$3*60+$F$3)/86400)+(F500&lt;&gt;"")*(F500&lt;=($I$3*60+$J$3)/86400)+(H500&lt;&gt;"")*(H500&lt;=($M$3*60+$N$3)/86400)</f>
        <v>0</v>
      </c>
      <c r="N500" s="16"/>
      <c r="O500" s="15"/>
    </row>
    <row r="501" customFormat="false" ht="15" hidden="false" customHeight="false" outlineLevel="0" collapsed="false">
      <c r="A501" s="9" t="n">
        <v>495</v>
      </c>
      <c r="B501" s="10" t="s">
        <v>766</v>
      </c>
      <c r="C501" s="10" t="s">
        <v>120</v>
      </c>
      <c r="D501" s="11" t="n">
        <v>0.0104087962962963</v>
      </c>
      <c r="E501" s="12" t="n">
        <v>273</v>
      </c>
      <c r="F501" s="11"/>
      <c r="G501" s="12"/>
      <c r="H501" s="11" t="n">
        <v>0.00278125</v>
      </c>
      <c r="I501" s="12" t="n">
        <v>208</v>
      </c>
      <c r="J501" s="12" t="n">
        <f aca="false">COUNT(E501,G501,I501)</f>
        <v>2</v>
      </c>
      <c r="K501" s="13" t="n">
        <f aca="false">MIN(E501,G501,I501)</f>
        <v>208</v>
      </c>
      <c r="L501" s="9" t="str">
        <f aca="false">IF(E501=K501,"5000m",IF(G501=K501,"3000mSC","1500m"))</f>
        <v>1500m</v>
      </c>
      <c r="M501" s="14" t="n">
        <f aca="false">(D501&lt;&gt;"")*(D501&lt;=($E$3*60+$F$3)/86400)+(F501&lt;&gt;"")*(F501&lt;=($I$3*60+$J$3)/86400)+(H501&lt;&gt;"")*(H501&lt;=($M$3*60+$N$3)/86400)</f>
        <v>0</v>
      </c>
      <c r="N501" s="16"/>
      <c r="O501" s="15"/>
    </row>
    <row r="502" customFormat="false" ht="15" hidden="false" customHeight="false" outlineLevel="0" collapsed="false">
      <c r="A502" s="9" t="n">
        <v>496</v>
      </c>
      <c r="B502" s="10" t="s">
        <v>767</v>
      </c>
      <c r="C502" s="10" t="s">
        <v>105</v>
      </c>
      <c r="D502" s="11" t="n">
        <v>0.0103532407407407</v>
      </c>
      <c r="E502" s="12" t="n">
        <v>208</v>
      </c>
      <c r="F502" s="11"/>
      <c r="G502" s="12"/>
      <c r="H502" s="11"/>
      <c r="I502" s="12"/>
      <c r="J502" s="12" t="n">
        <f aca="false">COUNT(E502,G502,I502)</f>
        <v>1</v>
      </c>
      <c r="K502" s="13" t="n">
        <f aca="false">MIN(E502,G502,I502)</f>
        <v>208</v>
      </c>
      <c r="L502" s="9" t="str">
        <f aca="false">IF(E502=K502,"5000m",IF(G502=K502,"3000mSC","1500m"))</f>
        <v>5000m</v>
      </c>
      <c r="M502" s="14" t="n">
        <f aca="false">(D502&lt;&gt;"")*(D502&lt;=($E$3*60+$F$3)/86400)+(F502&lt;&gt;"")*(F502&lt;=($I$3*60+$J$3)/86400)+(H502&lt;&gt;"")*(H502&lt;=($M$3*60+$N$3)/86400)</f>
        <v>0</v>
      </c>
      <c r="N502" s="16"/>
      <c r="O502" s="15"/>
    </row>
    <row r="503" customFormat="false" ht="25.35" hidden="false" customHeight="false" outlineLevel="0" collapsed="false">
      <c r="A503" s="9" t="n">
        <v>497</v>
      </c>
      <c r="B503" s="10" t="s">
        <v>768</v>
      </c>
      <c r="C503" s="10" t="s">
        <v>769</v>
      </c>
      <c r="D503" s="11"/>
      <c r="E503" s="12"/>
      <c r="F503" s="11" t="n">
        <v>0.00685810185185185</v>
      </c>
      <c r="G503" s="12" t="n">
        <v>208</v>
      </c>
      <c r="H503" s="11"/>
      <c r="I503" s="12"/>
      <c r="J503" s="12" t="n">
        <f aca="false">COUNT(E503,G503,I503)</f>
        <v>1</v>
      </c>
      <c r="K503" s="13" t="n">
        <f aca="false">MIN(E503,G503,I503)</f>
        <v>208</v>
      </c>
      <c r="L503" s="9" t="str">
        <f aca="false">IF(E503=K503,"5000m",IF(G503=K503,"3000mSC","1500m"))</f>
        <v>3000mSC</v>
      </c>
      <c r="M503" s="14" t="n">
        <f aca="false">(D503&lt;&gt;"")*(D503&lt;=($E$3*60+$F$3)/86400)+(F503&lt;&gt;"")*(F503&lt;=($I$3*60+$J$3)/86400)+(H503&lt;&gt;"")*(H503&lt;=($M$3*60+$N$3)/86400)</f>
        <v>0</v>
      </c>
      <c r="N503" s="16"/>
      <c r="O503" s="15"/>
    </row>
    <row r="504" customFormat="false" ht="25.35" hidden="false" customHeight="false" outlineLevel="0" collapsed="false">
      <c r="A504" s="9" t="n">
        <v>498</v>
      </c>
      <c r="B504" s="10" t="s">
        <v>770</v>
      </c>
      <c r="C504" s="10" t="s">
        <v>771</v>
      </c>
      <c r="D504" s="11" t="n">
        <v>0.0109069444444444</v>
      </c>
      <c r="E504" s="12" t="n">
        <v>931</v>
      </c>
      <c r="F504" s="11" t="n">
        <v>0.00685810185185185</v>
      </c>
      <c r="G504" s="12" t="n">
        <v>209</v>
      </c>
      <c r="H504" s="11" t="n">
        <v>0.00278680555555556</v>
      </c>
      <c r="I504" s="12" t="n">
        <v>229</v>
      </c>
      <c r="J504" s="12" t="n">
        <f aca="false">COUNT(E504,G504,I504)</f>
        <v>3</v>
      </c>
      <c r="K504" s="13" t="n">
        <f aca="false">MIN(E504,G504,I504)</f>
        <v>209</v>
      </c>
      <c r="L504" s="9" t="str">
        <f aca="false">IF(E504=K504,"5000m",IF(G504=K504,"3000mSC","1500m"))</f>
        <v>3000mSC</v>
      </c>
      <c r="M504" s="14" t="n">
        <f aca="false">(D504&lt;&gt;"")*(D504&lt;=($E$3*60+$F$3)/86400)+(F504&lt;&gt;"")*(F504&lt;=($I$3*60+$J$3)/86400)+(H504&lt;&gt;"")*(H504&lt;=($M$3*60+$N$3)/86400)</f>
        <v>0</v>
      </c>
      <c r="N504" s="16"/>
      <c r="O504" s="15"/>
    </row>
    <row r="505" customFormat="false" ht="25.35" hidden="false" customHeight="false" outlineLevel="0" collapsed="false">
      <c r="A505" s="9" t="n">
        <v>499</v>
      </c>
      <c r="B505" s="10" t="s">
        <v>772</v>
      </c>
      <c r="C505" s="10" t="s">
        <v>652</v>
      </c>
      <c r="D505" s="11" t="n">
        <v>0.0108439814814815</v>
      </c>
      <c r="E505" s="12" t="n">
        <v>823</v>
      </c>
      <c r="F505" s="11" t="n">
        <v>0.00686076388888889</v>
      </c>
      <c r="G505" s="12" t="n">
        <v>210</v>
      </c>
      <c r="H505" s="11" t="n">
        <v>0.00279305555555556</v>
      </c>
      <c r="I505" s="12" t="n">
        <v>250</v>
      </c>
      <c r="J505" s="12" t="n">
        <f aca="false">COUNT(E505,G505,I505)</f>
        <v>3</v>
      </c>
      <c r="K505" s="13" t="n">
        <f aca="false">MIN(E505,G505,I505)</f>
        <v>210</v>
      </c>
      <c r="L505" s="9" t="str">
        <f aca="false">IF(E505=K505,"5000m",IF(G505=K505,"3000mSC","1500m"))</f>
        <v>3000mSC</v>
      </c>
      <c r="M505" s="14" t="n">
        <f aca="false">(D505&lt;&gt;"")*(D505&lt;=($E$3*60+$F$3)/86400)+(F505&lt;&gt;"")*(F505&lt;=($I$3*60+$J$3)/86400)+(H505&lt;&gt;"")*(H505&lt;=($M$3*60+$N$3)/86400)</f>
        <v>0</v>
      </c>
      <c r="N505" s="16"/>
      <c r="O505" s="15"/>
    </row>
    <row r="506" customFormat="false" ht="15" hidden="false" customHeight="false" outlineLevel="0" collapsed="false">
      <c r="A506" s="9" t="n">
        <v>500</v>
      </c>
      <c r="B506" s="10" t="s">
        <v>773</v>
      </c>
      <c r="C506" s="10" t="s">
        <v>577</v>
      </c>
      <c r="D506" s="11" t="n">
        <v>0.0103554398148148</v>
      </c>
      <c r="E506" s="12" t="n">
        <v>210</v>
      </c>
      <c r="F506" s="11"/>
      <c r="G506" s="12"/>
      <c r="H506" s="11" t="n">
        <v>0.00280162037037037</v>
      </c>
      <c r="I506" s="12" t="n">
        <v>289</v>
      </c>
      <c r="J506" s="12" t="n">
        <f aca="false">COUNT(E506,G506,I506)</f>
        <v>2</v>
      </c>
      <c r="K506" s="13" t="n">
        <f aca="false">MIN(E506,G506,I506)</f>
        <v>210</v>
      </c>
      <c r="L506" s="9" t="str">
        <f aca="false">IF(E506=K506,"5000m",IF(G506=K506,"3000mSC","1500m"))</f>
        <v>5000m</v>
      </c>
      <c r="M506" s="14" t="n">
        <f aca="false">(D506&lt;&gt;"")*(D506&lt;=($E$3*60+$F$3)/86400)+(F506&lt;&gt;"")*(F506&lt;=($I$3*60+$J$3)/86400)+(H506&lt;&gt;"")*(H506&lt;=($M$3*60+$N$3)/86400)</f>
        <v>0</v>
      </c>
      <c r="N506" s="16"/>
      <c r="O506" s="15"/>
    </row>
    <row r="507" customFormat="false" ht="15" hidden="false" customHeight="false" outlineLevel="0" collapsed="false">
      <c r="A507" s="9" t="n">
        <v>501</v>
      </c>
      <c r="B507" s="10" t="s">
        <v>774</v>
      </c>
      <c r="C507" s="10" t="s">
        <v>124</v>
      </c>
      <c r="D507" s="11" t="n">
        <v>0.0104322916666667</v>
      </c>
      <c r="E507" s="12" t="n">
        <v>296</v>
      </c>
      <c r="F507" s="11"/>
      <c r="G507" s="12"/>
      <c r="H507" s="11" t="n">
        <v>0.00278194444444445</v>
      </c>
      <c r="I507" s="12" t="n">
        <v>210</v>
      </c>
      <c r="J507" s="12" t="n">
        <f aca="false">COUNT(E507,G507,I507)</f>
        <v>2</v>
      </c>
      <c r="K507" s="13" t="n">
        <f aca="false">MIN(E507,G507,I507)</f>
        <v>210</v>
      </c>
      <c r="L507" s="9" t="str">
        <f aca="false">IF(E507=K507,"5000m",IF(G507=K507,"3000mSC","1500m"))</f>
        <v>1500m</v>
      </c>
      <c r="M507" s="14" t="n">
        <f aca="false">(D507&lt;&gt;"")*(D507&lt;=($E$3*60+$F$3)/86400)+(F507&lt;&gt;"")*(F507&lt;=($I$3*60+$J$3)/86400)+(H507&lt;&gt;"")*(H507&lt;=($M$3*60+$N$3)/86400)</f>
        <v>0</v>
      </c>
      <c r="N507" s="16"/>
      <c r="O507" s="15"/>
    </row>
    <row r="508" customFormat="false" ht="25.35" hidden="false" customHeight="false" outlineLevel="0" collapsed="false">
      <c r="A508" s="9" t="n">
        <v>502</v>
      </c>
      <c r="B508" s="10" t="s">
        <v>775</v>
      </c>
      <c r="C508" s="10" t="s">
        <v>27</v>
      </c>
      <c r="D508" s="11" t="n">
        <v>0.01040625</v>
      </c>
      <c r="E508" s="12" t="n">
        <v>270</v>
      </c>
      <c r="F508" s="11" t="n">
        <v>0.00686087962962963</v>
      </c>
      <c r="G508" s="12" t="n">
        <v>211</v>
      </c>
      <c r="H508" s="11" t="n">
        <v>0.00291875</v>
      </c>
      <c r="I508" s="12" t="n">
        <v>1080</v>
      </c>
      <c r="J508" s="12" t="n">
        <f aca="false">COUNT(E508,G508,I508)</f>
        <v>3</v>
      </c>
      <c r="K508" s="13" t="n">
        <f aca="false">MIN(E508,G508,I508)</f>
        <v>211</v>
      </c>
      <c r="L508" s="9" t="str">
        <f aca="false">IF(E508=K508,"5000m",IF(G508=K508,"3000mSC","1500m"))</f>
        <v>3000mSC</v>
      </c>
      <c r="M508" s="14" t="n">
        <f aca="false">(D508&lt;&gt;"")*(D508&lt;=($E$3*60+$F$3)/86400)+(F508&lt;&gt;"")*(F508&lt;=($I$3*60+$J$3)/86400)+(H508&lt;&gt;"")*(H508&lt;=($M$3*60+$N$3)/86400)</f>
        <v>0</v>
      </c>
      <c r="N508" s="16"/>
      <c r="O508" s="15"/>
    </row>
    <row r="509" customFormat="false" ht="15" hidden="false" customHeight="false" outlineLevel="0" collapsed="false">
      <c r="A509" s="9" t="n">
        <v>503</v>
      </c>
      <c r="B509" s="10" t="s">
        <v>776</v>
      </c>
      <c r="C509" s="10" t="s">
        <v>29</v>
      </c>
      <c r="D509" s="11" t="n">
        <v>0.0103571759259259</v>
      </c>
      <c r="E509" s="12" t="n">
        <v>211</v>
      </c>
      <c r="F509" s="11"/>
      <c r="G509" s="12"/>
      <c r="H509" s="11" t="n">
        <v>0.00285416666666667</v>
      </c>
      <c r="I509" s="12" t="n">
        <v>596</v>
      </c>
      <c r="J509" s="12" t="n">
        <f aca="false">COUNT(E509,G509,I509)</f>
        <v>2</v>
      </c>
      <c r="K509" s="13" t="n">
        <f aca="false">MIN(E509,G509,I509)</f>
        <v>211</v>
      </c>
      <c r="L509" s="9" t="str">
        <f aca="false">IF(E509=K509,"5000m",IF(G509=K509,"3000mSC","1500m"))</f>
        <v>5000m</v>
      </c>
      <c r="M509" s="14" t="n">
        <f aca="false">(D509&lt;&gt;"")*(D509&lt;=($E$3*60+$F$3)/86400)+(F509&lt;&gt;"")*(F509&lt;=($I$3*60+$J$3)/86400)+(H509&lt;&gt;"")*(H509&lt;=($M$3*60+$N$3)/86400)</f>
        <v>0</v>
      </c>
      <c r="N509" s="16"/>
      <c r="O509" s="15"/>
    </row>
    <row r="510" customFormat="false" ht="15" hidden="false" customHeight="false" outlineLevel="0" collapsed="false">
      <c r="A510" s="9" t="n">
        <v>504</v>
      </c>
      <c r="B510" s="10" t="s">
        <v>777</v>
      </c>
      <c r="C510" s="10" t="s">
        <v>312</v>
      </c>
      <c r="D510" s="11"/>
      <c r="E510" s="12"/>
      <c r="F510" s="11"/>
      <c r="G510" s="12"/>
      <c r="H510" s="11" t="n">
        <v>0.00278240740740741</v>
      </c>
      <c r="I510" s="12" t="n">
        <v>211</v>
      </c>
      <c r="J510" s="12" t="n">
        <f aca="false">COUNT(E510,G510,I510)</f>
        <v>1</v>
      </c>
      <c r="K510" s="13" t="n">
        <f aca="false">MIN(E510,G510,I510)</f>
        <v>211</v>
      </c>
      <c r="L510" s="9" t="str">
        <f aca="false">IF(E510=K510,"5000m",IF(G510=K510,"3000mSC","1500m"))</f>
        <v>1500m</v>
      </c>
      <c r="M510" s="14" t="n">
        <f aca="false">(D510&lt;&gt;"")*(D510&lt;=($E$3*60+$F$3)/86400)+(F510&lt;&gt;"")*(F510&lt;=($I$3*60+$J$3)/86400)+(H510&lt;&gt;"")*(H510&lt;=($M$3*60+$N$3)/86400)</f>
        <v>0</v>
      </c>
      <c r="N510" s="16"/>
      <c r="O510" s="15"/>
    </row>
    <row r="511" customFormat="false" ht="25.35" hidden="false" customHeight="false" outlineLevel="0" collapsed="false">
      <c r="A511" s="9" t="n">
        <v>505</v>
      </c>
      <c r="B511" s="10" t="s">
        <v>778</v>
      </c>
      <c r="C511" s="10" t="s">
        <v>226</v>
      </c>
      <c r="D511" s="11" t="n">
        <v>0.0105300925925926</v>
      </c>
      <c r="E511" s="12" t="n">
        <v>372</v>
      </c>
      <c r="F511" s="11" t="n">
        <v>0.0068619212962963</v>
      </c>
      <c r="G511" s="12" t="n">
        <v>212</v>
      </c>
      <c r="H511" s="11" t="n">
        <v>0.00280393518518519</v>
      </c>
      <c r="I511" s="12" t="n">
        <v>299</v>
      </c>
      <c r="J511" s="12" t="n">
        <f aca="false">COUNT(E511,G511,I511)</f>
        <v>3</v>
      </c>
      <c r="K511" s="13" t="n">
        <f aca="false">MIN(E511,G511,I511)</f>
        <v>212</v>
      </c>
      <c r="L511" s="9" t="str">
        <f aca="false">IF(E511=K511,"5000m",IF(G511=K511,"3000mSC","1500m"))</f>
        <v>3000mSC</v>
      </c>
      <c r="M511" s="14" t="n">
        <f aca="false">(D511&lt;&gt;"")*(D511&lt;=($E$3*60+$F$3)/86400)+(F511&lt;&gt;"")*(F511&lt;=($I$3*60+$J$3)/86400)+(H511&lt;&gt;"")*(H511&lt;=($M$3*60+$N$3)/86400)</f>
        <v>0</v>
      </c>
      <c r="N511" s="16"/>
      <c r="O511" s="15"/>
    </row>
    <row r="512" customFormat="false" ht="15" hidden="false" customHeight="false" outlineLevel="0" collapsed="false">
      <c r="A512" s="9" t="n">
        <v>506</v>
      </c>
      <c r="B512" s="10" t="s">
        <v>779</v>
      </c>
      <c r="C512" s="10" t="s">
        <v>171</v>
      </c>
      <c r="D512" s="11" t="n">
        <v>0.0103578703703704</v>
      </c>
      <c r="E512" s="12" t="n">
        <v>212</v>
      </c>
      <c r="F512" s="11"/>
      <c r="G512" s="12"/>
      <c r="H512" s="11" t="n">
        <v>0.00296122685185185</v>
      </c>
      <c r="I512" s="12" t="n">
        <v>1277</v>
      </c>
      <c r="J512" s="12" t="n">
        <f aca="false">COUNT(E512,G512,I512)</f>
        <v>2</v>
      </c>
      <c r="K512" s="13" t="n">
        <f aca="false">MIN(E512,G512,I512)</f>
        <v>212</v>
      </c>
      <c r="L512" s="9" t="str">
        <f aca="false">IF(E512=K512,"5000m",IF(G512=K512,"3000mSC","1500m"))</f>
        <v>5000m</v>
      </c>
      <c r="M512" s="14" t="n">
        <f aca="false">(D512&lt;&gt;"")*(D512&lt;=($E$3*60+$F$3)/86400)+(F512&lt;&gt;"")*(F512&lt;=($I$3*60+$J$3)/86400)+(H512&lt;&gt;"")*(H512&lt;=($M$3*60+$N$3)/86400)</f>
        <v>0</v>
      </c>
      <c r="N512" s="16"/>
      <c r="O512" s="15"/>
    </row>
    <row r="513" customFormat="false" ht="15" hidden="false" customHeight="false" outlineLevel="0" collapsed="false">
      <c r="A513" s="9" t="n">
        <v>507</v>
      </c>
      <c r="B513" s="10" t="s">
        <v>780</v>
      </c>
      <c r="C513" s="10" t="s">
        <v>771</v>
      </c>
      <c r="D513" s="11" t="n">
        <v>0.0106444444444444</v>
      </c>
      <c r="E513" s="12" t="n">
        <v>518</v>
      </c>
      <c r="F513" s="11" t="n">
        <v>0.00697905092592593</v>
      </c>
      <c r="G513" s="12" t="n">
        <v>311</v>
      </c>
      <c r="H513" s="11" t="n">
        <v>0.00278333333333333</v>
      </c>
      <c r="I513" s="12" t="n">
        <v>213</v>
      </c>
      <c r="J513" s="12" t="n">
        <f aca="false">COUNT(E513,G513,I513)</f>
        <v>3</v>
      </c>
      <c r="K513" s="13" t="n">
        <f aca="false">MIN(E513,G513,I513)</f>
        <v>213</v>
      </c>
      <c r="L513" s="9" t="str">
        <f aca="false">IF(E513=K513,"5000m",IF(G513=K513,"3000mSC","1500m"))</f>
        <v>1500m</v>
      </c>
      <c r="M513" s="14" t="n">
        <f aca="false">(D513&lt;&gt;"")*(D513&lt;=($E$3*60+$F$3)/86400)+(F513&lt;&gt;"")*(F513&lt;=($I$3*60+$J$3)/86400)+(H513&lt;&gt;"")*(H513&lt;=($M$3*60+$N$3)/86400)</f>
        <v>0</v>
      </c>
      <c r="N513" s="16"/>
      <c r="O513" s="15"/>
    </row>
    <row r="514" customFormat="false" ht="15" hidden="false" customHeight="false" outlineLevel="0" collapsed="false">
      <c r="A514" s="9" t="n">
        <v>508</v>
      </c>
      <c r="B514" s="10" t="s">
        <v>781</v>
      </c>
      <c r="C514" s="10" t="s">
        <v>49</v>
      </c>
      <c r="D514" s="11" t="n">
        <v>0.0103584490740741</v>
      </c>
      <c r="E514" s="12" t="n">
        <v>213</v>
      </c>
      <c r="F514" s="11"/>
      <c r="G514" s="12"/>
      <c r="H514" s="11"/>
      <c r="I514" s="12"/>
      <c r="J514" s="12" t="n">
        <f aca="false">COUNT(E514,G514,I514)</f>
        <v>1</v>
      </c>
      <c r="K514" s="13" t="n">
        <f aca="false">MIN(E514,G514,I514)</f>
        <v>213</v>
      </c>
      <c r="L514" s="9" t="str">
        <f aca="false">IF(E514=K514,"5000m",IF(G514=K514,"3000mSC","1500m"))</f>
        <v>5000m</v>
      </c>
      <c r="M514" s="14" t="n">
        <f aca="false">(D514&lt;&gt;"")*(D514&lt;=($E$3*60+$F$3)/86400)+(F514&lt;&gt;"")*(F514&lt;=($I$3*60+$J$3)/86400)+(H514&lt;&gt;"")*(H514&lt;=($M$3*60+$N$3)/86400)</f>
        <v>0</v>
      </c>
      <c r="N514" s="16"/>
      <c r="O514" s="15"/>
    </row>
    <row r="515" customFormat="false" ht="25.35" hidden="false" customHeight="false" outlineLevel="0" collapsed="false">
      <c r="A515" s="9" t="n">
        <v>509</v>
      </c>
      <c r="B515" s="10" t="s">
        <v>782</v>
      </c>
      <c r="C515" s="10" t="s">
        <v>783</v>
      </c>
      <c r="D515" s="11"/>
      <c r="E515" s="12"/>
      <c r="F515" s="11" t="n">
        <v>0.00686296296296296</v>
      </c>
      <c r="G515" s="12" t="n">
        <v>213</v>
      </c>
      <c r="H515" s="11"/>
      <c r="I515" s="12"/>
      <c r="J515" s="12" t="n">
        <f aca="false">COUNT(E515,G515,I515)</f>
        <v>1</v>
      </c>
      <c r="K515" s="13" t="n">
        <f aca="false">MIN(E515,G515,I515)</f>
        <v>213</v>
      </c>
      <c r="L515" s="9" t="str">
        <f aca="false">IF(E515=K515,"5000m",IF(G515=K515,"3000mSC","1500m"))</f>
        <v>3000mSC</v>
      </c>
      <c r="M515" s="14" t="n">
        <f aca="false">(D515&lt;&gt;"")*(D515&lt;=($E$3*60+$F$3)/86400)+(F515&lt;&gt;"")*(F515&lt;=($I$3*60+$J$3)/86400)+(H515&lt;&gt;"")*(H515&lt;=($M$3*60+$N$3)/86400)</f>
        <v>0</v>
      </c>
      <c r="N515" s="16"/>
      <c r="O515" s="15"/>
    </row>
    <row r="516" customFormat="false" ht="25.35" hidden="false" customHeight="false" outlineLevel="0" collapsed="false">
      <c r="A516" s="9" t="n">
        <v>510</v>
      </c>
      <c r="B516" s="10" t="s">
        <v>784</v>
      </c>
      <c r="C516" s="10" t="s">
        <v>744</v>
      </c>
      <c r="D516" s="11" t="n">
        <v>0.0106689814814815</v>
      </c>
      <c r="E516" s="12" t="n">
        <v>545</v>
      </c>
      <c r="F516" s="11" t="n">
        <v>0.0068630787037037</v>
      </c>
      <c r="G516" s="12" t="n">
        <v>214</v>
      </c>
      <c r="H516" s="11" t="n">
        <v>0.0028525462962963</v>
      </c>
      <c r="I516" s="12" t="n">
        <v>583</v>
      </c>
      <c r="J516" s="12" t="n">
        <f aca="false">COUNT(E516,G516,I516)</f>
        <v>3</v>
      </c>
      <c r="K516" s="13" t="n">
        <f aca="false">MIN(E516,G516,I516)</f>
        <v>214</v>
      </c>
      <c r="L516" s="9" t="str">
        <f aca="false">IF(E516=K516,"5000m",IF(G516=K516,"3000mSC","1500m"))</f>
        <v>3000mSC</v>
      </c>
      <c r="M516" s="14" t="n">
        <f aca="false">(D516&lt;&gt;"")*(D516&lt;=($E$3*60+$F$3)/86400)+(F516&lt;&gt;"")*(F516&lt;=($I$3*60+$J$3)/86400)+(H516&lt;&gt;"")*(H516&lt;=($M$3*60+$N$3)/86400)</f>
        <v>0</v>
      </c>
      <c r="N516" s="16"/>
      <c r="O516" s="15"/>
    </row>
    <row r="517" customFormat="false" ht="15" hidden="false" customHeight="false" outlineLevel="0" collapsed="false">
      <c r="A517" s="9" t="n">
        <v>511</v>
      </c>
      <c r="B517" s="10" t="s">
        <v>785</v>
      </c>
      <c r="C517" s="10" t="s">
        <v>555</v>
      </c>
      <c r="D517" s="11" t="n">
        <v>0.0107881944444444</v>
      </c>
      <c r="E517" s="12" t="n">
        <v>718</v>
      </c>
      <c r="F517" s="11" t="n">
        <v>0.00738912037037037</v>
      </c>
      <c r="G517" s="12" t="n">
        <v>760</v>
      </c>
      <c r="H517" s="11" t="n">
        <v>0.00278356481481482</v>
      </c>
      <c r="I517" s="12" t="n">
        <v>214</v>
      </c>
      <c r="J517" s="12" t="n">
        <f aca="false">COUNT(E517,G517,I517)</f>
        <v>3</v>
      </c>
      <c r="K517" s="13" t="n">
        <f aca="false">MIN(E517,G517,I517)</f>
        <v>214</v>
      </c>
      <c r="L517" s="9" t="str">
        <f aca="false">IF(E517=K517,"5000m",IF(G517=K517,"3000mSC","1500m"))</f>
        <v>1500m</v>
      </c>
      <c r="M517" s="14" t="n">
        <f aca="false">(D517&lt;&gt;"")*(D517&lt;=($E$3*60+$F$3)/86400)+(F517&lt;&gt;"")*(F517&lt;=($I$3*60+$J$3)/86400)+(H517&lt;&gt;"")*(H517&lt;=($M$3*60+$N$3)/86400)</f>
        <v>0</v>
      </c>
      <c r="N517" s="16"/>
      <c r="O517" s="15"/>
    </row>
    <row r="518" customFormat="false" ht="15" hidden="false" customHeight="false" outlineLevel="0" collapsed="false">
      <c r="A518" s="9" t="n">
        <v>512</v>
      </c>
      <c r="B518" s="10" t="s">
        <v>786</v>
      </c>
      <c r="C518" s="10" t="s">
        <v>312</v>
      </c>
      <c r="D518" s="11" t="n">
        <v>0.0103591435185185</v>
      </c>
      <c r="E518" s="12" t="n">
        <v>214</v>
      </c>
      <c r="F518" s="11"/>
      <c r="G518" s="12"/>
      <c r="H518" s="11" t="n">
        <v>0.00284479166666667</v>
      </c>
      <c r="I518" s="12" t="n">
        <v>533</v>
      </c>
      <c r="J518" s="12" t="n">
        <f aca="false">COUNT(E518,G518,I518)</f>
        <v>2</v>
      </c>
      <c r="K518" s="13" t="n">
        <f aca="false">MIN(E518,G518,I518)</f>
        <v>214</v>
      </c>
      <c r="L518" s="9" t="str">
        <f aca="false">IF(E518=K518,"5000m",IF(G518=K518,"3000mSC","1500m"))</f>
        <v>5000m</v>
      </c>
      <c r="M518" s="14" t="n">
        <f aca="false">(D518&lt;&gt;"")*(D518&lt;=($E$3*60+$F$3)/86400)+(F518&lt;&gt;"")*(F518&lt;=($I$3*60+$J$3)/86400)+(H518&lt;&gt;"")*(H518&lt;=($M$3*60+$N$3)/86400)</f>
        <v>0</v>
      </c>
      <c r="N518" s="16"/>
      <c r="O518" s="15"/>
    </row>
    <row r="519" customFormat="false" ht="25.35" hidden="false" customHeight="false" outlineLevel="0" collapsed="false">
      <c r="A519" s="9" t="n">
        <v>513</v>
      </c>
      <c r="B519" s="10" t="s">
        <v>787</v>
      </c>
      <c r="C519" s="10" t="s">
        <v>695</v>
      </c>
      <c r="D519" s="11" t="n">
        <v>0.0110579861111111</v>
      </c>
      <c r="E519" s="12" t="n">
        <v>1213</v>
      </c>
      <c r="F519" s="11" t="n">
        <v>0.00686655092592593</v>
      </c>
      <c r="G519" s="12" t="n">
        <v>215</v>
      </c>
      <c r="H519" s="11"/>
      <c r="I519" s="12"/>
      <c r="J519" s="12" t="n">
        <f aca="false">COUNT(E519,G519,I519)</f>
        <v>2</v>
      </c>
      <c r="K519" s="13" t="n">
        <f aca="false">MIN(E519,G519,I519)</f>
        <v>215</v>
      </c>
      <c r="L519" s="9" t="str">
        <f aca="false">IF(E519=K519,"5000m",IF(G519=K519,"3000mSC","1500m"))</f>
        <v>3000mSC</v>
      </c>
      <c r="M519" s="14" t="n">
        <f aca="false">(D519&lt;&gt;"")*(D519&lt;=($E$3*60+$F$3)/86400)+(F519&lt;&gt;"")*(F519&lt;=($I$3*60+$J$3)/86400)+(H519&lt;&gt;"")*(H519&lt;=($M$3*60+$N$3)/86400)</f>
        <v>0</v>
      </c>
      <c r="N519" s="16"/>
      <c r="O519" s="15"/>
    </row>
    <row r="520" customFormat="false" ht="15" hidden="false" customHeight="false" outlineLevel="0" collapsed="false">
      <c r="A520" s="9" t="n">
        <v>514</v>
      </c>
      <c r="B520" s="10" t="s">
        <v>788</v>
      </c>
      <c r="C520" s="10" t="s">
        <v>25</v>
      </c>
      <c r="D520" s="11" t="n">
        <v>0.010359375</v>
      </c>
      <c r="E520" s="12" t="n">
        <v>215</v>
      </c>
      <c r="F520" s="11"/>
      <c r="G520" s="12"/>
      <c r="H520" s="11" t="n">
        <v>0.00296354166666667</v>
      </c>
      <c r="I520" s="12" t="n">
        <v>1286</v>
      </c>
      <c r="J520" s="12" t="n">
        <f aca="false">COUNT(E520,G520,I520)</f>
        <v>2</v>
      </c>
      <c r="K520" s="13" t="n">
        <f aca="false">MIN(E520,G520,I520)</f>
        <v>215</v>
      </c>
      <c r="L520" s="9" t="str">
        <f aca="false">IF(E520=K520,"5000m",IF(G520=K520,"3000mSC","1500m"))</f>
        <v>5000m</v>
      </c>
      <c r="M520" s="14" t="n">
        <f aca="false">(D520&lt;&gt;"")*(D520&lt;=($E$3*60+$F$3)/86400)+(F520&lt;&gt;"")*(F520&lt;=($I$3*60+$J$3)/86400)+(H520&lt;&gt;"")*(H520&lt;=($M$3*60+$N$3)/86400)</f>
        <v>0</v>
      </c>
      <c r="N520" s="16"/>
      <c r="O520" s="15"/>
    </row>
    <row r="521" customFormat="false" ht="15" hidden="false" customHeight="false" outlineLevel="0" collapsed="false">
      <c r="A521" s="9" t="n">
        <v>515</v>
      </c>
      <c r="B521" s="10" t="s">
        <v>789</v>
      </c>
      <c r="C521" s="10" t="s">
        <v>103</v>
      </c>
      <c r="D521" s="11" t="n">
        <v>0.0103594907407407</v>
      </c>
      <c r="E521" s="12" t="n">
        <v>216</v>
      </c>
      <c r="F521" s="11"/>
      <c r="G521" s="12"/>
      <c r="H521" s="11"/>
      <c r="I521" s="12"/>
      <c r="J521" s="12" t="n">
        <f aca="false">COUNT(E521,G521,I521)</f>
        <v>1</v>
      </c>
      <c r="K521" s="13" t="n">
        <f aca="false">MIN(E521,G521,I521)</f>
        <v>216</v>
      </c>
      <c r="L521" s="9" t="str">
        <f aca="false">IF(E521=K521,"5000m",IF(G521=K521,"3000mSC","1500m"))</f>
        <v>5000m</v>
      </c>
      <c r="M521" s="14" t="n">
        <f aca="false">(D521&lt;&gt;"")*(D521&lt;=($E$3*60+$F$3)/86400)+(F521&lt;&gt;"")*(F521&lt;=($I$3*60+$J$3)/86400)+(H521&lt;&gt;"")*(H521&lt;=($M$3*60+$N$3)/86400)</f>
        <v>0</v>
      </c>
      <c r="N521" s="16"/>
      <c r="O521" s="15"/>
    </row>
    <row r="522" customFormat="false" ht="25.35" hidden="false" customHeight="false" outlineLevel="0" collapsed="false">
      <c r="A522" s="9" t="n">
        <v>516</v>
      </c>
      <c r="B522" s="10" t="s">
        <v>790</v>
      </c>
      <c r="C522" s="10" t="s">
        <v>791</v>
      </c>
      <c r="D522" s="11"/>
      <c r="E522" s="12"/>
      <c r="F522" s="11" t="n">
        <v>0.00686701388888889</v>
      </c>
      <c r="G522" s="12" t="n">
        <v>216</v>
      </c>
      <c r="H522" s="11"/>
      <c r="I522" s="12"/>
      <c r="J522" s="12" t="n">
        <f aca="false">COUNT(E522,G522,I522)</f>
        <v>1</v>
      </c>
      <c r="K522" s="13" t="n">
        <f aca="false">MIN(E522,G522,I522)</f>
        <v>216</v>
      </c>
      <c r="L522" s="9" t="str">
        <f aca="false">IF(E522=K522,"5000m",IF(G522=K522,"3000mSC","1500m"))</f>
        <v>3000mSC</v>
      </c>
      <c r="M522" s="14" t="n">
        <f aca="false">(D522&lt;&gt;"")*(D522&lt;=($E$3*60+$F$3)/86400)+(F522&lt;&gt;"")*(F522&lt;=($I$3*60+$J$3)/86400)+(H522&lt;&gt;"")*(H522&lt;=($M$3*60+$N$3)/86400)</f>
        <v>0</v>
      </c>
      <c r="N522" s="16"/>
      <c r="O522" s="15"/>
    </row>
    <row r="523" customFormat="false" ht="25.35" hidden="false" customHeight="false" outlineLevel="0" collapsed="false">
      <c r="A523" s="9" t="n">
        <v>517</v>
      </c>
      <c r="B523" s="10" t="s">
        <v>792</v>
      </c>
      <c r="C523" s="10" t="s">
        <v>793</v>
      </c>
      <c r="D523" s="11"/>
      <c r="E523" s="12"/>
      <c r="F523" s="11" t="n">
        <v>0.00686840277777778</v>
      </c>
      <c r="G523" s="12" t="n">
        <v>217</v>
      </c>
      <c r="H523" s="11"/>
      <c r="I523" s="12"/>
      <c r="J523" s="12" t="n">
        <f aca="false">COUNT(E523,G523,I523)</f>
        <v>1</v>
      </c>
      <c r="K523" s="13" t="n">
        <f aca="false">MIN(E523,G523,I523)</f>
        <v>217</v>
      </c>
      <c r="L523" s="9" t="str">
        <f aca="false">IF(E523=K523,"5000m",IF(G523=K523,"3000mSC","1500m"))</f>
        <v>3000mSC</v>
      </c>
      <c r="M523" s="14" t="n">
        <f aca="false">(D523&lt;&gt;"")*(D523&lt;=($E$3*60+$F$3)/86400)+(F523&lt;&gt;"")*(F523&lt;=($I$3*60+$J$3)/86400)+(H523&lt;&gt;"")*(H523&lt;=($M$3*60+$N$3)/86400)</f>
        <v>0</v>
      </c>
      <c r="N523" s="16"/>
      <c r="O523" s="15"/>
    </row>
    <row r="524" customFormat="false" ht="15" hidden="false" customHeight="false" outlineLevel="0" collapsed="false">
      <c r="A524" s="9" t="n">
        <v>518</v>
      </c>
      <c r="B524" s="10" t="s">
        <v>794</v>
      </c>
      <c r="C524" s="10" t="s">
        <v>795</v>
      </c>
      <c r="D524" s="11" t="n">
        <v>0.0105994212962963</v>
      </c>
      <c r="E524" s="12" t="n">
        <v>462</v>
      </c>
      <c r="F524" s="11"/>
      <c r="G524" s="12"/>
      <c r="H524" s="11" t="n">
        <v>0.0027849537037037</v>
      </c>
      <c r="I524" s="12" t="n">
        <v>218</v>
      </c>
      <c r="J524" s="12" t="n">
        <f aca="false">COUNT(E524,G524,I524)</f>
        <v>2</v>
      </c>
      <c r="K524" s="13" t="n">
        <f aca="false">MIN(E524,G524,I524)</f>
        <v>218</v>
      </c>
      <c r="L524" s="9" t="str">
        <f aca="false">IF(E524=K524,"5000m",IF(G524=K524,"3000mSC","1500m"))</f>
        <v>1500m</v>
      </c>
      <c r="M524" s="14" t="n">
        <f aca="false">(D524&lt;&gt;"")*(D524&lt;=($E$3*60+$F$3)/86400)+(F524&lt;&gt;"")*(F524&lt;=($I$3*60+$J$3)/86400)+(H524&lt;&gt;"")*(H524&lt;=($M$3*60+$N$3)/86400)</f>
        <v>0</v>
      </c>
      <c r="N524" s="16"/>
      <c r="O524" s="15"/>
    </row>
    <row r="525" customFormat="false" ht="25.35" hidden="false" customHeight="false" outlineLevel="0" collapsed="false">
      <c r="A525" s="9" t="n">
        <v>519</v>
      </c>
      <c r="B525" s="10" t="s">
        <v>796</v>
      </c>
      <c r="C525" s="10" t="s">
        <v>797</v>
      </c>
      <c r="D525" s="11" t="n">
        <v>0.0110537037037037</v>
      </c>
      <c r="E525" s="12" t="n">
        <v>1206</v>
      </c>
      <c r="F525" s="11" t="n">
        <v>0.00686990740740741</v>
      </c>
      <c r="G525" s="12" t="n">
        <v>218</v>
      </c>
      <c r="H525" s="11"/>
      <c r="I525" s="12"/>
      <c r="J525" s="12" t="n">
        <f aca="false">COUNT(E525,G525,I525)</f>
        <v>2</v>
      </c>
      <c r="K525" s="13" t="n">
        <f aca="false">MIN(E525,G525,I525)</f>
        <v>218</v>
      </c>
      <c r="L525" s="9" t="str">
        <f aca="false">IF(E525=K525,"5000m",IF(G525=K525,"3000mSC","1500m"))</f>
        <v>3000mSC</v>
      </c>
      <c r="M525" s="14" t="n">
        <f aca="false">(D525&lt;&gt;"")*(D525&lt;=($E$3*60+$F$3)/86400)+(F525&lt;&gt;"")*(F525&lt;=($I$3*60+$J$3)/86400)+(H525&lt;&gt;"")*(H525&lt;=($M$3*60+$N$3)/86400)</f>
        <v>0</v>
      </c>
      <c r="N525" s="16"/>
      <c r="O525" s="15"/>
    </row>
    <row r="526" customFormat="false" ht="15" hidden="false" customHeight="false" outlineLevel="0" collapsed="false">
      <c r="A526" s="9" t="n">
        <v>520</v>
      </c>
      <c r="B526" s="10" t="s">
        <v>798</v>
      </c>
      <c r="C526" s="10" t="s">
        <v>242</v>
      </c>
      <c r="D526" s="11" t="n">
        <v>0.0103613425925926</v>
      </c>
      <c r="E526" s="12" t="n">
        <v>218</v>
      </c>
      <c r="F526" s="11"/>
      <c r="G526" s="12"/>
      <c r="H526" s="11"/>
      <c r="I526" s="12"/>
      <c r="J526" s="12" t="n">
        <f aca="false">COUNT(E526,G526,I526)</f>
        <v>1</v>
      </c>
      <c r="K526" s="13" t="n">
        <f aca="false">MIN(E526,G526,I526)</f>
        <v>218</v>
      </c>
      <c r="L526" s="9" t="str">
        <f aca="false">IF(E526=K526,"5000m",IF(G526=K526,"3000mSC","1500m"))</f>
        <v>5000m</v>
      </c>
      <c r="M526" s="14" t="n">
        <f aca="false">(D526&lt;&gt;"")*(D526&lt;=($E$3*60+$F$3)/86400)+(F526&lt;&gt;"")*(F526&lt;=($I$3*60+$J$3)/86400)+(H526&lt;&gt;"")*(H526&lt;=($M$3*60+$N$3)/86400)</f>
        <v>0</v>
      </c>
      <c r="N526" s="16"/>
      <c r="O526" s="15"/>
    </row>
    <row r="527" customFormat="false" ht="15" hidden="false" customHeight="false" outlineLevel="0" collapsed="false">
      <c r="A527" s="9" t="n">
        <v>521</v>
      </c>
      <c r="B527" s="10" t="s">
        <v>799</v>
      </c>
      <c r="C527" s="10" t="s">
        <v>350</v>
      </c>
      <c r="D527" s="11" t="n">
        <v>0.0103614583333333</v>
      </c>
      <c r="E527" s="12" t="n">
        <v>219</v>
      </c>
      <c r="F527" s="11"/>
      <c r="G527" s="12"/>
      <c r="H527" s="11" t="n">
        <v>0.00281921296296296</v>
      </c>
      <c r="I527" s="12" t="n">
        <v>360</v>
      </c>
      <c r="J527" s="12" t="n">
        <f aca="false">COUNT(E527,G527,I527)</f>
        <v>2</v>
      </c>
      <c r="K527" s="13" t="n">
        <f aca="false">MIN(E527,G527,I527)</f>
        <v>219</v>
      </c>
      <c r="L527" s="9" t="str">
        <f aca="false">IF(E527=K527,"5000m",IF(G527=K527,"3000mSC","1500m"))</f>
        <v>5000m</v>
      </c>
      <c r="M527" s="14" t="n">
        <f aca="false">(D527&lt;&gt;"")*(D527&lt;=($E$3*60+$F$3)/86400)+(F527&lt;&gt;"")*(F527&lt;=($I$3*60+$J$3)/86400)+(H527&lt;&gt;"")*(H527&lt;=($M$3*60+$N$3)/86400)</f>
        <v>0</v>
      </c>
      <c r="N527" s="16"/>
      <c r="O527" s="15"/>
    </row>
    <row r="528" customFormat="false" ht="25.35" hidden="false" customHeight="false" outlineLevel="0" collapsed="false">
      <c r="A528" s="9" t="n">
        <v>522</v>
      </c>
      <c r="B528" s="10" t="s">
        <v>800</v>
      </c>
      <c r="C528" s="10" t="s">
        <v>523</v>
      </c>
      <c r="D528" s="11" t="n">
        <v>0.0106106481481482</v>
      </c>
      <c r="E528" s="12" t="n">
        <v>475</v>
      </c>
      <c r="F528" s="11" t="n">
        <v>0.0068724537037037</v>
      </c>
      <c r="G528" s="12" t="n">
        <v>219</v>
      </c>
      <c r="H528" s="11"/>
      <c r="I528" s="12"/>
      <c r="J528" s="12" t="n">
        <f aca="false">COUNT(E528,G528,I528)</f>
        <v>2</v>
      </c>
      <c r="K528" s="13" t="n">
        <f aca="false">MIN(E528,G528,I528)</f>
        <v>219</v>
      </c>
      <c r="L528" s="9" t="str">
        <f aca="false">IF(E528=K528,"5000m",IF(G528=K528,"3000mSC","1500m"))</f>
        <v>3000mSC</v>
      </c>
      <c r="M528" s="14" t="n">
        <f aca="false">(D528&lt;&gt;"")*(D528&lt;=($E$3*60+$F$3)/86400)+(F528&lt;&gt;"")*(F528&lt;=($I$3*60+$J$3)/86400)+(H528&lt;&gt;"")*(H528&lt;=($M$3*60+$N$3)/86400)</f>
        <v>0</v>
      </c>
      <c r="N528" s="16"/>
      <c r="O528" s="15"/>
    </row>
    <row r="529" customFormat="false" ht="15" hidden="false" customHeight="false" outlineLevel="0" collapsed="false">
      <c r="A529" s="9" t="n">
        <v>523</v>
      </c>
      <c r="B529" s="10" t="s">
        <v>801</v>
      </c>
      <c r="C529" s="10" t="s">
        <v>513</v>
      </c>
      <c r="D529" s="11" t="n">
        <v>0.0108844907407407</v>
      </c>
      <c r="E529" s="12" t="n">
        <v>900</v>
      </c>
      <c r="F529" s="11"/>
      <c r="G529" s="12"/>
      <c r="H529" s="11" t="n">
        <v>0.00278506944444444</v>
      </c>
      <c r="I529" s="12" t="n">
        <v>219</v>
      </c>
      <c r="J529" s="12" t="n">
        <f aca="false">COUNT(E529,G529,I529)</f>
        <v>2</v>
      </c>
      <c r="K529" s="13" t="n">
        <f aca="false">MIN(E529,G529,I529)</f>
        <v>219</v>
      </c>
      <c r="L529" s="9" t="str">
        <f aca="false">IF(E529=K529,"5000m",IF(G529=K529,"3000mSC","1500m"))</f>
        <v>1500m</v>
      </c>
      <c r="M529" s="14" t="n">
        <f aca="false">(D529&lt;&gt;"")*(D529&lt;=($E$3*60+$F$3)/86400)+(F529&lt;&gt;"")*(F529&lt;=($I$3*60+$J$3)/86400)+(H529&lt;&gt;"")*(H529&lt;=($M$3*60+$N$3)/86400)</f>
        <v>0</v>
      </c>
      <c r="N529" s="16"/>
      <c r="O529" s="15"/>
    </row>
    <row r="530" customFormat="false" ht="25.35" hidden="false" customHeight="false" outlineLevel="0" collapsed="false">
      <c r="A530" s="9" t="n">
        <v>524</v>
      </c>
      <c r="B530" s="10" t="s">
        <v>802</v>
      </c>
      <c r="C530" s="10" t="s">
        <v>803</v>
      </c>
      <c r="D530" s="11" t="n">
        <v>0.0109100694444444</v>
      </c>
      <c r="E530" s="12" t="n">
        <v>938</v>
      </c>
      <c r="F530" s="11" t="n">
        <v>0.00687256944444444</v>
      </c>
      <c r="G530" s="12" t="n">
        <v>220</v>
      </c>
      <c r="H530" s="11" t="n">
        <v>0.00297164351851852</v>
      </c>
      <c r="I530" s="12" t="n">
        <v>1316</v>
      </c>
      <c r="J530" s="12" t="n">
        <f aca="false">COUNT(E530,G530,I530)</f>
        <v>3</v>
      </c>
      <c r="K530" s="13" t="n">
        <f aca="false">MIN(E530,G530,I530)</f>
        <v>220</v>
      </c>
      <c r="L530" s="9" t="str">
        <f aca="false">IF(E530=K530,"5000m",IF(G530=K530,"3000mSC","1500m"))</f>
        <v>3000mSC</v>
      </c>
      <c r="M530" s="14" t="n">
        <f aca="false">(D530&lt;&gt;"")*(D530&lt;=($E$3*60+$F$3)/86400)+(F530&lt;&gt;"")*(F530&lt;=($I$3*60+$J$3)/86400)+(H530&lt;&gt;"")*(H530&lt;=($M$3*60+$N$3)/86400)</f>
        <v>0</v>
      </c>
      <c r="N530" s="16"/>
      <c r="O530" s="15"/>
    </row>
    <row r="531" customFormat="false" ht="15" hidden="false" customHeight="false" outlineLevel="0" collapsed="false">
      <c r="A531" s="9" t="n">
        <v>525</v>
      </c>
      <c r="B531" s="10" t="s">
        <v>804</v>
      </c>
      <c r="C531" s="10" t="s">
        <v>341</v>
      </c>
      <c r="D531" s="11"/>
      <c r="E531" s="12"/>
      <c r="F531" s="11" t="n">
        <v>0.00692916666666667</v>
      </c>
      <c r="G531" s="12" t="n">
        <v>271</v>
      </c>
      <c r="H531" s="11" t="n">
        <v>0.00278564814814815</v>
      </c>
      <c r="I531" s="12" t="n">
        <v>220</v>
      </c>
      <c r="J531" s="12" t="n">
        <f aca="false">COUNT(E531,G531,I531)</f>
        <v>2</v>
      </c>
      <c r="K531" s="13" t="n">
        <f aca="false">MIN(E531,G531,I531)</f>
        <v>220</v>
      </c>
      <c r="L531" s="9" t="str">
        <f aca="false">IF(E531=K531,"5000m",IF(G531=K531,"3000mSC","1500m"))</f>
        <v>1500m</v>
      </c>
      <c r="M531" s="14" t="n">
        <f aca="false">(D531&lt;&gt;"")*(D531&lt;=($E$3*60+$F$3)/86400)+(F531&lt;&gt;"")*(F531&lt;=($I$3*60+$J$3)/86400)+(H531&lt;&gt;"")*(H531&lt;=($M$3*60+$N$3)/86400)</f>
        <v>0</v>
      </c>
      <c r="N531" s="16"/>
      <c r="O531" s="15"/>
    </row>
    <row r="532" customFormat="false" ht="25.35" hidden="false" customHeight="false" outlineLevel="0" collapsed="false">
      <c r="A532" s="9" t="n">
        <v>526</v>
      </c>
      <c r="B532" s="10" t="s">
        <v>805</v>
      </c>
      <c r="C532" s="10" t="s">
        <v>806</v>
      </c>
      <c r="D532" s="11" t="n">
        <v>0.01063125</v>
      </c>
      <c r="E532" s="12" t="n">
        <v>505</v>
      </c>
      <c r="F532" s="11" t="n">
        <v>0.00687268518518519</v>
      </c>
      <c r="G532" s="12" t="n">
        <v>221</v>
      </c>
      <c r="H532" s="11" t="n">
        <v>0.00285983796296296</v>
      </c>
      <c r="I532" s="12" t="n">
        <v>633</v>
      </c>
      <c r="J532" s="12" t="n">
        <f aca="false">COUNT(E532,G532,I532)</f>
        <v>3</v>
      </c>
      <c r="K532" s="13" t="n">
        <f aca="false">MIN(E532,G532,I532)</f>
        <v>221</v>
      </c>
      <c r="L532" s="9" t="str">
        <f aca="false">IF(E532=K532,"5000m",IF(G532=K532,"3000mSC","1500m"))</f>
        <v>3000mSC</v>
      </c>
      <c r="M532" s="14" t="n">
        <f aca="false">(D532&lt;&gt;"")*(D532&lt;=($E$3*60+$F$3)/86400)+(F532&lt;&gt;"")*(F532&lt;=($I$3*60+$J$3)/86400)+(H532&lt;&gt;"")*(H532&lt;=($M$3*60+$N$3)/86400)</f>
        <v>0</v>
      </c>
      <c r="N532" s="16"/>
      <c r="O532" s="15"/>
    </row>
    <row r="533" customFormat="false" ht="15" hidden="false" customHeight="false" outlineLevel="0" collapsed="false">
      <c r="A533" s="9" t="n">
        <v>527</v>
      </c>
      <c r="B533" s="10" t="s">
        <v>807</v>
      </c>
      <c r="C533" s="10" t="s">
        <v>201</v>
      </c>
      <c r="D533" s="11" t="n">
        <v>0.0103642361111111</v>
      </c>
      <c r="E533" s="12" t="n">
        <v>221</v>
      </c>
      <c r="F533" s="11"/>
      <c r="G533" s="12"/>
      <c r="H533" s="11" t="n">
        <v>0.00280520833333333</v>
      </c>
      <c r="I533" s="12" t="n">
        <v>303</v>
      </c>
      <c r="J533" s="12" t="n">
        <f aca="false">COUNT(E533,G533,I533)</f>
        <v>2</v>
      </c>
      <c r="K533" s="13" t="n">
        <f aca="false">MIN(E533,G533,I533)</f>
        <v>221</v>
      </c>
      <c r="L533" s="9" t="str">
        <f aca="false">IF(E533=K533,"5000m",IF(G533=K533,"3000mSC","1500m"))</f>
        <v>5000m</v>
      </c>
      <c r="M533" s="14" t="n">
        <f aca="false">(D533&lt;&gt;"")*(D533&lt;=($E$3*60+$F$3)/86400)+(F533&lt;&gt;"")*(F533&lt;=($I$3*60+$J$3)/86400)+(H533&lt;&gt;"")*(H533&lt;=($M$3*60+$N$3)/86400)</f>
        <v>0</v>
      </c>
      <c r="N533" s="16"/>
      <c r="O533" s="15"/>
    </row>
    <row r="534" customFormat="false" ht="15" hidden="false" customHeight="false" outlineLevel="0" collapsed="false">
      <c r="A534" s="9" t="n">
        <v>528</v>
      </c>
      <c r="B534" s="10" t="s">
        <v>808</v>
      </c>
      <c r="C534" s="10" t="s">
        <v>538</v>
      </c>
      <c r="D534" s="11" t="n">
        <v>0.0109063657407407</v>
      </c>
      <c r="E534" s="12" t="n">
        <v>930</v>
      </c>
      <c r="F534" s="11"/>
      <c r="G534" s="12"/>
      <c r="H534" s="11" t="n">
        <v>0.00278599537037037</v>
      </c>
      <c r="I534" s="12" t="n">
        <v>221</v>
      </c>
      <c r="J534" s="12" t="n">
        <f aca="false">COUNT(E534,G534,I534)</f>
        <v>2</v>
      </c>
      <c r="K534" s="13" t="n">
        <f aca="false">MIN(E534,G534,I534)</f>
        <v>221</v>
      </c>
      <c r="L534" s="9" t="str">
        <f aca="false">IF(E534=K534,"5000m",IF(G534=K534,"3000mSC","1500m"))</f>
        <v>1500m</v>
      </c>
      <c r="M534" s="14" t="n">
        <f aca="false">(D534&lt;&gt;"")*(D534&lt;=($E$3*60+$F$3)/86400)+(F534&lt;&gt;"")*(F534&lt;=($I$3*60+$J$3)/86400)+(H534&lt;&gt;"")*(H534&lt;=($M$3*60+$N$3)/86400)</f>
        <v>0</v>
      </c>
      <c r="N534" s="16"/>
      <c r="O534" s="15"/>
    </row>
    <row r="535" customFormat="false" ht="15" hidden="false" customHeight="false" outlineLevel="0" collapsed="false">
      <c r="A535" s="9" t="n">
        <v>529</v>
      </c>
      <c r="B535" s="10" t="s">
        <v>809</v>
      </c>
      <c r="C535" s="10" t="s">
        <v>810</v>
      </c>
      <c r="D535" s="11" t="n">
        <v>0.0105354166666667</v>
      </c>
      <c r="E535" s="12" t="n">
        <v>380</v>
      </c>
      <c r="F535" s="11"/>
      <c r="G535" s="12"/>
      <c r="H535" s="11" t="n">
        <v>0.00278622685185185</v>
      </c>
      <c r="I535" s="12" t="n">
        <v>222</v>
      </c>
      <c r="J535" s="12" t="n">
        <f aca="false">COUNT(E535,G535,I535)</f>
        <v>2</v>
      </c>
      <c r="K535" s="13" t="n">
        <f aca="false">MIN(E535,G535,I535)</f>
        <v>222</v>
      </c>
      <c r="L535" s="9" t="str">
        <f aca="false">IF(E535=K535,"5000m",IF(G535=K535,"3000mSC","1500m"))</f>
        <v>1500m</v>
      </c>
      <c r="M535" s="14" t="n">
        <f aca="false">(D535&lt;&gt;"")*(D535&lt;=($E$3*60+$F$3)/86400)+(F535&lt;&gt;"")*(F535&lt;=($I$3*60+$J$3)/86400)+(H535&lt;&gt;"")*(H535&lt;=($M$3*60+$N$3)/86400)</f>
        <v>0</v>
      </c>
      <c r="N535" s="16"/>
      <c r="O535" s="15"/>
    </row>
    <row r="536" customFormat="false" ht="25.35" hidden="false" customHeight="false" outlineLevel="0" collapsed="false">
      <c r="A536" s="9" t="n">
        <v>530</v>
      </c>
      <c r="B536" s="10" t="s">
        <v>811</v>
      </c>
      <c r="C536" s="10" t="s">
        <v>812</v>
      </c>
      <c r="D536" s="11"/>
      <c r="E536" s="12"/>
      <c r="F536" s="11" t="n">
        <v>0.00687916666666667</v>
      </c>
      <c r="G536" s="12" t="n">
        <v>222</v>
      </c>
      <c r="H536" s="11" t="n">
        <v>0.00286956018518519</v>
      </c>
      <c r="I536" s="12" t="n">
        <v>692</v>
      </c>
      <c r="J536" s="12" t="n">
        <f aca="false">COUNT(E536,G536,I536)</f>
        <v>2</v>
      </c>
      <c r="K536" s="13" t="n">
        <f aca="false">MIN(E536,G536,I536)</f>
        <v>222</v>
      </c>
      <c r="L536" s="9" t="str">
        <f aca="false">IF(E536=K536,"5000m",IF(G536=K536,"3000mSC","1500m"))</f>
        <v>3000mSC</v>
      </c>
      <c r="M536" s="14" t="n">
        <f aca="false">(D536&lt;&gt;"")*(D536&lt;=($E$3*60+$F$3)/86400)+(F536&lt;&gt;"")*(F536&lt;=($I$3*60+$J$3)/86400)+(H536&lt;&gt;"")*(H536&lt;=($M$3*60+$N$3)/86400)</f>
        <v>0</v>
      </c>
      <c r="N536" s="16"/>
      <c r="O536" s="15"/>
    </row>
    <row r="537" customFormat="false" ht="15" hidden="false" customHeight="false" outlineLevel="0" collapsed="false">
      <c r="A537" s="9" t="n">
        <v>531</v>
      </c>
      <c r="B537" s="10" t="s">
        <v>813</v>
      </c>
      <c r="C537" s="10" t="s">
        <v>814</v>
      </c>
      <c r="D537" s="11" t="n">
        <v>0.0103679398148148</v>
      </c>
      <c r="E537" s="12" t="n">
        <v>223</v>
      </c>
      <c r="F537" s="11"/>
      <c r="G537" s="12"/>
      <c r="H537" s="11" t="n">
        <v>0.00287696759259259</v>
      </c>
      <c r="I537" s="12" t="n">
        <v>747</v>
      </c>
      <c r="J537" s="12" t="n">
        <f aca="false">COUNT(E537,G537,I537)</f>
        <v>2</v>
      </c>
      <c r="K537" s="13" t="n">
        <f aca="false">MIN(E537,G537,I537)</f>
        <v>223</v>
      </c>
      <c r="L537" s="9" t="str">
        <f aca="false">IF(E537=K537,"5000m",IF(G537=K537,"3000mSC","1500m"))</f>
        <v>5000m</v>
      </c>
      <c r="M537" s="14" t="n">
        <f aca="false">(D537&lt;&gt;"")*(D537&lt;=($E$3*60+$F$3)/86400)+(F537&lt;&gt;"")*(F537&lt;=($I$3*60+$J$3)/86400)+(H537&lt;&gt;"")*(H537&lt;=($M$3*60+$N$3)/86400)</f>
        <v>0</v>
      </c>
      <c r="N537" s="16"/>
      <c r="O537" s="15"/>
    </row>
    <row r="538" customFormat="false" ht="15" hidden="false" customHeight="false" outlineLevel="0" collapsed="false">
      <c r="A538" s="9" t="n">
        <v>532</v>
      </c>
      <c r="B538" s="10" t="s">
        <v>815</v>
      </c>
      <c r="C538" s="10" t="s">
        <v>816</v>
      </c>
      <c r="D538" s="11" t="n">
        <v>0.0108675925925926</v>
      </c>
      <c r="E538" s="12" t="n">
        <v>866</v>
      </c>
      <c r="F538" s="11"/>
      <c r="G538" s="12"/>
      <c r="H538" s="11" t="n">
        <v>0.00278645833333333</v>
      </c>
      <c r="I538" s="12" t="n">
        <v>223</v>
      </c>
      <c r="J538" s="12" t="n">
        <f aca="false">COUNT(E538,G538,I538)</f>
        <v>2</v>
      </c>
      <c r="K538" s="13" t="n">
        <f aca="false">MIN(E538,G538,I538)</f>
        <v>223</v>
      </c>
      <c r="L538" s="9" t="str">
        <f aca="false">IF(E538=K538,"5000m",IF(G538=K538,"3000mSC","1500m"))</f>
        <v>1500m</v>
      </c>
      <c r="M538" s="14" t="n">
        <f aca="false">(D538&lt;&gt;"")*(D538&lt;=($E$3*60+$F$3)/86400)+(F538&lt;&gt;"")*(F538&lt;=($I$3*60+$J$3)/86400)+(H538&lt;&gt;"")*(H538&lt;=($M$3*60+$N$3)/86400)</f>
        <v>0</v>
      </c>
      <c r="N538" s="16"/>
      <c r="O538" s="15"/>
    </row>
    <row r="539" customFormat="false" ht="25.35" hidden="false" customHeight="false" outlineLevel="0" collapsed="false">
      <c r="A539" s="9" t="n">
        <v>533</v>
      </c>
      <c r="B539" s="10" t="s">
        <v>817</v>
      </c>
      <c r="C539" s="10" t="s">
        <v>818</v>
      </c>
      <c r="D539" s="11"/>
      <c r="E539" s="12"/>
      <c r="F539" s="11" t="n">
        <v>0.00688032407407407</v>
      </c>
      <c r="G539" s="12" t="n">
        <v>223</v>
      </c>
      <c r="H539" s="11" t="n">
        <v>0.00295289351851852</v>
      </c>
      <c r="I539" s="12" t="n">
        <v>1248</v>
      </c>
      <c r="J539" s="12" t="n">
        <f aca="false">COUNT(E539,G539,I539)</f>
        <v>2</v>
      </c>
      <c r="K539" s="13" t="n">
        <f aca="false">MIN(E539,G539,I539)</f>
        <v>223</v>
      </c>
      <c r="L539" s="9" t="str">
        <f aca="false">IF(E539=K539,"5000m",IF(G539=K539,"3000mSC","1500m"))</f>
        <v>3000mSC</v>
      </c>
      <c r="M539" s="14" t="n">
        <f aca="false">(D539&lt;&gt;"")*(D539&lt;=($E$3*60+$F$3)/86400)+(F539&lt;&gt;"")*(F539&lt;=($I$3*60+$J$3)/86400)+(H539&lt;&gt;"")*(H539&lt;=($M$3*60+$N$3)/86400)</f>
        <v>0</v>
      </c>
      <c r="N539" s="16"/>
      <c r="O539" s="15"/>
    </row>
    <row r="540" customFormat="false" ht="15" hidden="false" customHeight="false" outlineLevel="0" collapsed="false">
      <c r="A540" s="9" t="n">
        <v>534</v>
      </c>
      <c r="B540" s="10" t="s">
        <v>819</v>
      </c>
      <c r="C540" s="10" t="s">
        <v>226</v>
      </c>
      <c r="D540" s="11" t="n">
        <v>0.010369212962963</v>
      </c>
      <c r="E540" s="12" t="n">
        <v>224</v>
      </c>
      <c r="F540" s="11"/>
      <c r="G540" s="12"/>
      <c r="H540" s="11" t="n">
        <v>0.00282905092592593</v>
      </c>
      <c r="I540" s="12" t="n">
        <v>420</v>
      </c>
      <c r="J540" s="12" t="n">
        <f aca="false">COUNT(E540,G540,I540)</f>
        <v>2</v>
      </c>
      <c r="K540" s="13" t="n">
        <f aca="false">MIN(E540,G540,I540)</f>
        <v>224</v>
      </c>
      <c r="L540" s="9" t="str">
        <f aca="false">IF(E540=K540,"5000m",IF(G540=K540,"3000mSC","1500m"))</f>
        <v>5000m</v>
      </c>
      <c r="M540" s="14" t="n">
        <f aca="false">(D540&lt;&gt;"")*(D540&lt;=($E$3*60+$F$3)/86400)+(F540&lt;&gt;"")*(F540&lt;=($I$3*60+$J$3)/86400)+(H540&lt;&gt;"")*(H540&lt;=($M$3*60+$N$3)/86400)</f>
        <v>0</v>
      </c>
      <c r="N540" s="16"/>
      <c r="O540" s="15"/>
    </row>
    <row r="541" customFormat="false" ht="25.35" hidden="false" customHeight="false" outlineLevel="0" collapsed="false">
      <c r="A541" s="9" t="n">
        <v>535</v>
      </c>
      <c r="B541" s="10" t="s">
        <v>820</v>
      </c>
      <c r="C541" s="10" t="s">
        <v>821</v>
      </c>
      <c r="D541" s="11"/>
      <c r="E541" s="12"/>
      <c r="F541" s="11" t="n">
        <v>0.00688159722222222</v>
      </c>
      <c r="G541" s="12" t="n">
        <v>224</v>
      </c>
      <c r="H541" s="11" t="n">
        <v>0.00295532407407407</v>
      </c>
      <c r="I541" s="12" t="n">
        <v>1254</v>
      </c>
      <c r="J541" s="12" t="n">
        <f aca="false">COUNT(E541,G541,I541)</f>
        <v>2</v>
      </c>
      <c r="K541" s="13" t="n">
        <f aca="false">MIN(E541,G541,I541)</f>
        <v>224</v>
      </c>
      <c r="L541" s="9" t="str">
        <f aca="false">IF(E541=K541,"5000m",IF(G541=K541,"3000mSC","1500m"))</f>
        <v>3000mSC</v>
      </c>
      <c r="M541" s="14" t="n">
        <f aca="false">(D541&lt;&gt;"")*(D541&lt;=($E$3*60+$F$3)/86400)+(F541&lt;&gt;"")*(F541&lt;=($I$3*60+$J$3)/86400)+(H541&lt;&gt;"")*(H541&lt;=($M$3*60+$N$3)/86400)</f>
        <v>0</v>
      </c>
      <c r="N541" s="16"/>
      <c r="O541" s="15"/>
    </row>
    <row r="542" customFormat="false" ht="15" hidden="false" customHeight="false" outlineLevel="0" collapsed="false">
      <c r="A542" s="9" t="n">
        <v>536</v>
      </c>
      <c r="B542" s="10" t="s">
        <v>822</v>
      </c>
      <c r="C542" s="10" t="s">
        <v>823</v>
      </c>
      <c r="D542" s="11"/>
      <c r="E542" s="12"/>
      <c r="F542" s="11"/>
      <c r="G542" s="12"/>
      <c r="H542" s="11" t="n">
        <v>0.00278645833333333</v>
      </c>
      <c r="I542" s="12" t="n">
        <v>224</v>
      </c>
      <c r="J542" s="12" t="n">
        <f aca="false">COUNT(E542,G542,I542)</f>
        <v>1</v>
      </c>
      <c r="K542" s="13" t="n">
        <f aca="false">MIN(E542,G542,I542)</f>
        <v>224</v>
      </c>
      <c r="L542" s="9" t="str">
        <f aca="false">IF(E542=K542,"5000m",IF(G542=K542,"3000mSC","1500m"))</f>
        <v>1500m</v>
      </c>
      <c r="M542" s="14" t="n">
        <f aca="false">(D542&lt;&gt;"")*(D542&lt;=($E$3*60+$F$3)/86400)+(F542&lt;&gt;"")*(F542&lt;=($I$3*60+$J$3)/86400)+(H542&lt;&gt;"")*(H542&lt;=($M$3*60+$N$3)/86400)</f>
        <v>0</v>
      </c>
      <c r="N542" s="16"/>
      <c r="O542" s="15"/>
    </row>
    <row r="543" customFormat="false" ht="15" hidden="false" customHeight="false" outlineLevel="0" collapsed="false">
      <c r="A543" s="9" t="n">
        <v>537</v>
      </c>
      <c r="B543" s="10" t="s">
        <v>824</v>
      </c>
      <c r="C543" s="10" t="s">
        <v>183</v>
      </c>
      <c r="D543" s="11" t="n">
        <v>0.0103697916666667</v>
      </c>
      <c r="E543" s="12" t="n">
        <v>225</v>
      </c>
      <c r="F543" s="11"/>
      <c r="G543" s="12"/>
      <c r="H543" s="11" t="n">
        <v>0.00284270833333333</v>
      </c>
      <c r="I543" s="12" t="n">
        <v>515</v>
      </c>
      <c r="J543" s="12" t="n">
        <f aca="false">COUNT(E543,G543,I543)</f>
        <v>2</v>
      </c>
      <c r="K543" s="13" t="n">
        <f aca="false">MIN(E543,G543,I543)</f>
        <v>225</v>
      </c>
      <c r="L543" s="9" t="str">
        <f aca="false">IF(E543=K543,"5000m",IF(G543=K543,"3000mSC","1500m"))</f>
        <v>5000m</v>
      </c>
      <c r="M543" s="14" t="n">
        <f aca="false">(D543&lt;&gt;"")*(D543&lt;=($E$3*60+$F$3)/86400)+(F543&lt;&gt;"")*(F543&lt;=($I$3*60+$J$3)/86400)+(H543&lt;&gt;"")*(H543&lt;=($M$3*60+$N$3)/86400)</f>
        <v>0</v>
      </c>
      <c r="N543" s="16"/>
      <c r="O543" s="15"/>
    </row>
    <row r="544" customFormat="false" ht="15" hidden="false" customHeight="false" outlineLevel="0" collapsed="false">
      <c r="A544" s="9" t="n">
        <v>538</v>
      </c>
      <c r="B544" s="10" t="s">
        <v>825</v>
      </c>
      <c r="C544" s="10" t="s">
        <v>494</v>
      </c>
      <c r="D544" s="11"/>
      <c r="E544" s="12"/>
      <c r="F544" s="11" t="n">
        <v>0.00802141203703704</v>
      </c>
      <c r="G544" s="12" t="n">
        <v>1195</v>
      </c>
      <c r="H544" s="11" t="n">
        <v>0.00278668981481482</v>
      </c>
      <c r="I544" s="12" t="n">
        <v>225</v>
      </c>
      <c r="J544" s="12" t="n">
        <f aca="false">COUNT(E544,G544,I544)</f>
        <v>2</v>
      </c>
      <c r="K544" s="13" t="n">
        <f aca="false">MIN(E544,G544,I544)</f>
        <v>225</v>
      </c>
      <c r="L544" s="9" t="str">
        <f aca="false">IF(E544=K544,"5000m",IF(G544=K544,"3000mSC","1500m"))</f>
        <v>1500m</v>
      </c>
      <c r="M544" s="14" t="n">
        <f aca="false">(D544&lt;&gt;"")*(D544&lt;=($E$3*60+$F$3)/86400)+(F544&lt;&gt;"")*(F544&lt;=($I$3*60+$J$3)/86400)+(H544&lt;&gt;"")*(H544&lt;=($M$3*60+$N$3)/86400)</f>
        <v>0</v>
      </c>
      <c r="N544" s="16"/>
      <c r="O544" s="15"/>
    </row>
    <row r="545" customFormat="false" ht="25.35" hidden="false" customHeight="false" outlineLevel="0" collapsed="false">
      <c r="A545" s="9" t="n">
        <v>539</v>
      </c>
      <c r="B545" s="10" t="s">
        <v>826</v>
      </c>
      <c r="C545" s="10" t="s">
        <v>810</v>
      </c>
      <c r="D545" s="11"/>
      <c r="E545" s="12"/>
      <c r="F545" s="11" t="n">
        <v>0.00688541666666667</v>
      </c>
      <c r="G545" s="12" t="n">
        <v>225</v>
      </c>
      <c r="H545" s="11"/>
      <c r="I545" s="12"/>
      <c r="J545" s="12" t="n">
        <f aca="false">COUNT(E545,G545,I545)</f>
        <v>1</v>
      </c>
      <c r="K545" s="13" t="n">
        <f aca="false">MIN(E545,G545,I545)</f>
        <v>225</v>
      </c>
      <c r="L545" s="9" t="str">
        <f aca="false">IF(E545=K545,"5000m",IF(G545=K545,"3000mSC","1500m"))</f>
        <v>3000mSC</v>
      </c>
      <c r="M545" s="14" t="n">
        <f aca="false">(D545&lt;&gt;"")*(D545&lt;=($E$3*60+$F$3)/86400)+(F545&lt;&gt;"")*(F545&lt;=($I$3*60+$J$3)/86400)+(H545&lt;&gt;"")*(H545&lt;=($M$3*60+$N$3)/86400)</f>
        <v>0</v>
      </c>
      <c r="N545" s="16"/>
      <c r="O545" s="15"/>
    </row>
    <row r="546" customFormat="false" ht="25.35" hidden="false" customHeight="false" outlineLevel="0" collapsed="false">
      <c r="A546" s="9" t="n">
        <v>540</v>
      </c>
      <c r="B546" s="10" t="s">
        <v>827</v>
      </c>
      <c r="C546" s="10" t="s">
        <v>695</v>
      </c>
      <c r="D546" s="11" t="n">
        <v>0.0107394675925926</v>
      </c>
      <c r="E546" s="12" t="n">
        <v>651</v>
      </c>
      <c r="F546" s="11" t="n">
        <v>0.00688576388888889</v>
      </c>
      <c r="G546" s="12" t="n">
        <v>226</v>
      </c>
      <c r="H546" s="11" t="n">
        <v>0.00286828703703704</v>
      </c>
      <c r="I546" s="12" t="n">
        <v>684</v>
      </c>
      <c r="J546" s="12" t="n">
        <f aca="false">COUNT(E546,G546,I546)</f>
        <v>3</v>
      </c>
      <c r="K546" s="13" t="n">
        <f aca="false">MIN(E546,G546,I546)</f>
        <v>226</v>
      </c>
      <c r="L546" s="9" t="str">
        <f aca="false">IF(E546=K546,"5000m",IF(G546=K546,"3000mSC","1500m"))</f>
        <v>3000mSC</v>
      </c>
      <c r="M546" s="14" t="n">
        <f aca="false">(D546&lt;&gt;"")*(D546&lt;=($E$3*60+$F$3)/86400)+(F546&lt;&gt;"")*(F546&lt;=($I$3*60+$J$3)/86400)+(H546&lt;&gt;"")*(H546&lt;=($M$3*60+$N$3)/86400)</f>
        <v>0</v>
      </c>
      <c r="N546" s="16"/>
      <c r="O546" s="15"/>
    </row>
    <row r="547" customFormat="false" ht="15" hidden="false" customHeight="false" outlineLevel="0" collapsed="false">
      <c r="A547" s="9" t="n">
        <v>541</v>
      </c>
      <c r="B547" s="10" t="s">
        <v>828</v>
      </c>
      <c r="C547" s="10" t="s">
        <v>829</v>
      </c>
      <c r="D547" s="11"/>
      <c r="E547" s="12"/>
      <c r="F547" s="11"/>
      <c r="G547" s="12"/>
      <c r="H547" s="11" t="n">
        <v>0.00278668981481482</v>
      </c>
      <c r="I547" s="12" t="n">
        <v>226</v>
      </c>
      <c r="J547" s="12" t="n">
        <f aca="false">COUNT(E547,G547,I547)</f>
        <v>1</v>
      </c>
      <c r="K547" s="13" t="n">
        <f aca="false">MIN(E547,G547,I547)</f>
        <v>226</v>
      </c>
      <c r="L547" s="9" t="str">
        <f aca="false">IF(E547=K547,"5000m",IF(G547=K547,"3000mSC","1500m"))</f>
        <v>1500m</v>
      </c>
      <c r="M547" s="14" t="n">
        <f aca="false">(D547&lt;&gt;"")*(D547&lt;=($E$3*60+$F$3)/86400)+(F547&lt;&gt;"")*(F547&lt;=($I$3*60+$J$3)/86400)+(H547&lt;&gt;"")*(H547&lt;=($M$3*60+$N$3)/86400)</f>
        <v>0</v>
      </c>
      <c r="N547" s="16"/>
      <c r="O547" s="15"/>
    </row>
    <row r="548" customFormat="false" ht="25.35" hidden="false" customHeight="false" outlineLevel="0" collapsed="false">
      <c r="A548" s="9" t="n">
        <v>542</v>
      </c>
      <c r="B548" s="10" t="s">
        <v>830</v>
      </c>
      <c r="C548" s="10" t="s">
        <v>831</v>
      </c>
      <c r="D548" s="11" t="n">
        <v>0.0108997685185185</v>
      </c>
      <c r="E548" s="12" t="n">
        <v>921</v>
      </c>
      <c r="F548" s="11" t="n">
        <v>0.00688599537037037</v>
      </c>
      <c r="G548" s="12" t="n">
        <v>227</v>
      </c>
      <c r="H548" s="11"/>
      <c r="I548" s="12"/>
      <c r="J548" s="12" t="n">
        <f aca="false">COUNT(E548,G548,I548)</f>
        <v>2</v>
      </c>
      <c r="K548" s="13" t="n">
        <f aca="false">MIN(E548,G548,I548)</f>
        <v>227</v>
      </c>
      <c r="L548" s="9" t="str">
        <f aca="false">IF(E548=K548,"5000m",IF(G548=K548,"3000mSC","1500m"))</f>
        <v>3000mSC</v>
      </c>
      <c r="M548" s="14" t="n">
        <f aca="false">(D548&lt;&gt;"")*(D548&lt;=($E$3*60+$F$3)/86400)+(F548&lt;&gt;"")*(F548&lt;=($I$3*60+$J$3)/86400)+(H548&lt;&gt;"")*(H548&lt;=($M$3*60+$N$3)/86400)</f>
        <v>0</v>
      </c>
      <c r="N548" s="16"/>
      <c r="O548" s="15"/>
    </row>
    <row r="549" customFormat="false" ht="15" hidden="false" customHeight="false" outlineLevel="0" collapsed="false">
      <c r="A549" s="9" t="n">
        <v>543</v>
      </c>
      <c r="B549" s="10" t="s">
        <v>832</v>
      </c>
      <c r="C549" s="10" t="s">
        <v>833</v>
      </c>
      <c r="D549" s="11"/>
      <c r="E549" s="12"/>
      <c r="F549" s="11" t="n">
        <v>0.006915625</v>
      </c>
      <c r="G549" s="12" t="n">
        <v>251</v>
      </c>
      <c r="H549" s="11" t="n">
        <v>0.00278680555555556</v>
      </c>
      <c r="I549" s="12" t="n">
        <v>228</v>
      </c>
      <c r="J549" s="12" t="n">
        <f aca="false">COUNT(E549,G549,I549)</f>
        <v>2</v>
      </c>
      <c r="K549" s="13" t="n">
        <f aca="false">MIN(E549,G549,I549)</f>
        <v>228</v>
      </c>
      <c r="L549" s="9" t="str">
        <f aca="false">IF(E549=K549,"5000m",IF(G549=K549,"3000mSC","1500m"))</f>
        <v>1500m</v>
      </c>
      <c r="M549" s="14" t="n">
        <f aca="false">(D549&lt;&gt;"")*(D549&lt;=($E$3*60+$F$3)/86400)+(F549&lt;&gt;"")*(F549&lt;=($I$3*60+$J$3)/86400)+(H549&lt;&gt;"")*(H549&lt;=($M$3*60+$N$3)/86400)</f>
        <v>0</v>
      </c>
      <c r="N549" s="16"/>
      <c r="O549" s="15"/>
    </row>
    <row r="550" customFormat="false" ht="15" hidden="false" customHeight="false" outlineLevel="0" collapsed="false">
      <c r="A550" s="9" t="n">
        <v>544</v>
      </c>
      <c r="B550" s="10" t="s">
        <v>834</v>
      </c>
      <c r="C550" s="10" t="s">
        <v>660</v>
      </c>
      <c r="D550" s="11" t="n">
        <v>0.0103738425925926</v>
      </c>
      <c r="E550" s="12" t="n">
        <v>228</v>
      </c>
      <c r="F550" s="11"/>
      <c r="G550" s="12"/>
      <c r="H550" s="11" t="n">
        <v>0.00296898148148148</v>
      </c>
      <c r="I550" s="12" t="n">
        <v>1305</v>
      </c>
      <c r="J550" s="12" t="n">
        <f aca="false">COUNT(E550,G550,I550)</f>
        <v>2</v>
      </c>
      <c r="K550" s="13" t="n">
        <f aca="false">MIN(E550,G550,I550)</f>
        <v>228</v>
      </c>
      <c r="L550" s="9" t="str">
        <f aca="false">IF(E550=K550,"5000m",IF(G550=K550,"3000mSC","1500m"))</f>
        <v>5000m</v>
      </c>
      <c r="M550" s="14" t="n">
        <f aca="false">(D550&lt;&gt;"")*(D550&lt;=($E$3*60+$F$3)/86400)+(F550&lt;&gt;"")*(F550&lt;=($I$3*60+$J$3)/86400)+(H550&lt;&gt;"")*(H550&lt;=($M$3*60+$N$3)/86400)</f>
        <v>0</v>
      </c>
      <c r="N550" s="16"/>
      <c r="O550" s="15"/>
    </row>
    <row r="551" customFormat="false" ht="25.35" hidden="false" customHeight="false" outlineLevel="0" collapsed="false">
      <c r="A551" s="9" t="n">
        <v>545</v>
      </c>
      <c r="B551" s="10" t="s">
        <v>835</v>
      </c>
      <c r="C551" s="10" t="s">
        <v>836</v>
      </c>
      <c r="D551" s="11"/>
      <c r="E551" s="12"/>
      <c r="F551" s="11" t="n">
        <v>0.00688715277777778</v>
      </c>
      <c r="G551" s="12" t="n">
        <v>228</v>
      </c>
      <c r="H551" s="11"/>
      <c r="I551" s="12"/>
      <c r="J551" s="12" t="n">
        <f aca="false">COUNT(E551,G551,I551)</f>
        <v>1</v>
      </c>
      <c r="K551" s="13" t="n">
        <f aca="false">MIN(E551,G551,I551)</f>
        <v>228</v>
      </c>
      <c r="L551" s="9" t="str">
        <f aca="false">IF(E551=K551,"5000m",IF(G551=K551,"3000mSC","1500m"))</f>
        <v>3000mSC</v>
      </c>
      <c r="M551" s="14" t="n">
        <f aca="false">(D551&lt;&gt;"")*(D551&lt;=($E$3*60+$F$3)/86400)+(F551&lt;&gt;"")*(F551&lt;=($I$3*60+$J$3)/86400)+(H551&lt;&gt;"")*(H551&lt;=($M$3*60+$N$3)/86400)</f>
        <v>0</v>
      </c>
      <c r="N551" s="16"/>
      <c r="O551" s="15"/>
    </row>
    <row r="552" customFormat="false" ht="25.35" hidden="false" customHeight="false" outlineLevel="0" collapsed="false">
      <c r="A552" s="9" t="n">
        <v>546</v>
      </c>
      <c r="B552" s="10" t="s">
        <v>837</v>
      </c>
      <c r="C552" s="10" t="s">
        <v>49</v>
      </c>
      <c r="D552" s="11" t="n">
        <v>0.0105482638888889</v>
      </c>
      <c r="E552" s="12" t="n">
        <v>397</v>
      </c>
      <c r="F552" s="11" t="n">
        <v>0.00688796296296296</v>
      </c>
      <c r="G552" s="12" t="n">
        <v>229</v>
      </c>
      <c r="H552" s="11"/>
      <c r="I552" s="12"/>
      <c r="J552" s="12" t="n">
        <f aca="false">COUNT(E552,G552,I552)</f>
        <v>2</v>
      </c>
      <c r="K552" s="13" t="n">
        <f aca="false">MIN(E552,G552,I552)</f>
        <v>229</v>
      </c>
      <c r="L552" s="9" t="str">
        <f aca="false">IF(E552=K552,"5000m",IF(G552=K552,"3000mSC","1500m"))</f>
        <v>3000mSC</v>
      </c>
      <c r="M552" s="14" t="n">
        <f aca="false">(D552&lt;&gt;"")*(D552&lt;=($E$3*60+$F$3)/86400)+(F552&lt;&gt;"")*(F552&lt;=($I$3*60+$J$3)/86400)+(H552&lt;&gt;"")*(H552&lt;=($M$3*60+$N$3)/86400)</f>
        <v>0</v>
      </c>
      <c r="N552" s="16"/>
      <c r="O552" s="15"/>
    </row>
    <row r="553" customFormat="false" ht="25.35" hidden="false" customHeight="false" outlineLevel="0" collapsed="false">
      <c r="A553" s="9" t="n">
        <v>547</v>
      </c>
      <c r="B553" s="10" t="s">
        <v>838</v>
      </c>
      <c r="C553" s="10" t="s">
        <v>263</v>
      </c>
      <c r="D553" s="11" t="n">
        <v>0.0104148148148148</v>
      </c>
      <c r="E553" s="12" t="n">
        <v>281</v>
      </c>
      <c r="F553" s="11" t="n">
        <v>0.00688854166666667</v>
      </c>
      <c r="G553" s="12" t="n">
        <v>230</v>
      </c>
      <c r="H553" s="11" t="n">
        <v>0.00287662037037037</v>
      </c>
      <c r="I553" s="12" t="n">
        <v>743</v>
      </c>
      <c r="J553" s="12" t="n">
        <f aca="false">COUNT(E553,G553,I553)</f>
        <v>3</v>
      </c>
      <c r="K553" s="13" t="n">
        <f aca="false">MIN(E553,G553,I553)</f>
        <v>230</v>
      </c>
      <c r="L553" s="9" t="str">
        <f aca="false">IF(E553=K553,"5000m",IF(G553=K553,"3000mSC","1500m"))</f>
        <v>3000mSC</v>
      </c>
      <c r="M553" s="14" t="n">
        <f aca="false">(D553&lt;&gt;"")*(D553&lt;=($E$3*60+$F$3)/86400)+(F553&lt;&gt;"")*(F553&lt;=($I$3*60+$J$3)/86400)+(H553&lt;&gt;"")*(H553&lt;=($M$3*60+$N$3)/86400)</f>
        <v>0</v>
      </c>
      <c r="N553" s="16"/>
      <c r="O553" s="15"/>
    </row>
    <row r="554" customFormat="false" ht="15" hidden="false" customHeight="false" outlineLevel="0" collapsed="false">
      <c r="A554" s="9" t="n">
        <v>548</v>
      </c>
      <c r="B554" s="10" t="s">
        <v>839</v>
      </c>
      <c r="C554" s="10" t="s">
        <v>840</v>
      </c>
      <c r="D554" s="11" t="n">
        <v>0.0103746527777778</v>
      </c>
      <c r="E554" s="12" t="n">
        <v>230</v>
      </c>
      <c r="F554" s="11"/>
      <c r="G554" s="12"/>
      <c r="H554" s="11" t="n">
        <v>0.00280636574074074</v>
      </c>
      <c r="I554" s="12" t="n">
        <v>308</v>
      </c>
      <c r="J554" s="12" t="n">
        <f aca="false">COUNT(E554,G554,I554)</f>
        <v>2</v>
      </c>
      <c r="K554" s="13" t="n">
        <f aca="false">MIN(E554,G554,I554)</f>
        <v>230</v>
      </c>
      <c r="L554" s="9" t="str">
        <f aca="false">IF(E554=K554,"5000m",IF(G554=K554,"3000mSC","1500m"))</f>
        <v>5000m</v>
      </c>
      <c r="M554" s="14" t="n">
        <f aca="false">(D554&lt;&gt;"")*(D554&lt;=($E$3*60+$F$3)/86400)+(F554&lt;&gt;"")*(F554&lt;=($I$3*60+$J$3)/86400)+(H554&lt;&gt;"")*(H554&lt;=($M$3*60+$N$3)/86400)</f>
        <v>0</v>
      </c>
      <c r="N554" s="16"/>
      <c r="O554" s="15"/>
    </row>
    <row r="555" customFormat="false" ht="15" hidden="false" customHeight="false" outlineLevel="0" collapsed="false">
      <c r="A555" s="9" t="n">
        <v>549</v>
      </c>
      <c r="B555" s="10" t="s">
        <v>841</v>
      </c>
      <c r="C555" s="10" t="s">
        <v>714</v>
      </c>
      <c r="D555" s="11" t="n">
        <v>0.0105912037037037</v>
      </c>
      <c r="E555" s="12" t="n">
        <v>457</v>
      </c>
      <c r="F555" s="11"/>
      <c r="G555" s="12"/>
      <c r="H555" s="11" t="n">
        <v>0.00278680555555556</v>
      </c>
      <c r="I555" s="12" t="n">
        <v>230</v>
      </c>
      <c r="J555" s="12" t="n">
        <f aca="false">COUNT(E555,G555,I555)</f>
        <v>2</v>
      </c>
      <c r="K555" s="13" t="n">
        <f aca="false">MIN(E555,G555,I555)</f>
        <v>230</v>
      </c>
      <c r="L555" s="9" t="str">
        <f aca="false">IF(E555=K555,"5000m",IF(G555=K555,"3000mSC","1500m"))</f>
        <v>1500m</v>
      </c>
      <c r="M555" s="14" t="n">
        <f aca="false">(D555&lt;&gt;"")*(D555&lt;=($E$3*60+$F$3)/86400)+(F555&lt;&gt;"")*(F555&lt;=($I$3*60+$J$3)/86400)+(H555&lt;&gt;"")*(H555&lt;=($M$3*60+$N$3)/86400)</f>
        <v>0</v>
      </c>
      <c r="N555" s="16"/>
      <c r="O555" s="15"/>
    </row>
    <row r="556" customFormat="false" ht="15" hidden="false" customHeight="false" outlineLevel="0" collapsed="false">
      <c r="A556" s="9" t="n">
        <v>550</v>
      </c>
      <c r="B556" s="10" t="s">
        <v>842</v>
      </c>
      <c r="C556" s="10" t="s">
        <v>312</v>
      </c>
      <c r="D556" s="11" t="n">
        <v>0.0103753472222222</v>
      </c>
      <c r="E556" s="12" t="n">
        <v>231</v>
      </c>
      <c r="F556" s="11"/>
      <c r="G556" s="12"/>
      <c r="H556" s="11" t="n">
        <v>0.0027912037037037</v>
      </c>
      <c r="I556" s="12" t="n">
        <v>246</v>
      </c>
      <c r="J556" s="12" t="n">
        <f aca="false">COUNT(E556,G556,I556)</f>
        <v>2</v>
      </c>
      <c r="K556" s="13" t="n">
        <f aca="false">MIN(E556,G556,I556)</f>
        <v>231</v>
      </c>
      <c r="L556" s="9" t="str">
        <f aca="false">IF(E556=K556,"5000m",IF(G556=K556,"3000mSC","1500m"))</f>
        <v>5000m</v>
      </c>
      <c r="M556" s="14" t="n">
        <f aca="false">(D556&lt;&gt;"")*(D556&lt;=($E$3*60+$F$3)/86400)+(F556&lt;&gt;"")*(F556&lt;=($I$3*60+$J$3)/86400)+(H556&lt;&gt;"")*(H556&lt;=($M$3*60+$N$3)/86400)</f>
        <v>0</v>
      </c>
      <c r="N556" s="16"/>
      <c r="O556" s="15"/>
    </row>
    <row r="557" customFormat="false" ht="15" hidden="false" customHeight="false" outlineLevel="0" collapsed="false">
      <c r="A557" s="9" t="n">
        <v>551</v>
      </c>
      <c r="B557" s="10" t="s">
        <v>843</v>
      </c>
      <c r="C557" s="10" t="s">
        <v>844</v>
      </c>
      <c r="D557" s="11" t="n">
        <v>0.0105298611111111</v>
      </c>
      <c r="E557" s="12" t="n">
        <v>371</v>
      </c>
      <c r="F557" s="11"/>
      <c r="G557" s="12"/>
      <c r="H557" s="11" t="n">
        <v>0.00278726851851852</v>
      </c>
      <c r="I557" s="12" t="n">
        <v>231</v>
      </c>
      <c r="J557" s="12" t="n">
        <f aca="false">COUNT(E557,G557,I557)</f>
        <v>2</v>
      </c>
      <c r="K557" s="13" t="n">
        <f aca="false">MIN(E557,G557,I557)</f>
        <v>231</v>
      </c>
      <c r="L557" s="9" t="str">
        <f aca="false">IF(E557=K557,"5000m",IF(G557=K557,"3000mSC","1500m"))</f>
        <v>1500m</v>
      </c>
      <c r="M557" s="14" t="n">
        <f aca="false">(D557&lt;&gt;"")*(D557&lt;=($E$3*60+$F$3)/86400)+(F557&lt;&gt;"")*(F557&lt;=($I$3*60+$J$3)/86400)+(H557&lt;&gt;"")*(H557&lt;=($M$3*60+$N$3)/86400)</f>
        <v>0</v>
      </c>
      <c r="N557" s="16"/>
      <c r="O557" s="15"/>
    </row>
    <row r="558" customFormat="false" ht="25.35" hidden="false" customHeight="false" outlineLevel="0" collapsed="false">
      <c r="A558" s="9" t="n">
        <v>552</v>
      </c>
      <c r="B558" s="10" t="s">
        <v>845</v>
      </c>
      <c r="C558" s="10" t="s">
        <v>846</v>
      </c>
      <c r="D558" s="11"/>
      <c r="E558" s="12"/>
      <c r="F558" s="11" t="n">
        <v>0.00689131944444444</v>
      </c>
      <c r="G558" s="12" t="n">
        <v>231</v>
      </c>
      <c r="H558" s="11" t="n">
        <v>0.00291990740740741</v>
      </c>
      <c r="I558" s="12" t="n">
        <v>1095</v>
      </c>
      <c r="J558" s="12" t="n">
        <f aca="false">COUNT(E558,G558,I558)</f>
        <v>2</v>
      </c>
      <c r="K558" s="13" t="n">
        <f aca="false">MIN(E558,G558,I558)</f>
        <v>231</v>
      </c>
      <c r="L558" s="9" t="str">
        <f aca="false">IF(E558=K558,"5000m",IF(G558=K558,"3000mSC","1500m"))</f>
        <v>3000mSC</v>
      </c>
      <c r="M558" s="14" t="n">
        <f aca="false">(D558&lt;&gt;"")*(D558&lt;=($E$3*60+$F$3)/86400)+(F558&lt;&gt;"")*(F558&lt;=($I$3*60+$J$3)/86400)+(H558&lt;&gt;"")*(H558&lt;=($M$3*60+$N$3)/86400)</f>
        <v>0</v>
      </c>
      <c r="N558" s="16"/>
      <c r="O558" s="15"/>
    </row>
    <row r="559" customFormat="false" ht="15" hidden="false" customHeight="false" outlineLevel="0" collapsed="false">
      <c r="A559" s="9" t="n">
        <v>553</v>
      </c>
      <c r="B559" s="10" t="s">
        <v>847</v>
      </c>
      <c r="C559" s="10" t="s">
        <v>848</v>
      </c>
      <c r="D559" s="11" t="n">
        <v>0.0103755787037037</v>
      </c>
      <c r="E559" s="12" t="n">
        <v>232</v>
      </c>
      <c r="F559" s="11"/>
      <c r="G559" s="12"/>
      <c r="H559" s="11" t="n">
        <v>0.00278877314814815</v>
      </c>
      <c r="I559" s="12" t="n">
        <v>236</v>
      </c>
      <c r="J559" s="12" t="n">
        <f aca="false">COUNT(E559,G559,I559)</f>
        <v>2</v>
      </c>
      <c r="K559" s="13" t="n">
        <f aca="false">MIN(E559,G559,I559)</f>
        <v>232</v>
      </c>
      <c r="L559" s="9" t="str">
        <f aca="false">IF(E559=K559,"5000m",IF(G559=K559,"3000mSC","1500m"))</f>
        <v>5000m</v>
      </c>
      <c r="M559" s="14" t="n">
        <f aca="false">(D559&lt;&gt;"")*(D559&lt;=($E$3*60+$F$3)/86400)+(F559&lt;&gt;"")*(F559&lt;=($I$3*60+$J$3)/86400)+(H559&lt;&gt;"")*(H559&lt;=($M$3*60+$N$3)/86400)</f>
        <v>0</v>
      </c>
      <c r="N559" s="16"/>
      <c r="O559" s="15"/>
    </row>
    <row r="560" customFormat="false" ht="15" hidden="false" customHeight="false" outlineLevel="0" collapsed="false">
      <c r="A560" s="9" t="n">
        <v>554</v>
      </c>
      <c r="B560" s="10" t="s">
        <v>849</v>
      </c>
      <c r="C560" s="10" t="s">
        <v>850</v>
      </c>
      <c r="D560" s="11" t="n">
        <v>0.0110318287037037</v>
      </c>
      <c r="E560" s="12" t="n">
        <v>1155</v>
      </c>
      <c r="F560" s="11"/>
      <c r="G560" s="12"/>
      <c r="H560" s="11" t="n">
        <v>0.0027875</v>
      </c>
      <c r="I560" s="12" t="n">
        <v>232</v>
      </c>
      <c r="J560" s="12" t="n">
        <f aca="false">COUNT(E560,G560,I560)</f>
        <v>2</v>
      </c>
      <c r="K560" s="13" t="n">
        <f aca="false">MIN(E560,G560,I560)</f>
        <v>232</v>
      </c>
      <c r="L560" s="9" t="str">
        <f aca="false">IF(E560=K560,"5000m",IF(G560=K560,"3000mSC","1500m"))</f>
        <v>1500m</v>
      </c>
      <c r="M560" s="14" t="n">
        <f aca="false">(D560&lt;&gt;"")*(D560&lt;=($E$3*60+$F$3)/86400)+(F560&lt;&gt;"")*(F560&lt;=($I$3*60+$J$3)/86400)+(H560&lt;&gt;"")*(H560&lt;=($M$3*60+$N$3)/86400)</f>
        <v>0</v>
      </c>
      <c r="N560" s="16"/>
      <c r="O560" s="15"/>
    </row>
    <row r="561" customFormat="false" ht="25.35" hidden="false" customHeight="false" outlineLevel="0" collapsed="false">
      <c r="A561" s="9" t="n">
        <v>555</v>
      </c>
      <c r="B561" s="10" t="s">
        <v>851</v>
      </c>
      <c r="C561" s="10" t="s">
        <v>387</v>
      </c>
      <c r="D561" s="11"/>
      <c r="E561" s="12"/>
      <c r="F561" s="11" t="n">
        <v>0.00689178240740741</v>
      </c>
      <c r="G561" s="12" t="n">
        <v>232</v>
      </c>
      <c r="H561" s="11"/>
      <c r="I561" s="12"/>
      <c r="J561" s="12" t="n">
        <f aca="false">COUNT(E561,G561,I561)</f>
        <v>1</v>
      </c>
      <c r="K561" s="13" t="n">
        <f aca="false">MIN(E561,G561,I561)</f>
        <v>232</v>
      </c>
      <c r="L561" s="9" t="str">
        <f aca="false">IF(E561=K561,"5000m",IF(G561=K561,"3000mSC","1500m"))</f>
        <v>3000mSC</v>
      </c>
      <c r="M561" s="14" t="n">
        <f aca="false">(D561&lt;&gt;"")*(D561&lt;=($E$3*60+$F$3)/86400)+(F561&lt;&gt;"")*(F561&lt;=($I$3*60+$J$3)/86400)+(H561&lt;&gt;"")*(H561&lt;=($M$3*60+$N$3)/86400)</f>
        <v>0</v>
      </c>
      <c r="N561" s="16"/>
      <c r="O561" s="15"/>
    </row>
    <row r="562" customFormat="false" ht="25.35" hidden="false" customHeight="false" outlineLevel="0" collapsed="false">
      <c r="A562" s="9" t="n">
        <v>556</v>
      </c>
      <c r="B562" s="10" t="s">
        <v>852</v>
      </c>
      <c r="C562" s="10" t="s">
        <v>363</v>
      </c>
      <c r="D562" s="11"/>
      <c r="E562" s="12"/>
      <c r="F562" s="11" t="n">
        <v>0.00689236111111111</v>
      </c>
      <c r="G562" s="12" t="n">
        <v>233</v>
      </c>
      <c r="H562" s="11" t="n">
        <v>0.0029693287037037</v>
      </c>
      <c r="I562" s="12" t="n">
        <v>1307</v>
      </c>
      <c r="J562" s="12" t="n">
        <f aca="false">COUNT(E562,G562,I562)</f>
        <v>2</v>
      </c>
      <c r="K562" s="13" t="n">
        <f aca="false">MIN(E562,G562,I562)</f>
        <v>233</v>
      </c>
      <c r="L562" s="9" t="str">
        <f aca="false">IF(E562=K562,"5000m",IF(G562=K562,"3000mSC","1500m"))</f>
        <v>3000mSC</v>
      </c>
      <c r="M562" s="14" t="n">
        <f aca="false">(D562&lt;&gt;"")*(D562&lt;=($E$3*60+$F$3)/86400)+(F562&lt;&gt;"")*(F562&lt;=($I$3*60+$J$3)/86400)+(H562&lt;&gt;"")*(H562&lt;=($M$3*60+$N$3)/86400)</f>
        <v>0</v>
      </c>
      <c r="N562" s="16"/>
      <c r="O562" s="15"/>
    </row>
    <row r="563" customFormat="false" ht="25.35" hidden="false" customHeight="false" outlineLevel="0" collapsed="false">
      <c r="A563" s="9" t="n">
        <v>557</v>
      </c>
      <c r="B563" s="10" t="s">
        <v>853</v>
      </c>
      <c r="C563" s="10" t="s">
        <v>854</v>
      </c>
      <c r="D563" s="11" t="n">
        <v>0.0110612268518519</v>
      </c>
      <c r="E563" s="12" t="n">
        <v>1220</v>
      </c>
      <c r="F563" s="11" t="n">
        <v>0.00689340277777778</v>
      </c>
      <c r="G563" s="12" t="n">
        <v>234</v>
      </c>
      <c r="H563" s="11" t="n">
        <v>0.00296643518518519</v>
      </c>
      <c r="I563" s="12" t="n">
        <v>1298</v>
      </c>
      <c r="J563" s="12" t="n">
        <f aca="false">COUNT(E563,G563,I563)</f>
        <v>3</v>
      </c>
      <c r="K563" s="13" t="n">
        <f aca="false">MIN(E563,G563,I563)</f>
        <v>234</v>
      </c>
      <c r="L563" s="9" t="str">
        <f aca="false">IF(E563=K563,"5000m",IF(G563=K563,"3000mSC","1500m"))</f>
        <v>3000mSC</v>
      </c>
      <c r="M563" s="14" t="n">
        <f aca="false">(D563&lt;&gt;"")*(D563&lt;=($E$3*60+$F$3)/86400)+(F563&lt;&gt;"")*(F563&lt;=($I$3*60+$J$3)/86400)+(H563&lt;&gt;"")*(H563&lt;=($M$3*60+$N$3)/86400)</f>
        <v>0</v>
      </c>
      <c r="N563" s="16"/>
      <c r="O563" s="15"/>
    </row>
    <row r="564" customFormat="false" ht="15" hidden="false" customHeight="false" outlineLevel="0" collapsed="false">
      <c r="A564" s="9" t="n">
        <v>558</v>
      </c>
      <c r="B564" s="10" t="s">
        <v>855</v>
      </c>
      <c r="C564" s="10" t="s">
        <v>363</v>
      </c>
      <c r="D564" s="11"/>
      <c r="E564" s="12"/>
      <c r="F564" s="11" t="n">
        <v>0.00695833333333333</v>
      </c>
      <c r="G564" s="12" t="n">
        <v>291</v>
      </c>
      <c r="H564" s="11" t="n">
        <v>0.00278819444444445</v>
      </c>
      <c r="I564" s="12" t="n">
        <v>234</v>
      </c>
      <c r="J564" s="12" t="n">
        <f aca="false">COUNT(E564,G564,I564)</f>
        <v>2</v>
      </c>
      <c r="K564" s="13" t="n">
        <f aca="false">MIN(E564,G564,I564)</f>
        <v>234</v>
      </c>
      <c r="L564" s="9" t="str">
        <f aca="false">IF(E564=K564,"5000m",IF(G564=K564,"3000mSC","1500m"))</f>
        <v>1500m</v>
      </c>
      <c r="M564" s="14" t="n">
        <f aca="false">(D564&lt;&gt;"")*(D564&lt;=($E$3*60+$F$3)/86400)+(F564&lt;&gt;"")*(F564&lt;=($I$3*60+$J$3)/86400)+(H564&lt;&gt;"")*(H564&lt;=($M$3*60+$N$3)/86400)</f>
        <v>0</v>
      </c>
      <c r="N564" s="16"/>
      <c r="O564" s="15"/>
    </row>
    <row r="565" customFormat="false" ht="15" hidden="false" customHeight="false" outlineLevel="0" collapsed="false">
      <c r="A565" s="9" t="n">
        <v>559</v>
      </c>
      <c r="B565" s="10" t="s">
        <v>856</v>
      </c>
      <c r="C565" s="10" t="s">
        <v>857</v>
      </c>
      <c r="D565" s="11" t="n">
        <v>0.0103759259259259</v>
      </c>
      <c r="E565" s="12" t="n">
        <v>234</v>
      </c>
      <c r="F565" s="11"/>
      <c r="G565" s="12"/>
      <c r="H565" s="11" t="n">
        <v>0.00285034722222222</v>
      </c>
      <c r="I565" s="12" t="n">
        <v>571</v>
      </c>
      <c r="J565" s="12" t="n">
        <f aca="false">COUNT(E565,G565,I565)</f>
        <v>2</v>
      </c>
      <c r="K565" s="13" t="n">
        <f aca="false">MIN(E565,G565,I565)</f>
        <v>234</v>
      </c>
      <c r="L565" s="9" t="str">
        <f aca="false">IF(E565=K565,"5000m",IF(G565=K565,"3000mSC","1500m"))</f>
        <v>5000m</v>
      </c>
      <c r="M565" s="14" t="n">
        <f aca="false">(D565&lt;&gt;"")*(D565&lt;=($E$3*60+$F$3)/86400)+(F565&lt;&gt;"")*(F565&lt;=($I$3*60+$J$3)/86400)+(H565&lt;&gt;"")*(H565&lt;=($M$3*60+$N$3)/86400)</f>
        <v>0</v>
      </c>
      <c r="N565" s="16"/>
      <c r="O565" s="15"/>
    </row>
    <row r="566" customFormat="false" ht="25.35" hidden="false" customHeight="false" outlineLevel="0" collapsed="false">
      <c r="A566" s="9" t="n">
        <v>560</v>
      </c>
      <c r="B566" s="10" t="s">
        <v>858</v>
      </c>
      <c r="C566" s="10" t="s">
        <v>242</v>
      </c>
      <c r="D566" s="11" t="n">
        <v>0.0110020833333333</v>
      </c>
      <c r="E566" s="12" t="n">
        <v>1098</v>
      </c>
      <c r="F566" s="11" t="n">
        <v>0.00689513888888889</v>
      </c>
      <c r="G566" s="12" t="n">
        <v>235</v>
      </c>
      <c r="H566" s="11" t="n">
        <v>0.00285775462962963</v>
      </c>
      <c r="I566" s="12" t="n">
        <v>621</v>
      </c>
      <c r="J566" s="12" t="n">
        <f aca="false">COUNT(E566,G566,I566)</f>
        <v>3</v>
      </c>
      <c r="K566" s="13" t="n">
        <f aca="false">MIN(E566,G566,I566)</f>
        <v>235</v>
      </c>
      <c r="L566" s="9" t="str">
        <f aca="false">IF(E566=K566,"5000m",IF(G566=K566,"3000mSC","1500m"))</f>
        <v>3000mSC</v>
      </c>
      <c r="M566" s="14" t="n">
        <f aca="false">(D566&lt;&gt;"")*(D566&lt;=($E$3*60+$F$3)/86400)+(F566&lt;&gt;"")*(F566&lt;=($I$3*60+$J$3)/86400)+(H566&lt;&gt;"")*(H566&lt;=($M$3*60+$N$3)/86400)</f>
        <v>0</v>
      </c>
      <c r="N566" s="16"/>
      <c r="O566" s="15"/>
    </row>
    <row r="567" customFormat="false" ht="15" hidden="false" customHeight="false" outlineLevel="0" collapsed="false">
      <c r="A567" s="9" t="n">
        <v>561</v>
      </c>
      <c r="B567" s="10" t="s">
        <v>859</v>
      </c>
      <c r="C567" s="10" t="s">
        <v>27</v>
      </c>
      <c r="D567" s="11" t="n">
        <v>0.0103759259259259</v>
      </c>
      <c r="E567" s="12" t="n">
        <v>235</v>
      </c>
      <c r="F567" s="11"/>
      <c r="G567" s="12"/>
      <c r="H567" s="11"/>
      <c r="I567" s="12"/>
      <c r="J567" s="12" t="n">
        <f aca="false">COUNT(E567,G567,I567)</f>
        <v>1</v>
      </c>
      <c r="K567" s="13" t="n">
        <f aca="false">MIN(E567,G567,I567)</f>
        <v>235</v>
      </c>
      <c r="L567" s="9" t="str">
        <f aca="false">IF(E567=K567,"5000m",IF(G567=K567,"3000mSC","1500m"))</f>
        <v>5000m</v>
      </c>
      <c r="M567" s="14" t="n">
        <f aca="false">(D567&lt;&gt;"")*(D567&lt;=($E$3*60+$F$3)/86400)+(F567&lt;&gt;"")*(F567&lt;=($I$3*60+$J$3)/86400)+(H567&lt;&gt;"")*(H567&lt;=($M$3*60+$N$3)/86400)</f>
        <v>0</v>
      </c>
      <c r="N567" s="16"/>
      <c r="O567" s="15"/>
    </row>
    <row r="568" customFormat="false" ht="15" hidden="false" customHeight="false" outlineLevel="0" collapsed="false">
      <c r="A568" s="9" t="n">
        <v>562</v>
      </c>
      <c r="B568" s="10" t="s">
        <v>860</v>
      </c>
      <c r="C568" s="10" t="s">
        <v>861</v>
      </c>
      <c r="D568" s="11"/>
      <c r="E568" s="12"/>
      <c r="F568" s="11"/>
      <c r="G568" s="12"/>
      <c r="H568" s="11" t="n">
        <v>0.00278842592592593</v>
      </c>
      <c r="I568" s="12" t="n">
        <v>235</v>
      </c>
      <c r="J568" s="12" t="n">
        <f aca="false">COUNT(E568,G568,I568)</f>
        <v>1</v>
      </c>
      <c r="K568" s="13" t="n">
        <f aca="false">MIN(E568,G568,I568)</f>
        <v>235</v>
      </c>
      <c r="L568" s="9" t="str">
        <f aca="false">IF(E568=K568,"5000m",IF(G568=K568,"3000mSC","1500m"))</f>
        <v>1500m</v>
      </c>
      <c r="M568" s="14" t="n">
        <f aca="false">(D568&lt;&gt;"")*(D568&lt;=($E$3*60+$F$3)/86400)+(F568&lt;&gt;"")*(F568&lt;=($I$3*60+$J$3)/86400)+(H568&lt;&gt;"")*(H568&lt;=($M$3*60+$N$3)/86400)</f>
        <v>0</v>
      </c>
      <c r="N568" s="16"/>
      <c r="O568" s="15"/>
    </row>
    <row r="569" customFormat="false" ht="25.35" hidden="false" customHeight="false" outlineLevel="0" collapsed="false">
      <c r="A569" s="9" t="n">
        <v>563</v>
      </c>
      <c r="B569" s="10" t="s">
        <v>862</v>
      </c>
      <c r="C569" s="10" t="s">
        <v>124</v>
      </c>
      <c r="D569" s="11" t="n">
        <v>0.0106119212962963</v>
      </c>
      <c r="E569" s="12" t="n">
        <v>479</v>
      </c>
      <c r="F569" s="11" t="n">
        <v>0.00689525462962963</v>
      </c>
      <c r="G569" s="12" t="n">
        <v>236</v>
      </c>
      <c r="H569" s="11"/>
      <c r="I569" s="12"/>
      <c r="J569" s="12" t="n">
        <f aca="false">COUNT(E569,G569,I569)</f>
        <v>2</v>
      </c>
      <c r="K569" s="13" t="n">
        <f aca="false">MIN(E569,G569,I569)</f>
        <v>236</v>
      </c>
      <c r="L569" s="9" t="str">
        <f aca="false">IF(E569=K569,"5000m",IF(G569=K569,"3000mSC","1500m"))</f>
        <v>3000mSC</v>
      </c>
      <c r="M569" s="14" t="n">
        <f aca="false">(D569&lt;&gt;"")*(D569&lt;=($E$3*60+$F$3)/86400)+(F569&lt;&gt;"")*(F569&lt;=($I$3*60+$J$3)/86400)+(H569&lt;&gt;"")*(H569&lt;=($M$3*60+$N$3)/86400)</f>
        <v>0</v>
      </c>
      <c r="N569" s="16"/>
      <c r="O569" s="15"/>
    </row>
    <row r="570" customFormat="false" ht="25.35" hidden="false" customHeight="false" outlineLevel="0" collapsed="false">
      <c r="A570" s="9" t="n">
        <v>564</v>
      </c>
      <c r="B570" s="10" t="s">
        <v>863</v>
      </c>
      <c r="C570" s="10" t="s">
        <v>85</v>
      </c>
      <c r="D570" s="11"/>
      <c r="E570" s="12"/>
      <c r="F570" s="11" t="n">
        <v>0.00689525462962963</v>
      </c>
      <c r="G570" s="12" t="n">
        <v>237</v>
      </c>
      <c r="H570" s="11"/>
      <c r="I570" s="12"/>
      <c r="J570" s="12" t="n">
        <f aca="false">COUNT(E570,G570,I570)</f>
        <v>1</v>
      </c>
      <c r="K570" s="13" t="n">
        <f aca="false">MIN(E570,G570,I570)</f>
        <v>237</v>
      </c>
      <c r="L570" s="9" t="str">
        <f aca="false">IF(E570=K570,"5000m",IF(G570=K570,"3000mSC","1500m"))</f>
        <v>3000mSC</v>
      </c>
      <c r="M570" s="14" t="n">
        <f aca="false">(D570&lt;&gt;"")*(D570&lt;=($E$3*60+$F$3)/86400)+(F570&lt;&gt;"")*(F570&lt;=($I$3*60+$J$3)/86400)+(H570&lt;&gt;"")*(H570&lt;=($M$3*60+$N$3)/86400)</f>
        <v>0</v>
      </c>
      <c r="N570" s="16"/>
      <c r="O570" s="15"/>
    </row>
    <row r="571" customFormat="false" ht="25.35" hidden="false" customHeight="false" outlineLevel="0" collapsed="false">
      <c r="A571" s="9" t="n">
        <v>565</v>
      </c>
      <c r="B571" s="10" t="s">
        <v>864</v>
      </c>
      <c r="C571" s="10" t="s">
        <v>865</v>
      </c>
      <c r="D571" s="11"/>
      <c r="E571" s="12"/>
      <c r="F571" s="11" t="n">
        <v>0.00689710648148148</v>
      </c>
      <c r="G571" s="12" t="n">
        <v>238</v>
      </c>
      <c r="H571" s="11" t="n">
        <v>0.00291215277777778</v>
      </c>
      <c r="I571" s="12" t="n">
        <v>1038</v>
      </c>
      <c r="J571" s="12" t="n">
        <f aca="false">COUNT(E571,G571,I571)</f>
        <v>2</v>
      </c>
      <c r="K571" s="13" t="n">
        <f aca="false">MIN(E571,G571,I571)</f>
        <v>238</v>
      </c>
      <c r="L571" s="9" t="str">
        <f aca="false">IF(E571=K571,"5000m",IF(G571=K571,"3000mSC","1500m"))</f>
        <v>3000mSC</v>
      </c>
      <c r="M571" s="14" t="n">
        <f aca="false">(D571&lt;&gt;"")*(D571&lt;=($E$3*60+$F$3)/86400)+(F571&lt;&gt;"")*(F571&lt;=($I$3*60+$J$3)/86400)+(H571&lt;&gt;"")*(H571&lt;=($M$3*60+$N$3)/86400)</f>
        <v>0</v>
      </c>
      <c r="N571" s="16"/>
      <c r="O571" s="15"/>
    </row>
    <row r="572" customFormat="false" ht="15" hidden="false" customHeight="false" outlineLevel="0" collapsed="false">
      <c r="A572" s="9" t="n">
        <v>566</v>
      </c>
      <c r="B572" s="10" t="s">
        <v>866</v>
      </c>
      <c r="C572" s="10" t="s">
        <v>460</v>
      </c>
      <c r="D572" s="11"/>
      <c r="E572" s="12"/>
      <c r="F572" s="11"/>
      <c r="G572" s="12"/>
      <c r="H572" s="11" t="n">
        <v>0.00278923611111111</v>
      </c>
      <c r="I572" s="12" t="n">
        <v>238</v>
      </c>
      <c r="J572" s="12" t="n">
        <f aca="false">COUNT(E572,G572,I572)</f>
        <v>1</v>
      </c>
      <c r="K572" s="13" t="n">
        <f aca="false">MIN(E572,G572,I572)</f>
        <v>238</v>
      </c>
      <c r="L572" s="9" t="str">
        <f aca="false">IF(E572=K572,"5000m",IF(G572=K572,"3000mSC","1500m"))</f>
        <v>1500m</v>
      </c>
      <c r="M572" s="14" t="n">
        <f aca="false">(D572&lt;&gt;"")*(D572&lt;=($E$3*60+$F$3)/86400)+(F572&lt;&gt;"")*(F572&lt;=($I$3*60+$J$3)/86400)+(H572&lt;&gt;"")*(H572&lt;=($M$3*60+$N$3)/86400)</f>
        <v>0</v>
      </c>
      <c r="N572" s="16"/>
      <c r="O572" s="15"/>
    </row>
    <row r="573" customFormat="false" ht="25.35" hidden="false" customHeight="false" outlineLevel="0" collapsed="false">
      <c r="A573" s="9" t="n">
        <v>567</v>
      </c>
      <c r="B573" s="10" t="s">
        <v>867</v>
      </c>
      <c r="C573" s="10" t="s">
        <v>302</v>
      </c>
      <c r="D573" s="11" t="n">
        <v>0.0109295138888889</v>
      </c>
      <c r="E573" s="12" t="n">
        <v>966</v>
      </c>
      <c r="F573" s="11" t="n">
        <v>0.00689884259259259</v>
      </c>
      <c r="G573" s="12" t="n">
        <v>239</v>
      </c>
      <c r="H573" s="11" t="n">
        <v>0.00297673611111111</v>
      </c>
      <c r="I573" s="12" t="n">
        <v>1337</v>
      </c>
      <c r="J573" s="12" t="n">
        <f aca="false">COUNT(E573,G573,I573)</f>
        <v>3</v>
      </c>
      <c r="K573" s="13" t="n">
        <f aca="false">MIN(E573,G573,I573)</f>
        <v>239</v>
      </c>
      <c r="L573" s="9" t="str">
        <f aca="false">IF(E573=K573,"5000m",IF(G573=K573,"3000mSC","1500m"))</f>
        <v>3000mSC</v>
      </c>
      <c r="M573" s="14" t="n">
        <f aca="false">(D573&lt;&gt;"")*(D573&lt;=($E$3*60+$F$3)/86400)+(F573&lt;&gt;"")*(F573&lt;=($I$3*60+$J$3)/86400)+(H573&lt;&gt;"")*(H573&lt;=($M$3*60+$N$3)/86400)</f>
        <v>0</v>
      </c>
      <c r="N573" s="16"/>
      <c r="O573" s="15"/>
    </row>
    <row r="574" customFormat="false" ht="15" hidden="false" customHeight="false" outlineLevel="0" collapsed="false">
      <c r="A574" s="9" t="n">
        <v>568</v>
      </c>
      <c r="B574" s="10" t="s">
        <v>868</v>
      </c>
      <c r="C574" s="10" t="s">
        <v>166</v>
      </c>
      <c r="D574" s="11" t="n">
        <v>0.0103777777777778</v>
      </c>
      <c r="E574" s="12" t="n">
        <v>239</v>
      </c>
      <c r="F574" s="11"/>
      <c r="G574" s="12"/>
      <c r="H574" s="11" t="n">
        <v>0.00282164351851852</v>
      </c>
      <c r="I574" s="12" t="n">
        <v>373</v>
      </c>
      <c r="J574" s="12" t="n">
        <f aca="false">COUNT(E574,G574,I574)</f>
        <v>2</v>
      </c>
      <c r="K574" s="13" t="n">
        <f aca="false">MIN(E574,G574,I574)</f>
        <v>239</v>
      </c>
      <c r="L574" s="9" t="str">
        <f aca="false">IF(E574=K574,"5000m",IF(G574=K574,"3000mSC","1500m"))</f>
        <v>5000m</v>
      </c>
      <c r="M574" s="14" t="n">
        <f aca="false">(D574&lt;&gt;"")*(D574&lt;=($E$3*60+$F$3)/86400)+(F574&lt;&gt;"")*(F574&lt;=($I$3*60+$J$3)/86400)+(H574&lt;&gt;"")*(H574&lt;=($M$3*60+$N$3)/86400)</f>
        <v>0</v>
      </c>
      <c r="N574" s="16"/>
      <c r="O574" s="15"/>
    </row>
    <row r="575" customFormat="false" ht="15" hidden="false" customHeight="false" outlineLevel="0" collapsed="false">
      <c r="A575" s="9" t="n">
        <v>569</v>
      </c>
      <c r="B575" s="10" t="s">
        <v>869</v>
      </c>
      <c r="C575" s="10" t="s">
        <v>195</v>
      </c>
      <c r="D575" s="11" t="n">
        <v>0.010615625</v>
      </c>
      <c r="E575" s="12" t="n">
        <v>486</v>
      </c>
      <c r="F575" s="11"/>
      <c r="G575" s="12"/>
      <c r="H575" s="11" t="n">
        <v>0.00279027777777778</v>
      </c>
      <c r="I575" s="12" t="n">
        <v>239</v>
      </c>
      <c r="J575" s="12" t="n">
        <f aca="false">COUNT(E575,G575,I575)</f>
        <v>2</v>
      </c>
      <c r="K575" s="13" t="n">
        <f aca="false">MIN(E575,G575,I575)</f>
        <v>239</v>
      </c>
      <c r="L575" s="9" t="str">
        <f aca="false">IF(E575=K575,"5000m",IF(G575=K575,"3000mSC","1500m"))</f>
        <v>1500m</v>
      </c>
      <c r="M575" s="14" t="n">
        <f aca="false">(D575&lt;&gt;"")*(D575&lt;=($E$3*60+$F$3)/86400)+(F575&lt;&gt;"")*(F575&lt;=($I$3*60+$J$3)/86400)+(H575&lt;&gt;"")*(H575&lt;=($M$3*60+$N$3)/86400)</f>
        <v>0</v>
      </c>
      <c r="N575" s="16"/>
      <c r="O575" s="15"/>
    </row>
    <row r="576" customFormat="false" ht="15" hidden="false" customHeight="false" outlineLevel="0" collapsed="false">
      <c r="A576" s="9" t="n">
        <v>570</v>
      </c>
      <c r="B576" s="10" t="s">
        <v>870</v>
      </c>
      <c r="C576" s="10" t="s">
        <v>733</v>
      </c>
      <c r="D576" s="11" t="n">
        <v>0.0103777777777778</v>
      </c>
      <c r="E576" s="12" t="n">
        <v>240</v>
      </c>
      <c r="F576" s="11"/>
      <c r="G576" s="12"/>
      <c r="H576" s="11" t="n">
        <v>0.0028369212962963</v>
      </c>
      <c r="I576" s="12" t="n">
        <v>479</v>
      </c>
      <c r="J576" s="12" t="n">
        <f aca="false">COUNT(E576,G576,I576)</f>
        <v>2</v>
      </c>
      <c r="K576" s="13" t="n">
        <f aca="false">MIN(E576,G576,I576)</f>
        <v>240</v>
      </c>
      <c r="L576" s="9" t="str">
        <f aca="false">IF(E576=K576,"5000m",IF(G576=K576,"3000mSC","1500m"))</f>
        <v>5000m</v>
      </c>
      <c r="M576" s="14" t="n">
        <f aca="false">(D576&lt;&gt;"")*(D576&lt;=($E$3*60+$F$3)/86400)+(F576&lt;&gt;"")*(F576&lt;=($I$3*60+$J$3)/86400)+(H576&lt;&gt;"")*(H576&lt;=($M$3*60+$N$3)/86400)</f>
        <v>0</v>
      </c>
      <c r="N576" s="16"/>
      <c r="O576" s="15"/>
    </row>
    <row r="577" customFormat="false" ht="25.35" hidden="false" customHeight="false" outlineLevel="0" collapsed="false">
      <c r="A577" s="9" t="n">
        <v>571</v>
      </c>
      <c r="B577" s="10" t="s">
        <v>871</v>
      </c>
      <c r="C577" s="10" t="s">
        <v>872</v>
      </c>
      <c r="D577" s="11" t="n">
        <v>0.0109918981481482</v>
      </c>
      <c r="E577" s="12" t="n">
        <v>1082</v>
      </c>
      <c r="F577" s="11" t="n">
        <v>0.00689988425925926</v>
      </c>
      <c r="G577" s="12" t="n">
        <v>240</v>
      </c>
      <c r="H577" s="11"/>
      <c r="I577" s="12"/>
      <c r="J577" s="12" t="n">
        <f aca="false">COUNT(E577,G577,I577)</f>
        <v>2</v>
      </c>
      <c r="K577" s="13" t="n">
        <f aca="false">MIN(E577,G577,I577)</f>
        <v>240</v>
      </c>
      <c r="L577" s="9" t="str">
        <f aca="false">IF(E577=K577,"5000m",IF(G577=K577,"3000mSC","1500m"))</f>
        <v>3000mSC</v>
      </c>
      <c r="M577" s="14" t="n">
        <f aca="false">(D577&lt;&gt;"")*(D577&lt;=($E$3*60+$F$3)/86400)+(F577&lt;&gt;"")*(F577&lt;=($I$3*60+$J$3)/86400)+(H577&lt;&gt;"")*(H577&lt;=($M$3*60+$N$3)/86400)</f>
        <v>0</v>
      </c>
      <c r="N577" s="16"/>
      <c r="O577" s="15"/>
    </row>
    <row r="578" customFormat="false" ht="15" hidden="false" customHeight="false" outlineLevel="0" collapsed="false">
      <c r="A578" s="9" t="n">
        <v>572</v>
      </c>
      <c r="B578" s="10" t="s">
        <v>873</v>
      </c>
      <c r="C578" s="10" t="s">
        <v>874</v>
      </c>
      <c r="D578" s="11"/>
      <c r="E578" s="12"/>
      <c r="F578" s="11"/>
      <c r="G578" s="12"/>
      <c r="H578" s="11" t="n">
        <v>0.00279027777777778</v>
      </c>
      <c r="I578" s="12" t="n">
        <v>240</v>
      </c>
      <c r="J578" s="12" t="n">
        <f aca="false">COUNT(E578,G578,I578)</f>
        <v>1</v>
      </c>
      <c r="K578" s="13" t="n">
        <f aca="false">MIN(E578,G578,I578)</f>
        <v>240</v>
      </c>
      <c r="L578" s="9" t="str">
        <f aca="false">IF(E578=K578,"5000m",IF(G578=K578,"3000mSC","1500m"))</f>
        <v>1500m</v>
      </c>
      <c r="M578" s="14" t="n">
        <f aca="false">(D578&lt;&gt;"")*(D578&lt;=($E$3*60+$F$3)/86400)+(F578&lt;&gt;"")*(F578&lt;=($I$3*60+$J$3)/86400)+(H578&lt;&gt;"")*(H578&lt;=($M$3*60+$N$3)/86400)</f>
        <v>0</v>
      </c>
      <c r="N578" s="16"/>
      <c r="O578" s="15"/>
    </row>
    <row r="579" customFormat="false" ht="25.35" hidden="false" customHeight="false" outlineLevel="0" collapsed="false">
      <c r="A579" s="9" t="n">
        <v>573</v>
      </c>
      <c r="B579" s="10" t="s">
        <v>875</v>
      </c>
      <c r="C579" s="10" t="s">
        <v>49</v>
      </c>
      <c r="D579" s="11" t="n">
        <v>0.0106959490740741</v>
      </c>
      <c r="E579" s="12" t="n">
        <v>575</v>
      </c>
      <c r="F579" s="11" t="n">
        <v>0.00690034722222222</v>
      </c>
      <c r="G579" s="12" t="n">
        <v>241</v>
      </c>
      <c r="H579" s="11"/>
      <c r="I579" s="12"/>
      <c r="J579" s="12" t="n">
        <f aca="false">COUNT(E579,G579,I579)</f>
        <v>2</v>
      </c>
      <c r="K579" s="13" t="n">
        <f aca="false">MIN(E579,G579,I579)</f>
        <v>241</v>
      </c>
      <c r="L579" s="9" t="str">
        <f aca="false">IF(E579=K579,"5000m",IF(G579=K579,"3000mSC","1500m"))</f>
        <v>3000mSC</v>
      </c>
      <c r="M579" s="14" t="n">
        <f aca="false">(D579&lt;&gt;"")*(D579&lt;=($E$3*60+$F$3)/86400)+(F579&lt;&gt;"")*(F579&lt;=($I$3*60+$J$3)/86400)+(H579&lt;&gt;"")*(H579&lt;=($M$3*60+$N$3)/86400)</f>
        <v>0</v>
      </c>
      <c r="N579" s="16"/>
      <c r="O579" s="15"/>
    </row>
    <row r="580" customFormat="false" ht="15" hidden="false" customHeight="false" outlineLevel="0" collapsed="false">
      <c r="A580" s="9" t="n">
        <v>574</v>
      </c>
      <c r="B580" s="10" t="s">
        <v>876</v>
      </c>
      <c r="C580" s="10" t="s">
        <v>171</v>
      </c>
      <c r="D580" s="11" t="n">
        <v>0.010378125</v>
      </c>
      <c r="E580" s="12" t="n">
        <v>241</v>
      </c>
      <c r="F580" s="11"/>
      <c r="G580" s="12"/>
      <c r="H580" s="11"/>
      <c r="I580" s="12"/>
      <c r="J580" s="12" t="n">
        <f aca="false">COUNT(E580,G580,I580)</f>
        <v>1</v>
      </c>
      <c r="K580" s="13" t="n">
        <f aca="false">MIN(E580,G580,I580)</f>
        <v>241</v>
      </c>
      <c r="L580" s="9" t="str">
        <f aca="false">IF(E580=K580,"5000m",IF(G580=K580,"3000mSC","1500m"))</f>
        <v>5000m</v>
      </c>
      <c r="M580" s="14" t="n">
        <f aca="false">(D580&lt;&gt;"")*(D580&lt;=($E$3*60+$F$3)/86400)+(F580&lt;&gt;"")*(F580&lt;=($I$3*60+$J$3)/86400)+(H580&lt;&gt;"")*(H580&lt;=($M$3*60+$N$3)/86400)</f>
        <v>0</v>
      </c>
      <c r="N580" s="16"/>
      <c r="O580" s="15"/>
    </row>
    <row r="581" customFormat="false" ht="25.35" hidden="false" customHeight="false" outlineLevel="0" collapsed="false">
      <c r="A581" s="9" t="n">
        <v>575</v>
      </c>
      <c r="B581" s="10" t="s">
        <v>877</v>
      </c>
      <c r="C581" s="10" t="s">
        <v>720</v>
      </c>
      <c r="D581" s="11"/>
      <c r="E581" s="12"/>
      <c r="F581" s="11" t="n">
        <v>0.00690069444444445</v>
      </c>
      <c r="G581" s="12" t="n">
        <v>242</v>
      </c>
      <c r="H581" s="11"/>
      <c r="I581" s="12"/>
      <c r="J581" s="12" t="n">
        <f aca="false">COUNT(E581,G581,I581)</f>
        <v>1</v>
      </c>
      <c r="K581" s="13" t="n">
        <f aca="false">MIN(E581,G581,I581)</f>
        <v>242</v>
      </c>
      <c r="L581" s="9" t="str">
        <f aca="false">IF(E581=K581,"5000m",IF(G581=K581,"3000mSC","1500m"))</f>
        <v>3000mSC</v>
      </c>
      <c r="M581" s="14" t="n">
        <f aca="false">(D581&lt;&gt;"")*(D581&lt;=($E$3*60+$F$3)/86400)+(F581&lt;&gt;"")*(F581&lt;=($I$3*60+$J$3)/86400)+(H581&lt;&gt;"")*(H581&lt;=($M$3*60+$N$3)/86400)</f>
        <v>0</v>
      </c>
      <c r="N581" s="16"/>
      <c r="O581" s="15"/>
    </row>
    <row r="582" customFormat="false" ht="15" hidden="false" customHeight="false" outlineLevel="0" collapsed="false">
      <c r="A582" s="9" t="n">
        <v>576</v>
      </c>
      <c r="B582" s="10" t="s">
        <v>878</v>
      </c>
      <c r="C582" s="10" t="s">
        <v>358</v>
      </c>
      <c r="D582" s="11"/>
      <c r="E582" s="12"/>
      <c r="F582" s="11"/>
      <c r="G582" s="12"/>
      <c r="H582" s="11" t="n">
        <v>0.00279039351851852</v>
      </c>
      <c r="I582" s="12" t="n">
        <v>242</v>
      </c>
      <c r="J582" s="12" t="n">
        <f aca="false">COUNT(E582,G582,I582)</f>
        <v>1</v>
      </c>
      <c r="K582" s="13" t="n">
        <f aca="false">MIN(E582,G582,I582)</f>
        <v>242</v>
      </c>
      <c r="L582" s="9" t="str">
        <f aca="false">IF(E582=K582,"5000m",IF(G582=K582,"3000mSC","1500m"))</f>
        <v>1500m</v>
      </c>
      <c r="M582" s="14" t="n">
        <f aca="false">(D582&lt;&gt;"")*(D582&lt;=($E$3*60+$F$3)/86400)+(F582&lt;&gt;"")*(F582&lt;=($I$3*60+$J$3)/86400)+(H582&lt;&gt;"")*(H582&lt;=($M$3*60+$N$3)/86400)</f>
        <v>0</v>
      </c>
      <c r="N582" s="16"/>
      <c r="O582" s="15"/>
    </row>
    <row r="583" customFormat="false" ht="15" hidden="false" customHeight="false" outlineLevel="0" collapsed="false">
      <c r="A583" s="9" t="n">
        <v>577</v>
      </c>
      <c r="B583" s="10" t="s">
        <v>879</v>
      </c>
      <c r="C583" s="10" t="s">
        <v>105</v>
      </c>
      <c r="D583" s="11" t="n">
        <v>0.0103790509259259</v>
      </c>
      <c r="E583" s="12" t="n">
        <v>243</v>
      </c>
      <c r="F583" s="11"/>
      <c r="G583" s="12"/>
      <c r="H583" s="11"/>
      <c r="I583" s="12"/>
      <c r="J583" s="12" t="n">
        <f aca="false">COUNT(E583,G583,I583)</f>
        <v>1</v>
      </c>
      <c r="K583" s="13" t="n">
        <f aca="false">MIN(E583,G583,I583)</f>
        <v>243</v>
      </c>
      <c r="L583" s="9" t="str">
        <f aca="false">IF(E583=K583,"5000m",IF(G583=K583,"3000mSC","1500m"))</f>
        <v>5000m</v>
      </c>
      <c r="M583" s="14" t="n">
        <f aca="false">(D583&lt;&gt;"")*(D583&lt;=($E$3*60+$F$3)/86400)+(F583&lt;&gt;"")*(F583&lt;=($I$3*60+$J$3)/86400)+(H583&lt;&gt;"")*(H583&lt;=($M$3*60+$N$3)/86400)</f>
        <v>0</v>
      </c>
      <c r="N583" s="16"/>
      <c r="O583" s="15"/>
    </row>
    <row r="584" customFormat="false" ht="25.35" hidden="false" customHeight="false" outlineLevel="0" collapsed="false">
      <c r="A584" s="9" t="n">
        <v>578</v>
      </c>
      <c r="B584" s="10" t="s">
        <v>880</v>
      </c>
      <c r="C584" s="10" t="s">
        <v>881</v>
      </c>
      <c r="D584" s="11"/>
      <c r="E584" s="12"/>
      <c r="F584" s="11" t="n">
        <v>0.00690162037037037</v>
      </c>
      <c r="G584" s="12" t="n">
        <v>243</v>
      </c>
      <c r="H584" s="11"/>
      <c r="I584" s="12"/>
      <c r="J584" s="12" t="n">
        <f aca="false">COUNT(E584,G584,I584)</f>
        <v>1</v>
      </c>
      <c r="K584" s="13" t="n">
        <f aca="false">MIN(E584,G584,I584)</f>
        <v>243</v>
      </c>
      <c r="L584" s="9" t="str">
        <f aca="false">IF(E584=K584,"5000m",IF(G584=K584,"3000mSC","1500m"))</f>
        <v>3000mSC</v>
      </c>
      <c r="M584" s="14" t="n">
        <f aca="false">(D584&lt;&gt;"")*(D584&lt;=($E$3*60+$F$3)/86400)+(F584&lt;&gt;"")*(F584&lt;=($I$3*60+$J$3)/86400)+(H584&lt;&gt;"")*(H584&lt;=($M$3*60+$N$3)/86400)</f>
        <v>0</v>
      </c>
      <c r="N584" s="16"/>
      <c r="O584" s="15"/>
    </row>
    <row r="585" customFormat="false" ht="15" hidden="false" customHeight="false" outlineLevel="0" collapsed="false">
      <c r="A585" s="9" t="n">
        <v>579</v>
      </c>
      <c r="B585" s="10" t="s">
        <v>882</v>
      </c>
      <c r="C585" s="10" t="s">
        <v>616</v>
      </c>
      <c r="D585" s="11" t="n">
        <v>0.0105118055555556</v>
      </c>
      <c r="E585" s="12" t="n">
        <v>353</v>
      </c>
      <c r="F585" s="11"/>
      <c r="G585" s="12"/>
      <c r="H585" s="11" t="n">
        <v>0.00279097222222222</v>
      </c>
      <c r="I585" s="12" t="n">
        <v>244</v>
      </c>
      <c r="J585" s="12" t="n">
        <f aca="false">COUNT(E585,G585,I585)</f>
        <v>2</v>
      </c>
      <c r="K585" s="13" t="n">
        <f aca="false">MIN(E585,G585,I585)</f>
        <v>244</v>
      </c>
      <c r="L585" s="9" t="str">
        <f aca="false">IF(E585=K585,"5000m",IF(G585=K585,"3000mSC","1500m"))</f>
        <v>1500m</v>
      </c>
      <c r="M585" s="14" t="n">
        <f aca="false">(D585&lt;&gt;"")*(D585&lt;=($E$3*60+$F$3)/86400)+(F585&lt;&gt;"")*(F585&lt;=($I$3*60+$J$3)/86400)+(H585&lt;&gt;"")*(H585&lt;=($M$3*60+$N$3)/86400)</f>
        <v>0</v>
      </c>
      <c r="N585" s="16"/>
      <c r="O585" s="15"/>
    </row>
    <row r="586" customFormat="false" ht="25.35" hidden="false" customHeight="false" outlineLevel="0" collapsed="false">
      <c r="A586" s="9" t="n">
        <v>580</v>
      </c>
      <c r="B586" s="10" t="s">
        <v>883</v>
      </c>
      <c r="C586" s="10" t="s">
        <v>884</v>
      </c>
      <c r="D586" s="11" t="n">
        <v>0.0110377314814815</v>
      </c>
      <c r="E586" s="12" t="n">
        <v>1173</v>
      </c>
      <c r="F586" s="11" t="n">
        <v>0.00690173611111111</v>
      </c>
      <c r="G586" s="12" t="n">
        <v>244</v>
      </c>
      <c r="H586" s="11"/>
      <c r="I586" s="12"/>
      <c r="J586" s="12" t="n">
        <f aca="false">COUNT(E586,G586,I586)</f>
        <v>2</v>
      </c>
      <c r="K586" s="13" t="n">
        <f aca="false">MIN(E586,G586,I586)</f>
        <v>244</v>
      </c>
      <c r="L586" s="9" t="str">
        <f aca="false">IF(E586=K586,"5000m",IF(G586=K586,"3000mSC","1500m"))</f>
        <v>3000mSC</v>
      </c>
      <c r="M586" s="14" t="n">
        <f aca="false">(D586&lt;&gt;"")*(D586&lt;=($E$3*60+$F$3)/86400)+(F586&lt;&gt;"")*(F586&lt;=($I$3*60+$J$3)/86400)+(H586&lt;&gt;"")*(H586&lt;=($M$3*60+$N$3)/86400)</f>
        <v>0</v>
      </c>
      <c r="N586" s="16"/>
      <c r="O586" s="15"/>
    </row>
    <row r="587" customFormat="false" ht="15" hidden="false" customHeight="false" outlineLevel="0" collapsed="false">
      <c r="A587" s="9" t="n">
        <v>581</v>
      </c>
      <c r="B587" s="10" t="s">
        <v>885</v>
      </c>
      <c r="C587" s="10" t="s">
        <v>23</v>
      </c>
      <c r="D587" s="11" t="n">
        <v>0.0103798611111111</v>
      </c>
      <c r="E587" s="12" t="n">
        <v>244</v>
      </c>
      <c r="F587" s="11"/>
      <c r="G587" s="12"/>
      <c r="H587" s="11"/>
      <c r="I587" s="12"/>
      <c r="J587" s="12" t="n">
        <f aca="false">COUNT(E587,G587,I587)</f>
        <v>1</v>
      </c>
      <c r="K587" s="13" t="n">
        <f aca="false">MIN(E587,G587,I587)</f>
        <v>244</v>
      </c>
      <c r="L587" s="9" t="str">
        <f aca="false">IF(E587=K587,"5000m",IF(G587=K587,"3000mSC","1500m"))</f>
        <v>5000m</v>
      </c>
      <c r="M587" s="14" t="n">
        <f aca="false">(D587&lt;&gt;"")*(D587&lt;=($E$3*60+$F$3)/86400)+(F587&lt;&gt;"")*(F587&lt;=($I$3*60+$J$3)/86400)+(H587&lt;&gt;"")*(H587&lt;=($M$3*60+$N$3)/86400)</f>
        <v>0</v>
      </c>
      <c r="N587" s="16"/>
      <c r="O587" s="15"/>
    </row>
    <row r="588" customFormat="false" ht="25.35" hidden="false" customHeight="false" outlineLevel="0" collapsed="false">
      <c r="A588" s="9" t="n">
        <v>582</v>
      </c>
      <c r="B588" s="10" t="s">
        <v>886</v>
      </c>
      <c r="C588" s="10" t="s">
        <v>114</v>
      </c>
      <c r="D588" s="11" t="n">
        <v>0.0104907407407407</v>
      </c>
      <c r="E588" s="12" t="n">
        <v>334</v>
      </c>
      <c r="F588" s="11" t="n">
        <v>0.00690219907407407</v>
      </c>
      <c r="G588" s="12" t="n">
        <v>245</v>
      </c>
      <c r="H588" s="11" t="n">
        <v>0.00289733796296296</v>
      </c>
      <c r="I588" s="12" t="n">
        <v>928</v>
      </c>
      <c r="J588" s="12" t="n">
        <f aca="false">COUNT(E588,G588,I588)</f>
        <v>3</v>
      </c>
      <c r="K588" s="13" t="n">
        <f aca="false">MIN(E588,G588,I588)</f>
        <v>245</v>
      </c>
      <c r="L588" s="9" t="str">
        <f aca="false">IF(E588=K588,"5000m",IF(G588=K588,"3000mSC","1500m"))</f>
        <v>3000mSC</v>
      </c>
      <c r="M588" s="14" t="n">
        <f aca="false">(D588&lt;&gt;"")*(D588&lt;=($E$3*60+$F$3)/86400)+(F588&lt;&gt;"")*(F588&lt;=($I$3*60+$J$3)/86400)+(H588&lt;&gt;"")*(H588&lt;=($M$3*60+$N$3)/86400)</f>
        <v>0</v>
      </c>
      <c r="N588" s="16"/>
      <c r="O588" s="15"/>
    </row>
    <row r="589" customFormat="false" ht="15" hidden="false" customHeight="false" outlineLevel="0" collapsed="false">
      <c r="A589" s="9" t="n">
        <v>583</v>
      </c>
      <c r="B589" s="10" t="s">
        <v>887</v>
      </c>
      <c r="C589" s="10" t="s">
        <v>814</v>
      </c>
      <c r="D589" s="11" t="n">
        <v>0.0103844907407407</v>
      </c>
      <c r="E589" s="12" t="n">
        <v>245</v>
      </c>
      <c r="F589" s="11" t="n">
        <v>0.0072037037037037</v>
      </c>
      <c r="G589" s="12" t="n">
        <v>541</v>
      </c>
      <c r="H589" s="11" t="n">
        <v>0.00296643518518519</v>
      </c>
      <c r="I589" s="12" t="n">
        <v>1297</v>
      </c>
      <c r="J589" s="12" t="n">
        <f aca="false">COUNT(E589,G589,I589)</f>
        <v>3</v>
      </c>
      <c r="K589" s="13" t="n">
        <f aca="false">MIN(E589,G589,I589)</f>
        <v>245</v>
      </c>
      <c r="L589" s="9" t="str">
        <f aca="false">IF(E589=K589,"5000m",IF(G589=K589,"3000mSC","1500m"))</f>
        <v>5000m</v>
      </c>
      <c r="M589" s="14" t="n">
        <f aca="false">(D589&lt;&gt;"")*(D589&lt;=($E$3*60+$F$3)/86400)+(F589&lt;&gt;"")*(F589&lt;=($I$3*60+$J$3)/86400)+(H589&lt;&gt;"")*(H589&lt;=($M$3*60+$N$3)/86400)</f>
        <v>0</v>
      </c>
      <c r="N589" s="16"/>
      <c r="O589" s="15"/>
    </row>
    <row r="590" customFormat="false" ht="15" hidden="false" customHeight="false" outlineLevel="0" collapsed="false">
      <c r="A590" s="9" t="n">
        <v>584</v>
      </c>
      <c r="B590" s="10" t="s">
        <v>888</v>
      </c>
      <c r="C590" s="10" t="s">
        <v>147</v>
      </c>
      <c r="D590" s="11"/>
      <c r="E590" s="12"/>
      <c r="F590" s="11"/>
      <c r="G590" s="12"/>
      <c r="H590" s="11" t="n">
        <v>0.0027912037037037</v>
      </c>
      <c r="I590" s="12" t="n">
        <v>245</v>
      </c>
      <c r="J590" s="12" t="n">
        <f aca="false">COUNT(E590,G590,I590)</f>
        <v>1</v>
      </c>
      <c r="K590" s="13" t="n">
        <f aca="false">MIN(E590,G590,I590)</f>
        <v>245</v>
      </c>
      <c r="L590" s="9" t="str">
        <f aca="false">IF(E590=K590,"5000m",IF(G590=K590,"3000mSC","1500m"))</f>
        <v>1500m</v>
      </c>
      <c r="M590" s="14" t="n">
        <f aca="false">(D590&lt;&gt;"")*(D590&lt;=($E$3*60+$F$3)/86400)+(F590&lt;&gt;"")*(F590&lt;=($I$3*60+$J$3)/86400)+(H590&lt;&gt;"")*(H590&lt;=($M$3*60+$N$3)/86400)</f>
        <v>0</v>
      </c>
      <c r="N590" s="16"/>
      <c r="O590" s="15"/>
    </row>
    <row r="591" customFormat="false" ht="15" hidden="false" customHeight="false" outlineLevel="0" collapsed="false">
      <c r="A591" s="9" t="n">
        <v>585</v>
      </c>
      <c r="B591" s="10" t="s">
        <v>889</v>
      </c>
      <c r="C591" s="10" t="s">
        <v>23</v>
      </c>
      <c r="D591" s="11" t="n">
        <v>0.0103846064814815</v>
      </c>
      <c r="E591" s="12" t="n">
        <v>246</v>
      </c>
      <c r="F591" s="11"/>
      <c r="G591" s="12"/>
      <c r="H591" s="11"/>
      <c r="I591" s="12"/>
      <c r="J591" s="12" t="n">
        <f aca="false">COUNT(E591,G591,I591)</f>
        <v>1</v>
      </c>
      <c r="K591" s="13" t="n">
        <f aca="false">MIN(E591,G591,I591)</f>
        <v>246</v>
      </c>
      <c r="L591" s="9" t="str">
        <f aca="false">IF(E591=K591,"5000m",IF(G591=K591,"3000mSC","1500m"))</f>
        <v>5000m</v>
      </c>
      <c r="M591" s="14" t="n">
        <f aca="false">(D591&lt;&gt;"")*(D591&lt;=($E$3*60+$F$3)/86400)+(F591&lt;&gt;"")*(F591&lt;=($I$3*60+$J$3)/86400)+(H591&lt;&gt;"")*(H591&lt;=($M$3*60+$N$3)/86400)</f>
        <v>0</v>
      </c>
      <c r="N591" s="16"/>
      <c r="O591" s="15"/>
    </row>
    <row r="592" customFormat="false" ht="25.35" hidden="false" customHeight="false" outlineLevel="0" collapsed="false">
      <c r="A592" s="9" t="n">
        <v>586</v>
      </c>
      <c r="B592" s="10" t="s">
        <v>890</v>
      </c>
      <c r="C592" s="10" t="s">
        <v>717</v>
      </c>
      <c r="D592" s="11"/>
      <c r="E592" s="12"/>
      <c r="F592" s="11" t="n">
        <v>0.00690555555555556</v>
      </c>
      <c r="G592" s="12" t="n">
        <v>246</v>
      </c>
      <c r="H592" s="11"/>
      <c r="I592" s="12"/>
      <c r="J592" s="12" t="n">
        <f aca="false">COUNT(E592,G592,I592)</f>
        <v>1</v>
      </c>
      <c r="K592" s="13" t="n">
        <f aca="false">MIN(E592,G592,I592)</f>
        <v>246</v>
      </c>
      <c r="L592" s="9" t="str">
        <f aca="false">IF(E592=K592,"5000m",IF(G592=K592,"3000mSC","1500m"))</f>
        <v>3000mSC</v>
      </c>
      <c r="M592" s="14" t="n">
        <f aca="false">(D592&lt;&gt;"")*(D592&lt;=($E$3*60+$F$3)/86400)+(F592&lt;&gt;"")*(F592&lt;=($I$3*60+$J$3)/86400)+(H592&lt;&gt;"")*(H592&lt;=($M$3*60+$N$3)/86400)</f>
        <v>0</v>
      </c>
      <c r="N592" s="16"/>
      <c r="O592" s="15"/>
    </row>
    <row r="593" customFormat="false" ht="25.35" hidden="false" customHeight="false" outlineLevel="0" collapsed="false">
      <c r="A593" s="9" t="n">
        <v>587</v>
      </c>
      <c r="B593" s="10" t="s">
        <v>891</v>
      </c>
      <c r="C593" s="10" t="s">
        <v>277</v>
      </c>
      <c r="D593" s="11" t="n">
        <v>0.0105216435185185</v>
      </c>
      <c r="E593" s="12" t="n">
        <v>364</v>
      </c>
      <c r="F593" s="11" t="n">
        <v>0.00690613425925926</v>
      </c>
      <c r="G593" s="12" t="n">
        <v>247</v>
      </c>
      <c r="H593" s="11" t="n">
        <v>0.00287407407407407</v>
      </c>
      <c r="I593" s="12" t="n">
        <v>728</v>
      </c>
      <c r="J593" s="12" t="n">
        <f aca="false">COUNT(E593,G593,I593)</f>
        <v>3</v>
      </c>
      <c r="K593" s="13" t="n">
        <f aca="false">MIN(E593,G593,I593)</f>
        <v>247</v>
      </c>
      <c r="L593" s="9" t="str">
        <f aca="false">IF(E593=K593,"5000m",IF(G593=K593,"3000mSC","1500m"))</f>
        <v>3000mSC</v>
      </c>
      <c r="M593" s="14" t="n">
        <f aca="false">(D593&lt;&gt;"")*(D593&lt;=($E$3*60+$F$3)/86400)+(F593&lt;&gt;"")*(F593&lt;=($I$3*60+$J$3)/86400)+(H593&lt;&gt;"")*(H593&lt;=($M$3*60+$N$3)/86400)</f>
        <v>0</v>
      </c>
      <c r="N593" s="16"/>
      <c r="O593" s="15"/>
    </row>
    <row r="594" customFormat="false" ht="15" hidden="false" customHeight="false" outlineLevel="0" collapsed="false">
      <c r="A594" s="9" t="n">
        <v>588</v>
      </c>
      <c r="B594" s="10" t="s">
        <v>892</v>
      </c>
      <c r="C594" s="10" t="s">
        <v>49</v>
      </c>
      <c r="D594" s="11" t="n">
        <v>0.0105248842592593</v>
      </c>
      <c r="E594" s="12" t="n">
        <v>365</v>
      </c>
      <c r="F594" s="11"/>
      <c r="G594" s="12"/>
      <c r="H594" s="11" t="n">
        <v>0.00279178240740741</v>
      </c>
      <c r="I594" s="12" t="n">
        <v>247</v>
      </c>
      <c r="J594" s="12" t="n">
        <f aca="false">COUNT(E594,G594,I594)</f>
        <v>2</v>
      </c>
      <c r="K594" s="13" t="n">
        <f aca="false">MIN(E594,G594,I594)</f>
        <v>247</v>
      </c>
      <c r="L594" s="9" t="str">
        <f aca="false">IF(E594=K594,"5000m",IF(G594=K594,"3000mSC","1500m"))</f>
        <v>1500m</v>
      </c>
      <c r="M594" s="14" t="n">
        <f aca="false">(D594&lt;&gt;"")*(D594&lt;=($E$3*60+$F$3)/86400)+(F594&lt;&gt;"")*(F594&lt;=($I$3*60+$J$3)/86400)+(H594&lt;&gt;"")*(H594&lt;=($M$3*60+$N$3)/86400)</f>
        <v>0</v>
      </c>
      <c r="N594" s="16"/>
      <c r="O594" s="15"/>
    </row>
    <row r="595" customFormat="false" ht="15" hidden="false" customHeight="false" outlineLevel="0" collapsed="false">
      <c r="A595" s="9" t="n">
        <v>589</v>
      </c>
      <c r="B595" s="10" t="s">
        <v>893</v>
      </c>
      <c r="C595" s="10" t="s">
        <v>541</v>
      </c>
      <c r="D595" s="11" t="n">
        <v>0.0103861111111111</v>
      </c>
      <c r="E595" s="12" t="n">
        <v>247</v>
      </c>
      <c r="F595" s="11"/>
      <c r="G595" s="12"/>
      <c r="H595" s="11" t="n">
        <v>0.00282662037037037</v>
      </c>
      <c r="I595" s="12" t="n">
        <v>403</v>
      </c>
      <c r="J595" s="12" t="n">
        <f aca="false">COUNT(E595,G595,I595)</f>
        <v>2</v>
      </c>
      <c r="K595" s="13" t="n">
        <f aca="false">MIN(E595,G595,I595)</f>
        <v>247</v>
      </c>
      <c r="L595" s="9" t="str">
        <f aca="false">IF(E595=K595,"5000m",IF(G595=K595,"3000mSC","1500m"))</f>
        <v>5000m</v>
      </c>
      <c r="M595" s="14" t="n">
        <f aca="false">(D595&lt;&gt;"")*(D595&lt;=($E$3*60+$F$3)/86400)+(F595&lt;&gt;"")*(F595&lt;=($I$3*60+$J$3)/86400)+(H595&lt;&gt;"")*(H595&lt;=($M$3*60+$N$3)/86400)</f>
        <v>0</v>
      </c>
      <c r="N595" s="16"/>
      <c r="O595" s="15"/>
    </row>
    <row r="596" customFormat="false" ht="15" hidden="false" customHeight="false" outlineLevel="0" collapsed="false">
      <c r="A596" s="9" t="n">
        <v>590</v>
      </c>
      <c r="B596" s="10" t="s">
        <v>894</v>
      </c>
      <c r="C596" s="10" t="s">
        <v>45</v>
      </c>
      <c r="D596" s="11" t="n">
        <v>0.010387962962963</v>
      </c>
      <c r="E596" s="12" t="n">
        <v>248</v>
      </c>
      <c r="F596" s="11" t="n">
        <v>0.00696041666666667</v>
      </c>
      <c r="G596" s="12" t="n">
        <v>294</v>
      </c>
      <c r="H596" s="11" t="n">
        <v>0.00292326388888889</v>
      </c>
      <c r="I596" s="12" t="n">
        <v>1129</v>
      </c>
      <c r="J596" s="12" t="n">
        <f aca="false">COUNT(E596,G596,I596)</f>
        <v>3</v>
      </c>
      <c r="K596" s="13" t="n">
        <f aca="false">MIN(E596,G596,I596)</f>
        <v>248</v>
      </c>
      <c r="L596" s="9" t="str">
        <f aca="false">IF(E596=K596,"5000m",IF(G596=K596,"3000mSC","1500m"))</f>
        <v>5000m</v>
      </c>
      <c r="M596" s="14" t="n">
        <f aca="false">(D596&lt;&gt;"")*(D596&lt;=($E$3*60+$F$3)/86400)+(F596&lt;&gt;"")*(F596&lt;=($I$3*60+$J$3)/86400)+(H596&lt;&gt;"")*(H596&lt;=($M$3*60+$N$3)/86400)</f>
        <v>0</v>
      </c>
      <c r="N596" s="16"/>
      <c r="O596" s="15"/>
    </row>
    <row r="597" customFormat="false" ht="15" hidden="false" customHeight="false" outlineLevel="0" collapsed="false">
      <c r="A597" s="9" t="n">
        <v>591</v>
      </c>
      <c r="B597" s="10" t="s">
        <v>895</v>
      </c>
      <c r="C597" s="10" t="s">
        <v>382</v>
      </c>
      <c r="D597" s="11" t="n">
        <v>0.0105369212962963</v>
      </c>
      <c r="E597" s="12" t="n">
        <v>382</v>
      </c>
      <c r="F597" s="11"/>
      <c r="G597" s="12"/>
      <c r="H597" s="11" t="n">
        <v>0.00279189814814815</v>
      </c>
      <c r="I597" s="12" t="n">
        <v>248</v>
      </c>
      <c r="J597" s="12" t="n">
        <f aca="false">COUNT(E597,G597,I597)</f>
        <v>2</v>
      </c>
      <c r="K597" s="13" t="n">
        <f aca="false">MIN(E597,G597,I597)</f>
        <v>248</v>
      </c>
      <c r="L597" s="9" t="str">
        <f aca="false">IF(E597=K597,"5000m",IF(G597=K597,"3000mSC","1500m"))</f>
        <v>1500m</v>
      </c>
      <c r="M597" s="14" t="n">
        <f aca="false">(D597&lt;&gt;"")*(D597&lt;=($E$3*60+$F$3)/86400)+(F597&lt;&gt;"")*(F597&lt;=($I$3*60+$J$3)/86400)+(H597&lt;&gt;"")*(H597&lt;=($M$3*60+$N$3)/86400)</f>
        <v>0</v>
      </c>
      <c r="N597" s="16"/>
      <c r="O597" s="15"/>
    </row>
    <row r="598" customFormat="false" ht="25.35" hidden="false" customHeight="false" outlineLevel="0" collapsed="false">
      <c r="A598" s="9" t="n">
        <v>592</v>
      </c>
      <c r="B598" s="10" t="s">
        <v>896</v>
      </c>
      <c r="C598" s="10" t="s">
        <v>897</v>
      </c>
      <c r="D598" s="11" t="n">
        <v>0.0109810185185185</v>
      </c>
      <c r="E598" s="12" t="n">
        <v>1058</v>
      </c>
      <c r="F598" s="11" t="n">
        <v>0.00690625</v>
      </c>
      <c r="G598" s="12" t="n">
        <v>248</v>
      </c>
      <c r="H598" s="11"/>
      <c r="I598" s="12"/>
      <c r="J598" s="12" t="n">
        <f aca="false">COUNT(E598,G598,I598)</f>
        <v>2</v>
      </c>
      <c r="K598" s="13" t="n">
        <f aca="false">MIN(E598,G598,I598)</f>
        <v>248</v>
      </c>
      <c r="L598" s="9" t="str">
        <f aca="false">IF(E598=K598,"5000m",IF(G598=K598,"3000mSC","1500m"))</f>
        <v>3000mSC</v>
      </c>
      <c r="M598" s="14" t="n">
        <f aca="false">(D598&lt;&gt;"")*(D598&lt;=($E$3*60+$F$3)/86400)+(F598&lt;&gt;"")*(F598&lt;=($I$3*60+$J$3)/86400)+(H598&lt;&gt;"")*(H598&lt;=($M$3*60+$N$3)/86400)</f>
        <v>0</v>
      </c>
      <c r="N598" s="16"/>
      <c r="O598" s="15"/>
    </row>
    <row r="599" customFormat="false" ht="25.35" hidden="false" customHeight="false" outlineLevel="0" collapsed="false">
      <c r="A599" s="9" t="n">
        <v>593</v>
      </c>
      <c r="B599" s="10" t="s">
        <v>898</v>
      </c>
      <c r="C599" s="10" t="s">
        <v>899</v>
      </c>
      <c r="D599" s="11"/>
      <c r="E599" s="12"/>
      <c r="F599" s="11" t="n">
        <v>0.00690659722222222</v>
      </c>
      <c r="G599" s="12" t="n">
        <v>249</v>
      </c>
      <c r="H599" s="11" t="n">
        <v>0.00287303240740741</v>
      </c>
      <c r="I599" s="12" t="n">
        <v>721</v>
      </c>
      <c r="J599" s="12" t="n">
        <f aca="false">COUNT(E599,G599,I599)</f>
        <v>2</v>
      </c>
      <c r="K599" s="13" t="n">
        <f aca="false">MIN(E599,G599,I599)</f>
        <v>249</v>
      </c>
      <c r="L599" s="9" t="str">
        <f aca="false">IF(E599=K599,"5000m",IF(G599=K599,"3000mSC","1500m"))</f>
        <v>3000mSC</v>
      </c>
      <c r="M599" s="14" t="n">
        <f aca="false">(D599&lt;&gt;"")*(D599&lt;=($E$3*60+$F$3)/86400)+(F599&lt;&gt;"")*(F599&lt;=($I$3*60+$J$3)/86400)+(H599&lt;&gt;"")*(H599&lt;=($M$3*60+$N$3)/86400)</f>
        <v>0</v>
      </c>
      <c r="N599" s="16"/>
      <c r="O599" s="15"/>
    </row>
    <row r="600" customFormat="false" ht="15" hidden="false" customHeight="false" outlineLevel="0" collapsed="false">
      <c r="A600" s="9" t="n">
        <v>594</v>
      </c>
      <c r="B600" s="10" t="s">
        <v>900</v>
      </c>
      <c r="C600" s="10" t="s">
        <v>242</v>
      </c>
      <c r="D600" s="11" t="n">
        <v>0.0103880787037037</v>
      </c>
      <c r="E600" s="12" t="n">
        <v>249</v>
      </c>
      <c r="F600" s="11"/>
      <c r="G600" s="12"/>
      <c r="H600" s="11" t="n">
        <v>0.00288842592592593</v>
      </c>
      <c r="I600" s="12" t="n">
        <v>852</v>
      </c>
      <c r="J600" s="12" t="n">
        <f aca="false">COUNT(E600,G600,I600)</f>
        <v>2</v>
      </c>
      <c r="K600" s="13" t="n">
        <f aca="false">MIN(E600,G600,I600)</f>
        <v>249</v>
      </c>
      <c r="L600" s="9" t="str">
        <f aca="false">IF(E600=K600,"5000m",IF(G600=K600,"3000mSC","1500m"))</f>
        <v>5000m</v>
      </c>
      <c r="M600" s="14" t="n">
        <f aca="false">(D600&lt;&gt;"")*(D600&lt;=($E$3*60+$F$3)/86400)+(F600&lt;&gt;"")*(F600&lt;=($I$3*60+$J$3)/86400)+(H600&lt;&gt;"")*(H600&lt;=($M$3*60+$N$3)/86400)</f>
        <v>0</v>
      </c>
      <c r="N600" s="16"/>
      <c r="O600" s="15"/>
    </row>
    <row r="601" customFormat="false" ht="15" hidden="false" customHeight="false" outlineLevel="0" collapsed="false">
      <c r="A601" s="9" t="n">
        <v>595</v>
      </c>
      <c r="B601" s="10" t="s">
        <v>901</v>
      </c>
      <c r="C601" s="10" t="s">
        <v>902</v>
      </c>
      <c r="D601" s="11" t="n">
        <v>0.0103887731481482</v>
      </c>
      <c r="E601" s="12" t="n">
        <v>250</v>
      </c>
      <c r="F601" s="11"/>
      <c r="G601" s="12"/>
      <c r="H601" s="11" t="n">
        <v>0.00282719907407407</v>
      </c>
      <c r="I601" s="12" t="n">
        <v>406</v>
      </c>
      <c r="J601" s="12" t="n">
        <f aca="false">COUNT(E601,G601,I601)</f>
        <v>2</v>
      </c>
      <c r="K601" s="13" t="n">
        <f aca="false">MIN(E601,G601,I601)</f>
        <v>250</v>
      </c>
      <c r="L601" s="9" t="str">
        <f aca="false">IF(E601=K601,"5000m",IF(G601=K601,"3000mSC","1500m"))</f>
        <v>5000m</v>
      </c>
      <c r="M601" s="14" t="n">
        <f aca="false">(D601&lt;&gt;"")*(D601&lt;=($E$3*60+$F$3)/86400)+(F601&lt;&gt;"")*(F601&lt;=($I$3*60+$J$3)/86400)+(H601&lt;&gt;"")*(H601&lt;=($M$3*60+$N$3)/86400)</f>
        <v>0</v>
      </c>
      <c r="N601" s="16"/>
      <c r="O601" s="15"/>
    </row>
    <row r="602" customFormat="false" ht="25.35" hidden="false" customHeight="false" outlineLevel="0" collapsed="false">
      <c r="A602" s="9" t="n">
        <v>596</v>
      </c>
      <c r="B602" s="10" t="s">
        <v>903</v>
      </c>
      <c r="C602" s="10" t="s">
        <v>904</v>
      </c>
      <c r="D602" s="11"/>
      <c r="E602" s="12"/>
      <c r="F602" s="11" t="n">
        <v>0.00691018518518519</v>
      </c>
      <c r="G602" s="12" t="n">
        <v>250</v>
      </c>
      <c r="H602" s="11"/>
      <c r="I602" s="12"/>
      <c r="J602" s="12" t="n">
        <f aca="false">COUNT(E602,G602,I602)</f>
        <v>1</v>
      </c>
      <c r="K602" s="13" t="n">
        <f aca="false">MIN(E602,G602,I602)</f>
        <v>250</v>
      </c>
      <c r="L602" s="9" t="str">
        <f aca="false">IF(E602=K602,"5000m",IF(G602=K602,"3000mSC","1500m"))</f>
        <v>3000mSC</v>
      </c>
      <c r="M602" s="14" t="n">
        <f aca="false">(D602&lt;&gt;"")*(D602&lt;=($E$3*60+$F$3)/86400)+(F602&lt;&gt;"")*(F602&lt;=($I$3*60+$J$3)/86400)+(H602&lt;&gt;"")*(H602&lt;=($M$3*60+$N$3)/86400)</f>
        <v>0</v>
      </c>
      <c r="N602" s="16"/>
      <c r="O602" s="15"/>
    </row>
    <row r="603" customFormat="false" ht="15" hidden="false" customHeight="false" outlineLevel="0" collapsed="false">
      <c r="A603" s="9" t="n">
        <v>597</v>
      </c>
      <c r="B603" s="10" t="s">
        <v>905</v>
      </c>
      <c r="C603" s="10" t="s">
        <v>906</v>
      </c>
      <c r="D603" s="11" t="n">
        <v>0.0103915509259259</v>
      </c>
      <c r="E603" s="12" t="n">
        <v>251</v>
      </c>
      <c r="F603" s="11"/>
      <c r="G603" s="12"/>
      <c r="H603" s="11" t="n">
        <v>0.00280694444444444</v>
      </c>
      <c r="I603" s="12" t="n">
        <v>314</v>
      </c>
      <c r="J603" s="12" t="n">
        <f aca="false">COUNT(E603,G603,I603)</f>
        <v>2</v>
      </c>
      <c r="K603" s="13" t="n">
        <f aca="false">MIN(E603,G603,I603)</f>
        <v>251</v>
      </c>
      <c r="L603" s="9" t="str">
        <f aca="false">IF(E603=K603,"5000m",IF(G603=K603,"3000mSC","1500m"))</f>
        <v>5000m</v>
      </c>
      <c r="M603" s="14" t="n">
        <f aca="false">(D603&lt;&gt;"")*(D603&lt;=($E$3*60+$F$3)/86400)+(F603&lt;&gt;"")*(F603&lt;=($I$3*60+$J$3)/86400)+(H603&lt;&gt;"")*(H603&lt;=($M$3*60+$N$3)/86400)</f>
        <v>0</v>
      </c>
      <c r="N603" s="16"/>
      <c r="O603" s="15"/>
    </row>
    <row r="604" customFormat="false" ht="25.35" hidden="false" customHeight="false" outlineLevel="0" collapsed="false">
      <c r="A604" s="9" t="n">
        <v>598</v>
      </c>
      <c r="B604" s="10" t="s">
        <v>907</v>
      </c>
      <c r="C604" s="10" t="s">
        <v>181</v>
      </c>
      <c r="D604" s="11" t="n">
        <v>0.0109541666666667</v>
      </c>
      <c r="E604" s="12" t="n">
        <v>1012</v>
      </c>
      <c r="F604" s="11" t="n">
        <v>0.0069162037037037</v>
      </c>
      <c r="G604" s="12" t="n">
        <v>252</v>
      </c>
      <c r="H604" s="11" t="n">
        <v>0.00285138888888889</v>
      </c>
      <c r="I604" s="12" t="n">
        <v>578</v>
      </c>
      <c r="J604" s="12" t="n">
        <f aca="false">COUNT(E604,G604,I604)</f>
        <v>3</v>
      </c>
      <c r="K604" s="13" t="n">
        <f aca="false">MIN(E604,G604,I604)</f>
        <v>252</v>
      </c>
      <c r="L604" s="9" t="str">
        <f aca="false">IF(E604=K604,"5000m",IF(G604=K604,"3000mSC","1500m"))</f>
        <v>3000mSC</v>
      </c>
      <c r="M604" s="14" t="n">
        <f aca="false">(D604&lt;&gt;"")*(D604&lt;=($E$3*60+$F$3)/86400)+(F604&lt;&gt;"")*(F604&lt;=($I$3*60+$J$3)/86400)+(H604&lt;&gt;"")*(H604&lt;=($M$3*60+$N$3)/86400)</f>
        <v>0</v>
      </c>
      <c r="N604" s="16"/>
      <c r="O604" s="15"/>
    </row>
    <row r="605" customFormat="false" ht="15" hidden="false" customHeight="false" outlineLevel="0" collapsed="false">
      <c r="A605" s="9" t="n">
        <v>599</v>
      </c>
      <c r="B605" s="10" t="s">
        <v>908</v>
      </c>
      <c r="C605" s="10" t="s">
        <v>254</v>
      </c>
      <c r="D605" s="11" t="n">
        <v>0.0105828703703704</v>
      </c>
      <c r="E605" s="12" t="n">
        <v>439</v>
      </c>
      <c r="F605" s="11"/>
      <c r="G605" s="12"/>
      <c r="H605" s="11" t="n">
        <v>0.00279398148148148</v>
      </c>
      <c r="I605" s="12" t="n">
        <v>253</v>
      </c>
      <c r="J605" s="12" t="n">
        <f aca="false">COUNT(E605,G605,I605)</f>
        <v>2</v>
      </c>
      <c r="K605" s="13" t="n">
        <f aca="false">MIN(E605,G605,I605)</f>
        <v>253</v>
      </c>
      <c r="L605" s="9" t="str">
        <f aca="false">IF(E605=K605,"5000m",IF(G605=K605,"3000mSC","1500m"))</f>
        <v>1500m</v>
      </c>
      <c r="M605" s="14" t="n">
        <f aca="false">(D605&lt;&gt;"")*(D605&lt;=($E$3*60+$F$3)/86400)+(F605&lt;&gt;"")*(F605&lt;=($I$3*60+$J$3)/86400)+(H605&lt;&gt;"")*(H605&lt;=($M$3*60+$N$3)/86400)</f>
        <v>0</v>
      </c>
      <c r="N605" s="16"/>
      <c r="O605" s="15"/>
    </row>
    <row r="606" customFormat="false" ht="25.35" hidden="false" customHeight="false" outlineLevel="0" collapsed="false">
      <c r="A606" s="9" t="n">
        <v>600</v>
      </c>
      <c r="B606" s="10" t="s">
        <v>909</v>
      </c>
      <c r="C606" s="10" t="s">
        <v>910</v>
      </c>
      <c r="D606" s="11"/>
      <c r="E606" s="12"/>
      <c r="F606" s="11" t="n">
        <v>0.00691747685185185</v>
      </c>
      <c r="G606" s="12" t="n">
        <v>253</v>
      </c>
      <c r="H606" s="11" t="n">
        <v>0.00288518518518519</v>
      </c>
      <c r="I606" s="12" t="n">
        <v>819</v>
      </c>
      <c r="J606" s="12" t="n">
        <f aca="false">COUNT(E606,G606,I606)</f>
        <v>2</v>
      </c>
      <c r="K606" s="13" t="n">
        <f aca="false">MIN(E606,G606,I606)</f>
        <v>253</v>
      </c>
      <c r="L606" s="9" t="str">
        <f aca="false">IF(E606=K606,"5000m",IF(G606=K606,"3000mSC","1500m"))</f>
        <v>3000mSC</v>
      </c>
      <c r="M606" s="14" t="n">
        <f aca="false">(D606&lt;&gt;"")*(D606&lt;=($E$3*60+$F$3)/86400)+(F606&lt;&gt;"")*(F606&lt;=($I$3*60+$J$3)/86400)+(H606&lt;&gt;"")*(H606&lt;=($M$3*60+$N$3)/86400)</f>
        <v>0</v>
      </c>
      <c r="N606" s="16"/>
      <c r="O606" s="15"/>
    </row>
    <row r="607" customFormat="false" ht="15" hidden="false" customHeight="false" outlineLevel="0" collapsed="false">
      <c r="A607" s="9" t="n">
        <v>601</v>
      </c>
      <c r="B607" s="10" t="s">
        <v>911</v>
      </c>
      <c r="C607" s="10" t="s">
        <v>130</v>
      </c>
      <c r="D607" s="11" t="n">
        <v>0.0103930555555556</v>
      </c>
      <c r="E607" s="12" t="n">
        <v>253</v>
      </c>
      <c r="F607" s="11"/>
      <c r="G607" s="12"/>
      <c r="H607" s="11"/>
      <c r="I607" s="12"/>
      <c r="J607" s="12" t="n">
        <f aca="false">COUNT(E607,G607,I607)</f>
        <v>1</v>
      </c>
      <c r="K607" s="13" t="n">
        <f aca="false">MIN(E607,G607,I607)</f>
        <v>253</v>
      </c>
      <c r="L607" s="9" t="str">
        <f aca="false">IF(E607=K607,"5000m",IF(G607=K607,"3000mSC","1500m"))</f>
        <v>5000m</v>
      </c>
      <c r="M607" s="14" t="n">
        <f aca="false">(D607&lt;&gt;"")*(D607&lt;=($E$3*60+$F$3)/86400)+(F607&lt;&gt;"")*(F607&lt;=($I$3*60+$J$3)/86400)+(H607&lt;&gt;"")*(H607&lt;=($M$3*60+$N$3)/86400)</f>
        <v>0</v>
      </c>
      <c r="N607" s="16"/>
      <c r="O607" s="15"/>
    </row>
    <row r="608" customFormat="false" ht="25.35" hidden="false" customHeight="false" outlineLevel="0" collapsed="false">
      <c r="A608" s="9" t="n">
        <v>602</v>
      </c>
      <c r="B608" s="10" t="s">
        <v>912</v>
      </c>
      <c r="C608" s="10" t="s">
        <v>534</v>
      </c>
      <c r="D608" s="11" t="n">
        <v>0.010896875</v>
      </c>
      <c r="E608" s="12" t="n">
        <v>917</v>
      </c>
      <c r="F608" s="11" t="n">
        <v>0.00691886574074074</v>
      </c>
      <c r="G608" s="12" t="n">
        <v>254</v>
      </c>
      <c r="H608" s="11"/>
      <c r="I608" s="12"/>
      <c r="J608" s="12" t="n">
        <f aca="false">COUNT(E608,G608,I608)</f>
        <v>2</v>
      </c>
      <c r="K608" s="13" t="n">
        <f aca="false">MIN(E608,G608,I608)</f>
        <v>254</v>
      </c>
      <c r="L608" s="9" t="str">
        <f aca="false">IF(E608=K608,"5000m",IF(G608=K608,"3000mSC","1500m"))</f>
        <v>3000mSC</v>
      </c>
      <c r="M608" s="14" t="n">
        <f aca="false">(D608&lt;&gt;"")*(D608&lt;=($E$3*60+$F$3)/86400)+(F608&lt;&gt;"")*(F608&lt;=($I$3*60+$J$3)/86400)+(H608&lt;&gt;"")*(H608&lt;=($M$3*60+$N$3)/86400)</f>
        <v>0</v>
      </c>
      <c r="N608" s="16"/>
      <c r="O608" s="15"/>
    </row>
    <row r="609" customFormat="false" ht="15" hidden="false" customHeight="false" outlineLevel="0" collapsed="false">
      <c r="A609" s="9" t="n">
        <v>603</v>
      </c>
      <c r="B609" s="10" t="s">
        <v>913</v>
      </c>
      <c r="C609" s="10" t="s">
        <v>397</v>
      </c>
      <c r="D609" s="11" t="n">
        <v>0.0103950231481482</v>
      </c>
      <c r="E609" s="12" t="n">
        <v>254</v>
      </c>
      <c r="F609" s="11"/>
      <c r="G609" s="12"/>
      <c r="H609" s="11"/>
      <c r="I609" s="12"/>
      <c r="J609" s="12" t="n">
        <f aca="false">COUNT(E609,G609,I609)</f>
        <v>1</v>
      </c>
      <c r="K609" s="13" t="n">
        <f aca="false">MIN(E609,G609,I609)</f>
        <v>254</v>
      </c>
      <c r="L609" s="9" t="str">
        <f aca="false">IF(E609=K609,"5000m",IF(G609=K609,"3000mSC","1500m"))</f>
        <v>5000m</v>
      </c>
      <c r="M609" s="14" t="n">
        <f aca="false">(D609&lt;&gt;"")*(D609&lt;=($E$3*60+$F$3)/86400)+(F609&lt;&gt;"")*(F609&lt;=($I$3*60+$J$3)/86400)+(H609&lt;&gt;"")*(H609&lt;=($M$3*60+$N$3)/86400)</f>
        <v>0</v>
      </c>
      <c r="N609" s="16"/>
      <c r="O609" s="15"/>
    </row>
    <row r="610" customFormat="false" ht="15" hidden="false" customHeight="false" outlineLevel="0" collapsed="false">
      <c r="A610" s="9" t="n">
        <v>604</v>
      </c>
      <c r="B610" s="10" t="s">
        <v>914</v>
      </c>
      <c r="C610" s="10" t="s">
        <v>915</v>
      </c>
      <c r="D610" s="11"/>
      <c r="E610" s="12"/>
      <c r="F610" s="11"/>
      <c r="G610" s="12"/>
      <c r="H610" s="11" t="n">
        <v>0.00279409722222222</v>
      </c>
      <c r="I610" s="12" t="n">
        <v>254</v>
      </c>
      <c r="J610" s="12" t="n">
        <f aca="false">COUNT(E610,G610,I610)</f>
        <v>1</v>
      </c>
      <c r="K610" s="13" t="n">
        <f aca="false">MIN(E610,G610,I610)</f>
        <v>254</v>
      </c>
      <c r="L610" s="9" t="str">
        <f aca="false">IF(E610=K610,"5000m",IF(G610=K610,"3000mSC","1500m"))</f>
        <v>1500m</v>
      </c>
      <c r="M610" s="14" t="n">
        <f aca="false">(D610&lt;&gt;"")*(D610&lt;=($E$3*60+$F$3)/86400)+(F610&lt;&gt;"")*(F610&lt;=($I$3*60+$J$3)/86400)+(H610&lt;&gt;"")*(H610&lt;=($M$3*60+$N$3)/86400)</f>
        <v>0</v>
      </c>
      <c r="N610" s="16"/>
      <c r="O610" s="15"/>
    </row>
    <row r="611" customFormat="false" ht="25.35" hidden="false" customHeight="false" outlineLevel="0" collapsed="false">
      <c r="A611" s="9" t="n">
        <v>605</v>
      </c>
      <c r="B611" s="10" t="s">
        <v>916</v>
      </c>
      <c r="C611" s="10" t="s">
        <v>917</v>
      </c>
      <c r="D611" s="11"/>
      <c r="E611" s="12"/>
      <c r="F611" s="11" t="n">
        <v>0.0069193287037037</v>
      </c>
      <c r="G611" s="12" t="n">
        <v>255</v>
      </c>
      <c r="H611" s="11" t="n">
        <v>0.0028662037037037</v>
      </c>
      <c r="I611" s="12" t="n">
        <v>671</v>
      </c>
      <c r="J611" s="12" t="n">
        <f aca="false">COUNT(E611,G611,I611)</f>
        <v>2</v>
      </c>
      <c r="K611" s="13" t="n">
        <f aca="false">MIN(E611,G611,I611)</f>
        <v>255</v>
      </c>
      <c r="L611" s="9" t="str">
        <f aca="false">IF(E611=K611,"5000m",IF(G611=K611,"3000mSC","1500m"))</f>
        <v>3000mSC</v>
      </c>
      <c r="M611" s="14" t="n">
        <f aca="false">(D611&lt;&gt;"")*(D611&lt;=($E$3*60+$F$3)/86400)+(F611&lt;&gt;"")*(F611&lt;=($I$3*60+$J$3)/86400)+(H611&lt;&gt;"")*(H611&lt;=($M$3*60+$N$3)/86400)</f>
        <v>0</v>
      </c>
      <c r="N611" s="16"/>
      <c r="O611" s="15"/>
    </row>
    <row r="612" customFormat="false" ht="15" hidden="false" customHeight="false" outlineLevel="0" collapsed="false">
      <c r="A612" s="9" t="n">
        <v>606</v>
      </c>
      <c r="B612" s="10" t="s">
        <v>918</v>
      </c>
      <c r="C612" s="10" t="s">
        <v>64</v>
      </c>
      <c r="D612" s="11" t="n">
        <v>0.0103954861111111</v>
      </c>
      <c r="E612" s="12" t="n">
        <v>255</v>
      </c>
      <c r="F612" s="11"/>
      <c r="G612" s="12"/>
      <c r="H612" s="11" t="n">
        <v>0.00294351851851852</v>
      </c>
      <c r="I612" s="12" t="n">
        <v>1214</v>
      </c>
      <c r="J612" s="12" t="n">
        <f aca="false">COUNT(E612,G612,I612)</f>
        <v>2</v>
      </c>
      <c r="K612" s="13" t="n">
        <f aca="false">MIN(E612,G612,I612)</f>
        <v>255</v>
      </c>
      <c r="L612" s="9" t="str">
        <f aca="false">IF(E612=K612,"5000m",IF(G612=K612,"3000mSC","1500m"))</f>
        <v>5000m</v>
      </c>
      <c r="M612" s="14" t="n">
        <f aca="false">(D612&lt;&gt;"")*(D612&lt;=($E$3*60+$F$3)/86400)+(F612&lt;&gt;"")*(F612&lt;=($I$3*60+$J$3)/86400)+(H612&lt;&gt;"")*(H612&lt;=($M$3*60+$N$3)/86400)</f>
        <v>0</v>
      </c>
      <c r="N612" s="16"/>
      <c r="O612" s="15"/>
    </row>
    <row r="613" customFormat="false" ht="15" hidden="false" customHeight="false" outlineLevel="0" collapsed="false">
      <c r="A613" s="9" t="n">
        <v>607</v>
      </c>
      <c r="B613" s="10" t="s">
        <v>919</v>
      </c>
      <c r="C613" s="10" t="s">
        <v>371</v>
      </c>
      <c r="D613" s="11"/>
      <c r="E613" s="12"/>
      <c r="F613" s="11"/>
      <c r="G613" s="12"/>
      <c r="H613" s="11" t="n">
        <v>0.00279421296296296</v>
      </c>
      <c r="I613" s="12" t="n">
        <v>255</v>
      </c>
      <c r="J613" s="12" t="n">
        <f aca="false">COUNT(E613,G613,I613)</f>
        <v>1</v>
      </c>
      <c r="K613" s="13" t="n">
        <f aca="false">MIN(E613,G613,I613)</f>
        <v>255</v>
      </c>
      <c r="L613" s="9" t="str">
        <f aca="false">IF(E613=K613,"5000m",IF(G613=K613,"3000mSC","1500m"))</f>
        <v>1500m</v>
      </c>
      <c r="M613" s="14" t="n">
        <f aca="false">(D613&lt;&gt;"")*(D613&lt;=($E$3*60+$F$3)/86400)+(F613&lt;&gt;"")*(F613&lt;=($I$3*60+$J$3)/86400)+(H613&lt;&gt;"")*(H613&lt;=($M$3*60+$N$3)/86400)</f>
        <v>0</v>
      </c>
      <c r="N613" s="16"/>
      <c r="O613" s="15"/>
    </row>
    <row r="614" customFormat="false" ht="25.35" hidden="false" customHeight="false" outlineLevel="0" collapsed="false">
      <c r="A614" s="9" t="n">
        <v>608</v>
      </c>
      <c r="B614" s="10" t="s">
        <v>920</v>
      </c>
      <c r="C614" s="10" t="s">
        <v>921</v>
      </c>
      <c r="D614" s="11"/>
      <c r="E614" s="12"/>
      <c r="F614" s="11" t="n">
        <v>0.00692048611111111</v>
      </c>
      <c r="G614" s="12" t="n">
        <v>256</v>
      </c>
      <c r="H614" s="11"/>
      <c r="I614" s="12"/>
      <c r="J614" s="12" t="n">
        <f aca="false">COUNT(E614,G614,I614)</f>
        <v>1</v>
      </c>
      <c r="K614" s="13" t="n">
        <f aca="false">MIN(E614,G614,I614)</f>
        <v>256</v>
      </c>
      <c r="L614" s="9" t="str">
        <f aca="false">IF(E614=K614,"5000m",IF(G614=K614,"3000mSC","1500m"))</f>
        <v>3000mSC</v>
      </c>
      <c r="M614" s="14" t="n">
        <f aca="false">(D614&lt;&gt;"")*(D614&lt;=($E$3*60+$F$3)/86400)+(F614&lt;&gt;"")*(F614&lt;=($I$3*60+$J$3)/86400)+(H614&lt;&gt;"")*(H614&lt;=($M$3*60+$N$3)/86400)</f>
        <v>0</v>
      </c>
      <c r="N614" s="16"/>
      <c r="O614" s="15"/>
    </row>
    <row r="615" customFormat="false" ht="15" hidden="false" customHeight="false" outlineLevel="0" collapsed="false">
      <c r="A615" s="9" t="n">
        <v>609</v>
      </c>
      <c r="B615" s="10" t="s">
        <v>922</v>
      </c>
      <c r="C615" s="10" t="s">
        <v>72</v>
      </c>
      <c r="D615" s="11"/>
      <c r="E615" s="12"/>
      <c r="F615" s="11"/>
      <c r="G615" s="12"/>
      <c r="H615" s="11" t="n">
        <v>0.0027943287037037</v>
      </c>
      <c r="I615" s="12" t="n">
        <v>256</v>
      </c>
      <c r="J615" s="12" t="n">
        <f aca="false">COUNT(E615,G615,I615)</f>
        <v>1</v>
      </c>
      <c r="K615" s="13" t="n">
        <f aca="false">MIN(E615,G615,I615)</f>
        <v>256</v>
      </c>
      <c r="L615" s="9" t="str">
        <f aca="false">IF(E615=K615,"5000m",IF(G615=K615,"3000mSC","1500m"))</f>
        <v>1500m</v>
      </c>
      <c r="M615" s="14" t="n">
        <f aca="false">(D615&lt;&gt;"")*(D615&lt;=($E$3*60+$F$3)/86400)+(F615&lt;&gt;"")*(F615&lt;=($I$3*60+$J$3)/86400)+(H615&lt;&gt;"")*(H615&lt;=($M$3*60+$N$3)/86400)</f>
        <v>0</v>
      </c>
      <c r="N615" s="16"/>
      <c r="O615" s="15"/>
    </row>
    <row r="616" customFormat="false" ht="15" hidden="false" customHeight="false" outlineLevel="0" collapsed="false">
      <c r="A616" s="9" t="n">
        <v>610</v>
      </c>
      <c r="B616" s="10" t="s">
        <v>923</v>
      </c>
      <c r="C616" s="10" t="s">
        <v>25</v>
      </c>
      <c r="D616" s="11" t="n">
        <v>0.0103967592592593</v>
      </c>
      <c r="E616" s="12" t="n">
        <v>257</v>
      </c>
      <c r="F616" s="11"/>
      <c r="G616" s="12"/>
      <c r="H616" s="11" t="n">
        <v>0.00284085648148148</v>
      </c>
      <c r="I616" s="12" t="n">
        <v>503</v>
      </c>
      <c r="J616" s="12" t="n">
        <f aca="false">COUNT(E616,G616,I616)</f>
        <v>2</v>
      </c>
      <c r="K616" s="13" t="n">
        <f aca="false">MIN(E616,G616,I616)</f>
        <v>257</v>
      </c>
      <c r="L616" s="9" t="str">
        <f aca="false">IF(E616=K616,"5000m",IF(G616=K616,"3000mSC","1500m"))</f>
        <v>5000m</v>
      </c>
      <c r="M616" s="14" t="n">
        <f aca="false">(D616&lt;&gt;"")*(D616&lt;=($E$3*60+$F$3)/86400)+(F616&lt;&gt;"")*(F616&lt;=($I$3*60+$J$3)/86400)+(H616&lt;&gt;"")*(H616&lt;=($M$3*60+$N$3)/86400)</f>
        <v>0</v>
      </c>
      <c r="N616" s="16"/>
      <c r="O616" s="15"/>
    </row>
    <row r="617" customFormat="false" ht="25.35" hidden="false" customHeight="false" outlineLevel="0" collapsed="false">
      <c r="A617" s="9" t="n">
        <v>611</v>
      </c>
      <c r="B617" s="10" t="s">
        <v>924</v>
      </c>
      <c r="C617" s="10" t="s">
        <v>145</v>
      </c>
      <c r="D617" s="11" t="n">
        <v>0.0110261574074074</v>
      </c>
      <c r="E617" s="12" t="n">
        <v>1141</v>
      </c>
      <c r="F617" s="11" t="n">
        <v>0.00692083333333333</v>
      </c>
      <c r="G617" s="12" t="n">
        <v>257</v>
      </c>
      <c r="H617" s="11"/>
      <c r="I617" s="12"/>
      <c r="J617" s="12" t="n">
        <f aca="false">COUNT(E617,G617,I617)</f>
        <v>2</v>
      </c>
      <c r="K617" s="13" t="n">
        <f aca="false">MIN(E617,G617,I617)</f>
        <v>257</v>
      </c>
      <c r="L617" s="9" t="str">
        <f aca="false">IF(E617=K617,"5000m",IF(G617=K617,"3000mSC","1500m"))</f>
        <v>3000mSC</v>
      </c>
      <c r="M617" s="14" t="n">
        <f aca="false">(D617&lt;&gt;"")*(D617&lt;=($E$3*60+$F$3)/86400)+(F617&lt;&gt;"")*(F617&lt;=($I$3*60+$J$3)/86400)+(H617&lt;&gt;"")*(H617&lt;=($M$3*60+$N$3)/86400)</f>
        <v>0</v>
      </c>
      <c r="N617" s="16"/>
      <c r="O617" s="15"/>
    </row>
    <row r="618" customFormat="false" ht="15" hidden="false" customHeight="false" outlineLevel="0" collapsed="false">
      <c r="A618" s="9" t="n">
        <v>612</v>
      </c>
      <c r="B618" s="10" t="s">
        <v>925</v>
      </c>
      <c r="C618" s="10" t="s">
        <v>103</v>
      </c>
      <c r="D618" s="11" t="n">
        <v>0.010396875</v>
      </c>
      <c r="E618" s="12" t="n">
        <v>258</v>
      </c>
      <c r="F618" s="11"/>
      <c r="G618" s="12"/>
      <c r="H618" s="11" t="n">
        <v>0.00292951388888889</v>
      </c>
      <c r="I618" s="12" t="n">
        <v>1171</v>
      </c>
      <c r="J618" s="12" t="n">
        <f aca="false">COUNT(E618,G618,I618)</f>
        <v>2</v>
      </c>
      <c r="K618" s="13" t="n">
        <f aca="false">MIN(E618,G618,I618)</f>
        <v>258</v>
      </c>
      <c r="L618" s="9" t="str">
        <f aca="false">IF(E618=K618,"5000m",IF(G618=K618,"3000mSC","1500m"))</f>
        <v>5000m</v>
      </c>
      <c r="M618" s="14" t="n">
        <f aca="false">(D618&lt;&gt;"")*(D618&lt;=($E$3*60+$F$3)/86400)+(F618&lt;&gt;"")*(F618&lt;=($I$3*60+$J$3)/86400)+(H618&lt;&gt;"")*(H618&lt;=($M$3*60+$N$3)/86400)</f>
        <v>0</v>
      </c>
      <c r="N618" s="16"/>
      <c r="O618" s="15"/>
    </row>
    <row r="619" customFormat="false" ht="15" hidden="false" customHeight="false" outlineLevel="0" collapsed="false">
      <c r="A619" s="9" t="n">
        <v>613</v>
      </c>
      <c r="B619" s="10" t="s">
        <v>926</v>
      </c>
      <c r="C619" s="10" t="s">
        <v>927</v>
      </c>
      <c r="D619" s="11" t="n">
        <v>0.0110541666666667</v>
      </c>
      <c r="E619" s="12" t="n">
        <v>1209</v>
      </c>
      <c r="F619" s="11"/>
      <c r="G619" s="12"/>
      <c r="H619" s="11" t="n">
        <v>0.00279490740740741</v>
      </c>
      <c r="I619" s="12" t="n">
        <v>258</v>
      </c>
      <c r="J619" s="12" t="n">
        <f aca="false">COUNT(E619,G619,I619)</f>
        <v>2</v>
      </c>
      <c r="K619" s="13" t="n">
        <f aca="false">MIN(E619,G619,I619)</f>
        <v>258</v>
      </c>
      <c r="L619" s="9" t="str">
        <f aca="false">IF(E619=K619,"5000m",IF(G619=K619,"3000mSC","1500m"))</f>
        <v>1500m</v>
      </c>
      <c r="M619" s="14" t="n">
        <f aca="false">(D619&lt;&gt;"")*(D619&lt;=($E$3*60+$F$3)/86400)+(F619&lt;&gt;"")*(F619&lt;=($I$3*60+$J$3)/86400)+(H619&lt;&gt;"")*(H619&lt;=($M$3*60+$N$3)/86400)</f>
        <v>0</v>
      </c>
      <c r="N619" s="16"/>
      <c r="O619" s="15"/>
    </row>
    <row r="620" customFormat="false" ht="25.35" hidden="false" customHeight="false" outlineLevel="0" collapsed="false">
      <c r="A620" s="9" t="n">
        <v>614</v>
      </c>
      <c r="B620" s="10" t="s">
        <v>928</v>
      </c>
      <c r="C620" s="10" t="s">
        <v>724</v>
      </c>
      <c r="D620" s="11"/>
      <c r="E620" s="12"/>
      <c r="F620" s="11" t="n">
        <v>0.00692094907407407</v>
      </c>
      <c r="G620" s="12" t="n">
        <v>258</v>
      </c>
      <c r="H620" s="11"/>
      <c r="I620" s="12"/>
      <c r="J620" s="12" t="n">
        <f aca="false">COUNT(E620,G620,I620)</f>
        <v>1</v>
      </c>
      <c r="K620" s="13" t="n">
        <f aca="false">MIN(E620,G620,I620)</f>
        <v>258</v>
      </c>
      <c r="L620" s="9" t="str">
        <f aca="false">IF(E620=K620,"5000m",IF(G620=K620,"3000mSC","1500m"))</f>
        <v>3000mSC</v>
      </c>
      <c r="M620" s="14" t="n">
        <f aca="false">(D620&lt;&gt;"")*(D620&lt;=($E$3*60+$F$3)/86400)+(F620&lt;&gt;"")*(F620&lt;=($I$3*60+$J$3)/86400)+(H620&lt;&gt;"")*(H620&lt;=($M$3*60+$N$3)/86400)</f>
        <v>0</v>
      </c>
      <c r="N620" s="16"/>
      <c r="O620" s="15"/>
    </row>
    <row r="621" customFormat="false" ht="25.35" hidden="false" customHeight="false" outlineLevel="0" collapsed="false">
      <c r="A621" s="9" t="n">
        <v>615</v>
      </c>
      <c r="B621" s="10" t="s">
        <v>929</v>
      </c>
      <c r="C621" s="10" t="s">
        <v>190</v>
      </c>
      <c r="D621" s="11" t="n">
        <v>0.0109090277777778</v>
      </c>
      <c r="E621" s="12" t="n">
        <v>937</v>
      </c>
      <c r="F621" s="11" t="n">
        <v>0.0069212962962963</v>
      </c>
      <c r="G621" s="12" t="n">
        <v>259</v>
      </c>
      <c r="H621" s="11" t="n">
        <v>0.00285833333333333</v>
      </c>
      <c r="I621" s="12" t="n">
        <v>624</v>
      </c>
      <c r="J621" s="12" t="n">
        <f aca="false">COUNT(E621,G621,I621)</f>
        <v>3</v>
      </c>
      <c r="K621" s="13" t="n">
        <f aca="false">MIN(E621,G621,I621)</f>
        <v>259</v>
      </c>
      <c r="L621" s="9" t="str">
        <f aca="false">IF(E621=K621,"5000m",IF(G621=K621,"3000mSC","1500m"))</f>
        <v>3000mSC</v>
      </c>
      <c r="M621" s="14" t="n">
        <f aca="false">(D621&lt;&gt;"")*(D621&lt;=($E$3*60+$F$3)/86400)+(F621&lt;&gt;"")*(F621&lt;=($I$3*60+$J$3)/86400)+(H621&lt;&gt;"")*(H621&lt;=($M$3*60+$N$3)/86400)</f>
        <v>0</v>
      </c>
      <c r="N621" s="16"/>
      <c r="O621" s="15"/>
    </row>
    <row r="622" customFormat="false" ht="15" hidden="false" customHeight="false" outlineLevel="0" collapsed="false">
      <c r="A622" s="9" t="n">
        <v>616</v>
      </c>
      <c r="B622" s="10" t="s">
        <v>930</v>
      </c>
      <c r="C622" s="10" t="s">
        <v>931</v>
      </c>
      <c r="D622" s="11"/>
      <c r="E622" s="12"/>
      <c r="F622" s="11"/>
      <c r="G622" s="12"/>
      <c r="H622" s="11" t="n">
        <v>0.00279525462962963</v>
      </c>
      <c r="I622" s="12" t="n">
        <v>259</v>
      </c>
      <c r="J622" s="12" t="n">
        <f aca="false">COUNT(E622,G622,I622)</f>
        <v>1</v>
      </c>
      <c r="K622" s="13" t="n">
        <f aca="false">MIN(E622,G622,I622)</f>
        <v>259</v>
      </c>
      <c r="L622" s="9" t="str">
        <f aca="false">IF(E622=K622,"5000m",IF(G622=K622,"3000mSC","1500m"))</f>
        <v>1500m</v>
      </c>
      <c r="M622" s="14" t="n">
        <f aca="false">(D622&lt;&gt;"")*(D622&lt;=($E$3*60+$F$3)/86400)+(F622&lt;&gt;"")*(F622&lt;=($I$3*60+$J$3)/86400)+(H622&lt;&gt;"")*(H622&lt;=($M$3*60+$N$3)/86400)</f>
        <v>0</v>
      </c>
      <c r="N622" s="16"/>
      <c r="O622" s="15"/>
    </row>
    <row r="623" customFormat="false" ht="15" hidden="false" customHeight="false" outlineLevel="0" collapsed="false">
      <c r="A623" s="9" t="n">
        <v>617</v>
      </c>
      <c r="B623" s="10" t="s">
        <v>932</v>
      </c>
      <c r="C623" s="10" t="s">
        <v>229</v>
      </c>
      <c r="D623" s="11" t="n">
        <v>0.0103972222222222</v>
      </c>
      <c r="E623" s="12" t="n">
        <v>260</v>
      </c>
      <c r="F623" s="11"/>
      <c r="G623" s="12"/>
      <c r="H623" s="11" t="n">
        <v>0.0028130787037037</v>
      </c>
      <c r="I623" s="12" t="n">
        <v>334</v>
      </c>
      <c r="J623" s="12" t="n">
        <f aca="false">COUNT(E623,G623,I623)</f>
        <v>2</v>
      </c>
      <c r="K623" s="13" t="n">
        <f aca="false">MIN(E623,G623,I623)</f>
        <v>260</v>
      </c>
      <c r="L623" s="9" t="str">
        <f aca="false">IF(E623=K623,"5000m",IF(G623=K623,"3000mSC","1500m"))</f>
        <v>5000m</v>
      </c>
      <c r="M623" s="14" t="n">
        <f aca="false">(D623&lt;&gt;"")*(D623&lt;=($E$3*60+$F$3)/86400)+(F623&lt;&gt;"")*(F623&lt;=($I$3*60+$J$3)/86400)+(H623&lt;&gt;"")*(H623&lt;=($M$3*60+$N$3)/86400)</f>
        <v>0</v>
      </c>
      <c r="N623" s="16"/>
      <c r="O623" s="15"/>
    </row>
    <row r="624" customFormat="false" ht="15" hidden="false" customHeight="false" outlineLevel="0" collapsed="false">
      <c r="A624" s="9" t="n">
        <v>618</v>
      </c>
      <c r="B624" s="10" t="s">
        <v>933</v>
      </c>
      <c r="C624" s="10" t="s">
        <v>277</v>
      </c>
      <c r="D624" s="11" t="n">
        <v>0.01104375</v>
      </c>
      <c r="E624" s="12" t="n">
        <v>1185</v>
      </c>
      <c r="F624" s="11"/>
      <c r="G624" s="12"/>
      <c r="H624" s="11" t="n">
        <v>0.00279525462962963</v>
      </c>
      <c r="I624" s="12" t="n">
        <v>260</v>
      </c>
      <c r="J624" s="12" t="n">
        <f aca="false">COUNT(E624,G624,I624)</f>
        <v>2</v>
      </c>
      <c r="K624" s="13" t="n">
        <f aca="false">MIN(E624,G624,I624)</f>
        <v>260</v>
      </c>
      <c r="L624" s="9" t="str">
        <f aca="false">IF(E624=K624,"5000m",IF(G624=K624,"3000mSC","1500m"))</f>
        <v>1500m</v>
      </c>
      <c r="M624" s="14" t="n">
        <f aca="false">(D624&lt;&gt;"")*(D624&lt;=($E$3*60+$F$3)/86400)+(F624&lt;&gt;"")*(F624&lt;=($I$3*60+$J$3)/86400)+(H624&lt;&gt;"")*(H624&lt;=($M$3*60+$N$3)/86400)</f>
        <v>0</v>
      </c>
      <c r="N624" s="16"/>
      <c r="O624" s="15"/>
    </row>
    <row r="625" customFormat="false" ht="25.35" hidden="false" customHeight="false" outlineLevel="0" collapsed="false">
      <c r="A625" s="9" t="n">
        <v>619</v>
      </c>
      <c r="B625" s="10" t="s">
        <v>934</v>
      </c>
      <c r="C625" s="10" t="s">
        <v>295</v>
      </c>
      <c r="D625" s="11"/>
      <c r="E625" s="12"/>
      <c r="F625" s="11" t="n">
        <v>0.00692233796296296</v>
      </c>
      <c r="G625" s="12" t="n">
        <v>260</v>
      </c>
      <c r="H625" s="11"/>
      <c r="I625" s="12"/>
      <c r="J625" s="12" t="n">
        <f aca="false">COUNT(E625,G625,I625)</f>
        <v>1</v>
      </c>
      <c r="K625" s="13" t="n">
        <f aca="false">MIN(E625,G625,I625)</f>
        <v>260</v>
      </c>
      <c r="L625" s="9" t="str">
        <f aca="false">IF(E625=K625,"5000m",IF(G625=K625,"3000mSC","1500m"))</f>
        <v>3000mSC</v>
      </c>
      <c r="M625" s="14" t="n">
        <f aca="false">(D625&lt;&gt;"")*(D625&lt;=($E$3*60+$F$3)/86400)+(F625&lt;&gt;"")*(F625&lt;=($I$3*60+$J$3)/86400)+(H625&lt;&gt;"")*(H625&lt;=($M$3*60+$N$3)/86400)</f>
        <v>0</v>
      </c>
      <c r="N625" s="16"/>
      <c r="O625" s="15"/>
    </row>
    <row r="626" customFormat="false" ht="15" hidden="false" customHeight="false" outlineLevel="0" collapsed="false">
      <c r="A626" s="9" t="n">
        <v>620</v>
      </c>
      <c r="B626" s="10" t="s">
        <v>935</v>
      </c>
      <c r="C626" s="10" t="s">
        <v>309</v>
      </c>
      <c r="D626" s="11" t="n">
        <v>0.0104947916666667</v>
      </c>
      <c r="E626" s="12" t="n">
        <v>337</v>
      </c>
      <c r="F626" s="11"/>
      <c r="G626" s="12"/>
      <c r="H626" s="11" t="n">
        <v>0.00279537037037037</v>
      </c>
      <c r="I626" s="12" t="n">
        <v>261</v>
      </c>
      <c r="J626" s="12" t="n">
        <f aca="false">COUNT(E626,G626,I626)</f>
        <v>2</v>
      </c>
      <c r="K626" s="13" t="n">
        <f aca="false">MIN(E626,G626,I626)</f>
        <v>261</v>
      </c>
      <c r="L626" s="9" t="str">
        <f aca="false">IF(E626=K626,"5000m",IF(G626=K626,"3000mSC","1500m"))</f>
        <v>1500m</v>
      </c>
      <c r="M626" s="14" t="n">
        <f aca="false">(D626&lt;&gt;"")*(D626&lt;=($E$3*60+$F$3)/86400)+(F626&lt;&gt;"")*(F626&lt;=($I$3*60+$J$3)/86400)+(H626&lt;&gt;"")*(H626&lt;=($M$3*60+$N$3)/86400)</f>
        <v>0</v>
      </c>
      <c r="N626" s="16"/>
      <c r="O626" s="15"/>
    </row>
    <row r="627" customFormat="false" ht="15" hidden="false" customHeight="false" outlineLevel="0" collapsed="false">
      <c r="A627" s="9" t="n">
        <v>621</v>
      </c>
      <c r="B627" s="10" t="s">
        <v>936</v>
      </c>
      <c r="C627" s="10" t="s">
        <v>79</v>
      </c>
      <c r="D627" s="11" t="n">
        <v>0.0103976851851852</v>
      </c>
      <c r="E627" s="12" t="n">
        <v>261</v>
      </c>
      <c r="F627" s="11"/>
      <c r="G627" s="12"/>
      <c r="H627" s="11" t="n">
        <v>0.00282592592592593</v>
      </c>
      <c r="I627" s="12" t="n">
        <v>398</v>
      </c>
      <c r="J627" s="12" t="n">
        <f aca="false">COUNT(E627,G627,I627)</f>
        <v>2</v>
      </c>
      <c r="K627" s="13" t="n">
        <f aca="false">MIN(E627,G627,I627)</f>
        <v>261</v>
      </c>
      <c r="L627" s="9" t="str">
        <f aca="false">IF(E627=K627,"5000m",IF(G627=K627,"3000mSC","1500m"))</f>
        <v>5000m</v>
      </c>
      <c r="M627" s="14" t="n">
        <f aca="false">(D627&lt;&gt;"")*(D627&lt;=($E$3*60+$F$3)/86400)+(F627&lt;&gt;"")*(F627&lt;=($I$3*60+$J$3)/86400)+(H627&lt;&gt;"")*(H627&lt;=($M$3*60+$N$3)/86400)</f>
        <v>0</v>
      </c>
      <c r="N627" s="16"/>
      <c r="O627" s="15"/>
    </row>
    <row r="628" customFormat="false" ht="25.35" hidden="false" customHeight="false" outlineLevel="0" collapsed="false">
      <c r="A628" s="9" t="n">
        <v>622</v>
      </c>
      <c r="B628" s="10" t="s">
        <v>937</v>
      </c>
      <c r="C628" s="10" t="s">
        <v>938</v>
      </c>
      <c r="D628" s="11"/>
      <c r="E628" s="12"/>
      <c r="F628" s="11" t="n">
        <v>0.00692268518518519</v>
      </c>
      <c r="G628" s="12" t="n">
        <v>261</v>
      </c>
      <c r="H628" s="11" t="n">
        <v>0.00291805555555556</v>
      </c>
      <c r="I628" s="12" t="n">
        <v>1076</v>
      </c>
      <c r="J628" s="12" t="n">
        <f aca="false">COUNT(E628,G628,I628)</f>
        <v>2</v>
      </c>
      <c r="K628" s="13" t="n">
        <f aca="false">MIN(E628,G628,I628)</f>
        <v>261</v>
      </c>
      <c r="L628" s="9" t="str">
        <f aca="false">IF(E628=K628,"5000m",IF(G628=K628,"3000mSC","1500m"))</f>
        <v>3000mSC</v>
      </c>
      <c r="M628" s="14" t="n">
        <f aca="false">(D628&lt;&gt;"")*(D628&lt;=($E$3*60+$F$3)/86400)+(F628&lt;&gt;"")*(F628&lt;=($I$3*60+$J$3)/86400)+(H628&lt;&gt;"")*(H628&lt;=($M$3*60+$N$3)/86400)</f>
        <v>0</v>
      </c>
      <c r="N628" s="16"/>
      <c r="O628" s="15"/>
    </row>
    <row r="629" customFormat="false" ht="15" hidden="false" customHeight="false" outlineLevel="0" collapsed="false">
      <c r="A629" s="9" t="n">
        <v>623</v>
      </c>
      <c r="B629" s="10" t="s">
        <v>939</v>
      </c>
      <c r="C629" s="10" t="s">
        <v>836</v>
      </c>
      <c r="D629" s="11" t="n">
        <v>0.0107810185185185</v>
      </c>
      <c r="E629" s="12" t="n">
        <v>708</v>
      </c>
      <c r="F629" s="11"/>
      <c r="G629" s="12"/>
      <c r="H629" s="11" t="n">
        <v>0.00279560185185185</v>
      </c>
      <c r="I629" s="12" t="n">
        <v>262</v>
      </c>
      <c r="J629" s="12" t="n">
        <f aca="false">COUNT(E629,G629,I629)</f>
        <v>2</v>
      </c>
      <c r="K629" s="13" t="n">
        <f aca="false">MIN(E629,G629,I629)</f>
        <v>262</v>
      </c>
      <c r="L629" s="9" t="str">
        <f aca="false">IF(E629=K629,"5000m",IF(G629=K629,"3000mSC","1500m"))</f>
        <v>1500m</v>
      </c>
      <c r="M629" s="14" t="n">
        <f aca="false">(D629&lt;&gt;"")*(D629&lt;=($E$3*60+$F$3)/86400)+(F629&lt;&gt;"")*(F629&lt;=($I$3*60+$J$3)/86400)+(H629&lt;&gt;"")*(H629&lt;=($M$3*60+$N$3)/86400)</f>
        <v>0</v>
      </c>
      <c r="N629" s="16"/>
      <c r="O629" s="15"/>
    </row>
    <row r="630" customFormat="false" ht="15" hidden="false" customHeight="false" outlineLevel="0" collapsed="false">
      <c r="A630" s="9" t="n">
        <v>624</v>
      </c>
      <c r="B630" s="10" t="s">
        <v>940</v>
      </c>
      <c r="C630" s="10" t="s">
        <v>171</v>
      </c>
      <c r="D630" s="11" t="n">
        <v>0.0103980324074074</v>
      </c>
      <c r="E630" s="12" t="n">
        <v>262</v>
      </c>
      <c r="F630" s="11"/>
      <c r="G630" s="12"/>
      <c r="H630" s="11" t="n">
        <v>0.00291655092592593</v>
      </c>
      <c r="I630" s="12" t="n">
        <v>1063</v>
      </c>
      <c r="J630" s="12" t="n">
        <f aca="false">COUNT(E630,G630,I630)</f>
        <v>2</v>
      </c>
      <c r="K630" s="13" t="n">
        <f aca="false">MIN(E630,G630,I630)</f>
        <v>262</v>
      </c>
      <c r="L630" s="9" t="str">
        <f aca="false">IF(E630=K630,"5000m",IF(G630=K630,"3000mSC","1500m"))</f>
        <v>5000m</v>
      </c>
      <c r="M630" s="14" t="n">
        <f aca="false">(D630&lt;&gt;"")*(D630&lt;=($E$3*60+$F$3)/86400)+(F630&lt;&gt;"")*(F630&lt;=($I$3*60+$J$3)/86400)+(H630&lt;&gt;"")*(H630&lt;=($M$3*60+$N$3)/86400)</f>
        <v>0</v>
      </c>
      <c r="N630" s="16"/>
      <c r="O630" s="15"/>
    </row>
    <row r="631" customFormat="false" ht="25.35" hidden="false" customHeight="false" outlineLevel="0" collapsed="false">
      <c r="A631" s="9" t="n">
        <v>625</v>
      </c>
      <c r="B631" s="10" t="s">
        <v>941</v>
      </c>
      <c r="C631" s="10" t="s">
        <v>564</v>
      </c>
      <c r="D631" s="11"/>
      <c r="E631" s="12"/>
      <c r="F631" s="11" t="n">
        <v>0.00692280092592593</v>
      </c>
      <c r="G631" s="12" t="n">
        <v>262</v>
      </c>
      <c r="H631" s="11"/>
      <c r="I631" s="12"/>
      <c r="J631" s="12" t="n">
        <f aca="false">COUNT(E631,G631,I631)</f>
        <v>1</v>
      </c>
      <c r="K631" s="13" t="n">
        <f aca="false">MIN(E631,G631,I631)</f>
        <v>262</v>
      </c>
      <c r="L631" s="9" t="str">
        <f aca="false">IF(E631=K631,"5000m",IF(G631=K631,"3000mSC","1500m"))</f>
        <v>3000mSC</v>
      </c>
      <c r="M631" s="14" t="n">
        <f aca="false">(D631&lt;&gt;"")*(D631&lt;=($E$3*60+$F$3)/86400)+(F631&lt;&gt;"")*(F631&lt;=($I$3*60+$J$3)/86400)+(H631&lt;&gt;"")*(H631&lt;=($M$3*60+$N$3)/86400)</f>
        <v>0</v>
      </c>
      <c r="N631" s="16"/>
      <c r="O631" s="15"/>
    </row>
    <row r="632" customFormat="false" ht="15" hidden="false" customHeight="false" outlineLevel="0" collapsed="false">
      <c r="A632" s="9" t="n">
        <v>626</v>
      </c>
      <c r="B632" s="10" t="s">
        <v>942</v>
      </c>
      <c r="C632" s="10" t="s">
        <v>931</v>
      </c>
      <c r="D632" s="11" t="n">
        <v>0.0107415509259259</v>
      </c>
      <c r="E632" s="12" t="n">
        <v>655</v>
      </c>
      <c r="F632" s="11"/>
      <c r="G632" s="12"/>
      <c r="H632" s="11" t="n">
        <v>0.00279560185185185</v>
      </c>
      <c r="I632" s="12" t="n">
        <v>263</v>
      </c>
      <c r="J632" s="12" t="n">
        <f aca="false">COUNT(E632,G632,I632)</f>
        <v>2</v>
      </c>
      <c r="K632" s="13" t="n">
        <f aca="false">MIN(E632,G632,I632)</f>
        <v>263</v>
      </c>
      <c r="L632" s="9" t="str">
        <f aca="false">IF(E632=K632,"5000m",IF(G632=K632,"3000mSC","1500m"))</f>
        <v>1500m</v>
      </c>
      <c r="M632" s="14" t="n">
        <f aca="false">(D632&lt;&gt;"")*(D632&lt;=($E$3*60+$F$3)/86400)+(F632&lt;&gt;"")*(F632&lt;=($I$3*60+$J$3)/86400)+(H632&lt;&gt;"")*(H632&lt;=($M$3*60+$N$3)/86400)</f>
        <v>0</v>
      </c>
      <c r="N632" s="16"/>
      <c r="O632" s="15"/>
    </row>
    <row r="633" customFormat="false" ht="15" hidden="false" customHeight="false" outlineLevel="0" collapsed="false">
      <c r="A633" s="9" t="n">
        <v>627</v>
      </c>
      <c r="B633" s="10" t="s">
        <v>943</v>
      </c>
      <c r="C633" s="10" t="s">
        <v>425</v>
      </c>
      <c r="D633" s="11" t="n">
        <v>0.0103997685185185</v>
      </c>
      <c r="E633" s="12" t="n">
        <v>263</v>
      </c>
      <c r="F633" s="11"/>
      <c r="G633" s="12"/>
      <c r="H633" s="11"/>
      <c r="I633" s="12"/>
      <c r="J633" s="12" t="n">
        <f aca="false">COUNT(E633,G633,I633)</f>
        <v>1</v>
      </c>
      <c r="K633" s="13" t="n">
        <f aca="false">MIN(E633,G633,I633)</f>
        <v>263</v>
      </c>
      <c r="L633" s="9" t="str">
        <f aca="false">IF(E633=K633,"5000m",IF(G633=K633,"3000mSC","1500m"))</f>
        <v>5000m</v>
      </c>
      <c r="M633" s="14" t="n">
        <f aca="false">(D633&lt;&gt;"")*(D633&lt;=($E$3*60+$F$3)/86400)+(F633&lt;&gt;"")*(F633&lt;=($I$3*60+$J$3)/86400)+(H633&lt;&gt;"")*(H633&lt;=($M$3*60+$N$3)/86400)</f>
        <v>0</v>
      </c>
      <c r="N633" s="16"/>
      <c r="O633" s="15"/>
    </row>
    <row r="634" customFormat="false" ht="25.35" hidden="false" customHeight="false" outlineLevel="0" collapsed="false">
      <c r="A634" s="9" t="n">
        <v>628</v>
      </c>
      <c r="B634" s="10" t="s">
        <v>944</v>
      </c>
      <c r="C634" s="10" t="s">
        <v>945</v>
      </c>
      <c r="D634" s="11"/>
      <c r="E634" s="12"/>
      <c r="F634" s="11" t="n">
        <v>0.00692361111111111</v>
      </c>
      <c r="G634" s="12" t="n">
        <v>263</v>
      </c>
      <c r="H634" s="11"/>
      <c r="I634" s="12"/>
      <c r="J634" s="12" t="n">
        <f aca="false">COUNT(E634,G634,I634)</f>
        <v>1</v>
      </c>
      <c r="K634" s="13" t="n">
        <f aca="false">MIN(E634,G634,I634)</f>
        <v>263</v>
      </c>
      <c r="L634" s="9" t="str">
        <f aca="false">IF(E634=K634,"5000m",IF(G634=K634,"3000mSC","1500m"))</f>
        <v>3000mSC</v>
      </c>
      <c r="M634" s="14" t="n">
        <f aca="false">(D634&lt;&gt;"")*(D634&lt;=($E$3*60+$F$3)/86400)+(F634&lt;&gt;"")*(F634&lt;=($I$3*60+$J$3)/86400)+(H634&lt;&gt;"")*(H634&lt;=($M$3*60+$N$3)/86400)</f>
        <v>0</v>
      </c>
      <c r="N634" s="16"/>
      <c r="O634" s="15"/>
    </row>
    <row r="635" customFormat="false" ht="15" hidden="false" customHeight="false" outlineLevel="0" collapsed="false">
      <c r="A635" s="9" t="n">
        <v>629</v>
      </c>
      <c r="B635" s="10" t="s">
        <v>946</v>
      </c>
      <c r="C635" s="10" t="s">
        <v>947</v>
      </c>
      <c r="D635" s="11" t="n">
        <v>0.010803125</v>
      </c>
      <c r="E635" s="12" t="n">
        <v>749</v>
      </c>
      <c r="F635" s="11"/>
      <c r="G635" s="12"/>
      <c r="H635" s="11" t="n">
        <v>0.00279560185185185</v>
      </c>
      <c r="I635" s="12" t="n">
        <v>264</v>
      </c>
      <c r="J635" s="12" t="n">
        <f aca="false">COUNT(E635,G635,I635)</f>
        <v>2</v>
      </c>
      <c r="K635" s="13" t="n">
        <f aca="false">MIN(E635,G635,I635)</f>
        <v>264</v>
      </c>
      <c r="L635" s="9" t="str">
        <f aca="false">IF(E635=K635,"5000m",IF(G635=K635,"3000mSC","1500m"))</f>
        <v>1500m</v>
      </c>
      <c r="M635" s="14" t="n">
        <f aca="false">(D635&lt;&gt;"")*(D635&lt;=($E$3*60+$F$3)/86400)+(F635&lt;&gt;"")*(F635&lt;=($I$3*60+$J$3)/86400)+(H635&lt;&gt;"")*(H635&lt;=($M$3*60+$N$3)/86400)</f>
        <v>0</v>
      </c>
      <c r="N635" s="16"/>
      <c r="O635" s="15"/>
    </row>
    <row r="636" customFormat="false" ht="25.35" hidden="false" customHeight="false" outlineLevel="0" collapsed="false">
      <c r="A636" s="9" t="n">
        <v>630</v>
      </c>
      <c r="B636" s="10" t="s">
        <v>948</v>
      </c>
      <c r="C636" s="10" t="s">
        <v>949</v>
      </c>
      <c r="D636" s="11"/>
      <c r="E636" s="12"/>
      <c r="F636" s="11" t="n">
        <v>0.00692488425925926</v>
      </c>
      <c r="G636" s="12" t="n">
        <v>264</v>
      </c>
      <c r="H636" s="11"/>
      <c r="I636" s="12"/>
      <c r="J636" s="12" t="n">
        <f aca="false">COUNT(E636,G636,I636)</f>
        <v>1</v>
      </c>
      <c r="K636" s="13" t="n">
        <f aca="false">MIN(E636,G636,I636)</f>
        <v>264</v>
      </c>
      <c r="L636" s="9" t="str">
        <f aca="false">IF(E636=K636,"5000m",IF(G636=K636,"3000mSC","1500m"))</f>
        <v>3000mSC</v>
      </c>
      <c r="M636" s="14" t="n">
        <f aca="false">(D636&lt;&gt;"")*(D636&lt;=($E$3*60+$F$3)/86400)+(F636&lt;&gt;"")*(F636&lt;=($I$3*60+$J$3)/86400)+(H636&lt;&gt;"")*(H636&lt;=($M$3*60+$N$3)/86400)</f>
        <v>0</v>
      </c>
      <c r="N636" s="16"/>
      <c r="O636" s="15"/>
    </row>
    <row r="637" customFormat="false" ht="15" hidden="false" customHeight="false" outlineLevel="0" collapsed="false">
      <c r="A637" s="9" t="n">
        <v>631</v>
      </c>
      <c r="B637" s="10" t="s">
        <v>950</v>
      </c>
      <c r="C637" s="10" t="s">
        <v>213</v>
      </c>
      <c r="D637" s="11" t="n">
        <v>0.0104001157407407</v>
      </c>
      <c r="E637" s="12" t="n">
        <v>265</v>
      </c>
      <c r="F637" s="11"/>
      <c r="G637" s="12"/>
      <c r="H637" s="11"/>
      <c r="I637" s="12"/>
      <c r="J637" s="12" t="n">
        <f aca="false">COUNT(E637,G637,I637)</f>
        <v>1</v>
      </c>
      <c r="K637" s="13" t="n">
        <f aca="false">MIN(E637,G637,I637)</f>
        <v>265</v>
      </c>
      <c r="L637" s="9" t="str">
        <f aca="false">IF(E637=K637,"5000m",IF(G637=K637,"3000mSC","1500m"))</f>
        <v>5000m</v>
      </c>
      <c r="M637" s="14" t="n">
        <f aca="false">(D637&lt;&gt;"")*(D637&lt;=($E$3*60+$F$3)/86400)+(F637&lt;&gt;"")*(F637&lt;=($I$3*60+$J$3)/86400)+(H637&lt;&gt;"")*(H637&lt;=($M$3*60+$N$3)/86400)</f>
        <v>0</v>
      </c>
      <c r="N637" s="16"/>
      <c r="O637" s="15"/>
    </row>
    <row r="638" customFormat="false" ht="25.35" hidden="false" customHeight="false" outlineLevel="0" collapsed="false">
      <c r="A638" s="9" t="n">
        <v>632</v>
      </c>
      <c r="B638" s="10" t="s">
        <v>951</v>
      </c>
      <c r="C638" s="10" t="s">
        <v>952</v>
      </c>
      <c r="D638" s="11"/>
      <c r="E638" s="12"/>
      <c r="F638" s="11" t="n">
        <v>0.00692604166666667</v>
      </c>
      <c r="G638" s="12" t="n">
        <v>265</v>
      </c>
      <c r="H638" s="11"/>
      <c r="I638" s="12"/>
      <c r="J638" s="12" t="n">
        <f aca="false">COUNT(E638,G638,I638)</f>
        <v>1</v>
      </c>
      <c r="K638" s="13" t="n">
        <f aca="false">MIN(E638,G638,I638)</f>
        <v>265</v>
      </c>
      <c r="L638" s="9" t="str">
        <f aca="false">IF(E638=K638,"5000m",IF(G638=K638,"3000mSC","1500m"))</f>
        <v>3000mSC</v>
      </c>
      <c r="M638" s="14" t="n">
        <f aca="false">(D638&lt;&gt;"")*(D638&lt;=($E$3*60+$F$3)/86400)+(F638&lt;&gt;"")*(F638&lt;=($I$3*60+$J$3)/86400)+(H638&lt;&gt;"")*(H638&lt;=($M$3*60+$N$3)/86400)</f>
        <v>0</v>
      </c>
      <c r="N638" s="16"/>
      <c r="O638" s="15"/>
    </row>
    <row r="639" customFormat="false" ht="15" hidden="false" customHeight="false" outlineLevel="0" collapsed="false">
      <c r="A639" s="9" t="n">
        <v>633</v>
      </c>
      <c r="B639" s="10" t="s">
        <v>953</v>
      </c>
      <c r="C639" s="10" t="s">
        <v>954</v>
      </c>
      <c r="D639" s="11"/>
      <c r="E639" s="12"/>
      <c r="F639" s="11"/>
      <c r="G639" s="12"/>
      <c r="H639" s="11" t="n">
        <v>0.00279606481481482</v>
      </c>
      <c r="I639" s="12" t="n">
        <v>265</v>
      </c>
      <c r="J639" s="12" t="n">
        <f aca="false">COUNT(E639,G639,I639)</f>
        <v>1</v>
      </c>
      <c r="K639" s="13" t="n">
        <f aca="false">MIN(E639,G639,I639)</f>
        <v>265</v>
      </c>
      <c r="L639" s="9" t="str">
        <f aca="false">IF(E639=K639,"5000m",IF(G639=K639,"3000mSC","1500m"))</f>
        <v>1500m</v>
      </c>
      <c r="M639" s="14" t="n">
        <f aca="false">(D639&lt;&gt;"")*(D639&lt;=($E$3*60+$F$3)/86400)+(F639&lt;&gt;"")*(F639&lt;=($I$3*60+$J$3)/86400)+(H639&lt;&gt;"")*(H639&lt;=($M$3*60+$N$3)/86400)</f>
        <v>0</v>
      </c>
      <c r="N639" s="16"/>
      <c r="O639" s="15"/>
    </row>
    <row r="640" customFormat="false" ht="15" hidden="false" customHeight="false" outlineLevel="0" collapsed="false">
      <c r="A640" s="9" t="n">
        <v>634</v>
      </c>
      <c r="B640" s="10" t="s">
        <v>955</v>
      </c>
      <c r="C640" s="10" t="s">
        <v>884</v>
      </c>
      <c r="D640" s="11" t="n">
        <v>0.0104003472222222</v>
      </c>
      <c r="E640" s="12" t="n">
        <v>266</v>
      </c>
      <c r="F640" s="11"/>
      <c r="G640" s="12"/>
      <c r="H640" s="11" t="n">
        <v>0.00294560185185185</v>
      </c>
      <c r="I640" s="12" t="n">
        <v>1218</v>
      </c>
      <c r="J640" s="12" t="n">
        <f aca="false">COUNT(E640,G640,I640)</f>
        <v>2</v>
      </c>
      <c r="K640" s="13" t="n">
        <f aca="false">MIN(E640,G640,I640)</f>
        <v>266</v>
      </c>
      <c r="L640" s="9" t="str">
        <f aca="false">IF(E640=K640,"5000m",IF(G640=K640,"3000mSC","1500m"))</f>
        <v>5000m</v>
      </c>
      <c r="M640" s="14" t="n">
        <f aca="false">(D640&lt;&gt;"")*(D640&lt;=($E$3*60+$F$3)/86400)+(F640&lt;&gt;"")*(F640&lt;=($I$3*60+$J$3)/86400)+(H640&lt;&gt;"")*(H640&lt;=($M$3*60+$N$3)/86400)</f>
        <v>0</v>
      </c>
      <c r="N640" s="16"/>
      <c r="O640" s="15"/>
    </row>
    <row r="641" customFormat="false" ht="25.35" hidden="false" customHeight="false" outlineLevel="0" collapsed="false">
      <c r="A641" s="9" t="n">
        <v>635</v>
      </c>
      <c r="B641" s="10" t="s">
        <v>956</v>
      </c>
      <c r="C641" s="10" t="s">
        <v>541</v>
      </c>
      <c r="D641" s="11" t="n">
        <v>0.0109114583333333</v>
      </c>
      <c r="E641" s="12" t="n">
        <v>940</v>
      </c>
      <c r="F641" s="11" t="n">
        <v>0.00692696759259259</v>
      </c>
      <c r="G641" s="12" t="n">
        <v>267</v>
      </c>
      <c r="H641" s="11" t="n">
        <v>0.00289166666666667</v>
      </c>
      <c r="I641" s="12" t="n">
        <v>884</v>
      </c>
      <c r="J641" s="12" t="n">
        <f aca="false">COUNT(E641,G641,I641)</f>
        <v>3</v>
      </c>
      <c r="K641" s="13" t="n">
        <f aca="false">MIN(E641,G641,I641)</f>
        <v>267</v>
      </c>
      <c r="L641" s="9" t="str">
        <f aca="false">IF(E641=K641,"5000m",IF(G641=K641,"3000mSC","1500m"))</f>
        <v>3000mSC</v>
      </c>
      <c r="M641" s="14" t="n">
        <f aca="false">(D641&lt;&gt;"")*(D641&lt;=($E$3*60+$F$3)/86400)+(F641&lt;&gt;"")*(F641&lt;=($I$3*60+$J$3)/86400)+(H641&lt;&gt;"")*(H641&lt;=($M$3*60+$N$3)/86400)</f>
        <v>0</v>
      </c>
      <c r="N641" s="16"/>
      <c r="O641" s="15"/>
    </row>
    <row r="642" customFormat="false" ht="15" hidden="false" customHeight="false" outlineLevel="0" collapsed="false">
      <c r="A642" s="9" t="n">
        <v>636</v>
      </c>
      <c r="B642" s="10" t="s">
        <v>957</v>
      </c>
      <c r="C642" s="10" t="s">
        <v>358</v>
      </c>
      <c r="D642" s="11" t="n">
        <v>0.0105081018518519</v>
      </c>
      <c r="E642" s="12" t="n">
        <v>348</v>
      </c>
      <c r="F642" s="11"/>
      <c r="G642" s="12"/>
      <c r="H642" s="11" t="n">
        <v>0.00279618055555556</v>
      </c>
      <c r="I642" s="12" t="n">
        <v>267</v>
      </c>
      <c r="J642" s="12" t="n">
        <f aca="false">COUNT(E642,G642,I642)</f>
        <v>2</v>
      </c>
      <c r="K642" s="13" t="n">
        <f aca="false">MIN(E642,G642,I642)</f>
        <v>267</v>
      </c>
      <c r="L642" s="9" t="str">
        <f aca="false">IF(E642=K642,"5000m",IF(G642=K642,"3000mSC","1500m"))</f>
        <v>1500m</v>
      </c>
      <c r="M642" s="14" t="n">
        <f aca="false">(D642&lt;&gt;"")*(D642&lt;=($E$3*60+$F$3)/86400)+(F642&lt;&gt;"")*(F642&lt;=($I$3*60+$J$3)/86400)+(H642&lt;&gt;"")*(H642&lt;=($M$3*60+$N$3)/86400)</f>
        <v>0</v>
      </c>
      <c r="N642" s="16"/>
      <c r="O642" s="15"/>
    </row>
    <row r="643" customFormat="false" ht="25.35" hidden="false" customHeight="false" outlineLevel="0" collapsed="false">
      <c r="A643" s="9" t="n">
        <v>637</v>
      </c>
      <c r="B643" s="10" t="s">
        <v>958</v>
      </c>
      <c r="C643" s="10" t="s">
        <v>350</v>
      </c>
      <c r="D643" s="11"/>
      <c r="E643" s="12"/>
      <c r="F643" s="11" t="n">
        <v>0.0069275462962963</v>
      </c>
      <c r="G643" s="12" t="n">
        <v>268</v>
      </c>
      <c r="H643" s="11"/>
      <c r="I643" s="12"/>
      <c r="J643" s="12" t="n">
        <f aca="false">COUNT(E643,G643,I643)</f>
        <v>1</v>
      </c>
      <c r="K643" s="13" t="n">
        <f aca="false">MIN(E643,G643,I643)</f>
        <v>268</v>
      </c>
      <c r="L643" s="9" t="str">
        <f aca="false">IF(E643=K643,"5000m",IF(G643=K643,"3000mSC","1500m"))</f>
        <v>3000mSC</v>
      </c>
      <c r="M643" s="14" t="n">
        <f aca="false">(D643&lt;&gt;"")*(D643&lt;=($E$3*60+$F$3)/86400)+(F643&lt;&gt;"")*(F643&lt;=($I$3*60+$J$3)/86400)+(H643&lt;&gt;"")*(H643&lt;=($M$3*60+$N$3)/86400)</f>
        <v>0</v>
      </c>
      <c r="N643" s="16"/>
      <c r="O643" s="15"/>
    </row>
    <row r="644" customFormat="false" ht="15" hidden="false" customHeight="false" outlineLevel="0" collapsed="false">
      <c r="A644" s="9" t="n">
        <v>638</v>
      </c>
      <c r="B644" s="10" t="s">
        <v>959</v>
      </c>
      <c r="C644" s="10" t="s">
        <v>105</v>
      </c>
      <c r="D644" s="11" t="n">
        <v>0.0104037037037037</v>
      </c>
      <c r="E644" s="12" t="n">
        <v>269</v>
      </c>
      <c r="F644" s="11"/>
      <c r="G644" s="12"/>
      <c r="H644" s="11" t="n">
        <v>0.002796875</v>
      </c>
      <c r="I644" s="12" t="n">
        <v>269</v>
      </c>
      <c r="J644" s="12" t="n">
        <f aca="false">COUNT(E644,G644,I644)</f>
        <v>2</v>
      </c>
      <c r="K644" s="13" t="n">
        <f aca="false">MIN(E644,G644,I644)</f>
        <v>269</v>
      </c>
      <c r="L644" s="9" t="str">
        <f aca="false">IF(E644=K644,"5000m",IF(G644=K644,"3000mSC","1500m"))</f>
        <v>5000m</v>
      </c>
      <c r="M644" s="14" t="n">
        <f aca="false">(D644&lt;&gt;"")*(D644&lt;=($E$3*60+$F$3)/86400)+(F644&lt;&gt;"")*(F644&lt;=($I$3*60+$J$3)/86400)+(H644&lt;&gt;"")*(H644&lt;=($M$3*60+$N$3)/86400)</f>
        <v>0</v>
      </c>
      <c r="N644" s="16"/>
      <c r="O644" s="15"/>
    </row>
    <row r="645" customFormat="false" ht="25.35" hidden="false" customHeight="false" outlineLevel="0" collapsed="false">
      <c r="A645" s="9" t="n">
        <v>639</v>
      </c>
      <c r="B645" s="10" t="s">
        <v>960</v>
      </c>
      <c r="C645" s="10" t="s">
        <v>658</v>
      </c>
      <c r="D645" s="11"/>
      <c r="E645" s="12"/>
      <c r="F645" s="11" t="n">
        <v>0.0069287037037037</v>
      </c>
      <c r="G645" s="12" t="n">
        <v>269</v>
      </c>
      <c r="H645" s="11"/>
      <c r="I645" s="12"/>
      <c r="J645" s="12" t="n">
        <f aca="false">COUNT(E645,G645,I645)</f>
        <v>1</v>
      </c>
      <c r="K645" s="13" t="n">
        <f aca="false">MIN(E645,G645,I645)</f>
        <v>269</v>
      </c>
      <c r="L645" s="9" t="str">
        <f aca="false">IF(E645=K645,"5000m",IF(G645=K645,"3000mSC","1500m"))</f>
        <v>3000mSC</v>
      </c>
      <c r="M645" s="14" t="n">
        <f aca="false">(D645&lt;&gt;"")*(D645&lt;=($E$3*60+$F$3)/86400)+(F645&lt;&gt;"")*(F645&lt;=($I$3*60+$J$3)/86400)+(H645&lt;&gt;"")*(H645&lt;=($M$3*60+$N$3)/86400)</f>
        <v>0</v>
      </c>
      <c r="N645" s="16"/>
      <c r="O645" s="15"/>
    </row>
    <row r="646" customFormat="false" ht="15" hidden="false" customHeight="false" outlineLevel="0" collapsed="false">
      <c r="A646" s="9" t="n">
        <v>640</v>
      </c>
      <c r="B646" s="10" t="s">
        <v>961</v>
      </c>
      <c r="C646" s="10" t="s">
        <v>302</v>
      </c>
      <c r="D646" s="11" t="n">
        <v>0.0107273148148148</v>
      </c>
      <c r="E646" s="12" t="n">
        <v>625</v>
      </c>
      <c r="F646" s="11"/>
      <c r="G646" s="12"/>
      <c r="H646" s="11" t="n">
        <v>0.00279710648148148</v>
      </c>
      <c r="I646" s="12" t="n">
        <v>270</v>
      </c>
      <c r="J646" s="12" t="n">
        <f aca="false">COUNT(E646,G646,I646)</f>
        <v>2</v>
      </c>
      <c r="K646" s="13" t="n">
        <f aca="false">MIN(E646,G646,I646)</f>
        <v>270</v>
      </c>
      <c r="L646" s="9" t="str">
        <f aca="false">IF(E646=K646,"5000m",IF(G646=K646,"3000mSC","1500m"))</f>
        <v>1500m</v>
      </c>
      <c r="M646" s="14" t="n">
        <f aca="false">(D646&lt;&gt;"")*(D646&lt;=($E$3*60+$F$3)/86400)+(F646&lt;&gt;"")*(F646&lt;=($I$3*60+$J$3)/86400)+(H646&lt;&gt;"")*(H646&lt;=($M$3*60+$N$3)/86400)</f>
        <v>0</v>
      </c>
      <c r="N646" s="16"/>
      <c r="O646" s="15"/>
    </row>
    <row r="647" customFormat="false" ht="25.35" hidden="false" customHeight="false" outlineLevel="0" collapsed="false">
      <c r="A647" s="9" t="n">
        <v>641</v>
      </c>
      <c r="B647" s="10" t="s">
        <v>962</v>
      </c>
      <c r="C647" s="10" t="s">
        <v>963</v>
      </c>
      <c r="D647" s="11"/>
      <c r="E647" s="12"/>
      <c r="F647" s="11" t="n">
        <v>0.00692916666666667</v>
      </c>
      <c r="G647" s="12" t="n">
        <v>270</v>
      </c>
      <c r="H647" s="11"/>
      <c r="I647" s="12"/>
      <c r="J647" s="12" t="n">
        <f aca="false">COUNT(E647,G647,I647)</f>
        <v>1</v>
      </c>
      <c r="K647" s="13" t="n">
        <f aca="false">MIN(E647,G647,I647)</f>
        <v>270</v>
      </c>
      <c r="L647" s="9" t="str">
        <f aca="false">IF(E647=K647,"5000m",IF(G647=K647,"3000mSC","1500m"))</f>
        <v>3000mSC</v>
      </c>
      <c r="M647" s="14" t="n">
        <f aca="false">(D647&lt;&gt;"")*(D647&lt;=($E$3*60+$F$3)/86400)+(F647&lt;&gt;"")*(F647&lt;=($I$3*60+$J$3)/86400)+(H647&lt;&gt;"")*(H647&lt;=($M$3*60+$N$3)/86400)</f>
        <v>0</v>
      </c>
      <c r="N647" s="16"/>
      <c r="O647" s="15"/>
    </row>
    <row r="648" customFormat="false" ht="15" hidden="false" customHeight="false" outlineLevel="0" collapsed="false">
      <c r="A648" s="9" t="n">
        <v>642</v>
      </c>
      <c r="B648" s="10" t="s">
        <v>964</v>
      </c>
      <c r="C648" s="10" t="s">
        <v>302</v>
      </c>
      <c r="D648" s="11" t="n">
        <v>0.0104074074074074</v>
      </c>
      <c r="E648" s="12" t="n">
        <v>271</v>
      </c>
      <c r="F648" s="11"/>
      <c r="G648" s="12"/>
      <c r="H648" s="11" t="n">
        <v>0.00280208333333333</v>
      </c>
      <c r="I648" s="12" t="n">
        <v>290</v>
      </c>
      <c r="J648" s="12" t="n">
        <f aca="false">COUNT(E648,G648,I648)</f>
        <v>2</v>
      </c>
      <c r="K648" s="13" t="n">
        <f aca="false">MIN(E648,G648,I648)</f>
        <v>271</v>
      </c>
      <c r="L648" s="9" t="str">
        <f aca="false">IF(E648=K648,"5000m",IF(G648=K648,"3000mSC","1500m"))</f>
        <v>5000m</v>
      </c>
      <c r="M648" s="14" t="n">
        <f aca="false">(D648&lt;&gt;"")*(D648&lt;=($E$3*60+$F$3)/86400)+(F648&lt;&gt;"")*(F648&lt;=($I$3*60+$J$3)/86400)+(H648&lt;&gt;"")*(H648&lt;=($M$3*60+$N$3)/86400)</f>
        <v>0</v>
      </c>
      <c r="N648" s="16"/>
      <c r="O648" s="15"/>
    </row>
    <row r="649" customFormat="false" ht="15" hidden="false" customHeight="false" outlineLevel="0" collapsed="false">
      <c r="A649" s="9" t="n">
        <v>643</v>
      </c>
      <c r="B649" s="10" t="s">
        <v>965</v>
      </c>
      <c r="C649" s="10" t="s">
        <v>966</v>
      </c>
      <c r="D649" s="11"/>
      <c r="E649" s="12"/>
      <c r="F649" s="11"/>
      <c r="G649" s="12"/>
      <c r="H649" s="11" t="n">
        <v>0.0027974537037037</v>
      </c>
      <c r="I649" s="12" t="n">
        <v>271</v>
      </c>
      <c r="J649" s="12" t="n">
        <f aca="false">COUNT(E649,G649,I649)</f>
        <v>1</v>
      </c>
      <c r="K649" s="13" t="n">
        <f aca="false">MIN(E649,G649,I649)</f>
        <v>271</v>
      </c>
      <c r="L649" s="9" t="str">
        <f aca="false">IF(E649=K649,"5000m",IF(G649=K649,"3000mSC","1500m"))</f>
        <v>1500m</v>
      </c>
      <c r="M649" s="14" t="n">
        <f aca="false">(D649&lt;&gt;"")*(D649&lt;=($E$3*60+$F$3)/86400)+(F649&lt;&gt;"")*(F649&lt;=($I$3*60+$J$3)/86400)+(H649&lt;&gt;"")*(H649&lt;=($M$3*60+$N$3)/86400)</f>
        <v>0</v>
      </c>
      <c r="N649" s="16"/>
      <c r="O649" s="15"/>
    </row>
    <row r="650" customFormat="false" ht="15" hidden="false" customHeight="false" outlineLevel="0" collapsed="false">
      <c r="A650" s="9" t="n">
        <v>644</v>
      </c>
      <c r="B650" s="10" t="s">
        <v>967</v>
      </c>
      <c r="C650" s="10" t="s">
        <v>109</v>
      </c>
      <c r="D650" s="11" t="n">
        <v>0.0106086805555556</v>
      </c>
      <c r="E650" s="12" t="n">
        <v>474</v>
      </c>
      <c r="F650" s="11" t="n">
        <v>0.00698622685185185</v>
      </c>
      <c r="G650" s="12" t="n">
        <v>321</v>
      </c>
      <c r="H650" s="11" t="n">
        <v>0.00279756944444445</v>
      </c>
      <c r="I650" s="12" t="n">
        <v>272</v>
      </c>
      <c r="J650" s="12" t="n">
        <f aca="false">COUNT(E650,G650,I650)</f>
        <v>3</v>
      </c>
      <c r="K650" s="13" t="n">
        <f aca="false">MIN(E650,G650,I650)</f>
        <v>272</v>
      </c>
      <c r="L650" s="9" t="str">
        <f aca="false">IF(E650=K650,"5000m",IF(G650=K650,"3000mSC","1500m"))</f>
        <v>1500m</v>
      </c>
      <c r="M650" s="14" t="n">
        <f aca="false">(D650&lt;&gt;"")*(D650&lt;=($E$3*60+$F$3)/86400)+(F650&lt;&gt;"")*(F650&lt;=($I$3*60+$J$3)/86400)+(H650&lt;&gt;"")*(H650&lt;=($M$3*60+$N$3)/86400)</f>
        <v>0</v>
      </c>
      <c r="N650" s="16"/>
      <c r="O650" s="15"/>
    </row>
    <row r="651" customFormat="false" ht="25.35" hidden="false" customHeight="false" outlineLevel="0" collapsed="false">
      <c r="A651" s="9" t="n">
        <v>645</v>
      </c>
      <c r="B651" s="10" t="s">
        <v>968</v>
      </c>
      <c r="C651" s="10" t="s">
        <v>969</v>
      </c>
      <c r="D651" s="11"/>
      <c r="E651" s="12"/>
      <c r="F651" s="11" t="n">
        <v>0.00692986111111111</v>
      </c>
      <c r="G651" s="12" t="n">
        <v>272</v>
      </c>
      <c r="H651" s="11"/>
      <c r="I651" s="12"/>
      <c r="J651" s="12" t="n">
        <f aca="false">COUNT(E651,G651,I651)</f>
        <v>1</v>
      </c>
      <c r="K651" s="13" t="n">
        <f aca="false">MIN(E651,G651,I651)</f>
        <v>272</v>
      </c>
      <c r="L651" s="9" t="str">
        <f aca="false">IF(E651=K651,"5000m",IF(G651=K651,"3000mSC","1500m"))</f>
        <v>3000mSC</v>
      </c>
      <c r="M651" s="14" t="n">
        <f aca="false">(D651&lt;&gt;"")*(D651&lt;=($E$3*60+$F$3)/86400)+(F651&lt;&gt;"")*(F651&lt;=($I$3*60+$J$3)/86400)+(H651&lt;&gt;"")*(H651&lt;=($M$3*60+$N$3)/86400)</f>
        <v>0</v>
      </c>
      <c r="N651" s="16"/>
      <c r="O651" s="15"/>
    </row>
    <row r="652" customFormat="false" ht="25.35" hidden="false" customHeight="false" outlineLevel="0" collapsed="false">
      <c r="A652" s="9" t="n">
        <v>646</v>
      </c>
      <c r="B652" s="10" t="s">
        <v>970</v>
      </c>
      <c r="C652" s="10" t="s">
        <v>72</v>
      </c>
      <c r="D652" s="11" t="n">
        <v>0.0108023148148148</v>
      </c>
      <c r="E652" s="12" t="n">
        <v>747</v>
      </c>
      <c r="F652" s="11" t="n">
        <v>0.00692986111111111</v>
      </c>
      <c r="G652" s="12" t="n">
        <v>273</v>
      </c>
      <c r="H652" s="11" t="n">
        <v>0.00288194444444444</v>
      </c>
      <c r="I652" s="12" t="n">
        <v>791</v>
      </c>
      <c r="J652" s="12" t="n">
        <f aca="false">COUNT(E652,G652,I652)</f>
        <v>3</v>
      </c>
      <c r="K652" s="13" t="n">
        <f aca="false">MIN(E652,G652,I652)</f>
        <v>273</v>
      </c>
      <c r="L652" s="9" t="str">
        <f aca="false">IF(E652=K652,"5000m",IF(G652=K652,"3000mSC","1500m"))</f>
        <v>3000mSC</v>
      </c>
      <c r="M652" s="14" t="n">
        <f aca="false">(D652&lt;&gt;"")*(D652&lt;=($E$3*60+$F$3)/86400)+(F652&lt;&gt;"")*(F652&lt;=($I$3*60+$J$3)/86400)+(H652&lt;&gt;"")*(H652&lt;=($M$3*60+$N$3)/86400)</f>
        <v>0</v>
      </c>
      <c r="N652" s="16"/>
      <c r="O652" s="15"/>
    </row>
    <row r="653" customFormat="false" ht="15" hidden="false" customHeight="false" outlineLevel="0" collapsed="false">
      <c r="A653" s="9" t="n">
        <v>647</v>
      </c>
      <c r="B653" s="10" t="s">
        <v>971</v>
      </c>
      <c r="C653" s="10" t="s">
        <v>457</v>
      </c>
      <c r="D653" s="11" t="n">
        <v>0.0109027777777778</v>
      </c>
      <c r="E653" s="12" t="n">
        <v>924</v>
      </c>
      <c r="F653" s="11"/>
      <c r="G653" s="12"/>
      <c r="H653" s="11" t="n">
        <v>0.00279780092592593</v>
      </c>
      <c r="I653" s="12" t="n">
        <v>274</v>
      </c>
      <c r="J653" s="12" t="n">
        <f aca="false">COUNT(E653,G653,I653)</f>
        <v>2</v>
      </c>
      <c r="K653" s="13" t="n">
        <f aca="false">MIN(E653,G653,I653)</f>
        <v>274</v>
      </c>
      <c r="L653" s="9" t="str">
        <f aca="false">IF(E653=K653,"5000m",IF(G653=K653,"3000mSC","1500m"))</f>
        <v>1500m</v>
      </c>
      <c r="M653" s="14" t="n">
        <f aca="false">(D653&lt;&gt;"")*(D653&lt;=($E$3*60+$F$3)/86400)+(F653&lt;&gt;"")*(F653&lt;=($I$3*60+$J$3)/86400)+(H653&lt;&gt;"")*(H653&lt;=($M$3*60+$N$3)/86400)</f>
        <v>0</v>
      </c>
      <c r="N653" s="16"/>
      <c r="O653" s="15"/>
    </row>
    <row r="654" customFormat="false" ht="15" hidden="false" customHeight="false" outlineLevel="0" collapsed="false">
      <c r="A654" s="9" t="n">
        <v>648</v>
      </c>
      <c r="B654" s="10" t="s">
        <v>972</v>
      </c>
      <c r="C654" s="10" t="s">
        <v>57</v>
      </c>
      <c r="D654" s="11" t="n">
        <v>0.010409375</v>
      </c>
      <c r="E654" s="12" t="n">
        <v>274</v>
      </c>
      <c r="F654" s="11"/>
      <c r="G654" s="12"/>
      <c r="H654" s="11" t="n">
        <v>0.0028974537037037</v>
      </c>
      <c r="I654" s="12" t="n">
        <v>932</v>
      </c>
      <c r="J654" s="12" t="n">
        <f aca="false">COUNT(E654,G654,I654)</f>
        <v>2</v>
      </c>
      <c r="K654" s="13" t="n">
        <f aca="false">MIN(E654,G654,I654)</f>
        <v>274</v>
      </c>
      <c r="L654" s="9" t="str">
        <f aca="false">IF(E654=K654,"5000m",IF(G654=K654,"3000mSC","1500m"))</f>
        <v>5000m</v>
      </c>
      <c r="M654" s="14" t="n">
        <f aca="false">(D654&lt;&gt;"")*(D654&lt;=($E$3*60+$F$3)/86400)+(F654&lt;&gt;"")*(F654&lt;=($I$3*60+$J$3)/86400)+(H654&lt;&gt;"")*(H654&lt;=($M$3*60+$N$3)/86400)</f>
        <v>0</v>
      </c>
      <c r="N654" s="16"/>
      <c r="O654" s="15"/>
    </row>
    <row r="655" customFormat="false" ht="15" hidden="false" customHeight="false" outlineLevel="0" collapsed="false">
      <c r="A655" s="9" t="n">
        <v>649</v>
      </c>
      <c r="B655" s="10" t="s">
        <v>973</v>
      </c>
      <c r="C655" s="10" t="s">
        <v>974</v>
      </c>
      <c r="D655" s="11" t="n">
        <v>0.0108070601851852</v>
      </c>
      <c r="E655" s="12" t="n">
        <v>757</v>
      </c>
      <c r="F655" s="11"/>
      <c r="G655" s="12"/>
      <c r="H655" s="11" t="n">
        <v>0.00279814814814815</v>
      </c>
      <c r="I655" s="12" t="n">
        <v>275</v>
      </c>
      <c r="J655" s="12" t="n">
        <f aca="false">COUNT(E655,G655,I655)</f>
        <v>2</v>
      </c>
      <c r="K655" s="13" t="n">
        <f aca="false">MIN(E655,G655,I655)</f>
        <v>275</v>
      </c>
      <c r="L655" s="9" t="str">
        <f aca="false">IF(E655=K655,"5000m",IF(G655=K655,"3000mSC","1500m"))</f>
        <v>1500m</v>
      </c>
      <c r="M655" s="14" t="n">
        <f aca="false">(D655&lt;&gt;"")*(D655&lt;=($E$3*60+$F$3)/86400)+(F655&lt;&gt;"")*(F655&lt;=($I$3*60+$J$3)/86400)+(H655&lt;&gt;"")*(H655&lt;=($M$3*60+$N$3)/86400)</f>
        <v>0</v>
      </c>
      <c r="N655" s="16"/>
      <c r="O655" s="15"/>
    </row>
    <row r="656" customFormat="false" ht="25.35" hidden="false" customHeight="false" outlineLevel="0" collapsed="false">
      <c r="A656" s="9" t="n">
        <v>650</v>
      </c>
      <c r="B656" s="10" t="s">
        <v>975</v>
      </c>
      <c r="C656" s="10" t="s">
        <v>605</v>
      </c>
      <c r="D656" s="11"/>
      <c r="E656" s="12"/>
      <c r="F656" s="11" t="n">
        <v>0.00693159722222222</v>
      </c>
      <c r="G656" s="12" t="n">
        <v>275</v>
      </c>
      <c r="H656" s="11"/>
      <c r="I656" s="12"/>
      <c r="J656" s="12" t="n">
        <f aca="false">COUNT(E656,G656,I656)</f>
        <v>1</v>
      </c>
      <c r="K656" s="13" t="n">
        <f aca="false">MIN(E656,G656,I656)</f>
        <v>275</v>
      </c>
      <c r="L656" s="9" t="str">
        <f aca="false">IF(E656=K656,"5000m",IF(G656=K656,"3000mSC","1500m"))</f>
        <v>3000mSC</v>
      </c>
      <c r="M656" s="14" t="n">
        <f aca="false">(D656&lt;&gt;"")*(D656&lt;=($E$3*60+$F$3)/86400)+(F656&lt;&gt;"")*(F656&lt;=($I$3*60+$J$3)/86400)+(H656&lt;&gt;"")*(H656&lt;=($M$3*60+$N$3)/86400)</f>
        <v>0</v>
      </c>
      <c r="N656" s="16"/>
      <c r="O656" s="15"/>
    </row>
    <row r="657" customFormat="false" ht="15" hidden="false" customHeight="false" outlineLevel="0" collapsed="false">
      <c r="A657" s="9" t="n">
        <v>651</v>
      </c>
      <c r="B657" s="10" t="s">
        <v>976</v>
      </c>
      <c r="C657" s="10" t="s">
        <v>206</v>
      </c>
      <c r="D657" s="11" t="n">
        <v>0.0104842592592593</v>
      </c>
      <c r="E657" s="12" t="n">
        <v>327</v>
      </c>
      <c r="F657" s="11"/>
      <c r="G657" s="12"/>
      <c r="H657" s="11" t="n">
        <v>0.00279872685185185</v>
      </c>
      <c r="I657" s="12" t="n">
        <v>276</v>
      </c>
      <c r="J657" s="12" t="n">
        <f aca="false">COUNT(E657,G657,I657)</f>
        <v>2</v>
      </c>
      <c r="K657" s="13" t="n">
        <f aca="false">MIN(E657,G657,I657)</f>
        <v>276</v>
      </c>
      <c r="L657" s="9" t="str">
        <f aca="false">IF(E657=K657,"5000m",IF(G657=K657,"3000mSC","1500m"))</f>
        <v>1500m</v>
      </c>
      <c r="M657" s="14" t="n">
        <f aca="false">(D657&lt;&gt;"")*(D657&lt;=($E$3*60+$F$3)/86400)+(F657&lt;&gt;"")*(F657&lt;=($I$3*60+$J$3)/86400)+(H657&lt;&gt;"")*(H657&lt;=($M$3*60+$N$3)/86400)</f>
        <v>0</v>
      </c>
      <c r="N657" s="10" t="s">
        <v>345</v>
      </c>
      <c r="O657" s="15"/>
    </row>
    <row r="658" customFormat="false" ht="15" hidden="false" customHeight="false" outlineLevel="0" collapsed="false">
      <c r="A658" s="9" t="n">
        <v>652</v>
      </c>
      <c r="B658" s="10" t="s">
        <v>977</v>
      </c>
      <c r="C658" s="10" t="s">
        <v>874</v>
      </c>
      <c r="D658" s="11" t="n">
        <v>0.0104104166666667</v>
      </c>
      <c r="E658" s="12" t="n">
        <v>276</v>
      </c>
      <c r="F658" s="11"/>
      <c r="G658" s="12"/>
      <c r="H658" s="11" t="n">
        <v>0.00286875</v>
      </c>
      <c r="I658" s="12" t="n">
        <v>685</v>
      </c>
      <c r="J658" s="12" t="n">
        <f aca="false">COUNT(E658,G658,I658)</f>
        <v>2</v>
      </c>
      <c r="K658" s="13" t="n">
        <f aca="false">MIN(E658,G658,I658)</f>
        <v>276</v>
      </c>
      <c r="L658" s="9" t="str">
        <f aca="false">IF(E658=K658,"5000m",IF(G658=K658,"3000mSC","1500m"))</f>
        <v>5000m</v>
      </c>
      <c r="M658" s="14" t="n">
        <f aca="false">(D658&lt;&gt;"")*(D658&lt;=($E$3*60+$F$3)/86400)+(F658&lt;&gt;"")*(F658&lt;=($I$3*60+$J$3)/86400)+(H658&lt;&gt;"")*(H658&lt;=($M$3*60+$N$3)/86400)</f>
        <v>0</v>
      </c>
      <c r="N658" s="16"/>
      <c r="O658" s="15"/>
    </row>
    <row r="659" customFormat="false" ht="25.35" hidden="false" customHeight="false" outlineLevel="0" collapsed="false">
      <c r="A659" s="9" t="n">
        <v>653</v>
      </c>
      <c r="B659" s="10" t="s">
        <v>978</v>
      </c>
      <c r="C659" s="10" t="s">
        <v>521</v>
      </c>
      <c r="D659" s="11"/>
      <c r="E659" s="12"/>
      <c r="F659" s="11" t="n">
        <v>0.00693333333333333</v>
      </c>
      <c r="G659" s="12" t="n">
        <v>276</v>
      </c>
      <c r="H659" s="11"/>
      <c r="I659" s="12"/>
      <c r="J659" s="12" t="n">
        <f aca="false">COUNT(E659,G659,I659)</f>
        <v>1</v>
      </c>
      <c r="K659" s="13" t="n">
        <f aca="false">MIN(E659,G659,I659)</f>
        <v>276</v>
      </c>
      <c r="L659" s="9" t="str">
        <f aca="false">IF(E659=K659,"5000m",IF(G659=K659,"3000mSC","1500m"))</f>
        <v>3000mSC</v>
      </c>
      <c r="M659" s="14" t="n">
        <f aca="false">(D659&lt;&gt;"")*(D659&lt;=($E$3*60+$F$3)/86400)+(F659&lt;&gt;"")*(F659&lt;=($I$3*60+$J$3)/86400)+(H659&lt;&gt;"")*(H659&lt;=($M$3*60+$N$3)/86400)</f>
        <v>0</v>
      </c>
      <c r="N659" s="16"/>
      <c r="O659" s="15"/>
    </row>
    <row r="660" customFormat="false" ht="15" hidden="false" customHeight="false" outlineLevel="0" collapsed="false">
      <c r="A660" s="9" t="n">
        <v>654</v>
      </c>
      <c r="B660" s="10" t="s">
        <v>979</v>
      </c>
      <c r="C660" s="10" t="s">
        <v>166</v>
      </c>
      <c r="D660" s="11" t="n">
        <v>0.0104115740740741</v>
      </c>
      <c r="E660" s="12" t="n">
        <v>277</v>
      </c>
      <c r="F660" s="11"/>
      <c r="G660" s="12"/>
      <c r="H660" s="11"/>
      <c r="I660" s="12"/>
      <c r="J660" s="12" t="n">
        <f aca="false">COUNT(E660,G660,I660)</f>
        <v>1</v>
      </c>
      <c r="K660" s="13" t="n">
        <f aca="false">MIN(E660,G660,I660)</f>
        <v>277</v>
      </c>
      <c r="L660" s="9" t="str">
        <f aca="false">IF(E660=K660,"5000m",IF(G660=K660,"3000mSC","1500m"))</f>
        <v>5000m</v>
      </c>
      <c r="M660" s="14" t="n">
        <f aca="false">(D660&lt;&gt;"")*(D660&lt;=($E$3*60+$F$3)/86400)+(F660&lt;&gt;"")*(F660&lt;=($I$3*60+$J$3)/86400)+(H660&lt;&gt;"")*(H660&lt;=($M$3*60+$N$3)/86400)</f>
        <v>0</v>
      </c>
      <c r="N660" s="16"/>
      <c r="O660" s="15"/>
    </row>
    <row r="661" customFormat="false" ht="25.35" hidden="false" customHeight="false" outlineLevel="0" collapsed="false">
      <c r="A661" s="9" t="n">
        <v>655</v>
      </c>
      <c r="B661" s="10" t="s">
        <v>980</v>
      </c>
      <c r="C661" s="10" t="s">
        <v>981</v>
      </c>
      <c r="D661" s="11"/>
      <c r="E661" s="12"/>
      <c r="F661" s="11" t="n">
        <v>0.00693425925925926</v>
      </c>
      <c r="G661" s="12" t="n">
        <v>277</v>
      </c>
      <c r="H661" s="11"/>
      <c r="I661" s="12"/>
      <c r="J661" s="12" t="n">
        <f aca="false">COUNT(E661,G661,I661)</f>
        <v>1</v>
      </c>
      <c r="K661" s="13" t="n">
        <f aca="false">MIN(E661,G661,I661)</f>
        <v>277</v>
      </c>
      <c r="L661" s="9" t="str">
        <f aca="false">IF(E661=K661,"5000m",IF(G661=K661,"3000mSC","1500m"))</f>
        <v>3000mSC</v>
      </c>
      <c r="M661" s="14" t="n">
        <f aca="false">(D661&lt;&gt;"")*(D661&lt;=($E$3*60+$F$3)/86400)+(F661&lt;&gt;"")*(F661&lt;=($I$3*60+$J$3)/86400)+(H661&lt;&gt;"")*(H661&lt;=($M$3*60+$N$3)/86400)</f>
        <v>0</v>
      </c>
      <c r="N661" s="16"/>
      <c r="O661" s="15"/>
    </row>
    <row r="662" customFormat="false" ht="15" hidden="false" customHeight="false" outlineLevel="0" collapsed="false">
      <c r="A662" s="9" t="n">
        <v>656</v>
      </c>
      <c r="B662" s="10" t="s">
        <v>982</v>
      </c>
      <c r="C662" s="10" t="s">
        <v>983</v>
      </c>
      <c r="D662" s="11" t="n">
        <v>0.0107804398148148</v>
      </c>
      <c r="E662" s="12" t="n">
        <v>707</v>
      </c>
      <c r="F662" s="11"/>
      <c r="G662" s="12"/>
      <c r="H662" s="11" t="n">
        <v>0.00279907407407407</v>
      </c>
      <c r="I662" s="12" t="n">
        <v>278</v>
      </c>
      <c r="J662" s="12" t="n">
        <f aca="false">COUNT(E662,G662,I662)</f>
        <v>2</v>
      </c>
      <c r="K662" s="13" t="n">
        <f aca="false">MIN(E662,G662,I662)</f>
        <v>278</v>
      </c>
      <c r="L662" s="9" t="str">
        <f aca="false">IF(E662=K662,"5000m",IF(G662=K662,"3000mSC","1500m"))</f>
        <v>1500m</v>
      </c>
      <c r="M662" s="14" t="n">
        <f aca="false">(D662&lt;&gt;"")*(D662&lt;=($E$3*60+$F$3)/86400)+(F662&lt;&gt;"")*(F662&lt;=($I$3*60+$J$3)/86400)+(H662&lt;&gt;"")*(H662&lt;=($M$3*60+$N$3)/86400)</f>
        <v>0</v>
      </c>
      <c r="N662" s="16"/>
      <c r="O662" s="15"/>
    </row>
    <row r="663" customFormat="false" ht="25.35" hidden="false" customHeight="false" outlineLevel="0" collapsed="false">
      <c r="A663" s="9" t="n">
        <v>657</v>
      </c>
      <c r="B663" s="10" t="s">
        <v>984</v>
      </c>
      <c r="C663" s="10" t="s">
        <v>440</v>
      </c>
      <c r="D663" s="11"/>
      <c r="E663" s="12"/>
      <c r="F663" s="11" t="n">
        <v>0.00693668981481482</v>
      </c>
      <c r="G663" s="12" t="n">
        <v>279</v>
      </c>
      <c r="H663" s="11"/>
      <c r="I663" s="12"/>
      <c r="J663" s="12" t="n">
        <f aca="false">COUNT(E663,G663,I663)</f>
        <v>1</v>
      </c>
      <c r="K663" s="13" t="n">
        <f aca="false">MIN(E663,G663,I663)</f>
        <v>279</v>
      </c>
      <c r="L663" s="9" t="str">
        <f aca="false">IF(E663=K663,"5000m",IF(G663=K663,"3000mSC","1500m"))</f>
        <v>3000mSC</v>
      </c>
      <c r="M663" s="14" t="n">
        <f aca="false">(D663&lt;&gt;"")*(D663&lt;=($E$3*60+$F$3)/86400)+(F663&lt;&gt;"")*(F663&lt;=($I$3*60+$J$3)/86400)+(H663&lt;&gt;"")*(H663&lt;=($M$3*60+$N$3)/86400)</f>
        <v>0</v>
      </c>
      <c r="N663" s="16"/>
      <c r="O663" s="15"/>
    </row>
    <row r="664" customFormat="false" ht="15" hidden="false" customHeight="false" outlineLevel="0" collapsed="false">
      <c r="A664" s="9" t="n">
        <v>658</v>
      </c>
      <c r="B664" s="10" t="s">
        <v>985</v>
      </c>
      <c r="C664" s="10" t="s">
        <v>986</v>
      </c>
      <c r="D664" s="11" t="n">
        <v>0.0104148148148148</v>
      </c>
      <c r="E664" s="12" t="n">
        <v>280</v>
      </c>
      <c r="F664" s="11"/>
      <c r="G664" s="12"/>
      <c r="H664" s="11" t="n">
        <v>0.00282395833333333</v>
      </c>
      <c r="I664" s="12" t="n">
        <v>387</v>
      </c>
      <c r="J664" s="12" t="n">
        <f aca="false">COUNT(E664,G664,I664)</f>
        <v>2</v>
      </c>
      <c r="K664" s="13" t="n">
        <f aca="false">MIN(E664,G664,I664)</f>
        <v>280</v>
      </c>
      <c r="L664" s="9" t="str">
        <f aca="false">IF(E664=K664,"5000m",IF(G664=K664,"3000mSC","1500m"))</f>
        <v>5000m</v>
      </c>
      <c r="M664" s="14" t="n">
        <f aca="false">(D664&lt;&gt;"")*(D664&lt;=($E$3*60+$F$3)/86400)+(F664&lt;&gt;"")*(F664&lt;=($I$3*60+$J$3)/86400)+(H664&lt;&gt;"")*(H664&lt;=($M$3*60+$N$3)/86400)</f>
        <v>0</v>
      </c>
      <c r="N664" s="16"/>
      <c r="O664" s="15"/>
    </row>
    <row r="665" customFormat="false" ht="15" hidden="false" customHeight="false" outlineLevel="0" collapsed="false">
      <c r="A665" s="9" t="n">
        <v>659</v>
      </c>
      <c r="B665" s="10" t="s">
        <v>987</v>
      </c>
      <c r="C665" s="10" t="s">
        <v>988</v>
      </c>
      <c r="D665" s="11"/>
      <c r="E665" s="12"/>
      <c r="F665" s="11"/>
      <c r="G665" s="12"/>
      <c r="H665" s="11" t="n">
        <v>0.0027994212962963</v>
      </c>
      <c r="I665" s="12" t="n">
        <v>280</v>
      </c>
      <c r="J665" s="12" t="n">
        <f aca="false">COUNT(E665,G665,I665)</f>
        <v>1</v>
      </c>
      <c r="K665" s="13" t="n">
        <f aca="false">MIN(E665,G665,I665)</f>
        <v>280</v>
      </c>
      <c r="L665" s="9" t="str">
        <f aca="false">IF(E665=K665,"5000m",IF(G665=K665,"3000mSC","1500m"))</f>
        <v>1500m</v>
      </c>
      <c r="M665" s="14" t="n">
        <f aca="false">(D665&lt;&gt;"")*(D665&lt;=($E$3*60+$F$3)/86400)+(F665&lt;&gt;"")*(F665&lt;=($I$3*60+$J$3)/86400)+(H665&lt;&gt;"")*(H665&lt;=($M$3*60+$N$3)/86400)</f>
        <v>0</v>
      </c>
      <c r="N665" s="16"/>
      <c r="O665" s="15"/>
    </row>
    <row r="666" customFormat="false" ht="15" hidden="false" customHeight="false" outlineLevel="0" collapsed="false">
      <c r="A666" s="9" t="n">
        <v>660</v>
      </c>
      <c r="B666" s="10" t="s">
        <v>989</v>
      </c>
      <c r="C666" s="10" t="s">
        <v>312</v>
      </c>
      <c r="D666" s="11" t="n">
        <v>0.0105329861111111</v>
      </c>
      <c r="E666" s="12" t="n">
        <v>375</v>
      </c>
      <c r="F666" s="11"/>
      <c r="G666" s="12"/>
      <c r="H666" s="11" t="n">
        <v>0.00279965277777778</v>
      </c>
      <c r="I666" s="12" t="n">
        <v>281</v>
      </c>
      <c r="J666" s="12" t="n">
        <f aca="false">COUNT(E666,G666,I666)</f>
        <v>2</v>
      </c>
      <c r="K666" s="13" t="n">
        <f aca="false">MIN(E666,G666,I666)</f>
        <v>281</v>
      </c>
      <c r="L666" s="9" t="str">
        <f aca="false">IF(E666=K666,"5000m",IF(G666=K666,"3000mSC","1500m"))</f>
        <v>1500m</v>
      </c>
      <c r="M666" s="14" t="n">
        <f aca="false">(D666&lt;&gt;"")*(D666&lt;=($E$3*60+$F$3)/86400)+(F666&lt;&gt;"")*(F666&lt;=($I$3*60+$J$3)/86400)+(H666&lt;&gt;"")*(H666&lt;=($M$3*60+$N$3)/86400)</f>
        <v>0</v>
      </c>
      <c r="N666" s="16"/>
      <c r="O666" s="15"/>
    </row>
    <row r="667" customFormat="false" ht="25.35" hidden="false" customHeight="false" outlineLevel="0" collapsed="false">
      <c r="A667" s="9" t="n">
        <v>661</v>
      </c>
      <c r="B667" s="10" t="s">
        <v>990</v>
      </c>
      <c r="C667" s="10" t="s">
        <v>51</v>
      </c>
      <c r="D667" s="11"/>
      <c r="E667" s="12"/>
      <c r="F667" s="11" t="n">
        <v>0.00693865740740741</v>
      </c>
      <c r="G667" s="12" t="n">
        <v>281</v>
      </c>
      <c r="H667" s="11" t="n">
        <v>0.00288761574074074</v>
      </c>
      <c r="I667" s="12" t="n">
        <v>840</v>
      </c>
      <c r="J667" s="12" t="n">
        <f aca="false">COUNT(E667,G667,I667)</f>
        <v>2</v>
      </c>
      <c r="K667" s="13" t="n">
        <f aca="false">MIN(E667,G667,I667)</f>
        <v>281</v>
      </c>
      <c r="L667" s="9" t="str">
        <f aca="false">IF(E667=K667,"5000m",IF(G667=K667,"3000mSC","1500m"))</f>
        <v>3000mSC</v>
      </c>
      <c r="M667" s="14" t="n">
        <f aca="false">(D667&lt;&gt;"")*(D667&lt;=($E$3*60+$F$3)/86400)+(F667&lt;&gt;"")*(F667&lt;=($I$3*60+$J$3)/86400)+(H667&lt;&gt;"")*(H667&lt;=($M$3*60+$N$3)/86400)</f>
        <v>0</v>
      </c>
      <c r="N667" s="16"/>
      <c r="O667" s="15"/>
    </row>
    <row r="668" customFormat="false" ht="15" hidden="false" customHeight="false" outlineLevel="0" collapsed="false">
      <c r="A668" s="9" t="n">
        <v>662</v>
      </c>
      <c r="B668" s="10" t="s">
        <v>991</v>
      </c>
      <c r="C668" s="10" t="s">
        <v>992</v>
      </c>
      <c r="D668" s="11" t="n">
        <v>0.0104891203703704</v>
      </c>
      <c r="E668" s="12" t="n">
        <v>331</v>
      </c>
      <c r="F668" s="11"/>
      <c r="G668" s="12"/>
      <c r="H668" s="11" t="n">
        <v>0.00279965277777778</v>
      </c>
      <c r="I668" s="12" t="n">
        <v>282</v>
      </c>
      <c r="J668" s="12" t="n">
        <f aca="false">COUNT(E668,G668,I668)</f>
        <v>2</v>
      </c>
      <c r="K668" s="13" t="n">
        <f aca="false">MIN(E668,G668,I668)</f>
        <v>282</v>
      </c>
      <c r="L668" s="9" t="str">
        <f aca="false">IF(E668=K668,"5000m",IF(G668=K668,"3000mSC","1500m"))</f>
        <v>1500m</v>
      </c>
      <c r="M668" s="14" t="n">
        <f aca="false">(D668&lt;&gt;"")*(D668&lt;=($E$3*60+$F$3)/86400)+(F668&lt;&gt;"")*(F668&lt;=($I$3*60+$J$3)/86400)+(H668&lt;&gt;"")*(H668&lt;=($M$3*60+$N$3)/86400)</f>
        <v>0</v>
      </c>
      <c r="N668" s="16"/>
      <c r="O668" s="15"/>
    </row>
    <row r="669" customFormat="false" ht="15" hidden="false" customHeight="false" outlineLevel="0" collapsed="false">
      <c r="A669" s="9" t="n">
        <v>663</v>
      </c>
      <c r="B669" s="10" t="s">
        <v>993</v>
      </c>
      <c r="C669" s="10" t="s">
        <v>261</v>
      </c>
      <c r="D669" s="11" t="n">
        <v>0.010418287037037</v>
      </c>
      <c r="E669" s="12" t="n">
        <v>282</v>
      </c>
      <c r="F669" s="11"/>
      <c r="G669" s="12"/>
      <c r="H669" s="11" t="n">
        <v>0.0028650462962963</v>
      </c>
      <c r="I669" s="12" t="n">
        <v>666</v>
      </c>
      <c r="J669" s="12" t="n">
        <f aca="false">COUNT(E669,G669,I669)</f>
        <v>2</v>
      </c>
      <c r="K669" s="13" t="n">
        <f aca="false">MIN(E669,G669,I669)</f>
        <v>282</v>
      </c>
      <c r="L669" s="9" t="str">
        <f aca="false">IF(E669=K669,"5000m",IF(G669=K669,"3000mSC","1500m"))</f>
        <v>5000m</v>
      </c>
      <c r="M669" s="14" t="n">
        <f aca="false">(D669&lt;&gt;"")*(D669&lt;=($E$3*60+$F$3)/86400)+(F669&lt;&gt;"")*(F669&lt;=($I$3*60+$J$3)/86400)+(H669&lt;&gt;"")*(H669&lt;=($M$3*60+$N$3)/86400)</f>
        <v>0</v>
      </c>
      <c r="N669" s="16"/>
      <c r="O669" s="15"/>
    </row>
    <row r="670" customFormat="false" ht="25.35" hidden="false" customHeight="false" outlineLevel="0" collapsed="false">
      <c r="A670" s="9" t="n">
        <v>664</v>
      </c>
      <c r="B670" s="10" t="s">
        <v>994</v>
      </c>
      <c r="C670" s="10" t="s">
        <v>995</v>
      </c>
      <c r="D670" s="11"/>
      <c r="E670" s="12"/>
      <c r="F670" s="11" t="n">
        <v>0.00693888888888889</v>
      </c>
      <c r="G670" s="12" t="n">
        <v>282</v>
      </c>
      <c r="H670" s="11" t="n">
        <v>0.00292488425925926</v>
      </c>
      <c r="I670" s="12" t="n">
        <v>1146</v>
      </c>
      <c r="J670" s="12" t="n">
        <f aca="false">COUNT(E670,G670,I670)</f>
        <v>2</v>
      </c>
      <c r="K670" s="13" t="n">
        <f aca="false">MIN(E670,G670,I670)</f>
        <v>282</v>
      </c>
      <c r="L670" s="9" t="str">
        <f aca="false">IF(E670=K670,"5000m",IF(G670=K670,"3000mSC","1500m"))</f>
        <v>3000mSC</v>
      </c>
      <c r="M670" s="14" t="n">
        <f aca="false">(D670&lt;&gt;"")*(D670&lt;=($E$3*60+$F$3)/86400)+(F670&lt;&gt;"")*(F670&lt;=($I$3*60+$J$3)/86400)+(H670&lt;&gt;"")*(H670&lt;=($M$3*60+$N$3)/86400)</f>
        <v>0</v>
      </c>
      <c r="N670" s="16"/>
      <c r="O670" s="15"/>
    </row>
    <row r="671" customFormat="false" ht="15" hidden="false" customHeight="false" outlineLevel="0" collapsed="false">
      <c r="A671" s="9" t="n">
        <v>665</v>
      </c>
      <c r="B671" s="10" t="s">
        <v>996</v>
      </c>
      <c r="C671" s="10" t="s">
        <v>997</v>
      </c>
      <c r="D671" s="11" t="n">
        <v>0.0109134259259259</v>
      </c>
      <c r="E671" s="12" t="n">
        <v>944</v>
      </c>
      <c r="F671" s="11"/>
      <c r="G671" s="12"/>
      <c r="H671" s="11" t="n">
        <v>0.00279988425925926</v>
      </c>
      <c r="I671" s="12" t="n">
        <v>283</v>
      </c>
      <c r="J671" s="12" t="n">
        <f aca="false">COUNT(E671,G671,I671)</f>
        <v>2</v>
      </c>
      <c r="K671" s="13" t="n">
        <f aca="false">MIN(E671,G671,I671)</f>
        <v>283</v>
      </c>
      <c r="L671" s="9" t="str">
        <f aca="false">IF(E671=K671,"5000m",IF(G671=K671,"3000mSC","1500m"))</f>
        <v>1500m</v>
      </c>
      <c r="M671" s="14" t="n">
        <f aca="false">(D671&lt;&gt;"")*(D671&lt;=($E$3*60+$F$3)/86400)+(F671&lt;&gt;"")*(F671&lt;=($I$3*60+$J$3)/86400)+(H671&lt;&gt;"")*(H671&lt;=($M$3*60+$N$3)/86400)</f>
        <v>0</v>
      </c>
      <c r="N671" s="16"/>
      <c r="O671" s="15"/>
    </row>
    <row r="672" customFormat="false" ht="25.35" hidden="false" customHeight="false" outlineLevel="0" collapsed="false">
      <c r="A672" s="9" t="n">
        <v>666</v>
      </c>
      <c r="B672" s="10" t="s">
        <v>998</v>
      </c>
      <c r="C672" s="10" t="s">
        <v>999</v>
      </c>
      <c r="D672" s="11"/>
      <c r="E672" s="12"/>
      <c r="F672" s="11" t="n">
        <v>0.00694189814814815</v>
      </c>
      <c r="G672" s="12" t="n">
        <v>283</v>
      </c>
      <c r="H672" s="11"/>
      <c r="I672" s="12"/>
      <c r="J672" s="12" t="n">
        <f aca="false">COUNT(E672,G672,I672)</f>
        <v>1</v>
      </c>
      <c r="K672" s="13" t="n">
        <f aca="false">MIN(E672,G672,I672)</f>
        <v>283</v>
      </c>
      <c r="L672" s="9" t="str">
        <f aca="false">IF(E672=K672,"5000m",IF(G672=K672,"3000mSC","1500m"))</f>
        <v>3000mSC</v>
      </c>
      <c r="M672" s="14" t="n">
        <f aca="false">(D672&lt;&gt;"")*(D672&lt;=($E$3*60+$F$3)/86400)+(F672&lt;&gt;"")*(F672&lt;=($I$3*60+$J$3)/86400)+(H672&lt;&gt;"")*(H672&lt;=($M$3*60+$N$3)/86400)</f>
        <v>0</v>
      </c>
      <c r="N672" s="16"/>
      <c r="O672" s="15"/>
    </row>
    <row r="673" customFormat="false" ht="15" hidden="false" customHeight="false" outlineLevel="0" collapsed="false">
      <c r="A673" s="9" t="n">
        <v>667</v>
      </c>
      <c r="B673" s="10" t="s">
        <v>1000</v>
      </c>
      <c r="C673" s="10" t="s">
        <v>206</v>
      </c>
      <c r="D673" s="11" t="n">
        <v>0.0104532407407407</v>
      </c>
      <c r="E673" s="12" t="n">
        <v>305</v>
      </c>
      <c r="F673" s="11"/>
      <c r="G673" s="12"/>
      <c r="H673" s="11" t="n">
        <v>0.00279988425925926</v>
      </c>
      <c r="I673" s="12" t="n">
        <v>284</v>
      </c>
      <c r="J673" s="12" t="n">
        <f aca="false">COUNT(E673,G673,I673)</f>
        <v>2</v>
      </c>
      <c r="K673" s="13" t="n">
        <f aca="false">MIN(E673,G673,I673)</f>
        <v>284</v>
      </c>
      <c r="L673" s="9" t="str">
        <f aca="false">IF(E673=K673,"5000m",IF(G673=K673,"3000mSC","1500m"))</f>
        <v>1500m</v>
      </c>
      <c r="M673" s="14" t="n">
        <f aca="false">(D673&lt;&gt;"")*(D673&lt;=($E$3*60+$F$3)/86400)+(F673&lt;&gt;"")*(F673&lt;=($I$3*60+$J$3)/86400)+(H673&lt;&gt;"")*(H673&lt;=($M$3*60+$N$3)/86400)</f>
        <v>0</v>
      </c>
      <c r="N673" s="10" t="s">
        <v>345</v>
      </c>
      <c r="O673" s="15"/>
    </row>
    <row r="674" customFormat="false" ht="25.35" hidden="false" customHeight="false" outlineLevel="0" collapsed="false">
      <c r="A674" s="9" t="n">
        <v>668</v>
      </c>
      <c r="B674" s="10" t="s">
        <v>1001</v>
      </c>
      <c r="C674" s="10" t="s">
        <v>190</v>
      </c>
      <c r="D674" s="11"/>
      <c r="E674" s="12"/>
      <c r="F674" s="11" t="n">
        <v>0.00694768518518519</v>
      </c>
      <c r="G674" s="12" t="n">
        <v>284</v>
      </c>
      <c r="H674" s="11"/>
      <c r="I674" s="12"/>
      <c r="J674" s="12" t="n">
        <f aca="false">COUNT(E674,G674,I674)</f>
        <v>1</v>
      </c>
      <c r="K674" s="13" t="n">
        <f aca="false">MIN(E674,G674,I674)</f>
        <v>284</v>
      </c>
      <c r="L674" s="9" t="str">
        <f aca="false">IF(E674=K674,"5000m",IF(G674=K674,"3000mSC","1500m"))</f>
        <v>3000mSC</v>
      </c>
      <c r="M674" s="14" t="n">
        <f aca="false">(D674&lt;&gt;"")*(D674&lt;=($E$3*60+$F$3)/86400)+(F674&lt;&gt;"")*(F674&lt;=($I$3*60+$J$3)/86400)+(H674&lt;&gt;"")*(H674&lt;=($M$3*60+$N$3)/86400)</f>
        <v>0</v>
      </c>
      <c r="N674" s="16"/>
      <c r="O674" s="15"/>
    </row>
    <row r="675" customFormat="false" ht="15" hidden="false" customHeight="false" outlineLevel="0" collapsed="false">
      <c r="A675" s="9" t="n">
        <v>669</v>
      </c>
      <c r="B675" s="10" t="s">
        <v>1002</v>
      </c>
      <c r="C675" s="10" t="s">
        <v>36</v>
      </c>
      <c r="D675" s="11" t="n">
        <v>0.0104209490740741</v>
      </c>
      <c r="E675" s="12" t="n">
        <v>285</v>
      </c>
      <c r="F675" s="11"/>
      <c r="G675" s="12"/>
      <c r="H675" s="11" t="n">
        <v>0.00282280092592593</v>
      </c>
      <c r="I675" s="12" t="n">
        <v>381</v>
      </c>
      <c r="J675" s="12" t="n">
        <f aca="false">COUNT(E675,G675,I675)</f>
        <v>2</v>
      </c>
      <c r="K675" s="13" t="n">
        <f aca="false">MIN(E675,G675,I675)</f>
        <v>285</v>
      </c>
      <c r="L675" s="9" t="str">
        <f aca="false">IF(E675=K675,"5000m",IF(G675=K675,"3000mSC","1500m"))</f>
        <v>5000m</v>
      </c>
      <c r="M675" s="14" t="n">
        <f aca="false">(D675&lt;&gt;"")*(D675&lt;=($E$3*60+$F$3)/86400)+(F675&lt;&gt;"")*(F675&lt;=($I$3*60+$J$3)/86400)+(H675&lt;&gt;"")*(H675&lt;=($M$3*60+$N$3)/86400)</f>
        <v>0</v>
      </c>
      <c r="N675" s="16"/>
      <c r="O675" s="15"/>
    </row>
    <row r="676" customFormat="false" ht="15" hidden="false" customHeight="false" outlineLevel="0" collapsed="false">
      <c r="A676" s="9" t="n">
        <v>670</v>
      </c>
      <c r="B676" s="10" t="s">
        <v>1003</v>
      </c>
      <c r="C676" s="10" t="s">
        <v>91</v>
      </c>
      <c r="D676" s="11" t="n">
        <v>0.0105872685185185</v>
      </c>
      <c r="E676" s="12" t="n">
        <v>450</v>
      </c>
      <c r="F676" s="11"/>
      <c r="G676" s="12"/>
      <c r="H676" s="11" t="n">
        <v>0.0028005787037037</v>
      </c>
      <c r="I676" s="12" t="n">
        <v>285</v>
      </c>
      <c r="J676" s="12" t="n">
        <f aca="false">COUNT(E676,G676,I676)</f>
        <v>2</v>
      </c>
      <c r="K676" s="13" t="n">
        <f aca="false">MIN(E676,G676,I676)</f>
        <v>285</v>
      </c>
      <c r="L676" s="9" t="str">
        <f aca="false">IF(E676=K676,"5000m",IF(G676=K676,"3000mSC","1500m"))</f>
        <v>1500m</v>
      </c>
      <c r="M676" s="14" t="n">
        <f aca="false">(D676&lt;&gt;"")*(D676&lt;=($E$3*60+$F$3)/86400)+(F676&lt;&gt;"")*(F676&lt;=($I$3*60+$J$3)/86400)+(H676&lt;&gt;"")*(H676&lt;=($M$3*60+$N$3)/86400)</f>
        <v>0</v>
      </c>
      <c r="N676" s="16"/>
      <c r="O676" s="15"/>
    </row>
    <row r="677" customFormat="false" ht="25.35" hidden="false" customHeight="false" outlineLevel="0" collapsed="false">
      <c r="A677" s="9" t="n">
        <v>671</v>
      </c>
      <c r="B677" s="10" t="s">
        <v>1004</v>
      </c>
      <c r="C677" s="10" t="s">
        <v>1005</v>
      </c>
      <c r="D677" s="11" t="n">
        <v>0.0109489583333333</v>
      </c>
      <c r="E677" s="12" t="n">
        <v>995</v>
      </c>
      <c r="F677" s="11" t="n">
        <v>0.00695023148148148</v>
      </c>
      <c r="G677" s="12" t="n">
        <v>285</v>
      </c>
      <c r="H677" s="11"/>
      <c r="I677" s="12"/>
      <c r="J677" s="12" t="n">
        <f aca="false">COUNT(E677,G677,I677)</f>
        <v>2</v>
      </c>
      <c r="K677" s="13" t="n">
        <f aca="false">MIN(E677,G677,I677)</f>
        <v>285</v>
      </c>
      <c r="L677" s="9" t="str">
        <f aca="false">IF(E677=K677,"5000m",IF(G677=K677,"3000mSC","1500m"))</f>
        <v>3000mSC</v>
      </c>
      <c r="M677" s="14" t="n">
        <f aca="false">(D677&lt;&gt;"")*(D677&lt;=($E$3*60+$F$3)/86400)+(F677&lt;&gt;"")*(F677&lt;=($I$3*60+$J$3)/86400)+(H677&lt;&gt;"")*(H677&lt;=($M$3*60+$N$3)/86400)</f>
        <v>0</v>
      </c>
      <c r="N677" s="16"/>
      <c r="O677" s="15"/>
    </row>
    <row r="678" customFormat="false" ht="25.35" hidden="false" customHeight="false" outlineLevel="0" collapsed="false">
      <c r="A678" s="9" t="n">
        <v>672</v>
      </c>
      <c r="B678" s="10" t="s">
        <v>1006</v>
      </c>
      <c r="C678" s="10" t="s">
        <v>1007</v>
      </c>
      <c r="D678" s="11"/>
      <c r="E678" s="12"/>
      <c r="F678" s="11" t="n">
        <v>0.00695127314814815</v>
      </c>
      <c r="G678" s="12" t="n">
        <v>286</v>
      </c>
      <c r="H678" s="11" t="n">
        <v>0.00286909722222222</v>
      </c>
      <c r="I678" s="12" t="n">
        <v>688</v>
      </c>
      <c r="J678" s="12" t="n">
        <f aca="false">COUNT(E678,G678,I678)</f>
        <v>2</v>
      </c>
      <c r="K678" s="13" t="n">
        <f aca="false">MIN(E678,G678,I678)</f>
        <v>286</v>
      </c>
      <c r="L678" s="9" t="str">
        <f aca="false">IF(E678=K678,"5000m",IF(G678=K678,"3000mSC","1500m"))</f>
        <v>3000mSC</v>
      </c>
      <c r="M678" s="14" t="n">
        <f aca="false">(D678&lt;&gt;"")*(D678&lt;=($E$3*60+$F$3)/86400)+(F678&lt;&gt;"")*(F678&lt;=($I$3*60+$J$3)/86400)+(H678&lt;&gt;"")*(H678&lt;=($M$3*60+$N$3)/86400)</f>
        <v>0</v>
      </c>
      <c r="N678" s="16"/>
      <c r="O678" s="15"/>
    </row>
    <row r="679" customFormat="false" ht="15" hidden="false" customHeight="false" outlineLevel="0" collapsed="false">
      <c r="A679" s="9" t="n">
        <v>673</v>
      </c>
      <c r="B679" s="10" t="s">
        <v>1008</v>
      </c>
      <c r="C679" s="10" t="s">
        <v>382</v>
      </c>
      <c r="D679" s="11"/>
      <c r="E679" s="12"/>
      <c r="F679" s="11"/>
      <c r="G679" s="12"/>
      <c r="H679" s="11" t="n">
        <v>0.0028005787037037</v>
      </c>
      <c r="I679" s="12" t="n">
        <v>286</v>
      </c>
      <c r="J679" s="12" t="n">
        <f aca="false">COUNT(E679,G679,I679)</f>
        <v>1</v>
      </c>
      <c r="K679" s="13" t="n">
        <f aca="false">MIN(E679,G679,I679)</f>
        <v>286</v>
      </c>
      <c r="L679" s="9" t="str">
        <f aca="false">IF(E679=K679,"5000m",IF(G679=K679,"3000mSC","1500m"))</f>
        <v>1500m</v>
      </c>
      <c r="M679" s="14" t="n">
        <f aca="false">(D679&lt;&gt;"")*(D679&lt;=($E$3*60+$F$3)/86400)+(F679&lt;&gt;"")*(F679&lt;=($I$3*60+$J$3)/86400)+(H679&lt;&gt;"")*(H679&lt;=($M$3*60+$N$3)/86400)</f>
        <v>0</v>
      </c>
      <c r="N679" s="16"/>
      <c r="O679" s="15"/>
    </row>
    <row r="680" customFormat="false" ht="15" hidden="false" customHeight="false" outlineLevel="0" collapsed="false">
      <c r="A680" s="9" t="n">
        <v>674</v>
      </c>
      <c r="B680" s="10" t="s">
        <v>1009</v>
      </c>
      <c r="C680" s="10" t="s">
        <v>81</v>
      </c>
      <c r="D680" s="11" t="n">
        <v>0.0110256944444444</v>
      </c>
      <c r="E680" s="12" t="n">
        <v>1140</v>
      </c>
      <c r="F680" s="11" t="n">
        <v>0.00750810185185185</v>
      </c>
      <c r="G680" s="12" t="n">
        <v>897</v>
      </c>
      <c r="H680" s="11" t="n">
        <v>0.00280104166666667</v>
      </c>
      <c r="I680" s="12" t="n">
        <v>287</v>
      </c>
      <c r="J680" s="12" t="n">
        <f aca="false">COUNT(E680,G680,I680)</f>
        <v>3</v>
      </c>
      <c r="K680" s="13" t="n">
        <f aca="false">MIN(E680,G680,I680)</f>
        <v>287</v>
      </c>
      <c r="L680" s="9" t="str">
        <f aca="false">IF(E680=K680,"5000m",IF(G680=K680,"3000mSC","1500m"))</f>
        <v>1500m</v>
      </c>
      <c r="M680" s="14" t="n">
        <f aca="false">(D680&lt;&gt;"")*(D680&lt;=($E$3*60+$F$3)/86400)+(F680&lt;&gt;"")*(F680&lt;=($I$3*60+$J$3)/86400)+(H680&lt;&gt;"")*(H680&lt;=($M$3*60+$N$3)/86400)</f>
        <v>0</v>
      </c>
      <c r="N680" s="16"/>
      <c r="O680" s="15"/>
    </row>
    <row r="681" customFormat="false" ht="15" hidden="false" customHeight="false" outlineLevel="0" collapsed="false">
      <c r="A681" s="9" t="n">
        <v>675</v>
      </c>
      <c r="B681" s="10" t="s">
        <v>1010</v>
      </c>
      <c r="C681" s="10" t="s">
        <v>277</v>
      </c>
      <c r="D681" s="11" t="n">
        <v>0.0104221064814815</v>
      </c>
      <c r="E681" s="12" t="n">
        <v>287</v>
      </c>
      <c r="F681" s="11"/>
      <c r="G681" s="12"/>
      <c r="H681" s="11" t="n">
        <v>0.00280300925925926</v>
      </c>
      <c r="I681" s="12" t="n">
        <v>295</v>
      </c>
      <c r="J681" s="12" t="n">
        <f aca="false">COUNT(E681,G681,I681)</f>
        <v>2</v>
      </c>
      <c r="K681" s="13" t="n">
        <f aca="false">MIN(E681,G681,I681)</f>
        <v>287</v>
      </c>
      <c r="L681" s="9" t="str">
        <f aca="false">IF(E681=K681,"5000m",IF(G681=K681,"3000mSC","1500m"))</f>
        <v>5000m</v>
      </c>
      <c r="M681" s="14" t="n">
        <f aca="false">(D681&lt;&gt;"")*(D681&lt;=($E$3*60+$F$3)/86400)+(F681&lt;&gt;"")*(F681&lt;=($I$3*60+$J$3)/86400)+(H681&lt;&gt;"")*(H681&lt;=($M$3*60+$N$3)/86400)</f>
        <v>0</v>
      </c>
      <c r="N681" s="16"/>
      <c r="O681" s="15"/>
    </row>
    <row r="682" customFormat="false" ht="25.35" hidden="false" customHeight="false" outlineLevel="0" collapsed="false">
      <c r="A682" s="9" t="n">
        <v>676</v>
      </c>
      <c r="B682" s="10" t="s">
        <v>1011</v>
      </c>
      <c r="C682" s="10" t="s">
        <v>457</v>
      </c>
      <c r="D682" s="11" t="n">
        <v>0.011066087962963</v>
      </c>
      <c r="E682" s="12" t="n">
        <v>1227</v>
      </c>
      <c r="F682" s="11" t="n">
        <v>0.0069525462962963</v>
      </c>
      <c r="G682" s="12" t="n">
        <v>287</v>
      </c>
      <c r="H682" s="11"/>
      <c r="I682" s="12"/>
      <c r="J682" s="12" t="n">
        <f aca="false">COUNT(E682,G682,I682)</f>
        <v>2</v>
      </c>
      <c r="K682" s="13" t="n">
        <f aca="false">MIN(E682,G682,I682)</f>
        <v>287</v>
      </c>
      <c r="L682" s="9" t="str">
        <f aca="false">IF(E682=K682,"5000m",IF(G682=K682,"3000mSC","1500m"))</f>
        <v>3000mSC</v>
      </c>
      <c r="M682" s="14" t="n">
        <f aca="false">(D682&lt;&gt;"")*(D682&lt;=($E$3*60+$F$3)/86400)+(F682&lt;&gt;"")*(F682&lt;=($I$3*60+$J$3)/86400)+(H682&lt;&gt;"")*(H682&lt;=($M$3*60+$N$3)/86400)</f>
        <v>0</v>
      </c>
      <c r="N682" s="16"/>
      <c r="O682" s="15"/>
    </row>
    <row r="683" customFormat="false" ht="25.35" hidden="false" customHeight="false" outlineLevel="0" collapsed="false">
      <c r="A683" s="9" t="n">
        <v>677</v>
      </c>
      <c r="B683" s="10" t="s">
        <v>1012</v>
      </c>
      <c r="C683" s="10" t="s">
        <v>437</v>
      </c>
      <c r="D683" s="11" t="n">
        <v>0.0109219907407407</v>
      </c>
      <c r="E683" s="12" t="n">
        <v>952</v>
      </c>
      <c r="F683" s="11" t="n">
        <v>0.00695462962962963</v>
      </c>
      <c r="G683" s="12" t="n">
        <v>288</v>
      </c>
      <c r="H683" s="11" t="n">
        <v>0.00287835648148148</v>
      </c>
      <c r="I683" s="12" t="n">
        <v>755</v>
      </c>
      <c r="J683" s="12" t="n">
        <f aca="false">COUNT(E683,G683,I683)</f>
        <v>3</v>
      </c>
      <c r="K683" s="13" t="n">
        <f aca="false">MIN(E683,G683,I683)</f>
        <v>288</v>
      </c>
      <c r="L683" s="9" t="str">
        <f aca="false">IF(E683=K683,"5000m",IF(G683=K683,"3000mSC","1500m"))</f>
        <v>3000mSC</v>
      </c>
      <c r="M683" s="14" t="n">
        <f aca="false">(D683&lt;&gt;"")*(D683&lt;=($E$3*60+$F$3)/86400)+(F683&lt;&gt;"")*(F683&lt;=($I$3*60+$J$3)/86400)+(H683&lt;&gt;"")*(H683&lt;=($M$3*60+$N$3)/86400)</f>
        <v>0</v>
      </c>
      <c r="N683" s="16"/>
      <c r="O683" s="15"/>
    </row>
    <row r="684" customFormat="false" ht="15" hidden="false" customHeight="false" outlineLevel="0" collapsed="false">
      <c r="A684" s="9" t="n">
        <v>678</v>
      </c>
      <c r="B684" s="10" t="s">
        <v>1013</v>
      </c>
      <c r="C684" s="10" t="s">
        <v>103</v>
      </c>
      <c r="D684" s="11" t="n">
        <v>0.0104231481481482</v>
      </c>
      <c r="E684" s="12" t="n">
        <v>288</v>
      </c>
      <c r="F684" s="11"/>
      <c r="G684" s="12"/>
      <c r="H684" s="11" t="n">
        <v>0.00292418981481482</v>
      </c>
      <c r="I684" s="12" t="n">
        <v>1138</v>
      </c>
      <c r="J684" s="12" t="n">
        <f aca="false">COUNT(E684,G684,I684)</f>
        <v>2</v>
      </c>
      <c r="K684" s="13" t="n">
        <f aca="false">MIN(E684,G684,I684)</f>
        <v>288</v>
      </c>
      <c r="L684" s="9" t="str">
        <f aca="false">IF(E684=K684,"5000m",IF(G684=K684,"3000mSC","1500m"))</f>
        <v>5000m</v>
      </c>
      <c r="M684" s="14" t="n">
        <f aca="false">(D684&lt;&gt;"")*(D684&lt;=($E$3*60+$F$3)/86400)+(F684&lt;&gt;"")*(F684&lt;=($I$3*60+$J$3)/86400)+(H684&lt;&gt;"")*(H684&lt;=($M$3*60+$N$3)/86400)</f>
        <v>0</v>
      </c>
      <c r="N684" s="16"/>
      <c r="O684" s="15"/>
    </row>
    <row r="685" customFormat="false" ht="15" hidden="false" customHeight="false" outlineLevel="0" collapsed="false">
      <c r="A685" s="9" t="n">
        <v>679</v>
      </c>
      <c r="B685" s="10" t="s">
        <v>1014</v>
      </c>
      <c r="C685" s="10" t="s">
        <v>288</v>
      </c>
      <c r="D685" s="11" t="n">
        <v>0.0110321759259259</v>
      </c>
      <c r="E685" s="12" t="n">
        <v>1156</v>
      </c>
      <c r="F685" s="11"/>
      <c r="G685" s="12"/>
      <c r="H685" s="11" t="n">
        <v>0.00280162037037037</v>
      </c>
      <c r="I685" s="12" t="n">
        <v>288</v>
      </c>
      <c r="J685" s="12" t="n">
        <f aca="false">COUNT(E685,G685,I685)</f>
        <v>2</v>
      </c>
      <c r="K685" s="13" t="n">
        <f aca="false">MIN(E685,G685,I685)</f>
        <v>288</v>
      </c>
      <c r="L685" s="9" t="str">
        <f aca="false">IF(E685=K685,"5000m",IF(G685=K685,"3000mSC","1500m"))</f>
        <v>1500m</v>
      </c>
      <c r="M685" s="14" t="n">
        <f aca="false">(D685&lt;&gt;"")*(D685&lt;=($E$3*60+$F$3)/86400)+(F685&lt;&gt;"")*(F685&lt;=($I$3*60+$J$3)/86400)+(H685&lt;&gt;"")*(H685&lt;=($M$3*60+$N$3)/86400)</f>
        <v>0</v>
      </c>
      <c r="N685" s="16"/>
      <c r="O685" s="15"/>
    </row>
    <row r="686" customFormat="false" ht="25.35" hidden="false" customHeight="false" outlineLevel="0" collapsed="false">
      <c r="A686" s="9" t="n">
        <v>680</v>
      </c>
      <c r="B686" s="10" t="s">
        <v>1015</v>
      </c>
      <c r="C686" s="10" t="s">
        <v>480</v>
      </c>
      <c r="D686" s="11" t="n">
        <v>0.0109819444444445</v>
      </c>
      <c r="E686" s="12" t="n">
        <v>1062</v>
      </c>
      <c r="F686" s="11" t="n">
        <v>0.00695462962962963</v>
      </c>
      <c r="G686" s="12" t="n">
        <v>289</v>
      </c>
      <c r="H686" s="11" t="n">
        <v>0.00284421296296296</v>
      </c>
      <c r="I686" s="12" t="n">
        <v>527</v>
      </c>
      <c r="J686" s="12" t="n">
        <f aca="false">COUNT(E686,G686,I686)</f>
        <v>3</v>
      </c>
      <c r="K686" s="13" t="n">
        <f aca="false">MIN(E686,G686,I686)</f>
        <v>289</v>
      </c>
      <c r="L686" s="9" t="str">
        <f aca="false">IF(E686=K686,"5000m",IF(G686=K686,"3000mSC","1500m"))</f>
        <v>3000mSC</v>
      </c>
      <c r="M686" s="14" t="n">
        <f aca="false">(D686&lt;&gt;"")*(D686&lt;=($E$3*60+$F$3)/86400)+(F686&lt;&gt;"")*(F686&lt;=($I$3*60+$J$3)/86400)+(H686&lt;&gt;"")*(H686&lt;=($M$3*60+$N$3)/86400)</f>
        <v>0</v>
      </c>
      <c r="N686" s="16"/>
      <c r="O686" s="15"/>
    </row>
    <row r="687" customFormat="false" ht="15" hidden="false" customHeight="false" outlineLevel="0" collapsed="false">
      <c r="A687" s="9" t="n">
        <v>681</v>
      </c>
      <c r="B687" s="10" t="s">
        <v>1016</v>
      </c>
      <c r="C687" s="10" t="s">
        <v>116</v>
      </c>
      <c r="D687" s="11" t="n">
        <v>0.0104248842592593</v>
      </c>
      <c r="E687" s="12" t="n">
        <v>289</v>
      </c>
      <c r="F687" s="11"/>
      <c r="G687" s="12"/>
      <c r="H687" s="11" t="n">
        <v>0.0029224537037037</v>
      </c>
      <c r="I687" s="12" t="n">
        <v>1119</v>
      </c>
      <c r="J687" s="12" t="n">
        <f aca="false">COUNT(E687,G687,I687)</f>
        <v>2</v>
      </c>
      <c r="K687" s="13" t="n">
        <f aca="false">MIN(E687,G687,I687)</f>
        <v>289</v>
      </c>
      <c r="L687" s="9" t="str">
        <f aca="false">IF(E687=K687,"5000m",IF(G687=K687,"3000mSC","1500m"))</f>
        <v>5000m</v>
      </c>
      <c r="M687" s="14" t="n">
        <f aca="false">(D687&lt;&gt;"")*(D687&lt;=($E$3*60+$F$3)/86400)+(F687&lt;&gt;"")*(F687&lt;=($I$3*60+$J$3)/86400)+(H687&lt;&gt;"")*(H687&lt;=($M$3*60+$N$3)/86400)</f>
        <v>0</v>
      </c>
      <c r="N687" s="16"/>
      <c r="O687" s="15"/>
    </row>
    <row r="688" customFormat="false" ht="25.35" hidden="false" customHeight="false" outlineLevel="0" collapsed="false">
      <c r="A688" s="9" t="n">
        <v>682</v>
      </c>
      <c r="B688" s="10" t="s">
        <v>1017</v>
      </c>
      <c r="C688" s="10" t="s">
        <v>1018</v>
      </c>
      <c r="D688" s="11"/>
      <c r="E688" s="12"/>
      <c r="F688" s="11" t="n">
        <v>0.00695752314814815</v>
      </c>
      <c r="G688" s="12" t="n">
        <v>290</v>
      </c>
      <c r="H688" s="11" t="n">
        <v>0.00296608796296296</v>
      </c>
      <c r="I688" s="12" t="n">
        <v>1295</v>
      </c>
      <c r="J688" s="12" t="n">
        <f aca="false">COUNT(E688,G688,I688)</f>
        <v>2</v>
      </c>
      <c r="K688" s="13" t="n">
        <f aca="false">MIN(E688,G688,I688)</f>
        <v>290</v>
      </c>
      <c r="L688" s="9" t="str">
        <f aca="false">IF(E688=K688,"5000m",IF(G688=K688,"3000mSC","1500m"))</f>
        <v>3000mSC</v>
      </c>
      <c r="M688" s="14" t="n">
        <f aca="false">(D688&lt;&gt;"")*(D688&lt;=($E$3*60+$F$3)/86400)+(F688&lt;&gt;"")*(F688&lt;=($I$3*60+$J$3)/86400)+(H688&lt;&gt;"")*(H688&lt;=($M$3*60+$N$3)/86400)</f>
        <v>0</v>
      </c>
      <c r="N688" s="16"/>
      <c r="O688" s="15"/>
    </row>
    <row r="689" customFormat="false" ht="15" hidden="false" customHeight="false" outlineLevel="0" collapsed="false">
      <c r="A689" s="9" t="n">
        <v>683</v>
      </c>
      <c r="B689" s="10" t="s">
        <v>1019</v>
      </c>
      <c r="C689" s="10" t="s">
        <v>1020</v>
      </c>
      <c r="D689" s="11" t="n">
        <v>0.0104258101851852</v>
      </c>
      <c r="E689" s="12" t="n">
        <v>290</v>
      </c>
      <c r="F689" s="11"/>
      <c r="G689" s="12"/>
      <c r="H689" s="11"/>
      <c r="I689" s="12"/>
      <c r="J689" s="12" t="n">
        <f aca="false">COUNT(E689,G689,I689)</f>
        <v>1</v>
      </c>
      <c r="K689" s="13" t="n">
        <f aca="false">MIN(E689,G689,I689)</f>
        <v>290</v>
      </c>
      <c r="L689" s="9" t="str">
        <f aca="false">IF(E689=K689,"5000m",IF(G689=K689,"3000mSC","1500m"))</f>
        <v>5000m</v>
      </c>
      <c r="M689" s="14" t="n">
        <f aca="false">(D689&lt;&gt;"")*(D689&lt;=($E$3*60+$F$3)/86400)+(F689&lt;&gt;"")*(F689&lt;=($I$3*60+$J$3)/86400)+(H689&lt;&gt;"")*(H689&lt;=($M$3*60+$N$3)/86400)</f>
        <v>0</v>
      </c>
      <c r="N689" s="16"/>
      <c r="O689" s="15"/>
    </row>
    <row r="690" customFormat="false" ht="15" hidden="false" customHeight="false" outlineLevel="0" collapsed="false">
      <c r="A690" s="9" t="n">
        <v>684</v>
      </c>
      <c r="B690" s="10" t="s">
        <v>1021</v>
      </c>
      <c r="C690" s="10" t="s">
        <v>23</v>
      </c>
      <c r="D690" s="11" t="n">
        <v>0.010571875</v>
      </c>
      <c r="E690" s="12" t="n">
        <v>426</v>
      </c>
      <c r="F690" s="11"/>
      <c r="G690" s="12"/>
      <c r="H690" s="11" t="n">
        <v>0.00280208333333333</v>
      </c>
      <c r="I690" s="12" t="n">
        <v>291</v>
      </c>
      <c r="J690" s="12" t="n">
        <f aca="false">COUNT(E690,G690,I690)</f>
        <v>2</v>
      </c>
      <c r="K690" s="13" t="n">
        <f aca="false">MIN(E690,G690,I690)</f>
        <v>291</v>
      </c>
      <c r="L690" s="9" t="str">
        <f aca="false">IF(E690=K690,"5000m",IF(G690=K690,"3000mSC","1500m"))</f>
        <v>1500m</v>
      </c>
      <c r="M690" s="14" t="n">
        <f aca="false">(D690&lt;&gt;"")*(D690&lt;=($E$3*60+$F$3)/86400)+(F690&lt;&gt;"")*(F690&lt;=($I$3*60+$J$3)/86400)+(H690&lt;&gt;"")*(H690&lt;=($M$3*60+$N$3)/86400)</f>
        <v>0</v>
      </c>
      <c r="N690" s="16"/>
      <c r="O690" s="15"/>
    </row>
    <row r="691" customFormat="false" ht="25.35" hidden="false" customHeight="false" outlineLevel="0" collapsed="false">
      <c r="A691" s="9" t="n">
        <v>685</v>
      </c>
      <c r="B691" s="10" t="s">
        <v>1022</v>
      </c>
      <c r="C691" s="10" t="s">
        <v>1023</v>
      </c>
      <c r="D691" s="11"/>
      <c r="E691" s="12"/>
      <c r="F691" s="11" t="n">
        <v>0.00695972222222222</v>
      </c>
      <c r="G691" s="12" t="n">
        <v>292</v>
      </c>
      <c r="H691" s="11"/>
      <c r="I691" s="12"/>
      <c r="J691" s="12" t="n">
        <f aca="false">COUNT(E691,G691,I691)</f>
        <v>1</v>
      </c>
      <c r="K691" s="13" t="n">
        <f aca="false">MIN(E691,G691,I691)</f>
        <v>292</v>
      </c>
      <c r="L691" s="9" t="str">
        <f aca="false">IF(E691=K691,"5000m",IF(G691=K691,"3000mSC","1500m"))</f>
        <v>3000mSC</v>
      </c>
      <c r="M691" s="14" t="n">
        <f aca="false">(D691&lt;&gt;"")*(D691&lt;=($E$3*60+$F$3)/86400)+(F691&lt;&gt;"")*(F691&lt;=($I$3*60+$J$3)/86400)+(H691&lt;&gt;"")*(H691&lt;=($M$3*60+$N$3)/86400)</f>
        <v>0</v>
      </c>
      <c r="N691" s="16"/>
      <c r="O691" s="15"/>
    </row>
    <row r="692" customFormat="false" ht="15" hidden="false" customHeight="false" outlineLevel="0" collapsed="false">
      <c r="A692" s="9" t="n">
        <v>686</v>
      </c>
      <c r="B692" s="10" t="s">
        <v>1024</v>
      </c>
      <c r="C692" s="10" t="s">
        <v>712</v>
      </c>
      <c r="D692" s="11"/>
      <c r="E692" s="12"/>
      <c r="F692" s="11"/>
      <c r="G692" s="12"/>
      <c r="H692" s="11" t="n">
        <v>0.00280243055555556</v>
      </c>
      <c r="I692" s="12" t="n">
        <v>292</v>
      </c>
      <c r="J692" s="12" t="n">
        <f aca="false">COUNT(E692,G692,I692)</f>
        <v>1</v>
      </c>
      <c r="K692" s="13" t="n">
        <f aca="false">MIN(E692,G692,I692)</f>
        <v>292</v>
      </c>
      <c r="L692" s="9" t="str">
        <f aca="false">IF(E692=K692,"5000m",IF(G692=K692,"3000mSC","1500m"))</f>
        <v>1500m</v>
      </c>
      <c r="M692" s="14" t="n">
        <f aca="false">(D692&lt;&gt;"")*(D692&lt;=($E$3*60+$F$3)/86400)+(F692&lt;&gt;"")*(F692&lt;=($I$3*60+$J$3)/86400)+(H692&lt;&gt;"")*(H692&lt;=($M$3*60+$N$3)/86400)</f>
        <v>0</v>
      </c>
      <c r="N692" s="16"/>
      <c r="O692" s="15"/>
    </row>
    <row r="693" customFormat="false" ht="25.35" hidden="false" customHeight="false" outlineLevel="0" collapsed="false">
      <c r="A693" s="9" t="n">
        <v>687</v>
      </c>
      <c r="B693" s="10" t="s">
        <v>1025</v>
      </c>
      <c r="C693" s="10" t="s">
        <v>149</v>
      </c>
      <c r="D693" s="11" t="n">
        <v>0.0107398148148148</v>
      </c>
      <c r="E693" s="12" t="n">
        <v>652</v>
      </c>
      <c r="F693" s="11" t="n">
        <v>0.00695972222222222</v>
      </c>
      <c r="G693" s="12" t="n">
        <v>293</v>
      </c>
      <c r="H693" s="11" t="n">
        <v>0.00288784722222222</v>
      </c>
      <c r="I693" s="12" t="n">
        <v>845</v>
      </c>
      <c r="J693" s="12" t="n">
        <f aca="false">COUNT(E693,G693,I693)</f>
        <v>3</v>
      </c>
      <c r="K693" s="13" t="n">
        <f aca="false">MIN(E693,G693,I693)</f>
        <v>293</v>
      </c>
      <c r="L693" s="9" t="str">
        <f aca="false">IF(E693=K693,"5000m",IF(G693=K693,"3000mSC","1500m"))</f>
        <v>3000mSC</v>
      </c>
      <c r="M693" s="14" t="n">
        <f aca="false">(D693&lt;&gt;"")*(D693&lt;=($E$3*60+$F$3)/86400)+(F693&lt;&gt;"")*(F693&lt;=($I$3*60+$J$3)/86400)+(H693&lt;&gt;"")*(H693&lt;=($M$3*60+$N$3)/86400)</f>
        <v>0</v>
      </c>
      <c r="N693" s="16"/>
      <c r="O693" s="15"/>
    </row>
    <row r="694" customFormat="false" ht="15" hidden="false" customHeight="false" outlineLevel="0" collapsed="false">
      <c r="A694" s="9" t="n">
        <v>688</v>
      </c>
      <c r="B694" s="10" t="s">
        <v>1026</v>
      </c>
      <c r="C694" s="10" t="s">
        <v>1027</v>
      </c>
      <c r="D694" s="11" t="n">
        <v>0.0104300925925926</v>
      </c>
      <c r="E694" s="12" t="n">
        <v>293</v>
      </c>
      <c r="F694" s="11"/>
      <c r="G694" s="12"/>
      <c r="H694" s="11" t="n">
        <v>0.00291111111111111</v>
      </c>
      <c r="I694" s="12" t="n">
        <v>1029</v>
      </c>
      <c r="J694" s="12" t="n">
        <f aca="false">COUNT(E694,G694,I694)</f>
        <v>2</v>
      </c>
      <c r="K694" s="13" t="n">
        <f aca="false">MIN(E694,G694,I694)</f>
        <v>293</v>
      </c>
      <c r="L694" s="9" t="str">
        <f aca="false">IF(E694=K694,"5000m",IF(G694=K694,"3000mSC","1500m"))</f>
        <v>5000m</v>
      </c>
      <c r="M694" s="14" t="n">
        <f aca="false">(D694&lt;&gt;"")*(D694&lt;=($E$3*60+$F$3)/86400)+(F694&lt;&gt;"")*(F694&lt;=($I$3*60+$J$3)/86400)+(H694&lt;&gt;"")*(H694&lt;=($M$3*60+$N$3)/86400)</f>
        <v>0</v>
      </c>
      <c r="N694" s="16"/>
      <c r="O694" s="15"/>
    </row>
    <row r="695" customFormat="false" ht="15" hidden="false" customHeight="false" outlineLevel="0" collapsed="false">
      <c r="A695" s="9" t="n">
        <v>689</v>
      </c>
      <c r="B695" s="10" t="s">
        <v>1028</v>
      </c>
      <c r="C695" s="10" t="s">
        <v>541</v>
      </c>
      <c r="D695" s="11" t="n">
        <v>0.0109903935185185</v>
      </c>
      <c r="E695" s="12" t="n">
        <v>1079</v>
      </c>
      <c r="F695" s="11"/>
      <c r="G695" s="12"/>
      <c r="H695" s="11" t="n">
        <v>0.00280266203703704</v>
      </c>
      <c r="I695" s="12" t="n">
        <v>293</v>
      </c>
      <c r="J695" s="12" t="n">
        <f aca="false">COUNT(E695,G695,I695)</f>
        <v>2</v>
      </c>
      <c r="K695" s="13" t="n">
        <f aca="false">MIN(E695,G695,I695)</f>
        <v>293</v>
      </c>
      <c r="L695" s="9" t="str">
        <f aca="false">IF(E695=K695,"5000m",IF(G695=K695,"3000mSC","1500m"))</f>
        <v>1500m</v>
      </c>
      <c r="M695" s="14" t="n">
        <f aca="false">(D695&lt;&gt;"")*(D695&lt;=($E$3*60+$F$3)/86400)+(F695&lt;&gt;"")*(F695&lt;=($I$3*60+$J$3)/86400)+(H695&lt;&gt;"")*(H695&lt;=($M$3*60+$N$3)/86400)</f>
        <v>0</v>
      </c>
      <c r="N695" s="16"/>
      <c r="O695" s="15"/>
    </row>
    <row r="696" customFormat="false" ht="25.35" hidden="false" customHeight="false" outlineLevel="0" collapsed="false">
      <c r="A696" s="9" t="n">
        <v>690</v>
      </c>
      <c r="B696" s="10" t="s">
        <v>1029</v>
      </c>
      <c r="C696" s="10" t="s">
        <v>380</v>
      </c>
      <c r="D696" s="11" t="n">
        <v>0.0108225694444445</v>
      </c>
      <c r="E696" s="12" t="n">
        <v>779</v>
      </c>
      <c r="F696" s="11" t="n">
        <v>0.00696180555555556</v>
      </c>
      <c r="G696" s="12" t="n">
        <v>295</v>
      </c>
      <c r="H696" s="11"/>
      <c r="I696" s="12"/>
      <c r="J696" s="12" t="n">
        <f aca="false">COUNT(E696,G696,I696)</f>
        <v>2</v>
      </c>
      <c r="K696" s="13" t="n">
        <f aca="false">MIN(E696,G696,I696)</f>
        <v>295</v>
      </c>
      <c r="L696" s="9" t="str">
        <f aca="false">IF(E696=K696,"5000m",IF(G696=K696,"3000mSC","1500m"))</f>
        <v>3000mSC</v>
      </c>
      <c r="M696" s="14" t="n">
        <f aca="false">(D696&lt;&gt;"")*(D696&lt;=($E$3*60+$F$3)/86400)+(F696&lt;&gt;"")*(F696&lt;=($I$3*60+$J$3)/86400)+(H696&lt;&gt;"")*(H696&lt;=($M$3*60+$N$3)/86400)</f>
        <v>0</v>
      </c>
      <c r="N696" s="16"/>
      <c r="O696" s="15"/>
    </row>
    <row r="697" customFormat="false" ht="15" hidden="false" customHeight="false" outlineLevel="0" collapsed="false">
      <c r="A697" s="9" t="n">
        <v>691</v>
      </c>
      <c r="B697" s="10" t="s">
        <v>1030</v>
      </c>
      <c r="C697" s="10" t="s">
        <v>577</v>
      </c>
      <c r="D697" s="11" t="n">
        <v>0.0105166666666667</v>
      </c>
      <c r="E697" s="12" t="n">
        <v>361</v>
      </c>
      <c r="F697" s="11"/>
      <c r="G697" s="12"/>
      <c r="H697" s="11" t="n">
        <v>0.002803125</v>
      </c>
      <c r="I697" s="12" t="n">
        <v>296</v>
      </c>
      <c r="J697" s="12" t="n">
        <f aca="false">COUNT(E697,G697,I697)</f>
        <v>2</v>
      </c>
      <c r="K697" s="13" t="n">
        <f aca="false">MIN(E697,G697,I697)</f>
        <v>296</v>
      </c>
      <c r="L697" s="9" t="str">
        <f aca="false">IF(E697=K697,"5000m",IF(G697=K697,"3000mSC","1500m"))</f>
        <v>1500m</v>
      </c>
      <c r="M697" s="14" t="n">
        <f aca="false">(D697&lt;&gt;"")*(D697&lt;=($E$3*60+$F$3)/86400)+(F697&lt;&gt;"")*(F697&lt;=($I$3*60+$J$3)/86400)+(H697&lt;&gt;"")*(H697&lt;=($M$3*60+$N$3)/86400)</f>
        <v>0</v>
      </c>
      <c r="N697" s="16"/>
      <c r="O697" s="15"/>
    </row>
    <row r="698" customFormat="false" ht="25.35" hidden="false" customHeight="false" outlineLevel="0" collapsed="false">
      <c r="A698" s="9" t="n">
        <v>692</v>
      </c>
      <c r="B698" s="10" t="s">
        <v>1031</v>
      </c>
      <c r="C698" s="10" t="s">
        <v>179</v>
      </c>
      <c r="D698" s="11" t="n">
        <v>0.0105697916666667</v>
      </c>
      <c r="E698" s="12" t="n">
        <v>422</v>
      </c>
      <c r="F698" s="11" t="n">
        <v>0.00696284722222222</v>
      </c>
      <c r="G698" s="12" t="n">
        <v>296</v>
      </c>
      <c r="H698" s="11"/>
      <c r="I698" s="12"/>
      <c r="J698" s="12" t="n">
        <f aca="false">COUNT(E698,G698,I698)</f>
        <v>2</v>
      </c>
      <c r="K698" s="13" t="n">
        <f aca="false">MIN(E698,G698,I698)</f>
        <v>296</v>
      </c>
      <c r="L698" s="9" t="str">
        <f aca="false">IF(E698=K698,"5000m",IF(G698=K698,"3000mSC","1500m"))</f>
        <v>3000mSC</v>
      </c>
      <c r="M698" s="14" t="n">
        <f aca="false">(D698&lt;&gt;"")*(D698&lt;=($E$3*60+$F$3)/86400)+(F698&lt;&gt;"")*(F698&lt;=($I$3*60+$J$3)/86400)+(H698&lt;&gt;"")*(H698&lt;=($M$3*60+$N$3)/86400)</f>
        <v>0</v>
      </c>
      <c r="N698" s="16"/>
      <c r="O698" s="15"/>
    </row>
    <row r="699" customFormat="false" ht="25.35" hidden="false" customHeight="false" outlineLevel="0" collapsed="false">
      <c r="A699" s="9" t="n">
        <v>693</v>
      </c>
      <c r="B699" s="10" t="s">
        <v>1032</v>
      </c>
      <c r="C699" s="10" t="s">
        <v>1033</v>
      </c>
      <c r="D699" s="11" t="n">
        <v>0.0110798611111111</v>
      </c>
      <c r="E699" s="12" t="n">
        <v>1251</v>
      </c>
      <c r="F699" s="11" t="n">
        <v>0.00696331018518519</v>
      </c>
      <c r="G699" s="12" t="n">
        <v>297</v>
      </c>
      <c r="H699" s="11" t="n">
        <v>0.00297743055555556</v>
      </c>
      <c r="I699" s="12" t="n">
        <v>1343</v>
      </c>
      <c r="J699" s="12" t="n">
        <f aca="false">COUNT(E699,G699,I699)</f>
        <v>3</v>
      </c>
      <c r="K699" s="13" t="n">
        <f aca="false">MIN(E699,G699,I699)</f>
        <v>297</v>
      </c>
      <c r="L699" s="9" t="str">
        <f aca="false">IF(E699=K699,"5000m",IF(G699=K699,"3000mSC","1500m"))</f>
        <v>3000mSC</v>
      </c>
      <c r="M699" s="14" t="n">
        <f aca="false">(D699&lt;&gt;"")*(D699&lt;=($E$3*60+$F$3)/86400)+(F699&lt;&gt;"")*(F699&lt;=($I$3*60+$J$3)/86400)+(H699&lt;&gt;"")*(H699&lt;=($M$3*60+$N$3)/86400)</f>
        <v>0</v>
      </c>
      <c r="N699" s="16"/>
      <c r="O699" s="15"/>
    </row>
    <row r="700" customFormat="false" ht="15" hidden="false" customHeight="false" outlineLevel="0" collapsed="false">
      <c r="A700" s="9" t="n">
        <v>694</v>
      </c>
      <c r="B700" s="10" t="s">
        <v>1034</v>
      </c>
      <c r="C700" s="10" t="s">
        <v>1035</v>
      </c>
      <c r="D700" s="11" t="n">
        <v>0.0104341435185185</v>
      </c>
      <c r="E700" s="12" t="n">
        <v>297</v>
      </c>
      <c r="F700" s="11"/>
      <c r="G700" s="12"/>
      <c r="H700" s="11"/>
      <c r="I700" s="12"/>
      <c r="J700" s="12" t="n">
        <f aca="false">COUNT(E700,G700,I700)</f>
        <v>1</v>
      </c>
      <c r="K700" s="13" t="n">
        <f aca="false">MIN(E700,G700,I700)</f>
        <v>297</v>
      </c>
      <c r="L700" s="9" t="str">
        <f aca="false">IF(E700=K700,"5000m",IF(G700=K700,"3000mSC","1500m"))</f>
        <v>5000m</v>
      </c>
      <c r="M700" s="14" t="n">
        <f aca="false">(D700&lt;&gt;"")*(D700&lt;=($E$3*60+$F$3)/86400)+(F700&lt;&gt;"")*(F700&lt;=($I$3*60+$J$3)/86400)+(H700&lt;&gt;"")*(H700&lt;=($M$3*60+$N$3)/86400)</f>
        <v>0</v>
      </c>
      <c r="N700" s="16"/>
      <c r="O700" s="15"/>
    </row>
    <row r="701" customFormat="false" ht="15" hidden="false" customHeight="false" outlineLevel="0" collapsed="false">
      <c r="A701" s="9" t="n">
        <v>695</v>
      </c>
      <c r="B701" s="10" t="s">
        <v>1036</v>
      </c>
      <c r="C701" s="10" t="s">
        <v>440</v>
      </c>
      <c r="D701" s="11" t="n">
        <v>0.0104372685185185</v>
      </c>
      <c r="E701" s="12" t="n">
        <v>298</v>
      </c>
      <c r="F701" s="11"/>
      <c r="G701" s="12"/>
      <c r="H701" s="11" t="n">
        <v>0.00284768518518519</v>
      </c>
      <c r="I701" s="12" t="n">
        <v>555</v>
      </c>
      <c r="J701" s="12" t="n">
        <f aca="false">COUNT(E701,G701,I701)</f>
        <v>2</v>
      </c>
      <c r="K701" s="13" t="n">
        <f aca="false">MIN(E701,G701,I701)</f>
        <v>298</v>
      </c>
      <c r="L701" s="9" t="str">
        <f aca="false">IF(E701=K701,"5000m",IF(G701=K701,"3000mSC","1500m"))</f>
        <v>5000m</v>
      </c>
      <c r="M701" s="14" t="n">
        <f aca="false">(D701&lt;&gt;"")*(D701&lt;=($E$3*60+$F$3)/86400)+(F701&lt;&gt;"")*(F701&lt;=($I$3*60+$J$3)/86400)+(H701&lt;&gt;"")*(H701&lt;=($M$3*60+$N$3)/86400)</f>
        <v>0</v>
      </c>
      <c r="N701" s="16"/>
      <c r="O701" s="15"/>
    </row>
    <row r="702" customFormat="false" ht="25.35" hidden="false" customHeight="false" outlineLevel="0" collapsed="false">
      <c r="A702" s="9" t="n">
        <v>696</v>
      </c>
      <c r="B702" s="10" t="s">
        <v>1037</v>
      </c>
      <c r="C702" s="10" t="s">
        <v>1038</v>
      </c>
      <c r="D702" s="11"/>
      <c r="E702" s="12"/>
      <c r="F702" s="11" t="n">
        <v>0.00696608796296296</v>
      </c>
      <c r="G702" s="12" t="n">
        <v>298</v>
      </c>
      <c r="H702" s="11"/>
      <c r="I702" s="12"/>
      <c r="J702" s="12" t="n">
        <f aca="false">COUNT(E702,G702,I702)</f>
        <v>1</v>
      </c>
      <c r="K702" s="13" t="n">
        <f aca="false">MIN(E702,G702,I702)</f>
        <v>298</v>
      </c>
      <c r="L702" s="9" t="str">
        <f aca="false">IF(E702=K702,"5000m",IF(G702=K702,"3000mSC","1500m"))</f>
        <v>3000mSC</v>
      </c>
      <c r="M702" s="14" t="n">
        <f aca="false">(D702&lt;&gt;"")*(D702&lt;=($E$3*60+$F$3)/86400)+(F702&lt;&gt;"")*(F702&lt;=($I$3*60+$J$3)/86400)+(H702&lt;&gt;"")*(H702&lt;=($M$3*60+$N$3)/86400)</f>
        <v>0</v>
      </c>
      <c r="N702" s="16"/>
      <c r="O702" s="15"/>
    </row>
    <row r="703" customFormat="false" ht="15" hidden="false" customHeight="false" outlineLevel="0" collapsed="false">
      <c r="A703" s="9" t="n">
        <v>697</v>
      </c>
      <c r="B703" s="10" t="s">
        <v>1039</v>
      </c>
      <c r="C703" s="10" t="s">
        <v>1040</v>
      </c>
      <c r="D703" s="11"/>
      <c r="E703" s="12"/>
      <c r="F703" s="11"/>
      <c r="G703" s="12"/>
      <c r="H703" s="11" t="n">
        <v>0.00280358796296296</v>
      </c>
      <c r="I703" s="12" t="n">
        <v>298</v>
      </c>
      <c r="J703" s="12" t="n">
        <f aca="false">COUNT(E703,G703,I703)</f>
        <v>1</v>
      </c>
      <c r="K703" s="13" t="n">
        <f aca="false">MIN(E703,G703,I703)</f>
        <v>298</v>
      </c>
      <c r="L703" s="9" t="str">
        <f aca="false">IF(E703=K703,"5000m",IF(G703=K703,"3000mSC","1500m"))</f>
        <v>1500m</v>
      </c>
      <c r="M703" s="14" t="n">
        <f aca="false">(D703&lt;&gt;"")*(D703&lt;=($E$3*60+$F$3)/86400)+(F703&lt;&gt;"")*(F703&lt;=($I$3*60+$J$3)/86400)+(H703&lt;&gt;"")*(H703&lt;=($M$3*60+$N$3)/86400)</f>
        <v>0</v>
      </c>
      <c r="N703" s="16"/>
      <c r="O703" s="15"/>
    </row>
    <row r="704" customFormat="false" ht="25.35" hidden="false" customHeight="false" outlineLevel="0" collapsed="false">
      <c r="A704" s="9" t="n">
        <v>698</v>
      </c>
      <c r="B704" s="10" t="s">
        <v>1041</v>
      </c>
      <c r="C704" s="10" t="s">
        <v>1042</v>
      </c>
      <c r="D704" s="11"/>
      <c r="E704" s="12"/>
      <c r="F704" s="11" t="n">
        <v>0.00696678240740741</v>
      </c>
      <c r="G704" s="12" t="n">
        <v>299</v>
      </c>
      <c r="H704" s="11" t="n">
        <v>0.00283912037037037</v>
      </c>
      <c r="I704" s="12" t="n">
        <v>488</v>
      </c>
      <c r="J704" s="12" t="n">
        <f aca="false">COUNT(E704,G704,I704)</f>
        <v>2</v>
      </c>
      <c r="K704" s="13" t="n">
        <f aca="false">MIN(E704,G704,I704)</f>
        <v>299</v>
      </c>
      <c r="L704" s="9" t="str">
        <f aca="false">IF(E704=K704,"5000m",IF(G704=K704,"3000mSC","1500m"))</f>
        <v>3000mSC</v>
      </c>
      <c r="M704" s="14" t="n">
        <f aca="false">(D704&lt;&gt;"")*(D704&lt;=($E$3*60+$F$3)/86400)+(F704&lt;&gt;"")*(F704&lt;=($I$3*60+$J$3)/86400)+(H704&lt;&gt;"")*(H704&lt;=($M$3*60+$N$3)/86400)</f>
        <v>0</v>
      </c>
      <c r="N704" s="10" t="s">
        <v>1043</v>
      </c>
      <c r="O704" s="15"/>
    </row>
    <row r="705" customFormat="false" ht="15" hidden="false" customHeight="false" outlineLevel="0" collapsed="false">
      <c r="A705" s="9" t="n">
        <v>699</v>
      </c>
      <c r="B705" s="10" t="s">
        <v>1044</v>
      </c>
      <c r="C705" s="10" t="s">
        <v>254</v>
      </c>
      <c r="D705" s="11" t="n">
        <v>0.0104451388888889</v>
      </c>
      <c r="E705" s="12" t="n">
        <v>300</v>
      </c>
      <c r="F705" s="11"/>
      <c r="G705" s="12"/>
      <c r="H705" s="11" t="n">
        <v>0.00283518518518519</v>
      </c>
      <c r="I705" s="12" t="n">
        <v>462</v>
      </c>
      <c r="J705" s="12" t="n">
        <f aca="false">COUNT(E705,G705,I705)</f>
        <v>2</v>
      </c>
      <c r="K705" s="13" t="n">
        <f aca="false">MIN(E705,G705,I705)</f>
        <v>300</v>
      </c>
      <c r="L705" s="9" t="str">
        <f aca="false">IF(E705=K705,"5000m",IF(G705=K705,"3000mSC","1500m"))</f>
        <v>5000m</v>
      </c>
      <c r="M705" s="14" t="n">
        <f aca="false">(D705&lt;&gt;"")*(D705&lt;=($E$3*60+$F$3)/86400)+(F705&lt;&gt;"")*(F705&lt;=($I$3*60+$J$3)/86400)+(H705&lt;&gt;"")*(H705&lt;=($M$3*60+$N$3)/86400)</f>
        <v>0</v>
      </c>
      <c r="N705" s="16"/>
      <c r="O705" s="15"/>
    </row>
    <row r="706" customFormat="false" ht="25.35" hidden="false" customHeight="false" outlineLevel="0" collapsed="false">
      <c r="A706" s="9" t="n">
        <v>700</v>
      </c>
      <c r="B706" s="10" t="s">
        <v>1045</v>
      </c>
      <c r="C706" s="10" t="s">
        <v>1046</v>
      </c>
      <c r="D706" s="11" t="n">
        <v>0.0109041666666667</v>
      </c>
      <c r="E706" s="12" t="n">
        <v>926</v>
      </c>
      <c r="F706" s="11" t="n">
        <v>0.00696736111111111</v>
      </c>
      <c r="G706" s="12" t="n">
        <v>300</v>
      </c>
      <c r="H706" s="11"/>
      <c r="I706" s="12"/>
      <c r="J706" s="12" t="n">
        <f aca="false">COUNT(E706,G706,I706)</f>
        <v>2</v>
      </c>
      <c r="K706" s="13" t="n">
        <f aca="false">MIN(E706,G706,I706)</f>
        <v>300</v>
      </c>
      <c r="L706" s="9" t="str">
        <f aca="false">IF(E706=K706,"5000m",IF(G706=K706,"3000mSC","1500m"))</f>
        <v>3000mSC</v>
      </c>
      <c r="M706" s="14" t="n">
        <f aca="false">(D706&lt;&gt;"")*(D706&lt;=($E$3*60+$F$3)/86400)+(F706&lt;&gt;"")*(F706&lt;=($I$3*60+$J$3)/86400)+(H706&lt;&gt;"")*(H706&lt;=($M$3*60+$N$3)/86400)</f>
        <v>0</v>
      </c>
      <c r="N706" s="16"/>
      <c r="O706" s="15"/>
    </row>
    <row r="707" customFormat="false" ht="15" hidden="false" customHeight="false" outlineLevel="0" collapsed="false">
      <c r="A707" s="9" t="n">
        <v>701</v>
      </c>
      <c r="B707" s="10" t="s">
        <v>1047</v>
      </c>
      <c r="C707" s="10" t="s">
        <v>32</v>
      </c>
      <c r="D707" s="11" t="n">
        <v>0.0110609953703704</v>
      </c>
      <c r="E707" s="12" t="n">
        <v>1218</v>
      </c>
      <c r="F707" s="11"/>
      <c r="G707" s="12"/>
      <c r="H707" s="11" t="n">
        <v>0.00280462962962963</v>
      </c>
      <c r="I707" s="12" t="n">
        <v>301</v>
      </c>
      <c r="J707" s="12" t="n">
        <f aca="false">COUNT(E707,G707,I707)</f>
        <v>2</v>
      </c>
      <c r="K707" s="13" t="n">
        <f aca="false">MIN(E707,G707,I707)</f>
        <v>301</v>
      </c>
      <c r="L707" s="9" t="str">
        <f aca="false">IF(E707=K707,"5000m",IF(G707=K707,"3000mSC","1500m"))</f>
        <v>1500m</v>
      </c>
      <c r="M707" s="14" t="n">
        <f aca="false">(D707&lt;&gt;"")*(D707&lt;=($E$3*60+$F$3)/86400)+(F707&lt;&gt;"")*(F707&lt;=($I$3*60+$J$3)/86400)+(H707&lt;&gt;"")*(H707&lt;=($M$3*60+$N$3)/86400)</f>
        <v>0</v>
      </c>
      <c r="N707" s="16"/>
      <c r="O707" s="15"/>
    </row>
    <row r="708" customFormat="false" ht="25.35" hidden="false" customHeight="false" outlineLevel="0" collapsed="false">
      <c r="A708" s="9" t="n">
        <v>702</v>
      </c>
      <c r="B708" s="10" t="s">
        <v>1048</v>
      </c>
      <c r="C708" s="10" t="s">
        <v>128</v>
      </c>
      <c r="D708" s="11"/>
      <c r="E708" s="12"/>
      <c r="F708" s="11" t="n">
        <v>0.00696840277777778</v>
      </c>
      <c r="G708" s="12" t="n">
        <v>301</v>
      </c>
      <c r="H708" s="11"/>
      <c r="I708" s="12"/>
      <c r="J708" s="12" t="n">
        <f aca="false">COUNT(E708,G708,I708)</f>
        <v>1</v>
      </c>
      <c r="K708" s="13" t="n">
        <f aca="false">MIN(E708,G708,I708)</f>
        <v>301</v>
      </c>
      <c r="L708" s="9" t="str">
        <f aca="false">IF(E708=K708,"5000m",IF(G708=K708,"3000mSC","1500m"))</f>
        <v>3000mSC</v>
      </c>
      <c r="M708" s="14" t="n">
        <f aca="false">(D708&lt;&gt;"")*(D708&lt;=($E$3*60+$F$3)/86400)+(F708&lt;&gt;"")*(F708&lt;=($I$3*60+$J$3)/86400)+(H708&lt;&gt;"")*(H708&lt;=($M$3*60+$N$3)/86400)</f>
        <v>0</v>
      </c>
      <c r="N708" s="16"/>
      <c r="O708" s="15"/>
    </row>
    <row r="709" customFormat="false" ht="15" hidden="false" customHeight="false" outlineLevel="0" collapsed="false">
      <c r="A709" s="9" t="n">
        <v>703</v>
      </c>
      <c r="B709" s="10" t="s">
        <v>1049</v>
      </c>
      <c r="C709" s="10" t="s">
        <v>437</v>
      </c>
      <c r="D709" s="11" t="n">
        <v>0.0104483796296296</v>
      </c>
      <c r="E709" s="12" t="n">
        <v>302</v>
      </c>
      <c r="F709" s="11" t="n">
        <v>0.00723009259259259</v>
      </c>
      <c r="G709" s="12" t="n">
        <v>574</v>
      </c>
      <c r="H709" s="11" t="n">
        <v>0.00286956018518519</v>
      </c>
      <c r="I709" s="12" t="n">
        <v>691</v>
      </c>
      <c r="J709" s="12" t="n">
        <f aca="false">COUNT(E709,G709,I709)</f>
        <v>3</v>
      </c>
      <c r="K709" s="13" t="n">
        <f aca="false">MIN(E709,G709,I709)</f>
        <v>302</v>
      </c>
      <c r="L709" s="9" t="str">
        <f aca="false">IF(E709=K709,"5000m",IF(G709=K709,"3000mSC","1500m"))</f>
        <v>5000m</v>
      </c>
      <c r="M709" s="14" t="n">
        <f aca="false">(D709&lt;&gt;"")*(D709&lt;=($E$3*60+$F$3)/86400)+(F709&lt;&gt;"")*(F709&lt;=($I$3*60+$J$3)/86400)+(H709&lt;&gt;"")*(H709&lt;=($M$3*60+$N$3)/86400)</f>
        <v>0</v>
      </c>
      <c r="N709" s="16"/>
      <c r="O709" s="15"/>
    </row>
    <row r="710" customFormat="false" ht="15" hidden="false" customHeight="false" outlineLevel="0" collapsed="false">
      <c r="A710" s="9" t="n">
        <v>704</v>
      </c>
      <c r="B710" s="10" t="s">
        <v>1050</v>
      </c>
      <c r="C710" s="10" t="s">
        <v>1051</v>
      </c>
      <c r="D710" s="11" t="n">
        <v>0.0106767361111111</v>
      </c>
      <c r="E710" s="12" t="n">
        <v>555</v>
      </c>
      <c r="F710" s="11"/>
      <c r="G710" s="12"/>
      <c r="H710" s="11" t="n">
        <v>0.00280497685185185</v>
      </c>
      <c r="I710" s="12" t="n">
        <v>302</v>
      </c>
      <c r="J710" s="12" t="n">
        <f aca="false">COUNT(E710,G710,I710)</f>
        <v>2</v>
      </c>
      <c r="K710" s="13" t="n">
        <f aca="false">MIN(E710,G710,I710)</f>
        <v>302</v>
      </c>
      <c r="L710" s="9" t="str">
        <f aca="false">IF(E710=K710,"5000m",IF(G710=K710,"3000mSC","1500m"))</f>
        <v>1500m</v>
      </c>
      <c r="M710" s="14" t="n">
        <f aca="false">(D710&lt;&gt;"")*(D710&lt;=($E$3*60+$F$3)/86400)+(F710&lt;&gt;"")*(F710&lt;=($I$3*60+$J$3)/86400)+(H710&lt;&gt;"")*(H710&lt;=($M$3*60+$N$3)/86400)</f>
        <v>0</v>
      </c>
      <c r="N710" s="16"/>
      <c r="O710" s="15"/>
    </row>
    <row r="711" customFormat="false" ht="25.35" hidden="false" customHeight="false" outlineLevel="0" collapsed="false">
      <c r="A711" s="9" t="n">
        <v>705</v>
      </c>
      <c r="B711" s="10" t="s">
        <v>1052</v>
      </c>
      <c r="C711" s="10" t="s">
        <v>564</v>
      </c>
      <c r="D711" s="11"/>
      <c r="E711" s="12"/>
      <c r="F711" s="11" t="n">
        <v>0.00696851851851852</v>
      </c>
      <c r="G711" s="12" t="n">
        <v>302</v>
      </c>
      <c r="H711" s="11"/>
      <c r="I711" s="12"/>
      <c r="J711" s="12" t="n">
        <f aca="false">COUNT(E711,G711,I711)</f>
        <v>1</v>
      </c>
      <c r="K711" s="13" t="n">
        <f aca="false">MIN(E711,G711,I711)</f>
        <v>302</v>
      </c>
      <c r="L711" s="9" t="str">
        <f aca="false">IF(E711=K711,"5000m",IF(G711=K711,"3000mSC","1500m"))</f>
        <v>3000mSC</v>
      </c>
      <c r="M711" s="14" t="n">
        <f aca="false">(D711&lt;&gt;"")*(D711&lt;=($E$3*60+$F$3)/86400)+(F711&lt;&gt;"")*(F711&lt;=($I$3*60+$J$3)/86400)+(H711&lt;&gt;"")*(H711&lt;=($M$3*60+$N$3)/86400)</f>
        <v>0</v>
      </c>
      <c r="N711" s="16"/>
      <c r="O711" s="15"/>
    </row>
    <row r="712" customFormat="false" ht="15" hidden="false" customHeight="false" outlineLevel="0" collapsed="false">
      <c r="A712" s="9" t="n">
        <v>706</v>
      </c>
      <c r="B712" s="10" t="s">
        <v>1053</v>
      </c>
      <c r="C712" s="10" t="s">
        <v>484</v>
      </c>
      <c r="D712" s="11" t="n">
        <v>0.0104486111111111</v>
      </c>
      <c r="E712" s="12" t="n">
        <v>303</v>
      </c>
      <c r="F712" s="11" t="n">
        <v>0.00772731481481481</v>
      </c>
      <c r="G712" s="12" t="n">
        <v>1094</v>
      </c>
      <c r="H712" s="11" t="n">
        <v>0.00287083333333333</v>
      </c>
      <c r="I712" s="12" t="n">
        <v>703</v>
      </c>
      <c r="J712" s="12" t="n">
        <f aca="false">COUNT(E712,G712,I712)</f>
        <v>3</v>
      </c>
      <c r="K712" s="13" t="n">
        <f aca="false">MIN(E712,G712,I712)</f>
        <v>303</v>
      </c>
      <c r="L712" s="9" t="str">
        <f aca="false">IF(E712=K712,"5000m",IF(G712=K712,"3000mSC","1500m"))</f>
        <v>5000m</v>
      </c>
      <c r="M712" s="14" t="n">
        <f aca="false">(D712&lt;&gt;"")*(D712&lt;=($E$3*60+$F$3)/86400)+(F712&lt;&gt;"")*(F712&lt;=($I$3*60+$J$3)/86400)+(H712&lt;&gt;"")*(H712&lt;=($M$3*60+$N$3)/86400)</f>
        <v>0</v>
      </c>
      <c r="N712" s="16"/>
      <c r="O712" s="15"/>
    </row>
    <row r="713" customFormat="false" ht="25.35" hidden="false" customHeight="false" outlineLevel="0" collapsed="false">
      <c r="A713" s="9" t="n">
        <v>707</v>
      </c>
      <c r="B713" s="10" t="s">
        <v>1054</v>
      </c>
      <c r="C713" s="10" t="s">
        <v>1055</v>
      </c>
      <c r="D713" s="11" t="n">
        <v>0.0110770833333333</v>
      </c>
      <c r="E713" s="12" t="n">
        <v>1245</v>
      </c>
      <c r="F713" s="11" t="n">
        <v>0.00696886574074074</v>
      </c>
      <c r="G713" s="12" t="n">
        <v>303</v>
      </c>
      <c r="H713" s="11" t="n">
        <v>0.0028494212962963</v>
      </c>
      <c r="I713" s="12" t="n">
        <v>568</v>
      </c>
      <c r="J713" s="12" t="n">
        <f aca="false">COUNT(E713,G713,I713)</f>
        <v>3</v>
      </c>
      <c r="K713" s="13" t="n">
        <f aca="false">MIN(E713,G713,I713)</f>
        <v>303</v>
      </c>
      <c r="L713" s="9" t="str">
        <f aca="false">IF(E713=K713,"5000m",IF(G713=K713,"3000mSC","1500m"))</f>
        <v>3000mSC</v>
      </c>
      <c r="M713" s="14" t="n">
        <f aca="false">(D713&lt;&gt;"")*(D713&lt;=($E$3*60+$F$3)/86400)+(F713&lt;&gt;"")*(F713&lt;=($I$3*60+$J$3)/86400)+(H713&lt;&gt;"")*(H713&lt;=($M$3*60+$N$3)/86400)</f>
        <v>0</v>
      </c>
      <c r="N713" s="16"/>
      <c r="O713" s="15"/>
    </row>
    <row r="714" customFormat="false" ht="25.35" hidden="false" customHeight="false" outlineLevel="0" collapsed="false">
      <c r="A714" s="9" t="n">
        <v>708</v>
      </c>
      <c r="B714" s="10" t="s">
        <v>1056</v>
      </c>
      <c r="C714" s="10" t="s">
        <v>652</v>
      </c>
      <c r="D714" s="11" t="n">
        <v>0.011041087962963</v>
      </c>
      <c r="E714" s="12" t="n">
        <v>1181</v>
      </c>
      <c r="F714" s="11" t="n">
        <v>0.00696898148148148</v>
      </c>
      <c r="G714" s="12" t="n">
        <v>304</v>
      </c>
      <c r="H714" s="11" t="n">
        <v>0.00283356481481482</v>
      </c>
      <c r="I714" s="12" t="n">
        <v>447</v>
      </c>
      <c r="J714" s="12" t="n">
        <f aca="false">COUNT(E714,G714,I714)</f>
        <v>3</v>
      </c>
      <c r="K714" s="13" t="n">
        <f aca="false">MIN(E714,G714,I714)</f>
        <v>304</v>
      </c>
      <c r="L714" s="9" t="str">
        <f aca="false">IF(E714=K714,"5000m",IF(G714=K714,"3000mSC","1500m"))</f>
        <v>3000mSC</v>
      </c>
      <c r="M714" s="14" t="n">
        <f aca="false">(D714&lt;&gt;"")*(D714&lt;=($E$3*60+$F$3)/86400)+(F714&lt;&gt;"")*(F714&lt;=($I$3*60+$J$3)/86400)+(H714&lt;&gt;"")*(H714&lt;=($M$3*60+$N$3)/86400)</f>
        <v>0</v>
      </c>
      <c r="N714" s="16"/>
      <c r="O714" s="15"/>
    </row>
    <row r="715" customFormat="false" ht="15" hidden="false" customHeight="false" outlineLevel="0" collapsed="false">
      <c r="A715" s="9" t="n">
        <v>709</v>
      </c>
      <c r="B715" s="10" t="s">
        <v>1057</v>
      </c>
      <c r="C715" s="10" t="s">
        <v>95</v>
      </c>
      <c r="D715" s="11" t="n">
        <v>0.0104804398148148</v>
      </c>
      <c r="E715" s="12" t="n">
        <v>324</v>
      </c>
      <c r="F715" s="11"/>
      <c r="G715" s="12"/>
      <c r="H715" s="11" t="n">
        <v>0.00280532407407407</v>
      </c>
      <c r="I715" s="12" t="n">
        <v>304</v>
      </c>
      <c r="J715" s="12" t="n">
        <f aca="false">COUNT(E715,G715,I715)</f>
        <v>2</v>
      </c>
      <c r="K715" s="13" t="n">
        <f aca="false">MIN(E715,G715,I715)</f>
        <v>304</v>
      </c>
      <c r="L715" s="9" t="str">
        <f aca="false">IF(E715=K715,"5000m",IF(G715=K715,"3000mSC","1500m"))</f>
        <v>1500m</v>
      </c>
      <c r="M715" s="14" t="n">
        <f aca="false">(D715&lt;&gt;"")*(D715&lt;=($E$3*60+$F$3)/86400)+(F715&lt;&gt;"")*(F715&lt;=($I$3*60+$J$3)/86400)+(H715&lt;&gt;"")*(H715&lt;=($M$3*60+$N$3)/86400)</f>
        <v>0</v>
      </c>
      <c r="N715" s="16"/>
      <c r="O715" s="15"/>
    </row>
    <row r="716" customFormat="false" ht="25.35" hidden="false" customHeight="false" outlineLevel="0" collapsed="false">
      <c r="A716" s="9" t="n">
        <v>710</v>
      </c>
      <c r="B716" s="10" t="s">
        <v>1058</v>
      </c>
      <c r="C716" s="10" t="s">
        <v>1059</v>
      </c>
      <c r="D716" s="11" t="n">
        <v>0.01098125</v>
      </c>
      <c r="E716" s="12" t="n">
        <v>1060</v>
      </c>
      <c r="F716" s="11" t="n">
        <v>0.00697002314814815</v>
      </c>
      <c r="G716" s="12" t="n">
        <v>305</v>
      </c>
      <c r="H716" s="11" t="n">
        <v>0.00291550925925926</v>
      </c>
      <c r="I716" s="12" t="n">
        <v>1055</v>
      </c>
      <c r="J716" s="12" t="n">
        <f aca="false">COUNT(E716,G716,I716)</f>
        <v>3</v>
      </c>
      <c r="K716" s="13" t="n">
        <f aca="false">MIN(E716,G716,I716)</f>
        <v>305</v>
      </c>
      <c r="L716" s="9" t="str">
        <f aca="false">IF(E716=K716,"5000m",IF(G716=K716,"3000mSC","1500m"))</f>
        <v>3000mSC</v>
      </c>
      <c r="M716" s="14" t="n">
        <f aca="false">(D716&lt;&gt;"")*(D716&lt;=($E$3*60+$F$3)/86400)+(F716&lt;&gt;"")*(F716&lt;=($I$3*60+$J$3)/86400)+(H716&lt;&gt;"")*(H716&lt;=($M$3*60+$N$3)/86400)</f>
        <v>0</v>
      </c>
      <c r="N716" s="16"/>
      <c r="O716" s="15"/>
    </row>
    <row r="717" customFormat="false" ht="25.35" hidden="false" customHeight="false" outlineLevel="0" collapsed="false">
      <c r="A717" s="9" t="n">
        <v>711</v>
      </c>
      <c r="B717" s="10" t="s">
        <v>1060</v>
      </c>
      <c r="C717" s="10" t="s">
        <v>712</v>
      </c>
      <c r="D717" s="11" t="n">
        <v>0.010500462962963</v>
      </c>
      <c r="E717" s="12" t="n">
        <v>341</v>
      </c>
      <c r="F717" s="11" t="n">
        <v>0.00697106481481481</v>
      </c>
      <c r="G717" s="12" t="n">
        <v>306</v>
      </c>
      <c r="H717" s="11"/>
      <c r="I717" s="12"/>
      <c r="J717" s="12" t="n">
        <f aca="false">COUNT(E717,G717,I717)</f>
        <v>2</v>
      </c>
      <c r="K717" s="13" t="n">
        <f aca="false">MIN(E717,G717,I717)</f>
        <v>306</v>
      </c>
      <c r="L717" s="9" t="str">
        <f aca="false">IF(E717=K717,"5000m",IF(G717=K717,"3000mSC","1500m"))</f>
        <v>3000mSC</v>
      </c>
      <c r="M717" s="14" t="n">
        <f aca="false">(D717&lt;&gt;"")*(D717&lt;=($E$3*60+$F$3)/86400)+(F717&lt;&gt;"")*(F717&lt;=($I$3*60+$J$3)/86400)+(H717&lt;&gt;"")*(H717&lt;=($M$3*60+$N$3)/86400)</f>
        <v>0</v>
      </c>
      <c r="N717" s="16"/>
      <c r="O717" s="15"/>
    </row>
    <row r="718" customFormat="false" ht="15" hidden="false" customHeight="false" outlineLevel="0" collapsed="false">
      <c r="A718" s="9" t="n">
        <v>712</v>
      </c>
      <c r="B718" s="10" t="s">
        <v>1061</v>
      </c>
      <c r="C718" s="10" t="s">
        <v>1062</v>
      </c>
      <c r="D718" s="11" t="n">
        <v>0.0104540509259259</v>
      </c>
      <c r="E718" s="12" t="n">
        <v>306</v>
      </c>
      <c r="F718" s="11"/>
      <c r="G718" s="12"/>
      <c r="H718" s="11" t="n">
        <v>0.002840625</v>
      </c>
      <c r="I718" s="12" t="n">
        <v>501</v>
      </c>
      <c r="J718" s="12" t="n">
        <f aca="false">COUNT(E718,G718,I718)</f>
        <v>2</v>
      </c>
      <c r="K718" s="13" t="n">
        <f aca="false">MIN(E718,G718,I718)</f>
        <v>306</v>
      </c>
      <c r="L718" s="9" t="str">
        <f aca="false">IF(E718=K718,"5000m",IF(G718=K718,"3000mSC","1500m"))</f>
        <v>5000m</v>
      </c>
      <c r="M718" s="14" t="n">
        <f aca="false">(D718&lt;&gt;"")*(D718&lt;=($E$3*60+$F$3)/86400)+(F718&lt;&gt;"")*(F718&lt;=($I$3*60+$J$3)/86400)+(H718&lt;&gt;"")*(H718&lt;=($M$3*60+$N$3)/86400)</f>
        <v>0</v>
      </c>
      <c r="N718" s="16"/>
      <c r="O718" s="15"/>
    </row>
    <row r="719" customFormat="false" ht="15" hidden="false" customHeight="false" outlineLevel="0" collapsed="false">
      <c r="A719" s="9" t="n">
        <v>713</v>
      </c>
      <c r="B719" s="10" t="s">
        <v>1063</v>
      </c>
      <c r="C719" s="10" t="s">
        <v>397</v>
      </c>
      <c r="D719" s="11"/>
      <c r="E719" s="12"/>
      <c r="F719" s="11"/>
      <c r="G719" s="12"/>
      <c r="H719" s="11" t="n">
        <v>0.00280578703703704</v>
      </c>
      <c r="I719" s="12" t="n">
        <v>306</v>
      </c>
      <c r="J719" s="12" t="n">
        <f aca="false">COUNT(E719,G719,I719)</f>
        <v>1</v>
      </c>
      <c r="K719" s="13" t="n">
        <f aca="false">MIN(E719,G719,I719)</f>
        <v>306</v>
      </c>
      <c r="L719" s="9" t="str">
        <f aca="false">IF(E719=K719,"5000m",IF(G719=K719,"3000mSC","1500m"))</f>
        <v>1500m</v>
      </c>
      <c r="M719" s="14" t="n">
        <f aca="false">(D719&lt;&gt;"")*(D719&lt;=($E$3*60+$F$3)/86400)+(F719&lt;&gt;"")*(F719&lt;=($I$3*60+$J$3)/86400)+(H719&lt;&gt;"")*(H719&lt;=($M$3*60+$N$3)/86400)</f>
        <v>0</v>
      </c>
      <c r="N719" s="16"/>
      <c r="O719" s="15"/>
    </row>
    <row r="720" customFormat="false" ht="15" hidden="false" customHeight="false" outlineLevel="0" collapsed="false">
      <c r="A720" s="9" t="n">
        <v>714</v>
      </c>
      <c r="B720" s="10" t="s">
        <v>1064</v>
      </c>
      <c r="C720" s="10" t="s">
        <v>1065</v>
      </c>
      <c r="D720" s="11" t="n">
        <v>0.0104564814814815</v>
      </c>
      <c r="E720" s="12" t="n">
        <v>307</v>
      </c>
      <c r="F720" s="11"/>
      <c r="G720" s="12"/>
      <c r="H720" s="11" t="n">
        <v>0.00282835648148148</v>
      </c>
      <c r="I720" s="12" t="n">
        <v>414</v>
      </c>
      <c r="J720" s="12" t="n">
        <f aca="false">COUNT(E720,G720,I720)</f>
        <v>2</v>
      </c>
      <c r="K720" s="13" t="n">
        <f aca="false">MIN(E720,G720,I720)</f>
        <v>307</v>
      </c>
      <c r="L720" s="9" t="str">
        <f aca="false">IF(E720=K720,"5000m",IF(G720=K720,"3000mSC","1500m"))</f>
        <v>5000m</v>
      </c>
      <c r="M720" s="14" t="n">
        <f aca="false">(D720&lt;&gt;"")*(D720&lt;=($E$3*60+$F$3)/86400)+(F720&lt;&gt;"")*(F720&lt;=($I$3*60+$J$3)/86400)+(H720&lt;&gt;"")*(H720&lt;=($M$3*60+$N$3)/86400)</f>
        <v>0</v>
      </c>
      <c r="N720" s="16"/>
      <c r="O720" s="15"/>
    </row>
    <row r="721" customFormat="false" ht="25.35" hidden="false" customHeight="false" outlineLevel="0" collapsed="false">
      <c r="A721" s="9" t="n">
        <v>715</v>
      </c>
      <c r="B721" s="10" t="s">
        <v>1066</v>
      </c>
      <c r="C721" s="10" t="s">
        <v>1067</v>
      </c>
      <c r="D721" s="11"/>
      <c r="E721" s="12"/>
      <c r="F721" s="11" t="n">
        <v>0.0069712962962963</v>
      </c>
      <c r="G721" s="12" t="n">
        <v>307</v>
      </c>
      <c r="H721" s="11" t="n">
        <v>0.002840625</v>
      </c>
      <c r="I721" s="12" t="n">
        <v>502</v>
      </c>
      <c r="J721" s="12" t="n">
        <f aca="false">COUNT(E721,G721,I721)</f>
        <v>2</v>
      </c>
      <c r="K721" s="13" t="n">
        <f aca="false">MIN(E721,G721,I721)</f>
        <v>307</v>
      </c>
      <c r="L721" s="9" t="str">
        <f aca="false">IF(E721=K721,"5000m",IF(G721=K721,"3000mSC","1500m"))</f>
        <v>3000mSC</v>
      </c>
      <c r="M721" s="14" t="n">
        <f aca="false">(D721&lt;&gt;"")*(D721&lt;=($E$3*60+$F$3)/86400)+(F721&lt;&gt;"")*(F721&lt;=($I$3*60+$J$3)/86400)+(H721&lt;&gt;"")*(H721&lt;=($M$3*60+$N$3)/86400)</f>
        <v>0</v>
      </c>
      <c r="N721" s="16"/>
      <c r="O721" s="15"/>
    </row>
    <row r="722" customFormat="false" ht="15" hidden="false" customHeight="false" outlineLevel="0" collapsed="false">
      <c r="A722" s="9" t="n">
        <v>716</v>
      </c>
      <c r="B722" s="10" t="s">
        <v>1068</v>
      </c>
      <c r="C722" s="10" t="s">
        <v>1069</v>
      </c>
      <c r="D722" s="11" t="n">
        <v>0.010672337962963</v>
      </c>
      <c r="E722" s="12" t="n">
        <v>551</v>
      </c>
      <c r="F722" s="11"/>
      <c r="G722" s="12"/>
      <c r="H722" s="11" t="n">
        <v>0.00280625</v>
      </c>
      <c r="I722" s="12" t="n">
        <v>307</v>
      </c>
      <c r="J722" s="12" t="n">
        <f aca="false">COUNT(E722,G722,I722)</f>
        <v>2</v>
      </c>
      <c r="K722" s="13" t="n">
        <f aca="false">MIN(E722,G722,I722)</f>
        <v>307</v>
      </c>
      <c r="L722" s="9" t="str">
        <f aca="false">IF(E722=K722,"5000m",IF(G722=K722,"3000mSC","1500m"))</f>
        <v>1500m</v>
      </c>
      <c r="M722" s="14" t="n">
        <f aca="false">(D722&lt;&gt;"")*(D722&lt;=($E$3*60+$F$3)/86400)+(F722&lt;&gt;"")*(F722&lt;=($I$3*60+$J$3)/86400)+(H722&lt;&gt;"")*(H722&lt;=($M$3*60+$N$3)/86400)</f>
        <v>0</v>
      </c>
      <c r="N722" s="16"/>
      <c r="O722" s="15"/>
    </row>
    <row r="723" customFormat="false" ht="15" hidden="false" customHeight="false" outlineLevel="0" collapsed="false">
      <c r="A723" s="9" t="n">
        <v>717</v>
      </c>
      <c r="B723" s="10" t="s">
        <v>1070</v>
      </c>
      <c r="C723" s="10" t="s">
        <v>41</v>
      </c>
      <c r="D723" s="11" t="n">
        <v>0.0106862268518519</v>
      </c>
      <c r="E723" s="12" t="n">
        <v>560</v>
      </c>
      <c r="F723" s="11"/>
      <c r="G723" s="12"/>
      <c r="H723" s="11" t="n">
        <v>0.00280636574074074</v>
      </c>
      <c r="I723" s="12" t="n">
        <v>309</v>
      </c>
      <c r="J723" s="12" t="n">
        <f aca="false">COUNT(E723,G723,I723)</f>
        <v>2</v>
      </c>
      <c r="K723" s="13" t="n">
        <f aca="false">MIN(E723,G723,I723)</f>
        <v>309</v>
      </c>
      <c r="L723" s="9" t="str">
        <f aca="false">IF(E723=K723,"5000m",IF(G723=K723,"3000mSC","1500m"))</f>
        <v>1500m</v>
      </c>
      <c r="M723" s="14" t="n">
        <f aca="false">(D723&lt;&gt;"")*(D723&lt;=($E$3*60+$F$3)/86400)+(F723&lt;&gt;"")*(F723&lt;=($I$3*60+$J$3)/86400)+(H723&lt;&gt;"")*(H723&lt;=($M$3*60+$N$3)/86400)</f>
        <v>0</v>
      </c>
      <c r="N723" s="16"/>
      <c r="O723" s="15"/>
    </row>
    <row r="724" customFormat="false" ht="15" hidden="false" customHeight="false" outlineLevel="0" collapsed="false">
      <c r="A724" s="9" t="n">
        <v>718</v>
      </c>
      <c r="B724" s="10" t="s">
        <v>1071</v>
      </c>
      <c r="C724" s="10" t="s">
        <v>105</v>
      </c>
      <c r="D724" s="11" t="n">
        <v>0.0104579861111111</v>
      </c>
      <c r="E724" s="12" t="n">
        <v>309</v>
      </c>
      <c r="F724" s="11"/>
      <c r="G724" s="12"/>
      <c r="H724" s="11"/>
      <c r="I724" s="12"/>
      <c r="J724" s="12" t="n">
        <f aca="false">COUNT(E724,G724,I724)</f>
        <v>1</v>
      </c>
      <c r="K724" s="13" t="n">
        <f aca="false">MIN(E724,G724,I724)</f>
        <v>309</v>
      </c>
      <c r="L724" s="9" t="str">
        <f aca="false">IF(E724=K724,"5000m",IF(G724=K724,"3000mSC","1500m"))</f>
        <v>5000m</v>
      </c>
      <c r="M724" s="14" t="n">
        <f aca="false">(D724&lt;&gt;"")*(D724&lt;=($E$3*60+$F$3)/86400)+(F724&lt;&gt;"")*(F724&lt;=($I$3*60+$J$3)/86400)+(H724&lt;&gt;"")*(H724&lt;=($M$3*60+$N$3)/86400)</f>
        <v>0</v>
      </c>
      <c r="N724" s="16"/>
      <c r="O724" s="15"/>
    </row>
    <row r="725" customFormat="false" ht="25.35" hidden="false" customHeight="false" outlineLevel="0" collapsed="false">
      <c r="A725" s="9" t="n">
        <v>719</v>
      </c>
      <c r="B725" s="10" t="s">
        <v>1072</v>
      </c>
      <c r="C725" s="10" t="s">
        <v>1073</v>
      </c>
      <c r="D725" s="11"/>
      <c r="E725" s="12"/>
      <c r="F725" s="11" t="n">
        <v>0.00697789351851852</v>
      </c>
      <c r="G725" s="12" t="n">
        <v>309</v>
      </c>
      <c r="H725" s="11"/>
      <c r="I725" s="12"/>
      <c r="J725" s="12" t="n">
        <f aca="false">COUNT(E725,G725,I725)</f>
        <v>1</v>
      </c>
      <c r="K725" s="13" t="n">
        <f aca="false">MIN(E725,G725,I725)</f>
        <v>309</v>
      </c>
      <c r="L725" s="9" t="str">
        <f aca="false">IF(E725=K725,"5000m",IF(G725=K725,"3000mSC","1500m"))</f>
        <v>3000mSC</v>
      </c>
      <c r="M725" s="14" t="n">
        <f aca="false">(D725&lt;&gt;"")*(D725&lt;=($E$3*60+$F$3)/86400)+(F725&lt;&gt;"")*(F725&lt;=($I$3*60+$J$3)/86400)+(H725&lt;&gt;"")*(H725&lt;=($M$3*60+$N$3)/86400)</f>
        <v>0</v>
      </c>
      <c r="N725" s="16"/>
      <c r="O725" s="15"/>
    </row>
    <row r="726" customFormat="false" ht="15" hidden="false" customHeight="false" outlineLevel="0" collapsed="false">
      <c r="A726" s="9" t="n">
        <v>720</v>
      </c>
      <c r="B726" s="10" t="s">
        <v>1074</v>
      </c>
      <c r="C726" s="10" t="s">
        <v>107</v>
      </c>
      <c r="D726" s="11" t="n">
        <v>0.0107144675925926</v>
      </c>
      <c r="E726" s="12" t="n">
        <v>604</v>
      </c>
      <c r="F726" s="11"/>
      <c r="G726" s="12"/>
      <c r="H726" s="11" t="n">
        <v>0.00280671296296296</v>
      </c>
      <c r="I726" s="12" t="n">
        <v>310</v>
      </c>
      <c r="J726" s="12" t="n">
        <f aca="false">COUNT(E726,G726,I726)</f>
        <v>2</v>
      </c>
      <c r="K726" s="13" t="n">
        <f aca="false">MIN(E726,G726,I726)</f>
        <v>310</v>
      </c>
      <c r="L726" s="9" t="str">
        <f aca="false">IF(E726=K726,"5000m",IF(G726=K726,"3000mSC","1500m"))</f>
        <v>1500m</v>
      </c>
      <c r="M726" s="14" t="n">
        <f aca="false">(D726&lt;&gt;"")*(D726&lt;=($E$3*60+$F$3)/86400)+(F726&lt;&gt;"")*(F726&lt;=($I$3*60+$J$3)/86400)+(H726&lt;&gt;"")*(H726&lt;=($M$3*60+$N$3)/86400)</f>
        <v>0</v>
      </c>
      <c r="N726" s="16"/>
      <c r="O726" s="15"/>
    </row>
    <row r="727" customFormat="false" ht="15" hidden="false" customHeight="false" outlineLevel="0" collapsed="false">
      <c r="A727" s="9" t="n">
        <v>721</v>
      </c>
      <c r="B727" s="10" t="s">
        <v>1075</v>
      </c>
      <c r="C727" s="10" t="s">
        <v>95</v>
      </c>
      <c r="D727" s="11" t="n">
        <v>0.010459375</v>
      </c>
      <c r="E727" s="12" t="n">
        <v>310</v>
      </c>
      <c r="F727" s="11"/>
      <c r="G727" s="12"/>
      <c r="H727" s="11"/>
      <c r="I727" s="12"/>
      <c r="J727" s="12" t="n">
        <f aca="false">COUNT(E727,G727,I727)</f>
        <v>1</v>
      </c>
      <c r="K727" s="13" t="n">
        <f aca="false">MIN(E727,G727,I727)</f>
        <v>310</v>
      </c>
      <c r="L727" s="9" t="str">
        <f aca="false">IF(E727=K727,"5000m",IF(G727=K727,"3000mSC","1500m"))</f>
        <v>5000m</v>
      </c>
      <c r="M727" s="14" t="n">
        <f aca="false">(D727&lt;&gt;"")*(D727&lt;=($E$3*60+$F$3)/86400)+(F727&lt;&gt;"")*(F727&lt;=($I$3*60+$J$3)/86400)+(H727&lt;&gt;"")*(H727&lt;=($M$3*60+$N$3)/86400)</f>
        <v>0</v>
      </c>
      <c r="N727" s="16"/>
      <c r="O727" s="15"/>
    </row>
    <row r="728" customFormat="false" ht="25.35" hidden="false" customHeight="false" outlineLevel="0" collapsed="false">
      <c r="A728" s="9" t="n">
        <v>722</v>
      </c>
      <c r="B728" s="10" t="s">
        <v>1076</v>
      </c>
      <c r="C728" s="10" t="s">
        <v>175</v>
      </c>
      <c r="D728" s="11"/>
      <c r="E728" s="12"/>
      <c r="F728" s="11" t="n">
        <v>0.00697835648148148</v>
      </c>
      <c r="G728" s="12" t="n">
        <v>310</v>
      </c>
      <c r="H728" s="11"/>
      <c r="I728" s="12"/>
      <c r="J728" s="12" t="n">
        <f aca="false">COUNT(E728,G728,I728)</f>
        <v>1</v>
      </c>
      <c r="K728" s="13" t="n">
        <f aca="false">MIN(E728,G728,I728)</f>
        <v>310</v>
      </c>
      <c r="L728" s="9" t="str">
        <f aca="false">IF(E728=K728,"5000m",IF(G728=K728,"3000mSC","1500m"))</f>
        <v>3000mSC</v>
      </c>
      <c r="M728" s="14" t="n">
        <f aca="false">(D728&lt;&gt;"")*(D728&lt;=($E$3*60+$F$3)/86400)+(F728&lt;&gt;"")*(F728&lt;=($I$3*60+$J$3)/86400)+(H728&lt;&gt;"")*(H728&lt;=($M$3*60+$N$3)/86400)</f>
        <v>0</v>
      </c>
      <c r="N728" s="16"/>
      <c r="O728" s="15"/>
    </row>
    <row r="729" customFormat="false" ht="15" hidden="false" customHeight="false" outlineLevel="0" collapsed="false">
      <c r="A729" s="9" t="n">
        <v>723</v>
      </c>
      <c r="B729" s="10" t="s">
        <v>1077</v>
      </c>
      <c r="C729" s="10" t="s">
        <v>124</v>
      </c>
      <c r="D729" s="11" t="n">
        <v>0.0104604166666667</v>
      </c>
      <c r="E729" s="12" t="n">
        <v>311</v>
      </c>
      <c r="F729" s="11"/>
      <c r="G729" s="12"/>
      <c r="H729" s="11" t="n">
        <v>0.00297962962962963</v>
      </c>
      <c r="I729" s="12" t="n">
        <v>1350</v>
      </c>
      <c r="J729" s="12" t="n">
        <f aca="false">COUNT(E729,G729,I729)</f>
        <v>2</v>
      </c>
      <c r="K729" s="13" t="n">
        <f aca="false">MIN(E729,G729,I729)</f>
        <v>311</v>
      </c>
      <c r="L729" s="9" t="str">
        <f aca="false">IF(E729=K729,"5000m",IF(G729=K729,"3000mSC","1500m"))</f>
        <v>5000m</v>
      </c>
      <c r="M729" s="14" t="n">
        <f aca="false">(D729&lt;&gt;"")*(D729&lt;=($E$3*60+$F$3)/86400)+(F729&lt;&gt;"")*(F729&lt;=($I$3*60+$J$3)/86400)+(H729&lt;&gt;"")*(H729&lt;=($M$3*60+$N$3)/86400)</f>
        <v>0</v>
      </c>
      <c r="N729" s="16"/>
      <c r="O729" s="15"/>
    </row>
    <row r="730" customFormat="false" ht="15" hidden="false" customHeight="false" outlineLevel="0" collapsed="false">
      <c r="A730" s="9" t="n">
        <v>724</v>
      </c>
      <c r="B730" s="10" t="s">
        <v>1078</v>
      </c>
      <c r="C730" s="10" t="s">
        <v>1079</v>
      </c>
      <c r="D730" s="11"/>
      <c r="E730" s="12"/>
      <c r="F730" s="11"/>
      <c r="G730" s="12"/>
      <c r="H730" s="11" t="n">
        <v>0.00280671296296296</v>
      </c>
      <c r="I730" s="12" t="n">
        <v>311</v>
      </c>
      <c r="J730" s="12" t="n">
        <f aca="false">COUNT(E730,G730,I730)</f>
        <v>1</v>
      </c>
      <c r="K730" s="13" t="n">
        <f aca="false">MIN(E730,G730,I730)</f>
        <v>311</v>
      </c>
      <c r="L730" s="9" t="str">
        <f aca="false">IF(E730=K730,"5000m",IF(G730=K730,"3000mSC","1500m"))</f>
        <v>1500m</v>
      </c>
      <c r="M730" s="14" t="n">
        <f aca="false">(D730&lt;&gt;"")*(D730&lt;=($E$3*60+$F$3)/86400)+(F730&lt;&gt;"")*(F730&lt;=($I$3*60+$J$3)/86400)+(H730&lt;&gt;"")*(H730&lt;=($M$3*60+$N$3)/86400)</f>
        <v>0</v>
      </c>
      <c r="N730" s="16"/>
      <c r="O730" s="15"/>
    </row>
    <row r="731" customFormat="false" ht="15" hidden="false" customHeight="false" outlineLevel="0" collapsed="false">
      <c r="A731" s="9" t="n">
        <v>725</v>
      </c>
      <c r="B731" s="10" t="s">
        <v>1080</v>
      </c>
      <c r="C731" s="10" t="s">
        <v>261</v>
      </c>
      <c r="D731" s="11" t="n">
        <v>0.0105403935185185</v>
      </c>
      <c r="E731" s="12" t="n">
        <v>387</v>
      </c>
      <c r="F731" s="11"/>
      <c r="G731" s="12"/>
      <c r="H731" s="11" t="n">
        <v>0.00280694444444444</v>
      </c>
      <c r="I731" s="12" t="n">
        <v>312</v>
      </c>
      <c r="J731" s="12" t="n">
        <f aca="false">COUNT(E731,G731,I731)</f>
        <v>2</v>
      </c>
      <c r="K731" s="13" t="n">
        <f aca="false">MIN(E731,G731,I731)</f>
        <v>312</v>
      </c>
      <c r="L731" s="9" t="str">
        <f aca="false">IF(E731=K731,"5000m",IF(G731=K731,"3000mSC","1500m"))</f>
        <v>1500m</v>
      </c>
      <c r="M731" s="14" t="n">
        <f aca="false">(D731&lt;&gt;"")*(D731&lt;=($E$3*60+$F$3)/86400)+(F731&lt;&gt;"")*(F731&lt;=($I$3*60+$J$3)/86400)+(H731&lt;&gt;"")*(H731&lt;=($M$3*60+$N$3)/86400)</f>
        <v>0</v>
      </c>
      <c r="N731" s="16"/>
      <c r="O731" s="15"/>
    </row>
    <row r="732" customFormat="false" ht="15" hidden="false" customHeight="false" outlineLevel="0" collapsed="false">
      <c r="A732" s="9" t="n">
        <v>726</v>
      </c>
      <c r="B732" s="10" t="s">
        <v>1081</v>
      </c>
      <c r="C732" s="10" t="s">
        <v>64</v>
      </c>
      <c r="D732" s="11" t="n">
        <v>0.0104619212962963</v>
      </c>
      <c r="E732" s="12" t="n">
        <v>312</v>
      </c>
      <c r="F732" s="11"/>
      <c r="G732" s="12"/>
      <c r="H732" s="11" t="n">
        <v>0.00289143518518519</v>
      </c>
      <c r="I732" s="12" t="n">
        <v>881</v>
      </c>
      <c r="J732" s="12" t="n">
        <f aca="false">COUNT(E732,G732,I732)</f>
        <v>2</v>
      </c>
      <c r="K732" s="13" t="n">
        <f aca="false">MIN(E732,G732,I732)</f>
        <v>312</v>
      </c>
      <c r="L732" s="9" t="str">
        <f aca="false">IF(E732=K732,"5000m",IF(G732=K732,"3000mSC","1500m"))</f>
        <v>5000m</v>
      </c>
      <c r="M732" s="14" t="n">
        <f aca="false">(D732&lt;&gt;"")*(D732&lt;=($E$3*60+$F$3)/86400)+(F732&lt;&gt;"")*(F732&lt;=($I$3*60+$J$3)/86400)+(H732&lt;&gt;"")*(H732&lt;=($M$3*60+$N$3)/86400)</f>
        <v>0</v>
      </c>
      <c r="N732" s="16"/>
      <c r="O732" s="15"/>
    </row>
    <row r="733" customFormat="false" ht="25.35" hidden="false" customHeight="false" outlineLevel="0" collapsed="false">
      <c r="A733" s="9" t="n">
        <v>727</v>
      </c>
      <c r="B733" s="10" t="s">
        <v>1082</v>
      </c>
      <c r="C733" s="10" t="s">
        <v>358</v>
      </c>
      <c r="D733" s="11"/>
      <c r="E733" s="12"/>
      <c r="F733" s="11" t="n">
        <v>0.00697939814814815</v>
      </c>
      <c r="G733" s="12" t="n">
        <v>312</v>
      </c>
      <c r="H733" s="11"/>
      <c r="I733" s="12"/>
      <c r="J733" s="12" t="n">
        <f aca="false">COUNT(E733,G733,I733)</f>
        <v>1</v>
      </c>
      <c r="K733" s="13" t="n">
        <f aca="false">MIN(E733,G733,I733)</f>
        <v>312</v>
      </c>
      <c r="L733" s="9" t="str">
        <f aca="false">IF(E733=K733,"5000m",IF(G733=K733,"3000mSC","1500m"))</f>
        <v>3000mSC</v>
      </c>
      <c r="M733" s="14" t="n">
        <f aca="false">(D733&lt;&gt;"")*(D733&lt;=($E$3*60+$F$3)/86400)+(F733&lt;&gt;"")*(F733&lt;=($I$3*60+$J$3)/86400)+(H733&lt;&gt;"")*(H733&lt;=($M$3*60+$N$3)/86400)</f>
        <v>0</v>
      </c>
      <c r="N733" s="16"/>
      <c r="O733" s="15"/>
    </row>
    <row r="734" customFormat="false" ht="15" hidden="false" customHeight="false" outlineLevel="0" collapsed="false">
      <c r="A734" s="9" t="n">
        <v>728</v>
      </c>
      <c r="B734" s="10" t="s">
        <v>1083</v>
      </c>
      <c r="C734" s="10" t="s">
        <v>72</v>
      </c>
      <c r="D734" s="11" t="n">
        <v>0.010462962962963</v>
      </c>
      <c r="E734" s="12" t="n">
        <v>313</v>
      </c>
      <c r="F734" s="11"/>
      <c r="G734" s="12"/>
      <c r="H734" s="11" t="n">
        <v>0.00291898148148148</v>
      </c>
      <c r="I734" s="12" t="n">
        <v>1083</v>
      </c>
      <c r="J734" s="12" t="n">
        <f aca="false">COUNT(E734,G734,I734)</f>
        <v>2</v>
      </c>
      <c r="K734" s="13" t="n">
        <f aca="false">MIN(E734,G734,I734)</f>
        <v>313</v>
      </c>
      <c r="L734" s="9" t="str">
        <f aca="false">IF(E734=K734,"5000m",IF(G734=K734,"3000mSC","1500m"))</f>
        <v>5000m</v>
      </c>
      <c r="M734" s="14" t="n">
        <f aca="false">(D734&lt;&gt;"")*(D734&lt;=($E$3*60+$F$3)/86400)+(F734&lt;&gt;"")*(F734&lt;=($I$3*60+$J$3)/86400)+(H734&lt;&gt;"")*(H734&lt;=($M$3*60+$N$3)/86400)</f>
        <v>0</v>
      </c>
      <c r="N734" s="16"/>
      <c r="O734" s="15"/>
    </row>
    <row r="735" customFormat="false" ht="25.35" hidden="false" customHeight="false" outlineLevel="0" collapsed="false">
      <c r="A735" s="9" t="n">
        <v>729</v>
      </c>
      <c r="B735" s="10" t="s">
        <v>1084</v>
      </c>
      <c r="C735" s="10" t="s">
        <v>122</v>
      </c>
      <c r="D735" s="11" t="n">
        <v>0.0110730324074074</v>
      </c>
      <c r="E735" s="12" t="n">
        <v>1242</v>
      </c>
      <c r="F735" s="11" t="n">
        <v>0.00698055555555556</v>
      </c>
      <c r="G735" s="12" t="n">
        <v>313</v>
      </c>
      <c r="H735" s="11"/>
      <c r="I735" s="12"/>
      <c r="J735" s="12" t="n">
        <f aca="false">COUNT(E735,G735,I735)</f>
        <v>2</v>
      </c>
      <c r="K735" s="13" t="n">
        <f aca="false">MIN(E735,G735,I735)</f>
        <v>313</v>
      </c>
      <c r="L735" s="9" t="str">
        <f aca="false">IF(E735=K735,"5000m",IF(G735=K735,"3000mSC","1500m"))</f>
        <v>3000mSC</v>
      </c>
      <c r="M735" s="14" t="n">
        <f aca="false">(D735&lt;&gt;"")*(D735&lt;=($E$3*60+$F$3)/86400)+(F735&lt;&gt;"")*(F735&lt;=($I$3*60+$J$3)/86400)+(H735&lt;&gt;"")*(H735&lt;=($M$3*60+$N$3)/86400)</f>
        <v>0</v>
      </c>
      <c r="N735" s="16"/>
      <c r="O735" s="15"/>
    </row>
    <row r="736" customFormat="false" ht="25.35" hidden="false" customHeight="false" outlineLevel="0" collapsed="false">
      <c r="A736" s="9" t="n">
        <v>730</v>
      </c>
      <c r="B736" s="10" t="s">
        <v>1085</v>
      </c>
      <c r="C736" s="10" t="s">
        <v>844</v>
      </c>
      <c r="D736" s="11" t="n">
        <v>0.0107172453703704</v>
      </c>
      <c r="E736" s="12" t="n">
        <v>610</v>
      </c>
      <c r="F736" s="11" t="n">
        <v>0.00698078703703704</v>
      </c>
      <c r="G736" s="12" t="n">
        <v>314</v>
      </c>
      <c r="H736" s="11"/>
      <c r="I736" s="12"/>
      <c r="J736" s="12" t="n">
        <f aca="false">COUNT(E736,G736,I736)</f>
        <v>2</v>
      </c>
      <c r="K736" s="13" t="n">
        <f aca="false">MIN(E736,G736,I736)</f>
        <v>314</v>
      </c>
      <c r="L736" s="9" t="str">
        <f aca="false">IF(E736=K736,"5000m",IF(G736=K736,"3000mSC","1500m"))</f>
        <v>3000mSC</v>
      </c>
      <c r="M736" s="14" t="n">
        <f aca="false">(D736&lt;&gt;"")*(D736&lt;=($E$3*60+$F$3)/86400)+(F736&lt;&gt;"")*(F736&lt;=($I$3*60+$J$3)/86400)+(H736&lt;&gt;"")*(H736&lt;=($M$3*60+$N$3)/86400)</f>
        <v>0</v>
      </c>
      <c r="N736" s="16"/>
      <c r="O736" s="15"/>
    </row>
    <row r="737" customFormat="false" ht="15" hidden="false" customHeight="false" outlineLevel="0" collapsed="false">
      <c r="A737" s="9" t="n">
        <v>731</v>
      </c>
      <c r="B737" s="10" t="s">
        <v>1086</v>
      </c>
      <c r="C737" s="10" t="s">
        <v>680</v>
      </c>
      <c r="D737" s="11" t="n">
        <v>0.0104634259259259</v>
      </c>
      <c r="E737" s="12" t="n">
        <v>314</v>
      </c>
      <c r="F737" s="11"/>
      <c r="G737" s="12"/>
      <c r="H737" s="11"/>
      <c r="I737" s="12"/>
      <c r="J737" s="12" t="n">
        <f aca="false">COUNT(E737,G737,I737)</f>
        <v>1</v>
      </c>
      <c r="K737" s="13" t="n">
        <f aca="false">MIN(E737,G737,I737)</f>
        <v>314</v>
      </c>
      <c r="L737" s="9" t="str">
        <f aca="false">IF(E737=K737,"5000m",IF(G737=K737,"3000mSC","1500m"))</f>
        <v>5000m</v>
      </c>
      <c r="M737" s="14" t="n">
        <f aca="false">(D737&lt;&gt;"")*(D737&lt;=($E$3*60+$F$3)/86400)+(F737&lt;&gt;"")*(F737&lt;=($I$3*60+$J$3)/86400)+(H737&lt;&gt;"")*(H737&lt;=($M$3*60+$N$3)/86400)</f>
        <v>0</v>
      </c>
      <c r="N737" s="10" t="s">
        <v>1087</v>
      </c>
      <c r="O737" s="15"/>
    </row>
    <row r="738" customFormat="false" ht="25.35" hidden="false" customHeight="false" outlineLevel="0" collapsed="false">
      <c r="A738" s="9" t="n">
        <v>732</v>
      </c>
      <c r="B738" s="10" t="s">
        <v>1088</v>
      </c>
      <c r="C738" s="10" t="s">
        <v>549</v>
      </c>
      <c r="D738" s="11" t="n">
        <v>0.0110439814814815</v>
      </c>
      <c r="E738" s="12" t="n">
        <v>1187</v>
      </c>
      <c r="F738" s="11" t="n">
        <v>0.00698113425925926</v>
      </c>
      <c r="G738" s="12" t="n">
        <v>315</v>
      </c>
      <c r="H738" s="11"/>
      <c r="I738" s="12"/>
      <c r="J738" s="12" t="n">
        <f aca="false">COUNT(E738,G738,I738)</f>
        <v>2</v>
      </c>
      <c r="K738" s="13" t="n">
        <f aca="false">MIN(E738,G738,I738)</f>
        <v>315</v>
      </c>
      <c r="L738" s="9" t="str">
        <f aca="false">IF(E738=K738,"5000m",IF(G738=K738,"3000mSC","1500m"))</f>
        <v>3000mSC</v>
      </c>
      <c r="M738" s="14" t="n">
        <f aca="false">(D738&lt;&gt;"")*(D738&lt;=($E$3*60+$F$3)/86400)+(F738&lt;&gt;"")*(F738&lt;=($I$3*60+$J$3)/86400)+(H738&lt;&gt;"")*(H738&lt;=($M$3*60+$N$3)/86400)</f>
        <v>0</v>
      </c>
      <c r="N738" s="16"/>
      <c r="O738" s="15"/>
    </row>
    <row r="739" customFormat="false" ht="15" hidden="false" customHeight="false" outlineLevel="0" collapsed="false">
      <c r="A739" s="9" t="n">
        <v>733</v>
      </c>
      <c r="B739" s="10" t="s">
        <v>1089</v>
      </c>
      <c r="C739" s="10" t="s">
        <v>1090</v>
      </c>
      <c r="D739" s="11"/>
      <c r="E739" s="12"/>
      <c r="F739" s="11"/>
      <c r="G739" s="12"/>
      <c r="H739" s="11" t="n">
        <v>0.00280740740740741</v>
      </c>
      <c r="I739" s="12" t="n">
        <v>315</v>
      </c>
      <c r="J739" s="12" t="n">
        <f aca="false">COUNT(E739,G739,I739)</f>
        <v>1</v>
      </c>
      <c r="K739" s="13" t="n">
        <f aca="false">MIN(E739,G739,I739)</f>
        <v>315</v>
      </c>
      <c r="L739" s="9" t="str">
        <f aca="false">IF(E739=K739,"5000m",IF(G739=K739,"3000mSC","1500m"))</f>
        <v>1500m</v>
      </c>
      <c r="M739" s="14" t="n">
        <f aca="false">(D739&lt;&gt;"")*(D739&lt;=($E$3*60+$F$3)/86400)+(F739&lt;&gt;"")*(F739&lt;=($I$3*60+$J$3)/86400)+(H739&lt;&gt;"")*(H739&lt;=($M$3*60+$N$3)/86400)</f>
        <v>0</v>
      </c>
      <c r="N739" s="16"/>
      <c r="O739" s="15"/>
    </row>
    <row r="740" customFormat="false" ht="15" hidden="false" customHeight="false" outlineLevel="0" collapsed="false">
      <c r="A740" s="9" t="n">
        <v>734</v>
      </c>
      <c r="B740" s="10" t="s">
        <v>1091</v>
      </c>
      <c r="C740" s="10" t="s">
        <v>226</v>
      </c>
      <c r="D740" s="11" t="n">
        <v>0.0107303240740741</v>
      </c>
      <c r="E740" s="12" t="n">
        <v>632</v>
      </c>
      <c r="F740" s="11"/>
      <c r="G740" s="12"/>
      <c r="H740" s="11" t="n">
        <v>0.00280740740740741</v>
      </c>
      <c r="I740" s="12" t="n">
        <v>316</v>
      </c>
      <c r="J740" s="12" t="n">
        <f aca="false">COUNT(E740,G740,I740)</f>
        <v>2</v>
      </c>
      <c r="K740" s="13" t="n">
        <f aca="false">MIN(E740,G740,I740)</f>
        <v>316</v>
      </c>
      <c r="L740" s="9" t="str">
        <f aca="false">IF(E740=K740,"5000m",IF(G740=K740,"3000mSC","1500m"))</f>
        <v>1500m</v>
      </c>
      <c r="M740" s="14" t="n">
        <f aca="false">(D740&lt;&gt;"")*(D740&lt;=($E$3*60+$F$3)/86400)+(F740&lt;&gt;"")*(F740&lt;=($I$3*60+$J$3)/86400)+(H740&lt;&gt;"")*(H740&lt;=($M$3*60+$N$3)/86400)</f>
        <v>0</v>
      </c>
      <c r="N740" s="16"/>
      <c r="O740" s="15"/>
    </row>
    <row r="741" customFormat="false" ht="25.35" hidden="false" customHeight="false" outlineLevel="0" collapsed="false">
      <c r="A741" s="9" t="n">
        <v>735</v>
      </c>
      <c r="B741" s="10" t="s">
        <v>1092</v>
      </c>
      <c r="C741" s="10" t="s">
        <v>1093</v>
      </c>
      <c r="D741" s="11"/>
      <c r="E741" s="12"/>
      <c r="F741" s="11" t="n">
        <v>0.00698125</v>
      </c>
      <c r="G741" s="12" t="n">
        <v>316</v>
      </c>
      <c r="H741" s="11"/>
      <c r="I741" s="12"/>
      <c r="J741" s="12" t="n">
        <f aca="false">COUNT(E741,G741,I741)</f>
        <v>1</v>
      </c>
      <c r="K741" s="13" t="n">
        <f aca="false">MIN(E741,G741,I741)</f>
        <v>316</v>
      </c>
      <c r="L741" s="9" t="str">
        <f aca="false">IF(E741=K741,"5000m",IF(G741=K741,"3000mSC","1500m"))</f>
        <v>3000mSC</v>
      </c>
      <c r="M741" s="14" t="n">
        <f aca="false">(D741&lt;&gt;"")*(D741&lt;=($E$3*60+$F$3)/86400)+(F741&lt;&gt;"")*(F741&lt;=($I$3*60+$J$3)/86400)+(H741&lt;&gt;"")*(H741&lt;=($M$3*60+$N$3)/86400)</f>
        <v>0</v>
      </c>
      <c r="N741" s="16"/>
      <c r="O741" s="15"/>
    </row>
    <row r="742" customFormat="false" ht="15" hidden="false" customHeight="false" outlineLevel="0" collapsed="false">
      <c r="A742" s="9" t="n">
        <v>736</v>
      </c>
      <c r="B742" s="10" t="s">
        <v>1094</v>
      </c>
      <c r="C742" s="10" t="s">
        <v>181</v>
      </c>
      <c r="D742" s="11" t="n">
        <v>0.0104688657407407</v>
      </c>
      <c r="E742" s="12" t="n">
        <v>317</v>
      </c>
      <c r="F742" s="11"/>
      <c r="G742" s="12"/>
      <c r="H742" s="11" t="n">
        <v>0.00282638888888889</v>
      </c>
      <c r="I742" s="12" t="n">
        <v>401</v>
      </c>
      <c r="J742" s="12" t="n">
        <f aca="false">COUNT(E742,G742,I742)</f>
        <v>2</v>
      </c>
      <c r="K742" s="13" t="n">
        <f aca="false">MIN(E742,G742,I742)</f>
        <v>317</v>
      </c>
      <c r="L742" s="9" t="str">
        <f aca="false">IF(E742=K742,"5000m",IF(G742=K742,"3000mSC","1500m"))</f>
        <v>5000m</v>
      </c>
      <c r="M742" s="14" t="n">
        <f aca="false">(D742&lt;&gt;"")*(D742&lt;=($E$3*60+$F$3)/86400)+(F742&lt;&gt;"")*(F742&lt;=($I$3*60+$J$3)/86400)+(H742&lt;&gt;"")*(H742&lt;=($M$3*60+$N$3)/86400)</f>
        <v>0</v>
      </c>
      <c r="N742" s="16"/>
      <c r="O742" s="15"/>
    </row>
    <row r="743" customFormat="false" ht="25.35" hidden="false" customHeight="false" outlineLevel="0" collapsed="false">
      <c r="A743" s="9" t="n">
        <v>737</v>
      </c>
      <c r="B743" s="10" t="s">
        <v>1095</v>
      </c>
      <c r="C743" s="10" t="s">
        <v>1096</v>
      </c>
      <c r="D743" s="11"/>
      <c r="E743" s="12"/>
      <c r="F743" s="11" t="n">
        <v>0.00698229166666667</v>
      </c>
      <c r="G743" s="12" t="n">
        <v>317</v>
      </c>
      <c r="H743" s="11"/>
      <c r="I743" s="12"/>
      <c r="J743" s="12" t="n">
        <f aca="false">COUNT(E743,G743,I743)</f>
        <v>1</v>
      </c>
      <c r="K743" s="13" t="n">
        <f aca="false">MIN(E743,G743,I743)</f>
        <v>317</v>
      </c>
      <c r="L743" s="9" t="str">
        <f aca="false">IF(E743=K743,"5000m",IF(G743=K743,"3000mSC","1500m"))</f>
        <v>3000mSC</v>
      </c>
      <c r="M743" s="14" t="n">
        <f aca="false">(D743&lt;&gt;"")*(D743&lt;=($E$3*60+$F$3)/86400)+(F743&lt;&gt;"")*(F743&lt;=($I$3*60+$J$3)/86400)+(H743&lt;&gt;"")*(H743&lt;=($M$3*60+$N$3)/86400)</f>
        <v>0</v>
      </c>
      <c r="N743" s="16"/>
      <c r="O743" s="15"/>
    </row>
    <row r="744" customFormat="false" ht="25.35" hidden="false" customHeight="false" outlineLevel="0" collapsed="false">
      <c r="A744" s="9" t="n">
        <v>738</v>
      </c>
      <c r="B744" s="10" t="s">
        <v>1097</v>
      </c>
      <c r="C744" s="10" t="s">
        <v>1098</v>
      </c>
      <c r="D744" s="11"/>
      <c r="E744" s="12"/>
      <c r="F744" s="11" t="n">
        <v>0.00698252314814815</v>
      </c>
      <c r="G744" s="12" t="n">
        <v>318</v>
      </c>
      <c r="H744" s="11"/>
      <c r="I744" s="12"/>
      <c r="J744" s="12" t="n">
        <f aca="false">COUNT(E744,G744,I744)</f>
        <v>1</v>
      </c>
      <c r="K744" s="13" t="n">
        <f aca="false">MIN(E744,G744,I744)</f>
        <v>318</v>
      </c>
      <c r="L744" s="9" t="str">
        <f aca="false">IF(E744=K744,"5000m",IF(G744=K744,"3000mSC","1500m"))</f>
        <v>3000mSC</v>
      </c>
      <c r="M744" s="14" t="n">
        <f aca="false">(D744&lt;&gt;"")*(D744&lt;=($E$3*60+$F$3)/86400)+(F744&lt;&gt;"")*(F744&lt;=($I$3*60+$J$3)/86400)+(H744&lt;&gt;"")*(H744&lt;=($M$3*60+$N$3)/86400)</f>
        <v>0</v>
      </c>
      <c r="N744" s="16"/>
      <c r="O744" s="15"/>
    </row>
    <row r="745" customFormat="false" ht="25.35" hidden="false" customHeight="false" outlineLevel="0" collapsed="false">
      <c r="A745" s="9" t="n">
        <v>739</v>
      </c>
      <c r="B745" s="10" t="s">
        <v>1099</v>
      </c>
      <c r="C745" s="10" t="s">
        <v>298</v>
      </c>
      <c r="D745" s="11"/>
      <c r="E745" s="12"/>
      <c r="F745" s="11" t="n">
        <v>0.00698356481481482</v>
      </c>
      <c r="G745" s="12" t="n">
        <v>319</v>
      </c>
      <c r="H745" s="11" t="n">
        <v>0.00283460648148148</v>
      </c>
      <c r="I745" s="12" t="n">
        <v>454</v>
      </c>
      <c r="J745" s="12" t="n">
        <f aca="false">COUNT(E745,G745,I745)</f>
        <v>2</v>
      </c>
      <c r="K745" s="13" t="n">
        <f aca="false">MIN(E745,G745,I745)</f>
        <v>319</v>
      </c>
      <c r="L745" s="9" t="str">
        <f aca="false">IF(E745=K745,"5000m",IF(G745=K745,"3000mSC","1500m"))</f>
        <v>3000mSC</v>
      </c>
      <c r="M745" s="14" t="n">
        <f aca="false">(D745&lt;&gt;"")*(D745&lt;=($E$3*60+$F$3)/86400)+(F745&lt;&gt;"")*(F745&lt;=($I$3*60+$J$3)/86400)+(H745&lt;&gt;"")*(H745&lt;=($M$3*60+$N$3)/86400)</f>
        <v>0</v>
      </c>
      <c r="N745" s="16"/>
      <c r="O745" s="15"/>
    </row>
    <row r="746" customFormat="false" ht="15" hidden="false" customHeight="false" outlineLevel="0" collapsed="false">
      <c r="A746" s="9" t="n">
        <v>740</v>
      </c>
      <c r="B746" s="10" t="s">
        <v>1100</v>
      </c>
      <c r="C746" s="10" t="s">
        <v>286</v>
      </c>
      <c r="D746" s="11"/>
      <c r="E746" s="12"/>
      <c r="F746" s="11"/>
      <c r="G746" s="12"/>
      <c r="H746" s="11" t="n">
        <v>0.00280844907407407</v>
      </c>
      <c r="I746" s="12" t="n">
        <v>319</v>
      </c>
      <c r="J746" s="12" t="n">
        <f aca="false">COUNT(E746,G746,I746)</f>
        <v>1</v>
      </c>
      <c r="K746" s="13" t="n">
        <f aca="false">MIN(E746,G746,I746)</f>
        <v>319</v>
      </c>
      <c r="L746" s="9" t="str">
        <f aca="false">IF(E746=K746,"5000m",IF(G746=K746,"3000mSC","1500m"))</f>
        <v>1500m</v>
      </c>
      <c r="M746" s="14" t="n">
        <f aca="false">(D746&lt;&gt;"")*(D746&lt;=($E$3*60+$F$3)/86400)+(F746&lt;&gt;"")*(F746&lt;=($I$3*60+$J$3)/86400)+(H746&lt;&gt;"")*(H746&lt;=($M$3*60+$N$3)/86400)</f>
        <v>0</v>
      </c>
      <c r="N746" s="16"/>
      <c r="O746" s="15"/>
    </row>
    <row r="747" customFormat="false" ht="25.35" hidden="false" customHeight="false" outlineLevel="0" collapsed="false">
      <c r="A747" s="9" t="n">
        <v>741</v>
      </c>
      <c r="B747" s="10" t="s">
        <v>1101</v>
      </c>
      <c r="C747" s="10" t="s">
        <v>302</v>
      </c>
      <c r="D747" s="11" t="n">
        <v>0.0105821759259259</v>
      </c>
      <c r="E747" s="12" t="n">
        <v>437</v>
      </c>
      <c r="F747" s="11" t="n">
        <v>0.00698576388888889</v>
      </c>
      <c r="G747" s="12" t="n">
        <v>320</v>
      </c>
      <c r="H747" s="11" t="n">
        <v>0.00285243055555556</v>
      </c>
      <c r="I747" s="12" t="n">
        <v>582</v>
      </c>
      <c r="J747" s="12" t="n">
        <f aca="false">COUNT(E747,G747,I747)</f>
        <v>3</v>
      </c>
      <c r="K747" s="13" t="n">
        <f aca="false">MIN(E747,G747,I747)</f>
        <v>320</v>
      </c>
      <c r="L747" s="9" t="str">
        <f aca="false">IF(E747=K747,"5000m",IF(G747=K747,"3000mSC","1500m"))</f>
        <v>3000mSC</v>
      </c>
      <c r="M747" s="14" t="n">
        <f aca="false">(D747&lt;&gt;"")*(D747&lt;=($E$3*60+$F$3)/86400)+(F747&lt;&gt;"")*(F747&lt;=($I$3*60+$J$3)/86400)+(H747&lt;&gt;"")*(H747&lt;=($M$3*60+$N$3)/86400)</f>
        <v>0</v>
      </c>
      <c r="N747" s="16"/>
      <c r="O747" s="15"/>
    </row>
    <row r="748" customFormat="false" ht="15" hidden="false" customHeight="false" outlineLevel="0" collapsed="false">
      <c r="A748" s="9" t="n">
        <v>742</v>
      </c>
      <c r="B748" s="10" t="s">
        <v>1102</v>
      </c>
      <c r="C748" s="10" t="s">
        <v>720</v>
      </c>
      <c r="D748" s="11" t="n">
        <v>0.0105479166666667</v>
      </c>
      <c r="E748" s="12" t="n">
        <v>396</v>
      </c>
      <c r="F748" s="11"/>
      <c r="G748" s="12"/>
      <c r="H748" s="11" t="n">
        <v>0.0028087962962963</v>
      </c>
      <c r="I748" s="12" t="n">
        <v>321</v>
      </c>
      <c r="J748" s="12" t="n">
        <f aca="false">COUNT(E748,G748,I748)</f>
        <v>2</v>
      </c>
      <c r="K748" s="13" t="n">
        <f aca="false">MIN(E748,G748,I748)</f>
        <v>321</v>
      </c>
      <c r="L748" s="9" t="str">
        <f aca="false">IF(E748=K748,"5000m",IF(G748=K748,"3000mSC","1500m"))</f>
        <v>1500m</v>
      </c>
      <c r="M748" s="14" t="n">
        <f aca="false">(D748&lt;&gt;"")*(D748&lt;=($E$3*60+$F$3)/86400)+(F748&lt;&gt;"")*(F748&lt;=($I$3*60+$J$3)/86400)+(H748&lt;&gt;"")*(H748&lt;=($M$3*60+$N$3)/86400)</f>
        <v>0</v>
      </c>
      <c r="N748" s="16"/>
      <c r="O748" s="15"/>
    </row>
    <row r="749" customFormat="false" ht="25.35" hidden="false" customHeight="false" outlineLevel="0" collapsed="false">
      <c r="A749" s="9" t="n">
        <v>743</v>
      </c>
      <c r="B749" s="10" t="s">
        <v>1103</v>
      </c>
      <c r="C749" s="10" t="s">
        <v>114</v>
      </c>
      <c r="D749" s="11" t="n">
        <v>0.0110209490740741</v>
      </c>
      <c r="E749" s="12" t="n">
        <v>1131</v>
      </c>
      <c r="F749" s="11" t="n">
        <v>0.00698761574074074</v>
      </c>
      <c r="G749" s="12" t="n">
        <v>322</v>
      </c>
      <c r="H749" s="11" t="n">
        <v>0.00286261574074074</v>
      </c>
      <c r="I749" s="12" t="n">
        <v>653</v>
      </c>
      <c r="J749" s="12" t="n">
        <f aca="false">COUNT(E749,G749,I749)</f>
        <v>3</v>
      </c>
      <c r="K749" s="13" t="n">
        <f aca="false">MIN(E749,G749,I749)</f>
        <v>322</v>
      </c>
      <c r="L749" s="9" t="str">
        <f aca="false">IF(E749=K749,"5000m",IF(G749=K749,"3000mSC","1500m"))</f>
        <v>3000mSC</v>
      </c>
      <c r="M749" s="14" t="n">
        <f aca="false">(D749&lt;&gt;"")*(D749&lt;=($E$3*60+$F$3)/86400)+(F749&lt;&gt;"")*(F749&lt;=($I$3*60+$J$3)/86400)+(H749&lt;&gt;"")*(H749&lt;=($M$3*60+$N$3)/86400)</f>
        <v>0</v>
      </c>
      <c r="N749" s="16"/>
      <c r="O749" s="15"/>
    </row>
    <row r="750" customFormat="false" ht="15" hidden="false" customHeight="false" outlineLevel="0" collapsed="false">
      <c r="A750" s="9" t="n">
        <v>744</v>
      </c>
      <c r="B750" s="10" t="s">
        <v>1104</v>
      </c>
      <c r="C750" s="10" t="s">
        <v>460</v>
      </c>
      <c r="D750" s="11" t="n">
        <v>0.0104766203703704</v>
      </c>
      <c r="E750" s="12" t="n">
        <v>322</v>
      </c>
      <c r="F750" s="11"/>
      <c r="G750" s="12"/>
      <c r="H750" s="11" t="n">
        <v>0.00297835648148148</v>
      </c>
      <c r="I750" s="12" t="n">
        <v>1346</v>
      </c>
      <c r="J750" s="12" t="n">
        <f aca="false">COUNT(E750,G750,I750)</f>
        <v>2</v>
      </c>
      <c r="K750" s="13" t="n">
        <f aca="false">MIN(E750,G750,I750)</f>
        <v>322</v>
      </c>
      <c r="L750" s="9" t="str">
        <f aca="false">IF(E750=K750,"5000m",IF(G750=K750,"3000mSC","1500m"))</f>
        <v>5000m</v>
      </c>
      <c r="M750" s="14" t="n">
        <f aca="false">(D750&lt;&gt;"")*(D750&lt;=($E$3*60+$F$3)/86400)+(F750&lt;&gt;"")*(F750&lt;=($I$3*60+$J$3)/86400)+(H750&lt;&gt;"")*(H750&lt;=($M$3*60+$N$3)/86400)</f>
        <v>0</v>
      </c>
      <c r="N750" s="16"/>
      <c r="O750" s="15"/>
    </row>
    <row r="751" customFormat="false" ht="15" hidden="false" customHeight="false" outlineLevel="0" collapsed="false">
      <c r="A751" s="9" t="n">
        <v>745</v>
      </c>
      <c r="B751" s="10" t="s">
        <v>1105</v>
      </c>
      <c r="C751" s="10" t="s">
        <v>1106</v>
      </c>
      <c r="D751" s="11"/>
      <c r="E751" s="12"/>
      <c r="F751" s="11"/>
      <c r="G751" s="12"/>
      <c r="H751" s="11" t="n">
        <v>0.00280925925925926</v>
      </c>
      <c r="I751" s="12" t="n">
        <v>322</v>
      </c>
      <c r="J751" s="12" t="n">
        <f aca="false">COUNT(E751,G751,I751)</f>
        <v>1</v>
      </c>
      <c r="K751" s="13" t="n">
        <f aca="false">MIN(E751,G751,I751)</f>
        <v>322</v>
      </c>
      <c r="L751" s="9" t="str">
        <f aca="false">IF(E751=K751,"5000m",IF(G751=K751,"3000mSC","1500m"))</f>
        <v>1500m</v>
      </c>
      <c r="M751" s="14" t="n">
        <f aca="false">(D751&lt;&gt;"")*(D751&lt;=($E$3*60+$F$3)/86400)+(F751&lt;&gt;"")*(F751&lt;=($I$3*60+$J$3)/86400)+(H751&lt;&gt;"")*(H751&lt;=($M$3*60+$N$3)/86400)</f>
        <v>0</v>
      </c>
      <c r="N751" s="16"/>
      <c r="O751" s="15"/>
    </row>
    <row r="752" customFormat="false" ht="15" hidden="false" customHeight="false" outlineLevel="0" collapsed="false">
      <c r="A752" s="9" t="n">
        <v>746</v>
      </c>
      <c r="B752" s="10" t="s">
        <v>1107</v>
      </c>
      <c r="C752" s="10" t="s">
        <v>963</v>
      </c>
      <c r="D752" s="11" t="n">
        <v>0.011025</v>
      </c>
      <c r="E752" s="12" t="n">
        <v>1137</v>
      </c>
      <c r="F752" s="11"/>
      <c r="G752" s="12"/>
      <c r="H752" s="11" t="n">
        <v>0.00280960648148148</v>
      </c>
      <c r="I752" s="12" t="n">
        <v>323</v>
      </c>
      <c r="J752" s="12" t="n">
        <f aca="false">COUNT(E752,G752,I752)</f>
        <v>2</v>
      </c>
      <c r="K752" s="13" t="n">
        <f aca="false">MIN(E752,G752,I752)</f>
        <v>323</v>
      </c>
      <c r="L752" s="9" t="str">
        <f aca="false">IF(E752=K752,"5000m",IF(G752=K752,"3000mSC","1500m"))</f>
        <v>1500m</v>
      </c>
      <c r="M752" s="14" t="n">
        <f aca="false">(D752&lt;&gt;"")*(D752&lt;=($E$3*60+$F$3)/86400)+(F752&lt;&gt;"")*(F752&lt;=($I$3*60+$J$3)/86400)+(H752&lt;&gt;"")*(H752&lt;=($M$3*60+$N$3)/86400)</f>
        <v>0</v>
      </c>
      <c r="N752" s="16"/>
      <c r="O752" s="15"/>
    </row>
    <row r="753" customFormat="false" ht="15" hidden="false" customHeight="false" outlineLevel="0" collapsed="false">
      <c r="A753" s="9" t="n">
        <v>747</v>
      </c>
      <c r="B753" s="10" t="s">
        <v>1108</v>
      </c>
      <c r="C753" s="10" t="s">
        <v>317</v>
      </c>
      <c r="D753" s="11" t="n">
        <v>0.0107715277777778</v>
      </c>
      <c r="E753" s="12" t="n">
        <v>699</v>
      </c>
      <c r="F753" s="11"/>
      <c r="G753" s="12"/>
      <c r="H753" s="11" t="n">
        <v>0.00280983796296296</v>
      </c>
      <c r="I753" s="12" t="n">
        <v>324</v>
      </c>
      <c r="J753" s="12" t="n">
        <f aca="false">COUNT(E753,G753,I753)</f>
        <v>2</v>
      </c>
      <c r="K753" s="13" t="n">
        <f aca="false">MIN(E753,G753,I753)</f>
        <v>324</v>
      </c>
      <c r="L753" s="9" t="str">
        <f aca="false">IF(E753=K753,"5000m",IF(G753=K753,"3000mSC","1500m"))</f>
        <v>1500m</v>
      </c>
      <c r="M753" s="14" t="n">
        <f aca="false">(D753&lt;&gt;"")*(D753&lt;=($E$3*60+$F$3)/86400)+(F753&lt;&gt;"")*(F753&lt;=($I$3*60+$J$3)/86400)+(H753&lt;&gt;"")*(H753&lt;=($M$3*60+$N$3)/86400)</f>
        <v>0</v>
      </c>
      <c r="N753" s="16"/>
      <c r="O753" s="15"/>
    </row>
    <row r="754" customFormat="false" ht="25.35" hidden="false" customHeight="false" outlineLevel="0" collapsed="false">
      <c r="A754" s="9" t="n">
        <v>748</v>
      </c>
      <c r="B754" s="10" t="s">
        <v>1109</v>
      </c>
      <c r="C754" s="10" t="s">
        <v>1110</v>
      </c>
      <c r="D754" s="11"/>
      <c r="E754" s="12"/>
      <c r="F754" s="11" t="n">
        <v>0.00699039351851852</v>
      </c>
      <c r="G754" s="12" t="n">
        <v>324</v>
      </c>
      <c r="H754" s="11"/>
      <c r="I754" s="12"/>
      <c r="J754" s="12" t="n">
        <f aca="false">COUNT(E754,G754,I754)</f>
        <v>1</v>
      </c>
      <c r="K754" s="13" t="n">
        <f aca="false">MIN(E754,G754,I754)</f>
        <v>324</v>
      </c>
      <c r="L754" s="9" t="str">
        <f aca="false">IF(E754=K754,"5000m",IF(G754=K754,"3000mSC","1500m"))</f>
        <v>3000mSC</v>
      </c>
      <c r="M754" s="14" t="n">
        <f aca="false">(D754&lt;&gt;"")*(D754&lt;=($E$3*60+$F$3)/86400)+(F754&lt;&gt;"")*(F754&lt;=($I$3*60+$J$3)/86400)+(H754&lt;&gt;"")*(H754&lt;=($M$3*60+$N$3)/86400)</f>
        <v>0</v>
      </c>
      <c r="N754" s="16"/>
      <c r="O754" s="15"/>
    </row>
    <row r="755" customFormat="false" ht="15" hidden="false" customHeight="false" outlineLevel="0" collapsed="false">
      <c r="A755" s="9" t="n">
        <v>749</v>
      </c>
      <c r="B755" s="10" t="s">
        <v>1111</v>
      </c>
      <c r="C755" s="10" t="s">
        <v>25</v>
      </c>
      <c r="D755" s="11" t="n">
        <v>0.01048125</v>
      </c>
      <c r="E755" s="12" t="n">
        <v>325</v>
      </c>
      <c r="F755" s="11"/>
      <c r="G755" s="12"/>
      <c r="H755" s="11" t="n">
        <v>0.00284537037037037</v>
      </c>
      <c r="I755" s="12" t="n">
        <v>539</v>
      </c>
      <c r="J755" s="12" t="n">
        <f aca="false">COUNT(E755,G755,I755)</f>
        <v>2</v>
      </c>
      <c r="K755" s="13" t="n">
        <f aca="false">MIN(E755,G755,I755)</f>
        <v>325</v>
      </c>
      <c r="L755" s="9" t="str">
        <f aca="false">IF(E755=K755,"5000m",IF(G755=K755,"3000mSC","1500m"))</f>
        <v>5000m</v>
      </c>
      <c r="M755" s="14" t="n">
        <f aca="false">(D755&lt;&gt;"")*(D755&lt;=($E$3*60+$F$3)/86400)+(F755&lt;&gt;"")*(F755&lt;=($I$3*60+$J$3)/86400)+(H755&lt;&gt;"")*(H755&lt;=($M$3*60+$N$3)/86400)</f>
        <v>0</v>
      </c>
      <c r="N755" s="16"/>
      <c r="O755" s="15"/>
    </row>
    <row r="756" customFormat="false" ht="15" hidden="false" customHeight="false" outlineLevel="0" collapsed="false">
      <c r="A756" s="9" t="n">
        <v>750</v>
      </c>
      <c r="B756" s="10" t="s">
        <v>1112</v>
      </c>
      <c r="C756" s="10" t="s">
        <v>1113</v>
      </c>
      <c r="D756" s="11" t="n">
        <v>0.0107717592592593</v>
      </c>
      <c r="E756" s="12" t="n">
        <v>700</v>
      </c>
      <c r="F756" s="11"/>
      <c r="G756" s="12"/>
      <c r="H756" s="11" t="n">
        <v>0.00281064814814815</v>
      </c>
      <c r="I756" s="12" t="n">
        <v>325</v>
      </c>
      <c r="J756" s="12" t="n">
        <f aca="false">COUNT(E756,G756,I756)</f>
        <v>2</v>
      </c>
      <c r="K756" s="13" t="n">
        <f aca="false">MIN(E756,G756,I756)</f>
        <v>325</v>
      </c>
      <c r="L756" s="9" t="str">
        <f aca="false">IF(E756=K756,"5000m",IF(G756=K756,"3000mSC","1500m"))</f>
        <v>1500m</v>
      </c>
      <c r="M756" s="14" t="n">
        <f aca="false">(D756&lt;&gt;"")*(D756&lt;=($E$3*60+$F$3)/86400)+(F756&lt;&gt;"")*(F756&lt;=($I$3*60+$J$3)/86400)+(H756&lt;&gt;"")*(H756&lt;=($M$3*60+$N$3)/86400)</f>
        <v>0</v>
      </c>
      <c r="N756" s="16"/>
      <c r="O756" s="15"/>
    </row>
    <row r="757" customFormat="false" ht="25.35" hidden="false" customHeight="false" outlineLevel="0" collapsed="false">
      <c r="A757" s="9" t="n">
        <v>751</v>
      </c>
      <c r="B757" s="10" t="s">
        <v>1114</v>
      </c>
      <c r="C757" s="10" t="s">
        <v>83</v>
      </c>
      <c r="D757" s="11" t="n">
        <v>0.0108520833333333</v>
      </c>
      <c r="E757" s="12" t="n">
        <v>840</v>
      </c>
      <c r="F757" s="11" t="n">
        <v>0.00699039351851852</v>
      </c>
      <c r="G757" s="12" t="n">
        <v>325</v>
      </c>
      <c r="H757" s="11"/>
      <c r="I757" s="12"/>
      <c r="J757" s="12" t="n">
        <f aca="false">COUNT(E757,G757,I757)</f>
        <v>2</v>
      </c>
      <c r="K757" s="13" t="n">
        <f aca="false">MIN(E757,G757,I757)</f>
        <v>325</v>
      </c>
      <c r="L757" s="9" t="str">
        <f aca="false">IF(E757=K757,"5000m",IF(G757=K757,"3000mSC","1500m"))</f>
        <v>3000mSC</v>
      </c>
      <c r="M757" s="14" t="n">
        <f aca="false">(D757&lt;&gt;"")*(D757&lt;=($E$3*60+$F$3)/86400)+(F757&lt;&gt;"")*(F757&lt;=($I$3*60+$J$3)/86400)+(H757&lt;&gt;"")*(H757&lt;=($M$3*60+$N$3)/86400)</f>
        <v>0</v>
      </c>
      <c r="N757" s="16"/>
      <c r="O757" s="15"/>
    </row>
    <row r="758" customFormat="false" ht="25.35" hidden="false" customHeight="false" outlineLevel="0" collapsed="false">
      <c r="A758" s="9" t="n">
        <v>752</v>
      </c>
      <c r="B758" s="10" t="s">
        <v>1115</v>
      </c>
      <c r="C758" s="10" t="s">
        <v>494</v>
      </c>
      <c r="D758" s="11" t="n">
        <v>0.0109925925925926</v>
      </c>
      <c r="E758" s="12" t="n">
        <v>1084</v>
      </c>
      <c r="F758" s="11" t="n">
        <v>0.00699201388888889</v>
      </c>
      <c r="G758" s="12" t="n">
        <v>326</v>
      </c>
      <c r="H758" s="11" t="n">
        <v>0.00289224537037037</v>
      </c>
      <c r="I758" s="12" t="n">
        <v>893</v>
      </c>
      <c r="J758" s="12" t="n">
        <f aca="false">COUNT(E758,G758,I758)</f>
        <v>3</v>
      </c>
      <c r="K758" s="13" t="n">
        <f aca="false">MIN(E758,G758,I758)</f>
        <v>326</v>
      </c>
      <c r="L758" s="9" t="str">
        <f aca="false">IF(E758=K758,"5000m",IF(G758=K758,"3000mSC","1500m"))</f>
        <v>3000mSC</v>
      </c>
      <c r="M758" s="14" t="n">
        <f aca="false">(D758&lt;&gt;"")*(D758&lt;=($E$3*60+$F$3)/86400)+(F758&lt;&gt;"")*(F758&lt;=($I$3*60+$J$3)/86400)+(H758&lt;&gt;"")*(H758&lt;=($M$3*60+$N$3)/86400)</f>
        <v>0</v>
      </c>
      <c r="N758" s="16"/>
      <c r="O758" s="15"/>
    </row>
    <row r="759" customFormat="false" ht="15" hidden="false" customHeight="false" outlineLevel="0" collapsed="false">
      <c r="A759" s="9" t="n">
        <v>753</v>
      </c>
      <c r="B759" s="10" t="s">
        <v>1116</v>
      </c>
      <c r="C759" s="10" t="s">
        <v>147</v>
      </c>
      <c r="D759" s="11" t="n">
        <v>0.0105153935185185</v>
      </c>
      <c r="E759" s="12" t="n">
        <v>358</v>
      </c>
      <c r="F759" s="11"/>
      <c r="G759" s="12"/>
      <c r="H759" s="11" t="n">
        <v>0.00281076388888889</v>
      </c>
      <c r="I759" s="12" t="n">
        <v>326</v>
      </c>
      <c r="J759" s="12" t="n">
        <f aca="false">COUNT(E759,G759,I759)</f>
        <v>2</v>
      </c>
      <c r="K759" s="13" t="n">
        <f aca="false">MIN(E759,G759,I759)</f>
        <v>326</v>
      </c>
      <c r="L759" s="9" t="str">
        <f aca="false">IF(E759=K759,"5000m",IF(G759=K759,"3000mSC","1500m"))</f>
        <v>1500m</v>
      </c>
      <c r="M759" s="14" t="n">
        <f aca="false">(D759&lt;&gt;"")*(D759&lt;=($E$3*60+$F$3)/86400)+(F759&lt;&gt;"")*(F759&lt;=($I$3*60+$J$3)/86400)+(H759&lt;&gt;"")*(H759&lt;=($M$3*60+$N$3)/86400)</f>
        <v>0</v>
      </c>
      <c r="N759" s="16"/>
      <c r="O759" s="15"/>
    </row>
    <row r="760" customFormat="false" ht="15" hidden="false" customHeight="false" outlineLevel="0" collapsed="false">
      <c r="A760" s="9" t="n">
        <v>754</v>
      </c>
      <c r="B760" s="10" t="s">
        <v>1117</v>
      </c>
      <c r="C760" s="10" t="s">
        <v>680</v>
      </c>
      <c r="D760" s="11" t="n">
        <v>0.0106944444444444</v>
      </c>
      <c r="E760" s="12" t="n">
        <v>570</v>
      </c>
      <c r="F760" s="11"/>
      <c r="G760" s="12"/>
      <c r="H760" s="11" t="n">
        <v>0.00281087962962963</v>
      </c>
      <c r="I760" s="12" t="n">
        <v>327</v>
      </c>
      <c r="J760" s="12" t="n">
        <f aca="false">COUNT(E760,G760,I760)</f>
        <v>2</v>
      </c>
      <c r="K760" s="13" t="n">
        <f aca="false">MIN(E760,G760,I760)</f>
        <v>327</v>
      </c>
      <c r="L760" s="9" t="str">
        <f aca="false">IF(E760=K760,"5000m",IF(G760=K760,"3000mSC","1500m"))</f>
        <v>1500m</v>
      </c>
      <c r="M760" s="14" t="n">
        <f aca="false">(D760&lt;&gt;"")*(D760&lt;=($E$3*60+$F$3)/86400)+(F760&lt;&gt;"")*(F760&lt;=($I$3*60+$J$3)/86400)+(H760&lt;&gt;"")*(H760&lt;=($M$3*60+$N$3)/86400)</f>
        <v>0</v>
      </c>
      <c r="N760" s="16"/>
      <c r="O760" s="15"/>
    </row>
    <row r="761" customFormat="false" ht="25.35" hidden="false" customHeight="false" outlineLevel="0" collapsed="false">
      <c r="A761" s="9" t="n">
        <v>755</v>
      </c>
      <c r="B761" s="10" t="s">
        <v>1118</v>
      </c>
      <c r="C761" s="10" t="s">
        <v>1119</v>
      </c>
      <c r="D761" s="11"/>
      <c r="E761" s="12"/>
      <c r="F761" s="11" t="n">
        <v>0.00699490740740741</v>
      </c>
      <c r="G761" s="12" t="n">
        <v>327</v>
      </c>
      <c r="H761" s="11"/>
      <c r="I761" s="12"/>
      <c r="J761" s="12" t="n">
        <f aca="false">COUNT(E761,G761,I761)</f>
        <v>1</v>
      </c>
      <c r="K761" s="13" t="n">
        <f aca="false">MIN(E761,G761,I761)</f>
        <v>327</v>
      </c>
      <c r="L761" s="9" t="str">
        <f aca="false">IF(E761=K761,"5000m",IF(G761=K761,"3000mSC","1500m"))</f>
        <v>3000mSC</v>
      </c>
      <c r="M761" s="14" t="n">
        <f aca="false">(D761&lt;&gt;"")*(D761&lt;=($E$3*60+$F$3)/86400)+(F761&lt;&gt;"")*(F761&lt;=($I$3*60+$J$3)/86400)+(H761&lt;&gt;"")*(H761&lt;=($M$3*60+$N$3)/86400)</f>
        <v>0</v>
      </c>
      <c r="N761" s="16"/>
      <c r="O761" s="15"/>
    </row>
    <row r="762" customFormat="false" ht="15" hidden="false" customHeight="false" outlineLevel="0" collapsed="false">
      <c r="A762" s="9" t="n">
        <v>756</v>
      </c>
      <c r="B762" s="10" t="s">
        <v>1120</v>
      </c>
      <c r="C762" s="10" t="s">
        <v>87</v>
      </c>
      <c r="D762" s="11" t="n">
        <v>0.0108903935185185</v>
      </c>
      <c r="E762" s="12" t="n">
        <v>904</v>
      </c>
      <c r="F762" s="11"/>
      <c r="G762" s="12"/>
      <c r="H762" s="11" t="n">
        <v>0.0028119212962963</v>
      </c>
      <c r="I762" s="12" t="n">
        <v>328</v>
      </c>
      <c r="J762" s="12" t="n">
        <f aca="false">COUNT(E762,G762,I762)</f>
        <v>2</v>
      </c>
      <c r="K762" s="13" t="n">
        <f aca="false">MIN(E762,G762,I762)</f>
        <v>328</v>
      </c>
      <c r="L762" s="9" t="str">
        <f aca="false">IF(E762=K762,"5000m",IF(G762=K762,"3000mSC","1500m"))</f>
        <v>1500m</v>
      </c>
      <c r="M762" s="14" t="n">
        <f aca="false">(D762&lt;&gt;"")*(D762&lt;=($E$3*60+$F$3)/86400)+(F762&lt;&gt;"")*(F762&lt;=($I$3*60+$J$3)/86400)+(H762&lt;&gt;"")*(H762&lt;=($M$3*60+$N$3)/86400)</f>
        <v>0</v>
      </c>
      <c r="N762" s="16"/>
      <c r="O762" s="15"/>
    </row>
    <row r="763" customFormat="false" ht="25.35" hidden="false" customHeight="false" outlineLevel="0" collapsed="false">
      <c r="A763" s="9" t="n">
        <v>757</v>
      </c>
      <c r="B763" s="10" t="s">
        <v>1121</v>
      </c>
      <c r="C763" s="10" t="s">
        <v>1122</v>
      </c>
      <c r="D763" s="11" t="n">
        <v>0.0109837962962963</v>
      </c>
      <c r="E763" s="12" t="n">
        <v>1064</v>
      </c>
      <c r="F763" s="11" t="n">
        <v>0.00699490740740741</v>
      </c>
      <c r="G763" s="12" t="n">
        <v>328</v>
      </c>
      <c r="H763" s="11"/>
      <c r="I763" s="12"/>
      <c r="J763" s="12" t="n">
        <f aca="false">COUNT(E763,G763,I763)</f>
        <v>2</v>
      </c>
      <c r="K763" s="13" t="n">
        <f aca="false">MIN(E763,G763,I763)</f>
        <v>328</v>
      </c>
      <c r="L763" s="9" t="str">
        <f aca="false">IF(E763=K763,"5000m",IF(G763=K763,"3000mSC","1500m"))</f>
        <v>3000mSC</v>
      </c>
      <c r="M763" s="14" t="n">
        <f aca="false">(D763&lt;&gt;"")*(D763&lt;=($E$3*60+$F$3)/86400)+(F763&lt;&gt;"")*(F763&lt;=($I$3*60+$J$3)/86400)+(H763&lt;&gt;"")*(H763&lt;=($M$3*60+$N$3)/86400)</f>
        <v>0</v>
      </c>
      <c r="N763" s="16"/>
      <c r="O763" s="15"/>
    </row>
    <row r="764" customFormat="false" ht="15" hidden="false" customHeight="false" outlineLevel="0" collapsed="false">
      <c r="A764" s="9" t="n">
        <v>758</v>
      </c>
      <c r="B764" s="10" t="s">
        <v>1123</v>
      </c>
      <c r="C764" s="10" t="s">
        <v>171</v>
      </c>
      <c r="D764" s="11" t="n">
        <v>0.0104857638888889</v>
      </c>
      <c r="E764" s="12" t="n">
        <v>329</v>
      </c>
      <c r="F764" s="11" t="n">
        <v>0.00780393518518519</v>
      </c>
      <c r="G764" s="12" t="n">
        <v>1136</v>
      </c>
      <c r="H764" s="11"/>
      <c r="I764" s="12"/>
      <c r="J764" s="12" t="n">
        <f aca="false">COUNT(E764,G764,I764)</f>
        <v>2</v>
      </c>
      <c r="K764" s="13" t="n">
        <f aca="false">MIN(E764,G764,I764)</f>
        <v>329</v>
      </c>
      <c r="L764" s="9" t="str">
        <f aca="false">IF(E764=K764,"5000m",IF(G764=K764,"3000mSC","1500m"))</f>
        <v>5000m</v>
      </c>
      <c r="M764" s="14" t="n">
        <f aca="false">(D764&lt;&gt;"")*(D764&lt;=($E$3*60+$F$3)/86400)+(F764&lt;&gt;"")*(F764&lt;=($I$3*60+$J$3)/86400)+(H764&lt;&gt;"")*(H764&lt;=($M$3*60+$N$3)/86400)</f>
        <v>0</v>
      </c>
      <c r="N764" s="16"/>
      <c r="O764" s="15"/>
    </row>
    <row r="765" customFormat="false" ht="25.35" hidden="false" customHeight="false" outlineLevel="0" collapsed="false">
      <c r="A765" s="9" t="n">
        <v>759</v>
      </c>
      <c r="B765" s="10" t="s">
        <v>1124</v>
      </c>
      <c r="C765" s="10" t="s">
        <v>1125</v>
      </c>
      <c r="D765" s="11"/>
      <c r="E765" s="12"/>
      <c r="F765" s="11" t="n">
        <v>0.00699513888888889</v>
      </c>
      <c r="G765" s="12" t="n">
        <v>329</v>
      </c>
      <c r="H765" s="11"/>
      <c r="I765" s="12"/>
      <c r="J765" s="12" t="n">
        <f aca="false">COUNT(E765,G765,I765)</f>
        <v>1</v>
      </c>
      <c r="K765" s="13" t="n">
        <f aca="false">MIN(E765,G765,I765)</f>
        <v>329</v>
      </c>
      <c r="L765" s="9" t="str">
        <f aca="false">IF(E765=K765,"5000m",IF(G765=K765,"3000mSC","1500m"))</f>
        <v>3000mSC</v>
      </c>
      <c r="M765" s="14" t="n">
        <f aca="false">(D765&lt;&gt;"")*(D765&lt;=($E$3*60+$F$3)/86400)+(F765&lt;&gt;"")*(F765&lt;=($I$3*60+$J$3)/86400)+(H765&lt;&gt;"")*(H765&lt;=($M$3*60+$N$3)/86400)</f>
        <v>0</v>
      </c>
      <c r="N765" s="16"/>
      <c r="O765" s="15"/>
    </row>
    <row r="766" customFormat="false" ht="15" hidden="false" customHeight="false" outlineLevel="0" collapsed="false">
      <c r="A766" s="9" t="n">
        <v>760</v>
      </c>
      <c r="B766" s="10" t="s">
        <v>1126</v>
      </c>
      <c r="C766" s="10" t="s">
        <v>1127</v>
      </c>
      <c r="D766" s="11" t="n">
        <v>0.0105996527777778</v>
      </c>
      <c r="E766" s="12" t="n">
        <v>463</v>
      </c>
      <c r="F766" s="11"/>
      <c r="G766" s="12"/>
      <c r="H766" s="11" t="n">
        <v>0.0028119212962963</v>
      </c>
      <c r="I766" s="12" t="n">
        <v>330</v>
      </c>
      <c r="J766" s="12" t="n">
        <f aca="false">COUNT(E766,G766,I766)</f>
        <v>2</v>
      </c>
      <c r="K766" s="13" t="n">
        <f aca="false">MIN(E766,G766,I766)</f>
        <v>330</v>
      </c>
      <c r="L766" s="9" t="str">
        <f aca="false">IF(E766=K766,"5000m",IF(G766=K766,"3000mSC","1500m"))</f>
        <v>1500m</v>
      </c>
      <c r="M766" s="14" t="n">
        <f aca="false">(D766&lt;&gt;"")*(D766&lt;=($E$3*60+$F$3)/86400)+(F766&lt;&gt;"")*(F766&lt;=($I$3*60+$J$3)/86400)+(H766&lt;&gt;"")*(H766&lt;=($M$3*60+$N$3)/86400)</f>
        <v>0</v>
      </c>
      <c r="N766" s="16"/>
      <c r="O766" s="15"/>
    </row>
    <row r="767" customFormat="false" ht="15" hidden="false" customHeight="false" outlineLevel="0" collapsed="false">
      <c r="A767" s="9" t="n">
        <v>761</v>
      </c>
      <c r="B767" s="10" t="s">
        <v>1128</v>
      </c>
      <c r="C767" s="10" t="s">
        <v>242</v>
      </c>
      <c r="D767" s="11" t="n">
        <v>0.0104890046296296</v>
      </c>
      <c r="E767" s="12" t="n">
        <v>330</v>
      </c>
      <c r="F767" s="11"/>
      <c r="G767" s="12"/>
      <c r="H767" s="11" t="n">
        <v>0.00284398148148148</v>
      </c>
      <c r="I767" s="12" t="n">
        <v>526</v>
      </c>
      <c r="J767" s="12" t="n">
        <f aca="false">COUNT(E767,G767,I767)</f>
        <v>2</v>
      </c>
      <c r="K767" s="13" t="n">
        <f aca="false">MIN(E767,G767,I767)</f>
        <v>330</v>
      </c>
      <c r="L767" s="9" t="str">
        <f aca="false">IF(E767=K767,"5000m",IF(G767=K767,"3000mSC","1500m"))</f>
        <v>5000m</v>
      </c>
      <c r="M767" s="14" t="n">
        <f aca="false">(D767&lt;&gt;"")*(D767&lt;=($E$3*60+$F$3)/86400)+(F767&lt;&gt;"")*(F767&lt;=($I$3*60+$J$3)/86400)+(H767&lt;&gt;"")*(H767&lt;=($M$3*60+$N$3)/86400)</f>
        <v>0</v>
      </c>
      <c r="N767" s="16"/>
      <c r="O767" s="15"/>
    </row>
    <row r="768" customFormat="false" ht="25.35" hidden="false" customHeight="false" outlineLevel="0" collapsed="false">
      <c r="A768" s="9" t="n">
        <v>762</v>
      </c>
      <c r="B768" s="10" t="s">
        <v>1129</v>
      </c>
      <c r="C768" s="10" t="s">
        <v>1130</v>
      </c>
      <c r="D768" s="11" t="n">
        <v>0.0111101851851852</v>
      </c>
      <c r="E768" s="12" t="n">
        <v>1278</v>
      </c>
      <c r="F768" s="11" t="n">
        <v>0.00699606481481482</v>
      </c>
      <c r="G768" s="12" t="n">
        <v>330</v>
      </c>
      <c r="H768" s="11"/>
      <c r="I768" s="12"/>
      <c r="J768" s="12" t="n">
        <f aca="false">COUNT(E768,G768,I768)</f>
        <v>2</v>
      </c>
      <c r="K768" s="13" t="n">
        <f aca="false">MIN(E768,G768,I768)</f>
        <v>330</v>
      </c>
      <c r="L768" s="9" t="str">
        <f aca="false">IF(E768=K768,"5000m",IF(G768=K768,"3000mSC","1500m"))</f>
        <v>3000mSC</v>
      </c>
      <c r="M768" s="14" t="n">
        <f aca="false">(D768&lt;&gt;"")*(D768&lt;=($E$3*60+$F$3)/86400)+(F768&lt;&gt;"")*(F768&lt;=($I$3*60+$J$3)/86400)+(H768&lt;&gt;"")*(H768&lt;=($M$3*60+$N$3)/86400)</f>
        <v>0</v>
      </c>
      <c r="N768" s="16"/>
      <c r="O768" s="15"/>
    </row>
    <row r="769" customFormat="false" ht="25.35" hidden="false" customHeight="false" outlineLevel="0" collapsed="false">
      <c r="A769" s="9" t="n">
        <v>763</v>
      </c>
      <c r="B769" s="10" t="s">
        <v>1131</v>
      </c>
      <c r="C769" s="10" t="s">
        <v>1132</v>
      </c>
      <c r="D769" s="11"/>
      <c r="E769" s="12"/>
      <c r="F769" s="11" t="n">
        <v>0.00699652777777778</v>
      </c>
      <c r="G769" s="12" t="n">
        <v>331</v>
      </c>
      <c r="H769" s="11"/>
      <c r="I769" s="12"/>
      <c r="J769" s="12" t="n">
        <f aca="false">COUNT(E769,G769,I769)</f>
        <v>1</v>
      </c>
      <c r="K769" s="13" t="n">
        <f aca="false">MIN(E769,G769,I769)</f>
        <v>331</v>
      </c>
      <c r="L769" s="9" t="str">
        <f aca="false">IF(E769=K769,"5000m",IF(G769=K769,"3000mSC","1500m"))</f>
        <v>3000mSC</v>
      </c>
      <c r="M769" s="14" t="n">
        <f aca="false">(D769&lt;&gt;"")*(D769&lt;=($E$3*60+$F$3)/86400)+(F769&lt;&gt;"")*(F769&lt;=($I$3*60+$J$3)/86400)+(H769&lt;&gt;"")*(H769&lt;=($M$3*60+$N$3)/86400)</f>
        <v>0</v>
      </c>
      <c r="N769" s="16"/>
      <c r="O769" s="15"/>
    </row>
    <row r="770" customFormat="false" ht="15" hidden="false" customHeight="false" outlineLevel="0" collapsed="false">
      <c r="A770" s="9" t="n">
        <v>764</v>
      </c>
      <c r="B770" s="10" t="s">
        <v>1133</v>
      </c>
      <c r="C770" s="10" t="s">
        <v>112</v>
      </c>
      <c r="D770" s="11"/>
      <c r="E770" s="12"/>
      <c r="F770" s="11"/>
      <c r="G770" s="12"/>
      <c r="H770" s="11" t="n">
        <v>0.00281273148148148</v>
      </c>
      <c r="I770" s="12" t="n">
        <v>331</v>
      </c>
      <c r="J770" s="12" t="n">
        <f aca="false">COUNT(E770,G770,I770)</f>
        <v>1</v>
      </c>
      <c r="K770" s="13" t="n">
        <f aca="false">MIN(E770,G770,I770)</f>
        <v>331</v>
      </c>
      <c r="L770" s="9" t="str">
        <f aca="false">IF(E770=K770,"5000m",IF(G770=K770,"3000mSC","1500m"))</f>
        <v>1500m</v>
      </c>
      <c r="M770" s="14" t="n">
        <f aca="false">(D770&lt;&gt;"")*(D770&lt;=($E$3*60+$F$3)/86400)+(F770&lt;&gt;"")*(F770&lt;=($I$3*60+$J$3)/86400)+(H770&lt;&gt;"")*(H770&lt;=($M$3*60+$N$3)/86400)</f>
        <v>0</v>
      </c>
      <c r="N770" s="16"/>
      <c r="O770" s="15"/>
    </row>
    <row r="771" customFormat="false" ht="15" hidden="false" customHeight="false" outlineLevel="0" collapsed="false">
      <c r="A771" s="9" t="n">
        <v>765</v>
      </c>
      <c r="B771" s="10" t="s">
        <v>1134</v>
      </c>
      <c r="C771" s="10" t="s">
        <v>114</v>
      </c>
      <c r="D771" s="11" t="n">
        <v>0.0107350694444444</v>
      </c>
      <c r="E771" s="12" t="n">
        <v>642</v>
      </c>
      <c r="F771" s="11"/>
      <c r="G771" s="12"/>
      <c r="H771" s="11" t="n">
        <v>0.00281284722222222</v>
      </c>
      <c r="I771" s="12" t="n">
        <v>332</v>
      </c>
      <c r="J771" s="12" t="n">
        <f aca="false">COUNT(E771,G771,I771)</f>
        <v>2</v>
      </c>
      <c r="K771" s="13" t="n">
        <f aca="false">MIN(E771,G771,I771)</f>
        <v>332</v>
      </c>
      <c r="L771" s="9" t="str">
        <f aca="false">IF(E771=K771,"5000m",IF(G771=K771,"3000mSC","1500m"))</f>
        <v>1500m</v>
      </c>
      <c r="M771" s="14" t="n">
        <f aca="false">(D771&lt;&gt;"")*(D771&lt;=($E$3*60+$F$3)/86400)+(F771&lt;&gt;"")*(F771&lt;=($I$3*60+$J$3)/86400)+(H771&lt;&gt;"")*(H771&lt;=($M$3*60+$N$3)/86400)</f>
        <v>0</v>
      </c>
      <c r="N771" s="16"/>
      <c r="O771" s="15"/>
    </row>
    <row r="772" customFormat="false" ht="25.35" hidden="false" customHeight="false" outlineLevel="0" collapsed="false">
      <c r="A772" s="9" t="n">
        <v>766</v>
      </c>
      <c r="B772" s="10" t="s">
        <v>1135</v>
      </c>
      <c r="C772" s="10" t="s">
        <v>486</v>
      </c>
      <c r="D772" s="11"/>
      <c r="E772" s="12"/>
      <c r="F772" s="11" t="n">
        <v>0.00699675925925926</v>
      </c>
      <c r="G772" s="12" t="n">
        <v>332</v>
      </c>
      <c r="H772" s="11" t="n">
        <v>0.00294293981481482</v>
      </c>
      <c r="I772" s="12" t="n">
        <v>1210</v>
      </c>
      <c r="J772" s="12" t="n">
        <f aca="false">COUNT(E772,G772,I772)</f>
        <v>2</v>
      </c>
      <c r="K772" s="13" t="n">
        <f aca="false">MIN(E772,G772,I772)</f>
        <v>332</v>
      </c>
      <c r="L772" s="9" t="str">
        <f aca="false">IF(E772=K772,"5000m",IF(G772=K772,"3000mSC","1500m"))</f>
        <v>3000mSC</v>
      </c>
      <c r="M772" s="14" t="n">
        <f aca="false">(D772&lt;&gt;"")*(D772&lt;=($E$3*60+$F$3)/86400)+(F772&lt;&gt;"")*(F772&lt;=($I$3*60+$J$3)/86400)+(H772&lt;&gt;"")*(H772&lt;=($M$3*60+$N$3)/86400)</f>
        <v>0</v>
      </c>
      <c r="N772" s="16"/>
      <c r="O772" s="15"/>
    </row>
    <row r="773" customFormat="false" ht="15" hidden="false" customHeight="false" outlineLevel="0" collapsed="false">
      <c r="A773" s="9" t="n">
        <v>767</v>
      </c>
      <c r="B773" s="10" t="s">
        <v>1136</v>
      </c>
      <c r="C773" s="10" t="s">
        <v>1137</v>
      </c>
      <c r="D773" s="11" t="n">
        <v>0.0104902777777778</v>
      </c>
      <c r="E773" s="12" t="n">
        <v>332</v>
      </c>
      <c r="F773" s="11"/>
      <c r="G773" s="12"/>
      <c r="H773" s="11"/>
      <c r="I773" s="12"/>
      <c r="J773" s="12" t="n">
        <f aca="false">COUNT(E773,G773,I773)</f>
        <v>1</v>
      </c>
      <c r="K773" s="13" t="n">
        <f aca="false">MIN(E773,G773,I773)</f>
        <v>332</v>
      </c>
      <c r="L773" s="9" t="str">
        <f aca="false">IF(E773=K773,"5000m",IF(G773=K773,"3000mSC","1500m"))</f>
        <v>5000m</v>
      </c>
      <c r="M773" s="14" t="n">
        <f aca="false">(D773&lt;&gt;"")*(D773&lt;=($E$3*60+$F$3)/86400)+(F773&lt;&gt;"")*(F773&lt;=($I$3*60+$J$3)/86400)+(H773&lt;&gt;"")*(H773&lt;=($M$3*60+$N$3)/86400)</f>
        <v>0</v>
      </c>
      <c r="N773" s="16"/>
      <c r="O773" s="15"/>
    </row>
    <row r="774" customFormat="false" ht="15" hidden="false" customHeight="false" outlineLevel="0" collapsed="false">
      <c r="A774" s="9" t="n">
        <v>768</v>
      </c>
      <c r="B774" s="10" t="s">
        <v>1138</v>
      </c>
      <c r="C774" s="10" t="s">
        <v>1020</v>
      </c>
      <c r="D774" s="11" t="n">
        <v>0.0105478009259259</v>
      </c>
      <c r="E774" s="12" t="n">
        <v>395</v>
      </c>
      <c r="F774" s="11" t="n">
        <v>0.00705462962962963</v>
      </c>
      <c r="G774" s="12" t="n">
        <v>394</v>
      </c>
      <c r="H774" s="11" t="n">
        <v>0.00281296296296296</v>
      </c>
      <c r="I774" s="12" t="n">
        <v>333</v>
      </c>
      <c r="J774" s="12" t="n">
        <f aca="false">COUNT(E774,G774,I774)</f>
        <v>3</v>
      </c>
      <c r="K774" s="13" t="n">
        <f aca="false">MIN(E774,G774,I774)</f>
        <v>333</v>
      </c>
      <c r="L774" s="9" t="str">
        <f aca="false">IF(E774=K774,"5000m",IF(G774=K774,"3000mSC","1500m"))</f>
        <v>1500m</v>
      </c>
      <c r="M774" s="14" t="n">
        <f aca="false">(D774&lt;&gt;"")*(D774&lt;=($E$3*60+$F$3)/86400)+(F774&lt;&gt;"")*(F774&lt;=($I$3*60+$J$3)/86400)+(H774&lt;&gt;"")*(H774&lt;=($M$3*60+$N$3)/86400)</f>
        <v>0</v>
      </c>
      <c r="N774" s="16"/>
      <c r="O774" s="15"/>
    </row>
    <row r="775" customFormat="false" ht="25.35" hidden="false" customHeight="false" outlineLevel="0" collapsed="false">
      <c r="A775" s="9" t="n">
        <v>769</v>
      </c>
      <c r="B775" s="10" t="s">
        <v>1139</v>
      </c>
      <c r="C775" s="10" t="s">
        <v>1140</v>
      </c>
      <c r="D775" s="11"/>
      <c r="E775" s="12"/>
      <c r="F775" s="11" t="n">
        <v>0.00699722222222222</v>
      </c>
      <c r="G775" s="12" t="n">
        <v>333</v>
      </c>
      <c r="H775" s="11" t="n">
        <v>0.00292199074074074</v>
      </c>
      <c r="I775" s="12" t="n">
        <v>1113</v>
      </c>
      <c r="J775" s="12" t="n">
        <f aca="false">COUNT(E775,G775,I775)</f>
        <v>2</v>
      </c>
      <c r="K775" s="13" t="n">
        <f aca="false">MIN(E775,G775,I775)</f>
        <v>333</v>
      </c>
      <c r="L775" s="9" t="str">
        <f aca="false">IF(E775=K775,"5000m",IF(G775=K775,"3000mSC","1500m"))</f>
        <v>3000mSC</v>
      </c>
      <c r="M775" s="14" t="n">
        <f aca="false">(D775&lt;&gt;"")*(D775&lt;=($E$3*60+$F$3)/86400)+(F775&lt;&gt;"")*(F775&lt;=($I$3*60+$J$3)/86400)+(H775&lt;&gt;"")*(H775&lt;=($M$3*60+$N$3)/86400)</f>
        <v>0</v>
      </c>
      <c r="N775" s="16"/>
      <c r="O775" s="15"/>
    </row>
    <row r="776" customFormat="false" ht="25.35" hidden="false" customHeight="false" outlineLevel="0" collapsed="false">
      <c r="A776" s="9" t="n">
        <v>770</v>
      </c>
      <c r="B776" s="10" t="s">
        <v>1141</v>
      </c>
      <c r="C776" s="10" t="s">
        <v>79</v>
      </c>
      <c r="D776" s="11" t="n">
        <v>0.0108413194444445</v>
      </c>
      <c r="E776" s="12" t="n">
        <v>815</v>
      </c>
      <c r="F776" s="11" t="n">
        <v>0.00699918981481482</v>
      </c>
      <c r="G776" s="12" t="n">
        <v>334</v>
      </c>
      <c r="H776" s="11" t="n">
        <v>0.002828125</v>
      </c>
      <c r="I776" s="12" t="n">
        <v>412</v>
      </c>
      <c r="J776" s="12" t="n">
        <f aca="false">COUNT(E776,G776,I776)</f>
        <v>3</v>
      </c>
      <c r="K776" s="13" t="n">
        <f aca="false">MIN(E776,G776,I776)</f>
        <v>334</v>
      </c>
      <c r="L776" s="9" t="str">
        <f aca="false">IF(E776=K776,"5000m",IF(G776=K776,"3000mSC","1500m"))</f>
        <v>3000mSC</v>
      </c>
      <c r="M776" s="14" t="n">
        <f aca="false">(D776&lt;&gt;"")*(D776&lt;=($E$3*60+$F$3)/86400)+(F776&lt;&gt;"")*(F776&lt;=($I$3*60+$J$3)/86400)+(H776&lt;&gt;"")*(H776&lt;=($M$3*60+$N$3)/86400)</f>
        <v>0</v>
      </c>
      <c r="N776" s="16"/>
      <c r="O776" s="15"/>
    </row>
    <row r="777" customFormat="false" ht="15" hidden="false" customHeight="false" outlineLevel="0" collapsed="false">
      <c r="A777" s="9" t="n">
        <v>771</v>
      </c>
      <c r="B777" s="10" t="s">
        <v>1142</v>
      </c>
      <c r="C777" s="10" t="s">
        <v>555</v>
      </c>
      <c r="D777" s="11" t="n">
        <v>0.0104908564814815</v>
      </c>
      <c r="E777" s="12" t="n">
        <v>335</v>
      </c>
      <c r="F777" s="11"/>
      <c r="G777" s="12"/>
      <c r="H777" s="11" t="n">
        <v>0.00284085648148148</v>
      </c>
      <c r="I777" s="12" t="n">
        <v>505</v>
      </c>
      <c r="J777" s="12" t="n">
        <f aca="false">COUNT(E777,G777,I777)</f>
        <v>2</v>
      </c>
      <c r="K777" s="13" t="n">
        <f aca="false">MIN(E777,G777,I777)</f>
        <v>335</v>
      </c>
      <c r="L777" s="9" t="str">
        <f aca="false">IF(E777=K777,"5000m",IF(G777=K777,"3000mSC","1500m"))</f>
        <v>5000m</v>
      </c>
      <c r="M777" s="14" t="n">
        <f aca="false">(D777&lt;&gt;"")*(D777&lt;=($E$3*60+$F$3)/86400)+(F777&lt;&gt;"")*(F777&lt;=($I$3*60+$J$3)/86400)+(H777&lt;&gt;"")*(H777&lt;=($M$3*60+$N$3)/86400)</f>
        <v>0</v>
      </c>
      <c r="N777" s="16"/>
      <c r="O777" s="15"/>
    </row>
    <row r="778" customFormat="false" ht="15" hidden="false" customHeight="false" outlineLevel="0" collapsed="false">
      <c r="A778" s="9" t="n">
        <v>772</v>
      </c>
      <c r="B778" s="10" t="s">
        <v>1143</v>
      </c>
      <c r="C778" s="10" t="s">
        <v>425</v>
      </c>
      <c r="D778" s="11" t="n">
        <v>0.0107329861111111</v>
      </c>
      <c r="E778" s="12" t="n">
        <v>639</v>
      </c>
      <c r="F778" s="11"/>
      <c r="G778" s="12"/>
      <c r="H778" s="11" t="n">
        <v>0.00281319444444445</v>
      </c>
      <c r="I778" s="12" t="n">
        <v>335</v>
      </c>
      <c r="J778" s="12" t="n">
        <f aca="false">COUNT(E778,G778,I778)</f>
        <v>2</v>
      </c>
      <c r="K778" s="13" t="n">
        <f aca="false">MIN(E778,G778,I778)</f>
        <v>335</v>
      </c>
      <c r="L778" s="9" t="str">
        <f aca="false">IF(E778=K778,"5000m",IF(G778=K778,"3000mSC","1500m"))</f>
        <v>1500m</v>
      </c>
      <c r="M778" s="14" t="n">
        <f aca="false">(D778&lt;&gt;"")*(D778&lt;=($E$3*60+$F$3)/86400)+(F778&lt;&gt;"")*(F778&lt;=($I$3*60+$J$3)/86400)+(H778&lt;&gt;"")*(H778&lt;=($M$3*60+$N$3)/86400)</f>
        <v>0</v>
      </c>
      <c r="N778" s="16"/>
      <c r="O778" s="15"/>
    </row>
    <row r="779" customFormat="false" ht="25.35" hidden="false" customHeight="false" outlineLevel="0" collapsed="false">
      <c r="A779" s="9" t="n">
        <v>773</v>
      </c>
      <c r="B779" s="10" t="s">
        <v>1144</v>
      </c>
      <c r="C779" s="10" t="s">
        <v>1145</v>
      </c>
      <c r="D779" s="11"/>
      <c r="E779" s="12"/>
      <c r="F779" s="11" t="n">
        <v>0.00699965277777778</v>
      </c>
      <c r="G779" s="12" t="n">
        <v>335</v>
      </c>
      <c r="H779" s="11"/>
      <c r="I779" s="12"/>
      <c r="J779" s="12" t="n">
        <f aca="false">COUNT(E779,G779,I779)</f>
        <v>1</v>
      </c>
      <c r="K779" s="13" t="n">
        <f aca="false">MIN(E779,G779,I779)</f>
        <v>335</v>
      </c>
      <c r="L779" s="9" t="str">
        <f aca="false">IF(E779=K779,"5000m",IF(G779=K779,"3000mSC","1500m"))</f>
        <v>3000mSC</v>
      </c>
      <c r="M779" s="14" t="n">
        <f aca="false">(D779&lt;&gt;"")*(D779&lt;=($E$3*60+$F$3)/86400)+(F779&lt;&gt;"")*(F779&lt;=($I$3*60+$J$3)/86400)+(H779&lt;&gt;"")*(H779&lt;=($M$3*60+$N$3)/86400)</f>
        <v>0</v>
      </c>
      <c r="N779" s="16"/>
      <c r="O779" s="15"/>
    </row>
    <row r="780" customFormat="false" ht="15" hidden="false" customHeight="false" outlineLevel="0" collapsed="false">
      <c r="A780" s="9" t="n">
        <v>774</v>
      </c>
      <c r="B780" s="10" t="s">
        <v>1146</v>
      </c>
      <c r="C780" s="10" t="s">
        <v>103</v>
      </c>
      <c r="D780" s="11" t="n">
        <v>0.010515162037037</v>
      </c>
      <c r="E780" s="12" t="n">
        <v>357</v>
      </c>
      <c r="F780" s="11"/>
      <c r="G780" s="12"/>
      <c r="H780" s="11" t="n">
        <v>0.00281331018518519</v>
      </c>
      <c r="I780" s="12" t="n">
        <v>336</v>
      </c>
      <c r="J780" s="12" t="n">
        <f aca="false">COUNT(E780,G780,I780)</f>
        <v>2</v>
      </c>
      <c r="K780" s="13" t="n">
        <f aca="false">MIN(E780,G780,I780)</f>
        <v>336</v>
      </c>
      <c r="L780" s="9" t="str">
        <f aca="false">IF(E780=K780,"5000m",IF(G780=K780,"3000mSC","1500m"))</f>
        <v>1500m</v>
      </c>
      <c r="M780" s="14" t="n">
        <f aca="false">(D780&lt;&gt;"")*(D780&lt;=($E$3*60+$F$3)/86400)+(F780&lt;&gt;"")*(F780&lt;=($I$3*60+$J$3)/86400)+(H780&lt;&gt;"")*(H780&lt;=($M$3*60+$N$3)/86400)</f>
        <v>0</v>
      </c>
      <c r="N780" s="16"/>
      <c r="O780" s="15"/>
    </row>
    <row r="781" customFormat="false" ht="25.35" hidden="false" customHeight="false" outlineLevel="0" collapsed="false">
      <c r="A781" s="9" t="n">
        <v>775</v>
      </c>
      <c r="B781" s="10" t="s">
        <v>1147</v>
      </c>
      <c r="C781" s="10" t="s">
        <v>29</v>
      </c>
      <c r="D781" s="11" t="n">
        <v>0.0110459490740741</v>
      </c>
      <c r="E781" s="12" t="n">
        <v>1192</v>
      </c>
      <c r="F781" s="11" t="n">
        <v>0.007</v>
      </c>
      <c r="G781" s="12" t="n">
        <v>336</v>
      </c>
      <c r="H781" s="11"/>
      <c r="I781" s="12"/>
      <c r="J781" s="12" t="n">
        <f aca="false">COUNT(E781,G781,I781)</f>
        <v>2</v>
      </c>
      <c r="K781" s="13" t="n">
        <f aca="false">MIN(E781,G781,I781)</f>
        <v>336</v>
      </c>
      <c r="L781" s="9" t="str">
        <f aca="false">IF(E781=K781,"5000m",IF(G781=K781,"3000mSC","1500m"))</f>
        <v>3000mSC</v>
      </c>
      <c r="M781" s="14" t="n">
        <f aca="false">(D781&lt;&gt;"")*(D781&lt;=($E$3*60+$F$3)/86400)+(F781&lt;&gt;"")*(F781&lt;=($I$3*60+$J$3)/86400)+(H781&lt;&gt;"")*(H781&lt;=($M$3*60+$N$3)/86400)</f>
        <v>0</v>
      </c>
      <c r="N781" s="16"/>
      <c r="O781" s="15"/>
    </row>
    <row r="782" customFormat="false" ht="15" hidden="false" customHeight="false" outlineLevel="0" collapsed="false">
      <c r="A782" s="9" t="n">
        <v>776</v>
      </c>
      <c r="B782" s="10" t="s">
        <v>1148</v>
      </c>
      <c r="C782" s="10" t="s">
        <v>43</v>
      </c>
      <c r="D782" s="11" t="n">
        <v>0.0106106481481482</v>
      </c>
      <c r="E782" s="12" t="n">
        <v>476</v>
      </c>
      <c r="F782" s="11"/>
      <c r="G782" s="12"/>
      <c r="H782" s="11" t="n">
        <v>0.00281331018518519</v>
      </c>
      <c r="I782" s="12" t="n">
        <v>337</v>
      </c>
      <c r="J782" s="12" t="n">
        <f aca="false">COUNT(E782,G782,I782)</f>
        <v>2</v>
      </c>
      <c r="K782" s="13" t="n">
        <f aca="false">MIN(E782,G782,I782)</f>
        <v>337</v>
      </c>
      <c r="L782" s="9" t="str">
        <f aca="false">IF(E782=K782,"5000m",IF(G782=K782,"3000mSC","1500m"))</f>
        <v>1500m</v>
      </c>
      <c r="M782" s="14" t="n">
        <f aca="false">(D782&lt;&gt;"")*(D782&lt;=($E$3*60+$F$3)/86400)+(F782&lt;&gt;"")*(F782&lt;=($I$3*60+$J$3)/86400)+(H782&lt;&gt;"")*(H782&lt;=($M$3*60+$N$3)/86400)</f>
        <v>0</v>
      </c>
      <c r="N782" s="16"/>
      <c r="O782" s="15"/>
    </row>
    <row r="783" customFormat="false" ht="25.35" hidden="false" customHeight="false" outlineLevel="0" collapsed="false">
      <c r="A783" s="9" t="n">
        <v>777</v>
      </c>
      <c r="B783" s="10" t="s">
        <v>1149</v>
      </c>
      <c r="C783" s="10" t="s">
        <v>1150</v>
      </c>
      <c r="D783" s="11"/>
      <c r="E783" s="12"/>
      <c r="F783" s="11" t="n">
        <v>0.00700046296296296</v>
      </c>
      <c r="G783" s="12" t="n">
        <v>337</v>
      </c>
      <c r="H783" s="11"/>
      <c r="I783" s="12"/>
      <c r="J783" s="12" t="n">
        <f aca="false">COUNT(E783,G783,I783)</f>
        <v>1</v>
      </c>
      <c r="K783" s="13" t="n">
        <f aca="false">MIN(E783,G783,I783)</f>
        <v>337</v>
      </c>
      <c r="L783" s="9" t="str">
        <f aca="false">IF(E783=K783,"5000m",IF(G783=K783,"3000mSC","1500m"))</f>
        <v>3000mSC</v>
      </c>
      <c r="M783" s="14" t="n">
        <f aca="false">(D783&lt;&gt;"")*(D783&lt;=($E$3*60+$F$3)/86400)+(F783&lt;&gt;"")*(F783&lt;=($I$3*60+$J$3)/86400)+(H783&lt;&gt;"")*(H783&lt;=($M$3*60+$N$3)/86400)</f>
        <v>0</v>
      </c>
      <c r="N783" s="16"/>
      <c r="O783" s="15"/>
    </row>
    <row r="784" customFormat="false" ht="25.35" hidden="false" customHeight="false" outlineLevel="0" collapsed="false">
      <c r="A784" s="9" t="n">
        <v>778</v>
      </c>
      <c r="B784" s="10" t="s">
        <v>1151</v>
      </c>
      <c r="C784" s="10" t="s">
        <v>91</v>
      </c>
      <c r="D784" s="11" t="n">
        <v>0.0107142361111111</v>
      </c>
      <c r="E784" s="12" t="n">
        <v>603</v>
      </c>
      <c r="F784" s="11" t="n">
        <v>0.00700081018518519</v>
      </c>
      <c r="G784" s="12" t="n">
        <v>338</v>
      </c>
      <c r="H784" s="11" t="n">
        <v>0.00286875</v>
      </c>
      <c r="I784" s="12" t="n">
        <v>686</v>
      </c>
      <c r="J784" s="12" t="n">
        <f aca="false">COUNT(E784,G784,I784)</f>
        <v>3</v>
      </c>
      <c r="K784" s="13" t="n">
        <f aca="false">MIN(E784,G784,I784)</f>
        <v>338</v>
      </c>
      <c r="L784" s="9" t="str">
        <f aca="false">IF(E784=K784,"5000m",IF(G784=K784,"3000mSC","1500m"))</f>
        <v>3000mSC</v>
      </c>
      <c r="M784" s="14" t="n">
        <f aca="false">(D784&lt;&gt;"")*(D784&lt;=($E$3*60+$F$3)/86400)+(F784&lt;&gt;"")*(F784&lt;=($I$3*60+$J$3)/86400)+(H784&lt;&gt;"")*(H784&lt;=($M$3*60+$N$3)/86400)</f>
        <v>0</v>
      </c>
      <c r="N784" s="10" t="s">
        <v>663</v>
      </c>
      <c r="O784" s="15"/>
    </row>
    <row r="785" customFormat="false" ht="15" hidden="false" customHeight="false" outlineLevel="0" collapsed="false">
      <c r="A785" s="9" t="n">
        <v>779</v>
      </c>
      <c r="B785" s="10" t="s">
        <v>1152</v>
      </c>
      <c r="C785" s="10" t="s">
        <v>103</v>
      </c>
      <c r="D785" s="11" t="n">
        <v>0.0107349537037037</v>
      </c>
      <c r="E785" s="12" t="n">
        <v>641</v>
      </c>
      <c r="F785" s="11"/>
      <c r="G785" s="12"/>
      <c r="H785" s="11" t="n">
        <v>0.00281354166666667</v>
      </c>
      <c r="I785" s="12" t="n">
        <v>338</v>
      </c>
      <c r="J785" s="12" t="n">
        <f aca="false">COUNT(E785,G785,I785)</f>
        <v>2</v>
      </c>
      <c r="K785" s="13" t="n">
        <f aca="false">MIN(E785,G785,I785)</f>
        <v>338</v>
      </c>
      <c r="L785" s="9" t="str">
        <f aca="false">IF(E785=K785,"5000m",IF(G785=K785,"3000mSC","1500m"))</f>
        <v>1500m</v>
      </c>
      <c r="M785" s="14" t="n">
        <f aca="false">(D785&lt;&gt;"")*(D785&lt;=($E$3*60+$F$3)/86400)+(F785&lt;&gt;"")*(F785&lt;=($I$3*60+$J$3)/86400)+(H785&lt;&gt;"")*(H785&lt;=($M$3*60+$N$3)/86400)</f>
        <v>0</v>
      </c>
      <c r="N785" s="16"/>
      <c r="O785" s="15"/>
    </row>
    <row r="786" customFormat="false" ht="15" hidden="false" customHeight="false" outlineLevel="0" collapsed="false">
      <c r="A786" s="9" t="n">
        <v>780</v>
      </c>
      <c r="B786" s="10" t="s">
        <v>1153</v>
      </c>
      <c r="C786" s="10" t="s">
        <v>254</v>
      </c>
      <c r="D786" s="11" t="n">
        <v>0.0104969907407407</v>
      </c>
      <c r="E786" s="12" t="n">
        <v>339</v>
      </c>
      <c r="F786" s="11"/>
      <c r="G786" s="12"/>
      <c r="H786" s="11" t="n">
        <v>0.00287488425925926</v>
      </c>
      <c r="I786" s="12" t="n">
        <v>734</v>
      </c>
      <c r="J786" s="12" t="n">
        <f aca="false">COUNT(E786,G786,I786)</f>
        <v>2</v>
      </c>
      <c r="K786" s="13" t="n">
        <f aca="false">MIN(E786,G786,I786)</f>
        <v>339</v>
      </c>
      <c r="L786" s="9" t="str">
        <f aca="false">IF(E786=K786,"5000m",IF(G786=K786,"3000mSC","1500m"))</f>
        <v>5000m</v>
      </c>
      <c r="M786" s="14" t="n">
        <f aca="false">(D786&lt;&gt;"")*(D786&lt;=($E$3*60+$F$3)/86400)+(F786&lt;&gt;"")*(F786&lt;=($I$3*60+$J$3)/86400)+(H786&lt;&gt;"")*(H786&lt;=($M$3*60+$N$3)/86400)</f>
        <v>0</v>
      </c>
      <c r="N786" s="16"/>
      <c r="O786" s="15"/>
    </row>
    <row r="787" customFormat="false" ht="15" hidden="false" customHeight="false" outlineLevel="0" collapsed="false">
      <c r="A787" s="9" t="n">
        <v>781</v>
      </c>
      <c r="B787" s="10" t="s">
        <v>1154</v>
      </c>
      <c r="C787" s="10" t="s">
        <v>1155</v>
      </c>
      <c r="D787" s="11" t="n">
        <v>0.0109736111111111</v>
      </c>
      <c r="E787" s="12" t="n">
        <v>1047</v>
      </c>
      <c r="F787" s="11"/>
      <c r="G787" s="12"/>
      <c r="H787" s="11" t="n">
        <v>0.00281388888888889</v>
      </c>
      <c r="I787" s="12" t="n">
        <v>339</v>
      </c>
      <c r="J787" s="12" t="n">
        <f aca="false">COUNT(E787,G787,I787)</f>
        <v>2</v>
      </c>
      <c r="K787" s="13" t="n">
        <f aca="false">MIN(E787,G787,I787)</f>
        <v>339</v>
      </c>
      <c r="L787" s="9" t="str">
        <f aca="false">IF(E787=K787,"5000m",IF(G787=K787,"3000mSC","1500m"))</f>
        <v>1500m</v>
      </c>
      <c r="M787" s="14" t="n">
        <f aca="false">(D787&lt;&gt;"")*(D787&lt;=($E$3*60+$F$3)/86400)+(F787&lt;&gt;"")*(F787&lt;=($I$3*60+$J$3)/86400)+(H787&lt;&gt;"")*(H787&lt;=($M$3*60+$N$3)/86400)</f>
        <v>0</v>
      </c>
      <c r="N787" s="16"/>
      <c r="O787" s="15"/>
    </row>
    <row r="788" customFormat="false" ht="25.35" hidden="false" customHeight="false" outlineLevel="0" collapsed="false">
      <c r="A788" s="9" t="n">
        <v>782</v>
      </c>
      <c r="B788" s="10" t="s">
        <v>1156</v>
      </c>
      <c r="C788" s="10" t="s">
        <v>1157</v>
      </c>
      <c r="D788" s="11"/>
      <c r="E788" s="12"/>
      <c r="F788" s="11" t="n">
        <v>0.00700324074074074</v>
      </c>
      <c r="G788" s="12" t="n">
        <v>339</v>
      </c>
      <c r="H788" s="11"/>
      <c r="I788" s="12"/>
      <c r="J788" s="12" t="n">
        <f aca="false">COUNT(E788,G788,I788)</f>
        <v>1</v>
      </c>
      <c r="K788" s="13" t="n">
        <f aca="false">MIN(E788,G788,I788)</f>
        <v>339</v>
      </c>
      <c r="L788" s="9" t="str">
        <f aca="false">IF(E788=K788,"5000m",IF(G788=K788,"3000mSC","1500m"))</f>
        <v>3000mSC</v>
      </c>
      <c r="M788" s="14" t="n">
        <f aca="false">(D788&lt;&gt;"")*(D788&lt;=($E$3*60+$F$3)/86400)+(F788&lt;&gt;"")*(F788&lt;=($I$3*60+$J$3)/86400)+(H788&lt;&gt;"")*(H788&lt;=($M$3*60+$N$3)/86400)</f>
        <v>0</v>
      </c>
      <c r="N788" s="16"/>
      <c r="O788" s="15"/>
    </row>
    <row r="789" customFormat="false" ht="15" hidden="false" customHeight="false" outlineLevel="0" collapsed="false">
      <c r="A789" s="9" t="n">
        <v>783</v>
      </c>
      <c r="B789" s="10" t="s">
        <v>1158</v>
      </c>
      <c r="C789" s="10" t="s">
        <v>317</v>
      </c>
      <c r="D789" s="11" t="n">
        <v>0.010499537037037</v>
      </c>
      <c r="E789" s="12" t="n">
        <v>340</v>
      </c>
      <c r="F789" s="11" t="n">
        <v>0.00748032407407407</v>
      </c>
      <c r="G789" s="12" t="n">
        <v>869</v>
      </c>
      <c r="H789" s="11" t="n">
        <v>0.00282233796296296</v>
      </c>
      <c r="I789" s="12" t="n">
        <v>378</v>
      </c>
      <c r="J789" s="12" t="n">
        <f aca="false">COUNT(E789,G789,I789)</f>
        <v>3</v>
      </c>
      <c r="K789" s="13" t="n">
        <f aca="false">MIN(E789,G789,I789)</f>
        <v>340</v>
      </c>
      <c r="L789" s="9" t="str">
        <f aca="false">IF(E789=K789,"5000m",IF(G789=K789,"3000mSC","1500m"))</f>
        <v>5000m</v>
      </c>
      <c r="M789" s="14" t="n">
        <f aca="false">(D789&lt;&gt;"")*(D789&lt;=($E$3*60+$F$3)/86400)+(F789&lt;&gt;"")*(F789&lt;=($I$3*60+$J$3)/86400)+(H789&lt;&gt;"")*(H789&lt;=($M$3*60+$N$3)/86400)</f>
        <v>0</v>
      </c>
      <c r="N789" s="16"/>
      <c r="O789" s="15"/>
    </row>
    <row r="790" customFormat="false" ht="25.35" hidden="false" customHeight="false" outlineLevel="0" collapsed="false">
      <c r="A790" s="9" t="n">
        <v>784</v>
      </c>
      <c r="B790" s="10" t="s">
        <v>1159</v>
      </c>
      <c r="C790" s="10" t="s">
        <v>124</v>
      </c>
      <c r="D790" s="11" t="n">
        <v>0.0109270833333333</v>
      </c>
      <c r="E790" s="12" t="n">
        <v>962</v>
      </c>
      <c r="F790" s="11" t="n">
        <v>0.00700451388888889</v>
      </c>
      <c r="G790" s="12" t="n">
        <v>340</v>
      </c>
      <c r="H790" s="11"/>
      <c r="I790" s="12"/>
      <c r="J790" s="12" t="n">
        <f aca="false">COUNT(E790,G790,I790)</f>
        <v>2</v>
      </c>
      <c r="K790" s="13" t="n">
        <f aca="false">MIN(E790,G790,I790)</f>
        <v>340</v>
      </c>
      <c r="L790" s="9" t="str">
        <f aca="false">IF(E790=K790,"5000m",IF(G790=K790,"3000mSC","1500m"))</f>
        <v>3000mSC</v>
      </c>
      <c r="M790" s="14" t="n">
        <f aca="false">(D790&lt;&gt;"")*(D790&lt;=($E$3*60+$F$3)/86400)+(F790&lt;&gt;"")*(F790&lt;=($I$3*60+$J$3)/86400)+(H790&lt;&gt;"")*(H790&lt;=($M$3*60+$N$3)/86400)</f>
        <v>0</v>
      </c>
      <c r="N790" s="16"/>
      <c r="O790" s="15"/>
    </row>
    <row r="791" customFormat="false" ht="15" hidden="false" customHeight="false" outlineLevel="0" collapsed="false">
      <c r="A791" s="9" t="n">
        <v>785</v>
      </c>
      <c r="B791" s="10" t="s">
        <v>1160</v>
      </c>
      <c r="C791" s="10" t="s">
        <v>549</v>
      </c>
      <c r="D791" s="11" t="n">
        <v>0.0106128472222222</v>
      </c>
      <c r="E791" s="12" t="n">
        <v>482</v>
      </c>
      <c r="F791" s="11" t="n">
        <v>0.00723171296296296</v>
      </c>
      <c r="G791" s="12" t="n">
        <v>576</v>
      </c>
      <c r="H791" s="11" t="n">
        <v>0.00281458333333333</v>
      </c>
      <c r="I791" s="12" t="n">
        <v>341</v>
      </c>
      <c r="J791" s="12" t="n">
        <f aca="false">COUNT(E791,G791,I791)</f>
        <v>3</v>
      </c>
      <c r="K791" s="13" t="n">
        <f aca="false">MIN(E791,G791,I791)</f>
        <v>341</v>
      </c>
      <c r="L791" s="9" t="str">
        <f aca="false">IF(E791=K791,"5000m",IF(G791=K791,"3000mSC","1500m"))</f>
        <v>1500m</v>
      </c>
      <c r="M791" s="14" t="n">
        <f aca="false">(D791&lt;&gt;"")*(D791&lt;=($E$3*60+$F$3)/86400)+(F791&lt;&gt;"")*(F791&lt;=($I$3*60+$J$3)/86400)+(H791&lt;&gt;"")*(H791&lt;=($M$3*60+$N$3)/86400)</f>
        <v>0</v>
      </c>
      <c r="N791" s="16"/>
      <c r="O791" s="15"/>
    </row>
    <row r="792" customFormat="false" ht="25.35" hidden="false" customHeight="false" outlineLevel="0" collapsed="false">
      <c r="A792" s="9" t="n">
        <v>786</v>
      </c>
      <c r="B792" s="10" t="s">
        <v>1161</v>
      </c>
      <c r="C792" s="10" t="s">
        <v>25</v>
      </c>
      <c r="D792" s="11" t="n">
        <v>0.0107318287037037</v>
      </c>
      <c r="E792" s="12" t="n">
        <v>637</v>
      </c>
      <c r="F792" s="11" t="n">
        <v>0.00700451388888889</v>
      </c>
      <c r="G792" s="12" t="n">
        <v>341</v>
      </c>
      <c r="H792" s="11" t="n">
        <v>0.00283530092592593</v>
      </c>
      <c r="I792" s="12" t="n">
        <v>464</v>
      </c>
      <c r="J792" s="12" t="n">
        <f aca="false">COUNT(E792,G792,I792)</f>
        <v>3</v>
      </c>
      <c r="K792" s="13" t="n">
        <f aca="false">MIN(E792,G792,I792)</f>
        <v>341</v>
      </c>
      <c r="L792" s="9" t="str">
        <f aca="false">IF(E792=K792,"5000m",IF(G792=K792,"3000mSC","1500m"))</f>
        <v>3000mSC</v>
      </c>
      <c r="M792" s="14" t="n">
        <f aca="false">(D792&lt;&gt;"")*(D792&lt;=($E$3*60+$F$3)/86400)+(F792&lt;&gt;"")*(F792&lt;=($I$3*60+$J$3)/86400)+(H792&lt;&gt;"")*(H792&lt;=($M$3*60+$N$3)/86400)</f>
        <v>0</v>
      </c>
      <c r="N792" s="16"/>
      <c r="O792" s="15"/>
    </row>
    <row r="793" customFormat="false" ht="15" hidden="false" customHeight="false" outlineLevel="0" collapsed="false">
      <c r="A793" s="9" t="n">
        <v>787</v>
      </c>
      <c r="B793" s="10" t="s">
        <v>1162</v>
      </c>
      <c r="C793" s="10" t="s">
        <v>462</v>
      </c>
      <c r="D793" s="11" t="n">
        <v>0.0105012731481482</v>
      </c>
      <c r="E793" s="12" t="n">
        <v>342</v>
      </c>
      <c r="F793" s="11"/>
      <c r="G793" s="12"/>
      <c r="H793" s="11"/>
      <c r="I793" s="12"/>
      <c r="J793" s="12" t="n">
        <f aca="false">COUNT(E793,G793,I793)</f>
        <v>1</v>
      </c>
      <c r="K793" s="13" t="n">
        <f aca="false">MIN(E793,G793,I793)</f>
        <v>342</v>
      </c>
      <c r="L793" s="9" t="str">
        <f aca="false">IF(E793=K793,"5000m",IF(G793=K793,"3000mSC","1500m"))</f>
        <v>5000m</v>
      </c>
      <c r="M793" s="14" t="n">
        <f aca="false">(D793&lt;&gt;"")*(D793&lt;=($E$3*60+$F$3)/86400)+(F793&lt;&gt;"")*(F793&lt;=($I$3*60+$J$3)/86400)+(H793&lt;&gt;"")*(H793&lt;=($M$3*60+$N$3)/86400)</f>
        <v>0</v>
      </c>
      <c r="N793" s="16"/>
      <c r="O793" s="15"/>
    </row>
    <row r="794" customFormat="false" ht="25.35" hidden="false" customHeight="false" outlineLevel="0" collapsed="false">
      <c r="A794" s="9" t="n">
        <v>788</v>
      </c>
      <c r="B794" s="10" t="s">
        <v>1163</v>
      </c>
      <c r="C794" s="10" t="s">
        <v>377</v>
      </c>
      <c r="D794" s="11"/>
      <c r="E794" s="12"/>
      <c r="F794" s="11" t="n">
        <v>0.00700497685185185</v>
      </c>
      <c r="G794" s="12" t="n">
        <v>342</v>
      </c>
      <c r="H794" s="11"/>
      <c r="I794" s="12"/>
      <c r="J794" s="12" t="n">
        <f aca="false">COUNT(E794,G794,I794)</f>
        <v>1</v>
      </c>
      <c r="K794" s="13" t="n">
        <f aca="false">MIN(E794,G794,I794)</f>
        <v>342</v>
      </c>
      <c r="L794" s="9" t="str">
        <f aca="false">IF(E794=K794,"5000m",IF(G794=K794,"3000mSC","1500m"))</f>
        <v>3000mSC</v>
      </c>
      <c r="M794" s="14" t="n">
        <f aca="false">(D794&lt;&gt;"")*(D794&lt;=($E$3*60+$F$3)/86400)+(F794&lt;&gt;"")*(F794&lt;=($I$3*60+$J$3)/86400)+(H794&lt;&gt;"")*(H794&lt;=($M$3*60+$N$3)/86400)</f>
        <v>0</v>
      </c>
      <c r="N794" s="16"/>
      <c r="O794" s="15"/>
    </row>
    <row r="795" customFormat="false" ht="15" hidden="false" customHeight="false" outlineLevel="0" collapsed="false">
      <c r="A795" s="9" t="n">
        <v>789</v>
      </c>
      <c r="B795" s="10" t="s">
        <v>1164</v>
      </c>
      <c r="C795" s="10" t="s">
        <v>120</v>
      </c>
      <c r="D795" s="11"/>
      <c r="E795" s="12"/>
      <c r="F795" s="11" t="n">
        <v>0.00711736111111111</v>
      </c>
      <c r="G795" s="12" t="n">
        <v>463</v>
      </c>
      <c r="H795" s="11" t="n">
        <v>0.00281493055555556</v>
      </c>
      <c r="I795" s="12" t="n">
        <v>343</v>
      </c>
      <c r="J795" s="12" t="n">
        <f aca="false">COUNT(E795,G795,I795)</f>
        <v>2</v>
      </c>
      <c r="K795" s="13" t="n">
        <f aca="false">MIN(E795,G795,I795)</f>
        <v>343</v>
      </c>
      <c r="L795" s="9" t="str">
        <f aca="false">IF(E795=K795,"5000m",IF(G795=K795,"3000mSC","1500m"))</f>
        <v>1500m</v>
      </c>
      <c r="M795" s="14" t="n">
        <f aca="false">(D795&lt;&gt;"")*(D795&lt;=($E$3*60+$F$3)/86400)+(F795&lt;&gt;"")*(F795&lt;=($I$3*60+$J$3)/86400)+(H795&lt;&gt;"")*(H795&lt;=($M$3*60+$N$3)/86400)</f>
        <v>0</v>
      </c>
      <c r="N795" s="16"/>
      <c r="O795" s="15"/>
    </row>
    <row r="796" customFormat="false" ht="25.35" hidden="false" customHeight="false" outlineLevel="0" collapsed="false">
      <c r="A796" s="9" t="n">
        <v>790</v>
      </c>
      <c r="B796" s="10" t="s">
        <v>1165</v>
      </c>
      <c r="C796" s="10" t="s">
        <v>1166</v>
      </c>
      <c r="D796" s="11"/>
      <c r="E796" s="12"/>
      <c r="F796" s="11" t="n">
        <v>0.00700509259259259</v>
      </c>
      <c r="G796" s="12" t="n">
        <v>343</v>
      </c>
      <c r="H796" s="11"/>
      <c r="I796" s="12"/>
      <c r="J796" s="12" t="n">
        <f aca="false">COUNT(E796,G796,I796)</f>
        <v>1</v>
      </c>
      <c r="K796" s="13" t="n">
        <f aca="false">MIN(E796,G796,I796)</f>
        <v>343</v>
      </c>
      <c r="L796" s="9" t="str">
        <f aca="false">IF(E796=K796,"5000m",IF(G796=K796,"3000mSC","1500m"))</f>
        <v>3000mSC</v>
      </c>
      <c r="M796" s="14" t="n">
        <f aca="false">(D796&lt;&gt;"")*(D796&lt;=($E$3*60+$F$3)/86400)+(F796&lt;&gt;"")*(F796&lt;=($I$3*60+$J$3)/86400)+(H796&lt;&gt;"")*(H796&lt;=($M$3*60+$N$3)/86400)</f>
        <v>0</v>
      </c>
      <c r="N796" s="16"/>
      <c r="O796" s="15"/>
    </row>
    <row r="797" customFormat="false" ht="15" hidden="false" customHeight="false" outlineLevel="0" collapsed="false">
      <c r="A797" s="9" t="n">
        <v>791</v>
      </c>
      <c r="B797" s="10" t="s">
        <v>1167</v>
      </c>
      <c r="C797" s="10" t="s">
        <v>29</v>
      </c>
      <c r="D797" s="11" t="n">
        <v>0.0105041666666667</v>
      </c>
      <c r="E797" s="12" t="n">
        <v>344</v>
      </c>
      <c r="F797" s="11"/>
      <c r="G797" s="12"/>
      <c r="H797" s="11" t="n">
        <v>0.00281712962962963</v>
      </c>
      <c r="I797" s="12" t="n">
        <v>351</v>
      </c>
      <c r="J797" s="12" t="n">
        <f aca="false">COUNT(E797,G797,I797)</f>
        <v>2</v>
      </c>
      <c r="K797" s="13" t="n">
        <f aca="false">MIN(E797,G797,I797)</f>
        <v>344</v>
      </c>
      <c r="L797" s="9" t="str">
        <f aca="false">IF(E797=K797,"5000m",IF(G797=K797,"3000mSC","1500m"))</f>
        <v>5000m</v>
      </c>
      <c r="M797" s="14" t="n">
        <f aca="false">(D797&lt;&gt;"")*(D797&lt;=($E$3*60+$F$3)/86400)+(F797&lt;&gt;"")*(F797&lt;=($I$3*60+$J$3)/86400)+(H797&lt;&gt;"")*(H797&lt;=($M$3*60+$N$3)/86400)</f>
        <v>0</v>
      </c>
      <c r="N797" s="16"/>
      <c r="O797" s="15"/>
    </row>
    <row r="798" customFormat="false" ht="15" hidden="false" customHeight="false" outlineLevel="0" collapsed="false">
      <c r="A798" s="9" t="n">
        <v>792</v>
      </c>
      <c r="B798" s="10" t="s">
        <v>1168</v>
      </c>
      <c r="C798" s="10" t="s">
        <v>208</v>
      </c>
      <c r="D798" s="11" t="n">
        <v>0.0105350694444444</v>
      </c>
      <c r="E798" s="12" t="n">
        <v>377</v>
      </c>
      <c r="F798" s="11"/>
      <c r="G798" s="12"/>
      <c r="H798" s="11" t="n">
        <v>0.00281574074074074</v>
      </c>
      <c r="I798" s="12" t="n">
        <v>344</v>
      </c>
      <c r="J798" s="12" t="n">
        <f aca="false">COUNT(E798,G798,I798)</f>
        <v>2</v>
      </c>
      <c r="K798" s="13" t="n">
        <f aca="false">MIN(E798,G798,I798)</f>
        <v>344</v>
      </c>
      <c r="L798" s="9" t="str">
        <f aca="false">IF(E798=K798,"5000m",IF(G798=K798,"3000mSC","1500m"))</f>
        <v>1500m</v>
      </c>
      <c r="M798" s="14" t="n">
        <f aca="false">(D798&lt;&gt;"")*(D798&lt;=($E$3*60+$F$3)/86400)+(F798&lt;&gt;"")*(F798&lt;=($I$3*60+$J$3)/86400)+(H798&lt;&gt;"")*(H798&lt;=($M$3*60+$N$3)/86400)</f>
        <v>0</v>
      </c>
      <c r="N798" s="16"/>
      <c r="O798" s="15"/>
    </row>
    <row r="799" customFormat="false" ht="25.35" hidden="false" customHeight="false" outlineLevel="0" collapsed="false">
      <c r="A799" s="9" t="n">
        <v>793</v>
      </c>
      <c r="B799" s="10" t="s">
        <v>1169</v>
      </c>
      <c r="C799" s="10" t="s">
        <v>1170</v>
      </c>
      <c r="D799" s="11"/>
      <c r="E799" s="12"/>
      <c r="F799" s="11" t="n">
        <v>0.00700601851851852</v>
      </c>
      <c r="G799" s="12" t="n">
        <v>344</v>
      </c>
      <c r="H799" s="11"/>
      <c r="I799" s="12"/>
      <c r="J799" s="12" t="n">
        <f aca="false">COUNT(E799,G799,I799)</f>
        <v>1</v>
      </c>
      <c r="K799" s="13" t="n">
        <f aca="false">MIN(E799,G799,I799)</f>
        <v>344</v>
      </c>
      <c r="L799" s="9" t="str">
        <f aca="false">IF(E799=K799,"5000m",IF(G799=K799,"3000mSC","1500m"))</f>
        <v>3000mSC</v>
      </c>
      <c r="M799" s="14" t="n">
        <f aca="false">(D799&lt;&gt;"")*(D799&lt;=($E$3*60+$F$3)/86400)+(F799&lt;&gt;"")*(F799&lt;=($I$3*60+$J$3)/86400)+(H799&lt;&gt;"")*(H799&lt;=($M$3*60+$N$3)/86400)</f>
        <v>0</v>
      </c>
      <c r="N799" s="16"/>
      <c r="O799" s="15"/>
    </row>
    <row r="800" customFormat="false" ht="25.35" hidden="false" customHeight="false" outlineLevel="0" collapsed="false">
      <c r="A800" s="9" t="n">
        <v>794</v>
      </c>
      <c r="B800" s="10" t="s">
        <v>1171</v>
      </c>
      <c r="C800" s="10" t="s">
        <v>79</v>
      </c>
      <c r="D800" s="11" t="n">
        <v>0.0107076388888889</v>
      </c>
      <c r="E800" s="12" t="n">
        <v>594</v>
      </c>
      <c r="F800" s="11" t="n">
        <v>0.00700706018518519</v>
      </c>
      <c r="G800" s="12" t="n">
        <v>345</v>
      </c>
      <c r="H800" s="11" t="n">
        <v>0.00293472222222222</v>
      </c>
      <c r="I800" s="12" t="n">
        <v>1185</v>
      </c>
      <c r="J800" s="12" t="n">
        <f aca="false">COUNT(E800,G800,I800)</f>
        <v>3</v>
      </c>
      <c r="K800" s="13" t="n">
        <f aca="false">MIN(E800,G800,I800)</f>
        <v>345</v>
      </c>
      <c r="L800" s="9" t="str">
        <f aca="false">IF(E800=K800,"5000m",IF(G800=K800,"3000mSC","1500m"))</f>
        <v>3000mSC</v>
      </c>
      <c r="M800" s="14" t="n">
        <f aca="false">(D800&lt;&gt;"")*(D800&lt;=($E$3*60+$F$3)/86400)+(F800&lt;&gt;"")*(F800&lt;=($I$3*60+$J$3)/86400)+(H800&lt;&gt;"")*(H800&lt;=($M$3*60+$N$3)/86400)</f>
        <v>0</v>
      </c>
      <c r="N800" s="16"/>
      <c r="O800" s="15"/>
    </row>
    <row r="801" customFormat="false" ht="15" hidden="false" customHeight="false" outlineLevel="0" collapsed="false">
      <c r="A801" s="9" t="n">
        <v>795</v>
      </c>
      <c r="B801" s="10" t="s">
        <v>1172</v>
      </c>
      <c r="C801" s="10" t="s">
        <v>460</v>
      </c>
      <c r="D801" s="11" t="n">
        <v>0.0105046296296296</v>
      </c>
      <c r="E801" s="12" t="n">
        <v>345</v>
      </c>
      <c r="F801" s="11"/>
      <c r="G801" s="12"/>
      <c r="H801" s="11" t="n">
        <v>0.002940625</v>
      </c>
      <c r="I801" s="12" t="n">
        <v>1201</v>
      </c>
      <c r="J801" s="12" t="n">
        <f aca="false">COUNT(E801,G801,I801)</f>
        <v>2</v>
      </c>
      <c r="K801" s="13" t="n">
        <f aca="false">MIN(E801,G801,I801)</f>
        <v>345</v>
      </c>
      <c r="L801" s="9" t="str">
        <f aca="false">IF(E801=K801,"5000m",IF(G801=K801,"3000mSC","1500m"))</f>
        <v>5000m</v>
      </c>
      <c r="M801" s="14" t="n">
        <f aca="false">(D801&lt;&gt;"")*(D801&lt;=($E$3*60+$F$3)/86400)+(F801&lt;&gt;"")*(F801&lt;=($I$3*60+$J$3)/86400)+(H801&lt;&gt;"")*(H801&lt;=($M$3*60+$N$3)/86400)</f>
        <v>0</v>
      </c>
      <c r="N801" s="16"/>
      <c r="O801" s="15"/>
    </row>
    <row r="802" customFormat="false" ht="15" hidden="false" customHeight="false" outlineLevel="0" collapsed="false">
      <c r="A802" s="9" t="n">
        <v>796</v>
      </c>
      <c r="B802" s="10" t="s">
        <v>1173</v>
      </c>
      <c r="C802" s="10" t="s">
        <v>1174</v>
      </c>
      <c r="D802" s="11"/>
      <c r="E802" s="12"/>
      <c r="F802" s="11"/>
      <c r="G802" s="12"/>
      <c r="H802" s="11" t="n">
        <v>0.00281631944444445</v>
      </c>
      <c r="I802" s="12" t="n">
        <v>345</v>
      </c>
      <c r="J802" s="12" t="n">
        <f aca="false">COUNT(E802,G802,I802)</f>
        <v>1</v>
      </c>
      <c r="K802" s="13" t="n">
        <f aca="false">MIN(E802,G802,I802)</f>
        <v>345</v>
      </c>
      <c r="L802" s="9" t="str">
        <f aca="false">IF(E802=K802,"5000m",IF(G802=K802,"3000mSC","1500m"))</f>
        <v>1500m</v>
      </c>
      <c r="M802" s="14" t="n">
        <f aca="false">(D802&lt;&gt;"")*(D802&lt;=($E$3*60+$F$3)/86400)+(F802&lt;&gt;"")*(F802&lt;=($I$3*60+$J$3)/86400)+(H802&lt;&gt;"")*(H802&lt;=($M$3*60+$N$3)/86400)</f>
        <v>0</v>
      </c>
      <c r="N802" s="16"/>
      <c r="O802" s="15"/>
    </row>
    <row r="803" customFormat="false" ht="15" hidden="false" customHeight="false" outlineLevel="0" collapsed="false">
      <c r="A803" s="9" t="n">
        <v>797</v>
      </c>
      <c r="B803" s="10" t="s">
        <v>1175</v>
      </c>
      <c r="C803" s="10" t="s">
        <v>179</v>
      </c>
      <c r="D803" s="11" t="n">
        <v>0.0105052083333333</v>
      </c>
      <c r="E803" s="12" t="n">
        <v>346</v>
      </c>
      <c r="F803" s="11"/>
      <c r="G803" s="12"/>
      <c r="H803" s="11"/>
      <c r="I803" s="12"/>
      <c r="J803" s="12" t="n">
        <f aca="false">COUNT(E803,G803,I803)</f>
        <v>1</v>
      </c>
      <c r="K803" s="13" t="n">
        <f aca="false">MIN(E803,G803,I803)</f>
        <v>346</v>
      </c>
      <c r="L803" s="9" t="str">
        <f aca="false">IF(E803=K803,"5000m",IF(G803=K803,"3000mSC","1500m"))</f>
        <v>5000m</v>
      </c>
      <c r="M803" s="14" t="n">
        <f aca="false">(D803&lt;&gt;"")*(D803&lt;=($E$3*60+$F$3)/86400)+(F803&lt;&gt;"")*(F803&lt;=($I$3*60+$J$3)/86400)+(H803&lt;&gt;"")*(H803&lt;=($M$3*60+$N$3)/86400)</f>
        <v>0</v>
      </c>
      <c r="N803" s="16"/>
      <c r="O803" s="15"/>
    </row>
    <row r="804" customFormat="false" ht="25.35" hidden="false" customHeight="false" outlineLevel="0" collapsed="false">
      <c r="A804" s="9" t="n">
        <v>798</v>
      </c>
      <c r="B804" s="10" t="s">
        <v>1176</v>
      </c>
      <c r="C804" s="10" t="s">
        <v>1177</v>
      </c>
      <c r="D804" s="11"/>
      <c r="E804" s="12"/>
      <c r="F804" s="11" t="n">
        <v>0.00700949074074074</v>
      </c>
      <c r="G804" s="12" t="n">
        <v>346</v>
      </c>
      <c r="H804" s="11"/>
      <c r="I804" s="12"/>
      <c r="J804" s="12" t="n">
        <f aca="false">COUNT(E804,G804,I804)</f>
        <v>1</v>
      </c>
      <c r="K804" s="13" t="n">
        <f aca="false">MIN(E804,G804,I804)</f>
        <v>346</v>
      </c>
      <c r="L804" s="9" t="str">
        <f aca="false">IF(E804=K804,"5000m",IF(G804=K804,"3000mSC","1500m"))</f>
        <v>3000mSC</v>
      </c>
      <c r="M804" s="14" t="n">
        <f aca="false">(D804&lt;&gt;"")*(D804&lt;=($E$3*60+$F$3)/86400)+(F804&lt;&gt;"")*(F804&lt;=($I$3*60+$J$3)/86400)+(H804&lt;&gt;"")*(H804&lt;=($M$3*60+$N$3)/86400)</f>
        <v>0</v>
      </c>
      <c r="N804" s="16"/>
      <c r="O804" s="15"/>
    </row>
    <row r="805" customFormat="false" ht="15" hidden="false" customHeight="false" outlineLevel="0" collapsed="false">
      <c r="A805" s="9" t="n">
        <v>799</v>
      </c>
      <c r="B805" s="10" t="s">
        <v>1178</v>
      </c>
      <c r="C805" s="10" t="s">
        <v>523</v>
      </c>
      <c r="D805" s="11" t="n">
        <v>0.010505787037037</v>
      </c>
      <c r="E805" s="12" t="n">
        <v>347</v>
      </c>
      <c r="F805" s="11"/>
      <c r="G805" s="12"/>
      <c r="H805" s="11"/>
      <c r="I805" s="12"/>
      <c r="J805" s="12" t="n">
        <f aca="false">COUNT(E805,G805,I805)</f>
        <v>1</v>
      </c>
      <c r="K805" s="13" t="n">
        <f aca="false">MIN(E805,G805,I805)</f>
        <v>347</v>
      </c>
      <c r="L805" s="9" t="str">
        <f aca="false">IF(E805=K805,"5000m",IF(G805=K805,"3000mSC","1500m"))</f>
        <v>5000m</v>
      </c>
      <c r="M805" s="14" t="n">
        <f aca="false">(D805&lt;&gt;"")*(D805&lt;=($E$3*60+$F$3)/86400)+(F805&lt;&gt;"")*(F805&lt;=($I$3*60+$J$3)/86400)+(H805&lt;&gt;"")*(H805&lt;=($M$3*60+$N$3)/86400)</f>
        <v>0</v>
      </c>
      <c r="N805" s="16"/>
      <c r="O805" s="15"/>
    </row>
    <row r="806" customFormat="false" ht="25.35" hidden="false" customHeight="false" outlineLevel="0" collapsed="false">
      <c r="A806" s="9" t="n">
        <v>800</v>
      </c>
      <c r="B806" s="10" t="s">
        <v>1179</v>
      </c>
      <c r="C806" s="10" t="s">
        <v>1180</v>
      </c>
      <c r="D806" s="11"/>
      <c r="E806" s="12"/>
      <c r="F806" s="11" t="n">
        <v>0.00701053240740741</v>
      </c>
      <c r="G806" s="12" t="n">
        <v>347</v>
      </c>
      <c r="H806" s="11"/>
      <c r="I806" s="12"/>
      <c r="J806" s="12" t="n">
        <f aca="false">COUNT(E806,G806,I806)</f>
        <v>1</v>
      </c>
      <c r="K806" s="13" t="n">
        <f aca="false">MIN(E806,G806,I806)</f>
        <v>347</v>
      </c>
      <c r="L806" s="9" t="str">
        <f aca="false">IF(E806=K806,"5000m",IF(G806=K806,"3000mSC","1500m"))</f>
        <v>3000mSC</v>
      </c>
      <c r="M806" s="14" t="n">
        <f aca="false">(D806&lt;&gt;"")*(D806&lt;=($E$3*60+$F$3)/86400)+(F806&lt;&gt;"")*(F806&lt;=($I$3*60+$J$3)/86400)+(H806&lt;&gt;"")*(H806&lt;=($M$3*60+$N$3)/86400)</f>
        <v>0</v>
      </c>
      <c r="N806" s="16"/>
      <c r="O806" s="15"/>
    </row>
    <row r="807" customFormat="false" ht="15" hidden="false" customHeight="false" outlineLevel="0" collapsed="false">
      <c r="A807" s="9" t="n">
        <v>801</v>
      </c>
      <c r="B807" s="10" t="s">
        <v>1181</v>
      </c>
      <c r="C807" s="10" t="s">
        <v>29</v>
      </c>
      <c r="D807" s="11" t="n">
        <v>0.0106325231481482</v>
      </c>
      <c r="E807" s="12" t="n">
        <v>506</v>
      </c>
      <c r="F807" s="11"/>
      <c r="G807" s="12"/>
      <c r="H807" s="11" t="n">
        <v>0.00281655092592593</v>
      </c>
      <c r="I807" s="12" t="n">
        <v>348</v>
      </c>
      <c r="J807" s="12" t="n">
        <f aca="false">COUNT(E807,G807,I807)</f>
        <v>2</v>
      </c>
      <c r="K807" s="13" t="n">
        <f aca="false">MIN(E807,G807,I807)</f>
        <v>348</v>
      </c>
      <c r="L807" s="9" t="str">
        <f aca="false">IF(E807=K807,"5000m",IF(G807=K807,"3000mSC","1500m"))</f>
        <v>1500m</v>
      </c>
      <c r="M807" s="14" t="n">
        <f aca="false">(D807&lt;&gt;"")*(D807&lt;=($E$3*60+$F$3)/86400)+(F807&lt;&gt;"")*(F807&lt;=($I$3*60+$J$3)/86400)+(H807&lt;&gt;"")*(H807&lt;=($M$3*60+$N$3)/86400)</f>
        <v>0</v>
      </c>
      <c r="N807" s="16"/>
      <c r="O807" s="15"/>
    </row>
    <row r="808" customFormat="false" ht="25.35" hidden="false" customHeight="false" outlineLevel="0" collapsed="false">
      <c r="A808" s="9" t="n">
        <v>802</v>
      </c>
      <c r="B808" s="10" t="s">
        <v>1182</v>
      </c>
      <c r="C808" s="10" t="s">
        <v>1183</v>
      </c>
      <c r="D808" s="11"/>
      <c r="E808" s="12"/>
      <c r="F808" s="11" t="n">
        <v>0.00701053240740741</v>
      </c>
      <c r="G808" s="12" t="n">
        <v>348</v>
      </c>
      <c r="H808" s="11"/>
      <c r="I808" s="12"/>
      <c r="J808" s="12" t="n">
        <f aca="false">COUNT(E808,G808,I808)</f>
        <v>1</v>
      </c>
      <c r="K808" s="13" t="n">
        <f aca="false">MIN(E808,G808,I808)</f>
        <v>348</v>
      </c>
      <c r="L808" s="9" t="str">
        <f aca="false">IF(E808=K808,"5000m",IF(G808=K808,"3000mSC","1500m"))</f>
        <v>3000mSC</v>
      </c>
      <c r="M808" s="14" t="n">
        <f aca="false">(D808&lt;&gt;"")*(D808&lt;=($E$3*60+$F$3)/86400)+(F808&lt;&gt;"")*(F808&lt;=($I$3*60+$J$3)/86400)+(H808&lt;&gt;"")*(H808&lt;=($M$3*60+$N$3)/86400)</f>
        <v>0</v>
      </c>
      <c r="N808" s="16"/>
      <c r="O808" s="15"/>
    </row>
    <row r="809" customFormat="false" ht="15" hidden="false" customHeight="false" outlineLevel="0" collapsed="false">
      <c r="A809" s="9" t="n">
        <v>803</v>
      </c>
      <c r="B809" s="10" t="s">
        <v>1184</v>
      </c>
      <c r="C809" s="10" t="s">
        <v>1065</v>
      </c>
      <c r="D809" s="11" t="n">
        <v>0.0105109953703704</v>
      </c>
      <c r="E809" s="12" t="n">
        <v>349</v>
      </c>
      <c r="F809" s="11"/>
      <c r="G809" s="12"/>
      <c r="H809" s="11" t="n">
        <v>0.00290497685185185</v>
      </c>
      <c r="I809" s="12" t="n">
        <v>983</v>
      </c>
      <c r="J809" s="12" t="n">
        <f aca="false">COUNT(E809,G809,I809)</f>
        <v>2</v>
      </c>
      <c r="K809" s="13" t="n">
        <f aca="false">MIN(E809,G809,I809)</f>
        <v>349</v>
      </c>
      <c r="L809" s="9" t="str">
        <f aca="false">IF(E809=K809,"5000m",IF(G809=K809,"3000mSC","1500m"))</f>
        <v>5000m</v>
      </c>
      <c r="M809" s="14" t="n">
        <f aca="false">(D809&lt;&gt;"")*(D809&lt;=($E$3*60+$F$3)/86400)+(F809&lt;&gt;"")*(F809&lt;=($I$3*60+$J$3)/86400)+(H809&lt;&gt;"")*(H809&lt;=($M$3*60+$N$3)/86400)</f>
        <v>0</v>
      </c>
      <c r="N809" s="16"/>
      <c r="O809" s="15"/>
    </row>
    <row r="810" customFormat="false" ht="25.35" hidden="false" customHeight="false" outlineLevel="0" collapsed="false">
      <c r="A810" s="9" t="n">
        <v>804</v>
      </c>
      <c r="B810" s="10" t="s">
        <v>1185</v>
      </c>
      <c r="C810" s="10" t="s">
        <v>1186</v>
      </c>
      <c r="D810" s="11"/>
      <c r="E810" s="12"/>
      <c r="F810" s="11" t="n">
        <v>0.00701215277777778</v>
      </c>
      <c r="G810" s="12" t="n">
        <v>349</v>
      </c>
      <c r="H810" s="11"/>
      <c r="I810" s="12"/>
      <c r="J810" s="12" t="n">
        <f aca="false">COUNT(E810,G810,I810)</f>
        <v>1</v>
      </c>
      <c r="K810" s="13" t="n">
        <f aca="false">MIN(E810,G810,I810)</f>
        <v>349</v>
      </c>
      <c r="L810" s="9" t="str">
        <f aca="false">IF(E810=K810,"5000m",IF(G810=K810,"3000mSC","1500m"))</f>
        <v>3000mSC</v>
      </c>
      <c r="M810" s="14" t="n">
        <f aca="false">(D810&lt;&gt;"")*(D810&lt;=($E$3*60+$F$3)/86400)+(F810&lt;&gt;"")*(F810&lt;=($I$3*60+$J$3)/86400)+(H810&lt;&gt;"")*(H810&lt;=($M$3*60+$N$3)/86400)</f>
        <v>0</v>
      </c>
      <c r="N810" s="16"/>
      <c r="O810" s="15"/>
    </row>
    <row r="811" customFormat="false" ht="15" hidden="false" customHeight="false" outlineLevel="0" collapsed="false">
      <c r="A811" s="9" t="n">
        <v>805</v>
      </c>
      <c r="B811" s="10" t="s">
        <v>1187</v>
      </c>
      <c r="C811" s="10" t="s">
        <v>1188</v>
      </c>
      <c r="D811" s="11"/>
      <c r="E811" s="12"/>
      <c r="F811" s="11"/>
      <c r="G811" s="12"/>
      <c r="H811" s="11" t="n">
        <v>0.00281689814814815</v>
      </c>
      <c r="I811" s="12" t="n">
        <v>349</v>
      </c>
      <c r="J811" s="12" t="n">
        <f aca="false">COUNT(E811,G811,I811)</f>
        <v>1</v>
      </c>
      <c r="K811" s="13" t="n">
        <f aca="false">MIN(E811,G811,I811)</f>
        <v>349</v>
      </c>
      <c r="L811" s="9" t="str">
        <f aca="false">IF(E811=K811,"5000m",IF(G811=K811,"3000mSC","1500m"))</f>
        <v>1500m</v>
      </c>
      <c r="M811" s="14" t="n">
        <f aca="false">(D811&lt;&gt;"")*(D811&lt;=($E$3*60+$F$3)/86400)+(F811&lt;&gt;"")*(F811&lt;=($I$3*60+$J$3)/86400)+(H811&lt;&gt;"")*(H811&lt;=($M$3*60+$N$3)/86400)</f>
        <v>0</v>
      </c>
      <c r="N811" s="16"/>
      <c r="O811" s="15"/>
    </row>
    <row r="812" customFormat="false" ht="15" hidden="false" customHeight="false" outlineLevel="0" collapsed="false">
      <c r="A812" s="9" t="n">
        <v>806</v>
      </c>
      <c r="B812" s="10" t="s">
        <v>1189</v>
      </c>
      <c r="C812" s="10" t="s">
        <v>156</v>
      </c>
      <c r="D812" s="11" t="n">
        <v>0.0105109953703704</v>
      </c>
      <c r="E812" s="12" t="n">
        <v>350</v>
      </c>
      <c r="F812" s="11" t="n">
        <v>0.00703599537037037</v>
      </c>
      <c r="G812" s="12" t="n">
        <v>367</v>
      </c>
      <c r="H812" s="11"/>
      <c r="I812" s="12"/>
      <c r="J812" s="12" t="n">
        <f aca="false">COUNT(E812,G812,I812)</f>
        <v>2</v>
      </c>
      <c r="K812" s="13" t="n">
        <f aca="false">MIN(E812,G812,I812)</f>
        <v>350</v>
      </c>
      <c r="L812" s="9" t="str">
        <f aca="false">IF(E812=K812,"5000m",IF(G812=K812,"3000mSC","1500m"))</f>
        <v>5000m</v>
      </c>
      <c r="M812" s="14" t="n">
        <f aca="false">(D812&lt;&gt;"")*(D812&lt;=($E$3*60+$F$3)/86400)+(F812&lt;&gt;"")*(F812&lt;=($I$3*60+$J$3)/86400)+(H812&lt;&gt;"")*(H812&lt;=($M$3*60+$N$3)/86400)</f>
        <v>0</v>
      </c>
      <c r="N812" s="16"/>
      <c r="O812" s="15"/>
    </row>
    <row r="813" customFormat="false" ht="25.35" hidden="false" customHeight="false" outlineLevel="0" collapsed="false">
      <c r="A813" s="9" t="n">
        <v>807</v>
      </c>
      <c r="B813" s="10" t="s">
        <v>1190</v>
      </c>
      <c r="C813" s="10" t="s">
        <v>1191</v>
      </c>
      <c r="D813" s="11"/>
      <c r="E813" s="12"/>
      <c r="F813" s="11" t="n">
        <v>0.00701273148148148</v>
      </c>
      <c r="G813" s="12" t="n">
        <v>350</v>
      </c>
      <c r="H813" s="11"/>
      <c r="I813" s="12"/>
      <c r="J813" s="12" t="n">
        <f aca="false">COUNT(E813,G813,I813)</f>
        <v>1</v>
      </c>
      <c r="K813" s="13" t="n">
        <f aca="false">MIN(E813,G813,I813)</f>
        <v>350</v>
      </c>
      <c r="L813" s="9" t="str">
        <f aca="false">IF(E813=K813,"5000m",IF(G813=K813,"3000mSC","1500m"))</f>
        <v>3000mSC</v>
      </c>
      <c r="M813" s="14" t="n">
        <f aca="false">(D813&lt;&gt;"")*(D813&lt;=($E$3*60+$F$3)/86400)+(F813&lt;&gt;"")*(F813&lt;=($I$3*60+$J$3)/86400)+(H813&lt;&gt;"")*(H813&lt;=($M$3*60+$N$3)/86400)</f>
        <v>0</v>
      </c>
      <c r="N813" s="16"/>
      <c r="O813" s="15"/>
    </row>
    <row r="814" customFormat="false" ht="15" hidden="false" customHeight="false" outlineLevel="0" collapsed="false">
      <c r="A814" s="9" t="n">
        <v>808</v>
      </c>
      <c r="B814" s="10" t="s">
        <v>1192</v>
      </c>
      <c r="C814" s="10" t="s">
        <v>181</v>
      </c>
      <c r="D814" s="11"/>
      <c r="E814" s="12"/>
      <c r="F814" s="11"/>
      <c r="G814" s="12"/>
      <c r="H814" s="11" t="n">
        <v>0.00281689814814815</v>
      </c>
      <c r="I814" s="12" t="n">
        <v>350</v>
      </c>
      <c r="J814" s="12" t="n">
        <f aca="false">COUNT(E814,G814,I814)</f>
        <v>1</v>
      </c>
      <c r="K814" s="13" t="n">
        <f aca="false">MIN(E814,G814,I814)</f>
        <v>350</v>
      </c>
      <c r="L814" s="9" t="str">
        <f aca="false">IF(E814=K814,"5000m",IF(G814=K814,"3000mSC","1500m"))</f>
        <v>1500m</v>
      </c>
      <c r="M814" s="14" t="n">
        <f aca="false">(D814&lt;&gt;"")*(D814&lt;=($E$3*60+$F$3)/86400)+(F814&lt;&gt;"")*(F814&lt;=($I$3*60+$J$3)/86400)+(H814&lt;&gt;"")*(H814&lt;=($M$3*60+$N$3)/86400)</f>
        <v>0</v>
      </c>
      <c r="N814" s="16"/>
      <c r="O814" s="15"/>
    </row>
    <row r="815" customFormat="false" ht="25.35" hidden="false" customHeight="false" outlineLevel="0" collapsed="false">
      <c r="A815" s="9" t="n">
        <v>809</v>
      </c>
      <c r="B815" s="10" t="s">
        <v>1193</v>
      </c>
      <c r="C815" s="10" t="s">
        <v>1194</v>
      </c>
      <c r="D815" s="11"/>
      <c r="E815" s="12"/>
      <c r="F815" s="11" t="n">
        <v>0.00701516203703704</v>
      </c>
      <c r="G815" s="12" t="n">
        <v>351</v>
      </c>
      <c r="H815" s="11"/>
      <c r="I815" s="12"/>
      <c r="J815" s="12" t="n">
        <f aca="false">COUNT(E815,G815,I815)</f>
        <v>1</v>
      </c>
      <c r="K815" s="13" t="n">
        <f aca="false">MIN(E815,G815,I815)</f>
        <v>351</v>
      </c>
      <c r="L815" s="9" t="str">
        <f aca="false">IF(E815=K815,"5000m",IF(G815=K815,"3000mSC","1500m"))</f>
        <v>3000mSC</v>
      </c>
      <c r="M815" s="14" t="n">
        <f aca="false">(D815&lt;&gt;"")*(D815&lt;=($E$3*60+$F$3)/86400)+(F815&lt;&gt;"")*(F815&lt;=($I$3*60+$J$3)/86400)+(H815&lt;&gt;"")*(H815&lt;=($M$3*60+$N$3)/86400)</f>
        <v>0</v>
      </c>
      <c r="N815" s="16"/>
      <c r="O815" s="15"/>
    </row>
    <row r="816" customFormat="false" ht="25.35" hidden="false" customHeight="false" outlineLevel="0" collapsed="false">
      <c r="A816" s="9" t="n">
        <v>810</v>
      </c>
      <c r="B816" s="10" t="s">
        <v>1195</v>
      </c>
      <c r="C816" s="10" t="s">
        <v>521</v>
      </c>
      <c r="D816" s="11"/>
      <c r="E816" s="12"/>
      <c r="F816" s="11" t="n">
        <v>0.00701574074074074</v>
      </c>
      <c r="G816" s="12" t="n">
        <v>352</v>
      </c>
      <c r="H816" s="11"/>
      <c r="I816" s="12"/>
      <c r="J816" s="12" t="n">
        <f aca="false">COUNT(E816,G816,I816)</f>
        <v>1</v>
      </c>
      <c r="K816" s="13" t="n">
        <f aca="false">MIN(E816,G816,I816)</f>
        <v>352</v>
      </c>
      <c r="L816" s="9" t="str">
        <f aca="false">IF(E816=K816,"5000m",IF(G816=K816,"3000mSC","1500m"))</f>
        <v>3000mSC</v>
      </c>
      <c r="M816" s="14" t="n">
        <f aca="false">(D816&lt;&gt;"")*(D816&lt;=($E$3*60+$F$3)/86400)+(F816&lt;&gt;"")*(F816&lt;=($I$3*60+$J$3)/86400)+(H816&lt;&gt;"")*(H816&lt;=($M$3*60+$N$3)/86400)</f>
        <v>0</v>
      </c>
      <c r="N816" s="16"/>
      <c r="O816" s="15"/>
    </row>
    <row r="817" customFormat="false" ht="15" hidden="false" customHeight="false" outlineLevel="0" collapsed="false">
      <c r="A817" s="9" t="n">
        <v>811</v>
      </c>
      <c r="B817" s="10" t="s">
        <v>1196</v>
      </c>
      <c r="C817" s="10" t="s">
        <v>158</v>
      </c>
      <c r="D817" s="11"/>
      <c r="E817" s="12"/>
      <c r="F817" s="11"/>
      <c r="G817" s="12"/>
      <c r="H817" s="11" t="n">
        <v>0.00281759259259259</v>
      </c>
      <c r="I817" s="12" t="n">
        <v>352</v>
      </c>
      <c r="J817" s="12" t="n">
        <f aca="false">COUNT(E817,G817,I817)</f>
        <v>1</v>
      </c>
      <c r="K817" s="13" t="n">
        <f aca="false">MIN(E817,G817,I817)</f>
        <v>352</v>
      </c>
      <c r="L817" s="9" t="str">
        <f aca="false">IF(E817=K817,"5000m",IF(G817=K817,"3000mSC","1500m"))</f>
        <v>1500m</v>
      </c>
      <c r="M817" s="14" t="n">
        <f aca="false">(D817&lt;&gt;"")*(D817&lt;=($E$3*60+$F$3)/86400)+(F817&lt;&gt;"")*(F817&lt;=($I$3*60+$J$3)/86400)+(H817&lt;&gt;"")*(H817&lt;=($M$3*60+$N$3)/86400)</f>
        <v>0</v>
      </c>
      <c r="N817" s="16"/>
      <c r="O817" s="15"/>
    </row>
    <row r="818" customFormat="false" ht="15" hidden="false" customHeight="false" outlineLevel="0" collapsed="false">
      <c r="A818" s="9" t="n">
        <v>812</v>
      </c>
      <c r="B818" s="10" t="s">
        <v>1197</v>
      </c>
      <c r="C818" s="10" t="s">
        <v>39</v>
      </c>
      <c r="D818" s="11" t="n">
        <v>0.0109229166666667</v>
      </c>
      <c r="E818" s="12" t="n">
        <v>955</v>
      </c>
      <c r="F818" s="11" t="n">
        <v>0.00720891203703704</v>
      </c>
      <c r="G818" s="12" t="n">
        <v>545</v>
      </c>
      <c r="H818" s="11" t="n">
        <v>0.00281759259259259</v>
      </c>
      <c r="I818" s="12" t="n">
        <v>353</v>
      </c>
      <c r="J818" s="12" t="n">
        <f aca="false">COUNT(E818,G818,I818)</f>
        <v>3</v>
      </c>
      <c r="K818" s="13" t="n">
        <f aca="false">MIN(E818,G818,I818)</f>
        <v>353</v>
      </c>
      <c r="L818" s="9" t="str">
        <f aca="false">IF(E818=K818,"5000m",IF(G818=K818,"3000mSC","1500m"))</f>
        <v>1500m</v>
      </c>
      <c r="M818" s="14" t="n">
        <f aca="false">(D818&lt;&gt;"")*(D818&lt;=($E$3*60+$F$3)/86400)+(F818&lt;&gt;"")*(F818&lt;=($I$3*60+$J$3)/86400)+(H818&lt;&gt;"")*(H818&lt;=($M$3*60+$N$3)/86400)</f>
        <v>0</v>
      </c>
      <c r="N818" s="16"/>
      <c r="O818" s="15"/>
    </row>
    <row r="819" customFormat="false" ht="25.35" hidden="false" customHeight="false" outlineLevel="0" collapsed="false">
      <c r="A819" s="9" t="n">
        <v>813</v>
      </c>
      <c r="B819" s="10" t="s">
        <v>1198</v>
      </c>
      <c r="C819" s="10" t="s">
        <v>1199</v>
      </c>
      <c r="D819" s="11" t="n">
        <v>0.010978587962963</v>
      </c>
      <c r="E819" s="12" t="n">
        <v>1053</v>
      </c>
      <c r="F819" s="11" t="n">
        <v>0.00701643518518519</v>
      </c>
      <c r="G819" s="12" t="n">
        <v>353</v>
      </c>
      <c r="H819" s="11"/>
      <c r="I819" s="12"/>
      <c r="J819" s="12" t="n">
        <f aca="false">COUNT(E819,G819,I819)</f>
        <v>2</v>
      </c>
      <c r="K819" s="13" t="n">
        <f aca="false">MIN(E819,G819,I819)</f>
        <v>353</v>
      </c>
      <c r="L819" s="9" t="str">
        <f aca="false">IF(E819=K819,"5000m",IF(G819=K819,"3000mSC","1500m"))</f>
        <v>3000mSC</v>
      </c>
      <c r="M819" s="14" t="n">
        <f aca="false">(D819&lt;&gt;"")*(D819&lt;=($E$3*60+$F$3)/86400)+(F819&lt;&gt;"")*(F819&lt;=($I$3*60+$J$3)/86400)+(H819&lt;&gt;"")*(H819&lt;=($M$3*60+$N$3)/86400)</f>
        <v>0</v>
      </c>
      <c r="N819" s="16"/>
      <c r="O819" s="15"/>
    </row>
    <row r="820" customFormat="false" ht="15" hidden="false" customHeight="false" outlineLevel="0" collapsed="false">
      <c r="A820" s="9" t="n">
        <v>814</v>
      </c>
      <c r="B820" s="10" t="s">
        <v>1200</v>
      </c>
      <c r="C820" s="10" t="s">
        <v>465</v>
      </c>
      <c r="D820" s="11" t="n">
        <v>0.0105849537037037</v>
      </c>
      <c r="E820" s="12" t="n">
        <v>444</v>
      </c>
      <c r="F820" s="11"/>
      <c r="G820" s="12"/>
      <c r="H820" s="11" t="n">
        <v>0.00281782407407407</v>
      </c>
      <c r="I820" s="12" t="n">
        <v>354</v>
      </c>
      <c r="J820" s="12" t="n">
        <f aca="false">COUNT(E820,G820,I820)</f>
        <v>2</v>
      </c>
      <c r="K820" s="13" t="n">
        <f aca="false">MIN(E820,G820,I820)</f>
        <v>354</v>
      </c>
      <c r="L820" s="9" t="str">
        <f aca="false">IF(E820=K820,"5000m",IF(G820=K820,"3000mSC","1500m"))</f>
        <v>1500m</v>
      </c>
      <c r="M820" s="14" t="n">
        <f aca="false">(D820&lt;&gt;"")*(D820&lt;=($E$3*60+$F$3)/86400)+(F820&lt;&gt;"")*(F820&lt;=($I$3*60+$J$3)/86400)+(H820&lt;&gt;"")*(H820&lt;=($M$3*60+$N$3)/86400)</f>
        <v>0</v>
      </c>
      <c r="N820" s="16"/>
      <c r="O820" s="15"/>
    </row>
    <row r="821" customFormat="false" ht="15" hidden="false" customHeight="false" outlineLevel="0" collapsed="false">
      <c r="A821" s="9" t="n">
        <v>815</v>
      </c>
      <c r="B821" s="10" t="s">
        <v>1201</v>
      </c>
      <c r="C821" s="10" t="s">
        <v>179</v>
      </c>
      <c r="D821" s="11" t="n">
        <v>0.0105146990740741</v>
      </c>
      <c r="E821" s="12" t="n">
        <v>356</v>
      </c>
      <c r="F821" s="11"/>
      <c r="G821" s="12"/>
      <c r="H821" s="11"/>
      <c r="I821" s="12"/>
      <c r="J821" s="12" t="n">
        <f aca="false">COUNT(E821,G821,I821)</f>
        <v>1</v>
      </c>
      <c r="K821" s="13" t="n">
        <f aca="false">MIN(E821,G821,I821)</f>
        <v>356</v>
      </c>
      <c r="L821" s="9" t="str">
        <f aca="false">IF(E821=K821,"5000m",IF(G821=K821,"3000mSC","1500m"))</f>
        <v>5000m</v>
      </c>
      <c r="M821" s="14" t="n">
        <f aca="false">(D821&lt;&gt;"")*(D821&lt;=($E$3*60+$F$3)/86400)+(F821&lt;&gt;"")*(F821&lt;=($I$3*60+$J$3)/86400)+(H821&lt;&gt;"")*(H821&lt;=($M$3*60+$N$3)/86400)</f>
        <v>0</v>
      </c>
      <c r="N821" s="16"/>
      <c r="O821" s="15"/>
    </row>
    <row r="822" customFormat="false" ht="25.35" hidden="false" customHeight="false" outlineLevel="0" collapsed="false">
      <c r="A822" s="9" t="n">
        <v>816</v>
      </c>
      <c r="B822" s="10" t="s">
        <v>1202</v>
      </c>
      <c r="C822" s="10" t="s">
        <v>1203</v>
      </c>
      <c r="D822" s="11"/>
      <c r="E822" s="12"/>
      <c r="F822" s="11" t="n">
        <v>0.0070224537037037</v>
      </c>
      <c r="G822" s="12" t="n">
        <v>356</v>
      </c>
      <c r="H822" s="11"/>
      <c r="I822" s="12"/>
      <c r="J822" s="12" t="n">
        <f aca="false">COUNT(E822,G822,I822)</f>
        <v>1</v>
      </c>
      <c r="K822" s="13" t="n">
        <f aca="false">MIN(E822,G822,I822)</f>
        <v>356</v>
      </c>
      <c r="L822" s="9" t="str">
        <f aca="false">IF(E822=K822,"5000m",IF(G822=K822,"3000mSC","1500m"))</f>
        <v>3000mSC</v>
      </c>
      <c r="M822" s="14" t="n">
        <f aca="false">(D822&lt;&gt;"")*(D822&lt;=($E$3*60+$F$3)/86400)+(F822&lt;&gt;"")*(F822&lt;=($I$3*60+$J$3)/86400)+(H822&lt;&gt;"")*(H822&lt;=($M$3*60+$N$3)/86400)</f>
        <v>0</v>
      </c>
      <c r="N822" s="16"/>
      <c r="O822" s="15"/>
    </row>
    <row r="823" customFormat="false" ht="15" hidden="false" customHeight="false" outlineLevel="0" collapsed="false">
      <c r="A823" s="9" t="n">
        <v>817</v>
      </c>
      <c r="B823" s="10" t="s">
        <v>1204</v>
      </c>
      <c r="C823" s="10" t="s">
        <v>1205</v>
      </c>
      <c r="D823" s="11"/>
      <c r="E823" s="12"/>
      <c r="F823" s="11"/>
      <c r="G823" s="12"/>
      <c r="H823" s="11" t="n">
        <v>0.00281840277777778</v>
      </c>
      <c r="I823" s="12" t="n">
        <v>356</v>
      </c>
      <c r="J823" s="12" t="n">
        <f aca="false">COUNT(E823,G823,I823)</f>
        <v>1</v>
      </c>
      <c r="K823" s="13" t="n">
        <f aca="false">MIN(E823,G823,I823)</f>
        <v>356</v>
      </c>
      <c r="L823" s="9" t="str">
        <f aca="false">IF(E823=K823,"5000m",IF(G823=K823,"3000mSC","1500m"))</f>
        <v>1500m</v>
      </c>
      <c r="M823" s="14" t="n">
        <f aca="false">(D823&lt;&gt;"")*(D823&lt;=($E$3*60+$F$3)/86400)+(F823&lt;&gt;"")*(F823&lt;=($I$3*60+$J$3)/86400)+(H823&lt;&gt;"")*(H823&lt;=($M$3*60+$N$3)/86400)</f>
        <v>0</v>
      </c>
      <c r="N823" s="16"/>
      <c r="O823" s="15"/>
    </row>
    <row r="824" customFormat="false" ht="15" hidden="false" customHeight="false" outlineLevel="0" collapsed="false">
      <c r="A824" s="9" t="n">
        <v>818</v>
      </c>
      <c r="B824" s="10" t="s">
        <v>1206</v>
      </c>
      <c r="C824" s="10" t="s">
        <v>87</v>
      </c>
      <c r="D824" s="11" t="n">
        <v>0.0106516203703704</v>
      </c>
      <c r="E824" s="12" t="n">
        <v>527</v>
      </c>
      <c r="F824" s="11"/>
      <c r="G824" s="12"/>
      <c r="H824" s="11" t="n">
        <v>0.00281875</v>
      </c>
      <c r="I824" s="12" t="n">
        <v>357</v>
      </c>
      <c r="J824" s="12" t="n">
        <f aca="false">COUNT(E824,G824,I824)</f>
        <v>2</v>
      </c>
      <c r="K824" s="13" t="n">
        <f aca="false">MIN(E824,G824,I824)</f>
        <v>357</v>
      </c>
      <c r="L824" s="9" t="str">
        <f aca="false">IF(E824=K824,"5000m",IF(G824=K824,"3000mSC","1500m"))</f>
        <v>1500m</v>
      </c>
      <c r="M824" s="14" t="n">
        <f aca="false">(D824&lt;&gt;"")*(D824&lt;=($E$3*60+$F$3)/86400)+(F824&lt;&gt;"")*(F824&lt;=($I$3*60+$J$3)/86400)+(H824&lt;&gt;"")*(H824&lt;=($M$3*60+$N$3)/86400)</f>
        <v>0</v>
      </c>
      <c r="N824" s="16"/>
      <c r="O824" s="15"/>
    </row>
    <row r="825" customFormat="false" ht="25.35" hidden="false" customHeight="false" outlineLevel="0" collapsed="false">
      <c r="A825" s="9" t="n">
        <v>819</v>
      </c>
      <c r="B825" s="10" t="s">
        <v>1207</v>
      </c>
      <c r="C825" s="10" t="s">
        <v>1208</v>
      </c>
      <c r="D825" s="11"/>
      <c r="E825" s="12"/>
      <c r="F825" s="11" t="n">
        <v>0.00702291666666667</v>
      </c>
      <c r="G825" s="12" t="n">
        <v>357</v>
      </c>
      <c r="H825" s="11"/>
      <c r="I825" s="12"/>
      <c r="J825" s="12" t="n">
        <f aca="false">COUNT(E825,G825,I825)</f>
        <v>1</v>
      </c>
      <c r="K825" s="13" t="n">
        <f aca="false">MIN(E825,G825,I825)</f>
        <v>357</v>
      </c>
      <c r="L825" s="9" t="str">
        <f aca="false">IF(E825=K825,"5000m",IF(G825=K825,"3000mSC","1500m"))</f>
        <v>3000mSC</v>
      </c>
      <c r="M825" s="14" t="n">
        <f aca="false">(D825&lt;&gt;"")*(D825&lt;=($E$3*60+$F$3)/86400)+(F825&lt;&gt;"")*(F825&lt;=($I$3*60+$J$3)/86400)+(H825&lt;&gt;"")*(H825&lt;=($M$3*60+$N$3)/86400)</f>
        <v>0</v>
      </c>
      <c r="N825" s="16"/>
      <c r="O825" s="15"/>
    </row>
    <row r="826" customFormat="false" ht="15" hidden="false" customHeight="false" outlineLevel="0" collapsed="false">
      <c r="A826" s="9" t="n">
        <v>820</v>
      </c>
      <c r="B826" s="10" t="s">
        <v>1209</v>
      </c>
      <c r="C826" s="10" t="s">
        <v>1210</v>
      </c>
      <c r="D826" s="11" t="n">
        <v>0.0109570601851852</v>
      </c>
      <c r="E826" s="12" t="n">
        <v>1017</v>
      </c>
      <c r="F826" s="11"/>
      <c r="G826" s="12"/>
      <c r="H826" s="11" t="n">
        <v>0.00281886574074074</v>
      </c>
      <c r="I826" s="12" t="n">
        <v>358</v>
      </c>
      <c r="J826" s="12" t="n">
        <f aca="false">COUNT(E826,G826,I826)</f>
        <v>2</v>
      </c>
      <c r="K826" s="13" t="n">
        <f aca="false">MIN(E826,G826,I826)</f>
        <v>358</v>
      </c>
      <c r="L826" s="9" t="str">
        <f aca="false">IF(E826=K826,"5000m",IF(G826=K826,"3000mSC","1500m"))</f>
        <v>1500m</v>
      </c>
      <c r="M826" s="14" t="n">
        <f aca="false">(D826&lt;&gt;"")*(D826&lt;=($E$3*60+$F$3)/86400)+(F826&lt;&gt;"")*(F826&lt;=($I$3*60+$J$3)/86400)+(H826&lt;&gt;"")*(H826&lt;=($M$3*60+$N$3)/86400)</f>
        <v>0</v>
      </c>
      <c r="N826" s="16"/>
      <c r="O826" s="15"/>
    </row>
    <row r="827" customFormat="false" ht="25.35" hidden="false" customHeight="false" outlineLevel="0" collapsed="false">
      <c r="A827" s="9" t="n">
        <v>821</v>
      </c>
      <c r="B827" s="10" t="s">
        <v>1211</v>
      </c>
      <c r="C827" s="10" t="s">
        <v>1212</v>
      </c>
      <c r="D827" s="11"/>
      <c r="E827" s="12"/>
      <c r="F827" s="11" t="n">
        <v>0.00702291666666667</v>
      </c>
      <c r="G827" s="12" t="n">
        <v>358</v>
      </c>
      <c r="H827" s="11"/>
      <c r="I827" s="12"/>
      <c r="J827" s="12" t="n">
        <f aca="false">COUNT(E827,G827,I827)</f>
        <v>1</v>
      </c>
      <c r="K827" s="13" t="n">
        <f aca="false">MIN(E827,G827,I827)</f>
        <v>358</v>
      </c>
      <c r="L827" s="9" t="str">
        <f aca="false">IF(E827=K827,"5000m",IF(G827=K827,"3000mSC","1500m"))</f>
        <v>3000mSC</v>
      </c>
      <c r="M827" s="14" t="n">
        <f aca="false">(D827&lt;&gt;"")*(D827&lt;=($E$3*60+$F$3)/86400)+(F827&lt;&gt;"")*(F827&lt;=($I$3*60+$J$3)/86400)+(H827&lt;&gt;"")*(H827&lt;=($M$3*60+$N$3)/86400)</f>
        <v>0</v>
      </c>
      <c r="N827" s="16"/>
      <c r="O827" s="15"/>
    </row>
    <row r="828" customFormat="false" ht="15" hidden="false" customHeight="false" outlineLevel="0" collapsed="false">
      <c r="A828" s="9" t="n">
        <v>822</v>
      </c>
      <c r="B828" s="10" t="s">
        <v>1213</v>
      </c>
      <c r="C828" s="10" t="s">
        <v>175</v>
      </c>
      <c r="D828" s="11" t="n">
        <v>0.0105157407407407</v>
      </c>
      <c r="E828" s="12" t="n">
        <v>359</v>
      </c>
      <c r="F828" s="11" t="n">
        <v>0.00706319444444444</v>
      </c>
      <c r="G828" s="12" t="n">
        <v>404</v>
      </c>
      <c r="H828" s="11"/>
      <c r="I828" s="12"/>
      <c r="J828" s="12" t="n">
        <f aca="false">COUNT(E828,G828,I828)</f>
        <v>2</v>
      </c>
      <c r="K828" s="13" t="n">
        <f aca="false">MIN(E828,G828,I828)</f>
        <v>359</v>
      </c>
      <c r="L828" s="9" t="str">
        <f aca="false">IF(E828=K828,"5000m",IF(G828=K828,"3000mSC","1500m"))</f>
        <v>5000m</v>
      </c>
      <c r="M828" s="14" t="n">
        <f aca="false">(D828&lt;&gt;"")*(D828&lt;=($E$3*60+$F$3)/86400)+(F828&lt;&gt;"")*(F828&lt;=($I$3*60+$J$3)/86400)+(H828&lt;&gt;"")*(H828&lt;=($M$3*60+$N$3)/86400)</f>
        <v>0</v>
      </c>
      <c r="N828" s="16"/>
      <c r="O828" s="15"/>
    </row>
    <row r="829" customFormat="false" ht="25.35" hidden="false" customHeight="false" outlineLevel="0" collapsed="false">
      <c r="A829" s="9" t="n">
        <v>823</v>
      </c>
      <c r="B829" s="10" t="s">
        <v>1214</v>
      </c>
      <c r="C829" s="10" t="s">
        <v>577</v>
      </c>
      <c r="D829" s="11" t="n">
        <v>0.011006712962963</v>
      </c>
      <c r="E829" s="12" t="n">
        <v>1104</v>
      </c>
      <c r="F829" s="11" t="n">
        <v>0.00702592592592593</v>
      </c>
      <c r="G829" s="12" t="n">
        <v>359</v>
      </c>
      <c r="H829" s="11"/>
      <c r="I829" s="12"/>
      <c r="J829" s="12" t="n">
        <f aca="false">COUNT(E829,G829,I829)</f>
        <v>2</v>
      </c>
      <c r="K829" s="13" t="n">
        <f aca="false">MIN(E829,G829,I829)</f>
        <v>359</v>
      </c>
      <c r="L829" s="9" t="str">
        <f aca="false">IF(E829=K829,"5000m",IF(G829=K829,"3000mSC","1500m"))</f>
        <v>3000mSC</v>
      </c>
      <c r="M829" s="14" t="n">
        <f aca="false">(D829&lt;&gt;"")*(D829&lt;=($E$3*60+$F$3)/86400)+(F829&lt;&gt;"")*(F829&lt;=($I$3*60+$J$3)/86400)+(H829&lt;&gt;"")*(H829&lt;=($M$3*60+$N$3)/86400)</f>
        <v>0</v>
      </c>
      <c r="N829" s="16"/>
      <c r="O829" s="15"/>
    </row>
    <row r="830" customFormat="false" ht="15" hidden="false" customHeight="false" outlineLevel="0" collapsed="false">
      <c r="A830" s="9" t="n">
        <v>824</v>
      </c>
      <c r="B830" s="10" t="s">
        <v>1215</v>
      </c>
      <c r="C830" s="10" t="s">
        <v>1216</v>
      </c>
      <c r="D830" s="11" t="n">
        <v>0.0110159722222222</v>
      </c>
      <c r="E830" s="12" t="n">
        <v>1119</v>
      </c>
      <c r="F830" s="11"/>
      <c r="G830" s="12"/>
      <c r="H830" s="11" t="n">
        <v>0.00281956018518519</v>
      </c>
      <c r="I830" s="12" t="n">
        <v>361</v>
      </c>
      <c r="J830" s="12" t="n">
        <f aca="false">COUNT(E830,G830,I830)</f>
        <v>2</v>
      </c>
      <c r="K830" s="13" t="n">
        <f aca="false">MIN(E830,G830,I830)</f>
        <v>361</v>
      </c>
      <c r="L830" s="9" t="str">
        <f aca="false">IF(E830=K830,"5000m",IF(G830=K830,"3000mSC","1500m"))</f>
        <v>1500m</v>
      </c>
      <c r="M830" s="14" t="n">
        <f aca="false">(D830&lt;&gt;"")*(D830&lt;=($E$3*60+$F$3)/86400)+(F830&lt;&gt;"")*(F830&lt;=($I$3*60+$J$3)/86400)+(H830&lt;&gt;"")*(H830&lt;=($M$3*60+$N$3)/86400)</f>
        <v>0</v>
      </c>
      <c r="N830" s="16"/>
      <c r="O830" s="15"/>
    </row>
    <row r="831" customFormat="false" ht="25.35" hidden="false" customHeight="false" outlineLevel="0" collapsed="false">
      <c r="A831" s="9" t="n">
        <v>825</v>
      </c>
      <c r="B831" s="10" t="s">
        <v>1217</v>
      </c>
      <c r="C831" s="10" t="s">
        <v>570</v>
      </c>
      <c r="D831" s="11"/>
      <c r="E831" s="12"/>
      <c r="F831" s="11" t="n">
        <v>0.00702662037037037</v>
      </c>
      <c r="G831" s="12" t="n">
        <v>361</v>
      </c>
      <c r="H831" s="11"/>
      <c r="I831" s="12"/>
      <c r="J831" s="12" t="n">
        <f aca="false">COUNT(E831,G831,I831)</f>
        <v>1</v>
      </c>
      <c r="K831" s="13" t="n">
        <f aca="false">MIN(E831,G831,I831)</f>
        <v>361</v>
      </c>
      <c r="L831" s="9" t="str">
        <f aca="false">IF(E831=K831,"5000m",IF(G831=K831,"3000mSC","1500m"))</f>
        <v>3000mSC</v>
      </c>
      <c r="M831" s="14" t="n">
        <f aca="false">(D831&lt;&gt;"")*(D831&lt;=($E$3*60+$F$3)/86400)+(F831&lt;&gt;"")*(F831&lt;=($I$3*60+$J$3)/86400)+(H831&lt;&gt;"")*(H831&lt;=($M$3*60+$N$3)/86400)</f>
        <v>0</v>
      </c>
      <c r="N831" s="16"/>
      <c r="O831" s="15"/>
    </row>
    <row r="832" customFormat="false" ht="25.35" hidden="false" customHeight="false" outlineLevel="0" collapsed="false">
      <c r="A832" s="9" t="n">
        <v>826</v>
      </c>
      <c r="B832" s="10" t="s">
        <v>1218</v>
      </c>
      <c r="C832" s="10" t="s">
        <v>1219</v>
      </c>
      <c r="D832" s="11"/>
      <c r="E832" s="12"/>
      <c r="F832" s="11" t="n">
        <v>0.00702708333333333</v>
      </c>
      <c r="G832" s="12" t="n">
        <v>362</v>
      </c>
      <c r="H832" s="11" t="n">
        <v>0.00290983796296296</v>
      </c>
      <c r="I832" s="12" t="n">
        <v>1018</v>
      </c>
      <c r="J832" s="12" t="n">
        <f aca="false">COUNT(E832,G832,I832)</f>
        <v>2</v>
      </c>
      <c r="K832" s="13" t="n">
        <f aca="false">MIN(E832,G832,I832)</f>
        <v>362</v>
      </c>
      <c r="L832" s="9" t="str">
        <f aca="false">IF(E832=K832,"5000m",IF(G832=K832,"3000mSC","1500m"))</f>
        <v>3000mSC</v>
      </c>
      <c r="M832" s="14" t="n">
        <f aca="false">(D832&lt;&gt;"")*(D832&lt;=($E$3*60+$F$3)/86400)+(F832&lt;&gt;"")*(F832&lt;=($I$3*60+$J$3)/86400)+(H832&lt;&gt;"")*(H832&lt;=($M$3*60+$N$3)/86400)</f>
        <v>0</v>
      </c>
      <c r="N832" s="16"/>
      <c r="O832" s="15"/>
    </row>
    <row r="833" customFormat="false" ht="15" hidden="false" customHeight="false" outlineLevel="0" collapsed="false">
      <c r="A833" s="9" t="n">
        <v>827</v>
      </c>
      <c r="B833" s="10" t="s">
        <v>1220</v>
      </c>
      <c r="C833" s="10" t="s">
        <v>445</v>
      </c>
      <c r="D833" s="11" t="n">
        <v>0.0110284722222222</v>
      </c>
      <c r="E833" s="12" t="n">
        <v>1148</v>
      </c>
      <c r="F833" s="11" t="n">
        <v>0.00709537037037037</v>
      </c>
      <c r="G833" s="12" t="n">
        <v>443</v>
      </c>
      <c r="H833" s="11" t="n">
        <v>0.00282037037037037</v>
      </c>
      <c r="I833" s="12" t="n">
        <v>363</v>
      </c>
      <c r="J833" s="12" t="n">
        <f aca="false">COUNT(E833,G833,I833)</f>
        <v>3</v>
      </c>
      <c r="K833" s="13" t="n">
        <f aca="false">MIN(E833,G833,I833)</f>
        <v>363</v>
      </c>
      <c r="L833" s="9" t="str">
        <f aca="false">IF(E833=K833,"5000m",IF(G833=K833,"3000mSC","1500m"))</f>
        <v>1500m</v>
      </c>
      <c r="M833" s="14" t="n">
        <f aca="false">(D833&lt;&gt;"")*(D833&lt;=($E$3*60+$F$3)/86400)+(F833&lt;&gt;"")*(F833&lt;=($I$3*60+$J$3)/86400)+(H833&lt;&gt;"")*(H833&lt;=($M$3*60+$N$3)/86400)</f>
        <v>0</v>
      </c>
      <c r="N833" s="16"/>
      <c r="O833" s="15"/>
    </row>
    <row r="834" customFormat="false" ht="25.35" hidden="false" customHeight="false" outlineLevel="0" collapsed="false">
      <c r="A834" s="9" t="n">
        <v>828</v>
      </c>
      <c r="B834" s="10" t="s">
        <v>1221</v>
      </c>
      <c r="C834" s="10" t="s">
        <v>947</v>
      </c>
      <c r="D834" s="11"/>
      <c r="E834" s="12"/>
      <c r="F834" s="11" t="n">
        <v>0.00702962962962963</v>
      </c>
      <c r="G834" s="12" t="n">
        <v>363</v>
      </c>
      <c r="H834" s="11"/>
      <c r="I834" s="12"/>
      <c r="J834" s="12" t="n">
        <f aca="false">COUNT(E834,G834,I834)</f>
        <v>1</v>
      </c>
      <c r="K834" s="13" t="n">
        <f aca="false">MIN(E834,G834,I834)</f>
        <v>363</v>
      </c>
      <c r="L834" s="9" t="str">
        <f aca="false">IF(E834=K834,"5000m",IF(G834=K834,"3000mSC","1500m"))</f>
        <v>3000mSC</v>
      </c>
      <c r="M834" s="14" t="n">
        <f aca="false">(D834&lt;&gt;"")*(D834&lt;=($E$3*60+$F$3)/86400)+(F834&lt;&gt;"")*(F834&lt;=($I$3*60+$J$3)/86400)+(H834&lt;&gt;"")*(H834&lt;=($M$3*60+$N$3)/86400)</f>
        <v>0</v>
      </c>
      <c r="N834" s="16"/>
      <c r="O834" s="15"/>
    </row>
    <row r="835" customFormat="false" ht="25.35" hidden="false" customHeight="false" outlineLevel="0" collapsed="false">
      <c r="A835" s="9" t="n">
        <v>829</v>
      </c>
      <c r="B835" s="10" t="s">
        <v>1222</v>
      </c>
      <c r="C835" s="10" t="s">
        <v>1223</v>
      </c>
      <c r="D835" s="11"/>
      <c r="E835" s="12"/>
      <c r="F835" s="11" t="n">
        <v>0.00703206018518519</v>
      </c>
      <c r="G835" s="12" t="n">
        <v>364</v>
      </c>
      <c r="H835" s="11"/>
      <c r="I835" s="12"/>
      <c r="J835" s="12" t="n">
        <f aca="false">COUNT(E835,G835,I835)</f>
        <v>1</v>
      </c>
      <c r="K835" s="13" t="n">
        <f aca="false">MIN(E835,G835,I835)</f>
        <v>364</v>
      </c>
      <c r="L835" s="9" t="str">
        <f aca="false">IF(E835=K835,"5000m",IF(G835=K835,"3000mSC","1500m"))</f>
        <v>3000mSC</v>
      </c>
      <c r="M835" s="14" t="n">
        <f aca="false">(D835&lt;&gt;"")*(D835&lt;=($E$3*60+$F$3)/86400)+(F835&lt;&gt;"")*(F835&lt;=($I$3*60+$J$3)/86400)+(H835&lt;&gt;"")*(H835&lt;=($M$3*60+$N$3)/86400)</f>
        <v>0</v>
      </c>
      <c r="N835" s="16"/>
      <c r="O835" s="15"/>
    </row>
    <row r="836" customFormat="false" ht="25.35" hidden="false" customHeight="false" outlineLevel="0" collapsed="false">
      <c r="A836" s="9" t="n">
        <v>830</v>
      </c>
      <c r="B836" s="10" t="s">
        <v>1224</v>
      </c>
      <c r="C836" s="10" t="s">
        <v>1225</v>
      </c>
      <c r="D836" s="11"/>
      <c r="E836" s="12"/>
      <c r="F836" s="11" t="n">
        <v>0.00703449074074074</v>
      </c>
      <c r="G836" s="12" t="n">
        <v>365</v>
      </c>
      <c r="H836" s="11"/>
      <c r="I836" s="12"/>
      <c r="J836" s="12" t="n">
        <f aca="false">COUNT(E836,G836,I836)</f>
        <v>1</v>
      </c>
      <c r="K836" s="13" t="n">
        <f aca="false">MIN(E836,G836,I836)</f>
        <v>365</v>
      </c>
      <c r="L836" s="9" t="str">
        <f aca="false">IF(E836=K836,"5000m",IF(G836=K836,"3000mSC","1500m"))</f>
        <v>3000mSC</v>
      </c>
      <c r="M836" s="14" t="n">
        <f aca="false">(D836&lt;&gt;"")*(D836&lt;=($E$3*60+$F$3)/86400)+(F836&lt;&gt;"")*(F836&lt;=($I$3*60+$J$3)/86400)+(H836&lt;&gt;"")*(H836&lt;=($M$3*60+$N$3)/86400)</f>
        <v>0</v>
      </c>
      <c r="N836" s="16"/>
      <c r="O836" s="15"/>
    </row>
    <row r="837" customFormat="false" ht="15" hidden="false" customHeight="false" outlineLevel="0" collapsed="false">
      <c r="A837" s="9" t="n">
        <v>831</v>
      </c>
      <c r="B837" s="10" t="s">
        <v>1226</v>
      </c>
      <c r="C837" s="10" t="s">
        <v>1020</v>
      </c>
      <c r="D837" s="11" t="n">
        <v>0.0105252314814815</v>
      </c>
      <c r="E837" s="12" t="n">
        <v>366</v>
      </c>
      <c r="F837" s="11" t="n">
        <v>0.00732141203703704</v>
      </c>
      <c r="G837" s="12" t="n">
        <v>671</v>
      </c>
      <c r="H837" s="11" t="n">
        <v>0.00289467592592593</v>
      </c>
      <c r="I837" s="12" t="n">
        <v>910</v>
      </c>
      <c r="J837" s="12" t="n">
        <f aca="false">COUNT(E837,G837,I837)</f>
        <v>3</v>
      </c>
      <c r="K837" s="13" t="n">
        <f aca="false">MIN(E837,G837,I837)</f>
        <v>366</v>
      </c>
      <c r="L837" s="9" t="str">
        <f aca="false">IF(E837=K837,"5000m",IF(G837=K837,"3000mSC","1500m"))</f>
        <v>5000m</v>
      </c>
      <c r="M837" s="14" t="n">
        <f aca="false">(D837&lt;&gt;"")*(D837&lt;=($E$3*60+$F$3)/86400)+(F837&lt;&gt;"")*(F837&lt;=($I$3*60+$J$3)/86400)+(H837&lt;&gt;"")*(H837&lt;=($M$3*60+$N$3)/86400)</f>
        <v>0</v>
      </c>
      <c r="N837" s="16"/>
      <c r="O837" s="15"/>
    </row>
    <row r="838" customFormat="false" ht="25.35" hidden="false" customHeight="false" outlineLevel="0" collapsed="false">
      <c r="A838" s="9" t="n">
        <v>832</v>
      </c>
      <c r="B838" s="10" t="s">
        <v>1227</v>
      </c>
      <c r="C838" s="10" t="s">
        <v>462</v>
      </c>
      <c r="D838" s="11"/>
      <c r="E838" s="12"/>
      <c r="F838" s="11" t="n">
        <v>0.00703483796296296</v>
      </c>
      <c r="G838" s="12" t="n">
        <v>366</v>
      </c>
      <c r="H838" s="11"/>
      <c r="I838" s="12"/>
      <c r="J838" s="12" t="n">
        <f aca="false">COUNT(E838,G838,I838)</f>
        <v>1</v>
      </c>
      <c r="K838" s="13" t="n">
        <f aca="false">MIN(E838,G838,I838)</f>
        <v>366</v>
      </c>
      <c r="L838" s="9" t="str">
        <f aca="false">IF(E838=K838,"5000m",IF(G838=K838,"3000mSC","1500m"))</f>
        <v>3000mSC</v>
      </c>
      <c r="M838" s="14" t="n">
        <f aca="false">(D838&lt;&gt;"")*(D838&lt;=($E$3*60+$F$3)/86400)+(F838&lt;&gt;"")*(F838&lt;=($I$3*60+$J$3)/86400)+(H838&lt;&gt;"")*(H838&lt;=($M$3*60+$N$3)/86400)</f>
        <v>0</v>
      </c>
      <c r="N838" s="16"/>
      <c r="O838" s="15"/>
    </row>
    <row r="839" customFormat="false" ht="15" hidden="false" customHeight="false" outlineLevel="0" collapsed="false">
      <c r="A839" s="9" t="n">
        <v>833</v>
      </c>
      <c r="B839" s="10" t="s">
        <v>1228</v>
      </c>
      <c r="C839" s="10" t="s">
        <v>1229</v>
      </c>
      <c r="D839" s="11"/>
      <c r="E839" s="12"/>
      <c r="F839" s="11"/>
      <c r="G839" s="12"/>
      <c r="H839" s="11" t="n">
        <v>0.00282071759259259</v>
      </c>
      <c r="I839" s="12" t="n">
        <v>366</v>
      </c>
      <c r="J839" s="12" t="n">
        <f aca="false">COUNT(E839,G839,I839)</f>
        <v>1</v>
      </c>
      <c r="K839" s="13" t="n">
        <f aca="false">MIN(E839,G839,I839)</f>
        <v>366</v>
      </c>
      <c r="L839" s="9" t="str">
        <f aca="false">IF(E839=K839,"5000m",IF(G839=K839,"3000mSC","1500m"))</f>
        <v>1500m</v>
      </c>
      <c r="M839" s="14" t="n">
        <f aca="false">(D839&lt;&gt;"")*(D839&lt;=($E$3*60+$F$3)/86400)+(F839&lt;&gt;"")*(F839&lt;=($I$3*60+$J$3)/86400)+(H839&lt;&gt;"")*(H839&lt;=($M$3*60+$N$3)/86400)</f>
        <v>0</v>
      </c>
      <c r="N839" s="16"/>
      <c r="O839" s="15"/>
    </row>
    <row r="840" customFormat="false" ht="15" hidden="false" customHeight="false" outlineLevel="0" collapsed="false">
      <c r="A840" s="9" t="n">
        <v>834</v>
      </c>
      <c r="B840" s="10" t="s">
        <v>1230</v>
      </c>
      <c r="C840" s="10" t="s">
        <v>1231</v>
      </c>
      <c r="D840" s="11" t="n">
        <v>0.010525462962963</v>
      </c>
      <c r="E840" s="12" t="n">
        <v>367</v>
      </c>
      <c r="F840" s="11"/>
      <c r="G840" s="12"/>
      <c r="H840" s="11" t="n">
        <v>0.00284733796296296</v>
      </c>
      <c r="I840" s="12" t="n">
        <v>554</v>
      </c>
      <c r="J840" s="12" t="n">
        <f aca="false">COUNT(E840,G840,I840)</f>
        <v>2</v>
      </c>
      <c r="K840" s="13" t="n">
        <f aca="false">MIN(E840,G840,I840)</f>
        <v>367</v>
      </c>
      <c r="L840" s="9" t="str">
        <f aca="false">IF(E840=K840,"5000m",IF(G840=K840,"3000mSC","1500m"))</f>
        <v>5000m</v>
      </c>
      <c r="M840" s="14" t="n">
        <f aca="false">(D840&lt;&gt;"")*(D840&lt;=($E$3*60+$F$3)/86400)+(F840&lt;&gt;"")*(F840&lt;=($I$3*60+$J$3)/86400)+(H840&lt;&gt;"")*(H840&lt;=($M$3*60+$N$3)/86400)</f>
        <v>0</v>
      </c>
      <c r="N840" s="16"/>
      <c r="O840" s="15"/>
    </row>
    <row r="841" customFormat="false" ht="25.35" hidden="false" customHeight="false" outlineLevel="0" collapsed="false">
      <c r="A841" s="9" t="n">
        <v>835</v>
      </c>
      <c r="B841" s="10" t="s">
        <v>1232</v>
      </c>
      <c r="C841" s="10" t="s">
        <v>206</v>
      </c>
      <c r="D841" s="11" t="n">
        <v>0.0106398148148148</v>
      </c>
      <c r="E841" s="12" t="n">
        <v>510</v>
      </c>
      <c r="F841" s="11" t="n">
        <v>0.00703703703703704</v>
      </c>
      <c r="G841" s="12" t="n">
        <v>368</v>
      </c>
      <c r="H841" s="11" t="n">
        <v>0.00286574074074074</v>
      </c>
      <c r="I841" s="12" t="n">
        <v>669</v>
      </c>
      <c r="J841" s="12" t="n">
        <f aca="false">COUNT(E841,G841,I841)</f>
        <v>3</v>
      </c>
      <c r="K841" s="13" t="n">
        <f aca="false">MIN(E841,G841,I841)</f>
        <v>368</v>
      </c>
      <c r="L841" s="9" t="str">
        <f aca="false">IF(E841=K841,"5000m",IF(G841=K841,"3000mSC","1500m"))</f>
        <v>3000mSC</v>
      </c>
      <c r="M841" s="14" t="n">
        <f aca="false">(D841&lt;&gt;"")*(D841&lt;=($E$3*60+$F$3)/86400)+(F841&lt;&gt;"")*(F841&lt;=($I$3*60+$J$3)/86400)+(H841&lt;&gt;"")*(H841&lt;=($M$3*60+$N$3)/86400)</f>
        <v>0</v>
      </c>
      <c r="N841" s="10" t="s">
        <v>345</v>
      </c>
      <c r="O841" s="15"/>
    </row>
    <row r="842" customFormat="false" ht="15" hidden="false" customHeight="false" outlineLevel="0" collapsed="false">
      <c r="A842" s="9" t="n">
        <v>836</v>
      </c>
      <c r="B842" s="10" t="s">
        <v>1233</v>
      </c>
      <c r="C842" s="10" t="s">
        <v>312</v>
      </c>
      <c r="D842" s="11" t="n">
        <v>0.0105259259259259</v>
      </c>
      <c r="E842" s="12" t="n">
        <v>368</v>
      </c>
      <c r="F842" s="11"/>
      <c r="G842" s="12"/>
      <c r="H842" s="11" t="n">
        <v>0.00289212962962963</v>
      </c>
      <c r="I842" s="12" t="n">
        <v>891</v>
      </c>
      <c r="J842" s="12" t="n">
        <f aca="false">COUNT(E842,G842,I842)</f>
        <v>2</v>
      </c>
      <c r="K842" s="13" t="n">
        <f aca="false">MIN(E842,G842,I842)</f>
        <v>368</v>
      </c>
      <c r="L842" s="9" t="str">
        <f aca="false">IF(E842=K842,"5000m",IF(G842=K842,"3000mSC","1500m"))</f>
        <v>5000m</v>
      </c>
      <c r="M842" s="14" t="n">
        <f aca="false">(D842&lt;&gt;"")*(D842&lt;=($E$3*60+$F$3)/86400)+(F842&lt;&gt;"")*(F842&lt;=($I$3*60+$J$3)/86400)+(H842&lt;&gt;"")*(H842&lt;=($M$3*60+$N$3)/86400)</f>
        <v>0</v>
      </c>
      <c r="N842" s="16"/>
      <c r="O842" s="15"/>
    </row>
    <row r="843" customFormat="false" ht="25.35" hidden="false" customHeight="false" outlineLevel="0" collapsed="false">
      <c r="A843" s="9" t="n">
        <v>837</v>
      </c>
      <c r="B843" s="10" t="s">
        <v>1234</v>
      </c>
      <c r="C843" s="10" t="s">
        <v>116</v>
      </c>
      <c r="D843" s="11"/>
      <c r="E843" s="12"/>
      <c r="F843" s="11" t="n">
        <v>0.00703738425925926</v>
      </c>
      <c r="G843" s="12" t="n">
        <v>369</v>
      </c>
      <c r="H843" s="11" t="n">
        <v>0.00290023148148148</v>
      </c>
      <c r="I843" s="12" t="n">
        <v>948</v>
      </c>
      <c r="J843" s="12" t="n">
        <f aca="false">COUNT(E843,G843,I843)</f>
        <v>2</v>
      </c>
      <c r="K843" s="13" t="n">
        <f aca="false">MIN(E843,G843,I843)</f>
        <v>369</v>
      </c>
      <c r="L843" s="9" t="str">
        <f aca="false">IF(E843=K843,"5000m",IF(G843=K843,"3000mSC","1500m"))</f>
        <v>3000mSC</v>
      </c>
      <c r="M843" s="14" t="n">
        <f aca="false">(D843&lt;&gt;"")*(D843&lt;=($E$3*60+$F$3)/86400)+(F843&lt;&gt;"")*(F843&lt;=($I$3*60+$J$3)/86400)+(H843&lt;&gt;"")*(H843&lt;=($M$3*60+$N$3)/86400)</f>
        <v>0</v>
      </c>
      <c r="N843" s="16"/>
      <c r="O843" s="15"/>
    </row>
    <row r="844" customFormat="false" ht="25.35" hidden="false" customHeight="false" outlineLevel="0" collapsed="false">
      <c r="A844" s="9" t="n">
        <v>838</v>
      </c>
      <c r="B844" s="10" t="s">
        <v>1235</v>
      </c>
      <c r="C844" s="10" t="s">
        <v>974</v>
      </c>
      <c r="D844" s="11" t="n">
        <v>0.0109949074074074</v>
      </c>
      <c r="E844" s="12" t="n">
        <v>1088</v>
      </c>
      <c r="F844" s="11" t="n">
        <v>0.00703831018518519</v>
      </c>
      <c r="G844" s="12" t="n">
        <v>370</v>
      </c>
      <c r="H844" s="11" t="n">
        <v>0.00291365740740741</v>
      </c>
      <c r="I844" s="12" t="n">
        <v>1048</v>
      </c>
      <c r="J844" s="12" t="n">
        <f aca="false">COUNT(E844,G844,I844)</f>
        <v>3</v>
      </c>
      <c r="K844" s="13" t="n">
        <f aca="false">MIN(E844,G844,I844)</f>
        <v>370</v>
      </c>
      <c r="L844" s="9" t="str">
        <f aca="false">IF(E844=K844,"5000m",IF(G844=K844,"3000mSC","1500m"))</f>
        <v>3000mSC</v>
      </c>
      <c r="M844" s="14" t="n">
        <f aca="false">(D844&lt;&gt;"")*(D844&lt;=($E$3*60+$F$3)/86400)+(F844&lt;&gt;"")*(F844&lt;=($I$3*60+$J$3)/86400)+(H844&lt;&gt;"")*(H844&lt;=($M$3*60+$N$3)/86400)</f>
        <v>0</v>
      </c>
      <c r="N844" s="16"/>
      <c r="O844" s="15"/>
    </row>
    <row r="845" customFormat="false" ht="25.35" hidden="false" customHeight="false" outlineLevel="0" collapsed="false">
      <c r="A845" s="9" t="n">
        <v>839</v>
      </c>
      <c r="B845" s="10" t="s">
        <v>1236</v>
      </c>
      <c r="C845" s="10" t="s">
        <v>382</v>
      </c>
      <c r="D845" s="11" t="n">
        <v>0.0106880787037037</v>
      </c>
      <c r="E845" s="12" t="n">
        <v>565</v>
      </c>
      <c r="F845" s="11" t="n">
        <v>0.00703842592592593</v>
      </c>
      <c r="G845" s="12" t="n">
        <v>371</v>
      </c>
      <c r="H845" s="11" t="n">
        <v>0.00291388888888889</v>
      </c>
      <c r="I845" s="12" t="n">
        <v>1050</v>
      </c>
      <c r="J845" s="12" t="n">
        <f aca="false">COUNT(E845,G845,I845)</f>
        <v>3</v>
      </c>
      <c r="K845" s="13" t="n">
        <f aca="false">MIN(E845,G845,I845)</f>
        <v>371</v>
      </c>
      <c r="L845" s="9" t="str">
        <f aca="false">IF(E845=K845,"5000m",IF(G845=K845,"3000mSC","1500m"))</f>
        <v>3000mSC</v>
      </c>
      <c r="M845" s="14" t="n">
        <f aca="false">(D845&lt;&gt;"")*(D845&lt;=($E$3*60+$F$3)/86400)+(F845&lt;&gt;"")*(F845&lt;=($I$3*60+$J$3)/86400)+(H845&lt;&gt;"")*(H845&lt;=($M$3*60+$N$3)/86400)</f>
        <v>0</v>
      </c>
      <c r="N845" s="16"/>
      <c r="O845" s="15"/>
    </row>
    <row r="846" customFormat="false" ht="15" hidden="false" customHeight="false" outlineLevel="0" collapsed="false">
      <c r="A846" s="9" t="n">
        <v>840</v>
      </c>
      <c r="B846" s="10" t="s">
        <v>1237</v>
      </c>
      <c r="C846" s="10" t="s">
        <v>523</v>
      </c>
      <c r="D846" s="11" t="n">
        <v>0.0107315972222222</v>
      </c>
      <c r="E846" s="12" t="n">
        <v>634</v>
      </c>
      <c r="F846" s="11"/>
      <c r="G846" s="12"/>
      <c r="H846" s="11" t="n">
        <v>0.00282118055555556</v>
      </c>
      <c r="I846" s="12" t="n">
        <v>371</v>
      </c>
      <c r="J846" s="12" t="n">
        <f aca="false">COUNT(E846,G846,I846)</f>
        <v>2</v>
      </c>
      <c r="K846" s="13" t="n">
        <f aca="false">MIN(E846,G846,I846)</f>
        <v>371</v>
      </c>
      <c r="L846" s="9" t="str">
        <f aca="false">IF(E846=K846,"5000m",IF(G846=K846,"3000mSC","1500m"))</f>
        <v>1500m</v>
      </c>
      <c r="M846" s="14" t="n">
        <f aca="false">(D846&lt;&gt;"")*(D846&lt;=($E$3*60+$F$3)/86400)+(F846&lt;&gt;"")*(F846&lt;=($I$3*60+$J$3)/86400)+(H846&lt;&gt;"")*(H846&lt;=($M$3*60+$N$3)/86400)</f>
        <v>0</v>
      </c>
      <c r="N846" s="16"/>
      <c r="O846" s="15"/>
    </row>
    <row r="847" customFormat="false" ht="25.35" hidden="false" customHeight="false" outlineLevel="0" collapsed="false">
      <c r="A847" s="9" t="n">
        <v>841</v>
      </c>
      <c r="B847" s="10" t="s">
        <v>1238</v>
      </c>
      <c r="C847" s="10" t="s">
        <v>1239</v>
      </c>
      <c r="D847" s="11"/>
      <c r="E847" s="12"/>
      <c r="F847" s="11" t="n">
        <v>0.00703854166666667</v>
      </c>
      <c r="G847" s="12" t="n">
        <v>372</v>
      </c>
      <c r="H847" s="11"/>
      <c r="I847" s="12"/>
      <c r="J847" s="12" t="n">
        <f aca="false">COUNT(E847,G847,I847)</f>
        <v>1</v>
      </c>
      <c r="K847" s="13" t="n">
        <f aca="false">MIN(E847,G847,I847)</f>
        <v>372</v>
      </c>
      <c r="L847" s="9" t="str">
        <f aca="false">IF(E847=K847,"5000m",IF(G847=K847,"3000mSC","1500m"))</f>
        <v>3000mSC</v>
      </c>
      <c r="M847" s="14" t="n">
        <f aca="false">(D847&lt;&gt;"")*(D847&lt;=($E$3*60+$F$3)/86400)+(F847&lt;&gt;"")*(F847&lt;=($I$3*60+$J$3)/86400)+(H847&lt;&gt;"")*(H847&lt;=($M$3*60+$N$3)/86400)</f>
        <v>0</v>
      </c>
      <c r="N847" s="16"/>
      <c r="O847" s="15"/>
    </row>
    <row r="848" customFormat="false" ht="25.35" hidden="false" customHeight="false" outlineLevel="0" collapsed="false">
      <c r="A848" s="9" t="n">
        <v>842</v>
      </c>
      <c r="B848" s="10" t="s">
        <v>1240</v>
      </c>
      <c r="C848" s="10" t="s">
        <v>1155</v>
      </c>
      <c r="D848" s="11"/>
      <c r="E848" s="12"/>
      <c r="F848" s="11" t="n">
        <v>0.00703935185185185</v>
      </c>
      <c r="G848" s="12" t="n">
        <v>373</v>
      </c>
      <c r="H848" s="11" t="n">
        <v>0.00291840277777778</v>
      </c>
      <c r="I848" s="12" t="n">
        <v>1078</v>
      </c>
      <c r="J848" s="12" t="n">
        <f aca="false">COUNT(E848,G848,I848)</f>
        <v>2</v>
      </c>
      <c r="K848" s="13" t="n">
        <f aca="false">MIN(E848,G848,I848)</f>
        <v>373</v>
      </c>
      <c r="L848" s="9" t="str">
        <f aca="false">IF(E848=K848,"5000m",IF(G848=K848,"3000mSC","1500m"))</f>
        <v>3000mSC</v>
      </c>
      <c r="M848" s="14" t="n">
        <f aca="false">(D848&lt;&gt;"")*(D848&lt;=($E$3*60+$F$3)/86400)+(F848&lt;&gt;"")*(F848&lt;=($I$3*60+$J$3)/86400)+(H848&lt;&gt;"")*(H848&lt;=($M$3*60+$N$3)/86400)</f>
        <v>0</v>
      </c>
      <c r="N848" s="16"/>
      <c r="O848" s="15"/>
    </row>
    <row r="849" customFormat="false" ht="15" hidden="false" customHeight="false" outlineLevel="0" collapsed="false">
      <c r="A849" s="9" t="n">
        <v>843</v>
      </c>
      <c r="B849" s="10" t="s">
        <v>1241</v>
      </c>
      <c r="C849" s="10" t="s">
        <v>69</v>
      </c>
      <c r="D849" s="11" t="n">
        <v>0.0105324074074074</v>
      </c>
      <c r="E849" s="12" t="n">
        <v>374</v>
      </c>
      <c r="F849" s="11"/>
      <c r="G849" s="12"/>
      <c r="H849" s="11"/>
      <c r="I849" s="12"/>
      <c r="J849" s="12" t="n">
        <f aca="false">COUNT(E849,G849,I849)</f>
        <v>1</v>
      </c>
      <c r="K849" s="13" t="n">
        <f aca="false">MIN(E849,G849,I849)</f>
        <v>374</v>
      </c>
      <c r="L849" s="9" t="str">
        <f aca="false">IF(E849=K849,"5000m",IF(G849=K849,"3000mSC","1500m"))</f>
        <v>5000m</v>
      </c>
      <c r="M849" s="14" t="n">
        <f aca="false">(D849&lt;&gt;"")*(D849&lt;=($E$3*60+$F$3)/86400)+(F849&lt;&gt;"")*(F849&lt;=($I$3*60+$J$3)/86400)+(H849&lt;&gt;"")*(H849&lt;=($M$3*60+$N$3)/86400)</f>
        <v>0</v>
      </c>
      <c r="N849" s="16"/>
      <c r="O849" s="15"/>
    </row>
    <row r="850" customFormat="false" ht="25.35" hidden="false" customHeight="false" outlineLevel="0" collapsed="false">
      <c r="A850" s="9" t="n">
        <v>844</v>
      </c>
      <c r="B850" s="10" t="s">
        <v>1242</v>
      </c>
      <c r="C850" s="10" t="s">
        <v>1243</v>
      </c>
      <c r="D850" s="11"/>
      <c r="E850" s="12"/>
      <c r="F850" s="11" t="n">
        <v>0.00703935185185185</v>
      </c>
      <c r="G850" s="12" t="n">
        <v>374</v>
      </c>
      <c r="H850" s="11"/>
      <c r="I850" s="12"/>
      <c r="J850" s="12" t="n">
        <f aca="false">COUNT(E850,G850,I850)</f>
        <v>1</v>
      </c>
      <c r="K850" s="13" t="n">
        <f aca="false">MIN(E850,G850,I850)</f>
        <v>374</v>
      </c>
      <c r="L850" s="9" t="str">
        <f aca="false">IF(E850=K850,"5000m",IF(G850=K850,"3000mSC","1500m"))</f>
        <v>3000mSC</v>
      </c>
      <c r="M850" s="14" t="n">
        <f aca="false">(D850&lt;&gt;"")*(D850&lt;=($E$3*60+$F$3)/86400)+(F850&lt;&gt;"")*(F850&lt;=($I$3*60+$J$3)/86400)+(H850&lt;&gt;"")*(H850&lt;=($M$3*60+$N$3)/86400)</f>
        <v>0</v>
      </c>
      <c r="N850" s="16"/>
      <c r="O850" s="15"/>
    </row>
    <row r="851" customFormat="false" ht="15" hidden="false" customHeight="false" outlineLevel="0" collapsed="false">
      <c r="A851" s="9" t="n">
        <v>845</v>
      </c>
      <c r="B851" s="10" t="s">
        <v>1244</v>
      </c>
      <c r="C851" s="10" t="s">
        <v>947</v>
      </c>
      <c r="D851" s="11"/>
      <c r="E851" s="12"/>
      <c r="F851" s="11"/>
      <c r="G851" s="12"/>
      <c r="H851" s="11" t="n">
        <v>0.00282199074074074</v>
      </c>
      <c r="I851" s="12" t="n">
        <v>374</v>
      </c>
      <c r="J851" s="12" t="n">
        <f aca="false">COUNT(E851,G851,I851)</f>
        <v>1</v>
      </c>
      <c r="K851" s="13" t="n">
        <f aca="false">MIN(E851,G851,I851)</f>
        <v>374</v>
      </c>
      <c r="L851" s="9" t="str">
        <f aca="false">IF(E851=K851,"5000m",IF(G851=K851,"3000mSC","1500m"))</f>
        <v>1500m</v>
      </c>
      <c r="M851" s="14" t="n">
        <f aca="false">(D851&lt;&gt;"")*(D851&lt;=($E$3*60+$F$3)/86400)+(F851&lt;&gt;"")*(F851&lt;=($I$3*60+$J$3)/86400)+(H851&lt;&gt;"")*(H851&lt;=($M$3*60+$N$3)/86400)</f>
        <v>0</v>
      </c>
      <c r="N851" s="16"/>
      <c r="O851" s="15"/>
    </row>
    <row r="852" customFormat="false" ht="25.35" hidden="false" customHeight="false" outlineLevel="0" collapsed="false">
      <c r="A852" s="9" t="n">
        <v>846</v>
      </c>
      <c r="B852" s="10" t="s">
        <v>1245</v>
      </c>
      <c r="C852" s="10" t="s">
        <v>1246</v>
      </c>
      <c r="D852" s="11" t="n">
        <v>0.0110396990740741</v>
      </c>
      <c r="E852" s="12" t="n">
        <v>1177</v>
      </c>
      <c r="F852" s="11" t="n">
        <v>0.00704016203703704</v>
      </c>
      <c r="G852" s="12" t="n">
        <v>375</v>
      </c>
      <c r="H852" s="11" t="n">
        <v>0.00289143518518519</v>
      </c>
      <c r="I852" s="12" t="n">
        <v>880</v>
      </c>
      <c r="J852" s="12" t="n">
        <f aca="false">COUNT(E852,G852,I852)</f>
        <v>3</v>
      </c>
      <c r="K852" s="13" t="n">
        <f aca="false">MIN(E852,G852,I852)</f>
        <v>375</v>
      </c>
      <c r="L852" s="9" t="str">
        <f aca="false">IF(E852=K852,"5000m",IF(G852=K852,"3000mSC","1500m"))</f>
        <v>3000mSC</v>
      </c>
      <c r="M852" s="14" t="n">
        <f aca="false">(D852&lt;&gt;"")*(D852&lt;=($E$3*60+$F$3)/86400)+(F852&lt;&gt;"")*(F852&lt;=($I$3*60+$J$3)/86400)+(H852&lt;&gt;"")*(H852&lt;=($M$3*60+$N$3)/86400)</f>
        <v>0</v>
      </c>
      <c r="N852" s="16"/>
      <c r="O852" s="15"/>
    </row>
    <row r="853" customFormat="false" ht="15" hidden="false" customHeight="false" outlineLevel="0" collapsed="false">
      <c r="A853" s="9" t="n">
        <v>847</v>
      </c>
      <c r="B853" s="10" t="s">
        <v>1247</v>
      </c>
      <c r="C853" s="10" t="s">
        <v>263</v>
      </c>
      <c r="D853" s="11" t="n">
        <v>0.0105346064814815</v>
      </c>
      <c r="E853" s="12" t="n">
        <v>376</v>
      </c>
      <c r="F853" s="11" t="n">
        <v>0.00715509259259259</v>
      </c>
      <c r="G853" s="12" t="n">
        <v>491</v>
      </c>
      <c r="H853" s="11" t="n">
        <v>0.00291921296296296</v>
      </c>
      <c r="I853" s="12" t="n">
        <v>1085</v>
      </c>
      <c r="J853" s="12" t="n">
        <f aca="false">COUNT(E853,G853,I853)</f>
        <v>3</v>
      </c>
      <c r="K853" s="13" t="n">
        <f aca="false">MIN(E853,G853,I853)</f>
        <v>376</v>
      </c>
      <c r="L853" s="9" t="str">
        <f aca="false">IF(E853=K853,"5000m",IF(G853=K853,"3000mSC","1500m"))</f>
        <v>5000m</v>
      </c>
      <c r="M853" s="14" t="n">
        <f aca="false">(D853&lt;&gt;"")*(D853&lt;=($E$3*60+$F$3)/86400)+(F853&lt;&gt;"")*(F853&lt;=($I$3*60+$J$3)/86400)+(H853&lt;&gt;"")*(H853&lt;=($M$3*60+$N$3)/86400)</f>
        <v>0</v>
      </c>
      <c r="N853" s="16"/>
      <c r="O853" s="15"/>
    </row>
    <row r="854" customFormat="false" ht="15" hidden="false" customHeight="false" outlineLevel="0" collapsed="false">
      <c r="A854" s="9" t="n">
        <v>848</v>
      </c>
      <c r="B854" s="10" t="s">
        <v>1248</v>
      </c>
      <c r="C854" s="10" t="s">
        <v>754</v>
      </c>
      <c r="D854" s="11" t="n">
        <v>0.010765162037037</v>
      </c>
      <c r="E854" s="12" t="n">
        <v>691</v>
      </c>
      <c r="F854" s="11"/>
      <c r="G854" s="12"/>
      <c r="H854" s="11" t="n">
        <v>0.00282233796296296</v>
      </c>
      <c r="I854" s="12" t="n">
        <v>376</v>
      </c>
      <c r="J854" s="12" t="n">
        <f aca="false">COUNT(E854,G854,I854)</f>
        <v>2</v>
      </c>
      <c r="K854" s="13" t="n">
        <f aca="false">MIN(E854,G854,I854)</f>
        <v>376</v>
      </c>
      <c r="L854" s="9" t="str">
        <f aca="false">IF(E854=K854,"5000m",IF(G854=K854,"3000mSC","1500m"))</f>
        <v>1500m</v>
      </c>
      <c r="M854" s="14" t="n">
        <f aca="false">(D854&lt;&gt;"")*(D854&lt;=($E$3*60+$F$3)/86400)+(F854&lt;&gt;"")*(F854&lt;=($I$3*60+$J$3)/86400)+(H854&lt;&gt;"")*(H854&lt;=($M$3*60+$N$3)/86400)</f>
        <v>0</v>
      </c>
      <c r="N854" s="16"/>
      <c r="O854" s="15"/>
    </row>
    <row r="855" customFormat="false" ht="25.35" hidden="false" customHeight="false" outlineLevel="0" collapsed="false">
      <c r="A855" s="9" t="n">
        <v>849</v>
      </c>
      <c r="B855" s="10" t="s">
        <v>1249</v>
      </c>
      <c r="C855" s="10" t="s">
        <v>348</v>
      </c>
      <c r="D855" s="11"/>
      <c r="E855" s="12"/>
      <c r="F855" s="11" t="n">
        <v>0.00704027777777778</v>
      </c>
      <c r="G855" s="12" t="n">
        <v>376</v>
      </c>
      <c r="H855" s="11"/>
      <c r="I855" s="12"/>
      <c r="J855" s="12" t="n">
        <f aca="false">COUNT(E855,G855,I855)</f>
        <v>1</v>
      </c>
      <c r="K855" s="13" t="n">
        <f aca="false">MIN(E855,G855,I855)</f>
        <v>376</v>
      </c>
      <c r="L855" s="9" t="str">
        <f aca="false">IF(E855=K855,"5000m",IF(G855=K855,"3000mSC","1500m"))</f>
        <v>3000mSC</v>
      </c>
      <c r="M855" s="14" t="n">
        <f aca="false">(D855&lt;&gt;"")*(D855&lt;=($E$3*60+$F$3)/86400)+(F855&lt;&gt;"")*(F855&lt;=($I$3*60+$J$3)/86400)+(H855&lt;&gt;"")*(H855&lt;=($M$3*60+$N$3)/86400)</f>
        <v>0</v>
      </c>
      <c r="N855" s="16"/>
      <c r="O855" s="15"/>
    </row>
    <row r="856" customFormat="false" ht="25.35" hidden="false" customHeight="false" outlineLevel="0" collapsed="false">
      <c r="A856" s="9" t="n">
        <v>850</v>
      </c>
      <c r="B856" s="10" t="s">
        <v>1250</v>
      </c>
      <c r="C856" s="10" t="s">
        <v>302</v>
      </c>
      <c r="D856" s="11" t="n">
        <v>0.0107921296296296</v>
      </c>
      <c r="E856" s="12" t="n">
        <v>730</v>
      </c>
      <c r="F856" s="11" t="n">
        <v>0.00704074074074074</v>
      </c>
      <c r="G856" s="12" t="n">
        <v>377</v>
      </c>
      <c r="H856" s="11" t="n">
        <v>0.00287094907407407</v>
      </c>
      <c r="I856" s="12" t="n">
        <v>704</v>
      </c>
      <c r="J856" s="12" t="n">
        <f aca="false">COUNT(E856,G856,I856)</f>
        <v>3</v>
      </c>
      <c r="K856" s="13" t="n">
        <f aca="false">MIN(E856,G856,I856)</f>
        <v>377</v>
      </c>
      <c r="L856" s="9" t="str">
        <f aca="false">IF(E856=K856,"5000m",IF(G856=K856,"3000mSC","1500m"))</f>
        <v>3000mSC</v>
      </c>
      <c r="M856" s="14" t="n">
        <f aca="false">(D856&lt;&gt;"")*(D856&lt;=($E$3*60+$F$3)/86400)+(F856&lt;&gt;"")*(F856&lt;=($I$3*60+$J$3)/86400)+(H856&lt;&gt;"")*(H856&lt;=($M$3*60+$N$3)/86400)</f>
        <v>0</v>
      </c>
      <c r="N856" s="16"/>
      <c r="O856" s="15"/>
    </row>
    <row r="857" customFormat="false" ht="15" hidden="false" customHeight="false" outlineLevel="0" collapsed="false">
      <c r="A857" s="9" t="n">
        <v>851</v>
      </c>
      <c r="B857" s="10" t="s">
        <v>1251</v>
      </c>
      <c r="C857" s="10" t="s">
        <v>543</v>
      </c>
      <c r="D857" s="11"/>
      <c r="E857" s="12"/>
      <c r="F857" s="11"/>
      <c r="G857" s="12"/>
      <c r="H857" s="11" t="n">
        <v>0.00282233796296296</v>
      </c>
      <c r="I857" s="12" t="n">
        <v>377</v>
      </c>
      <c r="J857" s="12" t="n">
        <f aca="false">COUNT(E857,G857,I857)</f>
        <v>1</v>
      </c>
      <c r="K857" s="13" t="n">
        <f aca="false">MIN(E857,G857,I857)</f>
        <v>377</v>
      </c>
      <c r="L857" s="9" t="str">
        <f aca="false">IF(E857=K857,"5000m",IF(G857=K857,"3000mSC","1500m"))</f>
        <v>1500m</v>
      </c>
      <c r="M857" s="14" t="n">
        <f aca="false">(D857&lt;&gt;"")*(D857&lt;=($E$3*60+$F$3)/86400)+(F857&lt;&gt;"")*(F857&lt;=($I$3*60+$J$3)/86400)+(H857&lt;&gt;"")*(H857&lt;=($M$3*60+$N$3)/86400)</f>
        <v>0</v>
      </c>
      <c r="N857" s="16"/>
      <c r="O857" s="15"/>
    </row>
    <row r="858" customFormat="false" ht="15" hidden="false" customHeight="false" outlineLevel="0" collapsed="false">
      <c r="A858" s="9" t="n">
        <v>852</v>
      </c>
      <c r="B858" s="10" t="s">
        <v>1252</v>
      </c>
      <c r="C858" s="10" t="s">
        <v>385</v>
      </c>
      <c r="D858" s="11" t="n">
        <v>0.0105351851851852</v>
      </c>
      <c r="E858" s="12" t="n">
        <v>378</v>
      </c>
      <c r="F858" s="11"/>
      <c r="G858" s="12"/>
      <c r="H858" s="11" t="n">
        <v>0.00287175925925926</v>
      </c>
      <c r="I858" s="12" t="n">
        <v>715</v>
      </c>
      <c r="J858" s="12" t="n">
        <f aca="false">COUNT(E858,G858,I858)</f>
        <v>2</v>
      </c>
      <c r="K858" s="13" t="n">
        <f aca="false">MIN(E858,G858,I858)</f>
        <v>378</v>
      </c>
      <c r="L858" s="9" t="str">
        <f aca="false">IF(E858=K858,"5000m",IF(G858=K858,"3000mSC","1500m"))</f>
        <v>5000m</v>
      </c>
      <c r="M858" s="14" t="n">
        <f aca="false">(D858&lt;&gt;"")*(D858&lt;=($E$3*60+$F$3)/86400)+(F858&lt;&gt;"")*(F858&lt;=($I$3*60+$J$3)/86400)+(H858&lt;&gt;"")*(H858&lt;=($M$3*60+$N$3)/86400)</f>
        <v>0</v>
      </c>
      <c r="N858" s="16"/>
      <c r="O858" s="15"/>
    </row>
    <row r="859" customFormat="false" ht="15" hidden="false" customHeight="false" outlineLevel="0" collapsed="false">
      <c r="A859" s="9" t="n">
        <v>853</v>
      </c>
      <c r="B859" s="10" t="s">
        <v>1253</v>
      </c>
      <c r="C859" s="10" t="s">
        <v>134</v>
      </c>
      <c r="D859" s="11" t="n">
        <v>0.0105353009259259</v>
      </c>
      <c r="E859" s="12" t="n">
        <v>379</v>
      </c>
      <c r="F859" s="11"/>
      <c r="G859" s="12"/>
      <c r="H859" s="11" t="n">
        <v>0.00283449074074074</v>
      </c>
      <c r="I859" s="12" t="n">
        <v>453</v>
      </c>
      <c r="J859" s="12" t="n">
        <f aca="false">COUNT(E859,G859,I859)</f>
        <v>2</v>
      </c>
      <c r="K859" s="13" t="n">
        <f aca="false">MIN(E859,G859,I859)</f>
        <v>379</v>
      </c>
      <c r="L859" s="9" t="str">
        <f aca="false">IF(E859=K859,"5000m",IF(G859=K859,"3000mSC","1500m"))</f>
        <v>5000m</v>
      </c>
      <c r="M859" s="14" t="n">
        <f aca="false">(D859&lt;&gt;"")*(D859&lt;=($E$3*60+$F$3)/86400)+(F859&lt;&gt;"")*(F859&lt;=($I$3*60+$J$3)/86400)+(H859&lt;&gt;"")*(H859&lt;=($M$3*60+$N$3)/86400)</f>
        <v>0</v>
      </c>
      <c r="N859" s="16"/>
      <c r="O859" s="15"/>
    </row>
    <row r="860" customFormat="false" ht="25.35" hidden="false" customHeight="false" outlineLevel="0" collapsed="false">
      <c r="A860" s="9" t="n">
        <v>854</v>
      </c>
      <c r="B860" s="10" t="s">
        <v>1254</v>
      </c>
      <c r="C860" s="10" t="s">
        <v>1255</v>
      </c>
      <c r="D860" s="11"/>
      <c r="E860" s="12"/>
      <c r="F860" s="11" t="n">
        <v>0.00704143518518519</v>
      </c>
      <c r="G860" s="12" t="n">
        <v>379</v>
      </c>
      <c r="H860" s="11" t="n">
        <v>0.0029400462962963</v>
      </c>
      <c r="I860" s="12" t="n">
        <v>1200</v>
      </c>
      <c r="J860" s="12" t="n">
        <f aca="false">COUNT(E860,G860,I860)</f>
        <v>2</v>
      </c>
      <c r="K860" s="13" t="n">
        <f aca="false">MIN(E860,G860,I860)</f>
        <v>379</v>
      </c>
      <c r="L860" s="9" t="str">
        <f aca="false">IF(E860=K860,"5000m",IF(G860=K860,"3000mSC","1500m"))</f>
        <v>3000mSC</v>
      </c>
      <c r="M860" s="14" t="n">
        <f aca="false">(D860&lt;&gt;"")*(D860&lt;=($E$3*60+$F$3)/86400)+(F860&lt;&gt;"")*(F860&lt;=($I$3*60+$J$3)/86400)+(H860&lt;&gt;"")*(H860&lt;=($M$3*60+$N$3)/86400)</f>
        <v>0</v>
      </c>
      <c r="N860" s="16"/>
      <c r="O860" s="15"/>
    </row>
    <row r="861" customFormat="false" ht="25.35" hidden="false" customHeight="false" outlineLevel="0" collapsed="false">
      <c r="A861" s="9" t="n">
        <v>855</v>
      </c>
      <c r="B861" s="10" t="s">
        <v>1256</v>
      </c>
      <c r="C861" s="10" t="s">
        <v>1257</v>
      </c>
      <c r="D861" s="11"/>
      <c r="E861" s="12"/>
      <c r="F861" s="11" t="n">
        <v>0.00704282407407407</v>
      </c>
      <c r="G861" s="12" t="n">
        <v>380</v>
      </c>
      <c r="H861" s="11"/>
      <c r="I861" s="12"/>
      <c r="J861" s="12" t="n">
        <f aca="false">COUNT(E861,G861,I861)</f>
        <v>1</v>
      </c>
      <c r="K861" s="13" t="n">
        <f aca="false">MIN(E861,G861,I861)</f>
        <v>380</v>
      </c>
      <c r="L861" s="9" t="str">
        <f aca="false">IF(E861=K861,"5000m",IF(G861=K861,"3000mSC","1500m"))</f>
        <v>3000mSC</v>
      </c>
      <c r="M861" s="14" t="n">
        <f aca="false">(D861&lt;&gt;"")*(D861&lt;=($E$3*60+$F$3)/86400)+(F861&lt;&gt;"")*(F861&lt;=($I$3*60+$J$3)/86400)+(H861&lt;&gt;"")*(H861&lt;=($M$3*60+$N$3)/86400)</f>
        <v>0</v>
      </c>
      <c r="N861" s="16"/>
      <c r="O861" s="15"/>
    </row>
    <row r="862" customFormat="false" ht="15" hidden="false" customHeight="false" outlineLevel="0" collapsed="false">
      <c r="A862" s="9" t="n">
        <v>856</v>
      </c>
      <c r="B862" s="10" t="s">
        <v>1258</v>
      </c>
      <c r="C862" s="10" t="s">
        <v>295</v>
      </c>
      <c r="D862" s="11"/>
      <c r="E862" s="12"/>
      <c r="F862" s="11"/>
      <c r="G862" s="12"/>
      <c r="H862" s="11" t="n">
        <v>0.00282280092592593</v>
      </c>
      <c r="I862" s="12" t="n">
        <v>380</v>
      </c>
      <c r="J862" s="12" t="n">
        <f aca="false">COUNT(E862,G862,I862)</f>
        <v>1</v>
      </c>
      <c r="K862" s="13" t="n">
        <f aca="false">MIN(E862,G862,I862)</f>
        <v>380</v>
      </c>
      <c r="L862" s="9" t="str">
        <f aca="false">IF(E862=K862,"5000m",IF(G862=K862,"3000mSC","1500m"))</f>
        <v>1500m</v>
      </c>
      <c r="M862" s="14" t="n">
        <f aca="false">(D862&lt;&gt;"")*(D862&lt;=($E$3*60+$F$3)/86400)+(F862&lt;&gt;"")*(F862&lt;=($I$3*60+$J$3)/86400)+(H862&lt;&gt;"")*(H862&lt;=($M$3*60+$N$3)/86400)</f>
        <v>0</v>
      </c>
      <c r="N862" s="16"/>
      <c r="O862" s="15"/>
    </row>
    <row r="863" customFormat="false" ht="15" hidden="false" customHeight="false" outlineLevel="0" collapsed="false">
      <c r="A863" s="9" t="n">
        <v>857</v>
      </c>
      <c r="B863" s="10" t="s">
        <v>1259</v>
      </c>
      <c r="C863" s="10" t="s">
        <v>1260</v>
      </c>
      <c r="D863" s="11" t="n">
        <v>0.0105368055555556</v>
      </c>
      <c r="E863" s="12" t="n">
        <v>381</v>
      </c>
      <c r="F863" s="11"/>
      <c r="G863" s="12"/>
      <c r="H863" s="11" t="n">
        <v>0.00284155092592593</v>
      </c>
      <c r="I863" s="12" t="n">
        <v>511</v>
      </c>
      <c r="J863" s="12" t="n">
        <f aca="false">COUNT(E863,G863,I863)</f>
        <v>2</v>
      </c>
      <c r="K863" s="13" t="n">
        <f aca="false">MIN(E863,G863,I863)</f>
        <v>381</v>
      </c>
      <c r="L863" s="9" t="str">
        <f aca="false">IF(E863=K863,"5000m",IF(G863=K863,"3000mSC","1500m"))</f>
        <v>5000m</v>
      </c>
      <c r="M863" s="14" t="n">
        <f aca="false">(D863&lt;&gt;"")*(D863&lt;=($E$3*60+$F$3)/86400)+(F863&lt;&gt;"")*(F863&lt;=($I$3*60+$J$3)/86400)+(H863&lt;&gt;"")*(H863&lt;=($M$3*60+$N$3)/86400)</f>
        <v>0</v>
      </c>
      <c r="N863" s="16"/>
      <c r="O863" s="15"/>
    </row>
    <row r="864" customFormat="false" ht="25.35" hidden="false" customHeight="false" outlineLevel="0" collapsed="false">
      <c r="A864" s="9" t="n">
        <v>858</v>
      </c>
      <c r="B864" s="10" t="s">
        <v>1261</v>
      </c>
      <c r="C864" s="10" t="s">
        <v>1033</v>
      </c>
      <c r="D864" s="11"/>
      <c r="E864" s="12"/>
      <c r="F864" s="11" t="n">
        <v>0.00704282407407407</v>
      </c>
      <c r="G864" s="12" t="n">
        <v>381</v>
      </c>
      <c r="H864" s="11"/>
      <c r="I864" s="12"/>
      <c r="J864" s="12" t="n">
        <f aca="false">COUNT(E864,G864,I864)</f>
        <v>1</v>
      </c>
      <c r="K864" s="13" t="n">
        <f aca="false">MIN(E864,G864,I864)</f>
        <v>381</v>
      </c>
      <c r="L864" s="9" t="str">
        <f aca="false">IF(E864=K864,"5000m",IF(G864=K864,"3000mSC","1500m"))</f>
        <v>3000mSC</v>
      </c>
      <c r="M864" s="14" t="n">
        <f aca="false">(D864&lt;&gt;"")*(D864&lt;=($E$3*60+$F$3)/86400)+(F864&lt;&gt;"")*(F864&lt;=($I$3*60+$J$3)/86400)+(H864&lt;&gt;"")*(H864&lt;=($M$3*60+$N$3)/86400)</f>
        <v>0</v>
      </c>
      <c r="N864" s="16"/>
      <c r="O864" s="15"/>
    </row>
    <row r="865" customFormat="false" ht="25.35" hidden="false" customHeight="false" outlineLevel="0" collapsed="false">
      <c r="A865" s="9" t="n">
        <v>859</v>
      </c>
      <c r="B865" s="10" t="s">
        <v>1262</v>
      </c>
      <c r="C865" s="10" t="s">
        <v>1263</v>
      </c>
      <c r="D865" s="11"/>
      <c r="E865" s="12"/>
      <c r="F865" s="11" t="n">
        <v>0.00704305555555556</v>
      </c>
      <c r="G865" s="12" t="n">
        <v>382</v>
      </c>
      <c r="H865" s="11"/>
      <c r="I865" s="12"/>
      <c r="J865" s="12" t="n">
        <f aca="false">COUNT(E865,G865,I865)</f>
        <v>1</v>
      </c>
      <c r="K865" s="13" t="n">
        <f aca="false">MIN(E865,G865,I865)</f>
        <v>382</v>
      </c>
      <c r="L865" s="9" t="str">
        <f aca="false">IF(E865=K865,"5000m",IF(G865=K865,"3000mSC","1500m"))</f>
        <v>3000mSC</v>
      </c>
      <c r="M865" s="14" t="n">
        <f aca="false">(D865&lt;&gt;"")*(D865&lt;=($E$3*60+$F$3)/86400)+(F865&lt;&gt;"")*(F865&lt;=($I$3*60+$J$3)/86400)+(H865&lt;&gt;"")*(H865&lt;=($M$3*60+$N$3)/86400)</f>
        <v>0</v>
      </c>
      <c r="N865" s="16"/>
      <c r="O865" s="15"/>
    </row>
    <row r="866" customFormat="false" ht="25.35" hidden="false" customHeight="false" outlineLevel="0" collapsed="false">
      <c r="A866" s="9" t="n">
        <v>860</v>
      </c>
      <c r="B866" s="10" t="s">
        <v>1264</v>
      </c>
      <c r="C866" s="10" t="s">
        <v>1265</v>
      </c>
      <c r="D866" s="11" t="n">
        <v>0.0109077546296296</v>
      </c>
      <c r="E866" s="12" t="n">
        <v>933</v>
      </c>
      <c r="F866" s="11" t="n">
        <v>0.00704351851851852</v>
      </c>
      <c r="G866" s="12" t="n">
        <v>383</v>
      </c>
      <c r="H866" s="11"/>
      <c r="I866" s="12"/>
      <c r="J866" s="12" t="n">
        <f aca="false">COUNT(E866,G866,I866)</f>
        <v>2</v>
      </c>
      <c r="K866" s="13" t="n">
        <f aca="false">MIN(E866,G866,I866)</f>
        <v>383</v>
      </c>
      <c r="L866" s="9" t="str">
        <f aca="false">IF(E866=K866,"5000m",IF(G866=K866,"3000mSC","1500m"))</f>
        <v>3000mSC</v>
      </c>
      <c r="M866" s="14" t="n">
        <f aca="false">(D866&lt;&gt;"")*(D866&lt;=($E$3*60+$F$3)/86400)+(F866&lt;&gt;"")*(F866&lt;=($I$3*60+$J$3)/86400)+(H866&lt;&gt;"")*(H866&lt;=($M$3*60+$N$3)/86400)</f>
        <v>0</v>
      </c>
      <c r="N866" s="16"/>
      <c r="O866" s="15"/>
    </row>
    <row r="867" customFormat="false" ht="15" hidden="false" customHeight="false" outlineLevel="0" collapsed="false">
      <c r="A867" s="9" t="n">
        <v>861</v>
      </c>
      <c r="B867" s="10" t="s">
        <v>1266</v>
      </c>
      <c r="C867" s="10" t="s">
        <v>149</v>
      </c>
      <c r="D867" s="11" t="n">
        <v>0.0105378472222222</v>
      </c>
      <c r="E867" s="12" t="n">
        <v>383</v>
      </c>
      <c r="F867" s="11"/>
      <c r="G867" s="12"/>
      <c r="H867" s="11"/>
      <c r="I867" s="12"/>
      <c r="J867" s="12" t="n">
        <f aca="false">COUNT(E867,G867,I867)</f>
        <v>1</v>
      </c>
      <c r="K867" s="13" t="n">
        <f aca="false">MIN(E867,G867,I867)</f>
        <v>383</v>
      </c>
      <c r="L867" s="9" t="str">
        <f aca="false">IF(E867=K867,"5000m",IF(G867=K867,"3000mSC","1500m"))</f>
        <v>5000m</v>
      </c>
      <c r="M867" s="14" t="n">
        <f aca="false">(D867&lt;&gt;"")*(D867&lt;=($E$3*60+$F$3)/86400)+(F867&lt;&gt;"")*(F867&lt;=($I$3*60+$J$3)/86400)+(H867&lt;&gt;"")*(H867&lt;=($M$3*60+$N$3)/86400)</f>
        <v>0</v>
      </c>
      <c r="N867" s="16"/>
      <c r="O867" s="15"/>
    </row>
    <row r="868" customFormat="false" ht="15" hidden="false" customHeight="false" outlineLevel="0" collapsed="false">
      <c r="A868" s="9" t="n">
        <v>862</v>
      </c>
      <c r="B868" s="10" t="s">
        <v>1267</v>
      </c>
      <c r="C868" s="10" t="s">
        <v>1268</v>
      </c>
      <c r="D868" s="11"/>
      <c r="E868" s="12"/>
      <c r="F868" s="11"/>
      <c r="G868" s="12"/>
      <c r="H868" s="11" t="n">
        <v>0.00282326388888889</v>
      </c>
      <c r="I868" s="12" t="n">
        <v>383</v>
      </c>
      <c r="J868" s="12" t="n">
        <f aca="false">COUNT(E868,G868,I868)</f>
        <v>1</v>
      </c>
      <c r="K868" s="13" t="n">
        <f aca="false">MIN(E868,G868,I868)</f>
        <v>383</v>
      </c>
      <c r="L868" s="9" t="str">
        <f aca="false">IF(E868=K868,"5000m",IF(G868=K868,"3000mSC","1500m"))</f>
        <v>1500m</v>
      </c>
      <c r="M868" s="14" t="n">
        <f aca="false">(D868&lt;&gt;"")*(D868&lt;=($E$3*60+$F$3)/86400)+(F868&lt;&gt;"")*(F868&lt;=($I$3*60+$J$3)/86400)+(H868&lt;&gt;"")*(H868&lt;=($M$3*60+$N$3)/86400)</f>
        <v>0</v>
      </c>
      <c r="N868" s="16"/>
      <c r="O868" s="15"/>
    </row>
    <row r="869" customFormat="false" ht="15" hidden="false" customHeight="false" outlineLevel="0" collapsed="false">
      <c r="A869" s="9" t="n">
        <v>863</v>
      </c>
      <c r="B869" s="10" t="s">
        <v>1269</v>
      </c>
      <c r="C869" s="10" t="s">
        <v>380</v>
      </c>
      <c r="D869" s="11" t="n">
        <v>0.0105391203703704</v>
      </c>
      <c r="E869" s="12" t="n">
        <v>384</v>
      </c>
      <c r="F869" s="11"/>
      <c r="G869" s="12"/>
      <c r="H869" s="11" t="n">
        <v>0.00288923611111111</v>
      </c>
      <c r="I869" s="12" t="n">
        <v>858</v>
      </c>
      <c r="J869" s="12" t="n">
        <f aca="false">COUNT(E869,G869,I869)</f>
        <v>2</v>
      </c>
      <c r="K869" s="13" t="n">
        <f aca="false">MIN(E869,G869,I869)</f>
        <v>384</v>
      </c>
      <c r="L869" s="9" t="str">
        <f aca="false">IF(E869=K869,"5000m",IF(G869=K869,"3000mSC","1500m"))</f>
        <v>5000m</v>
      </c>
      <c r="M869" s="14" t="n">
        <f aca="false">(D869&lt;&gt;"")*(D869&lt;=($E$3*60+$F$3)/86400)+(F869&lt;&gt;"")*(F869&lt;=($I$3*60+$J$3)/86400)+(H869&lt;&gt;"")*(H869&lt;=($M$3*60+$N$3)/86400)</f>
        <v>0</v>
      </c>
      <c r="N869" s="16"/>
      <c r="O869" s="15"/>
    </row>
    <row r="870" customFormat="false" ht="25.35" hidden="false" customHeight="false" outlineLevel="0" collapsed="false">
      <c r="A870" s="9" t="n">
        <v>864</v>
      </c>
      <c r="B870" s="10" t="s">
        <v>1270</v>
      </c>
      <c r="C870" s="10" t="s">
        <v>1271</v>
      </c>
      <c r="D870" s="11"/>
      <c r="E870" s="12"/>
      <c r="F870" s="11" t="n">
        <v>0.00704444444444444</v>
      </c>
      <c r="G870" s="12" t="n">
        <v>384</v>
      </c>
      <c r="H870" s="11"/>
      <c r="I870" s="12"/>
      <c r="J870" s="12" t="n">
        <f aca="false">COUNT(E870,G870,I870)</f>
        <v>1</v>
      </c>
      <c r="K870" s="13" t="n">
        <f aca="false">MIN(E870,G870,I870)</f>
        <v>384</v>
      </c>
      <c r="L870" s="9" t="str">
        <f aca="false">IF(E870=K870,"5000m",IF(G870=K870,"3000mSC","1500m"))</f>
        <v>3000mSC</v>
      </c>
      <c r="M870" s="14" t="n">
        <f aca="false">(D870&lt;&gt;"")*(D870&lt;=($E$3*60+$F$3)/86400)+(F870&lt;&gt;"")*(F870&lt;=($I$3*60+$J$3)/86400)+(H870&lt;&gt;"")*(H870&lt;=($M$3*60+$N$3)/86400)</f>
        <v>0</v>
      </c>
      <c r="N870" s="16"/>
      <c r="O870" s="15"/>
    </row>
    <row r="871" customFormat="false" ht="15" hidden="false" customHeight="false" outlineLevel="0" collapsed="false">
      <c r="A871" s="9" t="n">
        <v>865</v>
      </c>
      <c r="B871" s="10" t="s">
        <v>1272</v>
      </c>
      <c r="C871" s="10" t="s">
        <v>126</v>
      </c>
      <c r="D871" s="11"/>
      <c r="E871" s="12"/>
      <c r="F871" s="11"/>
      <c r="G871" s="12"/>
      <c r="H871" s="11" t="n">
        <v>0.00282361111111111</v>
      </c>
      <c r="I871" s="12" t="n">
        <v>384</v>
      </c>
      <c r="J871" s="12" t="n">
        <f aca="false">COUNT(E871,G871,I871)</f>
        <v>1</v>
      </c>
      <c r="K871" s="13" t="n">
        <f aca="false">MIN(E871,G871,I871)</f>
        <v>384</v>
      </c>
      <c r="L871" s="9" t="str">
        <f aca="false">IF(E871=K871,"5000m",IF(G871=K871,"3000mSC","1500m"))</f>
        <v>1500m</v>
      </c>
      <c r="M871" s="14" t="n">
        <f aca="false">(D871&lt;&gt;"")*(D871&lt;=($E$3*60+$F$3)/86400)+(F871&lt;&gt;"")*(F871&lt;=($I$3*60+$J$3)/86400)+(H871&lt;&gt;"")*(H871&lt;=($M$3*60+$N$3)/86400)</f>
        <v>0</v>
      </c>
      <c r="N871" s="16"/>
      <c r="O871" s="15"/>
    </row>
    <row r="872" customFormat="false" ht="15" hidden="false" customHeight="false" outlineLevel="0" collapsed="false">
      <c r="A872" s="9" t="n">
        <v>866</v>
      </c>
      <c r="B872" s="10" t="s">
        <v>1273</v>
      </c>
      <c r="C872" s="10" t="s">
        <v>181</v>
      </c>
      <c r="D872" s="11" t="n">
        <v>0.0109680555555556</v>
      </c>
      <c r="E872" s="12" t="n">
        <v>1032</v>
      </c>
      <c r="F872" s="11"/>
      <c r="G872" s="12"/>
      <c r="H872" s="11" t="n">
        <v>0.00282372685185185</v>
      </c>
      <c r="I872" s="12" t="n">
        <v>385</v>
      </c>
      <c r="J872" s="12" t="n">
        <f aca="false">COUNT(E872,G872,I872)</f>
        <v>2</v>
      </c>
      <c r="K872" s="13" t="n">
        <f aca="false">MIN(E872,G872,I872)</f>
        <v>385</v>
      </c>
      <c r="L872" s="9" t="str">
        <f aca="false">IF(E872=K872,"5000m",IF(G872=K872,"3000mSC","1500m"))</f>
        <v>1500m</v>
      </c>
      <c r="M872" s="14" t="n">
        <f aca="false">(D872&lt;&gt;"")*(D872&lt;=($E$3*60+$F$3)/86400)+(F872&lt;&gt;"")*(F872&lt;=($I$3*60+$J$3)/86400)+(H872&lt;&gt;"")*(H872&lt;=($M$3*60+$N$3)/86400)</f>
        <v>0</v>
      </c>
      <c r="N872" s="16"/>
      <c r="O872" s="15"/>
    </row>
    <row r="873" customFormat="false" ht="25.35" hidden="false" customHeight="false" outlineLevel="0" collapsed="false">
      <c r="A873" s="9" t="n">
        <v>867</v>
      </c>
      <c r="B873" s="10" t="s">
        <v>1274</v>
      </c>
      <c r="C873" s="10" t="s">
        <v>861</v>
      </c>
      <c r="D873" s="11"/>
      <c r="E873" s="12"/>
      <c r="F873" s="11" t="n">
        <v>0.00704467592592593</v>
      </c>
      <c r="G873" s="12" t="n">
        <v>385</v>
      </c>
      <c r="H873" s="11"/>
      <c r="I873" s="12"/>
      <c r="J873" s="12" t="n">
        <f aca="false">COUNT(E873,G873,I873)</f>
        <v>1</v>
      </c>
      <c r="K873" s="13" t="n">
        <f aca="false">MIN(E873,G873,I873)</f>
        <v>385</v>
      </c>
      <c r="L873" s="9" t="str">
        <f aca="false">IF(E873=K873,"5000m",IF(G873=K873,"3000mSC","1500m"))</f>
        <v>3000mSC</v>
      </c>
      <c r="M873" s="14" t="n">
        <f aca="false">(D873&lt;&gt;"")*(D873&lt;=($E$3*60+$F$3)/86400)+(F873&lt;&gt;"")*(F873&lt;=($I$3*60+$J$3)/86400)+(H873&lt;&gt;"")*(H873&lt;=($M$3*60+$N$3)/86400)</f>
        <v>0</v>
      </c>
      <c r="N873" s="16"/>
      <c r="O873" s="15"/>
    </row>
    <row r="874" customFormat="false" ht="15" hidden="false" customHeight="false" outlineLevel="0" collapsed="false">
      <c r="A874" s="9" t="n">
        <v>868</v>
      </c>
      <c r="B874" s="10" t="s">
        <v>1275</v>
      </c>
      <c r="C874" s="10" t="s">
        <v>1276</v>
      </c>
      <c r="D874" s="11" t="n">
        <v>0.0109971064814815</v>
      </c>
      <c r="E874" s="12" t="n">
        <v>1093</v>
      </c>
      <c r="F874" s="11"/>
      <c r="G874" s="12"/>
      <c r="H874" s="11" t="n">
        <v>0.00282384259259259</v>
      </c>
      <c r="I874" s="12" t="n">
        <v>386</v>
      </c>
      <c r="J874" s="12" t="n">
        <f aca="false">COUNT(E874,G874,I874)</f>
        <v>2</v>
      </c>
      <c r="K874" s="13" t="n">
        <f aca="false">MIN(E874,G874,I874)</f>
        <v>386</v>
      </c>
      <c r="L874" s="9" t="str">
        <f aca="false">IF(E874=K874,"5000m",IF(G874=K874,"3000mSC","1500m"))</f>
        <v>1500m</v>
      </c>
      <c r="M874" s="14" t="n">
        <f aca="false">(D874&lt;&gt;"")*(D874&lt;=($E$3*60+$F$3)/86400)+(F874&lt;&gt;"")*(F874&lt;=($I$3*60+$J$3)/86400)+(H874&lt;&gt;"")*(H874&lt;=($M$3*60+$N$3)/86400)</f>
        <v>0</v>
      </c>
      <c r="N874" s="16"/>
      <c r="O874" s="15"/>
    </row>
    <row r="875" customFormat="false" ht="15" hidden="false" customHeight="false" outlineLevel="0" collapsed="false">
      <c r="A875" s="9" t="n">
        <v>869</v>
      </c>
      <c r="B875" s="10" t="s">
        <v>1277</v>
      </c>
      <c r="C875" s="10" t="s">
        <v>39</v>
      </c>
      <c r="D875" s="11" t="n">
        <v>0.010540162037037</v>
      </c>
      <c r="E875" s="12" t="n">
        <v>386</v>
      </c>
      <c r="F875" s="11"/>
      <c r="G875" s="12"/>
      <c r="H875" s="11"/>
      <c r="I875" s="12"/>
      <c r="J875" s="12" t="n">
        <f aca="false">COUNT(E875,G875,I875)</f>
        <v>1</v>
      </c>
      <c r="K875" s="13" t="n">
        <f aca="false">MIN(E875,G875,I875)</f>
        <v>386</v>
      </c>
      <c r="L875" s="9" t="str">
        <f aca="false">IF(E875=K875,"5000m",IF(G875=K875,"3000mSC","1500m"))</f>
        <v>5000m</v>
      </c>
      <c r="M875" s="14" t="n">
        <f aca="false">(D875&lt;&gt;"")*(D875&lt;=($E$3*60+$F$3)/86400)+(F875&lt;&gt;"")*(F875&lt;=($I$3*60+$J$3)/86400)+(H875&lt;&gt;"")*(H875&lt;=($M$3*60+$N$3)/86400)</f>
        <v>0</v>
      </c>
      <c r="N875" s="16"/>
      <c r="O875" s="15"/>
    </row>
    <row r="876" customFormat="false" ht="25.35" hidden="false" customHeight="false" outlineLevel="0" collapsed="false">
      <c r="A876" s="9" t="n">
        <v>870</v>
      </c>
      <c r="B876" s="10" t="s">
        <v>1278</v>
      </c>
      <c r="C876" s="10" t="s">
        <v>567</v>
      </c>
      <c r="D876" s="11"/>
      <c r="E876" s="12"/>
      <c r="F876" s="11" t="n">
        <v>0.00704675925925926</v>
      </c>
      <c r="G876" s="12" t="n">
        <v>386</v>
      </c>
      <c r="H876" s="11"/>
      <c r="I876" s="12"/>
      <c r="J876" s="12" t="n">
        <f aca="false">COUNT(E876,G876,I876)</f>
        <v>1</v>
      </c>
      <c r="K876" s="13" t="n">
        <f aca="false">MIN(E876,G876,I876)</f>
        <v>386</v>
      </c>
      <c r="L876" s="9" t="str">
        <f aca="false">IF(E876=K876,"5000m",IF(G876=K876,"3000mSC","1500m"))</f>
        <v>3000mSC</v>
      </c>
      <c r="M876" s="14" t="n">
        <f aca="false">(D876&lt;&gt;"")*(D876&lt;=($E$3*60+$F$3)/86400)+(F876&lt;&gt;"")*(F876&lt;=($I$3*60+$J$3)/86400)+(H876&lt;&gt;"")*(H876&lt;=($M$3*60+$N$3)/86400)</f>
        <v>0</v>
      </c>
      <c r="N876" s="16"/>
      <c r="O876" s="15"/>
    </row>
    <row r="877" customFormat="false" ht="25.35" hidden="false" customHeight="false" outlineLevel="0" collapsed="false">
      <c r="A877" s="9" t="n">
        <v>871</v>
      </c>
      <c r="B877" s="10" t="s">
        <v>1279</v>
      </c>
      <c r="C877" s="10" t="s">
        <v>1280</v>
      </c>
      <c r="D877" s="11" t="n">
        <v>0.011015162037037</v>
      </c>
      <c r="E877" s="12" t="n">
        <v>1118</v>
      </c>
      <c r="F877" s="11" t="n">
        <v>0.00704675925925926</v>
      </c>
      <c r="G877" s="12" t="n">
        <v>387</v>
      </c>
      <c r="H877" s="11" t="n">
        <v>0.00292349537037037</v>
      </c>
      <c r="I877" s="12" t="n">
        <v>1133</v>
      </c>
      <c r="J877" s="12" t="n">
        <f aca="false">COUNT(E877,G877,I877)</f>
        <v>3</v>
      </c>
      <c r="K877" s="13" t="n">
        <f aca="false">MIN(E877,G877,I877)</f>
        <v>387</v>
      </c>
      <c r="L877" s="9" t="str">
        <f aca="false">IF(E877=K877,"5000m",IF(G877=K877,"3000mSC","1500m"))</f>
        <v>3000mSC</v>
      </c>
      <c r="M877" s="14" t="n">
        <f aca="false">(D877&lt;&gt;"")*(D877&lt;=($E$3*60+$F$3)/86400)+(F877&lt;&gt;"")*(F877&lt;=($I$3*60+$J$3)/86400)+(H877&lt;&gt;"")*(H877&lt;=($M$3*60+$N$3)/86400)</f>
        <v>0</v>
      </c>
      <c r="N877" s="16"/>
      <c r="O877" s="15"/>
    </row>
    <row r="878" customFormat="false" ht="15" hidden="false" customHeight="false" outlineLevel="0" collapsed="false">
      <c r="A878" s="9" t="n">
        <v>872</v>
      </c>
      <c r="B878" s="10" t="s">
        <v>1281</v>
      </c>
      <c r="C878" s="10" t="s">
        <v>130</v>
      </c>
      <c r="D878" s="11" t="n">
        <v>0.0105407407407407</v>
      </c>
      <c r="E878" s="12" t="n">
        <v>388</v>
      </c>
      <c r="F878" s="11"/>
      <c r="G878" s="12"/>
      <c r="H878" s="11"/>
      <c r="I878" s="12"/>
      <c r="J878" s="12" t="n">
        <f aca="false">COUNT(E878,G878,I878)</f>
        <v>1</v>
      </c>
      <c r="K878" s="13" t="n">
        <f aca="false">MIN(E878,G878,I878)</f>
        <v>388</v>
      </c>
      <c r="L878" s="9" t="str">
        <f aca="false">IF(E878=K878,"5000m",IF(G878=K878,"3000mSC","1500m"))</f>
        <v>5000m</v>
      </c>
      <c r="M878" s="14" t="n">
        <f aca="false">(D878&lt;&gt;"")*(D878&lt;=($E$3*60+$F$3)/86400)+(F878&lt;&gt;"")*(F878&lt;=($I$3*60+$J$3)/86400)+(H878&lt;&gt;"")*(H878&lt;=($M$3*60+$N$3)/86400)</f>
        <v>0</v>
      </c>
      <c r="N878" s="16"/>
      <c r="O878" s="15"/>
    </row>
    <row r="879" customFormat="false" ht="25.35" hidden="false" customHeight="false" outlineLevel="0" collapsed="false">
      <c r="A879" s="9" t="n">
        <v>873</v>
      </c>
      <c r="B879" s="10" t="s">
        <v>1282</v>
      </c>
      <c r="C879" s="10" t="s">
        <v>1283</v>
      </c>
      <c r="D879" s="11"/>
      <c r="E879" s="12"/>
      <c r="F879" s="11" t="n">
        <v>0.00704699074074074</v>
      </c>
      <c r="G879" s="12" t="n">
        <v>388</v>
      </c>
      <c r="H879" s="11"/>
      <c r="I879" s="12"/>
      <c r="J879" s="12" t="n">
        <f aca="false">COUNT(E879,G879,I879)</f>
        <v>1</v>
      </c>
      <c r="K879" s="13" t="n">
        <f aca="false">MIN(E879,G879,I879)</f>
        <v>388</v>
      </c>
      <c r="L879" s="9" t="str">
        <f aca="false">IF(E879=K879,"5000m",IF(G879=K879,"3000mSC","1500m"))</f>
        <v>3000mSC</v>
      </c>
      <c r="M879" s="14" t="n">
        <f aca="false">(D879&lt;&gt;"")*(D879&lt;=($E$3*60+$F$3)/86400)+(F879&lt;&gt;"")*(F879&lt;=($I$3*60+$J$3)/86400)+(H879&lt;&gt;"")*(H879&lt;=($M$3*60+$N$3)/86400)</f>
        <v>0</v>
      </c>
      <c r="N879" s="16"/>
      <c r="O879" s="15"/>
    </row>
    <row r="880" customFormat="false" ht="15" hidden="false" customHeight="false" outlineLevel="0" collapsed="false">
      <c r="A880" s="9" t="n">
        <v>874</v>
      </c>
      <c r="B880" s="10" t="s">
        <v>1284</v>
      </c>
      <c r="C880" s="10" t="s">
        <v>492</v>
      </c>
      <c r="D880" s="11"/>
      <c r="E880" s="12"/>
      <c r="F880" s="11"/>
      <c r="G880" s="12"/>
      <c r="H880" s="11" t="n">
        <v>0.00282407407407407</v>
      </c>
      <c r="I880" s="12" t="n">
        <v>388</v>
      </c>
      <c r="J880" s="12" t="n">
        <f aca="false">COUNT(E880,G880,I880)</f>
        <v>1</v>
      </c>
      <c r="K880" s="13" t="n">
        <f aca="false">MIN(E880,G880,I880)</f>
        <v>388</v>
      </c>
      <c r="L880" s="9" t="str">
        <f aca="false">IF(E880=K880,"5000m",IF(G880=K880,"3000mSC","1500m"))</f>
        <v>1500m</v>
      </c>
      <c r="M880" s="14" t="n">
        <f aca="false">(D880&lt;&gt;"")*(D880&lt;=($E$3*60+$F$3)/86400)+(F880&lt;&gt;"")*(F880&lt;=($I$3*60+$J$3)/86400)+(H880&lt;&gt;"")*(H880&lt;=($M$3*60+$N$3)/86400)</f>
        <v>0</v>
      </c>
      <c r="N880" s="16"/>
      <c r="O880" s="15"/>
    </row>
    <row r="881" customFormat="false" ht="25.35" hidden="false" customHeight="false" outlineLevel="0" collapsed="false">
      <c r="A881" s="9" t="n">
        <v>875</v>
      </c>
      <c r="B881" s="10" t="s">
        <v>1285</v>
      </c>
      <c r="C881" s="10" t="s">
        <v>1286</v>
      </c>
      <c r="D881" s="11" t="n">
        <v>0.0108793981481482</v>
      </c>
      <c r="E881" s="12" t="n">
        <v>887</v>
      </c>
      <c r="F881" s="11" t="n">
        <v>0.00704988425925926</v>
      </c>
      <c r="G881" s="12" t="n">
        <v>389</v>
      </c>
      <c r="H881" s="11"/>
      <c r="I881" s="12"/>
      <c r="J881" s="12" t="n">
        <f aca="false">COUNT(E881,G881,I881)</f>
        <v>2</v>
      </c>
      <c r="K881" s="13" t="n">
        <f aca="false">MIN(E881,G881,I881)</f>
        <v>389</v>
      </c>
      <c r="L881" s="9" t="str">
        <f aca="false">IF(E881=K881,"5000m",IF(G881=K881,"3000mSC","1500m"))</f>
        <v>3000mSC</v>
      </c>
      <c r="M881" s="14" t="n">
        <f aca="false">(D881&lt;&gt;"")*(D881&lt;=($E$3*60+$F$3)/86400)+(F881&lt;&gt;"")*(F881&lt;=($I$3*60+$J$3)/86400)+(H881&lt;&gt;"")*(H881&lt;=($M$3*60+$N$3)/86400)</f>
        <v>0</v>
      </c>
      <c r="N881" s="16"/>
      <c r="O881" s="15"/>
    </row>
    <row r="882" customFormat="false" ht="15" hidden="false" customHeight="false" outlineLevel="0" collapsed="false">
      <c r="A882" s="9" t="n">
        <v>876</v>
      </c>
      <c r="B882" s="10" t="s">
        <v>1287</v>
      </c>
      <c r="C882" s="10" t="s">
        <v>1288</v>
      </c>
      <c r="D882" s="11" t="n">
        <v>0.0109412037037037</v>
      </c>
      <c r="E882" s="12" t="n">
        <v>982</v>
      </c>
      <c r="F882" s="11"/>
      <c r="G882" s="12"/>
      <c r="H882" s="11" t="n">
        <v>0.00282465277777778</v>
      </c>
      <c r="I882" s="12" t="n">
        <v>390</v>
      </c>
      <c r="J882" s="12" t="n">
        <f aca="false">COUNT(E882,G882,I882)</f>
        <v>2</v>
      </c>
      <c r="K882" s="13" t="n">
        <f aca="false">MIN(E882,G882,I882)</f>
        <v>390</v>
      </c>
      <c r="L882" s="9" t="str">
        <f aca="false">IF(E882=K882,"5000m",IF(G882=K882,"3000mSC","1500m"))</f>
        <v>1500m</v>
      </c>
      <c r="M882" s="14" t="n">
        <f aca="false">(D882&lt;&gt;"")*(D882&lt;=($E$3*60+$F$3)/86400)+(F882&lt;&gt;"")*(F882&lt;=($I$3*60+$J$3)/86400)+(H882&lt;&gt;"")*(H882&lt;=($M$3*60+$N$3)/86400)</f>
        <v>0</v>
      </c>
      <c r="N882" s="16"/>
      <c r="O882" s="15"/>
    </row>
    <row r="883" customFormat="false" ht="15" hidden="false" customHeight="false" outlineLevel="0" collapsed="false">
      <c r="A883" s="9" t="n">
        <v>877</v>
      </c>
      <c r="B883" s="10" t="s">
        <v>1289</v>
      </c>
      <c r="C883" s="10" t="s">
        <v>47</v>
      </c>
      <c r="D883" s="11" t="n">
        <v>0.0105425925925926</v>
      </c>
      <c r="E883" s="12" t="n">
        <v>390</v>
      </c>
      <c r="F883" s="11"/>
      <c r="G883" s="12"/>
      <c r="H883" s="11"/>
      <c r="I883" s="12"/>
      <c r="J883" s="12" t="n">
        <f aca="false">COUNT(E883,G883,I883)</f>
        <v>1</v>
      </c>
      <c r="K883" s="13" t="n">
        <f aca="false">MIN(E883,G883,I883)</f>
        <v>390</v>
      </c>
      <c r="L883" s="9" t="str">
        <f aca="false">IF(E883=K883,"5000m",IF(G883=K883,"3000mSC","1500m"))</f>
        <v>5000m</v>
      </c>
      <c r="M883" s="14" t="n">
        <f aca="false">(D883&lt;&gt;"")*(D883&lt;=($E$3*60+$F$3)/86400)+(F883&lt;&gt;"")*(F883&lt;=($I$3*60+$J$3)/86400)+(H883&lt;&gt;"")*(H883&lt;=($M$3*60+$N$3)/86400)</f>
        <v>0</v>
      </c>
      <c r="N883" s="16"/>
      <c r="O883" s="15"/>
    </row>
    <row r="884" customFormat="false" ht="25.35" hidden="false" customHeight="false" outlineLevel="0" collapsed="false">
      <c r="A884" s="9" t="n">
        <v>878</v>
      </c>
      <c r="B884" s="10" t="s">
        <v>1290</v>
      </c>
      <c r="C884" s="10" t="s">
        <v>377</v>
      </c>
      <c r="D884" s="11"/>
      <c r="E884" s="12"/>
      <c r="F884" s="11" t="n">
        <v>0.00705023148148148</v>
      </c>
      <c r="G884" s="12" t="n">
        <v>390</v>
      </c>
      <c r="H884" s="11"/>
      <c r="I884" s="12"/>
      <c r="J884" s="12" t="n">
        <f aca="false">COUNT(E884,G884,I884)</f>
        <v>1</v>
      </c>
      <c r="K884" s="13" t="n">
        <f aca="false">MIN(E884,G884,I884)</f>
        <v>390</v>
      </c>
      <c r="L884" s="9" t="str">
        <f aca="false">IF(E884=K884,"5000m",IF(G884=K884,"3000mSC","1500m"))</f>
        <v>3000mSC</v>
      </c>
      <c r="M884" s="14" t="n">
        <f aca="false">(D884&lt;&gt;"")*(D884&lt;=($E$3*60+$F$3)/86400)+(F884&lt;&gt;"")*(F884&lt;=($I$3*60+$J$3)/86400)+(H884&lt;&gt;"")*(H884&lt;=($M$3*60+$N$3)/86400)</f>
        <v>0</v>
      </c>
      <c r="N884" s="16"/>
      <c r="O884" s="15"/>
    </row>
    <row r="885" customFormat="false" ht="25.35" hidden="false" customHeight="false" outlineLevel="0" collapsed="false">
      <c r="A885" s="9" t="n">
        <v>879</v>
      </c>
      <c r="B885" s="10" t="s">
        <v>1291</v>
      </c>
      <c r="C885" s="10" t="s">
        <v>171</v>
      </c>
      <c r="D885" s="11"/>
      <c r="E885" s="12"/>
      <c r="F885" s="11" t="n">
        <v>0.00705046296296296</v>
      </c>
      <c r="G885" s="12" t="n">
        <v>391</v>
      </c>
      <c r="H885" s="11"/>
      <c r="I885" s="12"/>
      <c r="J885" s="12" t="n">
        <f aca="false">COUNT(E885,G885,I885)</f>
        <v>1</v>
      </c>
      <c r="K885" s="13" t="n">
        <f aca="false">MIN(E885,G885,I885)</f>
        <v>391</v>
      </c>
      <c r="L885" s="9" t="str">
        <f aca="false">IF(E885=K885,"5000m",IF(G885=K885,"3000mSC","1500m"))</f>
        <v>3000mSC</v>
      </c>
      <c r="M885" s="14" t="n">
        <f aca="false">(D885&lt;&gt;"")*(D885&lt;=($E$3*60+$F$3)/86400)+(F885&lt;&gt;"")*(F885&lt;=($I$3*60+$J$3)/86400)+(H885&lt;&gt;"")*(H885&lt;=($M$3*60+$N$3)/86400)</f>
        <v>0</v>
      </c>
      <c r="N885" s="16"/>
      <c r="O885" s="15"/>
    </row>
    <row r="886" customFormat="false" ht="15" hidden="false" customHeight="false" outlineLevel="0" collapsed="false">
      <c r="A886" s="9" t="n">
        <v>880</v>
      </c>
      <c r="B886" s="10" t="s">
        <v>1292</v>
      </c>
      <c r="C886" s="10" t="s">
        <v>326</v>
      </c>
      <c r="D886" s="11" t="n">
        <v>0.010544212962963</v>
      </c>
      <c r="E886" s="12" t="n">
        <v>392</v>
      </c>
      <c r="F886" s="11"/>
      <c r="G886" s="12"/>
      <c r="H886" s="11" t="n">
        <v>0.00284861111111111</v>
      </c>
      <c r="I886" s="12" t="n">
        <v>560</v>
      </c>
      <c r="J886" s="12" t="n">
        <f aca="false">COUNT(E886,G886,I886)</f>
        <v>2</v>
      </c>
      <c r="K886" s="13" t="n">
        <f aca="false">MIN(E886,G886,I886)</f>
        <v>392</v>
      </c>
      <c r="L886" s="9" t="str">
        <f aca="false">IF(E886=K886,"5000m",IF(G886=K886,"3000mSC","1500m"))</f>
        <v>5000m</v>
      </c>
      <c r="M886" s="14" t="n">
        <f aca="false">(D886&lt;&gt;"")*(D886&lt;=($E$3*60+$F$3)/86400)+(F886&lt;&gt;"")*(F886&lt;=($I$3*60+$J$3)/86400)+(H886&lt;&gt;"")*(H886&lt;=($M$3*60+$N$3)/86400)</f>
        <v>0</v>
      </c>
      <c r="N886" s="16"/>
      <c r="O886" s="15"/>
    </row>
    <row r="887" customFormat="false" ht="25.35" hidden="false" customHeight="false" outlineLevel="0" collapsed="false">
      <c r="A887" s="9" t="n">
        <v>881</v>
      </c>
      <c r="B887" s="10" t="s">
        <v>1293</v>
      </c>
      <c r="C887" s="10" t="s">
        <v>795</v>
      </c>
      <c r="D887" s="11"/>
      <c r="E887" s="12"/>
      <c r="F887" s="11" t="n">
        <v>0.00705092592592593</v>
      </c>
      <c r="G887" s="12" t="n">
        <v>392</v>
      </c>
      <c r="H887" s="11"/>
      <c r="I887" s="12"/>
      <c r="J887" s="12" t="n">
        <f aca="false">COUNT(E887,G887,I887)</f>
        <v>1</v>
      </c>
      <c r="K887" s="13" t="n">
        <f aca="false">MIN(E887,G887,I887)</f>
        <v>392</v>
      </c>
      <c r="L887" s="9" t="str">
        <f aca="false">IF(E887=K887,"5000m",IF(G887=K887,"3000mSC","1500m"))</f>
        <v>3000mSC</v>
      </c>
      <c r="M887" s="14" t="n">
        <f aca="false">(D887&lt;&gt;"")*(D887&lt;=($E$3*60+$F$3)/86400)+(F887&lt;&gt;"")*(F887&lt;=($I$3*60+$J$3)/86400)+(H887&lt;&gt;"")*(H887&lt;=($M$3*60+$N$3)/86400)</f>
        <v>0</v>
      </c>
      <c r="N887" s="16"/>
      <c r="O887" s="15"/>
    </row>
    <row r="888" customFormat="false" ht="15" hidden="false" customHeight="false" outlineLevel="0" collapsed="false">
      <c r="A888" s="9" t="n">
        <v>882</v>
      </c>
      <c r="B888" s="10" t="s">
        <v>1294</v>
      </c>
      <c r="C888" s="10" t="s">
        <v>1295</v>
      </c>
      <c r="D888" s="11"/>
      <c r="E888" s="12"/>
      <c r="F888" s="11"/>
      <c r="G888" s="12"/>
      <c r="H888" s="11" t="n">
        <v>0.00282488425925926</v>
      </c>
      <c r="I888" s="12" t="n">
        <v>392</v>
      </c>
      <c r="J888" s="12" t="n">
        <f aca="false">COUNT(E888,G888,I888)</f>
        <v>1</v>
      </c>
      <c r="K888" s="13" t="n">
        <f aca="false">MIN(E888,G888,I888)</f>
        <v>392</v>
      </c>
      <c r="L888" s="9" t="str">
        <f aca="false">IF(E888=K888,"5000m",IF(G888=K888,"3000mSC","1500m"))</f>
        <v>1500m</v>
      </c>
      <c r="M888" s="14" t="n">
        <f aca="false">(D888&lt;&gt;"")*(D888&lt;=($E$3*60+$F$3)/86400)+(F888&lt;&gt;"")*(F888&lt;=($I$3*60+$J$3)/86400)+(H888&lt;&gt;"")*(H888&lt;=($M$3*60+$N$3)/86400)</f>
        <v>0</v>
      </c>
      <c r="N888" s="16"/>
      <c r="O888" s="15"/>
    </row>
    <row r="889" customFormat="false" ht="15" hidden="false" customHeight="false" outlineLevel="0" collapsed="false">
      <c r="A889" s="9" t="n">
        <v>883</v>
      </c>
      <c r="B889" s="10" t="s">
        <v>1296</v>
      </c>
      <c r="C889" s="10" t="s">
        <v>1297</v>
      </c>
      <c r="D889" s="11" t="n">
        <v>0.0109144675925926</v>
      </c>
      <c r="E889" s="12" t="n">
        <v>946</v>
      </c>
      <c r="F889" s="11"/>
      <c r="G889" s="12"/>
      <c r="H889" s="11" t="n">
        <v>0.00282488425925926</v>
      </c>
      <c r="I889" s="12" t="n">
        <v>393</v>
      </c>
      <c r="J889" s="12" t="n">
        <f aca="false">COUNT(E889,G889,I889)</f>
        <v>2</v>
      </c>
      <c r="K889" s="13" t="n">
        <f aca="false">MIN(E889,G889,I889)</f>
        <v>393</v>
      </c>
      <c r="L889" s="9" t="str">
        <f aca="false">IF(E889=K889,"5000m",IF(G889=K889,"3000mSC","1500m"))</f>
        <v>1500m</v>
      </c>
      <c r="M889" s="14" t="n">
        <f aca="false">(D889&lt;&gt;"")*(D889&lt;=($E$3*60+$F$3)/86400)+(F889&lt;&gt;"")*(F889&lt;=($I$3*60+$J$3)/86400)+(H889&lt;&gt;"")*(H889&lt;=($M$3*60+$N$3)/86400)</f>
        <v>0</v>
      </c>
      <c r="N889" s="16"/>
      <c r="O889" s="15"/>
    </row>
    <row r="890" customFormat="false" ht="25.35" hidden="false" customHeight="false" outlineLevel="0" collapsed="false">
      <c r="A890" s="9" t="n">
        <v>884</v>
      </c>
      <c r="B890" s="10" t="s">
        <v>1298</v>
      </c>
      <c r="C890" s="10" t="s">
        <v>1299</v>
      </c>
      <c r="D890" s="11"/>
      <c r="E890" s="12"/>
      <c r="F890" s="11" t="n">
        <v>0.00705416666666667</v>
      </c>
      <c r="G890" s="12" t="n">
        <v>393</v>
      </c>
      <c r="H890" s="11" t="n">
        <v>0.00295925925925926</v>
      </c>
      <c r="I890" s="12" t="n">
        <v>1266</v>
      </c>
      <c r="J890" s="12" t="n">
        <f aca="false">COUNT(E890,G890,I890)</f>
        <v>2</v>
      </c>
      <c r="K890" s="13" t="n">
        <f aca="false">MIN(E890,G890,I890)</f>
        <v>393</v>
      </c>
      <c r="L890" s="9" t="str">
        <f aca="false">IF(E890=K890,"5000m",IF(G890=K890,"3000mSC","1500m"))</f>
        <v>3000mSC</v>
      </c>
      <c r="M890" s="14" t="n">
        <f aca="false">(D890&lt;&gt;"")*(D890&lt;=($E$3*60+$F$3)/86400)+(F890&lt;&gt;"")*(F890&lt;=($I$3*60+$J$3)/86400)+(H890&lt;&gt;"")*(H890&lt;=($M$3*60+$N$3)/86400)</f>
        <v>0</v>
      </c>
      <c r="N890" s="16"/>
      <c r="O890" s="15"/>
    </row>
    <row r="891" customFormat="false" ht="15" hidden="false" customHeight="false" outlineLevel="0" collapsed="false">
      <c r="A891" s="9" t="n">
        <v>885</v>
      </c>
      <c r="B891" s="10" t="s">
        <v>1300</v>
      </c>
      <c r="C891" s="10" t="s">
        <v>1301</v>
      </c>
      <c r="D891" s="11" t="n">
        <v>0.0105469907407407</v>
      </c>
      <c r="E891" s="12" t="n">
        <v>393</v>
      </c>
      <c r="F891" s="11"/>
      <c r="G891" s="12"/>
      <c r="H891" s="11"/>
      <c r="I891" s="12"/>
      <c r="J891" s="12" t="n">
        <f aca="false">COUNT(E891,G891,I891)</f>
        <v>1</v>
      </c>
      <c r="K891" s="13" t="n">
        <f aca="false">MIN(E891,G891,I891)</f>
        <v>393</v>
      </c>
      <c r="L891" s="9" t="str">
        <f aca="false">IF(E891=K891,"5000m",IF(G891=K891,"3000mSC","1500m"))</f>
        <v>5000m</v>
      </c>
      <c r="M891" s="14" t="n">
        <f aca="false">(D891&lt;&gt;"")*(D891&lt;=($E$3*60+$F$3)/86400)+(F891&lt;&gt;"")*(F891&lt;=($I$3*60+$J$3)/86400)+(H891&lt;&gt;"")*(H891&lt;=($M$3*60+$N$3)/86400)</f>
        <v>0</v>
      </c>
      <c r="N891" s="16"/>
      <c r="O891" s="15"/>
    </row>
    <row r="892" customFormat="false" ht="15" hidden="false" customHeight="false" outlineLevel="0" collapsed="false">
      <c r="A892" s="9" t="n">
        <v>886</v>
      </c>
      <c r="B892" s="10" t="s">
        <v>1302</v>
      </c>
      <c r="C892" s="10" t="s">
        <v>126</v>
      </c>
      <c r="D892" s="11" t="n">
        <v>0.0105475694444444</v>
      </c>
      <c r="E892" s="12" t="n">
        <v>394</v>
      </c>
      <c r="F892" s="11"/>
      <c r="G892" s="12"/>
      <c r="H892" s="11" t="n">
        <v>0.00288657407407407</v>
      </c>
      <c r="I892" s="12" t="n">
        <v>829</v>
      </c>
      <c r="J892" s="12" t="n">
        <f aca="false">COUNT(E892,G892,I892)</f>
        <v>2</v>
      </c>
      <c r="K892" s="13" t="n">
        <f aca="false">MIN(E892,G892,I892)</f>
        <v>394</v>
      </c>
      <c r="L892" s="9" t="str">
        <f aca="false">IF(E892=K892,"5000m",IF(G892=K892,"3000mSC","1500m"))</f>
        <v>5000m</v>
      </c>
      <c r="M892" s="14" t="n">
        <f aca="false">(D892&lt;&gt;"")*(D892&lt;=($E$3*60+$F$3)/86400)+(F892&lt;&gt;"")*(F892&lt;=($I$3*60+$J$3)/86400)+(H892&lt;&gt;"")*(H892&lt;=($M$3*60+$N$3)/86400)</f>
        <v>0</v>
      </c>
      <c r="N892" s="16"/>
      <c r="O892" s="15"/>
    </row>
    <row r="893" customFormat="false" ht="15" hidden="false" customHeight="false" outlineLevel="0" collapsed="false">
      <c r="A893" s="9" t="n">
        <v>887</v>
      </c>
      <c r="B893" s="10" t="s">
        <v>1303</v>
      </c>
      <c r="C893" s="10" t="s">
        <v>1304</v>
      </c>
      <c r="D893" s="11" t="n">
        <v>0.0109045138888889</v>
      </c>
      <c r="E893" s="12" t="n">
        <v>927</v>
      </c>
      <c r="F893" s="11"/>
      <c r="G893" s="12"/>
      <c r="H893" s="11" t="n">
        <v>0.00282511574074074</v>
      </c>
      <c r="I893" s="12" t="n">
        <v>394</v>
      </c>
      <c r="J893" s="12" t="n">
        <f aca="false">COUNT(E893,G893,I893)</f>
        <v>2</v>
      </c>
      <c r="K893" s="13" t="n">
        <f aca="false">MIN(E893,G893,I893)</f>
        <v>394</v>
      </c>
      <c r="L893" s="9" t="str">
        <f aca="false">IF(E893=K893,"5000m",IF(G893=K893,"3000mSC","1500m"))</f>
        <v>1500m</v>
      </c>
      <c r="M893" s="14" t="n">
        <f aca="false">(D893&lt;&gt;"")*(D893&lt;=($E$3*60+$F$3)/86400)+(F893&lt;&gt;"")*(F893&lt;=($I$3*60+$J$3)/86400)+(H893&lt;&gt;"")*(H893&lt;=($M$3*60+$N$3)/86400)</f>
        <v>0</v>
      </c>
      <c r="N893" s="10" t="s">
        <v>1305</v>
      </c>
      <c r="O893" s="15"/>
    </row>
    <row r="894" customFormat="false" ht="25.35" hidden="false" customHeight="false" outlineLevel="0" collapsed="false">
      <c r="A894" s="9" t="n">
        <v>888</v>
      </c>
      <c r="B894" s="10" t="s">
        <v>1306</v>
      </c>
      <c r="C894" s="10" t="s">
        <v>492</v>
      </c>
      <c r="D894" s="11"/>
      <c r="E894" s="12"/>
      <c r="F894" s="11" t="n">
        <v>0.00705462962962963</v>
      </c>
      <c r="G894" s="12" t="n">
        <v>395</v>
      </c>
      <c r="H894" s="11"/>
      <c r="I894" s="12"/>
      <c r="J894" s="12" t="n">
        <f aca="false">COUNT(E894,G894,I894)</f>
        <v>1</v>
      </c>
      <c r="K894" s="13" t="n">
        <f aca="false">MIN(E894,G894,I894)</f>
        <v>395</v>
      </c>
      <c r="L894" s="9" t="str">
        <f aca="false">IF(E894=K894,"5000m",IF(G894=K894,"3000mSC","1500m"))</f>
        <v>3000mSC</v>
      </c>
      <c r="M894" s="14" t="n">
        <f aca="false">(D894&lt;&gt;"")*(D894&lt;=($E$3*60+$F$3)/86400)+(F894&lt;&gt;"")*(F894&lt;=($I$3*60+$J$3)/86400)+(H894&lt;&gt;"")*(H894&lt;=($M$3*60+$N$3)/86400)</f>
        <v>0</v>
      </c>
      <c r="N894" s="16"/>
      <c r="O894" s="15"/>
    </row>
    <row r="895" customFormat="false" ht="25.35" hidden="false" customHeight="false" outlineLevel="0" collapsed="false">
      <c r="A895" s="9" t="n">
        <v>889</v>
      </c>
      <c r="B895" s="10" t="s">
        <v>1307</v>
      </c>
      <c r="C895" s="10" t="s">
        <v>43</v>
      </c>
      <c r="D895" s="11" t="n">
        <v>0.0106886574074074</v>
      </c>
      <c r="E895" s="12" t="n">
        <v>566</v>
      </c>
      <c r="F895" s="11" t="n">
        <v>0.00705543981481482</v>
      </c>
      <c r="G895" s="12" t="n">
        <v>396</v>
      </c>
      <c r="H895" s="11"/>
      <c r="I895" s="12"/>
      <c r="J895" s="12" t="n">
        <f aca="false">COUNT(E895,G895,I895)</f>
        <v>2</v>
      </c>
      <c r="K895" s="13" t="n">
        <f aca="false">MIN(E895,G895,I895)</f>
        <v>396</v>
      </c>
      <c r="L895" s="9" t="str">
        <f aca="false">IF(E895=K895,"5000m",IF(G895=K895,"3000mSC","1500m"))</f>
        <v>3000mSC</v>
      </c>
      <c r="M895" s="14" t="n">
        <f aca="false">(D895&lt;&gt;"")*(D895&lt;=($E$3*60+$F$3)/86400)+(F895&lt;&gt;"")*(F895&lt;=($I$3*60+$J$3)/86400)+(H895&lt;&gt;"")*(H895&lt;=($M$3*60+$N$3)/86400)</f>
        <v>0</v>
      </c>
      <c r="N895" s="16"/>
      <c r="O895" s="15"/>
    </row>
    <row r="896" customFormat="false" ht="15" hidden="false" customHeight="false" outlineLevel="0" collapsed="false">
      <c r="A896" s="9" t="n">
        <v>890</v>
      </c>
      <c r="B896" s="10" t="s">
        <v>1308</v>
      </c>
      <c r="C896" s="10" t="s">
        <v>1309</v>
      </c>
      <c r="D896" s="11" t="n">
        <v>0.0108386574074074</v>
      </c>
      <c r="E896" s="12" t="n">
        <v>810</v>
      </c>
      <c r="F896" s="11"/>
      <c r="G896" s="12"/>
      <c r="H896" s="11" t="n">
        <v>0.00282546296296296</v>
      </c>
      <c r="I896" s="12" t="n">
        <v>396</v>
      </c>
      <c r="J896" s="12" t="n">
        <f aca="false">COUNT(E896,G896,I896)</f>
        <v>2</v>
      </c>
      <c r="K896" s="13" t="n">
        <f aca="false">MIN(E896,G896,I896)</f>
        <v>396</v>
      </c>
      <c r="L896" s="9" t="str">
        <f aca="false">IF(E896=K896,"5000m",IF(G896=K896,"3000mSC","1500m"))</f>
        <v>1500m</v>
      </c>
      <c r="M896" s="14" t="n">
        <f aca="false">(D896&lt;&gt;"")*(D896&lt;=($E$3*60+$F$3)/86400)+(F896&lt;&gt;"")*(F896&lt;=($I$3*60+$J$3)/86400)+(H896&lt;&gt;"")*(H896&lt;=($M$3*60+$N$3)/86400)</f>
        <v>0</v>
      </c>
      <c r="N896" s="16"/>
      <c r="O896" s="15"/>
    </row>
    <row r="897" customFormat="false" ht="25.35" hidden="false" customHeight="false" outlineLevel="0" collapsed="false">
      <c r="A897" s="9" t="n">
        <v>891</v>
      </c>
      <c r="B897" s="10" t="s">
        <v>1310</v>
      </c>
      <c r="C897" s="10" t="s">
        <v>1311</v>
      </c>
      <c r="D897" s="11" t="n">
        <v>0.0111162037037037</v>
      </c>
      <c r="E897" s="12" t="n">
        <v>1282</v>
      </c>
      <c r="F897" s="11" t="n">
        <v>0.00705625</v>
      </c>
      <c r="G897" s="12" t="n">
        <v>397</v>
      </c>
      <c r="H897" s="11"/>
      <c r="I897" s="12"/>
      <c r="J897" s="12" t="n">
        <f aca="false">COUNT(E897,G897,I897)</f>
        <v>2</v>
      </c>
      <c r="K897" s="13" t="n">
        <f aca="false">MIN(E897,G897,I897)</f>
        <v>397</v>
      </c>
      <c r="L897" s="9" t="str">
        <f aca="false">IF(E897=K897,"5000m",IF(G897=K897,"3000mSC","1500m"))</f>
        <v>3000mSC</v>
      </c>
      <c r="M897" s="14" t="n">
        <f aca="false">(D897&lt;&gt;"")*(D897&lt;=($E$3*60+$F$3)/86400)+(F897&lt;&gt;"")*(F897&lt;=($I$3*60+$J$3)/86400)+(H897&lt;&gt;"")*(H897&lt;=($M$3*60+$N$3)/86400)</f>
        <v>0</v>
      </c>
      <c r="N897" s="16"/>
      <c r="O897" s="15"/>
    </row>
    <row r="898" customFormat="false" ht="15" hidden="false" customHeight="false" outlineLevel="0" collapsed="false">
      <c r="A898" s="9" t="n">
        <v>892</v>
      </c>
      <c r="B898" s="10" t="s">
        <v>1312</v>
      </c>
      <c r="C898" s="10" t="s">
        <v>1062</v>
      </c>
      <c r="D898" s="11"/>
      <c r="E898" s="12"/>
      <c r="F898" s="11"/>
      <c r="G898" s="12"/>
      <c r="H898" s="11" t="n">
        <v>0.00282581018518519</v>
      </c>
      <c r="I898" s="12" t="n">
        <v>397</v>
      </c>
      <c r="J898" s="12" t="n">
        <f aca="false">COUNT(E898,G898,I898)</f>
        <v>1</v>
      </c>
      <c r="K898" s="13" t="n">
        <f aca="false">MIN(E898,G898,I898)</f>
        <v>397</v>
      </c>
      <c r="L898" s="9" t="str">
        <f aca="false">IF(E898=K898,"5000m",IF(G898=K898,"3000mSC","1500m"))</f>
        <v>1500m</v>
      </c>
      <c r="M898" s="14" t="n">
        <f aca="false">(D898&lt;&gt;"")*(D898&lt;=($E$3*60+$F$3)/86400)+(F898&lt;&gt;"")*(F898&lt;=($I$3*60+$J$3)/86400)+(H898&lt;&gt;"")*(H898&lt;=($M$3*60+$N$3)/86400)</f>
        <v>0</v>
      </c>
      <c r="N898" s="16"/>
      <c r="O898" s="15"/>
    </row>
    <row r="899" customFormat="false" ht="25.35" hidden="false" customHeight="false" outlineLevel="0" collapsed="false">
      <c r="A899" s="9" t="n">
        <v>893</v>
      </c>
      <c r="B899" s="10" t="s">
        <v>1313</v>
      </c>
      <c r="C899" s="10" t="s">
        <v>1314</v>
      </c>
      <c r="D899" s="11"/>
      <c r="E899" s="12"/>
      <c r="F899" s="11" t="n">
        <v>0.00705648148148148</v>
      </c>
      <c r="G899" s="12" t="n">
        <v>398</v>
      </c>
      <c r="H899" s="11"/>
      <c r="I899" s="12"/>
      <c r="J899" s="12" t="n">
        <f aca="false">COUNT(E899,G899,I899)</f>
        <v>1</v>
      </c>
      <c r="K899" s="13" t="n">
        <f aca="false">MIN(E899,G899,I899)</f>
        <v>398</v>
      </c>
      <c r="L899" s="9" t="str">
        <f aca="false">IF(E899=K899,"5000m",IF(G899=K899,"3000mSC","1500m"))</f>
        <v>3000mSC</v>
      </c>
      <c r="M899" s="14" t="n">
        <f aca="false">(D899&lt;&gt;"")*(D899&lt;=($E$3*60+$F$3)/86400)+(F899&lt;&gt;"")*(F899&lt;=($I$3*60+$J$3)/86400)+(H899&lt;&gt;"")*(H899&lt;=($M$3*60+$N$3)/86400)</f>
        <v>0</v>
      </c>
      <c r="N899" s="16"/>
      <c r="O899" s="15"/>
    </row>
    <row r="900" customFormat="false" ht="25.35" hidden="false" customHeight="false" outlineLevel="0" collapsed="false">
      <c r="A900" s="9" t="n">
        <v>894</v>
      </c>
      <c r="B900" s="10" t="s">
        <v>1315</v>
      </c>
      <c r="C900" s="10" t="s">
        <v>81</v>
      </c>
      <c r="D900" s="11" t="n">
        <v>0.0108613425925926</v>
      </c>
      <c r="E900" s="12" t="n">
        <v>852</v>
      </c>
      <c r="F900" s="11" t="n">
        <v>0.00705833333333333</v>
      </c>
      <c r="G900" s="12" t="n">
        <v>399</v>
      </c>
      <c r="H900" s="11" t="n">
        <v>0.00287476851851852</v>
      </c>
      <c r="I900" s="12" t="n">
        <v>733</v>
      </c>
      <c r="J900" s="12" t="n">
        <f aca="false">COUNT(E900,G900,I900)</f>
        <v>3</v>
      </c>
      <c r="K900" s="13" t="n">
        <f aca="false">MIN(E900,G900,I900)</f>
        <v>399</v>
      </c>
      <c r="L900" s="9" t="str">
        <f aca="false">IF(E900=K900,"5000m",IF(G900=K900,"3000mSC","1500m"))</f>
        <v>3000mSC</v>
      </c>
      <c r="M900" s="14" t="n">
        <f aca="false">(D900&lt;&gt;"")*(D900&lt;=($E$3*60+$F$3)/86400)+(F900&lt;&gt;"")*(F900&lt;=($I$3*60+$J$3)/86400)+(H900&lt;&gt;"")*(H900&lt;=($M$3*60+$N$3)/86400)</f>
        <v>0</v>
      </c>
      <c r="N900" s="16"/>
      <c r="O900" s="15"/>
    </row>
    <row r="901" customFormat="false" ht="15" hidden="false" customHeight="false" outlineLevel="0" collapsed="false">
      <c r="A901" s="9" t="n">
        <v>895</v>
      </c>
      <c r="B901" s="10" t="s">
        <v>1316</v>
      </c>
      <c r="C901" s="10" t="s">
        <v>425</v>
      </c>
      <c r="D901" s="11" t="n">
        <v>0.0105509259259259</v>
      </c>
      <c r="E901" s="12" t="n">
        <v>400</v>
      </c>
      <c r="F901" s="11" t="n">
        <v>0.0071125</v>
      </c>
      <c r="G901" s="12" t="n">
        <v>457</v>
      </c>
      <c r="H901" s="11"/>
      <c r="I901" s="12"/>
      <c r="J901" s="12" t="n">
        <f aca="false">COUNT(E901,G901,I901)</f>
        <v>2</v>
      </c>
      <c r="K901" s="13" t="n">
        <f aca="false">MIN(E901,G901,I901)</f>
        <v>400</v>
      </c>
      <c r="L901" s="9" t="str">
        <f aca="false">IF(E901=K901,"5000m",IF(G901=K901,"3000mSC","1500m"))</f>
        <v>5000m</v>
      </c>
      <c r="M901" s="14" t="n">
        <f aca="false">(D901&lt;&gt;"")*(D901&lt;=($E$3*60+$F$3)/86400)+(F901&lt;&gt;"")*(F901&lt;=($I$3*60+$J$3)/86400)+(H901&lt;&gt;"")*(H901&lt;=($M$3*60+$N$3)/86400)</f>
        <v>0</v>
      </c>
      <c r="N901" s="16"/>
      <c r="O901" s="15"/>
    </row>
    <row r="902" customFormat="false" ht="25.35" hidden="false" customHeight="false" outlineLevel="0" collapsed="false">
      <c r="A902" s="9" t="n">
        <v>896</v>
      </c>
      <c r="B902" s="10" t="s">
        <v>1317</v>
      </c>
      <c r="C902" s="10" t="s">
        <v>1059</v>
      </c>
      <c r="D902" s="11"/>
      <c r="E902" s="12"/>
      <c r="F902" s="11" t="n">
        <v>0.00705925925925926</v>
      </c>
      <c r="G902" s="12" t="n">
        <v>400</v>
      </c>
      <c r="H902" s="11" t="n">
        <v>0.00286956018518519</v>
      </c>
      <c r="I902" s="12" t="n">
        <v>690</v>
      </c>
      <c r="J902" s="12" t="n">
        <f aca="false">COUNT(E902,G902,I902)</f>
        <v>2</v>
      </c>
      <c r="K902" s="13" t="n">
        <f aca="false">MIN(E902,G902,I902)</f>
        <v>400</v>
      </c>
      <c r="L902" s="9" t="str">
        <f aca="false">IF(E902=K902,"5000m",IF(G902=K902,"3000mSC","1500m"))</f>
        <v>3000mSC</v>
      </c>
      <c r="M902" s="14" t="n">
        <f aca="false">(D902&lt;&gt;"")*(D902&lt;=($E$3*60+$F$3)/86400)+(F902&lt;&gt;"")*(F902&lt;=($I$3*60+$J$3)/86400)+(H902&lt;&gt;"")*(H902&lt;=($M$3*60+$N$3)/86400)</f>
        <v>0</v>
      </c>
      <c r="N902" s="16"/>
      <c r="O902" s="15"/>
    </row>
    <row r="903" customFormat="false" ht="15" hidden="false" customHeight="false" outlineLevel="0" collapsed="false">
      <c r="A903" s="9" t="n">
        <v>897</v>
      </c>
      <c r="B903" s="10" t="s">
        <v>1318</v>
      </c>
      <c r="C903" s="10" t="s">
        <v>1132</v>
      </c>
      <c r="D903" s="11"/>
      <c r="E903" s="12"/>
      <c r="F903" s="11"/>
      <c r="G903" s="12"/>
      <c r="H903" s="11" t="n">
        <v>0.00282627314814815</v>
      </c>
      <c r="I903" s="12" t="n">
        <v>400</v>
      </c>
      <c r="J903" s="12" t="n">
        <f aca="false">COUNT(E903,G903,I903)</f>
        <v>1</v>
      </c>
      <c r="K903" s="13" t="n">
        <f aca="false">MIN(E903,G903,I903)</f>
        <v>400</v>
      </c>
      <c r="L903" s="9" t="str">
        <f aca="false">IF(E903=K903,"5000m",IF(G903=K903,"3000mSC","1500m"))</f>
        <v>1500m</v>
      </c>
      <c r="M903" s="14" t="n">
        <f aca="false">(D903&lt;&gt;"")*(D903&lt;=($E$3*60+$F$3)/86400)+(F903&lt;&gt;"")*(F903&lt;=($I$3*60+$J$3)/86400)+(H903&lt;&gt;"")*(H903&lt;=($M$3*60+$N$3)/86400)</f>
        <v>0</v>
      </c>
      <c r="N903" s="16"/>
      <c r="O903" s="15"/>
    </row>
    <row r="904" customFormat="false" ht="15" hidden="false" customHeight="false" outlineLevel="0" collapsed="false">
      <c r="A904" s="9" t="n">
        <v>898</v>
      </c>
      <c r="B904" s="10" t="s">
        <v>1319</v>
      </c>
      <c r="C904" s="10" t="s">
        <v>1320</v>
      </c>
      <c r="D904" s="11" t="n">
        <v>0.0105509259259259</v>
      </c>
      <c r="E904" s="12" t="n">
        <v>401</v>
      </c>
      <c r="F904" s="11"/>
      <c r="G904" s="12"/>
      <c r="H904" s="11"/>
      <c r="I904" s="12"/>
      <c r="J904" s="12" t="n">
        <f aca="false">COUNT(E904,G904,I904)</f>
        <v>1</v>
      </c>
      <c r="K904" s="13" t="n">
        <f aca="false">MIN(E904,G904,I904)</f>
        <v>401</v>
      </c>
      <c r="L904" s="9" t="str">
        <f aca="false">IF(E904=K904,"5000m",IF(G904=K904,"3000mSC","1500m"))</f>
        <v>5000m</v>
      </c>
      <c r="M904" s="14" t="n">
        <f aca="false">(D904&lt;&gt;"")*(D904&lt;=($E$3*60+$F$3)/86400)+(F904&lt;&gt;"")*(F904&lt;=($I$3*60+$J$3)/86400)+(H904&lt;&gt;"")*(H904&lt;=($M$3*60+$N$3)/86400)</f>
        <v>0</v>
      </c>
      <c r="N904" s="16"/>
      <c r="O904" s="15"/>
    </row>
    <row r="905" customFormat="false" ht="25.35" hidden="false" customHeight="false" outlineLevel="0" collapsed="false">
      <c r="A905" s="9" t="n">
        <v>899</v>
      </c>
      <c r="B905" s="10" t="s">
        <v>1321</v>
      </c>
      <c r="C905" s="10" t="s">
        <v>1322</v>
      </c>
      <c r="D905" s="11"/>
      <c r="E905" s="12"/>
      <c r="F905" s="11" t="n">
        <v>0.00705949074074074</v>
      </c>
      <c r="G905" s="12" t="n">
        <v>401</v>
      </c>
      <c r="H905" s="11"/>
      <c r="I905" s="12"/>
      <c r="J905" s="12" t="n">
        <f aca="false">COUNT(E905,G905,I905)</f>
        <v>1</v>
      </c>
      <c r="K905" s="13" t="n">
        <f aca="false">MIN(E905,G905,I905)</f>
        <v>401</v>
      </c>
      <c r="L905" s="9" t="str">
        <f aca="false">IF(E905=K905,"5000m",IF(G905=K905,"3000mSC","1500m"))</f>
        <v>3000mSC</v>
      </c>
      <c r="M905" s="14" t="n">
        <f aca="false">(D905&lt;&gt;"")*(D905&lt;=($E$3*60+$F$3)/86400)+(F905&lt;&gt;"")*(F905&lt;=($I$3*60+$J$3)/86400)+(H905&lt;&gt;"")*(H905&lt;=($M$3*60+$N$3)/86400)</f>
        <v>0</v>
      </c>
      <c r="N905" s="16"/>
      <c r="O905" s="15"/>
    </row>
    <row r="906" customFormat="false" ht="15" hidden="false" customHeight="false" outlineLevel="0" collapsed="false">
      <c r="A906" s="9" t="n">
        <v>900</v>
      </c>
      <c r="B906" s="10" t="s">
        <v>1323</v>
      </c>
      <c r="C906" s="10" t="s">
        <v>302</v>
      </c>
      <c r="D906" s="11" t="n">
        <v>0.0105515046296296</v>
      </c>
      <c r="E906" s="12" t="n">
        <v>402</v>
      </c>
      <c r="F906" s="11"/>
      <c r="G906" s="12"/>
      <c r="H906" s="11" t="n">
        <v>0.00283819444444444</v>
      </c>
      <c r="I906" s="12" t="n">
        <v>485</v>
      </c>
      <c r="J906" s="12" t="n">
        <f aca="false">COUNT(E906,G906,I906)</f>
        <v>2</v>
      </c>
      <c r="K906" s="13" t="n">
        <f aca="false">MIN(E906,G906,I906)</f>
        <v>402</v>
      </c>
      <c r="L906" s="9" t="str">
        <f aca="false">IF(E906=K906,"5000m",IF(G906=K906,"3000mSC","1500m"))</f>
        <v>5000m</v>
      </c>
      <c r="M906" s="14" t="n">
        <f aca="false">(D906&lt;&gt;"")*(D906&lt;=($E$3*60+$F$3)/86400)+(F906&lt;&gt;"")*(F906&lt;=($I$3*60+$J$3)/86400)+(H906&lt;&gt;"")*(H906&lt;=($M$3*60+$N$3)/86400)</f>
        <v>0</v>
      </c>
      <c r="N906" s="16"/>
      <c r="O906" s="15"/>
    </row>
    <row r="907" customFormat="false" ht="15" hidden="false" customHeight="false" outlineLevel="0" collapsed="false">
      <c r="A907" s="9" t="n">
        <v>901</v>
      </c>
      <c r="B907" s="10" t="s">
        <v>1324</v>
      </c>
      <c r="C907" s="10" t="s">
        <v>437</v>
      </c>
      <c r="D907" s="11" t="n">
        <v>0.010616087962963</v>
      </c>
      <c r="E907" s="12" t="n">
        <v>488</v>
      </c>
      <c r="F907" s="11"/>
      <c r="G907" s="12"/>
      <c r="H907" s="11" t="n">
        <v>0.00282650462962963</v>
      </c>
      <c r="I907" s="12" t="n">
        <v>402</v>
      </c>
      <c r="J907" s="12" t="n">
        <f aca="false">COUNT(E907,G907,I907)</f>
        <v>2</v>
      </c>
      <c r="K907" s="13" t="n">
        <f aca="false">MIN(E907,G907,I907)</f>
        <v>402</v>
      </c>
      <c r="L907" s="9" t="str">
        <f aca="false">IF(E907=K907,"5000m",IF(G907=K907,"3000mSC","1500m"))</f>
        <v>1500m</v>
      </c>
      <c r="M907" s="14" t="n">
        <f aca="false">(D907&lt;&gt;"")*(D907&lt;=($E$3*60+$F$3)/86400)+(F907&lt;&gt;"")*(F907&lt;=($I$3*60+$J$3)/86400)+(H907&lt;&gt;"")*(H907&lt;=($M$3*60+$N$3)/86400)</f>
        <v>0</v>
      </c>
      <c r="N907" s="16"/>
      <c r="O907" s="15"/>
    </row>
    <row r="908" customFormat="false" ht="25.35" hidden="false" customHeight="false" outlineLevel="0" collapsed="false">
      <c r="A908" s="9" t="n">
        <v>902</v>
      </c>
      <c r="B908" s="10" t="s">
        <v>1325</v>
      </c>
      <c r="C908" s="10" t="s">
        <v>1326</v>
      </c>
      <c r="D908" s="11"/>
      <c r="E908" s="12"/>
      <c r="F908" s="11" t="n">
        <v>0.00706284722222222</v>
      </c>
      <c r="G908" s="12" t="n">
        <v>402</v>
      </c>
      <c r="H908" s="11" t="n">
        <v>0.00284606481481482</v>
      </c>
      <c r="I908" s="12" t="n">
        <v>544</v>
      </c>
      <c r="J908" s="12" t="n">
        <f aca="false">COUNT(E908,G908,I908)</f>
        <v>2</v>
      </c>
      <c r="K908" s="13" t="n">
        <f aca="false">MIN(E908,G908,I908)</f>
        <v>402</v>
      </c>
      <c r="L908" s="9" t="str">
        <f aca="false">IF(E908=K908,"5000m",IF(G908=K908,"3000mSC","1500m"))</f>
        <v>3000mSC</v>
      </c>
      <c r="M908" s="14" t="n">
        <f aca="false">(D908&lt;&gt;"")*(D908&lt;=($E$3*60+$F$3)/86400)+(F908&lt;&gt;"")*(F908&lt;=($I$3*60+$J$3)/86400)+(H908&lt;&gt;"")*(H908&lt;=($M$3*60+$N$3)/86400)</f>
        <v>0</v>
      </c>
      <c r="N908" s="16"/>
      <c r="O908" s="15"/>
    </row>
    <row r="909" customFormat="false" ht="15" hidden="false" customHeight="false" outlineLevel="0" collapsed="false">
      <c r="A909" s="9" t="n">
        <v>903</v>
      </c>
      <c r="B909" s="10" t="s">
        <v>1327</v>
      </c>
      <c r="C909" s="10" t="s">
        <v>425</v>
      </c>
      <c r="D909" s="11" t="n">
        <v>0.0105524305555556</v>
      </c>
      <c r="E909" s="12" t="n">
        <v>403</v>
      </c>
      <c r="F909" s="11"/>
      <c r="G909" s="12"/>
      <c r="H909" s="11"/>
      <c r="I909" s="12"/>
      <c r="J909" s="12" t="n">
        <f aca="false">COUNT(E909,G909,I909)</f>
        <v>1</v>
      </c>
      <c r="K909" s="13" t="n">
        <f aca="false">MIN(E909,G909,I909)</f>
        <v>403</v>
      </c>
      <c r="L909" s="9" t="str">
        <f aca="false">IF(E909=K909,"5000m",IF(G909=K909,"3000mSC","1500m"))</f>
        <v>5000m</v>
      </c>
      <c r="M909" s="14" t="n">
        <f aca="false">(D909&lt;&gt;"")*(D909&lt;=($E$3*60+$F$3)/86400)+(F909&lt;&gt;"")*(F909&lt;=($I$3*60+$J$3)/86400)+(H909&lt;&gt;"")*(H909&lt;=($M$3*60+$N$3)/86400)</f>
        <v>0</v>
      </c>
      <c r="N909" s="16"/>
      <c r="O909" s="15"/>
    </row>
    <row r="910" customFormat="false" ht="25.35" hidden="false" customHeight="false" outlineLevel="0" collapsed="false">
      <c r="A910" s="9" t="n">
        <v>904</v>
      </c>
      <c r="B910" s="10" t="s">
        <v>1328</v>
      </c>
      <c r="C910" s="10" t="s">
        <v>1329</v>
      </c>
      <c r="D910" s="11"/>
      <c r="E910" s="12"/>
      <c r="F910" s="11" t="n">
        <v>0.0070630787037037</v>
      </c>
      <c r="G910" s="12" t="n">
        <v>403</v>
      </c>
      <c r="H910" s="11"/>
      <c r="I910" s="12"/>
      <c r="J910" s="12" t="n">
        <f aca="false">COUNT(E910,G910,I910)</f>
        <v>1</v>
      </c>
      <c r="K910" s="13" t="n">
        <f aca="false">MIN(E910,G910,I910)</f>
        <v>403</v>
      </c>
      <c r="L910" s="9" t="str">
        <f aca="false">IF(E910=K910,"5000m",IF(G910=K910,"3000mSC","1500m"))</f>
        <v>3000mSC</v>
      </c>
      <c r="M910" s="14" t="n">
        <f aca="false">(D910&lt;&gt;"")*(D910&lt;=($E$3*60+$F$3)/86400)+(F910&lt;&gt;"")*(F910&lt;=($I$3*60+$J$3)/86400)+(H910&lt;&gt;"")*(H910&lt;=($M$3*60+$N$3)/86400)</f>
        <v>0</v>
      </c>
      <c r="N910" s="16"/>
      <c r="O910" s="15"/>
    </row>
    <row r="911" customFormat="false" ht="15" hidden="false" customHeight="false" outlineLevel="0" collapsed="false">
      <c r="A911" s="9" t="n">
        <v>905</v>
      </c>
      <c r="B911" s="10" t="s">
        <v>1330</v>
      </c>
      <c r="C911" s="10" t="s">
        <v>1331</v>
      </c>
      <c r="D911" s="11"/>
      <c r="E911" s="12"/>
      <c r="F911" s="11"/>
      <c r="G911" s="12"/>
      <c r="H911" s="11" t="n">
        <v>0.00282696759259259</v>
      </c>
      <c r="I911" s="12" t="n">
        <v>404</v>
      </c>
      <c r="J911" s="12" t="n">
        <f aca="false">COUNT(E911,G911,I911)</f>
        <v>1</v>
      </c>
      <c r="K911" s="13" t="n">
        <f aca="false">MIN(E911,G911,I911)</f>
        <v>404</v>
      </c>
      <c r="L911" s="9" t="str">
        <f aca="false">IF(E911=K911,"5000m",IF(G911=K911,"3000mSC","1500m"))</f>
        <v>1500m</v>
      </c>
      <c r="M911" s="14" t="n">
        <f aca="false">(D911&lt;&gt;"")*(D911&lt;=($E$3*60+$F$3)/86400)+(F911&lt;&gt;"")*(F911&lt;=($I$3*60+$J$3)/86400)+(H911&lt;&gt;"")*(H911&lt;=($M$3*60+$N$3)/86400)</f>
        <v>0</v>
      </c>
      <c r="N911" s="16"/>
      <c r="O911" s="15"/>
    </row>
    <row r="912" customFormat="false" ht="15" hidden="false" customHeight="false" outlineLevel="0" collapsed="false">
      <c r="A912" s="9" t="n">
        <v>906</v>
      </c>
      <c r="B912" s="10" t="s">
        <v>1332</v>
      </c>
      <c r="C912" s="10" t="s">
        <v>422</v>
      </c>
      <c r="D912" s="11" t="n">
        <v>0.0105543981481482</v>
      </c>
      <c r="E912" s="12" t="n">
        <v>405</v>
      </c>
      <c r="F912" s="11"/>
      <c r="G912" s="12"/>
      <c r="H912" s="11" t="n">
        <v>0.00285266203703704</v>
      </c>
      <c r="I912" s="12" t="n">
        <v>584</v>
      </c>
      <c r="J912" s="12" t="n">
        <f aca="false">COUNT(E912,G912,I912)</f>
        <v>2</v>
      </c>
      <c r="K912" s="13" t="n">
        <f aca="false">MIN(E912,G912,I912)</f>
        <v>405</v>
      </c>
      <c r="L912" s="9" t="str">
        <f aca="false">IF(E912=K912,"5000m",IF(G912=K912,"3000mSC","1500m"))</f>
        <v>5000m</v>
      </c>
      <c r="M912" s="14" t="n">
        <f aca="false">(D912&lt;&gt;"")*(D912&lt;=($E$3*60+$F$3)/86400)+(F912&lt;&gt;"")*(F912&lt;=($I$3*60+$J$3)/86400)+(H912&lt;&gt;"")*(H912&lt;=($M$3*60+$N$3)/86400)</f>
        <v>0</v>
      </c>
      <c r="N912" s="16"/>
      <c r="O912" s="15"/>
    </row>
    <row r="913" customFormat="false" ht="15" hidden="false" customHeight="false" outlineLevel="0" collapsed="false">
      <c r="A913" s="9" t="n">
        <v>907</v>
      </c>
      <c r="B913" s="10" t="s">
        <v>1333</v>
      </c>
      <c r="C913" s="10" t="s">
        <v>1334</v>
      </c>
      <c r="D913" s="11" t="n">
        <v>0.0108424768518519</v>
      </c>
      <c r="E913" s="12" t="n">
        <v>818</v>
      </c>
      <c r="F913" s="11"/>
      <c r="G913" s="12"/>
      <c r="H913" s="11" t="n">
        <v>0.00282708333333333</v>
      </c>
      <c r="I913" s="12" t="n">
        <v>405</v>
      </c>
      <c r="J913" s="12" t="n">
        <f aca="false">COUNT(E913,G913,I913)</f>
        <v>2</v>
      </c>
      <c r="K913" s="13" t="n">
        <f aca="false">MIN(E913,G913,I913)</f>
        <v>405</v>
      </c>
      <c r="L913" s="9" t="str">
        <f aca="false">IF(E913=K913,"5000m",IF(G913=K913,"3000mSC","1500m"))</f>
        <v>1500m</v>
      </c>
      <c r="M913" s="14" t="n">
        <f aca="false">(D913&lt;&gt;"")*(D913&lt;=($E$3*60+$F$3)/86400)+(F913&lt;&gt;"")*(F913&lt;=($I$3*60+$J$3)/86400)+(H913&lt;&gt;"")*(H913&lt;=($M$3*60+$N$3)/86400)</f>
        <v>0</v>
      </c>
      <c r="N913" s="16"/>
      <c r="O913" s="15"/>
    </row>
    <row r="914" customFormat="false" ht="25.35" hidden="false" customHeight="false" outlineLevel="0" collapsed="false">
      <c r="A914" s="9" t="n">
        <v>908</v>
      </c>
      <c r="B914" s="10" t="s">
        <v>1335</v>
      </c>
      <c r="C914" s="10" t="s">
        <v>1336</v>
      </c>
      <c r="D914" s="11"/>
      <c r="E914" s="12"/>
      <c r="F914" s="11" t="n">
        <v>0.00706331018518519</v>
      </c>
      <c r="G914" s="12" t="n">
        <v>405</v>
      </c>
      <c r="H914" s="11"/>
      <c r="I914" s="12"/>
      <c r="J914" s="12" t="n">
        <f aca="false">COUNT(E914,G914,I914)</f>
        <v>1</v>
      </c>
      <c r="K914" s="13" t="n">
        <f aca="false">MIN(E914,G914,I914)</f>
        <v>405</v>
      </c>
      <c r="L914" s="9" t="str">
        <f aca="false">IF(E914=K914,"5000m",IF(G914=K914,"3000mSC","1500m"))</f>
        <v>3000mSC</v>
      </c>
      <c r="M914" s="14" t="n">
        <f aca="false">(D914&lt;&gt;"")*(D914&lt;=($E$3*60+$F$3)/86400)+(F914&lt;&gt;"")*(F914&lt;=($I$3*60+$J$3)/86400)+(H914&lt;&gt;"")*(H914&lt;=($M$3*60+$N$3)/86400)</f>
        <v>0</v>
      </c>
      <c r="N914" s="16"/>
      <c r="O914" s="15"/>
    </row>
    <row r="915" customFormat="false" ht="25.35" hidden="false" customHeight="false" outlineLevel="0" collapsed="false">
      <c r="A915" s="9" t="n">
        <v>909</v>
      </c>
      <c r="B915" s="10" t="s">
        <v>1337</v>
      </c>
      <c r="C915" s="10" t="s">
        <v>823</v>
      </c>
      <c r="D915" s="11" t="n">
        <v>0.0107929398148148</v>
      </c>
      <c r="E915" s="12" t="n">
        <v>732</v>
      </c>
      <c r="F915" s="11" t="n">
        <v>0.00706365740740741</v>
      </c>
      <c r="G915" s="12" t="n">
        <v>406</v>
      </c>
      <c r="H915" s="11" t="n">
        <v>0.00288356481481481</v>
      </c>
      <c r="I915" s="12" t="n">
        <v>804</v>
      </c>
      <c r="J915" s="12" t="n">
        <f aca="false">COUNT(E915,G915,I915)</f>
        <v>3</v>
      </c>
      <c r="K915" s="13" t="n">
        <f aca="false">MIN(E915,G915,I915)</f>
        <v>406</v>
      </c>
      <c r="L915" s="9" t="str">
        <f aca="false">IF(E915=K915,"5000m",IF(G915=K915,"3000mSC","1500m"))</f>
        <v>3000mSC</v>
      </c>
      <c r="M915" s="14" t="n">
        <f aca="false">(D915&lt;&gt;"")*(D915&lt;=($E$3*60+$F$3)/86400)+(F915&lt;&gt;"")*(F915&lt;=($I$3*60+$J$3)/86400)+(H915&lt;&gt;"")*(H915&lt;=($M$3*60+$N$3)/86400)</f>
        <v>0</v>
      </c>
      <c r="N915" s="16"/>
      <c r="O915" s="15"/>
    </row>
    <row r="916" customFormat="false" ht="15" hidden="false" customHeight="false" outlineLevel="0" collapsed="false">
      <c r="A916" s="9" t="n">
        <v>910</v>
      </c>
      <c r="B916" s="10" t="s">
        <v>1338</v>
      </c>
      <c r="C916" s="10" t="s">
        <v>36</v>
      </c>
      <c r="D916" s="11" t="n">
        <v>0.0105568287037037</v>
      </c>
      <c r="E916" s="12" t="n">
        <v>406</v>
      </c>
      <c r="F916" s="11"/>
      <c r="G916" s="12"/>
      <c r="H916" s="11" t="n">
        <v>0.00292060185185185</v>
      </c>
      <c r="I916" s="12" t="n">
        <v>1105</v>
      </c>
      <c r="J916" s="12" t="n">
        <f aca="false">COUNT(E916,G916,I916)</f>
        <v>2</v>
      </c>
      <c r="K916" s="13" t="n">
        <f aca="false">MIN(E916,G916,I916)</f>
        <v>406</v>
      </c>
      <c r="L916" s="9" t="str">
        <f aca="false">IF(E916=K916,"5000m",IF(G916=K916,"3000mSC","1500m"))</f>
        <v>5000m</v>
      </c>
      <c r="M916" s="14" t="n">
        <f aca="false">(D916&lt;&gt;"")*(D916&lt;=($E$3*60+$F$3)/86400)+(F916&lt;&gt;"")*(F916&lt;=($I$3*60+$J$3)/86400)+(H916&lt;&gt;"")*(H916&lt;=($M$3*60+$N$3)/86400)</f>
        <v>0</v>
      </c>
      <c r="N916" s="16"/>
      <c r="O916" s="15"/>
    </row>
    <row r="917" customFormat="false" ht="25.35" hidden="false" customHeight="false" outlineLevel="0" collapsed="false">
      <c r="A917" s="9" t="n">
        <v>911</v>
      </c>
      <c r="B917" s="10" t="s">
        <v>1339</v>
      </c>
      <c r="C917" s="10" t="s">
        <v>1283</v>
      </c>
      <c r="D917" s="11" t="n">
        <v>0.0108384259259259</v>
      </c>
      <c r="E917" s="12" t="n">
        <v>808</v>
      </c>
      <c r="F917" s="11" t="n">
        <v>0.00706446759259259</v>
      </c>
      <c r="G917" s="12" t="n">
        <v>407</v>
      </c>
      <c r="H917" s="11" t="n">
        <v>0.00285393518518519</v>
      </c>
      <c r="I917" s="12" t="n">
        <v>592</v>
      </c>
      <c r="J917" s="12" t="n">
        <f aca="false">COUNT(E917,G917,I917)</f>
        <v>3</v>
      </c>
      <c r="K917" s="13" t="n">
        <f aca="false">MIN(E917,G917,I917)</f>
        <v>407</v>
      </c>
      <c r="L917" s="9" t="str">
        <f aca="false">IF(E917=K917,"5000m",IF(G917=K917,"3000mSC","1500m"))</f>
        <v>3000mSC</v>
      </c>
      <c r="M917" s="14" t="n">
        <f aca="false">(D917&lt;&gt;"")*(D917&lt;=($E$3*60+$F$3)/86400)+(F917&lt;&gt;"")*(F917&lt;=($I$3*60+$J$3)/86400)+(H917&lt;&gt;"")*(H917&lt;=($M$3*60+$N$3)/86400)</f>
        <v>0</v>
      </c>
      <c r="N917" s="16"/>
      <c r="O917" s="15"/>
    </row>
    <row r="918" customFormat="false" ht="15" hidden="false" customHeight="false" outlineLevel="0" collapsed="false">
      <c r="A918" s="9" t="n">
        <v>912</v>
      </c>
      <c r="B918" s="10" t="s">
        <v>1340</v>
      </c>
      <c r="C918" s="10" t="s">
        <v>1341</v>
      </c>
      <c r="D918" s="11"/>
      <c r="E918" s="12"/>
      <c r="F918" s="11"/>
      <c r="G918" s="12"/>
      <c r="H918" s="11" t="n">
        <v>0.00282719907407407</v>
      </c>
      <c r="I918" s="12" t="n">
        <v>407</v>
      </c>
      <c r="J918" s="12" t="n">
        <f aca="false">COUNT(E918,G918,I918)</f>
        <v>1</v>
      </c>
      <c r="K918" s="13" t="n">
        <f aca="false">MIN(E918,G918,I918)</f>
        <v>407</v>
      </c>
      <c r="L918" s="9" t="str">
        <f aca="false">IF(E918=K918,"5000m",IF(G918=K918,"3000mSC","1500m"))</f>
        <v>1500m</v>
      </c>
      <c r="M918" s="14" t="n">
        <f aca="false">(D918&lt;&gt;"")*(D918&lt;=($E$3*60+$F$3)/86400)+(F918&lt;&gt;"")*(F918&lt;=($I$3*60+$J$3)/86400)+(H918&lt;&gt;"")*(H918&lt;=($M$3*60+$N$3)/86400)</f>
        <v>0</v>
      </c>
      <c r="N918" s="16"/>
      <c r="O918" s="15"/>
    </row>
    <row r="919" customFormat="false" ht="25.35" hidden="false" customHeight="false" outlineLevel="0" collapsed="false">
      <c r="A919" s="9" t="n">
        <v>913</v>
      </c>
      <c r="B919" s="10" t="s">
        <v>1342</v>
      </c>
      <c r="C919" s="10" t="s">
        <v>32</v>
      </c>
      <c r="D919" s="11"/>
      <c r="E919" s="12"/>
      <c r="F919" s="11" t="n">
        <v>0.0070650462962963</v>
      </c>
      <c r="G919" s="12" t="n">
        <v>408</v>
      </c>
      <c r="H919" s="11"/>
      <c r="I919" s="12"/>
      <c r="J919" s="12" t="n">
        <f aca="false">COUNT(E919,G919,I919)</f>
        <v>1</v>
      </c>
      <c r="K919" s="13" t="n">
        <f aca="false">MIN(E919,G919,I919)</f>
        <v>408</v>
      </c>
      <c r="L919" s="9" t="str">
        <f aca="false">IF(E919=K919,"5000m",IF(G919=K919,"3000mSC","1500m"))</f>
        <v>3000mSC</v>
      </c>
      <c r="M919" s="14" t="n">
        <f aca="false">(D919&lt;&gt;"")*(D919&lt;=($E$3*60+$F$3)/86400)+(F919&lt;&gt;"")*(F919&lt;=($I$3*60+$J$3)/86400)+(H919&lt;&gt;"")*(H919&lt;=($M$3*60+$N$3)/86400)</f>
        <v>0</v>
      </c>
      <c r="N919" s="16"/>
      <c r="O919" s="15"/>
    </row>
    <row r="920" customFormat="false" ht="15" hidden="false" customHeight="false" outlineLevel="0" collapsed="false">
      <c r="A920" s="9" t="n">
        <v>914</v>
      </c>
      <c r="B920" s="10" t="s">
        <v>1343</v>
      </c>
      <c r="C920" s="10" t="s">
        <v>1344</v>
      </c>
      <c r="D920" s="11"/>
      <c r="E920" s="12"/>
      <c r="F920" s="11"/>
      <c r="G920" s="12"/>
      <c r="H920" s="11" t="n">
        <v>0.00282777777777778</v>
      </c>
      <c r="I920" s="12" t="n">
        <v>408</v>
      </c>
      <c r="J920" s="12" t="n">
        <f aca="false">COUNT(E920,G920,I920)</f>
        <v>1</v>
      </c>
      <c r="K920" s="13" t="n">
        <f aca="false">MIN(E920,G920,I920)</f>
        <v>408</v>
      </c>
      <c r="L920" s="9" t="str">
        <f aca="false">IF(E920=K920,"5000m",IF(G920=K920,"3000mSC","1500m"))</f>
        <v>1500m</v>
      </c>
      <c r="M920" s="14" t="n">
        <f aca="false">(D920&lt;&gt;"")*(D920&lt;=($E$3*60+$F$3)/86400)+(F920&lt;&gt;"")*(F920&lt;=($I$3*60+$J$3)/86400)+(H920&lt;&gt;"")*(H920&lt;=($M$3*60+$N$3)/86400)</f>
        <v>0</v>
      </c>
      <c r="N920" s="16"/>
      <c r="O920" s="15"/>
    </row>
    <row r="921" customFormat="false" ht="15" hidden="false" customHeight="false" outlineLevel="0" collapsed="false">
      <c r="A921" s="9" t="n">
        <v>915</v>
      </c>
      <c r="B921" s="10" t="s">
        <v>1345</v>
      </c>
      <c r="C921" s="10" t="s">
        <v>486</v>
      </c>
      <c r="D921" s="11" t="n">
        <v>0.01081875</v>
      </c>
      <c r="E921" s="12" t="n">
        <v>776</v>
      </c>
      <c r="F921" s="11"/>
      <c r="G921" s="12"/>
      <c r="H921" s="11" t="n">
        <v>0.00282800925925926</v>
      </c>
      <c r="I921" s="12" t="n">
        <v>409</v>
      </c>
      <c r="J921" s="12" t="n">
        <f aca="false">COUNT(E921,G921,I921)</f>
        <v>2</v>
      </c>
      <c r="K921" s="13" t="n">
        <f aca="false">MIN(E921,G921,I921)</f>
        <v>409</v>
      </c>
      <c r="L921" s="9" t="str">
        <f aca="false">IF(E921=K921,"5000m",IF(G921=K921,"3000mSC","1500m"))</f>
        <v>1500m</v>
      </c>
      <c r="M921" s="14" t="n">
        <f aca="false">(D921&lt;&gt;"")*(D921&lt;=($E$3*60+$F$3)/86400)+(F921&lt;&gt;"")*(F921&lt;=($I$3*60+$J$3)/86400)+(H921&lt;&gt;"")*(H921&lt;=($M$3*60+$N$3)/86400)</f>
        <v>0</v>
      </c>
      <c r="N921" s="16"/>
      <c r="O921" s="15"/>
    </row>
    <row r="922" customFormat="false" ht="15" hidden="false" customHeight="false" outlineLevel="0" collapsed="false">
      <c r="A922" s="9" t="n">
        <v>916</v>
      </c>
      <c r="B922" s="10" t="s">
        <v>1346</v>
      </c>
      <c r="C922" s="10" t="s">
        <v>49</v>
      </c>
      <c r="D922" s="11" t="n">
        <v>0.0105594907407407</v>
      </c>
      <c r="E922" s="12" t="n">
        <v>409</v>
      </c>
      <c r="F922" s="11"/>
      <c r="G922" s="12"/>
      <c r="H922" s="11"/>
      <c r="I922" s="12"/>
      <c r="J922" s="12" t="n">
        <f aca="false">COUNT(E922,G922,I922)</f>
        <v>1</v>
      </c>
      <c r="K922" s="13" t="n">
        <f aca="false">MIN(E922,G922,I922)</f>
        <v>409</v>
      </c>
      <c r="L922" s="9" t="str">
        <f aca="false">IF(E922=K922,"5000m",IF(G922=K922,"3000mSC","1500m"))</f>
        <v>5000m</v>
      </c>
      <c r="M922" s="14" t="n">
        <f aca="false">(D922&lt;&gt;"")*(D922&lt;=($E$3*60+$F$3)/86400)+(F922&lt;&gt;"")*(F922&lt;=($I$3*60+$J$3)/86400)+(H922&lt;&gt;"")*(H922&lt;=($M$3*60+$N$3)/86400)</f>
        <v>0</v>
      </c>
      <c r="N922" s="16"/>
      <c r="O922" s="15"/>
    </row>
    <row r="923" customFormat="false" ht="25.35" hidden="false" customHeight="false" outlineLevel="0" collapsed="false">
      <c r="A923" s="9" t="n">
        <v>917</v>
      </c>
      <c r="B923" s="10" t="s">
        <v>1347</v>
      </c>
      <c r="C923" s="10" t="s">
        <v>1348</v>
      </c>
      <c r="D923" s="11"/>
      <c r="E923" s="12"/>
      <c r="F923" s="11" t="n">
        <v>0.00706539351851852</v>
      </c>
      <c r="G923" s="12" t="n">
        <v>409</v>
      </c>
      <c r="H923" s="11"/>
      <c r="I923" s="12"/>
      <c r="J923" s="12" t="n">
        <f aca="false">COUNT(E923,G923,I923)</f>
        <v>1</v>
      </c>
      <c r="K923" s="13" t="n">
        <f aca="false">MIN(E923,G923,I923)</f>
        <v>409</v>
      </c>
      <c r="L923" s="9" t="str">
        <f aca="false">IF(E923=K923,"5000m",IF(G923=K923,"3000mSC","1500m"))</f>
        <v>3000mSC</v>
      </c>
      <c r="M923" s="14" t="n">
        <f aca="false">(D923&lt;&gt;"")*(D923&lt;=($E$3*60+$F$3)/86400)+(F923&lt;&gt;"")*(F923&lt;=($I$3*60+$J$3)/86400)+(H923&lt;&gt;"")*(H923&lt;=($M$3*60+$N$3)/86400)</f>
        <v>0</v>
      </c>
      <c r="N923" s="16"/>
      <c r="O923" s="15"/>
    </row>
    <row r="924" customFormat="false" ht="25.35" hidden="false" customHeight="false" outlineLevel="0" collapsed="false">
      <c r="A924" s="9" t="n">
        <v>918</v>
      </c>
      <c r="B924" s="10" t="s">
        <v>1349</v>
      </c>
      <c r="C924" s="10" t="s">
        <v>105</v>
      </c>
      <c r="D924" s="11" t="n">
        <v>0.0106653935185185</v>
      </c>
      <c r="E924" s="12" t="n">
        <v>540</v>
      </c>
      <c r="F924" s="11" t="n">
        <v>0.00706574074074074</v>
      </c>
      <c r="G924" s="12" t="n">
        <v>410</v>
      </c>
      <c r="H924" s="11"/>
      <c r="I924" s="12"/>
      <c r="J924" s="12" t="n">
        <f aca="false">COUNT(E924,G924,I924)</f>
        <v>2</v>
      </c>
      <c r="K924" s="13" t="n">
        <f aca="false">MIN(E924,G924,I924)</f>
        <v>410</v>
      </c>
      <c r="L924" s="9" t="str">
        <f aca="false">IF(E924=K924,"5000m",IF(G924=K924,"3000mSC","1500m"))</f>
        <v>3000mSC</v>
      </c>
      <c r="M924" s="14" t="n">
        <f aca="false">(D924&lt;&gt;"")*(D924&lt;=($E$3*60+$F$3)/86400)+(F924&lt;&gt;"")*(F924&lt;=($I$3*60+$J$3)/86400)+(H924&lt;&gt;"")*(H924&lt;=($M$3*60+$N$3)/86400)</f>
        <v>0</v>
      </c>
      <c r="N924" s="16"/>
      <c r="O924" s="15"/>
    </row>
    <row r="925" customFormat="false" ht="25.35" hidden="false" customHeight="false" outlineLevel="0" collapsed="false">
      <c r="A925" s="9" t="n">
        <v>919</v>
      </c>
      <c r="B925" s="10" t="s">
        <v>1350</v>
      </c>
      <c r="C925" s="10" t="s">
        <v>1351</v>
      </c>
      <c r="D925" s="11"/>
      <c r="E925" s="12"/>
      <c r="F925" s="11" t="n">
        <v>0.00706574074074074</v>
      </c>
      <c r="G925" s="12" t="n">
        <v>411</v>
      </c>
      <c r="H925" s="11"/>
      <c r="I925" s="12"/>
      <c r="J925" s="12" t="n">
        <f aca="false">COUNT(E925,G925,I925)</f>
        <v>1</v>
      </c>
      <c r="K925" s="13" t="n">
        <f aca="false">MIN(E925,G925,I925)</f>
        <v>411</v>
      </c>
      <c r="L925" s="9" t="str">
        <f aca="false">IF(E925=K925,"5000m",IF(G925=K925,"3000mSC","1500m"))</f>
        <v>3000mSC</v>
      </c>
      <c r="M925" s="14" t="n">
        <f aca="false">(D925&lt;&gt;"")*(D925&lt;=($E$3*60+$F$3)/86400)+(F925&lt;&gt;"")*(F925&lt;=($I$3*60+$J$3)/86400)+(H925&lt;&gt;"")*(H925&lt;=($M$3*60+$N$3)/86400)</f>
        <v>0</v>
      </c>
      <c r="N925" s="16"/>
      <c r="O925" s="15"/>
    </row>
    <row r="926" customFormat="false" ht="15" hidden="false" customHeight="false" outlineLevel="0" collapsed="false">
      <c r="A926" s="9" t="n">
        <v>920</v>
      </c>
      <c r="B926" s="10" t="s">
        <v>1352</v>
      </c>
      <c r="C926" s="10" t="s">
        <v>1353</v>
      </c>
      <c r="D926" s="11"/>
      <c r="E926" s="12"/>
      <c r="F926" s="11"/>
      <c r="G926" s="12"/>
      <c r="H926" s="11" t="n">
        <v>0.002828125</v>
      </c>
      <c r="I926" s="12" t="n">
        <v>411</v>
      </c>
      <c r="J926" s="12" t="n">
        <f aca="false">COUNT(E926,G926,I926)</f>
        <v>1</v>
      </c>
      <c r="K926" s="13" t="n">
        <f aca="false">MIN(E926,G926,I926)</f>
        <v>411</v>
      </c>
      <c r="L926" s="9" t="str">
        <f aca="false">IF(E926=K926,"5000m",IF(G926=K926,"3000mSC","1500m"))</f>
        <v>1500m</v>
      </c>
      <c r="M926" s="14" t="n">
        <f aca="false">(D926&lt;&gt;"")*(D926&lt;=($E$3*60+$F$3)/86400)+(F926&lt;&gt;"")*(F926&lt;=($I$3*60+$J$3)/86400)+(H926&lt;&gt;"")*(H926&lt;=($M$3*60+$N$3)/86400)</f>
        <v>0</v>
      </c>
      <c r="N926" s="16"/>
      <c r="O926" s="15"/>
    </row>
    <row r="927" customFormat="false" ht="15" hidden="false" customHeight="false" outlineLevel="0" collapsed="false">
      <c r="A927" s="9" t="n">
        <v>921</v>
      </c>
      <c r="B927" s="10" t="s">
        <v>1354</v>
      </c>
      <c r="C927" s="10" t="s">
        <v>915</v>
      </c>
      <c r="D927" s="11" t="n">
        <v>0.0105601851851852</v>
      </c>
      <c r="E927" s="12" t="n">
        <v>412</v>
      </c>
      <c r="F927" s="11"/>
      <c r="G927" s="12"/>
      <c r="H927" s="11" t="n">
        <v>0.00284988425925926</v>
      </c>
      <c r="I927" s="12" t="n">
        <v>570</v>
      </c>
      <c r="J927" s="12" t="n">
        <f aca="false">COUNT(E927,G927,I927)</f>
        <v>2</v>
      </c>
      <c r="K927" s="13" t="n">
        <f aca="false">MIN(E927,G927,I927)</f>
        <v>412</v>
      </c>
      <c r="L927" s="9" t="str">
        <f aca="false">IF(E927=K927,"5000m",IF(G927=K927,"3000mSC","1500m"))</f>
        <v>5000m</v>
      </c>
      <c r="M927" s="14" t="n">
        <f aca="false">(D927&lt;&gt;"")*(D927&lt;=($E$3*60+$F$3)/86400)+(F927&lt;&gt;"")*(F927&lt;=($I$3*60+$J$3)/86400)+(H927&lt;&gt;"")*(H927&lt;=($M$3*60+$N$3)/86400)</f>
        <v>0</v>
      </c>
      <c r="N927" s="16"/>
      <c r="O927" s="15"/>
    </row>
    <row r="928" customFormat="false" ht="25.35" hidden="false" customHeight="false" outlineLevel="0" collapsed="false">
      <c r="A928" s="9" t="n">
        <v>922</v>
      </c>
      <c r="B928" s="10" t="s">
        <v>1355</v>
      </c>
      <c r="C928" s="10" t="s">
        <v>286</v>
      </c>
      <c r="D928" s="11"/>
      <c r="E928" s="12"/>
      <c r="F928" s="11" t="n">
        <v>0.00706863425925926</v>
      </c>
      <c r="G928" s="12" t="n">
        <v>412</v>
      </c>
      <c r="H928" s="11"/>
      <c r="I928" s="12"/>
      <c r="J928" s="12" t="n">
        <f aca="false">COUNT(E928,G928,I928)</f>
        <v>1</v>
      </c>
      <c r="K928" s="13" t="n">
        <f aca="false">MIN(E928,G928,I928)</f>
        <v>412</v>
      </c>
      <c r="L928" s="9" t="str">
        <f aca="false">IF(E928=K928,"5000m",IF(G928=K928,"3000mSC","1500m"))</f>
        <v>3000mSC</v>
      </c>
      <c r="M928" s="14" t="n">
        <f aca="false">(D928&lt;&gt;"")*(D928&lt;=($E$3*60+$F$3)/86400)+(F928&lt;&gt;"")*(F928&lt;=($I$3*60+$J$3)/86400)+(H928&lt;&gt;"")*(H928&lt;=($M$3*60+$N$3)/86400)</f>
        <v>0</v>
      </c>
      <c r="N928" s="16"/>
      <c r="O928" s="15"/>
    </row>
    <row r="929" customFormat="false" ht="25.35" hidden="false" customHeight="false" outlineLevel="0" collapsed="false">
      <c r="A929" s="9" t="n">
        <v>923</v>
      </c>
      <c r="B929" s="10" t="s">
        <v>1356</v>
      </c>
      <c r="C929" s="10" t="s">
        <v>1357</v>
      </c>
      <c r="D929" s="11" t="n">
        <v>0.0110112268518519</v>
      </c>
      <c r="E929" s="12" t="n">
        <v>1112</v>
      </c>
      <c r="F929" s="11" t="n">
        <v>0.00706909722222222</v>
      </c>
      <c r="G929" s="12" t="n">
        <v>413</v>
      </c>
      <c r="H929" s="11" t="n">
        <v>0.00289837962962963</v>
      </c>
      <c r="I929" s="12" t="n">
        <v>935</v>
      </c>
      <c r="J929" s="12" t="n">
        <f aca="false">COUNT(E929,G929,I929)</f>
        <v>3</v>
      </c>
      <c r="K929" s="13" t="n">
        <f aca="false">MIN(E929,G929,I929)</f>
        <v>413</v>
      </c>
      <c r="L929" s="9" t="str">
        <f aca="false">IF(E929=K929,"5000m",IF(G929=K929,"3000mSC","1500m"))</f>
        <v>3000mSC</v>
      </c>
      <c r="M929" s="14" t="n">
        <f aca="false">(D929&lt;&gt;"")*(D929&lt;=($E$3*60+$F$3)/86400)+(F929&lt;&gt;"")*(F929&lt;=($I$3*60+$J$3)/86400)+(H929&lt;&gt;"")*(H929&lt;=($M$3*60+$N$3)/86400)</f>
        <v>0</v>
      </c>
      <c r="N929" s="16"/>
      <c r="O929" s="15"/>
    </row>
    <row r="930" customFormat="false" ht="15" hidden="false" customHeight="false" outlineLevel="0" collapsed="false">
      <c r="A930" s="9" t="n">
        <v>924</v>
      </c>
      <c r="B930" s="10" t="s">
        <v>1358</v>
      </c>
      <c r="C930" s="10" t="s">
        <v>462</v>
      </c>
      <c r="D930" s="11" t="n">
        <v>0.0105621527777778</v>
      </c>
      <c r="E930" s="12" t="n">
        <v>413</v>
      </c>
      <c r="F930" s="11"/>
      <c r="G930" s="12"/>
      <c r="H930" s="11" t="n">
        <v>0.00289606481481482</v>
      </c>
      <c r="I930" s="12" t="n">
        <v>922</v>
      </c>
      <c r="J930" s="12" t="n">
        <f aca="false">COUNT(E930,G930,I930)</f>
        <v>2</v>
      </c>
      <c r="K930" s="13" t="n">
        <f aca="false">MIN(E930,G930,I930)</f>
        <v>413</v>
      </c>
      <c r="L930" s="9" t="str">
        <f aca="false">IF(E930=K930,"5000m",IF(G930=K930,"3000mSC","1500m"))</f>
        <v>5000m</v>
      </c>
      <c r="M930" s="14" t="n">
        <f aca="false">(D930&lt;&gt;"")*(D930&lt;=($E$3*60+$F$3)/86400)+(F930&lt;&gt;"")*(F930&lt;=($I$3*60+$J$3)/86400)+(H930&lt;&gt;"")*(H930&lt;=($M$3*60+$N$3)/86400)</f>
        <v>0</v>
      </c>
      <c r="N930" s="16"/>
      <c r="O930" s="15"/>
    </row>
    <row r="931" customFormat="false" ht="25.35" hidden="false" customHeight="false" outlineLevel="0" collapsed="false">
      <c r="A931" s="9" t="n">
        <v>925</v>
      </c>
      <c r="B931" s="10" t="s">
        <v>1359</v>
      </c>
      <c r="C931" s="10" t="s">
        <v>988</v>
      </c>
      <c r="D931" s="11"/>
      <c r="E931" s="12"/>
      <c r="F931" s="11" t="n">
        <v>0.00706967592592593</v>
      </c>
      <c r="G931" s="12" t="n">
        <v>414</v>
      </c>
      <c r="H931" s="11"/>
      <c r="I931" s="12"/>
      <c r="J931" s="12" t="n">
        <f aca="false">COUNT(E931,G931,I931)</f>
        <v>1</v>
      </c>
      <c r="K931" s="13" t="n">
        <f aca="false">MIN(E931,G931,I931)</f>
        <v>414</v>
      </c>
      <c r="L931" s="9" t="str">
        <f aca="false">IF(E931=K931,"5000m",IF(G931=K931,"3000mSC","1500m"))</f>
        <v>3000mSC</v>
      </c>
      <c r="M931" s="14" t="n">
        <f aca="false">(D931&lt;&gt;"")*(D931&lt;=($E$3*60+$F$3)/86400)+(F931&lt;&gt;"")*(F931&lt;=($I$3*60+$J$3)/86400)+(H931&lt;&gt;"")*(H931&lt;=($M$3*60+$N$3)/86400)</f>
        <v>0</v>
      </c>
      <c r="N931" s="16"/>
      <c r="O931" s="15"/>
    </row>
    <row r="932" customFormat="false" ht="25.35" hidden="false" customHeight="false" outlineLevel="0" collapsed="false">
      <c r="A932" s="9" t="n">
        <v>926</v>
      </c>
      <c r="B932" s="10" t="s">
        <v>1360</v>
      </c>
      <c r="C932" s="10" t="s">
        <v>1225</v>
      </c>
      <c r="D932" s="11"/>
      <c r="E932" s="12"/>
      <c r="F932" s="11" t="n">
        <v>0.00707071759259259</v>
      </c>
      <c r="G932" s="12" t="n">
        <v>415</v>
      </c>
      <c r="H932" s="11"/>
      <c r="I932" s="12"/>
      <c r="J932" s="12" t="n">
        <f aca="false">COUNT(E932,G932,I932)</f>
        <v>1</v>
      </c>
      <c r="K932" s="13" t="n">
        <f aca="false">MIN(E932,G932,I932)</f>
        <v>415</v>
      </c>
      <c r="L932" s="9" t="str">
        <f aca="false">IF(E932=K932,"5000m",IF(G932=K932,"3000mSC","1500m"))</f>
        <v>3000mSC</v>
      </c>
      <c r="M932" s="14" t="n">
        <f aca="false">(D932&lt;&gt;"")*(D932&lt;=($E$3*60+$F$3)/86400)+(F932&lt;&gt;"")*(F932&lt;=($I$3*60+$J$3)/86400)+(H932&lt;&gt;"")*(H932&lt;=($M$3*60+$N$3)/86400)</f>
        <v>0</v>
      </c>
      <c r="N932" s="16"/>
      <c r="O932" s="15"/>
    </row>
    <row r="933" customFormat="false" ht="15" hidden="false" customHeight="false" outlineLevel="0" collapsed="false">
      <c r="A933" s="9" t="n">
        <v>927</v>
      </c>
      <c r="B933" s="10" t="s">
        <v>1361</v>
      </c>
      <c r="C933" s="10" t="s">
        <v>1362</v>
      </c>
      <c r="D933" s="11"/>
      <c r="E933" s="12"/>
      <c r="F933" s="11"/>
      <c r="G933" s="12"/>
      <c r="H933" s="11" t="n">
        <v>0.00282858796296296</v>
      </c>
      <c r="I933" s="12" t="n">
        <v>415</v>
      </c>
      <c r="J933" s="12" t="n">
        <f aca="false">COUNT(E933,G933,I933)</f>
        <v>1</v>
      </c>
      <c r="K933" s="13" t="n">
        <f aca="false">MIN(E933,G933,I933)</f>
        <v>415</v>
      </c>
      <c r="L933" s="9" t="str">
        <f aca="false">IF(E933=K933,"5000m",IF(G933=K933,"3000mSC","1500m"))</f>
        <v>1500m</v>
      </c>
      <c r="M933" s="14" t="n">
        <f aca="false">(D933&lt;&gt;"")*(D933&lt;=($E$3*60+$F$3)/86400)+(F933&lt;&gt;"")*(F933&lt;=($I$3*60+$J$3)/86400)+(H933&lt;&gt;"")*(H933&lt;=($M$3*60+$N$3)/86400)</f>
        <v>0</v>
      </c>
      <c r="N933" s="16"/>
      <c r="O933" s="15"/>
    </row>
    <row r="934" customFormat="false" ht="15" hidden="false" customHeight="false" outlineLevel="0" collapsed="false">
      <c r="A934" s="9" t="n">
        <v>928</v>
      </c>
      <c r="B934" s="10" t="s">
        <v>1363</v>
      </c>
      <c r="C934" s="10" t="s">
        <v>1364</v>
      </c>
      <c r="D934" s="11" t="n">
        <v>0.0105834490740741</v>
      </c>
      <c r="E934" s="12" t="n">
        <v>440</v>
      </c>
      <c r="F934" s="11"/>
      <c r="G934" s="12"/>
      <c r="H934" s="11" t="n">
        <v>0.0028287037037037</v>
      </c>
      <c r="I934" s="12" t="n">
        <v>416</v>
      </c>
      <c r="J934" s="12" t="n">
        <f aca="false">COUNT(E934,G934,I934)</f>
        <v>2</v>
      </c>
      <c r="K934" s="13" t="n">
        <f aca="false">MIN(E934,G934,I934)</f>
        <v>416</v>
      </c>
      <c r="L934" s="9" t="str">
        <f aca="false">IF(E934=K934,"5000m",IF(G934=K934,"3000mSC","1500m"))</f>
        <v>1500m</v>
      </c>
      <c r="M934" s="14" t="n">
        <f aca="false">(D934&lt;&gt;"")*(D934&lt;=($E$3*60+$F$3)/86400)+(F934&lt;&gt;"")*(F934&lt;=($I$3*60+$J$3)/86400)+(H934&lt;&gt;"")*(H934&lt;=($M$3*60+$N$3)/86400)</f>
        <v>0</v>
      </c>
      <c r="N934" s="16"/>
      <c r="O934" s="15"/>
    </row>
    <row r="935" customFormat="false" ht="25.35" hidden="false" customHeight="false" outlineLevel="0" collapsed="false">
      <c r="A935" s="9" t="n">
        <v>929</v>
      </c>
      <c r="B935" s="10" t="s">
        <v>1365</v>
      </c>
      <c r="C935" s="10" t="s">
        <v>1366</v>
      </c>
      <c r="D935" s="11"/>
      <c r="E935" s="12"/>
      <c r="F935" s="11" t="n">
        <v>0.00707083333333333</v>
      </c>
      <c r="G935" s="12" t="n">
        <v>416</v>
      </c>
      <c r="H935" s="11" t="n">
        <v>0.00288923611111111</v>
      </c>
      <c r="I935" s="12" t="n">
        <v>857</v>
      </c>
      <c r="J935" s="12" t="n">
        <f aca="false">COUNT(E935,G935,I935)</f>
        <v>2</v>
      </c>
      <c r="K935" s="13" t="n">
        <f aca="false">MIN(E935,G935,I935)</f>
        <v>416</v>
      </c>
      <c r="L935" s="9" t="str">
        <f aca="false">IF(E935=K935,"5000m",IF(G935=K935,"3000mSC","1500m"))</f>
        <v>3000mSC</v>
      </c>
      <c r="M935" s="14" t="n">
        <f aca="false">(D935&lt;&gt;"")*(D935&lt;=($E$3*60+$F$3)/86400)+(F935&lt;&gt;"")*(F935&lt;=($I$3*60+$J$3)/86400)+(H935&lt;&gt;"")*(H935&lt;=($M$3*60+$N$3)/86400)</f>
        <v>0</v>
      </c>
      <c r="N935" s="16"/>
      <c r="O935" s="15"/>
    </row>
    <row r="936" customFormat="false" ht="15" hidden="false" customHeight="false" outlineLevel="0" collapsed="false">
      <c r="A936" s="9" t="n">
        <v>930</v>
      </c>
      <c r="B936" s="10" t="s">
        <v>1367</v>
      </c>
      <c r="C936" s="10" t="s">
        <v>1368</v>
      </c>
      <c r="D936" s="11" t="n">
        <v>0.0105638888888889</v>
      </c>
      <c r="E936" s="12" t="n">
        <v>416</v>
      </c>
      <c r="F936" s="11"/>
      <c r="G936" s="12"/>
      <c r="H936" s="11" t="n">
        <v>0.00291550925925926</v>
      </c>
      <c r="I936" s="12" t="n">
        <v>1056</v>
      </c>
      <c r="J936" s="12" t="n">
        <f aca="false">COUNT(E936,G936,I936)</f>
        <v>2</v>
      </c>
      <c r="K936" s="13" t="n">
        <f aca="false">MIN(E936,G936,I936)</f>
        <v>416</v>
      </c>
      <c r="L936" s="9" t="str">
        <f aca="false">IF(E936=K936,"5000m",IF(G936=K936,"3000mSC","1500m"))</f>
        <v>5000m</v>
      </c>
      <c r="M936" s="14" t="n">
        <f aca="false">(D936&lt;&gt;"")*(D936&lt;=($E$3*60+$F$3)/86400)+(F936&lt;&gt;"")*(F936&lt;=($I$3*60+$J$3)/86400)+(H936&lt;&gt;"")*(H936&lt;=($M$3*60+$N$3)/86400)</f>
        <v>0</v>
      </c>
      <c r="N936" s="16"/>
      <c r="O936" s="15"/>
    </row>
    <row r="937" customFormat="false" ht="25.35" hidden="false" customHeight="false" outlineLevel="0" collapsed="false">
      <c r="A937" s="9" t="n">
        <v>931</v>
      </c>
      <c r="B937" s="10" t="s">
        <v>1369</v>
      </c>
      <c r="C937" s="10" t="s">
        <v>1370</v>
      </c>
      <c r="D937" s="11"/>
      <c r="E937" s="12"/>
      <c r="F937" s="11" t="n">
        <v>0.00707233796296296</v>
      </c>
      <c r="G937" s="12" t="n">
        <v>417</v>
      </c>
      <c r="H937" s="11"/>
      <c r="I937" s="12"/>
      <c r="J937" s="12" t="n">
        <f aca="false">COUNT(E937,G937,I937)</f>
        <v>1</v>
      </c>
      <c r="K937" s="13" t="n">
        <f aca="false">MIN(E937,G937,I937)</f>
        <v>417</v>
      </c>
      <c r="L937" s="9" t="str">
        <f aca="false">IF(E937=K937,"5000m",IF(G937=K937,"3000mSC","1500m"))</f>
        <v>3000mSC</v>
      </c>
      <c r="M937" s="14" t="n">
        <f aca="false">(D937&lt;&gt;"")*(D937&lt;=($E$3*60+$F$3)/86400)+(F937&lt;&gt;"")*(F937&lt;=($I$3*60+$J$3)/86400)+(H937&lt;&gt;"")*(H937&lt;=($M$3*60+$N$3)/86400)</f>
        <v>0</v>
      </c>
      <c r="N937" s="16"/>
      <c r="O937" s="15"/>
    </row>
    <row r="938" customFormat="false" ht="15" hidden="false" customHeight="false" outlineLevel="0" collapsed="false">
      <c r="A938" s="9" t="n">
        <v>932</v>
      </c>
      <c r="B938" s="10" t="s">
        <v>1371</v>
      </c>
      <c r="C938" s="10" t="s">
        <v>1372</v>
      </c>
      <c r="D938" s="11"/>
      <c r="E938" s="12"/>
      <c r="F938" s="11"/>
      <c r="G938" s="12"/>
      <c r="H938" s="11" t="n">
        <v>0.00282881944444445</v>
      </c>
      <c r="I938" s="12" t="n">
        <v>417</v>
      </c>
      <c r="J938" s="12" t="n">
        <f aca="false">COUNT(E938,G938,I938)</f>
        <v>1</v>
      </c>
      <c r="K938" s="13" t="n">
        <f aca="false">MIN(E938,G938,I938)</f>
        <v>417</v>
      </c>
      <c r="L938" s="9" t="str">
        <f aca="false">IF(E938=K938,"5000m",IF(G938=K938,"3000mSC","1500m"))</f>
        <v>1500m</v>
      </c>
      <c r="M938" s="14" t="n">
        <f aca="false">(D938&lt;&gt;"")*(D938&lt;=($E$3*60+$F$3)/86400)+(F938&lt;&gt;"")*(F938&lt;=($I$3*60+$J$3)/86400)+(H938&lt;&gt;"")*(H938&lt;=($M$3*60+$N$3)/86400)</f>
        <v>0</v>
      </c>
      <c r="N938" s="16"/>
      <c r="O938" s="15"/>
    </row>
    <row r="939" customFormat="false" ht="15" hidden="false" customHeight="false" outlineLevel="0" collapsed="false">
      <c r="A939" s="9" t="n">
        <v>933</v>
      </c>
      <c r="B939" s="10" t="s">
        <v>1373</v>
      </c>
      <c r="C939" s="10" t="s">
        <v>309</v>
      </c>
      <c r="D939" s="11" t="n">
        <v>0.0106479166666667</v>
      </c>
      <c r="E939" s="12" t="n">
        <v>520</v>
      </c>
      <c r="F939" s="11"/>
      <c r="G939" s="12"/>
      <c r="H939" s="11" t="n">
        <v>0.00282881944444445</v>
      </c>
      <c r="I939" s="12" t="n">
        <v>418</v>
      </c>
      <c r="J939" s="12" t="n">
        <f aca="false">COUNT(E939,G939,I939)</f>
        <v>2</v>
      </c>
      <c r="K939" s="13" t="n">
        <f aca="false">MIN(E939,G939,I939)</f>
        <v>418</v>
      </c>
      <c r="L939" s="9" t="str">
        <f aca="false">IF(E939=K939,"5000m",IF(G939=K939,"3000mSC","1500m"))</f>
        <v>1500m</v>
      </c>
      <c r="M939" s="14" t="n">
        <f aca="false">(D939&lt;&gt;"")*(D939&lt;=($E$3*60+$F$3)/86400)+(F939&lt;&gt;"")*(F939&lt;=($I$3*60+$J$3)/86400)+(H939&lt;&gt;"")*(H939&lt;=($M$3*60+$N$3)/86400)</f>
        <v>0</v>
      </c>
      <c r="N939" s="16"/>
      <c r="O939" s="15"/>
    </row>
    <row r="940" customFormat="false" ht="15" hidden="false" customHeight="false" outlineLevel="0" collapsed="false">
      <c r="A940" s="9" t="n">
        <v>934</v>
      </c>
      <c r="B940" s="10" t="s">
        <v>1374</v>
      </c>
      <c r="C940" s="10" t="s">
        <v>445</v>
      </c>
      <c r="D940" s="11" t="n">
        <v>0.0105646990740741</v>
      </c>
      <c r="E940" s="12" t="n">
        <v>418</v>
      </c>
      <c r="F940" s="11" t="n">
        <v>0.00742060185185185</v>
      </c>
      <c r="G940" s="12" t="n">
        <v>795</v>
      </c>
      <c r="H940" s="11"/>
      <c r="I940" s="12"/>
      <c r="J940" s="12" t="n">
        <f aca="false">COUNT(E940,G940,I940)</f>
        <v>2</v>
      </c>
      <c r="K940" s="13" t="n">
        <f aca="false">MIN(E940,G940,I940)</f>
        <v>418</v>
      </c>
      <c r="L940" s="9" t="str">
        <f aca="false">IF(E940=K940,"5000m",IF(G940=K940,"3000mSC","1500m"))</f>
        <v>5000m</v>
      </c>
      <c r="M940" s="14" t="n">
        <f aca="false">(D940&lt;&gt;"")*(D940&lt;=($E$3*60+$F$3)/86400)+(F940&lt;&gt;"")*(F940&lt;=($I$3*60+$J$3)/86400)+(H940&lt;&gt;"")*(H940&lt;=($M$3*60+$N$3)/86400)</f>
        <v>0</v>
      </c>
      <c r="N940" s="16"/>
      <c r="O940" s="15"/>
    </row>
    <row r="941" customFormat="false" ht="25.35" hidden="false" customHeight="false" outlineLevel="0" collapsed="false">
      <c r="A941" s="9" t="n">
        <v>935</v>
      </c>
      <c r="B941" s="10" t="s">
        <v>1375</v>
      </c>
      <c r="C941" s="10" t="s">
        <v>549</v>
      </c>
      <c r="D941" s="11" t="n">
        <v>0.0110216435185185</v>
      </c>
      <c r="E941" s="12" t="n">
        <v>1132</v>
      </c>
      <c r="F941" s="11" t="n">
        <v>0.00707256944444445</v>
      </c>
      <c r="G941" s="12" t="n">
        <v>418</v>
      </c>
      <c r="H941" s="11"/>
      <c r="I941" s="12"/>
      <c r="J941" s="12" t="n">
        <f aca="false">COUNT(E941,G941,I941)</f>
        <v>2</v>
      </c>
      <c r="K941" s="13" t="n">
        <f aca="false">MIN(E941,G941,I941)</f>
        <v>418</v>
      </c>
      <c r="L941" s="9" t="str">
        <f aca="false">IF(E941=K941,"5000m",IF(G941=K941,"3000mSC","1500m"))</f>
        <v>3000mSC</v>
      </c>
      <c r="M941" s="14" t="n">
        <f aca="false">(D941&lt;&gt;"")*(D941&lt;=($E$3*60+$F$3)/86400)+(F941&lt;&gt;"")*(F941&lt;=($I$3*60+$J$3)/86400)+(H941&lt;&gt;"")*(H941&lt;=($M$3*60+$N$3)/86400)</f>
        <v>0</v>
      </c>
      <c r="N941" s="16"/>
      <c r="O941" s="15"/>
    </row>
    <row r="942" customFormat="false" ht="15" hidden="false" customHeight="false" outlineLevel="0" collapsed="false">
      <c r="A942" s="9" t="n">
        <v>936</v>
      </c>
      <c r="B942" s="10" t="s">
        <v>1376</v>
      </c>
      <c r="C942" s="10" t="s">
        <v>181</v>
      </c>
      <c r="D942" s="11" t="n">
        <v>0.0105650462962963</v>
      </c>
      <c r="E942" s="12" t="n">
        <v>419</v>
      </c>
      <c r="F942" s="11"/>
      <c r="G942" s="12"/>
      <c r="H942" s="11"/>
      <c r="I942" s="12"/>
      <c r="J942" s="12" t="n">
        <f aca="false">COUNT(E942,G942,I942)</f>
        <v>1</v>
      </c>
      <c r="K942" s="13" t="n">
        <f aca="false">MIN(E942,G942,I942)</f>
        <v>419</v>
      </c>
      <c r="L942" s="9" t="str">
        <f aca="false">IF(E942=K942,"5000m",IF(G942=K942,"3000mSC","1500m"))</f>
        <v>5000m</v>
      </c>
      <c r="M942" s="14" t="n">
        <f aca="false">(D942&lt;&gt;"")*(D942&lt;=($E$3*60+$F$3)/86400)+(F942&lt;&gt;"")*(F942&lt;=($I$3*60+$J$3)/86400)+(H942&lt;&gt;"")*(H942&lt;=($M$3*60+$N$3)/86400)</f>
        <v>0</v>
      </c>
      <c r="N942" s="16"/>
      <c r="O942" s="15"/>
    </row>
    <row r="943" customFormat="false" ht="25.35" hidden="false" customHeight="false" outlineLevel="0" collapsed="false">
      <c r="A943" s="9" t="n">
        <v>937</v>
      </c>
      <c r="B943" s="10" t="s">
        <v>1377</v>
      </c>
      <c r="C943" s="10" t="s">
        <v>567</v>
      </c>
      <c r="D943" s="11"/>
      <c r="E943" s="12"/>
      <c r="F943" s="11" t="n">
        <v>0.00707407407407408</v>
      </c>
      <c r="G943" s="12" t="n">
        <v>419</v>
      </c>
      <c r="H943" s="11"/>
      <c r="I943" s="12"/>
      <c r="J943" s="12" t="n">
        <f aca="false">COUNT(E943,G943,I943)</f>
        <v>1</v>
      </c>
      <c r="K943" s="13" t="n">
        <f aca="false">MIN(E943,G943,I943)</f>
        <v>419</v>
      </c>
      <c r="L943" s="9" t="str">
        <f aca="false">IF(E943=K943,"5000m",IF(G943=K943,"3000mSC","1500m"))</f>
        <v>3000mSC</v>
      </c>
      <c r="M943" s="14" t="n">
        <f aca="false">(D943&lt;&gt;"")*(D943&lt;=($E$3*60+$F$3)/86400)+(F943&lt;&gt;"")*(F943&lt;=($I$3*60+$J$3)/86400)+(H943&lt;&gt;"")*(H943&lt;=($M$3*60+$N$3)/86400)</f>
        <v>0</v>
      </c>
      <c r="N943" s="16"/>
      <c r="O943" s="15"/>
    </row>
    <row r="944" customFormat="false" ht="25.35" hidden="false" customHeight="false" outlineLevel="0" collapsed="false">
      <c r="A944" s="9" t="n">
        <v>938</v>
      </c>
      <c r="B944" s="10" t="s">
        <v>1378</v>
      </c>
      <c r="C944" s="10" t="s">
        <v>564</v>
      </c>
      <c r="D944" s="11" t="n">
        <v>0.0108391203703704</v>
      </c>
      <c r="E944" s="12" t="n">
        <v>812</v>
      </c>
      <c r="F944" s="11" t="n">
        <v>0.00707430555555556</v>
      </c>
      <c r="G944" s="12" t="n">
        <v>420</v>
      </c>
      <c r="H944" s="11" t="n">
        <v>0.00292395833333333</v>
      </c>
      <c r="I944" s="12" t="n">
        <v>1136</v>
      </c>
      <c r="J944" s="12" t="n">
        <f aca="false">COUNT(E944,G944,I944)</f>
        <v>3</v>
      </c>
      <c r="K944" s="13" t="n">
        <f aca="false">MIN(E944,G944,I944)</f>
        <v>420</v>
      </c>
      <c r="L944" s="9" t="str">
        <f aca="false">IF(E944=K944,"5000m",IF(G944=K944,"3000mSC","1500m"))</f>
        <v>3000mSC</v>
      </c>
      <c r="M944" s="14" t="n">
        <f aca="false">(D944&lt;&gt;"")*(D944&lt;=($E$3*60+$F$3)/86400)+(F944&lt;&gt;"")*(F944&lt;=($I$3*60+$J$3)/86400)+(H944&lt;&gt;"")*(H944&lt;=($M$3*60+$N$3)/86400)</f>
        <v>0</v>
      </c>
      <c r="N944" s="16"/>
      <c r="O944" s="15"/>
    </row>
    <row r="945" customFormat="false" ht="15" hidden="false" customHeight="false" outlineLevel="0" collapsed="false">
      <c r="A945" s="9" t="n">
        <v>939</v>
      </c>
      <c r="B945" s="10" t="s">
        <v>1379</v>
      </c>
      <c r="C945" s="10" t="s">
        <v>49</v>
      </c>
      <c r="D945" s="11" t="n">
        <v>0.0105658564814815</v>
      </c>
      <c r="E945" s="12" t="n">
        <v>420</v>
      </c>
      <c r="F945" s="11"/>
      <c r="G945" s="12"/>
      <c r="H945" s="11" t="n">
        <v>0.00283171296296296</v>
      </c>
      <c r="I945" s="12" t="n">
        <v>436</v>
      </c>
      <c r="J945" s="12" t="n">
        <f aca="false">COUNT(E945,G945,I945)</f>
        <v>2</v>
      </c>
      <c r="K945" s="13" t="n">
        <f aca="false">MIN(E945,G945,I945)</f>
        <v>420</v>
      </c>
      <c r="L945" s="9" t="str">
        <f aca="false">IF(E945=K945,"5000m",IF(G945=K945,"3000mSC","1500m"))</f>
        <v>5000m</v>
      </c>
      <c r="M945" s="14" t="n">
        <f aca="false">(D945&lt;&gt;"")*(D945&lt;=($E$3*60+$F$3)/86400)+(F945&lt;&gt;"")*(F945&lt;=($I$3*60+$J$3)/86400)+(H945&lt;&gt;"")*(H945&lt;=($M$3*60+$N$3)/86400)</f>
        <v>0</v>
      </c>
      <c r="N945" s="16"/>
      <c r="O945" s="15"/>
    </row>
    <row r="946" customFormat="false" ht="15" hidden="false" customHeight="false" outlineLevel="0" collapsed="false">
      <c r="A946" s="9" t="n">
        <v>940</v>
      </c>
      <c r="B946" s="10" t="s">
        <v>1380</v>
      </c>
      <c r="C946" s="10" t="s">
        <v>1381</v>
      </c>
      <c r="D946" s="11" t="n">
        <v>0.0105694444444445</v>
      </c>
      <c r="E946" s="12" t="n">
        <v>421</v>
      </c>
      <c r="F946" s="11"/>
      <c r="G946" s="12"/>
      <c r="H946" s="11" t="n">
        <v>0.00289583333333333</v>
      </c>
      <c r="I946" s="12" t="n">
        <v>920</v>
      </c>
      <c r="J946" s="12" t="n">
        <f aca="false">COUNT(E946,G946,I946)</f>
        <v>2</v>
      </c>
      <c r="K946" s="13" t="n">
        <f aca="false">MIN(E946,G946,I946)</f>
        <v>421</v>
      </c>
      <c r="L946" s="9" t="str">
        <f aca="false">IF(E946=K946,"5000m",IF(G946=K946,"3000mSC","1500m"))</f>
        <v>5000m</v>
      </c>
      <c r="M946" s="14" t="n">
        <f aca="false">(D946&lt;&gt;"")*(D946&lt;=($E$3*60+$F$3)/86400)+(F946&lt;&gt;"")*(F946&lt;=($I$3*60+$J$3)/86400)+(H946&lt;&gt;"")*(H946&lt;=($M$3*60+$N$3)/86400)</f>
        <v>0</v>
      </c>
      <c r="N946" s="16"/>
      <c r="O946" s="15"/>
    </row>
    <row r="947" customFormat="false" ht="25.35" hidden="false" customHeight="false" outlineLevel="0" collapsed="false">
      <c r="A947" s="9" t="n">
        <v>941</v>
      </c>
      <c r="B947" s="10" t="s">
        <v>1382</v>
      </c>
      <c r="C947" s="10" t="s">
        <v>1383</v>
      </c>
      <c r="D947" s="11" t="n">
        <v>0.0109045138888889</v>
      </c>
      <c r="E947" s="12" t="n">
        <v>928</v>
      </c>
      <c r="F947" s="11" t="n">
        <v>0.00707465277777778</v>
      </c>
      <c r="G947" s="12" t="n">
        <v>421</v>
      </c>
      <c r="H947" s="11"/>
      <c r="I947" s="12"/>
      <c r="J947" s="12" t="n">
        <f aca="false">COUNT(E947,G947,I947)</f>
        <v>2</v>
      </c>
      <c r="K947" s="13" t="n">
        <f aca="false">MIN(E947,G947,I947)</f>
        <v>421</v>
      </c>
      <c r="L947" s="9" t="str">
        <f aca="false">IF(E947=K947,"5000m",IF(G947=K947,"3000mSC","1500m"))</f>
        <v>3000mSC</v>
      </c>
      <c r="M947" s="14" t="n">
        <f aca="false">(D947&lt;&gt;"")*(D947&lt;=($E$3*60+$F$3)/86400)+(F947&lt;&gt;"")*(F947&lt;=($I$3*60+$J$3)/86400)+(H947&lt;&gt;"")*(H947&lt;=($M$3*60+$N$3)/86400)</f>
        <v>0</v>
      </c>
      <c r="N947" s="16"/>
      <c r="O947" s="15"/>
    </row>
    <row r="948" customFormat="false" ht="25.35" hidden="false" customHeight="false" outlineLevel="0" collapsed="false">
      <c r="A948" s="9" t="n">
        <v>942</v>
      </c>
      <c r="B948" s="10" t="s">
        <v>1384</v>
      </c>
      <c r="C948" s="10" t="s">
        <v>425</v>
      </c>
      <c r="D948" s="11"/>
      <c r="E948" s="12"/>
      <c r="F948" s="11" t="n">
        <v>0.00707604166666667</v>
      </c>
      <c r="G948" s="12" t="n">
        <v>422</v>
      </c>
      <c r="H948" s="11"/>
      <c r="I948" s="12"/>
      <c r="J948" s="12" t="n">
        <f aca="false">COUNT(E948,G948,I948)</f>
        <v>1</v>
      </c>
      <c r="K948" s="13" t="n">
        <f aca="false">MIN(E948,G948,I948)</f>
        <v>422</v>
      </c>
      <c r="L948" s="9" t="str">
        <f aca="false">IF(E948=K948,"5000m",IF(G948=K948,"3000mSC","1500m"))</f>
        <v>3000mSC</v>
      </c>
      <c r="M948" s="14" t="n">
        <f aca="false">(D948&lt;&gt;"")*(D948&lt;=($E$3*60+$F$3)/86400)+(F948&lt;&gt;"")*(F948&lt;=($I$3*60+$J$3)/86400)+(H948&lt;&gt;"")*(H948&lt;=($M$3*60+$N$3)/86400)</f>
        <v>0</v>
      </c>
      <c r="N948" s="16"/>
      <c r="O948" s="15"/>
    </row>
    <row r="949" customFormat="false" ht="15" hidden="false" customHeight="false" outlineLevel="0" collapsed="false">
      <c r="A949" s="9" t="n">
        <v>943</v>
      </c>
      <c r="B949" s="10" t="s">
        <v>1385</v>
      </c>
      <c r="C949" s="10" t="s">
        <v>1386</v>
      </c>
      <c r="D949" s="11"/>
      <c r="E949" s="12"/>
      <c r="F949" s="11"/>
      <c r="G949" s="12"/>
      <c r="H949" s="11" t="n">
        <v>0.00282928240740741</v>
      </c>
      <c r="I949" s="12" t="n">
        <v>422</v>
      </c>
      <c r="J949" s="12" t="n">
        <f aca="false">COUNT(E949,G949,I949)</f>
        <v>1</v>
      </c>
      <c r="K949" s="13" t="n">
        <f aca="false">MIN(E949,G949,I949)</f>
        <v>422</v>
      </c>
      <c r="L949" s="9" t="str">
        <f aca="false">IF(E949=K949,"5000m",IF(G949=K949,"3000mSC","1500m"))</f>
        <v>1500m</v>
      </c>
      <c r="M949" s="14" t="n">
        <f aca="false">(D949&lt;&gt;"")*(D949&lt;=($E$3*60+$F$3)/86400)+(F949&lt;&gt;"")*(F949&lt;=($I$3*60+$J$3)/86400)+(H949&lt;&gt;"")*(H949&lt;=($M$3*60+$N$3)/86400)</f>
        <v>0</v>
      </c>
      <c r="N949" s="16"/>
      <c r="O949" s="15"/>
    </row>
    <row r="950" customFormat="false" ht="15" hidden="false" customHeight="false" outlineLevel="0" collapsed="false">
      <c r="A950" s="9" t="n">
        <v>944</v>
      </c>
      <c r="B950" s="10" t="s">
        <v>1387</v>
      </c>
      <c r="C950" s="10" t="s">
        <v>128</v>
      </c>
      <c r="D950" s="11"/>
      <c r="E950" s="12"/>
      <c r="F950" s="11" t="n">
        <v>0.00794456018518519</v>
      </c>
      <c r="G950" s="12" t="n">
        <v>1178</v>
      </c>
      <c r="H950" s="11" t="n">
        <v>0.00282939814814815</v>
      </c>
      <c r="I950" s="12" t="n">
        <v>423</v>
      </c>
      <c r="J950" s="12" t="n">
        <f aca="false">COUNT(E950,G950,I950)</f>
        <v>2</v>
      </c>
      <c r="K950" s="13" t="n">
        <f aca="false">MIN(E950,G950,I950)</f>
        <v>423</v>
      </c>
      <c r="L950" s="9" t="str">
        <f aca="false">IF(E950=K950,"5000m",IF(G950=K950,"3000mSC","1500m"))</f>
        <v>1500m</v>
      </c>
      <c r="M950" s="14" t="n">
        <f aca="false">(D950&lt;&gt;"")*(D950&lt;=($E$3*60+$F$3)/86400)+(F950&lt;&gt;"")*(F950&lt;=($I$3*60+$J$3)/86400)+(H950&lt;&gt;"")*(H950&lt;=($M$3*60+$N$3)/86400)</f>
        <v>0</v>
      </c>
      <c r="N950" s="16"/>
      <c r="O950" s="15"/>
    </row>
    <row r="951" customFormat="false" ht="15" hidden="false" customHeight="false" outlineLevel="0" collapsed="false">
      <c r="A951" s="9" t="n">
        <v>945</v>
      </c>
      <c r="B951" s="10" t="s">
        <v>1388</v>
      </c>
      <c r="C951" s="10" t="s">
        <v>49</v>
      </c>
      <c r="D951" s="11" t="n">
        <v>0.0105699074074074</v>
      </c>
      <c r="E951" s="12" t="n">
        <v>423</v>
      </c>
      <c r="F951" s="11"/>
      <c r="G951" s="12"/>
      <c r="H951" s="11"/>
      <c r="I951" s="12"/>
      <c r="J951" s="12" t="n">
        <f aca="false">COUNT(E951,G951,I951)</f>
        <v>1</v>
      </c>
      <c r="K951" s="13" t="n">
        <f aca="false">MIN(E951,G951,I951)</f>
        <v>423</v>
      </c>
      <c r="L951" s="9" t="str">
        <f aca="false">IF(E951=K951,"5000m",IF(G951=K951,"3000mSC","1500m"))</f>
        <v>5000m</v>
      </c>
      <c r="M951" s="14" t="n">
        <f aca="false">(D951&lt;&gt;"")*(D951&lt;=($E$3*60+$F$3)/86400)+(F951&lt;&gt;"")*(F951&lt;=($I$3*60+$J$3)/86400)+(H951&lt;&gt;"")*(H951&lt;=($M$3*60+$N$3)/86400)</f>
        <v>0</v>
      </c>
      <c r="N951" s="16"/>
      <c r="O951" s="15"/>
    </row>
    <row r="952" customFormat="false" ht="25.35" hidden="false" customHeight="false" outlineLevel="0" collapsed="false">
      <c r="A952" s="9" t="n">
        <v>946</v>
      </c>
      <c r="B952" s="10" t="s">
        <v>1389</v>
      </c>
      <c r="C952" s="10" t="s">
        <v>1390</v>
      </c>
      <c r="D952" s="11"/>
      <c r="E952" s="12"/>
      <c r="F952" s="11" t="n">
        <v>0.00707673611111111</v>
      </c>
      <c r="G952" s="12" t="n">
        <v>423</v>
      </c>
      <c r="H952" s="11"/>
      <c r="I952" s="12"/>
      <c r="J952" s="12" t="n">
        <f aca="false">COUNT(E952,G952,I952)</f>
        <v>1</v>
      </c>
      <c r="K952" s="13" t="n">
        <f aca="false">MIN(E952,G952,I952)</f>
        <v>423</v>
      </c>
      <c r="L952" s="9" t="str">
        <f aca="false">IF(E952=K952,"5000m",IF(G952=K952,"3000mSC","1500m"))</f>
        <v>3000mSC</v>
      </c>
      <c r="M952" s="14" t="n">
        <f aca="false">(D952&lt;&gt;"")*(D952&lt;=($E$3*60+$F$3)/86400)+(F952&lt;&gt;"")*(F952&lt;=($I$3*60+$J$3)/86400)+(H952&lt;&gt;"")*(H952&lt;=($M$3*60+$N$3)/86400)</f>
        <v>0</v>
      </c>
      <c r="N952" s="16"/>
      <c r="O952" s="15"/>
    </row>
    <row r="953" customFormat="false" ht="15" hidden="false" customHeight="false" outlineLevel="0" collapsed="false">
      <c r="A953" s="9" t="n">
        <v>947</v>
      </c>
      <c r="B953" s="10" t="s">
        <v>1391</v>
      </c>
      <c r="C953" s="10" t="s">
        <v>471</v>
      </c>
      <c r="D953" s="11" t="n">
        <v>0.0105699074074074</v>
      </c>
      <c r="E953" s="12" t="n">
        <v>424</v>
      </c>
      <c r="F953" s="11" t="n">
        <v>0.00740578703703704</v>
      </c>
      <c r="G953" s="12" t="n">
        <v>781</v>
      </c>
      <c r="H953" s="11"/>
      <c r="I953" s="12"/>
      <c r="J953" s="12" t="n">
        <f aca="false">COUNT(E953,G953,I953)</f>
        <v>2</v>
      </c>
      <c r="K953" s="13" t="n">
        <f aca="false">MIN(E953,G953,I953)</f>
        <v>424</v>
      </c>
      <c r="L953" s="9" t="str">
        <f aca="false">IF(E953=K953,"5000m",IF(G953=K953,"3000mSC","1500m"))</f>
        <v>5000m</v>
      </c>
      <c r="M953" s="14" t="n">
        <f aca="false">(D953&lt;&gt;"")*(D953&lt;=($E$3*60+$F$3)/86400)+(F953&lt;&gt;"")*(F953&lt;=($I$3*60+$J$3)/86400)+(H953&lt;&gt;"")*(H953&lt;=($M$3*60+$N$3)/86400)</f>
        <v>0</v>
      </c>
      <c r="N953" s="16"/>
      <c r="O953" s="15"/>
    </row>
    <row r="954" customFormat="false" ht="25.35" hidden="false" customHeight="false" outlineLevel="0" collapsed="false">
      <c r="A954" s="9" t="n">
        <v>948</v>
      </c>
      <c r="B954" s="10" t="s">
        <v>1392</v>
      </c>
      <c r="C954" s="10" t="s">
        <v>195</v>
      </c>
      <c r="D954" s="11"/>
      <c r="E954" s="12"/>
      <c r="F954" s="11" t="n">
        <v>0.00707731481481482</v>
      </c>
      <c r="G954" s="12" t="n">
        <v>424</v>
      </c>
      <c r="H954" s="11"/>
      <c r="I954" s="12"/>
      <c r="J954" s="12" t="n">
        <f aca="false">COUNT(E954,G954,I954)</f>
        <v>1</v>
      </c>
      <c r="K954" s="13" t="n">
        <f aca="false">MIN(E954,G954,I954)</f>
        <v>424</v>
      </c>
      <c r="L954" s="9" t="str">
        <f aca="false">IF(E954=K954,"5000m",IF(G954=K954,"3000mSC","1500m"))</f>
        <v>3000mSC</v>
      </c>
      <c r="M954" s="14" t="n">
        <f aca="false">(D954&lt;&gt;"")*(D954&lt;=($E$3*60+$F$3)/86400)+(F954&lt;&gt;"")*(F954&lt;=($I$3*60+$J$3)/86400)+(H954&lt;&gt;"")*(H954&lt;=($M$3*60+$N$3)/86400)</f>
        <v>0</v>
      </c>
      <c r="N954" s="16"/>
      <c r="O954" s="15"/>
    </row>
    <row r="955" customFormat="false" ht="25.35" hidden="false" customHeight="false" outlineLevel="0" collapsed="false">
      <c r="A955" s="9" t="n">
        <v>949</v>
      </c>
      <c r="B955" s="10" t="s">
        <v>1393</v>
      </c>
      <c r="C955" s="10" t="s">
        <v>116</v>
      </c>
      <c r="D955" s="11"/>
      <c r="E955" s="12"/>
      <c r="F955" s="11" t="n">
        <v>0.00707777777777778</v>
      </c>
      <c r="G955" s="12" t="n">
        <v>425</v>
      </c>
      <c r="H955" s="11" t="n">
        <v>0.00283368055555556</v>
      </c>
      <c r="I955" s="12" t="n">
        <v>448</v>
      </c>
      <c r="J955" s="12" t="n">
        <f aca="false">COUNT(E955,G955,I955)</f>
        <v>2</v>
      </c>
      <c r="K955" s="13" t="n">
        <f aca="false">MIN(E955,G955,I955)</f>
        <v>425</v>
      </c>
      <c r="L955" s="9" t="str">
        <f aca="false">IF(E955=K955,"5000m",IF(G955=K955,"3000mSC","1500m"))</f>
        <v>3000mSC</v>
      </c>
      <c r="M955" s="14" t="n">
        <f aca="false">(D955&lt;&gt;"")*(D955&lt;=($E$3*60+$F$3)/86400)+(F955&lt;&gt;"")*(F955&lt;=($I$3*60+$J$3)/86400)+(H955&lt;&gt;"")*(H955&lt;=($M$3*60+$N$3)/86400)</f>
        <v>0</v>
      </c>
      <c r="N955" s="16"/>
      <c r="O955" s="15"/>
    </row>
    <row r="956" customFormat="false" ht="15" hidden="false" customHeight="false" outlineLevel="0" collapsed="false">
      <c r="A956" s="9" t="n">
        <v>950</v>
      </c>
      <c r="B956" s="10" t="s">
        <v>1394</v>
      </c>
      <c r="C956" s="10" t="s">
        <v>1395</v>
      </c>
      <c r="D956" s="11"/>
      <c r="E956" s="12"/>
      <c r="F956" s="11"/>
      <c r="G956" s="12"/>
      <c r="H956" s="11" t="n">
        <v>0.00282962962962963</v>
      </c>
      <c r="I956" s="12" t="n">
        <v>425</v>
      </c>
      <c r="J956" s="12" t="n">
        <f aca="false">COUNT(E956,G956,I956)</f>
        <v>1</v>
      </c>
      <c r="K956" s="13" t="n">
        <f aca="false">MIN(E956,G956,I956)</f>
        <v>425</v>
      </c>
      <c r="L956" s="9" t="str">
        <f aca="false">IF(E956=K956,"5000m",IF(G956=K956,"3000mSC","1500m"))</f>
        <v>1500m</v>
      </c>
      <c r="M956" s="14" t="n">
        <f aca="false">(D956&lt;&gt;"")*(D956&lt;=($E$3*60+$F$3)/86400)+(F956&lt;&gt;"")*(F956&lt;=($I$3*60+$J$3)/86400)+(H956&lt;&gt;"")*(H956&lt;=($M$3*60+$N$3)/86400)</f>
        <v>0</v>
      </c>
      <c r="N956" s="16"/>
      <c r="O956" s="15"/>
    </row>
    <row r="957" customFormat="false" ht="15" hidden="false" customHeight="false" outlineLevel="0" collapsed="false">
      <c r="A957" s="9" t="n">
        <v>951</v>
      </c>
      <c r="B957" s="10" t="s">
        <v>1396</v>
      </c>
      <c r="C957" s="10" t="s">
        <v>261</v>
      </c>
      <c r="D957" s="11" t="n">
        <v>0.0107072916666667</v>
      </c>
      <c r="E957" s="12" t="n">
        <v>592</v>
      </c>
      <c r="F957" s="11" t="n">
        <v>0.0071912037037037</v>
      </c>
      <c r="G957" s="12" t="n">
        <v>529</v>
      </c>
      <c r="H957" s="11" t="n">
        <v>0.00282974537037037</v>
      </c>
      <c r="I957" s="12" t="n">
        <v>426</v>
      </c>
      <c r="J957" s="12" t="n">
        <f aca="false">COUNT(E957,G957,I957)</f>
        <v>3</v>
      </c>
      <c r="K957" s="13" t="n">
        <f aca="false">MIN(E957,G957,I957)</f>
        <v>426</v>
      </c>
      <c r="L957" s="9" t="str">
        <f aca="false">IF(E957=K957,"5000m",IF(G957=K957,"3000mSC","1500m"))</f>
        <v>1500m</v>
      </c>
      <c r="M957" s="14" t="n">
        <f aca="false">(D957&lt;&gt;"")*(D957&lt;=($E$3*60+$F$3)/86400)+(F957&lt;&gt;"")*(F957&lt;=($I$3*60+$J$3)/86400)+(H957&lt;&gt;"")*(H957&lt;=($M$3*60+$N$3)/86400)</f>
        <v>0</v>
      </c>
      <c r="N957" s="16"/>
      <c r="O957" s="15"/>
    </row>
    <row r="958" customFormat="false" ht="25.35" hidden="false" customHeight="false" outlineLevel="0" collapsed="false">
      <c r="A958" s="9" t="n">
        <v>952</v>
      </c>
      <c r="B958" s="10" t="s">
        <v>1397</v>
      </c>
      <c r="C958" s="10" t="s">
        <v>1398</v>
      </c>
      <c r="D958" s="11"/>
      <c r="E958" s="12"/>
      <c r="F958" s="11" t="n">
        <v>0.00707916666666667</v>
      </c>
      <c r="G958" s="12" t="n">
        <v>426</v>
      </c>
      <c r="H958" s="11"/>
      <c r="I958" s="12"/>
      <c r="J958" s="12" t="n">
        <f aca="false">COUNT(E958,G958,I958)</f>
        <v>1</v>
      </c>
      <c r="K958" s="13" t="n">
        <f aca="false">MIN(E958,G958,I958)</f>
        <v>426</v>
      </c>
      <c r="L958" s="9" t="str">
        <f aca="false">IF(E958=K958,"5000m",IF(G958=K958,"3000mSC","1500m"))</f>
        <v>3000mSC</v>
      </c>
      <c r="M958" s="14" t="n">
        <f aca="false">(D958&lt;&gt;"")*(D958&lt;=($E$3*60+$F$3)/86400)+(F958&lt;&gt;"")*(F958&lt;=($I$3*60+$J$3)/86400)+(H958&lt;&gt;"")*(H958&lt;=($M$3*60+$N$3)/86400)</f>
        <v>0</v>
      </c>
      <c r="N958" s="16"/>
      <c r="O958" s="15"/>
    </row>
    <row r="959" customFormat="false" ht="25.35" hidden="false" customHeight="false" outlineLevel="0" collapsed="false">
      <c r="A959" s="9" t="n">
        <v>953</v>
      </c>
      <c r="B959" s="10" t="s">
        <v>1399</v>
      </c>
      <c r="C959" s="10" t="s">
        <v>541</v>
      </c>
      <c r="D959" s="11" t="n">
        <v>0.0110262731481482</v>
      </c>
      <c r="E959" s="12" t="n">
        <v>1143</v>
      </c>
      <c r="F959" s="11" t="n">
        <v>0.00707962962962963</v>
      </c>
      <c r="G959" s="12" t="n">
        <v>427</v>
      </c>
      <c r="H959" s="11" t="n">
        <v>0.00292569444444444</v>
      </c>
      <c r="I959" s="12" t="n">
        <v>1155</v>
      </c>
      <c r="J959" s="12" t="n">
        <f aca="false">COUNT(E959,G959,I959)</f>
        <v>3</v>
      </c>
      <c r="K959" s="13" t="n">
        <f aca="false">MIN(E959,G959,I959)</f>
        <v>427</v>
      </c>
      <c r="L959" s="9" t="str">
        <f aca="false">IF(E959=K959,"5000m",IF(G959=K959,"3000mSC","1500m"))</f>
        <v>3000mSC</v>
      </c>
      <c r="M959" s="14" t="n">
        <f aca="false">(D959&lt;&gt;"")*(D959&lt;=($E$3*60+$F$3)/86400)+(F959&lt;&gt;"")*(F959&lt;=($I$3*60+$J$3)/86400)+(H959&lt;&gt;"")*(H959&lt;=($M$3*60+$N$3)/86400)</f>
        <v>0</v>
      </c>
      <c r="N959" s="16"/>
      <c r="O959" s="15"/>
    </row>
    <row r="960" customFormat="false" ht="15" hidden="false" customHeight="false" outlineLevel="0" collapsed="false">
      <c r="A960" s="9" t="n">
        <v>954</v>
      </c>
      <c r="B960" s="10" t="s">
        <v>1400</v>
      </c>
      <c r="C960" s="10" t="s">
        <v>695</v>
      </c>
      <c r="D960" s="11" t="n">
        <v>0.0106130787037037</v>
      </c>
      <c r="E960" s="12" t="n">
        <v>483</v>
      </c>
      <c r="F960" s="11"/>
      <c r="G960" s="12"/>
      <c r="H960" s="11" t="n">
        <v>0.00282997685185185</v>
      </c>
      <c r="I960" s="12" t="n">
        <v>427</v>
      </c>
      <c r="J960" s="12" t="n">
        <f aca="false">COUNT(E960,G960,I960)</f>
        <v>2</v>
      </c>
      <c r="K960" s="13" t="n">
        <f aca="false">MIN(E960,G960,I960)</f>
        <v>427</v>
      </c>
      <c r="L960" s="9" t="str">
        <f aca="false">IF(E960=K960,"5000m",IF(G960=K960,"3000mSC","1500m"))</f>
        <v>1500m</v>
      </c>
      <c r="M960" s="14" t="n">
        <f aca="false">(D960&lt;&gt;"")*(D960&lt;=($E$3*60+$F$3)/86400)+(F960&lt;&gt;"")*(F960&lt;=($I$3*60+$J$3)/86400)+(H960&lt;&gt;"")*(H960&lt;=($M$3*60+$N$3)/86400)</f>
        <v>0</v>
      </c>
      <c r="N960" s="16"/>
      <c r="O960" s="15"/>
    </row>
    <row r="961" customFormat="false" ht="15" hidden="false" customHeight="false" outlineLevel="0" collapsed="false">
      <c r="A961" s="9" t="n">
        <v>955</v>
      </c>
      <c r="B961" s="10" t="s">
        <v>1401</v>
      </c>
      <c r="C961" s="10" t="s">
        <v>91</v>
      </c>
      <c r="D961" s="11" t="n">
        <v>0.0105721064814815</v>
      </c>
      <c r="E961" s="12" t="n">
        <v>427</v>
      </c>
      <c r="F961" s="11"/>
      <c r="G961" s="12"/>
      <c r="H961" s="11" t="n">
        <v>0.00289594907407407</v>
      </c>
      <c r="I961" s="12" t="n">
        <v>921</v>
      </c>
      <c r="J961" s="12" t="n">
        <f aca="false">COUNT(E961,G961,I961)</f>
        <v>2</v>
      </c>
      <c r="K961" s="13" t="n">
        <f aca="false">MIN(E961,G961,I961)</f>
        <v>427</v>
      </c>
      <c r="L961" s="9" t="str">
        <f aca="false">IF(E961=K961,"5000m",IF(G961=K961,"3000mSC","1500m"))</f>
        <v>5000m</v>
      </c>
      <c r="M961" s="14" t="n">
        <f aca="false">(D961&lt;&gt;"")*(D961&lt;=($E$3*60+$F$3)/86400)+(F961&lt;&gt;"")*(F961&lt;=($I$3*60+$J$3)/86400)+(H961&lt;&gt;"")*(H961&lt;=($M$3*60+$N$3)/86400)</f>
        <v>0</v>
      </c>
      <c r="N961" s="16"/>
      <c r="O961" s="15"/>
    </row>
    <row r="962" customFormat="false" ht="15" hidden="false" customHeight="false" outlineLevel="0" collapsed="false">
      <c r="A962" s="9" t="n">
        <v>956</v>
      </c>
      <c r="B962" s="10" t="s">
        <v>1402</v>
      </c>
      <c r="C962" s="10" t="s">
        <v>1336</v>
      </c>
      <c r="D962" s="11" t="n">
        <v>0.0105734953703704</v>
      </c>
      <c r="E962" s="12" t="n">
        <v>428</v>
      </c>
      <c r="F962" s="11"/>
      <c r="G962" s="12"/>
      <c r="H962" s="11" t="n">
        <v>0.00283784722222222</v>
      </c>
      <c r="I962" s="12" t="n">
        <v>482</v>
      </c>
      <c r="J962" s="12" t="n">
        <f aca="false">COUNT(E962,G962,I962)</f>
        <v>2</v>
      </c>
      <c r="K962" s="13" t="n">
        <f aca="false">MIN(E962,G962,I962)</f>
        <v>428</v>
      </c>
      <c r="L962" s="9" t="str">
        <f aca="false">IF(E962=K962,"5000m",IF(G962=K962,"3000mSC","1500m"))</f>
        <v>5000m</v>
      </c>
      <c r="M962" s="14" t="n">
        <f aca="false">(D962&lt;&gt;"")*(D962&lt;=($E$3*60+$F$3)/86400)+(F962&lt;&gt;"")*(F962&lt;=($I$3*60+$J$3)/86400)+(H962&lt;&gt;"")*(H962&lt;=($M$3*60+$N$3)/86400)</f>
        <v>0</v>
      </c>
      <c r="N962" s="16"/>
      <c r="O962" s="15"/>
    </row>
    <row r="963" customFormat="false" ht="15" hidden="false" customHeight="false" outlineLevel="0" collapsed="false">
      <c r="A963" s="9" t="n">
        <v>957</v>
      </c>
      <c r="B963" s="10" t="s">
        <v>1403</v>
      </c>
      <c r="C963" s="10" t="s">
        <v>440</v>
      </c>
      <c r="D963" s="11" t="n">
        <v>0.0108291666666667</v>
      </c>
      <c r="E963" s="12" t="n">
        <v>788</v>
      </c>
      <c r="F963" s="11"/>
      <c r="G963" s="12"/>
      <c r="H963" s="11" t="n">
        <v>0.00283009259259259</v>
      </c>
      <c r="I963" s="12" t="n">
        <v>428</v>
      </c>
      <c r="J963" s="12" t="n">
        <f aca="false">COUNT(E963,G963,I963)</f>
        <v>2</v>
      </c>
      <c r="K963" s="13" t="n">
        <f aca="false">MIN(E963,G963,I963)</f>
        <v>428</v>
      </c>
      <c r="L963" s="9" t="str">
        <f aca="false">IF(E963=K963,"5000m",IF(G963=K963,"3000mSC","1500m"))</f>
        <v>1500m</v>
      </c>
      <c r="M963" s="14" t="n">
        <f aca="false">(D963&lt;&gt;"")*(D963&lt;=($E$3*60+$F$3)/86400)+(F963&lt;&gt;"")*(F963&lt;=($I$3*60+$J$3)/86400)+(H963&lt;&gt;"")*(H963&lt;=($M$3*60+$N$3)/86400)</f>
        <v>0</v>
      </c>
      <c r="N963" s="16"/>
      <c r="O963" s="15"/>
    </row>
    <row r="964" customFormat="false" ht="25.35" hidden="false" customHeight="false" outlineLevel="0" collapsed="false">
      <c r="A964" s="9" t="n">
        <v>958</v>
      </c>
      <c r="B964" s="10" t="s">
        <v>1404</v>
      </c>
      <c r="C964" s="10" t="s">
        <v>1405</v>
      </c>
      <c r="D964" s="11"/>
      <c r="E964" s="12"/>
      <c r="F964" s="11" t="n">
        <v>0.00708009259259259</v>
      </c>
      <c r="G964" s="12" t="n">
        <v>428</v>
      </c>
      <c r="H964" s="11"/>
      <c r="I964" s="12"/>
      <c r="J964" s="12" t="n">
        <f aca="false">COUNT(E964,G964,I964)</f>
        <v>1</v>
      </c>
      <c r="K964" s="13" t="n">
        <f aca="false">MIN(E964,G964,I964)</f>
        <v>428</v>
      </c>
      <c r="L964" s="9" t="str">
        <f aca="false">IF(E964=K964,"5000m",IF(G964=K964,"3000mSC","1500m"))</f>
        <v>3000mSC</v>
      </c>
      <c r="M964" s="14" t="n">
        <f aca="false">(D964&lt;&gt;"")*(D964&lt;=($E$3*60+$F$3)/86400)+(F964&lt;&gt;"")*(F964&lt;=($I$3*60+$J$3)/86400)+(H964&lt;&gt;"")*(H964&lt;=($M$3*60+$N$3)/86400)</f>
        <v>0</v>
      </c>
      <c r="N964" s="16"/>
      <c r="O964" s="15"/>
    </row>
    <row r="965" customFormat="false" ht="15" hidden="false" customHeight="false" outlineLevel="0" collapsed="false">
      <c r="A965" s="9" t="n">
        <v>959</v>
      </c>
      <c r="B965" s="10" t="s">
        <v>1406</v>
      </c>
      <c r="C965" s="10" t="s">
        <v>577</v>
      </c>
      <c r="D965" s="11" t="n">
        <v>0.0105737268518519</v>
      </c>
      <c r="E965" s="12" t="n">
        <v>429</v>
      </c>
      <c r="F965" s="11"/>
      <c r="G965" s="12"/>
      <c r="H965" s="11"/>
      <c r="I965" s="12"/>
      <c r="J965" s="12" t="n">
        <f aca="false">COUNT(E965,G965,I965)</f>
        <v>1</v>
      </c>
      <c r="K965" s="13" t="n">
        <f aca="false">MIN(E965,G965,I965)</f>
        <v>429</v>
      </c>
      <c r="L965" s="9" t="str">
        <f aca="false">IF(E965=K965,"5000m",IF(G965=K965,"3000mSC","1500m"))</f>
        <v>5000m</v>
      </c>
      <c r="M965" s="14" t="n">
        <f aca="false">(D965&lt;&gt;"")*(D965&lt;=($E$3*60+$F$3)/86400)+(F965&lt;&gt;"")*(F965&lt;=($I$3*60+$J$3)/86400)+(H965&lt;&gt;"")*(H965&lt;=($M$3*60+$N$3)/86400)</f>
        <v>0</v>
      </c>
      <c r="N965" s="16"/>
      <c r="O965" s="15"/>
    </row>
    <row r="966" customFormat="false" ht="25.35" hidden="false" customHeight="false" outlineLevel="0" collapsed="false">
      <c r="A966" s="9" t="n">
        <v>960</v>
      </c>
      <c r="B966" s="10" t="s">
        <v>1407</v>
      </c>
      <c r="C966" s="10" t="s">
        <v>363</v>
      </c>
      <c r="D966" s="11"/>
      <c r="E966" s="12"/>
      <c r="F966" s="11" t="n">
        <v>0.00708217592592593</v>
      </c>
      <c r="G966" s="12" t="n">
        <v>429</v>
      </c>
      <c r="H966" s="11"/>
      <c r="I966" s="12"/>
      <c r="J966" s="12" t="n">
        <f aca="false">COUNT(E966,G966,I966)</f>
        <v>1</v>
      </c>
      <c r="K966" s="13" t="n">
        <f aca="false">MIN(E966,G966,I966)</f>
        <v>429</v>
      </c>
      <c r="L966" s="9" t="str">
        <f aca="false">IF(E966=K966,"5000m",IF(G966=K966,"3000mSC","1500m"))</f>
        <v>3000mSC</v>
      </c>
      <c r="M966" s="14" t="n">
        <f aca="false">(D966&lt;&gt;"")*(D966&lt;=($E$3*60+$F$3)/86400)+(F966&lt;&gt;"")*(F966&lt;=($I$3*60+$J$3)/86400)+(H966&lt;&gt;"")*(H966&lt;=($M$3*60+$N$3)/86400)</f>
        <v>0</v>
      </c>
      <c r="N966" s="16"/>
      <c r="O966" s="15"/>
    </row>
    <row r="967" customFormat="false" ht="25.35" hidden="false" customHeight="false" outlineLevel="0" collapsed="false">
      <c r="A967" s="9" t="n">
        <v>961</v>
      </c>
      <c r="B967" s="10" t="s">
        <v>1408</v>
      </c>
      <c r="C967" s="10" t="s">
        <v>154</v>
      </c>
      <c r="D967" s="11" t="n">
        <v>0.0110377314814815</v>
      </c>
      <c r="E967" s="12" t="n">
        <v>1174</v>
      </c>
      <c r="F967" s="11" t="n">
        <v>0.00708252314814815</v>
      </c>
      <c r="G967" s="12" t="n">
        <v>430</v>
      </c>
      <c r="H967" s="11"/>
      <c r="I967" s="12"/>
      <c r="J967" s="12" t="n">
        <f aca="false">COUNT(E967,G967,I967)</f>
        <v>2</v>
      </c>
      <c r="K967" s="13" t="n">
        <f aca="false">MIN(E967,G967,I967)</f>
        <v>430</v>
      </c>
      <c r="L967" s="9" t="str">
        <f aca="false">IF(E967=K967,"5000m",IF(G967=K967,"3000mSC","1500m"))</f>
        <v>3000mSC</v>
      </c>
      <c r="M967" s="14" t="n">
        <f aca="false">(D967&lt;&gt;"")*(D967&lt;=($E$3*60+$F$3)/86400)+(F967&lt;&gt;"")*(F967&lt;=($I$3*60+$J$3)/86400)+(H967&lt;&gt;"")*(H967&lt;=($M$3*60+$N$3)/86400)</f>
        <v>0</v>
      </c>
      <c r="N967" s="16"/>
      <c r="O967" s="15"/>
    </row>
    <row r="968" customFormat="false" ht="15" hidden="false" customHeight="false" outlineLevel="0" collapsed="false">
      <c r="A968" s="9" t="n">
        <v>962</v>
      </c>
      <c r="B968" s="10" t="s">
        <v>1409</v>
      </c>
      <c r="C968" s="10" t="s">
        <v>350</v>
      </c>
      <c r="D968" s="11" t="n">
        <v>0.0105752314814815</v>
      </c>
      <c r="E968" s="12" t="n">
        <v>430</v>
      </c>
      <c r="F968" s="11"/>
      <c r="G968" s="12"/>
      <c r="H968" s="11"/>
      <c r="I968" s="12"/>
      <c r="J968" s="12" t="n">
        <f aca="false">COUNT(E968,G968,I968)</f>
        <v>1</v>
      </c>
      <c r="K968" s="13" t="n">
        <f aca="false">MIN(E968,G968,I968)</f>
        <v>430</v>
      </c>
      <c r="L968" s="9" t="str">
        <f aca="false">IF(E968=K968,"5000m",IF(G968=K968,"3000mSC","1500m"))</f>
        <v>5000m</v>
      </c>
      <c r="M968" s="14" t="n">
        <f aca="false">(D968&lt;&gt;"")*(D968&lt;=($E$3*60+$F$3)/86400)+(F968&lt;&gt;"")*(F968&lt;=($I$3*60+$J$3)/86400)+(H968&lt;&gt;"")*(H968&lt;=($M$3*60+$N$3)/86400)</f>
        <v>0</v>
      </c>
      <c r="N968" s="16"/>
      <c r="O968" s="15"/>
    </row>
    <row r="969" customFormat="false" ht="15" hidden="false" customHeight="false" outlineLevel="0" collapsed="false">
      <c r="A969" s="9" t="n">
        <v>963</v>
      </c>
      <c r="B969" s="10" t="s">
        <v>1410</v>
      </c>
      <c r="C969" s="10" t="s">
        <v>1411</v>
      </c>
      <c r="D969" s="11" t="n">
        <v>0.0106138888888889</v>
      </c>
      <c r="E969" s="12" t="n">
        <v>485</v>
      </c>
      <c r="F969" s="11"/>
      <c r="G969" s="12"/>
      <c r="H969" s="11" t="n">
        <v>0.0028306712962963</v>
      </c>
      <c r="I969" s="12" t="n">
        <v>431</v>
      </c>
      <c r="J969" s="12" t="n">
        <f aca="false">COUNT(E969,G969,I969)</f>
        <v>2</v>
      </c>
      <c r="K969" s="13" t="n">
        <f aca="false">MIN(E969,G969,I969)</f>
        <v>431</v>
      </c>
      <c r="L969" s="9" t="str">
        <f aca="false">IF(E969=K969,"5000m",IF(G969=K969,"3000mSC","1500m"))</f>
        <v>1500m</v>
      </c>
      <c r="M969" s="14" t="n">
        <f aca="false">(D969&lt;&gt;"")*(D969&lt;=($E$3*60+$F$3)/86400)+(F969&lt;&gt;"")*(F969&lt;=($I$3*60+$J$3)/86400)+(H969&lt;&gt;"")*(H969&lt;=($M$3*60+$N$3)/86400)</f>
        <v>0</v>
      </c>
      <c r="N969" s="16"/>
      <c r="O969" s="15"/>
    </row>
    <row r="970" customFormat="false" ht="25.35" hidden="false" customHeight="false" outlineLevel="0" collapsed="false">
      <c r="A970" s="9" t="n">
        <v>964</v>
      </c>
      <c r="B970" s="10" t="s">
        <v>1412</v>
      </c>
      <c r="C970" s="10" t="s">
        <v>1413</v>
      </c>
      <c r="D970" s="11"/>
      <c r="E970" s="12"/>
      <c r="F970" s="11" t="n">
        <v>0.00708263888888889</v>
      </c>
      <c r="G970" s="12" t="n">
        <v>431</v>
      </c>
      <c r="H970" s="11"/>
      <c r="I970" s="12"/>
      <c r="J970" s="12" t="n">
        <f aca="false">COUNT(E970,G970,I970)</f>
        <v>1</v>
      </c>
      <c r="K970" s="13" t="n">
        <f aca="false">MIN(E970,G970,I970)</f>
        <v>431</v>
      </c>
      <c r="L970" s="9" t="str">
        <f aca="false">IF(E970=K970,"5000m",IF(G970=K970,"3000mSC","1500m"))</f>
        <v>3000mSC</v>
      </c>
      <c r="M970" s="14" t="n">
        <f aca="false">(D970&lt;&gt;"")*(D970&lt;=($E$3*60+$F$3)/86400)+(F970&lt;&gt;"")*(F970&lt;=($I$3*60+$J$3)/86400)+(H970&lt;&gt;"")*(H970&lt;=($M$3*60+$N$3)/86400)</f>
        <v>0</v>
      </c>
      <c r="N970" s="16"/>
      <c r="O970" s="15"/>
    </row>
    <row r="971" customFormat="false" ht="25.35" hidden="false" customHeight="false" outlineLevel="0" collapsed="false">
      <c r="A971" s="9" t="n">
        <v>965</v>
      </c>
      <c r="B971" s="10" t="s">
        <v>1414</v>
      </c>
      <c r="C971" s="10" t="s">
        <v>179</v>
      </c>
      <c r="D971" s="11" t="n">
        <v>0.0108835648148148</v>
      </c>
      <c r="E971" s="12" t="n">
        <v>899</v>
      </c>
      <c r="F971" s="11" t="n">
        <v>0.00708460648148148</v>
      </c>
      <c r="G971" s="12" t="n">
        <v>432</v>
      </c>
      <c r="H971" s="11" t="n">
        <v>0.00284363425925926</v>
      </c>
      <c r="I971" s="12" t="n">
        <v>521</v>
      </c>
      <c r="J971" s="12" t="n">
        <f aca="false">COUNT(E971,G971,I971)</f>
        <v>3</v>
      </c>
      <c r="K971" s="13" t="n">
        <f aca="false">MIN(E971,G971,I971)</f>
        <v>432</v>
      </c>
      <c r="L971" s="9" t="str">
        <f aca="false">IF(E971=K971,"5000m",IF(G971=K971,"3000mSC","1500m"))</f>
        <v>3000mSC</v>
      </c>
      <c r="M971" s="14" t="n">
        <f aca="false">(D971&lt;&gt;"")*(D971&lt;=($E$3*60+$F$3)/86400)+(F971&lt;&gt;"")*(F971&lt;=($I$3*60+$J$3)/86400)+(H971&lt;&gt;"")*(H971&lt;=($M$3*60+$N$3)/86400)</f>
        <v>0</v>
      </c>
      <c r="N971" s="16"/>
      <c r="O971" s="15"/>
    </row>
    <row r="972" customFormat="false" ht="15" hidden="false" customHeight="false" outlineLevel="0" collapsed="false">
      <c r="A972" s="9" t="n">
        <v>966</v>
      </c>
      <c r="B972" s="10" t="s">
        <v>1415</v>
      </c>
      <c r="C972" s="10" t="s">
        <v>210</v>
      </c>
      <c r="D972" s="11" t="n">
        <v>0.0105770833333333</v>
      </c>
      <c r="E972" s="12" t="n">
        <v>432</v>
      </c>
      <c r="F972" s="11"/>
      <c r="G972" s="12"/>
      <c r="H972" s="11" t="n">
        <v>0.00285173611111111</v>
      </c>
      <c r="I972" s="12" t="n">
        <v>579</v>
      </c>
      <c r="J972" s="12" t="n">
        <f aca="false">COUNT(E972,G972,I972)</f>
        <v>2</v>
      </c>
      <c r="K972" s="13" t="n">
        <f aca="false">MIN(E972,G972,I972)</f>
        <v>432</v>
      </c>
      <c r="L972" s="9" t="str">
        <f aca="false">IF(E972=K972,"5000m",IF(G972=K972,"3000mSC","1500m"))</f>
        <v>5000m</v>
      </c>
      <c r="M972" s="14" t="n">
        <f aca="false">(D972&lt;&gt;"")*(D972&lt;=($E$3*60+$F$3)/86400)+(F972&lt;&gt;"")*(F972&lt;=($I$3*60+$J$3)/86400)+(H972&lt;&gt;"")*(H972&lt;=($M$3*60+$N$3)/86400)</f>
        <v>0</v>
      </c>
      <c r="N972" s="16"/>
      <c r="O972" s="15"/>
    </row>
    <row r="973" customFormat="false" ht="15" hidden="false" customHeight="false" outlineLevel="0" collapsed="false">
      <c r="A973" s="9" t="n">
        <v>967</v>
      </c>
      <c r="B973" s="10" t="s">
        <v>1416</v>
      </c>
      <c r="C973" s="10" t="s">
        <v>1417</v>
      </c>
      <c r="D973" s="11" t="n">
        <v>0.0108181712962963</v>
      </c>
      <c r="E973" s="12" t="n">
        <v>774</v>
      </c>
      <c r="F973" s="11"/>
      <c r="G973" s="12"/>
      <c r="H973" s="11" t="n">
        <v>0.00283078703703704</v>
      </c>
      <c r="I973" s="12" t="n">
        <v>432</v>
      </c>
      <c r="J973" s="12" t="n">
        <f aca="false">COUNT(E973,G973,I973)</f>
        <v>2</v>
      </c>
      <c r="K973" s="13" t="n">
        <f aca="false">MIN(E973,G973,I973)</f>
        <v>432</v>
      </c>
      <c r="L973" s="9" t="str">
        <f aca="false">IF(E973=K973,"5000m",IF(G973=K973,"3000mSC","1500m"))</f>
        <v>1500m</v>
      </c>
      <c r="M973" s="14" t="n">
        <f aca="false">(D973&lt;&gt;"")*(D973&lt;=($E$3*60+$F$3)/86400)+(F973&lt;&gt;"")*(F973&lt;=($I$3*60+$J$3)/86400)+(H973&lt;&gt;"")*(H973&lt;=($M$3*60+$N$3)/86400)</f>
        <v>0</v>
      </c>
      <c r="N973" s="16"/>
      <c r="O973" s="15"/>
    </row>
    <row r="974" customFormat="false" ht="15" hidden="false" customHeight="false" outlineLevel="0" collapsed="false">
      <c r="A974" s="9" t="n">
        <v>968</v>
      </c>
      <c r="B974" s="10" t="s">
        <v>1418</v>
      </c>
      <c r="C974" s="10" t="s">
        <v>242</v>
      </c>
      <c r="D974" s="11"/>
      <c r="E974" s="12"/>
      <c r="F974" s="11"/>
      <c r="G974" s="12"/>
      <c r="H974" s="11" t="n">
        <v>0.00283101851851852</v>
      </c>
      <c r="I974" s="12" t="n">
        <v>433</v>
      </c>
      <c r="J974" s="12" t="n">
        <f aca="false">COUNT(E974,G974,I974)</f>
        <v>1</v>
      </c>
      <c r="K974" s="13" t="n">
        <f aca="false">MIN(E974,G974,I974)</f>
        <v>433</v>
      </c>
      <c r="L974" s="9" t="str">
        <f aca="false">IF(E974=K974,"5000m",IF(G974=K974,"3000mSC","1500m"))</f>
        <v>1500m</v>
      </c>
      <c r="M974" s="14" t="n">
        <f aca="false">(D974&lt;&gt;"")*(D974&lt;=($E$3*60+$F$3)/86400)+(F974&lt;&gt;"")*(F974&lt;=($I$3*60+$J$3)/86400)+(H974&lt;&gt;"")*(H974&lt;=($M$3*60+$N$3)/86400)</f>
        <v>0</v>
      </c>
      <c r="N974" s="16"/>
      <c r="O974" s="15"/>
    </row>
    <row r="975" customFormat="false" ht="15" hidden="false" customHeight="false" outlineLevel="0" collapsed="false">
      <c r="A975" s="9" t="n">
        <v>969</v>
      </c>
      <c r="B975" s="10" t="s">
        <v>1419</v>
      </c>
      <c r="C975" s="10" t="s">
        <v>445</v>
      </c>
      <c r="D975" s="11" t="n">
        <v>0.010580787037037</v>
      </c>
      <c r="E975" s="12" t="n">
        <v>434</v>
      </c>
      <c r="F975" s="11"/>
      <c r="G975" s="12"/>
      <c r="H975" s="11" t="n">
        <v>0.00290289351851852</v>
      </c>
      <c r="I975" s="12" t="n">
        <v>970</v>
      </c>
      <c r="J975" s="12" t="n">
        <f aca="false">COUNT(E975,G975,I975)</f>
        <v>2</v>
      </c>
      <c r="K975" s="13" t="n">
        <f aca="false">MIN(E975,G975,I975)</f>
        <v>434</v>
      </c>
      <c r="L975" s="9" t="str">
        <f aca="false">IF(E975=K975,"5000m",IF(G975=K975,"3000mSC","1500m"))</f>
        <v>5000m</v>
      </c>
      <c r="M975" s="14" t="n">
        <f aca="false">(D975&lt;&gt;"")*(D975&lt;=($E$3*60+$F$3)/86400)+(F975&lt;&gt;"")*(F975&lt;=($I$3*60+$J$3)/86400)+(H975&lt;&gt;"")*(H975&lt;=($M$3*60+$N$3)/86400)</f>
        <v>0</v>
      </c>
      <c r="N975" s="16"/>
      <c r="O975" s="15"/>
    </row>
    <row r="976" customFormat="false" ht="25.35" hidden="false" customHeight="false" outlineLevel="0" collapsed="false">
      <c r="A976" s="9" t="n">
        <v>970</v>
      </c>
      <c r="B976" s="10" t="s">
        <v>1420</v>
      </c>
      <c r="C976" s="10" t="s">
        <v>405</v>
      </c>
      <c r="D976" s="11"/>
      <c r="E976" s="12"/>
      <c r="F976" s="11" t="n">
        <v>0.00708622685185185</v>
      </c>
      <c r="G976" s="12" t="n">
        <v>434</v>
      </c>
      <c r="H976" s="11"/>
      <c r="I976" s="12"/>
      <c r="J976" s="12" t="n">
        <f aca="false">COUNT(E976,G976,I976)</f>
        <v>1</v>
      </c>
      <c r="K976" s="13" t="n">
        <f aca="false">MIN(E976,G976,I976)</f>
        <v>434</v>
      </c>
      <c r="L976" s="9" t="str">
        <f aca="false">IF(E976=K976,"5000m",IF(G976=K976,"3000mSC","1500m"))</f>
        <v>3000mSC</v>
      </c>
      <c r="M976" s="14" t="n">
        <f aca="false">(D976&lt;&gt;"")*(D976&lt;=($E$3*60+$F$3)/86400)+(F976&lt;&gt;"")*(F976&lt;=($I$3*60+$J$3)/86400)+(H976&lt;&gt;"")*(H976&lt;=($M$3*60+$N$3)/86400)</f>
        <v>0</v>
      </c>
      <c r="N976" s="16"/>
      <c r="O976" s="15"/>
    </row>
    <row r="977" customFormat="false" ht="15" hidden="false" customHeight="false" outlineLevel="0" collapsed="false">
      <c r="A977" s="9" t="n">
        <v>971</v>
      </c>
      <c r="B977" s="10" t="s">
        <v>1421</v>
      </c>
      <c r="C977" s="10" t="s">
        <v>1210</v>
      </c>
      <c r="D977" s="11"/>
      <c r="E977" s="12"/>
      <c r="F977" s="11"/>
      <c r="G977" s="12"/>
      <c r="H977" s="11" t="n">
        <v>0.00283159722222222</v>
      </c>
      <c r="I977" s="12" t="n">
        <v>434</v>
      </c>
      <c r="J977" s="12" t="n">
        <f aca="false">COUNT(E977,G977,I977)</f>
        <v>1</v>
      </c>
      <c r="K977" s="13" t="n">
        <f aca="false">MIN(E977,G977,I977)</f>
        <v>434</v>
      </c>
      <c r="L977" s="9" t="str">
        <f aca="false">IF(E977=K977,"5000m",IF(G977=K977,"3000mSC","1500m"))</f>
        <v>1500m</v>
      </c>
      <c r="M977" s="14" t="n">
        <f aca="false">(D977&lt;&gt;"")*(D977&lt;=($E$3*60+$F$3)/86400)+(F977&lt;&gt;"")*(F977&lt;=($I$3*60+$J$3)/86400)+(H977&lt;&gt;"")*(H977&lt;=($M$3*60+$N$3)/86400)</f>
        <v>0</v>
      </c>
      <c r="N977" s="16"/>
      <c r="O977" s="15"/>
    </row>
    <row r="978" customFormat="false" ht="15" hidden="false" customHeight="false" outlineLevel="0" collapsed="false">
      <c r="A978" s="9" t="n">
        <v>972</v>
      </c>
      <c r="B978" s="10" t="s">
        <v>1422</v>
      </c>
      <c r="C978" s="10" t="s">
        <v>1423</v>
      </c>
      <c r="D978" s="11" t="n">
        <v>0.0105814814814815</v>
      </c>
      <c r="E978" s="12" t="n">
        <v>435</v>
      </c>
      <c r="F978" s="11"/>
      <c r="G978" s="12"/>
      <c r="H978" s="11" t="n">
        <v>0.00287847222222222</v>
      </c>
      <c r="I978" s="12" t="n">
        <v>757</v>
      </c>
      <c r="J978" s="12" t="n">
        <f aca="false">COUNT(E978,G978,I978)</f>
        <v>2</v>
      </c>
      <c r="K978" s="13" t="n">
        <f aca="false">MIN(E978,G978,I978)</f>
        <v>435</v>
      </c>
      <c r="L978" s="9" t="str">
        <f aca="false">IF(E978=K978,"5000m",IF(G978=K978,"3000mSC","1500m"))</f>
        <v>5000m</v>
      </c>
      <c r="M978" s="14" t="n">
        <f aca="false">(D978&lt;&gt;"")*(D978&lt;=($E$3*60+$F$3)/86400)+(F978&lt;&gt;"")*(F978&lt;=($I$3*60+$J$3)/86400)+(H978&lt;&gt;"")*(H978&lt;=($M$3*60+$N$3)/86400)</f>
        <v>0</v>
      </c>
      <c r="N978" s="16"/>
      <c r="O978" s="15"/>
    </row>
    <row r="979" customFormat="false" ht="25.35" hidden="false" customHeight="false" outlineLevel="0" collapsed="false">
      <c r="A979" s="9" t="n">
        <v>973</v>
      </c>
      <c r="B979" s="10" t="s">
        <v>1424</v>
      </c>
      <c r="C979" s="10" t="s">
        <v>1425</v>
      </c>
      <c r="D979" s="11" t="n">
        <v>0.0109792824074074</v>
      </c>
      <c r="E979" s="12" t="n">
        <v>1055</v>
      </c>
      <c r="F979" s="11" t="n">
        <v>0.00708622685185185</v>
      </c>
      <c r="G979" s="12" t="n">
        <v>435</v>
      </c>
      <c r="H979" s="11"/>
      <c r="I979" s="12"/>
      <c r="J979" s="12" t="n">
        <f aca="false">COUNT(E979,G979,I979)</f>
        <v>2</v>
      </c>
      <c r="K979" s="13" t="n">
        <f aca="false">MIN(E979,G979,I979)</f>
        <v>435</v>
      </c>
      <c r="L979" s="9" t="str">
        <f aca="false">IF(E979=K979,"5000m",IF(G979=K979,"3000mSC","1500m"))</f>
        <v>3000mSC</v>
      </c>
      <c r="M979" s="14" t="n">
        <f aca="false">(D979&lt;&gt;"")*(D979&lt;=($E$3*60+$F$3)/86400)+(F979&lt;&gt;"")*(F979&lt;=($I$3*60+$J$3)/86400)+(H979&lt;&gt;"")*(H979&lt;=($M$3*60+$N$3)/86400)</f>
        <v>0</v>
      </c>
      <c r="N979" s="16"/>
      <c r="O979" s="15"/>
    </row>
    <row r="980" customFormat="false" ht="15" hidden="false" customHeight="false" outlineLevel="0" collapsed="false">
      <c r="A980" s="9" t="n">
        <v>974</v>
      </c>
      <c r="B980" s="10" t="s">
        <v>1426</v>
      </c>
      <c r="C980" s="10" t="s">
        <v>234</v>
      </c>
      <c r="D980" s="11" t="n">
        <v>0.0110269675925926</v>
      </c>
      <c r="E980" s="12" t="n">
        <v>1144</v>
      </c>
      <c r="F980" s="11"/>
      <c r="G980" s="12"/>
      <c r="H980" s="11" t="n">
        <v>0.00283159722222222</v>
      </c>
      <c r="I980" s="12" t="n">
        <v>435</v>
      </c>
      <c r="J980" s="12" t="n">
        <f aca="false">COUNT(E980,G980,I980)</f>
        <v>2</v>
      </c>
      <c r="K980" s="13" t="n">
        <f aca="false">MIN(E980,G980,I980)</f>
        <v>435</v>
      </c>
      <c r="L980" s="9" t="str">
        <f aca="false">IF(E980=K980,"5000m",IF(G980=K980,"3000mSC","1500m"))</f>
        <v>1500m</v>
      </c>
      <c r="M980" s="14" t="n">
        <f aca="false">(D980&lt;&gt;"")*(D980&lt;=($E$3*60+$F$3)/86400)+(F980&lt;&gt;"")*(F980&lt;=($I$3*60+$J$3)/86400)+(H980&lt;&gt;"")*(H980&lt;=($M$3*60+$N$3)/86400)</f>
        <v>0</v>
      </c>
      <c r="N980" s="16"/>
      <c r="O980" s="15"/>
    </row>
    <row r="981" customFormat="false" ht="15" hidden="false" customHeight="false" outlineLevel="0" collapsed="false">
      <c r="A981" s="9" t="n">
        <v>975</v>
      </c>
      <c r="B981" s="10" t="s">
        <v>1427</v>
      </c>
      <c r="C981" s="10" t="s">
        <v>857</v>
      </c>
      <c r="D981" s="11" t="n">
        <v>0.0105820601851852</v>
      </c>
      <c r="E981" s="12" t="n">
        <v>436</v>
      </c>
      <c r="F981" s="11"/>
      <c r="G981" s="12"/>
      <c r="H981" s="11" t="n">
        <v>0.00288854166666667</v>
      </c>
      <c r="I981" s="12" t="n">
        <v>853</v>
      </c>
      <c r="J981" s="12" t="n">
        <f aca="false">COUNT(E981,G981,I981)</f>
        <v>2</v>
      </c>
      <c r="K981" s="13" t="n">
        <f aca="false">MIN(E981,G981,I981)</f>
        <v>436</v>
      </c>
      <c r="L981" s="9" t="str">
        <f aca="false">IF(E981=K981,"5000m",IF(G981=K981,"3000mSC","1500m"))</f>
        <v>5000m</v>
      </c>
      <c r="M981" s="14" t="n">
        <f aca="false">(D981&lt;&gt;"")*(D981&lt;=($E$3*60+$F$3)/86400)+(F981&lt;&gt;"")*(F981&lt;=($I$3*60+$J$3)/86400)+(H981&lt;&gt;"")*(H981&lt;=($M$3*60+$N$3)/86400)</f>
        <v>0</v>
      </c>
      <c r="N981" s="16"/>
      <c r="O981" s="15"/>
    </row>
    <row r="982" customFormat="false" ht="25.35" hidden="false" customHeight="false" outlineLevel="0" collapsed="false">
      <c r="A982" s="9" t="n">
        <v>976</v>
      </c>
      <c r="B982" s="10" t="s">
        <v>1428</v>
      </c>
      <c r="C982" s="10" t="s">
        <v>43</v>
      </c>
      <c r="D982" s="11"/>
      <c r="E982" s="12"/>
      <c r="F982" s="11" t="n">
        <v>0.0070869212962963</v>
      </c>
      <c r="G982" s="12" t="n">
        <v>436</v>
      </c>
      <c r="H982" s="11"/>
      <c r="I982" s="12"/>
      <c r="J982" s="12" t="n">
        <f aca="false">COUNT(E982,G982,I982)</f>
        <v>1</v>
      </c>
      <c r="K982" s="13" t="n">
        <f aca="false">MIN(E982,G982,I982)</f>
        <v>436</v>
      </c>
      <c r="L982" s="9" t="str">
        <f aca="false">IF(E982=K982,"5000m",IF(G982=K982,"3000mSC","1500m"))</f>
        <v>3000mSC</v>
      </c>
      <c r="M982" s="14" t="n">
        <f aca="false">(D982&lt;&gt;"")*(D982&lt;=($E$3*60+$F$3)/86400)+(F982&lt;&gt;"")*(F982&lt;=($I$3*60+$J$3)/86400)+(H982&lt;&gt;"")*(H982&lt;=($M$3*60+$N$3)/86400)</f>
        <v>0</v>
      </c>
      <c r="N982" s="16"/>
      <c r="O982" s="15"/>
    </row>
    <row r="983" customFormat="false" ht="15" hidden="false" customHeight="false" outlineLevel="0" collapsed="false">
      <c r="A983" s="9" t="n">
        <v>977</v>
      </c>
      <c r="B983" s="10" t="s">
        <v>1429</v>
      </c>
      <c r="C983" s="10" t="s">
        <v>377</v>
      </c>
      <c r="D983" s="11" t="n">
        <v>0.0108622685185185</v>
      </c>
      <c r="E983" s="12" t="n">
        <v>855</v>
      </c>
      <c r="F983" s="11"/>
      <c r="G983" s="12"/>
      <c r="H983" s="11" t="n">
        <v>0.00283171296296296</v>
      </c>
      <c r="I983" s="12" t="n">
        <v>437</v>
      </c>
      <c r="J983" s="12" t="n">
        <f aca="false">COUNT(E983,G983,I983)</f>
        <v>2</v>
      </c>
      <c r="K983" s="13" t="n">
        <f aca="false">MIN(E983,G983,I983)</f>
        <v>437</v>
      </c>
      <c r="L983" s="9" t="str">
        <f aca="false">IF(E983=K983,"5000m",IF(G983=K983,"3000mSC","1500m"))</f>
        <v>1500m</v>
      </c>
      <c r="M983" s="14" t="n">
        <f aca="false">(D983&lt;&gt;"")*(D983&lt;=($E$3*60+$F$3)/86400)+(F983&lt;&gt;"")*(F983&lt;=($I$3*60+$J$3)/86400)+(H983&lt;&gt;"")*(H983&lt;=($M$3*60+$N$3)/86400)</f>
        <v>0</v>
      </c>
      <c r="N983" s="16"/>
      <c r="O983" s="15"/>
    </row>
    <row r="984" customFormat="false" ht="15" hidden="false" customHeight="false" outlineLevel="0" collapsed="false">
      <c r="A984" s="9" t="n">
        <v>978</v>
      </c>
      <c r="B984" s="10" t="s">
        <v>1430</v>
      </c>
      <c r="C984" s="10" t="s">
        <v>179</v>
      </c>
      <c r="D984" s="11" t="n">
        <v>0.0105828703703704</v>
      </c>
      <c r="E984" s="12" t="n">
        <v>438</v>
      </c>
      <c r="F984" s="11"/>
      <c r="G984" s="12"/>
      <c r="H984" s="11" t="n">
        <v>0.00292581018518519</v>
      </c>
      <c r="I984" s="12" t="n">
        <v>1156</v>
      </c>
      <c r="J984" s="12" t="n">
        <f aca="false">COUNT(E984,G984,I984)</f>
        <v>2</v>
      </c>
      <c r="K984" s="13" t="n">
        <f aca="false">MIN(E984,G984,I984)</f>
        <v>438</v>
      </c>
      <c r="L984" s="9" t="str">
        <f aca="false">IF(E984=K984,"5000m",IF(G984=K984,"3000mSC","1500m"))</f>
        <v>5000m</v>
      </c>
      <c r="M984" s="14" t="n">
        <f aca="false">(D984&lt;&gt;"")*(D984&lt;=($E$3*60+$F$3)/86400)+(F984&lt;&gt;"")*(F984&lt;=($I$3*60+$J$3)/86400)+(H984&lt;&gt;"")*(H984&lt;=($M$3*60+$N$3)/86400)</f>
        <v>0</v>
      </c>
      <c r="N984" s="16"/>
      <c r="O984" s="15"/>
    </row>
    <row r="985" customFormat="false" ht="25.35" hidden="false" customHeight="false" outlineLevel="0" collapsed="false">
      <c r="A985" s="9" t="n">
        <v>979</v>
      </c>
      <c r="B985" s="10" t="s">
        <v>1431</v>
      </c>
      <c r="C985" s="10" t="s">
        <v>462</v>
      </c>
      <c r="D985" s="11"/>
      <c r="E985" s="12"/>
      <c r="F985" s="11" t="n">
        <v>0.00709085648148148</v>
      </c>
      <c r="G985" s="12" t="n">
        <v>438</v>
      </c>
      <c r="H985" s="11"/>
      <c r="I985" s="12"/>
      <c r="J985" s="12" t="n">
        <f aca="false">COUNT(E985,G985,I985)</f>
        <v>1</v>
      </c>
      <c r="K985" s="13" t="n">
        <f aca="false">MIN(E985,G985,I985)</f>
        <v>438</v>
      </c>
      <c r="L985" s="9" t="str">
        <f aca="false">IF(E985=K985,"5000m",IF(G985=K985,"3000mSC","1500m"))</f>
        <v>3000mSC</v>
      </c>
      <c r="M985" s="14" t="n">
        <f aca="false">(D985&lt;&gt;"")*(D985&lt;=($E$3*60+$F$3)/86400)+(F985&lt;&gt;"")*(F985&lt;=($I$3*60+$J$3)/86400)+(H985&lt;&gt;"")*(H985&lt;=($M$3*60+$N$3)/86400)</f>
        <v>0</v>
      </c>
      <c r="N985" s="16"/>
      <c r="O985" s="15"/>
    </row>
    <row r="986" customFormat="false" ht="15" hidden="false" customHeight="false" outlineLevel="0" collapsed="false">
      <c r="A986" s="9" t="n">
        <v>980</v>
      </c>
      <c r="B986" s="10" t="s">
        <v>1432</v>
      </c>
      <c r="C986" s="10" t="s">
        <v>358</v>
      </c>
      <c r="D986" s="11"/>
      <c r="E986" s="12"/>
      <c r="F986" s="11"/>
      <c r="G986" s="12"/>
      <c r="H986" s="11" t="n">
        <v>0.0028318287037037</v>
      </c>
      <c r="I986" s="12" t="n">
        <v>438</v>
      </c>
      <c r="J986" s="12" t="n">
        <f aca="false">COUNT(E986,G986,I986)</f>
        <v>1</v>
      </c>
      <c r="K986" s="13" t="n">
        <f aca="false">MIN(E986,G986,I986)</f>
        <v>438</v>
      </c>
      <c r="L986" s="9" t="str">
        <f aca="false">IF(E986=K986,"5000m",IF(G986=K986,"3000mSC","1500m"))</f>
        <v>1500m</v>
      </c>
      <c r="M986" s="14" t="n">
        <f aca="false">(D986&lt;&gt;"")*(D986&lt;=($E$3*60+$F$3)/86400)+(F986&lt;&gt;"")*(F986&lt;=($I$3*60+$J$3)/86400)+(H986&lt;&gt;"")*(H986&lt;=($M$3*60+$N$3)/86400)</f>
        <v>0</v>
      </c>
      <c r="N986" s="16"/>
      <c r="O986" s="15"/>
    </row>
    <row r="987" customFormat="false" ht="25.35" hidden="false" customHeight="false" outlineLevel="0" collapsed="false">
      <c r="A987" s="9" t="n">
        <v>981</v>
      </c>
      <c r="B987" s="10" t="s">
        <v>1433</v>
      </c>
      <c r="C987" s="10" t="s">
        <v>1309</v>
      </c>
      <c r="D987" s="11"/>
      <c r="E987" s="12"/>
      <c r="F987" s="11" t="n">
        <v>0.00709201388888889</v>
      </c>
      <c r="G987" s="12" t="n">
        <v>439</v>
      </c>
      <c r="H987" s="11"/>
      <c r="I987" s="12"/>
      <c r="J987" s="12" t="n">
        <f aca="false">COUNT(E987,G987,I987)</f>
        <v>1</v>
      </c>
      <c r="K987" s="13" t="n">
        <f aca="false">MIN(E987,G987,I987)</f>
        <v>439</v>
      </c>
      <c r="L987" s="9" t="str">
        <f aca="false">IF(E987=K987,"5000m",IF(G987=K987,"3000mSC","1500m"))</f>
        <v>3000mSC</v>
      </c>
      <c r="M987" s="14" t="n">
        <f aca="false">(D987&lt;&gt;"")*(D987&lt;=($E$3*60+$F$3)/86400)+(F987&lt;&gt;"")*(F987&lt;=($I$3*60+$J$3)/86400)+(H987&lt;&gt;"")*(H987&lt;=($M$3*60+$N$3)/86400)</f>
        <v>0</v>
      </c>
      <c r="N987" s="16"/>
      <c r="O987" s="15"/>
    </row>
    <row r="988" customFormat="false" ht="15" hidden="false" customHeight="false" outlineLevel="0" collapsed="false">
      <c r="A988" s="9" t="n">
        <v>982</v>
      </c>
      <c r="B988" s="10" t="s">
        <v>1434</v>
      </c>
      <c r="C988" s="10" t="s">
        <v>931</v>
      </c>
      <c r="D988" s="11"/>
      <c r="E988" s="12"/>
      <c r="F988" s="11"/>
      <c r="G988" s="12"/>
      <c r="H988" s="11" t="n">
        <v>0.00283194444444445</v>
      </c>
      <c r="I988" s="12" t="n">
        <v>439</v>
      </c>
      <c r="J988" s="12" t="n">
        <f aca="false">COUNT(E988,G988,I988)</f>
        <v>1</v>
      </c>
      <c r="K988" s="13" t="n">
        <f aca="false">MIN(E988,G988,I988)</f>
        <v>439</v>
      </c>
      <c r="L988" s="9" t="str">
        <f aca="false">IF(E988=K988,"5000m",IF(G988=K988,"3000mSC","1500m"))</f>
        <v>1500m</v>
      </c>
      <c r="M988" s="14" t="n">
        <f aca="false">(D988&lt;&gt;"")*(D988&lt;=($E$3*60+$F$3)/86400)+(F988&lt;&gt;"")*(F988&lt;=($I$3*60+$J$3)/86400)+(H988&lt;&gt;"")*(H988&lt;=($M$3*60+$N$3)/86400)</f>
        <v>0</v>
      </c>
      <c r="N988" s="16"/>
      <c r="O988" s="15"/>
    </row>
    <row r="989" customFormat="false" ht="25.35" hidden="false" customHeight="false" outlineLevel="0" collapsed="false">
      <c r="A989" s="9" t="n">
        <v>983</v>
      </c>
      <c r="B989" s="10" t="s">
        <v>1435</v>
      </c>
      <c r="C989" s="10" t="s">
        <v>1436</v>
      </c>
      <c r="D989" s="11"/>
      <c r="E989" s="12"/>
      <c r="F989" s="11" t="n">
        <v>0.00709409722222222</v>
      </c>
      <c r="G989" s="12" t="n">
        <v>440</v>
      </c>
      <c r="H989" s="11"/>
      <c r="I989" s="12"/>
      <c r="J989" s="12" t="n">
        <f aca="false">COUNT(E989,G989,I989)</f>
        <v>1</v>
      </c>
      <c r="K989" s="13" t="n">
        <f aca="false">MIN(E989,G989,I989)</f>
        <v>440</v>
      </c>
      <c r="L989" s="9" t="str">
        <f aca="false">IF(E989=K989,"5000m",IF(G989=K989,"3000mSC","1500m"))</f>
        <v>3000mSC</v>
      </c>
      <c r="M989" s="14" t="n">
        <f aca="false">(D989&lt;&gt;"")*(D989&lt;=($E$3*60+$F$3)/86400)+(F989&lt;&gt;"")*(F989&lt;=($I$3*60+$J$3)/86400)+(H989&lt;&gt;"")*(H989&lt;=($M$3*60+$N$3)/86400)</f>
        <v>0</v>
      </c>
      <c r="N989" s="16"/>
      <c r="O989" s="15"/>
    </row>
    <row r="990" customFormat="false" ht="15" hidden="false" customHeight="false" outlineLevel="0" collapsed="false">
      <c r="A990" s="9" t="n">
        <v>984</v>
      </c>
      <c r="B990" s="10" t="s">
        <v>1437</v>
      </c>
      <c r="C990" s="10" t="s">
        <v>1438</v>
      </c>
      <c r="D990" s="11"/>
      <c r="E990" s="12"/>
      <c r="F990" s="11"/>
      <c r="G990" s="12"/>
      <c r="H990" s="11" t="n">
        <v>0.00283217592592593</v>
      </c>
      <c r="I990" s="12" t="n">
        <v>440</v>
      </c>
      <c r="J990" s="12" t="n">
        <f aca="false">COUNT(E990,G990,I990)</f>
        <v>1</v>
      </c>
      <c r="K990" s="13" t="n">
        <f aca="false">MIN(E990,G990,I990)</f>
        <v>440</v>
      </c>
      <c r="L990" s="9" t="str">
        <f aca="false">IF(E990=K990,"5000m",IF(G990=K990,"3000mSC","1500m"))</f>
        <v>1500m</v>
      </c>
      <c r="M990" s="14" t="n">
        <f aca="false">(D990&lt;&gt;"")*(D990&lt;=($E$3*60+$F$3)/86400)+(F990&lt;&gt;"")*(F990&lt;=($I$3*60+$J$3)/86400)+(H990&lt;&gt;"")*(H990&lt;=($M$3*60+$N$3)/86400)</f>
        <v>0</v>
      </c>
      <c r="N990" s="16"/>
      <c r="O990" s="15"/>
    </row>
    <row r="991" customFormat="false" ht="15" hidden="false" customHeight="false" outlineLevel="0" collapsed="false">
      <c r="A991" s="9" t="n">
        <v>985</v>
      </c>
      <c r="B991" s="10" t="s">
        <v>1439</v>
      </c>
      <c r="C991" s="10" t="s">
        <v>1440</v>
      </c>
      <c r="D991" s="11" t="n">
        <v>0.0105841435185185</v>
      </c>
      <c r="E991" s="12" t="n">
        <v>441</v>
      </c>
      <c r="F991" s="11"/>
      <c r="G991" s="12"/>
      <c r="H991" s="11" t="n">
        <v>0.00286226851851852</v>
      </c>
      <c r="I991" s="12" t="n">
        <v>648</v>
      </c>
      <c r="J991" s="12" t="n">
        <f aca="false">COUNT(E991,G991,I991)</f>
        <v>2</v>
      </c>
      <c r="K991" s="13" t="n">
        <f aca="false">MIN(E991,G991,I991)</f>
        <v>441</v>
      </c>
      <c r="L991" s="9" t="str">
        <f aca="false">IF(E991=K991,"5000m",IF(G991=K991,"3000mSC","1500m"))</f>
        <v>5000m</v>
      </c>
      <c r="M991" s="14" t="n">
        <f aca="false">(D991&lt;&gt;"")*(D991&lt;=($E$3*60+$F$3)/86400)+(F991&lt;&gt;"")*(F991&lt;=($I$3*60+$J$3)/86400)+(H991&lt;&gt;"")*(H991&lt;=($M$3*60+$N$3)/86400)</f>
        <v>0</v>
      </c>
      <c r="N991" s="16"/>
      <c r="O991" s="15"/>
    </row>
    <row r="992" customFormat="false" ht="15" hidden="false" customHeight="false" outlineLevel="0" collapsed="false">
      <c r="A992" s="9" t="n">
        <v>986</v>
      </c>
      <c r="B992" s="10" t="s">
        <v>1441</v>
      </c>
      <c r="C992" s="10" t="s">
        <v>64</v>
      </c>
      <c r="D992" s="11" t="n">
        <v>0.0109368055555556</v>
      </c>
      <c r="E992" s="12" t="n">
        <v>978</v>
      </c>
      <c r="F992" s="11"/>
      <c r="G992" s="12"/>
      <c r="H992" s="11" t="n">
        <v>0.00283229166666667</v>
      </c>
      <c r="I992" s="12" t="n">
        <v>441</v>
      </c>
      <c r="J992" s="12" t="n">
        <f aca="false">COUNT(E992,G992,I992)</f>
        <v>2</v>
      </c>
      <c r="K992" s="13" t="n">
        <f aca="false">MIN(E992,G992,I992)</f>
        <v>441</v>
      </c>
      <c r="L992" s="9" t="str">
        <f aca="false">IF(E992=K992,"5000m",IF(G992=K992,"3000mSC","1500m"))</f>
        <v>1500m</v>
      </c>
      <c r="M992" s="14" t="n">
        <f aca="false">(D992&lt;&gt;"")*(D992&lt;=($E$3*60+$F$3)/86400)+(F992&lt;&gt;"")*(F992&lt;=($I$3*60+$J$3)/86400)+(H992&lt;&gt;"")*(H992&lt;=($M$3*60+$N$3)/86400)</f>
        <v>0</v>
      </c>
      <c r="N992" s="16"/>
      <c r="O992" s="15"/>
    </row>
    <row r="993" customFormat="false" ht="25.35" hidden="false" customHeight="false" outlineLevel="0" collapsed="false">
      <c r="A993" s="9" t="n">
        <v>987</v>
      </c>
      <c r="B993" s="10" t="s">
        <v>1442</v>
      </c>
      <c r="C993" s="10" t="s">
        <v>1443</v>
      </c>
      <c r="D993" s="11"/>
      <c r="E993" s="12"/>
      <c r="F993" s="11" t="n">
        <v>0.0070943287037037</v>
      </c>
      <c r="G993" s="12" t="n">
        <v>441</v>
      </c>
      <c r="H993" s="11"/>
      <c r="I993" s="12"/>
      <c r="J993" s="12" t="n">
        <f aca="false">COUNT(E993,G993,I993)</f>
        <v>1</v>
      </c>
      <c r="K993" s="13" t="n">
        <f aca="false">MIN(E993,G993,I993)</f>
        <v>441</v>
      </c>
      <c r="L993" s="9" t="str">
        <f aca="false">IF(E993=K993,"5000m",IF(G993=K993,"3000mSC","1500m"))</f>
        <v>3000mSC</v>
      </c>
      <c r="M993" s="14" t="n">
        <f aca="false">(D993&lt;&gt;"")*(D993&lt;=($E$3*60+$F$3)/86400)+(F993&lt;&gt;"")*(F993&lt;=($I$3*60+$J$3)/86400)+(H993&lt;&gt;"")*(H993&lt;=($M$3*60+$N$3)/86400)</f>
        <v>0</v>
      </c>
      <c r="N993" s="16"/>
      <c r="O993" s="15"/>
    </row>
    <row r="994" customFormat="false" ht="25.35" hidden="false" customHeight="false" outlineLevel="0" collapsed="false">
      <c r="A994" s="9" t="n">
        <v>988</v>
      </c>
      <c r="B994" s="10" t="s">
        <v>1444</v>
      </c>
      <c r="C994" s="10" t="s">
        <v>107</v>
      </c>
      <c r="D994" s="11" t="n">
        <v>0.0110171296296296</v>
      </c>
      <c r="E994" s="12" t="n">
        <v>1122</v>
      </c>
      <c r="F994" s="11" t="n">
        <v>0.00709490740740741</v>
      </c>
      <c r="G994" s="12" t="n">
        <v>442</v>
      </c>
      <c r="H994" s="11" t="n">
        <v>0.00297152777777778</v>
      </c>
      <c r="I994" s="12" t="n">
        <v>1315</v>
      </c>
      <c r="J994" s="12" t="n">
        <f aca="false">COUNT(E994,G994,I994)</f>
        <v>3</v>
      </c>
      <c r="K994" s="13" t="n">
        <f aca="false">MIN(E994,G994,I994)</f>
        <v>442</v>
      </c>
      <c r="L994" s="9" t="str">
        <f aca="false">IF(E994=K994,"5000m",IF(G994=K994,"3000mSC","1500m"))</f>
        <v>3000mSC</v>
      </c>
      <c r="M994" s="14" t="n">
        <f aca="false">(D994&lt;&gt;"")*(D994&lt;=($E$3*60+$F$3)/86400)+(F994&lt;&gt;"")*(F994&lt;=($I$3*60+$J$3)/86400)+(H994&lt;&gt;"")*(H994&lt;=($M$3*60+$N$3)/86400)</f>
        <v>0</v>
      </c>
      <c r="N994" s="16"/>
      <c r="O994" s="15"/>
    </row>
    <row r="995" customFormat="false" ht="15" hidden="false" customHeight="false" outlineLevel="0" collapsed="false">
      <c r="A995" s="9" t="n">
        <v>989</v>
      </c>
      <c r="B995" s="10" t="s">
        <v>1445</v>
      </c>
      <c r="C995" s="10" t="s">
        <v>1314</v>
      </c>
      <c r="D995" s="11" t="n">
        <v>0.010584375</v>
      </c>
      <c r="E995" s="12" t="n">
        <v>442</v>
      </c>
      <c r="F995" s="11"/>
      <c r="G995" s="12"/>
      <c r="H995" s="11"/>
      <c r="I995" s="12"/>
      <c r="J995" s="12" t="n">
        <f aca="false">COUNT(E995,G995,I995)</f>
        <v>1</v>
      </c>
      <c r="K995" s="13" t="n">
        <f aca="false">MIN(E995,G995,I995)</f>
        <v>442</v>
      </c>
      <c r="L995" s="9" t="str">
        <f aca="false">IF(E995=K995,"5000m",IF(G995=K995,"3000mSC","1500m"))</f>
        <v>5000m</v>
      </c>
      <c r="M995" s="14" t="n">
        <f aca="false">(D995&lt;&gt;"")*(D995&lt;=($E$3*60+$F$3)/86400)+(F995&lt;&gt;"")*(F995&lt;=($I$3*60+$J$3)/86400)+(H995&lt;&gt;"")*(H995&lt;=($M$3*60+$N$3)/86400)</f>
        <v>0</v>
      </c>
      <c r="N995" s="16"/>
      <c r="O995" s="15"/>
    </row>
    <row r="996" customFormat="false" ht="15" hidden="false" customHeight="false" outlineLevel="0" collapsed="false">
      <c r="A996" s="9" t="n">
        <v>990</v>
      </c>
      <c r="B996" s="10" t="s">
        <v>1446</v>
      </c>
      <c r="C996" s="10" t="s">
        <v>680</v>
      </c>
      <c r="D996" s="11" t="n">
        <v>0.0105847222222222</v>
      </c>
      <c r="E996" s="12" t="n">
        <v>443</v>
      </c>
      <c r="F996" s="11" t="n">
        <v>0.00725046296296296</v>
      </c>
      <c r="G996" s="12" t="n">
        <v>597</v>
      </c>
      <c r="H996" s="11" t="n">
        <v>0.00297615740740741</v>
      </c>
      <c r="I996" s="12" t="n">
        <v>1335</v>
      </c>
      <c r="J996" s="12" t="n">
        <f aca="false">COUNT(E996,G996,I996)</f>
        <v>3</v>
      </c>
      <c r="K996" s="13" t="n">
        <f aca="false">MIN(E996,G996,I996)</f>
        <v>443</v>
      </c>
      <c r="L996" s="9" t="str">
        <f aca="false">IF(E996=K996,"5000m",IF(G996=K996,"3000mSC","1500m"))</f>
        <v>5000m</v>
      </c>
      <c r="M996" s="14" t="n">
        <f aca="false">(D996&lt;&gt;"")*(D996&lt;=($E$3*60+$F$3)/86400)+(F996&lt;&gt;"")*(F996&lt;=($I$3*60+$J$3)/86400)+(H996&lt;&gt;"")*(H996&lt;=($M$3*60+$N$3)/86400)</f>
        <v>0</v>
      </c>
      <c r="N996" s="16"/>
      <c r="O996" s="15"/>
    </row>
    <row r="997" customFormat="false" ht="15" hidden="false" customHeight="false" outlineLevel="0" collapsed="false">
      <c r="A997" s="9" t="n">
        <v>991</v>
      </c>
      <c r="B997" s="10" t="s">
        <v>1447</v>
      </c>
      <c r="C997" s="10" t="s">
        <v>460</v>
      </c>
      <c r="D997" s="11" t="n">
        <v>0.0106041666666667</v>
      </c>
      <c r="E997" s="12" t="n">
        <v>467</v>
      </c>
      <c r="F997" s="11"/>
      <c r="G997" s="12"/>
      <c r="H997" s="11" t="n">
        <v>0.00283263888888889</v>
      </c>
      <c r="I997" s="12" t="n">
        <v>443</v>
      </c>
      <c r="J997" s="12" t="n">
        <f aca="false">COUNT(E997,G997,I997)</f>
        <v>2</v>
      </c>
      <c r="K997" s="13" t="n">
        <f aca="false">MIN(E997,G997,I997)</f>
        <v>443</v>
      </c>
      <c r="L997" s="9" t="str">
        <f aca="false">IF(E997=K997,"5000m",IF(G997=K997,"3000mSC","1500m"))</f>
        <v>1500m</v>
      </c>
      <c r="M997" s="14" t="n">
        <f aca="false">(D997&lt;&gt;"")*(D997&lt;=($E$3*60+$F$3)/86400)+(F997&lt;&gt;"")*(F997&lt;=($I$3*60+$J$3)/86400)+(H997&lt;&gt;"")*(H997&lt;=($M$3*60+$N$3)/86400)</f>
        <v>0</v>
      </c>
      <c r="N997" s="16"/>
      <c r="O997" s="15"/>
    </row>
    <row r="998" customFormat="false" ht="15" hidden="false" customHeight="false" outlineLevel="0" collapsed="false">
      <c r="A998" s="9" t="n">
        <v>992</v>
      </c>
      <c r="B998" s="10" t="s">
        <v>1448</v>
      </c>
      <c r="C998" s="10" t="s">
        <v>112</v>
      </c>
      <c r="D998" s="11" t="n">
        <v>0.0106210648148148</v>
      </c>
      <c r="E998" s="12" t="n">
        <v>498</v>
      </c>
      <c r="F998" s="11"/>
      <c r="G998" s="12"/>
      <c r="H998" s="11" t="n">
        <v>0.00283263888888889</v>
      </c>
      <c r="I998" s="12" t="n">
        <v>444</v>
      </c>
      <c r="J998" s="12" t="n">
        <f aca="false">COUNT(E998,G998,I998)</f>
        <v>2</v>
      </c>
      <c r="K998" s="13" t="n">
        <f aca="false">MIN(E998,G998,I998)</f>
        <v>444</v>
      </c>
      <c r="L998" s="9" t="str">
        <f aca="false">IF(E998=K998,"5000m",IF(G998=K998,"3000mSC","1500m"))</f>
        <v>1500m</v>
      </c>
      <c r="M998" s="14" t="n">
        <f aca="false">(D998&lt;&gt;"")*(D998&lt;=($E$3*60+$F$3)/86400)+(F998&lt;&gt;"")*(F998&lt;=($I$3*60+$J$3)/86400)+(H998&lt;&gt;"")*(H998&lt;=($M$3*60+$N$3)/86400)</f>
        <v>0</v>
      </c>
      <c r="N998" s="16"/>
      <c r="O998" s="15"/>
    </row>
    <row r="999" customFormat="false" ht="25.35" hidden="false" customHeight="false" outlineLevel="0" collapsed="false">
      <c r="A999" s="9" t="n">
        <v>993</v>
      </c>
      <c r="B999" s="10" t="s">
        <v>1449</v>
      </c>
      <c r="C999" s="10" t="s">
        <v>25</v>
      </c>
      <c r="D999" s="11"/>
      <c r="E999" s="12"/>
      <c r="F999" s="11" t="n">
        <v>0.00709722222222222</v>
      </c>
      <c r="G999" s="12" t="n">
        <v>445</v>
      </c>
      <c r="H999" s="11" t="n">
        <v>0.00292361111111111</v>
      </c>
      <c r="I999" s="12" t="n">
        <v>1134</v>
      </c>
      <c r="J999" s="12" t="n">
        <f aca="false">COUNT(E999,G999,I999)</f>
        <v>2</v>
      </c>
      <c r="K999" s="13" t="n">
        <f aca="false">MIN(E999,G999,I999)</f>
        <v>445</v>
      </c>
      <c r="L999" s="9" t="str">
        <f aca="false">IF(E999=K999,"5000m",IF(G999=K999,"3000mSC","1500m"))</f>
        <v>3000mSC</v>
      </c>
      <c r="M999" s="14" t="n">
        <f aca="false">(D999&lt;&gt;"")*(D999&lt;=($E$3*60+$F$3)/86400)+(F999&lt;&gt;"")*(F999&lt;=($I$3*60+$J$3)/86400)+(H999&lt;&gt;"")*(H999&lt;=($M$3*60+$N$3)/86400)</f>
        <v>0</v>
      </c>
      <c r="N999" s="16"/>
      <c r="O999" s="15"/>
    </row>
    <row r="1000" customFormat="false" ht="15" hidden="false" customHeight="false" outlineLevel="0" collapsed="false">
      <c r="A1000" s="9" t="n">
        <v>994</v>
      </c>
      <c r="B1000" s="10" t="s">
        <v>1450</v>
      </c>
      <c r="C1000" s="10" t="s">
        <v>570</v>
      </c>
      <c r="D1000" s="11" t="n">
        <v>0.0105850694444444</v>
      </c>
      <c r="E1000" s="12" t="n">
        <v>445</v>
      </c>
      <c r="F1000" s="11"/>
      <c r="G1000" s="12"/>
      <c r="H1000" s="11"/>
      <c r="I1000" s="12"/>
      <c r="J1000" s="12" t="n">
        <f aca="false">COUNT(E1000,G1000,I1000)</f>
        <v>1</v>
      </c>
      <c r="K1000" s="13" t="n">
        <f aca="false">MIN(E1000,G1000,I1000)</f>
        <v>445</v>
      </c>
      <c r="L1000" s="9" t="str">
        <f aca="false">IF(E1000=K1000,"5000m",IF(G1000=K1000,"3000mSC","1500m"))</f>
        <v>5000m</v>
      </c>
      <c r="M1000" s="14" t="n">
        <f aca="false">(D1000&lt;&gt;"")*(D1000&lt;=($E$3*60+$F$3)/86400)+(F1000&lt;&gt;"")*(F1000&lt;=($I$3*60+$J$3)/86400)+(H1000&lt;&gt;"")*(H1000&lt;=($M$3*60+$N$3)/86400)</f>
        <v>0</v>
      </c>
      <c r="N1000" s="16"/>
      <c r="O1000" s="15"/>
    </row>
    <row r="1001" customFormat="false" ht="15" hidden="false" customHeight="false" outlineLevel="0" collapsed="false">
      <c r="A1001" s="9" t="n">
        <v>995</v>
      </c>
      <c r="B1001" s="10" t="s">
        <v>1451</v>
      </c>
      <c r="C1001" s="10" t="s">
        <v>810</v>
      </c>
      <c r="D1001" s="11"/>
      <c r="E1001" s="12"/>
      <c r="F1001" s="11"/>
      <c r="G1001" s="12"/>
      <c r="H1001" s="11" t="n">
        <v>0.00283298611111111</v>
      </c>
      <c r="I1001" s="12" t="n">
        <v>445</v>
      </c>
      <c r="J1001" s="12" t="n">
        <f aca="false">COUNT(E1001,G1001,I1001)</f>
        <v>1</v>
      </c>
      <c r="K1001" s="13" t="n">
        <f aca="false">MIN(E1001,G1001,I1001)</f>
        <v>445</v>
      </c>
      <c r="L1001" s="9" t="str">
        <f aca="false">IF(E1001=K1001,"5000m",IF(G1001=K1001,"3000mSC","1500m"))</f>
        <v>1500m</v>
      </c>
      <c r="M1001" s="14" t="n">
        <f aca="false">(D1001&lt;&gt;"")*(D1001&lt;=($E$3*60+$F$3)/86400)+(F1001&lt;&gt;"")*(F1001&lt;=($I$3*60+$J$3)/86400)+(H1001&lt;&gt;"")*(H1001&lt;=($M$3*60+$N$3)/86400)</f>
        <v>0</v>
      </c>
      <c r="N1001" s="16"/>
      <c r="O1001" s="15"/>
    </row>
    <row r="1002" customFormat="false" ht="15" hidden="false" customHeight="false" outlineLevel="0" collapsed="false">
      <c r="A1002" s="9" t="n">
        <v>996</v>
      </c>
      <c r="B1002" s="10" t="s">
        <v>1452</v>
      </c>
      <c r="C1002" s="10" t="s">
        <v>1453</v>
      </c>
      <c r="D1002" s="11" t="n">
        <v>0.0107634259259259</v>
      </c>
      <c r="E1002" s="12" t="n">
        <v>687</v>
      </c>
      <c r="F1002" s="11"/>
      <c r="G1002" s="12"/>
      <c r="H1002" s="11" t="n">
        <v>0.00283310185185185</v>
      </c>
      <c r="I1002" s="12" t="n">
        <v>446</v>
      </c>
      <c r="J1002" s="12" t="n">
        <f aca="false">COUNT(E1002,G1002,I1002)</f>
        <v>2</v>
      </c>
      <c r="K1002" s="13" t="n">
        <f aca="false">MIN(E1002,G1002,I1002)</f>
        <v>446</v>
      </c>
      <c r="L1002" s="9" t="str">
        <f aca="false">IF(E1002=K1002,"5000m",IF(G1002=K1002,"3000mSC","1500m"))</f>
        <v>1500m</v>
      </c>
      <c r="M1002" s="14" t="n">
        <f aca="false">(D1002&lt;&gt;"")*(D1002&lt;=($E$3*60+$F$3)/86400)+(F1002&lt;&gt;"")*(F1002&lt;=($I$3*60+$J$3)/86400)+(H1002&lt;&gt;"")*(H1002&lt;=($M$3*60+$N$3)/86400)</f>
        <v>0</v>
      </c>
      <c r="N1002" s="16"/>
      <c r="O1002" s="15"/>
    </row>
    <row r="1003" customFormat="false" ht="15" hidden="false" customHeight="false" outlineLevel="0" collapsed="false">
      <c r="A1003" s="9" t="n">
        <v>997</v>
      </c>
      <c r="B1003" s="10" t="s">
        <v>1454</v>
      </c>
      <c r="C1003" s="10" t="s">
        <v>457</v>
      </c>
      <c r="D1003" s="11" t="n">
        <v>0.0105856481481482</v>
      </c>
      <c r="E1003" s="12" t="n">
        <v>446</v>
      </c>
      <c r="F1003" s="11"/>
      <c r="G1003" s="12"/>
      <c r="H1003" s="11"/>
      <c r="I1003" s="12"/>
      <c r="J1003" s="12" t="n">
        <f aca="false">COUNT(E1003,G1003,I1003)</f>
        <v>1</v>
      </c>
      <c r="K1003" s="13" t="n">
        <f aca="false">MIN(E1003,G1003,I1003)</f>
        <v>446</v>
      </c>
      <c r="L1003" s="9" t="str">
        <f aca="false">IF(E1003=K1003,"5000m",IF(G1003=K1003,"3000mSC","1500m"))</f>
        <v>5000m</v>
      </c>
      <c r="M1003" s="14" t="n">
        <f aca="false">(D1003&lt;&gt;"")*(D1003&lt;=($E$3*60+$F$3)/86400)+(F1003&lt;&gt;"")*(F1003&lt;=($I$3*60+$J$3)/86400)+(H1003&lt;&gt;"")*(H1003&lt;=($M$3*60+$N$3)/86400)</f>
        <v>0</v>
      </c>
      <c r="N1003" s="16"/>
      <c r="O1003" s="15"/>
    </row>
    <row r="1004" customFormat="false" ht="25.35" hidden="false" customHeight="false" outlineLevel="0" collapsed="false">
      <c r="A1004" s="9" t="n">
        <v>998</v>
      </c>
      <c r="B1004" s="10" t="s">
        <v>1455</v>
      </c>
      <c r="C1004" s="10" t="s">
        <v>1456</v>
      </c>
      <c r="D1004" s="11"/>
      <c r="E1004" s="12"/>
      <c r="F1004" s="11" t="n">
        <v>0.00709733796296296</v>
      </c>
      <c r="G1004" s="12" t="n">
        <v>446</v>
      </c>
      <c r="H1004" s="11"/>
      <c r="I1004" s="12"/>
      <c r="J1004" s="12" t="n">
        <f aca="false">COUNT(E1004,G1004,I1004)</f>
        <v>1</v>
      </c>
      <c r="K1004" s="13" t="n">
        <f aca="false">MIN(E1004,G1004,I1004)</f>
        <v>446</v>
      </c>
      <c r="L1004" s="9" t="str">
        <f aca="false">IF(E1004=K1004,"5000m",IF(G1004=K1004,"3000mSC","1500m"))</f>
        <v>3000mSC</v>
      </c>
      <c r="M1004" s="14" t="n">
        <f aca="false">(D1004&lt;&gt;"")*(D1004&lt;=($E$3*60+$F$3)/86400)+(F1004&lt;&gt;"")*(F1004&lt;=($I$3*60+$J$3)/86400)+(H1004&lt;&gt;"")*(H1004&lt;=($M$3*60+$N$3)/86400)</f>
        <v>0</v>
      </c>
      <c r="N1004" s="16"/>
      <c r="O1004" s="15"/>
    </row>
    <row r="1005" customFormat="false" ht="25.35" hidden="false" customHeight="false" outlineLevel="0" collapsed="false">
      <c r="A1005" s="9" t="n">
        <v>999</v>
      </c>
      <c r="B1005" s="10" t="s">
        <v>1457</v>
      </c>
      <c r="C1005" s="10" t="s">
        <v>1458</v>
      </c>
      <c r="D1005" s="11" t="n">
        <v>0.0110001157407407</v>
      </c>
      <c r="E1005" s="12" t="n">
        <v>1097</v>
      </c>
      <c r="F1005" s="11" t="n">
        <v>0.00709780092592593</v>
      </c>
      <c r="G1005" s="12" t="n">
        <v>447</v>
      </c>
      <c r="H1005" s="11"/>
      <c r="I1005" s="12"/>
      <c r="J1005" s="12" t="n">
        <f aca="false">COUNT(E1005,G1005,I1005)</f>
        <v>2</v>
      </c>
      <c r="K1005" s="13" t="n">
        <f aca="false">MIN(E1005,G1005,I1005)</f>
        <v>447</v>
      </c>
      <c r="L1005" s="9" t="str">
        <f aca="false">IF(E1005=K1005,"5000m",IF(G1005=K1005,"3000mSC","1500m"))</f>
        <v>3000mSC</v>
      </c>
      <c r="M1005" s="14" t="n">
        <f aca="false">(D1005&lt;&gt;"")*(D1005&lt;=($E$3*60+$F$3)/86400)+(F1005&lt;&gt;"")*(F1005&lt;=($I$3*60+$J$3)/86400)+(H1005&lt;&gt;"")*(H1005&lt;=($M$3*60+$N$3)/86400)</f>
        <v>0</v>
      </c>
      <c r="N1005" s="16"/>
      <c r="O1005" s="15"/>
    </row>
    <row r="1006" customFormat="false" ht="15" hidden="false" customHeight="false" outlineLevel="0" collapsed="false">
      <c r="A1006" s="9" t="n">
        <v>1000</v>
      </c>
      <c r="B1006" s="10" t="s">
        <v>1459</v>
      </c>
      <c r="C1006" s="10" t="s">
        <v>473</v>
      </c>
      <c r="D1006" s="11" t="n">
        <v>0.0105861111111111</v>
      </c>
      <c r="E1006" s="12" t="n">
        <v>448</v>
      </c>
      <c r="F1006" s="11"/>
      <c r="G1006" s="12"/>
      <c r="H1006" s="11" t="n">
        <v>0.00292476851851852</v>
      </c>
      <c r="I1006" s="12" t="n">
        <v>1143</v>
      </c>
      <c r="J1006" s="12" t="n">
        <f aca="false">COUNT(E1006,G1006,I1006)</f>
        <v>2</v>
      </c>
      <c r="K1006" s="13" t="n">
        <f aca="false">MIN(E1006,G1006,I1006)</f>
        <v>448</v>
      </c>
      <c r="L1006" s="9" t="str">
        <f aca="false">IF(E1006=K1006,"5000m",IF(G1006=K1006,"3000mSC","1500m"))</f>
        <v>5000m</v>
      </c>
      <c r="M1006" s="14" t="n">
        <f aca="false">(D1006&lt;&gt;"")*(D1006&lt;=($E$3*60+$F$3)/86400)+(F1006&lt;&gt;"")*(F1006&lt;=($I$3*60+$J$3)/86400)+(H1006&lt;&gt;"")*(H1006&lt;=($M$3*60+$N$3)/86400)</f>
        <v>0</v>
      </c>
      <c r="N1006" s="16"/>
      <c r="O1006" s="15"/>
    </row>
    <row r="1007" customFormat="false" ht="25.35" hidden="false" customHeight="false" outlineLevel="0" collapsed="false">
      <c r="A1007" s="9" t="n">
        <v>1001</v>
      </c>
      <c r="B1007" s="10" t="s">
        <v>1460</v>
      </c>
      <c r="C1007" s="10" t="s">
        <v>279</v>
      </c>
      <c r="D1007" s="11"/>
      <c r="E1007" s="12"/>
      <c r="F1007" s="11" t="n">
        <v>0.00709780092592593</v>
      </c>
      <c r="G1007" s="12" t="n">
        <v>448</v>
      </c>
      <c r="H1007" s="11"/>
      <c r="I1007" s="12"/>
      <c r="J1007" s="12" t="n">
        <f aca="false">COUNT(E1007,G1007,I1007)</f>
        <v>1</v>
      </c>
      <c r="K1007" s="13" t="n">
        <f aca="false">MIN(E1007,G1007,I1007)</f>
        <v>448</v>
      </c>
      <c r="L1007" s="9" t="str">
        <f aca="false">IF(E1007=K1007,"5000m",IF(G1007=K1007,"3000mSC","1500m"))</f>
        <v>3000mSC</v>
      </c>
      <c r="M1007" s="14" t="n">
        <f aca="false">(D1007&lt;&gt;"")*(D1007&lt;=($E$3*60+$F$3)/86400)+(F1007&lt;&gt;"")*(F1007&lt;=($I$3*60+$J$3)/86400)+(H1007&lt;&gt;"")*(H1007&lt;=($M$3*60+$N$3)/86400)</f>
        <v>0</v>
      </c>
      <c r="N1007" s="16"/>
      <c r="O1007" s="15"/>
    </row>
    <row r="1008" customFormat="false" ht="25.35" hidden="false" customHeight="false" outlineLevel="0" collapsed="false">
      <c r="A1008" s="9" t="n">
        <v>1002</v>
      </c>
      <c r="B1008" s="10" t="s">
        <v>1461</v>
      </c>
      <c r="C1008" s="10" t="s">
        <v>724</v>
      </c>
      <c r="D1008" s="11"/>
      <c r="E1008" s="12"/>
      <c r="F1008" s="11" t="n">
        <v>0.00709849537037037</v>
      </c>
      <c r="G1008" s="12" t="n">
        <v>449</v>
      </c>
      <c r="H1008" s="11" t="n">
        <v>0.00295694444444444</v>
      </c>
      <c r="I1008" s="12" t="n">
        <v>1259</v>
      </c>
      <c r="J1008" s="12" t="n">
        <f aca="false">COUNT(E1008,G1008,I1008)</f>
        <v>2</v>
      </c>
      <c r="K1008" s="13" t="n">
        <f aca="false">MIN(E1008,G1008,I1008)</f>
        <v>449</v>
      </c>
      <c r="L1008" s="9" t="str">
        <f aca="false">IF(E1008=K1008,"5000m",IF(G1008=K1008,"3000mSC","1500m"))</f>
        <v>3000mSC</v>
      </c>
      <c r="M1008" s="14" t="n">
        <f aca="false">(D1008&lt;&gt;"")*(D1008&lt;=($E$3*60+$F$3)/86400)+(F1008&lt;&gt;"")*(F1008&lt;=($I$3*60+$J$3)/86400)+(H1008&lt;&gt;"")*(H1008&lt;=($M$3*60+$N$3)/86400)</f>
        <v>0</v>
      </c>
      <c r="N1008" s="16"/>
      <c r="O1008" s="15"/>
    </row>
    <row r="1009" customFormat="false" ht="15" hidden="false" customHeight="false" outlineLevel="0" collapsed="false">
      <c r="A1009" s="9" t="n">
        <v>1003</v>
      </c>
      <c r="B1009" s="10" t="s">
        <v>1462</v>
      </c>
      <c r="C1009" s="10" t="s">
        <v>1463</v>
      </c>
      <c r="D1009" s="11" t="n">
        <v>0.0105868055555556</v>
      </c>
      <c r="E1009" s="12" t="n">
        <v>449</v>
      </c>
      <c r="F1009" s="11"/>
      <c r="G1009" s="12"/>
      <c r="H1009" s="11"/>
      <c r="I1009" s="12"/>
      <c r="J1009" s="12" t="n">
        <f aca="false">COUNT(E1009,G1009,I1009)</f>
        <v>1</v>
      </c>
      <c r="K1009" s="13" t="n">
        <f aca="false">MIN(E1009,G1009,I1009)</f>
        <v>449</v>
      </c>
      <c r="L1009" s="9" t="str">
        <f aca="false">IF(E1009=K1009,"5000m",IF(G1009=K1009,"3000mSC","1500m"))</f>
        <v>5000m</v>
      </c>
      <c r="M1009" s="14" t="n">
        <f aca="false">(D1009&lt;&gt;"")*(D1009&lt;=($E$3*60+$F$3)/86400)+(F1009&lt;&gt;"")*(F1009&lt;=($I$3*60+$J$3)/86400)+(H1009&lt;&gt;"")*(H1009&lt;=($M$3*60+$N$3)/86400)</f>
        <v>0</v>
      </c>
      <c r="N1009" s="16"/>
      <c r="O1009" s="15"/>
    </row>
    <row r="1010" customFormat="false" ht="15" hidden="false" customHeight="false" outlineLevel="0" collapsed="false">
      <c r="A1010" s="9" t="n">
        <v>1004</v>
      </c>
      <c r="B1010" s="10" t="s">
        <v>1464</v>
      </c>
      <c r="C1010" s="10" t="s">
        <v>605</v>
      </c>
      <c r="D1010" s="11"/>
      <c r="E1010" s="12"/>
      <c r="F1010" s="11"/>
      <c r="G1010" s="12"/>
      <c r="H1010" s="11" t="n">
        <v>0.00283391203703704</v>
      </c>
      <c r="I1010" s="12" t="n">
        <v>449</v>
      </c>
      <c r="J1010" s="12" t="n">
        <f aca="false">COUNT(E1010,G1010,I1010)</f>
        <v>1</v>
      </c>
      <c r="K1010" s="13" t="n">
        <f aca="false">MIN(E1010,G1010,I1010)</f>
        <v>449</v>
      </c>
      <c r="L1010" s="9" t="str">
        <f aca="false">IF(E1010=K1010,"5000m",IF(G1010=K1010,"3000mSC","1500m"))</f>
        <v>1500m</v>
      </c>
      <c r="M1010" s="14" t="n">
        <f aca="false">(D1010&lt;&gt;"")*(D1010&lt;=($E$3*60+$F$3)/86400)+(F1010&lt;&gt;"")*(F1010&lt;=($I$3*60+$J$3)/86400)+(H1010&lt;&gt;"")*(H1010&lt;=($M$3*60+$N$3)/86400)</f>
        <v>0</v>
      </c>
      <c r="N1010" s="16"/>
      <c r="O1010" s="15"/>
    </row>
    <row r="1011" customFormat="false" ht="25.35" hidden="false" customHeight="false" outlineLevel="0" collapsed="false">
      <c r="A1011" s="9" t="n">
        <v>1005</v>
      </c>
      <c r="B1011" s="10" t="s">
        <v>1465</v>
      </c>
      <c r="C1011" s="10" t="s">
        <v>246</v>
      </c>
      <c r="D1011" s="11"/>
      <c r="E1011" s="12"/>
      <c r="F1011" s="11" t="n">
        <v>0.00709872685185185</v>
      </c>
      <c r="G1011" s="12" t="n">
        <v>450</v>
      </c>
      <c r="H1011" s="11"/>
      <c r="I1011" s="12"/>
      <c r="J1011" s="12" t="n">
        <f aca="false">COUNT(E1011,G1011,I1011)</f>
        <v>1</v>
      </c>
      <c r="K1011" s="13" t="n">
        <f aca="false">MIN(E1011,G1011,I1011)</f>
        <v>450</v>
      </c>
      <c r="L1011" s="9" t="str">
        <f aca="false">IF(E1011=K1011,"5000m",IF(G1011=K1011,"3000mSC","1500m"))</f>
        <v>3000mSC</v>
      </c>
      <c r="M1011" s="14" t="n">
        <f aca="false">(D1011&lt;&gt;"")*(D1011&lt;=($E$3*60+$F$3)/86400)+(F1011&lt;&gt;"")*(F1011&lt;=($I$3*60+$J$3)/86400)+(H1011&lt;&gt;"")*(H1011&lt;=($M$3*60+$N$3)/86400)</f>
        <v>0</v>
      </c>
      <c r="N1011" s="16"/>
      <c r="O1011" s="15"/>
    </row>
    <row r="1012" customFormat="false" ht="15" hidden="false" customHeight="false" outlineLevel="0" collapsed="false">
      <c r="A1012" s="9" t="n">
        <v>1006</v>
      </c>
      <c r="B1012" s="10" t="s">
        <v>1466</v>
      </c>
      <c r="C1012" s="10" t="s">
        <v>1309</v>
      </c>
      <c r="D1012" s="11"/>
      <c r="E1012" s="12"/>
      <c r="F1012" s="11"/>
      <c r="G1012" s="12"/>
      <c r="H1012" s="11" t="n">
        <v>0.00283414351851852</v>
      </c>
      <c r="I1012" s="12" t="n">
        <v>450</v>
      </c>
      <c r="J1012" s="12" t="n">
        <f aca="false">COUNT(E1012,G1012,I1012)</f>
        <v>1</v>
      </c>
      <c r="K1012" s="13" t="n">
        <f aca="false">MIN(E1012,G1012,I1012)</f>
        <v>450</v>
      </c>
      <c r="L1012" s="9" t="str">
        <f aca="false">IF(E1012=K1012,"5000m",IF(G1012=K1012,"3000mSC","1500m"))</f>
        <v>1500m</v>
      </c>
      <c r="M1012" s="14" t="n">
        <f aca="false">(D1012&lt;&gt;"")*(D1012&lt;=($E$3*60+$F$3)/86400)+(F1012&lt;&gt;"")*(F1012&lt;=($I$3*60+$J$3)/86400)+(H1012&lt;&gt;"")*(H1012&lt;=($M$3*60+$N$3)/86400)</f>
        <v>0</v>
      </c>
      <c r="N1012" s="16"/>
      <c r="O1012" s="15"/>
    </row>
    <row r="1013" customFormat="false" ht="25.35" hidden="false" customHeight="false" outlineLevel="0" collapsed="false">
      <c r="A1013" s="9" t="n">
        <v>1007</v>
      </c>
      <c r="B1013" s="10" t="s">
        <v>1467</v>
      </c>
      <c r="C1013" s="10" t="s">
        <v>1468</v>
      </c>
      <c r="D1013" s="11"/>
      <c r="E1013" s="12"/>
      <c r="F1013" s="11" t="n">
        <v>0.00710266203703704</v>
      </c>
      <c r="G1013" s="12" t="n">
        <v>451</v>
      </c>
      <c r="H1013" s="11" t="n">
        <v>0.00288206018518519</v>
      </c>
      <c r="I1013" s="12" t="n">
        <v>794</v>
      </c>
      <c r="J1013" s="12" t="n">
        <f aca="false">COUNT(E1013,G1013,I1013)</f>
        <v>2</v>
      </c>
      <c r="K1013" s="13" t="n">
        <f aca="false">MIN(E1013,G1013,I1013)</f>
        <v>451</v>
      </c>
      <c r="L1013" s="9" t="str">
        <f aca="false">IF(E1013=K1013,"5000m",IF(G1013=K1013,"3000mSC","1500m"))</f>
        <v>3000mSC</v>
      </c>
      <c r="M1013" s="14" t="n">
        <f aca="false">(D1013&lt;&gt;"")*(D1013&lt;=($E$3*60+$F$3)/86400)+(F1013&lt;&gt;"")*(F1013&lt;=($I$3*60+$J$3)/86400)+(H1013&lt;&gt;"")*(H1013&lt;=($M$3*60+$N$3)/86400)</f>
        <v>0</v>
      </c>
      <c r="N1013" s="10" t="s">
        <v>1469</v>
      </c>
      <c r="O1013" s="15"/>
    </row>
    <row r="1014" customFormat="false" ht="15" hidden="false" customHeight="false" outlineLevel="0" collapsed="false">
      <c r="A1014" s="9" t="n">
        <v>1008</v>
      </c>
      <c r="B1014" s="10" t="s">
        <v>1470</v>
      </c>
      <c r="C1014" s="10" t="s">
        <v>814</v>
      </c>
      <c r="D1014" s="11" t="n">
        <v>0.0108665509259259</v>
      </c>
      <c r="E1014" s="12" t="n">
        <v>863</v>
      </c>
      <c r="F1014" s="11"/>
      <c r="G1014" s="12"/>
      <c r="H1014" s="11" t="n">
        <v>0.002834375</v>
      </c>
      <c r="I1014" s="12" t="n">
        <v>452</v>
      </c>
      <c r="J1014" s="12" t="n">
        <f aca="false">COUNT(E1014,G1014,I1014)</f>
        <v>2</v>
      </c>
      <c r="K1014" s="13" t="n">
        <f aca="false">MIN(E1014,G1014,I1014)</f>
        <v>452</v>
      </c>
      <c r="L1014" s="9" t="str">
        <f aca="false">IF(E1014=K1014,"5000m",IF(G1014=K1014,"3000mSC","1500m"))</f>
        <v>1500m</v>
      </c>
      <c r="M1014" s="14" t="n">
        <f aca="false">(D1014&lt;&gt;"")*(D1014&lt;=($E$3*60+$F$3)/86400)+(F1014&lt;&gt;"")*(F1014&lt;=($I$3*60+$J$3)/86400)+(H1014&lt;&gt;"")*(H1014&lt;=($M$3*60+$N$3)/86400)</f>
        <v>0</v>
      </c>
      <c r="N1014" s="16"/>
      <c r="O1014" s="15"/>
    </row>
    <row r="1015" customFormat="false" ht="15" hidden="false" customHeight="false" outlineLevel="0" collapsed="false">
      <c r="A1015" s="9" t="n">
        <v>1009</v>
      </c>
      <c r="B1015" s="10" t="s">
        <v>1471</v>
      </c>
      <c r="C1015" s="10" t="s">
        <v>124</v>
      </c>
      <c r="D1015" s="11" t="n">
        <v>0.0105880787037037</v>
      </c>
      <c r="E1015" s="12" t="n">
        <v>452</v>
      </c>
      <c r="F1015" s="11"/>
      <c r="G1015" s="12"/>
      <c r="H1015" s="11" t="n">
        <v>0.00292222222222222</v>
      </c>
      <c r="I1015" s="12" t="n">
        <v>1116</v>
      </c>
      <c r="J1015" s="12" t="n">
        <f aca="false">COUNT(E1015,G1015,I1015)</f>
        <v>2</v>
      </c>
      <c r="K1015" s="13" t="n">
        <f aca="false">MIN(E1015,G1015,I1015)</f>
        <v>452</v>
      </c>
      <c r="L1015" s="9" t="str">
        <f aca="false">IF(E1015=K1015,"5000m",IF(G1015=K1015,"3000mSC","1500m"))</f>
        <v>5000m</v>
      </c>
      <c r="M1015" s="14" t="n">
        <f aca="false">(D1015&lt;&gt;"")*(D1015&lt;=($E$3*60+$F$3)/86400)+(F1015&lt;&gt;"")*(F1015&lt;=($I$3*60+$J$3)/86400)+(H1015&lt;&gt;"")*(H1015&lt;=($M$3*60+$N$3)/86400)</f>
        <v>0</v>
      </c>
      <c r="N1015" s="16"/>
      <c r="O1015" s="15"/>
    </row>
    <row r="1016" customFormat="false" ht="25.35" hidden="false" customHeight="false" outlineLevel="0" collapsed="false">
      <c r="A1016" s="9" t="n">
        <v>1010</v>
      </c>
      <c r="B1016" s="10" t="s">
        <v>1472</v>
      </c>
      <c r="C1016" s="10" t="s">
        <v>523</v>
      </c>
      <c r="D1016" s="11"/>
      <c r="E1016" s="12"/>
      <c r="F1016" s="11" t="n">
        <v>0.00710428240740741</v>
      </c>
      <c r="G1016" s="12" t="n">
        <v>452</v>
      </c>
      <c r="H1016" s="11"/>
      <c r="I1016" s="12"/>
      <c r="J1016" s="12" t="n">
        <f aca="false">COUNT(E1016,G1016,I1016)</f>
        <v>1</v>
      </c>
      <c r="K1016" s="13" t="n">
        <f aca="false">MIN(E1016,G1016,I1016)</f>
        <v>452</v>
      </c>
      <c r="L1016" s="9" t="str">
        <f aca="false">IF(E1016=K1016,"5000m",IF(G1016=K1016,"3000mSC","1500m"))</f>
        <v>3000mSC</v>
      </c>
      <c r="M1016" s="14" t="n">
        <f aca="false">(D1016&lt;&gt;"")*(D1016&lt;=($E$3*60+$F$3)/86400)+(F1016&lt;&gt;"")*(F1016&lt;=($I$3*60+$J$3)/86400)+(H1016&lt;&gt;"")*(H1016&lt;=($M$3*60+$N$3)/86400)</f>
        <v>0</v>
      </c>
      <c r="N1016" s="16"/>
      <c r="O1016" s="15"/>
    </row>
    <row r="1017" customFormat="false" ht="25.35" hidden="false" customHeight="false" outlineLevel="0" collapsed="false">
      <c r="A1017" s="9" t="n">
        <v>1011</v>
      </c>
      <c r="B1017" s="10" t="s">
        <v>1473</v>
      </c>
      <c r="C1017" s="10" t="s">
        <v>1474</v>
      </c>
      <c r="D1017" s="11" t="n">
        <v>0.0109790509259259</v>
      </c>
      <c r="E1017" s="12" t="n">
        <v>1054</v>
      </c>
      <c r="F1017" s="11" t="n">
        <v>0.00710462962962963</v>
      </c>
      <c r="G1017" s="12" t="n">
        <v>453</v>
      </c>
      <c r="H1017" s="11"/>
      <c r="I1017" s="12"/>
      <c r="J1017" s="12" t="n">
        <f aca="false">COUNT(E1017,G1017,I1017)</f>
        <v>2</v>
      </c>
      <c r="K1017" s="13" t="n">
        <f aca="false">MIN(E1017,G1017,I1017)</f>
        <v>453</v>
      </c>
      <c r="L1017" s="9" t="str">
        <f aca="false">IF(E1017=K1017,"5000m",IF(G1017=K1017,"3000mSC","1500m"))</f>
        <v>3000mSC</v>
      </c>
      <c r="M1017" s="14" t="n">
        <f aca="false">(D1017&lt;&gt;"")*(D1017&lt;=($E$3*60+$F$3)/86400)+(F1017&lt;&gt;"")*(F1017&lt;=($I$3*60+$J$3)/86400)+(H1017&lt;&gt;"")*(H1017&lt;=($M$3*60+$N$3)/86400)</f>
        <v>0</v>
      </c>
      <c r="N1017" s="16"/>
      <c r="O1017" s="15"/>
    </row>
    <row r="1018" customFormat="false" ht="25.35" hidden="false" customHeight="false" outlineLevel="0" collapsed="false">
      <c r="A1018" s="9" t="n">
        <v>1012</v>
      </c>
      <c r="B1018" s="10" t="s">
        <v>1475</v>
      </c>
      <c r="C1018" s="10" t="s">
        <v>195</v>
      </c>
      <c r="D1018" s="11" t="n">
        <v>0.0109481481481482</v>
      </c>
      <c r="E1018" s="12" t="n">
        <v>994</v>
      </c>
      <c r="F1018" s="11" t="n">
        <v>0.00710578703703704</v>
      </c>
      <c r="G1018" s="12" t="n">
        <v>454</v>
      </c>
      <c r="H1018" s="11"/>
      <c r="I1018" s="12"/>
      <c r="J1018" s="12" t="n">
        <f aca="false">COUNT(E1018,G1018,I1018)</f>
        <v>2</v>
      </c>
      <c r="K1018" s="13" t="n">
        <f aca="false">MIN(E1018,G1018,I1018)</f>
        <v>454</v>
      </c>
      <c r="L1018" s="9" t="str">
        <f aca="false">IF(E1018=K1018,"5000m",IF(G1018=K1018,"3000mSC","1500m"))</f>
        <v>3000mSC</v>
      </c>
      <c r="M1018" s="14" t="n">
        <f aca="false">(D1018&lt;&gt;"")*(D1018&lt;=($E$3*60+$F$3)/86400)+(F1018&lt;&gt;"")*(F1018&lt;=($I$3*60+$J$3)/86400)+(H1018&lt;&gt;"")*(H1018&lt;=($M$3*60+$N$3)/86400)</f>
        <v>0</v>
      </c>
      <c r="N1018" s="16"/>
      <c r="O1018" s="15"/>
    </row>
    <row r="1019" customFormat="false" ht="15" hidden="false" customHeight="false" outlineLevel="0" collapsed="false">
      <c r="A1019" s="9" t="n">
        <v>1013</v>
      </c>
      <c r="B1019" s="10" t="s">
        <v>1476</v>
      </c>
      <c r="C1019" s="10" t="s">
        <v>49</v>
      </c>
      <c r="D1019" s="11" t="n">
        <v>0.0105902777777778</v>
      </c>
      <c r="E1019" s="12" t="n">
        <v>454</v>
      </c>
      <c r="F1019" s="11"/>
      <c r="G1019" s="12"/>
      <c r="H1019" s="11"/>
      <c r="I1019" s="12"/>
      <c r="J1019" s="12" t="n">
        <f aca="false">COUNT(E1019,G1019,I1019)</f>
        <v>1</v>
      </c>
      <c r="K1019" s="13" t="n">
        <f aca="false">MIN(E1019,G1019,I1019)</f>
        <v>454</v>
      </c>
      <c r="L1019" s="9" t="str">
        <f aca="false">IF(E1019=K1019,"5000m",IF(G1019=K1019,"3000mSC","1500m"))</f>
        <v>5000m</v>
      </c>
      <c r="M1019" s="14" t="n">
        <f aca="false">(D1019&lt;&gt;"")*(D1019&lt;=($E$3*60+$F$3)/86400)+(F1019&lt;&gt;"")*(F1019&lt;=($I$3*60+$J$3)/86400)+(H1019&lt;&gt;"")*(H1019&lt;=($M$3*60+$N$3)/86400)</f>
        <v>0</v>
      </c>
      <c r="N1019" s="16"/>
      <c r="O1019" s="15"/>
    </row>
    <row r="1020" customFormat="false" ht="15" hidden="false" customHeight="false" outlineLevel="0" collapsed="false">
      <c r="A1020" s="9" t="n">
        <v>1014</v>
      </c>
      <c r="B1020" s="10" t="s">
        <v>1477</v>
      </c>
      <c r="C1020" s="10" t="s">
        <v>625</v>
      </c>
      <c r="D1020" s="11" t="n">
        <v>0.0106438657407407</v>
      </c>
      <c r="E1020" s="12" t="n">
        <v>516</v>
      </c>
      <c r="F1020" s="11"/>
      <c r="G1020" s="12"/>
      <c r="H1020" s="11" t="n">
        <v>0.00283460648148148</v>
      </c>
      <c r="I1020" s="12" t="n">
        <v>455</v>
      </c>
      <c r="J1020" s="12" t="n">
        <f aca="false">COUNT(E1020,G1020,I1020)</f>
        <v>2</v>
      </c>
      <c r="K1020" s="13" t="n">
        <f aca="false">MIN(E1020,G1020,I1020)</f>
        <v>455</v>
      </c>
      <c r="L1020" s="9" t="str">
        <f aca="false">IF(E1020=K1020,"5000m",IF(G1020=K1020,"3000mSC","1500m"))</f>
        <v>1500m</v>
      </c>
      <c r="M1020" s="14" t="n">
        <f aca="false">(D1020&lt;&gt;"")*(D1020&lt;=($E$3*60+$F$3)/86400)+(F1020&lt;&gt;"")*(F1020&lt;=($I$3*60+$J$3)/86400)+(H1020&lt;&gt;"")*(H1020&lt;=($M$3*60+$N$3)/86400)</f>
        <v>0</v>
      </c>
      <c r="N1020" s="16"/>
      <c r="O1020" s="15"/>
    </row>
    <row r="1021" customFormat="false" ht="15" hidden="false" customHeight="false" outlineLevel="0" collapsed="false">
      <c r="A1021" s="9" t="n">
        <v>1015</v>
      </c>
      <c r="B1021" s="10" t="s">
        <v>1478</v>
      </c>
      <c r="C1021" s="10" t="s">
        <v>107</v>
      </c>
      <c r="D1021" s="11" t="n">
        <v>0.010590625</v>
      </c>
      <c r="E1021" s="12" t="n">
        <v>455</v>
      </c>
      <c r="F1021" s="11"/>
      <c r="G1021" s="12"/>
      <c r="H1021" s="11" t="n">
        <v>0.00289444444444445</v>
      </c>
      <c r="I1021" s="12" t="n">
        <v>906</v>
      </c>
      <c r="J1021" s="12" t="n">
        <f aca="false">COUNT(E1021,G1021,I1021)</f>
        <v>2</v>
      </c>
      <c r="K1021" s="13" t="n">
        <f aca="false">MIN(E1021,G1021,I1021)</f>
        <v>455</v>
      </c>
      <c r="L1021" s="9" t="str">
        <f aca="false">IF(E1021=K1021,"5000m",IF(G1021=K1021,"3000mSC","1500m"))</f>
        <v>5000m</v>
      </c>
      <c r="M1021" s="14" t="n">
        <f aca="false">(D1021&lt;&gt;"")*(D1021&lt;=($E$3*60+$F$3)/86400)+(F1021&lt;&gt;"")*(F1021&lt;=($I$3*60+$J$3)/86400)+(H1021&lt;&gt;"")*(H1021&lt;=($M$3*60+$N$3)/86400)</f>
        <v>0</v>
      </c>
      <c r="N1021" s="16"/>
      <c r="O1021" s="15"/>
    </row>
    <row r="1022" customFormat="false" ht="25.35" hidden="false" customHeight="false" outlineLevel="0" collapsed="false">
      <c r="A1022" s="9" t="n">
        <v>1016</v>
      </c>
      <c r="B1022" s="10" t="s">
        <v>1479</v>
      </c>
      <c r="C1022" s="10" t="s">
        <v>387</v>
      </c>
      <c r="D1022" s="11" t="n">
        <v>0.0109208333333333</v>
      </c>
      <c r="E1022" s="12" t="n">
        <v>951</v>
      </c>
      <c r="F1022" s="11" t="n">
        <v>0.00710694444444444</v>
      </c>
      <c r="G1022" s="12" t="n">
        <v>455</v>
      </c>
      <c r="H1022" s="11"/>
      <c r="I1022" s="12"/>
      <c r="J1022" s="12" t="n">
        <f aca="false">COUNT(E1022,G1022,I1022)</f>
        <v>2</v>
      </c>
      <c r="K1022" s="13" t="n">
        <f aca="false">MIN(E1022,G1022,I1022)</f>
        <v>455</v>
      </c>
      <c r="L1022" s="9" t="str">
        <f aca="false">IF(E1022=K1022,"5000m",IF(G1022=K1022,"3000mSC","1500m"))</f>
        <v>3000mSC</v>
      </c>
      <c r="M1022" s="14" t="n">
        <f aca="false">(D1022&lt;&gt;"")*(D1022&lt;=($E$3*60+$F$3)/86400)+(F1022&lt;&gt;"")*(F1022&lt;=($I$3*60+$J$3)/86400)+(H1022&lt;&gt;"")*(H1022&lt;=($M$3*60+$N$3)/86400)</f>
        <v>0</v>
      </c>
      <c r="N1022" s="16"/>
      <c r="O1022" s="15"/>
    </row>
    <row r="1023" customFormat="false" ht="25.35" hidden="false" customHeight="false" outlineLevel="0" collapsed="false">
      <c r="A1023" s="9" t="n">
        <v>1017</v>
      </c>
      <c r="B1023" s="10" t="s">
        <v>1480</v>
      </c>
      <c r="C1023" s="10" t="s">
        <v>1481</v>
      </c>
      <c r="D1023" s="11" t="n">
        <v>0.0107909722222222</v>
      </c>
      <c r="E1023" s="12" t="n">
        <v>725</v>
      </c>
      <c r="F1023" s="11" t="n">
        <v>0.00711053240740741</v>
      </c>
      <c r="G1023" s="12" t="n">
        <v>456</v>
      </c>
      <c r="H1023" s="11" t="n">
        <v>0.00284861111111111</v>
      </c>
      <c r="I1023" s="12" t="n">
        <v>558</v>
      </c>
      <c r="J1023" s="12" t="n">
        <f aca="false">COUNT(E1023,G1023,I1023)</f>
        <v>3</v>
      </c>
      <c r="K1023" s="13" t="n">
        <f aca="false">MIN(E1023,G1023,I1023)</f>
        <v>456</v>
      </c>
      <c r="L1023" s="9" t="str">
        <f aca="false">IF(E1023=K1023,"5000m",IF(G1023=K1023,"3000mSC","1500m"))</f>
        <v>3000mSC</v>
      </c>
      <c r="M1023" s="14" t="n">
        <f aca="false">(D1023&lt;&gt;"")*(D1023&lt;=($E$3*60+$F$3)/86400)+(F1023&lt;&gt;"")*(F1023&lt;=($I$3*60+$J$3)/86400)+(H1023&lt;&gt;"")*(H1023&lt;=($M$3*60+$N$3)/86400)</f>
        <v>0</v>
      </c>
      <c r="N1023" s="16"/>
      <c r="O1023" s="15"/>
    </row>
    <row r="1024" customFormat="false" ht="15" hidden="false" customHeight="false" outlineLevel="0" collapsed="false">
      <c r="A1024" s="9" t="n">
        <v>1018</v>
      </c>
      <c r="B1024" s="10" t="s">
        <v>1482</v>
      </c>
      <c r="C1024" s="10" t="s">
        <v>986</v>
      </c>
      <c r="D1024" s="11" t="n">
        <v>0.0105909722222222</v>
      </c>
      <c r="E1024" s="12" t="n">
        <v>456</v>
      </c>
      <c r="F1024" s="11"/>
      <c r="G1024" s="12"/>
      <c r="H1024" s="11" t="n">
        <v>0.00286006944444445</v>
      </c>
      <c r="I1024" s="12" t="n">
        <v>635</v>
      </c>
      <c r="J1024" s="12" t="n">
        <f aca="false">COUNT(E1024,G1024,I1024)</f>
        <v>2</v>
      </c>
      <c r="K1024" s="13" t="n">
        <f aca="false">MIN(E1024,G1024,I1024)</f>
        <v>456</v>
      </c>
      <c r="L1024" s="9" t="str">
        <f aca="false">IF(E1024=K1024,"5000m",IF(G1024=K1024,"3000mSC","1500m"))</f>
        <v>5000m</v>
      </c>
      <c r="M1024" s="14" t="n">
        <f aca="false">(D1024&lt;&gt;"")*(D1024&lt;=($E$3*60+$F$3)/86400)+(F1024&lt;&gt;"")*(F1024&lt;=($I$3*60+$J$3)/86400)+(H1024&lt;&gt;"")*(H1024&lt;=($M$3*60+$N$3)/86400)</f>
        <v>0</v>
      </c>
      <c r="N1024" s="16"/>
      <c r="O1024" s="15"/>
    </row>
    <row r="1025" customFormat="false" ht="15" hidden="false" customHeight="false" outlineLevel="0" collapsed="false">
      <c r="A1025" s="9" t="n">
        <v>1019</v>
      </c>
      <c r="B1025" s="10" t="s">
        <v>1483</v>
      </c>
      <c r="C1025" s="10" t="s">
        <v>988</v>
      </c>
      <c r="D1025" s="11" t="n">
        <v>0.0108811342592593</v>
      </c>
      <c r="E1025" s="12" t="n">
        <v>891</v>
      </c>
      <c r="F1025" s="11"/>
      <c r="G1025" s="12"/>
      <c r="H1025" s="11" t="n">
        <v>0.00283472222222222</v>
      </c>
      <c r="I1025" s="12" t="n">
        <v>457</v>
      </c>
      <c r="J1025" s="12" t="n">
        <f aca="false">COUNT(E1025,G1025,I1025)</f>
        <v>2</v>
      </c>
      <c r="K1025" s="13" t="n">
        <f aca="false">MIN(E1025,G1025,I1025)</f>
        <v>457</v>
      </c>
      <c r="L1025" s="9" t="str">
        <f aca="false">IF(E1025=K1025,"5000m",IF(G1025=K1025,"3000mSC","1500m"))</f>
        <v>1500m</v>
      </c>
      <c r="M1025" s="14" t="n">
        <f aca="false">(D1025&lt;&gt;"")*(D1025&lt;=($E$3*60+$F$3)/86400)+(F1025&lt;&gt;"")*(F1025&lt;=($I$3*60+$J$3)/86400)+(H1025&lt;&gt;"")*(H1025&lt;=($M$3*60+$N$3)/86400)</f>
        <v>0</v>
      </c>
      <c r="N1025" s="16"/>
      <c r="O1025" s="15"/>
    </row>
    <row r="1026" customFormat="false" ht="15" hidden="false" customHeight="false" outlineLevel="0" collapsed="false">
      <c r="A1026" s="9" t="n">
        <v>1020</v>
      </c>
      <c r="B1026" s="10" t="s">
        <v>1484</v>
      </c>
      <c r="C1026" s="10" t="s">
        <v>1485</v>
      </c>
      <c r="D1026" s="11" t="n">
        <v>0.0107280092592593</v>
      </c>
      <c r="E1026" s="12" t="n">
        <v>628</v>
      </c>
      <c r="F1026" s="11"/>
      <c r="G1026" s="12"/>
      <c r="H1026" s="11" t="n">
        <v>0.00283472222222222</v>
      </c>
      <c r="I1026" s="12" t="n">
        <v>458</v>
      </c>
      <c r="J1026" s="12" t="n">
        <f aca="false">COUNT(E1026,G1026,I1026)</f>
        <v>2</v>
      </c>
      <c r="K1026" s="13" t="n">
        <f aca="false">MIN(E1026,G1026,I1026)</f>
        <v>458</v>
      </c>
      <c r="L1026" s="9" t="str">
        <f aca="false">IF(E1026=K1026,"5000m",IF(G1026=K1026,"3000mSC","1500m"))</f>
        <v>1500m</v>
      </c>
      <c r="M1026" s="14" t="n">
        <f aca="false">(D1026&lt;&gt;"")*(D1026&lt;=($E$3*60+$F$3)/86400)+(F1026&lt;&gt;"")*(F1026&lt;=($I$3*60+$J$3)/86400)+(H1026&lt;&gt;"")*(H1026&lt;=($M$3*60+$N$3)/86400)</f>
        <v>0</v>
      </c>
      <c r="N1026" s="16"/>
      <c r="O1026" s="15"/>
    </row>
    <row r="1027" customFormat="false" ht="25.35" hidden="false" customHeight="false" outlineLevel="0" collapsed="false">
      <c r="A1027" s="9" t="n">
        <v>1021</v>
      </c>
      <c r="B1027" s="10" t="s">
        <v>1486</v>
      </c>
      <c r="C1027" s="10" t="s">
        <v>1487</v>
      </c>
      <c r="D1027" s="11"/>
      <c r="E1027" s="12"/>
      <c r="F1027" s="11" t="n">
        <v>0.00711354166666667</v>
      </c>
      <c r="G1027" s="12" t="n">
        <v>458</v>
      </c>
      <c r="H1027" s="11"/>
      <c r="I1027" s="12"/>
      <c r="J1027" s="12" t="n">
        <f aca="false">COUNT(E1027,G1027,I1027)</f>
        <v>1</v>
      </c>
      <c r="K1027" s="13" t="n">
        <f aca="false">MIN(E1027,G1027,I1027)</f>
        <v>458</v>
      </c>
      <c r="L1027" s="9" t="str">
        <f aca="false">IF(E1027=K1027,"5000m",IF(G1027=K1027,"3000mSC","1500m"))</f>
        <v>3000mSC</v>
      </c>
      <c r="M1027" s="14" t="n">
        <f aca="false">(D1027&lt;&gt;"")*(D1027&lt;=($E$3*60+$F$3)/86400)+(F1027&lt;&gt;"")*(F1027&lt;=($I$3*60+$J$3)/86400)+(H1027&lt;&gt;"")*(H1027&lt;=($M$3*60+$N$3)/86400)</f>
        <v>0</v>
      </c>
      <c r="N1027" s="16"/>
      <c r="O1027" s="15"/>
    </row>
    <row r="1028" customFormat="false" ht="15" hidden="false" customHeight="false" outlineLevel="0" collapsed="false">
      <c r="A1028" s="9" t="n">
        <v>1022</v>
      </c>
      <c r="B1028" s="10" t="s">
        <v>1488</v>
      </c>
      <c r="C1028" s="10" t="s">
        <v>188</v>
      </c>
      <c r="D1028" s="11" t="n">
        <v>0.0106834490740741</v>
      </c>
      <c r="E1028" s="12" t="n">
        <v>559</v>
      </c>
      <c r="F1028" s="11"/>
      <c r="G1028" s="12"/>
      <c r="H1028" s="11" t="n">
        <v>0.00283483796296296</v>
      </c>
      <c r="I1028" s="12" t="n">
        <v>459</v>
      </c>
      <c r="J1028" s="12" t="n">
        <f aca="false">COUNT(E1028,G1028,I1028)</f>
        <v>2</v>
      </c>
      <c r="K1028" s="13" t="n">
        <f aca="false">MIN(E1028,G1028,I1028)</f>
        <v>459</v>
      </c>
      <c r="L1028" s="9" t="str">
        <f aca="false">IF(E1028=K1028,"5000m",IF(G1028=K1028,"3000mSC","1500m"))</f>
        <v>1500m</v>
      </c>
      <c r="M1028" s="14" t="n">
        <f aca="false">(D1028&lt;&gt;"")*(D1028&lt;=($E$3*60+$F$3)/86400)+(F1028&lt;&gt;"")*(F1028&lt;=($I$3*60+$J$3)/86400)+(H1028&lt;&gt;"")*(H1028&lt;=($M$3*60+$N$3)/86400)</f>
        <v>0</v>
      </c>
      <c r="N1028" s="16"/>
      <c r="O1028" s="15"/>
    </row>
    <row r="1029" customFormat="false" ht="15" hidden="false" customHeight="false" outlineLevel="0" collapsed="false">
      <c r="A1029" s="9" t="n">
        <v>1023</v>
      </c>
      <c r="B1029" s="10" t="s">
        <v>1489</v>
      </c>
      <c r="C1029" s="10" t="s">
        <v>23</v>
      </c>
      <c r="D1029" s="11" t="n">
        <v>0.0105923611111111</v>
      </c>
      <c r="E1029" s="12" t="n">
        <v>459</v>
      </c>
      <c r="F1029" s="11"/>
      <c r="G1029" s="12"/>
      <c r="H1029" s="11" t="n">
        <v>0.00290636574074074</v>
      </c>
      <c r="I1029" s="12" t="n">
        <v>992</v>
      </c>
      <c r="J1029" s="12" t="n">
        <f aca="false">COUNT(E1029,G1029,I1029)</f>
        <v>2</v>
      </c>
      <c r="K1029" s="13" t="n">
        <f aca="false">MIN(E1029,G1029,I1029)</f>
        <v>459</v>
      </c>
      <c r="L1029" s="9" t="str">
        <f aca="false">IF(E1029=K1029,"5000m",IF(G1029=K1029,"3000mSC","1500m"))</f>
        <v>5000m</v>
      </c>
      <c r="M1029" s="14" t="n">
        <f aca="false">(D1029&lt;&gt;"")*(D1029&lt;=($E$3*60+$F$3)/86400)+(F1029&lt;&gt;"")*(F1029&lt;=($I$3*60+$J$3)/86400)+(H1029&lt;&gt;"")*(H1029&lt;=($M$3*60+$N$3)/86400)</f>
        <v>0</v>
      </c>
      <c r="N1029" s="16"/>
      <c r="O1029" s="15"/>
    </row>
    <row r="1030" customFormat="false" ht="25.35" hidden="false" customHeight="false" outlineLevel="0" collapsed="false">
      <c r="A1030" s="9" t="n">
        <v>1024</v>
      </c>
      <c r="B1030" s="10" t="s">
        <v>1490</v>
      </c>
      <c r="C1030" s="10" t="s">
        <v>1491</v>
      </c>
      <c r="D1030" s="11"/>
      <c r="E1030" s="12"/>
      <c r="F1030" s="11" t="n">
        <v>0.00711597222222222</v>
      </c>
      <c r="G1030" s="12" t="n">
        <v>459</v>
      </c>
      <c r="H1030" s="11"/>
      <c r="I1030" s="12"/>
      <c r="J1030" s="12" t="n">
        <f aca="false">COUNT(E1030,G1030,I1030)</f>
        <v>1</v>
      </c>
      <c r="K1030" s="13" t="n">
        <f aca="false">MIN(E1030,G1030,I1030)</f>
        <v>459</v>
      </c>
      <c r="L1030" s="9" t="str">
        <f aca="false">IF(E1030=K1030,"5000m",IF(G1030=K1030,"3000mSC","1500m"))</f>
        <v>3000mSC</v>
      </c>
      <c r="M1030" s="14" t="n">
        <f aca="false">(D1030&lt;&gt;"")*(D1030&lt;=($E$3*60+$F$3)/86400)+(F1030&lt;&gt;"")*(F1030&lt;=($I$3*60+$J$3)/86400)+(H1030&lt;&gt;"")*(H1030&lt;=($M$3*60+$N$3)/86400)</f>
        <v>0</v>
      </c>
      <c r="N1030" s="16"/>
      <c r="O1030" s="15"/>
    </row>
    <row r="1031" customFormat="false" ht="25.35" hidden="false" customHeight="false" outlineLevel="0" collapsed="false">
      <c r="A1031" s="9" t="n">
        <v>1025</v>
      </c>
      <c r="B1031" s="10" t="s">
        <v>1492</v>
      </c>
      <c r="C1031" s="10" t="s">
        <v>603</v>
      </c>
      <c r="D1031" s="11" t="n">
        <v>0.0107622685185185</v>
      </c>
      <c r="E1031" s="12" t="n">
        <v>684</v>
      </c>
      <c r="F1031" s="11" t="n">
        <v>0.00711643518518519</v>
      </c>
      <c r="G1031" s="12" t="n">
        <v>460</v>
      </c>
      <c r="H1031" s="11" t="n">
        <v>0.00296215277777778</v>
      </c>
      <c r="I1031" s="12" t="n">
        <v>1278</v>
      </c>
      <c r="J1031" s="12" t="n">
        <f aca="false">COUNT(E1031,G1031,I1031)</f>
        <v>3</v>
      </c>
      <c r="K1031" s="13" t="n">
        <f aca="false">MIN(E1031,G1031,I1031)</f>
        <v>460</v>
      </c>
      <c r="L1031" s="9" t="str">
        <f aca="false">IF(E1031=K1031,"5000m",IF(G1031=K1031,"3000mSC","1500m"))</f>
        <v>3000mSC</v>
      </c>
      <c r="M1031" s="14" t="n">
        <f aca="false">(D1031&lt;&gt;"")*(D1031&lt;=($E$3*60+$F$3)/86400)+(F1031&lt;&gt;"")*(F1031&lt;=($I$3*60+$J$3)/86400)+(H1031&lt;&gt;"")*(H1031&lt;=($M$3*60+$N$3)/86400)</f>
        <v>0</v>
      </c>
      <c r="N1031" s="16"/>
      <c r="O1031" s="15"/>
    </row>
    <row r="1032" customFormat="false" ht="15" hidden="false" customHeight="false" outlineLevel="0" collapsed="false">
      <c r="A1032" s="9" t="n">
        <v>1026</v>
      </c>
      <c r="B1032" s="10" t="s">
        <v>1493</v>
      </c>
      <c r="C1032" s="10" t="s">
        <v>55</v>
      </c>
      <c r="D1032" s="11" t="n">
        <v>0.0105972222222222</v>
      </c>
      <c r="E1032" s="12" t="n">
        <v>460</v>
      </c>
      <c r="F1032" s="11"/>
      <c r="G1032" s="12"/>
      <c r="H1032" s="11" t="n">
        <v>0.0028568287037037</v>
      </c>
      <c r="I1032" s="12" t="n">
        <v>614</v>
      </c>
      <c r="J1032" s="12" t="n">
        <f aca="false">COUNT(E1032,G1032,I1032)</f>
        <v>2</v>
      </c>
      <c r="K1032" s="13" t="n">
        <f aca="false">MIN(E1032,G1032,I1032)</f>
        <v>460</v>
      </c>
      <c r="L1032" s="9" t="str">
        <f aca="false">IF(E1032=K1032,"5000m",IF(G1032=K1032,"3000mSC","1500m"))</f>
        <v>5000m</v>
      </c>
      <c r="M1032" s="14" t="n">
        <f aca="false">(D1032&lt;&gt;"")*(D1032&lt;=($E$3*60+$F$3)/86400)+(F1032&lt;&gt;"")*(F1032&lt;=($I$3*60+$J$3)/86400)+(H1032&lt;&gt;"")*(H1032&lt;=($M$3*60+$N$3)/86400)</f>
        <v>0</v>
      </c>
      <c r="N1032" s="16"/>
      <c r="O1032" s="15"/>
    </row>
    <row r="1033" customFormat="false" ht="15" hidden="false" customHeight="false" outlineLevel="0" collapsed="false">
      <c r="A1033" s="9" t="n">
        <v>1027</v>
      </c>
      <c r="B1033" s="10" t="s">
        <v>1494</v>
      </c>
      <c r="C1033" s="10" t="s">
        <v>1127</v>
      </c>
      <c r="D1033" s="11" t="n">
        <v>0.0108916666666667</v>
      </c>
      <c r="E1033" s="12" t="n">
        <v>906</v>
      </c>
      <c r="F1033" s="11"/>
      <c r="G1033" s="12"/>
      <c r="H1033" s="11" t="n">
        <v>0.0028349537037037</v>
      </c>
      <c r="I1033" s="12" t="n">
        <v>460</v>
      </c>
      <c r="J1033" s="12" t="n">
        <f aca="false">COUNT(E1033,G1033,I1033)</f>
        <v>2</v>
      </c>
      <c r="K1033" s="13" t="n">
        <f aca="false">MIN(E1033,G1033,I1033)</f>
        <v>460</v>
      </c>
      <c r="L1033" s="9" t="str">
        <f aca="false">IF(E1033=K1033,"5000m",IF(G1033=K1033,"3000mSC","1500m"))</f>
        <v>1500m</v>
      </c>
      <c r="M1033" s="14" t="n">
        <f aca="false">(D1033&lt;&gt;"")*(D1033&lt;=($E$3*60+$F$3)/86400)+(F1033&lt;&gt;"")*(F1033&lt;=($I$3*60+$J$3)/86400)+(H1033&lt;&gt;"")*(H1033&lt;=($M$3*60+$N$3)/86400)</f>
        <v>0</v>
      </c>
      <c r="N1033" s="16"/>
      <c r="O1033" s="15"/>
    </row>
    <row r="1034" customFormat="false" ht="25.35" hidden="false" customHeight="false" outlineLevel="0" collapsed="false">
      <c r="A1034" s="9" t="n">
        <v>1028</v>
      </c>
      <c r="B1034" s="10" t="s">
        <v>1495</v>
      </c>
      <c r="C1034" s="10" t="s">
        <v>1496</v>
      </c>
      <c r="D1034" s="11"/>
      <c r="E1034" s="12"/>
      <c r="F1034" s="11" t="n">
        <v>0.00711643518518519</v>
      </c>
      <c r="G1034" s="12" t="n">
        <v>461</v>
      </c>
      <c r="H1034" s="11" t="n">
        <v>0.00290520833333333</v>
      </c>
      <c r="I1034" s="12" t="n">
        <v>984</v>
      </c>
      <c r="J1034" s="12" t="n">
        <f aca="false">COUNT(E1034,G1034,I1034)</f>
        <v>2</v>
      </c>
      <c r="K1034" s="13" t="n">
        <f aca="false">MIN(E1034,G1034,I1034)</f>
        <v>461</v>
      </c>
      <c r="L1034" s="9" t="str">
        <f aca="false">IF(E1034=K1034,"5000m",IF(G1034=K1034,"3000mSC","1500m"))</f>
        <v>3000mSC</v>
      </c>
      <c r="M1034" s="14" t="n">
        <f aca="false">(D1034&lt;&gt;"")*(D1034&lt;=($E$3*60+$F$3)/86400)+(F1034&lt;&gt;"")*(F1034&lt;=($I$3*60+$J$3)/86400)+(H1034&lt;&gt;"")*(H1034&lt;=($M$3*60+$N$3)/86400)</f>
        <v>0</v>
      </c>
      <c r="N1034" s="16"/>
      <c r="O1034" s="15"/>
    </row>
    <row r="1035" customFormat="false" ht="25.35" hidden="false" customHeight="false" outlineLevel="0" collapsed="false">
      <c r="A1035" s="9" t="n">
        <v>1029</v>
      </c>
      <c r="B1035" s="10" t="s">
        <v>1497</v>
      </c>
      <c r="C1035" s="10" t="s">
        <v>1498</v>
      </c>
      <c r="D1035" s="11"/>
      <c r="E1035" s="12"/>
      <c r="F1035" s="11" t="n">
        <v>0.00711678240740741</v>
      </c>
      <c r="G1035" s="12" t="n">
        <v>462</v>
      </c>
      <c r="H1035" s="11"/>
      <c r="I1035" s="12"/>
      <c r="J1035" s="12" t="n">
        <f aca="false">COUNT(E1035,G1035,I1035)</f>
        <v>1</v>
      </c>
      <c r="K1035" s="13" t="n">
        <f aca="false">MIN(E1035,G1035,I1035)</f>
        <v>462</v>
      </c>
      <c r="L1035" s="9" t="str">
        <f aca="false">IF(E1035=K1035,"5000m",IF(G1035=K1035,"3000mSC","1500m"))</f>
        <v>3000mSC</v>
      </c>
      <c r="M1035" s="14" t="n">
        <f aca="false">(D1035&lt;&gt;"")*(D1035&lt;=($E$3*60+$F$3)/86400)+(F1035&lt;&gt;"")*(F1035&lt;=($I$3*60+$J$3)/86400)+(H1035&lt;&gt;"")*(H1035&lt;=($M$3*60+$N$3)/86400)</f>
        <v>0</v>
      </c>
      <c r="N1035" s="16"/>
      <c r="O1035" s="15"/>
    </row>
    <row r="1036" customFormat="false" ht="15" hidden="false" customHeight="false" outlineLevel="0" collapsed="false">
      <c r="A1036" s="9" t="n">
        <v>1030</v>
      </c>
      <c r="B1036" s="10" t="s">
        <v>1499</v>
      </c>
      <c r="C1036" s="10" t="s">
        <v>25</v>
      </c>
      <c r="D1036" s="11" t="n">
        <v>0.0111173611111111</v>
      </c>
      <c r="E1036" s="12" t="n">
        <v>1284</v>
      </c>
      <c r="F1036" s="11"/>
      <c r="G1036" s="12"/>
      <c r="H1036" s="11" t="n">
        <v>0.00283518518518519</v>
      </c>
      <c r="I1036" s="12" t="n">
        <v>463</v>
      </c>
      <c r="J1036" s="12" t="n">
        <f aca="false">COUNT(E1036,G1036,I1036)</f>
        <v>2</v>
      </c>
      <c r="K1036" s="13" t="n">
        <f aca="false">MIN(E1036,G1036,I1036)</f>
        <v>463</v>
      </c>
      <c r="L1036" s="9" t="str">
        <f aca="false">IF(E1036=K1036,"5000m",IF(G1036=K1036,"3000mSC","1500m"))</f>
        <v>1500m</v>
      </c>
      <c r="M1036" s="14" t="n">
        <f aca="false">(D1036&lt;&gt;"")*(D1036&lt;=($E$3*60+$F$3)/86400)+(F1036&lt;&gt;"")*(F1036&lt;=($I$3*60+$J$3)/86400)+(H1036&lt;&gt;"")*(H1036&lt;=($M$3*60+$N$3)/86400)</f>
        <v>0</v>
      </c>
      <c r="N1036" s="16"/>
      <c r="O1036" s="15"/>
    </row>
    <row r="1037" customFormat="false" ht="15" hidden="false" customHeight="false" outlineLevel="0" collapsed="false">
      <c r="A1037" s="9" t="n">
        <v>1031</v>
      </c>
      <c r="B1037" s="10" t="s">
        <v>1500</v>
      </c>
      <c r="C1037" s="10" t="s">
        <v>1501</v>
      </c>
      <c r="D1037" s="11" t="n">
        <v>0.010600462962963</v>
      </c>
      <c r="E1037" s="12" t="n">
        <v>464</v>
      </c>
      <c r="F1037" s="11" t="n">
        <v>0.00713217592592593</v>
      </c>
      <c r="G1037" s="12" t="n">
        <v>475</v>
      </c>
      <c r="H1037" s="11" t="n">
        <v>0.00287071759259259</v>
      </c>
      <c r="I1037" s="12" t="n">
        <v>702</v>
      </c>
      <c r="J1037" s="12" t="n">
        <f aca="false">COUNT(E1037,G1037,I1037)</f>
        <v>3</v>
      </c>
      <c r="K1037" s="13" t="n">
        <f aca="false">MIN(E1037,G1037,I1037)</f>
        <v>464</v>
      </c>
      <c r="L1037" s="9" t="str">
        <f aca="false">IF(E1037=K1037,"5000m",IF(G1037=K1037,"3000mSC","1500m"))</f>
        <v>5000m</v>
      </c>
      <c r="M1037" s="14" t="n">
        <f aca="false">(D1037&lt;&gt;"")*(D1037&lt;=($E$3*60+$F$3)/86400)+(F1037&lt;&gt;"")*(F1037&lt;=($I$3*60+$J$3)/86400)+(H1037&lt;&gt;"")*(H1037&lt;=($M$3*60+$N$3)/86400)</f>
        <v>0</v>
      </c>
      <c r="N1037" s="16"/>
      <c r="O1037" s="15"/>
    </row>
    <row r="1038" customFormat="false" ht="25.35" hidden="false" customHeight="false" outlineLevel="0" collapsed="false">
      <c r="A1038" s="9" t="n">
        <v>1032</v>
      </c>
      <c r="B1038" s="10" t="s">
        <v>1502</v>
      </c>
      <c r="C1038" s="10" t="s">
        <v>588</v>
      </c>
      <c r="D1038" s="11" t="n">
        <v>0.0108373842592593</v>
      </c>
      <c r="E1038" s="12" t="n">
        <v>805</v>
      </c>
      <c r="F1038" s="11" t="n">
        <v>0.00711782407407407</v>
      </c>
      <c r="G1038" s="12" t="n">
        <v>464</v>
      </c>
      <c r="H1038" s="11" t="n">
        <v>0.002925</v>
      </c>
      <c r="I1038" s="12" t="n">
        <v>1149</v>
      </c>
      <c r="J1038" s="12" t="n">
        <f aca="false">COUNT(E1038,G1038,I1038)</f>
        <v>3</v>
      </c>
      <c r="K1038" s="13" t="n">
        <f aca="false">MIN(E1038,G1038,I1038)</f>
        <v>464</v>
      </c>
      <c r="L1038" s="9" t="str">
        <f aca="false">IF(E1038=K1038,"5000m",IF(G1038=K1038,"3000mSC","1500m"))</f>
        <v>3000mSC</v>
      </c>
      <c r="M1038" s="14" t="n">
        <f aca="false">(D1038&lt;&gt;"")*(D1038&lt;=($E$3*60+$F$3)/86400)+(F1038&lt;&gt;"")*(F1038&lt;=($I$3*60+$J$3)/86400)+(H1038&lt;&gt;"")*(H1038&lt;=($M$3*60+$N$3)/86400)</f>
        <v>0</v>
      </c>
      <c r="N1038" s="16"/>
      <c r="O1038" s="15"/>
    </row>
    <row r="1039" customFormat="false" ht="25.35" hidden="false" customHeight="false" outlineLevel="0" collapsed="false">
      <c r="A1039" s="9" t="n">
        <v>1033</v>
      </c>
      <c r="B1039" s="10" t="s">
        <v>1503</v>
      </c>
      <c r="C1039" s="10" t="s">
        <v>1504</v>
      </c>
      <c r="D1039" s="11" t="n">
        <v>0.0107510416666667</v>
      </c>
      <c r="E1039" s="12" t="n">
        <v>668</v>
      </c>
      <c r="F1039" s="11" t="n">
        <v>0.00711990740740741</v>
      </c>
      <c r="G1039" s="12" t="n">
        <v>465</v>
      </c>
      <c r="H1039" s="11" t="n">
        <v>0.00285555555555556</v>
      </c>
      <c r="I1039" s="12" t="n">
        <v>600</v>
      </c>
      <c r="J1039" s="12" t="n">
        <f aca="false">COUNT(E1039,G1039,I1039)</f>
        <v>3</v>
      </c>
      <c r="K1039" s="13" t="n">
        <f aca="false">MIN(E1039,G1039,I1039)</f>
        <v>465</v>
      </c>
      <c r="L1039" s="9" t="str">
        <f aca="false">IF(E1039=K1039,"5000m",IF(G1039=K1039,"3000mSC","1500m"))</f>
        <v>3000mSC</v>
      </c>
      <c r="M1039" s="14" t="n">
        <f aca="false">(D1039&lt;&gt;"")*(D1039&lt;=($E$3*60+$F$3)/86400)+(F1039&lt;&gt;"")*(F1039&lt;=($I$3*60+$J$3)/86400)+(H1039&lt;&gt;"")*(H1039&lt;=($M$3*60+$N$3)/86400)</f>
        <v>0</v>
      </c>
      <c r="N1039" s="16"/>
      <c r="O1039" s="15"/>
    </row>
    <row r="1040" customFormat="false" ht="15" hidden="false" customHeight="false" outlineLevel="0" collapsed="false">
      <c r="A1040" s="9" t="n">
        <v>1034</v>
      </c>
      <c r="B1040" s="10" t="s">
        <v>1505</v>
      </c>
      <c r="C1040" s="10" t="s">
        <v>1314</v>
      </c>
      <c r="D1040" s="11" t="n">
        <v>0.0106020833333333</v>
      </c>
      <c r="E1040" s="12" t="n">
        <v>465</v>
      </c>
      <c r="F1040" s="11"/>
      <c r="G1040" s="12"/>
      <c r="H1040" s="11"/>
      <c r="I1040" s="12"/>
      <c r="J1040" s="12" t="n">
        <f aca="false">COUNT(E1040,G1040,I1040)</f>
        <v>1</v>
      </c>
      <c r="K1040" s="13" t="n">
        <f aca="false">MIN(E1040,G1040,I1040)</f>
        <v>465</v>
      </c>
      <c r="L1040" s="9" t="str">
        <f aca="false">IF(E1040=K1040,"5000m",IF(G1040=K1040,"3000mSC","1500m"))</f>
        <v>5000m</v>
      </c>
      <c r="M1040" s="14" t="n">
        <f aca="false">(D1040&lt;&gt;"")*(D1040&lt;=($E$3*60+$F$3)/86400)+(F1040&lt;&gt;"")*(F1040&lt;=($I$3*60+$J$3)/86400)+(H1040&lt;&gt;"")*(H1040&lt;=($M$3*60+$N$3)/86400)</f>
        <v>0</v>
      </c>
      <c r="N1040" s="16"/>
      <c r="O1040" s="15"/>
    </row>
    <row r="1041" customFormat="false" ht="15" hidden="false" customHeight="false" outlineLevel="0" collapsed="false">
      <c r="A1041" s="9" t="n">
        <v>1035</v>
      </c>
      <c r="B1041" s="10" t="s">
        <v>1506</v>
      </c>
      <c r="C1041" s="10" t="s">
        <v>1507</v>
      </c>
      <c r="D1041" s="11"/>
      <c r="E1041" s="12"/>
      <c r="F1041" s="11"/>
      <c r="G1041" s="12"/>
      <c r="H1041" s="11" t="n">
        <v>0.00283541666666667</v>
      </c>
      <c r="I1041" s="12" t="n">
        <v>465</v>
      </c>
      <c r="J1041" s="12" t="n">
        <f aca="false">COUNT(E1041,G1041,I1041)</f>
        <v>1</v>
      </c>
      <c r="K1041" s="13" t="n">
        <f aca="false">MIN(E1041,G1041,I1041)</f>
        <v>465</v>
      </c>
      <c r="L1041" s="9" t="str">
        <f aca="false">IF(E1041=K1041,"5000m",IF(G1041=K1041,"3000mSC","1500m"))</f>
        <v>1500m</v>
      </c>
      <c r="M1041" s="14" t="n">
        <f aca="false">(D1041&lt;&gt;"")*(D1041&lt;=($E$3*60+$F$3)/86400)+(F1041&lt;&gt;"")*(F1041&lt;=($I$3*60+$J$3)/86400)+(H1041&lt;&gt;"")*(H1041&lt;=($M$3*60+$N$3)/86400)</f>
        <v>0</v>
      </c>
      <c r="N1041" s="16"/>
      <c r="O1041" s="15"/>
    </row>
    <row r="1042" customFormat="false" ht="15" hidden="false" customHeight="false" outlineLevel="0" collapsed="false">
      <c r="A1042" s="9" t="n">
        <v>1036</v>
      </c>
      <c r="B1042" s="10" t="s">
        <v>1508</v>
      </c>
      <c r="C1042" s="10" t="s">
        <v>997</v>
      </c>
      <c r="D1042" s="11" t="n">
        <v>0.010850462962963</v>
      </c>
      <c r="E1042" s="12" t="n">
        <v>838</v>
      </c>
      <c r="F1042" s="11"/>
      <c r="G1042" s="12"/>
      <c r="H1042" s="11" t="n">
        <v>0.00283553240740741</v>
      </c>
      <c r="I1042" s="12" t="n">
        <v>466</v>
      </c>
      <c r="J1042" s="12" t="n">
        <f aca="false">COUNT(E1042,G1042,I1042)</f>
        <v>2</v>
      </c>
      <c r="K1042" s="13" t="n">
        <f aca="false">MIN(E1042,G1042,I1042)</f>
        <v>466</v>
      </c>
      <c r="L1042" s="9" t="str">
        <f aca="false">IF(E1042=K1042,"5000m",IF(G1042=K1042,"3000mSC","1500m"))</f>
        <v>1500m</v>
      </c>
      <c r="M1042" s="14" t="n">
        <f aca="false">(D1042&lt;&gt;"")*(D1042&lt;=($E$3*60+$F$3)/86400)+(F1042&lt;&gt;"")*(F1042&lt;=($I$3*60+$J$3)/86400)+(H1042&lt;&gt;"")*(H1042&lt;=($M$3*60+$N$3)/86400)</f>
        <v>0</v>
      </c>
      <c r="N1042" s="16"/>
      <c r="O1042" s="15"/>
    </row>
    <row r="1043" customFormat="false" ht="25.35" hidden="false" customHeight="false" outlineLevel="0" collapsed="false">
      <c r="A1043" s="9" t="n">
        <v>1037</v>
      </c>
      <c r="B1043" s="10" t="s">
        <v>1509</v>
      </c>
      <c r="C1043" s="10" t="s">
        <v>1510</v>
      </c>
      <c r="D1043" s="11"/>
      <c r="E1043" s="12"/>
      <c r="F1043" s="11" t="n">
        <v>0.00712094907407407</v>
      </c>
      <c r="G1043" s="12" t="n">
        <v>466</v>
      </c>
      <c r="H1043" s="11"/>
      <c r="I1043" s="12"/>
      <c r="J1043" s="12" t="n">
        <f aca="false">COUNT(E1043,G1043,I1043)</f>
        <v>1</v>
      </c>
      <c r="K1043" s="13" t="n">
        <f aca="false">MIN(E1043,G1043,I1043)</f>
        <v>466</v>
      </c>
      <c r="L1043" s="9" t="str">
        <f aca="false">IF(E1043=K1043,"5000m",IF(G1043=K1043,"3000mSC","1500m"))</f>
        <v>3000mSC</v>
      </c>
      <c r="M1043" s="14" t="n">
        <f aca="false">(D1043&lt;&gt;"")*(D1043&lt;=($E$3*60+$F$3)/86400)+(F1043&lt;&gt;"")*(F1043&lt;=($I$3*60+$J$3)/86400)+(H1043&lt;&gt;"")*(H1043&lt;=($M$3*60+$N$3)/86400)</f>
        <v>0</v>
      </c>
      <c r="N1043" s="16"/>
      <c r="O1043" s="15"/>
    </row>
    <row r="1044" customFormat="false" ht="25.35" hidden="false" customHeight="false" outlineLevel="0" collapsed="false">
      <c r="A1044" s="9" t="n">
        <v>1038</v>
      </c>
      <c r="B1044" s="10" t="s">
        <v>1511</v>
      </c>
      <c r="C1044" s="10" t="s">
        <v>1512</v>
      </c>
      <c r="D1044" s="11"/>
      <c r="E1044" s="12"/>
      <c r="F1044" s="11" t="n">
        <v>0.0071224537037037</v>
      </c>
      <c r="G1044" s="12" t="n">
        <v>467</v>
      </c>
      <c r="H1044" s="11"/>
      <c r="I1044" s="12"/>
      <c r="J1044" s="12" t="n">
        <f aca="false">COUNT(E1044,G1044,I1044)</f>
        <v>1</v>
      </c>
      <c r="K1044" s="13" t="n">
        <f aca="false">MIN(E1044,G1044,I1044)</f>
        <v>467</v>
      </c>
      <c r="L1044" s="9" t="str">
        <f aca="false">IF(E1044=K1044,"5000m",IF(G1044=K1044,"3000mSC","1500m"))</f>
        <v>3000mSC</v>
      </c>
      <c r="M1044" s="14" t="n">
        <f aca="false">(D1044&lt;&gt;"")*(D1044&lt;=($E$3*60+$F$3)/86400)+(F1044&lt;&gt;"")*(F1044&lt;=($I$3*60+$J$3)/86400)+(H1044&lt;&gt;"")*(H1044&lt;=($M$3*60+$N$3)/86400)</f>
        <v>0</v>
      </c>
      <c r="N1044" s="16"/>
      <c r="O1044" s="15"/>
    </row>
    <row r="1045" customFormat="false" ht="15" hidden="false" customHeight="false" outlineLevel="0" collapsed="false">
      <c r="A1045" s="9" t="n">
        <v>1039</v>
      </c>
      <c r="B1045" s="10" t="s">
        <v>1513</v>
      </c>
      <c r="C1045" s="10" t="s">
        <v>1514</v>
      </c>
      <c r="D1045" s="11"/>
      <c r="E1045" s="12"/>
      <c r="F1045" s="11"/>
      <c r="G1045" s="12"/>
      <c r="H1045" s="11" t="n">
        <v>0.00283564814814815</v>
      </c>
      <c r="I1045" s="12" t="n">
        <v>467</v>
      </c>
      <c r="J1045" s="12" t="n">
        <f aca="false">COUNT(E1045,G1045,I1045)</f>
        <v>1</v>
      </c>
      <c r="K1045" s="13" t="n">
        <f aca="false">MIN(E1045,G1045,I1045)</f>
        <v>467</v>
      </c>
      <c r="L1045" s="9" t="str">
        <f aca="false">IF(E1045=K1045,"5000m",IF(G1045=K1045,"3000mSC","1500m"))</f>
        <v>1500m</v>
      </c>
      <c r="M1045" s="14" t="n">
        <f aca="false">(D1045&lt;&gt;"")*(D1045&lt;=($E$3*60+$F$3)/86400)+(F1045&lt;&gt;"")*(F1045&lt;=($I$3*60+$J$3)/86400)+(H1045&lt;&gt;"")*(H1045&lt;=($M$3*60+$N$3)/86400)</f>
        <v>0</v>
      </c>
      <c r="N1045" s="16"/>
      <c r="O1045" s="15"/>
    </row>
    <row r="1046" customFormat="false" ht="25.35" hidden="false" customHeight="false" outlineLevel="0" collapsed="false">
      <c r="A1046" s="9" t="n">
        <v>1040</v>
      </c>
      <c r="B1046" s="10" t="s">
        <v>1515</v>
      </c>
      <c r="C1046" s="10" t="s">
        <v>1516</v>
      </c>
      <c r="D1046" s="11"/>
      <c r="E1046" s="12"/>
      <c r="F1046" s="11" t="n">
        <v>0.00712291666666667</v>
      </c>
      <c r="G1046" s="12" t="n">
        <v>468</v>
      </c>
      <c r="H1046" s="11"/>
      <c r="I1046" s="12"/>
      <c r="J1046" s="12" t="n">
        <f aca="false">COUNT(E1046,G1046,I1046)</f>
        <v>1</v>
      </c>
      <c r="K1046" s="13" t="n">
        <f aca="false">MIN(E1046,G1046,I1046)</f>
        <v>468</v>
      </c>
      <c r="L1046" s="9" t="str">
        <f aca="false">IF(E1046=K1046,"5000m",IF(G1046=K1046,"3000mSC","1500m"))</f>
        <v>3000mSC</v>
      </c>
      <c r="M1046" s="14" t="n">
        <f aca="false">(D1046&lt;&gt;"")*(D1046&lt;=($E$3*60+$F$3)/86400)+(F1046&lt;&gt;"")*(F1046&lt;=($I$3*60+$J$3)/86400)+(H1046&lt;&gt;"")*(H1046&lt;=($M$3*60+$N$3)/86400)</f>
        <v>0</v>
      </c>
      <c r="N1046" s="16"/>
      <c r="O1046" s="15"/>
    </row>
    <row r="1047" customFormat="false" ht="15" hidden="false" customHeight="false" outlineLevel="0" collapsed="false">
      <c r="A1047" s="9" t="n">
        <v>1041</v>
      </c>
      <c r="B1047" s="10" t="s">
        <v>1517</v>
      </c>
      <c r="C1047" s="10" t="s">
        <v>350</v>
      </c>
      <c r="D1047" s="11" t="n">
        <v>0.0107121527777778</v>
      </c>
      <c r="E1047" s="12" t="n">
        <v>600</v>
      </c>
      <c r="F1047" s="11"/>
      <c r="G1047" s="12"/>
      <c r="H1047" s="11" t="n">
        <v>0.00283576388888889</v>
      </c>
      <c r="I1047" s="12" t="n">
        <v>469</v>
      </c>
      <c r="J1047" s="12" t="n">
        <f aca="false">COUNT(E1047,G1047,I1047)</f>
        <v>2</v>
      </c>
      <c r="K1047" s="13" t="n">
        <f aca="false">MIN(E1047,G1047,I1047)</f>
        <v>469</v>
      </c>
      <c r="L1047" s="9" t="str">
        <f aca="false">IF(E1047=K1047,"5000m",IF(G1047=K1047,"3000mSC","1500m"))</f>
        <v>1500m</v>
      </c>
      <c r="M1047" s="14" t="n">
        <f aca="false">(D1047&lt;&gt;"")*(D1047&lt;=($E$3*60+$F$3)/86400)+(F1047&lt;&gt;"")*(F1047&lt;=($I$3*60+$J$3)/86400)+(H1047&lt;&gt;"")*(H1047&lt;=($M$3*60+$N$3)/86400)</f>
        <v>0</v>
      </c>
      <c r="N1047" s="16"/>
      <c r="O1047" s="15"/>
    </row>
    <row r="1048" customFormat="false" ht="15" hidden="false" customHeight="false" outlineLevel="0" collapsed="false">
      <c r="A1048" s="9" t="n">
        <v>1042</v>
      </c>
      <c r="B1048" s="10" t="s">
        <v>1518</v>
      </c>
      <c r="C1048" s="10" t="s">
        <v>183</v>
      </c>
      <c r="D1048" s="11" t="n">
        <v>0.0106054398148148</v>
      </c>
      <c r="E1048" s="12" t="n">
        <v>469</v>
      </c>
      <c r="F1048" s="11"/>
      <c r="G1048" s="12"/>
      <c r="H1048" s="11" t="n">
        <v>0.00286805555555556</v>
      </c>
      <c r="I1048" s="12" t="n">
        <v>680</v>
      </c>
      <c r="J1048" s="12" t="n">
        <f aca="false">COUNT(E1048,G1048,I1048)</f>
        <v>2</v>
      </c>
      <c r="K1048" s="13" t="n">
        <f aca="false">MIN(E1048,G1048,I1048)</f>
        <v>469</v>
      </c>
      <c r="L1048" s="9" t="str">
        <f aca="false">IF(E1048=K1048,"5000m",IF(G1048=K1048,"3000mSC","1500m"))</f>
        <v>5000m</v>
      </c>
      <c r="M1048" s="14" t="n">
        <f aca="false">(D1048&lt;&gt;"")*(D1048&lt;=($E$3*60+$F$3)/86400)+(F1048&lt;&gt;"")*(F1048&lt;=($I$3*60+$J$3)/86400)+(H1048&lt;&gt;"")*(H1048&lt;=($M$3*60+$N$3)/86400)</f>
        <v>0</v>
      </c>
      <c r="N1048" s="16"/>
      <c r="O1048" s="15"/>
    </row>
    <row r="1049" customFormat="false" ht="25.35" hidden="false" customHeight="false" outlineLevel="0" collapsed="false">
      <c r="A1049" s="9" t="n">
        <v>1043</v>
      </c>
      <c r="B1049" s="10" t="s">
        <v>1519</v>
      </c>
      <c r="C1049" s="10" t="s">
        <v>1520</v>
      </c>
      <c r="D1049" s="11"/>
      <c r="E1049" s="12"/>
      <c r="F1049" s="11" t="n">
        <v>0.007125</v>
      </c>
      <c r="G1049" s="12" t="n">
        <v>469</v>
      </c>
      <c r="H1049" s="11" t="n">
        <v>0.00294166666666667</v>
      </c>
      <c r="I1049" s="12" t="n">
        <v>1207</v>
      </c>
      <c r="J1049" s="12" t="n">
        <f aca="false">COUNT(E1049,G1049,I1049)</f>
        <v>2</v>
      </c>
      <c r="K1049" s="13" t="n">
        <f aca="false">MIN(E1049,G1049,I1049)</f>
        <v>469</v>
      </c>
      <c r="L1049" s="9" t="str">
        <f aca="false">IF(E1049=K1049,"5000m",IF(G1049=K1049,"3000mSC","1500m"))</f>
        <v>3000mSC</v>
      </c>
      <c r="M1049" s="14" t="n">
        <f aca="false">(D1049&lt;&gt;"")*(D1049&lt;=($E$3*60+$F$3)/86400)+(F1049&lt;&gt;"")*(F1049&lt;=($I$3*60+$J$3)/86400)+(H1049&lt;&gt;"")*(H1049&lt;=($M$3*60+$N$3)/86400)</f>
        <v>0</v>
      </c>
      <c r="N1049" s="16"/>
      <c r="O1049" s="15"/>
    </row>
    <row r="1050" customFormat="false" ht="15" hidden="false" customHeight="false" outlineLevel="0" collapsed="false">
      <c r="A1050" s="9" t="n">
        <v>1044</v>
      </c>
      <c r="B1050" s="10" t="s">
        <v>1521</v>
      </c>
      <c r="C1050" s="10" t="s">
        <v>1522</v>
      </c>
      <c r="D1050" s="11" t="n">
        <v>0.01060625</v>
      </c>
      <c r="E1050" s="12" t="n">
        <v>470</v>
      </c>
      <c r="F1050" s="11"/>
      <c r="G1050" s="12"/>
      <c r="H1050" s="11" t="n">
        <v>0.00284606481481482</v>
      </c>
      <c r="I1050" s="12" t="n">
        <v>543</v>
      </c>
      <c r="J1050" s="12" t="n">
        <f aca="false">COUNT(E1050,G1050,I1050)</f>
        <v>2</v>
      </c>
      <c r="K1050" s="13" t="n">
        <f aca="false">MIN(E1050,G1050,I1050)</f>
        <v>470</v>
      </c>
      <c r="L1050" s="9" t="str">
        <f aca="false">IF(E1050=K1050,"5000m",IF(G1050=K1050,"3000mSC","1500m"))</f>
        <v>5000m</v>
      </c>
      <c r="M1050" s="14" t="n">
        <f aca="false">(D1050&lt;&gt;"")*(D1050&lt;=($E$3*60+$F$3)/86400)+(F1050&lt;&gt;"")*(F1050&lt;=($I$3*60+$J$3)/86400)+(H1050&lt;&gt;"")*(H1050&lt;=($M$3*60+$N$3)/86400)</f>
        <v>0</v>
      </c>
      <c r="N1050" s="16"/>
      <c r="O1050" s="15"/>
    </row>
    <row r="1051" customFormat="false" ht="15" hidden="false" customHeight="false" outlineLevel="0" collapsed="false">
      <c r="A1051" s="9" t="n">
        <v>1045</v>
      </c>
      <c r="B1051" s="10" t="s">
        <v>1523</v>
      </c>
      <c r="C1051" s="10" t="s">
        <v>1311</v>
      </c>
      <c r="D1051" s="11" t="n">
        <v>0.0107890046296296</v>
      </c>
      <c r="E1051" s="12" t="n">
        <v>720</v>
      </c>
      <c r="F1051" s="11"/>
      <c r="G1051" s="12"/>
      <c r="H1051" s="11" t="n">
        <v>0.00283587962962963</v>
      </c>
      <c r="I1051" s="12" t="n">
        <v>470</v>
      </c>
      <c r="J1051" s="12" t="n">
        <f aca="false">COUNT(E1051,G1051,I1051)</f>
        <v>2</v>
      </c>
      <c r="K1051" s="13" t="n">
        <f aca="false">MIN(E1051,G1051,I1051)</f>
        <v>470</v>
      </c>
      <c r="L1051" s="9" t="str">
        <f aca="false">IF(E1051=K1051,"5000m",IF(G1051=K1051,"3000mSC","1500m"))</f>
        <v>1500m</v>
      </c>
      <c r="M1051" s="14" t="n">
        <f aca="false">(D1051&lt;&gt;"")*(D1051&lt;=($E$3*60+$F$3)/86400)+(F1051&lt;&gt;"")*(F1051&lt;=($I$3*60+$J$3)/86400)+(H1051&lt;&gt;"")*(H1051&lt;=($M$3*60+$N$3)/86400)</f>
        <v>0</v>
      </c>
      <c r="N1051" s="16"/>
      <c r="O1051" s="15"/>
    </row>
    <row r="1052" customFormat="false" ht="25.35" hidden="false" customHeight="false" outlineLevel="0" collapsed="false">
      <c r="A1052" s="9" t="n">
        <v>1046</v>
      </c>
      <c r="B1052" s="10" t="s">
        <v>1524</v>
      </c>
      <c r="C1052" s="10" t="s">
        <v>592</v>
      </c>
      <c r="D1052" s="11"/>
      <c r="E1052" s="12"/>
      <c r="F1052" s="11" t="n">
        <v>0.00712511574074074</v>
      </c>
      <c r="G1052" s="12" t="n">
        <v>470</v>
      </c>
      <c r="H1052" s="11"/>
      <c r="I1052" s="12"/>
      <c r="J1052" s="12" t="n">
        <f aca="false">COUNT(E1052,G1052,I1052)</f>
        <v>1</v>
      </c>
      <c r="K1052" s="13" t="n">
        <f aca="false">MIN(E1052,G1052,I1052)</f>
        <v>470</v>
      </c>
      <c r="L1052" s="9" t="str">
        <f aca="false">IF(E1052=K1052,"5000m",IF(G1052=K1052,"3000mSC","1500m"))</f>
        <v>3000mSC</v>
      </c>
      <c r="M1052" s="14" t="n">
        <f aca="false">(D1052&lt;&gt;"")*(D1052&lt;=($E$3*60+$F$3)/86400)+(F1052&lt;&gt;"")*(F1052&lt;=($I$3*60+$J$3)/86400)+(H1052&lt;&gt;"")*(H1052&lt;=($M$3*60+$N$3)/86400)</f>
        <v>0</v>
      </c>
      <c r="N1052" s="16"/>
      <c r="O1052" s="15"/>
    </row>
    <row r="1053" customFormat="false" ht="15" hidden="false" customHeight="false" outlineLevel="0" collapsed="false">
      <c r="A1053" s="9" t="n">
        <v>1047</v>
      </c>
      <c r="B1053" s="10" t="s">
        <v>1525</v>
      </c>
      <c r="C1053" s="10" t="s">
        <v>443</v>
      </c>
      <c r="D1053" s="11" t="n">
        <v>0.0107009259259259</v>
      </c>
      <c r="E1053" s="12" t="n">
        <v>585</v>
      </c>
      <c r="F1053" s="11"/>
      <c r="G1053" s="12"/>
      <c r="H1053" s="11" t="n">
        <v>0.00283611111111111</v>
      </c>
      <c r="I1053" s="12" t="n">
        <v>471</v>
      </c>
      <c r="J1053" s="12" t="n">
        <f aca="false">COUNT(E1053,G1053,I1053)</f>
        <v>2</v>
      </c>
      <c r="K1053" s="13" t="n">
        <f aca="false">MIN(E1053,G1053,I1053)</f>
        <v>471</v>
      </c>
      <c r="L1053" s="9" t="str">
        <f aca="false">IF(E1053=K1053,"5000m",IF(G1053=K1053,"3000mSC","1500m"))</f>
        <v>1500m</v>
      </c>
      <c r="M1053" s="14" t="n">
        <f aca="false">(D1053&lt;&gt;"")*(D1053&lt;=($E$3*60+$F$3)/86400)+(F1053&lt;&gt;"")*(F1053&lt;=($I$3*60+$J$3)/86400)+(H1053&lt;&gt;"")*(H1053&lt;=($M$3*60+$N$3)/86400)</f>
        <v>0</v>
      </c>
      <c r="N1053" s="16"/>
      <c r="O1053" s="15"/>
    </row>
    <row r="1054" customFormat="false" ht="15" hidden="false" customHeight="false" outlineLevel="0" collapsed="false">
      <c r="A1054" s="9" t="n">
        <v>1048</v>
      </c>
      <c r="B1054" s="10" t="s">
        <v>1526</v>
      </c>
      <c r="C1054" s="10" t="s">
        <v>183</v>
      </c>
      <c r="D1054" s="11" t="n">
        <v>0.0106065972222222</v>
      </c>
      <c r="E1054" s="12" t="n">
        <v>471</v>
      </c>
      <c r="F1054" s="11"/>
      <c r="G1054" s="12"/>
      <c r="H1054" s="11" t="n">
        <v>0.00285358796296296</v>
      </c>
      <c r="I1054" s="12" t="n">
        <v>589</v>
      </c>
      <c r="J1054" s="12" t="n">
        <f aca="false">COUNT(E1054,G1054,I1054)</f>
        <v>2</v>
      </c>
      <c r="K1054" s="13" t="n">
        <f aca="false">MIN(E1054,G1054,I1054)</f>
        <v>471</v>
      </c>
      <c r="L1054" s="9" t="str">
        <f aca="false">IF(E1054=K1054,"5000m",IF(G1054=K1054,"3000mSC","1500m"))</f>
        <v>5000m</v>
      </c>
      <c r="M1054" s="14" t="n">
        <f aca="false">(D1054&lt;&gt;"")*(D1054&lt;=($E$3*60+$F$3)/86400)+(F1054&lt;&gt;"")*(F1054&lt;=($I$3*60+$J$3)/86400)+(H1054&lt;&gt;"")*(H1054&lt;=($M$3*60+$N$3)/86400)</f>
        <v>0</v>
      </c>
      <c r="N1054" s="16"/>
      <c r="O1054" s="15"/>
    </row>
    <row r="1055" customFormat="false" ht="25.35" hidden="false" customHeight="false" outlineLevel="0" collapsed="false">
      <c r="A1055" s="9" t="n">
        <v>1049</v>
      </c>
      <c r="B1055" s="10" t="s">
        <v>1527</v>
      </c>
      <c r="C1055" s="10" t="s">
        <v>546</v>
      </c>
      <c r="D1055" s="11"/>
      <c r="E1055" s="12"/>
      <c r="F1055" s="11" t="n">
        <v>0.0071255787037037</v>
      </c>
      <c r="G1055" s="12" t="n">
        <v>471</v>
      </c>
      <c r="H1055" s="11"/>
      <c r="I1055" s="12"/>
      <c r="J1055" s="12" t="n">
        <f aca="false">COUNT(E1055,G1055,I1055)</f>
        <v>1</v>
      </c>
      <c r="K1055" s="13" t="n">
        <f aca="false">MIN(E1055,G1055,I1055)</f>
        <v>471</v>
      </c>
      <c r="L1055" s="9" t="str">
        <f aca="false">IF(E1055=K1055,"5000m",IF(G1055=K1055,"3000mSC","1500m"))</f>
        <v>3000mSC</v>
      </c>
      <c r="M1055" s="14" t="n">
        <f aca="false">(D1055&lt;&gt;"")*(D1055&lt;=($E$3*60+$F$3)/86400)+(F1055&lt;&gt;"")*(F1055&lt;=($I$3*60+$J$3)/86400)+(H1055&lt;&gt;"")*(H1055&lt;=($M$3*60+$N$3)/86400)</f>
        <v>0</v>
      </c>
      <c r="N1055" s="16"/>
      <c r="O1055" s="15"/>
    </row>
    <row r="1056" customFormat="false" ht="15" hidden="false" customHeight="false" outlineLevel="0" collapsed="false">
      <c r="A1056" s="9" t="n">
        <v>1050</v>
      </c>
      <c r="B1056" s="10" t="s">
        <v>1528</v>
      </c>
      <c r="C1056" s="10" t="s">
        <v>590</v>
      </c>
      <c r="D1056" s="11" t="n">
        <v>0.0110271990740741</v>
      </c>
      <c r="E1056" s="12" t="n">
        <v>1145</v>
      </c>
      <c r="F1056" s="11"/>
      <c r="G1056" s="12"/>
      <c r="H1056" s="11" t="n">
        <v>0.00283611111111111</v>
      </c>
      <c r="I1056" s="12" t="n">
        <v>472</v>
      </c>
      <c r="J1056" s="12" t="n">
        <f aca="false">COUNT(E1056,G1056,I1056)</f>
        <v>2</v>
      </c>
      <c r="K1056" s="13" t="n">
        <f aca="false">MIN(E1056,G1056,I1056)</f>
        <v>472</v>
      </c>
      <c r="L1056" s="9" t="str">
        <f aca="false">IF(E1056=K1056,"5000m",IF(G1056=K1056,"3000mSC","1500m"))</f>
        <v>1500m</v>
      </c>
      <c r="M1056" s="14" t="n">
        <f aca="false">(D1056&lt;&gt;"")*(D1056&lt;=($E$3*60+$F$3)/86400)+(F1056&lt;&gt;"")*(F1056&lt;=($I$3*60+$J$3)/86400)+(H1056&lt;&gt;"")*(H1056&lt;=($M$3*60+$N$3)/86400)</f>
        <v>0</v>
      </c>
      <c r="N1056" s="16"/>
      <c r="O1056" s="15"/>
    </row>
    <row r="1057" customFormat="false" ht="15" hidden="false" customHeight="false" outlineLevel="0" collapsed="false">
      <c r="A1057" s="9" t="n">
        <v>1051</v>
      </c>
      <c r="B1057" s="10" t="s">
        <v>1529</v>
      </c>
      <c r="C1057" s="10" t="s">
        <v>91</v>
      </c>
      <c r="D1057" s="11" t="n">
        <v>0.0106076388888889</v>
      </c>
      <c r="E1057" s="12" t="n">
        <v>472</v>
      </c>
      <c r="F1057" s="11"/>
      <c r="G1057" s="12"/>
      <c r="H1057" s="11"/>
      <c r="I1057" s="12"/>
      <c r="J1057" s="12" t="n">
        <f aca="false">COUNT(E1057,G1057,I1057)</f>
        <v>1</v>
      </c>
      <c r="K1057" s="13" t="n">
        <f aca="false">MIN(E1057,G1057,I1057)</f>
        <v>472</v>
      </c>
      <c r="L1057" s="9" t="str">
        <f aca="false">IF(E1057=K1057,"5000m",IF(G1057=K1057,"3000mSC","1500m"))</f>
        <v>5000m</v>
      </c>
      <c r="M1057" s="14" t="n">
        <f aca="false">(D1057&lt;&gt;"")*(D1057&lt;=($E$3*60+$F$3)/86400)+(F1057&lt;&gt;"")*(F1057&lt;=($I$3*60+$J$3)/86400)+(H1057&lt;&gt;"")*(H1057&lt;=($M$3*60+$N$3)/86400)</f>
        <v>0</v>
      </c>
      <c r="N1057" s="16"/>
      <c r="O1057" s="15"/>
    </row>
    <row r="1058" customFormat="false" ht="25.35" hidden="false" customHeight="false" outlineLevel="0" collapsed="false">
      <c r="A1058" s="9" t="n">
        <v>1052</v>
      </c>
      <c r="B1058" s="10" t="s">
        <v>1530</v>
      </c>
      <c r="C1058" s="10" t="s">
        <v>1119</v>
      </c>
      <c r="D1058" s="11"/>
      <c r="E1058" s="12"/>
      <c r="F1058" s="11" t="n">
        <v>0.00712685185185185</v>
      </c>
      <c r="G1058" s="12" t="n">
        <v>472</v>
      </c>
      <c r="H1058" s="11"/>
      <c r="I1058" s="12"/>
      <c r="J1058" s="12" t="n">
        <f aca="false">COUNT(E1058,G1058,I1058)</f>
        <v>1</v>
      </c>
      <c r="K1058" s="13" t="n">
        <f aca="false">MIN(E1058,G1058,I1058)</f>
        <v>472</v>
      </c>
      <c r="L1058" s="9" t="str">
        <f aca="false">IF(E1058=K1058,"5000m",IF(G1058=K1058,"3000mSC","1500m"))</f>
        <v>3000mSC</v>
      </c>
      <c r="M1058" s="14" t="n">
        <f aca="false">(D1058&lt;&gt;"")*(D1058&lt;=($E$3*60+$F$3)/86400)+(F1058&lt;&gt;"")*(F1058&lt;=($I$3*60+$J$3)/86400)+(H1058&lt;&gt;"")*(H1058&lt;=($M$3*60+$N$3)/86400)</f>
        <v>0</v>
      </c>
      <c r="N1058" s="16"/>
      <c r="O1058" s="15"/>
    </row>
    <row r="1059" customFormat="false" ht="25.35" hidden="false" customHeight="false" outlineLevel="0" collapsed="false">
      <c r="A1059" s="9" t="n">
        <v>1053</v>
      </c>
      <c r="B1059" s="10" t="s">
        <v>1531</v>
      </c>
      <c r="C1059" s="10" t="s">
        <v>660</v>
      </c>
      <c r="D1059" s="11" t="n">
        <v>0.0109811342592593</v>
      </c>
      <c r="E1059" s="12" t="n">
        <v>1059</v>
      </c>
      <c r="F1059" s="11" t="n">
        <v>0.00712893518518519</v>
      </c>
      <c r="G1059" s="12" t="n">
        <v>473</v>
      </c>
      <c r="H1059" s="11"/>
      <c r="I1059" s="12"/>
      <c r="J1059" s="12" t="n">
        <f aca="false">COUNT(E1059,G1059,I1059)</f>
        <v>2</v>
      </c>
      <c r="K1059" s="13" t="n">
        <f aca="false">MIN(E1059,G1059,I1059)</f>
        <v>473</v>
      </c>
      <c r="L1059" s="9" t="str">
        <f aca="false">IF(E1059=K1059,"5000m",IF(G1059=K1059,"3000mSC","1500m"))</f>
        <v>3000mSC</v>
      </c>
      <c r="M1059" s="14" t="n">
        <f aca="false">(D1059&lt;&gt;"")*(D1059&lt;=($E$3*60+$F$3)/86400)+(F1059&lt;&gt;"")*(F1059&lt;=($I$3*60+$J$3)/86400)+(H1059&lt;&gt;"")*(H1059&lt;=($M$3*60+$N$3)/86400)</f>
        <v>0</v>
      </c>
      <c r="N1059" s="16"/>
      <c r="O1059" s="15"/>
    </row>
    <row r="1060" customFormat="false" ht="15" hidden="false" customHeight="false" outlineLevel="0" collapsed="false">
      <c r="A1060" s="9" t="n">
        <v>1054</v>
      </c>
      <c r="B1060" s="10" t="s">
        <v>1532</v>
      </c>
      <c r="C1060" s="10" t="s">
        <v>91</v>
      </c>
      <c r="D1060" s="11" t="n">
        <v>0.0106081018518519</v>
      </c>
      <c r="E1060" s="12" t="n">
        <v>473</v>
      </c>
      <c r="F1060" s="11"/>
      <c r="G1060" s="12"/>
      <c r="H1060" s="11"/>
      <c r="I1060" s="12"/>
      <c r="J1060" s="12" t="n">
        <f aca="false">COUNT(E1060,G1060,I1060)</f>
        <v>1</v>
      </c>
      <c r="K1060" s="13" t="n">
        <f aca="false">MIN(E1060,G1060,I1060)</f>
        <v>473</v>
      </c>
      <c r="L1060" s="9" t="str">
        <f aca="false">IF(E1060=K1060,"5000m",IF(G1060=K1060,"3000mSC","1500m"))</f>
        <v>5000m</v>
      </c>
      <c r="M1060" s="14" t="n">
        <f aca="false">(D1060&lt;&gt;"")*(D1060&lt;=($E$3*60+$F$3)/86400)+(F1060&lt;&gt;"")*(F1060&lt;=($I$3*60+$J$3)/86400)+(H1060&lt;&gt;"")*(H1060&lt;=($M$3*60+$N$3)/86400)</f>
        <v>0</v>
      </c>
      <c r="N1060" s="16"/>
      <c r="O1060" s="15"/>
    </row>
    <row r="1061" customFormat="false" ht="15" hidden="false" customHeight="false" outlineLevel="0" collapsed="false">
      <c r="A1061" s="9" t="n">
        <v>1055</v>
      </c>
      <c r="B1061" s="10" t="s">
        <v>1533</v>
      </c>
      <c r="C1061" s="10" t="s">
        <v>523</v>
      </c>
      <c r="D1061" s="11"/>
      <c r="E1061" s="12"/>
      <c r="F1061" s="11"/>
      <c r="G1061" s="12"/>
      <c r="H1061" s="11" t="n">
        <v>0.00283634259259259</v>
      </c>
      <c r="I1061" s="12" t="n">
        <v>473</v>
      </c>
      <c r="J1061" s="12" t="n">
        <f aca="false">COUNT(E1061,G1061,I1061)</f>
        <v>1</v>
      </c>
      <c r="K1061" s="13" t="n">
        <f aca="false">MIN(E1061,G1061,I1061)</f>
        <v>473</v>
      </c>
      <c r="L1061" s="9" t="str">
        <f aca="false">IF(E1061=K1061,"5000m",IF(G1061=K1061,"3000mSC","1500m"))</f>
        <v>1500m</v>
      </c>
      <c r="M1061" s="14" t="n">
        <f aca="false">(D1061&lt;&gt;"")*(D1061&lt;=($E$3*60+$F$3)/86400)+(F1061&lt;&gt;"")*(F1061&lt;=($I$3*60+$J$3)/86400)+(H1061&lt;&gt;"")*(H1061&lt;=($M$3*60+$N$3)/86400)</f>
        <v>0</v>
      </c>
      <c r="N1061" s="16"/>
      <c r="O1061" s="15"/>
    </row>
    <row r="1062" customFormat="false" ht="15" hidden="false" customHeight="false" outlineLevel="0" collapsed="false">
      <c r="A1062" s="9" t="n">
        <v>1056</v>
      </c>
      <c r="B1062" s="10" t="s">
        <v>1534</v>
      </c>
      <c r="C1062" s="10" t="s">
        <v>541</v>
      </c>
      <c r="D1062" s="11" t="n">
        <v>0.0110353009259259</v>
      </c>
      <c r="E1062" s="12" t="n">
        <v>1164</v>
      </c>
      <c r="F1062" s="11"/>
      <c r="G1062" s="12"/>
      <c r="H1062" s="11" t="n">
        <v>0.00283645833333333</v>
      </c>
      <c r="I1062" s="12" t="n">
        <v>474</v>
      </c>
      <c r="J1062" s="12" t="n">
        <f aca="false">COUNT(E1062,G1062,I1062)</f>
        <v>2</v>
      </c>
      <c r="K1062" s="13" t="n">
        <f aca="false">MIN(E1062,G1062,I1062)</f>
        <v>474</v>
      </c>
      <c r="L1062" s="9" t="str">
        <f aca="false">IF(E1062=K1062,"5000m",IF(G1062=K1062,"3000mSC","1500m"))</f>
        <v>1500m</v>
      </c>
      <c r="M1062" s="14" t="n">
        <f aca="false">(D1062&lt;&gt;"")*(D1062&lt;=($E$3*60+$F$3)/86400)+(F1062&lt;&gt;"")*(F1062&lt;=($I$3*60+$J$3)/86400)+(H1062&lt;&gt;"")*(H1062&lt;=($M$3*60+$N$3)/86400)</f>
        <v>0</v>
      </c>
      <c r="N1062" s="16"/>
      <c r="O1062" s="15"/>
    </row>
    <row r="1063" customFormat="false" ht="25.35" hidden="false" customHeight="false" outlineLevel="0" collapsed="false">
      <c r="A1063" s="9" t="n">
        <v>1057</v>
      </c>
      <c r="B1063" s="10" t="s">
        <v>1535</v>
      </c>
      <c r="C1063" s="10" t="s">
        <v>1536</v>
      </c>
      <c r="D1063" s="11"/>
      <c r="E1063" s="12"/>
      <c r="F1063" s="11" t="n">
        <v>0.00713171296296296</v>
      </c>
      <c r="G1063" s="12" t="n">
        <v>474</v>
      </c>
      <c r="H1063" s="11"/>
      <c r="I1063" s="12"/>
      <c r="J1063" s="12" t="n">
        <f aca="false">COUNT(E1063,G1063,I1063)</f>
        <v>1</v>
      </c>
      <c r="K1063" s="13" t="n">
        <f aca="false">MIN(E1063,G1063,I1063)</f>
        <v>474</v>
      </c>
      <c r="L1063" s="9" t="str">
        <f aca="false">IF(E1063=K1063,"5000m",IF(G1063=K1063,"3000mSC","1500m"))</f>
        <v>3000mSC</v>
      </c>
      <c r="M1063" s="14" t="n">
        <f aca="false">(D1063&lt;&gt;"")*(D1063&lt;=($E$3*60+$F$3)/86400)+(F1063&lt;&gt;"")*(F1063&lt;=($I$3*60+$J$3)/86400)+(H1063&lt;&gt;"")*(H1063&lt;=($M$3*60+$N$3)/86400)</f>
        <v>0</v>
      </c>
      <c r="N1063" s="16"/>
      <c r="O1063" s="15"/>
    </row>
    <row r="1064" customFormat="false" ht="25.35" hidden="false" customHeight="false" outlineLevel="0" collapsed="false">
      <c r="A1064" s="9" t="n">
        <v>1058</v>
      </c>
      <c r="B1064" s="10" t="s">
        <v>1537</v>
      </c>
      <c r="C1064" s="10" t="s">
        <v>1538</v>
      </c>
      <c r="D1064" s="11"/>
      <c r="E1064" s="12"/>
      <c r="F1064" s="11" t="n">
        <v>0.00713472222222222</v>
      </c>
      <c r="G1064" s="12" t="n">
        <v>476</v>
      </c>
      <c r="H1064" s="11"/>
      <c r="I1064" s="12"/>
      <c r="J1064" s="12" t="n">
        <f aca="false">COUNT(E1064,G1064,I1064)</f>
        <v>1</v>
      </c>
      <c r="K1064" s="13" t="n">
        <f aca="false">MIN(E1064,G1064,I1064)</f>
        <v>476</v>
      </c>
      <c r="L1064" s="9" t="str">
        <f aca="false">IF(E1064=K1064,"5000m",IF(G1064=K1064,"3000mSC","1500m"))</f>
        <v>3000mSC</v>
      </c>
      <c r="M1064" s="14" t="n">
        <f aca="false">(D1064&lt;&gt;"")*(D1064&lt;=($E$3*60+$F$3)/86400)+(F1064&lt;&gt;"")*(F1064&lt;=($I$3*60+$J$3)/86400)+(H1064&lt;&gt;"")*(H1064&lt;=($M$3*60+$N$3)/86400)</f>
        <v>0</v>
      </c>
      <c r="N1064" s="16"/>
      <c r="O1064" s="15"/>
    </row>
    <row r="1065" customFormat="false" ht="25.35" hidden="false" customHeight="false" outlineLevel="0" collapsed="false">
      <c r="A1065" s="9" t="n">
        <v>1059</v>
      </c>
      <c r="B1065" s="10" t="s">
        <v>1539</v>
      </c>
      <c r="C1065" s="10" t="s">
        <v>915</v>
      </c>
      <c r="D1065" s="11"/>
      <c r="E1065" s="12"/>
      <c r="F1065" s="11" t="n">
        <v>0.00713599537037037</v>
      </c>
      <c r="G1065" s="12" t="n">
        <v>477</v>
      </c>
      <c r="H1065" s="11"/>
      <c r="I1065" s="12"/>
      <c r="J1065" s="12" t="n">
        <f aca="false">COUNT(E1065,G1065,I1065)</f>
        <v>1</v>
      </c>
      <c r="K1065" s="13" t="n">
        <f aca="false">MIN(E1065,G1065,I1065)</f>
        <v>477</v>
      </c>
      <c r="L1065" s="9" t="str">
        <f aca="false">IF(E1065=K1065,"5000m",IF(G1065=K1065,"3000mSC","1500m"))</f>
        <v>3000mSC</v>
      </c>
      <c r="M1065" s="14" t="n">
        <f aca="false">(D1065&lt;&gt;"")*(D1065&lt;=($E$3*60+$F$3)/86400)+(F1065&lt;&gt;"")*(F1065&lt;=($I$3*60+$J$3)/86400)+(H1065&lt;&gt;"")*(H1065&lt;=($M$3*60+$N$3)/86400)</f>
        <v>0</v>
      </c>
      <c r="N1065" s="16"/>
      <c r="O1065" s="15"/>
    </row>
    <row r="1066" customFormat="false" ht="15" hidden="false" customHeight="false" outlineLevel="0" collapsed="false">
      <c r="A1066" s="9" t="n">
        <v>1060</v>
      </c>
      <c r="B1066" s="10" t="s">
        <v>1540</v>
      </c>
      <c r="C1066" s="10" t="s">
        <v>1351</v>
      </c>
      <c r="D1066" s="11"/>
      <c r="E1066" s="12"/>
      <c r="F1066" s="11"/>
      <c r="G1066" s="12"/>
      <c r="H1066" s="11" t="n">
        <v>0.00283680555555556</v>
      </c>
      <c r="I1066" s="12" t="n">
        <v>477</v>
      </c>
      <c r="J1066" s="12" t="n">
        <f aca="false">COUNT(E1066,G1066,I1066)</f>
        <v>1</v>
      </c>
      <c r="K1066" s="13" t="n">
        <f aca="false">MIN(E1066,G1066,I1066)</f>
        <v>477</v>
      </c>
      <c r="L1066" s="9" t="str">
        <f aca="false">IF(E1066=K1066,"5000m",IF(G1066=K1066,"3000mSC","1500m"))</f>
        <v>1500m</v>
      </c>
      <c r="M1066" s="14" t="n">
        <f aca="false">(D1066&lt;&gt;"")*(D1066&lt;=($E$3*60+$F$3)/86400)+(F1066&lt;&gt;"")*(F1066&lt;=($I$3*60+$J$3)/86400)+(H1066&lt;&gt;"")*(H1066&lt;=($M$3*60+$N$3)/86400)</f>
        <v>0</v>
      </c>
      <c r="N1066" s="16"/>
      <c r="O1066" s="15"/>
    </row>
    <row r="1067" customFormat="false" ht="15" hidden="false" customHeight="false" outlineLevel="0" collapsed="false">
      <c r="A1067" s="9" t="n">
        <v>1061</v>
      </c>
      <c r="B1067" s="10" t="s">
        <v>1541</v>
      </c>
      <c r="C1067" s="10" t="s">
        <v>210</v>
      </c>
      <c r="D1067" s="11" t="n">
        <v>0.0106431712962963</v>
      </c>
      <c r="E1067" s="12" t="n">
        <v>515</v>
      </c>
      <c r="F1067" s="11"/>
      <c r="G1067" s="12"/>
      <c r="H1067" s="11" t="n">
        <v>0.0028369212962963</v>
      </c>
      <c r="I1067" s="12" t="n">
        <v>478</v>
      </c>
      <c r="J1067" s="12" t="n">
        <f aca="false">COUNT(E1067,G1067,I1067)</f>
        <v>2</v>
      </c>
      <c r="K1067" s="13" t="n">
        <f aca="false">MIN(E1067,G1067,I1067)</f>
        <v>478</v>
      </c>
      <c r="L1067" s="9" t="str">
        <f aca="false">IF(E1067=K1067,"5000m",IF(G1067=K1067,"3000mSC","1500m"))</f>
        <v>1500m</v>
      </c>
      <c r="M1067" s="14" t="n">
        <f aca="false">(D1067&lt;&gt;"")*(D1067&lt;=($E$3*60+$F$3)/86400)+(F1067&lt;&gt;"")*(F1067&lt;=($I$3*60+$J$3)/86400)+(H1067&lt;&gt;"")*(H1067&lt;=($M$3*60+$N$3)/86400)</f>
        <v>0</v>
      </c>
      <c r="N1067" s="16"/>
      <c r="O1067" s="15"/>
    </row>
    <row r="1068" customFormat="false" ht="15" hidden="false" customHeight="false" outlineLevel="0" collapsed="false">
      <c r="A1068" s="9" t="n">
        <v>1062</v>
      </c>
      <c r="B1068" s="10" t="s">
        <v>1542</v>
      </c>
      <c r="C1068" s="10" t="s">
        <v>422</v>
      </c>
      <c r="D1068" s="11" t="n">
        <v>0.0106114583333333</v>
      </c>
      <c r="E1068" s="12" t="n">
        <v>478</v>
      </c>
      <c r="F1068" s="11"/>
      <c r="G1068" s="12"/>
      <c r="H1068" s="11" t="n">
        <v>0.00285543981481482</v>
      </c>
      <c r="I1068" s="12" t="n">
        <v>599</v>
      </c>
      <c r="J1068" s="12" t="n">
        <f aca="false">COUNT(E1068,G1068,I1068)</f>
        <v>2</v>
      </c>
      <c r="K1068" s="13" t="n">
        <f aca="false">MIN(E1068,G1068,I1068)</f>
        <v>478</v>
      </c>
      <c r="L1068" s="9" t="str">
        <f aca="false">IF(E1068=K1068,"5000m",IF(G1068=K1068,"3000mSC","1500m"))</f>
        <v>5000m</v>
      </c>
      <c r="M1068" s="14" t="n">
        <f aca="false">(D1068&lt;&gt;"")*(D1068&lt;=($E$3*60+$F$3)/86400)+(F1068&lt;&gt;"")*(F1068&lt;=($I$3*60+$J$3)/86400)+(H1068&lt;&gt;"")*(H1068&lt;=($M$3*60+$N$3)/86400)</f>
        <v>0</v>
      </c>
      <c r="N1068" s="16"/>
      <c r="O1068" s="15"/>
    </row>
    <row r="1069" customFormat="false" ht="25.35" hidden="false" customHeight="false" outlineLevel="0" collapsed="false">
      <c r="A1069" s="9" t="n">
        <v>1063</v>
      </c>
      <c r="B1069" s="10" t="s">
        <v>1543</v>
      </c>
      <c r="C1069" s="10" t="s">
        <v>465</v>
      </c>
      <c r="D1069" s="11"/>
      <c r="E1069" s="12"/>
      <c r="F1069" s="11" t="n">
        <v>0.00713900462962963</v>
      </c>
      <c r="G1069" s="12" t="n">
        <v>478</v>
      </c>
      <c r="H1069" s="11"/>
      <c r="I1069" s="12"/>
      <c r="J1069" s="12" t="n">
        <f aca="false">COUNT(E1069,G1069,I1069)</f>
        <v>1</v>
      </c>
      <c r="K1069" s="13" t="n">
        <f aca="false">MIN(E1069,G1069,I1069)</f>
        <v>478</v>
      </c>
      <c r="L1069" s="9" t="str">
        <f aca="false">IF(E1069=K1069,"5000m",IF(G1069=K1069,"3000mSC","1500m"))</f>
        <v>3000mSC</v>
      </c>
      <c r="M1069" s="14" t="n">
        <f aca="false">(D1069&lt;&gt;"")*(D1069&lt;=($E$3*60+$F$3)/86400)+(F1069&lt;&gt;"")*(F1069&lt;=($I$3*60+$J$3)/86400)+(H1069&lt;&gt;"")*(H1069&lt;=($M$3*60+$N$3)/86400)</f>
        <v>0</v>
      </c>
      <c r="N1069" s="16"/>
      <c r="O1069" s="15"/>
    </row>
    <row r="1070" customFormat="false" ht="25.35" hidden="false" customHeight="false" outlineLevel="0" collapsed="false">
      <c r="A1070" s="9" t="n">
        <v>1064</v>
      </c>
      <c r="B1070" s="10" t="s">
        <v>1544</v>
      </c>
      <c r="C1070" s="10" t="s">
        <v>549</v>
      </c>
      <c r="D1070" s="11"/>
      <c r="E1070" s="12"/>
      <c r="F1070" s="11" t="n">
        <v>0.00713900462962963</v>
      </c>
      <c r="G1070" s="12" t="n">
        <v>479</v>
      </c>
      <c r="H1070" s="11"/>
      <c r="I1070" s="12"/>
      <c r="J1070" s="12" t="n">
        <f aca="false">COUNT(E1070,G1070,I1070)</f>
        <v>1</v>
      </c>
      <c r="K1070" s="13" t="n">
        <f aca="false">MIN(E1070,G1070,I1070)</f>
        <v>479</v>
      </c>
      <c r="L1070" s="9" t="str">
        <f aca="false">IF(E1070=K1070,"5000m",IF(G1070=K1070,"3000mSC","1500m"))</f>
        <v>3000mSC</v>
      </c>
      <c r="M1070" s="14" t="n">
        <f aca="false">(D1070&lt;&gt;"")*(D1070&lt;=($E$3*60+$F$3)/86400)+(F1070&lt;&gt;"")*(F1070&lt;=($I$3*60+$J$3)/86400)+(H1070&lt;&gt;"")*(H1070&lt;=($M$3*60+$N$3)/86400)</f>
        <v>0</v>
      </c>
      <c r="N1070" s="16"/>
      <c r="O1070" s="15"/>
    </row>
    <row r="1071" customFormat="false" ht="25.35" hidden="false" customHeight="false" outlineLevel="0" collapsed="false">
      <c r="A1071" s="9" t="n">
        <v>1065</v>
      </c>
      <c r="B1071" s="10" t="s">
        <v>1545</v>
      </c>
      <c r="C1071" s="10" t="s">
        <v>1546</v>
      </c>
      <c r="D1071" s="11"/>
      <c r="E1071" s="12"/>
      <c r="F1071" s="11" t="n">
        <v>0.00713969907407407</v>
      </c>
      <c r="G1071" s="12" t="n">
        <v>480</v>
      </c>
      <c r="H1071" s="11"/>
      <c r="I1071" s="12"/>
      <c r="J1071" s="12" t="n">
        <f aca="false">COUNT(E1071,G1071,I1071)</f>
        <v>1</v>
      </c>
      <c r="K1071" s="13" t="n">
        <f aca="false">MIN(E1071,G1071,I1071)</f>
        <v>480</v>
      </c>
      <c r="L1071" s="9" t="str">
        <f aca="false">IF(E1071=K1071,"5000m",IF(G1071=K1071,"3000mSC","1500m"))</f>
        <v>3000mSC</v>
      </c>
      <c r="M1071" s="14" t="n">
        <f aca="false">(D1071&lt;&gt;"")*(D1071&lt;=($E$3*60+$F$3)/86400)+(F1071&lt;&gt;"")*(F1071&lt;=($I$3*60+$J$3)/86400)+(H1071&lt;&gt;"")*(H1071&lt;=($M$3*60+$N$3)/86400)</f>
        <v>0</v>
      </c>
      <c r="N1071" s="16"/>
      <c r="O1071" s="15"/>
    </row>
    <row r="1072" customFormat="false" ht="15" hidden="false" customHeight="false" outlineLevel="0" collapsed="false">
      <c r="A1072" s="9" t="n">
        <v>1066</v>
      </c>
      <c r="B1072" s="10" t="s">
        <v>1547</v>
      </c>
      <c r="C1072" s="10" t="s">
        <v>1548</v>
      </c>
      <c r="D1072" s="11"/>
      <c r="E1072" s="12"/>
      <c r="F1072" s="11"/>
      <c r="G1072" s="12"/>
      <c r="H1072" s="11" t="n">
        <v>0.00283726851851852</v>
      </c>
      <c r="I1072" s="12" t="n">
        <v>480</v>
      </c>
      <c r="J1072" s="12" t="n">
        <f aca="false">COUNT(E1072,G1072,I1072)</f>
        <v>1</v>
      </c>
      <c r="K1072" s="13" t="n">
        <f aca="false">MIN(E1072,G1072,I1072)</f>
        <v>480</v>
      </c>
      <c r="L1072" s="9" t="str">
        <f aca="false">IF(E1072=K1072,"5000m",IF(G1072=K1072,"3000mSC","1500m"))</f>
        <v>1500m</v>
      </c>
      <c r="M1072" s="14" t="n">
        <f aca="false">(D1072&lt;&gt;"")*(D1072&lt;=($E$3*60+$F$3)/86400)+(F1072&lt;&gt;"")*(F1072&lt;=($I$3*60+$J$3)/86400)+(H1072&lt;&gt;"")*(H1072&lt;=($M$3*60+$N$3)/86400)</f>
        <v>0</v>
      </c>
      <c r="N1072" s="16"/>
      <c r="O1072" s="15"/>
    </row>
    <row r="1073" customFormat="false" ht="15" hidden="false" customHeight="false" outlineLevel="0" collapsed="false">
      <c r="A1073" s="9" t="n">
        <v>1067</v>
      </c>
      <c r="B1073" s="10" t="s">
        <v>1549</v>
      </c>
      <c r="C1073" s="10" t="s">
        <v>758</v>
      </c>
      <c r="D1073" s="11" t="n">
        <v>0.0106123842592593</v>
      </c>
      <c r="E1073" s="12" t="n">
        <v>481</v>
      </c>
      <c r="F1073" s="11"/>
      <c r="G1073" s="12"/>
      <c r="H1073" s="11" t="n">
        <v>0.00296493055555556</v>
      </c>
      <c r="I1073" s="12" t="n">
        <v>1289</v>
      </c>
      <c r="J1073" s="12" t="n">
        <f aca="false">COUNT(E1073,G1073,I1073)</f>
        <v>2</v>
      </c>
      <c r="K1073" s="13" t="n">
        <f aca="false">MIN(E1073,G1073,I1073)</f>
        <v>481</v>
      </c>
      <c r="L1073" s="9" t="str">
        <f aca="false">IF(E1073=K1073,"5000m",IF(G1073=K1073,"3000mSC","1500m"))</f>
        <v>5000m</v>
      </c>
      <c r="M1073" s="14" t="n">
        <f aca="false">(D1073&lt;&gt;"")*(D1073&lt;=($E$3*60+$F$3)/86400)+(F1073&lt;&gt;"")*(F1073&lt;=($I$3*60+$J$3)/86400)+(H1073&lt;&gt;"")*(H1073&lt;=($M$3*60+$N$3)/86400)</f>
        <v>0</v>
      </c>
      <c r="N1073" s="16"/>
      <c r="O1073" s="15"/>
    </row>
    <row r="1074" customFormat="false" ht="25.35" hidden="false" customHeight="false" outlineLevel="0" collapsed="false">
      <c r="A1074" s="9" t="n">
        <v>1068</v>
      </c>
      <c r="B1074" s="10" t="s">
        <v>1550</v>
      </c>
      <c r="C1074" s="10" t="s">
        <v>1551</v>
      </c>
      <c r="D1074" s="11"/>
      <c r="E1074" s="12"/>
      <c r="F1074" s="11" t="n">
        <v>0.00713993055555556</v>
      </c>
      <c r="G1074" s="12" t="n">
        <v>481</v>
      </c>
      <c r="H1074" s="11"/>
      <c r="I1074" s="12"/>
      <c r="J1074" s="12" t="n">
        <f aca="false">COUNT(E1074,G1074,I1074)</f>
        <v>1</v>
      </c>
      <c r="K1074" s="13" t="n">
        <f aca="false">MIN(E1074,G1074,I1074)</f>
        <v>481</v>
      </c>
      <c r="L1074" s="9" t="str">
        <f aca="false">IF(E1074=K1074,"5000m",IF(G1074=K1074,"3000mSC","1500m"))</f>
        <v>3000mSC</v>
      </c>
      <c r="M1074" s="14" t="n">
        <f aca="false">(D1074&lt;&gt;"")*(D1074&lt;=($E$3*60+$F$3)/86400)+(F1074&lt;&gt;"")*(F1074&lt;=($I$3*60+$J$3)/86400)+(H1074&lt;&gt;"")*(H1074&lt;=($M$3*60+$N$3)/86400)</f>
        <v>0</v>
      </c>
      <c r="N1074" s="16"/>
      <c r="O1074" s="15"/>
    </row>
    <row r="1075" customFormat="false" ht="15" hidden="false" customHeight="false" outlineLevel="0" collapsed="false">
      <c r="A1075" s="9" t="n">
        <v>1069</v>
      </c>
      <c r="B1075" s="10" t="s">
        <v>1552</v>
      </c>
      <c r="C1075" s="10" t="s">
        <v>1553</v>
      </c>
      <c r="D1075" s="11"/>
      <c r="E1075" s="12"/>
      <c r="F1075" s="11"/>
      <c r="G1075" s="12"/>
      <c r="H1075" s="11" t="n">
        <v>0.0028375</v>
      </c>
      <c r="I1075" s="12" t="n">
        <v>481</v>
      </c>
      <c r="J1075" s="12" t="n">
        <f aca="false">COUNT(E1075,G1075,I1075)</f>
        <v>1</v>
      </c>
      <c r="K1075" s="13" t="n">
        <f aca="false">MIN(E1075,G1075,I1075)</f>
        <v>481</v>
      </c>
      <c r="L1075" s="9" t="str">
        <f aca="false">IF(E1075=K1075,"5000m",IF(G1075=K1075,"3000mSC","1500m"))</f>
        <v>1500m</v>
      </c>
      <c r="M1075" s="14" t="n">
        <f aca="false">(D1075&lt;&gt;"")*(D1075&lt;=($E$3*60+$F$3)/86400)+(F1075&lt;&gt;"")*(F1075&lt;=($I$3*60+$J$3)/86400)+(H1075&lt;&gt;"")*(H1075&lt;=($M$3*60+$N$3)/86400)</f>
        <v>0</v>
      </c>
      <c r="N1075" s="16"/>
      <c r="O1075" s="15"/>
    </row>
    <row r="1076" customFormat="false" ht="25.35" hidden="false" customHeight="false" outlineLevel="0" collapsed="false">
      <c r="A1076" s="9" t="n">
        <v>1070</v>
      </c>
      <c r="B1076" s="10" t="s">
        <v>1554</v>
      </c>
      <c r="C1076" s="10" t="s">
        <v>358</v>
      </c>
      <c r="D1076" s="11"/>
      <c r="E1076" s="12"/>
      <c r="F1076" s="11" t="n">
        <v>0.00714247685185185</v>
      </c>
      <c r="G1076" s="12" t="n">
        <v>482</v>
      </c>
      <c r="H1076" s="11"/>
      <c r="I1076" s="12"/>
      <c r="J1076" s="12" t="n">
        <f aca="false">COUNT(E1076,G1076,I1076)</f>
        <v>1</v>
      </c>
      <c r="K1076" s="13" t="n">
        <f aca="false">MIN(E1076,G1076,I1076)</f>
        <v>482</v>
      </c>
      <c r="L1076" s="9" t="str">
        <f aca="false">IF(E1076=K1076,"5000m",IF(G1076=K1076,"3000mSC","1500m"))</f>
        <v>3000mSC</v>
      </c>
      <c r="M1076" s="14" t="n">
        <f aca="false">(D1076&lt;&gt;"")*(D1076&lt;=($E$3*60+$F$3)/86400)+(F1076&lt;&gt;"")*(F1076&lt;=($I$3*60+$J$3)/86400)+(H1076&lt;&gt;"")*(H1076&lt;=($M$3*60+$N$3)/86400)</f>
        <v>0</v>
      </c>
      <c r="N1076" s="16"/>
      <c r="O1076" s="15"/>
    </row>
    <row r="1077" customFormat="false" ht="25.35" hidden="false" customHeight="false" outlineLevel="0" collapsed="false">
      <c r="A1077" s="9" t="n">
        <v>1071</v>
      </c>
      <c r="B1077" s="10" t="s">
        <v>1555</v>
      </c>
      <c r="C1077" s="10" t="s">
        <v>1556</v>
      </c>
      <c r="D1077" s="11"/>
      <c r="E1077" s="12"/>
      <c r="F1077" s="11" t="n">
        <v>0.00714467592592593</v>
      </c>
      <c r="G1077" s="12" t="n">
        <v>483</v>
      </c>
      <c r="H1077" s="11"/>
      <c r="I1077" s="12"/>
      <c r="J1077" s="12" t="n">
        <f aca="false">COUNT(E1077,G1077,I1077)</f>
        <v>1</v>
      </c>
      <c r="K1077" s="13" t="n">
        <f aca="false">MIN(E1077,G1077,I1077)</f>
        <v>483</v>
      </c>
      <c r="L1077" s="9" t="str">
        <f aca="false">IF(E1077=K1077,"5000m",IF(G1077=K1077,"3000mSC","1500m"))</f>
        <v>3000mSC</v>
      </c>
      <c r="M1077" s="14" t="n">
        <f aca="false">(D1077&lt;&gt;"")*(D1077&lt;=($E$3*60+$F$3)/86400)+(F1077&lt;&gt;"")*(F1077&lt;=($I$3*60+$J$3)/86400)+(H1077&lt;&gt;"")*(H1077&lt;=($M$3*60+$N$3)/86400)</f>
        <v>0</v>
      </c>
      <c r="N1077" s="16"/>
      <c r="O1077" s="15"/>
    </row>
    <row r="1078" customFormat="false" ht="15" hidden="false" customHeight="false" outlineLevel="0" collapsed="false">
      <c r="A1078" s="9" t="n">
        <v>1072</v>
      </c>
      <c r="B1078" s="10" t="s">
        <v>1557</v>
      </c>
      <c r="C1078" s="10" t="s">
        <v>695</v>
      </c>
      <c r="D1078" s="11" t="n">
        <v>0.0106134259259259</v>
      </c>
      <c r="E1078" s="12" t="n">
        <v>484</v>
      </c>
      <c r="F1078" s="11"/>
      <c r="G1078" s="12"/>
      <c r="H1078" s="11" t="n">
        <v>0.00290416666666667</v>
      </c>
      <c r="I1078" s="12" t="n">
        <v>980</v>
      </c>
      <c r="J1078" s="12" t="n">
        <f aca="false">COUNT(E1078,G1078,I1078)</f>
        <v>2</v>
      </c>
      <c r="K1078" s="13" t="n">
        <f aca="false">MIN(E1078,G1078,I1078)</f>
        <v>484</v>
      </c>
      <c r="L1078" s="9" t="str">
        <f aca="false">IF(E1078=K1078,"5000m",IF(G1078=K1078,"3000mSC","1500m"))</f>
        <v>5000m</v>
      </c>
      <c r="M1078" s="14" t="n">
        <f aca="false">(D1078&lt;&gt;"")*(D1078&lt;=($E$3*60+$F$3)/86400)+(F1078&lt;&gt;"")*(F1078&lt;=($I$3*60+$J$3)/86400)+(H1078&lt;&gt;"")*(H1078&lt;=($M$3*60+$N$3)/86400)</f>
        <v>0</v>
      </c>
      <c r="N1078" s="16"/>
      <c r="O1078" s="15"/>
    </row>
    <row r="1079" customFormat="false" ht="25.35" hidden="false" customHeight="false" outlineLevel="0" collapsed="false">
      <c r="A1079" s="9" t="n">
        <v>1073</v>
      </c>
      <c r="B1079" s="10" t="s">
        <v>1558</v>
      </c>
      <c r="C1079" s="10" t="s">
        <v>307</v>
      </c>
      <c r="D1079" s="11"/>
      <c r="E1079" s="12"/>
      <c r="F1079" s="11" t="n">
        <v>0.0071474537037037</v>
      </c>
      <c r="G1079" s="12" t="n">
        <v>484</v>
      </c>
      <c r="H1079" s="11"/>
      <c r="I1079" s="12"/>
      <c r="J1079" s="12" t="n">
        <f aca="false">COUNT(E1079,G1079,I1079)</f>
        <v>1</v>
      </c>
      <c r="K1079" s="13" t="n">
        <f aca="false">MIN(E1079,G1079,I1079)</f>
        <v>484</v>
      </c>
      <c r="L1079" s="9" t="str">
        <f aca="false">IF(E1079=K1079,"5000m",IF(G1079=K1079,"3000mSC","1500m"))</f>
        <v>3000mSC</v>
      </c>
      <c r="M1079" s="14" t="n">
        <f aca="false">(D1079&lt;&gt;"")*(D1079&lt;=($E$3*60+$F$3)/86400)+(F1079&lt;&gt;"")*(F1079&lt;=($I$3*60+$J$3)/86400)+(H1079&lt;&gt;"")*(H1079&lt;=($M$3*60+$N$3)/86400)</f>
        <v>0</v>
      </c>
      <c r="N1079" s="16"/>
      <c r="O1079" s="15"/>
    </row>
    <row r="1080" customFormat="false" ht="15" hidden="false" customHeight="false" outlineLevel="0" collapsed="false">
      <c r="A1080" s="9" t="n">
        <v>1074</v>
      </c>
      <c r="B1080" s="10" t="s">
        <v>1559</v>
      </c>
      <c r="C1080" s="10" t="s">
        <v>1560</v>
      </c>
      <c r="D1080" s="11"/>
      <c r="E1080" s="12"/>
      <c r="F1080" s="11"/>
      <c r="G1080" s="12"/>
      <c r="H1080" s="11" t="n">
        <v>0.0028380787037037</v>
      </c>
      <c r="I1080" s="12" t="n">
        <v>484</v>
      </c>
      <c r="J1080" s="12" t="n">
        <f aca="false">COUNT(E1080,G1080,I1080)</f>
        <v>1</v>
      </c>
      <c r="K1080" s="13" t="n">
        <f aca="false">MIN(E1080,G1080,I1080)</f>
        <v>484</v>
      </c>
      <c r="L1080" s="9" t="str">
        <f aca="false">IF(E1080=K1080,"5000m",IF(G1080=K1080,"3000mSC","1500m"))</f>
        <v>1500m</v>
      </c>
      <c r="M1080" s="14" t="n">
        <f aca="false">(D1080&lt;&gt;"")*(D1080&lt;=($E$3*60+$F$3)/86400)+(F1080&lt;&gt;"")*(F1080&lt;=($I$3*60+$J$3)/86400)+(H1080&lt;&gt;"")*(H1080&lt;=($M$3*60+$N$3)/86400)</f>
        <v>0</v>
      </c>
      <c r="N1080" s="16"/>
      <c r="O1080" s="15"/>
    </row>
    <row r="1081" customFormat="false" ht="25.35" hidden="false" customHeight="false" outlineLevel="0" collapsed="false">
      <c r="A1081" s="9" t="n">
        <v>1075</v>
      </c>
      <c r="B1081" s="10" t="s">
        <v>1561</v>
      </c>
      <c r="C1081" s="10" t="s">
        <v>1458</v>
      </c>
      <c r="D1081" s="11"/>
      <c r="E1081" s="12"/>
      <c r="F1081" s="11" t="n">
        <v>0.00714826388888889</v>
      </c>
      <c r="G1081" s="12" t="n">
        <v>485</v>
      </c>
      <c r="H1081" s="11"/>
      <c r="I1081" s="12"/>
      <c r="J1081" s="12" t="n">
        <f aca="false">COUNT(E1081,G1081,I1081)</f>
        <v>1</v>
      </c>
      <c r="K1081" s="13" t="n">
        <f aca="false">MIN(E1081,G1081,I1081)</f>
        <v>485</v>
      </c>
      <c r="L1081" s="9" t="str">
        <f aca="false">IF(E1081=K1081,"5000m",IF(G1081=K1081,"3000mSC","1500m"))</f>
        <v>3000mSC</v>
      </c>
      <c r="M1081" s="14" t="n">
        <f aca="false">(D1081&lt;&gt;"")*(D1081&lt;=($E$3*60+$F$3)/86400)+(F1081&lt;&gt;"")*(F1081&lt;=($I$3*60+$J$3)/86400)+(H1081&lt;&gt;"")*(H1081&lt;=($M$3*60+$N$3)/86400)</f>
        <v>0</v>
      </c>
      <c r="N1081" s="16"/>
      <c r="O1081" s="15"/>
    </row>
    <row r="1082" customFormat="false" ht="15" hidden="false" customHeight="false" outlineLevel="0" collapsed="false">
      <c r="A1082" s="9" t="n">
        <v>1076</v>
      </c>
      <c r="B1082" s="10" t="s">
        <v>1562</v>
      </c>
      <c r="C1082" s="10" t="s">
        <v>546</v>
      </c>
      <c r="D1082" s="11" t="n">
        <v>0.0106185185185185</v>
      </c>
      <c r="E1082" s="12" t="n">
        <v>496</v>
      </c>
      <c r="F1082" s="11"/>
      <c r="G1082" s="12"/>
      <c r="H1082" s="11" t="n">
        <v>0.00283831018518519</v>
      </c>
      <c r="I1082" s="12" t="n">
        <v>486</v>
      </c>
      <c r="J1082" s="12" t="n">
        <f aca="false">COUNT(E1082,G1082,I1082)</f>
        <v>2</v>
      </c>
      <c r="K1082" s="13" t="n">
        <f aca="false">MIN(E1082,G1082,I1082)</f>
        <v>486</v>
      </c>
      <c r="L1082" s="9" t="str">
        <f aca="false">IF(E1082=K1082,"5000m",IF(G1082=K1082,"3000mSC","1500m"))</f>
        <v>1500m</v>
      </c>
      <c r="M1082" s="14" t="n">
        <f aca="false">(D1082&lt;&gt;"")*(D1082&lt;=($E$3*60+$F$3)/86400)+(F1082&lt;&gt;"")*(F1082&lt;=($I$3*60+$J$3)/86400)+(H1082&lt;&gt;"")*(H1082&lt;=($M$3*60+$N$3)/86400)</f>
        <v>0</v>
      </c>
      <c r="N1082" s="16"/>
      <c r="O1082" s="15"/>
    </row>
    <row r="1083" customFormat="false" ht="25.35" hidden="false" customHeight="false" outlineLevel="0" collapsed="false">
      <c r="A1083" s="9" t="n">
        <v>1077</v>
      </c>
      <c r="B1083" s="10" t="s">
        <v>1563</v>
      </c>
      <c r="C1083" s="10" t="s">
        <v>358</v>
      </c>
      <c r="D1083" s="11"/>
      <c r="E1083" s="12"/>
      <c r="F1083" s="11" t="n">
        <v>0.00714861111111111</v>
      </c>
      <c r="G1083" s="12" t="n">
        <v>486</v>
      </c>
      <c r="H1083" s="11"/>
      <c r="I1083" s="12"/>
      <c r="J1083" s="12" t="n">
        <f aca="false">COUNT(E1083,G1083,I1083)</f>
        <v>1</v>
      </c>
      <c r="K1083" s="13" t="n">
        <f aca="false">MIN(E1083,G1083,I1083)</f>
        <v>486</v>
      </c>
      <c r="L1083" s="9" t="str">
        <f aca="false">IF(E1083=K1083,"5000m",IF(G1083=K1083,"3000mSC","1500m"))</f>
        <v>3000mSC</v>
      </c>
      <c r="M1083" s="14" t="n">
        <f aca="false">(D1083&lt;&gt;"")*(D1083&lt;=($E$3*60+$F$3)/86400)+(F1083&lt;&gt;"")*(F1083&lt;=($I$3*60+$J$3)/86400)+(H1083&lt;&gt;"")*(H1083&lt;=($M$3*60+$N$3)/86400)</f>
        <v>0</v>
      </c>
      <c r="N1083" s="16"/>
      <c r="O1083" s="15"/>
    </row>
    <row r="1084" customFormat="false" ht="25.35" hidden="false" customHeight="false" outlineLevel="0" collapsed="false">
      <c r="A1084" s="9" t="n">
        <v>1078</v>
      </c>
      <c r="B1084" s="10" t="s">
        <v>1564</v>
      </c>
      <c r="C1084" s="10" t="s">
        <v>502</v>
      </c>
      <c r="D1084" s="11"/>
      <c r="E1084" s="12"/>
      <c r="F1084" s="11" t="n">
        <v>0.00714872685185185</v>
      </c>
      <c r="G1084" s="12" t="n">
        <v>487</v>
      </c>
      <c r="H1084" s="11"/>
      <c r="I1084" s="12"/>
      <c r="J1084" s="12" t="n">
        <f aca="false">COUNT(E1084,G1084,I1084)</f>
        <v>1</v>
      </c>
      <c r="K1084" s="13" t="n">
        <f aca="false">MIN(E1084,G1084,I1084)</f>
        <v>487</v>
      </c>
      <c r="L1084" s="9" t="str">
        <f aca="false">IF(E1084=K1084,"5000m",IF(G1084=K1084,"3000mSC","1500m"))</f>
        <v>3000mSC</v>
      </c>
      <c r="M1084" s="14" t="n">
        <f aca="false">(D1084&lt;&gt;"")*(D1084&lt;=($E$3*60+$F$3)/86400)+(F1084&lt;&gt;"")*(F1084&lt;=($I$3*60+$J$3)/86400)+(H1084&lt;&gt;"")*(H1084&lt;=($M$3*60+$N$3)/86400)</f>
        <v>0</v>
      </c>
      <c r="N1084" s="16"/>
      <c r="O1084" s="15"/>
    </row>
    <row r="1085" customFormat="false" ht="15" hidden="false" customHeight="false" outlineLevel="0" collapsed="false">
      <c r="A1085" s="9" t="n">
        <v>1079</v>
      </c>
      <c r="B1085" s="10" t="s">
        <v>1565</v>
      </c>
      <c r="C1085" s="10" t="s">
        <v>391</v>
      </c>
      <c r="D1085" s="11"/>
      <c r="E1085" s="12"/>
      <c r="F1085" s="11"/>
      <c r="G1085" s="12"/>
      <c r="H1085" s="11" t="n">
        <v>0.00283888888888889</v>
      </c>
      <c r="I1085" s="12" t="n">
        <v>487</v>
      </c>
      <c r="J1085" s="12" t="n">
        <f aca="false">COUNT(E1085,G1085,I1085)</f>
        <v>1</v>
      </c>
      <c r="K1085" s="13" t="n">
        <f aca="false">MIN(E1085,G1085,I1085)</f>
        <v>487</v>
      </c>
      <c r="L1085" s="9" t="str">
        <f aca="false">IF(E1085=K1085,"5000m",IF(G1085=K1085,"3000mSC","1500m"))</f>
        <v>1500m</v>
      </c>
      <c r="M1085" s="14" t="n">
        <f aca="false">(D1085&lt;&gt;"")*(D1085&lt;=($E$3*60+$F$3)/86400)+(F1085&lt;&gt;"")*(F1085&lt;=($I$3*60+$J$3)/86400)+(H1085&lt;&gt;"")*(H1085&lt;=($M$3*60+$N$3)/86400)</f>
        <v>0</v>
      </c>
      <c r="N1085" s="16"/>
      <c r="O1085" s="15"/>
    </row>
    <row r="1086" customFormat="false" ht="25.35" hidden="false" customHeight="false" outlineLevel="0" collapsed="false">
      <c r="A1086" s="9" t="n">
        <v>1080</v>
      </c>
      <c r="B1086" s="10" t="s">
        <v>1566</v>
      </c>
      <c r="C1086" s="10" t="s">
        <v>1567</v>
      </c>
      <c r="D1086" s="11"/>
      <c r="E1086" s="12"/>
      <c r="F1086" s="11" t="n">
        <v>0.00714895833333333</v>
      </c>
      <c r="G1086" s="12" t="n">
        <v>488</v>
      </c>
      <c r="H1086" s="11"/>
      <c r="I1086" s="12"/>
      <c r="J1086" s="12" t="n">
        <f aca="false">COUNT(E1086,G1086,I1086)</f>
        <v>1</v>
      </c>
      <c r="K1086" s="13" t="n">
        <f aca="false">MIN(E1086,G1086,I1086)</f>
        <v>488</v>
      </c>
      <c r="L1086" s="9" t="str">
        <f aca="false">IF(E1086=K1086,"5000m",IF(G1086=K1086,"3000mSC","1500m"))</f>
        <v>3000mSC</v>
      </c>
      <c r="M1086" s="14" t="n">
        <f aca="false">(D1086&lt;&gt;"")*(D1086&lt;=($E$3*60+$F$3)/86400)+(F1086&lt;&gt;"")*(F1086&lt;=($I$3*60+$J$3)/86400)+(H1086&lt;&gt;"")*(H1086&lt;=($M$3*60+$N$3)/86400)</f>
        <v>0</v>
      </c>
      <c r="N1086" s="16"/>
      <c r="O1086" s="15"/>
    </row>
    <row r="1087" customFormat="false" ht="15" hidden="false" customHeight="false" outlineLevel="0" collapsed="false">
      <c r="A1087" s="9" t="n">
        <v>1081</v>
      </c>
      <c r="B1087" s="10" t="s">
        <v>1568</v>
      </c>
      <c r="C1087" s="10" t="s">
        <v>1239</v>
      </c>
      <c r="D1087" s="11"/>
      <c r="E1087" s="12"/>
      <c r="F1087" s="11" t="n">
        <v>0.00741527777777778</v>
      </c>
      <c r="G1087" s="12" t="n">
        <v>788</v>
      </c>
      <c r="H1087" s="11" t="n">
        <v>0.00283912037037037</v>
      </c>
      <c r="I1087" s="12" t="n">
        <v>489</v>
      </c>
      <c r="J1087" s="12" t="n">
        <f aca="false">COUNT(E1087,G1087,I1087)</f>
        <v>2</v>
      </c>
      <c r="K1087" s="13" t="n">
        <f aca="false">MIN(E1087,G1087,I1087)</f>
        <v>489</v>
      </c>
      <c r="L1087" s="9" t="str">
        <f aca="false">IF(E1087=K1087,"5000m",IF(G1087=K1087,"3000mSC","1500m"))</f>
        <v>1500m</v>
      </c>
      <c r="M1087" s="14" t="n">
        <f aca="false">(D1087&lt;&gt;"")*(D1087&lt;=($E$3*60+$F$3)/86400)+(F1087&lt;&gt;"")*(F1087&lt;=($I$3*60+$J$3)/86400)+(H1087&lt;&gt;"")*(H1087&lt;=($M$3*60+$N$3)/86400)</f>
        <v>0</v>
      </c>
      <c r="N1087" s="16"/>
      <c r="O1087" s="15"/>
    </row>
    <row r="1088" customFormat="false" ht="25.35" hidden="false" customHeight="false" outlineLevel="0" collapsed="false">
      <c r="A1088" s="9" t="n">
        <v>1082</v>
      </c>
      <c r="B1088" s="10" t="s">
        <v>1569</v>
      </c>
      <c r="C1088" s="10" t="s">
        <v>1570</v>
      </c>
      <c r="D1088" s="11"/>
      <c r="E1088" s="12"/>
      <c r="F1088" s="11" t="n">
        <v>0.00715034722222222</v>
      </c>
      <c r="G1088" s="12" t="n">
        <v>489</v>
      </c>
      <c r="H1088" s="11"/>
      <c r="I1088" s="12"/>
      <c r="J1088" s="12" t="n">
        <f aca="false">COUNT(E1088,G1088,I1088)</f>
        <v>1</v>
      </c>
      <c r="K1088" s="13" t="n">
        <f aca="false">MIN(E1088,G1088,I1088)</f>
        <v>489</v>
      </c>
      <c r="L1088" s="9" t="str">
        <f aca="false">IF(E1088=K1088,"5000m",IF(G1088=K1088,"3000mSC","1500m"))</f>
        <v>3000mSC</v>
      </c>
      <c r="M1088" s="14" t="n">
        <f aca="false">(D1088&lt;&gt;"")*(D1088&lt;=($E$3*60+$F$3)/86400)+(F1088&lt;&gt;"")*(F1088&lt;=($I$3*60+$J$3)/86400)+(H1088&lt;&gt;"")*(H1088&lt;=($M$3*60+$N$3)/86400)</f>
        <v>0</v>
      </c>
      <c r="N1088" s="16"/>
      <c r="O1088" s="15"/>
    </row>
    <row r="1089" customFormat="false" ht="15" hidden="false" customHeight="false" outlineLevel="0" collapsed="false">
      <c r="A1089" s="9" t="n">
        <v>1083</v>
      </c>
      <c r="B1089" s="10" t="s">
        <v>1571</v>
      </c>
      <c r="C1089" s="10" t="s">
        <v>1474</v>
      </c>
      <c r="D1089" s="11" t="n">
        <v>0.0106164351851852</v>
      </c>
      <c r="E1089" s="12" t="n">
        <v>490</v>
      </c>
      <c r="F1089" s="11" t="n">
        <v>0.00720949074074074</v>
      </c>
      <c r="G1089" s="12" t="n">
        <v>546</v>
      </c>
      <c r="H1089" s="11" t="n">
        <v>0.00291678240740741</v>
      </c>
      <c r="I1089" s="12" t="n">
        <v>1064</v>
      </c>
      <c r="J1089" s="12" t="n">
        <f aca="false">COUNT(E1089,G1089,I1089)</f>
        <v>3</v>
      </c>
      <c r="K1089" s="13" t="n">
        <f aca="false">MIN(E1089,G1089,I1089)</f>
        <v>490</v>
      </c>
      <c r="L1089" s="9" t="str">
        <f aca="false">IF(E1089=K1089,"5000m",IF(G1089=K1089,"3000mSC","1500m"))</f>
        <v>5000m</v>
      </c>
      <c r="M1089" s="14" t="n">
        <f aca="false">(D1089&lt;&gt;"")*(D1089&lt;=($E$3*60+$F$3)/86400)+(F1089&lt;&gt;"")*(F1089&lt;=($I$3*60+$J$3)/86400)+(H1089&lt;&gt;"")*(H1089&lt;=($M$3*60+$N$3)/86400)</f>
        <v>0</v>
      </c>
      <c r="N1089" s="16"/>
      <c r="O1089" s="15"/>
    </row>
    <row r="1090" customFormat="false" ht="15" hidden="false" customHeight="false" outlineLevel="0" collapsed="false">
      <c r="A1090" s="9" t="n">
        <v>1084</v>
      </c>
      <c r="B1090" s="10" t="s">
        <v>1572</v>
      </c>
      <c r="C1090" s="10" t="s">
        <v>1573</v>
      </c>
      <c r="D1090" s="11" t="n">
        <v>0.0108450231481482</v>
      </c>
      <c r="E1090" s="12" t="n">
        <v>826</v>
      </c>
      <c r="F1090" s="11"/>
      <c r="G1090" s="12"/>
      <c r="H1090" s="11" t="n">
        <v>0.00283935185185185</v>
      </c>
      <c r="I1090" s="12" t="n">
        <v>490</v>
      </c>
      <c r="J1090" s="12" t="n">
        <f aca="false">COUNT(E1090,G1090,I1090)</f>
        <v>2</v>
      </c>
      <c r="K1090" s="13" t="n">
        <f aca="false">MIN(E1090,G1090,I1090)</f>
        <v>490</v>
      </c>
      <c r="L1090" s="9" t="str">
        <f aca="false">IF(E1090=K1090,"5000m",IF(G1090=K1090,"3000mSC","1500m"))</f>
        <v>1500m</v>
      </c>
      <c r="M1090" s="14" t="n">
        <f aca="false">(D1090&lt;&gt;"")*(D1090&lt;=($E$3*60+$F$3)/86400)+(F1090&lt;&gt;"")*(F1090&lt;=($I$3*60+$J$3)/86400)+(H1090&lt;&gt;"")*(H1090&lt;=($M$3*60+$N$3)/86400)</f>
        <v>0</v>
      </c>
      <c r="N1090" s="16"/>
      <c r="O1090" s="15"/>
    </row>
    <row r="1091" customFormat="false" ht="25.35" hidden="false" customHeight="false" outlineLevel="0" collapsed="false">
      <c r="A1091" s="9" t="n">
        <v>1085</v>
      </c>
      <c r="B1091" s="10" t="s">
        <v>1574</v>
      </c>
      <c r="C1091" s="10" t="s">
        <v>1575</v>
      </c>
      <c r="D1091" s="11"/>
      <c r="E1091" s="12"/>
      <c r="F1091" s="11" t="n">
        <v>0.00715335648148148</v>
      </c>
      <c r="G1091" s="12" t="n">
        <v>490</v>
      </c>
      <c r="H1091" s="11"/>
      <c r="I1091" s="12"/>
      <c r="J1091" s="12" t="n">
        <f aca="false">COUNT(E1091,G1091,I1091)</f>
        <v>1</v>
      </c>
      <c r="K1091" s="13" t="n">
        <f aca="false">MIN(E1091,G1091,I1091)</f>
        <v>490</v>
      </c>
      <c r="L1091" s="9" t="str">
        <f aca="false">IF(E1091=K1091,"5000m",IF(G1091=K1091,"3000mSC","1500m"))</f>
        <v>3000mSC</v>
      </c>
      <c r="M1091" s="14" t="n">
        <f aca="false">(D1091&lt;&gt;"")*(D1091&lt;=($E$3*60+$F$3)/86400)+(F1091&lt;&gt;"")*(F1091&lt;=($I$3*60+$J$3)/86400)+(H1091&lt;&gt;"")*(H1091&lt;=($M$3*60+$N$3)/86400)</f>
        <v>0</v>
      </c>
      <c r="N1091" s="16"/>
      <c r="O1091" s="15"/>
    </row>
    <row r="1092" customFormat="false" ht="15" hidden="false" customHeight="false" outlineLevel="0" collapsed="false">
      <c r="A1092" s="9" t="n">
        <v>1086</v>
      </c>
      <c r="B1092" s="10" t="s">
        <v>1576</v>
      </c>
      <c r="C1092" s="10" t="s">
        <v>179</v>
      </c>
      <c r="D1092" s="11" t="n">
        <v>0.0106173611111111</v>
      </c>
      <c r="E1092" s="12" t="n">
        <v>492</v>
      </c>
      <c r="F1092" s="11"/>
      <c r="G1092" s="12"/>
      <c r="H1092" s="11" t="n">
        <v>0.00284305555555556</v>
      </c>
      <c r="I1092" s="12" t="n">
        <v>516</v>
      </c>
      <c r="J1092" s="12" t="n">
        <f aca="false">COUNT(E1092,G1092,I1092)</f>
        <v>2</v>
      </c>
      <c r="K1092" s="13" t="n">
        <f aca="false">MIN(E1092,G1092,I1092)</f>
        <v>492</v>
      </c>
      <c r="L1092" s="9" t="str">
        <f aca="false">IF(E1092=K1092,"5000m",IF(G1092=K1092,"3000mSC","1500m"))</f>
        <v>5000m</v>
      </c>
      <c r="M1092" s="14" t="n">
        <f aca="false">(D1092&lt;&gt;"")*(D1092&lt;=($E$3*60+$F$3)/86400)+(F1092&lt;&gt;"")*(F1092&lt;=($I$3*60+$J$3)/86400)+(H1092&lt;&gt;"")*(H1092&lt;=($M$3*60+$N$3)/86400)</f>
        <v>0</v>
      </c>
      <c r="N1092" s="16"/>
      <c r="O1092" s="15"/>
    </row>
    <row r="1093" customFormat="false" ht="25.35" hidden="false" customHeight="false" outlineLevel="0" collapsed="false">
      <c r="A1093" s="9" t="n">
        <v>1087</v>
      </c>
      <c r="B1093" s="10" t="s">
        <v>1577</v>
      </c>
      <c r="C1093" s="10" t="s">
        <v>1578</v>
      </c>
      <c r="D1093" s="11"/>
      <c r="E1093" s="12"/>
      <c r="F1093" s="11" t="n">
        <v>0.00715613425925926</v>
      </c>
      <c r="G1093" s="12" t="n">
        <v>492</v>
      </c>
      <c r="H1093" s="11"/>
      <c r="I1093" s="12"/>
      <c r="J1093" s="12" t="n">
        <f aca="false">COUNT(E1093,G1093,I1093)</f>
        <v>1</v>
      </c>
      <c r="K1093" s="13" t="n">
        <f aca="false">MIN(E1093,G1093,I1093)</f>
        <v>492</v>
      </c>
      <c r="L1093" s="9" t="str">
        <f aca="false">IF(E1093=K1093,"5000m",IF(G1093=K1093,"3000mSC","1500m"))</f>
        <v>3000mSC</v>
      </c>
      <c r="M1093" s="14" t="n">
        <f aca="false">(D1093&lt;&gt;"")*(D1093&lt;=($E$3*60+$F$3)/86400)+(F1093&lt;&gt;"")*(F1093&lt;=($I$3*60+$J$3)/86400)+(H1093&lt;&gt;"")*(H1093&lt;=($M$3*60+$N$3)/86400)</f>
        <v>0</v>
      </c>
      <c r="N1093" s="16"/>
      <c r="O1093" s="15"/>
    </row>
    <row r="1094" customFormat="false" ht="15" hidden="false" customHeight="false" outlineLevel="0" collapsed="false">
      <c r="A1094" s="9" t="n">
        <v>1088</v>
      </c>
      <c r="B1094" s="10" t="s">
        <v>1579</v>
      </c>
      <c r="C1094" s="10" t="s">
        <v>697</v>
      </c>
      <c r="D1094" s="11" t="n">
        <v>0.0108951388888889</v>
      </c>
      <c r="E1094" s="12" t="n">
        <v>913</v>
      </c>
      <c r="F1094" s="11"/>
      <c r="G1094" s="12"/>
      <c r="H1094" s="11" t="n">
        <v>0.00283946759259259</v>
      </c>
      <c r="I1094" s="12" t="n">
        <v>493</v>
      </c>
      <c r="J1094" s="12" t="n">
        <f aca="false">COUNT(E1094,G1094,I1094)</f>
        <v>2</v>
      </c>
      <c r="K1094" s="13" t="n">
        <f aca="false">MIN(E1094,G1094,I1094)</f>
        <v>493</v>
      </c>
      <c r="L1094" s="9" t="str">
        <f aca="false">IF(E1094=K1094,"5000m",IF(G1094=K1094,"3000mSC","1500m"))</f>
        <v>1500m</v>
      </c>
      <c r="M1094" s="14" t="n">
        <f aca="false">(D1094&lt;&gt;"")*(D1094&lt;=($E$3*60+$F$3)/86400)+(F1094&lt;&gt;"")*(F1094&lt;=($I$3*60+$J$3)/86400)+(H1094&lt;&gt;"")*(H1094&lt;=($M$3*60+$N$3)/86400)</f>
        <v>0</v>
      </c>
      <c r="N1094" s="16"/>
      <c r="O1094" s="15"/>
    </row>
    <row r="1095" customFormat="false" ht="15" hidden="false" customHeight="false" outlineLevel="0" collapsed="false">
      <c r="A1095" s="9" t="n">
        <v>1089</v>
      </c>
      <c r="B1095" s="10" t="s">
        <v>1580</v>
      </c>
      <c r="C1095" s="10" t="s">
        <v>592</v>
      </c>
      <c r="D1095" s="11" t="n">
        <v>0.0106174768518519</v>
      </c>
      <c r="E1095" s="12" t="n">
        <v>493</v>
      </c>
      <c r="F1095" s="11"/>
      <c r="G1095" s="12"/>
      <c r="H1095" s="11"/>
      <c r="I1095" s="12"/>
      <c r="J1095" s="12" t="n">
        <f aca="false">COUNT(E1095,G1095,I1095)</f>
        <v>1</v>
      </c>
      <c r="K1095" s="13" t="n">
        <f aca="false">MIN(E1095,G1095,I1095)</f>
        <v>493</v>
      </c>
      <c r="L1095" s="9" t="str">
        <f aca="false">IF(E1095=K1095,"5000m",IF(G1095=K1095,"3000mSC","1500m"))</f>
        <v>5000m</v>
      </c>
      <c r="M1095" s="14" t="n">
        <f aca="false">(D1095&lt;&gt;"")*(D1095&lt;=($E$3*60+$F$3)/86400)+(F1095&lt;&gt;"")*(F1095&lt;=($I$3*60+$J$3)/86400)+(H1095&lt;&gt;"")*(H1095&lt;=($M$3*60+$N$3)/86400)</f>
        <v>0</v>
      </c>
      <c r="N1095" s="16"/>
      <c r="O1095" s="15"/>
    </row>
    <row r="1096" customFormat="false" ht="25.35" hidden="false" customHeight="false" outlineLevel="0" collapsed="false">
      <c r="A1096" s="9" t="n">
        <v>1090</v>
      </c>
      <c r="B1096" s="10" t="s">
        <v>1581</v>
      </c>
      <c r="C1096" s="10" t="s">
        <v>1582</v>
      </c>
      <c r="D1096" s="11"/>
      <c r="E1096" s="12"/>
      <c r="F1096" s="11" t="n">
        <v>0.00715671296296296</v>
      </c>
      <c r="G1096" s="12" t="n">
        <v>493</v>
      </c>
      <c r="H1096" s="11"/>
      <c r="I1096" s="12"/>
      <c r="J1096" s="12" t="n">
        <f aca="false">COUNT(E1096,G1096,I1096)</f>
        <v>1</v>
      </c>
      <c r="K1096" s="13" t="n">
        <f aca="false">MIN(E1096,G1096,I1096)</f>
        <v>493</v>
      </c>
      <c r="L1096" s="9" t="str">
        <f aca="false">IF(E1096=K1096,"5000m",IF(G1096=K1096,"3000mSC","1500m"))</f>
        <v>3000mSC</v>
      </c>
      <c r="M1096" s="14" t="n">
        <f aca="false">(D1096&lt;&gt;"")*(D1096&lt;=($E$3*60+$F$3)/86400)+(F1096&lt;&gt;"")*(F1096&lt;=($I$3*60+$J$3)/86400)+(H1096&lt;&gt;"")*(H1096&lt;=($M$3*60+$N$3)/86400)</f>
        <v>0</v>
      </c>
      <c r="N1096" s="16"/>
      <c r="O1096" s="15"/>
    </row>
    <row r="1097" customFormat="false" ht="25.35" hidden="false" customHeight="false" outlineLevel="0" collapsed="false">
      <c r="A1097" s="9" t="n">
        <v>1091</v>
      </c>
      <c r="B1097" s="10" t="s">
        <v>1583</v>
      </c>
      <c r="C1097" s="10" t="s">
        <v>1020</v>
      </c>
      <c r="D1097" s="11" t="n">
        <v>0.0110524305555556</v>
      </c>
      <c r="E1097" s="12" t="n">
        <v>1203</v>
      </c>
      <c r="F1097" s="11" t="n">
        <v>0.00715798611111111</v>
      </c>
      <c r="G1097" s="12" t="n">
        <v>494</v>
      </c>
      <c r="H1097" s="11" t="n">
        <v>0.00292071759259259</v>
      </c>
      <c r="I1097" s="12" t="n">
        <v>1107</v>
      </c>
      <c r="J1097" s="12" t="n">
        <f aca="false">COUNT(E1097,G1097,I1097)</f>
        <v>3</v>
      </c>
      <c r="K1097" s="13" t="n">
        <f aca="false">MIN(E1097,G1097,I1097)</f>
        <v>494</v>
      </c>
      <c r="L1097" s="9" t="str">
        <f aca="false">IF(E1097=K1097,"5000m",IF(G1097=K1097,"3000mSC","1500m"))</f>
        <v>3000mSC</v>
      </c>
      <c r="M1097" s="14" t="n">
        <f aca="false">(D1097&lt;&gt;"")*(D1097&lt;=($E$3*60+$F$3)/86400)+(F1097&lt;&gt;"")*(F1097&lt;=($I$3*60+$J$3)/86400)+(H1097&lt;&gt;"")*(H1097&lt;=($M$3*60+$N$3)/86400)</f>
        <v>0</v>
      </c>
      <c r="N1097" s="16"/>
      <c r="O1097" s="15"/>
    </row>
    <row r="1098" customFormat="false" ht="15" hidden="false" customHeight="false" outlineLevel="0" collapsed="false">
      <c r="A1098" s="9" t="n">
        <v>1092</v>
      </c>
      <c r="B1098" s="10" t="s">
        <v>1584</v>
      </c>
      <c r="C1098" s="10" t="s">
        <v>43</v>
      </c>
      <c r="D1098" s="11" t="n">
        <v>0.0106181712962963</v>
      </c>
      <c r="E1098" s="12" t="n">
        <v>494</v>
      </c>
      <c r="F1098" s="11"/>
      <c r="G1098" s="12"/>
      <c r="H1098" s="11" t="n">
        <v>0.00287581018518519</v>
      </c>
      <c r="I1098" s="12" t="n">
        <v>738</v>
      </c>
      <c r="J1098" s="12" t="n">
        <f aca="false">COUNT(E1098,G1098,I1098)</f>
        <v>2</v>
      </c>
      <c r="K1098" s="13" t="n">
        <f aca="false">MIN(E1098,G1098,I1098)</f>
        <v>494</v>
      </c>
      <c r="L1098" s="9" t="str">
        <f aca="false">IF(E1098=K1098,"5000m",IF(G1098=K1098,"3000mSC","1500m"))</f>
        <v>5000m</v>
      </c>
      <c r="M1098" s="14" t="n">
        <f aca="false">(D1098&lt;&gt;"")*(D1098&lt;=($E$3*60+$F$3)/86400)+(F1098&lt;&gt;"")*(F1098&lt;=($I$3*60+$J$3)/86400)+(H1098&lt;&gt;"")*(H1098&lt;=($M$3*60+$N$3)/86400)</f>
        <v>0</v>
      </c>
      <c r="N1098" s="16"/>
      <c r="O1098" s="15"/>
    </row>
    <row r="1099" customFormat="false" ht="15" hidden="false" customHeight="false" outlineLevel="0" collapsed="false">
      <c r="A1099" s="9" t="n">
        <v>1093</v>
      </c>
      <c r="B1099" s="10" t="s">
        <v>1585</v>
      </c>
      <c r="C1099" s="10" t="s">
        <v>69</v>
      </c>
      <c r="D1099" s="11" t="n">
        <v>0.0108262731481482</v>
      </c>
      <c r="E1099" s="12" t="n">
        <v>786</v>
      </c>
      <c r="F1099" s="11"/>
      <c r="G1099" s="12"/>
      <c r="H1099" s="11" t="n">
        <v>0.00283958333333333</v>
      </c>
      <c r="I1099" s="12" t="n">
        <v>494</v>
      </c>
      <c r="J1099" s="12" t="n">
        <f aca="false">COUNT(E1099,G1099,I1099)</f>
        <v>2</v>
      </c>
      <c r="K1099" s="13" t="n">
        <f aca="false">MIN(E1099,G1099,I1099)</f>
        <v>494</v>
      </c>
      <c r="L1099" s="9" t="str">
        <f aca="false">IF(E1099=K1099,"5000m",IF(G1099=K1099,"3000mSC","1500m"))</f>
        <v>1500m</v>
      </c>
      <c r="M1099" s="14" t="n">
        <f aca="false">(D1099&lt;&gt;"")*(D1099&lt;=($E$3*60+$F$3)/86400)+(F1099&lt;&gt;"")*(F1099&lt;=($I$3*60+$J$3)/86400)+(H1099&lt;&gt;"")*(H1099&lt;=($M$3*60+$N$3)/86400)</f>
        <v>0</v>
      </c>
      <c r="N1099" s="16"/>
      <c r="O1099" s="15"/>
    </row>
    <row r="1100" customFormat="false" ht="25.35" hidden="false" customHeight="false" outlineLevel="0" collapsed="false">
      <c r="A1100" s="9" t="n">
        <v>1094</v>
      </c>
      <c r="B1100" s="10" t="s">
        <v>1586</v>
      </c>
      <c r="C1100" s="10" t="s">
        <v>279</v>
      </c>
      <c r="D1100" s="11" t="n">
        <v>0.0109165509259259</v>
      </c>
      <c r="E1100" s="12" t="n">
        <v>947</v>
      </c>
      <c r="F1100" s="11" t="n">
        <v>0.00716053240740741</v>
      </c>
      <c r="G1100" s="12" t="n">
        <v>495</v>
      </c>
      <c r="H1100" s="11" t="n">
        <v>0.00290625</v>
      </c>
      <c r="I1100" s="12" t="n">
        <v>990</v>
      </c>
      <c r="J1100" s="12" t="n">
        <f aca="false">COUNT(E1100,G1100,I1100)</f>
        <v>3</v>
      </c>
      <c r="K1100" s="13" t="n">
        <f aca="false">MIN(E1100,G1100,I1100)</f>
        <v>495</v>
      </c>
      <c r="L1100" s="9" t="str">
        <f aca="false">IF(E1100=K1100,"5000m",IF(G1100=K1100,"3000mSC","1500m"))</f>
        <v>3000mSC</v>
      </c>
      <c r="M1100" s="14" t="n">
        <f aca="false">(D1100&lt;&gt;"")*(D1100&lt;=($E$3*60+$F$3)/86400)+(F1100&lt;&gt;"")*(F1100&lt;=($I$3*60+$J$3)/86400)+(H1100&lt;&gt;"")*(H1100&lt;=($M$3*60+$N$3)/86400)</f>
        <v>0</v>
      </c>
      <c r="N1100" s="16"/>
      <c r="O1100" s="15"/>
    </row>
    <row r="1101" customFormat="false" ht="15" hidden="false" customHeight="false" outlineLevel="0" collapsed="false">
      <c r="A1101" s="9" t="n">
        <v>1095</v>
      </c>
      <c r="B1101" s="10" t="s">
        <v>1587</v>
      </c>
      <c r="C1101" s="10" t="s">
        <v>286</v>
      </c>
      <c r="D1101" s="11" t="n">
        <v>0.0110730324074074</v>
      </c>
      <c r="E1101" s="12" t="n">
        <v>1241</v>
      </c>
      <c r="F1101" s="11"/>
      <c r="G1101" s="12"/>
      <c r="H1101" s="11" t="n">
        <v>0.00283981481481482</v>
      </c>
      <c r="I1101" s="12" t="n">
        <v>495</v>
      </c>
      <c r="J1101" s="12" t="n">
        <f aca="false">COUNT(E1101,G1101,I1101)</f>
        <v>2</v>
      </c>
      <c r="K1101" s="13" t="n">
        <f aca="false">MIN(E1101,G1101,I1101)</f>
        <v>495</v>
      </c>
      <c r="L1101" s="9" t="str">
        <f aca="false">IF(E1101=K1101,"5000m",IF(G1101=K1101,"3000mSC","1500m"))</f>
        <v>1500m</v>
      </c>
      <c r="M1101" s="14" t="n">
        <f aca="false">(D1101&lt;&gt;"")*(D1101&lt;=($E$3*60+$F$3)/86400)+(F1101&lt;&gt;"")*(F1101&lt;=($I$3*60+$J$3)/86400)+(H1101&lt;&gt;"")*(H1101&lt;=($M$3*60+$N$3)/86400)</f>
        <v>0</v>
      </c>
      <c r="N1101" s="16"/>
      <c r="O1101" s="15"/>
    </row>
    <row r="1102" customFormat="false" ht="25.35" hidden="false" customHeight="false" outlineLevel="0" collapsed="false">
      <c r="A1102" s="9" t="n">
        <v>1096</v>
      </c>
      <c r="B1102" s="10" t="s">
        <v>1588</v>
      </c>
      <c r="C1102" s="10" t="s">
        <v>1589</v>
      </c>
      <c r="D1102" s="11"/>
      <c r="E1102" s="12"/>
      <c r="F1102" s="11" t="n">
        <v>0.00716053240740741</v>
      </c>
      <c r="G1102" s="12" t="n">
        <v>496</v>
      </c>
      <c r="H1102" s="11"/>
      <c r="I1102" s="12"/>
      <c r="J1102" s="12" t="n">
        <f aca="false">COUNT(E1102,G1102,I1102)</f>
        <v>1</v>
      </c>
      <c r="K1102" s="13" t="n">
        <f aca="false">MIN(E1102,G1102,I1102)</f>
        <v>496</v>
      </c>
      <c r="L1102" s="9" t="str">
        <f aca="false">IF(E1102=K1102,"5000m",IF(G1102=K1102,"3000mSC","1500m"))</f>
        <v>3000mSC</v>
      </c>
      <c r="M1102" s="14" t="n">
        <f aca="false">(D1102&lt;&gt;"")*(D1102&lt;=($E$3*60+$F$3)/86400)+(F1102&lt;&gt;"")*(F1102&lt;=($I$3*60+$J$3)/86400)+(H1102&lt;&gt;"")*(H1102&lt;=($M$3*60+$N$3)/86400)</f>
        <v>0</v>
      </c>
      <c r="N1102" s="16"/>
      <c r="O1102" s="15"/>
    </row>
    <row r="1103" customFormat="false" ht="15" hidden="false" customHeight="false" outlineLevel="0" collapsed="false">
      <c r="A1103" s="9" t="n">
        <v>1097</v>
      </c>
      <c r="B1103" s="10" t="s">
        <v>1590</v>
      </c>
      <c r="C1103" s="10" t="s">
        <v>380</v>
      </c>
      <c r="D1103" s="11" t="n">
        <v>0.0107821759259259</v>
      </c>
      <c r="E1103" s="12" t="n">
        <v>709</v>
      </c>
      <c r="F1103" s="11"/>
      <c r="G1103" s="12"/>
      <c r="H1103" s="11" t="n">
        <v>0.0028400462962963</v>
      </c>
      <c r="I1103" s="12" t="n">
        <v>497</v>
      </c>
      <c r="J1103" s="12" t="n">
        <f aca="false">COUNT(E1103,G1103,I1103)</f>
        <v>2</v>
      </c>
      <c r="K1103" s="13" t="n">
        <f aca="false">MIN(E1103,G1103,I1103)</f>
        <v>497</v>
      </c>
      <c r="L1103" s="9" t="str">
        <f aca="false">IF(E1103=K1103,"5000m",IF(G1103=K1103,"3000mSC","1500m"))</f>
        <v>1500m</v>
      </c>
      <c r="M1103" s="14" t="n">
        <f aca="false">(D1103&lt;&gt;"")*(D1103&lt;=($E$3*60+$F$3)/86400)+(F1103&lt;&gt;"")*(F1103&lt;=($I$3*60+$J$3)/86400)+(H1103&lt;&gt;"")*(H1103&lt;=($M$3*60+$N$3)/86400)</f>
        <v>0</v>
      </c>
      <c r="N1103" s="16"/>
      <c r="O1103" s="15"/>
    </row>
    <row r="1104" customFormat="false" ht="25.35" hidden="false" customHeight="false" outlineLevel="0" collapsed="false">
      <c r="A1104" s="9" t="n">
        <v>1098</v>
      </c>
      <c r="B1104" s="10" t="s">
        <v>1591</v>
      </c>
      <c r="C1104" s="10" t="s">
        <v>1381</v>
      </c>
      <c r="D1104" s="11" t="n">
        <v>0.0109320601851852</v>
      </c>
      <c r="E1104" s="12" t="n">
        <v>969</v>
      </c>
      <c r="F1104" s="11" t="n">
        <v>0.00716076388888889</v>
      </c>
      <c r="G1104" s="12" t="n">
        <v>497</v>
      </c>
      <c r="H1104" s="11"/>
      <c r="I1104" s="12"/>
      <c r="J1104" s="12" t="n">
        <f aca="false">COUNT(E1104,G1104,I1104)</f>
        <v>2</v>
      </c>
      <c r="K1104" s="13" t="n">
        <f aca="false">MIN(E1104,G1104,I1104)</f>
        <v>497</v>
      </c>
      <c r="L1104" s="9" t="str">
        <f aca="false">IF(E1104=K1104,"5000m",IF(G1104=K1104,"3000mSC","1500m"))</f>
        <v>3000mSC</v>
      </c>
      <c r="M1104" s="14" t="n">
        <f aca="false">(D1104&lt;&gt;"")*(D1104&lt;=($E$3*60+$F$3)/86400)+(F1104&lt;&gt;"")*(F1104&lt;=($I$3*60+$J$3)/86400)+(H1104&lt;&gt;"")*(H1104&lt;=($M$3*60+$N$3)/86400)</f>
        <v>0</v>
      </c>
      <c r="N1104" s="16"/>
      <c r="O1104" s="15"/>
    </row>
    <row r="1105" customFormat="false" ht="15" hidden="false" customHeight="false" outlineLevel="0" collapsed="false">
      <c r="A1105" s="9" t="n">
        <v>1099</v>
      </c>
      <c r="B1105" s="10" t="s">
        <v>1592</v>
      </c>
      <c r="C1105" s="10" t="s">
        <v>1038</v>
      </c>
      <c r="D1105" s="11" t="n">
        <v>0.0106197916666667</v>
      </c>
      <c r="E1105" s="12" t="n">
        <v>497</v>
      </c>
      <c r="F1105" s="11"/>
      <c r="G1105" s="12"/>
      <c r="H1105" s="11"/>
      <c r="I1105" s="12"/>
      <c r="J1105" s="12" t="n">
        <f aca="false">COUNT(E1105,G1105,I1105)</f>
        <v>1</v>
      </c>
      <c r="K1105" s="13" t="n">
        <f aca="false">MIN(E1105,G1105,I1105)</f>
        <v>497</v>
      </c>
      <c r="L1105" s="9" t="str">
        <f aca="false">IF(E1105=K1105,"5000m",IF(G1105=K1105,"3000mSC","1500m"))</f>
        <v>5000m</v>
      </c>
      <c r="M1105" s="14" t="n">
        <f aca="false">(D1105&lt;&gt;"")*(D1105&lt;=($E$3*60+$F$3)/86400)+(F1105&lt;&gt;"")*(F1105&lt;=($I$3*60+$J$3)/86400)+(H1105&lt;&gt;"")*(H1105&lt;=($M$3*60+$N$3)/86400)</f>
        <v>0</v>
      </c>
      <c r="N1105" s="16"/>
      <c r="O1105" s="15"/>
    </row>
    <row r="1106" customFormat="false" ht="15" hidden="false" customHeight="false" outlineLevel="0" collapsed="false">
      <c r="A1106" s="9" t="n">
        <v>1100</v>
      </c>
      <c r="B1106" s="10" t="s">
        <v>1593</v>
      </c>
      <c r="C1106" s="10" t="s">
        <v>614</v>
      </c>
      <c r="D1106" s="11" t="n">
        <v>0.0107611111111111</v>
      </c>
      <c r="E1106" s="12" t="n">
        <v>683</v>
      </c>
      <c r="F1106" s="11" t="n">
        <v>0.00724259259259259</v>
      </c>
      <c r="G1106" s="12" t="n">
        <v>588</v>
      </c>
      <c r="H1106" s="11" t="n">
        <v>0.00284027777777778</v>
      </c>
      <c r="I1106" s="12" t="n">
        <v>498</v>
      </c>
      <c r="J1106" s="12" t="n">
        <f aca="false">COUNT(E1106,G1106,I1106)</f>
        <v>3</v>
      </c>
      <c r="K1106" s="13" t="n">
        <f aca="false">MIN(E1106,G1106,I1106)</f>
        <v>498</v>
      </c>
      <c r="L1106" s="9" t="str">
        <f aca="false">IF(E1106=K1106,"5000m",IF(G1106=K1106,"3000mSC","1500m"))</f>
        <v>1500m</v>
      </c>
      <c r="M1106" s="14" t="n">
        <f aca="false">(D1106&lt;&gt;"")*(D1106&lt;=($E$3*60+$F$3)/86400)+(F1106&lt;&gt;"")*(F1106&lt;=($I$3*60+$J$3)/86400)+(H1106&lt;&gt;"")*(H1106&lt;=($M$3*60+$N$3)/86400)</f>
        <v>0</v>
      </c>
      <c r="N1106" s="16"/>
      <c r="O1106" s="15"/>
    </row>
    <row r="1107" customFormat="false" ht="25.35" hidden="false" customHeight="false" outlineLevel="0" collapsed="false">
      <c r="A1107" s="9" t="n">
        <v>1101</v>
      </c>
      <c r="B1107" s="10" t="s">
        <v>1594</v>
      </c>
      <c r="C1107" s="10" t="s">
        <v>1595</v>
      </c>
      <c r="D1107" s="11"/>
      <c r="E1107" s="12"/>
      <c r="F1107" s="11" t="n">
        <v>0.0071630787037037</v>
      </c>
      <c r="G1107" s="12" t="n">
        <v>498</v>
      </c>
      <c r="H1107" s="11"/>
      <c r="I1107" s="12"/>
      <c r="J1107" s="12" t="n">
        <f aca="false">COUNT(E1107,G1107,I1107)</f>
        <v>1</v>
      </c>
      <c r="K1107" s="13" t="n">
        <f aca="false">MIN(E1107,G1107,I1107)</f>
        <v>498</v>
      </c>
      <c r="L1107" s="9" t="str">
        <f aca="false">IF(E1107=K1107,"5000m",IF(G1107=K1107,"3000mSC","1500m"))</f>
        <v>3000mSC</v>
      </c>
      <c r="M1107" s="14" t="n">
        <f aca="false">(D1107&lt;&gt;"")*(D1107&lt;=($E$3*60+$F$3)/86400)+(F1107&lt;&gt;"")*(F1107&lt;=($I$3*60+$J$3)/86400)+(H1107&lt;&gt;"")*(H1107&lt;=($M$3*60+$N$3)/86400)</f>
        <v>0</v>
      </c>
      <c r="N1107" s="16"/>
      <c r="O1107" s="15"/>
    </row>
    <row r="1108" customFormat="false" ht="15" hidden="false" customHeight="false" outlineLevel="0" collapsed="false">
      <c r="A1108" s="9" t="n">
        <v>1102</v>
      </c>
      <c r="B1108" s="10" t="s">
        <v>1596</v>
      </c>
      <c r="C1108" s="10" t="s">
        <v>1413</v>
      </c>
      <c r="D1108" s="11" t="n">
        <v>0.010752662037037</v>
      </c>
      <c r="E1108" s="12" t="n">
        <v>671</v>
      </c>
      <c r="F1108" s="11"/>
      <c r="G1108" s="12"/>
      <c r="H1108" s="11" t="n">
        <v>0.00284027777777778</v>
      </c>
      <c r="I1108" s="12" t="n">
        <v>499</v>
      </c>
      <c r="J1108" s="12" t="n">
        <f aca="false">COUNT(E1108,G1108,I1108)</f>
        <v>2</v>
      </c>
      <c r="K1108" s="13" t="n">
        <f aca="false">MIN(E1108,G1108,I1108)</f>
        <v>499</v>
      </c>
      <c r="L1108" s="9" t="str">
        <f aca="false">IF(E1108=K1108,"5000m",IF(G1108=K1108,"3000mSC","1500m"))</f>
        <v>1500m</v>
      </c>
      <c r="M1108" s="14" t="n">
        <f aca="false">(D1108&lt;&gt;"")*(D1108&lt;=($E$3*60+$F$3)/86400)+(F1108&lt;&gt;"")*(F1108&lt;=($I$3*60+$J$3)/86400)+(H1108&lt;&gt;"")*(H1108&lt;=($M$3*60+$N$3)/86400)</f>
        <v>0</v>
      </c>
      <c r="N1108" s="16"/>
      <c r="O1108" s="15"/>
    </row>
    <row r="1109" customFormat="false" ht="15" hidden="false" customHeight="false" outlineLevel="0" collapsed="false">
      <c r="A1109" s="9" t="n">
        <v>1103</v>
      </c>
      <c r="B1109" s="10" t="s">
        <v>1597</v>
      </c>
      <c r="C1109" s="10" t="s">
        <v>397</v>
      </c>
      <c r="D1109" s="11" t="n">
        <v>0.010621412037037</v>
      </c>
      <c r="E1109" s="12" t="n">
        <v>499</v>
      </c>
      <c r="F1109" s="11"/>
      <c r="G1109" s="12"/>
      <c r="H1109" s="11"/>
      <c r="I1109" s="12"/>
      <c r="J1109" s="12" t="n">
        <f aca="false">COUNT(E1109,G1109,I1109)</f>
        <v>1</v>
      </c>
      <c r="K1109" s="13" t="n">
        <f aca="false">MIN(E1109,G1109,I1109)</f>
        <v>499</v>
      </c>
      <c r="L1109" s="9" t="str">
        <f aca="false">IF(E1109=K1109,"5000m",IF(G1109=K1109,"3000mSC","1500m"))</f>
        <v>5000m</v>
      </c>
      <c r="M1109" s="14" t="n">
        <f aca="false">(D1109&lt;&gt;"")*(D1109&lt;=($E$3*60+$F$3)/86400)+(F1109&lt;&gt;"")*(F1109&lt;=($I$3*60+$J$3)/86400)+(H1109&lt;&gt;"")*(H1109&lt;=($M$3*60+$N$3)/86400)</f>
        <v>0</v>
      </c>
      <c r="N1109" s="16"/>
      <c r="O1109" s="15"/>
    </row>
    <row r="1110" customFormat="false" ht="25.35" hidden="false" customHeight="false" outlineLevel="0" collapsed="false">
      <c r="A1110" s="9" t="n">
        <v>1104</v>
      </c>
      <c r="B1110" s="10" t="s">
        <v>1598</v>
      </c>
      <c r="C1110" s="10" t="s">
        <v>1599</v>
      </c>
      <c r="D1110" s="11"/>
      <c r="E1110" s="12"/>
      <c r="F1110" s="11" t="n">
        <v>0.00716331018518519</v>
      </c>
      <c r="G1110" s="12" t="n">
        <v>499</v>
      </c>
      <c r="H1110" s="11"/>
      <c r="I1110" s="12"/>
      <c r="J1110" s="12" t="n">
        <f aca="false">COUNT(E1110,G1110,I1110)</f>
        <v>1</v>
      </c>
      <c r="K1110" s="13" t="n">
        <f aca="false">MIN(E1110,G1110,I1110)</f>
        <v>499</v>
      </c>
      <c r="L1110" s="9" t="str">
        <f aca="false">IF(E1110=K1110,"5000m",IF(G1110=K1110,"3000mSC","1500m"))</f>
        <v>3000mSC</v>
      </c>
      <c r="M1110" s="14" t="n">
        <f aca="false">(D1110&lt;&gt;"")*(D1110&lt;=($E$3*60+$F$3)/86400)+(F1110&lt;&gt;"")*(F1110&lt;=($I$3*60+$J$3)/86400)+(H1110&lt;&gt;"")*(H1110&lt;=($M$3*60+$N$3)/86400)</f>
        <v>0</v>
      </c>
      <c r="N1110" s="16"/>
      <c r="O1110" s="15"/>
    </row>
    <row r="1111" customFormat="false" ht="15" hidden="false" customHeight="false" outlineLevel="0" collapsed="false">
      <c r="A1111" s="9" t="n">
        <v>1105</v>
      </c>
      <c r="B1111" s="10" t="s">
        <v>1600</v>
      </c>
      <c r="C1111" s="10" t="s">
        <v>36</v>
      </c>
      <c r="D1111" s="11" t="n">
        <v>0.0108827546296296</v>
      </c>
      <c r="E1111" s="12" t="n">
        <v>894</v>
      </c>
      <c r="F1111" s="11"/>
      <c r="G1111" s="12"/>
      <c r="H1111" s="11" t="n">
        <v>0.00284027777777778</v>
      </c>
      <c r="I1111" s="12" t="n">
        <v>500</v>
      </c>
      <c r="J1111" s="12" t="n">
        <f aca="false">COUNT(E1111,G1111,I1111)</f>
        <v>2</v>
      </c>
      <c r="K1111" s="13" t="n">
        <f aca="false">MIN(E1111,G1111,I1111)</f>
        <v>500</v>
      </c>
      <c r="L1111" s="9" t="str">
        <f aca="false">IF(E1111=K1111,"5000m",IF(G1111=K1111,"3000mSC","1500m"))</f>
        <v>1500m</v>
      </c>
      <c r="M1111" s="14" t="n">
        <f aca="false">(D1111&lt;&gt;"")*(D1111&lt;=($E$3*60+$F$3)/86400)+(F1111&lt;&gt;"")*(F1111&lt;=($I$3*60+$J$3)/86400)+(H1111&lt;&gt;"")*(H1111&lt;=($M$3*60+$N$3)/86400)</f>
        <v>0</v>
      </c>
      <c r="N1111" s="16"/>
      <c r="O1111" s="15"/>
    </row>
    <row r="1112" customFormat="false" ht="15" hidden="false" customHeight="false" outlineLevel="0" collapsed="false">
      <c r="A1112" s="9" t="n">
        <v>1106</v>
      </c>
      <c r="B1112" s="10" t="s">
        <v>1601</v>
      </c>
      <c r="C1112" s="10" t="s">
        <v>1602</v>
      </c>
      <c r="D1112" s="11" t="n">
        <v>0.0106226851851852</v>
      </c>
      <c r="E1112" s="12" t="n">
        <v>500</v>
      </c>
      <c r="F1112" s="11"/>
      <c r="G1112" s="12"/>
      <c r="H1112" s="11"/>
      <c r="I1112" s="12"/>
      <c r="J1112" s="12" t="n">
        <f aca="false">COUNT(E1112,G1112,I1112)</f>
        <v>1</v>
      </c>
      <c r="K1112" s="13" t="n">
        <f aca="false">MIN(E1112,G1112,I1112)</f>
        <v>500</v>
      </c>
      <c r="L1112" s="9" t="str">
        <f aca="false">IF(E1112=K1112,"5000m",IF(G1112=K1112,"3000mSC","1500m"))</f>
        <v>5000m</v>
      </c>
      <c r="M1112" s="14" t="n">
        <f aca="false">(D1112&lt;&gt;"")*(D1112&lt;=($E$3*60+$F$3)/86400)+(F1112&lt;&gt;"")*(F1112&lt;=($I$3*60+$J$3)/86400)+(H1112&lt;&gt;"")*(H1112&lt;=($M$3*60+$N$3)/86400)</f>
        <v>0</v>
      </c>
      <c r="N1112" s="16"/>
      <c r="O1112" s="15"/>
    </row>
    <row r="1113" customFormat="false" ht="25.35" hidden="false" customHeight="false" outlineLevel="0" collapsed="false">
      <c r="A1113" s="9" t="n">
        <v>1107</v>
      </c>
      <c r="B1113" s="10" t="s">
        <v>1603</v>
      </c>
      <c r="C1113" s="10" t="s">
        <v>1604</v>
      </c>
      <c r="D1113" s="11"/>
      <c r="E1113" s="12"/>
      <c r="F1113" s="11" t="n">
        <v>0.00716354166666667</v>
      </c>
      <c r="G1113" s="12" t="n">
        <v>500</v>
      </c>
      <c r="H1113" s="11"/>
      <c r="I1113" s="12"/>
      <c r="J1113" s="12" t="n">
        <f aca="false">COUNT(E1113,G1113,I1113)</f>
        <v>1</v>
      </c>
      <c r="K1113" s="13" t="n">
        <f aca="false">MIN(E1113,G1113,I1113)</f>
        <v>500</v>
      </c>
      <c r="L1113" s="9" t="str">
        <f aca="false">IF(E1113=K1113,"5000m",IF(G1113=K1113,"3000mSC","1500m"))</f>
        <v>3000mSC</v>
      </c>
      <c r="M1113" s="14" t="n">
        <f aca="false">(D1113&lt;&gt;"")*(D1113&lt;=($E$3*60+$F$3)/86400)+(F1113&lt;&gt;"")*(F1113&lt;=($I$3*60+$J$3)/86400)+(H1113&lt;&gt;"")*(H1113&lt;=($M$3*60+$N$3)/86400)</f>
        <v>0</v>
      </c>
      <c r="N1113" s="16"/>
      <c r="O1113" s="15"/>
    </row>
    <row r="1114" customFormat="false" ht="15" hidden="false" customHeight="false" outlineLevel="0" collapsed="false">
      <c r="A1114" s="9" t="n">
        <v>1108</v>
      </c>
      <c r="B1114" s="10" t="s">
        <v>1605</v>
      </c>
      <c r="C1114" s="10" t="s">
        <v>688</v>
      </c>
      <c r="D1114" s="11" t="n">
        <v>0.0106230324074074</v>
      </c>
      <c r="E1114" s="12" t="n">
        <v>501</v>
      </c>
      <c r="F1114" s="11"/>
      <c r="G1114" s="12"/>
      <c r="H1114" s="11" t="n">
        <v>0.00297962962962963</v>
      </c>
      <c r="I1114" s="12" t="n">
        <v>1351</v>
      </c>
      <c r="J1114" s="12" t="n">
        <f aca="false">COUNT(E1114,G1114,I1114)</f>
        <v>2</v>
      </c>
      <c r="K1114" s="13" t="n">
        <f aca="false">MIN(E1114,G1114,I1114)</f>
        <v>501</v>
      </c>
      <c r="L1114" s="9" t="str">
        <f aca="false">IF(E1114=K1114,"5000m",IF(G1114=K1114,"3000mSC","1500m"))</f>
        <v>5000m</v>
      </c>
      <c r="M1114" s="14" t="n">
        <f aca="false">(D1114&lt;&gt;"")*(D1114&lt;=($E$3*60+$F$3)/86400)+(F1114&lt;&gt;"")*(F1114&lt;=($I$3*60+$J$3)/86400)+(H1114&lt;&gt;"")*(H1114&lt;=($M$3*60+$N$3)/86400)</f>
        <v>0</v>
      </c>
      <c r="N1114" s="16"/>
      <c r="O1114" s="15"/>
    </row>
    <row r="1115" customFormat="false" ht="25.35" hidden="false" customHeight="false" outlineLevel="0" collapsed="false">
      <c r="A1115" s="9" t="n">
        <v>1109</v>
      </c>
      <c r="B1115" s="10" t="s">
        <v>1606</v>
      </c>
      <c r="C1115" s="10" t="s">
        <v>139</v>
      </c>
      <c r="D1115" s="11"/>
      <c r="E1115" s="12"/>
      <c r="F1115" s="11" t="n">
        <v>0.00716458333333333</v>
      </c>
      <c r="G1115" s="12" t="n">
        <v>501</v>
      </c>
      <c r="H1115" s="11"/>
      <c r="I1115" s="12"/>
      <c r="J1115" s="12" t="n">
        <f aca="false">COUNT(E1115,G1115,I1115)</f>
        <v>1</v>
      </c>
      <c r="K1115" s="13" t="n">
        <f aca="false">MIN(E1115,G1115,I1115)</f>
        <v>501</v>
      </c>
      <c r="L1115" s="9" t="str">
        <f aca="false">IF(E1115=K1115,"5000m",IF(G1115=K1115,"3000mSC","1500m"))</f>
        <v>3000mSC</v>
      </c>
      <c r="M1115" s="14" t="n">
        <f aca="false">(D1115&lt;&gt;"")*(D1115&lt;=($E$3*60+$F$3)/86400)+(F1115&lt;&gt;"")*(F1115&lt;=($I$3*60+$J$3)/86400)+(H1115&lt;&gt;"")*(H1115&lt;=($M$3*60+$N$3)/86400)</f>
        <v>0</v>
      </c>
      <c r="N1115" s="16"/>
      <c r="O1115" s="15"/>
    </row>
    <row r="1116" customFormat="false" ht="25.35" hidden="false" customHeight="false" outlineLevel="0" collapsed="false">
      <c r="A1116" s="9" t="n">
        <v>1110</v>
      </c>
      <c r="B1116" s="10" t="s">
        <v>1607</v>
      </c>
      <c r="C1116" s="10" t="s">
        <v>1608</v>
      </c>
      <c r="D1116" s="11"/>
      <c r="E1116" s="12"/>
      <c r="F1116" s="11" t="n">
        <v>0.00716724537037037</v>
      </c>
      <c r="G1116" s="12" t="n">
        <v>502</v>
      </c>
      <c r="H1116" s="11"/>
      <c r="I1116" s="12"/>
      <c r="J1116" s="12" t="n">
        <f aca="false">COUNT(E1116,G1116,I1116)</f>
        <v>1</v>
      </c>
      <c r="K1116" s="13" t="n">
        <f aca="false">MIN(E1116,G1116,I1116)</f>
        <v>502</v>
      </c>
      <c r="L1116" s="9" t="str">
        <f aca="false">IF(E1116=K1116,"5000m",IF(G1116=K1116,"3000mSC","1500m"))</f>
        <v>3000mSC</v>
      </c>
      <c r="M1116" s="14" t="n">
        <f aca="false">(D1116&lt;&gt;"")*(D1116&lt;=($E$3*60+$F$3)/86400)+(F1116&lt;&gt;"")*(F1116&lt;=($I$3*60+$J$3)/86400)+(H1116&lt;&gt;"")*(H1116&lt;=($M$3*60+$N$3)/86400)</f>
        <v>0</v>
      </c>
      <c r="N1116" s="16"/>
      <c r="O1116" s="15"/>
    </row>
    <row r="1117" customFormat="false" ht="15" hidden="false" customHeight="false" outlineLevel="0" collapsed="false">
      <c r="A1117" s="9" t="n">
        <v>1111</v>
      </c>
      <c r="B1117" s="10" t="s">
        <v>1609</v>
      </c>
      <c r="C1117" s="10" t="s">
        <v>471</v>
      </c>
      <c r="D1117" s="11" t="n">
        <v>0.0106248842592593</v>
      </c>
      <c r="E1117" s="12" t="n">
        <v>503</v>
      </c>
      <c r="F1117" s="11"/>
      <c r="G1117" s="12"/>
      <c r="H1117" s="11" t="n">
        <v>0.00290821759259259</v>
      </c>
      <c r="I1117" s="12" t="n">
        <v>1003</v>
      </c>
      <c r="J1117" s="12" t="n">
        <f aca="false">COUNT(E1117,G1117,I1117)</f>
        <v>2</v>
      </c>
      <c r="K1117" s="13" t="n">
        <f aca="false">MIN(E1117,G1117,I1117)</f>
        <v>503</v>
      </c>
      <c r="L1117" s="9" t="str">
        <f aca="false">IF(E1117=K1117,"5000m",IF(G1117=K1117,"3000mSC","1500m"))</f>
        <v>5000m</v>
      </c>
      <c r="M1117" s="14" t="n">
        <f aca="false">(D1117&lt;&gt;"")*(D1117&lt;=($E$3*60+$F$3)/86400)+(F1117&lt;&gt;"")*(F1117&lt;=($I$3*60+$J$3)/86400)+(H1117&lt;&gt;"")*(H1117&lt;=($M$3*60+$N$3)/86400)</f>
        <v>0</v>
      </c>
      <c r="N1117" s="16"/>
      <c r="O1117" s="15"/>
    </row>
    <row r="1118" customFormat="false" ht="25.35" hidden="false" customHeight="false" outlineLevel="0" collapsed="false">
      <c r="A1118" s="9" t="n">
        <v>1112</v>
      </c>
      <c r="B1118" s="10" t="s">
        <v>1610</v>
      </c>
      <c r="C1118" s="10" t="s">
        <v>1611</v>
      </c>
      <c r="D1118" s="11"/>
      <c r="E1118" s="12"/>
      <c r="F1118" s="11" t="n">
        <v>0.00716736111111111</v>
      </c>
      <c r="G1118" s="12" t="n">
        <v>503</v>
      </c>
      <c r="H1118" s="11"/>
      <c r="I1118" s="12"/>
      <c r="J1118" s="12" t="n">
        <f aca="false">COUNT(E1118,G1118,I1118)</f>
        <v>1</v>
      </c>
      <c r="K1118" s="13" t="n">
        <f aca="false">MIN(E1118,G1118,I1118)</f>
        <v>503</v>
      </c>
      <c r="L1118" s="9" t="str">
        <f aca="false">IF(E1118=K1118,"5000m",IF(G1118=K1118,"3000mSC","1500m"))</f>
        <v>3000mSC</v>
      </c>
      <c r="M1118" s="14" t="n">
        <f aca="false">(D1118&lt;&gt;"")*(D1118&lt;=($E$3*60+$F$3)/86400)+(F1118&lt;&gt;"")*(F1118&lt;=($I$3*60+$J$3)/86400)+(H1118&lt;&gt;"")*(H1118&lt;=($M$3*60+$N$3)/86400)</f>
        <v>0</v>
      </c>
      <c r="N1118" s="16"/>
      <c r="O1118" s="15"/>
    </row>
    <row r="1119" customFormat="false" ht="15" hidden="false" customHeight="false" outlineLevel="0" collapsed="false">
      <c r="A1119" s="9" t="n">
        <v>1113</v>
      </c>
      <c r="B1119" s="10" t="s">
        <v>1612</v>
      </c>
      <c r="C1119" s="10" t="s">
        <v>126</v>
      </c>
      <c r="D1119" s="11" t="n">
        <v>0.0108868055555556</v>
      </c>
      <c r="E1119" s="12" t="n">
        <v>902</v>
      </c>
      <c r="F1119" s="11"/>
      <c r="G1119" s="12"/>
      <c r="H1119" s="11" t="n">
        <v>0.00284085648148148</v>
      </c>
      <c r="I1119" s="12" t="n">
        <v>504</v>
      </c>
      <c r="J1119" s="12" t="n">
        <f aca="false">COUNT(E1119,G1119,I1119)</f>
        <v>2</v>
      </c>
      <c r="K1119" s="13" t="n">
        <f aca="false">MIN(E1119,G1119,I1119)</f>
        <v>504</v>
      </c>
      <c r="L1119" s="9" t="str">
        <f aca="false">IF(E1119=K1119,"5000m",IF(G1119=K1119,"3000mSC","1500m"))</f>
        <v>1500m</v>
      </c>
      <c r="M1119" s="14" t="n">
        <f aca="false">(D1119&lt;&gt;"")*(D1119&lt;=($E$3*60+$F$3)/86400)+(F1119&lt;&gt;"")*(F1119&lt;=($I$3*60+$J$3)/86400)+(H1119&lt;&gt;"")*(H1119&lt;=($M$3*60+$N$3)/86400)</f>
        <v>0</v>
      </c>
      <c r="N1119" s="16"/>
      <c r="O1119" s="15"/>
    </row>
    <row r="1120" customFormat="false" ht="25.35" hidden="false" customHeight="false" outlineLevel="0" collapsed="false">
      <c r="A1120" s="9" t="n">
        <v>1114</v>
      </c>
      <c r="B1120" s="10" t="s">
        <v>1613</v>
      </c>
      <c r="C1120" s="10" t="s">
        <v>1614</v>
      </c>
      <c r="D1120" s="11"/>
      <c r="E1120" s="12"/>
      <c r="F1120" s="11" t="n">
        <v>0.00716782407407407</v>
      </c>
      <c r="G1120" s="12" t="n">
        <v>504</v>
      </c>
      <c r="H1120" s="11"/>
      <c r="I1120" s="12"/>
      <c r="J1120" s="12" t="n">
        <f aca="false">COUNT(E1120,G1120,I1120)</f>
        <v>1</v>
      </c>
      <c r="K1120" s="13" t="n">
        <f aca="false">MIN(E1120,G1120,I1120)</f>
        <v>504</v>
      </c>
      <c r="L1120" s="9" t="str">
        <f aca="false">IF(E1120=K1120,"5000m",IF(G1120=K1120,"3000mSC","1500m"))</f>
        <v>3000mSC</v>
      </c>
      <c r="M1120" s="14" t="n">
        <f aca="false">(D1120&lt;&gt;"")*(D1120&lt;=($E$3*60+$F$3)/86400)+(F1120&lt;&gt;"")*(F1120&lt;=($I$3*60+$J$3)/86400)+(H1120&lt;&gt;"")*(H1120&lt;=($M$3*60+$N$3)/86400)</f>
        <v>0</v>
      </c>
      <c r="N1120" s="16"/>
      <c r="O1120" s="15"/>
    </row>
    <row r="1121" customFormat="false" ht="25.35" hidden="false" customHeight="false" outlineLevel="0" collapsed="false">
      <c r="A1121" s="9" t="n">
        <v>1115</v>
      </c>
      <c r="B1121" s="10" t="s">
        <v>1615</v>
      </c>
      <c r="C1121" s="10" t="s">
        <v>1616</v>
      </c>
      <c r="D1121" s="11"/>
      <c r="E1121" s="12"/>
      <c r="F1121" s="11" t="n">
        <v>0.00716782407407407</v>
      </c>
      <c r="G1121" s="12" t="n">
        <v>505</v>
      </c>
      <c r="H1121" s="11"/>
      <c r="I1121" s="12"/>
      <c r="J1121" s="12" t="n">
        <f aca="false">COUNT(E1121,G1121,I1121)</f>
        <v>1</v>
      </c>
      <c r="K1121" s="13" t="n">
        <f aca="false">MIN(E1121,G1121,I1121)</f>
        <v>505</v>
      </c>
      <c r="L1121" s="9" t="str">
        <f aca="false">IF(E1121=K1121,"5000m",IF(G1121=K1121,"3000mSC","1500m"))</f>
        <v>3000mSC</v>
      </c>
      <c r="M1121" s="14" t="n">
        <f aca="false">(D1121&lt;&gt;"")*(D1121&lt;=($E$3*60+$F$3)/86400)+(F1121&lt;&gt;"")*(F1121&lt;=($I$3*60+$J$3)/86400)+(H1121&lt;&gt;"")*(H1121&lt;=($M$3*60+$N$3)/86400)</f>
        <v>0</v>
      </c>
      <c r="N1121" s="16"/>
      <c r="O1121" s="15"/>
    </row>
    <row r="1122" customFormat="false" ht="25.35" hidden="false" customHeight="false" outlineLevel="0" collapsed="false">
      <c r="A1122" s="9" t="n">
        <v>1116</v>
      </c>
      <c r="B1122" s="10" t="s">
        <v>1617</v>
      </c>
      <c r="C1122" s="10" t="s">
        <v>1618</v>
      </c>
      <c r="D1122" s="11"/>
      <c r="E1122" s="12"/>
      <c r="F1122" s="11" t="n">
        <v>0.00716886574074074</v>
      </c>
      <c r="G1122" s="12" t="n">
        <v>506</v>
      </c>
      <c r="H1122" s="11"/>
      <c r="I1122" s="12"/>
      <c r="J1122" s="12" t="n">
        <f aca="false">COUNT(E1122,G1122,I1122)</f>
        <v>1</v>
      </c>
      <c r="K1122" s="13" t="n">
        <f aca="false">MIN(E1122,G1122,I1122)</f>
        <v>506</v>
      </c>
      <c r="L1122" s="9" t="str">
        <f aca="false">IF(E1122=K1122,"5000m",IF(G1122=K1122,"3000mSC","1500m"))</f>
        <v>3000mSC</v>
      </c>
      <c r="M1122" s="14" t="n">
        <f aca="false">(D1122&lt;&gt;"")*(D1122&lt;=($E$3*60+$F$3)/86400)+(F1122&lt;&gt;"")*(F1122&lt;=($I$3*60+$J$3)/86400)+(H1122&lt;&gt;"")*(H1122&lt;=($M$3*60+$N$3)/86400)</f>
        <v>0</v>
      </c>
      <c r="N1122" s="16"/>
      <c r="O1122" s="15"/>
    </row>
    <row r="1123" customFormat="false" ht="15" hidden="false" customHeight="false" outlineLevel="0" collapsed="false">
      <c r="A1123" s="9" t="n">
        <v>1117</v>
      </c>
      <c r="B1123" s="10" t="s">
        <v>1619</v>
      </c>
      <c r="C1123" s="10" t="s">
        <v>915</v>
      </c>
      <c r="D1123" s="11" t="n">
        <v>0.0106331018518519</v>
      </c>
      <c r="E1123" s="12" t="n">
        <v>507</v>
      </c>
      <c r="F1123" s="11"/>
      <c r="G1123" s="12"/>
      <c r="H1123" s="11" t="n">
        <v>0.00285717592592593</v>
      </c>
      <c r="I1123" s="12" t="n">
        <v>616</v>
      </c>
      <c r="J1123" s="12" t="n">
        <f aca="false">COUNT(E1123,G1123,I1123)</f>
        <v>2</v>
      </c>
      <c r="K1123" s="13" t="n">
        <f aca="false">MIN(E1123,G1123,I1123)</f>
        <v>507</v>
      </c>
      <c r="L1123" s="9" t="str">
        <f aca="false">IF(E1123=K1123,"5000m",IF(G1123=K1123,"3000mSC","1500m"))</f>
        <v>5000m</v>
      </c>
      <c r="M1123" s="14" t="n">
        <f aca="false">(D1123&lt;&gt;"")*(D1123&lt;=($E$3*60+$F$3)/86400)+(F1123&lt;&gt;"")*(F1123&lt;=($I$3*60+$J$3)/86400)+(H1123&lt;&gt;"")*(H1123&lt;=($M$3*60+$N$3)/86400)</f>
        <v>0</v>
      </c>
      <c r="N1123" s="16"/>
      <c r="O1123" s="15"/>
    </row>
    <row r="1124" customFormat="false" ht="15" hidden="false" customHeight="false" outlineLevel="0" collapsed="false">
      <c r="A1124" s="9" t="n">
        <v>1118</v>
      </c>
      <c r="B1124" s="10" t="s">
        <v>1620</v>
      </c>
      <c r="C1124" s="10" t="s">
        <v>1621</v>
      </c>
      <c r="D1124" s="11" t="n">
        <v>0.0109864583333333</v>
      </c>
      <c r="E1124" s="12" t="n">
        <v>1072</v>
      </c>
      <c r="F1124" s="11"/>
      <c r="G1124" s="12"/>
      <c r="H1124" s="11" t="n">
        <v>0.00284097222222222</v>
      </c>
      <c r="I1124" s="12" t="n">
        <v>507</v>
      </c>
      <c r="J1124" s="12" t="n">
        <f aca="false">COUNT(E1124,G1124,I1124)</f>
        <v>2</v>
      </c>
      <c r="K1124" s="13" t="n">
        <f aca="false">MIN(E1124,G1124,I1124)</f>
        <v>507</v>
      </c>
      <c r="L1124" s="9" t="str">
        <f aca="false">IF(E1124=K1124,"5000m",IF(G1124=K1124,"3000mSC","1500m"))</f>
        <v>1500m</v>
      </c>
      <c r="M1124" s="14" t="n">
        <f aca="false">(D1124&lt;&gt;"")*(D1124&lt;=($E$3*60+$F$3)/86400)+(F1124&lt;&gt;"")*(F1124&lt;=($I$3*60+$J$3)/86400)+(H1124&lt;&gt;"")*(H1124&lt;=($M$3*60+$N$3)/86400)</f>
        <v>0</v>
      </c>
      <c r="N1124" s="16"/>
      <c r="O1124" s="15"/>
    </row>
    <row r="1125" customFormat="false" ht="25.35" hidden="false" customHeight="false" outlineLevel="0" collapsed="false">
      <c r="A1125" s="9" t="n">
        <v>1119</v>
      </c>
      <c r="B1125" s="10" t="s">
        <v>1622</v>
      </c>
      <c r="C1125" s="10" t="s">
        <v>112</v>
      </c>
      <c r="D1125" s="11"/>
      <c r="E1125" s="12"/>
      <c r="F1125" s="11" t="n">
        <v>0.00716898148148148</v>
      </c>
      <c r="G1125" s="12" t="n">
        <v>507</v>
      </c>
      <c r="H1125" s="11"/>
      <c r="I1125" s="12"/>
      <c r="J1125" s="12" t="n">
        <f aca="false">COUNT(E1125,G1125,I1125)</f>
        <v>1</v>
      </c>
      <c r="K1125" s="13" t="n">
        <f aca="false">MIN(E1125,G1125,I1125)</f>
        <v>507</v>
      </c>
      <c r="L1125" s="9" t="str">
        <f aca="false">IF(E1125=K1125,"5000m",IF(G1125=K1125,"3000mSC","1500m"))</f>
        <v>3000mSC</v>
      </c>
      <c r="M1125" s="14" t="n">
        <f aca="false">(D1125&lt;&gt;"")*(D1125&lt;=($E$3*60+$F$3)/86400)+(F1125&lt;&gt;"")*(F1125&lt;=($I$3*60+$J$3)/86400)+(H1125&lt;&gt;"")*(H1125&lt;=($M$3*60+$N$3)/86400)</f>
        <v>0</v>
      </c>
      <c r="N1125" s="16"/>
      <c r="O1125" s="15"/>
    </row>
    <row r="1126" customFormat="false" ht="15" hidden="false" customHeight="false" outlineLevel="0" collapsed="false">
      <c r="A1126" s="9" t="n">
        <v>1120</v>
      </c>
      <c r="B1126" s="10" t="s">
        <v>1623</v>
      </c>
      <c r="C1126" s="10" t="s">
        <v>338</v>
      </c>
      <c r="D1126" s="11" t="n">
        <v>0.0106396990740741</v>
      </c>
      <c r="E1126" s="12" t="n">
        <v>508</v>
      </c>
      <c r="F1126" s="11"/>
      <c r="G1126" s="12"/>
      <c r="H1126" s="11" t="n">
        <v>0.00288888888888889</v>
      </c>
      <c r="I1126" s="12" t="n">
        <v>854</v>
      </c>
      <c r="J1126" s="12" t="n">
        <f aca="false">COUNT(E1126,G1126,I1126)</f>
        <v>2</v>
      </c>
      <c r="K1126" s="13" t="n">
        <f aca="false">MIN(E1126,G1126,I1126)</f>
        <v>508</v>
      </c>
      <c r="L1126" s="9" t="str">
        <f aca="false">IF(E1126=K1126,"5000m",IF(G1126=K1126,"3000mSC","1500m"))</f>
        <v>5000m</v>
      </c>
      <c r="M1126" s="14" t="n">
        <f aca="false">(D1126&lt;&gt;"")*(D1126&lt;=($E$3*60+$F$3)/86400)+(F1126&lt;&gt;"")*(F1126&lt;=($I$3*60+$J$3)/86400)+(H1126&lt;&gt;"")*(H1126&lt;=($M$3*60+$N$3)/86400)</f>
        <v>0</v>
      </c>
      <c r="N1126" s="16"/>
      <c r="O1126" s="15"/>
    </row>
    <row r="1127" customFormat="false" ht="15" hidden="false" customHeight="false" outlineLevel="0" collapsed="false">
      <c r="A1127" s="9" t="n">
        <v>1121</v>
      </c>
      <c r="B1127" s="10" t="s">
        <v>1624</v>
      </c>
      <c r="C1127" s="10" t="s">
        <v>87</v>
      </c>
      <c r="D1127" s="11" t="n">
        <v>0.0111184027777778</v>
      </c>
      <c r="E1127" s="12" t="n">
        <v>1285</v>
      </c>
      <c r="F1127" s="11"/>
      <c r="G1127" s="12"/>
      <c r="H1127" s="11" t="n">
        <v>0.00284097222222222</v>
      </c>
      <c r="I1127" s="12" t="n">
        <v>508</v>
      </c>
      <c r="J1127" s="12" t="n">
        <f aca="false">COUNT(E1127,G1127,I1127)</f>
        <v>2</v>
      </c>
      <c r="K1127" s="13" t="n">
        <f aca="false">MIN(E1127,G1127,I1127)</f>
        <v>508</v>
      </c>
      <c r="L1127" s="9" t="str">
        <f aca="false">IF(E1127=K1127,"5000m",IF(G1127=K1127,"3000mSC","1500m"))</f>
        <v>1500m</v>
      </c>
      <c r="M1127" s="14" t="n">
        <f aca="false">(D1127&lt;&gt;"")*(D1127&lt;=($E$3*60+$F$3)/86400)+(F1127&lt;&gt;"")*(F1127&lt;=($I$3*60+$J$3)/86400)+(H1127&lt;&gt;"")*(H1127&lt;=($M$3*60+$N$3)/86400)</f>
        <v>0</v>
      </c>
      <c r="N1127" s="16"/>
      <c r="O1127" s="15"/>
    </row>
    <row r="1128" customFormat="false" ht="25.35" hidden="false" customHeight="false" outlineLevel="0" collapsed="false">
      <c r="A1128" s="9" t="n">
        <v>1122</v>
      </c>
      <c r="B1128" s="10" t="s">
        <v>1625</v>
      </c>
      <c r="C1128" s="10" t="s">
        <v>1626</v>
      </c>
      <c r="D1128" s="11"/>
      <c r="E1128" s="12"/>
      <c r="F1128" s="11" t="n">
        <v>0.00716898148148148</v>
      </c>
      <c r="G1128" s="12" t="n">
        <v>508</v>
      </c>
      <c r="H1128" s="11"/>
      <c r="I1128" s="12"/>
      <c r="J1128" s="12" t="n">
        <f aca="false">COUNT(E1128,G1128,I1128)</f>
        <v>1</v>
      </c>
      <c r="K1128" s="13" t="n">
        <f aca="false">MIN(E1128,G1128,I1128)</f>
        <v>508</v>
      </c>
      <c r="L1128" s="9" t="str">
        <f aca="false">IF(E1128=K1128,"5000m",IF(G1128=K1128,"3000mSC","1500m"))</f>
        <v>3000mSC</v>
      </c>
      <c r="M1128" s="14" t="n">
        <f aca="false">(D1128&lt;&gt;"")*(D1128&lt;=($E$3*60+$F$3)/86400)+(F1128&lt;&gt;"")*(F1128&lt;=($I$3*60+$J$3)/86400)+(H1128&lt;&gt;"")*(H1128&lt;=($M$3*60+$N$3)/86400)</f>
        <v>0</v>
      </c>
      <c r="N1128" s="16"/>
      <c r="O1128" s="15"/>
    </row>
    <row r="1129" customFormat="false" ht="25.35" hidden="false" customHeight="false" outlineLevel="0" collapsed="false">
      <c r="A1129" s="9" t="n">
        <v>1123</v>
      </c>
      <c r="B1129" s="10" t="s">
        <v>1627</v>
      </c>
      <c r="C1129" s="10" t="s">
        <v>1628</v>
      </c>
      <c r="D1129" s="11" t="n">
        <v>0.0110311342592593</v>
      </c>
      <c r="E1129" s="12" t="n">
        <v>1154</v>
      </c>
      <c r="F1129" s="11" t="n">
        <v>0.00716990740740741</v>
      </c>
      <c r="G1129" s="12" t="n">
        <v>509</v>
      </c>
      <c r="H1129" s="11"/>
      <c r="I1129" s="12"/>
      <c r="J1129" s="12" t="n">
        <f aca="false">COUNT(E1129,G1129,I1129)</f>
        <v>2</v>
      </c>
      <c r="K1129" s="13" t="n">
        <f aca="false">MIN(E1129,G1129,I1129)</f>
        <v>509</v>
      </c>
      <c r="L1129" s="9" t="str">
        <f aca="false">IF(E1129=K1129,"5000m",IF(G1129=K1129,"3000mSC","1500m"))</f>
        <v>3000mSC</v>
      </c>
      <c r="M1129" s="14" t="n">
        <f aca="false">(D1129&lt;&gt;"")*(D1129&lt;=($E$3*60+$F$3)/86400)+(F1129&lt;&gt;"")*(F1129&lt;=($I$3*60+$J$3)/86400)+(H1129&lt;&gt;"")*(H1129&lt;=($M$3*60+$N$3)/86400)</f>
        <v>0</v>
      </c>
      <c r="N1129" s="16"/>
      <c r="O1129" s="15"/>
    </row>
    <row r="1130" customFormat="false" ht="15" hidden="false" customHeight="false" outlineLevel="0" collapsed="false">
      <c r="A1130" s="9" t="n">
        <v>1124</v>
      </c>
      <c r="B1130" s="10" t="s">
        <v>1629</v>
      </c>
      <c r="C1130" s="10" t="s">
        <v>1630</v>
      </c>
      <c r="D1130" s="11" t="n">
        <v>0.0110782407407407</v>
      </c>
      <c r="E1130" s="12" t="n">
        <v>1247</v>
      </c>
      <c r="F1130" s="11"/>
      <c r="G1130" s="12"/>
      <c r="H1130" s="11" t="n">
        <v>0.00284108796296296</v>
      </c>
      <c r="I1130" s="12" t="n">
        <v>509</v>
      </c>
      <c r="J1130" s="12" t="n">
        <f aca="false">COUNT(E1130,G1130,I1130)</f>
        <v>2</v>
      </c>
      <c r="K1130" s="13" t="n">
        <f aca="false">MIN(E1130,G1130,I1130)</f>
        <v>509</v>
      </c>
      <c r="L1130" s="9" t="str">
        <f aca="false">IF(E1130=K1130,"5000m",IF(G1130=K1130,"3000mSC","1500m"))</f>
        <v>1500m</v>
      </c>
      <c r="M1130" s="14" t="n">
        <f aca="false">(D1130&lt;&gt;"")*(D1130&lt;=($E$3*60+$F$3)/86400)+(F1130&lt;&gt;"")*(F1130&lt;=($I$3*60+$J$3)/86400)+(H1130&lt;&gt;"")*(H1130&lt;=($M$3*60+$N$3)/86400)</f>
        <v>0</v>
      </c>
      <c r="N1130" s="16"/>
      <c r="O1130" s="15"/>
    </row>
    <row r="1131" customFormat="false" ht="25.35" hidden="false" customHeight="false" outlineLevel="0" collapsed="false">
      <c r="A1131" s="9" t="n">
        <v>1125</v>
      </c>
      <c r="B1131" s="10" t="s">
        <v>1631</v>
      </c>
      <c r="C1131" s="10" t="s">
        <v>118</v>
      </c>
      <c r="D1131" s="11" t="n">
        <v>0.0107835648148148</v>
      </c>
      <c r="E1131" s="12" t="n">
        <v>710</v>
      </c>
      <c r="F1131" s="11" t="n">
        <v>0.00717002314814815</v>
      </c>
      <c r="G1131" s="12" t="n">
        <v>510</v>
      </c>
      <c r="H1131" s="11"/>
      <c r="I1131" s="12"/>
      <c r="J1131" s="12" t="n">
        <f aca="false">COUNT(E1131,G1131,I1131)</f>
        <v>2</v>
      </c>
      <c r="K1131" s="13" t="n">
        <f aca="false">MIN(E1131,G1131,I1131)</f>
        <v>510</v>
      </c>
      <c r="L1131" s="9" t="str">
        <f aca="false">IF(E1131=K1131,"5000m",IF(G1131=K1131,"3000mSC","1500m"))</f>
        <v>3000mSC</v>
      </c>
      <c r="M1131" s="14" t="n">
        <f aca="false">(D1131&lt;&gt;"")*(D1131&lt;=($E$3*60+$F$3)/86400)+(F1131&lt;&gt;"")*(F1131&lt;=($I$3*60+$J$3)/86400)+(H1131&lt;&gt;"")*(H1131&lt;=($M$3*60+$N$3)/86400)</f>
        <v>0</v>
      </c>
      <c r="N1131" s="16"/>
      <c r="O1131" s="15"/>
    </row>
    <row r="1132" customFormat="false" ht="15" hidden="false" customHeight="false" outlineLevel="0" collapsed="false">
      <c r="A1132" s="9" t="n">
        <v>1126</v>
      </c>
      <c r="B1132" s="10" t="s">
        <v>1632</v>
      </c>
      <c r="C1132" s="10" t="s">
        <v>45</v>
      </c>
      <c r="D1132" s="11"/>
      <c r="E1132" s="12"/>
      <c r="F1132" s="11"/>
      <c r="G1132" s="12"/>
      <c r="H1132" s="11" t="n">
        <v>0.00284143518518519</v>
      </c>
      <c r="I1132" s="12" t="n">
        <v>510</v>
      </c>
      <c r="J1132" s="12" t="n">
        <f aca="false">COUNT(E1132,G1132,I1132)</f>
        <v>1</v>
      </c>
      <c r="K1132" s="13" t="n">
        <f aca="false">MIN(E1132,G1132,I1132)</f>
        <v>510</v>
      </c>
      <c r="L1132" s="9" t="str">
        <f aca="false">IF(E1132=K1132,"5000m",IF(G1132=K1132,"3000mSC","1500m"))</f>
        <v>1500m</v>
      </c>
      <c r="M1132" s="14" t="n">
        <f aca="false">(D1132&lt;&gt;"")*(D1132&lt;=($E$3*60+$F$3)/86400)+(F1132&lt;&gt;"")*(F1132&lt;=($I$3*60+$J$3)/86400)+(H1132&lt;&gt;"")*(H1132&lt;=($M$3*60+$N$3)/86400)</f>
        <v>0</v>
      </c>
      <c r="N1132" s="16"/>
      <c r="O1132" s="15"/>
    </row>
    <row r="1133" customFormat="false" ht="25.35" hidden="false" customHeight="false" outlineLevel="0" collapsed="false">
      <c r="A1133" s="9" t="n">
        <v>1127</v>
      </c>
      <c r="B1133" s="10" t="s">
        <v>1633</v>
      </c>
      <c r="C1133" s="10" t="s">
        <v>1634</v>
      </c>
      <c r="D1133" s="11"/>
      <c r="E1133" s="12"/>
      <c r="F1133" s="11" t="n">
        <v>0.0071712962962963</v>
      </c>
      <c r="G1133" s="12" t="n">
        <v>511</v>
      </c>
      <c r="H1133" s="11"/>
      <c r="I1133" s="12"/>
      <c r="J1133" s="12" t="n">
        <f aca="false">COUNT(E1133,G1133,I1133)</f>
        <v>1</v>
      </c>
      <c r="K1133" s="13" t="n">
        <f aca="false">MIN(E1133,G1133,I1133)</f>
        <v>511</v>
      </c>
      <c r="L1133" s="9" t="str">
        <f aca="false">IF(E1133=K1133,"5000m",IF(G1133=K1133,"3000mSC","1500m"))</f>
        <v>3000mSC</v>
      </c>
      <c r="M1133" s="14" t="n">
        <f aca="false">(D1133&lt;&gt;"")*(D1133&lt;=($E$3*60+$F$3)/86400)+(F1133&lt;&gt;"")*(F1133&lt;=($I$3*60+$J$3)/86400)+(H1133&lt;&gt;"")*(H1133&lt;=($M$3*60+$N$3)/86400)</f>
        <v>0</v>
      </c>
      <c r="N1133" s="16"/>
      <c r="O1133" s="15"/>
    </row>
    <row r="1134" customFormat="false" ht="25.35" hidden="false" customHeight="false" outlineLevel="0" collapsed="false">
      <c r="A1134" s="9" t="n">
        <v>1128</v>
      </c>
      <c r="B1134" s="10" t="s">
        <v>1635</v>
      </c>
      <c r="C1134" s="10" t="s">
        <v>1440</v>
      </c>
      <c r="D1134" s="11" t="n">
        <v>0.0108146990740741</v>
      </c>
      <c r="E1134" s="12" t="n">
        <v>770</v>
      </c>
      <c r="F1134" s="11" t="n">
        <v>0.00717361111111111</v>
      </c>
      <c r="G1134" s="12" t="n">
        <v>512</v>
      </c>
      <c r="H1134" s="11"/>
      <c r="I1134" s="12"/>
      <c r="J1134" s="12" t="n">
        <f aca="false">COUNT(E1134,G1134,I1134)</f>
        <v>2</v>
      </c>
      <c r="K1134" s="13" t="n">
        <f aca="false">MIN(E1134,G1134,I1134)</f>
        <v>512</v>
      </c>
      <c r="L1134" s="9" t="str">
        <f aca="false">IF(E1134=K1134,"5000m",IF(G1134=K1134,"3000mSC","1500m"))</f>
        <v>3000mSC</v>
      </c>
      <c r="M1134" s="14" t="n">
        <f aca="false">(D1134&lt;&gt;"")*(D1134&lt;=($E$3*60+$F$3)/86400)+(F1134&lt;&gt;"")*(F1134&lt;=($I$3*60+$J$3)/86400)+(H1134&lt;&gt;"")*(H1134&lt;=($M$3*60+$N$3)/86400)</f>
        <v>0</v>
      </c>
      <c r="N1134" s="16"/>
      <c r="O1134" s="15"/>
    </row>
    <row r="1135" customFormat="false" ht="15" hidden="false" customHeight="false" outlineLevel="0" collapsed="false">
      <c r="A1135" s="9" t="n">
        <v>1129</v>
      </c>
      <c r="B1135" s="10" t="s">
        <v>1636</v>
      </c>
      <c r="C1135" s="10" t="s">
        <v>1637</v>
      </c>
      <c r="D1135" s="11"/>
      <c r="E1135" s="12"/>
      <c r="F1135" s="11" t="n">
        <v>0.00752025462962963</v>
      </c>
      <c r="G1135" s="12" t="n">
        <v>919</v>
      </c>
      <c r="H1135" s="11" t="n">
        <v>0.00284224537037037</v>
      </c>
      <c r="I1135" s="12" t="n">
        <v>512</v>
      </c>
      <c r="J1135" s="12" t="n">
        <f aca="false">COUNT(E1135,G1135,I1135)</f>
        <v>2</v>
      </c>
      <c r="K1135" s="13" t="n">
        <f aca="false">MIN(E1135,G1135,I1135)</f>
        <v>512</v>
      </c>
      <c r="L1135" s="9" t="str">
        <f aca="false">IF(E1135=K1135,"5000m",IF(G1135=K1135,"3000mSC","1500m"))</f>
        <v>1500m</v>
      </c>
      <c r="M1135" s="14" t="n">
        <f aca="false">(D1135&lt;&gt;"")*(D1135&lt;=($E$3*60+$F$3)/86400)+(F1135&lt;&gt;"")*(F1135&lt;=($I$3*60+$J$3)/86400)+(H1135&lt;&gt;"")*(H1135&lt;=($M$3*60+$N$3)/86400)</f>
        <v>0</v>
      </c>
      <c r="N1135" s="16"/>
      <c r="O1135" s="15"/>
    </row>
    <row r="1136" customFormat="false" ht="15" hidden="false" customHeight="false" outlineLevel="0" collapsed="false">
      <c r="A1136" s="9" t="n">
        <v>1130</v>
      </c>
      <c r="B1136" s="10" t="s">
        <v>1638</v>
      </c>
      <c r="C1136" s="10" t="s">
        <v>523</v>
      </c>
      <c r="D1136" s="11" t="n">
        <v>0.0106413194444444</v>
      </c>
      <c r="E1136" s="12" t="n">
        <v>512</v>
      </c>
      <c r="F1136" s="11"/>
      <c r="G1136" s="12"/>
      <c r="H1136" s="11"/>
      <c r="I1136" s="12"/>
      <c r="J1136" s="12" t="n">
        <f aca="false">COUNT(E1136,G1136,I1136)</f>
        <v>1</v>
      </c>
      <c r="K1136" s="13" t="n">
        <f aca="false">MIN(E1136,G1136,I1136)</f>
        <v>512</v>
      </c>
      <c r="L1136" s="9" t="str">
        <f aca="false">IF(E1136=K1136,"5000m",IF(G1136=K1136,"3000mSC","1500m"))</f>
        <v>5000m</v>
      </c>
      <c r="M1136" s="14" t="n">
        <f aca="false">(D1136&lt;&gt;"")*(D1136&lt;=($E$3*60+$F$3)/86400)+(F1136&lt;&gt;"")*(F1136&lt;=($I$3*60+$J$3)/86400)+(H1136&lt;&gt;"")*(H1136&lt;=($M$3*60+$N$3)/86400)</f>
        <v>0</v>
      </c>
      <c r="N1136" s="16"/>
      <c r="O1136" s="15"/>
    </row>
    <row r="1137" customFormat="false" ht="15" hidden="false" customHeight="false" outlineLevel="0" collapsed="false">
      <c r="A1137" s="9" t="n">
        <v>1131</v>
      </c>
      <c r="B1137" s="10" t="s">
        <v>1639</v>
      </c>
      <c r="C1137" s="10" t="s">
        <v>36</v>
      </c>
      <c r="D1137" s="11" t="n">
        <v>0.0106527777777778</v>
      </c>
      <c r="E1137" s="12" t="n">
        <v>528</v>
      </c>
      <c r="F1137" s="11"/>
      <c r="G1137" s="12"/>
      <c r="H1137" s="11" t="n">
        <v>0.00284259259259259</v>
      </c>
      <c r="I1137" s="12" t="n">
        <v>513</v>
      </c>
      <c r="J1137" s="12" t="n">
        <f aca="false">COUNT(E1137,G1137,I1137)</f>
        <v>2</v>
      </c>
      <c r="K1137" s="13" t="n">
        <f aca="false">MIN(E1137,G1137,I1137)</f>
        <v>513</v>
      </c>
      <c r="L1137" s="9" t="str">
        <f aca="false">IF(E1137=K1137,"5000m",IF(G1137=K1137,"3000mSC","1500m"))</f>
        <v>1500m</v>
      </c>
      <c r="M1137" s="14" t="n">
        <f aca="false">(D1137&lt;&gt;"")*(D1137&lt;=($E$3*60+$F$3)/86400)+(F1137&lt;&gt;"")*(F1137&lt;=($I$3*60+$J$3)/86400)+(H1137&lt;&gt;"")*(H1137&lt;=($M$3*60+$N$3)/86400)</f>
        <v>0</v>
      </c>
      <c r="N1137" s="16"/>
      <c r="O1137" s="15"/>
    </row>
    <row r="1138" customFormat="false" ht="15" hidden="false" customHeight="false" outlineLevel="0" collapsed="false">
      <c r="A1138" s="9" t="n">
        <v>1132</v>
      </c>
      <c r="B1138" s="10" t="s">
        <v>1640</v>
      </c>
      <c r="C1138" s="10" t="s">
        <v>60</v>
      </c>
      <c r="D1138" s="11" t="n">
        <v>0.0106417824074074</v>
      </c>
      <c r="E1138" s="12" t="n">
        <v>513</v>
      </c>
      <c r="F1138" s="11"/>
      <c r="G1138" s="12"/>
      <c r="H1138" s="11"/>
      <c r="I1138" s="12"/>
      <c r="J1138" s="12" t="n">
        <f aca="false">COUNT(E1138,G1138,I1138)</f>
        <v>1</v>
      </c>
      <c r="K1138" s="13" t="n">
        <f aca="false">MIN(E1138,G1138,I1138)</f>
        <v>513</v>
      </c>
      <c r="L1138" s="9" t="str">
        <f aca="false">IF(E1138=K1138,"5000m",IF(G1138=K1138,"3000mSC","1500m"))</f>
        <v>5000m</v>
      </c>
      <c r="M1138" s="14" t="n">
        <f aca="false">(D1138&lt;&gt;"")*(D1138&lt;=($E$3*60+$F$3)/86400)+(F1138&lt;&gt;"")*(F1138&lt;=($I$3*60+$J$3)/86400)+(H1138&lt;&gt;"")*(H1138&lt;=($M$3*60+$N$3)/86400)</f>
        <v>0</v>
      </c>
      <c r="N1138" s="16"/>
      <c r="O1138" s="15"/>
    </row>
    <row r="1139" customFormat="false" ht="25.35" hidden="false" customHeight="false" outlineLevel="0" collapsed="false">
      <c r="A1139" s="9" t="n">
        <v>1133</v>
      </c>
      <c r="B1139" s="10" t="s">
        <v>1641</v>
      </c>
      <c r="C1139" s="10" t="s">
        <v>1309</v>
      </c>
      <c r="D1139" s="11"/>
      <c r="E1139" s="12"/>
      <c r="F1139" s="11" t="n">
        <v>0.00717604166666667</v>
      </c>
      <c r="G1139" s="12" t="n">
        <v>513</v>
      </c>
      <c r="H1139" s="11"/>
      <c r="I1139" s="12"/>
      <c r="J1139" s="12" t="n">
        <f aca="false">COUNT(E1139,G1139,I1139)</f>
        <v>1</v>
      </c>
      <c r="K1139" s="13" t="n">
        <f aca="false">MIN(E1139,G1139,I1139)</f>
        <v>513</v>
      </c>
      <c r="L1139" s="9" t="str">
        <f aca="false">IF(E1139=K1139,"5000m",IF(G1139=K1139,"3000mSC","1500m"))</f>
        <v>3000mSC</v>
      </c>
      <c r="M1139" s="14" t="n">
        <f aca="false">(D1139&lt;&gt;"")*(D1139&lt;=($E$3*60+$F$3)/86400)+(F1139&lt;&gt;"")*(F1139&lt;=($I$3*60+$J$3)/86400)+(H1139&lt;&gt;"")*(H1139&lt;=($M$3*60+$N$3)/86400)</f>
        <v>0</v>
      </c>
      <c r="N1139" s="16"/>
      <c r="O1139" s="15"/>
    </row>
    <row r="1140" customFormat="false" ht="15" hidden="false" customHeight="false" outlineLevel="0" collapsed="false">
      <c r="A1140" s="9" t="n">
        <v>1134</v>
      </c>
      <c r="B1140" s="10" t="s">
        <v>1642</v>
      </c>
      <c r="C1140" s="10" t="s">
        <v>1436</v>
      </c>
      <c r="D1140" s="11" t="n">
        <v>0.0108291666666667</v>
      </c>
      <c r="E1140" s="12" t="n">
        <v>789</v>
      </c>
      <c r="F1140" s="11"/>
      <c r="G1140" s="12"/>
      <c r="H1140" s="11" t="n">
        <v>0.00284259259259259</v>
      </c>
      <c r="I1140" s="12" t="n">
        <v>514</v>
      </c>
      <c r="J1140" s="12" t="n">
        <f aca="false">COUNT(E1140,G1140,I1140)</f>
        <v>2</v>
      </c>
      <c r="K1140" s="13" t="n">
        <f aca="false">MIN(E1140,G1140,I1140)</f>
        <v>514</v>
      </c>
      <c r="L1140" s="9" t="str">
        <f aca="false">IF(E1140=K1140,"5000m",IF(G1140=K1140,"3000mSC","1500m"))</f>
        <v>1500m</v>
      </c>
      <c r="M1140" s="14" t="n">
        <f aca="false">(D1140&lt;&gt;"")*(D1140&lt;=($E$3*60+$F$3)/86400)+(F1140&lt;&gt;"")*(F1140&lt;=($I$3*60+$J$3)/86400)+(H1140&lt;&gt;"")*(H1140&lt;=($M$3*60+$N$3)/86400)</f>
        <v>0</v>
      </c>
      <c r="N1140" s="16"/>
      <c r="O1140" s="15"/>
    </row>
    <row r="1141" customFormat="false" ht="25.35" hidden="false" customHeight="false" outlineLevel="0" collapsed="false">
      <c r="A1141" s="9" t="n">
        <v>1135</v>
      </c>
      <c r="B1141" s="10" t="s">
        <v>1643</v>
      </c>
      <c r="C1141" s="10" t="s">
        <v>1644</v>
      </c>
      <c r="D1141" s="11"/>
      <c r="E1141" s="12"/>
      <c r="F1141" s="11" t="n">
        <v>0.0071775462962963</v>
      </c>
      <c r="G1141" s="12" t="n">
        <v>514</v>
      </c>
      <c r="H1141" s="11"/>
      <c r="I1141" s="12"/>
      <c r="J1141" s="12" t="n">
        <f aca="false">COUNT(E1141,G1141,I1141)</f>
        <v>1</v>
      </c>
      <c r="K1141" s="13" t="n">
        <f aca="false">MIN(E1141,G1141,I1141)</f>
        <v>514</v>
      </c>
      <c r="L1141" s="9" t="str">
        <f aca="false">IF(E1141=K1141,"5000m",IF(G1141=K1141,"3000mSC","1500m"))</f>
        <v>3000mSC</v>
      </c>
      <c r="M1141" s="14" t="n">
        <f aca="false">(D1141&lt;&gt;"")*(D1141&lt;=($E$3*60+$F$3)/86400)+(F1141&lt;&gt;"")*(F1141&lt;=($I$3*60+$J$3)/86400)+(H1141&lt;&gt;"")*(H1141&lt;=($M$3*60+$N$3)/86400)</f>
        <v>0</v>
      </c>
      <c r="N1141" s="16"/>
      <c r="O1141" s="15"/>
    </row>
    <row r="1142" customFormat="false" ht="25.35" hidden="false" customHeight="false" outlineLevel="0" collapsed="false">
      <c r="A1142" s="9" t="n">
        <v>1136</v>
      </c>
      <c r="B1142" s="10" t="s">
        <v>1645</v>
      </c>
      <c r="C1142" s="10" t="s">
        <v>482</v>
      </c>
      <c r="D1142" s="11"/>
      <c r="E1142" s="12"/>
      <c r="F1142" s="11" t="n">
        <v>0.00717858796296296</v>
      </c>
      <c r="G1142" s="12" t="n">
        <v>515</v>
      </c>
      <c r="H1142" s="11"/>
      <c r="I1142" s="12"/>
      <c r="J1142" s="12" t="n">
        <f aca="false">COUNT(E1142,G1142,I1142)</f>
        <v>1</v>
      </c>
      <c r="K1142" s="13" t="n">
        <f aca="false">MIN(E1142,G1142,I1142)</f>
        <v>515</v>
      </c>
      <c r="L1142" s="9" t="str">
        <f aca="false">IF(E1142=K1142,"5000m",IF(G1142=K1142,"3000mSC","1500m"))</f>
        <v>3000mSC</v>
      </c>
      <c r="M1142" s="14" t="n">
        <f aca="false">(D1142&lt;&gt;"")*(D1142&lt;=($E$3*60+$F$3)/86400)+(F1142&lt;&gt;"")*(F1142&lt;=($I$3*60+$J$3)/86400)+(H1142&lt;&gt;"")*(H1142&lt;=($M$3*60+$N$3)/86400)</f>
        <v>0</v>
      </c>
      <c r="N1142" s="16"/>
      <c r="O1142" s="15"/>
    </row>
    <row r="1143" customFormat="false" ht="25.35" hidden="false" customHeight="false" outlineLevel="0" collapsed="false">
      <c r="A1143" s="9" t="n">
        <v>1137</v>
      </c>
      <c r="B1143" s="10" t="s">
        <v>1646</v>
      </c>
      <c r="C1143" s="10" t="s">
        <v>1647</v>
      </c>
      <c r="D1143" s="11"/>
      <c r="E1143" s="12"/>
      <c r="F1143" s="11" t="n">
        <v>0.00717962962962963</v>
      </c>
      <c r="G1143" s="12" t="n">
        <v>516</v>
      </c>
      <c r="H1143" s="11"/>
      <c r="I1143" s="12"/>
      <c r="J1143" s="12" t="n">
        <f aca="false">COUNT(E1143,G1143,I1143)</f>
        <v>1</v>
      </c>
      <c r="K1143" s="13" t="n">
        <f aca="false">MIN(E1143,G1143,I1143)</f>
        <v>516</v>
      </c>
      <c r="L1143" s="9" t="str">
        <f aca="false">IF(E1143=K1143,"5000m",IF(G1143=K1143,"3000mSC","1500m"))</f>
        <v>3000mSC</v>
      </c>
      <c r="M1143" s="14" t="n">
        <f aca="false">(D1143&lt;&gt;"")*(D1143&lt;=($E$3*60+$F$3)/86400)+(F1143&lt;&gt;"")*(F1143&lt;=($I$3*60+$J$3)/86400)+(H1143&lt;&gt;"")*(H1143&lt;=($M$3*60+$N$3)/86400)</f>
        <v>0</v>
      </c>
      <c r="N1143" s="16"/>
      <c r="O1143" s="15"/>
    </row>
    <row r="1144" customFormat="false" ht="25.35" hidden="false" customHeight="false" outlineLevel="0" collapsed="false">
      <c r="A1144" s="9" t="n">
        <v>1138</v>
      </c>
      <c r="B1144" s="10" t="s">
        <v>1648</v>
      </c>
      <c r="C1144" s="10" t="s">
        <v>1649</v>
      </c>
      <c r="D1144" s="11"/>
      <c r="E1144" s="12"/>
      <c r="F1144" s="11" t="n">
        <v>0.00717974537037037</v>
      </c>
      <c r="G1144" s="12" t="n">
        <v>517</v>
      </c>
      <c r="H1144" s="11"/>
      <c r="I1144" s="12"/>
      <c r="J1144" s="12" t="n">
        <f aca="false">COUNT(E1144,G1144,I1144)</f>
        <v>1</v>
      </c>
      <c r="K1144" s="13" t="n">
        <f aca="false">MIN(E1144,G1144,I1144)</f>
        <v>517</v>
      </c>
      <c r="L1144" s="9" t="str">
        <f aca="false">IF(E1144=K1144,"5000m",IF(G1144=K1144,"3000mSC","1500m"))</f>
        <v>3000mSC</v>
      </c>
      <c r="M1144" s="14" t="n">
        <f aca="false">(D1144&lt;&gt;"")*(D1144&lt;=($E$3*60+$F$3)/86400)+(F1144&lt;&gt;"")*(F1144&lt;=($I$3*60+$J$3)/86400)+(H1144&lt;&gt;"")*(H1144&lt;=($M$3*60+$N$3)/86400)</f>
        <v>0</v>
      </c>
      <c r="N1144" s="16"/>
      <c r="O1144" s="15"/>
    </row>
    <row r="1145" customFormat="false" ht="25.35" hidden="false" customHeight="false" outlineLevel="0" collapsed="false">
      <c r="A1145" s="9" t="n">
        <v>1139</v>
      </c>
      <c r="B1145" s="10" t="s">
        <v>1650</v>
      </c>
      <c r="C1145" s="10" t="s">
        <v>1651</v>
      </c>
      <c r="D1145" s="11"/>
      <c r="E1145" s="12"/>
      <c r="F1145" s="11" t="n">
        <v>0.00718020833333333</v>
      </c>
      <c r="G1145" s="12" t="n">
        <v>518</v>
      </c>
      <c r="H1145" s="11"/>
      <c r="I1145" s="12"/>
      <c r="J1145" s="12" t="n">
        <f aca="false">COUNT(E1145,G1145,I1145)</f>
        <v>1</v>
      </c>
      <c r="K1145" s="13" t="n">
        <f aca="false">MIN(E1145,G1145,I1145)</f>
        <v>518</v>
      </c>
      <c r="L1145" s="9" t="str">
        <f aca="false">IF(E1145=K1145,"5000m",IF(G1145=K1145,"3000mSC","1500m"))</f>
        <v>3000mSC</v>
      </c>
      <c r="M1145" s="14" t="n">
        <f aca="false">(D1145&lt;&gt;"")*(D1145&lt;=($E$3*60+$F$3)/86400)+(F1145&lt;&gt;"")*(F1145&lt;=($I$3*60+$J$3)/86400)+(H1145&lt;&gt;"")*(H1145&lt;=($M$3*60+$N$3)/86400)</f>
        <v>0</v>
      </c>
      <c r="N1145" s="16"/>
      <c r="O1145" s="15"/>
    </row>
    <row r="1146" customFormat="false" ht="15" hidden="false" customHeight="false" outlineLevel="0" collapsed="false">
      <c r="A1146" s="9" t="n">
        <v>1140</v>
      </c>
      <c r="B1146" s="10" t="s">
        <v>1652</v>
      </c>
      <c r="C1146" s="10" t="s">
        <v>1653</v>
      </c>
      <c r="D1146" s="11" t="n">
        <v>0.0107876157407407</v>
      </c>
      <c r="E1146" s="12" t="n">
        <v>717</v>
      </c>
      <c r="F1146" s="11"/>
      <c r="G1146" s="12"/>
      <c r="H1146" s="11" t="n">
        <v>0.00284340277777778</v>
      </c>
      <c r="I1146" s="12" t="n">
        <v>519</v>
      </c>
      <c r="J1146" s="12" t="n">
        <f aca="false">COUNT(E1146,G1146,I1146)</f>
        <v>2</v>
      </c>
      <c r="K1146" s="13" t="n">
        <f aca="false">MIN(E1146,G1146,I1146)</f>
        <v>519</v>
      </c>
      <c r="L1146" s="9" t="str">
        <f aca="false">IF(E1146=K1146,"5000m",IF(G1146=K1146,"3000mSC","1500m"))</f>
        <v>1500m</v>
      </c>
      <c r="M1146" s="14" t="n">
        <f aca="false">(D1146&lt;&gt;"")*(D1146&lt;=($E$3*60+$F$3)/86400)+(F1146&lt;&gt;"")*(F1146&lt;=($I$3*60+$J$3)/86400)+(H1146&lt;&gt;"")*(H1146&lt;=($M$3*60+$N$3)/86400)</f>
        <v>0</v>
      </c>
      <c r="N1146" s="16"/>
      <c r="O1146" s="15"/>
    </row>
    <row r="1147" customFormat="false" ht="25.35" hidden="false" customHeight="false" outlineLevel="0" collapsed="false">
      <c r="A1147" s="9" t="n">
        <v>1141</v>
      </c>
      <c r="B1147" s="10" t="s">
        <v>1654</v>
      </c>
      <c r="C1147" s="10" t="s">
        <v>1655</v>
      </c>
      <c r="D1147" s="11"/>
      <c r="E1147" s="12"/>
      <c r="F1147" s="11" t="n">
        <v>0.00718032407407407</v>
      </c>
      <c r="G1147" s="12" t="n">
        <v>519</v>
      </c>
      <c r="H1147" s="11" t="n">
        <v>0.00292488425925926</v>
      </c>
      <c r="I1147" s="12" t="n">
        <v>1145</v>
      </c>
      <c r="J1147" s="12" t="n">
        <f aca="false">COUNT(E1147,G1147,I1147)</f>
        <v>2</v>
      </c>
      <c r="K1147" s="13" t="n">
        <f aca="false">MIN(E1147,G1147,I1147)</f>
        <v>519</v>
      </c>
      <c r="L1147" s="9" t="str">
        <f aca="false">IF(E1147=K1147,"5000m",IF(G1147=K1147,"3000mSC","1500m"))</f>
        <v>3000mSC</v>
      </c>
      <c r="M1147" s="14" t="n">
        <f aca="false">(D1147&lt;&gt;"")*(D1147&lt;=($E$3*60+$F$3)/86400)+(F1147&lt;&gt;"")*(F1147&lt;=($I$3*60+$J$3)/86400)+(H1147&lt;&gt;"")*(H1147&lt;=($M$3*60+$N$3)/86400)</f>
        <v>0</v>
      </c>
      <c r="N1147" s="16"/>
      <c r="O1147" s="15"/>
    </row>
    <row r="1148" customFormat="false" ht="25.35" hidden="false" customHeight="false" outlineLevel="0" collapsed="false">
      <c r="A1148" s="9" t="n">
        <v>1142</v>
      </c>
      <c r="B1148" s="10" t="s">
        <v>1656</v>
      </c>
      <c r="C1148" s="10" t="s">
        <v>1553</v>
      </c>
      <c r="D1148" s="11"/>
      <c r="E1148" s="12"/>
      <c r="F1148" s="11" t="n">
        <v>0.0071806712962963</v>
      </c>
      <c r="G1148" s="12" t="n">
        <v>520</v>
      </c>
      <c r="H1148" s="11"/>
      <c r="I1148" s="12"/>
      <c r="J1148" s="12" t="n">
        <f aca="false">COUNT(E1148,G1148,I1148)</f>
        <v>1</v>
      </c>
      <c r="K1148" s="13" t="n">
        <f aca="false">MIN(E1148,G1148,I1148)</f>
        <v>520</v>
      </c>
      <c r="L1148" s="9" t="str">
        <f aca="false">IF(E1148=K1148,"5000m",IF(G1148=K1148,"3000mSC","1500m"))</f>
        <v>3000mSC</v>
      </c>
      <c r="M1148" s="14" t="n">
        <f aca="false">(D1148&lt;&gt;"")*(D1148&lt;=($E$3*60+$F$3)/86400)+(F1148&lt;&gt;"")*(F1148&lt;=($I$3*60+$J$3)/86400)+(H1148&lt;&gt;"")*(H1148&lt;=($M$3*60+$N$3)/86400)</f>
        <v>0</v>
      </c>
      <c r="N1148" s="16"/>
      <c r="O1148" s="15"/>
    </row>
    <row r="1149" customFormat="false" ht="15" hidden="false" customHeight="false" outlineLevel="0" collapsed="false">
      <c r="A1149" s="9" t="n">
        <v>1143</v>
      </c>
      <c r="B1149" s="10" t="s">
        <v>1657</v>
      </c>
      <c r="C1149" s="10" t="s">
        <v>1658</v>
      </c>
      <c r="D1149" s="11" t="n">
        <v>0.0106481481481482</v>
      </c>
      <c r="E1149" s="12" t="n">
        <v>521</v>
      </c>
      <c r="F1149" s="11"/>
      <c r="G1149" s="12"/>
      <c r="H1149" s="11" t="n">
        <v>0.00289027777777778</v>
      </c>
      <c r="I1149" s="12" t="n">
        <v>868</v>
      </c>
      <c r="J1149" s="12" t="n">
        <f aca="false">COUNT(E1149,G1149,I1149)</f>
        <v>2</v>
      </c>
      <c r="K1149" s="13" t="n">
        <f aca="false">MIN(E1149,G1149,I1149)</f>
        <v>521</v>
      </c>
      <c r="L1149" s="9" t="str">
        <f aca="false">IF(E1149=K1149,"5000m",IF(G1149=K1149,"3000mSC","1500m"))</f>
        <v>5000m</v>
      </c>
      <c r="M1149" s="14" t="n">
        <f aca="false">(D1149&lt;&gt;"")*(D1149&lt;=($E$3*60+$F$3)/86400)+(F1149&lt;&gt;"")*(F1149&lt;=($I$3*60+$J$3)/86400)+(H1149&lt;&gt;"")*(H1149&lt;=($M$3*60+$N$3)/86400)</f>
        <v>0</v>
      </c>
      <c r="N1149" s="16"/>
      <c r="O1149" s="15"/>
    </row>
    <row r="1150" customFormat="false" ht="25.35" hidden="false" customHeight="false" outlineLevel="0" collapsed="false">
      <c r="A1150" s="9" t="n">
        <v>1144</v>
      </c>
      <c r="B1150" s="10" t="s">
        <v>1659</v>
      </c>
      <c r="C1150" s="10" t="s">
        <v>1660</v>
      </c>
      <c r="D1150" s="11"/>
      <c r="E1150" s="12"/>
      <c r="F1150" s="11" t="n">
        <v>0.00718287037037037</v>
      </c>
      <c r="G1150" s="12" t="n">
        <v>521</v>
      </c>
      <c r="H1150" s="11"/>
      <c r="I1150" s="12"/>
      <c r="J1150" s="12" t="n">
        <f aca="false">COUNT(E1150,G1150,I1150)</f>
        <v>1</v>
      </c>
      <c r="K1150" s="13" t="n">
        <f aca="false">MIN(E1150,G1150,I1150)</f>
        <v>521</v>
      </c>
      <c r="L1150" s="9" t="str">
        <f aca="false">IF(E1150=K1150,"5000m",IF(G1150=K1150,"3000mSC","1500m"))</f>
        <v>3000mSC</v>
      </c>
      <c r="M1150" s="14" t="n">
        <f aca="false">(D1150&lt;&gt;"")*(D1150&lt;=($E$3*60+$F$3)/86400)+(F1150&lt;&gt;"")*(F1150&lt;=($I$3*60+$J$3)/86400)+(H1150&lt;&gt;"")*(H1150&lt;=($M$3*60+$N$3)/86400)</f>
        <v>0</v>
      </c>
      <c r="N1150" s="16"/>
      <c r="O1150" s="15"/>
    </row>
    <row r="1151" customFormat="false" ht="25.35" hidden="false" customHeight="false" outlineLevel="0" collapsed="false">
      <c r="A1151" s="9" t="n">
        <v>1145</v>
      </c>
      <c r="B1151" s="10" t="s">
        <v>1661</v>
      </c>
      <c r="C1151" s="10" t="s">
        <v>1662</v>
      </c>
      <c r="D1151" s="11"/>
      <c r="E1151" s="12"/>
      <c r="F1151" s="11" t="n">
        <v>0.00718333333333333</v>
      </c>
      <c r="G1151" s="12" t="n">
        <v>522</v>
      </c>
      <c r="H1151" s="11"/>
      <c r="I1151" s="12"/>
      <c r="J1151" s="12" t="n">
        <f aca="false">COUNT(E1151,G1151,I1151)</f>
        <v>1</v>
      </c>
      <c r="K1151" s="13" t="n">
        <f aca="false">MIN(E1151,G1151,I1151)</f>
        <v>522</v>
      </c>
      <c r="L1151" s="9" t="str">
        <f aca="false">IF(E1151=K1151,"5000m",IF(G1151=K1151,"3000mSC","1500m"))</f>
        <v>3000mSC</v>
      </c>
      <c r="M1151" s="14" t="n">
        <f aca="false">(D1151&lt;&gt;"")*(D1151&lt;=($E$3*60+$F$3)/86400)+(F1151&lt;&gt;"")*(F1151&lt;=($I$3*60+$J$3)/86400)+(H1151&lt;&gt;"")*(H1151&lt;=($M$3*60+$N$3)/86400)</f>
        <v>0</v>
      </c>
      <c r="N1151" s="16"/>
      <c r="O1151" s="15"/>
    </row>
    <row r="1152" customFormat="false" ht="15" hidden="false" customHeight="false" outlineLevel="0" collapsed="false">
      <c r="A1152" s="9" t="n">
        <v>1146</v>
      </c>
      <c r="B1152" s="10" t="s">
        <v>1663</v>
      </c>
      <c r="C1152" s="10" t="s">
        <v>1664</v>
      </c>
      <c r="D1152" s="11" t="n">
        <v>0.0110175925925926</v>
      </c>
      <c r="E1152" s="12" t="n">
        <v>1124</v>
      </c>
      <c r="F1152" s="11" t="n">
        <v>0.00741400462962963</v>
      </c>
      <c r="G1152" s="12" t="n">
        <v>786</v>
      </c>
      <c r="H1152" s="11" t="n">
        <v>0.00284386574074074</v>
      </c>
      <c r="I1152" s="12" t="n">
        <v>523</v>
      </c>
      <c r="J1152" s="12" t="n">
        <f aca="false">COUNT(E1152,G1152,I1152)</f>
        <v>3</v>
      </c>
      <c r="K1152" s="13" t="n">
        <f aca="false">MIN(E1152,G1152,I1152)</f>
        <v>523</v>
      </c>
      <c r="L1152" s="9" t="str">
        <f aca="false">IF(E1152=K1152,"5000m",IF(G1152=K1152,"3000mSC","1500m"))</f>
        <v>1500m</v>
      </c>
      <c r="M1152" s="14" t="n">
        <f aca="false">(D1152&lt;&gt;"")*(D1152&lt;=($E$3*60+$F$3)/86400)+(F1152&lt;&gt;"")*(F1152&lt;=($I$3*60+$J$3)/86400)+(H1152&lt;&gt;"")*(H1152&lt;=($M$3*60+$N$3)/86400)</f>
        <v>0</v>
      </c>
      <c r="N1152" s="16"/>
      <c r="O1152" s="15"/>
    </row>
    <row r="1153" customFormat="false" ht="25.35" hidden="false" customHeight="false" outlineLevel="0" collapsed="false">
      <c r="A1153" s="9" t="n">
        <v>1147</v>
      </c>
      <c r="B1153" s="10" t="s">
        <v>1665</v>
      </c>
      <c r="C1153" s="10" t="s">
        <v>523</v>
      </c>
      <c r="D1153" s="11" t="n">
        <v>0.0108438657407407</v>
      </c>
      <c r="E1153" s="12" t="n">
        <v>821</v>
      </c>
      <c r="F1153" s="11" t="n">
        <v>0.00718460648148148</v>
      </c>
      <c r="G1153" s="12" t="n">
        <v>523</v>
      </c>
      <c r="H1153" s="11"/>
      <c r="I1153" s="12"/>
      <c r="J1153" s="12" t="n">
        <f aca="false">COUNT(E1153,G1153,I1153)</f>
        <v>2</v>
      </c>
      <c r="K1153" s="13" t="n">
        <f aca="false">MIN(E1153,G1153,I1153)</f>
        <v>523</v>
      </c>
      <c r="L1153" s="9" t="str">
        <f aca="false">IF(E1153=K1153,"5000m",IF(G1153=K1153,"3000mSC","1500m"))</f>
        <v>3000mSC</v>
      </c>
      <c r="M1153" s="14" t="n">
        <f aca="false">(D1153&lt;&gt;"")*(D1153&lt;=($E$3*60+$F$3)/86400)+(F1153&lt;&gt;"")*(F1153&lt;=($I$3*60+$J$3)/86400)+(H1153&lt;&gt;"")*(H1153&lt;=($M$3*60+$N$3)/86400)</f>
        <v>0</v>
      </c>
      <c r="N1153" s="16"/>
      <c r="O1153" s="15"/>
    </row>
    <row r="1154" customFormat="false" ht="15" hidden="false" customHeight="false" outlineLevel="0" collapsed="false">
      <c r="A1154" s="9" t="n">
        <v>1148</v>
      </c>
      <c r="B1154" s="10" t="s">
        <v>1666</v>
      </c>
      <c r="C1154" s="10" t="s">
        <v>473</v>
      </c>
      <c r="D1154" s="11" t="n">
        <v>0.0106486111111111</v>
      </c>
      <c r="E1154" s="12" t="n">
        <v>523</v>
      </c>
      <c r="F1154" s="11"/>
      <c r="G1154" s="12"/>
      <c r="H1154" s="11" t="n">
        <v>0.00290081018518519</v>
      </c>
      <c r="I1154" s="12" t="n">
        <v>954</v>
      </c>
      <c r="J1154" s="12" t="n">
        <f aca="false">COUNT(E1154,G1154,I1154)</f>
        <v>2</v>
      </c>
      <c r="K1154" s="13" t="n">
        <f aca="false">MIN(E1154,G1154,I1154)</f>
        <v>523</v>
      </c>
      <c r="L1154" s="9" t="str">
        <f aca="false">IF(E1154=K1154,"5000m",IF(G1154=K1154,"3000mSC","1500m"))</f>
        <v>5000m</v>
      </c>
      <c r="M1154" s="14" t="n">
        <f aca="false">(D1154&lt;&gt;"")*(D1154&lt;=($E$3*60+$F$3)/86400)+(F1154&lt;&gt;"")*(F1154&lt;=($I$3*60+$J$3)/86400)+(H1154&lt;&gt;"")*(H1154&lt;=($M$3*60+$N$3)/86400)</f>
        <v>0</v>
      </c>
      <c r="N1154" s="16"/>
      <c r="O1154" s="15"/>
    </row>
    <row r="1155" customFormat="false" ht="15" hidden="false" customHeight="false" outlineLevel="0" collapsed="false">
      <c r="A1155" s="9" t="n">
        <v>1149</v>
      </c>
      <c r="B1155" s="10" t="s">
        <v>1667</v>
      </c>
      <c r="C1155" s="10" t="s">
        <v>1668</v>
      </c>
      <c r="D1155" s="11" t="n">
        <v>0.0107369212962963</v>
      </c>
      <c r="E1155" s="12" t="n">
        <v>647</v>
      </c>
      <c r="F1155" s="11"/>
      <c r="G1155" s="12"/>
      <c r="H1155" s="11" t="n">
        <v>0.00284386574074074</v>
      </c>
      <c r="I1155" s="12" t="n">
        <v>524</v>
      </c>
      <c r="J1155" s="12" t="n">
        <f aca="false">COUNT(E1155,G1155,I1155)</f>
        <v>2</v>
      </c>
      <c r="K1155" s="13" t="n">
        <f aca="false">MIN(E1155,G1155,I1155)</f>
        <v>524</v>
      </c>
      <c r="L1155" s="9" t="str">
        <f aca="false">IF(E1155=K1155,"5000m",IF(G1155=K1155,"3000mSC","1500m"))</f>
        <v>1500m</v>
      </c>
      <c r="M1155" s="14" t="n">
        <f aca="false">(D1155&lt;&gt;"")*(D1155&lt;=($E$3*60+$F$3)/86400)+(F1155&lt;&gt;"")*(F1155&lt;=($I$3*60+$J$3)/86400)+(H1155&lt;&gt;"")*(H1155&lt;=($M$3*60+$N$3)/86400)</f>
        <v>0</v>
      </c>
      <c r="N1155" s="16"/>
      <c r="O1155" s="15"/>
    </row>
    <row r="1156" customFormat="false" ht="25.35" hidden="false" customHeight="false" outlineLevel="0" collapsed="false">
      <c r="A1156" s="9" t="n">
        <v>1150</v>
      </c>
      <c r="B1156" s="10" t="s">
        <v>1669</v>
      </c>
      <c r="C1156" s="10" t="s">
        <v>1670</v>
      </c>
      <c r="D1156" s="11"/>
      <c r="E1156" s="12"/>
      <c r="F1156" s="11" t="n">
        <v>0.00718472222222222</v>
      </c>
      <c r="G1156" s="12" t="n">
        <v>524</v>
      </c>
      <c r="H1156" s="11" t="n">
        <v>0.00292824074074074</v>
      </c>
      <c r="I1156" s="12" t="n">
        <v>1168</v>
      </c>
      <c r="J1156" s="12" t="n">
        <f aca="false">COUNT(E1156,G1156,I1156)</f>
        <v>2</v>
      </c>
      <c r="K1156" s="13" t="n">
        <f aca="false">MIN(E1156,G1156,I1156)</f>
        <v>524</v>
      </c>
      <c r="L1156" s="9" t="str">
        <f aca="false">IF(E1156=K1156,"5000m",IF(G1156=K1156,"3000mSC","1500m"))</f>
        <v>3000mSC</v>
      </c>
      <c r="M1156" s="14" t="n">
        <f aca="false">(D1156&lt;&gt;"")*(D1156&lt;=($E$3*60+$F$3)/86400)+(F1156&lt;&gt;"")*(F1156&lt;=($I$3*60+$J$3)/86400)+(H1156&lt;&gt;"")*(H1156&lt;=($M$3*60+$N$3)/86400)</f>
        <v>0</v>
      </c>
      <c r="N1156" s="16"/>
      <c r="O1156" s="15"/>
    </row>
    <row r="1157" customFormat="false" ht="15" hidden="false" customHeight="false" outlineLevel="0" collapsed="false">
      <c r="A1157" s="9" t="n">
        <v>1151</v>
      </c>
      <c r="B1157" s="10" t="s">
        <v>1671</v>
      </c>
      <c r="C1157" s="10" t="s">
        <v>120</v>
      </c>
      <c r="D1157" s="11" t="n">
        <v>0.0106496527777778</v>
      </c>
      <c r="E1157" s="12" t="n">
        <v>524</v>
      </c>
      <c r="F1157" s="11"/>
      <c r="G1157" s="12"/>
      <c r="H1157" s="11"/>
      <c r="I1157" s="12"/>
      <c r="J1157" s="12" t="n">
        <f aca="false">COUNT(E1157,G1157,I1157)</f>
        <v>1</v>
      </c>
      <c r="K1157" s="13" t="n">
        <f aca="false">MIN(E1157,G1157,I1157)</f>
        <v>524</v>
      </c>
      <c r="L1157" s="9" t="str">
        <f aca="false">IF(E1157=K1157,"5000m",IF(G1157=K1157,"3000mSC","1500m"))</f>
        <v>5000m</v>
      </c>
      <c r="M1157" s="14" t="n">
        <f aca="false">(D1157&lt;&gt;"")*(D1157&lt;=($E$3*60+$F$3)/86400)+(F1157&lt;&gt;"")*(F1157&lt;=($I$3*60+$J$3)/86400)+(H1157&lt;&gt;"")*(H1157&lt;=($M$3*60+$N$3)/86400)</f>
        <v>0</v>
      </c>
      <c r="N1157" s="16"/>
      <c r="O1157" s="15"/>
    </row>
    <row r="1158" customFormat="false" ht="25.35" hidden="false" customHeight="false" outlineLevel="0" collapsed="false">
      <c r="A1158" s="9" t="n">
        <v>1152</v>
      </c>
      <c r="B1158" s="10" t="s">
        <v>1672</v>
      </c>
      <c r="C1158" s="10" t="s">
        <v>1673</v>
      </c>
      <c r="D1158" s="11"/>
      <c r="E1158" s="12"/>
      <c r="F1158" s="11" t="n">
        <v>0.00718715277777778</v>
      </c>
      <c r="G1158" s="12" t="n">
        <v>525</v>
      </c>
      <c r="H1158" s="11"/>
      <c r="I1158" s="12"/>
      <c r="J1158" s="12" t="n">
        <f aca="false">COUNT(E1158,G1158,I1158)</f>
        <v>1</v>
      </c>
      <c r="K1158" s="13" t="n">
        <f aca="false">MIN(E1158,G1158,I1158)</f>
        <v>525</v>
      </c>
      <c r="L1158" s="9" t="str">
        <f aca="false">IF(E1158=K1158,"5000m",IF(G1158=K1158,"3000mSC","1500m"))</f>
        <v>3000mSC</v>
      </c>
      <c r="M1158" s="14" t="n">
        <f aca="false">(D1158&lt;&gt;"")*(D1158&lt;=($E$3*60+$F$3)/86400)+(F1158&lt;&gt;"")*(F1158&lt;=($I$3*60+$J$3)/86400)+(H1158&lt;&gt;"")*(H1158&lt;=($M$3*60+$N$3)/86400)</f>
        <v>0</v>
      </c>
      <c r="N1158" s="16"/>
      <c r="O1158" s="15"/>
    </row>
    <row r="1159" customFormat="false" ht="15" hidden="false" customHeight="false" outlineLevel="0" collapsed="false">
      <c r="A1159" s="9" t="n">
        <v>1153</v>
      </c>
      <c r="B1159" s="10" t="s">
        <v>1674</v>
      </c>
      <c r="C1159" s="10" t="s">
        <v>1675</v>
      </c>
      <c r="D1159" s="11"/>
      <c r="E1159" s="12"/>
      <c r="F1159" s="11"/>
      <c r="G1159" s="12"/>
      <c r="H1159" s="11" t="n">
        <v>0.00284386574074074</v>
      </c>
      <c r="I1159" s="12" t="n">
        <v>525</v>
      </c>
      <c r="J1159" s="12" t="n">
        <f aca="false">COUNT(E1159,G1159,I1159)</f>
        <v>1</v>
      </c>
      <c r="K1159" s="13" t="n">
        <f aca="false">MIN(E1159,G1159,I1159)</f>
        <v>525</v>
      </c>
      <c r="L1159" s="9" t="str">
        <f aca="false">IF(E1159=K1159,"5000m",IF(G1159=K1159,"3000mSC","1500m"))</f>
        <v>1500m</v>
      </c>
      <c r="M1159" s="14" t="n">
        <f aca="false">(D1159&lt;&gt;"")*(D1159&lt;=($E$3*60+$F$3)/86400)+(F1159&lt;&gt;"")*(F1159&lt;=($I$3*60+$J$3)/86400)+(H1159&lt;&gt;"")*(H1159&lt;=($M$3*60+$N$3)/86400)</f>
        <v>0</v>
      </c>
      <c r="N1159" s="16"/>
      <c r="O1159" s="15"/>
    </row>
    <row r="1160" customFormat="false" ht="15" hidden="false" customHeight="false" outlineLevel="0" collapsed="false">
      <c r="A1160" s="9" t="n">
        <v>1154</v>
      </c>
      <c r="B1160" s="10" t="s">
        <v>1676</v>
      </c>
      <c r="C1160" s="10" t="s">
        <v>440</v>
      </c>
      <c r="D1160" s="11" t="n">
        <v>0.0106502314814815</v>
      </c>
      <c r="E1160" s="12" t="n">
        <v>526</v>
      </c>
      <c r="F1160" s="11"/>
      <c r="G1160" s="12"/>
      <c r="H1160" s="11" t="n">
        <v>0.00286354166666667</v>
      </c>
      <c r="I1160" s="12" t="n">
        <v>658</v>
      </c>
      <c r="J1160" s="12" t="n">
        <f aca="false">COUNT(E1160,G1160,I1160)</f>
        <v>2</v>
      </c>
      <c r="K1160" s="13" t="n">
        <f aca="false">MIN(E1160,G1160,I1160)</f>
        <v>526</v>
      </c>
      <c r="L1160" s="9" t="str">
        <f aca="false">IF(E1160=K1160,"5000m",IF(G1160=K1160,"3000mSC","1500m"))</f>
        <v>5000m</v>
      </c>
      <c r="M1160" s="14" t="n">
        <f aca="false">(D1160&lt;&gt;"")*(D1160&lt;=($E$3*60+$F$3)/86400)+(F1160&lt;&gt;"")*(F1160&lt;=($I$3*60+$J$3)/86400)+(H1160&lt;&gt;"")*(H1160&lt;=($M$3*60+$N$3)/86400)</f>
        <v>0</v>
      </c>
      <c r="N1160" s="16"/>
      <c r="O1160" s="15"/>
    </row>
    <row r="1161" customFormat="false" ht="25.35" hidden="false" customHeight="false" outlineLevel="0" collapsed="false">
      <c r="A1161" s="9" t="n">
        <v>1155</v>
      </c>
      <c r="B1161" s="10" t="s">
        <v>1677</v>
      </c>
      <c r="C1161" s="10" t="s">
        <v>614</v>
      </c>
      <c r="D1161" s="11"/>
      <c r="E1161" s="12"/>
      <c r="F1161" s="11" t="n">
        <v>0.00718784722222222</v>
      </c>
      <c r="G1161" s="12" t="n">
        <v>526</v>
      </c>
      <c r="H1161" s="11"/>
      <c r="I1161" s="12"/>
      <c r="J1161" s="12" t="n">
        <f aca="false">COUNT(E1161,G1161,I1161)</f>
        <v>1</v>
      </c>
      <c r="K1161" s="13" t="n">
        <f aca="false">MIN(E1161,G1161,I1161)</f>
        <v>526</v>
      </c>
      <c r="L1161" s="9" t="str">
        <f aca="false">IF(E1161=K1161,"5000m",IF(G1161=K1161,"3000mSC","1500m"))</f>
        <v>3000mSC</v>
      </c>
      <c r="M1161" s="14" t="n">
        <f aca="false">(D1161&lt;&gt;"")*(D1161&lt;=($E$3*60+$F$3)/86400)+(F1161&lt;&gt;"")*(F1161&lt;=($I$3*60+$J$3)/86400)+(H1161&lt;&gt;"")*(H1161&lt;=($M$3*60+$N$3)/86400)</f>
        <v>0</v>
      </c>
      <c r="N1161" s="16"/>
      <c r="O1161" s="15"/>
    </row>
    <row r="1162" customFormat="false" ht="25.35" hidden="false" customHeight="false" outlineLevel="0" collapsed="false">
      <c r="A1162" s="9" t="n">
        <v>1156</v>
      </c>
      <c r="B1162" s="10" t="s">
        <v>1678</v>
      </c>
      <c r="C1162" s="10" t="s">
        <v>546</v>
      </c>
      <c r="D1162" s="11"/>
      <c r="E1162" s="12"/>
      <c r="F1162" s="11" t="n">
        <v>0.00718831018518519</v>
      </c>
      <c r="G1162" s="12" t="n">
        <v>527</v>
      </c>
      <c r="H1162" s="11"/>
      <c r="I1162" s="12"/>
      <c r="J1162" s="12" t="n">
        <f aca="false">COUNT(E1162,G1162,I1162)</f>
        <v>1</v>
      </c>
      <c r="K1162" s="13" t="n">
        <f aca="false">MIN(E1162,G1162,I1162)</f>
        <v>527</v>
      </c>
      <c r="L1162" s="9" t="str">
        <f aca="false">IF(E1162=K1162,"5000m",IF(G1162=K1162,"3000mSC","1500m"))</f>
        <v>3000mSC</v>
      </c>
      <c r="M1162" s="14" t="n">
        <f aca="false">(D1162&lt;&gt;"")*(D1162&lt;=($E$3*60+$F$3)/86400)+(F1162&lt;&gt;"")*(F1162&lt;=($I$3*60+$J$3)/86400)+(H1162&lt;&gt;"")*(H1162&lt;=($M$3*60+$N$3)/86400)</f>
        <v>0</v>
      </c>
      <c r="N1162" s="16"/>
      <c r="O1162" s="15"/>
    </row>
    <row r="1163" customFormat="false" ht="25.35" hidden="false" customHeight="false" outlineLevel="0" collapsed="false">
      <c r="A1163" s="9" t="n">
        <v>1157</v>
      </c>
      <c r="B1163" s="10" t="s">
        <v>1679</v>
      </c>
      <c r="C1163" s="10" t="s">
        <v>1680</v>
      </c>
      <c r="D1163" s="11"/>
      <c r="E1163" s="12"/>
      <c r="F1163" s="11" t="n">
        <v>0.00719085648148148</v>
      </c>
      <c r="G1163" s="12" t="n">
        <v>528</v>
      </c>
      <c r="H1163" s="11"/>
      <c r="I1163" s="12"/>
      <c r="J1163" s="12" t="n">
        <f aca="false">COUNT(E1163,G1163,I1163)</f>
        <v>1</v>
      </c>
      <c r="K1163" s="13" t="n">
        <f aca="false">MIN(E1163,G1163,I1163)</f>
        <v>528</v>
      </c>
      <c r="L1163" s="9" t="str">
        <f aca="false">IF(E1163=K1163,"5000m",IF(G1163=K1163,"3000mSC","1500m"))</f>
        <v>3000mSC</v>
      </c>
      <c r="M1163" s="14" t="n">
        <f aca="false">(D1163&lt;&gt;"")*(D1163&lt;=($E$3*60+$F$3)/86400)+(F1163&lt;&gt;"")*(F1163&lt;=($I$3*60+$J$3)/86400)+(H1163&lt;&gt;"")*(H1163&lt;=($M$3*60+$N$3)/86400)</f>
        <v>0</v>
      </c>
      <c r="N1163" s="16"/>
      <c r="O1163" s="15"/>
    </row>
    <row r="1164" customFormat="false" ht="15" hidden="false" customHeight="false" outlineLevel="0" collapsed="false">
      <c r="A1164" s="9" t="n">
        <v>1158</v>
      </c>
      <c r="B1164" s="10" t="s">
        <v>1681</v>
      </c>
      <c r="C1164" s="10" t="s">
        <v>422</v>
      </c>
      <c r="D1164" s="11" t="n">
        <v>0.0106528935185185</v>
      </c>
      <c r="E1164" s="12" t="n">
        <v>529</v>
      </c>
      <c r="F1164" s="11"/>
      <c r="G1164" s="12"/>
      <c r="H1164" s="11" t="n">
        <v>0.00286041666666667</v>
      </c>
      <c r="I1164" s="12" t="n">
        <v>637</v>
      </c>
      <c r="J1164" s="12" t="n">
        <f aca="false">COUNT(E1164,G1164,I1164)</f>
        <v>2</v>
      </c>
      <c r="K1164" s="13" t="n">
        <f aca="false">MIN(E1164,G1164,I1164)</f>
        <v>529</v>
      </c>
      <c r="L1164" s="9" t="str">
        <f aca="false">IF(E1164=K1164,"5000m",IF(G1164=K1164,"3000mSC","1500m"))</f>
        <v>5000m</v>
      </c>
      <c r="M1164" s="14" t="n">
        <f aca="false">(D1164&lt;&gt;"")*(D1164&lt;=($E$3*60+$F$3)/86400)+(F1164&lt;&gt;"")*(F1164&lt;=($I$3*60+$J$3)/86400)+(H1164&lt;&gt;"")*(H1164&lt;=($M$3*60+$N$3)/86400)</f>
        <v>0</v>
      </c>
      <c r="N1164" s="16"/>
      <c r="O1164" s="15"/>
    </row>
    <row r="1165" customFormat="false" ht="15" hidden="false" customHeight="false" outlineLevel="0" collapsed="false">
      <c r="A1165" s="9" t="n">
        <v>1159</v>
      </c>
      <c r="B1165" s="10" t="s">
        <v>1682</v>
      </c>
      <c r="C1165" s="10" t="s">
        <v>25</v>
      </c>
      <c r="D1165" s="11" t="n">
        <v>0.010653125</v>
      </c>
      <c r="E1165" s="12" t="n">
        <v>530</v>
      </c>
      <c r="F1165" s="11"/>
      <c r="G1165" s="12"/>
      <c r="H1165" s="11" t="n">
        <v>0.00289328703703704</v>
      </c>
      <c r="I1165" s="12" t="n">
        <v>899</v>
      </c>
      <c r="J1165" s="12" t="n">
        <f aca="false">COUNT(E1165,G1165,I1165)</f>
        <v>2</v>
      </c>
      <c r="K1165" s="13" t="n">
        <f aca="false">MIN(E1165,G1165,I1165)</f>
        <v>530</v>
      </c>
      <c r="L1165" s="9" t="str">
        <f aca="false">IF(E1165=K1165,"5000m",IF(G1165=K1165,"3000mSC","1500m"))</f>
        <v>5000m</v>
      </c>
      <c r="M1165" s="14" t="n">
        <f aca="false">(D1165&lt;&gt;"")*(D1165&lt;=($E$3*60+$F$3)/86400)+(F1165&lt;&gt;"")*(F1165&lt;=($I$3*60+$J$3)/86400)+(H1165&lt;&gt;"")*(H1165&lt;=($M$3*60+$N$3)/86400)</f>
        <v>0</v>
      </c>
      <c r="N1165" s="16"/>
      <c r="O1165" s="15"/>
    </row>
    <row r="1166" customFormat="false" ht="15" hidden="false" customHeight="false" outlineLevel="0" collapsed="false">
      <c r="A1166" s="9" t="n">
        <v>1160</v>
      </c>
      <c r="B1166" s="10" t="s">
        <v>1683</v>
      </c>
      <c r="C1166" s="10" t="s">
        <v>1684</v>
      </c>
      <c r="D1166" s="11" t="n">
        <v>0.0110606481481482</v>
      </c>
      <c r="E1166" s="12" t="n">
        <v>1216</v>
      </c>
      <c r="F1166" s="11"/>
      <c r="G1166" s="12"/>
      <c r="H1166" s="11" t="n">
        <v>0.00284444444444444</v>
      </c>
      <c r="I1166" s="12" t="n">
        <v>530</v>
      </c>
      <c r="J1166" s="12" t="n">
        <f aca="false">COUNT(E1166,G1166,I1166)</f>
        <v>2</v>
      </c>
      <c r="K1166" s="13" t="n">
        <f aca="false">MIN(E1166,G1166,I1166)</f>
        <v>530</v>
      </c>
      <c r="L1166" s="9" t="str">
        <f aca="false">IF(E1166=K1166,"5000m",IF(G1166=K1166,"3000mSC","1500m"))</f>
        <v>1500m</v>
      </c>
      <c r="M1166" s="14" t="n">
        <f aca="false">(D1166&lt;&gt;"")*(D1166&lt;=($E$3*60+$F$3)/86400)+(F1166&lt;&gt;"")*(F1166&lt;=($I$3*60+$J$3)/86400)+(H1166&lt;&gt;"")*(H1166&lt;=($M$3*60+$N$3)/86400)</f>
        <v>0</v>
      </c>
      <c r="N1166" s="16"/>
      <c r="O1166" s="15"/>
    </row>
    <row r="1167" customFormat="false" ht="25.35" hidden="false" customHeight="false" outlineLevel="0" collapsed="false">
      <c r="A1167" s="9" t="n">
        <v>1161</v>
      </c>
      <c r="B1167" s="10" t="s">
        <v>1685</v>
      </c>
      <c r="C1167" s="10" t="s">
        <v>377</v>
      </c>
      <c r="D1167" s="11"/>
      <c r="E1167" s="12"/>
      <c r="F1167" s="11" t="n">
        <v>0.00719131944444445</v>
      </c>
      <c r="G1167" s="12" t="n">
        <v>530</v>
      </c>
      <c r="H1167" s="11"/>
      <c r="I1167" s="12"/>
      <c r="J1167" s="12" t="n">
        <f aca="false">COUNT(E1167,G1167,I1167)</f>
        <v>1</v>
      </c>
      <c r="K1167" s="13" t="n">
        <f aca="false">MIN(E1167,G1167,I1167)</f>
        <v>530</v>
      </c>
      <c r="L1167" s="9" t="str">
        <f aca="false">IF(E1167=K1167,"5000m",IF(G1167=K1167,"3000mSC","1500m"))</f>
        <v>3000mSC</v>
      </c>
      <c r="M1167" s="14" t="n">
        <f aca="false">(D1167&lt;&gt;"")*(D1167&lt;=($E$3*60+$F$3)/86400)+(F1167&lt;&gt;"")*(F1167&lt;=($I$3*60+$J$3)/86400)+(H1167&lt;&gt;"")*(H1167&lt;=($M$3*60+$N$3)/86400)</f>
        <v>0</v>
      </c>
      <c r="N1167" s="16"/>
      <c r="O1167" s="15"/>
    </row>
    <row r="1168" customFormat="false" ht="25.35" hidden="false" customHeight="false" outlineLevel="0" collapsed="false">
      <c r="A1168" s="9" t="n">
        <v>1162</v>
      </c>
      <c r="B1168" s="10" t="s">
        <v>1686</v>
      </c>
      <c r="C1168" s="10" t="s">
        <v>443</v>
      </c>
      <c r="D1168" s="11" t="n">
        <v>0.0110180555555556</v>
      </c>
      <c r="E1168" s="12" t="n">
        <v>1125</v>
      </c>
      <c r="F1168" s="11" t="n">
        <v>0.00719201388888889</v>
      </c>
      <c r="G1168" s="12" t="n">
        <v>531</v>
      </c>
      <c r="H1168" s="11"/>
      <c r="I1168" s="12"/>
      <c r="J1168" s="12" t="n">
        <f aca="false">COUNT(E1168,G1168,I1168)</f>
        <v>2</v>
      </c>
      <c r="K1168" s="13" t="n">
        <f aca="false">MIN(E1168,G1168,I1168)</f>
        <v>531</v>
      </c>
      <c r="L1168" s="9" t="str">
        <f aca="false">IF(E1168=K1168,"5000m",IF(G1168=K1168,"3000mSC","1500m"))</f>
        <v>3000mSC</v>
      </c>
      <c r="M1168" s="14" t="n">
        <f aca="false">(D1168&lt;&gt;"")*(D1168&lt;=($E$3*60+$F$3)/86400)+(F1168&lt;&gt;"")*(F1168&lt;=($I$3*60+$J$3)/86400)+(H1168&lt;&gt;"")*(H1168&lt;=($M$3*60+$N$3)/86400)</f>
        <v>0</v>
      </c>
      <c r="N1168" s="10" t="s">
        <v>1687</v>
      </c>
      <c r="O1168" s="15"/>
    </row>
    <row r="1169" customFormat="false" ht="15" hidden="false" customHeight="false" outlineLevel="0" collapsed="false">
      <c r="A1169" s="9" t="n">
        <v>1163</v>
      </c>
      <c r="B1169" s="10" t="s">
        <v>1688</v>
      </c>
      <c r="C1169" s="10" t="s">
        <v>399</v>
      </c>
      <c r="D1169" s="11" t="n">
        <v>0.0106579861111111</v>
      </c>
      <c r="E1169" s="12" t="n">
        <v>532</v>
      </c>
      <c r="F1169" s="11"/>
      <c r="G1169" s="12"/>
      <c r="H1169" s="11" t="n">
        <v>0.00285520833333333</v>
      </c>
      <c r="I1169" s="12" t="n">
        <v>597</v>
      </c>
      <c r="J1169" s="12" t="n">
        <f aca="false">COUNT(E1169,G1169,I1169)</f>
        <v>2</v>
      </c>
      <c r="K1169" s="13" t="n">
        <f aca="false">MIN(E1169,G1169,I1169)</f>
        <v>532</v>
      </c>
      <c r="L1169" s="9" t="str">
        <f aca="false">IF(E1169=K1169,"5000m",IF(G1169=K1169,"3000mSC","1500m"))</f>
        <v>5000m</v>
      </c>
      <c r="M1169" s="14" t="n">
        <f aca="false">(D1169&lt;&gt;"")*(D1169&lt;=($E$3*60+$F$3)/86400)+(F1169&lt;&gt;"")*(F1169&lt;=($I$3*60+$J$3)/86400)+(H1169&lt;&gt;"")*(H1169&lt;=($M$3*60+$N$3)/86400)</f>
        <v>0</v>
      </c>
      <c r="N1169" s="16"/>
      <c r="O1169" s="15"/>
    </row>
    <row r="1170" customFormat="false" ht="25.35" hidden="false" customHeight="false" outlineLevel="0" collapsed="false">
      <c r="A1170" s="9" t="n">
        <v>1164</v>
      </c>
      <c r="B1170" s="10" t="s">
        <v>1689</v>
      </c>
      <c r="C1170" s="10" t="s">
        <v>1690</v>
      </c>
      <c r="D1170" s="11"/>
      <c r="E1170" s="12"/>
      <c r="F1170" s="11" t="n">
        <v>0.00719386574074074</v>
      </c>
      <c r="G1170" s="12" t="n">
        <v>532</v>
      </c>
      <c r="H1170" s="11"/>
      <c r="I1170" s="12"/>
      <c r="J1170" s="12" t="n">
        <f aca="false">COUNT(E1170,G1170,I1170)</f>
        <v>1</v>
      </c>
      <c r="K1170" s="13" t="n">
        <f aca="false">MIN(E1170,G1170,I1170)</f>
        <v>532</v>
      </c>
      <c r="L1170" s="9" t="str">
        <f aca="false">IF(E1170=K1170,"5000m",IF(G1170=K1170,"3000mSC","1500m"))</f>
        <v>3000mSC</v>
      </c>
      <c r="M1170" s="14" t="n">
        <f aca="false">(D1170&lt;&gt;"")*(D1170&lt;=($E$3*60+$F$3)/86400)+(F1170&lt;&gt;"")*(F1170&lt;=($I$3*60+$J$3)/86400)+(H1170&lt;&gt;"")*(H1170&lt;=($M$3*60+$N$3)/86400)</f>
        <v>0</v>
      </c>
      <c r="N1170" s="16"/>
      <c r="O1170" s="15"/>
    </row>
    <row r="1171" customFormat="false" ht="15" hidden="false" customHeight="false" outlineLevel="0" collapsed="false">
      <c r="A1171" s="9" t="n">
        <v>1165</v>
      </c>
      <c r="B1171" s="10" t="s">
        <v>1691</v>
      </c>
      <c r="C1171" s="10" t="s">
        <v>1692</v>
      </c>
      <c r="D1171" s="11" t="n">
        <v>0.0106582175925926</v>
      </c>
      <c r="E1171" s="12" t="n">
        <v>533</v>
      </c>
      <c r="F1171" s="11"/>
      <c r="G1171" s="12"/>
      <c r="H1171" s="11" t="n">
        <v>0.00288715277777778</v>
      </c>
      <c r="I1171" s="12" t="n">
        <v>837</v>
      </c>
      <c r="J1171" s="12" t="n">
        <f aca="false">COUNT(E1171,G1171,I1171)</f>
        <v>2</v>
      </c>
      <c r="K1171" s="13" t="n">
        <f aca="false">MIN(E1171,G1171,I1171)</f>
        <v>533</v>
      </c>
      <c r="L1171" s="9" t="str">
        <f aca="false">IF(E1171=K1171,"5000m",IF(G1171=K1171,"3000mSC","1500m"))</f>
        <v>5000m</v>
      </c>
      <c r="M1171" s="14" t="n">
        <f aca="false">(D1171&lt;&gt;"")*(D1171&lt;=($E$3*60+$F$3)/86400)+(F1171&lt;&gt;"")*(F1171&lt;=($I$3*60+$J$3)/86400)+(H1171&lt;&gt;"")*(H1171&lt;=($M$3*60+$N$3)/86400)</f>
        <v>0</v>
      </c>
      <c r="N1171" s="10" t="s">
        <v>1693</v>
      </c>
      <c r="O1171" s="15"/>
    </row>
    <row r="1172" customFormat="false" ht="25.35" hidden="false" customHeight="false" outlineLevel="0" collapsed="false">
      <c r="A1172" s="9" t="n">
        <v>1166</v>
      </c>
      <c r="B1172" s="10" t="s">
        <v>1694</v>
      </c>
      <c r="C1172" s="10" t="s">
        <v>831</v>
      </c>
      <c r="D1172" s="11"/>
      <c r="E1172" s="12"/>
      <c r="F1172" s="11" t="n">
        <v>0.00719618055555556</v>
      </c>
      <c r="G1172" s="12" t="n">
        <v>533</v>
      </c>
      <c r="H1172" s="11"/>
      <c r="I1172" s="12"/>
      <c r="J1172" s="12" t="n">
        <f aca="false">COUNT(E1172,G1172,I1172)</f>
        <v>1</v>
      </c>
      <c r="K1172" s="13" t="n">
        <f aca="false">MIN(E1172,G1172,I1172)</f>
        <v>533</v>
      </c>
      <c r="L1172" s="9" t="str">
        <f aca="false">IF(E1172=K1172,"5000m",IF(G1172=K1172,"3000mSC","1500m"))</f>
        <v>3000mSC</v>
      </c>
      <c r="M1172" s="14" t="n">
        <f aca="false">(D1172&lt;&gt;"")*(D1172&lt;=($E$3*60+$F$3)/86400)+(F1172&lt;&gt;"")*(F1172&lt;=($I$3*60+$J$3)/86400)+(H1172&lt;&gt;"")*(H1172&lt;=($M$3*60+$N$3)/86400)</f>
        <v>0</v>
      </c>
      <c r="N1172" s="16"/>
      <c r="O1172" s="15"/>
    </row>
    <row r="1173" customFormat="false" ht="15" hidden="false" customHeight="false" outlineLevel="0" collapsed="false">
      <c r="A1173" s="9" t="n">
        <v>1167</v>
      </c>
      <c r="B1173" s="10" t="s">
        <v>1695</v>
      </c>
      <c r="C1173" s="10" t="s">
        <v>1696</v>
      </c>
      <c r="D1173" s="11" t="n">
        <v>0.0110662037037037</v>
      </c>
      <c r="E1173" s="12" t="n">
        <v>1228</v>
      </c>
      <c r="F1173" s="11"/>
      <c r="G1173" s="12"/>
      <c r="H1173" s="11" t="n">
        <v>0.00284479166666667</v>
      </c>
      <c r="I1173" s="12" t="n">
        <v>534</v>
      </c>
      <c r="J1173" s="12" t="n">
        <f aca="false">COUNT(E1173,G1173,I1173)</f>
        <v>2</v>
      </c>
      <c r="K1173" s="13" t="n">
        <f aca="false">MIN(E1173,G1173,I1173)</f>
        <v>534</v>
      </c>
      <c r="L1173" s="9" t="str">
        <f aca="false">IF(E1173=K1173,"5000m",IF(G1173=K1173,"3000mSC","1500m"))</f>
        <v>1500m</v>
      </c>
      <c r="M1173" s="14" t="n">
        <f aca="false">(D1173&lt;&gt;"")*(D1173&lt;=($E$3*60+$F$3)/86400)+(F1173&lt;&gt;"")*(F1173&lt;=($I$3*60+$J$3)/86400)+(H1173&lt;&gt;"")*(H1173&lt;=($M$3*60+$N$3)/86400)</f>
        <v>0</v>
      </c>
      <c r="N1173" s="16"/>
      <c r="O1173" s="15"/>
    </row>
    <row r="1174" customFormat="false" ht="25.35" hidden="false" customHeight="false" outlineLevel="0" collapsed="false">
      <c r="A1174" s="9" t="n">
        <v>1168</v>
      </c>
      <c r="B1174" s="10" t="s">
        <v>1697</v>
      </c>
      <c r="C1174" s="10" t="s">
        <v>1411</v>
      </c>
      <c r="D1174" s="11"/>
      <c r="E1174" s="12"/>
      <c r="F1174" s="11" t="n">
        <v>0.00719768518518519</v>
      </c>
      <c r="G1174" s="12" t="n">
        <v>534</v>
      </c>
      <c r="H1174" s="11"/>
      <c r="I1174" s="12"/>
      <c r="J1174" s="12" t="n">
        <f aca="false">COUNT(E1174,G1174,I1174)</f>
        <v>1</v>
      </c>
      <c r="K1174" s="13" t="n">
        <f aca="false">MIN(E1174,G1174,I1174)</f>
        <v>534</v>
      </c>
      <c r="L1174" s="9" t="str">
        <f aca="false">IF(E1174=K1174,"5000m",IF(G1174=K1174,"3000mSC","1500m"))</f>
        <v>3000mSC</v>
      </c>
      <c r="M1174" s="14" t="n">
        <f aca="false">(D1174&lt;&gt;"")*(D1174&lt;=($E$3*60+$F$3)/86400)+(F1174&lt;&gt;"")*(F1174&lt;=($I$3*60+$J$3)/86400)+(H1174&lt;&gt;"")*(H1174&lt;=($M$3*60+$N$3)/86400)</f>
        <v>0</v>
      </c>
      <c r="N1174" s="16"/>
      <c r="O1174" s="15"/>
    </row>
    <row r="1175" customFormat="false" ht="15" hidden="false" customHeight="false" outlineLevel="0" collapsed="false">
      <c r="A1175" s="9" t="n">
        <v>1169</v>
      </c>
      <c r="B1175" s="10" t="s">
        <v>1698</v>
      </c>
      <c r="C1175" s="10" t="s">
        <v>226</v>
      </c>
      <c r="D1175" s="11" t="n">
        <v>0.0106601851851852</v>
      </c>
      <c r="E1175" s="12" t="n">
        <v>535</v>
      </c>
      <c r="F1175" s="11"/>
      <c r="G1175" s="12"/>
      <c r="H1175" s="11" t="n">
        <v>0.00286793981481482</v>
      </c>
      <c r="I1175" s="12" t="n">
        <v>679</v>
      </c>
      <c r="J1175" s="12" t="n">
        <f aca="false">COUNT(E1175,G1175,I1175)</f>
        <v>2</v>
      </c>
      <c r="K1175" s="13" t="n">
        <f aca="false">MIN(E1175,G1175,I1175)</f>
        <v>535</v>
      </c>
      <c r="L1175" s="9" t="str">
        <f aca="false">IF(E1175=K1175,"5000m",IF(G1175=K1175,"3000mSC","1500m"))</f>
        <v>5000m</v>
      </c>
      <c r="M1175" s="14" t="n">
        <f aca="false">(D1175&lt;&gt;"")*(D1175&lt;=($E$3*60+$F$3)/86400)+(F1175&lt;&gt;"")*(F1175&lt;=($I$3*60+$J$3)/86400)+(H1175&lt;&gt;"")*(H1175&lt;=($M$3*60+$N$3)/86400)</f>
        <v>0</v>
      </c>
      <c r="N1175" s="16"/>
      <c r="O1175" s="15"/>
    </row>
    <row r="1176" customFormat="false" ht="25.35" hidden="false" customHeight="false" outlineLevel="0" collapsed="false">
      <c r="A1176" s="9" t="n">
        <v>1170</v>
      </c>
      <c r="B1176" s="10" t="s">
        <v>1699</v>
      </c>
      <c r="C1176" s="10" t="s">
        <v>440</v>
      </c>
      <c r="D1176" s="11"/>
      <c r="E1176" s="12"/>
      <c r="F1176" s="11" t="n">
        <v>0.00719884259259259</v>
      </c>
      <c r="G1176" s="12" t="n">
        <v>535</v>
      </c>
      <c r="H1176" s="11"/>
      <c r="I1176" s="12"/>
      <c r="J1176" s="12" t="n">
        <f aca="false">COUNT(E1176,G1176,I1176)</f>
        <v>1</v>
      </c>
      <c r="K1176" s="13" t="n">
        <f aca="false">MIN(E1176,G1176,I1176)</f>
        <v>535</v>
      </c>
      <c r="L1176" s="9" t="str">
        <f aca="false">IF(E1176=K1176,"5000m",IF(G1176=K1176,"3000mSC","1500m"))</f>
        <v>3000mSC</v>
      </c>
      <c r="M1176" s="14" t="n">
        <f aca="false">(D1176&lt;&gt;"")*(D1176&lt;=($E$3*60+$F$3)/86400)+(F1176&lt;&gt;"")*(F1176&lt;=($I$3*60+$J$3)/86400)+(H1176&lt;&gt;"")*(H1176&lt;=($M$3*60+$N$3)/86400)</f>
        <v>0</v>
      </c>
      <c r="N1176" s="16"/>
      <c r="O1176" s="15"/>
    </row>
    <row r="1177" customFormat="false" ht="15" hidden="false" customHeight="false" outlineLevel="0" collapsed="false">
      <c r="A1177" s="9" t="n">
        <v>1171</v>
      </c>
      <c r="B1177" s="10" t="s">
        <v>1700</v>
      </c>
      <c r="C1177" s="10" t="s">
        <v>1130</v>
      </c>
      <c r="D1177" s="11" t="n">
        <v>0.0106615740740741</v>
      </c>
      <c r="E1177" s="12" t="n">
        <v>536</v>
      </c>
      <c r="F1177" s="11"/>
      <c r="G1177" s="12"/>
      <c r="H1177" s="11" t="n">
        <v>0.00294699074074074</v>
      </c>
      <c r="I1177" s="12" t="n">
        <v>1223</v>
      </c>
      <c r="J1177" s="12" t="n">
        <f aca="false">COUNT(E1177,G1177,I1177)</f>
        <v>2</v>
      </c>
      <c r="K1177" s="13" t="n">
        <f aca="false">MIN(E1177,G1177,I1177)</f>
        <v>536</v>
      </c>
      <c r="L1177" s="9" t="str">
        <f aca="false">IF(E1177=K1177,"5000m",IF(G1177=K1177,"3000mSC","1500m"))</f>
        <v>5000m</v>
      </c>
      <c r="M1177" s="14" t="n">
        <f aca="false">(D1177&lt;&gt;"")*(D1177&lt;=($E$3*60+$F$3)/86400)+(F1177&lt;&gt;"")*(F1177&lt;=($I$3*60+$J$3)/86400)+(H1177&lt;&gt;"")*(H1177&lt;=($M$3*60+$N$3)/86400)</f>
        <v>0</v>
      </c>
      <c r="N1177" s="16"/>
      <c r="O1177" s="15"/>
    </row>
    <row r="1178" customFormat="false" ht="25.35" hidden="false" customHeight="false" outlineLevel="0" collapsed="false">
      <c r="A1178" s="9" t="n">
        <v>1172</v>
      </c>
      <c r="B1178" s="10" t="s">
        <v>1701</v>
      </c>
      <c r="C1178" s="10" t="s">
        <v>1702</v>
      </c>
      <c r="D1178" s="11"/>
      <c r="E1178" s="12"/>
      <c r="F1178" s="11" t="n">
        <v>0.00719988425925926</v>
      </c>
      <c r="G1178" s="12" t="n">
        <v>536</v>
      </c>
      <c r="H1178" s="11"/>
      <c r="I1178" s="12"/>
      <c r="J1178" s="12" t="n">
        <f aca="false">COUNT(E1178,G1178,I1178)</f>
        <v>1</v>
      </c>
      <c r="K1178" s="13" t="n">
        <f aca="false">MIN(E1178,G1178,I1178)</f>
        <v>536</v>
      </c>
      <c r="L1178" s="9" t="str">
        <f aca="false">IF(E1178=K1178,"5000m",IF(G1178=K1178,"3000mSC","1500m"))</f>
        <v>3000mSC</v>
      </c>
      <c r="M1178" s="14" t="n">
        <f aca="false">(D1178&lt;&gt;"")*(D1178&lt;=($E$3*60+$F$3)/86400)+(F1178&lt;&gt;"")*(F1178&lt;=($I$3*60+$J$3)/86400)+(H1178&lt;&gt;"")*(H1178&lt;=($M$3*60+$N$3)/86400)</f>
        <v>0</v>
      </c>
      <c r="N1178" s="16"/>
      <c r="O1178" s="15"/>
    </row>
    <row r="1179" customFormat="false" ht="15" hidden="false" customHeight="false" outlineLevel="0" collapsed="false">
      <c r="A1179" s="9" t="n">
        <v>1173</v>
      </c>
      <c r="B1179" s="10" t="s">
        <v>1703</v>
      </c>
      <c r="C1179" s="10" t="s">
        <v>154</v>
      </c>
      <c r="D1179" s="11"/>
      <c r="E1179" s="12"/>
      <c r="F1179" s="11"/>
      <c r="G1179" s="12"/>
      <c r="H1179" s="11" t="n">
        <v>0.00284490740740741</v>
      </c>
      <c r="I1179" s="12" t="n">
        <v>536</v>
      </c>
      <c r="J1179" s="12" t="n">
        <f aca="false">COUNT(E1179,G1179,I1179)</f>
        <v>1</v>
      </c>
      <c r="K1179" s="13" t="n">
        <f aca="false">MIN(E1179,G1179,I1179)</f>
        <v>536</v>
      </c>
      <c r="L1179" s="9" t="str">
        <f aca="false">IF(E1179=K1179,"5000m",IF(G1179=K1179,"3000mSC","1500m"))</f>
        <v>1500m</v>
      </c>
      <c r="M1179" s="14" t="n">
        <f aca="false">(D1179&lt;&gt;"")*(D1179&lt;=($E$3*60+$F$3)/86400)+(F1179&lt;&gt;"")*(F1179&lt;=($I$3*60+$J$3)/86400)+(H1179&lt;&gt;"")*(H1179&lt;=($M$3*60+$N$3)/86400)</f>
        <v>0</v>
      </c>
      <c r="N1179" s="16"/>
      <c r="O1179" s="15"/>
    </row>
    <row r="1180" customFormat="false" ht="25.35" hidden="false" customHeight="false" outlineLevel="0" collapsed="false">
      <c r="A1180" s="9" t="n">
        <v>1174</v>
      </c>
      <c r="B1180" s="10" t="s">
        <v>1704</v>
      </c>
      <c r="C1180" s="10" t="s">
        <v>921</v>
      </c>
      <c r="D1180" s="11"/>
      <c r="E1180" s="12"/>
      <c r="F1180" s="11" t="n">
        <v>0.00720092592592593</v>
      </c>
      <c r="G1180" s="12" t="n">
        <v>537</v>
      </c>
      <c r="H1180" s="11"/>
      <c r="I1180" s="12"/>
      <c r="J1180" s="12" t="n">
        <f aca="false">COUNT(E1180,G1180,I1180)</f>
        <v>1</v>
      </c>
      <c r="K1180" s="13" t="n">
        <f aca="false">MIN(E1180,G1180,I1180)</f>
        <v>537</v>
      </c>
      <c r="L1180" s="9" t="str">
        <f aca="false">IF(E1180=K1180,"5000m",IF(G1180=K1180,"3000mSC","1500m"))</f>
        <v>3000mSC</v>
      </c>
      <c r="M1180" s="14" t="n">
        <f aca="false">(D1180&lt;&gt;"")*(D1180&lt;=($E$3*60+$F$3)/86400)+(F1180&lt;&gt;"")*(F1180&lt;=($I$3*60+$J$3)/86400)+(H1180&lt;&gt;"")*(H1180&lt;=($M$3*60+$N$3)/86400)</f>
        <v>0</v>
      </c>
      <c r="N1180" s="16"/>
      <c r="O1180" s="15"/>
    </row>
    <row r="1181" customFormat="false" ht="15" hidden="false" customHeight="false" outlineLevel="0" collapsed="false">
      <c r="A1181" s="9" t="n">
        <v>1175</v>
      </c>
      <c r="B1181" s="10" t="s">
        <v>1705</v>
      </c>
      <c r="C1181" s="10" t="s">
        <v>254</v>
      </c>
      <c r="D1181" s="11"/>
      <c r="E1181" s="12"/>
      <c r="F1181" s="11"/>
      <c r="G1181" s="12"/>
      <c r="H1181" s="11" t="n">
        <v>0.00284513888888889</v>
      </c>
      <c r="I1181" s="12" t="n">
        <v>537</v>
      </c>
      <c r="J1181" s="12" t="n">
        <f aca="false">COUNT(E1181,G1181,I1181)</f>
        <v>1</v>
      </c>
      <c r="K1181" s="13" t="n">
        <f aca="false">MIN(E1181,G1181,I1181)</f>
        <v>537</v>
      </c>
      <c r="L1181" s="9" t="str">
        <f aca="false">IF(E1181=K1181,"5000m",IF(G1181=K1181,"3000mSC","1500m"))</f>
        <v>1500m</v>
      </c>
      <c r="M1181" s="14" t="n">
        <f aca="false">(D1181&lt;&gt;"")*(D1181&lt;=($E$3*60+$F$3)/86400)+(F1181&lt;&gt;"")*(F1181&lt;=($I$3*60+$J$3)/86400)+(H1181&lt;&gt;"")*(H1181&lt;=($M$3*60+$N$3)/86400)</f>
        <v>0</v>
      </c>
      <c r="N1181" s="16"/>
      <c r="O1181" s="15"/>
    </row>
    <row r="1182" customFormat="false" ht="25.35" hidden="false" customHeight="false" outlineLevel="0" collapsed="false">
      <c r="A1182" s="9" t="n">
        <v>1176</v>
      </c>
      <c r="B1182" s="10" t="s">
        <v>1706</v>
      </c>
      <c r="C1182" s="10" t="s">
        <v>254</v>
      </c>
      <c r="D1182" s="11"/>
      <c r="E1182" s="12"/>
      <c r="F1182" s="11" t="n">
        <v>0.00720127314814815</v>
      </c>
      <c r="G1182" s="12" t="n">
        <v>538</v>
      </c>
      <c r="H1182" s="11" t="n">
        <v>0.0029755787037037</v>
      </c>
      <c r="I1182" s="12" t="n">
        <v>1329</v>
      </c>
      <c r="J1182" s="12" t="n">
        <f aca="false">COUNT(E1182,G1182,I1182)</f>
        <v>2</v>
      </c>
      <c r="K1182" s="13" t="n">
        <f aca="false">MIN(E1182,G1182,I1182)</f>
        <v>538</v>
      </c>
      <c r="L1182" s="9" t="str">
        <f aca="false">IF(E1182=K1182,"5000m",IF(G1182=K1182,"3000mSC","1500m"))</f>
        <v>3000mSC</v>
      </c>
      <c r="M1182" s="14" t="n">
        <f aca="false">(D1182&lt;&gt;"")*(D1182&lt;=($E$3*60+$F$3)/86400)+(F1182&lt;&gt;"")*(F1182&lt;=($I$3*60+$J$3)/86400)+(H1182&lt;&gt;"")*(H1182&lt;=($M$3*60+$N$3)/86400)</f>
        <v>0</v>
      </c>
      <c r="N1182" s="16"/>
      <c r="O1182" s="15"/>
    </row>
    <row r="1183" customFormat="false" ht="15" hidden="false" customHeight="false" outlineLevel="0" collapsed="false">
      <c r="A1183" s="9" t="n">
        <v>1177</v>
      </c>
      <c r="B1183" s="10" t="s">
        <v>1707</v>
      </c>
      <c r="C1183" s="10" t="s">
        <v>371</v>
      </c>
      <c r="D1183" s="11" t="n">
        <v>0.0106627314814815</v>
      </c>
      <c r="E1183" s="12" t="n">
        <v>538</v>
      </c>
      <c r="F1183" s="11"/>
      <c r="G1183" s="12"/>
      <c r="H1183" s="11"/>
      <c r="I1183" s="12"/>
      <c r="J1183" s="12" t="n">
        <f aca="false">COUNT(E1183,G1183,I1183)</f>
        <v>1</v>
      </c>
      <c r="K1183" s="13" t="n">
        <f aca="false">MIN(E1183,G1183,I1183)</f>
        <v>538</v>
      </c>
      <c r="L1183" s="9" t="str">
        <f aca="false">IF(E1183=K1183,"5000m",IF(G1183=K1183,"3000mSC","1500m"))</f>
        <v>5000m</v>
      </c>
      <c r="M1183" s="14" t="n">
        <f aca="false">(D1183&lt;&gt;"")*(D1183&lt;=($E$3*60+$F$3)/86400)+(F1183&lt;&gt;"")*(F1183&lt;=($I$3*60+$J$3)/86400)+(H1183&lt;&gt;"")*(H1183&lt;=($M$3*60+$N$3)/86400)</f>
        <v>0</v>
      </c>
      <c r="N1183" s="16"/>
      <c r="O1183" s="15"/>
    </row>
    <row r="1184" customFormat="false" ht="25.35" hidden="false" customHeight="false" outlineLevel="0" collapsed="false">
      <c r="A1184" s="9" t="n">
        <v>1178</v>
      </c>
      <c r="B1184" s="10" t="s">
        <v>1708</v>
      </c>
      <c r="C1184" s="10" t="s">
        <v>590</v>
      </c>
      <c r="D1184" s="11"/>
      <c r="E1184" s="12"/>
      <c r="F1184" s="11" t="n">
        <v>0.00720127314814815</v>
      </c>
      <c r="G1184" s="12" t="n">
        <v>539</v>
      </c>
      <c r="H1184" s="11"/>
      <c r="I1184" s="12"/>
      <c r="J1184" s="12" t="n">
        <f aca="false">COUNT(E1184,G1184,I1184)</f>
        <v>1</v>
      </c>
      <c r="K1184" s="13" t="n">
        <f aca="false">MIN(E1184,G1184,I1184)</f>
        <v>539</v>
      </c>
      <c r="L1184" s="9" t="str">
        <f aca="false">IF(E1184=K1184,"5000m",IF(G1184=K1184,"3000mSC","1500m"))</f>
        <v>3000mSC</v>
      </c>
      <c r="M1184" s="14" t="n">
        <f aca="false">(D1184&lt;&gt;"")*(D1184&lt;=($E$3*60+$F$3)/86400)+(F1184&lt;&gt;"")*(F1184&lt;=($I$3*60+$J$3)/86400)+(H1184&lt;&gt;"")*(H1184&lt;=($M$3*60+$N$3)/86400)</f>
        <v>0</v>
      </c>
      <c r="N1184" s="16"/>
      <c r="O1184" s="15"/>
    </row>
    <row r="1185" customFormat="false" ht="25.35" hidden="false" customHeight="false" outlineLevel="0" collapsed="false">
      <c r="A1185" s="9" t="n">
        <v>1179</v>
      </c>
      <c r="B1185" s="10" t="s">
        <v>1709</v>
      </c>
      <c r="C1185" s="10" t="s">
        <v>1710</v>
      </c>
      <c r="D1185" s="11"/>
      <c r="E1185" s="12"/>
      <c r="F1185" s="11" t="n">
        <v>0.00720138888888889</v>
      </c>
      <c r="G1185" s="12" t="n">
        <v>540</v>
      </c>
      <c r="H1185" s="11"/>
      <c r="I1185" s="12"/>
      <c r="J1185" s="12" t="n">
        <f aca="false">COUNT(E1185,G1185,I1185)</f>
        <v>1</v>
      </c>
      <c r="K1185" s="13" t="n">
        <f aca="false">MIN(E1185,G1185,I1185)</f>
        <v>540</v>
      </c>
      <c r="L1185" s="9" t="str">
        <f aca="false">IF(E1185=K1185,"5000m",IF(G1185=K1185,"3000mSC","1500m"))</f>
        <v>3000mSC</v>
      </c>
      <c r="M1185" s="14" t="n">
        <f aca="false">(D1185&lt;&gt;"")*(D1185&lt;=($E$3*60+$F$3)/86400)+(F1185&lt;&gt;"")*(F1185&lt;=($I$3*60+$J$3)/86400)+(H1185&lt;&gt;"")*(H1185&lt;=($M$3*60+$N$3)/86400)</f>
        <v>0</v>
      </c>
      <c r="N1185" s="16"/>
      <c r="O1185" s="15"/>
    </row>
    <row r="1186" customFormat="false" ht="15" hidden="false" customHeight="false" outlineLevel="0" collapsed="false">
      <c r="A1186" s="9" t="n">
        <v>1180</v>
      </c>
      <c r="B1186" s="10" t="s">
        <v>1711</v>
      </c>
      <c r="C1186" s="10" t="s">
        <v>1712</v>
      </c>
      <c r="D1186" s="11"/>
      <c r="E1186" s="12"/>
      <c r="F1186" s="11"/>
      <c r="G1186" s="12"/>
      <c r="H1186" s="11" t="n">
        <v>0.00284594907407407</v>
      </c>
      <c r="I1186" s="12" t="n">
        <v>540</v>
      </c>
      <c r="J1186" s="12" t="n">
        <f aca="false">COUNT(E1186,G1186,I1186)</f>
        <v>1</v>
      </c>
      <c r="K1186" s="13" t="n">
        <f aca="false">MIN(E1186,G1186,I1186)</f>
        <v>540</v>
      </c>
      <c r="L1186" s="9" t="str">
        <f aca="false">IF(E1186=K1186,"5000m",IF(G1186=K1186,"3000mSC","1500m"))</f>
        <v>1500m</v>
      </c>
      <c r="M1186" s="14" t="n">
        <f aca="false">(D1186&lt;&gt;"")*(D1186&lt;=($E$3*60+$F$3)/86400)+(F1186&lt;&gt;"")*(F1186&lt;=($I$3*60+$J$3)/86400)+(H1186&lt;&gt;"")*(H1186&lt;=($M$3*60+$N$3)/86400)</f>
        <v>0</v>
      </c>
      <c r="N1186" s="16"/>
      <c r="O1186" s="15"/>
    </row>
    <row r="1187" customFormat="false" ht="15" hidden="false" customHeight="false" outlineLevel="0" collapsed="false">
      <c r="A1187" s="9" t="n">
        <v>1181</v>
      </c>
      <c r="B1187" s="10" t="s">
        <v>1713</v>
      </c>
      <c r="C1187" s="10" t="s">
        <v>300</v>
      </c>
      <c r="D1187" s="11" t="n">
        <v>0.010666087962963</v>
      </c>
      <c r="E1187" s="12" t="n">
        <v>541</v>
      </c>
      <c r="F1187" s="11"/>
      <c r="G1187" s="12"/>
      <c r="H1187" s="11"/>
      <c r="I1187" s="12"/>
      <c r="J1187" s="12" t="n">
        <f aca="false">COUNT(E1187,G1187,I1187)</f>
        <v>1</v>
      </c>
      <c r="K1187" s="13" t="n">
        <f aca="false">MIN(E1187,G1187,I1187)</f>
        <v>541</v>
      </c>
      <c r="L1187" s="9" t="str">
        <f aca="false">IF(E1187=K1187,"5000m",IF(G1187=K1187,"3000mSC","1500m"))</f>
        <v>5000m</v>
      </c>
      <c r="M1187" s="14" t="n">
        <f aca="false">(D1187&lt;&gt;"")*(D1187&lt;=($E$3*60+$F$3)/86400)+(F1187&lt;&gt;"")*(F1187&lt;=($I$3*60+$J$3)/86400)+(H1187&lt;&gt;"")*(H1187&lt;=($M$3*60+$N$3)/86400)</f>
        <v>0</v>
      </c>
      <c r="N1187" s="16"/>
      <c r="O1187" s="15"/>
    </row>
    <row r="1188" customFormat="false" ht="15" hidden="false" customHeight="false" outlineLevel="0" collapsed="false">
      <c r="A1188" s="9" t="n">
        <v>1182</v>
      </c>
      <c r="B1188" s="10" t="s">
        <v>1714</v>
      </c>
      <c r="C1188" s="10" t="s">
        <v>1715</v>
      </c>
      <c r="D1188" s="11"/>
      <c r="E1188" s="12"/>
      <c r="F1188" s="11"/>
      <c r="G1188" s="12"/>
      <c r="H1188" s="11" t="n">
        <v>0.00284606481481482</v>
      </c>
      <c r="I1188" s="12" t="n">
        <v>541</v>
      </c>
      <c r="J1188" s="12" t="n">
        <f aca="false">COUNT(E1188,G1188,I1188)</f>
        <v>1</v>
      </c>
      <c r="K1188" s="13" t="n">
        <f aca="false">MIN(E1188,G1188,I1188)</f>
        <v>541</v>
      </c>
      <c r="L1188" s="9" t="str">
        <f aca="false">IF(E1188=K1188,"5000m",IF(G1188=K1188,"3000mSC","1500m"))</f>
        <v>1500m</v>
      </c>
      <c r="M1188" s="14" t="n">
        <f aca="false">(D1188&lt;&gt;"")*(D1188&lt;=($E$3*60+$F$3)/86400)+(F1188&lt;&gt;"")*(F1188&lt;=($I$3*60+$J$3)/86400)+(H1188&lt;&gt;"")*(H1188&lt;=($M$3*60+$N$3)/86400)</f>
        <v>0</v>
      </c>
      <c r="N1188" s="16"/>
      <c r="O1188" s="15"/>
    </row>
    <row r="1189" customFormat="false" ht="15" hidden="false" customHeight="false" outlineLevel="0" collapsed="false">
      <c r="A1189" s="9" t="n">
        <v>1183</v>
      </c>
      <c r="B1189" s="10" t="s">
        <v>1716</v>
      </c>
      <c r="C1189" s="10" t="s">
        <v>1717</v>
      </c>
      <c r="D1189" s="11" t="n">
        <v>0.0107275462962963</v>
      </c>
      <c r="E1189" s="12" t="n">
        <v>627</v>
      </c>
      <c r="F1189" s="11"/>
      <c r="G1189" s="12"/>
      <c r="H1189" s="11" t="n">
        <v>0.00284606481481482</v>
      </c>
      <c r="I1189" s="12" t="n">
        <v>542</v>
      </c>
      <c r="J1189" s="12" t="n">
        <f aca="false">COUNT(E1189,G1189,I1189)</f>
        <v>2</v>
      </c>
      <c r="K1189" s="13" t="n">
        <f aca="false">MIN(E1189,G1189,I1189)</f>
        <v>542</v>
      </c>
      <c r="L1189" s="9" t="str">
        <f aca="false">IF(E1189=K1189,"5000m",IF(G1189=K1189,"3000mSC","1500m"))</f>
        <v>1500m</v>
      </c>
      <c r="M1189" s="14" t="n">
        <f aca="false">(D1189&lt;&gt;"")*(D1189&lt;=($E$3*60+$F$3)/86400)+(F1189&lt;&gt;"")*(F1189&lt;=($I$3*60+$J$3)/86400)+(H1189&lt;&gt;"")*(H1189&lt;=($M$3*60+$N$3)/86400)</f>
        <v>0</v>
      </c>
      <c r="N1189" s="16"/>
      <c r="O1189" s="15"/>
    </row>
    <row r="1190" customFormat="false" ht="15" hidden="false" customHeight="false" outlineLevel="0" collapsed="false">
      <c r="A1190" s="9" t="n">
        <v>1184</v>
      </c>
      <c r="B1190" s="10" t="s">
        <v>1718</v>
      </c>
      <c r="C1190" s="10" t="s">
        <v>1005</v>
      </c>
      <c r="D1190" s="11" t="n">
        <v>0.0106663194444445</v>
      </c>
      <c r="E1190" s="12" t="n">
        <v>542</v>
      </c>
      <c r="F1190" s="11"/>
      <c r="G1190" s="12"/>
      <c r="H1190" s="11" t="n">
        <v>0.00288101851851852</v>
      </c>
      <c r="I1190" s="12" t="n">
        <v>777</v>
      </c>
      <c r="J1190" s="12" t="n">
        <f aca="false">COUNT(E1190,G1190,I1190)</f>
        <v>2</v>
      </c>
      <c r="K1190" s="13" t="n">
        <f aca="false">MIN(E1190,G1190,I1190)</f>
        <v>542</v>
      </c>
      <c r="L1190" s="9" t="str">
        <f aca="false">IF(E1190=K1190,"5000m",IF(G1190=K1190,"3000mSC","1500m"))</f>
        <v>5000m</v>
      </c>
      <c r="M1190" s="14" t="n">
        <f aca="false">(D1190&lt;&gt;"")*(D1190&lt;=($E$3*60+$F$3)/86400)+(F1190&lt;&gt;"")*(F1190&lt;=($I$3*60+$J$3)/86400)+(H1190&lt;&gt;"")*(H1190&lt;=($M$3*60+$N$3)/86400)</f>
        <v>0</v>
      </c>
      <c r="N1190" s="16"/>
      <c r="O1190" s="15"/>
    </row>
    <row r="1191" customFormat="false" ht="25.35" hidden="false" customHeight="false" outlineLevel="0" collapsed="false">
      <c r="A1191" s="9" t="n">
        <v>1185</v>
      </c>
      <c r="B1191" s="10" t="s">
        <v>1719</v>
      </c>
      <c r="C1191" s="10" t="s">
        <v>505</v>
      </c>
      <c r="D1191" s="11"/>
      <c r="E1191" s="12"/>
      <c r="F1191" s="11" t="n">
        <v>0.00720474537037037</v>
      </c>
      <c r="G1191" s="12" t="n">
        <v>542</v>
      </c>
      <c r="H1191" s="11" t="n">
        <v>0.00292210648148148</v>
      </c>
      <c r="I1191" s="12" t="n">
        <v>1114</v>
      </c>
      <c r="J1191" s="12" t="n">
        <f aca="false">COUNT(E1191,G1191,I1191)</f>
        <v>2</v>
      </c>
      <c r="K1191" s="13" t="n">
        <f aca="false">MIN(E1191,G1191,I1191)</f>
        <v>542</v>
      </c>
      <c r="L1191" s="9" t="str">
        <f aca="false">IF(E1191=K1191,"5000m",IF(G1191=K1191,"3000mSC","1500m"))</f>
        <v>3000mSC</v>
      </c>
      <c r="M1191" s="14" t="n">
        <f aca="false">(D1191&lt;&gt;"")*(D1191&lt;=($E$3*60+$F$3)/86400)+(F1191&lt;&gt;"")*(F1191&lt;=($I$3*60+$J$3)/86400)+(H1191&lt;&gt;"")*(H1191&lt;=($M$3*60+$N$3)/86400)</f>
        <v>0</v>
      </c>
      <c r="N1191" s="16"/>
      <c r="O1191" s="15"/>
    </row>
    <row r="1192" customFormat="false" ht="25.35" hidden="false" customHeight="false" outlineLevel="0" collapsed="false">
      <c r="A1192" s="9" t="n">
        <v>1186</v>
      </c>
      <c r="B1192" s="10" t="s">
        <v>1720</v>
      </c>
      <c r="C1192" s="10" t="s">
        <v>1721</v>
      </c>
      <c r="D1192" s="11"/>
      <c r="E1192" s="12"/>
      <c r="F1192" s="11" t="n">
        <v>0.00720555555555556</v>
      </c>
      <c r="G1192" s="12" t="n">
        <v>543</v>
      </c>
      <c r="H1192" s="11"/>
      <c r="I1192" s="12"/>
      <c r="J1192" s="12" t="n">
        <f aca="false">COUNT(E1192,G1192,I1192)</f>
        <v>1</v>
      </c>
      <c r="K1192" s="13" t="n">
        <f aca="false">MIN(E1192,G1192,I1192)</f>
        <v>543</v>
      </c>
      <c r="L1192" s="9" t="str">
        <f aca="false">IF(E1192=K1192,"5000m",IF(G1192=K1192,"3000mSC","1500m"))</f>
        <v>3000mSC</v>
      </c>
      <c r="M1192" s="14" t="n">
        <f aca="false">(D1192&lt;&gt;"")*(D1192&lt;=($E$3*60+$F$3)/86400)+(F1192&lt;&gt;"")*(F1192&lt;=($I$3*60+$J$3)/86400)+(H1192&lt;&gt;"")*(H1192&lt;=($M$3*60+$N$3)/86400)</f>
        <v>0</v>
      </c>
      <c r="N1192" s="16"/>
      <c r="O1192" s="15"/>
    </row>
    <row r="1193" customFormat="false" ht="25.35" hidden="false" customHeight="false" outlineLevel="0" collapsed="false">
      <c r="A1193" s="9" t="n">
        <v>1187</v>
      </c>
      <c r="B1193" s="10" t="s">
        <v>1722</v>
      </c>
      <c r="C1193" s="10" t="s">
        <v>1723</v>
      </c>
      <c r="D1193" s="11"/>
      <c r="E1193" s="12"/>
      <c r="F1193" s="11" t="n">
        <v>0.00720856481481482</v>
      </c>
      <c r="G1193" s="12" t="n">
        <v>544</v>
      </c>
      <c r="H1193" s="11" t="n">
        <v>0.00297523148148148</v>
      </c>
      <c r="I1193" s="12" t="n">
        <v>1326</v>
      </c>
      <c r="J1193" s="12" t="n">
        <f aca="false">COUNT(E1193,G1193,I1193)</f>
        <v>2</v>
      </c>
      <c r="K1193" s="13" t="n">
        <f aca="false">MIN(E1193,G1193,I1193)</f>
        <v>544</v>
      </c>
      <c r="L1193" s="9" t="str">
        <f aca="false">IF(E1193=K1193,"5000m",IF(G1193=K1193,"3000mSC","1500m"))</f>
        <v>3000mSC</v>
      </c>
      <c r="M1193" s="14" t="n">
        <f aca="false">(D1193&lt;&gt;"")*(D1193&lt;=($E$3*60+$F$3)/86400)+(F1193&lt;&gt;"")*(F1193&lt;=($I$3*60+$J$3)/86400)+(H1193&lt;&gt;"")*(H1193&lt;=($M$3*60+$N$3)/86400)</f>
        <v>0</v>
      </c>
      <c r="N1193" s="16"/>
      <c r="O1193" s="15"/>
    </row>
    <row r="1194" customFormat="false" ht="15" hidden="false" customHeight="false" outlineLevel="0" collapsed="false">
      <c r="A1194" s="9" t="n">
        <v>1188</v>
      </c>
      <c r="B1194" s="10" t="s">
        <v>1724</v>
      </c>
      <c r="C1194" s="10" t="s">
        <v>758</v>
      </c>
      <c r="D1194" s="11" t="n">
        <v>0.01081875</v>
      </c>
      <c r="E1194" s="12" t="n">
        <v>775</v>
      </c>
      <c r="F1194" s="11"/>
      <c r="G1194" s="12"/>
      <c r="H1194" s="11" t="n">
        <v>0.00284618055555556</v>
      </c>
      <c r="I1194" s="12" t="n">
        <v>545</v>
      </c>
      <c r="J1194" s="12" t="n">
        <f aca="false">COUNT(E1194,G1194,I1194)</f>
        <v>2</v>
      </c>
      <c r="K1194" s="13" t="n">
        <f aca="false">MIN(E1194,G1194,I1194)</f>
        <v>545</v>
      </c>
      <c r="L1194" s="9" t="str">
        <f aca="false">IF(E1194=K1194,"5000m",IF(G1194=K1194,"3000mSC","1500m"))</f>
        <v>1500m</v>
      </c>
      <c r="M1194" s="14" t="n">
        <f aca="false">(D1194&lt;&gt;"")*(D1194&lt;=($E$3*60+$F$3)/86400)+(F1194&lt;&gt;"")*(F1194&lt;=($I$3*60+$J$3)/86400)+(H1194&lt;&gt;"")*(H1194&lt;=($M$3*60+$N$3)/86400)</f>
        <v>0</v>
      </c>
      <c r="N1194" s="16"/>
      <c r="O1194" s="15"/>
    </row>
    <row r="1195" customFormat="false" ht="15" hidden="false" customHeight="false" outlineLevel="0" collapsed="false">
      <c r="A1195" s="9" t="n">
        <v>1189</v>
      </c>
      <c r="B1195" s="10" t="s">
        <v>1725</v>
      </c>
      <c r="C1195" s="10" t="s">
        <v>302</v>
      </c>
      <c r="D1195" s="11" t="n">
        <v>0.0106741898148148</v>
      </c>
      <c r="E1195" s="12" t="n">
        <v>554</v>
      </c>
      <c r="F1195" s="11"/>
      <c r="G1195" s="12"/>
      <c r="H1195" s="11" t="n">
        <v>0.0028462962962963</v>
      </c>
      <c r="I1195" s="12" t="n">
        <v>546</v>
      </c>
      <c r="J1195" s="12" t="n">
        <f aca="false">COUNT(E1195,G1195,I1195)</f>
        <v>2</v>
      </c>
      <c r="K1195" s="13" t="n">
        <f aca="false">MIN(E1195,G1195,I1195)</f>
        <v>546</v>
      </c>
      <c r="L1195" s="9" t="str">
        <f aca="false">IF(E1195=K1195,"5000m",IF(G1195=K1195,"3000mSC","1500m"))</f>
        <v>1500m</v>
      </c>
      <c r="M1195" s="14" t="n">
        <f aca="false">(D1195&lt;&gt;"")*(D1195&lt;=($E$3*60+$F$3)/86400)+(F1195&lt;&gt;"")*(F1195&lt;=($I$3*60+$J$3)/86400)+(H1195&lt;&gt;"")*(H1195&lt;=($M$3*60+$N$3)/86400)</f>
        <v>0</v>
      </c>
      <c r="N1195" s="16"/>
      <c r="O1195" s="15"/>
    </row>
    <row r="1196" customFormat="false" ht="15" hidden="false" customHeight="false" outlineLevel="0" collapsed="false">
      <c r="A1196" s="9" t="n">
        <v>1190</v>
      </c>
      <c r="B1196" s="10" t="s">
        <v>1726</v>
      </c>
      <c r="C1196" s="10" t="s">
        <v>87</v>
      </c>
      <c r="D1196" s="11" t="n">
        <v>0.0106693287037037</v>
      </c>
      <c r="E1196" s="12" t="n">
        <v>546</v>
      </c>
      <c r="F1196" s="11"/>
      <c r="G1196" s="12"/>
      <c r="H1196" s="11"/>
      <c r="I1196" s="12"/>
      <c r="J1196" s="12" t="n">
        <f aca="false">COUNT(E1196,G1196,I1196)</f>
        <v>1</v>
      </c>
      <c r="K1196" s="13" t="n">
        <f aca="false">MIN(E1196,G1196,I1196)</f>
        <v>546</v>
      </c>
      <c r="L1196" s="9" t="str">
        <f aca="false">IF(E1196=K1196,"5000m",IF(G1196=K1196,"3000mSC","1500m"))</f>
        <v>5000m</v>
      </c>
      <c r="M1196" s="14" t="n">
        <f aca="false">(D1196&lt;&gt;"")*(D1196&lt;=($E$3*60+$F$3)/86400)+(F1196&lt;&gt;"")*(F1196&lt;=($I$3*60+$J$3)/86400)+(H1196&lt;&gt;"")*(H1196&lt;=($M$3*60+$N$3)/86400)</f>
        <v>0</v>
      </c>
      <c r="N1196" s="16"/>
      <c r="O1196" s="15"/>
    </row>
    <row r="1197" customFormat="false" ht="15" hidden="false" customHeight="false" outlineLevel="0" collapsed="false">
      <c r="A1197" s="9" t="n">
        <v>1191</v>
      </c>
      <c r="B1197" s="10" t="s">
        <v>1727</v>
      </c>
      <c r="C1197" s="10" t="s">
        <v>130</v>
      </c>
      <c r="D1197" s="11" t="n">
        <v>0.0106693287037037</v>
      </c>
      <c r="E1197" s="12" t="n">
        <v>547</v>
      </c>
      <c r="F1197" s="11"/>
      <c r="G1197" s="12"/>
      <c r="H1197" s="11"/>
      <c r="I1197" s="12"/>
      <c r="J1197" s="12" t="n">
        <f aca="false">COUNT(E1197,G1197,I1197)</f>
        <v>1</v>
      </c>
      <c r="K1197" s="13" t="n">
        <f aca="false">MIN(E1197,G1197,I1197)</f>
        <v>547</v>
      </c>
      <c r="L1197" s="9" t="str">
        <f aca="false">IF(E1197=K1197,"5000m",IF(G1197=K1197,"3000mSC","1500m"))</f>
        <v>5000m</v>
      </c>
      <c r="M1197" s="14" t="n">
        <f aca="false">(D1197&lt;&gt;"")*(D1197&lt;=($E$3*60+$F$3)/86400)+(F1197&lt;&gt;"")*(F1197&lt;=($I$3*60+$J$3)/86400)+(H1197&lt;&gt;"")*(H1197&lt;=($M$3*60+$N$3)/86400)</f>
        <v>0</v>
      </c>
      <c r="N1197" s="16"/>
      <c r="O1197" s="15"/>
    </row>
    <row r="1198" customFormat="false" ht="25.35" hidden="false" customHeight="false" outlineLevel="0" collapsed="false">
      <c r="A1198" s="9" t="n">
        <v>1192</v>
      </c>
      <c r="B1198" s="10" t="s">
        <v>1728</v>
      </c>
      <c r="C1198" s="10" t="s">
        <v>1729</v>
      </c>
      <c r="D1198" s="11"/>
      <c r="E1198" s="12"/>
      <c r="F1198" s="11" t="n">
        <v>0.00721018518518519</v>
      </c>
      <c r="G1198" s="12" t="n">
        <v>547</v>
      </c>
      <c r="H1198" s="11"/>
      <c r="I1198" s="12"/>
      <c r="J1198" s="12" t="n">
        <f aca="false">COUNT(E1198,G1198,I1198)</f>
        <v>1</v>
      </c>
      <c r="K1198" s="13" t="n">
        <f aca="false">MIN(E1198,G1198,I1198)</f>
        <v>547</v>
      </c>
      <c r="L1198" s="9" t="str">
        <f aca="false">IF(E1198=K1198,"5000m",IF(G1198=K1198,"3000mSC","1500m"))</f>
        <v>3000mSC</v>
      </c>
      <c r="M1198" s="14" t="n">
        <f aca="false">(D1198&lt;&gt;"")*(D1198&lt;=($E$3*60+$F$3)/86400)+(F1198&lt;&gt;"")*(F1198&lt;=($I$3*60+$J$3)/86400)+(H1198&lt;&gt;"")*(H1198&lt;=($M$3*60+$N$3)/86400)</f>
        <v>0</v>
      </c>
      <c r="N1198" s="16"/>
      <c r="O1198" s="15"/>
    </row>
    <row r="1199" customFormat="false" ht="15" hidden="false" customHeight="false" outlineLevel="0" collapsed="false">
      <c r="A1199" s="9" t="n">
        <v>1193</v>
      </c>
      <c r="B1199" s="10" t="s">
        <v>1730</v>
      </c>
      <c r="C1199" s="10" t="s">
        <v>126</v>
      </c>
      <c r="D1199" s="11"/>
      <c r="E1199" s="12"/>
      <c r="F1199" s="11"/>
      <c r="G1199" s="12"/>
      <c r="H1199" s="11" t="n">
        <v>0.00284641203703704</v>
      </c>
      <c r="I1199" s="12" t="n">
        <v>547</v>
      </c>
      <c r="J1199" s="12" t="n">
        <f aca="false">COUNT(E1199,G1199,I1199)</f>
        <v>1</v>
      </c>
      <c r="K1199" s="13" t="n">
        <f aca="false">MIN(E1199,G1199,I1199)</f>
        <v>547</v>
      </c>
      <c r="L1199" s="9" t="str">
        <f aca="false">IF(E1199=K1199,"5000m",IF(G1199=K1199,"3000mSC","1500m"))</f>
        <v>1500m</v>
      </c>
      <c r="M1199" s="14" t="n">
        <f aca="false">(D1199&lt;&gt;"")*(D1199&lt;=($E$3*60+$F$3)/86400)+(F1199&lt;&gt;"")*(F1199&lt;=($I$3*60+$J$3)/86400)+(H1199&lt;&gt;"")*(H1199&lt;=($M$3*60+$N$3)/86400)</f>
        <v>0</v>
      </c>
      <c r="N1199" s="16"/>
      <c r="O1199" s="15"/>
    </row>
    <row r="1200" customFormat="false" ht="25.35" hidden="false" customHeight="false" outlineLevel="0" collapsed="false">
      <c r="A1200" s="9" t="n">
        <v>1194</v>
      </c>
      <c r="B1200" s="10" t="s">
        <v>1731</v>
      </c>
      <c r="C1200" s="10" t="s">
        <v>112</v>
      </c>
      <c r="D1200" s="11"/>
      <c r="E1200" s="12"/>
      <c r="F1200" s="11" t="n">
        <v>0.00721053240740741</v>
      </c>
      <c r="G1200" s="12" t="n">
        <v>548</v>
      </c>
      <c r="H1200" s="11"/>
      <c r="I1200" s="12"/>
      <c r="J1200" s="12" t="n">
        <f aca="false">COUNT(E1200,G1200,I1200)</f>
        <v>1</v>
      </c>
      <c r="K1200" s="13" t="n">
        <f aca="false">MIN(E1200,G1200,I1200)</f>
        <v>548</v>
      </c>
      <c r="L1200" s="9" t="str">
        <f aca="false">IF(E1200=K1200,"5000m",IF(G1200=K1200,"3000mSC","1500m"))</f>
        <v>3000mSC</v>
      </c>
      <c r="M1200" s="14" t="n">
        <f aca="false">(D1200&lt;&gt;"")*(D1200&lt;=($E$3*60+$F$3)/86400)+(F1200&lt;&gt;"")*(F1200&lt;=($I$3*60+$J$3)/86400)+(H1200&lt;&gt;"")*(H1200&lt;=($M$3*60+$N$3)/86400)</f>
        <v>0</v>
      </c>
      <c r="N1200" s="16"/>
      <c r="O1200" s="15"/>
    </row>
    <row r="1201" customFormat="false" ht="15" hidden="false" customHeight="false" outlineLevel="0" collapsed="false">
      <c r="A1201" s="9" t="n">
        <v>1195</v>
      </c>
      <c r="B1201" s="10" t="s">
        <v>1732</v>
      </c>
      <c r="C1201" s="10" t="s">
        <v>1733</v>
      </c>
      <c r="D1201" s="11"/>
      <c r="E1201" s="12"/>
      <c r="F1201" s="11"/>
      <c r="G1201" s="12"/>
      <c r="H1201" s="11" t="n">
        <v>0.00284652777777778</v>
      </c>
      <c r="I1201" s="12" t="n">
        <v>548</v>
      </c>
      <c r="J1201" s="12" t="n">
        <f aca="false">COUNT(E1201,G1201,I1201)</f>
        <v>1</v>
      </c>
      <c r="K1201" s="13" t="n">
        <f aca="false">MIN(E1201,G1201,I1201)</f>
        <v>548</v>
      </c>
      <c r="L1201" s="9" t="str">
        <f aca="false">IF(E1201=K1201,"5000m",IF(G1201=K1201,"3000mSC","1500m"))</f>
        <v>1500m</v>
      </c>
      <c r="M1201" s="14" t="n">
        <f aca="false">(D1201&lt;&gt;"")*(D1201&lt;=($E$3*60+$F$3)/86400)+(F1201&lt;&gt;"")*(F1201&lt;=($I$3*60+$J$3)/86400)+(H1201&lt;&gt;"")*(H1201&lt;=($M$3*60+$N$3)/86400)</f>
        <v>0</v>
      </c>
      <c r="N1201" s="16"/>
      <c r="O1201" s="15"/>
    </row>
    <row r="1202" customFormat="false" ht="15" hidden="false" customHeight="false" outlineLevel="0" collapsed="false">
      <c r="A1202" s="9" t="n">
        <v>1196</v>
      </c>
      <c r="B1202" s="10" t="s">
        <v>1734</v>
      </c>
      <c r="C1202" s="10" t="s">
        <v>103</v>
      </c>
      <c r="D1202" s="11" t="n">
        <v>0.0106704861111111</v>
      </c>
      <c r="E1202" s="12" t="n">
        <v>549</v>
      </c>
      <c r="F1202" s="11" t="n">
        <v>0.00736342592592593</v>
      </c>
      <c r="G1202" s="12" t="n">
        <v>725</v>
      </c>
      <c r="H1202" s="11" t="n">
        <v>0.00291284722222222</v>
      </c>
      <c r="I1202" s="12" t="n">
        <v>1042</v>
      </c>
      <c r="J1202" s="12" t="n">
        <f aca="false">COUNT(E1202,G1202,I1202)</f>
        <v>3</v>
      </c>
      <c r="K1202" s="13" t="n">
        <f aca="false">MIN(E1202,G1202,I1202)</f>
        <v>549</v>
      </c>
      <c r="L1202" s="9" t="str">
        <f aca="false">IF(E1202=K1202,"5000m",IF(G1202=K1202,"3000mSC","1500m"))</f>
        <v>5000m</v>
      </c>
      <c r="M1202" s="14" t="n">
        <f aca="false">(D1202&lt;&gt;"")*(D1202&lt;=($E$3*60+$F$3)/86400)+(F1202&lt;&gt;"")*(F1202&lt;=($I$3*60+$J$3)/86400)+(H1202&lt;&gt;"")*(H1202&lt;=($M$3*60+$N$3)/86400)</f>
        <v>0</v>
      </c>
      <c r="N1202" s="16"/>
      <c r="O1202" s="15"/>
    </row>
    <row r="1203" customFormat="false" ht="25.35" hidden="false" customHeight="false" outlineLevel="0" collapsed="false">
      <c r="A1203" s="9" t="n">
        <v>1197</v>
      </c>
      <c r="B1203" s="10" t="s">
        <v>1735</v>
      </c>
      <c r="C1203" s="10" t="s">
        <v>1736</v>
      </c>
      <c r="D1203" s="11"/>
      <c r="E1203" s="12"/>
      <c r="F1203" s="11" t="n">
        <v>0.00721134259259259</v>
      </c>
      <c r="G1203" s="12" t="n">
        <v>549</v>
      </c>
      <c r="H1203" s="11"/>
      <c r="I1203" s="12"/>
      <c r="J1203" s="12" t="n">
        <f aca="false">COUNT(E1203,G1203,I1203)</f>
        <v>1</v>
      </c>
      <c r="K1203" s="13" t="n">
        <f aca="false">MIN(E1203,G1203,I1203)</f>
        <v>549</v>
      </c>
      <c r="L1203" s="9" t="str">
        <f aca="false">IF(E1203=K1203,"5000m",IF(G1203=K1203,"3000mSC","1500m"))</f>
        <v>3000mSC</v>
      </c>
      <c r="M1203" s="14" t="n">
        <f aca="false">(D1203&lt;&gt;"")*(D1203&lt;=($E$3*60+$F$3)/86400)+(F1203&lt;&gt;"")*(F1203&lt;=($I$3*60+$J$3)/86400)+(H1203&lt;&gt;"")*(H1203&lt;=($M$3*60+$N$3)/86400)</f>
        <v>0</v>
      </c>
      <c r="N1203" s="16"/>
      <c r="O1203" s="15"/>
    </row>
    <row r="1204" customFormat="false" ht="15" hidden="false" customHeight="false" outlineLevel="0" collapsed="false">
      <c r="A1204" s="9" t="n">
        <v>1198</v>
      </c>
      <c r="B1204" s="10" t="s">
        <v>1737</v>
      </c>
      <c r="C1204" s="10" t="s">
        <v>1738</v>
      </c>
      <c r="D1204" s="11"/>
      <c r="E1204" s="12"/>
      <c r="F1204" s="11"/>
      <c r="G1204" s="12"/>
      <c r="H1204" s="11" t="n">
        <v>0.00284675925925926</v>
      </c>
      <c r="I1204" s="12" t="n">
        <v>549</v>
      </c>
      <c r="J1204" s="12" t="n">
        <f aca="false">COUNT(E1204,G1204,I1204)</f>
        <v>1</v>
      </c>
      <c r="K1204" s="13" t="n">
        <f aca="false">MIN(E1204,G1204,I1204)</f>
        <v>549</v>
      </c>
      <c r="L1204" s="9" t="str">
        <f aca="false">IF(E1204=K1204,"5000m",IF(G1204=K1204,"3000mSC","1500m"))</f>
        <v>1500m</v>
      </c>
      <c r="M1204" s="14" t="n">
        <f aca="false">(D1204&lt;&gt;"")*(D1204&lt;=($E$3*60+$F$3)/86400)+(F1204&lt;&gt;"")*(F1204&lt;=($I$3*60+$J$3)/86400)+(H1204&lt;&gt;"")*(H1204&lt;=($M$3*60+$N$3)/86400)</f>
        <v>0</v>
      </c>
      <c r="N1204" s="16"/>
      <c r="O1204" s="15"/>
    </row>
    <row r="1205" customFormat="false" ht="25.35" hidden="false" customHeight="false" outlineLevel="0" collapsed="false">
      <c r="A1205" s="9" t="n">
        <v>1199</v>
      </c>
      <c r="B1205" s="10" t="s">
        <v>1739</v>
      </c>
      <c r="C1205" s="10" t="s">
        <v>1740</v>
      </c>
      <c r="D1205" s="11" t="n">
        <v>0.0109909722222222</v>
      </c>
      <c r="E1205" s="12" t="n">
        <v>1081</v>
      </c>
      <c r="F1205" s="11" t="n">
        <v>0.00721296296296296</v>
      </c>
      <c r="G1205" s="12" t="n">
        <v>550</v>
      </c>
      <c r="H1205" s="11"/>
      <c r="I1205" s="12"/>
      <c r="J1205" s="12" t="n">
        <f aca="false">COUNT(E1205,G1205,I1205)</f>
        <v>2</v>
      </c>
      <c r="K1205" s="13" t="n">
        <f aca="false">MIN(E1205,G1205,I1205)</f>
        <v>550</v>
      </c>
      <c r="L1205" s="9" t="str">
        <f aca="false">IF(E1205=K1205,"5000m",IF(G1205=K1205,"3000mSC","1500m"))</f>
        <v>3000mSC</v>
      </c>
      <c r="M1205" s="14" t="n">
        <f aca="false">(D1205&lt;&gt;"")*(D1205&lt;=($E$3*60+$F$3)/86400)+(F1205&lt;&gt;"")*(F1205&lt;=($I$3*60+$J$3)/86400)+(H1205&lt;&gt;"")*(H1205&lt;=($M$3*60+$N$3)/86400)</f>
        <v>0</v>
      </c>
      <c r="N1205" s="16"/>
      <c r="O1205" s="15"/>
    </row>
    <row r="1206" customFormat="false" ht="15" hidden="false" customHeight="false" outlineLevel="0" collapsed="false">
      <c r="A1206" s="9" t="n">
        <v>1200</v>
      </c>
      <c r="B1206" s="10" t="s">
        <v>1741</v>
      </c>
      <c r="C1206" s="10" t="s">
        <v>1742</v>
      </c>
      <c r="D1206" s="11"/>
      <c r="E1206" s="12"/>
      <c r="F1206" s="11"/>
      <c r="G1206" s="12"/>
      <c r="H1206" s="11" t="n">
        <v>0.00284675925925926</v>
      </c>
      <c r="I1206" s="12" t="n">
        <v>550</v>
      </c>
      <c r="J1206" s="12" t="n">
        <f aca="false">COUNT(E1206,G1206,I1206)</f>
        <v>1</v>
      </c>
      <c r="K1206" s="13" t="n">
        <f aca="false">MIN(E1206,G1206,I1206)</f>
        <v>550</v>
      </c>
      <c r="L1206" s="9" t="str">
        <f aca="false">IF(E1206=K1206,"5000m",IF(G1206=K1206,"3000mSC","1500m"))</f>
        <v>1500m</v>
      </c>
      <c r="M1206" s="14" t="n">
        <f aca="false">(D1206&lt;&gt;"")*(D1206&lt;=($E$3*60+$F$3)/86400)+(F1206&lt;&gt;"")*(F1206&lt;=($I$3*60+$J$3)/86400)+(H1206&lt;&gt;"")*(H1206&lt;=($M$3*60+$N$3)/86400)</f>
        <v>0</v>
      </c>
      <c r="N1206" s="16"/>
      <c r="O1206" s="15"/>
    </row>
    <row r="1207" customFormat="false" ht="15" hidden="false" customHeight="false" outlineLevel="0" collapsed="false">
      <c r="A1207" s="9" t="n">
        <v>1201</v>
      </c>
      <c r="B1207" s="10" t="s">
        <v>1743</v>
      </c>
      <c r="C1207" s="10" t="s">
        <v>1744</v>
      </c>
      <c r="D1207" s="11" t="n">
        <v>0.0109299768518519</v>
      </c>
      <c r="E1207" s="12" t="n">
        <v>967</v>
      </c>
      <c r="F1207" s="11"/>
      <c r="G1207" s="12"/>
      <c r="H1207" s="11" t="n">
        <v>0.002846875</v>
      </c>
      <c r="I1207" s="12" t="n">
        <v>551</v>
      </c>
      <c r="J1207" s="12" t="n">
        <f aca="false">COUNT(E1207,G1207,I1207)</f>
        <v>2</v>
      </c>
      <c r="K1207" s="13" t="n">
        <f aca="false">MIN(E1207,G1207,I1207)</f>
        <v>551</v>
      </c>
      <c r="L1207" s="9" t="str">
        <f aca="false">IF(E1207=K1207,"5000m",IF(G1207=K1207,"3000mSC","1500m"))</f>
        <v>1500m</v>
      </c>
      <c r="M1207" s="14" t="n">
        <f aca="false">(D1207&lt;&gt;"")*(D1207&lt;=($E$3*60+$F$3)/86400)+(F1207&lt;&gt;"")*(F1207&lt;=($I$3*60+$J$3)/86400)+(H1207&lt;&gt;"")*(H1207&lt;=($M$3*60+$N$3)/86400)</f>
        <v>0</v>
      </c>
      <c r="N1207" s="16"/>
      <c r="O1207" s="15"/>
    </row>
    <row r="1208" customFormat="false" ht="25.35" hidden="false" customHeight="false" outlineLevel="0" collapsed="false">
      <c r="A1208" s="9" t="n">
        <v>1202</v>
      </c>
      <c r="B1208" s="10" t="s">
        <v>1745</v>
      </c>
      <c r="C1208" s="10" t="s">
        <v>695</v>
      </c>
      <c r="D1208" s="11"/>
      <c r="E1208" s="12"/>
      <c r="F1208" s="11" t="n">
        <v>0.00721342592592593</v>
      </c>
      <c r="G1208" s="12" t="n">
        <v>551</v>
      </c>
      <c r="H1208" s="11"/>
      <c r="I1208" s="12"/>
      <c r="J1208" s="12" t="n">
        <f aca="false">COUNT(E1208,G1208,I1208)</f>
        <v>1</v>
      </c>
      <c r="K1208" s="13" t="n">
        <f aca="false">MIN(E1208,G1208,I1208)</f>
        <v>551</v>
      </c>
      <c r="L1208" s="9" t="str">
        <f aca="false">IF(E1208=K1208,"5000m",IF(G1208=K1208,"3000mSC","1500m"))</f>
        <v>3000mSC</v>
      </c>
      <c r="M1208" s="14" t="n">
        <f aca="false">(D1208&lt;&gt;"")*(D1208&lt;=($E$3*60+$F$3)/86400)+(F1208&lt;&gt;"")*(F1208&lt;=($I$3*60+$J$3)/86400)+(H1208&lt;&gt;"")*(H1208&lt;=($M$3*60+$N$3)/86400)</f>
        <v>0</v>
      </c>
      <c r="N1208" s="16"/>
      <c r="O1208" s="15"/>
    </row>
    <row r="1209" customFormat="false" ht="25.35" hidden="false" customHeight="false" outlineLevel="0" collapsed="false">
      <c r="A1209" s="9" t="n">
        <v>1203</v>
      </c>
      <c r="B1209" s="10" t="s">
        <v>1746</v>
      </c>
      <c r="C1209" s="10" t="s">
        <v>1747</v>
      </c>
      <c r="D1209" s="11"/>
      <c r="E1209" s="12"/>
      <c r="F1209" s="11" t="n">
        <v>0.00721365740740741</v>
      </c>
      <c r="G1209" s="12" t="n">
        <v>552</v>
      </c>
      <c r="H1209" s="11"/>
      <c r="I1209" s="12"/>
      <c r="J1209" s="12" t="n">
        <f aca="false">COUNT(E1209,G1209,I1209)</f>
        <v>1</v>
      </c>
      <c r="K1209" s="13" t="n">
        <f aca="false">MIN(E1209,G1209,I1209)</f>
        <v>552</v>
      </c>
      <c r="L1209" s="9" t="str">
        <f aca="false">IF(E1209=K1209,"5000m",IF(G1209=K1209,"3000mSC","1500m"))</f>
        <v>3000mSC</v>
      </c>
      <c r="M1209" s="14" t="n">
        <f aca="false">(D1209&lt;&gt;"")*(D1209&lt;=($E$3*60+$F$3)/86400)+(F1209&lt;&gt;"")*(F1209&lt;=($I$3*60+$J$3)/86400)+(H1209&lt;&gt;"")*(H1209&lt;=($M$3*60+$N$3)/86400)</f>
        <v>0</v>
      </c>
      <c r="N1209" s="16"/>
      <c r="O1209" s="15"/>
    </row>
    <row r="1210" customFormat="false" ht="25.35" hidden="false" customHeight="false" outlineLevel="0" collapsed="false">
      <c r="A1210" s="9" t="n">
        <v>1204</v>
      </c>
      <c r="B1210" s="10" t="s">
        <v>1748</v>
      </c>
      <c r="C1210" s="10" t="s">
        <v>1749</v>
      </c>
      <c r="D1210" s="11"/>
      <c r="E1210" s="12"/>
      <c r="F1210" s="11" t="n">
        <v>0.00721435185185185</v>
      </c>
      <c r="G1210" s="12" t="n">
        <v>553</v>
      </c>
      <c r="H1210" s="11"/>
      <c r="I1210" s="12"/>
      <c r="J1210" s="12" t="n">
        <f aca="false">COUNT(E1210,G1210,I1210)</f>
        <v>1</v>
      </c>
      <c r="K1210" s="13" t="n">
        <f aca="false">MIN(E1210,G1210,I1210)</f>
        <v>553</v>
      </c>
      <c r="L1210" s="9" t="str">
        <f aca="false">IF(E1210=K1210,"5000m",IF(G1210=K1210,"3000mSC","1500m"))</f>
        <v>3000mSC</v>
      </c>
      <c r="M1210" s="14" t="n">
        <f aca="false">(D1210&lt;&gt;"")*(D1210&lt;=($E$3*60+$F$3)/86400)+(F1210&lt;&gt;"")*(F1210&lt;=($I$3*60+$J$3)/86400)+(H1210&lt;&gt;"")*(H1210&lt;=($M$3*60+$N$3)/86400)</f>
        <v>0</v>
      </c>
      <c r="N1210" s="16"/>
      <c r="O1210" s="15"/>
    </row>
    <row r="1211" customFormat="false" ht="25.35" hidden="false" customHeight="false" outlineLevel="0" collapsed="false">
      <c r="A1211" s="9" t="n">
        <v>1205</v>
      </c>
      <c r="B1211" s="10" t="s">
        <v>1750</v>
      </c>
      <c r="C1211" s="10" t="s">
        <v>1751</v>
      </c>
      <c r="D1211" s="11"/>
      <c r="E1211" s="12"/>
      <c r="F1211" s="11" t="n">
        <v>0.00721539351851852</v>
      </c>
      <c r="G1211" s="12" t="n">
        <v>554</v>
      </c>
      <c r="H1211" s="11"/>
      <c r="I1211" s="12"/>
      <c r="J1211" s="12" t="n">
        <f aca="false">COUNT(E1211,G1211,I1211)</f>
        <v>1</v>
      </c>
      <c r="K1211" s="13" t="n">
        <f aca="false">MIN(E1211,G1211,I1211)</f>
        <v>554</v>
      </c>
      <c r="L1211" s="9" t="str">
        <f aca="false">IF(E1211=K1211,"5000m",IF(G1211=K1211,"3000mSC","1500m"))</f>
        <v>3000mSC</v>
      </c>
      <c r="M1211" s="14" t="n">
        <f aca="false">(D1211&lt;&gt;"")*(D1211&lt;=($E$3*60+$F$3)/86400)+(F1211&lt;&gt;"")*(F1211&lt;=($I$3*60+$J$3)/86400)+(H1211&lt;&gt;"")*(H1211&lt;=($M$3*60+$N$3)/86400)</f>
        <v>0</v>
      </c>
      <c r="N1211" s="16"/>
      <c r="O1211" s="15"/>
    </row>
    <row r="1212" customFormat="false" ht="25.35" hidden="false" customHeight="false" outlineLevel="0" collapsed="false">
      <c r="A1212" s="9" t="n">
        <v>1206</v>
      </c>
      <c r="B1212" s="10" t="s">
        <v>1752</v>
      </c>
      <c r="C1212" s="10" t="s">
        <v>1753</v>
      </c>
      <c r="D1212" s="11"/>
      <c r="E1212" s="12"/>
      <c r="F1212" s="11" t="n">
        <v>0.00721608796296296</v>
      </c>
      <c r="G1212" s="12" t="n">
        <v>555</v>
      </c>
      <c r="H1212" s="11"/>
      <c r="I1212" s="12"/>
      <c r="J1212" s="12" t="n">
        <f aca="false">COUNT(E1212,G1212,I1212)</f>
        <v>1</v>
      </c>
      <c r="K1212" s="13" t="n">
        <f aca="false">MIN(E1212,G1212,I1212)</f>
        <v>555</v>
      </c>
      <c r="L1212" s="9" t="str">
        <f aca="false">IF(E1212=K1212,"5000m",IF(G1212=K1212,"3000mSC","1500m"))</f>
        <v>3000mSC</v>
      </c>
      <c r="M1212" s="14" t="n">
        <f aca="false">(D1212&lt;&gt;"")*(D1212&lt;=($E$3*60+$F$3)/86400)+(F1212&lt;&gt;"")*(F1212&lt;=($I$3*60+$J$3)/86400)+(H1212&lt;&gt;"")*(H1212&lt;=($M$3*60+$N$3)/86400)</f>
        <v>0</v>
      </c>
      <c r="N1212" s="16"/>
      <c r="O1212" s="15"/>
    </row>
    <row r="1213" customFormat="false" ht="15" hidden="false" customHeight="false" outlineLevel="0" collapsed="false">
      <c r="A1213" s="9" t="n">
        <v>1207</v>
      </c>
      <c r="B1213" s="10" t="s">
        <v>1754</v>
      </c>
      <c r="C1213" s="10" t="s">
        <v>107</v>
      </c>
      <c r="D1213" s="11" t="n">
        <v>0.0106774305555556</v>
      </c>
      <c r="E1213" s="12" t="n">
        <v>556</v>
      </c>
      <c r="F1213" s="11"/>
      <c r="G1213" s="12"/>
      <c r="H1213" s="11"/>
      <c r="I1213" s="12"/>
      <c r="J1213" s="12" t="n">
        <f aca="false">COUNT(E1213,G1213,I1213)</f>
        <v>1</v>
      </c>
      <c r="K1213" s="13" t="n">
        <f aca="false">MIN(E1213,G1213,I1213)</f>
        <v>556</v>
      </c>
      <c r="L1213" s="9" t="str">
        <f aca="false">IF(E1213=K1213,"5000m",IF(G1213=K1213,"3000mSC","1500m"))</f>
        <v>5000m</v>
      </c>
      <c r="M1213" s="14" t="n">
        <f aca="false">(D1213&lt;&gt;"")*(D1213&lt;=($E$3*60+$F$3)/86400)+(F1213&lt;&gt;"")*(F1213&lt;=($I$3*60+$J$3)/86400)+(H1213&lt;&gt;"")*(H1213&lt;=($M$3*60+$N$3)/86400)</f>
        <v>0</v>
      </c>
      <c r="N1213" s="16"/>
      <c r="O1213" s="15"/>
    </row>
    <row r="1214" customFormat="false" ht="25.35" hidden="false" customHeight="false" outlineLevel="0" collapsed="false">
      <c r="A1214" s="9" t="n">
        <v>1208</v>
      </c>
      <c r="B1214" s="10" t="s">
        <v>1755</v>
      </c>
      <c r="C1214" s="10" t="s">
        <v>1372</v>
      </c>
      <c r="D1214" s="11"/>
      <c r="E1214" s="12"/>
      <c r="F1214" s="11" t="n">
        <v>0.00721655092592593</v>
      </c>
      <c r="G1214" s="12" t="n">
        <v>556</v>
      </c>
      <c r="H1214" s="11"/>
      <c r="I1214" s="12"/>
      <c r="J1214" s="12" t="n">
        <f aca="false">COUNT(E1214,G1214,I1214)</f>
        <v>1</v>
      </c>
      <c r="K1214" s="13" t="n">
        <f aca="false">MIN(E1214,G1214,I1214)</f>
        <v>556</v>
      </c>
      <c r="L1214" s="9" t="str">
        <f aca="false">IF(E1214=K1214,"5000m",IF(G1214=K1214,"3000mSC","1500m"))</f>
        <v>3000mSC</v>
      </c>
      <c r="M1214" s="14" t="n">
        <f aca="false">(D1214&lt;&gt;"")*(D1214&lt;=($E$3*60+$F$3)/86400)+(F1214&lt;&gt;"")*(F1214&lt;=($I$3*60+$J$3)/86400)+(H1214&lt;&gt;"")*(H1214&lt;=($M$3*60+$N$3)/86400)</f>
        <v>0</v>
      </c>
      <c r="N1214" s="16"/>
      <c r="O1214" s="15"/>
    </row>
    <row r="1215" customFormat="false" ht="15" hidden="false" customHeight="false" outlineLevel="0" collapsed="false">
      <c r="A1215" s="9" t="n">
        <v>1209</v>
      </c>
      <c r="B1215" s="10" t="s">
        <v>1756</v>
      </c>
      <c r="C1215" s="10" t="s">
        <v>945</v>
      </c>
      <c r="D1215" s="11"/>
      <c r="E1215" s="12"/>
      <c r="F1215" s="11"/>
      <c r="G1215" s="12"/>
      <c r="H1215" s="11" t="n">
        <v>0.00284814814814815</v>
      </c>
      <c r="I1215" s="12" t="n">
        <v>556</v>
      </c>
      <c r="J1215" s="12" t="n">
        <f aca="false">COUNT(E1215,G1215,I1215)</f>
        <v>1</v>
      </c>
      <c r="K1215" s="13" t="n">
        <f aca="false">MIN(E1215,G1215,I1215)</f>
        <v>556</v>
      </c>
      <c r="L1215" s="9" t="str">
        <f aca="false">IF(E1215=K1215,"5000m",IF(G1215=K1215,"3000mSC","1500m"))</f>
        <v>1500m</v>
      </c>
      <c r="M1215" s="14" t="n">
        <f aca="false">(D1215&lt;&gt;"")*(D1215&lt;=($E$3*60+$F$3)/86400)+(F1215&lt;&gt;"")*(F1215&lt;=($I$3*60+$J$3)/86400)+(H1215&lt;&gt;"")*(H1215&lt;=($M$3*60+$N$3)/86400)</f>
        <v>0</v>
      </c>
      <c r="N1215" s="16"/>
      <c r="O1215" s="15"/>
    </row>
    <row r="1216" customFormat="false" ht="25.35" hidden="false" customHeight="false" outlineLevel="0" collapsed="false">
      <c r="A1216" s="9" t="n">
        <v>1210</v>
      </c>
      <c r="B1216" s="10" t="s">
        <v>1757</v>
      </c>
      <c r="C1216" s="10" t="s">
        <v>1758</v>
      </c>
      <c r="D1216" s="11" t="n">
        <v>0.0110373842592593</v>
      </c>
      <c r="E1216" s="12" t="n">
        <v>1171</v>
      </c>
      <c r="F1216" s="11" t="n">
        <v>0.00721666666666667</v>
      </c>
      <c r="G1216" s="12" t="n">
        <v>557</v>
      </c>
      <c r="H1216" s="11" t="n">
        <v>0.00294166666666667</v>
      </c>
      <c r="I1216" s="12" t="n">
        <v>1206</v>
      </c>
      <c r="J1216" s="12" t="n">
        <f aca="false">COUNT(E1216,G1216,I1216)</f>
        <v>3</v>
      </c>
      <c r="K1216" s="13" t="n">
        <f aca="false">MIN(E1216,G1216,I1216)</f>
        <v>557</v>
      </c>
      <c r="L1216" s="9" t="str">
        <f aca="false">IF(E1216=K1216,"5000m",IF(G1216=K1216,"3000mSC","1500m"))</f>
        <v>3000mSC</v>
      </c>
      <c r="M1216" s="14" t="n">
        <f aca="false">(D1216&lt;&gt;"")*(D1216&lt;=($E$3*60+$F$3)/86400)+(F1216&lt;&gt;"")*(F1216&lt;=($I$3*60+$J$3)/86400)+(H1216&lt;&gt;"")*(H1216&lt;=($M$3*60+$N$3)/86400)</f>
        <v>0</v>
      </c>
      <c r="N1216" s="16"/>
      <c r="O1216" s="15"/>
    </row>
    <row r="1217" customFormat="false" ht="15" hidden="false" customHeight="false" outlineLevel="0" collapsed="false">
      <c r="A1217" s="9" t="n">
        <v>1211</v>
      </c>
      <c r="B1217" s="10" t="s">
        <v>1759</v>
      </c>
      <c r="C1217" s="10" t="s">
        <v>1760</v>
      </c>
      <c r="D1217" s="11" t="n">
        <v>0.0107594907407407</v>
      </c>
      <c r="E1217" s="12" t="n">
        <v>678</v>
      </c>
      <c r="F1217" s="11"/>
      <c r="G1217" s="12"/>
      <c r="H1217" s="11" t="n">
        <v>0.00284837962962963</v>
      </c>
      <c r="I1217" s="12" t="n">
        <v>557</v>
      </c>
      <c r="J1217" s="12" t="n">
        <f aca="false">COUNT(E1217,G1217,I1217)</f>
        <v>2</v>
      </c>
      <c r="K1217" s="13" t="n">
        <f aca="false">MIN(E1217,G1217,I1217)</f>
        <v>557</v>
      </c>
      <c r="L1217" s="9" t="str">
        <f aca="false">IF(E1217=K1217,"5000m",IF(G1217=K1217,"3000mSC","1500m"))</f>
        <v>1500m</v>
      </c>
      <c r="M1217" s="14" t="n">
        <f aca="false">(D1217&lt;&gt;"")*(D1217&lt;=($E$3*60+$F$3)/86400)+(F1217&lt;&gt;"")*(F1217&lt;=($I$3*60+$J$3)/86400)+(H1217&lt;&gt;"")*(H1217&lt;=($M$3*60+$N$3)/86400)</f>
        <v>0</v>
      </c>
      <c r="N1217" s="16"/>
      <c r="O1217" s="15"/>
    </row>
    <row r="1218" customFormat="false" ht="15" hidden="false" customHeight="false" outlineLevel="0" collapsed="false">
      <c r="A1218" s="9" t="n">
        <v>1212</v>
      </c>
      <c r="B1218" s="10" t="s">
        <v>1761</v>
      </c>
      <c r="C1218" s="10" t="s">
        <v>55</v>
      </c>
      <c r="D1218" s="11" t="n">
        <v>0.0106783564814815</v>
      </c>
      <c r="E1218" s="12" t="n">
        <v>557</v>
      </c>
      <c r="F1218" s="11"/>
      <c r="G1218" s="12"/>
      <c r="H1218" s="11"/>
      <c r="I1218" s="12"/>
      <c r="J1218" s="12" t="n">
        <f aca="false">COUNT(E1218,G1218,I1218)</f>
        <v>1</v>
      </c>
      <c r="K1218" s="13" t="n">
        <f aca="false">MIN(E1218,G1218,I1218)</f>
        <v>557</v>
      </c>
      <c r="L1218" s="9" t="str">
        <f aca="false">IF(E1218=K1218,"5000m",IF(G1218=K1218,"3000mSC","1500m"))</f>
        <v>5000m</v>
      </c>
      <c r="M1218" s="14" t="n">
        <f aca="false">(D1218&lt;&gt;"")*(D1218&lt;=($E$3*60+$F$3)/86400)+(F1218&lt;&gt;"")*(F1218&lt;=($I$3*60+$J$3)/86400)+(H1218&lt;&gt;"")*(H1218&lt;=($M$3*60+$N$3)/86400)</f>
        <v>0</v>
      </c>
      <c r="N1218" s="16"/>
      <c r="O1218" s="15"/>
    </row>
    <row r="1219" customFormat="false" ht="15" hidden="false" customHeight="false" outlineLevel="0" collapsed="false">
      <c r="A1219" s="9" t="n">
        <v>1213</v>
      </c>
      <c r="B1219" s="10" t="s">
        <v>1762</v>
      </c>
      <c r="C1219" s="10" t="s">
        <v>680</v>
      </c>
      <c r="D1219" s="11" t="n">
        <v>0.0106811342592593</v>
      </c>
      <c r="E1219" s="12" t="n">
        <v>558</v>
      </c>
      <c r="F1219" s="11"/>
      <c r="G1219" s="12"/>
      <c r="H1219" s="11"/>
      <c r="I1219" s="12"/>
      <c r="J1219" s="12" t="n">
        <f aca="false">COUNT(E1219,G1219,I1219)</f>
        <v>1</v>
      </c>
      <c r="K1219" s="13" t="n">
        <f aca="false">MIN(E1219,G1219,I1219)</f>
        <v>558</v>
      </c>
      <c r="L1219" s="9" t="str">
        <f aca="false">IF(E1219=K1219,"5000m",IF(G1219=K1219,"3000mSC","1500m"))</f>
        <v>5000m</v>
      </c>
      <c r="M1219" s="14" t="n">
        <f aca="false">(D1219&lt;&gt;"")*(D1219&lt;=($E$3*60+$F$3)/86400)+(F1219&lt;&gt;"")*(F1219&lt;=($I$3*60+$J$3)/86400)+(H1219&lt;&gt;"")*(H1219&lt;=($M$3*60+$N$3)/86400)</f>
        <v>0</v>
      </c>
      <c r="N1219" s="16"/>
      <c r="O1219" s="15"/>
    </row>
    <row r="1220" customFormat="false" ht="25.35" hidden="false" customHeight="false" outlineLevel="0" collapsed="false">
      <c r="A1220" s="9" t="n">
        <v>1214</v>
      </c>
      <c r="B1220" s="10" t="s">
        <v>1763</v>
      </c>
      <c r="C1220" s="10" t="s">
        <v>1764</v>
      </c>
      <c r="D1220" s="11"/>
      <c r="E1220" s="12"/>
      <c r="F1220" s="11" t="n">
        <v>0.00721712962962963</v>
      </c>
      <c r="G1220" s="12" t="n">
        <v>558</v>
      </c>
      <c r="H1220" s="11"/>
      <c r="I1220" s="12"/>
      <c r="J1220" s="12" t="n">
        <f aca="false">COUNT(E1220,G1220,I1220)</f>
        <v>1</v>
      </c>
      <c r="K1220" s="13" t="n">
        <f aca="false">MIN(E1220,G1220,I1220)</f>
        <v>558</v>
      </c>
      <c r="L1220" s="9" t="str">
        <f aca="false">IF(E1220=K1220,"5000m",IF(G1220=K1220,"3000mSC","1500m"))</f>
        <v>3000mSC</v>
      </c>
      <c r="M1220" s="14" t="n">
        <f aca="false">(D1220&lt;&gt;"")*(D1220&lt;=($E$3*60+$F$3)/86400)+(F1220&lt;&gt;"")*(F1220&lt;=($I$3*60+$J$3)/86400)+(H1220&lt;&gt;"")*(H1220&lt;=($M$3*60+$N$3)/86400)</f>
        <v>0</v>
      </c>
      <c r="N1220" s="16"/>
      <c r="O1220" s="15"/>
    </row>
    <row r="1221" customFormat="false" ht="25.35" hidden="false" customHeight="false" outlineLevel="0" collapsed="false">
      <c r="A1221" s="9" t="n">
        <v>1215</v>
      </c>
      <c r="B1221" s="10" t="s">
        <v>1765</v>
      </c>
      <c r="C1221" s="10" t="s">
        <v>1766</v>
      </c>
      <c r="D1221" s="11"/>
      <c r="E1221" s="12"/>
      <c r="F1221" s="11" t="n">
        <v>0.00722013888888889</v>
      </c>
      <c r="G1221" s="12" t="n">
        <v>559</v>
      </c>
      <c r="H1221" s="11"/>
      <c r="I1221" s="12"/>
      <c r="J1221" s="12" t="n">
        <f aca="false">COUNT(E1221,G1221,I1221)</f>
        <v>1</v>
      </c>
      <c r="K1221" s="13" t="n">
        <f aca="false">MIN(E1221,G1221,I1221)</f>
        <v>559</v>
      </c>
      <c r="L1221" s="9" t="str">
        <f aca="false">IF(E1221=K1221,"5000m",IF(G1221=K1221,"3000mSC","1500m"))</f>
        <v>3000mSC</v>
      </c>
      <c r="M1221" s="14" t="n">
        <f aca="false">(D1221&lt;&gt;"")*(D1221&lt;=($E$3*60+$F$3)/86400)+(F1221&lt;&gt;"")*(F1221&lt;=($I$3*60+$J$3)/86400)+(H1221&lt;&gt;"")*(H1221&lt;=($M$3*60+$N$3)/86400)</f>
        <v>0</v>
      </c>
      <c r="N1221" s="16"/>
      <c r="O1221" s="15"/>
    </row>
    <row r="1222" customFormat="false" ht="25.35" hidden="false" customHeight="false" outlineLevel="0" collapsed="false">
      <c r="A1222" s="9" t="n">
        <v>1216</v>
      </c>
      <c r="B1222" s="10" t="s">
        <v>1767</v>
      </c>
      <c r="C1222" s="10" t="s">
        <v>1225</v>
      </c>
      <c r="D1222" s="11"/>
      <c r="E1222" s="12"/>
      <c r="F1222" s="11" t="n">
        <v>0.00722094907407407</v>
      </c>
      <c r="G1222" s="12" t="n">
        <v>560</v>
      </c>
      <c r="H1222" s="11"/>
      <c r="I1222" s="12"/>
      <c r="J1222" s="12" t="n">
        <f aca="false">COUNT(E1222,G1222,I1222)</f>
        <v>1</v>
      </c>
      <c r="K1222" s="13" t="n">
        <f aca="false">MIN(E1222,G1222,I1222)</f>
        <v>560</v>
      </c>
      <c r="L1222" s="9" t="str">
        <f aca="false">IF(E1222=K1222,"5000m",IF(G1222=K1222,"3000mSC","1500m"))</f>
        <v>3000mSC</v>
      </c>
      <c r="M1222" s="14" t="n">
        <f aca="false">(D1222&lt;&gt;"")*(D1222&lt;=($E$3*60+$F$3)/86400)+(F1222&lt;&gt;"")*(F1222&lt;=($I$3*60+$J$3)/86400)+(H1222&lt;&gt;"")*(H1222&lt;=($M$3*60+$N$3)/86400)</f>
        <v>0</v>
      </c>
      <c r="N1222" s="16"/>
      <c r="O1222" s="15"/>
    </row>
    <row r="1223" customFormat="false" ht="15" hidden="false" customHeight="false" outlineLevel="0" collapsed="false">
      <c r="A1223" s="9" t="n">
        <v>1217</v>
      </c>
      <c r="B1223" s="10" t="s">
        <v>1768</v>
      </c>
      <c r="C1223" s="10" t="s">
        <v>494</v>
      </c>
      <c r="D1223" s="11" t="n">
        <v>0.0107917824074074</v>
      </c>
      <c r="E1223" s="12" t="n">
        <v>728</v>
      </c>
      <c r="F1223" s="11"/>
      <c r="G1223" s="12"/>
      <c r="H1223" s="11" t="n">
        <v>0.00284884259259259</v>
      </c>
      <c r="I1223" s="12" t="n">
        <v>561</v>
      </c>
      <c r="J1223" s="12" t="n">
        <f aca="false">COUNT(E1223,G1223,I1223)</f>
        <v>2</v>
      </c>
      <c r="K1223" s="13" t="n">
        <f aca="false">MIN(E1223,G1223,I1223)</f>
        <v>561</v>
      </c>
      <c r="L1223" s="9" t="str">
        <f aca="false">IF(E1223=K1223,"5000m",IF(G1223=K1223,"3000mSC","1500m"))</f>
        <v>1500m</v>
      </c>
      <c r="M1223" s="14" t="n">
        <f aca="false">(D1223&lt;&gt;"")*(D1223&lt;=($E$3*60+$F$3)/86400)+(F1223&lt;&gt;"")*(F1223&lt;=($I$3*60+$J$3)/86400)+(H1223&lt;&gt;"")*(H1223&lt;=($M$3*60+$N$3)/86400)</f>
        <v>0</v>
      </c>
      <c r="N1223" s="16"/>
      <c r="O1223" s="15"/>
    </row>
    <row r="1224" customFormat="false" ht="25.35" hidden="false" customHeight="false" outlineLevel="0" collapsed="false">
      <c r="A1224" s="9" t="n">
        <v>1218</v>
      </c>
      <c r="B1224" s="10" t="s">
        <v>1769</v>
      </c>
      <c r="C1224" s="10" t="s">
        <v>286</v>
      </c>
      <c r="D1224" s="11"/>
      <c r="E1224" s="12"/>
      <c r="F1224" s="11" t="n">
        <v>0.00722106481481482</v>
      </c>
      <c r="G1224" s="12" t="n">
        <v>561</v>
      </c>
      <c r="H1224" s="11" t="n">
        <v>0.00289560185185185</v>
      </c>
      <c r="I1224" s="12" t="n">
        <v>916</v>
      </c>
      <c r="J1224" s="12" t="n">
        <f aca="false">COUNT(E1224,G1224,I1224)</f>
        <v>2</v>
      </c>
      <c r="K1224" s="13" t="n">
        <f aca="false">MIN(E1224,G1224,I1224)</f>
        <v>561</v>
      </c>
      <c r="L1224" s="9" t="str">
        <f aca="false">IF(E1224=K1224,"5000m",IF(G1224=K1224,"3000mSC","1500m"))</f>
        <v>3000mSC</v>
      </c>
      <c r="M1224" s="14" t="n">
        <f aca="false">(D1224&lt;&gt;"")*(D1224&lt;=($E$3*60+$F$3)/86400)+(F1224&lt;&gt;"")*(F1224&lt;=($I$3*60+$J$3)/86400)+(H1224&lt;&gt;"")*(H1224&lt;=($M$3*60+$N$3)/86400)</f>
        <v>0</v>
      </c>
      <c r="N1224" s="16"/>
      <c r="O1224" s="15"/>
    </row>
    <row r="1225" customFormat="false" ht="15" hidden="false" customHeight="false" outlineLevel="0" collapsed="false">
      <c r="A1225" s="9" t="n">
        <v>1219</v>
      </c>
      <c r="B1225" s="10" t="s">
        <v>1770</v>
      </c>
      <c r="C1225" s="10" t="s">
        <v>467</v>
      </c>
      <c r="D1225" s="11" t="n">
        <v>0.0106862268518519</v>
      </c>
      <c r="E1225" s="12" t="n">
        <v>561</v>
      </c>
      <c r="F1225" s="11"/>
      <c r="G1225" s="12"/>
      <c r="H1225" s="11"/>
      <c r="I1225" s="12"/>
      <c r="J1225" s="12" t="n">
        <f aca="false">COUNT(E1225,G1225,I1225)</f>
        <v>1</v>
      </c>
      <c r="K1225" s="13" t="n">
        <f aca="false">MIN(E1225,G1225,I1225)</f>
        <v>561</v>
      </c>
      <c r="L1225" s="9" t="str">
        <f aca="false">IF(E1225=K1225,"5000m",IF(G1225=K1225,"3000mSC","1500m"))</f>
        <v>5000m</v>
      </c>
      <c r="M1225" s="14" t="n">
        <f aca="false">(D1225&lt;&gt;"")*(D1225&lt;=($E$3*60+$F$3)/86400)+(F1225&lt;&gt;"")*(F1225&lt;=($I$3*60+$J$3)/86400)+(H1225&lt;&gt;"")*(H1225&lt;=($M$3*60+$N$3)/86400)</f>
        <v>0</v>
      </c>
      <c r="N1225" s="16"/>
      <c r="O1225" s="15"/>
    </row>
    <row r="1226" customFormat="false" ht="15" hidden="false" customHeight="false" outlineLevel="0" collapsed="false">
      <c r="A1226" s="9" t="n">
        <v>1220</v>
      </c>
      <c r="B1226" s="10" t="s">
        <v>1771</v>
      </c>
      <c r="C1226" s="10" t="s">
        <v>1772</v>
      </c>
      <c r="D1226" s="11" t="n">
        <v>0.0106869212962963</v>
      </c>
      <c r="E1226" s="12" t="n">
        <v>562</v>
      </c>
      <c r="F1226" s="11"/>
      <c r="G1226" s="12"/>
      <c r="H1226" s="11" t="n">
        <v>0.00291319444444444</v>
      </c>
      <c r="I1226" s="12" t="n">
        <v>1043</v>
      </c>
      <c r="J1226" s="12" t="n">
        <f aca="false">COUNT(E1226,G1226,I1226)</f>
        <v>2</v>
      </c>
      <c r="K1226" s="13" t="n">
        <f aca="false">MIN(E1226,G1226,I1226)</f>
        <v>562</v>
      </c>
      <c r="L1226" s="9" t="str">
        <f aca="false">IF(E1226=K1226,"5000m",IF(G1226=K1226,"3000mSC","1500m"))</f>
        <v>5000m</v>
      </c>
      <c r="M1226" s="14" t="n">
        <f aca="false">(D1226&lt;&gt;"")*(D1226&lt;=($E$3*60+$F$3)/86400)+(F1226&lt;&gt;"")*(F1226&lt;=($I$3*60+$J$3)/86400)+(H1226&lt;&gt;"")*(H1226&lt;=($M$3*60+$N$3)/86400)</f>
        <v>0</v>
      </c>
      <c r="N1226" s="16"/>
      <c r="O1226" s="15"/>
    </row>
    <row r="1227" customFormat="false" ht="25.35" hidden="false" customHeight="false" outlineLevel="0" collapsed="false">
      <c r="A1227" s="9" t="n">
        <v>1221</v>
      </c>
      <c r="B1227" s="10" t="s">
        <v>1773</v>
      </c>
      <c r="C1227" s="10" t="s">
        <v>938</v>
      </c>
      <c r="D1227" s="11"/>
      <c r="E1227" s="12"/>
      <c r="F1227" s="11" t="n">
        <v>0.007221875</v>
      </c>
      <c r="G1227" s="12" t="n">
        <v>562</v>
      </c>
      <c r="H1227" s="11"/>
      <c r="I1227" s="12"/>
      <c r="J1227" s="12" t="n">
        <f aca="false">COUNT(E1227,G1227,I1227)</f>
        <v>1</v>
      </c>
      <c r="K1227" s="13" t="n">
        <f aca="false">MIN(E1227,G1227,I1227)</f>
        <v>562</v>
      </c>
      <c r="L1227" s="9" t="str">
        <f aca="false">IF(E1227=K1227,"5000m",IF(G1227=K1227,"3000mSC","1500m"))</f>
        <v>3000mSC</v>
      </c>
      <c r="M1227" s="14" t="n">
        <f aca="false">(D1227&lt;&gt;"")*(D1227&lt;=($E$3*60+$F$3)/86400)+(F1227&lt;&gt;"")*(F1227&lt;=($I$3*60+$J$3)/86400)+(H1227&lt;&gt;"")*(H1227&lt;=($M$3*60+$N$3)/86400)</f>
        <v>0</v>
      </c>
      <c r="N1227" s="16"/>
      <c r="O1227" s="15"/>
    </row>
    <row r="1228" customFormat="false" ht="15" hidden="false" customHeight="false" outlineLevel="0" collapsed="false">
      <c r="A1228" s="9" t="n">
        <v>1222</v>
      </c>
      <c r="B1228" s="10" t="s">
        <v>1774</v>
      </c>
      <c r="C1228" s="10" t="s">
        <v>1775</v>
      </c>
      <c r="D1228" s="11"/>
      <c r="E1228" s="12"/>
      <c r="F1228" s="11"/>
      <c r="G1228" s="12"/>
      <c r="H1228" s="11" t="n">
        <v>0.00284884259259259</v>
      </c>
      <c r="I1228" s="12" t="n">
        <v>562</v>
      </c>
      <c r="J1228" s="12" t="n">
        <f aca="false">COUNT(E1228,G1228,I1228)</f>
        <v>1</v>
      </c>
      <c r="K1228" s="13" t="n">
        <f aca="false">MIN(E1228,G1228,I1228)</f>
        <v>562</v>
      </c>
      <c r="L1228" s="9" t="str">
        <f aca="false">IF(E1228=K1228,"5000m",IF(G1228=K1228,"3000mSC","1500m"))</f>
        <v>1500m</v>
      </c>
      <c r="M1228" s="14" t="n">
        <f aca="false">(D1228&lt;&gt;"")*(D1228&lt;=($E$3*60+$F$3)/86400)+(F1228&lt;&gt;"")*(F1228&lt;=($I$3*60+$J$3)/86400)+(H1228&lt;&gt;"")*(H1228&lt;=($M$3*60+$N$3)/86400)</f>
        <v>0</v>
      </c>
      <c r="N1228" s="16"/>
      <c r="O1228" s="15"/>
    </row>
    <row r="1229" customFormat="false" ht="15" hidden="false" customHeight="false" outlineLevel="0" collapsed="false">
      <c r="A1229" s="9" t="n">
        <v>1223</v>
      </c>
      <c r="B1229" s="10" t="s">
        <v>1776</v>
      </c>
      <c r="C1229" s="10" t="s">
        <v>1777</v>
      </c>
      <c r="D1229" s="11" t="n">
        <v>0.0106871527777778</v>
      </c>
      <c r="E1229" s="12" t="n">
        <v>563</v>
      </c>
      <c r="F1229" s="11"/>
      <c r="G1229" s="12"/>
      <c r="H1229" s="11"/>
      <c r="I1229" s="12"/>
      <c r="J1229" s="12" t="n">
        <f aca="false">COUNT(E1229,G1229,I1229)</f>
        <v>1</v>
      </c>
      <c r="K1229" s="13" t="n">
        <f aca="false">MIN(E1229,G1229,I1229)</f>
        <v>563</v>
      </c>
      <c r="L1229" s="9" t="str">
        <f aca="false">IF(E1229=K1229,"5000m",IF(G1229=K1229,"3000mSC","1500m"))</f>
        <v>5000m</v>
      </c>
      <c r="M1229" s="14" t="n">
        <f aca="false">(D1229&lt;&gt;"")*(D1229&lt;=($E$3*60+$F$3)/86400)+(F1229&lt;&gt;"")*(F1229&lt;=($I$3*60+$J$3)/86400)+(H1229&lt;&gt;"")*(H1229&lt;=($M$3*60+$N$3)/86400)</f>
        <v>0</v>
      </c>
      <c r="N1229" s="16"/>
      <c r="O1229" s="15"/>
    </row>
    <row r="1230" customFormat="false" ht="25.35" hidden="false" customHeight="false" outlineLevel="0" collapsed="false">
      <c r="A1230" s="9" t="n">
        <v>1224</v>
      </c>
      <c r="B1230" s="10" t="s">
        <v>1778</v>
      </c>
      <c r="C1230" s="10" t="s">
        <v>1779</v>
      </c>
      <c r="D1230" s="11"/>
      <c r="E1230" s="12"/>
      <c r="F1230" s="11" t="n">
        <v>0.00722326388888889</v>
      </c>
      <c r="G1230" s="12" t="n">
        <v>563</v>
      </c>
      <c r="H1230" s="11"/>
      <c r="I1230" s="12"/>
      <c r="J1230" s="12" t="n">
        <f aca="false">COUNT(E1230,G1230,I1230)</f>
        <v>1</v>
      </c>
      <c r="K1230" s="13" t="n">
        <f aca="false">MIN(E1230,G1230,I1230)</f>
        <v>563</v>
      </c>
      <c r="L1230" s="9" t="str">
        <f aca="false">IF(E1230=K1230,"5000m",IF(G1230=K1230,"3000mSC","1500m"))</f>
        <v>3000mSC</v>
      </c>
      <c r="M1230" s="14" t="n">
        <f aca="false">(D1230&lt;&gt;"")*(D1230&lt;=($E$3*60+$F$3)/86400)+(F1230&lt;&gt;"")*(F1230&lt;=($I$3*60+$J$3)/86400)+(H1230&lt;&gt;"")*(H1230&lt;=($M$3*60+$N$3)/86400)</f>
        <v>0</v>
      </c>
      <c r="N1230" s="16"/>
      <c r="O1230" s="15"/>
    </row>
    <row r="1231" customFormat="false" ht="15" hidden="false" customHeight="false" outlineLevel="0" collapsed="false">
      <c r="A1231" s="9" t="n">
        <v>1225</v>
      </c>
      <c r="B1231" s="10" t="s">
        <v>1780</v>
      </c>
      <c r="C1231" s="10" t="s">
        <v>1781</v>
      </c>
      <c r="D1231" s="11"/>
      <c r="E1231" s="12"/>
      <c r="F1231" s="11"/>
      <c r="G1231" s="12"/>
      <c r="H1231" s="11" t="n">
        <v>0.00284884259259259</v>
      </c>
      <c r="I1231" s="12" t="n">
        <v>563</v>
      </c>
      <c r="J1231" s="12" t="n">
        <f aca="false">COUNT(E1231,G1231,I1231)</f>
        <v>1</v>
      </c>
      <c r="K1231" s="13" t="n">
        <f aca="false">MIN(E1231,G1231,I1231)</f>
        <v>563</v>
      </c>
      <c r="L1231" s="9" t="str">
        <f aca="false">IF(E1231=K1231,"5000m",IF(G1231=K1231,"3000mSC","1500m"))</f>
        <v>1500m</v>
      </c>
      <c r="M1231" s="14" t="n">
        <f aca="false">(D1231&lt;&gt;"")*(D1231&lt;=($E$3*60+$F$3)/86400)+(F1231&lt;&gt;"")*(F1231&lt;=($I$3*60+$J$3)/86400)+(H1231&lt;&gt;"")*(H1231&lt;=($M$3*60+$N$3)/86400)</f>
        <v>0</v>
      </c>
      <c r="N1231" s="16"/>
      <c r="O1231" s="15"/>
    </row>
    <row r="1232" customFormat="false" ht="15" hidden="false" customHeight="false" outlineLevel="0" collapsed="false">
      <c r="A1232" s="9" t="n">
        <v>1226</v>
      </c>
      <c r="B1232" s="10" t="s">
        <v>1782</v>
      </c>
      <c r="C1232" s="10" t="s">
        <v>1783</v>
      </c>
      <c r="D1232" s="11" t="n">
        <v>0.0106871527777778</v>
      </c>
      <c r="E1232" s="12" t="n">
        <v>564</v>
      </c>
      <c r="F1232" s="11" t="n">
        <v>0.00728587962962963</v>
      </c>
      <c r="G1232" s="12" t="n">
        <v>628</v>
      </c>
      <c r="H1232" s="11" t="n">
        <v>0.00288969907407407</v>
      </c>
      <c r="I1232" s="12" t="n">
        <v>862</v>
      </c>
      <c r="J1232" s="12" t="n">
        <f aca="false">COUNT(E1232,G1232,I1232)</f>
        <v>3</v>
      </c>
      <c r="K1232" s="13" t="n">
        <f aca="false">MIN(E1232,G1232,I1232)</f>
        <v>564</v>
      </c>
      <c r="L1232" s="9" t="str">
        <f aca="false">IF(E1232=K1232,"5000m",IF(G1232=K1232,"3000mSC","1500m"))</f>
        <v>5000m</v>
      </c>
      <c r="M1232" s="14" t="n">
        <f aca="false">(D1232&lt;&gt;"")*(D1232&lt;=($E$3*60+$F$3)/86400)+(F1232&lt;&gt;"")*(F1232&lt;=($I$3*60+$J$3)/86400)+(H1232&lt;&gt;"")*(H1232&lt;=($M$3*60+$N$3)/86400)</f>
        <v>0</v>
      </c>
      <c r="N1232" s="16"/>
      <c r="O1232" s="15"/>
    </row>
    <row r="1233" customFormat="false" ht="15" hidden="false" customHeight="false" outlineLevel="0" collapsed="false">
      <c r="A1233" s="9" t="n">
        <v>1227</v>
      </c>
      <c r="B1233" s="10" t="s">
        <v>1784</v>
      </c>
      <c r="C1233" s="10" t="s">
        <v>616</v>
      </c>
      <c r="D1233" s="11" t="n">
        <v>0.0110673611111111</v>
      </c>
      <c r="E1233" s="12" t="n">
        <v>1232</v>
      </c>
      <c r="F1233" s="11"/>
      <c r="G1233" s="12"/>
      <c r="H1233" s="11" t="n">
        <v>0.00284895833333333</v>
      </c>
      <c r="I1233" s="12" t="n">
        <v>564</v>
      </c>
      <c r="J1233" s="12" t="n">
        <f aca="false">COUNT(E1233,G1233,I1233)</f>
        <v>2</v>
      </c>
      <c r="K1233" s="13" t="n">
        <f aca="false">MIN(E1233,G1233,I1233)</f>
        <v>564</v>
      </c>
      <c r="L1233" s="9" t="str">
        <f aca="false">IF(E1233=K1233,"5000m",IF(G1233=K1233,"3000mSC","1500m"))</f>
        <v>1500m</v>
      </c>
      <c r="M1233" s="14" t="n">
        <f aca="false">(D1233&lt;&gt;"")*(D1233&lt;=($E$3*60+$F$3)/86400)+(F1233&lt;&gt;"")*(F1233&lt;=($I$3*60+$J$3)/86400)+(H1233&lt;&gt;"")*(H1233&lt;=($M$3*60+$N$3)/86400)</f>
        <v>0</v>
      </c>
      <c r="N1233" s="16"/>
      <c r="O1233" s="15"/>
    </row>
    <row r="1234" customFormat="false" ht="25.35" hidden="false" customHeight="false" outlineLevel="0" collapsed="false">
      <c r="A1234" s="9" t="n">
        <v>1228</v>
      </c>
      <c r="B1234" s="10" t="s">
        <v>1785</v>
      </c>
      <c r="C1234" s="10" t="s">
        <v>1786</v>
      </c>
      <c r="D1234" s="11"/>
      <c r="E1234" s="12"/>
      <c r="F1234" s="11" t="n">
        <v>0.00722395833333333</v>
      </c>
      <c r="G1234" s="12" t="n">
        <v>564</v>
      </c>
      <c r="H1234" s="11"/>
      <c r="I1234" s="12"/>
      <c r="J1234" s="12" t="n">
        <f aca="false">COUNT(E1234,G1234,I1234)</f>
        <v>1</v>
      </c>
      <c r="K1234" s="13" t="n">
        <f aca="false">MIN(E1234,G1234,I1234)</f>
        <v>564</v>
      </c>
      <c r="L1234" s="9" t="str">
        <f aca="false">IF(E1234=K1234,"5000m",IF(G1234=K1234,"3000mSC","1500m"))</f>
        <v>3000mSC</v>
      </c>
      <c r="M1234" s="14" t="n">
        <f aca="false">(D1234&lt;&gt;"")*(D1234&lt;=($E$3*60+$F$3)/86400)+(F1234&lt;&gt;"")*(F1234&lt;=($I$3*60+$J$3)/86400)+(H1234&lt;&gt;"")*(H1234&lt;=($M$3*60+$N$3)/86400)</f>
        <v>0</v>
      </c>
      <c r="N1234" s="16"/>
      <c r="O1234" s="15"/>
    </row>
    <row r="1235" customFormat="false" ht="25.35" hidden="false" customHeight="false" outlineLevel="0" collapsed="false">
      <c r="A1235" s="9" t="n">
        <v>1229</v>
      </c>
      <c r="B1235" s="10" t="s">
        <v>1787</v>
      </c>
      <c r="C1235" s="10" t="s">
        <v>494</v>
      </c>
      <c r="D1235" s="11" t="n">
        <v>0.0107952546296296</v>
      </c>
      <c r="E1235" s="12" t="n">
        <v>734</v>
      </c>
      <c r="F1235" s="11" t="n">
        <v>0.00722488425925926</v>
      </c>
      <c r="G1235" s="12" t="n">
        <v>565</v>
      </c>
      <c r="H1235" s="11" t="n">
        <v>0.00296493055555556</v>
      </c>
      <c r="I1235" s="12" t="n">
        <v>1290</v>
      </c>
      <c r="J1235" s="12" t="n">
        <f aca="false">COUNT(E1235,G1235,I1235)</f>
        <v>3</v>
      </c>
      <c r="K1235" s="13" t="n">
        <f aca="false">MIN(E1235,G1235,I1235)</f>
        <v>565</v>
      </c>
      <c r="L1235" s="9" t="str">
        <f aca="false">IF(E1235=K1235,"5000m",IF(G1235=K1235,"3000mSC","1500m"))</f>
        <v>3000mSC</v>
      </c>
      <c r="M1235" s="14" t="n">
        <f aca="false">(D1235&lt;&gt;"")*(D1235&lt;=($E$3*60+$F$3)/86400)+(F1235&lt;&gt;"")*(F1235&lt;=($I$3*60+$J$3)/86400)+(H1235&lt;&gt;"")*(H1235&lt;=($M$3*60+$N$3)/86400)</f>
        <v>0</v>
      </c>
      <c r="N1235" s="16"/>
      <c r="O1235" s="15"/>
    </row>
    <row r="1236" customFormat="false" ht="15" hidden="false" customHeight="false" outlineLevel="0" collapsed="false">
      <c r="A1236" s="9" t="n">
        <v>1230</v>
      </c>
      <c r="B1236" s="10" t="s">
        <v>1788</v>
      </c>
      <c r="C1236" s="10" t="s">
        <v>1789</v>
      </c>
      <c r="D1236" s="11"/>
      <c r="E1236" s="12"/>
      <c r="F1236" s="11"/>
      <c r="G1236" s="12"/>
      <c r="H1236" s="11" t="n">
        <v>0.00284895833333333</v>
      </c>
      <c r="I1236" s="12" t="n">
        <v>565</v>
      </c>
      <c r="J1236" s="12" t="n">
        <f aca="false">COUNT(E1236,G1236,I1236)</f>
        <v>1</v>
      </c>
      <c r="K1236" s="13" t="n">
        <f aca="false">MIN(E1236,G1236,I1236)</f>
        <v>565</v>
      </c>
      <c r="L1236" s="9" t="str">
        <f aca="false">IF(E1236=K1236,"5000m",IF(G1236=K1236,"3000mSC","1500m"))</f>
        <v>1500m</v>
      </c>
      <c r="M1236" s="14" t="n">
        <f aca="false">(D1236&lt;&gt;"")*(D1236&lt;=($E$3*60+$F$3)/86400)+(F1236&lt;&gt;"")*(F1236&lt;=($I$3*60+$J$3)/86400)+(H1236&lt;&gt;"")*(H1236&lt;=($M$3*60+$N$3)/86400)</f>
        <v>0</v>
      </c>
      <c r="N1236" s="16"/>
      <c r="O1236" s="15"/>
    </row>
    <row r="1237" customFormat="false" ht="25.35" hidden="false" customHeight="false" outlineLevel="0" collapsed="false">
      <c r="A1237" s="9" t="n">
        <v>1231</v>
      </c>
      <c r="B1237" s="10" t="s">
        <v>1790</v>
      </c>
      <c r="C1237" s="10" t="s">
        <v>519</v>
      </c>
      <c r="D1237" s="11"/>
      <c r="E1237" s="12"/>
      <c r="F1237" s="11" t="n">
        <v>0.00722581018518519</v>
      </c>
      <c r="G1237" s="12" t="n">
        <v>566</v>
      </c>
      <c r="H1237" s="11"/>
      <c r="I1237" s="12"/>
      <c r="J1237" s="12" t="n">
        <f aca="false">COUNT(E1237,G1237,I1237)</f>
        <v>1</v>
      </c>
      <c r="K1237" s="13" t="n">
        <f aca="false">MIN(E1237,G1237,I1237)</f>
        <v>566</v>
      </c>
      <c r="L1237" s="9" t="str">
        <f aca="false">IF(E1237=K1237,"5000m",IF(G1237=K1237,"3000mSC","1500m"))</f>
        <v>3000mSC</v>
      </c>
      <c r="M1237" s="14" t="n">
        <f aca="false">(D1237&lt;&gt;"")*(D1237&lt;=($E$3*60+$F$3)/86400)+(F1237&lt;&gt;"")*(F1237&lt;=($I$3*60+$J$3)/86400)+(H1237&lt;&gt;"")*(H1237&lt;=($M$3*60+$N$3)/86400)</f>
        <v>0</v>
      </c>
      <c r="N1237" s="16"/>
      <c r="O1237" s="15"/>
    </row>
    <row r="1238" customFormat="false" ht="15" hidden="false" customHeight="false" outlineLevel="0" collapsed="false">
      <c r="A1238" s="9" t="n">
        <v>1232</v>
      </c>
      <c r="B1238" s="10" t="s">
        <v>1791</v>
      </c>
      <c r="C1238" s="10" t="s">
        <v>1514</v>
      </c>
      <c r="D1238" s="11"/>
      <c r="E1238" s="12"/>
      <c r="F1238" s="11"/>
      <c r="G1238" s="12"/>
      <c r="H1238" s="11" t="n">
        <v>0.00284907407407407</v>
      </c>
      <c r="I1238" s="12" t="n">
        <v>566</v>
      </c>
      <c r="J1238" s="12" t="n">
        <f aca="false">COUNT(E1238,G1238,I1238)</f>
        <v>1</v>
      </c>
      <c r="K1238" s="13" t="n">
        <f aca="false">MIN(E1238,G1238,I1238)</f>
        <v>566</v>
      </c>
      <c r="L1238" s="9" t="str">
        <f aca="false">IF(E1238=K1238,"5000m",IF(G1238=K1238,"3000mSC","1500m"))</f>
        <v>1500m</v>
      </c>
      <c r="M1238" s="14" t="n">
        <f aca="false">(D1238&lt;&gt;"")*(D1238&lt;=($E$3*60+$F$3)/86400)+(F1238&lt;&gt;"")*(F1238&lt;=($I$3*60+$J$3)/86400)+(H1238&lt;&gt;"")*(H1238&lt;=($M$3*60+$N$3)/86400)</f>
        <v>0</v>
      </c>
      <c r="N1238" s="16"/>
      <c r="O1238" s="15"/>
    </row>
    <row r="1239" customFormat="false" ht="15" hidden="false" customHeight="false" outlineLevel="0" collapsed="false">
      <c r="A1239" s="9" t="n">
        <v>1233</v>
      </c>
      <c r="B1239" s="10" t="s">
        <v>1792</v>
      </c>
      <c r="C1239" s="10" t="s">
        <v>195</v>
      </c>
      <c r="D1239" s="11" t="n">
        <v>0.0108980324074074</v>
      </c>
      <c r="E1239" s="12" t="n">
        <v>918</v>
      </c>
      <c r="F1239" s="11"/>
      <c r="G1239" s="12"/>
      <c r="H1239" s="11" t="n">
        <v>0.00284930555555556</v>
      </c>
      <c r="I1239" s="12" t="n">
        <v>567</v>
      </c>
      <c r="J1239" s="12" t="n">
        <f aca="false">COUNT(E1239,G1239,I1239)</f>
        <v>2</v>
      </c>
      <c r="K1239" s="13" t="n">
        <f aca="false">MIN(E1239,G1239,I1239)</f>
        <v>567</v>
      </c>
      <c r="L1239" s="9" t="str">
        <f aca="false">IF(E1239=K1239,"5000m",IF(G1239=K1239,"3000mSC","1500m"))</f>
        <v>1500m</v>
      </c>
      <c r="M1239" s="14" t="n">
        <f aca="false">(D1239&lt;&gt;"")*(D1239&lt;=($E$3*60+$F$3)/86400)+(F1239&lt;&gt;"")*(F1239&lt;=($I$3*60+$J$3)/86400)+(H1239&lt;&gt;"")*(H1239&lt;=($M$3*60+$N$3)/86400)</f>
        <v>0</v>
      </c>
      <c r="N1239" s="16"/>
      <c r="O1239" s="15"/>
    </row>
    <row r="1240" customFormat="false" ht="15" hidden="false" customHeight="false" outlineLevel="0" collapsed="false">
      <c r="A1240" s="9" t="n">
        <v>1234</v>
      </c>
      <c r="B1240" s="10" t="s">
        <v>1793</v>
      </c>
      <c r="C1240" s="10" t="s">
        <v>1137</v>
      </c>
      <c r="D1240" s="11" t="n">
        <v>0.0106908564814815</v>
      </c>
      <c r="E1240" s="12" t="n">
        <v>567</v>
      </c>
      <c r="F1240" s="11"/>
      <c r="G1240" s="12"/>
      <c r="H1240" s="11"/>
      <c r="I1240" s="12"/>
      <c r="J1240" s="12" t="n">
        <f aca="false">COUNT(E1240,G1240,I1240)</f>
        <v>1</v>
      </c>
      <c r="K1240" s="13" t="n">
        <f aca="false">MIN(E1240,G1240,I1240)</f>
        <v>567</v>
      </c>
      <c r="L1240" s="9" t="str">
        <f aca="false">IF(E1240=K1240,"5000m",IF(G1240=K1240,"3000mSC","1500m"))</f>
        <v>5000m</v>
      </c>
      <c r="M1240" s="14" t="n">
        <f aca="false">(D1240&lt;&gt;"")*(D1240&lt;=($E$3*60+$F$3)/86400)+(F1240&lt;&gt;"")*(F1240&lt;=($I$3*60+$J$3)/86400)+(H1240&lt;&gt;"")*(H1240&lt;=($M$3*60+$N$3)/86400)</f>
        <v>0</v>
      </c>
      <c r="N1240" s="16"/>
      <c r="O1240" s="15"/>
    </row>
    <row r="1241" customFormat="false" ht="25.35" hidden="false" customHeight="false" outlineLevel="0" collapsed="false">
      <c r="A1241" s="9" t="n">
        <v>1235</v>
      </c>
      <c r="B1241" s="10" t="s">
        <v>1794</v>
      </c>
      <c r="C1241" s="10" t="s">
        <v>399</v>
      </c>
      <c r="D1241" s="11"/>
      <c r="E1241" s="12"/>
      <c r="F1241" s="11" t="n">
        <v>0.00722604166666667</v>
      </c>
      <c r="G1241" s="12" t="n">
        <v>567</v>
      </c>
      <c r="H1241" s="11"/>
      <c r="I1241" s="12"/>
      <c r="J1241" s="12" t="n">
        <f aca="false">COUNT(E1241,G1241,I1241)</f>
        <v>1</v>
      </c>
      <c r="K1241" s="13" t="n">
        <f aca="false">MIN(E1241,G1241,I1241)</f>
        <v>567</v>
      </c>
      <c r="L1241" s="9" t="str">
        <f aca="false">IF(E1241=K1241,"5000m",IF(G1241=K1241,"3000mSC","1500m"))</f>
        <v>3000mSC</v>
      </c>
      <c r="M1241" s="14" t="n">
        <f aca="false">(D1241&lt;&gt;"")*(D1241&lt;=($E$3*60+$F$3)/86400)+(F1241&lt;&gt;"")*(F1241&lt;=($I$3*60+$J$3)/86400)+(H1241&lt;&gt;"")*(H1241&lt;=($M$3*60+$N$3)/86400)</f>
        <v>0</v>
      </c>
      <c r="N1241" s="16"/>
      <c r="O1241" s="15"/>
    </row>
    <row r="1242" customFormat="false" ht="15" hidden="false" customHeight="false" outlineLevel="0" collapsed="false">
      <c r="A1242" s="9" t="n">
        <v>1236</v>
      </c>
      <c r="B1242" s="10" t="s">
        <v>1795</v>
      </c>
      <c r="C1242" s="10" t="s">
        <v>621</v>
      </c>
      <c r="D1242" s="11" t="n">
        <v>0.01069375</v>
      </c>
      <c r="E1242" s="12" t="n">
        <v>568</v>
      </c>
      <c r="F1242" s="11"/>
      <c r="G1242" s="12"/>
      <c r="H1242" s="11" t="n">
        <v>0.00289143518518519</v>
      </c>
      <c r="I1242" s="12" t="n">
        <v>883</v>
      </c>
      <c r="J1242" s="12" t="n">
        <f aca="false">COUNT(E1242,G1242,I1242)</f>
        <v>2</v>
      </c>
      <c r="K1242" s="13" t="n">
        <f aca="false">MIN(E1242,G1242,I1242)</f>
        <v>568</v>
      </c>
      <c r="L1242" s="9" t="str">
        <f aca="false">IF(E1242=K1242,"5000m",IF(G1242=K1242,"3000mSC","1500m"))</f>
        <v>5000m</v>
      </c>
      <c r="M1242" s="14" t="n">
        <f aca="false">(D1242&lt;&gt;"")*(D1242&lt;=($E$3*60+$F$3)/86400)+(F1242&lt;&gt;"")*(F1242&lt;=($I$3*60+$J$3)/86400)+(H1242&lt;&gt;"")*(H1242&lt;=($M$3*60+$N$3)/86400)</f>
        <v>0</v>
      </c>
      <c r="N1242" s="16"/>
      <c r="O1242" s="15"/>
    </row>
    <row r="1243" customFormat="false" ht="25.35" hidden="false" customHeight="false" outlineLevel="0" collapsed="false">
      <c r="A1243" s="9" t="n">
        <v>1237</v>
      </c>
      <c r="B1243" s="10" t="s">
        <v>1796</v>
      </c>
      <c r="C1243" s="10" t="s">
        <v>341</v>
      </c>
      <c r="D1243" s="11"/>
      <c r="E1243" s="12"/>
      <c r="F1243" s="11" t="n">
        <v>0.00722638888888889</v>
      </c>
      <c r="G1243" s="12" t="n">
        <v>568</v>
      </c>
      <c r="H1243" s="11"/>
      <c r="I1243" s="12"/>
      <c r="J1243" s="12" t="n">
        <f aca="false">COUNT(E1243,G1243,I1243)</f>
        <v>1</v>
      </c>
      <c r="K1243" s="13" t="n">
        <f aca="false">MIN(E1243,G1243,I1243)</f>
        <v>568</v>
      </c>
      <c r="L1243" s="9" t="str">
        <f aca="false">IF(E1243=K1243,"5000m",IF(G1243=K1243,"3000mSC","1500m"))</f>
        <v>3000mSC</v>
      </c>
      <c r="M1243" s="14" t="n">
        <f aca="false">(D1243&lt;&gt;"")*(D1243&lt;=($E$3*60+$F$3)/86400)+(F1243&lt;&gt;"")*(F1243&lt;=($I$3*60+$J$3)/86400)+(H1243&lt;&gt;"")*(H1243&lt;=($M$3*60+$N$3)/86400)</f>
        <v>0</v>
      </c>
      <c r="N1243" s="16"/>
      <c r="O1243" s="15"/>
    </row>
    <row r="1244" customFormat="false" ht="15" hidden="false" customHeight="false" outlineLevel="0" collapsed="false">
      <c r="A1244" s="9" t="n">
        <v>1238</v>
      </c>
      <c r="B1244" s="10" t="s">
        <v>1797</v>
      </c>
      <c r="C1244" s="10" t="s">
        <v>605</v>
      </c>
      <c r="D1244" s="11" t="n">
        <v>0.0106940972222222</v>
      </c>
      <c r="E1244" s="12" t="n">
        <v>569</v>
      </c>
      <c r="F1244" s="11"/>
      <c r="G1244" s="12"/>
      <c r="H1244" s="11"/>
      <c r="I1244" s="12"/>
      <c r="J1244" s="12" t="n">
        <f aca="false">COUNT(E1244,G1244,I1244)</f>
        <v>1</v>
      </c>
      <c r="K1244" s="13" t="n">
        <f aca="false">MIN(E1244,G1244,I1244)</f>
        <v>569</v>
      </c>
      <c r="L1244" s="9" t="str">
        <f aca="false">IF(E1244=K1244,"5000m",IF(G1244=K1244,"3000mSC","1500m"))</f>
        <v>5000m</v>
      </c>
      <c r="M1244" s="14" t="n">
        <f aca="false">(D1244&lt;&gt;"")*(D1244&lt;=($E$3*60+$F$3)/86400)+(F1244&lt;&gt;"")*(F1244&lt;=($I$3*60+$J$3)/86400)+(H1244&lt;&gt;"")*(H1244&lt;=($M$3*60+$N$3)/86400)</f>
        <v>0</v>
      </c>
      <c r="N1244" s="16"/>
      <c r="O1244" s="15"/>
    </row>
    <row r="1245" customFormat="false" ht="25.35" hidden="false" customHeight="false" outlineLevel="0" collapsed="false">
      <c r="A1245" s="9" t="n">
        <v>1239</v>
      </c>
      <c r="B1245" s="10" t="s">
        <v>1798</v>
      </c>
      <c r="C1245" s="10" t="s">
        <v>1799</v>
      </c>
      <c r="D1245" s="11"/>
      <c r="E1245" s="12"/>
      <c r="F1245" s="11" t="n">
        <v>0.00722743055555556</v>
      </c>
      <c r="G1245" s="12" t="n">
        <v>569</v>
      </c>
      <c r="H1245" s="11"/>
      <c r="I1245" s="12"/>
      <c r="J1245" s="12" t="n">
        <f aca="false">COUNT(E1245,G1245,I1245)</f>
        <v>1</v>
      </c>
      <c r="K1245" s="13" t="n">
        <f aca="false">MIN(E1245,G1245,I1245)</f>
        <v>569</v>
      </c>
      <c r="L1245" s="9" t="str">
        <f aca="false">IF(E1245=K1245,"5000m",IF(G1245=K1245,"3000mSC","1500m"))</f>
        <v>3000mSC</v>
      </c>
      <c r="M1245" s="14" t="n">
        <f aca="false">(D1245&lt;&gt;"")*(D1245&lt;=($E$3*60+$F$3)/86400)+(F1245&lt;&gt;"")*(F1245&lt;=($I$3*60+$J$3)/86400)+(H1245&lt;&gt;"")*(H1245&lt;=($M$3*60+$N$3)/86400)</f>
        <v>0</v>
      </c>
      <c r="N1245" s="16"/>
      <c r="O1245" s="15"/>
    </row>
    <row r="1246" customFormat="false" ht="25.35" hidden="false" customHeight="false" outlineLevel="0" collapsed="false">
      <c r="A1246" s="9" t="n">
        <v>1240</v>
      </c>
      <c r="B1246" s="10" t="s">
        <v>1800</v>
      </c>
      <c r="C1246" s="10" t="s">
        <v>1801</v>
      </c>
      <c r="D1246" s="11"/>
      <c r="E1246" s="12"/>
      <c r="F1246" s="11" t="n">
        <v>0.00722881944444445</v>
      </c>
      <c r="G1246" s="12" t="n">
        <v>570</v>
      </c>
      <c r="H1246" s="11"/>
      <c r="I1246" s="12"/>
      <c r="J1246" s="12" t="n">
        <f aca="false">COUNT(E1246,G1246,I1246)</f>
        <v>1</v>
      </c>
      <c r="K1246" s="13" t="n">
        <f aca="false">MIN(E1246,G1246,I1246)</f>
        <v>570</v>
      </c>
      <c r="L1246" s="9" t="str">
        <f aca="false">IF(E1246=K1246,"5000m",IF(G1246=K1246,"3000mSC","1500m"))</f>
        <v>3000mSC</v>
      </c>
      <c r="M1246" s="14" t="n">
        <f aca="false">(D1246&lt;&gt;"")*(D1246&lt;=($E$3*60+$F$3)/86400)+(F1246&lt;&gt;"")*(F1246&lt;=($I$3*60+$J$3)/86400)+(H1246&lt;&gt;"")*(H1246&lt;=($M$3*60+$N$3)/86400)</f>
        <v>0</v>
      </c>
      <c r="N1246" s="16"/>
      <c r="O1246" s="15"/>
    </row>
    <row r="1247" customFormat="false" ht="15" hidden="false" customHeight="false" outlineLevel="0" collapsed="false">
      <c r="A1247" s="9" t="n">
        <v>1241</v>
      </c>
      <c r="B1247" s="10" t="s">
        <v>1802</v>
      </c>
      <c r="C1247" s="10" t="s">
        <v>460</v>
      </c>
      <c r="D1247" s="11" t="n">
        <v>0.0106947916666667</v>
      </c>
      <c r="E1247" s="12" t="n">
        <v>571</v>
      </c>
      <c r="F1247" s="11"/>
      <c r="G1247" s="12"/>
      <c r="H1247" s="11"/>
      <c r="I1247" s="12"/>
      <c r="J1247" s="12" t="n">
        <f aca="false">COUNT(E1247,G1247,I1247)</f>
        <v>1</v>
      </c>
      <c r="K1247" s="13" t="n">
        <f aca="false">MIN(E1247,G1247,I1247)</f>
        <v>571</v>
      </c>
      <c r="L1247" s="9" t="str">
        <f aca="false">IF(E1247=K1247,"5000m",IF(G1247=K1247,"3000mSC","1500m"))</f>
        <v>5000m</v>
      </c>
      <c r="M1247" s="14" t="n">
        <f aca="false">(D1247&lt;&gt;"")*(D1247&lt;=($E$3*60+$F$3)/86400)+(F1247&lt;&gt;"")*(F1247&lt;=($I$3*60+$J$3)/86400)+(H1247&lt;&gt;"")*(H1247&lt;=($M$3*60+$N$3)/86400)</f>
        <v>0</v>
      </c>
      <c r="N1247" s="16"/>
      <c r="O1247" s="15"/>
    </row>
    <row r="1248" customFormat="false" ht="25.35" hidden="false" customHeight="false" outlineLevel="0" collapsed="false">
      <c r="A1248" s="9" t="n">
        <v>1242</v>
      </c>
      <c r="B1248" s="10" t="s">
        <v>1803</v>
      </c>
      <c r="C1248" s="10" t="s">
        <v>1804</v>
      </c>
      <c r="D1248" s="11"/>
      <c r="E1248" s="12"/>
      <c r="F1248" s="11" t="n">
        <v>0.00722905092592593</v>
      </c>
      <c r="G1248" s="12" t="n">
        <v>571</v>
      </c>
      <c r="H1248" s="11"/>
      <c r="I1248" s="12"/>
      <c r="J1248" s="12" t="n">
        <f aca="false">COUNT(E1248,G1248,I1248)</f>
        <v>1</v>
      </c>
      <c r="K1248" s="13" t="n">
        <f aca="false">MIN(E1248,G1248,I1248)</f>
        <v>571</v>
      </c>
      <c r="L1248" s="9" t="str">
        <f aca="false">IF(E1248=K1248,"5000m",IF(G1248=K1248,"3000mSC","1500m"))</f>
        <v>3000mSC</v>
      </c>
      <c r="M1248" s="14" t="n">
        <f aca="false">(D1248&lt;&gt;"")*(D1248&lt;=($E$3*60+$F$3)/86400)+(F1248&lt;&gt;"")*(F1248&lt;=($I$3*60+$J$3)/86400)+(H1248&lt;&gt;"")*(H1248&lt;=($M$3*60+$N$3)/86400)</f>
        <v>0</v>
      </c>
      <c r="N1248" s="16"/>
      <c r="O1248" s="15"/>
    </row>
    <row r="1249" customFormat="false" ht="15" hidden="false" customHeight="false" outlineLevel="0" collapsed="false">
      <c r="A1249" s="9" t="n">
        <v>1243</v>
      </c>
      <c r="B1249" s="10" t="s">
        <v>1805</v>
      </c>
      <c r="C1249" s="10" t="s">
        <v>1155</v>
      </c>
      <c r="D1249" s="11" t="n">
        <v>0.011046875</v>
      </c>
      <c r="E1249" s="12" t="n">
        <v>1194</v>
      </c>
      <c r="F1249" s="11"/>
      <c r="G1249" s="12"/>
      <c r="H1249" s="11" t="n">
        <v>0.0028505787037037</v>
      </c>
      <c r="I1249" s="12" t="n">
        <v>572</v>
      </c>
      <c r="J1249" s="12" t="n">
        <f aca="false">COUNT(E1249,G1249,I1249)</f>
        <v>2</v>
      </c>
      <c r="K1249" s="13" t="n">
        <f aca="false">MIN(E1249,G1249,I1249)</f>
        <v>572</v>
      </c>
      <c r="L1249" s="9" t="str">
        <f aca="false">IF(E1249=K1249,"5000m",IF(G1249=K1249,"3000mSC","1500m"))</f>
        <v>1500m</v>
      </c>
      <c r="M1249" s="14" t="n">
        <f aca="false">(D1249&lt;&gt;"")*(D1249&lt;=($E$3*60+$F$3)/86400)+(F1249&lt;&gt;"")*(F1249&lt;=($I$3*60+$J$3)/86400)+(H1249&lt;&gt;"")*(H1249&lt;=($M$3*60+$N$3)/86400)</f>
        <v>0</v>
      </c>
      <c r="N1249" s="16"/>
      <c r="O1249" s="15"/>
    </row>
    <row r="1250" customFormat="false" ht="25.35" hidden="false" customHeight="false" outlineLevel="0" collapsed="false">
      <c r="A1250" s="9" t="n">
        <v>1244</v>
      </c>
      <c r="B1250" s="10" t="s">
        <v>1806</v>
      </c>
      <c r="C1250" s="10" t="s">
        <v>1807</v>
      </c>
      <c r="D1250" s="11"/>
      <c r="E1250" s="12"/>
      <c r="F1250" s="11" t="n">
        <v>0.00722916666666667</v>
      </c>
      <c r="G1250" s="12" t="n">
        <v>572</v>
      </c>
      <c r="H1250" s="11"/>
      <c r="I1250" s="12"/>
      <c r="J1250" s="12" t="n">
        <f aca="false">COUNT(E1250,G1250,I1250)</f>
        <v>1</v>
      </c>
      <c r="K1250" s="13" t="n">
        <f aca="false">MIN(E1250,G1250,I1250)</f>
        <v>572</v>
      </c>
      <c r="L1250" s="9" t="str">
        <f aca="false">IF(E1250=K1250,"5000m",IF(G1250=K1250,"3000mSC","1500m"))</f>
        <v>3000mSC</v>
      </c>
      <c r="M1250" s="14" t="n">
        <f aca="false">(D1250&lt;&gt;"")*(D1250&lt;=($E$3*60+$F$3)/86400)+(F1250&lt;&gt;"")*(F1250&lt;=($I$3*60+$J$3)/86400)+(H1250&lt;&gt;"")*(H1250&lt;=($M$3*60+$N$3)/86400)</f>
        <v>0</v>
      </c>
      <c r="N1250" s="16"/>
      <c r="O1250" s="15"/>
    </row>
    <row r="1251" customFormat="false" ht="25.35" hidden="false" customHeight="false" outlineLevel="0" collapsed="false">
      <c r="A1251" s="9" t="n">
        <v>1245</v>
      </c>
      <c r="B1251" s="10" t="s">
        <v>1808</v>
      </c>
      <c r="C1251" s="10" t="s">
        <v>494</v>
      </c>
      <c r="D1251" s="11"/>
      <c r="E1251" s="12"/>
      <c r="F1251" s="11" t="n">
        <v>0.00722951388888889</v>
      </c>
      <c r="G1251" s="12" t="n">
        <v>573</v>
      </c>
      <c r="H1251" s="11" t="n">
        <v>0.00286990740740741</v>
      </c>
      <c r="I1251" s="12" t="n">
        <v>695</v>
      </c>
      <c r="J1251" s="12" t="n">
        <f aca="false">COUNT(E1251,G1251,I1251)</f>
        <v>2</v>
      </c>
      <c r="K1251" s="13" t="n">
        <f aca="false">MIN(E1251,G1251,I1251)</f>
        <v>573</v>
      </c>
      <c r="L1251" s="9" t="str">
        <f aca="false">IF(E1251=K1251,"5000m",IF(G1251=K1251,"3000mSC","1500m"))</f>
        <v>3000mSC</v>
      </c>
      <c r="M1251" s="14" t="n">
        <f aca="false">(D1251&lt;&gt;"")*(D1251&lt;=($E$3*60+$F$3)/86400)+(F1251&lt;&gt;"")*(F1251&lt;=($I$3*60+$J$3)/86400)+(H1251&lt;&gt;"")*(H1251&lt;=($M$3*60+$N$3)/86400)</f>
        <v>0</v>
      </c>
      <c r="N1251" s="16"/>
      <c r="O1251" s="15"/>
    </row>
    <row r="1252" customFormat="false" ht="15" hidden="false" customHeight="false" outlineLevel="0" collapsed="false">
      <c r="A1252" s="9" t="n">
        <v>1246</v>
      </c>
      <c r="B1252" s="10" t="s">
        <v>1809</v>
      </c>
      <c r="C1252" s="10" t="s">
        <v>91</v>
      </c>
      <c r="D1252" s="11"/>
      <c r="E1252" s="12"/>
      <c r="F1252" s="11"/>
      <c r="G1252" s="12"/>
      <c r="H1252" s="11" t="n">
        <v>0.00285069444444445</v>
      </c>
      <c r="I1252" s="12" t="n">
        <v>573</v>
      </c>
      <c r="J1252" s="12" t="n">
        <f aca="false">COUNT(E1252,G1252,I1252)</f>
        <v>1</v>
      </c>
      <c r="K1252" s="13" t="n">
        <f aca="false">MIN(E1252,G1252,I1252)</f>
        <v>573</v>
      </c>
      <c r="L1252" s="9" t="str">
        <f aca="false">IF(E1252=K1252,"5000m",IF(G1252=K1252,"3000mSC","1500m"))</f>
        <v>1500m</v>
      </c>
      <c r="M1252" s="14" t="n">
        <f aca="false">(D1252&lt;&gt;"")*(D1252&lt;=($E$3*60+$F$3)/86400)+(F1252&lt;&gt;"")*(F1252&lt;=($I$3*60+$J$3)/86400)+(H1252&lt;&gt;"")*(H1252&lt;=($M$3*60+$N$3)/86400)</f>
        <v>0</v>
      </c>
      <c r="N1252" s="16"/>
      <c r="O1252" s="15"/>
    </row>
    <row r="1253" customFormat="false" ht="25.35" hidden="false" customHeight="false" outlineLevel="0" collapsed="false">
      <c r="A1253" s="9" t="n">
        <v>1247</v>
      </c>
      <c r="B1253" s="10" t="s">
        <v>1810</v>
      </c>
      <c r="C1253" s="10" t="s">
        <v>1811</v>
      </c>
      <c r="D1253" s="11" t="n">
        <v>0.0109866898148148</v>
      </c>
      <c r="E1253" s="12" t="n">
        <v>1074</v>
      </c>
      <c r="F1253" s="11" t="n">
        <v>0.00723148148148148</v>
      </c>
      <c r="G1253" s="12" t="n">
        <v>575</v>
      </c>
      <c r="H1253" s="11" t="n">
        <v>0.00285983796296296</v>
      </c>
      <c r="I1253" s="12" t="n">
        <v>632</v>
      </c>
      <c r="J1253" s="12" t="n">
        <f aca="false">COUNT(E1253,G1253,I1253)</f>
        <v>3</v>
      </c>
      <c r="K1253" s="13" t="n">
        <f aca="false">MIN(E1253,G1253,I1253)</f>
        <v>575</v>
      </c>
      <c r="L1253" s="9" t="str">
        <f aca="false">IF(E1253=K1253,"5000m",IF(G1253=K1253,"3000mSC","1500m"))</f>
        <v>3000mSC</v>
      </c>
      <c r="M1253" s="14" t="n">
        <f aca="false">(D1253&lt;&gt;"")*(D1253&lt;=($E$3*60+$F$3)/86400)+(F1253&lt;&gt;"")*(F1253&lt;=($I$3*60+$J$3)/86400)+(H1253&lt;&gt;"")*(H1253&lt;=($M$3*60+$N$3)/86400)</f>
        <v>0</v>
      </c>
      <c r="N1253" s="16"/>
      <c r="O1253" s="15"/>
    </row>
    <row r="1254" customFormat="false" ht="15" hidden="false" customHeight="false" outlineLevel="0" collapsed="false">
      <c r="A1254" s="9" t="n">
        <v>1248</v>
      </c>
      <c r="B1254" s="10" t="s">
        <v>1812</v>
      </c>
      <c r="C1254" s="10" t="s">
        <v>1813</v>
      </c>
      <c r="D1254" s="11"/>
      <c r="E1254" s="12"/>
      <c r="F1254" s="11"/>
      <c r="G1254" s="12"/>
      <c r="H1254" s="11" t="n">
        <v>0.00285092592592593</v>
      </c>
      <c r="I1254" s="12" t="n">
        <v>575</v>
      </c>
      <c r="J1254" s="12" t="n">
        <f aca="false">COUNT(E1254,G1254,I1254)</f>
        <v>1</v>
      </c>
      <c r="K1254" s="13" t="n">
        <f aca="false">MIN(E1254,G1254,I1254)</f>
        <v>575</v>
      </c>
      <c r="L1254" s="9" t="str">
        <f aca="false">IF(E1254=K1254,"5000m",IF(G1254=K1254,"3000mSC","1500m"))</f>
        <v>1500m</v>
      </c>
      <c r="M1254" s="14" t="n">
        <f aca="false">(D1254&lt;&gt;"")*(D1254&lt;=($E$3*60+$F$3)/86400)+(F1254&lt;&gt;"")*(F1254&lt;=($I$3*60+$J$3)/86400)+(H1254&lt;&gt;"")*(H1254&lt;=($M$3*60+$N$3)/86400)</f>
        <v>0</v>
      </c>
      <c r="N1254" s="16"/>
      <c r="O1254" s="15"/>
    </row>
    <row r="1255" customFormat="false" ht="15" hidden="false" customHeight="false" outlineLevel="0" collapsed="false">
      <c r="A1255" s="9" t="n">
        <v>1249</v>
      </c>
      <c r="B1255" s="10" t="s">
        <v>1814</v>
      </c>
      <c r="C1255" s="10" t="s">
        <v>309</v>
      </c>
      <c r="D1255" s="11" t="n">
        <v>0.0107081018518519</v>
      </c>
      <c r="E1255" s="12" t="n">
        <v>595</v>
      </c>
      <c r="F1255" s="11"/>
      <c r="G1255" s="12"/>
      <c r="H1255" s="11" t="n">
        <v>0.00285115740740741</v>
      </c>
      <c r="I1255" s="12" t="n">
        <v>576</v>
      </c>
      <c r="J1255" s="12" t="n">
        <f aca="false">COUNT(E1255,G1255,I1255)</f>
        <v>2</v>
      </c>
      <c r="K1255" s="13" t="n">
        <f aca="false">MIN(E1255,G1255,I1255)</f>
        <v>576</v>
      </c>
      <c r="L1255" s="9" t="str">
        <f aca="false">IF(E1255=K1255,"5000m",IF(G1255=K1255,"3000mSC","1500m"))</f>
        <v>1500m</v>
      </c>
      <c r="M1255" s="14" t="n">
        <f aca="false">(D1255&lt;&gt;"")*(D1255&lt;=($E$3*60+$F$3)/86400)+(F1255&lt;&gt;"")*(F1255&lt;=($I$3*60+$J$3)/86400)+(H1255&lt;&gt;"")*(H1255&lt;=($M$3*60+$N$3)/86400)</f>
        <v>0</v>
      </c>
      <c r="N1255" s="16"/>
      <c r="O1255" s="15"/>
    </row>
    <row r="1256" customFormat="false" ht="15" hidden="false" customHeight="false" outlineLevel="0" collapsed="false">
      <c r="A1256" s="9" t="n">
        <v>1250</v>
      </c>
      <c r="B1256" s="10" t="s">
        <v>1815</v>
      </c>
      <c r="C1256" s="10" t="s">
        <v>616</v>
      </c>
      <c r="D1256" s="11" t="n">
        <v>0.0106959490740741</v>
      </c>
      <c r="E1256" s="12" t="n">
        <v>576</v>
      </c>
      <c r="F1256" s="11"/>
      <c r="G1256" s="12"/>
      <c r="H1256" s="11"/>
      <c r="I1256" s="12"/>
      <c r="J1256" s="12" t="n">
        <f aca="false">COUNT(E1256,G1256,I1256)</f>
        <v>1</v>
      </c>
      <c r="K1256" s="13" t="n">
        <f aca="false">MIN(E1256,G1256,I1256)</f>
        <v>576</v>
      </c>
      <c r="L1256" s="9" t="str">
        <f aca="false">IF(E1256=K1256,"5000m",IF(G1256=K1256,"3000mSC","1500m"))</f>
        <v>5000m</v>
      </c>
      <c r="M1256" s="14" t="n">
        <f aca="false">(D1256&lt;&gt;"")*(D1256&lt;=($E$3*60+$F$3)/86400)+(F1256&lt;&gt;"")*(F1256&lt;=($I$3*60+$J$3)/86400)+(H1256&lt;&gt;"")*(H1256&lt;=($M$3*60+$N$3)/86400)</f>
        <v>0</v>
      </c>
      <c r="N1256" s="16"/>
      <c r="O1256" s="15"/>
    </row>
    <row r="1257" customFormat="false" ht="15" hidden="false" customHeight="false" outlineLevel="0" collapsed="false">
      <c r="A1257" s="9" t="n">
        <v>1251</v>
      </c>
      <c r="B1257" s="10" t="s">
        <v>1816</v>
      </c>
      <c r="C1257" s="10" t="s">
        <v>302</v>
      </c>
      <c r="D1257" s="11" t="n">
        <v>0.0106961805555556</v>
      </c>
      <c r="E1257" s="12" t="n">
        <v>577</v>
      </c>
      <c r="F1257" s="11"/>
      <c r="G1257" s="12"/>
      <c r="H1257" s="11" t="n">
        <v>0.00287222222222222</v>
      </c>
      <c r="I1257" s="12" t="n">
        <v>717</v>
      </c>
      <c r="J1257" s="12" t="n">
        <f aca="false">COUNT(E1257,G1257,I1257)</f>
        <v>2</v>
      </c>
      <c r="K1257" s="13" t="n">
        <f aca="false">MIN(E1257,G1257,I1257)</f>
        <v>577</v>
      </c>
      <c r="L1257" s="9" t="str">
        <f aca="false">IF(E1257=K1257,"5000m",IF(G1257=K1257,"3000mSC","1500m"))</f>
        <v>5000m</v>
      </c>
      <c r="M1257" s="14" t="n">
        <f aca="false">(D1257&lt;&gt;"")*(D1257&lt;=($E$3*60+$F$3)/86400)+(F1257&lt;&gt;"")*(F1257&lt;=($I$3*60+$J$3)/86400)+(H1257&lt;&gt;"")*(H1257&lt;=($M$3*60+$N$3)/86400)</f>
        <v>0</v>
      </c>
      <c r="N1257" s="16"/>
      <c r="O1257" s="15"/>
    </row>
    <row r="1258" customFormat="false" ht="25.35" hidden="false" customHeight="false" outlineLevel="0" collapsed="false">
      <c r="A1258" s="9" t="n">
        <v>1252</v>
      </c>
      <c r="B1258" s="10" t="s">
        <v>1817</v>
      </c>
      <c r="C1258" s="10" t="s">
        <v>844</v>
      </c>
      <c r="D1258" s="11"/>
      <c r="E1258" s="12"/>
      <c r="F1258" s="11" t="n">
        <v>0.00723217592592593</v>
      </c>
      <c r="G1258" s="12" t="n">
        <v>577</v>
      </c>
      <c r="H1258" s="11"/>
      <c r="I1258" s="12"/>
      <c r="J1258" s="12" t="n">
        <f aca="false">COUNT(E1258,G1258,I1258)</f>
        <v>1</v>
      </c>
      <c r="K1258" s="13" t="n">
        <f aca="false">MIN(E1258,G1258,I1258)</f>
        <v>577</v>
      </c>
      <c r="L1258" s="9" t="str">
        <f aca="false">IF(E1258=K1258,"5000m",IF(G1258=K1258,"3000mSC","1500m"))</f>
        <v>3000mSC</v>
      </c>
      <c r="M1258" s="14" t="n">
        <f aca="false">(D1258&lt;&gt;"")*(D1258&lt;=($E$3*60+$F$3)/86400)+(F1258&lt;&gt;"")*(F1258&lt;=($I$3*60+$J$3)/86400)+(H1258&lt;&gt;"")*(H1258&lt;=($M$3*60+$N$3)/86400)</f>
        <v>0</v>
      </c>
      <c r="N1258" s="16"/>
      <c r="O1258" s="15"/>
    </row>
    <row r="1259" customFormat="false" ht="15" hidden="false" customHeight="false" outlineLevel="0" collapsed="false">
      <c r="A1259" s="9" t="n">
        <v>1253</v>
      </c>
      <c r="B1259" s="10" t="s">
        <v>1818</v>
      </c>
      <c r="C1259" s="10" t="s">
        <v>1819</v>
      </c>
      <c r="D1259" s="11"/>
      <c r="E1259" s="12"/>
      <c r="F1259" s="11"/>
      <c r="G1259" s="12"/>
      <c r="H1259" s="11" t="n">
        <v>0.00285127314814815</v>
      </c>
      <c r="I1259" s="12" t="n">
        <v>577</v>
      </c>
      <c r="J1259" s="12" t="n">
        <f aca="false">COUNT(E1259,G1259,I1259)</f>
        <v>1</v>
      </c>
      <c r="K1259" s="13" t="n">
        <f aca="false">MIN(E1259,G1259,I1259)</f>
        <v>577</v>
      </c>
      <c r="L1259" s="9" t="str">
        <f aca="false">IF(E1259=K1259,"5000m",IF(G1259=K1259,"3000mSC","1500m"))</f>
        <v>1500m</v>
      </c>
      <c r="M1259" s="14" t="n">
        <f aca="false">(D1259&lt;&gt;"")*(D1259&lt;=($E$3*60+$F$3)/86400)+(F1259&lt;&gt;"")*(F1259&lt;=($I$3*60+$J$3)/86400)+(H1259&lt;&gt;"")*(H1259&lt;=($M$3*60+$N$3)/86400)</f>
        <v>0</v>
      </c>
      <c r="N1259" s="16"/>
      <c r="O1259" s="15"/>
    </row>
    <row r="1260" customFormat="false" ht="25.35" hidden="false" customHeight="false" outlineLevel="0" collapsed="false">
      <c r="A1260" s="9" t="n">
        <v>1254</v>
      </c>
      <c r="B1260" s="10" t="s">
        <v>1820</v>
      </c>
      <c r="C1260" s="10" t="s">
        <v>1821</v>
      </c>
      <c r="D1260" s="11"/>
      <c r="E1260" s="12"/>
      <c r="F1260" s="11" t="n">
        <v>0.00723321759259259</v>
      </c>
      <c r="G1260" s="12" t="n">
        <v>578</v>
      </c>
      <c r="H1260" s="11"/>
      <c r="I1260" s="12"/>
      <c r="J1260" s="12" t="n">
        <f aca="false">COUNT(E1260,G1260,I1260)</f>
        <v>1</v>
      </c>
      <c r="K1260" s="13" t="n">
        <f aca="false">MIN(E1260,G1260,I1260)</f>
        <v>578</v>
      </c>
      <c r="L1260" s="9" t="str">
        <f aca="false">IF(E1260=K1260,"5000m",IF(G1260=K1260,"3000mSC","1500m"))</f>
        <v>3000mSC</v>
      </c>
      <c r="M1260" s="14" t="n">
        <f aca="false">(D1260&lt;&gt;"")*(D1260&lt;=($E$3*60+$F$3)/86400)+(F1260&lt;&gt;"")*(F1260&lt;=($I$3*60+$J$3)/86400)+(H1260&lt;&gt;"")*(H1260&lt;=($M$3*60+$N$3)/86400)</f>
        <v>0</v>
      </c>
      <c r="N1260" s="16"/>
      <c r="O1260" s="15"/>
    </row>
    <row r="1261" customFormat="false" ht="25.35" hidden="false" customHeight="false" outlineLevel="0" collapsed="false">
      <c r="A1261" s="9" t="n">
        <v>1255</v>
      </c>
      <c r="B1261" s="10" t="s">
        <v>1822</v>
      </c>
      <c r="C1261" s="10" t="s">
        <v>758</v>
      </c>
      <c r="D1261" s="11"/>
      <c r="E1261" s="12"/>
      <c r="F1261" s="11" t="n">
        <v>0.0072337962962963</v>
      </c>
      <c r="G1261" s="12" t="n">
        <v>579</v>
      </c>
      <c r="H1261" s="11"/>
      <c r="I1261" s="12"/>
      <c r="J1261" s="12" t="n">
        <f aca="false">COUNT(E1261,G1261,I1261)</f>
        <v>1</v>
      </c>
      <c r="K1261" s="13" t="n">
        <f aca="false">MIN(E1261,G1261,I1261)</f>
        <v>579</v>
      </c>
      <c r="L1261" s="9" t="str">
        <f aca="false">IF(E1261=K1261,"5000m",IF(G1261=K1261,"3000mSC","1500m"))</f>
        <v>3000mSC</v>
      </c>
      <c r="M1261" s="14" t="n">
        <f aca="false">(D1261&lt;&gt;"")*(D1261&lt;=($E$3*60+$F$3)/86400)+(F1261&lt;&gt;"")*(F1261&lt;=($I$3*60+$J$3)/86400)+(H1261&lt;&gt;"")*(H1261&lt;=($M$3*60+$N$3)/86400)</f>
        <v>0</v>
      </c>
      <c r="N1261" s="16"/>
      <c r="O1261" s="15"/>
    </row>
    <row r="1262" customFormat="false" ht="15" hidden="false" customHeight="false" outlineLevel="0" collapsed="false">
      <c r="A1262" s="9" t="n">
        <v>1256</v>
      </c>
      <c r="B1262" s="10" t="s">
        <v>1823</v>
      </c>
      <c r="C1262" s="10" t="s">
        <v>114</v>
      </c>
      <c r="D1262" s="11" t="n">
        <v>0.0106989583333333</v>
      </c>
      <c r="E1262" s="12" t="n">
        <v>580</v>
      </c>
      <c r="F1262" s="11"/>
      <c r="G1262" s="12"/>
      <c r="H1262" s="11"/>
      <c r="I1262" s="12"/>
      <c r="J1262" s="12" t="n">
        <f aca="false">COUNT(E1262,G1262,I1262)</f>
        <v>1</v>
      </c>
      <c r="K1262" s="13" t="n">
        <f aca="false">MIN(E1262,G1262,I1262)</f>
        <v>580</v>
      </c>
      <c r="L1262" s="9" t="str">
        <f aca="false">IF(E1262=K1262,"5000m",IF(G1262=K1262,"3000mSC","1500m"))</f>
        <v>5000m</v>
      </c>
      <c r="M1262" s="14" t="n">
        <f aca="false">(D1262&lt;&gt;"")*(D1262&lt;=($E$3*60+$F$3)/86400)+(F1262&lt;&gt;"")*(F1262&lt;=($I$3*60+$J$3)/86400)+(H1262&lt;&gt;"")*(H1262&lt;=($M$3*60+$N$3)/86400)</f>
        <v>0</v>
      </c>
      <c r="N1262" s="16"/>
      <c r="O1262" s="15"/>
    </row>
    <row r="1263" customFormat="false" ht="25.35" hidden="false" customHeight="false" outlineLevel="0" collapsed="false">
      <c r="A1263" s="9" t="n">
        <v>1257</v>
      </c>
      <c r="B1263" s="10" t="s">
        <v>1824</v>
      </c>
      <c r="C1263" s="10" t="s">
        <v>1825</v>
      </c>
      <c r="D1263" s="11"/>
      <c r="E1263" s="12"/>
      <c r="F1263" s="11" t="n">
        <v>0.00723460648148148</v>
      </c>
      <c r="G1263" s="12" t="n">
        <v>580</v>
      </c>
      <c r="H1263" s="11"/>
      <c r="I1263" s="12"/>
      <c r="J1263" s="12" t="n">
        <f aca="false">COUNT(E1263,G1263,I1263)</f>
        <v>1</v>
      </c>
      <c r="K1263" s="13" t="n">
        <f aca="false">MIN(E1263,G1263,I1263)</f>
        <v>580</v>
      </c>
      <c r="L1263" s="9" t="str">
        <f aca="false">IF(E1263=K1263,"5000m",IF(G1263=K1263,"3000mSC","1500m"))</f>
        <v>3000mSC</v>
      </c>
      <c r="M1263" s="14" t="n">
        <f aca="false">(D1263&lt;&gt;"")*(D1263&lt;=($E$3*60+$F$3)/86400)+(F1263&lt;&gt;"")*(F1263&lt;=($I$3*60+$J$3)/86400)+(H1263&lt;&gt;"")*(H1263&lt;=($M$3*60+$N$3)/86400)</f>
        <v>0</v>
      </c>
      <c r="N1263" s="16"/>
      <c r="O1263" s="15"/>
    </row>
    <row r="1264" customFormat="false" ht="15" hidden="false" customHeight="false" outlineLevel="0" collapsed="false">
      <c r="A1264" s="9" t="n">
        <v>1258</v>
      </c>
      <c r="B1264" s="10" t="s">
        <v>1826</v>
      </c>
      <c r="C1264" s="10" t="s">
        <v>286</v>
      </c>
      <c r="D1264" s="11"/>
      <c r="E1264" s="12"/>
      <c r="F1264" s="11"/>
      <c r="G1264" s="12"/>
      <c r="H1264" s="11" t="n">
        <v>0.00285185185185185</v>
      </c>
      <c r="I1264" s="12" t="n">
        <v>580</v>
      </c>
      <c r="J1264" s="12" t="n">
        <f aca="false">COUNT(E1264,G1264,I1264)</f>
        <v>1</v>
      </c>
      <c r="K1264" s="13" t="n">
        <f aca="false">MIN(E1264,G1264,I1264)</f>
        <v>580</v>
      </c>
      <c r="L1264" s="9" t="str">
        <f aca="false">IF(E1264=K1264,"5000m",IF(G1264=K1264,"3000mSC","1500m"))</f>
        <v>1500m</v>
      </c>
      <c r="M1264" s="14" t="n">
        <f aca="false">(D1264&lt;&gt;"")*(D1264&lt;=($E$3*60+$F$3)/86400)+(F1264&lt;&gt;"")*(F1264&lt;=($I$3*60+$J$3)/86400)+(H1264&lt;&gt;"")*(H1264&lt;=($M$3*60+$N$3)/86400)</f>
        <v>0</v>
      </c>
      <c r="N1264" s="16"/>
      <c r="O1264" s="15"/>
    </row>
    <row r="1265" customFormat="false" ht="25.35" hidden="false" customHeight="false" outlineLevel="0" collapsed="false">
      <c r="A1265" s="9" t="n">
        <v>1259</v>
      </c>
      <c r="B1265" s="10" t="s">
        <v>1827</v>
      </c>
      <c r="C1265" s="10" t="s">
        <v>1828</v>
      </c>
      <c r="D1265" s="11" t="n">
        <v>0.0109680555555556</v>
      </c>
      <c r="E1265" s="12" t="n">
        <v>1033</v>
      </c>
      <c r="F1265" s="11" t="n">
        <v>0.00723611111111111</v>
      </c>
      <c r="G1265" s="12" t="n">
        <v>581</v>
      </c>
      <c r="H1265" s="11" t="n">
        <v>0.00288900462962963</v>
      </c>
      <c r="I1265" s="12" t="n">
        <v>855</v>
      </c>
      <c r="J1265" s="12" t="n">
        <f aca="false">COUNT(E1265,G1265,I1265)</f>
        <v>3</v>
      </c>
      <c r="K1265" s="13" t="n">
        <f aca="false">MIN(E1265,G1265,I1265)</f>
        <v>581</v>
      </c>
      <c r="L1265" s="9" t="str">
        <f aca="false">IF(E1265=K1265,"5000m",IF(G1265=K1265,"3000mSC","1500m"))</f>
        <v>3000mSC</v>
      </c>
      <c r="M1265" s="14" t="n">
        <f aca="false">(D1265&lt;&gt;"")*(D1265&lt;=($E$3*60+$F$3)/86400)+(F1265&lt;&gt;"")*(F1265&lt;=($I$3*60+$J$3)/86400)+(H1265&lt;&gt;"")*(H1265&lt;=($M$3*60+$N$3)/86400)</f>
        <v>0</v>
      </c>
      <c r="N1265" s="16"/>
      <c r="O1265" s="15"/>
    </row>
    <row r="1266" customFormat="false" ht="15" hidden="false" customHeight="false" outlineLevel="0" collapsed="false">
      <c r="A1266" s="9" t="n">
        <v>1260</v>
      </c>
      <c r="B1266" s="10" t="s">
        <v>1829</v>
      </c>
      <c r="C1266" s="10" t="s">
        <v>1830</v>
      </c>
      <c r="D1266" s="11" t="n">
        <v>0.010699537037037</v>
      </c>
      <c r="E1266" s="12" t="n">
        <v>582</v>
      </c>
      <c r="F1266" s="11"/>
      <c r="G1266" s="12"/>
      <c r="H1266" s="11"/>
      <c r="I1266" s="12"/>
      <c r="J1266" s="12" t="n">
        <f aca="false">COUNT(E1266,G1266,I1266)</f>
        <v>1</v>
      </c>
      <c r="K1266" s="13" t="n">
        <f aca="false">MIN(E1266,G1266,I1266)</f>
        <v>582</v>
      </c>
      <c r="L1266" s="9" t="str">
        <f aca="false">IF(E1266=K1266,"5000m",IF(G1266=K1266,"3000mSC","1500m"))</f>
        <v>5000m</v>
      </c>
      <c r="M1266" s="14" t="n">
        <f aca="false">(D1266&lt;&gt;"")*(D1266&lt;=($E$3*60+$F$3)/86400)+(F1266&lt;&gt;"")*(F1266&lt;=($I$3*60+$J$3)/86400)+(H1266&lt;&gt;"")*(H1266&lt;=($M$3*60+$N$3)/86400)</f>
        <v>0</v>
      </c>
      <c r="N1266" s="16"/>
      <c r="O1266" s="15"/>
    </row>
    <row r="1267" customFormat="false" ht="25.35" hidden="false" customHeight="false" outlineLevel="0" collapsed="false">
      <c r="A1267" s="9" t="n">
        <v>1261</v>
      </c>
      <c r="B1267" s="10" t="s">
        <v>1831</v>
      </c>
      <c r="C1267" s="10" t="s">
        <v>603</v>
      </c>
      <c r="D1267" s="11"/>
      <c r="E1267" s="12"/>
      <c r="F1267" s="11" t="n">
        <v>0.00723634259259259</v>
      </c>
      <c r="G1267" s="12" t="n">
        <v>582</v>
      </c>
      <c r="H1267" s="11"/>
      <c r="I1267" s="12"/>
      <c r="J1267" s="12" t="n">
        <f aca="false">COUNT(E1267,G1267,I1267)</f>
        <v>1</v>
      </c>
      <c r="K1267" s="13" t="n">
        <f aca="false">MIN(E1267,G1267,I1267)</f>
        <v>582</v>
      </c>
      <c r="L1267" s="9" t="str">
        <f aca="false">IF(E1267=K1267,"5000m",IF(G1267=K1267,"3000mSC","1500m"))</f>
        <v>3000mSC</v>
      </c>
      <c r="M1267" s="14" t="n">
        <f aca="false">(D1267&lt;&gt;"")*(D1267&lt;=($E$3*60+$F$3)/86400)+(F1267&lt;&gt;"")*(F1267&lt;=($I$3*60+$J$3)/86400)+(H1267&lt;&gt;"")*(H1267&lt;=($M$3*60+$N$3)/86400)</f>
        <v>0</v>
      </c>
      <c r="N1267" s="16"/>
      <c r="O1267" s="15"/>
    </row>
    <row r="1268" customFormat="false" ht="15" hidden="false" customHeight="false" outlineLevel="0" collapsed="false">
      <c r="A1268" s="9" t="n">
        <v>1262</v>
      </c>
      <c r="B1268" s="10" t="s">
        <v>1832</v>
      </c>
      <c r="C1268" s="10" t="s">
        <v>425</v>
      </c>
      <c r="D1268" s="11" t="n">
        <v>0.0107001157407407</v>
      </c>
      <c r="E1268" s="12" t="n">
        <v>583</v>
      </c>
      <c r="F1268" s="11"/>
      <c r="G1268" s="12"/>
      <c r="H1268" s="11"/>
      <c r="I1268" s="12"/>
      <c r="J1268" s="12" t="n">
        <f aca="false">COUNT(E1268,G1268,I1268)</f>
        <v>1</v>
      </c>
      <c r="K1268" s="13" t="n">
        <f aca="false">MIN(E1268,G1268,I1268)</f>
        <v>583</v>
      </c>
      <c r="L1268" s="9" t="str">
        <f aca="false">IF(E1268=K1268,"5000m",IF(G1268=K1268,"3000mSC","1500m"))</f>
        <v>5000m</v>
      </c>
      <c r="M1268" s="14" t="n">
        <f aca="false">(D1268&lt;&gt;"")*(D1268&lt;=($E$3*60+$F$3)/86400)+(F1268&lt;&gt;"")*(F1268&lt;=($I$3*60+$J$3)/86400)+(H1268&lt;&gt;"")*(H1268&lt;=($M$3*60+$N$3)/86400)</f>
        <v>0</v>
      </c>
      <c r="N1268" s="16"/>
      <c r="O1268" s="15"/>
    </row>
    <row r="1269" customFormat="false" ht="25.35" hidden="false" customHeight="false" outlineLevel="0" collapsed="false">
      <c r="A1269" s="9" t="n">
        <v>1263</v>
      </c>
      <c r="B1269" s="10" t="s">
        <v>1833</v>
      </c>
      <c r="C1269" s="10" t="s">
        <v>1834</v>
      </c>
      <c r="D1269" s="11"/>
      <c r="E1269" s="12"/>
      <c r="F1269" s="11" t="n">
        <v>0.00723761574074074</v>
      </c>
      <c r="G1269" s="12" t="n">
        <v>583</v>
      </c>
      <c r="H1269" s="11"/>
      <c r="I1269" s="12"/>
      <c r="J1269" s="12" t="n">
        <f aca="false">COUNT(E1269,G1269,I1269)</f>
        <v>1</v>
      </c>
      <c r="K1269" s="13" t="n">
        <f aca="false">MIN(E1269,G1269,I1269)</f>
        <v>583</v>
      </c>
      <c r="L1269" s="9" t="str">
        <f aca="false">IF(E1269=K1269,"5000m",IF(G1269=K1269,"3000mSC","1500m"))</f>
        <v>3000mSC</v>
      </c>
      <c r="M1269" s="14" t="n">
        <f aca="false">(D1269&lt;&gt;"")*(D1269&lt;=($E$3*60+$F$3)/86400)+(F1269&lt;&gt;"")*(F1269&lt;=($I$3*60+$J$3)/86400)+(H1269&lt;&gt;"")*(H1269&lt;=($M$3*60+$N$3)/86400)</f>
        <v>0</v>
      </c>
      <c r="N1269" s="16"/>
      <c r="O1269" s="15"/>
    </row>
    <row r="1270" customFormat="false" ht="15" hidden="false" customHeight="false" outlineLevel="0" collapsed="false">
      <c r="A1270" s="9" t="n">
        <v>1264</v>
      </c>
      <c r="B1270" s="10" t="s">
        <v>1835</v>
      </c>
      <c r="C1270" s="10" t="s">
        <v>36</v>
      </c>
      <c r="D1270" s="11" t="n">
        <v>0.0107001157407407</v>
      </c>
      <c r="E1270" s="12" t="n">
        <v>584</v>
      </c>
      <c r="F1270" s="11"/>
      <c r="G1270" s="12"/>
      <c r="H1270" s="11" t="n">
        <v>0.00289814814814815</v>
      </c>
      <c r="I1270" s="12" t="n">
        <v>934</v>
      </c>
      <c r="J1270" s="12" t="n">
        <f aca="false">COUNT(E1270,G1270,I1270)</f>
        <v>2</v>
      </c>
      <c r="K1270" s="13" t="n">
        <f aca="false">MIN(E1270,G1270,I1270)</f>
        <v>584</v>
      </c>
      <c r="L1270" s="9" t="str">
        <f aca="false">IF(E1270=K1270,"5000m",IF(G1270=K1270,"3000mSC","1500m"))</f>
        <v>5000m</v>
      </c>
      <c r="M1270" s="14" t="n">
        <f aca="false">(D1270&lt;&gt;"")*(D1270&lt;=($E$3*60+$F$3)/86400)+(F1270&lt;&gt;"")*(F1270&lt;=($I$3*60+$J$3)/86400)+(H1270&lt;&gt;"")*(H1270&lt;=($M$3*60+$N$3)/86400)</f>
        <v>0</v>
      </c>
      <c r="N1270" s="16"/>
      <c r="O1270" s="15"/>
    </row>
    <row r="1271" customFormat="false" ht="25.35" hidden="false" customHeight="false" outlineLevel="0" collapsed="false">
      <c r="A1271" s="9" t="n">
        <v>1265</v>
      </c>
      <c r="B1271" s="10" t="s">
        <v>1836</v>
      </c>
      <c r="C1271" s="10" t="s">
        <v>1837</v>
      </c>
      <c r="D1271" s="11"/>
      <c r="E1271" s="12"/>
      <c r="F1271" s="11" t="n">
        <v>0.0072380787037037</v>
      </c>
      <c r="G1271" s="12" t="n">
        <v>584</v>
      </c>
      <c r="H1271" s="11"/>
      <c r="I1271" s="12"/>
      <c r="J1271" s="12" t="n">
        <f aca="false">COUNT(E1271,G1271,I1271)</f>
        <v>1</v>
      </c>
      <c r="K1271" s="13" t="n">
        <f aca="false">MIN(E1271,G1271,I1271)</f>
        <v>584</v>
      </c>
      <c r="L1271" s="9" t="str">
        <f aca="false">IF(E1271=K1271,"5000m",IF(G1271=K1271,"3000mSC","1500m"))</f>
        <v>3000mSC</v>
      </c>
      <c r="M1271" s="14" t="n">
        <f aca="false">(D1271&lt;&gt;"")*(D1271&lt;=($E$3*60+$F$3)/86400)+(F1271&lt;&gt;"")*(F1271&lt;=($I$3*60+$J$3)/86400)+(H1271&lt;&gt;"")*(H1271&lt;=($M$3*60+$N$3)/86400)</f>
        <v>0</v>
      </c>
      <c r="N1271" s="16"/>
      <c r="O1271" s="15"/>
    </row>
    <row r="1272" customFormat="false" ht="15" hidden="false" customHeight="false" outlineLevel="0" collapsed="false">
      <c r="A1272" s="9" t="n">
        <v>1266</v>
      </c>
      <c r="B1272" s="10" t="s">
        <v>1838</v>
      </c>
      <c r="C1272" s="10" t="s">
        <v>1839</v>
      </c>
      <c r="D1272" s="11" t="n">
        <v>0.0110403935185185</v>
      </c>
      <c r="E1272" s="12" t="n">
        <v>1178</v>
      </c>
      <c r="F1272" s="11"/>
      <c r="G1272" s="12"/>
      <c r="H1272" s="11" t="n">
        <v>0.00285289351851852</v>
      </c>
      <c r="I1272" s="12" t="n">
        <v>585</v>
      </c>
      <c r="J1272" s="12" t="n">
        <f aca="false">COUNT(E1272,G1272,I1272)</f>
        <v>2</v>
      </c>
      <c r="K1272" s="13" t="n">
        <f aca="false">MIN(E1272,G1272,I1272)</f>
        <v>585</v>
      </c>
      <c r="L1272" s="9" t="str">
        <f aca="false">IF(E1272=K1272,"5000m",IF(G1272=K1272,"3000mSC","1500m"))</f>
        <v>1500m</v>
      </c>
      <c r="M1272" s="14" t="n">
        <f aca="false">(D1272&lt;&gt;"")*(D1272&lt;=($E$3*60+$F$3)/86400)+(F1272&lt;&gt;"")*(F1272&lt;=($I$3*60+$J$3)/86400)+(H1272&lt;&gt;"")*(H1272&lt;=($M$3*60+$N$3)/86400)</f>
        <v>0</v>
      </c>
      <c r="N1272" s="16"/>
      <c r="O1272" s="15"/>
    </row>
    <row r="1273" customFormat="false" ht="25.35" hidden="false" customHeight="false" outlineLevel="0" collapsed="false">
      <c r="A1273" s="9" t="n">
        <v>1267</v>
      </c>
      <c r="B1273" s="10" t="s">
        <v>1840</v>
      </c>
      <c r="C1273" s="10" t="s">
        <v>1841</v>
      </c>
      <c r="D1273" s="11"/>
      <c r="E1273" s="12"/>
      <c r="F1273" s="11" t="n">
        <v>0.00723854166666667</v>
      </c>
      <c r="G1273" s="12" t="n">
        <v>585</v>
      </c>
      <c r="H1273" s="11"/>
      <c r="I1273" s="12"/>
      <c r="J1273" s="12" t="n">
        <f aca="false">COUNT(E1273,G1273,I1273)</f>
        <v>1</v>
      </c>
      <c r="K1273" s="13" t="n">
        <f aca="false">MIN(E1273,G1273,I1273)</f>
        <v>585</v>
      </c>
      <c r="L1273" s="9" t="str">
        <f aca="false">IF(E1273=K1273,"5000m",IF(G1273=K1273,"3000mSC","1500m"))</f>
        <v>3000mSC</v>
      </c>
      <c r="M1273" s="14" t="n">
        <f aca="false">(D1273&lt;&gt;"")*(D1273&lt;=($E$3*60+$F$3)/86400)+(F1273&lt;&gt;"")*(F1273&lt;=($I$3*60+$J$3)/86400)+(H1273&lt;&gt;"")*(H1273&lt;=($M$3*60+$N$3)/86400)</f>
        <v>0</v>
      </c>
      <c r="N1273" s="16"/>
      <c r="O1273" s="15"/>
    </row>
    <row r="1274" customFormat="false" ht="25.35" hidden="false" customHeight="false" outlineLevel="0" collapsed="false">
      <c r="A1274" s="9" t="n">
        <v>1268</v>
      </c>
      <c r="B1274" s="10" t="s">
        <v>1842</v>
      </c>
      <c r="C1274" s="10" t="s">
        <v>1843</v>
      </c>
      <c r="D1274" s="11" t="n">
        <v>0.0110297453703704</v>
      </c>
      <c r="E1274" s="12" t="n">
        <v>1151</v>
      </c>
      <c r="F1274" s="11" t="n">
        <v>0.00723888888888889</v>
      </c>
      <c r="G1274" s="12" t="n">
        <v>586</v>
      </c>
      <c r="H1274" s="11" t="n">
        <v>0.00292025462962963</v>
      </c>
      <c r="I1274" s="12" t="n">
        <v>1100</v>
      </c>
      <c r="J1274" s="12" t="n">
        <f aca="false">COUNT(E1274,G1274,I1274)</f>
        <v>3</v>
      </c>
      <c r="K1274" s="13" t="n">
        <f aca="false">MIN(E1274,G1274,I1274)</f>
        <v>586</v>
      </c>
      <c r="L1274" s="9" t="str">
        <f aca="false">IF(E1274=K1274,"5000m",IF(G1274=K1274,"3000mSC","1500m"))</f>
        <v>3000mSC</v>
      </c>
      <c r="M1274" s="14" t="n">
        <f aca="false">(D1274&lt;&gt;"")*(D1274&lt;=($E$3*60+$F$3)/86400)+(F1274&lt;&gt;"")*(F1274&lt;=($I$3*60+$J$3)/86400)+(H1274&lt;&gt;"")*(H1274&lt;=($M$3*60+$N$3)/86400)</f>
        <v>0</v>
      </c>
      <c r="N1274" s="16"/>
      <c r="O1274" s="15"/>
    </row>
    <row r="1275" customFormat="false" ht="15" hidden="false" customHeight="false" outlineLevel="0" collapsed="false">
      <c r="A1275" s="9" t="n">
        <v>1269</v>
      </c>
      <c r="B1275" s="10" t="s">
        <v>1844</v>
      </c>
      <c r="C1275" s="10" t="s">
        <v>126</v>
      </c>
      <c r="D1275" s="11" t="n">
        <v>0.010772337962963</v>
      </c>
      <c r="E1275" s="12" t="n">
        <v>701</v>
      </c>
      <c r="F1275" s="11"/>
      <c r="G1275" s="12"/>
      <c r="H1275" s="11" t="n">
        <v>0.00285300925925926</v>
      </c>
      <c r="I1275" s="12" t="n">
        <v>586</v>
      </c>
      <c r="J1275" s="12" t="n">
        <f aca="false">COUNT(E1275,G1275,I1275)</f>
        <v>2</v>
      </c>
      <c r="K1275" s="13" t="n">
        <f aca="false">MIN(E1275,G1275,I1275)</f>
        <v>586</v>
      </c>
      <c r="L1275" s="9" t="str">
        <f aca="false">IF(E1275=K1275,"5000m",IF(G1275=K1275,"3000mSC","1500m"))</f>
        <v>1500m</v>
      </c>
      <c r="M1275" s="14" t="n">
        <f aca="false">(D1275&lt;&gt;"")*(D1275&lt;=($E$3*60+$F$3)/86400)+(F1275&lt;&gt;"")*(F1275&lt;=($I$3*60+$J$3)/86400)+(H1275&lt;&gt;"")*(H1275&lt;=($M$3*60+$N$3)/86400)</f>
        <v>0</v>
      </c>
      <c r="N1275" s="16"/>
      <c r="O1275" s="15"/>
    </row>
    <row r="1276" customFormat="false" ht="15" hidden="false" customHeight="false" outlineLevel="0" collapsed="false">
      <c r="A1276" s="9" t="n">
        <v>1270</v>
      </c>
      <c r="B1276" s="10" t="s">
        <v>1845</v>
      </c>
      <c r="C1276" s="10" t="s">
        <v>166</v>
      </c>
      <c r="D1276" s="11" t="n">
        <v>0.0107012731481482</v>
      </c>
      <c r="E1276" s="12" t="n">
        <v>586</v>
      </c>
      <c r="F1276" s="11"/>
      <c r="G1276" s="12"/>
      <c r="H1276" s="11"/>
      <c r="I1276" s="12"/>
      <c r="J1276" s="12" t="n">
        <f aca="false">COUNT(E1276,G1276,I1276)</f>
        <v>1</v>
      </c>
      <c r="K1276" s="13" t="n">
        <f aca="false">MIN(E1276,G1276,I1276)</f>
        <v>586</v>
      </c>
      <c r="L1276" s="9" t="str">
        <f aca="false">IF(E1276=K1276,"5000m",IF(G1276=K1276,"3000mSC","1500m"))</f>
        <v>5000m</v>
      </c>
      <c r="M1276" s="14" t="n">
        <f aca="false">(D1276&lt;&gt;"")*(D1276&lt;=($E$3*60+$F$3)/86400)+(F1276&lt;&gt;"")*(F1276&lt;=($I$3*60+$J$3)/86400)+(H1276&lt;&gt;"")*(H1276&lt;=($M$3*60+$N$3)/86400)</f>
        <v>0</v>
      </c>
      <c r="N1276" s="16"/>
      <c r="O1276" s="15"/>
    </row>
    <row r="1277" customFormat="false" ht="25.35" hidden="false" customHeight="false" outlineLevel="0" collapsed="false">
      <c r="A1277" s="9" t="n">
        <v>1271</v>
      </c>
      <c r="B1277" s="10" t="s">
        <v>1846</v>
      </c>
      <c r="C1277" s="10" t="s">
        <v>874</v>
      </c>
      <c r="D1277" s="11"/>
      <c r="E1277" s="12"/>
      <c r="F1277" s="11" t="n">
        <v>0.00724212962962963</v>
      </c>
      <c r="G1277" s="12" t="n">
        <v>587</v>
      </c>
      <c r="H1277" s="11"/>
      <c r="I1277" s="12"/>
      <c r="J1277" s="12" t="n">
        <f aca="false">COUNT(E1277,G1277,I1277)</f>
        <v>1</v>
      </c>
      <c r="K1277" s="13" t="n">
        <f aca="false">MIN(E1277,G1277,I1277)</f>
        <v>587</v>
      </c>
      <c r="L1277" s="9" t="str">
        <f aca="false">IF(E1277=K1277,"5000m",IF(G1277=K1277,"3000mSC","1500m"))</f>
        <v>3000mSC</v>
      </c>
      <c r="M1277" s="14" t="n">
        <f aca="false">(D1277&lt;&gt;"")*(D1277&lt;=($E$3*60+$F$3)/86400)+(F1277&lt;&gt;"")*(F1277&lt;=($I$3*60+$J$3)/86400)+(H1277&lt;&gt;"")*(H1277&lt;=($M$3*60+$N$3)/86400)</f>
        <v>0</v>
      </c>
      <c r="N1277" s="16"/>
      <c r="O1277" s="15"/>
    </row>
    <row r="1278" customFormat="false" ht="15" hidden="false" customHeight="false" outlineLevel="0" collapsed="false">
      <c r="A1278" s="9" t="n">
        <v>1272</v>
      </c>
      <c r="B1278" s="10" t="s">
        <v>1847</v>
      </c>
      <c r="C1278" s="10" t="s">
        <v>91</v>
      </c>
      <c r="D1278" s="11" t="n">
        <v>0.0107028935185185</v>
      </c>
      <c r="E1278" s="12" t="n">
        <v>588</v>
      </c>
      <c r="F1278" s="11"/>
      <c r="G1278" s="12"/>
      <c r="H1278" s="11"/>
      <c r="I1278" s="12"/>
      <c r="J1278" s="12" t="n">
        <f aca="false">COUNT(E1278,G1278,I1278)</f>
        <v>1</v>
      </c>
      <c r="K1278" s="13" t="n">
        <f aca="false">MIN(E1278,G1278,I1278)</f>
        <v>588</v>
      </c>
      <c r="L1278" s="9" t="str">
        <f aca="false">IF(E1278=K1278,"5000m",IF(G1278=K1278,"3000mSC","1500m"))</f>
        <v>5000m</v>
      </c>
      <c r="M1278" s="14" t="n">
        <f aca="false">(D1278&lt;&gt;"")*(D1278&lt;=($E$3*60+$F$3)/86400)+(F1278&lt;&gt;"")*(F1278&lt;=($I$3*60+$J$3)/86400)+(H1278&lt;&gt;"")*(H1278&lt;=($M$3*60+$N$3)/86400)</f>
        <v>0</v>
      </c>
      <c r="N1278" s="16"/>
      <c r="O1278" s="15"/>
    </row>
    <row r="1279" customFormat="false" ht="25.35" hidden="false" customHeight="false" outlineLevel="0" collapsed="false">
      <c r="A1279" s="9" t="n">
        <v>1273</v>
      </c>
      <c r="B1279" s="10" t="s">
        <v>1848</v>
      </c>
      <c r="C1279" s="10" t="s">
        <v>1849</v>
      </c>
      <c r="D1279" s="11"/>
      <c r="E1279" s="12"/>
      <c r="F1279" s="11" t="n">
        <v>0.00724328703703704</v>
      </c>
      <c r="G1279" s="12" t="n">
        <v>589</v>
      </c>
      <c r="H1279" s="11"/>
      <c r="I1279" s="12"/>
      <c r="J1279" s="12" t="n">
        <f aca="false">COUNT(E1279,G1279,I1279)</f>
        <v>1</v>
      </c>
      <c r="K1279" s="13" t="n">
        <f aca="false">MIN(E1279,G1279,I1279)</f>
        <v>589</v>
      </c>
      <c r="L1279" s="9" t="str">
        <f aca="false">IF(E1279=K1279,"5000m",IF(G1279=K1279,"3000mSC","1500m"))</f>
        <v>3000mSC</v>
      </c>
      <c r="M1279" s="14" t="n">
        <f aca="false">(D1279&lt;&gt;"")*(D1279&lt;=($E$3*60+$F$3)/86400)+(F1279&lt;&gt;"")*(F1279&lt;=($I$3*60+$J$3)/86400)+(H1279&lt;&gt;"")*(H1279&lt;=($M$3*60+$N$3)/86400)</f>
        <v>0</v>
      </c>
      <c r="N1279" s="16"/>
      <c r="O1279" s="15"/>
    </row>
    <row r="1280" customFormat="false" ht="25.35" hidden="false" customHeight="false" outlineLevel="0" collapsed="false">
      <c r="A1280" s="9" t="n">
        <v>1274</v>
      </c>
      <c r="B1280" s="10" t="s">
        <v>1850</v>
      </c>
      <c r="C1280" s="10" t="s">
        <v>282</v>
      </c>
      <c r="D1280" s="11"/>
      <c r="E1280" s="12"/>
      <c r="F1280" s="11" t="n">
        <v>0.00724328703703704</v>
      </c>
      <c r="G1280" s="12" t="n">
        <v>590</v>
      </c>
      <c r="H1280" s="11"/>
      <c r="I1280" s="12"/>
      <c r="J1280" s="12" t="n">
        <f aca="false">COUNT(E1280,G1280,I1280)</f>
        <v>1</v>
      </c>
      <c r="K1280" s="13" t="n">
        <f aca="false">MIN(E1280,G1280,I1280)</f>
        <v>590</v>
      </c>
      <c r="L1280" s="9" t="str">
        <f aca="false">IF(E1280=K1280,"5000m",IF(G1280=K1280,"3000mSC","1500m"))</f>
        <v>3000mSC</v>
      </c>
      <c r="M1280" s="14" t="n">
        <f aca="false">(D1280&lt;&gt;"")*(D1280&lt;=($E$3*60+$F$3)/86400)+(F1280&lt;&gt;"")*(F1280&lt;=($I$3*60+$J$3)/86400)+(H1280&lt;&gt;"")*(H1280&lt;=($M$3*60+$N$3)/86400)</f>
        <v>0</v>
      </c>
      <c r="N1280" s="16"/>
      <c r="O1280" s="15"/>
    </row>
    <row r="1281" customFormat="false" ht="15" hidden="false" customHeight="false" outlineLevel="0" collapsed="false">
      <c r="A1281" s="9" t="n">
        <v>1275</v>
      </c>
      <c r="B1281" s="10" t="s">
        <v>1851</v>
      </c>
      <c r="C1281" s="10" t="s">
        <v>1852</v>
      </c>
      <c r="D1281" s="11" t="n">
        <v>0.0110280092592593</v>
      </c>
      <c r="E1281" s="12" t="n">
        <v>1146</v>
      </c>
      <c r="F1281" s="11"/>
      <c r="G1281" s="12"/>
      <c r="H1281" s="11" t="n">
        <v>0.00285358796296296</v>
      </c>
      <c r="I1281" s="12" t="n">
        <v>591</v>
      </c>
      <c r="J1281" s="12" t="n">
        <f aca="false">COUNT(E1281,G1281,I1281)</f>
        <v>2</v>
      </c>
      <c r="K1281" s="13" t="n">
        <f aca="false">MIN(E1281,G1281,I1281)</f>
        <v>591</v>
      </c>
      <c r="L1281" s="9" t="str">
        <f aca="false">IF(E1281=K1281,"5000m",IF(G1281=K1281,"3000mSC","1500m"))</f>
        <v>1500m</v>
      </c>
      <c r="M1281" s="14" t="n">
        <f aca="false">(D1281&lt;&gt;"")*(D1281&lt;=($E$3*60+$F$3)/86400)+(F1281&lt;&gt;"")*(F1281&lt;=($I$3*60+$J$3)/86400)+(H1281&lt;&gt;"")*(H1281&lt;=($M$3*60+$N$3)/86400)</f>
        <v>0</v>
      </c>
      <c r="N1281" s="16"/>
      <c r="O1281" s="15"/>
    </row>
    <row r="1282" customFormat="false" ht="15" hidden="false" customHeight="false" outlineLevel="0" collapsed="false">
      <c r="A1282" s="9" t="n">
        <v>1276</v>
      </c>
      <c r="B1282" s="10" t="s">
        <v>1853</v>
      </c>
      <c r="C1282" s="10" t="s">
        <v>185</v>
      </c>
      <c r="D1282" s="11" t="n">
        <v>0.01070625</v>
      </c>
      <c r="E1282" s="12" t="n">
        <v>591</v>
      </c>
      <c r="F1282" s="11"/>
      <c r="G1282" s="12"/>
      <c r="H1282" s="11"/>
      <c r="I1282" s="12"/>
      <c r="J1282" s="12" t="n">
        <f aca="false">COUNT(E1282,G1282,I1282)</f>
        <v>1</v>
      </c>
      <c r="K1282" s="13" t="n">
        <f aca="false">MIN(E1282,G1282,I1282)</f>
        <v>591</v>
      </c>
      <c r="L1282" s="9" t="str">
        <f aca="false">IF(E1282=K1282,"5000m",IF(G1282=K1282,"3000mSC","1500m"))</f>
        <v>5000m</v>
      </c>
      <c r="M1282" s="14" t="n">
        <f aca="false">(D1282&lt;&gt;"")*(D1282&lt;=($E$3*60+$F$3)/86400)+(F1282&lt;&gt;"")*(F1282&lt;=($I$3*60+$J$3)/86400)+(H1282&lt;&gt;"")*(H1282&lt;=($M$3*60+$N$3)/86400)</f>
        <v>0</v>
      </c>
      <c r="N1282" s="16"/>
      <c r="O1282" s="15"/>
    </row>
    <row r="1283" customFormat="false" ht="25.35" hidden="false" customHeight="false" outlineLevel="0" collapsed="false">
      <c r="A1283" s="9" t="n">
        <v>1277</v>
      </c>
      <c r="B1283" s="10" t="s">
        <v>1854</v>
      </c>
      <c r="C1283" s="10" t="s">
        <v>1855</v>
      </c>
      <c r="D1283" s="11"/>
      <c r="E1283" s="12"/>
      <c r="F1283" s="11" t="n">
        <v>0.0072443287037037</v>
      </c>
      <c r="G1283" s="12" t="n">
        <v>591</v>
      </c>
      <c r="H1283" s="11"/>
      <c r="I1283" s="12"/>
      <c r="J1283" s="12" t="n">
        <f aca="false">COUNT(E1283,G1283,I1283)</f>
        <v>1</v>
      </c>
      <c r="K1283" s="13" t="n">
        <f aca="false">MIN(E1283,G1283,I1283)</f>
        <v>591</v>
      </c>
      <c r="L1283" s="9" t="str">
        <f aca="false">IF(E1283=K1283,"5000m",IF(G1283=K1283,"3000mSC","1500m"))</f>
        <v>3000mSC</v>
      </c>
      <c r="M1283" s="14" t="n">
        <f aca="false">(D1283&lt;&gt;"")*(D1283&lt;=($E$3*60+$F$3)/86400)+(F1283&lt;&gt;"")*(F1283&lt;=($I$3*60+$J$3)/86400)+(H1283&lt;&gt;"")*(H1283&lt;=($M$3*60+$N$3)/86400)</f>
        <v>0</v>
      </c>
      <c r="N1283" s="16"/>
      <c r="O1283" s="15"/>
    </row>
    <row r="1284" customFormat="false" ht="25.35" hidden="false" customHeight="false" outlineLevel="0" collapsed="false">
      <c r="A1284" s="9" t="n">
        <v>1278</v>
      </c>
      <c r="B1284" s="10" t="s">
        <v>1856</v>
      </c>
      <c r="C1284" s="10" t="s">
        <v>1857</v>
      </c>
      <c r="D1284" s="11"/>
      <c r="E1284" s="12"/>
      <c r="F1284" s="11" t="n">
        <v>0.00724618055555556</v>
      </c>
      <c r="G1284" s="12" t="n">
        <v>592</v>
      </c>
      <c r="H1284" s="11"/>
      <c r="I1284" s="12"/>
      <c r="J1284" s="12" t="n">
        <f aca="false">COUNT(E1284,G1284,I1284)</f>
        <v>1</v>
      </c>
      <c r="K1284" s="13" t="n">
        <f aca="false">MIN(E1284,G1284,I1284)</f>
        <v>592</v>
      </c>
      <c r="L1284" s="9" t="str">
        <f aca="false">IF(E1284=K1284,"5000m",IF(G1284=K1284,"3000mSC","1500m"))</f>
        <v>3000mSC</v>
      </c>
      <c r="M1284" s="14" t="n">
        <f aca="false">(D1284&lt;&gt;"")*(D1284&lt;=($E$3*60+$F$3)/86400)+(F1284&lt;&gt;"")*(F1284&lt;=($I$3*60+$J$3)/86400)+(H1284&lt;&gt;"")*(H1284&lt;=($M$3*60+$N$3)/86400)</f>
        <v>0</v>
      </c>
      <c r="N1284" s="16"/>
      <c r="O1284" s="15"/>
    </row>
    <row r="1285" customFormat="false" ht="25.35" hidden="false" customHeight="false" outlineLevel="0" collapsed="false">
      <c r="A1285" s="9" t="n">
        <v>1279</v>
      </c>
      <c r="B1285" s="10" t="s">
        <v>1858</v>
      </c>
      <c r="C1285" s="10" t="s">
        <v>865</v>
      </c>
      <c r="D1285" s="11"/>
      <c r="E1285" s="12"/>
      <c r="F1285" s="11" t="n">
        <v>0.00724722222222222</v>
      </c>
      <c r="G1285" s="12" t="n">
        <v>593</v>
      </c>
      <c r="H1285" s="11"/>
      <c r="I1285" s="12"/>
      <c r="J1285" s="12" t="n">
        <f aca="false">COUNT(E1285,G1285,I1285)</f>
        <v>1</v>
      </c>
      <c r="K1285" s="13" t="n">
        <f aca="false">MIN(E1285,G1285,I1285)</f>
        <v>593</v>
      </c>
      <c r="L1285" s="9" t="str">
        <f aca="false">IF(E1285=K1285,"5000m",IF(G1285=K1285,"3000mSC","1500m"))</f>
        <v>3000mSC</v>
      </c>
      <c r="M1285" s="14" t="n">
        <f aca="false">(D1285&lt;&gt;"")*(D1285&lt;=($E$3*60+$F$3)/86400)+(F1285&lt;&gt;"")*(F1285&lt;=($I$3*60+$J$3)/86400)+(H1285&lt;&gt;"")*(H1285&lt;=($M$3*60+$N$3)/86400)</f>
        <v>0</v>
      </c>
      <c r="N1285" s="16"/>
      <c r="O1285" s="15"/>
    </row>
    <row r="1286" customFormat="false" ht="25.35" hidden="false" customHeight="false" outlineLevel="0" collapsed="false">
      <c r="A1286" s="9" t="n">
        <v>1280</v>
      </c>
      <c r="B1286" s="10" t="s">
        <v>1859</v>
      </c>
      <c r="C1286" s="10" t="s">
        <v>667</v>
      </c>
      <c r="D1286" s="11"/>
      <c r="E1286" s="12"/>
      <c r="F1286" s="11" t="n">
        <v>0.0072474537037037</v>
      </c>
      <c r="G1286" s="12" t="n">
        <v>594</v>
      </c>
      <c r="H1286" s="11"/>
      <c r="I1286" s="12"/>
      <c r="J1286" s="12" t="n">
        <f aca="false">COUNT(E1286,G1286,I1286)</f>
        <v>1</v>
      </c>
      <c r="K1286" s="13" t="n">
        <f aca="false">MIN(E1286,G1286,I1286)</f>
        <v>594</v>
      </c>
      <c r="L1286" s="9" t="str">
        <f aca="false">IF(E1286=K1286,"5000m",IF(G1286=K1286,"3000mSC","1500m"))</f>
        <v>3000mSC</v>
      </c>
      <c r="M1286" s="14" t="n">
        <f aca="false">(D1286&lt;&gt;"")*(D1286&lt;=($E$3*60+$F$3)/86400)+(F1286&lt;&gt;"")*(F1286&lt;=($I$3*60+$J$3)/86400)+(H1286&lt;&gt;"")*(H1286&lt;=($M$3*60+$N$3)/86400)</f>
        <v>0</v>
      </c>
      <c r="N1286" s="16"/>
      <c r="O1286" s="15"/>
    </row>
    <row r="1287" customFormat="false" ht="15" hidden="false" customHeight="false" outlineLevel="0" collapsed="false">
      <c r="A1287" s="9" t="n">
        <v>1281</v>
      </c>
      <c r="B1287" s="10" t="s">
        <v>1860</v>
      </c>
      <c r="C1287" s="10" t="s">
        <v>1861</v>
      </c>
      <c r="D1287" s="11"/>
      <c r="E1287" s="12"/>
      <c r="F1287" s="11"/>
      <c r="G1287" s="12"/>
      <c r="H1287" s="11" t="n">
        <v>0.00285405092592593</v>
      </c>
      <c r="I1287" s="12" t="n">
        <v>594</v>
      </c>
      <c r="J1287" s="12" t="n">
        <f aca="false">COUNT(E1287,G1287,I1287)</f>
        <v>1</v>
      </c>
      <c r="K1287" s="13" t="n">
        <f aca="false">MIN(E1287,G1287,I1287)</f>
        <v>594</v>
      </c>
      <c r="L1287" s="9" t="str">
        <f aca="false">IF(E1287=K1287,"5000m",IF(G1287=K1287,"3000mSC","1500m"))</f>
        <v>1500m</v>
      </c>
      <c r="M1287" s="14" t="n">
        <f aca="false">(D1287&lt;&gt;"")*(D1287&lt;=($E$3*60+$F$3)/86400)+(F1287&lt;&gt;"")*(F1287&lt;=($I$3*60+$J$3)/86400)+(H1287&lt;&gt;"")*(H1287&lt;=($M$3*60+$N$3)/86400)</f>
        <v>0</v>
      </c>
      <c r="N1287" s="16"/>
      <c r="O1287" s="15"/>
    </row>
    <row r="1288" customFormat="false" ht="25.35" hidden="false" customHeight="false" outlineLevel="0" collapsed="false">
      <c r="A1288" s="9" t="n">
        <v>1282</v>
      </c>
      <c r="B1288" s="10" t="s">
        <v>1862</v>
      </c>
      <c r="C1288" s="10" t="s">
        <v>1863</v>
      </c>
      <c r="D1288" s="11"/>
      <c r="E1288" s="12"/>
      <c r="F1288" s="11" t="n">
        <v>0.00724768518518519</v>
      </c>
      <c r="G1288" s="12" t="n">
        <v>595</v>
      </c>
      <c r="H1288" s="11"/>
      <c r="I1288" s="12"/>
      <c r="J1288" s="12" t="n">
        <f aca="false">COUNT(E1288,G1288,I1288)</f>
        <v>1</v>
      </c>
      <c r="K1288" s="13" t="n">
        <f aca="false">MIN(E1288,G1288,I1288)</f>
        <v>595</v>
      </c>
      <c r="L1288" s="9" t="str">
        <f aca="false">IF(E1288=K1288,"5000m",IF(G1288=K1288,"3000mSC","1500m"))</f>
        <v>3000mSC</v>
      </c>
      <c r="M1288" s="14" t="n">
        <f aca="false">(D1288&lt;&gt;"")*(D1288&lt;=($E$3*60+$F$3)/86400)+(F1288&lt;&gt;"")*(F1288&lt;=($I$3*60+$J$3)/86400)+(H1288&lt;&gt;"")*(H1288&lt;=($M$3*60+$N$3)/86400)</f>
        <v>0</v>
      </c>
      <c r="N1288" s="16"/>
      <c r="O1288" s="15"/>
    </row>
    <row r="1289" customFormat="false" ht="15" hidden="false" customHeight="false" outlineLevel="0" collapsed="false">
      <c r="A1289" s="9" t="n">
        <v>1283</v>
      </c>
      <c r="B1289" s="10" t="s">
        <v>1864</v>
      </c>
      <c r="C1289" s="10" t="s">
        <v>1865</v>
      </c>
      <c r="D1289" s="11"/>
      <c r="E1289" s="12"/>
      <c r="F1289" s="11"/>
      <c r="G1289" s="12"/>
      <c r="H1289" s="11" t="n">
        <v>0.00285405092592593</v>
      </c>
      <c r="I1289" s="12" t="n">
        <v>595</v>
      </c>
      <c r="J1289" s="12" t="n">
        <f aca="false">COUNT(E1289,G1289,I1289)</f>
        <v>1</v>
      </c>
      <c r="K1289" s="13" t="n">
        <f aca="false">MIN(E1289,G1289,I1289)</f>
        <v>595</v>
      </c>
      <c r="L1289" s="9" t="str">
        <f aca="false">IF(E1289=K1289,"5000m",IF(G1289=K1289,"3000mSC","1500m"))</f>
        <v>1500m</v>
      </c>
      <c r="M1289" s="14" t="n">
        <f aca="false">(D1289&lt;&gt;"")*(D1289&lt;=($E$3*60+$F$3)/86400)+(F1289&lt;&gt;"")*(F1289&lt;=($I$3*60+$J$3)/86400)+(H1289&lt;&gt;"")*(H1289&lt;=($M$3*60+$N$3)/86400)</f>
        <v>0</v>
      </c>
      <c r="N1289" s="16"/>
      <c r="O1289" s="15"/>
    </row>
    <row r="1290" customFormat="false" ht="25.35" hidden="false" customHeight="false" outlineLevel="0" collapsed="false">
      <c r="A1290" s="9" t="n">
        <v>1284</v>
      </c>
      <c r="B1290" s="10" t="s">
        <v>1866</v>
      </c>
      <c r="C1290" s="10" t="s">
        <v>1155</v>
      </c>
      <c r="D1290" s="11"/>
      <c r="E1290" s="12"/>
      <c r="F1290" s="11" t="n">
        <v>0.00724826388888889</v>
      </c>
      <c r="G1290" s="12" t="n">
        <v>596</v>
      </c>
      <c r="H1290" s="11" t="n">
        <v>0.00290162037037037</v>
      </c>
      <c r="I1290" s="12" t="n">
        <v>961</v>
      </c>
      <c r="J1290" s="12" t="n">
        <f aca="false">COUNT(E1290,G1290,I1290)</f>
        <v>2</v>
      </c>
      <c r="K1290" s="13" t="n">
        <f aca="false">MIN(E1290,G1290,I1290)</f>
        <v>596</v>
      </c>
      <c r="L1290" s="9" t="str">
        <f aca="false">IF(E1290=K1290,"5000m",IF(G1290=K1290,"3000mSC","1500m"))</f>
        <v>3000mSC</v>
      </c>
      <c r="M1290" s="14" t="n">
        <f aca="false">(D1290&lt;&gt;"")*(D1290&lt;=($E$3*60+$F$3)/86400)+(F1290&lt;&gt;"")*(F1290&lt;=($I$3*60+$J$3)/86400)+(H1290&lt;&gt;"")*(H1290&lt;=($M$3*60+$N$3)/86400)</f>
        <v>0</v>
      </c>
      <c r="N1290" s="16"/>
      <c r="O1290" s="15"/>
    </row>
    <row r="1291" customFormat="false" ht="15" hidden="false" customHeight="false" outlineLevel="0" collapsed="false">
      <c r="A1291" s="9" t="n">
        <v>1285</v>
      </c>
      <c r="B1291" s="10" t="s">
        <v>1867</v>
      </c>
      <c r="C1291" s="10" t="s">
        <v>1868</v>
      </c>
      <c r="D1291" s="11" t="n">
        <v>0.0107082175925926</v>
      </c>
      <c r="E1291" s="12" t="n">
        <v>596</v>
      </c>
      <c r="F1291" s="11"/>
      <c r="G1291" s="12"/>
      <c r="H1291" s="11"/>
      <c r="I1291" s="12"/>
      <c r="J1291" s="12" t="n">
        <f aca="false">COUNT(E1291,G1291,I1291)</f>
        <v>1</v>
      </c>
      <c r="K1291" s="13" t="n">
        <f aca="false">MIN(E1291,G1291,I1291)</f>
        <v>596</v>
      </c>
      <c r="L1291" s="9" t="str">
        <f aca="false">IF(E1291=K1291,"5000m",IF(G1291=K1291,"3000mSC","1500m"))</f>
        <v>5000m</v>
      </c>
      <c r="M1291" s="14" t="n">
        <f aca="false">(D1291&lt;&gt;"")*(D1291&lt;=($E$3*60+$F$3)/86400)+(F1291&lt;&gt;"")*(F1291&lt;=($I$3*60+$J$3)/86400)+(H1291&lt;&gt;"")*(H1291&lt;=($M$3*60+$N$3)/86400)</f>
        <v>0</v>
      </c>
      <c r="N1291" s="16"/>
      <c r="O1291" s="15"/>
    </row>
    <row r="1292" customFormat="false" ht="15" hidden="false" customHeight="false" outlineLevel="0" collapsed="false">
      <c r="A1292" s="9" t="n">
        <v>1286</v>
      </c>
      <c r="B1292" s="10" t="s">
        <v>1869</v>
      </c>
      <c r="C1292" s="10" t="s">
        <v>616</v>
      </c>
      <c r="D1292" s="11" t="n">
        <v>0.010708912037037</v>
      </c>
      <c r="E1292" s="12" t="n">
        <v>598</v>
      </c>
      <c r="F1292" s="11"/>
      <c r="G1292" s="12"/>
      <c r="H1292" s="11" t="n">
        <v>0.00287673611111111</v>
      </c>
      <c r="I1292" s="12" t="n">
        <v>745</v>
      </c>
      <c r="J1292" s="12" t="n">
        <f aca="false">COUNT(E1292,G1292,I1292)</f>
        <v>2</v>
      </c>
      <c r="K1292" s="13" t="n">
        <f aca="false">MIN(E1292,G1292,I1292)</f>
        <v>598</v>
      </c>
      <c r="L1292" s="9" t="str">
        <f aca="false">IF(E1292=K1292,"5000m",IF(G1292=K1292,"3000mSC","1500m"))</f>
        <v>5000m</v>
      </c>
      <c r="M1292" s="14" t="n">
        <f aca="false">(D1292&lt;&gt;"")*(D1292&lt;=($E$3*60+$F$3)/86400)+(F1292&lt;&gt;"")*(F1292&lt;=($I$3*60+$J$3)/86400)+(H1292&lt;&gt;"")*(H1292&lt;=($M$3*60+$N$3)/86400)</f>
        <v>0</v>
      </c>
      <c r="N1292" s="16"/>
      <c r="O1292" s="15"/>
    </row>
    <row r="1293" customFormat="false" ht="25.35" hidden="false" customHeight="false" outlineLevel="0" collapsed="false">
      <c r="A1293" s="9" t="n">
        <v>1287</v>
      </c>
      <c r="B1293" s="10" t="s">
        <v>1870</v>
      </c>
      <c r="C1293" s="10" t="s">
        <v>1871</v>
      </c>
      <c r="D1293" s="11"/>
      <c r="E1293" s="12"/>
      <c r="F1293" s="11" t="n">
        <v>0.00725219907407407</v>
      </c>
      <c r="G1293" s="12" t="n">
        <v>598</v>
      </c>
      <c r="H1293" s="11"/>
      <c r="I1293" s="12"/>
      <c r="J1293" s="12" t="n">
        <f aca="false">COUNT(E1293,G1293,I1293)</f>
        <v>1</v>
      </c>
      <c r="K1293" s="13" t="n">
        <f aca="false">MIN(E1293,G1293,I1293)</f>
        <v>598</v>
      </c>
      <c r="L1293" s="9" t="str">
        <f aca="false">IF(E1293=K1293,"5000m",IF(G1293=K1293,"3000mSC","1500m"))</f>
        <v>3000mSC</v>
      </c>
      <c r="M1293" s="14" t="n">
        <f aca="false">(D1293&lt;&gt;"")*(D1293&lt;=($E$3*60+$F$3)/86400)+(F1293&lt;&gt;"")*(F1293&lt;=($I$3*60+$J$3)/86400)+(H1293&lt;&gt;"")*(H1293&lt;=($M$3*60+$N$3)/86400)</f>
        <v>0</v>
      </c>
      <c r="N1293" s="16"/>
      <c r="O1293" s="15"/>
    </row>
    <row r="1294" customFormat="false" ht="25.35" hidden="false" customHeight="false" outlineLevel="0" collapsed="false">
      <c r="A1294" s="9" t="n">
        <v>1288</v>
      </c>
      <c r="B1294" s="10" t="s">
        <v>1872</v>
      </c>
      <c r="C1294" s="10" t="s">
        <v>1873</v>
      </c>
      <c r="D1294" s="11"/>
      <c r="E1294" s="12"/>
      <c r="F1294" s="11" t="n">
        <v>0.0072525462962963</v>
      </c>
      <c r="G1294" s="12" t="n">
        <v>599</v>
      </c>
      <c r="H1294" s="11"/>
      <c r="I1294" s="12"/>
      <c r="J1294" s="12" t="n">
        <f aca="false">COUNT(E1294,G1294,I1294)</f>
        <v>1</v>
      </c>
      <c r="K1294" s="13" t="n">
        <f aca="false">MIN(E1294,G1294,I1294)</f>
        <v>599</v>
      </c>
      <c r="L1294" s="9" t="str">
        <f aca="false">IF(E1294=K1294,"5000m",IF(G1294=K1294,"3000mSC","1500m"))</f>
        <v>3000mSC</v>
      </c>
      <c r="M1294" s="14" t="n">
        <f aca="false">(D1294&lt;&gt;"")*(D1294&lt;=($E$3*60+$F$3)/86400)+(F1294&lt;&gt;"")*(F1294&lt;=($I$3*60+$J$3)/86400)+(H1294&lt;&gt;"")*(H1294&lt;=($M$3*60+$N$3)/86400)</f>
        <v>0</v>
      </c>
      <c r="N1294" s="16"/>
      <c r="O1294" s="15"/>
    </row>
    <row r="1295" customFormat="false" ht="25.35" hidden="false" customHeight="false" outlineLevel="0" collapsed="false">
      <c r="A1295" s="9" t="n">
        <v>1289</v>
      </c>
      <c r="B1295" s="10" t="s">
        <v>1874</v>
      </c>
      <c r="C1295" s="10" t="s">
        <v>1122</v>
      </c>
      <c r="D1295" s="11"/>
      <c r="E1295" s="12"/>
      <c r="F1295" s="11" t="n">
        <v>0.00725393518518519</v>
      </c>
      <c r="G1295" s="12" t="n">
        <v>600</v>
      </c>
      <c r="H1295" s="11"/>
      <c r="I1295" s="12"/>
      <c r="J1295" s="12" t="n">
        <f aca="false">COUNT(E1295,G1295,I1295)</f>
        <v>1</v>
      </c>
      <c r="K1295" s="13" t="n">
        <f aca="false">MIN(E1295,G1295,I1295)</f>
        <v>600</v>
      </c>
      <c r="L1295" s="9" t="str">
        <f aca="false">IF(E1295=K1295,"5000m",IF(G1295=K1295,"3000mSC","1500m"))</f>
        <v>3000mSC</v>
      </c>
      <c r="M1295" s="14" t="n">
        <f aca="false">(D1295&lt;&gt;"")*(D1295&lt;=($E$3*60+$F$3)/86400)+(F1295&lt;&gt;"")*(F1295&lt;=($I$3*60+$J$3)/86400)+(H1295&lt;&gt;"")*(H1295&lt;=($M$3*60+$N$3)/86400)</f>
        <v>0</v>
      </c>
      <c r="N1295" s="16"/>
      <c r="O1295" s="15"/>
    </row>
    <row r="1296" customFormat="false" ht="15" hidden="false" customHeight="false" outlineLevel="0" collapsed="false">
      <c r="A1296" s="9" t="n">
        <v>1290</v>
      </c>
      <c r="B1296" s="10" t="s">
        <v>1875</v>
      </c>
      <c r="C1296" s="10" t="s">
        <v>1876</v>
      </c>
      <c r="D1296" s="11" t="n">
        <v>0.0109855324074074</v>
      </c>
      <c r="E1296" s="12" t="n">
        <v>1069</v>
      </c>
      <c r="F1296" s="11" t="n">
        <v>0.00734363425925926</v>
      </c>
      <c r="G1296" s="12" t="n">
        <v>700</v>
      </c>
      <c r="H1296" s="11" t="n">
        <v>0.0028556712962963</v>
      </c>
      <c r="I1296" s="12" t="n">
        <v>601</v>
      </c>
      <c r="J1296" s="12" t="n">
        <f aca="false">COUNT(E1296,G1296,I1296)</f>
        <v>3</v>
      </c>
      <c r="K1296" s="13" t="n">
        <f aca="false">MIN(E1296,G1296,I1296)</f>
        <v>601</v>
      </c>
      <c r="L1296" s="9" t="str">
        <f aca="false">IF(E1296=K1296,"5000m",IF(G1296=K1296,"3000mSC","1500m"))</f>
        <v>1500m</v>
      </c>
      <c r="M1296" s="14" t="n">
        <f aca="false">(D1296&lt;&gt;"")*(D1296&lt;=($E$3*60+$F$3)/86400)+(F1296&lt;&gt;"")*(F1296&lt;=($I$3*60+$J$3)/86400)+(H1296&lt;&gt;"")*(H1296&lt;=($M$3*60+$N$3)/86400)</f>
        <v>0</v>
      </c>
      <c r="N1296" s="16"/>
      <c r="O1296" s="15"/>
    </row>
    <row r="1297" customFormat="false" ht="15" hidden="false" customHeight="false" outlineLevel="0" collapsed="false">
      <c r="A1297" s="9" t="n">
        <v>1291</v>
      </c>
      <c r="B1297" s="10" t="s">
        <v>1877</v>
      </c>
      <c r="C1297" s="10" t="s">
        <v>1878</v>
      </c>
      <c r="D1297" s="11" t="n">
        <v>0.0107128472222222</v>
      </c>
      <c r="E1297" s="12" t="n">
        <v>601</v>
      </c>
      <c r="F1297" s="11"/>
      <c r="G1297" s="12"/>
      <c r="H1297" s="11" t="n">
        <v>0.00289988425925926</v>
      </c>
      <c r="I1297" s="12" t="n">
        <v>944</v>
      </c>
      <c r="J1297" s="12" t="n">
        <f aca="false">COUNT(E1297,G1297,I1297)</f>
        <v>2</v>
      </c>
      <c r="K1297" s="13" t="n">
        <f aca="false">MIN(E1297,G1297,I1297)</f>
        <v>601</v>
      </c>
      <c r="L1297" s="9" t="str">
        <f aca="false">IF(E1297=K1297,"5000m",IF(G1297=K1297,"3000mSC","1500m"))</f>
        <v>5000m</v>
      </c>
      <c r="M1297" s="14" t="n">
        <f aca="false">(D1297&lt;&gt;"")*(D1297&lt;=($E$3*60+$F$3)/86400)+(F1297&lt;&gt;"")*(F1297&lt;=($I$3*60+$J$3)/86400)+(H1297&lt;&gt;"")*(H1297&lt;=($M$3*60+$N$3)/86400)</f>
        <v>0</v>
      </c>
      <c r="N1297" s="16"/>
      <c r="O1297" s="15"/>
    </row>
    <row r="1298" customFormat="false" ht="25.35" hidden="false" customHeight="false" outlineLevel="0" collapsed="false">
      <c r="A1298" s="9" t="n">
        <v>1292</v>
      </c>
      <c r="B1298" s="10" t="s">
        <v>1879</v>
      </c>
      <c r="C1298" s="10" t="s">
        <v>1174</v>
      </c>
      <c r="D1298" s="11"/>
      <c r="E1298" s="12"/>
      <c r="F1298" s="11" t="n">
        <v>0.00725497685185185</v>
      </c>
      <c r="G1298" s="12" t="n">
        <v>601</v>
      </c>
      <c r="H1298" s="11"/>
      <c r="I1298" s="12"/>
      <c r="J1298" s="12" t="n">
        <f aca="false">COUNT(E1298,G1298,I1298)</f>
        <v>1</v>
      </c>
      <c r="K1298" s="13" t="n">
        <f aca="false">MIN(E1298,G1298,I1298)</f>
        <v>601</v>
      </c>
      <c r="L1298" s="9" t="str">
        <f aca="false">IF(E1298=K1298,"5000m",IF(G1298=K1298,"3000mSC","1500m"))</f>
        <v>3000mSC</v>
      </c>
      <c r="M1298" s="14" t="n">
        <f aca="false">(D1298&lt;&gt;"")*(D1298&lt;=($E$3*60+$F$3)/86400)+(F1298&lt;&gt;"")*(F1298&lt;=($I$3*60+$J$3)/86400)+(H1298&lt;&gt;"")*(H1298&lt;=($M$3*60+$N$3)/86400)</f>
        <v>0</v>
      </c>
      <c r="N1298" s="16"/>
      <c r="O1298" s="15"/>
    </row>
    <row r="1299" customFormat="false" ht="15" hidden="false" customHeight="false" outlineLevel="0" collapsed="false">
      <c r="A1299" s="9" t="n">
        <v>1293</v>
      </c>
      <c r="B1299" s="10" t="s">
        <v>1880</v>
      </c>
      <c r="C1299" s="10" t="s">
        <v>64</v>
      </c>
      <c r="D1299" s="11" t="n">
        <v>0.0108045138888889</v>
      </c>
      <c r="E1299" s="12" t="n">
        <v>750</v>
      </c>
      <c r="F1299" s="11"/>
      <c r="G1299" s="12"/>
      <c r="H1299" s="11" t="n">
        <v>0.0028556712962963</v>
      </c>
      <c r="I1299" s="12" t="n">
        <v>602</v>
      </c>
      <c r="J1299" s="12" t="n">
        <f aca="false">COUNT(E1299,G1299,I1299)</f>
        <v>2</v>
      </c>
      <c r="K1299" s="13" t="n">
        <f aca="false">MIN(E1299,G1299,I1299)</f>
        <v>602</v>
      </c>
      <c r="L1299" s="9" t="str">
        <f aca="false">IF(E1299=K1299,"5000m",IF(G1299=K1299,"3000mSC","1500m"))</f>
        <v>1500m</v>
      </c>
      <c r="M1299" s="14" t="n">
        <f aca="false">(D1299&lt;&gt;"")*(D1299&lt;=($E$3*60+$F$3)/86400)+(F1299&lt;&gt;"")*(F1299&lt;=($I$3*60+$J$3)/86400)+(H1299&lt;&gt;"")*(H1299&lt;=($M$3*60+$N$3)/86400)</f>
        <v>0</v>
      </c>
      <c r="N1299" s="16"/>
      <c r="O1299" s="15"/>
    </row>
    <row r="1300" customFormat="false" ht="15" hidden="false" customHeight="false" outlineLevel="0" collapsed="false">
      <c r="A1300" s="9" t="n">
        <v>1294</v>
      </c>
      <c r="B1300" s="10" t="s">
        <v>1881</v>
      </c>
      <c r="C1300" s="10" t="s">
        <v>154</v>
      </c>
      <c r="D1300" s="11" t="n">
        <v>0.0107133101851852</v>
      </c>
      <c r="E1300" s="12" t="n">
        <v>602</v>
      </c>
      <c r="F1300" s="11"/>
      <c r="G1300" s="12"/>
      <c r="H1300" s="11"/>
      <c r="I1300" s="12"/>
      <c r="J1300" s="12" t="n">
        <f aca="false">COUNT(E1300,G1300,I1300)</f>
        <v>1</v>
      </c>
      <c r="K1300" s="13" t="n">
        <f aca="false">MIN(E1300,G1300,I1300)</f>
        <v>602</v>
      </c>
      <c r="L1300" s="9" t="str">
        <f aca="false">IF(E1300=K1300,"5000m",IF(G1300=K1300,"3000mSC","1500m"))</f>
        <v>5000m</v>
      </c>
      <c r="M1300" s="14" t="n">
        <f aca="false">(D1300&lt;&gt;"")*(D1300&lt;=($E$3*60+$F$3)/86400)+(F1300&lt;&gt;"")*(F1300&lt;=($I$3*60+$J$3)/86400)+(H1300&lt;&gt;"")*(H1300&lt;=($M$3*60+$N$3)/86400)</f>
        <v>0</v>
      </c>
      <c r="N1300" s="16"/>
      <c r="O1300" s="15"/>
    </row>
    <row r="1301" customFormat="false" ht="25.35" hidden="false" customHeight="false" outlineLevel="0" collapsed="false">
      <c r="A1301" s="9" t="n">
        <v>1295</v>
      </c>
      <c r="B1301" s="10" t="s">
        <v>1882</v>
      </c>
      <c r="C1301" s="10" t="s">
        <v>1883</v>
      </c>
      <c r="D1301" s="11"/>
      <c r="E1301" s="12"/>
      <c r="F1301" s="11" t="n">
        <v>0.00725659722222222</v>
      </c>
      <c r="G1301" s="12" t="n">
        <v>602</v>
      </c>
      <c r="H1301" s="11"/>
      <c r="I1301" s="12"/>
      <c r="J1301" s="12" t="n">
        <f aca="false">COUNT(E1301,G1301,I1301)</f>
        <v>1</v>
      </c>
      <c r="K1301" s="13" t="n">
        <f aca="false">MIN(E1301,G1301,I1301)</f>
        <v>602</v>
      </c>
      <c r="L1301" s="9" t="str">
        <f aca="false">IF(E1301=K1301,"5000m",IF(G1301=K1301,"3000mSC","1500m"))</f>
        <v>3000mSC</v>
      </c>
      <c r="M1301" s="14" t="n">
        <f aca="false">(D1301&lt;&gt;"")*(D1301&lt;=($E$3*60+$F$3)/86400)+(F1301&lt;&gt;"")*(F1301&lt;=($I$3*60+$J$3)/86400)+(H1301&lt;&gt;"")*(H1301&lt;=($M$3*60+$N$3)/86400)</f>
        <v>0</v>
      </c>
      <c r="N1301" s="16"/>
      <c r="O1301" s="15"/>
    </row>
    <row r="1302" customFormat="false" ht="15" hidden="false" customHeight="false" outlineLevel="0" collapsed="false">
      <c r="A1302" s="9" t="n">
        <v>1296</v>
      </c>
      <c r="B1302" s="10" t="s">
        <v>1884</v>
      </c>
      <c r="C1302" s="10" t="s">
        <v>1885</v>
      </c>
      <c r="D1302" s="11" t="n">
        <v>0.0108643518518519</v>
      </c>
      <c r="E1302" s="12" t="n">
        <v>859</v>
      </c>
      <c r="F1302" s="11" t="n">
        <v>0.00756539351851852</v>
      </c>
      <c r="G1302" s="12" t="n">
        <v>971</v>
      </c>
      <c r="H1302" s="11" t="n">
        <v>0.0028556712962963</v>
      </c>
      <c r="I1302" s="12" t="n">
        <v>603</v>
      </c>
      <c r="J1302" s="12" t="n">
        <f aca="false">COUNT(E1302,G1302,I1302)</f>
        <v>3</v>
      </c>
      <c r="K1302" s="13" t="n">
        <f aca="false">MIN(E1302,G1302,I1302)</f>
        <v>603</v>
      </c>
      <c r="L1302" s="9" t="str">
        <f aca="false">IF(E1302=K1302,"5000m",IF(G1302=K1302,"3000mSC","1500m"))</f>
        <v>1500m</v>
      </c>
      <c r="M1302" s="14" t="n">
        <f aca="false">(D1302&lt;&gt;"")*(D1302&lt;=($E$3*60+$F$3)/86400)+(F1302&lt;&gt;"")*(F1302&lt;=($I$3*60+$J$3)/86400)+(H1302&lt;&gt;"")*(H1302&lt;=($M$3*60+$N$3)/86400)</f>
        <v>0</v>
      </c>
      <c r="N1302" s="16"/>
      <c r="O1302" s="15"/>
    </row>
    <row r="1303" customFormat="false" ht="25.35" hidden="false" customHeight="false" outlineLevel="0" collapsed="false">
      <c r="A1303" s="9" t="n">
        <v>1297</v>
      </c>
      <c r="B1303" s="10" t="s">
        <v>1886</v>
      </c>
      <c r="C1303" s="10" t="s">
        <v>1553</v>
      </c>
      <c r="D1303" s="11"/>
      <c r="E1303" s="12"/>
      <c r="F1303" s="11" t="n">
        <v>0.00725891203703704</v>
      </c>
      <c r="G1303" s="12" t="n">
        <v>603</v>
      </c>
      <c r="H1303" s="11"/>
      <c r="I1303" s="12"/>
      <c r="J1303" s="12" t="n">
        <f aca="false">COUNT(E1303,G1303,I1303)</f>
        <v>1</v>
      </c>
      <c r="K1303" s="13" t="n">
        <f aca="false">MIN(E1303,G1303,I1303)</f>
        <v>603</v>
      </c>
      <c r="L1303" s="9" t="str">
        <f aca="false">IF(E1303=K1303,"5000m",IF(G1303=K1303,"3000mSC","1500m"))</f>
        <v>3000mSC</v>
      </c>
      <c r="M1303" s="14" t="n">
        <f aca="false">(D1303&lt;&gt;"")*(D1303&lt;=($E$3*60+$F$3)/86400)+(F1303&lt;&gt;"")*(F1303&lt;=($I$3*60+$J$3)/86400)+(H1303&lt;&gt;"")*(H1303&lt;=($M$3*60+$N$3)/86400)</f>
        <v>0</v>
      </c>
      <c r="N1303" s="16"/>
      <c r="O1303" s="15"/>
    </row>
    <row r="1304" customFormat="false" ht="15" hidden="false" customHeight="false" outlineLevel="0" collapsed="false">
      <c r="A1304" s="9" t="n">
        <v>1298</v>
      </c>
      <c r="B1304" s="10" t="s">
        <v>1887</v>
      </c>
      <c r="C1304" s="10" t="s">
        <v>1888</v>
      </c>
      <c r="D1304" s="11" t="n">
        <v>0.0109225694444444</v>
      </c>
      <c r="E1304" s="12" t="n">
        <v>953</v>
      </c>
      <c r="F1304" s="11"/>
      <c r="G1304" s="12"/>
      <c r="H1304" s="11" t="n">
        <v>0.00285578703703704</v>
      </c>
      <c r="I1304" s="12" t="n">
        <v>604</v>
      </c>
      <c r="J1304" s="12" t="n">
        <f aca="false">COUNT(E1304,G1304,I1304)</f>
        <v>2</v>
      </c>
      <c r="K1304" s="13" t="n">
        <f aca="false">MIN(E1304,G1304,I1304)</f>
        <v>604</v>
      </c>
      <c r="L1304" s="9" t="str">
        <f aca="false">IF(E1304=K1304,"5000m",IF(G1304=K1304,"3000mSC","1500m"))</f>
        <v>1500m</v>
      </c>
      <c r="M1304" s="14" t="n">
        <f aca="false">(D1304&lt;&gt;"")*(D1304&lt;=($E$3*60+$F$3)/86400)+(F1304&lt;&gt;"")*(F1304&lt;=($I$3*60+$J$3)/86400)+(H1304&lt;&gt;"")*(H1304&lt;=($M$3*60+$N$3)/86400)</f>
        <v>0</v>
      </c>
      <c r="N1304" s="16"/>
      <c r="O1304" s="15"/>
    </row>
    <row r="1305" customFormat="false" ht="25.35" hidden="false" customHeight="false" outlineLevel="0" collapsed="false">
      <c r="A1305" s="9" t="n">
        <v>1299</v>
      </c>
      <c r="B1305" s="10" t="s">
        <v>1889</v>
      </c>
      <c r="C1305" s="10" t="s">
        <v>816</v>
      </c>
      <c r="D1305" s="11"/>
      <c r="E1305" s="12"/>
      <c r="F1305" s="11" t="n">
        <v>0.00725925925925926</v>
      </c>
      <c r="G1305" s="12" t="n">
        <v>604</v>
      </c>
      <c r="H1305" s="11"/>
      <c r="I1305" s="12"/>
      <c r="J1305" s="12" t="n">
        <f aca="false">COUNT(E1305,G1305,I1305)</f>
        <v>1</v>
      </c>
      <c r="K1305" s="13" t="n">
        <f aca="false">MIN(E1305,G1305,I1305)</f>
        <v>604</v>
      </c>
      <c r="L1305" s="9" t="str">
        <f aca="false">IF(E1305=K1305,"5000m",IF(G1305=K1305,"3000mSC","1500m"))</f>
        <v>3000mSC</v>
      </c>
      <c r="M1305" s="14" t="n">
        <f aca="false">(D1305&lt;&gt;"")*(D1305&lt;=($E$3*60+$F$3)/86400)+(F1305&lt;&gt;"")*(F1305&lt;=($I$3*60+$J$3)/86400)+(H1305&lt;&gt;"")*(H1305&lt;=($M$3*60+$N$3)/86400)</f>
        <v>0</v>
      </c>
      <c r="N1305" s="16"/>
      <c r="O1305" s="15"/>
    </row>
    <row r="1306" customFormat="false" ht="15" hidden="false" customHeight="false" outlineLevel="0" collapsed="false">
      <c r="A1306" s="9" t="n">
        <v>1300</v>
      </c>
      <c r="B1306" s="10" t="s">
        <v>1890</v>
      </c>
      <c r="C1306" s="10" t="s">
        <v>34</v>
      </c>
      <c r="D1306" s="11" t="n">
        <v>0.0107153935185185</v>
      </c>
      <c r="E1306" s="12" t="n">
        <v>605</v>
      </c>
      <c r="F1306" s="11"/>
      <c r="G1306" s="12"/>
      <c r="H1306" s="11" t="n">
        <v>0.00294710648148148</v>
      </c>
      <c r="I1306" s="12" t="n">
        <v>1224</v>
      </c>
      <c r="J1306" s="12" t="n">
        <f aca="false">COUNT(E1306,G1306,I1306)</f>
        <v>2</v>
      </c>
      <c r="K1306" s="13" t="n">
        <f aca="false">MIN(E1306,G1306,I1306)</f>
        <v>605</v>
      </c>
      <c r="L1306" s="9" t="str">
        <f aca="false">IF(E1306=K1306,"5000m",IF(G1306=K1306,"3000mSC","1500m"))</f>
        <v>5000m</v>
      </c>
      <c r="M1306" s="14" t="n">
        <f aca="false">(D1306&lt;&gt;"")*(D1306&lt;=($E$3*60+$F$3)/86400)+(F1306&lt;&gt;"")*(F1306&lt;=($I$3*60+$J$3)/86400)+(H1306&lt;&gt;"")*(H1306&lt;=($M$3*60+$N$3)/86400)</f>
        <v>0</v>
      </c>
      <c r="N1306" s="16"/>
      <c r="O1306" s="15"/>
    </row>
    <row r="1307" customFormat="false" ht="25.35" hidden="false" customHeight="false" outlineLevel="0" collapsed="false">
      <c r="A1307" s="9" t="n">
        <v>1301</v>
      </c>
      <c r="B1307" s="10" t="s">
        <v>1891</v>
      </c>
      <c r="C1307" s="10" t="s">
        <v>1892</v>
      </c>
      <c r="D1307" s="11"/>
      <c r="E1307" s="12"/>
      <c r="F1307" s="11" t="n">
        <v>0.00726006944444444</v>
      </c>
      <c r="G1307" s="12" t="n">
        <v>605</v>
      </c>
      <c r="H1307" s="11"/>
      <c r="I1307" s="12"/>
      <c r="J1307" s="12" t="n">
        <f aca="false">COUNT(E1307,G1307,I1307)</f>
        <v>1</v>
      </c>
      <c r="K1307" s="13" t="n">
        <f aca="false">MIN(E1307,G1307,I1307)</f>
        <v>605</v>
      </c>
      <c r="L1307" s="9" t="str">
        <f aca="false">IF(E1307=K1307,"5000m",IF(G1307=K1307,"3000mSC","1500m"))</f>
        <v>3000mSC</v>
      </c>
      <c r="M1307" s="14" t="n">
        <f aca="false">(D1307&lt;&gt;"")*(D1307&lt;=($E$3*60+$F$3)/86400)+(F1307&lt;&gt;"")*(F1307&lt;=($I$3*60+$J$3)/86400)+(H1307&lt;&gt;"")*(H1307&lt;=($M$3*60+$N$3)/86400)</f>
        <v>0</v>
      </c>
      <c r="N1307" s="16"/>
      <c r="O1307" s="15"/>
    </row>
    <row r="1308" customFormat="false" ht="15" hidden="false" customHeight="false" outlineLevel="0" collapsed="false">
      <c r="A1308" s="9" t="n">
        <v>1302</v>
      </c>
      <c r="B1308" s="10" t="s">
        <v>1893</v>
      </c>
      <c r="C1308" s="10" t="s">
        <v>712</v>
      </c>
      <c r="D1308" s="11" t="n">
        <v>0.0107155092592593</v>
      </c>
      <c r="E1308" s="12" t="n">
        <v>606</v>
      </c>
      <c r="F1308" s="11"/>
      <c r="G1308" s="12"/>
      <c r="H1308" s="11"/>
      <c r="I1308" s="12"/>
      <c r="J1308" s="12" t="n">
        <f aca="false">COUNT(E1308,G1308,I1308)</f>
        <v>1</v>
      </c>
      <c r="K1308" s="13" t="n">
        <f aca="false">MIN(E1308,G1308,I1308)</f>
        <v>606</v>
      </c>
      <c r="L1308" s="9" t="str">
        <f aca="false">IF(E1308=K1308,"5000m",IF(G1308=K1308,"3000mSC","1500m"))</f>
        <v>5000m</v>
      </c>
      <c r="M1308" s="14" t="n">
        <f aca="false">(D1308&lt;&gt;"")*(D1308&lt;=($E$3*60+$F$3)/86400)+(F1308&lt;&gt;"")*(F1308&lt;=($I$3*60+$J$3)/86400)+(H1308&lt;&gt;"")*(H1308&lt;=($M$3*60+$N$3)/86400)</f>
        <v>0</v>
      </c>
      <c r="N1308" s="16"/>
      <c r="O1308" s="15"/>
    </row>
    <row r="1309" customFormat="false" ht="25.35" hidden="false" customHeight="false" outlineLevel="0" collapsed="false">
      <c r="A1309" s="9" t="n">
        <v>1303</v>
      </c>
      <c r="B1309" s="10" t="s">
        <v>1894</v>
      </c>
      <c r="C1309" s="10" t="s">
        <v>1621</v>
      </c>
      <c r="D1309" s="11"/>
      <c r="E1309" s="12"/>
      <c r="F1309" s="11" t="n">
        <v>0.00726018518518519</v>
      </c>
      <c r="G1309" s="12" t="n">
        <v>606</v>
      </c>
      <c r="H1309" s="11"/>
      <c r="I1309" s="12"/>
      <c r="J1309" s="12" t="n">
        <f aca="false">COUNT(E1309,G1309,I1309)</f>
        <v>1</v>
      </c>
      <c r="K1309" s="13" t="n">
        <f aca="false">MIN(E1309,G1309,I1309)</f>
        <v>606</v>
      </c>
      <c r="L1309" s="9" t="str">
        <f aca="false">IF(E1309=K1309,"5000m",IF(G1309=K1309,"3000mSC","1500m"))</f>
        <v>3000mSC</v>
      </c>
      <c r="M1309" s="14" t="n">
        <f aca="false">(D1309&lt;&gt;"")*(D1309&lt;=($E$3*60+$F$3)/86400)+(F1309&lt;&gt;"")*(F1309&lt;=($I$3*60+$J$3)/86400)+(H1309&lt;&gt;"")*(H1309&lt;=($M$3*60+$N$3)/86400)</f>
        <v>0</v>
      </c>
      <c r="N1309" s="16"/>
      <c r="O1309" s="15"/>
    </row>
    <row r="1310" customFormat="false" ht="15" hidden="false" customHeight="false" outlineLevel="0" collapsed="false">
      <c r="A1310" s="9" t="n">
        <v>1304</v>
      </c>
      <c r="B1310" s="10" t="s">
        <v>1895</v>
      </c>
      <c r="C1310" s="10" t="s">
        <v>1821</v>
      </c>
      <c r="D1310" s="11"/>
      <c r="E1310" s="12"/>
      <c r="F1310" s="11"/>
      <c r="G1310" s="12"/>
      <c r="H1310" s="11" t="n">
        <v>0.00285590277777778</v>
      </c>
      <c r="I1310" s="12" t="n">
        <v>606</v>
      </c>
      <c r="J1310" s="12" t="n">
        <f aca="false">COUNT(E1310,G1310,I1310)</f>
        <v>1</v>
      </c>
      <c r="K1310" s="13" t="n">
        <f aca="false">MIN(E1310,G1310,I1310)</f>
        <v>606</v>
      </c>
      <c r="L1310" s="9" t="str">
        <f aca="false">IF(E1310=K1310,"5000m",IF(G1310=K1310,"3000mSC","1500m"))</f>
        <v>1500m</v>
      </c>
      <c r="M1310" s="14" t="n">
        <f aca="false">(D1310&lt;&gt;"")*(D1310&lt;=($E$3*60+$F$3)/86400)+(F1310&lt;&gt;"")*(F1310&lt;=($I$3*60+$J$3)/86400)+(H1310&lt;&gt;"")*(H1310&lt;=($M$3*60+$N$3)/86400)</f>
        <v>0</v>
      </c>
      <c r="N1310" s="16"/>
      <c r="O1310" s="15"/>
    </row>
    <row r="1311" customFormat="false" ht="25.35" hidden="false" customHeight="false" outlineLevel="0" collapsed="false">
      <c r="A1311" s="9" t="n">
        <v>1305</v>
      </c>
      <c r="B1311" s="10" t="s">
        <v>1896</v>
      </c>
      <c r="C1311" s="10" t="s">
        <v>1897</v>
      </c>
      <c r="D1311" s="11"/>
      <c r="E1311" s="12"/>
      <c r="F1311" s="11" t="n">
        <v>0.00726076388888889</v>
      </c>
      <c r="G1311" s="12" t="n">
        <v>607</v>
      </c>
      <c r="H1311" s="11"/>
      <c r="I1311" s="12"/>
      <c r="J1311" s="12" t="n">
        <f aca="false">COUNT(E1311,G1311,I1311)</f>
        <v>1</v>
      </c>
      <c r="K1311" s="13" t="n">
        <f aca="false">MIN(E1311,G1311,I1311)</f>
        <v>607</v>
      </c>
      <c r="L1311" s="9" t="str">
        <f aca="false">IF(E1311=K1311,"5000m",IF(G1311=K1311,"3000mSC","1500m"))</f>
        <v>3000mSC</v>
      </c>
      <c r="M1311" s="14" t="n">
        <f aca="false">(D1311&lt;&gt;"")*(D1311&lt;=($E$3*60+$F$3)/86400)+(F1311&lt;&gt;"")*(F1311&lt;=($I$3*60+$J$3)/86400)+(H1311&lt;&gt;"")*(H1311&lt;=($M$3*60+$N$3)/86400)</f>
        <v>0</v>
      </c>
      <c r="N1311" s="16"/>
      <c r="O1311" s="15"/>
    </row>
    <row r="1312" customFormat="false" ht="25.35" hidden="false" customHeight="false" outlineLevel="0" collapsed="false">
      <c r="A1312" s="9" t="n">
        <v>1306</v>
      </c>
      <c r="B1312" s="10" t="s">
        <v>1898</v>
      </c>
      <c r="C1312" s="10" t="s">
        <v>724</v>
      </c>
      <c r="D1312" s="11"/>
      <c r="E1312" s="12"/>
      <c r="F1312" s="11" t="n">
        <v>0.00726273148148148</v>
      </c>
      <c r="G1312" s="12" t="n">
        <v>608</v>
      </c>
      <c r="H1312" s="11"/>
      <c r="I1312" s="12"/>
      <c r="J1312" s="12" t="n">
        <f aca="false">COUNT(E1312,G1312,I1312)</f>
        <v>1</v>
      </c>
      <c r="K1312" s="13" t="n">
        <f aca="false">MIN(E1312,G1312,I1312)</f>
        <v>608</v>
      </c>
      <c r="L1312" s="9" t="str">
        <f aca="false">IF(E1312=K1312,"5000m",IF(G1312=K1312,"3000mSC","1500m"))</f>
        <v>3000mSC</v>
      </c>
      <c r="M1312" s="14" t="n">
        <f aca="false">(D1312&lt;&gt;"")*(D1312&lt;=($E$3*60+$F$3)/86400)+(F1312&lt;&gt;"")*(F1312&lt;=($I$3*60+$J$3)/86400)+(H1312&lt;&gt;"")*(H1312&lt;=($M$3*60+$N$3)/86400)</f>
        <v>0</v>
      </c>
      <c r="N1312" s="16"/>
      <c r="O1312" s="15"/>
    </row>
    <row r="1313" customFormat="false" ht="15" hidden="false" customHeight="false" outlineLevel="0" collapsed="false">
      <c r="A1313" s="9" t="n">
        <v>1307</v>
      </c>
      <c r="B1313" s="10" t="s">
        <v>1899</v>
      </c>
      <c r="C1313" s="10" t="s">
        <v>1900</v>
      </c>
      <c r="D1313" s="11" t="n">
        <v>0.0109695601851852</v>
      </c>
      <c r="E1313" s="12" t="n">
        <v>1038</v>
      </c>
      <c r="F1313" s="11"/>
      <c r="G1313" s="12"/>
      <c r="H1313" s="11" t="n">
        <v>0.00285625</v>
      </c>
      <c r="I1313" s="12" t="n">
        <v>609</v>
      </c>
      <c r="J1313" s="12" t="n">
        <f aca="false">COUNT(E1313,G1313,I1313)</f>
        <v>2</v>
      </c>
      <c r="K1313" s="13" t="n">
        <f aca="false">MIN(E1313,G1313,I1313)</f>
        <v>609</v>
      </c>
      <c r="L1313" s="9" t="str">
        <f aca="false">IF(E1313=K1313,"5000m",IF(G1313=K1313,"3000mSC","1500m"))</f>
        <v>1500m</v>
      </c>
      <c r="M1313" s="14" t="n">
        <f aca="false">(D1313&lt;&gt;"")*(D1313&lt;=($E$3*60+$F$3)/86400)+(F1313&lt;&gt;"")*(F1313&lt;=($I$3*60+$J$3)/86400)+(H1313&lt;&gt;"")*(H1313&lt;=($M$3*60+$N$3)/86400)</f>
        <v>0</v>
      </c>
      <c r="N1313" s="16"/>
      <c r="O1313" s="15"/>
    </row>
    <row r="1314" customFormat="false" ht="15" hidden="false" customHeight="false" outlineLevel="0" collapsed="false">
      <c r="A1314" s="9" t="n">
        <v>1308</v>
      </c>
      <c r="B1314" s="10" t="s">
        <v>1901</v>
      </c>
      <c r="C1314" s="10" t="s">
        <v>460</v>
      </c>
      <c r="D1314" s="11" t="n">
        <v>0.0107168981481482</v>
      </c>
      <c r="E1314" s="12" t="n">
        <v>609</v>
      </c>
      <c r="F1314" s="11"/>
      <c r="G1314" s="12"/>
      <c r="H1314" s="11"/>
      <c r="I1314" s="12"/>
      <c r="J1314" s="12" t="n">
        <f aca="false">COUNT(E1314,G1314,I1314)</f>
        <v>1</v>
      </c>
      <c r="K1314" s="13" t="n">
        <f aca="false">MIN(E1314,G1314,I1314)</f>
        <v>609</v>
      </c>
      <c r="L1314" s="9" t="str">
        <f aca="false">IF(E1314=K1314,"5000m",IF(G1314=K1314,"3000mSC","1500m"))</f>
        <v>5000m</v>
      </c>
      <c r="M1314" s="14" t="n">
        <f aca="false">(D1314&lt;&gt;"")*(D1314&lt;=($E$3*60+$F$3)/86400)+(F1314&lt;&gt;"")*(F1314&lt;=($I$3*60+$J$3)/86400)+(H1314&lt;&gt;"")*(H1314&lt;=($M$3*60+$N$3)/86400)</f>
        <v>0</v>
      </c>
      <c r="N1314" s="16"/>
      <c r="O1314" s="15"/>
    </row>
    <row r="1315" customFormat="false" ht="25.35" hidden="false" customHeight="false" outlineLevel="0" collapsed="false">
      <c r="A1315" s="9" t="n">
        <v>1309</v>
      </c>
      <c r="B1315" s="10" t="s">
        <v>1902</v>
      </c>
      <c r="C1315" s="10" t="s">
        <v>1903</v>
      </c>
      <c r="D1315" s="11"/>
      <c r="E1315" s="12"/>
      <c r="F1315" s="11" t="n">
        <v>0.00726284722222222</v>
      </c>
      <c r="G1315" s="12" t="n">
        <v>609</v>
      </c>
      <c r="H1315" s="11"/>
      <c r="I1315" s="12"/>
      <c r="J1315" s="12" t="n">
        <f aca="false">COUNT(E1315,G1315,I1315)</f>
        <v>1</v>
      </c>
      <c r="K1315" s="13" t="n">
        <f aca="false">MIN(E1315,G1315,I1315)</f>
        <v>609</v>
      </c>
      <c r="L1315" s="9" t="str">
        <f aca="false">IF(E1315=K1315,"5000m",IF(G1315=K1315,"3000mSC","1500m"))</f>
        <v>3000mSC</v>
      </c>
      <c r="M1315" s="14" t="n">
        <f aca="false">(D1315&lt;&gt;"")*(D1315&lt;=($E$3*60+$F$3)/86400)+(F1315&lt;&gt;"")*(F1315&lt;=($I$3*60+$J$3)/86400)+(H1315&lt;&gt;"")*(H1315&lt;=($M$3*60+$N$3)/86400)</f>
        <v>0</v>
      </c>
      <c r="N1315" s="16"/>
      <c r="O1315" s="15"/>
    </row>
    <row r="1316" customFormat="false" ht="25.35" hidden="false" customHeight="false" outlineLevel="0" collapsed="false">
      <c r="A1316" s="9" t="n">
        <v>1310</v>
      </c>
      <c r="B1316" s="10" t="s">
        <v>1904</v>
      </c>
      <c r="C1316" s="10" t="s">
        <v>1905</v>
      </c>
      <c r="D1316" s="11"/>
      <c r="E1316" s="12"/>
      <c r="F1316" s="11" t="n">
        <v>0.00726354166666667</v>
      </c>
      <c r="G1316" s="12" t="n">
        <v>610</v>
      </c>
      <c r="H1316" s="11"/>
      <c r="I1316" s="12"/>
      <c r="J1316" s="12" t="n">
        <f aca="false">COUNT(E1316,G1316,I1316)</f>
        <v>1</v>
      </c>
      <c r="K1316" s="13" t="n">
        <f aca="false">MIN(E1316,G1316,I1316)</f>
        <v>610</v>
      </c>
      <c r="L1316" s="9" t="str">
        <f aca="false">IF(E1316=K1316,"5000m",IF(G1316=K1316,"3000mSC","1500m"))</f>
        <v>3000mSC</v>
      </c>
      <c r="M1316" s="14" t="n">
        <f aca="false">(D1316&lt;&gt;"")*(D1316&lt;=($E$3*60+$F$3)/86400)+(F1316&lt;&gt;"")*(F1316&lt;=($I$3*60+$J$3)/86400)+(H1316&lt;&gt;"")*(H1316&lt;=($M$3*60+$N$3)/86400)</f>
        <v>0</v>
      </c>
      <c r="N1316" s="16"/>
      <c r="O1316" s="15"/>
    </row>
    <row r="1317" customFormat="false" ht="15" hidden="false" customHeight="false" outlineLevel="0" collapsed="false">
      <c r="A1317" s="9" t="n">
        <v>1311</v>
      </c>
      <c r="B1317" s="10" t="s">
        <v>1906</v>
      </c>
      <c r="C1317" s="10" t="s">
        <v>1907</v>
      </c>
      <c r="D1317" s="11" t="n">
        <v>0.0110221064814815</v>
      </c>
      <c r="E1317" s="12" t="n">
        <v>1134</v>
      </c>
      <c r="F1317" s="11"/>
      <c r="G1317" s="12"/>
      <c r="H1317" s="11" t="n">
        <v>0.00285625</v>
      </c>
      <c r="I1317" s="12" t="n">
        <v>611</v>
      </c>
      <c r="J1317" s="12" t="n">
        <f aca="false">COUNT(E1317,G1317,I1317)</f>
        <v>2</v>
      </c>
      <c r="K1317" s="13" t="n">
        <f aca="false">MIN(E1317,G1317,I1317)</f>
        <v>611</v>
      </c>
      <c r="L1317" s="9" t="str">
        <f aca="false">IF(E1317=K1317,"5000m",IF(G1317=K1317,"3000mSC","1500m"))</f>
        <v>1500m</v>
      </c>
      <c r="M1317" s="14" t="n">
        <f aca="false">(D1317&lt;&gt;"")*(D1317&lt;=($E$3*60+$F$3)/86400)+(F1317&lt;&gt;"")*(F1317&lt;=($I$3*60+$J$3)/86400)+(H1317&lt;&gt;"")*(H1317&lt;=($M$3*60+$N$3)/86400)</f>
        <v>0</v>
      </c>
      <c r="N1317" s="16"/>
      <c r="O1317" s="15"/>
    </row>
    <row r="1318" customFormat="false" ht="15" hidden="false" customHeight="false" outlineLevel="0" collapsed="false">
      <c r="A1318" s="9" t="n">
        <v>1312</v>
      </c>
      <c r="B1318" s="10" t="s">
        <v>1908</v>
      </c>
      <c r="C1318" s="10" t="s">
        <v>154</v>
      </c>
      <c r="D1318" s="11" t="n">
        <v>0.0107178240740741</v>
      </c>
      <c r="E1318" s="12" t="n">
        <v>611</v>
      </c>
      <c r="F1318" s="11"/>
      <c r="G1318" s="12"/>
      <c r="H1318" s="11"/>
      <c r="I1318" s="12"/>
      <c r="J1318" s="12" t="n">
        <f aca="false">COUNT(E1318,G1318,I1318)</f>
        <v>1</v>
      </c>
      <c r="K1318" s="13" t="n">
        <f aca="false">MIN(E1318,G1318,I1318)</f>
        <v>611</v>
      </c>
      <c r="L1318" s="9" t="str">
        <f aca="false">IF(E1318=K1318,"5000m",IF(G1318=K1318,"3000mSC","1500m"))</f>
        <v>5000m</v>
      </c>
      <c r="M1318" s="14" t="n">
        <f aca="false">(D1318&lt;&gt;"")*(D1318&lt;=($E$3*60+$F$3)/86400)+(F1318&lt;&gt;"")*(F1318&lt;=($I$3*60+$J$3)/86400)+(H1318&lt;&gt;"")*(H1318&lt;=($M$3*60+$N$3)/86400)</f>
        <v>0</v>
      </c>
      <c r="N1318" s="16"/>
      <c r="O1318" s="15"/>
    </row>
    <row r="1319" customFormat="false" ht="25.35" hidden="false" customHeight="false" outlineLevel="0" collapsed="false">
      <c r="A1319" s="9" t="n">
        <v>1313</v>
      </c>
      <c r="B1319" s="10" t="s">
        <v>1909</v>
      </c>
      <c r="C1319" s="10" t="s">
        <v>1910</v>
      </c>
      <c r="D1319" s="11"/>
      <c r="E1319" s="12"/>
      <c r="F1319" s="11" t="n">
        <v>0.00726585648148148</v>
      </c>
      <c r="G1319" s="12" t="n">
        <v>611</v>
      </c>
      <c r="H1319" s="11"/>
      <c r="I1319" s="12"/>
      <c r="J1319" s="12" t="n">
        <f aca="false">COUNT(E1319,G1319,I1319)</f>
        <v>1</v>
      </c>
      <c r="K1319" s="13" t="n">
        <f aca="false">MIN(E1319,G1319,I1319)</f>
        <v>611</v>
      </c>
      <c r="L1319" s="9" t="str">
        <f aca="false">IF(E1319=K1319,"5000m",IF(G1319=K1319,"3000mSC","1500m"))</f>
        <v>3000mSC</v>
      </c>
      <c r="M1319" s="14" t="n">
        <f aca="false">(D1319&lt;&gt;"")*(D1319&lt;=($E$3*60+$F$3)/86400)+(F1319&lt;&gt;"")*(F1319&lt;=($I$3*60+$J$3)/86400)+(H1319&lt;&gt;"")*(H1319&lt;=($M$3*60+$N$3)/86400)</f>
        <v>0</v>
      </c>
      <c r="N1319" s="16"/>
      <c r="O1319" s="15"/>
    </row>
    <row r="1320" customFormat="false" ht="15" hidden="false" customHeight="false" outlineLevel="0" collapsed="false">
      <c r="A1320" s="9" t="n">
        <v>1314</v>
      </c>
      <c r="B1320" s="10" t="s">
        <v>1911</v>
      </c>
      <c r="C1320" s="10" t="s">
        <v>1912</v>
      </c>
      <c r="D1320" s="11" t="n">
        <v>0.010719212962963</v>
      </c>
      <c r="E1320" s="12" t="n">
        <v>612</v>
      </c>
      <c r="F1320" s="11"/>
      <c r="G1320" s="12"/>
      <c r="H1320" s="11" t="n">
        <v>0.00290347222222222</v>
      </c>
      <c r="I1320" s="12" t="n">
        <v>975</v>
      </c>
      <c r="J1320" s="12" t="n">
        <f aca="false">COUNT(E1320,G1320,I1320)</f>
        <v>2</v>
      </c>
      <c r="K1320" s="13" t="n">
        <f aca="false">MIN(E1320,G1320,I1320)</f>
        <v>612</v>
      </c>
      <c r="L1320" s="9" t="str">
        <f aca="false">IF(E1320=K1320,"5000m",IF(G1320=K1320,"3000mSC","1500m"))</f>
        <v>5000m</v>
      </c>
      <c r="M1320" s="14" t="n">
        <f aca="false">(D1320&lt;&gt;"")*(D1320&lt;=($E$3*60+$F$3)/86400)+(F1320&lt;&gt;"")*(F1320&lt;=($I$3*60+$J$3)/86400)+(H1320&lt;&gt;"")*(H1320&lt;=($M$3*60+$N$3)/86400)</f>
        <v>0</v>
      </c>
      <c r="N1320" s="16"/>
      <c r="O1320" s="15"/>
    </row>
    <row r="1321" customFormat="false" ht="25.35" hidden="false" customHeight="false" outlineLevel="0" collapsed="false">
      <c r="A1321" s="9" t="n">
        <v>1315</v>
      </c>
      <c r="B1321" s="10" t="s">
        <v>1913</v>
      </c>
      <c r="C1321" s="10" t="s">
        <v>1914</v>
      </c>
      <c r="D1321" s="11"/>
      <c r="E1321" s="12"/>
      <c r="F1321" s="11" t="n">
        <v>0.00726747685185185</v>
      </c>
      <c r="G1321" s="12" t="n">
        <v>612</v>
      </c>
      <c r="H1321" s="11"/>
      <c r="I1321" s="12"/>
      <c r="J1321" s="12" t="n">
        <f aca="false">COUNT(E1321,G1321,I1321)</f>
        <v>1</v>
      </c>
      <c r="K1321" s="13" t="n">
        <f aca="false">MIN(E1321,G1321,I1321)</f>
        <v>612</v>
      </c>
      <c r="L1321" s="9" t="str">
        <f aca="false">IF(E1321=K1321,"5000m",IF(G1321=K1321,"3000mSC","1500m"))</f>
        <v>3000mSC</v>
      </c>
      <c r="M1321" s="14" t="n">
        <f aca="false">(D1321&lt;&gt;"")*(D1321&lt;=($E$3*60+$F$3)/86400)+(F1321&lt;&gt;"")*(F1321&lt;=($I$3*60+$J$3)/86400)+(H1321&lt;&gt;"")*(H1321&lt;=($M$3*60+$N$3)/86400)</f>
        <v>0</v>
      </c>
      <c r="N1321" s="16"/>
      <c r="O1321" s="15"/>
    </row>
    <row r="1322" customFormat="false" ht="15" hidden="false" customHeight="false" outlineLevel="0" collapsed="false">
      <c r="A1322" s="9" t="n">
        <v>1316</v>
      </c>
      <c r="B1322" s="10" t="s">
        <v>1915</v>
      </c>
      <c r="C1322" s="10" t="s">
        <v>1916</v>
      </c>
      <c r="D1322" s="11" t="n">
        <v>0.0107912037037037</v>
      </c>
      <c r="E1322" s="12" t="n">
        <v>726</v>
      </c>
      <c r="F1322" s="11"/>
      <c r="G1322" s="12"/>
      <c r="H1322" s="11" t="n">
        <v>0.00285671296296296</v>
      </c>
      <c r="I1322" s="12" t="n">
        <v>613</v>
      </c>
      <c r="J1322" s="12" t="n">
        <f aca="false">COUNT(E1322,G1322,I1322)</f>
        <v>2</v>
      </c>
      <c r="K1322" s="13" t="n">
        <f aca="false">MIN(E1322,G1322,I1322)</f>
        <v>613</v>
      </c>
      <c r="L1322" s="9" t="str">
        <f aca="false">IF(E1322=K1322,"5000m",IF(G1322=K1322,"3000mSC","1500m"))</f>
        <v>1500m</v>
      </c>
      <c r="M1322" s="14" t="n">
        <f aca="false">(D1322&lt;&gt;"")*(D1322&lt;=($E$3*60+$F$3)/86400)+(F1322&lt;&gt;"")*(F1322&lt;=($I$3*60+$J$3)/86400)+(H1322&lt;&gt;"")*(H1322&lt;=($M$3*60+$N$3)/86400)</f>
        <v>0</v>
      </c>
      <c r="N1322" s="16"/>
      <c r="O1322" s="15"/>
    </row>
    <row r="1323" customFormat="false" ht="25.35" hidden="false" customHeight="false" outlineLevel="0" collapsed="false">
      <c r="A1323" s="9" t="n">
        <v>1317</v>
      </c>
      <c r="B1323" s="10" t="s">
        <v>1917</v>
      </c>
      <c r="C1323" s="10" t="s">
        <v>1608</v>
      </c>
      <c r="D1323" s="11"/>
      <c r="E1323" s="12"/>
      <c r="F1323" s="11" t="n">
        <v>0.00726851851851852</v>
      </c>
      <c r="G1323" s="12" t="n">
        <v>613</v>
      </c>
      <c r="H1323" s="11"/>
      <c r="I1323" s="12"/>
      <c r="J1323" s="12" t="n">
        <f aca="false">COUNT(E1323,G1323,I1323)</f>
        <v>1</v>
      </c>
      <c r="K1323" s="13" t="n">
        <f aca="false">MIN(E1323,G1323,I1323)</f>
        <v>613</v>
      </c>
      <c r="L1323" s="9" t="str">
        <f aca="false">IF(E1323=K1323,"5000m",IF(G1323=K1323,"3000mSC","1500m"))</f>
        <v>3000mSC</v>
      </c>
      <c r="M1323" s="14" t="n">
        <f aca="false">(D1323&lt;&gt;"")*(D1323&lt;=($E$3*60+$F$3)/86400)+(F1323&lt;&gt;"")*(F1323&lt;=($I$3*60+$J$3)/86400)+(H1323&lt;&gt;"")*(H1323&lt;=($M$3*60+$N$3)/86400)</f>
        <v>0</v>
      </c>
      <c r="N1323" s="16"/>
      <c r="O1323" s="15"/>
    </row>
    <row r="1324" customFormat="false" ht="15" hidden="false" customHeight="false" outlineLevel="0" collapsed="false">
      <c r="A1324" s="9" t="n">
        <v>1318</v>
      </c>
      <c r="B1324" s="10" t="s">
        <v>1918</v>
      </c>
      <c r="C1324" s="10" t="s">
        <v>1051</v>
      </c>
      <c r="D1324" s="11" t="n">
        <v>0.0107211805555556</v>
      </c>
      <c r="E1324" s="12" t="n">
        <v>614</v>
      </c>
      <c r="F1324" s="11"/>
      <c r="G1324" s="12"/>
      <c r="H1324" s="11"/>
      <c r="I1324" s="12"/>
      <c r="J1324" s="12" t="n">
        <f aca="false">COUNT(E1324,G1324,I1324)</f>
        <v>1</v>
      </c>
      <c r="K1324" s="13" t="n">
        <f aca="false">MIN(E1324,G1324,I1324)</f>
        <v>614</v>
      </c>
      <c r="L1324" s="9" t="str">
        <f aca="false">IF(E1324=K1324,"5000m",IF(G1324=K1324,"3000mSC","1500m"))</f>
        <v>5000m</v>
      </c>
      <c r="M1324" s="14" t="n">
        <f aca="false">(D1324&lt;&gt;"")*(D1324&lt;=($E$3*60+$F$3)/86400)+(F1324&lt;&gt;"")*(F1324&lt;=($I$3*60+$J$3)/86400)+(H1324&lt;&gt;"")*(H1324&lt;=($M$3*60+$N$3)/86400)</f>
        <v>0</v>
      </c>
      <c r="N1324" s="16"/>
      <c r="O1324" s="15"/>
    </row>
    <row r="1325" customFormat="false" ht="25.35" hidden="false" customHeight="false" outlineLevel="0" collapsed="false">
      <c r="A1325" s="9" t="n">
        <v>1319</v>
      </c>
      <c r="B1325" s="10" t="s">
        <v>1919</v>
      </c>
      <c r="C1325" s="10" t="s">
        <v>904</v>
      </c>
      <c r="D1325" s="11"/>
      <c r="E1325" s="12"/>
      <c r="F1325" s="11" t="n">
        <v>0.00726851851851852</v>
      </c>
      <c r="G1325" s="12" t="n">
        <v>614</v>
      </c>
      <c r="H1325" s="11"/>
      <c r="I1325" s="12"/>
      <c r="J1325" s="12" t="n">
        <f aca="false">COUNT(E1325,G1325,I1325)</f>
        <v>1</v>
      </c>
      <c r="K1325" s="13" t="n">
        <f aca="false">MIN(E1325,G1325,I1325)</f>
        <v>614</v>
      </c>
      <c r="L1325" s="9" t="str">
        <f aca="false">IF(E1325=K1325,"5000m",IF(G1325=K1325,"3000mSC","1500m"))</f>
        <v>3000mSC</v>
      </c>
      <c r="M1325" s="14" t="n">
        <f aca="false">(D1325&lt;&gt;"")*(D1325&lt;=($E$3*60+$F$3)/86400)+(F1325&lt;&gt;"")*(F1325&lt;=($I$3*60+$J$3)/86400)+(H1325&lt;&gt;"")*(H1325&lt;=($M$3*60+$N$3)/86400)</f>
        <v>0</v>
      </c>
      <c r="N1325" s="16"/>
      <c r="O1325" s="15"/>
    </row>
    <row r="1326" customFormat="false" ht="25.35" hidden="false" customHeight="false" outlineLevel="0" collapsed="false">
      <c r="A1326" s="9" t="n">
        <v>1320</v>
      </c>
      <c r="B1326" s="10" t="s">
        <v>1920</v>
      </c>
      <c r="C1326" s="10" t="s">
        <v>1921</v>
      </c>
      <c r="D1326" s="11"/>
      <c r="E1326" s="12"/>
      <c r="F1326" s="11" t="n">
        <v>0.00726886574074074</v>
      </c>
      <c r="G1326" s="12" t="n">
        <v>615</v>
      </c>
      <c r="H1326" s="11"/>
      <c r="I1326" s="12"/>
      <c r="J1326" s="12" t="n">
        <f aca="false">COUNT(E1326,G1326,I1326)</f>
        <v>1</v>
      </c>
      <c r="K1326" s="13" t="n">
        <f aca="false">MIN(E1326,G1326,I1326)</f>
        <v>615</v>
      </c>
      <c r="L1326" s="9" t="str">
        <f aca="false">IF(E1326=K1326,"5000m",IF(G1326=K1326,"3000mSC","1500m"))</f>
        <v>3000mSC</v>
      </c>
      <c r="M1326" s="14" t="n">
        <f aca="false">(D1326&lt;&gt;"")*(D1326&lt;=($E$3*60+$F$3)/86400)+(F1326&lt;&gt;"")*(F1326&lt;=($I$3*60+$J$3)/86400)+(H1326&lt;&gt;"")*(H1326&lt;=($M$3*60+$N$3)/86400)</f>
        <v>0</v>
      </c>
      <c r="N1326" s="16"/>
      <c r="O1326" s="15"/>
    </row>
    <row r="1327" customFormat="false" ht="15" hidden="false" customHeight="false" outlineLevel="0" collapsed="false">
      <c r="A1327" s="9" t="n">
        <v>1321</v>
      </c>
      <c r="B1327" s="10" t="s">
        <v>1922</v>
      </c>
      <c r="C1327" s="10" t="s">
        <v>818</v>
      </c>
      <c r="D1327" s="11"/>
      <c r="E1327" s="12"/>
      <c r="F1327" s="11"/>
      <c r="G1327" s="12"/>
      <c r="H1327" s="11" t="n">
        <v>0.0028568287037037</v>
      </c>
      <c r="I1327" s="12" t="n">
        <v>615</v>
      </c>
      <c r="J1327" s="12" t="n">
        <f aca="false">COUNT(E1327,G1327,I1327)</f>
        <v>1</v>
      </c>
      <c r="K1327" s="13" t="n">
        <f aca="false">MIN(E1327,G1327,I1327)</f>
        <v>615</v>
      </c>
      <c r="L1327" s="9" t="str">
        <f aca="false">IF(E1327=K1327,"5000m",IF(G1327=K1327,"3000mSC","1500m"))</f>
        <v>1500m</v>
      </c>
      <c r="M1327" s="14" t="n">
        <f aca="false">(D1327&lt;&gt;"")*(D1327&lt;=($E$3*60+$F$3)/86400)+(F1327&lt;&gt;"")*(F1327&lt;=($I$3*60+$J$3)/86400)+(H1327&lt;&gt;"")*(H1327&lt;=($M$3*60+$N$3)/86400)</f>
        <v>0</v>
      </c>
      <c r="N1327" s="16"/>
      <c r="O1327" s="15"/>
    </row>
    <row r="1328" customFormat="false" ht="25.35" hidden="false" customHeight="false" outlineLevel="0" collapsed="false">
      <c r="A1328" s="9" t="n">
        <v>1322</v>
      </c>
      <c r="B1328" s="10" t="s">
        <v>1923</v>
      </c>
      <c r="C1328" s="10" t="s">
        <v>1924</v>
      </c>
      <c r="D1328" s="11"/>
      <c r="E1328" s="12"/>
      <c r="F1328" s="11" t="n">
        <v>0.00727002314814815</v>
      </c>
      <c r="G1328" s="12" t="n">
        <v>616</v>
      </c>
      <c r="H1328" s="11"/>
      <c r="I1328" s="12"/>
      <c r="J1328" s="12" t="n">
        <f aca="false">COUNT(E1328,G1328,I1328)</f>
        <v>1</v>
      </c>
      <c r="K1328" s="13" t="n">
        <f aca="false">MIN(E1328,G1328,I1328)</f>
        <v>616</v>
      </c>
      <c r="L1328" s="9" t="str">
        <f aca="false">IF(E1328=K1328,"5000m",IF(G1328=K1328,"3000mSC","1500m"))</f>
        <v>3000mSC</v>
      </c>
      <c r="M1328" s="14" t="n">
        <f aca="false">(D1328&lt;&gt;"")*(D1328&lt;=($E$3*60+$F$3)/86400)+(F1328&lt;&gt;"")*(F1328&lt;=($I$3*60+$J$3)/86400)+(H1328&lt;&gt;"")*(H1328&lt;=($M$3*60+$N$3)/86400)</f>
        <v>0</v>
      </c>
      <c r="N1328" s="16"/>
      <c r="O1328" s="15"/>
    </row>
    <row r="1329" customFormat="false" ht="25.35" hidden="false" customHeight="false" outlineLevel="0" collapsed="false">
      <c r="A1329" s="9" t="n">
        <v>1323</v>
      </c>
      <c r="B1329" s="10" t="s">
        <v>1925</v>
      </c>
      <c r="C1329" s="10" t="s">
        <v>1926</v>
      </c>
      <c r="D1329" s="11"/>
      <c r="E1329" s="12"/>
      <c r="F1329" s="11" t="n">
        <v>0.00727025462962963</v>
      </c>
      <c r="G1329" s="12" t="n">
        <v>617</v>
      </c>
      <c r="H1329" s="11" t="n">
        <v>0.002909375</v>
      </c>
      <c r="I1329" s="12" t="n">
        <v>1012</v>
      </c>
      <c r="J1329" s="12" t="n">
        <f aca="false">COUNT(E1329,G1329,I1329)</f>
        <v>2</v>
      </c>
      <c r="K1329" s="13" t="n">
        <f aca="false">MIN(E1329,G1329,I1329)</f>
        <v>617</v>
      </c>
      <c r="L1329" s="9" t="str">
        <f aca="false">IF(E1329=K1329,"5000m",IF(G1329=K1329,"3000mSC","1500m"))</f>
        <v>3000mSC</v>
      </c>
      <c r="M1329" s="14" t="n">
        <f aca="false">(D1329&lt;&gt;"")*(D1329&lt;=($E$3*60+$F$3)/86400)+(F1329&lt;&gt;"")*(F1329&lt;=($I$3*60+$J$3)/86400)+(H1329&lt;&gt;"")*(H1329&lt;=($M$3*60+$N$3)/86400)</f>
        <v>0</v>
      </c>
      <c r="N1329" s="16"/>
      <c r="O1329" s="15"/>
    </row>
    <row r="1330" customFormat="false" ht="15" hidden="false" customHeight="false" outlineLevel="0" collapsed="false">
      <c r="A1330" s="9" t="n">
        <v>1324</v>
      </c>
      <c r="B1330" s="10" t="s">
        <v>1927</v>
      </c>
      <c r="C1330" s="10" t="s">
        <v>616</v>
      </c>
      <c r="D1330" s="11" t="n">
        <v>0.0107231481481482</v>
      </c>
      <c r="E1330" s="12" t="n">
        <v>618</v>
      </c>
      <c r="F1330" s="11" t="n">
        <v>0.00752777777777778</v>
      </c>
      <c r="G1330" s="12" t="n">
        <v>928</v>
      </c>
      <c r="H1330" s="11" t="n">
        <v>0.0029162037037037</v>
      </c>
      <c r="I1330" s="12" t="n">
        <v>1060</v>
      </c>
      <c r="J1330" s="12" t="n">
        <f aca="false">COUNT(E1330,G1330,I1330)</f>
        <v>3</v>
      </c>
      <c r="K1330" s="13" t="n">
        <f aca="false">MIN(E1330,G1330,I1330)</f>
        <v>618</v>
      </c>
      <c r="L1330" s="9" t="str">
        <f aca="false">IF(E1330=K1330,"5000m",IF(G1330=K1330,"3000mSC","1500m"))</f>
        <v>5000m</v>
      </c>
      <c r="M1330" s="14" t="n">
        <f aca="false">(D1330&lt;&gt;"")*(D1330&lt;=($E$3*60+$F$3)/86400)+(F1330&lt;&gt;"")*(F1330&lt;=($I$3*60+$J$3)/86400)+(H1330&lt;&gt;"")*(H1330&lt;=($M$3*60+$N$3)/86400)</f>
        <v>0</v>
      </c>
      <c r="N1330" s="16"/>
      <c r="O1330" s="15"/>
    </row>
    <row r="1331" customFormat="false" ht="25.35" hidden="false" customHeight="false" outlineLevel="0" collapsed="false">
      <c r="A1331" s="9" t="n">
        <v>1325</v>
      </c>
      <c r="B1331" s="10" t="s">
        <v>1928</v>
      </c>
      <c r="C1331" s="10" t="s">
        <v>917</v>
      </c>
      <c r="D1331" s="11"/>
      <c r="E1331" s="12"/>
      <c r="F1331" s="11" t="n">
        <v>0.00727291666666667</v>
      </c>
      <c r="G1331" s="12" t="n">
        <v>618</v>
      </c>
      <c r="H1331" s="11"/>
      <c r="I1331" s="12"/>
      <c r="J1331" s="12" t="n">
        <f aca="false">COUNT(E1331,G1331,I1331)</f>
        <v>1</v>
      </c>
      <c r="K1331" s="13" t="n">
        <f aca="false">MIN(E1331,G1331,I1331)</f>
        <v>618</v>
      </c>
      <c r="L1331" s="9" t="str">
        <f aca="false">IF(E1331=K1331,"5000m",IF(G1331=K1331,"3000mSC","1500m"))</f>
        <v>3000mSC</v>
      </c>
      <c r="M1331" s="14" t="n">
        <f aca="false">(D1331&lt;&gt;"")*(D1331&lt;=($E$3*60+$F$3)/86400)+(F1331&lt;&gt;"")*(F1331&lt;=($I$3*60+$J$3)/86400)+(H1331&lt;&gt;"")*(H1331&lt;=($M$3*60+$N$3)/86400)</f>
        <v>0</v>
      </c>
      <c r="N1331" s="16"/>
      <c r="O1331" s="15"/>
    </row>
    <row r="1332" customFormat="false" ht="25.35" hidden="false" customHeight="false" outlineLevel="0" collapsed="false">
      <c r="A1332" s="9" t="n">
        <v>1326</v>
      </c>
      <c r="B1332" s="10" t="s">
        <v>1929</v>
      </c>
      <c r="C1332" s="10" t="s">
        <v>1930</v>
      </c>
      <c r="D1332" s="11"/>
      <c r="E1332" s="12"/>
      <c r="F1332" s="11" t="n">
        <v>0.007278125</v>
      </c>
      <c r="G1332" s="12" t="n">
        <v>619</v>
      </c>
      <c r="H1332" s="11" t="n">
        <v>0.00296631944444445</v>
      </c>
      <c r="I1332" s="12" t="n">
        <v>1296</v>
      </c>
      <c r="J1332" s="12" t="n">
        <f aca="false">COUNT(E1332,G1332,I1332)</f>
        <v>2</v>
      </c>
      <c r="K1332" s="13" t="n">
        <f aca="false">MIN(E1332,G1332,I1332)</f>
        <v>619</v>
      </c>
      <c r="L1332" s="9" t="str">
        <f aca="false">IF(E1332=K1332,"5000m",IF(G1332=K1332,"3000mSC","1500m"))</f>
        <v>3000mSC</v>
      </c>
      <c r="M1332" s="14" t="n">
        <f aca="false">(D1332&lt;&gt;"")*(D1332&lt;=($E$3*60+$F$3)/86400)+(F1332&lt;&gt;"")*(F1332&lt;=($I$3*60+$J$3)/86400)+(H1332&lt;&gt;"")*(H1332&lt;=($M$3*60+$N$3)/86400)</f>
        <v>0</v>
      </c>
      <c r="N1332" s="10" t="s">
        <v>1931</v>
      </c>
      <c r="O1332" s="15"/>
    </row>
    <row r="1333" customFormat="false" ht="15" hidden="false" customHeight="false" outlineLevel="0" collapsed="false">
      <c r="A1333" s="9" t="n">
        <v>1327</v>
      </c>
      <c r="B1333" s="10" t="s">
        <v>1932</v>
      </c>
      <c r="C1333" s="10" t="s">
        <v>1933</v>
      </c>
      <c r="D1333" s="11"/>
      <c r="E1333" s="12"/>
      <c r="F1333" s="11"/>
      <c r="G1333" s="12"/>
      <c r="H1333" s="11" t="n">
        <v>0.00285740740740741</v>
      </c>
      <c r="I1333" s="12" t="n">
        <v>619</v>
      </c>
      <c r="J1333" s="12" t="n">
        <f aca="false">COUNT(E1333,G1333,I1333)</f>
        <v>1</v>
      </c>
      <c r="K1333" s="13" t="n">
        <f aca="false">MIN(E1333,G1333,I1333)</f>
        <v>619</v>
      </c>
      <c r="L1333" s="9" t="str">
        <f aca="false">IF(E1333=K1333,"5000m",IF(G1333=K1333,"3000mSC","1500m"))</f>
        <v>1500m</v>
      </c>
      <c r="M1333" s="14" t="n">
        <f aca="false">(D1333&lt;&gt;"")*(D1333&lt;=($E$3*60+$F$3)/86400)+(F1333&lt;&gt;"")*(F1333&lt;=($I$3*60+$J$3)/86400)+(H1333&lt;&gt;"")*(H1333&lt;=($M$3*60+$N$3)/86400)</f>
        <v>0</v>
      </c>
      <c r="N1333" s="16"/>
      <c r="O1333" s="15"/>
    </row>
    <row r="1334" customFormat="false" ht="15" hidden="false" customHeight="false" outlineLevel="0" collapsed="false">
      <c r="A1334" s="9" t="n">
        <v>1328</v>
      </c>
      <c r="B1334" s="10" t="s">
        <v>1934</v>
      </c>
      <c r="C1334" s="10" t="s">
        <v>603</v>
      </c>
      <c r="D1334" s="11" t="n">
        <v>0.0110408564814815</v>
      </c>
      <c r="E1334" s="12" t="n">
        <v>1180</v>
      </c>
      <c r="F1334" s="11"/>
      <c r="G1334" s="12"/>
      <c r="H1334" s="11" t="n">
        <v>0.00285763888888889</v>
      </c>
      <c r="I1334" s="12" t="n">
        <v>620</v>
      </c>
      <c r="J1334" s="12" t="n">
        <f aca="false">COUNT(E1334,G1334,I1334)</f>
        <v>2</v>
      </c>
      <c r="K1334" s="13" t="n">
        <f aca="false">MIN(E1334,G1334,I1334)</f>
        <v>620</v>
      </c>
      <c r="L1334" s="9" t="str">
        <f aca="false">IF(E1334=K1334,"5000m",IF(G1334=K1334,"3000mSC","1500m"))</f>
        <v>1500m</v>
      </c>
      <c r="M1334" s="14" t="n">
        <f aca="false">(D1334&lt;&gt;"")*(D1334&lt;=($E$3*60+$F$3)/86400)+(F1334&lt;&gt;"")*(F1334&lt;=($I$3*60+$J$3)/86400)+(H1334&lt;&gt;"")*(H1334&lt;=($M$3*60+$N$3)/86400)</f>
        <v>0</v>
      </c>
      <c r="N1334" s="16"/>
      <c r="O1334" s="15"/>
    </row>
    <row r="1335" customFormat="false" ht="25.35" hidden="false" customHeight="false" outlineLevel="0" collapsed="false">
      <c r="A1335" s="9" t="n">
        <v>1329</v>
      </c>
      <c r="B1335" s="10" t="s">
        <v>1935</v>
      </c>
      <c r="C1335" s="10" t="s">
        <v>1936</v>
      </c>
      <c r="D1335" s="11"/>
      <c r="E1335" s="12"/>
      <c r="F1335" s="11" t="n">
        <v>0.00727893518518519</v>
      </c>
      <c r="G1335" s="12" t="n">
        <v>620</v>
      </c>
      <c r="H1335" s="11"/>
      <c r="I1335" s="12"/>
      <c r="J1335" s="12" t="n">
        <f aca="false">COUNT(E1335,G1335,I1335)</f>
        <v>1</v>
      </c>
      <c r="K1335" s="13" t="n">
        <f aca="false">MIN(E1335,G1335,I1335)</f>
        <v>620</v>
      </c>
      <c r="L1335" s="9" t="str">
        <f aca="false">IF(E1335=K1335,"5000m",IF(G1335=K1335,"3000mSC","1500m"))</f>
        <v>3000mSC</v>
      </c>
      <c r="M1335" s="14" t="n">
        <f aca="false">(D1335&lt;&gt;"")*(D1335&lt;=($E$3*60+$F$3)/86400)+(F1335&lt;&gt;"")*(F1335&lt;=($I$3*60+$J$3)/86400)+(H1335&lt;&gt;"")*(H1335&lt;=($M$3*60+$N$3)/86400)</f>
        <v>0</v>
      </c>
      <c r="N1335" s="16"/>
      <c r="O1335" s="15"/>
    </row>
    <row r="1336" customFormat="false" ht="25.35" hidden="false" customHeight="false" outlineLevel="0" collapsed="false">
      <c r="A1336" s="9" t="n">
        <v>1330</v>
      </c>
      <c r="B1336" s="10" t="s">
        <v>1937</v>
      </c>
      <c r="C1336" s="10" t="s">
        <v>680</v>
      </c>
      <c r="D1336" s="11" t="n">
        <v>0.0109021990740741</v>
      </c>
      <c r="E1336" s="12" t="n">
        <v>922</v>
      </c>
      <c r="F1336" s="11" t="n">
        <v>0.00728148148148148</v>
      </c>
      <c r="G1336" s="12" t="n">
        <v>621</v>
      </c>
      <c r="H1336" s="11"/>
      <c r="I1336" s="12"/>
      <c r="J1336" s="12" t="n">
        <f aca="false">COUNT(E1336,G1336,I1336)</f>
        <v>2</v>
      </c>
      <c r="K1336" s="13" t="n">
        <f aca="false">MIN(E1336,G1336,I1336)</f>
        <v>621</v>
      </c>
      <c r="L1336" s="9" t="str">
        <f aca="false">IF(E1336=K1336,"5000m",IF(G1336=K1336,"3000mSC","1500m"))</f>
        <v>3000mSC</v>
      </c>
      <c r="M1336" s="14" t="n">
        <f aca="false">(D1336&lt;&gt;"")*(D1336&lt;=($E$3*60+$F$3)/86400)+(F1336&lt;&gt;"")*(F1336&lt;=($I$3*60+$J$3)/86400)+(H1336&lt;&gt;"")*(H1336&lt;=($M$3*60+$N$3)/86400)</f>
        <v>0</v>
      </c>
      <c r="N1336" s="16"/>
      <c r="O1336" s="15"/>
    </row>
    <row r="1337" customFormat="false" ht="15" hidden="false" customHeight="false" outlineLevel="0" collapsed="false">
      <c r="A1337" s="9" t="n">
        <v>1331</v>
      </c>
      <c r="B1337" s="10" t="s">
        <v>1938</v>
      </c>
      <c r="C1337" s="10" t="s">
        <v>213</v>
      </c>
      <c r="D1337" s="11" t="n">
        <v>0.0107248842592593</v>
      </c>
      <c r="E1337" s="12" t="n">
        <v>622</v>
      </c>
      <c r="F1337" s="11"/>
      <c r="G1337" s="12"/>
      <c r="H1337" s="11" t="n">
        <v>0.00297673611111111</v>
      </c>
      <c r="I1337" s="12" t="n">
        <v>1339</v>
      </c>
      <c r="J1337" s="12" t="n">
        <f aca="false">COUNT(E1337,G1337,I1337)</f>
        <v>2</v>
      </c>
      <c r="K1337" s="13" t="n">
        <f aca="false">MIN(E1337,G1337,I1337)</f>
        <v>622</v>
      </c>
      <c r="L1337" s="9" t="str">
        <f aca="false">IF(E1337=K1337,"5000m",IF(G1337=K1337,"3000mSC","1500m"))</f>
        <v>5000m</v>
      </c>
      <c r="M1337" s="14" t="n">
        <f aca="false">(D1337&lt;&gt;"")*(D1337&lt;=($E$3*60+$F$3)/86400)+(F1337&lt;&gt;"")*(F1337&lt;=($I$3*60+$J$3)/86400)+(H1337&lt;&gt;"")*(H1337&lt;=($M$3*60+$N$3)/86400)</f>
        <v>0</v>
      </c>
      <c r="N1337" s="16"/>
      <c r="O1337" s="15"/>
    </row>
    <row r="1338" customFormat="false" ht="25.35" hidden="false" customHeight="false" outlineLevel="0" collapsed="false">
      <c r="A1338" s="9" t="n">
        <v>1332</v>
      </c>
      <c r="B1338" s="10" t="s">
        <v>1939</v>
      </c>
      <c r="C1338" s="10" t="s">
        <v>95</v>
      </c>
      <c r="D1338" s="11"/>
      <c r="E1338" s="12"/>
      <c r="F1338" s="11" t="n">
        <v>0.0072818287037037</v>
      </c>
      <c r="G1338" s="12" t="n">
        <v>622</v>
      </c>
      <c r="H1338" s="11"/>
      <c r="I1338" s="12"/>
      <c r="J1338" s="12" t="n">
        <f aca="false">COUNT(E1338,G1338,I1338)</f>
        <v>1</v>
      </c>
      <c r="K1338" s="13" t="n">
        <f aca="false">MIN(E1338,G1338,I1338)</f>
        <v>622</v>
      </c>
      <c r="L1338" s="9" t="str">
        <f aca="false">IF(E1338=K1338,"5000m",IF(G1338=K1338,"3000mSC","1500m"))</f>
        <v>3000mSC</v>
      </c>
      <c r="M1338" s="14" t="n">
        <f aca="false">(D1338&lt;&gt;"")*(D1338&lt;=($E$3*60+$F$3)/86400)+(F1338&lt;&gt;"")*(F1338&lt;=($I$3*60+$J$3)/86400)+(H1338&lt;&gt;"")*(H1338&lt;=($M$3*60+$N$3)/86400)</f>
        <v>0</v>
      </c>
      <c r="N1338" s="16"/>
      <c r="O1338" s="15"/>
    </row>
    <row r="1339" customFormat="false" ht="25.35" hidden="false" customHeight="false" outlineLevel="0" collapsed="false">
      <c r="A1339" s="9" t="n">
        <v>1333</v>
      </c>
      <c r="B1339" s="10" t="s">
        <v>1940</v>
      </c>
      <c r="C1339" s="10" t="s">
        <v>201</v>
      </c>
      <c r="D1339" s="11" t="n">
        <v>0.0110722222222222</v>
      </c>
      <c r="E1339" s="12" t="n">
        <v>1239</v>
      </c>
      <c r="F1339" s="11" t="n">
        <v>0.00728298611111111</v>
      </c>
      <c r="G1339" s="12" t="n">
        <v>623</v>
      </c>
      <c r="H1339" s="11"/>
      <c r="I1339" s="12"/>
      <c r="J1339" s="12" t="n">
        <f aca="false">COUNT(E1339,G1339,I1339)</f>
        <v>2</v>
      </c>
      <c r="K1339" s="13" t="n">
        <f aca="false">MIN(E1339,G1339,I1339)</f>
        <v>623</v>
      </c>
      <c r="L1339" s="9" t="str">
        <f aca="false">IF(E1339=K1339,"5000m",IF(G1339=K1339,"3000mSC","1500m"))</f>
        <v>3000mSC</v>
      </c>
      <c r="M1339" s="14" t="n">
        <f aca="false">(D1339&lt;&gt;"")*(D1339&lt;=($E$3*60+$F$3)/86400)+(F1339&lt;&gt;"")*(F1339&lt;=($I$3*60+$J$3)/86400)+(H1339&lt;&gt;"")*(H1339&lt;=($M$3*60+$N$3)/86400)</f>
        <v>0</v>
      </c>
      <c r="N1339" s="16"/>
      <c r="O1339" s="15"/>
    </row>
    <row r="1340" customFormat="false" ht="15" hidden="false" customHeight="false" outlineLevel="0" collapsed="false">
      <c r="A1340" s="9" t="n">
        <v>1334</v>
      </c>
      <c r="B1340" s="10" t="s">
        <v>1941</v>
      </c>
      <c r="C1340" s="10" t="s">
        <v>1942</v>
      </c>
      <c r="D1340" s="11" t="n">
        <v>0.0107252314814815</v>
      </c>
      <c r="E1340" s="12" t="n">
        <v>623</v>
      </c>
      <c r="F1340" s="11"/>
      <c r="G1340" s="12"/>
      <c r="H1340" s="11"/>
      <c r="I1340" s="12"/>
      <c r="J1340" s="12" t="n">
        <f aca="false">COUNT(E1340,G1340,I1340)</f>
        <v>1</v>
      </c>
      <c r="K1340" s="13" t="n">
        <f aca="false">MIN(E1340,G1340,I1340)</f>
        <v>623</v>
      </c>
      <c r="L1340" s="9" t="str">
        <f aca="false">IF(E1340=K1340,"5000m",IF(G1340=K1340,"3000mSC","1500m"))</f>
        <v>5000m</v>
      </c>
      <c r="M1340" s="14" t="n">
        <f aca="false">(D1340&lt;&gt;"")*(D1340&lt;=($E$3*60+$F$3)/86400)+(F1340&lt;&gt;"")*(F1340&lt;=($I$3*60+$J$3)/86400)+(H1340&lt;&gt;"")*(H1340&lt;=($M$3*60+$N$3)/86400)</f>
        <v>0</v>
      </c>
      <c r="N1340" s="16"/>
      <c r="O1340" s="15"/>
    </row>
    <row r="1341" customFormat="false" ht="15" hidden="false" customHeight="false" outlineLevel="0" collapsed="false">
      <c r="A1341" s="9" t="n">
        <v>1335</v>
      </c>
      <c r="B1341" s="10" t="s">
        <v>1943</v>
      </c>
      <c r="C1341" s="10" t="s">
        <v>298</v>
      </c>
      <c r="D1341" s="11" t="n">
        <v>0.0107270833333333</v>
      </c>
      <c r="E1341" s="12" t="n">
        <v>624</v>
      </c>
      <c r="F1341" s="11"/>
      <c r="G1341" s="12"/>
      <c r="H1341" s="11" t="n">
        <v>0.00292291666666667</v>
      </c>
      <c r="I1341" s="12" t="n">
        <v>1124</v>
      </c>
      <c r="J1341" s="12" t="n">
        <f aca="false">COUNT(E1341,G1341,I1341)</f>
        <v>2</v>
      </c>
      <c r="K1341" s="13" t="n">
        <f aca="false">MIN(E1341,G1341,I1341)</f>
        <v>624</v>
      </c>
      <c r="L1341" s="9" t="str">
        <f aca="false">IF(E1341=K1341,"5000m",IF(G1341=K1341,"3000mSC","1500m"))</f>
        <v>5000m</v>
      </c>
      <c r="M1341" s="14" t="n">
        <f aca="false">(D1341&lt;&gt;"")*(D1341&lt;=($E$3*60+$F$3)/86400)+(F1341&lt;&gt;"")*(F1341&lt;=($I$3*60+$J$3)/86400)+(H1341&lt;&gt;"")*(H1341&lt;=($M$3*60+$N$3)/86400)</f>
        <v>0</v>
      </c>
      <c r="N1341" s="16"/>
      <c r="O1341" s="15"/>
    </row>
    <row r="1342" customFormat="false" ht="25.35" hidden="false" customHeight="false" outlineLevel="0" collapsed="false">
      <c r="A1342" s="9" t="n">
        <v>1336</v>
      </c>
      <c r="B1342" s="10" t="s">
        <v>1944</v>
      </c>
      <c r="C1342" s="10" t="s">
        <v>1366</v>
      </c>
      <c r="D1342" s="11"/>
      <c r="E1342" s="12"/>
      <c r="F1342" s="11" t="n">
        <v>0.00728321759259259</v>
      </c>
      <c r="G1342" s="12" t="n">
        <v>624</v>
      </c>
      <c r="H1342" s="11"/>
      <c r="I1342" s="12"/>
      <c r="J1342" s="12" t="n">
        <f aca="false">COUNT(E1342,G1342,I1342)</f>
        <v>1</v>
      </c>
      <c r="K1342" s="13" t="n">
        <f aca="false">MIN(E1342,G1342,I1342)</f>
        <v>624</v>
      </c>
      <c r="L1342" s="9" t="str">
        <f aca="false">IF(E1342=K1342,"5000m",IF(G1342=K1342,"3000mSC","1500m"))</f>
        <v>3000mSC</v>
      </c>
      <c r="M1342" s="14" t="n">
        <f aca="false">(D1342&lt;&gt;"")*(D1342&lt;=($E$3*60+$F$3)/86400)+(F1342&lt;&gt;"")*(F1342&lt;=($I$3*60+$J$3)/86400)+(H1342&lt;&gt;"")*(H1342&lt;=($M$3*60+$N$3)/86400)</f>
        <v>0</v>
      </c>
      <c r="N1342" s="16"/>
      <c r="O1342" s="15"/>
    </row>
    <row r="1343" customFormat="false" ht="25.35" hidden="false" customHeight="false" outlineLevel="0" collapsed="false">
      <c r="A1343" s="9" t="n">
        <v>1337</v>
      </c>
      <c r="B1343" s="10" t="s">
        <v>1945</v>
      </c>
      <c r="C1343" s="10" t="s">
        <v>1946</v>
      </c>
      <c r="D1343" s="11"/>
      <c r="E1343" s="12"/>
      <c r="F1343" s="11" t="n">
        <v>0.00728344907407407</v>
      </c>
      <c r="G1343" s="12" t="n">
        <v>625</v>
      </c>
      <c r="H1343" s="11"/>
      <c r="I1343" s="12"/>
      <c r="J1343" s="12" t="n">
        <f aca="false">COUNT(E1343,G1343,I1343)</f>
        <v>1</v>
      </c>
      <c r="K1343" s="13" t="n">
        <f aca="false">MIN(E1343,G1343,I1343)</f>
        <v>625</v>
      </c>
      <c r="L1343" s="9" t="str">
        <f aca="false">IF(E1343=K1343,"5000m",IF(G1343=K1343,"3000mSC","1500m"))</f>
        <v>3000mSC</v>
      </c>
      <c r="M1343" s="14" t="n">
        <f aca="false">(D1343&lt;&gt;"")*(D1343&lt;=($E$3*60+$F$3)/86400)+(F1343&lt;&gt;"")*(F1343&lt;=($I$3*60+$J$3)/86400)+(H1343&lt;&gt;"")*(H1343&lt;=($M$3*60+$N$3)/86400)</f>
        <v>0</v>
      </c>
      <c r="N1343" s="16"/>
      <c r="O1343" s="15"/>
    </row>
    <row r="1344" customFormat="false" ht="15" hidden="false" customHeight="false" outlineLevel="0" collapsed="false">
      <c r="A1344" s="9" t="n">
        <v>1338</v>
      </c>
      <c r="B1344" s="10" t="s">
        <v>1947</v>
      </c>
      <c r="C1344" s="10" t="s">
        <v>397</v>
      </c>
      <c r="D1344" s="11"/>
      <c r="E1344" s="12"/>
      <c r="F1344" s="11"/>
      <c r="G1344" s="12"/>
      <c r="H1344" s="11" t="n">
        <v>0.00285868055555556</v>
      </c>
      <c r="I1344" s="12" t="n">
        <v>625</v>
      </c>
      <c r="J1344" s="12" t="n">
        <f aca="false">COUNT(E1344,G1344,I1344)</f>
        <v>1</v>
      </c>
      <c r="K1344" s="13" t="n">
        <f aca="false">MIN(E1344,G1344,I1344)</f>
        <v>625</v>
      </c>
      <c r="L1344" s="9" t="str">
        <f aca="false">IF(E1344=K1344,"5000m",IF(G1344=K1344,"3000mSC","1500m"))</f>
        <v>1500m</v>
      </c>
      <c r="M1344" s="14" t="n">
        <f aca="false">(D1344&lt;&gt;"")*(D1344&lt;=($E$3*60+$F$3)/86400)+(F1344&lt;&gt;"")*(F1344&lt;=($I$3*60+$J$3)/86400)+(H1344&lt;&gt;"")*(H1344&lt;=($M$3*60+$N$3)/86400)</f>
        <v>0</v>
      </c>
      <c r="N1344" s="16"/>
      <c r="O1344" s="15"/>
    </row>
    <row r="1345" customFormat="false" ht="25.35" hidden="false" customHeight="false" outlineLevel="0" collapsed="false">
      <c r="A1345" s="9" t="n">
        <v>1339</v>
      </c>
      <c r="B1345" s="10" t="s">
        <v>1948</v>
      </c>
      <c r="C1345" s="10" t="s">
        <v>473</v>
      </c>
      <c r="D1345" s="11"/>
      <c r="E1345" s="12"/>
      <c r="F1345" s="11" t="n">
        <v>0.00728356481481481</v>
      </c>
      <c r="G1345" s="12" t="n">
        <v>626</v>
      </c>
      <c r="H1345" s="11"/>
      <c r="I1345" s="12"/>
      <c r="J1345" s="12" t="n">
        <f aca="false">COUNT(E1345,G1345,I1345)</f>
        <v>1</v>
      </c>
      <c r="K1345" s="13" t="n">
        <f aca="false">MIN(E1345,G1345,I1345)</f>
        <v>626</v>
      </c>
      <c r="L1345" s="9" t="str">
        <f aca="false">IF(E1345=K1345,"5000m",IF(G1345=K1345,"3000mSC","1500m"))</f>
        <v>3000mSC</v>
      </c>
      <c r="M1345" s="14" t="n">
        <f aca="false">(D1345&lt;&gt;"")*(D1345&lt;=($E$3*60+$F$3)/86400)+(F1345&lt;&gt;"")*(F1345&lt;=($I$3*60+$J$3)/86400)+(H1345&lt;&gt;"")*(H1345&lt;=($M$3*60+$N$3)/86400)</f>
        <v>0</v>
      </c>
      <c r="N1345" s="16"/>
      <c r="O1345" s="15"/>
    </row>
    <row r="1346" customFormat="false" ht="15" hidden="false" customHeight="false" outlineLevel="0" collapsed="false">
      <c r="A1346" s="9" t="n">
        <v>1340</v>
      </c>
      <c r="B1346" s="10" t="s">
        <v>1949</v>
      </c>
      <c r="C1346" s="10" t="s">
        <v>746</v>
      </c>
      <c r="D1346" s="11"/>
      <c r="E1346" s="12"/>
      <c r="F1346" s="11"/>
      <c r="G1346" s="12"/>
      <c r="H1346" s="11" t="n">
        <v>0.0028587962962963</v>
      </c>
      <c r="I1346" s="12" t="n">
        <v>626</v>
      </c>
      <c r="J1346" s="12" t="n">
        <f aca="false">COUNT(E1346,G1346,I1346)</f>
        <v>1</v>
      </c>
      <c r="K1346" s="13" t="n">
        <f aca="false">MIN(E1346,G1346,I1346)</f>
        <v>626</v>
      </c>
      <c r="L1346" s="9" t="str">
        <f aca="false">IF(E1346=K1346,"5000m",IF(G1346=K1346,"3000mSC","1500m"))</f>
        <v>1500m</v>
      </c>
      <c r="M1346" s="14" t="n">
        <f aca="false">(D1346&lt;&gt;"")*(D1346&lt;=($E$3*60+$F$3)/86400)+(F1346&lt;&gt;"")*(F1346&lt;=($I$3*60+$J$3)/86400)+(H1346&lt;&gt;"")*(H1346&lt;=($M$3*60+$N$3)/86400)</f>
        <v>0</v>
      </c>
      <c r="N1346" s="16"/>
      <c r="O1346" s="15"/>
    </row>
    <row r="1347" customFormat="false" ht="15" hidden="false" customHeight="false" outlineLevel="0" collapsed="false">
      <c r="A1347" s="9" t="n">
        <v>1341</v>
      </c>
      <c r="B1347" s="10" t="s">
        <v>1950</v>
      </c>
      <c r="C1347" s="10" t="s">
        <v>1653</v>
      </c>
      <c r="D1347" s="11" t="n">
        <v>0.010783912037037</v>
      </c>
      <c r="E1347" s="12" t="n">
        <v>711</v>
      </c>
      <c r="F1347" s="11"/>
      <c r="G1347" s="12"/>
      <c r="H1347" s="11" t="n">
        <v>0.0028587962962963</v>
      </c>
      <c r="I1347" s="12" t="n">
        <v>627</v>
      </c>
      <c r="J1347" s="12" t="n">
        <f aca="false">COUNT(E1347,G1347,I1347)</f>
        <v>2</v>
      </c>
      <c r="K1347" s="13" t="n">
        <f aca="false">MIN(E1347,G1347,I1347)</f>
        <v>627</v>
      </c>
      <c r="L1347" s="9" t="str">
        <f aca="false">IF(E1347=K1347,"5000m",IF(G1347=K1347,"3000mSC","1500m"))</f>
        <v>1500m</v>
      </c>
      <c r="M1347" s="14" t="n">
        <f aca="false">(D1347&lt;&gt;"")*(D1347&lt;=($E$3*60+$F$3)/86400)+(F1347&lt;&gt;"")*(F1347&lt;=($I$3*60+$J$3)/86400)+(H1347&lt;&gt;"")*(H1347&lt;=($M$3*60+$N$3)/86400)</f>
        <v>0</v>
      </c>
      <c r="N1347" s="16"/>
      <c r="O1347" s="15"/>
    </row>
    <row r="1348" customFormat="false" ht="25.35" hidden="false" customHeight="false" outlineLevel="0" collapsed="false">
      <c r="A1348" s="9" t="n">
        <v>1342</v>
      </c>
      <c r="B1348" s="10" t="s">
        <v>1951</v>
      </c>
      <c r="C1348" s="10" t="s">
        <v>1936</v>
      </c>
      <c r="D1348" s="11"/>
      <c r="E1348" s="12"/>
      <c r="F1348" s="11" t="n">
        <v>0.00728414351851852</v>
      </c>
      <c r="G1348" s="12" t="n">
        <v>627</v>
      </c>
      <c r="H1348" s="11"/>
      <c r="I1348" s="12"/>
      <c r="J1348" s="12" t="n">
        <f aca="false">COUNT(E1348,G1348,I1348)</f>
        <v>1</v>
      </c>
      <c r="K1348" s="13" t="n">
        <f aca="false">MIN(E1348,G1348,I1348)</f>
        <v>627</v>
      </c>
      <c r="L1348" s="9" t="str">
        <f aca="false">IF(E1348=K1348,"5000m",IF(G1348=K1348,"3000mSC","1500m"))</f>
        <v>3000mSC</v>
      </c>
      <c r="M1348" s="14" t="n">
        <f aca="false">(D1348&lt;&gt;"")*(D1348&lt;=($E$3*60+$F$3)/86400)+(F1348&lt;&gt;"")*(F1348&lt;=($I$3*60+$J$3)/86400)+(H1348&lt;&gt;"")*(H1348&lt;=($M$3*60+$N$3)/86400)</f>
        <v>0</v>
      </c>
      <c r="N1348" s="16"/>
      <c r="O1348" s="15"/>
    </row>
    <row r="1349" customFormat="false" ht="15" hidden="false" customHeight="false" outlineLevel="0" collapsed="false">
      <c r="A1349" s="9" t="n">
        <v>1343</v>
      </c>
      <c r="B1349" s="10" t="s">
        <v>1952</v>
      </c>
      <c r="C1349" s="10" t="s">
        <v>309</v>
      </c>
      <c r="D1349" s="11" t="n">
        <v>0.010796875</v>
      </c>
      <c r="E1349" s="12" t="n">
        <v>736</v>
      </c>
      <c r="F1349" s="11"/>
      <c r="G1349" s="12"/>
      <c r="H1349" s="11" t="n">
        <v>0.0028587962962963</v>
      </c>
      <c r="I1349" s="12" t="n">
        <v>628</v>
      </c>
      <c r="J1349" s="12" t="n">
        <f aca="false">COUNT(E1349,G1349,I1349)</f>
        <v>2</v>
      </c>
      <c r="K1349" s="13" t="n">
        <f aca="false">MIN(E1349,G1349,I1349)</f>
        <v>628</v>
      </c>
      <c r="L1349" s="9" t="str">
        <f aca="false">IF(E1349=K1349,"5000m",IF(G1349=K1349,"3000mSC","1500m"))</f>
        <v>1500m</v>
      </c>
      <c r="M1349" s="14" t="n">
        <f aca="false">(D1349&lt;&gt;"")*(D1349&lt;=($E$3*60+$F$3)/86400)+(F1349&lt;&gt;"")*(F1349&lt;=($I$3*60+$J$3)/86400)+(H1349&lt;&gt;"")*(H1349&lt;=($M$3*60+$N$3)/86400)</f>
        <v>0</v>
      </c>
      <c r="N1349" s="16"/>
      <c r="O1349" s="15"/>
    </row>
    <row r="1350" customFormat="false" ht="15" hidden="false" customHeight="false" outlineLevel="0" collapsed="false">
      <c r="A1350" s="9" t="n">
        <v>1344</v>
      </c>
      <c r="B1350" s="10" t="s">
        <v>1953</v>
      </c>
      <c r="C1350" s="10" t="s">
        <v>215</v>
      </c>
      <c r="D1350" s="11" t="n">
        <v>0.0107282407407407</v>
      </c>
      <c r="E1350" s="12" t="n">
        <v>629</v>
      </c>
      <c r="F1350" s="11"/>
      <c r="G1350" s="12"/>
      <c r="H1350" s="11"/>
      <c r="I1350" s="12"/>
      <c r="J1350" s="12" t="n">
        <f aca="false">COUNT(E1350,G1350,I1350)</f>
        <v>1</v>
      </c>
      <c r="K1350" s="13" t="n">
        <f aca="false">MIN(E1350,G1350,I1350)</f>
        <v>629</v>
      </c>
      <c r="L1350" s="9" t="str">
        <f aca="false">IF(E1350=K1350,"5000m",IF(G1350=K1350,"3000mSC","1500m"))</f>
        <v>5000m</v>
      </c>
      <c r="M1350" s="14" t="n">
        <f aca="false">(D1350&lt;&gt;"")*(D1350&lt;=($E$3*60+$F$3)/86400)+(F1350&lt;&gt;"")*(F1350&lt;=($I$3*60+$J$3)/86400)+(H1350&lt;&gt;"")*(H1350&lt;=($M$3*60+$N$3)/86400)</f>
        <v>0</v>
      </c>
      <c r="N1350" s="16"/>
      <c r="O1350" s="15"/>
    </row>
    <row r="1351" customFormat="false" ht="25.35" hidden="false" customHeight="false" outlineLevel="0" collapsed="false">
      <c r="A1351" s="9" t="n">
        <v>1345</v>
      </c>
      <c r="B1351" s="10" t="s">
        <v>1954</v>
      </c>
      <c r="C1351" s="10" t="s">
        <v>1297</v>
      </c>
      <c r="D1351" s="11"/>
      <c r="E1351" s="12"/>
      <c r="F1351" s="11" t="n">
        <v>0.00728912037037037</v>
      </c>
      <c r="G1351" s="12" t="n">
        <v>629</v>
      </c>
      <c r="H1351" s="11"/>
      <c r="I1351" s="12"/>
      <c r="J1351" s="12" t="n">
        <f aca="false">COUNT(E1351,G1351,I1351)</f>
        <v>1</v>
      </c>
      <c r="K1351" s="13" t="n">
        <f aca="false">MIN(E1351,G1351,I1351)</f>
        <v>629</v>
      </c>
      <c r="L1351" s="9" t="str">
        <f aca="false">IF(E1351=K1351,"5000m",IF(G1351=K1351,"3000mSC","1500m"))</f>
        <v>3000mSC</v>
      </c>
      <c r="M1351" s="14" t="n">
        <f aca="false">(D1351&lt;&gt;"")*(D1351&lt;=($E$3*60+$F$3)/86400)+(F1351&lt;&gt;"")*(F1351&lt;=($I$3*60+$J$3)/86400)+(H1351&lt;&gt;"")*(H1351&lt;=($M$3*60+$N$3)/86400)</f>
        <v>0</v>
      </c>
      <c r="N1351" s="16"/>
      <c r="O1351" s="15"/>
    </row>
    <row r="1352" customFormat="false" ht="15" hidden="false" customHeight="false" outlineLevel="0" collapsed="false">
      <c r="A1352" s="9" t="n">
        <v>1346</v>
      </c>
      <c r="B1352" s="10" t="s">
        <v>1955</v>
      </c>
      <c r="C1352" s="10" t="s">
        <v>1690</v>
      </c>
      <c r="D1352" s="11"/>
      <c r="E1352" s="12"/>
      <c r="F1352" s="11"/>
      <c r="G1352" s="12"/>
      <c r="H1352" s="11" t="n">
        <v>0.00285914351851852</v>
      </c>
      <c r="I1352" s="12" t="n">
        <v>629</v>
      </c>
      <c r="J1352" s="12" t="n">
        <f aca="false">COUNT(E1352,G1352,I1352)</f>
        <v>1</v>
      </c>
      <c r="K1352" s="13" t="n">
        <f aca="false">MIN(E1352,G1352,I1352)</f>
        <v>629</v>
      </c>
      <c r="L1352" s="9" t="str">
        <f aca="false">IF(E1352=K1352,"5000m",IF(G1352=K1352,"3000mSC","1500m"))</f>
        <v>1500m</v>
      </c>
      <c r="M1352" s="14" t="n">
        <f aca="false">(D1352&lt;&gt;"")*(D1352&lt;=($E$3*60+$F$3)/86400)+(F1352&lt;&gt;"")*(F1352&lt;=($I$3*60+$J$3)/86400)+(H1352&lt;&gt;"")*(H1352&lt;=($M$3*60+$N$3)/86400)</f>
        <v>0</v>
      </c>
      <c r="N1352" s="16"/>
      <c r="O1352" s="15"/>
    </row>
    <row r="1353" customFormat="false" ht="25.35" hidden="false" customHeight="false" outlineLevel="0" collapsed="false">
      <c r="A1353" s="9" t="n">
        <v>1347</v>
      </c>
      <c r="B1353" s="10" t="s">
        <v>1956</v>
      </c>
      <c r="C1353" s="10" t="s">
        <v>534</v>
      </c>
      <c r="D1353" s="11" t="n">
        <v>0.0107538194444444</v>
      </c>
      <c r="E1353" s="12" t="n">
        <v>673</v>
      </c>
      <c r="F1353" s="11" t="n">
        <v>0.007290625</v>
      </c>
      <c r="G1353" s="12" t="n">
        <v>630</v>
      </c>
      <c r="H1353" s="11"/>
      <c r="I1353" s="12"/>
      <c r="J1353" s="12" t="n">
        <f aca="false">COUNT(E1353,G1353,I1353)</f>
        <v>2</v>
      </c>
      <c r="K1353" s="13" t="n">
        <f aca="false">MIN(E1353,G1353,I1353)</f>
        <v>630</v>
      </c>
      <c r="L1353" s="9" t="str">
        <f aca="false">IF(E1353=K1353,"5000m",IF(G1353=K1353,"3000mSC","1500m"))</f>
        <v>3000mSC</v>
      </c>
      <c r="M1353" s="14" t="n">
        <f aca="false">(D1353&lt;&gt;"")*(D1353&lt;=($E$3*60+$F$3)/86400)+(F1353&lt;&gt;"")*(F1353&lt;=($I$3*60+$J$3)/86400)+(H1353&lt;&gt;"")*(H1353&lt;=($M$3*60+$N$3)/86400)</f>
        <v>0</v>
      </c>
      <c r="N1353" s="16"/>
      <c r="O1353" s="15"/>
    </row>
    <row r="1354" customFormat="false" ht="25.35" hidden="false" customHeight="false" outlineLevel="0" collapsed="false">
      <c r="A1354" s="9" t="n">
        <v>1348</v>
      </c>
      <c r="B1354" s="10" t="s">
        <v>1957</v>
      </c>
      <c r="C1354" s="10" t="s">
        <v>1958</v>
      </c>
      <c r="D1354" s="11"/>
      <c r="E1354" s="12"/>
      <c r="F1354" s="11" t="n">
        <v>0.00729085648148148</v>
      </c>
      <c r="G1354" s="12" t="n">
        <v>631</v>
      </c>
      <c r="H1354" s="11" t="n">
        <v>0.00291111111111111</v>
      </c>
      <c r="I1354" s="12" t="n">
        <v>1030</v>
      </c>
      <c r="J1354" s="12" t="n">
        <f aca="false">COUNT(E1354,G1354,I1354)</f>
        <v>2</v>
      </c>
      <c r="K1354" s="13" t="n">
        <f aca="false">MIN(E1354,G1354,I1354)</f>
        <v>631</v>
      </c>
      <c r="L1354" s="9" t="str">
        <f aca="false">IF(E1354=K1354,"5000m",IF(G1354=K1354,"3000mSC","1500m"))</f>
        <v>3000mSC</v>
      </c>
      <c r="M1354" s="14" t="n">
        <f aca="false">(D1354&lt;&gt;"")*(D1354&lt;=($E$3*60+$F$3)/86400)+(F1354&lt;&gt;"")*(F1354&lt;=($I$3*60+$J$3)/86400)+(H1354&lt;&gt;"")*(H1354&lt;=($M$3*60+$N$3)/86400)</f>
        <v>0</v>
      </c>
      <c r="N1354" s="16"/>
      <c r="O1354" s="15"/>
    </row>
    <row r="1355" customFormat="false" ht="15" hidden="false" customHeight="false" outlineLevel="0" collapsed="false">
      <c r="A1355" s="9" t="n">
        <v>1349</v>
      </c>
      <c r="B1355" s="10" t="s">
        <v>1959</v>
      </c>
      <c r="C1355" s="10" t="s">
        <v>1130</v>
      </c>
      <c r="D1355" s="11" t="n">
        <v>0.0107291666666667</v>
      </c>
      <c r="E1355" s="12" t="n">
        <v>631</v>
      </c>
      <c r="F1355" s="11"/>
      <c r="G1355" s="12"/>
      <c r="H1355" s="11" t="n">
        <v>0.0029412037037037</v>
      </c>
      <c r="I1355" s="12" t="n">
        <v>1203</v>
      </c>
      <c r="J1355" s="12" t="n">
        <f aca="false">COUNT(E1355,G1355,I1355)</f>
        <v>2</v>
      </c>
      <c r="K1355" s="13" t="n">
        <f aca="false">MIN(E1355,G1355,I1355)</f>
        <v>631</v>
      </c>
      <c r="L1355" s="9" t="str">
        <f aca="false">IF(E1355=K1355,"5000m",IF(G1355=K1355,"3000mSC","1500m"))</f>
        <v>5000m</v>
      </c>
      <c r="M1355" s="14" t="n">
        <f aca="false">(D1355&lt;&gt;"")*(D1355&lt;=($E$3*60+$F$3)/86400)+(F1355&lt;&gt;"")*(F1355&lt;=($I$3*60+$J$3)/86400)+(H1355&lt;&gt;"")*(H1355&lt;=($M$3*60+$N$3)/86400)</f>
        <v>0</v>
      </c>
      <c r="N1355" s="16"/>
      <c r="O1355" s="15"/>
    </row>
    <row r="1356" customFormat="false" ht="15" hidden="false" customHeight="false" outlineLevel="0" collapsed="false">
      <c r="A1356" s="9" t="n">
        <v>1350</v>
      </c>
      <c r="B1356" s="10" t="s">
        <v>1960</v>
      </c>
      <c r="C1356" s="10" t="s">
        <v>1038</v>
      </c>
      <c r="D1356" s="11"/>
      <c r="E1356" s="12"/>
      <c r="F1356" s="11"/>
      <c r="G1356" s="12"/>
      <c r="H1356" s="11" t="n">
        <v>0.00285925925925926</v>
      </c>
      <c r="I1356" s="12" t="n">
        <v>631</v>
      </c>
      <c r="J1356" s="12" t="n">
        <f aca="false">COUNT(E1356,G1356,I1356)</f>
        <v>1</v>
      </c>
      <c r="K1356" s="13" t="n">
        <f aca="false">MIN(E1356,G1356,I1356)</f>
        <v>631</v>
      </c>
      <c r="L1356" s="9" t="str">
        <f aca="false">IF(E1356=K1356,"5000m",IF(G1356=K1356,"3000mSC","1500m"))</f>
        <v>1500m</v>
      </c>
      <c r="M1356" s="14" t="n">
        <f aca="false">(D1356&lt;&gt;"")*(D1356&lt;=($E$3*60+$F$3)/86400)+(F1356&lt;&gt;"")*(F1356&lt;=($I$3*60+$J$3)/86400)+(H1356&lt;&gt;"")*(H1356&lt;=($M$3*60+$N$3)/86400)</f>
        <v>0</v>
      </c>
      <c r="N1356" s="16"/>
      <c r="O1356" s="15"/>
    </row>
    <row r="1357" customFormat="false" ht="25.35" hidden="false" customHeight="false" outlineLevel="0" collapsed="false">
      <c r="A1357" s="9" t="n">
        <v>1351</v>
      </c>
      <c r="B1357" s="10" t="s">
        <v>1961</v>
      </c>
      <c r="C1357" s="10" t="s">
        <v>1962</v>
      </c>
      <c r="D1357" s="11"/>
      <c r="E1357" s="12"/>
      <c r="F1357" s="11" t="n">
        <v>0.00729189814814815</v>
      </c>
      <c r="G1357" s="12" t="n">
        <v>632</v>
      </c>
      <c r="H1357" s="11"/>
      <c r="I1357" s="12"/>
      <c r="J1357" s="12" t="n">
        <f aca="false">COUNT(E1357,G1357,I1357)</f>
        <v>1</v>
      </c>
      <c r="K1357" s="13" t="n">
        <f aca="false">MIN(E1357,G1357,I1357)</f>
        <v>632</v>
      </c>
      <c r="L1357" s="9" t="str">
        <f aca="false">IF(E1357=K1357,"5000m",IF(G1357=K1357,"3000mSC","1500m"))</f>
        <v>3000mSC</v>
      </c>
      <c r="M1357" s="14" t="n">
        <f aca="false">(D1357&lt;&gt;"")*(D1357&lt;=($E$3*60+$F$3)/86400)+(F1357&lt;&gt;"")*(F1357&lt;=($I$3*60+$J$3)/86400)+(H1357&lt;&gt;"")*(H1357&lt;=($M$3*60+$N$3)/86400)</f>
        <v>0</v>
      </c>
      <c r="N1357" s="16"/>
      <c r="O1357" s="15"/>
    </row>
    <row r="1358" customFormat="false" ht="25.35" hidden="false" customHeight="false" outlineLevel="0" collapsed="false">
      <c r="A1358" s="9" t="n">
        <v>1352</v>
      </c>
      <c r="B1358" s="10" t="s">
        <v>1963</v>
      </c>
      <c r="C1358" s="10" t="s">
        <v>656</v>
      </c>
      <c r="D1358" s="11"/>
      <c r="E1358" s="12"/>
      <c r="F1358" s="11" t="n">
        <v>0.00729236111111111</v>
      </c>
      <c r="G1358" s="12" t="n">
        <v>633</v>
      </c>
      <c r="H1358" s="11"/>
      <c r="I1358" s="12"/>
      <c r="J1358" s="12" t="n">
        <f aca="false">COUNT(E1358,G1358,I1358)</f>
        <v>1</v>
      </c>
      <c r="K1358" s="13" t="n">
        <f aca="false">MIN(E1358,G1358,I1358)</f>
        <v>633</v>
      </c>
      <c r="L1358" s="9" t="str">
        <f aca="false">IF(E1358=K1358,"5000m",IF(G1358=K1358,"3000mSC","1500m"))</f>
        <v>3000mSC</v>
      </c>
      <c r="M1358" s="14" t="n">
        <f aca="false">(D1358&lt;&gt;"")*(D1358&lt;=($E$3*60+$F$3)/86400)+(F1358&lt;&gt;"")*(F1358&lt;=($I$3*60+$J$3)/86400)+(H1358&lt;&gt;"")*(H1358&lt;=($M$3*60+$N$3)/86400)</f>
        <v>0</v>
      </c>
      <c r="N1358" s="16"/>
      <c r="O1358" s="15"/>
    </row>
    <row r="1359" customFormat="false" ht="15" hidden="false" customHeight="false" outlineLevel="0" collapsed="false">
      <c r="A1359" s="9" t="n">
        <v>1353</v>
      </c>
      <c r="B1359" s="10" t="s">
        <v>1964</v>
      </c>
      <c r="C1359" s="10" t="s">
        <v>1897</v>
      </c>
      <c r="D1359" s="11" t="n">
        <v>0.0110046296296296</v>
      </c>
      <c r="E1359" s="12" t="n">
        <v>1101</v>
      </c>
      <c r="F1359" s="11"/>
      <c r="G1359" s="12"/>
      <c r="H1359" s="11" t="n">
        <v>0.0028599537037037</v>
      </c>
      <c r="I1359" s="12" t="n">
        <v>634</v>
      </c>
      <c r="J1359" s="12" t="n">
        <f aca="false">COUNT(E1359,G1359,I1359)</f>
        <v>2</v>
      </c>
      <c r="K1359" s="13" t="n">
        <f aca="false">MIN(E1359,G1359,I1359)</f>
        <v>634</v>
      </c>
      <c r="L1359" s="9" t="str">
        <f aca="false">IF(E1359=K1359,"5000m",IF(G1359=K1359,"3000mSC","1500m"))</f>
        <v>1500m</v>
      </c>
      <c r="M1359" s="14" t="n">
        <f aca="false">(D1359&lt;&gt;"")*(D1359&lt;=($E$3*60+$F$3)/86400)+(F1359&lt;&gt;"")*(F1359&lt;=($I$3*60+$J$3)/86400)+(H1359&lt;&gt;"")*(H1359&lt;=($M$3*60+$N$3)/86400)</f>
        <v>0</v>
      </c>
      <c r="N1359" s="16"/>
      <c r="O1359" s="15"/>
    </row>
    <row r="1360" customFormat="false" ht="25.35" hidden="false" customHeight="false" outlineLevel="0" collapsed="false">
      <c r="A1360" s="9" t="n">
        <v>1354</v>
      </c>
      <c r="B1360" s="10" t="s">
        <v>1965</v>
      </c>
      <c r="C1360" s="10" t="s">
        <v>995</v>
      </c>
      <c r="D1360" s="11"/>
      <c r="E1360" s="12"/>
      <c r="F1360" s="11" t="n">
        <v>0.00729236111111111</v>
      </c>
      <c r="G1360" s="12" t="n">
        <v>634</v>
      </c>
      <c r="H1360" s="11"/>
      <c r="I1360" s="12"/>
      <c r="J1360" s="12" t="n">
        <f aca="false">COUNT(E1360,G1360,I1360)</f>
        <v>1</v>
      </c>
      <c r="K1360" s="13" t="n">
        <f aca="false">MIN(E1360,G1360,I1360)</f>
        <v>634</v>
      </c>
      <c r="L1360" s="9" t="str">
        <f aca="false">IF(E1360=K1360,"5000m",IF(G1360=K1360,"3000mSC","1500m"))</f>
        <v>3000mSC</v>
      </c>
      <c r="M1360" s="14" t="n">
        <f aca="false">(D1360&lt;&gt;"")*(D1360&lt;=($E$3*60+$F$3)/86400)+(F1360&lt;&gt;"")*(F1360&lt;=($I$3*60+$J$3)/86400)+(H1360&lt;&gt;"")*(H1360&lt;=($M$3*60+$N$3)/86400)</f>
        <v>0</v>
      </c>
      <c r="N1360" s="16"/>
      <c r="O1360" s="15"/>
    </row>
    <row r="1361" customFormat="false" ht="25.35" hidden="false" customHeight="false" outlineLevel="0" collapsed="false">
      <c r="A1361" s="9" t="n">
        <v>1355</v>
      </c>
      <c r="B1361" s="10" t="s">
        <v>1966</v>
      </c>
      <c r="C1361" s="10" t="s">
        <v>1199</v>
      </c>
      <c r="D1361" s="11"/>
      <c r="E1361" s="12"/>
      <c r="F1361" s="11" t="n">
        <v>0.00729409722222222</v>
      </c>
      <c r="G1361" s="12" t="n">
        <v>635</v>
      </c>
      <c r="H1361" s="11"/>
      <c r="I1361" s="12"/>
      <c r="J1361" s="12" t="n">
        <f aca="false">COUNT(E1361,G1361,I1361)</f>
        <v>1</v>
      </c>
      <c r="K1361" s="13" t="n">
        <f aca="false">MIN(E1361,G1361,I1361)</f>
        <v>635</v>
      </c>
      <c r="L1361" s="9" t="str">
        <f aca="false">IF(E1361=K1361,"5000m",IF(G1361=K1361,"3000mSC","1500m"))</f>
        <v>3000mSC</v>
      </c>
      <c r="M1361" s="14" t="n">
        <f aca="false">(D1361&lt;&gt;"")*(D1361&lt;=($E$3*60+$F$3)/86400)+(F1361&lt;&gt;"")*(F1361&lt;=($I$3*60+$J$3)/86400)+(H1361&lt;&gt;"")*(H1361&lt;=($M$3*60+$N$3)/86400)</f>
        <v>0</v>
      </c>
      <c r="N1361" s="16"/>
      <c r="O1361" s="15"/>
    </row>
    <row r="1362" customFormat="false" ht="25.35" hidden="false" customHeight="false" outlineLevel="0" collapsed="false">
      <c r="A1362" s="9" t="n">
        <v>1356</v>
      </c>
      <c r="B1362" s="10" t="s">
        <v>1967</v>
      </c>
      <c r="C1362" s="10" t="s">
        <v>1968</v>
      </c>
      <c r="D1362" s="11"/>
      <c r="E1362" s="12"/>
      <c r="F1362" s="11" t="n">
        <v>0.00729421296296296</v>
      </c>
      <c r="G1362" s="12" t="n">
        <v>636</v>
      </c>
      <c r="H1362" s="11"/>
      <c r="I1362" s="12"/>
      <c r="J1362" s="12" t="n">
        <f aca="false">COUNT(E1362,G1362,I1362)</f>
        <v>1</v>
      </c>
      <c r="K1362" s="13" t="n">
        <f aca="false">MIN(E1362,G1362,I1362)</f>
        <v>636</v>
      </c>
      <c r="L1362" s="9" t="str">
        <f aca="false">IF(E1362=K1362,"5000m",IF(G1362=K1362,"3000mSC","1500m"))</f>
        <v>3000mSC</v>
      </c>
      <c r="M1362" s="14" t="n">
        <f aca="false">(D1362&lt;&gt;"")*(D1362&lt;=($E$3*60+$F$3)/86400)+(F1362&lt;&gt;"")*(F1362&lt;=($I$3*60+$J$3)/86400)+(H1362&lt;&gt;"")*(H1362&lt;=($M$3*60+$N$3)/86400)</f>
        <v>0</v>
      </c>
      <c r="N1362" s="16"/>
      <c r="O1362" s="15"/>
    </row>
    <row r="1363" customFormat="false" ht="25.35" hidden="false" customHeight="false" outlineLevel="0" collapsed="false">
      <c r="A1363" s="9" t="n">
        <v>1357</v>
      </c>
      <c r="B1363" s="10" t="s">
        <v>1969</v>
      </c>
      <c r="C1363" s="10" t="s">
        <v>1970</v>
      </c>
      <c r="D1363" s="11"/>
      <c r="E1363" s="12"/>
      <c r="F1363" s="11" t="n">
        <v>0.00729444444444445</v>
      </c>
      <c r="G1363" s="12" t="n">
        <v>637</v>
      </c>
      <c r="H1363" s="11"/>
      <c r="I1363" s="12"/>
      <c r="J1363" s="12" t="n">
        <f aca="false">COUNT(E1363,G1363,I1363)</f>
        <v>1</v>
      </c>
      <c r="K1363" s="13" t="n">
        <f aca="false">MIN(E1363,G1363,I1363)</f>
        <v>637</v>
      </c>
      <c r="L1363" s="9" t="str">
        <f aca="false">IF(E1363=K1363,"5000m",IF(G1363=K1363,"3000mSC","1500m"))</f>
        <v>3000mSC</v>
      </c>
      <c r="M1363" s="14" t="n">
        <f aca="false">(D1363&lt;&gt;"")*(D1363&lt;=($E$3*60+$F$3)/86400)+(F1363&lt;&gt;"")*(F1363&lt;=($I$3*60+$J$3)/86400)+(H1363&lt;&gt;"")*(H1363&lt;=($M$3*60+$N$3)/86400)</f>
        <v>0</v>
      </c>
      <c r="N1363" s="16"/>
      <c r="O1363" s="15"/>
    </row>
    <row r="1364" customFormat="false" ht="15" hidden="false" customHeight="false" outlineLevel="0" collapsed="false">
      <c r="A1364" s="9" t="n">
        <v>1358</v>
      </c>
      <c r="B1364" s="10" t="s">
        <v>1971</v>
      </c>
      <c r="C1364" s="10" t="s">
        <v>1972</v>
      </c>
      <c r="D1364" s="11" t="n">
        <v>0.0107325231481482</v>
      </c>
      <c r="E1364" s="12" t="n">
        <v>638</v>
      </c>
      <c r="F1364" s="11"/>
      <c r="G1364" s="12"/>
      <c r="H1364" s="11"/>
      <c r="I1364" s="12"/>
      <c r="J1364" s="12" t="n">
        <f aca="false">COUNT(E1364,G1364,I1364)</f>
        <v>1</v>
      </c>
      <c r="K1364" s="13" t="n">
        <f aca="false">MIN(E1364,G1364,I1364)</f>
        <v>638</v>
      </c>
      <c r="L1364" s="9" t="str">
        <f aca="false">IF(E1364=K1364,"5000m",IF(G1364=K1364,"3000mSC","1500m"))</f>
        <v>5000m</v>
      </c>
      <c r="M1364" s="14" t="n">
        <f aca="false">(D1364&lt;&gt;"")*(D1364&lt;=($E$3*60+$F$3)/86400)+(F1364&lt;&gt;"")*(F1364&lt;=($I$3*60+$J$3)/86400)+(H1364&lt;&gt;"")*(H1364&lt;=($M$3*60+$N$3)/86400)</f>
        <v>0</v>
      </c>
      <c r="N1364" s="16"/>
      <c r="O1364" s="15"/>
    </row>
    <row r="1365" customFormat="false" ht="25.35" hidden="false" customHeight="false" outlineLevel="0" collapsed="false">
      <c r="A1365" s="9" t="n">
        <v>1359</v>
      </c>
      <c r="B1365" s="10" t="s">
        <v>1973</v>
      </c>
      <c r="C1365" s="10" t="s">
        <v>422</v>
      </c>
      <c r="D1365" s="11"/>
      <c r="E1365" s="12"/>
      <c r="F1365" s="11" t="n">
        <v>0.00729456018518519</v>
      </c>
      <c r="G1365" s="12" t="n">
        <v>638</v>
      </c>
      <c r="H1365" s="11"/>
      <c r="I1365" s="12"/>
      <c r="J1365" s="12" t="n">
        <f aca="false">COUNT(E1365,G1365,I1365)</f>
        <v>1</v>
      </c>
      <c r="K1365" s="13" t="n">
        <f aca="false">MIN(E1365,G1365,I1365)</f>
        <v>638</v>
      </c>
      <c r="L1365" s="9" t="str">
        <f aca="false">IF(E1365=K1365,"5000m",IF(G1365=K1365,"3000mSC","1500m"))</f>
        <v>3000mSC</v>
      </c>
      <c r="M1365" s="14" t="n">
        <f aca="false">(D1365&lt;&gt;"")*(D1365&lt;=($E$3*60+$F$3)/86400)+(F1365&lt;&gt;"")*(F1365&lt;=($I$3*60+$J$3)/86400)+(H1365&lt;&gt;"")*(H1365&lt;=($M$3*60+$N$3)/86400)</f>
        <v>0</v>
      </c>
      <c r="N1365" s="16"/>
      <c r="O1365" s="15"/>
    </row>
    <row r="1366" customFormat="false" ht="15" hidden="false" customHeight="false" outlineLevel="0" collapsed="false">
      <c r="A1366" s="9" t="n">
        <v>1360</v>
      </c>
      <c r="B1366" s="10" t="s">
        <v>1974</v>
      </c>
      <c r="C1366" s="10" t="s">
        <v>1975</v>
      </c>
      <c r="D1366" s="11"/>
      <c r="E1366" s="12"/>
      <c r="F1366" s="11"/>
      <c r="G1366" s="12"/>
      <c r="H1366" s="11" t="n">
        <v>0.00286087962962963</v>
      </c>
      <c r="I1366" s="12" t="n">
        <v>638</v>
      </c>
      <c r="J1366" s="12" t="n">
        <f aca="false">COUNT(E1366,G1366,I1366)</f>
        <v>1</v>
      </c>
      <c r="K1366" s="13" t="n">
        <f aca="false">MIN(E1366,G1366,I1366)</f>
        <v>638</v>
      </c>
      <c r="L1366" s="9" t="str">
        <f aca="false">IF(E1366=K1366,"5000m",IF(G1366=K1366,"3000mSC","1500m"))</f>
        <v>1500m</v>
      </c>
      <c r="M1366" s="14" t="n">
        <f aca="false">(D1366&lt;&gt;"")*(D1366&lt;=($E$3*60+$F$3)/86400)+(F1366&lt;&gt;"")*(F1366&lt;=($I$3*60+$J$3)/86400)+(H1366&lt;&gt;"")*(H1366&lt;=($M$3*60+$N$3)/86400)</f>
        <v>0</v>
      </c>
      <c r="N1366" s="16"/>
      <c r="O1366" s="15"/>
    </row>
    <row r="1367" customFormat="false" ht="25.35" hidden="false" customHeight="false" outlineLevel="0" collapsed="false">
      <c r="A1367" s="9" t="n">
        <v>1361</v>
      </c>
      <c r="B1367" s="10" t="s">
        <v>1976</v>
      </c>
      <c r="C1367" s="10" t="s">
        <v>1747</v>
      </c>
      <c r="D1367" s="11"/>
      <c r="E1367" s="12"/>
      <c r="F1367" s="11" t="n">
        <v>0.00729537037037037</v>
      </c>
      <c r="G1367" s="12" t="n">
        <v>639</v>
      </c>
      <c r="H1367" s="11"/>
      <c r="I1367" s="12"/>
      <c r="J1367" s="12" t="n">
        <f aca="false">COUNT(E1367,G1367,I1367)</f>
        <v>1</v>
      </c>
      <c r="K1367" s="13" t="n">
        <f aca="false">MIN(E1367,G1367,I1367)</f>
        <v>639</v>
      </c>
      <c r="L1367" s="9" t="str">
        <f aca="false">IF(E1367=K1367,"5000m",IF(G1367=K1367,"3000mSC","1500m"))</f>
        <v>3000mSC</v>
      </c>
      <c r="M1367" s="14" t="n">
        <f aca="false">(D1367&lt;&gt;"")*(D1367&lt;=($E$3*60+$F$3)/86400)+(F1367&lt;&gt;"")*(F1367&lt;=($I$3*60+$J$3)/86400)+(H1367&lt;&gt;"")*(H1367&lt;=($M$3*60+$N$3)/86400)</f>
        <v>0</v>
      </c>
      <c r="N1367" s="16"/>
      <c r="O1367" s="15"/>
    </row>
    <row r="1368" customFormat="false" ht="15" hidden="false" customHeight="false" outlineLevel="0" collapsed="false">
      <c r="A1368" s="9" t="n">
        <v>1362</v>
      </c>
      <c r="B1368" s="10" t="s">
        <v>1977</v>
      </c>
      <c r="C1368" s="10" t="s">
        <v>377</v>
      </c>
      <c r="D1368" s="11"/>
      <c r="E1368" s="12"/>
      <c r="F1368" s="11"/>
      <c r="G1368" s="12"/>
      <c r="H1368" s="11" t="n">
        <v>0.00286099537037037</v>
      </c>
      <c r="I1368" s="12" t="n">
        <v>639</v>
      </c>
      <c r="J1368" s="12" t="n">
        <f aca="false">COUNT(E1368,G1368,I1368)</f>
        <v>1</v>
      </c>
      <c r="K1368" s="13" t="n">
        <f aca="false">MIN(E1368,G1368,I1368)</f>
        <v>639</v>
      </c>
      <c r="L1368" s="9" t="str">
        <f aca="false">IF(E1368=K1368,"5000m",IF(G1368=K1368,"3000mSC","1500m"))</f>
        <v>1500m</v>
      </c>
      <c r="M1368" s="14" t="n">
        <f aca="false">(D1368&lt;&gt;"")*(D1368&lt;=($E$3*60+$F$3)/86400)+(F1368&lt;&gt;"")*(F1368&lt;=($I$3*60+$J$3)/86400)+(H1368&lt;&gt;"")*(H1368&lt;=($M$3*60+$N$3)/86400)</f>
        <v>0</v>
      </c>
      <c r="N1368" s="16"/>
      <c r="O1368" s="15"/>
    </row>
    <row r="1369" customFormat="false" ht="25.35" hidden="false" customHeight="false" outlineLevel="0" collapsed="false">
      <c r="A1369" s="9" t="n">
        <v>1363</v>
      </c>
      <c r="B1369" s="10" t="s">
        <v>1978</v>
      </c>
      <c r="C1369" s="10" t="s">
        <v>1979</v>
      </c>
      <c r="D1369" s="11"/>
      <c r="E1369" s="12"/>
      <c r="F1369" s="11" t="n">
        <v>0.00729664351851852</v>
      </c>
      <c r="G1369" s="12" t="n">
        <v>640</v>
      </c>
      <c r="H1369" s="11"/>
      <c r="I1369" s="12"/>
      <c r="J1369" s="12" t="n">
        <f aca="false">COUNT(E1369,G1369,I1369)</f>
        <v>1</v>
      </c>
      <c r="K1369" s="13" t="n">
        <f aca="false">MIN(E1369,G1369,I1369)</f>
        <v>640</v>
      </c>
      <c r="L1369" s="9" t="str">
        <f aca="false">IF(E1369=K1369,"5000m",IF(G1369=K1369,"3000mSC","1500m"))</f>
        <v>3000mSC</v>
      </c>
      <c r="M1369" s="14" t="n">
        <f aca="false">(D1369&lt;&gt;"")*(D1369&lt;=($E$3*60+$F$3)/86400)+(F1369&lt;&gt;"")*(F1369&lt;=($I$3*60+$J$3)/86400)+(H1369&lt;&gt;"")*(H1369&lt;=($M$3*60+$N$3)/86400)</f>
        <v>0</v>
      </c>
      <c r="N1369" s="16"/>
      <c r="O1369" s="15"/>
    </row>
    <row r="1370" customFormat="false" ht="15" hidden="false" customHeight="false" outlineLevel="0" collapsed="false">
      <c r="A1370" s="9" t="n">
        <v>1364</v>
      </c>
      <c r="B1370" s="10" t="s">
        <v>1980</v>
      </c>
      <c r="C1370" s="10" t="s">
        <v>848</v>
      </c>
      <c r="D1370" s="11" t="n">
        <v>0.0108413194444445</v>
      </c>
      <c r="E1370" s="12" t="n">
        <v>814</v>
      </c>
      <c r="F1370" s="11"/>
      <c r="G1370" s="12"/>
      <c r="H1370" s="11" t="n">
        <v>0.00286111111111111</v>
      </c>
      <c r="I1370" s="12" t="n">
        <v>641</v>
      </c>
      <c r="J1370" s="12" t="n">
        <f aca="false">COUNT(E1370,G1370,I1370)</f>
        <v>2</v>
      </c>
      <c r="K1370" s="13" t="n">
        <f aca="false">MIN(E1370,G1370,I1370)</f>
        <v>641</v>
      </c>
      <c r="L1370" s="9" t="str">
        <f aca="false">IF(E1370=K1370,"5000m",IF(G1370=K1370,"3000mSC","1500m"))</f>
        <v>1500m</v>
      </c>
      <c r="M1370" s="14" t="n">
        <f aca="false">(D1370&lt;&gt;"")*(D1370&lt;=($E$3*60+$F$3)/86400)+(F1370&lt;&gt;"")*(F1370&lt;=($I$3*60+$J$3)/86400)+(H1370&lt;&gt;"")*(H1370&lt;=($M$3*60+$N$3)/86400)</f>
        <v>0</v>
      </c>
      <c r="N1370" s="16"/>
      <c r="O1370" s="15"/>
    </row>
    <row r="1371" customFormat="false" ht="25.35" hidden="false" customHeight="false" outlineLevel="0" collapsed="false">
      <c r="A1371" s="9" t="n">
        <v>1365</v>
      </c>
      <c r="B1371" s="10" t="s">
        <v>1981</v>
      </c>
      <c r="C1371" s="10" t="s">
        <v>1982</v>
      </c>
      <c r="D1371" s="11"/>
      <c r="E1371" s="12"/>
      <c r="F1371" s="11" t="n">
        <v>0.00729849537037037</v>
      </c>
      <c r="G1371" s="12" t="n">
        <v>641</v>
      </c>
      <c r="H1371" s="11"/>
      <c r="I1371" s="12"/>
      <c r="J1371" s="12" t="n">
        <f aca="false">COUNT(E1371,G1371,I1371)</f>
        <v>1</v>
      </c>
      <c r="K1371" s="13" t="n">
        <f aca="false">MIN(E1371,G1371,I1371)</f>
        <v>641</v>
      </c>
      <c r="L1371" s="9" t="str">
        <f aca="false">IF(E1371=K1371,"5000m",IF(G1371=K1371,"3000mSC","1500m"))</f>
        <v>3000mSC</v>
      </c>
      <c r="M1371" s="14" t="n">
        <f aca="false">(D1371&lt;&gt;"")*(D1371&lt;=($E$3*60+$F$3)/86400)+(F1371&lt;&gt;"")*(F1371&lt;=($I$3*60+$J$3)/86400)+(H1371&lt;&gt;"")*(H1371&lt;=($M$3*60+$N$3)/86400)</f>
        <v>0</v>
      </c>
      <c r="N1371" s="16"/>
      <c r="O1371" s="15"/>
    </row>
    <row r="1372" customFormat="false" ht="25.35" hidden="false" customHeight="false" outlineLevel="0" collapsed="false">
      <c r="A1372" s="9" t="n">
        <v>1366</v>
      </c>
      <c r="B1372" s="10" t="s">
        <v>1983</v>
      </c>
      <c r="C1372" s="10" t="s">
        <v>190</v>
      </c>
      <c r="D1372" s="11"/>
      <c r="E1372" s="12"/>
      <c r="F1372" s="11" t="n">
        <v>0.00729849537037037</v>
      </c>
      <c r="G1372" s="12" t="n">
        <v>642</v>
      </c>
      <c r="H1372" s="11"/>
      <c r="I1372" s="12"/>
      <c r="J1372" s="12" t="n">
        <f aca="false">COUNT(E1372,G1372,I1372)</f>
        <v>1</v>
      </c>
      <c r="K1372" s="13" t="n">
        <f aca="false">MIN(E1372,G1372,I1372)</f>
        <v>642</v>
      </c>
      <c r="L1372" s="9" t="str">
        <f aca="false">IF(E1372=K1372,"5000m",IF(G1372=K1372,"3000mSC","1500m"))</f>
        <v>3000mSC</v>
      </c>
      <c r="M1372" s="14" t="n">
        <f aca="false">(D1372&lt;&gt;"")*(D1372&lt;=($E$3*60+$F$3)/86400)+(F1372&lt;&gt;"")*(F1372&lt;=($I$3*60+$J$3)/86400)+(H1372&lt;&gt;"")*(H1372&lt;=($M$3*60+$N$3)/86400)</f>
        <v>0</v>
      </c>
      <c r="N1372" s="16"/>
      <c r="O1372" s="15"/>
    </row>
    <row r="1373" customFormat="false" ht="15" hidden="false" customHeight="false" outlineLevel="0" collapsed="false">
      <c r="A1373" s="9" t="n">
        <v>1367</v>
      </c>
      <c r="B1373" s="10" t="s">
        <v>1984</v>
      </c>
      <c r="C1373" s="10" t="s">
        <v>1985</v>
      </c>
      <c r="D1373" s="11"/>
      <c r="E1373" s="12"/>
      <c r="F1373" s="11"/>
      <c r="G1373" s="12"/>
      <c r="H1373" s="11" t="n">
        <v>0.00286134259259259</v>
      </c>
      <c r="I1373" s="12" t="n">
        <v>642</v>
      </c>
      <c r="J1373" s="12" t="n">
        <f aca="false">COUNT(E1373,G1373,I1373)</f>
        <v>1</v>
      </c>
      <c r="K1373" s="13" t="n">
        <f aca="false">MIN(E1373,G1373,I1373)</f>
        <v>642</v>
      </c>
      <c r="L1373" s="9" t="str">
        <f aca="false">IF(E1373=K1373,"5000m",IF(G1373=K1373,"3000mSC","1500m"))</f>
        <v>1500m</v>
      </c>
      <c r="M1373" s="14" t="n">
        <f aca="false">(D1373&lt;&gt;"")*(D1373&lt;=($E$3*60+$F$3)/86400)+(F1373&lt;&gt;"")*(F1373&lt;=($I$3*60+$J$3)/86400)+(H1373&lt;&gt;"")*(H1373&lt;=($M$3*60+$N$3)/86400)</f>
        <v>0</v>
      </c>
      <c r="N1373" s="16"/>
      <c r="O1373" s="15"/>
    </row>
    <row r="1374" customFormat="false" ht="25.35" hidden="false" customHeight="false" outlineLevel="0" collapsed="false">
      <c r="A1374" s="9" t="n">
        <v>1368</v>
      </c>
      <c r="B1374" s="10" t="s">
        <v>1986</v>
      </c>
      <c r="C1374" s="10" t="s">
        <v>1873</v>
      </c>
      <c r="D1374" s="11"/>
      <c r="E1374" s="12"/>
      <c r="F1374" s="11" t="n">
        <v>0.00729872685185185</v>
      </c>
      <c r="G1374" s="12" t="n">
        <v>643</v>
      </c>
      <c r="H1374" s="11"/>
      <c r="I1374" s="12"/>
      <c r="J1374" s="12" t="n">
        <f aca="false">COUNT(E1374,G1374,I1374)</f>
        <v>1</v>
      </c>
      <c r="K1374" s="13" t="n">
        <f aca="false">MIN(E1374,G1374,I1374)</f>
        <v>643</v>
      </c>
      <c r="L1374" s="9" t="str">
        <f aca="false">IF(E1374=K1374,"5000m",IF(G1374=K1374,"3000mSC","1500m"))</f>
        <v>3000mSC</v>
      </c>
      <c r="M1374" s="14" t="n">
        <f aca="false">(D1374&lt;&gt;"")*(D1374&lt;=($E$3*60+$F$3)/86400)+(F1374&lt;&gt;"")*(F1374&lt;=($I$3*60+$J$3)/86400)+(H1374&lt;&gt;"")*(H1374&lt;=($M$3*60+$N$3)/86400)</f>
        <v>0</v>
      </c>
      <c r="N1374" s="16"/>
      <c r="O1374" s="15"/>
    </row>
    <row r="1375" customFormat="false" ht="15" hidden="false" customHeight="false" outlineLevel="0" collapsed="false">
      <c r="A1375" s="9" t="n">
        <v>1369</v>
      </c>
      <c r="B1375" s="10" t="s">
        <v>1987</v>
      </c>
      <c r="C1375" s="10" t="s">
        <v>254</v>
      </c>
      <c r="D1375" s="11" t="n">
        <v>0.0108318287037037</v>
      </c>
      <c r="E1375" s="12" t="n">
        <v>796</v>
      </c>
      <c r="F1375" s="11"/>
      <c r="G1375" s="12"/>
      <c r="H1375" s="11" t="n">
        <v>0.00286180555555556</v>
      </c>
      <c r="I1375" s="12" t="n">
        <v>644</v>
      </c>
      <c r="J1375" s="12" t="n">
        <f aca="false">COUNT(E1375,G1375,I1375)</f>
        <v>2</v>
      </c>
      <c r="K1375" s="13" t="n">
        <f aca="false">MIN(E1375,G1375,I1375)</f>
        <v>644</v>
      </c>
      <c r="L1375" s="9" t="str">
        <f aca="false">IF(E1375=K1375,"5000m",IF(G1375=K1375,"3000mSC","1500m"))</f>
        <v>1500m</v>
      </c>
      <c r="M1375" s="14" t="n">
        <f aca="false">(D1375&lt;&gt;"")*(D1375&lt;=($E$3*60+$F$3)/86400)+(F1375&lt;&gt;"")*(F1375&lt;=($I$3*60+$J$3)/86400)+(H1375&lt;&gt;"")*(H1375&lt;=($M$3*60+$N$3)/86400)</f>
        <v>0</v>
      </c>
      <c r="N1375" s="16"/>
      <c r="O1375" s="15"/>
    </row>
    <row r="1376" customFormat="false" ht="15" hidden="false" customHeight="false" outlineLevel="0" collapsed="false">
      <c r="A1376" s="9" t="n">
        <v>1370</v>
      </c>
      <c r="B1376" s="10" t="s">
        <v>1988</v>
      </c>
      <c r="C1376" s="10" t="s">
        <v>234</v>
      </c>
      <c r="D1376" s="11" t="n">
        <v>0.0107358796296296</v>
      </c>
      <c r="E1376" s="12" t="n">
        <v>644</v>
      </c>
      <c r="F1376" s="11"/>
      <c r="G1376" s="12"/>
      <c r="H1376" s="11" t="n">
        <v>0.00289490740740741</v>
      </c>
      <c r="I1376" s="12" t="n">
        <v>912</v>
      </c>
      <c r="J1376" s="12" t="n">
        <f aca="false">COUNT(E1376,G1376,I1376)</f>
        <v>2</v>
      </c>
      <c r="K1376" s="13" t="n">
        <f aca="false">MIN(E1376,G1376,I1376)</f>
        <v>644</v>
      </c>
      <c r="L1376" s="9" t="str">
        <f aca="false">IF(E1376=K1376,"5000m",IF(G1376=K1376,"3000mSC","1500m"))</f>
        <v>5000m</v>
      </c>
      <c r="M1376" s="14" t="n">
        <f aca="false">(D1376&lt;&gt;"")*(D1376&lt;=($E$3*60+$F$3)/86400)+(F1376&lt;&gt;"")*(F1376&lt;=($I$3*60+$J$3)/86400)+(H1376&lt;&gt;"")*(H1376&lt;=($M$3*60+$N$3)/86400)</f>
        <v>0</v>
      </c>
      <c r="N1376" s="16"/>
      <c r="O1376" s="15"/>
    </row>
    <row r="1377" customFormat="false" ht="25.35" hidden="false" customHeight="false" outlineLevel="0" collapsed="false">
      <c r="A1377" s="9" t="n">
        <v>1371</v>
      </c>
      <c r="B1377" s="10" t="s">
        <v>1989</v>
      </c>
      <c r="C1377" s="10" t="s">
        <v>1990</v>
      </c>
      <c r="D1377" s="11"/>
      <c r="E1377" s="12"/>
      <c r="F1377" s="11" t="n">
        <v>0.00729884259259259</v>
      </c>
      <c r="G1377" s="12" t="n">
        <v>644</v>
      </c>
      <c r="H1377" s="11"/>
      <c r="I1377" s="12"/>
      <c r="J1377" s="12" t="n">
        <f aca="false">COUNT(E1377,G1377,I1377)</f>
        <v>1</v>
      </c>
      <c r="K1377" s="13" t="n">
        <f aca="false">MIN(E1377,G1377,I1377)</f>
        <v>644</v>
      </c>
      <c r="L1377" s="9" t="str">
        <f aca="false">IF(E1377=K1377,"5000m",IF(G1377=K1377,"3000mSC","1500m"))</f>
        <v>3000mSC</v>
      </c>
      <c r="M1377" s="14" t="n">
        <f aca="false">(D1377&lt;&gt;"")*(D1377&lt;=($E$3*60+$F$3)/86400)+(F1377&lt;&gt;"")*(F1377&lt;=($I$3*60+$J$3)/86400)+(H1377&lt;&gt;"")*(H1377&lt;=($M$3*60+$N$3)/86400)</f>
        <v>0</v>
      </c>
      <c r="N1377" s="16"/>
      <c r="O1377" s="15"/>
    </row>
    <row r="1378" customFormat="false" ht="15" hidden="false" customHeight="false" outlineLevel="0" collapsed="false">
      <c r="A1378" s="9" t="n">
        <v>1372</v>
      </c>
      <c r="B1378" s="10" t="s">
        <v>1991</v>
      </c>
      <c r="C1378" s="10" t="s">
        <v>1837</v>
      </c>
      <c r="D1378" s="11" t="n">
        <v>0.0107362268518519</v>
      </c>
      <c r="E1378" s="12" t="n">
        <v>645</v>
      </c>
      <c r="F1378" s="11"/>
      <c r="G1378" s="12"/>
      <c r="H1378" s="11" t="n">
        <v>0.00291956018518519</v>
      </c>
      <c r="I1378" s="12" t="n">
        <v>1091</v>
      </c>
      <c r="J1378" s="12" t="n">
        <f aca="false">COUNT(E1378,G1378,I1378)</f>
        <v>2</v>
      </c>
      <c r="K1378" s="13" t="n">
        <f aca="false">MIN(E1378,G1378,I1378)</f>
        <v>645</v>
      </c>
      <c r="L1378" s="9" t="str">
        <f aca="false">IF(E1378=K1378,"5000m",IF(G1378=K1378,"3000mSC","1500m"))</f>
        <v>5000m</v>
      </c>
      <c r="M1378" s="14" t="n">
        <f aca="false">(D1378&lt;&gt;"")*(D1378&lt;=($E$3*60+$F$3)/86400)+(F1378&lt;&gt;"")*(F1378&lt;=($I$3*60+$J$3)/86400)+(H1378&lt;&gt;"")*(H1378&lt;=($M$3*60+$N$3)/86400)</f>
        <v>0</v>
      </c>
      <c r="N1378" s="16"/>
      <c r="O1378" s="15"/>
    </row>
    <row r="1379" customFormat="false" ht="25.35" hidden="false" customHeight="false" outlineLevel="0" collapsed="false">
      <c r="A1379" s="9" t="n">
        <v>1373</v>
      </c>
      <c r="B1379" s="10" t="s">
        <v>1992</v>
      </c>
      <c r="C1379" s="10" t="s">
        <v>1993</v>
      </c>
      <c r="D1379" s="11"/>
      <c r="E1379" s="12"/>
      <c r="F1379" s="11" t="n">
        <v>0.00729930555555556</v>
      </c>
      <c r="G1379" s="12" t="n">
        <v>645</v>
      </c>
      <c r="H1379" s="11"/>
      <c r="I1379" s="12"/>
      <c r="J1379" s="12" t="n">
        <f aca="false">COUNT(E1379,G1379,I1379)</f>
        <v>1</v>
      </c>
      <c r="K1379" s="13" t="n">
        <f aca="false">MIN(E1379,G1379,I1379)</f>
        <v>645</v>
      </c>
      <c r="L1379" s="9" t="str">
        <f aca="false">IF(E1379=K1379,"5000m",IF(G1379=K1379,"3000mSC","1500m"))</f>
        <v>3000mSC</v>
      </c>
      <c r="M1379" s="14" t="n">
        <f aca="false">(D1379&lt;&gt;"")*(D1379&lt;=($E$3*60+$F$3)/86400)+(F1379&lt;&gt;"")*(F1379&lt;=($I$3*60+$J$3)/86400)+(H1379&lt;&gt;"")*(H1379&lt;=($M$3*60+$N$3)/86400)</f>
        <v>0</v>
      </c>
      <c r="N1379" s="16"/>
      <c r="O1379" s="15"/>
    </row>
    <row r="1380" customFormat="false" ht="15" hidden="false" customHeight="false" outlineLevel="0" collapsed="false">
      <c r="A1380" s="9" t="n">
        <v>1374</v>
      </c>
      <c r="B1380" s="10" t="s">
        <v>1994</v>
      </c>
      <c r="C1380" s="10" t="s">
        <v>1079</v>
      </c>
      <c r="D1380" s="11"/>
      <c r="E1380" s="12"/>
      <c r="F1380" s="11"/>
      <c r="G1380" s="12"/>
      <c r="H1380" s="11" t="n">
        <v>0.0028619212962963</v>
      </c>
      <c r="I1380" s="12" t="n">
        <v>645</v>
      </c>
      <c r="J1380" s="12" t="n">
        <f aca="false">COUNT(E1380,G1380,I1380)</f>
        <v>1</v>
      </c>
      <c r="K1380" s="13" t="n">
        <f aca="false">MIN(E1380,G1380,I1380)</f>
        <v>645</v>
      </c>
      <c r="L1380" s="9" t="str">
        <f aca="false">IF(E1380=K1380,"5000m",IF(G1380=K1380,"3000mSC","1500m"))</f>
        <v>1500m</v>
      </c>
      <c r="M1380" s="14" t="n">
        <f aca="false">(D1380&lt;&gt;"")*(D1380&lt;=($E$3*60+$F$3)/86400)+(F1380&lt;&gt;"")*(F1380&lt;=($I$3*60+$J$3)/86400)+(H1380&lt;&gt;"")*(H1380&lt;=($M$3*60+$N$3)/86400)</f>
        <v>0</v>
      </c>
      <c r="N1380" s="16"/>
      <c r="O1380" s="15"/>
    </row>
    <row r="1381" customFormat="false" ht="25.35" hidden="false" customHeight="false" outlineLevel="0" collapsed="false">
      <c r="A1381" s="9" t="n">
        <v>1375</v>
      </c>
      <c r="B1381" s="10" t="s">
        <v>1995</v>
      </c>
      <c r="C1381" s="10" t="s">
        <v>64</v>
      </c>
      <c r="D1381" s="11" t="n">
        <v>0.0107847222222222</v>
      </c>
      <c r="E1381" s="12" t="n">
        <v>712</v>
      </c>
      <c r="F1381" s="11" t="n">
        <v>0.0072994212962963</v>
      </c>
      <c r="G1381" s="12" t="n">
        <v>646</v>
      </c>
      <c r="H1381" s="11" t="n">
        <v>0.00289733796296296</v>
      </c>
      <c r="I1381" s="12" t="n">
        <v>927</v>
      </c>
      <c r="J1381" s="12" t="n">
        <f aca="false">COUNT(E1381,G1381,I1381)</f>
        <v>3</v>
      </c>
      <c r="K1381" s="13" t="n">
        <f aca="false">MIN(E1381,G1381,I1381)</f>
        <v>646</v>
      </c>
      <c r="L1381" s="9" t="str">
        <f aca="false">IF(E1381=K1381,"5000m",IF(G1381=K1381,"3000mSC","1500m"))</f>
        <v>3000mSC</v>
      </c>
      <c r="M1381" s="14" t="n">
        <f aca="false">(D1381&lt;&gt;"")*(D1381&lt;=($E$3*60+$F$3)/86400)+(F1381&lt;&gt;"")*(F1381&lt;=($I$3*60+$J$3)/86400)+(H1381&lt;&gt;"")*(H1381&lt;=($M$3*60+$N$3)/86400)</f>
        <v>0</v>
      </c>
      <c r="N1381" s="16"/>
      <c r="O1381" s="15"/>
    </row>
    <row r="1382" customFormat="false" ht="15" hidden="false" customHeight="false" outlineLevel="0" collapsed="false">
      <c r="A1382" s="9" t="n">
        <v>1376</v>
      </c>
      <c r="B1382" s="10" t="s">
        <v>1996</v>
      </c>
      <c r="C1382" s="10" t="s">
        <v>917</v>
      </c>
      <c r="D1382" s="11" t="n">
        <v>0.0107369212962963</v>
      </c>
      <c r="E1382" s="12" t="n">
        <v>646</v>
      </c>
      <c r="F1382" s="11"/>
      <c r="G1382" s="12"/>
      <c r="H1382" s="11"/>
      <c r="I1382" s="12"/>
      <c r="J1382" s="12" t="n">
        <f aca="false">COUNT(E1382,G1382,I1382)</f>
        <v>1</v>
      </c>
      <c r="K1382" s="13" t="n">
        <f aca="false">MIN(E1382,G1382,I1382)</f>
        <v>646</v>
      </c>
      <c r="L1382" s="9" t="str">
        <f aca="false">IF(E1382=K1382,"5000m",IF(G1382=K1382,"3000mSC","1500m"))</f>
        <v>5000m</v>
      </c>
      <c r="M1382" s="14" t="n">
        <f aca="false">(D1382&lt;&gt;"")*(D1382&lt;=($E$3*60+$F$3)/86400)+(F1382&lt;&gt;"")*(F1382&lt;=($I$3*60+$J$3)/86400)+(H1382&lt;&gt;"")*(H1382&lt;=($M$3*60+$N$3)/86400)</f>
        <v>0</v>
      </c>
      <c r="N1382" s="16"/>
      <c r="O1382" s="15"/>
    </row>
    <row r="1383" customFormat="false" ht="15" hidden="false" customHeight="false" outlineLevel="0" collapsed="false">
      <c r="A1383" s="9" t="n">
        <v>1377</v>
      </c>
      <c r="B1383" s="10" t="s">
        <v>1997</v>
      </c>
      <c r="C1383" s="10" t="s">
        <v>1998</v>
      </c>
      <c r="D1383" s="11"/>
      <c r="E1383" s="12"/>
      <c r="F1383" s="11"/>
      <c r="G1383" s="12"/>
      <c r="H1383" s="11" t="n">
        <v>0.00286215277777778</v>
      </c>
      <c r="I1383" s="12" t="n">
        <v>646</v>
      </c>
      <c r="J1383" s="12" t="n">
        <f aca="false">COUNT(E1383,G1383,I1383)</f>
        <v>1</v>
      </c>
      <c r="K1383" s="13" t="n">
        <f aca="false">MIN(E1383,G1383,I1383)</f>
        <v>646</v>
      </c>
      <c r="L1383" s="9" t="str">
        <f aca="false">IF(E1383=K1383,"5000m",IF(G1383=K1383,"3000mSC","1500m"))</f>
        <v>1500m</v>
      </c>
      <c r="M1383" s="14" t="n">
        <f aca="false">(D1383&lt;&gt;"")*(D1383&lt;=($E$3*60+$F$3)/86400)+(F1383&lt;&gt;"")*(F1383&lt;=($I$3*60+$J$3)/86400)+(H1383&lt;&gt;"")*(H1383&lt;=($M$3*60+$N$3)/86400)</f>
        <v>0</v>
      </c>
      <c r="N1383" s="16"/>
      <c r="O1383" s="15"/>
    </row>
    <row r="1384" customFormat="false" ht="15" hidden="false" customHeight="false" outlineLevel="0" collapsed="false">
      <c r="A1384" s="9" t="n">
        <v>1378</v>
      </c>
      <c r="B1384" s="10" t="s">
        <v>1999</v>
      </c>
      <c r="C1384" s="10" t="s">
        <v>486</v>
      </c>
      <c r="D1384" s="11" t="n">
        <v>0.0108479166666667</v>
      </c>
      <c r="E1384" s="12" t="n">
        <v>831</v>
      </c>
      <c r="F1384" s="11"/>
      <c r="G1384" s="12"/>
      <c r="H1384" s="11" t="n">
        <v>0.00286215277777778</v>
      </c>
      <c r="I1384" s="12" t="n">
        <v>647</v>
      </c>
      <c r="J1384" s="12" t="n">
        <f aca="false">COUNT(E1384,G1384,I1384)</f>
        <v>2</v>
      </c>
      <c r="K1384" s="13" t="n">
        <f aca="false">MIN(E1384,G1384,I1384)</f>
        <v>647</v>
      </c>
      <c r="L1384" s="9" t="str">
        <f aca="false">IF(E1384=K1384,"5000m",IF(G1384=K1384,"3000mSC","1500m"))</f>
        <v>1500m</v>
      </c>
      <c r="M1384" s="14" t="n">
        <f aca="false">(D1384&lt;&gt;"")*(D1384&lt;=($E$3*60+$F$3)/86400)+(F1384&lt;&gt;"")*(F1384&lt;=($I$3*60+$J$3)/86400)+(H1384&lt;&gt;"")*(H1384&lt;=($M$3*60+$N$3)/86400)</f>
        <v>0</v>
      </c>
      <c r="N1384" s="16"/>
      <c r="O1384" s="15"/>
    </row>
    <row r="1385" customFormat="false" ht="25.35" hidden="false" customHeight="false" outlineLevel="0" collapsed="false">
      <c r="A1385" s="9" t="n">
        <v>1379</v>
      </c>
      <c r="B1385" s="10" t="s">
        <v>2000</v>
      </c>
      <c r="C1385" s="10" t="s">
        <v>844</v>
      </c>
      <c r="D1385" s="11"/>
      <c r="E1385" s="12"/>
      <c r="F1385" s="11" t="n">
        <v>0.00729988425925926</v>
      </c>
      <c r="G1385" s="12" t="n">
        <v>647</v>
      </c>
      <c r="H1385" s="11"/>
      <c r="I1385" s="12"/>
      <c r="J1385" s="12" t="n">
        <f aca="false">COUNT(E1385,G1385,I1385)</f>
        <v>1</v>
      </c>
      <c r="K1385" s="13" t="n">
        <f aca="false">MIN(E1385,G1385,I1385)</f>
        <v>647</v>
      </c>
      <c r="L1385" s="9" t="str">
        <f aca="false">IF(E1385=K1385,"5000m",IF(G1385=K1385,"3000mSC","1500m"))</f>
        <v>3000mSC</v>
      </c>
      <c r="M1385" s="14" t="n">
        <f aca="false">(D1385&lt;&gt;"")*(D1385&lt;=($E$3*60+$F$3)/86400)+(F1385&lt;&gt;"")*(F1385&lt;=($I$3*60+$J$3)/86400)+(H1385&lt;&gt;"")*(H1385&lt;=($M$3*60+$N$3)/86400)</f>
        <v>0</v>
      </c>
      <c r="N1385" s="16"/>
      <c r="O1385" s="15"/>
    </row>
    <row r="1386" customFormat="false" ht="25.35" hidden="false" customHeight="false" outlineLevel="0" collapsed="false">
      <c r="A1386" s="9" t="n">
        <v>1380</v>
      </c>
      <c r="B1386" s="10" t="s">
        <v>2001</v>
      </c>
      <c r="C1386" s="10" t="s">
        <v>2002</v>
      </c>
      <c r="D1386" s="11"/>
      <c r="E1386" s="12"/>
      <c r="F1386" s="11" t="n">
        <v>0.0073005787037037</v>
      </c>
      <c r="G1386" s="12" t="n">
        <v>648</v>
      </c>
      <c r="H1386" s="11"/>
      <c r="I1386" s="12"/>
      <c r="J1386" s="12" t="n">
        <f aca="false">COUNT(E1386,G1386,I1386)</f>
        <v>1</v>
      </c>
      <c r="K1386" s="13" t="n">
        <f aca="false">MIN(E1386,G1386,I1386)</f>
        <v>648</v>
      </c>
      <c r="L1386" s="9" t="str">
        <f aca="false">IF(E1386=K1386,"5000m",IF(G1386=K1386,"3000mSC","1500m"))</f>
        <v>3000mSC</v>
      </c>
      <c r="M1386" s="14" t="n">
        <f aca="false">(D1386&lt;&gt;"")*(D1386&lt;=($E$3*60+$F$3)/86400)+(F1386&lt;&gt;"")*(F1386&lt;=($I$3*60+$J$3)/86400)+(H1386&lt;&gt;"")*(H1386&lt;=($M$3*60+$N$3)/86400)</f>
        <v>0</v>
      </c>
      <c r="N1386" s="16"/>
      <c r="O1386" s="15"/>
    </row>
    <row r="1387" customFormat="false" ht="15" hidden="false" customHeight="false" outlineLevel="0" collapsed="false">
      <c r="A1387" s="9" t="n">
        <v>1381</v>
      </c>
      <c r="B1387" s="10" t="s">
        <v>2003</v>
      </c>
      <c r="C1387" s="10" t="s">
        <v>688</v>
      </c>
      <c r="D1387" s="11" t="n">
        <v>0.0109695601851852</v>
      </c>
      <c r="E1387" s="12" t="n">
        <v>1037</v>
      </c>
      <c r="F1387" s="11"/>
      <c r="G1387" s="12"/>
      <c r="H1387" s="11" t="n">
        <v>0.00286226851851852</v>
      </c>
      <c r="I1387" s="12" t="n">
        <v>649</v>
      </c>
      <c r="J1387" s="12" t="n">
        <f aca="false">COUNT(E1387,G1387,I1387)</f>
        <v>2</v>
      </c>
      <c r="K1387" s="13" t="n">
        <f aca="false">MIN(E1387,G1387,I1387)</f>
        <v>649</v>
      </c>
      <c r="L1387" s="9" t="str">
        <f aca="false">IF(E1387=K1387,"5000m",IF(G1387=K1387,"3000mSC","1500m"))</f>
        <v>1500m</v>
      </c>
      <c r="M1387" s="14" t="n">
        <f aca="false">(D1387&lt;&gt;"")*(D1387&lt;=($E$3*60+$F$3)/86400)+(F1387&lt;&gt;"")*(F1387&lt;=($I$3*60+$J$3)/86400)+(H1387&lt;&gt;"")*(H1387&lt;=($M$3*60+$N$3)/86400)</f>
        <v>0</v>
      </c>
      <c r="N1387" s="16"/>
      <c r="O1387" s="15"/>
    </row>
    <row r="1388" customFormat="false" ht="25.35" hidden="false" customHeight="false" outlineLevel="0" collapsed="false">
      <c r="A1388" s="9" t="n">
        <v>1382</v>
      </c>
      <c r="B1388" s="10" t="s">
        <v>2004</v>
      </c>
      <c r="C1388" s="10" t="s">
        <v>1155</v>
      </c>
      <c r="D1388" s="11"/>
      <c r="E1388" s="12"/>
      <c r="F1388" s="11" t="n">
        <v>0.00730069444444444</v>
      </c>
      <c r="G1388" s="12" t="n">
        <v>649</v>
      </c>
      <c r="H1388" s="11"/>
      <c r="I1388" s="12"/>
      <c r="J1388" s="12" t="n">
        <f aca="false">COUNT(E1388,G1388,I1388)</f>
        <v>1</v>
      </c>
      <c r="K1388" s="13" t="n">
        <f aca="false">MIN(E1388,G1388,I1388)</f>
        <v>649</v>
      </c>
      <c r="L1388" s="9" t="str">
        <f aca="false">IF(E1388=K1388,"5000m",IF(G1388=K1388,"3000mSC","1500m"))</f>
        <v>3000mSC</v>
      </c>
      <c r="M1388" s="14" t="n">
        <f aca="false">(D1388&lt;&gt;"")*(D1388&lt;=($E$3*60+$F$3)/86400)+(F1388&lt;&gt;"")*(F1388&lt;=($I$3*60+$J$3)/86400)+(H1388&lt;&gt;"")*(H1388&lt;=($M$3*60+$N$3)/86400)</f>
        <v>0</v>
      </c>
      <c r="N1388" s="16"/>
      <c r="O1388" s="15"/>
    </row>
    <row r="1389" customFormat="false" ht="25.35" hidden="false" customHeight="false" outlineLevel="0" collapsed="false">
      <c r="A1389" s="9" t="n">
        <v>1383</v>
      </c>
      <c r="B1389" s="10" t="s">
        <v>2005</v>
      </c>
      <c r="C1389" s="10" t="s">
        <v>27</v>
      </c>
      <c r="D1389" s="11" t="n">
        <v>0.0107447916666667</v>
      </c>
      <c r="E1389" s="12" t="n">
        <v>660</v>
      </c>
      <c r="F1389" s="11" t="n">
        <v>0.00730231481481481</v>
      </c>
      <c r="G1389" s="12" t="n">
        <v>650</v>
      </c>
      <c r="H1389" s="11"/>
      <c r="I1389" s="12"/>
      <c r="J1389" s="12" t="n">
        <f aca="false">COUNT(E1389,G1389,I1389)</f>
        <v>2</v>
      </c>
      <c r="K1389" s="13" t="n">
        <f aca="false">MIN(E1389,G1389,I1389)</f>
        <v>650</v>
      </c>
      <c r="L1389" s="9" t="str">
        <f aca="false">IF(E1389=K1389,"5000m",IF(G1389=K1389,"3000mSC","1500m"))</f>
        <v>3000mSC</v>
      </c>
      <c r="M1389" s="14" t="n">
        <f aca="false">(D1389&lt;&gt;"")*(D1389&lt;=($E$3*60+$F$3)/86400)+(F1389&lt;&gt;"")*(F1389&lt;=($I$3*60+$J$3)/86400)+(H1389&lt;&gt;"")*(H1389&lt;=($M$3*60+$N$3)/86400)</f>
        <v>0</v>
      </c>
      <c r="N1389" s="16"/>
      <c r="O1389" s="15"/>
    </row>
    <row r="1390" customFormat="false" ht="15" hidden="false" customHeight="false" outlineLevel="0" collapsed="false">
      <c r="A1390" s="9" t="n">
        <v>1384</v>
      </c>
      <c r="B1390" s="10" t="s">
        <v>2006</v>
      </c>
      <c r="C1390" s="10" t="s">
        <v>490</v>
      </c>
      <c r="D1390" s="11" t="n">
        <v>0.0108391203703704</v>
      </c>
      <c r="E1390" s="12" t="n">
        <v>811</v>
      </c>
      <c r="F1390" s="11"/>
      <c r="G1390" s="12"/>
      <c r="H1390" s="11" t="n">
        <v>0.0028625</v>
      </c>
      <c r="I1390" s="12" t="n">
        <v>651</v>
      </c>
      <c r="J1390" s="12" t="n">
        <f aca="false">COUNT(E1390,G1390,I1390)</f>
        <v>2</v>
      </c>
      <c r="K1390" s="13" t="n">
        <f aca="false">MIN(E1390,G1390,I1390)</f>
        <v>651</v>
      </c>
      <c r="L1390" s="9" t="str">
        <f aca="false">IF(E1390=K1390,"5000m",IF(G1390=K1390,"3000mSC","1500m"))</f>
        <v>1500m</v>
      </c>
      <c r="M1390" s="14" t="n">
        <f aca="false">(D1390&lt;&gt;"")*(D1390&lt;=($E$3*60+$F$3)/86400)+(F1390&lt;&gt;"")*(F1390&lt;=($I$3*60+$J$3)/86400)+(H1390&lt;&gt;"")*(H1390&lt;=($M$3*60+$N$3)/86400)</f>
        <v>0</v>
      </c>
      <c r="N1390" s="16"/>
      <c r="O1390" s="15"/>
    </row>
    <row r="1391" customFormat="false" ht="25.35" hidden="false" customHeight="false" outlineLevel="0" collapsed="false">
      <c r="A1391" s="9" t="n">
        <v>1385</v>
      </c>
      <c r="B1391" s="10" t="s">
        <v>2007</v>
      </c>
      <c r="C1391" s="10" t="s">
        <v>374</v>
      </c>
      <c r="D1391" s="11" t="n">
        <v>0.0109954861111111</v>
      </c>
      <c r="E1391" s="12" t="n">
        <v>1089</v>
      </c>
      <c r="F1391" s="11" t="n">
        <v>0.00730405092592593</v>
      </c>
      <c r="G1391" s="12" t="n">
        <v>651</v>
      </c>
      <c r="H1391" s="11"/>
      <c r="I1391" s="12"/>
      <c r="J1391" s="12" t="n">
        <f aca="false">COUNT(E1391,G1391,I1391)</f>
        <v>2</v>
      </c>
      <c r="K1391" s="13" t="n">
        <f aca="false">MIN(E1391,G1391,I1391)</f>
        <v>651</v>
      </c>
      <c r="L1391" s="9" t="str">
        <f aca="false">IF(E1391=K1391,"5000m",IF(G1391=K1391,"3000mSC","1500m"))</f>
        <v>3000mSC</v>
      </c>
      <c r="M1391" s="14" t="n">
        <f aca="false">(D1391&lt;&gt;"")*(D1391&lt;=($E$3*60+$F$3)/86400)+(F1391&lt;&gt;"")*(F1391&lt;=($I$3*60+$J$3)/86400)+(H1391&lt;&gt;"")*(H1391&lt;=($M$3*60+$N$3)/86400)</f>
        <v>0</v>
      </c>
      <c r="N1391" s="16"/>
      <c r="O1391" s="15"/>
    </row>
    <row r="1392" customFormat="false" ht="25.35" hidden="false" customHeight="false" outlineLevel="0" collapsed="false">
      <c r="A1392" s="9" t="n">
        <v>1386</v>
      </c>
      <c r="B1392" s="10" t="s">
        <v>2008</v>
      </c>
      <c r="C1392" s="10" t="s">
        <v>2009</v>
      </c>
      <c r="D1392" s="11" t="n">
        <v>0.0109394675925926</v>
      </c>
      <c r="E1392" s="12" t="n">
        <v>981</v>
      </c>
      <c r="F1392" s="11" t="n">
        <v>0.00730428240740741</v>
      </c>
      <c r="G1392" s="12" t="n">
        <v>652</v>
      </c>
      <c r="H1392" s="11" t="n">
        <v>0.00287407407407407</v>
      </c>
      <c r="I1392" s="12" t="n">
        <v>727</v>
      </c>
      <c r="J1392" s="12" t="n">
        <f aca="false">COUNT(E1392,G1392,I1392)</f>
        <v>3</v>
      </c>
      <c r="K1392" s="13" t="n">
        <f aca="false">MIN(E1392,G1392,I1392)</f>
        <v>652</v>
      </c>
      <c r="L1392" s="9" t="str">
        <f aca="false">IF(E1392=K1392,"5000m",IF(G1392=K1392,"3000mSC","1500m"))</f>
        <v>3000mSC</v>
      </c>
      <c r="M1392" s="14" t="n">
        <f aca="false">(D1392&lt;&gt;"")*(D1392&lt;=($E$3*60+$F$3)/86400)+(F1392&lt;&gt;"")*(F1392&lt;=($I$3*60+$J$3)/86400)+(H1392&lt;&gt;"")*(H1392&lt;=($M$3*60+$N$3)/86400)</f>
        <v>0</v>
      </c>
      <c r="N1392" s="16"/>
      <c r="O1392" s="15"/>
    </row>
    <row r="1393" customFormat="false" ht="15" hidden="false" customHeight="false" outlineLevel="0" collapsed="false">
      <c r="A1393" s="9" t="n">
        <v>1387</v>
      </c>
      <c r="B1393" s="10" t="s">
        <v>2010</v>
      </c>
      <c r="C1393" s="10" t="s">
        <v>577</v>
      </c>
      <c r="D1393" s="11" t="n">
        <v>0.0108318287037037</v>
      </c>
      <c r="E1393" s="12" t="n">
        <v>795</v>
      </c>
      <c r="F1393" s="11"/>
      <c r="G1393" s="12"/>
      <c r="H1393" s="11" t="n">
        <v>0.00286261574074074</v>
      </c>
      <c r="I1393" s="12" t="n">
        <v>652</v>
      </c>
      <c r="J1393" s="12" t="n">
        <f aca="false">COUNT(E1393,G1393,I1393)</f>
        <v>2</v>
      </c>
      <c r="K1393" s="13" t="n">
        <f aca="false">MIN(E1393,G1393,I1393)</f>
        <v>652</v>
      </c>
      <c r="L1393" s="9" t="str">
        <f aca="false">IF(E1393=K1393,"5000m",IF(G1393=K1393,"3000mSC","1500m"))</f>
        <v>1500m</v>
      </c>
      <c r="M1393" s="14" t="n">
        <f aca="false">(D1393&lt;&gt;"")*(D1393&lt;=($E$3*60+$F$3)/86400)+(F1393&lt;&gt;"")*(F1393&lt;=($I$3*60+$J$3)/86400)+(H1393&lt;&gt;"")*(H1393&lt;=($M$3*60+$N$3)/86400)</f>
        <v>0</v>
      </c>
      <c r="N1393" s="16"/>
      <c r="O1393" s="15"/>
    </row>
    <row r="1394" customFormat="false" ht="15" hidden="false" customHeight="false" outlineLevel="0" collapsed="false">
      <c r="A1394" s="9" t="n">
        <v>1388</v>
      </c>
      <c r="B1394" s="10" t="s">
        <v>2011</v>
      </c>
      <c r="C1394" s="10" t="s">
        <v>215</v>
      </c>
      <c r="D1394" s="11" t="n">
        <v>0.010740625</v>
      </c>
      <c r="E1394" s="12" t="n">
        <v>653</v>
      </c>
      <c r="F1394" s="11"/>
      <c r="G1394" s="12"/>
      <c r="H1394" s="11" t="n">
        <v>0.00290787037037037</v>
      </c>
      <c r="I1394" s="12" t="n">
        <v>1000</v>
      </c>
      <c r="J1394" s="12" t="n">
        <f aca="false">COUNT(E1394,G1394,I1394)</f>
        <v>2</v>
      </c>
      <c r="K1394" s="13" t="n">
        <f aca="false">MIN(E1394,G1394,I1394)</f>
        <v>653</v>
      </c>
      <c r="L1394" s="9" t="str">
        <f aca="false">IF(E1394=K1394,"5000m",IF(G1394=K1394,"3000mSC","1500m"))</f>
        <v>5000m</v>
      </c>
      <c r="M1394" s="14" t="n">
        <f aca="false">(D1394&lt;&gt;"")*(D1394&lt;=($E$3*60+$F$3)/86400)+(F1394&lt;&gt;"")*(F1394&lt;=($I$3*60+$J$3)/86400)+(H1394&lt;&gt;"")*(H1394&lt;=($M$3*60+$N$3)/86400)</f>
        <v>0</v>
      </c>
      <c r="N1394" s="16"/>
      <c r="O1394" s="15"/>
    </row>
    <row r="1395" customFormat="false" ht="25.35" hidden="false" customHeight="false" outlineLevel="0" collapsed="false">
      <c r="A1395" s="9" t="n">
        <v>1389</v>
      </c>
      <c r="B1395" s="10" t="s">
        <v>2012</v>
      </c>
      <c r="C1395" s="10" t="s">
        <v>1481</v>
      </c>
      <c r="D1395" s="11"/>
      <c r="E1395" s="12"/>
      <c r="F1395" s="11" t="n">
        <v>0.00730439814814815</v>
      </c>
      <c r="G1395" s="12" t="n">
        <v>653</v>
      </c>
      <c r="H1395" s="11"/>
      <c r="I1395" s="12"/>
      <c r="J1395" s="12" t="n">
        <f aca="false">COUNT(E1395,G1395,I1395)</f>
        <v>1</v>
      </c>
      <c r="K1395" s="13" t="n">
        <f aca="false">MIN(E1395,G1395,I1395)</f>
        <v>653</v>
      </c>
      <c r="L1395" s="9" t="str">
        <f aca="false">IF(E1395=K1395,"5000m",IF(G1395=K1395,"3000mSC","1500m"))</f>
        <v>3000mSC</v>
      </c>
      <c r="M1395" s="14" t="n">
        <f aca="false">(D1395&lt;&gt;"")*(D1395&lt;=($E$3*60+$F$3)/86400)+(F1395&lt;&gt;"")*(F1395&lt;=($I$3*60+$J$3)/86400)+(H1395&lt;&gt;"")*(H1395&lt;=($M$3*60+$N$3)/86400)</f>
        <v>0</v>
      </c>
      <c r="N1395" s="16"/>
      <c r="O1395" s="15"/>
    </row>
    <row r="1396" customFormat="false" ht="15" hidden="false" customHeight="false" outlineLevel="0" collapsed="false">
      <c r="A1396" s="9" t="n">
        <v>1390</v>
      </c>
      <c r="B1396" s="10" t="s">
        <v>2013</v>
      </c>
      <c r="C1396" s="10" t="s">
        <v>752</v>
      </c>
      <c r="D1396" s="11" t="n">
        <v>0.010740625</v>
      </c>
      <c r="E1396" s="12" t="n">
        <v>654</v>
      </c>
      <c r="F1396" s="11"/>
      <c r="G1396" s="12"/>
      <c r="H1396" s="11" t="n">
        <v>0.00286643518518519</v>
      </c>
      <c r="I1396" s="12" t="n">
        <v>673</v>
      </c>
      <c r="J1396" s="12" t="n">
        <f aca="false">COUNT(E1396,G1396,I1396)</f>
        <v>2</v>
      </c>
      <c r="K1396" s="13" t="n">
        <f aca="false">MIN(E1396,G1396,I1396)</f>
        <v>654</v>
      </c>
      <c r="L1396" s="9" t="str">
        <f aca="false">IF(E1396=K1396,"5000m",IF(G1396=K1396,"3000mSC","1500m"))</f>
        <v>5000m</v>
      </c>
      <c r="M1396" s="14" t="n">
        <f aca="false">(D1396&lt;&gt;"")*(D1396&lt;=($E$3*60+$F$3)/86400)+(F1396&lt;&gt;"")*(F1396&lt;=($I$3*60+$J$3)/86400)+(H1396&lt;&gt;"")*(H1396&lt;=($M$3*60+$N$3)/86400)</f>
        <v>0</v>
      </c>
      <c r="N1396" s="16"/>
      <c r="O1396" s="15"/>
    </row>
    <row r="1397" customFormat="false" ht="25.35" hidden="false" customHeight="false" outlineLevel="0" collapsed="false">
      <c r="A1397" s="9" t="n">
        <v>1391</v>
      </c>
      <c r="B1397" s="10" t="s">
        <v>2014</v>
      </c>
      <c r="C1397" s="10" t="s">
        <v>2015</v>
      </c>
      <c r="D1397" s="11"/>
      <c r="E1397" s="12"/>
      <c r="F1397" s="11" t="n">
        <v>0.00730578703703704</v>
      </c>
      <c r="G1397" s="12" t="n">
        <v>654</v>
      </c>
      <c r="H1397" s="11"/>
      <c r="I1397" s="12"/>
      <c r="J1397" s="12" t="n">
        <f aca="false">COUNT(E1397,G1397,I1397)</f>
        <v>1</v>
      </c>
      <c r="K1397" s="13" t="n">
        <f aca="false">MIN(E1397,G1397,I1397)</f>
        <v>654</v>
      </c>
      <c r="L1397" s="9" t="str">
        <f aca="false">IF(E1397=K1397,"5000m",IF(G1397=K1397,"3000mSC","1500m"))</f>
        <v>3000mSC</v>
      </c>
      <c r="M1397" s="14" t="n">
        <f aca="false">(D1397&lt;&gt;"")*(D1397&lt;=($E$3*60+$F$3)/86400)+(F1397&lt;&gt;"")*(F1397&lt;=($I$3*60+$J$3)/86400)+(H1397&lt;&gt;"")*(H1397&lt;=($M$3*60+$N$3)/86400)</f>
        <v>0</v>
      </c>
      <c r="N1397" s="16"/>
      <c r="O1397" s="15"/>
    </row>
    <row r="1398" customFormat="false" ht="25.35" hidden="false" customHeight="false" outlineLevel="0" collapsed="false">
      <c r="A1398" s="9" t="n">
        <v>1392</v>
      </c>
      <c r="B1398" s="10" t="s">
        <v>2016</v>
      </c>
      <c r="C1398" s="10" t="s">
        <v>2017</v>
      </c>
      <c r="D1398" s="11"/>
      <c r="E1398" s="12"/>
      <c r="F1398" s="11" t="n">
        <v>0.00730578703703704</v>
      </c>
      <c r="G1398" s="12" t="n">
        <v>655</v>
      </c>
      <c r="H1398" s="11"/>
      <c r="I1398" s="12"/>
      <c r="J1398" s="12" t="n">
        <f aca="false">COUNT(E1398,G1398,I1398)</f>
        <v>1</v>
      </c>
      <c r="K1398" s="13" t="n">
        <f aca="false">MIN(E1398,G1398,I1398)</f>
        <v>655</v>
      </c>
      <c r="L1398" s="9" t="str">
        <f aca="false">IF(E1398=K1398,"5000m",IF(G1398=K1398,"3000mSC","1500m"))</f>
        <v>3000mSC</v>
      </c>
      <c r="M1398" s="14" t="n">
        <f aca="false">(D1398&lt;&gt;"")*(D1398&lt;=($E$3*60+$F$3)/86400)+(F1398&lt;&gt;"")*(F1398&lt;=($I$3*60+$J$3)/86400)+(H1398&lt;&gt;"")*(H1398&lt;=($M$3*60+$N$3)/86400)</f>
        <v>0</v>
      </c>
      <c r="N1398" s="16"/>
      <c r="O1398" s="15"/>
    </row>
    <row r="1399" customFormat="false" ht="15" hidden="false" customHeight="false" outlineLevel="0" collapsed="false">
      <c r="A1399" s="9" t="n">
        <v>1393</v>
      </c>
      <c r="B1399" s="10" t="s">
        <v>2018</v>
      </c>
      <c r="C1399" s="10" t="s">
        <v>103</v>
      </c>
      <c r="D1399" s="11" t="n">
        <v>0.0107417824074074</v>
      </c>
      <c r="E1399" s="12" t="n">
        <v>656</v>
      </c>
      <c r="F1399" s="11"/>
      <c r="G1399" s="12"/>
      <c r="H1399" s="11"/>
      <c r="I1399" s="12"/>
      <c r="J1399" s="12" t="n">
        <f aca="false">COUNT(E1399,G1399,I1399)</f>
        <v>1</v>
      </c>
      <c r="K1399" s="13" t="n">
        <f aca="false">MIN(E1399,G1399,I1399)</f>
        <v>656</v>
      </c>
      <c r="L1399" s="9" t="str">
        <f aca="false">IF(E1399=K1399,"5000m",IF(G1399=K1399,"3000mSC","1500m"))</f>
        <v>5000m</v>
      </c>
      <c r="M1399" s="14" t="n">
        <f aca="false">(D1399&lt;&gt;"")*(D1399&lt;=($E$3*60+$F$3)/86400)+(F1399&lt;&gt;"")*(F1399&lt;=($I$3*60+$J$3)/86400)+(H1399&lt;&gt;"")*(H1399&lt;=($M$3*60+$N$3)/86400)</f>
        <v>0</v>
      </c>
      <c r="N1399" s="16"/>
      <c r="O1399" s="15"/>
    </row>
    <row r="1400" customFormat="false" ht="25.35" hidden="false" customHeight="false" outlineLevel="0" collapsed="false">
      <c r="A1400" s="9" t="n">
        <v>1394</v>
      </c>
      <c r="B1400" s="10" t="s">
        <v>2019</v>
      </c>
      <c r="C1400" s="10" t="s">
        <v>844</v>
      </c>
      <c r="D1400" s="11"/>
      <c r="E1400" s="12"/>
      <c r="F1400" s="11" t="n">
        <v>0.0073068287037037</v>
      </c>
      <c r="G1400" s="12" t="n">
        <v>656</v>
      </c>
      <c r="H1400" s="11"/>
      <c r="I1400" s="12"/>
      <c r="J1400" s="12" t="n">
        <f aca="false">COUNT(E1400,G1400,I1400)</f>
        <v>1</v>
      </c>
      <c r="K1400" s="13" t="n">
        <f aca="false">MIN(E1400,G1400,I1400)</f>
        <v>656</v>
      </c>
      <c r="L1400" s="9" t="str">
        <f aca="false">IF(E1400=K1400,"5000m",IF(G1400=K1400,"3000mSC","1500m"))</f>
        <v>3000mSC</v>
      </c>
      <c r="M1400" s="14" t="n">
        <f aca="false">(D1400&lt;&gt;"")*(D1400&lt;=($E$3*60+$F$3)/86400)+(F1400&lt;&gt;"")*(F1400&lt;=($I$3*60+$J$3)/86400)+(H1400&lt;&gt;"")*(H1400&lt;=($M$3*60+$N$3)/86400)</f>
        <v>0</v>
      </c>
      <c r="N1400" s="16"/>
      <c r="O1400" s="15"/>
    </row>
    <row r="1401" customFormat="false" ht="25.35" hidden="false" customHeight="false" outlineLevel="0" collapsed="false">
      <c r="A1401" s="9" t="n">
        <v>1395</v>
      </c>
      <c r="B1401" s="10" t="s">
        <v>2020</v>
      </c>
      <c r="C1401" s="10" t="s">
        <v>2021</v>
      </c>
      <c r="D1401" s="11" t="n">
        <v>0.0110622685185185</v>
      </c>
      <c r="E1401" s="12" t="n">
        <v>1221</v>
      </c>
      <c r="F1401" s="11" t="n">
        <v>0.00730798611111111</v>
      </c>
      <c r="G1401" s="12" t="n">
        <v>657</v>
      </c>
      <c r="H1401" s="11"/>
      <c r="I1401" s="12"/>
      <c r="J1401" s="12" t="n">
        <f aca="false">COUNT(E1401,G1401,I1401)</f>
        <v>2</v>
      </c>
      <c r="K1401" s="13" t="n">
        <f aca="false">MIN(E1401,G1401,I1401)</f>
        <v>657</v>
      </c>
      <c r="L1401" s="9" t="str">
        <f aca="false">IF(E1401=K1401,"5000m",IF(G1401=K1401,"3000mSC","1500m"))</f>
        <v>3000mSC</v>
      </c>
      <c r="M1401" s="14" t="n">
        <f aca="false">(D1401&lt;&gt;"")*(D1401&lt;=($E$3*60+$F$3)/86400)+(F1401&lt;&gt;"")*(F1401&lt;=($I$3*60+$J$3)/86400)+(H1401&lt;&gt;"")*(H1401&lt;=($M$3*60+$N$3)/86400)</f>
        <v>0</v>
      </c>
      <c r="N1401" s="16"/>
      <c r="O1401" s="15"/>
    </row>
    <row r="1402" customFormat="false" ht="15" hidden="false" customHeight="false" outlineLevel="0" collapsed="false">
      <c r="A1402" s="9" t="n">
        <v>1396</v>
      </c>
      <c r="B1402" s="10" t="s">
        <v>2022</v>
      </c>
      <c r="C1402" s="10" t="s">
        <v>242</v>
      </c>
      <c r="D1402" s="11"/>
      <c r="E1402" s="12"/>
      <c r="F1402" s="11"/>
      <c r="G1402" s="12"/>
      <c r="H1402" s="11" t="n">
        <v>0.00286342592592593</v>
      </c>
      <c r="I1402" s="12" t="n">
        <v>657</v>
      </c>
      <c r="J1402" s="12" t="n">
        <f aca="false">COUNT(E1402,G1402,I1402)</f>
        <v>1</v>
      </c>
      <c r="K1402" s="13" t="n">
        <f aca="false">MIN(E1402,G1402,I1402)</f>
        <v>657</v>
      </c>
      <c r="L1402" s="9" t="str">
        <f aca="false">IF(E1402=K1402,"5000m",IF(G1402=K1402,"3000mSC","1500m"))</f>
        <v>1500m</v>
      </c>
      <c r="M1402" s="14" t="n">
        <f aca="false">(D1402&lt;&gt;"")*(D1402&lt;=($E$3*60+$F$3)/86400)+(F1402&lt;&gt;"")*(F1402&lt;=($I$3*60+$J$3)/86400)+(H1402&lt;&gt;"")*(H1402&lt;=($M$3*60+$N$3)/86400)</f>
        <v>0</v>
      </c>
      <c r="N1402" s="16"/>
      <c r="O1402" s="15"/>
    </row>
    <row r="1403" customFormat="false" ht="15" hidden="false" customHeight="false" outlineLevel="0" collapsed="false">
      <c r="A1403" s="9" t="n">
        <v>1397</v>
      </c>
      <c r="B1403" s="10" t="s">
        <v>2023</v>
      </c>
      <c r="C1403" s="10" t="s">
        <v>2024</v>
      </c>
      <c r="D1403" s="11" t="n">
        <v>0.0107445601851852</v>
      </c>
      <c r="E1403" s="12" t="n">
        <v>658</v>
      </c>
      <c r="F1403" s="11"/>
      <c r="G1403" s="12"/>
      <c r="H1403" s="11" t="n">
        <v>0.00292465277777778</v>
      </c>
      <c r="I1403" s="12" t="n">
        <v>1140</v>
      </c>
      <c r="J1403" s="12" t="n">
        <f aca="false">COUNT(E1403,G1403,I1403)</f>
        <v>2</v>
      </c>
      <c r="K1403" s="13" t="n">
        <f aca="false">MIN(E1403,G1403,I1403)</f>
        <v>658</v>
      </c>
      <c r="L1403" s="9" t="str">
        <f aca="false">IF(E1403=K1403,"5000m",IF(G1403=K1403,"3000mSC","1500m"))</f>
        <v>5000m</v>
      </c>
      <c r="M1403" s="14" t="n">
        <f aca="false">(D1403&lt;&gt;"")*(D1403&lt;=($E$3*60+$F$3)/86400)+(F1403&lt;&gt;"")*(F1403&lt;=($I$3*60+$J$3)/86400)+(H1403&lt;&gt;"")*(H1403&lt;=($M$3*60+$N$3)/86400)</f>
        <v>0</v>
      </c>
      <c r="N1403" s="16"/>
      <c r="O1403" s="15"/>
    </row>
    <row r="1404" customFormat="false" ht="25.35" hidden="false" customHeight="false" outlineLevel="0" collapsed="false">
      <c r="A1404" s="9" t="n">
        <v>1398</v>
      </c>
      <c r="B1404" s="10" t="s">
        <v>2025</v>
      </c>
      <c r="C1404" s="10" t="s">
        <v>997</v>
      </c>
      <c r="D1404" s="11"/>
      <c r="E1404" s="12"/>
      <c r="F1404" s="11" t="n">
        <v>0.00730821759259259</v>
      </c>
      <c r="G1404" s="12" t="n">
        <v>658</v>
      </c>
      <c r="H1404" s="11"/>
      <c r="I1404" s="12"/>
      <c r="J1404" s="12" t="n">
        <f aca="false">COUNT(E1404,G1404,I1404)</f>
        <v>1</v>
      </c>
      <c r="K1404" s="13" t="n">
        <f aca="false">MIN(E1404,G1404,I1404)</f>
        <v>658</v>
      </c>
      <c r="L1404" s="9" t="str">
        <f aca="false">IF(E1404=K1404,"5000m",IF(G1404=K1404,"3000mSC","1500m"))</f>
        <v>3000mSC</v>
      </c>
      <c r="M1404" s="14" t="n">
        <f aca="false">(D1404&lt;&gt;"")*(D1404&lt;=($E$3*60+$F$3)/86400)+(F1404&lt;&gt;"")*(F1404&lt;=($I$3*60+$J$3)/86400)+(H1404&lt;&gt;"")*(H1404&lt;=($M$3*60+$N$3)/86400)</f>
        <v>0</v>
      </c>
      <c r="N1404" s="16"/>
      <c r="O1404" s="15"/>
    </row>
    <row r="1405" customFormat="false" ht="15" hidden="false" customHeight="false" outlineLevel="0" collapsed="false">
      <c r="A1405" s="9" t="n">
        <v>1399</v>
      </c>
      <c r="B1405" s="10" t="s">
        <v>2026</v>
      </c>
      <c r="C1405" s="10" t="s">
        <v>945</v>
      </c>
      <c r="D1405" s="11" t="n">
        <v>0.0109716435185185</v>
      </c>
      <c r="E1405" s="12" t="n">
        <v>1044</v>
      </c>
      <c r="F1405" s="11"/>
      <c r="G1405" s="12"/>
      <c r="H1405" s="11" t="n">
        <v>0.00286377314814815</v>
      </c>
      <c r="I1405" s="12" t="n">
        <v>659</v>
      </c>
      <c r="J1405" s="12" t="n">
        <f aca="false">COUNT(E1405,G1405,I1405)</f>
        <v>2</v>
      </c>
      <c r="K1405" s="13" t="n">
        <f aca="false">MIN(E1405,G1405,I1405)</f>
        <v>659</v>
      </c>
      <c r="L1405" s="9" t="str">
        <f aca="false">IF(E1405=K1405,"5000m",IF(G1405=K1405,"3000mSC","1500m"))</f>
        <v>1500m</v>
      </c>
      <c r="M1405" s="14" t="n">
        <f aca="false">(D1405&lt;&gt;"")*(D1405&lt;=($E$3*60+$F$3)/86400)+(F1405&lt;&gt;"")*(F1405&lt;=($I$3*60+$J$3)/86400)+(H1405&lt;&gt;"")*(H1405&lt;=($M$3*60+$N$3)/86400)</f>
        <v>0</v>
      </c>
      <c r="N1405" s="16"/>
      <c r="O1405" s="15"/>
    </row>
    <row r="1406" customFormat="false" ht="15" hidden="false" customHeight="false" outlineLevel="0" collapsed="false">
      <c r="A1406" s="9" t="n">
        <v>1400</v>
      </c>
      <c r="B1406" s="10" t="s">
        <v>2027</v>
      </c>
      <c r="C1406" s="10" t="s">
        <v>95</v>
      </c>
      <c r="D1406" s="11" t="n">
        <v>0.0107447916666667</v>
      </c>
      <c r="E1406" s="12" t="n">
        <v>659</v>
      </c>
      <c r="F1406" s="11"/>
      <c r="G1406" s="12"/>
      <c r="H1406" s="11"/>
      <c r="I1406" s="12"/>
      <c r="J1406" s="12" t="n">
        <f aca="false">COUNT(E1406,G1406,I1406)</f>
        <v>1</v>
      </c>
      <c r="K1406" s="13" t="n">
        <f aca="false">MIN(E1406,G1406,I1406)</f>
        <v>659</v>
      </c>
      <c r="L1406" s="9" t="str">
        <f aca="false">IF(E1406=K1406,"5000m",IF(G1406=K1406,"3000mSC","1500m"))</f>
        <v>5000m</v>
      </c>
      <c r="M1406" s="14" t="n">
        <f aca="false">(D1406&lt;&gt;"")*(D1406&lt;=($E$3*60+$F$3)/86400)+(F1406&lt;&gt;"")*(F1406&lt;=($I$3*60+$J$3)/86400)+(H1406&lt;&gt;"")*(H1406&lt;=($M$3*60+$N$3)/86400)</f>
        <v>0</v>
      </c>
      <c r="N1406" s="16"/>
      <c r="O1406" s="15"/>
    </row>
    <row r="1407" customFormat="false" ht="25.35" hidden="false" customHeight="false" outlineLevel="0" collapsed="false">
      <c r="A1407" s="9" t="n">
        <v>1401</v>
      </c>
      <c r="B1407" s="10" t="s">
        <v>2028</v>
      </c>
      <c r="C1407" s="10" t="s">
        <v>590</v>
      </c>
      <c r="D1407" s="11"/>
      <c r="E1407" s="12"/>
      <c r="F1407" s="11" t="n">
        <v>0.00731238425925926</v>
      </c>
      <c r="G1407" s="12" t="n">
        <v>659</v>
      </c>
      <c r="H1407" s="11"/>
      <c r="I1407" s="12"/>
      <c r="J1407" s="12" t="n">
        <f aca="false">COUNT(E1407,G1407,I1407)</f>
        <v>1</v>
      </c>
      <c r="K1407" s="13" t="n">
        <f aca="false">MIN(E1407,G1407,I1407)</f>
        <v>659</v>
      </c>
      <c r="L1407" s="9" t="str">
        <f aca="false">IF(E1407=K1407,"5000m",IF(G1407=K1407,"3000mSC","1500m"))</f>
        <v>3000mSC</v>
      </c>
      <c r="M1407" s="14" t="n">
        <f aca="false">(D1407&lt;&gt;"")*(D1407&lt;=($E$3*60+$F$3)/86400)+(F1407&lt;&gt;"")*(F1407&lt;=($I$3*60+$J$3)/86400)+(H1407&lt;&gt;"")*(H1407&lt;=($M$3*60+$N$3)/86400)</f>
        <v>0</v>
      </c>
      <c r="N1407" s="16"/>
      <c r="O1407" s="15"/>
    </row>
    <row r="1408" customFormat="false" ht="25.35" hidden="false" customHeight="false" outlineLevel="0" collapsed="false">
      <c r="A1408" s="9" t="n">
        <v>1402</v>
      </c>
      <c r="B1408" s="10" t="s">
        <v>2029</v>
      </c>
      <c r="C1408" s="10" t="s">
        <v>1885</v>
      </c>
      <c r="D1408" s="11"/>
      <c r="E1408" s="12"/>
      <c r="F1408" s="11" t="n">
        <v>0.00731354166666667</v>
      </c>
      <c r="G1408" s="12" t="n">
        <v>660</v>
      </c>
      <c r="H1408" s="11"/>
      <c r="I1408" s="12"/>
      <c r="J1408" s="12" t="n">
        <f aca="false">COUNT(E1408,G1408,I1408)</f>
        <v>1</v>
      </c>
      <c r="K1408" s="13" t="n">
        <f aca="false">MIN(E1408,G1408,I1408)</f>
        <v>660</v>
      </c>
      <c r="L1408" s="9" t="str">
        <f aca="false">IF(E1408=K1408,"5000m",IF(G1408=K1408,"3000mSC","1500m"))</f>
        <v>3000mSC</v>
      </c>
      <c r="M1408" s="14" t="n">
        <f aca="false">(D1408&lt;&gt;"")*(D1408&lt;=($E$3*60+$F$3)/86400)+(F1408&lt;&gt;"")*(F1408&lt;=($I$3*60+$J$3)/86400)+(H1408&lt;&gt;"")*(H1408&lt;=($M$3*60+$N$3)/86400)</f>
        <v>0</v>
      </c>
      <c r="N1408" s="16"/>
      <c r="O1408" s="15"/>
    </row>
    <row r="1409" customFormat="false" ht="15" hidden="false" customHeight="false" outlineLevel="0" collapsed="false">
      <c r="A1409" s="9" t="n">
        <v>1403</v>
      </c>
      <c r="B1409" s="10" t="s">
        <v>2030</v>
      </c>
      <c r="C1409" s="10" t="s">
        <v>2031</v>
      </c>
      <c r="D1409" s="11"/>
      <c r="E1409" s="12"/>
      <c r="F1409" s="11"/>
      <c r="G1409" s="12"/>
      <c r="H1409" s="11" t="n">
        <v>0.00286400462962963</v>
      </c>
      <c r="I1409" s="12" t="n">
        <v>660</v>
      </c>
      <c r="J1409" s="12" t="n">
        <f aca="false">COUNT(E1409,G1409,I1409)</f>
        <v>1</v>
      </c>
      <c r="K1409" s="13" t="n">
        <f aca="false">MIN(E1409,G1409,I1409)</f>
        <v>660</v>
      </c>
      <c r="L1409" s="9" t="str">
        <f aca="false">IF(E1409=K1409,"5000m",IF(G1409=K1409,"3000mSC","1500m"))</f>
        <v>1500m</v>
      </c>
      <c r="M1409" s="14" t="n">
        <f aca="false">(D1409&lt;&gt;"")*(D1409&lt;=($E$3*60+$F$3)/86400)+(F1409&lt;&gt;"")*(F1409&lt;=($I$3*60+$J$3)/86400)+(H1409&lt;&gt;"")*(H1409&lt;=($M$3*60+$N$3)/86400)</f>
        <v>0</v>
      </c>
      <c r="N1409" s="16"/>
      <c r="O1409" s="15"/>
    </row>
    <row r="1410" customFormat="false" ht="25.35" hidden="false" customHeight="false" outlineLevel="0" collapsed="false">
      <c r="A1410" s="9" t="n">
        <v>1404</v>
      </c>
      <c r="B1410" s="10" t="s">
        <v>2032</v>
      </c>
      <c r="C1410" s="10" t="s">
        <v>1990</v>
      </c>
      <c r="D1410" s="11"/>
      <c r="E1410" s="12"/>
      <c r="F1410" s="11" t="n">
        <v>0.00731400462962963</v>
      </c>
      <c r="G1410" s="12" t="n">
        <v>661</v>
      </c>
      <c r="H1410" s="11" t="n">
        <v>0.00290173611111111</v>
      </c>
      <c r="I1410" s="12" t="n">
        <v>962</v>
      </c>
      <c r="J1410" s="12" t="n">
        <f aca="false">COUNT(E1410,G1410,I1410)</f>
        <v>2</v>
      </c>
      <c r="K1410" s="13" t="n">
        <f aca="false">MIN(E1410,G1410,I1410)</f>
        <v>661</v>
      </c>
      <c r="L1410" s="9" t="str">
        <f aca="false">IF(E1410=K1410,"5000m",IF(G1410=K1410,"3000mSC","1500m"))</f>
        <v>3000mSC</v>
      </c>
      <c r="M1410" s="14" t="n">
        <f aca="false">(D1410&lt;&gt;"")*(D1410&lt;=($E$3*60+$F$3)/86400)+(F1410&lt;&gt;"")*(F1410&lt;=($I$3*60+$J$3)/86400)+(H1410&lt;&gt;"")*(H1410&lt;=($M$3*60+$N$3)/86400)</f>
        <v>0</v>
      </c>
      <c r="N1410" s="16"/>
      <c r="O1410" s="15"/>
    </row>
    <row r="1411" customFormat="false" ht="15" hidden="false" customHeight="false" outlineLevel="0" collapsed="false">
      <c r="A1411" s="9" t="n">
        <v>1405</v>
      </c>
      <c r="B1411" s="10" t="s">
        <v>2033</v>
      </c>
      <c r="C1411" s="10" t="s">
        <v>494</v>
      </c>
      <c r="D1411" s="11" t="n">
        <v>0.0107453703703704</v>
      </c>
      <c r="E1411" s="12" t="n">
        <v>661</v>
      </c>
      <c r="F1411" s="11"/>
      <c r="G1411" s="12"/>
      <c r="H1411" s="11"/>
      <c r="I1411" s="12"/>
      <c r="J1411" s="12" t="n">
        <f aca="false">COUNT(E1411,G1411,I1411)</f>
        <v>1</v>
      </c>
      <c r="K1411" s="13" t="n">
        <f aca="false">MIN(E1411,G1411,I1411)</f>
        <v>661</v>
      </c>
      <c r="L1411" s="9" t="str">
        <f aca="false">IF(E1411=K1411,"5000m",IF(G1411=K1411,"3000mSC","1500m"))</f>
        <v>5000m</v>
      </c>
      <c r="M1411" s="14" t="n">
        <f aca="false">(D1411&lt;&gt;"")*(D1411&lt;=($E$3*60+$F$3)/86400)+(F1411&lt;&gt;"")*(F1411&lt;=($I$3*60+$J$3)/86400)+(H1411&lt;&gt;"")*(H1411&lt;=($M$3*60+$N$3)/86400)</f>
        <v>0</v>
      </c>
      <c r="N1411" s="16"/>
      <c r="O1411" s="15"/>
    </row>
    <row r="1412" customFormat="false" ht="25.35" hidden="false" customHeight="false" outlineLevel="0" collapsed="false">
      <c r="A1412" s="9" t="n">
        <v>1406</v>
      </c>
      <c r="B1412" s="10" t="s">
        <v>2034</v>
      </c>
      <c r="C1412" s="10" t="s">
        <v>2035</v>
      </c>
      <c r="D1412" s="11"/>
      <c r="E1412" s="12"/>
      <c r="F1412" s="11" t="n">
        <v>0.0073150462962963</v>
      </c>
      <c r="G1412" s="12" t="n">
        <v>662</v>
      </c>
      <c r="H1412" s="11"/>
      <c r="I1412" s="12"/>
      <c r="J1412" s="12" t="n">
        <f aca="false">COUNT(E1412,G1412,I1412)</f>
        <v>1</v>
      </c>
      <c r="K1412" s="13" t="n">
        <f aca="false">MIN(E1412,G1412,I1412)</f>
        <v>662</v>
      </c>
      <c r="L1412" s="9" t="str">
        <f aca="false">IF(E1412=K1412,"5000m",IF(G1412=K1412,"3000mSC","1500m"))</f>
        <v>3000mSC</v>
      </c>
      <c r="M1412" s="14" t="n">
        <f aca="false">(D1412&lt;&gt;"")*(D1412&lt;=($E$3*60+$F$3)/86400)+(F1412&lt;&gt;"")*(F1412&lt;=($I$3*60+$J$3)/86400)+(H1412&lt;&gt;"")*(H1412&lt;=($M$3*60+$N$3)/86400)</f>
        <v>0</v>
      </c>
      <c r="N1412" s="16"/>
      <c r="O1412" s="15"/>
    </row>
    <row r="1413" customFormat="false" ht="15" hidden="false" customHeight="false" outlineLevel="0" collapsed="false">
      <c r="A1413" s="9" t="n">
        <v>1407</v>
      </c>
      <c r="B1413" s="10" t="s">
        <v>2036</v>
      </c>
      <c r="C1413" s="10" t="s">
        <v>1729</v>
      </c>
      <c r="D1413" s="11"/>
      <c r="E1413" s="12"/>
      <c r="F1413" s="11"/>
      <c r="G1413" s="12"/>
      <c r="H1413" s="11" t="n">
        <v>0.00286446759259259</v>
      </c>
      <c r="I1413" s="12" t="n">
        <v>662</v>
      </c>
      <c r="J1413" s="12" t="n">
        <f aca="false">COUNT(E1413,G1413,I1413)</f>
        <v>1</v>
      </c>
      <c r="K1413" s="13" t="n">
        <f aca="false">MIN(E1413,G1413,I1413)</f>
        <v>662</v>
      </c>
      <c r="L1413" s="9" t="str">
        <f aca="false">IF(E1413=K1413,"5000m",IF(G1413=K1413,"3000mSC","1500m"))</f>
        <v>1500m</v>
      </c>
      <c r="M1413" s="14" t="n">
        <f aca="false">(D1413&lt;&gt;"")*(D1413&lt;=($E$3*60+$F$3)/86400)+(F1413&lt;&gt;"")*(F1413&lt;=($I$3*60+$J$3)/86400)+(H1413&lt;&gt;"")*(H1413&lt;=($M$3*60+$N$3)/86400)</f>
        <v>0</v>
      </c>
      <c r="N1413" s="16"/>
      <c r="O1413" s="15"/>
    </row>
    <row r="1414" customFormat="false" ht="15" hidden="false" customHeight="false" outlineLevel="0" collapsed="false">
      <c r="A1414" s="9" t="n">
        <v>1408</v>
      </c>
      <c r="B1414" s="10" t="s">
        <v>2037</v>
      </c>
      <c r="C1414" s="10" t="s">
        <v>2038</v>
      </c>
      <c r="D1414" s="11" t="n">
        <v>0.010746412037037</v>
      </c>
      <c r="E1414" s="12" t="n">
        <v>663</v>
      </c>
      <c r="F1414" s="11"/>
      <c r="G1414" s="12"/>
      <c r="H1414" s="11"/>
      <c r="I1414" s="12"/>
      <c r="J1414" s="12" t="n">
        <f aca="false">COUNT(E1414,G1414,I1414)</f>
        <v>1</v>
      </c>
      <c r="K1414" s="13" t="n">
        <f aca="false">MIN(E1414,G1414,I1414)</f>
        <v>663</v>
      </c>
      <c r="L1414" s="9" t="str">
        <f aca="false">IF(E1414=K1414,"5000m",IF(G1414=K1414,"3000mSC","1500m"))</f>
        <v>5000m</v>
      </c>
      <c r="M1414" s="14" t="n">
        <f aca="false">(D1414&lt;&gt;"")*(D1414&lt;=($E$3*60+$F$3)/86400)+(F1414&lt;&gt;"")*(F1414&lt;=($I$3*60+$J$3)/86400)+(H1414&lt;&gt;"")*(H1414&lt;=($M$3*60+$N$3)/86400)</f>
        <v>0</v>
      </c>
      <c r="N1414" s="16"/>
      <c r="O1414" s="15"/>
    </row>
    <row r="1415" customFormat="false" ht="25.35" hidden="false" customHeight="false" outlineLevel="0" collapsed="false">
      <c r="A1415" s="9" t="n">
        <v>1409</v>
      </c>
      <c r="B1415" s="10" t="s">
        <v>2039</v>
      </c>
      <c r="C1415" s="10" t="s">
        <v>927</v>
      </c>
      <c r="D1415" s="11"/>
      <c r="E1415" s="12"/>
      <c r="F1415" s="11" t="n">
        <v>0.00731655092592593</v>
      </c>
      <c r="G1415" s="12" t="n">
        <v>663</v>
      </c>
      <c r="H1415" s="11"/>
      <c r="I1415" s="12"/>
      <c r="J1415" s="12" t="n">
        <f aca="false">COUNT(E1415,G1415,I1415)</f>
        <v>1</v>
      </c>
      <c r="K1415" s="13" t="n">
        <f aca="false">MIN(E1415,G1415,I1415)</f>
        <v>663</v>
      </c>
      <c r="L1415" s="9" t="str">
        <f aca="false">IF(E1415=K1415,"5000m",IF(G1415=K1415,"3000mSC","1500m"))</f>
        <v>3000mSC</v>
      </c>
      <c r="M1415" s="14" t="n">
        <f aca="false">(D1415&lt;&gt;"")*(D1415&lt;=($E$3*60+$F$3)/86400)+(F1415&lt;&gt;"")*(F1415&lt;=($I$3*60+$J$3)/86400)+(H1415&lt;&gt;"")*(H1415&lt;=($M$3*60+$N$3)/86400)</f>
        <v>0</v>
      </c>
      <c r="N1415" s="16"/>
      <c r="O1415" s="15"/>
    </row>
    <row r="1416" customFormat="false" ht="15" hidden="false" customHeight="false" outlineLevel="0" collapsed="false">
      <c r="A1416" s="9" t="n">
        <v>1410</v>
      </c>
      <c r="B1416" s="10" t="s">
        <v>2040</v>
      </c>
      <c r="C1416" s="10" t="s">
        <v>2041</v>
      </c>
      <c r="D1416" s="11" t="n">
        <v>0.0111123842592593</v>
      </c>
      <c r="E1416" s="12" t="n">
        <v>1279</v>
      </c>
      <c r="F1416" s="11"/>
      <c r="G1416" s="12"/>
      <c r="H1416" s="11" t="n">
        <v>0.00286469907407407</v>
      </c>
      <c r="I1416" s="12" t="n">
        <v>664</v>
      </c>
      <c r="J1416" s="12" t="n">
        <f aca="false">COUNT(E1416,G1416,I1416)</f>
        <v>2</v>
      </c>
      <c r="K1416" s="13" t="n">
        <f aca="false">MIN(E1416,G1416,I1416)</f>
        <v>664</v>
      </c>
      <c r="L1416" s="9" t="str">
        <f aca="false">IF(E1416=K1416,"5000m",IF(G1416=K1416,"3000mSC","1500m"))</f>
        <v>1500m</v>
      </c>
      <c r="M1416" s="14" t="n">
        <f aca="false">(D1416&lt;&gt;"")*(D1416&lt;=($E$3*60+$F$3)/86400)+(F1416&lt;&gt;"")*(F1416&lt;=($I$3*60+$J$3)/86400)+(H1416&lt;&gt;"")*(H1416&lt;=($M$3*60+$N$3)/86400)</f>
        <v>0</v>
      </c>
      <c r="N1416" s="16"/>
      <c r="O1416" s="15"/>
    </row>
    <row r="1417" customFormat="false" ht="25.35" hidden="false" customHeight="false" outlineLevel="0" collapsed="false">
      <c r="A1417" s="9" t="n">
        <v>1411</v>
      </c>
      <c r="B1417" s="10" t="s">
        <v>2042</v>
      </c>
      <c r="C1417" s="10" t="s">
        <v>983</v>
      </c>
      <c r="D1417" s="11"/>
      <c r="E1417" s="12"/>
      <c r="F1417" s="11" t="n">
        <v>0.00731689814814815</v>
      </c>
      <c r="G1417" s="12" t="n">
        <v>665</v>
      </c>
      <c r="H1417" s="11"/>
      <c r="I1417" s="12"/>
      <c r="J1417" s="12" t="n">
        <f aca="false">COUNT(E1417,G1417,I1417)</f>
        <v>1</v>
      </c>
      <c r="K1417" s="13" t="n">
        <f aca="false">MIN(E1417,G1417,I1417)</f>
        <v>665</v>
      </c>
      <c r="L1417" s="9" t="str">
        <f aca="false">IF(E1417=K1417,"5000m",IF(G1417=K1417,"3000mSC","1500m"))</f>
        <v>3000mSC</v>
      </c>
      <c r="M1417" s="14" t="n">
        <f aca="false">(D1417&lt;&gt;"")*(D1417&lt;=($E$3*60+$F$3)/86400)+(F1417&lt;&gt;"")*(F1417&lt;=($I$3*60+$J$3)/86400)+(H1417&lt;&gt;"")*(H1417&lt;=($M$3*60+$N$3)/86400)</f>
        <v>0</v>
      </c>
      <c r="N1417" s="16"/>
      <c r="O1417" s="15"/>
    </row>
    <row r="1418" customFormat="false" ht="15" hidden="false" customHeight="false" outlineLevel="0" collapsed="false">
      <c r="A1418" s="9" t="n">
        <v>1412</v>
      </c>
      <c r="B1418" s="10" t="s">
        <v>2043</v>
      </c>
      <c r="C1418" s="10" t="s">
        <v>2044</v>
      </c>
      <c r="D1418" s="11"/>
      <c r="E1418" s="12"/>
      <c r="F1418" s="11"/>
      <c r="G1418" s="12"/>
      <c r="H1418" s="11" t="n">
        <v>0.00286481481481482</v>
      </c>
      <c r="I1418" s="12" t="n">
        <v>665</v>
      </c>
      <c r="J1418" s="12" t="n">
        <f aca="false">COUNT(E1418,G1418,I1418)</f>
        <v>1</v>
      </c>
      <c r="K1418" s="13" t="n">
        <f aca="false">MIN(E1418,G1418,I1418)</f>
        <v>665</v>
      </c>
      <c r="L1418" s="9" t="str">
        <f aca="false">IF(E1418=K1418,"5000m",IF(G1418=K1418,"3000mSC","1500m"))</f>
        <v>1500m</v>
      </c>
      <c r="M1418" s="14" t="n">
        <f aca="false">(D1418&lt;&gt;"")*(D1418&lt;=($E$3*60+$F$3)/86400)+(F1418&lt;&gt;"")*(F1418&lt;=($I$3*60+$J$3)/86400)+(H1418&lt;&gt;"")*(H1418&lt;=($M$3*60+$N$3)/86400)</f>
        <v>0</v>
      </c>
      <c r="N1418" s="16"/>
      <c r="O1418" s="15"/>
    </row>
    <row r="1419" customFormat="false" ht="25.35" hidden="false" customHeight="false" outlineLevel="0" collapsed="false">
      <c r="A1419" s="9" t="n">
        <v>1413</v>
      </c>
      <c r="B1419" s="10" t="s">
        <v>2045</v>
      </c>
      <c r="C1419" s="10" t="s">
        <v>1841</v>
      </c>
      <c r="D1419" s="11"/>
      <c r="E1419" s="12"/>
      <c r="F1419" s="11" t="n">
        <v>0.00731724537037037</v>
      </c>
      <c r="G1419" s="12" t="n">
        <v>666</v>
      </c>
      <c r="H1419" s="11"/>
      <c r="I1419" s="12"/>
      <c r="J1419" s="12" t="n">
        <f aca="false">COUNT(E1419,G1419,I1419)</f>
        <v>1</v>
      </c>
      <c r="K1419" s="13" t="n">
        <f aca="false">MIN(E1419,G1419,I1419)</f>
        <v>666</v>
      </c>
      <c r="L1419" s="9" t="str">
        <f aca="false">IF(E1419=K1419,"5000m",IF(G1419=K1419,"3000mSC","1500m"))</f>
        <v>3000mSC</v>
      </c>
      <c r="M1419" s="14" t="n">
        <f aca="false">(D1419&lt;&gt;"")*(D1419&lt;=($E$3*60+$F$3)/86400)+(F1419&lt;&gt;"")*(F1419&lt;=($I$3*60+$J$3)/86400)+(H1419&lt;&gt;"")*(H1419&lt;=($M$3*60+$N$3)/86400)</f>
        <v>0</v>
      </c>
      <c r="N1419" s="16"/>
      <c r="O1419" s="15"/>
    </row>
    <row r="1420" customFormat="false" ht="25.35" hidden="false" customHeight="false" outlineLevel="0" collapsed="false">
      <c r="A1420" s="9" t="n">
        <v>1414</v>
      </c>
      <c r="B1420" s="10" t="s">
        <v>2046</v>
      </c>
      <c r="C1420" s="10" t="s">
        <v>1122</v>
      </c>
      <c r="D1420" s="11"/>
      <c r="E1420" s="12"/>
      <c r="F1420" s="11" t="n">
        <v>0.00731782407407407</v>
      </c>
      <c r="G1420" s="12" t="n">
        <v>667</v>
      </c>
      <c r="H1420" s="11" t="n">
        <v>0.0028869212962963</v>
      </c>
      <c r="I1420" s="12" t="n">
        <v>832</v>
      </c>
      <c r="J1420" s="12" t="n">
        <f aca="false">COUNT(E1420,G1420,I1420)</f>
        <v>2</v>
      </c>
      <c r="K1420" s="13" t="n">
        <f aca="false">MIN(E1420,G1420,I1420)</f>
        <v>667</v>
      </c>
      <c r="L1420" s="9" t="str">
        <f aca="false">IF(E1420=K1420,"5000m",IF(G1420=K1420,"3000mSC","1500m"))</f>
        <v>3000mSC</v>
      </c>
      <c r="M1420" s="14" t="n">
        <f aca="false">(D1420&lt;&gt;"")*(D1420&lt;=($E$3*60+$F$3)/86400)+(F1420&lt;&gt;"")*(F1420&lt;=($I$3*60+$J$3)/86400)+(H1420&lt;&gt;"")*(H1420&lt;=($M$3*60+$N$3)/86400)</f>
        <v>0</v>
      </c>
      <c r="N1420" s="16"/>
      <c r="O1420" s="15"/>
    </row>
    <row r="1421" customFormat="false" ht="15" hidden="false" customHeight="false" outlineLevel="0" collapsed="false">
      <c r="A1421" s="9" t="n">
        <v>1415</v>
      </c>
      <c r="B1421" s="10" t="s">
        <v>2047</v>
      </c>
      <c r="C1421" s="10" t="s">
        <v>1174</v>
      </c>
      <c r="D1421" s="11"/>
      <c r="E1421" s="12"/>
      <c r="F1421" s="11"/>
      <c r="G1421" s="12"/>
      <c r="H1421" s="11" t="n">
        <v>0.00286539351851852</v>
      </c>
      <c r="I1421" s="12" t="n">
        <v>667</v>
      </c>
      <c r="J1421" s="12" t="n">
        <f aca="false">COUNT(E1421,G1421,I1421)</f>
        <v>1</v>
      </c>
      <c r="K1421" s="13" t="n">
        <f aca="false">MIN(E1421,G1421,I1421)</f>
        <v>667</v>
      </c>
      <c r="L1421" s="9" t="str">
        <f aca="false">IF(E1421=K1421,"5000m",IF(G1421=K1421,"3000mSC","1500m"))</f>
        <v>1500m</v>
      </c>
      <c r="M1421" s="14" t="n">
        <f aca="false">(D1421&lt;&gt;"")*(D1421&lt;=($E$3*60+$F$3)/86400)+(F1421&lt;&gt;"")*(F1421&lt;=($I$3*60+$J$3)/86400)+(H1421&lt;&gt;"")*(H1421&lt;=($M$3*60+$N$3)/86400)</f>
        <v>0</v>
      </c>
      <c r="N1421" s="16"/>
      <c r="O1421" s="15"/>
    </row>
    <row r="1422" customFormat="false" ht="25.35" hidden="false" customHeight="false" outlineLevel="0" collapsed="false">
      <c r="A1422" s="9" t="n">
        <v>1416</v>
      </c>
      <c r="B1422" s="10" t="s">
        <v>2048</v>
      </c>
      <c r="C1422" s="10" t="s">
        <v>2049</v>
      </c>
      <c r="D1422" s="11"/>
      <c r="E1422" s="12"/>
      <c r="F1422" s="11" t="n">
        <v>0.00731805555555556</v>
      </c>
      <c r="G1422" s="12" t="n">
        <v>668</v>
      </c>
      <c r="H1422" s="11"/>
      <c r="I1422" s="12"/>
      <c r="J1422" s="12" t="n">
        <f aca="false">COUNT(E1422,G1422,I1422)</f>
        <v>1</v>
      </c>
      <c r="K1422" s="13" t="n">
        <f aca="false">MIN(E1422,G1422,I1422)</f>
        <v>668</v>
      </c>
      <c r="L1422" s="9" t="str">
        <f aca="false">IF(E1422=K1422,"5000m",IF(G1422=K1422,"3000mSC","1500m"))</f>
        <v>3000mSC</v>
      </c>
      <c r="M1422" s="14" t="n">
        <f aca="false">(D1422&lt;&gt;"")*(D1422&lt;=($E$3*60+$F$3)/86400)+(F1422&lt;&gt;"")*(F1422&lt;=($I$3*60+$J$3)/86400)+(H1422&lt;&gt;"")*(H1422&lt;=($M$3*60+$N$3)/86400)</f>
        <v>0</v>
      </c>
      <c r="N1422" s="10" t="s">
        <v>2050</v>
      </c>
      <c r="O1422" s="15"/>
    </row>
    <row r="1423" customFormat="false" ht="15" hidden="false" customHeight="false" outlineLevel="0" collapsed="false">
      <c r="A1423" s="9" t="n">
        <v>1417</v>
      </c>
      <c r="B1423" s="10" t="s">
        <v>2051</v>
      </c>
      <c r="C1423" s="10" t="s">
        <v>27</v>
      </c>
      <c r="D1423" s="11" t="n">
        <v>0.0107510416666667</v>
      </c>
      <c r="E1423" s="12" t="n">
        <v>669</v>
      </c>
      <c r="F1423" s="11"/>
      <c r="G1423" s="12"/>
      <c r="H1423" s="11" t="n">
        <v>0.00297569444444445</v>
      </c>
      <c r="I1423" s="12" t="n">
        <v>1330</v>
      </c>
      <c r="J1423" s="12" t="n">
        <f aca="false">COUNT(E1423,G1423,I1423)</f>
        <v>2</v>
      </c>
      <c r="K1423" s="13" t="n">
        <f aca="false">MIN(E1423,G1423,I1423)</f>
        <v>669</v>
      </c>
      <c r="L1423" s="9" t="str">
        <f aca="false">IF(E1423=K1423,"5000m",IF(G1423=K1423,"3000mSC","1500m"))</f>
        <v>5000m</v>
      </c>
      <c r="M1423" s="14" t="n">
        <f aca="false">(D1423&lt;&gt;"")*(D1423&lt;=($E$3*60+$F$3)/86400)+(F1423&lt;&gt;"")*(F1423&lt;=($I$3*60+$J$3)/86400)+(H1423&lt;&gt;"")*(H1423&lt;=($M$3*60+$N$3)/86400)</f>
        <v>0</v>
      </c>
      <c r="N1423" s="16"/>
      <c r="O1423" s="15"/>
    </row>
    <row r="1424" customFormat="false" ht="25.35" hidden="false" customHeight="false" outlineLevel="0" collapsed="false">
      <c r="A1424" s="9" t="n">
        <v>1418</v>
      </c>
      <c r="B1424" s="10" t="s">
        <v>2052</v>
      </c>
      <c r="C1424" s="10" t="s">
        <v>2053</v>
      </c>
      <c r="D1424" s="11"/>
      <c r="E1424" s="12"/>
      <c r="F1424" s="11" t="n">
        <v>0.00731840277777778</v>
      </c>
      <c r="G1424" s="12" t="n">
        <v>669</v>
      </c>
      <c r="H1424" s="11"/>
      <c r="I1424" s="12"/>
      <c r="J1424" s="12" t="n">
        <f aca="false">COUNT(E1424,G1424,I1424)</f>
        <v>1</v>
      </c>
      <c r="K1424" s="13" t="n">
        <f aca="false">MIN(E1424,G1424,I1424)</f>
        <v>669</v>
      </c>
      <c r="L1424" s="9" t="str">
        <f aca="false">IF(E1424=K1424,"5000m",IF(G1424=K1424,"3000mSC","1500m"))</f>
        <v>3000mSC</v>
      </c>
      <c r="M1424" s="14" t="n">
        <f aca="false">(D1424&lt;&gt;"")*(D1424&lt;=($E$3*60+$F$3)/86400)+(F1424&lt;&gt;"")*(F1424&lt;=($I$3*60+$J$3)/86400)+(H1424&lt;&gt;"")*(H1424&lt;=($M$3*60+$N$3)/86400)</f>
        <v>0</v>
      </c>
      <c r="N1424" s="16"/>
      <c r="O1424" s="15"/>
    </row>
    <row r="1425" customFormat="false" ht="25.35" hidden="false" customHeight="false" outlineLevel="0" collapsed="false">
      <c r="A1425" s="9" t="n">
        <v>1419</v>
      </c>
      <c r="B1425" s="10" t="s">
        <v>2054</v>
      </c>
      <c r="C1425" s="10" t="s">
        <v>1351</v>
      </c>
      <c r="D1425" s="11"/>
      <c r="E1425" s="12"/>
      <c r="F1425" s="11" t="n">
        <v>0.00731956018518519</v>
      </c>
      <c r="G1425" s="12" t="n">
        <v>670</v>
      </c>
      <c r="H1425" s="11"/>
      <c r="I1425" s="12"/>
      <c r="J1425" s="12" t="n">
        <f aca="false">COUNT(E1425,G1425,I1425)</f>
        <v>1</v>
      </c>
      <c r="K1425" s="13" t="n">
        <f aca="false">MIN(E1425,G1425,I1425)</f>
        <v>670</v>
      </c>
      <c r="L1425" s="9" t="str">
        <f aca="false">IF(E1425=K1425,"5000m",IF(G1425=K1425,"3000mSC","1500m"))</f>
        <v>3000mSC</v>
      </c>
      <c r="M1425" s="14" t="n">
        <f aca="false">(D1425&lt;&gt;"")*(D1425&lt;=($E$3*60+$F$3)/86400)+(F1425&lt;&gt;"")*(F1425&lt;=($I$3*60+$J$3)/86400)+(H1425&lt;&gt;"")*(H1425&lt;=($M$3*60+$N$3)/86400)</f>
        <v>0</v>
      </c>
      <c r="N1425" s="16"/>
      <c r="O1425" s="15"/>
    </row>
    <row r="1426" customFormat="false" ht="15" hidden="false" customHeight="false" outlineLevel="0" collapsed="false">
      <c r="A1426" s="9" t="n">
        <v>1420</v>
      </c>
      <c r="B1426" s="10" t="s">
        <v>2055</v>
      </c>
      <c r="C1426" s="10" t="s">
        <v>210</v>
      </c>
      <c r="D1426" s="11" t="n">
        <v>0.010753125</v>
      </c>
      <c r="E1426" s="12" t="n">
        <v>672</v>
      </c>
      <c r="F1426" s="11" t="n">
        <v>0.00746712962962963</v>
      </c>
      <c r="G1426" s="12" t="n">
        <v>857</v>
      </c>
      <c r="H1426" s="11" t="n">
        <v>0.00291041666666667</v>
      </c>
      <c r="I1426" s="12" t="n">
        <v>1024</v>
      </c>
      <c r="J1426" s="12" t="n">
        <f aca="false">COUNT(E1426,G1426,I1426)</f>
        <v>3</v>
      </c>
      <c r="K1426" s="13" t="n">
        <f aca="false">MIN(E1426,G1426,I1426)</f>
        <v>672</v>
      </c>
      <c r="L1426" s="9" t="str">
        <f aca="false">IF(E1426=K1426,"5000m",IF(G1426=K1426,"3000mSC","1500m"))</f>
        <v>5000m</v>
      </c>
      <c r="M1426" s="14" t="n">
        <f aca="false">(D1426&lt;&gt;"")*(D1426&lt;=($E$3*60+$F$3)/86400)+(F1426&lt;&gt;"")*(F1426&lt;=($I$3*60+$J$3)/86400)+(H1426&lt;&gt;"")*(H1426&lt;=($M$3*60+$N$3)/86400)</f>
        <v>0</v>
      </c>
      <c r="N1426" s="16"/>
      <c r="O1426" s="15"/>
    </row>
    <row r="1427" customFormat="false" ht="25.35" hidden="false" customHeight="false" outlineLevel="0" collapsed="false">
      <c r="A1427" s="9" t="n">
        <v>1421</v>
      </c>
      <c r="B1427" s="10" t="s">
        <v>2056</v>
      </c>
      <c r="C1427" s="10" t="s">
        <v>1348</v>
      </c>
      <c r="D1427" s="11"/>
      <c r="E1427" s="12"/>
      <c r="F1427" s="11" t="n">
        <v>0.00732141203703704</v>
      </c>
      <c r="G1427" s="12" t="n">
        <v>672</v>
      </c>
      <c r="H1427" s="11" t="n">
        <v>0.00292604166666667</v>
      </c>
      <c r="I1427" s="12" t="n">
        <v>1158</v>
      </c>
      <c r="J1427" s="12" t="n">
        <f aca="false">COUNT(E1427,G1427,I1427)</f>
        <v>2</v>
      </c>
      <c r="K1427" s="13" t="n">
        <f aca="false">MIN(E1427,G1427,I1427)</f>
        <v>672</v>
      </c>
      <c r="L1427" s="9" t="str">
        <f aca="false">IF(E1427=K1427,"5000m",IF(G1427=K1427,"3000mSC","1500m"))</f>
        <v>3000mSC</v>
      </c>
      <c r="M1427" s="14" t="n">
        <f aca="false">(D1427&lt;&gt;"")*(D1427&lt;=($E$3*60+$F$3)/86400)+(F1427&lt;&gt;"")*(F1427&lt;=($I$3*60+$J$3)/86400)+(H1427&lt;&gt;"")*(H1427&lt;=($M$3*60+$N$3)/86400)</f>
        <v>0</v>
      </c>
      <c r="N1427" s="16"/>
      <c r="O1427" s="15"/>
    </row>
    <row r="1428" customFormat="false" ht="15" hidden="false" customHeight="false" outlineLevel="0" collapsed="false">
      <c r="A1428" s="9" t="n">
        <v>1422</v>
      </c>
      <c r="B1428" s="10" t="s">
        <v>2057</v>
      </c>
      <c r="C1428" s="10" t="s">
        <v>2058</v>
      </c>
      <c r="D1428" s="11"/>
      <c r="E1428" s="12"/>
      <c r="F1428" s="11"/>
      <c r="G1428" s="12"/>
      <c r="H1428" s="11" t="n">
        <v>0.00286643518518519</v>
      </c>
      <c r="I1428" s="12" t="n">
        <v>672</v>
      </c>
      <c r="J1428" s="12" t="n">
        <f aca="false">COUNT(E1428,G1428,I1428)</f>
        <v>1</v>
      </c>
      <c r="K1428" s="13" t="n">
        <f aca="false">MIN(E1428,G1428,I1428)</f>
        <v>672</v>
      </c>
      <c r="L1428" s="9" t="str">
        <f aca="false">IF(E1428=K1428,"5000m",IF(G1428=K1428,"3000mSC","1500m"))</f>
        <v>1500m</v>
      </c>
      <c r="M1428" s="14" t="n">
        <f aca="false">(D1428&lt;&gt;"")*(D1428&lt;=($E$3*60+$F$3)/86400)+(F1428&lt;&gt;"")*(F1428&lt;=($I$3*60+$J$3)/86400)+(H1428&lt;&gt;"")*(H1428&lt;=($M$3*60+$N$3)/86400)</f>
        <v>0</v>
      </c>
      <c r="N1428" s="16"/>
      <c r="O1428" s="15"/>
    </row>
    <row r="1429" customFormat="false" ht="25.35" hidden="false" customHeight="false" outlineLevel="0" collapsed="false">
      <c r="A1429" s="9" t="n">
        <v>1423</v>
      </c>
      <c r="B1429" s="10" t="s">
        <v>2059</v>
      </c>
      <c r="C1429" s="10" t="s">
        <v>730</v>
      </c>
      <c r="D1429" s="11"/>
      <c r="E1429" s="12"/>
      <c r="F1429" s="11" t="n">
        <v>0.00732152777777778</v>
      </c>
      <c r="G1429" s="12" t="n">
        <v>673</v>
      </c>
      <c r="H1429" s="11"/>
      <c r="I1429" s="12"/>
      <c r="J1429" s="12" t="n">
        <f aca="false">COUNT(E1429,G1429,I1429)</f>
        <v>1</v>
      </c>
      <c r="K1429" s="13" t="n">
        <f aca="false">MIN(E1429,G1429,I1429)</f>
        <v>673</v>
      </c>
      <c r="L1429" s="9" t="str">
        <f aca="false">IF(E1429=K1429,"5000m",IF(G1429=K1429,"3000mSC","1500m"))</f>
        <v>3000mSC</v>
      </c>
      <c r="M1429" s="14" t="n">
        <f aca="false">(D1429&lt;&gt;"")*(D1429&lt;=($E$3*60+$F$3)/86400)+(F1429&lt;&gt;"")*(F1429&lt;=($I$3*60+$J$3)/86400)+(H1429&lt;&gt;"")*(H1429&lt;=($M$3*60+$N$3)/86400)</f>
        <v>0</v>
      </c>
      <c r="N1429" s="16"/>
      <c r="O1429" s="15"/>
    </row>
    <row r="1430" customFormat="false" ht="15" hidden="false" customHeight="false" outlineLevel="0" collapsed="false">
      <c r="A1430" s="9" t="n">
        <v>1424</v>
      </c>
      <c r="B1430" s="10" t="s">
        <v>2060</v>
      </c>
      <c r="C1430" s="10" t="s">
        <v>812</v>
      </c>
      <c r="D1430" s="11" t="n">
        <v>0.0107541666666667</v>
      </c>
      <c r="E1430" s="12" t="n">
        <v>674</v>
      </c>
      <c r="F1430" s="11"/>
      <c r="G1430" s="12"/>
      <c r="H1430" s="11"/>
      <c r="I1430" s="12"/>
      <c r="J1430" s="12" t="n">
        <f aca="false">COUNT(E1430,G1430,I1430)</f>
        <v>1</v>
      </c>
      <c r="K1430" s="13" t="n">
        <f aca="false">MIN(E1430,G1430,I1430)</f>
        <v>674</v>
      </c>
      <c r="L1430" s="9" t="str">
        <f aca="false">IF(E1430=K1430,"5000m",IF(G1430=K1430,"3000mSC","1500m"))</f>
        <v>5000m</v>
      </c>
      <c r="M1430" s="14" t="n">
        <f aca="false">(D1430&lt;&gt;"")*(D1430&lt;=($E$3*60+$F$3)/86400)+(F1430&lt;&gt;"")*(F1430&lt;=($I$3*60+$J$3)/86400)+(H1430&lt;&gt;"")*(H1430&lt;=($M$3*60+$N$3)/86400)</f>
        <v>0</v>
      </c>
      <c r="N1430" s="16"/>
      <c r="O1430" s="15"/>
    </row>
    <row r="1431" customFormat="false" ht="25.35" hidden="false" customHeight="false" outlineLevel="0" collapsed="false">
      <c r="A1431" s="9" t="n">
        <v>1425</v>
      </c>
      <c r="B1431" s="10" t="s">
        <v>2061</v>
      </c>
      <c r="C1431" s="10" t="s">
        <v>2062</v>
      </c>
      <c r="D1431" s="11"/>
      <c r="E1431" s="12"/>
      <c r="F1431" s="11" t="n">
        <v>0.00732175925925926</v>
      </c>
      <c r="G1431" s="12" t="n">
        <v>674</v>
      </c>
      <c r="H1431" s="11"/>
      <c r="I1431" s="12"/>
      <c r="J1431" s="12" t="n">
        <f aca="false">COUNT(E1431,G1431,I1431)</f>
        <v>1</v>
      </c>
      <c r="K1431" s="13" t="n">
        <f aca="false">MIN(E1431,G1431,I1431)</f>
        <v>674</v>
      </c>
      <c r="L1431" s="9" t="str">
        <f aca="false">IF(E1431=K1431,"5000m",IF(G1431=K1431,"3000mSC","1500m"))</f>
        <v>3000mSC</v>
      </c>
      <c r="M1431" s="14" t="n">
        <f aca="false">(D1431&lt;&gt;"")*(D1431&lt;=($E$3*60+$F$3)/86400)+(F1431&lt;&gt;"")*(F1431&lt;=($I$3*60+$J$3)/86400)+(H1431&lt;&gt;"")*(H1431&lt;=($M$3*60+$N$3)/86400)</f>
        <v>0</v>
      </c>
      <c r="N1431" s="16"/>
      <c r="O1431" s="15"/>
    </row>
    <row r="1432" customFormat="false" ht="15" hidden="false" customHeight="false" outlineLevel="0" collapsed="false">
      <c r="A1432" s="9" t="n">
        <v>1426</v>
      </c>
      <c r="B1432" s="10" t="s">
        <v>2063</v>
      </c>
      <c r="C1432" s="10" t="s">
        <v>1023</v>
      </c>
      <c r="D1432" s="11"/>
      <c r="E1432" s="12"/>
      <c r="F1432" s="11"/>
      <c r="G1432" s="12"/>
      <c r="H1432" s="11" t="n">
        <v>0.00286678240740741</v>
      </c>
      <c r="I1432" s="12" t="n">
        <v>674</v>
      </c>
      <c r="J1432" s="12" t="n">
        <f aca="false">COUNT(E1432,G1432,I1432)</f>
        <v>1</v>
      </c>
      <c r="K1432" s="13" t="n">
        <f aca="false">MIN(E1432,G1432,I1432)</f>
        <v>674</v>
      </c>
      <c r="L1432" s="9" t="str">
        <f aca="false">IF(E1432=K1432,"5000m",IF(G1432=K1432,"3000mSC","1500m"))</f>
        <v>1500m</v>
      </c>
      <c r="M1432" s="14" t="n">
        <f aca="false">(D1432&lt;&gt;"")*(D1432&lt;=($E$3*60+$F$3)/86400)+(F1432&lt;&gt;"")*(F1432&lt;=($I$3*60+$J$3)/86400)+(H1432&lt;&gt;"")*(H1432&lt;=($M$3*60+$N$3)/86400)</f>
        <v>0</v>
      </c>
      <c r="N1432" s="16"/>
      <c r="O1432" s="15"/>
    </row>
    <row r="1433" customFormat="false" ht="15" hidden="false" customHeight="false" outlineLevel="0" collapsed="false">
      <c r="A1433" s="9" t="n">
        <v>1427</v>
      </c>
      <c r="B1433" s="10" t="s">
        <v>2064</v>
      </c>
      <c r="C1433" s="10" t="s">
        <v>1020</v>
      </c>
      <c r="D1433" s="11" t="n">
        <v>0.0107555555555556</v>
      </c>
      <c r="E1433" s="12" t="n">
        <v>675</v>
      </c>
      <c r="F1433" s="11"/>
      <c r="G1433" s="12"/>
      <c r="H1433" s="11"/>
      <c r="I1433" s="12"/>
      <c r="J1433" s="12" t="n">
        <f aca="false">COUNT(E1433,G1433,I1433)</f>
        <v>1</v>
      </c>
      <c r="K1433" s="13" t="n">
        <f aca="false">MIN(E1433,G1433,I1433)</f>
        <v>675</v>
      </c>
      <c r="L1433" s="9" t="str">
        <f aca="false">IF(E1433=K1433,"5000m",IF(G1433=K1433,"3000mSC","1500m"))</f>
        <v>5000m</v>
      </c>
      <c r="M1433" s="14" t="n">
        <f aca="false">(D1433&lt;&gt;"")*(D1433&lt;=($E$3*60+$F$3)/86400)+(F1433&lt;&gt;"")*(F1433&lt;=($I$3*60+$J$3)/86400)+(H1433&lt;&gt;"")*(H1433&lt;=($M$3*60+$N$3)/86400)</f>
        <v>0</v>
      </c>
      <c r="N1433" s="16"/>
      <c r="O1433" s="15"/>
    </row>
    <row r="1434" customFormat="false" ht="25.35" hidden="false" customHeight="false" outlineLevel="0" collapsed="false">
      <c r="A1434" s="9" t="n">
        <v>1428</v>
      </c>
      <c r="B1434" s="10" t="s">
        <v>2065</v>
      </c>
      <c r="C1434" s="10" t="s">
        <v>2066</v>
      </c>
      <c r="D1434" s="11"/>
      <c r="E1434" s="12"/>
      <c r="F1434" s="11" t="n">
        <v>0.00732361111111111</v>
      </c>
      <c r="G1434" s="12" t="n">
        <v>675</v>
      </c>
      <c r="H1434" s="11"/>
      <c r="I1434" s="12"/>
      <c r="J1434" s="12" t="n">
        <f aca="false">COUNT(E1434,G1434,I1434)</f>
        <v>1</v>
      </c>
      <c r="K1434" s="13" t="n">
        <f aca="false">MIN(E1434,G1434,I1434)</f>
        <v>675</v>
      </c>
      <c r="L1434" s="9" t="str">
        <f aca="false">IF(E1434=K1434,"5000m",IF(G1434=K1434,"3000mSC","1500m"))</f>
        <v>3000mSC</v>
      </c>
      <c r="M1434" s="14" t="n">
        <f aca="false">(D1434&lt;&gt;"")*(D1434&lt;=($E$3*60+$F$3)/86400)+(F1434&lt;&gt;"")*(F1434&lt;=($I$3*60+$J$3)/86400)+(H1434&lt;&gt;"")*(H1434&lt;=($M$3*60+$N$3)/86400)</f>
        <v>0</v>
      </c>
      <c r="N1434" s="16"/>
      <c r="O1434" s="15"/>
    </row>
    <row r="1435" customFormat="false" ht="15" hidden="false" customHeight="false" outlineLevel="0" collapsed="false">
      <c r="A1435" s="9" t="n">
        <v>1429</v>
      </c>
      <c r="B1435" s="10" t="s">
        <v>2067</v>
      </c>
      <c r="C1435" s="10" t="s">
        <v>2068</v>
      </c>
      <c r="D1435" s="11"/>
      <c r="E1435" s="12"/>
      <c r="F1435" s="11"/>
      <c r="G1435" s="12"/>
      <c r="H1435" s="11" t="n">
        <v>0.00286712962962963</v>
      </c>
      <c r="I1435" s="12" t="n">
        <v>675</v>
      </c>
      <c r="J1435" s="12" t="n">
        <f aca="false">COUNT(E1435,G1435,I1435)</f>
        <v>1</v>
      </c>
      <c r="K1435" s="13" t="n">
        <f aca="false">MIN(E1435,G1435,I1435)</f>
        <v>675</v>
      </c>
      <c r="L1435" s="9" t="str">
        <f aca="false">IF(E1435=K1435,"5000m",IF(G1435=K1435,"3000mSC","1500m"))</f>
        <v>1500m</v>
      </c>
      <c r="M1435" s="14" t="n">
        <f aca="false">(D1435&lt;&gt;"")*(D1435&lt;=($E$3*60+$F$3)/86400)+(F1435&lt;&gt;"")*(F1435&lt;=($I$3*60+$J$3)/86400)+(H1435&lt;&gt;"")*(H1435&lt;=($M$3*60+$N$3)/86400)</f>
        <v>0</v>
      </c>
      <c r="N1435" s="16"/>
      <c r="O1435" s="15"/>
    </row>
    <row r="1436" customFormat="false" ht="15" hidden="false" customHeight="false" outlineLevel="0" collapsed="false">
      <c r="A1436" s="9" t="n">
        <v>1430</v>
      </c>
      <c r="B1436" s="10" t="s">
        <v>2069</v>
      </c>
      <c r="C1436" s="10" t="s">
        <v>1381</v>
      </c>
      <c r="D1436" s="11" t="n">
        <v>0.0108100694444445</v>
      </c>
      <c r="E1436" s="12" t="n">
        <v>764</v>
      </c>
      <c r="F1436" s="11"/>
      <c r="G1436" s="12"/>
      <c r="H1436" s="11" t="n">
        <v>0.00286712962962963</v>
      </c>
      <c r="I1436" s="12" t="n">
        <v>676</v>
      </c>
      <c r="J1436" s="12" t="n">
        <f aca="false">COUNT(E1436,G1436,I1436)</f>
        <v>2</v>
      </c>
      <c r="K1436" s="13" t="n">
        <f aca="false">MIN(E1436,G1436,I1436)</f>
        <v>676</v>
      </c>
      <c r="L1436" s="9" t="str">
        <f aca="false">IF(E1436=K1436,"5000m",IF(G1436=K1436,"3000mSC","1500m"))</f>
        <v>1500m</v>
      </c>
      <c r="M1436" s="14" t="n">
        <f aca="false">(D1436&lt;&gt;"")*(D1436&lt;=($E$3*60+$F$3)/86400)+(F1436&lt;&gt;"")*(F1436&lt;=($I$3*60+$J$3)/86400)+(H1436&lt;&gt;"")*(H1436&lt;=($M$3*60+$N$3)/86400)</f>
        <v>0</v>
      </c>
      <c r="N1436" s="16"/>
      <c r="O1436" s="15"/>
    </row>
    <row r="1437" customFormat="false" ht="15" hidden="false" customHeight="false" outlineLevel="0" collapsed="false">
      <c r="A1437" s="9" t="n">
        <v>1431</v>
      </c>
      <c r="B1437" s="10" t="s">
        <v>2070</v>
      </c>
      <c r="C1437" s="10" t="s">
        <v>538</v>
      </c>
      <c r="D1437" s="11" t="n">
        <v>0.0107561342592593</v>
      </c>
      <c r="E1437" s="12" t="n">
        <v>676</v>
      </c>
      <c r="F1437" s="11"/>
      <c r="G1437" s="12"/>
      <c r="H1437" s="11" t="n">
        <v>0.00289131944444445</v>
      </c>
      <c r="I1437" s="12" t="n">
        <v>879</v>
      </c>
      <c r="J1437" s="12" t="n">
        <f aca="false">COUNT(E1437,G1437,I1437)</f>
        <v>2</v>
      </c>
      <c r="K1437" s="13" t="n">
        <f aca="false">MIN(E1437,G1437,I1437)</f>
        <v>676</v>
      </c>
      <c r="L1437" s="9" t="str">
        <f aca="false">IF(E1437=K1437,"5000m",IF(G1437=K1437,"3000mSC","1500m"))</f>
        <v>5000m</v>
      </c>
      <c r="M1437" s="14" t="n">
        <f aca="false">(D1437&lt;&gt;"")*(D1437&lt;=($E$3*60+$F$3)/86400)+(F1437&lt;&gt;"")*(F1437&lt;=($I$3*60+$J$3)/86400)+(H1437&lt;&gt;"")*(H1437&lt;=($M$3*60+$N$3)/86400)</f>
        <v>0</v>
      </c>
      <c r="N1437" s="16"/>
      <c r="O1437" s="15"/>
    </row>
    <row r="1438" customFormat="false" ht="25.35" hidden="false" customHeight="false" outlineLevel="0" collapsed="false">
      <c r="A1438" s="9" t="n">
        <v>1432</v>
      </c>
      <c r="B1438" s="10" t="s">
        <v>2071</v>
      </c>
      <c r="C1438" s="10" t="s">
        <v>2072</v>
      </c>
      <c r="D1438" s="11"/>
      <c r="E1438" s="12"/>
      <c r="F1438" s="11" t="n">
        <v>0.00732384259259259</v>
      </c>
      <c r="G1438" s="12" t="n">
        <v>676</v>
      </c>
      <c r="H1438" s="11"/>
      <c r="I1438" s="12"/>
      <c r="J1438" s="12" t="n">
        <f aca="false">COUNT(E1438,G1438,I1438)</f>
        <v>1</v>
      </c>
      <c r="K1438" s="13" t="n">
        <f aca="false">MIN(E1438,G1438,I1438)</f>
        <v>676</v>
      </c>
      <c r="L1438" s="9" t="str">
        <f aca="false">IF(E1438=K1438,"5000m",IF(G1438=K1438,"3000mSC","1500m"))</f>
        <v>3000mSC</v>
      </c>
      <c r="M1438" s="14" t="n">
        <f aca="false">(D1438&lt;&gt;"")*(D1438&lt;=($E$3*60+$F$3)/86400)+(F1438&lt;&gt;"")*(F1438&lt;=($I$3*60+$J$3)/86400)+(H1438&lt;&gt;"")*(H1438&lt;=($M$3*60+$N$3)/86400)</f>
        <v>0</v>
      </c>
      <c r="N1438" s="16"/>
      <c r="O1438" s="15"/>
    </row>
    <row r="1439" customFormat="false" ht="25.35" hidden="false" customHeight="false" outlineLevel="0" collapsed="false">
      <c r="A1439" s="9" t="n">
        <v>1433</v>
      </c>
      <c r="B1439" s="10" t="s">
        <v>2073</v>
      </c>
      <c r="C1439" s="10" t="s">
        <v>2074</v>
      </c>
      <c r="D1439" s="11"/>
      <c r="E1439" s="12"/>
      <c r="F1439" s="11" t="n">
        <v>0.00732453703703704</v>
      </c>
      <c r="G1439" s="12" t="n">
        <v>677</v>
      </c>
      <c r="H1439" s="11"/>
      <c r="I1439" s="12"/>
      <c r="J1439" s="12" t="n">
        <f aca="false">COUNT(E1439,G1439,I1439)</f>
        <v>1</v>
      </c>
      <c r="K1439" s="13" t="n">
        <f aca="false">MIN(E1439,G1439,I1439)</f>
        <v>677</v>
      </c>
      <c r="L1439" s="9" t="str">
        <f aca="false">IF(E1439=K1439,"5000m",IF(G1439=K1439,"3000mSC","1500m"))</f>
        <v>3000mSC</v>
      </c>
      <c r="M1439" s="14" t="n">
        <f aca="false">(D1439&lt;&gt;"")*(D1439&lt;=($E$3*60+$F$3)/86400)+(F1439&lt;&gt;"")*(F1439&lt;=($I$3*60+$J$3)/86400)+(H1439&lt;&gt;"")*(H1439&lt;=($M$3*60+$N$3)/86400)</f>
        <v>0</v>
      </c>
      <c r="N1439" s="16"/>
      <c r="O1439" s="15"/>
    </row>
    <row r="1440" customFormat="false" ht="15" hidden="false" customHeight="false" outlineLevel="0" collapsed="false">
      <c r="A1440" s="9" t="n">
        <v>1434</v>
      </c>
      <c r="B1440" s="10" t="s">
        <v>2075</v>
      </c>
      <c r="C1440" s="10" t="s">
        <v>1649</v>
      </c>
      <c r="D1440" s="11"/>
      <c r="E1440" s="12"/>
      <c r="F1440" s="11"/>
      <c r="G1440" s="12"/>
      <c r="H1440" s="11" t="n">
        <v>0.00286724537037037</v>
      </c>
      <c r="I1440" s="12" t="n">
        <v>677</v>
      </c>
      <c r="J1440" s="12" t="n">
        <f aca="false">COUNT(E1440,G1440,I1440)</f>
        <v>1</v>
      </c>
      <c r="K1440" s="13" t="n">
        <f aca="false">MIN(E1440,G1440,I1440)</f>
        <v>677</v>
      </c>
      <c r="L1440" s="9" t="str">
        <f aca="false">IF(E1440=K1440,"5000m",IF(G1440=K1440,"3000mSC","1500m"))</f>
        <v>1500m</v>
      </c>
      <c r="M1440" s="14" t="n">
        <f aca="false">(D1440&lt;&gt;"")*(D1440&lt;=($E$3*60+$F$3)/86400)+(F1440&lt;&gt;"")*(F1440&lt;=($I$3*60+$J$3)/86400)+(H1440&lt;&gt;"")*(H1440&lt;=($M$3*60+$N$3)/86400)</f>
        <v>0</v>
      </c>
      <c r="N1440" s="16"/>
      <c r="O1440" s="15"/>
    </row>
    <row r="1441" customFormat="false" ht="25.35" hidden="false" customHeight="false" outlineLevel="0" collapsed="false">
      <c r="A1441" s="9" t="n">
        <v>1435</v>
      </c>
      <c r="B1441" s="10" t="s">
        <v>2076</v>
      </c>
      <c r="C1441" s="10" t="s">
        <v>2077</v>
      </c>
      <c r="D1441" s="11"/>
      <c r="E1441" s="12"/>
      <c r="F1441" s="11" t="n">
        <v>0.007325</v>
      </c>
      <c r="G1441" s="12" t="n">
        <v>678</v>
      </c>
      <c r="H1441" s="11"/>
      <c r="I1441" s="12"/>
      <c r="J1441" s="12" t="n">
        <f aca="false">COUNT(E1441,G1441,I1441)</f>
        <v>1</v>
      </c>
      <c r="K1441" s="13" t="n">
        <f aca="false">MIN(E1441,G1441,I1441)</f>
        <v>678</v>
      </c>
      <c r="L1441" s="9" t="str">
        <f aca="false">IF(E1441=K1441,"5000m",IF(G1441=K1441,"3000mSC","1500m"))</f>
        <v>3000mSC</v>
      </c>
      <c r="M1441" s="14" t="n">
        <f aca="false">(D1441&lt;&gt;"")*(D1441&lt;=($E$3*60+$F$3)/86400)+(F1441&lt;&gt;"")*(F1441&lt;=($I$3*60+$J$3)/86400)+(H1441&lt;&gt;"")*(H1441&lt;=($M$3*60+$N$3)/86400)</f>
        <v>0</v>
      </c>
      <c r="N1441" s="16"/>
      <c r="O1441" s="15"/>
    </row>
    <row r="1442" customFormat="false" ht="15" hidden="false" customHeight="false" outlineLevel="0" collapsed="false">
      <c r="A1442" s="9" t="n">
        <v>1436</v>
      </c>
      <c r="B1442" s="10" t="s">
        <v>2078</v>
      </c>
      <c r="C1442" s="10" t="s">
        <v>2079</v>
      </c>
      <c r="D1442" s="11"/>
      <c r="E1442" s="12"/>
      <c r="F1442" s="11"/>
      <c r="G1442" s="12"/>
      <c r="H1442" s="11" t="n">
        <v>0.00286724537037037</v>
      </c>
      <c r="I1442" s="12" t="n">
        <v>678</v>
      </c>
      <c r="J1442" s="12" t="n">
        <f aca="false">COUNT(E1442,G1442,I1442)</f>
        <v>1</v>
      </c>
      <c r="K1442" s="13" t="n">
        <f aca="false">MIN(E1442,G1442,I1442)</f>
        <v>678</v>
      </c>
      <c r="L1442" s="9" t="str">
        <f aca="false">IF(E1442=K1442,"5000m",IF(G1442=K1442,"3000mSC","1500m"))</f>
        <v>1500m</v>
      </c>
      <c r="M1442" s="14" t="n">
        <f aca="false">(D1442&lt;&gt;"")*(D1442&lt;=($E$3*60+$F$3)/86400)+(F1442&lt;&gt;"")*(F1442&lt;=($I$3*60+$J$3)/86400)+(H1442&lt;&gt;"")*(H1442&lt;=($M$3*60+$N$3)/86400)</f>
        <v>0</v>
      </c>
      <c r="N1442" s="16"/>
      <c r="O1442" s="15"/>
    </row>
    <row r="1443" customFormat="false" ht="25.35" hidden="false" customHeight="false" outlineLevel="0" collapsed="false">
      <c r="A1443" s="9" t="n">
        <v>1437</v>
      </c>
      <c r="B1443" s="10" t="s">
        <v>2080</v>
      </c>
      <c r="C1443" s="10" t="s">
        <v>434</v>
      </c>
      <c r="D1443" s="11"/>
      <c r="E1443" s="12"/>
      <c r="F1443" s="11" t="n">
        <v>0.00732719907407408</v>
      </c>
      <c r="G1443" s="12" t="n">
        <v>679</v>
      </c>
      <c r="H1443" s="11" t="n">
        <v>0.00296273148148148</v>
      </c>
      <c r="I1443" s="12" t="n">
        <v>1282</v>
      </c>
      <c r="J1443" s="12" t="n">
        <f aca="false">COUNT(E1443,G1443,I1443)</f>
        <v>2</v>
      </c>
      <c r="K1443" s="13" t="n">
        <f aca="false">MIN(E1443,G1443,I1443)</f>
        <v>679</v>
      </c>
      <c r="L1443" s="9" t="str">
        <f aca="false">IF(E1443=K1443,"5000m",IF(G1443=K1443,"3000mSC","1500m"))</f>
        <v>3000mSC</v>
      </c>
      <c r="M1443" s="14" t="n">
        <f aca="false">(D1443&lt;&gt;"")*(D1443&lt;=($E$3*60+$F$3)/86400)+(F1443&lt;&gt;"")*(F1443&lt;=($I$3*60+$J$3)/86400)+(H1443&lt;&gt;"")*(H1443&lt;=($M$3*60+$N$3)/86400)</f>
        <v>0</v>
      </c>
      <c r="N1443" s="16"/>
      <c r="O1443" s="15"/>
    </row>
    <row r="1444" customFormat="false" ht="15" hidden="false" customHeight="false" outlineLevel="0" collapsed="false">
      <c r="A1444" s="9" t="n">
        <v>1438</v>
      </c>
      <c r="B1444" s="10" t="s">
        <v>2081</v>
      </c>
      <c r="C1444" s="10" t="s">
        <v>2082</v>
      </c>
      <c r="D1444" s="11" t="n">
        <v>0.0107605324074074</v>
      </c>
      <c r="E1444" s="12" t="n">
        <v>680</v>
      </c>
      <c r="F1444" s="11"/>
      <c r="G1444" s="12"/>
      <c r="H1444" s="11"/>
      <c r="I1444" s="12"/>
      <c r="J1444" s="12" t="n">
        <f aca="false">COUNT(E1444,G1444,I1444)</f>
        <v>1</v>
      </c>
      <c r="K1444" s="13" t="n">
        <f aca="false">MIN(E1444,G1444,I1444)</f>
        <v>680</v>
      </c>
      <c r="L1444" s="9" t="str">
        <f aca="false">IF(E1444=K1444,"5000m",IF(G1444=K1444,"3000mSC","1500m"))</f>
        <v>5000m</v>
      </c>
      <c r="M1444" s="14" t="n">
        <f aca="false">(D1444&lt;&gt;"")*(D1444&lt;=($E$3*60+$F$3)/86400)+(F1444&lt;&gt;"")*(F1444&lt;=($I$3*60+$J$3)/86400)+(H1444&lt;&gt;"")*(H1444&lt;=($M$3*60+$N$3)/86400)</f>
        <v>0</v>
      </c>
      <c r="N1444" s="16"/>
      <c r="O1444" s="15"/>
    </row>
    <row r="1445" customFormat="false" ht="25.35" hidden="false" customHeight="false" outlineLevel="0" collapsed="false">
      <c r="A1445" s="9" t="n">
        <v>1439</v>
      </c>
      <c r="B1445" s="10" t="s">
        <v>2083</v>
      </c>
      <c r="C1445" s="10" t="s">
        <v>348</v>
      </c>
      <c r="D1445" s="11"/>
      <c r="E1445" s="12"/>
      <c r="F1445" s="11" t="n">
        <v>0.00732893518518519</v>
      </c>
      <c r="G1445" s="12" t="n">
        <v>680</v>
      </c>
      <c r="H1445" s="11"/>
      <c r="I1445" s="12"/>
      <c r="J1445" s="12" t="n">
        <f aca="false">COUNT(E1445,G1445,I1445)</f>
        <v>1</v>
      </c>
      <c r="K1445" s="13" t="n">
        <f aca="false">MIN(E1445,G1445,I1445)</f>
        <v>680</v>
      </c>
      <c r="L1445" s="9" t="str">
        <f aca="false">IF(E1445=K1445,"5000m",IF(G1445=K1445,"3000mSC","1500m"))</f>
        <v>3000mSC</v>
      </c>
      <c r="M1445" s="14" t="n">
        <f aca="false">(D1445&lt;&gt;"")*(D1445&lt;=($E$3*60+$F$3)/86400)+(F1445&lt;&gt;"")*(F1445&lt;=($I$3*60+$J$3)/86400)+(H1445&lt;&gt;"")*(H1445&lt;=($M$3*60+$N$3)/86400)</f>
        <v>0</v>
      </c>
      <c r="N1445" s="16"/>
      <c r="O1445" s="15"/>
    </row>
    <row r="1446" customFormat="false" ht="15" hidden="false" customHeight="false" outlineLevel="0" collapsed="false">
      <c r="A1446" s="9" t="n">
        <v>1440</v>
      </c>
      <c r="B1446" s="10" t="s">
        <v>2084</v>
      </c>
      <c r="C1446" s="10" t="s">
        <v>1912</v>
      </c>
      <c r="D1446" s="11" t="n">
        <v>0.0107609953703704</v>
      </c>
      <c r="E1446" s="12" t="n">
        <v>681</v>
      </c>
      <c r="F1446" s="11"/>
      <c r="G1446" s="12"/>
      <c r="H1446" s="11" t="n">
        <v>0.00288842592592593</v>
      </c>
      <c r="I1446" s="12" t="n">
        <v>851</v>
      </c>
      <c r="J1446" s="12" t="n">
        <f aca="false">COUNT(E1446,G1446,I1446)</f>
        <v>2</v>
      </c>
      <c r="K1446" s="13" t="n">
        <f aca="false">MIN(E1446,G1446,I1446)</f>
        <v>681</v>
      </c>
      <c r="L1446" s="9" t="str">
        <f aca="false">IF(E1446=K1446,"5000m",IF(G1446=K1446,"3000mSC","1500m"))</f>
        <v>5000m</v>
      </c>
      <c r="M1446" s="14" t="n">
        <f aca="false">(D1446&lt;&gt;"")*(D1446&lt;=($E$3*60+$F$3)/86400)+(F1446&lt;&gt;"")*(F1446&lt;=($I$3*60+$J$3)/86400)+(H1446&lt;&gt;"")*(H1446&lt;=($M$3*60+$N$3)/86400)</f>
        <v>0</v>
      </c>
      <c r="N1446" s="16"/>
      <c r="O1446" s="15"/>
    </row>
    <row r="1447" customFormat="false" ht="25.35" hidden="false" customHeight="false" outlineLevel="0" collapsed="false">
      <c r="A1447" s="9" t="n">
        <v>1441</v>
      </c>
      <c r="B1447" s="10" t="s">
        <v>2085</v>
      </c>
      <c r="C1447" s="10" t="s">
        <v>103</v>
      </c>
      <c r="D1447" s="11" t="n">
        <v>0.0109596064814815</v>
      </c>
      <c r="E1447" s="12" t="n">
        <v>1020</v>
      </c>
      <c r="F1447" s="11" t="n">
        <v>0.00732905092592593</v>
      </c>
      <c r="G1447" s="12" t="n">
        <v>681</v>
      </c>
      <c r="H1447" s="11"/>
      <c r="I1447" s="12"/>
      <c r="J1447" s="12" t="n">
        <f aca="false">COUNT(E1447,G1447,I1447)</f>
        <v>2</v>
      </c>
      <c r="K1447" s="13" t="n">
        <f aca="false">MIN(E1447,G1447,I1447)</f>
        <v>681</v>
      </c>
      <c r="L1447" s="9" t="str">
        <f aca="false">IF(E1447=K1447,"5000m",IF(G1447=K1447,"3000mSC","1500m"))</f>
        <v>3000mSC</v>
      </c>
      <c r="M1447" s="14" t="n">
        <f aca="false">(D1447&lt;&gt;"")*(D1447&lt;=($E$3*60+$F$3)/86400)+(F1447&lt;&gt;"")*(F1447&lt;=($I$3*60+$J$3)/86400)+(H1447&lt;&gt;"")*(H1447&lt;=($M$3*60+$N$3)/86400)</f>
        <v>0</v>
      </c>
      <c r="N1447" s="16"/>
      <c r="O1447" s="15"/>
    </row>
    <row r="1448" customFormat="false" ht="15" hidden="false" customHeight="false" outlineLevel="0" collapsed="false">
      <c r="A1448" s="9" t="n">
        <v>1442</v>
      </c>
      <c r="B1448" s="10" t="s">
        <v>2086</v>
      </c>
      <c r="C1448" s="10" t="s">
        <v>2087</v>
      </c>
      <c r="D1448" s="11"/>
      <c r="E1448" s="12"/>
      <c r="F1448" s="11"/>
      <c r="G1448" s="12"/>
      <c r="H1448" s="11" t="n">
        <v>0.00286805555555556</v>
      </c>
      <c r="I1448" s="12" t="n">
        <v>681</v>
      </c>
      <c r="J1448" s="12" t="n">
        <f aca="false">COUNT(E1448,G1448,I1448)</f>
        <v>1</v>
      </c>
      <c r="K1448" s="13" t="n">
        <f aca="false">MIN(E1448,G1448,I1448)</f>
        <v>681</v>
      </c>
      <c r="L1448" s="9" t="str">
        <f aca="false">IF(E1448=K1448,"5000m",IF(G1448=K1448,"3000mSC","1500m"))</f>
        <v>1500m</v>
      </c>
      <c r="M1448" s="14" t="n">
        <f aca="false">(D1448&lt;&gt;"")*(D1448&lt;=($E$3*60+$F$3)/86400)+(F1448&lt;&gt;"")*(F1448&lt;=($I$3*60+$J$3)/86400)+(H1448&lt;&gt;"")*(H1448&lt;=($M$3*60+$N$3)/86400)</f>
        <v>0</v>
      </c>
      <c r="N1448" s="16"/>
      <c r="O1448" s="15"/>
    </row>
    <row r="1449" customFormat="false" ht="15" hidden="false" customHeight="false" outlineLevel="0" collapsed="false">
      <c r="A1449" s="9" t="n">
        <v>1443</v>
      </c>
      <c r="B1449" s="10" t="s">
        <v>2088</v>
      </c>
      <c r="C1449" s="10" t="s">
        <v>494</v>
      </c>
      <c r="D1449" s="11" t="n">
        <v>0.0109579861111111</v>
      </c>
      <c r="E1449" s="12" t="n">
        <v>1019</v>
      </c>
      <c r="F1449" s="11" t="n">
        <v>0.00743009259259259</v>
      </c>
      <c r="G1449" s="12" t="n">
        <v>805</v>
      </c>
      <c r="H1449" s="11" t="n">
        <v>0.0028681712962963</v>
      </c>
      <c r="I1449" s="12" t="n">
        <v>682</v>
      </c>
      <c r="J1449" s="12" t="n">
        <f aca="false">COUNT(E1449,G1449,I1449)</f>
        <v>3</v>
      </c>
      <c r="K1449" s="13" t="n">
        <f aca="false">MIN(E1449,G1449,I1449)</f>
        <v>682</v>
      </c>
      <c r="L1449" s="9" t="str">
        <f aca="false">IF(E1449=K1449,"5000m",IF(G1449=K1449,"3000mSC","1500m"))</f>
        <v>1500m</v>
      </c>
      <c r="M1449" s="14" t="n">
        <f aca="false">(D1449&lt;&gt;"")*(D1449&lt;=($E$3*60+$F$3)/86400)+(F1449&lt;&gt;"")*(F1449&lt;=($I$3*60+$J$3)/86400)+(H1449&lt;&gt;"")*(H1449&lt;=($M$3*60+$N$3)/86400)</f>
        <v>0</v>
      </c>
      <c r="N1449" s="16"/>
      <c r="O1449" s="15"/>
    </row>
    <row r="1450" customFormat="false" ht="15" hidden="false" customHeight="false" outlineLevel="0" collapsed="false">
      <c r="A1450" s="9" t="n">
        <v>1444</v>
      </c>
      <c r="B1450" s="10" t="s">
        <v>2089</v>
      </c>
      <c r="C1450" s="10" t="s">
        <v>2090</v>
      </c>
      <c r="D1450" s="11" t="n">
        <v>0.0107611111111111</v>
      </c>
      <c r="E1450" s="12" t="n">
        <v>682</v>
      </c>
      <c r="F1450" s="11"/>
      <c r="G1450" s="12"/>
      <c r="H1450" s="11" t="n">
        <v>0.00288472222222222</v>
      </c>
      <c r="I1450" s="12" t="n">
        <v>814</v>
      </c>
      <c r="J1450" s="12" t="n">
        <f aca="false">COUNT(E1450,G1450,I1450)</f>
        <v>2</v>
      </c>
      <c r="K1450" s="13" t="n">
        <f aca="false">MIN(E1450,G1450,I1450)</f>
        <v>682</v>
      </c>
      <c r="L1450" s="9" t="str">
        <f aca="false">IF(E1450=K1450,"5000m",IF(G1450=K1450,"3000mSC","1500m"))</f>
        <v>5000m</v>
      </c>
      <c r="M1450" s="14" t="n">
        <f aca="false">(D1450&lt;&gt;"")*(D1450&lt;=($E$3*60+$F$3)/86400)+(F1450&lt;&gt;"")*(F1450&lt;=($I$3*60+$J$3)/86400)+(H1450&lt;&gt;"")*(H1450&lt;=($M$3*60+$N$3)/86400)</f>
        <v>0</v>
      </c>
      <c r="N1450" s="16"/>
      <c r="O1450" s="15"/>
    </row>
    <row r="1451" customFormat="false" ht="25.35" hidden="false" customHeight="false" outlineLevel="0" collapsed="false">
      <c r="A1451" s="9" t="n">
        <v>1445</v>
      </c>
      <c r="B1451" s="10" t="s">
        <v>2091</v>
      </c>
      <c r="C1451" s="10" t="s">
        <v>2092</v>
      </c>
      <c r="D1451" s="11"/>
      <c r="E1451" s="12"/>
      <c r="F1451" s="11" t="n">
        <v>0.00732962962962963</v>
      </c>
      <c r="G1451" s="12" t="n">
        <v>682</v>
      </c>
      <c r="H1451" s="11"/>
      <c r="I1451" s="12"/>
      <c r="J1451" s="12" t="n">
        <f aca="false">COUNT(E1451,G1451,I1451)</f>
        <v>1</v>
      </c>
      <c r="K1451" s="13" t="n">
        <f aca="false">MIN(E1451,G1451,I1451)</f>
        <v>682</v>
      </c>
      <c r="L1451" s="9" t="str">
        <f aca="false">IF(E1451=K1451,"5000m",IF(G1451=K1451,"3000mSC","1500m"))</f>
        <v>3000mSC</v>
      </c>
      <c r="M1451" s="14" t="n">
        <f aca="false">(D1451&lt;&gt;"")*(D1451&lt;=($E$3*60+$F$3)/86400)+(F1451&lt;&gt;"")*(F1451&lt;=($I$3*60+$J$3)/86400)+(H1451&lt;&gt;"")*(H1451&lt;=($M$3*60+$N$3)/86400)</f>
        <v>0</v>
      </c>
      <c r="N1451" s="16"/>
      <c r="O1451" s="15"/>
    </row>
    <row r="1452" customFormat="false" ht="25.35" hidden="false" customHeight="false" outlineLevel="0" collapsed="false">
      <c r="A1452" s="9" t="n">
        <v>1446</v>
      </c>
      <c r="B1452" s="10" t="s">
        <v>2093</v>
      </c>
      <c r="C1452" s="10" t="s">
        <v>1390</v>
      </c>
      <c r="D1452" s="11"/>
      <c r="E1452" s="12"/>
      <c r="F1452" s="11" t="n">
        <v>0.00733078703703704</v>
      </c>
      <c r="G1452" s="12" t="n">
        <v>683</v>
      </c>
      <c r="H1452" s="11"/>
      <c r="I1452" s="12"/>
      <c r="J1452" s="12" t="n">
        <f aca="false">COUNT(E1452,G1452,I1452)</f>
        <v>1</v>
      </c>
      <c r="K1452" s="13" t="n">
        <f aca="false">MIN(E1452,G1452,I1452)</f>
        <v>683</v>
      </c>
      <c r="L1452" s="9" t="str">
        <f aca="false">IF(E1452=K1452,"5000m",IF(G1452=K1452,"3000mSC","1500m"))</f>
        <v>3000mSC</v>
      </c>
      <c r="M1452" s="14" t="n">
        <f aca="false">(D1452&lt;&gt;"")*(D1452&lt;=($E$3*60+$F$3)/86400)+(F1452&lt;&gt;"")*(F1452&lt;=($I$3*60+$J$3)/86400)+(H1452&lt;&gt;"")*(H1452&lt;=($M$3*60+$N$3)/86400)</f>
        <v>0</v>
      </c>
      <c r="N1452" s="16"/>
      <c r="O1452" s="15"/>
    </row>
    <row r="1453" customFormat="false" ht="15" hidden="false" customHeight="false" outlineLevel="0" collapsed="false">
      <c r="A1453" s="9" t="n">
        <v>1447</v>
      </c>
      <c r="B1453" s="10" t="s">
        <v>2094</v>
      </c>
      <c r="C1453" s="10" t="s">
        <v>1764</v>
      </c>
      <c r="D1453" s="11"/>
      <c r="E1453" s="12"/>
      <c r="F1453" s="11"/>
      <c r="G1453" s="12"/>
      <c r="H1453" s="11" t="n">
        <v>0.00286828703703704</v>
      </c>
      <c r="I1453" s="12" t="n">
        <v>683</v>
      </c>
      <c r="J1453" s="12" t="n">
        <f aca="false">COUNT(E1453,G1453,I1453)</f>
        <v>1</v>
      </c>
      <c r="K1453" s="13" t="n">
        <f aca="false">MIN(E1453,G1453,I1453)</f>
        <v>683</v>
      </c>
      <c r="L1453" s="9" t="str">
        <f aca="false">IF(E1453=K1453,"5000m",IF(G1453=K1453,"3000mSC","1500m"))</f>
        <v>1500m</v>
      </c>
      <c r="M1453" s="14" t="n">
        <f aca="false">(D1453&lt;&gt;"")*(D1453&lt;=($E$3*60+$F$3)/86400)+(F1453&lt;&gt;"")*(F1453&lt;=($I$3*60+$J$3)/86400)+(H1453&lt;&gt;"")*(H1453&lt;=($M$3*60+$N$3)/86400)</f>
        <v>0</v>
      </c>
      <c r="N1453" s="16"/>
      <c r="O1453" s="15"/>
    </row>
    <row r="1454" customFormat="false" ht="25.35" hidden="false" customHeight="false" outlineLevel="0" collapsed="false">
      <c r="A1454" s="9" t="n">
        <v>1448</v>
      </c>
      <c r="B1454" s="10" t="s">
        <v>2095</v>
      </c>
      <c r="C1454" s="10" t="s">
        <v>954</v>
      </c>
      <c r="D1454" s="11"/>
      <c r="E1454" s="12"/>
      <c r="F1454" s="11" t="n">
        <v>0.00733136574074074</v>
      </c>
      <c r="G1454" s="12" t="n">
        <v>684</v>
      </c>
      <c r="H1454" s="11"/>
      <c r="I1454" s="12"/>
      <c r="J1454" s="12" t="n">
        <f aca="false">COUNT(E1454,G1454,I1454)</f>
        <v>1</v>
      </c>
      <c r="K1454" s="13" t="n">
        <f aca="false">MIN(E1454,G1454,I1454)</f>
        <v>684</v>
      </c>
      <c r="L1454" s="9" t="str">
        <f aca="false">IF(E1454=K1454,"5000m",IF(G1454=K1454,"3000mSC","1500m"))</f>
        <v>3000mSC</v>
      </c>
      <c r="M1454" s="14" t="n">
        <f aca="false">(D1454&lt;&gt;"")*(D1454&lt;=($E$3*60+$F$3)/86400)+(F1454&lt;&gt;"")*(F1454&lt;=($I$3*60+$J$3)/86400)+(H1454&lt;&gt;"")*(H1454&lt;=($M$3*60+$N$3)/86400)</f>
        <v>0</v>
      </c>
      <c r="N1454" s="16"/>
      <c r="O1454" s="15"/>
    </row>
    <row r="1455" customFormat="false" ht="25.35" hidden="false" customHeight="false" outlineLevel="0" collapsed="false">
      <c r="A1455" s="9" t="n">
        <v>1449</v>
      </c>
      <c r="B1455" s="10" t="s">
        <v>2096</v>
      </c>
      <c r="C1455" s="10" t="s">
        <v>2097</v>
      </c>
      <c r="D1455" s="11"/>
      <c r="E1455" s="12"/>
      <c r="F1455" s="11" t="n">
        <v>0.00733229166666667</v>
      </c>
      <c r="G1455" s="12" t="n">
        <v>685</v>
      </c>
      <c r="H1455" s="11"/>
      <c r="I1455" s="12"/>
      <c r="J1455" s="12" t="n">
        <f aca="false">COUNT(E1455,G1455,I1455)</f>
        <v>1</v>
      </c>
      <c r="K1455" s="13" t="n">
        <f aca="false">MIN(E1455,G1455,I1455)</f>
        <v>685</v>
      </c>
      <c r="L1455" s="9" t="str">
        <f aca="false">IF(E1455=K1455,"5000m",IF(G1455=K1455,"3000mSC","1500m"))</f>
        <v>3000mSC</v>
      </c>
      <c r="M1455" s="14" t="n">
        <f aca="false">(D1455&lt;&gt;"")*(D1455&lt;=($E$3*60+$F$3)/86400)+(F1455&lt;&gt;"")*(F1455&lt;=($I$3*60+$J$3)/86400)+(H1455&lt;&gt;"")*(H1455&lt;=($M$3*60+$N$3)/86400)</f>
        <v>0</v>
      </c>
      <c r="N1455" s="16"/>
      <c r="O1455" s="15"/>
    </row>
    <row r="1456" customFormat="false" ht="25.35" hidden="false" customHeight="false" outlineLevel="0" collapsed="false">
      <c r="A1456" s="9" t="n">
        <v>1450</v>
      </c>
      <c r="B1456" s="10" t="s">
        <v>2098</v>
      </c>
      <c r="C1456" s="10" t="s">
        <v>47</v>
      </c>
      <c r="D1456" s="11"/>
      <c r="E1456" s="12"/>
      <c r="F1456" s="11" t="n">
        <v>0.0073337962962963</v>
      </c>
      <c r="G1456" s="12" t="n">
        <v>686</v>
      </c>
      <c r="H1456" s="11"/>
      <c r="I1456" s="12"/>
      <c r="J1456" s="12" t="n">
        <f aca="false">COUNT(E1456,G1456,I1456)</f>
        <v>1</v>
      </c>
      <c r="K1456" s="13" t="n">
        <f aca="false">MIN(E1456,G1456,I1456)</f>
        <v>686</v>
      </c>
      <c r="L1456" s="9" t="str">
        <f aca="false">IF(E1456=K1456,"5000m",IF(G1456=K1456,"3000mSC","1500m"))</f>
        <v>3000mSC</v>
      </c>
      <c r="M1456" s="14" t="n">
        <f aca="false">(D1456&lt;&gt;"")*(D1456&lt;=($E$3*60+$F$3)/86400)+(F1456&lt;&gt;"")*(F1456&lt;=($I$3*60+$J$3)/86400)+(H1456&lt;&gt;"")*(H1456&lt;=($M$3*60+$N$3)/86400)</f>
        <v>0</v>
      </c>
      <c r="N1456" s="16"/>
      <c r="O1456" s="15"/>
    </row>
    <row r="1457" customFormat="false" ht="25.35" hidden="false" customHeight="false" outlineLevel="0" collapsed="false">
      <c r="A1457" s="9" t="n">
        <v>1451</v>
      </c>
      <c r="B1457" s="10" t="s">
        <v>2099</v>
      </c>
      <c r="C1457" s="10" t="s">
        <v>2100</v>
      </c>
      <c r="D1457" s="11"/>
      <c r="E1457" s="12"/>
      <c r="F1457" s="11" t="n">
        <v>0.00733449074074074</v>
      </c>
      <c r="G1457" s="12" t="n">
        <v>687</v>
      </c>
      <c r="H1457" s="11"/>
      <c r="I1457" s="12"/>
      <c r="J1457" s="12" t="n">
        <f aca="false">COUNT(E1457,G1457,I1457)</f>
        <v>1</v>
      </c>
      <c r="K1457" s="13" t="n">
        <f aca="false">MIN(E1457,G1457,I1457)</f>
        <v>687</v>
      </c>
      <c r="L1457" s="9" t="str">
        <f aca="false">IF(E1457=K1457,"5000m",IF(G1457=K1457,"3000mSC","1500m"))</f>
        <v>3000mSC</v>
      </c>
      <c r="M1457" s="14" t="n">
        <f aca="false">(D1457&lt;&gt;"")*(D1457&lt;=($E$3*60+$F$3)/86400)+(F1457&lt;&gt;"")*(F1457&lt;=($I$3*60+$J$3)/86400)+(H1457&lt;&gt;"")*(H1457&lt;=($M$3*60+$N$3)/86400)</f>
        <v>0</v>
      </c>
      <c r="N1457" s="16"/>
      <c r="O1457" s="15"/>
    </row>
    <row r="1458" customFormat="false" ht="15" hidden="false" customHeight="false" outlineLevel="0" collapsed="false">
      <c r="A1458" s="9" t="n">
        <v>1452</v>
      </c>
      <c r="B1458" s="10" t="s">
        <v>2101</v>
      </c>
      <c r="C1458" s="10" t="s">
        <v>380</v>
      </c>
      <c r="D1458" s="11" t="n">
        <v>0.0107644675925926</v>
      </c>
      <c r="E1458" s="12" t="n">
        <v>688</v>
      </c>
      <c r="F1458" s="11"/>
      <c r="G1458" s="12"/>
      <c r="H1458" s="11"/>
      <c r="I1458" s="12"/>
      <c r="J1458" s="12" t="n">
        <f aca="false">COUNT(E1458,G1458,I1458)</f>
        <v>1</v>
      </c>
      <c r="K1458" s="13" t="n">
        <f aca="false">MIN(E1458,G1458,I1458)</f>
        <v>688</v>
      </c>
      <c r="L1458" s="9" t="str">
        <f aca="false">IF(E1458=K1458,"5000m",IF(G1458=K1458,"3000mSC","1500m"))</f>
        <v>5000m</v>
      </c>
      <c r="M1458" s="14" t="n">
        <f aca="false">(D1458&lt;&gt;"")*(D1458&lt;=($E$3*60+$F$3)/86400)+(F1458&lt;&gt;"")*(F1458&lt;=($I$3*60+$J$3)/86400)+(H1458&lt;&gt;"")*(H1458&lt;=($M$3*60+$N$3)/86400)</f>
        <v>0</v>
      </c>
      <c r="N1458" s="16"/>
      <c r="O1458" s="15"/>
    </row>
    <row r="1459" customFormat="false" ht="25.35" hidden="false" customHeight="false" outlineLevel="0" collapsed="false">
      <c r="A1459" s="9" t="n">
        <v>1453</v>
      </c>
      <c r="B1459" s="10" t="s">
        <v>2102</v>
      </c>
      <c r="C1459" s="10" t="s">
        <v>2103</v>
      </c>
      <c r="D1459" s="11"/>
      <c r="E1459" s="12"/>
      <c r="F1459" s="11" t="n">
        <v>0.00733680555555556</v>
      </c>
      <c r="G1459" s="12" t="n">
        <v>688</v>
      </c>
      <c r="H1459" s="11"/>
      <c r="I1459" s="12"/>
      <c r="J1459" s="12" t="n">
        <f aca="false">COUNT(E1459,G1459,I1459)</f>
        <v>1</v>
      </c>
      <c r="K1459" s="13" t="n">
        <f aca="false">MIN(E1459,G1459,I1459)</f>
        <v>688</v>
      </c>
      <c r="L1459" s="9" t="str">
        <f aca="false">IF(E1459=K1459,"5000m",IF(G1459=K1459,"3000mSC","1500m"))</f>
        <v>3000mSC</v>
      </c>
      <c r="M1459" s="14" t="n">
        <f aca="false">(D1459&lt;&gt;"")*(D1459&lt;=($E$3*60+$F$3)/86400)+(F1459&lt;&gt;"")*(F1459&lt;=($I$3*60+$J$3)/86400)+(H1459&lt;&gt;"")*(H1459&lt;=($M$3*60+$N$3)/86400)</f>
        <v>0</v>
      </c>
      <c r="N1459" s="16"/>
      <c r="O1459" s="15"/>
    </row>
    <row r="1460" customFormat="false" ht="15" hidden="false" customHeight="false" outlineLevel="0" collapsed="false">
      <c r="A1460" s="9" t="n">
        <v>1454</v>
      </c>
      <c r="B1460" s="10" t="s">
        <v>2104</v>
      </c>
      <c r="C1460" s="10" t="s">
        <v>55</v>
      </c>
      <c r="D1460" s="11" t="n">
        <v>0.0107644675925926</v>
      </c>
      <c r="E1460" s="12" t="n">
        <v>689</v>
      </c>
      <c r="F1460" s="11"/>
      <c r="G1460" s="12"/>
      <c r="H1460" s="11" t="n">
        <v>0.00291087962962963</v>
      </c>
      <c r="I1460" s="12" t="n">
        <v>1027</v>
      </c>
      <c r="J1460" s="12" t="n">
        <f aca="false">COUNT(E1460,G1460,I1460)</f>
        <v>2</v>
      </c>
      <c r="K1460" s="13" t="n">
        <f aca="false">MIN(E1460,G1460,I1460)</f>
        <v>689</v>
      </c>
      <c r="L1460" s="9" t="str">
        <f aca="false">IF(E1460=K1460,"5000m",IF(G1460=K1460,"3000mSC","1500m"))</f>
        <v>5000m</v>
      </c>
      <c r="M1460" s="14" t="n">
        <f aca="false">(D1460&lt;&gt;"")*(D1460&lt;=($E$3*60+$F$3)/86400)+(F1460&lt;&gt;"")*(F1460&lt;=($I$3*60+$J$3)/86400)+(H1460&lt;&gt;"")*(H1460&lt;=($M$3*60+$N$3)/86400)</f>
        <v>0</v>
      </c>
      <c r="N1460" s="16"/>
      <c r="O1460" s="15"/>
    </row>
    <row r="1461" customFormat="false" ht="15" hidden="false" customHeight="false" outlineLevel="0" collapsed="false">
      <c r="A1461" s="9" t="n">
        <v>1455</v>
      </c>
      <c r="B1461" s="10" t="s">
        <v>2105</v>
      </c>
      <c r="C1461" s="10" t="s">
        <v>2106</v>
      </c>
      <c r="D1461" s="11" t="n">
        <v>0.0109907407407407</v>
      </c>
      <c r="E1461" s="12" t="n">
        <v>1080</v>
      </c>
      <c r="F1461" s="11"/>
      <c r="G1461" s="12"/>
      <c r="H1461" s="11" t="n">
        <v>0.0028693287037037</v>
      </c>
      <c r="I1461" s="12" t="n">
        <v>689</v>
      </c>
      <c r="J1461" s="12" t="n">
        <f aca="false">COUNT(E1461,G1461,I1461)</f>
        <v>2</v>
      </c>
      <c r="K1461" s="13" t="n">
        <f aca="false">MIN(E1461,G1461,I1461)</f>
        <v>689</v>
      </c>
      <c r="L1461" s="9" t="str">
        <f aca="false">IF(E1461=K1461,"5000m",IF(G1461=K1461,"3000mSC","1500m"))</f>
        <v>1500m</v>
      </c>
      <c r="M1461" s="14" t="n">
        <f aca="false">(D1461&lt;&gt;"")*(D1461&lt;=($E$3*60+$F$3)/86400)+(F1461&lt;&gt;"")*(F1461&lt;=($I$3*60+$J$3)/86400)+(H1461&lt;&gt;"")*(H1461&lt;=($M$3*60+$N$3)/86400)</f>
        <v>0</v>
      </c>
      <c r="N1461" s="16"/>
      <c r="O1461" s="15"/>
    </row>
    <row r="1462" customFormat="false" ht="25.35" hidden="false" customHeight="false" outlineLevel="0" collapsed="false">
      <c r="A1462" s="9" t="n">
        <v>1456</v>
      </c>
      <c r="B1462" s="10" t="s">
        <v>2107</v>
      </c>
      <c r="C1462" s="10" t="s">
        <v>377</v>
      </c>
      <c r="D1462" s="11"/>
      <c r="E1462" s="12"/>
      <c r="F1462" s="11" t="n">
        <v>0.0073375</v>
      </c>
      <c r="G1462" s="12" t="n">
        <v>689</v>
      </c>
      <c r="H1462" s="11"/>
      <c r="I1462" s="12"/>
      <c r="J1462" s="12" t="n">
        <f aca="false">COUNT(E1462,G1462,I1462)</f>
        <v>1</v>
      </c>
      <c r="K1462" s="13" t="n">
        <f aca="false">MIN(E1462,G1462,I1462)</f>
        <v>689</v>
      </c>
      <c r="L1462" s="9" t="str">
        <f aca="false">IF(E1462=K1462,"5000m",IF(G1462=K1462,"3000mSC","1500m"))</f>
        <v>3000mSC</v>
      </c>
      <c r="M1462" s="14" t="n">
        <f aca="false">(D1462&lt;&gt;"")*(D1462&lt;=($E$3*60+$F$3)/86400)+(F1462&lt;&gt;"")*(F1462&lt;=($I$3*60+$J$3)/86400)+(H1462&lt;&gt;"")*(H1462&lt;=($M$3*60+$N$3)/86400)</f>
        <v>0</v>
      </c>
      <c r="N1462" s="16"/>
      <c r="O1462" s="15"/>
    </row>
    <row r="1463" customFormat="false" ht="25.35" hidden="false" customHeight="false" outlineLevel="0" collapsed="false">
      <c r="A1463" s="9" t="n">
        <v>1457</v>
      </c>
      <c r="B1463" s="10" t="s">
        <v>2108</v>
      </c>
      <c r="C1463" s="10" t="s">
        <v>917</v>
      </c>
      <c r="D1463" s="11" t="n">
        <v>0.0109578703703704</v>
      </c>
      <c r="E1463" s="12" t="n">
        <v>1018</v>
      </c>
      <c r="F1463" s="11" t="n">
        <v>0.00733819444444444</v>
      </c>
      <c r="G1463" s="12" t="n">
        <v>690</v>
      </c>
      <c r="H1463" s="11"/>
      <c r="I1463" s="12"/>
      <c r="J1463" s="12" t="n">
        <f aca="false">COUNT(E1463,G1463,I1463)</f>
        <v>2</v>
      </c>
      <c r="K1463" s="13" t="n">
        <f aca="false">MIN(E1463,G1463,I1463)</f>
        <v>690</v>
      </c>
      <c r="L1463" s="9" t="str">
        <f aca="false">IF(E1463=K1463,"5000m",IF(G1463=K1463,"3000mSC","1500m"))</f>
        <v>3000mSC</v>
      </c>
      <c r="M1463" s="14" t="n">
        <f aca="false">(D1463&lt;&gt;"")*(D1463&lt;=($E$3*60+$F$3)/86400)+(F1463&lt;&gt;"")*(F1463&lt;=($I$3*60+$J$3)/86400)+(H1463&lt;&gt;"")*(H1463&lt;=($M$3*60+$N$3)/86400)</f>
        <v>0</v>
      </c>
      <c r="N1463" s="16"/>
      <c r="O1463" s="15"/>
    </row>
    <row r="1464" customFormat="false" ht="15" hidden="false" customHeight="false" outlineLevel="0" collapsed="false">
      <c r="A1464" s="9" t="n">
        <v>1458</v>
      </c>
      <c r="B1464" s="10" t="s">
        <v>2109</v>
      </c>
      <c r="C1464" s="10" t="s">
        <v>399</v>
      </c>
      <c r="D1464" s="11" t="n">
        <v>0.0107650462962963</v>
      </c>
      <c r="E1464" s="12" t="n">
        <v>690</v>
      </c>
      <c r="F1464" s="11"/>
      <c r="G1464" s="12"/>
      <c r="H1464" s="11"/>
      <c r="I1464" s="12"/>
      <c r="J1464" s="12" t="n">
        <f aca="false">COUNT(E1464,G1464,I1464)</f>
        <v>1</v>
      </c>
      <c r="K1464" s="13" t="n">
        <f aca="false">MIN(E1464,G1464,I1464)</f>
        <v>690</v>
      </c>
      <c r="L1464" s="9" t="str">
        <f aca="false">IF(E1464=K1464,"5000m",IF(G1464=K1464,"3000mSC","1500m"))</f>
        <v>5000m</v>
      </c>
      <c r="M1464" s="14" t="n">
        <f aca="false">(D1464&lt;&gt;"")*(D1464&lt;=($E$3*60+$F$3)/86400)+(F1464&lt;&gt;"")*(F1464&lt;=($I$3*60+$J$3)/86400)+(H1464&lt;&gt;"")*(H1464&lt;=($M$3*60+$N$3)/86400)</f>
        <v>0</v>
      </c>
      <c r="N1464" s="16"/>
      <c r="O1464" s="15"/>
    </row>
    <row r="1465" customFormat="false" ht="25.35" hidden="false" customHeight="false" outlineLevel="0" collapsed="false">
      <c r="A1465" s="9" t="n">
        <v>1459</v>
      </c>
      <c r="B1465" s="10" t="s">
        <v>2110</v>
      </c>
      <c r="C1465" s="10" t="s">
        <v>2111</v>
      </c>
      <c r="D1465" s="11"/>
      <c r="E1465" s="12"/>
      <c r="F1465" s="11" t="n">
        <v>0.00733819444444444</v>
      </c>
      <c r="G1465" s="12" t="n">
        <v>691</v>
      </c>
      <c r="H1465" s="11"/>
      <c r="I1465" s="12"/>
      <c r="J1465" s="12" t="n">
        <f aca="false">COUNT(E1465,G1465,I1465)</f>
        <v>1</v>
      </c>
      <c r="K1465" s="13" t="n">
        <f aca="false">MIN(E1465,G1465,I1465)</f>
        <v>691</v>
      </c>
      <c r="L1465" s="9" t="str">
        <f aca="false">IF(E1465=K1465,"5000m",IF(G1465=K1465,"3000mSC","1500m"))</f>
        <v>3000mSC</v>
      </c>
      <c r="M1465" s="14" t="n">
        <f aca="false">(D1465&lt;&gt;"")*(D1465&lt;=($E$3*60+$F$3)/86400)+(F1465&lt;&gt;"")*(F1465&lt;=($I$3*60+$J$3)/86400)+(H1465&lt;&gt;"")*(H1465&lt;=($M$3*60+$N$3)/86400)</f>
        <v>0</v>
      </c>
      <c r="N1465" s="16"/>
      <c r="O1465" s="15"/>
    </row>
    <row r="1466" customFormat="false" ht="25.35" hidden="false" customHeight="false" outlineLevel="0" collapsed="false">
      <c r="A1466" s="9" t="n">
        <v>1460</v>
      </c>
      <c r="B1466" s="10" t="s">
        <v>2112</v>
      </c>
      <c r="C1466" s="10" t="s">
        <v>1504</v>
      </c>
      <c r="D1466" s="11" t="n">
        <v>0.0109635416666667</v>
      </c>
      <c r="E1466" s="12" t="n">
        <v>1024</v>
      </c>
      <c r="F1466" s="11" t="n">
        <v>0.00733854166666667</v>
      </c>
      <c r="G1466" s="12" t="n">
        <v>692</v>
      </c>
      <c r="H1466" s="11" t="n">
        <v>0.00294328703703704</v>
      </c>
      <c r="I1466" s="12" t="n">
        <v>1213</v>
      </c>
      <c r="J1466" s="12" t="n">
        <f aca="false">COUNT(E1466,G1466,I1466)</f>
        <v>3</v>
      </c>
      <c r="K1466" s="13" t="n">
        <f aca="false">MIN(E1466,G1466,I1466)</f>
        <v>692</v>
      </c>
      <c r="L1466" s="9" t="str">
        <f aca="false">IF(E1466=K1466,"5000m",IF(G1466=K1466,"3000mSC","1500m"))</f>
        <v>3000mSC</v>
      </c>
      <c r="M1466" s="14" t="n">
        <f aca="false">(D1466&lt;&gt;"")*(D1466&lt;=($E$3*60+$F$3)/86400)+(F1466&lt;&gt;"")*(F1466&lt;=($I$3*60+$J$3)/86400)+(H1466&lt;&gt;"")*(H1466&lt;=($M$3*60+$N$3)/86400)</f>
        <v>0</v>
      </c>
      <c r="N1466" s="16"/>
      <c r="O1466" s="15"/>
    </row>
    <row r="1467" customFormat="false" ht="15" hidden="false" customHeight="false" outlineLevel="0" collapsed="false">
      <c r="A1467" s="9" t="n">
        <v>1461</v>
      </c>
      <c r="B1467" s="10" t="s">
        <v>2113</v>
      </c>
      <c r="C1467" s="10" t="s">
        <v>2114</v>
      </c>
      <c r="D1467" s="11"/>
      <c r="E1467" s="12"/>
      <c r="F1467" s="11" t="n">
        <v>0.00734178240740741</v>
      </c>
      <c r="G1467" s="12" t="n">
        <v>698</v>
      </c>
      <c r="H1467" s="11" t="n">
        <v>0.00286956018518519</v>
      </c>
      <c r="I1467" s="12" t="n">
        <v>693</v>
      </c>
      <c r="J1467" s="12" t="n">
        <f aca="false">COUNT(E1467,G1467,I1467)</f>
        <v>2</v>
      </c>
      <c r="K1467" s="13" t="n">
        <f aca="false">MIN(E1467,G1467,I1467)</f>
        <v>693</v>
      </c>
      <c r="L1467" s="9" t="str">
        <f aca="false">IF(E1467=K1467,"5000m",IF(G1467=K1467,"3000mSC","1500m"))</f>
        <v>1500m</v>
      </c>
      <c r="M1467" s="14" t="n">
        <f aca="false">(D1467&lt;&gt;"")*(D1467&lt;=($E$3*60+$F$3)/86400)+(F1467&lt;&gt;"")*(F1467&lt;=($I$3*60+$J$3)/86400)+(H1467&lt;&gt;"")*(H1467&lt;=($M$3*60+$N$3)/86400)</f>
        <v>0</v>
      </c>
      <c r="N1467" s="16"/>
      <c r="O1467" s="15"/>
    </row>
    <row r="1468" customFormat="false" ht="15" hidden="false" customHeight="false" outlineLevel="0" collapsed="false">
      <c r="A1468" s="9" t="n">
        <v>1462</v>
      </c>
      <c r="B1468" s="10" t="s">
        <v>2115</v>
      </c>
      <c r="C1468" s="10" t="s">
        <v>130</v>
      </c>
      <c r="D1468" s="11" t="n">
        <v>0.010766087962963</v>
      </c>
      <c r="E1468" s="12" t="n">
        <v>693</v>
      </c>
      <c r="F1468" s="11"/>
      <c r="G1468" s="12"/>
      <c r="H1468" s="11"/>
      <c r="I1468" s="12"/>
      <c r="J1468" s="12" t="n">
        <f aca="false">COUNT(E1468,G1468,I1468)</f>
        <v>1</v>
      </c>
      <c r="K1468" s="13" t="n">
        <f aca="false">MIN(E1468,G1468,I1468)</f>
        <v>693</v>
      </c>
      <c r="L1468" s="9" t="str">
        <f aca="false">IF(E1468=K1468,"5000m",IF(G1468=K1468,"3000mSC","1500m"))</f>
        <v>5000m</v>
      </c>
      <c r="M1468" s="14" t="n">
        <f aca="false">(D1468&lt;&gt;"")*(D1468&lt;=($E$3*60+$F$3)/86400)+(F1468&lt;&gt;"")*(F1468&lt;=($I$3*60+$J$3)/86400)+(H1468&lt;&gt;"")*(H1468&lt;=($M$3*60+$N$3)/86400)</f>
        <v>0</v>
      </c>
      <c r="N1468" s="16"/>
      <c r="O1468" s="15"/>
    </row>
    <row r="1469" customFormat="false" ht="25.35" hidden="false" customHeight="false" outlineLevel="0" collapsed="false">
      <c r="A1469" s="9" t="n">
        <v>1463</v>
      </c>
      <c r="B1469" s="10" t="s">
        <v>2116</v>
      </c>
      <c r="C1469" s="10" t="s">
        <v>705</v>
      </c>
      <c r="D1469" s="11"/>
      <c r="E1469" s="12"/>
      <c r="F1469" s="11" t="n">
        <v>0.00733969907407407</v>
      </c>
      <c r="G1469" s="12" t="n">
        <v>693</v>
      </c>
      <c r="H1469" s="11"/>
      <c r="I1469" s="12"/>
      <c r="J1469" s="12" t="n">
        <f aca="false">COUNT(E1469,G1469,I1469)</f>
        <v>1</v>
      </c>
      <c r="K1469" s="13" t="n">
        <f aca="false">MIN(E1469,G1469,I1469)</f>
        <v>693</v>
      </c>
      <c r="L1469" s="9" t="str">
        <f aca="false">IF(E1469=K1469,"5000m",IF(G1469=K1469,"3000mSC","1500m"))</f>
        <v>3000mSC</v>
      </c>
      <c r="M1469" s="14" t="n">
        <f aca="false">(D1469&lt;&gt;"")*(D1469&lt;=($E$3*60+$F$3)/86400)+(F1469&lt;&gt;"")*(F1469&lt;=($I$3*60+$J$3)/86400)+(H1469&lt;&gt;"")*(H1469&lt;=($M$3*60+$N$3)/86400)</f>
        <v>0</v>
      </c>
      <c r="N1469" s="16"/>
      <c r="O1469" s="15"/>
    </row>
    <row r="1470" customFormat="false" ht="15" hidden="false" customHeight="false" outlineLevel="0" collapsed="false">
      <c r="A1470" s="9" t="n">
        <v>1464</v>
      </c>
      <c r="B1470" s="10" t="s">
        <v>2117</v>
      </c>
      <c r="C1470" s="10" t="s">
        <v>2118</v>
      </c>
      <c r="D1470" s="11" t="n">
        <v>0.01100625</v>
      </c>
      <c r="E1470" s="12" t="n">
        <v>1103</v>
      </c>
      <c r="F1470" s="11"/>
      <c r="G1470" s="12"/>
      <c r="H1470" s="11" t="n">
        <v>0.00286990740740741</v>
      </c>
      <c r="I1470" s="12" t="n">
        <v>694</v>
      </c>
      <c r="J1470" s="12" t="n">
        <f aca="false">COUNT(E1470,G1470,I1470)</f>
        <v>2</v>
      </c>
      <c r="K1470" s="13" t="n">
        <f aca="false">MIN(E1470,G1470,I1470)</f>
        <v>694</v>
      </c>
      <c r="L1470" s="9" t="str">
        <f aca="false">IF(E1470=K1470,"5000m",IF(G1470=K1470,"3000mSC","1500m"))</f>
        <v>1500m</v>
      </c>
      <c r="M1470" s="14" t="n">
        <f aca="false">(D1470&lt;&gt;"")*(D1470&lt;=($E$3*60+$F$3)/86400)+(F1470&lt;&gt;"")*(F1470&lt;=($I$3*60+$J$3)/86400)+(H1470&lt;&gt;"")*(H1470&lt;=($M$3*60+$N$3)/86400)</f>
        <v>0</v>
      </c>
      <c r="N1470" s="16"/>
      <c r="O1470" s="15"/>
    </row>
    <row r="1471" customFormat="false" ht="15" hidden="false" customHeight="false" outlineLevel="0" collapsed="false">
      <c r="A1471" s="9" t="n">
        <v>1465</v>
      </c>
      <c r="B1471" s="10" t="s">
        <v>2119</v>
      </c>
      <c r="C1471" s="10" t="s">
        <v>577</v>
      </c>
      <c r="D1471" s="11" t="n">
        <v>0.0107679398148148</v>
      </c>
      <c r="E1471" s="12" t="n">
        <v>694</v>
      </c>
      <c r="F1471" s="11"/>
      <c r="G1471" s="12"/>
      <c r="H1471" s="11"/>
      <c r="I1471" s="12"/>
      <c r="J1471" s="12" t="n">
        <f aca="false">COUNT(E1471,G1471,I1471)</f>
        <v>1</v>
      </c>
      <c r="K1471" s="13" t="n">
        <f aca="false">MIN(E1471,G1471,I1471)</f>
        <v>694</v>
      </c>
      <c r="L1471" s="9" t="str">
        <f aca="false">IF(E1471=K1471,"5000m",IF(G1471=K1471,"3000mSC","1500m"))</f>
        <v>5000m</v>
      </c>
      <c r="M1471" s="14" t="n">
        <f aca="false">(D1471&lt;&gt;"")*(D1471&lt;=($E$3*60+$F$3)/86400)+(F1471&lt;&gt;"")*(F1471&lt;=($I$3*60+$J$3)/86400)+(H1471&lt;&gt;"")*(H1471&lt;=($M$3*60+$N$3)/86400)</f>
        <v>0</v>
      </c>
      <c r="N1471" s="16"/>
      <c r="O1471" s="15"/>
    </row>
    <row r="1472" customFormat="false" ht="25.35" hidden="false" customHeight="false" outlineLevel="0" collapsed="false">
      <c r="A1472" s="9" t="n">
        <v>1466</v>
      </c>
      <c r="B1472" s="10" t="s">
        <v>2120</v>
      </c>
      <c r="C1472" s="10" t="s">
        <v>1775</v>
      </c>
      <c r="D1472" s="11"/>
      <c r="E1472" s="12"/>
      <c r="F1472" s="11" t="n">
        <v>0.00733981481481482</v>
      </c>
      <c r="G1472" s="12" t="n">
        <v>694</v>
      </c>
      <c r="H1472" s="11"/>
      <c r="I1472" s="12"/>
      <c r="J1472" s="12" t="n">
        <f aca="false">COUNT(E1472,G1472,I1472)</f>
        <v>1</v>
      </c>
      <c r="K1472" s="13" t="n">
        <f aca="false">MIN(E1472,G1472,I1472)</f>
        <v>694</v>
      </c>
      <c r="L1472" s="9" t="str">
        <f aca="false">IF(E1472=K1472,"5000m",IF(G1472=K1472,"3000mSC","1500m"))</f>
        <v>3000mSC</v>
      </c>
      <c r="M1472" s="14" t="n">
        <f aca="false">(D1472&lt;&gt;"")*(D1472&lt;=($E$3*60+$F$3)/86400)+(F1472&lt;&gt;"")*(F1472&lt;=($I$3*60+$J$3)/86400)+(H1472&lt;&gt;"")*(H1472&lt;=($M$3*60+$N$3)/86400)</f>
        <v>0</v>
      </c>
      <c r="N1472" s="16"/>
      <c r="O1472" s="15"/>
    </row>
    <row r="1473" customFormat="false" ht="15" hidden="false" customHeight="false" outlineLevel="0" collapsed="false">
      <c r="A1473" s="9" t="n">
        <v>1467</v>
      </c>
      <c r="B1473" s="10" t="s">
        <v>2121</v>
      </c>
      <c r="C1473" s="10" t="s">
        <v>467</v>
      </c>
      <c r="D1473" s="11" t="n">
        <v>0.0107696759259259</v>
      </c>
      <c r="E1473" s="12" t="n">
        <v>695</v>
      </c>
      <c r="F1473" s="11"/>
      <c r="G1473" s="12"/>
      <c r="H1473" s="11" t="n">
        <v>0.00287800925925926</v>
      </c>
      <c r="I1473" s="12" t="n">
        <v>753</v>
      </c>
      <c r="J1473" s="12" t="n">
        <f aca="false">COUNT(E1473,G1473,I1473)</f>
        <v>2</v>
      </c>
      <c r="K1473" s="13" t="n">
        <f aca="false">MIN(E1473,G1473,I1473)</f>
        <v>695</v>
      </c>
      <c r="L1473" s="9" t="str">
        <f aca="false">IF(E1473=K1473,"5000m",IF(G1473=K1473,"3000mSC","1500m"))</f>
        <v>5000m</v>
      </c>
      <c r="M1473" s="14" t="n">
        <f aca="false">(D1473&lt;&gt;"")*(D1473&lt;=($E$3*60+$F$3)/86400)+(F1473&lt;&gt;"")*(F1473&lt;=($I$3*60+$J$3)/86400)+(H1473&lt;&gt;"")*(H1473&lt;=($M$3*60+$N$3)/86400)</f>
        <v>0</v>
      </c>
      <c r="N1473" s="16"/>
      <c r="O1473" s="15"/>
    </row>
    <row r="1474" customFormat="false" ht="25.35" hidden="false" customHeight="false" outlineLevel="0" collapsed="false">
      <c r="A1474" s="9" t="n">
        <v>1468</v>
      </c>
      <c r="B1474" s="10" t="s">
        <v>2122</v>
      </c>
      <c r="C1474" s="10" t="s">
        <v>2123</v>
      </c>
      <c r="D1474" s="11"/>
      <c r="E1474" s="12"/>
      <c r="F1474" s="11" t="n">
        <v>0.00733981481481482</v>
      </c>
      <c r="G1474" s="12" t="n">
        <v>695</v>
      </c>
      <c r="H1474" s="11"/>
      <c r="I1474" s="12"/>
      <c r="J1474" s="12" t="n">
        <f aca="false">COUNT(E1474,G1474,I1474)</f>
        <v>1</v>
      </c>
      <c r="K1474" s="13" t="n">
        <f aca="false">MIN(E1474,G1474,I1474)</f>
        <v>695</v>
      </c>
      <c r="L1474" s="9" t="str">
        <f aca="false">IF(E1474=K1474,"5000m",IF(G1474=K1474,"3000mSC","1500m"))</f>
        <v>3000mSC</v>
      </c>
      <c r="M1474" s="14" t="n">
        <f aca="false">(D1474&lt;&gt;"")*(D1474&lt;=($E$3*60+$F$3)/86400)+(F1474&lt;&gt;"")*(F1474&lt;=($I$3*60+$J$3)/86400)+(H1474&lt;&gt;"")*(H1474&lt;=($M$3*60+$N$3)/86400)</f>
        <v>0</v>
      </c>
      <c r="N1474" s="16"/>
      <c r="O1474" s="15"/>
    </row>
    <row r="1475" customFormat="false" ht="15" hidden="false" customHeight="false" outlineLevel="0" collapsed="false">
      <c r="A1475" s="9" t="n">
        <v>1469</v>
      </c>
      <c r="B1475" s="10" t="s">
        <v>2124</v>
      </c>
      <c r="C1475" s="10" t="s">
        <v>302</v>
      </c>
      <c r="D1475" s="11" t="n">
        <v>0.0107704861111111</v>
      </c>
      <c r="E1475" s="12" t="n">
        <v>696</v>
      </c>
      <c r="F1475" s="11" t="n">
        <v>0.008159375</v>
      </c>
      <c r="G1475" s="12" t="n">
        <v>1223</v>
      </c>
      <c r="H1475" s="11" t="n">
        <v>0.00288263888888889</v>
      </c>
      <c r="I1475" s="12" t="n">
        <v>797</v>
      </c>
      <c r="J1475" s="12" t="n">
        <f aca="false">COUNT(E1475,G1475,I1475)</f>
        <v>3</v>
      </c>
      <c r="K1475" s="13" t="n">
        <f aca="false">MIN(E1475,G1475,I1475)</f>
        <v>696</v>
      </c>
      <c r="L1475" s="9" t="str">
        <f aca="false">IF(E1475=K1475,"5000m",IF(G1475=K1475,"3000mSC","1500m"))</f>
        <v>5000m</v>
      </c>
      <c r="M1475" s="14" t="n">
        <f aca="false">(D1475&lt;&gt;"")*(D1475&lt;=($E$3*60+$F$3)/86400)+(F1475&lt;&gt;"")*(F1475&lt;=($I$3*60+$J$3)/86400)+(H1475&lt;&gt;"")*(H1475&lt;=($M$3*60+$N$3)/86400)</f>
        <v>0</v>
      </c>
      <c r="N1475" s="16"/>
      <c r="O1475" s="15"/>
    </row>
    <row r="1476" customFormat="false" ht="25.35" hidden="false" customHeight="false" outlineLevel="0" collapsed="false">
      <c r="A1476" s="9" t="n">
        <v>1470</v>
      </c>
      <c r="B1476" s="10" t="s">
        <v>2125</v>
      </c>
      <c r="C1476" s="10" t="s">
        <v>1813</v>
      </c>
      <c r="D1476" s="11"/>
      <c r="E1476" s="12"/>
      <c r="F1476" s="11" t="n">
        <v>0.00734085648148148</v>
      </c>
      <c r="G1476" s="12" t="n">
        <v>696</v>
      </c>
      <c r="H1476" s="11"/>
      <c r="I1476" s="12"/>
      <c r="J1476" s="12" t="n">
        <f aca="false">COUNT(E1476,G1476,I1476)</f>
        <v>1</v>
      </c>
      <c r="K1476" s="13" t="n">
        <f aca="false">MIN(E1476,G1476,I1476)</f>
        <v>696</v>
      </c>
      <c r="L1476" s="9" t="str">
        <f aca="false">IF(E1476=K1476,"5000m",IF(G1476=K1476,"3000mSC","1500m"))</f>
        <v>3000mSC</v>
      </c>
      <c r="M1476" s="14" t="n">
        <f aca="false">(D1476&lt;&gt;"")*(D1476&lt;=($E$3*60+$F$3)/86400)+(F1476&lt;&gt;"")*(F1476&lt;=($I$3*60+$J$3)/86400)+(H1476&lt;&gt;"")*(H1476&lt;=($M$3*60+$N$3)/86400)</f>
        <v>0</v>
      </c>
      <c r="N1476" s="16"/>
      <c r="O1476" s="15"/>
    </row>
    <row r="1477" customFormat="false" ht="15" hidden="false" customHeight="false" outlineLevel="0" collapsed="false">
      <c r="A1477" s="9" t="n">
        <v>1471</v>
      </c>
      <c r="B1477" s="10" t="s">
        <v>2126</v>
      </c>
      <c r="C1477" s="10" t="s">
        <v>2127</v>
      </c>
      <c r="D1477" s="11"/>
      <c r="E1477" s="12"/>
      <c r="F1477" s="11"/>
      <c r="G1477" s="12"/>
      <c r="H1477" s="11" t="n">
        <v>0.00287013888888889</v>
      </c>
      <c r="I1477" s="12" t="n">
        <v>696</v>
      </c>
      <c r="J1477" s="12" t="n">
        <f aca="false">COUNT(E1477,G1477,I1477)</f>
        <v>1</v>
      </c>
      <c r="K1477" s="13" t="n">
        <f aca="false">MIN(E1477,G1477,I1477)</f>
        <v>696</v>
      </c>
      <c r="L1477" s="9" t="str">
        <f aca="false">IF(E1477=K1477,"5000m",IF(G1477=K1477,"3000mSC","1500m"))</f>
        <v>1500m</v>
      </c>
      <c r="M1477" s="14" t="n">
        <f aca="false">(D1477&lt;&gt;"")*(D1477&lt;=($E$3*60+$F$3)/86400)+(F1477&lt;&gt;"")*(F1477&lt;=($I$3*60+$J$3)/86400)+(H1477&lt;&gt;"")*(H1477&lt;=($M$3*60+$N$3)/86400)</f>
        <v>0</v>
      </c>
      <c r="N1477" s="16"/>
      <c r="O1477" s="15"/>
    </row>
    <row r="1478" customFormat="false" ht="25.35" hidden="false" customHeight="false" outlineLevel="0" collapsed="false">
      <c r="A1478" s="9" t="n">
        <v>1472</v>
      </c>
      <c r="B1478" s="10" t="s">
        <v>2128</v>
      </c>
      <c r="C1478" s="10" t="s">
        <v>2129</v>
      </c>
      <c r="D1478" s="11"/>
      <c r="E1478" s="12"/>
      <c r="F1478" s="11" t="n">
        <v>0.00734131944444444</v>
      </c>
      <c r="G1478" s="12" t="n">
        <v>697</v>
      </c>
      <c r="H1478" s="11"/>
      <c r="I1478" s="12"/>
      <c r="J1478" s="12" t="n">
        <f aca="false">COUNT(E1478,G1478,I1478)</f>
        <v>1</v>
      </c>
      <c r="K1478" s="13" t="n">
        <f aca="false">MIN(E1478,G1478,I1478)</f>
        <v>697</v>
      </c>
      <c r="L1478" s="9" t="str">
        <f aca="false">IF(E1478=K1478,"5000m",IF(G1478=K1478,"3000mSC","1500m"))</f>
        <v>3000mSC</v>
      </c>
      <c r="M1478" s="14" t="n">
        <f aca="false">(D1478&lt;&gt;"")*(D1478&lt;=($E$3*60+$F$3)/86400)+(F1478&lt;&gt;"")*(F1478&lt;=($I$3*60+$J$3)/86400)+(H1478&lt;&gt;"")*(H1478&lt;=($M$3*60+$N$3)/86400)</f>
        <v>0</v>
      </c>
      <c r="N1478" s="16"/>
      <c r="O1478" s="15"/>
    </row>
    <row r="1479" customFormat="false" ht="15" hidden="false" customHeight="false" outlineLevel="0" collapsed="false">
      <c r="A1479" s="9" t="n">
        <v>1473</v>
      </c>
      <c r="B1479" s="10" t="s">
        <v>2130</v>
      </c>
      <c r="C1479" s="10" t="s">
        <v>55</v>
      </c>
      <c r="D1479" s="11" t="n">
        <v>0.0108236111111111</v>
      </c>
      <c r="E1479" s="12" t="n">
        <v>782</v>
      </c>
      <c r="F1479" s="11"/>
      <c r="G1479" s="12"/>
      <c r="H1479" s="11" t="n">
        <v>0.00287025462962963</v>
      </c>
      <c r="I1479" s="12" t="n">
        <v>698</v>
      </c>
      <c r="J1479" s="12" t="n">
        <f aca="false">COUNT(E1479,G1479,I1479)</f>
        <v>2</v>
      </c>
      <c r="K1479" s="13" t="n">
        <f aca="false">MIN(E1479,G1479,I1479)</f>
        <v>698</v>
      </c>
      <c r="L1479" s="9" t="str">
        <f aca="false">IF(E1479=K1479,"5000m",IF(G1479=K1479,"3000mSC","1500m"))</f>
        <v>1500m</v>
      </c>
      <c r="M1479" s="14" t="n">
        <f aca="false">(D1479&lt;&gt;"")*(D1479&lt;=($E$3*60+$F$3)/86400)+(F1479&lt;&gt;"")*(F1479&lt;=($I$3*60+$J$3)/86400)+(H1479&lt;&gt;"")*(H1479&lt;=($M$3*60+$N$3)/86400)</f>
        <v>0</v>
      </c>
      <c r="N1479" s="16"/>
      <c r="O1479" s="15"/>
    </row>
    <row r="1480" customFormat="false" ht="15" hidden="false" customHeight="false" outlineLevel="0" collapsed="false">
      <c r="A1480" s="9" t="n">
        <v>1474</v>
      </c>
      <c r="B1480" s="10" t="s">
        <v>2131</v>
      </c>
      <c r="C1480" s="10" t="s">
        <v>2132</v>
      </c>
      <c r="D1480" s="11" t="n">
        <v>0.010771412037037</v>
      </c>
      <c r="E1480" s="12" t="n">
        <v>698</v>
      </c>
      <c r="F1480" s="11"/>
      <c r="G1480" s="12"/>
      <c r="H1480" s="11"/>
      <c r="I1480" s="12"/>
      <c r="J1480" s="12" t="n">
        <f aca="false">COUNT(E1480,G1480,I1480)</f>
        <v>1</v>
      </c>
      <c r="K1480" s="13" t="n">
        <f aca="false">MIN(E1480,G1480,I1480)</f>
        <v>698</v>
      </c>
      <c r="L1480" s="9" t="str">
        <f aca="false">IF(E1480=K1480,"5000m",IF(G1480=K1480,"3000mSC","1500m"))</f>
        <v>5000m</v>
      </c>
      <c r="M1480" s="14" t="n">
        <f aca="false">(D1480&lt;&gt;"")*(D1480&lt;=($E$3*60+$F$3)/86400)+(F1480&lt;&gt;"")*(F1480&lt;=($I$3*60+$J$3)/86400)+(H1480&lt;&gt;"")*(H1480&lt;=($M$3*60+$N$3)/86400)</f>
        <v>0</v>
      </c>
      <c r="N1480" s="16"/>
      <c r="O1480" s="15"/>
    </row>
    <row r="1481" customFormat="false" ht="25.35" hidden="false" customHeight="false" outlineLevel="0" collapsed="false">
      <c r="A1481" s="9" t="n">
        <v>1475</v>
      </c>
      <c r="B1481" s="10" t="s">
        <v>2133</v>
      </c>
      <c r="C1481" s="10" t="s">
        <v>2134</v>
      </c>
      <c r="D1481" s="11" t="n">
        <v>0.0109225694444444</v>
      </c>
      <c r="E1481" s="12" t="n">
        <v>954</v>
      </c>
      <c r="F1481" s="11" t="n">
        <v>0.00734189814814815</v>
      </c>
      <c r="G1481" s="12" t="n">
        <v>699</v>
      </c>
      <c r="H1481" s="11" t="n">
        <v>0.00295</v>
      </c>
      <c r="I1481" s="12" t="n">
        <v>1237</v>
      </c>
      <c r="J1481" s="12" t="n">
        <f aca="false">COUNT(E1481,G1481,I1481)</f>
        <v>3</v>
      </c>
      <c r="K1481" s="13" t="n">
        <f aca="false">MIN(E1481,G1481,I1481)</f>
        <v>699</v>
      </c>
      <c r="L1481" s="9" t="str">
        <f aca="false">IF(E1481=K1481,"5000m",IF(G1481=K1481,"3000mSC","1500m"))</f>
        <v>3000mSC</v>
      </c>
      <c r="M1481" s="14" t="n">
        <f aca="false">(D1481&lt;&gt;"")*(D1481&lt;=($E$3*60+$F$3)/86400)+(F1481&lt;&gt;"")*(F1481&lt;=($I$3*60+$J$3)/86400)+(H1481&lt;&gt;"")*(H1481&lt;=($M$3*60+$N$3)/86400)</f>
        <v>0</v>
      </c>
      <c r="N1481" s="16"/>
      <c r="O1481" s="15"/>
    </row>
    <row r="1482" customFormat="false" ht="15" hidden="false" customHeight="false" outlineLevel="0" collapsed="false">
      <c r="A1482" s="9" t="n">
        <v>1476</v>
      </c>
      <c r="B1482" s="10" t="s">
        <v>2135</v>
      </c>
      <c r="C1482" s="10" t="s">
        <v>2136</v>
      </c>
      <c r="D1482" s="11"/>
      <c r="E1482" s="12"/>
      <c r="F1482" s="11"/>
      <c r="G1482" s="12"/>
      <c r="H1482" s="11" t="n">
        <v>0.00287048611111111</v>
      </c>
      <c r="I1482" s="12" t="n">
        <v>699</v>
      </c>
      <c r="J1482" s="12" t="n">
        <f aca="false">COUNT(E1482,G1482,I1482)</f>
        <v>1</v>
      </c>
      <c r="K1482" s="13" t="n">
        <f aca="false">MIN(E1482,G1482,I1482)</f>
        <v>699</v>
      </c>
      <c r="L1482" s="9" t="str">
        <f aca="false">IF(E1482=K1482,"5000m",IF(G1482=K1482,"3000mSC","1500m"))</f>
        <v>1500m</v>
      </c>
      <c r="M1482" s="14" t="n">
        <f aca="false">(D1482&lt;&gt;"")*(D1482&lt;=($E$3*60+$F$3)/86400)+(F1482&lt;&gt;"")*(F1482&lt;=($I$3*60+$J$3)/86400)+(H1482&lt;&gt;"")*(H1482&lt;=($M$3*60+$N$3)/86400)</f>
        <v>0</v>
      </c>
      <c r="N1482" s="16"/>
      <c r="O1482" s="15"/>
    </row>
    <row r="1483" customFormat="false" ht="15" hidden="false" customHeight="false" outlineLevel="0" collapsed="false">
      <c r="A1483" s="9" t="n">
        <v>1477</v>
      </c>
      <c r="B1483" s="10" t="s">
        <v>2137</v>
      </c>
      <c r="C1483" s="10" t="s">
        <v>2138</v>
      </c>
      <c r="D1483" s="11"/>
      <c r="E1483" s="12"/>
      <c r="F1483" s="11"/>
      <c r="G1483" s="12"/>
      <c r="H1483" s="11" t="n">
        <v>0.00287060185185185</v>
      </c>
      <c r="I1483" s="12" t="n">
        <v>700</v>
      </c>
      <c r="J1483" s="12" t="n">
        <f aca="false">COUNT(E1483,G1483,I1483)</f>
        <v>1</v>
      </c>
      <c r="K1483" s="13" t="n">
        <f aca="false">MIN(E1483,G1483,I1483)</f>
        <v>700</v>
      </c>
      <c r="L1483" s="9" t="str">
        <f aca="false">IF(E1483=K1483,"5000m",IF(G1483=K1483,"3000mSC","1500m"))</f>
        <v>1500m</v>
      </c>
      <c r="M1483" s="14" t="n">
        <f aca="false">(D1483&lt;&gt;"")*(D1483&lt;=($E$3*60+$F$3)/86400)+(F1483&lt;&gt;"")*(F1483&lt;=($I$3*60+$J$3)/86400)+(H1483&lt;&gt;"")*(H1483&lt;=($M$3*60+$N$3)/86400)</f>
        <v>0</v>
      </c>
      <c r="N1483" s="16"/>
      <c r="O1483" s="15"/>
    </row>
    <row r="1484" customFormat="false" ht="25.35" hidden="false" customHeight="false" outlineLevel="0" collapsed="false">
      <c r="A1484" s="9" t="n">
        <v>1478</v>
      </c>
      <c r="B1484" s="10" t="s">
        <v>2139</v>
      </c>
      <c r="C1484" s="10" t="s">
        <v>2140</v>
      </c>
      <c r="D1484" s="11"/>
      <c r="E1484" s="12"/>
      <c r="F1484" s="11" t="n">
        <v>0.00734363425925926</v>
      </c>
      <c r="G1484" s="12" t="n">
        <v>701</v>
      </c>
      <c r="H1484" s="11"/>
      <c r="I1484" s="12"/>
      <c r="J1484" s="12" t="n">
        <f aca="false">COUNT(E1484,G1484,I1484)</f>
        <v>1</v>
      </c>
      <c r="K1484" s="13" t="n">
        <f aca="false">MIN(E1484,G1484,I1484)</f>
        <v>701</v>
      </c>
      <c r="L1484" s="9" t="str">
        <f aca="false">IF(E1484=K1484,"5000m",IF(G1484=K1484,"3000mSC","1500m"))</f>
        <v>3000mSC</v>
      </c>
      <c r="M1484" s="14" t="n">
        <f aca="false">(D1484&lt;&gt;"")*(D1484&lt;=($E$3*60+$F$3)/86400)+(F1484&lt;&gt;"")*(F1484&lt;=($I$3*60+$J$3)/86400)+(H1484&lt;&gt;"")*(H1484&lt;=($M$3*60+$N$3)/86400)</f>
        <v>0</v>
      </c>
      <c r="N1484" s="16"/>
      <c r="O1484" s="15"/>
    </row>
    <row r="1485" customFormat="false" ht="15" hidden="false" customHeight="false" outlineLevel="0" collapsed="false">
      <c r="A1485" s="9" t="n">
        <v>1479</v>
      </c>
      <c r="B1485" s="10" t="s">
        <v>2141</v>
      </c>
      <c r="C1485" s="10" t="s">
        <v>1883</v>
      </c>
      <c r="D1485" s="11" t="n">
        <v>0.0107753472222222</v>
      </c>
      <c r="E1485" s="12" t="n">
        <v>702</v>
      </c>
      <c r="F1485" s="11"/>
      <c r="G1485" s="12"/>
      <c r="H1485" s="11" t="n">
        <v>0.00291145833333333</v>
      </c>
      <c r="I1485" s="12" t="n">
        <v>1033</v>
      </c>
      <c r="J1485" s="12" t="n">
        <f aca="false">COUNT(E1485,G1485,I1485)</f>
        <v>2</v>
      </c>
      <c r="K1485" s="13" t="n">
        <f aca="false">MIN(E1485,G1485,I1485)</f>
        <v>702</v>
      </c>
      <c r="L1485" s="9" t="str">
        <f aca="false">IF(E1485=K1485,"5000m",IF(G1485=K1485,"3000mSC","1500m"))</f>
        <v>5000m</v>
      </c>
      <c r="M1485" s="14" t="n">
        <f aca="false">(D1485&lt;&gt;"")*(D1485&lt;=($E$3*60+$F$3)/86400)+(F1485&lt;&gt;"")*(F1485&lt;=($I$3*60+$J$3)/86400)+(H1485&lt;&gt;"")*(H1485&lt;=($M$3*60+$N$3)/86400)</f>
        <v>0</v>
      </c>
      <c r="N1485" s="16"/>
      <c r="O1485" s="15"/>
    </row>
    <row r="1486" customFormat="false" ht="25.35" hidden="false" customHeight="false" outlineLevel="0" collapsed="false">
      <c r="A1486" s="9" t="n">
        <v>1480</v>
      </c>
      <c r="B1486" s="10" t="s">
        <v>2142</v>
      </c>
      <c r="C1486" s="10" t="s">
        <v>391</v>
      </c>
      <c r="D1486" s="11"/>
      <c r="E1486" s="12"/>
      <c r="F1486" s="11" t="n">
        <v>0.00734363425925926</v>
      </c>
      <c r="G1486" s="12" t="n">
        <v>702</v>
      </c>
      <c r="H1486" s="11"/>
      <c r="I1486" s="12"/>
      <c r="J1486" s="12" t="n">
        <f aca="false">COUNT(E1486,G1486,I1486)</f>
        <v>1</v>
      </c>
      <c r="K1486" s="13" t="n">
        <f aca="false">MIN(E1486,G1486,I1486)</f>
        <v>702</v>
      </c>
      <c r="L1486" s="9" t="str">
        <f aca="false">IF(E1486=K1486,"5000m",IF(G1486=K1486,"3000mSC","1500m"))</f>
        <v>3000mSC</v>
      </c>
      <c r="M1486" s="14" t="n">
        <f aca="false">(D1486&lt;&gt;"")*(D1486&lt;=($E$3*60+$F$3)/86400)+(F1486&lt;&gt;"")*(F1486&lt;=($I$3*60+$J$3)/86400)+(H1486&lt;&gt;"")*(H1486&lt;=($M$3*60+$N$3)/86400)</f>
        <v>0</v>
      </c>
      <c r="N1486" s="16"/>
      <c r="O1486" s="15"/>
    </row>
    <row r="1487" customFormat="false" ht="25.35" hidden="false" customHeight="false" outlineLevel="0" collapsed="false">
      <c r="A1487" s="9" t="n">
        <v>1481</v>
      </c>
      <c r="B1487" s="10" t="s">
        <v>2143</v>
      </c>
      <c r="C1487" s="10" t="s">
        <v>1789</v>
      </c>
      <c r="D1487" s="11" t="n">
        <v>0.0110538194444444</v>
      </c>
      <c r="E1487" s="12" t="n">
        <v>1207</v>
      </c>
      <c r="F1487" s="11" t="n">
        <v>0.00734479166666667</v>
      </c>
      <c r="G1487" s="12" t="n">
        <v>703</v>
      </c>
      <c r="H1487" s="11"/>
      <c r="I1487" s="12"/>
      <c r="J1487" s="12" t="n">
        <f aca="false">COUNT(E1487,G1487,I1487)</f>
        <v>2</v>
      </c>
      <c r="K1487" s="13" t="n">
        <f aca="false">MIN(E1487,G1487,I1487)</f>
        <v>703</v>
      </c>
      <c r="L1487" s="9" t="str">
        <f aca="false">IF(E1487=K1487,"5000m",IF(G1487=K1487,"3000mSC","1500m"))</f>
        <v>3000mSC</v>
      </c>
      <c r="M1487" s="14" t="n">
        <f aca="false">(D1487&lt;&gt;"")*(D1487&lt;=($E$3*60+$F$3)/86400)+(F1487&lt;&gt;"")*(F1487&lt;=($I$3*60+$J$3)/86400)+(H1487&lt;&gt;"")*(H1487&lt;=($M$3*60+$N$3)/86400)</f>
        <v>0</v>
      </c>
      <c r="N1487" s="16"/>
      <c r="O1487" s="15"/>
    </row>
    <row r="1488" customFormat="false" ht="15" hidden="false" customHeight="false" outlineLevel="0" collapsed="false">
      <c r="A1488" s="9" t="n">
        <v>1482</v>
      </c>
      <c r="B1488" s="10" t="s">
        <v>2144</v>
      </c>
      <c r="C1488" s="10" t="s">
        <v>1413</v>
      </c>
      <c r="D1488" s="11" t="n">
        <v>0.0107763888888889</v>
      </c>
      <c r="E1488" s="12" t="n">
        <v>703</v>
      </c>
      <c r="F1488" s="11"/>
      <c r="G1488" s="12"/>
      <c r="H1488" s="11"/>
      <c r="I1488" s="12"/>
      <c r="J1488" s="12" t="n">
        <f aca="false">COUNT(E1488,G1488,I1488)</f>
        <v>1</v>
      </c>
      <c r="K1488" s="13" t="n">
        <f aca="false">MIN(E1488,G1488,I1488)</f>
        <v>703</v>
      </c>
      <c r="L1488" s="9" t="str">
        <f aca="false">IF(E1488=K1488,"5000m",IF(G1488=K1488,"3000mSC","1500m"))</f>
        <v>5000m</v>
      </c>
      <c r="M1488" s="14" t="n">
        <f aca="false">(D1488&lt;&gt;"")*(D1488&lt;=($E$3*60+$F$3)/86400)+(F1488&lt;&gt;"")*(F1488&lt;=($I$3*60+$J$3)/86400)+(H1488&lt;&gt;"")*(H1488&lt;=($M$3*60+$N$3)/86400)</f>
        <v>0</v>
      </c>
      <c r="N1488" s="16"/>
      <c r="O1488" s="15"/>
    </row>
    <row r="1489" customFormat="false" ht="25.35" hidden="false" customHeight="false" outlineLevel="0" collapsed="false">
      <c r="A1489" s="9" t="n">
        <v>1483</v>
      </c>
      <c r="B1489" s="10" t="s">
        <v>2145</v>
      </c>
      <c r="C1489" s="10" t="s">
        <v>1651</v>
      </c>
      <c r="D1489" s="11"/>
      <c r="E1489" s="12"/>
      <c r="F1489" s="11" t="n">
        <v>0.00734502314814815</v>
      </c>
      <c r="G1489" s="12" t="n">
        <v>704</v>
      </c>
      <c r="H1489" s="11"/>
      <c r="I1489" s="12"/>
      <c r="J1489" s="12" t="n">
        <f aca="false">COUNT(E1489,G1489,I1489)</f>
        <v>1</v>
      </c>
      <c r="K1489" s="13" t="n">
        <f aca="false">MIN(E1489,G1489,I1489)</f>
        <v>704</v>
      </c>
      <c r="L1489" s="9" t="str">
        <f aca="false">IF(E1489=K1489,"5000m",IF(G1489=K1489,"3000mSC","1500m"))</f>
        <v>3000mSC</v>
      </c>
      <c r="M1489" s="14" t="n">
        <f aca="false">(D1489&lt;&gt;"")*(D1489&lt;=($E$3*60+$F$3)/86400)+(F1489&lt;&gt;"")*(F1489&lt;=($I$3*60+$J$3)/86400)+(H1489&lt;&gt;"")*(H1489&lt;=($M$3*60+$N$3)/86400)</f>
        <v>0</v>
      </c>
      <c r="N1489" s="16"/>
      <c r="O1489" s="15"/>
    </row>
    <row r="1490" customFormat="false" ht="25.35" hidden="false" customHeight="false" outlineLevel="0" collapsed="false">
      <c r="A1490" s="9" t="n">
        <v>1484</v>
      </c>
      <c r="B1490" s="10" t="s">
        <v>2146</v>
      </c>
      <c r="C1490" s="10" t="s">
        <v>2147</v>
      </c>
      <c r="D1490" s="11"/>
      <c r="E1490" s="12"/>
      <c r="F1490" s="11" t="n">
        <v>0.00734513888888889</v>
      </c>
      <c r="G1490" s="12" t="n">
        <v>705</v>
      </c>
      <c r="H1490" s="11"/>
      <c r="I1490" s="12"/>
      <c r="J1490" s="12" t="n">
        <f aca="false">COUNT(E1490,G1490,I1490)</f>
        <v>1</v>
      </c>
      <c r="K1490" s="13" t="n">
        <f aca="false">MIN(E1490,G1490,I1490)</f>
        <v>705</v>
      </c>
      <c r="L1490" s="9" t="str">
        <f aca="false">IF(E1490=K1490,"5000m",IF(G1490=K1490,"3000mSC","1500m"))</f>
        <v>3000mSC</v>
      </c>
      <c r="M1490" s="14" t="n">
        <f aca="false">(D1490&lt;&gt;"")*(D1490&lt;=($E$3*60+$F$3)/86400)+(F1490&lt;&gt;"")*(F1490&lt;=($I$3*60+$J$3)/86400)+(H1490&lt;&gt;"")*(H1490&lt;=($M$3*60+$N$3)/86400)</f>
        <v>0</v>
      </c>
      <c r="N1490" s="16"/>
      <c r="O1490" s="15"/>
    </row>
    <row r="1491" customFormat="false" ht="15" hidden="false" customHeight="false" outlineLevel="0" collapsed="false">
      <c r="A1491" s="9" t="n">
        <v>1485</v>
      </c>
      <c r="B1491" s="10" t="s">
        <v>2148</v>
      </c>
      <c r="C1491" s="10" t="s">
        <v>1595</v>
      </c>
      <c r="D1491" s="11"/>
      <c r="E1491" s="12"/>
      <c r="F1491" s="11"/>
      <c r="G1491" s="12"/>
      <c r="H1491" s="11" t="n">
        <v>0.00287094907407407</v>
      </c>
      <c r="I1491" s="12" t="n">
        <v>705</v>
      </c>
      <c r="J1491" s="12" t="n">
        <f aca="false">COUNT(E1491,G1491,I1491)</f>
        <v>1</v>
      </c>
      <c r="K1491" s="13" t="n">
        <f aca="false">MIN(E1491,G1491,I1491)</f>
        <v>705</v>
      </c>
      <c r="L1491" s="9" t="str">
        <f aca="false">IF(E1491=K1491,"5000m",IF(G1491=K1491,"3000mSC","1500m"))</f>
        <v>1500m</v>
      </c>
      <c r="M1491" s="14" t="n">
        <f aca="false">(D1491&lt;&gt;"")*(D1491&lt;=($E$3*60+$F$3)/86400)+(F1491&lt;&gt;"")*(F1491&lt;=($I$3*60+$J$3)/86400)+(H1491&lt;&gt;"")*(H1491&lt;=($M$3*60+$N$3)/86400)</f>
        <v>0</v>
      </c>
      <c r="N1491" s="16"/>
      <c r="O1491" s="15"/>
    </row>
    <row r="1492" customFormat="false" ht="25.35" hidden="false" customHeight="false" outlineLevel="0" collapsed="false">
      <c r="A1492" s="9" t="n">
        <v>1486</v>
      </c>
      <c r="B1492" s="10" t="s">
        <v>2149</v>
      </c>
      <c r="C1492" s="10" t="s">
        <v>1608</v>
      </c>
      <c r="D1492" s="11" t="n">
        <v>0.0110517361111111</v>
      </c>
      <c r="E1492" s="12" t="n">
        <v>1200</v>
      </c>
      <c r="F1492" s="11" t="n">
        <v>0.00734594907407408</v>
      </c>
      <c r="G1492" s="12" t="n">
        <v>706</v>
      </c>
      <c r="H1492" s="11" t="n">
        <v>0.00288194444444444</v>
      </c>
      <c r="I1492" s="12" t="n">
        <v>790</v>
      </c>
      <c r="J1492" s="12" t="n">
        <f aca="false">COUNT(E1492,G1492,I1492)</f>
        <v>3</v>
      </c>
      <c r="K1492" s="13" t="n">
        <f aca="false">MIN(E1492,G1492,I1492)</f>
        <v>706</v>
      </c>
      <c r="L1492" s="9" t="str">
        <f aca="false">IF(E1492=K1492,"5000m",IF(G1492=K1492,"3000mSC","1500m"))</f>
        <v>3000mSC</v>
      </c>
      <c r="M1492" s="14" t="n">
        <f aca="false">(D1492&lt;&gt;"")*(D1492&lt;=($E$3*60+$F$3)/86400)+(F1492&lt;&gt;"")*(F1492&lt;=($I$3*60+$J$3)/86400)+(H1492&lt;&gt;"")*(H1492&lt;=($M$3*60+$N$3)/86400)</f>
        <v>0</v>
      </c>
      <c r="N1492" s="16"/>
      <c r="O1492" s="15"/>
    </row>
    <row r="1493" customFormat="false" ht="15" hidden="false" customHeight="false" outlineLevel="0" collapsed="false">
      <c r="A1493" s="9" t="n">
        <v>1487</v>
      </c>
      <c r="B1493" s="10" t="s">
        <v>2150</v>
      </c>
      <c r="C1493" s="10" t="s">
        <v>2151</v>
      </c>
      <c r="D1493" s="11" t="n">
        <v>0.0108053240740741</v>
      </c>
      <c r="E1493" s="12" t="n">
        <v>752</v>
      </c>
      <c r="F1493" s="11"/>
      <c r="G1493" s="12"/>
      <c r="H1493" s="11" t="n">
        <v>0.00287106481481482</v>
      </c>
      <c r="I1493" s="12" t="n">
        <v>706</v>
      </c>
      <c r="J1493" s="12" t="n">
        <f aca="false">COUNT(E1493,G1493,I1493)</f>
        <v>2</v>
      </c>
      <c r="K1493" s="13" t="n">
        <f aca="false">MIN(E1493,G1493,I1493)</f>
        <v>706</v>
      </c>
      <c r="L1493" s="9" t="str">
        <f aca="false">IF(E1493=K1493,"5000m",IF(G1493=K1493,"3000mSC","1500m"))</f>
        <v>1500m</v>
      </c>
      <c r="M1493" s="14" t="n">
        <f aca="false">(D1493&lt;&gt;"")*(D1493&lt;=($E$3*60+$F$3)/86400)+(F1493&lt;&gt;"")*(F1493&lt;=($I$3*60+$J$3)/86400)+(H1493&lt;&gt;"")*(H1493&lt;=($M$3*60+$N$3)/86400)</f>
        <v>0</v>
      </c>
      <c r="N1493" s="10" t="s">
        <v>2152</v>
      </c>
      <c r="O1493" s="15"/>
    </row>
    <row r="1494" customFormat="false" ht="25.35" hidden="false" customHeight="false" outlineLevel="0" collapsed="false">
      <c r="A1494" s="9" t="n">
        <v>1488</v>
      </c>
      <c r="B1494" s="10" t="s">
        <v>2153</v>
      </c>
      <c r="C1494" s="10" t="s">
        <v>658</v>
      </c>
      <c r="D1494" s="11"/>
      <c r="E1494" s="12"/>
      <c r="F1494" s="11" t="n">
        <v>0.00734606481481482</v>
      </c>
      <c r="G1494" s="12" t="n">
        <v>707</v>
      </c>
      <c r="H1494" s="11"/>
      <c r="I1494" s="12"/>
      <c r="J1494" s="12" t="n">
        <f aca="false">COUNT(E1494,G1494,I1494)</f>
        <v>1</v>
      </c>
      <c r="K1494" s="13" t="n">
        <f aca="false">MIN(E1494,G1494,I1494)</f>
        <v>707</v>
      </c>
      <c r="L1494" s="9" t="str">
        <f aca="false">IF(E1494=K1494,"5000m",IF(G1494=K1494,"3000mSC","1500m"))</f>
        <v>3000mSC</v>
      </c>
      <c r="M1494" s="14" t="n">
        <f aca="false">(D1494&lt;&gt;"")*(D1494&lt;=($E$3*60+$F$3)/86400)+(F1494&lt;&gt;"")*(F1494&lt;=($I$3*60+$J$3)/86400)+(H1494&lt;&gt;"")*(H1494&lt;=($M$3*60+$N$3)/86400)</f>
        <v>0</v>
      </c>
      <c r="N1494" s="16"/>
      <c r="O1494" s="15"/>
    </row>
    <row r="1495" customFormat="false" ht="15" hidden="false" customHeight="false" outlineLevel="0" collapsed="false">
      <c r="A1495" s="9" t="n">
        <v>1489</v>
      </c>
      <c r="B1495" s="10" t="s">
        <v>2154</v>
      </c>
      <c r="C1495" s="10" t="s">
        <v>2155</v>
      </c>
      <c r="D1495" s="11"/>
      <c r="E1495" s="12"/>
      <c r="F1495" s="11"/>
      <c r="G1495" s="12"/>
      <c r="H1495" s="11" t="n">
        <v>0.00287106481481482</v>
      </c>
      <c r="I1495" s="12" t="n">
        <v>707</v>
      </c>
      <c r="J1495" s="12" t="n">
        <f aca="false">COUNT(E1495,G1495,I1495)</f>
        <v>1</v>
      </c>
      <c r="K1495" s="13" t="n">
        <f aca="false">MIN(E1495,G1495,I1495)</f>
        <v>707</v>
      </c>
      <c r="L1495" s="9" t="str">
        <f aca="false">IF(E1495=K1495,"5000m",IF(G1495=K1495,"3000mSC","1500m"))</f>
        <v>1500m</v>
      </c>
      <c r="M1495" s="14" t="n">
        <f aca="false">(D1495&lt;&gt;"")*(D1495&lt;=($E$3*60+$F$3)/86400)+(F1495&lt;&gt;"")*(F1495&lt;=($I$3*60+$J$3)/86400)+(H1495&lt;&gt;"")*(H1495&lt;=($M$3*60+$N$3)/86400)</f>
        <v>0</v>
      </c>
      <c r="N1495" s="16"/>
      <c r="O1495" s="15"/>
    </row>
    <row r="1496" customFormat="false" ht="25.35" hidden="false" customHeight="false" outlineLevel="0" collapsed="false">
      <c r="A1496" s="9" t="n">
        <v>1490</v>
      </c>
      <c r="B1496" s="10" t="s">
        <v>2156</v>
      </c>
      <c r="C1496" s="10" t="s">
        <v>1366</v>
      </c>
      <c r="D1496" s="11"/>
      <c r="E1496" s="12"/>
      <c r="F1496" s="11" t="n">
        <v>0.00734837962962963</v>
      </c>
      <c r="G1496" s="12" t="n">
        <v>708</v>
      </c>
      <c r="H1496" s="11"/>
      <c r="I1496" s="12"/>
      <c r="J1496" s="12" t="n">
        <f aca="false">COUNT(E1496,G1496,I1496)</f>
        <v>1</v>
      </c>
      <c r="K1496" s="13" t="n">
        <f aca="false">MIN(E1496,G1496,I1496)</f>
        <v>708</v>
      </c>
      <c r="L1496" s="9" t="str">
        <f aca="false">IF(E1496=K1496,"5000m",IF(G1496=K1496,"3000mSC","1500m"))</f>
        <v>3000mSC</v>
      </c>
      <c r="M1496" s="14" t="n">
        <f aca="false">(D1496&lt;&gt;"")*(D1496&lt;=($E$3*60+$F$3)/86400)+(F1496&lt;&gt;"")*(F1496&lt;=($I$3*60+$J$3)/86400)+(H1496&lt;&gt;"")*(H1496&lt;=($M$3*60+$N$3)/86400)</f>
        <v>0</v>
      </c>
      <c r="N1496" s="16"/>
      <c r="O1496" s="15"/>
    </row>
    <row r="1497" customFormat="false" ht="15" hidden="false" customHeight="false" outlineLevel="0" collapsed="false">
      <c r="A1497" s="9" t="n">
        <v>1491</v>
      </c>
      <c r="B1497" s="10" t="s">
        <v>2157</v>
      </c>
      <c r="C1497" s="10" t="s">
        <v>857</v>
      </c>
      <c r="D1497" s="11"/>
      <c r="E1497" s="12"/>
      <c r="F1497" s="11"/>
      <c r="G1497" s="12"/>
      <c r="H1497" s="11" t="n">
        <v>0.00287118055555556</v>
      </c>
      <c r="I1497" s="12" t="n">
        <v>708</v>
      </c>
      <c r="J1497" s="12" t="n">
        <f aca="false">COUNT(E1497,G1497,I1497)</f>
        <v>1</v>
      </c>
      <c r="K1497" s="13" t="n">
        <f aca="false">MIN(E1497,G1497,I1497)</f>
        <v>708</v>
      </c>
      <c r="L1497" s="9" t="str">
        <f aca="false">IF(E1497=K1497,"5000m",IF(G1497=K1497,"3000mSC","1500m"))</f>
        <v>1500m</v>
      </c>
      <c r="M1497" s="14" t="n">
        <f aca="false">(D1497&lt;&gt;"")*(D1497&lt;=($E$3*60+$F$3)/86400)+(F1497&lt;&gt;"")*(F1497&lt;=($I$3*60+$J$3)/86400)+(H1497&lt;&gt;"")*(H1497&lt;=($M$3*60+$N$3)/86400)</f>
        <v>0</v>
      </c>
      <c r="N1497" s="16"/>
      <c r="O1497" s="15"/>
    </row>
    <row r="1498" customFormat="false" ht="25.35" hidden="false" customHeight="false" outlineLevel="0" collapsed="false">
      <c r="A1498" s="9" t="n">
        <v>1492</v>
      </c>
      <c r="B1498" s="10" t="s">
        <v>2158</v>
      </c>
      <c r="C1498" s="10" t="s">
        <v>139</v>
      </c>
      <c r="D1498" s="11"/>
      <c r="E1498" s="12"/>
      <c r="F1498" s="11" t="n">
        <v>0.00734884259259259</v>
      </c>
      <c r="G1498" s="12" t="n">
        <v>709</v>
      </c>
      <c r="H1498" s="11"/>
      <c r="I1498" s="12"/>
      <c r="J1498" s="12" t="n">
        <f aca="false">COUNT(E1498,G1498,I1498)</f>
        <v>1</v>
      </c>
      <c r="K1498" s="13" t="n">
        <f aca="false">MIN(E1498,G1498,I1498)</f>
        <v>709</v>
      </c>
      <c r="L1498" s="9" t="str">
        <f aca="false">IF(E1498=K1498,"5000m",IF(G1498=K1498,"3000mSC","1500m"))</f>
        <v>3000mSC</v>
      </c>
      <c r="M1498" s="14" t="n">
        <f aca="false">(D1498&lt;&gt;"")*(D1498&lt;=($E$3*60+$F$3)/86400)+(F1498&lt;&gt;"")*(F1498&lt;=($I$3*60+$J$3)/86400)+(H1498&lt;&gt;"")*(H1498&lt;=($M$3*60+$N$3)/86400)</f>
        <v>0</v>
      </c>
      <c r="N1498" s="16"/>
      <c r="O1498" s="15"/>
    </row>
    <row r="1499" customFormat="false" ht="25.35" hidden="false" customHeight="false" outlineLevel="0" collapsed="false">
      <c r="A1499" s="9" t="n">
        <v>1493</v>
      </c>
      <c r="B1499" s="10" t="s">
        <v>2159</v>
      </c>
      <c r="C1499" s="10" t="s">
        <v>2160</v>
      </c>
      <c r="D1499" s="11"/>
      <c r="E1499" s="12"/>
      <c r="F1499" s="11" t="n">
        <v>0.00734918981481482</v>
      </c>
      <c r="G1499" s="12" t="n">
        <v>710</v>
      </c>
      <c r="H1499" s="11"/>
      <c r="I1499" s="12"/>
      <c r="J1499" s="12" t="n">
        <f aca="false">COUNT(E1499,G1499,I1499)</f>
        <v>1</v>
      </c>
      <c r="K1499" s="13" t="n">
        <f aca="false">MIN(E1499,G1499,I1499)</f>
        <v>710</v>
      </c>
      <c r="L1499" s="9" t="str">
        <f aca="false">IF(E1499=K1499,"5000m",IF(G1499=K1499,"3000mSC","1500m"))</f>
        <v>3000mSC</v>
      </c>
      <c r="M1499" s="14" t="n">
        <f aca="false">(D1499&lt;&gt;"")*(D1499&lt;=($E$3*60+$F$3)/86400)+(F1499&lt;&gt;"")*(F1499&lt;=($I$3*60+$J$3)/86400)+(H1499&lt;&gt;"")*(H1499&lt;=($M$3*60+$N$3)/86400)</f>
        <v>0</v>
      </c>
      <c r="N1499" s="16"/>
      <c r="O1499" s="15"/>
    </row>
    <row r="1500" customFormat="false" ht="15" hidden="false" customHeight="false" outlineLevel="0" collapsed="false">
      <c r="A1500" s="9" t="n">
        <v>1494</v>
      </c>
      <c r="B1500" s="10" t="s">
        <v>2161</v>
      </c>
      <c r="C1500" s="10" t="s">
        <v>57</v>
      </c>
      <c r="D1500" s="11"/>
      <c r="E1500" s="12"/>
      <c r="F1500" s="11"/>
      <c r="G1500" s="12"/>
      <c r="H1500" s="11" t="n">
        <v>0.00287141203703704</v>
      </c>
      <c r="I1500" s="12" t="n">
        <v>710</v>
      </c>
      <c r="J1500" s="12" t="n">
        <f aca="false">COUNT(E1500,G1500,I1500)</f>
        <v>1</v>
      </c>
      <c r="K1500" s="13" t="n">
        <f aca="false">MIN(E1500,G1500,I1500)</f>
        <v>710</v>
      </c>
      <c r="L1500" s="9" t="str">
        <f aca="false">IF(E1500=K1500,"5000m",IF(G1500=K1500,"3000mSC","1500m"))</f>
        <v>1500m</v>
      </c>
      <c r="M1500" s="14" t="n">
        <f aca="false">(D1500&lt;&gt;"")*(D1500&lt;=($E$3*60+$F$3)/86400)+(F1500&lt;&gt;"")*(F1500&lt;=($I$3*60+$J$3)/86400)+(H1500&lt;&gt;"")*(H1500&lt;=($M$3*60+$N$3)/86400)</f>
        <v>0</v>
      </c>
      <c r="N1500" s="16"/>
      <c r="O1500" s="15"/>
    </row>
    <row r="1501" customFormat="false" ht="15" hidden="false" customHeight="false" outlineLevel="0" collapsed="false">
      <c r="A1501" s="9" t="n">
        <v>1495</v>
      </c>
      <c r="B1501" s="10" t="s">
        <v>2162</v>
      </c>
      <c r="C1501" s="10" t="s">
        <v>457</v>
      </c>
      <c r="D1501" s="11" t="n">
        <v>0.0108788194444444</v>
      </c>
      <c r="E1501" s="12" t="n">
        <v>885</v>
      </c>
      <c r="F1501" s="11"/>
      <c r="G1501" s="12"/>
      <c r="H1501" s="11" t="n">
        <v>0.00287141203703704</v>
      </c>
      <c r="I1501" s="12" t="n">
        <v>711</v>
      </c>
      <c r="J1501" s="12" t="n">
        <f aca="false">COUNT(E1501,G1501,I1501)</f>
        <v>2</v>
      </c>
      <c r="K1501" s="13" t="n">
        <f aca="false">MIN(E1501,G1501,I1501)</f>
        <v>711</v>
      </c>
      <c r="L1501" s="9" t="str">
        <f aca="false">IF(E1501=K1501,"5000m",IF(G1501=K1501,"3000mSC","1500m"))</f>
        <v>1500m</v>
      </c>
      <c r="M1501" s="14" t="n">
        <f aca="false">(D1501&lt;&gt;"")*(D1501&lt;=($E$3*60+$F$3)/86400)+(F1501&lt;&gt;"")*(F1501&lt;=($I$3*60+$J$3)/86400)+(H1501&lt;&gt;"")*(H1501&lt;=($M$3*60+$N$3)/86400)</f>
        <v>0</v>
      </c>
      <c r="N1501" s="16"/>
      <c r="O1501" s="15"/>
    </row>
    <row r="1502" customFormat="false" ht="25.35" hidden="false" customHeight="false" outlineLevel="0" collapsed="false">
      <c r="A1502" s="9" t="n">
        <v>1496</v>
      </c>
      <c r="B1502" s="10" t="s">
        <v>2163</v>
      </c>
      <c r="C1502" s="10" t="s">
        <v>2164</v>
      </c>
      <c r="D1502" s="11"/>
      <c r="E1502" s="12"/>
      <c r="F1502" s="11" t="n">
        <v>0.00735208333333333</v>
      </c>
      <c r="G1502" s="12" t="n">
        <v>711</v>
      </c>
      <c r="H1502" s="11"/>
      <c r="I1502" s="12"/>
      <c r="J1502" s="12" t="n">
        <f aca="false">COUNT(E1502,G1502,I1502)</f>
        <v>1</v>
      </c>
      <c r="K1502" s="13" t="n">
        <f aca="false">MIN(E1502,G1502,I1502)</f>
        <v>711</v>
      </c>
      <c r="L1502" s="9" t="str">
        <f aca="false">IF(E1502=K1502,"5000m",IF(G1502=K1502,"3000mSC","1500m"))</f>
        <v>3000mSC</v>
      </c>
      <c r="M1502" s="14" t="n">
        <f aca="false">(D1502&lt;&gt;"")*(D1502&lt;=($E$3*60+$F$3)/86400)+(F1502&lt;&gt;"")*(F1502&lt;=($I$3*60+$J$3)/86400)+(H1502&lt;&gt;"")*(H1502&lt;=($M$3*60+$N$3)/86400)</f>
        <v>0</v>
      </c>
      <c r="N1502" s="16"/>
      <c r="O1502" s="15"/>
    </row>
    <row r="1503" customFormat="false" ht="15" hidden="false" customHeight="false" outlineLevel="0" collapsed="false">
      <c r="A1503" s="9" t="n">
        <v>1497</v>
      </c>
      <c r="B1503" s="10" t="s">
        <v>2165</v>
      </c>
      <c r="C1503" s="10" t="s">
        <v>546</v>
      </c>
      <c r="D1503" s="11" t="n">
        <v>0.0108703703703704</v>
      </c>
      <c r="E1503" s="12" t="n">
        <v>871</v>
      </c>
      <c r="F1503" s="11"/>
      <c r="G1503" s="12"/>
      <c r="H1503" s="11" t="n">
        <v>0.00287152777777778</v>
      </c>
      <c r="I1503" s="12" t="n">
        <v>712</v>
      </c>
      <c r="J1503" s="12" t="n">
        <f aca="false">COUNT(E1503,G1503,I1503)</f>
        <v>2</v>
      </c>
      <c r="K1503" s="13" t="n">
        <f aca="false">MIN(E1503,G1503,I1503)</f>
        <v>712</v>
      </c>
      <c r="L1503" s="9" t="str">
        <f aca="false">IF(E1503=K1503,"5000m",IF(G1503=K1503,"3000mSC","1500m"))</f>
        <v>1500m</v>
      </c>
      <c r="M1503" s="14" t="n">
        <f aca="false">(D1503&lt;&gt;"")*(D1503&lt;=($E$3*60+$F$3)/86400)+(F1503&lt;&gt;"")*(F1503&lt;=($I$3*60+$J$3)/86400)+(H1503&lt;&gt;"")*(H1503&lt;=($M$3*60+$N$3)/86400)</f>
        <v>0</v>
      </c>
      <c r="N1503" s="16"/>
      <c r="O1503" s="15"/>
    </row>
    <row r="1504" customFormat="false" ht="25.35" hidden="false" customHeight="false" outlineLevel="0" collapsed="false">
      <c r="A1504" s="9" t="n">
        <v>1498</v>
      </c>
      <c r="B1504" s="10" t="s">
        <v>2166</v>
      </c>
      <c r="C1504" s="10" t="s">
        <v>1916</v>
      </c>
      <c r="D1504" s="11"/>
      <c r="E1504" s="12"/>
      <c r="F1504" s="11" t="n">
        <v>0.00735243055555556</v>
      </c>
      <c r="G1504" s="12" t="n">
        <v>712</v>
      </c>
      <c r="H1504" s="11"/>
      <c r="I1504" s="12"/>
      <c r="J1504" s="12" t="n">
        <f aca="false">COUNT(E1504,G1504,I1504)</f>
        <v>1</v>
      </c>
      <c r="K1504" s="13" t="n">
        <f aca="false">MIN(E1504,G1504,I1504)</f>
        <v>712</v>
      </c>
      <c r="L1504" s="9" t="str">
        <f aca="false">IF(E1504=K1504,"5000m",IF(G1504=K1504,"3000mSC","1500m"))</f>
        <v>3000mSC</v>
      </c>
      <c r="M1504" s="14" t="n">
        <f aca="false">(D1504&lt;&gt;"")*(D1504&lt;=($E$3*60+$F$3)/86400)+(F1504&lt;&gt;"")*(F1504&lt;=($I$3*60+$J$3)/86400)+(H1504&lt;&gt;"")*(H1504&lt;=($M$3*60+$N$3)/86400)</f>
        <v>0</v>
      </c>
      <c r="N1504" s="10" t="s">
        <v>2167</v>
      </c>
      <c r="O1504" s="15"/>
    </row>
    <row r="1505" customFormat="false" ht="25.35" hidden="false" customHeight="false" outlineLevel="0" collapsed="false">
      <c r="A1505" s="9" t="n">
        <v>1499</v>
      </c>
      <c r="B1505" s="10" t="s">
        <v>2168</v>
      </c>
      <c r="C1505" s="10" t="s">
        <v>1280</v>
      </c>
      <c r="D1505" s="11"/>
      <c r="E1505" s="12"/>
      <c r="F1505" s="11" t="n">
        <v>0.00735289351851852</v>
      </c>
      <c r="G1505" s="12" t="n">
        <v>713</v>
      </c>
      <c r="H1505" s="11" t="n">
        <v>0.00287974537037037</v>
      </c>
      <c r="I1505" s="12" t="n">
        <v>768</v>
      </c>
      <c r="J1505" s="12" t="n">
        <f aca="false">COUNT(E1505,G1505,I1505)</f>
        <v>2</v>
      </c>
      <c r="K1505" s="13" t="n">
        <f aca="false">MIN(E1505,G1505,I1505)</f>
        <v>713</v>
      </c>
      <c r="L1505" s="9" t="str">
        <f aca="false">IF(E1505=K1505,"5000m",IF(G1505=K1505,"3000mSC","1500m"))</f>
        <v>3000mSC</v>
      </c>
      <c r="M1505" s="14" t="n">
        <f aca="false">(D1505&lt;&gt;"")*(D1505&lt;=($E$3*60+$F$3)/86400)+(F1505&lt;&gt;"")*(F1505&lt;=($I$3*60+$J$3)/86400)+(H1505&lt;&gt;"")*(H1505&lt;=($M$3*60+$N$3)/86400)</f>
        <v>0</v>
      </c>
      <c r="N1505" s="16"/>
      <c r="O1505" s="15"/>
    </row>
    <row r="1506" customFormat="false" ht="15" hidden="false" customHeight="false" outlineLevel="0" collapsed="false">
      <c r="A1506" s="9" t="n">
        <v>1500</v>
      </c>
      <c r="B1506" s="10" t="s">
        <v>2169</v>
      </c>
      <c r="C1506" s="10" t="s">
        <v>1166</v>
      </c>
      <c r="D1506" s="11" t="n">
        <v>0.0108729166666667</v>
      </c>
      <c r="E1506" s="12" t="n">
        <v>874</v>
      </c>
      <c r="F1506" s="11"/>
      <c r="G1506" s="12"/>
      <c r="H1506" s="11" t="n">
        <v>0.00287164351851852</v>
      </c>
      <c r="I1506" s="12" t="n">
        <v>713</v>
      </c>
      <c r="J1506" s="12" t="n">
        <f aca="false">COUNT(E1506,G1506,I1506)</f>
        <v>2</v>
      </c>
      <c r="K1506" s="13" t="n">
        <f aca="false">MIN(E1506,G1506,I1506)</f>
        <v>713</v>
      </c>
      <c r="L1506" s="9" t="str">
        <f aca="false">IF(E1506=K1506,"5000m",IF(G1506=K1506,"3000mSC","1500m"))</f>
        <v>1500m</v>
      </c>
      <c r="M1506" s="14" t="n">
        <f aca="false">(D1506&lt;&gt;"")*(D1506&lt;=($E$3*60+$F$3)/86400)+(F1506&lt;&gt;"")*(F1506&lt;=($I$3*60+$J$3)/86400)+(H1506&lt;&gt;"")*(H1506&lt;=($M$3*60+$N$3)/86400)</f>
        <v>0</v>
      </c>
      <c r="N1506" s="16"/>
      <c r="O1506" s="15"/>
    </row>
    <row r="1507" customFormat="false" ht="15" hidden="false" customHeight="false" outlineLevel="0" collapsed="false">
      <c r="A1507" s="9" t="n">
        <v>1501</v>
      </c>
      <c r="B1507" s="10" t="s">
        <v>2170</v>
      </c>
      <c r="C1507" s="10" t="s">
        <v>2171</v>
      </c>
      <c r="D1507" s="11" t="n">
        <v>0.0107855324074074</v>
      </c>
      <c r="E1507" s="12" t="n">
        <v>713</v>
      </c>
      <c r="F1507" s="11" t="n">
        <v>0.007771875</v>
      </c>
      <c r="G1507" s="12" t="n">
        <v>1127</v>
      </c>
      <c r="H1507" s="11"/>
      <c r="I1507" s="12"/>
      <c r="J1507" s="12" t="n">
        <f aca="false">COUNT(E1507,G1507,I1507)</f>
        <v>2</v>
      </c>
      <c r="K1507" s="13" t="n">
        <f aca="false">MIN(E1507,G1507,I1507)</f>
        <v>713</v>
      </c>
      <c r="L1507" s="9" t="str">
        <f aca="false">IF(E1507=K1507,"5000m",IF(G1507=K1507,"3000mSC","1500m"))</f>
        <v>5000m</v>
      </c>
      <c r="M1507" s="14" t="n">
        <f aca="false">(D1507&lt;&gt;"")*(D1507&lt;=($E$3*60+$F$3)/86400)+(F1507&lt;&gt;"")*(F1507&lt;=($I$3*60+$J$3)/86400)+(H1507&lt;&gt;"")*(H1507&lt;=($M$3*60+$N$3)/86400)</f>
        <v>0</v>
      </c>
      <c r="N1507" s="16"/>
      <c r="O1507" s="15"/>
    </row>
    <row r="1508" customFormat="false" ht="25.35" hidden="false" customHeight="false" outlineLevel="0" collapsed="false">
      <c r="A1508" s="9" t="n">
        <v>1502</v>
      </c>
      <c r="B1508" s="10" t="s">
        <v>2172</v>
      </c>
      <c r="C1508" s="10" t="s">
        <v>2173</v>
      </c>
      <c r="D1508" s="11" t="n">
        <v>0.0108677083333333</v>
      </c>
      <c r="E1508" s="12" t="n">
        <v>867</v>
      </c>
      <c r="F1508" s="11" t="n">
        <v>0.00735300925925926</v>
      </c>
      <c r="G1508" s="12" t="n">
        <v>714</v>
      </c>
      <c r="H1508" s="11" t="n">
        <v>0.00290034722222222</v>
      </c>
      <c r="I1508" s="12" t="n">
        <v>950</v>
      </c>
      <c r="J1508" s="12" t="n">
        <f aca="false">COUNT(E1508,G1508,I1508)</f>
        <v>3</v>
      </c>
      <c r="K1508" s="13" t="n">
        <f aca="false">MIN(E1508,G1508,I1508)</f>
        <v>714</v>
      </c>
      <c r="L1508" s="9" t="str">
        <f aca="false">IF(E1508=K1508,"5000m",IF(G1508=K1508,"3000mSC","1500m"))</f>
        <v>3000mSC</v>
      </c>
      <c r="M1508" s="14" t="n">
        <f aca="false">(D1508&lt;&gt;"")*(D1508&lt;=($E$3*60+$F$3)/86400)+(F1508&lt;&gt;"")*(F1508&lt;=($I$3*60+$J$3)/86400)+(H1508&lt;&gt;"")*(H1508&lt;=($M$3*60+$N$3)/86400)</f>
        <v>0</v>
      </c>
      <c r="N1508" s="16"/>
      <c r="O1508" s="15"/>
    </row>
    <row r="1509" customFormat="false" ht="15" hidden="false" customHeight="false" outlineLevel="0" collapsed="false">
      <c r="A1509" s="9" t="n">
        <v>1503</v>
      </c>
      <c r="B1509" s="10" t="s">
        <v>2174</v>
      </c>
      <c r="C1509" s="10" t="s">
        <v>748</v>
      </c>
      <c r="D1509" s="11"/>
      <c r="E1509" s="12"/>
      <c r="F1509" s="11"/>
      <c r="G1509" s="12"/>
      <c r="H1509" s="11" t="n">
        <v>0.00287164351851852</v>
      </c>
      <c r="I1509" s="12" t="n">
        <v>714</v>
      </c>
      <c r="J1509" s="12" t="n">
        <f aca="false">COUNT(E1509,G1509,I1509)</f>
        <v>1</v>
      </c>
      <c r="K1509" s="13" t="n">
        <f aca="false">MIN(E1509,G1509,I1509)</f>
        <v>714</v>
      </c>
      <c r="L1509" s="9" t="str">
        <f aca="false">IF(E1509=K1509,"5000m",IF(G1509=K1509,"3000mSC","1500m"))</f>
        <v>1500m</v>
      </c>
      <c r="M1509" s="14" t="n">
        <f aca="false">(D1509&lt;&gt;"")*(D1509&lt;=($E$3*60+$F$3)/86400)+(F1509&lt;&gt;"")*(F1509&lt;=($I$3*60+$J$3)/86400)+(H1509&lt;&gt;"")*(H1509&lt;=($M$3*60+$N$3)/86400)</f>
        <v>0</v>
      </c>
      <c r="N1509" s="16"/>
      <c r="O1509" s="15"/>
    </row>
    <row r="1510" customFormat="false" ht="25.35" hidden="false" customHeight="false" outlineLevel="0" collapsed="false">
      <c r="A1510" s="9" t="n">
        <v>1504</v>
      </c>
      <c r="B1510" s="10" t="s">
        <v>2175</v>
      </c>
      <c r="C1510" s="10" t="s">
        <v>377</v>
      </c>
      <c r="D1510" s="11" t="n">
        <v>0.0109420138888889</v>
      </c>
      <c r="E1510" s="12" t="n">
        <v>984</v>
      </c>
      <c r="F1510" s="11" t="n">
        <v>0.00735509259259259</v>
      </c>
      <c r="G1510" s="12" t="n">
        <v>715</v>
      </c>
      <c r="H1510" s="11"/>
      <c r="I1510" s="12"/>
      <c r="J1510" s="12" t="n">
        <f aca="false">COUNT(E1510,G1510,I1510)</f>
        <v>2</v>
      </c>
      <c r="K1510" s="13" t="n">
        <f aca="false">MIN(E1510,G1510,I1510)</f>
        <v>715</v>
      </c>
      <c r="L1510" s="9" t="str">
        <f aca="false">IF(E1510=K1510,"5000m",IF(G1510=K1510,"3000mSC","1500m"))</f>
        <v>3000mSC</v>
      </c>
      <c r="M1510" s="14" t="n">
        <f aca="false">(D1510&lt;&gt;"")*(D1510&lt;=($E$3*60+$F$3)/86400)+(F1510&lt;&gt;"")*(F1510&lt;=($I$3*60+$J$3)/86400)+(H1510&lt;&gt;"")*(H1510&lt;=($M$3*60+$N$3)/86400)</f>
        <v>0</v>
      </c>
      <c r="N1510" s="16"/>
      <c r="O1510" s="15"/>
    </row>
    <row r="1511" customFormat="false" ht="15" hidden="false" customHeight="false" outlineLevel="0" collapsed="false">
      <c r="A1511" s="9" t="n">
        <v>1505</v>
      </c>
      <c r="B1511" s="10" t="s">
        <v>2176</v>
      </c>
      <c r="C1511" s="10" t="s">
        <v>215</v>
      </c>
      <c r="D1511" s="11" t="n">
        <v>0.0107873842592593</v>
      </c>
      <c r="E1511" s="12" t="n">
        <v>715</v>
      </c>
      <c r="F1511" s="11"/>
      <c r="G1511" s="12"/>
      <c r="H1511" s="11" t="n">
        <v>0.00291689814814815</v>
      </c>
      <c r="I1511" s="12" t="n">
        <v>1066</v>
      </c>
      <c r="J1511" s="12" t="n">
        <f aca="false">COUNT(E1511,G1511,I1511)</f>
        <v>2</v>
      </c>
      <c r="K1511" s="13" t="n">
        <f aca="false">MIN(E1511,G1511,I1511)</f>
        <v>715</v>
      </c>
      <c r="L1511" s="9" t="str">
        <f aca="false">IF(E1511=K1511,"5000m",IF(G1511=K1511,"3000mSC","1500m"))</f>
        <v>5000m</v>
      </c>
      <c r="M1511" s="14" t="n">
        <f aca="false">(D1511&lt;&gt;"")*(D1511&lt;=($E$3*60+$F$3)/86400)+(F1511&lt;&gt;"")*(F1511&lt;=($I$3*60+$J$3)/86400)+(H1511&lt;&gt;"")*(H1511&lt;=($M$3*60+$N$3)/86400)</f>
        <v>0</v>
      </c>
      <c r="N1511" s="16"/>
      <c r="O1511" s="15"/>
    </row>
    <row r="1512" customFormat="false" ht="15" hidden="false" customHeight="false" outlineLevel="0" collapsed="false">
      <c r="A1512" s="9" t="n">
        <v>1506</v>
      </c>
      <c r="B1512" s="10" t="s">
        <v>2177</v>
      </c>
      <c r="C1512" s="10" t="s">
        <v>1381</v>
      </c>
      <c r="D1512" s="11" t="n">
        <v>0.0107875</v>
      </c>
      <c r="E1512" s="12" t="n">
        <v>716</v>
      </c>
      <c r="F1512" s="11"/>
      <c r="G1512" s="12"/>
      <c r="H1512" s="11" t="n">
        <v>0.00288703703703704</v>
      </c>
      <c r="I1512" s="12" t="n">
        <v>835</v>
      </c>
      <c r="J1512" s="12" t="n">
        <f aca="false">COUNT(E1512,G1512,I1512)</f>
        <v>2</v>
      </c>
      <c r="K1512" s="13" t="n">
        <f aca="false">MIN(E1512,G1512,I1512)</f>
        <v>716</v>
      </c>
      <c r="L1512" s="9" t="str">
        <f aca="false">IF(E1512=K1512,"5000m",IF(G1512=K1512,"3000mSC","1500m"))</f>
        <v>5000m</v>
      </c>
      <c r="M1512" s="14" t="n">
        <f aca="false">(D1512&lt;&gt;"")*(D1512&lt;=($E$3*60+$F$3)/86400)+(F1512&lt;&gt;"")*(F1512&lt;=($I$3*60+$J$3)/86400)+(H1512&lt;&gt;"")*(H1512&lt;=($M$3*60+$N$3)/86400)</f>
        <v>0</v>
      </c>
      <c r="N1512" s="16"/>
      <c r="O1512" s="15"/>
    </row>
    <row r="1513" customFormat="false" ht="25.35" hidden="false" customHeight="false" outlineLevel="0" collapsed="false">
      <c r="A1513" s="9" t="n">
        <v>1507</v>
      </c>
      <c r="B1513" s="10" t="s">
        <v>2178</v>
      </c>
      <c r="C1513" s="10" t="s">
        <v>302</v>
      </c>
      <c r="D1513" s="11" t="n">
        <v>0.0110917824074074</v>
      </c>
      <c r="E1513" s="12" t="n">
        <v>1262</v>
      </c>
      <c r="F1513" s="11" t="n">
        <v>0.0073556712962963</v>
      </c>
      <c r="G1513" s="12" t="n">
        <v>716</v>
      </c>
      <c r="H1513" s="11"/>
      <c r="I1513" s="12"/>
      <c r="J1513" s="12" t="n">
        <f aca="false">COUNT(E1513,G1513,I1513)</f>
        <v>2</v>
      </c>
      <c r="K1513" s="13" t="n">
        <f aca="false">MIN(E1513,G1513,I1513)</f>
        <v>716</v>
      </c>
      <c r="L1513" s="9" t="str">
        <f aca="false">IF(E1513=K1513,"5000m",IF(G1513=K1513,"3000mSC","1500m"))</f>
        <v>3000mSC</v>
      </c>
      <c r="M1513" s="14" t="n">
        <f aca="false">(D1513&lt;&gt;"")*(D1513&lt;=($E$3*60+$F$3)/86400)+(F1513&lt;&gt;"")*(F1513&lt;=($I$3*60+$J$3)/86400)+(H1513&lt;&gt;"")*(H1513&lt;=($M$3*60+$N$3)/86400)</f>
        <v>0</v>
      </c>
      <c r="N1513" s="16"/>
      <c r="O1513" s="15"/>
    </row>
    <row r="1514" customFormat="false" ht="15" hidden="false" customHeight="false" outlineLevel="0" collapsed="false">
      <c r="A1514" s="9" t="n">
        <v>1508</v>
      </c>
      <c r="B1514" s="10" t="s">
        <v>2179</v>
      </c>
      <c r="C1514" s="10" t="s">
        <v>2024</v>
      </c>
      <c r="D1514" s="11" t="n">
        <v>0.0110993055555556</v>
      </c>
      <c r="E1514" s="12" t="n">
        <v>1270</v>
      </c>
      <c r="F1514" s="11"/>
      <c r="G1514" s="12"/>
      <c r="H1514" s="11" t="n">
        <v>0.002871875</v>
      </c>
      <c r="I1514" s="12" t="n">
        <v>716</v>
      </c>
      <c r="J1514" s="12" t="n">
        <f aca="false">COUNT(E1514,G1514,I1514)</f>
        <v>2</v>
      </c>
      <c r="K1514" s="13" t="n">
        <f aca="false">MIN(E1514,G1514,I1514)</f>
        <v>716</v>
      </c>
      <c r="L1514" s="9" t="str">
        <f aca="false">IF(E1514=K1514,"5000m",IF(G1514=K1514,"3000mSC","1500m"))</f>
        <v>1500m</v>
      </c>
      <c r="M1514" s="14" t="n">
        <f aca="false">(D1514&lt;&gt;"")*(D1514&lt;=($E$3*60+$F$3)/86400)+(F1514&lt;&gt;"")*(F1514&lt;=($I$3*60+$J$3)/86400)+(H1514&lt;&gt;"")*(H1514&lt;=($M$3*60+$N$3)/86400)</f>
        <v>0</v>
      </c>
      <c r="N1514" s="16"/>
      <c r="O1514" s="15"/>
    </row>
    <row r="1515" customFormat="false" ht="25.35" hidden="false" customHeight="false" outlineLevel="0" collapsed="false">
      <c r="A1515" s="9" t="n">
        <v>1509</v>
      </c>
      <c r="B1515" s="10" t="s">
        <v>2180</v>
      </c>
      <c r="C1515" s="10" t="s">
        <v>2181</v>
      </c>
      <c r="D1515" s="11"/>
      <c r="E1515" s="12"/>
      <c r="F1515" s="11" t="n">
        <v>0.00735601851851852</v>
      </c>
      <c r="G1515" s="12" t="n">
        <v>717</v>
      </c>
      <c r="H1515" s="11"/>
      <c r="I1515" s="12"/>
      <c r="J1515" s="12" t="n">
        <f aca="false">COUNT(E1515,G1515,I1515)</f>
        <v>1</v>
      </c>
      <c r="K1515" s="13" t="n">
        <f aca="false">MIN(E1515,G1515,I1515)</f>
        <v>717</v>
      </c>
      <c r="L1515" s="9" t="str">
        <f aca="false">IF(E1515=K1515,"5000m",IF(G1515=K1515,"3000mSC","1500m"))</f>
        <v>3000mSC</v>
      </c>
      <c r="M1515" s="14" t="n">
        <f aca="false">(D1515&lt;&gt;"")*(D1515&lt;=($E$3*60+$F$3)/86400)+(F1515&lt;&gt;"")*(F1515&lt;=($I$3*60+$J$3)/86400)+(H1515&lt;&gt;"")*(H1515&lt;=($M$3*60+$N$3)/86400)</f>
        <v>0</v>
      </c>
      <c r="N1515" s="16"/>
      <c r="O1515" s="15"/>
    </row>
    <row r="1516" customFormat="false" ht="25.35" hidden="false" customHeight="false" outlineLevel="0" collapsed="false">
      <c r="A1516" s="9" t="n">
        <v>1510</v>
      </c>
      <c r="B1516" s="10" t="s">
        <v>2182</v>
      </c>
      <c r="C1516" s="10" t="s">
        <v>1498</v>
      </c>
      <c r="D1516" s="11"/>
      <c r="E1516" s="12"/>
      <c r="F1516" s="11" t="n">
        <v>0.00736041666666667</v>
      </c>
      <c r="G1516" s="12" t="n">
        <v>718</v>
      </c>
      <c r="H1516" s="11"/>
      <c r="I1516" s="12"/>
      <c r="J1516" s="12" t="n">
        <f aca="false">COUNT(E1516,G1516,I1516)</f>
        <v>1</v>
      </c>
      <c r="K1516" s="13" t="n">
        <f aca="false">MIN(E1516,G1516,I1516)</f>
        <v>718</v>
      </c>
      <c r="L1516" s="9" t="str">
        <f aca="false">IF(E1516=K1516,"5000m",IF(G1516=K1516,"3000mSC","1500m"))</f>
        <v>3000mSC</v>
      </c>
      <c r="M1516" s="14" t="n">
        <f aca="false">(D1516&lt;&gt;"")*(D1516&lt;=($E$3*60+$F$3)/86400)+(F1516&lt;&gt;"")*(F1516&lt;=($I$3*60+$J$3)/86400)+(H1516&lt;&gt;"")*(H1516&lt;=($M$3*60+$N$3)/86400)</f>
        <v>0</v>
      </c>
      <c r="N1516" s="16"/>
      <c r="O1516" s="15"/>
    </row>
    <row r="1517" customFormat="false" ht="25.35" hidden="false" customHeight="false" outlineLevel="0" collapsed="false">
      <c r="A1517" s="9" t="n">
        <v>1511</v>
      </c>
      <c r="B1517" s="10" t="s">
        <v>2183</v>
      </c>
      <c r="C1517" s="10" t="s">
        <v>2184</v>
      </c>
      <c r="D1517" s="11"/>
      <c r="E1517" s="12"/>
      <c r="F1517" s="11" t="n">
        <v>0.00736041666666667</v>
      </c>
      <c r="G1517" s="12" t="n">
        <v>719</v>
      </c>
      <c r="H1517" s="11"/>
      <c r="I1517" s="12"/>
      <c r="J1517" s="12" t="n">
        <f aca="false">COUNT(E1517,G1517,I1517)</f>
        <v>1</v>
      </c>
      <c r="K1517" s="13" t="n">
        <f aca="false">MIN(E1517,G1517,I1517)</f>
        <v>719</v>
      </c>
      <c r="L1517" s="9" t="str">
        <f aca="false">IF(E1517=K1517,"5000m",IF(G1517=K1517,"3000mSC","1500m"))</f>
        <v>3000mSC</v>
      </c>
      <c r="M1517" s="14" t="n">
        <f aca="false">(D1517&lt;&gt;"")*(D1517&lt;=($E$3*60+$F$3)/86400)+(F1517&lt;&gt;"")*(F1517&lt;=($I$3*60+$J$3)/86400)+(H1517&lt;&gt;"")*(H1517&lt;=($M$3*60+$N$3)/86400)</f>
        <v>0</v>
      </c>
      <c r="N1517" s="16"/>
      <c r="O1517" s="15"/>
    </row>
    <row r="1518" customFormat="false" ht="15" hidden="false" customHeight="false" outlineLevel="0" collapsed="false">
      <c r="A1518" s="9" t="n">
        <v>1512</v>
      </c>
      <c r="B1518" s="10" t="s">
        <v>2185</v>
      </c>
      <c r="C1518" s="10" t="s">
        <v>2186</v>
      </c>
      <c r="D1518" s="11" t="n">
        <v>0.01101875</v>
      </c>
      <c r="E1518" s="12" t="n">
        <v>1127</v>
      </c>
      <c r="F1518" s="11"/>
      <c r="G1518" s="12"/>
      <c r="H1518" s="11" t="n">
        <v>0.00287280092592593</v>
      </c>
      <c r="I1518" s="12" t="n">
        <v>720</v>
      </c>
      <c r="J1518" s="12" t="n">
        <f aca="false">COUNT(E1518,G1518,I1518)</f>
        <v>2</v>
      </c>
      <c r="K1518" s="13" t="n">
        <f aca="false">MIN(E1518,G1518,I1518)</f>
        <v>720</v>
      </c>
      <c r="L1518" s="9" t="str">
        <f aca="false">IF(E1518=K1518,"5000m",IF(G1518=K1518,"3000mSC","1500m"))</f>
        <v>1500m</v>
      </c>
      <c r="M1518" s="14" t="n">
        <f aca="false">(D1518&lt;&gt;"")*(D1518&lt;=($E$3*60+$F$3)/86400)+(F1518&lt;&gt;"")*(F1518&lt;=($I$3*60+$J$3)/86400)+(H1518&lt;&gt;"")*(H1518&lt;=($M$3*60+$N$3)/86400)</f>
        <v>0</v>
      </c>
      <c r="N1518" s="16"/>
      <c r="O1518" s="15"/>
    </row>
    <row r="1519" customFormat="false" ht="25.35" hidden="false" customHeight="false" outlineLevel="0" collapsed="false">
      <c r="A1519" s="9" t="n">
        <v>1513</v>
      </c>
      <c r="B1519" s="10" t="s">
        <v>2187</v>
      </c>
      <c r="C1519" s="10" t="s">
        <v>154</v>
      </c>
      <c r="D1519" s="11"/>
      <c r="E1519" s="12"/>
      <c r="F1519" s="11" t="n">
        <v>0.00736053240740741</v>
      </c>
      <c r="G1519" s="12" t="n">
        <v>720</v>
      </c>
      <c r="H1519" s="11"/>
      <c r="I1519" s="12"/>
      <c r="J1519" s="12" t="n">
        <f aca="false">COUNT(E1519,G1519,I1519)</f>
        <v>1</v>
      </c>
      <c r="K1519" s="13" t="n">
        <f aca="false">MIN(E1519,G1519,I1519)</f>
        <v>720</v>
      </c>
      <c r="L1519" s="9" t="str">
        <f aca="false">IF(E1519=K1519,"5000m",IF(G1519=K1519,"3000mSC","1500m"))</f>
        <v>3000mSC</v>
      </c>
      <c r="M1519" s="14" t="n">
        <f aca="false">(D1519&lt;&gt;"")*(D1519&lt;=($E$3*60+$F$3)/86400)+(F1519&lt;&gt;"")*(F1519&lt;=($I$3*60+$J$3)/86400)+(H1519&lt;&gt;"")*(H1519&lt;=($M$3*60+$N$3)/86400)</f>
        <v>0</v>
      </c>
      <c r="N1519" s="16"/>
      <c r="O1519" s="15"/>
    </row>
    <row r="1520" customFormat="false" ht="15" hidden="false" customHeight="false" outlineLevel="0" collapsed="false">
      <c r="A1520" s="9" t="n">
        <v>1514</v>
      </c>
      <c r="B1520" s="10" t="s">
        <v>2188</v>
      </c>
      <c r="C1520" s="10" t="s">
        <v>1496</v>
      </c>
      <c r="D1520" s="11" t="n">
        <v>0.0107894675925926</v>
      </c>
      <c r="E1520" s="12" t="n">
        <v>721</v>
      </c>
      <c r="F1520" s="11"/>
      <c r="G1520" s="12"/>
      <c r="H1520" s="11" t="n">
        <v>0.00289259259259259</v>
      </c>
      <c r="I1520" s="12" t="n">
        <v>895</v>
      </c>
      <c r="J1520" s="12" t="n">
        <f aca="false">COUNT(E1520,G1520,I1520)</f>
        <v>2</v>
      </c>
      <c r="K1520" s="13" t="n">
        <f aca="false">MIN(E1520,G1520,I1520)</f>
        <v>721</v>
      </c>
      <c r="L1520" s="9" t="str">
        <f aca="false">IF(E1520=K1520,"5000m",IF(G1520=K1520,"3000mSC","1500m"))</f>
        <v>5000m</v>
      </c>
      <c r="M1520" s="14" t="n">
        <f aca="false">(D1520&lt;&gt;"")*(D1520&lt;=($E$3*60+$F$3)/86400)+(F1520&lt;&gt;"")*(F1520&lt;=($I$3*60+$J$3)/86400)+(H1520&lt;&gt;"")*(H1520&lt;=($M$3*60+$N$3)/86400)</f>
        <v>0</v>
      </c>
      <c r="N1520" s="16"/>
      <c r="O1520" s="15"/>
    </row>
    <row r="1521" customFormat="false" ht="25.35" hidden="false" customHeight="false" outlineLevel="0" collapsed="false">
      <c r="A1521" s="9" t="n">
        <v>1515</v>
      </c>
      <c r="B1521" s="10" t="s">
        <v>2189</v>
      </c>
      <c r="C1521" s="10" t="s">
        <v>738</v>
      </c>
      <c r="D1521" s="11"/>
      <c r="E1521" s="12"/>
      <c r="F1521" s="11" t="n">
        <v>0.00736087962962963</v>
      </c>
      <c r="G1521" s="12" t="n">
        <v>721</v>
      </c>
      <c r="H1521" s="11"/>
      <c r="I1521" s="12"/>
      <c r="J1521" s="12" t="n">
        <f aca="false">COUNT(E1521,G1521,I1521)</f>
        <v>1</v>
      </c>
      <c r="K1521" s="13" t="n">
        <f aca="false">MIN(E1521,G1521,I1521)</f>
        <v>721</v>
      </c>
      <c r="L1521" s="9" t="str">
        <f aca="false">IF(E1521=K1521,"5000m",IF(G1521=K1521,"3000mSC","1500m"))</f>
        <v>3000mSC</v>
      </c>
      <c r="M1521" s="14" t="n">
        <f aca="false">(D1521&lt;&gt;"")*(D1521&lt;=($E$3*60+$F$3)/86400)+(F1521&lt;&gt;"")*(F1521&lt;=($I$3*60+$J$3)/86400)+(H1521&lt;&gt;"")*(H1521&lt;=($M$3*60+$N$3)/86400)</f>
        <v>0</v>
      </c>
      <c r="N1521" s="16"/>
      <c r="O1521" s="15"/>
    </row>
    <row r="1522" customFormat="false" ht="15" hidden="false" customHeight="false" outlineLevel="0" collapsed="false">
      <c r="A1522" s="9" t="n">
        <v>1516</v>
      </c>
      <c r="B1522" s="10" t="s">
        <v>2190</v>
      </c>
      <c r="C1522" s="10" t="s">
        <v>263</v>
      </c>
      <c r="D1522" s="11" t="n">
        <v>0.0107895833333333</v>
      </c>
      <c r="E1522" s="12" t="n">
        <v>722</v>
      </c>
      <c r="F1522" s="11"/>
      <c r="G1522" s="12"/>
      <c r="H1522" s="11" t="n">
        <v>0.00290972222222222</v>
      </c>
      <c r="I1522" s="12" t="n">
        <v>1015</v>
      </c>
      <c r="J1522" s="12" t="n">
        <f aca="false">COUNT(E1522,G1522,I1522)</f>
        <v>2</v>
      </c>
      <c r="K1522" s="13" t="n">
        <f aca="false">MIN(E1522,G1522,I1522)</f>
        <v>722</v>
      </c>
      <c r="L1522" s="9" t="str">
        <f aca="false">IF(E1522=K1522,"5000m",IF(G1522=K1522,"3000mSC","1500m"))</f>
        <v>5000m</v>
      </c>
      <c r="M1522" s="14" t="n">
        <f aca="false">(D1522&lt;&gt;"")*(D1522&lt;=($E$3*60+$F$3)/86400)+(F1522&lt;&gt;"")*(F1522&lt;=($I$3*60+$J$3)/86400)+(H1522&lt;&gt;"")*(H1522&lt;=($M$3*60+$N$3)/86400)</f>
        <v>0</v>
      </c>
      <c r="N1522" s="16"/>
      <c r="O1522" s="15"/>
    </row>
    <row r="1523" customFormat="false" ht="25.35" hidden="false" customHeight="false" outlineLevel="0" collapsed="false">
      <c r="A1523" s="9" t="n">
        <v>1517</v>
      </c>
      <c r="B1523" s="10" t="s">
        <v>2191</v>
      </c>
      <c r="C1523" s="10" t="s">
        <v>2192</v>
      </c>
      <c r="D1523" s="11"/>
      <c r="E1523" s="12"/>
      <c r="F1523" s="11" t="n">
        <v>0.00736157407407407</v>
      </c>
      <c r="G1523" s="12" t="n">
        <v>722</v>
      </c>
      <c r="H1523" s="11"/>
      <c r="I1523" s="12"/>
      <c r="J1523" s="12" t="n">
        <f aca="false">COUNT(E1523,G1523,I1523)</f>
        <v>1</v>
      </c>
      <c r="K1523" s="13" t="n">
        <f aca="false">MIN(E1523,G1523,I1523)</f>
        <v>722</v>
      </c>
      <c r="L1523" s="9" t="str">
        <f aca="false">IF(E1523=K1523,"5000m",IF(G1523=K1523,"3000mSC","1500m"))</f>
        <v>3000mSC</v>
      </c>
      <c r="M1523" s="14" t="n">
        <f aca="false">(D1523&lt;&gt;"")*(D1523&lt;=($E$3*60+$F$3)/86400)+(F1523&lt;&gt;"")*(F1523&lt;=($I$3*60+$J$3)/86400)+(H1523&lt;&gt;"")*(H1523&lt;=($M$3*60+$N$3)/86400)</f>
        <v>0</v>
      </c>
      <c r="N1523" s="16"/>
      <c r="O1523" s="15"/>
    </row>
    <row r="1524" customFormat="false" ht="15" hidden="false" customHeight="false" outlineLevel="0" collapsed="false">
      <c r="A1524" s="9" t="n">
        <v>1518</v>
      </c>
      <c r="B1524" s="10" t="s">
        <v>2193</v>
      </c>
      <c r="C1524" s="10" t="s">
        <v>505</v>
      </c>
      <c r="D1524" s="11"/>
      <c r="E1524" s="12"/>
      <c r="F1524" s="11"/>
      <c r="G1524" s="12"/>
      <c r="H1524" s="11" t="n">
        <v>0.00287303240740741</v>
      </c>
      <c r="I1524" s="12" t="n">
        <v>722</v>
      </c>
      <c r="J1524" s="12" t="n">
        <f aca="false">COUNT(E1524,G1524,I1524)</f>
        <v>1</v>
      </c>
      <c r="K1524" s="13" t="n">
        <f aca="false">MIN(E1524,G1524,I1524)</f>
        <v>722</v>
      </c>
      <c r="L1524" s="9" t="str">
        <f aca="false">IF(E1524=K1524,"5000m",IF(G1524=K1524,"3000mSC","1500m"))</f>
        <v>1500m</v>
      </c>
      <c r="M1524" s="14" t="n">
        <f aca="false">(D1524&lt;&gt;"")*(D1524&lt;=($E$3*60+$F$3)/86400)+(F1524&lt;&gt;"")*(F1524&lt;=($I$3*60+$J$3)/86400)+(H1524&lt;&gt;"")*(H1524&lt;=($M$3*60+$N$3)/86400)</f>
        <v>0</v>
      </c>
      <c r="N1524" s="16"/>
      <c r="O1524" s="15"/>
    </row>
    <row r="1525" customFormat="false" ht="15" hidden="false" customHeight="false" outlineLevel="0" collapsed="false">
      <c r="A1525" s="9" t="n">
        <v>1519</v>
      </c>
      <c r="B1525" s="10" t="s">
        <v>2194</v>
      </c>
      <c r="C1525" s="10" t="s">
        <v>234</v>
      </c>
      <c r="D1525" s="11" t="n">
        <v>0.0107907407407407</v>
      </c>
      <c r="E1525" s="12" t="n">
        <v>723</v>
      </c>
      <c r="F1525" s="11"/>
      <c r="G1525" s="12"/>
      <c r="H1525" s="11" t="n">
        <v>0.00290555555555556</v>
      </c>
      <c r="I1525" s="12" t="n">
        <v>988</v>
      </c>
      <c r="J1525" s="12" t="n">
        <f aca="false">COUNT(E1525,G1525,I1525)</f>
        <v>2</v>
      </c>
      <c r="K1525" s="13" t="n">
        <f aca="false">MIN(E1525,G1525,I1525)</f>
        <v>723</v>
      </c>
      <c r="L1525" s="9" t="str">
        <f aca="false">IF(E1525=K1525,"5000m",IF(G1525=K1525,"3000mSC","1500m"))</f>
        <v>5000m</v>
      </c>
      <c r="M1525" s="14" t="n">
        <f aca="false">(D1525&lt;&gt;"")*(D1525&lt;=($E$3*60+$F$3)/86400)+(F1525&lt;&gt;"")*(F1525&lt;=($I$3*60+$J$3)/86400)+(H1525&lt;&gt;"")*(H1525&lt;=($M$3*60+$N$3)/86400)</f>
        <v>0</v>
      </c>
      <c r="N1525" s="16"/>
      <c r="O1525" s="15"/>
    </row>
    <row r="1526" customFormat="false" ht="25.35" hidden="false" customHeight="false" outlineLevel="0" collapsed="false">
      <c r="A1526" s="9" t="n">
        <v>1520</v>
      </c>
      <c r="B1526" s="10" t="s">
        <v>2195</v>
      </c>
      <c r="C1526" s="10" t="s">
        <v>2196</v>
      </c>
      <c r="D1526" s="11"/>
      <c r="E1526" s="12"/>
      <c r="F1526" s="11" t="n">
        <v>0.00736273148148148</v>
      </c>
      <c r="G1526" s="12" t="n">
        <v>723</v>
      </c>
      <c r="H1526" s="11"/>
      <c r="I1526" s="12"/>
      <c r="J1526" s="12" t="n">
        <f aca="false">COUNT(E1526,G1526,I1526)</f>
        <v>1</v>
      </c>
      <c r="K1526" s="13" t="n">
        <f aca="false">MIN(E1526,G1526,I1526)</f>
        <v>723</v>
      </c>
      <c r="L1526" s="9" t="str">
        <f aca="false">IF(E1526=K1526,"5000m",IF(G1526=K1526,"3000mSC","1500m"))</f>
        <v>3000mSC</v>
      </c>
      <c r="M1526" s="14" t="n">
        <f aca="false">(D1526&lt;&gt;"")*(D1526&lt;=($E$3*60+$F$3)/86400)+(F1526&lt;&gt;"")*(F1526&lt;=($I$3*60+$J$3)/86400)+(H1526&lt;&gt;"")*(H1526&lt;=($M$3*60+$N$3)/86400)</f>
        <v>0</v>
      </c>
      <c r="N1526" s="16"/>
      <c r="O1526" s="15"/>
    </row>
    <row r="1527" customFormat="false" ht="15" hidden="false" customHeight="false" outlineLevel="0" collapsed="false">
      <c r="A1527" s="9" t="n">
        <v>1521</v>
      </c>
      <c r="B1527" s="10" t="s">
        <v>2197</v>
      </c>
      <c r="C1527" s="10" t="s">
        <v>486</v>
      </c>
      <c r="D1527" s="11"/>
      <c r="E1527" s="12"/>
      <c r="F1527" s="11"/>
      <c r="G1527" s="12"/>
      <c r="H1527" s="11" t="n">
        <v>0.00287326388888889</v>
      </c>
      <c r="I1527" s="12" t="n">
        <v>723</v>
      </c>
      <c r="J1527" s="12" t="n">
        <f aca="false">COUNT(E1527,G1527,I1527)</f>
        <v>1</v>
      </c>
      <c r="K1527" s="13" t="n">
        <f aca="false">MIN(E1527,G1527,I1527)</f>
        <v>723</v>
      </c>
      <c r="L1527" s="9" t="str">
        <f aca="false">IF(E1527=K1527,"5000m",IF(G1527=K1527,"3000mSC","1500m"))</f>
        <v>1500m</v>
      </c>
      <c r="M1527" s="14" t="n">
        <f aca="false">(D1527&lt;&gt;"")*(D1527&lt;=($E$3*60+$F$3)/86400)+(F1527&lt;&gt;"")*(F1527&lt;=($I$3*60+$J$3)/86400)+(H1527&lt;&gt;"")*(H1527&lt;=($M$3*60+$N$3)/86400)</f>
        <v>0</v>
      </c>
      <c r="N1527" s="16"/>
      <c r="O1527" s="15"/>
    </row>
    <row r="1528" customFormat="false" ht="15" hidden="false" customHeight="false" outlineLevel="0" collapsed="false">
      <c r="A1528" s="9" t="n">
        <v>1522</v>
      </c>
      <c r="B1528" s="10" t="s">
        <v>2198</v>
      </c>
      <c r="C1528" s="10" t="s">
        <v>1046</v>
      </c>
      <c r="D1528" s="11" t="n">
        <v>0.0107907407407407</v>
      </c>
      <c r="E1528" s="12" t="n">
        <v>724</v>
      </c>
      <c r="F1528" s="11"/>
      <c r="G1528" s="12"/>
      <c r="H1528" s="11" t="n">
        <v>0.00287835648148148</v>
      </c>
      <c r="I1528" s="12" t="n">
        <v>756</v>
      </c>
      <c r="J1528" s="12" t="n">
        <f aca="false">COUNT(E1528,G1528,I1528)</f>
        <v>2</v>
      </c>
      <c r="K1528" s="13" t="n">
        <f aca="false">MIN(E1528,G1528,I1528)</f>
        <v>724</v>
      </c>
      <c r="L1528" s="9" t="str">
        <f aca="false">IF(E1528=K1528,"5000m",IF(G1528=K1528,"3000mSC","1500m"))</f>
        <v>5000m</v>
      </c>
      <c r="M1528" s="14" t="n">
        <f aca="false">(D1528&lt;&gt;"")*(D1528&lt;=($E$3*60+$F$3)/86400)+(F1528&lt;&gt;"")*(F1528&lt;=($I$3*60+$J$3)/86400)+(H1528&lt;&gt;"")*(H1528&lt;=($M$3*60+$N$3)/86400)</f>
        <v>0</v>
      </c>
      <c r="N1528" s="16"/>
      <c r="O1528" s="15"/>
    </row>
    <row r="1529" customFormat="false" ht="15" hidden="false" customHeight="false" outlineLevel="0" collapsed="false">
      <c r="A1529" s="9" t="n">
        <v>1523</v>
      </c>
      <c r="B1529" s="10" t="s">
        <v>2199</v>
      </c>
      <c r="C1529" s="10" t="s">
        <v>62</v>
      </c>
      <c r="D1529" s="11" t="n">
        <v>0.0109087962962963</v>
      </c>
      <c r="E1529" s="12" t="n">
        <v>936</v>
      </c>
      <c r="F1529" s="11"/>
      <c r="G1529" s="12"/>
      <c r="H1529" s="11" t="n">
        <v>0.00287349537037037</v>
      </c>
      <c r="I1529" s="12" t="n">
        <v>724</v>
      </c>
      <c r="J1529" s="12" t="n">
        <f aca="false">COUNT(E1529,G1529,I1529)</f>
        <v>2</v>
      </c>
      <c r="K1529" s="13" t="n">
        <f aca="false">MIN(E1529,G1529,I1529)</f>
        <v>724</v>
      </c>
      <c r="L1529" s="9" t="str">
        <f aca="false">IF(E1529=K1529,"5000m",IF(G1529=K1529,"3000mSC","1500m"))</f>
        <v>1500m</v>
      </c>
      <c r="M1529" s="14" t="n">
        <f aca="false">(D1529&lt;&gt;"")*(D1529&lt;=($E$3*60+$F$3)/86400)+(F1529&lt;&gt;"")*(F1529&lt;=($I$3*60+$J$3)/86400)+(H1529&lt;&gt;"")*(H1529&lt;=($M$3*60+$N$3)/86400)</f>
        <v>0</v>
      </c>
      <c r="N1529" s="16"/>
      <c r="O1529" s="15"/>
    </row>
    <row r="1530" customFormat="false" ht="25.35" hidden="false" customHeight="false" outlineLevel="0" collapsed="false">
      <c r="A1530" s="9" t="n">
        <v>1524</v>
      </c>
      <c r="B1530" s="10" t="s">
        <v>2200</v>
      </c>
      <c r="C1530" s="10" t="s">
        <v>2201</v>
      </c>
      <c r="D1530" s="11"/>
      <c r="E1530" s="12"/>
      <c r="F1530" s="11" t="n">
        <v>0.00736273148148148</v>
      </c>
      <c r="G1530" s="12" t="n">
        <v>724</v>
      </c>
      <c r="H1530" s="11"/>
      <c r="I1530" s="12"/>
      <c r="J1530" s="12" t="n">
        <f aca="false">COUNT(E1530,G1530,I1530)</f>
        <v>1</v>
      </c>
      <c r="K1530" s="13" t="n">
        <f aca="false">MIN(E1530,G1530,I1530)</f>
        <v>724</v>
      </c>
      <c r="L1530" s="9" t="str">
        <f aca="false">IF(E1530=K1530,"5000m",IF(G1530=K1530,"3000mSC","1500m"))</f>
        <v>3000mSC</v>
      </c>
      <c r="M1530" s="14" t="n">
        <f aca="false">(D1530&lt;&gt;"")*(D1530&lt;=($E$3*60+$F$3)/86400)+(F1530&lt;&gt;"")*(F1530&lt;=($I$3*60+$J$3)/86400)+(H1530&lt;&gt;"")*(H1530&lt;=($M$3*60+$N$3)/86400)</f>
        <v>0</v>
      </c>
      <c r="N1530" s="16"/>
      <c r="O1530" s="15"/>
    </row>
    <row r="1531" customFormat="false" ht="15" hidden="false" customHeight="false" outlineLevel="0" collapsed="false">
      <c r="A1531" s="9" t="n">
        <v>1525</v>
      </c>
      <c r="B1531" s="10" t="s">
        <v>2202</v>
      </c>
      <c r="C1531" s="10" t="s">
        <v>2203</v>
      </c>
      <c r="D1531" s="11"/>
      <c r="E1531" s="12"/>
      <c r="F1531" s="11"/>
      <c r="G1531" s="12"/>
      <c r="H1531" s="11" t="n">
        <v>0.00287372685185185</v>
      </c>
      <c r="I1531" s="12" t="n">
        <v>725</v>
      </c>
      <c r="J1531" s="12" t="n">
        <f aca="false">COUNT(E1531,G1531,I1531)</f>
        <v>1</v>
      </c>
      <c r="K1531" s="13" t="n">
        <f aca="false">MIN(E1531,G1531,I1531)</f>
        <v>725</v>
      </c>
      <c r="L1531" s="9" t="str">
        <f aca="false">IF(E1531=K1531,"5000m",IF(G1531=K1531,"3000mSC","1500m"))</f>
        <v>1500m</v>
      </c>
      <c r="M1531" s="14" t="n">
        <f aca="false">(D1531&lt;&gt;"")*(D1531&lt;=($E$3*60+$F$3)/86400)+(F1531&lt;&gt;"")*(F1531&lt;=($I$3*60+$J$3)/86400)+(H1531&lt;&gt;"")*(H1531&lt;=($M$3*60+$N$3)/86400)</f>
        <v>0</v>
      </c>
      <c r="N1531" s="16"/>
      <c r="O1531" s="15"/>
    </row>
    <row r="1532" customFormat="false" ht="25.35" hidden="false" customHeight="false" outlineLevel="0" collapsed="false">
      <c r="A1532" s="9" t="n">
        <v>1526</v>
      </c>
      <c r="B1532" s="10" t="s">
        <v>2204</v>
      </c>
      <c r="C1532" s="10" t="s">
        <v>2205</v>
      </c>
      <c r="D1532" s="11"/>
      <c r="E1532" s="12"/>
      <c r="F1532" s="11" t="n">
        <v>0.00736400462962963</v>
      </c>
      <c r="G1532" s="12" t="n">
        <v>726</v>
      </c>
      <c r="H1532" s="11"/>
      <c r="I1532" s="12"/>
      <c r="J1532" s="12" t="n">
        <f aca="false">COUNT(E1532,G1532,I1532)</f>
        <v>1</v>
      </c>
      <c r="K1532" s="13" t="n">
        <f aca="false">MIN(E1532,G1532,I1532)</f>
        <v>726</v>
      </c>
      <c r="L1532" s="9" t="str">
        <f aca="false">IF(E1532=K1532,"5000m",IF(G1532=K1532,"3000mSC","1500m"))</f>
        <v>3000mSC</v>
      </c>
      <c r="M1532" s="14" t="n">
        <f aca="false">(D1532&lt;&gt;"")*(D1532&lt;=($E$3*60+$F$3)/86400)+(F1532&lt;&gt;"")*(F1532&lt;=($I$3*60+$J$3)/86400)+(H1532&lt;&gt;"")*(H1532&lt;=($M$3*60+$N$3)/86400)</f>
        <v>0</v>
      </c>
      <c r="N1532" s="16"/>
      <c r="O1532" s="15"/>
    </row>
    <row r="1533" customFormat="false" ht="15" hidden="false" customHeight="false" outlineLevel="0" collapsed="false">
      <c r="A1533" s="9" t="n">
        <v>1527</v>
      </c>
      <c r="B1533" s="10" t="s">
        <v>2206</v>
      </c>
      <c r="C1533" s="10" t="s">
        <v>614</v>
      </c>
      <c r="D1533" s="11"/>
      <c r="E1533" s="12"/>
      <c r="F1533" s="11"/>
      <c r="G1533" s="12"/>
      <c r="H1533" s="11" t="n">
        <v>0.00287384259259259</v>
      </c>
      <c r="I1533" s="12" t="n">
        <v>726</v>
      </c>
      <c r="J1533" s="12" t="n">
        <f aca="false">COUNT(E1533,G1533,I1533)</f>
        <v>1</v>
      </c>
      <c r="K1533" s="13" t="n">
        <f aca="false">MIN(E1533,G1533,I1533)</f>
        <v>726</v>
      </c>
      <c r="L1533" s="9" t="str">
        <f aca="false">IF(E1533=K1533,"5000m",IF(G1533=K1533,"3000mSC","1500m"))</f>
        <v>1500m</v>
      </c>
      <c r="M1533" s="14" t="n">
        <f aca="false">(D1533&lt;&gt;"")*(D1533&lt;=($E$3*60+$F$3)/86400)+(F1533&lt;&gt;"")*(F1533&lt;=($I$3*60+$J$3)/86400)+(H1533&lt;&gt;"")*(H1533&lt;=($M$3*60+$N$3)/86400)</f>
        <v>0</v>
      </c>
      <c r="N1533" s="16"/>
      <c r="O1533" s="15"/>
    </row>
    <row r="1534" customFormat="false" ht="25.35" hidden="false" customHeight="false" outlineLevel="0" collapsed="false">
      <c r="A1534" s="9" t="n">
        <v>1528</v>
      </c>
      <c r="B1534" s="10" t="s">
        <v>2207</v>
      </c>
      <c r="C1534" s="10" t="s">
        <v>1717</v>
      </c>
      <c r="D1534" s="11"/>
      <c r="E1534" s="12"/>
      <c r="F1534" s="11" t="n">
        <v>0.00736446759259259</v>
      </c>
      <c r="G1534" s="12" t="n">
        <v>727</v>
      </c>
      <c r="H1534" s="11" t="n">
        <v>0.00290729166666667</v>
      </c>
      <c r="I1534" s="12" t="n">
        <v>995</v>
      </c>
      <c r="J1534" s="12" t="n">
        <f aca="false">COUNT(E1534,G1534,I1534)</f>
        <v>2</v>
      </c>
      <c r="K1534" s="13" t="n">
        <f aca="false">MIN(E1534,G1534,I1534)</f>
        <v>727</v>
      </c>
      <c r="L1534" s="9" t="str">
        <f aca="false">IF(E1534=K1534,"5000m",IF(G1534=K1534,"3000mSC","1500m"))</f>
        <v>3000mSC</v>
      </c>
      <c r="M1534" s="14" t="n">
        <f aca="false">(D1534&lt;&gt;"")*(D1534&lt;=($E$3*60+$F$3)/86400)+(F1534&lt;&gt;"")*(F1534&lt;=($I$3*60+$J$3)/86400)+(H1534&lt;&gt;"")*(H1534&lt;=($M$3*60+$N$3)/86400)</f>
        <v>0</v>
      </c>
      <c r="N1534" s="16"/>
      <c r="O1534" s="15"/>
    </row>
    <row r="1535" customFormat="false" ht="15" hidden="false" customHeight="false" outlineLevel="0" collapsed="false">
      <c r="A1535" s="9" t="n">
        <v>1529</v>
      </c>
      <c r="B1535" s="10" t="s">
        <v>2208</v>
      </c>
      <c r="C1535" s="10" t="s">
        <v>625</v>
      </c>
      <c r="D1535" s="11" t="n">
        <v>0.0107913194444444</v>
      </c>
      <c r="E1535" s="12" t="n">
        <v>727</v>
      </c>
      <c r="F1535" s="11"/>
      <c r="G1535" s="12"/>
      <c r="H1535" s="11"/>
      <c r="I1535" s="12"/>
      <c r="J1535" s="12" t="n">
        <f aca="false">COUNT(E1535,G1535,I1535)</f>
        <v>1</v>
      </c>
      <c r="K1535" s="13" t="n">
        <f aca="false">MIN(E1535,G1535,I1535)</f>
        <v>727</v>
      </c>
      <c r="L1535" s="9" t="str">
        <f aca="false">IF(E1535=K1535,"5000m",IF(G1535=K1535,"3000mSC","1500m"))</f>
        <v>5000m</v>
      </c>
      <c r="M1535" s="14" t="n">
        <f aca="false">(D1535&lt;&gt;"")*(D1535&lt;=($E$3*60+$F$3)/86400)+(F1535&lt;&gt;"")*(F1535&lt;=($I$3*60+$J$3)/86400)+(H1535&lt;&gt;"")*(H1535&lt;=($M$3*60+$N$3)/86400)</f>
        <v>0</v>
      </c>
      <c r="N1535" s="16"/>
      <c r="O1535" s="15"/>
    </row>
    <row r="1536" customFormat="false" ht="25.35" hidden="false" customHeight="false" outlineLevel="0" collapsed="false">
      <c r="A1536" s="9" t="n">
        <v>1530</v>
      </c>
      <c r="B1536" s="10" t="s">
        <v>2209</v>
      </c>
      <c r="C1536" s="10" t="s">
        <v>2210</v>
      </c>
      <c r="D1536" s="11"/>
      <c r="E1536" s="12"/>
      <c r="F1536" s="11" t="n">
        <v>0.00736469907407407</v>
      </c>
      <c r="G1536" s="12" t="n">
        <v>728</v>
      </c>
      <c r="H1536" s="11"/>
      <c r="I1536" s="12"/>
      <c r="J1536" s="12" t="n">
        <f aca="false">COUNT(E1536,G1536,I1536)</f>
        <v>1</v>
      </c>
      <c r="K1536" s="13" t="n">
        <f aca="false">MIN(E1536,G1536,I1536)</f>
        <v>728</v>
      </c>
      <c r="L1536" s="9" t="str">
        <f aca="false">IF(E1536=K1536,"5000m",IF(G1536=K1536,"3000mSC","1500m"))</f>
        <v>3000mSC</v>
      </c>
      <c r="M1536" s="14" t="n">
        <f aca="false">(D1536&lt;&gt;"")*(D1536&lt;=($E$3*60+$F$3)/86400)+(F1536&lt;&gt;"")*(F1536&lt;=($I$3*60+$J$3)/86400)+(H1536&lt;&gt;"")*(H1536&lt;=($M$3*60+$N$3)/86400)</f>
        <v>0</v>
      </c>
      <c r="N1536" s="16"/>
      <c r="O1536" s="15"/>
    </row>
    <row r="1537" customFormat="false" ht="25.35" hidden="false" customHeight="false" outlineLevel="0" collapsed="false">
      <c r="A1537" s="9" t="n">
        <v>1531</v>
      </c>
      <c r="B1537" s="10" t="s">
        <v>2211</v>
      </c>
      <c r="C1537" s="10" t="s">
        <v>2212</v>
      </c>
      <c r="D1537" s="11"/>
      <c r="E1537" s="12"/>
      <c r="F1537" s="11" t="n">
        <v>0.00736527777777778</v>
      </c>
      <c r="G1537" s="12" t="n">
        <v>729</v>
      </c>
      <c r="H1537" s="11"/>
      <c r="I1537" s="12"/>
      <c r="J1537" s="12" t="n">
        <f aca="false">COUNT(E1537,G1537,I1537)</f>
        <v>1</v>
      </c>
      <c r="K1537" s="13" t="n">
        <f aca="false">MIN(E1537,G1537,I1537)</f>
        <v>729</v>
      </c>
      <c r="L1537" s="9" t="str">
        <f aca="false">IF(E1537=K1537,"5000m",IF(G1537=K1537,"3000mSC","1500m"))</f>
        <v>3000mSC</v>
      </c>
      <c r="M1537" s="14" t="n">
        <f aca="false">(D1537&lt;&gt;"")*(D1537&lt;=($E$3*60+$F$3)/86400)+(F1537&lt;&gt;"")*(F1537&lt;=($I$3*60+$J$3)/86400)+(H1537&lt;&gt;"")*(H1537&lt;=($M$3*60+$N$3)/86400)</f>
        <v>0</v>
      </c>
      <c r="N1537" s="16"/>
      <c r="O1537" s="15"/>
    </row>
    <row r="1538" customFormat="false" ht="15" hidden="false" customHeight="false" outlineLevel="0" collapsed="false">
      <c r="A1538" s="9" t="n">
        <v>1532</v>
      </c>
      <c r="B1538" s="10" t="s">
        <v>2213</v>
      </c>
      <c r="C1538" s="10" t="s">
        <v>754</v>
      </c>
      <c r="D1538" s="11"/>
      <c r="E1538" s="12"/>
      <c r="F1538" s="11"/>
      <c r="G1538" s="12"/>
      <c r="H1538" s="11" t="n">
        <v>0.00287430555555556</v>
      </c>
      <c r="I1538" s="12" t="n">
        <v>729</v>
      </c>
      <c r="J1538" s="12" t="n">
        <f aca="false">COUNT(E1538,G1538,I1538)</f>
        <v>1</v>
      </c>
      <c r="K1538" s="13" t="n">
        <f aca="false">MIN(E1538,G1538,I1538)</f>
        <v>729</v>
      </c>
      <c r="L1538" s="9" t="str">
        <f aca="false">IF(E1538=K1538,"5000m",IF(G1538=K1538,"3000mSC","1500m"))</f>
        <v>1500m</v>
      </c>
      <c r="M1538" s="14" t="n">
        <f aca="false">(D1538&lt;&gt;"")*(D1538&lt;=($E$3*60+$F$3)/86400)+(F1538&lt;&gt;"")*(F1538&lt;=($I$3*60+$J$3)/86400)+(H1538&lt;&gt;"")*(H1538&lt;=($M$3*60+$N$3)/86400)</f>
        <v>0</v>
      </c>
      <c r="N1538" s="16"/>
      <c r="O1538" s="15"/>
    </row>
    <row r="1539" customFormat="false" ht="15" hidden="false" customHeight="false" outlineLevel="0" collapsed="false">
      <c r="A1539" s="9" t="n">
        <v>1533</v>
      </c>
      <c r="B1539" s="10" t="s">
        <v>2214</v>
      </c>
      <c r="C1539" s="10" t="s">
        <v>2215</v>
      </c>
      <c r="D1539" s="11"/>
      <c r="E1539" s="12"/>
      <c r="F1539" s="11" t="n">
        <v>0.00793425925925926</v>
      </c>
      <c r="G1539" s="12" t="n">
        <v>1174</v>
      </c>
      <c r="H1539" s="11" t="n">
        <v>0.00287453703703704</v>
      </c>
      <c r="I1539" s="12" t="n">
        <v>730</v>
      </c>
      <c r="J1539" s="12" t="n">
        <f aca="false">COUNT(E1539,G1539,I1539)</f>
        <v>2</v>
      </c>
      <c r="K1539" s="13" t="n">
        <f aca="false">MIN(E1539,G1539,I1539)</f>
        <v>730</v>
      </c>
      <c r="L1539" s="9" t="str">
        <f aca="false">IF(E1539=K1539,"5000m",IF(G1539=K1539,"3000mSC","1500m"))</f>
        <v>1500m</v>
      </c>
      <c r="M1539" s="14" t="n">
        <f aca="false">(D1539&lt;&gt;"")*(D1539&lt;=($E$3*60+$F$3)/86400)+(F1539&lt;&gt;"")*(F1539&lt;=($I$3*60+$J$3)/86400)+(H1539&lt;&gt;"")*(H1539&lt;=($M$3*60+$N$3)/86400)</f>
        <v>0</v>
      </c>
      <c r="N1539" s="16"/>
      <c r="O1539" s="15"/>
    </row>
    <row r="1540" customFormat="false" ht="25.35" hidden="false" customHeight="false" outlineLevel="0" collapsed="false">
      <c r="A1540" s="9" t="n">
        <v>1534</v>
      </c>
      <c r="B1540" s="10" t="s">
        <v>2216</v>
      </c>
      <c r="C1540" s="10" t="s">
        <v>2217</v>
      </c>
      <c r="D1540" s="11"/>
      <c r="E1540" s="12"/>
      <c r="F1540" s="11" t="n">
        <v>0.00736747685185185</v>
      </c>
      <c r="G1540" s="12" t="n">
        <v>730</v>
      </c>
      <c r="H1540" s="11"/>
      <c r="I1540" s="12"/>
      <c r="J1540" s="12" t="n">
        <f aca="false">COUNT(E1540,G1540,I1540)</f>
        <v>1</v>
      </c>
      <c r="K1540" s="13" t="n">
        <f aca="false">MIN(E1540,G1540,I1540)</f>
        <v>730</v>
      </c>
      <c r="L1540" s="9" t="str">
        <f aca="false">IF(E1540=K1540,"5000m",IF(G1540=K1540,"3000mSC","1500m"))</f>
        <v>3000mSC</v>
      </c>
      <c r="M1540" s="14" t="n">
        <f aca="false">(D1540&lt;&gt;"")*(D1540&lt;=($E$3*60+$F$3)/86400)+(F1540&lt;&gt;"")*(F1540&lt;=($I$3*60+$J$3)/86400)+(H1540&lt;&gt;"")*(H1540&lt;=($M$3*60+$N$3)/86400)</f>
        <v>0</v>
      </c>
      <c r="N1540" s="16"/>
      <c r="O1540" s="15"/>
    </row>
    <row r="1541" customFormat="false" ht="15" hidden="false" customHeight="false" outlineLevel="0" collapsed="false">
      <c r="A1541" s="9" t="n">
        <v>1535</v>
      </c>
      <c r="B1541" s="10" t="s">
        <v>2218</v>
      </c>
      <c r="C1541" s="10" t="s">
        <v>2219</v>
      </c>
      <c r="D1541" s="11" t="n">
        <v>0.0107928240740741</v>
      </c>
      <c r="E1541" s="12" t="n">
        <v>731</v>
      </c>
      <c r="F1541" s="11"/>
      <c r="G1541" s="12"/>
      <c r="H1541" s="11"/>
      <c r="I1541" s="12"/>
      <c r="J1541" s="12" t="n">
        <f aca="false">COUNT(E1541,G1541,I1541)</f>
        <v>1</v>
      </c>
      <c r="K1541" s="13" t="n">
        <f aca="false">MIN(E1541,G1541,I1541)</f>
        <v>731</v>
      </c>
      <c r="L1541" s="9" t="str">
        <f aca="false">IF(E1541=K1541,"5000m",IF(G1541=K1541,"3000mSC","1500m"))</f>
        <v>5000m</v>
      </c>
      <c r="M1541" s="14" t="n">
        <f aca="false">(D1541&lt;&gt;"")*(D1541&lt;=($E$3*60+$F$3)/86400)+(F1541&lt;&gt;"")*(F1541&lt;=($I$3*60+$J$3)/86400)+(H1541&lt;&gt;"")*(H1541&lt;=($M$3*60+$N$3)/86400)</f>
        <v>0</v>
      </c>
      <c r="N1541" s="16"/>
      <c r="O1541" s="15"/>
    </row>
    <row r="1542" customFormat="false" ht="25.35" hidden="false" customHeight="false" outlineLevel="0" collapsed="false">
      <c r="A1542" s="9" t="n">
        <v>1536</v>
      </c>
      <c r="B1542" s="10" t="s">
        <v>2220</v>
      </c>
      <c r="C1542" s="10" t="s">
        <v>2221</v>
      </c>
      <c r="D1542" s="11"/>
      <c r="E1542" s="12"/>
      <c r="F1542" s="11" t="n">
        <v>0.00736921296296296</v>
      </c>
      <c r="G1542" s="12" t="n">
        <v>731</v>
      </c>
      <c r="H1542" s="11"/>
      <c r="I1542" s="12"/>
      <c r="J1542" s="12" t="n">
        <f aca="false">COUNT(E1542,G1542,I1542)</f>
        <v>1</v>
      </c>
      <c r="K1542" s="13" t="n">
        <f aca="false">MIN(E1542,G1542,I1542)</f>
        <v>731</v>
      </c>
      <c r="L1542" s="9" t="str">
        <f aca="false">IF(E1542=K1542,"5000m",IF(G1542=K1542,"3000mSC","1500m"))</f>
        <v>3000mSC</v>
      </c>
      <c r="M1542" s="14" t="n">
        <f aca="false">(D1542&lt;&gt;"")*(D1542&lt;=($E$3*60+$F$3)/86400)+(F1542&lt;&gt;"")*(F1542&lt;=($I$3*60+$J$3)/86400)+(H1542&lt;&gt;"")*(H1542&lt;=($M$3*60+$N$3)/86400)</f>
        <v>0</v>
      </c>
      <c r="N1542" s="16"/>
      <c r="O1542" s="15"/>
    </row>
    <row r="1543" customFormat="false" ht="15" hidden="false" customHeight="false" outlineLevel="0" collapsed="false">
      <c r="A1543" s="9" t="n">
        <v>1537</v>
      </c>
      <c r="B1543" s="10" t="s">
        <v>2222</v>
      </c>
      <c r="C1543" s="10" t="s">
        <v>854</v>
      </c>
      <c r="D1543" s="11"/>
      <c r="E1543" s="12"/>
      <c r="F1543" s="11"/>
      <c r="G1543" s="12"/>
      <c r="H1543" s="11" t="n">
        <v>0.00287465277777778</v>
      </c>
      <c r="I1543" s="12" t="n">
        <v>731</v>
      </c>
      <c r="J1543" s="12" t="n">
        <f aca="false">COUNT(E1543,G1543,I1543)</f>
        <v>1</v>
      </c>
      <c r="K1543" s="13" t="n">
        <f aca="false">MIN(E1543,G1543,I1543)</f>
        <v>731</v>
      </c>
      <c r="L1543" s="9" t="str">
        <f aca="false">IF(E1543=K1543,"5000m",IF(G1543=K1543,"3000mSC","1500m"))</f>
        <v>1500m</v>
      </c>
      <c r="M1543" s="14" t="n">
        <f aca="false">(D1543&lt;&gt;"")*(D1543&lt;=($E$3*60+$F$3)/86400)+(F1543&lt;&gt;"")*(F1543&lt;=($I$3*60+$J$3)/86400)+(H1543&lt;&gt;"")*(H1543&lt;=($M$3*60+$N$3)/86400)</f>
        <v>0</v>
      </c>
      <c r="N1543" s="16"/>
      <c r="O1543" s="15"/>
    </row>
    <row r="1544" customFormat="false" ht="25.35" hidden="false" customHeight="false" outlineLevel="0" collapsed="false">
      <c r="A1544" s="9" t="n">
        <v>1538</v>
      </c>
      <c r="B1544" s="10" t="s">
        <v>2223</v>
      </c>
      <c r="C1544" s="10" t="s">
        <v>1933</v>
      </c>
      <c r="D1544" s="11"/>
      <c r="E1544" s="12"/>
      <c r="F1544" s="11" t="n">
        <v>0.0073693287037037</v>
      </c>
      <c r="G1544" s="12" t="n">
        <v>732</v>
      </c>
      <c r="H1544" s="11"/>
      <c r="I1544" s="12"/>
      <c r="J1544" s="12" t="n">
        <f aca="false">COUNT(E1544,G1544,I1544)</f>
        <v>1</v>
      </c>
      <c r="K1544" s="13" t="n">
        <f aca="false">MIN(E1544,G1544,I1544)</f>
        <v>732</v>
      </c>
      <c r="L1544" s="9" t="str">
        <f aca="false">IF(E1544=K1544,"5000m",IF(G1544=K1544,"3000mSC","1500m"))</f>
        <v>3000mSC</v>
      </c>
      <c r="M1544" s="14" t="n">
        <f aca="false">(D1544&lt;&gt;"")*(D1544&lt;=($E$3*60+$F$3)/86400)+(F1544&lt;&gt;"")*(F1544&lt;=($I$3*60+$J$3)/86400)+(H1544&lt;&gt;"")*(H1544&lt;=($M$3*60+$N$3)/86400)</f>
        <v>0</v>
      </c>
      <c r="N1544" s="16"/>
      <c r="O1544" s="15"/>
    </row>
    <row r="1545" customFormat="false" ht="25.35" hidden="false" customHeight="false" outlineLevel="0" collapsed="false">
      <c r="A1545" s="9" t="n">
        <v>1539</v>
      </c>
      <c r="B1545" s="10" t="s">
        <v>2224</v>
      </c>
      <c r="C1545" s="10" t="s">
        <v>1783</v>
      </c>
      <c r="D1545" s="11"/>
      <c r="E1545" s="12"/>
      <c r="F1545" s="11" t="n">
        <v>0.00736979166666667</v>
      </c>
      <c r="G1545" s="12" t="n">
        <v>733</v>
      </c>
      <c r="H1545" s="11"/>
      <c r="I1545" s="12"/>
      <c r="J1545" s="12" t="n">
        <f aca="false">COUNT(E1545,G1545,I1545)</f>
        <v>1</v>
      </c>
      <c r="K1545" s="13" t="n">
        <f aca="false">MIN(E1545,G1545,I1545)</f>
        <v>733</v>
      </c>
      <c r="L1545" s="9" t="str">
        <f aca="false">IF(E1545=K1545,"5000m",IF(G1545=K1545,"3000mSC","1500m"))</f>
        <v>3000mSC</v>
      </c>
      <c r="M1545" s="14" t="n">
        <f aca="false">(D1545&lt;&gt;"")*(D1545&lt;=($E$3*60+$F$3)/86400)+(F1545&lt;&gt;"")*(F1545&lt;=($I$3*60+$J$3)/86400)+(H1545&lt;&gt;"")*(H1545&lt;=($M$3*60+$N$3)/86400)</f>
        <v>0</v>
      </c>
      <c r="N1545" s="16"/>
      <c r="O1545" s="15"/>
    </row>
    <row r="1546" customFormat="false" ht="25.35" hidden="false" customHeight="false" outlineLevel="0" collapsed="false">
      <c r="A1546" s="9" t="n">
        <v>1540</v>
      </c>
      <c r="B1546" s="10" t="s">
        <v>2225</v>
      </c>
      <c r="C1546" s="10" t="s">
        <v>1443</v>
      </c>
      <c r="D1546" s="11"/>
      <c r="E1546" s="12"/>
      <c r="F1546" s="11" t="n">
        <v>0.00737002314814815</v>
      </c>
      <c r="G1546" s="12" t="n">
        <v>734</v>
      </c>
      <c r="H1546" s="11"/>
      <c r="I1546" s="12"/>
      <c r="J1546" s="12" t="n">
        <f aca="false">COUNT(E1546,G1546,I1546)</f>
        <v>1</v>
      </c>
      <c r="K1546" s="13" t="n">
        <f aca="false">MIN(E1546,G1546,I1546)</f>
        <v>734</v>
      </c>
      <c r="L1546" s="9" t="str">
        <f aca="false">IF(E1546=K1546,"5000m",IF(G1546=K1546,"3000mSC","1500m"))</f>
        <v>3000mSC</v>
      </c>
      <c r="M1546" s="14" t="n">
        <f aca="false">(D1546&lt;&gt;"")*(D1546&lt;=($E$3*60+$F$3)/86400)+(F1546&lt;&gt;"")*(F1546&lt;=($I$3*60+$J$3)/86400)+(H1546&lt;&gt;"")*(H1546&lt;=($M$3*60+$N$3)/86400)</f>
        <v>0</v>
      </c>
      <c r="N1546" s="16"/>
      <c r="O1546" s="15"/>
    </row>
    <row r="1547" customFormat="false" ht="25.35" hidden="false" customHeight="false" outlineLevel="0" collapsed="false">
      <c r="A1547" s="9" t="n">
        <v>1541</v>
      </c>
      <c r="B1547" s="10" t="s">
        <v>2226</v>
      </c>
      <c r="C1547" s="10" t="s">
        <v>2215</v>
      </c>
      <c r="D1547" s="11"/>
      <c r="E1547" s="12"/>
      <c r="F1547" s="11" t="n">
        <v>0.00737037037037037</v>
      </c>
      <c r="G1547" s="12" t="n">
        <v>735</v>
      </c>
      <c r="H1547" s="11"/>
      <c r="I1547" s="12"/>
      <c r="J1547" s="12" t="n">
        <f aca="false">COUNT(E1547,G1547,I1547)</f>
        <v>1</v>
      </c>
      <c r="K1547" s="13" t="n">
        <f aca="false">MIN(E1547,G1547,I1547)</f>
        <v>735</v>
      </c>
      <c r="L1547" s="9" t="str">
        <f aca="false">IF(E1547=K1547,"5000m",IF(G1547=K1547,"3000mSC","1500m"))</f>
        <v>3000mSC</v>
      </c>
      <c r="M1547" s="14" t="n">
        <f aca="false">(D1547&lt;&gt;"")*(D1547&lt;=($E$3*60+$F$3)/86400)+(F1547&lt;&gt;"")*(F1547&lt;=($I$3*60+$J$3)/86400)+(H1547&lt;&gt;"")*(H1547&lt;=($M$3*60+$N$3)/86400)</f>
        <v>0</v>
      </c>
      <c r="N1547" s="16"/>
      <c r="O1547" s="15"/>
    </row>
    <row r="1548" customFormat="false" ht="15" hidden="false" customHeight="false" outlineLevel="0" collapsed="false">
      <c r="A1548" s="9" t="n">
        <v>1542</v>
      </c>
      <c r="B1548" s="10" t="s">
        <v>2227</v>
      </c>
      <c r="C1548" s="10" t="s">
        <v>1496</v>
      </c>
      <c r="D1548" s="11"/>
      <c r="E1548" s="12"/>
      <c r="F1548" s="11"/>
      <c r="G1548" s="12"/>
      <c r="H1548" s="11" t="n">
        <v>0.002875</v>
      </c>
      <c r="I1548" s="12" t="n">
        <v>735</v>
      </c>
      <c r="J1548" s="12" t="n">
        <f aca="false">COUNT(E1548,G1548,I1548)</f>
        <v>1</v>
      </c>
      <c r="K1548" s="13" t="n">
        <f aca="false">MIN(E1548,G1548,I1548)</f>
        <v>735</v>
      </c>
      <c r="L1548" s="9" t="str">
        <f aca="false">IF(E1548=K1548,"5000m",IF(G1548=K1548,"3000mSC","1500m"))</f>
        <v>1500m</v>
      </c>
      <c r="M1548" s="14" t="n">
        <f aca="false">(D1548&lt;&gt;"")*(D1548&lt;=($E$3*60+$F$3)/86400)+(F1548&lt;&gt;"")*(F1548&lt;=($I$3*60+$J$3)/86400)+(H1548&lt;&gt;"")*(H1548&lt;=($M$3*60+$N$3)/86400)</f>
        <v>0</v>
      </c>
      <c r="N1548" s="16"/>
      <c r="O1548" s="15"/>
    </row>
    <row r="1549" customFormat="false" ht="25.35" hidden="false" customHeight="false" outlineLevel="0" collapsed="false">
      <c r="A1549" s="9" t="n">
        <v>1543</v>
      </c>
      <c r="B1549" s="10" t="s">
        <v>2228</v>
      </c>
      <c r="C1549" s="10" t="s">
        <v>2229</v>
      </c>
      <c r="D1549" s="11"/>
      <c r="E1549" s="12"/>
      <c r="F1549" s="11" t="n">
        <v>0.00737210648148148</v>
      </c>
      <c r="G1549" s="12" t="n">
        <v>736</v>
      </c>
      <c r="H1549" s="11"/>
      <c r="I1549" s="12"/>
      <c r="J1549" s="12" t="n">
        <f aca="false">COUNT(E1549,G1549,I1549)</f>
        <v>1</v>
      </c>
      <c r="K1549" s="13" t="n">
        <f aca="false">MIN(E1549,G1549,I1549)</f>
        <v>736</v>
      </c>
      <c r="L1549" s="9" t="str">
        <f aca="false">IF(E1549=K1549,"5000m",IF(G1549=K1549,"3000mSC","1500m"))</f>
        <v>3000mSC</v>
      </c>
      <c r="M1549" s="14" t="n">
        <f aca="false">(D1549&lt;&gt;"")*(D1549&lt;=($E$3*60+$F$3)/86400)+(F1549&lt;&gt;"")*(F1549&lt;=($I$3*60+$J$3)/86400)+(H1549&lt;&gt;"")*(H1549&lt;=($M$3*60+$N$3)/86400)</f>
        <v>0</v>
      </c>
      <c r="N1549" s="16"/>
      <c r="O1549" s="15"/>
    </row>
    <row r="1550" customFormat="false" ht="15" hidden="false" customHeight="false" outlineLevel="0" collapsed="false">
      <c r="A1550" s="9" t="n">
        <v>1544</v>
      </c>
      <c r="B1550" s="10" t="s">
        <v>2230</v>
      </c>
      <c r="C1550" s="10" t="s">
        <v>1855</v>
      </c>
      <c r="D1550" s="11"/>
      <c r="E1550" s="12"/>
      <c r="F1550" s="11"/>
      <c r="G1550" s="12"/>
      <c r="H1550" s="11" t="n">
        <v>0.00287523148148148</v>
      </c>
      <c r="I1550" s="12" t="n">
        <v>736</v>
      </c>
      <c r="J1550" s="12" t="n">
        <f aca="false">COUNT(E1550,G1550,I1550)</f>
        <v>1</v>
      </c>
      <c r="K1550" s="13" t="n">
        <f aca="false">MIN(E1550,G1550,I1550)</f>
        <v>736</v>
      </c>
      <c r="L1550" s="9" t="str">
        <f aca="false">IF(E1550=K1550,"5000m",IF(G1550=K1550,"3000mSC","1500m"))</f>
        <v>1500m</v>
      </c>
      <c r="M1550" s="14" t="n">
        <f aca="false">(D1550&lt;&gt;"")*(D1550&lt;=($E$3*60+$F$3)/86400)+(F1550&lt;&gt;"")*(F1550&lt;=($I$3*60+$J$3)/86400)+(H1550&lt;&gt;"")*(H1550&lt;=($M$3*60+$N$3)/86400)</f>
        <v>0</v>
      </c>
      <c r="N1550" s="16"/>
      <c r="O1550" s="15"/>
    </row>
    <row r="1551" customFormat="false" ht="25.35" hidden="false" customHeight="false" outlineLevel="0" collapsed="false">
      <c r="A1551" s="9" t="n">
        <v>1545</v>
      </c>
      <c r="B1551" s="10" t="s">
        <v>2231</v>
      </c>
      <c r="C1551" s="10" t="s">
        <v>195</v>
      </c>
      <c r="D1551" s="11" t="n">
        <v>0.0110116898148148</v>
      </c>
      <c r="E1551" s="12" t="n">
        <v>1113</v>
      </c>
      <c r="F1551" s="11" t="n">
        <v>0.0073724537037037</v>
      </c>
      <c r="G1551" s="12" t="n">
        <v>737</v>
      </c>
      <c r="H1551" s="11" t="n">
        <v>0.00294918981481482</v>
      </c>
      <c r="I1551" s="12" t="n">
        <v>1234</v>
      </c>
      <c r="J1551" s="12" t="n">
        <f aca="false">COUNT(E1551,G1551,I1551)</f>
        <v>3</v>
      </c>
      <c r="K1551" s="13" t="n">
        <f aca="false">MIN(E1551,G1551,I1551)</f>
        <v>737</v>
      </c>
      <c r="L1551" s="9" t="str">
        <f aca="false">IF(E1551=K1551,"5000m",IF(G1551=K1551,"3000mSC","1500m"))</f>
        <v>3000mSC</v>
      </c>
      <c r="M1551" s="14" t="n">
        <f aca="false">(D1551&lt;&gt;"")*(D1551&lt;=($E$3*60+$F$3)/86400)+(F1551&lt;&gt;"")*(F1551&lt;=($I$3*60+$J$3)/86400)+(H1551&lt;&gt;"")*(H1551&lt;=($M$3*60+$N$3)/86400)</f>
        <v>0</v>
      </c>
      <c r="N1551" s="16"/>
      <c r="O1551" s="15"/>
    </row>
    <row r="1552" customFormat="false" ht="15" hidden="false" customHeight="false" outlineLevel="0" collapsed="false">
      <c r="A1552" s="9" t="n">
        <v>1546</v>
      </c>
      <c r="B1552" s="10" t="s">
        <v>2232</v>
      </c>
      <c r="C1552" s="10" t="s">
        <v>2233</v>
      </c>
      <c r="D1552" s="11" t="n">
        <v>0.0107971064814815</v>
      </c>
      <c r="E1552" s="12" t="n">
        <v>737</v>
      </c>
      <c r="F1552" s="11"/>
      <c r="G1552" s="12"/>
      <c r="H1552" s="11"/>
      <c r="I1552" s="12"/>
      <c r="J1552" s="12" t="n">
        <f aca="false">COUNT(E1552,G1552,I1552)</f>
        <v>1</v>
      </c>
      <c r="K1552" s="13" t="n">
        <f aca="false">MIN(E1552,G1552,I1552)</f>
        <v>737</v>
      </c>
      <c r="L1552" s="9" t="str">
        <f aca="false">IF(E1552=K1552,"5000m",IF(G1552=K1552,"3000mSC","1500m"))</f>
        <v>5000m</v>
      </c>
      <c r="M1552" s="14" t="n">
        <f aca="false">(D1552&lt;&gt;"")*(D1552&lt;=($E$3*60+$F$3)/86400)+(F1552&lt;&gt;"")*(F1552&lt;=($I$3*60+$J$3)/86400)+(H1552&lt;&gt;"")*(H1552&lt;=($M$3*60+$N$3)/86400)</f>
        <v>0</v>
      </c>
      <c r="N1552" s="16"/>
      <c r="O1552" s="15"/>
    </row>
    <row r="1553" customFormat="false" ht="15" hidden="false" customHeight="false" outlineLevel="0" collapsed="false">
      <c r="A1553" s="9" t="n">
        <v>1547</v>
      </c>
      <c r="B1553" s="10" t="s">
        <v>2234</v>
      </c>
      <c r="C1553" s="10" t="s">
        <v>2235</v>
      </c>
      <c r="D1553" s="11"/>
      <c r="E1553" s="12"/>
      <c r="F1553" s="11"/>
      <c r="G1553" s="12"/>
      <c r="H1553" s="11" t="n">
        <v>0.00287546296296296</v>
      </c>
      <c r="I1553" s="12" t="n">
        <v>737</v>
      </c>
      <c r="J1553" s="12" t="n">
        <f aca="false">COUNT(E1553,G1553,I1553)</f>
        <v>1</v>
      </c>
      <c r="K1553" s="13" t="n">
        <f aca="false">MIN(E1553,G1553,I1553)</f>
        <v>737</v>
      </c>
      <c r="L1553" s="9" t="str">
        <f aca="false">IF(E1553=K1553,"5000m",IF(G1553=K1553,"3000mSC","1500m"))</f>
        <v>1500m</v>
      </c>
      <c r="M1553" s="14" t="n">
        <f aca="false">(D1553&lt;&gt;"")*(D1553&lt;=($E$3*60+$F$3)/86400)+(F1553&lt;&gt;"")*(F1553&lt;=($I$3*60+$J$3)/86400)+(H1553&lt;&gt;"")*(H1553&lt;=($M$3*60+$N$3)/86400)</f>
        <v>0</v>
      </c>
      <c r="N1553" s="16"/>
      <c r="O1553" s="15"/>
    </row>
    <row r="1554" customFormat="false" ht="25.35" hidden="false" customHeight="false" outlineLevel="0" collapsed="false">
      <c r="A1554" s="9" t="n">
        <v>1548</v>
      </c>
      <c r="B1554" s="10" t="s">
        <v>2236</v>
      </c>
      <c r="C1554" s="10" t="s">
        <v>465</v>
      </c>
      <c r="D1554" s="11"/>
      <c r="E1554" s="12"/>
      <c r="F1554" s="11" t="n">
        <v>0.00737280092592593</v>
      </c>
      <c r="G1554" s="12" t="n">
        <v>738</v>
      </c>
      <c r="H1554" s="11"/>
      <c r="I1554" s="12"/>
      <c r="J1554" s="12" t="n">
        <f aca="false">COUNT(E1554,G1554,I1554)</f>
        <v>1</v>
      </c>
      <c r="K1554" s="13" t="n">
        <f aca="false">MIN(E1554,G1554,I1554)</f>
        <v>738</v>
      </c>
      <c r="L1554" s="9" t="str">
        <f aca="false">IF(E1554=K1554,"5000m",IF(G1554=K1554,"3000mSC","1500m"))</f>
        <v>3000mSC</v>
      </c>
      <c r="M1554" s="14" t="n">
        <f aca="false">(D1554&lt;&gt;"")*(D1554&lt;=($E$3*60+$F$3)/86400)+(F1554&lt;&gt;"")*(F1554&lt;=($I$3*60+$J$3)/86400)+(H1554&lt;&gt;"")*(H1554&lt;=($M$3*60+$N$3)/86400)</f>
        <v>0</v>
      </c>
      <c r="N1554" s="16"/>
      <c r="O1554" s="15"/>
    </row>
    <row r="1555" customFormat="false" ht="25.35" hidden="false" customHeight="false" outlineLevel="0" collapsed="false">
      <c r="A1555" s="9" t="n">
        <v>1549</v>
      </c>
      <c r="B1555" s="10" t="s">
        <v>2237</v>
      </c>
      <c r="C1555" s="10" t="s">
        <v>2238</v>
      </c>
      <c r="D1555" s="11"/>
      <c r="E1555" s="12"/>
      <c r="F1555" s="11" t="n">
        <v>0.00737337962962963</v>
      </c>
      <c r="G1555" s="12" t="n">
        <v>739</v>
      </c>
      <c r="H1555" s="11"/>
      <c r="I1555" s="12"/>
      <c r="J1555" s="12" t="n">
        <f aca="false">COUNT(E1555,G1555,I1555)</f>
        <v>1</v>
      </c>
      <c r="K1555" s="13" t="n">
        <f aca="false">MIN(E1555,G1555,I1555)</f>
        <v>739</v>
      </c>
      <c r="L1555" s="9" t="str">
        <f aca="false">IF(E1555=K1555,"5000m",IF(G1555=K1555,"3000mSC","1500m"))</f>
        <v>3000mSC</v>
      </c>
      <c r="M1555" s="14" t="n">
        <f aca="false">(D1555&lt;&gt;"")*(D1555&lt;=($E$3*60+$F$3)/86400)+(F1555&lt;&gt;"")*(F1555&lt;=($I$3*60+$J$3)/86400)+(H1555&lt;&gt;"")*(H1555&lt;=($M$3*60+$N$3)/86400)</f>
        <v>0</v>
      </c>
      <c r="N1555" s="16"/>
      <c r="O1555" s="15"/>
    </row>
    <row r="1556" customFormat="false" ht="15" hidden="false" customHeight="false" outlineLevel="0" collapsed="false">
      <c r="A1556" s="9" t="n">
        <v>1550</v>
      </c>
      <c r="B1556" s="10" t="s">
        <v>2239</v>
      </c>
      <c r="C1556" s="10" t="s">
        <v>2240</v>
      </c>
      <c r="D1556" s="11"/>
      <c r="E1556" s="12"/>
      <c r="F1556" s="11"/>
      <c r="G1556" s="12"/>
      <c r="H1556" s="11" t="n">
        <v>0.00287581018518519</v>
      </c>
      <c r="I1556" s="12" t="n">
        <v>739</v>
      </c>
      <c r="J1556" s="12" t="n">
        <f aca="false">COUNT(E1556,G1556,I1556)</f>
        <v>1</v>
      </c>
      <c r="K1556" s="13" t="n">
        <f aca="false">MIN(E1556,G1556,I1556)</f>
        <v>739</v>
      </c>
      <c r="L1556" s="9" t="str">
        <f aca="false">IF(E1556=K1556,"5000m",IF(G1556=K1556,"3000mSC","1500m"))</f>
        <v>1500m</v>
      </c>
      <c r="M1556" s="14" t="n">
        <f aca="false">(D1556&lt;&gt;"")*(D1556&lt;=($E$3*60+$F$3)/86400)+(F1556&lt;&gt;"")*(F1556&lt;=($I$3*60+$J$3)/86400)+(H1556&lt;&gt;"")*(H1556&lt;=($M$3*60+$N$3)/86400)</f>
        <v>0</v>
      </c>
      <c r="N1556" s="16"/>
      <c r="O1556" s="15"/>
    </row>
    <row r="1557" customFormat="false" ht="15" hidden="false" customHeight="false" outlineLevel="0" collapsed="false">
      <c r="A1557" s="9" t="n">
        <v>1551</v>
      </c>
      <c r="B1557" s="10" t="s">
        <v>2241</v>
      </c>
      <c r="C1557" s="10" t="s">
        <v>1046</v>
      </c>
      <c r="D1557" s="11" t="n">
        <v>0.0108002314814815</v>
      </c>
      <c r="E1557" s="12" t="n">
        <v>740</v>
      </c>
      <c r="F1557" s="11"/>
      <c r="G1557" s="12"/>
      <c r="H1557" s="11" t="n">
        <v>0.00288263888888889</v>
      </c>
      <c r="I1557" s="12" t="n">
        <v>799</v>
      </c>
      <c r="J1557" s="12" t="n">
        <f aca="false">COUNT(E1557,G1557,I1557)</f>
        <v>2</v>
      </c>
      <c r="K1557" s="13" t="n">
        <f aca="false">MIN(E1557,G1557,I1557)</f>
        <v>740</v>
      </c>
      <c r="L1557" s="9" t="str">
        <f aca="false">IF(E1557=K1557,"5000m",IF(G1557=K1557,"3000mSC","1500m"))</f>
        <v>5000m</v>
      </c>
      <c r="M1557" s="14" t="n">
        <f aca="false">(D1557&lt;&gt;"")*(D1557&lt;=($E$3*60+$F$3)/86400)+(F1557&lt;&gt;"")*(F1557&lt;=($I$3*60+$J$3)/86400)+(H1557&lt;&gt;"")*(H1557&lt;=($M$3*60+$N$3)/86400)</f>
        <v>0</v>
      </c>
      <c r="N1557" s="16"/>
      <c r="O1557" s="15"/>
    </row>
    <row r="1558" customFormat="false" ht="25.35" hidden="false" customHeight="false" outlineLevel="0" collapsed="false">
      <c r="A1558" s="9" t="n">
        <v>1552</v>
      </c>
      <c r="B1558" s="10" t="s">
        <v>2242</v>
      </c>
      <c r="C1558" s="10" t="s">
        <v>2243</v>
      </c>
      <c r="D1558" s="11"/>
      <c r="E1558" s="12"/>
      <c r="F1558" s="11" t="n">
        <v>0.00737361111111111</v>
      </c>
      <c r="G1558" s="12" t="n">
        <v>740</v>
      </c>
      <c r="H1558" s="11"/>
      <c r="I1558" s="12"/>
      <c r="J1558" s="12" t="n">
        <f aca="false">COUNT(E1558,G1558,I1558)</f>
        <v>1</v>
      </c>
      <c r="K1558" s="13" t="n">
        <f aca="false">MIN(E1558,G1558,I1558)</f>
        <v>740</v>
      </c>
      <c r="L1558" s="9" t="str">
        <f aca="false">IF(E1558=K1558,"5000m",IF(G1558=K1558,"3000mSC","1500m"))</f>
        <v>3000mSC</v>
      </c>
      <c r="M1558" s="14" t="n">
        <f aca="false">(D1558&lt;&gt;"")*(D1558&lt;=($E$3*60+$F$3)/86400)+(F1558&lt;&gt;"")*(F1558&lt;=($I$3*60+$J$3)/86400)+(H1558&lt;&gt;"")*(H1558&lt;=($M$3*60+$N$3)/86400)</f>
        <v>0</v>
      </c>
      <c r="N1558" s="16"/>
      <c r="O1558" s="15"/>
    </row>
    <row r="1559" customFormat="false" ht="15" hidden="false" customHeight="false" outlineLevel="0" collapsed="false">
      <c r="A1559" s="9" t="n">
        <v>1553</v>
      </c>
      <c r="B1559" s="10" t="s">
        <v>2244</v>
      </c>
      <c r="C1559" s="10" t="s">
        <v>2245</v>
      </c>
      <c r="D1559" s="11"/>
      <c r="E1559" s="12"/>
      <c r="F1559" s="11"/>
      <c r="G1559" s="12"/>
      <c r="H1559" s="11" t="n">
        <v>0.00287592592592593</v>
      </c>
      <c r="I1559" s="12" t="n">
        <v>740</v>
      </c>
      <c r="J1559" s="12" t="n">
        <f aca="false">COUNT(E1559,G1559,I1559)</f>
        <v>1</v>
      </c>
      <c r="K1559" s="13" t="n">
        <f aca="false">MIN(E1559,G1559,I1559)</f>
        <v>740</v>
      </c>
      <c r="L1559" s="9" t="str">
        <f aca="false">IF(E1559=K1559,"5000m",IF(G1559=K1559,"3000mSC","1500m"))</f>
        <v>1500m</v>
      </c>
      <c r="M1559" s="14" t="n">
        <f aca="false">(D1559&lt;&gt;"")*(D1559&lt;=($E$3*60+$F$3)/86400)+(F1559&lt;&gt;"")*(F1559&lt;=($I$3*60+$J$3)/86400)+(H1559&lt;&gt;"")*(H1559&lt;=($M$3*60+$N$3)/86400)</f>
        <v>0</v>
      </c>
      <c r="N1559" s="16"/>
      <c r="O1559" s="15"/>
    </row>
    <row r="1560" customFormat="false" ht="15" hidden="false" customHeight="false" outlineLevel="0" collapsed="false">
      <c r="A1560" s="9" t="n">
        <v>1554</v>
      </c>
      <c r="B1560" s="10" t="s">
        <v>2246</v>
      </c>
      <c r="C1560" s="10" t="s">
        <v>226</v>
      </c>
      <c r="D1560" s="11" t="n">
        <v>0.0108009259259259</v>
      </c>
      <c r="E1560" s="12" t="n">
        <v>741</v>
      </c>
      <c r="F1560" s="11"/>
      <c r="G1560" s="12"/>
      <c r="H1560" s="11" t="n">
        <v>0.00291377314814815</v>
      </c>
      <c r="I1560" s="12" t="n">
        <v>1049</v>
      </c>
      <c r="J1560" s="12" t="n">
        <f aca="false">COUNT(E1560,G1560,I1560)</f>
        <v>2</v>
      </c>
      <c r="K1560" s="13" t="n">
        <f aca="false">MIN(E1560,G1560,I1560)</f>
        <v>741</v>
      </c>
      <c r="L1560" s="9" t="str">
        <f aca="false">IF(E1560=K1560,"5000m",IF(G1560=K1560,"3000mSC","1500m"))</f>
        <v>5000m</v>
      </c>
      <c r="M1560" s="14" t="n">
        <f aca="false">(D1560&lt;&gt;"")*(D1560&lt;=($E$3*60+$F$3)/86400)+(F1560&lt;&gt;"")*(F1560&lt;=($I$3*60+$J$3)/86400)+(H1560&lt;&gt;"")*(H1560&lt;=($M$3*60+$N$3)/86400)</f>
        <v>0</v>
      </c>
      <c r="N1560" s="16"/>
      <c r="O1560" s="15"/>
    </row>
    <row r="1561" customFormat="false" ht="25.35" hidden="false" customHeight="false" outlineLevel="0" collapsed="false">
      <c r="A1561" s="9" t="n">
        <v>1555</v>
      </c>
      <c r="B1561" s="10" t="s">
        <v>2247</v>
      </c>
      <c r="C1561" s="10" t="s">
        <v>1942</v>
      </c>
      <c r="D1561" s="11"/>
      <c r="E1561" s="12"/>
      <c r="F1561" s="11" t="n">
        <v>0.00737418981481482</v>
      </c>
      <c r="G1561" s="12" t="n">
        <v>741</v>
      </c>
      <c r="H1561" s="11"/>
      <c r="I1561" s="12"/>
      <c r="J1561" s="12" t="n">
        <f aca="false">COUNT(E1561,G1561,I1561)</f>
        <v>1</v>
      </c>
      <c r="K1561" s="13" t="n">
        <f aca="false">MIN(E1561,G1561,I1561)</f>
        <v>741</v>
      </c>
      <c r="L1561" s="9" t="str">
        <f aca="false">IF(E1561=K1561,"5000m",IF(G1561=K1561,"3000mSC","1500m"))</f>
        <v>3000mSC</v>
      </c>
      <c r="M1561" s="14" t="n">
        <f aca="false">(D1561&lt;&gt;"")*(D1561&lt;=($E$3*60+$F$3)/86400)+(F1561&lt;&gt;"")*(F1561&lt;=($I$3*60+$J$3)/86400)+(H1561&lt;&gt;"")*(H1561&lt;=($M$3*60+$N$3)/86400)</f>
        <v>0</v>
      </c>
      <c r="N1561" s="16"/>
      <c r="O1561" s="15"/>
    </row>
    <row r="1562" customFormat="false" ht="15" hidden="false" customHeight="false" outlineLevel="0" collapsed="false">
      <c r="A1562" s="9" t="n">
        <v>1556</v>
      </c>
      <c r="B1562" s="10" t="s">
        <v>2248</v>
      </c>
      <c r="C1562" s="16" t="s">
        <v>2249</v>
      </c>
      <c r="D1562" s="11" t="n">
        <v>0.0108009259259259</v>
      </c>
      <c r="E1562" s="12" t="n">
        <v>742</v>
      </c>
      <c r="F1562" s="11"/>
      <c r="G1562" s="12"/>
      <c r="H1562" s="11"/>
      <c r="I1562" s="12"/>
      <c r="J1562" s="12" t="n">
        <f aca="false">COUNT(E1562,G1562,I1562)</f>
        <v>1</v>
      </c>
      <c r="K1562" s="13" t="n">
        <f aca="false">MIN(E1562,G1562,I1562)</f>
        <v>742</v>
      </c>
      <c r="L1562" s="9" t="str">
        <f aca="false">IF(E1562=K1562,"5000m",IF(G1562=K1562,"3000mSC","1500m"))</f>
        <v>5000m</v>
      </c>
      <c r="M1562" s="14" t="n">
        <f aca="false">(D1562&lt;&gt;"")*(D1562&lt;=($E$3*60+$F$3)/86400)+(F1562&lt;&gt;"")*(F1562&lt;=($I$3*60+$J$3)/86400)+(H1562&lt;&gt;"")*(H1562&lt;=($M$3*60+$N$3)/86400)</f>
        <v>0</v>
      </c>
      <c r="N1562" s="16"/>
      <c r="O1562" s="15"/>
    </row>
    <row r="1563" customFormat="false" ht="25.35" hidden="false" customHeight="false" outlineLevel="0" collapsed="false">
      <c r="A1563" s="9" t="n">
        <v>1557</v>
      </c>
      <c r="B1563" s="10" t="s">
        <v>2250</v>
      </c>
      <c r="C1563" s="10" t="s">
        <v>2251</v>
      </c>
      <c r="D1563" s="11"/>
      <c r="E1563" s="12"/>
      <c r="F1563" s="11" t="n">
        <v>0.00737453703703704</v>
      </c>
      <c r="G1563" s="12" t="n">
        <v>742</v>
      </c>
      <c r="H1563" s="11"/>
      <c r="I1563" s="12"/>
      <c r="J1563" s="12" t="n">
        <f aca="false">COUNT(E1563,G1563,I1563)</f>
        <v>1</v>
      </c>
      <c r="K1563" s="13" t="n">
        <f aca="false">MIN(E1563,G1563,I1563)</f>
        <v>742</v>
      </c>
      <c r="L1563" s="9" t="str">
        <f aca="false">IF(E1563=K1563,"5000m",IF(G1563=K1563,"3000mSC","1500m"))</f>
        <v>3000mSC</v>
      </c>
      <c r="M1563" s="14" t="n">
        <f aca="false">(D1563&lt;&gt;"")*(D1563&lt;=($E$3*60+$F$3)/86400)+(F1563&lt;&gt;"")*(F1563&lt;=($I$3*60+$J$3)/86400)+(H1563&lt;&gt;"")*(H1563&lt;=($M$3*60+$N$3)/86400)</f>
        <v>0</v>
      </c>
      <c r="N1563" s="16"/>
      <c r="O1563" s="15"/>
    </row>
    <row r="1564" customFormat="false" ht="15" hidden="false" customHeight="false" outlineLevel="0" collapsed="false">
      <c r="A1564" s="9" t="n">
        <v>1558</v>
      </c>
      <c r="B1564" s="10" t="s">
        <v>2252</v>
      </c>
      <c r="C1564" s="10" t="s">
        <v>2253</v>
      </c>
      <c r="D1564" s="11"/>
      <c r="E1564" s="12"/>
      <c r="F1564" s="11"/>
      <c r="G1564" s="12"/>
      <c r="H1564" s="11" t="n">
        <v>0.00287638888888889</v>
      </c>
      <c r="I1564" s="12" t="n">
        <v>742</v>
      </c>
      <c r="J1564" s="12" t="n">
        <f aca="false">COUNT(E1564,G1564,I1564)</f>
        <v>1</v>
      </c>
      <c r="K1564" s="13" t="n">
        <f aca="false">MIN(E1564,G1564,I1564)</f>
        <v>742</v>
      </c>
      <c r="L1564" s="9" t="str">
        <f aca="false">IF(E1564=K1564,"5000m",IF(G1564=K1564,"3000mSC","1500m"))</f>
        <v>1500m</v>
      </c>
      <c r="M1564" s="14" t="n">
        <f aca="false">(D1564&lt;&gt;"")*(D1564&lt;=($E$3*60+$F$3)/86400)+(F1564&lt;&gt;"")*(F1564&lt;=($I$3*60+$J$3)/86400)+(H1564&lt;&gt;"")*(H1564&lt;=($M$3*60+$N$3)/86400)</f>
        <v>0</v>
      </c>
      <c r="N1564" s="16"/>
      <c r="O1564" s="15"/>
    </row>
    <row r="1565" customFormat="false" ht="25.35" hidden="false" customHeight="false" outlineLevel="0" collapsed="false">
      <c r="A1565" s="9" t="n">
        <v>1559</v>
      </c>
      <c r="B1565" s="10" t="s">
        <v>2254</v>
      </c>
      <c r="C1565" s="10" t="s">
        <v>1413</v>
      </c>
      <c r="D1565" s="11" t="n">
        <v>0.0109625</v>
      </c>
      <c r="E1565" s="12" t="n">
        <v>1022</v>
      </c>
      <c r="F1565" s="11" t="n">
        <v>0.00737592592592593</v>
      </c>
      <c r="G1565" s="12" t="n">
        <v>743</v>
      </c>
      <c r="H1565" s="11"/>
      <c r="I1565" s="12"/>
      <c r="J1565" s="12" t="n">
        <f aca="false">COUNT(E1565,G1565,I1565)</f>
        <v>2</v>
      </c>
      <c r="K1565" s="13" t="n">
        <f aca="false">MIN(E1565,G1565,I1565)</f>
        <v>743</v>
      </c>
      <c r="L1565" s="9" t="str">
        <f aca="false">IF(E1565=K1565,"5000m",IF(G1565=K1565,"3000mSC","1500m"))</f>
        <v>3000mSC</v>
      </c>
      <c r="M1565" s="14" t="n">
        <f aca="false">(D1565&lt;&gt;"")*(D1565&lt;=($E$3*60+$F$3)/86400)+(F1565&lt;&gt;"")*(F1565&lt;=($I$3*60+$J$3)/86400)+(H1565&lt;&gt;"")*(H1565&lt;=($M$3*60+$N$3)/86400)</f>
        <v>0</v>
      </c>
      <c r="N1565" s="16"/>
      <c r="O1565" s="15"/>
    </row>
    <row r="1566" customFormat="false" ht="15" hidden="false" customHeight="false" outlineLevel="0" collapsed="false">
      <c r="A1566" s="9" t="n">
        <v>1560</v>
      </c>
      <c r="B1566" s="10" t="s">
        <v>2255</v>
      </c>
      <c r="C1566" s="10" t="s">
        <v>897</v>
      </c>
      <c r="D1566" s="11" t="n">
        <v>0.0108010416666667</v>
      </c>
      <c r="E1566" s="12" t="n">
        <v>743</v>
      </c>
      <c r="F1566" s="11"/>
      <c r="G1566" s="12"/>
      <c r="H1566" s="11" t="n">
        <v>0.00291041666666667</v>
      </c>
      <c r="I1566" s="12" t="n">
        <v>1025</v>
      </c>
      <c r="J1566" s="12" t="n">
        <f aca="false">COUNT(E1566,G1566,I1566)</f>
        <v>2</v>
      </c>
      <c r="K1566" s="13" t="n">
        <f aca="false">MIN(E1566,G1566,I1566)</f>
        <v>743</v>
      </c>
      <c r="L1566" s="9" t="str">
        <f aca="false">IF(E1566=K1566,"5000m",IF(G1566=K1566,"3000mSC","1500m"))</f>
        <v>5000m</v>
      </c>
      <c r="M1566" s="14" t="n">
        <f aca="false">(D1566&lt;&gt;"")*(D1566&lt;=($E$3*60+$F$3)/86400)+(F1566&lt;&gt;"")*(F1566&lt;=($I$3*60+$J$3)/86400)+(H1566&lt;&gt;"")*(H1566&lt;=($M$3*60+$N$3)/86400)</f>
        <v>0</v>
      </c>
      <c r="N1566" s="16"/>
      <c r="O1566" s="15"/>
    </row>
    <row r="1567" customFormat="false" ht="15" hidden="false" customHeight="false" outlineLevel="0" collapsed="false">
      <c r="A1567" s="9" t="n">
        <v>1561</v>
      </c>
      <c r="B1567" s="10" t="s">
        <v>2256</v>
      </c>
      <c r="C1567" s="10" t="s">
        <v>36</v>
      </c>
      <c r="D1567" s="11" t="n">
        <v>0.0108013888888889</v>
      </c>
      <c r="E1567" s="12" t="n">
        <v>744</v>
      </c>
      <c r="F1567" s="11"/>
      <c r="G1567" s="12"/>
      <c r="H1567" s="11"/>
      <c r="I1567" s="12"/>
      <c r="J1567" s="12" t="n">
        <f aca="false">COUNT(E1567,G1567,I1567)</f>
        <v>1</v>
      </c>
      <c r="K1567" s="13" t="n">
        <f aca="false">MIN(E1567,G1567,I1567)</f>
        <v>744</v>
      </c>
      <c r="L1567" s="9" t="str">
        <f aca="false">IF(E1567=K1567,"5000m",IF(G1567=K1567,"3000mSC","1500m"))</f>
        <v>5000m</v>
      </c>
      <c r="M1567" s="14" t="n">
        <f aca="false">(D1567&lt;&gt;"")*(D1567&lt;=($E$3*60+$F$3)/86400)+(F1567&lt;&gt;"")*(F1567&lt;=($I$3*60+$J$3)/86400)+(H1567&lt;&gt;"")*(H1567&lt;=($M$3*60+$N$3)/86400)</f>
        <v>0</v>
      </c>
      <c r="N1567" s="16"/>
      <c r="O1567" s="15"/>
    </row>
    <row r="1568" customFormat="false" ht="25.35" hidden="false" customHeight="false" outlineLevel="0" collapsed="false">
      <c r="A1568" s="9" t="n">
        <v>1562</v>
      </c>
      <c r="B1568" s="10" t="s">
        <v>2257</v>
      </c>
      <c r="C1568" s="10" t="s">
        <v>2258</v>
      </c>
      <c r="D1568" s="11"/>
      <c r="E1568" s="12"/>
      <c r="F1568" s="11" t="n">
        <v>0.00737662037037037</v>
      </c>
      <c r="G1568" s="12" t="n">
        <v>744</v>
      </c>
      <c r="H1568" s="11"/>
      <c r="I1568" s="12"/>
      <c r="J1568" s="12" t="n">
        <f aca="false">COUNT(E1568,G1568,I1568)</f>
        <v>1</v>
      </c>
      <c r="K1568" s="13" t="n">
        <f aca="false">MIN(E1568,G1568,I1568)</f>
        <v>744</v>
      </c>
      <c r="L1568" s="9" t="str">
        <f aca="false">IF(E1568=K1568,"5000m",IF(G1568=K1568,"3000mSC","1500m"))</f>
        <v>3000mSC</v>
      </c>
      <c r="M1568" s="14" t="n">
        <f aca="false">(D1568&lt;&gt;"")*(D1568&lt;=($E$3*60+$F$3)/86400)+(F1568&lt;&gt;"")*(F1568&lt;=($I$3*60+$J$3)/86400)+(H1568&lt;&gt;"")*(H1568&lt;=($M$3*60+$N$3)/86400)</f>
        <v>0</v>
      </c>
      <c r="N1568" s="16"/>
      <c r="O1568" s="15"/>
    </row>
    <row r="1569" customFormat="false" ht="15" hidden="false" customHeight="false" outlineLevel="0" collapsed="false">
      <c r="A1569" s="9" t="n">
        <v>1563</v>
      </c>
      <c r="B1569" s="10" t="s">
        <v>2259</v>
      </c>
      <c r="C1569" s="10" t="s">
        <v>2260</v>
      </c>
      <c r="D1569" s="11"/>
      <c r="E1569" s="12"/>
      <c r="F1569" s="11"/>
      <c r="G1569" s="12"/>
      <c r="H1569" s="11" t="n">
        <v>0.00287673611111111</v>
      </c>
      <c r="I1569" s="12" t="n">
        <v>744</v>
      </c>
      <c r="J1569" s="12" t="n">
        <f aca="false">COUNT(E1569,G1569,I1569)</f>
        <v>1</v>
      </c>
      <c r="K1569" s="13" t="n">
        <f aca="false">MIN(E1569,G1569,I1569)</f>
        <v>744</v>
      </c>
      <c r="L1569" s="9" t="str">
        <f aca="false">IF(E1569=K1569,"5000m",IF(G1569=K1569,"3000mSC","1500m"))</f>
        <v>1500m</v>
      </c>
      <c r="M1569" s="14" t="n">
        <f aca="false">(D1569&lt;&gt;"")*(D1569&lt;=($E$3*60+$F$3)/86400)+(F1569&lt;&gt;"")*(F1569&lt;=($I$3*60+$J$3)/86400)+(H1569&lt;&gt;"")*(H1569&lt;=($M$3*60+$N$3)/86400)</f>
        <v>0</v>
      </c>
      <c r="N1569" s="16"/>
      <c r="O1569" s="15"/>
    </row>
    <row r="1570" customFormat="false" ht="15" hidden="false" customHeight="false" outlineLevel="0" collapsed="false">
      <c r="A1570" s="9" t="n">
        <v>1564</v>
      </c>
      <c r="B1570" s="10" t="s">
        <v>2048</v>
      </c>
      <c r="C1570" s="10" t="s">
        <v>2261</v>
      </c>
      <c r="D1570" s="11" t="n">
        <v>0.0108016203703704</v>
      </c>
      <c r="E1570" s="12" t="n">
        <v>745</v>
      </c>
      <c r="F1570" s="11"/>
      <c r="G1570" s="12"/>
      <c r="H1570" s="11"/>
      <c r="I1570" s="12"/>
      <c r="J1570" s="12" t="n">
        <f aca="false">COUNT(E1570,G1570,I1570)</f>
        <v>1</v>
      </c>
      <c r="K1570" s="13" t="n">
        <f aca="false">MIN(E1570,G1570,I1570)</f>
        <v>745</v>
      </c>
      <c r="L1570" s="9" t="str">
        <f aca="false">IF(E1570=K1570,"5000m",IF(G1570=K1570,"3000mSC","1500m"))</f>
        <v>5000m</v>
      </c>
      <c r="M1570" s="14" t="n">
        <f aca="false">(D1570&lt;&gt;"")*(D1570&lt;=($E$3*60+$F$3)/86400)+(F1570&lt;&gt;"")*(F1570&lt;=($I$3*60+$J$3)/86400)+(H1570&lt;&gt;"")*(H1570&lt;=($M$3*60+$N$3)/86400)</f>
        <v>0</v>
      </c>
      <c r="N1570" s="10" t="s">
        <v>2262</v>
      </c>
      <c r="O1570" s="15"/>
    </row>
    <row r="1571" customFormat="false" ht="25.35" hidden="false" customHeight="false" outlineLevel="0" collapsed="false">
      <c r="A1571" s="9" t="n">
        <v>1565</v>
      </c>
      <c r="B1571" s="10" t="s">
        <v>2263</v>
      </c>
      <c r="C1571" s="10" t="s">
        <v>39</v>
      </c>
      <c r="D1571" s="11"/>
      <c r="E1571" s="12"/>
      <c r="F1571" s="11" t="n">
        <v>0.00737662037037037</v>
      </c>
      <c r="G1571" s="12" t="n">
        <v>745</v>
      </c>
      <c r="H1571" s="11"/>
      <c r="I1571" s="12"/>
      <c r="J1571" s="12" t="n">
        <f aca="false">COUNT(E1571,G1571,I1571)</f>
        <v>1</v>
      </c>
      <c r="K1571" s="13" t="n">
        <f aca="false">MIN(E1571,G1571,I1571)</f>
        <v>745</v>
      </c>
      <c r="L1571" s="9" t="str">
        <f aca="false">IF(E1571=K1571,"5000m",IF(G1571=K1571,"3000mSC","1500m"))</f>
        <v>3000mSC</v>
      </c>
      <c r="M1571" s="14" t="n">
        <f aca="false">(D1571&lt;&gt;"")*(D1571&lt;=($E$3*60+$F$3)/86400)+(F1571&lt;&gt;"")*(F1571&lt;=($I$3*60+$J$3)/86400)+(H1571&lt;&gt;"")*(H1571&lt;=($M$3*60+$N$3)/86400)</f>
        <v>0</v>
      </c>
      <c r="N1571" s="16"/>
      <c r="O1571" s="15"/>
    </row>
    <row r="1572" customFormat="false" ht="15" hidden="false" customHeight="false" outlineLevel="0" collapsed="false">
      <c r="A1572" s="9" t="n">
        <v>1566</v>
      </c>
      <c r="B1572" s="10" t="s">
        <v>2264</v>
      </c>
      <c r="C1572" s="10" t="s">
        <v>1777</v>
      </c>
      <c r="D1572" s="11" t="n">
        <v>0.0108021990740741</v>
      </c>
      <c r="E1572" s="12" t="n">
        <v>746</v>
      </c>
      <c r="F1572" s="11"/>
      <c r="G1572" s="12"/>
      <c r="H1572" s="11" t="n">
        <v>0.00288425925925926</v>
      </c>
      <c r="I1572" s="12" t="n">
        <v>810</v>
      </c>
      <c r="J1572" s="12" t="n">
        <f aca="false">COUNT(E1572,G1572,I1572)</f>
        <v>2</v>
      </c>
      <c r="K1572" s="13" t="n">
        <f aca="false">MIN(E1572,G1572,I1572)</f>
        <v>746</v>
      </c>
      <c r="L1572" s="9" t="str">
        <f aca="false">IF(E1572=K1572,"5000m",IF(G1572=K1572,"3000mSC","1500m"))</f>
        <v>5000m</v>
      </c>
      <c r="M1572" s="14" t="n">
        <f aca="false">(D1572&lt;&gt;"")*(D1572&lt;=($E$3*60+$F$3)/86400)+(F1572&lt;&gt;"")*(F1572&lt;=($I$3*60+$J$3)/86400)+(H1572&lt;&gt;"")*(H1572&lt;=($M$3*60+$N$3)/86400)</f>
        <v>0</v>
      </c>
      <c r="N1572" s="16"/>
      <c r="O1572" s="15"/>
    </row>
    <row r="1573" customFormat="false" ht="15" hidden="false" customHeight="false" outlineLevel="0" collapsed="false">
      <c r="A1573" s="9" t="n">
        <v>1567</v>
      </c>
      <c r="B1573" s="10" t="s">
        <v>2265</v>
      </c>
      <c r="C1573" s="10" t="s">
        <v>358</v>
      </c>
      <c r="D1573" s="11" t="n">
        <v>0.011080787037037</v>
      </c>
      <c r="E1573" s="12" t="n">
        <v>1252</v>
      </c>
      <c r="F1573" s="11"/>
      <c r="G1573" s="12"/>
      <c r="H1573" s="11" t="n">
        <v>0.00287696759259259</v>
      </c>
      <c r="I1573" s="12" t="n">
        <v>746</v>
      </c>
      <c r="J1573" s="12" t="n">
        <f aca="false">COUNT(E1573,G1573,I1573)</f>
        <v>2</v>
      </c>
      <c r="K1573" s="13" t="n">
        <f aca="false">MIN(E1573,G1573,I1573)</f>
        <v>746</v>
      </c>
      <c r="L1573" s="9" t="str">
        <f aca="false">IF(E1573=K1573,"5000m",IF(G1573=K1573,"3000mSC","1500m"))</f>
        <v>1500m</v>
      </c>
      <c r="M1573" s="14" t="n">
        <f aca="false">(D1573&lt;&gt;"")*(D1573&lt;=($E$3*60+$F$3)/86400)+(F1573&lt;&gt;"")*(F1573&lt;=($I$3*60+$J$3)/86400)+(H1573&lt;&gt;"")*(H1573&lt;=($M$3*60+$N$3)/86400)</f>
        <v>0</v>
      </c>
      <c r="N1573" s="16"/>
      <c r="O1573" s="15"/>
    </row>
    <row r="1574" customFormat="false" ht="25.35" hidden="false" customHeight="false" outlineLevel="0" collapsed="false">
      <c r="A1574" s="9" t="n">
        <v>1568</v>
      </c>
      <c r="B1574" s="10" t="s">
        <v>2266</v>
      </c>
      <c r="C1574" s="10" t="s">
        <v>2267</v>
      </c>
      <c r="D1574" s="11"/>
      <c r="E1574" s="12"/>
      <c r="F1574" s="11" t="n">
        <v>0.00737673611111111</v>
      </c>
      <c r="G1574" s="12" t="n">
        <v>746</v>
      </c>
      <c r="H1574" s="11"/>
      <c r="I1574" s="12"/>
      <c r="J1574" s="12" t="n">
        <f aca="false">COUNT(E1574,G1574,I1574)</f>
        <v>1</v>
      </c>
      <c r="K1574" s="13" t="n">
        <f aca="false">MIN(E1574,G1574,I1574)</f>
        <v>746</v>
      </c>
      <c r="L1574" s="9" t="str">
        <f aca="false">IF(E1574=K1574,"5000m",IF(G1574=K1574,"3000mSC","1500m"))</f>
        <v>3000mSC</v>
      </c>
      <c r="M1574" s="14" t="n">
        <f aca="false">(D1574&lt;&gt;"")*(D1574&lt;=($E$3*60+$F$3)/86400)+(F1574&lt;&gt;"")*(F1574&lt;=($I$3*60+$J$3)/86400)+(H1574&lt;&gt;"")*(H1574&lt;=($M$3*60+$N$3)/86400)</f>
        <v>0</v>
      </c>
      <c r="N1574" s="16"/>
      <c r="O1574" s="15"/>
    </row>
    <row r="1575" customFormat="false" ht="25.35" hidden="false" customHeight="false" outlineLevel="0" collapsed="false">
      <c r="A1575" s="9" t="n">
        <v>1569</v>
      </c>
      <c r="B1575" s="10" t="s">
        <v>2268</v>
      </c>
      <c r="C1575" s="10" t="s">
        <v>136</v>
      </c>
      <c r="D1575" s="11"/>
      <c r="E1575" s="12"/>
      <c r="F1575" s="11" t="n">
        <v>0.00737824074074074</v>
      </c>
      <c r="G1575" s="12" t="n">
        <v>747</v>
      </c>
      <c r="H1575" s="11"/>
      <c r="I1575" s="12"/>
      <c r="J1575" s="12" t="n">
        <f aca="false">COUNT(E1575,G1575,I1575)</f>
        <v>1</v>
      </c>
      <c r="K1575" s="13" t="n">
        <f aca="false">MIN(E1575,G1575,I1575)</f>
        <v>747</v>
      </c>
      <c r="L1575" s="9" t="str">
        <f aca="false">IF(E1575=K1575,"5000m",IF(G1575=K1575,"3000mSC","1500m"))</f>
        <v>3000mSC</v>
      </c>
      <c r="M1575" s="14" t="n">
        <f aca="false">(D1575&lt;&gt;"")*(D1575&lt;=($E$3*60+$F$3)/86400)+(F1575&lt;&gt;"")*(F1575&lt;=($I$3*60+$J$3)/86400)+(H1575&lt;&gt;"")*(H1575&lt;=($M$3*60+$N$3)/86400)</f>
        <v>0</v>
      </c>
      <c r="N1575" s="16"/>
      <c r="O1575" s="15"/>
    </row>
    <row r="1576" customFormat="false" ht="15" hidden="false" customHeight="false" outlineLevel="0" collapsed="false">
      <c r="A1576" s="9" t="n">
        <v>1570</v>
      </c>
      <c r="B1576" s="10" t="s">
        <v>2269</v>
      </c>
      <c r="C1576" s="10" t="s">
        <v>53</v>
      </c>
      <c r="D1576" s="11" t="n">
        <v>0.0108025462962963</v>
      </c>
      <c r="E1576" s="12" t="n">
        <v>748</v>
      </c>
      <c r="F1576" s="11"/>
      <c r="G1576" s="12"/>
      <c r="H1576" s="11"/>
      <c r="I1576" s="12"/>
      <c r="J1576" s="12" t="n">
        <f aca="false">COUNT(E1576,G1576,I1576)</f>
        <v>1</v>
      </c>
      <c r="K1576" s="13" t="n">
        <f aca="false">MIN(E1576,G1576,I1576)</f>
        <v>748</v>
      </c>
      <c r="L1576" s="9" t="str">
        <f aca="false">IF(E1576=K1576,"5000m",IF(G1576=K1576,"3000mSC","1500m"))</f>
        <v>5000m</v>
      </c>
      <c r="M1576" s="14" t="n">
        <f aca="false">(D1576&lt;&gt;"")*(D1576&lt;=($E$3*60+$F$3)/86400)+(F1576&lt;&gt;"")*(F1576&lt;=($I$3*60+$J$3)/86400)+(H1576&lt;&gt;"")*(H1576&lt;=($M$3*60+$N$3)/86400)</f>
        <v>0</v>
      </c>
      <c r="N1576" s="16"/>
      <c r="O1576" s="15"/>
    </row>
    <row r="1577" customFormat="false" ht="25.35" hidden="false" customHeight="false" outlineLevel="0" collapsed="false">
      <c r="A1577" s="9" t="n">
        <v>1571</v>
      </c>
      <c r="B1577" s="10" t="s">
        <v>2270</v>
      </c>
      <c r="C1577" s="10" t="s">
        <v>2271</v>
      </c>
      <c r="D1577" s="11"/>
      <c r="E1577" s="12"/>
      <c r="F1577" s="11" t="n">
        <v>0.00737824074074074</v>
      </c>
      <c r="G1577" s="12" t="n">
        <v>748</v>
      </c>
      <c r="H1577" s="11"/>
      <c r="I1577" s="12"/>
      <c r="J1577" s="12" t="n">
        <f aca="false">COUNT(E1577,G1577,I1577)</f>
        <v>1</v>
      </c>
      <c r="K1577" s="13" t="n">
        <f aca="false">MIN(E1577,G1577,I1577)</f>
        <v>748</v>
      </c>
      <c r="L1577" s="9" t="str">
        <f aca="false">IF(E1577=K1577,"5000m",IF(G1577=K1577,"3000mSC","1500m"))</f>
        <v>3000mSC</v>
      </c>
      <c r="M1577" s="14" t="n">
        <f aca="false">(D1577&lt;&gt;"")*(D1577&lt;=($E$3*60+$F$3)/86400)+(F1577&lt;&gt;"")*(F1577&lt;=($I$3*60+$J$3)/86400)+(H1577&lt;&gt;"")*(H1577&lt;=($M$3*60+$N$3)/86400)</f>
        <v>0</v>
      </c>
      <c r="N1577" s="16"/>
      <c r="O1577" s="15"/>
    </row>
    <row r="1578" customFormat="false" ht="15" hidden="false" customHeight="false" outlineLevel="0" collapsed="false">
      <c r="A1578" s="9" t="n">
        <v>1572</v>
      </c>
      <c r="B1578" s="10" t="s">
        <v>2272</v>
      </c>
      <c r="C1578" s="10" t="s">
        <v>2273</v>
      </c>
      <c r="D1578" s="11"/>
      <c r="E1578" s="12"/>
      <c r="F1578" s="11"/>
      <c r="G1578" s="12"/>
      <c r="H1578" s="11" t="n">
        <v>0.00287708333333333</v>
      </c>
      <c r="I1578" s="12" t="n">
        <v>748</v>
      </c>
      <c r="J1578" s="12" t="n">
        <f aca="false">COUNT(E1578,G1578,I1578)</f>
        <v>1</v>
      </c>
      <c r="K1578" s="13" t="n">
        <f aca="false">MIN(E1578,G1578,I1578)</f>
        <v>748</v>
      </c>
      <c r="L1578" s="9" t="str">
        <f aca="false">IF(E1578=K1578,"5000m",IF(G1578=K1578,"3000mSC","1500m"))</f>
        <v>1500m</v>
      </c>
      <c r="M1578" s="14" t="n">
        <f aca="false">(D1578&lt;&gt;"")*(D1578&lt;=($E$3*60+$F$3)/86400)+(F1578&lt;&gt;"")*(F1578&lt;=($I$3*60+$J$3)/86400)+(H1578&lt;&gt;"")*(H1578&lt;=($M$3*60+$N$3)/86400)</f>
        <v>0</v>
      </c>
      <c r="N1578" s="16"/>
      <c r="O1578" s="15"/>
    </row>
    <row r="1579" customFormat="false" ht="25.35" hidden="false" customHeight="false" outlineLevel="0" collapsed="false">
      <c r="A1579" s="9" t="n">
        <v>1573</v>
      </c>
      <c r="B1579" s="10" t="s">
        <v>2274</v>
      </c>
      <c r="C1579" s="10" t="s">
        <v>720</v>
      </c>
      <c r="D1579" s="11"/>
      <c r="E1579" s="12"/>
      <c r="F1579" s="11" t="n">
        <v>0.00737881944444444</v>
      </c>
      <c r="G1579" s="12" t="n">
        <v>749</v>
      </c>
      <c r="H1579" s="11"/>
      <c r="I1579" s="12"/>
      <c r="J1579" s="12" t="n">
        <f aca="false">COUNT(E1579,G1579,I1579)</f>
        <v>1</v>
      </c>
      <c r="K1579" s="13" t="n">
        <f aca="false">MIN(E1579,G1579,I1579)</f>
        <v>749</v>
      </c>
      <c r="L1579" s="9" t="str">
        <f aca="false">IF(E1579=K1579,"5000m",IF(G1579=K1579,"3000mSC","1500m"))</f>
        <v>3000mSC</v>
      </c>
      <c r="M1579" s="14" t="n">
        <f aca="false">(D1579&lt;&gt;"")*(D1579&lt;=($E$3*60+$F$3)/86400)+(F1579&lt;&gt;"")*(F1579&lt;=($I$3*60+$J$3)/86400)+(H1579&lt;&gt;"")*(H1579&lt;=($M$3*60+$N$3)/86400)</f>
        <v>0</v>
      </c>
      <c r="N1579" s="16"/>
      <c r="O1579" s="15"/>
    </row>
    <row r="1580" customFormat="false" ht="25.35" hidden="false" customHeight="false" outlineLevel="0" collapsed="false">
      <c r="A1580" s="9" t="n">
        <v>1574</v>
      </c>
      <c r="B1580" s="10" t="s">
        <v>2275</v>
      </c>
      <c r="C1580" s="10" t="s">
        <v>2276</v>
      </c>
      <c r="D1580" s="11"/>
      <c r="E1580" s="12"/>
      <c r="F1580" s="11" t="n">
        <v>0.00737939814814815</v>
      </c>
      <c r="G1580" s="12" t="n">
        <v>750</v>
      </c>
      <c r="H1580" s="11"/>
      <c r="I1580" s="12"/>
      <c r="J1580" s="12" t="n">
        <f aca="false">COUNT(E1580,G1580,I1580)</f>
        <v>1</v>
      </c>
      <c r="K1580" s="13" t="n">
        <f aca="false">MIN(E1580,G1580,I1580)</f>
        <v>750</v>
      </c>
      <c r="L1580" s="9" t="str">
        <f aca="false">IF(E1580=K1580,"5000m",IF(G1580=K1580,"3000mSC","1500m"))</f>
        <v>3000mSC</v>
      </c>
      <c r="M1580" s="14" t="n">
        <f aca="false">(D1580&lt;&gt;"")*(D1580&lt;=($E$3*60+$F$3)/86400)+(F1580&lt;&gt;"")*(F1580&lt;=($I$3*60+$J$3)/86400)+(H1580&lt;&gt;"")*(H1580&lt;=($M$3*60+$N$3)/86400)</f>
        <v>0</v>
      </c>
      <c r="N1580" s="16"/>
      <c r="O1580" s="15"/>
    </row>
    <row r="1581" customFormat="false" ht="15" hidden="false" customHeight="false" outlineLevel="0" collapsed="false">
      <c r="A1581" s="9" t="n">
        <v>1575</v>
      </c>
      <c r="B1581" s="10" t="s">
        <v>2277</v>
      </c>
      <c r="C1581" s="10" t="s">
        <v>2278</v>
      </c>
      <c r="D1581" s="11"/>
      <c r="E1581" s="12"/>
      <c r="F1581" s="11"/>
      <c r="G1581" s="12"/>
      <c r="H1581" s="11" t="n">
        <v>0.00287777777777778</v>
      </c>
      <c r="I1581" s="12" t="n">
        <v>750</v>
      </c>
      <c r="J1581" s="12" t="n">
        <f aca="false">COUNT(E1581,G1581,I1581)</f>
        <v>1</v>
      </c>
      <c r="K1581" s="13" t="n">
        <f aca="false">MIN(E1581,G1581,I1581)</f>
        <v>750</v>
      </c>
      <c r="L1581" s="9" t="str">
        <f aca="false">IF(E1581=K1581,"5000m",IF(G1581=K1581,"3000mSC","1500m"))</f>
        <v>1500m</v>
      </c>
      <c r="M1581" s="14" t="n">
        <f aca="false">(D1581&lt;&gt;"")*(D1581&lt;=($E$3*60+$F$3)/86400)+(F1581&lt;&gt;"")*(F1581&lt;=($I$3*60+$J$3)/86400)+(H1581&lt;&gt;"")*(H1581&lt;=($M$3*60+$N$3)/86400)</f>
        <v>0</v>
      </c>
      <c r="N1581" s="16"/>
      <c r="O1581" s="15"/>
    </row>
    <row r="1582" customFormat="false" ht="15" hidden="false" customHeight="false" outlineLevel="0" collapsed="false">
      <c r="A1582" s="9" t="n">
        <v>1576</v>
      </c>
      <c r="B1582" s="10" t="s">
        <v>2279</v>
      </c>
      <c r="C1582" s="10" t="s">
        <v>1038</v>
      </c>
      <c r="D1582" s="11" t="n">
        <v>0.0110234953703704</v>
      </c>
      <c r="E1582" s="12" t="n">
        <v>1136</v>
      </c>
      <c r="F1582" s="11"/>
      <c r="G1582" s="12"/>
      <c r="H1582" s="11" t="n">
        <v>0.00287777777777778</v>
      </c>
      <c r="I1582" s="12" t="n">
        <v>751</v>
      </c>
      <c r="J1582" s="12" t="n">
        <f aca="false">COUNT(E1582,G1582,I1582)</f>
        <v>2</v>
      </c>
      <c r="K1582" s="13" t="n">
        <f aca="false">MIN(E1582,G1582,I1582)</f>
        <v>751</v>
      </c>
      <c r="L1582" s="9" t="str">
        <f aca="false">IF(E1582=K1582,"5000m",IF(G1582=K1582,"3000mSC","1500m"))</f>
        <v>1500m</v>
      </c>
      <c r="M1582" s="14" t="n">
        <f aca="false">(D1582&lt;&gt;"")*(D1582&lt;=($E$3*60+$F$3)/86400)+(F1582&lt;&gt;"")*(F1582&lt;=($I$3*60+$J$3)/86400)+(H1582&lt;&gt;"")*(H1582&lt;=($M$3*60+$N$3)/86400)</f>
        <v>0</v>
      </c>
      <c r="N1582" s="16"/>
      <c r="O1582" s="15"/>
    </row>
    <row r="1583" customFormat="false" ht="25.35" hidden="false" customHeight="false" outlineLevel="0" collapsed="false">
      <c r="A1583" s="9" t="n">
        <v>1577</v>
      </c>
      <c r="B1583" s="10" t="s">
        <v>2280</v>
      </c>
      <c r="C1583" s="10" t="s">
        <v>2281</v>
      </c>
      <c r="D1583" s="11"/>
      <c r="E1583" s="12"/>
      <c r="F1583" s="11" t="n">
        <v>0.00737986111111111</v>
      </c>
      <c r="G1583" s="12" t="n">
        <v>751</v>
      </c>
      <c r="H1583" s="11"/>
      <c r="I1583" s="12"/>
      <c r="J1583" s="12" t="n">
        <f aca="false">COUNT(E1583,G1583,I1583)</f>
        <v>1</v>
      </c>
      <c r="K1583" s="13" t="n">
        <f aca="false">MIN(E1583,G1583,I1583)</f>
        <v>751</v>
      </c>
      <c r="L1583" s="9" t="str">
        <f aca="false">IF(E1583=K1583,"5000m",IF(G1583=K1583,"3000mSC","1500m"))</f>
        <v>3000mSC</v>
      </c>
      <c r="M1583" s="14" t="n">
        <f aca="false">(D1583&lt;&gt;"")*(D1583&lt;=($E$3*60+$F$3)/86400)+(F1583&lt;&gt;"")*(F1583&lt;=($I$3*60+$J$3)/86400)+(H1583&lt;&gt;"")*(H1583&lt;=($M$3*60+$N$3)/86400)</f>
        <v>0</v>
      </c>
      <c r="N1583" s="16"/>
      <c r="O1583" s="15"/>
    </row>
    <row r="1584" customFormat="false" ht="25.35" hidden="false" customHeight="false" outlineLevel="0" collapsed="false">
      <c r="A1584" s="9" t="n">
        <v>1578</v>
      </c>
      <c r="B1584" s="10" t="s">
        <v>2282</v>
      </c>
      <c r="C1584" s="10" t="s">
        <v>2283</v>
      </c>
      <c r="D1584" s="11"/>
      <c r="E1584" s="12"/>
      <c r="F1584" s="11" t="n">
        <v>0.00738032407407407</v>
      </c>
      <c r="G1584" s="12" t="n">
        <v>752</v>
      </c>
      <c r="H1584" s="11" t="n">
        <v>0.00289409722222222</v>
      </c>
      <c r="I1584" s="12" t="n">
        <v>905</v>
      </c>
      <c r="J1584" s="12" t="n">
        <f aca="false">COUNT(E1584,G1584,I1584)</f>
        <v>2</v>
      </c>
      <c r="K1584" s="13" t="n">
        <f aca="false">MIN(E1584,G1584,I1584)</f>
        <v>752</v>
      </c>
      <c r="L1584" s="9" t="str">
        <f aca="false">IF(E1584=K1584,"5000m",IF(G1584=K1584,"3000mSC","1500m"))</f>
        <v>3000mSC</v>
      </c>
      <c r="M1584" s="14" t="n">
        <f aca="false">(D1584&lt;&gt;"")*(D1584&lt;=($E$3*60+$F$3)/86400)+(F1584&lt;&gt;"")*(F1584&lt;=($I$3*60+$J$3)/86400)+(H1584&lt;&gt;"")*(H1584&lt;=($M$3*60+$N$3)/86400)</f>
        <v>0</v>
      </c>
      <c r="N1584" s="16"/>
      <c r="O1584" s="15"/>
    </row>
    <row r="1585" customFormat="false" ht="15" hidden="false" customHeight="false" outlineLevel="0" collapsed="false">
      <c r="A1585" s="9" t="n">
        <v>1579</v>
      </c>
      <c r="B1585" s="10" t="s">
        <v>2284</v>
      </c>
      <c r="C1585" s="10" t="s">
        <v>2285</v>
      </c>
      <c r="D1585" s="11"/>
      <c r="E1585" s="12"/>
      <c r="F1585" s="11"/>
      <c r="G1585" s="12"/>
      <c r="H1585" s="11" t="n">
        <v>0.00287789351851852</v>
      </c>
      <c r="I1585" s="12" t="n">
        <v>752</v>
      </c>
      <c r="J1585" s="12" t="n">
        <f aca="false">COUNT(E1585,G1585,I1585)</f>
        <v>1</v>
      </c>
      <c r="K1585" s="13" t="n">
        <f aca="false">MIN(E1585,G1585,I1585)</f>
        <v>752</v>
      </c>
      <c r="L1585" s="9" t="str">
        <f aca="false">IF(E1585=K1585,"5000m",IF(G1585=K1585,"3000mSC","1500m"))</f>
        <v>1500m</v>
      </c>
      <c r="M1585" s="14" t="n">
        <f aca="false">(D1585&lt;&gt;"")*(D1585&lt;=($E$3*60+$F$3)/86400)+(F1585&lt;&gt;"")*(F1585&lt;=($I$3*60+$J$3)/86400)+(H1585&lt;&gt;"")*(H1585&lt;=($M$3*60+$N$3)/86400)</f>
        <v>0</v>
      </c>
      <c r="N1585" s="16"/>
      <c r="O1585" s="15"/>
    </row>
    <row r="1586" customFormat="false" ht="15" hidden="false" customHeight="false" outlineLevel="0" collapsed="false">
      <c r="A1586" s="9" t="n">
        <v>1580</v>
      </c>
      <c r="B1586" s="10" t="s">
        <v>2286</v>
      </c>
      <c r="C1586" s="10" t="s">
        <v>179</v>
      </c>
      <c r="D1586" s="11" t="n">
        <v>0.0108053240740741</v>
      </c>
      <c r="E1586" s="12" t="n">
        <v>753</v>
      </c>
      <c r="F1586" s="11"/>
      <c r="G1586" s="12"/>
      <c r="H1586" s="11"/>
      <c r="I1586" s="12"/>
      <c r="J1586" s="12" t="n">
        <f aca="false">COUNT(E1586,G1586,I1586)</f>
        <v>1</v>
      </c>
      <c r="K1586" s="13" t="n">
        <f aca="false">MIN(E1586,G1586,I1586)</f>
        <v>753</v>
      </c>
      <c r="L1586" s="9" t="str">
        <f aca="false">IF(E1586=K1586,"5000m",IF(G1586=K1586,"3000mSC","1500m"))</f>
        <v>5000m</v>
      </c>
      <c r="M1586" s="14" t="n">
        <f aca="false">(D1586&lt;&gt;"")*(D1586&lt;=($E$3*60+$F$3)/86400)+(F1586&lt;&gt;"")*(F1586&lt;=($I$3*60+$J$3)/86400)+(H1586&lt;&gt;"")*(H1586&lt;=($M$3*60+$N$3)/86400)</f>
        <v>0</v>
      </c>
      <c r="N1586" s="16"/>
      <c r="O1586" s="15"/>
    </row>
    <row r="1587" customFormat="false" ht="25.35" hidden="false" customHeight="false" outlineLevel="0" collapsed="false">
      <c r="A1587" s="9" t="n">
        <v>1581</v>
      </c>
      <c r="B1587" s="10" t="s">
        <v>2287</v>
      </c>
      <c r="C1587" s="10" t="s">
        <v>2288</v>
      </c>
      <c r="D1587" s="11"/>
      <c r="E1587" s="12"/>
      <c r="F1587" s="11" t="n">
        <v>0.00738055555555556</v>
      </c>
      <c r="G1587" s="12" t="n">
        <v>753</v>
      </c>
      <c r="H1587" s="11"/>
      <c r="I1587" s="12"/>
      <c r="J1587" s="12" t="n">
        <f aca="false">COUNT(E1587,G1587,I1587)</f>
        <v>1</v>
      </c>
      <c r="K1587" s="13" t="n">
        <f aca="false">MIN(E1587,G1587,I1587)</f>
        <v>753</v>
      </c>
      <c r="L1587" s="9" t="str">
        <f aca="false">IF(E1587=K1587,"5000m",IF(G1587=K1587,"3000mSC","1500m"))</f>
        <v>3000mSC</v>
      </c>
      <c r="M1587" s="14" t="n">
        <f aca="false">(D1587&lt;&gt;"")*(D1587&lt;=($E$3*60+$F$3)/86400)+(F1587&lt;&gt;"")*(F1587&lt;=($I$3*60+$J$3)/86400)+(H1587&lt;&gt;"")*(H1587&lt;=($M$3*60+$N$3)/86400)</f>
        <v>0</v>
      </c>
      <c r="N1587" s="16"/>
      <c r="O1587" s="15"/>
    </row>
    <row r="1588" customFormat="false" ht="15" hidden="false" customHeight="false" outlineLevel="0" collapsed="false">
      <c r="A1588" s="9" t="n">
        <v>1582</v>
      </c>
      <c r="B1588" s="10" t="s">
        <v>2289</v>
      </c>
      <c r="C1588" s="10" t="s">
        <v>1383</v>
      </c>
      <c r="D1588" s="11" t="n">
        <v>0.0108061342592593</v>
      </c>
      <c r="E1588" s="12" t="n">
        <v>754</v>
      </c>
      <c r="F1588" s="11"/>
      <c r="G1588" s="12"/>
      <c r="H1588" s="11" t="n">
        <v>0.00294814814814815</v>
      </c>
      <c r="I1588" s="12" t="n">
        <v>1228</v>
      </c>
      <c r="J1588" s="12" t="n">
        <f aca="false">COUNT(E1588,G1588,I1588)</f>
        <v>2</v>
      </c>
      <c r="K1588" s="13" t="n">
        <f aca="false">MIN(E1588,G1588,I1588)</f>
        <v>754</v>
      </c>
      <c r="L1588" s="9" t="str">
        <f aca="false">IF(E1588=K1588,"5000m",IF(G1588=K1588,"3000mSC","1500m"))</f>
        <v>5000m</v>
      </c>
      <c r="M1588" s="14" t="n">
        <f aca="false">(D1588&lt;&gt;"")*(D1588&lt;=($E$3*60+$F$3)/86400)+(F1588&lt;&gt;"")*(F1588&lt;=($I$3*60+$J$3)/86400)+(H1588&lt;&gt;"")*(H1588&lt;=($M$3*60+$N$3)/86400)</f>
        <v>0</v>
      </c>
      <c r="N1588" s="16"/>
      <c r="O1588" s="15"/>
    </row>
    <row r="1589" customFormat="false" ht="25.35" hidden="false" customHeight="false" outlineLevel="0" collapsed="false">
      <c r="A1589" s="9" t="n">
        <v>1583</v>
      </c>
      <c r="B1589" s="10" t="s">
        <v>2290</v>
      </c>
      <c r="C1589" s="10" t="s">
        <v>2291</v>
      </c>
      <c r="D1589" s="11"/>
      <c r="E1589" s="12"/>
      <c r="F1589" s="11" t="n">
        <v>0.00738090277777778</v>
      </c>
      <c r="G1589" s="12" t="n">
        <v>754</v>
      </c>
      <c r="H1589" s="11"/>
      <c r="I1589" s="12"/>
      <c r="J1589" s="12" t="n">
        <f aca="false">COUNT(E1589,G1589,I1589)</f>
        <v>1</v>
      </c>
      <c r="K1589" s="13" t="n">
        <f aca="false">MIN(E1589,G1589,I1589)</f>
        <v>754</v>
      </c>
      <c r="L1589" s="9" t="str">
        <f aca="false">IF(E1589=K1589,"5000m",IF(G1589=K1589,"3000mSC","1500m"))</f>
        <v>3000mSC</v>
      </c>
      <c r="M1589" s="14" t="n">
        <f aca="false">(D1589&lt;&gt;"")*(D1589&lt;=($E$3*60+$F$3)/86400)+(F1589&lt;&gt;"")*(F1589&lt;=($I$3*60+$J$3)/86400)+(H1589&lt;&gt;"")*(H1589&lt;=($M$3*60+$N$3)/86400)</f>
        <v>0</v>
      </c>
      <c r="N1589" s="16"/>
      <c r="O1589" s="15"/>
    </row>
    <row r="1590" customFormat="false" ht="15" hidden="false" customHeight="false" outlineLevel="0" collapsed="false">
      <c r="A1590" s="9" t="n">
        <v>1584</v>
      </c>
      <c r="B1590" s="10" t="s">
        <v>2292</v>
      </c>
      <c r="C1590" s="10" t="s">
        <v>2293</v>
      </c>
      <c r="D1590" s="11"/>
      <c r="E1590" s="12"/>
      <c r="F1590" s="11"/>
      <c r="G1590" s="12"/>
      <c r="H1590" s="11" t="n">
        <v>0.002878125</v>
      </c>
      <c r="I1590" s="12" t="n">
        <v>754</v>
      </c>
      <c r="J1590" s="12" t="n">
        <f aca="false">COUNT(E1590,G1590,I1590)</f>
        <v>1</v>
      </c>
      <c r="K1590" s="13" t="n">
        <f aca="false">MIN(E1590,G1590,I1590)</f>
        <v>754</v>
      </c>
      <c r="L1590" s="9" t="str">
        <f aca="false">IF(E1590=K1590,"5000m",IF(G1590=K1590,"3000mSC","1500m"))</f>
        <v>1500m</v>
      </c>
      <c r="M1590" s="14" t="n">
        <f aca="false">(D1590&lt;&gt;"")*(D1590&lt;=($E$3*60+$F$3)/86400)+(F1590&lt;&gt;"")*(F1590&lt;=($I$3*60+$J$3)/86400)+(H1590&lt;&gt;"")*(H1590&lt;=($M$3*60+$N$3)/86400)</f>
        <v>0</v>
      </c>
      <c r="N1590" s="16"/>
      <c r="O1590" s="15"/>
    </row>
    <row r="1591" customFormat="false" ht="15" hidden="false" customHeight="false" outlineLevel="0" collapsed="false">
      <c r="A1591" s="9" t="n">
        <v>1585</v>
      </c>
      <c r="B1591" s="10" t="s">
        <v>2294</v>
      </c>
      <c r="C1591" s="10" t="s">
        <v>577</v>
      </c>
      <c r="D1591" s="11" t="n">
        <v>0.0108063657407407</v>
      </c>
      <c r="E1591" s="12" t="n">
        <v>755</v>
      </c>
      <c r="F1591" s="11"/>
      <c r="G1591" s="12"/>
      <c r="H1591" s="11"/>
      <c r="I1591" s="12"/>
      <c r="J1591" s="12" t="n">
        <f aca="false">COUNT(E1591,G1591,I1591)</f>
        <v>1</v>
      </c>
      <c r="K1591" s="13" t="n">
        <f aca="false">MIN(E1591,G1591,I1591)</f>
        <v>755</v>
      </c>
      <c r="L1591" s="9" t="str">
        <f aca="false">IF(E1591=K1591,"5000m",IF(G1591=K1591,"3000mSC","1500m"))</f>
        <v>5000m</v>
      </c>
      <c r="M1591" s="14" t="n">
        <f aca="false">(D1591&lt;&gt;"")*(D1591&lt;=($E$3*60+$F$3)/86400)+(F1591&lt;&gt;"")*(F1591&lt;=($I$3*60+$J$3)/86400)+(H1591&lt;&gt;"")*(H1591&lt;=($M$3*60+$N$3)/86400)</f>
        <v>0</v>
      </c>
      <c r="N1591" s="16"/>
      <c r="O1591" s="15"/>
    </row>
    <row r="1592" customFormat="false" ht="25.35" hidden="false" customHeight="false" outlineLevel="0" collapsed="false">
      <c r="A1592" s="9" t="n">
        <v>1586</v>
      </c>
      <c r="B1592" s="10" t="s">
        <v>2295</v>
      </c>
      <c r="C1592" s="10" t="s">
        <v>1065</v>
      </c>
      <c r="D1592" s="11"/>
      <c r="E1592" s="12"/>
      <c r="F1592" s="11" t="n">
        <v>0.00738402777777778</v>
      </c>
      <c r="G1592" s="12" t="n">
        <v>755</v>
      </c>
      <c r="H1592" s="11"/>
      <c r="I1592" s="12"/>
      <c r="J1592" s="12" t="n">
        <f aca="false">COUNT(E1592,G1592,I1592)</f>
        <v>1</v>
      </c>
      <c r="K1592" s="13" t="n">
        <f aca="false">MIN(E1592,G1592,I1592)</f>
        <v>755</v>
      </c>
      <c r="L1592" s="9" t="str">
        <f aca="false">IF(E1592=K1592,"5000m",IF(G1592=K1592,"3000mSC","1500m"))</f>
        <v>3000mSC</v>
      </c>
      <c r="M1592" s="14" t="n">
        <f aca="false">(D1592&lt;&gt;"")*(D1592&lt;=($E$3*60+$F$3)/86400)+(F1592&lt;&gt;"")*(F1592&lt;=($I$3*60+$J$3)/86400)+(H1592&lt;&gt;"")*(H1592&lt;=($M$3*60+$N$3)/86400)</f>
        <v>0</v>
      </c>
      <c r="N1592" s="16"/>
      <c r="O1592" s="15"/>
    </row>
    <row r="1593" customFormat="false" ht="25.35" hidden="false" customHeight="false" outlineLevel="0" collapsed="false">
      <c r="A1593" s="9" t="n">
        <v>1587</v>
      </c>
      <c r="B1593" s="10" t="s">
        <v>2296</v>
      </c>
      <c r="C1593" s="10" t="s">
        <v>2297</v>
      </c>
      <c r="D1593" s="11"/>
      <c r="E1593" s="12"/>
      <c r="F1593" s="11" t="n">
        <v>0.00738414351851852</v>
      </c>
      <c r="G1593" s="12" t="n">
        <v>756</v>
      </c>
      <c r="H1593" s="11"/>
      <c r="I1593" s="12"/>
      <c r="J1593" s="12" t="n">
        <f aca="false">COUNT(E1593,G1593,I1593)</f>
        <v>1</v>
      </c>
      <c r="K1593" s="13" t="n">
        <f aca="false">MIN(E1593,G1593,I1593)</f>
        <v>756</v>
      </c>
      <c r="L1593" s="9" t="str">
        <f aca="false">IF(E1593=K1593,"5000m",IF(G1593=K1593,"3000mSC","1500m"))</f>
        <v>3000mSC</v>
      </c>
      <c r="M1593" s="14" t="n">
        <f aca="false">(D1593&lt;&gt;"")*(D1593&lt;=($E$3*60+$F$3)/86400)+(F1593&lt;&gt;"")*(F1593&lt;=($I$3*60+$J$3)/86400)+(H1593&lt;&gt;"")*(H1593&lt;=($M$3*60+$N$3)/86400)</f>
        <v>0</v>
      </c>
      <c r="N1593" s="16"/>
      <c r="O1593" s="15"/>
    </row>
    <row r="1594" customFormat="false" ht="25.35" hidden="false" customHeight="false" outlineLevel="0" collapsed="false">
      <c r="A1594" s="9" t="n">
        <v>1588</v>
      </c>
      <c r="B1594" s="10" t="s">
        <v>2298</v>
      </c>
      <c r="C1594" s="10" t="s">
        <v>2299</v>
      </c>
      <c r="D1594" s="11"/>
      <c r="E1594" s="12"/>
      <c r="F1594" s="11" t="n">
        <v>0.00739236111111111</v>
      </c>
      <c r="G1594" s="12" t="n">
        <v>757</v>
      </c>
      <c r="H1594" s="11"/>
      <c r="I1594" s="12"/>
      <c r="J1594" s="12" t="n">
        <f aca="false">COUNT(E1594,G1594,I1594)</f>
        <v>1</v>
      </c>
      <c r="K1594" s="13" t="n">
        <f aca="false">MIN(E1594,G1594,I1594)</f>
        <v>757</v>
      </c>
      <c r="L1594" s="9" t="str">
        <f aca="false">IF(E1594=K1594,"5000m",IF(G1594=K1594,"3000mSC","1500m"))</f>
        <v>3000mSC</v>
      </c>
      <c r="M1594" s="14" t="n">
        <f aca="false">(D1594&lt;&gt;"")*(D1594&lt;=($E$3*60+$F$3)/86400)+(F1594&lt;&gt;"")*(F1594&lt;=($I$3*60+$J$3)/86400)+(H1594&lt;&gt;"")*(H1594&lt;=($M$3*60+$N$3)/86400)</f>
        <v>0</v>
      </c>
      <c r="N1594" s="10" t="s">
        <v>2300</v>
      </c>
      <c r="O1594" s="15"/>
    </row>
    <row r="1595" customFormat="false" ht="15" hidden="false" customHeight="false" outlineLevel="0" collapsed="false">
      <c r="A1595" s="9" t="n">
        <v>1589</v>
      </c>
      <c r="B1595" s="10" t="s">
        <v>2301</v>
      </c>
      <c r="C1595" s="10" t="s">
        <v>307</v>
      </c>
      <c r="D1595" s="11" t="n">
        <v>0.0108075231481482</v>
      </c>
      <c r="E1595" s="12" t="n">
        <v>758</v>
      </c>
      <c r="F1595" s="11"/>
      <c r="G1595" s="12"/>
      <c r="H1595" s="11"/>
      <c r="I1595" s="12"/>
      <c r="J1595" s="12" t="n">
        <f aca="false">COUNT(E1595,G1595,I1595)</f>
        <v>1</v>
      </c>
      <c r="K1595" s="13" t="n">
        <f aca="false">MIN(E1595,G1595,I1595)</f>
        <v>758</v>
      </c>
      <c r="L1595" s="9" t="str">
        <f aca="false">IF(E1595=K1595,"5000m",IF(G1595=K1595,"3000mSC","1500m"))</f>
        <v>5000m</v>
      </c>
      <c r="M1595" s="14" t="n">
        <f aca="false">(D1595&lt;&gt;"")*(D1595&lt;=($E$3*60+$F$3)/86400)+(F1595&lt;&gt;"")*(F1595&lt;=($I$3*60+$J$3)/86400)+(H1595&lt;&gt;"")*(H1595&lt;=($M$3*60+$N$3)/86400)</f>
        <v>0</v>
      </c>
      <c r="N1595" s="16"/>
      <c r="O1595" s="15"/>
    </row>
    <row r="1596" customFormat="false" ht="25.35" hidden="false" customHeight="false" outlineLevel="0" collapsed="false">
      <c r="A1596" s="9" t="n">
        <v>1590</v>
      </c>
      <c r="B1596" s="10" t="s">
        <v>2302</v>
      </c>
      <c r="C1596" s="10" t="s">
        <v>1553</v>
      </c>
      <c r="D1596" s="11"/>
      <c r="E1596" s="12"/>
      <c r="F1596" s="11" t="n">
        <v>0.00738599537037037</v>
      </c>
      <c r="G1596" s="12" t="n">
        <v>758</v>
      </c>
      <c r="H1596" s="11"/>
      <c r="I1596" s="12"/>
      <c r="J1596" s="12" t="n">
        <f aca="false">COUNT(E1596,G1596,I1596)</f>
        <v>1</v>
      </c>
      <c r="K1596" s="13" t="n">
        <f aca="false">MIN(E1596,G1596,I1596)</f>
        <v>758</v>
      </c>
      <c r="L1596" s="9" t="str">
        <f aca="false">IF(E1596=K1596,"5000m",IF(G1596=K1596,"3000mSC","1500m"))</f>
        <v>3000mSC</v>
      </c>
      <c r="M1596" s="14" t="n">
        <f aca="false">(D1596&lt;&gt;"")*(D1596&lt;=($E$3*60+$F$3)/86400)+(F1596&lt;&gt;"")*(F1596&lt;=($I$3*60+$J$3)/86400)+(H1596&lt;&gt;"")*(H1596&lt;=($M$3*60+$N$3)/86400)</f>
        <v>0</v>
      </c>
      <c r="N1596" s="16"/>
      <c r="O1596" s="15"/>
    </row>
    <row r="1597" customFormat="false" ht="15" hidden="false" customHeight="false" outlineLevel="0" collapsed="false">
      <c r="A1597" s="9" t="n">
        <v>1591</v>
      </c>
      <c r="B1597" s="10" t="s">
        <v>2303</v>
      </c>
      <c r="C1597" s="10" t="s">
        <v>2304</v>
      </c>
      <c r="D1597" s="11"/>
      <c r="E1597" s="12"/>
      <c r="F1597" s="11"/>
      <c r="G1597" s="12"/>
      <c r="H1597" s="11" t="n">
        <v>0.00287847222222222</v>
      </c>
      <c r="I1597" s="12" t="n">
        <v>758</v>
      </c>
      <c r="J1597" s="12" t="n">
        <f aca="false">COUNT(E1597,G1597,I1597)</f>
        <v>1</v>
      </c>
      <c r="K1597" s="13" t="n">
        <f aca="false">MIN(E1597,G1597,I1597)</f>
        <v>758</v>
      </c>
      <c r="L1597" s="9" t="str">
        <f aca="false">IF(E1597=K1597,"5000m",IF(G1597=K1597,"3000mSC","1500m"))</f>
        <v>1500m</v>
      </c>
      <c r="M1597" s="14" t="n">
        <f aca="false">(D1597&lt;&gt;"")*(D1597&lt;=($E$3*60+$F$3)/86400)+(F1597&lt;&gt;"")*(F1597&lt;=($I$3*60+$J$3)/86400)+(H1597&lt;&gt;"")*(H1597&lt;=($M$3*60+$N$3)/86400)</f>
        <v>0</v>
      </c>
      <c r="N1597" s="16"/>
      <c r="O1597" s="15"/>
    </row>
    <row r="1598" customFormat="false" ht="15" hidden="false" customHeight="false" outlineLevel="0" collapsed="false">
      <c r="A1598" s="9" t="n">
        <v>1592</v>
      </c>
      <c r="B1598" s="10" t="s">
        <v>2305</v>
      </c>
      <c r="C1598" s="10" t="s">
        <v>2306</v>
      </c>
      <c r="D1598" s="11" t="n">
        <v>0.0109113425925926</v>
      </c>
      <c r="E1598" s="12" t="n">
        <v>939</v>
      </c>
      <c r="F1598" s="11"/>
      <c r="G1598" s="12"/>
      <c r="H1598" s="11" t="n">
        <v>0.00287858796296296</v>
      </c>
      <c r="I1598" s="12" t="n">
        <v>759</v>
      </c>
      <c r="J1598" s="12" t="n">
        <f aca="false">COUNT(E1598,G1598,I1598)</f>
        <v>2</v>
      </c>
      <c r="K1598" s="13" t="n">
        <f aca="false">MIN(E1598,G1598,I1598)</f>
        <v>759</v>
      </c>
      <c r="L1598" s="9" t="str">
        <f aca="false">IF(E1598=K1598,"5000m",IF(G1598=K1598,"3000mSC","1500m"))</f>
        <v>1500m</v>
      </c>
      <c r="M1598" s="14" t="n">
        <f aca="false">(D1598&lt;&gt;"")*(D1598&lt;=($E$3*60+$F$3)/86400)+(F1598&lt;&gt;"")*(F1598&lt;=($I$3*60+$J$3)/86400)+(H1598&lt;&gt;"")*(H1598&lt;=($M$3*60+$N$3)/86400)</f>
        <v>0</v>
      </c>
      <c r="N1598" s="16"/>
      <c r="O1598" s="15"/>
    </row>
    <row r="1599" customFormat="false" ht="15" hidden="false" customHeight="false" outlineLevel="0" collapsed="false">
      <c r="A1599" s="9" t="n">
        <v>1593</v>
      </c>
      <c r="B1599" s="10" t="s">
        <v>2307</v>
      </c>
      <c r="C1599" s="10" t="s">
        <v>2082</v>
      </c>
      <c r="D1599" s="11" t="n">
        <v>0.0108078703703704</v>
      </c>
      <c r="E1599" s="12" t="n">
        <v>759</v>
      </c>
      <c r="F1599" s="11"/>
      <c r="G1599" s="12"/>
      <c r="H1599" s="11"/>
      <c r="I1599" s="12"/>
      <c r="J1599" s="12" t="n">
        <f aca="false">COUNT(E1599,G1599,I1599)</f>
        <v>1</v>
      </c>
      <c r="K1599" s="13" t="n">
        <f aca="false">MIN(E1599,G1599,I1599)</f>
        <v>759</v>
      </c>
      <c r="L1599" s="9" t="str">
        <f aca="false">IF(E1599=K1599,"5000m",IF(G1599=K1599,"3000mSC","1500m"))</f>
        <v>5000m</v>
      </c>
      <c r="M1599" s="14" t="n">
        <f aca="false">(D1599&lt;&gt;"")*(D1599&lt;=($E$3*60+$F$3)/86400)+(F1599&lt;&gt;"")*(F1599&lt;=($I$3*60+$J$3)/86400)+(H1599&lt;&gt;"")*(H1599&lt;=($M$3*60+$N$3)/86400)</f>
        <v>0</v>
      </c>
      <c r="N1599" s="16"/>
      <c r="O1599" s="15"/>
    </row>
    <row r="1600" customFormat="false" ht="25.35" hidden="false" customHeight="false" outlineLevel="0" collapsed="false">
      <c r="A1600" s="9" t="n">
        <v>1594</v>
      </c>
      <c r="B1600" s="10" t="s">
        <v>2308</v>
      </c>
      <c r="C1600" s="10" t="s">
        <v>2309</v>
      </c>
      <c r="D1600" s="11"/>
      <c r="E1600" s="12"/>
      <c r="F1600" s="11" t="n">
        <v>0.00738912037037037</v>
      </c>
      <c r="G1600" s="12" t="n">
        <v>759</v>
      </c>
      <c r="H1600" s="11"/>
      <c r="I1600" s="12"/>
      <c r="J1600" s="12" t="n">
        <f aca="false">COUNT(E1600,G1600,I1600)</f>
        <v>1</v>
      </c>
      <c r="K1600" s="13" t="n">
        <f aca="false">MIN(E1600,G1600,I1600)</f>
        <v>759</v>
      </c>
      <c r="L1600" s="9" t="str">
        <f aca="false">IF(E1600=K1600,"5000m",IF(G1600=K1600,"3000mSC","1500m"))</f>
        <v>3000mSC</v>
      </c>
      <c r="M1600" s="14" t="n">
        <f aca="false">(D1600&lt;&gt;"")*(D1600&lt;=($E$3*60+$F$3)/86400)+(F1600&lt;&gt;"")*(F1600&lt;=($I$3*60+$J$3)/86400)+(H1600&lt;&gt;"")*(H1600&lt;=($M$3*60+$N$3)/86400)</f>
        <v>0</v>
      </c>
      <c r="N1600" s="16"/>
      <c r="O1600" s="15"/>
    </row>
    <row r="1601" customFormat="false" ht="15" hidden="false" customHeight="false" outlineLevel="0" collapsed="false">
      <c r="A1601" s="9" t="n">
        <v>1595</v>
      </c>
      <c r="B1601" s="10" t="s">
        <v>2310</v>
      </c>
      <c r="C1601" s="10" t="s">
        <v>2311</v>
      </c>
      <c r="D1601" s="11"/>
      <c r="E1601" s="12"/>
      <c r="F1601" s="11"/>
      <c r="G1601" s="12"/>
      <c r="H1601" s="11" t="n">
        <v>0.0028787037037037</v>
      </c>
      <c r="I1601" s="12" t="n">
        <v>760</v>
      </c>
      <c r="J1601" s="12" t="n">
        <f aca="false">COUNT(E1601,G1601,I1601)</f>
        <v>1</v>
      </c>
      <c r="K1601" s="13" t="n">
        <f aca="false">MIN(E1601,G1601,I1601)</f>
        <v>760</v>
      </c>
      <c r="L1601" s="9" t="str">
        <f aca="false">IF(E1601=K1601,"5000m",IF(G1601=K1601,"3000mSC","1500m"))</f>
        <v>1500m</v>
      </c>
      <c r="M1601" s="14" t="n">
        <f aca="false">(D1601&lt;&gt;"")*(D1601&lt;=($E$3*60+$F$3)/86400)+(F1601&lt;&gt;"")*(F1601&lt;=($I$3*60+$J$3)/86400)+(H1601&lt;&gt;"")*(H1601&lt;=($M$3*60+$N$3)/86400)</f>
        <v>0</v>
      </c>
      <c r="N1601" s="16"/>
      <c r="O1601" s="15"/>
    </row>
    <row r="1602" customFormat="false" ht="15" hidden="false" customHeight="false" outlineLevel="0" collapsed="false">
      <c r="A1602" s="9" t="n">
        <v>1596</v>
      </c>
      <c r="B1602" s="10" t="s">
        <v>2312</v>
      </c>
      <c r="C1602" s="10" t="s">
        <v>2313</v>
      </c>
      <c r="D1602" s="11" t="n">
        <v>0.0108081018518519</v>
      </c>
      <c r="E1602" s="12" t="n">
        <v>761</v>
      </c>
      <c r="F1602" s="11"/>
      <c r="G1602" s="12"/>
      <c r="H1602" s="11" t="n">
        <v>0.00289467592592593</v>
      </c>
      <c r="I1602" s="12" t="n">
        <v>908</v>
      </c>
      <c r="J1602" s="12" t="n">
        <f aca="false">COUNT(E1602,G1602,I1602)</f>
        <v>2</v>
      </c>
      <c r="K1602" s="13" t="n">
        <f aca="false">MIN(E1602,G1602,I1602)</f>
        <v>761</v>
      </c>
      <c r="L1602" s="9" t="str">
        <f aca="false">IF(E1602=K1602,"5000m",IF(G1602=K1602,"3000mSC","1500m"))</f>
        <v>5000m</v>
      </c>
      <c r="M1602" s="14" t="n">
        <f aca="false">(D1602&lt;&gt;"")*(D1602&lt;=($E$3*60+$F$3)/86400)+(F1602&lt;&gt;"")*(F1602&lt;=($I$3*60+$J$3)/86400)+(H1602&lt;&gt;"")*(H1602&lt;=($M$3*60+$N$3)/86400)</f>
        <v>0</v>
      </c>
      <c r="N1602" s="16"/>
      <c r="O1602" s="15"/>
    </row>
    <row r="1603" customFormat="false" ht="15" hidden="false" customHeight="false" outlineLevel="0" collapsed="false">
      <c r="A1603" s="9" t="n">
        <v>1597</v>
      </c>
      <c r="B1603" s="10" t="s">
        <v>2314</v>
      </c>
      <c r="C1603" s="10" t="s">
        <v>49</v>
      </c>
      <c r="D1603" s="11" t="n">
        <v>0.0110341435185185</v>
      </c>
      <c r="E1603" s="12" t="n">
        <v>1160</v>
      </c>
      <c r="F1603" s="11"/>
      <c r="G1603" s="12"/>
      <c r="H1603" s="11" t="n">
        <v>0.00287893518518519</v>
      </c>
      <c r="I1603" s="12" t="n">
        <v>761</v>
      </c>
      <c r="J1603" s="12" t="n">
        <f aca="false">COUNT(E1603,G1603,I1603)</f>
        <v>2</v>
      </c>
      <c r="K1603" s="13" t="n">
        <f aca="false">MIN(E1603,G1603,I1603)</f>
        <v>761</v>
      </c>
      <c r="L1603" s="9" t="str">
        <f aca="false">IF(E1603=K1603,"5000m",IF(G1603=K1603,"3000mSC","1500m"))</f>
        <v>1500m</v>
      </c>
      <c r="M1603" s="14" t="n">
        <f aca="false">(D1603&lt;&gt;"")*(D1603&lt;=($E$3*60+$F$3)/86400)+(F1603&lt;&gt;"")*(F1603&lt;=($I$3*60+$J$3)/86400)+(H1603&lt;&gt;"")*(H1603&lt;=($M$3*60+$N$3)/86400)</f>
        <v>0</v>
      </c>
      <c r="N1603" s="16"/>
      <c r="O1603" s="15"/>
    </row>
    <row r="1604" customFormat="false" ht="25.35" hidden="false" customHeight="false" outlineLevel="0" collapsed="false">
      <c r="A1604" s="9" t="n">
        <v>1598</v>
      </c>
      <c r="B1604" s="10" t="s">
        <v>2315</v>
      </c>
      <c r="C1604" s="10" t="s">
        <v>846</v>
      </c>
      <c r="D1604" s="11"/>
      <c r="E1604" s="12"/>
      <c r="F1604" s="11" t="n">
        <v>0.00738958333333333</v>
      </c>
      <c r="G1604" s="12" t="n">
        <v>761</v>
      </c>
      <c r="H1604" s="11"/>
      <c r="I1604" s="12"/>
      <c r="J1604" s="12" t="n">
        <f aca="false">COUNT(E1604,G1604,I1604)</f>
        <v>1</v>
      </c>
      <c r="K1604" s="13" t="n">
        <f aca="false">MIN(E1604,G1604,I1604)</f>
        <v>761</v>
      </c>
      <c r="L1604" s="9" t="str">
        <f aca="false">IF(E1604=K1604,"5000m",IF(G1604=K1604,"3000mSC","1500m"))</f>
        <v>3000mSC</v>
      </c>
      <c r="M1604" s="14" t="n">
        <f aca="false">(D1604&lt;&gt;"")*(D1604&lt;=($E$3*60+$F$3)/86400)+(F1604&lt;&gt;"")*(F1604&lt;=($I$3*60+$J$3)/86400)+(H1604&lt;&gt;"")*(H1604&lt;=($M$3*60+$N$3)/86400)</f>
        <v>0</v>
      </c>
      <c r="N1604" s="16"/>
      <c r="O1604" s="15"/>
    </row>
    <row r="1605" customFormat="false" ht="25.35" hidden="false" customHeight="false" outlineLevel="0" collapsed="false">
      <c r="A1605" s="9" t="n">
        <v>1599</v>
      </c>
      <c r="B1605" s="10" t="s">
        <v>2316</v>
      </c>
      <c r="C1605" s="10" t="s">
        <v>906</v>
      </c>
      <c r="D1605" s="11"/>
      <c r="E1605" s="12"/>
      <c r="F1605" s="11" t="n">
        <v>0.00738969907407408</v>
      </c>
      <c r="G1605" s="12" t="n">
        <v>762</v>
      </c>
      <c r="H1605" s="11" t="n">
        <v>0.00297581018518519</v>
      </c>
      <c r="I1605" s="12" t="n">
        <v>1333</v>
      </c>
      <c r="J1605" s="12" t="n">
        <f aca="false">COUNT(E1605,G1605,I1605)</f>
        <v>2</v>
      </c>
      <c r="K1605" s="13" t="n">
        <f aca="false">MIN(E1605,G1605,I1605)</f>
        <v>762</v>
      </c>
      <c r="L1605" s="9" t="str">
        <f aca="false">IF(E1605=K1605,"5000m",IF(G1605=K1605,"3000mSC","1500m"))</f>
        <v>3000mSC</v>
      </c>
      <c r="M1605" s="14" t="n">
        <f aca="false">(D1605&lt;&gt;"")*(D1605&lt;=($E$3*60+$F$3)/86400)+(F1605&lt;&gt;"")*(F1605&lt;=($I$3*60+$J$3)/86400)+(H1605&lt;&gt;"")*(H1605&lt;=($M$3*60+$N$3)/86400)</f>
        <v>0</v>
      </c>
      <c r="N1605" s="16"/>
      <c r="O1605" s="15"/>
    </row>
    <row r="1606" customFormat="false" ht="15" hidden="false" customHeight="false" outlineLevel="0" collapsed="false">
      <c r="A1606" s="9" t="n">
        <v>1600</v>
      </c>
      <c r="B1606" s="10" t="s">
        <v>2317</v>
      </c>
      <c r="C1606" s="10" t="s">
        <v>261</v>
      </c>
      <c r="D1606" s="11" t="n">
        <v>0.0108086805555556</v>
      </c>
      <c r="E1606" s="12" t="n">
        <v>762</v>
      </c>
      <c r="F1606" s="11"/>
      <c r="G1606" s="12"/>
      <c r="H1606" s="11"/>
      <c r="I1606" s="12"/>
      <c r="J1606" s="12" t="n">
        <f aca="false">COUNT(E1606,G1606,I1606)</f>
        <v>1</v>
      </c>
      <c r="K1606" s="13" t="n">
        <f aca="false">MIN(E1606,G1606,I1606)</f>
        <v>762</v>
      </c>
      <c r="L1606" s="9" t="str">
        <f aca="false">IF(E1606=K1606,"5000m",IF(G1606=K1606,"3000mSC","1500m"))</f>
        <v>5000m</v>
      </c>
      <c r="M1606" s="14" t="n">
        <f aca="false">(D1606&lt;&gt;"")*(D1606&lt;=($E$3*60+$F$3)/86400)+(F1606&lt;&gt;"")*(F1606&lt;=($I$3*60+$J$3)/86400)+(H1606&lt;&gt;"")*(H1606&lt;=($M$3*60+$N$3)/86400)</f>
        <v>0</v>
      </c>
      <c r="N1606" s="16"/>
      <c r="O1606" s="15"/>
    </row>
    <row r="1607" customFormat="false" ht="15" hidden="false" customHeight="false" outlineLevel="0" collapsed="false">
      <c r="A1607" s="9" t="n">
        <v>1601</v>
      </c>
      <c r="B1607" s="10" t="s">
        <v>2318</v>
      </c>
      <c r="C1607" s="10" t="s">
        <v>218</v>
      </c>
      <c r="D1607" s="11"/>
      <c r="E1607" s="12"/>
      <c r="F1607" s="11"/>
      <c r="G1607" s="12"/>
      <c r="H1607" s="11" t="n">
        <v>0.00287905092592593</v>
      </c>
      <c r="I1607" s="12" t="n">
        <v>762</v>
      </c>
      <c r="J1607" s="12" t="n">
        <f aca="false">COUNT(E1607,G1607,I1607)</f>
        <v>1</v>
      </c>
      <c r="K1607" s="13" t="n">
        <f aca="false">MIN(E1607,G1607,I1607)</f>
        <v>762</v>
      </c>
      <c r="L1607" s="9" t="str">
        <f aca="false">IF(E1607=K1607,"5000m",IF(G1607=K1607,"3000mSC","1500m"))</f>
        <v>1500m</v>
      </c>
      <c r="M1607" s="14" t="n">
        <f aca="false">(D1607&lt;&gt;"")*(D1607&lt;=($E$3*60+$F$3)/86400)+(F1607&lt;&gt;"")*(F1607&lt;=($I$3*60+$J$3)/86400)+(H1607&lt;&gt;"")*(H1607&lt;=($M$3*60+$N$3)/86400)</f>
        <v>0</v>
      </c>
      <c r="N1607" s="16"/>
      <c r="O1607" s="15"/>
    </row>
    <row r="1608" customFormat="false" ht="15" hidden="false" customHeight="false" outlineLevel="0" collapsed="false">
      <c r="A1608" s="9" t="n">
        <v>1602</v>
      </c>
      <c r="B1608" s="10" t="s">
        <v>2319</v>
      </c>
      <c r="C1608" s="10" t="s">
        <v>1413</v>
      </c>
      <c r="D1608" s="11" t="n">
        <v>0.0108096064814815</v>
      </c>
      <c r="E1608" s="12" t="n">
        <v>763</v>
      </c>
      <c r="F1608" s="11"/>
      <c r="G1608" s="12"/>
      <c r="H1608" s="11"/>
      <c r="I1608" s="12"/>
      <c r="J1608" s="12" t="n">
        <f aca="false">COUNT(E1608,G1608,I1608)</f>
        <v>1</v>
      </c>
      <c r="K1608" s="13" t="n">
        <f aca="false">MIN(E1608,G1608,I1608)</f>
        <v>763</v>
      </c>
      <c r="L1608" s="9" t="str">
        <f aca="false">IF(E1608=K1608,"5000m",IF(G1608=K1608,"3000mSC","1500m"))</f>
        <v>5000m</v>
      </c>
      <c r="M1608" s="14" t="n">
        <f aca="false">(D1608&lt;&gt;"")*(D1608&lt;=($E$3*60+$F$3)/86400)+(F1608&lt;&gt;"")*(F1608&lt;=($I$3*60+$J$3)/86400)+(H1608&lt;&gt;"")*(H1608&lt;=($M$3*60+$N$3)/86400)</f>
        <v>0</v>
      </c>
      <c r="N1608" s="16"/>
      <c r="O1608" s="15"/>
    </row>
    <row r="1609" customFormat="false" ht="25.35" hidden="false" customHeight="false" outlineLevel="0" collapsed="false">
      <c r="A1609" s="9" t="n">
        <v>1603</v>
      </c>
      <c r="B1609" s="10" t="s">
        <v>2320</v>
      </c>
      <c r="C1609" s="10" t="s">
        <v>2321</v>
      </c>
      <c r="D1609" s="11"/>
      <c r="E1609" s="12"/>
      <c r="F1609" s="11" t="n">
        <v>0.00739143518518519</v>
      </c>
      <c r="G1609" s="12" t="n">
        <v>763</v>
      </c>
      <c r="H1609" s="11"/>
      <c r="I1609" s="12"/>
      <c r="J1609" s="12" t="n">
        <f aca="false">COUNT(E1609,G1609,I1609)</f>
        <v>1</v>
      </c>
      <c r="K1609" s="13" t="n">
        <f aca="false">MIN(E1609,G1609,I1609)</f>
        <v>763</v>
      </c>
      <c r="L1609" s="9" t="str">
        <f aca="false">IF(E1609=K1609,"5000m",IF(G1609=K1609,"3000mSC","1500m"))</f>
        <v>3000mSC</v>
      </c>
      <c r="M1609" s="14" t="n">
        <f aca="false">(D1609&lt;&gt;"")*(D1609&lt;=($E$3*60+$F$3)/86400)+(F1609&lt;&gt;"")*(F1609&lt;=($I$3*60+$J$3)/86400)+(H1609&lt;&gt;"")*(H1609&lt;=($M$3*60+$N$3)/86400)</f>
        <v>0</v>
      </c>
      <c r="N1609" s="16"/>
      <c r="O1609" s="15"/>
    </row>
    <row r="1610" customFormat="false" ht="15" hidden="false" customHeight="false" outlineLevel="0" collapsed="false">
      <c r="A1610" s="9" t="n">
        <v>1604</v>
      </c>
      <c r="B1610" s="10" t="s">
        <v>2322</v>
      </c>
      <c r="C1610" s="10" t="s">
        <v>1777</v>
      </c>
      <c r="D1610" s="11"/>
      <c r="E1610" s="12"/>
      <c r="F1610" s="11"/>
      <c r="G1610" s="12"/>
      <c r="H1610" s="11" t="n">
        <v>0.00287916666666667</v>
      </c>
      <c r="I1610" s="12" t="n">
        <v>763</v>
      </c>
      <c r="J1610" s="12" t="n">
        <f aca="false">COUNT(E1610,G1610,I1610)</f>
        <v>1</v>
      </c>
      <c r="K1610" s="13" t="n">
        <f aca="false">MIN(E1610,G1610,I1610)</f>
        <v>763</v>
      </c>
      <c r="L1610" s="9" t="str">
        <f aca="false">IF(E1610=K1610,"5000m",IF(G1610=K1610,"3000mSC","1500m"))</f>
        <v>1500m</v>
      </c>
      <c r="M1610" s="14" t="n">
        <f aca="false">(D1610&lt;&gt;"")*(D1610&lt;=($E$3*60+$F$3)/86400)+(F1610&lt;&gt;"")*(F1610&lt;=($I$3*60+$J$3)/86400)+(H1610&lt;&gt;"")*(H1610&lt;=($M$3*60+$N$3)/86400)</f>
        <v>0</v>
      </c>
      <c r="N1610" s="16"/>
      <c r="O1610" s="15"/>
    </row>
    <row r="1611" customFormat="false" ht="25.35" hidden="false" customHeight="false" outlineLevel="0" collapsed="false">
      <c r="A1611" s="9" t="n">
        <v>1605</v>
      </c>
      <c r="B1611" s="10" t="s">
        <v>2323</v>
      </c>
      <c r="C1611" s="10" t="s">
        <v>1423</v>
      </c>
      <c r="D1611" s="11"/>
      <c r="E1611" s="12"/>
      <c r="F1611" s="11" t="n">
        <v>0.00739247685185185</v>
      </c>
      <c r="G1611" s="12" t="n">
        <v>764</v>
      </c>
      <c r="H1611" s="11"/>
      <c r="I1611" s="12"/>
      <c r="J1611" s="12" t="n">
        <f aca="false">COUNT(E1611,G1611,I1611)</f>
        <v>1</v>
      </c>
      <c r="K1611" s="13" t="n">
        <f aca="false">MIN(E1611,G1611,I1611)</f>
        <v>764</v>
      </c>
      <c r="L1611" s="9" t="str">
        <f aca="false">IF(E1611=K1611,"5000m",IF(G1611=K1611,"3000mSC","1500m"))</f>
        <v>3000mSC</v>
      </c>
      <c r="M1611" s="14" t="n">
        <f aca="false">(D1611&lt;&gt;"")*(D1611&lt;=($E$3*60+$F$3)/86400)+(F1611&lt;&gt;"")*(F1611&lt;=($I$3*60+$J$3)/86400)+(H1611&lt;&gt;"")*(H1611&lt;=($M$3*60+$N$3)/86400)</f>
        <v>0</v>
      </c>
      <c r="N1611" s="16"/>
      <c r="O1611" s="15"/>
    </row>
    <row r="1612" customFormat="false" ht="15" hidden="false" customHeight="false" outlineLevel="0" collapsed="false">
      <c r="A1612" s="9" t="n">
        <v>1606</v>
      </c>
      <c r="B1612" s="10" t="s">
        <v>2324</v>
      </c>
      <c r="C1612" s="10" t="s">
        <v>49</v>
      </c>
      <c r="D1612" s="11"/>
      <c r="E1612" s="12"/>
      <c r="F1612" s="11"/>
      <c r="G1612" s="12"/>
      <c r="H1612" s="11" t="n">
        <v>0.00287916666666667</v>
      </c>
      <c r="I1612" s="12" t="n">
        <v>764</v>
      </c>
      <c r="J1612" s="12" t="n">
        <f aca="false">COUNT(E1612,G1612,I1612)</f>
        <v>1</v>
      </c>
      <c r="K1612" s="13" t="n">
        <f aca="false">MIN(E1612,G1612,I1612)</f>
        <v>764</v>
      </c>
      <c r="L1612" s="9" t="str">
        <f aca="false">IF(E1612=K1612,"5000m",IF(G1612=K1612,"3000mSC","1500m"))</f>
        <v>1500m</v>
      </c>
      <c r="M1612" s="14" t="n">
        <f aca="false">(D1612&lt;&gt;"")*(D1612&lt;=($E$3*60+$F$3)/86400)+(F1612&lt;&gt;"")*(F1612&lt;=($I$3*60+$J$3)/86400)+(H1612&lt;&gt;"")*(H1612&lt;=($M$3*60+$N$3)/86400)</f>
        <v>0</v>
      </c>
      <c r="N1612" s="16"/>
      <c r="O1612" s="15"/>
    </row>
    <row r="1613" customFormat="false" ht="15" hidden="false" customHeight="false" outlineLevel="0" collapsed="false">
      <c r="A1613" s="9" t="n">
        <v>1607</v>
      </c>
      <c r="B1613" s="10" t="s">
        <v>2325</v>
      </c>
      <c r="C1613" s="10" t="s">
        <v>210</v>
      </c>
      <c r="D1613" s="11" t="n">
        <v>0.0108108796296296</v>
      </c>
      <c r="E1613" s="12" t="n">
        <v>765</v>
      </c>
      <c r="F1613" s="11"/>
      <c r="G1613" s="12"/>
      <c r="H1613" s="11" t="n">
        <v>0.0029775462962963</v>
      </c>
      <c r="I1613" s="12" t="n">
        <v>1344</v>
      </c>
      <c r="J1613" s="12" t="n">
        <f aca="false">COUNT(E1613,G1613,I1613)</f>
        <v>2</v>
      </c>
      <c r="K1613" s="13" t="n">
        <f aca="false">MIN(E1613,G1613,I1613)</f>
        <v>765</v>
      </c>
      <c r="L1613" s="9" t="str">
        <f aca="false">IF(E1613=K1613,"5000m",IF(G1613=K1613,"3000mSC","1500m"))</f>
        <v>5000m</v>
      </c>
      <c r="M1613" s="14" t="n">
        <f aca="false">(D1613&lt;&gt;"")*(D1613&lt;=($E$3*60+$F$3)/86400)+(F1613&lt;&gt;"")*(F1613&lt;=($I$3*60+$J$3)/86400)+(H1613&lt;&gt;"")*(H1613&lt;=($M$3*60+$N$3)/86400)</f>
        <v>0</v>
      </c>
      <c r="N1613" s="16"/>
      <c r="O1613" s="15"/>
    </row>
    <row r="1614" customFormat="false" ht="15" hidden="false" customHeight="false" outlineLevel="0" collapsed="false">
      <c r="A1614" s="9" t="n">
        <v>1608</v>
      </c>
      <c r="B1614" s="10" t="s">
        <v>2326</v>
      </c>
      <c r="C1614" s="10" t="s">
        <v>298</v>
      </c>
      <c r="D1614" s="11"/>
      <c r="E1614" s="12"/>
      <c r="F1614" s="11"/>
      <c r="G1614" s="12"/>
      <c r="H1614" s="11" t="n">
        <v>0.00287951388888889</v>
      </c>
      <c r="I1614" s="12" t="n">
        <v>765</v>
      </c>
      <c r="J1614" s="12" t="n">
        <f aca="false">COUNT(E1614,G1614,I1614)</f>
        <v>1</v>
      </c>
      <c r="K1614" s="13" t="n">
        <f aca="false">MIN(E1614,G1614,I1614)</f>
        <v>765</v>
      </c>
      <c r="L1614" s="9" t="str">
        <f aca="false">IF(E1614=K1614,"5000m",IF(G1614=K1614,"3000mSC","1500m"))</f>
        <v>1500m</v>
      </c>
      <c r="M1614" s="14" t="n">
        <f aca="false">(D1614&lt;&gt;"")*(D1614&lt;=($E$3*60+$F$3)/86400)+(F1614&lt;&gt;"")*(F1614&lt;=($I$3*60+$J$3)/86400)+(H1614&lt;&gt;"")*(H1614&lt;=($M$3*60+$N$3)/86400)</f>
        <v>0</v>
      </c>
      <c r="N1614" s="16"/>
      <c r="O1614" s="15"/>
    </row>
    <row r="1615" customFormat="false" ht="15" hidden="false" customHeight="false" outlineLevel="0" collapsed="false">
      <c r="A1615" s="9" t="n">
        <v>1609</v>
      </c>
      <c r="B1615" s="10" t="s">
        <v>2327</v>
      </c>
      <c r="C1615" s="10" t="s">
        <v>213</v>
      </c>
      <c r="D1615" s="11" t="n">
        <v>0.0108126157407407</v>
      </c>
      <c r="E1615" s="12" t="n">
        <v>766</v>
      </c>
      <c r="F1615" s="11"/>
      <c r="G1615" s="12"/>
      <c r="H1615" s="11"/>
      <c r="I1615" s="12"/>
      <c r="J1615" s="12" t="n">
        <f aca="false">COUNT(E1615,G1615,I1615)</f>
        <v>1</v>
      </c>
      <c r="K1615" s="13" t="n">
        <f aca="false">MIN(E1615,G1615,I1615)</f>
        <v>766</v>
      </c>
      <c r="L1615" s="9" t="str">
        <f aca="false">IF(E1615=K1615,"5000m",IF(G1615=K1615,"3000mSC","1500m"))</f>
        <v>5000m</v>
      </c>
      <c r="M1615" s="14" t="n">
        <f aca="false">(D1615&lt;&gt;"")*(D1615&lt;=($E$3*60+$F$3)/86400)+(F1615&lt;&gt;"")*(F1615&lt;=($I$3*60+$J$3)/86400)+(H1615&lt;&gt;"")*(H1615&lt;=($M$3*60+$N$3)/86400)</f>
        <v>0</v>
      </c>
      <c r="N1615" s="16"/>
      <c r="O1615" s="15"/>
    </row>
    <row r="1616" customFormat="false" ht="25.35" hidden="false" customHeight="false" outlineLevel="0" collapsed="false">
      <c r="A1616" s="9" t="n">
        <v>1610</v>
      </c>
      <c r="B1616" s="10" t="s">
        <v>2328</v>
      </c>
      <c r="C1616" s="10" t="s">
        <v>2329</v>
      </c>
      <c r="D1616" s="11"/>
      <c r="E1616" s="12"/>
      <c r="F1616" s="11" t="n">
        <v>0.00739409722222222</v>
      </c>
      <c r="G1616" s="12" t="n">
        <v>766</v>
      </c>
      <c r="H1616" s="11"/>
      <c r="I1616" s="12"/>
      <c r="J1616" s="12" t="n">
        <f aca="false">COUNT(E1616,G1616,I1616)</f>
        <v>1</v>
      </c>
      <c r="K1616" s="13" t="n">
        <f aca="false">MIN(E1616,G1616,I1616)</f>
        <v>766</v>
      </c>
      <c r="L1616" s="9" t="str">
        <f aca="false">IF(E1616=K1616,"5000m",IF(G1616=K1616,"3000mSC","1500m"))</f>
        <v>3000mSC</v>
      </c>
      <c r="M1616" s="14" t="n">
        <f aca="false">(D1616&lt;&gt;"")*(D1616&lt;=($E$3*60+$F$3)/86400)+(F1616&lt;&gt;"")*(F1616&lt;=($I$3*60+$J$3)/86400)+(H1616&lt;&gt;"")*(H1616&lt;=($M$3*60+$N$3)/86400)</f>
        <v>0</v>
      </c>
      <c r="N1616" s="16"/>
      <c r="O1616" s="15"/>
    </row>
    <row r="1617" customFormat="false" ht="15" hidden="false" customHeight="false" outlineLevel="0" collapsed="false">
      <c r="A1617" s="9" t="n">
        <v>1611</v>
      </c>
      <c r="B1617" s="10" t="s">
        <v>2330</v>
      </c>
      <c r="C1617" s="10" t="s">
        <v>91</v>
      </c>
      <c r="D1617" s="11"/>
      <c r="E1617" s="12"/>
      <c r="F1617" s="11"/>
      <c r="G1617" s="12"/>
      <c r="H1617" s="11" t="n">
        <v>0.00287974537037037</v>
      </c>
      <c r="I1617" s="12" t="n">
        <v>766</v>
      </c>
      <c r="J1617" s="12" t="n">
        <f aca="false">COUNT(E1617,G1617,I1617)</f>
        <v>1</v>
      </c>
      <c r="K1617" s="13" t="n">
        <f aca="false">MIN(E1617,G1617,I1617)</f>
        <v>766</v>
      </c>
      <c r="L1617" s="9" t="str">
        <f aca="false">IF(E1617=K1617,"5000m",IF(G1617=K1617,"3000mSC","1500m"))</f>
        <v>1500m</v>
      </c>
      <c r="M1617" s="14" t="n">
        <f aca="false">(D1617&lt;&gt;"")*(D1617&lt;=($E$3*60+$F$3)/86400)+(F1617&lt;&gt;"")*(F1617&lt;=($I$3*60+$J$3)/86400)+(H1617&lt;&gt;"")*(H1617&lt;=($M$3*60+$N$3)/86400)</f>
        <v>0</v>
      </c>
      <c r="N1617" s="16"/>
      <c r="O1617" s="15"/>
    </row>
    <row r="1618" customFormat="false" ht="15" hidden="false" customHeight="false" outlineLevel="0" collapsed="false">
      <c r="A1618" s="9" t="n">
        <v>1612</v>
      </c>
      <c r="B1618" s="10" t="s">
        <v>2331</v>
      </c>
      <c r="C1618" s="10" t="s">
        <v>377</v>
      </c>
      <c r="D1618" s="11" t="n">
        <v>0.0108128472222222</v>
      </c>
      <c r="E1618" s="12" t="n">
        <v>767</v>
      </c>
      <c r="F1618" s="11"/>
      <c r="G1618" s="12"/>
      <c r="H1618" s="11"/>
      <c r="I1618" s="12"/>
      <c r="J1618" s="12" t="n">
        <f aca="false">COUNT(E1618,G1618,I1618)</f>
        <v>1</v>
      </c>
      <c r="K1618" s="13" t="n">
        <f aca="false">MIN(E1618,G1618,I1618)</f>
        <v>767</v>
      </c>
      <c r="L1618" s="9" t="str">
        <f aca="false">IF(E1618=K1618,"5000m",IF(G1618=K1618,"3000mSC","1500m"))</f>
        <v>5000m</v>
      </c>
      <c r="M1618" s="14" t="n">
        <f aca="false">(D1618&lt;&gt;"")*(D1618&lt;=($E$3*60+$F$3)/86400)+(F1618&lt;&gt;"")*(F1618&lt;=($I$3*60+$J$3)/86400)+(H1618&lt;&gt;"")*(H1618&lt;=($M$3*60+$N$3)/86400)</f>
        <v>0</v>
      </c>
      <c r="N1618" s="16"/>
      <c r="O1618" s="15"/>
    </row>
    <row r="1619" customFormat="false" ht="25.35" hidden="false" customHeight="false" outlineLevel="0" collapsed="false">
      <c r="A1619" s="9" t="n">
        <v>1613</v>
      </c>
      <c r="B1619" s="10" t="s">
        <v>2332</v>
      </c>
      <c r="C1619" s="10" t="s">
        <v>1368</v>
      </c>
      <c r="D1619" s="11"/>
      <c r="E1619" s="12"/>
      <c r="F1619" s="11" t="n">
        <v>0.00739548611111111</v>
      </c>
      <c r="G1619" s="12" t="n">
        <v>767</v>
      </c>
      <c r="H1619" s="11"/>
      <c r="I1619" s="12"/>
      <c r="J1619" s="12" t="n">
        <f aca="false">COUNT(E1619,G1619,I1619)</f>
        <v>1</v>
      </c>
      <c r="K1619" s="13" t="n">
        <f aca="false">MIN(E1619,G1619,I1619)</f>
        <v>767</v>
      </c>
      <c r="L1619" s="9" t="str">
        <f aca="false">IF(E1619=K1619,"5000m",IF(G1619=K1619,"3000mSC","1500m"))</f>
        <v>3000mSC</v>
      </c>
      <c r="M1619" s="14" t="n">
        <f aca="false">(D1619&lt;&gt;"")*(D1619&lt;=($E$3*60+$F$3)/86400)+(F1619&lt;&gt;"")*(F1619&lt;=($I$3*60+$J$3)/86400)+(H1619&lt;&gt;"")*(H1619&lt;=($M$3*60+$N$3)/86400)</f>
        <v>0</v>
      </c>
      <c r="N1619" s="16"/>
      <c r="O1619" s="15"/>
    </row>
    <row r="1620" customFormat="false" ht="15" hidden="false" customHeight="false" outlineLevel="0" collapsed="false">
      <c r="A1620" s="9" t="n">
        <v>1614</v>
      </c>
      <c r="B1620" s="10" t="s">
        <v>2333</v>
      </c>
      <c r="C1620" s="10" t="s">
        <v>112</v>
      </c>
      <c r="D1620" s="11"/>
      <c r="E1620" s="12"/>
      <c r="F1620" s="11"/>
      <c r="G1620" s="12"/>
      <c r="H1620" s="11" t="n">
        <v>0.00287974537037037</v>
      </c>
      <c r="I1620" s="12" t="n">
        <v>767</v>
      </c>
      <c r="J1620" s="12" t="n">
        <f aca="false">COUNT(E1620,G1620,I1620)</f>
        <v>1</v>
      </c>
      <c r="K1620" s="13" t="n">
        <f aca="false">MIN(E1620,G1620,I1620)</f>
        <v>767</v>
      </c>
      <c r="L1620" s="9" t="str">
        <f aca="false">IF(E1620=K1620,"5000m",IF(G1620=K1620,"3000mSC","1500m"))</f>
        <v>1500m</v>
      </c>
      <c r="M1620" s="14" t="n">
        <f aca="false">(D1620&lt;&gt;"")*(D1620&lt;=($E$3*60+$F$3)/86400)+(F1620&lt;&gt;"")*(F1620&lt;=($I$3*60+$J$3)/86400)+(H1620&lt;&gt;"")*(H1620&lt;=($M$3*60+$N$3)/86400)</f>
        <v>0</v>
      </c>
      <c r="N1620" s="16"/>
      <c r="O1620" s="15"/>
    </row>
    <row r="1621" customFormat="false" ht="15" hidden="false" customHeight="false" outlineLevel="0" collapsed="false">
      <c r="A1621" s="9" t="n">
        <v>1615</v>
      </c>
      <c r="B1621" s="10" t="s">
        <v>2334</v>
      </c>
      <c r="C1621" s="10" t="s">
        <v>1210</v>
      </c>
      <c r="D1621" s="11" t="n">
        <v>0.0108137731481482</v>
      </c>
      <c r="E1621" s="12" t="n">
        <v>768</v>
      </c>
      <c r="F1621" s="11"/>
      <c r="G1621" s="12"/>
      <c r="H1621" s="11" t="n">
        <v>0.00292013888888889</v>
      </c>
      <c r="I1621" s="12" t="n">
        <v>1098</v>
      </c>
      <c r="J1621" s="12" t="n">
        <f aca="false">COUNT(E1621,G1621,I1621)</f>
        <v>2</v>
      </c>
      <c r="K1621" s="13" t="n">
        <f aca="false">MIN(E1621,G1621,I1621)</f>
        <v>768</v>
      </c>
      <c r="L1621" s="9" t="str">
        <f aca="false">IF(E1621=K1621,"5000m",IF(G1621=K1621,"3000mSC","1500m"))</f>
        <v>5000m</v>
      </c>
      <c r="M1621" s="14" t="n">
        <f aca="false">(D1621&lt;&gt;"")*(D1621&lt;=($E$3*60+$F$3)/86400)+(F1621&lt;&gt;"")*(F1621&lt;=($I$3*60+$J$3)/86400)+(H1621&lt;&gt;"")*(H1621&lt;=($M$3*60+$N$3)/86400)</f>
        <v>0</v>
      </c>
      <c r="N1621" s="16"/>
      <c r="O1621" s="15"/>
    </row>
    <row r="1622" customFormat="false" ht="25.35" hidden="false" customHeight="false" outlineLevel="0" collapsed="false">
      <c r="A1622" s="9" t="n">
        <v>1616</v>
      </c>
      <c r="B1622" s="10" t="s">
        <v>2335</v>
      </c>
      <c r="C1622" s="10" t="s">
        <v>2336</v>
      </c>
      <c r="D1622" s="11"/>
      <c r="E1622" s="12"/>
      <c r="F1622" s="11" t="n">
        <v>0.00739571759259259</v>
      </c>
      <c r="G1622" s="12" t="n">
        <v>768</v>
      </c>
      <c r="H1622" s="11"/>
      <c r="I1622" s="12"/>
      <c r="J1622" s="12" t="n">
        <f aca="false">COUNT(E1622,G1622,I1622)</f>
        <v>1</v>
      </c>
      <c r="K1622" s="13" t="n">
        <f aca="false">MIN(E1622,G1622,I1622)</f>
        <v>768</v>
      </c>
      <c r="L1622" s="9" t="str">
        <f aca="false">IF(E1622=K1622,"5000m",IF(G1622=K1622,"3000mSC","1500m"))</f>
        <v>3000mSC</v>
      </c>
      <c r="M1622" s="14" t="n">
        <f aca="false">(D1622&lt;&gt;"")*(D1622&lt;=($E$3*60+$F$3)/86400)+(F1622&lt;&gt;"")*(F1622&lt;=($I$3*60+$J$3)/86400)+(H1622&lt;&gt;"")*(H1622&lt;=($M$3*60+$N$3)/86400)</f>
        <v>0</v>
      </c>
      <c r="N1622" s="16"/>
      <c r="O1622" s="15"/>
    </row>
    <row r="1623" customFormat="false" ht="15" hidden="false" customHeight="false" outlineLevel="0" collapsed="false">
      <c r="A1623" s="9" t="n">
        <v>1617</v>
      </c>
      <c r="B1623" s="10" t="s">
        <v>2337</v>
      </c>
      <c r="C1623" s="10" t="s">
        <v>1216</v>
      </c>
      <c r="D1623" s="11" t="n">
        <v>0.0108145833333333</v>
      </c>
      <c r="E1623" s="12" t="n">
        <v>769</v>
      </c>
      <c r="F1623" s="11"/>
      <c r="G1623" s="12"/>
      <c r="H1623" s="11"/>
      <c r="I1623" s="12"/>
      <c r="J1623" s="12" t="n">
        <f aca="false">COUNT(E1623,G1623,I1623)</f>
        <v>1</v>
      </c>
      <c r="K1623" s="13" t="n">
        <f aca="false">MIN(E1623,G1623,I1623)</f>
        <v>769</v>
      </c>
      <c r="L1623" s="9" t="str">
        <f aca="false">IF(E1623=K1623,"5000m",IF(G1623=K1623,"3000mSC","1500m"))</f>
        <v>5000m</v>
      </c>
      <c r="M1623" s="14" t="n">
        <f aca="false">(D1623&lt;&gt;"")*(D1623&lt;=($E$3*60+$F$3)/86400)+(F1623&lt;&gt;"")*(F1623&lt;=($I$3*60+$J$3)/86400)+(H1623&lt;&gt;"")*(H1623&lt;=($M$3*60+$N$3)/86400)</f>
        <v>0</v>
      </c>
      <c r="N1623" s="16"/>
      <c r="O1623" s="15"/>
    </row>
    <row r="1624" customFormat="false" ht="25.35" hidden="false" customHeight="false" outlineLevel="0" collapsed="false">
      <c r="A1624" s="9" t="n">
        <v>1618</v>
      </c>
      <c r="B1624" s="10" t="s">
        <v>2338</v>
      </c>
      <c r="C1624" s="10" t="s">
        <v>2339</v>
      </c>
      <c r="D1624" s="11"/>
      <c r="E1624" s="12"/>
      <c r="F1624" s="11" t="n">
        <v>0.007396875</v>
      </c>
      <c r="G1624" s="12" t="n">
        <v>769</v>
      </c>
      <c r="H1624" s="11"/>
      <c r="I1624" s="12"/>
      <c r="J1624" s="12" t="n">
        <f aca="false">COUNT(E1624,G1624,I1624)</f>
        <v>1</v>
      </c>
      <c r="K1624" s="13" t="n">
        <f aca="false">MIN(E1624,G1624,I1624)</f>
        <v>769</v>
      </c>
      <c r="L1624" s="9" t="str">
        <f aca="false">IF(E1624=K1624,"5000m",IF(G1624=K1624,"3000mSC","1500m"))</f>
        <v>3000mSC</v>
      </c>
      <c r="M1624" s="14" t="n">
        <f aca="false">(D1624&lt;&gt;"")*(D1624&lt;=($E$3*60+$F$3)/86400)+(F1624&lt;&gt;"")*(F1624&lt;=($I$3*60+$J$3)/86400)+(H1624&lt;&gt;"")*(H1624&lt;=($M$3*60+$N$3)/86400)</f>
        <v>0</v>
      </c>
      <c r="N1624" s="16"/>
      <c r="O1624" s="15"/>
    </row>
    <row r="1625" customFormat="false" ht="25.35" hidden="false" customHeight="false" outlineLevel="0" collapsed="false">
      <c r="A1625" s="9" t="n">
        <v>1619</v>
      </c>
      <c r="B1625" s="10" t="s">
        <v>2340</v>
      </c>
      <c r="C1625" s="10" t="s">
        <v>1498</v>
      </c>
      <c r="D1625" s="11"/>
      <c r="E1625" s="12"/>
      <c r="F1625" s="11" t="n">
        <v>0.00739780092592593</v>
      </c>
      <c r="G1625" s="12" t="n">
        <v>770</v>
      </c>
      <c r="H1625" s="11"/>
      <c r="I1625" s="12"/>
      <c r="J1625" s="12" t="n">
        <f aca="false">COUNT(E1625,G1625,I1625)</f>
        <v>1</v>
      </c>
      <c r="K1625" s="13" t="n">
        <f aca="false">MIN(E1625,G1625,I1625)</f>
        <v>770</v>
      </c>
      <c r="L1625" s="9" t="str">
        <f aca="false">IF(E1625=K1625,"5000m",IF(G1625=K1625,"3000mSC","1500m"))</f>
        <v>3000mSC</v>
      </c>
      <c r="M1625" s="14" t="n">
        <f aca="false">(D1625&lt;&gt;"")*(D1625&lt;=($E$3*60+$F$3)/86400)+(F1625&lt;&gt;"")*(F1625&lt;=($I$3*60+$J$3)/86400)+(H1625&lt;&gt;"")*(H1625&lt;=($M$3*60+$N$3)/86400)</f>
        <v>0</v>
      </c>
      <c r="N1625" s="16"/>
      <c r="O1625" s="15"/>
    </row>
    <row r="1626" customFormat="false" ht="15" hidden="false" customHeight="false" outlineLevel="0" collapsed="false">
      <c r="A1626" s="9" t="n">
        <v>1620</v>
      </c>
      <c r="B1626" s="10" t="s">
        <v>2341</v>
      </c>
      <c r="C1626" s="10" t="s">
        <v>2342</v>
      </c>
      <c r="D1626" s="11" t="n">
        <v>0.0108791666666667</v>
      </c>
      <c r="E1626" s="12" t="n">
        <v>886</v>
      </c>
      <c r="F1626" s="11"/>
      <c r="G1626" s="12"/>
      <c r="H1626" s="11" t="n">
        <v>0.00287986111111111</v>
      </c>
      <c r="I1626" s="12" t="n">
        <v>771</v>
      </c>
      <c r="J1626" s="12" t="n">
        <f aca="false">COUNT(E1626,G1626,I1626)</f>
        <v>2</v>
      </c>
      <c r="K1626" s="13" t="n">
        <f aca="false">MIN(E1626,G1626,I1626)</f>
        <v>771</v>
      </c>
      <c r="L1626" s="9" t="str">
        <f aca="false">IF(E1626=K1626,"5000m",IF(G1626=K1626,"3000mSC","1500m"))</f>
        <v>1500m</v>
      </c>
      <c r="M1626" s="14" t="n">
        <f aca="false">(D1626&lt;&gt;"")*(D1626&lt;=($E$3*60+$F$3)/86400)+(F1626&lt;&gt;"")*(F1626&lt;=($I$3*60+$J$3)/86400)+(H1626&lt;&gt;"")*(H1626&lt;=($M$3*60+$N$3)/86400)</f>
        <v>0</v>
      </c>
      <c r="N1626" s="16"/>
      <c r="O1626" s="15"/>
    </row>
    <row r="1627" customFormat="false" ht="25.35" hidden="false" customHeight="false" outlineLevel="0" collapsed="false">
      <c r="A1627" s="9" t="n">
        <v>1621</v>
      </c>
      <c r="B1627" s="10" t="s">
        <v>2343</v>
      </c>
      <c r="C1627" s="10" t="s">
        <v>2229</v>
      </c>
      <c r="D1627" s="11"/>
      <c r="E1627" s="12"/>
      <c r="F1627" s="11" t="n">
        <v>0.00739988425925926</v>
      </c>
      <c r="G1627" s="12" t="n">
        <v>771</v>
      </c>
      <c r="H1627" s="11"/>
      <c r="I1627" s="12"/>
      <c r="J1627" s="12" t="n">
        <f aca="false">COUNT(E1627,G1627,I1627)</f>
        <v>1</v>
      </c>
      <c r="K1627" s="13" t="n">
        <f aca="false">MIN(E1627,G1627,I1627)</f>
        <v>771</v>
      </c>
      <c r="L1627" s="9" t="str">
        <f aca="false">IF(E1627=K1627,"5000m",IF(G1627=K1627,"3000mSC","1500m"))</f>
        <v>3000mSC</v>
      </c>
      <c r="M1627" s="14" t="n">
        <f aca="false">(D1627&lt;&gt;"")*(D1627&lt;=($E$3*60+$F$3)/86400)+(F1627&lt;&gt;"")*(F1627&lt;=($I$3*60+$J$3)/86400)+(H1627&lt;&gt;"")*(H1627&lt;=($M$3*60+$N$3)/86400)</f>
        <v>0</v>
      </c>
      <c r="N1627" s="16"/>
      <c r="O1627" s="15"/>
    </row>
    <row r="1628" customFormat="false" ht="15" hidden="false" customHeight="false" outlineLevel="0" collapsed="false">
      <c r="A1628" s="9" t="n">
        <v>1622</v>
      </c>
      <c r="B1628" s="10" t="s">
        <v>2344</v>
      </c>
      <c r="C1628" s="10" t="s">
        <v>154</v>
      </c>
      <c r="D1628" s="11" t="n">
        <v>0.010816087962963</v>
      </c>
      <c r="E1628" s="12" t="n">
        <v>772</v>
      </c>
      <c r="F1628" s="11"/>
      <c r="G1628" s="12"/>
      <c r="H1628" s="11"/>
      <c r="I1628" s="12"/>
      <c r="J1628" s="12" t="n">
        <f aca="false">COUNT(E1628,G1628,I1628)</f>
        <v>1</v>
      </c>
      <c r="K1628" s="13" t="n">
        <f aca="false">MIN(E1628,G1628,I1628)</f>
        <v>772</v>
      </c>
      <c r="L1628" s="9" t="str">
        <f aca="false">IF(E1628=K1628,"5000m",IF(G1628=K1628,"3000mSC","1500m"))</f>
        <v>5000m</v>
      </c>
      <c r="M1628" s="14" t="n">
        <f aca="false">(D1628&lt;&gt;"")*(D1628&lt;=($E$3*60+$F$3)/86400)+(F1628&lt;&gt;"")*(F1628&lt;=($I$3*60+$J$3)/86400)+(H1628&lt;&gt;"")*(H1628&lt;=($M$3*60+$N$3)/86400)</f>
        <v>0</v>
      </c>
      <c r="N1628" s="16"/>
      <c r="O1628" s="15"/>
    </row>
    <row r="1629" customFormat="false" ht="25.35" hidden="false" customHeight="false" outlineLevel="0" collapsed="false">
      <c r="A1629" s="9" t="n">
        <v>1623</v>
      </c>
      <c r="B1629" s="10" t="s">
        <v>2345</v>
      </c>
      <c r="C1629" s="10" t="s">
        <v>1309</v>
      </c>
      <c r="D1629" s="11"/>
      <c r="E1629" s="12"/>
      <c r="F1629" s="11" t="n">
        <v>0.00740138888888889</v>
      </c>
      <c r="G1629" s="12" t="n">
        <v>772</v>
      </c>
      <c r="H1629" s="11"/>
      <c r="I1629" s="12"/>
      <c r="J1629" s="12" t="n">
        <f aca="false">COUNT(E1629,G1629,I1629)</f>
        <v>1</v>
      </c>
      <c r="K1629" s="13" t="n">
        <f aca="false">MIN(E1629,G1629,I1629)</f>
        <v>772</v>
      </c>
      <c r="L1629" s="9" t="str">
        <f aca="false">IF(E1629=K1629,"5000m",IF(G1629=K1629,"3000mSC","1500m"))</f>
        <v>3000mSC</v>
      </c>
      <c r="M1629" s="14" t="n">
        <f aca="false">(D1629&lt;&gt;"")*(D1629&lt;=($E$3*60+$F$3)/86400)+(F1629&lt;&gt;"")*(F1629&lt;=($I$3*60+$J$3)/86400)+(H1629&lt;&gt;"")*(H1629&lt;=($M$3*60+$N$3)/86400)</f>
        <v>0</v>
      </c>
      <c r="N1629" s="16"/>
      <c r="O1629" s="15"/>
    </row>
    <row r="1630" customFormat="false" ht="15" hidden="false" customHeight="false" outlineLevel="0" collapsed="false">
      <c r="A1630" s="9" t="n">
        <v>1624</v>
      </c>
      <c r="B1630" s="10" t="s">
        <v>2346</v>
      </c>
      <c r="C1630" s="10" t="s">
        <v>2092</v>
      </c>
      <c r="D1630" s="11"/>
      <c r="E1630" s="12"/>
      <c r="F1630" s="11"/>
      <c r="G1630" s="12"/>
      <c r="H1630" s="11" t="n">
        <v>0.00288032407407407</v>
      </c>
      <c r="I1630" s="12" t="n">
        <v>772</v>
      </c>
      <c r="J1630" s="12" t="n">
        <f aca="false">COUNT(E1630,G1630,I1630)</f>
        <v>1</v>
      </c>
      <c r="K1630" s="13" t="n">
        <f aca="false">MIN(E1630,G1630,I1630)</f>
        <v>772</v>
      </c>
      <c r="L1630" s="9" t="str">
        <f aca="false">IF(E1630=K1630,"5000m",IF(G1630=K1630,"3000mSC","1500m"))</f>
        <v>1500m</v>
      </c>
      <c r="M1630" s="14" t="n">
        <f aca="false">(D1630&lt;&gt;"")*(D1630&lt;=($E$3*60+$F$3)/86400)+(F1630&lt;&gt;"")*(F1630&lt;=($I$3*60+$J$3)/86400)+(H1630&lt;&gt;"")*(H1630&lt;=($M$3*60+$N$3)/86400)</f>
        <v>0</v>
      </c>
      <c r="N1630" s="16"/>
      <c r="O1630" s="15"/>
    </row>
    <row r="1631" customFormat="false" ht="25.35" hidden="false" customHeight="false" outlineLevel="0" collapsed="false">
      <c r="A1631" s="9" t="n">
        <v>1625</v>
      </c>
      <c r="B1631" s="10" t="s">
        <v>2347</v>
      </c>
      <c r="C1631" s="10" t="s">
        <v>279</v>
      </c>
      <c r="D1631" s="11" t="n">
        <v>0.011030787037037</v>
      </c>
      <c r="E1631" s="12" t="n">
        <v>1152</v>
      </c>
      <c r="F1631" s="11" t="n">
        <v>0.00740162037037037</v>
      </c>
      <c r="G1631" s="12" t="n">
        <v>773</v>
      </c>
      <c r="H1631" s="11"/>
      <c r="I1631" s="12"/>
      <c r="J1631" s="12" t="n">
        <f aca="false">COUNT(E1631,G1631,I1631)</f>
        <v>2</v>
      </c>
      <c r="K1631" s="13" t="n">
        <f aca="false">MIN(E1631,G1631,I1631)</f>
        <v>773</v>
      </c>
      <c r="L1631" s="9" t="str">
        <f aca="false">IF(E1631=K1631,"5000m",IF(G1631=K1631,"3000mSC","1500m"))</f>
        <v>3000mSC</v>
      </c>
      <c r="M1631" s="14" t="n">
        <f aca="false">(D1631&lt;&gt;"")*(D1631&lt;=($E$3*60+$F$3)/86400)+(F1631&lt;&gt;"")*(F1631&lt;=($I$3*60+$J$3)/86400)+(H1631&lt;&gt;"")*(H1631&lt;=($M$3*60+$N$3)/86400)</f>
        <v>0</v>
      </c>
      <c r="N1631" s="16"/>
      <c r="O1631" s="15"/>
    </row>
    <row r="1632" customFormat="false" ht="15" hidden="false" customHeight="false" outlineLevel="0" collapsed="false">
      <c r="A1632" s="9" t="n">
        <v>1626</v>
      </c>
      <c r="B1632" s="10" t="s">
        <v>2348</v>
      </c>
      <c r="C1632" s="10" t="s">
        <v>185</v>
      </c>
      <c r="D1632" s="11" t="n">
        <v>0.0108164351851852</v>
      </c>
      <c r="E1632" s="12" t="n">
        <v>773</v>
      </c>
      <c r="F1632" s="11"/>
      <c r="G1632" s="12"/>
      <c r="H1632" s="11"/>
      <c r="I1632" s="12"/>
      <c r="J1632" s="12" t="n">
        <f aca="false">COUNT(E1632,G1632,I1632)</f>
        <v>1</v>
      </c>
      <c r="K1632" s="13" t="n">
        <f aca="false">MIN(E1632,G1632,I1632)</f>
        <v>773</v>
      </c>
      <c r="L1632" s="9" t="str">
        <f aca="false">IF(E1632=K1632,"5000m",IF(G1632=K1632,"3000mSC","1500m"))</f>
        <v>5000m</v>
      </c>
      <c r="M1632" s="14" t="n">
        <f aca="false">(D1632&lt;&gt;"")*(D1632&lt;=($E$3*60+$F$3)/86400)+(F1632&lt;&gt;"")*(F1632&lt;=($I$3*60+$J$3)/86400)+(H1632&lt;&gt;"")*(H1632&lt;=($M$3*60+$N$3)/86400)</f>
        <v>0</v>
      </c>
      <c r="N1632" s="16"/>
      <c r="O1632" s="15"/>
    </row>
    <row r="1633" customFormat="false" ht="15" hidden="false" customHeight="false" outlineLevel="0" collapsed="false">
      <c r="A1633" s="9" t="n">
        <v>1627</v>
      </c>
      <c r="B1633" s="10" t="s">
        <v>2349</v>
      </c>
      <c r="C1633" s="10" t="s">
        <v>2350</v>
      </c>
      <c r="D1633" s="11"/>
      <c r="E1633" s="12"/>
      <c r="F1633" s="11"/>
      <c r="G1633" s="12"/>
      <c r="H1633" s="11" t="n">
        <v>0.00288032407407407</v>
      </c>
      <c r="I1633" s="12" t="n">
        <v>773</v>
      </c>
      <c r="J1633" s="12" t="n">
        <f aca="false">COUNT(E1633,G1633,I1633)</f>
        <v>1</v>
      </c>
      <c r="K1633" s="13" t="n">
        <f aca="false">MIN(E1633,G1633,I1633)</f>
        <v>773</v>
      </c>
      <c r="L1633" s="9" t="str">
        <f aca="false">IF(E1633=K1633,"5000m",IF(G1633=K1633,"3000mSC","1500m"))</f>
        <v>1500m</v>
      </c>
      <c r="M1633" s="14" t="n">
        <f aca="false">(D1633&lt;&gt;"")*(D1633&lt;=($E$3*60+$F$3)/86400)+(F1633&lt;&gt;"")*(F1633&lt;=($I$3*60+$J$3)/86400)+(H1633&lt;&gt;"")*(H1633&lt;=($M$3*60+$N$3)/86400)</f>
        <v>0</v>
      </c>
      <c r="N1633" s="16"/>
      <c r="O1633" s="15"/>
    </row>
    <row r="1634" customFormat="false" ht="25.35" hidden="false" customHeight="false" outlineLevel="0" collapsed="false">
      <c r="A1634" s="9" t="n">
        <v>1628</v>
      </c>
      <c r="B1634" s="10" t="s">
        <v>2351</v>
      </c>
      <c r="C1634" s="10" t="s">
        <v>2352</v>
      </c>
      <c r="D1634" s="11"/>
      <c r="E1634" s="12"/>
      <c r="F1634" s="11" t="n">
        <v>0.00740173611111111</v>
      </c>
      <c r="G1634" s="12" t="n">
        <v>774</v>
      </c>
      <c r="H1634" s="11"/>
      <c r="I1634" s="12"/>
      <c r="J1634" s="12" t="n">
        <f aca="false">COUNT(E1634,G1634,I1634)</f>
        <v>1</v>
      </c>
      <c r="K1634" s="13" t="n">
        <f aca="false">MIN(E1634,G1634,I1634)</f>
        <v>774</v>
      </c>
      <c r="L1634" s="9" t="str">
        <f aca="false">IF(E1634=K1634,"5000m",IF(G1634=K1634,"3000mSC","1500m"))</f>
        <v>3000mSC</v>
      </c>
      <c r="M1634" s="14" t="n">
        <f aca="false">(D1634&lt;&gt;"")*(D1634&lt;=($E$3*60+$F$3)/86400)+(F1634&lt;&gt;"")*(F1634&lt;=($I$3*60+$J$3)/86400)+(H1634&lt;&gt;"")*(H1634&lt;=($M$3*60+$N$3)/86400)</f>
        <v>0</v>
      </c>
      <c r="N1634" s="16"/>
      <c r="O1634" s="15"/>
    </row>
    <row r="1635" customFormat="false" ht="15" hidden="false" customHeight="false" outlineLevel="0" collapsed="false">
      <c r="A1635" s="9" t="n">
        <v>1629</v>
      </c>
      <c r="B1635" s="10" t="s">
        <v>2353</v>
      </c>
      <c r="C1635" s="10" t="s">
        <v>823</v>
      </c>
      <c r="D1635" s="11"/>
      <c r="E1635" s="12"/>
      <c r="F1635" s="11"/>
      <c r="G1635" s="12"/>
      <c r="H1635" s="11" t="n">
        <v>0.00288055555555556</v>
      </c>
      <c r="I1635" s="12" t="n">
        <v>774</v>
      </c>
      <c r="J1635" s="12" t="n">
        <f aca="false">COUNT(E1635,G1635,I1635)</f>
        <v>1</v>
      </c>
      <c r="K1635" s="13" t="n">
        <f aca="false">MIN(E1635,G1635,I1635)</f>
        <v>774</v>
      </c>
      <c r="L1635" s="9" t="str">
        <f aca="false">IF(E1635=K1635,"5000m",IF(G1635=K1635,"3000mSC","1500m"))</f>
        <v>1500m</v>
      </c>
      <c r="M1635" s="14" t="n">
        <f aca="false">(D1635&lt;&gt;"")*(D1635&lt;=($E$3*60+$F$3)/86400)+(F1635&lt;&gt;"")*(F1635&lt;=($I$3*60+$J$3)/86400)+(H1635&lt;&gt;"")*(H1635&lt;=($M$3*60+$N$3)/86400)</f>
        <v>0</v>
      </c>
      <c r="N1635" s="16"/>
      <c r="O1635" s="15"/>
    </row>
    <row r="1636" customFormat="false" ht="25.35" hidden="false" customHeight="false" outlineLevel="0" collapsed="false">
      <c r="A1636" s="9" t="n">
        <v>1630</v>
      </c>
      <c r="B1636" s="10" t="s">
        <v>2354</v>
      </c>
      <c r="C1636" s="10" t="s">
        <v>2355</v>
      </c>
      <c r="D1636" s="11"/>
      <c r="E1636" s="12"/>
      <c r="F1636" s="11" t="n">
        <v>0.00740243055555556</v>
      </c>
      <c r="G1636" s="12" t="n">
        <v>775</v>
      </c>
      <c r="H1636" s="11"/>
      <c r="I1636" s="12"/>
      <c r="J1636" s="12" t="n">
        <f aca="false">COUNT(E1636,G1636,I1636)</f>
        <v>1</v>
      </c>
      <c r="K1636" s="13" t="n">
        <f aca="false">MIN(E1636,G1636,I1636)</f>
        <v>775</v>
      </c>
      <c r="L1636" s="9" t="str">
        <f aca="false">IF(E1636=K1636,"5000m",IF(G1636=K1636,"3000mSC","1500m"))</f>
        <v>3000mSC</v>
      </c>
      <c r="M1636" s="14" t="n">
        <f aca="false">(D1636&lt;&gt;"")*(D1636&lt;=($E$3*60+$F$3)/86400)+(F1636&lt;&gt;"")*(F1636&lt;=($I$3*60+$J$3)/86400)+(H1636&lt;&gt;"")*(H1636&lt;=($M$3*60+$N$3)/86400)</f>
        <v>0</v>
      </c>
      <c r="N1636" s="16"/>
      <c r="O1636" s="15"/>
    </row>
    <row r="1637" customFormat="false" ht="25.35" hidden="false" customHeight="false" outlineLevel="0" collapsed="false">
      <c r="A1637" s="9" t="n">
        <v>1631</v>
      </c>
      <c r="B1637" s="10" t="s">
        <v>2356</v>
      </c>
      <c r="C1637" s="10" t="s">
        <v>1180</v>
      </c>
      <c r="D1637" s="11"/>
      <c r="E1637" s="12"/>
      <c r="F1637" s="11" t="n">
        <v>0.00740381944444445</v>
      </c>
      <c r="G1637" s="12" t="n">
        <v>776</v>
      </c>
      <c r="H1637" s="11"/>
      <c r="I1637" s="12"/>
      <c r="J1637" s="12" t="n">
        <f aca="false">COUNT(E1637,G1637,I1637)</f>
        <v>1</v>
      </c>
      <c r="K1637" s="13" t="n">
        <f aca="false">MIN(E1637,G1637,I1637)</f>
        <v>776</v>
      </c>
      <c r="L1637" s="9" t="str">
        <f aca="false">IF(E1637=K1637,"5000m",IF(G1637=K1637,"3000mSC","1500m"))</f>
        <v>3000mSC</v>
      </c>
      <c r="M1637" s="14" t="n">
        <f aca="false">(D1637&lt;&gt;"")*(D1637&lt;=($E$3*60+$F$3)/86400)+(F1637&lt;&gt;"")*(F1637&lt;=($I$3*60+$J$3)/86400)+(H1637&lt;&gt;"")*(H1637&lt;=($M$3*60+$N$3)/86400)</f>
        <v>0</v>
      </c>
      <c r="N1637" s="16"/>
      <c r="O1637" s="15"/>
    </row>
    <row r="1638" customFormat="false" ht="15" hidden="false" customHeight="false" outlineLevel="0" collapsed="false">
      <c r="A1638" s="9" t="n">
        <v>1632</v>
      </c>
      <c r="B1638" s="10" t="s">
        <v>2357</v>
      </c>
      <c r="C1638" s="10" t="s">
        <v>2031</v>
      </c>
      <c r="D1638" s="11"/>
      <c r="E1638" s="12"/>
      <c r="F1638" s="11"/>
      <c r="G1638" s="12"/>
      <c r="H1638" s="11" t="n">
        <v>0.00288090277777778</v>
      </c>
      <c r="I1638" s="12" t="n">
        <v>776</v>
      </c>
      <c r="J1638" s="12" t="n">
        <f aca="false">COUNT(E1638,G1638,I1638)</f>
        <v>1</v>
      </c>
      <c r="K1638" s="13" t="n">
        <f aca="false">MIN(E1638,G1638,I1638)</f>
        <v>776</v>
      </c>
      <c r="L1638" s="9" t="str">
        <f aca="false">IF(E1638=K1638,"5000m",IF(G1638=K1638,"3000mSC","1500m"))</f>
        <v>1500m</v>
      </c>
      <c r="M1638" s="14" t="n">
        <f aca="false">(D1638&lt;&gt;"")*(D1638&lt;=($E$3*60+$F$3)/86400)+(F1638&lt;&gt;"")*(F1638&lt;=($I$3*60+$J$3)/86400)+(H1638&lt;&gt;"")*(H1638&lt;=($M$3*60+$N$3)/86400)</f>
        <v>0</v>
      </c>
      <c r="N1638" s="16"/>
      <c r="O1638" s="15"/>
    </row>
    <row r="1639" customFormat="false" ht="25.35" hidden="false" customHeight="false" outlineLevel="0" collapsed="false">
      <c r="A1639" s="9" t="n">
        <v>1633</v>
      </c>
      <c r="B1639" s="10" t="s">
        <v>2358</v>
      </c>
      <c r="C1639" s="10" t="s">
        <v>277</v>
      </c>
      <c r="D1639" s="11" t="n">
        <v>0.0109872685185185</v>
      </c>
      <c r="E1639" s="12" t="n">
        <v>1076</v>
      </c>
      <c r="F1639" s="11" t="n">
        <v>0.00740451388888889</v>
      </c>
      <c r="G1639" s="12" t="n">
        <v>777</v>
      </c>
      <c r="H1639" s="11" t="n">
        <v>0.00289212962962963</v>
      </c>
      <c r="I1639" s="12" t="n">
        <v>892</v>
      </c>
      <c r="J1639" s="12" t="n">
        <f aca="false">COUNT(E1639,G1639,I1639)</f>
        <v>3</v>
      </c>
      <c r="K1639" s="13" t="n">
        <f aca="false">MIN(E1639,G1639,I1639)</f>
        <v>777</v>
      </c>
      <c r="L1639" s="9" t="str">
        <f aca="false">IF(E1639=K1639,"5000m",IF(G1639=K1639,"3000mSC","1500m"))</f>
        <v>3000mSC</v>
      </c>
      <c r="M1639" s="14" t="n">
        <f aca="false">(D1639&lt;&gt;"")*(D1639&lt;=($E$3*60+$F$3)/86400)+(F1639&lt;&gt;"")*(F1639&lt;=($I$3*60+$J$3)/86400)+(H1639&lt;&gt;"")*(H1639&lt;=($M$3*60+$N$3)/86400)</f>
        <v>0</v>
      </c>
      <c r="N1639" s="16"/>
      <c r="O1639" s="15"/>
    </row>
    <row r="1640" customFormat="false" ht="15" hidden="false" customHeight="false" outlineLevel="0" collapsed="false">
      <c r="A1640" s="9" t="n">
        <v>1634</v>
      </c>
      <c r="B1640" s="10" t="s">
        <v>2359</v>
      </c>
      <c r="C1640" s="10" t="s">
        <v>105</v>
      </c>
      <c r="D1640" s="11" t="n">
        <v>0.010819212962963</v>
      </c>
      <c r="E1640" s="12" t="n">
        <v>777</v>
      </c>
      <c r="F1640" s="11"/>
      <c r="G1640" s="12"/>
      <c r="H1640" s="11"/>
      <c r="I1640" s="12"/>
      <c r="J1640" s="12" t="n">
        <f aca="false">COUNT(E1640,G1640,I1640)</f>
        <v>1</v>
      </c>
      <c r="K1640" s="13" t="n">
        <f aca="false">MIN(E1640,G1640,I1640)</f>
        <v>777</v>
      </c>
      <c r="L1640" s="9" t="str">
        <f aca="false">IF(E1640=K1640,"5000m",IF(G1640=K1640,"3000mSC","1500m"))</f>
        <v>5000m</v>
      </c>
      <c r="M1640" s="14" t="n">
        <f aca="false">(D1640&lt;&gt;"")*(D1640&lt;=($E$3*60+$F$3)/86400)+(F1640&lt;&gt;"")*(F1640&lt;=($I$3*60+$J$3)/86400)+(H1640&lt;&gt;"")*(H1640&lt;=($M$3*60+$N$3)/86400)</f>
        <v>0</v>
      </c>
      <c r="N1640" s="16"/>
      <c r="O1640" s="15"/>
    </row>
    <row r="1641" customFormat="false" ht="15" hidden="false" customHeight="false" outlineLevel="0" collapsed="false">
      <c r="A1641" s="9" t="n">
        <v>1635</v>
      </c>
      <c r="B1641" s="10" t="s">
        <v>2360</v>
      </c>
      <c r="C1641" s="10" t="s">
        <v>208</v>
      </c>
      <c r="D1641" s="11" t="n">
        <v>0.0108200231481482</v>
      </c>
      <c r="E1641" s="12" t="n">
        <v>778</v>
      </c>
      <c r="F1641" s="11"/>
      <c r="G1641" s="12"/>
      <c r="H1641" s="11"/>
      <c r="I1641" s="12"/>
      <c r="J1641" s="12" t="n">
        <f aca="false">COUNT(E1641,G1641,I1641)</f>
        <v>1</v>
      </c>
      <c r="K1641" s="13" t="n">
        <f aca="false">MIN(E1641,G1641,I1641)</f>
        <v>778</v>
      </c>
      <c r="L1641" s="9" t="str">
        <f aca="false">IF(E1641=K1641,"5000m",IF(G1641=K1641,"3000mSC","1500m"))</f>
        <v>5000m</v>
      </c>
      <c r="M1641" s="14" t="n">
        <f aca="false">(D1641&lt;&gt;"")*(D1641&lt;=($E$3*60+$F$3)/86400)+(F1641&lt;&gt;"")*(F1641&lt;=($I$3*60+$J$3)/86400)+(H1641&lt;&gt;"")*(H1641&lt;=($M$3*60+$N$3)/86400)</f>
        <v>0</v>
      </c>
      <c r="N1641" s="16"/>
      <c r="O1641" s="15"/>
    </row>
    <row r="1642" customFormat="false" ht="25.35" hidden="false" customHeight="false" outlineLevel="0" collapsed="false">
      <c r="A1642" s="9" t="n">
        <v>1636</v>
      </c>
      <c r="B1642" s="10" t="s">
        <v>2361</v>
      </c>
      <c r="C1642" s="10" t="s">
        <v>45</v>
      </c>
      <c r="D1642" s="11"/>
      <c r="E1642" s="12"/>
      <c r="F1642" s="11" t="n">
        <v>0.00740474537037037</v>
      </c>
      <c r="G1642" s="12" t="n">
        <v>778</v>
      </c>
      <c r="H1642" s="11"/>
      <c r="I1642" s="12"/>
      <c r="J1642" s="12" t="n">
        <f aca="false">COUNT(E1642,G1642,I1642)</f>
        <v>1</v>
      </c>
      <c r="K1642" s="13" t="n">
        <f aca="false">MIN(E1642,G1642,I1642)</f>
        <v>778</v>
      </c>
      <c r="L1642" s="9" t="str">
        <f aca="false">IF(E1642=K1642,"5000m",IF(G1642=K1642,"3000mSC","1500m"))</f>
        <v>3000mSC</v>
      </c>
      <c r="M1642" s="14" t="n">
        <f aca="false">(D1642&lt;&gt;"")*(D1642&lt;=($E$3*60+$F$3)/86400)+(F1642&lt;&gt;"")*(F1642&lt;=($I$3*60+$J$3)/86400)+(H1642&lt;&gt;"")*(H1642&lt;=($M$3*60+$N$3)/86400)</f>
        <v>0</v>
      </c>
      <c r="N1642" s="16"/>
      <c r="O1642" s="15"/>
    </row>
    <row r="1643" customFormat="false" ht="25.35" hidden="false" customHeight="false" outlineLevel="0" collapsed="false">
      <c r="A1643" s="9" t="n">
        <v>1637</v>
      </c>
      <c r="B1643" s="10" t="s">
        <v>2362</v>
      </c>
      <c r="C1643" s="10" t="s">
        <v>2363</v>
      </c>
      <c r="D1643" s="11"/>
      <c r="E1643" s="12"/>
      <c r="F1643" s="11" t="n">
        <v>0.00740509259259259</v>
      </c>
      <c r="G1643" s="12" t="n">
        <v>779</v>
      </c>
      <c r="H1643" s="11"/>
      <c r="I1643" s="12"/>
      <c r="J1643" s="12" t="n">
        <f aca="false">COUNT(E1643,G1643,I1643)</f>
        <v>1</v>
      </c>
      <c r="K1643" s="13" t="n">
        <f aca="false">MIN(E1643,G1643,I1643)</f>
        <v>779</v>
      </c>
      <c r="L1643" s="9" t="str">
        <f aca="false">IF(E1643=K1643,"5000m",IF(G1643=K1643,"3000mSC","1500m"))</f>
        <v>3000mSC</v>
      </c>
      <c r="M1643" s="14" t="n">
        <f aca="false">(D1643&lt;&gt;"")*(D1643&lt;=($E$3*60+$F$3)/86400)+(F1643&lt;&gt;"")*(F1643&lt;=($I$3*60+$J$3)/86400)+(H1643&lt;&gt;"")*(H1643&lt;=($M$3*60+$N$3)/86400)</f>
        <v>0</v>
      </c>
      <c r="N1643" s="16"/>
      <c r="O1643" s="15"/>
    </row>
    <row r="1644" customFormat="false" ht="15" hidden="false" customHeight="false" outlineLevel="0" collapsed="false">
      <c r="A1644" s="9" t="n">
        <v>1638</v>
      </c>
      <c r="B1644" s="10" t="s">
        <v>2364</v>
      </c>
      <c r="C1644" s="10" t="s">
        <v>947</v>
      </c>
      <c r="D1644" s="11"/>
      <c r="E1644" s="12"/>
      <c r="F1644" s="11"/>
      <c r="G1644" s="12"/>
      <c r="H1644" s="11" t="n">
        <v>0.00288113425925926</v>
      </c>
      <c r="I1644" s="12" t="n">
        <v>779</v>
      </c>
      <c r="J1644" s="12" t="n">
        <f aca="false">COUNT(E1644,G1644,I1644)</f>
        <v>1</v>
      </c>
      <c r="K1644" s="13" t="n">
        <f aca="false">MIN(E1644,G1644,I1644)</f>
        <v>779</v>
      </c>
      <c r="L1644" s="9" t="str">
        <f aca="false">IF(E1644=K1644,"5000m",IF(G1644=K1644,"3000mSC","1500m"))</f>
        <v>1500m</v>
      </c>
      <c r="M1644" s="14" t="n">
        <f aca="false">(D1644&lt;&gt;"")*(D1644&lt;=($E$3*60+$F$3)/86400)+(F1644&lt;&gt;"")*(F1644&lt;=($I$3*60+$J$3)/86400)+(H1644&lt;&gt;"")*(H1644&lt;=($M$3*60+$N$3)/86400)</f>
        <v>0</v>
      </c>
      <c r="N1644" s="16"/>
      <c r="O1644" s="15"/>
    </row>
    <row r="1645" customFormat="false" ht="15" hidden="false" customHeight="false" outlineLevel="0" collapsed="false">
      <c r="A1645" s="9" t="n">
        <v>1639</v>
      </c>
      <c r="B1645" s="10" t="s">
        <v>2365</v>
      </c>
      <c r="C1645" s="10" t="s">
        <v>49</v>
      </c>
      <c r="D1645" s="11" t="n">
        <v>0.0108225694444445</v>
      </c>
      <c r="E1645" s="12" t="n">
        <v>780</v>
      </c>
      <c r="F1645" s="11"/>
      <c r="G1645" s="12"/>
      <c r="H1645" s="11"/>
      <c r="I1645" s="12"/>
      <c r="J1645" s="12" t="n">
        <f aca="false">COUNT(E1645,G1645,I1645)</f>
        <v>1</v>
      </c>
      <c r="K1645" s="13" t="n">
        <f aca="false">MIN(E1645,G1645,I1645)</f>
        <v>780</v>
      </c>
      <c r="L1645" s="9" t="str">
        <f aca="false">IF(E1645=K1645,"5000m",IF(G1645=K1645,"3000mSC","1500m"))</f>
        <v>5000m</v>
      </c>
      <c r="M1645" s="14" t="n">
        <f aca="false">(D1645&lt;&gt;"")*(D1645&lt;=($E$3*60+$F$3)/86400)+(F1645&lt;&gt;"")*(F1645&lt;=($I$3*60+$J$3)/86400)+(H1645&lt;&gt;"")*(H1645&lt;=($M$3*60+$N$3)/86400)</f>
        <v>0</v>
      </c>
      <c r="N1645" s="16"/>
      <c r="O1645" s="15"/>
    </row>
    <row r="1646" customFormat="false" ht="25.35" hidden="false" customHeight="false" outlineLevel="0" collapsed="false">
      <c r="A1646" s="9" t="n">
        <v>1640</v>
      </c>
      <c r="B1646" s="10" t="s">
        <v>2366</v>
      </c>
      <c r="C1646" s="10" t="s">
        <v>267</v>
      </c>
      <c r="D1646" s="11"/>
      <c r="E1646" s="12"/>
      <c r="F1646" s="11" t="n">
        <v>0.00740555555555556</v>
      </c>
      <c r="G1646" s="12" t="n">
        <v>780</v>
      </c>
      <c r="H1646" s="11"/>
      <c r="I1646" s="12"/>
      <c r="J1646" s="12" t="n">
        <f aca="false">COUNT(E1646,G1646,I1646)</f>
        <v>1</v>
      </c>
      <c r="K1646" s="13" t="n">
        <f aca="false">MIN(E1646,G1646,I1646)</f>
        <v>780</v>
      </c>
      <c r="L1646" s="9" t="str">
        <f aca="false">IF(E1646=K1646,"5000m",IF(G1646=K1646,"3000mSC","1500m"))</f>
        <v>3000mSC</v>
      </c>
      <c r="M1646" s="14" t="n">
        <f aca="false">(D1646&lt;&gt;"")*(D1646&lt;=($E$3*60+$F$3)/86400)+(F1646&lt;&gt;"")*(F1646&lt;=($I$3*60+$J$3)/86400)+(H1646&lt;&gt;"")*(H1646&lt;=($M$3*60+$N$3)/86400)</f>
        <v>0</v>
      </c>
      <c r="N1646" s="16"/>
      <c r="O1646" s="15"/>
    </row>
    <row r="1647" customFormat="false" ht="15" hidden="false" customHeight="false" outlineLevel="0" collapsed="false">
      <c r="A1647" s="9" t="n">
        <v>1641</v>
      </c>
      <c r="B1647" s="10" t="s">
        <v>2367</v>
      </c>
      <c r="C1647" s="10" t="s">
        <v>1839</v>
      </c>
      <c r="D1647" s="11"/>
      <c r="E1647" s="12"/>
      <c r="F1647" s="11"/>
      <c r="G1647" s="12"/>
      <c r="H1647" s="11" t="n">
        <v>0.00288125</v>
      </c>
      <c r="I1647" s="12" t="n">
        <v>780</v>
      </c>
      <c r="J1647" s="12" t="n">
        <f aca="false">COUNT(E1647,G1647,I1647)</f>
        <v>1</v>
      </c>
      <c r="K1647" s="13" t="n">
        <f aca="false">MIN(E1647,G1647,I1647)</f>
        <v>780</v>
      </c>
      <c r="L1647" s="9" t="str">
        <f aca="false">IF(E1647=K1647,"5000m",IF(G1647=K1647,"3000mSC","1500m"))</f>
        <v>1500m</v>
      </c>
      <c r="M1647" s="14" t="n">
        <f aca="false">(D1647&lt;&gt;"")*(D1647&lt;=($E$3*60+$F$3)/86400)+(F1647&lt;&gt;"")*(F1647&lt;=($I$3*60+$J$3)/86400)+(H1647&lt;&gt;"")*(H1647&lt;=($M$3*60+$N$3)/86400)</f>
        <v>0</v>
      </c>
      <c r="N1647" s="16"/>
      <c r="O1647" s="15"/>
    </row>
    <row r="1648" customFormat="false" ht="15" hidden="false" customHeight="false" outlineLevel="0" collapsed="false">
      <c r="A1648" s="9" t="n">
        <v>1642</v>
      </c>
      <c r="B1648" s="10" t="s">
        <v>2368</v>
      </c>
      <c r="C1648" s="10" t="s">
        <v>41</v>
      </c>
      <c r="D1648" s="11" t="n">
        <v>0.0108229166666667</v>
      </c>
      <c r="E1648" s="12" t="n">
        <v>781</v>
      </c>
      <c r="F1648" s="11"/>
      <c r="G1648" s="12"/>
      <c r="H1648" s="11" t="n">
        <v>0.0028974537037037</v>
      </c>
      <c r="I1648" s="12" t="n">
        <v>931</v>
      </c>
      <c r="J1648" s="12" t="n">
        <f aca="false">COUNT(E1648,G1648,I1648)</f>
        <v>2</v>
      </c>
      <c r="K1648" s="13" t="n">
        <f aca="false">MIN(E1648,G1648,I1648)</f>
        <v>781</v>
      </c>
      <c r="L1648" s="9" t="str">
        <f aca="false">IF(E1648=K1648,"5000m",IF(G1648=K1648,"3000mSC","1500m"))</f>
        <v>5000m</v>
      </c>
      <c r="M1648" s="14" t="n">
        <f aca="false">(D1648&lt;&gt;"")*(D1648&lt;=($E$3*60+$F$3)/86400)+(F1648&lt;&gt;"")*(F1648&lt;=($I$3*60+$J$3)/86400)+(H1648&lt;&gt;"")*(H1648&lt;=($M$3*60+$N$3)/86400)</f>
        <v>0</v>
      </c>
      <c r="N1648" s="16"/>
      <c r="O1648" s="15"/>
    </row>
    <row r="1649" customFormat="false" ht="25.35" hidden="false" customHeight="false" outlineLevel="0" collapsed="false">
      <c r="A1649" s="9" t="n">
        <v>1643</v>
      </c>
      <c r="B1649" s="10" t="s">
        <v>2369</v>
      </c>
      <c r="C1649" s="10" t="s">
        <v>1051</v>
      </c>
      <c r="D1649" s="11"/>
      <c r="E1649" s="12"/>
      <c r="F1649" s="11" t="n">
        <v>0.00740868055555556</v>
      </c>
      <c r="G1649" s="12" t="n">
        <v>782</v>
      </c>
      <c r="H1649" s="11"/>
      <c r="I1649" s="12"/>
      <c r="J1649" s="12" t="n">
        <f aca="false">COUNT(E1649,G1649,I1649)</f>
        <v>1</v>
      </c>
      <c r="K1649" s="13" t="n">
        <f aca="false">MIN(E1649,G1649,I1649)</f>
        <v>782</v>
      </c>
      <c r="L1649" s="9" t="str">
        <f aca="false">IF(E1649=K1649,"5000m",IF(G1649=K1649,"3000mSC","1500m"))</f>
        <v>3000mSC</v>
      </c>
      <c r="M1649" s="14" t="n">
        <f aca="false">(D1649&lt;&gt;"")*(D1649&lt;=($E$3*60+$F$3)/86400)+(F1649&lt;&gt;"")*(F1649&lt;=($I$3*60+$J$3)/86400)+(H1649&lt;&gt;"")*(H1649&lt;=($M$3*60+$N$3)/86400)</f>
        <v>0</v>
      </c>
      <c r="N1649" s="16"/>
      <c r="O1649" s="15"/>
    </row>
    <row r="1650" customFormat="false" ht="15" hidden="false" customHeight="false" outlineLevel="0" collapsed="false">
      <c r="A1650" s="9" t="n">
        <v>1644</v>
      </c>
      <c r="B1650" s="10" t="s">
        <v>2370</v>
      </c>
      <c r="C1650" s="10" t="s">
        <v>850</v>
      </c>
      <c r="D1650" s="11"/>
      <c r="E1650" s="12"/>
      <c r="F1650" s="11"/>
      <c r="G1650" s="12"/>
      <c r="H1650" s="11" t="n">
        <v>0.00288136574074074</v>
      </c>
      <c r="I1650" s="12" t="n">
        <v>782</v>
      </c>
      <c r="J1650" s="12" t="n">
        <f aca="false">COUNT(E1650,G1650,I1650)</f>
        <v>1</v>
      </c>
      <c r="K1650" s="13" t="n">
        <f aca="false">MIN(E1650,G1650,I1650)</f>
        <v>782</v>
      </c>
      <c r="L1650" s="9" t="str">
        <f aca="false">IF(E1650=K1650,"5000m",IF(G1650=K1650,"3000mSC","1500m"))</f>
        <v>1500m</v>
      </c>
      <c r="M1650" s="14" t="n">
        <f aca="false">(D1650&lt;&gt;"")*(D1650&lt;=($E$3*60+$F$3)/86400)+(F1650&lt;&gt;"")*(F1650&lt;=($I$3*60+$J$3)/86400)+(H1650&lt;&gt;"")*(H1650&lt;=($M$3*60+$N$3)/86400)</f>
        <v>0</v>
      </c>
      <c r="N1650" s="16"/>
      <c r="O1650" s="15"/>
    </row>
    <row r="1651" customFormat="false" ht="15" hidden="false" customHeight="false" outlineLevel="0" collapsed="false">
      <c r="A1651" s="9" t="n">
        <v>1645</v>
      </c>
      <c r="B1651" s="10" t="s">
        <v>2371</v>
      </c>
      <c r="C1651" s="10" t="s">
        <v>425</v>
      </c>
      <c r="D1651" s="11" t="n">
        <v>0.010825</v>
      </c>
      <c r="E1651" s="12" t="n">
        <v>783</v>
      </c>
      <c r="F1651" s="11"/>
      <c r="G1651" s="12"/>
      <c r="H1651" s="11"/>
      <c r="I1651" s="12"/>
      <c r="J1651" s="12" t="n">
        <f aca="false">COUNT(E1651,G1651,I1651)</f>
        <v>1</v>
      </c>
      <c r="K1651" s="13" t="n">
        <f aca="false">MIN(E1651,G1651,I1651)</f>
        <v>783</v>
      </c>
      <c r="L1651" s="9" t="str">
        <f aca="false">IF(E1651=K1651,"5000m",IF(G1651=K1651,"3000mSC","1500m"))</f>
        <v>5000m</v>
      </c>
      <c r="M1651" s="14" t="n">
        <f aca="false">(D1651&lt;&gt;"")*(D1651&lt;=($E$3*60+$F$3)/86400)+(F1651&lt;&gt;"")*(F1651&lt;=($I$3*60+$J$3)/86400)+(H1651&lt;&gt;"")*(H1651&lt;=($M$3*60+$N$3)/86400)</f>
        <v>0</v>
      </c>
      <c r="N1651" s="16"/>
      <c r="O1651" s="15"/>
    </row>
    <row r="1652" customFormat="false" ht="25.35" hidden="false" customHeight="false" outlineLevel="0" collapsed="false">
      <c r="A1652" s="9" t="n">
        <v>1646</v>
      </c>
      <c r="B1652" s="10" t="s">
        <v>2372</v>
      </c>
      <c r="C1652" s="10" t="s">
        <v>2373</v>
      </c>
      <c r="D1652" s="11"/>
      <c r="E1652" s="12"/>
      <c r="F1652" s="11" t="n">
        <v>0.00740949074074074</v>
      </c>
      <c r="G1652" s="12" t="n">
        <v>783</v>
      </c>
      <c r="H1652" s="11"/>
      <c r="I1652" s="12"/>
      <c r="J1652" s="12" t="n">
        <f aca="false">COUNT(E1652,G1652,I1652)</f>
        <v>1</v>
      </c>
      <c r="K1652" s="13" t="n">
        <f aca="false">MIN(E1652,G1652,I1652)</f>
        <v>783</v>
      </c>
      <c r="L1652" s="9" t="str">
        <f aca="false">IF(E1652=K1652,"5000m",IF(G1652=K1652,"3000mSC","1500m"))</f>
        <v>3000mSC</v>
      </c>
      <c r="M1652" s="14" t="n">
        <f aca="false">(D1652&lt;&gt;"")*(D1652&lt;=($E$3*60+$F$3)/86400)+(F1652&lt;&gt;"")*(F1652&lt;=($I$3*60+$J$3)/86400)+(H1652&lt;&gt;"")*(H1652&lt;=($M$3*60+$N$3)/86400)</f>
        <v>0</v>
      </c>
      <c r="N1652" s="16"/>
      <c r="O1652" s="15"/>
    </row>
    <row r="1653" customFormat="false" ht="25.35" hidden="false" customHeight="false" outlineLevel="0" collapsed="false">
      <c r="A1653" s="9" t="n">
        <v>1647</v>
      </c>
      <c r="B1653" s="10" t="s">
        <v>2374</v>
      </c>
      <c r="C1653" s="10" t="s">
        <v>1871</v>
      </c>
      <c r="D1653" s="11"/>
      <c r="E1653" s="12"/>
      <c r="F1653" s="11" t="n">
        <v>0.00741122685185185</v>
      </c>
      <c r="G1653" s="12" t="n">
        <v>784</v>
      </c>
      <c r="H1653" s="11"/>
      <c r="I1653" s="12"/>
      <c r="J1653" s="12" t="n">
        <f aca="false">COUNT(E1653,G1653,I1653)</f>
        <v>1</v>
      </c>
      <c r="K1653" s="13" t="n">
        <f aca="false">MIN(E1653,G1653,I1653)</f>
        <v>784</v>
      </c>
      <c r="L1653" s="9" t="str">
        <f aca="false">IF(E1653=K1653,"5000m",IF(G1653=K1653,"3000mSC","1500m"))</f>
        <v>3000mSC</v>
      </c>
      <c r="M1653" s="14" t="n">
        <f aca="false">(D1653&lt;&gt;"")*(D1653&lt;=($E$3*60+$F$3)/86400)+(F1653&lt;&gt;"")*(F1653&lt;=($I$3*60+$J$3)/86400)+(H1653&lt;&gt;"")*(H1653&lt;=($M$3*60+$N$3)/86400)</f>
        <v>0</v>
      </c>
      <c r="N1653" s="16"/>
      <c r="O1653" s="15"/>
    </row>
    <row r="1654" customFormat="false" ht="15" hidden="false" customHeight="false" outlineLevel="0" collapsed="false">
      <c r="A1654" s="9" t="n">
        <v>1648</v>
      </c>
      <c r="B1654" s="10" t="s">
        <v>2375</v>
      </c>
      <c r="C1654" s="10" t="s">
        <v>25</v>
      </c>
      <c r="D1654" s="11" t="n">
        <v>0.0108256944444445</v>
      </c>
      <c r="E1654" s="12" t="n">
        <v>785</v>
      </c>
      <c r="F1654" s="11"/>
      <c r="G1654" s="12"/>
      <c r="H1654" s="11" t="n">
        <v>0.00292303240740741</v>
      </c>
      <c r="I1654" s="12" t="n">
        <v>1126</v>
      </c>
      <c r="J1654" s="12" t="n">
        <f aca="false">COUNT(E1654,G1654,I1654)</f>
        <v>2</v>
      </c>
      <c r="K1654" s="13" t="n">
        <f aca="false">MIN(E1654,G1654,I1654)</f>
        <v>785</v>
      </c>
      <c r="L1654" s="9" t="str">
        <f aca="false">IF(E1654=K1654,"5000m",IF(G1654=K1654,"3000mSC","1500m"))</f>
        <v>5000m</v>
      </c>
      <c r="M1654" s="14" t="n">
        <f aca="false">(D1654&lt;&gt;"")*(D1654&lt;=($E$3*60+$F$3)/86400)+(F1654&lt;&gt;"")*(F1654&lt;=($I$3*60+$J$3)/86400)+(H1654&lt;&gt;"")*(H1654&lt;=($M$3*60+$N$3)/86400)</f>
        <v>0</v>
      </c>
      <c r="N1654" s="16"/>
      <c r="O1654" s="15"/>
    </row>
    <row r="1655" customFormat="false" ht="25.35" hidden="false" customHeight="false" outlineLevel="0" collapsed="false">
      <c r="A1655" s="9" t="n">
        <v>1649</v>
      </c>
      <c r="B1655" s="10" t="s">
        <v>2376</v>
      </c>
      <c r="C1655" s="10" t="s">
        <v>1764</v>
      </c>
      <c r="D1655" s="11"/>
      <c r="E1655" s="12"/>
      <c r="F1655" s="11" t="n">
        <v>0.00741226851851852</v>
      </c>
      <c r="G1655" s="12" t="n">
        <v>785</v>
      </c>
      <c r="H1655" s="11"/>
      <c r="I1655" s="12"/>
      <c r="J1655" s="12" t="n">
        <f aca="false">COUNT(E1655,G1655,I1655)</f>
        <v>1</v>
      </c>
      <c r="K1655" s="13" t="n">
        <f aca="false">MIN(E1655,G1655,I1655)</f>
        <v>785</v>
      </c>
      <c r="L1655" s="9" t="str">
        <f aca="false">IF(E1655=K1655,"5000m",IF(G1655=K1655,"3000mSC","1500m"))</f>
        <v>3000mSC</v>
      </c>
      <c r="M1655" s="14" t="n">
        <f aca="false">(D1655&lt;&gt;"")*(D1655&lt;=($E$3*60+$F$3)/86400)+(F1655&lt;&gt;"")*(F1655&lt;=($I$3*60+$J$3)/86400)+(H1655&lt;&gt;"")*(H1655&lt;=($M$3*60+$N$3)/86400)</f>
        <v>0</v>
      </c>
      <c r="N1655" s="16"/>
      <c r="O1655" s="15"/>
    </row>
    <row r="1656" customFormat="false" ht="15" hidden="false" customHeight="false" outlineLevel="0" collapsed="false">
      <c r="A1656" s="9" t="n">
        <v>1650</v>
      </c>
      <c r="B1656" s="10" t="s">
        <v>2377</v>
      </c>
      <c r="C1656" s="10" t="s">
        <v>616</v>
      </c>
      <c r="D1656" s="11"/>
      <c r="E1656" s="12"/>
      <c r="F1656" s="11"/>
      <c r="G1656" s="12"/>
      <c r="H1656" s="11" t="n">
        <v>0.00288171296296296</v>
      </c>
      <c r="I1656" s="12" t="n">
        <v>786</v>
      </c>
      <c r="J1656" s="12" t="n">
        <f aca="false">COUNT(E1656,G1656,I1656)</f>
        <v>1</v>
      </c>
      <c r="K1656" s="13" t="n">
        <f aca="false">MIN(E1656,G1656,I1656)</f>
        <v>786</v>
      </c>
      <c r="L1656" s="9" t="str">
        <f aca="false">IF(E1656=K1656,"5000m",IF(G1656=K1656,"3000mSC","1500m"))</f>
        <v>1500m</v>
      </c>
      <c r="M1656" s="14" t="n">
        <f aca="false">(D1656&lt;&gt;"")*(D1656&lt;=($E$3*60+$F$3)/86400)+(F1656&lt;&gt;"")*(F1656&lt;=($I$3*60+$J$3)/86400)+(H1656&lt;&gt;"")*(H1656&lt;=($M$3*60+$N$3)/86400)</f>
        <v>0</v>
      </c>
      <c r="N1656" s="16"/>
      <c r="O1656" s="15"/>
    </row>
    <row r="1657" customFormat="false" ht="15" hidden="false" customHeight="false" outlineLevel="0" collapsed="false">
      <c r="A1657" s="9" t="n">
        <v>1651</v>
      </c>
      <c r="B1657" s="10" t="s">
        <v>2378</v>
      </c>
      <c r="C1657" s="10" t="s">
        <v>482</v>
      </c>
      <c r="D1657" s="11" t="n">
        <v>0.0108275462962963</v>
      </c>
      <c r="E1657" s="12" t="n">
        <v>787</v>
      </c>
      <c r="F1657" s="11"/>
      <c r="G1657" s="12"/>
      <c r="H1657" s="11"/>
      <c r="I1657" s="12"/>
      <c r="J1657" s="12" t="n">
        <f aca="false">COUNT(E1657,G1657,I1657)</f>
        <v>1</v>
      </c>
      <c r="K1657" s="13" t="n">
        <f aca="false">MIN(E1657,G1657,I1657)</f>
        <v>787</v>
      </c>
      <c r="L1657" s="9" t="str">
        <f aca="false">IF(E1657=K1657,"5000m",IF(G1657=K1657,"3000mSC","1500m"))</f>
        <v>5000m</v>
      </c>
      <c r="M1657" s="14" t="n">
        <f aca="false">(D1657&lt;&gt;"")*(D1657&lt;=($E$3*60+$F$3)/86400)+(F1657&lt;&gt;"")*(F1657&lt;=($I$3*60+$J$3)/86400)+(H1657&lt;&gt;"")*(H1657&lt;=($M$3*60+$N$3)/86400)</f>
        <v>0</v>
      </c>
      <c r="N1657" s="16"/>
      <c r="O1657" s="15"/>
    </row>
    <row r="1658" customFormat="false" ht="25.35" hidden="false" customHeight="false" outlineLevel="0" collapsed="false">
      <c r="A1658" s="9" t="n">
        <v>1652</v>
      </c>
      <c r="B1658" s="10" t="s">
        <v>2379</v>
      </c>
      <c r="C1658" s="10" t="s">
        <v>1383</v>
      </c>
      <c r="D1658" s="11"/>
      <c r="E1658" s="12"/>
      <c r="F1658" s="11" t="n">
        <v>0.00741493055555556</v>
      </c>
      <c r="G1658" s="12" t="n">
        <v>787</v>
      </c>
      <c r="H1658" s="11"/>
      <c r="I1658" s="12"/>
      <c r="J1658" s="12" t="n">
        <f aca="false">COUNT(E1658,G1658,I1658)</f>
        <v>1</v>
      </c>
      <c r="K1658" s="13" t="n">
        <f aca="false">MIN(E1658,G1658,I1658)</f>
        <v>787</v>
      </c>
      <c r="L1658" s="9" t="str">
        <f aca="false">IF(E1658=K1658,"5000m",IF(G1658=K1658,"3000mSC","1500m"))</f>
        <v>3000mSC</v>
      </c>
      <c r="M1658" s="14" t="n">
        <f aca="false">(D1658&lt;&gt;"")*(D1658&lt;=($E$3*60+$F$3)/86400)+(F1658&lt;&gt;"")*(F1658&lt;=($I$3*60+$J$3)/86400)+(H1658&lt;&gt;"")*(H1658&lt;=($M$3*60+$N$3)/86400)</f>
        <v>0</v>
      </c>
      <c r="N1658" s="16"/>
      <c r="O1658" s="15"/>
    </row>
    <row r="1659" customFormat="false" ht="15" hidden="false" customHeight="false" outlineLevel="0" collapsed="false">
      <c r="A1659" s="9" t="n">
        <v>1653</v>
      </c>
      <c r="B1659" s="10" t="s">
        <v>2380</v>
      </c>
      <c r="C1659" s="10" t="s">
        <v>1738</v>
      </c>
      <c r="D1659" s="11"/>
      <c r="E1659" s="12"/>
      <c r="F1659" s="11"/>
      <c r="G1659" s="12"/>
      <c r="H1659" s="11" t="n">
        <v>0.00288194444444444</v>
      </c>
      <c r="I1659" s="12" t="n">
        <v>788</v>
      </c>
      <c r="J1659" s="12" t="n">
        <f aca="false">COUNT(E1659,G1659,I1659)</f>
        <v>1</v>
      </c>
      <c r="K1659" s="13" t="n">
        <f aca="false">MIN(E1659,G1659,I1659)</f>
        <v>788</v>
      </c>
      <c r="L1659" s="9" t="str">
        <f aca="false">IF(E1659=K1659,"5000m",IF(G1659=K1659,"3000mSC","1500m"))</f>
        <v>1500m</v>
      </c>
      <c r="M1659" s="14" t="n">
        <f aca="false">(D1659&lt;&gt;"")*(D1659&lt;=($E$3*60+$F$3)/86400)+(F1659&lt;&gt;"")*(F1659&lt;=($I$3*60+$J$3)/86400)+(H1659&lt;&gt;"")*(H1659&lt;=($M$3*60+$N$3)/86400)</f>
        <v>0</v>
      </c>
      <c r="N1659" s="10" t="s">
        <v>2381</v>
      </c>
      <c r="O1659" s="15"/>
    </row>
    <row r="1660" customFormat="false" ht="25.35" hidden="false" customHeight="false" outlineLevel="0" collapsed="false">
      <c r="A1660" s="9" t="n">
        <v>1654</v>
      </c>
      <c r="B1660" s="10" t="s">
        <v>2382</v>
      </c>
      <c r="C1660" s="10" t="s">
        <v>181</v>
      </c>
      <c r="D1660" s="11"/>
      <c r="E1660" s="12"/>
      <c r="F1660" s="11" t="n">
        <v>0.00741678240740741</v>
      </c>
      <c r="G1660" s="12" t="n">
        <v>789</v>
      </c>
      <c r="H1660" s="11"/>
      <c r="I1660" s="12"/>
      <c r="J1660" s="12" t="n">
        <f aca="false">COUNT(E1660,G1660,I1660)</f>
        <v>1</v>
      </c>
      <c r="K1660" s="13" t="n">
        <f aca="false">MIN(E1660,G1660,I1660)</f>
        <v>789</v>
      </c>
      <c r="L1660" s="9" t="str">
        <f aca="false">IF(E1660=K1660,"5000m",IF(G1660=K1660,"3000mSC","1500m"))</f>
        <v>3000mSC</v>
      </c>
      <c r="M1660" s="14" t="n">
        <f aca="false">(D1660&lt;&gt;"")*(D1660&lt;=($E$3*60+$F$3)/86400)+(F1660&lt;&gt;"")*(F1660&lt;=($I$3*60+$J$3)/86400)+(H1660&lt;&gt;"")*(H1660&lt;=($M$3*60+$N$3)/86400)</f>
        <v>0</v>
      </c>
      <c r="N1660" s="16"/>
      <c r="O1660" s="15"/>
    </row>
    <row r="1661" customFormat="false" ht="15" hidden="false" customHeight="false" outlineLevel="0" collapsed="false">
      <c r="A1661" s="9" t="n">
        <v>1655</v>
      </c>
      <c r="B1661" s="10" t="s">
        <v>2383</v>
      </c>
      <c r="C1661" s="10" t="s">
        <v>660</v>
      </c>
      <c r="D1661" s="11"/>
      <c r="E1661" s="12"/>
      <c r="F1661" s="11"/>
      <c r="G1661" s="12"/>
      <c r="H1661" s="11" t="n">
        <v>0.00288194444444444</v>
      </c>
      <c r="I1661" s="12" t="n">
        <v>789</v>
      </c>
      <c r="J1661" s="12" t="n">
        <f aca="false">COUNT(E1661,G1661,I1661)</f>
        <v>1</v>
      </c>
      <c r="K1661" s="13" t="n">
        <f aca="false">MIN(E1661,G1661,I1661)</f>
        <v>789</v>
      </c>
      <c r="L1661" s="9" t="str">
        <f aca="false">IF(E1661=K1661,"5000m",IF(G1661=K1661,"3000mSC","1500m"))</f>
        <v>1500m</v>
      </c>
      <c r="M1661" s="14" t="n">
        <f aca="false">(D1661&lt;&gt;"")*(D1661&lt;=($E$3*60+$F$3)/86400)+(F1661&lt;&gt;"")*(F1661&lt;=($I$3*60+$J$3)/86400)+(H1661&lt;&gt;"")*(H1661&lt;=($M$3*60+$N$3)/86400)</f>
        <v>0</v>
      </c>
      <c r="N1661" s="16"/>
      <c r="O1661" s="15"/>
    </row>
    <row r="1662" customFormat="false" ht="15" hidden="false" customHeight="false" outlineLevel="0" collapsed="false">
      <c r="A1662" s="9" t="n">
        <v>1656</v>
      </c>
      <c r="B1662" s="10" t="s">
        <v>2384</v>
      </c>
      <c r="C1662" s="10" t="s">
        <v>1260</v>
      </c>
      <c r="D1662" s="11" t="n">
        <v>0.0108306712962963</v>
      </c>
      <c r="E1662" s="12" t="n">
        <v>790</v>
      </c>
      <c r="F1662" s="11"/>
      <c r="G1662" s="12"/>
      <c r="H1662" s="11" t="n">
        <v>0.00288206018518519</v>
      </c>
      <c r="I1662" s="12" t="n">
        <v>793</v>
      </c>
      <c r="J1662" s="12" t="n">
        <f aca="false">COUNT(E1662,G1662,I1662)</f>
        <v>2</v>
      </c>
      <c r="K1662" s="13" t="n">
        <f aca="false">MIN(E1662,G1662,I1662)</f>
        <v>790</v>
      </c>
      <c r="L1662" s="9" t="str">
        <f aca="false">IF(E1662=K1662,"5000m",IF(G1662=K1662,"3000mSC","1500m"))</f>
        <v>5000m</v>
      </c>
      <c r="M1662" s="14" t="n">
        <f aca="false">(D1662&lt;&gt;"")*(D1662&lt;=($E$3*60+$F$3)/86400)+(F1662&lt;&gt;"")*(F1662&lt;=($I$3*60+$J$3)/86400)+(H1662&lt;&gt;"")*(H1662&lt;=($M$3*60+$N$3)/86400)</f>
        <v>0</v>
      </c>
      <c r="N1662" s="16"/>
      <c r="O1662" s="15"/>
    </row>
    <row r="1663" customFormat="false" ht="25.35" hidden="false" customHeight="false" outlineLevel="0" collapsed="false">
      <c r="A1663" s="9" t="n">
        <v>1657</v>
      </c>
      <c r="B1663" s="10" t="s">
        <v>2385</v>
      </c>
      <c r="C1663" s="10" t="s">
        <v>2386</v>
      </c>
      <c r="D1663" s="11"/>
      <c r="E1663" s="12"/>
      <c r="F1663" s="11" t="n">
        <v>0.00741724537037037</v>
      </c>
      <c r="G1663" s="12" t="n">
        <v>790</v>
      </c>
      <c r="H1663" s="11"/>
      <c r="I1663" s="12"/>
      <c r="J1663" s="12" t="n">
        <f aca="false">COUNT(E1663,G1663,I1663)</f>
        <v>1</v>
      </c>
      <c r="K1663" s="13" t="n">
        <f aca="false">MIN(E1663,G1663,I1663)</f>
        <v>790</v>
      </c>
      <c r="L1663" s="9" t="str">
        <f aca="false">IF(E1663=K1663,"5000m",IF(G1663=K1663,"3000mSC","1500m"))</f>
        <v>3000mSC</v>
      </c>
      <c r="M1663" s="14" t="n">
        <f aca="false">(D1663&lt;&gt;"")*(D1663&lt;=($E$3*60+$F$3)/86400)+(F1663&lt;&gt;"")*(F1663&lt;=($I$3*60+$J$3)/86400)+(H1663&lt;&gt;"")*(H1663&lt;=($M$3*60+$N$3)/86400)</f>
        <v>0</v>
      </c>
      <c r="N1663" s="16"/>
      <c r="O1663" s="15"/>
    </row>
    <row r="1664" customFormat="false" ht="15" hidden="false" customHeight="false" outlineLevel="0" collapsed="false">
      <c r="A1664" s="9" t="n">
        <v>1658</v>
      </c>
      <c r="B1664" s="10" t="s">
        <v>2387</v>
      </c>
      <c r="C1664" s="10" t="s">
        <v>473</v>
      </c>
      <c r="D1664" s="11" t="n">
        <v>0.0108310185185185</v>
      </c>
      <c r="E1664" s="12" t="n">
        <v>791</v>
      </c>
      <c r="F1664" s="11"/>
      <c r="G1664" s="12"/>
      <c r="H1664" s="11"/>
      <c r="I1664" s="12"/>
      <c r="J1664" s="12" t="n">
        <f aca="false">COUNT(E1664,G1664,I1664)</f>
        <v>1</v>
      </c>
      <c r="K1664" s="13" t="n">
        <f aca="false">MIN(E1664,G1664,I1664)</f>
        <v>791</v>
      </c>
      <c r="L1664" s="9" t="str">
        <f aca="false">IF(E1664=K1664,"5000m",IF(G1664=K1664,"3000mSC","1500m"))</f>
        <v>5000m</v>
      </c>
      <c r="M1664" s="14" t="n">
        <f aca="false">(D1664&lt;&gt;"")*(D1664&lt;=($E$3*60+$F$3)/86400)+(F1664&lt;&gt;"")*(F1664&lt;=($I$3*60+$J$3)/86400)+(H1664&lt;&gt;"")*(H1664&lt;=($M$3*60+$N$3)/86400)</f>
        <v>0</v>
      </c>
      <c r="N1664" s="16"/>
      <c r="O1664" s="15"/>
    </row>
    <row r="1665" customFormat="false" ht="25.35" hidden="false" customHeight="false" outlineLevel="0" collapsed="false">
      <c r="A1665" s="9" t="n">
        <v>1659</v>
      </c>
      <c r="B1665" s="10" t="s">
        <v>2388</v>
      </c>
      <c r="C1665" s="10" t="s">
        <v>494</v>
      </c>
      <c r="D1665" s="11"/>
      <c r="E1665" s="12"/>
      <c r="F1665" s="11" t="n">
        <v>0.00741736111111111</v>
      </c>
      <c r="G1665" s="12" t="n">
        <v>791</v>
      </c>
      <c r="H1665" s="11"/>
      <c r="I1665" s="12"/>
      <c r="J1665" s="12" t="n">
        <f aca="false">COUNT(E1665,G1665,I1665)</f>
        <v>1</v>
      </c>
      <c r="K1665" s="13" t="n">
        <f aca="false">MIN(E1665,G1665,I1665)</f>
        <v>791</v>
      </c>
      <c r="L1665" s="9" t="str">
        <f aca="false">IF(E1665=K1665,"5000m",IF(G1665=K1665,"3000mSC","1500m"))</f>
        <v>3000mSC</v>
      </c>
      <c r="M1665" s="14" t="n">
        <f aca="false">(D1665&lt;&gt;"")*(D1665&lt;=($E$3*60+$F$3)/86400)+(F1665&lt;&gt;"")*(F1665&lt;=($I$3*60+$J$3)/86400)+(H1665&lt;&gt;"")*(H1665&lt;=($M$3*60+$N$3)/86400)</f>
        <v>0</v>
      </c>
      <c r="N1665" s="16"/>
      <c r="O1665" s="15"/>
    </row>
    <row r="1666" customFormat="false" ht="25.35" hidden="false" customHeight="false" outlineLevel="0" collapsed="false">
      <c r="A1666" s="9" t="n">
        <v>1660</v>
      </c>
      <c r="B1666" s="10" t="s">
        <v>2389</v>
      </c>
      <c r="C1666" s="10" t="s">
        <v>1878</v>
      </c>
      <c r="D1666" s="11"/>
      <c r="E1666" s="12"/>
      <c r="F1666" s="11" t="n">
        <v>0.00741747685185185</v>
      </c>
      <c r="G1666" s="12" t="n">
        <v>792</v>
      </c>
      <c r="H1666" s="11"/>
      <c r="I1666" s="12"/>
      <c r="J1666" s="12" t="n">
        <f aca="false">COUNT(E1666,G1666,I1666)</f>
        <v>1</v>
      </c>
      <c r="K1666" s="13" t="n">
        <f aca="false">MIN(E1666,G1666,I1666)</f>
        <v>792</v>
      </c>
      <c r="L1666" s="9" t="str">
        <f aca="false">IF(E1666=K1666,"5000m",IF(G1666=K1666,"3000mSC","1500m"))</f>
        <v>3000mSC</v>
      </c>
      <c r="M1666" s="14" t="n">
        <f aca="false">(D1666&lt;&gt;"")*(D1666&lt;=($E$3*60+$F$3)/86400)+(F1666&lt;&gt;"")*(F1666&lt;=($I$3*60+$J$3)/86400)+(H1666&lt;&gt;"")*(H1666&lt;=($M$3*60+$N$3)/86400)</f>
        <v>0</v>
      </c>
      <c r="N1666" s="16"/>
      <c r="O1666" s="15"/>
    </row>
    <row r="1667" customFormat="false" ht="15" hidden="false" customHeight="false" outlineLevel="0" collapsed="false">
      <c r="A1667" s="9" t="n">
        <v>1661</v>
      </c>
      <c r="B1667" s="10" t="s">
        <v>2390</v>
      </c>
      <c r="C1667" s="10" t="s">
        <v>93</v>
      </c>
      <c r="D1667" s="11"/>
      <c r="E1667" s="12"/>
      <c r="F1667" s="11"/>
      <c r="G1667" s="12"/>
      <c r="H1667" s="11" t="n">
        <v>0.00288194444444444</v>
      </c>
      <c r="I1667" s="12" t="n">
        <v>792</v>
      </c>
      <c r="J1667" s="12" t="n">
        <f aca="false">COUNT(E1667,G1667,I1667)</f>
        <v>1</v>
      </c>
      <c r="K1667" s="13" t="n">
        <f aca="false">MIN(E1667,G1667,I1667)</f>
        <v>792</v>
      </c>
      <c r="L1667" s="9" t="str">
        <f aca="false">IF(E1667=K1667,"5000m",IF(G1667=K1667,"3000mSC","1500m"))</f>
        <v>1500m</v>
      </c>
      <c r="M1667" s="14" t="n">
        <f aca="false">(D1667&lt;&gt;"")*(D1667&lt;=($E$3*60+$F$3)/86400)+(F1667&lt;&gt;"")*(F1667&lt;=($I$3*60+$J$3)/86400)+(H1667&lt;&gt;"")*(H1667&lt;=($M$3*60+$N$3)/86400)</f>
        <v>0</v>
      </c>
      <c r="N1667" s="16"/>
      <c r="O1667" s="15"/>
    </row>
    <row r="1668" customFormat="false" ht="15" hidden="false" customHeight="false" outlineLevel="0" collapsed="false">
      <c r="A1668" s="9" t="n">
        <v>1662</v>
      </c>
      <c r="B1668" s="10" t="s">
        <v>2391</v>
      </c>
      <c r="C1668" s="10" t="s">
        <v>286</v>
      </c>
      <c r="D1668" s="11" t="n">
        <v>0.0108313657407407</v>
      </c>
      <c r="E1668" s="12" t="n">
        <v>793</v>
      </c>
      <c r="F1668" s="11"/>
      <c r="G1668" s="12"/>
      <c r="H1668" s="11"/>
      <c r="I1668" s="12"/>
      <c r="J1668" s="12" t="n">
        <f aca="false">COUNT(E1668,G1668,I1668)</f>
        <v>1</v>
      </c>
      <c r="K1668" s="13" t="n">
        <f aca="false">MIN(E1668,G1668,I1668)</f>
        <v>793</v>
      </c>
      <c r="L1668" s="9" t="str">
        <f aca="false">IF(E1668=K1668,"5000m",IF(G1668=K1668,"3000mSC","1500m"))</f>
        <v>5000m</v>
      </c>
      <c r="M1668" s="14" t="n">
        <f aca="false">(D1668&lt;&gt;"")*(D1668&lt;=($E$3*60+$F$3)/86400)+(F1668&lt;&gt;"")*(F1668&lt;=($I$3*60+$J$3)/86400)+(H1668&lt;&gt;"")*(H1668&lt;=($M$3*60+$N$3)/86400)</f>
        <v>0</v>
      </c>
      <c r="N1668" s="16"/>
      <c r="O1668" s="15"/>
    </row>
    <row r="1669" customFormat="false" ht="25.35" hidden="false" customHeight="false" outlineLevel="0" collapsed="false">
      <c r="A1669" s="9" t="n">
        <v>1663</v>
      </c>
      <c r="B1669" s="10" t="s">
        <v>2392</v>
      </c>
      <c r="C1669" s="10" t="s">
        <v>2393</v>
      </c>
      <c r="D1669" s="11"/>
      <c r="E1669" s="12"/>
      <c r="F1669" s="11" t="n">
        <v>0.00741886574074074</v>
      </c>
      <c r="G1669" s="12" t="n">
        <v>793</v>
      </c>
      <c r="H1669" s="11"/>
      <c r="I1669" s="12"/>
      <c r="J1669" s="12" t="n">
        <f aca="false">COUNT(E1669,G1669,I1669)</f>
        <v>1</v>
      </c>
      <c r="K1669" s="13" t="n">
        <f aca="false">MIN(E1669,G1669,I1669)</f>
        <v>793</v>
      </c>
      <c r="L1669" s="9" t="str">
        <f aca="false">IF(E1669=K1669,"5000m",IF(G1669=K1669,"3000mSC","1500m"))</f>
        <v>3000mSC</v>
      </c>
      <c r="M1669" s="14" t="n">
        <f aca="false">(D1669&lt;&gt;"")*(D1669&lt;=($E$3*60+$F$3)/86400)+(F1669&lt;&gt;"")*(F1669&lt;=($I$3*60+$J$3)/86400)+(H1669&lt;&gt;"")*(H1669&lt;=($M$3*60+$N$3)/86400)</f>
        <v>0</v>
      </c>
      <c r="N1669" s="16"/>
      <c r="O1669" s="15"/>
    </row>
    <row r="1670" customFormat="false" ht="25.35" hidden="false" customHeight="false" outlineLevel="0" collapsed="false">
      <c r="A1670" s="9" t="n">
        <v>1664</v>
      </c>
      <c r="B1670" s="10" t="s">
        <v>2394</v>
      </c>
      <c r="C1670" s="10" t="s">
        <v>2395</v>
      </c>
      <c r="D1670" s="11"/>
      <c r="E1670" s="12"/>
      <c r="F1670" s="11" t="n">
        <v>0.00742025462962963</v>
      </c>
      <c r="G1670" s="12" t="n">
        <v>794</v>
      </c>
      <c r="H1670" s="11"/>
      <c r="I1670" s="12"/>
      <c r="J1670" s="12" t="n">
        <f aca="false">COUNT(E1670,G1670,I1670)</f>
        <v>1</v>
      </c>
      <c r="K1670" s="13" t="n">
        <f aca="false">MIN(E1670,G1670,I1670)</f>
        <v>794</v>
      </c>
      <c r="L1670" s="9" t="str">
        <f aca="false">IF(E1670=K1670,"5000m",IF(G1670=K1670,"3000mSC","1500m"))</f>
        <v>3000mSC</v>
      </c>
      <c r="M1670" s="14" t="n">
        <f aca="false">(D1670&lt;&gt;"")*(D1670&lt;=($E$3*60+$F$3)/86400)+(F1670&lt;&gt;"")*(F1670&lt;=($I$3*60+$J$3)/86400)+(H1670&lt;&gt;"")*(H1670&lt;=($M$3*60+$N$3)/86400)</f>
        <v>0</v>
      </c>
      <c r="N1670" s="16"/>
      <c r="O1670" s="15"/>
    </row>
    <row r="1671" customFormat="false" ht="15" hidden="false" customHeight="false" outlineLevel="0" collapsed="false">
      <c r="A1671" s="9" t="n">
        <v>1665</v>
      </c>
      <c r="B1671" s="10" t="s">
        <v>2396</v>
      </c>
      <c r="C1671" s="10" t="s">
        <v>546</v>
      </c>
      <c r="D1671" s="11"/>
      <c r="E1671" s="12"/>
      <c r="F1671" s="11"/>
      <c r="G1671" s="12"/>
      <c r="H1671" s="11" t="n">
        <v>0.00288217592592593</v>
      </c>
      <c r="I1671" s="12" t="n">
        <v>795</v>
      </c>
      <c r="J1671" s="12" t="n">
        <f aca="false">COUNT(E1671,G1671,I1671)</f>
        <v>1</v>
      </c>
      <c r="K1671" s="13" t="n">
        <f aca="false">MIN(E1671,G1671,I1671)</f>
        <v>795</v>
      </c>
      <c r="L1671" s="9" t="str">
        <f aca="false">IF(E1671=K1671,"5000m",IF(G1671=K1671,"3000mSC","1500m"))</f>
        <v>1500m</v>
      </c>
      <c r="M1671" s="14" t="n">
        <f aca="false">(D1671&lt;&gt;"")*(D1671&lt;=($E$3*60+$F$3)/86400)+(F1671&lt;&gt;"")*(F1671&lt;=($I$3*60+$J$3)/86400)+(H1671&lt;&gt;"")*(H1671&lt;=($M$3*60+$N$3)/86400)</f>
        <v>0</v>
      </c>
      <c r="N1671" s="16"/>
      <c r="O1671" s="15"/>
    </row>
    <row r="1672" customFormat="false" ht="25.35" hidden="false" customHeight="false" outlineLevel="0" collapsed="false">
      <c r="A1672" s="9" t="n">
        <v>1666</v>
      </c>
      <c r="B1672" s="10" t="s">
        <v>2397</v>
      </c>
      <c r="C1672" s="10" t="s">
        <v>2398</v>
      </c>
      <c r="D1672" s="11"/>
      <c r="E1672" s="12"/>
      <c r="F1672" s="11" t="n">
        <v>0.00742118055555556</v>
      </c>
      <c r="G1672" s="12" t="n">
        <v>796</v>
      </c>
      <c r="H1672" s="11"/>
      <c r="I1672" s="12"/>
      <c r="J1672" s="12" t="n">
        <f aca="false">COUNT(E1672,G1672,I1672)</f>
        <v>1</v>
      </c>
      <c r="K1672" s="13" t="n">
        <f aca="false">MIN(E1672,G1672,I1672)</f>
        <v>796</v>
      </c>
      <c r="L1672" s="9" t="str">
        <f aca="false">IF(E1672=K1672,"5000m",IF(G1672=K1672,"3000mSC","1500m"))</f>
        <v>3000mSC</v>
      </c>
      <c r="M1672" s="14" t="n">
        <f aca="false">(D1672&lt;&gt;"")*(D1672&lt;=($E$3*60+$F$3)/86400)+(F1672&lt;&gt;"")*(F1672&lt;=($I$3*60+$J$3)/86400)+(H1672&lt;&gt;"")*(H1672&lt;=($M$3*60+$N$3)/86400)</f>
        <v>0</v>
      </c>
      <c r="N1672" s="16"/>
      <c r="O1672" s="15"/>
    </row>
    <row r="1673" customFormat="false" ht="15" hidden="false" customHeight="false" outlineLevel="0" collapsed="false">
      <c r="A1673" s="9" t="n">
        <v>1667</v>
      </c>
      <c r="B1673" s="10" t="s">
        <v>2399</v>
      </c>
      <c r="C1673" s="10" t="s">
        <v>382</v>
      </c>
      <c r="D1673" s="11"/>
      <c r="E1673" s="12"/>
      <c r="F1673" s="11"/>
      <c r="G1673" s="12"/>
      <c r="H1673" s="11" t="n">
        <v>0.00288240740740741</v>
      </c>
      <c r="I1673" s="12" t="n">
        <v>796</v>
      </c>
      <c r="J1673" s="12" t="n">
        <f aca="false">COUNT(E1673,G1673,I1673)</f>
        <v>1</v>
      </c>
      <c r="K1673" s="13" t="n">
        <f aca="false">MIN(E1673,G1673,I1673)</f>
        <v>796</v>
      </c>
      <c r="L1673" s="9" t="str">
        <f aca="false">IF(E1673=K1673,"5000m",IF(G1673=K1673,"3000mSC","1500m"))</f>
        <v>1500m</v>
      </c>
      <c r="M1673" s="14" t="n">
        <f aca="false">(D1673&lt;&gt;"")*(D1673&lt;=($E$3*60+$F$3)/86400)+(F1673&lt;&gt;"")*(F1673&lt;=($I$3*60+$J$3)/86400)+(H1673&lt;&gt;"")*(H1673&lt;=($M$3*60+$N$3)/86400)</f>
        <v>0</v>
      </c>
      <c r="N1673" s="16"/>
      <c r="O1673" s="15"/>
    </row>
    <row r="1674" customFormat="false" ht="25.35" hidden="false" customHeight="false" outlineLevel="0" collapsed="false">
      <c r="A1674" s="9" t="n">
        <v>1668</v>
      </c>
      <c r="B1674" s="10" t="s">
        <v>2400</v>
      </c>
      <c r="C1674" s="10" t="s">
        <v>1166</v>
      </c>
      <c r="D1674" s="11" t="n">
        <v>0.0108391203703704</v>
      </c>
      <c r="E1674" s="12" t="n">
        <v>813</v>
      </c>
      <c r="F1674" s="11" t="n">
        <v>0.00742210648148148</v>
      </c>
      <c r="G1674" s="12" t="n">
        <v>797</v>
      </c>
      <c r="H1674" s="11"/>
      <c r="I1674" s="12"/>
      <c r="J1674" s="12" t="n">
        <f aca="false">COUNT(E1674,G1674,I1674)</f>
        <v>2</v>
      </c>
      <c r="K1674" s="13" t="n">
        <f aca="false">MIN(E1674,G1674,I1674)</f>
        <v>797</v>
      </c>
      <c r="L1674" s="9" t="str">
        <f aca="false">IF(E1674=K1674,"5000m",IF(G1674=K1674,"3000mSC","1500m"))</f>
        <v>3000mSC</v>
      </c>
      <c r="M1674" s="14" t="n">
        <f aca="false">(D1674&lt;&gt;"")*(D1674&lt;=($E$3*60+$F$3)/86400)+(F1674&lt;&gt;"")*(F1674&lt;=($I$3*60+$J$3)/86400)+(H1674&lt;&gt;"")*(H1674&lt;=($M$3*60+$N$3)/86400)</f>
        <v>0</v>
      </c>
      <c r="N1674" s="16"/>
      <c r="O1674" s="15"/>
    </row>
    <row r="1675" customFormat="false" ht="15" hidden="false" customHeight="false" outlineLevel="0" collapsed="false">
      <c r="A1675" s="9" t="n">
        <v>1669</v>
      </c>
      <c r="B1675" s="10" t="s">
        <v>2401</v>
      </c>
      <c r="C1675" s="10" t="s">
        <v>2402</v>
      </c>
      <c r="D1675" s="11" t="n">
        <v>0.0108321759259259</v>
      </c>
      <c r="E1675" s="12" t="n">
        <v>797</v>
      </c>
      <c r="F1675" s="11"/>
      <c r="G1675" s="12"/>
      <c r="H1675" s="11"/>
      <c r="I1675" s="12"/>
      <c r="J1675" s="12" t="n">
        <f aca="false">COUNT(E1675,G1675,I1675)</f>
        <v>1</v>
      </c>
      <c r="K1675" s="13" t="n">
        <f aca="false">MIN(E1675,G1675,I1675)</f>
        <v>797</v>
      </c>
      <c r="L1675" s="9" t="str">
        <f aca="false">IF(E1675=K1675,"5000m",IF(G1675=K1675,"3000mSC","1500m"))</f>
        <v>5000m</v>
      </c>
      <c r="M1675" s="14" t="n">
        <f aca="false">(D1675&lt;&gt;"")*(D1675&lt;=($E$3*60+$F$3)/86400)+(F1675&lt;&gt;"")*(F1675&lt;=($I$3*60+$J$3)/86400)+(H1675&lt;&gt;"")*(H1675&lt;=($M$3*60+$N$3)/86400)</f>
        <v>0</v>
      </c>
      <c r="N1675" s="16"/>
      <c r="O1675" s="15"/>
    </row>
    <row r="1676" customFormat="false" ht="15" hidden="false" customHeight="false" outlineLevel="0" collapsed="false">
      <c r="A1676" s="9" t="n">
        <v>1670</v>
      </c>
      <c r="B1676" s="10" t="s">
        <v>2403</v>
      </c>
      <c r="C1676" s="10" t="s">
        <v>307</v>
      </c>
      <c r="D1676" s="11" t="n">
        <v>0.0108325231481482</v>
      </c>
      <c r="E1676" s="12" t="n">
        <v>798</v>
      </c>
      <c r="F1676" s="11"/>
      <c r="G1676" s="12"/>
      <c r="H1676" s="11"/>
      <c r="I1676" s="12"/>
      <c r="J1676" s="12" t="n">
        <f aca="false">COUNT(E1676,G1676,I1676)</f>
        <v>1</v>
      </c>
      <c r="K1676" s="13" t="n">
        <f aca="false">MIN(E1676,G1676,I1676)</f>
        <v>798</v>
      </c>
      <c r="L1676" s="9" t="str">
        <f aca="false">IF(E1676=K1676,"5000m",IF(G1676=K1676,"3000mSC","1500m"))</f>
        <v>5000m</v>
      </c>
      <c r="M1676" s="14" t="n">
        <f aca="false">(D1676&lt;&gt;"")*(D1676&lt;=($E$3*60+$F$3)/86400)+(F1676&lt;&gt;"")*(F1676&lt;=($I$3*60+$J$3)/86400)+(H1676&lt;&gt;"")*(H1676&lt;=($M$3*60+$N$3)/86400)</f>
        <v>0</v>
      </c>
      <c r="N1676" s="16"/>
      <c r="O1676" s="15"/>
    </row>
    <row r="1677" customFormat="false" ht="25.35" hidden="false" customHeight="false" outlineLevel="0" collapsed="false">
      <c r="A1677" s="9" t="n">
        <v>1671</v>
      </c>
      <c r="B1677" s="10" t="s">
        <v>2404</v>
      </c>
      <c r="C1677" s="10" t="s">
        <v>795</v>
      </c>
      <c r="D1677" s="11"/>
      <c r="E1677" s="12"/>
      <c r="F1677" s="11" t="n">
        <v>0.00742372685185185</v>
      </c>
      <c r="G1677" s="12" t="n">
        <v>798</v>
      </c>
      <c r="H1677" s="11"/>
      <c r="I1677" s="12"/>
      <c r="J1677" s="12" t="n">
        <f aca="false">COUNT(E1677,G1677,I1677)</f>
        <v>1</v>
      </c>
      <c r="K1677" s="13" t="n">
        <f aca="false">MIN(E1677,G1677,I1677)</f>
        <v>798</v>
      </c>
      <c r="L1677" s="9" t="str">
        <f aca="false">IF(E1677=K1677,"5000m",IF(G1677=K1677,"3000mSC","1500m"))</f>
        <v>3000mSC</v>
      </c>
      <c r="M1677" s="14" t="n">
        <f aca="false">(D1677&lt;&gt;"")*(D1677&lt;=($E$3*60+$F$3)/86400)+(F1677&lt;&gt;"")*(F1677&lt;=($I$3*60+$J$3)/86400)+(H1677&lt;&gt;"")*(H1677&lt;=($M$3*60+$N$3)/86400)</f>
        <v>0</v>
      </c>
      <c r="N1677" s="16"/>
      <c r="O1677" s="15"/>
    </row>
    <row r="1678" customFormat="false" ht="15" hidden="false" customHeight="false" outlineLevel="0" collapsed="false">
      <c r="A1678" s="9" t="n">
        <v>1672</v>
      </c>
      <c r="B1678" s="10" t="s">
        <v>1086</v>
      </c>
      <c r="C1678" s="10" t="s">
        <v>473</v>
      </c>
      <c r="D1678" s="11"/>
      <c r="E1678" s="12"/>
      <c r="F1678" s="11"/>
      <c r="G1678" s="12"/>
      <c r="H1678" s="11" t="n">
        <v>0.00288263888888889</v>
      </c>
      <c r="I1678" s="12" t="n">
        <v>798</v>
      </c>
      <c r="J1678" s="12" t="n">
        <f aca="false">COUNT(E1678,G1678,I1678)</f>
        <v>1</v>
      </c>
      <c r="K1678" s="13" t="n">
        <f aca="false">MIN(E1678,G1678,I1678)</f>
        <v>798</v>
      </c>
      <c r="L1678" s="9" t="str">
        <f aca="false">IF(E1678=K1678,"5000m",IF(G1678=K1678,"3000mSC","1500m"))</f>
        <v>1500m</v>
      </c>
      <c r="M1678" s="14" t="n">
        <f aca="false">(D1678&lt;&gt;"")*(D1678&lt;=($E$3*60+$F$3)/86400)+(F1678&lt;&gt;"")*(F1678&lt;=($I$3*60+$J$3)/86400)+(H1678&lt;&gt;"")*(H1678&lt;=($M$3*60+$N$3)/86400)</f>
        <v>0</v>
      </c>
      <c r="N1678" s="10" t="s">
        <v>2405</v>
      </c>
      <c r="O1678" s="15"/>
    </row>
    <row r="1679" customFormat="false" ht="25.35" hidden="false" customHeight="false" outlineLevel="0" collapsed="false">
      <c r="A1679" s="9" t="n">
        <v>1673</v>
      </c>
      <c r="B1679" s="10" t="s">
        <v>2406</v>
      </c>
      <c r="C1679" s="10" t="s">
        <v>992</v>
      </c>
      <c r="D1679" s="11"/>
      <c r="E1679" s="12"/>
      <c r="F1679" s="11" t="n">
        <v>0.0074244212962963</v>
      </c>
      <c r="G1679" s="12" t="n">
        <v>799</v>
      </c>
      <c r="H1679" s="11"/>
      <c r="I1679" s="12"/>
      <c r="J1679" s="12" t="n">
        <f aca="false">COUNT(E1679,G1679,I1679)</f>
        <v>1</v>
      </c>
      <c r="K1679" s="13" t="n">
        <f aca="false">MIN(E1679,G1679,I1679)</f>
        <v>799</v>
      </c>
      <c r="L1679" s="9" t="str">
        <f aca="false">IF(E1679=K1679,"5000m",IF(G1679=K1679,"3000mSC","1500m"))</f>
        <v>3000mSC</v>
      </c>
      <c r="M1679" s="14" t="n">
        <f aca="false">(D1679&lt;&gt;"")*(D1679&lt;=($E$3*60+$F$3)/86400)+(F1679&lt;&gt;"")*(F1679&lt;=($I$3*60+$J$3)/86400)+(H1679&lt;&gt;"")*(H1679&lt;=($M$3*60+$N$3)/86400)</f>
        <v>0</v>
      </c>
      <c r="N1679" s="16"/>
      <c r="O1679" s="15"/>
    </row>
    <row r="1680" customFormat="false" ht="15" hidden="false" customHeight="false" outlineLevel="0" collapsed="false">
      <c r="A1680" s="9" t="n">
        <v>1674</v>
      </c>
      <c r="B1680" s="10" t="s">
        <v>2407</v>
      </c>
      <c r="C1680" s="10" t="s">
        <v>2038</v>
      </c>
      <c r="D1680" s="11" t="n">
        <v>0.0108332175925926</v>
      </c>
      <c r="E1680" s="12" t="n">
        <v>800</v>
      </c>
      <c r="F1680" s="11"/>
      <c r="G1680" s="12"/>
      <c r="H1680" s="11"/>
      <c r="I1680" s="12"/>
      <c r="J1680" s="12" t="n">
        <f aca="false">COUNT(E1680,G1680,I1680)</f>
        <v>1</v>
      </c>
      <c r="K1680" s="13" t="n">
        <f aca="false">MIN(E1680,G1680,I1680)</f>
        <v>800</v>
      </c>
      <c r="L1680" s="9" t="str">
        <f aca="false">IF(E1680=K1680,"5000m",IF(G1680=K1680,"3000mSC","1500m"))</f>
        <v>5000m</v>
      </c>
      <c r="M1680" s="14" t="n">
        <f aca="false">(D1680&lt;&gt;"")*(D1680&lt;=($E$3*60+$F$3)/86400)+(F1680&lt;&gt;"")*(F1680&lt;=($I$3*60+$J$3)/86400)+(H1680&lt;&gt;"")*(H1680&lt;=($M$3*60+$N$3)/86400)</f>
        <v>0</v>
      </c>
      <c r="N1680" s="16"/>
      <c r="O1680" s="15"/>
    </row>
    <row r="1681" customFormat="false" ht="25.35" hidden="false" customHeight="false" outlineLevel="0" collapsed="false">
      <c r="A1681" s="9" t="n">
        <v>1675</v>
      </c>
      <c r="B1681" s="10" t="s">
        <v>2408</v>
      </c>
      <c r="C1681" s="10" t="s">
        <v>2409</v>
      </c>
      <c r="D1681" s="11"/>
      <c r="E1681" s="12"/>
      <c r="F1681" s="11" t="n">
        <v>0.00742638888888889</v>
      </c>
      <c r="G1681" s="12" t="n">
        <v>800</v>
      </c>
      <c r="H1681" s="11"/>
      <c r="I1681" s="12"/>
      <c r="J1681" s="12" t="n">
        <f aca="false">COUNT(E1681,G1681,I1681)</f>
        <v>1</v>
      </c>
      <c r="K1681" s="13" t="n">
        <f aca="false">MIN(E1681,G1681,I1681)</f>
        <v>800</v>
      </c>
      <c r="L1681" s="9" t="str">
        <f aca="false">IF(E1681=K1681,"5000m",IF(G1681=K1681,"3000mSC","1500m"))</f>
        <v>3000mSC</v>
      </c>
      <c r="M1681" s="14" t="n">
        <f aca="false">(D1681&lt;&gt;"")*(D1681&lt;=($E$3*60+$F$3)/86400)+(F1681&lt;&gt;"")*(F1681&lt;=($I$3*60+$J$3)/86400)+(H1681&lt;&gt;"")*(H1681&lt;=($M$3*60+$N$3)/86400)</f>
        <v>0</v>
      </c>
      <c r="N1681" s="16"/>
      <c r="O1681" s="15"/>
    </row>
    <row r="1682" customFormat="false" ht="15" hidden="false" customHeight="false" outlineLevel="0" collapsed="false">
      <c r="A1682" s="9" t="n">
        <v>1676</v>
      </c>
      <c r="B1682" s="10" t="s">
        <v>2410</v>
      </c>
      <c r="C1682" s="10" t="s">
        <v>116</v>
      </c>
      <c r="D1682" s="11"/>
      <c r="E1682" s="12"/>
      <c r="F1682" s="11"/>
      <c r="G1682" s="12"/>
      <c r="H1682" s="11" t="n">
        <v>0.00288275462962963</v>
      </c>
      <c r="I1682" s="12" t="n">
        <v>800</v>
      </c>
      <c r="J1682" s="12" t="n">
        <f aca="false">COUNT(E1682,G1682,I1682)</f>
        <v>1</v>
      </c>
      <c r="K1682" s="13" t="n">
        <f aca="false">MIN(E1682,G1682,I1682)</f>
        <v>800</v>
      </c>
      <c r="L1682" s="9" t="str">
        <f aca="false">IF(E1682=K1682,"5000m",IF(G1682=K1682,"3000mSC","1500m"))</f>
        <v>1500m</v>
      </c>
      <c r="M1682" s="14" t="n">
        <f aca="false">(D1682&lt;&gt;"")*(D1682&lt;=($E$3*60+$F$3)/86400)+(F1682&lt;&gt;"")*(F1682&lt;=($I$3*60+$J$3)/86400)+(H1682&lt;&gt;"")*(H1682&lt;=($M$3*60+$N$3)/86400)</f>
        <v>0</v>
      </c>
      <c r="N1682" s="16"/>
      <c r="O1682" s="15"/>
    </row>
    <row r="1683" customFormat="false" ht="15" hidden="false" customHeight="false" outlineLevel="0" collapsed="false">
      <c r="A1683" s="9" t="n">
        <v>1677</v>
      </c>
      <c r="B1683" s="10" t="s">
        <v>2411</v>
      </c>
      <c r="C1683" s="10" t="s">
        <v>64</v>
      </c>
      <c r="D1683" s="11" t="n">
        <v>0.0109891203703704</v>
      </c>
      <c r="E1683" s="12" t="n">
        <v>1078</v>
      </c>
      <c r="F1683" s="11"/>
      <c r="G1683" s="12"/>
      <c r="H1683" s="11" t="n">
        <v>0.00288287037037037</v>
      </c>
      <c r="I1683" s="12" t="n">
        <v>801</v>
      </c>
      <c r="J1683" s="12" t="n">
        <f aca="false">COUNT(E1683,G1683,I1683)</f>
        <v>2</v>
      </c>
      <c r="K1683" s="13" t="n">
        <f aca="false">MIN(E1683,G1683,I1683)</f>
        <v>801</v>
      </c>
      <c r="L1683" s="9" t="str">
        <f aca="false">IF(E1683=K1683,"5000m",IF(G1683=K1683,"3000mSC","1500m"))</f>
        <v>1500m</v>
      </c>
      <c r="M1683" s="14" t="n">
        <f aca="false">(D1683&lt;&gt;"")*(D1683&lt;=($E$3*60+$F$3)/86400)+(F1683&lt;&gt;"")*(F1683&lt;=($I$3*60+$J$3)/86400)+(H1683&lt;&gt;"")*(H1683&lt;=($M$3*60+$N$3)/86400)</f>
        <v>0</v>
      </c>
      <c r="N1683" s="16"/>
      <c r="O1683" s="15"/>
    </row>
    <row r="1684" customFormat="false" ht="15" hidden="false" customHeight="false" outlineLevel="0" collapsed="false">
      <c r="A1684" s="9" t="n">
        <v>1678</v>
      </c>
      <c r="B1684" s="10" t="s">
        <v>2412</v>
      </c>
      <c r="C1684" s="10" t="s">
        <v>55</v>
      </c>
      <c r="D1684" s="11" t="n">
        <v>0.0108334490740741</v>
      </c>
      <c r="E1684" s="12" t="n">
        <v>801</v>
      </c>
      <c r="F1684" s="11"/>
      <c r="G1684" s="12"/>
      <c r="H1684" s="11" t="n">
        <v>0.00292476851851852</v>
      </c>
      <c r="I1684" s="12" t="n">
        <v>1144</v>
      </c>
      <c r="J1684" s="12" t="n">
        <f aca="false">COUNT(E1684,G1684,I1684)</f>
        <v>2</v>
      </c>
      <c r="K1684" s="13" t="n">
        <f aca="false">MIN(E1684,G1684,I1684)</f>
        <v>801</v>
      </c>
      <c r="L1684" s="9" t="str">
        <f aca="false">IF(E1684=K1684,"5000m",IF(G1684=K1684,"3000mSC","1500m"))</f>
        <v>5000m</v>
      </c>
      <c r="M1684" s="14" t="n">
        <f aca="false">(D1684&lt;&gt;"")*(D1684&lt;=($E$3*60+$F$3)/86400)+(F1684&lt;&gt;"")*(F1684&lt;=($I$3*60+$J$3)/86400)+(H1684&lt;&gt;"")*(H1684&lt;=($M$3*60+$N$3)/86400)</f>
        <v>0</v>
      </c>
      <c r="N1684" s="16"/>
      <c r="O1684" s="15"/>
    </row>
    <row r="1685" customFormat="false" ht="25.35" hidden="false" customHeight="false" outlineLevel="0" collapsed="false">
      <c r="A1685" s="9" t="n">
        <v>1679</v>
      </c>
      <c r="B1685" s="10" t="s">
        <v>2413</v>
      </c>
      <c r="C1685" s="10" t="s">
        <v>2414</v>
      </c>
      <c r="D1685" s="11"/>
      <c r="E1685" s="12"/>
      <c r="F1685" s="11" t="n">
        <v>0.00742743055555556</v>
      </c>
      <c r="G1685" s="12" t="n">
        <v>801</v>
      </c>
      <c r="H1685" s="11"/>
      <c r="I1685" s="12"/>
      <c r="J1685" s="12" t="n">
        <f aca="false">COUNT(E1685,G1685,I1685)</f>
        <v>1</v>
      </c>
      <c r="K1685" s="13" t="n">
        <f aca="false">MIN(E1685,G1685,I1685)</f>
        <v>801</v>
      </c>
      <c r="L1685" s="9" t="str">
        <f aca="false">IF(E1685=K1685,"5000m",IF(G1685=K1685,"3000mSC","1500m"))</f>
        <v>3000mSC</v>
      </c>
      <c r="M1685" s="14" t="n">
        <f aca="false">(D1685&lt;&gt;"")*(D1685&lt;=($E$3*60+$F$3)/86400)+(F1685&lt;&gt;"")*(F1685&lt;=($I$3*60+$J$3)/86400)+(H1685&lt;&gt;"")*(H1685&lt;=($M$3*60+$N$3)/86400)</f>
        <v>0</v>
      </c>
      <c r="N1685" s="16"/>
      <c r="O1685" s="15"/>
    </row>
    <row r="1686" customFormat="false" ht="15" hidden="false" customHeight="false" outlineLevel="0" collapsed="false">
      <c r="A1686" s="9" t="n">
        <v>1680</v>
      </c>
      <c r="B1686" s="10" t="s">
        <v>2415</v>
      </c>
      <c r="C1686" s="10" t="s">
        <v>549</v>
      </c>
      <c r="D1686" s="11" t="n">
        <v>0.0108364583333333</v>
      </c>
      <c r="E1686" s="12" t="n">
        <v>802</v>
      </c>
      <c r="F1686" s="11"/>
      <c r="G1686" s="12"/>
      <c r="H1686" s="11"/>
      <c r="I1686" s="12"/>
      <c r="J1686" s="12" t="n">
        <f aca="false">COUNT(E1686,G1686,I1686)</f>
        <v>1</v>
      </c>
      <c r="K1686" s="13" t="n">
        <f aca="false">MIN(E1686,G1686,I1686)</f>
        <v>802</v>
      </c>
      <c r="L1686" s="9" t="str">
        <f aca="false">IF(E1686=K1686,"5000m",IF(G1686=K1686,"3000mSC","1500m"))</f>
        <v>5000m</v>
      </c>
      <c r="M1686" s="14" t="n">
        <f aca="false">(D1686&lt;&gt;"")*(D1686&lt;=($E$3*60+$F$3)/86400)+(F1686&lt;&gt;"")*(F1686&lt;=($I$3*60+$J$3)/86400)+(H1686&lt;&gt;"")*(H1686&lt;=($M$3*60+$N$3)/86400)</f>
        <v>0</v>
      </c>
      <c r="N1686" s="16"/>
      <c r="O1686" s="15"/>
    </row>
    <row r="1687" customFormat="false" ht="25.35" hidden="false" customHeight="false" outlineLevel="0" collapsed="false">
      <c r="A1687" s="9" t="n">
        <v>1681</v>
      </c>
      <c r="B1687" s="10" t="s">
        <v>2416</v>
      </c>
      <c r="C1687" s="10" t="s">
        <v>162</v>
      </c>
      <c r="D1687" s="11"/>
      <c r="E1687" s="12"/>
      <c r="F1687" s="11" t="n">
        <v>0.00742905092592593</v>
      </c>
      <c r="G1687" s="12" t="n">
        <v>802</v>
      </c>
      <c r="H1687" s="11"/>
      <c r="I1687" s="12"/>
      <c r="J1687" s="12" t="n">
        <f aca="false">COUNT(E1687,G1687,I1687)</f>
        <v>1</v>
      </c>
      <c r="K1687" s="13" t="n">
        <f aca="false">MIN(E1687,G1687,I1687)</f>
        <v>802</v>
      </c>
      <c r="L1687" s="9" t="str">
        <f aca="false">IF(E1687=K1687,"5000m",IF(G1687=K1687,"3000mSC","1500m"))</f>
        <v>3000mSC</v>
      </c>
      <c r="M1687" s="14" t="n">
        <f aca="false">(D1687&lt;&gt;"")*(D1687&lt;=($E$3*60+$F$3)/86400)+(F1687&lt;&gt;"")*(F1687&lt;=($I$3*60+$J$3)/86400)+(H1687&lt;&gt;"")*(H1687&lt;=($M$3*60+$N$3)/86400)</f>
        <v>0</v>
      </c>
      <c r="N1687" s="16"/>
      <c r="O1687" s="15"/>
    </row>
    <row r="1688" customFormat="false" ht="25.35" hidden="false" customHeight="false" outlineLevel="0" collapsed="false">
      <c r="A1688" s="9" t="n">
        <v>1682</v>
      </c>
      <c r="B1688" s="10" t="s">
        <v>2417</v>
      </c>
      <c r="C1688" s="10" t="s">
        <v>2418</v>
      </c>
      <c r="D1688" s="11"/>
      <c r="E1688" s="12"/>
      <c r="F1688" s="11" t="n">
        <v>0.00742916666666667</v>
      </c>
      <c r="G1688" s="12" t="n">
        <v>803</v>
      </c>
      <c r="H1688" s="11"/>
      <c r="I1688" s="12"/>
      <c r="J1688" s="12" t="n">
        <f aca="false">COUNT(E1688,G1688,I1688)</f>
        <v>1</v>
      </c>
      <c r="K1688" s="13" t="n">
        <f aca="false">MIN(E1688,G1688,I1688)</f>
        <v>803</v>
      </c>
      <c r="L1688" s="9" t="str">
        <f aca="false">IF(E1688=K1688,"5000m",IF(G1688=K1688,"3000mSC","1500m"))</f>
        <v>3000mSC</v>
      </c>
      <c r="M1688" s="14" t="n">
        <f aca="false">(D1688&lt;&gt;"")*(D1688&lt;=($E$3*60+$F$3)/86400)+(F1688&lt;&gt;"")*(F1688&lt;=($I$3*60+$J$3)/86400)+(H1688&lt;&gt;"")*(H1688&lt;=($M$3*60+$N$3)/86400)</f>
        <v>0</v>
      </c>
      <c r="N1688" s="16"/>
      <c r="O1688" s="15"/>
    </row>
    <row r="1689" customFormat="false" ht="25.35" hidden="false" customHeight="false" outlineLevel="0" collapsed="false">
      <c r="A1689" s="9" t="n">
        <v>1683</v>
      </c>
      <c r="B1689" s="10" t="s">
        <v>2419</v>
      </c>
      <c r="C1689" s="10" t="s">
        <v>195</v>
      </c>
      <c r="D1689" s="11" t="n">
        <v>0.0110979166666667</v>
      </c>
      <c r="E1689" s="12" t="n">
        <v>1268</v>
      </c>
      <c r="F1689" s="11" t="n">
        <v>0.00742951388888889</v>
      </c>
      <c r="G1689" s="12" t="n">
        <v>804</v>
      </c>
      <c r="H1689" s="11" t="n">
        <v>0.00291412037037037</v>
      </c>
      <c r="I1689" s="12" t="n">
        <v>1051</v>
      </c>
      <c r="J1689" s="12" t="n">
        <f aca="false">COUNT(E1689,G1689,I1689)</f>
        <v>3</v>
      </c>
      <c r="K1689" s="13" t="n">
        <f aca="false">MIN(E1689,G1689,I1689)</f>
        <v>804</v>
      </c>
      <c r="L1689" s="9" t="str">
        <f aca="false">IF(E1689=K1689,"5000m",IF(G1689=K1689,"3000mSC","1500m"))</f>
        <v>3000mSC</v>
      </c>
      <c r="M1689" s="14" t="n">
        <f aca="false">(D1689&lt;&gt;"")*(D1689&lt;=($E$3*60+$F$3)/86400)+(F1689&lt;&gt;"")*(F1689&lt;=($I$3*60+$J$3)/86400)+(H1689&lt;&gt;"")*(H1689&lt;=($M$3*60+$N$3)/86400)</f>
        <v>0</v>
      </c>
      <c r="N1689" s="16"/>
      <c r="O1689" s="15"/>
    </row>
    <row r="1690" customFormat="false" ht="15" hidden="false" customHeight="false" outlineLevel="0" collapsed="false">
      <c r="A1690" s="9" t="n">
        <v>1684</v>
      </c>
      <c r="B1690" s="10" t="s">
        <v>2420</v>
      </c>
      <c r="C1690" s="10" t="s">
        <v>974</v>
      </c>
      <c r="D1690" s="11"/>
      <c r="E1690" s="12"/>
      <c r="F1690" s="11"/>
      <c r="G1690" s="12"/>
      <c r="H1690" s="11" t="n">
        <v>0.00288368055555556</v>
      </c>
      <c r="I1690" s="12" t="n">
        <v>805</v>
      </c>
      <c r="J1690" s="12" t="n">
        <f aca="false">COUNT(E1690,G1690,I1690)</f>
        <v>1</v>
      </c>
      <c r="K1690" s="13" t="n">
        <f aca="false">MIN(E1690,G1690,I1690)</f>
        <v>805</v>
      </c>
      <c r="L1690" s="9" t="str">
        <f aca="false">IF(E1690=K1690,"5000m",IF(G1690=K1690,"3000mSC","1500m"))</f>
        <v>1500m</v>
      </c>
      <c r="M1690" s="14" t="n">
        <f aca="false">(D1690&lt;&gt;"")*(D1690&lt;=($E$3*60+$F$3)/86400)+(F1690&lt;&gt;"")*(F1690&lt;=($I$3*60+$J$3)/86400)+(H1690&lt;&gt;"")*(H1690&lt;=($M$3*60+$N$3)/86400)</f>
        <v>0</v>
      </c>
      <c r="N1690" s="16"/>
      <c r="O1690" s="15"/>
    </row>
    <row r="1691" customFormat="false" ht="15" hidden="false" customHeight="false" outlineLevel="0" collapsed="false">
      <c r="A1691" s="9" t="n">
        <v>1685</v>
      </c>
      <c r="B1691" s="10" t="s">
        <v>2421</v>
      </c>
      <c r="C1691" s="10" t="s">
        <v>440</v>
      </c>
      <c r="D1691" s="11" t="n">
        <v>0.0108377314814815</v>
      </c>
      <c r="E1691" s="12" t="n">
        <v>806</v>
      </c>
      <c r="F1691" s="11"/>
      <c r="G1691" s="12"/>
      <c r="H1691" s="11" t="n">
        <v>0.00297685185185185</v>
      </c>
      <c r="I1691" s="12" t="n">
        <v>1340</v>
      </c>
      <c r="J1691" s="12" t="n">
        <f aca="false">COUNT(E1691,G1691,I1691)</f>
        <v>2</v>
      </c>
      <c r="K1691" s="13" t="n">
        <f aca="false">MIN(E1691,G1691,I1691)</f>
        <v>806</v>
      </c>
      <c r="L1691" s="9" t="str">
        <f aca="false">IF(E1691=K1691,"5000m",IF(G1691=K1691,"3000mSC","1500m"))</f>
        <v>5000m</v>
      </c>
      <c r="M1691" s="14" t="n">
        <f aca="false">(D1691&lt;&gt;"")*(D1691&lt;=($E$3*60+$F$3)/86400)+(F1691&lt;&gt;"")*(F1691&lt;=($I$3*60+$J$3)/86400)+(H1691&lt;&gt;"")*(H1691&lt;=($M$3*60+$N$3)/86400)</f>
        <v>0</v>
      </c>
      <c r="N1691" s="16"/>
      <c r="O1691" s="15"/>
    </row>
    <row r="1692" customFormat="false" ht="25.35" hidden="false" customHeight="false" outlineLevel="0" collapsed="false">
      <c r="A1692" s="9" t="n">
        <v>1686</v>
      </c>
      <c r="B1692" s="10" t="s">
        <v>2422</v>
      </c>
      <c r="C1692" s="10" t="s">
        <v>1618</v>
      </c>
      <c r="D1692" s="11"/>
      <c r="E1692" s="12"/>
      <c r="F1692" s="11" t="n">
        <v>0.00743032407407407</v>
      </c>
      <c r="G1692" s="12" t="n">
        <v>806</v>
      </c>
      <c r="H1692" s="11"/>
      <c r="I1692" s="12"/>
      <c r="J1692" s="12" t="n">
        <f aca="false">COUNT(E1692,G1692,I1692)</f>
        <v>1</v>
      </c>
      <c r="K1692" s="13" t="n">
        <f aca="false">MIN(E1692,G1692,I1692)</f>
        <v>806</v>
      </c>
      <c r="L1692" s="9" t="str">
        <f aca="false">IF(E1692=K1692,"5000m",IF(G1692=K1692,"3000mSC","1500m"))</f>
        <v>3000mSC</v>
      </c>
      <c r="M1692" s="14" t="n">
        <f aca="false">(D1692&lt;&gt;"")*(D1692&lt;=($E$3*60+$F$3)/86400)+(F1692&lt;&gt;"")*(F1692&lt;=($I$3*60+$J$3)/86400)+(H1692&lt;&gt;"")*(H1692&lt;=($M$3*60+$N$3)/86400)</f>
        <v>0</v>
      </c>
      <c r="N1692" s="16"/>
      <c r="O1692" s="15"/>
    </row>
    <row r="1693" customFormat="false" ht="15" hidden="false" customHeight="false" outlineLevel="0" collapsed="false">
      <c r="A1693" s="9" t="n">
        <v>1687</v>
      </c>
      <c r="B1693" s="10" t="s">
        <v>2423</v>
      </c>
      <c r="C1693" s="10" t="s">
        <v>2424</v>
      </c>
      <c r="D1693" s="11"/>
      <c r="E1693" s="12"/>
      <c r="F1693" s="11"/>
      <c r="G1693" s="12"/>
      <c r="H1693" s="11" t="n">
        <v>0.0028837962962963</v>
      </c>
      <c r="I1693" s="12" t="n">
        <v>806</v>
      </c>
      <c r="J1693" s="12" t="n">
        <f aca="false">COUNT(E1693,G1693,I1693)</f>
        <v>1</v>
      </c>
      <c r="K1693" s="13" t="n">
        <f aca="false">MIN(E1693,G1693,I1693)</f>
        <v>806</v>
      </c>
      <c r="L1693" s="9" t="str">
        <f aca="false">IF(E1693=K1693,"5000m",IF(G1693=K1693,"3000mSC","1500m"))</f>
        <v>1500m</v>
      </c>
      <c r="M1693" s="14" t="n">
        <f aca="false">(D1693&lt;&gt;"")*(D1693&lt;=($E$3*60+$F$3)/86400)+(F1693&lt;&gt;"")*(F1693&lt;=($I$3*60+$J$3)/86400)+(H1693&lt;&gt;"")*(H1693&lt;=($M$3*60+$N$3)/86400)</f>
        <v>0</v>
      </c>
      <c r="N1693" s="16"/>
      <c r="O1693" s="15"/>
    </row>
    <row r="1694" customFormat="false" ht="15" hidden="false" customHeight="false" outlineLevel="0" collapsed="false">
      <c r="A1694" s="9" t="n">
        <v>1688</v>
      </c>
      <c r="B1694" s="10" t="s">
        <v>2425</v>
      </c>
      <c r="C1694" s="10" t="s">
        <v>254</v>
      </c>
      <c r="D1694" s="11" t="n">
        <v>0.0108380787037037</v>
      </c>
      <c r="E1694" s="12" t="n">
        <v>807</v>
      </c>
      <c r="F1694" s="11"/>
      <c r="G1694" s="12"/>
      <c r="H1694" s="11"/>
      <c r="I1694" s="12"/>
      <c r="J1694" s="12" t="n">
        <f aca="false">COUNT(E1694,G1694,I1694)</f>
        <v>1</v>
      </c>
      <c r="K1694" s="13" t="n">
        <f aca="false">MIN(E1694,G1694,I1694)</f>
        <v>807</v>
      </c>
      <c r="L1694" s="9" t="str">
        <f aca="false">IF(E1694=K1694,"5000m",IF(G1694=K1694,"3000mSC","1500m"))</f>
        <v>5000m</v>
      </c>
      <c r="M1694" s="14" t="n">
        <f aca="false">(D1694&lt;&gt;"")*(D1694&lt;=($E$3*60+$F$3)/86400)+(F1694&lt;&gt;"")*(F1694&lt;=($I$3*60+$J$3)/86400)+(H1694&lt;&gt;"")*(H1694&lt;=($M$3*60+$N$3)/86400)</f>
        <v>0</v>
      </c>
      <c r="N1694" s="16"/>
      <c r="O1694" s="15"/>
    </row>
    <row r="1695" customFormat="false" ht="25.35" hidden="false" customHeight="false" outlineLevel="0" collapsed="false">
      <c r="A1695" s="9" t="n">
        <v>1689</v>
      </c>
      <c r="B1695" s="10" t="s">
        <v>2426</v>
      </c>
      <c r="C1695" s="10" t="s">
        <v>2427</v>
      </c>
      <c r="D1695" s="11"/>
      <c r="E1695" s="12"/>
      <c r="F1695" s="11" t="n">
        <v>0.00743148148148148</v>
      </c>
      <c r="G1695" s="12" t="n">
        <v>807</v>
      </c>
      <c r="H1695" s="11"/>
      <c r="I1695" s="12"/>
      <c r="J1695" s="12" t="n">
        <f aca="false">COUNT(E1695,G1695,I1695)</f>
        <v>1</v>
      </c>
      <c r="K1695" s="13" t="n">
        <f aca="false">MIN(E1695,G1695,I1695)</f>
        <v>807</v>
      </c>
      <c r="L1695" s="9" t="str">
        <f aca="false">IF(E1695=K1695,"5000m",IF(G1695=K1695,"3000mSC","1500m"))</f>
        <v>3000mSC</v>
      </c>
      <c r="M1695" s="14" t="n">
        <f aca="false">(D1695&lt;&gt;"")*(D1695&lt;=($E$3*60+$F$3)/86400)+(F1695&lt;&gt;"")*(F1695&lt;=($I$3*60+$J$3)/86400)+(H1695&lt;&gt;"")*(H1695&lt;=($M$3*60+$N$3)/86400)</f>
        <v>0</v>
      </c>
      <c r="N1695" s="16"/>
      <c r="O1695" s="15"/>
    </row>
    <row r="1696" customFormat="false" ht="15" hidden="false" customHeight="false" outlineLevel="0" collapsed="false">
      <c r="A1696" s="9" t="n">
        <v>1690</v>
      </c>
      <c r="B1696" s="10" t="s">
        <v>2428</v>
      </c>
      <c r="C1696" s="10" t="s">
        <v>844</v>
      </c>
      <c r="D1696" s="11"/>
      <c r="E1696" s="12"/>
      <c r="F1696" s="11"/>
      <c r="G1696" s="12"/>
      <c r="H1696" s="11" t="n">
        <v>0.00288391203703704</v>
      </c>
      <c r="I1696" s="12" t="n">
        <v>807</v>
      </c>
      <c r="J1696" s="12" t="n">
        <f aca="false">COUNT(E1696,G1696,I1696)</f>
        <v>1</v>
      </c>
      <c r="K1696" s="13" t="n">
        <f aca="false">MIN(E1696,G1696,I1696)</f>
        <v>807</v>
      </c>
      <c r="L1696" s="9" t="str">
        <f aca="false">IF(E1696=K1696,"5000m",IF(G1696=K1696,"3000mSC","1500m"))</f>
        <v>1500m</v>
      </c>
      <c r="M1696" s="14" t="n">
        <f aca="false">(D1696&lt;&gt;"")*(D1696&lt;=($E$3*60+$F$3)/86400)+(F1696&lt;&gt;"")*(F1696&lt;=($I$3*60+$J$3)/86400)+(H1696&lt;&gt;"")*(H1696&lt;=($M$3*60+$N$3)/86400)</f>
        <v>0</v>
      </c>
      <c r="N1696" s="16"/>
      <c r="O1696" s="15"/>
    </row>
    <row r="1697" customFormat="false" ht="25.35" hidden="false" customHeight="false" outlineLevel="0" collapsed="false">
      <c r="A1697" s="9" t="n">
        <v>1691</v>
      </c>
      <c r="B1697" s="10" t="s">
        <v>2429</v>
      </c>
      <c r="C1697" s="10" t="s">
        <v>2430</v>
      </c>
      <c r="D1697" s="11"/>
      <c r="E1697" s="12"/>
      <c r="F1697" s="11" t="n">
        <v>0.00743240740740741</v>
      </c>
      <c r="G1697" s="12" t="n">
        <v>808</v>
      </c>
      <c r="H1697" s="11"/>
      <c r="I1697" s="12"/>
      <c r="J1697" s="12" t="n">
        <f aca="false">COUNT(E1697,G1697,I1697)</f>
        <v>1</v>
      </c>
      <c r="K1697" s="13" t="n">
        <f aca="false">MIN(E1697,G1697,I1697)</f>
        <v>808</v>
      </c>
      <c r="L1697" s="9" t="str">
        <f aca="false">IF(E1697=K1697,"5000m",IF(G1697=K1697,"3000mSC","1500m"))</f>
        <v>3000mSC</v>
      </c>
      <c r="M1697" s="14" t="n">
        <f aca="false">(D1697&lt;&gt;"")*(D1697&lt;=($E$3*60+$F$3)/86400)+(F1697&lt;&gt;"")*(F1697&lt;=($I$3*60+$J$3)/86400)+(H1697&lt;&gt;"")*(H1697&lt;=($M$3*60+$N$3)/86400)</f>
        <v>0</v>
      </c>
      <c r="N1697" s="16"/>
      <c r="O1697" s="15"/>
    </row>
    <row r="1698" customFormat="false" ht="15" hidden="false" customHeight="false" outlineLevel="0" collapsed="false">
      <c r="A1698" s="9" t="n">
        <v>1692</v>
      </c>
      <c r="B1698" s="10" t="s">
        <v>2431</v>
      </c>
      <c r="C1698" s="10" t="s">
        <v>823</v>
      </c>
      <c r="D1698" s="11" t="n">
        <v>0.0111150462962963</v>
      </c>
      <c r="E1698" s="12" t="n">
        <v>1280</v>
      </c>
      <c r="F1698" s="11"/>
      <c r="G1698" s="12"/>
      <c r="H1698" s="11" t="n">
        <v>0.00288425925925926</v>
      </c>
      <c r="I1698" s="12" t="n">
        <v>809</v>
      </c>
      <c r="J1698" s="12" t="n">
        <f aca="false">COUNT(E1698,G1698,I1698)</f>
        <v>2</v>
      </c>
      <c r="K1698" s="13" t="n">
        <f aca="false">MIN(E1698,G1698,I1698)</f>
        <v>809</v>
      </c>
      <c r="L1698" s="9" t="str">
        <f aca="false">IF(E1698=K1698,"5000m",IF(G1698=K1698,"3000mSC","1500m"))</f>
        <v>1500m</v>
      </c>
      <c r="M1698" s="14" t="n">
        <f aca="false">(D1698&lt;&gt;"")*(D1698&lt;=($E$3*60+$F$3)/86400)+(F1698&lt;&gt;"")*(F1698&lt;=($I$3*60+$J$3)/86400)+(H1698&lt;&gt;"")*(H1698&lt;=($M$3*60+$N$3)/86400)</f>
        <v>0</v>
      </c>
      <c r="N1698" s="16"/>
      <c r="O1698" s="15"/>
    </row>
    <row r="1699" customFormat="false" ht="15" hidden="false" customHeight="false" outlineLevel="0" collapsed="false">
      <c r="A1699" s="9" t="n">
        <v>1693</v>
      </c>
      <c r="B1699" s="10" t="s">
        <v>2432</v>
      </c>
      <c r="C1699" s="10" t="s">
        <v>577</v>
      </c>
      <c r="D1699" s="11" t="n">
        <v>0.0108385416666667</v>
      </c>
      <c r="E1699" s="12" t="n">
        <v>809</v>
      </c>
      <c r="F1699" s="11"/>
      <c r="G1699" s="12"/>
      <c r="H1699" s="11"/>
      <c r="I1699" s="12"/>
      <c r="J1699" s="12" t="n">
        <f aca="false">COUNT(E1699,G1699,I1699)</f>
        <v>1</v>
      </c>
      <c r="K1699" s="13" t="n">
        <f aca="false">MIN(E1699,G1699,I1699)</f>
        <v>809</v>
      </c>
      <c r="L1699" s="9" t="str">
        <f aca="false">IF(E1699=K1699,"5000m",IF(G1699=K1699,"3000mSC","1500m"))</f>
        <v>5000m</v>
      </c>
      <c r="M1699" s="14" t="n">
        <f aca="false">(D1699&lt;&gt;"")*(D1699&lt;=($E$3*60+$F$3)/86400)+(F1699&lt;&gt;"")*(F1699&lt;=($I$3*60+$J$3)/86400)+(H1699&lt;&gt;"")*(H1699&lt;=($M$3*60+$N$3)/86400)</f>
        <v>0</v>
      </c>
      <c r="N1699" s="16"/>
      <c r="O1699" s="15"/>
    </row>
    <row r="1700" customFormat="false" ht="25.35" hidden="false" customHeight="false" outlineLevel="0" collapsed="false">
      <c r="A1700" s="9" t="n">
        <v>1694</v>
      </c>
      <c r="B1700" s="10" t="s">
        <v>2433</v>
      </c>
      <c r="C1700" s="10" t="s">
        <v>2434</v>
      </c>
      <c r="D1700" s="11"/>
      <c r="E1700" s="12"/>
      <c r="F1700" s="11" t="n">
        <v>0.00743252314814815</v>
      </c>
      <c r="G1700" s="12" t="n">
        <v>809</v>
      </c>
      <c r="H1700" s="11"/>
      <c r="I1700" s="12"/>
      <c r="J1700" s="12" t="n">
        <f aca="false">COUNT(E1700,G1700,I1700)</f>
        <v>1</v>
      </c>
      <c r="K1700" s="13" t="n">
        <f aca="false">MIN(E1700,G1700,I1700)</f>
        <v>809</v>
      </c>
      <c r="L1700" s="9" t="str">
        <f aca="false">IF(E1700=K1700,"5000m",IF(G1700=K1700,"3000mSC","1500m"))</f>
        <v>3000mSC</v>
      </c>
      <c r="M1700" s="14" t="n">
        <f aca="false">(D1700&lt;&gt;"")*(D1700&lt;=($E$3*60+$F$3)/86400)+(F1700&lt;&gt;"")*(F1700&lt;=($I$3*60+$J$3)/86400)+(H1700&lt;&gt;"")*(H1700&lt;=($M$3*60+$N$3)/86400)</f>
        <v>0</v>
      </c>
      <c r="N1700" s="16"/>
      <c r="O1700" s="15"/>
    </row>
    <row r="1701" customFormat="false" ht="25.35" hidden="false" customHeight="false" outlineLevel="0" collapsed="false">
      <c r="A1701" s="9" t="n">
        <v>1695</v>
      </c>
      <c r="B1701" s="10" t="s">
        <v>2435</v>
      </c>
      <c r="C1701" s="10" t="s">
        <v>2436</v>
      </c>
      <c r="D1701" s="11"/>
      <c r="E1701" s="12"/>
      <c r="F1701" s="11" t="n">
        <v>0.00743310185185185</v>
      </c>
      <c r="G1701" s="12" t="n">
        <v>810</v>
      </c>
      <c r="H1701" s="11"/>
      <c r="I1701" s="12"/>
      <c r="J1701" s="12" t="n">
        <f aca="false">COUNT(E1701,G1701,I1701)</f>
        <v>1</v>
      </c>
      <c r="K1701" s="13" t="n">
        <f aca="false">MIN(E1701,G1701,I1701)</f>
        <v>810</v>
      </c>
      <c r="L1701" s="9" t="str">
        <f aca="false">IF(E1701=K1701,"5000m",IF(G1701=K1701,"3000mSC","1500m"))</f>
        <v>3000mSC</v>
      </c>
      <c r="M1701" s="14" t="n">
        <f aca="false">(D1701&lt;&gt;"")*(D1701&lt;=($E$3*60+$F$3)/86400)+(F1701&lt;&gt;"")*(F1701&lt;=($I$3*60+$J$3)/86400)+(H1701&lt;&gt;"")*(H1701&lt;=($M$3*60+$N$3)/86400)</f>
        <v>0</v>
      </c>
      <c r="N1701" s="16"/>
      <c r="O1701" s="15"/>
    </row>
    <row r="1702" customFormat="false" ht="25.35" hidden="false" customHeight="false" outlineLevel="0" collapsed="false">
      <c r="A1702" s="9" t="n">
        <v>1696</v>
      </c>
      <c r="B1702" s="10" t="s">
        <v>2437</v>
      </c>
      <c r="C1702" s="10" t="s">
        <v>2438</v>
      </c>
      <c r="D1702" s="11"/>
      <c r="E1702" s="12"/>
      <c r="F1702" s="11" t="n">
        <v>0.00743321759259259</v>
      </c>
      <c r="G1702" s="12" t="n">
        <v>811</v>
      </c>
      <c r="H1702" s="11"/>
      <c r="I1702" s="12"/>
      <c r="J1702" s="12" t="n">
        <f aca="false">COUNT(E1702,G1702,I1702)</f>
        <v>1</v>
      </c>
      <c r="K1702" s="13" t="n">
        <f aca="false">MIN(E1702,G1702,I1702)</f>
        <v>811</v>
      </c>
      <c r="L1702" s="9" t="str">
        <f aca="false">IF(E1702=K1702,"5000m",IF(G1702=K1702,"3000mSC","1500m"))</f>
        <v>3000mSC</v>
      </c>
      <c r="M1702" s="14" t="n">
        <f aca="false">(D1702&lt;&gt;"")*(D1702&lt;=($E$3*60+$F$3)/86400)+(F1702&lt;&gt;"")*(F1702&lt;=($I$3*60+$J$3)/86400)+(H1702&lt;&gt;"")*(H1702&lt;=($M$3*60+$N$3)/86400)</f>
        <v>0</v>
      </c>
      <c r="N1702" s="16"/>
      <c r="O1702" s="15"/>
    </row>
    <row r="1703" customFormat="false" ht="25.35" hidden="false" customHeight="false" outlineLevel="0" collapsed="false">
      <c r="A1703" s="9" t="n">
        <v>1697</v>
      </c>
      <c r="B1703" s="10" t="s">
        <v>2439</v>
      </c>
      <c r="C1703" s="10" t="s">
        <v>2097</v>
      </c>
      <c r="D1703" s="11"/>
      <c r="E1703" s="12"/>
      <c r="F1703" s="11" t="n">
        <v>0.00743333333333333</v>
      </c>
      <c r="G1703" s="12" t="n">
        <v>812</v>
      </c>
      <c r="H1703" s="11"/>
      <c r="I1703" s="12"/>
      <c r="J1703" s="12" t="n">
        <f aca="false">COUNT(E1703,G1703,I1703)</f>
        <v>1</v>
      </c>
      <c r="K1703" s="13" t="n">
        <f aca="false">MIN(E1703,G1703,I1703)</f>
        <v>812</v>
      </c>
      <c r="L1703" s="9" t="str">
        <f aca="false">IF(E1703=K1703,"5000m",IF(G1703=K1703,"3000mSC","1500m"))</f>
        <v>3000mSC</v>
      </c>
      <c r="M1703" s="14" t="n">
        <f aca="false">(D1703&lt;&gt;"")*(D1703&lt;=($E$3*60+$F$3)/86400)+(F1703&lt;&gt;"")*(F1703&lt;=($I$3*60+$J$3)/86400)+(H1703&lt;&gt;"")*(H1703&lt;=($M$3*60+$N$3)/86400)</f>
        <v>0</v>
      </c>
      <c r="N1703" s="16"/>
      <c r="O1703" s="15"/>
    </row>
    <row r="1704" customFormat="false" ht="15" hidden="false" customHeight="false" outlineLevel="0" collapsed="false">
      <c r="A1704" s="9" t="n">
        <v>1698</v>
      </c>
      <c r="B1704" s="10" t="s">
        <v>2440</v>
      </c>
      <c r="C1704" s="10" t="s">
        <v>175</v>
      </c>
      <c r="D1704" s="11"/>
      <c r="E1704" s="12"/>
      <c r="F1704" s="11"/>
      <c r="G1704" s="12"/>
      <c r="H1704" s="11" t="n">
        <v>0.00288460648148148</v>
      </c>
      <c r="I1704" s="12" t="n">
        <v>812</v>
      </c>
      <c r="J1704" s="12" t="n">
        <f aca="false">COUNT(E1704,G1704,I1704)</f>
        <v>1</v>
      </c>
      <c r="K1704" s="13" t="n">
        <f aca="false">MIN(E1704,G1704,I1704)</f>
        <v>812</v>
      </c>
      <c r="L1704" s="9" t="str">
        <f aca="false">IF(E1704=K1704,"5000m",IF(G1704=K1704,"3000mSC","1500m"))</f>
        <v>1500m</v>
      </c>
      <c r="M1704" s="14" t="n">
        <f aca="false">(D1704&lt;&gt;"")*(D1704&lt;=($E$3*60+$F$3)/86400)+(F1704&lt;&gt;"")*(F1704&lt;=($I$3*60+$J$3)/86400)+(H1704&lt;&gt;"")*(H1704&lt;=($M$3*60+$N$3)/86400)</f>
        <v>0</v>
      </c>
      <c r="N1704" s="16"/>
      <c r="O1704" s="15"/>
    </row>
    <row r="1705" customFormat="false" ht="15" hidden="false" customHeight="false" outlineLevel="0" collapsed="false">
      <c r="A1705" s="9" t="n">
        <v>1699</v>
      </c>
      <c r="B1705" s="10" t="s">
        <v>2441</v>
      </c>
      <c r="C1705" s="10" t="s">
        <v>2442</v>
      </c>
      <c r="D1705" s="11" t="n">
        <v>0.0109369212962963</v>
      </c>
      <c r="E1705" s="12" t="n">
        <v>979</v>
      </c>
      <c r="F1705" s="11"/>
      <c r="G1705" s="12"/>
      <c r="H1705" s="11" t="n">
        <v>0.00288472222222222</v>
      </c>
      <c r="I1705" s="12" t="n">
        <v>813</v>
      </c>
      <c r="J1705" s="12" t="n">
        <f aca="false">COUNT(E1705,G1705,I1705)</f>
        <v>2</v>
      </c>
      <c r="K1705" s="13" t="n">
        <f aca="false">MIN(E1705,G1705,I1705)</f>
        <v>813</v>
      </c>
      <c r="L1705" s="9" t="str">
        <f aca="false">IF(E1705=K1705,"5000m",IF(G1705=K1705,"3000mSC","1500m"))</f>
        <v>1500m</v>
      </c>
      <c r="M1705" s="14" t="n">
        <f aca="false">(D1705&lt;&gt;"")*(D1705&lt;=($E$3*60+$F$3)/86400)+(F1705&lt;&gt;"")*(F1705&lt;=($I$3*60+$J$3)/86400)+(H1705&lt;&gt;"")*(H1705&lt;=($M$3*60+$N$3)/86400)</f>
        <v>0</v>
      </c>
      <c r="N1705" s="16"/>
      <c r="O1705" s="15"/>
    </row>
    <row r="1706" customFormat="false" ht="25.35" hidden="false" customHeight="false" outlineLevel="0" collapsed="false">
      <c r="A1706" s="9" t="n">
        <v>1700</v>
      </c>
      <c r="B1706" s="10" t="s">
        <v>2443</v>
      </c>
      <c r="C1706" s="10" t="s">
        <v>590</v>
      </c>
      <c r="D1706" s="11"/>
      <c r="E1706" s="12"/>
      <c r="F1706" s="11" t="n">
        <v>0.00743541666666667</v>
      </c>
      <c r="G1706" s="12" t="n">
        <v>813</v>
      </c>
      <c r="H1706" s="11"/>
      <c r="I1706" s="12"/>
      <c r="J1706" s="12" t="n">
        <f aca="false">COUNT(E1706,G1706,I1706)</f>
        <v>1</v>
      </c>
      <c r="K1706" s="13" t="n">
        <f aca="false">MIN(E1706,G1706,I1706)</f>
        <v>813</v>
      </c>
      <c r="L1706" s="9" t="str">
        <f aca="false">IF(E1706=K1706,"5000m",IF(G1706=K1706,"3000mSC","1500m"))</f>
        <v>3000mSC</v>
      </c>
      <c r="M1706" s="14" t="n">
        <f aca="false">(D1706&lt;&gt;"")*(D1706&lt;=($E$3*60+$F$3)/86400)+(F1706&lt;&gt;"")*(F1706&lt;=($I$3*60+$J$3)/86400)+(H1706&lt;&gt;"")*(H1706&lt;=($M$3*60+$N$3)/86400)</f>
        <v>0</v>
      </c>
      <c r="N1706" s="10" t="s">
        <v>2444</v>
      </c>
      <c r="O1706" s="15"/>
    </row>
    <row r="1707" customFormat="false" ht="25.35" hidden="false" customHeight="false" outlineLevel="0" collapsed="false">
      <c r="A1707" s="9" t="n">
        <v>1701</v>
      </c>
      <c r="B1707" s="10" t="s">
        <v>2445</v>
      </c>
      <c r="C1707" s="10" t="s">
        <v>51</v>
      </c>
      <c r="D1707" s="11"/>
      <c r="E1707" s="12"/>
      <c r="F1707" s="11" t="n">
        <v>0.00743738425925926</v>
      </c>
      <c r="G1707" s="12" t="n">
        <v>814</v>
      </c>
      <c r="H1707" s="11"/>
      <c r="I1707" s="12"/>
      <c r="J1707" s="12" t="n">
        <f aca="false">COUNT(E1707,G1707,I1707)</f>
        <v>1</v>
      </c>
      <c r="K1707" s="13" t="n">
        <f aca="false">MIN(E1707,G1707,I1707)</f>
        <v>814</v>
      </c>
      <c r="L1707" s="9" t="str">
        <f aca="false">IF(E1707=K1707,"5000m",IF(G1707=K1707,"3000mSC","1500m"))</f>
        <v>3000mSC</v>
      </c>
      <c r="M1707" s="14" t="n">
        <f aca="false">(D1707&lt;&gt;"")*(D1707&lt;=($E$3*60+$F$3)/86400)+(F1707&lt;&gt;"")*(F1707&lt;=($I$3*60+$J$3)/86400)+(H1707&lt;&gt;"")*(H1707&lt;=($M$3*60+$N$3)/86400)</f>
        <v>0</v>
      </c>
      <c r="N1707" s="16"/>
      <c r="O1707" s="15"/>
    </row>
    <row r="1708" customFormat="false" ht="15" hidden="false" customHeight="false" outlineLevel="0" collapsed="false">
      <c r="A1708" s="9" t="n">
        <v>1702</v>
      </c>
      <c r="B1708" s="10" t="s">
        <v>2446</v>
      </c>
      <c r="C1708" s="10" t="s">
        <v>2447</v>
      </c>
      <c r="D1708" s="11" t="n">
        <v>0.0108736111111111</v>
      </c>
      <c r="E1708" s="12" t="n">
        <v>877</v>
      </c>
      <c r="F1708" s="11"/>
      <c r="G1708" s="12"/>
      <c r="H1708" s="11" t="n">
        <v>0.00288483796296296</v>
      </c>
      <c r="I1708" s="12" t="n">
        <v>815</v>
      </c>
      <c r="J1708" s="12" t="n">
        <f aca="false">COUNT(E1708,G1708,I1708)</f>
        <v>2</v>
      </c>
      <c r="K1708" s="13" t="n">
        <f aca="false">MIN(E1708,G1708,I1708)</f>
        <v>815</v>
      </c>
      <c r="L1708" s="9" t="str">
        <f aca="false">IF(E1708=K1708,"5000m",IF(G1708=K1708,"3000mSC","1500m"))</f>
        <v>1500m</v>
      </c>
      <c r="M1708" s="14" t="n">
        <f aca="false">(D1708&lt;&gt;"")*(D1708&lt;=($E$3*60+$F$3)/86400)+(F1708&lt;&gt;"")*(F1708&lt;=($I$3*60+$J$3)/86400)+(H1708&lt;&gt;"")*(H1708&lt;=($M$3*60+$N$3)/86400)</f>
        <v>0</v>
      </c>
      <c r="N1708" s="16"/>
      <c r="O1708" s="15"/>
    </row>
    <row r="1709" customFormat="false" ht="25.35" hidden="false" customHeight="false" outlineLevel="0" collapsed="false">
      <c r="A1709" s="9" t="n">
        <v>1703</v>
      </c>
      <c r="B1709" s="10" t="s">
        <v>2448</v>
      </c>
      <c r="C1709" s="10" t="s">
        <v>2449</v>
      </c>
      <c r="D1709" s="11"/>
      <c r="E1709" s="12"/>
      <c r="F1709" s="11" t="n">
        <v>0.00743738425925926</v>
      </c>
      <c r="G1709" s="12" t="n">
        <v>815</v>
      </c>
      <c r="H1709" s="11"/>
      <c r="I1709" s="12"/>
      <c r="J1709" s="12" t="n">
        <f aca="false">COUNT(E1709,G1709,I1709)</f>
        <v>1</v>
      </c>
      <c r="K1709" s="13" t="n">
        <f aca="false">MIN(E1709,G1709,I1709)</f>
        <v>815</v>
      </c>
      <c r="L1709" s="9" t="str">
        <f aca="false">IF(E1709=K1709,"5000m",IF(G1709=K1709,"3000mSC","1500m"))</f>
        <v>3000mSC</v>
      </c>
      <c r="M1709" s="14" t="n">
        <f aca="false">(D1709&lt;&gt;"")*(D1709&lt;=($E$3*60+$F$3)/86400)+(F1709&lt;&gt;"")*(F1709&lt;=($I$3*60+$J$3)/86400)+(H1709&lt;&gt;"")*(H1709&lt;=($M$3*60+$N$3)/86400)</f>
        <v>0</v>
      </c>
      <c r="N1709" s="16"/>
      <c r="O1709" s="15"/>
    </row>
    <row r="1710" customFormat="false" ht="15" hidden="false" customHeight="false" outlineLevel="0" collapsed="false">
      <c r="A1710" s="9" t="n">
        <v>1704</v>
      </c>
      <c r="B1710" s="10" t="s">
        <v>2450</v>
      </c>
      <c r="C1710" s="10" t="s">
        <v>254</v>
      </c>
      <c r="D1710" s="11" t="n">
        <v>0.0108416666666667</v>
      </c>
      <c r="E1710" s="12" t="n">
        <v>816</v>
      </c>
      <c r="F1710" s="11"/>
      <c r="G1710" s="12"/>
      <c r="H1710" s="11" t="n">
        <v>0.00289988425925926</v>
      </c>
      <c r="I1710" s="12" t="n">
        <v>947</v>
      </c>
      <c r="J1710" s="12" t="n">
        <f aca="false">COUNT(E1710,G1710,I1710)</f>
        <v>2</v>
      </c>
      <c r="K1710" s="13" t="n">
        <f aca="false">MIN(E1710,G1710,I1710)</f>
        <v>816</v>
      </c>
      <c r="L1710" s="9" t="str">
        <f aca="false">IF(E1710=K1710,"5000m",IF(G1710=K1710,"3000mSC","1500m"))</f>
        <v>5000m</v>
      </c>
      <c r="M1710" s="14" t="n">
        <f aca="false">(D1710&lt;&gt;"")*(D1710&lt;=($E$3*60+$F$3)/86400)+(F1710&lt;&gt;"")*(F1710&lt;=($I$3*60+$J$3)/86400)+(H1710&lt;&gt;"")*(H1710&lt;=($M$3*60+$N$3)/86400)</f>
        <v>0</v>
      </c>
      <c r="N1710" s="16"/>
      <c r="O1710" s="15"/>
    </row>
    <row r="1711" customFormat="false" ht="25.35" hidden="false" customHeight="false" outlineLevel="0" collapsed="false">
      <c r="A1711" s="9" t="n">
        <v>1705</v>
      </c>
      <c r="B1711" s="10" t="s">
        <v>2451</v>
      </c>
      <c r="C1711" s="10" t="s">
        <v>570</v>
      </c>
      <c r="D1711" s="11"/>
      <c r="E1711" s="12"/>
      <c r="F1711" s="11" t="n">
        <v>0.00743819444444444</v>
      </c>
      <c r="G1711" s="12" t="n">
        <v>816</v>
      </c>
      <c r="H1711" s="11"/>
      <c r="I1711" s="12"/>
      <c r="J1711" s="12" t="n">
        <f aca="false">COUNT(E1711,G1711,I1711)</f>
        <v>1</v>
      </c>
      <c r="K1711" s="13" t="n">
        <f aca="false">MIN(E1711,G1711,I1711)</f>
        <v>816</v>
      </c>
      <c r="L1711" s="9" t="str">
        <f aca="false">IF(E1711=K1711,"5000m",IF(G1711=K1711,"3000mSC","1500m"))</f>
        <v>3000mSC</v>
      </c>
      <c r="M1711" s="14" t="n">
        <f aca="false">(D1711&lt;&gt;"")*(D1711&lt;=($E$3*60+$F$3)/86400)+(F1711&lt;&gt;"")*(F1711&lt;=($I$3*60+$J$3)/86400)+(H1711&lt;&gt;"")*(H1711&lt;=($M$3*60+$N$3)/86400)</f>
        <v>0</v>
      </c>
      <c r="N1711" s="16"/>
      <c r="O1711" s="15"/>
    </row>
    <row r="1712" customFormat="false" ht="15" hidden="false" customHeight="false" outlineLevel="0" collapsed="false">
      <c r="A1712" s="9" t="n">
        <v>1706</v>
      </c>
      <c r="B1712" s="10" t="s">
        <v>2452</v>
      </c>
      <c r="C1712" s="10" t="s">
        <v>1023</v>
      </c>
      <c r="D1712" s="11"/>
      <c r="E1712" s="12"/>
      <c r="F1712" s="11"/>
      <c r="G1712" s="12"/>
      <c r="H1712" s="11" t="n">
        <v>0.00288506944444444</v>
      </c>
      <c r="I1712" s="12" t="n">
        <v>816</v>
      </c>
      <c r="J1712" s="12" t="n">
        <f aca="false">COUNT(E1712,G1712,I1712)</f>
        <v>1</v>
      </c>
      <c r="K1712" s="13" t="n">
        <f aca="false">MIN(E1712,G1712,I1712)</f>
        <v>816</v>
      </c>
      <c r="L1712" s="9" t="str">
        <f aca="false">IF(E1712=K1712,"5000m",IF(G1712=K1712,"3000mSC","1500m"))</f>
        <v>1500m</v>
      </c>
      <c r="M1712" s="14" t="n">
        <f aca="false">(D1712&lt;&gt;"")*(D1712&lt;=($E$3*60+$F$3)/86400)+(F1712&lt;&gt;"")*(F1712&lt;=($I$3*60+$J$3)/86400)+(H1712&lt;&gt;"")*(H1712&lt;=($M$3*60+$N$3)/86400)</f>
        <v>0</v>
      </c>
      <c r="N1712" s="16"/>
      <c r="O1712" s="15"/>
    </row>
    <row r="1713" customFormat="false" ht="15" hidden="false" customHeight="false" outlineLevel="0" collapsed="false">
      <c r="A1713" s="9" t="n">
        <v>1707</v>
      </c>
      <c r="B1713" s="10" t="s">
        <v>2453</v>
      </c>
      <c r="C1713" s="10" t="s">
        <v>505</v>
      </c>
      <c r="D1713" s="11" t="n">
        <v>0.0108982638888889</v>
      </c>
      <c r="E1713" s="12" t="n">
        <v>919</v>
      </c>
      <c r="F1713" s="11"/>
      <c r="G1713" s="12"/>
      <c r="H1713" s="11" t="n">
        <v>0.00288506944444444</v>
      </c>
      <c r="I1713" s="12" t="n">
        <v>817</v>
      </c>
      <c r="J1713" s="12" t="n">
        <f aca="false">COUNT(E1713,G1713,I1713)</f>
        <v>2</v>
      </c>
      <c r="K1713" s="13" t="n">
        <f aca="false">MIN(E1713,G1713,I1713)</f>
        <v>817</v>
      </c>
      <c r="L1713" s="9" t="str">
        <f aca="false">IF(E1713=K1713,"5000m",IF(G1713=K1713,"3000mSC","1500m"))</f>
        <v>1500m</v>
      </c>
      <c r="M1713" s="14" t="n">
        <f aca="false">(D1713&lt;&gt;"")*(D1713&lt;=($E$3*60+$F$3)/86400)+(F1713&lt;&gt;"")*(F1713&lt;=($I$3*60+$J$3)/86400)+(H1713&lt;&gt;"")*(H1713&lt;=($M$3*60+$N$3)/86400)</f>
        <v>0</v>
      </c>
      <c r="N1713" s="16"/>
      <c r="O1713" s="15"/>
    </row>
    <row r="1714" customFormat="false" ht="15" hidden="false" customHeight="false" outlineLevel="0" collapsed="false">
      <c r="A1714" s="9" t="n">
        <v>1708</v>
      </c>
      <c r="B1714" s="10" t="s">
        <v>2454</v>
      </c>
      <c r="C1714" s="10" t="s">
        <v>712</v>
      </c>
      <c r="D1714" s="11" t="n">
        <v>0.0108423611111111</v>
      </c>
      <c r="E1714" s="12" t="n">
        <v>817</v>
      </c>
      <c r="F1714" s="11"/>
      <c r="G1714" s="12"/>
      <c r="H1714" s="11"/>
      <c r="I1714" s="12"/>
      <c r="J1714" s="12" t="n">
        <f aca="false">COUNT(E1714,G1714,I1714)</f>
        <v>1</v>
      </c>
      <c r="K1714" s="13" t="n">
        <f aca="false">MIN(E1714,G1714,I1714)</f>
        <v>817</v>
      </c>
      <c r="L1714" s="9" t="str">
        <f aca="false">IF(E1714=K1714,"5000m",IF(G1714=K1714,"3000mSC","1500m"))</f>
        <v>5000m</v>
      </c>
      <c r="M1714" s="14" t="n">
        <f aca="false">(D1714&lt;&gt;"")*(D1714&lt;=($E$3*60+$F$3)/86400)+(F1714&lt;&gt;"")*(F1714&lt;=($I$3*60+$J$3)/86400)+(H1714&lt;&gt;"")*(H1714&lt;=($M$3*60+$N$3)/86400)</f>
        <v>0</v>
      </c>
      <c r="N1714" s="16"/>
      <c r="O1714" s="15"/>
    </row>
    <row r="1715" customFormat="false" ht="25.35" hidden="false" customHeight="false" outlineLevel="0" collapsed="false">
      <c r="A1715" s="9" t="n">
        <v>1709</v>
      </c>
      <c r="B1715" s="10" t="s">
        <v>2455</v>
      </c>
      <c r="C1715" s="10" t="s">
        <v>1046</v>
      </c>
      <c r="D1715" s="11"/>
      <c r="E1715" s="12"/>
      <c r="F1715" s="11" t="n">
        <v>0.00743900462962963</v>
      </c>
      <c r="G1715" s="12" t="n">
        <v>817</v>
      </c>
      <c r="H1715" s="11"/>
      <c r="I1715" s="12"/>
      <c r="J1715" s="12" t="n">
        <f aca="false">COUNT(E1715,G1715,I1715)</f>
        <v>1</v>
      </c>
      <c r="K1715" s="13" t="n">
        <f aca="false">MIN(E1715,G1715,I1715)</f>
        <v>817</v>
      </c>
      <c r="L1715" s="9" t="str">
        <f aca="false">IF(E1715=K1715,"5000m",IF(G1715=K1715,"3000mSC","1500m"))</f>
        <v>3000mSC</v>
      </c>
      <c r="M1715" s="14" t="n">
        <f aca="false">(D1715&lt;&gt;"")*(D1715&lt;=($E$3*60+$F$3)/86400)+(F1715&lt;&gt;"")*(F1715&lt;=($I$3*60+$J$3)/86400)+(H1715&lt;&gt;"")*(H1715&lt;=($M$3*60+$N$3)/86400)</f>
        <v>0</v>
      </c>
      <c r="N1715" s="16"/>
      <c r="O1715" s="15"/>
    </row>
    <row r="1716" customFormat="false" ht="25.35" hidden="false" customHeight="false" outlineLevel="0" collapsed="false">
      <c r="A1716" s="9" t="n">
        <v>1710</v>
      </c>
      <c r="B1716" s="10" t="s">
        <v>2456</v>
      </c>
      <c r="C1716" s="10" t="s">
        <v>2457</v>
      </c>
      <c r="D1716" s="11"/>
      <c r="E1716" s="12"/>
      <c r="F1716" s="11" t="n">
        <v>0.00744016203703704</v>
      </c>
      <c r="G1716" s="12" t="n">
        <v>818</v>
      </c>
      <c r="H1716" s="11"/>
      <c r="I1716" s="12"/>
      <c r="J1716" s="12" t="n">
        <f aca="false">COUNT(E1716,G1716,I1716)</f>
        <v>1</v>
      </c>
      <c r="K1716" s="13" t="n">
        <f aca="false">MIN(E1716,G1716,I1716)</f>
        <v>818</v>
      </c>
      <c r="L1716" s="9" t="str">
        <f aca="false">IF(E1716=K1716,"5000m",IF(G1716=K1716,"3000mSC","1500m"))</f>
        <v>3000mSC</v>
      </c>
      <c r="M1716" s="14" t="n">
        <f aca="false">(D1716&lt;&gt;"")*(D1716&lt;=($E$3*60+$F$3)/86400)+(F1716&lt;&gt;"")*(F1716&lt;=($I$3*60+$J$3)/86400)+(H1716&lt;&gt;"")*(H1716&lt;=($M$3*60+$N$3)/86400)</f>
        <v>0</v>
      </c>
      <c r="N1716" s="16"/>
      <c r="O1716" s="15"/>
    </row>
    <row r="1717" customFormat="false" ht="15" hidden="false" customHeight="false" outlineLevel="0" collapsed="false">
      <c r="A1717" s="9" t="n">
        <v>1711</v>
      </c>
      <c r="B1717" s="10" t="s">
        <v>2458</v>
      </c>
      <c r="C1717" s="10" t="s">
        <v>590</v>
      </c>
      <c r="D1717" s="11"/>
      <c r="E1717" s="12"/>
      <c r="F1717" s="11"/>
      <c r="G1717" s="12"/>
      <c r="H1717" s="11" t="n">
        <v>0.00288518518518519</v>
      </c>
      <c r="I1717" s="12" t="n">
        <v>818</v>
      </c>
      <c r="J1717" s="12" t="n">
        <f aca="false">COUNT(E1717,G1717,I1717)</f>
        <v>1</v>
      </c>
      <c r="K1717" s="13" t="n">
        <f aca="false">MIN(E1717,G1717,I1717)</f>
        <v>818</v>
      </c>
      <c r="L1717" s="9" t="str">
        <f aca="false">IF(E1717=K1717,"5000m",IF(G1717=K1717,"3000mSC","1500m"))</f>
        <v>1500m</v>
      </c>
      <c r="M1717" s="14" t="n">
        <f aca="false">(D1717&lt;&gt;"")*(D1717&lt;=($E$3*60+$F$3)/86400)+(F1717&lt;&gt;"")*(F1717&lt;=($I$3*60+$J$3)/86400)+(H1717&lt;&gt;"")*(H1717&lt;=($M$3*60+$N$3)/86400)</f>
        <v>0</v>
      </c>
      <c r="N1717" s="16"/>
      <c r="O1717" s="15"/>
    </row>
    <row r="1718" customFormat="false" ht="15" hidden="false" customHeight="false" outlineLevel="0" collapsed="false">
      <c r="A1718" s="9" t="n">
        <v>1712</v>
      </c>
      <c r="B1718" s="10" t="s">
        <v>2459</v>
      </c>
      <c r="C1718" s="10" t="s">
        <v>29</v>
      </c>
      <c r="D1718" s="11" t="n">
        <v>0.0108434027777778</v>
      </c>
      <c r="E1718" s="12" t="n">
        <v>819</v>
      </c>
      <c r="F1718" s="11"/>
      <c r="G1718" s="12"/>
      <c r="H1718" s="11"/>
      <c r="I1718" s="12"/>
      <c r="J1718" s="12" t="n">
        <f aca="false">COUNT(E1718,G1718,I1718)</f>
        <v>1</v>
      </c>
      <c r="K1718" s="13" t="n">
        <f aca="false">MIN(E1718,G1718,I1718)</f>
        <v>819</v>
      </c>
      <c r="L1718" s="9" t="str">
        <f aca="false">IF(E1718=K1718,"5000m",IF(G1718=K1718,"3000mSC","1500m"))</f>
        <v>5000m</v>
      </c>
      <c r="M1718" s="14" t="n">
        <f aca="false">(D1718&lt;&gt;"")*(D1718&lt;=($E$3*60+$F$3)/86400)+(F1718&lt;&gt;"")*(F1718&lt;=($I$3*60+$J$3)/86400)+(H1718&lt;&gt;"")*(H1718&lt;=($M$3*60+$N$3)/86400)</f>
        <v>0</v>
      </c>
      <c r="N1718" s="16"/>
      <c r="O1718" s="15"/>
    </row>
    <row r="1719" customFormat="false" ht="25.35" hidden="false" customHeight="false" outlineLevel="0" collapsed="false">
      <c r="A1719" s="9" t="n">
        <v>1713</v>
      </c>
      <c r="B1719" s="10" t="s">
        <v>2460</v>
      </c>
      <c r="C1719" s="10" t="s">
        <v>2461</v>
      </c>
      <c r="D1719" s="11"/>
      <c r="E1719" s="12"/>
      <c r="F1719" s="11" t="n">
        <v>0.00744039351851852</v>
      </c>
      <c r="G1719" s="12" t="n">
        <v>819</v>
      </c>
      <c r="H1719" s="11"/>
      <c r="I1719" s="12"/>
      <c r="J1719" s="12" t="n">
        <f aca="false">COUNT(E1719,G1719,I1719)</f>
        <v>1</v>
      </c>
      <c r="K1719" s="13" t="n">
        <f aca="false">MIN(E1719,G1719,I1719)</f>
        <v>819</v>
      </c>
      <c r="L1719" s="9" t="str">
        <f aca="false">IF(E1719=K1719,"5000m",IF(G1719=K1719,"3000mSC","1500m"))</f>
        <v>3000mSC</v>
      </c>
      <c r="M1719" s="14" t="n">
        <f aca="false">(D1719&lt;&gt;"")*(D1719&lt;=($E$3*60+$F$3)/86400)+(F1719&lt;&gt;"")*(F1719&lt;=($I$3*60+$J$3)/86400)+(H1719&lt;&gt;"")*(H1719&lt;=($M$3*60+$N$3)/86400)</f>
        <v>0</v>
      </c>
      <c r="N1719" s="16"/>
      <c r="O1719" s="15"/>
    </row>
    <row r="1720" customFormat="false" ht="15" hidden="false" customHeight="false" outlineLevel="0" collapsed="false">
      <c r="A1720" s="9" t="n">
        <v>1714</v>
      </c>
      <c r="B1720" s="10" t="s">
        <v>2462</v>
      </c>
      <c r="C1720" s="10" t="s">
        <v>2463</v>
      </c>
      <c r="D1720" s="11" t="n">
        <v>0.0108435185185185</v>
      </c>
      <c r="E1720" s="12" t="n">
        <v>820</v>
      </c>
      <c r="F1720" s="11"/>
      <c r="G1720" s="12"/>
      <c r="H1720" s="11" t="n">
        <v>0.00290208333333333</v>
      </c>
      <c r="I1720" s="12" t="n">
        <v>965</v>
      </c>
      <c r="J1720" s="12" t="n">
        <f aca="false">COUNT(E1720,G1720,I1720)</f>
        <v>2</v>
      </c>
      <c r="K1720" s="13" t="n">
        <f aca="false">MIN(E1720,G1720,I1720)</f>
        <v>820</v>
      </c>
      <c r="L1720" s="9" t="str">
        <f aca="false">IF(E1720=K1720,"5000m",IF(G1720=K1720,"3000mSC","1500m"))</f>
        <v>5000m</v>
      </c>
      <c r="M1720" s="14" t="n">
        <f aca="false">(D1720&lt;&gt;"")*(D1720&lt;=($E$3*60+$F$3)/86400)+(F1720&lt;&gt;"")*(F1720&lt;=($I$3*60+$J$3)/86400)+(H1720&lt;&gt;"")*(H1720&lt;=($M$3*60+$N$3)/86400)</f>
        <v>0</v>
      </c>
      <c r="N1720" s="16"/>
      <c r="O1720" s="15"/>
    </row>
    <row r="1721" customFormat="false" ht="25.35" hidden="false" customHeight="false" outlineLevel="0" collapsed="false">
      <c r="A1721" s="9" t="n">
        <v>1715</v>
      </c>
      <c r="B1721" s="10" t="s">
        <v>2464</v>
      </c>
      <c r="C1721" s="10" t="s">
        <v>921</v>
      </c>
      <c r="D1721" s="11"/>
      <c r="E1721" s="12"/>
      <c r="F1721" s="11" t="n">
        <v>0.00744305555555556</v>
      </c>
      <c r="G1721" s="12" t="n">
        <v>820</v>
      </c>
      <c r="H1721" s="11"/>
      <c r="I1721" s="12"/>
      <c r="J1721" s="12" t="n">
        <f aca="false">COUNT(E1721,G1721,I1721)</f>
        <v>1</v>
      </c>
      <c r="K1721" s="13" t="n">
        <f aca="false">MIN(E1721,G1721,I1721)</f>
        <v>820</v>
      </c>
      <c r="L1721" s="9" t="str">
        <f aca="false">IF(E1721=K1721,"5000m",IF(G1721=K1721,"3000mSC","1500m"))</f>
        <v>3000mSC</v>
      </c>
      <c r="M1721" s="14" t="n">
        <f aca="false">(D1721&lt;&gt;"")*(D1721&lt;=($E$3*60+$F$3)/86400)+(F1721&lt;&gt;"")*(F1721&lt;=($I$3*60+$J$3)/86400)+(H1721&lt;&gt;"")*(H1721&lt;=($M$3*60+$N$3)/86400)</f>
        <v>0</v>
      </c>
      <c r="N1721" s="16"/>
      <c r="O1721" s="15"/>
    </row>
    <row r="1722" customFormat="false" ht="25.35" hidden="false" customHeight="false" outlineLevel="0" collapsed="false">
      <c r="A1722" s="9" t="n">
        <v>1716</v>
      </c>
      <c r="B1722" s="10" t="s">
        <v>2465</v>
      </c>
      <c r="C1722" s="10" t="s">
        <v>1536</v>
      </c>
      <c r="D1722" s="11"/>
      <c r="E1722" s="12"/>
      <c r="F1722" s="11" t="n">
        <v>0.00744328703703704</v>
      </c>
      <c r="G1722" s="12" t="n">
        <v>821</v>
      </c>
      <c r="H1722" s="11"/>
      <c r="I1722" s="12"/>
      <c r="J1722" s="12" t="n">
        <f aca="false">COUNT(E1722,G1722,I1722)</f>
        <v>1</v>
      </c>
      <c r="K1722" s="13" t="n">
        <f aca="false">MIN(E1722,G1722,I1722)</f>
        <v>821</v>
      </c>
      <c r="L1722" s="9" t="str">
        <f aca="false">IF(E1722=K1722,"5000m",IF(G1722=K1722,"3000mSC","1500m"))</f>
        <v>3000mSC</v>
      </c>
      <c r="M1722" s="14" t="n">
        <f aca="false">(D1722&lt;&gt;"")*(D1722&lt;=($E$3*60+$F$3)/86400)+(F1722&lt;&gt;"")*(F1722&lt;=($I$3*60+$J$3)/86400)+(H1722&lt;&gt;"")*(H1722&lt;=($M$3*60+$N$3)/86400)</f>
        <v>0</v>
      </c>
      <c r="N1722" s="16"/>
      <c r="O1722" s="15"/>
    </row>
    <row r="1723" customFormat="false" ht="15" hidden="false" customHeight="false" outlineLevel="0" collapsed="false">
      <c r="A1723" s="9" t="n">
        <v>1717</v>
      </c>
      <c r="B1723" s="10" t="s">
        <v>2466</v>
      </c>
      <c r="C1723" s="10" t="s">
        <v>861</v>
      </c>
      <c r="D1723" s="11" t="n">
        <v>0.0108439814814815</v>
      </c>
      <c r="E1723" s="12" t="n">
        <v>822</v>
      </c>
      <c r="F1723" s="11"/>
      <c r="G1723" s="12"/>
      <c r="H1723" s="11"/>
      <c r="I1723" s="12"/>
      <c r="J1723" s="12" t="n">
        <f aca="false">COUNT(E1723,G1723,I1723)</f>
        <v>1</v>
      </c>
      <c r="K1723" s="13" t="n">
        <f aca="false">MIN(E1723,G1723,I1723)</f>
        <v>822</v>
      </c>
      <c r="L1723" s="9" t="str">
        <f aca="false">IF(E1723=K1723,"5000m",IF(G1723=K1723,"3000mSC","1500m"))</f>
        <v>5000m</v>
      </c>
      <c r="M1723" s="14" t="n">
        <f aca="false">(D1723&lt;&gt;"")*(D1723&lt;=($E$3*60+$F$3)/86400)+(F1723&lt;&gt;"")*(F1723&lt;=($I$3*60+$J$3)/86400)+(H1723&lt;&gt;"")*(H1723&lt;=($M$3*60+$N$3)/86400)</f>
        <v>0</v>
      </c>
      <c r="N1723" s="16"/>
      <c r="O1723" s="15"/>
    </row>
    <row r="1724" customFormat="false" ht="25.35" hidden="false" customHeight="false" outlineLevel="0" collapsed="false">
      <c r="A1724" s="9" t="n">
        <v>1718</v>
      </c>
      <c r="B1724" s="10" t="s">
        <v>2467</v>
      </c>
      <c r="C1724" s="10" t="s">
        <v>2468</v>
      </c>
      <c r="D1724" s="11"/>
      <c r="E1724" s="12"/>
      <c r="F1724" s="11" t="n">
        <v>0.00744490740740741</v>
      </c>
      <c r="G1724" s="12" t="n">
        <v>822</v>
      </c>
      <c r="H1724" s="11"/>
      <c r="I1724" s="12"/>
      <c r="J1724" s="12" t="n">
        <f aca="false">COUNT(E1724,G1724,I1724)</f>
        <v>1</v>
      </c>
      <c r="K1724" s="13" t="n">
        <f aca="false">MIN(E1724,G1724,I1724)</f>
        <v>822</v>
      </c>
      <c r="L1724" s="9" t="str">
        <f aca="false">IF(E1724=K1724,"5000m",IF(G1724=K1724,"3000mSC","1500m"))</f>
        <v>3000mSC</v>
      </c>
      <c r="M1724" s="14" t="n">
        <f aca="false">(D1724&lt;&gt;"")*(D1724&lt;=($E$3*60+$F$3)/86400)+(F1724&lt;&gt;"")*(F1724&lt;=($I$3*60+$J$3)/86400)+(H1724&lt;&gt;"")*(H1724&lt;=($M$3*60+$N$3)/86400)</f>
        <v>0</v>
      </c>
      <c r="N1724" s="16"/>
      <c r="O1724" s="15"/>
    </row>
    <row r="1725" customFormat="false" ht="15" hidden="false" customHeight="false" outlineLevel="0" collapsed="false">
      <c r="A1725" s="9" t="n">
        <v>1719</v>
      </c>
      <c r="B1725" s="10" t="s">
        <v>2469</v>
      </c>
      <c r="C1725" s="10" t="s">
        <v>460</v>
      </c>
      <c r="D1725" s="11" t="n">
        <v>0.0111222222222222</v>
      </c>
      <c r="E1725" s="12" t="n">
        <v>1290</v>
      </c>
      <c r="F1725" s="11"/>
      <c r="G1725" s="12"/>
      <c r="H1725" s="11" t="n">
        <v>0.00288576388888889</v>
      </c>
      <c r="I1725" s="12" t="n">
        <v>823</v>
      </c>
      <c r="J1725" s="12" t="n">
        <f aca="false">COUNT(E1725,G1725,I1725)</f>
        <v>2</v>
      </c>
      <c r="K1725" s="13" t="n">
        <f aca="false">MIN(E1725,G1725,I1725)</f>
        <v>823</v>
      </c>
      <c r="L1725" s="9" t="str">
        <f aca="false">IF(E1725=K1725,"5000m",IF(G1725=K1725,"3000mSC","1500m"))</f>
        <v>1500m</v>
      </c>
      <c r="M1725" s="14" t="n">
        <f aca="false">(D1725&lt;&gt;"")*(D1725&lt;=($E$3*60+$F$3)/86400)+(F1725&lt;&gt;"")*(F1725&lt;=($I$3*60+$J$3)/86400)+(H1725&lt;&gt;"")*(H1725&lt;=($M$3*60+$N$3)/86400)</f>
        <v>0</v>
      </c>
      <c r="N1725" s="16"/>
      <c r="O1725" s="15"/>
    </row>
    <row r="1726" customFormat="false" ht="25.35" hidden="false" customHeight="false" outlineLevel="0" collapsed="false">
      <c r="A1726" s="9" t="n">
        <v>1720</v>
      </c>
      <c r="B1726" s="10" t="s">
        <v>2470</v>
      </c>
      <c r="C1726" s="10" t="s">
        <v>223</v>
      </c>
      <c r="D1726" s="11"/>
      <c r="E1726" s="12"/>
      <c r="F1726" s="11" t="n">
        <v>0.00744571759259259</v>
      </c>
      <c r="G1726" s="12" t="n">
        <v>823</v>
      </c>
      <c r="H1726" s="11"/>
      <c r="I1726" s="12"/>
      <c r="J1726" s="12" t="n">
        <f aca="false">COUNT(E1726,G1726,I1726)</f>
        <v>1</v>
      </c>
      <c r="K1726" s="13" t="n">
        <f aca="false">MIN(E1726,G1726,I1726)</f>
        <v>823</v>
      </c>
      <c r="L1726" s="9" t="str">
        <f aca="false">IF(E1726=K1726,"5000m",IF(G1726=K1726,"3000mSC","1500m"))</f>
        <v>3000mSC</v>
      </c>
      <c r="M1726" s="14" t="n">
        <f aca="false">(D1726&lt;&gt;"")*(D1726&lt;=($E$3*60+$F$3)/86400)+(F1726&lt;&gt;"")*(F1726&lt;=($I$3*60+$J$3)/86400)+(H1726&lt;&gt;"")*(H1726&lt;=($M$3*60+$N$3)/86400)</f>
        <v>0</v>
      </c>
      <c r="N1726" s="16"/>
      <c r="O1726" s="15"/>
    </row>
    <row r="1727" customFormat="false" ht="15" hidden="false" customHeight="false" outlineLevel="0" collapsed="false">
      <c r="A1727" s="9" t="n">
        <v>1721</v>
      </c>
      <c r="B1727" s="10" t="s">
        <v>2471</v>
      </c>
      <c r="C1727" s="10" t="s">
        <v>570</v>
      </c>
      <c r="D1727" s="11" t="n">
        <v>0.0108726851851852</v>
      </c>
      <c r="E1727" s="12" t="n">
        <v>873</v>
      </c>
      <c r="F1727" s="11"/>
      <c r="G1727" s="12"/>
      <c r="H1727" s="11" t="n">
        <v>0.00288599537037037</v>
      </c>
      <c r="I1727" s="12" t="n">
        <v>824</v>
      </c>
      <c r="J1727" s="12" t="n">
        <f aca="false">COUNT(E1727,G1727,I1727)</f>
        <v>2</v>
      </c>
      <c r="K1727" s="13" t="n">
        <f aca="false">MIN(E1727,G1727,I1727)</f>
        <v>824</v>
      </c>
      <c r="L1727" s="9" t="str">
        <f aca="false">IF(E1727=K1727,"5000m",IF(G1727=K1727,"3000mSC","1500m"))</f>
        <v>1500m</v>
      </c>
      <c r="M1727" s="14" t="n">
        <f aca="false">(D1727&lt;&gt;"")*(D1727&lt;=($E$3*60+$F$3)/86400)+(F1727&lt;&gt;"")*(F1727&lt;=($I$3*60+$J$3)/86400)+(H1727&lt;&gt;"")*(H1727&lt;=($M$3*60+$N$3)/86400)</f>
        <v>0</v>
      </c>
      <c r="N1727" s="16"/>
      <c r="O1727" s="15"/>
    </row>
    <row r="1728" customFormat="false" ht="15" hidden="false" customHeight="false" outlineLevel="0" collapsed="false">
      <c r="A1728" s="9" t="n">
        <v>1722</v>
      </c>
      <c r="B1728" s="10" t="s">
        <v>2472</v>
      </c>
      <c r="C1728" s="10" t="s">
        <v>1628</v>
      </c>
      <c r="D1728" s="11" t="n">
        <v>0.0108440972222222</v>
      </c>
      <c r="E1728" s="12" t="n">
        <v>824</v>
      </c>
      <c r="F1728" s="11"/>
      <c r="G1728" s="12"/>
      <c r="H1728" s="11" t="n">
        <v>0.00291481481481482</v>
      </c>
      <c r="I1728" s="12" t="n">
        <v>1053</v>
      </c>
      <c r="J1728" s="12" t="n">
        <f aca="false">COUNT(E1728,G1728,I1728)</f>
        <v>2</v>
      </c>
      <c r="K1728" s="13" t="n">
        <f aca="false">MIN(E1728,G1728,I1728)</f>
        <v>824</v>
      </c>
      <c r="L1728" s="9" t="str">
        <f aca="false">IF(E1728=K1728,"5000m",IF(G1728=K1728,"3000mSC","1500m"))</f>
        <v>5000m</v>
      </c>
      <c r="M1728" s="14" t="n">
        <f aca="false">(D1728&lt;&gt;"")*(D1728&lt;=($E$3*60+$F$3)/86400)+(F1728&lt;&gt;"")*(F1728&lt;=($I$3*60+$J$3)/86400)+(H1728&lt;&gt;"")*(H1728&lt;=($M$3*60+$N$3)/86400)</f>
        <v>0</v>
      </c>
      <c r="N1728" s="16"/>
      <c r="O1728" s="15"/>
    </row>
    <row r="1729" customFormat="false" ht="25.35" hidden="false" customHeight="false" outlineLevel="0" collapsed="false">
      <c r="A1729" s="9" t="n">
        <v>1723</v>
      </c>
      <c r="B1729" s="10" t="s">
        <v>2473</v>
      </c>
      <c r="C1729" s="10" t="s">
        <v>2293</v>
      </c>
      <c r="D1729" s="11"/>
      <c r="E1729" s="12"/>
      <c r="F1729" s="11" t="n">
        <v>0.00744675925925926</v>
      </c>
      <c r="G1729" s="12" t="n">
        <v>824</v>
      </c>
      <c r="H1729" s="11"/>
      <c r="I1729" s="12"/>
      <c r="J1729" s="12" t="n">
        <f aca="false">COUNT(E1729,G1729,I1729)</f>
        <v>1</v>
      </c>
      <c r="K1729" s="13" t="n">
        <f aca="false">MIN(E1729,G1729,I1729)</f>
        <v>824</v>
      </c>
      <c r="L1729" s="9" t="str">
        <f aca="false">IF(E1729=K1729,"5000m",IF(G1729=K1729,"3000mSC","1500m"))</f>
        <v>3000mSC</v>
      </c>
      <c r="M1729" s="14" t="n">
        <f aca="false">(D1729&lt;&gt;"")*(D1729&lt;=($E$3*60+$F$3)/86400)+(F1729&lt;&gt;"")*(F1729&lt;=($I$3*60+$J$3)/86400)+(H1729&lt;&gt;"")*(H1729&lt;=($M$3*60+$N$3)/86400)</f>
        <v>0</v>
      </c>
      <c r="N1729" s="16"/>
      <c r="O1729" s="15"/>
    </row>
    <row r="1730" customFormat="false" ht="15" hidden="false" customHeight="false" outlineLevel="0" collapsed="false">
      <c r="A1730" s="9" t="n">
        <v>1724</v>
      </c>
      <c r="B1730" s="10" t="s">
        <v>2474</v>
      </c>
      <c r="C1730" s="10" t="s">
        <v>884</v>
      </c>
      <c r="D1730" s="11" t="n">
        <v>0.0108446759259259</v>
      </c>
      <c r="E1730" s="12" t="n">
        <v>825</v>
      </c>
      <c r="F1730" s="11"/>
      <c r="G1730" s="12"/>
      <c r="H1730" s="11"/>
      <c r="I1730" s="12"/>
      <c r="J1730" s="12" t="n">
        <f aca="false">COUNT(E1730,G1730,I1730)</f>
        <v>1</v>
      </c>
      <c r="K1730" s="13" t="n">
        <f aca="false">MIN(E1730,G1730,I1730)</f>
        <v>825</v>
      </c>
      <c r="L1730" s="9" t="str">
        <f aca="false">IF(E1730=K1730,"5000m",IF(G1730=K1730,"3000mSC","1500m"))</f>
        <v>5000m</v>
      </c>
      <c r="M1730" s="14" t="n">
        <f aca="false">(D1730&lt;&gt;"")*(D1730&lt;=($E$3*60+$F$3)/86400)+(F1730&lt;&gt;"")*(F1730&lt;=($I$3*60+$J$3)/86400)+(H1730&lt;&gt;"")*(H1730&lt;=($M$3*60+$N$3)/86400)</f>
        <v>0</v>
      </c>
      <c r="N1730" s="16"/>
      <c r="O1730" s="15"/>
    </row>
    <row r="1731" customFormat="false" ht="25.35" hidden="false" customHeight="false" outlineLevel="0" collapsed="false">
      <c r="A1731" s="9" t="n">
        <v>1725</v>
      </c>
      <c r="B1731" s="10" t="s">
        <v>2475</v>
      </c>
      <c r="C1731" s="10" t="s">
        <v>1311</v>
      </c>
      <c r="D1731" s="11"/>
      <c r="E1731" s="12"/>
      <c r="F1731" s="11" t="n">
        <v>0.00744768518518519</v>
      </c>
      <c r="G1731" s="12" t="n">
        <v>825</v>
      </c>
      <c r="H1731" s="11"/>
      <c r="I1731" s="12"/>
      <c r="J1731" s="12" t="n">
        <f aca="false">COUNT(E1731,G1731,I1731)</f>
        <v>1</v>
      </c>
      <c r="K1731" s="13" t="n">
        <f aca="false">MIN(E1731,G1731,I1731)</f>
        <v>825</v>
      </c>
      <c r="L1731" s="9" t="str">
        <f aca="false">IF(E1731=K1731,"5000m",IF(G1731=K1731,"3000mSC","1500m"))</f>
        <v>3000mSC</v>
      </c>
      <c r="M1731" s="14" t="n">
        <f aca="false">(D1731&lt;&gt;"")*(D1731&lt;=($E$3*60+$F$3)/86400)+(F1731&lt;&gt;"")*(F1731&lt;=($I$3*60+$J$3)/86400)+(H1731&lt;&gt;"")*(H1731&lt;=($M$3*60+$N$3)/86400)</f>
        <v>0</v>
      </c>
      <c r="N1731" s="16"/>
      <c r="O1731" s="15"/>
    </row>
    <row r="1732" customFormat="false" ht="15" hidden="false" customHeight="false" outlineLevel="0" collapsed="false">
      <c r="A1732" s="9" t="n">
        <v>1726</v>
      </c>
      <c r="B1732" s="10" t="s">
        <v>2476</v>
      </c>
      <c r="C1732" s="10" t="s">
        <v>377</v>
      </c>
      <c r="D1732" s="11"/>
      <c r="E1732" s="12"/>
      <c r="F1732" s="11"/>
      <c r="G1732" s="12"/>
      <c r="H1732" s="11" t="n">
        <v>0.00288611111111111</v>
      </c>
      <c r="I1732" s="12" t="n">
        <v>825</v>
      </c>
      <c r="J1732" s="12" t="n">
        <f aca="false">COUNT(E1732,G1732,I1732)</f>
        <v>1</v>
      </c>
      <c r="K1732" s="13" t="n">
        <f aca="false">MIN(E1732,G1732,I1732)</f>
        <v>825</v>
      </c>
      <c r="L1732" s="9" t="str">
        <f aca="false">IF(E1732=K1732,"5000m",IF(G1732=K1732,"3000mSC","1500m"))</f>
        <v>1500m</v>
      </c>
      <c r="M1732" s="14" t="n">
        <f aca="false">(D1732&lt;&gt;"")*(D1732&lt;=($E$3*60+$F$3)/86400)+(F1732&lt;&gt;"")*(F1732&lt;=($I$3*60+$J$3)/86400)+(H1732&lt;&gt;"")*(H1732&lt;=($M$3*60+$N$3)/86400)</f>
        <v>0</v>
      </c>
      <c r="N1732" s="16"/>
      <c r="O1732" s="15"/>
    </row>
    <row r="1733" customFormat="false" ht="25.35" hidden="false" customHeight="false" outlineLevel="0" collapsed="false">
      <c r="A1733" s="9" t="n">
        <v>1727</v>
      </c>
      <c r="B1733" s="10" t="s">
        <v>2477</v>
      </c>
      <c r="C1733" s="10" t="s">
        <v>588</v>
      </c>
      <c r="D1733" s="11"/>
      <c r="E1733" s="12"/>
      <c r="F1733" s="11" t="n">
        <v>0.00744791666666667</v>
      </c>
      <c r="G1733" s="12" t="n">
        <v>826</v>
      </c>
      <c r="H1733" s="11"/>
      <c r="I1733" s="12"/>
      <c r="J1733" s="12" t="n">
        <f aca="false">COUNT(E1733,G1733,I1733)</f>
        <v>1</v>
      </c>
      <c r="K1733" s="13" t="n">
        <f aca="false">MIN(E1733,G1733,I1733)</f>
        <v>826</v>
      </c>
      <c r="L1733" s="9" t="str">
        <f aca="false">IF(E1733=K1733,"5000m",IF(G1733=K1733,"3000mSC","1500m"))</f>
        <v>3000mSC</v>
      </c>
      <c r="M1733" s="14" t="n">
        <f aca="false">(D1733&lt;&gt;"")*(D1733&lt;=($E$3*60+$F$3)/86400)+(F1733&lt;&gt;"")*(F1733&lt;=($I$3*60+$J$3)/86400)+(H1733&lt;&gt;"")*(H1733&lt;=($M$3*60+$N$3)/86400)</f>
        <v>0</v>
      </c>
      <c r="N1733" s="16"/>
      <c r="O1733" s="15"/>
    </row>
    <row r="1734" customFormat="false" ht="15" hidden="false" customHeight="false" outlineLevel="0" collapsed="false">
      <c r="A1734" s="9" t="n">
        <v>1728</v>
      </c>
      <c r="B1734" s="10" t="s">
        <v>2478</v>
      </c>
      <c r="C1734" s="10" t="s">
        <v>705</v>
      </c>
      <c r="D1734" s="11"/>
      <c r="E1734" s="12"/>
      <c r="F1734" s="11" t="n">
        <v>0.00825486111111111</v>
      </c>
      <c r="G1734" s="12" t="n">
        <v>1244</v>
      </c>
      <c r="H1734" s="11" t="n">
        <v>0.00288657407407407</v>
      </c>
      <c r="I1734" s="12" t="n">
        <v>827</v>
      </c>
      <c r="J1734" s="12" t="n">
        <f aca="false">COUNT(E1734,G1734,I1734)</f>
        <v>2</v>
      </c>
      <c r="K1734" s="13" t="n">
        <f aca="false">MIN(E1734,G1734,I1734)</f>
        <v>827</v>
      </c>
      <c r="L1734" s="9" t="str">
        <f aca="false">IF(E1734=K1734,"5000m",IF(G1734=K1734,"3000mSC","1500m"))</f>
        <v>1500m</v>
      </c>
      <c r="M1734" s="14" t="n">
        <f aca="false">(D1734&lt;&gt;"")*(D1734&lt;=($E$3*60+$F$3)/86400)+(F1734&lt;&gt;"")*(F1734&lt;=($I$3*60+$J$3)/86400)+(H1734&lt;&gt;"")*(H1734&lt;=($M$3*60+$N$3)/86400)</f>
        <v>0</v>
      </c>
      <c r="N1734" s="16"/>
      <c r="O1734" s="15"/>
    </row>
    <row r="1735" customFormat="false" ht="25.35" hidden="false" customHeight="false" outlineLevel="0" collapsed="false">
      <c r="A1735" s="9" t="n">
        <v>1729</v>
      </c>
      <c r="B1735" s="10" t="s">
        <v>2479</v>
      </c>
      <c r="C1735" s="10" t="s">
        <v>2480</v>
      </c>
      <c r="D1735" s="11"/>
      <c r="E1735" s="12"/>
      <c r="F1735" s="11" t="n">
        <v>0.00744826388888889</v>
      </c>
      <c r="G1735" s="12" t="n">
        <v>827</v>
      </c>
      <c r="H1735" s="11"/>
      <c r="I1735" s="12"/>
      <c r="J1735" s="12" t="n">
        <f aca="false">COUNT(E1735,G1735,I1735)</f>
        <v>1</v>
      </c>
      <c r="K1735" s="13" t="n">
        <f aca="false">MIN(E1735,G1735,I1735)</f>
        <v>827</v>
      </c>
      <c r="L1735" s="9" t="str">
        <f aca="false">IF(E1735=K1735,"5000m",IF(G1735=K1735,"3000mSC","1500m"))</f>
        <v>3000mSC</v>
      </c>
      <c r="M1735" s="14" t="n">
        <f aca="false">(D1735&lt;&gt;"")*(D1735&lt;=($E$3*60+$F$3)/86400)+(F1735&lt;&gt;"")*(F1735&lt;=($I$3*60+$J$3)/86400)+(H1735&lt;&gt;"")*(H1735&lt;=($M$3*60+$N$3)/86400)</f>
        <v>0</v>
      </c>
      <c r="N1735" s="16"/>
      <c r="O1735" s="15"/>
    </row>
    <row r="1736" customFormat="false" ht="15" hidden="false" customHeight="false" outlineLevel="0" collapsed="false">
      <c r="A1736" s="9" t="n">
        <v>1730</v>
      </c>
      <c r="B1736" s="10" t="s">
        <v>2481</v>
      </c>
      <c r="C1736" s="10" t="s">
        <v>405</v>
      </c>
      <c r="D1736" s="11" t="n">
        <v>0.0108834490740741</v>
      </c>
      <c r="E1736" s="12" t="n">
        <v>897</v>
      </c>
      <c r="F1736" s="11"/>
      <c r="G1736" s="12"/>
      <c r="H1736" s="11" t="n">
        <v>0.00288657407407407</v>
      </c>
      <c r="I1736" s="12" t="n">
        <v>828</v>
      </c>
      <c r="J1736" s="12" t="n">
        <f aca="false">COUNT(E1736,G1736,I1736)</f>
        <v>2</v>
      </c>
      <c r="K1736" s="13" t="n">
        <f aca="false">MIN(E1736,G1736,I1736)</f>
        <v>828</v>
      </c>
      <c r="L1736" s="9" t="str">
        <f aca="false">IF(E1736=K1736,"5000m",IF(G1736=K1736,"3000mSC","1500m"))</f>
        <v>1500m</v>
      </c>
      <c r="M1736" s="14" t="n">
        <f aca="false">(D1736&lt;&gt;"")*(D1736&lt;=($E$3*60+$F$3)/86400)+(F1736&lt;&gt;"")*(F1736&lt;=($I$3*60+$J$3)/86400)+(H1736&lt;&gt;"")*(H1736&lt;=($M$3*60+$N$3)/86400)</f>
        <v>0</v>
      </c>
      <c r="N1736" s="16"/>
      <c r="O1736" s="15"/>
    </row>
    <row r="1737" customFormat="false" ht="25.35" hidden="false" customHeight="false" outlineLevel="0" collapsed="false">
      <c r="A1737" s="9" t="n">
        <v>1731</v>
      </c>
      <c r="B1737" s="10" t="s">
        <v>2482</v>
      </c>
      <c r="C1737" s="10" t="s">
        <v>2483</v>
      </c>
      <c r="D1737" s="11"/>
      <c r="E1737" s="12"/>
      <c r="F1737" s="11" t="n">
        <v>0.00744872685185185</v>
      </c>
      <c r="G1737" s="12" t="n">
        <v>828</v>
      </c>
      <c r="H1737" s="11" t="n">
        <v>0.00295092592592593</v>
      </c>
      <c r="I1737" s="12" t="n">
        <v>1243</v>
      </c>
      <c r="J1737" s="12" t="n">
        <f aca="false">COUNT(E1737,G1737,I1737)</f>
        <v>2</v>
      </c>
      <c r="K1737" s="13" t="n">
        <f aca="false">MIN(E1737,G1737,I1737)</f>
        <v>828</v>
      </c>
      <c r="L1737" s="9" t="str">
        <f aca="false">IF(E1737=K1737,"5000m",IF(G1737=K1737,"3000mSC","1500m"))</f>
        <v>3000mSC</v>
      </c>
      <c r="M1737" s="14" t="n">
        <f aca="false">(D1737&lt;&gt;"")*(D1737&lt;=($E$3*60+$F$3)/86400)+(F1737&lt;&gt;"")*(F1737&lt;=($I$3*60+$J$3)/86400)+(H1737&lt;&gt;"")*(H1737&lt;=($M$3*60+$N$3)/86400)</f>
        <v>0</v>
      </c>
      <c r="N1737" s="16"/>
      <c r="O1737" s="15"/>
    </row>
    <row r="1738" customFormat="false" ht="15" hidden="false" customHeight="false" outlineLevel="0" collapsed="false">
      <c r="A1738" s="9" t="n">
        <v>1732</v>
      </c>
      <c r="B1738" s="10" t="s">
        <v>2484</v>
      </c>
      <c r="C1738" s="10" t="s">
        <v>132</v>
      </c>
      <c r="D1738" s="11" t="n">
        <v>0.0108469907407407</v>
      </c>
      <c r="E1738" s="12" t="n">
        <v>828</v>
      </c>
      <c r="F1738" s="11"/>
      <c r="G1738" s="12"/>
      <c r="H1738" s="11"/>
      <c r="I1738" s="12"/>
      <c r="J1738" s="12" t="n">
        <f aca="false">COUNT(E1738,G1738,I1738)</f>
        <v>1</v>
      </c>
      <c r="K1738" s="13" t="n">
        <f aca="false">MIN(E1738,G1738,I1738)</f>
        <v>828</v>
      </c>
      <c r="L1738" s="9" t="str">
        <f aca="false">IF(E1738=K1738,"5000m",IF(G1738=K1738,"3000mSC","1500m"))</f>
        <v>5000m</v>
      </c>
      <c r="M1738" s="14" t="n">
        <f aca="false">(D1738&lt;&gt;"")*(D1738&lt;=($E$3*60+$F$3)/86400)+(F1738&lt;&gt;"")*(F1738&lt;=($I$3*60+$J$3)/86400)+(H1738&lt;&gt;"")*(H1738&lt;=($M$3*60+$N$3)/86400)</f>
        <v>0</v>
      </c>
      <c r="N1738" s="16"/>
      <c r="O1738" s="15"/>
    </row>
    <row r="1739" customFormat="false" ht="15" hidden="false" customHeight="false" outlineLevel="0" collapsed="false">
      <c r="A1739" s="9" t="n">
        <v>1733</v>
      </c>
      <c r="B1739" s="10" t="s">
        <v>2485</v>
      </c>
      <c r="C1739" s="10" t="s">
        <v>237</v>
      </c>
      <c r="D1739" s="11" t="n">
        <v>0.0108478009259259</v>
      </c>
      <c r="E1739" s="12" t="n">
        <v>829</v>
      </c>
      <c r="F1739" s="11"/>
      <c r="G1739" s="12"/>
      <c r="H1739" s="11" t="n">
        <v>0.00288935185185185</v>
      </c>
      <c r="I1739" s="12" t="n">
        <v>859</v>
      </c>
      <c r="J1739" s="12" t="n">
        <f aca="false">COUNT(E1739,G1739,I1739)</f>
        <v>2</v>
      </c>
      <c r="K1739" s="13" t="n">
        <f aca="false">MIN(E1739,G1739,I1739)</f>
        <v>829</v>
      </c>
      <c r="L1739" s="9" t="str">
        <f aca="false">IF(E1739=K1739,"5000m",IF(G1739=K1739,"3000mSC","1500m"))</f>
        <v>5000m</v>
      </c>
      <c r="M1739" s="14" t="n">
        <f aca="false">(D1739&lt;&gt;"")*(D1739&lt;=($E$3*60+$F$3)/86400)+(F1739&lt;&gt;"")*(F1739&lt;=($I$3*60+$J$3)/86400)+(H1739&lt;&gt;"")*(H1739&lt;=($M$3*60+$N$3)/86400)</f>
        <v>0</v>
      </c>
      <c r="N1739" s="16"/>
      <c r="O1739" s="15"/>
    </row>
    <row r="1740" customFormat="false" ht="25.35" hidden="false" customHeight="false" outlineLevel="0" collapsed="false">
      <c r="A1740" s="9" t="n">
        <v>1734</v>
      </c>
      <c r="B1740" s="10" t="s">
        <v>2486</v>
      </c>
      <c r="C1740" s="10" t="s">
        <v>2487</v>
      </c>
      <c r="D1740" s="11"/>
      <c r="E1740" s="12"/>
      <c r="F1740" s="11" t="n">
        <v>0.00744953703703704</v>
      </c>
      <c r="G1740" s="12" t="n">
        <v>829</v>
      </c>
      <c r="H1740" s="11"/>
      <c r="I1740" s="12"/>
      <c r="J1740" s="12" t="n">
        <f aca="false">COUNT(E1740,G1740,I1740)</f>
        <v>1</v>
      </c>
      <c r="K1740" s="13" t="n">
        <f aca="false">MIN(E1740,G1740,I1740)</f>
        <v>829</v>
      </c>
      <c r="L1740" s="9" t="str">
        <f aca="false">IF(E1740=K1740,"5000m",IF(G1740=K1740,"3000mSC","1500m"))</f>
        <v>3000mSC</v>
      </c>
      <c r="M1740" s="14" t="n">
        <f aca="false">(D1740&lt;&gt;"")*(D1740&lt;=($E$3*60+$F$3)/86400)+(F1740&lt;&gt;"")*(F1740&lt;=($I$3*60+$J$3)/86400)+(H1740&lt;&gt;"")*(H1740&lt;=($M$3*60+$N$3)/86400)</f>
        <v>0</v>
      </c>
      <c r="N1740" s="16"/>
      <c r="O1740" s="15"/>
    </row>
    <row r="1741" customFormat="false" ht="25.35" hidden="false" customHeight="false" outlineLevel="0" collapsed="false">
      <c r="A1741" s="9" t="n">
        <v>1735</v>
      </c>
      <c r="B1741" s="10" t="s">
        <v>2488</v>
      </c>
      <c r="C1741" s="10" t="s">
        <v>2123</v>
      </c>
      <c r="D1741" s="11"/>
      <c r="E1741" s="12"/>
      <c r="F1741" s="11" t="n">
        <v>0.00745011574074074</v>
      </c>
      <c r="G1741" s="12" t="n">
        <v>830</v>
      </c>
      <c r="H1741" s="11"/>
      <c r="I1741" s="12"/>
      <c r="J1741" s="12" t="n">
        <f aca="false">COUNT(E1741,G1741,I1741)</f>
        <v>1</v>
      </c>
      <c r="K1741" s="13" t="n">
        <f aca="false">MIN(E1741,G1741,I1741)</f>
        <v>830</v>
      </c>
      <c r="L1741" s="9" t="str">
        <f aca="false">IF(E1741=K1741,"5000m",IF(G1741=K1741,"3000mSC","1500m"))</f>
        <v>3000mSC</v>
      </c>
      <c r="M1741" s="14" t="n">
        <f aca="false">(D1741&lt;&gt;"")*(D1741&lt;=($E$3*60+$F$3)/86400)+(F1741&lt;&gt;"")*(F1741&lt;=($I$3*60+$J$3)/86400)+(H1741&lt;&gt;"")*(H1741&lt;=($M$3*60+$N$3)/86400)</f>
        <v>0</v>
      </c>
      <c r="N1741" s="16"/>
      <c r="O1741" s="15"/>
    </row>
    <row r="1742" customFormat="false" ht="15" hidden="false" customHeight="false" outlineLevel="0" collapsed="false">
      <c r="A1742" s="9" t="n">
        <v>1736</v>
      </c>
      <c r="B1742" s="10" t="s">
        <v>2489</v>
      </c>
      <c r="C1742" s="10" t="s">
        <v>2490</v>
      </c>
      <c r="D1742" s="11"/>
      <c r="E1742" s="12"/>
      <c r="F1742" s="11"/>
      <c r="G1742" s="12"/>
      <c r="H1742" s="11" t="n">
        <v>0.00288668981481482</v>
      </c>
      <c r="I1742" s="12" t="n">
        <v>830</v>
      </c>
      <c r="J1742" s="12" t="n">
        <f aca="false">COUNT(E1742,G1742,I1742)</f>
        <v>1</v>
      </c>
      <c r="K1742" s="13" t="n">
        <f aca="false">MIN(E1742,G1742,I1742)</f>
        <v>830</v>
      </c>
      <c r="L1742" s="9" t="str">
        <f aca="false">IF(E1742=K1742,"5000m",IF(G1742=K1742,"3000mSC","1500m"))</f>
        <v>1500m</v>
      </c>
      <c r="M1742" s="14" t="n">
        <f aca="false">(D1742&lt;&gt;"")*(D1742&lt;=($E$3*60+$F$3)/86400)+(F1742&lt;&gt;"")*(F1742&lt;=($I$3*60+$J$3)/86400)+(H1742&lt;&gt;"")*(H1742&lt;=($M$3*60+$N$3)/86400)</f>
        <v>0</v>
      </c>
      <c r="N1742" s="16"/>
      <c r="O1742" s="15"/>
    </row>
    <row r="1743" customFormat="false" ht="25.35" hidden="false" customHeight="false" outlineLevel="0" collapsed="false">
      <c r="A1743" s="9" t="n">
        <v>1737</v>
      </c>
      <c r="B1743" s="10" t="s">
        <v>2491</v>
      </c>
      <c r="C1743" s="10" t="s">
        <v>2492</v>
      </c>
      <c r="D1743" s="11"/>
      <c r="E1743" s="12"/>
      <c r="F1743" s="11" t="n">
        <v>0.00745162037037037</v>
      </c>
      <c r="G1743" s="12" t="n">
        <v>831</v>
      </c>
      <c r="H1743" s="11"/>
      <c r="I1743" s="12"/>
      <c r="J1743" s="12" t="n">
        <f aca="false">COUNT(E1743,G1743,I1743)</f>
        <v>1</v>
      </c>
      <c r="K1743" s="13" t="n">
        <f aca="false">MIN(E1743,G1743,I1743)</f>
        <v>831</v>
      </c>
      <c r="L1743" s="9" t="str">
        <f aca="false">IF(E1743=K1743,"5000m",IF(G1743=K1743,"3000mSC","1500m"))</f>
        <v>3000mSC</v>
      </c>
      <c r="M1743" s="14" t="n">
        <f aca="false">(D1743&lt;&gt;"")*(D1743&lt;=($E$3*60+$F$3)/86400)+(F1743&lt;&gt;"")*(F1743&lt;=($I$3*60+$J$3)/86400)+(H1743&lt;&gt;"")*(H1743&lt;=($M$3*60+$N$3)/86400)</f>
        <v>0</v>
      </c>
      <c r="N1743" s="16"/>
      <c r="O1743" s="15"/>
    </row>
    <row r="1744" customFormat="false" ht="15" hidden="false" customHeight="false" outlineLevel="0" collapsed="false">
      <c r="A1744" s="9" t="n">
        <v>1738</v>
      </c>
      <c r="B1744" s="10" t="s">
        <v>2493</v>
      </c>
      <c r="C1744" s="10" t="s">
        <v>263</v>
      </c>
      <c r="D1744" s="11"/>
      <c r="E1744" s="12"/>
      <c r="F1744" s="11"/>
      <c r="G1744" s="12"/>
      <c r="H1744" s="11" t="n">
        <v>0.00288680555555556</v>
      </c>
      <c r="I1744" s="12" t="n">
        <v>831</v>
      </c>
      <c r="J1744" s="12" t="n">
        <f aca="false">COUNT(E1744,G1744,I1744)</f>
        <v>1</v>
      </c>
      <c r="K1744" s="13" t="n">
        <f aca="false">MIN(E1744,G1744,I1744)</f>
        <v>831</v>
      </c>
      <c r="L1744" s="9" t="str">
        <f aca="false">IF(E1744=K1744,"5000m",IF(G1744=K1744,"3000mSC","1500m"))</f>
        <v>1500m</v>
      </c>
      <c r="M1744" s="14" t="n">
        <f aca="false">(D1744&lt;&gt;"")*(D1744&lt;=($E$3*60+$F$3)/86400)+(F1744&lt;&gt;"")*(F1744&lt;=($I$3*60+$J$3)/86400)+(H1744&lt;&gt;"")*(H1744&lt;=($M$3*60+$N$3)/86400)</f>
        <v>0</v>
      </c>
      <c r="N1744" s="16"/>
      <c r="O1744" s="15"/>
    </row>
    <row r="1745" customFormat="false" ht="15" hidden="false" customHeight="false" outlineLevel="0" collapsed="false">
      <c r="A1745" s="9" t="n">
        <v>1739</v>
      </c>
      <c r="B1745" s="10" t="s">
        <v>2494</v>
      </c>
      <c r="C1745" s="10" t="s">
        <v>1334</v>
      </c>
      <c r="D1745" s="11" t="n">
        <v>0.0108481481481482</v>
      </c>
      <c r="E1745" s="12" t="n">
        <v>832</v>
      </c>
      <c r="F1745" s="11"/>
      <c r="G1745" s="12"/>
      <c r="H1745" s="11"/>
      <c r="I1745" s="12"/>
      <c r="J1745" s="12" t="n">
        <f aca="false">COUNT(E1745,G1745,I1745)</f>
        <v>1</v>
      </c>
      <c r="K1745" s="13" t="n">
        <f aca="false">MIN(E1745,G1745,I1745)</f>
        <v>832</v>
      </c>
      <c r="L1745" s="9" t="str">
        <f aca="false">IF(E1745=K1745,"5000m",IF(G1745=K1745,"3000mSC","1500m"))</f>
        <v>5000m</v>
      </c>
      <c r="M1745" s="14" t="n">
        <f aca="false">(D1745&lt;&gt;"")*(D1745&lt;=($E$3*60+$F$3)/86400)+(F1745&lt;&gt;"")*(F1745&lt;=($I$3*60+$J$3)/86400)+(H1745&lt;&gt;"")*(H1745&lt;=($M$3*60+$N$3)/86400)</f>
        <v>0</v>
      </c>
      <c r="N1745" s="16"/>
      <c r="O1745" s="15"/>
    </row>
    <row r="1746" customFormat="false" ht="25.35" hidden="false" customHeight="false" outlineLevel="0" collapsed="false">
      <c r="A1746" s="9" t="n">
        <v>1740</v>
      </c>
      <c r="B1746" s="10" t="s">
        <v>2495</v>
      </c>
      <c r="C1746" s="10" t="s">
        <v>240</v>
      </c>
      <c r="D1746" s="11"/>
      <c r="E1746" s="12"/>
      <c r="F1746" s="11" t="n">
        <v>0.0074525462962963</v>
      </c>
      <c r="G1746" s="12" t="n">
        <v>832</v>
      </c>
      <c r="H1746" s="11"/>
      <c r="I1746" s="12"/>
      <c r="J1746" s="12" t="n">
        <f aca="false">COUNT(E1746,G1746,I1746)</f>
        <v>1</v>
      </c>
      <c r="K1746" s="13" t="n">
        <f aca="false">MIN(E1746,G1746,I1746)</f>
        <v>832</v>
      </c>
      <c r="L1746" s="9" t="str">
        <f aca="false">IF(E1746=K1746,"5000m",IF(G1746=K1746,"3000mSC","1500m"))</f>
        <v>3000mSC</v>
      </c>
      <c r="M1746" s="14" t="n">
        <f aca="false">(D1746&lt;&gt;"")*(D1746&lt;=($E$3*60+$F$3)/86400)+(F1746&lt;&gt;"")*(F1746&lt;=($I$3*60+$J$3)/86400)+(H1746&lt;&gt;"")*(H1746&lt;=($M$3*60+$N$3)/86400)</f>
        <v>0</v>
      </c>
      <c r="N1746" s="16"/>
      <c r="O1746" s="15"/>
    </row>
    <row r="1747" customFormat="false" ht="15" hidden="false" customHeight="false" outlineLevel="0" collapsed="false">
      <c r="A1747" s="9" t="n">
        <v>1741</v>
      </c>
      <c r="B1747" s="10" t="s">
        <v>2496</v>
      </c>
      <c r="C1747" s="10" t="s">
        <v>2497</v>
      </c>
      <c r="D1747" s="11" t="n">
        <v>0.0110190972222222</v>
      </c>
      <c r="E1747" s="12" t="n">
        <v>1128</v>
      </c>
      <c r="F1747" s="11"/>
      <c r="G1747" s="12"/>
      <c r="H1747" s="11" t="n">
        <v>0.0028869212962963</v>
      </c>
      <c r="I1747" s="12" t="n">
        <v>833</v>
      </c>
      <c r="J1747" s="12" t="n">
        <f aca="false">COUNT(E1747,G1747,I1747)</f>
        <v>2</v>
      </c>
      <c r="K1747" s="13" t="n">
        <f aca="false">MIN(E1747,G1747,I1747)</f>
        <v>833</v>
      </c>
      <c r="L1747" s="9" t="str">
        <f aca="false">IF(E1747=K1747,"5000m",IF(G1747=K1747,"3000mSC","1500m"))</f>
        <v>1500m</v>
      </c>
      <c r="M1747" s="14" t="n">
        <f aca="false">(D1747&lt;&gt;"")*(D1747&lt;=($E$3*60+$F$3)/86400)+(F1747&lt;&gt;"")*(F1747&lt;=($I$3*60+$J$3)/86400)+(H1747&lt;&gt;"")*(H1747&lt;=($M$3*60+$N$3)/86400)</f>
        <v>0</v>
      </c>
      <c r="N1747" s="16"/>
      <c r="O1747" s="15"/>
    </row>
    <row r="1748" customFormat="false" ht="15" hidden="false" customHeight="false" outlineLevel="0" collapsed="false">
      <c r="A1748" s="9" t="n">
        <v>1742</v>
      </c>
      <c r="B1748" s="10" t="s">
        <v>2498</v>
      </c>
      <c r="C1748" s="10" t="s">
        <v>546</v>
      </c>
      <c r="D1748" s="11" t="n">
        <v>0.0108482638888889</v>
      </c>
      <c r="E1748" s="12" t="n">
        <v>833</v>
      </c>
      <c r="F1748" s="11"/>
      <c r="G1748" s="12"/>
      <c r="H1748" s="11"/>
      <c r="I1748" s="12"/>
      <c r="J1748" s="12" t="n">
        <f aca="false">COUNT(E1748,G1748,I1748)</f>
        <v>1</v>
      </c>
      <c r="K1748" s="13" t="n">
        <f aca="false">MIN(E1748,G1748,I1748)</f>
        <v>833</v>
      </c>
      <c r="L1748" s="9" t="str">
        <f aca="false">IF(E1748=K1748,"5000m",IF(G1748=K1748,"3000mSC","1500m"))</f>
        <v>5000m</v>
      </c>
      <c r="M1748" s="14" t="n">
        <f aca="false">(D1748&lt;&gt;"")*(D1748&lt;=($E$3*60+$F$3)/86400)+(F1748&lt;&gt;"")*(F1748&lt;=($I$3*60+$J$3)/86400)+(H1748&lt;&gt;"")*(H1748&lt;=($M$3*60+$N$3)/86400)</f>
        <v>0</v>
      </c>
      <c r="N1748" s="16"/>
      <c r="O1748" s="15"/>
    </row>
    <row r="1749" customFormat="false" ht="25.35" hidden="false" customHeight="false" outlineLevel="0" collapsed="false">
      <c r="A1749" s="9" t="n">
        <v>1743</v>
      </c>
      <c r="B1749" s="10" t="s">
        <v>2499</v>
      </c>
      <c r="C1749" s="10" t="s">
        <v>1157</v>
      </c>
      <c r="D1749" s="11"/>
      <c r="E1749" s="12"/>
      <c r="F1749" s="11" t="n">
        <v>0.00745277777777778</v>
      </c>
      <c r="G1749" s="12" t="n">
        <v>833</v>
      </c>
      <c r="H1749" s="11"/>
      <c r="I1749" s="12"/>
      <c r="J1749" s="12" t="n">
        <f aca="false">COUNT(E1749,G1749,I1749)</f>
        <v>1</v>
      </c>
      <c r="K1749" s="13" t="n">
        <f aca="false">MIN(E1749,G1749,I1749)</f>
        <v>833</v>
      </c>
      <c r="L1749" s="9" t="str">
        <f aca="false">IF(E1749=K1749,"5000m",IF(G1749=K1749,"3000mSC","1500m"))</f>
        <v>3000mSC</v>
      </c>
      <c r="M1749" s="14" t="n">
        <f aca="false">(D1749&lt;&gt;"")*(D1749&lt;=($E$3*60+$F$3)/86400)+(F1749&lt;&gt;"")*(F1749&lt;=($I$3*60+$J$3)/86400)+(H1749&lt;&gt;"")*(H1749&lt;=($M$3*60+$N$3)/86400)</f>
        <v>0</v>
      </c>
      <c r="N1749" s="16"/>
      <c r="O1749" s="15"/>
    </row>
    <row r="1750" customFormat="false" ht="25.35" hidden="false" customHeight="false" outlineLevel="0" collapsed="false">
      <c r="A1750" s="9" t="n">
        <v>1744</v>
      </c>
      <c r="B1750" s="10" t="s">
        <v>2500</v>
      </c>
      <c r="C1750" s="10" t="s">
        <v>2501</v>
      </c>
      <c r="D1750" s="11"/>
      <c r="E1750" s="12"/>
      <c r="F1750" s="11" t="n">
        <v>0.00745289351851852</v>
      </c>
      <c r="G1750" s="12" t="n">
        <v>834</v>
      </c>
      <c r="H1750" s="11"/>
      <c r="I1750" s="12"/>
      <c r="J1750" s="12" t="n">
        <f aca="false">COUNT(E1750,G1750,I1750)</f>
        <v>1</v>
      </c>
      <c r="K1750" s="13" t="n">
        <f aca="false">MIN(E1750,G1750,I1750)</f>
        <v>834</v>
      </c>
      <c r="L1750" s="9" t="str">
        <f aca="false">IF(E1750=K1750,"5000m",IF(G1750=K1750,"3000mSC","1500m"))</f>
        <v>3000mSC</v>
      </c>
      <c r="M1750" s="14" t="n">
        <f aca="false">(D1750&lt;&gt;"")*(D1750&lt;=($E$3*60+$F$3)/86400)+(F1750&lt;&gt;"")*(F1750&lt;=($I$3*60+$J$3)/86400)+(H1750&lt;&gt;"")*(H1750&lt;=($M$3*60+$N$3)/86400)</f>
        <v>0</v>
      </c>
      <c r="N1750" s="16"/>
      <c r="O1750" s="15"/>
    </row>
    <row r="1751" customFormat="false" ht="15" hidden="false" customHeight="false" outlineLevel="0" collapsed="false">
      <c r="A1751" s="9" t="n">
        <v>1745</v>
      </c>
      <c r="B1751" s="10" t="s">
        <v>2502</v>
      </c>
      <c r="C1751" s="10" t="s">
        <v>1616</v>
      </c>
      <c r="D1751" s="11"/>
      <c r="E1751" s="12"/>
      <c r="F1751" s="11"/>
      <c r="G1751" s="12"/>
      <c r="H1751" s="11" t="n">
        <v>0.00288703703703704</v>
      </c>
      <c r="I1751" s="12" t="n">
        <v>834</v>
      </c>
      <c r="J1751" s="12" t="n">
        <f aca="false">COUNT(E1751,G1751,I1751)</f>
        <v>1</v>
      </c>
      <c r="K1751" s="13" t="n">
        <f aca="false">MIN(E1751,G1751,I1751)</f>
        <v>834</v>
      </c>
      <c r="L1751" s="9" t="str">
        <f aca="false">IF(E1751=K1751,"5000m",IF(G1751=K1751,"3000mSC","1500m"))</f>
        <v>1500m</v>
      </c>
      <c r="M1751" s="14" t="n">
        <f aca="false">(D1751&lt;&gt;"")*(D1751&lt;=($E$3*60+$F$3)/86400)+(F1751&lt;&gt;"")*(F1751&lt;=($I$3*60+$J$3)/86400)+(H1751&lt;&gt;"")*(H1751&lt;=($M$3*60+$N$3)/86400)</f>
        <v>0</v>
      </c>
      <c r="N1751" s="16"/>
      <c r="O1751" s="15"/>
    </row>
    <row r="1752" customFormat="false" ht="15" hidden="false" customHeight="false" outlineLevel="0" collapsed="false">
      <c r="A1752" s="9" t="n">
        <v>1746</v>
      </c>
      <c r="B1752" s="10" t="s">
        <v>2443</v>
      </c>
      <c r="C1752" s="10" t="s">
        <v>103</v>
      </c>
      <c r="D1752" s="11" t="n">
        <v>0.0108489583333333</v>
      </c>
      <c r="E1752" s="12" t="n">
        <v>835</v>
      </c>
      <c r="F1752" s="11"/>
      <c r="G1752" s="12"/>
      <c r="H1752" s="11"/>
      <c r="I1752" s="12"/>
      <c r="J1752" s="12" t="n">
        <f aca="false">COUNT(E1752,G1752,I1752)</f>
        <v>1</v>
      </c>
      <c r="K1752" s="13" t="n">
        <f aca="false">MIN(E1752,G1752,I1752)</f>
        <v>835</v>
      </c>
      <c r="L1752" s="9" t="str">
        <f aca="false">IF(E1752=K1752,"5000m",IF(G1752=K1752,"3000mSC","1500m"))</f>
        <v>5000m</v>
      </c>
      <c r="M1752" s="14" t="n">
        <f aca="false">(D1752&lt;&gt;"")*(D1752&lt;=($E$3*60+$F$3)/86400)+(F1752&lt;&gt;"")*(F1752&lt;=($I$3*60+$J$3)/86400)+(H1752&lt;&gt;"")*(H1752&lt;=($M$3*60+$N$3)/86400)</f>
        <v>0</v>
      </c>
      <c r="N1752" s="10" t="s">
        <v>2503</v>
      </c>
      <c r="O1752" s="15"/>
    </row>
    <row r="1753" customFormat="false" ht="25.35" hidden="false" customHeight="false" outlineLevel="0" collapsed="false">
      <c r="A1753" s="9" t="n">
        <v>1747</v>
      </c>
      <c r="B1753" s="10" t="s">
        <v>2504</v>
      </c>
      <c r="C1753" s="10" t="s">
        <v>1721</v>
      </c>
      <c r="D1753" s="11"/>
      <c r="E1753" s="12"/>
      <c r="F1753" s="11" t="n">
        <v>0.00745289351851852</v>
      </c>
      <c r="G1753" s="12" t="n">
        <v>835</v>
      </c>
      <c r="H1753" s="11"/>
      <c r="I1753" s="12"/>
      <c r="J1753" s="12" t="n">
        <f aca="false">COUNT(E1753,G1753,I1753)</f>
        <v>1</v>
      </c>
      <c r="K1753" s="13" t="n">
        <f aca="false">MIN(E1753,G1753,I1753)</f>
        <v>835</v>
      </c>
      <c r="L1753" s="9" t="str">
        <f aca="false">IF(E1753=K1753,"5000m",IF(G1753=K1753,"3000mSC","1500m"))</f>
        <v>3000mSC</v>
      </c>
      <c r="M1753" s="14" t="n">
        <f aca="false">(D1753&lt;&gt;"")*(D1753&lt;=($E$3*60+$F$3)/86400)+(F1753&lt;&gt;"")*(F1753&lt;=($I$3*60+$J$3)/86400)+(H1753&lt;&gt;"")*(H1753&lt;=($M$3*60+$N$3)/86400)</f>
        <v>0</v>
      </c>
      <c r="N1753" s="16"/>
      <c r="O1753" s="15"/>
    </row>
    <row r="1754" customFormat="false" ht="15" hidden="false" customHeight="false" outlineLevel="0" collapsed="false">
      <c r="A1754" s="9" t="n">
        <v>1748</v>
      </c>
      <c r="B1754" s="10" t="s">
        <v>2505</v>
      </c>
      <c r="C1754" s="10" t="s">
        <v>1411</v>
      </c>
      <c r="D1754" s="11" t="n">
        <v>0.0108496527777778</v>
      </c>
      <c r="E1754" s="12" t="n">
        <v>836</v>
      </c>
      <c r="F1754" s="11"/>
      <c r="G1754" s="12"/>
      <c r="H1754" s="11"/>
      <c r="I1754" s="12"/>
      <c r="J1754" s="12" t="n">
        <f aca="false">COUNT(E1754,G1754,I1754)</f>
        <v>1</v>
      </c>
      <c r="K1754" s="13" t="n">
        <f aca="false">MIN(E1754,G1754,I1754)</f>
        <v>836</v>
      </c>
      <c r="L1754" s="9" t="str">
        <f aca="false">IF(E1754=K1754,"5000m",IF(G1754=K1754,"3000mSC","1500m"))</f>
        <v>5000m</v>
      </c>
      <c r="M1754" s="14" t="n">
        <f aca="false">(D1754&lt;&gt;"")*(D1754&lt;=($E$3*60+$F$3)/86400)+(F1754&lt;&gt;"")*(F1754&lt;=($I$3*60+$J$3)/86400)+(H1754&lt;&gt;"")*(H1754&lt;=($M$3*60+$N$3)/86400)</f>
        <v>0</v>
      </c>
      <c r="N1754" s="16"/>
      <c r="O1754" s="15"/>
    </row>
    <row r="1755" customFormat="false" ht="25.35" hidden="false" customHeight="false" outlineLevel="0" collapsed="false">
      <c r="A1755" s="9" t="n">
        <v>1749</v>
      </c>
      <c r="B1755" s="10" t="s">
        <v>2506</v>
      </c>
      <c r="C1755" s="10" t="s">
        <v>2507</v>
      </c>
      <c r="D1755" s="11"/>
      <c r="E1755" s="12"/>
      <c r="F1755" s="11" t="n">
        <v>0.00745347222222222</v>
      </c>
      <c r="G1755" s="12" t="n">
        <v>836</v>
      </c>
      <c r="H1755" s="11"/>
      <c r="I1755" s="12"/>
      <c r="J1755" s="12" t="n">
        <f aca="false">COUNT(E1755,G1755,I1755)</f>
        <v>1</v>
      </c>
      <c r="K1755" s="13" t="n">
        <f aca="false">MIN(E1755,G1755,I1755)</f>
        <v>836</v>
      </c>
      <c r="L1755" s="9" t="str">
        <f aca="false">IF(E1755=K1755,"5000m",IF(G1755=K1755,"3000mSC","1500m"))</f>
        <v>3000mSC</v>
      </c>
      <c r="M1755" s="14" t="n">
        <f aca="false">(D1755&lt;&gt;"")*(D1755&lt;=($E$3*60+$F$3)/86400)+(F1755&lt;&gt;"")*(F1755&lt;=($I$3*60+$J$3)/86400)+(H1755&lt;&gt;"")*(H1755&lt;=($M$3*60+$N$3)/86400)</f>
        <v>0</v>
      </c>
      <c r="N1755" s="16"/>
      <c r="O1755" s="15"/>
    </row>
    <row r="1756" customFormat="false" ht="15" hidden="false" customHeight="false" outlineLevel="0" collapsed="false">
      <c r="A1756" s="9" t="n">
        <v>1750</v>
      </c>
      <c r="B1756" s="10" t="s">
        <v>2508</v>
      </c>
      <c r="C1756" s="10" t="s">
        <v>105</v>
      </c>
      <c r="D1756" s="11"/>
      <c r="E1756" s="12"/>
      <c r="F1756" s="11"/>
      <c r="G1756" s="12"/>
      <c r="H1756" s="11" t="n">
        <v>0.00288703703703704</v>
      </c>
      <c r="I1756" s="12" t="n">
        <v>836</v>
      </c>
      <c r="J1756" s="12" t="n">
        <f aca="false">COUNT(E1756,G1756,I1756)</f>
        <v>1</v>
      </c>
      <c r="K1756" s="13" t="n">
        <f aca="false">MIN(E1756,G1756,I1756)</f>
        <v>836</v>
      </c>
      <c r="L1756" s="9" t="str">
        <f aca="false">IF(E1756=K1756,"5000m",IF(G1756=K1756,"3000mSC","1500m"))</f>
        <v>1500m</v>
      </c>
      <c r="M1756" s="14" t="n">
        <f aca="false">(D1756&lt;&gt;"")*(D1756&lt;=($E$3*60+$F$3)/86400)+(F1756&lt;&gt;"")*(F1756&lt;=($I$3*60+$J$3)/86400)+(H1756&lt;&gt;"")*(H1756&lt;=($M$3*60+$N$3)/86400)</f>
        <v>0</v>
      </c>
      <c r="N1756" s="16"/>
      <c r="O1756" s="15"/>
    </row>
    <row r="1757" customFormat="false" ht="25.35" hidden="false" customHeight="false" outlineLevel="0" collapsed="false">
      <c r="A1757" s="9" t="n">
        <v>1751</v>
      </c>
      <c r="B1757" s="10" t="s">
        <v>2509</v>
      </c>
      <c r="C1757" s="10" t="s">
        <v>2510</v>
      </c>
      <c r="D1757" s="11"/>
      <c r="E1757" s="12"/>
      <c r="F1757" s="11" t="n">
        <v>0.00745405092592593</v>
      </c>
      <c r="G1757" s="12" t="n">
        <v>837</v>
      </c>
      <c r="H1757" s="11"/>
      <c r="I1757" s="12"/>
      <c r="J1757" s="12" t="n">
        <f aca="false">COUNT(E1757,G1757,I1757)</f>
        <v>1</v>
      </c>
      <c r="K1757" s="13" t="n">
        <f aca="false">MIN(E1757,G1757,I1757)</f>
        <v>837</v>
      </c>
      <c r="L1757" s="9" t="str">
        <f aca="false">IF(E1757=K1757,"5000m",IF(G1757=K1757,"3000mSC","1500m"))</f>
        <v>3000mSC</v>
      </c>
      <c r="M1757" s="14" t="n">
        <f aca="false">(D1757&lt;&gt;"")*(D1757&lt;=($E$3*60+$F$3)/86400)+(F1757&lt;&gt;"")*(F1757&lt;=($I$3*60+$J$3)/86400)+(H1757&lt;&gt;"")*(H1757&lt;=($M$3*60+$N$3)/86400)</f>
        <v>0</v>
      </c>
      <c r="N1757" s="16"/>
      <c r="O1757" s="15"/>
    </row>
    <row r="1758" customFormat="false" ht="25.35" hidden="false" customHeight="false" outlineLevel="0" collapsed="false">
      <c r="A1758" s="9" t="n">
        <v>1752</v>
      </c>
      <c r="B1758" s="10" t="s">
        <v>2511</v>
      </c>
      <c r="C1758" s="10" t="s">
        <v>2512</v>
      </c>
      <c r="D1758" s="11"/>
      <c r="E1758" s="12"/>
      <c r="F1758" s="11" t="n">
        <v>0.00745451388888889</v>
      </c>
      <c r="G1758" s="12" t="n">
        <v>838</v>
      </c>
      <c r="H1758" s="11"/>
      <c r="I1758" s="12"/>
      <c r="J1758" s="12" t="n">
        <f aca="false">COUNT(E1758,G1758,I1758)</f>
        <v>1</v>
      </c>
      <c r="K1758" s="13" t="n">
        <f aca="false">MIN(E1758,G1758,I1758)</f>
        <v>838</v>
      </c>
      <c r="L1758" s="9" t="str">
        <f aca="false">IF(E1758=K1758,"5000m",IF(G1758=K1758,"3000mSC","1500m"))</f>
        <v>3000mSC</v>
      </c>
      <c r="M1758" s="14" t="n">
        <f aca="false">(D1758&lt;&gt;"")*(D1758&lt;=($E$3*60+$F$3)/86400)+(F1758&lt;&gt;"")*(F1758&lt;=($I$3*60+$J$3)/86400)+(H1758&lt;&gt;"")*(H1758&lt;=($M$3*60+$N$3)/86400)</f>
        <v>0</v>
      </c>
      <c r="N1758" s="16"/>
      <c r="O1758" s="15"/>
    </row>
    <row r="1759" customFormat="false" ht="15" hidden="false" customHeight="false" outlineLevel="0" collapsed="false">
      <c r="A1759" s="9" t="n">
        <v>1753</v>
      </c>
      <c r="B1759" s="10" t="s">
        <v>2513</v>
      </c>
      <c r="C1759" s="10" t="s">
        <v>538</v>
      </c>
      <c r="D1759" s="11"/>
      <c r="E1759" s="12"/>
      <c r="F1759" s="11"/>
      <c r="G1759" s="12"/>
      <c r="H1759" s="11" t="n">
        <v>0.00288738425925926</v>
      </c>
      <c r="I1759" s="12" t="n">
        <v>838</v>
      </c>
      <c r="J1759" s="12" t="n">
        <f aca="false">COUNT(E1759,G1759,I1759)</f>
        <v>1</v>
      </c>
      <c r="K1759" s="13" t="n">
        <f aca="false">MIN(E1759,G1759,I1759)</f>
        <v>838</v>
      </c>
      <c r="L1759" s="9" t="str">
        <f aca="false">IF(E1759=K1759,"5000m",IF(G1759=K1759,"3000mSC","1500m"))</f>
        <v>1500m</v>
      </c>
      <c r="M1759" s="14" t="n">
        <f aca="false">(D1759&lt;&gt;"")*(D1759&lt;=($E$3*60+$F$3)/86400)+(F1759&lt;&gt;"")*(F1759&lt;=($I$3*60+$J$3)/86400)+(H1759&lt;&gt;"")*(H1759&lt;=($M$3*60+$N$3)/86400)</f>
        <v>0</v>
      </c>
      <c r="N1759" s="16"/>
      <c r="O1759" s="15"/>
    </row>
    <row r="1760" customFormat="false" ht="15" hidden="false" customHeight="false" outlineLevel="0" collapsed="false">
      <c r="A1760" s="9" t="n">
        <v>1754</v>
      </c>
      <c r="B1760" s="10" t="s">
        <v>2514</v>
      </c>
      <c r="C1760" s="10" t="s">
        <v>47</v>
      </c>
      <c r="D1760" s="11" t="n">
        <v>0.0109190972222222</v>
      </c>
      <c r="E1760" s="12" t="n">
        <v>950</v>
      </c>
      <c r="F1760" s="11"/>
      <c r="G1760" s="12"/>
      <c r="H1760" s="11" t="n">
        <v>0.0028875</v>
      </c>
      <c r="I1760" s="12" t="n">
        <v>839</v>
      </c>
      <c r="J1760" s="12" t="n">
        <f aca="false">COUNT(E1760,G1760,I1760)</f>
        <v>2</v>
      </c>
      <c r="K1760" s="13" t="n">
        <f aca="false">MIN(E1760,G1760,I1760)</f>
        <v>839</v>
      </c>
      <c r="L1760" s="9" t="str">
        <f aca="false">IF(E1760=K1760,"5000m",IF(G1760=K1760,"3000mSC","1500m"))</f>
        <v>1500m</v>
      </c>
      <c r="M1760" s="14" t="n">
        <f aca="false">(D1760&lt;&gt;"")*(D1760&lt;=($E$3*60+$F$3)/86400)+(F1760&lt;&gt;"")*(F1760&lt;=($I$3*60+$J$3)/86400)+(H1760&lt;&gt;"")*(H1760&lt;=($M$3*60+$N$3)/86400)</f>
        <v>0</v>
      </c>
      <c r="N1760" s="16"/>
      <c r="O1760" s="15"/>
    </row>
    <row r="1761" customFormat="false" ht="15" hidden="false" customHeight="false" outlineLevel="0" collapsed="false">
      <c r="A1761" s="9" t="n">
        <v>1755</v>
      </c>
      <c r="B1761" s="10" t="s">
        <v>2515</v>
      </c>
      <c r="C1761" s="10" t="s">
        <v>577</v>
      </c>
      <c r="D1761" s="11" t="n">
        <v>0.0108505787037037</v>
      </c>
      <c r="E1761" s="12" t="n">
        <v>839</v>
      </c>
      <c r="F1761" s="11"/>
      <c r="G1761" s="12"/>
      <c r="H1761" s="11"/>
      <c r="I1761" s="12"/>
      <c r="J1761" s="12" t="n">
        <f aca="false">COUNT(E1761,G1761,I1761)</f>
        <v>1</v>
      </c>
      <c r="K1761" s="13" t="n">
        <f aca="false">MIN(E1761,G1761,I1761)</f>
        <v>839</v>
      </c>
      <c r="L1761" s="9" t="str">
        <f aca="false">IF(E1761=K1761,"5000m",IF(G1761=K1761,"3000mSC","1500m"))</f>
        <v>5000m</v>
      </c>
      <c r="M1761" s="14" t="n">
        <f aca="false">(D1761&lt;&gt;"")*(D1761&lt;=($E$3*60+$F$3)/86400)+(F1761&lt;&gt;"")*(F1761&lt;=($I$3*60+$J$3)/86400)+(H1761&lt;&gt;"")*(H1761&lt;=($M$3*60+$N$3)/86400)</f>
        <v>0</v>
      </c>
      <c r="N1761" s="16"/>
      <c r="O1761" s="15"/>
    </row>
    <row r="1762" customFormat="false" ht="25.35" hidden="false" customHeight="false" outlineLevel="0" collapsed="false">
      <c r="A1762" s="9" t="n">
        <v>1756</v>
      </c>
      <c r="B1762" s="10" t="s">
        <v>2516</v>
      </c>
      <c r="C1762" s="10" t="s">
        <v>2517</v>
      </c>
      <c r="D1762" s="11"/>
      <c r="E1762" s="12"/>
      <c r="F1762" s="11" t="n">
        <v>0.00745520833333333</v>
      </c>
      <c r="G1762" s="12" t="n">
        <v>839</v>
      </c>
      <c r="H1762" s="11"/>
      <c r="I1762" s="12"/>
      <c r="J1762" s="12" t="n">
        <f aca="false">COUNT(E1762,G1762,I1762)</f>
        <v>1</v>
      </c>
      <c r="K1762" s="13" t="n">
        <f aca="false">MIN(E1762,G1762,I1762)</f>
        <v>839</v>
      </c>
      <c r="L1762" s="9" t="str">
        <f aca="false">IF(E1762=K1762,"5000m",IF(G1762=K1762,"3000mSC","1500m"))</f>
        <v>3000mSC</v>
      </c>
      <c r="M1762" s="14" t="n">
        <f aca="false">(D1762&lt;&gt;"")*(D1762&lt;=($E$3*60+$F$3)/86400)+(F1762&lt;&gt;"")*(F1762&lt;=($I$3*60+$J$3)/86400)+(H1762&lt;&gt;"")*(H1762&lt;=($M$3*60+$N$3)/86400)</f>
        <v>0</v>
      </c>
      <c r="N1762" s="16"/>
      <c r="O1762" s="15"/>
    </row>
    <row r="1763" customFormat="false" ht="25.35" hidden="false" customHeight="false" outlineLevel="0" collapsed="false">
      <c r="A1763" s="9" t="n">
        <v>1757</v>
      </c>
      <c r="B1763" s="10" t="s">
        <v>2518</v>
      </c>
      <c r="C1763" s="10" t="s">
        <v>1504</v>
      </c>
      <c r="D1763" s="11" t="n">
        <v>0.0111196759259259</v>
      </c>
      <c r="E1763" s="12" t="n">
        <v>1286</v>
      </c>
      <c r="F1763" s="11" t="n">
        <v>0.00745601851851852</v>
      </c>
      <c r="G1763" s="12" t="n">
        <v>840</v>
      </c>
      <c r="H1763" s="11"/>
      <c r="I1763" s="12"/>
      <c r="J1763" s="12" t="n">
        <f aca="false">COUNT(E1763,G1763,I1763)</f>
        <v>2</v>
      </c>
      <c r="K1763" s="13" t="n">
        <f aca="false">MIN(E1763,G1763,I1763)</f>
        <v>840</v>
      </c>
      <c r="L1763" s="9" t="str">
        <f aca="false">IF(E1763=K1763,"5000m",IF(G1763=K1763,"3000mSC","1500m"))</f>
        <v>3000mSC</v>
      </c>
      <c r="M1763" s="14" t="n">
        <f aca="false">(D1763&lt;&gt;"")*(D1763&lt;=($E$3*60+$F$3)/86400)+(F1763&lt;&gt;"")*(F1763&lt;=($I$3*60+$J$3)/86400)+(H1763&lt;&gt;"")*(H1763&lt;=($M$3*60+$N$3)/86400)</f>
        <v>0</v>
      </c>
      <c r="N1763" s="16"/>
      <c r="O1763" s="15"/>
    </row>
    <row r="1764" customFormat="false" ht="25.35" hidden="false" customHeight="false" outlineLevel="0" collapsed="false">
      <c r="A1764" s="9" t="n">
        <v>1758</v>
      </c>
      <c r="B1764" s="10" t="s">
        <v>2519</v>
      </c>
      <c r="C1764" s="10" t="s">
        <v>79</v>
      </c>
      <c r="D1764" s="11" t="n">
        <v>0.0109134259259259</v>
      </c>
      <c r="E1764" s="12" t="n">
        <v>945</v>
      </c>
      <c r="F1764" s="11" t="n">
        <v>0.00745625</v>
      </c>
      <c r="G1764" s="12" t="n">
        <v>841</v>
      </c>
      <c r="H1764" s="11"/>
      <c r="I1764" s="12"/>
      <c r="J1764" s="12" t="n">
        <f aca="false">COUNT(E1764,G1764,I1764)</f>
        <v>2</v>
      </c>
      <c r="K1764" s="13" t="n">
        <f aca="false">MIN(E1764,G1764,I1764)</f>
        <v>841</v>
      </c>
      <c r="L1764" s="9" t="str">
        <f aca="false">IF(E1764=K1764,"5000m",IF(G1764=K1764,"3000mSC","1500m"))</f>
        <v>3000mSC</v>
      </c>
      <c r="M1764" s="14" t="n">
        <f aca="false">(D1764&lt;&gt;"")*(D1764&lt;=($E$3*60+$F$3)/86400)+(F1764&lt;&gt;"")*(F1764&lt;=($I$3*60+$J$3)/86400)+(H1764&lt;&gt;"")*(H1764&lt;=($M$3*60+$N$3)/86400)</f>
        <v>0</v>
      </c>
      <c r="N1764" s="16"/>
      <c r="O1764" s="15"/>
    </row>
    <row r="1765" customFormat="false" ht="15" hidden="false" customHeight="false" outlineLevel="0" collapsed="false">
      <c r="A1765" s="9" t="n">
        <v>1759</v>
      </c>
      <c r="B1765" s="10" t="s">
        <v>2520</v>
      </c>
      <c r="C1765" s="10" t="s">
        <v>1975</v>
      </c>
      <c r="D1765" s="11" t="n">
        <v>0.0110453703703704</v>
      </c>
      <c r="E1765" s="12" t="n">
        <v>1190</v>
      </c>
      <c r="F1765" s="11"/>
      <c r="G1765" s="12"/>
      <c r="H1765" s="11" t="n">
        <v>0.00288773148148148</v>
      </c>
      <c r="I1765" s="12" t="n">
        <v>841</v>
      </c>
      <c r="J1765" s="12" t="n">
        <f aca="false">COUNT(E1765,G1765,I1765)</f>
        <v>2</v>
      </c>
      <c r="K1765" s="13" t="n">
        <f aca="false">MIN(E1765,G1765,I1765)</f>
        <v>841</v>
      </c>
      <c r="L1765" s="9" t="str">
        <f aca="false">IF(E1765=K1765,"5000m",IF(G1765=K1765,"3000mSC","1500m"))</f>
        <v>1500m</v>
      </c>
      <c r="M1765" s="14" t="n">
        <f aca="false">(D1765&lt;&gt;"")*(D1765&lt;=($E$3*60+$F$3)/86400)+(F1765&lt;&gt;"")*(F1765&lt;=($I$3*60+$J$3)/86400)+(H1765&lt;&gt;"")*(H1765&lt;=($M$3*60+$N$3)/86400)</f>
        <v>0</v>
      </c>
      <c r="N1765" s="16"/>
      <c r="O1765" s="15"/>
    </row>
    <row r="1766" customFormat="false" ht="15" hidden="false" customHeight="false" outlineLevel="0" collapsed="false">
      <c r="A1766" s="9" t="n">
        <v>1760</v>
      </c>
      <c r="B1766" s="10" t="s">
        <v>2521</v>
      </c>
      <c r="C1766" s="10" t="s">
        <v>190</v>
      </c>
      <c r="D1766" s="11" t="n">
        <v>0.0108525462962963</v>
      </c>
      <c r="E1766" s="12" t="n">
        <v>841</v>
      </c>
      <c r="F1766" s="11"/>
      <c r="G1766" s="12"/>
      <c r="H1766" s="11"/>
      <c r="I1766" s="12"/>
      <c r="J1766" s="12" t="n">
        <f aca="false">COUNT(E1766,G1766,I1766)</f>
        <v>1</v>
      </c>
      <c r="K1766" s="13" t="n">
        <f aca="false">MIN(E1766,G1766,I1766)</f>
        <v>841</v>
      </c>
      <c r="L1766" s="9" t="str">
        <f aca="false">IF(E1766=K1766,"5000m",IF(G1766=K1766,"3000mSC","1500m"))</f>
        <v>5000m</v>
      </c>
      <c r="M1766" s="14" t="n">
        <f aca="false">(D1766&lt;&gt;"")*(D1766&lt;=($E$3*60+$F$3)/86400)+(F1766&lt;&gt;"")*(F1766&lt;=($I$3*60+$J$3)/86400)+(H1766&lt;&gt;"")*(H1766&lt;=($M$3*60+$N$3)/86400)</f>
        <v>0</v>
      </c>
      <c r="N1766" s="16"/>
      <c r="O1766" s="15"/>
    </row>
    <row r="1767" customFormat="false" ht="25.35" hidden="false" customHeight="false" outlineLevel="0" collapsed="false">
      <c r="A1767" s="9" t="n">
        <v>1761</v>
      </c>
      <c r="B1767" s="10" t="s">
        <v>2522</v>
      </c>
      <c r="C1767" s="10" t="s">
        <v>2523</v>
      </c>
      <c r="D1767" s="11"/>
      <c r="E1767" s="12"/>
      <c r="F1767" s="11" t="n">
        <v>0.00745717592592593</v>
      </c>
      <c r="G1767" s="12" t="n">
        <v>842</v>
      </c>
      <c r="H1767" s="11"/>
      <c r="I1767" s="12"/>
      <c r="J1767" s="12" t="n">
        <f aca="false">COUNT(E1767,G1767,I1767)</f>
        <v>1</v>
      </c>
      <c r="K1767" s="13" t="n">
        <f aca="false">MIN(E1767,G1767,I1767)</f>
        <v>842</v>
      </c>
      <c r="L1767" s="9" t="str">
        <f aca="false">IF(E1767=K1767,"5000m",IF(G1767=K1767,"3000mSC","1500m"))</f>
        <v>3000mSC</v>
      </c>
      <c r="M1767" s="14" t="n">
        <f aca="false">(D1767&lt;&gt;"")*(D1767&lt;=($E$3*60+$F$3)/86400)+(F1767&lt;&gt;"")*(F1767&lt;=($I$3*60+$J$3)/86400)+(H1767&lt;&gt;"")*(H1767&lt;=($M$3*60+$N$3)/86400)</f>
        <v>0</v>
      </c>
      <c r="N1767" s="16"/>
      <c r="O1767" s="15"/>
    </row>
    <row r="1768" customFormat="false" ht="15" hidden="false" customHeight="false" outlineLevel="0" collapsed="false">
      <c r="A1768" s="9" t="n">
        <v>1762</v>
      </c>
      <c r="B1768" s="10" t="s">
        <v>2524</v>
      </c>
      <c r="C1768" s="10" t="s">
        <v>1876</v>
      </c>
      <c r="D1768" s="11"/>
      <c r="E1768" s="12"/>
      <c r="F1768" s="11"/>
      <c r="G1768" s="12"/>
      <c r="H1768" s="11" t="n">
        <v>0.00288773148148148</v>
      </c>
      <c r="I1768" s="12" t="n">
        <v>842</v>
      </c>
      <c r="J1768" s="12" t="n">
        <f aca="false">COUNT(E1768,G1768,I1768)</f>
        <v>1</v>
      </c>
      <c r="K1768" s="13" t="n">
        <f aca="false">MIN(E1768,G1768,I1768)</f>
        <v>842</v>
      </c>
      <c r="L1768" s="9" t="str">
        <f aca="false">IF(E1768=K1768,"5000m",IF(G1768=K1768,"3000mSC","1500m"))</f>
        <v>1500m</v>
      </c>
      <c r="M1768" s="14" t="n">
        <f aca="false">(D1768&lt;&gt;"")*(D1768&lt;=($E$3*60+$F$3)/86400)+(F1768&lt;&gt;"")*(F1768&lt;=($I$3*60+$J$3)/86400)+(H1768&lt;&gt;"")*(H1768&lt;=($M$3*60+$N$3)/86400)</f>
        <v>0</v>
      </c>
      <c r="N1768" s="16"/>
      <c r="O1768" s="15"/>
    </row>
    <row r="1769" customFormat="false" ht="15" hidden="false" customHeight="false" outlineLevel="0" collapsed="false">
      <c r="A1769" s="9" t="n">
        <v>1763</v>
      </c>
      <c r="B1769" s="10" t="s">
        <v>2525</v>
      </c>
      <c r="C1769" s="10" t="s">
        <v>660</v>
      </c>
      <c r="D1769" s="11" t="n">
        <v>0.0108545138888889</v>
      </c>
      <c r="E1769" s="12" t="n">
        <v>843</v>
      </c>
      <c r="F1769" s="11"/>
      <c r="G1769" s="12"/>
      <c r="H1769" s="11" t="n">
        <v>0.00297523148148148</v>
      </c>
      <c r="I1769" s="12" t="n">
        <v>1328</v>
      </c>
      <c r="J1769" s="12" t="n">
        <f aca="false">COUNT(E1769,G1769,I1769)</f>
        <v>2</v>
      </c>
      <c r="K1769" s="13" t="n">
        <f aca="false">MIN(E1769,G1769,I1769)</f>
        <v>843</v>
      </c>
      <c r="L1769" s="9" t="str">
        <f aca="false">IF(E1769=K1769,"5000m",IF(G1769=K1769,"3000mSC","1500m"))</f>
        <v>5000m</v>
      </c>
      <c r="M1769" s="14" t="n">
        <f aca="false">(D1769&lt;&gt;"")*(D1769&lt;=($E$3*60+$F$3)/86400)+(F1769&lt;&gt;"")*(F1769&lt;=($I$3*60+$J$3)/86400)+(H1769&lt;&gt;"")*(H1769&lt;=($M$3*60+$N$3)/86400)</f>
        <v>0</v>
      </c>
      <c r="N1769" s="16"/>
      <c r="O1769" s="15"/>
    </row>
    <row r="1770" customFormat="false" ht="25.35" hidden="false" customHeight="false" outlineLevel="0" collapsed="false">
      <c r="A1770" s="9" t="n">
        <v>1764</v>
      </c>
      <c r="B1770" s="10" t="s">
        <v>2526</v>
      </c>
      <c r="C1770" s="10" t="s">
        <v>848</v>
      </c>
      <c r="D1770" s="11"/>
      <c r="E1770" s="12"/>
      <c r="F1770" s="11" t="n">
        <v>0.00745833333333333</v>
      </c>
      <c r="G1770" s="12" t="n">
        <v>843</v>
      </c>
      <c r="H1770" s="11"/>
      <c r="I1770" s="12"/>
      <c r="J1770" s="12" t="n">
        <f aca="false">COUNT(E1770,G1770,I1770)</f>
        <v>1</v>
      </c>
      <c r="K1770" s="13" t="n">
        <f aca="false">MIN(E1770,G1770,I1770)</f>
        <v>843</v>
      </c>
      <c r="L1770" s="9" t="str">
        <f aca="false">IF(E1770=K1770,"5000m",IF(G1770=K1770,"3000mSC","1500m"))</f>
        <v>3000mSC</v>
      </c>
      <c r="M1770" s="14" t="n">
        <f aca="false">(D1770&lt;&gt;"")*(D1770&lt;=($E$3*60+$F$3)/86400)+(F1770&lt;&gt;"")*(F1770&lt;=($I$3*60+$J$3)/86400)+(H1770&lt;&gt;"")*(H1770&lt;=($M$3*60+$N$3)/86400)</f>
        <v>0</v>
      </c>
      <c r="N1770" s="16"/>
      <c r="O1770" s="15"/>
    </row>
    <row r="1771" customFormat="false" ht="15" hidden="false" customHeight="false" outlineLevel="0" collapsed="false">
      <c r="A1771" s="9" t="n">
        <v>1765</v>
      </c>
      <c r="B1771" s="10" t="s">
        <v>2527</v>
      </c>
      <c r="C1771" s="10" t="s">
        <v>2528</v>
      </c>
      <c r="D1771" s="11"/>
      <c r="E1771" s="12"/>
      <c r="F1771" s="11"/>
      <c r="G1771" s="12"/>
      <c r="H1771" s="11" t="n">
        <v>0.00288784722222222</v>
      </c>
      <c r="I1771" s="12" t="n">
        <v>843</v>
      </c>
      <c r="J1771" s="12" t="n">
        <f aca="false">COUNT(E1771,G1771,I1771)</f>
        <v>1</v>
      </c>
      <c r="K1771" s="13" t="n">
        <f aca="false">MIN(E1771,G1771,I1771)</f>
        <v>843</v>
      </c>
      <c r="L1771" s="9" t="str">
        <f aca="false">IF(E1771=K1771,"5000m",IF(G1771=K1771,"3000mSC","1500m"))</f>
        <v>1500m</v>
      </c>
      <c r="M1771" s="14" t="n">
        <f aca="false">(D1771&lt;&gt;"")*(D1771&lt;=($E$3*60+$F$3)/86400)+(F1771&lt;&gt;"")*(F1771&lt;=($I$3*60+$J$3)/86400)+(H1771&lt;&gt;"")*(H1771&lt;=($M$3*60+$N$3)/86400)</f>
        <v>0</v>
      </c>
      <c r="N1771" s="16"/>
      <c r="O1771" s="15"/>
    </row>
    <row r="1772" customFormat="false" ht="15" hidden="false" customHeight="false" outlineLevel="0" collapsed="false">
      <c r="A1772" s="9" t="n">
        <v>1766</v>
      </c>
      <c r="B1772" s="10" t="s">
        <v>2529</v>
      </c>
      <c r="C1772" s="10" t="s">
        <v>1660</v>
      </c>
      <c r="D1772" s="11" t="n">
        <v>0.0109497685185185</v>
      </c>
      <c r="E1772" s="12" t="n">
        <v>999</v>
      </c>
      <c r="F1772" s="11"/>
      <c r="G1772" s="12"/>
      <c r="H1772" s="11" t="n">
        <v>0.00288784722222222</v>
      </c>
      <c r="I1772" s="12" t="n">
        <v>844</v>
      </c>
      <c r="J1772" s="12" t="n">
        <f aca="false">COUNT(E1772,G1772,I1772)</f>
        <v>2</v>
      </c>
      <c r="K1772" s="13" t="n">
        <f aca="false">MIN(E1772,G1772,I1772)</f>
        <v>844</v>
      </c>
      <c r="L1772" s="9" t="str">
        <f aca="false">IF(E1772=K1772,"5000m",IF(G1772=K1772,"3000mSC","1500m"))</f>
        <v>1500m</v>
      </c>
      <c r="M1772" s="14" t="n">
        <f aca="false">(D1772&lt;&gt;"")*(D1772&lt;=($E$3*60+$F$3)/86400)+(F1772&lt;&gt;"")*(F1772&lt;=($I$3*60+$J$3)/86400)+(H1772&lt;&gt;"")*(H1772&lt;=($M$3*60+$N$3)/86400)</f>
        <v>0</v>
      </c>
      <c r="N1772" s="16"/>
      <c r="O1772" s="15"/>
    </row>
    <row r="1773" customFormat="false" ht="25.35" hidden="false" customHeight="false" outlineLevel="0" collapsed="false">
      <c r="A1773" s="9" t="n">
        <v>1767</v>
      </c>
      <c r="B1773" s="10" t="s">
        <v>2530</v>
      </c>
      <c r="C1773" s="10" t="s">
        <v>1297</v>
      </c>
      <c r="D1773" s="11"/>
      <c r="E1773" s="12"/>
      <c r="F1773" s="11" t="n">
        <v>0.00745972222222222</v>
      </c>
      <c r="G1773" s="12" t="n">
        <v>844</v>
      </c>
      <c r="H1773" s="11"/>
      <c r="I1773" s="12"/>
      <c r="J1773" s="12" t="n">
        <f aca="false">COUNT(E1773,G1773,I1773)</f>
        <v>1</v>
      </c>
      <c r="K1773" s="13" t="n">
        <f aca="false">MIN(E1773,G1773,I1773)</f>
        <v>844</v>
      </c>
      <c r="L1773" s="9" t="str">
        <f aca="false">IF(E1773=K1773,"5000m",IF(G1773=K1773,"3000mSC","1500m"))</f>
        <v>3000mSC</v>
      </c>
      <c r="M1773" s="14" t="n">
        <f aca="false">(D1773&lt;&gt;"")*(D1773&lt;=($E$3*60+$F$3)/86400)+(F1773&lt;&gt;"")*(F1773&lt;=($I$3*60+$J$3)/86400)+(H1773&lt;&gt;"")*(H1773&lt;=($M$3*60+$N$3)/86400)</f>
        <v>0</v>
      </c>
      <c r="N1773" s="16"/>
      <c r="O1773" s="15"/>
    </row>
    <row r="1774" customFormat="false" ht="25.35" hidden="false" customHeight="false" outlineLevel="0" collapsed="false">
      <c r="A1774" s="9" t="n">
        <v>1768</v>
      </c>
      <c r="B1774" s="10" t="s">
        <v>2531</v>
      </c>
      <c r="C1774" s="10" t="s">
        <v>2532</v>
      </c>
      <c r="D1774" s="11"/>
      <c r="E1774" s="12"/>
      <c r="F1774" s="11" t="n">
        <v>0.00746041666666667</v>
      </c>
      <c r="G1774" s="12" t="n">
        <v>845</v>
      </c>
      <c r="H1774" s="11"/>
      <c r="I1774" s="12"/>
      <c r="J1774" s="12" t="n">
        <f aca="false">COUNT(E1774,G1774,I1774)</f>
        <v>1</v>
      </c>
      <c r="K1774" s="13" t="n">
        <f aca="false">MIN(E1774,G1774,I1774)</f>
        <v>845</v>
      </c>
      <c r="L1774" s="9" t="str">
        <f aca="false">IF(E1774=K1774,"5000m",IF(G1774=K1774,"3000mSC","1500m"))</f>
        <v>3000mSC</v>
      </c>
      <c r="M1774" s="14" t="n">
        <f aca="false">(D1774&lt;&gt;"")*(D1774&lt;=($E$3*60+$F$3)/86400)+(F1774&lt;&gt;"")*(F1774&lt;=($I$3*60+$J$3)/86400)+(H1774&lt;&gt;"")*(H1774&lt;=($M$3*60+$N$3)/86400)</f>
        <v>0</v>
      </c>
      <c r="N1774" s="16"/>
      <c r="O1774" s="15"/>
    </row>
    <row r="1775" customFormat="false" ht="15" hidden="false" customHeight="false" outlineLevel="0" collapsed="false">
      <c r="A1775" s="9" t="n">
        <v>1769</v>
      </c>
      <c r="B1775" s="10" t="s">
        <v>2533</v>
      </c>
      <c r="C1775" s="10" t="s">
        <v>2534</v>
      </c>
      <c r="D1775" s="11" t="n">
        <v>0.0108591435185185</v>
      </c>
      <c r="E1775" s="12" t="n">
        <v>846</v>
      </c>
      <c r="F1775" s="11"/>
      <c r="G1775" s="12"/>
      <c r="H1775" s="11"/>
      <c r="I1775" s="12"/>
      <c r="J1775" s="12" t="n">
        <f aca="false">COUNT(E1775,G1775,I1775)</f>
        <v>1</v>
      </c>
      <c r="K1775" s="13" t="n">
        <f aca="false">MIN(E1775,G1775,I1775)</f>
        <v>846</v>
      </c>
      <c r="L1775" s="9" t="str">
        <f aca="false">IF(E1775=K1775,"5000m",IF(G1775=K1775,"3000mSC","1500m"))</f>
        <v>5000m</v>
      </c>
      <c r="M1775" s="14" t="n">
        <f aca="false">(D1775&lt;&gt;"")*(D1775&lt;=($E$3*60+$F$3)/86400)+(F1775&lt;&gt;"")*(F1775&lt;=($I$3*60+$J$3)/86400)+(H1775&lt;&gt;"")*(H1775&lt;=($M$3*60+$N$3)/86400)</f>
        <v>0</v>
      </c>
      <c r="N1775" s="16"/>
      <c r="O1775" s="15"/>
    </row>
    <row r="1776" customFormat="false" ht="25.35" hidden="false" customHeight="false" outlineLevel="0" collapsed="false">
      <c r="A1776" s="9" t="n">
        <v>1770</v>
      </c>
      <c r="B1776" s="10" t="s">
        <v>2535</v>
      </c>
      <c r="C1776" s="10" t="s">
        <v>947</v>
      </c>
      <c r="D1776" s="11"/>
      <c r="E1776" s="12"/>
      <c r="F1776" s="11" t="n">
        <v>0.00746122685185185</v>
      </c>
      <c r="G1776" s="12" t="n">
        <v>846</v>
      </c>
      <c r="H1776" s="11"/>
      <c r="I1776" s="12"/>
      <c r="J1776" s="12" t="n">
        <f aca="false">COUNT(E1776,G1776,I1776)</f>
        <v>1</v>
      </c>
      <c r="K1776" s="13" t="n">
        <f aca="false">MIN(E1776,G1776,I1776)</f>
        <v>846</v>
      </c>
      <c r="L1776" s="9" t="str">
        <f aca="false">IF(E1776=K1776,"5000m",IF(G1776=K1776,"3000mSC","1500m"))</f>
        <v>3000mSC</v>
      </c>
      <c r="M1776" s="14" t="n">
        <f aca="false">(D1776&lt;&gt;"")*(D1776&lt;=($E$3*60+$F$3)/86400)+(F1776&lt;&gt;"")*(F1776&lt;=($I$3*60+$J$3)/86400)+(H1776&lt;&gt;"")*(H1776&lt;=($M$3*60+$N$3)/86400)</f>
        <v>0</v>
      </c>
      <c r="N1776" s="16"/>
      <c r="O1776" s="15"/>
    </row>
    <row r="1777" customFormat="false" ht="15" hidden="false" customHeight="false" outlineLevel="0" collapsed="false">
      <c r="A1777" s="9" t="n">
        <v>1771</v>
      </c>
      <c r="B1777" s="10" t="s">
        <v>2536</v>
      </c>
      <c r="C1777" s="10" t="s">
        <v>1155</v>
      </c>
      <c r="D1777" s="11"/>
      <c r="E1777" s="12"/>
      <c r="F1777" s="11"/>
      <c r="G1777" s="12"/>
      <c r="H1777" s="11" t="n">
        <v>0.00288784722222222</v>
      </c>
      <c r="I1777" s="12" t="n">
        <v>846</v>
      </c>
      <c r="J1777" s="12" t="n">
        <f aca="false">COUNT(E1777,G1777,I1777)</f>
        <v>1</v>
      </c>
      <c r="K1777" s="13" t="n">
        <f aca="false">MIN(E1777,G1777,I1777)</f>
        <v>846</v>
      </c>
      <c r="L1777" s="9" t="str">
        <f aca="false">IF(E1777=K1777,"5000m",IF(G1777=K1777,"3000mSC","1500m"))</f>
        <v>1500m</v>
      </c>
      <c r="M1777" s="14" t="n">
        <f aca="false">(D1777&lt;&gt;"")*(D1777&lt;=($E$3*60+$F$3)/86400)+(F1777&lt;&gt;"")*(F1777&lt;=($I$3*60+$J$3)/86400)+(H1777&lt;&gt;"")*(H1777&lt;=($M$3*60+$N$3)/86400)</f>
        <v>0</v>
      </c>
      <c r="N1777" s="16"/>
      <c r="O1777" s="15"/>
    </row>
    <row r="1778" customFormat="false" ht="15" hidden="false" customHeight="false" outlineLevel="0" collapsed="false">
      <c r="A1778" s="9" t="n">
        <v>1772</v>
      </c>
      <c r="B1778" s="10" t="s">
        <v>2537</v>
      </c>
      <c r="C1778" s="10" t="s">
        <v>2238</v>
      </c>
      <c r="D1778" s="11" t="n">
        <v>0.0109631944444445</v>
      </c>
      <c r="E1778" s="12" t="n">
        <v>1023</v>
      </c>
      <c r="F1778" s="11"/>
      <c r="G1778" s="12"/>
      <c r="H1778" s="11" t="n">
        <v>0.00288796296296296</v>
      </c>
      <c r="I1778" s="12" t="n">
        <v>847</v>
      </c>
      <c r="J1778" s="12" t="n">
        <f aca="false">COUNT(E1778,G1778,I1778)</f>
        <v>2</v>
      </c>
      <c r="K1778" s="13" t="n">
        <f aca="false">MIN(E1778,G1778,I1778)</f>
        <v>847</v>
      </c>
      <c r="L1778" s="9" t="str">
        <f aca="false">IF(E1778=K1778,"5000m",IF(G1778=K1778,"3000mSC","1500m"))</f>
        <v>1500m</v>
      </c>
      <c r="M1778" s="14" t="n">
        <f aca="false">(D1778&lt;&gt;"")*(D1778&lt;=($E$3*60+$F$3)/86400)+(F1778&lt;&gt;"")*(F1778&lt;=($I$3*60+$J$3)/86400)+(H1778&lt;&gt;"")*(H1778&lt;=($M$3*60+$N$3)/86400)</f>
        <v>0</v>
      </c>
      <c r="N1778" s="16"/>
      <c r="O1778" s="15"/>
    </row>
    <row r="1779" customFormat="false" ht="25.35" hidden="false" customHeight="false" outlineLevel="0" collapsed="false">
      <c r="A1779" s="9" t="n">
        <v>1773</v>
      </c>
      <c r="B1779" s="10" t="s">
        <v>2538</v>
      </c>
      <c r="C1779" s="10" t="s">
        <v>2539</v>
      </c>
      <c r="D1779" s="11"/>
      <c r="E1779" s="12"/>
      <c r="F1779" s="11" t="n">
        <v>0.0074619212962963</v>
      </c>
      <c r="G1779" s="12" t="n">
        <v>847</v>
      </c>
      <c r="H1779" s="11"/>
      <c r="I1779" s="12"/>
      <c r="J1779" s="12" t="n">
        <f aca="false">COUNT(E1779,G1779,I1779)</f>
        <v>1</v>
      </c>
      <c r="K1779" s="13" t="n">
        <f aca="false">MIN(E1779,G1779,I1779)</f>
        <v>847</v>
      </c>
      <c r="L1779" s="9" t="str">
        <f aca="false">IF(E1779=K1779,"5000m",IF(G1779=K1779,"3000mSC","1500m"))</f>
        <v>3000mSC</v>
      </c>
      <c r="M1779" s="14" t="n">
        <f aca="false">(D1779&lt;&gt;"")*(D1779&lt;=($E$3*60+$F$3)/86400)+(F1779&lt;&gt;"")*(F1779&lt;=($I$3*60+$J$3)/86400)+(H1779&lt;&gt;"")*(H1779&lt;=($M$3*60+$N$3)/86400)</f>
        <v>0</v>
      </c>
      <c r="N1779" s="16"/>
      <c r="O1779" s="15"/>
    </row>
    <row r="1780" customFormat="false" ht="15" hidden="false" customHeight="false" outlineLevel="0" collapsed="false">
      <c r="A1780" s="9" t="n">
        <v>1774</v>
      </c>
      <c r="B1780" s="10" t="s">
        <v>2540</v>
      </c>
      <c r="C1780" s="10" t="s">
        <v>36</v>
      </c>
      <c r="D1780" s="11" t="n">
        <v>0.0108597222222222</v>
      </c>
      <c r="E1780" s="12" t="n">
        <v>848</v>
      </c>
      <c r="F1780" s="11"/>
      <c r="G1780" s="12"/>
      <c r="H1780" s="11"/>
      <c r="I1780" s="12"/>
      <c r="J1780" s="12" t="n">
        <f aca="false">COUNT(E1780,G1780,I1780)</f>
        <v>1</v>
      </c>
      <c r="K1780" s="13" t="n">
        <f aca="false">MIN(E1780,G1780,I1780)</f>
        <v>848</v>
      </c>
      <c r="L1780" s="9" t="str">
        <f aca="false">IF(E1780=K1780,"5000m",IF(G1780=K1780,"3000mSC","1500m"))</f>
        <v>5000m</v>
      </c>
      <c r="M1780" s="14" t="n">
        <f aca="false">(D1780&lt;&gt;"")*(D1780&lt;=($E$3*60+$F$3)/86400)+(F1780&lt;&gt;"")*(F1780&lt;=($I$3*60+$J$3)/86400)+(H1780&lt;&gt;"")*(H1780&lt;=($M$3*60+$N$3)/86400)</f>
        <v>0</v>
      </c>
      <c r="N1780" s="16"/>
      <c r="O1780" s="15"/>
    </row>
    <row r="1781" customFormat="false" ht="25.35" hidden="false" customHeight="false" outlineLevel="0" collapsed="false">
      <c r="A1781" s="9" t="n">
        <v>1775</v>
      </c>
      <c r="B1781" s="10" t="s">
        <v>2541</v>
      </c>
      <c r="C1781" s="10" t="s">
        <v>2542</v>
      </c>
      <c r="D1781" s="11"/>
      <c r="E1781" s="12"/>
      <c r="F1781" s="11" t="n">
        <v>0.00746203703703704</v>
      </c>
      <c r="G1781" s="12" t="n">
        <v>848</v>
      </c>
      <c r="H1781" s="11"/>
      <c r="I1781" s="12"/>
      <c r="J1781" s="12" t="n">
        <f aca="false">COUNT(E1781,G1781,I1781)</f>
        <v>1</v>
      </c>
      <c r="K1781" s="13" t="n">
        <f aca="false">MIN(E1781,G1781,I1781)</f>
        <v>848</v>
      </c>
      <c r="L1781" s="9" t="str">
        <f aca="false">IF(E1781=K1781,"5000m",IF(G1781=K1781,"3000mSC","1500m"))</f>
        <v>3000mSC</v>
      </c>
      <c r="M1781" s="14" t="n">
        <f aca="false">(D1781&lt;&gt;"")*(D1781&lt;=($E$3*60+$F$3)/86400)+(F1781&lt;&gt;"")*(F1781&lt;=($I$3*60+$J$3)/86400)+(H1781&lt;&gt;"")*(H1781&lt;=($M$3*60+$N$3)/86400)</f>
        <v>0</v>
      </c>
      <c r="N1781" s="16"/>
      <c r="O1781" s="15"/>
    </row>
    <row r="1782" customFormat="false" ht="15" hidden="false" customHeight="false" outlineLevel="0" collapsed="false">
      <c r="A1782" s="9" t="n">
        <v>1776</v>
      </c>
      <c r="B1782" s="10" t="s">
        <v>2543</v>
      </c>
      <c r="C1782" s="10" t="s">
        <v>242</v>
      </c>
      <c r="D1782" s="11" t="n">
        <v>0.0108604166666667</v>
      </c>
      <c r="E1782" s="12" t="n">
        <v>849</v>
      </c>
      <c r="F1782" s="11"/>
      <c r="G1782" s="12"/>
      <c r="H1782" s="11" t="n">
        <v>0.0029125</v>
      </c>
      <c r="I1782" s="12" t="n">
        <v>1040</v>
      </c>
      <c r="J1782" s="12" t="n">
        <f aca="false">COUNT(E1782,G1782,I1782)</f>
        <v>2</v>
      </c>
      <c r="K1782" s="13" t="n">
        <f aca="false">MIN(E1782,G1782,I1782)</f>
        <v>849</v>
      </c>
      <c r="L1782" s="9" t="str">
        <f aca="false">IF(E1782=K1782,"5000m",IF(G1782=K1782,"3000mSC","1500m"))</f>
        <v>5000m</v>
      </c>
      <c r="M1782" s="14" t="n">
        <f aca="false">(D1782&lt;&gt;"")*(D1782&lt;=($E$3*60+$F$3)/86400)+(F1782&lt;&gt;"")*(F1782&lt;=($I$3*60+$J$3)/86400)+(H1782&lt;&gt;"")*(H1782&lt;=($M$3*60+$N$3)/86400)</f>
        <v>0</v>
      </c>
      <c r="N1782" s="16"/>
      <c r="O1782" s="15"/>
    </row>
    <row r="1783" customFormat="false" ht="25.35" hidden="false" customHeight="false" outlineLevel="0" collapsed="false">
      <c r="A1783" s="9" t="n">
        <v>1777</v>
      </c>
      <c r="B1783" s="10" t="s">
        <v>2544</v>
      </c>
      <c r="C1783" s="10" t="s">
        <v>2545</v>
      </c>
      <c r="D1783" s="11"/>
      <c r="E1783" s="12"/>
      <c r="F1783" s="11" t="n">
        <v>0.0074625</v>
      </c>
      <c r="G1783" s="12" t="n">
        <v>849</v>
      </c>
      <c r="H1783" s="11"/>
      <c r="I1783" s="12"/>
      <c r="J1783" s="12" t="n">
        <f aca="false">COUNT(E1783,G1783,I1783)</f>
        <v>1</v>
      </c>
      <c r="K1783" s="13" t="n">
        <f aca="false">MIN(E1783,G1783,I1783)</f>
        <v>849</v>
      </c>
      <c r="L1783" s="9" t="str">
        <f aca="false">IF(E1783=K1783,"5000m",IF(G1783=K1783,"3000mSC","1500m"))</f>
        <v>3000mSC</v>
      </c>
      <c r="M1783" s="14" t="n">
        <f aca="false">(D1783&lt;&gt;"")*(D1783&lt;=($E$3*60+$F$3)/86400)+(F1783&lt;&gt;"")*(F1783&lt;=($I$3*60+$J$3)/86400)+(H1783&lt;&gt;"")*(H1783&lt;=($M$3*60+$N$3)/86400)</f>
        <v>0</v>
      </c>
      <c r="N1783" s="16"/>
      <c r="O1783" s="15"/>
    </row>
    <row r="1784" customFormat="false" ht="15" hidden="false" customHeight="false" outlineLevel="0" collapsed="false">
      <c r="A1784" s="9" t="n">
        <v>1778</v>
      </c>
      <c r="B1784" s="10" t="s">
        <v>2546</v>
      </c>
      <c r="C1784" s="10" t="s">
        <v>41</v>
      </c>
      <c r="D1784" s="11"/>
      <c r="E1784" s="12"/>
      <c r="F1784" s="11"/>
      <c r="G1784" s="12"/>
      <c r="H1784" s="11" t="n">
        <v>0.00288819444444445</v>
      </c>
      <c r="I1784" s="12" t="n">
        <v>849</v>
      </c>
      <c r="J1784" s="12" t="n">
        <f aca="false">COUNT(E1784,G1784,I1784)</f>
        <v>1</v>
      </c>
      <c r="K1784" s="13" t="n">
        <f aca="false">MIN(E1784,G1784,I1784)</f>
        <v>849</v>
      </c>
      <c r="L1784" s="9" t="str">
        <f aca="false">IF(E1784=K1784,"5000m",IF(G1784=K1784,"3000mSC","1500m"))</f>
        <v>1500m</v>
      </c>
      <c r="M1784" s="14" t="n">
        <f aca="false">(D1784&lt;&gt;"")*(D1784&lt;=($E$3*60+$F$3)/86400)+(F1784&lt;&gt;"")*(F1784&lt;=($I$3*60+$J$3)/86400)+(H1784&lt;&gt;"")*(H1784&lt;=($M$3*60+$N$3)/86400)</f>
        <v>0</v>
      </c>
      <c r="N1784" s="16"/>
      <c r="O1784" s="15"/>
    </row>
    <row r="1785" customFormat="false" ht="15" hidden="false" customHeight="false" outlineLevel="0" collapsed="false">
      <c r="A1785" s="9" t="n">
        <v>1779</v>
      </c>
      <c r="B1785" s="10" t="s">
        <v>2547</v>
      </c>
      <c r="C1785" s="10" t="s">
        <v>72</v>
      </c>
      <c r="D1785" s="11" t="n">
        <v>0.0108605324074074</v>
      </c>
      <c r="E1785" s="12" t="n">
        <v>850</v>
      </c>
      <c r="F1785" s="11"/>
      <c r="G1785" s="12"/>
      <c r="H1785" s="11"/>
      <c r="I1785" s="12"/>
      <c r="J1785" s="12" t="n">
        <f aca="false">COUNT(E1785,G1785,I1785)</f>
        <v>1</v>
      </c>
      <c r="K1785" s="13" t="n">
        <f aca="false">MIN(E1785,G1785,I1785)</f>
        <v>850</v>
      </c>
      <c r="L1785" s="9" t="str">
        <f aca="false">IF(E1785=K1785,"5000m",IF(G1785=K1785,"3000mSC","1500m"))</f>
        <v>5000m</v>
      </c>
      <c r="M1785" s="14" t="n">
        <f aca="false">(D1785&lt;&gt;"")*(D1785&lt;=($E$3*60+$F$3)/86400)+(F1785&lt;&gt;"")*(F1785&lt;=($I$3*60+$J$3)/86400)+(H1785&lt;&gt;"")*(H1785&lt;=($M$3*60+$N$3)/86400)</f>
        <v>0</v>
      </c>
      <c r="N1785" s="16"/>
      <c r="O1785" s="15"/>
    </row>
    <row r="1786" customFormat="false" ht="25.35" hidden="false" customHeight="false" outlineLevel="0" collapsed="false">
      <c r="A1786" s="9" t="n">
        <v>1780</v>
      </c>
      <c r="B1786" s="10" t="s">
        <v>2548</v>
      </c>
      <c r="C1786" s="10" t="s">
        <v>1203</v>
      </c>
      <c r="D1786" s="11"/>
      <c r="E1786" s="12"/>
      <c r="F1786" s="11" t="n">
        <v>0.0074625</v>
      </c>
      <c r="G1786" s="12" t="n">
        <v>850</v>
      </c>
      <c r="H1786" s="11"/>
      <c r="I1786" s="12"/>
      <c r="J1786" s="12" t="n">
        <f aca="false">COUNT(E1786,G1786,I1786)</f>
        <v>1</v>
      </c>
      <c r="K1786" s="13" t="n">
        <f aca="false">MIN(E1786,G1786,I1786)</f>
        <v>850</v>
      </c>
      <c r="L1786" s="9" t="str">
        <f aca="false">IF(E1786=K1786,"5000m",IF(G1786=K1786,"3000mSC","1500m"))</f>
        <v>3000mSC</v>
      </c>
      <c r="M1786" s="14" t="n">
        <f aca="false">(D1786&lt;&gt;"")*(D1786&lt;=($E$3*60+$F$3)/86400)+(F1786&lt;&gt;"")*(F1786&lt;=($I$3*60+$J$3)/86400)+(H1786&lt;&gt;"")*(H1786&lt;=($M$3*60+$N$3)/86400)</f>
        <v>0</v>
      </c>
      <c r="N1786" s="16"/>
      <c r="O1786" s="15"/>
    </row>
    <row r="1787" customFormat="false" ht="15" hidden="false" customHeight="false" outlineLevel="0" collapsed="false">
      <c r="A1787" s="9" t="n">
        <v>1781</v>
      </c>
      <c r="B1787" s="10" t="s">
        <v>2549</v>
      </c>
      <c r="C1787" s="10" t="s">
        <v>2550</v>
      </c>
      <c r="D1787" s="11"/>
      <c r="E1787" s="12"/>
      <c r="F1787" s="11"/>
      <c r="G1787" s="12"/>
      <c r="H1787" s="11" t="n">
        <v>0.00288819444444445</v>
      </c>
      <c r="I1787" s="12" t="n">
        <v>850</v>
      </c>
      <c r="J1787" s="12" t="n">
        <f aca="false">COUNT(E1787,G1787,I1787)</f>
        <v>1</v>
      </c>
      <c r="K1787" s="13" t="n">
        <f aca="false">MIN(E1787,G1787,I1787)</f>
        <v>850</v>
      </c>
      <c r="L1787" s="9" t="str">
        <f aca="false">IF(E1787=K1787,"5000m",IF(G1787=K1787,"3000mSC","1500m"))</f>
        <v>1500m</v>
      </c>
      <c r="M1787" s="14" t="n">
        <f aca="false">(D1787&lt;&gt;"")*(D1787&lt;=($E$3*60+$F$3)/86400)+(F1787&lt;&gt;"")*(F1787&lt;=($I$3*60+$J$3)/86400)+(H1787&lt;&gt;"")*(H1787&lt;=($M$3*60+$N$3)/86400)</f>
        <v>0</v>
      </c>
      <c r="N1787" s="16"/>
      <c r="O1787" s="15"/>
    </row>
    <row r="1788" customFormat="false" ht="15" hidden="false" customHeight="false" outlineLevel="0" collapsed="false">
      <c r="A1788" s="9" t="n">
        <v>1782</v>
      </c>
      <c r="B1788" s="10" t="s">
        <v>2551</v>
      </c>
      <c r="C1788" s="10" t="s">
        <v>523</v>
      </c>
      <c r="D1788" s="11" t="n">
        <v>0.0108612268518519</v>
      </c>
      <c r="E1788" s="12" t="n">
        <v>851</v>
      </c>
      <c r="F1788" s="11"/>
      <c r="G1788" s="12"/>
      <c r="H1788" s="11" t="n">
        <v>0.0029275462962963</v>
      </c>
      <c r="I1788" s="12" t="n">
        <v>1166</v>
      </c>
      <c r="J1788" s="12" t="n">
        <f aca="false">COUNT(E1788,G1788,I1788)</f>
        <v>2</v>
      </c>
      <c r="K1788" s="13" t="n">
        <f aca="false">MIN(E1788,G1788,I1788)</f>
        <v>851</v>
      </c>
      <c r="L1788" s="9" t="str">
        <f aca="false">IF(E1788=K1788,"5000m",IF(G1788=K1788,"3000mSC","1500m"))</f>
        <v>5000m</v>
      </c>
      <c r="M1788" s="14" t="n">
        <f aca="false">(D1788&lt;&gt;"")*(D1788&lt;=($E$3*60+$F$3)/86400)+(F1788&lt;&gt;"")*(F1788&lt;=($I$3*60+$J$3)/86400)+(H1788&lt;&gt;"")*(H1788&lt;=($M$3*60+$N$3)/86400)</f>
        <v>0</v>
      </c>
      <c r="N1788" s="16"/>
      <c r="O1788" s="15"/>
    </row>
    <row r="1789" customFormat="false" ht="25.35" hidden="false" customHeight="false" outlineLevel="0" collapsed="false">
      <c r="A1789" s="9" t="n">
        <v>1783</v>
      </c>
      <c r="B1789" s="10" t="s">
        <v>2552</v>
      </c>
      <c r="C1789" s="10" t="s">
        <v>2553</v>
      </c>
      <c r="D1789" s="11"/>
      <c r="E1789" s="12"/>
      <c r="F1789" s="11" t="n">
        <v>0.0074630787037037</v>
      </c>
      <c r="G1789" s="12" t="n">
        <v>851</v>
      </c>
      <c r="H1789" s="11"/>
      <c r="I1789" s="12"/>
      <c r="J1789" s="12" t="n">
        <f aca="false">COUNT(E1789,G1789,I1789)</f>
        <v>1</v>
      </c>
      <c r="K1789" s="13" t="n">
        <f aca="false">MIN(E1789,G1789,I1789)</f>
        <v>851</v>
      </c>
      <c r="L1789" s="9" t="str">
        <f aca="false">IF(E1789=K1789,"5000m",IF(G1789=K1789,"3000mSC","1500m"))</f>
        <v>3000mSC</v>
      </c>
      <c r="M1789" s="14" t="n">
        <f aca="false">(D1789&lt;&gt;"")*(D1789&lt;=($E$3*60+$F$3)/86400)+(F1789&lt;&gt;"")*(F1789&lt;=($I$3*60+$J$3)/86400)+(H1789&lt;&gt;"")*(H1789&lt;=($M$3*60+$N$3)/86400)</f>
        <v>0</v>
      </c>
      <c r="N1789" s="16"/>
      <c r="O1789" s="15"/>
    </row>
    <row r="1790" customFormat="false" ht="25.35" hidden="false" customHeight="false" outlineLevel="0" collapsed="false">
      <c r="A1790" s="9" t="n">
        <v>1784</v>
      </c>
      <c r="B1790" s="10" t="s">
        <v>2554</v>
      </c>
      <c r="C1790" s="10" t="s">
        <v>2555</v>
      </c>
      <c r="D1790" s="11"/>
      <c r="E1790" s="12"/>
      <c r="F1790" s="11" t="n">
        <v>0.00746377314814815</v>
      </c>
      <c r="G1790" s="12" t="n">
        <v>852</v>
      </c>
      <c r="H1790" s="11"/>
      <c r="I1790" s="12"/>
      <c r="J1790" s="12" t="n">
        <f aca="false">COUNT(E1790,G1790,I1790)</f>
        <v>1</v>
      </c>
      <c r="K1790" s="13" t="n">
        <f aca="false">MIN(E1790,G1790,I1790)</f>
        <v>852</v>
      </c>
      <c r="L1790" s="9" t="str">
        <f aca="false">IF(E1790=K1790,"5000m",IF(G1790=K1790,"3000mSC","1500m"))</f>
        <v>3000mSC</v>
      </c>
      <c r="M1790" s="14" t="n">
        <f aca="false">(D1790&lt;&gt;"")*(D1790&lt;=($E$3*60+$F$3)/86400)+(F1790&lt;&gt;"")*(F1790&lt;=($I$3*60+$J$3)/86400)+(H1790&lt;&gt;"")*(H1790&lt;=($M$3*60+$N$3)/86400)</f>
        <v>0</v>
      </c>
      <c r="N1790" s="16"/>
      <c r="O1790" s="15"/>
    </row>
    <row r="1791" customFormat="false" ht="25.35" hidden="false" customHeight="false" outlineLevel="0" collapsed="false">
      <c r="A1791" s="9" t="n">
        <v>1785</v>
      </c>
      <c r="B1791" s="10" t="s">
        <v>2556</v>
      </c>
      <c r="C1791" s="10" t="s">
        <v>2557</v>
      </c>
      <c r="D1791" s="11"/>
      <c r="E1791" s="12"/>
      <c r="F1791" s="11" t="n">
        <v>0.00746412037037037</v>
      </c>
      <c r="G1791" s="12" t="n">
        <v>853</v>
      </c>
      <c r="H1791" s="11"/>
      <c r="I1791" s="12"/>
      <c r="J1791" s="12" t="n">
        <f aca="false">COUNT(E1791,G1791,I1791)</f>
        <v>1</v>
      </c>
      <c r="K1791" s="13" t="n">
        <f aca="false">MIN(E1791,G1791,I1791)</f>
        <v>853</v>
      </c>
      <c r="L1791" s="9" t="str">
        <f aca="false">IF(E1791=K1791,"5000m",IF(G1791=K1791,"3000mSC","1500m"))</f>
        <v>3000mSC</v>
      </c>
      <c r="M1791" s="14" t="n">
        <f aca="false">(D1791&lt;&gt;"")*(D1791&lt;=($E$3*60+$F$3)/86400)+(F1791&lt;&gt;"")*(F1791&lt;=($I$3*60+$J$3)/86400)+(H1791&lt;&gt;"")*(H1791&lt;=($M$3*60+$N$3)/86400)</f>
        <v>0</v>
      </c>
      <c r="N1791" s="16"/>
      <c r="O1791" s="15"/>
    </row>
    <row r="1792" customFormat="false" ht="15" hidden="false" customHeight="false" outlineLevel="0" collapsed="false">
      <c r="A1792" s="9" t="n">
        <v>1786</v>
      </c>
      <c r="B1792" s="10" t="s">
        <v>2558</v>
      </c>
      <c r="C1792" s="10" t="s">
        <v>1458</v>
      </c>
      <c r="D1792" s="11" t="n">
        <v>0.0108618055555556</v>
      </c>
      <c r="E1792" s="12" t="n">
        <v>854</v>
      </c>
      <c r="F1792" s="11"/>
      <c r="G1792" s="12"/>
      <c r="H1792" s="11"/>
      <c r="I1792" s="12"/>
      <c r="J1792" s="12" t="n">
        <f aca="false">COUNT(E1792,G1792,I1792)</f>
        <v>1</v>
      </c>
      <c r="K1792" s="13" t="n">
        <f aca="false">MIN(E1792,G1792,I1792)</f>
        <v>854</v>
      </c>
      <c r="L1792" s="9" t="str">
        <f aca="false">IF(E1792=K1792,"5000m",IF(G1792=K1792,"3000mSC","1500m"))</f>
        <v>5000m</v>
      </c>
      <c r="M1792" s="14" t="n">
        <f aca="false">(D1792&lt;&gt;"")*(D1792&lt;=($E$3*60+$F$3)/86400)+(F1792&lt;&gt;"")*(F1792&lt;=($I$3*60+$J$3)/86400)+(H1792&lt;&gt;"")*(H1792&lt;=($M$3*60+$N$3)/86400)</f>
        <v>0</v>
      </c>
      <c r="N1792" s="16"/>
      <c r="O1792" s="15"/>
    </row>
    <row r="1793" customFormat="false" ht="25.35" hidden="false" customHeight="false" outlineLevel="0" collapsed="false">
      <c r="A1793" s="9" t="n">
        <v>1787</v>
      </c>
      <c r="B1793" s="10" t="s">
        <v>2559</v>
      </c>
      <c r="C1793" s="10" t="s">
        <v>2560</v>
      </c>
      <c r="D1793" s="11"/>
      <c r="E1793" s="12"/>
      <c r="F1793" s="11" t="n">
        <v>0.00746412037037037</v>
      </c>
      <c r="G1793" s="12" t="n">
        <v>854</v>
      </c>
      <c r="H1793" s="11"/>
      <c r="I1793" s="12"/>
      <c r="J1793" s="12" t="n">
        <f aca="false">COUNT(E1793,G1793,I1793)</f>
        <v>1</v>
      </c>
      <c r="K1793" s="13" t="n">
        <f aca="false">MIN(E1793,G1793,I1793)</f>
        <v>854</v>
      </c>
      <c r="L1793" s="9" t="str">
        <f aca="false">IF(E1793=K1793,"5000m",IF(G1793=K1793,"3000mSC","1500m"))</f>
        <v>3000mSC</v>
      </c>
      <c r="M1793" s="14" t="n">
        <f aca="false">(D1793&lt;&gt;"")*(D1793&lt;=($E$3*60+$F$3)/86400)+(F1793&lt;&gt;"")*(F1793&lt;=($I$3*60+$J$3)/86400)+(H1793&lt;&gt;"")*(H1793&lt;=($M$3*60+$N$3)/86400)</f>
        <v>0</v>
      </c>
      <c r="N1793" s="16"/>
      <c r="O1793" s="15"/>
    </row>
    <row r="1794" customFormat="false" ht="25.35" hidden="false" customHeight="false" outlineLevel="0" collapsed="false">
      <c r="A1794" s="9" t="n">
        <v>1788</v>
      </c>
      <c r="B1794" s="10" t="s">
        <v>2561</v>
      </c>
      <c r="C1794" s="10" t="s">
        <v>1322</v>
      </c>
      <c r="D1794" s="11"/>
      <c r="E1794" s="12"/>
      <c r="F1794" s="11" t="n">
        <v>0.00746527777777778</v>
      </c>
      <c r="G1794" s="12" t="n">
        <v>855</v>
      </c>
      <c r="H1794" s="11"/>
      <c r="I1794" s="12"/>
      <c r="J1794" s="12" t="n">
        <f aca="false">COUNT(E1794,G1794,I1794)</f>
        <v>1</v>
      </c>
      <c r="K1794" s="13" t="n">
        <f aca="false">MIN(E1794,G1794,I1794)</f>
        <v>855</v>
      </c>
      <c r="L1794" s="9" t="str">
        <f aca="false">IF(E1794=K1794,"5000m",IF(G1794=K1794,"3000mSC","1500m"))</f>
        <v>3000mSC</v>
      </c>
      <c r="M1794" s="14" t="n">
        <f aca="false">(D1794&lt;&gt;"")*(D1794&lt;=($E$3*60+$F$3)/86400)+(F1794&lt;&gt;"")*(F1794&lt;=($I$3*60+$J$3)/86400)+(H1794&lt;&gt;"")*(H1794&lt;=($M$3*60+$N$3)/86400)</f>
        <v>0</v>
      </c>
      <c r="N1794" s="16"/>
      <c r="O1794" s="15"/>
    </row>
    <row r="1795" customFormat="false" ht="15" hidden="false" customHeight="false" outlineLevel="0" collapsed="false">
      <c r="A1795" s="9" t="n">
        <v>1789</v>
      </c>
      <c r="B1795" s="10" t="s">
        <v>2562</v>
      </c>
      <c r="C1795" s="10" t="s">
        <v>1438</v>
      </c>
      <c r="D1795" s="11" t="n">
        <v>0.0108628472222222</v>
      </c>
      <c r="E1795" s="12" t="n">
        <v>856</v>
      </c>
      <c r="F1795" s="11"/>
      <c r="G1795" s="12"/>
      <c r="H1795" s="11"/>
      <c r="I1795" s="12"/>
      <c r="J1795" s="12" t="n">
        <f aca="false">COUNT(E1795,G1795,I1795)</f>
        <v>1</v>
      </c>
      <c r="K1795" s="13" t="n">
        <f aca="false">MIN(E1795,G1795,I1795)</f>
        <v>856</v>
      </c>
      <c r="L1795" s="9" t="str">
        <f aca="false">IF(E1795=K1795,"5000m",IF(G1795=K1795,"3000mSC","1500m"))</f>
        <v>5000m</v>
      </c>
      <c r="M1795" s="14" t="n">
        <f aca="false">(D1795&lt;&gt;"")*(D1795&lt;=($E$3*60+$F$3)/86400)+(F1795&lt;&gt;"")*(F1795&lt;=($I$3*60+$J$3)/86400)+(H1795&lt;&gt;"")*(H1795&lt;=($M$3*60+$N$3)/86400)</f>
        <v>0</v>
      </c>
      <c r="N1795" s="16"/>
      <c r="O1795" s="15"/>
    </row>
    <row r="1796" customFormat="false" ht="25.35" hidden="false" customHeight="false" outlineLevel="0" collapsed="false">
      <c r="A1796" s="9" t="n">
        <v>1790</v>
      </c>
      <c r="B1796" s="10" t="s">
        <v>2563</v>
      </c>
      <c r="C1796" s="10" t="s">
        <v>1038</v>
      </c>
      <c r="D1796" s="11"/>
      <c r="E1796" s="12"/>
      <c r="F1796" s="11" t="n">
        <v>0.00746666666666667</v>
      </c>
      <c r="G1796" s="12" t="n">
        <v>856</v>
      </c>
      <c r="H1796" s="11"/>
      <c r="I1796" s="12"/>
      <c r="J1796" s="12" t="n">
        <f aca="false">COUNT(E1796,G1796,I1796)</f>
        <v>1</v>
      </c>
      <c r="K1796" s="13" t="n">
        <f aca="false">MIN(E1796,G1796,I1796)</f>
        <v>856</v>
      </c>
      <c r="L1796" s="9" t="str">
        <f aca="false">IF(E1796=K1796,"5000m",IF(G1796=K1796,"3000mSC","1500m"))</f>
        <v>3000mSC</v>
      </c>
      <c r="M1796" s="14" t="n">
        <f aca="false">(D1796&lt;&gt;"")*(D1796&lt;=($E$3*60+$F$3)/86400)+(F1796&lt;&gt;"")*(F1796&lt;=($I$3*60+$J$3)/86400)+(H1796&lt;&gt;"")*(H1796&lt;=($M$3*60+$N$3)/86400)</f>
        <v>0</v>
      </c>
      <c r="N1796" s="16"/>
      <c r="O1796" s="15"/>
    </row>
    <row r="1797" customFormat="false" ht="15" hidden="false" customHeight="false" outlineLevel="0" collapsed="false">
      <c r="A1797" s="9" t="n">
        <v>1791</v>
      </c>
      <c r="B1797" s="10" t="s">
        <v>2564</v>
      </c>
      <c r="C1797" s="10" t="s">
        <v>2565</v>
      </c>
      <c r="D1797" s="11"/>
      <c r="E1797" s="12"/>
      <c r="F1797" s="11"/>
      <c r="G1797" s="12"/>
      <c r="H1797" s="11" t="n">
        <v>0.00288912037037037</v>
      </c>
      <c r="I1797" s="12" t="n">
        <v>856</v>
      </c>
      <c r="J1797" s="12" t="n">
        <f aca="false">COUNT(E1797,G1797,I1797)</f>
        <v>1</v>
      </c>
      <c r="K1797" s="13" t="n">
        <f aca="false">MIN(E1797,G1797,I1797)</f>
        <v>856</v>
      </c>
      <c r="L1797" s="9" t="str">
        <f aca="false">IF(E1797=K1797,"5000m",IF(G1797=K1797,"3000mSC","1500m"))</f>
        <v>1500m</v>
      </c>
      <c r="M1797" s="14" t="n">
        <f aca="false">(D1797&lt;&gt;"")*(D1797&lt;=($E$3*60+$F$3)/86400)+(F1797&lt;&gt;"")*(F1797&lt;=($I$3*60+$J$3)/86400)+(H1797&lt;&gt;"")*(H1797&lt;=($M$3*60+$N$3)/86400)</f>
        <v>0</v>
      </c>
      <c r="N1797" s="16"/>
      <c r="O1797" s="15"/>
    </row>
    <row r="1798" customFormat="false" ht="15" hidden="false" customHeight="false" outlineLevel="0" collapsed="false">
      <c r="A1798" s="9" t="n">
        <v>1792</v>
      </c>
      <c r="B1798" s="10" t="s">
        <v>2566</v>
      </c>
      <c r="C1798" s="10" t="s">
        <v>494</v>
      </c>
      <c r="D1798" s="11" t="n">
        <v>0.0108631944444444</v>
      </c>
      <c r="E1798" s="12" t="n">
        <v>857</v>
      </c>
      <c r="F1798" s="11"/>
      <c r="G1798" s="12"/>
      <c r="H1798" s="11" t="n">
        <v>0.00289189814814815</v>
      </c>
      <c r="I1798" s="12" t="n">
        <v>886</v>
      </c>
      <c r="J1798" s="12" t="n">
        <f aca="false">COUNT(E1798,G1798,I1798)</f>
        <v>2</v>
      </c>
      <c r="K1798" s="13" t="n">
        <f aca="false">MIN(E1798,G1798,I1798)</f>
        <v>857</v>
      </c>
      <c r="L1798" s="9" t="str">
        <f aca="false">IF(E1798=K1798,"5000m",IF(G1798=K1798,"3000mSC","1500m"))</f>
        <v>5000m</v>
      </c>
      <c r="M1798" s="14" t="n">
        <f aca="false">(D1798&lt;&gt;"")*(D1798&lt;=($E$3*60+$F$3)/86400)+(F1798&lt;&gt;"")*(F1798&lt;=($I$3*60+$J$3)/86400)+(H1798&lt;&gt;"")*(H1798&lt;=($M$3*60+$N$3)/86400)</f>
        <v>0</v>
      </c>
      <c r="N1798" s="16"/>
      <c r="O1798" s="15"/>
    </row>
    <row r="1799" customFormat="false" ht="15" hidden="false" customHeight="false" outlineLevel="0" collapsed="false">
      <c r="A1799" s="9" t="n">
        <v>1793</v>
      </c>
      <c r="B1799" s="10" t="s">
        <v>2567</v>
      </c>
      <c r="C1799" s="10" t="s">
        <v>1680</v>
      </c>
      <c r="D1799" s="11" t="n">
        <v>0.0108633101851852</v>
      </c>
      <c r="E1799" s="12" t="n">
        <v>858</v>
      </c>
      <c r="F1799" s="11"/>
      <c r="G1799" s="12"/>
      <c r="H1799" s="11" t="n">
        <v>0.00289016203703704</v>
      </c>
      <c r="I1799" s="12" t="n">
        <v>866</v>
      </c>
      <c r="J1799" s="12" t="n">
        <f aca="false">COUNT(E1799,G1799,I1799)</f>
        <v>2</v>
      </c>
      <c r="K1799" s="13" t="n">
        <f aca="false">MIN(E1799,G1799,I1799)</f>
        <v>858</v>
      </c>
      <c r="L1799" s="9" t="str">
        <f aca="false">IF(E1799=K1799,"5000m",IF(G1799=K1799,"3000mSC","1500m"))</f>
        <v>5000m</v>
      </c>
      <c r="M1799" s="14" t="n">
        <f aca="false">(D1799&lt;&gt;"")*(D1799&lt;=($E$3*60+$F$3)/86400)+(F1799&lt;&gt;"")*(F1799&lt;=($I$3*60+$J$3)/86400)+(H1799&lt;&gt;"")*(H1799&lt;=($M$3*60+$N$3)/86400)</f>
        <v>0</v>
      </c>
      <c r="N1799" s="16"/>
      <c r="O1799" s="15"/>
    </row>
    <row r="1800" customFormat="false" ht="25.35" hidden="false" customHeight="false" outlineLevel="0" collapsed="false">
      <c r="A1800" s="9" t="n">
        <v>1794</v>
      </c>
      <c r="B1800" s="10" t="s">
        <v>2568</v>
      </c>
      <c r="C1800" s="10" t="s">
        <v>246</v>
      </c>
      <c r="D1800" s="11"/>
      <c r="E1800" s="12"/>
      <c r="F1800" s="11" t="n">
        <v>0.00746793981481482</v>
      </c>
      <c r="G1800" s="12" t="n">
        <v>858</v>
      </c>
      <c r="H1800" s="11"/>
      <c r="I1800" s="12"/>
      <c r="J1800" s="12" t="n">
        <f aca="false">COUNT(E1800,G1800,I1800)</f>
        <v>1</v>
      </c>
      <c r="K1800" s="13" t="n">
        <f aca="false">MIN(E1800,G1800,I1800)</f>
        <v>858</v>
      </c>
      <c r="L1800" s="9" t="str">
        <f aca="false">IF(E1800=K1800,"5000m",IF(G1800=K1800,"3000mSC","1500m"))</f>
        <v>3000mSC</v>
      </c>
      <c r="M1800" s="14" t="n">
        <f aca="false">(D1800&lt;&gt;"")*(D1800&lt;=($E$3*60+$F$3)/86400)+(F1800&lt;&gt;"")*(F1800&lt;=($I$3*60+$J$3)/86400)+(H1800&lt;&gt;"")*(H1800&lt;=($M$3*60+$N$3)/86400)</f>
        <v>0</v>
      </c>
      <c r="N1800" s="16"/>
      <c r="O1800" s="15"/>
    </row>
    <row r="1801" customFormat="false" ht="25.35" hidden="false" customHeight="false" outlineLevel="0" collapsed="false">
      <c r="A1801" s="9" t="n">
        <v>1795</v>
      </c>
      <c r="B1801" s="10" t="s">
        <v>2569</v>
      </c>
      <c r="C1801" s="10" t="s">
        <v>630</v>
      </c>
      <c r="D1801" s="11"/>
      <c r="E1801" s="12"/>
      <c r="F1801" s="11" t="n">
        <v>0.00746956018518519</v>
      </c>
      <c r="G1801" s="12" t="n">
        <v>859</v>
      </c>
      <c r="H1801" s="11"/>
      <c r="I1801" s="12"/>
      <c r="J1801" s="12" t="n">
        <f aca="false">COUNT(E1801,G1801,I1801)</f>
        <v>1</v>
      </c>
      <c r="K1801" s="13" t="n">
        <f aca="false">MIN(E1801,G1801,I1801)</f>
        <v>859</v>
      </c>
      <c r="L1801" s="9" t="str">
        <f aca="false">IF(E1801=K1801,"5000m",IF(G1801=K1801,"3000mSC","1500m"))</f>
        <v>3000mSC</v>
      </c>
      <c r="M1801" s="14" t="n">
        <f aca="false">(D1801&lt;&gt;"")*(D1801&lt;=($E$3*60+$F$3)/86400)+(F1801&lt;&gt;"")*(F1801&lt;=($I$3*60+$J$3)/86400)+(H1801&lt;&gt;"")*(H1801&lt;=($M$3*60+$N$3)/86400)</f>
        <v>0</v>
      </c>
      <c r="N1801" s="16"/>
      <c r="O1801" s="15"/>
    </row>
    <row r="1802" customFormat="false" ht="25.35" hidden="false" customHeight="false" outlineLevel="0" collapsed="false">
      <c r="A1802" s="9" t="n">
        <v>1796</v>
      </c>
      <c r="B1802" s="10" t="s">
        <v>2570</v>
      </c>
      <c r="C1802" s="10" t="s">
        <v>969</v>
      </c>
      <c r="D1802" s="11"/>
      <c r="E1802" s="12"/>
      <c r="F1802" s="11" t="n">
        <v>0.00747141203703704</v>
      </c>
      <c r="G1802" s="12" t="n">
        <v>860</v>
      </c>
      <c r="H1802" s="11" t="n">
        <v>0.00292881944444444</v>
      </c>
      <c r="I1802" s="12" t="n">
        <v>1170</v>
      </c>
      <c r="J1802" s="12" t="n">
        <f aca="false">COUNT(E1802,G1802,I1802)</f>
        <v>2</v>
      </c>
      <c r="K1802" s="13" t="n">
        <f aca="false">MIN(E1802,G1802,I1802)</f>
        <v>860</v>
      </c>
      <c r="L1802" s="9" t="str">
        <f aca="false">IF(E1802=K1802,"5000m",IF(G1802=K1802,"3000mSC","1500m"))</f>
        <v>3000mSC</v>
      </c>
      <c r="M1802" s="14" t="n">
        <f aca="false">(D1802&lt;&gt;"")*(D1802&lt;=($E$3*60+$F$3)/86400)+(F1802&lt;&gt;"")*(F1802&lt;=($I$3*60+$J$3)/86400)+(H1802&lt;&gt;"")*(H1802&lt;=($M$3*60+$N$3)/86400)</f>
        <v>0</v>
      </c>
      <c r="N1802" s="16"/>
      <c r="O1802" s="15"/>
    </row>
    <row r="1803" customFormat="false" ht="15" hidden="false" customHeight="false" outlineLevel="0" collapsed="false">
      <c r="A1803" s="9" t="n">
        <v>1797</v>
      </c>
      <c r="B1803" s="10" t="s">
        <v>2571</v>
      </c>
      <c r="C1803" s="10" t="s">
        <v>486</v>
      </c>
      <c r="D1803" s="11"/>
      <c r="E1803" s="12"/>
      <c r="F1803" s="11"/>
      <c r="G1803" s="12"/>
      <c r="H1803" s="11" t="n">
        <v>0.00288946759259259</v>
      </c>
      <c r="I1803" s="12" t="n">
        <v>860</v>
      </c>
      <c r="J1803" s="12" t="n">
        <f aca="false">COUNT(E1803,G1803,I1803)</f>
        <v>1</v>
      </c>
      <c r="K1803" s="13" t="n">
        <f aca="false">MIN(E1803,G1803,I1803)</f>
        <v>860</v>
      </c>
      <c r="L1803" s="9" t="str">
        <f aca="false">IF(E1803=K1803,"5000m",IF(G1803=K1803,"3000mSC","1500m"))</f>
        <v>1500m</v>
      </c>
      <c r="M1803" s="14" t="n">
        <f aca="false">(D1803&lt;&gt;"")*(D1803&lt;=($E$3*60+$F$3)/86400)+(F1803&lt;&gt;"")*(F1803&lt;=($I$3*60+$J$3)/86400)+(H1803&lt;&gt;"")*(H1803&lt;=($M$3*60+$N$3)/86400)</f>
        <v>0</v>
      </c>
      <c r="N1803" s="16"/>
      <c r="O1803" s="15"/>
    </row>
    <row r="1804" customFormat="false" ht="15" hidden="false" customHeight="false" outlineLevel="0" collapsed="false">
      <c r="A1804" s="9" t="n">
        <v>1798</v>
      </c>
      <c r="B1804" s="10" t="s">
        <v>2572</v>
      </c>
      <c r="C1804" s="10" t="s">
        <v>1436</v>
      </c>
      <c r="D1804" s="11" t="n">
        <v>0.0108646990740741</v>
      </c>
      <c r="E1804" s="12" t="n">
        <v>861</v>
      </c>
      <c r="F1804" s="11"/>
      <c r="G1804" s="12"/>
      <c r="H1804" s="11"/>
      <c r="I1804" s="12"/>
      <c r="J1804" s="12" t="n">
        <f aca="false">COUNT(E1804,G1804,I1804)</f>
        <v>1</v>
      </c>
      <c r="K1804" s="13" t="n">
        <f aca="false">MIN(E1804,G1804,I1804)</f>
        <v>861</v>
      </c>
      <c r="L1804" s="9" t="str">
        <f aca="false">IF(E1804=K1804,"5000m",IF(G1804=K1804,"3000mSC","1500m"))</f>
        <v>5000m</v>
      </c>
      <c r="M1804" s="14" t="n">
        <f aca="false">(D1804&lt;&gt;"")*(D1804&lt;=($E$3*60+$F$3)/86400)+(F1804&lt;&gt;"")*(F1804&lt;=($I$3*60+$J$3)/86400)+(H1804&lt;&gt;"")*(H1804&lt;=($M$3*60+$N$3)/86400)</f>
        <v>0</v>
      </c>
      <c r="N1804" s="16"/>
      <c r="O1804" s="15"/>
    </row>
    <row r="1805" customFormat="false" ht="25.35" hidden="false" customHeight="false" outlineLevel="0" collapsed="false">
      <c r="A1805" s="9" t="n">
        <v>1799</v>
      </c>
      <c r="B1805" s="10" t="s">
        <v>2573</v>
      </c>
      <c r="C1805" s="10" t="s">
        <v>2398</v>
      </c>
      <c r="D1805" s="11"/>
      <c r="E1805" s="12"/>
      <c r="F1805" s="11" t="n">
        <v>0.00747418981481482</v>
      </c>
      <c r="G1805" s="12" t="n">
        <v>861</v>
      </c>
      <c r="H1805" s="11"/>
      <c r="I1805" s="12"/>
      <c r="J1805" s="12" t="n">
        <f aca="false">COUNT(E1805,G1805,I1805)</f>
        <v>1</v>
      </c>
      <c r="K1805" s="13" t="n">
        <f aca="false">MIN(E1805,G1805,I1805)</f>
        <v>861</v>
      </c>
      <c r="L1805" s="9" t="str">
        <f aca="false">IF(E1805=K1805,"5000m",IF(G1805=K1805,"3000mSC","1500m"))</f>
        <v>3000mSC</v>
      </c>
      <c r="M1805" s="14" t="n">
        <f aca="false">(D1805&lt;&gt;"")*(D1805&lt;=($E$3*60+$F$3)/86400)+(F1805&lt;&gt;"")*(F1805&lt;=($I$3*60+$J$3)/86400)+(H1805&lt;&gt;"")*(H1805&lt;=($M$3*60+$N$3)/86400)</f>
        <v>0</v>
      </c>
      <c r="N1805" s="16"/>
      <c r="O1805" s="15"/>
    </row>
    <row r="1806" customFormat="false" ht="15" hidden="false" customHeight="false" outlineLevel="0" collapsed="false">
      <c r="A1806" s="9" t="n">
        <v>1800</v>
      </c>
      <c r="B1806" s="10" t="s">
        <v>2574</v>
      </c>
      <c r="C1806" s="10" t="s">
        <v>685</v>
      </c>
      <c r="D1806" s="11"/>
      <c r="E1806" s="12"/>
      <c r="F1806" s="11"/>
      <c r="G1806" s="12"/>
      <c r="H1806" s="11" t="n">
        <v>0.00288958333333333</v>
      </c>
      <c r="I1806" s="12" t="n">
        <v>861</v>
      </c>
      <c r="J1806" s="12" t="n">
        <f aca="false">COUNT(E1806,G1806,I1806)</f>
        <v>1</v>
      </c>
      <c r="K1806" s="13" t="n">
        <f aca="false">MIN(E1806,G1806,I1806)</f>
        <v>861</v>
      </c>
      <c r="L1806" s="9" t="str">
        <f aca="false">IF(E1806=K1806,"5000m",IF(G1806=K1806,"3000mSC","1500m"))</f>
        <v>1500m</v>
      </c>
      <c r="M1806" s="14" t="n">
        <f aca="false">(D1806&lt;&gt;"")*(D1806&lt;=($E$3*60+$F$3)/86400)+(F1806&lt;&gt;"")*(F1806&lt;=($I$3*60+$J$3)/86400)+(H1806&lt;&gt;"")*(H1806&lt;=($M$3*60+$N$3)/86400)</f>
        <v>0</v>
      </c>
      <c r="N1806" s="16"/>
      <c r="O1806" s="15"/>
    </row>
    <row r="1807" customFormat="false" ht="15" hidden="false" customHeight="false" outlineLevel="0" collapsed="false">
      <c r="A1807" s="9" t="n">
        <v>1801</v>
      </c>
      <c r="B1807" s="10" t="s">
        <v>2575</v>
      </c>
      <c r="C1807" s="10" t="s">
        <v>118</v>
      </c>
      <c r="D1807" s="11" t="n">
        <v>0.0108652777777778</v>
      </c>
      <c r="E1807" s="12" t="n">
        <v>862</v>
      </c>
      <c r="F1807" s="11"/>
      <c r="G1807" s="12"/>
      <c r="H1807" s="11"/>
      <c r="I1807" s="12"/>
      <c r="J1807" s="12" t="n">
        <f aca="false">COUNT(E1807,G1807,I1807)</f>
        <v>1</v>
      </c>
      <c r="K1807" s="13" t="n">
        <f aca="false">MIN(E1807,G1807,I1807)</f>
        <v>862</v>
      </c>
      <c r="L1807" s="9" t="str">
        <f aca="false">IF(E1807=K1807,"5000m",IF(G1807=K1807,"3000mSC","1500m"))</f>
        <v>5000m</v>
      </c>
      <c r="M1807" s="14" t="n">
        <f aca="false">(D1807&lt;&gt;"")*(D1807&lt;=($E$3*60+$F$3)/86400)+(F1807&lt;&gt;"")*(F1807&lt;=($I$3*60+$J$3)/86400)+(H1807&lt;&gt;"")*(H1807&lt;=($M$3*60+$N$3)/86400)</f>
        <v>0</v>
      </c>
      <c r="N1807" s="16"/>
      <c r="O1807" s="15"/>
    </row>
    <row r="1808" customFormat="false" ht="25.35" hidden="false" customHeight="false" outlineLevel="0" collapsed="false">
      <c r="A1808" s="9" t="n">
        <v>1802</v>
      </c>
      <c r="B1808" s="10" t="s">
        <v>2576</v>
      </c>
      <c r="C1808" s="10" t="s">
        <v>2577</v>
      </c>
      <c r="D1808" s="11"/>
      <c r="E1808" s="12"/>
      <c r="F1808" s="11" t="n">
        <v>0.0074744212962963</v>
      </c>
      <c r="G1808" s="12" t="n">
        <v>862</v>
      </c>
      <c r="H1808" s="11"/>
      <c r="I1808" s="12"/>
      <c r="J1808" s="12" t="n">
        <f aca="false">COUNT(E1808,G1808,I1808)</f>
        <v>1</v>
      </c>
      <c r="K1808" s="13" t="n">
        <f aca="false">MIN(E1808,G1808,I1808)</f>
        <v>862</v>
      </c>
      <c r="L1808" s="9" t="str">
        <f aca="false">IF(E1808=K1808,"5000m",IF(G1808=K1808,"3000mSC","1500m"))</f>
        <v>3000mSC</v>
      </c>
      <c r="M1808" s="14" t="n">
        <f aca="false">(D1808&lt;&gt;"")*(D1808&lt;=($E$3*60+$F$3)/86400)+(F1808&lt;&gt;"")*(F1808&lt;=($I$3*60+$J$3)/86400)+(H1808&lt;&gt;"")*(H1808&lt;=($M$3*60+$N$3)/86400)</f>
        <v>0</v>
      </c>
      <c r="N1808" s="16"/>
      <c r="O1808" s="15"/>
    </row>
    <row r="1809" customFormat="false" ht="25.35" hidden="false" customHeight="false" outlineLevel="0" collapsed="false">
      <c r="A1809" s="9" t="n">
        <v>1803</v>
      </c>
      <c r="B1809" s="10" t="s">
        <v>2578</v>
      </c>
      <c r="C1809" s="10" t="s">
        <v>309</v>
      </c>
      <c r="D1809" s="11"/>
      <c r="E1809" s="12"/>
      <c r="F1809" s="11" t="n">
        <v>0.00747476851851852</v>
      </c>
      <c r="G1809" s="12" t="n">
        <v>863</v>
      </c>
      <c r="H1809" s="11"/>
      <c r="I1809" s="12"/>
      <c r="J1809" s="12" t="n">
        <f aca="false">COUNT(E1809,G1809,I1809)</f>
        <v>1</v>
      </c>
      <c r="K1809" s="13" t="n">
        <f aca="false">MIN(E1809,G1809,I1809)</f>
        <v>863</v>
      </c>
      <c r="L1809" s="9" t="str">
        <f aca="false">IF(E1809=K1809,"5000m",IF(G1809=K1809,"3000mSC","1500m"))</f>
        <v>3000mSC</v>
      </c>
      <c r="M1809" s="14" t="n">
        <f aca="false">(D1809&lt;&gt;"")*(D1809&lt;=($E$3*60+$F$3)/86400)+(F1809&lt;&gt;"")*(F1809&lt;=($I$3*60+$J$3)/86400)+(H1809&lt;&gt;"")*(H1809&lt;=($M$3*60+$N$3)/86400)</f>
        <v>0</v>
      </c>
      <c r="N1809" s="16"/>
      <c r="O1809" s="15"/>
    </row>
    <row r="1810" customFormat="false" ht="15" hidden="false" customHeight="false" outlineLevel="0" collapsed="false">
      <c r="A1810" s="9" t="n">
        <v>1804</v>
      </c>
      <c r="B1810" s="10" t="s">
        <v>2579</v>
      </c>
      <c r="C1810" s="10" t="s">
        <v>502</v>
      </c>
      <c r="D1810" s="11"/>
      <c r="E1810" s="12"/>
      <c r="F1810" s="11"/>
      <c r="G1810" s="12"/>
      <c r="H1810" s="11" t="n">
        <v>0.00288981481481482</v>
      </c>
      <c r="I1810" s="12" t="n">
        <v>863</v>
      </c>
      <c r="J1810" s="12" t="n">
        <f aca="false">COUNT(E1810,G1810,I1810)</f>
        <v>1</v>
      </c>
      <c r="K1810" s="13" t="n">
        <f aca="false">MIN(E1810,G1810,I1810)</f>
        <v>863</v>
      </c>
      <c r="L1810" s="9" t="str">
        <f aca="false">IF(E1810=K1810,"5000m",IF(G1810=K1810,"3000mSC","1500m"))</f>
        <v>1500m</v>
      </c>
      <c r="M1810" s="14" t="n">
        <f aca="false">(D1810&lt;&gt;"")*(D1810&lt;=($E$3*60+$F$3)/86400)+(F1810&lt;&gt;"")*(F1810&lt;=($I$3*60+$J$3)/86400)+(H1810&lt;&gt;"")*(H1810&lt;=($M$3*60+$N$3)/86400)</f>
        <v>0</v>
      </c>
      <c r="N1810" s="16"/>
      <c r="O1810" s="15"/>
    </row>
    <row r="1811" customFormat="false" ht="15" hidden="false" customHeight="false" outlineLevel="0" collapsed="false">
      <c r="A1811" s="9" t="n">
        <v>1805</v>
      </c>
      <c r="B1811" s="10" t="s">
        <v>2580</v>
      </c>
      <c r="C1811" s="10" t="s">
        <v>53</v>
      </c>
      <c r="D1811" s="11" t="n">
        <v>0.0108673611111111</v>
      </c>
      <c r="E1811" s="12" t="n">
        <v>864</v>
      </c>
      <c r="F1811" s="11"/>
      <c r="G1811" s="12"/>
      <c r="H1811" s="11"/>
      <c r="I1811" s="12"/>
      <c r="J1811" s="12" t="n">
        <f aca="false">COUNT(E1811,G1811,I1811)</f>
        <v>1</v>
      </c>
      <c r="K1811" s="13" t="n">
        <f aca="false">MIN(E1811,G1811,I1811)</f>
        <v>864</v>
      </c>
      <c r="L1811" s="9" t="str">
        <f aca="false">IF(E1811=K1811,"5000m",IF(G1811=K1811,"3000mSC","1500m"))</f>
        <v>5000m</v>
      </c>
      <c r="M1811" s="14" t="n">
        <f aca="false">(D1811&lt;&gt;"")*(D1811&lt;=($E$3*60+$F$3)/86400)+(F1811&lt;&gt;"")*(F1811&lt;=($I$3*60+$J$3)/86400)+(H1811&lt;&gt;"")*(H1811&lt;=($M$3*60+$N$3)/86400)</f>
        <v>0</v>
      </c>
      <c r="N1811" s="16"/>
      <c r="O1811" s="15"/>
    </row>
    <row r="1812" customFormat="false" ht="25.35" hidden="false" customHeight="false" outlineLevel="0" collapsed="false">
      <c r="A1812" s="9" t="n">
        <v>1806</v>
      </c>
      <c r="B1812" s="10" t="s">
        <v>2581</v>
      </c>
      <c r="C1812" s="10" t="s">
        <v>674</v>
      </c>
      <c r="D1812" s="11"/>
      <c r="E1812" s="12"/>
      <c r="F1812" s="11" t="n">
        <v>0.007475</v>
      </c>
      <c r="G1812" s="12" t="n">
        <v>864</v>
      </c>
      <c r="H1812" s="11"/>
      <c r="I1812" s="12"/>
      <c r="J1812" s="12" t="n">
        <f aca="false">COUNT(E1812,G1812,I1812)</f>
        <v>1</v>
      </c>
      <c r="K1812" s="13" t="n">
        <f aca="false">MIN(E1812,G1812,I1812)</f>
        <v>864</v>
      </c>
      <c r="L1812" s="9" t="str">
        <f aca="false">IF(E1812=K1812,"5000m",IF(G1812=K1812,"3000mSC","1500m"))</f>
        <v>3000mSC</v>
      </c>
      <c r="M1812" s="14" t="n">
        <f aca="false">(D1812&lt;&gt;"")*(D1812&lt;=($E$3*60+$F$3)/86400)+(F1812&lt;&gt;"")*(F1812&lt;=($I$3*60+$J$3)/86400)+(H1812&lt;&gt;"")*(H1812&lt;=($M$3*60+$N$3)/86400)</f>
        <v>0</v>
      </c>
      <c r="N1812" s="16"/>
      <c r="O1812" s="15"/>
    </row>
    <row r="1813" customFormat="false" ht="15" hidden="false" customHeight="false" outlineLevel="0" collapsed="false">
      <c r="A1813" s="9" t="n">
        <v>1807</v>
      </c>
      <c r="B1813" s="10" t="s">
        <v>2582</v>
      </c>
      <c r="C1813" s="10" t="s">
        <v>49</v>
      </c>
      <c r="D1813" s="11" t="n">
        <v>0.0108675925925926</v>
      </c>
      <c r="E1813" s="12" t="n">
        <v>865</v>
      </c>
      <c r="F1813" s="11"/>
      <c r="G1813" s="12"/>
      <c r="H1813" s="11" t="n">
        <v>0.00290486111111111</v>
      </c>
      <c r="I1813" s="12" t="n">
        <v>982</v>
      </c>
      <c r="J1813" s="12" t="n">
        <f aca="false">COUNT(E1813,G1813,I1813)</f>
        <v>2</v>
      </c>
      <c r="K1813" s="13" t="n">
        <f aca="false">MIN(E1813,G1813,I1813)</f>
        <v>865</v>
      </c>
      <c r="L1813" s="9" t="str">
        <f aca="false">IF(E1813=K1813,"5000m",IF(G1813=K1813,"3000mSC","1500m"))</f>
        <v>5000m</v>
      </c>
      <c r="M1813" s="14" t="n">
        <f aca="false">(D1813&lt;&gt;"")*(D1813&lt;=($E$3*60+$F$3)/86400)+(F1813&lt;&gt;"")*(F1813&lt;=($I$3*60+$J$3)/86400)+(H1813&lt;&gt;"")*(H1813&lt;=($M$3*60+$N$3)/86400)</f>
        <v>0</v>
      </c>
      <c r="N1813" s="16"/>
      <c r="O1813" s="15"/>
    </row>
    <row r="1814" customFormat="false" ht="25.35" hidden="false" customHeight="false" outlineLevel="0" collapsed="false">
      <c r="A1814" s="9" t="n">
        <v>1808</v>
      </c>
      <c r="B1814" s="10" t="s">
        <v>2583</v>
      </c>
      <c r="C1814" s="10" t="s">
        <v>906</v>
      </c>
      <c r="D1814" s="11"/>
      <c r="E1814" s="12"/>
      <c r="F1814" s="11" t="n">
        <v>0.00747627314814815</v>
      </c>
      <c r="G1814" s="12" t="n">
        <v>865</v>
      </c>
      <c r="H1814" s="11"/>
      <c r="I1814" s="12"/>
      <c r="J1814" s="12" t="n">
        <f aca="false">COUNT(E1814,G1814,I1814)</f>
        <v>1</v>
      </c>
      <c r="K1814" s="13" t="n">
        <f aca="false">MIN(E1814,G1814,I1814)</f>
        <v>865</v>
      </c>
      <c r="L1814" s="9" t="str">
        <f aca="false">IF(E1814=K1814,"5000m",IF(G1814=K1814,"3000mSC","1500m"))</f>
        <v>3000mSC</v>
      </c>
      <c r="M1814" s="14" t="n">
        <f aca="false">(D1814&lt;&gt;"")*(D1814&lt;=($E$3*60+$F$3)/86400)+(F1814&lt;&gt;"")*(F1814&lt;=($I$3*60+$J$3)/86400)+(H1814&lt;&gt;"")*(H1814&lt;=($M$3*60+$N$3)/86400)</f>
        <v>0</v>
      </c>
      <c r="N1814" s="16"/>
      <c r="O1814" s="15"/>
    </row>
    <row r="1815" customFormat="false" ht="15" hidden="false" customHeight="false" outlineLevel="0" collapsed="false">
      <c r="A1815" s="9" t="n">
        <v>1809</v>
      </c>
      <c r="B1815" s="10" t="s">
        <v>2584</v>
      </c>
      <c r="C1815" s="10" t="s">
        <v>387</v>
      </c>
      <c r="D1815" s="11"/>
      <c r="E1815" s="12"/>
      <c r="F1815" s="11"/>
      <c r="G1815" s="12"/>
      <c r="H1815" s="11" t="n">
        <v>0.00288993055555556</v>
      </c>
      <c r="I1815" s="12" t="n">
        <v>865</v>
      </c>
      <c r="J1815" s="12" t="n">
        <f aca="false">COUNT(E1815,G1815,I1815)</f>
        <v>1</v>
      </c>
      <c r="K1815" s="13" t="n">
        <f aca="false">MIN(E1815,G1815,I1815)</f>
        <v>865</v>
      </c>
      <c r="L1815" s="9" t="str">
        <f aca="false">IF(E1815=K1815,"5000m",IF(G1815=K1815,"3000mSC","1500m"))</f>
        <v>1500m</v>
      </c>
      <c r="M1815" s="14" t="n">
        <f aca="false">(D1815&lt;&gt;"")*(D1815&lt;=($E$3*60+$F$3)/86400)+(F1815&lt;&gt;"")*(F1815&lt;=($I$3*60+$J$3)/86400)+(H1815&lt;&gt;"")*(H1815&lt;=($M$3*60+$N$3)/86400)</f>
        <v>0</v>
      </c>
      <c r="N1815" s="16"/>
      <c r="O1815" s="15"/>
    </row>
    <row r="1816" customFormat="false" ht="25.35" hidden="false" customHeight="false" outlineLevel="0" collapsed="false">
      <c r="A1816" s="9" t="n">
        <v>1810</v>
      </c>
      <c r="B1816" s="10" t="s">
        <v>2585</v>
      </c>
      <c r="C1816" s="10" t="s">
        <v>2586</v>
      </c>
      <c r="D1816" s="11"/>
      <c r="E1816" s="12"/>
      <c r="F1816" s="11" t="n">
        <v>0.00747708333333333</v>
      </c>
      <c r="G1816" s="12" t="n">
        <v>866</v>
      </c>
      <c r="H1816" s="11"/>
      <c r="I1816" s="12"/>
      <c r="J1816" s="12" t="n">
        <f aca="false">COUNT(E1816,G1816,I1816)</f>
        <v>1</v>
      </c>
      <c r="K1816" s="13" t="n">
        <f aca="false">MIN(E1816,G1816,I1816)</f>
        <v>866</v>
      </c>
      <c r="L1816" s="9" t="str">
        <f aca="false">IF(E1816=K1816,"5000m",IF(G1816=K1816,"3000mSC","1500m"))</f>
        <v>3000mSC</v>
      </c>
      <c r="M1816" s="14" t="n">
        <f aca="false">(D1816&lt;&gt;"")*(D1816&lt;=($E$3*60+$F$3)/86400)+(F1816&lt;&gt;"")*(F1816&lt;=($I$3*60+$J$3)/86400)+(H1816&lt;&gt;"")*(H1816&lt;=($M$3*60+$N$3)/86400)</f>
        <v>0</v>
      </c>
      <c r="N1816" s="16"/>
      <c r="O1816" s="15"/>
    </row>
    <row r="1817" customFormat="false" ht="25.35" hidden="false" customHeight="false" outlineLevel="0" collapsed="false">
      <c r="A1817" s="9" t="n">
        <v>1811</v>
      </c>
      <c r="B1817" s="10" t="s">
        <v>2587</v>
      </c>
      <c r="C1817" s="10" t="s">
        <v>2483</v>
      </c>
      <c r="D1817" s="11"/>
      <c r="E1817" s="12"/>
      <c r="F1817" s="11" t="n">
        <v>0.00747708333333333</v>
      </c>
      <c r="G1817" s="12" t="n">
        <v>867</v>
      </c>
      <c r="H1817" s="11"/>
      <c r="I1817" s="12"/>
      <c r="J1817" s="12" t="n">
        <f aca="false">COUNT(E1817,G1817,I1817)</f>
        <v>1</v>
      </c>
      <c r="K1817" s="13" t="n">
        <f aca="false">MIN(E1817,G1817,I1817)</f>
        <v>867</v>
      </c>
      <c r="L1817" s="9" t="str">
        <f aca="false">IF(E1817=K1817,"5000m",IF(G1817=K1817,"3000mSC","1500m"))</f>
        <v>3000mSC</v>
      </c>
      <c r="M1817" s="14" t="n">
        <f aca="false">(D1817&lt;&gt;"")*(D1817&lt;=($E$3*60+$F$3)/86400)+(F1817&lt;&gt;"")*(F1817&lt;=($I$3*60+$J$3)/86400)+(H1817&lt;&gt;"")*(H1817&lt;=($M$3*60+$N$3)/86400)</f>
        <v>0</v>
      </c>
      <c r="N1817" s="16"/>
      <c r="O1817" s="15"/>
    </row>
    <row r="1818" customFormat="false" ht="15" hidden="false" customHeight="false" outlineLevel="0" collapsed="false">
      <c r="A1818" s="9" t="n">
        <v>1812</v>
      </c>
      <c r="B1818" s="10" t="s">
        <v>2588</v>
      </c>
      <c r="C1818" s="10" t="s">
        <v>1777</v>
      </c>
      <c r="D1818" s="11"/>
      <c r="E1818" s="12"/>
      <c r="F1818" s="11"/>
      <c r="G1818" s="12"/>
      <c r="H1818" s="11" t="n">
        <v>0.00289016203703704</v>
      </c>
      <c r="I1818" s="12" t="n">
        <v>867</v>
      </c>
      <c r="J1818" s="12" t="n">
        <f aca="false">COUNT(E1818,G1818,I1818)</f>
        <v>1</v>
      </c>
      <c r="K1818" s="13" t="n">
        <f aca="false">MIN(E1818,G1818,I1818)</f>
        <v>867</v>
      </c>
      <c r="L1818" s="9" t="str">
        <f aca="false">IF(E1818=K1818,"5000m",IF(G1818=K1818,"3000mSC","1500m"))</f>
        <v>1500m</v>
      </c>
      <c r="M1818" s="14" t="n">
        <f aca="false">(D1818&lt;&gt;"")*(D1818&lt;=($E$3*60+$F$3)/86400)+(F1818&lt;&gt;"")*(F1818&lt;=($I$3*60+$J$3)/86400)+(H1818&lt;&gt;"")*(H1818&lt;=($M$3*60+$N$3)/86400)</f>
        <v>0</v>
      </c>
      <c r="N1818" s="16"/>
      <c r="O1818" s="15"/>
    </row>
    <row r="1819" customFormat="false" ht="25.35" hidden="false" customHeight="false" outlineLevel="0" collapsed="false">
      <c r="A1819" s="9" t="n">
        <v>1813</v>
      </c>
      <c r="B1819" s="10" t="s">
        <v>2589</v>
      </c>
      <c r="C1819" s="10" t="s">
        <v>2590</v>
      </c>
      <c r="D1819" s="11"/>
      <c r="E1819" s="12"/>
      <c r="F1819" s="11" t="n">
        <v>0.0074775462962963</v>
      </c>
      <c r="G1819" s="12" t="n">
        <v>868</v>
      </c>
      <c r="H1819" s="11"/>
      <c r="I1819" s="12"/>
      <c r="J1819" s="12" t="n">
        <f aca="false">COUNT(E1819,G1819,I1819)</f>
        <v>1</v>
      </c>
      <c r="K1819" s="13" t="n">
        <f aca="false">MIN(E1819,G1819,I1819)</f>
        <v>868</v>
      </c>
      <c r="L1819" s="9" t="str">
        <f aca="false">IF(E1819=K1819,"5000m",IF(G1819=K1819,"3000mSC","1500m"))</f>
        <v>3000mSC</v>
      </c>
      <c r="M1819" s="14" t="n">
        <f aca="false">(D1819&lt;&gt;"")*(D1819&lt;=($E$3*60+$F$3)/86400)+(F1819&lt;&gt;"")*(F1819&lt;=($I$3*60+$J$3)/86400)+(H1819&lt;&gt;"")*(H1819&lt;=($M$3*60+$N$3)/86400)</f>
        <v>0</v>
      </c>
      <c r="N1819" s="16"/>
      <c r="O1819" s="15"/>
    </row>
    <row r="1820" customFormat="false" ht="15" hidden="false" customHeight="false" outlineLevel="0" collapsed="false">
      <c r="A1820" s="9" t="n">
        <v>1814</v>
      </c>
      <c r="B1820" s="10" t="s">
        <v>2591</v>
      </c>
      <c r="C1820" s="10" t="s">
        <v>2592</v>
      </c>
      <c r="D1820" s="11"/>
      <c r="E1820" s="12"/>
      <c r="F1820" s="11"/>
      <c r="G1820" s="12"/>
      <c r="H1820" s="11" t="n">
        <v>0.00289027777777778</v>
      </c>
      <c r="I1820" s="12" t="n">
        <v>869</v>
      </c>
      <c r="J1820" s="12" t="n">
        <f aca="false">COUNT(E1820,G1820,I1820)</f>
        <v>1</v>
      </c>
      <c r="K1820" s="13" t="n">
        <f aca="false">MIN(E1820,G1820,I1820)</f>
        <v>869</v>
      </c>
      <c r="L1820" s="9" t="str">
        <f aca="false">IF(E1820=K1820,"5000m",IF(G1820=K1820,"3000mSC","1500m"))</f>
        <v>1500m</v>
      </c>
      <c r="M1820" s="14" t="n">
        <f aca="false">(D1820&lt;&gt;"")*(D1820&lt;=($E$3*60+$F$3)/86400)+(F1820&lt;&gt;"")*(F1820&lt;=($I$3*60+$J$3)/86400)+(H1820&lt;&gt;"")*(H1820&lt;=($M$3*60+$N$3)/86400)</f>
        <v>0</v>
      </c>
      <c r="N1820" s="16"/>
      <c r="O1820" s="15"/>
    </row>
    <row r="1821" customFormat="false" ht="15" hidden="false" customHeight="false" outlineLevel="0" collapsed="false">
      <c r="A1821" s="9" t="n">
        <v>1815</v>
      </c>
      <c r="B1821" s="10" t="s">
        <v>2593</v>
      </c>
      <c r="C1821" s="10" t="s">
        <v>220</v>
      </c>
      <c r="D1821" s="11" t="n">
        <v>0.0108693287037037</v>
      </c>
      <c r="E1821" s="12" t="n">
        <v>870</v>
      </c>
      <c r="F1821" s="11"/>
      <c r="G1821" s="12"/>
      <c r="H1821" s="11" t="n">
        <v>0.00290625</v>
      </c>
      <c r="I1821" s="12" t="n">
        <v>991</v>
      </c>
      <c r="J1821" s="12" t="n">
        <f aca="false">COUNT(E1821,G1821,I1821)</f>
        <v>2</v>
      </c>
      <c r="K1821" s="13" t="n">
        <f aca="false">MIN(E1821,G1821,I1821)</f>
        <v>870</v>
      </c>
      <c r="L1821" s="9" t="str">
        <f aca="false">IF(E1821=K1821,"5000m",IF(G1821=K1821,"3000mSC","1500m"))</f>
        <v>5000m</v>
      </c>
      <c r="M1821" s="14" t="n">
        <f aca="false">(D1821&lt;&gt;"")*(D1821&lt;=($E$3*60+$F$3)/86400)+(F1821&lt;&gt;"")*(F1821&lt;=($I$3*60+$J$3)/86400)+(H1821&lt;&gt;"")*(H1821&lt;=($M$3*60+$N$3)/86400)</f>
        <v>0</v>
      </c>
      <c r="N1821" s="16"/>
      <c r="O1821" s="15"/>
    </row>
    <row r="1822" customFormat="false" ht="25.35" hidden="false" customHeight="false" outlineLevel="0" collapsed="false">
      <c r="A1822" s="9" t="n">
        <v>1816</v>
      </c>
      <c r="B1822" s="10" t="s">
        <v>2594</v>
      </c>
      <c r="C1822" s="10" t="s">
        <v>2595</v>
      </c>
      <c r="D1822" s="11"/>
      <c r="E1822" s="12"/>
      <c r="F1822" s="11" t="n">
        <v>0.00748043981481481</v>
      </c>
      <c r="G1822" s="12" t="n">
        <v>870</v>
      </c>
      <c r="H1822" s="11"/>
      <c r="I1822" s="12"/>
      <c r="J1822" s="12" t="n">
        <f aca="false">COUNT(E1822,G1822,I1822)</f>
        <v>1</v>
      </c>
      <c r="K1822" s="13" t="n">
        <f aca="false">MIN(E1822,G1822,I1822)</f>
        <v>870</v>
      </c>
      <c r="L1822" s="9" t="str">
        <f aca="false">IF(E1822=K1822,"5000m",IF(G1822=K1822,"3000mSC","1500m"))</f>
        <v>3000mSC</v>
      </c>
      <c r="M1822" s="14" t="n">
        <f aca="false">(D1822&lt;&gt;"")*(D1822&lt;=($E$3*60+$F$3)/86400)+(F1822&lt;&gt;"")*(F1822&lt;=($I$3*60+$J$3)/86400)+(H1822&lt;&gt;"")*(H1822&lt;=($M$3*60+$N$3)/86400)</f>
        <v>0</v>
      </c>
      <c r="N1822" s="16"/>
      <c r="O1822" s="15"/>
    </row>
    <row r="1823" customFormat="false" ht="15" hidden="false" customHeight="false" outlineLevel="0" collapsed="false">
      <c r="A1823" s="9" t="n">
        <v>1817</v>
      </c>
      <c r="B1823" s="10" t="s">
        <v>2596</v>
      </c>
      <c r="C1823" s="10" t="s">
        <v>685</v>
      </c>
      <c r="D1823" s="11"/>
      <c r="E1823" s="12"/>
      <c r="F1823" s="11"/>
      <c r="G1823" s="12"/>
      <c r="H1823" s="11" t="n">
        <v>0.00289039351851852</v>
      </c>
      <c r="I1823" s="12" t="n">
        <v>870</v>
      </c>
      <c r="J1823" s="12" t="n">
        <f aca="false">COUNT(E1823,G1823,I1823)</f>
        <v>1</v>
      </c>
      <c r="K1823" s="13" t="n">
        <f aca="false">MIN(E1823,G1823,I1823)</f>
        <v>870</v>
      </c>
      <c r="L1823" s="9" t="str">
        <f aca="false">IF(E1823=K1823,"5000m",IF(G1823=K1823,"3000mSC","1500m"))</f>
        <v>1500m</v>
      </c>
      <c r="M1823" s="14" t="n">
        <f aca="false">(D1823&lt;&gt;"")*(D1823&lt;=($E$3*60+$F$3)/86400)+(F1823&lt;&gt;"")*(F1823&lt;=($I$3*60+$J$3)/86400)+(H1823&lt;&gt;"")*(H1823&lt;=($M$3*60+$N$3)/86400)</f>
        <v>0</v>
      </c>
      <c r="N1823" s="16"/>
      <c r="O1823" s="15"/>
    </row>
    <row r="1824" customFormat="false" ht="25.35" hidden="false" customHeight="false" outlineLevel="0" collapsed="false">
      <c r="A1824" s="9" t="n">
        <v>1818</v>
      </c>
      <c r="B1824" s="10" t="s">
        <v>2597</v>
      </c>
      <c r="C1824" s="10" t="s">
        <v>2598</v>
      </c>
      <c r="D1824" s="11"/>
      <c r="E1824" s="12"/>
      <c r="F1824" s="11" t="n">
        <v>0.00748101851851852</v>
      </c>
      <c r="G1824" s="12" t="n">
        <v>871</v>
      </c>
      <c r="H1824" s="11"/>
      <c r="I1824" s="12"/>
      <c r="J1824" s="12" t="n">
        <f aca="false">COUNT(E1824,G1824,I1824)</f>
        <v>1</v>
      </c>
      <c r="K1824" s="13" t="n">
        <f aca="false">MIN(E1824,G1824,I1824)</f>
        <v>871</v>
      </c>
      <c r="L1824" s="9" t="str">
        <f aca="false">IF(E1824=K1824,"5000m",IF(G1824=K1824,"3000mSC","1500m"))</f>
        <v>3000mSC</v>
      </c>
      <c r="M1824" s="14" t="n">
        <f aca="false">(D1824&lt;&gt;"")*(D1824&lt;=($E$3*60+$F$3)/86400)+(F1824&lt;&gt;"")*(F1824&lt;=($I$3*60+$J$3)/86400)+(H1824&lt;&gt;"")*(H1824&lt;=($M$3*60+$N$3)/86400)</f>
        <v>0</v>
      </c>
      <c r="N1824" s="16"/>
      <c r="O1824" s="15"/>
    </row>
    <row r="1825" customFormat="false" ht="15" hidden="false" customHeight="false" outlineLevel="0" collapsed="false">
      <c r="A1825" s="9" t="n">
        <v>1819</v>
      </c>
      <c r="B1825" s="10" t="s">
        <v>2599</v>
      </c>
      <c r="C1825" s="10" t="s">
        <v>538</v>
      </c>
      <c r="D1825" s="11" t="n">
        <v>0.0108721064814815</v>
      </c>
      <c r="E1825" s="12" t="n">
        <v>872</v>
      </c>
      <c r="F1825" s="11"/>
      <c r="G1825" s="12"/>
      <c r="H1825" s="11"/>
      <c r="I1825" s="12"/>
      <c r="J1825" s="12" t="n">
        <f aca="false">COUNT(E1825,G1825,I1825)</f>
        <v>1</v>
      </c>
      <c r="K1825" s="13" t="n">
        <f aca="false">MIN(E1825,G1825,I1825)</f>
        <v>872</v>
      </c>
      <c r="L1825" s="9" t="str">
        <f aca="false">IF(E1825=K1825,"5000m",IF(G1825=K1825,"3000mSC","1500m"))</f>
        <v>5000m</v>
      </c>
      <c r="M1825" s="14" t="n">
        <f aca="false">(D1825&lt;&gt;"")*(D1825&lt;=($E$3*60+$F$3)/86400)+(F1825&lt;&gt;"")*(F1825&lt;=($I$3*60+$J$3)/86400)+(H1825&lt;&gt;"")*(H1825&lt;=($M$3*60+$N$3)/86400)</f>
        <v>0</v>
      </c>
      <c r="N1825" s="16"/>
      <c r="O1825" s="15"/>
    </row>
    <row r="1826" customFormat="false" ht="25.35" hidden="false" customHeight="false" outlineLevel="0" collapsed="false">
      <c r="A1826" s="9" t="n">
        <v>1820</v>
      </c>
      <c r="B1826" s="10" t="s">
        <v>2600</v>
      </c>
      <c r="C1826" s="10" t="s">
        <v>2601</v>
      </c>
      <c r="D1826" s="11"/>
      <c r="E1826" s="12"/>
      <c r="F1826" s="11" t="n">
        <v>0.00748101851851852</v>
      </c>
      <c r="G1826" s="12" t="n">
        <v>872</v>
      </c>
      <c r="H1826" s="11"/>
      <c r="I1826" s="12"/>
      <c r="J1826" s="12" t="n">
        <f aca="false">COUNT(E1826,G1826,I1826)</f>
        <v>1</v>
      </c>
      <c r="K1826" s="13" t="n">
        <f aca="false">MIN(E1826,G1826,I1826)</f>
        <v>872</v>
      </c>
      <c r="L1826" s="9" t="str">
        <f aca="false">IF(E1826=K1826,"5000m",IF(G1826=K1826,"3000mSC","1500m"))</f>
        <v>3000mSC</v>
      </c>
      <c r="M1826" s="14" t="n">
        <f aca="false">(D1826&lt;&gt;"")*(D1826&lt;=($E$3*60+$F$3)/86400)+(F1826&lt;&gt;"")*(F1826&lt;=($I$3*60+$J$3)/86400)+(H1826&lt;&gt;"")*(H1826&lt;=($M$3*60+$N$3)/86400)</f>
        <v>0</v>
      </c>
      <c r="N1826" s="16"/>
      <c r="O1826" s="15"/>
    </row>
    <row r="1827" customFormat="false" ht="25.35" hidden="false" customHeight="false" outlineLevel="0" collapsed="false">
      <c r="A1827" s="9" t="n">
        <v>1821</v>
      </c>
      <c r="B1827" s="10" t="s">
        <v>2602</v>
      </c>
      <c r="C1827" s="10" t="s">
        <v>2603</v>
      </c>
      <c r="D1827" s="11"/>
      <c r="E1827" s="12"/>
      <c r="F1827" s="11" t="n">
        <v>0.0074818287037037</v>
      </c>
      <c r="G1827" s="12" t="n">
        <v>873</v>
      </c>
      <c r="H1827" s="11"/>
      <c r="I1827" s="12"/>
      <c r="J1827" s="12" t="n">
        <f aca="false">COUNT(E1827,G1827,I1827)</f>
        <v>1</v>
      </c>
      <c r="K1827" s="13" t="n">
        <f aca="false">MIN(E1827,G1827,I1827)</f>
        <v>873</v>
      </c>
      <c r="L1827" s="9" t="str">
        <f aca="false">IF(E1827=K1827,"5000m",IF(G1827=K1827,"3000mSC","1500m"))</f>
        <v>3000mSC</v>
      </c>
      <c r="M1827" s="14" t="n">
        <f aca="false">(D1827&lt;&gt;"")*(D1827&lt;=($E$3*60+$F$3)/86400)+(F1827&lt;&gt;"")*(F1827&lt;=($I$3*60+$J$3)/86400)+(H1827&lt;&gt;"")*(H1827&lt;=($M$3*60+$N$3)/86400)</f>
        <v>0</v>
      </c>
      <c r="N1827" s="16"/>
      <c r="O1827" s="15"/>
    </row>
    <row r="1828" customFormat="false" ht="15" hidden="false" customHeight="false" outlineLevel="0" collapsed="false">
      <c r="A1828" s="9" t="n">
        <v>1822</v>
      </c>
      <c r="B1828" s="10" t="s">
        <v>2604</v>
      </c>
      <c r="C1828" s="10" t="s">
        <v>1280</v>
      </c>
      <c r="D1828" s="11"/>
      <c r="E1828" s="12"/>
      <c r="F1828" s="11"/>
      <c r="G1828" s="12"/>
      <c r="H1828" s="11" t="n">
        <v>0.00289085648148148</v>
      </c>
      <c r="I1828" s="12" t="n">
        <v>873</v>
      </c>
      <c r="J1828" s="12" t="n">
        <f aca="false">COUNT(E1828,G1828,I1828)</f>
        <v>1</v>
      </c>
      <c r="K1828" s="13" t="n">
        <f aca="false">MIN(E1828,G1828,I1828)</f>
        <v>873</v>
      </c>
      <c r="L1828" s="9" t="str">
        <f aca="false">IF(E1828=K1828,"5000m",IF(G1828=K1828,"3000mSC","1500m"))</f>
        <v>1500m</v>
      </c>
      <c r="M1828" s="14" t="n">
        <f aca="false">(D1828&lt;&gt;"")*(D1828&lt;=($E$3*60+$F$3)/86400)+(F1828&lt;&gt;"")*(F1828&lt;=($I$3*60+$J$3)/86400)+(H1828&lt;&gt;"")*(H1828&lt;=($M$3*60+$N$3)/86400)</f>
        <v>0</v>
      </c>
      <c r="N1828" s="16"/>
      <c r="O1828" s="15"/>
    </row>
    <row r="1829" customFormat="false" ht="25.35" hidden="false" customHeight="false" outlineLevel="0" collapsed="false">
      <c r="A1829" s="9" t="n">
        <v>1823</v>
      </c>
      <c r="B1829" s="10" t="s">
        <v>2605</v>
      </c>
      <c r="C1829" s="10" t="s">
        <v>2606</v>
      </c>
      <c r="D1829" s="11"/>
      <c r="E1829" s="12"/>
      <c r="F1829" s="11" t="n">
        <v>0.00748194444444445</v>
      </c>
      <c r="G1829" s="12" t="n">
        <v>874</v>
      </c>
      <c r="H1829" s="11"/>
      <c r="I1829" s="12"/>
      <c r="J1829" s="12" t="n">
        <f aca="false">COUNT(E1829,G1829,I1829)</f>
        <v>1</v>
      </c>
      <c r="K1829" s="13" t="n">
        <f aca="false">MIN(E1829,G1829,I1829)</f>
        <v>874</v>
      </c>
      <c r="L1829" s="9" t="str">
        <f aca="false">IF(E1829=K1829,"5000m",IF(G1829=K1829,"3000mSC","1500m"))</f>
        <v>3000mSC</v>
      </c>
      <c r="M1829" s="14" t="n">
        <f aca="false">(D1829&lt;&gt;"")*(D1829&lt;=($E$3*60+$F$3)/86400)+(F1829&lt;&gt;"")*(F1829&lt;=($I$3*60+$J$3)/86400)+(H1829&lt;&gt;"")*(H1829&lt;=($M$3*60+$N$3)/86400)</f>
        <v>0</v>
      </c>
      <c r="N1829" s="16"/>
      <c r="O1829" s="15"/>
    </row>
    <row r="1830" customFormat="false" ht="15" hidden="false" customHeight="false" outlineLevel="0" collapsed="false">
      <c r="A1830" s="9" t="n">
        <v>1824</v>
      </c>
      <c r="B1830" s="10" t="s">
        <v>2607</v>
      </c>
      <c r="C1830" s="10" t="s">
        <v>705</v>
      </c>
      <c r="D1830" s="11"/>
      <c r="E1830" s="12"/>
      <c r="F1830" s="11"/>
      <c r="G1830" s="12"/>
      <c r="H1830" s="11" t="n">
        <v>0.00289085648148148</v>
      </c>
      <c r="I1830" s="12" t="n">
        <v>874</v>
      </c>
      <c r="J1830" s="12" t="n">
        <f aca="false">COUNT(E1830,G1830,I1830)</f>
        <v>1</v>
      </c>
      <c r="K1830" s="13" t="n">
        <f aca="false">MIN(E1830,G1830,I1830)</f>
        <v>874</v>
      </c>
      <c r="L1830" s="9" t="str">
        <f aca="false">IF(E1830=K1830,"5000m",IF(G1830=K1830,"3000mSC","1500m"))</f>
        <v>1500m</v>
      </c>
      <c r="M1830" s="14" t="n">
        <f aca="false">(D1830&lt;&gt;"")*(D1830&lt;=($E$3*60+$F$3)/86400)+(F1830&lt;&gt;"")*(F1830&lt;=($I$3*60+$J$3)/86400)+(H1830&lt;&gt;"")*(H1830&lt;=($M$3*60+$N$3)/86400)</f>
        <v>0</v>
      </c>
      <c r="N1830" s="16"/>
      <c r="O1830" s="15"/>
    </row>
    <row r="1831" customFormat="false" ht="15" hidden="false" customHeight="false" outlineLevel="0" collapsed="false">
      <c r="A1831" s="9" t="n">
        <v>1825</v>
      </c>
      <c r="B1831" s="10" t="s">
        <v>2608</v>
      </c>
      <c r="C1831" s="10" t="s">
        <v>34</v>
      </c>
      <c r="D1831" s="11" t="n">
        <v>0.0108732638888889</v>
      </c>
      <c r="E1831" s="12" t="n">
        <v>875</v>
      </c>
      <c r="F1831" s="11"/>
      <c r="G1831" s="12"/>
      <c r="H1831" s="11"/>
      <c r="I1831" s="12"/>
      <c r="J1831" s="12" t="n">
        <f aca="false">COUNT(E1831,G1831,I1831)</f>
        <v>1</v>
      </c>
      <c r="K1831" s="13" t="n">
        <f aca="false">MIN(E1831,G1831,I1831)</f>
        <v>875</v>
      </c>
      <c r="L1831" s="9" t="str">
        <f aca="false">IF(E1831=K1831,"5000m",IF(G1831=K1831,"3000mSC","1500m"))</f>
        <v>5000m</v>
      </c>
      <c r="M1831" s="14" t="n">
        <f aca="false">(D1831&lt;&gt;"")*(D1831&lt;=($E$3*60+$F$3)/86400)+(F1831&lt;&gt;"")*(F1831&lt;=($I$3*60+$J$3)/86400)+(H1831&lt;&gt;"")*(H1831&lt;=($M$3*60+$N$3)/86400)</f>
        <v>0</v>
      </c>
      <c r="N1831" s="16"/>
      <c r="O1831" s="15"/>
    </row>
    <row r="1832" customFormat="false" ht="25.35" hidden="false" customHeight="false" outlineLevel="0" collapsed="false">
      <c r="A1832" s="9" t="n">
        <v>1826</v>
      </c>
      <c r="B1832" s="10" t="s">
        <v>2609</v>
      </c>
      <c r="C1832" s="10" t="s">
        <v>2610</v>
      </c>
      <c r="D1832" s="11"/>
      <c r="E1832" s="12"/>
      <c r="F1832" s="11" t="n">
        <v>0.00748391203703704</v>
      </c>
      <c r="G1832" s="12" t="n">
        <v>875</v>
      </c>
      <c r="H1832" s="11"/>
      <c r="I1832" s="12"/>
      <c r="J1832" s="12" t="n">
        <f aca="false">COUNT(E1832,G1832,I1832)</f>
        <v>1</v>
      </c>
      <c r="K1832" s="13" t="n">
        <f aca="false">MIN(E1832,G1832,I1832)</f>
        <v>875</v>
      </c>
      <c r="L1832" s="9" t="str">
        <f aca="false">IF(E1832=K1832,"5000m",IF(G1832=K1832,"3000mSC","1500m"))</f>
        <v>3000mSC</v>
      </c>
      <c r="M1832" s="14" t="n">
        <f aca="false">(D1832&lt;&gt;"")*(D1832&lt;=($E$3*60+$F$3)/86400)+(F1832&lt;&gt;"")*(F1832&lt;=($I$3*60+$J$3)/86400)+(H1832&lt;&gt;"")*(H1832&lt;=($M$3*60+$N$3)/86400)</f>
        <v>0</v>
      </c>
      <c r="N1832" s="16"/>
      <c r="O1832" s="15"/>
    </row>
    <row r="1833" customFormat="false" ht="15" hidden="false" customHeight="false" outlineLevel="0" collapsed="false">
      <c r="A1833" s="9" t="n">
        <v>1827</v>
      </c>
      <c r="B1833" s="10" t="s">
        <v>2611</v>
      </c>
      <c r="C1833" s="10" t="s">
        <v>229</v>
      </c>
      <c r="D1833" s="11" t="n">
        <v>0.0108732638888889</v>
      </c>
      <c r="E1833" s="12" t="n">
        <v>876</v>
      </c>
      <c r="F1833" s="11"/>
      <c r="G1833" s="12"/>
      <c r="H1833" s="11" t="n">
        <v>0.00290752314814815</v>
      </c>
      <c r="I1833" s="12" t="n">
        <v>996</v>
      </c>
      <c r="J1833" s="12" t="n">
        <f aca="false">COUNT(E1833,G1833,I1833)</f>
        <v>2</v>
      </c>
      <c r="K1833" s="13" t="n">
        <f aca="false">MIN(E1833,G1833,I1833)</f>
        <v>876</v>
      </c>
      <c r="L1833" s="9" t="str">
        <f aca="false">IF(E1833=K1833,"5000m",IF(G1833=K1833,"3000mSC","1500m"))</f>
        <v>5000m</v>
      </c>
      <c r="M1833" s="14" t="n">
        <f aca="false">(D1833&lt;&gt;"")*(D1833&lt;=($E$3*60+$F$3)/86400)+(F1833&lt;&gt;"")*(F1833&lt;=($I$3*60+$J$3)/86400)+(H1833&lt;&gt;"")*(H1833&lt;=($M$3*60+$N$3)/86400)</f>
        <v>0</v>
      </c>
      <c r="N1833" s="16"/>
      <c r="O1833" s="15"/>
    </row>
    <row r="1834" customFormat="false" ht="25.35" hidden="false" customHeight="false" outlineLevel="0" collapsed="false">
      <c r="A1834" s="9" t="n">
        <v>1828</v>
      </c>
      <c r="B1834" s="10" t="s">
        <v>2612</v>
      </c>
      <c r="C1834" s="10" t="s">
        <v>2613</v>
      </c>
      <c r="D1834" s="11"/>
      <c r="E1834" s="12"/>
      <c r="F1834" s="11" t="n">
        <v>0.00748449074074074</v>
      </c>
      <c r="G1834" s="12" t="n">
        <v>876</v>
      </c>
      <c r="H1834" s="11"/>
      <c r="I1834" s="12"/>
      <c r="J1834" s="12" t="n">
        <f aca="false">COUNT(E1834,G1834,I1834)</f>
        <v>1</v>
      </c>
      <c r="K1834" s="13" t="n">
        <f aca="false">MIN(E1834,G1834,I1834)</f>
        <v>876</v>
      </c>
      <c r="L1834" s="9" t="str">
        <f aca="false">IF(E1834=K1834,"5000m",IF(G1834=K1834,"3000mSC","1500m"))</f>
        <v>3000mSC</v>
      </c>
      <c r="M1834" s="14" t="n">
        <f aca="false">(D1834&lt;&gt;"")*(D1834&lt;=($E$3*60+$F$3)/86400)+(F1834&lt;&gt;"")*(F1834&lt;=($I$3*60+$J$3)/86400)+(H1834&lt;&gt;"")*(H1834&lt;=($M$3*60+$N$3)/86400)</f>
        <v>0</v>
      </c>
      <c r="N1834" s="16"/>
      <c r="O1834" s="15"/>
    </row>
    <row r="1835" customFormat="false" ht="15" hidden="false" customHeight="false" outlineLevel="0" collapsed="false">
      <c r="A1835" s="9" t="n">
        <v>1829</v>
      </c>
      <c r="B1835" s="10" t="s">
        <v>2614</v>
      </c>
      <c r="C1835" s="10" t="s">
        <v>2615</v>
      </c>
      <c r="D1835" s="11"/>
      <c r="E1835" s="12"/>
      <c r="F1835" s="11"/>
      <c r="G1835" s="12"/>
      <c r="H1835" s="11" t="n">
        <v>0.00289108796296296</v>
      </c>
      <c r="I1835" s="12" t="n">
        <v>876</v>
      </c>
      <c r="J1835" s="12" t="n">
        <f aca="false">COUNT(E1835,G1835,I1835)</f>
        <v>1</v>
      </c>
      <c r="K1835" s="13" t="n">
        <f aca="false">MIN(E1835,G1835,I1835)</f>
        <v>876</v>
      </c>
      <c r="L1835" s="9" t="str">
        <f aca="false">IF(E1835=K1835,"5000m",IF(G1835=K1835,"3000mSC","1500m"))</f>
        <v>1500m</v>
      </c>
      <c r="M1835" s="14" t="n">
        <f aca="false">(D1835&lt;&gt;"")*(D1835&lt;=($E$3*60+$F$3)/86400)+(F1835&lt;&gt;"")*(F1835&lt;=($I$3*60+$J$3)/86400)+(H1835&lt;&gt;"")*(H1835&lt;=($M$3*60+$N$3)/86400)</f>
        <v>0</v>
      </c>
      <c r="N1835" s="16"/>
      <c r="O1835" s="15"/>
    </row>
    <row r="1836" customFormat="false" ht="25.35" hidden="false" customHeight="false" outlineLevel="0" collapsed="false">
      <c r="A1836" s="9" t="n">
        <v>1830</v>
      </c>
      <c r="B1836" s="10" t="s">
        <v>2616</v>
      </c>
      <c r="C1836" s="10" t="s">
        <v>2617</v>
      </c>
      <c r="D1836" s="11"/>
      <c r="E1836" s="12"/>
      <c r="F1836" s="11" t="n">
        <v>0.00748564814814815</v>
      </c>
      <c r="G1836" s="12" t="n">
        <v>877</v>
      </c>
      <c r="H1836" s="11"/>
      <c r="I1836" s="12"/>
      <c r="J1836" s="12" t="n">
        <f aca="false">COUNT(E1836,G1836,I1836)</f>
        <v>1</v>
      </c>
      <c r="K1836" s="13" t="n">
        <f aca="false">MIN(E1836,G1836,I1836)</f>
        <v>877</v>
      </c>
      <c r="L1836" s="9" t="str">
        <f aca="false">IF(E1836=K1836,"5000m",IF(G1836=K1836,"3000mSC","1500m"))</f>
        <v>3000mSC</v>
      </c>
      <c r="M1836" s="14" t="n">
        <f aca="false">(D1836&lt;&gt;"")*(D1836&lt;=($E$3*60+$F$3)/86400)+(F1836&lt;&gt;"")*(F1836&lt;=($I$3*60+$J$3)/86400)+(H1836&lt;&gt;"")*(H1836&lt;=($M$3*60+$N$3)/86400)</f>
        <v>0</v>
      </c>
      <c r="N1836" s="16"/>
      <c r="O1836" s="15"/>
    </row>
    <row r="1837" customFormat="false" ht="15" hidden="false" customHeight="false" outlineLevel="0" collapsed="false">
      <c r="A1837" s="9" t="n">
        <v>1831</v>
      </c>
      <c r="B1837" s="10" t="s">
        <v>2618</v>
      </c>
      <c r="C1837" s="10" t="s">
        <v>2619</v>
      </c>
      <c r="D1837" s="11"/>
      <c r="E1837" s="12"/>
      <c r="F1837" s="11"/>
      <c r="G1837" s="12"/>
      <c r="H1837" s="11" t="n">
        <v>0.00289108796296296</v>
      </c>
      <c r="I1837" s="12" t="n">
        <v>877</v>
      </c>
      <c r="J1837" s="12" t="n">
        <f aca="false">COUNT(E1837,G1837,I1837)</f>
        <v>1</v>
      </c>
      <c r="K1837" s="13" t="n">
        <f aca="false">MIN(E1837,G1837,I1837)</f>
        <v>877</v>
      </c>
      <c r="L1837" s="9" t="str">
        <f aca="false">IF(E1837=K1837,"5000m",IF(G1837=K1837,"3000mSC","1500m"))</f>
        <v>1500m</v>
      </c>
      <c r="M1837" s="14" t="n">
        <f aca="false">(D1837&lt;&gt;"")*(D1837&lt;=($E$3*60+$F$3)/86400)+(F1837&lt;&gt;"")*(F1837&lt;=($I$3*60+$J$3)/86400)+(H1837&lt;&gt;"")*(H1837&lt;=($M$3*60+$N$3)/86400)</f>
        <v>0</v>
      </c>
      <c r="N1837" s="16"/>
      <c r="O1837" s="15"/>
    </row>
    <row r="1838" customFormat="false" ht="25.35" hidden="false" customHeight="false" outlineLevel="0" collapsed="false">
      <c r="A1838" s="9" t="n">
        <v>1832</v>
      </c>
      <c r="B1838" s="10" t="s">
        <v>2620</v>
      </c>
      <c r="C1838" s="10" t="s">
        <v>2621</v>
      </c>
      <c r="D1838" s="11"/>
      <c r="E1838" s="12"/>
      <c r="F1838" s="11" t="n">
        <v>0.00748726851851852</v>
      </c>
      <c r="G1838" s="12" t="n">
        <v>878</v>
      </c>
      <c r="H1838" s="11"/>
      <c r="I1838" s="12"/>
      <c r="J1838" s="12" t="n">
        <f aca="false">COUNT(E1838,G1838,I1838)</f>
        <v>1</v>
      </c>
      <c r="K1838" s="13" t="n">
        <f aca="false">MIN(E1838,G1838,I1838)</f>
        <v>878</v>
      </c>
      <c r="L1838" s="9" t="str">
        <f aca="false">IF(E1838=K1838,"5000m",IF(G1838=K1838,"3000mSC","1500m"))</f>
        <v>3000mSC</v>
      </c>
      <c r="M1838" s="14" t="n">
        <f aca="false">(D1838&lt;&gt;"")*(D1838&lt;=($E$3*60+$F$3)/86400)+(F1838&lt;&gt;"")*(F1838&lt;=($I$3*60+$J$3)/86400)+(H1838&lt;&gt;"")*(H1838&lt;=($M$3*60+$N$3)/86400)</f>
        <v>0</v>
      </c>
      <c r="N1838" s="16"/>
      <c r="O1838" s="15"/>
    </row>
    <row r="1839" customFormat="false" ht="15" hidden="false" customHeight="false" outlineLevel="0" collapsed="false">
      <c r="A1839" s="9" t="n">
        <v>1833</v>
      </c>
      <c r="B1839" s="10" t="s">
        <v>2622</v>
      </c>
      <c r="C1839" s="10" t="s">
        <v>1458</v>
      </c>
      <c r="D1839" s="11" t="n">
        <v>0.0108739583333333</v>
      </c>
      <c r="E1839" s="12" t="n">
        <v>879</v>
      </c>
      <c r="F1839" s="11"/>
      <c r="G1839" s="12"/>
      <c r="H1839" s="11"/>
      <c r="I1839" s="12"/>
      <c r="J1839" s="12" t="n">
        <f aca="false">COUNT(E1839,G1839,I1839)</f>
        <v>1</v>
      </c>
      <c r="K1839" s="13" t="n">
        <f aca="false">MIN(E1839,G1839,I1839)</f>
        <v>879</v>
      </c>
      <c r="L1839" s="9" t="str">
        <f aca="false">IF(E1839=K1839,"5000m",IF(G1839=K1839,"3000mSC","1500m"))</f>
        <v>5000m</v>
      </c>
      <c r="M1839" s="14" t="n">
        <f aca="false">(D1839&lt;&gt;"")*(D1839&lt;=($E$3*60+$F$3)/86400)+(F1839&lt;&gt;"")*(F1839&lt;=($I$3*60+$J$3)/86400)+(H1839&lt;&gt;"")*(H1839&lt;=($M$3*60+$N$3)/86400)</f>
        <v>0</v>
      </c>
      <c r="N1839" s="16"/>
      <c r="O1839" s="15"/>
    </row>
    <row r="1840" customFormat="false" ht="25.35" hidden="false" customHeight="false" outlineLevel="0" collapsed="false">
      <c r="A1840" s="9" t="n">
        <v>1834</v>
      </c>
      <c r="B1840" s="10" t="s">
        <v>2623</v>
      </c>
      <c r="C1840" s="10" t="s">
        <v>1614</v>
      </c>
      <c r="D1840" s="11"/>
      <c r="E1840" s="12"/>
      <c r="F1840" s="11" t="n">
        <v>0.00748738425925926</v>
      </c>
      <c r="G1840" s="12" t="n">
        <v>879</v>
      </c>
      <c r="H1840" s="11"/>
      <c r="I1840" s="12"/>
      <c r="J1840" s="12" t="n">
        <f aca="false">COUNT(E1840,G1840,I1840)</f>
        <v>1</v>
      </c>
      <c r="K1840" s="13" t="n">
        <f aca="false">MIN(E1840,G1840,I1840)</f>
        <v>879</v>
      </c>
      <c r="L1840" s="9" t="str">
        <f aca="false">IF(E1840=K1840,"5000m",IF(G1840=K1840,"3000mSC","1500m"))</f>
        <v>3000mSC</v>
      </c>
      <c r="M1840" s="14" t="n">
        <f aca="false">(D1840&lt;&gt;"")*(D1840&lt;=($E$3*60+$F$3)/86400)+(F1840&lt;&gt;"")*(F1840&lt;=($I$3*60+$J$3)/86400)+(H1840&lt;&gt;"")*(H1840&lt;=($M$3*60+$N$3)/86400)</f>
        <v>0</v>
      </c>
      <c r="N1840" s="16"/>
      <c r="O1840" s="15"/>
    </row>
    <row r="1841" customFormat="false" ht="15" hidden="false" customHeight="false" outlineLevel="0" collapsed="false">
      <c r="A1841" s="9" t="n">
        <v>1835</v>
      </c>
      <c r="B1841" s="10" t="s">
        <v>2624</v>
      </c>
      <c r="C1841" s="10" t="s">
        <v>1357</v>
      </c>
      <c r="D1841" s="11" t="n">
        <v>0.0108746527777778</v>
      </c>
      <c r="E1841" s="12" t="n">
        <v>880</v>
      </c>
      <c r="F1841" s="11"/>
      <c r="G1841" s="12"/>
      <c r="H1841" s="11" t="n">
        <v>0.00290520833333333</v>
      </c>
      <c r="I1841" s="12" t="n">
        <v>985</v>
      </c>
      <c r="J1841" s="12" t="n">
        <f aca="false">COUNT(E1841,G1841,I1841)</f>
        <v>2</v>
      </c>
      <c r="K1841" s="13" t="n">
        <f aca="false">MIN(E1841,G1841,I1841)</f>
        <v>880</v>
      </c>
      <c r="L1841" s="9" t="str">
        <f aca="false">IF(E1841=K1841,"5000m",IF(G1841=K1841,"3000mSC","1500m"))</f>
        <v>5000m</v>
      </c>
      <c r="M1841" s="14" t="n">
        <f aca="false">(D1841&lt;&gt;"")*(D1841&lt;=($E$3*60+$F$3)/86400)+(F1841&lt;&gt;"")*(F1841&lt;=($I$3*60+$J$3)/86400)+(H1841&lt;&gt;"")*(H1841&lt;=($M$3*60+$N$3)/86400)</f>
        <v>0</v>
      </c>
      <c r="N1841" s="16"/>
      <c r="O1841" s="15"/>
    </row>
    <row r="1842" customFormat="false" ht="25.35" hidden="false" customHeight="false" outlineLevel="0" collapsed="false">
      <c r="A1842" s="9" t="n">
        <v>1836</v>
      </c>
      <c r="B1842" s="10" t="s">
        <v>2625</v>
      </c>
      <c r="C1842" s="10" t="s">
        <v>2626</v>
      </c>
      <c r="D1842" s="11"/>
      <c r="E1842" s="12"/>
      <c r="F1842" s="11" t="n">
        <v>0.00749016203703704</v>
      </c>
      <c r="G1842" s="12" t="n">
        <v>880</v>
      </c>
      <c r="H1842" s="11"/>
      <c r="I1842" s="12"/>
      <c r="J1842" s="12" t="n">
        <f aca="false">COUNT(E1842,G1842,I1842)</f>
        <v>1</v>
      </c>
      <c r="K1842" s="13" t="n">
        <f aca="false">MIN(E1842,G1842,I1842)</f>
        <v>880</v>
      </c>
      <c r="L1842" s="9" t="str">
        <f aca="false">IF(E1842=K1842,"5000m",IF(G1842=K1842,"3000mSC","1500m"))</f>
        <v>3000mSC</v>
      </c>
      <c r="M1842" s="14" t="n">
        <f aca="false">(D1842&lt;&gt;"")*(D1842&lt;=($E$3*60+$F$3)/86400)+(F1842&lt;&gt;"")*(F1842&lt;=($I$3*60+$J$3)/86400)+(H1842&lt;&gt;"")*(H1842&lt;=($M$3*60+$N$3)/86400)</f>
        <v>0</v>
      </c>
      <c r="N1842" s="16"/>
      <c r="O1842" s="15"/>
    </row>
    <row r="1843" customFormat="false" ht="15" hidden="false" customHeight="false" outlineLevel="0" collapsed="false">
      <c r="A1843" s="9" t="n">
        <v>1837</v>
      </c>
      <c r="B1843" s="10" t="s">
        <v>2627</v>
      </c>
      <c r="C1843" s="10" t="s">
        <v>2628</v>
      </c>
      <c r="D1843" s="11" t="n">
        <v>0.0108752314814815</v>
      </c>
      <c r="E1843" s="12" t="n">
        <v>881</v>
      </c>
      <c r="F1843" s="11"/>
      <c r="G1843" s="12"/>
      <c r="H1843" s="11"/>
      <c r="I1843" s="12"/>
      <c r="J1843" s="12" t="n">
        <f aca="false">COUNT(E1843,G1843,I1843)</f>
        <v>1</v>
      </c>
      <c r="K1843" s="13" t="n">
        <f aca="false">MIN(E1843,G1843,I1843)</f>
        <v>881</v>
      </c>
      <c r="L1843" s="9" t="str">
        <f aca="false">IF(E1843=K1843,"5000m",IF(G1843=K1843,"3000mSC","1500m"))</f>
        <v>5000m</v>
      </c>
      <c r="M1843" s="14" t="n">
        <f aca="false">(D1843&lt;&gt;"")*(D1843&lt;=($E$3*60+$F$3)/86400)+(F1843&lt;&gt;"")*(F1843&lt;=($I$3*60+$J$3)/86400)+(H1843&lt;&gt;"")*(H1843&lt;=($M$3*60+$N$3)/86400)</f>
        <v>0</v>
      </c>
      <c r="N1843" s="16"/>
      <c r="O1843" s="15"/>
    </row>
    <row r="1844" customFormat="false" ht="25.35" hidden="false" customHeight="false" outlineLevel="0" collapsed="false">
      <c r="A1844" s="9" t="n">
        <v>1838</v>
      </c>
      <c r="B1844" s="10" t="s">
        <v>2629</v>
      </c>
      <c r="C1844" s="10" t="s">
        <v>1443</v>
      </c>
      <c r="D1844" s="11"/>
      <c r="E1844" s="12"/>
      <c r="F1844" s="11" t="n">
        <v>0.00749016203703704</v>
      </c>
      <c r="G1844" s="12" t="n">
        <v>881</v>
      </c>
      <c r="H1844" s="11"/>
      <c r="I1844" s="12"/>
      <c r="J1844" s="12" t="n">
        <f aca="false">COUNT(E1844,G1844,I1844)</f>
        <v>1</v>
      </c>
      <c r="K1844" s="13" t="n">
        <f aca="false">MIN(E1844,G1844,I1844)</f>
        <v>881</v>
      </c>
      <c r="L1844" s="9" t="str">
        <f aca="false">IF(E1844=K1844,"5000m",IF(G1844=K1844,"3000mSC","1500m"))</f>
        <v>3000mSC</v>
      </c>
      <c r="M1844" s="14" t="n">
        <f aca="false">(D1844&lt;&gt;"")*(D1844&lt;=($E$3*60+$F$3)/86400)+(F1844&lt;&gt;"")*(F1844&lt;=($I$3*60+$J$3)/86400)+(H1844&lt;&gt;"")*(H1844&lt;=($M$3*60+$N$3)/86400)</f>
        <v>0</v>
      </c>
      <c r="N1844" s="16"/>
      <c r="O1844" s="15"/>
    </row>
    <row r="1845" customFormat="false" ht="25.35" hidden="false" customHeight="false" outlineLevel="0" collapsed="false">
      <c r="A1845" s="9" t="n">
        <v>1839</v>
      </c>
      <c r="B1845" s="10" t="s">
        <v>2630</v>
      </c>
      <c r="C1845" s="10" t="s">
        <v>2631</v>
      </c>
      <c r="D1845" s="11"/>
      <c r="E1845" s="12"/>
      <c r="F1845" s="11" t="n">
        <v>0.00749189814814815</v>
      </c>
      <c r="G1845" s="12" t="n">
        <v>882</v>
      </c>
      <c r="H1845" s="11"/>
      <c r="I1845" s="12"/>
      <c r="J1845" s="12" t="n">
        <f aca="false">COUNT(E1845,G1845,I1845)</f>
        <v>1</v>
      </c>
      <c r="K1845" s="13" t="n">
        <f aca="false">MIN(E1845,G1845,I1845)</f>
        <v>882</v>
      </c>
      <c r="L1845" s="9" t="str">
        <f aca="false">IF(E1845=K1845,"5000m",IF(G1845=K1845,"3000mSC","1500m"))</f>
        <v>3000mSC</v>
      </c>
      <c r="M1845" s="14" t="n">
        <f aca="false">(D1845&lt;&gt;"")*(D1845&lt;=($E$3*60+$F$3)/86400)+(F1845&lt;&gt;"")*(F1845&lt;=($I$3*60+$J$3)/86400)+(H1845&lt;&gt;"")*(H1845&lt;=($M$3*60+$N$3)/86400)</f>
        <v>0</v>
      </c>
      <c r="N1845" s="16"/>
      <c r="O1845" s="15"/>
    </row>
    <row r="1846" customFormat="false" ht="15" hidden="false" customHeight="false" outlineLevel="0" collapsed="false">
      <c r="A1846" s="9" t="n">
        <v>1840</v>
      </c>
      <c r="B1846" s="10" t="s">
        <v>2632</v>
      </c>
      <c r="C1846" s="10" t="s">
        <v>927</v>
      </c>
      <c r="D1846" s="11"/>
      <c r="E1846" s="12"/>
      <c r="F1846" s="11"/>
      <c r="G1846" s="12"/>
      <c r="H1846" s="11" t="n">
        <v>0.00289143518518519</v>
      </c>
      <c r="I1846" s="12" t="n">
        <v>882</v>
      </c>
      <c r="J1846" s="12" t="n">
        <f aca="false">COUNT(E1846,G1846,I1846)</f>
        <v>1</v>
      </c>
      <c r="K1846" s="13" t="n">
        <f aca="false">MIN(E1846,G1846,I1846)</f>
        <v>882</v>
      </c>
      <c r="L1846" s="9" t="str">
        <f aca="false">IF(E1846=K1846,"5000m",IF(G1846=K1846,"3000mSC","1500m"))</f>
        <v>1500m</v>
      </c>
      <c r="M1846" s="14" t="n">
        <f aca="false">(D1846&lt;&gt;"")*(D1846&lt;=($E$3*60+$F$3)/86400)+(F1846&lt;&gt;"")*(F1846&lt;=($I$3*60+$J$3)/86400)+(H1846&lt;&gt;"")*(H1846&lt;=($M$3*60+$N$3)/86400)</f>
        <v>0</v>
      </c>
      <c r="N1846" s="16"/>
      <c r="O1846" s="15"/>
    </row>
    <row r="1847" customFormat="false" ht="15" hidden="false" customHeight="false" outlineLevel="0" collapsed="false">
      <c r="A1847" s="9" t="n">
        <v>1841</v>
      </c>
      <c r="B1847" s="10" t="s">
        <v>2633</v>
      </c>
      <c r="C1847" s="10" t="s">
        <v>36</v>
      </c>
      <c r="D1847" s="11" t="n">
        <v>0.0108778935185185</v>
      </c>
      <c r="E1847" s="12" t="n">
        <v>883</v>
      </c>
      <c r="F1847" s="11"/>
      <c r="G1847" s="12"/>
      <c r="H1847" s="11"/>
      <c r="I1847" s="12"/>
      <c r="J1847" s="12" t="n">
        <f aca="false">COUNT(E1847,G1847,I1847)</f>
        <v>1</v>
      </c>
      <c r="K1847" s="13" t="n">
        <f aca="false">MIN(E1847,G1847,I1847)</f>
        <v>883</v>
      </c>
      <c r="L1847" s="9" t="str">
        <f aca="false">IF(E1847=K1847,"5000m",IF(G1847=K1847,"3000mSC","1500m"))</f>
        <v>5000m</v>
      </c>
      <c r="M1847" s="14" t="n">
        <f aca="false">(D1847&lt;&gt;"")*(D1847&lt;=($E$3*60+$F$3)/86400)+(F1847&lt;&gt;"")*(F1847&lt;=($I$3*60+$J$3)/86400)+(H1847&lt;&gt;"")*(H1847&lt;=($M$3*60+$N$3)/86400)</f>
        <v>0</v>
      </c>
      <c r="N1847" s="16"/>
      <c r="O1847" s="15"/>
    </row>
    <row r="1848" customFormat="false" ht="25.35" hidden="false" customHeight="false" outlineLevel="0" collapsed="false">
      <c r="A1848" s="9" t="n">
        <v>1842</v>
      </c>
      <c r="B1848" s="10" t="s">
        <v>2634</v>
      </c>
      <c r="C1848" s="10" t="s">
        <v>2603</v>
      </c>
      <c r="D1848" s="11"/>
      <c r="E1848" s="12"/>
      <c r="F1848" s="11" t="n">
        <v>0.00749212962962963</v>
      </c>
      <c r="G1848" s="12" t="n">
        <v>883</v>
      </c>
      <c r="H1848" s="11"/>
      <c r="I1848" s="12"/>
      <c r="J1848" s="12" t="n">
        <f aca="false">COUNT(E1848,G1848,I1848)</f>
        <v>1</v>
      </c>
      <c r="K1848" s="13" t="n">
        <f aca="false">MIN(E1848,G1848,I1848)</f>
        <v>883</v>
      </c>
      <c r="L1848" s="9" t="str">
        <f aca="false">IF(E1848=K1848,"5000m",IF(G1848=K1848,"3000mSC","1500m"))</f>
        <v>3000mSC</v>
      </c>
      <c r="M1848" s="14" t="n">
        <f aca="false">(D1848&lt;&gt;"")*(D1848&lt;=($E$3*60+$F$3)/86400)+(F1848&lt;&gt;"")*(F1848&lt;=($I$3*60+$J$3)/86400)+(H1848&lt;&gt;"")*(H1848&lt;=($M$3*60+$N$3)/86400)</f>
        <v>0</v>
      </c>
      <c r="N1848" s="16"/>
      <c r="O1848" s="15"/>
    </row>
    <row r="1849" customFormat="false" ht="15" hidden="false" customHeight="false" outlineLevel="0" collapsed="false">
      <c r="A1849" s="9" t="n">
        <v>1843</v>
      </c>
      <c r="B1849" s="10" t="s">
        <v>2635</v>
      </c>
      <c r="C1849" s="10" t="s">
        <v>818</v>
      </c>
      <c r="D1849" s="11" t="n">
        <v>0.0108778935185185</v>
      </c>
      <c r="E1849" s="12" t="n">
        <v>884</v>
      </c>
      <c r="F1849" s="11"/>
      <c r="G1849" s="12"/>
      <c r="H1849" s="11"/>
      <c r="I1849" s="12"/>
      <c r="J1849" s="12" t="n">
        <f aca="false">COUNT(E1849,G1849,I1849)</f>
        <v>1</v>
      </c>
      <c r="K1849" s="13" t="n">
        <f aca="false">MIN(E1849,G1849,I1849)</f>
        <v>884</v>
      </c>
      <c r="L1849" s="9" t="str">
        <f aca="false">IF(E1849=K1849,"5000m",IF(G1849=K1849,"3000mSC","1500m"))</f>
        <v>5000m</v>
      </c>
      <c r="M1849" s="14" t="n">
        <f aca="false">(D1849&lt;&gt;"")*(D1849&lt;=($E$3*60+$F$3)/86400)+(F1849&lt;&gt;"")*(F1849&lt;=($I$3*60+$J$3)/86400)+(H1849&lt;&gt;"")*(H1849&lt;=($M$3*60+$N$3)/86400)</f>
        <v>0</v>
      </c>
      <c r="N1849" s="16"/>
      <c r="O1849" s="15"/>
    </row>
    <row r="1850" customFormat="false" ht="25.35" hidden="false" customHeight="false" outlineLevel="0" collapsed="false">
      <c r="A1850" s="9" t="n">
        <v>1844</v>
      </c>
      <c r="B1850" s="10" t="s">
        <v>2636</v>
      </c>
      <c r="C1850" s="10" t="s">
        <v>93</v>
      </c>
      <c r="D1850" s="11"/>
      <c r="E1850" s="12"/>
      <c r="F1850" s="11" t="n">
        <v>0.00749490740740741</v>
      </c>
      <c r="G1850" s="12" t="n">
        <v>884</v>
      </c>
      <c r="H1850" s="11"/>
      <c r="I1850" s="12"/>
      <c r="J1850" s="12" t="n">
        <f aca="false">COUNT(E1850,G1850,I1850)</f>
        <v>1</v>
      </c>
      <c r="K1850" s="13" t="n">
        <f aca="false">MIN(E1850,G1850,I1850)</f>
        <v>884</v>
      </c>
      <c r="L1850" s="9" t="str">
        <f aca="false">IF(E1850=K1850,"5000m",IF(G1850=K1850,"3000mSC","1500m"))</f>
        <v>3000mSC</v>
      </c>
      <c r="M1850" s="14" t="n">
        <f aca="false">(D1850&lt;&gt;"")*(D1850&lt;=($E$3*60+$F$3)/86400)+(F1850&lt;&gt;"")*(F1850&lt;=($I$3*60+$J$3)/86400)+(H1850&lt;&gt;"")*(H1850&lt;=($M$3*60+$N$3)/86400)</f>
        <v>0</v>
      </c>
      <c r="N1850" s="16"/>
      <c r="O1850" s="15"/>
    </row>
    <row r="1851" customFormat="false" ht="25.35" hidden="false" customHeight="false" outlineLevel="0" collapsed="false">
      <c r="A1851" s="9" t="n">
        <v>1845</v>
      </c>
      <c r="B1851" s="10" t="s">
        <v>2637</v>
      </c>
      <c r="C1851" s="10" t="s">
        <v>2638</v>
      </c>
      <c r="D1851" s="11"/>
      <c r="E1851" s="12"/>
      <c r="F1851" s="11" t="n">
        <v>0.00749675925925926</v>
      </c>
      <c r="G1851" s="12" t="n">
        <v>885</v>
      </c>
      <c r="H1851" s="11"/>
      <c r="I1851" s="12"/>
      <c r="J1851" s="12" t="n">
        <f aca="false">COUNT(E1851,G1851,I1851)</f>
        <v>1</v>
      </c>
      <c r="K1851" s="13" t="n">
        <f aca="false">MIN(E1851,G1851,I1851)</f>
        <v>885</v>
      </c>
      <c r="L1851" s="9" t="str">
        <f aca="false">IF(E1851=K1851,"5000m",IF(G1851=K1851,"3000mSC","1500m"))</f>
        <v>3000mSC</v>
      </c>
      <c r="M1851" s="14" t="n">
        <f aca="false">(D1851&lt;&gt;"")*(D1851&lt;=($E$3*60+$F$3)/86400)+(F1851&lt;&gt;"")*(F1851&lt;=($I$3*60+$J$3)/86400)+(H1851&lt;&gt;"")*(H1851&lt;=($M$3*60+$N$3)/86400)</f>
        <v>0</v>
      </c>
      <c r="N1851" s="16"/>
      <c r="O1851" s="15"/>
    </row>
    <row r="1852" customFormat="false" ht="15" hidden="false" customHeight="false" outlineLevel="0" collapsed="false">
      <c r="A1852" s="9" t="n">
        <v>1846</v>
      </c>
      <c r="B1852" s="10" t="s">
        <v>2639</v>
      </c>
      <c r="C1852" s="10" t="s">
        <v>2640</v>
      </c>
      <c r="D1852" s="11"/>
      <c r="E1852" s="12"/>
      <c r="F1852" s="11"/>
      <c r="G1852" s="12"/>
      <c r="H1852" s="11" t="n">
        <v>0.00289178240740741</v>
      </c>
      <c r="I1852" s="12" t="n">
        <v>885</v>
      </c>
      <c r="J1852" s="12" t="n">
        <f aca="false">COUNT(E1852,G1852,I1852)</f>
        <v>1</v>
      </c>
      <c r="K1852" s="13" t="n">
        <f aca="false">MIN(E1852,G1852,I1852)</f>
        <v>885</v>
      </c>
      <c r="L1852" s="9" t="str">
        <f aca="false">IF(E1852=K1852,"5000m",IF(G1852=K1852,"3000mSC","1500m"))</f>
        <v>1500m</v>
      </c>
      <c r="M1852" s="14" t="n">
        <f aca="false">(D1852&lt;&gt;"")*(D1852&lt;=($E$3*60+$F$3)/86400)+(F1852&lt;&gt;"")*(F1852&lt;=($I$3*60+$J$3)/86400)+(H1852&lt;&gt;"")*(H1852&lt;=($M$3*60+$N$3)/86400)</f>
        <v>0</v>
      </c>
      <c r="N1852" s="16"/>
      <c r="O1852" s="15"/>
    </row>
    <row r="1853" customFormat="false" ht="25.35" hidden="false" customHeight="false" outlineLevel="0" collapsed="false">
      <c r="A1853" s="9" t="n">
        <v>1847</v>
      </c>
      <c r="B1853" s="10" t="s">
        <v>2641</v>
      </c>
      <c r="C1853" s="10" t="s">
        <v>769</v>
      </c>
      <c r="D1853" s="11"/>
      <c r="E1853" s="12"/>
      <c r="F1853" s="11" t="n">
        <v>0.00750069444444444</v>
      </c>
      <c r="G1853" s="12" t="n">
        <v>886</v>
      </c>
      <c r="H1853" s="11"/>
      <c r="I1853" s="12"/>
      <c r="J1853" s="12" t="n">
        <f aca="false">COUNT(E1853,G1853,I1853)</f>
        <v>1</v>
      </c>
      <c r="K1853" s="13" t="n">
        <f aca="false">MIN(E1853,G1853,I1853)</f>
        <v>886</v>
      </c>
      <c r="L1853" s="9" t="str">
        <f aca="false">IF(E1853=K1853,"5000m",IF(G1853=K1853,"3000mSC","1500m"))</f>
        <v>3000mSC</v>
      </c>
      <c r="M1853" s="14" t="n">
        <f aca="false">(D1853&lt;&gt;"")*(D1853&lt;=($E$3*60+$F$3)/86400)+(F1853&lt;&gt;"")*(F1853&lt;=($I$3*60+$J$3)/86400)+(H1853&lt;&gt;"")*(H1853&lt;=($M$3*60+$N$3)/86400)</f>
        <v>0</v>
      </c>
      <c r="N1853" s="16"/>
      <c r="O1853" s="15"/>
    </row>
    <row r="1854" customFormat="false" ht="15" hidden="false" customHeight="false" outlineLevel="0" collapsed="false">
      <c r="A1854" s="9" t="n">
        <v>1848</v>
      </c>
      <c r="B1854" s="10" t="s">
        <v>2642</v>
      </c>
      <c r="C1854" s="10" t="s">
        <v>917</v>
      </c>
      <c r="D1854" s="11" t="n">
        <v>0.0108950231481482</v>
      </c>
      <c r="E1854" s="12" t="n">
        <v>911</v>
      </c>
      <c r="F1854" s="11"/>
      <c r="G1854" s="12"/>
      <c r="H1854" s="11" t="n">
        <v>0.00289201388888889</v>
      </c>
      <c r="I1854" s="12" t="n">
        <v>887</v>
      </c>
      <c r="J1854" s="12" t="n">
        <f aca="false">COUNT(E1854,G1854,I1854)</f>
        <v>2</v>
      </c>
      <c r="K1854" s="13" t="n">
        <f aca="false">MIN(E1854,G1854,I1854)</f>
        <v>887</v>
      </c>
      <c r="L1854" s="9" t="str">
        <f aca="false">IF(E1854=K1854,"5000m",IF(G1854=K1854,"3000mSC","1500m"))</f>
        <v>1500m</v>
      </c>
      <c r="M1854" s="14" t="n">
        <f aca="false">(D1854&lt;&gt;"")*(D1854&lt;=($E$3*60+$F$3)/86400)+(F1854&lt;&gt;"")*(F1854&lt;=($I$3*60+$J$3)/86400)+(H1854&lt;&gt;"")*(H1854&lt;=($M$3*60+$N$3)/86400)</f>
        <v>0</v>
      </c>
      <c r="N1854" s="16"/>
      <c r="O1854" s="15"/>
    </row>
    <row r="1855" customFormat="false" ht="25.35" hidden="false" customHeight="false" outlineLevel="0" collapsed="false">
      <c r="A1855" s="9" t="n">
        <v>1849</v>
      </c>
      <c r="B1855" s="10" t="s">
        <v>2643</v>
      </c>
      <c r="C1855" s="10" t="s">
        <v>1366</v>
      </c>
      <c r="D1855" s="11"/>
      <c r="E1855" s="12"/>
      <c r="F1855" s="11" t="n">
        <v>0.00750208333333333</v>
      </c>
      <c r="G1855" s="12" t="n">
        <v>887</v>
      </c>
      <c r="H1855" s="11"/>
      <c r="I1855" s="12"/>
      <c r="J1855" s="12" t="n">
        <f aca="false">COUNT(E1855,G1855,I1855)</f>
        <v>1</v>
      </c>
      <c r="K1855" s="13" t="n">
        <f aca="false">MIN(E1855,G1855,I1855)</f>
        <v>887</v>
      </c>
      <c r="L1855" s="9" t="str">
        <f aca="false">IF(E1855=K1855,"5000m",IF(G1855=K1855,"3000mSC","1500m"))</f>
        <v>3000mSC</v>
      </c>
      <c r="M1855" s="14" t="n">
        <f aca="false">(D1855&lt;&gt;"")*(D1855&lt;=($E$3*60+$F$3)/86400)+(F1855&lt;&gt;"")*(F1855&lt;=($I$3*60+$J$3)/86400)+(H1855&lt;&gt;"")*(H1855&lt;=($M$3*60+$N$3)/86400)</f>
        <v>0</v>
      </c>
      <c r="N1855" s="16"/>
      <c r="O1855" s="15"/>
    </row>
    <row r="1856" customFormat="false" ht="15" hidden="false" customHeight="false" outlineLevel="0" collapsed="false">
      <c r="A1856" s="9" t="n">
        <v>1850</v>
      </c>
      <c r="B1856" s="10" t="s">
        <v>2644</v>
      </c>
      <c r="C1856" s="10" t="s">
        <v>2041</v>
      </c>
      <c r="D1856" s="11" t="n">
        <v>0.0108798611111111</v>
      </c>
      <c r="E1856" s="12" t="n">
        <v>888</v>
      </c>
      <c r="F1856" s="11"/>
      <c r="G1856" s="12"/>
      <c r="H1856" s="11"/>
      <c r="I1856" s="12"/>
      <c r="J1856" s="12" t="n">
        <f aca="false">COUNT(E1856,G1856,I1856)</f>
        <v>1</v>
      </c>
      <c r="K1856" s="13" t="n">
        <f aca="false">MIN(E1856,G1856,I1856)</f>
        <v>888</v>
      </c>
      <c r="L1856" s="9" t="str">
        <f aca="false">IF(E1856=K1856,"5000m",IF(G1856=K1856,"3000mSC","1500m"))</f>
        <v>5000m</v>
      </c>
      <c r="M1856" s="14" t="n">
        <f aca="false">(D1856&lt;&gt;"")*(D1856&lt;=($E$3*60+$F$3)/86400)+(F1856&lt;&gt;"")*(F1856&lt;=($I$3*60+$J$3)/86400)+(H1856&lt;&gt;"")*(H1856&lt;=($M$3*60+$N$3)/86400)</f>
        <v>0</v>
      </c>
      <c r="N1856" s="16"/>
      <c r="O1856" s="15"/>
    </row>
    <row r="1857" customFormat="false" ht="25.35" hidden="false" customHeight="false" outlineLevel="0" collapsed="false">
      <c r="A1857" s="9" t="n">
        <v>1851</v>
      </c>
      <c r="B1857" s="10" t="s">
        <v>2645</v>
      </c>
      <c r="C1857" s="10" t="s">
        <v>952</v>
      </c>
      <c r="D1857" s="11"/>
      <c r="E1857" s="12"/>
      <c r="F1857" s="11" t="n">
        <v>0.00750451388888889</v>
      </c>
      <c r="G1857" s="12" t="n">
        <v>888</v>
      </c>
      <c r="H1857" s="11"/>
      <c r="I1857" s="12"/>
      <c r="J1857" s="12" t="n">
        <f aca="false">COUNT(E1857,G1857,I1857)</f>
        <v>1</v>
      </c>
      <c r="K1857" s="13" t="n">
        <f aca="false">MIN(E1857,G1857,I1857)</f>
        <v>888</v>
      </c>
      <c r="L1857" s="9" t="str">
        <f aca="false">IF(E1857=K1857,"5000m",IF(G1857=K1857,"3000mSC","1500m"))</f>
        <v>3000mSC</v>
      </c>
      <c r="M1857" s="14" t="n">
        <f aca="false">(D1857&lt;&gt;"")*(D1857&lt;=($E$3*60+$F$3)/86400)+(F1857&lt;&gt;"")*(F1857&lt;=($I$3*60+$J$3)/86400)+(H1857&lt;&gt;"")*(H1857&lt;=($M$3*60+$N$3)/86400)</f>
        <v>0</v>
      </c>
      <c r="N1857" s="16"/>
      <c r="O1857" s="15"/>
    </row>
    <row r="1858" customFormat="false" ht="15" hidden="false" customHeight="false" outlineLevel="0" collapsed="false">
      <c r="A1858" s="9" t="n">
        <v>1852</v>
      </c>
      <c r="B1858" s="10" t="s">
        <v>2646</v>
      </c>
      <c r="C1858" s="10" t="s">
        <v>1905</v>
      </c>
      <c r="D1858" s="11"/>
      <c r="E1858" s="12"/>
      <c r="F1858" s="11"/>
      <c r="G1858" s="12"/>
      <c r="H1858" s="11" t="n">
        <v>0.00289201388888889</v>
      </c>
      <c r="I1858" s="12" t="n">
        <v>888</v>
      </c>
      <c r="J1858" s="12" t="n">
        <f aca="false">COUNT(E1858,G1858,I1858)</f>
        <v>1</v>
      </c>
      <c r="K1858" s="13" t="n">
        <f aca="false">MIN(E1858,G1858,I1858)</f>
        <v>888</v>
      </c>
      <c r="L1858" s="9" t="str">
        <f aca="false">IF(E1858=K1858,"5000m",IF(G1858=K1858,"3000mSC","1500m"))</f>
        <v>1500m</v>
      </c>
      <c r="M1858" s="14" t="n">
        <f aca="false">(D1858&lt;&gt;"")*(D1858&lt;=($E$3*60+$F$3)/86400)+(F1858&lt;&gt;"")*(F1858&lt;=($I$3*60+$J$3)/86400)+(H1858&lt;&gt;"")*(H1858&lt;=($M$3*60+$N$3)/86400)</f>
        <v>0</v>
      </c>
      <c r="N1858" s="16"/>
      <c r="O1858" s="15"/>
    </row>
    <row r="1859" customFormat="false" ht="15" hidden="false" customHeight="false" outlineLevel="0" collapsed="false">
      <c r="A1859" s="9" t="n">
        <v>1853</v>
      </c>
      <c r="B1859" s="10" t="s">
        <v>2647</v>
      </c>
      <c r="C1859" s="10" t="s">
        <v>317</v>
      </c>
      <c r="D1859" s="11" t="n">
        <v>0.0108800925925926</v>
      </c>
      <c r="E1859" s="12" t="n">
        <v>889</v>
      </c>
      <c r="F1859" s="11"/>
      <c r="G1859" s="12"/>
      <c r="H1859" s="11"/>
      <c r="I1859" s="12"/>
      <c r="J1859" s="12" t="n">
        <f aca="false">COUNT(E1859,G1859,I1859)</f>
        <v>1</v>
      </c>
      <c r="K1859" s="13" t="n">
        <f aca="false">MIN(E1859,G1859,I1859)</f>
        <v>889</v>
      </c>
      <c r="L1859" s="9" t="str">
        <f aca="false">IF(E1859=K1859,"5000m",IF(G1859=K1859,"3000mSC","1500m"))</f>
        <v>5000m</v>
      </c>
      <c r="M1859" s="14" t="n">
        <f aca="false">(D1859&lt;&gt;"")*(D1859&lt;=($E$3*60+$F$3)/86400)+(F1859&lt;&gt;"")*(F1859&lt;=($I$3*60+$J$3)/86400)+(H1859&lt;&gt;"")*(H1859&lt;=($M$3*60+$N$3)/86400)</f>
        <v>0</v>
      </c>
      <c r="N1859" s="16"/>
      <c r="O1859" s="15"/>
    </row>
    <row r="1860" customFormat="false" ht="25.35" hidden="false" customHeight="false" outlineLevel="0" collapsed="false">
      <c r="A1860" s="9" t="n">
        <v>1854</v>
      </c>
      <c r="B1860" s="10" t="s">
        <v>2648</v>
      </c>
      <c r="C1860" s="10" t="s">
        <v>2062</v>
      </c>
      <c r="D1860" s="11"/>
      <c r="E1860" s="12"/>
      <c r="F1860" s="11" t="n">
        <v>0.00750462962962963</v>
      </c>
      <c r="G1860" s="12" t="n">
        <v>889</v>
      </c>
      <c r="H1860" s="11"/>
      <c r="I1860" s="12"/>
      <c r="J1860" s="12" t="n">
        <f aca="false">COUNT(E1860,G1860,I1860)</f>
        <v>1</v>
      </c>
      <c r="K1860" s="13" t="n">
        <f aca="false">MIN(E1860,G1860,I1860)</f>
        <v>889</v>
      </c>
      <c r="L1860" s="9" t="str">
        <f aca="false">IF(E1860=K1860,"5000m",IF(G1860=K1860,"3000mSC","1500m"))</f>
        <v>3000mSC</v>
      </c>
      <c r="M1860" s="14" t="n">
        <f aca="false">(D1860&lt;&gt;"")*(D1860&lt;=($E$3*60+$F$3)/86400)+(F1860&lt;&gt;"")*(F1860&lt;=($I$3*60+$J$3)/86400)+(H1860&lt;&gt;"")*(H1860&lt;=($M$3*60+$N$3)/86400)</f>
        <v>0</v>
      </c>
      <c r="N1860" s="16"/>
      <c r="O1860" s="15"/>
    </row>
    <row r="1861" customFormat="false" ht="15" hidden="false" customHeight="false" outlineLevel="0" collapsed="false">
      <c r="A1861" s="9" t="n">
        <v>1855</v>
      </c>
      <c r="B1861" s="10" t="s">
        <v>2649</v>
      </c>
      <c r="C1861" s="10" t="s">
        <v>2650</v>
      </c>
      <c r="D1861" s="11"/>
      <c r="E1861" s="12"/>
      <c r="F1861" s="11"/>
      <c r="G1861" s="12"/>
      <c r="H1861" s="11" t="n">
        <v>0.00289201388888889</v>
      </c>
      <c r="I1861" s="12" t="n">
        <v>889</v>
      </c>
      <c r="J1861" s="12" t="n">
        <f aca="false">COUNT(E1861,G1861,I1861)</f>
        <v>1</v>
      </c>
      <c r="K1861" s="13" t="n">
        <f aca="false">MIN(E1861,G1861,I1861)</f>
        <v>889</v>
      </c>
      <c r="L1861" s="9" t="str">
        <f aca="false">IF(E1861=K1861,"5000m",IF(G1861=K1861,"3000mSC","1500m"))</f>
        <v>1500m</v>
      </c>
      <c r="M1861" s="14" t="n">
        <f aca="false">(D1861&lt;&gt;"")*(D1861&lt;=($E$3*60+$F$3)/86400)+(F1861&lt;&gt;"")*(F1861&lt;=($I$3*60+$J$3)/86400)+(H1861&lt;&gt;"")*(H1861&lt;=($M$3*60+$N$3)/86400)</f>
        <v>0</v>
      </c>
      <c r="N1861" s="16"/>
      <c r="O1861" s="15"/>
    </row>
    <row r="1862" customFormat="false" ht="15" hidden="false" customHeight="false" outlineLevel="0" collapsed="false">
      <c r="A1862" s="9" t="n">
        <v>1856</v>
      </c>
      <c r="B1862" s="10" t="s">
        <v>2651</v>
      </c>
      <c r="C1862" s="10" t="s">
        <v>1496</v>
      </c>
      <c r="D1862" s="11" t="n">
        <v>0.0110709490740741</v>
      </c>
      <c r="E1862" s="12" t="n">
        <v>1236</v>
      </c>
      <c r="F1862" s="11"/>
      <c r="G1862" s="12"/>
      <c r="H1862" s="11" t="n">
        <v>0.00289212962962963</v>
      </c>
      <c r="I1862" s="12" t="n">
        <v>890</v>
      </c>
      <c r="J1862" s="12" t="n">
        <f aca="false">COUNT(E1862,G1862,I1862)</f>
        <v>2</v>
      </c>
      <c r="K1862" s="13" t="n">
        <f aca="false">MIN(E1862,G1862,I1862)</f>
        <v>890</v>
      </c>
      <c r="L1862" s="9" t="str">
        <f aca="false">IF(E1862=K1862,"5000m",IF(G1862=K1862,"3000mSC","1500m"))</f>
        <v>1500m</v>
      </c>
      <c r="M1862" s="14" t="n">
        <f aca="false">(D1862&lt;&gt;"")*(D1862&lt;=($E$3*60+$F$3)/86400)+(F1862&lt;&gt;"")*(F1862&lt;=($I$3*60+$J$3)/86400)+(H1862&lt;&gt;"")*(H1862&lt;=($M$3*60+$N$3)/86400)</f>
        <v>0</v>
      </c>
      <c r="N1862" s="16"/>
      <c r="O1862" s="15"/>
    </row>
    <row r="1863" customFormat="false" ht="15" hidden="false" customHeight="false" outlineLevel="0" collapsed="false">
      <c r="A1863" s="9" t="n">
        <v>1857</v>
      </c>
      <c r="B1863" s="10" t="s">
        <v>2652</v>
      </c>
      <c r="C1863" s="10" t="s">
        <v>242</v>
      </c>
      <c r="D1863" s="11" t="n">
        <v>0.0108803240740741</v>
      </c>
      <c r="E1863" s="12" t="n">
        <v>890</v>
      </c>
      <c r="F1863" s="11"/>
      <c r="G1863" s="12"/>
      <c r="H1863" s="11"/>
      <c r="I1863" s="12"/>
      <c r="J1863" s="12" t="n">
        <f aca="false">COUNT(E1863,G1863,I1863)</f>
        <v>1</v>
      </c>
      <c r="K1863" s="13" t="n">
        <f aca="false">MIN(E1863,G1863,I1863)</f>
        <v>890</v>
      </c>
      <c r="L1863" s="9" t="str">
        <f aca="false">IF(E1863=K1863,"5000m",IF(G1863=K1863,"3000mSC","1500m"))</f>
        <v>5000m</v>
      </c>
      <c r="M1863" s="14" t="n">
        <f aca="false">(D1863&lt;&gt;"")*(D1863&lt;=($E$3*60+$F$3)/86400)+(F1863&lt;&gt;"")*(F1863&lt;=($I$3*60+$J$3)/86400)+(H1863&lt;&gt;"")*(H1863&lt;=($M$3*60+$N$3)/86400)</f>
        <v>0</v>
      </c>
      <c r="N1863" s="16"/>
      <c r="O1863" s="15"/>
    </row>
    <row r="1864" customFormat="false" ht="25.35" hidden="false" customHeight="false" outlineLevel="0" collapsed="false">
      <c r="A1864" s="9" t="n">
        <v>1858</v>
      </c>
      <c r="B1864" s="10" t="s">
        <v>2653</v>
      </c>
      <c r="C1864" s="10" t="s">
        <v>2654</v>
      </c>
      <c r="D1864" s="11"/>
      <c r="E1864" s="12"/>
      <c r="F1864" s="11" t="n">
        <v>0.00750520833333333</v>
      </c>
      <c r="G1864" s="12" t="n">
        <v>890</v>
      </c>
      <c r="H1864" s="11"/>
      <c r="I1864" s="12"/>
      <c r="J1864" s="12" t="n">
        <f aca="false">COUNT(E1864,G1864,I1864)</f>
        <v>1</v>
      </c>
      <c r="K1864" s="13" t="n">
        <f aca="false">MIN(E1864,G1864,I1864)</f>
        <v>890</v>
      </c>
      <c r="L1864" s="9" t="str">
        <f aca="false">IF(E1864=K1864,"5000m",IF(G1864=K1864,"3000mSC","1500m"))</f>
        <v>3000mSC</v>
      </c>
      <c r="M1864" s="14" t="n">
        <f aca="false">(D1864&lt;&gt;"")*(D1864&lt;=($E$3*60+$F$3)/86400)+(F1864&lt;&gt;"")*(F1864&lt;=($I$3*60+$J$3)/86400)+(H1864&lt;&gt;"")*(H1864&lt;=($M$3*60+$N$3)/86400)</f>
        <v>0</v>
      </c>
      <c r="N1864" s="16"/>
      <c r="O1864" s="15"/>
    </row>
    <row r="1865" customFormat="false" ht="25.35" hidden="false" customHeight="false" outlineLevel="0" collapsed="false">
      <c r="A1865" s="9" t="n">
        <v>1859</v>
      </c>
      <c r="B1865" s="10" t="s">
        <v>2655</v>
      </c>
      <c r="C1865" s="10" t="s">
        <v>865</v>
      </c>
      <c r="D1865" s="11"/>
      <c r="E1865" s="12"/>
      <c r="F1865" s="11" t="n">
        <v>0.00750625</v>
      </c>
      <c r="G1865" s="12" t="n">
        <v>891</v>
      </c>
      <c r="H1865" s="11"/>
      <c r="I1865" s="12"/>
      <c r="J1865" s="12" t="n">
        <f aca="false">COUNT(E1865,G1865,I1865)</f>
        <v>1</v>
      </c>
      <c r="K1865" s="13" t="n">
        <f aca="false">MIN(E1865,G1865,I1865)</f>
        <v>891</v>
      </c>
      <c r="L1865" s="9" t="str">
        <f aca="false">IF(E1865=K1865,"5000m",IF(G1865=K1865,"3000mSC","1500m"))</f>
        <v>3000mSC</v>
      </c>
      <c r="M1865" s="14" t="n">
        <f aca="false">(D1865&lt;&gt;"")*(D1865&lt;=($E$3*60+$F$3)/86400)+(F1865&lt;&gt;"")*(F1865&lt;=($I$3*60+$J$3)/86400)+(H1865&lt;&gt;"")*(H1865&lt;=($M$3*60+$N$3)/86400)</f>
        <v>0</v>
      </c>
      <c r="N1865" s="16"/>
      <c r="O1865" s="15"/>
    </row>
    <row r="1866" customFormat="false" ht="15" hidden="false" customHeight="false" outlineLevel="0" collapsed="false">
      <c r="A1866" s="9" t="n">
        <v>1860</v>
      </c>
      <c r="B1866" s="10" t="s">
        <v>2656</v>
      </c>
      <c r="C1866" s="10" t="s">
        <v>109</v>
      </c>
      <c r="D1866" s="11" t="n">
        <v>0.01088125</v>
      </c>
      <c r="E1866" s="12" t="n">
        <v>892</v>
      </c>
      <c r="F1866" s="11"/>
      <c r="G1866" s="12"/>
      <c r="H1866" s="11" t="n">
        <v>0.00290358796296296</v>
      </c>
      <c r="I1866" s="12" t="n">
        <v>976</v>
      </c>
      <c r="J1866" s="12" t="n">
        <f aca="false">COUNT(E1866,G1866,I1866)</f>
        <v>2</v>
      </c>
      <c r="K1866" s="13" t="n">
        <f aca="false">MIN(E1866,G1866,I1866)</f>
        <v>892</v>
      </c>
      <c r="L1866" s="9" t="str">
        <f aca="false">IF(E1866=K1866,"5000m",IF(G1866=K1866,"3000mSC","1500m"))</f>
        <v>5000m</v>
      </c>
      <c r="M1866" s="14" t="n">
        <f aca="false">(D1866&lt;&gt;"")*(D1866&lt;=($E$3*60+$F$3)/86400)+(F1866&lt;&gt;"")*(F1866&lt;=($I$3*60+$J$3)/86400)+(H1866&lt;&gt;"")*(H1866&lt;=($M$3*60+$N$3)/86400)</f>
        <v>0</v>
      </c>
      <c r="N1866" s="16"/>
      <c r="O1866" s="15"/>
    </row>
    <row r="1867" customFormat="false" ht="25.35" hidden="false" customHeight="false" outlineLevel="0" collapsed="false">
      <c r="A1867" s="9" t="n">
        <v>1861</v>
      </c>
      <c r="B1867" s="10" t="s">
        <v>2657</v>
      </c>
      <c r="C1867" s="10" t="s">
        <v>460</v>
      </c>
      <c r="D1867" s="11"/>
      <c r="E1867" s="12"/>
      <c r="F1867" s="11" t="n">
        <v>0.00750636574074074</v>
      </c>
      <c r="G1867" s="12" t="n">
        <v>892</v>
      </c>
      <c r="H1867" s="11"/>
      <c r="I1867" s="12"/>
      <c r="J1867" s="12" t="n">
        <f aca="false">COUNT(E1867,G1867,I1867)</f>
        <v>1</v>
      </c>
      <c r="K1867" s="13" t="n">
        <f aca="false">MIN(E1867,G1867,I1867)</f>
        <v>892</v>
      </c>
      <c r="L1867" s="9" t="str">
        <f aca="false">IF(E1867=K1867,"5000m",IF(G1867=K1867,"3000mSC","1500m"))</f>
        <v>3000mSC</v>
      </c>
      <c r="M1867" s="14" t="n">
        <f aca="false">(D1867&lt;&gt;"")*(D1867&lt;=($E$3*60+$F$3)/86400)+(F1867&lt;&gt;"")*(F1867&lt;=($I$3*60+$J$3)/86400)+(H1867&lt;&gt;"")*(H1867&lt;=($M$3*60+$N$3)/86400)</f>
        <v>0</v>
      </c>
      <c r="N1867" s="16"/>
      <c r="O1867" s="15"/>
    </row>
    <row r="1868" customFormat="false" ht="15" hidden="false" customHeight="false" outlineLevel="0" collapsed="false">
      <c r="A1868" s="9" t="n">
        <v>1862</v>
      </c>
      <c r="B1868" s="10" t="s">
        <v>2658</v>
      </c>
      <c r="C1868" s="10" t="s">
        <v>2171</v>
      </c>
      <c r="D1868" s="11" t="n">
        <v>0.0108825231481482</v>
      </c>
      <c r="E1868" s="12" t="n">
        <v>893</v>
      </c>
      <c r="F1868" s="11"/>
      <c r="G1868" s="12"/>
      <c r="H1868" s="11"/>
      <c r="I1868" s="12"/>
      <c r="J1868" s="12" t="n">
        <f aca="false">COUNT(E1868,G1868,I1868)</f>
        <v>1</v>
      </c>
      <c r="K1868" s="13" t="n">
        <f aca="false">MIN(E1868,G1868,I1868)</f>
        <v>893</v>
      </c>
      <c r="L1868" s="9" t="str">
        <f aca="false">IF(E1868=K1868,"5000m",IF(G1868=K1868,"3000mSC","1500m"))</f>
        <v>5000m</v>
      </c>
      <c r="M1868" s="14" t="n">
        <f aca="false">(D1868&lt;&gt;"")*(D1868&lt;=($E$3*60+$F$3)/86400)+(F1868&lt;&gt;"")*(F1868&lt;=($I$3*60+$J$3)/86400)+(H1868&lt;&gt;"")*(H1868&lt;=($M$3*60+$N$3)/86400)</f>
        <v>0</v>
      </c>
      <c r="N1868" s="16"/>
      <c r="O1868" s="15"/>
    </row>
    <row r="1869" customFormat="false" ht="25.35" hidden="false" customHeight="false" outlineLevel="0" collapsed="false">
      <c r="A1869" s="9" t="n">
        <v>1863</v>
      </c>
      <c r="B1869" s="10" t="s">
        <v>2659</v>
      </c>
      <c r="C1869" s="10" t="s">
        <v>810</v>
      </c>
      <c r="D1869" s="11"/>
      <c r="E1869" s="12"/>
      <c r="F1869" s="11" t="n">
        <v>0.00750729166666667</v>
      </c>
      <c r="G1869" s="12" t="n">
        <v>893</v>
      </c>
      <c r="H1869" s="11"/>
      <c r="I1869" s="12"/>
      <c r="J1869" s="12" t="n">
        <f aca="false">COUNT(E1869,G1869,I1869)</f>
        <v>1</v>
      </c>
      <c r="K1869" s="13" t="n">
        <f aca="false">MIN(E1869,G1869,I1869)</f>
        <v>893</v>
      </c>
      <c r="L1869" s="9" t="str">
        <f aca="false">IF(E1869=K1869,"5000m",IF(G1869=K1869,"3000mSC","1500m"))</f>
        <v>3000mSC</v>
      </c>
      <c r="M1869" s="14" t="n">
        <f aca="false">(D1869&lt;&gt;"")*(D1869&lt;=($E$3*60+$F$3)/86400)+(F1869&lt;&gt;"")*(F1869&lt;=($I$3*60+$J$3)/86400)+(H1869&lt;&gt;"")*(H1869&lt;=($M$3*60+$N$3)/86400)</f>
        <v>0</v>
      </c>
      <c r="N1869" s="16"/>
      <c r="O1869" s="15"/>
    </row>
    <row r="1870" customFormat="false" ht="25.35" hidden="false" customHeight="false" outlineLevel="0" collapsed="false">
      <c r="A1870" s="9" t="n">
        <v>1864</v>
      </c>
      <c r="B1870" s="10" t="s">
        <v>2660</v>
      </c>
      <c r="C1870" s="10" t="s">
        <v>2661</v>
      </c>
      <c r="D1870" s="11"/>
      <c r="E1870" s="12"/>
      <c r="F1870" s="11" t="n">
        <v>0.00750740740740741</v>
      </c>
      <c r="G1870" s="12" t="n">
        <v>894</v>
      </c>
      <c r="H1870" s="11"/>
      <c r="I1870" s="12"/>
      <c r="J1870" s="12" t="n">
        <f aca="false">COUNT(E1870,G1870,I1870)</f>
        <v>1</v>
      </c>
      <c r="K1870" s="13" t="n">
        <f aca="false">MIN(E1870,G1870,I1870)</f>
        <v>894</v>
      </c>
      <c r="L1870" s="9" t="str">
        <f aca="false">IF(E1870=K1870,"5000m",IF(G1870=K1870,"3000mSC","1500m"))</f>
        <v>3000mSC</v>
      </c>
      <c r="M1870" s="14" t="n">
        <f aca="false">(D1870&lt;&gt;"")*(D1870&lt;=($E$3*60+$F$3)/86400)+(F1870&lt;&gt;"")*(F1870&lt;=($I$3*60+$J$3)/86400)+(H1870&lt;&gt;"")*(H1870&lt;=($M$3*60+$N$3)/86400)</f>
        <v>0</v>
      </c>
      <c r="N1870" s="16"/>
      <c r="O1870" s="15"/>
    </row>
    <row r="1871" customFormat="false" ht="15" hidden="false" customHeight="false" outlineLevel="0" collapsed="false">
      <c r="A1871" s="9" t="n">
        <v>1865</v>
      </c>
      <c r="B1871" s="10" t="s">
        <v>2662</v>
      </c>
      <c r="C1871" s="10" t="s">
        <v>2663</v>
      </c>
      <c r="D1871" s="11"/>
      <c r="E1871" s="12"/>
      <c r="F1871" s="11"/>
      <c r="G1871" s="12"/>
      <c r="H1871" s="11" t="n">
        <v>0.00289247685185185</v>
      </c>
      <c r="I1871" s="12" t="n">
        <v>894</v>
      </c>
      <c r="J1871" s="12" t="n">
        <f aca="false">COUNT(E1871,G1871,I1871)</f>
        <v>1</v>
      </c>
      <c r="K1871" s="13" t="n">
        <f aca="false">MIN(E1871,G1871,I1871)</f>
        <v>894</v>
      </c>
      <c r="L1871" s="9" t="str">
        <f aca="false">IF(E1871=K1871,"5000m",IF(G1871=K1871,"3000mSC","1500m"))</f>
        <v>1500m</v>
      </c>
      <c r="M1871" s="14" t="n">
        <f aca="false">(D1871&lt;&gt;"")*(D1871&lt;=($E$3*60+$F$3)/86400)+(F1871&lt;&gt;"")*(F1871&lt;=($I$3*60+$J$3)/86400)+(H1871&lt;&gt;"")*(H1871&lt;=($M$3*60+$N$3)/86400)</f>
        <v>0</v>
      </c>
      <c r="N1871" s="16"/>
      <c r="O1871" s="15"/>
    </row>
    <row r="1872" customFormat="false" ht="15" hidden="false" customHeight="false" outlineLevel="0" collapsed="false">
      <c r="A1872" s="9" t="n">
        <v>1866</v>
      </c>
      <c r="B1872" s="10" t="s">
        <v>2664</v>
      </c>
      <c r="C1872" s="10" t="s">
        <v>171</v>
      </c>
      <c r="D1872" s="11" t="n">
        <v>0.0108827546296296</v>
      </c>
      <c r="E1872" s="12" t="n">
        <v>895</v>
      </c>
      <c r="F1872" s="11"/>
      <c r="G1872" s="12"/>
      <c r="H1872" s="11"/>
      <c r="I1872" s="12"/>
      <c r="J1872" s="12" t="n">
        <f aca="false">COUNT(E1872,G1872,I1872)</f>
        <v>1</v>
      </c>
      <c r="K1872" s="13" t="n">
        <f aca="false">MIN(E1872,G1872,I1872)</f>
        <v>895</v>
      </c>
      <c r="L1872" s="9" t="str">
        <f aca="false">IF(E1872=K1872,"5000m",IF(G1872=K1872,"3000mSC","1500m"))</f>
        <v>5000m</v>
      </c>
      <c r="M1872" s="14" t="n">
        <f aca="false">(D1872&lt;&gt;"")*(D1872&lt;=($E$3*60+$F$3)/86400)+(F1872&lt;&gt;"")*(F1872&lt;=($I$3*60+$J$3)/86400)+(H1872&lt;&gt;"")*(H1872&lt;=($M$3*60+$N$3)/86400)</f>
        <v>0</v>
      </c>
      <c r="N1872" s="16"/>
      <c r="O1872" s="15"/>
    </row>
    <row r="1873" customFormat="false" ht="25.35" hidden="false" customHeight="false" outlineLevel="0" collapsed="false">
      <c r="A1873" s="9" t="n">
        <v>1867</v>
      </c>
      <c r="B1873" s="10" t="s">
        <v>2665</v>
      </c>
      <c r="C1873" s="10" t="s">
        <v>2666</v>
      </c>
      <c r="D1873" s="11"/>
      <c r="E1873" s="12"/>
      <c r="F1873" s="11" t="n">
        <v>0.00750763888888889</v>
      </c>
      <c r="G1873" s="12" t="n">
        <v>895</v>
      </c>
      <c r="H1873" s="11"/>
      <c r="I1873" s="12"/>
      <c r="J1873" s="12" t="n">
        <f aca="false">COUNT(E1873,G1873,I1873)</f>
        <v>1</v>
      </c>
      <c r="K1873" s="13" t="n">
        <f aca="false">MIN(E1873,G1873,I1873)</f>
        <v>895</v>
      </c>
      <c r="L1873" s="9" t="str">
        <f aca="false">IF(E1873=K1873,"5000m",IF(G1873=K1873,"3000mSC","1500m"))</f>
        <v>3000mSC</v>
      </c>
      <c r="M1873" s="14" t="n">
        <f aca="false">(D1873&lt;&gt;"")*(D1873&lt;=($E$3*60+$F$3)/86400)+(F1873&lt;&gt;"")*(F1873&lt;=($I$3*60+$J$3)/86400)+(H1873&lt;&gt;"")*(H1873&lt;=($M$3*60+$N$3)/86400)</f>
        <v>0</v>
      </c>
      <c r="N1873" s="16"/>
      <c r="O1873" s="15"/>
    </row>
    <row r="1874" customFormat="false" ht="15" hidden="false" customHeight="false" outlineLevel="0" collapsed="false">
      <c r="A1874" s="9" t="n">
        <v>1868</v>
      </c>
      <c r="B1874" s="10" t="s">
        <v>2667</v>
      </c>
      <c r="C1874" s="10" t="s">
        <v>286</v>
      </c>
      <c r="D1874" s="11" t="n">
        <v>0.0108831018518519</v>
      </c>
      <c r="E1874" s="12" t="n">
        <v>896</v>
      </c>
      <c r="F1874" s="11"/>
      <c r="G1874" s="12"/>
      <c r="H1874" s="11" t="n">
        <v>0.0029318287037037</v>
      </c>
      <c r="I1874" s="12" t="n">
        <v>1178</v>
      </c>
      <c r="J1874" s="12" t="n">
        <f aca="false">COUNT(E1874,G1874,I1874)</f>
        <v>2</v>
      </c>
      <c r="K1874" s="13" t="n">
        <f aca="false">MIN(E1874,G1874,I1874)</f>
        <v>896</v>
      </c>
      <c r="L1874" s="9" t="str">
        <f aca="false">IF(E1874=K1874,"5000m",IF(G1874=K1874,"3000mSC","1500m"))</f>
        <v>5000m</v>
      </c>
      <c r="M1874" s="14" t="n">
        <f aca="false">(D1874&lt;&gt;"")*(D1874&lt;=($E$3*60+$F$3)/86400)+(F1874&lt;&gt;"")*(F1874&lt;=($I$3*60+$J$3)/86400)+(H1874&lt;&gt;"")*(H1874&lt;=($M$3*60+$N$3)/86400)</f>
        <v>0</v>
      </c>
      <c r="N1874" s="16"/>
      <c r="O1874" s="15"/>
    </row>
    <row r="1875" customFormat="false" ht="25.35" hidden="false" customHeight="false" outlineLevel="0" collapsed="false">
      <c r="A1875" s="9" t="n">
        <v>1869</v>
      </c>
      <c r="B1875" s="10" t="s">
        <v>2668</v>
      </c>
      <c r="C1875" s="10" t="s">
        <v>783</v>
      </c>
      <c r="D1875" s="11"/>
      <c r="E1875" s="12"/>
      <c r="F1875" s="11" t="n">
        <v>0.00750798611111111</v>
      </c>
      <c r="G1875" s="12" t="n">
        <v>896</v>
      </c>
      <c r="H1875" s="11"/>
      <c r="I1875" s="12"/>
      <c r="J1875" s="12" t="n">
        <f aca="false">COUNT(E1875,G1875,I1875)</f>
        <v>1</v>
      </c>
      <c r="K1875" s="13" t="n">
        <f aca="false">MIN(E1875,G1875,I1875)</f>
        <v>896</v>
      </c>
      <c r="L1875" s="9" t="str">
        <f aca="false">IF(E1875=K1875,"5000m",IF(G1875=K1875,"3000mSC","1500m"))</f>
        <v>3000mSC</v>
      </c>
      <c r="M1875" s="14" t="n">
        <f aca="false">(D1875&lt;&gt;"")*(D1875&lt;=($E$3*60+$F$3)/86400)+(F1875&lt;&gt;"")*(F1875&lt;=($I$3*60+$J$3)/86400)+(H1875&lt;&gt;"")*(H1875&lt;=($M$3*60+$N$3)/86400)</f>
        <v>0</v>
      </c>
      <c r="N1875" s="16"/>
      <c r="O1875" s="15"/>
    </row>
    <row r="1876" customFormat="false" ht="15" hidden="false" customHeight="false" outlineLevel="0" collapsed="false">
      <c r="A1876" s="9" t="n">
        <v>1870</v>
      </c>
      <c r="B1876" s="10" t="s">
        <v>2669</v>
      </c>
      <c r="C1876" s="10" t="s">
        <v>2670</v>
      </c>
      <c r="D1876" s="11"/>
      <c r="E1876" s="12"/>
      <c r="F1876" s="11"/>
      <c r="G1876" s="12"/>
      <c r="H1876" s="11" t="n">
        <v>0.00289293981481482</v>
      </c>
      <c r="I1876" s="12" t="n">
        <v>896</v>
      </c>
      <c r="J1876" s="12" t="n">
        <f aca="false">COUNT(E1876,G1876,I1876)</f>
        <v>1</v>
      </c>
      <c r="K1876" s="13" t="n">
        <f aca="false">MIN(E1876,G1876,I1876)</f>
        <v>896</v>
      </c>
      <c r="L1876" s="9" t="str">
        <f aca="false">IF(E1876=K1876,"5000m",IF(G1876=K1876,"3000mSC","1500m"))</f>
        <v>1500m</v>
      </c>
      <c r="M1876" s="14" t="n">
        <f aca="false">(D1876&lt;&gt;"")*(D1876&lt;=($E$3*60+$F$3)/86400)+(F1876&lt;&gt;"")*(F1876&lt;=($I$3*60+$J$3)/86400)+(H1876&lt;&gt;"")*(H1876&lt;=($M$3*60+$N$3)/86400)</f>
        <v>0</v>
      </c>
      <c r="N1876" s="16"/>
      <c r="O1876" s="15"/>
    </row>
    <row r="1877" customFormat="false" ht="15" hidden="false" customHeight="false" outlineLevel="0" collapsed="false">
      <c r="A1877" s="9" t="n">
        <v>1871</v>
      </c>
      <c r="B1877" s="10" t="s">
        <v>2671</v>
      </c>
      <c r="C1877" s="10" t="s">
        <v>949</v>
      </c>
      <c r="D1877" s="11"/>
      <c r="E1877" s="12"/>
      <c r="F1877" s="11"/>
      <c r="G1877" s="12"/>
      <c r="H1877" s="11" t="n">
        <v>0.00289293981481482</v>
      </c>
      <c r="I1877" s="12" t="n">
        <v>897</v>
      </c>
      <c r="J1877" s="12" t="n">
        <f aca="false">COUNT(E1877,G1877,I1877)</f>
        <v>1</v>
      </c>
      <c r="K1877" s="13" t="n">
        <f aca="false">MIN(E1877,G1877,I1877)</f>
        <v>897</v>
      </c>
      <c r="L1877" s="9" t="str">
        <f aca="false">IF(E1877=K1877,"5000m",IF(G1877=K1877,"3000mSC","1500m"))</f>
        <v>1500m</v>
      </c>
      <c r="M1877" s="14" t="n">
        <f aca="false">(D1877&lt;&gt;"")*(D1877&lt;=($E$3*60+$F$3)/86400)+(F1877&lt;&gt;"")*(F1877&lt;=($I$3*60+$J$3)/86400)+(H1877&lt;&gt;"")*(H1877&lt;=($M$3*60+$N$3)/86400)</f>
        <v>0</v>
      </c>
      <c r="N1877" s="16"/>
      <c r="O1877" s="15"/>
    </row>
    <row r="1878" customFormat="false" ht="15" hidden="false" customHeight="false" outlineLevel="0" collapsed="false">
      <c r="A1878" s="9" t="n">
        <v>1872</v>
      </c>
      <c r="B1878" s="10" t="s">
        <v>2672</v>
      </c>
      <c r="C1878" s="10" t="s">
        <v>425</v>
      </c>
      <c r="D1878" s="11" t="n">
        <v>0.0108835648148148</v>
      </c>
      <c r="E1878" s="12" t="n">
        <v>898</v>
      </c>
      <c r="F1878" s="11"/>
      <c r="G1878" s="12"/>
      <c r="H1878" s="11"/>
      <c r="I1878" s="12"/>
      <c r="J1878" s="12" t="n">
        <f aca="false">COUNT(E1878,G1878,I1878)</f>
        <v>1</v>
      </c>
      <c r="K1878" s="13" t="n">
        <f aca="false">MIN(E1878,G1878,I1878)</f>
        <v>898</v>
      </c>
      <c r="L1878" s="9" t="str">
        <f aca="false">IF(E1878=K1878,"5000m",IF(G1878=K1878,"3000mSC","1500m"))</f>
        <v>5000m</v>
      </c>
      <c r="M1878" s="14" t="n">
        <f aca="false">(D1878&lt;&gt;"")*(D1878&lt;=($E$3*60+$F$3)/86400)+(F1878&lt;&gt;"")*(F1878&lt;=($I$3*60+$J$3)/86400)+(H1878&lt;&gt;"")*(H1878&lt;=($M$3*60+$N$3)/86400)</f>
        <v>0</v>
      </c>
      <c r="N1878" s="16"/>
      <c r="O1878" s="15"/>
    </row>
    <row r="1879" customFormat="false" ht="25.35" hidden="false" customHeight="false" outlineLevel="0" collapsed="false">
      <c r="A1879" s="9" t="n">
        <v>1873</v>
      </c>
      <c r="B1879" s="10" t="s">
        <v>2673</v>
      </c>
      <c r="C1879" s="10" t="s">
        <v>47</v>
      </c>
      <c r="D1879" s="11"/>
      <c r="E1879" s="12"/>
      <c r="F1879" s="11" t="n">
        <v>0.00750821759259259</v>
      </c>
      <c r="G1879" s="12" t="n">
        <v>898</v>
      </c>
      <c r="H1879" s="11"/>
      <c r="I1879" s="12"/>
      <c r="J1879" s="12" t="n">
        <f aca="false">COUNT(E1879,G1879,I1879)</f>
        <v>1</v>
      </c>
      <c r="K1879" s="13" t="n">
        <f aca="false">MIN(E1879,G1879,I1879)</f>
        <v>898</v>
      </c>
      <c r="L1879" s="9" t="str">
        <f aca="false">IF(E1879=K1879,"5000m",IF(G1879=K1879,"3000mSC","1500m"))</f>
        <v>3000mSC</v>
      </c>
      <c r="M1879" s="14" t="n">
        <f aca="false">(D1879&lt;&gt;"")*(D1879&lt;=($E$3*60+$F$3)/86400)+(F1879&lt;&gt;"")*(F1879&lt;=($I$3*60+$J$3)/86400)+(H1879&lt;&gt;"")*(H1879&lt;=($M$3*60+$N$3)/86400)</f>
        <v>0</v>
      </c>
      <c r="N1879" s="16"/>
      <c r="O1879" s="15"/>
    </row>
    <row r="1880" customFormat="false" ht="25.35" hidden="false" customHeight="false" outlineLevel="0" collapsed="false">
      <c r="A1880" s="9" t="n">
        <v>1874</v>
      </c>
      <c r="B1880" s="10" t="s">
        <v>2674</v>
      </c>
      <c r="C1880" s="10" t="s">
        <v>2675</v>
      </c>
      <c r="D1880" s="11"/>
      <c r="E1880" s="12"/>
      <c r="F1880" s="11" t="n">
        <v>0.00750833333333333</v>
      </c>
      <c r="G1880" s="12" t="n">
        <v>899</v>
      </c>
      <c r="H1880" s="11"/>
      <c r="I1880" s="12"/>
      <c r="J1880" s="12" t="n">
        <f aca="false">COUNT(E1880,G1880,I1880)</f>
        <v>1</v>
      </c>
      <c r="K1880" s="13" t="n">
        <f aca="false">MIN(E1880,G1880,I1880)</f>
        <v>899</v>
      </c>
      <c r="L1880" s="9" t="str">
        <f aca="false">IF(E1880=K1880,"5000m",IF(G1880=K1880,"3000mSC","1500m"))</f>
        <v>3000mSC</v>
      </c>
      <c r="M1880" s="14" t="n">
        <f aca="false">(D1880&lt;&gt;"")*(D1880&lt;=($E$3*60+$F$3)/86400)+(F1880&lt;&gt;"")*(F1880&lt;=($I$3*60+$J$3)/86400)+(H1880&lt;&gt;"")*(H1880&lt;=($M$3*60+$N$3)/86400)</f>
        <v>0</v>
      </c>
      <c r="N1880" s="16"/>
      <c r="O1880" s="15"/>
    </row>
    <row r="1881" customFormat="false" ht="25.35" hidden="false" customHeight="false" outlineLevel="0" collapsed="false">
      <c r="A1881" s="9" t="n">
        <v>1875</v>
      </c>
      <c r="B1881" s="10" t="s">
        <v>2676</v>
      </c>
      <c r="C1881" s="10" t="s">
        <v>2677</v>
      </c>
      <c r="D1881" s="11"/>
      <c r="E1881" s="12"/>
      <c r="F1881" s="11" t="n">
        <v>0.0075099537037037</v>
      </c>
      <c r="G1881" s="12" t="n">
        <v>900</v>
      </c>
      <c r="H1881" s="11"/>
      <c r="I1881" s="12"/>
      <c r="J1881" s="12" t="n">
        <f aca="false">COUNT(E1881,G1881,I1881)</f>
        <v>1</v>
      </c>
      <c r="K1881" s="13" t="n">
        <f aca="false">MIN(E1881,G1881,I1881)</f>
        <v>900</v>
      </c>
      <c r="L1881" s="9" t="str">
        <f aca="false">IF(E1881=K1881,"5000m",IF(G1881=K1881,"3000mSC","1500m"))</f>
        <v>3000mSC</v>
      </c>
      <c r="M1881" s="14" t="n">
        <f aca="false">(D1881&lt;&gt;"")*(D1881&lt;=($E$3*60+$F$3)/86400)+(F1881&lt;&gt;"")*(F1881&lt;=($I$3*60+$J$3)/86400)+(H1881&lt;&gt;"")*(H1881&lt;=($M$3*60+$N$3)/86400)</f>
        <v>0</v>
      </c>
      <c r="N1881" s="16"/>
      <c r="O1881" s="15"/>
    </row>
    <row r="1882" customFormat="false" ht="15" hidden="false" customHeight="false" outlineLevel="0" collapsed="false">
      <c r="A1882" s="9" t="n">
        <v>1876</v>
      </c>
      <c r="B1882" s="10" t="s">
        <v>2678</v>
      </c>
      <c r="C1882" s="10" t="s">
        <v>2679</v>
      </c>
      <c r="D1882" s="11"/>
      <c r="E1882" s="12"/>
      <c r="F1882" s="11"/>
      <c r="G1882" s="12"/>
      <c r="H1882" s="11" t="n">
        <v>0.00289340277777778</v>
      </c>
      <c r="I1882" s="12" t="n">
        <v>900</v>
      </c>
      <c r="J1882" s="12" t="n">
        <f aca="false">COUNT(E1882,G1882,I1882)</f>
        <v>1</v>
      </c>
      <c r="K1882" s="13" t="n">
        <f aca="false">MIN(E1882,G1882,I1882)</f>
        <v>900</v>
      </c>
      <c r="L1882" s="9" t="str">
        <f aca="false">IF(E1882=K1882,"5000m",IF(G1882=K1882,"3000mSC","1500m"))</f>
        <v>1500m</v>
      </c>
      <c r="M1882" s="14" t="n">
        <f aca="false">(D1882&lt;&gt;"")*(D1882&lt;=($E$3*60+$F$3)/86400)+(F1882&lt;&gt;"")*(F1882&lt;=($I$3*60+$J$3)/86400)+(H1882&lt;&gt;"")*(H1882&lt;=($M$3*60+$N$3)/86400)</f>
        <v>0</v>
      </c>
      <c r="N1882" s="16"/>
      <c r="O1882" s="15"/>
    </row>
    <row r="1883" customFormat="false" ht="15" hidden="false" customHeight="false" outlineLevel="0" collapsed="false">
      <c r="A1883" s="9" t="n">
        <v>1877</v>
      </c>
      <c r="B1883" s="10" t="s">
        <v>2680</v>
      </c>
      <c r="C1883" s="10" t="s">
        <v>126</v>
      </c>
      <c r="D1883" s="11" t="n">
        <v>0.0108858796296296</v>
      </c>
      <c r="E1883" s="12" t="n">
        <v>901</v>
      </c>
      <c r="F1883" s="11"/>
      <c r="G1883" s="12"/>
      <c r="H1883" s="11"/>
      <c r="I1883" s="12"/>
      <c r="J1883" s="12" t="n">
        <f aca="false">COUNT(E1883,G1883,I1883)</f>
        <v>1</v>
      </c>
      <c r="K1883" s="13" t="n">
        <f aca="false">MIN(E1883,G1883,I1883)</f>
        <v>901</v>
      </c>
      <c r="L1883" s="9" t="str">
        <f aca="false">IF(E1883=K1883,"5000m",IF(G1883=K1883,"3000mSC","1500m"))</f>
        <v>5000m</v>
      </c>
      <c r="M1883" s="14" t="n">
        <f aca="false">(D1883&lt;&gt;"")*(D1883&lt;=($E$3*60+$F$3)/86400)+(F1883&lt;&gt;"")*(F1883&lt;=($I$3*60+$J$3)/86400)+(H1883&lt;&gt;"")*(H1883&lt;=($M$3*60+$N$3)/86400)</f>
        <v>0</v>
      </c>
      <c r="N1883" s="16"/>
      <c r="O1883" s="15"/>
    </row>
    <row r="1884" customFormat="false" ht="25.35" hidden="false" customHeight="false" outlineLevel="0" collapsed="false">
      <c r="A1884" s="9" t="n">
        <v>1878</v>
      </c>
      <c r="B1884" s="10" t="s">
        <v>2681</v>
      </c>
      <c r="C1884" s="10" t="s">
        <v>2682</v>
      </c>
      <c r="D1884" s="11"/>
      <c r="E1884" s="12"/>
      <c r="F1884" s="11" t="n">
        <v>0.00751018518518519</v>
      </c>
      <c r="G1884" s="12" t="n">
        <v>901</v>
      </c>
      <c r="H1884" s="11"/>
      <c r="I1884" s="12"/>
      <c r="J1884" s="12" t="n">
        <f aca="false">COUNT(E1884,G1884,I1884)</f>
        <v>1</v>
      </c>
      <c r="K1884" s="13" t="n">
        <f aca="false">MIN(E1884,G1884,I1884)</f>
        <v>901</v>
      </c>
      <c r="L1884" s="9" t="str">
        <f aca="false">IF(E1884=K1884,"5000m",IF(G1884=K1884,"3000mSC","1500m"))</f>
        <v>3000mSC</v>
      </c>
      <c r="M1884" s="14" t="n">
        <f aca="false">(D1884&lt;&gt;"")*(D1884&lt;=($E$3*60+$F$3)/86400)+(F1884&lt;&gt;"")*(F1884&lt;=($I$3*60+$J$3)/86400)+(H1884&lt;&gt;"")*(H1884&lt;=($M$3*60+$N$3)/86400)</f>
        <v>0</v>
      </c>
      <c r="N1884" s="16"/>
      <c r="O1884" s="15"/>
    </row>
    <row r="1885" customFormat="false" ht="25.35" hidden="false" customHeight="false" outlineLevel="0" collapsed="false">
      <c r="A1885" s="9" t="n">
        <v>1879</v>
      </c>
      <c r="B1885" s="10" t="s">
        <v>2683</v>
      </c>
      <c r="C1885" s="10" t="s">
        <v>2610</v>
      </c>
      <c r="D1885" s="11"/>
      <c r="E1885" s="12"/>
      <c r="F1885" s="11" t="n">
        <v>0.00751053240740741</v>
      </c>
      <c r="G1885" s="12" t="n">
        <v>902</v>
      </c>
      <c r="H1885" s="11"/>
      <c r="I1885" s="12"/>
      <c r="J1885" s="12" t="n">
        <f aca="false">COUNT(E1885,G1885,I1885)</f>
        <v>1</v>
      </c>
      <c r="K1885" s="13" t="n">
        <f aca="false">MIN(E1885,G1885,I1885)</f>
        <v>902</v>
      </c>
      <c r="L1885" s="9" t="str">
        <f aca="false">IF(E1885=K1885,"5000m",IF(G1885=K1885,"3000mSC","1500m"))</f>
        <v>3000mSC</v>
      </c>
      <c r="M1885" s="14" t="n">
        <f aca="false">(D1885&lt;&gt;"")*(D1885&lt;=($E$3*60+$F$3)/86400)+(F1885&lt;&gt;"")*(F1885&lt;=($I$3*60+$J$3)/86400)+(H1885&lt;&gt;"")*(H1885&lt;=($M$3*60+$N$3)/86400)</f>
        <v>0</v>
      </c>
      <c r="N1885" s="16"/>
      <c r="O1885" s="15"/>
    </row>
    <row r="1886" customFormat="false" ht="15" hidden="false" customHeight="false" outlineLevel="0" collapsed="false">
      <c r="A1886" s="9" t="n">
        <v>1880</v>
      </c>
      <c r="B1886" s="10" t="s">
        <v>2684</v>
      </c>
      <c r="C1886" s="10" t="s">
        <v>2685</v>
      </c>
      <c r="D1886" s="11"/>
      <c r="E1886" s="12"/>
      <c r="F1886" s="11"/>
      <c r="G1886" s="12"/>
      <c r="H1886" s="11" t="n">
        <v>0.00289351851851852</v>
      </c>
      <c r="I1886" s="12" t="n">
        <v>902</v>
      </c>
      <c r="J1886" s="12" t="n">
        <f aca="false">COUNT(E1886,G1886,I1886)</f>
        <v>1</v>
      </c>
      <c r="K1886" s="13" t="n">
        <f aca="false">MIN(E1886,G1886,I1886)</f>
        <v>902</v>
      </c>
      <c r="L1886" s="9" t="str">
        <f aca="false">IF(E1886=K1886,"5000m",IF(G1886=K1886,"3000mSC","1500m"))</f>
        <v>1500m</v>
      </c>
      <c r="M1886" s="14" t="n">
        <f aca="false">(D1886&lt;&gt;"")*(D1886&lt;=($E$3*60+$F$3)/86400)+(F1886&lt;&gt;"")*(F1886&lt;=($I$3*60+$J$3)/86400)+(H1886&lt;&gt;"")*(H1886&lt;=($M$3*60+$N$3)/86400)</f>
        <v>0</v>
      </c>
      <c r="N1886" s="16"/>
      <c r="O1886" s="15"/>
    </row>
    <row r="1887" customFormat="false" ht="15" hidden="false" customHeight="false" outlineLevel="0" collapsed="false">
      <c r="A1887" s="9" t="n">
        <v>1881</v>
      </c>
      <c r="B1887" s="10" t="s">
        <v>2686</v>
      </c>
      <c r="C1887" s="10" t="s">
        <v>242</v>
      </c>
      <c r="D1887" s="11" t="n">
        <v>0.0108875</v>
      </c>
      <c r="E1887" s="12" t="n">
        <v>903</v>
      </c>
      <c r="F1887" s="11"/>
      <c r="G1887" s="12"/>
      <c r="H1887" s="11"/>
      <c r="I1887" s="12"/>
      <c r="J1887" s="12" t="n">
        <f aca="false">COUNT(E1887,G1887,I1887)</f>
        <v>1</v>
      </c>
      <c r="K1887" s="13" t="n">
        <f aca="false">MIN(E1887,G1887,I1887)</f>
        <v>903</v>
      </c>
      <c r="L1887" s="9" t="str">
        <f aca="false">IF(E1887=K1887,"5000m",IF(G1887=K1887,"3000mSC","1500m"))</f>
        <v>5000m</v>
      </c>
      <c r="M1887" s="14" t="n">
        <f aca="false">(D1887&lt;&gt;"")*(D1887&lt;=($E$3*60+$F$3)/86400)+(F1887&lt;&gt;"")*(F1887&lt;=($I$3*60+$J$3)/86400)+(H1887&lt;&gt;"")*(H1887&lt;=($M$3*60+$N$3)/86400)</f>
        <v>0</v>
      </c>
      <c r="N1887" s="16"/>
      <c r="O1887" s="15"/>
    </row>
    <row r="1888" customFormat="false" ht="25.35" hidden="false" customHeight="false" outlineLevel="0" collapsed="false">
      <c r="A1888" s="9" t="n">
        <v>1882</v>
      </c>
      <c r="B1888" s="10" t="s">
        <v>2687</v>
      </c>
      <c r="C1888" s="10" t="s">
        <v>2442</v>
      </c>
      <c r="D1888" s="11"/>
      <c r="E1888" s="12"/>
      <c r="F1888" s="11" t="n">
        <v>0.00751099537037037</v>
      </c>
      <c r="G1888" s="12" t="n">
        <v>903</v>
      </c>
      <c r="H1888" s="11"/>
      <c r="I1888" s="12"/>
      <c r="J1888" s="12" t="n">
        <f aca="false">COUNT(E1888,G1888,I1888)</f>
        <v>1</v>
      </c>
      <c r="K1888" s="13" t="n">
        <f aca="false">MIN(E1888,G1888,I1888)</f>
        <v>903</v>
      </c>
      <c r="L1888" s="9" t="str">
        <f aca="false">IF(E1888=K1888,"5000m",IF(G1888=K1888,"3000mSC","1500m"))</f>
        <v>3000mSC</v>
      </c>
      <c r="M1888" s="14" t="n">
        <f aca="false">(D1888&lt;&gt;"")*(D1888&lt;=($E$3*60+$F$3)/86400)+(F1888&lt;&gt;"")*(F1888&lt;=($I$3*60+$J$3)/86400)+(H1888&lt;&gt;"")*(H1888&lt;=($M$3*60+$N$3)/86400)</f>
        <v>0</v>
      </c>
      <c r="N1888" s="10" t="s">
        <v>2688</v>
      </c>
      <c r="O1888" s="15"/>
    </row>
    <row r="1889" customFormat="false" ht="15" hidden="false" customHeight="false" outlineLevel="0" collapsed="false">
      <c r="A1889" s="9" t="n">
        <v>1883</v>
      </c>
      <c r="B1889" s="10" t="s">
        <v>2689</v>
      </c>
      <c r="C1889" s="10" t="s">
        <v>2690</v>
      </c>
      <c r="D1889" s="11"/>
      <c r="E1889" s="12"/>
      <c r="F1889" s="11"/>
      <c r="G1889" s="12"/>
      <c r="H1889" s="11" t="n">
        <v>0.00289363425925926</v>
      </c>
      <c r="I1889" s="12" t="n">
        <v>903</v>
      </c>
      <c r="J1889" s="12" t="n">
        <f aca="false">COUNT(E1889,G1889,I1889)</f>
        <v>1</v>
      </c>
      <c r="K1889" s="13" t="n">
        <f aca="false">MIN(E1889,G1889,I1889)</f>
        <v>903</v>
      </c>
      <c r="L1889" s="9" t="str">
        <f aca="false">IF(E1889=K1889,"5000m",IF(G1889=K1889,"3000mSC","1500m"))</f>
        <v>1500m</v>
      </c>
      <c r="M1889" s="14" t="n">
        <f aca="false">(D1889&lt;&gt;"")*(D1889&lt;=($E$3*60+$F$3)/86400)+(F1889&lt;&gt;"")*(F1889&lt;=($I$3*60+$J$3)/86400)+(H1889&lt;&gt;"")*(H1889&lt;=($M$3*60+$N$3)/86400)</f>
        <v>0</v>
      </c>
      <c r="N1889" s="16"/>
      <c r="O1889" s="15"/>
    </row>
    <row r="1890" customFormat="false" ht="15" hidden="false" customHeight="false" outlineLevel="0" collapsed="false">
      <c r="A1890" s="9" t="n">
        <v>1884</v>
      </c>
      <c r="B1890" s="10" t="s">
        <v>2691</v>
      </c>
      <c r="C1890" s="10" t="s">
        <v>445</v>
      </c>
      <c r="D1890" s="11" t="n">
        <v>0.010980787037037</v>
      </c>
      <c r="E1890" s="12" t="n">
        <v>1057</v>
      </c>
      <c r="F1890" s="11"/>
      <c r="G1890" s="12"/>
      <c r="H1890" s="11" t="n">
        <v>0.00289398148148148</v>
      </c>
      <c r="I1890" s="12" t="n">
        <v>904</v>
      </c>
      <c r="J1890" s="12" t="n">
        <f aca="false">COUNT(E1890,G1890,I1890)</f>
        <v>2</v>
      </c>
      <c r="K1890" s="13" t="n">
        <f aca="false">MIN(E1890,G1890,I1890)</f>
        <v>904</v>
      </c>
      <c r="L1890" s="9" t="str">
        <f aca="false">IF(E1890=K1890,"5000m",IF(G1890=K1890,"3000mSC","1500m"))</f>
        <v>1500m</v>
      </c>
      <c r="M1890" s="14" t="n">
        <f aca="false">(D1890&lt;&gt;"")*(D1890&lt;=($E$3*60+$F$3)/86400)+(F1890&lt;&gt;"")*(F1890&lt;=($I$3*60+$J$3)/86400)+(H1890&lt;&gt;"")*(H1890&lt;=($M$3*60+$N$3)/86400)</f>
        <v>0</v>
      </c>
      <c r="N1890" s="16"/>
      <c r="O1890" s="15"/>
    </row>
    <row r="1891" customFormat="false" ht="25.35" hidden="false" customHeight="false" outlineLevel="0" collapsed="false">
      <c r="A1891" s="9" t="n">
        <v>1885</v>
      </c>
      <c r="B1891" s="10" t="s">
        <v>2692</v>
      </c>
      <c r="C1891" s="10" t="s">
        <v>2693</v>
      </c>
      <c r="D1891" s="11"/>
      <c r="E1891" s="12"/>
      <c r="F1891" s="11" t="n">
        <v>0.00751215277777778</v>
      </c>
      <c r="G1891" s="12" t="n">
        <v>904</v>
      </c>
      <c r="H1891" s="11"/>
      <c r="I1891" s="12"/>
      <c r="J1891" s="12" t="n">
        <f aca="false">COUNT(E1891,G1891,I1891)</f>
        <v>1</v>
      </c>
      <c r="K1891" s="13" t="n">
        <f aca="false">MIN(E1891,G1891,I1891)</f>
        <v>904</v>
      </c>
      <c r="L1891" s="9" t="str">
        <f aca="false">IF(E1891=K1891,"5000m",IF(G1891=K1891,"3000mSC","1500m"))</f>
        <v>3000mSC</v>
      </c>
      <c r="M1891" s="14" t="n">
        <f aca="false">(D1891&lt;&gt;"")*(D1891&lt;=($E$3*60+$F$3)/86400)+(F1891&lt;&gt;"")*(F1891&lt;=($I$3*60+$J$3)/86400)+(H1891&lt;&gt;"")*(H1891&lt;=($M$3*60+$N$3)/86400)</f>
        <v>0</v>
      </c>
      <c r="N1891" s="16"/>
      <c r="O1891" s="15"/>
    </row>
    <row r="1892" customFormat="false" ht="15" hidden="false" customHeight="false" outlineLevel="0" collapsed="false">
      <c r="A1892" s="9" t="n">
        <v>1886</v>
      </c>
      <c r="B1892" s="10" t="s">
        <v>2694</v>
      </c>
      <c r="C1892" s="10" t="s">
        <v>134</v>
      </c>
      <c r="D1892" s="11" t="n">
        <v>0.0108908564814815</v>
      </c>
      <c r="E1892" s="12" t="n">
        <v>905</v>
      </c>
      <c r="F1892" s="11"/>
      <c r="G1892" s="12"/>
      <c r="H1892" s="11" t="n">
        <v>0.00297569444444445</v>
      </c>
      <c r="I1892" s="12" t="n">
        <v>1332</v>
      </c>
      <c r="J1892" s="12" t="n">
        <f aca="false">COUNT(E1892,G1892,I1892)</f>
        <v>2</v>
      </c>
      <c r="K1892" s="13" t="n">
        <f aca="false">MIN(E1892,G1892,I1892)</f>
        <v>905</v>
      </c>
      <c r="L1892" s="9" t="str">
        <f aca="false">IF(E1892=K1892,"5000m",IF(G1892=K1892,"3000mSC","1500m"))</f>
        <v>5000m</v>
      </c>
      <c r="M1892" s="14" t="n">
        <f aca="false">(D1892&lt;&gt;"")*(D1892&lt;=($E$3*60+$F$3)/86400)+(F1892&lt;&gt;"")*(F1892&lt;=($I$3*60+$J$3)/86400)+(H1892&lt;&gt;"")*(H1892&lt;=($M$3*60+$N$3)/86400)</f>
        <v>0</v>
      </c>
      <c r="N1892" s="16"/>
      <c r="O1892" s="15"/>
    </row>
    <row r="1893" customFormat="false" ht="25.35" hidden="false" customHeight="false" outlineLevel="0" collapsed="false">
      <c r="A1893" s="9" t="n">
        <v>1887</v>
      </c>
      <c r="B1893" s="10" t="s">
        <v>2695</v>
      </c>
      <c r="C1893" s="10" t="s">
        <v>1119</v>
      </c>
      <c r="D1893" s="11"/>
      <c r="E1893" s="12"/>
      <c r="F1893" s="11" t="n">
        <v>0.00751377314814815</v>
      </c>
      <c r="G1893" s="12" t="n">
        <v>905</v>
      </c>
      <c r="H1893" s="11"/>
      <c r="I1893" s="12"/>
      <c r="J1893" s="12" t="n">
        <f aca="false">COUNT(E1893,G1893,I1893)</f>
        <v>1</v>
      </c>
      <c r="K1893" s="13" t="n">
        <f aca="false">MIN(E1893,G1893,I1893)</f>
        <v>905</v>
      </c>
      <c r="L1893" s="9" t="str">
        <f aca="false">IF(E1893=K1893,"5000m",IF(G1893=K1893,"3000mSC","1500m"))</f>
        <v>3000mSC</v>
      </c>
      <c r="M1893" s="14" t="n">
        <f aca="false">(D1893&lt;&gt;"")*(D1893&lt;=($E$3*60+$F$3)/86400)+(F1893&lt;&gt;"")*(F1893&lt;=($I$3*60+$J$3)/86400)+(H1893&lt;&gt;"")*(H1893&lt;=($M$3*60+$N$3)/86400)</f>
        <v>0</v>
      </c>
      <c r="N1893" s="16"/>
      <c r="O1893" s="15"/>
    </row>
    <row r="1894" customFormat="false" ht="25.35" hidden="false" customHeight="false" outlineLevel="0" collapsed="false">
      <c r="A1894" s="9" t="n">
        <v>1888</v>
      </c>
      <c r="B1894" s="10" t="s">
        <v>2696</v>
      </c>
      <c r="C1894" s="10" t="s">
        <v>884</v>
      </c>
      <c r="D1894" s="11"/>
      <c r="E1894" s="12"/>
      <c r="F1894" s="11" t="n">
        <v>0.00751435185185185</v>
      </c>
      <c r="G1894" s="12" t="n">
        <v>906</v>
      </c>
      <c r="H1894" s="11"/>
      <c r="I1894" s="12"/>
      <c r="J1894" s="12" t="n">
        <f aca="false">COUNT(E1894,G1894,I1894)</f>
        <v>1</v>
      </c>
      <c r="K1894" s="13" t="n">
        <f aca="false">MIN(E1894,G1894,I1894)</f>
        <v>906</v>
      </c>
      <c r="L1894" s="9" t="str">
        <f aca="false">IF(E1894=K1894,"5000m",IF(G1894=K1894,"3000mSC","1500m"))</f>
        <v>3000mSC</v>
      </c>
      <c r="M1894" s="14" t="n">
        <f aca="false">(D1894&lt;&gt;"")*(D1894&lt;=($E$3*60+$F$3)/86400)+(F1894&lt;&gt;"")*(F1894&lt;=($I$3*60+$J$3)/86400)+(H1894&lt;&gt;"")*(H1894&lt;=($M$3*60+$N$3)/86400)</f>
        <v>0</v>
      </c>
      <c r="N1894" s="16"/>
      <c r="O1894" s="15"/>
    </row>
    <row r="1895" customFormat="false" ht="25.35" hidden="false" customHeight="false" outlineLevel="0" collapsed="false">
      <c r="A1895" s="9" t="n">
        <v>1889</v>
      </c>
      <c r="B1895" s="10" t="s">
        <v>2697</v>
      </c>
      <c r="C1895" s="10" t="s">
        <v>2698</v>
      </c>
      <c r="D1895" s="11"/>
      <c r="E1895" s="12"/>
      <c r="F1895" s="11" t="n">
        <v>0.00751481481481481</v>
      </c>
      <c r="G1895" s="12" t="n">
        <v>907</v>
      </c>
      <c r="H1895" s="11"/>
      <c r="I1895" s="12"/>
      <c r="J1895" s="12" t="n">
        <f aca="false">COUNT(E1895,G1895,I1895)</f>
        <v>1</v>
      </c>
      <c r="K1895" s="13" t="n">
        <f aca="false">MIN(E1895,G1895,I1895)</f>
        <v>907</v>
      </c>
      <c r="L1895" s="9" t="str">
        <f aca="false">IF(E1895=K1895,"5000m",IF(G1895=K1895,"3000mSC","1500m"))</f>
        <v>3000mSC</v>
      </c>
      <c r="M1895" s="14" t="n">
        <f aca="false">(D1895&lt;&gt;"")*(D1895&lt;=($E$3*60+$F$3)/86400)+(F1895&lt;&gt;"")*(F1895&lt;=($I$3*60+$J$3)/86400)+(H1895&lt;&gt;"")*(H1895&lt;=($M$3*60+$N$3)/86400)</f>
        <v>0</v>
      </c>
      <c r="N1895" s="16"/>
      <c r="O1895" s="15"/>
    </row>
    <row r="1896" customFormat="false" ht="15" hidden="false" customHeight="false" outlineLevel="0" collapsed="false">
      <c r="A1896" s="9" t="n">
        <v>1890</v>
      </c>
      <c r="B1896" s="10" t="s">
        <v>2699</v>
      </c>
      <c r="C1896" s="10" t="s">
        <v>2700</v>
      </c>
      <c r="D1896" s="11"/>
      <c r="E1896" s="12"/>
      <c r="F1896" s="11"/>
      <c r="G1896" s="12"/>
      <c r="H1896" s="11" t="n">
        <v>0.00289444444444445</v>
      </c>
      <c r="I1896" s="12" t="n">
        <v>907</v>
      </c>
      <c r="J1896" s="12" t="n">
        <f aca="false">COUNT(E1896,G1896,I1896)</f>
        <v>1</v>
      </c>
      <c r="K1896" s="13" t="n">
        <f aca="false">MIN(E1896,G1896,I1896)</f>
        <v>907</v>
      </c>
      <c r="L1896" s="9" t="str">
        <f aca="false">IF(E1896=K1896,"5000m",IF(G1896=K1896,"3000mSC","1500m"))</f>
        <v>1500m</v>
      </c>
      <c r="M1896" s="14" t="n">
        <f aca="false">(D1896&lt;&gt;"")*(D1896&lt;=($E$3*60+$F$3)/86400)+(F1896&lt;&gt;"")*(F1896&lt;=($I$3*60+$J$3)/86400)+(H1896&lt;&gt;"")*(H1896&lt;=($M$3*60+$N$3)/86400)</f>
        <v>0</v>
      </c>
      <c r="N1896" s="16"/>
      <c r="O1896" s="15"/>
    </row>
    <row r="1897" customFormat="false" ht="25.35" hidden="false" customHeight="false" outlineLevel="0" collapsed="false">
      <c r="A1897" s="9" t="n">
        <v>1891</v>
      </c>
      <c r="B1897" s="10" t="s">
        <v>2701</v>
      </c>
      <c r="C1897" s="10" t="s">
        <v>2702</v>
      </c>
      <c r="D1897" s="11"/>
      <c r="E1897" s="12"/>
      <c r="F1897" s="11" t="n">
        <v>0.00751516203703704</v>
      </c>
      <c r="G1897" s="12" t="n">
        <v>908</v>
      </c>
      <c r="H1897" s="11"/>
      <c r="I1897" s="12"/>
      <c r="J1897" s="12" t="n">
        <f aca="false">COUNT(E1897,G1897,I1897)</f>
        <v>1</v>
      </c>
      <c r="K1897" s="13" t="n">
        <f aca="false">MIN(E1897,G1897,I1897)</f>
        <v>908</v>
      </c>
      <c r="L1897" s="9" t="str">
        <f aca="false">IF(E1897=K1897,"5000m",IF(G1897=K1897,"3000mSC","1500m"))</f>
        <v>3000mSC</v>
      </c>
      <c r="M1897" s="14" t="n">
        <f aca="false">(D1897&lt;&gt;"")*(D1897&lt;=($E$3*60+$F$3)/86400)+(F1897&lt;&gt;"")*(F1897&lt;=($I$3*60+$J$3)/86400)+(H1897&lt;&gt;"")*(H1897&lt;=($M$3*60+$N$3)/86400)</f>
        <v>0</v>
      </c>
      <c r="N1897" s="16"/>
      <c r="O1897" s="15"/>
    </row>
    <row r="1898" customFormat="false" ht="25.35" hidden="false" customHeight="false" outlineLevel="0" collapsed="false">
      <c r="A1898" s="9" t="n">
        <v>1892</v>
      </c>
      <c r="B1898" s="10" t="s">
        <v>2703</v>
      </c>
      <c r="C1898" s="10" t="s">
        <v>2704</v>
      </c>
      <c r="D1898" s="11"/>
      <c r="E1898" s="12"/>
      <c r="F1898" s="11" t="n">
        <v>0.00751527777777778</v>
      </c>
      <c r="G1898" s="12" t="n">
        <v>909</v>
      </c>
      <c r="H1898" s="11"/>
      <c r="I1898" s="12"/>
      <c r="J1898" s="12" t="n">
        <f aca="false">COUNT(E1898,G1898,I1898)</f>
        <v>1</v>
      </c>
      <c r="K1898" s="13" t="n">
        <f aca="false">MIN(E1898,G1898,I1898)</f>
        <v>909</v>
      </c>
      <c r="L1898" s="9" t="str">
        <f aca="false">IF(E1898=K1898,"5000m",IF(G1898=K1898,"3000mSC","1500m"))</f>
        <v>3000mSC</v>
      </c>
      <c r="M1898" s="14" t="n">
        <f aca="false">(D1898&lt;&gt;"")*(D1898&lt;=($E$3*60+$F$3)/86400)+(F1898&lt;&gt;"")*(F1898&lt;=($I$3*60+$J$3)/86400)+(H1898&lt;&gt;"")*(H1898&lt;=($M$3*60+$N$3)/86400)</f>
        <v>0</v>
      </c>
      <c r="N1898" s="16"/>
      <c r="O1898" s="15"/>
    </row>
    <row r="1899" customFormat="false" ht="15" hidden="false" customHeight="false" outlineLevel="0" collapsed="false">
      <c r="A1899" s="9" t="n">
        <v>1893</v>
      </c>
      <c r="B1899" s="10" t="s">
        <v>2705</v>
      </c>
      <c r="C1899" s="10" t="s">
        <v>317</v>
      </c>
      <c r="D1899" s="11"/>
      <c r="E1899" s="12"/>
      <c r="F1899" s="11"/>
      <c r="G1899" s="12"/>
      <c r="H1899" s="11" t="n">
        <v>0.00289467592592593</v>
      </c>
      <c r="I1899" s="12" t="n">
        <v>909</v>
      </c>
      <c r="J1899" s="12" t="n">
        <f aca="false">COUNT(E1899,G1899,I1899)</f>
        <v>1</v>
      </c>
      <c r="K1899" s="13" t="n">
        <f aca="false">MIN(E1899,G1899,I1899)</f>
        <v>909</v>
      </c>
      <c r="L1899" s="9" t="str">
        <f aca="false">IF(E1899=K1899,"5000m",IF(G1899=K1899,"3000mSC","1500m"))</f>
        <v>1500m</v>
      </c>
      <c r="M1899" s="14" t="n">
        <f aca="false">(D1899&lt;&gt;"")*(D1899&lt;=($E$3*60+$F$3)/86400)+(F1899&lt;&gt;"")*(F1899&lt;=($I$3*60+$J$3)/86400)+(H1899&lt;&gt;"")*(H1899&lt;=($M$3*60+$N$3)/86400)</f>
        <v>0</v>
      </c>
      <c r="N1899" s="16"/>
      <c r="O1899" s="15"/>
    </row>
    <row r="1900" customFormat="false" ht="15" hidden="false" customHeight="false" outlineLevel="0" collapsed="false">
      <c r="A1900" s="9" t="n">
        <v>1894</v>
      </c>
      <c r="B1900" s="10" t="s">
        <v>2706</v>
      </c>
      <c r="C1900" s="10" t="s">
        <v>2707</v>
      </c>
      <c r="D1900" s="11" t="n">
        <v>0.0108947916666667</v>
      </c>
      <c r="E1900" s="12" t="n">
        <v>910</v>
      </c>
      <c r="F1900" s="11"/>
      <c r="G1900" s="12"/>
      <c r="H1900" s="11"/>
      <c r="I1900" s="12"/>
      <c r="J1900" s="12" t="n">
        <f aca="false">COUNT(E1900,G1900,I1900)</f>
        <v>1</v>
      </c>
      <c r="K1900" s="13" t="n">
        <f aca="false">MIN(E1900,G1900,I1900)</f>
        <v>910</v>
      </c>
      <c r="L1900" s="9" t="str">
        <f aca="false">IF(E1900=K1900,"5000m",IF(G1900=K1900,"3000mSC","1500m"))</f>
        <v>5000m</v>
      </c>
      <c r="M1900" s="14" t="n">
        <f aca="false">(D1900&lt;&gt;"")*(D1900&lt;=($E$3*60+$F$3)/86400)+(F1900&lt;&gt;"")*(F1900&lt;=($I$3*60+$J$3)/86400)+(H1900&lt;&gt;"")*(H1900&lt;=($M$3*60+$N$3)/86400)</f>
        <v>0</v>
      </c>
      <c r="N1900" s="16"/>
      <c r="O1900" s="15"/>
    </row>
    <row r="1901" customFormat="false" ht="25.35" hidden="false" customHeight="false" outlineLevel="0" collapsed="false">
      <c r="A1901" s="9" t="n">
        <v>1895</v>
      </c>
      <c r="B1901" s="10" t="s">
        <v>2708</v>
      </c>
      <c r="C1901" s="10" t="s">
        <v>85</v>
      </c>
      <c r="D1901" s="11"/>
      <c r="E1901" s="12"/>
      <c r="F1901" s="11" t="n">
        <v>0.007515625</v>
      </c>
      <c r="G1901" s="12" t="n">
        <v>910</v>
      </c>
      <c r="H1901" s="11"/>
      <c r="I1901" s="12"/>
      <c r="J1901" s="12" t="n">
        <f aca="false">COUNT(E1901,G1901,I1901)</f>
        <v>1</v>
      </c>
      <c r="K1901" s="13" t="n">
        <f aca="false">MIN(E1901,G1901,I1901)</f>
        <v>910</v>
      </c>
      <c r="L1901" s="9" t="str">
        <f aca="false">IF(E1901=K1901,"5000m",IF(G1901=K1901,"3000mSC","1500m"))</f>
        <v>3000mSC</v>
      </c>
      <c r="M1901" s="14" t="n">
        <f aca="false">(D1901&lt;&gt;"")*(D1901&lt;=($E$3*60+$F$3)/86400)+(F1901&lt;&gt;"")*(F1901&lt;=($I$3*60+$J$3)/86400)+(H1901&lt;&gt;"")*(H1901&lt;=($M$3*60+$N$3)/86400)</f>
        <v>0</v>
      </c>
      <c r="N1901" s="16"/>
      <c r="O1901" s="15"/>
    </row>
    <row r="1902" customFormat="false" ht="25.35" hidden="false" customHeight="false" outlineLevel="0" collapsed="false">
      <c r="A1902" s="9" t="n">
        <v>1896</v>
      </c>
      <c r="B1902" s="10" t="s">
        <v>2709</v>
      </c>
      <c r="C1902" s="10" t="s">
        <v>2523</v>
      </c>
      <c r="D1902" s="11"/>
      <c r="E1902" s="12"/>
      <c r="F1902" s="11" t="n">
        <v>0.00751585648148148</v>
      </c>
      <c r="G1902" s="12" t="n">
        <v>911</v>
      </c>
      <c r="H1902" s="11"/>
      <c r="I1902" s="12"/>
      <c r="J1902" s="12" t="n">
        <f aca="false">COUNT(E1902,G1902,I1902)</f>
        <v>1</v>
      </c>
      <c r="K1902" s="13" t="n">
        <f aca="false">MIN(E1902,G1902,I1902)</f>
        <v>911</v>
      </c>
      <c r="L1902" s="9" t="str">
        <f aca="false">IF(E1902=K1902,"5000m",IF(G1902=K1902,"3000mSC","1500m"))</f>
        <v>3000mSC</v>
      </c>
      <c r="M1902" s="14" t="n">
        <f aca="false">(D1902&lt;&gt;"")*(D1902&lt;=($E$3*60+$F$3)/86400)+(F1902&lt;&gt;"")*(F1902&lt;=($I$3*60+$J$3)/86400)+(H1902&lt;&gt;"")*(H1902&lt;=($M$3*60+$N$3)/86400)</f>
        <v>0</v>
      </c>
      <c r="N1902" s="16"/>
      <c r="O1902" s="15"/>
    </row>
    <row r="1903" customFormat="false" ht="15" hidden="false" customHeight="false" outlineLevel="0" collapsed="false">
      <c r="A1903" s="9" t="n">
        <v>1897</v>
      </c>
      <c r="B1903" s="10" t="s">
        <v>2710</v>
      </c>
      <c r="C1903" s="10" t="s">
        <v>1119</v>
      </c>
      <c r="D1903" s="11"/>
      <c r="E1903" s="12"/>
      <c r="F1903" s="11"/>
      <c r="G1903" s="12"/>
      <c r="H1903" s="11" t="n">
        <v>0.00289490740740741</v>
      </c>
      <c r="I1903" s="12" t="n">
        <v>911</v>
      </c>
      <c r="J1903" s="12" t="n">
        <f aca="false">COUNT(E1903,G1903,I1903)</f>
        <v>1</v>
      </c>
      <c r="K1903" s="13" t="n">
        <f aca="false">MIN(E1903,G1903,I1903)</f>
        <v>911</v>
      </c>
      <c r="L1903" s="9" t="str">
        <f aca="false">IF(E1903=K1903,"5000m",IF(G1903=K1903,"3000mSC","1500m"))</f>
        <v>1500m</v>
      </c>
      <c r="M1903" s="14" t="n">
        <f aca="false">(D1903&lt;&gt;"")*(D1903&lt;=($E$3*60+$F$3)/86400)+(F1903&lt;&gt;"")*(F1903&lt;=($I$3*60+$J$3)/86400)+(H1903&lt;&gt;"")*(H1903&lt;=($M$3*60+$N$3)/86400)</f>
        <v>0</v>
      </c>
      <c r="N1903" s="16"/>
      <c r="O1903" s="15"/>
    </row>
    <row r="1904" customFormat="false" ht="15" hidden="false" customHeight="false" outlineLevel="0" collapsed="false">
      <c r="A1904" s="9" t="n">
        <v>1898</v>
      </c>
      <c r="B1904" s="10" t="s">
        <v>2711</v>
      </c>
      <c r="C1904" s="10" t="s">
        <v>425</v>
      </c>
      <c r="D1904" s="11" t="n">
        <v>0.0108951388888889</v>
      </c>
      <c r="E1904" s="12" t="n">
        <v>912</v>
      </c>
      <c r="F1904" s="11" t="n">
        <v>0.007521875</v>
      </c>
      <c r="G1904" s="12" t="n">
        <v>923</v>
      </c>
      <c r="H1904" s="11"/>
      <c r="I1904" s="12"/>
      <c r="J1904" s="12" t="n">
        <f aca="false">COUNT(E1904,G1904,I1904)</f>
        <v>2</v>
      </c>
      <c r="K1904" s="13" t="n">
        <f aca="false">MIN(E1904,G1904,I1904)</f>
        <v>912</v>
      </c>
      <c r="L1904" s="9" t="str">
        <f aca="false">IF(E1904=K1904,"5000m",IF(G1904=K1904,"3000mSC","1500m"))</f>
        <v>5000m</v>
      </c>
      <c r="M1904" s="14" t="n">
        <f aca="false">(D1904&lt;&gt;"")*(D1904&lt;=($E$3*60+$F$3)/86400)+(F1904&lt;&gt;"")*(F1904&lt;=($I$3*60+$J$3)/86400)+(H1904&lt;&gt;"")*(H1904&lt;=($M$3*60+$N$3)/86400)</f>
        <v>0</v>
      </c>
      <c r="N1904" s="16"/>
      <c r="O1904" s="15"/>
    </row>
    <row r="1905" customFormat="false" ht="25.35" hidden="false" customHeight="false" outlineLevel="0" collapsed="false">
      <c r="A1905" s="9" t="n">
        <v>1899</v>
      </c>
      <c r="B1905" s="10" t="s">
        <v>2712</v>
      </c>
      <c r="C1905" s="10" t="s">
        <v>2713</v>
      </c>
      <c r="D1905" s="11"/>
      <c r="E1905" s="12"/>
      <c r="F1905" s="11" t="n">
        <v>0.00751608796296296</v>
      </c>
      <c r="G1905" s="12" t="n">
        <v>912</v>
      </c>
      <c r="H1905" s="11"/>
      <c r="I1905" s="12"/>
      <c r="J1905" s="12" t="n">
        <f aca="false">COUNT(E1905,G1905,I1905)</f>
        <v>1</v>
      </c>
      <c r="K1905" s="13" t="n">
        <f aca="false">MIN(E1905,G1905,I1905)</f>
        <v>912</v>
      </c>
      <c r="L1905" s="9" t="str">
        <f aca="false">IF(E1905=K1905,"5000m",IF(G1905=K1905,"3000mSC","1500m"))</f>
        <v>3000mSC</v>
      </c>
      <c r="M1905" s="14" t="n">
        <f aca="false">(D1905&lt;&gt;"")*(D1905&lt;=($E$3*60+$F$3)/86400)+(F1905&lt;&gt;"")*(F1905&lt;=($I$3*60+$J$3)/86400)+(H1905&lt;&gt;"")*(H1905&lt;=($M$3*60+$N$3)/86400)</f>
        <v>0</v>
      </c>
      <c r="N1905" s="16"/>
      <c r="O1905" s="15"/>
    </row>
    <row r="1906" customFormat="false" ht="25.35" hidden="false" customHeight="false" outlineLevel="0" collapsed="false">
      <c r="A1906" s="9" t="n">
        <v>1900</v>
      </c>
      <c r="B1906" s="10" t="s">
        <v>2714</v>
      </c>
      <c r="C1906" s="10" t="s">
        <v>2715</v>
      </c>
      <c r="D1906" s="11"/>
      <c r="E1906" s="12"/>
      <c r="F1906" s="11" t="n">
        <v>0.00751631944444444</v>
      </c>
      <c r="G1906" s="12" t="n">
        <v>913</v>
      </c>
      <c r="H1906" s="11"/>
      <c r="I1906" s="12"/>
      <c r="J1906" s="12" t="n">
        <f aca="false">COUNT(E1906,G1906,I1906)</f>
        <v>1</v>
      </c>
      <c r="K1906" s="13" t="n">
        <f aca="false">MIN(E1906,G1906,I1906)</f>
        <v>913</v>
      </c>
      <c r="L1906" s="9" t="str">
        <f aca="false">IF(E1906=K1906,"5000m",IF(G1906=K1906,"3000mSC","1500m"))</f>
        <v>3000mSC</v>
      </c>
      <c r="M1906" s="14" t="n">
        <f aca="false">(D1906&lt;&gt;"")*(D1906&lt;=($E$3*60+$F$3)/86400)+(F1906&lt;&gt;"")*(F1906&lt;=($I$3*60+$J$3)/86400)+(H1906&lt;&gt;"")*(H1906&lt;=($M$3*60+$N$3)/86400)</f>
        <v>0</v>
      </c>
      <c r="N1906" s="16"/>
      <c r="O1906" s="15"/>
    </row>
    <row r="1907" customFormat="false" ht="15" hidden="false" customHeight="false" outlineLevel="0" collapsed="false">
      <c r="A1907" s="9" t="n">
        <v>1901</v>
      </c>
      <c r="B1907" s="10" t="s">
        <v>2716</v>
      </c>
      <c r="C1907" s="10" t="s">
        <v>118</v>
      </c>
      <c r="D1907" s="11" t="n">
        <v>0.0108954861111111</v>
      </c>
      <c r="E1907" s="12" t="n">
        <v>914</v>
      </c>
      <c r="F1907" s="11"/>
      <c r="G1907" s="12"/>
      <c r="H1907" s="11"/>
      <c r="I1907" s="12"/>
      <c r="J1907" s="12" t="n">
        <f aca="false">COUNT(E1907,G1907,I1907)</f>
        <v>1</v>
      </c>
      <c r="K1907" s="13" t="n">
        <f aca="false">MIN(E1907,G1907,I1907)</f>
        <v>914</v>
      </c>
      <c r="L1907" s="9" t="str">
        <f aca="false">IF(E1907=K1907,"5000m",IF(G1907=K1907,"3000mSC","1500m"))</f>
        <v>5000m</v>
      </c>
      <c r="M1907" s="14" t="n">
        <f aca="false">(D1907&lt;&gt;"")*(D1907&lt;=($E$3*60+$F$3)/86400)+(F1907&lt;&gt;"")*(F1907&lt;=($I$3*60+$J$3)/86400)+(H1907&lt;&gt;"")*(H1907&lt;=($M$3*60+$N$3)/86400)</f>
        <v>0</v>
      </c>
      <c r="N1907" s="16"/>
      <c r="O1907" s="15"/>
    </row>
    <row r="1908" customFormat="false" ht="25.35" hidden="false" customHeight="false" outlineLevel="0" collapsed="false">
      <c r="A1908" s="9" t="n">
        <v>1902</v>
      </c>
      <c r="B1908" s="10" t="s">
        <v>2717</v>
      </c>
      <c r="C1908" s="10" t="s">
        <v>758</v>
      </c>
      <c r="D1908" s="11"/>
      <c r="E1908" s="12"/>
      <c r="F1908" s="11" t="n">
        <v>0.00751689814814815</v>
      </c>
      <c r="G1908" s="12" t="n">
        <v>914</v>
      </c>
      <c r="H1908" s="11"/>
      <c r="I1908" s="12"/>
      <c r="J1908" s="12" t="n">
        <f aca="false">COUNT(E1908,G1908,I1908)</f>
        <v>1</v>
      </c>
      <c r="K1908" s="13" t="n">
        <f aca="false">MIN(E1908,G1908,I1908)</f>
        <v>914</v>
      </c>
      <c r="L1908" s="9" t="str">
        <f aca="false">IF(E1908=K1908,"5000m",IF(G1908=K1908,"3000mSC","1500m"))</f>
        <v>3000mSC</v>
      </c>
      <c r="M1908" s="14" t="n">
        <f aca="false">(D1908&lt;&gt;"")*(D1908&lt;=($E$3*60+$F$3)/86400)+(F1908&lt;&gt;"")*(F1908&lt;=($I$3*60+$J$3)/86400)+(H1908&lt;&gt;"")*(H1908&lt;=($M$3*60+$N$3)/86400)</f>
        <v>0</v>
      </c>
      <c r="N1908" s="16"/>
      <c r="O1908" s="15"/>
    </row>
    <row r="1909" customFormat="false" ht="15" hidden="false" customHeight="false" outlineLevel="0" collapsed="false">
      <c r="A1909" s="9" t="n">
        <v>1903</v>
      </c>
      <c r="B1909" s="10" t="s">
        <v>2718</v>
      </c>
      <c r="C1909" s="10" t="s">
        <v>1595</v>
      </c>
      <c r="D1909" s="11"/>
      <c r="E1909" s="12"/>
      <c r="F1909" s="11"/>
      <c r="G1909" s="12"/>
      <c r="H1909" s="11" t="n">
        <v>0.00289537037037037</v>
      </c>
      <c r="I1909" s="12" t="n">
        <v>914</v>
      </c>
      <c r="J1909" s="12" t="n">
        <f aca="false">COUNT(E1909,G1909,I1909)</f>
        <v>1</v>
      </c>
      <c r="K1909" s="13" t="n">
        <f aca="false">MIN(E1909,G1909,I1909)</f>
        <v>914</v>
      </c>
      <c r="L1909" s="9" t="str">
        <f aca="false">IF(E1909=K1909,"5000m",IF(G1909=K1909,"3000mSC","1500m"))</f>
        <v>1500m</v>
      </c>
      <c r="M1909" s="14" t="n">
        <f aca="false">(D1909&lt;&gt;"")*(D1909&lt;=($E$3*60+$F$3)/86400)+(F1909&lt;&gt;"")*(F1909&lt;=($I$3*60+$J$3)/86400)+(H1909&lt;&gt;"")*(H1909&lt;=($M$3*60+$N$3)/86400)</f>
        <v>0</v>
      </c>
      <c r="N1909" s="16"/>
      <c r="O1909" s="15"/>
    </row>
    <row r="1910" customFormat="false" ht="25.35" hidden="false" customHeight="false" outlineLevel="0" collapsed="false">
      <c r="A1910" s="9" t="n">
        <v>1904</v>
      </c>
      <c r="B1910" s="10" t="s">
        <v>2719</v>
      </c>
      <c r="C1910" s="10" t="s">
        <v>2720</v>
      </c>
      <c r="D1910" s="11"/>
      <c r="E1910" s="12"/>
      <c r="F1910" s="11" t="n">
        <v>0.00751724537037037</v>
      </c>
      <c r="G1910" s="12" t="n">
        <v>915</v>
      </c>
      <c r="H1910" s="11"/>
      <c r="I1910" s="12"/>
      <c r="J1910" s="12" t="n">
        <f aca="false">COUNT(E1910,G1910,I1910)</f>
        <v>1</v>
      </c>
      <c r="K1910" s="13" t="n">
        <f aca="false">MIN(E1910,G1910,I1910)</f>
        <v>915</v>
      </c>
      <c r="L1910" s="9" t="str">
        <f aca="false">IF(E1910=K1910,"5000m",IF(G1910=K1910,"3000mSC","1500m"))</f>
        <v>3000mSC</v>
      </c>
      <c r="M1910" s="14" t="n">
        <f aca="false">(D1910&lt;&gt;"")*(D1910&lt;=($E$3*60+$F$3)/86400)+(F1910&lt;&gt;"")*(F1910&lt;=($I$3*60+$J$3)/86400)+(H1910&lt;&gt;"")*(H1910&lt;=($M$3*60+$N$3)/86400)</f>
        <v>0</v>
      </c>
      <c r="N1910" s="16"/>
      <c r="O1910" s="15"/>
    </row>
    <row r="1911" customFormat="false" ht="15" hidden="false" customHeight="false" outlineLevel="0" collapsed="false">
      <c r="A1911" s="9" t="n">
        <v>1905</v>
      </c>
      <c r="B1911" s="10" t="s">
        <v>2721</v>
      </c>
      <c r="C1911" s="10" t="s">
        <v>112</v>
      </c>
      <c r="D1911" s="11"/>
      <c r="E1911" s="12"/>
      <c r="F1911" s="11"/>
      <c r="G1911" s="12"/>
      <c r="H1911" s="11" t="n">
        <v>0.00289548611111111</v>
      </c>
      <c r="I1911" s="12" t="n">
        <v>915</v>
      </c>
      <c r="J1911" s="12" t="n">
        <f aca="false">COUNT(E1911,G1911,I1911)</f>
        <v>1</v>
      </c>
      <c r="K1911" s="13" t="n">
        <f aca="false">MIN(E1911,G1911,I1911)</f>
        <v>915</v>
      </c>
      <c r="L1911" s="9" t="str">
        <f aca="false">IF(E1911=K1911,"5000m",IF(G1911=K1911,"3000mSC","1500m"))</f>
        <v>1500m</v>
      </c>
      <c r="M1911" s="14" t="n">
        <f aca="false">(D1911&lt;&gt;"")*(D1911&lt;=($E$3*60+$F$3)/86400)+(F1911&lt;&gt;"")*(F1911&lt;=($I$3*60+$J$3)/86400)+(H1911&lt;&gt;"")*(H1911&lt;=($M$3*60+$N$3)/86400)</f>
        <v>0</v>
      </c>
      <c r="N1911" s="16"/>
      <c r="O1911" s="15"/>
    </row>
    <row r="1912" customFormat="false" ht="15" hidden="false" customHeight="false" outlineLevel="0" collapsed="false">
      <c r="A1912" s="9" t="n">
        <v>1906</v>
      </c>
      <c r="B1912" s="10" t="s">
        <v>2722</v>
      </c>
      <c r="C1912" s="10" t="s">
        <v>1069</v>
      </c>
      <c r="D1912" s="11" t="n">
        <v>0.0108966435185185</v>
      </c>
      <c r="E1912" s="12" t="n">
        <v>916</v>
      </c>
      <c r="F1912" s="11"/>
      <c r="G1912" s="12"/>
      <c r="H1912" s="11"/>
      <c r="I1912" s="12"/>
      <c r="J1912" s="12" t="n">
        <f aca="false">COUNT(E1912,G1912,I1912)</f>
        <v>1</v>
      </c>
      <c r="K1912" s="13" t="n">
        <f aca="false">MIN(E1912,G1912,I1912)</f>
        <v>916</v>
      </c>
      <c r="L1912" s="9" t="str">
        <f aca="false">IF(E1912=K1912,"5000m",IF(G1912=K1912,"3000mSC","1500m"))</f>
        <v>5000m</v>
      </c>
      <c r="M1912" s="14" t="n">
        <f aca="false">(D1912&lt;&gt;"")*(D1912&lt;=($E$3*60+$F$3)/86400)+(F1912&lt;&gt;"")*(F1912&lt;=($I$3*60+$J$3)/86400)+(H1912&lt;&gt;"")*(H1912&lt;=($M$3*60+$N$3)/86400)</f>
        <v>0</v>
      </c>
      <c r="N1912" s="16"/>
      <c r="O1912" s="15"/>
    </row>
    <row r="1913" customFormat="false" ht="25.35" hidden="false" customHeight="false" outlineLevel="0" collapsed="false">
      <c r="A1913" s="9" t="n">
        <v>1907</v>
      </c>
      <c r="B1913" s="10" t="s">
        <v>2723</v>
      </c>
      <c r="C1913" s="10" t="s">
        <v>2724</v>
      </c>
      <c r="D1913" s="11"/>
      <c r="E1913" s="12"/>
      <c r="F1913" s="11" t="n">
        <v>0.00751782407407407</v>
      </c>
      <c r="G1913" s="12" t="n">
        <v>916</v>
      </c>
      <c r="H1913" s="11"/>
      <c r="I1913" s="12"/>
      <c r="J1913" s="12" t="n">
        <f aca="false">COUNT(E1913,G1913,I1913)</f>
        <v>1</v>
      </c>
      <c r="K1913" s="13" t="n">
        <f aca="false">MIN(E1913,G1913,I1913)</f>
        <v>916</v>
      </c>
      <c r="L1913" s="9" t="str">
        <f aca="false">IF(E1913=K1913,"5000m",IF(G1913=K1913,"3000mSC","1500m"))</f>
        <v>3000mSC</v>
      </c>
      <c r="M1913" s="14" t="n">
        <f aca="false">(D1913&lt;&gt;"")*(D1913&lt;=($E$3*60+$F$3)/86400)+(F1913&lt;&gt;"")*(F1913&lt;=($I$3*60+$J$3)/86400)+(H1913&lt;&gt;"")*(H1913&lt;=($M$3*60+$N$3)/86400)</f>
        <v>0</v>
      </c>
      <c r="N1913" s="16"/>
      <c r="O1913" s="15"/>
    </row>
    <row r="1914" customFormat="false" ht="25.35" hidden="false" customHeight="false" outlineLevel="0" collapsed="false">
      <c r="A1914" s="9" t="n">
        <v>1908</v>
      </c>
      <c r="B1914" s="10" t="s">
        <v>2725</v>
      </c>
      <c r="C1914" s="10" t="s">
        <v>2726</v>
      </c>
      <c r="D1914" s="11"/>
      <c r="E1914" s="12"/>
      <c r="F1914" s="11" t="n">
        <v>0.00751793981481481</v>
      </c>
      <c r="G1914" s="12" t="n">
        <v>917</v>
      </c>
      <c r="H1914" s="11"/>
      <c r="I1914" s="12"/>
      <c r="J1914" s="12" t="n">
        <f aca="false">COUNT(E1914,G1914,I1914)</f>
        <v>1</v>
      </c>
      <c r="K1914" s="13" t="n">
        <f aca="false">MIN(E1914,G1914,I1914)</f>
        <v>917</v>
      </c>
      <c r="L1914" s="9" t="str">
        <f aca="false">IF(E1914=K1914,"5000m",IF(G1914=K1914,"3000mSC","1500m"))</f>
        <v>3000mSC</v>
      </c>
      <c r="M1914" s="14" t="n">
        <f aca="false">(D1914&lt;&gt;"")*(D1914&lt;=($E$3*60+$F$3)/86400)+(F1914&lt;&gt;"")*(F1914&lt;=($I$3*60+$J$3)/86400)+(H1914&lt;&gt;"")*(H1914&lt;=($M$3*60+$N$3)/86400)</f>
        <v>0</v>
      </c>
      <c r="N1914" s="16"/>
      <c r="O1914" s="15"/>
    </row>
    <row r="1915" customFormat="false" ht="15" hidden="false" customHeight="false" outlineLevel="0" collapsed="false">
      <c r="A1915" s="9" t="n">
        <v>1909</v>
      </c>
      <c r="B1915" s="10" t="s">
        <v>2727</v>
      </c>
      <c r="C1915" s="10" t="s">
        <v>564</v>
      </c>
      <c r="D1915" s="11"/>
      <c r="E1915" s="12"/>
      <c r="F1915" s="11"/>
      <c r="G1915" s="12"/>
      <c r="H1915" s="11" t="n">
        <v>0.00289571759259259</v>
      </c>
      <c r="I1915" s="12" t="n">
        <v>917</v>
      </c>
      <c r="J1915" s="12" t="n">
        <f aca="false">COUNT(E1915,G1915,I1915)</f>
        <v>1</v>
      </c>
      <c r="K1915" s="13" t="n">
        <f aca="false">MIN(E1915,G1915,I1915)</f>
        <v>917</v>
      </c>
      <c r="L1915" s="9" t="str">
        <f aca="false">IF(E1915=K1915,"5000m",IF(G1915=K1915,"3000mSC","1500m"))</f>
        <v>1500m</v>
      </c>
      <c r="M1915" s="14" t="n">
        <f aca="false">(D1915&lt;&gt;"")*(D1915&lt;=($E$3*60+$F$3)/86400)+(F1915&lt;&gt;"")*(F1915&lt;=($I$3*60+$J$3)/86400)+(H1915&lt;&gt;"")*(H1915&lt;=($M$3*60+$N$3)/86400)</f>
        <v>0</v>
      </c>
      <c r="N1915" s="16"/>
      <c r="O1915" s="15"/>
    </row>
    <row r="1916" customFormat="false" ht="25.35" hidden="false" customHeight="false" outlineLevel="0" collapsed="false">
      <c r="A1916" s="9" t="n">
        <v>1910</v>
      </c>
      <c r="B1916" s="10" t="s">
        <v>2728</v>
      </c>
      <c r="C1916" s="10" t="s">
        <v>1334</v>
      </c>
      <c r="D1916" s="11"/>
      <c r="E1916" s="12"/>
      <c r="F1916" s="11" t="n">
        <v>0.00751805555555556</v>
      </c>
      <c r="G1916" s="12" t="n">
        <v>918</v>
      </c>
      <c r="H1916" s="11"/>
      <c r="I1916" s="12"/>
      <c r="J1916" s="12" t="n">
        <f aca="false">COUNT(E1916,G1916,I1916)</f>
        <v>1</v>
      </c>
      <c r="K1916" s="13" t="n">
        <f aca="false">MIN(E1916,G1916,I1916)</f>
        <v>918</v>
      </c>
      <c r="L1916" s="9" t="str">
        <f aca="false">IF(E1916=K1916,"5000m",IF(G1916=K1916,"3000mSC","1500m"))</f>
        <v>3000mSC</v>
      </c>
      <c r="M1916" s="14" t="n">
        <f aca="false">(D1916&lt;&gt;"")*(D1916&lt;=($E$3*60+$F$3)/86400)+(F1916&lt;&gt;"")*(F1916&lt;=($I$3*60+$J$3)/86400)+(H1916&lt;&gt;"")*(H1916&lt;=($M$3*60+$N$3)/86400)</f>
        <v>0</v>
      </c>
      <c r="N1916" s="16"/>
      <c r="O1916" s="15"/>
    </row>
    <row r="1917" customFormat="false" ht="15" hidden="false" customHeight="false" outlineLevel="0" collapsed="false">
      <c r="A1917" s="9" t="n">
        <v>1911</v>
      </c>
      <c r="B1917" s="10" t="s">
        <v>2729</v>
      </c>
      <c r="C1917" s="10" t="s">
        <v>1023</v>
      </c>
      <c r="D1917" s="11"/>
      <c r="E1917" s="12"/>
      <c r="F1917" s="11"/>
      <c r="G1917" s="12"/>
      <c r="H1917" s="11" t="n">
        <v>0.00289571759259259</v>
      </c>
      <c r="I1917" s="12" t="n">
        <v>918</v>
      </c>
      <c r="J1917" s="12" t="n">
        <f aca="false">COUNT(E1917,G1917,I1917)</f>
        <v>1</v>
      </c>
      <c r="K1917" s="13" t="n">
        <f aca="false">MIN(E1917,G1917,I1917)</f>
        <v>918</v>
      </c>
      <c r="L1917" s="9" t="str">
        <f aca="false">IF(E1917=K1917,"5000m",IF(G1917=K1917,"3000mSC","1500m"))</f>
        <v>1500m</v>
      </c>
      <c r="M1917" s="14" t="n">
        <f aca="false">(D1917&lt;&gt;"")*(D1917&lt;=($E$3*60+$F$3)/86400)+(F1917&lt;&gt;"")*(F1917&lt;=($I$3*60+$J$3)/86400)+(H1917&lt;&gt;"")*(H1917&lt;=($M$3*60+$N$3)/86400)</f>
        <v>0</v>
      </c>
      <c r="N1917" s="16"/>
      <c r="O1917" s="15"/>
    </row>
    <row r="1918" customFormat="false" ht="15" hidden="false" customHeight="false" outlineLevel="0" collapsed="false">
      <c r="A1918" s="9" t="n">
        <v>1912</v>
      </c>
      <c r="B1918" s="10" t="s">
        <v>2730</v>
      </c>
      <c r="C1918" s="10" t="s">
        <v>1873</v>
      </c>
      <c r="D1918" s="11"/>
      <c r="E1918" s="12"/>
      <c r="F1918" s="11"/>
      <c r="G1918" s="12"/>
      <c r="H1918" s="11" t="n">
        <v>0.00289583333333333</v>
      </c>
      <c r="I1918" s="12" t="n">
        <v>919</v>
      </c>
      <c r="J1918" s="12" t="n">
        <f aca="false">COUNT(E1918,G1918,I1918)</f>
        <v>1</v>
      </c>
      <c r="K1918" s="13" t="n">
        <f aca="false">MIN(E1918,G1918,I1918)</f>
        <v>919</v>
      </c>
      <c r="L1918" s="9" t="str">
        <f aca="false">IF(E1918=K1918,"5000m",IF(G1918=K1918,"3000mSC","1500m"))</f>
        <v>1500m</v>
      </c>
      <c r="M1918" s="14" t="n">
        <f aca="false">(D1918&lt;&gt;"")*(D1918&lt;=($E$3*60+$F$3)/86400)+(F1918&lt;&gt;"")*(F1918&lt;=($I$3*60+$J$3)/86400)+(H1918&lt;&gt;"")*(H1918&lt;=($M$3*60+$N$3)/86400)</f>
        <v>0</v>
      </c>
      <c r="N1918" s="16"/>
      <c r="O1918" s="15"/>
    </row>
    <row r="1919" customFormat="false" ht="15" hidden="false" customHeight="false" outlineLevel="0" collapsed="false">
      <c r="A1919" s="9" t="n">
        <v>1913</v>
      </c>
      <c r="B1919" s="10" t="s">
        <v>2731</v>
      </c>
      <c r="C1919" s="10" t="s">
        <v>2732</v>
      </c>
      <c r="D1919" s="11" t="n">
        <v>0.0108994212962963</v>
      </c>
      <c r="E1919" s="12" t="n">
        <v>920</v>
      </c>
      <c r="F1919" s="11"/>
      <c r="G1919" s="12"/>
      <c r="H1919" s="11"/>
      <c r="I1919" s="12"/>
      <c r="J1919" s="12" t="n">
        <f aca="false">COUNT(E1919,G1919,I1919)</f>
        <v>1</v>
      </c>
      <c r="K1919" s="13" t="n">
        <f aca="false">MIN(E1919,G1919,I1919)</f>
        <v>920</v>
      </c>
      <c r="L1919" s="9" t="str">
        <f aca="false">IF(E1919=K1919,"5000m",IF(G1919=K1919,"3000mSC","1500m"))</f>
        <v>5000m</v>
      </c>
      <c r="M1919" s="14" t="n">
        <f aca="false">(D1919&lt;&gt;"")*(D1919&lt;=($E$3*60+$F$3)/86400)+(F1919&lt;&gt;"")*(F1919&lt;=($I$3*60+$J$3)/86400)+(H1919&lt;&gt;"")*(H1919&lt;=($M$3*60+$N$3)/86400)</f>
        <v>0</v>
      </c>
      <c r="N1919" s="16"/>
      <c r="O1919" s="15"/>
    </row>
    <row r="1920" customFormat="false" ht="25.35" hidden="false" customHeight="false" outlineLevel="0" collapsed="false">
      <c r="A1920" s="9" t="n">
        <v>1914</v>
      </c>
      <c r="B1920" s="10" t="s">
        <v>2733</v>
      </c>
      <c r="C1920" s="10" t="s">
        <v>2734</v>
      </c>
      <c r="D1920" s="11"/>
      <c r="E1920" s="12"/>
      <c r="F1920" s="11" t="n">
        <v>0.00752094907407407</v>
      </c>
      <c r="G1920" s="12" t="n">
        <v>920</v>
      </c>
      <c r="H1920" s="11"/>
      <c r="I1920" s="12"/>
      <c r="J1920" s="12" t="n">
        <f aca="false">COUNT(E1920,G1920,I1920)</f>
        <v>1</v>
      </c>
      <c r="K1920" s="13" t="n">
        <f aca="false">MIN(E1920,G1920,I1920)</f>
        <v>920</v>
      </c>
      <c r="L1920" s="9" t="str">
        <f aca="false">IF(E1920=K1920,"5000m",IF(G1920=K1920,"3000mSC","1500m"))</f>
        <v>3000mSC</v>
      </c>
      <c r="M1920" s="14" t="n">
        <f aca="false">(D1920&lt;&gt;"")*(D1920&lt;=($E$3*60+$F$3)/86400)+(F1920&lt;&gt;"")*(F1920&lt;=($I$3*60+$J$3)/86400)+(H1920&lt;&gt;"")*(H1920&lt;=($M$3*60+$N$3)/86400)</f>
        <v>0</v>
      </c>
      <c r="N1920" s="16"/>
      <c r="O1920" s="15"/>
    </row>
    <row r="1921" customFormat="false" ht="25.35" hidden="false" customHeight="false" outlineLevel="0" collapsed="false">
      <c r="A1921" s="9" t="n">
        <v>1915</v>
      </c>
      <c r="B1921" s="10" t="s">
        <v>2735</v>
      </c>
      <c r="C1921" s="10" t="s">
        <v>2736</v>
      </c>
      <c r="D1921" s="11"/>
      <c r="E1921" s="12"/>
      <c r="F1921" s="11" t="n">
        <v>0.00752164351851852</v>
      </c>
      <c r="G1921" s="12" t="n">
        <v>921</v>
      </c>
      <c r="H1921" s="11"/>
      <c r="I1921" s="12"/>
      <c r="J1921" s="12" t="n">
        <f aca="false">COUNT(E1921,G1921,I1921)</f>
        <v>1</v>
      </c>
      <c r="K1921" s="13" t="n">
        <f aca="false">MIN(E1921,G1921,I1921)</f>
        <v>921</v>
      </c>
      <c r="L1921" s="9" t="str">
        <f aca="false">IF(E1921=K1921,"5000m",IF(G1921=K1921,"3000mSC","1500m"))</f>
        <v>3000mSC</v>
      </c>
      <c r="M1921" s="14" t="n">
        <f aca="false">(D1921&lt;&gt;"")*(D1921&lt;=($E$3*60+$F$3)/86400)+(F1921&lt;&gt;"")*(F1921&lt;=($I$3*60+$J$3)/86400)+(H1921&lt;&gt;"")*(H1921&lt;=($M$3*60+$N$3)/86400)</f>
        <v>0</v>
      </c>
      <c r="N1921" s="16"/>
      <c r="O1921" s="15"/>
    </row>
    <row r="1922" customFormat="false" ht="25.35" hidden="false" customHeight="false" outlineLevel="0" collapsed="false">
      <c r="A1922" s="9" t="n">
        <v>1916</v>
      </c>
      <c r="B1922" s="10" t="s">
        <v>2737</v>
      </c>
      <c r="C1922" s="10" t="s">
        <v>2738</v>
      </c>
      <c r="D1922" s="11"/>
      <c r="E1922" s="12"/>
      <c r="F1922" s="11" t="n">
        <v>0.007521875</v>
      </c>
      <c r="G1922" s="12" t="n">
        <v>922</v>
      </c>
      <c r="H1922" s="11"/>
      <c r="I1922" s="12"/>
      <c r="J1922" s="12" t="n">
        <f aca="false">COUNT(E1922,G1922,I1922)</f>
        <v>1</v>
      </c>
      <c r="K1922" s="13" t="n">
        <f aca="false">MIN(E1922,G1922,I1922)</f>
        <v>922</v>
      </c>
      <c r="L1922" s="9" t="str">
        <f aca="false">IF(E1922=K1922,"5000m",IF(G1922=K1922,"3000mSC","1500m"))</f>
        <v>3000mSC</v>
      </c>
      <c r="M1922" s="14" t="n">
        <f aca="false">(D1922&lt;&gt;"")*(D1922&lt;=($E$3*60+$F$3)/86400)+(F1922&lt;&gt;"")*(F1922&lt;=($I$3*60+$J$3)/86400)+(H1922&lt;&gt;"")*(H1922&lt;=($M$3*60+$N$3)/86400)</f>
        <v>0</v>
      </c>
      <c r="N1922" s="16"/>
      <c r="O1922" s="15"/>
    </row>
    <row r="1923" customFormat="false" ht="15" hidden="false" customHeight="false" outlineLevel="0" collapsed="false">
      <c r="A1923" s="9" t="n">
        <v>1917</v>
      </c>
      <c r="B1923" s="10" t="s">
        <v>2739</v>
      </c>
      <c r="C1923" s="10" t="s">
        <v>1130</v>
      </c>
      <c r="D1923" s="11" t="n">
        <v>0.010902662037037</v>
      </c>
      <c r="E1923" s="12" t="n">
        <v>923</v>
      </c>
      <c r="F1923" s="11"/>
      <c r="G1923" s="12"/>
      <c r="H1923" s="11"/>
      <c r="I1923" s="12"/>
      <c r="J1923" s="12" t="n">
        <f aca="false">COUNT(E1923,G1923,I1923)</f>
        <v>1</v>
      </c>
      <c r="K1923" s="13" t="n">
        <f aca="false">MIN(E1923,G1923,I1923)</f>
        <v>923</v>
      </c>
      <c r="L1923" s="9" t="str">
        <f aca="false">IF(E1923=K1923,"5000m",IF(G1923=K1923,"3000mSC","1500m"))</f>
        <v>5000m</v>
      </c>
      <c r="M1923" s="14" t="n">
        <f aca="false">(D1923&lt;&gt;"")*(D1923&lt;=($E$3*60+$F$3)/86400)+(F1923&lt;&gt;"")*(F1923&lt;=($I$3*60+$J$3)/86400)+(H1923&lt;&gt;"")*(H1923&lt;=($M$3*60+$N$3)/86400)</f>
        <v>0</v>
      </c>
      <c r="N1923" s="16"/>
      <c r="O1923" s="15"/>
    </row>
    <row r="1924" customFormat="false" ht="15" hidden="false" customHeight="false" outlineLevel="0" collapsed="false">
      <c r="A1924" s="9" t="n">
        <v>1918</v>
      </c>
      <c r="B1924" s="10" t="s">
        <v>2740</v>
      </c>
      <c r="C1924" s="10" t="s">
        <v>1680</v>
      </c>
      <c r="D1924" s="11"/>
      <c r="E1924" s="12"/>
      <c r="F1924" s="11"/>
      <c r="G1924" s="12"/>
      <c r="H1924" s="11" t="n">
        <v>0.00289618055555556</v>
      </c>
      <c r="I1924" s="12" t="n">
        <v>923</v>
      </c>
      <c r="J1924" s="12" t="n">
        <f aca="false">COUNT(E1924,G1924,I1924)</f>
        <v>1</v>
      </c>
      <c r="K1924" s="13" t="n">
        <f aca="false">MIN(E1924,G1924,I1924)</f>
        <v>923</v>
      </c>
      <c r="L1924" s="9" t="str">
        <f aca="false">IF(E1924=K1924,"5000m",IF(G1924=K1924,"3000mSC","1500m"))</f>
        <v>1500m</v>
      </c>
      <c r="M1924" s="14" t="n">
        <f aca="false">(D1924&lt;&gt;"")*(D1924&lt;=($E$3*60+$F$3)/86400)+(F1924&lt;&gt;"")*(F1924&lt;=($I$3*60+$J$3)/86400)+(H1924&lt;&gt;"")*(H1924&lt;=($M$3*60+$N$3)/86400)</f>
        <v>0</v>
      </c>
      <c r="N1924" s="16"/>
      <c r="O1924" s="15"/>
    </row>
    <row r="1925" customFormat="false" ht="25.35" hidden="false" customHeight="false" outlineLevel="0" collapsed="false">
      <c r="A1925" s="9" t="n">
        <v>1919</v>
      </c>
      <c r="B1925" s="10" t="s">
        <v>2741</v>
      </c>
      <c r="C1925" s="10" t="s">
        <v>2742</v>
      </c>
      <c r="D1925" s="11"/>
      <c r="E1925" s="12"/>
      <c r="F1925" s="11" t="n">
        <v>0.00752222222222222</v>
      </c>
      <c r="G1925" s="12" t="n">
        <v>924</v>
      </c>
      <c r="H1925" s="11"/>
      <c r="I1925" s="12"/>
      <c r="J1925" s="12" t="n">
        <f aca="false">COUNT(E1925,G1925,I1925)</f>
        <v>1</v>
      </c>
      <c r="K1925" s="13" t="n">
        <f aca="false">MIN(E1925,G1925,I1925)</f>
        <v>924</v>
      </c>
      <c r="L1925" s="9" t="str">
        <f aca="false">IF(E1925=K1925,"5000m",IF(G1925=K1925,"3000mSC","1500m"))</f>
        <v>3000mSC</v>
      </c>
      <c r="M1925" s="14" t="n">
        <f aca="false">(D1925&lt;&gt;"")*(D1925&lt;=($E$3*60+$F$3)/86400)+(F1925&lt;&gt;"")*(F1925&lt;=($I$3*60+$J$3)/86400)+(H1925&lt;&gt;"")*(H1925&lt;=($M$3*60+$N$3)/86400)</f>
        <v>0</v>
      </c>
      <c r="N1925" s="16"/>
      <c r="O1925" s="15"/>
    </row>
    <row r="1926" customFormat="false" ht="15" hidden="false" customHeight="false" outlineLevel="0" collapsed="false">
      <c r="A1926" s="9" t="n">
        <v>1920</v>
      </c>
      <c r="B1926" s="10" t="s">
        <v>2743</v>
      </c>
      <c r="C1926" s="10" t="s">
        <v>286</v>
      </c>
      <c r="D1926" s="11"/>
      <c r="E1926" s="12"/>
      <c r="F1926" s="11"/>
      <c r="G1926" s="12"/>
      <c r="H1926" s="11" t="n">
        <v>0.00289652777777778</v>
      </c>
      <c r="I1926" s="12" t="n">
        <v>924</v>
      </c>
      <c r="J1926" s="12" t="n">
        <f aca="false">COUNT(E1926,G1926,I1926)</f>
        <v>1</v>
      </c>
      <c r="K1926" s="13" t="n">
        <f aca="false">MIN(E1926,G1926,I1926)</f>
        <v>924</v>
      </c>
      <c r="L1926" s="9" t="str">
        <f aca="false">IF(E1926=K1926,"5000m",IF(G1926=K1926,"3000mSC","1500m"))</f>
        <v>1500m</v>
      </c>
      <c r="M1926" s="14" t="n">
        <f aca="false">(D1926&lt;&gt;"")*(D1926&lt;=($E$3*60+$F$3)/86400)+(F1926&lt;&gt;"")*(F1926&lt;=($I$3*60+$J$3)/86400)+(H1926&lt;&gt;"")*(H1926&lt;=($M$3*60+$N$3)/86400)</f>
        <v>0</v>
      </c>
      <c r="N1926" s="16"/>
      <c r="O1926" s="15"/>
    </row>
    <row r="1927" customFormat="false" ht="25.35" hidden="false" customHeight="false" outlineLevel="0" collapsed="false">
      <c r="A1927" s="9" t="n">
        <v>1921</v>
      </c>
      <c r="B1927" s="10" t="s">
        <v>2744</v>
      </c>
      <c r="C1927" s="10" t="s">
        <v>122</v>
      </c>
      <c r="D1927" s="11" t="n">
        <v>0.0110515046296296</v>
      </c>
      <c r="E1927" s="12" t="n">
        <v>1199</v>
      </c>
      <c r="F1927" s="11" t="n">
        <v>0.00752384259259259</v>
      </c>
      <c r="G1927" s="12" t="n">
        <v>925</v>
      </c>
      <c r="H1927" s="11"/>
      <c r="I1927" s="12"/>
      <c r="J1927" s="12" t="n">
        <f aca="false">COUNT(E1927,G1927,I1927)</f>
        <v>2</v>
      </c>
      <c r="K1927" s="13" t="n">
        <f aca="false">MIN(E1927,G1927,I1927)</f>
        <v>925</v>
      </c>
      <c r="L1927" s="9" t="str">
        <f aca="false">IF(E1927=K1927,"5000m",IF(G1927=K1927,"3000mSC","1500m"))</f>
        <v>3000mSC</v>
      </c>
      <c r="M1927" s="14" t="n">
        <f aca="false">(D1927&lt;&gt;"")*(D1927&lt;=($E$3*60+$F$3)/86400)+(F1927&lt;&gt;"")*(F1927&lt;=($I$3*60+$J$3)/86400)+(H1927&lt;&gt;"")*(H1927&lt;=($M$3*60+$N$3)/86400)</f>
        <v>0</v>
      </c>
      <c r="N1927" s="16"/>
      <c r="O1927" s="15"/>
    </row>
    <row r="1928" customFormat="false" ht="15" hidden="false" customHeight="false" outlineLevel="0" collapsed="false">
      <c r="A1928" s="9" t="n">
        <v>1922</v>
      </c>
      <c r="B1928" s="10" t="s">
        <v>2745</v>
      </c>
      <c r="C1928" s="10" t="s">
        <v>208</v>
      </c>
      <c r="D1928" s="11" t="n">
        <v>0.0109028935185185</v>
      </c>
      <c r="E1928" s="12" t="n">
        <v>925</v>
      </c>
      <c r="F1928" s="11"/>
      <c r="G1928" s="12"/>
      <c r="H1928" s="11"/>
      <c r="I1928" s="12"/>
      <c r="J1928" s="12" t="n">
        <f aca="false">COUNT(E1928,G1928,I1928)</f>
        <v>1</v>
      </c>
      <c r="K1928" s="13" t="n">
        <f aca="false">MIN(E1928,G1928,I1928)</f>
        <v>925</v>
      </c>
      <c r="L1928" s="9" t="str">
        <f aca="false">IF(E1928=K1928,"5000m",IF(G1928=K1928,"3000mSC","1500m"))</f>
        <v>5000m</v>
      </c>
      <c r="M1928" s="14" t="n">
        <f aca="false">(D1928&lt;&gt;"")*(D1928&lt;=($E$3*60+$F$3)/86400)+(F1928&lt;&gt;"")*(F1928&lt;=($I$3*60+$J$3)/86400)+(H1928&lt;&gt;"")*(H1928&lt;=($M$3*60+$N$3)/86400)</f>
        <v>0</v>
      </c>
      <c r="N1928" s="16"/>
      <c r="O1928" s="15"/>
    </row>
    <row r="1929" customFormat="false" ht="15" hidden="false" customHeight="false" outlineLevel="0" collapsed="false">
      <c r="A1929" s="9" t="n">
        <v>1923</v>
      </c>
      <c r="B1929" s="10" t="s">
        <v>2746</v>
      </c>
      <c r="C1929" s="10" t="s">
        <v>983</v>
      </c>
      <c r="D1929" s="11"/>
      <c r="E1929" s="12"/>
      <c r="F1929" s="11"/>
      <c r="G1929" s="12"/>
      <c r="H1929" s="11" t="n">
        <v>0.00289722222222222</v>
      </c>
      <c r="I1929" s="12" t="n">
        <v>925</v>
      </c>
      <c r="J1929" s="12" t="n">
        <f aca="false">COUNT(E1929,G1929,I1929)</f>
        <v>1</v>
      </c>
      <c r="K1929" s="13" t="n">
        <f aca="false">MIN(E1929,G1929,I1929)</f>
        <v>925</v>
      </c>
      <c r="L1929" s="9" t="str">
        <f aca="false">IF(E1929=K1929,"5000m",IF(G1929=K1929,"3000mSC","1500m"))</f>
        <v>1500m</v>
      </c>
      <c r="M1929" s="14" t="n">
        <f aca="false">(D1929&lt;&gt;"")*(D1929&lt;=($E$3*60+$F$3)/86400)+(F1929&lt;&gt;"")*(F1929&lt;=($I$3*60+$J$3)/86400)+(H1929&lt;&gt;"")*(H1929&lt;=($M$3*60+$N$3)/86400)</f>
        <v>0</v>
      </c>
      <c r="N1929" s="16"/>
      <c r="O1929" s="15"/>
    </row>
    <row r="1930" customFormat="false" ht="15" hidden="false" customHeight="false" outlineLevel="0" collapsed="false">
      <c r="A1930" s="9" t="n">
        <v>1924</v>
      </c>
      <c r="B1930" s="10" t="s">
        <v>2747</v>
      </c>
      <c r="C1930" s="10" t="s">
        <v>2748</v>
      </c>
      <c r="D1930" s="11" t="n">
        <v>0.0109287037037037</v>
      </c>
      <c r="E1930" s="12" t="n">
        <v>964</v>
      </c>
      <c r="F1930" s="11"/>
      <c r="G1930" s="12"/>
      <c r="H1930" s="11" t="n">
        <v>0.00289722222222222</v>
      </c>
      <c r="I1930" s="12" t="n">
        <v>926</v>
      </c>
      <c r="J1930" s="12" t="n">
        <f aca="false">COUNT(E1930,G1930,I1930)</f>
        <v>2</v>
      </c>
      <c r="K1930" s="13" t="n">
        <f aca="false">MIN(E1930,G1930,I1930)</f>
        <v>926</v>
      </c>
      <c r="L1930" s="9" t="str">
        <f aca="false">IF(E1930=K1930,"5000m",IF(G1930=K1930,"3000mSC","1500m"))</f>
        <v>1500m</v>
      </c>
      <c r="M1930" s="14" t="n">
        <f aca="false">(D1930&lt;&gt;"")*(D1930&lt;=($E$3*60+$F$3)/86400)+(F1930&lt;&gt;"")*(F1930&lt;=($I$3*60+$J$3)/86400)+(H1930&lt;&gt;"")*(H1930&lt;=($M$3*60+$N$3)/86400)</f>
        <v>0</v>
      </c>
      <c r="N1930" s="16"/>
      <c r="O1930" s="15"/>
    </row>
    <row r="1931" customFormat="false" ht="25.35" hidden="false" customHeight="false" outlineLevel="0" collapsed="false">
      <c r="A1931" s="9" t="n">
        <v>1925</v>
      </c>
      <c r="B1931" s="10" t="s">
        <v>2749</v>
      </c>
      <c r="C1931" s="10" t="s">
        <v>1885</v>
      </c>
      <c r="D1931" s="11"/>
      <c r="E1931" s="12"/>
      <c r="F1931" s="11" t="n">
        <v>0.00752534722222222</v>
      </c>
      <c r="G1931" s="12" t="n">
        <v>926</v>
      </c>
      <c r="H1931" s="11"/>
      <c r="I1931" s="12"/>
      <c r="J1931" s="12" t="n">
        <f aca="false">COUNT(E1931,G1931,I1931)</f>
        <v>1</v>
      </c>
      <c r="K1931" s="13" t="n">
        <f aca="false">MIN(E1931,G1931,I1931)</f>
        <v>926</v>
      </c>
      <c r="L1931" s="9" t="str">
        <f aca="false">IF(E1931=K1931,"5000m",IF(G1931=K1931,"3000mSC","1500m"))</f>
        <v>3000mSC</v>
      </c>
      <c r="M1931" s="14" t="n">
        <f aca="false">(D1931&lt;&gt;"")*(D1931&lt;=($E$3*60+$F$3)/86400)+(F1931&lt;&gt;"")*(F1931&lt;=($I$3*60+$J$3)/86400)+(H1931&lt;&gt;"")*(H1931&lt;=($M$3*60+$N$3)/86400)</f>
        <v>0</v>
      </c>
      <c r="N1931" s="16"/>
      <c r="O1931" s="15"/>
    </row>
    <row r="1932" customFormat="false" ht="25.35" hidden="false" customHeight="false" outlineLevel="0" collapsed="false">
      <c r="A1932" s="9" t="n">
        <v>1926</v>
      </c>
      <c r="B1932" s="10" t="s">
        <v>2750</v>
      </c>
      <c r="C1932" s="10" t="s">
        <v>2751</v>
      </c>
      <c r="D1932" s="11"/>
      <c r="E1932" s="12"/>
      <c r="F1932" s="11" t="n">
        <v>0.0075275462962963</v>
      </c>
      <c r="G1932" s="12" t="n">
        <v>927</v>
      </c>
      <c r="H1932" s="11"/>
      <c r="I1932" s="12"/>
      <c r="J1932" s="12" t="n">
        <f aca="false">COUNT(E1932,G1932,I1932)</f>
        <v>1</v>
      </c>
      <c r="K1932" s="13" t="n">
        <f aca="false">MIN(E1932,G1932,I1932)</f>
        <v>927</v>
      </c>
      <c r="L1932" s="9" t="str">
        <f aca="false">IF(E1932=K1932,"5000m",IF(G1932=K1932,"3000mSC","1500m"))</f>
        <v>3000mSC</v>
      </c>
      <c r="M1932" s="14" t="n">
        <f aca="false">(D1932&lt;&gt;"")*(D1932&lt;=($E$3*60+$F$3)/86400)+(F1932&lt;&gt;"")*(F1932&lt;=($I$3*60+$J$3)/86400)+(H1932&lt;&gt;"")*(H1932&lt;=($M$3*60+$N$3)/86400)</f>
        <v>0</v>
      </c>
      <c r="N1932" s="16"/>
      <c r="O1932" s="15"/>
    </row>
    <row r="1933" customFormat="false" ht="15" hidden="false" customHeight="false" outlineLevel="0" collapsed="false">
      <c r="A1933" s="9" t="n">
        <v>1927</v>
      </c>
      <c r="B1933" s="10" t="s">
        <v>2752</v>
      </c>
      <c r="C1933" s="10" t="s">
        <v>2555</v>
      </c>
      <c r="D1933" s="11" t="n">
        <v>0.0109052083333333</v>
      </c>
      <c r="E1933" s="12" t="n">
        <v>929</v>
      </c>
      <c r="F1933" s="11"/>
      <c r="G1933" s="12"/>
      <c r="H1933" s="11" t="n">
        <v>0.00290416666666667</v>
      </c>
      <c r="I1933" s="12" t="n">
        <v>981</v>
      </c>
      <c r="J1933" s="12" t="n">
        <f aca="false">COUNT(E1933,G1933,I1933)</f>
        <v>2</v>
      </c>
      <c r="K1933" s="13" t="n">
        <f aca="false">MIN(E1933,G1933,I1933)</f>
        <v>929</v>
      </c>
      <c r="L1933" s="9" t="str">
        <f aca="false">IF(E1933=K1933,"5000m",IF(G1933=K1933,"3000mSC","1500m"))</f>
        <v>5000m</v>
      </c>
      <c r="M1933" s="14" t="n">
        <f aca="false">(D1933&lt;&gt;"")*(D1933&lt;=($E$3*60+$F$3)/86400)+(F1933&lt;&gt;"")*(F1933&lt;=($I$3*60+$J$3)/86400)+(H1933&lt;&gt;"")*(H1933&lt;=($M$3*60+$N$3)/86400)</f>
        <v>0</v>
      </c>
      <c r="N1933" s="16"/>
      <c r="O1933" s="15"/>
    </row>
    <row r="1934" customFormat="false" ht="25.35" hidden="false" customHeight="false" outlineLevel="0" collapsed="false">
      <c r="A1934" s="9" t="n">
        <v>1928</v>
      </c>
      <c r="B1934" s="10" t="s">
        <v>2753</v>
      </c>
      <c r="C1934" s="10" t="s">
        <v>1690</v>
      </c>
      <c r="D1934" s="11"/>
      <c r="E1934" s="12"/>
      <c r="F1934" s="11" t="n">
        <v>0.00752858796296296</v>
      </c>
      <c r="G1934" s="12" t="n">
        <v>929</v>
      </c>
      <c r="H1934" s="11"/>
      <c r="I1934" s="12"/>
      <c r="J1934" s="12" t="n">
        <f aca="false">COUNT(E1934,G1934,I1934)</f>
        <v>1</v>
      </c>
      <c r="K1934" s="13" t="n">
        <f aca="false">MIN(E1934,G1934,I1934)</f>
        <v>929</v>
      </c>
      <c r="L1934" s="9" t="str">
        <f aca="false">IF(E1934=K1934,"5000m",IF(G1934=K1934,"3000mSC","1500m"))</f>
        <v>3000mSC</v>
      </c>
      <c r="M1934" s="14" t="n">
        <f aca="false">(D1934&lt;&gt;"")*(D1934&lt;=($E$3*60+$F$3)/86400)+(F1934&lt;&gt;"")*(F1934&lt;=($I$3*60+$J$3)/86400)+(H1934&lt;&gt;"")*(H1934&lt;=($M$3*60+$N$3)/86400)</f>
        <v>0</v>
      </c>
      <c r="N1934" s="16"/>
      <c r="O1934" s="15"/>
    </row>
    <row r="1935" customFormat="false" ht="25.35" hidden="false" customHeight="false" outlineLevel="0" collapsed="false">
      <c r="A1935" s="9" t="n">
        <v>1929</v>
      </c>
      <c r="B1935" s="10" t="s">
        <v>2754</v>
      </c>
      <c r="C1935" s="10" t="s">
        <v>2724</v>
      </c>
      <c r="D1935" s="11"/>
      <c r="E1935" s="12"/>
      <c r="F1935" s="11" t="n">
        <v>0.00752974537037037</v>
      </c>
      <c r="G1935" s="12" t="n">
        <v>930</v>
      </c>
      <c r="H1935" s="11"/>
      <c r="I1935" s="12"/>
      <c r="J1935" s="12" t="n">
        <f aca="false">COUNT(E1935,G1935,I1935)</f>
        <v>1</v>
      </c>
      <c r="K1935" s="13" t="n">
        <f aca="false">MIN(E1935,G1935,I1935)</f>
        <v>930</v>
      </c>
      <c r="L1935" s="9" t="str">
        <f aca="false">IF(E1935=K1935,"5000m",IF(G1935=K1935,"3000mSC","1500m"))</f>
        <v>3000mSC</v>
      </c>
      <c r="M1935" s="14" t="n">
        <f aca="false">(D1935&lt;&gt;"")*(D1935&lt;=($E$3*60+$F$3)/86400)+(F1935&lt;&gt;"")*(F1935&lt;=($I$3*60+$J$3)/86400)+(H1935&lt;&gt;"")*(H1935&lt;=($M$3*60+$N$3)/86400)</f>
        <v>0</v>
      </c>
      <c r="N1935" s="16"/>
      <c r="O1935" s="15"/>
    </row>
    <row r="1936" customFormat="false" ht="15" hidden="false" customHeight="false" outlineLevel="0" collapsed="false">
      <c r="A1936" s="9" t="n">
        <v>1930</v>
      </c>
      <c r="B1936" s="10" t="s">
        <v>2755</v>
      </c>
      <c r="C1936" s="10" t="s">
        <v>2756</v>
      </c>
      <c r="D1936" s="11"/>
      <c r="E1936" s="12"/>
      <c r="F1936" s="11"/>
      <c r="G1936" s="12"/>
      <c r="H1936" s="11" t="n">
        <v>0.0028974537037037</v>
      </c>
      <c r="I1936" s="12" t="n">
        <v>930</v>
      </c>
      <c r="J1936" s="12" t="n">
        <f aca="false">COUNT(E1936,G1936,I1936)</f>
        <v>1</v>
      </c>
      <c r="K1936" s="13" t="n">
        <f aca="false">MIN(E1936,G1936,I1936)</f>
        <v>930</v>
      </c>
      <c r="L1936" s="9" t="str">
        <f aca="false">IF(E1936=K1936,"5000m",IF(G1936=K1936,"3000mSC","1500m"))</f>
        <v>1500m</v>
      </c>
      <c r="M1936" s="14" t="n">
        <f aca="false">(D1936&lt;&gt;"")*(D1936&lt;=($E$3*60+$F$3)/86400)+(F1936&lt;&gt;"")*(F1936&lt;=($I$3*60+$J$3)/86400)+(H1936&lt;&gt;"")*(H1936&lt;=($M$3*60+$N$3)/86400)</f>
        <v>0</v>
      </c>
      <c r="N1936" s="16"/>
      <c r="O1936" s="15"/>
    </row>
    <row r="1937" customFormat="false" ht="25.35" hidden="false" customHeight="false" outlineLevel="0" collapsed="false">
      <c r="A1937" s="9" t="n">
        <v>1931</v>
      </c>
      <c r="B1937" s="10" t="s">
        <v>2757</v>
      </c>
      <c r="C1937" s="10" t="s">
        <v>85</v>
      </c>
      <c r="D1937" s="11"/>
      <c r="E1937" s="12"/>
      <c r="F1937" s="11" t="n">
        <v>0.0075306712962963</v>
      </c>
      <c r="G1937" s="12" t="n">
        <v>931</v>
      </c>
      <c r="H1937" s="11"/>
      <c r="I1937" s="12"/>
      <c r="J1937" s="12" t="n">
        <f aca="false">COUNT(E1937,G1937,I1937)</f>
        <v>1</v>
      </c>
      <c r="K1937" s="13" t="n">
        <f aca="false">MIN(E1937,G1937,I1937)</f>
        <v>931</v>
      </c>
      <c r="L1937" s="9" t="str">
        <f aca="false">IF(E1937=K1937,"5000m",IF(G1937=K1937,"3000mSC","1500m"))</f>
        <v>3000mSC</v>
      </c>
      <c r="M1937" s="14" t="n">
        <f aca="false">(D1937&lt;&gt;"")*(D1937&lt;=($E$3*60+$F$3)/86400)+(F1937&lt;&gt;"")*(F1937&lt;=($I$3*60+$J$3)/86400)+(H1937&lt;&gt;"")*(H1937&lt;=($M$3*60+$N$3)/86400)</f>
        <v>0</v>
      </c>
      <c r="N1937" s="16"/>
      <c r="O1937" s="15"/>
    </row>
    <row r="1938" customFormat="false" ht="15" hidden="false" customHeight="false" outlineLevel="0" collapsed="false">
      <c r="A1938" s="9" t="n">
        <v>1932</v>
      </c>
      <c r="B1938" s="10" t="s">
        <v>2758</v>
      </c>
      <c r="C1938" s="10" t="s">
        <v>2024</v>
      </c>
      <c r="D1938" s="11" t="n">
        <v>0.0109074074074074</v>
      </c>
      <c r="E1938" s="12" t="n">
        <v>932</v>
      </c>
      <c r="F1938" s="11" t="n">
        <v>0.0076775462962963</v>
      </c>
      <c r="G1938" s="12" t="n">
        <v>1056</v>
      </c>
      <c r="H1938" s="11" t="n">
        <v>0.00297268518518519</v>
      </c>
      <c r="I1938" s="12" t="n">
        <v>1320</v>
      </c>
      <c r="J1938" s="12" t="n">
        <f aca="false">COUNT(E1938,G1938,I1938)</f>
        <v>3</v>
      </c>
      <c r="K1938" s="13" t="n">
        <f aca="false">MIN(E1938,G1938,I1938)</f>
        <v>932</v>
      </c>
      <c r="L1938" s="9" t="str">
        <f aca="false">IF(E1938=K1938,"5000m",IF(G1938=K1938,"3000mSC","1500m"))</f>
        <v>5000m</v>
      </c>
      <c r="M1938" s="14" t="n">
        <f aca="false">(D1938&lt;&gt;"")*(D1938&lt;=($E$3*60+$F$3)/86400)+(F1938&lt;&gt;"")*(F1938&lt;=($I$3*60+$J$3)/86400)+(H1938&lt;&gt;"")*(H1938&lt;=($M$3*60+$N$3)/86400)</f>
        <v>0</v>
      </c>
      <c r="N1938" s="16"/>
      <c r="O1938" s="15"/>
    </row>
    <row r="1939" customFormat="false" ht="25.35" hidden="false" customHeight="false" outlineLevel="0" collapsed="false">
      <c r="A1939" s="9" t="n">
        <v>1933</v>
      </c>
      <c r="B1939" s="10" t="s">
        <v>2759</v>
      </c>
      <c r="C1939" s="10" t="s">
        <v>2760</v>
      </c>
      <c r="D1939" s="11"/>
      <c r="E1939" s="12"/>
      <c r="F1939" s="11" t="n">
        <v>0.00753159722222222</v>
      </c>
      <c r="G1939" s="12" t="n">
        <v>932</v>
      </c>
      <c r="H1939" s="11"/>
      <c r="I1939" s="12"/>
      <c r="J1939" s="12" t="n">
        <f aca="false">COUNT(E1939,G1939,I1939)</f>
        <v>1</v>
      </c>
      <c r="K1939" s="13" t="n">
        <f aca="false">MIN(E1939,G1939,I1939)</f>
        <v>932</v>
      </c>
      <c r="L1939" s="9" t="str">
        <f aca="false">IF(E1939=K1939,"5000m",IF(G1939=K1939,"3000mSC","1500m"))</f>
        <v>3000mSC</v>
      </c>
      <c r="M1939" s="14" t="n">
        <f aca="false">(D1939&lt;&gt;"")*(D1939&lt;=($E$3*60+$F$3)/86400)+(F1939&lt;&gt;"")*(F1939&lt;=($I$3*60+$J$3)/86400)+(H1939&lt;&gt;"")*(H1939&lt;=($M$3*60+$N$3)/86400)</f>
        <v>0</v>
      </c>
      <c r="N1939" s="16"/>
      <c r="O1939" s="15"/>
    </row>
    <row r="1940" customFormat="false" ht="25.35" hidden="false" customHeight="false" outlineLevel="0" collapsed="false">
      <c r="A1940" s="9" t="n">
        <v>1934</v>
      </c>
      <c r="B1940" s="10" t="s">
        <v>2761</v>
      </c>
      <c r="C1940" s="10" t="s">
        <v>2762</v>
      </c>
      <c r="D1940" s="11"/>
      <c r="E1940" s="12"/>
      <c r="F1940" s="11" t="n">
        <v>0.00753298611111111</v>
      </c>
      <c r="G1940" s="12" t="n">
        <v>933</v>
      </c>
      <c r="H1940" s="11"/>
      <c r="I1940" s="12"/>
      <c r="J1940" s="12" t="n">
        <f aca="false">COUNT(E1940,G1940,I1940)</f>
        <v>1</v>
      </c>
      <c r="K1940" s="13" t="n">
        <f aca="false">MIN(E1940,G1940,I1940)</f>
        <v>933</v>
      </c>
      <c r="L1940" s="9" t="str">
        <f aca="false">IF(E1940=K1940,"5000m",IF(G1940=K1940,"3000mSC","1500m"))</f>
        <v>3000mSC</v>
      </c>
      <c r="M1940" s="14" t="n">
        <f aca="false">(D1940&lt;&gt;"")*(D1940&lt;=($E$3*60+$F$3)/86400)+(F1940&lt;&gt;"")*(F1940&lt;=($I$3*60+$J$3)/86400)+(H1940&lt;&gt;"")*(H1940&lt;=($M$3*60+$N$3)/86400)</f>
        <v>0</v>
      </c>
      <c r="N1940" s="16"/>
      <c r="O1940" s="15"/>
    </row>
    <row r="1941" customFormat="false" ht="15" hidden="false" customHeight="false" outlineLevel="0" collapsed="false">
      <c r="A1941" s="9" t="n">
        <v>1935</v>
      </c>
      <c r="B1941" s="10" t="s">
        <v>2763</v>
      </c>
      <c r="C1941" s="10" t="s">
        <v>2764</v>
      </c>
      <c r="D1941" s="11"/>
      <c r="E1941" s="12"/>
      <c r="F1941" s="11"/>
      <c r="G1941" s="12"/>
      <c r="H1941" s="11" t="n">
        <v>0.00289814814814815</v>
      </c>
      <c r="I1941" s="12" t="n">
        <v>933</v>
      </c>
      <c r="J1941" s="12" t="n">
        <f aca="false">COUNT(E1941,G1941,I1941)</f>
        <v>1</v>
      </c>
      <c r="K1941" s="13" t="n">
        <f aca="false">MIN(E1941,G1941,I1941)</f>
        <v>933</v>
      </c>
      <c r="L1941" s="9" t="str">
        <f aca="false">IF(E1941=K1941,"5000m",IF(G1941=K1941,"3000mSC","1500m"))</f>
        <v>1500m</v>
      </c>
      <c r="M1941" s="14" t="n">
        <f aca="false">(D1941&lt;&gt;"")*(D1941&lt;=($E$3*60+$F$3)/86400)+(F1941&lt;&gt;"")*(F1941&lt;=($I$3*60+$J$3)/86400)+(H1941&lt;&gt;"")*(H1941&lt;=($M$3*60+$N$3)/86400)</f>
        <v>0</v>
      </c>
      <c r="N1941" s="16"/>
      <c r="O1941" s="15"/>
    </row>
    <row r="1942" customFormat="false" ht="25.35" hidden="false" customHeight="false" outlineLevel="0" collapsed="false">
      <c r="A1942" s="9" t="n">
        <v>1936</v>
      </c>
      <c r="B1942" s="10" t="s">
        <v>2765</v>
      </c>
      <c r="C1942" s="10" t="s">
        <v>2766</v>
      </c>
      <c r="D1942" s="11"/>
      <c r="E1942" s="12"/>
      <c r="F1942" s="11" t="n">
        <v>0.00753333333333333</v>
      </c>
      <c r="G1942" s="12" t="n">
        <v>934</v>
      </c>
      <c r="H1942" s="11"/>
      <c r="I1942" s="12"/>
      <c r="J1942" s="12" t="n">
        <f aca="false">COUNT(E1942,G1942,I1942)</f>
        <v>1</v>
      </c>
      <c r="K1942" s="13" t="n">
        <f aca="false">MIN(E1942,G1942,I1942)</f>
        <v>934</v>
      </c>
      <c r="L1942" s="9" t="str">
        <f aca="false">IF(E1942=K1942,"5000m",IF(G1942=K1942,"3000mSC","1500m"))</f>
        <v>3000mSC</v>
      </c>
      <c r="M1942" s="14" t="n">
        <f aca="false">(D1942&lt;&gt;"")*(D1942&lt;=($E$3*60+$F$3)/86400)+(F1942&lt;&gt;"")*(F1942&lt;=($I$3*60+$J$3)/86400)+(H1942&lt;&gt;"")*(H1942&lt;=($M$3*60+$N$3)/86400)</f>
        <v>0</v>
      </c>
      <c r="N1942" s="16"/>
      <c r="O1942" s="15"/>
    </row>
    <row r="1943" customFormat="false" ht="15" hidden="false" customHeight="false" outlineLevel="0" collapsed="false">
      <c r="A1943" s="9" t="n">
        <v>1937</v>
      </c>
      <c r="B1943" s="10" t="s">
        <v>2767</v>
      </c>
      <c r="C1943" s="10" t="s">
        <v>79</v>
      </c>
      <c r="D1943" s="11" t="n">
        <v>0.0109083333333333</v>
      </c>
      <c r="E1943" s="12" t="n">
        <v>935</v>
      </c>
      <c r="F1943" s="11"/>
      <c r="G1943" s="12"/>
      <c r="H1943" s="11"/>
      <c r="I1943" s="12"/>
      <c r="J1943" s="12" t="n">
        <f aca="false">COUNT(E1943,G1943,I1943)</f>
        <v>1</v>
      </c>
      <c r="K1943" s="13" t="n">
        <f aca="false">MIN(E1943,G1943,I1943)</f>
        <v>935</v>
      </c>
      <c r="L1943" s="9" t="str">
        <f aca="false">IF(E1943=K1943,"5000m",IF(G1943=K1943,"3000mSC","1500m"))</f>
        <v>5000m</v>
      </c>
      <c r="M1943" s="14" t="n">
        <f aca="false">(D1943&lt;&gt;"")*(D1943&lt;=($E$3*60+$F$3)/86400)+(F1943&lt;&gt;"")*(F1943&lt;=($I$3*60+$J$3)/86400)+(H1943&lt;&gt;"")*(H1943&lt;=($M$3*60+$N$3)/86400)</f>
        <v>0</v>
      </c>
      <c r="N1943" s="16"/>
      <c r="O1943" s="15"/>
    </row>
    <row r="1944" customFormat="false" ht="25.35" hidden="false" customHeight="false" outlineLevel="0" collapsed="false">
      <c r="A1944" s="9" t="n">
        <v>1938</v>
      </c>
      <c r="B1944" s="10" t="s">
        <v>2768</v>
      </c>
      <c r="C1944" s="10" t="s">
        <v>2769</v>
      </c>
      <c r="D1944" s="11"/>
      <c r="E1944" s="12"/>
      <c r="F1944" s="11" t="n">
        <v>0.00753356481481482</v>
      </c>
      <c r="G1944" s="12" t="n">
        <v>935</v>
      </c>
      <c r="H1944" s="11"/>
      <c r="I1944" s="12"/>
      <c r="J1944" s="12" t="n">
        <f aca="false">COUNT(E1944,G1944,I1944)</f>
        <v>1</v>
      </c>
      <c r="K1944" s="13" t="n">
        <f aca="false">MIN(E1944,G1944,I1944)</f>
        <v>935</v>
      </c>
      <c r="L1944" s="9" t="str">
        <f aca="false">IF(E1944=K1944,"5000m",IF(G1944=K1944,"3000mSC","1500m"))</f>
        <v>3000mSC</v>
      </c>
      <c r="M1944" s="14" t="n">
        <f aca="false">(D1944&lt;&gt;"")*(D1944&lt;=($E$3*60+$F$3)/86400)+(F1944&lt;&gt;"")*(F1944&lt;=($I$3*60+$J$3)/86400)+(H1944&lt;&gt;"")*(H1944&lt;=($M$3*60+$N$3)/86400)</f>
        <v>0</v>
      </c>
      <c r="N1944" s="16"/>
      <c r="O1944" s="15"/>
    </row>
    <row r="1945" customFormat="false" ht="25.35" hidden="false" customHeight="false" outlineLevel="0" collapsed="false">
      <c r="A1945" s="9" t="n">
        <v>1939</v>
      </c>
      <c r="B1945" s="10" t="s">
        <v>2770</v>
      </c>
      <c r="C1945" s="10" t="s">
        <v>1186</v>
      </c>
      <c r="D1945" s="11"/>
      <c r="E1945" s="12"/>
      <c r="F1945" s="11" t="n">
        <v>0.00753518518518519</v>
      </c>
      <c r="G1945" s="12" t="n">
        <v>936</v>
      </c>
      <c r="H1945" s="11"/>
      <c r="I1945" s="12"/>
      <c r="J1945" s="12" t="n">
        <f aca="false">COUNT(E1945,G1945,I1945)</f>
        <v>1</v>
      </c>
      <c r="K1945" s="13" t="n">
        <f aca="false">MIN(E1945,G1945,I1945)</f>
        <v>936</v>
      </c>
      <c r="L1945" s="9" t="str">
        <f aca="false">IF(E1945=K1945,"5000m",IF(G1945=K1945,"3000mSC","1500m"))</f>
        <v>3000mSC</v>
      </c>
      <c r="M1945" s="14" t="n">
        <f aca="false">(D1945&lt;&gt;"")*(D1945&lt;=($E$3*60+$F$3)/86400)+(F1945&lt;&gt;"")*(F1945&lt;=($I$3*60+$J$3)/86400)+(H1945&lt;&gt;"")*(H1945&lt;=($M$3*60+$N$3)/86400)</f>
        <v>0</v>
      </c>
      <c r="N1945" s="16"/>
      <c r="O1945" s="15"/>
    </row>
    <row r="1946" customFormat="false" ht="15" hidden="false" customHeight="false" outlineLevel="0" collapsed="false">
      <c r="A1946" s="9" t="n">
        <v>1940</v>
      </c>
      <c r="B1946" s="10" t="s">
        <v>2771</v>
      </c>
      <c r="C1946" s="10" t="s">
        <v>2772</v>
      </c>
      <c r="D1946" s="11"/>
      <c r="E1946" s="12"/>
      <c r="F1946" s="11"/>
      <c r="G1946" s="12"/>
      <c r="H1946" s="11" t="n">
        <v>0.00289849537037037</v>
      </c>
      <c r="I1946" s="12" t="n">
        <v>936</v>
      </c>
      <c r="J1946" s="12" t="n">
        <f aca="false">COUNT(E1946,G1946,I1946)</f>
        <v>1</v>
      </c>
      <c r="K1946" s="13" t="n">
        <f aca="false">MIN(E1946,G1946,I1946)</f>
        <v>936</v>
      </c>
      <c r="L1946" s="9" t="str">
        <f aca="false">IF(E1946=K1946,"5000m",IF(G1946=K1946,"3000mSC","1500m"))</f>
        <v>1500m</v>
      </c>
      <c r="M1946" s="14" t="n">
        <f aca="false">(D1946&lt;&gt;"")*(D1946&lt;=($E$3*60+$F$3)/86400)+(F1946&lt;&gt;"")*(F1946&lt;=($I$3*60+$J$3)/86400)+(H1946&lt;&gt;"")*(H1946&lt;=($M$3*60+$N$3)/86400)</f>
        <v>0</v>
      </c>
      <c r="N1946" s="16"/>
      <c r="O1946" s="15"/>
    </row>
    <row r="1947" customFormat="false" ht="25.35" hidden="false" customHeight="false" outlineLevel="0" collapsed="false">
      <c r="A1947" s="9" t="n">
        <v>1941</v>
      </c>
      <c r="B1947" s="10" t="s">
        <v>2773</v>
      </c>
      <c r="C1947" s="10" t="s">
        <v>2774</v>
      </c>
      <c r="D1947" s="11"/>
      <c r="E1947" s="12"/>
      <c r="F1947" s="11" t="n">
        <v>0.00753541666666667</v>
      </c>
      <c r="G1947" s="12" t="n">
        <v>937</v>
      </c>
      <c r="H1947" s="11"/>
      <c r="I1947" s="12"/>
      <c r="J1947" s="12" t="n">
        <f aca="false">COUNT(E1947,G1947,I1947)</f>
        <v>1</v>
      </c>
      <c r="K1947" s="13" t="n">
        <f aca="false">MIN(E1947,G1947,I1947)</f>
        <v>937</v>
      </c>
      <c r="L1947" s="9" t="str">
        <f aca="false">IF(E1947=K1947,"5000m",IF(G1947=K1947,"3000mSC","1500m"))</f>
        <v>3000mSC</v>
      </c>
      <c r="M1947" s="14" t="n">
        <f aca="false">(D1947&lt;&gt;"")*(D1947&lt;=($E$3*60+$F$3)/86400)+(F1947&lt;&gt;"")*(F1947&lt;=($I$3*60+$J$3)/86400)+(H1947&lt;&gt;"")*(H1947&lt;=($M$3*60+$N$3)/86400)</f>
        <v>0</v>
      </c>
      <c r="N1947" s="16"/>
      <c r="O1947" s="15"/>
    </row>
    <row r="1948" customFormat="false" ht="15" hidden="false" customHeight="false" outlineLevel="0" collapsed="false">
      <c r="A1948" s="9" t="n">
        <v>1942</v>
      </c>
      <c r="B1948" s="10" t="s">
        <v>2775</v>
      </c>
      <c r="C1948" s="10" t="s">
        <v>387</v>
      </c>
      <c r="D1948" s="11"/>
      <c r="E1948" s="12"/>
      <c r="F1948" s="11"/>
      <c r="G1948" s="12"/>
      <c r="H1948" s="11" t="n">
        <v>0.00289849537037037</v>
      </c>
      <c r="I1948" s="12" t="n">
        <v>937</v>
      </c>
      <c r="J1948" s="12" t="n">
        <f aca="false">COUNT(E1948,G1948,I1948)</f>
        <v>1</v>
      </c>
      <c r="K1948" s="13" t="n">
        <f aca="false">MIN(E1948,G1948,I1948)</f>
        <v>937</v>
      </c>
      <c r="L1948" s="9" t="str">
        <f aca="false">IF(E1948=K1948,"5000m",IF(G1948=K1948,"3000mSC","1500m"))</f>
        <v>1500m</v>
      </c>
      <c r="M1948" s="14" t="n">
        <f aca="false">(D1948&lt;&gt;"")*(D1948&lt;=($E$3*60+$F$3)/86400)+(F1948&lt;&gt;"")*(F1948&lt;=($I$3*60+$J$3)/86400)+(H1948&lt;&gt;"")*(H1948&lt;=($M$3*60+$N$3)/86400)</f>
        <v>0</v>
      </c>
      <c r="N1948" s="16"/>
      <c r="O1948" s="15"/>
    </row>
    <row r="1949" customFormat="false" ht="25.35" hidden="false" customHeight="false" outlineLevel="0" collapsed="false">
      <c r="A1949" s="9" t="n">
        <v>1943</v>
      </c>
      <c r="B1949" s="10" t="s">
        <v>2776</v>
      </c>
      <c r="C1949" s="10" t="s">
        <v>2129</v>
      </c>
      <c r="D1949" s="11"/>
      <c r="E1949" s="12"/>
      <c r="F1949" s="11" t="n">
        <v>0.00753564814814815</v>
      </c>
      <c r="G1949" s="12" t="n">
        <v>938</v>
      </c>
      <c r="H1949" s="11"/>
      <c r="I1949" s="12"/>
      <c r="J1949" s="12" t="n">
        <f aca="false">COUNT(E1949,G1949,I1949)</f>
        <v>1</v>
      </c>
      <c r="K1949" s="13" t="n">
        <f aca="false">MIN(E1949,G1949,I1949)</f>
        <v>938</v>
      </c>
      <c r="L1949" s="9" t="str">
        <f aca="false">IF(E1949=K1949,"5000m",IF(G1949=K1949,"3000mSC","1500m"))</f>
        <v>3000mSC</v>
      </c>
      <c r="M1949" s="14" t="n">
        <f aca="false">(D1949&lt;&gt;"")*(D1949&lt;=($E$3*60+$F$3)/86400)+(F1949&lt;&gt;"")*(F1949&lt;=($I$3*60+$J$3)/86400)+(H1949&lt;&gt;"")*(H1949&lt;=($M$3*60+$N$3)/86400)</f>
        <v>0</v>
      </c>
      <c r="N1949" s="16"/>
      <c r="O1949" s="15"/>
    </row>
    <row r="1950" customFormat="false" ht="25.35" hidden="false" customHeight="false" outlineLevel="0" collapsed="false">
      <c r="A1950" s="9" t="n">
        <v>1944</v>
      </c>
      <c r="B1950" s="10" t="s">
        <v>2777</v>
      </c>
      <c r="C1950" s="10" t="s">
        <v>2778</v>
      </c>
      <c r="D1950" s="11"/>
      <c r="E1950" s="12"/>
      <c r="F1950" s="11" t="n">
        <v>0.00753599537037037</v>
      </c>
      <c r="G1950" s="12" t="n">
        <v>939</v>
      </c>
      <c r="H1950" s="11"/>
      <c r="I1950" s="12"/>
      <c r="J1950" s="12" t="n">
        <f aca="false">COUNT(E1950,G1950,I1950)</f>
        <v>1</v>
      </c>
      <c r="K1950" s="13" t="n">
        <f aca="false">MIN(E1950,G1950,I1950)</f>
        <v>939</v>
      </c>
      <c r="L1950" s="9" t="str">
        <f aca="false">IF(E1950=K1950,"5000m",IF(G1950=K1950,"3000mSC","1500m"))</f>
        <v>3000mSC</v>
      </c>
      <c r="M1950" s="14" t="n">
        <f aca="false">(D1950&lt;&gt;"")*(D1950&lt;=($E$3*60+$F$3)/86400)+(F1950&lt;&gt;"")*(F1950&lt;=($I$3*60+$J$3)/86400)+(H1950&lt;&gt;"")*(H1950&lt;=($M$3*60+$N$3)/86400)</f>
        <v>0</v>
      </c>
      <c r="N1950" s="16"/>
      <c r="O1950" s="15"/>
    </row>
    <row r="1951" customFormat="false" ht="25.35" hidden="false" customHeight="false" outlineLevel="0" collapsed="false">
      <c r="A1951" s="9" t="n">
        <v>1945</v>
      </c>
      <c r="B1951" s="10" t="s">
        <v>2779</v>
      </c>
      <c r="C1951" s="10" t="s">
        <v>371</v>
      </c>
      <c r="D1951" s="11" t="n">
        <v>0.0109751157407407</v>
      </c>
      <c r="E1951" s="12" t="n">
        <v>1050</v>
      </c>
      <c r="F1951" s="11" t="n">
        <v>0.00753622685185185</v>
      </c>
      <c r="G1951" s="12" t="n">
        <v>940</v>
      </c>
      <c r="H1951" s="11"/>
      <c r="I1951" s="12"/>
      <c r="J1951" s="12" t="n">
        <f aca="false">COUNT(E1951,G1951,I1951)</f>
        <v>2</v>
      </c>
      <c r="K1951" s="13" t="n">
        <f aca="false">MIN(E1951,G1951,I1951)</f>
        <v>940</v>
      </c>
      <c r="L1951" s="9" t="str">
        <f aca="false">IF(E1951=K1951,"5000m",IF(G1951=K1951,"3000mSC","1500m"))</f>
        <v>3000mSC</v>
      </c>
      <c r="M1951" s="14" t="n">
        <f aca="false">(D1951&lt;&gt;"")*(D1951&lt;=($E$3*60+$F$3)/86400)+(F1951&lt;&gt;"")*(F1951&lt;=($I$3*60+$J$3)/86400)+(H1951&lt;&gt;"")*(H1951&lt;=($M$3*60+$N$3)/86400)</f>
        <v>0</v>
      </c>
      <c r="N1951" s="16"/>
      <c r="O1951" s="15"/>
    </row>
    <row r="1952" customFormat="false" ht="15" hidden="false" customHeight="false" outlineLevel="0" collapsed="false">
      <c r="A1952" s="9" t="n">
        <v>1946</v>
      </c>
      <c r="B1952" s="10" t="s">
        <v>2780</v>
      </c>
      <c r="C1952" s="10" t="s">
        <v>60</v>
      </c>
      <c r="D1952" s="11"/>
      <c r="E1952" s="12"/>
      <c r="F1952" s="11"/>
      <c r="G1952" s="12"/>
      <c r="H1952" s="11" t="n">
        <v>0.00289953703703704</v>
      </c>
      <c r="I1952" s="12" t="n">
        <v>940</v>
      </c>
      <c r="J1952" s="12" t="n">
        <f aca="false">COUNT(E1952,G1952,I1952)</f>
        <v>1</v>
      </c>
      <c r="K1952" s="13" t="n">
        <f aca="false">MIN(E1952,G1952,I1952)</f>
        <v>940</v>
      </c>
      <c r="L1952" s="9" t="str">
        <f aca="false">IF(E1952=K1952,"5000m",IF(G1952=K1952,"3000mSC","1500m"))</f>
        <v>1500m</v>
      </c>
      <c r="M1952" s="14" t="n">
        <f aca="false">(D1952&lt;&gt;"")*(D1952&lt;=($E$3*60+$F$3)/86400)+(F1952&lt;&gt;"")*(F1952&lt;=($I$3*60+$J$3)/86400)+(H1952&lt;&gt;"")*(H1952&lt;=($M$3*60+$N$3)/86400)</f>
        <v>0</v>
      </c>
      <c r="N1952" s="16"/>
      <c r="O1952" s="15"/>
    </row>
    <row r="1953" customFormat="false" ht="15" hidden="false" customHeight="false" outlineLevel="0" collapsed="false">
      <c r="A1953" s="9" t="n">
        <v>1947</v>
      </c>
      <c r="B1953" s="10" t="s">
        <v>2781</v>
      </c>
      <c r="C1953" s="10" t="s">
        <v>166</v>
      </c>
      <c r="D1953" s="11" t="n">
        <v>0.0109116898148148</v>
      </c>
      <c r="E1953" s="12" t="n">
        <v>941</v>
      </c>
      <c r="F1953" s="11"/>
      <c r="G1953" s="12"/>
      <c r="H1953" s="11"/>
      <c r="I1953" s="12"/>
      <c r="J1953" s="12" t="n">
        <f aca="false">COUNT(E1953,G1953,I1953)</f>
        <v>1</v>
      </c>
      <c r="K1953" s="13" t="n">
        <f aca="false">MIN(E1953,G1953,I1953)</f>
        <v>941</v>
      </c>
      <c r="L1953" s="9" t="str">
        <f aca="false">IF(E1953=K1953,"5000m",IF(G1953=K1953,"3000mSC","1500m"))</f>
        <v>5000m</v>
      </c>
      <c r="M1953" s="14" t="n">
        <f aca="false">(D1953&lt;&gt;"")*(D1953&lt;=($E$3*60+$F$3)/86400)+(F1953&lt;&gt;"")*(F1953&lt;=($I$3*60+$J$3)/86400)+(H1953&lt;&gt;"")*(H1953&lt;=($M$3*60+$N$3)/86400)</f>
        <v>0</v>
      </c>
      <c r="N1953" s="16"/>
      <c r="O1953" s="15"/>
    </row>
    <row r="1954" customFormat="false" ht="25.35" hidden="false" customHeight="false" outlineLevel="0" collapsed="false">
      <c r="A1954" s="9" t="n">
        <v>1948</v>
      </c>
      <c r="B1954" s="10" t="s">
        <v>2782</v>
      </c>
      <c r="C1954" s="10" t="s">
        <v>2783</v>
      </c>
      <c r="D1954" s="11"/>
      <c r="E1954" s="12"/>
      <c r="F1954" s="11" t="n">
        <v>0.00753657407407407</v>
      </c>
      <c r="G1954" s="12" t="n">
        <v>941</v>
      </c>
      <c r="H1954" s="11"/>
      <c r="I1954" s="12"/>
      <c r="J1954" s="12" t="n">
        <f aca="false">COUNT(E1954,G1954,I1954)</f>
        <v>1</v>
      </c>
      <c r="K1954" s="13" t="n">
        <f aca="false">MIN(E1954,G1954,I1954)</f>
        <v>941</v>
      </c>
      <c r="L1954" s="9" t="str">
        <f aca="false">IF(E1954=K1954,"5000m",IF(G1954=K1954,"3000mSC","1500m"))</f>
        <v>3000mSC</v>
      </c>
      <c r="M1954" s="14" t="n">
        <f aca="false">(D1954&lt;&gt;"")*(D1954&lt;=($E$3*60+$F$3)/86400)+(F1954&lt;&gt;"")*(F1954&lt;=($I$3*60+$J$3)/86400)+(H1954&lt;&gt;"")*(H1954&lt;=($M$3*60+$N$3)/86400)</f>
        <v>0</v>
      </c>
      <c r="N1954" s="16"/>
      <c r="O1954" s="15"/>
    </row>
    <row r="1955" customFormat="false" ht="15" hidden="false" customHeight="false" outlineLevel="0" collapsed="false">
      <c r="A1955" s="9" t="n">
        <v>1949</v>
      </c>
      <c r="B1955" s="10" t="s">
        <v>2784</v>
      </c>
      <c r="C1955" s="10" t="s">
        <v>2785</v>
      </c>
      <c r="D1955" s="11" t="n">
        <v>0.0110717592592593</v>
      </c>
      <c r="E1955" s="12" t="n">
        <v>1237</v>
      </c>
      <c r="F1955" s="11"/>
      <c r="G1955" s="12"/>
      <c r="H1955" s="11" t="n">
        <v>0.00289965277777778</v>
      </c>
      <c r="I1955" s="12" t="n">
        <v>942</v>
      </c>
      <c r="J1955" s="12" t="n">
        <f aca="false">COUNT(E1955,G1955,I1955)</f>
        <v>2</v>
      </c>
      <c r="K1955" s="13" t="n">
        <f aca="false">MIN(E1955,G1955,I1955)</f>
        <v>942</v>
      </c>
      <c r="L1955" s="9" t="str">
        <f aca="false">IF(E1955=K1955,"5000m",IF(G1955=K1955,"3000mSC","1500m"))</f>
        <v>1500m</v>
      </c>
      <c r="M1955" s="14" t="n">
        <f aca="false">(D1955&lt;&gt;"")*(D1955&lt;=($E$3*60+$F$3)/86400)+(F1955&lt;&gt;"")*(F1955&lt;=($I$3*60+$J$3)/86400)+(H1955&lt;&gt;"")*(H1955&lt;=($M$3*60+$N$3)/86400)</f>
        <v>0</v>
      </c>
      <c r="N1955" s="16"/>
      <c r="O1955" s="15"/>
    </row>
    <row r="1956" customFormat="false" ht="25.35" hidden="false" customHeight="false" outlineLevel="0" collapsed="false">
      <c r="A1956" s="9" t="n">
        <v>1950</v>
      </c>
      <c r="B1956" s="10" t="s">
        <v>2786</v>
      </c>
      <c r="C1956" s="10" t="s">
        <v>2787</v>
      </c>
      <c r="D1956" s="11"/>
      <c r="E1956" s="12"/>
      <c r="F1956" s="11" t="n">
        <v>0.00753773148148148</v>
      </c>
      <c r="G1956" s="12" t="n">
        <v>942</v>
      </c>
      <c r="H1956" s="11" t="n">
        <v>0.00295590277777778</v>
      </c>
      <c r="I1956" s="12" t="n">
        <v>1257</v>
      </c>
      <c r="J1956" s="12" t="n">
        <f aca="false">COUNT(E1956,G1956,I1956)</f>
        <v>2</v>
      </c>
      <c r="K1956" s="13" t="n">
        <f aca="false">MIN(E1956,G1956,I1956)</f>
        <v>942</v>
      </c>
      <c r="L1956" s="9" t="str">
        <f aca="false">IF(E1956=K1956,"5000m",IF(G1956=K1956,"3000mSC","1500m"))</f>
        <v>3000mSC</v>
      </c>
      <c r="M1956" s="14" t="n">
        <f aca="false">(D1956&lt;&gt;"")*(D1956&lt;=($E$3*60+$F$3)/86400)+(F1956&lt;&gt;"")*(F1956&lt;=($I$3*60+$J$3)/86400)+(H1956&lt;&gt;"")*(H1956&lt;=($M$3*60+$N$3)/86400)</f>
        <v>0</v>
      </c>
      <c r="N1956" s="10" t="s">
        <v>2788</v>
      </c>
      <c r="O1956" s="15"/>
    </row>
    <row r="1957" customFormat="false" ht="15" hidden="false" customHeight="false" outlineLevel="0" collapsed="false">
      <c r="A1957" s="9" t="n">
        <v>1951</v>
      </c>
      <c r="B1957" s="10" t="s">
        <v>2789</v>
      </c>
      <c r="C1957" s="10" t="s">
        <v>393</v>
      </c>
      <c r="D1957" s="11" t="n">
        <v>0.0109130787037037</v>
      </c>
      <c r="E1957" s="12" t="n">
        <v>943</v>
      </c>
      <c r="F1957" s="11"/>
      <c r="G1957" s="12"/>
      <c r="H1957" s="11"/>
      <c r="I1957" s="12"/>
      <c r="J1957" s="12" t="n">
        <f aca="false">COUNT(E1957,G1957,I1957)</f>
        <v>1</v>
      </c>
      <c r="K1957" s="13" t="n">
        <f aca="false">MIN(E1957,G1957,I1957)</f>
        <v>943</v>
      </c>
      <c r="L1957" s="9" t="str">
        <f aca="false">IF(E1957=K1957,"5000m",IF(G1957=K1957,"3000mSC","1500m"))</f>
        <v>5000m</v>
      </c>
      <c r="M1957" s="14" t="n">
        <f aca="false">(D1957&lt;&gt;"")*(D1957&lt;=($E$3*60+$F$3)/86400)+(F1957&lt;&gt;"")*(F1957&lt;=($I$3*60+$J$3)/86400)+(H1957&lt;&gt;"")*(H1957&lt;=($M$3*60+$N$3)/86400)</f>
        <v>0</v>
      </c>
      <c r="N1957" s="16"/>
      <c r="O1957" s="15"/>
    </row>
    <row r="1958" customFormat="false" ht="25.35" hidden="false" customHeight="false" outlineLevel="0" collapsed="false">
      <c r="A1958" s="9" t="n">
        <v>1952</v>
      </c>
      <c r="B1958" s="10" t="s">
        <v>2790</v>
      </c>
      <c r="C1958" s="10" t="s">
        <v>2283</v>
      </c>
      <c r="D1958" s="11"/>
      <c r="E1958" s="12"/>
      <c r="F1958" s="11" t="n">
        <v>0.00753854166666667</v>
      </c>
      <c r="G1958" s="12" t="n">
        <v>943</v>
      </c>
      <c r="H1958" s="11"/>
      <c r="I1958" s="12"/>
      <c r="J1958" s="12" t="n">
        <f aca="false">COUNT(E1958,G1958,I1958)</f>
        <v>1</v>
      </c>
      <c r="K1958" s="13" t="n">
        <f aca="false">MIN(E1958,G1958,I1958)</f>
        <v>943</v>
      </c>
      <c r="L1958" s="9" t="str">
        <f aca="false">IF(E1958=K1958,"5000m",IF(G1958=K1958,"3000mSC","1500m"))</f>
        <v>3000mSC</v>
      </c>
      <c r="M1958" s="14" t="n">
        <f aca="false">(D1958&lt;&gt;"")*(D1958&lt;=($E$3*60+$F$3)/86400)+(F1958&lt;&gt;"")*(F1958&lt;=($I$3*60+$J$3)/86400)+(H1958&lt;&gt;"")*(H1958&lt;=($M$3*60+$N$3)/86400)</f>
        <v>0</v>
      </c>
      <c r="N1958" s="16"/>
      <c r="O1958" s="15"/>
    </row>
    <row r="1959" customFormat="false" ht="15" hidden="false" customHeight="false" outlineLevel="0" collapsed="false">
      <c r="A1959" s="9" t="n">
        <v>1953</v>
      </c>
      <c r="B1959" s="10" t="s">
        <v>2791</v>
      </c>
      <c r="C1959" s="10" t="s">
        <v>2792</v>
      </c>
      <c r="D1959" s="11"/>
      <c r="E1959" s="12"/>
      <c r="F1959" s="11"/>
      <c r="G1959" s="12"/>
      <c r="H1959" s="11" t="n">
        <v>0.00289976851851852</v>
      </c>
      <c r="I1959" s="12" t="n">
        <v>943</v>
      </c>
      <c r="J1959" s="12" t="n">
        <f aca="false">COUNT(E1959,G1959,I1959)</f>
        <v>1</v>
      </c>
      <c r="K1959" s="13" t="n">
        <f aca="false">MIN(E1959,G1959,I1959)</f>
        <v>943</v>
      </c>
      <c r="L1959" s="9" t="str">
        <f aca="false">IF(E1959=K1959,"5000m",IF(G1959=K1959,"3000mSC","1500m"))</f>
        <v>1500m</v>
      </c>
      <c r="M1959" s="14" t="n">
        <f aca="false">(D1959&lt;&gt;"")*(D1959&lt;=($E$3*60+$F$3)/86400)+(F1959&lt;&gt;"")*(F1959&lt;=($I$3*60+$J$3)/86400)+(H1959&lt;&gt;"")*(H1959&lt;=($M$3*60+$N$3)/86400)</f>
        <v>0</v>
      </c>
      <c r="N1959" s="16"/>
      <c r="O1959" s="15"/>
    </row>
    <row r="1960" customFormat="false" ht="25.35" hidden="false" customHeight="false" outlineLevel="0" collapsed="false">
      <c r="A1960" s="9" t="n">
        <v>1954</v>
      </c>
      <c r="B1960" s="10" t="s">
        <v>2793</v>
      </c>
      <c r="C1960" s="10" t="s">
        <v>2794</v>
      </c>
      <c r="D1960" s="11"/>
      <c r="E1960" s="12"/>
      <c r="F1960" s="11" t="n">
        <v>0.00753946759259259</v>
      </c>
      <c r="G1960" s="12" t="n">
        <v>944</v>
      </c>
      <c r="H1960" s="11"/>
      <c r="I1960" s="12"/>
      <c r="J1960" s="12" t="n">
        <f aca="false">COUNT(E1960,G1960,I1960)</f>
        <v>1</v>
      </c>
      <c r="K1960" s="13" t="n">
        <f aca="false">MIN(E1960,G1960,I1960)</f>
        <v>944</v>
      </c>
      <c r="L1960" s="9" t="str">
        <f aca="false">IF(E1960=K1960,"5000m",IF(G1960=K1960,"3000mSC","1500m"))</f>
        <v>3000mSC</v>
      </c>
      <c r="M1960" s="14" t="n">
        <f aca="false">(D1960&lt;&gt;"")*(D1960&lt;=($E$3*60+$F$3)/86400)+(F1960&lt;&gt;"")*(F1960&lt;=($I$3*60+$J$3)/86400)+(H1960&lt;&gt;"")*(H1960&lt;=($M$3*60+$N$3)/86400)</f>
        <v>0</v>
      </c>
      <c r="N1960" s="16"/>
      <c r="O1960" s="15"/>
    </row>
    <row r="1961" customFormat="false" ht="25.35" hidden="false" customHeight="false" outlineLevel="0" collapsed="false">
      <c r="A1961" s="9" t="n">
        <v>1955</v>
      </c>
      <c r="B1961" s="10" t="s">
        <v>2795</v>
      </c>
      <c r="C1961" s="10" t="s">
        <v>2796</v>
      </c>
      <c r="D1961" s="11"/>
      <c r="E1961" s="12"/>
      <c r="F1961" s="11" t="n">
        <v>0.00753946759259259</v>
      </c>
      <c r="G1961" s="12" t="n">
        <v>945</v>
      </c>
      <c r="H1961" s="11"/>
      <c r="I1961" s="12"/>
      <c r="J1961" s="12" t="n">
        <f aca="false">COUNT(E1961,G1961,I1961)</f>
        <v>1</v>
      </c>
      <c r="K1961" s="13" t="n">
        <f aca="false">MIN(E1961,G1961,I1961)</f>
        <v>945</v>
      </c>
      <c r="L1961" s="9" t="str">
        <f aca="false">IF(E1961=K1961,"5000m",IF(G1961=K1961,"3000mSC","1500m"))</f>
        <v>3000mSC</v>
      </c>
      <c r="M1961" s="14" t="n">
        <f aca="false">(D1961&lt;&gt;"")*(D1961&lt;=($E$3*60+$F$3)/86400)+(F1961&lt;&gt;"")*(F1961&lt;=($I$3*60+$J$3)/86400)+(H1961&lt;&gt;"")*(H1961&lt;=($M$3*60+$N$3)/86400)</f>
        <v>0</v>
      </c>
      <c r="N1961" s="16"/>
      <c r="O1961" s="15"/>
    </row>
    <row r="1962" customFormat="false" ht="15" hidden="false" customHeight="false" outlineLevel="0" collapsed="false">
      <c r="A1962" s="9" t="n">
        <v>1956</v>
      </c>
      <c r="B1962" s="10" t="s">
        <v>2797</v>
      </c>
      <c r="C1962" s="10" t="s">
        <v>1897</v>
      </c>
      <c r="D1962" s="11"/>
      <c r="E1962" s="12"/>
      <c r="F1962" s="11"/>
      <c r="G1962" s="12"/>
      <c r="H1962" s="11" t="n">
        <v>0.00289988425925926</v>
      </c>
      <c r="I1962" s="12" t="n">
        <v>945</v>
      </c>
      <c r="J1962" s="12" t="n">
        <f aca="false">COUNT(E1962,G1962,I1962)</f>
        <v>1</v>
      </c>
      <c r="K1962" s="13" t="n">
        <f aca="false">MIN(E1962,G1962,I1962)</f>
        <v>945</v>
      </c>
      <c r="L1962" s="9" t="str">
        <f aca="false">IF(E1962=K1962,"5000m",IF(G1962=K1962,"3000mSC","1500m"))</f>
        <v>1500m</v>
      </c>
      <c r="M1962" s="14" t="n">
        <f aca="false">(D1962&lt;&gt;"")*(D1962&lt;=($E$3*60+$F$3)/86400)+(F1962&lt;&gt;"")*(F1962&lt;=($I$3*60+$J$3)/86400)+(H1962&lt;&gt;"")*(H1962&lt;=($M$3*60+$N$3)/86400)</f>
        <v>0</v>
      </c>
      <c r="N1962" s="16"/>
      <c r="O1962" s="15"/>
    </row>
    <row r="1963" customFormat="false" ht="25.35" hidden="false" customHeight="false" outlineLevel="0" collapsed="false">
      <c r="A1963" s="9" t="n">
        <v>1957</v>
      </c>
      <c r="B1963" s="10" t="s">
        <v>2798</v>
      </c>
      <c r="C1963" s="10" t="s">
        <v>1137</v>
      </c>
      <c r="D1963" s="11"/>
      <c r="E1963" s="12"/>
      <c r="F1963" s="11" t="n">
        <v>0.00754155092592593</v>
      </c>
      <c r="G1963" s="12" t="n">
        <v>946</v>
      </c>
      <c r="H1963" s="11"/>
      <c r="I1963" s="12"/>
      <c r="J1963" s="12" t="n">
        <f aca="false">COUNT(E1963,G1963,I1963)</f>
        <v>1</v>
      </c>
      <c r="K1963" s="13" t="n">
        <f aca="false">MIN(E1963,G1963,I1963)</f>
        <v>946</v>
      </c>
      <c r="L1963" s="9" t="str">
        <f aca="false">IF(E1963=K1963,"5000m",IF(G1963=K1963,"3000mSC","1500m"))</f>
        <v>3000mSC</v>
      </c>
      <c r="M1963" s="14" t="n">
        <f aca="false">(D1963&lt;&gt;"")*(D1963&lt;=($E$3*60+$F$3)/86400)+(F1963&lt;&gt;"")*(F1963&lt;=($I$3*60+$J$3)/86400)+(H1963&lt;&gt;"")*(H1963&lt;=($M$3*60+$N$3)/86400)</f>
        <v>0</v>
      </c>
      <c r="N1963" s="16"/>
      <c r="O1963" s="15"/>
    </row>
    <row r="1964" customFormat="false" ht="25.35" hidden="false" customHeight="false" outlineLevel="0" collapsed="false">
      <c r="A1964" s="9" t="n">
        <v>1958</v>
      </c>
      <c r="B1964" s="10" t="s">
        <v>2799</v>
      </c>
      <c r="C1964" s="10" t="s">
        <v>2800</v>
      </c>
      <c r="D1964" s="11"/>
      <c r="E1964" s="12"/>
      <c r="F1964" s="11" t="n">
        <v>0.00754236111111111</v>
      </c>
      <c r="G1964" s="12" t="n">
        <v>947</v>
      </c>
      <c r="H1964" s="11"/>
      <c r="I1964" s="12"/>
      <c r="J1964" s="12" t="n">
        <f aca="false">COUNT(E1964,G1964,I1964)</f>
        <v>1</v>
      </c>
      <c r="K1964" s="13" t="n">
        <f aca="false">MIN(E1964,G1964,I1964)</f>
        <v>947</v>
      </c>
      <c r="L1964" s="9" t="str">
        <f aca="false">IF(E1964=K1964,"5000m",IF(G1964=K1964,"3000mSC","1500m"))</f>
        <v>3000mSC</v>
      </c>
      <c r="M1964" s="14" t="n">
        <f aca="false">(D1964&lt;&gt;"")*(D1964&lt;=($E$3*60+$F$3)/86400)+(F1964&lt;&gt;"")*(F1964&lt;=($I$3*60+$J$3)/86400)+(H1964&lt;&gt;"")*(H1964&lt;=($M$3*60+$N$3)/86400)</f>
        <v>0</v>
      </c>
      <c r="N1964" s="16"/>
      <c r="O1964" s="15"/>
    </row>
    <row r="1965" customFormat="false" ht="15" hidden="false" customHeight="false" outlineLevel="0" collapsed="false">
      <c r="A1965" s="9" t="n">
        <v>1959</v>
      </c>
      <c r="B1965" s="10" t="s">
        <v>2801</v>
      </c>
      <c r="C1965" s="10" t="s">
        <v>756</v>
      </c>
      <c r="D1965" s="11" t="n">
        <v>0.0109170138888889</v>
      </c>
      <c r="E1965" s="12" t="n">
        <v>948</v>
      </c>
      <c r="F1965" s="11"/>
      <c r="G1965" s="12"/>
      <c r="H1965" s="11"/>
      <c r="I1965" s="12"/>
      <c r="J1965" s="12" t="n">
        <f aca="false">COUNT(E1965,G1965,I1965)</f>
        <v>1</v>
      </c>
      <c r="K1965" s="13" t="n">
        <f aca="false">MIN(E1965,G1965,I1965)</f>
        <v>948</v>
      </c>
      <c r="L1965" s="9" t="str">
        <f aca="false">IF(E1965=K1965,"5000m",IF(G1965=K1965,"3000mSC","1500m"))</f>
        <v>5000m</v>
      </c>
      <c r="M1965" s="14" t="n">
        <f aca="false">(D1965&lt;&gt;"")*(D1965&lt;=($E$3*60+$F$3)/86400)+(F1965&lt;&gt;"")*(F1965&lt;=($I$3*60+$J$3)/86400)+(H1965&lt;&gt;"")*(H1965&lt;=($M$3*60+$N$3)/86400)</f>
        <v>0</v>
      </c>
      <c r="N1965" s="16"/>
      <c r="O1965" s="15"/>
    </row>
    <row r="1966" customFormat="false" ht="25.35" hidden="false" customHeight="false" outlineLevel="0" collapsed="false">
      <c r="A1966" s="9" t="n">
        <v>1960</v>
      </c>
      <c r="B1966" s="10" t="s">
        <v>2802</v>
      </c>
      <c r="C1966" s="10" t="s">
        <v>1536</v>
      </c>
      <c r="D1966" s="11"/>
      <c r="E1966" s="12"/>
      <c r="F1966" s="11" t="n">
        <v>0.00754363425925926</v>
      </c>
      <c r="G1966" s="12" t="n">
        <v>948</v>
      </c>
      <c r="H1966" s="11"/>
      <c r="I1966" s="12"/>
      <c r="J1966" s="12" t="n">
        <f aca="false">COUNT(E1966,G1966,I1966)</f>
        <v>1</v>
      </c>
      <c r="K1966" s="13" t="n">
        <f aca="false">MIN(E1966,G1966,I1966)</f>
        <v>948</v>
      </c>
      <c r="L1966" s="9" t="str">
        <f aca="false">IF(E1966=K1966,"5000m",IF(G1966=K1966,"3000mSC","1500m"))</f>
        <v>3000mSC</v>
      </c>
      <c r="M1966" s="14" t="n">
        <f aca="false">(D1966&lt;&gt;"")*(D1966&lt;=($E$3*60+$F$3)/86400)+(F1966&lt;&gt;"")*(F1966&lt;=($I$3*60+$J$3)/86400)+(H1966&lt;&gt;"")*(H1966&lt;=($M$3*60+$N$3)/86400)</f>
        <v>0</v>
      </c>
      <c r="N1966" s="16"/>
      <c r="O1966" s="15"/>
    </row>
    <row r="1967" customFormat="false" ht="15" hidden="false" customHeight="false" outlineLevel="0" collapsed="false">
      <c r="A1967" s="9" t="n">
        <v>1961</v>
      </c>
      <c r="B1967" s="10" t="s">
        <v>2803</v>
      </c>
      <c r="C1967" s="10" t="s">
        <v>1595</v>
      </c>
      <c r="D1967" s="11" t="n">
        <v>0.0109172453703704</v>
      </c>
      <c r="E1967" s="12" t="n">
        <v>949</v>
      </c>
      <c r="F1967" s="11"/>
      <c r="G1967" s="12"/>
      <c r="H1967" s="11" t="n">
        <v>0.00295023148148148</v>
      </c>
      <c r="I1967" s="12" t="n">
        <v>1239</v>
      </c>
      <c r="J1967" s="12" t="n">
        <f aca="false">COUNT(E1967,G1967,I1967)</f>
        <v>2</v>
      </c>
      <c r="K1967" s="13" t="n">
        <f aca="false">MIN(E1967,G1967,I1967)</f>
        <v>949</v>
      </c>
      <c r="L1967" s="9" t="str">
        <f aca="false">IF(E1967=K1967,"5000m",IF(G1967=K1967,"3000mSC","1500m"))</f>
        <v>5000m</v>
      </c>
      <c r="M1967" s="14" t="n">
        <f aca="false">(D1967&lt;&gt;"")*(D1967&lt;=($E$3*60+$F$3)/86400)+(F1967&lt;&gt;"")*(F1967&lt;=($I$3*60+$J$3)/86400)+(H1967&lt;&gt;"")*(H1967&lt;=($M$3*60+$N$3)/86400)</f>
        <v>0</v>
      </c>
      <c r="N1967" s="16"/>
      <c r="O1967" s="15"/>
    </row>
    <row r="1968" customFormat="false" ht="25.35" hidden="false" customHeight="false" outlineLevel="0" collapsed="false">
      <c r="A1968" s="9" t="n">
        <v>1962</v>
      </c>
      <c r="B1968" s="10" t="s">
        <v>2804</v>
      </c>
      <c r="C1968" s="10" t="s">
        <v>2805</v>
      </c>
      <c r="D1968" s="11"/>
      <c r="E1968" s="12"/>
      <c r="F1968" s="11" t="n">
        <v>0.00754421296296296</v>
      </c>
      <c r="G1968" s="12" t="n">
        <v>949</v>
      </c>
      <c r="H1968" s="11"/>
      <c r="I1968" s="12"/>
      <c r="J1968" s="12" t="n">
        <f aca="false">COUNT(E1968,G1968,I1968)</f>
        <v>1</v>
      </c>
      <c r="K1968" s="13" t="n">
        <f aca="false">MIN(E1968,G1968,I1968)</f>
        <v>949</v>
      </c>
      <c r="L1968" s="9" t="str">
        <f aca="false">IF(E1968=K1968,"5000m",IF(G1968=K1968,"3000mSC","1500m"))</f>
        <v>3000mSC</v>
      </c>
      <c r="M1968" s="14" t="n">
        <f aca="false">(D1968&lt;&gt;"")*(D1968&lt;=($E$3*60+$F$3)/86400)+(F1968&lt;&gt;"")*(F1968&lt;=($I$3*60+$J$3)/86400)+(H1968&lt;&gt;"")*(H1968&lt;=($M$3*60+$N$3)/86400)</f>
        <v>0</v>
      </c>
      <c r="N1968" s="16"/>
      <c r="O1968" s="15"/>
    </row>
    <row r="1969" customFormat="false" ht="15" hidden="false" customHeight="false" outlineLevel="0" collapsed="false">
      <c r="A1969" s="9" t="n">
        <v>1963</v>
      </c>
      <c r="B1969" s="10" t="s">
        <v>2806</v>
      </c>
      <c r="C1969" s="10" t="s">
        <v>377</v>
      </c>
      <c r="D1969" s="11"/>
      <c r="E1969" s="12"/>
      <c r="F1969" s="11"/>
      <c r="G1969" s="12"/>
      <c r="H1969" s="11" t="n">
        <v>0.00290023148148148</v>
      </c>
      <c r="I1969" s="12" t="n">
        <v>949</v>
      </c>
      <c r="J1969" s="12" t="n">
        <f aca="false">COUNT(E1969,G1969,I1969)</f>
        <v>1</v>
      </c>
      <c r="K1969" s="13" t="n">
        <f aca="false">MIN(E1969,G1969,I1969)</f>
        <v>949</v>
      </c>
      <c r="L1969" s="9" t="str">
        <f aca="false">IF(E1969=K1969,"5000m",IF(G1969=K1969,"3000mSC","1500m"))</f>
        <v>1500m</v>
      </c>
      <c r="M1969" s="14" t="n">
        <f aca="false">(D1969&lt;&gt;"")*(D1969&lt;=($E$3*60+$F$3)/86400)+(F1969&lt;&gt;"")*(F1969&lt;=($I$3*60+$J$3)/86400)+(H1969&lt;&gt;"")*(H1969&lt;=($M$3*60+$N$3)/86400)</f>
        <v>0</v>
      </c>
      <c r="N1969" s="16"/>
      <c r="O1969" s="15"/>
    </row>
    <row r="1970" customFormat="false" ht="25.35" hidden="false" customHeight="false" outlineLevel="0" collapsed="false">
      <c r="A1970" s="9" t="n">
        <v>1964</v>
      </c>
      <c r="B1970" s="10" t="s">
        <v>2807</v>
      </c>
      <c r="C1970" s="10" t="s">
        <v>2534</v>
      </c>
      <c r="D1970" s="11"/>
      <c r="E1970" s="12"/>
      <c r="F1970" s="11" t="n">
        <v>0.00754513888888889</v>
      </c>
      <c r="G1970" s="12" t="n">
        <v>950</v>
      </c>
      <c r="H1970" s="11"/>
      <c r="I1970" s="12"/>
      <c r="J1970" s="12" t="n">
        <f aca="false">COUNT(E1970,G1970,I1970)</f>
        <v>1</v>
      </c>
      <c r="K1970" s="13" t="n">
        <f aca="false">MIN(E1970,G1970,I1970)</f>
        <v>950</v>
      </c>
      <c r="L1970" s="9" t="str">
        <f aca="false">IF(E1970=K1970,"5000m",IF(G1970=K1970,"3000mSC","1500m"))</f>
        <v>3000mSC</v>
      </c>
      <c r="M1970" s="14" t="n">
        <f aca="false">(D1970&lt;&gt;"")*(D1970&lt;=($E$3*60+$F$3)/86400)+(F1970&lt;&gt;"")*(F1970&lt;=($I$3*60+$J$3)/86400)+(H1970&lt;&gt;"")*(H1970&lt;=($M$3*60+$N$3)/86400)</f>
        <v>0</v>
      </c>
      <c r="N1970" s="16"/>
      <c r="O1970" s="15"/>
    </row>
    <row r="1971" customFormat="false" ht="15" hidden="false" customHeight="false" outlineLevel="0" collapsed="false">
      <c r="A1971" s="9" t="n">
        <v>1965</v>
      </c>
      <c r="B1971" s="10" t="s">
        <v>2808</v>
      </c>
      <c r="C1971" s="10" t="s">
        <v>467</v>
      </c>
      <c r="D1971" s="11" t="n">
        <v>0.0109524305555556</v>
      </c>
      <c r="E1971" s="12" t="n">
        <v>1005</v>
      </c>
      <c r="F1971" s="11"/>
      <c r="G1971" s="12"/>
      <c r="H1971" s="11" t="n">
        <v>0.0029005787037037</v>
      </c>
      <c r="I1971" s="12" t="n">
        <v>951</v>
      </c>
      <c r="J1971" s="12" t="n">
        <f aca="false">COUNT(E1971,G1971,I1971)</f>
        <v>2</v>
      </c>
      <c r="K1971" s="13" t="n">
        <f aca="false">MIN(E1971,G1971,I1971)</f>
        <v>951</v>
      </c>
      <c r="L1971" s="9" t="str">
        <f aca="false">IF(E1971=K1971,"5000m",IF(G1971=K1971,"3000mSC","1500m"))</f>
        <v>1500m</v>
      </c>
      <c r="M1971" s="14" t="n">
        <f aca="false">(D1971&lt;&gt;"")*(D1971&lt;=($E$3*60+$F$3)/86400)+(F1971&lt;&gt;"")*(F1971&lt;=($I$3*60+$J$3)/86400)+(H1971&lt;&gt;"")*(H1971&lt;=($M$3*60+$N$3)/86400)</f>
        <v>0</v>
      </c>
      <c r="N1971" s="16"/>
      <c r="O1971" s="15"/>
    </row>
    <row r="1972" customFormat="false" ht="25.35" hidden="false" customHeight="false" outlineLevel="0" collapsed="false">
      <c r="A1972" s="9" t="n">
        <v>1966</v>
      </c>
      <c r="B1972" s="10" t="s">
        <v>2809</v>
      </c>
      <c r="C1972" s="10" t="s">
        <v>1871</v>
      </c>
      <c r="D1972" s="11"/>
      <c r="E1972" s="12"/>
      <c r="F1972" s="11" t="n">
        <v>0.00754537037037037</v>
      </c>
      <c r="G1972" s="12" t="n">
        <v>951</v>
      </c>
      <c r="H1972" s="11"/>
      <c r="I1972" s="12"/>
      <c r="J1972" s="12" t="n">
        <f aca="false">COUNT(E1972,G1972,I1972)</f>
        <v>1</v>
      </c>
      <c r="K1972" s="13" t="n">
        <f aca="false">MIN(E1972,G1972,I1972)</f>
        <v>951</v>
      </c>
      <c r="L1972" s="9" t="str">
        <f aca="false">IF(E1972=K1972,"5000m",IF(G1972=K1972,"3000mSC","1500m"))</f>
        <v>3000mSC</v>
      </c>
      <c r="M1972" s="14" t="n">
        <f aca="false">(D1972&lt;&gt;"")*(D1972&lt;=($E$3*60+$F$3)/86400)+(F1972&lt;&gt;"")*(F1972&lt;=($I$3*60+$J$3)/86400)+(H1972&lt;&gt;"")*(H1972&lt;=($M$3*60+$N$3)/86400)</f>
        <v>0</v>
      </c>
      <c r="N1972" s="16"/>
      <c r="O1972" s="15"/>
    </row>
    <row r="1973" customFormat="false" ht="25.35" hidden="false" customHeight="false" outlineLevel="0" collapsed="false">
      <c r="A1973" s="9" t="n">
        <v>1967</v>
      </c>
      <c r="B1973" s="10" t="s">
        <v>2810</v>
      </c>
      <c r="C1973" s="10" t="s">
        <v>2811</v>
      </c>
      <c r="D1973" s="11"/>
      <c r="E1973" s="12"/>
      <c r="F1973" s="11" t="n">
        <v>0.00754594907407408</v>
      </c>
      <c r="G1973" s="12" t="n">
        <v>952</v>
      </c>
      <c r="H1973" s="11"/>
      <c r="I1973" s="12"/>
      <c r="J1973" s="12" t="n">
        <f aca="false">COUNT(E1973,G1973,I1973)</f>
        <v>1</v>
      </c>
      <c r="K1973" s="13" t="n">
        <f aca="false">MIN(E1973,G1973,I1973)</f>
        <v>952</v>
      </c>
      <c r="L1973" s="9" t="str">
        <f aca="false">IF(E1973=K1973,"5000m",IF(G1973=K1973,"3000mSC","1500m"))</f>
        <v>3000mSC</v>
      </c>
      <c r="M1973" s="14" t="n">
        <f aca="false">(D1973&lt;&gt;"")*(D1973&lt;=($E$3*60+$F$3)/86400)+(F1973&lt;&gt;"")*(F1973&lt;=($I$3*60+$J$3)/86400)+(H1973&lt;&gt;"")*(H1973&lt;=($M$3*60+$N$3)/86400)</f>
        <v>0</v>
      </c>
      <c r="N1973" s="16"/>
      <c r="O1973" s="15"/>
    </row>
    <row r="1974" customFormat="false" ht="15" hidden="false" customHeight="false" outlineLevel="0" collapsed="false">
      <c r="A1974" s="9" t="n">
        <v>1968</v>
      </c>
      <c r="B1974" s="10" t="s">
        <v>2812</v>
      </c>
      <c r="C1974" s="10" t="s">
        <v>2173</v>
      </c>
      <c r="D1974" s="11"/>
      <c r="E1974" s="12"/>
      <c r="F1974" s="11"/>
      <c r="G1974" s="12"/>
      <c r="H1974" s="11" t="n">
        <v>0.0029005787037037</v>
      </c>
      <c r="I1974" s="12" t="n">
        <v>952</v>
      </c>
      <c r="J1974" s="12" t="n">
        <f aca="false">COUNT(E1974,G1974,I1974)</f>
        <v>1</v>
      </c>
      <c r="K1974" s="13" t="n">
        <f aca="false">MIN(E1974,G1974,I1974)</f>
        <v>952</v>
      </c>
      <c r="L1974" s="9" t="str">
        <f aca="false">IF(E1974=K1974,"5000m",IF(G1974=K1974,"3000mSC","1500m"))</f>
        <v>1500m</v>
      </c>
      <c r="M1974" s="14" t="n">
        <f aca="false">(D1974&lt;&gt;"")*(D1974&lt;=($E$3*60+$F$3)/86400)+(F1974&lt;&gt;"")*(F1974&lt;=($I$3*60+$J$3)/86400)+(H1974&lt;&gt;"")*(H1974&lt;=($M$3*60+$N$3)/86400)</f>
        <v>0</v>
      </c>
      <c r="N1974" s="16"/>
      <c r="O1974" s="15"/>
    </row>
    <row r="1975" customFormat="false" ht="15" hidden="false" customHeight="false" outlineLevel="0" collapsed="false">
      <c r="A1975" s="9" t="n">
        <v>1969</v>
      </c>
      <c r="B1975" s="10" t="s">
        <v>2813</v>
      </c>
      <c r="C1975" s="10" t="s">
        <v>2100</v>
      </c>
      <c r="D1975" s="11" t="n">
        <v>0.0109266203703704</v>
      </c>
      <c r="E1975" s="12" t="n">
        <v>961</v>
      </c>
      <c r="F1975" s="11"/>
      <c r="G1975" s="12"/>
      <c r="H1975" s="11" t="n">
        <v>0.00290069444444444</v>
      </c>
      <c r="I1975" s="12" t="n">
        <v>953</v>
      </c>
      <c r="J1975" s="12" t="n">
        <f aca="false">COUNT(E1975,G1975,I1975)</f>
        <v>2</v>
      </c>
      <c r="K1975" s="13" t="n">
        <f aca="false">MIN(E1975,G1975,I1975)</f>
        <v>953</v>
      </c>
      <c r="L1975" s="9" t="str">
        <f aca="false">IF(E1975=K1975,"5000m",IF(G1975=K1975,"3000mSC","1500m"))</f>
        <v>1500m</v>
      </c>
      <c r="M1975" s="14" t="n">
        <f aca="false">(D1975&lt;&gt;"")*(D1975&lt;=($E$3*60+$F$3)/86400)+(F1975&lt;&gt;"")*(F1975&lt;=($I$3*60+$J$3)/86400)+(H1975&lt;&gt;"")*(H1975&lt;=($M$3*60+$N$3)/86400)</f>
        <v>0</v>
      </c>
      <c r="N1975" s="16"/>
      <c r="O1975" s="15"/>
    </row>
    <row r="1976" customFormat="false" ht="25.35" hidden="false" customHeight="false" outlineLevel="0" collapsed="false">
      <c r="A1976" s="9" t="n">
        <v>1970</v>
      </c>
      <c r="B1976" s="10" t="s">
        <v>2814</v>
      </c>
      <c r="C1976" s="10" t="s">
        <v>910</v>
      </c>
      <c r="D1976" s="11"/>
      <c r="E1976" s="12"/>
      <c r="F1976" s="11" t="n">
        <v>0.00754768518518519</v>
      </c>
      <c r="G1976" s="12" t="n">
        <v>953</v>
      </c>
      <c r="H1976" s="11"/>
      <c r="I1976" s="12"/>
      <c r="J1976" s="12" t="n">
        <f aca="false">COUNT(E1976,G1976,I1976)</f>
        <v>1</v>
      </c>
      <c r="K1976" s="13" t="n">
        <f aca="false">MIN(E1976,G1976,I1976)</f>
        <v>953</v>
      </c>
      <c r="L1976" s="9" t="str">
        <f aca="false">IF(E1976=K1976,"5000m",IF(G1976=K1976,"3000mSC","1500m"))</f>
        <v>3000mSC</v>
      </c>
      <c r="M1976" s="14" t="n">
        <f aca="false">(D1976&lt;&gt;"")*(D1976&lt;=($E$3*60+$F$3)/86400)+(F1976&lt;&gt;"")*(F1976&lt;=($I$3*60+$J$3)/86400)+(H1976&lt;&gt;"")*(H1976&lt;=($M$3*60+$N$3)/86400)</f>
        <v>0</v>
      </c>
      <c r="N1976" s="16"/>
      <c r="O1976" s="15"/>
    </row>
    <row r="1977" customFormat="false" ht="25.35" hidden="false" customHeight="false" outlineLevel="0" collapsed="false">
      <c r="A1977" s="9" t="n">
        <v>1971</v>
      </c>
      <c r="B1977" s="10" t="s">
        <v>2815</v>
      </c>
      <c r="C1977" s="10" t="s">
        <v>1680</v>
      </c>
      <c r="D1977" s="11"/>
      <c r="E1977" s="12"/>
      <c r="F1977" s="11" t="n">
        <v>0.00754861111111111</v>
      </c>
      <c r="G1977" s="12" t="n">
        <v>954</v>
      </c>
      <c r="H1977" s="11"/>
      <c r="I1977" s="12"/>
      <c r="J1977" s="12" t="n">
        <f aca="false">COUNT(E1977,G1977,I1977)</f>
        <v>1</v>
      </c>
      <c r="K1977" s="13" t="n">
        <f aca="false">MIN(E1977,G1977,I1977)</f>
        <v>954</v>
      </c>
      <c r="L1977" s="9" t="str">
        <f aca="false">IF(E1977=K1977,"5000m",IF(G1977=K1977,"3000mSC","1500m"))</f>
        <v>3000mSC</v>
      </c>
      <c r="M1977" s="14" t="n">
        <f aca="false">(D1977&lt;&gt;"")*(D1977&lt;=($E$3*60+$F$3)/86400)+(F1977&lt;&gt;"")*(F1977&lt;=($I$3*60+$J$3)/86400)+(H1977&lt;&gt;"")*(H1977&lt;=($M$3*60+$N$3)/86400)</f>
        <v>0</v>
      </c>
      <c r="N1977" s="16"/>
      <c r="O1977" s="15"/>
    </row>
    <row r="1978" customFormat="false" ht="25.35" hidden="false" customHeight="false" outlineLevel="0" collapsed="false">
      <c r="A1978" s="9" t="n">
        <v>1972</v>
      </c>
      <c r="B1978" s="10" t="s">
        <v>2816</v>
      </c>
      <c r="C1978" s="10" t="s">
        <v>519</v>
      </c>
      <c r="D1978" s="11"/>
      <c r="E1978" s="12"/>
      <c r="F1978" s="11" t="n">
        <v>0.00754884259259259</v>
      </c>
      <c r="G1978" s="12" t="n">
        <v>955</v>
      </c>
      <c r="H1978" s="11"/>
      <c r="I1978" s="12"/>
      <c r="J1978" s="12" t="n">
        <f aca="false">COUNT(E1978,G1978,I1978)</f>
        <v>1</v>
      </c>
      <c r="K1978" s="13" t="n">
        <f aca="false">MIN(E1978,G1978,I1978)</f>
        <v>955</v>
      </c>
      <c r="L1978" s="9" t="str">
        <f aca="false">IF(E1978=K1978,"5000m",IF(G1978=K1978,"3000mSC","1500m"))</f>
        <v>3000mSC</v>
      </c>
      <c r="M1978" s="14" t="n">
        <f aca="false">(D1978&lt;&gt;"")*(D1978&lt;=($E$3*60+$F$3)/86400)+(F1978&lt;&gt;"")*(F1978&lt;=($I$3*60+$J$3)/86400)+(H1978&lt;&gt;"")*(H1978&lt;=($M$3*60+$N$3)/86400)</f>
        <v>0</v>
      </c>
      <c r="N1978" s="16"/>
      <c r="O1978" s="15"/>
    </row>
    <row r="1979" customFormat="false" ht="15" hidden="false" customHeight="false" outlineLevel="0" collapsed="false">
      <c r="A1979" s="9" t="n">
        <v>1973</v>
      </c>
      <c r="B1979" s="10" t="s">
        <v>2817</v>
      </c>
      <c r="C1979" s="10" t="s">
        <v>2818</v>
      </c>
      <c r="D1979" s="11"/>
      <c r="E1979" s="12"/>
      <c r="F1979" s="11"/>
      <c r="G1979" s="12"/>
      <c r="H1979" s="11" t="n">
        <v>0.00290104166666667</v>
      </c>
      <c r="I1979" s="12" t="n">
        <v>955</v>
      </c>
      <c r="J1979" s="12" t="n">
        <f aca="false">COUNT(E1979,G1979,I1979)</f>
        <v>1</v>
      </c>
      <c r="K1979" s="13" t="n">
        <f aca="false">MIN(E1979,G1979,I1979)</f>
        <v>955</v>
      </c>
      <c r="L1979" s="9" t="str">
        <f aca="false">IF(E1979=K1979,"5000m",IF(G1979=K1979,"3000mSC","1500m"))</f>
        <v>1500m</v>
      </c>
      <c r="M1979" s="14" t="n">
        <f aca="false">(D1979&lt;&gt;"")*(D1979&lt;=($E$3*60+$F$3)/86400)+(F1979&lt;&gt;"")*(F1979&lt;=($I$3*60+$J$3)/86400)+(H1979&lt;&gt;"")*(H1979&lt;=($M$3*60+$N$3)/86400)</f>
        <v>0</v>
      </c>
      <c r="N1979" s="16"/>
      <c r="O1979" s="15"/>
    </row>
    <row r="1980" customFormat="false" ht="15" hidden="false" customHeight="false" outlineLevel="0" collapsed="false">
      <c r="A1980" s="9" t="n">
        <v>1974</v>
      </c>
      <c r="B1980" s="10" t="s">
        <v>2819</v>
      </c>
      <c r="C1980" s="10" t="s">
        <v>577</v>
      </c>
      <c r="D1980" s="11" t="n">
        <v>0.0109230324074074</v>
      </c>
      <c r="E1980" s="12" t="n">
        <v>956</v>
      </c>
      <c r="F1980" s="11"/>
      <c r="G1980" s="12"/>
      <c r="H1980" s="11"/>
      <c r="I1980" s="12"/>
      <c r="J1980" s="12" t="n">
        <f aca="false">COUNT(E1980,G1980,I1980)</f>
        <v>1</v>
      </c>
      <c r="K1980" s="13" t="n">
        <f aca="false">MIN(E1980,G1980,I1980)</f>
        <v>956</v>
      </c>
      <c r="L1980" s="9" t="str">
        <f aca="false">IF(E1980=K1980,"5000m",IF(G1980=K1980,"3000mSC","1500m"))</f>
        <v>5000m</v>
      </c>
      <c r="M1980" s="14" t="n">
        <f aca="false">(D1980&lt;&gt;"")*(D1980&lt;=($E$3*60+$F$3)/86400)+(F1980&lt;&gt;"")*(F1980&lt;=($I$3*60+$J$3)/86400)+(H1980&lt;&gt;"")*(H1980&lt;=($M$3*60+$N$3)/86400)</f>
        <v>0</v>
      </c>
      <c r="N1980" s="16"/>
      <c r="O1980" s="15"/>
    </row>
    <row r="1981" customFormat="false" ht="25.35" hidden="false" customHeight="false" outlineLevel="0" collapsed="false">
      <c r="A1981" s="9" t="n">
        <v>1975</v>
      </c>
      <c r="B1981" s="10" t="s">
        <v>2820</v>
      </c>
      <c r="C1981" s="10" t="s">
        <v>43</v>
      </c>
      <c r="D1981" s="11"/>
      <c r="E1981" s="12"/>
      <c r="F1981" s="11" t="n">
        <v>0.00754907407407407</v>
      </c>
      <c r="G1981" s="12" t="n">
        <v>956</v>
      </c>
      <c r="H1981" s="11"/>
      <c r="I1981" s="12"/>
      <c r="J1981" s="12" t="n">
        <f aca="false">COUNT(E1981,G1981,I1981)</f>
        <v>1</v>
      </c>
      <c r="K1981" s="13" t="n">
        <f aca="false">MIN(E1981,G1981,I1981)</f>
        <v>956</v>
      </c>
      <c r="L1981" s="9" t="str">
        <f aca="false">IF(E1981=K1981,"5000m",IF(G1981=K1981,"3000mSC","1500m"))</f>
        <v>3000mSC</v>
      </c>
      <c r="M1981" s="14" t="n">
        <f aca="false">(D1981&lt;&gt;"")*(D1981&lt;=($E$3*60+$F$3)/86400)+(F1981&lt;&gt;"")*(F1981&lt;=($I$3*60+$J$3)/86400)+(H1981&lt;&gt;"")*(H1981&lt;=($M$3*60+$N$3)/86400)</f>
        <v>0</v>
      </c>
      <c r="N1981" s="16"/>
      <c r="O1981" s="15"/>
    </row>
    <row r="1982" customFormat="false" ht="25.35" hidden="false" customHeight="false" outlineLevel="0" collapsed="false">
      <c r="A1982" s="9" t="n">
        <v>1976</v>
      </c>
      <c r="B1982" s="10" t="s">
        <v>2821</v>
      </c>
      <c r="C1982" s="10" t="s">
        <v>2822</v>
      </c>
      <c r="D1982" s="11" t="n">
        <v>0.0110162037037037</v>
      </c>
      <c r="E1982" s="12" t="n">
        <v>1120</v>
      </c>
      <c r="F1982" s="11" t="n">
        <v>0.00754918981481482</v>
      </c>
      <c r="G1982" s="12" t="n">
        <v>957</v>
      </c>
      <c r="H1982" s="11"/>
      <c r="I1982" s="12"/>
      <c r="J1982" s="12" t="n">
        <f aca="false">COUNT(E1982,G1982,I1982)</f>
        <v>2</v>
      </c>
      <c r="K1982" s="13" t="n">
        <f aca="false">MIN(E1982,G1982,I1982)</f>
        <v>957</v>
      </c>
      <c r="L1982" s="9" t="str">
        <f aca="false">IF(E1982=K1982,"5000m",IF(G1982=K1982,"3000mSC","1500m"))</f>
        <v>3000mSC</v>
      </c>
      <c r="M1982" s="14" t="n">
        <f aca="false">(D1982&lt;&gt;"")*(D1982&lt;=($E$3*60+$F$3)/86400)+(F1982&lt;&gt;"")*(F1982&lt;=($I$3*60+$J$3)/86400)+(H1982&lt;&gt;"")*(H1982&lt;=($M$3*60+$N$3)/86400)</f>
        <v>0</v>
      </c>
      <c r="N1982" s="16"/>
      <c r="O1982" s="15"/>
    </row>
    <row r="1983" customFormat="false" ht="15" hidden="false" customHeight="false" outlineLevel="0" collapsed="false">
      <c r="A1983" s="9" t="n">
        <v>1977</v>
      </c>
      <c r="B1983" s="10" t="s">
        <v>2823</v>
      </c>
      <c r="C1983" s="10" t="s">
        <v>114</v>
      </c>
      <c r="D1983" s="11" t="n">
        <v>0.0109230324074074</v>
      </c>
      <c r="E1983" s="12" t="n">
        <v>957</v>
      </c>
      <c r="F1983" s="11"/>
      <c r="G1983" s="12"/>
      <c r="H1983" s="11" t="n">
        <v>0.00293958333333333</v>
      </c>
      <c r="I1983" s="12" t="n">
        <v>1199</v>
      </c>
      <c r="J1983" s="12" t="n">
        <f aca="false">COUNT(E1983,G1983,I1983)</f>
        <v>2</v>
      </c>
      <c r="K1983" s="13" t="n">
        <f aca="false">MIN(E1983,G1983,I1983)</f>
        <v>957</v>
      </c>
      <c r="L1983" s="9" t="str">
        <f aca="false">IF(E1983=K1983,"5000m",IF(G1983=K1983,"3000mSC","1500m"))</f>
        <v>5000m</v>
      </c>
      <c r="M1983" s="14" t="n">
        <f aca="false">(D1983&lt;&gt;"")*(D1983&lt;=($E$3*60+$F$3)/86400)+(F1983&lt;&gt;"")*(F1983&lt;=($I$3*60+$J$3)/86400)+(H1983&lt;&gt;"")*(H1983&lt;=($M$3*60+$N$3)/86400)</f>
        <v>0</v>
      </c>
      <c r="N1983" s="16"/>
      <c r="O1983" s="15"/>
    </row>
    <row r="1984" customFormat="false" ht="15" hidden="false" customHeight="false" outlineLevel="0" collapsed="false">
      <c r="A1984" s="9" t="n">
        <v>1978</v>
      </c>
      <c r="B1984" s="10" t="s">
        <v>2824</v>
      </c>
      <c r="C1984" s="10" t="s">
        <v>371</v>
      </c>
      <c r="D1984" s="11"/>
      <c r="E1984" s="12"/>
      <c r="F1984" s="11"/>
      <c r="G1984" s="12"/>
      <c r="H1984" s="11" t="n">
        <v>0.00290138888888889</v>
      </c>
      <c r="I1984" s="12" t="n">
        <v>957</v>
      </c>
      <c r="J1984" s="12" t="n">
        <f aca="false">COUNT(E1984,G1984,I1984)</f>
        <v>1</v>
      </c>
      <c r="K1984" s="13" t="n">
        <f aca="false">MIN(E1984,G1984,I1984)</f>
        <v>957</v>
      </c>
      <c r="L1984" s="9" t="str">
        <f aca="false">IF(E1984=K1984,"5000m",IF(G1984=K1984,"3000mSC","1500m"))</f>
        <v>1500m</v>
      </c>
      <c r="M1984" s="14" t="n">
        <f aca="false">(D1984&lt;&gt;"")*(D1984&lt;=($E$3*60+$F$3)/86400)+(F1984&lt;&gt;"")*(F1984&lt;=($I$3*60+$J$3)/86400)+(H1984&lt;&gt;"")*(H1984&lt;=($M$3*60+$N$3)/86400)</f>
        <v>0</v>
      </c>
      <c r="N1984" s="16"/>
      <c r="O1984" s="15"/>
    </row>
    <row r="1985" customFormat="false" ht="15" hidden="false" customHeight="false" outlineLevel="0" collapsed="false">
      <c r="A1985" s="9" t="n">
        <v>1979</v>
      </c>
      <c r="B1985" s="10" t="s">
        <v>2825</v>
      </c>
      <c r="C1985" s="10" t="s">
        <v>1005</v>
      </c>
      <c r="D1985" s="11" t="n">
        <v>0.0109230324074074</v>
      </c>
      <c r="E1985" s="12" t="n">
        <v>958</v>
      </c>
      <c r="F1985" s="11"/>
      <c r="G1985" s="12"/>
      <c r="H1985" s="11" t="n">
        <v>0.00297407407407407</v>
      </c>
      <c r="I1985" s="12" t="n">
        <v>1323</v>
      </c>
      <c r="J1985" s="12" t="n">
        <f aca="false">COUNT(E1985,G1985,I1985)</f>
        <v>2</v>
      </c>
      <c r="K1985" s="13" t="n">
        <f aca="false">MIN(E1985,G1985,I1985)</f>
        <v>958</v>
      </c>
      <c r="L1985" s="9" t="str">
        <f aca="false">IF(E1985=K1985,"5000m",IF(G1985=K1985,"3000mSC","1500m"))</f>
        <v>5000m</v>
      </c>
      <c r="M1985" s="14" t="n">
        <f aca="false">(D1985&lt;&gt;"")*(D1985&lt;=($E$3*60+$F$3)/86400)+(F1985&lt;&gt;"")*(F1985&lt;=($I$3*60+$J$3)/86400)+(H1985&lt;&gt;"")*(H1985&lt;=($M$3*60+$N$3)/86400)</f>
        <v>0</v>
      </c>
      <c r="N1985" s="16"/>
      <c r="O1985" s="15"/>
    </row>
    <row r="1986" customFormat="false" ht="25.35" hidden="false" customHeight="false" outlineLevel="0" collapsed="false">
      <c r="A1986" s="9" t="n">
        <v>1980</v>
      </c>
      <c r="B1986" s="10" t="s">
        <v>2826</v>
      </c>
      <c r="C1986" s="10" t="s">
        <v>2827</v>
      </c>
      <c r="D1986" s="11"/>
      <c r="E1986" s="12"/>
      <c r="F1986" s="11" t="n">
        <v>0.00755219907407407</v>
      </c>
      <c r="G1986" s="12" t="n">
        <v>958</v>
      </c>
      <c r="H1986" s="11"/>
      <c r="I1986" s="12"/>
      <c r="J1986" s="12" t="n">
        <f aca="false">COUNT(E1986,G1986,I1986)</f>
        <v>1</v>
      </c>
      <c r="K1986" s="13" t="n">
        <f aca="false">MIN(E1986,G1986,I1986)</f>
        <v>958</v>
      </c>
      <c r="L1986" s="9" t="str">
        <f aca="false">IF(E1986=K1986,"5000m",IF(G1986=K1986,"3000mSC","1500m"))</f>
        <v>3000mSC</v>
      </c>
      <c r="M1986" s="14" t="n">
        <f aca="false">(D1986&lt;&gt;"")*(D1986&lt;=($E$3*60+$F$3)/86400)+(F1986&lt;&gt;"")*(F1986&lt;=($I$3*60+$J$3)/86400)+(H1986&lt;&gt;"")*(H1986&lt;=($M$3*60+$N$3)/86400)</f>
        <v>0</v>
      </c>
      <c r="N1986" s="16"/>
      <c r="O1986" s="15"/>
    </row>
    <row r="1987" customFormat="false" ht="15" hidden="false" customHeight="false" outlineLevel="0" collapsed="false">
      <c r="A1987" s="9" t="n">
        <v>1981</v>
      </c>
      <c r="B1987" s="10" t="s">
        <v>2828</v>
      </c>
      <c r="C1987" s="10" t="s">
        <v>141</v>
      </c>
      <c r="D1987" s="11" t="n">
        <v>0.0109282407407407</v>
      </c>
      <c r="E1987" s="12" t="n">
        <v>959</v>
      </c>
      <c r="F1987" s="11"/>
      <c r="G1987" s="12"/>
      <c r="H1987" s="11"/>
      <c r="I1987" s="12"/>
      <c r="J1987" s="12" t="n">
        <f aca="false">COUNT(E1987,G1987,I1987)</f>
        <v>1</v>
      </c>
      <c r="K1987" s="13" t="n">
        <f aca="false">MIN(E1987,G1987,I1987)</f>
        <v>959</v>
      </c>
      <c r="L1987" s="9" t="str">
        <f aca="false">IF(E1987=K1987,"5000m",IF(G1987=K1987,"3000mSC","1500m"))</f>
        <v>5000m</v>
      </c>
      <c r="M1987" s="14" t="n">
        <f aca="false">(D1987&lt;&gt;"")*(D1987&lt;=($E$3*60+$F$3)/86400)+(F1987&lt;&gt;"")*(F1987&lt;=($I$3*60+$J$3)/86400)+(H1987&lt;&gt;"")*(H1987&lt;=($M$3*60+$N$3)/86400)</f>
        <v>0</v>
      </c>
      <c r="N1987" s="10" t="s">
        <v>2829</v>
      </c>
      <c r="O1987" s="15"/>
    </row>
    <row r="1988" customFormat="false" ht="25.35" hidden="false" customHeight="false" outlineLevel="0" collapsed="false">
      <c r="A1988" s="9" t="n">
        <v>1982</v>
      </c>
      <c r="B1988" s="10" t="s">
        <v>2830</v>
      </c>
      <c r="C1988" s="10" t="s">
        <v>1843</v>
      </c>
      <c r="D1988" s="11"/>
      <c r="E1988" s="12"/>
      <c r="F1988" s="11" t="n">
        <v>0.00755289351851852</v>
      </c>
      <c r="G1988" s="12" t="n">
        <v>959</v>
      </c>
      <c r="H1988" s="11"/>
      <c r="I1988" s="12"/>
      <c r="J1988" s="12" t="n">
        <f aca="false">COUNT(E1988,G1988,I1988)</f>
        <v>1</v>
      </c>
      <c r="K1988" s="13" t="n">
        <f aca="false">MIN(E1988,G1988,I1988)</f>
        <v>959</v>
      </c>
      <c r="L1988" s="9" t="str">
        <f aca="false">IF(E1988=K1988,"5000m",IF(G1988=K1988,"3000mSC","1500m"))</f>
        <v>3000mSC</v>
      </c>
      <c r="M1988" s="14" t="n">
        <f aca="false">(D1988&lt;&gt;"")*(D1988&lt;=($E$3*60+$F$3)/86400)+(F1988&lt;&gt;"")*(F1988&lt;=($I$3*60+$J$3)/86400)+(H1988&lt;&gt;"")*(H1988&lt;=($M$3*60+$N$3)/86400)</f>
        <v>0</v>
      </c>
      <c r="N1988" s="16"/>
      <c r="O1988" s="15"/>
    </row>
    <row r="1989" customFormat="false" ht="15" hidden="false" customHeight="false" outlineLevel="0" collapsed="false">
      <c r="A1989" s="9" t="n">
        <v>1983</v>
      </c>
      <c r="B1989" s="10" t="s">
        <v>2831</v>
      </c>
      <c r="C1989" s="10" t="s">
        <v>2457</v>
      </c>
      <c r="D1989" s="11"/>
      <c r="E1989" s="12"/>
      <c r="F1989" s="11"/>
      <c r="G1989" s="12"/>
      <c r="H1989" s="11" t="n">
        <v>0.00290162037037037</v>
      </c>
      <c r="I1989" s="12" t="n">
        <v>959</v>
      </c>
      <c r="J1989" s="12" t="n">
        <f aca="false">COUNT(E1989,G1989,I1989)</f>
        <v>1</v>
      </c>
      <c r="K1989" s="13" t="n">
        <f aca="false">MIN(E1989,G1989,I1989)</f>
        <v>959</v>
      </c>
      <c r="L1989" s="9" t="str">
        <f aca="false">IF(E1989=K1989,"5000m",IF(G1989=K1989,"3000mSC","1500m"))</f>
        <v>1500m</v>
      </c>
      <c r="M1989" s="14" t="n">
        <f aca="false">(D1989&lt;&gt;"")*(D1989&lt;=($E$3*60+$F$3)/86400)+(F1989&lt;&gt;"")*(F1989&lt;=($I$3*60+$J$3)/86400)+(H1989&lt;&gt;"")*(H1989&lt;=($M$3*60+$N$3)/86400)</f>
        <v>0</v>
      </c>
      <c r="N1989" s="16"/>
      <c r="O1989" s="15"/>
    </row>
    <row r="1990" customFormat="false" ht="15" hidden="false" customHeight="false" outlineLevel="0" collapsed="false">
      <c r="A1990" s="9" t="n">
        <v>1984</v>
      </c>
      <c r="B1990" s="10" t="s">
        <v>2832</v>
      </c>
      <c r="C1990" s="10" t="s">
        <v>2833</v>
      </c>
      <c r="D1990" s="11" t="n">
        <v>0.0109263888888889</v>
      </c>
      <c r="E1990" s="12" t="n">
        <v>960</v>
      </c>
      <c r="F1990" s="11"/>
      <c r="G1990" s="12"/>
      <c r="H1990" s="11"/>
      <c r="I1990" s="12"/>
      <c r="J1990" s="12" t="n">
        <f aca="false">COUNT(E1990,G1990,I1990)</f>
        <v>1</v>
      </c>
      <c r="K1990" s="13" t="n">
        <f aca="false">MIN(E1990,G1990,I1990)</f>
        <v>960</v>
      </c>
      <c r="L1990" s="9" t="str">
        <f aca="false">IF(E1990=K1990,"5000m",IF(G1990=K1990,"3000mSC","1500m"))</f>
        <v>5000m</v>
      </c>
      <c r="M1990" s="14" t="n">
        <f aca="false">(D1990&lt;&gt;"")*(D1990&lt;=($E$3*60+$F$3)/86400)+(F1990&lt;&gt;"")*(F1990&lt;=($I$3*60+$J$3)/86400)+(H1990&lt;&gt;"")*(H1990&lt;=($M$3*60+$N$3)/86400)</f>
        <v>0</v>
      </c>
      <c r="N1990" s="16"/>
      <c r="O1990" s="15"/>
    </row>
    <row r="1991" customFormat="false" ht="25.35" hidden="false" customHeight="false" outlineLevel="0" collapsed="false">
      <c r="A1991" s="9" t="n">
        <v>1985</v>
      </c>
      <c r="B1991" s="10" t="s">
        <v>2834</v>
      </c>
      <c r="C1991" s="10" t="s">
        <v>2835</v>
      </c>
      <c r="D1991" s="11"/>
      <c r="E1991" s="12"/>
      <c r="F1991" s="11" t="n">
        <v>0.00755347222222222</v>
      </c>
      <c r="G1991" s="12" t="n">
        <v>960</v>
      </c>
      <c r="H1991" s="11"/>
      <c r="I1991" s="12"/>
      <c r="J1991" s="12" t="n">
        <f aca="false">COUNT(E1991,G1991,I1991)</f>
        <v>1</v>
      </c>
      <c r="K1991" s="13" t="n">
        <f aca="false">MIN(E1991,G1991,I1991)</f>
        <v>960</v>
      </c>
      <c r="L1991" s="9" t="str">
        <f aca="false">IF(E1991=K1991,"5000m",IF(G1991=K1991,"3000mSC","1500m"))</f>
        <v>3000mSC</v>
      </c>
      <c r="M1991" s="14" t="n">
        <f aca="false">(D1991&lt;&gt;"")*(D1991&lt;=($E$3*60+$F$3)/86400)+(F1991&lt;&gt;"")*(F1991&lt;=($I$3*60+$J$3)/86400)+(H1991&lt;&gt;"")*(H1991&lt;=($M$3*60+$N$3)/86400)</f>
        <v>0</v>
      </c>
      <c r="N1991" s="16"/>
      <c r="O1991" s="15"/>
    </row>
    <row r="1992" customFormat="false" ht="25.35" hidden="false" customHeight="false" outlineLevel="0" collapsed="false">
      <c r="A1992" s="9" t="n">
        <v>1986</v>
      </c>
      <c r="B1992" s="10" t="s">
        <v>2836</v>
      </c>
      <c r="C1992" s="10" t="s">
        <v>1626</v>
      </c>
      <c r="D1992" s="11"/>
      <c r="E1992" s="12"/>
      <c r="F1992" s="11" t="n">
        <v>0.00755636574074074</v>
      </c>
      <c r="G1992" s="12" t="n">
        <v>961</v>
      </c>
      <c r="H1992" s="11"/>
      <c r="I1992" s="12"/>
      <c r="J1992" s="12" t="n">
        <f aca="false">COUNT(E1992,G1992,I1992)</f>
        <v>1</v>
      </c>
      <c r="K1992" s="13" t="n">
        <f aca="false">MIN(E1992,G1992,I1992)</f>
        <v>961</v>
      </c>
      <c r="L1992" s="9" t="str">
        <f aca="false">IF(E1992=K1992,"5000m",IF(G1992=K1992,"3000mSC","1500m"))</f>
        <v>3000mSC</v>
      </c>
      <c r="M1992" s="14" t="n">
        <f aca="false">(D1992&lt;&gt;"")*(D1992&lt;=($E$3*60+$F$3)/86400)+(F1992&lt;&gt;"")*(F1992&lt;=($I$3*60+$J$3)/86400)+(H1992&lt;&gt;"")*(H1992&lt;=($M$3*60+$N$3)/86400)</f>
        <v>0</v>
      </c>
      <c r="N1992" s="16"/>
      <c r="O1992" s="15"/>
    </row>
    <row r="1993" customFormat="false" ht="25.35" hidden="false" customHeight="false" outlineLevel="0" collapsed="false">
      <c r="A1993" s="9" t="n">
        <v>1987</v>
      </c>
      <c r="B1993" s="10" t="s">
        <v>2837</v>
      </c>
      <c r="C1993" s="10" t="s">
        <v>416</v>
      </c>
      <c r="D1993" s="11"/>
      <c r="E1993" s="12"/>
      <c r="F1993" s="11" t="n">
        <v>0.00755798611111111</v>
      </c>
      <c r="G1993" s="12" t="n">
        <v>962</v>
      </c>
      <c r="H1993" s="11"/>
      <c r="I1993" s="12"/>
      <c r="J1993" s="12" t="n">
        <f aca="false">COUNT(E1993,G1993,I1993)</f>
        <v>1</v>
      </c>
      <c r="K1993" s="13" t="n">
        <f aca="false">MIN(E1993,G1993,I1993)</f>
        <v>962</v>
      </c>
      <c r="L1993" s="9" t="str">
        <f aca="false">IF(E1993=K1993,"5000m",IF(G1993=K1993,"3000mSC","1500m"))</f>
        <v>3000mSC</v>
      </c>
      <c r="M1993" s="14" t="n">
        <f aca="false">(D1993&lt;&gt;"")*(D1993&lt;=($E$3*60+$F$3)/86400)+(F1993&lt;&gt;"")*(F1993&lt;=($I$3*60+$J$3)/86400)+(H1993&lt;&gt;"")*(H1993&lt;=($M$3*60+$N$3)/86400)</f>
        <v>0</v>
      </c>
      <c r="N1993" s="16"/>
      <c r="O1993" s="15"/>
    </row>
    <row r="1994" customFormat="false" ht="15" hidden="false" customHeight="false" outlineLevel="0" collapsed="false">
      <c r="A1994" s="9" t="n">
        <v>1988</v>
      </c>
      <c r="B1994" s="10" t="s">
        <v>2838</v>
      </c>
      <c r="C1994" s="10" t="s">
        <v>118</v>
      </c>
      <c r="D1994" s="11" t="n">
        <v>0.0109284722222222</v>
      </c>
      <c r="E1994" s="12" t="n">
        <v>963</v>
      </c>
      <c r="F1994" s="11"/>
      <c r="G1994" s="12"/>
      <c r="H1994" s="11"/>
      <c r="I1994" s="12"/>
      <c r="J1994" s="12" t="n">
        <f aca="false">COUNT(E1994,G1994,I1994)</f>
        <v>1</v>
      </c>
      <c r="K1994" s="13" t="n">
        <f aca="false">MIN(E1994,G1994,I1994)</f>
        <v>963</v>
      </c>
      <c r="L1994" s="9" t="str">
        <f aca="false">IF(E1994=K1994,"5000m",IF(G1994=K1994,"3000mSC","1500m"))</f>
        <v>5000m</v>
      </c>
      <c r="M1994" s="14" t="n">
        <f aca="false">(D1994&lt;&gt;"")*(D1994&lt;=($E$3*60+$F$3)/86400)+(F1994&lt;&gt;"")*(F1994&lt;=($I$3*60+$J$3)/86400)+(H1994&lt;&gt;"")*(H1994&lt;=($M$3*60+$N$3)/86400)</f>
        <v>0</v>
      </c>
      <c r="N1994" s="16"/>
      <c r="O1994" s="15"/>
    </row>
    <row r="1995" customFormat="false" ht="25.35" hidden="false" customHeight="false" outlineLevel="0" collapsed="false">
      <c r="A1995" s="9" t="n">
        <v>1989</v>
      </c>
      <c r="B1995" s="10" t="s">
        <v>2839</v>
      </c>
      <c r="C1995" s="10" t="s">
        <v>2840</v>
      </c>
      <c r="D1995" s="11"/>
      <c r="E1995" s="12"/>
      <c r="F1995" s="11" t="n">
        <v>0.007559375</v>
      </c>
      <c r="G1995" s="12" t="n">
        <v>963</v>
      </c>
      <c r="H1995" s="11"/>
      <c r="I1995" s="12"/>
      <c r="J1995" s="12" t="n">
        <f aca="false">COUNT(E1995,G1995,I1995)</f>
        <v>1</v>
      </c>
      <c r="K1995" s="13" t="n">
        <f aca="false">MIN(E1995,G1995,I1995)</f>
        <v>963</v>
      </c>
      <c r="L1995" s="9" t="str">
        <f aca="false">IF(E1995=K1995,"5000m",IF(G1995=K1995,"3000mSC","1500m"))</f>
        <v>3000mSC</v>
      </c>
      <c r="M1995" s="14" t="n">
        <f aca="false">(D1995&lt;&gt;"")*(D1995&lt;=($E$3*60+$F$3)/86400)+(F1995&lt;&gt;"")*(F1995&lt;=($I$3*60+$J$3)/86400)+(H1995&lt;&gt;"")*(H1995&lt;=($M$3*60+$N$3)/86400)</f>
        <v>0</v>
      </c>
      <c r="N1995" s="16"/>
      <c r="O1995" s="15"/>
    </row>
    <row r="1996" customFormat="false" ht="15" hidden="false" customHeight="false" outlineLevel="0" collapsed="false">
      <c r="A1996" s="9" t="n">
        <v>1990</v>
      </c>
      <c r="B1996" s="10" t="s">
        <v>2841</v>
      </c>
      <c r="C1996" s="10" t="s">
        <v>2842</v>
      </c>
      <c r="D1996" s="11"/>
      <c r="E1996" s="12"/>
      <c r="F1996" s="11"/>
      <c r="G1996" s="12"/>
      <c r="H1996" s="11" t="n">
        <v>0.00290173611111111</v>
      </c>
      <c r="I1996" s="12" t="n">
        <v>963</v>
      </c>
      <c r="J1996" s="12" t="n">
        <f aca="false">COUNT(E1996,G1996,I1996)</f>
        <v>1</v>
      </c>
      <c r="K1996" s="13" t="n">
        <f aca="false">MIN(E1996,G1996,I1996)</f>
        <v>963</v>
      </c>
      <c r="L1996" s="9" t="str">
        <f aca="false">IF(E1996=K1996,"5000m",IF(G1996=K1996,"3000mSC","1500m"))</f>
        <v>1500m</v>
      </c>
      <c r="M1996" s="14" t="n">
        <f aca="false">(D1996&lt;&gt;"")*(D1996&lt;=($E$3*60+$F$3)/86400)+(F1996&lt;&gt;"")*(F1996&lt;=($I$3*60+$J$3)/86400)+(H1996&lt;&gt;"")*(H1996&lt;=($M$3*60+$N$3)/86400)</f>
        <v>0</v>
      </c>
      <c r="N1996" s="16"/>
      <c r="O1996" s="15"/>
    </row>
    <row r="1997" customFormat="false" ht="25.35" hidden="false" customHeight="false" outlineLevel="0" collapsed="false">
      <c r="A1997" s="9" t="n">
        <v>1991</v>
      </c>
      <c r="B1997" s="10" t="s">
        <v>2843</v>
      </c>
      <c r="C1997" s="10" t="s">
        <v>2844</v>
      </c>
      <c r="D1997" s="11"/>
      <c r="E1997" s="12"/>
      <c r="F1997" s="11" t="n">
        <v>0.00756030092592593</v>
      </c>
      <c r="G1997" s="12" t="n">
        <v>964</v>
      </c>
      <c r="H1997" s="11" t="n">
        <v>0.00290856481481482</v>
      </c>
      <c r="I1997" s="12" t="n">
        <v>1005</v>
      </c>
      <c r="J1997" s="12" t="n">
        <f aca="false">COUNT(E1997,G1997,I1997)</f>
        <v>2</v>
      </c>
      <c r="K1997" s="13" t="n">
        <f aca="false">MIN(E1997,G1997,I1997)</f>
        <v>964</v>
      </c>
      <c r="L1997" s="9" t="str">
        <f aca="false">IF(E1997=K1997,"5000m",IF(G1997=K1997,"3000mSC","1500m"))</f>
        <v>3000mSC</v>
      </c>
      <c r="M1997" s="14" t="n">
        <f aca="false">(D1997&lt;&gt;"")*(D1997&lt;=($E$3*60+$F$3)/86400)+(F1997&lt;&gt;"")*(F1997&lt;=($I$3*60+$J$3)/86400)+(H1997&lt;&gt;"")*(H1997&lt;=($M$3*60+$N$3)/86400)</f>
        <v>0</v>
      </c>
      <c r="N1997" s="16"/>
      <c r="O1997" s="15"/>
    </row>
    <row r="1998" customFormat="false" ht="15" hidden="false" customHeight="false" outlineLevel="0" collapsed="false">
      <c r="A1998" s="9" t="n">
        <v>1992</v>
      </c>
      <c r="B1998" s="10" t="s">
        <v>2845</v>
      </c>
      <c r="C1998" s="10" t="s">
        <v>2846</v>
      </c>
      <c r="D1998" s="11" t="n">
        <v>0.0109290509259259</v>
      </c>
      <c r="E1998" s="12" t="n">
        <v>965</v>
      </c>
      <c r="F1998" s="11"/>
      <c r="G1998" s="12"/>
      <c r="H1998" s="11" t="n">
        <v>0.002915625</v>
      </c>
      <c r="I1998" s="12" t="n">
        <v>1057</v>
      </c>
      <c r="J1998" s="12" t="n">
        <f aca="false">COUNT(E1998,G1998,I1998)</f>
        <v>2</v>
      </c>
      <c r="K1998" s="13" t="n">
        <f aca="false">MIN(E1998,G1998,I1998)</f>
        <v>965</v>
      </c>
      <c r="L1998" s="9" t="str">
        <f aca="false">IF(E1998=K1998,"5000m",IF(G1998=K1998,"3000mSC","1500m"))</f>
        <v>5000m</v>
      </c>
      <c r="M1998" s="14" t="n">
        <f aca="false">(D1998&lt;&gt;"")*(D1998&lt;=($E$3*60+$F$3)/86400)+(F1998&lt;&gt;"")*(F1998&lt;=($I$3*60+$J$3)/86400)+(H1998&lt;&gt;"")*(H1998&lt;=($M$3*60+$N$3)/86400)</f>
        <v>0</v>
      </c>
      <c r="N1998" s="16"/>
      <c r="O1998" s="15"/>
    </row>
    <row r="1999" customFormat="false" ht="25.35" hidden="false" customHeight="false" outlineLevel="0" collapsed="false">
      <c r="A1999" s="9" t="n">
        <v>1993</v>
      </c>
      <c r="B1999" s="10" t="s">
        <v>2847</v>
      </c>
      <c r="C1999" s="10" t="s">
        <v>814</v>
      </c>
      <c r="D1999" s="11"/>
      <c r="E1999" s="12"/>
      <c r="F1999" s="11" t="n">
        <v>0.00756261574074074</v>
      </c>
      <c r="G1999" s="12" t="n">
        <v>965</v>
      </c>
      <c r="H1999" s="11" t="n">
        <v>0.00294131944444444</v>
      </c>
      <c r="I1999" s="12" t="n">
        <v>1204</v>
      </c>
      <c r="J1999" s="12" t="n">
        <f aca="false">COUNT(E1999,G1999,I1999)</f>
        <v>2</v>
      </c>
      <c r="K1999" s="13" t="n">
        <f aca="false">MIN(E1999,G1999,I1999)</f>
        <v>965</v>
      </c>
      <c r="L1999" s="9" t="str">
        <f aca="false">IF(E1999=K1999,"5000m",IF(G1999=K1999,"3000mSC","1500m"))</f>
        <v>3000mSC</v>
      </c>
      <c r="M1999" s="14" t="n">
        <f aca="false">(D1999&lt;&gt;"")*(D1999&lt;=($E$3*60+$F$3)/86400)+(F1999&lt;&gt;"")*(F1999&lt;=($I$3*60+$J$3)/86400)+(H1999&lt;&gt;"")*(H1999&lt;=($M$3*60+$N$3)/86400)</f>
        <v>0</v>
      </c>
      <c r="N1999" s="16"/>
      <c r="O1999" s="15"/>
    </row>
    <row r="2000" customFormat="false" ht="25.35" hidden="false" customHeight="false" outlineLevel="0" collapsed="false">
      <c r="A2000" s="9" t="n">
        <v>1994</v>
      </c>
      <c r="B2000" s="10" t="s">
        <v>2848</v>
      </c>
      <c r="C2000" s="10" t="s">
        <v>2849</v>
      </c>
      <c r="D2000" s="11"/>
      <c r="E2000" s="12"/>
      <c r="F2000" s="11" t="n">
        <v>0.00756273148148148</v>
      </c>
      <c r="G2000" s="12" t="n">
        <v>966</v>
      </c>
      <c r="H2000" s="11"/>
      <c r="I2000" s="12"/>
      <c r="J2000" s="12" t="n">
        <f aca="false">COUNT(E2000,G2000,I2000)</f>
        <v>1</v>
      </c>
      <c r="K2000" s="13" t="n">
        <f aca="false">MIN(E2000,G2000,I2000)</f>
        <v>966</v>
      </c>
      <c r="L2000" s="9" t="str">
        <f aca="false">IF(E2000=K2000,"5000m",IF(G2000=K2000,"3000mSC","1500m"))</f>
        <v>3000mSC</v>
      </c>
      <c r="M2000" s="14" t="n">
        <f aca="false">(D2000&lt;&gt;"")*(D2000&lt;=($E$3*60+$F$3)/86400)+(F2000&lt;&gt;"")*(F2000&lt;=($I$3*60+$J$3)/86400)+(H2000&lt;&gt;"")*(H2000&lt;=($M$3*60+$N$3)/86400)</f>
        <v>0</v>
      </c>
      <c r="N2000" s="16"/>
      <c r="O2000" s="15"/>
    </row>
    <row r="2001" customFormat="false" ht="15" hidden="false" customHeight="false" outlineLevel="0" collapsed="false">
      <c r="A2001" s="9" t="n">
        <v>1995</v>
      </c>
      <c r="B2001" s="10" t="s">
        <v>2850</v>
      </c>
      <c r="C2001" s="10" t="s">
        <v>974</v>
      </c>
      <c r="D2001" s="11"/>
      <c r="E2001" s="12"/>
      <c r="F2001" s="11"/>
      <c r="G2001" s="12"/>
      <c r="H2001" s="11" t="n">
        <v>0.00290231481481482</v>
      </c>
      <c r="I2001" s="12" t="n">
        <v>966</v>
      </c>
      <c r="J2001" s="12" t="n">
        <f aca="false">COUNT(E2001,G2001,I2001)</f>
        <v>1</v>
      </c>
      <c r="K2001" s="13" t="n">
        <f aca="false">MIN(E2001,G2001,I2001)</f>
        <v>966</v>
      </c>
      <c r="L2001" s="9" t="str">
        <f aca="false">IF(E2001=K2001,"5000m",IF(G2001=K2001,"3000mSC","1500m"))</f>
        <v>1500m</v>
      </c>
      <c r="M2001" s="14" t="n">
        <f aca="false">(D2001&lt;&gt;"")*(D2001&lt;=($E$3*60+$F$3)/86400)+(F2001&lt;&gt;"")*(F2001&lt;=($I$3*60+$J$3)/86400)+(H2001&lt;&gt;"")*(H2001&lt;=($M$3*60+$N$3)/86400)</f>
        <v>0</v>
      </c>
      <c r="N2001" s="16"/>
      <c r="O2001" s="15"/>
    </row>
    <row r="2002" customFormat="false" ht="25.35" hidden="false" customHeight="false" outlineLevel="0" collapsed="false">
      <c r="A2002" s="9" t="n">
        <v>1996</v>
      </c>
      <c r="B2002" s="10" t="s">
        <v>2851</v>
      </c>
      <c r="C2002" s="10" t="s">
        <v>2852</v>
      </c>
      <c r="D2002" s="11"/>
      <c r="E2002" s="12"/>
      <c r="F2002" s="11" t="n">
        <v>0.00756342592592593</v>
      </c>
      <c r="G2002" s="12" t="n">
        <v>967</v>
      </c>
      <c r="H2002" s="11"/>
      <c r="I2002" s="12"/>
      <c r="J2002" s="12" t="n">
        <f aca="false">COUNT(E2002,G2002,I2002)</f>
        <v>1</v>
      </c>
      <c r="K2002" s="13" t="n">
        <f aca="false">MIN(E2002,G2002,I2002)</f>
        <v>967</v>
      </c>
      <c r="L2002" s="9" t="str">
        <f aca="false">IF(E2002=K2002,"5000m",IF(G2002=K2002,"3000mSC","1500m"))</f>
        <v>3000mSC</v>
      </c>
      <c r="M2002" s="14" t="n">
        <f aca="false">(D2002&lt;&gt;"")*(D2002&lt;=($E$3*60+$F$3)/86400)+(F2002&lt;&gt;"")*(F2002&lt;=($I$3*60+$J$3)/86400)+(H2002&lt;&gt;"")*(H2002&lt;=($M$3*60+$N$3)/86400)</f>
        <v>0</v>
      </c>
      <c r="N2002" s="16"/>
      <c r="O2002" s="15"/>
    </row>
    <row r="2003" customFormat="false" ht="15" hidden="false" customHeight="false" outlineLevel="0" collapsed="false">
      <c r="A2003" s="9" t="n">
        <v>1997</v>
      </c>
      <c r="B2003" s="10" t="s">
        <v>2853</v>
      </c>
      <c r="C2003" s="10" t="s">
        <v>688</v>
      </c>
      <c r="D2003" s="11" t="n">
        <v>0.0109311342592593</v>
      </c>
      <c r="E2003" s="12" t="n">
        <v>968</v>
      </c>
      <c r="F2003" s="11"/>
      <c r="G2003" s="12"/>
      <c r="H2003" s="11"/>
      <c r="I2003" s="12"/>
      <c r="J2003" s="12" t="n">
        <f aca="false">COUNT(E2003,G2003,I2003)</f>
        <v>1</v>
      </c>
      <c r="K2003" s="13" t="n">
        <f aca="false">MIN(E2003,G2003,I2003)</f>
        <v>968</v>
      </c>
      <c r="L2003" s="9" t="str">
        <f aca="false">IF(E2003=K2003,"5000m",IF(G2003=K2003,"3000mSC","1500m"))</f>
        <v>5000m</v>
      </c>
      <c r="M2003" s="14" t="n">
        <f aca="false">(D2003&lt;&gt;"")*(D2003&lt;=($E$3*60+$F$3)/86400)+(F2003&lt;&gt;"")*(F2003&lt;=($I$3*60+$J$3)/86400)+(H2003&lt;&gt;"")*(H2003&lt;=($M$3*60+$N$3)/86400)</f>
        <v>0</v>
      </c>
      <c r="N2003" s="16"/>
      <c r="O2003" s="15"/>
    </row>
    <row r="2004" customFormat="false" ht="25.35" hidden="false" customHeight="false" outlineLevel="0" collapsed="false">
      <c r="A2004" s="9" t="n">
        <v>1998</v>
      </c>
      <c r="B2004" s="10" t="s">
        <v>2854</v>
      </c>
      <c r="C2004" s="10" t="s">
        <v>2855</v>
      </c>
      <c r="D2004" s="11"/>
      <c r="E2004" s="12"/>
      <c r="F2004" s="11" t="n">
        <v>0.00756400462962963</v>
      </c>
      <c r="G2004" s="12" t="n">
        <v>968</v>
      </c>
      <c r="H2004" s="11"/>
      <c r="I2004" s="12"/>
      <c r="J2004" s="12" t="n">
        <f aca="false">COUNT(E2004,G2004,I2004)</f>
        <v>1</v>
      </c>
      <c r="K2004" s="13" t="n">
        <f aca="false">MIN(E2004,G2004,I2004)</f>
        <v>968</v>
      </c>
      <c r="L2004" s="9" t="str">
        <f aca="false">IF(E2004=K2004,"5000m",IF(G2004=K2004,"3000mSC","1500m"))</f>
        <v>3000mSC</v>
      </c>
      <c r="M2004" s="14" t="n">
        <f aca="false">(D2004&lt;&gt;"")*(D2004&lt;=($E$3*60+$F$3)/86400)+(F2004&lt;&gt;"")*(F2004&lt;=($I$3*60+$J$3)/86400)+(H2004&lt;&gt;"")*(H2004&lt;=($M$3*60+$N$3)/86400)</f>
        <v>0</v>
      </c>
      <c r="N2004" s="16"/>
      <c r="O2004" s="15"/>
    </row>
    <row r="2005" customFormat="false" ht="15" hidden="false" customHeight="false" outlineLevel="0" collapsed="false">
      <c r="A2005" s="9" t="n">
        <v>1999</v>
      </c>
      <c r="B2005" s="10" t="s">
        <v>2856</v>
      </c>
      <c r="C2005" s="10" t="s">
        <v>2685</v>
      </c>
      <c r="D2005" s="11"/>
      <c r="E2005" s="12"/>
      <c r="F2005" s="11"/>
      <c r="G2005" s="12"/>
      <c r="H2005" s="11" t="n">
        <v>0.00290266203703704</v>
      </c>
      <c r="I2005" s="12" t="n">
        <v>968</v>
      </c>
      <c r="J2005" s="12" t="n">
        <f aca="false">COUNT(E2005,G2005,I2005)</f>
        <v>1</v>
      </c>
      <c r="K2005" s="13" t="n">
        <f aca="false">MIN(E2005,G2005,I2005)</f>
        <v>968</v>
      </c>
      <c r="L2005" s="9" t="str">
        <f aca="false">IF(E2005=K2005,"5000m",IF(G2005=K2005,"3000mSC","1500m"))</f>
        <v>1500m</v>
      </c>
      <c r="M2005" s="14" t="n">
        <f aca="false">(D2005&lt;&gt;"")*(D2005&lt;=($E$3*60+$F$3)/86400)+(F2005&lt;&gt;"")*(F2005&lt;=($I$3*60+$J$3)/86400)+(H2005&lt;&gt;"")*(H2005&lt;=($M$3*60+$N$3)/86400)</f>
        <v>0</v>
      </c>
      <c r="N2005" s="16"/>
      <c r="O2005" s="15"/>
    </row>
    <row r="2006" customFormat="false" ht="25.35" hidden="false" customHeight="false" outlineLevel="0" collapsed="false">
      <c r="A2006" s="9" t="n">
        <v>2000</v>
      </c>
      <c r="B2006" s="10" t="s">
        <v>2857</v>
      </c>
      <c r="C2006" s="10" t="s">
        <v>2858</v>
      </c>
      <c r="D2006" s="11"/>
      <c r="E2006" s="12"/>
      <c r="F2006" s="11" t="n">
        <v>0.00756423611111111</v>
      </c>
      <c r="G2006" s="12" t="n">
        <v>969</v>
      </c>
      <c r="H2006" s="11"/>
      <c r="I2006" s="12"/>
      <c r="J2006" s="12" t="n">
        <f aca="false">COUNT(E2006,G2006,I2006)</f>
        <v>1</v>
      </c>
      <c r="K2006" s="13" t="n">
        <f aca="false">MIN(E2006,G2006,I2006)</f>
        <v>969</v>
      </c>
      <c r="L2006" s="9" t="str">
        <f aca="false">IF(E2006=K2006,"5000m",IF(G2006=K2006,"3000mSC","1500m"))</f>
        <v>3000mSC</v>
      </c>
      <c r="M2006" s="14" t="n">
        <f aca="false">(D2006&lt;&gt;"")*(D2006&lt;=($E$3*60+$F$3)/86400)+(F2006&lt;&gt;"")*(F2006&lt;=($I$3*60+$J$3)/86400)+(H2006&lt;&gt;"")*(H2006&lt;=($M$3*60+$N$3)/86400)</f>
        <v>0</v>
      </c>
      <c r="N2006" s="16"/>
      <c r="O2006" s="15"/>
    </row>
    <row r="2007" customFormat="false" ht="15" hidden="false" customHeight="false" outlineLevel="0" collapsed="false">
      <c r="A2007" s="9" t="n">
        <v>2001</v>
      </c>
      <c r="B2007" s="10" t="s">
        <v>2859</v>
      </c>
      <c r="C2007" s="10" t="s">
        <v>2860</v>
      </c>
      <c r="D2007" s="11"/>
      <c r="E2007" s="12"/>
      <c r="F2007" s="11"/>
      <c r="G2007" s="12"/>
      <c r="H2007" s="11" t="n">
        <v>0.00290277777777778</v>
      </c>
      <c r="I2007" s="12" t="n">
        <v>969</v>
      </c>
      <c r="J2007" s="12" t="n">
        <f aca="false">COUNT(E2007,G2007,I2007)</f>
        <v>1</v>
      </c>
      <c r="K2007" s="13" t="n">
        <f aca="false">MIN(E2007,G2007,I2007)</f>
        <v>969</v>
      </c>
      <c r="L2007" s="9" t="str">
        <f aca="false">IF(E2007=K2007,"5000m",IF(G2007=K2007,"3000mSC","1500m"))</f>
        <v>1500m</v>
      </c>
      <c r="M2007" s="14" t="n">
        <f aca="false">(D2007&lt;&gt;"")*(D2007&lt;=($E$3*60+$F$3)/86400)+(F2007&lt;&gt;"")*(F2007&lt;=($I$3*60+$J$3)/86400)+(H2007&lt;&gt;"")*(H2007&lt;=($M$3*60+$N$3)/86400)</f>
        <v>0</v>
      </c>
      <c r="N2007" s="16"/>
      <c r="O2007" s="15"/>
    </row>
    <row r="2008" customFormat="false" ht="15" hidden="false" customHeight="false" outlineLevel="0" collapsed="false">
      <c r="A2008" s="9" t="n">
        <v>2002</v>
      </c>
      <c r="B2008" s="10" t="s">
        <v>2861</v>
      </c>
      <c r="C2008" s="10" t="s">
        <v>2862</v>
      </c>
      <c r="D2008" s="11" t="n">
        <v>0.0109322916666667</v>
      </c>
      <c r="E2008" s="12" t="n">
        <v>970</v>
      </c>
      <c r="F2008" s="11"/>
      <c r="G2008" s="12"/>
      <c r="H2008" s="11" t="n">
        <v>0.00292060185185185</v>
      </c>
      <c r="I2008" s="12" t="n">
        <v>1106</v>
      </c>
      <c r="J2008" s="12" t="n">
        <f aca="false">COUNT(E2008,G2008,I2008)</f>
        <v>2</v>
      </c>
      <c r="K2008" s="13" t="n">
        <f aca="false">MIN(E2008,G2008,I2008)</f>
        <v>970</v>
      </c>
      <c r="L2008" s="9" t="str">
        <f aca="false">IF(E2008=K2008,"5000m",IF(G2008=K2008,"3000mSC","1500m"))</f>
        <v>5000m</v>
      </c>
      <c r="M2008" s="14" t="n">
        <f aca="false">(D2008&lt;&gt;"")*(D2008&lt;=($E$3*60+$F$3)/86400)+(F2008&lt;&gt;"")*(F2008&lt;=($I$3*60+$J$3)/86400)+(H2008&lt;&gt;"")*(H2008&lt;=($M$3*60+$N$3)/86400)</f>
        <v>0</v>
      </c>
      <c r="N2008" s="16"/>
      <c r="O2008" s="15"/>
    </row>
    <row r="2009" customFormat="false" ht="25.35" hidden="false" customHeight="false" outlineLevel="0" collapsed="false">
      <c r="A2009" s="9" t="n">
        <v>2003</v>
      </c>
      <c r="B2009" s="10" t="s">
        <v>2863</v>
      </c>
      <c r="C2009" s="10" t="s">
        <v>2864</v>
      </c>
      <c r="D2009" s="11"/>
      <c r="E2009" s="12"/>
      <c r="F2009" s="11" t="n">
        <v>0.00756446759259259</v>
      </c>
      <c r="G2009" s="12" t="n">
        <v>970</v>
      </c>
      <c r="H2009" s="11"/>
      <c r="I2009" s="12"/>
      <c r="J2009" s="12" t="n">
        <f aca="false">COUNT(E2009,G2009,I2009)</f>
        <v>1</v>
      </c>
      <c r="K2009" s="13" t="n">
        <f aca="false">MIN(E2009,G2009,I2009)</f>
        <v>970</v>
      </c>
      <c r="L2009" s="9" t="str">
        <f aca="false">IF(E2009=K2009,"5000m",IF(G2009=K2009,"3000mSC","1500m"))</f>
        <v>3000mSC</v>
      </c>
      <c r="M2009" s="14" t="n">
        <f aca="false">(D2009&lt;&gt;"")*(D2009&lt;=($E$3*60+$F$3)/86400)+(F2009&lt;&gt;"")*(F2009&lt;=($I$3*60+$J$3)/86400)+(H2009&lt;&gt;"")*(H2009&lt;=($M$3*60+$N$3)/86400)</f>
        <v>0</v>
      </c>
      <c r="N2009" s="16"/>
      <c r="O2009" s="15"/>
    </row>
    <row r="2010" customFormat="false" ht="15" hidden="false" customHeight="false" outlineLevel="0" collapsed="false">
      <c r="A2010" s="9" t="n">
        <v>2004</v>
      </c>
      <c r="B2010" s="10" t="s">
        <v>2865</v>
      </c>
      <c r="C2010" s="10" t="s">
        <v>401</v>
      </c>
      <c r="D2010" s="11"/>
      <c r="E2010" s="12"/>
      <c r="F2010" s="11"/>
      <c r="G2010" s="12"/>
      <c r="H2010" s="11" t="n">
        <v>0.00290289351851852</v>
      </c>
      <c r="I2010" s="12" t="n">
        <v>971</v>
      </c>
      <c r="J2010" s="12" t="n">
        <f aca="false">COUNT(E2010,G2010,I2010)</f>
        <v>1</v>
      </c>
      <c r="K2010" s="13" t="n">
        <f aca="false">MIN(E2010,G2010,I2010)</f>
        <v>971</v>
      </c>
      <c r="L2010" s="9" t="str">
        <f aca="false">IF(E2010=K2010,"5000m",IF(G2010=K2010,"3000mSC","1500m"))</f>
        <v>1500m</v>
      </c>
      <c r="M2010" s="14" t="n">
        <f aca="false">(D2010&lt;&gt;"")*(D2010&lt;=($E$3*60+$F$3)/86400)+(F2010&lt;&gt;"")*(F2010&lt;=($I$3*60+$J$3)/86400)+(H2010&lt;&gt;"")*(H2010&lt;=($M$3*60+$N$3)/86400)</f>
        <v>0</v>
      </c>
      <c r="N2010" s="16"/>
      <c r="O2010" s="15"/>
    </row>
    <row r="2011" customFormat="false" ht="15" hidden="false" customHeight="false" outlineLevel="0" collapsed="false">
      <c r="A2011" s="9" t="n">
        <v>2005</v>
      </c>
      <c r="B2011" s="10" t="s">
        <v>2866</v>
      </c>
      <c r="C2011" s="10" t="s">
        <v>2196</v>
      </c>
      <c r="D2011" s="11" t="n">
        <v>0.0109325231481482</v>
      </c>
      <c r="E2011" s="12" t="n">
        <v>972</v>
      </c>
      <c r="F2011" s="11"/>
      <c r="G2011" s="12"/>
      <c r="H2011" s="11" t="n">
        <v>0.00291712962962963</v>
      </c>
      <c r="I2011" s="12" t="n">
        <v>1068</v>
      </c>
      <c r="J2011" s="12" t="n">
        <f aca="false">COUNT(E2011,G2011,I2011)</f>
        <v>2</v>
      </c>
      <c r="K2011" s="13" t="n">
        <f aca="false">MIN(E2011,G2011,I2011)</f>
        <v>972</v>
      </c>
      <c r="L2011" s="9" t="str">
        <f aca="false">IF(E2011=K2011,"5000m",IF(G2011=K2011,"3000mSC","1500m"))</f>
        <v>5000m</v>
      </c>
      <c r="M2011" s="14" t="n">
        <f aca="false">(D2011&lt;&gt;"")*(D2011&lt;=($E$3*60+$F$3)/86400)+(F2011&lt;&gt;"")*(F2011&lt;=($I$3*60+$J$3)/86400)+(H2011&lt;&gt;"")*(H2011&lt;=($M$3*60+$N$3)/86400)</f>
        <v>0</v>
      </c>
      <c r="N2011" s="16"/>
      <c r="O2011" s="15"/>
    </row>
    <row r="2012" customFormat="false" ht="25.35" hidden="false" customHeight="false" outlineLevel="0" collapsed="false">
      <c r="A2012" s="9" t="n">
        <v>2006</v>
      </c>
      <c r="B2012" s="10" t="s">
        <v>2867</v>
      </c>
      <c r="C2012" s="10" t="s">
        <v>724</v>
      </c>
      <c r="D2012" s="11"/>
      <c r="E2012" s="12"/>
      <c r="F2012" s="11" t="n">
        <v>0.00756678240740741</v>
      </c>
      <c r="G2012" s="12" t="n">
        <v>972</v>
      </c>
      <c r="H2012" s="11"/>
      <c r="I2012" s="12"/>
      <c r="J2012" s="12" t="n">
        <f aca="false">COUNT(E2012,G2012,I2012)</f>
        <v>1</v>
      </c>
      <c r="K2012" s="13" t="n">
        <f aca="false">MIN(E2012,G2012,I2012)</f>
        <v>972</v>
      </c>
      <c r="L2012" s="9" t="str">
        <f aca="false">IF(E2012=K2012,"5000m",IF(G2012=K2012,"3000mSC","1500m"))</f>
        <v>3000mSC</v>
      </c>
      <c r="M2012" s="14" t="n">
        <f aca="false">(D2012&lt;&gt;"")*(D2012&lt;=($E$3*60+$F$3)/86400)+(F2012&lt;&gt;"")*(F2012&lt;=($I$3*60+$J$3)/86400)+(H2012&lt;&gt;"")*(H2012&lt;=($M$3*60+$N$3)/86400)</f>
        <v>0</v>
      </c>
      <c r="N2012" s="16"/>
      <c r="O2012" s="15"/>
    </row>
    <row r="2013" customFormat="false" ht="15" hidden="false" customHeight="false" outlineLevel="0" collapsed="false">
      <c r="A2013" s="9" t="n">
        <v>2007</v>
      </c>
      <c r="B2013" s="10" t="s">
        <v>2868</v>
      </c>
      <c r="C2013" s="10" t="s">
        <v>114</v>
      </c>
      <c r="D2013" s="11"/>
      <c r="E2013" s="12"/>
      <c r="F2013" s="11"/>
      <c r="G2013" s="12"/>
      <c r="H2013" s="11" t="n">
        <v>0.00290324074074074</v>
      </c>
      <c r="I2013" s="12" t="n">
        <v>972</v>
      </c>
      <c r="J2013" s="12" t="n">
        <f aca="false">COUNT(E2013,G2013,I2013)</f>
        <v>1</v>
      </c>
      <c r="K2013" s="13" t="n">
        <f aca="false">MIN(E2013,G2013,I2013)</f>
        <v>972</v>
      </c>
      <c r="L2013" s="9" t="str">
        <f aca="false">IF(E2013=K2013,"5000m",IF(G2013=K2013,"3000mSC","1500m"))</f>
        <v>1500m</v>
      </c>
      <c r="M2013" s="14" t="n">
        <f aca="false">(D2013&lt;&gt;"")*(D2013&lt;=($E$3*60+$F$3)/86400)+(F2013&lt;&gt;"")*(F2013&lt;=($I$3*60+$J$3)/86400)+(H2013&lt;&gt;"")*(H2013&lt;=($M$3*60+$N$3)/86400)</f>
        <v>0</v>
      </c>
      <c r="N2013" s="16"/>
      <c r="O2013" s="15"/>
    </row>
    <row r="2014" customFormat="false" ht="15" hidden="false" customHeight="false" outlineLevel="0" collapsed="false">
      <c r="A2014" s="9" t="n">
        <v>2008</v>
      </c>
      <c r="B2014" s="10" t="s">
        <v>2869</v>
      </c>
      <c r="C2014" s="10" t="s">
        <v>874</v>
      </c>
      <c r="D2014" s="11" t="n">
        <v>0.0109334490740741</v>
      </c>
      <c r="E2014" s="12" t="n">
        <v>973</v>
      </c>
      <c r="F2014" s="11"/>
      <c r="G2014" s="12"/>
      <c r="H2014" s="11" t="n">
        <v>0.00297222222222222</v>
      </c>
      <c r="I2014" s="12" t="n">
        <v>1319</v>
      </c>
      <c r="J2014" s="12" t="n">
        <f aca="false">COUNT(E2014,G2014,I2014)</f>
        <v>2</v>
      </c>
      <c r="K2014" s="13" t="n">
        <f aca="false">MIN(E2014,G2014,I2014)</f>
        <v>973</v>
      </c>
      <c r="L2014" s="9" t="str">
        <f aca="false">IF(E2014=K2014,"5000m",IF(G2014=K2014,"3000mSC","1500m"))</f>
        <v>5000m</v>
      </c>
      <c r="M2014" s="14" t="n">
        <f aca="false">(D2014&lt;&gt;"")*(D2014&lt;=($E$3*60+$F$3)/86400)+(F2014&lt;&gt;"")*(F2014&lt;=($I$3*60+$J$3)/86400)+(H2014&lt;&gt;"")*(H2014&lt;=($M$3*60+$N$3)/86400)</f>
        <v>0</v>
      </c>
      <c r="N2014" s="16"/>
      <c r="O2014" s="15"/>
    </row>
    <row r="2015" customFormat="false" ht="25.35" hidden="false" customHeight="false" outlineLevel="0" collapsed="false">
      <c r="A2015" s="9" t="n">
        <v>2009</v>
      </c>
      <c r="B2015" s="10" t="s">
        <v>2870</v>
      </c>
      <c r="C2015" s="10" t="s">
        <v>854</v>
      </c>
      <c r="D2015" s="11"/>
      <c r="E2015" s="12"/>
      <c r="F2015" s="11" t="n">
        <v>0.00757106481481481</v>
      </c>
      <c r="G2015" s="12" t="n">
        <v>973</v>
      </c>
      <c r="H2015" s="11"/>
      <c r="I2015" s="12"/>
      <c r="J2015" s="12" t="n">
        <f aca="false">COUNT(E2015,G2015,I2015)</f>
        <v>1</v>
      </c>
      <c r="K2015" s="13" t="n">
        <f aca="false">MIN(E2015,G2015,I2015)</f>
        <v>973</v>
      </c>
      <c r="L2015" s="9" t="str">
        <f aca="false">IF(E2015=K2015,"5000m",IF(G2015=K2015,"3000mSC","1500m"))</f>
        <v>3000mSC</v>
      </c>
      <c r="M2015" s="14" t="n">
        <f aca="false">(D2015&lt;&gt;"")*(D2015&lt;=($E$3*60+$F$3)/86400)+(F2015&lt;&gt;"")*(F2015&lt;=($I$3*60+$J$3)/86400)+(H2015&lt;&gt;"")*(H2015&lt;=($M$3*60+$N$3)/86400)</f>
        <v>0</v>
      </c>
      <c r="N2015" s="16"/>
      <c r="O2015" s="15"/>
    </row>
    <row r="2016" customFormat="false" ht="15" hidden="false" customHeight="false" outlineLevel="0" collapsed="false">
      <c r="A2016" s="9" t="n">
        <v>2010</v>
      </c>
      <c r="B2016" s="10" t="s">
        <v>2871</v>
      </c>
      <c r="C2016" s="10" t="s">
        <v>1062</v>
      </c>
      <c r="D2016" s="11"/>
      <c r="E2016" s="12"/>
      <c r="F2016" s="11"/>
      <c r="G2016" s="12"/>
      <c r="H2016" s="11" t="n">
        <v>0.00290324074074074</v>
      </c>
      <c r="I2016" s="12" t="n">
        <v>973</v>
      </c>
      <c r="J2016" s="12" t="n">
        <f aca="false">COUNT(E2016,G2016,I2016)</f>
        <v>1</v>
      </c>
      <c r="K2016" s="13" t="n">
        <f aca="false">MIN(E2016,G2016,I2016)</f>
        <v>973</v>
      </c>
      <c r="L2016" s="9" t="str">
        <f aca="false">IF(E2016=K2016,"5000m",IF(G2016=K2016,"3000mSC","1500m"))</f>
        <v>1500m</v>
      </c>
      <c r="M2016" s="14" t="n">
        <f aca="false">(D2016&lt;&gt;"")*(D2016&lt;=($E$3*60+$F$3)/86400)+(F2016&lt;&gt;"")*(F2016&lt;=($I$3*60+$J$3)/86400)+(H2016&lt;&gt;"")*(H2016&lt;=($M$3*60+$N$3)/86400)</f>
        <v>0</v>
      </c>
      <c r="N2016" s="16"/>
      <c r="O2016" s="15"/>
    </row>
    <row r="2017" customFormat="false" ht="15" hidden="false" customHeight="false" outlineLevel="0" collapsed="false">
      <c r="A2017" s="9" t="n">
        <v>2011</v>
      </c>
      <c r="B2017" s="10" t="s">
        <v>2872</v>
      </c>
      <c r="C2017" s="10" t="s">
        <v>1383</v>
      </c>
      <c r="D2017" s="11" t="n">
        <v>0.0109337962962963</v>
      </c>
      <c r="E2017" s="12" t="n">
        <v>974</v>
      </c>
      <c r="F2017" s="11"/>
      <c r="G2017" s="12"/>
      <c r="H2017" s="11" t="n">
        <v>0.00295972222222222</v>
      </c>
      <c r="I2017" s="12" t="n">
        <v>1270</v>
      </c>
      <c r="J2017" s="12" t="n">
        <f aca="false">COUNT(E2017,G2017,I2017)</f>
        <v>2</v>
      </c>
      <c r="K2017" s="13" t="n">
        <f aca="false">MIN(E2017,G2017,I2017)</f>
        <v>974</v>
      </c>
      <c r="L2017" s="9" t="str">
        <f aca="false">IF(E2017=K2017,"5000m",IF(G2017=K2017,"3000mSC","1500m"))</f>
        <v>5000m</v>
      </c>
      <c r="M2017" s="14" t="n">
        <f aca="false">(D2017&lt;&gt;"")*(D2017&lt;=($E$3*60+$F$3)/86400)+(F2017&lt;&gt;"")*(F2017&lt;=($I$3*60+$J$3)/86400)+(H2017&lt;&gt;"")*(H2017&lt;=($M$3*60+$N$3)/86400)</f>
        <v>0</v>
      </c>
      <c r="N2017" s="16"/>
      <c r="O2017" s="15"/>
    </row>
    <row r="2018" customFormat="false" ht="25.35" hidden="false" customHeight="false" outlineLevel="0" collapsed="false">
      <c r="A2018" s="9" t="n">
        <v>2012</v>
      </c>
      <c r="B2018" s="10" t="s">
        <v>2873</v>
      </c>
      <c r="C2018" s="10" t="s">
        <v>1504</v>
      </c>
      <c r="D2018" s="11"/>
      <c r="E2018" s="12"/>
      <c r="F2018" s="11" t="n">
        <v>0.00757141203703704</v>
      </c>
      <c r="G2018" s="12" t="n">
        <v>974</v>
      </c>
      <c r="H2018" s="11"/>
      <c r="I2018" s="12"/>
      <c r="J2018" s="12" t="n">
        <f aca="false">COUNT(E2018,G2018,I2018)</f>
        <v>1</v>
      </c>
      <c r="K2018" s="13" t="n">
        <f aca="false">MIN(E2018,G2018,I2018)</f>
        <v>974</v>
      </c>
      <c r="L2018" s="9" t="str">
        <f aca="false">IF(E2018=K2018,"5000m",IF(G2018=K2018,"3000mSC","1500m"))</f>
        <v>3000mSC</v>
      </c>
      <c r="M2018" s="14" t="n">
        <f aca="false">(D2018&lt;&gt;"")*(D2018&lt;=($E$3*60+$F$3)/86400)+(F2018&lt;&gt;"")*(F2018&lt;=($I$3*60+$J$3)/86400)+(H2018&lt;&gt;"")*(H2018&lt;=($M$3*60+$N$3)/86400)</f>
        <v>0</v>
      </c>
      <c r="N2018" s="16"/>
      <c r="O2018" s="15"/>
    </row>
    <row r="2019" customFormat="false" ht="15" hidden="false" customHeight="false" outlineLevel="0" collapsed="false">
      <c r="A2019" s="9" t="n">
        <v>2013</v>
      </c>
      <c r="B2019" s="10" t="s">
        <v>2874</v>
      </c>
      <c r="C2019" s="10" t="s">
        <v>592</v>
      </c>
      <c r="D2019" s="11"/>
      <c r="E2019" s="12"/>
      <c r="F2019" s="11"/>
      <c r="G2019" s="12"/>
      <c r="H2019" s="11" t="n">
        <v>0.00290335648148148</v>
      </c>
      <c r="I2019" s="12" t="n">
        <v>974</v>
      </c>
      <c r="J2019" s="12" t="n">
        <f aca="false">COUNT(E2019,G2019,I2019)</f>
        <v>1</v>
      </c>
      <c r="K2019" s="13" t="n">
        <f aca="false">MIN(E2019,G2019,I2019)</f>
        <v>974</v>
      </c>
      <c r="L2019" s="9" t="str">
        <f aca="false">IF(E2019=K2019,"5000m",IF(G2019=K2019,"3000mSC","1500m"))</f>
        <v>1500m</v>
      </c>
      <c r="M2019" s="14" t="n">
        <f aca="false">(D2019&lt;&gt;"")*(D2019&lt;=($E$3*60+$F$3)/86400)+(F2019&lt;&gt;"")*(F2019&lt;=($I$3*60+$J$3)/86400)+(H2019&lt;&gt;"")*(H2019&lt;=($M$3*60+$N$3)/86400)</f>
        <v>0</v>
      </c>
      <c r="N2019" s="16"/>
      <c r="O2019" s="15"/>
    </row>
    <row r="2020" customFormat="false" ht="15" hidden="false" customHeight="false" outlineLevel="0" collapsed="false">
      <c r="A2020" s="9" t="n">
        <v>2014</v>
      </c>
      <c r="B2020" s="10" t="s">
        <v>2875</v>
      </c>
      <c r="C2020" s="10" t="s">
        <v>1897</v>
      </c>
      <c r="D2020" s="11" t="n">
        <v>0.0109340277777778</v>
      </c>
      <c r="E2020" s="12" t="n">
        <v>975</v>
      </c>
      <c r="F2020" s="11"/>
      <c r="G2020" s="12"/>
      <c r="H2020" s="11"/>
      <c r="I2020" s="12"/>
      <c r="J2020" s="12" t="n">
        <f aca="false">COUNT(E2020,G2020,I2020)</f>
        <v>1</v>
      </c>
      <c r="K2020" s="13" t="n">
        <f aca="false">MIN(E2020,G2020,I2020)</f>
        <v>975</v>
      </c>
      <c r="L2020" s="9" t="str">
        <f aca="false">IF(E2020=K2020,"5000m",IF(G2020=K2020,"3000mSC","1500m"))</f>
        <v>5000m</v>
      </c>
      <c r="M2020" s="14" t="n">
        <f aca="false">(D2020&lt;&gt;"")*(D2020&lt;=($E$3*60+$F$3)/86400)+(F2020&lt;&gt;"")*(F2020&lt;=($I$3*60+$J$3)/86400)+(H2020&lt;&gt;"")*(H2020&lt;=($M$3*60+$N$3)/86400)</f>
        <v>0</v>
      </c>
      <c r="N2020" s="16"/>
      <c r="O2020" s="15"/>
    </row>
    <row r="2021" customFormat="false" ht="25.35" hidden="false" customHeight="false" outlineLevel="0" collapsed="false">
      <c r="A2021" s="9" t="n">
        <v>2015</v>
      </c>
      <c r="B2021" s="10" t="s">
        <v>2876</v>
      </c>
      <c r="C2021" s="10" t="s">
        <v>480</v>
      </c>
      <c r="D2021" s="11"/>
      <c r="E2021" s="12"/>
      <c r="F2021" s="11" t="n">
        <v>0.00757326388888889</v>
      </c>
      <c r="G2021" s="12" t="n">
        <v>975</v>
      </c>
      <c r="H2021" s="11"/>
      <c r="I2021" s="12"/>
      <c r="J2021" s="12" t="n">
        <f aca="false">COUNT(E2021,G2021,I2021)</f>
        <v>1</v>
      </c>
      <c r="K2021" s="13" t="n">
        <f aca="false">MIN(E2021,G2021,I2021)</f>
        <v>975</v>
      </c>
      <c r="L2021" s="9" t="str">
        <f aca="false">IF(E2021=K2021,"5000m",IF(G2021=K2021,"3000mSC","1500m"))</f>
        <v>3000mSC</v>
      </c>
      <c r="M2021" s="14" t="n">
        <f aca="false">(D2021&lt;&gt;"")*(D2021&lt;=($E$3*60+$F$3)/86400)+(F2021&lt;&gt;"")*(F2021&lt;=($I$3*60+$J$3)/86400)+(H2021&lt;&gt;"")*(H2021&lt;=($M$3*60+$N$3)/86400)</f>
        <v>0</v>
      </c>
      <c r="N2021" s="16"/>
      <c r="O2021" s="15"/>
    </row>
    <row r="2022" customFormat="false" ht="25.35" hidden="false" customHeight="false" outlineLevel="0" collapsed="false">
      <c r="A2022" s="9" t="n">
        <v>2016</v>
      </c>
      <c r="B2022" s="10" t="s">
        <v>2877</v>
      </c>
      <c r="C2022" s="10" t="s">
        <v>47</v>
      </c>
      <c r="D2022" s="11"/>
      <c r="E2022" s="12"/>
      <c r="F2022" s="11" t="n">
        <v>0.00757337962962963</v>
      </c>
      <c r="G2022" s="12" t="n">
        <v>976</v>
      </c>
      <c r="H2022" s="11"/>
      <c r="I2022" s="12"/>
      <c r="J2022" s="12" t="n">
        <f aca="false">COUNT(E2022,G2022,I2022)</f>
        <v>1</v>
      </c>
      <c r="K2022" s="13" t="n">
        <f aca="false">MIN(E2022,G2022,I2022)</f>
        <v>976</v>
      </c>
      <c r="L2022" s="9" t="str">
        <f aca="false">IF(E2022=K2022,"5000m",IF(G2022=K2022,"3000mSC","1500m"))</f>
        <v>3000mSC</v>
      </c>
      <c r="M2022" s="14" t="n">
        <f aca="false">(D2022&lt;&gt;"")*(D2022&lt;=($E$3*60+$F$3)/86400)+(F2022&lt;&gt;"")*(F2022&lt;=($I$3*60+$J$3)/86400)+(H2022&lt;&gt;"")*(H2022&lt;=($M$3*60+$N$3)/86400)</f>
        <v>0</v>
      </c>
      <c r="N2022" s="16"/>
      <c r="O2022" s="15"/>
    </row>
    <row r="2023" customFormat="false" ht="15" hidden="false" customHeight="false" outlineLevel="0" collapsed="false">
      <c r="A2023" s="9" t="n">
        <v>2017</v>
      </c>
      <c r="B2023" s="10" t="s">
        <v>2878</v>
      </c>
      <c r="C2023" s="10" t="s">
        <v>2774</v>
      </c>
      <c r="D2023" s="11" t="n">
        <v>0.0109361111111111</v>
      </c>
      <c r="E2023" s="12" t="n">
        <v>977</v>
      </c>
      <c r="F2023" s="11"/>
      <c r="G2023" s="12"/>
      <c r="H2023" s="11"/>
      <c r="I2023" s="12"/>
      <c r="J2023" s="12" t="n">
        <f aca="false">COUNT(E2023,G2023,I2023)</f>
        <v>1</v>
      </c>
      <c r="K2023" s="13" t="n">
        <f aca="false">MIN(E2023,G2023,I2023)</f>
        <v>977</v>
      </c>
      <c r="L2023" s="9" t="str">
        <f aca="false">IF(E2023=K2023,"5000m",IF(G2023=K2023,"3000mSC","1500m"))</f>
        <v>5000m</v>
      </c>
      <c r="M2023" s="14" t="n">
        <f aca="false">(D2023&lt;&gt;"")*(D2023&lt;=($E$3*60+$F$3)/86400)+(F2023&lt;&gt;"")*(F2023&lt;=($I$3*60+$J$3)/86400)+(H2023&lt;&gt;"")*(H2023&lt;=($M$3*60+$N$3)/86400)</f>
        <v>0</v>
      </c>
      <c r="N2023" s="16"/>
      <c r="O2023" s="15"/>
    </row>
    <row r="2024" customFormat="false" ht="25.35" hidden="false" customHeight="false" outlineLevel="0" collapsed="false">
      <c r="A2024" s="9" t="n">
        <v>2018</v>
      </c>
      <c r="B2024" s="10" t="s">
        <v>2879</v>
      </c>
      <c r="C2024" s="10" t="s">
        <v>350</v>
      </c>
      <c r="D2024" s="11"/>
      <c r="E2024" s="12"/>
      <c r="F2024" s="11" t="n">
        <v>0.00757511574074074</v>
      </c>
      <c r="G2024" s="12" t="n">
        <v>977</v>
      </c>
      <c r="H2024" s="11"/>
      <c r="I2024" s="12"/>
      <c r="J2024" s="12" t="n">
        <f aca="false">COUNT(E2024,G2024,I2024)</f>
        <v>1</v>
      </c>
      <c r="K2024" s="13" t="n">
        <f aca="false">MIN(E2024,G2024,I2024)</f>
        <v>977</v>
      </c>
      <c r="L2024" s="9" t="str">
        <f aca="false">IF(E2024=K2024,"5000m",IF(G2024=K2024,"3000mSC","1500m"))</f>
        <v>3000mSC</v>
      </c>
      <c r="M2024" s="14" t="n">
        <f aca="false">(D2024&lt;&gt;"")*(D2024&lt;=($E$3*60+$F$3)/86400)+(F2024&lt;&gt;"")*(F2024&lt;=($I$3*60+$J$3)/86400)+(H2024&lt;&gt;"")*(H2024&lt;=($M$3*60+$N$3)/86400)</f>
        <v>0</v>
      </c>
      <c r="N2024" s="16"/>
      <c r="O2024" s="15"/>
    </row>
    <row r="2025" customFormat="false" ht="15" hidden="false" customHeight="false" outlineLevel="0" collapsed="false">
      <c r="A2025" s="9" t="n">
        <v>2019</v>
      </c>
      <c r="B2025" s="10" t="s">
        <v>2880</v>
      </c>
      <c r="C2025" s="10" t="s">
        <v>2881</v>
      </c>
      <c r="D2025" s="11"/>
      <c r="E2025" s="12"/>
      <c r="F2025" s="11"/>
      <c r="G2025" s="12"/>
      <c r="H2025" s="11" t="n">
        <v>0.00290393518518519</v>
      </c>
      <c r="I2025" s="12" t="n">
        <v>977</v>
      </c>
      <c r="J2025" s="12" t="n">
        <f aca="false">COUNT(E2025,G2025,I2025)</f>
        <v>1</v>
      </c>
      <c r="K2025" s="13" t="n">
        <f aca="false">MIN(E2025,G2025,I2025)</f>
        <v>977</v>
      </c>
      <c r="L2025" s="9" t="str">
        <f aca="false">IF(E2025=K2025,"5000m",IF(G2025=K2025,"3000mSC","1500m"))</f>
        <v>1500m</v>
      </c>
      <c r="M2025" s="14" t="n">
        <f aca="false">(D2025&lt;&gt;"")*(D2025&lt;=($E$3*60+$F$3)/86400)+(F2025&lt;&gt;"")*(F2025&lt;=($I$3*60+$J$3)/86400)+(H2025&lt;&gt;"")*(H2025&lt;=($M$3*60+$N$3)/86400)</f>
        <v>0</v>
      </c>
      <c r="N2025" s="16"/>
      <c r="O2025" s="15"/>
    </row>
    <row r="2026" customFormat="false" ht="25.35" hidden="false" customHeight="false" outlineLevel="0" collapsed="false">
      <c r="A2026" s="9" t="n">
        <v>2020</v>
      </c>
      <c r="B2026" s="10" t="s">
        <v>2882</v>
      </c>
      <c r="C2026" s="10" t="s">
        <v>494</v>
      </c>
      <c r="D2026" s="11"/>
      <c r="E2026" s="12"/>
      <c r="F2026" s="11" t="n">
        <v>0.00757627314814815</v>
      </c>
      <c r="G2026" s="12" t="n">
        <v>978</v>
      </c>
      <c r="H2026" s="11" t="n">
        <v>0.00295902777777778</v>
      </c>
      <c r="I2026" s="12" t="n">
        <v>1264</v>
      </c>
      <c r="J2026" s="12" t="n">
        <f aca="false">COUNT(E2026,G2026,I2026)</f>
        <v>2</v>
      </c>
      <c r="K2026" s="13" t="n">
        <f aca="false">MIN(E2026,G2026,I2026)</f>
        <v>978</v>
      </c>
      <c r="L2026" s="9" t="str">
        <f aca="false">IF(E2026=K2026,"5000m",IF(G2026=K2026,"3000mSC","1500m"))</f>
        <v>3000mSC</v>
      </c>
      <c r="M2026" s="14" t="n">
        <f aca="false">(D2026&lt;&gt;"")*(D2026&lt;=($E$3*60+$F$3)/86400)+(F2026&lt;&gt;"")*(F2026&lt;=($I$3*60+$J$3)/86400)+(H2026&lt;&gt;"")*(H2026&lt;=($M$3*60+$N$3)/86400)</f>
        <v>0</v>
      </c>
      <c r="N2026" s="16"/>
      <c r="O2026" s="15"/>
    </row>
    <row r="2027" customFormat="false" ht="15" hidden="false" customHeight="false" outlineLevel="0" collapsed="false">
      <c r="A2027" s="9" t="n">
        <v>2021</v>
      </c>
      <c r="B2027" s="10" t="s">
        <v>2883</v>
      </c>
      <c r="C2027" s="10" t="s">
        <v>382</v>
      </c>
      <c r="D2027" s="11"/>
      <c r="E2027" s="12"/>
      <c r="F2027" s="11"/>
      <c r="G2027" s="12"/>
      <c r="H2027" s="11" t="n">
        <v>0.00290405092592593</v>
      </c>
      <c r="I2027" s="12" t="n">
        <v>978</v>
      </c>
      <c r="J2027" s="12" t="n">
        <f aca="false">COUNT(E2027,G2027,I2027)</f>
        <v>1</v>
      </c>
      <c r="K2027" s="13" t="n">
        <f aca="false">MIN(E2027,G2027,I2027)</f>
        <v>978</v>
      </c>
      <c r="L2027" s="9" t="str">
        <f aca="false">IF(E2027=K2027,"5000m",IF(G2027=K2027,"3000mSC","1500m"))</f>
        <v>1500m</v>
      </c>
      <c r="M2027" s="14" t="n">
        <f aca="false">(D2027&lt;&gt;"")*(D2027&lt;=($E$3*60+$F$3)/86400)+(F2027&lt;&gt;"")*(F2027&lt;=($I$3*60+$J$3)/86400)+(H2027&lt;&gt;"")*(H2027&lt;=($M$3*60+$N$3)/86400)</f>
        <v>0</v>
      </c>
      <c r="N2027" s="16"/>
      <c r="O2027" s="15"/>
    </row>
    <row r="2028" customFormat="false" ht="25.35" hidden="false" customHeight="false" outlineLevel="0" collapsed="false">
      <c r="A2028" s="9" t="n">
        <v>2022</v>
      </c>
      <c r="B2028" s="10" t="s">
        <v>2884</v>
      </c>
      <c r="C2028" s="10" t="s">
        <v>2885</v>
      </c>
      <c r="D2028" s="11"/>
      <c r="E2028" s="12"/>
      <c r="F2028" s="11" t="n">
        <v>0.00757916666666667</v>
      </c>
      <c r="G2028" s="12" t="n">
        <v>979</v>
      </c>
      <c r="H2028" s="11"/>
      <c r="I2028" s="12"/>
      <c r="J2028" s="12" t="n">
        <f aca="false">COUNT(E2028,G2028,I2028)</f>
        <v>1</v>
      </c>
      <c r="K2028" s="13" t="n">
        <f aca="false">MIN(E2028,G2028,I2028)</f>
        <v>979</v>
      </c>
      <c r="L2028" s="9" t="str">
        <f aca="false">IF(E2028=K2028,"5000m",IF(G2028=K2028,"3000mSC","1500m"))</f>
        <v>3000mSC</v>
      </c>
      <c r="M2028" s="14" t="n">
        <f aca="false">(D2028&lt;&gt;"")*(D2028&lt;=($E$3*60+$F$3)/86400)+(F2028&lt;&gt;"")*(F2028&lt;=($I$3*60+$J$3)/86400)+(H2028&lt;&gt;"")*(H2028&lt;=($M$3*60+$N$3)/86400)</f>
        <v>0</v>
      </c>
      <c r="N2028" s="16"/>
      <c r="O2028" s="15"/>
    </row>
    <row r="2029" customFormat="false" ht="15" hidden="false" customHeight="false" outlineLevel="0" collapsed="false">
      <c r="A2029" s="9" t="n">
        <v>2023</v>
      </c>
      <c r="B2029" s="10" t="s">
        <v>2886</v>
      </c>
      <c r="C2029" s="10" t="s">
        <v>2553</v>
      </c>
      <c r="D2029" s="11"/>
      <c r="E2029" s="12"/>
      <c r="F2029" s="11"/>
      <c r="G2029" s="12"/>
      <c r="H2029" s="11" t="n">
        <v>0.00290405092592593</v>
      </c>
      <c r="I2029" s="12" t="n">
        <v>979</v>
      </c>
      <c r="J2029" s="12" t="n">
        <f aca="false">COUNT(E2029,G2029,I2029)</f>
        <v>1</v>
      </c>
      <c r="K2029" s="13" t="n">
        <f aca="false">MIN(E2029,G2029,I2029)</f>
        <v>979</v>
      </c>
      <c r="L2029" s="9" t="str">
        <f aca="false">IF(E2029=K2029,"5000m",IF(G2029=K2029,"3000mSC","1500m"))</f>
        <v>1500m</v>
      </c>
      <c r="M2029" s="14" t="n">
        <f aca="false">(D2029&lt;&gt;"")*(D2029&lt;=($E$3*60+$F$3)/86400)+(F2029&lt;&gt;"")*(F2029&lt;=($I$3*60+$J$3)/86400)+(H2029&lt;&gt;"")*(H2029&lt;=($M$3*60+$N$3)/86400)</f>
        <v>0</v>
      </c>
      <c r="N2029" s="16"/>
      <c r="O2029" s="15"/>
    </row>
    <row r="2030" customFormat="false" ht="25.35" hidden="false" customHeight="false" outlineLevel="0" collapsed="false">
      <c r="A2030" s="9" t="n">
        <v>2024</v>
      </c>
      <c r="B2030" s="10" t="s">
        <v>2887</v>
      </c>
      <c r="C2030" s="10" t="s">
        <v>1199</v>
      </c>
      <c r="D2030" s="11"/>
      <c r="E2030" s="12"/>
      <c r="F2030" s="11" t="n">
        <v>0.00757939814814815</v>
      </c>
      <c r="G2030" s="12" t="n">
        <v>980</v>
      </c>
      <c r="H2030" s="11"/>
      <c r="I2030" s="12"/>
      <c r="J2030" s="12" t="n">
        <f aca="false">COUNT(E2030,G2030,I2030)</f>
        <v>1</v>
      </c>
      <c r="K2030" s="13" t="n">
        <f aca="false">MIN(E2030,G2030,I2030)</f>
        <v>980</v>
      </c>
      <c r="L2030" s="9" t="str">
        <f aca="false">IF(E2030=K2030,"5000m",IF(G2030=K2030,"3000mSC","1500m"))</f>
        <v>3000mSC</v>
      </c>
      <c r="M2030" s="14" t="n">
        <f aca="false">(D2030&lt;&gt;"")*(D2030&lt;=($E$3*60+$F$3)/86400)+(F2030&lt;&gt;"")*(F2030&lt;=($I$3*60+$J$3)/86400)+(H2030&lt;&gt;"")*(H2030&lt;=($M$3*60+$N$3)/86400)</f>
        <v>0</v>
      </c>
      <c r="N2030" s="16"/>
      <c r="O2030" s="15"/>
    </row>
    <row r="2031" customFormat="false" ht="25.35" hidden="false" customHeight="false" outlineLevel="0" collapsed="false">
      <c r="A2031" s="9" t="n">
        <v>2025</v>
      </c>
      <c r="B2031" s="10" t="s">
        <v>2888</v>
      </c>
      <c r="C2031" s="10" t="s">
        <v>2889</v>
      </c>
      <c r="D2031" s="11" t="n">
        <v>0.011078125</v>
      </c>
      <c r="E2031" s="12" t="n">
        <v>1246</v>
      </c>
      <c r="F2031" s="11" t="n">
        <v>0.00757974537037037</v>
      </c>
      <c r="G2031" s="12" t="n">
        <v>981</v>
      </c>
      <c r="H2031" s="11"/>
      <c r="I2031" s="12"/>
      <c r="J2031" s="12" t="n">
        <f aca="false">COUNT(E2031,G2031,I2031)</f>
        <v>2</v>
      </c>
      <c r="K2031" s="13" t="n">
        <f aca="false">MIN(E2031,G2031,I2031)</f>
        <v>981</v>
      </c>
      <c r="L2031" s="9" t="str">
        <f aca="false">IF(E2031=K2031,"5000m",IF(G2031=K2031,"3000mSC","1500m"))</f>
        <v>3000mSC</v>
      </c>
      <c r="M2031" s="14" t="n">
        <f aca="false">(D2031&lt;&gt;"")*(D2031&lt;=($E$3*60+$F$3)/86400)+(F2031&lt;&gt;"")*(F2031&lt;=($I$3*60+$J$3)/86400)+(H2031&lt;&gt;"")*(H2031&lt;=($M$3*60+$N$3)/86400)</f>
        <v>0</v>
      </c>
      <c r="N2031" s="16"/>
      <c r="O2031" s="15"/>
    </row>
    <row r="2032" customFormat="false" ht="25.35" hidden="false" customHeight="false" outlineLevel="0" collapsed="false">
      <c r="A2032" s="9" t="n">
        <v>2026</v>
      </c>
      <c r="B2032" s="10" t="s">
        <v>2890</v>
      </c>
      <c r="C2032" s="10" t="s">
        <v>2553</v>
      </c>
      <c r="D2032" s="11"/>
      <c r="E2032" s="12"/>
      <c r="F2032" s="11" t="n">
        <v>0.00757997685185185</v>
      </c>
      <c r="G2032" s="12" t="n">
        <v>982</v>
      </c>
      <c r="H2032" s="11"/>
      <c r="I2032" s="12"/>
      <c r="J2032" s="12" t="n">
        <f aca="false">COUNT(E2032,G2032,I2032)</f>
        <v>1</v>
      </c>
      <c r="K2032" s="13" t="n">
        <f aca="false">MIN(E2032,G2032,I2032)</f>
        <v>982</v>
      </c>
      <c r="L2032" s="9" t="str">
        <f aca="false">IF(E2032=K2032,"5000m",IF(G2032=K2032,"3000mSC","1500m"))</f>
        <v>3000mSC</v>
      </c>
      <c r="M2032" s="14" t="n">
        <f aca="false">(D2032&lt;&gt;"")*(D2032&lt;=($E$3*60+$F$3)/86400)+(F2032&lt;&gt;"")*(F2032&lt;=($I$3*60+$J$3)/86400)+(H2032&lt;&gt;"")*(H2032&lt;=($M$3*60+$N$3)/86400)</f>
        <v>0</v>
      </c>
      <c r="N2032" s="16"/>
      <c r="O2032" s="15"/>
    </row>
    <row r="2033" customFormat="false" ht="15" hidden="false" customHeight="false" outlineLevel="0" collapsed="false">
      <c r="A2033" s="9" t="n">
        <v>2027</v>
      </c>
      <c r="B2033" s="10" t="s">
        <v>2891</v>
      </c>
      <c r="C2033" s="10" t="s">
        <v>263</v>
      </c>
      <c r="D2033" s="11" t="n">
        <v>0.0109417824074074</v>
      </c>
      <c r="E2033" s="12" t="n">
        <v>983</v>
      </c>
      <c r="F2033" s="11"/>
      <c r="G2033" s="12"/>
      <c r="H2033" s="11"/>
      <c r="I2033" s="12"/>
      <c r="J2033" s="12" t="n">
        <f aca="false">COUNT(E2033,G2033,I2033)</f>
        <v>1</v>
      </c>
      <c r="K2033" s="13" t="n">
        <f aca="false">MIN(E2033,G2033,I2033)</f>
        <v>983</v>
      </c>
      <c r="L2033" s="9" t="str">
        <f aca="false">IF(E2033=K2033,"5000m",IF(G2033=K2033,"3000mSC","1500m"))</f>
        <v>5000m</v>
      </c>
      <c r="M2033" s="14" t="n">
        <f aca="false">(D2033&lt;&gt;"")*(D2033&lt;=($E$3*60+$F$3)/86400)+(F2033&lt;&gt;"")*(F2033&lt;=($I$3*60+$J$3)/86400)+(H2033&lt;&gt;"")*(H2033&lt;=($M$3*60+$N$3)/86400)</f>
        <v>0</v>
      </c>
      <c r="N2033" s="16"/>
      <c r="O2033" s="15"/>
    </row>
    <row r="2034" customFormat="false" ht="25.35" hidden="false" customHeight="false" outlineLevel="0" collapsed="false">
      <c r="A2034" s="9" t="n">
        <v>2028</v>
      </c>
      <c r="B2034" s="10" t="s">
        <v>2892</v>
      </c>
      <c r="C2034" s="10" t="s">
        <v>1905</v>
      </c>
      <c r="D2034" s="11"/>
      <c r="E2034" s="12"/>
      <c r="F2034" s="11" t="n">
        <v>0.00758136574074074</v>
      </c>
      <c r="G2034" s="12" t="n">
        <v>983</v>
      </c>
      <c r="H2034" s="11"/>
      <c r="I2034" s="12"/>
      <c r="J2034" s="12" t="n">
        <f aca="false">COUNT(E2034,G2034,I2034)</f>
        <v>1</v>
      </c>
      <c r="K2034" s="13" t="n">
        <f aca="false">MIN(E2034,G2034,I2034)</f>
        <v>983</v>
      </c>
      <c r="L2034" s="9" t="str">
        <f aca="false">IF(E2034=K2034,"5000m",IF(G2034=K2034,"3000mSC","1500m"))</f>
        <v>3000mSC</v>
      </c>
      <c r="M2034" s="14" t="n">
        <f aca="false">(D2034&lt;&gt;"")*(D2034&lt;=($E$3*60+$F$3)/86400)+(F2034&lt;&gt;"")*(F2034&lt;=($I$3*60+$J$3)/86400)+(H2034&lt;&gt;"")*(H2034&lt;=($M$3*60+$N$3)/86400)</f>
        <v>0</v>
      </c>
      <c r="N2034" s="16"/>
      <c r="O2034" s="15"/>
    </row>
    <row r="2035" customFormat="false" ht="25.35" hidden="false" customHeight="false" outlineLevel="0" collapsed="false">
      <c r="A2035" s="9" t="n">
        <v>2029</v>
      </c>
      <c r="B2035" s="10" t="s">
        <v>2893</v>
      </c>
      <c r="C2035" s="10" t="s">
        <v>2894</v>
      </c>
      <c r="D2035" s="11"/>
      <c r="E2035" s="12"/>
      <c r="F2035" s="11" t="n">
        <v>0.00758541666666667</v>
      </c>
      <c r="G2035" s="12" t="n">
        <v>984</v>
      </c>
      <c r="H2035" s="11"/>
      <c r="I2035" s="12"/>
      <c r="J2035" s="12" t="n">
        <f aca="false">COUNT(E2035,G2035,I2035)</f>
        <v>1</v>
      </c>
      <c r="K2035" s="13" t="n">
        <f aca="false">MIN(E2035,G2035,I2035)</f>
        <v>984</v>
      </c>
      <c r="L2035" s="9" t="str">
        <f aca="false">IF(E2035=K2035,"5000m",IF(G2035=K2035,"3000mSC","1500m"))</f>
        <v>3000mSC</v>
      </c>
      <c r="M2035" s="14" t="n">
        <f aca="false">(D2035&lt;&gt;"")*(D2035&lt;=($E$3*60+$F$3)/86400)+(F2035&lt;&gt;"")*(F2035&lt;=($I$3*60+$J$3)/86400)+(H2035&lt;&gt;"")*(H2035&lt;=($M$3*60+$N$3)/86400)</f>
        <v>0</v>
      </c>
      <c r="N2035" s="16"/>
      <c r="O2035" s="15"/>
    </row>
    <row r="2036" customFormat="false" ht="15" hidden="false" customHeight="false" outlineLevel="0" collapsed="false">
      <c r="A2036" s="9" t="n">
        <v>2030</v>
      </c>
      <c r="B2036" s="10" t="s">
        <v>2895</v>
      </c>
      <c r="C2036" s="10" t="s">
        <v>857</v>
      </c>
      <c r="D2036" s="11" t="n">
        <v>0.0109422453703704</v>
      </c>
      <c r="E2036" s="12" t="n">
        <v>985</v>
      </c>
      <c r="F2036" s="11"/>
      <c r="G2036" s="12"/>
      <c r="H2036" s="11"/>
      <c r="I2036" s="12"/>
      <c r="J2036" s="12" t="n">
        <f aca="false">COUNT(E2036,G2036,I2036)</f>
        <v>1</v>
      </c>
      <c r="K2036" s="13" t="n">
        <f aca="false">MIN(E2036,G2036,I2036)</f>
        <v>985</v>
      </c>
      <c r="L2036" s="9" t="str">
        <f aca="false">IF(E2036=K2036,"5000m",IF(G2036=K2036,"3000mSC","1500m"))</f>
        <v>5000m</v>
      </c>
      <c r="M2036" s="14" t="n">
        <f aca="false">(D2036&lt;&gt;"")*(D2036&lt;=($E$3*60+$F$3)/86400)+(F2036&lt;&gt;"")*(F2036&lt;=($I$3*60+$J$3)/86400)+(H2036&lt;&gt;"")*(H2036&lt;=($M$3*60+$N$3)/86400)</f>
        <v>0</v>
      </c>
      <c r="N2036" s="16"/>
      <c r="O2036" s="15"/>
    </row>
    <row r="2037" customFormat="false" ht="25.35" hidden="false" customHeight="false" outlineLevel="0" collapsed="false">
      <c r="A2037" s="9" t="n">
        <v>2031</v>
      </c>
      <c r="B2037" s="10" t="s">
        <v>2896</v>
      </c>
      <c r="C2037" s="10" t="s">
        <v>1702</v>
      </c>
      <c r="D2037" s="11"/>
      <c r="E2037" s="12"/>
      <c r="F2037" s="11" t="n">
        <v>0.00758645833333333</v>
      </c>
      <c r="G2037" s="12" t="n">
        <v>985</v>
      </c>
      <c r="H2037" s="11"/>
      <c r="I2037" s="12"/>
      <c r="J2037" s="12" t="n">
        <f aca="false">COUNT(E2037,G2037,I2037)</f>
        <v>1</v>
      </c>
      <c r="K2037" s="13" t="n">
        <f aca="false">MIN(E2037,G2037,I2037)</f>
        <v>985</v>
      </c>
      <c r="L2037" s="9" t="str">
        <f aca="false">IF(E2037=K2037,"5000m",IF(G2037=K2037,"3000mSC","1500m"))</f>
        <v>3000mSC</v>
      </c>
      <c r="M2037" s="14" t="n">
        <f aca="false">(D2037&lt;&gt;"")*(D2037&lt;=($E$3*60+$F$3)/86400)+(F2037&lt;&gt;"")*(F2037&lt;=($I$3*60+$J$3)/86400)+(H2037&lt;&gt;"")*(H2037&lt;=($M$3*60+$N$3)/86400)</f>
        <v>0</v>
      </c>
      <c r="N2037" s="16"/>
      <c r="O2037" s="15"/>
    </row>
    <row r="2038" customFormat="false" ht="15" hidden="false" customHeight="false" outlineLevel="0" collapsed="false">
      <c r="A2038" s="9" t="n">
        <v>2032</v>
      </c>
      <c r="B2038" s="10" t="s">
        <v>2897</v>
      </c>
      <c r="C2038" s="10" t="s">
        <v>445</v>
      </c>
      <c r="D2038" s="11" t="n">
        <v>0.0109422453703704</v>
      </c>
      <c r="E2038" s="12" t="n">
        <v>986</v>
      </c>
      <c r="F2038" s="11"/>
      <c r="G2038" s="12"/>
      <c r="H2038" s="11"/>
      <c r="I2038" s="12"/>
      <c r="J2038" s="12" t="n">
        <f aca="false">COUNT(E2038,G2038,I2038)</f>
        <v>1</v>
      </c>
      <c r="K2038" s="13" t="n">
        <f aca="false">MIN(E2038,G2038,I2038)</f>
        <v>986</v>
      </c>
      <c r="L2038" s="9" t="str">
        <f aca="false">IF(E2038=K2038,"5000m",IF(G2038=K2038,"3000mSC","1500m"))</f>
        <v>5000m</v>
      </c>
      <c r="M2038" s="14" t="n">
        <f aca="false">(D2038&lt;&gt;"")*(D2038&lt;=($E$3*60+$F$3)/86400)+(F2038&lt;&gt;"")*(F2038&lt;=($I$3*60+$J$3)/86400)+(H2038&lt;&gt;"")*(H2038&lt;=($M$3*60+$N$3)/86400)</f>
        <v>0</v>
      </c>
      <c r="N2038" s="16"/>
      <c r="O2038" s="15"/>
    </row>
    <row r="2039" customFormat="false" ht="25.35" hidden="false" customHeight="false" outlineLevel="0" collapsed="false">
      <c r="A2039" s="9" t="n">
        <v>2033</v>
      </c>
      <c r="B2039" s="10" t="s">
        <v>2898</v>
      </c>
      <c r="C2039" s="10" t="s">
        <v>326</v>
      </c>
      <c r="D2039" s="11"/>
      <c r="E2039" s="12"/>
      <c r="F2039" s="11" t="n">
        <v>0.00758900462962963</v>
      </c>
      <c r="G2039" s="12" t="n">
        <v>986</v>
      </c>
      <c r="H2039" s="11"/>
      <c r="I2039" s="12"/>
      <c r="J2039" s="12" t="n">
        <f aca="false">COUNT(E2039,G2039,I2039)</f>
        <v>1</v>
      </c>
      <c r="K2039" s="13" t="n">
        <f aca="false">MIN(E2039,G2039,I2039)</f>
        <v>986</v>
      </c>
      <c r="L2039" s="9" t="str">
        <f aca="false">IF(E2039=K2039,"5000m",IF(G2039=K2039,"3000mSC","1500m"))</f>
        <v>3000mSC</v>
      </c>
      <c r="M2039" s="14" t="n">
        <f aca="false">(D2039&lt;&gt;"")*(D2039&lt;=($E$3*60+$F$3)/86400)+(F2039&lt;&gt;"")*(F2039&lt;=($I$3*60+$J$3)/86400)+(H2039&lt;&gt;"")*(H2039&lt;=($M$3*60+$N$3)/86400)</f>
        <v>0</v>
      </c>
      <c r="N2039" s="16"/>
      <c r="O2039" s="15"/>
    </row>
    <row r="2040" customFormat="false" ht="15" hidden="false" customHeight="false" outlineLevel="0" collapsed="false">
      <c r="A2040" s="9" t="n">
        <v>2034</v>
      </c>
      <c r="B2040" s="10" t="s">
        <v>2899</v>
      </c>
      <c r="C2040" s="10" t="s">
        <v>422</v>
      </c>
      <c r="D2040" s="11" t="n">
        <v>0.0109427083333333</v>
      </c>
      <c r="E2040" s="12" t="n">
        <v>987</v>
      </c>
      <c r="F2040" s="11"/>
      <c r="G2040" s="12"/>
      <c r="H2040" s="11" t="n">
        <v>0.00295613425925926</v>
      </c>
      <c r="I2040" s="12" t="n">
        <v>1258</v>
      </c>
      <c r="J2040" s="12" t="n">
        <f aca="false">COUNT(E2040,G2040,I2040)</f>
        <v>2</v>
      </c>
      <c r="K2040" s="13" t="n">
        <f aca="false">MIN(E2040,G2040,I2040)</f>
        <v>987</v>
      </c>
      <c r="L2040" s="9" t="str">
        <f aca="false">IF(E2040=K2040,"5000m",IF(G2040=K2040,"3000mSC","1500m"))</f>
        <v>5000m</v>
      </c>
      <c r="M2040" s="14" t="n">
        <f aca="false">(D2040&lt;&gt;"")*(D2040&lt;=($E$3*60+$F$3)/86400)+(F2040&lt;&gt;"")*(F2040&lt;=($I$3*60+$J$3)/86400)+(H2040&lt;&gt;"")*(H2040&lt;=($M$3*60+$N$3)/86400)</f>
        <v>0</v>
      </c>
      <c r="N2040" s="16"/>
      <c r="O2040" s="15"/>
    </row>
    <row r="2041" customFormat="false" ht="25.35" hidden="false" customHeight="false" outlineLevel="0" collapsed="false">
      <c r="A2041" s="9" t="n">
        <v>2035</v>
      </c>
      <c r="B2041" s="10" t="s">
        <v>2900</v>
      </c>
      <c r="C2041" s="10" t="s">
        <v>1628</v>
      </c>
      <c r="D2041" s="11"/>
      <c r="E2041" s="12"/>
      <c r="F2041" s="11" t="n">
        <v>0.00759097222222222</v>
      </c>
      <c r="G2041" s="12" t="n">
        <v>987</v>
      </c>
      <c r="H2041" s="11"/>
      <c r="I2041" s="12"/>
      <c r="J2041" s="12" t="n">
        <f aca="false">COUNT(E2041,G2041,I2041)</f>
        <v>1</v>
      </c>
      <c r="K2041" s="13" t="n">
        <f aca="false">MIN(E2041,G2041,I2041)</f>
        <v>987</v>
      </c>
      <c r="L2041" s="9" t="str">
        <f aca="false">IF(E2041=K2041,"5000m",IF(G2041=K2041,"3000mSC","1500m"))</f>
        <v>3000mSC</v>
      </c>
      <c r="M2041" s="14" t="n">
        <f aca="false">(D2041&lt;&gt;"")*(D2041&lt;=($E$3*60+$F$3)/86400)+(F2041&lt;&gt;"")*(F2041&lt;=($I$3*60+$J$3)/86400)+(H2041&lt;&gt;"")*(H2041&lt;=($M$3*60+$N$3)/86400)</f>
        <v>0</v>
      </c>
      <c r="N2041" s="16"/>
      <c r="O2041" s="15"/>
    </row>
    <row r="2042" customFormat="false" ht="15" hidden="false" customHeight="false" outlineLevel="0" collapsed="false">
      <c r="A2042" s="9" t="n">
        <v>2036</v>
      </c>
      <c r="B2042" s="10" t="s">
        <v>2901</v>
      </c>
      <c r="C2042" s="10" t="s">
        <v>1174</v>
      </c>
      <c r="D2042" s="11"/>
      <c r="E2042" s="12"/>
      <c r="F2042" s="11"/>
      <c r="G2042" s="12"/>
      <c r="H2042" s="11" t="n">
        <v>0.00290543981481482</v>
      </c>
      <c r="I2042" s="12" t="n">
        <v>987</v>
      </c>
      <c r="J2042" s="12" t="n">
        <f aca="false">COUNT(E2042,G2042,I2042)</f>
        <v>1</v>
      </c>
      <c r="K2042" s="13" t="n">
        <f aca="false">MIN(E2042,G2042,I2042)</f>
        <v>987</v>
      </c>
      <c r="L2042" s="9" t="str">
        <f aca="false">IF(E2042=K2042,"5000m",IF(G2042=K2042,"3000mSC","1500m"))</f>
        <v>1500m</v>
      </c>
      <c r="M2042" s="14" t="n">
        <f aca="false">(D2042&lt;&gt;"")*(D2042&lt;=($E$3*60+$F$3)/86400)+(F2042&lt;&gt;"")*(F2042&lt;=($I$3*60+$J$3)/86400)+(H2042&lt;&gt;"")*(H2042&lt;=($M$3*60+$N$3)/86400)</f>
        <v>0</v>
      </c>
      <c r="N2042" s="16"/>
      <c r="O2042" s="15"/>
    </row>
    <row r="2043" customFormat="false" ht="25.35" hidden="false" customHeight="false" outlineLevel="0" collapsed="false">
      <c r="A2043" s="9" t="n">
        <v>2037</v>
      </c>
      <c r="B2043" s="10" t="s">
        <v>2902</v>
      </c>
      <c r="C2043" s="10" t="s">
        <v>2903</v>
      </c>
      <c r="D2043" s="11"/>
      <c r="E2043" s="12"/>
      <c r="F2043" s="11" t="n">
        <v>0.00759189814814815</v>
      </c>
      <c r="G2043" s="12" t="n">
        <v>988</v>
      </c>
      <c r="H2043" s="11"/>
      <c r="I2043" s="12"/>
      <c r="J2043" s="12" t="n">
        <f aca="false">COUNT(E2043,G2043,I2043)</f>
        <v>1</v>
      </c>
      <c r="K2043" s="13" t="n">
        <f aca="false">MIN(E2043,G2043,I2043)</f>
        <v>988</v>
      </c>
      <c r="L2043" s="9" t="str">
        <f aca="false">IF(E2043=K2043,"5000m",IF(G2043=K2043,"3000mSC","1500m"))</f>
        <v>3000mSC</v>
      </c>
      <c r="M2043" s="14" t="n">
        <f aca="false">(D2043&lt;&gt;"")*(D2043&lt;=($E$3*60+$F$3)/86400)+(F2043&lt;&gt;"")*(F2043&lt;=($I$3*60+$J$3)/86400)+(H2043&lt;&gt;"")*(H2043&lt;=($M$3*60+$N$3)/86400)</f>
        <v>0</v>
      </c>
      <c r="N2043" s="16"/>
      <c r="O2043" s="15"/>
    </row>
    <row r="2044" customFormat="false" ht="15" hidden="false" customHeight="false" outlineLevel="0" collapsed="false">
      <c r="A2044" s="9" t="n">
        <v>2038</v>
      </c>
      <c r="B2044" s="10" t="s">
        <v>2904</v>
      </c>
      <c r="C2044" s="10" t="s">
        <v>603</v>
      </c>
      <c r="D2044" s="11" t="n">
        <v>0.0109439814814815</v>
      </c>
      <c r="E2044" s="12" t="n">
        <v>989</v>
      </c>
      <c r="F2044" s="11"/>
      <c r="G2044" s="12"/>
      <c r="H2044" s="11" t="n">
        <v>0.00294479166666667</v>
      </c>
      <c r="I2044" s="12" t="n">
        <v>1216</v>
      </c>
      <c r="J2044" s="12" t="n">
        <f aca="false">COUNT(E2044,G2044,I2044)</f>
        <v>2</v>
      </c>
      <c r="K2044" s="13" t="n">
        <f aca="false">MIN(E2044,G2044,I2044)</f>
        <v>989</v>
      </c>
      <c r="L2044" s="9" t="str">
        <f aca="false">IF(E2044=K2044,"5000m",IF(G2044=K2044,"3000mSC","1500m"))</f>
        <v>5000m</v>
      </c>
      <c r="M2044" s="14" t="n">
        <f aca="false">(D2044&lt;&gt;"")*(D2044&lt;=($E$3*60+$F$3)/86400)+(F2044&lt;&gt;"")*(F2044&lt;=($I$3*60+$J$3)/86400)+(H2044&lt;&gt;"")*(H2044&lt;=($M$3*60+$N$3)/86400)</f>
        <v>0</v>
      </c>
      <c r="N2044" s="16"/>
      <c r="O2044" s="15"/>
    </row>
    <row r="2045" customFormat="false" ht="25.35" hidden="false" customHeight="false" outlineLevel="0" collapsed="false">
      <c r="A2045" s="9" t="n">
        <v>2039</v>
      </c>
      <c r="B2045" s="10" t="s">
        <v>2905</v>
      </c>
      <c r="C2045" s="10" t="s">
        <v>2906</v>
      </c>
      <c r="D2045" s="11"/>
      <c r="E2045" s="12"/>
      <c r="F2045" s="11" t="n">
        <v>0.00759305555555556</v>
      </c>
      <c r="G2045" s="12" t="n">
        <v>989</v>
      </c>
      <c r="H2045" s="11"/>
      <c r="I2045" s="12"/>
      <c r="J2045" s="12" t="n">
        <f aca="false">COUNT(E2045,G2045,I2045)</f>
        <v>1</v>
      </c>
      <c r="K2045" s="13" t="n">
        <f aca="false">MIN(E2045,G2045,I2045)</f>
        <v>989</v>
      </c>
      <c r="L2045" s="9" t="str">
        <f aca="false">IF(E2045=K2045,"5000m",IF(G2045=K2045,"3000mSC","1500m"))</f>
        <v>3000mSC</v>
      </c>
      <c r="M2045" s="14" t="n">
        <f aca="false">(D2045&lt;&gt;"")*(D2045&lt;=($E$3*60+$F$3)/86400)+(F2045&lt;&gt;"")*(F2045&lt;=($I$3*60+$J$3)/86400)+(H2045&lt;&gt;"")*(H2045&lt;=($M$3*60+$N$3)/86400)</f>
        <v>0</v>
      </c>
      <c r="N2045" s="16"/>
      <c r="O2045" s="15"/>
    </row>
    <row r="2046" customFormat="false" ht="15" hidden="false" customHeight="false" outlineLevel="0" collapsed="false">
      <c r="A2046" s="9" t="n">
        <v>2040</v>
      </c>
      <c r="B2046" s="10" t="s">
        <v>2907</v>
      </c>
      <c r="C2046" s="10" t="s">
        <v>2908</v>
      </c>
      <c r="D2046" s="11"/>
      <c r="E2046" s="12"/>
      <c r="F2046" s="11"/>
      <c r="G2046" s="12"/>
      <c r="H2046" s="11" t="n">
        <v>0.00290601851851852</v>
      </c>
      <c r="I2046" s="12" t="n">
        <v>989</v>
      </c>
      <c r="J2046" s="12" t="n">
        <f aca="false">COUNT(E2046,G2046,I2046)</f>
        <v>1</v>
      </c>
      <c r="K2046" s="13" t="n">
        <f aca="false">MIN(E2046,G2046,I2046)</f>
        <v>989</v>
      </c>
      <c r="L2046" s="9" t="str">
        <f aca="false">IF(E2046=K2046,"5000m",IF(G2046=K2046,"3000mSC","1500m"))</f>
        <v>1500m</v>
      </c>
      <c r="M2046" s="14" t="n">
        <f aca="false">(D2046&lt;&gt;"")*(D2046&lt;=($E$3*60+$F$3)/86400)+(F2046&lt;&gt;"")*(F2046&lt;=($I$3*60+$J$3)/86400)+(H2046&lt;&gt;"")*(H2046&lt;=($M$3*60+$N$3)/86400)</f>
        <v>0</v>
      </c>
      <c r="N2046" s="16"/>
      <c r="O2046" s="15"/>
    </row>
    <row r="2047" customFormat="false" ht="15" hidden="false" customHeight="false" outlineLevel="0" collapsed="false">
      <c r="A2047" s="9" t="n">
        <v>2041</v>
      </c>
      <c r="B2047" s="10" t="s">
        <v>2909</v>
      </c>
      <c r="C2047" s="10" t="s">
        <v>64</v>
      </c>
      <c r="D2047" s="11" t="n">
        <v>0.0109440972222222</v>
      </c>
      <c r="E2047" s="12" t="n">
        <v>990</v>
      </c>
      <c r="F2047" s="11"/>
      <c r="G2047" s="12"/>
      <c r="H2047" s="11"/>
      <c r="I2047" s="12"/>
      <c r="J2047" s="12" t="n">
        <f aca="false">COUNT(E2047,G2047,I2047)</f>
        <v>1</v>
      </c>
      <c r="K2047" s="13" t="n">
        <f aca="false">MIN(E2047,G2047,I2047)</f>
        <v>990</v>
      </c>
      <c r="L2047" s="9" t="str">
        <f aca="false">IF(E2047=K2047,"5000m",IF(G2047=K2047,"3000mSC","1500m"))</f>
        <v>5000m</v>
      </c>
      <c r="M2047" s="14" t="n">
        <f aca="false">(D2047&lt;&gt;"")*(D2047&lt;=($E$3*60+$F$3)/86400)+(F2047&lt;&gt;"")*(F2047&lt;=($I$3*60+$J$3)/86400)+(H2047&lt;&gt;"")*(H2047&lt;=($M$3*60+$N$3)/86400)</f>
        <v>0</v>
      </c>
      <c r="N2047" s="16"/>
      <c r="O2047" s="15"/>
    </row>
    <row r="2048" customFormat="false" ht="25.35" hidden="false" customHeight="false" outlineLevel="0" collapsed="false">
      <c r="A2048" s="9" t="n">
        <v>2042</v>
      </c>
      <c r="B2048" s="10" t="s">
        <v>2910</v>
      </c>
      <c r="C2048" s="10" t="s">
        <v>2911</v>
      </c>
      <c r="D2048" s="11"/>
      <c r="E2048" s="12"/>
      <c r="F2048" s="11" t="n">
        <v>0.0075931712962963</v>
      </c>
      <c r="G2048" s="12" t="n">
        <v>990</v>
      </c>
      <c r="H2048" s="11"/>
      <c r="I2048" s="12"/>
      <c r="J2048" s="12" t="n">
        <f aca="false">COUNT(E2048,G2048,I2048)</f>
        <v>1</v>
      </c>
      <c r="K2048" s="13" t="n">
        <f aca="false">MIN(E2048,G2048,I2048)</f>
        <v>990</v>
      </c>
      <c r="L2048" s="9" t="str">
        <f aca="false">IF(E2048=K2048,"5000m",IF(G2048=K2048,"3000mSC","1500m"))</f>
        <v>3000mSC</v>
      </c>
      <c r="M2048" s="14" t="n">
        <f aca="false">(D2048&lt;&gt;"")*(D2048&lt;=($E$3*60+$F$3)/86400)+(F2048&lt;&gt;"")*(F2048&lt;=($I$3*60+$J$3)/86400)+(H2048&lt;&gt;"")*(H2048&lt;=($M$3*60+$N$3)/86400)</f>
        <v>0</v>
      </c>
      <c r="N2048" s="16"/>
      <c r="O2048" s="15"/>
    </row>
    <row r="2049" customFormat="false" ht="15" hidden="false" customHeight="false" outlineLevel="0" collapsed="false">
      <c r="A2049" s="9" t="n">
        <v>2043</v>
      </c>
      <c r="B2049" s="10" t="s">
        <v>2912</v>
      </c>
      <c r="C2049" s="10" t="s">
        <v>567</v>
      </c>
      <c r="D2049" s="11" t="n">
        <v>0.0109445601851852</v>
      </c>
      <c r="E2049" s="12" t="n">
        <v>991</v>
      </c>
      <c r="F2049" s="11"/>
      <c r="G2049" s="12"/>
      <c r="H2049" s="11"/>
      <c r="I2049" s="12"/>
      <c r="J2049" s="12" t="n">
        <f aca="false">COUNT(E2049,G2049,I2049)</f>
        <v>1</v>
      </c>
      <c r="K2049" s="13" t="n">
        <f aca="false">MIN(E2049,G2049,I2049)</f>
        <v>991</v>
      </c>
      <c r="L2049" s="9" t="str">
        <f aca="false">IF(E2049=K2049,"5000m",IF(G2049=K2049,"3000mSC","1500m"))</f>
        <v>5000m</v>
      </c>
      <c r="M2049" s="14" t="n">
        <f aca="false">(D2049&lt;&gt;"")*(D2049&lt;=($E$3*60+$F$3)/86400)+(F2049&lt;&gt;"")*(F2049&lt;=($I$3*60+$J$3)/86400)+(H2049&lt;&gt;"")*(H2049&lt;=($M$3*60+$N$3)/86400)</f>
        <v>0</v>
      </c>
      <c r="N2049" s="16"/>
      <c r="O2049" s="15"/>
    </row>
    <row r="2050" customFormat="false" ht="25.35" hidden="false" customHeight="false" outlineLevel="0" collapsed="false">
      <c r="A2050" s="9" t="n">
        <v>2044</v>
      </c>
      <c r="B2050" s="10" t="s">
        <v>2913</v>
      </c>
      <c r="C2050" s="10" t="s">
        <v>2914</v>
      </c>
      <c r="D2050" s="11"/>
      <c r="E2050" s="12"/>
      <c r="F2050" s="11" t="n">
        <v>0.00759328703703704</v>
      </c>
      <c r="G2050" s="12" t="n">
        <v>991</v>
      </c>
      <c r="H2050" s="11"/>
      <c r="I2050" s="12"/>
      <c r="J2050" s="12" t="n">
        <f aca="false">COUNT(E2050,G2050,I2050)</f>
        <v>1</v>
      </c>
      <c r="K2050" s="13" t="n">
        <f aca="false">MIN(E2050,G2050,I2050)</f>
        <v>991</v>
      </c>
      <c r="L2050" s="9" t="str">
        <f aca="false">IF(E2050=K2050,"5000m",IF(G2050=K2050,"3000mSC","1500m"))</f>
        <v>3000mSC</v>
      </c>
      <c r="M2050" s="14" t="n">
        <f aca="false">(D2050&lt;&gt;"")*(D2050&lt;=($E$3*60+$F$3)/86400)+(F2050&lt;&gt;"")*(F2050&lt;=($I$3*60+$J$3)/86400)+(H2050&lt;&gt;"")*(H2050&lt;=($M$3*60+$N$3)/86400)</f>
        <v>0</v>
      </c>
      <c r="N2050" s="16"/>
      <c r="O2050" s="15"/>
    </row>
    <row r="2051" customFormat="false" ht="15" hidden="false" customHeight="false" outlineLevel="0" collapsed="false">
      <c r="A2051" s="9" t="n">
        <v>2045</v>
      </c>
      <c r="B2051" s="10" t="s">
        <v>2915</v>
      </c>
      <c r="C2051" s="10" t="s">
        <v>141</v>
      </c>
      <c r="D2051" s="11" t="n">
        <v>0.0109471064814815</v>
      </c>
      <c r="E2051" s="12" t="n">
        <v>992</v>
      </c>
      <c r="F2051" s="11"/>
      <c r="G2051" s="12"/>
      <c r="H2051" s="11"/>
      <c r="I2051" s="12"/>
      <c r="J2051" s="12" t="n">
        <f aca="false">COUNT(E2051,G2051,I2051)</f>
        <v>1</v>
      </c>
      <c r="K2051" s="13" t="n">
        <f aca="false">MIN(E2051,G2051,I2051)</f>
        <v>992</v>
      </c>
      <c r="L2051" s="9" t="str">
        <f aca="false">IF(E2051=K2051,"5000m",IF(G2051=K2051,"3000mSC","1500m"))</f>
        <v>5000m</v>
      </c>
      <c r="M2051" s="14" t="n">
        <f aca="false">(D2051&lt;&gt;"")*(D2051&lt;=($E$3*60+$F$3)/86400)+(F2051&lt;&gt;"")*(F2051&lt;=($I$3*60+$J$3)/86400)+(H2051&lt;&gt;"")*(H2051&lt;=($M$3*60+$N$3)/86400)</f>
        <v>0</v>
      </c>
      <c r="N2051" s="16"/>
      <c r="O2051" s="15"/>
    </row>
    <row r="2052" customFormat="false" ht="25.35" hidden="false" customHeight="false" outlineLevel="0" collapsed="false">
      <c r="A2052" s="9" t="n">
        <v>2046</v>
      </c>
      <c r="B2052" s="10" t="s">
        <v>2916</v>
      </c>
      <c r="C2052" s="10" t="s">
        <v>2917</v>
      </c>
      <c r="D2052" s="11"/>
      <c r="E2052" s="12"/>
      <c r="F2052" s="11" t="n">
        <v>0.00759328703703704</v>
      </c>
      <c r="G2052" s="12" t="n">
        <v>992</v>
      </c>
      <c r="H2052" s="11"/>
      <c r="I2052" s="12"/>
      <c r="J2052" s="12" t="n">
        <f aca="false">COUNT(E2052,G2052,I2052)</f>
        <v>1</v>
      </c>
      <c r="K2052" s="13" t="n">
        <f aca="false">MIN(E2052,G2052,I2052)</f>
        <v>992</v>
      </c>
      <c r="L2052" s="9" t="str">
        <f aca="false">IF(E2052=K2052,"5000m",IF(G2052=K2052,"3000mSC","1500m"))</f>
        <v>3000mSC</v>
      </c>
      <c r="M2052" s="14" t="n">
        <f aca="false">(D2052&lt;&gt;"")*(D2052&lt;=($E$3*60+$F$3)/86400)+(F2052&lt;&gt;"")*(F2052&lt;=($I$3*60+$J$3)/86400)+(H2052&lt;&gt;"")*(H2052&lt;=($M$3*60+$N$3)/86400)</f>
        <v>0</v>
      </c>
      <c r="N2052" s="16"/>
      <c r="O2052" s="15"/>
    </row>
    <row r="2053" customFormat="false" ht="25.35" hidden="false" customHeight="false" outlineLevel="0" collapsed="false">
      <c r="A2053" s="9" t="n">
        <v>2047</v>
      </c>
      <c r="B2053" s="10" t="s">
        <v>2918</v>
      </c>
      <c r="C2053" s="10" t="s">
        <v>2919</v>
      </c>
      <c r="D2053" s="11"/>
      <c r="E2053" s="12"/>
      <c r="F2053" s="11" t="n">
        <v>0.00759479166666667</v>
      </c>
      <c r="G2053" s="12" t="n">
        <v>993</v>
      </c>
      <c r="H2053" s="11"/>
      <c r="I2053" s="12"/>
      <c r="J2053" s="12" t="n">
        <f aca="false">COUNT(E2053,G2053,I2053)</f>
        <v>1</v>
      </c>
      <c r="K2053" s="13" t="n">
        <f aca="false">MIN(E2053,G2053,I2053)</f>
        <v>993</v>
      </c>
      <c r="L2053" s="9" t="str">
        <f aca="false">IF(E2053=K2053,"5000m",IF(G2053=K2053,"3000mSC","1500m"))</f>
        <v>3000mSC</v>
      </c>
      <c r="M2053" s="14" t="n">
        <f aca="false">(D2053&lt;&gt;"")*(D2053&lt;=($E$3*60+$F$3)/86400)+(F2053&lt;&gt;"")*(F2053&lt;=($I$3*60+$J$3)/86400)+(H2053&lt;&gt;"")*(H2053&lt;=($M$3*60+$N$3)/86400)</f>
        <v>0</v>
      </c>
      <c r="N2053" s="16"/>
      <c r="O2053" s="15"/>
    </row>
    <row r="2054" customFormat="false" ht="25.35" hidden="false" customHeight="false" outlineLevel="0" collapsed="false">
      <c r="A2054" s="9" t="n">
        <v>2048</v>
      </c>
      <c r="B2054" s="10" t="s">
        <v>2920</v>
      </c>
      <c r="C2054" s="10" t="s">
        <v>2921</v>
      </c>
      <c r="D2054" s="11"/>
      <c r="E2054" s="12"/>
      <c r="F2054" s="11" t="n">
        <v>0.00759895833333333</v>
      </c>
      <c r="G2054" s="12" t="n">
        <v>994</v>
      </c>
      <c r="H2054" s="11"/>
      <c r="I2054" s="12"/>
      <c r="J2054" s="12" t="n">
        <f aca="false">COUNT(E2054,G2054,I2054)</f>
        <v>1</v>
      </c>
      <c r="K2054" s="13" t="n">
        <f aca="false">MIN(E2054,G2054,I2054)</f>
        <v>994</v>
      </c>
      <c r="L2054" s="9" t="str">
        <f aca="false">IF(E2054=K2054,"5000m",IF(G2054=K2054,"3000mSC","1500m"))</f>
        <v>3000mSC</v>
      </c>
      <c r="M2054" s="14" t="n">
        <f aca="false">(D2054&lt;&gt;"")*(D2054&lt;=($E$3*60+$F$3)/86400)+(F2054&lt;&gt;"")*(F2054&lt;=($I$3*60+$J$3)/86400)+(H2054&lt;&gt;"")*(H2054&lt;=($M$3*60+$N$3)/86400)</f>
        <v>0</v>
      </c>
      <c r="N2054" s="16"/>
      <c r="O2054" s="15"/>
    </row>
    <row r="2055" customFormat="false" ht="15" hidden="false" customHeight="false" outlineLevel="0" collapsed="false">
      <c r="A2055" s="9" t="n">
        <v>2049</v>
      </c>
      <c r="B2055" s="10" t="s">
        <v>2922</v>
      </c>
      <c r="C2055" s="10" t="s">
        <v>2923</v>
      </c>
      <c r="D2055" s="11"/>
      <c r="E2055" s="12"/>
      <c r="F2055" s="11"/>
      <c r="G2055" s="12"/>
      <c r="H2055" s="11" t="n">
        <v>0.00290659722222222</v>
      </c>
      <c r="I2055" s="12" t="n">
        <v>994</v>
      </c>
      <c r="J2055" s="12" t="n">
        <f aca="false">COUNT(E2055,G2055,I2055)</f>
        <v>1</v>
      </c>
      <c r="K2055" s="13" t="n">
        <f aca="false">MIN(E2055,G2055,I2055)</f>
        <v>994</v>
      </c>
      <c r="L2055" s="9" t="str">
        <f aca="false">IF(E2055=K2055,"5000m",IF(G2055=K2055,"3000mSC","1500m"))</f>
        <v>1500m</v>
      </c>
      <c r="M2055" s="14" t="n">
        <f aca="false">(D2055&lt;&gt;"")*(D2055&lt;=($E$3*60+$F$3)/86400)+(F2055&lt;&gt;"")*(F2055&lt;=($I$3*60+$J$3)/86400)+(H2055&lt;&gt;"")*(H2055&lt;=($M$3*60+$N$3)/86400)</f>
        <v>0</v>
      </c>
      <c r="N2055" s="16"/>
      <c r="O2055" s="15"/>
    </row>
    <row r="2056" customFormat="false" ht="25.35" hidden="false" customHeight="false" outlineLevel="0" collapsed="false">
      <c r="A2056" s="9" t="n">
        <v>2050</v>
      </c>
      <c r="B2056" s="10" t="s">
        <v>2924</v>
      </c>
      <c r="C2056" s="10" t="s">
        <v>2925</v>
      </c>
      <c r="D2056" s="11"/>
      <c r="E2056" s="12"/>
      <c r="F2056" s="11" t="n">
        <v>0.00759953703703704</v>
      </c>
      <c r="G2056" s="12" t="n">
        <v>995</v>
      </c>
      <c r="H2056" s="11"/>
      <c r="I2056" s="12"/>
      <c r="J2056" s="12" t="n">
        <f aca="false">COUNT(E2056,G2056,I2056)</f>
        <v>1</v>
      </c>
      <c r="K2056" s="13" t="n">
        <f aca="false">MIN(E2056,G2056,I2056)</f>
        <v>995</v>
      </c>
      <c r="L2056" s="9" t="str">
        <f aca="false">IF(E2056=K2056,"5000m",IF(G2056=K2056,"3000mSC","1500m"))</f>
        <v>3000mSC</v>
      </c>
      <c r="M2056" s="14" t="n">
        <f aca="false">(D2056&lt;&gt;"")*(D2056&lt;=($E$3*60+$F$3)/86400)+(F2056&lt;&gt;"")*(F2056&lt;=($I$3*60+$J$3)/86400)+(H2056&lt;&gt;"")*(H2056&lt;=($M$3*60+$N$3)/86400)</f>
        <v>0</v>
      </c>
      <c r="N2056" s="16"/>
      <c r="O2056" s="15"/>
    </row>
    <row r="2057" customFormat="false" ht="25.35" hidden="false" customHeight="false" outlineLevel="0" collapsed="false">
      <c r="A2057" s="9" t="n">
        <v>2051</v>
      </c>
      <c r="B2057" s="10" t="s">
        <v>2926</v>
      </c>
      <c r="C2057" s="10" t="s">
        <v>2309</v>
      </c>
      <c r="D2057" s="11"/>
      <c r="E2057" s="12"/>
      <c r="F2057" s="11" t="n">
        <v>0.00760289351851852</v>
      </c>
      <c r="G2057" s="12" t="n">
        <v>996</v>
      </c>
      <c r="H2057" s="11"/>
      <c r="I2057" s="12"/>
      <c r="J2057" s="12" t="n">
        <f aca="false">COUNT(E2057,G2057,I2057)</f>
        <v>1</v>
      </c>
      <c r="K2057" s="13" t="n">
        <f aca="false">MIN(E2057,G2057,I2057)</f>
        <v>996</v>
      </c>
      <c r="L2057" s="9" t="str">
        <f aca="false">IF(E2057=K2057,"5000m",IF(G2057=K2057,"3000mSC","1500m"))</f>
        <v>3000mSC</v>
      </c>
      <c r="M2057" s="14" t="n">
        <f aca="false">(D2057&lt;&gt;"")*(D2057&lt;=($E$3*60+$F$3)/86400)+(F2057&lt;&gt;"")*(F2057&lt;=($I$3*60+$J$3)/86400)+(H2057&lt;&gt;"")*(H2057&lt;=($M$3*60+$N$3)/86400)</f>
        <v>0</v>
      </c>
      <c r="N2057" s="16"/>
      <c r="O2057" s="15"/>
    </row>
    <row r="2058" customFormat="false" ht="15" hidden="false" customHeight="false" outlineLevel="0" collapsed="false">
      <c r="A2058" s="9" t="n">
        <v>2052</v>
      </c>
      <c r="B2058" s="10" t="s">
        <v>2927</v>
      </c>
      <c r="C2058" s="10" t="s">
        <v>105</v>
      </c>
      <c r="D2058" s="11" t="n">
        <v>0.0109490740740741</v>
      </c>
      <c r="E2058" s="12" t="n">
        <v>997</v>
      </c>
      <c r="F2058" s="11"/>
      <c r="G2058" s="12"/>
      <c r="H2058" s="11"/>
      <c r="I2058" s="12"/>
      <c r="J2058" s="12" t="n">
        <f aca="false">COUNT(E2058,G2058,I2058)</f>
        <v>1</v>
      </c>
      <c r="K2058" s="13" t="n">
        <f aca="false">MIN(E2058,G2058,I2058)</f>
        <v>997</v>
      </c>
      <c r="L2058" s="9" t="str">
        <f aca="false">IF(E2058=K2058,"5000m",IF(G2058=K2058,"3000mSC","1500m"))</f>
        <v>5000m</v>
      </c>
      <c r="M2058" s="14" t="n">
        <f aca="false">(D2058&lt;&gt;"")*(D2058&lt;=($E$3*60+$F$3)/86400)+(F2058&lt;&gt;"")*(F2058&lt;=($I$3*60+$J$3)/86400)+(H2058&lt;&gt;"")*(H2058&lt;=($M$3*60+$N$3)/86400)</f>
        <v>0</v>
      </c>
      <c r="N2058" s="16"/>
      <c r="O2058" s="15"/>
    </row>
    <row r="2059" customFormat="false" ht="25.35" hidden="false" customHeight="false" outlineLevel="0" collapsed="false">
      <c r="A2059" s="9" t="n">
        <v>2053</v>
      </c>
      <c r="B2059" s="10" t="s">
        <v>2928</v>
      </c>
      <c r="C2059" s="10" t="s">
        <v>1286</v>
      </c>
      <c r="D2059" s="11"/>
      <c r="E2059" s="12"/>
      <c r="F2059" s="11" t="n">
        <v>0.00760613425925926</v>
      </c>
      <c r="G2059" s="12" t="n">
        <v>997</v>
      </c>
      <c r="H2059" s="11"/>
      <c r="I2059" s="12"/>
      <c r="J2059" s="12" t="n">
        <f aca="false">COUNT(E2059,G2059,I2059)</f>
        <v>1</v>
      </c>
      <c r="K2059" s="13" t="n">
        <f aca="false">MIN(E2059,G2059,I2059)</f>
        <v>997</v>
      </c>
      <c r="L2059" s="9" t="str">
        <f aca="false">IF(E2059=K2059,"5000m",IF(G2059=K2059,"3000mSC","1500m"))</f>
        <v>3000mSC</v>
      </c>
      <c r="M2059" s="14" t="n">
        <f aca="false">(D2059&lt;&gt;"")*(D2059&lt;=($E$3*60+$F$3)/86400)+(F2059&lt;&gt;"")*(F2059&lt;=($I$3*60+$J$3)/86400)+(H2059&lt;&gt;"")*(H2059&lt;=($M$3*60+$N$3)/86400)</f>
        <v>0</v>
      </c>
      <c r="N2059" s="16"/>
      <c r="O2059" s="15"/>
    </row>
    <row r="2060" customFormat="false" ht="15" hidden="false" customHeight="false" outlineLevel="0" collapsed="false">
      <c r="A2060" s="9" t="n">
        <v>2054</v>
      </c>
      <c r="B2060" s="10" t="s">
        <v>2929</v>
      </c>
      <c r="C2060" s="10" t="s">
        <v>2930</v>
      </c>
      <c r="D2060" s="11" t="n">
        <v>0.0109534722222222</v>
      </c>
      <c r="E2060" s="12" t="n">
        <v>1009</v>
      </c>
      <c r="F2060" s="11"/>
      <c r="G2060" s="12"/>
      <c r="H2060" s="11" t="n">
        <v>0.00290775462962963</v>
      </c>
      <c r="I2060" s="12" t="n">
        <v>998</v>
      </c>
      <c r="J2060" s="12" t="n">
        <f aca="false">COUNT(E2060,G2060,I2060)</f>
        <v>2</v>
      </c>
      <c r="K2060" s="13" t="n">
        <f aca="false">MIN(E2060,G2060,I2060)</f>
        <v>998</v>
      </c>
      <c r="L2060" s="9" t="str">
        <f aca="false">IF(E2060=K2060,"5000m",IF(G2060=K2060,"3000mSC","1500m"))</f>
        <v>1500m</v>
      </c>
      <c r="M2060" s="14" t="n">
        <f aca="false">(D2060&lt;&gt;"")*(D2060&lt;=($E$3*60+$F$3)/86400)+(F2060&lt;&gt;"")*(F2060&lt;=($I$3*60+$J$3)/86400)+(H2060&lt;&gt;"")*(H2060&lt;=($M$3*60+$N$3)/86400)</f>
        <v>0</v>
      </c>
      <c r="N2060" s="16"/>
      <c r="O2060" s="15"/>
    </row>
    <row r="2061" customFormat="false" ht="15" hidden="false" customHeight="false" outlineLevel="0" collapsed="false">
      <c r="A2061" s="9" t="n">
        <v>2055</v>
      </c>
      <c r="B2061" s="10" t="s">
        <v>2931</v>
      </c>
      <c r="C2061" s="10" t="s">
        <v>95</v>
      </c>
      <c r="D2061" s="11" t="n">
        <v>0.0109494212962963</v>
      </c>
      <c r="E2061" s="12" t="n">
        <v>998</v>
      </c>
      <c r="F2061" s="11"/>
      <c r="G2061" s="12"/>
      <c r="H2061" s="11"/>
      <c r="I2061" s="12"/>
      <c r="J2061" s="12" t="n">
        <f aca="false">COUNT(E2061,G2061,I2061)</f>
        <v>1</v>
      </c>
      <c r="K2061" s="13" t="n">
        <f aca="false">MIN(E2061,G2061,I2061)</f>
        <v>998</v>
      </c>
      <c r="L2061" s="9" t="str">
        <f aca="false">IF(E2061=K2061,"5000m",IF(G2061=K2061,"3000mSC","1500m"))</f>
        <v>5000m</v>
      </c>
      <c r="M2061" s="14" t="n">
        <f aca="false">(D2061&lt;&gt;"")*(D2061&lt;=($E$3*60+$F$3)/86400)+(F2061&lt;&gt;"")*(F2061&lt;=($I$3*60+$J$3)/86400)+(H2061&lt;&gt;"")*(H2061&lt;=($M$3*60+$N$3)/86400)</f>
        <v>0</v>
      </c>
      <c r="N2061" s="16"/>
      <c r="O2061" s="15"/>
    </row>
    <row r="2062" customFormat="false" ht="25.35" hidden="false" customHeight="false" outlineLevel="0" collapsed="false">
      <c r="A2062" s="9" t="n">
        <v>2056</v>
      </c>
      <c r="B2062" s="10" t="s">
        <v>2932</v>
      </c>
      <c r="C2062" s="10" t="s">
        <v>2171</v>
      </c>
      <c r="D2062" s="11"/>
      <c r="E2062" s="12"/>
      <c r="F2062" s="11" t="n">
        <v>0.0076068287037037</v>
      </c>
      <c r="G2062" s="12" t="n">
        <v>998</v>
      </c>
      <c r="H2062" s="11"/>
      <c r="I2062" s="12"/>
      <c r="J2062" s="12" t="n">
        <f aca="false">COUNT(E2062,G2062,I2062)</f>
        <v>1</v>
      </c>
      <c r="K2062" s="13" t="n">
        <f aca="false">MIN(E2062,G2062,I2062)</f>
        <v>998</v>
      </c>
      <c r="L2062" s="9" t="str">
        <f aca="false">IF(E2062=K2062,"5000m",IF(G2062=K2062,"3000mSC","1500m"))</f>
        <v>3000mSC</v>
      </c>
      <c r="M2062" s="14" t="n">
        <f aca="false">(D2062&lt;&gt;"")*(D2062&lt;=($E$3*60+$F$3)/86400)+(F2062&lt;&gt;"")*(F2062&lt;=($I$3*60+$J$3)/86400)+(H2062&lt;&gt;"")*(H2062&lt;=($M$3*60+$N$3)/86400)</f>
        <v>0</v>
      </c>
      <c r="N2062" s="16"/>
      <c r="O2062" s="15"/>
    </row>
    <row r="2063" customFormat="false" ht="25.35" hidden="false" customHeight="false" outlineLevel="0" collapsed="false">
      <c r="A2063" s="9" t="n">
        <v>2057</v>
      </c>
      <c r="B2063" s="10" t="s">
        <v>2933</v>
      </c>
      <c r="C2063" s="10" t="s">
        <v>1395</v>
      </c>
      <c r="D2063" s="11"/>
      <c r="E2063" s="12"/>
      <c r="F2063" s="11" t="n">
        <v>0.00760740740740741</v>
      </c>
      <c r="G2063" s="12" t="n">
        <v>999</v>
      </c>
      <c r="H2063" s="11"/>
      <c r="I2063" s="12"/>
      <c r="J2063" s="12" t="n">
        <f aca="false">COUNT(E2063,G2063,I2063)</f>
        <v>1</v>
      </c>
      <c r="K2063" s="13" t="n">
        <f aca="false">MIN(E2063,G2063,I2063)</f>
        <v>999</v>
      </c>
      <c r="L2063" s="9" t="str">
        <f aca="false">IF(E2063=K2063,"5000m",IF(G2063=K2063,"3000mSC","1500m"))</f>
        <v>3000mSC</v>
      </c>
      <c r="M2063" s="14" t="n">
        <f aca="false">(D2063&lt;&gt;"")*(D2063&lt;=($E$3*60+$F$3)/86400)+(F2063&lt;&gt;"")*(F2063&lt;=($I$3*60+$J$3)/86400)+(H2063&lt;&gt;"")*(H2063&lt;=($M$3*60+$N$3)/86400)</f>
        <v>0</v>
      </c>
      <c r="N2063" s="16"/>
      <c r="O2063" s="15"/>
    </row>
    <row r="2064" customFormat="false" ht="15" hidden="false" customHeight="false" outlineLevel="0" collapsed="false">
      <c r="A2064" s="9" t="n">
        <v>2058</v>
      </c>
      <c r="B2064" s="10" t="s">
        <v>2934</v>
      </c>
      <c r="C2064" s="10" t="s">
        <v>103</v>
      </c>
      <c r="D2064" s="11" t="n">
        <v>0.0109497685185185</v>
      </c>
      <c r="E2064" s="12" t="n">
        <v>1000</v>
      </c>
      <c r="F2064" s="11"/>
      <c r="G2064" s="12"/>
      <c r="H2064" s="11"/>
      <c r="I2064" s="12"/>
      <c r="J2064" s="12" t="n">
        <f aca="false">COUNT(E2064,G2064,I2064)</f>
        <v>1</v>
      </c>
      <c r="K2064" s="13" t="n">
        <f aca="false">MIN(E2064,G2064,I2064)</f>
        <v>1000</v>
      </c>
      <c r="L2064" s="9" t="str">
        <f aca="false">IF(E2064=K2064,"5000m",IF(G2064=K2064,"3000mSC","1500m"))</f>
        <v>5000m</v>
      </c>
      <c r="M2064" s="14" t="n">
        <f aca="false">(D2064&lt;&gt;"")*(D2064&lt;=($E$3*60+$F$3)/86400)+(F2064&lt;&gt;"")*(F2064&lt;=($I$3*60+$J$3)/86400)+(H2064&lt;&gt;"")*(H2064&lt;=($M$3*60+$N$3)/86400)</f>
        <v>0</v>
      </c>
      <c r="N2064" s="16"/>
      <c r="O2064" s="15"/>
    </row>
    <row r="2065" customFormat="false" ht="25.35" hidden="false" customHeight="false" outlineLevel="0" collapsed="false">
      <c r="A2065" s="9" t="n">
        <v>2059</v>
      </c>
      <c r="B2065" s="10" t="s">
        <v>2935</v>
      </c>
      <c r="C2065" s="10" t="s">
        <v>43</v>
      </c>
      <c r="D2065" s="11"/>
      <c r="E2065" s="12"/>
      <c r="F2065" s="11" t="n">
        <v>0.00760763888888889</v>
      </c>
      <c r="G2065" s="12" t="n">
        <v>1000</v>
      </c>
      <c r="H2065" s="11"/>
      <c r="I2065" s="12"/>
      <c r="J2065" s="12" t="n">
        <f aca="false">COUNT(E2065,G2065,I2065)</f>
        <v>1</v>
      </c>
      <c r="K2065" s="13" t="n">
        <f aca="false">MIN(E2065,G2065,I2065)</f>
        <v>1000</v>
      </c>
      <c r="L2065" s="9" t="str">
        <f aca="false">IF(E2065=K2065,"5000m",IF(G2065=K2065,"3000mSC","1500m"))</f>
        <v>3000mSC</v>
      </c>
      <c r="M2065" s="14" t="n">
        <f aca="false">(D2065&lt;&gt;"")*(D2065&lt;=($E$3*60+$F$3)/86400)+(F2065&lt;&gt;"")*(F2065&lt;=($I$3*60+$J$3)/86400)+(H2065&lt;&gt;"")*(H2065&lt;=($M$3*60+$N$3)/86400)</f>
        <v>0</v>
      </c>
      <c r="N2065" s="16"/>
      <c r="O2065" s="15"/>
    </row>
    <row r="2066" customFormat="false" ht="15" hidden="false" customHeight="false" outlineLevel="0" collapsed="false">
      <c r="A2066" s="9" t="n">
        <v>2060</v>
      </c>
      <c r="B2066" s="10" t="s">
        <v>2936</v>
      </c>
      <c r="C2066" s="10" t="s">
        <v>2937</v>
      </c>
      <c r="D2066" s="11" t="n">
        <v>0.010950462962963</v>
      </c>
      <c r="E2066" s="12" t="n">
        <v>1001</v>
      </c>
      <c r="F2066" s="11"/>
      <c r="G2066" s="12"/>
      <c r="H2066" s="11"/>
      <c r="I2066" s="12"/>
      <c r="J2066" s="12" t="n">
        <f aca="false">COUNT(E2066,G2066,I2066)</f>
        <v>1</v>
      </c>
      <c r="K2066" s="13" t="n">
        <f aca="false">MIN(E2066,G2066,I2066)</f>
        <v>1001</v>
      </c>
      <c r="L2066" s="9" t="str">
        <f aca="false">IF(E2066=K2066,"5000m",IF(G2066=K2066,"3000mSC","1500m"))</f>
        <v>5000m</v>
      </c>
      <c r="M2066" s="14" t="n">
        <f aca="false">(D2066&lt;&gt;"")*(D2066&lt;=($E$3*60+$F$3)/86400)+(F2066&lt;&gt;"")*(F2066&lt;=($I$3*60+$J$3)/86400)+(H2066&lt;&gt;"")*(H2066&lt;=($M$3*60+$N$3)/86400)</f>
        <v>0</v>
      </c>
      <c r="N2066" s="16"/>
      <c r="O2066" s="15"/>
    </row>
    <row r="2067" customFormat="false" ht="25.35" hidden="false" customHeight="false" outlineLevel="0" collapsed="false">
      <c r="A2067" s="9" t="n">
        <v>2061</v>
      </c>
      <c r="B2067" s="10" t="s">
        <v>2938</v>
      </c>
      <c r="C2067" s="10" t="s">
        <v>350</v>
      </c>
      <c r="D2067" s="11"/>
      <c r="E2067" s="12"/>
      <c r="F2067" s="11" t="n">
        <v>0.00760798611111111</v>
      </c>
      <c r="G2067" s="12" t="n">
        <v>1001</v>
      </c>
      <c r="H2067" s="11"/>
      <c r="I2067" s="12"/>
      <c r="J2067" s="12" t="n">
        <f aca="false">COUNT(E2067,G2067,I2067)</f>
        <v>1</v>
      </c>
      <c r="K2067" s="13" t="n">
        <f aca="false">MIN(E2067,G2067,I2067)</f>
        <v>1001</v>
      </c>
      <c r="L2067" s="9" t="str">
        <f aca="false">IF(E2067=K2067,"5000m",IF(G2067=K2067,"3000mSC","1500m"))</f>
        <v>3000mSC</v>
      </c>
      <c r="M2067" s="14" t="n">
        <f aca="false">(D2067&lt;&gt;"")*(D2067&lt;=($E$3*60+$F$3)/86400)+(F2067&lt;&gt;"")*(F2067&lt;=($I$3*60+$J$3)/86400)+(H2067&lt;&gt;"")*(H2067&lt;=($M$3*60+$N$3)/86400)</f>
        <v>0</v>
      </c>
      <c r="N2067" s="16"/>
      <c r="O2067" s="15"/>
    </row>
    <row r="2068" customFormat="false" ht="15" hidden="false" customHeight="false" outlineLevel="0" collapsed="false">
      <c r="A2068" s="9" t="n">
        <v>2062</v>
      </c>
      <c r="B2068" s="10" t="s">
        <v>2939</v>
      </c>
      <c r="C2068" s="10" t="s">
        <v>2940</v>
      </c>
      <c r="D2068" s="11"/>
      <c r="E2068" s="12"/>
      <c r="F2068" s="11"/>
      <c r="G2068" s="12"/>
      <c r="H2068" s="11" t="n">
        <v>0.00290798611111111</v>
      </c>
      <c r="I2068" s="12" t="n">
        <v>1001</v>
      </c>
      <c r="J2068" s="12" t="n">
        <f aca="false">COUNT(E2068,G2068,I2068)</f>
        <v>1</v>
      </c>
      <c r="K2068" s="13" t="n">
        <f aca="false">MIN(E2068,G2068,I2068)</f>
        <v>1001</v>
      </c>
      <c r="L2068" s="9" t="str">
        <f aca="false">IF(E2068=K2068,"5000m",IF(G2068=K2068,"3000mSC","1500m"))</f>
        <v>1500m</v>
      </c>
      <c r="M2068" s="14" t="n">
        <f aca="false">(D2068&lt;&gt;"")*(D2068&lt;=($E$3*60+$F$3)/86400)+(F2068&lt;&gt;"")*(F2068&lt;=($I$3*60+$J$3)/86400)+(H2068&lt;&gt;"")*(H2068&lt;=($M$3*60+$N$3)/86400)</f>
        <v>0</v>
      </c>
      <c r="N2068" s="16"/>
      <c r="O2068" s="15"/>
    </row>
    <row r="2069" customFormat="false" ht="15" hidden="false" customHeight="false" outlineLevel="0" collapsed="false">
      <c r="A2069" s="9" t="n">
        <v>2063</v>
      </c>
      <c r="B2069" s="10" t="s">
        <v>2941</v>
      </c>
      <c r="C2069" s="10" t="s">
        <v>2942</v>
      </c>
      <c r="D2069" s="11" t="n">
        <v>0.0109510416666667</v>
      </c>
      <c r="E2069" s="12" t="n">
        <v>1002</v>
      </c>
      <c r="F2069" s="11"/>
      <c r="G2069" s="12"/>
      <c r="H2069" s="11"/>
      <c r="I2069" s="12"/>
      <c r="J2069" s="12" t="n">
        <f aca="false">COUNT(E2069,G2069,I2069)</f>
        <v>1</v>
      </c>
      <c r="K2069" s="13" t="n">
        <f aca="false">MIN(E2069,G2069,I2069)</f>
        <v>1002</v>
      </c>
      <c r="L2069" s="9" t="str">
        <f aca="false">IF(E2069=K2069,"5000m",IF(G2069=K2069,"3000mSC","1500m"))</f>
        <v>5000m</v>
      </c>
      <c r="M2069" s="14" t="n">
        <f aca="false">(D2069&lt;&gt;"")*(D2069&lt;=($E$3*60+$F$3)/86400)+(F2069&lt;&gt;"")*(F2069&lt;=($I$3*60+$J$3)/86400)+(H2069&lt;&gt;"")*(H2069&lt;=($M$3*60+$N$3)/86400)</f>
        <v>0</v>
      </c>
      <c r="N2069" s="16"/>
      <c r="O2069" s="15"/>
    </row>
    <row r="2070" customFormat="false" ht="25.35" hidden="false" customHeight="false" outlineLevel="0" collapsed="false">
      <c r="A2070" s="9" t="n">
        <v>2064</v>
      </c>
      <c r="B2070" s="10" t="s">
        <v>2943</v>
      </c>
      <c r="C2070" s="10" t="s">
        <v>1975</v>
      </c>
      <c r="D2070" s="11"/>
      <c r="E2070" s="12"/>
      <c r="F2070" s="11" t="n">
        <v>0.00760821759259259</v>
      </c>
      <c r="G2070" s="12" t="n">
        <v>1002</v>
      </c>
      <c r="H2070" s="11"/>
      <c r="I2070" s="12"/>
      <c r="J2070" s="12" t="n">
        <f aca="false">COUNT(E2070,G2070,I2070)</f>
        <v>1</v>
      </c>
      <c r="K2070" s="13" t="n">
        <f aca="false">MIN(E2070,G2070,I2070)</f>
        <v>1002</v>
      </c>
      <c r="L2070" s="9" t="str">
        <f aca="false">IF(E2070=K2070,"5000m",IF(G2070=K2070,"3000mSC","1500m"))</f>
        <v>3000mSC</v>
      </c>
      <c r="M2070" s="14" t="n">
        <f aca="false">(D2070&lt;&gt;"")*(D2070&lt;=($E$3*60+$F$3)/86400)+(F2070&lt;&gt;"")*(F2070&lt;=($I$3*60+$J$3)/86400)+(H2070&lt;&gt;"")*(H2070&lt;=($M$3*60+$N$3)/86400)</f>
        <v>0</v>
      </c>
      <c r="N2070" s="16"/>
      <c r="O2070" s="15"/>
    </row>
    <row r="2071" customFormat="false" ht="15" hidden="false" customHeight="false" outlineLevel="0" collapsed="false">
      <c r="A2071" s="9" t="n">
        <v>2065</v>
      </c>
      <c r="B2071" s="10" t="s">
        <v>2944</v>
      </c>
      <c r="C2071" s="10" t="s">
        <v>1130</v>
      </c>
      <c r="D2071" s="11"/>
      <c r="E2071" s="12"/>
      <c r="F2071" s="11"/>
      <c r="G2071" s="12"/>
      <c r="H2071" s="11" t="n">
        <v>0.00290821759259259</v>
      </c>
      <c r="I2071" s="12" t="n">
        <v>1002</v>
      </c>
      <c r="J2071" s="12" t="n">
        <f aca="false">COUNT(E2071,G2071,I2071)</f>
        <v>1</v>
      </c>
      <c r="K2071" s="13" t="n">
        <f aca="false">MIN(E2071,G2071,I2071)</f>
        <v>1002</v>
      </c>
      <c r="L2071" s="9" t="str">
        <f aca="false">IF(E2071=K2071,"5000m",IF(G2071=K2071,"3000mSC","1500m"))</f>
        <v>1500m</v>
      </c>
      <c r="M2071" s="14" t="n">
        <f aca="false">(D2071&lt;&gt;"")*(D2071&lt;=($E$3*60+$F$3)/86400)+(F2071&lt;&gt;"")*(F2071&lt;=($I$3*60+$J$3)/86400)+(H2071&lt;&gt;"")*(H2071&lt;=($M$3*60+$N$3)/86400)</f>
        <v>0</v>
      </c>
      <c r="N2071" s="16"/>
      <c r="O2071" s="15"/>
    </row>
    <row r="2072" customFormat="false" ht="25.35" hidden="false" customHeight="false" outlineLevel="0" collapsed="false">
      <c r="A2072" s="9" t="n">
        <v>2066</v>
      </c>
      <c r="B2072" s="10" t="s">
        <v>2945</v>
      </c>
      <c r="C2072" s="10" t="s">
        <v>2221</v>
      </c>
      <c r="D2072" s="11"/>
      <c r="E2072" s="12"/>
      <c r="F2072" s="11" t="n">
        <v>0.00761168981481481</v>
      </c>
      <c r="G2072" s="12" t="n">
        <v>1003</v>
      </c>
      <c r="H2072" s="11"/>
      <c r="I2072" s="12"/>
      <c r="J2072" s="12" t="n">
        <f aca="false">COUNT(E2072,G2072,I2072)</f>
        <v>1</v>
      </c>
      <c r="K2072" s="13" t="n">
        <f aca="false">MIN(E2072,G2072,I2072)</f>
        <v>1003</v>
      </c>
      <c r="L2072" s="9" t="str">
        <f aca="false">IF(E2072=K2072,"5000m",IF(G2072=K2072,"3000mSC","1500m"))</f>
        <v>3000mSC</v>
      </c>
      <c r="M2072" s="14" t="n">
        <f aca="false">(D2072&lt;&gt;"")*(D2072&lt;=($E$3*60+$F$3)/86400)+(F2072&lt;&gt;"")*(F2072&lt;=($I$3*60+$J$3)/86400)+(H2072&lt;&gt;"")*(H2072&lt;=($M$3*60+$N$3)/86400)</f>
        <v>0</v>
      </c>
      <c r="N2072" s="16"/>
      <c r="O2072" s="15"/>
    </row>
    <row r="2073" customFormat="false" ht="15" hidden="false" customHeight="false" outlineLevel="0" collapsed="false">
      <c r="A2073" s="9" t="n">
        <v>2067</v>
      </c>
      <c r="B2073" s="10" t="s">
        <v>2946</v>
      </c>
      <c r="C2073" s="10" t="s">
        <v>457</v>
      </c>
      <c r="D2073" s="11" t="n">
        <v>0.0109524305555556</v>
      </c>
      <c r="E2073" s="12" t="n">
        <v>1004</v>
      </c>
      <c r="F2073" s="11"/>
      <c r="G2073" s="12"/>
      <c r="H2073" s="11"/>
      <c r="I2073" s="12"/>
      <c r="J2073" s="12" t="n">
        <f aca="false">COUNT(E2073,G2073,I2073)</f>
        <v>1</v>
      </c>
      <c r="K2073" s="13" t="n">
        <f aca="false">MIN(E2073,G2073,I2073)</f>
        <v>1004</v>
      </c>
      <c r="L2073" s="9" t="str">
        <f aca="false">IF(E2073=K2073,"5000m",IF(G2073=K2073,"3000mSC","1500m"))</f>
        <v>5000m</v>
      </c>
      <c r="M2073" s="14" t="n">
        <f aca="false">(D2073&lt;&gt;"")*(D2073&lt;=($E$3*60+$F$3)/86400)+(F2073&lt;&gt;"")*(F2073&lt;=($I$3*60+$J$3)/86400)+(H2073&lt;&gt;"")*(H2073&lt;=($M$3*60+$N$3)/86400)</f>
        <v>0</v>
      </c>
      <c r="N2073" s="16"/>
      <c r="O2073" s="15"/>
    </row>
    <row r="2074" customFormat="false" ht="25.35" hidden="false" customHeight="false" outlineLevel="0" collapsed="false">
      <c r="A2074" s="9" t="n">
        <v>2068</v>
      </c>
      <c r="B2074" s="10" t="s">
        <v>2947</v>
      </c>
      <c r="C2074" s="10" t="s">
        <v>2948</v>
      </c>
      <c r="D2074" s="11"/>
      <c r="E2074" s="12"/>
      <c r="F2074" s="11" t="n">
        <v>0.00761354166666667</v>
      </c>
      <c r="G2074" s="12" t="n">
        <v>1004</v>
      </c>
      <c r="H2074" s="11"/>
      <c r="I2074" s="12"/>
      <c r="J2074" s="12" t="n">
        <f aca="false">COUNT(E2074,G2074,I2074)</f>
        <v>1</v>
      </c>
      <c r="K2074" s="13" t="n">
        <f aca="false">MIN(E2074,G2074,I2074)</f>
        <v>1004</v>
      </c>
      <c r="L2074" s="9" t="str">
        <f aca="false">IF(E2074=K2074,"5000m",IF(G2074=K2074,"3000mSC","1500m"))</f>
        <v>3000mSC</v>
      </c>
      <c r="M2074" s="14" t="n">
        <f aca="false">(D2074&lt;&gt;"")*(D2074&lt;=($E$3*60+$F$3)/86400)+(F2074&lt;&gt;"")*(F2074&lt;=($I$3*60+$J$3)/86400)+(H2074&lt;&gt;"")*(H2074&lt;=($M$3*60+$N$3)/86400)</f>
        <v>0</v>
      </c>
      <c r="N2074" s="16"/>
      <c r="O2074" s="15"/>
    </row>
    <row r="2075" customFormat="false" ht="15" hidden="false" customHeight="false" outlineLevel="0" collapsed="false">
      <c r="A2075" s="9" t="n">
        <v>2069</v>
      </c>
      <c r="B2075" s="10" t="s">
        <v>2949</v>
      </c>
      <c r="C2075" s="10" t="s">
        <v>2950</v>
      </c>
      <c r="D2075" s="11"/>
      <c r="E2075" s="12"/>
      <c r="F2075" s="11"/>
      <c r="G2075" s="12"/>
      <c r="H2075" s="11" t="n">
        <v>0.00290833333333333</v>
      </c>
      <c r="I2075" s="12" t="n">
        <v>1004</v>
      </c>
      <c r="J2075" s="12" t="n">
        <f aca="false">COUNT(E2075,G2075,I2075)</f>
        <v>1</v>
      </c>
      <c r="K2075" s="13" t="n">
        <f aca="false">MIN(E2075,G2075,I2075)</f>
        <v>1004</v>
      </c>
      <c r="L2075" s="9" t="str">
        <f aca="false">IF(E2075=K2075,"5000m",IF(G2075=K2075,"3000mSC","1500m"))</f>
        <v>1500m</v>
      </c>
      <c r="M2075" s="14" t="n">
        <f aca="false">(D2075&lt;&gt;"")*(D2075&lt;=($E$3*60+$F$3)/86400)+(F2075&lt;&gt;"")*(F2075&lt;=($I$3*60+$J$3)/86400)+(H2075&lt;&gt;"")*(H2075&lt;=($M$3*60+$N$3)/86400)</f>
        <v>0</v>
      </c>
      <c r="N2075" s="16"/>
      <c r="O2075" s="15"/>
    </row>
    <row r="2076" customFormat="false" ht="25.35" hidden="false" customHeight="false" outlineLevel="0" collapsed="false">
      <c r="A2076" s="9" t="n">
        <v>2070</v>
      </c>
      <c r="B2076" s="10" t="s">
        <v>2951</v>
      </c>
      <c r="C2076" s="10" t="s">
        <v>1775</v>
      </c>
      <c r="D2076" s="11"/>
      <c r="E2076" s="12"/>
      <c r="F2076" s="11" t="n">
        <v>0.00761446759259259</v>
      </c>
      <c r="G2076" s="12" t="n">
        <v>1005</v>
      </c>
      <c r="H2076" s="11"/>
      <c r="I2076" s="12"/>
      <c r="J2076" s="12" t="n">
        <f aca="false">COUNT(E2076,G2076,I2076)</f>
        <v>1</v>
      </c>
      <c r="K2076" s="13" t="n">
        <f aca="false">MIN(E2076,G2076,I2076)</f>
        <v>1005</v>
      </c>
      <c r="L2076" s="9" t="str">
        <f aca="false">IF(E2076=K2076,"5000m",IF(G2076=K2076,"3000mSC","1500m"))</f>
        <v>3000mSC</v>
      </c>
      <c r="M2076" s="14" t="n">
        <f aca="false">(D2076&lt;&gt;"")*(D2076&lt;=($E$3*60+$F$3)/86400)+(F2076&lt;&gt;"")*(F2076&lt;=($I$3*60+$J$3)/86400)+(H2076&lt;&gt;"")*(H2076&lt;=($M$3*60+$N$3)/86400)</f>
        <v>0</v>
      </c>
      <c r="N2076" s="16"/>
      <c r="O2076" s="15"/>
    </row>
    <row r="2077" customFormat="false" ht="25.35" hidden="false" customHeight="false" outlineLevel="0" collapsed="false">
      <c r="A2077" s="9" t="n">
        <v>2071</v>
      </c>
      <c r="B2077" s="10" t="s">
        <v>2952</v>
      </c>
      <c r="C2077" s="10" t="s">
        <v>279</v>
      </c>
      <c r="D2077" s="11"/>
      <c r="E2077" s="12"/>
      <c r="F2077" s="11" t="n">
        <v>0.00761481481481482</v>
      </c>
      <c r="G2077" s="12" t="n">
        <v>1006</v>
      </c>
      <c r="H2077" s="11"/>
      <c r="I2077" s="12"/>
      <c r="J2077" s="12" t="n">
        <f aca="false">COUNT(E2077,G2077,I2077)</f>
        <v>1</v>
      </c>
      <c r="K2077" s="13" t="n">
        <f aca="false">MIN(E2077,G2077,I2077)</f>
        <v>1006</v>
      </c>
      <c r="L2077" s="9" t="str">
        <f aca="false">IF(E2077=K2077,"5000m",IF(G2077=K2077,"3000mSC","1500m"))</f>
        <v>3000mSC</v>
      </c>
      <c r="M2077" s="14" t="n">
        <f aca="false">(D2077&lt;&gt;"")*(D2077&lt;=($E$3*60+$F$3)/86400)+(F2077&lt;&gt;"")*(F2077&lt;=($I$3*60+$J$3)/86400)+(H2077&lt;&gt;"")*(H2077&lt;=($M$3*60+$N$3)/86400)</f>
        <v>0</v>
      </c>
      <c r="N2077" s="16"/>
      <c r="O2077" s="15"/>
    </row>
    <row r="2078" customFormat="false" ht="15" hidden="false" customHeight="false" outlineLevel="0" collapsed="false">
      <c r="A2078" s="9" t="n">
        <v>2072</v>
      </c>
      <c r="B2078" s="10" t="s">
        <v>2953</v>
      </c>
      <c r="C2078" s="10" t="s">
        <v>2954</v>
      </c>
      <c r="D2078" s="11"/>
      <c r="E2078" s="12"/>
      <c r="F2078" s="11"/>
      <c r="G2078" s="12"/>
      <c r="H2078" s="11" t="n">
        <v>0.00290856481481482</v>
      </c>
      <c r="I2078" s="12" t="n">
        <v>1006</v>
      </c>
      <c r="J2078" s="12" t="n">
        <f aca="false">COUNT(E2078,G2078,I2078)</f>
        <v>1</v>
      </c>
      <c r="K2078" s="13" t="n">
        <f aca="false">MIN(E2078,G2078,I2078)</f>
        <v>1006</v>
      </c>
      <c r="L2078" s="9" t="str">
        <f aca="false">IF(E2078=K2078,"5000m",IF(G2078=K2078,"3000mSC","1500m"))</f>
        <v>1500m</v>
      </c>
      <c r="M2078" s="14" t="n">
        <f aca="false">(D2078&lt;&gt;"")*(D2078&lt;=($E$3*60+$F$3)/86400)+(F2078&lt;&gt;"")*(F2078&lt;=($I$3*60+$J$3)/86400)+(H2078&lt;&gt;"")*(H2078&lt;=($M$3*60+$N$3)/86400)</f>
        <v>0</v>
      </c>
      <c r="N2078" s="16"/>
      <c r="O2078" s="15"/>
    </row>
    <row r="2079" customFormat="false" ht="25.35" hidden="false" customHeight="false" outlineLevel="0" collapsed="false">
      <c r="A2079" s="9" t="n">
        <v>2073</v>
      </c>
      <c r="B2079" s="10" t="s">
        <v>2955</v>
      </c>
      <c r="C2079" s="10" t="s">
        <v>1150</v>
      </c>
      <c r="D2079" s="11"/>
      <c r="E2079" s="12"/>
      <c r="F2079" s="11" t="n">
        <v>0.00761678240740741</v>
      </c>
      <c r="G2079" s="12" t="n">
        <v>1007</v>
      </c>
      <c r="H2079" s="11"/>
      <c r="I2079" s="12"/>
      <c r="J2079" s="12" t="n">
        <f aca="false">COUNT(E2079,G2079,I2079)</f>
        <v>1</v>
      </c>
      <c r="K2079" s="13" t="n">
        <f aca="false">MIN(E2079,G2079,I2079)</f>
        <v>1007</v>
      </c>
      <c r="L2079" s="9" t="str">
        <f aca="false">IF(E2079=K2079,"5000m",IF(G2079=K2079,"3000mSC","1500m"))</f>
        <v>3000mSC</v>
      </c>
      <c r="M2079" s="14" t="n">
        <f aca="false">(D2079&lt;&gt;"")*(D2079&lt;=($E$3*60+$F$3)/86400)+(F2079&lt;&gt;"")*(F2079&lt;=($I$3*60+$J$3)/86400)+(H2079&lt;&gt;"")*(H2079&lt;=($M$3*60+$N$3)/86400)</f>
        <v>0</v>
      </c>
      <c r="N2079" s="16"/>
      <c r="O2079" s="15"/>
    </row>
    <row r="2080" customFormat="false" ht="15" hidden="false" customHeight="false" outlineLevel="0" collapsed="false">
      <c r="A2080" s="9" t="n">
        <v>2074</v>
      </c>
      <c r="B2080" s="10" t="s">
        <v>2956</v>
      </c>
      <c r="C2080" s="10" t="s">
        <v>312</v>
      </c>
      <c r="D2080" s="11"/>
      <c r="E2080" s="12"/>
      <c r="F2080" s="11"/>
      <c r="G2080" s="12"/>
      <c r="H2080" s="11" t="n">
        <v>0.00290868055555556</v>
      </c>
      <c r="I2080" s="12" t="n">
        <v>1007</v>
      </c>
      <c r="J2080" s="12" t="n">
        <f aca="false">COUNT(E2080,G2080,I2080)</f>
        <v>1</v>
      </c>
      <c r="K2080" s="13" t="n">
        <f aca="false">MIN(E2080,G2080,I2080)</f>
        <v>1007</v>
      </c>
      <c r="L2080" s="9" t="str">
        <f aca="false">IF(E2080=K2080,"5000m",IF(G2080=K2080,"3000mSC","1500m"))</f>
        <v>1500m</v>
      </c>
      <c r="M2080" s="14" t="n">
        <f aca="false">(D2080&lt;&gt;"")*(D2080&lt;=($E$3*60+$F$3)/86400)+(F2080&lt;&gt;"")*(F2080&lt;=($I$3*60+$J$3)/86400)+(H2080&lt;&gt;"")*(H2080&lt;=($M$3*60+$N$3)/86400)</f>
        <v>0</v>
      </c>
      <c r="N2080" s="16"/>
      <c r="O2080" s="15"/>
    </row>
    <row r="2081" customFormat="false" ht="15" hidden="false" customHeight="false" outlineLevel="0" collapsed="false">
      <c r="A2081" s="9" t="n">
        <v>2075</v>
      </c>
      <c r="B2081" s="10" t="s">
        <v>2957</v>
      </c>
      <c r="C2081" s="10" t="s">
        <v>2031</v>
      </c>
      <c r="D2081" s="11" t="n">
        <v>0.0109533564814815</v>
      </c>
      <c r="E2081" s="12" t="n">
        <v>1008</v>
      </c>
      <c r="F2081" s="11"/>
      <c r="G2081" s="12"/>
      <c r="H2081" s="11"/>
      <c r="I2081" s="12"/>
      <c r="J2081" s="12" t="n">
        <f aca="false">COUNT(E2081,G2081,I2081)</f>
        <v>1</v>
      </c>
      <c r="K2081" s="13" t="n">
        <f aca="false">MIN(E2081,G2081,I2081)</f>
        <v>1008</v>
      </c>
      <c r="L2081" s="9" t="str">
        <f aca="false">IF(E2081=K2081,"5000m",IF(G2081=K2081,"3000mSC","1500m"))</f>
        <v>5000m</v>
      </c>
      <c r="M2081" s="14" t="n">
        <f aca="false">(D2081&lt;&gt;"")*(D2081&lt;=($E$3*60+$F$3)/86400)+(F2081&lt;&gt;"")*(F2081&lt;=($I$3*60+$J$3)/86400)+(H2081&lt;&gt;"")*(H2081&lt;=($M$3*60+$N$3)/86400)</f>
        <v>0</v>
      </c>
      <c r="N2081" s="16"/>
      <c r="O2081" s="15"/>
    </row>
    <row r="2082" customFormat="false" ht="25.35" hidden="false" customHeight="false" outlineLevel="0" collapsed="false">
      <c r="A2082" s="9" t="n">
        <v>2076</v>
      </c>
      <c r="B2082" s="10" t="s">
        <v>2958</v>
      </c>
      <c r="C2082" s="10" t="s">
        <v>2053</v>
      </c>
      <c r="D2082" s="11"/>
      <c r="E2082" s="12"/>
      <c r="F2082" s="11" t="n">
        <v>0.00761759259259259</v>
      </c>
      <c r="G2082" s="12" t="n">
        <v>1008</v>
      </c>
      <c r="H2082" s="11"/>
      <c r="I2082" s="12"/>
      <c r="J2082" s="12" t="n">
        <f aca="false">COUNT(E2082,G2082,I2082)</f>
        <v>1</v>
      </c>
      <c r="K2082" s="13" t="n">
        <f aca="false">MIN(E2082,G2082,I2082)</f>
        <v>1008</v>
      </c>
      <c r="L2082" s="9" t="str">
        <f aca="false">IF(E2082=K2082,"5000m",IF(G2082=K2082,"3000mSC","1500m"))</f>
        <v>3000mSC</v>
      </c>
      <c r="M2082" s="14" t="n">
        <f aca="false">(D2082&lt;&gt;"")*(D2082&lt;=($E$3*60+$F$3)/86400)+(F2082&lt;&gt;"")*(F2082&lt;=($I$3*60+$J$3)/86400)+(H2082&lt;&gt;"")*(H2082&lt;=($M$3*60+$N$3)/86400)</f>
        <v>0</v>
      </c>
      <c r="N2082" s="16"/>
      <c r="O2082" s="15"/>
    </row>
    <row r="2083" customFormat="false" ht="15" hidden="false" customHeight="false" outlineLevel="0" collapsed="false">
      <c r="A2083" s="9" t="n">
        <v>2077</v>
      </c>
      <c r="B2083" s="10" t="s">
        <v>2959</v>
      </c>
      <c r="C2083" s="10" t="s">
        <v>2100</v>
      </c>
      <c r="D2083" s="11"/>
      <c r="E2083" s="12"/>
      <c r="F2083" s="11"/>
      <c r="G2083" s="12"/>
      <c r="H2083" s="11" t="n">
        <v>0.0029087962962963</v>
      </c>
      <c r="I2083" s="12" t="n">
        <v>1008</v>
      </c>
      <c r="J2083" s="12" t="n">
        <f aca="false">COUNT(E2083,G2083,I2083)</f>
        <v>1</v>
      </c>
      <c r="K2083" s="13" t="n">
        <f aca="false">MIN(E2083,G2083,I2083)</f>
        <v>1008</v>
      </c>
      <c r="L2083" s="9" t="str">
        <f aca="false">IF(E2083=K2083,"5000m",IF(G2083=K2083,"3000mSC","1500m"))</f>
        <v>1500m</v>
      </c>
      <c r="M2083" s="14" t="n">
        <f aca="false">(D2083&lt;&gt;"")*(D2083&lt;=($E$3*60+$F$3)/86400)+(F2083&lt;&gt;"")*(F2083&lt;=($I$3*60+$J$3)/86400)+(H2083&lt;&gt;"")*(H2083&lt;=($M$3*60+$N$3)/86400)</f>
        <v>0</v>
      </c>
      <c r="N2083" s="16"/>
      <c r="O2083" s="15"/>
    </row>
    <row r="2084" customFormat="false" ht="25.35" hidden="false" customHeight="false" outlineLevel="0" collapsed="false">
      <c r="A2084" s="9" t="n">
        <v>2078</v>
      </c>
      <c r="B2084" s="10" t="s">
        <v>2960</v>
      </c>
      <c r="C2084" s="10" t="s">
        <v>814</v>
      </c>
      <c r="D2084" s="11"/>
      <c r="E2084" s="12"/>
      <c r="F2084" s="11" t="n">
        <v>0.00761956018518519</v>
      </c>
      <c r="G2084" s="12" t="n">
        <v>1009</v>
      </c>
      <c r="H2084" s="11"/>
      <c r="I2084" s="12"/>
      <c r="J2084" s="12" t="n">
        <f aca="false">COUNT(E2084,G2084,I2084)</f>
        <v>1</v>
      </c>
      <c r="K2084" s="13" t="n">
        <f aca="false">MIN(E2084,G2084,I2084)</f>
        <v>1009</v>
      </c>
      <c r="L2084" s="9" t="str">
        <f aca="false">IF(E2084=K2084,"5000m",IF(G2084=K2084,"3000mSC","1500m"))</f>
        <v>3000mSC</v>
      </c>
      <c r="M2084" s="14" t="n">
        <f aca="false">(D2084&lt;&gt;"")*(D2084&lt;=($E$3*60+$F$3)/86400)+(F2084&lt;&gt;"")*(F2084&lt;=($I$3*60+$J$3)/86400)+(H2084&lt;&gt;"")*(H2084&lt;=($M$3*60+$N$3)/86400)</f>
        <v>0</v>
      </c>
      <c r="N2084" s="16"/>
      <c r="O2084" s="15"/>
    </row>
    <row r="2085" customFormat="false" ht="25.35" hidden="false" customHeight="false" outlineLevel="0" collapsed="false">
      <c r="A2085" s="9" t="n">
        <v>2079</v>
      </c>
      <c r="B2085" s="10" t="s">
        <v>2961</v>
      </c>
      <c r="C2085" s="10" t="s">
        <v>2962</v>
      </c>
      <c r="D2085" s="11"/>
      <c r="E2085" s="12"/>
      <c r="F2085" s="11" t="n">
        <v>0.00762222222222222</v>
      </c>
      <c r="G2085" s="12" t="n">
        <v>1010</v>
      </c>
      <c r="H2085" s="11"/>
      <c r="I2085" s="12"/>
      <c r="J2085" s="12" t="n">
        <f aca="false">COUNT(E2085,G2085,I2085)</f>
        <v>1</v>
      </c>
      <c r="K2085" s="13" t="n">
        <f aca="false">MIN(E2085,G2085,I2085)</f>
        <v>1010</v>
      </c>
      <c r="L2085" s="9" t="str">
        <f aca="false">IF(E2085=K2085,"5000m",IF(G2085=K2085,"3000mSC","1500m"))</f>
        <v>3000mSC</v>
      </c>
      <c r="M2085" s="14" t="n">
        <f aca="false">(D2085&lt;&gt;"")*(D2085&lt;=($E$3*60+$F$3)/86400)+(F2085&lt;&gt;"")*(F2085&lt;=($I$3*60+$J$3)/86400)+(H2085&lt;&gt;"")*(H2085&lt;=($M$3*60+$N$3)/86400)</f>
        <v>0</v>
      </c>
      <c r="N2085" s="16"/>
      <c r="O2085" s="15"/>
    </row>
    <row r="2086" customFormat="false" ht="15" hidden="false" customHeight="false" outlineLevel="0" collapsed="false">
      <c r="A2086" s="9" t="n">
        <v>2080</v>
      </c>
      <c r="B2086" s="10" t="s">
        <v>2963</v>
      </c>
      <c r="C2086" s="10" t="s">
        <v>1023</v>
      </c>
      <c r="D2086" s="11"/>
      <c r="E2086" s="12"/>
      <c r="F2086" s="11"/>
      <c r="G2086" s="12"/>
      <c r="H2086" s="11" t="n">
        <v>0.00290902777777778</v>
      </c>
      <c r="I2086" s="12" t="n">
        <v>1010</v>
      </c>
      <c r="J2086" s="12" t="n">
        <f aca="false">COUNT(E2086,G2086,I2086)</f>
        <v>1</v>
      </c>
      <c r="K2086" s="13" t="n">
        <f aca="false">MIN(E2086,G2086,I2086)</f>
        <v>1010</v>
      </c>
      <c r="L2086" s="9" t="str">
        <f aca="false">IF(E2086=K2086,"5000m",IF(G2086=K2086,"3000mSC","1500m"))</f>
        <v>1500m</v>
      </c>
      <c r="M2086" s="14" t="n">
        <f aca="false">(D2086&lt;&gt;"")*(D2086&lt;=($E$3*60+$F$3)/86400)+(F2086&lt;&gt;"")*(F2086&lt;=($I$3*60+$J$3)/86400)+(H2086&lt;&gt;"")*(H2086&lt;=($M$3*60+$N$3)/86400)</f>
        <v>0</v>
      </c>
      <c r="N2086" s="16"/>
      <c r="O2086" s="15"/>
    </row>
    <row r="2087" customFormat="false" ht="15" hidden="false" customHeight="false" outlineLevel="0" collapsed="false">
      <c r="A2087" s="9" t="n">
        <v>2081</v>
      </c>
      <c r="B2087" s="10" t="s">
        <v>2964</v>
      </c>
      <c r="C2087" s="10" t="s">
        <v>118</v>
      </c>
      <c r="D2087" s="11" t="n">
        <v>0.0109539351851852</v>
      </c>
      <c r="E2087" s="12" t="n">
        <v>1011</v>
      </c>
      <c r="F2087" s="11"/>
      <c r="G2087" s="12"/>
      <c r="H2087" s="11"/>
      <c r="I2087" s="12"/>
      <c r="J2087" s="12" t="n">
        <f aca="false">COUNT(E2087,G2087,I2087)</f>
        <v>1</v>
      </c>
      <c r="K2087" s="13" t="n">
        <f aca="false">MIN(E2087,G2087,I2087)</f>
        <v>1011</v>
      </c>
      <c r="L2087" s="9" t="str">
        <f aca="false">IF(E2087=K2087,"5000m",IF(G2087=K2087,"3000mSC","1500m"))</f>
        <v>5000m</v>
      </c>
      <c r="M2087" s="14" t="n">
        <f aca="false">(D2087&lt;&gt;"")*(D2087&lt;=($E$3*60+$F$3)/86400)+(F2087&lt;&gt;"")*(F2087&lt;=($I$3*60+$J$3)/86400)+(H2087&lt;&gt;"")*(H2087&lt;=($M$3*60+$N$3)/86400)</f>
        <v>0</v>
      </c>
      <c r="N2087" s="16"/>
      <c r="O2087" s="15"/>
    </row>
    <row r="2088" customFormat="false" ht="25.35" hidden="false" customHeight="false" outlineLevel="0" collapsed="false">
      <c r="A2088" s="9" t="n">
        <v>2082</v>
      </c>
      <c r="B2088" s="10" t="s">
        <v>2965</v>
      </c>
      <c r="C2088" s="10" t="s">
        <v>2966</v>
      </c>
      <c r="D2088" s="11"/>
      <c r="E2088" s="12"/>
      <c r="F2088" s="11" t="n">
        <v>0.00762233796296296</v>
      </c>
      <c r="G2088" s="12" t="n">
        <v>1011</v>
      </c>
      <c r="H2088" s="11"/>
      <c r="I2088" s="12"/>
      <c r="J2088" s="12" t="n">
        <f aca="false">COUNT(E2088,G2088,I2088)</f>
        <v>1</v>
      </c>
      <c r="K2088" s="13" t="n">
        <f aca="false">MIN(E2088,G2088,I2088)</f>
        <v>1011</v>
      </c>
      <c r="L2088" s="9" t="str">
        <f aca="false">IF(E2088=K2088,"5000m",IF(G2088=K2088,"3000mSC","1500m"))</f>
        <v>3000mSC</v>
      </c>
      <c r="M2088" s="14" t="n">
        <f aca="false">(D2088&lt;&gt;"")*(D2088&lt;=($E$3*60+$F$3)/86400)+(F2088&lt;&gt;"")*(F2088&lt;=($I$3*60+$J$3)/86400)+(H2088&lt;&gt;"")*(H2088&lt;=($M$3*60+$N$3)/86400)</f>
        <v>0</v>
      </c>
      <c r="N2088" s="16"/>
      <c r="O2088" s="15"/>
    </row>
    <row r="2089" customFormat="false" ht="15" hidden="false" customHeight="false" outlineLevel="0" collapsed="false">
      <c r="A2089" s="9" t="n">
        <v>2083</v>
      </c>
      <c r="B2089" s="10" t="s">
        <v>2967</v>
      </c>
      <c r="C2089" s="10" t="s">
        <v>954</v>
      </c>
      <c r="D2089" s="11"/>
      <c r="E2089" s="12"/>
      <c r="F2089" s="11"/>
      <c r="G2089" s="12"/>
      <c r="H2089" s="11" t="n">
        <v>0.00290914351851852</v>
      </c>
      <c r="I2089" s="12" t="n">
        <v>1011</v>
      </c>
      <c r="J2089" s="12" t="n">
        <f aca="false">COUNT(E2089,G2089,I2089)</f>
        <v>1</v>
      </c>
      <c r="K2089" s="13" t="n">
        <f aca="false">MIN(E2089,G2089,I2089)</f>
        <v>1011</v>
      </c>
      <c r="L2089" s="9" t="str">
        <f aca="false">IF(E2089=K2089,"5000m",IF(G2089=K2089,"3000mSC","1500m"))</f>
        <v>1500m</v>
      </c>
      <c r="M2089" s="14" t="n">
        <f aca="false">(D2089&lt;&gt;"")*(D2089&lt;=($E$3*60+$F$3)/86400)+(F2089&lt;&gt;"")*(F2089&lt;=($I$3*60+$J$3)/86400)+(H2089&lt;&gt;"")*(H2089&lt;=($M$3*60+$N$3)/86400)</f>
        <v>0</v>
      </c>
      <c r="N2089" s="16"/>
      <c r="O2089" s="15"/>
    </row>
    <row r="2090" customFormat="false" ht="25.35" hidden="false" customHeight="false" outlineLevel="0" collapsed="false">
      <c r="A2090" s="9" t="n">
        <v>2084</v>
      </c>
      <c r="B2090" s="10" t="s">
        <v>2968</v>
      </c>
      <c r="C2090" s="10" t="s">
        <v>947</v>
      </c>
      <c r="D2090" s="11"/>
      <c r="E2090" s="12"/>
      <c r="F2090" s="11" t="n">
        <v>0.00762511574074074</v>
      </c>
      <c r="G2090" s="12" t="n">
        <v>1012</v>
      </c>
      <c r="H2090" s="11"/>
      <c r="I2090" s="12"/>
      <c r="J2090" s="12" t="n">
        <f aca="false">COUNT(E2090,G2090,I2090)</f>
        <v>1</v>
      </c>
      <c r="K2090" s="13" t="n">
        <f aca="false">MIN(E2090,G2090,I2090)</f>
        <v>1012</v>
      </c>
      <c r="L2090" s="9" t="str">
        <f aca="false">IF(E2090=K2090,"5000m",IF(G2090=K2090,"3000mSC","1500m"))</f>
        <v>3000mSC</v>
      </c>
      <c r="M2090" s="14" t="n">
        <f aca="false">(D2090&lt;&gt;"")*(D2090&lt;=($E$3*60+$F$3)/86400)+(F2090&lt;&gt;"")*(F2090&lt;=($I$3*60+$J$3)/86400)+(H2090&lt;&gt;"")*(H2090&lt;=($M$3*60+$N$3)/86400)</f>
        <v>0</v>
      </c>
      <c r="N2090" s="16"/>
      <c r="O2090" s="15"/>
    </row>
    <row r="2091" customFormat="false" ht="15" hidden="false" customHeight="false" outlineLevel="0" collapsed="false">
      <c r="A2091" s="9" t="n">
        <v>2085</v>
      </c>
      <c r="B2091" s="10" t="s">
        <v>2969</v>
      </c>
      <c r="C2091" s="10" t="s">
        <v>2970</v>
      </c>
      <c r="D2091" s="11" t="n">
        <v>0.0110261574074074</v>
      </c>
      <c r="E2091" s="12" t="n">
        <v>1142</v>
      </c>
      <c r="F2091" s="11"/>
      <c r="G2091" s="12"/>
      <c r="H2091" s="11" t="n">
        <v>0.00290949074074074</v>
      </c>
      <c r="I2091" s="12" t="n">
        <v>1013</v>
      </c>
      <c r="J2091" s="12" t="n">
        <f aca="false">COUNT(E2091,G2091,I2091)</f>
        <v>2</v>
      </c>
      <c r="K2091" s="13" t="n">
        <f aca="false">MIN(E2091,G2091,I2091)</f>
        <v>1013</v>
      </c>
      <c r="L2091" s="9" t="str">
        <f aca="false">IF(E2091=K2091,"5000m",IF(G2091=K2091,"3000mSC","1500m"))</f>
        <v>1500m</v>
      </c>
      <c r="M2091" s="14" t="n">
        <f aca="false">(D2091&lt;&gt;"")*(D2091&lt;=($E$3*60+$F$3)/86400)+(F2091&lt;&gt;"")*(F2091&lt;=($I$3*60+$J$3)/86400)+(H2091&lt;&gt;"")*(H2091&lt;=($M$3*60+$N$3)/86400)</f>
        <v>0</v>
      </c>
      <c r="N2091" s="16"/>
      <c r="O2091" s="15"/>
    </row>
    <row r="2092" customFormat="false" ht="15" hidden="false" customHeight="false" outlineLevel="0" collapsed="false">
      <c r="A2092" s="9" t="n">
        <v>2086</v>
      </c>
      <c r="B2092" s="10" t="s">
        <v>2971</v>
      </c>
      <c r="C2092" s="10" t="s">
        <v>754</v>
      </c>
      <c r="D2092" s="11" t="n">
        <v>0.0109548611111111</v>
      </c>
      <c r="E2092" s="12" t="n">
        <v>1013</v>
      </c>
      <c r="F2092" s="11"/>
      <c r="G2092" s="12"/>
      <c r="H2092" s="11" t="n">
        <v>0.00297916666666667</v>
      </c>
      <c r="I2092" s="12" t="n">
        <v>1349</v>
      </c>
      <c r="J2092" s="12" t="n">
        <f aca="false">COUNT(E2092,G2092,I2092)</f>
        <v>2</v>
      </c>
      <c r="K2092" s="13" t="n">
        <f aca="false">MIN(E2092,G2092,I2092)</f>
        <v>1013</v>
      </c>
      <c r="L2092" s="9" t="str">
        <f aca="false">IF(E2092=K2092,"5000m",IF(G2092=K2092,"3000mSC","1500m"))</f>
        <v>5000m</v>
      </c>
      <c r="M2092" s="14" t="n">
        <f aca="false">(D2092&lt;&gt;"")*(D2092&lt;=($E$3*60+$F$3)/86400)+(F2092&lt;&gt;"")*(F2092&lt;=($I$3*60+$J$3)/86400)+(H2092&lt;&gt;"")*(H2092&lt;=($M$3*60+$N$3)/86400)</f>
        <v>0</v>
      </c>
      <c r="N2092" s="16"/>
      <c r="O2092" s="15"/>
    </row>
    <row r="2093" customFormat="false" ht="25.35" hidden="false" customHeight="false" outlineLevel="0" collapsed="false">
      <c r="A2093" s="9" t="n">
        <v>2087</v>
      </c>
      <c r="B2093" s="10" t="s">
        <v>2972</v>
      </c>
      <c r="C2093" s="10" t="s">
        <v>2140</v>
      </c>
      <c r="D2093" s="11"/>
      <c r="E2093" s="12"/>
      <c r="F2093" s="11" t="n">
        <v>0.00762534722222222</v>
      </c>
      <c r="G2093" s="12" t="n">
        <v>1013</v>
      </c>
      <c r="H2093" s="11"/>
      <c r="I2093" s="12"/>
      <c r="J2093" s="12" t="n">
        <f aca="false">COUNT(E2093,G2093,I2093)</f>
        <v>1</v>
      </c>
      <c r="K2093" s="13" t="n">
        <f aca="false">MIN(E2093,G2093,I2093)</f>
        <v>1013</v>
      </c>
      <c r="L2093" s="9" t="str">
        <f aca="false">IF(E2093=K2093,"5000m",IF(G2093=K2093,"3000mSC","1500m"))</f>
        <v>3000mSC</v>
      </c>
      <c r="M2093" s="14" t="n">
        <f aca="false">(D2093&lt;&gt;"")*(D2093&lt;=($E$3*60+$F$3)/86400)+(F2093&lt;&gt;"")*(F2093&lt;=($I$3*60+$J$3)/86400)+(H2093&lt;&gt;"")*(H2093&lt;=($M$3*60+$N$3)/86400)</f>
        <v>0</v>
      </c>
      <c r="N2093" s="16"/>
      <c r="O2093" s="15"/>
    </row>
    <row r="2094" customFormat="false" ht="15" hidden="false" customHeight="false" outlineLevel="0" collapsed="false">
      <c r="A2094" s="9" t="n">
        <v>2088</v>
      </c>
      <c r="B2094" s="10" t="s">
        <v>2973</v>
      </c>
      <c r="C2094" s="10" t="s">
        <v>2974</v>
      </c>
      <c r="D2094" s="11" t="n">
        <v>0.0109555555555556</v>
      </c>
      <c r="E2094" s="12" t="n">
        <v>1014</v>
      </c>
      <c r="F2094" s="11"/>
      <c r="G2094" s="12"/>
      <c r="H2094" s="11"/>
      <c r="I2094" s="12"/>
      <c r="J2094" s="12" t="n">
        <f aca="false">COUNT(E2094,G2094,I2094)</f>
        <v>1</v>
      </c>
      <c r="K2094" s="13" t="n">
        <f aca="false">MIN(E2094,G2094,I2094)</f>
        <v>1014</v>
      </c>
      <c r="L2094" s="9" t="str">
        <f aca="false">IF(E2094=K2094,"5000m",IF(G2094=K2094,"3000mSC","1500m"))</f>
        <v>5000m</v>
      </c>
      <c r="M2094" s="14" t="n">
        <f aca="false">(D2094&lt;&gt;"")*(D2094&lt;=($E$3*60+$F$3)/86400)+(F2094&lt;&gt;"")*(F2094&lt;=($I$3*60+$J$3)/86400)+(H2094&lt;&gt;"")*(H2094&lt;=($M$3*60+$N$3)/86400)</f>
        <v>0</v>
      </c>
      <c r="N2094" s="16"/>
      <c r="O2094" s="15"/>
    </row>
    <row r="2095" customFormat="false" ht="25.35" hidden="false" customHeight="false" outlineLevel="0" collapsed="false">
      <c r="A2095" s="9" t="n">
        <v>2089</v>
      </c>
      <c r="B2095" s="10" t="s">
        <v>2975</v>
      </c>
      <c r="C2095" s="10" t="s">
        <v>445</v>
      </c>
      <c r="D2095" s="11"/>
      <c r="E2095" s="12"/>
      <c r="F2095" s="11" t="n">
        <v>0.00762673611111111</v>
      </c>
      <c r="G2095" s="12" t="n">
        <v>1014</v>
      </c>
      <c r="H2095" s="11"/>
      <c r="I2095" s="12"/>
      <c r="J2095" s="12" t="n">
        <f aca="false">COUNT(E2095,G2095,I2095)</f>
        <v>1</v>
      </c>
      <c r="K2095" s="13" t="n">
        <f aca="false">MIN(E2095,G2095,I2095)</f>
        <v>1014</v>
      </c>
      <c r="L2095" s="9" t="str">
        <f aca="false">IF(E2095=K2095,"5000m",IF(G2095=K2095,"3000mSC","1500m"))</f>
        <v>3000mSC</v>
      </c>
      <c r="M2095" s="14" t="n">
        <f aca="false">(D2095&lt;&gt;"")*(D2095&lt;=($E$3*60+$F$3)/86400)+(F2095&lt;&gt;"")*(F2095&lt;=($I$3*60+$J$3)/86400)+(H2095&lt;&gt;"")*(H2095&lt;=($M$3*60+$N$3)/86400)</f>
        <v>0</v>
      </c>
      <c r="N2095" s="16"/>
      <c r="O2095" s="15"/>
    </row>
    <row r="2096" customFormat="false" ht="15" hidden="false" customHeight="false" outlineLevel="0" collapsed="false">
      <c r="A2096" s="9" t="n">
        <v>2090</v>
      </c>
      <c r="B2096" s="10" t="s">
        <v>2976</v>
      </c>
      <c r="C2096" s="10" t="s">
        <v>2977</v>
      </c>
      <c r="D2096" s="11"/>
      <c r="E2096" s="12"/>
      <c r="F2096" s="11"/>
      <c r="G2096" s="12"/>
      <c r="H2096" s="11" t="n">
        <v>0.00290960648148148</v>
      </c>
      <c r="I2096" s="12" t="n">
        <v>1014</v>
      </c>
      <c r="J2096" s="12" t="n">
        <f aca="false">COUNT(E2096,G2096,I2096)</f>
        <v>1</v>
      </c>
      <c r="K2096" s="13" t="n">
        <f aca="false">MIN(E2096,G2096,I2096)</f>
        <v>1014</v>
      </c>
      <c r="L2096" s="9" t="str">
        <f aca="false">IF(E2096=K2096,"5000m",IF(G2096=K2096,"3000mSC","1500m"))</f>
        <v>1500m</v>
      </c>
      <c r="M2096" s="14" t="n">
        <f aca="false">(D2096&lt;&gt;"")*(D2096&lt;=($E$3*60+$F$3)/86400)+(F2096&lt;&gt;"")*(F2096&lt;=($I$3*60+$J$3)/86400)+(H2096&lt;&gt;"")*(H2096&lt;=($M$3*60+$N$3)/86400)</f>
        <v>0</v>
      </c>
      <c r="N2096" s="16"/>
      <c r="O2096" s="15"/>
    </row>
    <row r="2097" customFormat="false" ht="15" hidden="false" customHeight="false" outlineLevel="0" collapsed="false">
      <c r="A2097" s="9" t="n">
        <v>2091</v>
      </c>
      <c r="B2097" s="10" t="s">
        <v>2978</v>
      </c>
      <c r="C2097" s="10" t="s">
        <v>437</v>
      </c>
      <c r="D2097" s="11" t="n">
        <v>0.0109561342592593</v>
      </c>
      <c r="E2097" s="12" t="n">
        <v>1015</v>
      </c>
      <c r="F2097" s="11"/>
      <c r="G2097" s="12"/>
      <c r="H2097" s="11"/>
      <c r="I2097" s="12"/>
      <c r="J2097" s="12" t="n">
        <f aca="false">COUNT(E2097,G2097,I2097)</f>
        <v>1</v>
      </c>
      <c r="K2097" s="13" t="n">
        <f aca="false">MIN(E2097,G2097,I2097)</f>
        <v>1015</v>
      </c>
      <c r="L2097" s="9" t="str">
        <f aca="false">IF(E2097=K2097,"5000m",IF(G2097=K2097,"3000mSC","1500m"))</f>
        <v>5000m</v>
      </c>
      <c r="M2097" s="14" t="n">
        <f aca="false">(D2097&lt;&gt;"")*(D2097&lt;=($E$3*60+$F$3)/86400)+(F2097&lt;&gt;"")*(F2097&lt;=($I$3*60+$J$3)/86400)+(H2097&lt;&gt;"")*(H2097&lt;=($M$3*60+$N$3)/86400)</f>
        <v>0</v>
      </c>
      <c r="N2097" s="16"/>
      <c r="O2097" s="15"/>
    </row>
    <row r="2098" customFormat="false" ht="25.35" hidden="false" customHeight="false" outlineLevel="0" collapsed="false">
      <c r="A2098" s="9" t="n">
        <v>2092</v>
      </c>
      <c r="B2098" s="10" t="s">
        <v>2979</v>
      </c>
      <c r="C2098" s="10" t="s">
        <v>2114</v>
      </c>
      <c r="D2098" s="11"/>
      <c r="E2098" s="12"/>
      <c r="F2098" s="11" t="n">
        <v>0.00762766203703704</v>
      </c>
      <c r="G2098" s="12" t="n">
        <v>1015</v>
      </c>
      <c r="H2098" s="11"/>
      <c r="I2098" s="12"/>
      <c r="J2098" s="12" t="n">
        <f aca="false">COUNT(E2098,G2098,I2098)</f>
        <v>1</v>
      </c>
      <c r="K2098" s="13" t="n">
        <f aca="false">MIN(E2098,G2098,I2098)</f>
        <v>1015</v>
      </c>
      <c r="L2098" s="9" t="str">
        <f aca="false">IF(E2098=K2098,"5000m",IF(G2098=K2098,"3000mSC","1500m"))</f>
        <v>3000mSC</v>
      </c>
      <c r="M2098" s="14" t="n">
        <f aca="false">(D2098&lt;&gt;"")*(D2098&lt;=($E$3*60+$F$3)/86400)+(F2098&lt;&gt;"")*(F2098&lt;=($I$3*60+$J$3)/86400)+(H2098&lt;&gt;"")*(H2098&lt;=($M$3*60+$N$3)/86400)</f>
        <v>0</v>
      </c>
      <c r="N2098" s="16"/>
      <c r="O2098" s="15"/>
    </row>
    <row r="2099" customFormat="false" ht="15" hidden="false" customHeight="false" outlineLevel="0" collapsed="false">
      <c r="A2099" s="9" t="n">
        <v>2093</v>
      </c>
      <c r="B2099" s="10" t="s">
        <v>2980</v>
      </c>
      <c r="C2099" s="10" t="s">
        <v>1630</v>
      </c>
      <c r="D2099" s="11" t="n">
        <v>0.0109570601851852</v>
      </c>
      <c r="E2099" s="12" t="n">
        <v>1016</v>
      </c>
      <c r="F2099" s="11"/>
      <c r="G2099" s="12"/>
      <c r="H2099" s="11"/>
      <c r="I2099" s="12"/>
      <c r="J2099" s="12" t="n">
        <f aca="false">COUNT(E2099,G2099,I2099)</f>
        <v>1</v>
      </c>
      <c r="K2099" s="13" t="n">
        <f aca="false">MIN(E2099,G2099,I2099)</f>
        <v>1016</v>
      </c>
      <c r="L2099" s="9" t="str">
        <f aca="false">IF(E2099=K2099,"5000m",IF(G2099=K2099,"3000mSC","1500m"))</f>
        <v>5000m</v>
      </c>
      <c r="M2099" s="14" t="n">
        <f aca="false">(D2099&lt;&gt;"")*(D2099&lt;=($E$3*60+$F$3)/86400)+(F2099&lt;&gt;"")*(F2099&lt;=($I$3*60+$J$3)/86400)+(H2099&lt;&gt;"")*(H2099&lt;=($M$3*60+$N$3)/86400)</f>
        <v>0</v>
      </c>
      <c r="N2099" s="16"/>
      <c r="O2099" s="15"/>
    </row>
    <row r="2100" customFormat="false" ht="25.35" hidden="false" customHeight="false" outlineLevel="0" collapsed="false">
      <c r="A2100" s="9" t="n">
        <v>2094</v>
      </c>
      <c r="B2100" s="10" t="s">
        <v>2981</v>
      </c>
      <c r="C2100" s="10" t="s">
        <v>2982</v>
      </c>
      <c r="D2100" s="11"/>
      <c r="E2100" s="12"/>
      <c r="F2100" s="11" t="n">
        <v>0.00762777777777778</v>
      </c>
      <c r="G2100" s="12" t="n">
        <v>1016</v>
      </c>
      <c r="H2100" s="11"/>
      <c r="I2100" s="12"/>
      <c r="J2100" s="12" t="n">
        <f aca="false">COUNT(E2100,G2100,I2100)</f>
        <v>1</v>
      </c>
      <c r="K2100" s="13" t="n">
        <f aca="false">MIN(E2100,G2100,I2100)</f>
        <v>1016</v>
      </c>
      <c r="L2100" s="9" t="str">
        <f aca="false">IF(E2100=K2100,"5000m",IF(G2100=K2100,"3000mSC","1500m"))</f>
        <v>3000mSC</v>
      </c>
      <c r="M2100" s="14" t="n">
        <f aca="false">(D2100&lt;&gt;"")*(D2100&lt;=($E$3*60+$F$3)/86400)+(F2100&lt;&gt;"")*(F2100&lt;=($I$3*60+$J$3)/86400)+(H2100&lt;&gt;"")*(H2100&lt;=($M$3*60+$N$3)/86400)</f>
        <v>0</v>
      </c>
      <c r="N2100" s="16"/>
      <c r="O2100" s="15"/>
    </row>
    <row r="2101" customFormat="false" ht="15" hidden="false" customHeight="false" outlineLevel="0" collapsed="false">
      <c r="A2101" s="9" t="n">
        <v>2095</v>
      </c>
      <c r="B2101" s="10" t="s">
        <v>2983</v>
      </c>
      <c r="C2101" s="10" t="s">
        <v>2984</v>
      </c>
      <c r="D2101" s="11"/>
      <c r="E2101" s="12"/>
      <c r="F2101" s="11"/>
      <c r="G2101" s="12"/>
      <c r="H2101" s="11" t="n">
        <v>0.00290972222222222</v>
      </c>
      <c r="I2101" s="12" t="n">
        <v>1016</v>
      </c>
      <c r="J2101" s="12" t="n">
        <f aca="false">COUNT(E2101,G2101,I2101)</f>
        <v>1</v>
      </c>
      <c r="K2101" s="13" t="n">
        <f aca="false">MIN(E2101,G2101,I2101)</f>
        <v>1016</v>
      </c>
      <c r="L2101" s="9" t="str">
        <f aca="false">IF(E2101=K2101,"5000m",IF(G2101=K2101,"3000mSC","1500m"))</f>
        <v>1500m</v>
      </c>
      <c r="M2101" s="14" t="n">
        <f aca="false">(D2101&lt;&gt;"")*(D2101&lt;=($E$3*60+$F$3)/86400)+(F2101&lt;&gt;"")*(F2101&lt;=($I$3*60+$J$3)/86400)+(H2101&lt;&gt;"")*(H2101&lt;=($M$3*60+$N$3)/86400)</f>
        <v>0</v>
      </c>
      <c r="N2101" s="16"/>
      <c r="O2101" s="15"/>
    </row>
    <row r="2102" customFormat="false" ht="25.35" hidden="false" customHeight="false" outlineLevel="0" collapsed="false">
      <c r="A2102" s="9" t="n">
        <v>2096</v>
      </c>
      <c r="B2102" s="10" t="s">
        <v>2985</v>
      </c>
      <c r="C2102" s="10" t="s">
        <v>2986</v>
      </c>
      <c r="D2102" s="11"/>
      <c r="E2102" s="12"/>
      <c r="F2102" s="11" t="n">
        <v>0.00762905092592593</v>
      </c>
      <c r="G2102" s="12" t="n">
        <v>1017</v>
      </c>
      <c r="H2102" s="11"/>
      <c r="I2102" s="12"/>
      <c r="J2102" s="12" t="n">
        <f aca="false">COUNT(E2102,G2102,I2102)</f>
        <v>1</v>
      </c>
      <c r="K2102" s="13" t="n">
        <f aca="false">MIN(E2102,G2102,I2102)</f>
        <v>1017</v>
      </c>
      <c r="L2102" s="9" t="str">
        <f aca="false">IF(E2102=K2102,"5000m",IF(G2102=K2102,"3000mSC","1500m"))</f>
        <v>3000mSC</v>
      </c>
      <c r="M2102" s="14" t="n">
        <f aca="false">(D2102&lt;&gt;"")*(D2102&lt;=($E$3*60+$F$3)/86400)+(F2102&lt;&gt;"")*(F2102&lt;=($I$3*60+$J$3)/86400)+(H2102&lt;&gt;"")*(H2102&lt;=($M$3*60+$N$3)/86400)</f>
        <v>0</v>
      </c>
      <c r="N2102" s="16"/>
      <c r="O2102" s="15"/>
    </row>
    <row r="2103" customFormat="false" ht="15" hidden="false" customHeight="false" outlineLevel="0" collapsed="false">
      <c r="A2103" s="9" t="n">
        <v>2097</v>
      </c>
      <c r="B2103" s="10" t="s">
        <v>2987</v>
      </c>
      <c r="C2103" s="10" t="s">
        <v>570</v>
      </c>
      <c r="D2103" s="11"/>
      <c r="E2103" s="12"/>
      <c r="F2103" s="11"/>
      <c r="G2103" s="12"/>
      <c r="H2103" s="11" t="n">
        <v>0.00290972222222222</v>
      </c>
      <c r="I2103" s="12" t="n">
        <v>1017</v>
      </c>
      <c r="J2103" s="12" t="n">
        <f aca="false">COUNT(E2103,G2103,I2103)</f>
        <v>1</v>
      </c>
      <c r="K2103" s="13" t="n">
        <f aca="false">MIN(E2103,G2103,I2103)</f>
        <v>1017</v>
      </c>
      <c r="L2103" s="9" t="str">
        <f aca="false">IF(E2103=K2103,"5000m",IF(G2103=K2103,"3000mSC","1500m"))</f>
        <v>1500m</v>
      </c>
      <c r="M2103" s="14" t="n">
        <f aca="false">(D2103&lt;&gt;"")*(D2103&lt;=($E$3*60+$F$3)/86400)+(F2103&lt;&gt;"")*(F2103&lt;=($I$3*60+$J$3)/86400)+(H2103&lt;&gt;"")*(H2103&lt;=($M$3*60+$N$3)/86400)</f>
        <v>0</v>
      </c>
      <c r="N2103" s="16"/>
      <c r="O2103" s="15"/>
    </row>
    <row r="2104" customFormat="false" ht="25.35" hidden="false" customHeight="false" outlineLevel="0" collapsed="false">
      <c r="A2104" s="9" t="n">
        <v>2098</v>
      </c>
      <c r="B2104" s="10" t="s">
        <v>2988</v>
      </c>
      <c r="C2104" s="10" t="s">
        <v>2989</v>
      </c>
      <c r="D2104" s="11"/>
      <c r="E2104" s="12"/>
      <c r="F2104" s="11" t="n">
        <v>0.00762939814814815</v>
      </c>
      <c r="G2104" s="12" t="n">
        <v>1018</v>
      </c>
      <c r="H2104" s="11"/>
      <c r="I2104" s="12"/>
      <c r="J2104" s="12" t="n">
        <f aca="false">COUNT(E2104,G2104,I2104)</f>
        <v>1</v>
      </c>
      <c r="K2104" s="13" t="n">
        <f aca="false">MIN(E2104,G2104,I2104)</f>
        <v>1018</v>
      </c>
      <c r="L2104" s="9" t="str">
        <f aca="false">IF(E2104=K2104,"5000m",IF(G2104=K2104,"3000mSC","1500m"))</f>
        <v>3000mSC</v>
      </c>
      <c r="M2104" s="14" t="n">
        <f aca="false">(D2104&lt;&gt;"")*(D2104&lt;=($E$3*60+$F$3)/86400)+(F2104&lt;&gt;"")*(F2104&lt;=($I$3*60+$J$3)/86400)+(H2104&lt;&gt;"")*(H2104&lt;=($M$3*60+$N$3)/86400)</f>
        <v>0</v>
      </c>
      <c r="N2104" s="16"/>
      <c r="O2104" s="15"/>
    </row>
    <row r="2105" customFormat="false" ht="25.35" hidden="false" customHeight="false" outlineLevel="0" collapsed="false">
      <c r="A2105" s="9" t="n">
        <v>2099</v>
      </c>
      <c r="B2105" s="10" t="s">
        <v>2990</v>
      </c>
      <c r="C2105" s="10" t="s">
        <v>2991</v>
      </c>
      <c r="D2105" s="11"/>
      <c r="E2105" s="12"/>
      <c r="F2105" s="11" t="n">
        <v>0.00762962962962963</v>
      </c>
      <c r="G2105" s="12" t="n">
        <v>1019</v>
      </c>
      <c r="H2105" s="11"/>
      <c r="I2105" s="12"/>
      <c r="J2105" s="12" t="n">
        <f aca="false">COUNT(E2105,G2105,I2105)</f>
        <v>1</v>
      </c>
      <c r="K2105" s="13" t="n">
        <f aca="false">MIN(E2105,G2105,I2105)</f>
        <v>1019</v>
      </c>
      <c r="L2105" s="9" t="str">
        <f aca="false">IF(E2105=K2105,"5000m",IF(G2105=K2105,"3000mSC","1500m"))</f>
        <v>3000mSC</v>
      </c>
      <c r="M2105" s="14" t="n">
        <f aca="false">(D2105&lt;&gt;"")*(D2105&lt;=($E$3*60+$F$3)/86400)+(F2105&lt;&gt;"")*(F2105&lt;=($I$3*60+$J$3)/86400)+(H2105&lt;&gt;"")*(H2105&lt;=($M$3*60+$N$3)/86400)</f>
        <v>0</v>
      </c>
      <c r="N2105" s="16"/>
      <c r="O2105" s="15"/>
    </row>
    <row r="2106" customFormat="false" ht="25.35" hidden="false" customHeight="false" outlineLevel="0" collapsed="false">
      <c r="A2106" s="9" t="n">
        <v>2100</v>
      </c>
      <c r="B2106" s="10" t="s">
        <v>2992</v>
      </c>
      <c r="C2106" s="10" t="s">
        <v>2993</v>
      </c>
      <c r="D2106" s="11"/>
      <c r="E2106" s="12"/>
      <c r="F2106" s="11" t="n">
        <v>0.00763043981481482</v>
      </c>
      <c r="G2106" s="12" t="n">
        <v>1020</v>
      </c>
      <c r="H2106" s="11"/>
      <c r="I2106" s="12"/>
      <c r="J2106" s="12" t="n">
        <f aca="false">COUNT(E2106,G2106,I2106)</f>
        <v>1</v>
      </c>
      <c r="K2106" s="13" t="n">
        <f aca="false">MIN(E2106,G2106,I2106)</f>
        <v>1020</v>
      </c>
      <c r="L2106" s="9" t="str">
        <f aca="false">IF(E2106=K2106,"5000m",IF(G2106=K2106,"3000mSC","1500m"))</f>
        <v>3000mSC</v>
      </c>
      <c r="M2106" s="14" t="n">
        <f aca="false">(D2106&lt;&gt;"")*(D2106&lt;=($E$3*60+$F$3)/86400)+(F2106&lt;&gt;"")*(F2106&lt;=($I$3*60+$J$3)/86400)+(H2106&lt;&gt;"")*(H2106&lt;=($M$3*60+$N$3)/86400)</f>
        <v>0</v>
      </c>
      <c r="N2106" s="16"/>
      <c r="O2106" s="15"/>
    </row>
    <row r="2107" customFormat="false" ht="15" hidden="false" customHeight="false" outlineLevel="0" collapsed="false">
      <c r="A2107" s="9" t="n">
        <v>2101</v>
      </c>
      <c r="B2107" s="10" t="s">
        <v>2994</v>
      </c>
      <c r="C2107" s="10" t="s">
        <v>724</v>
      </c>
      <c r="D2107" s="11"/>
      <c r="E2107" s="12"/>
      <c r="F2107" s="11"/>
      <c r="G2107" s="12"/>
      <c r="H2107" s="11" t="n">
        <v>0.00291006944444445</v>
      </c>
      <c r="I2107" s="12" t="n">
        <v>1020</v>
      </c>
      <c r="J2107" s="12" t="n">
        <f aca="false">COUNT(E2107,G2107,I2107)</f>
        <v>1</v>
      </c>
      <c r="K2107" s="13" t="n">
        <f aca="false">MIN(E2107,G2107,I2107)</f>
        <v>1020</v>
      </c>
      <c r="L2107" s="9" t="str">
        <f aca="false">IF(E2107=K2107,"5000m",IF(G2107=K2107,"3000mSC","1500m"))</f>
        <v>1500m</v>
      </c>
      <c r="M2107" s="14" t="n">
        <f aca="false">(D2107&lt;&gt;"")*(D2107&lt;=($E$3*60+$F$3)/86400)+(F2107&lt;&gt;"")*(F2107&lt;=($I$3*60+$J$3)/86400)+(H2107&lt;&gt;"")*(H2107&lt;=($M$3*60+$N$3)/86400)</f>
        <v>0</v>
      </c>
      <c r="N2107" s="16"/>
      <c r="O2107" s="15"/>
    </row>
    <row r="2108" customFormat="false" ht="25.35" hidden="false" customHeight="false" outlineLevel="0" collapsed="false">
      <c r="A2108" s="9" t="n">
        <v>2102</v>
      </c>
      <c r="B2108" s="10" t="s">
        <v>2995</v>
      </c>
      <c r="C2108" s="10" t="s">
        <v>1314</v>
      </c>
      <c r="D2108" s="11"/>
      <c r="E2108" s="12"/>
      <c r="F2108" s="11" t="n">
        <v>0.00763333333333333</v>
      </c>
      <c r="G2108" s="12" t="n">
        <v>1021</v>
      </c>
      <c r="H2108" s="11"/>
      <c r="I2108" s="12"/>
      <c r="J2108" s="12" t="n">
        <f aca="false">COUNT(E2108,G2108,I2108)</f>
        <v>1</v>
      </c>
      <c r="K2108" s="13" t="n">
        <f aca="false">MIN(E2108,G2108,I2108)</f>
        <v>1021</v>
      </c>
      <c r="L2108" s="9" t="str">
        <f aca="false">IF(E2108=K2108,"5000m",IF(G2108=K2108,"3000mSC","1500m"))</f>
        <v>3000mSC</v>
      </c>
      <c r="M2108" s="14" t="n">
        <f aca="false">(D2108&lt;&gt;"")*(D2108&lt;=($E$3*60+$F$3)/86400)+(F2108&lt;&gt;"")*(F2108&lt;=($I$3*60+$J$3)/86400)+(H2108&lt;&gt;"")*(H2108&lt;=($M$3*60+$N$3)/86400)</f>
        <v>0</v>
      </c>
      <c r="N2108" s="16"/>
      <c r="O2108" s="15"/>
    </row>
    <row r="2109" customFormat="false" ht="15" hidden="false" customHeight="false" outlineLevel="0" collapsed="false">
      <c r="A2109" s="9" t="n">
        <v>2103</v>
      </c>
      <c r="B2109" s="10" t="s">
        <v>2996</v>
      </c>
      <c r="C2109" s="10" t="s">
        <v>2997</v>
      </c>
      <c r="D2109" s="11"/>
      <c r="E2109" s="12"/>
      <c r="F2109" s="11"/>
      <c r="G2109" s="12"/>
      <c r="H2109" s="11" t="n">
        <v>0.00291006944444445</v>
      </c>
      <c r="I2109" s="12" t="n">
        <v>1021</v>
      </c>
      <c r="J2109" s="12" t="n">
        <f aca="false">COUNT(E2109,G2109,I2109)</f>
        <v>1</v>
      </c>
      <c r="K2109" s="13" t="n">
        <f aca="false">MIN(E2109,G2109,I2109)</f>
        <v>1021</v>
      </c>
      <c r="L2109" s="9" t="str">
        <f aca="false">IF(E2109=K2109,"5000m",IF(G2109=K2109,"3000mSC","1500m"))</f>
        <v>1500m</v>
      </c>
      <c r="M2109" s="14" t="n">
        <f aca="false">(D2109&lt;&gt;"")*(D2109&lt;=($E$3*60+$F$3)/86400)+(F2109&lt;&gt;"")*(F2109&lt;=($I$3*60+$J$3)/86400)+(H2109&lt;&gt;"")*(H2109&lt;=($M$3*60+$N$3)/86400)</f>
        <v>0</v>
      </c>
      <c r="N2109" s="16"/>
      <c r="O2109" s="15"/>
    </row>
    <row r="2110" customFormat="false" ht="25.35" hidden="false" customHeight="false" outlineLevel="0" collapsed="false">
      <c r="A2110" s="9" t="n">
        <v>2104</v>
      </c>
      <c r="B2110" s="10" t="s">
        <v>2998</v>
      </c>
      <c r="C2110" s="10" t="s">
        <v>2999</v>
      </c>
      <c r="D2110" s="11"/>
      <c r="E2110" s="12"/>
      <c r="F2110" s="11" t="n">
        <v>0.00763344907407407</v>
      </c>
      <c r="G2110" s="12" t="n">
        <v>1022</v>
      </c>
      <c r="H2110" s="11"/>
      <c r="I2110" s="12"/>
      <c r="J2110" s="12" t="n">
        <f aca="false">COUNT(E2110,G2110,I2110)</f>
        <v>1</v>
      </c>
      <c r="K2110" s="13" t="n">
        <f aca="false">MIN(E2110,G2110,I2110)</f>
        <v>1022</v>
      </c>
      <c r="L2110" s="9" t="str">
        <f aca="false">IF(E2110=K2110,"5000m",IF(G2110=K2110,"3000mSC","1500m"))</f>
        <v>3000mSC</v>
      </c>
      <c r="M2110" s="14" t="n">
        <f aca="false">(D2110&lt;&gt;"")*(D2110&lt;=($E$3*60+$F$3)/86400)+(F2110&lt;&gt;"")*(F2110&lt;=($I$3*60+$J$3)/86400)+(H2110&lt;&gt;"")*(H2110&lt;=($M$3*60+$N$3)/86400)</f>
        <v>0</v>
      </c>
      <c r="N2110" s="16"/>
      <c r="O2110" s="15"/>
    </row>
    <row r="2111" customFormat="false" ht="15" hidden="false" customHeight="false" outlineLevel="0" collapsed="false">
      <c r="A2111" s="9" t="n">
        <v>2105</v>
      </c>
      <c r="B2111" s="10" t="s">
        <v>3000</v>
      </c>
      <c r="C2111" s="10" t="s">
        <v>2253</v>
      </c>
      <c r="D2111" s="11"/>
      <c r="E2111" s="12"/>
      <c r="F2111" s="11"/>
      <c r="G2111" s="12"/>
      <c r="H2111" s="11" t="n">
        <v>0.00291030092592593</v>
      </c>
      <c r="I2111" s="12" t="n">
        <v>1022</v>
      </c>
      <c r="J2111" s="12" t="n">
        <f aca="false">COUNT(E2111,G2111,I2111)</f>
        <v>1</v>
      </c>
      <c r="K2111" s="13" t="n">
        <f aca="false">MIN(E2111,G2111,I2111)</f>
        <v>1022</v>
      </c>
      <c r="L2111" s="9" t="str">
        <f aca="false">IF(E2111=K2111,"5000m",IF(G2111=K2111,"3000mSC","1500m"))</f>
        <v>1500m</v>
      </c>
      <c r="M2111" s="14" t="n">
        <f aca="false">(D2111&lt;&gt;"")*(D2111&lt;=($E$3*60+$F$3)/86400)+(F2111&lt;&gt;"")*(F2111&lt;=($I$3*60+$J$3)/86400)+(H2111&lt;&gt;"")*(H2111&lt;=($M$3*60+$N$3)/86400)</f>
        <v>0</v>
      </c>
      <c r="N2111" s="16"/>
      <c r="O2111" s="15"/>
    </row>
    <row r="2112" customFormat="false" ht="25.35" hidden="false" customHeight="false" outlineLevel="0" collapsed="false">
      <c r="A2112" s="9" t="n">
        <v>2106</v>
      </c>
      <c r="B2112" s="10" t="s">
        <v>3001</v>
      </c>
      <c r="C2112" s="10" t="s">
        <v>3002</v>
      </c>
      <c r="D2112" s="11"/>
      <c r="E2112" s="12"/>
      <c r="F2112" s="11" t="n">
        <v>0.00763449074074074</v>
      </c>
      <c r="G2112" s="12" t="n">
        <v>1023</v>
      </c>
      <c r="H2112" s="11"/>
      <c r="I2112" s="12"/>
      <c r="J2112" s="12" t="n">
        <f aca="false">COUNT(E2112,G2112,I2112)</f>
        <v>1</v>
      </c>
      <c r="K2112" s="13" t="n">
        <f aca="false">MIN(E2112,G2112,I2112)</f>
        <v>1023</v>
      </c>
      <c r="L2112" s="9" t="str">
        <f aca="false">IF(E2112=K2112,"5000m",IF(G2112=K2112,"3000mSC","1500m"))</f>
        <v>3000mSC</v>
      </c>
      <c r="M2112" s="14" t="n">
        <f aca="false">(D2112&lt;&gt;"")*(D2112&lt;=($E$3*60+$F$3)/86400)+(F2112&lt;&gt;"")*(F2112&lt;=($I$3*60+$J$3)/86400)+(H2112&lt;&gt;"")*(H2112&lt;=($M$3*60+$N$3)/86400)</f>
        <v>0</v>
      </c>
      <c r="N2112" s="16"/>
      <c r="O2112" s="15"/>
    </row>
    <row r="2113" customFormat="false" ht="15" hidden="false" customHeight="false" outlineLevel="0" collapsed="false">
      <c r="A2113" s="9" t="n">
        <v>2107</v>
      </c>
      <c r="B2113" s="10" t="s">
        <v>3003</v>
      </c>
      <c r="C2113" s="10" t="s">
        <v>3004</v>
      </c>
      <c r="D2113" s="11"/>
      <c r="E2113" s="12"/>
      <c r="F2113" s="11"/>
      <c r="G2113" s="12"/>
      <c r="H2113" s="11" t="n">
        <v>0.00291030092592593</v>
      </c>
      <c r="I2113" s="12" t="n">
        <v>1023</v>
      </c>
      <c r="J2113" s="12" t="n">
        <f aca="false">COUNT(E2113,G2113,I2113)</f>
        <v>1</v>
      </c>
      <c r="K2113" s="13" t="n">
        <f aca="false">MIN(E2113,G2113,I2113)</f>
        <v>1023</v>
      </c>
      <c r="L2113" s="9" t="str">
        <f aca="false">IF(E2113=K2113,"5000m",IF(G2113=K2113,"3000mSC","1500m"))</f>
        <v>1500m</v>
      </c>
      <c r="M2113" s="14" t="n">
        <f aca="false">(D2113&lt;&gt;"")*(D2113&lt;=($E$3*60+$F$3)/86400)+(F2113&lt;&gt;"")*(F2113&lt;=($I$3*60+$J$3)/86400)+(H2113&lt;&gt;"")*(H2113&lt;=($M$3*60+$N$3)/86400)</f>
        <v>0</v>
      </c>
      <c r="N2113" s="16"/>
      <c r="O2113" s="15"/>
    </row>
    <row r="2114" customFormat="false" ht="25.35" hidden="false" customHeight="false" outlineLevel="0" collapsed="false">
      <c r="A2114" s="9" t="n">
        <v>2108</v>
      </c>
      <c r="B2114" s="10" t="s">
        <v>3005</v>
      </c>
      <c r="C2114" s="10" t="s">
        <v>3006</v>
      </c>
      <c r="D2114" s="11"/>
      <c r="E2114" s="12"/>
      <c r="F2114" s="11" t="n">
        <v>0.00763564814814815</v>
      </c>
      <c r="G2114" s="12" t="n">
        <v>1024</v>
      </c>
      <c r="H2114" s="11"/>
      <c r="I2114" s="12"/>
      <c r="J2114" s="12" t="n">
        <f aca="false">COUNT(E2114,G2114,I2114)</f>
        <v>1</v>
      </c>
      <c r="K2114" s="13" t="n">
        <f aca="false">MIN(E2114,G2114,I2114)</f>
        <v>1024</v>
      </c>
      <c r="L2114" s="9" t="str">
        <f aca="false">IF(E2114=K2114,"5000m",IF(G2114=K2114,"3000mSC","1500m"))</f>
        <v>3000mSC</v>
      </c>
      <c r="M2114" s="14" t="n">
        <f aca="false">(D2114&lt;&gt;"")*(D2114&lt;=($E$3*60+$F$3)/86400)+(F2114&lt;&gt;"")*(F2114&lt;=($I$3*60+$J$3)/86400)+(H2114&lt;&gt;"")*(H2114&lt;=($M$3*60+$N$3)/86400)</f>
        <v>0</v>
      </c>
      <c r="N2114" s="16"/>
      <c r="O2114" s="15"/>
    </row>
    <row r="2115" customFormat="false" ht="15" hidden="false" customHeight="false" outlineLevel="0" collapsed="false">
      <c r="A2115" s="9" t="n">
        <v>2109</v>
      </c>
      <c r="B2115" s="10" t="s">
        <v>3007</v>
      </c>
      <c r="C2115" s="10" t="s">
        <v>3008</v>
      </c>
      <c r="D2115" s="11" t="n">
        <v>0.0109638888888889</v>
      </c>
      <c r="E2115" s="12" t="n">
        <v>1025</v>
      </c>
      <c r="F2115" s="11"/>
      <c r="G2115" s="12"/>
      <c r="H2115" s="11"/>
      <c r="I2115" s="12"/>
      <c r="J2115" s="12" t="n">
        <f aca="false">COUNT(E2115,G2115,I2115)</f>
        <v>1</v>
      </c>
      <c r="K2115" s="13" t="n">
        <f aca="false">MIN(E2115,G2115,I2115)</f>
        <v>1025</v>
      </c>
      <c r="L2115" s="9" t="str">
        <f aca="false">IF(E2115=K2115,"5000m",IF(G2115=K2115,"3000mSC","1500m"))</f>
        <v>5000m</v>
      </c>
      <c r="M2115" s="14" t="n">
        <f aca="false">(D2115&lt;&gt;"")*(D2115&lt;=($E$3*60+$F$3)/86400)+(F2115&lt;&gt;"")*(F2115&lt;=($I$3*60+$J$3)/86400)+(H2115&lt;&gt;"")*(H2115&lt;=($M$3*60+$N$3)/86400)</f>
        <v>0</v>
      </c>
      <c r="N2115" s="16"/>
      <c r="O2115" s="15"/>
    </row>
    <row r="2116" customFormat="false" ht="25.35" hidden="false" customHeight="false" outlineLevel="0" collapsed="false">
      <c r="A2116" s="9" t="n">
        <v>2110</v>
      </c>
      <c r="B2116" s="10" t="s">
        <v>3009</v>
      </c>
      <c r="C2116" s="10" t="s">
        <v>1888</v>
      </c>
      <c r="D2116" s="11"/>
      <c r="E2116" s="12"/>
      <c r="F2116" s="11" t="n">
        <v>0.00763576388888889</v>
      </c>
      <c r="G2116" s="12" t="n">
        <v>1025</v>
      </c>
      <c r="H2116" s="11"/>
      <c r="I2116" s="12"/>
      <c r="J2116" s="12" t="n">
        <f aca="false">COUNT(E2116,G2116,I2116)</f>
        <v>1</v>
      </c>
      <c r="K2116" s="13" t="n">
        <f aca="false">MIN(E2116,G2116,I2116)</f>
        <v>1025</v>
      </c>
      <c r="L2116" s="9" t="str">
        <f aca="false">IF(E2116=K2116,"5000m",IF(G2116=K2116,"3000mSC","1500m"))</f>
        <v>3000mSC</v>
      </c>
      <c r="M2116" s="14" t="n">
        <f aca="false">(D2116&lt;&gt;"")*(D2116&lt;=($E$3*60+$F$3)/86400)+(F2116&lt;&gt;"")*(F2116&lt;=($I$3*60+$J$3)/86400)+(H2116&lt;&gt;"")*(H2116&lt;=($M$3*60+$N$3)/86400)</f>
        <v>0</v>
      </c>
      <c r="N2116" s="16"/>
      <c r="O2116" s="15"/>
    </row>
    <row r="2117" customFormat="false" ht="15" hidden="false" customHeight="false" outlineLevel="0" collapsed="false">
      <c r="A2117" s="9" t="n">
        <v>2111</v>
      </c>
      <c r="B2117" s="10" t="s">
        <v>3010</v>
      </c>
      <c r="C2117" s="10" t="s">
        <v>2283</v>
      </c>
      <c r="D2117" s="11" t="n">
        <v>0.0110024305555556</v>
      </c>
      <c r="E2117" s="12" t="n">
        <v>1099</v>
      </c>
      <c r="F2117" s="11"/>
      <c r="G2117" s="12"/>
      <c r="H2117" s="11" t="n">
        <v>0.00291053240740741</v>
      </c>
      <c r="I2117" s="12" t="n">
        <v>1026</v>
      </c>
      <c r="J2117" s="12" t="n">
        <f aca="false">COUNT(E2117,G2117,I2117)</f>
        <v>2</v>
      </c>
      <c r="K2117" s="13" t="n">
        <f aca="false">MIN(E2117,G2117,I2117)</f>
        <v>1026</v>
      </c>
      <c r="L2117" s="9" t="str">
        <f aca="false">IF(E2117=K2117,"5000m",IF(G2117=K2117,"3000mSC","1500m"))</f>
        <v>1500m</v>
      </c>
      <c r="M2117" s="14" t="n">
        <f aca="false">(D2117&lt;&gt;"")*(D2117&lt;=($E$3*60+$F$3)/86400)+(F2117&lt;&gt;"")*(F2117&lt;=($I$3*60+$J$3)/86400)+(H2117&lt;&gt;"")*(H2117&lt;=($M$3*60+$N$3)/86400)</f>
        <v>0</v>
      </c>
      <c r="N2117" s="16"/>
      <c r="O2117" s="15"/>
    </row>
    <row r="2118" customFormat="false" ht="15" hidden="false" customHeight="false" outlineLevel="0" collapsed="false">
      <c r="A2118" s="9" t="n">
        <v>2112</v>
      </c>
      <c r="B2118" s="10" t="s">
        <v>3011</v>
      </c>
      <c r="C2118" s="10" t="s">
        <v>425</v>
      </c>
      <c r="D2118" s="11" t="n">
        <v>0.0109643518518519</v>
      </c>
      <c r="E2118" s="12" t="n">
        <v>1026</v>
      </c>
      <c r="F2118" s="11"/>
      <c r="G2118" s="12"/>
      <c r="H2118" s="11"/>
      <c r="I2118" s="12"/>
      <c r="J2118" s="12" t="n">
        <f aca="false">COUNT(E2118,G2118,I2118)</f>
        <v>1</v>
      </c>
      <c r="K2118" s="13" t="n">
        <f aca="false">MIN(E2118,G2118,I2118)</f>
        <v>1026</v>
      </c>
      <c r="L2118" s="9" t="str">
        <f aca="false">IF(E2118=K2118,"5000m",IF(G2118=K2118,"3000mSC","1500m"))</f>
        <v>5000m</v>
      </c>
      <c r="M2118" s="14" t="n">
        <f aca="false">(D2118&lt;&gt;"")*(D2118&lt;=($E$3*60+$F$3)/86400)+(F2118&lt;&gt;"")*(F2118&lt;=($I$3*60+$J$3)/86400)+(H2118&lt;&gt;"")*(H2118&lt;=($M$3*60+$N$3)/86400)</f>
        <v>0</v>
      </c>
      <c r="N2118" s="16"/>
      <c r="O2118" s="15"/>
    </row>
    <row r="2119" customFormat="false" ht="25.35" hidden="false" customHeight="false" outlineLevel="0" collapsed="false">
      <c r="A2119" s="9" t="n">
        <v>2113</v>
      </c>
      <c r="B2119" s="10" t="s">
        <v>3012</v>
      </c>
      <c r="C2119" s="10" t="s">
        <v>3013</v>
      </c>
      <c r="D2119" s="11"/>
      <c r="E2119" s="12"/>
      <c r="F2119" s="11" t="n">
        <v>0.00763831018518519</v>
      </c>
      <c r="G2119" s="12" t="n">
        <v>1026</v>
      </c>
      <c r="H2119" s="11"/>
      <c r="I2119" s="12"/>
      <c r="J2119" s="12" t="n">
        <f aca="false">COUNT(E2119,G2119,I2119)</f>
        <v>1</v>
      </c>
      <c r="K2119" s="13" t="n">
        <f aca="false">MIN(E2119,G2119,I2119)</f>
        <v>1026</v>
      </c>
      <c r="L2119" s="9" t="str">
        <f aca="false">IF(E2119=K2119,"5000m",IF(G2119=K2119,"3000mSC","1500m"))</f>
        <v>3000mSC</v>
      </c>
      <c r="M2119" s="14" t="n">
        <f aca="false">(D2119&lt;&gt;"")*(D2119&lt;=($E$3*60+$F$3)/86400)+(F2119&lt;&gt;"")*(F2119&lt;=($I$3*60+$J$3)/86400)+(H2119&lt;&gt;"")*(H2119&lt;=($M$3*60+$N$3)/86400)</f>
        <v>0</v>
      </c>
      <c r="N2119" s="16"/>
      <c r="O2119" s="15"/>
    </row>
    <row r="2120" customFormat="false" ht="15" hidden="false" customHeight="false" outlineLevel="0" collapsed="false">
      <c r="A2120" s="9" t="n">
        <v>2114</v>
      </c>
      <c r="B2120" s="10" t="s">
        <v>3014</v>
      </c>
      <c r="C2120" s="10" t="s">
        <v>3015</v>
      </c>
      <c r="D2120" s="11" t="n">
        <v>0.0109652777777778</v>
      </c>
      <c r="E2120" s="12" t="n">
        <v>1027</v>
      </c>
      <c r="F2120" s="11"/>
      <c r="G2120" s="12"/>
      <c r="H2120" s="11"/>
      <c r="I2120" s="12"/>
      <c r="J2120" s="12" t="n">
        <f aca="false">COUNT(E2120,G2120,I2120)</f>
        <v>1</v>
      </c>
      <c r="K2120" s="13" t="n">
        <f aca="false">MIN(E2120,G2120,I2120)</f>
        <v>1027</v>
      </c>
      <c r="L2120" s="9" t="str">
        <f aca="false">IF(E2120=K2120,"5000m",IF(G2120=K2120,"3000mSC","1500m"))</f>
        <v>5000m</v>
      </c>
      <c r="M2120" s="14" t="n">
        <f aca="false">(D2120&lt;&gt;"")*(D2120&lt;=($E$3*60+$F$3)/86400)+(F2120&lt;&gt;"")*(F2120&lt;=($I$3*60+$J$3)/86400)+(H2120&lt;&gt;"")*(H2120&lt;=($M$3*60+$N$3)/86400)</f>
        <v>0</v>
      </c>
      <c r="N2120" s="16"/>
      <c r="O2120" s="15"/>
    </row>
    <row r="2121" customFormat="false" ht="25.35" hidden="false" customHeight="false" outlineLevel="0" collapsed="false">
      <c r="A2121" s="9" t="n">
        <v>2115</v>
      </c>
      <c r="B2121" s="10" t="s">
        <v>3016</v>
      </c>
      <c r="C2121" s="10" t="s">
        <v>3017</v>
      </c>
      <c r="D2121" s="11"/>
      <c r="E2121" s="12"/>
      <c r="F2121" s="11" t="n">
        <v>0.00764224537037037</v>
      </c>
      <c r="G2121" s="12" t="n">
        <v>1027</v>
      </c>
      <c r="H2121" s="11"/>
      <c r="I2121" s="12"/>
      <c r="J2121" s="12" t="n">
        <f aca="false">COUNT(E2121,G2121,I2121)</f>
        <v>1</v>
      </c>
      <c r="K2121" s="13" t="n">
        <f aca="false">MIN(E2121,G2121,I2121)</f>
        <v>1027</v>
      </c>
      <c r="L2121" s="9" t="str">
        <f aca="false">IF(E2121=K2121,"5000m",IF(G2121=K2121,"3000mSC","1500m"))</f>
        <v>3000mSC</v>
      </c>
      <c r="M2121" s="14" t="n">
        <f aca="false">(D2121&lt;&gt;"")*(D2121&lt;=($E$3*60+$F$3)/86400)+(F2121&lt;&gt;"")*(F2121&lt;=($I$3*60+$J$3)/86400)+(H2121&lt;&gt;"")*(H2121&lt;=($M$3*60+$N$3)/86400)</f>
        <v>0</v>
      </c>
      <c r="N2121" s="16"/>
      <c r="O2121" s="15"/>
    </row>
    <row r="2122" customFormat="false" ht="25.35" hidden="false" customHeight="false" outlineLevel="0" collapsed="false">
      <c r="A2122" s="9" t="n">
        <v>2116</v>
      </c>
      <c r="B2122" s="10" t="s">
        <v>3018</v>
      </c>
      <c r="C2122" s="10" t="s">
        <v>1878</v>
      </c>
      <c r="D2122" s="11"/>
      <c r="E2122" s="12"/>
      <c r="F2122" s="11" t="n">
        <v>0.00764247685185185</v>
      </c>
      <c r="G2122" s="12" t="n">
        <v>1028</v>
      </c>
      <c r="H2122" s="11"/>
      <c r="I2122" s="12"/>
      <c r="J2122" s="12" t="n">
        <f aca="false">COUNT(E2122,G2122,I2122)</f>
        <v>1</v>
      </c>
      <c r="K2122" s="13" t="n">
        <f aca="false">MIN(E2122,G2122,I2122)</f>
        <v>1028</v>
      </c>
      <c r="L2122" s="9" t="str">
        <f aca="false">IF(E2122=K2122,"5000m",IF(G2122=K2122,"3000mSC","1500m"))</f>
        <v>3000mSC</v>
      </c>
      <c r="M2122" s="14" t="n">
        <f aca="false">(D2122&lt;&gt;"")*(D2122&lt;=($E$3*60+$F$3)/86400)+(F2122&lt;&gt;"")*(F2122&lt;=($I$3*60+$J$3)/86400)+(H2122&lt;&gt;"")*(H2122&lt;=($M$3*60+$N$3)/86400)</f>
        <v>0</v>
      </c>
      <c r="N2122" s="16"/>
      <c r="O2122" s="15"/>
    </row>
    <row r="2123" customFormat="false" ht="25.35" hidden="false" customHeight="false" outlineLevel="0" collapsed="false">
      <c r="A2123" s="9" t="n">
        <v>2117</v>
      </c>
      <c r="B2123" s="10" t="s">
        <v>3019</v>
      </c>
      <c r="C2123" s="10" t="s">
        <v>3020</v>
      </c>
      <c r="D2123" s="11"/>
      <c r="E2123" s="12"/>
      <c r="F2123" s="11" t="n">
        <v>0.00764270833333333</v>
      </c>
      <c r="G2123" s="12" t="n">
        <v>1029</v>
      </c>
      <c r="H2123" s="11"/>
      <c r="I2123" s="12"/>
      <c r="J2123" s="12" t="n">
        <f aca="false">COUNT(E2123,G2123,I2123)</f>
        <v>1</v>
      </c>
      <c r="K2123" s="13" t="n">
        <f aca="false">MIN(E2123,G2123,I2123)</f>
        <v>1029</v>
      </c>
      <c r="L2123" s="9" t="str">
        <f aca="false">IF(E2123=K2123,"5000m",IF(G2123=K2123,"3000mSC","1500m"))</f>
        <v>3000mSC</v>
      </c>
      <c r="M2123" s="14" t="n">
        <f aca="false">(D2123&lt;&gt;"")*(D2123&lt;=($E$3*60+$F$3)/86400)+(F2123&lt;&gt;"")*(F2123&lt;=($I$3*60+$J$3)/86400)+(H2123&lt;&gt;"")*(H2123&lt;=($M$3*60+$N$3)/86400)</f>
        <v>0</v>
      </c>
      <c r="N2123" s="16"/>
      <c r="O2123" s="15"/>
    </row>
    <row r="2124" customFormat="false" ht="25.35" hidden="false" customHeight="false" outlineLevel="0" collapsed="false">
      <c r="A2124" s="9" t="n">
        <v>2118</v>
      </c>
      <c r="B2124" s="10" t="s">
        <v>3021</v>
      </c>
      <c r="C2124" s="10" t="s">
        <v>3022</v>
      </c>
      <c r="D2124" s="11"/>
      <c r="E2124" s="12"/>
      <c r="F2124" s="11" t="n">
        <v>0.0076443287037037</v>
      </c>
      <c r="G2124" s="12" t="n">
        <v>1030</v>
      </c>
      <c r="H2124" s="11"/>
      <c r="I2124" s="12"/>
      <c r="J2124" s="12" t="n">
        <f aca="false">COUNT(E2124,G2124,I2124)</f>
        <v>1</v>
      </c>
      <c r="K2124" s="13" t="n">
        <f aca="false">MIN(E2124,G2124,I2124)</f>
        <v>1030</v>
      </c>
      <c r="L2124" s="9" t="str">
        <f aca="false">IF(E2124=K2124,"5000m",IF(G2124=K2124,"3000mSC","1500m"))</f>
        <v>3000mSC</v>
      </c>
      <c r="M2124" s="14" t="n">
        <f aca="false">(D2124&lt;&gt;"")*(D2124&lt;=($E$3*60+$F$3)/86400)+(F2124&lt;&gt;"")*(F2124&lt;=($I$3*60+$J$3)/86400)+(H2124&lt;&gt;"")*(H2124&lt;=($M$3*60+$N$3)/86400)</f>
        <v>0</v>
      </c>
      <c r="N2124" s="16"/>
      <c r="O2124" s="15"/>
    </row>
    <row r="2125" customFormat="false" ht="15" hidden="false" customHeight="false" outlineLevel="0" collapsed="false">
      <c r="A2125" s="9" t="n">
        <v>2119</v>
      </c>
      <c r="B2125" s="10" t="s">
        <v>3023</v>
      </c>
      <c r="C2125" s="10" t="s">
        <v>1504</v>
      </c>
      <c r="D2125" s="11" t="n">
        <v>0.0109677083333333</v>
      </c>
      <c r="E2125" s="12" t="n">
        <v>1031</v>
      </c>
      <c r="F2125" s="11" t="n">
        <v>0.00840659722222222</v>
      </c>
      <c r="G2125" s="12" t="n">
        <v>1282</v>
      </c>
      <c r="H2125" s="11"/>
      <c r="I2125" s="12"/>
      <c r="J2125" s="12" t="n">
        <f aca="false">COUNT(E2125,G2125,I2125)</f>
        <v>2</v>
      </c>
      <c r="K2125" s="13" t="n">
        <f aca="false">MIN(E2125,G2125,I2125)</f>
        <v>1031</v>
      </c>
      <c r="L2125" s="9" t="str">
        <f aca="false">IF(E2125=K2125,"5000m",IF(G2125=K2125,"3000mSC","1500m"))</f>
        <v>5000m</v>
      </c>
      <c r="M2125" s="14" t="n">
        <f aca="false">(D2125&lt;&gt;"")*(D2125&lt;=($E$3*60+$F$3)/86400)+(F2125&lt;&gt;"")*(F2125&lt;=($I$3*60+$J$3)/86400)+(H2125&lt;&gt;"")*(H2125&lt;=($M$3*60+$N$3)/86400)</f>
        <v>0</v>
      </c>
      <c r="N2125" s="16"/>
      <c r="O2125" s="15"/>
    </row>
    <row r="2126" customFormat="false" ht="25.35" hidden="false" customHeight="false" outlineLevel="0" collapsed="false">
      <c r="A2126" s="9" t="n">
        <v>2120</v>
      </c>
      <c r="B2126" s="10" t="s">
        <v>3024</v>
      </c>
      <c r="C2126" s="10" t="s">
        <v>3025</v>
      </c>
      <c r="D2126" s="11"/>
      <c r="E2126" s="12"/>
      <c r="F2126" s="11" t="n">
        <v>0.00764456018518519</v>
      </c>
      <c r="G2126" s="12" t="n">
        <v>1031</v>
      </c>
      <c r="H2126" s="11"/>
      <c r="I2126" s="12"/>
      <c r="J2126" s="12" t="n">
        <f aca="false">COUNT(E2126,G2126,I2126)</f>
        <v>1</v>
      </c>
      <c r="K2126" s="13" t="n">
        <f aca="false">MIN(E2126,G2126,I2126)</f>
        <v>1031</v>
      </c>
      <c r="L2126" s="9" t="str">
        <f aca="false">IF(E2126=K2126,"5000m",IF(G2126=K2126,"3000mSC","1500m"))</f>
        <v>3000mSC</v>
      </c>
      <c r="M2126" s="14" t="n">
        <f aca="false">(D2126&lt;&gt;"")*(D2126&lt;=($E$3*60+$F$3)/86400)+(F2126&lt;&gt;"")*(F2126&lt;=($I$3*60+$J$3)/86400)+(H2126&lt;&gt;"")*(H2126&lt;=($M$3*60+$N$3)/86400)</f>
        <v>0</v>
      </c>
      <c r="N2126" s="16"/>
      <c r="O2126" s="15"/>
    </row>
    <row r="2127" customFormat="false" ht="15" hidden="false" customHeight="false" outlineLevel="0" collapsed="false">
      <c r="A2127" s="9" t="n">
        <v>2121</v>
      </c>
      <c r="B2127" s="10" t="s">
        <v>3026</v>
      </c>
      <c r="C2127" s="10" t="s">
        <v>3027</v>
      </c>
      <c r="D2127" s="11"/>
      <c r="E2127" s="12"/>
      <c r="F2127" s="11"/>
      <c r="G2127" s="12"/>
      <c r="H2127" s="11" t="n">
        <v>0.00291134259259259</v>
      </c>
      <c r="I2127" s="12" t="n">
        <v>1031</v>
      </c>
      <c r="J2127" s="12" t="n">
        <f aca="false">COUNT(E2127,G2127,I2127)</f>
        <v>1</v>
      </c>
      <c r="K2127" s="13" t="n">
        <f aca="false">MIN(E2127,G2127,I2127)</f>
        <v>1031</v>
      </c>
      <c r="L2127" s="9" t="str">
        <f aca="false">IF(E2127=K2127,"5000m",IF(G2127=K2127,"3000mSC","1500m"))</f>
        <v>1500m</v>
      </c>
      <c r="M2127" s="14" t="n">
        <f aca="false">(D2127&lt;&gt;"")*(D2127&lt;=($E$3*60+$F$3)/86400)+(F2127&lt;&gt;"")*(F2127&lt;=($I$3*60+$J$3)/86400)+(H2127&lt;&gt;"")*(H2127&lt;=($M$3*60+$N$3)/86400)</f>
        <v>0</v>
      </c>
      <c r="N2127" s="16"/>
      <c r="O2127" s="15"/>
    </row>
    <row r="2128" customFormat="false" ht="15" hidden="false" customHeight="false" outlineLevel="0" collapsed="false">
      <c r="A2128" s="9" t="n">
        <v>2122</v>
      </c>
      <c r="B2128" s="10" t="s">
        <v>3028</v>
      </c>
      <c r="C2128" s="10" t="s">
        <v>3029</v>
      </c>
      <c r="D2128" s="11" t="n">
        <v>0.0110391203703704</v>
      </c>
      <c r="E2128" s="12" t="n">
        <v>1176</v>
      </c>
      <c r="F2128" s="11"/>
      <c r="G2128" s="12"/>
      <c r="H2128" s="11" t="n">
        <v>0.00291145833333333</v>
      </c>
      <c r="I2128" s="12" t="n">
        <v>1032</v>
      </c>
      <c r="J2128" s="12" t="n">
        <f aca="false">COUNT(E2128,G2128,I2128)</f>
        <v>2</v>
      </c>
      <c r="K2128" s="13" t="n">
        <f aca="false">MIN(E2128,G2128,I2128)</f>
        <v>1032</v>
      </c>
      <c r="L2128" s="9" t="str">
        <f aca="false">IF(E2128=K2128,"5000m",IF(G2128=K2128,"3000mSC","1500m"))</f>
        <v>1500m</v>
      </c>
      <c r="M2128" s="14" t="n">
        <f aca="false">(D2128&lt;&gt;"")*(D2128&lt;=($E$3*60+$F$3)/86400)+(F2128&lt;&gt;"")*(F2128&lt;=($I$3*60+$J$3)/86400)+(H2128&lt;&gt;"")*(H2128&lt;=($M$3*60+$N$3)/86400)</f>
        <v>0</v>
      </c>
      <c r="N2128" s="16"/>
      <c r="O2128" s="15"/>
    </row>
    <row r="2129" customFormat="false" ht="25.35" hidden="false" customHeight="false" outlineLevel="0" collapsed="false">
      <c r="A2129" s="9" t="n">
        <v>2123</v>
      </c>
      <c r="B2129" s="10" t="s">
        <v>3030</v>
      </c>
      <c r="C2129" s="10" t="s">
        <v>3031</v>
      </c>
      <c r="D2129" s="11"/>
      <c r="E2129" s="12"/>
      <c r="F2129" s="11" t="n">
        <v>0.00764571759259259</v>
      </c>
      <c r="G2129" s="12" t="n">
        <v>1032</v>
      </c>
      <c r="H2129" s="11"/>
      <c r="I2129" s="12"/>
      <c r="J2129" s="12" t="n">
        <f aca="false">COUNT(E2129,G2129,I2129)</f>
        <v>1</v>
      </c>
      <c r="K2129" s="13" t="n">
        <f aca="false">MIN(E2129,G2129,I2129)</f>
        <v>1032</v>
      </c>
      <c r="L2129" s="9" t="str">
        <f aca="false">IF(E2129=K2129,"5000m",IF(G2129=K2129,"3000mSC","1500m"))</f>
        <v>3000mSC</v>
      </c>
      <c r="M2129" s="14" t="n">
        <f aca="false">(D2129&lt;&gt;"")*(D2129&lt;=($E$3*60+$F$3)/86400)+(F2129&lt;&gt;"")*(F2129&lt;=($I$3*60+$J$3)/86400)+(H2129&lt;&gt;"")*(H2129&lt;=($M$3*60+$N$3)/86400)</f>
        <v>0</v>
      </c>
      <c r="N2129" s="16"/>
      <c r="O2129" s="15"/>
    </row>
    <row r="2130" customFormat="false" ht="25.35" hidden="false" customHeight="false" outlineLevel="0" collapsed="false">
      <c r="A2130" s="9" t="n">
        <v>2124</v>
      </c>
      <c r="B2130" s="10" t="s">
        <v>3032</v>
      </c>
      <c r="C2130" s="10" t="s">
        <v>714</v>
      </c>
      <c r="D2130" s="11"/>
      <c r="E2130" s="12"/>
      <c r="F2130" s="11" t="n">
        <v>0.00764710648148148</v>
      </c>
      <c r="G2130" s="12" t="n">
        <v>1033</v>
      </c>
      <c r="H2130" s="11"/>
      <c r="I2130" s="12"/>
      <c r="J2130" s="12" t="n">
        <f aca="false">COUNT(E2130,G2130,I2130)</f>
        <v>1</v>
      </c>
      <c r="K2130" s="13" t="n">
        <f aca="false">MIN(E2130,G2130,I2130)</f>
        <v>1033</v>
      </c>
      <c r="L2130" s="9" t="str">
        <f aca="false">IF(E2130=K2130,"5000m",IF(G2130=K2130,"3000mSC","1500m"))</f>
        <v>3000mSC</v>
      </c>
      <c r="M2130" s="14" t="n">
        <f aca="false">(D2130&lt;&gt;"")*(D2130&lt;=($E$3*60+$F$3)/86400)+(F2130&lt;&gt;"")*(F2130&lt;=($I$3*60+$J$3)/86400)+(H2130&lt;&gt;"")*(H2130&lt;=($M$3*60+$N$3)/86400)</f>
        <v>0</v>
      </c>
      <c r="N2130" s="16"/>
      <c r="O2130" s="15"/>
    </row>
    <row r="2131" customFormat="false" ht="15" hidden="false" customHeight="false" outlineLevel="0" collapsed="false">
      <c r="A2131" s="9" t="n">
        <v>2125</v>
      </c>
      <c r="B2131" s="10" t="s">
        <v>3033</v>
      </c>
      <c r="C2131" s="10" t="s">
        <v>2398</v>
      </c>
      <c r="D2131" s="11" t="n">
        <v>0.0109681712962963</v>
      </c>
      <c r="E2131" s="12" t="n">
        <v>1034</v>
      </c>
      <c r="F2131" s="11"/>
      <c r="G2131" s="12"/>
      <c r="H2131" s="11"/>
      <c r="I2131" s="12"/>
      <c r="J2131" s="12" t="n">
        <f aca="false">COUNT(E2131,G2131,I2131)</f>
        <v>1</v>
      </c>
      <c r="K2131" s="13" t="n">
        <f aca="false">MIN(E2131,G2131,I2131)</f>
        <v>1034</v>
      </c>
      <c r="L2131" s="9" t="str">
        <f aca="false">IF(E2131=K2131,"5000m",IF(G2131=K2131,"3000mSC","1500m"))</f>
        <v>5000m</v>
      </c>
      <c r="M2131" s="14" t="n">
        <f aca="false">(D2131&lt;&gt;"")*(D2131&lt;=($E$3*60+$F$3)/86400)+(F2131&lt;&gt;"")*(F2131&lt;=($I$3*60+$J$3)/86400)+(H2131&lt;&gt;"")*(H2131&lt;=($M$3*60+$N$3)/86400)</f>
        <v>0</v>
      </c>
      <c r="N2131" s="16"/>
      <c r="O2131" s="15"/>
    </row>
    <row r="2132" customFormat="false" ht="25.35" hidden="false" customHeight="false" outlineLevel="0" collapsed="false">
      <c r="A2132" s="9" t="n">
        <v>2126</v>
      </c>
      <c r="B2132" s="10" t="s">
        <v>3034</v>
      </c>
      <c r="C2132" s="10" t="s">
        <v>3035</v>
      </c>
      <c r="D2132" s="11"/>
      <c r="E2132" s="12"/>
      <c r="F2132" s="11" t="n">
        <v>0.00764814814814815</v>
      </c>
      <c r="G2132" s="12" t="n">
        <v>1034</v>
      </c>
      <c r="H2132" s="11"/>
      <c r="I2132" s="12"/>
      <c r="J2132" s="12" t="n">
        <f aca="false">COUNT(E2132,G2132,I2132)</f>
        <v>1</v>
      </c>
      <c r="K2132" s="13" t="n">
        <f aca="false">MIN(E2132,G2132,I2132)</f>
        <v>1034</v>
      </c>
      <c r="L2132" s="9" t="str">
        <f aca="false">IF(E2132=K2132,"5000m",IF(G2132=K2132,"3000mSC","1500m"))</f>
        <v>3000mSC</v>
      </c>
      <c r="M2132" s="14" t="n">
        <f aca="false">(D2132&lt;&gt;"")*(D2132&lt;=($E$3*60+$F$3)/86400)+(F2132&lt;&gt;"")*(F2132&lt;=($I$3*60+$J$3)/86400)+(H2132&lt;&gt;"")*(H2132&lt;=($M$3*60+$N$3)/86400)</f>
        <v>0</v>
      </c>
      <c r="N2132" s="16"/>
      <c r="O2132" s="15"/>
    </row>
    <row r="2133" customFormat="false" ht="15" hidden="false" customHeight="false" outlineLevel="0" collapsed="false">
      <c r="A2133" s="9" t="n">
        <v>2127</v>
      </c>
      <c r="B2133" s="10" t="s">
        <v>2687</v>
      </c>
      <c r="C2133" s="10" t="s">
        <v>3036</v>
      </c>
      <c r="D2133" s="11"/>
      <c r="E2133" s="12"/>
      <c r="F2133" s="11"/>
      <c r="G2133" s="12"/>
      <c r="H2133" s="11" t="n">
        <v>0.00291157407407407</v>
      </c>
      <c r="I2133" s="12" t="n">
        <v>1034</v>
      </c>
      <c r="J2133" s="12" t="n">
        <f aca="false">COUNT(E2133,G2133,I2133)</f>
        <v>1</v>
      </c>
      <c r="K2133" s="13" t="n">
        <f aca="false">MIN(E2133,G2133,I2133)</f>
        <v>1034</v>
      </c>
      <c r="L2133" s="9" t="str">
        <f aca="false">IF(E2133=K2133,"5000m",IF(G2133=K2133,"3000mSC","1500m"))</f>
        <v>1500m</v>
      </c>
      <c r="M2133" s="14" t="n">
        <f aca="false">(D2133&lt;&gt;"")*(D2133&lt;=($E$3*60+$F$3)/86400)+(F2133&lt;&gt;"")*(F2133&lt;=($I$3*60+$J$3)/86400)+(H2133&lt;&gt;"")*(H2133&lt;=($M$3*60+$N$3)/86400)</f>
        <v>0</v>
      </c>
      <c r="N2133" s="10" t="s">
        <v>3037</v>
      </c>
      <c r="O2133" s="15"/>
    </row>
    <row r="2134" customFormat="false" ht="15" hidden="false" customHeight="false" outlineLevel="0" collapsed="false">
      <c r="A2134" s="9" t="n">
        <v>2128</v>
      </c>
      <c r="B2134" s="10" t="s">
        <v>3038</v>
      </c>
      <c r="C2134" s="10" t="s">
        <v>242</v>
      </c>
      <c r="D2134" s="11" t="n">
        <v>0.010968287037037</v>
      </c>
      <c r="E2134" s="12" t="n">
        <v>1035</v>
      </c>
      <c r="F2134" s="11"/>
      <c r="G2134" s="12"/>
      <c r="H2134" s="11"/>
      <c r="I2134" s="12"/>
      <c r="J2134" s="12" t="n">
        <f aca="false">COUNT(E2134,G2134,I2134)</f>
        <v>1</v>
      </c>
      <c r="K2134" s="13" t="n">
        <f aca="false">MIN(E2134,G2134,I2134)</f>
        <v>1035</v>
      </c>
      <c r="L2134" s="9" t="str">
        <f aca="false">IF(E2134=K2134,"5000m",IF(G2134=K2134,"3000mSC","1500m"))</f>
        <v>5000m</v>
      </c>
      <c r="M2134" s="14" t="n">
        <f aca="false">(D2134&lt;&gt;"")*(D2134&lt;=($E$3*60+$F$3)/86400)+(F2134&lt;&gt;"")*(F2134&lt;=($I$3*60+$J$3)/86400)+(H2134&lt;&gt;"")*(H2134&lt;=($M$3*60+$N$3)/86400)</f>
        <v>0</v>
      </c>
      <c r="N2134" s="16"/>
      <c r="O2134" s="15"/>
    </row>
    <row r="2135" customFormat="false" ht="25.35" hidden="false" customHeight="false" outlineLevel="0" collapsed="false">
      <c r="A2135" s="9" t="n">
        <v>2129</v>
      </c>
      <c r="B2135" s="10" t="s">
        <v>3039</v>
      </c>
      <c r="C2135" s="10" t="s">
        <v>1753</v>
      </c>
      <c r="D2135" s="11"/>
      <c r="E2135" s="12"/>
      <c r="F2135" s="11" t="n">
        <v>0.00764988425925926</v>
      </c>
      <c r="G2135" s="12" t="n">
        <v>1035</v>
      </c>
      <c r="H2135" s="11"/>
      <c r="I2135" s="12"/>
      <c r="J2135" s="12" t="n">
        <f aca="false">COUNT(E2135,G2135,I2135)</f>
        <v>1</v>
      </c>
      <c r="K2135" s="13" t="n">
        <f aca="false">MIN(E2135,G2135,I2135)</f>
        <v>1035</v>
      </c>
      <c r="L2135" s="9" t="str">
        <f aca="false">IF(E2135=K2135,"5000m",IF(G2135=K2135,"3000mSC","1500m"))</f>
        <v>3000mSC</v>
      </c>
      <c r="M2135" s="14" t="n">
        <f aca="false">(D2135&lt;&gt;"")*(D2135&lt;=($E$3*60+$F$3)/86400)+(F2135&lt;&gt;"")*(F2135&lt;=($I$3*60+$J$3)/86400)+(H2135&lt;&gt;"")*(H2135&lt;=($M$3*60+$N$3)/86400)</f>
        <v>0</v>
      </c>
      <c r="N2135" s="16"/>
      <c r="O2135" s="15"/>
    </row>
    <row r="2136" customFormat="false" ht="15" hidden="false" customHeight="false" outlineLevel="0" collapsed="false">
      <c r="A2136" s="9" t="n">
        <v>2130</v>
      </c>
      <c r="B2136" s="10" t="s">
        <v>3040</v>
      </c>
      <c r="C2136" s="10" t="s">
        <v>286</v>
      </c>
      <c r="D2136" s="11"/>
      <c r="E2136" s="12"/>
      <c r="F2136" s="11"/>
      <c r="G2136" s="12"/>
      <c r="H2136" s="11" t="n">
        <v>0.00291157407407407</v>
      </c>
      <c r="I2136" s="12" t="n">
        <v>1035</v>
      </c>
      <c r="J2136" s="12" t="n">
        <f aca="false">COUNT(E2136,G2136,I2136)</f>
        <v>1</v>
      </c>
      <c r="K2136" s="13" t="n">
        <f aca="false">MIN(E2136,G2136,I2136)</f>
        <v>1035</v>
      </c>
      <c r="L2136" s="9" t="str">
        <f aca="false">IF(E2136=K2136,"5000m",IF(G2136=K2136,"3000mSC","1500m"))</f>
        <v>1500m</v>
      </c>
      <c r="M2136" s="14" t="n">
        <f aca="false">(D2136&lt;&gt;"")*(D2136&lt;=($E$3*60+$F$3)/86400)+(F2136&lt;&gt;"")*(F2136&lt;=($I$3*60+$J$3)/86400)+(H2136&lt;&gt;"")*(H2136&lt;=($M$3*60+$N$3)/86400)</f>
        <v>0</v>
      </c>
      <c r="N2136" s="16"/>
      <c r="O2136" s="15"/>
    </row>
    <row r="2137" customFormat="false" ht="15" hidden="false" customHeight="false" outlineLevel="0" collapsed="false">
      <c r="A2137" s="9" t="n">
        <v>2131</v>
      </c>
      <c r="B2137" s="10" t="s">
        <v>3041</v>
      </c>
      <c r="C2137" s="10" t="s">
        <v>482</v>
      </c>
      <c r="D2137" s="11" t="n">
        <v>0.0109695601851852</v>
      </c>
      <c r="E2137" s="12" t="n">
        <v>1036</v>
      </c>
      <c r="F2137" s="11"/>
      <c r="G2137" s="12"/>
      <c r="H2137" s="11"/>
      <c r="I2137" s="12"/>
      <c r="J2137" s="12" t="n">
        <f aca="false">COUNT(E2137,G2137,I2137)</f>
        <v>1</v>
      </c>
      <c r="K2137" s="13" t="n">
        <f aca="false">MIN(E2137,G2137,I2137)</f>
        <v>1036</v>
      </c>
      <c r="L2137" s="9" t="str">
        <f aca="false">IF(E2137=K2137,"5000m",IF(G2137=K2137,"3000mSC","1500m"))</f>
        <v>5000m</v>
      </c>
      <c r="M2137" s="14" t="n">
        <f aca="false">(D2137&lt;&gt;"")*(D2137&lt;=($E$3*60+$F$3)/86400)+(F2137&lt;&gt;"")*(F2137&lt;=($I$3*60+$J$3)/86400)+(H2137&lt;&gt;"")*(H2137&lt;=($M$3*60+$N$3)/86400)</f>
        <v>0</v>
      </c>
      <c r="N2137" s="16"/>
      <c r="O2137" s="15"/>
    </row>
    <row r="2138" customFormat="false" ht="25.35" hidden="false" customHeight="false" outlineLevel="0" collapsed="false">
      <c r="A2138" s="9" t="n">
        <v>2132</v>
      </c>
      <c r="B2138" s="10" t="s">
        <v>3042</v>
      </c>
      <c r="C2138" s="10" t="s">
        <v>1456</v>
      </c>
      <c r="D2138" s="11"/>
      <c r="E2138" s="12"/>
      <c r="F2138" s="11" t="n">
        <v>0.00765138888888889</v>
      </c>
      <c r="G2138" s="12" t="n">
        <v>1036</v>
      </c>
      <c r="H2138" s="11"/>
      <c r="I2138" s="12"/>
      <c r="J2138" s="12" t="n">
        <f aca="false">COUNT(E2138,G2138,I2138)</f>
        <v>1</v>
      </c>
      <c r="K2138" s="13" t="n">
        <f aca="false">MIN(E2138,G2138,I2138)</f>
        <v>1036</v>
      </c>
      <c r="L2138" s="9" t="str">
        <f aca="false">IF(E2138=K2138,"5000m",IF(G2138=K2138,"3000mSC","1500m"))</f>
        <v>3000mSC</v>
      </c>
      <c r="M2138" s="14" t="n">
        <f aca="false">(D2138&lt;&gt;"")*(D2138&lt;=($E$3*60+$F$3)/86400)+(F2138&lt;&gt;"")*(F2138&lt;=($I$3*60+$J$3)/86400)+(H2138&lt;&gt;"")*(H2138&lt;=($M$3*60+$N$3)/86400)</f>
        <v>0</v>
      </c>
      <c r="N2138" s="16"/>
      <c r="O2138" s="15"/>
    </row>
    <row r="2139" customFormat="false" ht="15" hidden="false" customHeight="false" outlineLevel="0" collapsed="false">
      <c r="A2139" s="9" t="n">
        <v>2133</v>
      </c>
      <c r="B2139" s="10" t="s">
        <v>3043</v>
      </c>
      <c r="C2139" s="10" t="s">
        <v>3044</v>
      </c>
      <c r="D2139" s="11"/>
      <c r="E2139" s="12"/>
      <c r="F2139" s="11"/>
      <c r="G2139" s="12"/>
      <c r="H2139" s="11" t="n">
        <v>0.00291180555555556</v>
      </c>
      <c r="I2139" s="12" t="n">
        <v>1036</v>
      </c>
      <c r="J2139" s="12" t="n">
        <f aca="false">COUNT(E2139,G2139,I2139)</f>
        <v>1</v>
      </c>
      <c r="K2139" s="13" t="n">
        <f aca="false">MIN(E2139,G2139,I2139)</f>
        <v>1036</v>
      </c>
      <c r="L2139" s="9" t="str">
        <f aca="false">IF(E2139=K2139,"5000m",IF(G2139=K2139,"3000mSC","1500m"))</f>
        <v>1500m</v>
      </c>
      <c r="M2139" s="14" t="n">
        <f aca="false">(D2139&lt;&gt;"")*(D2139&lt;=($E$3*60+$F$3)/86400)+(F2139&lt;&gt;"")*(F2139&lt;=($I$3*60+$J$3)/86400)+(H2139&lt;&gt;"")*(H2139&lt;=($M$3*60+$N$3)/86400)</f>
        <v>0</v>
      </c>
      <c r="N2139" s="16"/>
      <c r="O2139" s="15"/>
    </row>
    <row r="2140" customFormat="false" ht="25.35" hidden="false" customHeight="false" outlineLevel="0" collapsed="false">
      <c r="A2140" s="9" t="n">
        <v>2134</v>
      </c>
      <c r="B2140" s="10" t="s">
        <v>3045</v>
      </c>
      <c r="C2140" s="10" t="s">
        <v>599</v>
      </c>
      <c r="D2140" s="11"/>
      <c r="E2140" s="12"/>
      <c r="F2140" s="11" t="n">
        <v>0.00765416666666667</v>
      </c>
      <c r="G2140" s="12" t="n">
        <v>1037</v>
      </c>
      <c r="H2140" s="11"/>
      <c r="I2140" s="12"/>
      <c r="J2140" s="12" t="n">
        <f aca="false">COUNT(E2140,G2140,I2140)</f>
        <v>1</v>
      </c>
      <c r="K2140" s="13" t="n">
        <f aca="false">MIN(E2140,G2140,I2140)</f>
        <v>1037</v>
      </c>
      <c r="L2140" s="9" t="str">
        <f aca="false">IF(E2140=K2140,"5000m",IF(G2140=K2140,"3000mSC","1500m"))</f>
        <v>3000mSC</v>
      </c>
      <c r="M2140" s="14" t="n">
        <f aca="false">(D2140&lt;&gt;"")*(D2140&lt;=($E$3*60+$F$3)/86400)+(F2140&lt;&gt;"")*(F2140&lt;=($I$3*60+$J$3)/86400)+(H2140&lt;&gt;"")*(H2140&lt;=($M$3*60+$N$3)/86400)</f>
        <v>0</v>
      </c>
      <c r="N2140" s="16"/>
      <c r="O2140" s="15"/>
    </row>
    <row r="2141" customFormat="false" ht="15" hidden="false" customHeight="false" outlineLevel="0" collapsed="false">
      <c r="A2141" s="9" t="n">
        <v>2135</v>
      </c>
      <c r="B2141" s="10" t="s">
        <v>3046</v>
      </c>
      <c r="C2141" s="10" t="s">
        <v>1038</v>
      </c>
      <c r="D2141" s="11"/>
      <c r="E2141" s="12"/>
      <c r="F2141" s="11"/>
      <c r="G2141" s="12"/>
      <c r="H2141" s="11" t="n">
        <v>0.00291180555555556</v>
      </c>
      <c r="I2141" s="12" t="n">
        <v>1037</v>
      </c>
      <c r="J2141" s="12" t="n">
        <f aca="false">COUNT(E2141,G2141,I2141)</f>
        <v>1</v>
      </c>
      <c r="K2141" s="13" t="n">
        <f aca="false">MIN(E2141,G2141,I2141)</f>
        <v>1037</v>
      </c>
      <c r="L2141" s="9" t="str">
        <f aca="false">IF(E2141=K2141,"5000m",IF(G2141=K2141,"3000mSC","1500m"))</f>
        <v>1500m</v>
      </c>
      <c r="M2141" s="14" t="n">
        <f aca="false">(D2141&lt;&gt;"")*(D2141&lt;=($E$3*60+$F$3)/86400)+(F2141&lt;&gt;"")*(F2141&lt;=($I$3*60+$J$3)/86400)+(H2141&lt;&gt;"")*(H2141&lt;=($M$3*60+$N$3)/86400)</f>
        <v>0</v>
      </c>
      <c r="N2141" s="16"/>
      <c r="O2141" s="15"/>
    </row>
    <row r="2142" customFormat="false" ht="25.35" hidden="false" customHeight="false" outlineLevel="0" collapsed="false">
      <c r="A2142" s="9" t="n">
        <v>2136</v>
      </c>
      <c r="B2142" s="10" t="s">
        <v>3047</v>
      </c>
      <c r="C2142" s="10" t="s">
        <v>2212</v>
      </c>
      <c r="D2142" s="11"/>
      <c r="E2142" s="12"/>
      <c r="F2142" s="11" t="n">
        <v>0.00765451388888889</v>
      </c>
      <c r="G2142" s="12" t="n">
        <v>1038</v>
      </c>
      <c r="H2142" s="11"/>
      <c r="I2142" s="12"/>
      <c r="J2142" s="12" t="n">
        <f aca="false">COUNT(E2142,G2142,I2142)</f>
        <v>1</v>
      </c>
      <c r="K2142" s="13" t="n">
        <f aca="false">MIN(E2142,G2142,I2142)</f>
        <v>1038</v>
      </c>
      <c r="L2142" s="9" t="str">
        <f aca="false">IF(E2142=K2142,"5000m",IF(G2142=K2142,"3000mSC","1500m"))</f>
        <v>3000mSC</v>
      </c>
      <c r="M2142" s="14" t="n">
        <f aca="false">(D2142&lt;&gt;"")*(D2142&lt;=($E$3*60+$F$3)/86400)+(F2142&lt;&gt;"")*(F2142&lt;=($I$3*60+$J$3)/86400)+(H2142&lt;&gt;"")*(H2142&lt;=($M$3*60+$N$3)/86400)</f>
        <v>0</v>
      </c>
      <c r="N2142" s="16"/>
      <c r="O2142" s="15"/>
    </row>
    <row r="2143" customFormat="false" ht="15" hidden="false" customHeight="false" outlineLevel="0" collapsed="false">
      <c r="A2143" s="9" t="n">
        <v>2137</v>
      </c>
      <c r="B2143" s="10" t="s">
        <v>3048</v>
      </c>
      <c r="C2143" s="10" t="s">
        <v>2393</v>
      </c>
      <c r="D2143" s="11" t="n">
        <v>0.0109696759259259</v>
      </c>
      <c r="E2143" s="12" t="n">
        <v>1039</v>
      </c>
      <c r="F2143" s="11"/>
      <c r="G2143" s="12"/>
      <c r="H2143" s="11" t="n">
        <v>0.00291712962962963</v>
      </c>
      <c r="I2143" s="12" t="n">
        <v>1067</v>
      </c>
      <c r="J2143" s="12" t="n">
        <f aca="false">COUNT(E2143,G2143,I2143)</f>
        <v>2</v>
      </c>
      <c r="K2143" s="13" t="n">
        <f aca="false">MIN(E2143,G2143,I2143)</f>
        <v>1039</v>
      </c>
      <c r="L2143" s="9" t="str">
        <f aca="false">IF(E2143=K2143,"5000m",IF(G2143=K2143,"3000mSC","1500m"))</f>
        <v>5000m</v>
      </c>
      <c r="M2143" s="14" t="n">
        <f aca="false">(D2143&lt;&gt;"")*(D2143&lt;=($E$3*60+$F$3)/86400)+(F2143&lt;&gt;"")*(F2143&lt;=($I$3*60+$J$3)/86400)+(H2143&lt;&gt;"")*(H2143&lt;=($M$3*60+$N$3)/86400)</f>
        <v>0</v>
      </c>
      <c r="N2143" s="16"/>
      <c r="O2143" s="15"/>
    </row>
    <row r="2144" customFormat="false" ht="25.35" hidden="false" customHeight="false" outlineLevel="0" collapsed="false">
      <c r="A2144" s="9" t="n">
        <v>2138</v>
      </c>
      <c r="B2144" s="10" t="s">
        <v>3049</v>
      </c>
      <c r="C2144" s="10" t="s">
        <v>1764</v>
      </c>
      <c r="D2144" s="11"/>
      <c r="E2144" s="12"/>
      <c r="F2144" s="11" t="n">
        <v>0.00765810185185185</v>
      </c>
      <c r="G2144" s="12" t="n">
        <v>1039</v>
      </c>
      <c r="H2144" s="11"/>
      <c r="I2144" s="12"/>
      <c r="J2144" s="12" t="n">
        <f aca="false">COUNT(E2144,G2144,I2144)</f>
        <v>1</v>
      </c>
      <c r="K2144" s="13" t="n">
        <f aca="false">MIN(E2144,G2144,I2144)</f>
        <v>1039</v>
      </c>
      <c r="L2144" s="9" t="str">
        <f aca="false">IF(E2144=K2144,"5000m",IF(G2144=K2144,"3000mSC","1500m"))</f>
        <v>3000mSC</v>
      </c>
      <c r="M2144" s="14" t="n">
        <f aca="false">(D2144&lt;&gt;"")*(D2144&lt;=($E$3*60+$F$3)/86400)+(F2144&lt;&gt;"")*(F2144&lt;=($I$3*60+$J$3)/86400)+(H2144&lt;&gt;"")*(H2144&lt;=($M$3*60+$N$3)/86400)</f>
        <v>0</v>
      </c>
      <c r="N2144" s="16"/>
      <c r="O2144" s="15"/>
    </row>
    <row r="2145" customFormat="false" ht="15" hidden="false" customHeight="false" outlineLevel="0" collapsed="false">
      <c r="A2145" s="9" t="n">
        <v>2139</v>
      </c>
      <c r="B2145" s="10" t="s">
        <v>3050</v>
      </c>
      <c r="C2145" s="10" t="s">
        <v>3051</v>
      </c>
      <c r="D2145" s="11"/>
      <c r="E2145" s="12"/>
      <c r="F2145" s="11"/>
      <c r="G2145" s="12"/>
      <c r="H2145" s="11" t="n">
        <v>0.00291226851851852</v>
      </c>
      <c r="I2145" s="12" t="n">
        <v>1039</v>
      </c>
      <c r="J2145" s="12" t="n">
        <f aca="false">COUNT(E2145,G2145,I2145)</f>
        <v>1</v>
      </c>
      <c r="K2145" s="13" t="n">
        <f aca="false">MIN(E2145,G2145,I2145)</f>
        <v>1039</v>
      </c>
      <c r="L2145" s="9" t="str">
        <f aca="false">IF(E2145=K2145,"5000m",IF(G2145=K2145,"3000mSC","1500m"))</f>
        <v>1500m</v>
      </c>
      <c r="M2145" s="14" t="n">
        <f aca="false">(D2145&lt;&gt;"")*(D2145&lt;=($E$3*60+$F$3)/86400)+(F2145&lt;&gt;"")*(F2145&lt;=($I$3*60+$J$3)/86400)+(H2145&lt;&gt;"")*(H2145&lt;=($M$3*60+$N$3)/86400)</f>
        <v>0</v>
      </c>
      <c r="N2145" s="16"/>
      <c r="O2145" s="15"/>
    </row>
    <row r="2146" customFormat="false" ht="25.35" hidden="false" customHeight="false" outlineLevel="0" collapsed="false">
      <c r="A2146" s="9" t="n">
        <v>2140</v>
      </c>
      <c r="B2146" s="10" t="s">
        <v>3052</v>
      </c>
      <c r="C2146" s="10" t="s">
        <v>3053</v>
      </c>
      <c r="D2146" s="11"/>
      <c r="E2146" s="12"/>
      <c r="F2146" s="11" t="n">
        <v>0.00765856481481482</v>
      </c>
      <c r="G2146" s="12" t="n">
        <v>1040</v>
      </c>
      <c r="H2146" s="11"/>
      <c r="I2146" s="12"/>
      <c r="J2146" s="12" t="n">
        <f aca="false">COUNT(E2146,G2146,I2146)</f>
        <v>1</v>
      </c>
      <c r="K2146" s="13" t="n">
        <f aca="false">MIN(E2146,G2146,I2146)</f>
        <v>1040</v>
      </c>
      <c r="L2146" s="9" t="str">
        <f aca="false">IF(E2146=K2146,"5000m",IF(G2146=K2146,"3000mSC","1500m"))</f>
        <v>3000mSC</v>
      </c>
      <c r="M2146" s="14" t="n">
        <f aca="false">(D2146&lt;&gt;"")*(D2146&lt;=($E$3*60+$F$3)/86400)+(F2146&lt;&gt;"")*(F2146&lt;=($I$3*60+$J$3)/86400)+(H2146&lt;&gt;"")*(H2146&lt;=($M$3*60+$N$3)/86400)</f>
        <v>0</v>
      </c>
      <c r="N2146" s="16"/>
      <c r="O2146" s="15"/>
    </row>
    <row r="2147" customFormat="false" ht="25.35" hidden="false" customHeight="false" outlineLevel="0" collapsed="false">
      <c r="A2147" s="9" t="n">
        <v>2141</v>
      </c>
      <c r="B2147" s="10" t="s">
        <v>3054</v>
      </c>
      <c r="C2147" s="10" t="s">
        <v>2811</v>
      </c>
      <c r="D2147" s="11"/>
      <c r="E2147" s="12"/>
      <c r="F2147" s="11" t="n">
        <v>0.00766550925925926</v>
      </c>
      <c r="G2147" s="12" t="n">
        <v>1041</v>
      </c>
      <c r="H2147" s="11"/>
      <c r="I2147" s="12"/>
      <c r="J2147" s="12" t="n">
        <f aca="false">COUNT(E2147,G2147,I2147)</f>
        <v>1</v>
      </c>
      <c r="K2147" s="13" t="n">
        <f aca="false">MIN(E2147,G2147,I2147)</f>
        <v>1041</v>
      </c>
      <c r="L2147" s="9" t="str">
        <f aca="false">IF(E2147=K2147,"5000m",IF(G2147=K2147,"3000mSC","1500m"))</f>
        <v>3000mSC</v>
      </c>
      <c r="M2147" s="14" t="n">
        <f aca="false">(D2147&lt;&gt;"")*(D2147&lt;=($E$3*60+$F$3)/86400)+(F2147&lt;&gt;"")*(F2147&lt;=($I$3*60+$J$3)/86400)+(H2147&lt;&gt;"")*(H2147&lt;=($M$3*60+$N$3)/86400)</f>
        <v>0</v>
      </c>
      <c r="N2147" s="16"/>
      <c r="O2147" s="15"/>
    </row>
    <row r="2148" customFormat="false" ht="15" hidden="false" customHeight="false" outlineLevel="0" collapsed="false">
      <c r="A2148" s="9" t="n">
        <v>2142</v>
      </c>
      <c r="B2148" s="10" t="s">
        <v>3055</v>
      </c>
      <c r="C2148" s="10" t="s">
        <v>179</v>
      </c>
      <c r="D2148" s="11"/>
      <c r="E2148" s="12"/>
      <c r="F2148" s="11"/>
      <c r="G2148" s="12"/>
      <c r="H2148" s="11" t="n">
        <v>0.00291273148148148</v>
      </c>
      <c r="I2148" s="12" t="n">
        <v>1041</v>
      </c>
      <c r="J2148" s="12" t="n">
        <f aca="false">COUNT(E2148,G2148,I2148)</f>
        <v>1</v>
      </c>
      <c r="K2148" s="13" t="n">
        <f aca="false">MIN(E2148,G2148,I2148)</f>
        <v>1041</v>
      </c>
      <c r="L2148" s="9" t="str">
        <f aca="false">IF(E2148=K2148,"5000m",IF(G2148=K2148,"3000mSC","1500m"))</f>
        <v>1500m</v>
      </c>
      <c r="M2148" s="14" t="n">
        <f aca="false">(D2148&lt;&gt;"")*(D2148&lt;=($E$3*60+$F$3)/86400)+(F2148&lt;&gt;"")*(F2148&lt;=($I$3*60+$J$3)/86400)+(H2148&lt;&gt;"")*(H2148&lt;=($M$3*60+$N$3)/86400)</f>
        <v>0</v>
      </c>
      <c r="N2148" s="16"/>
      <c r="O2148" s="15"/>
    </row>
    <row r="2149" customFormat="false" ht="15" hidden="false" customHeight="false" outlineLevel="0" collapsed="false">
      <c r="A2149" s="9" t="n">
        <v>2143</v>
      </c>
      <c r="B2149" s="10" t="s">
        <v>3056</v>
      </c>
      <c r="C2149" s="10" t="s">
        <v>1993</v>
      </c>
      <c r="D2149" s="11" t="n">
        <v>0.0109711805555556</v>
      </c>
      <c r="E2149" s="12" t="n">
        <v>1042</v>
      </c>
      <c r="F2149" s="11"/>
      <c r="G2149" s="12"/>
      <c r="H2149" s="11"/>
      <c r="I2149" s="12"/>
      <c r="J2149" s="12" t="n">
        <f aca="false">COUNT(E2149,G2149,I2149)</f>
        <v>1</v>
      </c>
      <c r="K2149" s="13" t="n">
        <f aca="false">MIN(E2149,G2149,I2149)</f>
        <v>1042</v>
      </c>
      <c r="L2149" s="9" t="str">
        <f aca="false">IF(E2149=K2149,"5000m",IF(G2149=K2149,"3000mSC","1500m"))</f>
        <v>5000m</v>
      </c>
      <c r="M2149" s="14" t="n">
        <f aca="false">(D2149&lt;&gt;"")*(D2149&lt;=($E$3*60+$F$3)/86400)+(F2149&lt;&gt;"")*(F2149&lt;=($I$3*60+$J$3)/86400)+(H2149&lt;&gt;"")*(H2149&lt;=($M$3*60+$N$3)/86400)</f>
        <v>0</v>
      </c>
      <c r="N2149" s="16"/>
      <c r="O2149" s="15"/>
    </row>
    <row r="2150" customFormat="false" ht="25.35" hidden="false" customHeight="false" outlineLevel="0" collapsed="false">
      <c r="A2150" s="9" t="n">
        <v>2144</v>
      </c>
      <c r="B2150" s="10" t="s">
        <v>3057</v>
      </c>
      <c r="C2150" s="10" t="s">
        <v>3058</v>
      </c>
      <c r="D2150" s="11"/>
      <c r="E2150" s="12"/>
      <c r="F2150" s="11" t="n">
        <v>0.00766608796296296</v>
      </c>
      <c r="G2150" s="12" t="n">
        <v>1042</v>
      </c>
      <c r="H2150" s="11"/>
      <c r="I2150" s="12"/>
      <c r="J2150" s="12" t="n">
        <f aca="false">COUNT(E2150,G2150,I2150)</f>
        <v>1</v>
      </c>
      <c r="K2150" s="13" t="n">
        <f aca="false">MIN(E2150,G2150,I2150)</f>
        <v>1042</v>
      </c>
      <c r="L2150" s="9" t="str">
        <f aca="false">IF(E2150=K2150,"5000m",IF(G2150=K2150,"3000mSC","1500m"))</f>
        <v>3000mSC</v>
      </c>
      <c r="M2150" s="14" t="n">
        <f aca="false">(D2150&lt;&gt;"")*(D2150&lt;=($E$3*60+$F$3)/86400)+(F2150&lt;&gt;"")*(F2150&lt;=($I$3*60+$J$3)/86400)+(H2150&lt;&gt;"")*(H2150&lt;=($M$3*60+$N$3)/86400)</f>
        <v>0</v>
      </c>
      <c r="N2150" s="16"/>
      <c r="O2150" s="15"/>
    </row>
    <row r="2151" customFormat="false" ht="15" hidden="false" customHeight="false" outlineLevel="0" collapsed="false">
      <c r="A2151" s="9" t="n">
        <v>2145</v>
      </c>
      <c r="B2151" s="10" t="s">
        <v>3059</v>
      </c>
      <c r="C2151" s="10" t="s">
        <v>49</v>
      </c>
      <c r="D2151" s="11" t="n">
        <v>0.0109712962962963</v>
      </c>
      <c r="E2151" s="12" t="n">
        <v>1043</v>
      </c>
      <c r="F2151" s="11"/>
      <c r="G2151" s="12"/>
      <c r="H2151" s="11"/>
      <c r="I2151" s="12"/>
      <c r="J2151" s="12" t="n">
        <f aca="false">COUNT(E2151,G2151,I2151)</f>
        <v>1</v>
      </c>
      <c r="K2151" s="13" t="n">
        <f aca="false">MIN(E2151,G2151,I2151)</f>
        <v>1043</v>
      </c>
      <c r="L2151" s="9" t="str">
        <f aca="false">IF(E2151=K2151,"5000m",IF(G2151=K2151,"3000mSC","1500m"))</f>
        <v>5000m</v>
      </c>
      <c r="M2151" s="14" t="n">
        <f aca="false">(D2151&lt;&gt;"")*(D2151&lt;=($E$3*60+$F$3)/86400)+(F2151&lt;&gt;"")*(F2151&lt;=($I$3*60+$J$3)/86400)+(H2151&lt;&gt;"")*(H2151&lt;=($M$3*60+$N$3)/86400)</f>
        <v>0</v>
      </c>
      <c r="N2151" s="16"/>
      <c r="O2151" s="15"/>
    </row>
    <row r="2152" customFormat="false" ht="25.35" hidden="false" customHeight="false" outlineLevel="0" collapsed="false">
      <c r="A2152" s="9" t="n">
        <v>2146</v>
      </c>
      <c r="B2152" s="10" t="s">
        <v>3060</v>
      </c>
      <c r="C2152" s="10" t="s">
        <v>1618</v>
      </c>
      <c r="D2152" s="11"/>
      <c r="E2152" s="12"/>
      <c r="F2152" s="11" t="n">
        <v>0.00766689814814815</v>
      </c>
      <c r="G2152" s="12" t="n">
        <v>1043</v>
      </c>
      <c r="H2152" s="11"/>
      <c r="I2152" s="12"/>
      <c r="J2152" s="12" t="n">
        <f aca="false">COUNT(E2152,G2152,I2152)</f>
        <v>1</v>
      </c>
      <c r="K2152" s="13" t="n">
        <f aca="false">MIN(E2152,G2152,I2152)</f>
        <v>1043</v>
      </c>
      <c r="L2152" s="9" t="str">
        <f aca="false">IF(E2152=K2152,"5000m",IF(G2152=K2152,"3000mSC","1500m"))</f>
        <v>3000mSC</v>
      </c>
      <c r="M2152" s="14" t="n">
        <f aca="false">(D2152&lt;&gt;"")*(D2152&lt;=($E$3*60+$F$3)/86400)+(F2152&lt;&gt;"")*(F2152&lt;=($I$3*60+$J$3)/86400)+(H2152&lt;&gt;"")*(H2152&lt;=($M$3*60+$N$3)/86400)</f>
        <v>0</v>
      </c>
      <c r="N2152" s="16"/>
      <c r="O2152" s="15"/>
    </row>
    <row r="2153" customFormat="false" ht="25.35" hidden="false" customHeight="false" outlineLevel="0" collapsed="false">
      <c r="A2153" s="9" t="n">
        <v>2147</v>
      </c>
      <c r="B2153" s="10" t="s">
        <v>3061</v>
      </c>
      <c r="C2153" s="10" t="s">
        <v>915</v>
      </c>
      <c r="D2153" s="11"/>
      <c r="E2153" s="12"/>
      <c r="F2153" s="11" t="n">
        <v>0.0076681712962963</v>
      </c>
      <c r="G2153" s="12" t="n">
        <v>1044</v>
      </c>
      <c r="H2153" s="11"/>
      <c r="I2153" s="12"/>
      <c r="J2153" s="12" t="n">
        <f aca="false">COUNT(E2153,G2153,I2153)</f>
        <v>1</v>
      </c>
      <c r="K2153" s="13" t="n">
        <f aca="false">MIN(E2153,G2153,I2153)</f>
        <v>1044</v>
      </c>
      <c r="L2153" s="9" t="str">
        <f aca="false">IF(E2153=K2153,"5000m",IF(G2153=K2153,"3000mSC","1500m"))</f>
        <v>3000mSC</v>
      </c>
      <c r="M2153" s="14" t="n">
        <f aca="false">(D2153&lt;&gt;"")*(D2153&lt;=($E$3*60+$F$3)/86400)+(F2153&lt;&gt;"")*(F2153&lt;=($I$3*60+$J$3)/86400)+(H2153&lt;&gt;"")*(H2153&lt;=($M$3*60+$N$3)/86400)</f>
        <v>0</v>
      </c>
      <c r="N2153" s="16"/>
      <c r="O2153" s="15"/>
    </row>
    <row r="2154" customFormat="false" ht="15" hidden="false" customHeight="false" outlineLevel="0" collapsed="false">
      <c r="A2154" s="9" t="n">
        <v>2148</v>
      </c>
      <c r="B2154" s="10" t="s">
        <v>3062</v>
      </c>
      <c r="C2154" s="10" t="s">
        <v>1183</v>
      </c>
      <c r="D2154" s="11"/>
      <c r="E2154" s="12"/>
      <c r="F2154" s="11"/>
      <c r="G2154" s="12"/>
      <c r="H2154" s="11" t="n">
        <v>0.00291331018518519</v>
      </c>
      <c r="I2154" s="12" t="n">
        <v>1044</v>
      </c>
      <c r="J2154" s="12" t="n">
        <f aca="false">COUNT(E2154,G2154,I2154)</f>
        <v>1</v>
      </c>
      <c r="K2154" s="13" t="n">
        <f aca="false">MIN(E2154,G2154,I2154)</f>
        <v>1044</v>
      </c>
      <c r="L2154" s="9" t="str">
        <f aca="false">IF(E2154=K2154,"5000m",IF(G2154=K2154,"3000mSC","1500m"))</f>
        <v>1500m</v>
      </c>
      <c r="M2154" s="14" t="n">
        <f aca="false">(D2154&lt;&gt;"")*(D2154&lt;=($E$3*60+$F$3)/86400)+(F2154&lt;&gt;"")*(F2154&lt;=($I$3*60+$J$3)/86400)+(H2154&lt;&gt;"")*(H2154&lt;=($M$3*60+$N$3)/86400)</f>
        <v>0</v>
      </c>
      <c r="N2154" s="16"/>
      <c r="O2154" s="15"/>
    </row>
    <row r="2155" customFormat="false" ht="15" hidden="false" customHeight="false" outlineLevel="0" collapsed="false">
      <c r="A2155" s="9" t="n">
        <v>2149</v>
      </c>
      <c r="B2155" s="10" t="s">
        <v>3063</v>
      </c>
      <c r="C2155" s="10" t="s">
        <v>3064</v>
      </c>
      <c r="D2155" s="11" t="n">
        <v>0.0109722222222222</v>
      </c>
      <c r="E2155" s="12" t="n">
        <v>1045</v>
      </c>
      <c r="F2155" s="11"/>
      <c r="G2155" s="12"/>
      <c r="H2155" s="11"/>
      <c r="I2155" s="12"/>
      <c r="J2155" s="12" t="n">
        <f aca="false">COUNT(E2155,G2155,I2155)</f>
        <v>1</v>
      </c>
      <c r="K2155" s="13" t="n">
        <f aca="false">MIN(E2155,G2155,I2155)</f>
        <v>1045</v>
      </c>
      <c r="L2155" s="9" t="str">
        <f aca="false">IF(E2155=K2155,"5000m",IF(G2155=K2155,"3000mSC","1500m"))</f>
        <v>5000m</v>
      </c>
      <c r="M2155" s="14" t="n">
        <f aca="false">(D2155&lt;&gt;"")*(D2155&lt;=($E$3*60+$F$3)/86400)+(F2155&lt;&gt;"")*(F2155&lt;=($I$3*60+$J$3)/86400)+(H2155&lt;&gt;"")*(H2155&lt;=($M$3*60+$N$3)/86400)</f>
        <v>0</v>
      </c>
      <c r="N2155" s="16"/>
      <c r="O2155" s="15"/>
    </row>
    <row r="2156" customFormat="false" ht="25.35" hidden="false" customHeight="false" outlineLevel="0" collapsed="false">
      <c r="A2156" s="9" t="n">
        <v>2150</v>
      </c>
      <c r="B2156" s="10" t="s">
        <v>3065</v>
      </c>
      <c r="C2156" s="10" t="s">
        <v>2542</v>
      </c>
      <c r="D2156" s="11"/>
      <c r="E2156" s="12"/>
      <c r="F2156" s="11" t="n">
        <v>0.00767013888888889</v>
      </c>
      <c r="G2156" s="12" t="n">
        <v>1045</v>
      </c>
      <c r="H2156" s="11"/>
      <c r="I2156" s="12"/>
      <c r="J2156" s="12" t="n">
        <f aca="false">COUNT(E2156,G2156,I2156)</f>
        <v>1</v>
      </c>
      <c r="K2156" s="13" t="n">
        <f aca="false">MIN(E2156,G2156,I2156)</f>
        <v>1045</v>
      </c>
      <c r="L2156" s="9" t="str">
        <f aca="false">IF(E2156=K2156,"5000m",IF(G2156=K2156,"3000mSC","1500m"))</f>
        <v>3000mSC</v>
      </c>
      <c r="M2156" s="14" t="n">
        <f aca="false">(D2156&lt;&gt;"")*(D2156&lt;=($E$3*60+$F$3)/86400)+(F2156&lt;&gt;"")*(F2156&lt;=($I$3*60+$J$3)/86400)+(H2156&lt;&gt;"")*(H2156&lt;=($M$3*60+$N$3)/86400)</f>
        <v>0</v>
      </c>
      <c r="N2156" s="16"/>
      <c r="O2156" s="15"/>
    </row>
    <row r="2157" customFormat="false" ht="15" hidden="false" customHeight="false" outlineLevel="0" collapsed="false">
      <c r="A2157" s="9" t="n">
        <v>2151</v>
      </c>
      <c r="B2157" s="10" t="s">
        <v>3066</v>
      </c>
      <c r="C2157" s="10" t="s">
        <v>2281</v>
      </c>
      <c r="D2157" s="11"/>
      <c r="E2157" s="12"/>
      <c r="F2157" s="11"/>
      <c r="G2157" s="12"/>
      <c r="H2157" s="11" t="n">
        <v>0.00291331018518519</v>
      </c>
      <c r="I2157" s="12" t="n">
        <v>1045</v>
      </c>
      <c r="J2157" s="12" t="n">
        <f aca="false">COUNT(E2157,G2157,I2157)</f>
        <v>1</v>
      </c>
      <c r="K2157" s="13" t="n">
        <f aca="false">MIN(E2157,G2157,I2157)</f>
        <v>1045</v>
      </c>
      <c r="L2157" s="9" t="str">
        <f aca="false">IF(E2157=K2157,"5000m",IF(G2157=K2157,"3000mSC","1500m"))</f>
        <v>1500m</v>
      </c>
      <c r="M2157" s="14" t="n">
        <f aca="false">(D2157&lt;&gt;"")*(D2157&lt;=($E$3*60+$F$3)/86400)+(F2157&lt;&gt;"")*(F2157&lt;=($I$3*60+$J$3)/86400)+(H2157&lt;&gt;"")*(H2157&lt;=($M$3*60+$N$3)/86400)</f>
        <v>0</v>
      </c>
      <c r="N2157" s="16"/>
      <c r="O2157" s="15"/>
    </row>
    <row r="2158" customFormat="false" ht="15" hidden="false" customHeight="false" outlineLevel="0" collapsed="false">
      <c r="A2158" s="9" t="n">
        <v>2152</v>
      </c>
      <c r="B2158" s="10" t="s">
        <v>3067</v>
      </c>
      <c r="C2158" s="10" t="s">
        <v>118</v>
      </c>
      <c r="D2158" s="11" t="n">
        <v>0.0109732638888889</v>
      </c>
      <c r="E2158" s="12" t="n">
        <v>1046</v>
      </c>
      <c r="F2158" s="11" t="n">
        <v>0.00769664351851852</v>
      </c>
      <c r="G2158" s="12" t="n">
        <v>1064</v>
      </c>
      <c r="H2158" s="11"/>
      <c r="I2158" s="12"/>
      <c r="J2158" s="12" t="n">
        <f aca="false">COUNT(E2158,G2158,I2158)</f>
        <v>2</v>
      </c>
      <c r="K2158" s="13" t="n">
        <f aca="false">MIN(E2158,G2158,I2158)</f>
        <v>1046</v>
      </c>
      <c r="L2158" s="9" t="str">
        <f aca="false">IF(E2158=K2158,"5000m",IF(G2158=K2158,"3000mSC","1500m"))</f>
        <v>5000m</v>
      </c>
      <c r="M2158" s="14" t="n">
        <f aca="false">(D2158&lt;&gt;"")*(D2158&lt;=($E$3*60+$F$3)/86400)+(F2158&lt;&gt;"")*(F2158&lt;=($I$3*60+$J$3)/86400)+(H2158&lt;&gt;"")*(H2158&lt;=($M$3*60+$N$3)/86400)</f>
        <v>0</v>
      </c>
      <c r="N2158" s="16"/>
      <c r="O2158" s="15"/>
    </row>
    <row r="2159" customFormat="false" ht="25.35" hidden="false" customHeight="false" outlineLevel="0" collapsed="false">
      <c r="A2159" s="9" t="n">
        <v>2153</v>
      </c>
      <c r="B2159" s="10" t="s">
        <v>3068</v>
      </c>
      <c r="C2159" s="10" t="s">
        <v>3069</v>
      </c>
      <c r="D2159" s="11"/>
      <c r="E2159" s="12"/>
      <c r="F2159" s="11" t="n">
        <v>0.00767106481481482</v>
      </c>
      <c r="G2159" s="12" t="n">
        <v>1046</v>
      </c>
      <c r="H2159" s="11"/>
      <c r="I2159" s="12"/>
      <c r="J2159" s="12" t="n">
        <f aca="false">COUNT(E2159,G2159,I2159)</f>
        <v>1</v>
      </c>
      <c r="K2159" s="13" t="n">
        <f aca="false">MIN(E2159,G2159,I2159)</f>
        <v>1046</v>
      </c>
      <c r="L2159" s="9" t="str">
        <f aca="false">IF(E2159=K2159,"5000m",IF(G2159=K2159,"3000mSC","1500m"))</f>
        <v>3000mSC</v>
      </c>
      <c r="M2159" s="14" t="n">
        <f aca="false">(D2159&lt;&gt;"")*(D2159&lt;=($E$3*60+$F$3)/86400)+(F2159&lt;&gt;"")*(F2159&lt;=($I$3*60+$J$3)/86400)+(H2159&lt;&gt;"")*(H2159&lt;=($M$3*60+$N$3)/86400)</f>
        <v>0</v>
      </c>
      <c r="N2159" s="16"/>
      <c r="O2159" s="15"/>
    </row>
    <row r="2160" customFormat="false" ht="25.35" hidden="false" customHeight="false" outlineLevel="0" collapsed="false">
      <c r="A2160" s="9" t="n">
        <v>2154</v>
      </c>
      <c r="B2160" s="10" t="s">
        <v>3070</v>
      </c>
      <c r="C2160" s="10" t="s">
        <v>3071</v>
      </c>
      <c r="D2160" s="11"/>
      <c r="E2160" s="12"/>
      <c r="F2160" s="11" t="n">
        <v>0.00767118055555556</v>
      </c>
      <c r="G2160" s="12" t="n">
        <v>1047</v>
      </c>
      <c r="H2160" s="11"/>
      <c r="I2160" s="12"/>
      <c r="J2160" s="12" t="n">
        <f aca="false">COUNT(E2160,G2160,I2160)</f>
        <v>1</v>
      </c>
      <c r="K2160" s="13" t="n">
        <f aca="false">MIN(E2160,G2160,I2160)</f>
        <v>1047</v>
      </c>
      <c r="L2160" s="9" t="str">
        <f aca="false">IF(E2160=K2160,"5000m",IF(G2160=K2160,"3000mSC","1500m"))</f>
        <v>3000mSC</v>
      </c>
      <c r="M2160" s="14" t="n">
        <f aca="false">(D2160&lt;&gt;"")*(D2160&lt;=($E$3*60+$F$3)/86400)+(F2160&lt;&gt;"")*(F2160&lt;=($I$3*60+$J$3)/86400)+(H2160&lt;&gt;"")*(H2160&lt;=($M$3*60+$N$3)/86400)</f>
        <v>0</v>
      </c>
      <c r="N2160" s="16"/>
      <c r="O2160" s="15"/>
    </row>
    <row r="2161" customFormat="false" ht="15" hidden="false" customHeight="false" outlineLevel="0" collapsed="false">
      <c r="A2161" s="9" t="n">
        <v>2155</v>
      </c>
      <c r="B2161" s="10" t="s">
        <v>3072</v>
      </c>
      <c r="C2161" s="10" t="s">
        <v>616</v>
      </c>
      <c r="D2161" s="11"/>
      <c r="E2161" s="12"/>
      <c r="F2161" s="11"/>
      <c r="G2161" s="12"/>
      <c r="H2161" s="11" t="n">
        <v>0.00291365740740741</v>
      </c>
      <c r="I2161" s="12" t="n">
        <v>1047</v>
      </c>
      <c r="J2161" s="12" t="n">
        <f aca="false">COUNT(E2161,G2161,I2161)</f>
        <v>1</v>
      </c>
      <c r="K2161" s="13" t="n">
        <f aca="false">MIN(E2161,G2161,I2161)</f>
        <v>1047</v>
      </c>
      <c r="L2161" s="9" t="str">
        <f aca="false">IF(E2161=K2161,"5000m",IF(G2161=K2161,"3000mSC","1500m"))</f>
        <v>1500m</v>
      </c>
      <c r="M2161" s="14" t="n">
        <f aca="false">(D2161&lt;&gt;"")*(D2161&lt;=($E$3*60+$F$3)/86400)+(F2161&lt;&gt;"")*(F2161&lt;=($I$3*60+$J$3)/86400)+(H2161&lt;&gt;"")*(H2161&lt;=($M$3*60+$N$3)/86400)</f>
        <v>0</v>
      </c>
      <c r="N2161" s="16"/>
      <c r="O2161" s="15"/>
    </row>
    <row r="2162" customFormat="false" ht="15" hidden="false" customHeight="false" outlineLevel="0" collapsed="false">
      <c r="A2162" s="9" t="n">
        <v>2156</v>
      </c>
      <c r="B2162" s="10" t="s">
        <v>3073</v>
      </c>
      <c r="C2162" s="10" t="s">
        <v>1020</v>
      </c>
      <c r="D2162" s="11" t="n">
        <v>0.0109739583333333</v>
      </c>
      <c r="E2162" s="12" t="n">
        <v>1048</v>
      </c>
      <c r="F2162" s="11"/>
      <c r="G2162" s="12"/>
      <c r="H2162" s="11"/>
      <c r="I2162" s="12"/>
      <c r="J2162" s="12" t="n">
        <f aca="false">COUNT(E2162,G2162,I2162)</f>
        <v>1</v>
      </c>
      <c r="K2162" s="13" t="n">
        <f aca="false">MIN(E2162,G2162,I2162)</f>
        <v>1048</v>
      </c>
      <c r="L2162" s="9" t="str">
        <f aca="false">IF(E2162=K2162,"5000m",IF(G2162=K2162,"3000mSC","1500m"))</f>
        <v>5000m</v>
      </c>
      <c r="M2162" s="14" t="n">
        <f aca="false">(D2162&lt;&gt;"")*(D2162&lt;=($E$3*60+$F$3)/86400)+(F2162&lt;&gt;"")*(F2162&lt;=($I$3*60+$J$3)/86400)+(H2162&lt;&gt;"")*(H2162&lt;=($M$3*60+$N$3)/86400)</f>
        <v>0</v>
      </c>
      <c r="N2162" s="16"/>
      <c r="O2162" s="15"/>
    </row>
    <row r="2163" customFormat="false" ht="25.35" hidden="false" customHeight="false" outlineLevel="0" collapsed="false">
      <c r="A2163" s="9" t="n">
        <v>2157</v>
      </c>
      <c r="B2163" s="10" t="s">
        <v>3074</v>
      </c>
      <c r="C2163" s="10" t="s">
        <v>848</v>
      </c>
      <c r="D2163" s="11"/>
      <c r="E2163" s="12"/>
      <c r="F2163" s="11" t="n">
        <v>0.00767199074074074</v>
      </c>
      <c r="G2163" s="12" t="n">
        <v>1048</v>
      </c>
      <c r="H2163" s="11"/>
      <c r="I2163" s="12"/>
      <c r="J2163" s="12" t="n">
        <f aca="false">COUNT(E2163,G2163,I2163)</f>
        <v>1</v>
      </c>
      <c r="K2163" s="13" t="n">
        <f aca="false">MIN(E2163,G2163,I2163)</f>
        <v>1048</v>
      </c>
      <c r="L2163" s="9" t="str">
        <f aca="false">IF(E2163=K2163,"5000m",IF(G2163=K2163,"3000mSC","1500m"))</f>
        <v>3000mSC</v>
      </c>
      <c r="M2163" s="14" t="n">
        <f aca="false">(D2163&lt;&gt;"")*(D2163&lt;=($E$3*60+$F$3)/86400)+(F2163&lt;&gt;"")*(F2163&lt;=($I$3*60+$J$3)/86400)+(H2163&lt;&gt;"")*(H2163&lt;=($M$3*60+$N$3)/86400)</f>
        <v>0</v>
      </c>
      <c r="N2163" s="16"/>
      <c r="O2163" s="15"/>
    </row>
    <row r="2164" customFormat="false" ht="15" hidden="false" customHeight="false" outlineLevel="0" collapsed="false">
      <c r="A2164" s="9" t="n">
        <v>2158</v>
      </c>
      <c r="B2164" s="10" t="s">
        <v>3075</v>
      </c>
      <c r="C2164" s="10" t="s">
        <v>3076</v>
      </c>
      <c r="D2164" s="11" t="n">
        <v>0.0109747685185185</v>
      </c>
      <c r="E2164" s="12" t="n">
        <v>1049</v>
      </c>
      <c r="F2164" s="11"/>
      <c r="G2164" s="12"/>
      <c r="H2164" s="11" t="n">
        <v>0.00292638888888889</v>
      </c>
      <c r="I2164" s="12" t="n">
        <v>1162</v>
      </c>
      <c r="J2164" s="12" t="n">
        <f aca="false">COUNT(E2164,G2164,I2164)</f>
        <v>2</v>
      </c>
      <c r="K2164" s="13" t="n">
        <f aca="false">MIN(E2164,G2164,I2164)</f>
        <v>1049</v>
      </c>
      <c r="L2164" s="9" t="str">
        <f aca="false">IF(E2164=K2164,"5000m",IF(G2164=K2164,"3000mSC","1500m"))</f>
        <v>5000m</v>
      </c>
      <c r="M2164" s="14" t="n">
        <f aca="false">(D2164&lt;&gt;"")*(D2164&lt;=($E$3*60+$F$3)/86400)+(F2164&lt;&gt;"")*(F2164&lt;=($I$3*60+$J$3)/86400)+(H2164&lt;&gt;"")*(H2164&lt;=($M$3*60+$N$3)/86400)</f>
        <v>0</v>
      </c>
      <c r="N2164" s="16"/>
      <c r="O2164" s="15"/>
    </row>
    <row r="2165" customFormat="false" ht="25.35" hidden="false" customHeight="false" outlineLevel="0" collapsed="false">
      <c r="A2165" s="9" t="n">
        <v>2159</v>
      </c>
      <c r="B2165" s="10" t="s">
        <v>3077</v>
      </c>
      <c r="C2165" s="10" t="s">
        <v>3078</v>
      </c>
      <c r="D2165" s="11"/>
      <c r="E2165" s="12"/>
      <c r="F2165" s="11" t="n">
        <v>0.00767210648148148</v>
      </c>
      <c r="G2165" s="12" t="n">
        <v>1049</v>
      </c>
      <c r="H2165" s="11"/>
      <c r="I2165" s="12"/>
      <c r="J2165" s="12" t="n">
        <f aca="false">COUNT(E2165,G2165,I2165)</f>
        <v>1</v>
      </c>
      <c r="K2165" s="13" t="n">
        <f aca="false">MIN(E2165,G2165,I2165)</f>
        <v>1049</v>
      </c>
      <c r="L2165" s="9" t="str">
        <f aca="false">IF(E2165=K2165,"5000m",IF(G2165=K2165,"3000mSC","1500m"))</f>
        <v>3000mSC</v>
      </c>
      <c r="M2165" s="14" t="n">
        <f aca="false">(D2165&lt;&gt;"")*(D2165&lt;=($E$3*60+$F$3)/86400)+(F2165&lt;&gt;"")*(F2165&lt;=($I$3*60+$J$3)/86400)+(H2165&lt;&gt;"")*(H2165&lt;=($M$3*60+$N$3)/86400)</f>
        <v>0</v>
      </c>
      <c r="N2165" s="16"/>
      <c r="O2165" s="15"/>
    </row>
    <row r="2166" customFormat="false" ht="25.35" hidden="false" customHeight="false" outlineLevel="0" collapsed="false">
      <c r="A2166" s="9" t="n">
        <v>2160</v>
      </c>
      <c r="B2166" s="10" t="s">
        <v>3079</v>
      </c>
      <c r="C2166" s="10" t="s">
        <v>32</v>
      </c>
      <c r="D2166" s="11"/>
      <c r="E2166" s="12"/>
      <c r="F2166" s="11" t="n">
        <v>0.00767291666666667</v>
      </c>
      <c r="G2166" s="12" t="n">
        <v>1050</v>
      </c>
      <c r="H2166" s="11"/>
      <c r="I2166" s="12"/>
      <c r="J2166" s="12" t="n">
        <f aca="false">COUNT(E2166,G2166,I2166)</f>
        <v>1</v>
      </c>
      <c r="K2166" s="13" t="n">
        <f aca="false">MIN(E2166,G2166,I2166)</f>
        <v>1050</v>
      </c>
      <c r="L2166" s="9" t="str">
        <f aca="false">IF(E2166=K2166,"5000m",IF(G2166=K2166,"3000mSC","1500m"))</f>
        <v>3000mSC</v>
      </c>
      <c r="M2166" s="14" t="n">
        <f aca="false">(D2166&lt;&gt;"")*(D2166&lt;=($E$3*60+$F$3)/86400)+(F2166&lt;&gt;"")*(F2166&lt;=($I$3*60+$J$3)/86400)+(H2166&lt;&gt;"")*(H2166&lt;=($M$3*60+$N$3)/86400)</f>
        <v>0</v>
      </c>
      <c r="N2166" s="16"/>
      <c r="O2166" s="15"/>
    </row>
    <row r="2167" customFormat="false" ht="15" hidden="false" customHeight="false" outlineLevel="0" collapsed="false">
      <c r="A2167" s="9" t="n">
        <v>2161</v>
      </c>
      <c r="B2167" s="10" t="s">
        <v>3080</v>
      </c>
      <c r="C2167" s="10" t="s">
        <v>3081</v>
      </c>
      <c r="D2167" s="11" t="n">
        <v>0.0109778935185185</v>
      </c>
      <c r="E2167" s="12" t="n">
        <v>1051</v>
      </c>
      <c r="F2167" s="11"/>
      <c r="G2167" s="12"/>
      <c r="H2167" s="11"/>
      <c r="I2167" s="12"/>
      <c r="J2167" s="12" t="n">
        <f aca="false">COUNT(E2167,G2167,I2167)</f>
        <v>1</v>
      </c>
      <c r="K2167" s="13" t="n">
        <f aca="false">MIN(E2167,G2167,I2167)</f>
        <v>1051</v>
      </c>
      <c r="L2167" s="9" t="str">
        <f aca="false">IF(E2167=K2167,"5000m",IF(G2167=K2167,"3000mSC","1500m"))</f>
        <v>5000m</v>
      </c>
      <c r="M2167" s="14" t="n">
        <f aca="false">(D2167&lt;&gt;"")*(D2167&lt;=($E$3*60+$F$3)/86400)+(F2167&lt;&gt;"")*(F2167&lt;=($I$3*60+$J$3)/86400)+(H2167&lt;&gt;"")*(H2167&lt;=($M$3*60+$N$3)/86400)</f>
        <v>0</v>
      </c>
      <c r="N2167" s="16"/>
      <c r="O2167" s="15"/>
    </row>
    <row r="2168" customFormat="false" ht="25.35" hidden="false" customHeight="false" outlineLevel="0" collapsed="false">
      <c r="A2168" s="9" t="n">
        <v>2162</v>
      </c>
      <c r="B2168" s="10" t="s">
        <v>3082</v>
      </c>
      <c r="C2168" s="10" t="s">
        <v>3083</v>
      </c>
      <c r="D2168" s="11"/>
      <c r="E2168" s="12"/>
      <c r="F2168" s="11" t="n">
        <v>0.00767326388888889</v>
      </c>
      <c r="G2168" s="12" t="n">
        <v>1051</v>
      </c>
      <c r="H2168" s="11"/>
      <c r="I2168" s="12"/>
      <c r="J2168" s="12" t="n">
        <f aca="false">COUNT(E2168,G2168,I2168)</f>
        <v>1</v>
      </c>
      <c r="K2168" s="13" t="n">
        <f aca="false">MIN(E2168,G2168,I2168)</f>
        <v>1051</v>
      </c>
      <c r="L2168" s="9" t="str">
        <f aca="false">IF(E2168=K2168,"5000m",IF(G2168=K2168,"3000mSC","1500m"))</f>
        <v>3000mSC</v>
      </c>
      <c r="M2168" s="14" t="n">
        <f aca="false">(D2168&lt;&gt;"")*(D2168&lt;=($E$3*60+$F$3)/86400)+(F2168&lt;&gt;"")*(F2168&lt;=($I$3*60+$J$3)/86400)+(H2168&lt;&gt;"")*(H2168&lt;=($M$3*60+$N$3)/86400)</f>
        <v>0</v>
      </c>
      <c r="N2168" s="16"/>
      <c r="O2168" s="15"/>
    </row>
    <row r="2169" customFormat="false" ht="15" hidden="false" customHeight="false" outlineLevel="0" collapsed="false">
      <c r="A2169" s="9" t="n">
        <v>2163</v>
      </c>
      <c r="B2169" s="10" t="s">
        <v>3084</v>
      </c>
      <c r="C2169" s="10" t="s">
        <v>1839</v>
      </c>
      <c r="D2169" s="11" t="n">
        <v>0.0109778935185185</v>
      </c>
      <c r="E2169" s="12" t="n">
        <v>1052</v>
      </c>
      <c r="F2169" s="11"/>
      <c r="G2169" s="12"/>
      <c r="H2169" s="11" t="n">
        <v>0.00297152777777778</v>
      </c>
      <c r="I2169" s="12" t="n">
        <v>1313</v>
      </c>
      <c r="J2169" s="12" t="n">
        <f aca="false">COUNT(E2169,G2169,I2169)</f>
        <v>2</v>
      </c>
      <c r="K2169" s="13" t="n">
        <f aca="false">MIN(E2169,G2169,I2169)</f>
        <v>1052</v>
      </c>
      <c r="L2169" s="9" t="str">
        <f aca="false">IF(E2169=K2169,"5000m",IF(G2169=K2169,"3000mSC","1500m"))</f>
        <v>5000m</v>
      </c>
      <c r="M2169" s="14" t="n">
        <f aca="false">(D2169&lt;&gt;"")*(D2169&lt;=($E$3*60+$F$3)/86400)+(F2169&lt;&gt;"")*(F2169&lt;=($I$3*60+$J$3)/86400)+(H2169&lt;&gt;"")*(H2169&lt;=($M$3*60+$N$3)/86400)</f>
        <v>0</v>
      </c>
      <c r="N2169" s="16"/>
      <c r="O2169" s="15"/>
    </row>
    <row r="2170" customFormat="false" ht="25.35" hidden="false" customHeight="false" outlineLevel="0" collapsed="false">
      <c r="A2170" s="9" t="n">
        <v>2164</v>
      </c>
      <c r="B2170" s="10" t="s">
        <v>3085</v>
      </c>
      <c r="C2170" s="10" t="s">
        <v>3086</v>
      </c>
      <c r="D2170" s="11"/>
      <c r="E2170" s="12"/>
      <c r="F2170" s="11" t="n">
        <v>0.00767407407407407</v>
      </c>
      <c r="G2170" s="12" t="n">
        <v>1052</v>
      </c>
      <c r="H2170" s="11"/>
      <c r="I2170" s="12"/>
      <c r="J2170" s="12" t="n">
        <f aca="false">COUNT(E2170,G2170,I2170)</f>
        <v>1</v>
      </c>
      <c r="K2170" s="13" t="n">
        <f aca="false">MIN(E2170,G2170,I2170)</f>
        <v>1052</v>
      </c>
      <c r="L2170" s="9" t="str">
        <f aca="false">IF(E2170=K2170,"5000m",IF(G2170=K2170,"3000mSC","1500m"))</f>
        <v>3000mSC</v>
      </c>
      <c r="M2170" s="14" t="n">
        <f aca="false">(D2170&lt;&gt;"")*(D2170&lt;=($E$3*60+$F$3)/86400)+(F2170&lt;&gt;"")*(F2170&lt;=($I$3*60+$J$3)/86400)+(H2170&lt;&gt;"")*(H2170&lt;=($M$3*60+$N$3)/86400)</f>
        <v>0</v>
      </c>
      <c r="N2170" s="16"/>
      <c r="O2170" s="15"/>
    </row>
    <row r="2171" customFormat="false" ht="15" hidden="false" customHeight="false" outlineLevel="0" collapsed="false">
      <c r="A2171" s="9" t="n">
        <v>2165</v>
      </c>
      <c r="B2171" s="10" t="s">
        <v>3087</v>
      </c>
      <c r="C2171" s="10" t="s">
        <v>3088</v>
      </c>
      <c r="D2171" s="11"/>
      <c r="E2171" s="12"/>
      <c r="F2171" s="11"/>
      <c r="G2171" s="12"/>
      <c r="H2171" s="11" t="n">
        <v>0.00291435185185185</v>
      </c>
      <c r="I2171" s="12" t="n">
        <v>1052</v>
      </c>
      <c r="J2171" s="12" t="n">
        <f aca="false">COUNT(E2171,G2171,I2171)</f>
        <v>1</v>
      </c>
      <c r="K2171" s="13" t="n">
        <f aca="false">MIN(E2171,G2171,I2171)</f>
        <v>1052</v>
      </c>
      <c r="L2171" s="9" t="str">
        <f aca="false">IF(E2171=K2171,"5000m",IF(G2171=K2171,"3000mSC","1500m"))</f>
        <v>1500m</v>
      </c>
      <c r="M2171" s="14" t="n">
        <f aca="false">(D2171&lt;&gt;"")*(D2171&lt;=($E$3*60+$F$3)/86400)+(F2171&lt;&gt;"")*(F2171&lt;=($I$3*60+$J$3)/86400)+(H2171&lt;&gt;"")*(H2171&lt;=($M$3*60+$N$3)/86400)</f>
        <v>0</v>
      </c>
      <c r="N2171" s="16"/>
      <c r="O2171" s="15"/>
    </row>
    <row r="2172" customFormat="false" ht="25.35" hidden="false" customHeight="false" outlineLevel="0" collapsed="false">
      <c r="A2172" s="9" t="n">
        <v>2166</v>
      </c>
      <c r="B2172" s="10" t="s">
        <v>3089</v>
      </c>
      <c r="C2172" s="10" t="s">
        <v>465</v>
      </c>
      <c r="D2172" s="11"/>
      <c r="E2172" s="12"/>
      <c r="F2172" s="11" t="n">
        <v>0.00767488425925926</v>
      </c>
      <c r="G2172" s="12" t="n">
        <v>1053</v>
      </c>
      <c r="H2172" s="11"/>
      <c r="I2172" s="12"/>
      <c r="J2172" s="12" t="n">
        <f aca="false">COUNT(E2172,G2172,I2172)</f>
        <v>1</v>
      </c>
      <c r="K2172" s="13" t="n">
        <f aca="false">MIN(E2172,G2172,I2172)</f>
        <v>1053</v>
      </c>
      <c r="L2172" s="9" t="str">
        <f aca="false">IF(E2172=K2172,"5000m",IF(G2172=K2172,"3000mSC","1500m"))</f>
        <v>3000mSC</v>
      </c>
      <c r="M2172" s="14" t="n">
        <f aca="false">(D2172&lt;&gt;"")*(D2172&lt;=($E$3*60+$F$3)/86400)+(F2172&lt;&gt;"")*(F2172&lt;=($I$3*60+$J$3)/86400)+(H2172&lt;&gt;"")*(H2172&lt;=($M$3*60+$N$3)/86400)</f>
        <v>0</v>
      </c>
      <c r="N2172" s="16"/>
      <c r="O2172" s="15"/>
    </row>
    <row r="2173" customFormat="false" ht="25.35" hidden="false" customHeight="false" outlineLevel="0" collapsed="false">
      <c r="A2173" s="9" t="n">
        <v>2167</v>
      </c>
      <c r="B2173" s="10" t="s">
        <v>3090</v>
      </c>
      <c r="C2173" s="10" t="s">
        <v>2606</v>
      </c>
      <c r="D2173" s="11"/>
      <c r="E2173" s="12"/>
      <c r="F2173" s="11" t="n">
        <v>0.00767534722222222</v>
      </c>
      <c r="G2173" s="12" t="n">
        <v>1054</v>
      </c>
      <c r="H2173" s="11"/>
      <c r="I2173" s="12"/>
      <c r="J2173" s="12" t="n">
        <f aca="false">COUNT(E2173,G2173,I2173)</f>
        <v>1</v>
      </c>
      <c r="K2173" s="13" t="n">
        <f aca="false">MIN(E2173,G2173,I2173)</f>
        <v>1054</v>
      </c>
      <c r="L2173" s="9" t="str">
        <f aca="false">IF(E2173=K2173,"5000m",IF(G2173=K2173,"3000mSC","1500m"))</f>
        <v>3000mSC</v>
      </c>
      <c r="M2173" s="14" t="n">
        <f aca="false">(D2173&lt;&gt;"")*(D2173&lt;=($E$3*60+$F$3)/86400)+(F2173&lt;&gt;"")*(F2173&lt;=($I$3*60+$J$3)/86400)+(H2173&lt;&gt;"")*(H2173&lt;=($M$3*60+$N$3)/86400)</f>
        <v>0</v>
      </c>
      <c r="N2173" s="16"/>
      <c r="O2173" s="15"/>
    </row>
    <row r="2174" customFormat="false" ht="15" hidden="false" customHeight="false" outlineLevel="0" collapsed="false">
      <c r="A2174" s="9" t="n">
        <v>2168</v>
      </c>
      <c r="B2174" s="10" t="s">
        <v>3091</v>
      </c>
      <c r="C2174" s="10" t="s">
        <v>2114</v>
      </c>
      <c r="D2174" s="11"/>
      <c r="E2174" s="12"/>
      <c r="F2174" s="11"/>
      <c r="G2174" s="12"/>
      <c r="H2174" s="11" t="n">
        <v>0.00291493055555556</v>
      </c>
      <c r="I2174" s="12" t="n">
        <v>1054</v>
      </c>
      <c r="J2174" s="12" t="n">
        <f aca="false">COUNT(E2174,G2174,I2174)</f>
        <v>1</v>
      </c>
      <c r="K2174" s="13" t="n">
        <f aca="false">MIN(E2174,G2174,I2174)</f>
        <v>1054</v>
      </c>
      <c r="L2174" s="9" t="str">
        <f aca="false">IF(E2174=K2174,"5000m",IF(G2174=K2174,"3000mSC","1500m"))</f>
        <v>1500m</v>
      </c>
      <c r="M2174" s="14" t="n">
        <f aca="false">(D2174&lt;&gt;"")*(D2174&lt;=($E$3*60+$F$3)/86400)+(F2174&lt;&gt;"")*(F2174&lt;=($I$3*60+$J$3)/86400)+(H2174&lt;&gt;"")*(H2174&lt;=($M$3*60+$N$3)/86400)</f>
        <v>0</v>
      </c>
      <c r="N2174" s="16"/>
      <c r="O2174" s="15"/>
    </row>
    <row r="2175" customFormat="false" ht="25.35" hidden="false" customHeight="false" outlineLevel="0" collapsed="false">
      <c r="A2175" s="9" t="n">
        <v>2169</v>
      </c>
      <c r="B2175" s="10" t="s">
        <v>3092</v>
      </c>
      <c r="C2175" s="10" t="s">
        <v>2613</v>
      </c>
      <c r="D2175" s="11"/>
      <c r="E2175" s="12"/>
      <c r="F2175" s="11" t="n">
        <v>0.00767627314814815</v>
      </c>
      <c r="G2175" s="12" t="n">
        <v>1055</v>
      </c>
      <c r="H2175" s="11"/>
      <c r="I2175" s="12"/>
      <c r="J2175" s="12" t="n">
        <f aca="false">COUNT(E2175,G2175,I2175)</f>
        <v>1</v>
      </c>
      <c r="K2175" s="13" t="n">
        <f aca="false">MIN(E2175,G2175,I2175)</f>
        <v>1055</v>
      </c>
      <c r="L2175" s="9" t="str">
        <f aca="false">IF(E2175=K2175,"5000m",IF(G2175=K2175,"3000mSC","1500m"))</f>
        <v>3000mSC</v>
      </c>
      <c r="M2175" s="14" t="n">
        <f aca="false">(D2175&lt;&gt;"")*(D2175&lt;=($E$3*60+$F$3)/86400)+(F2175&lt;&gt;"")*(F2175&lt;=($I$3*60+$J$3)/86400)+(H2175&lt;&gt;"")*(H2175&lt;=($M$3*60+$N$3)/86400)</f>
        <v>0</v>
      </c>
      <c r="N2175" s="16"/>
      <c r="O2175" s="15"/>
    </row>
    <row r="2176" customFormat="false" ht="15" hidden="false" customHeight="false" outlineLevel="0" collapsed="false">
      <c r="A2176" s="9" t="n">
        <v>2170</v>
      </c>
      <c r="B2176" s="10" t="s">
        <v>3093</v>
      </c>
      <c r="C2176" s="10" t="s">
        <v>758</v>
      </c>
      <c r="D2176" s="11" t="n">
        <v>0.0109800925925926</v>
      </c>
      <c r="E2176" s="12" t="n">
        <v>1056</v>
      </c>
      <c r="F2176" s="11"/>
      <c r="G2176" s="12"/>
      <c r="H2176" s="11" t="n">
        <v>0.00293715277777778</v>
      </c>
      <c r="I2176" s="12" t="n">
        <v>1195</v>
      </c>
      <c r="J2176" s="12" t="n">
        <f aca="false">COUNT(E2176,G2176,I2176)</f>
        <v>2</v>
      </c>
      <c r="K2176" s="13" t="n">
        <f aca="false">MIN(E2176,G2176,I2176)</f>
        <v>1056</v>
      </c>
      <c r="L2176" s="9" t="str">
        <f aca="false">IF(E2176=K2176,"5000m",IF(G2176=K2176,"3000mSC","1500m"))</f>
        <v>5000m</v>
      </c>
      <c r="M2176" s="14" t="n">
        <f aca="false">(D2176&lt;&gt;"")*(D2176&lt;=($E$3*60+$F$3)/86400)+(F2176&lt;&gt;"")*(F2176&lt;=($I$3*60+$J$3)/86400)+(H2176&lt;&gt;"")*(H2176&lt;=($M$3*60+$N$3)/86400)</f>
        <v>0</v>
      </c>
      <c r="N2176" s="16"/>
      <c r="O2176" s="15"/>
    </row>
    <row r="2177" customFormat="false" ht="25.35" hidden="false" customHeight="false" outlineLevel="0" collapsed="false">
      <c r="A2177" s="9" t="n">
        <v>2171</v>
      </c>
      <c r="B2177" s="10" t="s">
        <v>3094</v>
      </c>
      <c r="C2177" s="10" t="s">
        <v>173</v>
      </c>
      <c r="D2177" s="11"/>
      <c r="E2177" s="12"/>
      <c r="F2177" s="11" t="n">
        <v>0.00767847222222222</v>
      </c>
      <c r="G2177" s="12" t="n">
        <v>1057</v>
      </c>
      <c r="H2177" s="11"/>
      <c r="I2177" s="12"/>
      <c r="J2177" s="12" t="n">
        <f aca="false">COUNT(E2177,G2177,I2177)</f>
        <v>1</v>
      </c>
      <c r="K2177" s="13" t="n">
        <f aca="false">MIN(E2177,G2177,I2177)</f>
        <v>1057</v>
      </c>
      <c r="L2177" s="9" t="str">
        <f aca="false">IF(E2177=K2177,"5000m",IF(G2177=K2177,"3000mSC","1500m"))</f>
        <v>3000mSC</v>
      </c>
      <c r="M2177" s="14" t="n">
        <f aca="false">(D2177&lt;&gt;"")*(D2177&lt;=($E$3*60+$F$3)/86400)+(F2177&lt;&gt;"")*(F2177&lt;=($I$3*60+$J$3)/86400)+(H2177&lt;&gt;"")*(H2177&lt;=($M$3*60+$N$3)/86400)</f>
        <v>0</v>
      </c>
      <c r="N2177" s="16"/>
      <c r="O2177" s="15"/>
    </row>
    <row r="2178" customFormat="false" ht="25.35" hidden="false" customHeight="false" outlineLevel="0" collapsed="false">
      <c r="A2178" s="9" t="n">
        <v>2172</v>
      </c>
      <c r="B2178" s="10" t="s">
        <v>3095</v>
      </c>
      <c r="C2178" s="10" t="s">
        <v>2082</v>
      </c>
      <c r="D2178" s="11"/>
      <c r="E2178" s="12"/>
      <c r="F2178" s="11" t="n">
        <v>0.00767951388888889</v>
      </c>
      <c r="G2178" s="12" t="n">
        <v>1058</v>
      </c>
      <c r="H2178" s="11"/>
      <c r="I2178" s="12"/>
      <c r="J2178" s="12" t="n">
        <f aca="false">COUNT(E2178,G2178,I2178)</f>
        <v>1</v>
      </c>
      <c r="K2178" s="13" t="n">
        <f aca="false">MIN(E2178,G2178,I2178)</f>
        <v>1058</v>
      </c>
      <c r="L2178" s="9" t="str">
        <f aca="false">IF(E2178=K2178,"5000m",IF(G2178=K2178,"3000mSC","1500m"))</f>
        <v>3000mSC</v>
      </c>
      <c r="M2178" s="14" t="n">
        <f aca="false">(D2178&lt;&gt;"")*(D2178&lt;=($E$3*60+$F$3)/86400)+(F2178&lt;&gt;"")*(F2178&lt;=($I$3*60+$J$3)/86400)+(H2178&lt;&gt;"")*(H2178&lt;=($M$3*60+$N$3)/86400)</f>
        <v>0</v>
      </c>
      <c r="N2178" s="16"/>
      <c r="O2178" s="15"/>
    </row>
    <row r="2179" customFormat="false" ht="15" hidden="false" customHeight="false" outlineLevel="0" collapsed="false">
      <c r="A2179" s="9" t="n">
        <v>2173</v>
      </c>
      <c r="B2179" s="10" t="s">
        <v>3096</v>
      </c>
      <c r="C2179" s="10" t="s">
        <v>744</v>
      </c>
      <c r="D2179" s="11"/>
      <c r="E2179" s="12"/>
      <c r="F2179" s="11"/>
      <c r="G2179" s="12"/>
      <c r="H2179" s="11" t="n">
        <v>0.00291597222222222</v>
      </c>
      <c r="I2179" s="12" t="n">
        <v>1058</v>
      </c>
      <c r="J2179" s="12" t="n">
        <f aca="false">COUNT(E2179,G2179,I2179)</f>
        <v>1</v>
      </c>
      <c r="K2179" s="13" t="n">
        <f aca="false">MIN(E2179,G2179,I2179)</f>
        <v>1058</v>
      </c>
      <c r="L2179" s="9" t="str">
        <f aca="false">IF(E2179=K2179,"5000m",IF(G2179=K2179,"3000mSC","1500m"))</f>
        <v>1500m</v>
      </c>
      <c r="M2179" s="14" t="n">
        <f aca="false">(D2179&lt;&gt;"")*(D2179&lt;=($E$3*60+$F$3)/86400)+(F2179&lt;&gt;"")*(F2179&lt;=($I$3*60+$J$3)/86400)+(H2179&lt;&gt;"")*(H2179&lt;=($M$3*60+$N$3)/86400)</f>
        <v>0</v>
      </c>
      <c r="N2179" s="16"/>
      <c r="O2179" s="15"/>
    </row>
    <row r="2180" customFormat="false" ht="25.35" hidden="false" customHeight="false" outlineLevel="0" collapsed="false">
      <c r="A2180" s="9" t="n">
        <v>2174</v>
      </c>
      <c r="B2180" s="10" t="s">
        <v>3097</v>
      </c>
      <c r="C2180" s="10" t="s">
        <v>1166</v>
      </c>
      <c r="D2180" s="11"/>
      <c r="E2180" s="12"/>
      <c r="F2180" s="11" t="n">
        <v>0.00768252314814815</v>
      </c>
      <c r="G2180" s="12" t="n">
        <v>1059</v>
      </c>
      <c r="H2180" s="11"/>
      <c r="I2180" s="12"/>
      <c r="J2180" s="12" t="n">
        <f aca="false">COUNT(E2180,G2180,I2180)</f>
        <v>1</v>
      </c>
      <c r="K2180" s="13" t="n">
        <f aca="false">MIN(E2180,G2180,I2180)</f>
        <v>1059</v>
      </c>
      <c r="L2180" s="9" t="str">
        <f aca="false">IF(E2180=K2180,"5000m",IF(G2180=K2180,"3000mSC","1500m"))</f>
        <v>3000mSC</v>
      </c>
      <c r="M2180" s="14" t="n">
        <f aca="false">(D2180&lt;&gt;"")*(D2180&lt;=($E$3*60+$F$3)/86400)+(F2180&lt;&gt;"")*(F2180&lt;=($I$3*60+$J$3)/86400)+(H2180&lt;&gt;"")*(H2180&lt;=($M$3*60+$N$3)/86400)</f>
        <v>0</v>
      </c>
      <c r="N2180" s="16"/>
      <c r="O2180" s="15"/>
    </row>
    <row r="2181" customFormat="false" ht="25.35" hidden="false" customHeight="false" outlineLevel="0" collapsed="false">
      <c r="A2181" s="9" t="n">
        <v>2175</v>
      </c>
      <c r="B2181" s="10" t="s">
        <v>3098</v>
      </c>
      <c r="C2181" s="10" t="s">
        <v>3099</v>
      </c>
      <c r="D2181" s="11"/>
      <c r="E2181" s="12"/>
      <c r="F2181" s="11" t="n">
        <v>0.00768344907407407</v>
      </c>
      <c r="G2181" s="12" t="n">
        <v>1060</v>
      </c>
      <c r="H2181" s="11"/>
      <c r="I2181" s="12"/>
      <c r="J2181" s="12" t="n">
        <f aca="false">COUNT(E2181,G2181,I2181)</f>
        <v>1</v>
      </c>
      <c r="K2181" s="13" t="n">
        <f aca="false">MIN(E2181,G2181,I2181)</f>
        <v>1060</v>
      </c>
      <c r="L2181" s="9" t="str">
        <f aca="false">IF(E2181=K2181,"5000m",IF(G2181=K2181,"3000mSC","1500m"))</f>
        <v>3000mSC</v>
      </c>
      <c r="M2181" s="14" t="n">
        <f aca="false">(D2181&lt;&gt;"")*(D2181&lt;=($E$3*60+$F$3)/86400)+(F2181&lt;&gt;"")*(F2181&lt;=($I$3*60+$J$3)/86400)+(H2181&lt;&gt;"")*(H2181&lt;=($M$3*60+$N$3)/86400)</f>
        <v>0</v>
      </c>
      <c r="N2181" s="16"/>
      <c r="O2181" s="15"/>
    </row>
    <row r="2182" customFormat="false" ht="15" hidden="false" customHeight="false" outlineLevel="0" collapsed="false">
      <c r="A2182" s="9" t="n">
        <v>2176</v>
      </c>
      <c r="B2182" s="10" t="s">
        <v>3100</v>
      </c>
      <c r="C2182" s="10" t="s">
        <v>79</v>
      </c>
      <c r="D2182" s="11" t="n">
        <v>0.0109813657407407</v>
      </c>
      <c r="E2182" s="12" t="n">
        <v>1061</v>
      </c>
      <c r="F2182" s="11" t="n">
        <v>0.00770127314814815</v>
      </c>
      <c r="G2182" s="12" t="n">
        <v>1068</v>
      </c>
      <c r="H2182" s="11" t="n">
        <v>0.00293321759259259</v>
      </c>
      <c r="I2182" s="12" t="n">
        <v>1181</v>
      </c>
      <c r="J2182" s="12" t="n">
        <f aca="false">COUNT(E2182,G2182,I2182)</f>
        <v>3</v>
      </c>
      <c r="K2182" s="13" t="n">
        <f aca="false">MIN(E2182,G2182,I2182)</f>
        <v>1061</v>
      </c>
      <c r="L2182" s="9" t="str">
        <f aca="false">IF(E2182=K2182,"5000m",IF(G2182=K2182,"3000mSC","1500m"))</f>
        <v>5000m</v>
      </c>
      <c r="M2182" s="14" t="n">
        <f aca="false">(D2182&lt;&gt;"")*(D2182&lt;=($E$3*60+$F$3)/86400)+(F2182&lt;&gt;"")*(F2182&lt;=($I$3*60+$J$3)/86400)+(H2182&lt;&gt;"")*(H2182&lt;=($M$3*60+$N$3)/86400)</f>
        <v>0</v>
      </c>
      <c r="N2182" s="16"/>
      <c r="O2182" s="15"/>
    </row>
    <row r="2183" customFormat="false" ht="25.35" hidden="false" customHeight="false" outlineLevel="0" collapsed="false">
      <c r="A2183" s="9" t="n">
        <v>2177</v>
      </c>
      <c r="B2183" s="10" t="s">
        <v>3101</v>
      </c>
      <c r="C2183" s="10" t="s">
        <v>2271</v>
      </c>
      <c r="D2183" s="11"/>
      <c r="E2183" s="12"/>
      <c r="F2183" s="11" t="n">
        <v>0.00768622685185185</v>
      </c>
      <c r="G2183" s="12" t="n">
        <v>1061</v>
      </c>
      <c r="H2183" s="11"/>
      <c r="I2183" s="12"/>
      <c r="J2183" s="12" t="n">
        <f aca="false">COUNT(E2183,G2183,I2183)</f>
        <v>1</v>
      </c>
      <c r="K2183" s="13" t="n">
        <f aca="false">MIN(E2183,G2183,I2183)</f>
        <v>1061</v>
      </c>
      <c r="L2183" s="9" t="str">
        <f aca="false">IF(E2183=K2183,"5000m",IF(G2183=K2183,"3000mSC","1500m"))</f>
        <v>3000mSC</v>
      </c>
      <c r="M2183" s="14" t="n">
        <f aca="false">(D2183&lt;&gt;"")*(D2183&lt;=($E$3*60+$F$3)/86400)+(F2183&lt;&gt;"")*(F2183&lt;=($I$3*60+$J$3)/86400)+(H2183&lt;&gt;"")*(H2183&lt;=($M$3*60+$N$3)/86400)</f>
        <v>0</v>
      </c>
      <c r="N2183" s="16"/>
      <c r="O2183" s="15"/>
    </row>
    <row r="2184" customFormat="false" ht="15" hidden="false" customHeight="false" outlineLevel="0" collapsed="false">
      <c r="A2184" s="9" t="n">
        <v>2178</v>
      </c>
      <c r="B2184" s="10" t="s">
        <v>3102</v>
      </c>
      <c r="C2184" s="10" t="s">
        <v>3103</v>
      </c>
      <c r="D2184" s="11"/>
      <c r="E2184" s="12"/>
      <c r="F2184" s="11"/>
      <c r="G2184" s="12"/>
      <c r="H2184" s="11" t="n">
        <v>0.00291631944444444</v>
      </c>
      <c r="I2184" s="12" t="n">
        <v>1061</v>
      </c>
      <c r="J2184" s="12" t="n">
        <f aca="false">COUNT(E2184,G2184,I2184)</f>
        <v>1</v>
      </c>
      <c r="K2184" s="13" t="n">
        <f aca="false">MIN(E2184,G2184,I2184)</f>
        <v>1061</v>
      </c>
      <c r="L2184" s="9" t="str">
        <f aca="false">IF(E2184=K2184,"5000m",IF(G2184=K2184,"3000mSC","1500m"))</f>
        <v>1500m</v>
      </c>
      <c r="M2184" s="14" t="n">
        <f aca="false">(D2184&lt;&gt;"")*(D2184&lt;=($E$3*60+$F$3)/86400)+(F2184&lt;&gt;"")*(F2184&lt;=($I$3*60+$J$3)/86400)+(H2184&lt;&gt;"")*(H2184&lt;=($M$3*60+$N$3)/86400)</f>
        <v>0</v>
      </c>
      <c r="N2184" s="16"/>
      <c r="O2184" s="15"/>
    </row>
    <row r="2185" customFormat="false" ht="25.35" hidden="false" customHeight="false" outlineLevel="0" collapsed="false">
      <c r="A2185" s="9" t="n">
        <v>2179</v>
      </c>
      <c r="B2185" s="10" t="s">
        <v>3104</v>
      </c>
      <c r="C2185" s="10" t="s">
        <v>823</v>
      </c>
      <c r="D2185" s="11"/>
      <c r="E2185" s="12"/>
      <c r="F2185" s="11" t="n">
        <v>0.00769212962962963</v>
      </c>
      <c r="G2185" s="12" t="n">
        <v>1062</v>
      </c>
      <c r="H2185" s="11"/>
      <c r="I2185" s="12"/>
      <c r="J2185" s="12" t="n">
        <f aca="false">COUNT(E2185,G2185,I2185)</f>
        <v>1</v>
      </c>
      <c r="K2185" s="13" t="n">
        <f aca="false">MIN(E2185,G2185,I2185)</f>
        <v>1062</v>
      </c>
      <c r="L2185" s="9" t="str">
        <f aca="false">IF(E2185=K2185,"5000m",IF(G2185=K2185,"3000mSC","1500m"))</f>
        <v>3000mSC</v>
      </c>
      <c r="M2185" s="14" t="n">
        <f aca="false">(D2185&lt;&gt;"")*(D2185&lt;=($E$3*60+$F$3)/86400)+(F2185&lt;&gt;"")*(F2185&lt;=($I$3*60+$J$3)/86400)+(H2185&lt;&gt;"")*(H2185&lt;=($M$3*60+$N$3)/86400)</f>
        <v>0</v>
      </c>
      <c r="N2185" s="16"/>
      <c r="O2185" s="15"/>
    </row>
    <row r="2186" customFormat="false" ht="15" hidden="false" customHeight="false" outlineLevel="0" collapsed="false">
      <c r="A2186" s="9" t="n">
        <v>2180</v>
      </c>
      <c r="B2186" s="10" t="s">
        <v>3105</v>
      </c>
      <c r="C2186" s="10" t="s">
        <v>3004</v>
      </c>
      <c r="D2186" s="11"/>
      <c r="E2186" s="12"/>
      <c r="F2186" s="11"/>
      <c r="G2186" s="12"/>
      <c r="H2186" s="11" t="n">
        <v>0.00291631944444444</v>
      </c>
      <c r="I2186" s="12" t="n">
        <v>1062</v>
      </c>
      <c r="J2186" s="12" t="n">
        <f aca="false">COUNT(E2186,G2186,I2186)</f>
        <v>1</v>
      </c>
      <c r="K2186" s="13" t="n">
        <f aca="false">MIN(E2186,G2186,I2186)</f>
        <v>1062</v>
      </c>
      <c r="L2186" s="9" t="str">
        <f aca="false">IF(E2186=K2186,"5000m",IF(G2186=K2186,"3000mSC","1500m"))</f>
        <v>1500m</v>
      </c>
      <c r="M2186" s="14" t="n">
        <f aca="false">(D2186&lt;&gt;"")*(D2186&lt;=($E$3*60+$F$3)/86400)+(F2186&lt;&gt;"")*(F2186&lt;=($I$3*60+$J$3)/86400)+(H2186&lt;&gt;"")*(H2186&lt;=($M$3*60+$N$3)/86400)</f>
        <v>0</v>
      </c>
      <c r="N2186" s="16"/>
      <c r="O2186" s="15"/>
    </row>
    <row r="2187" customFormat="false" ht="15" hidden="false" customHeight="false" outlineLevel="0" collapsed="false">
      <c r="A2187" s="9" t="n">
        <v>2181</v>
      </c>
      <c r="B2187" s="10" t="s">
        <v>3106</v>
      </c>
      <c r="C2187" s="10" t="s">
        <v>697</v>
      </c>
      <c r="D2187" s="11" t="n">
        <v>0.0109833333333333</v>
      </c>
      <c r="E2187" s="12" t="n">
        <v>1063</v>
      </c>
      <c r="F2187" s="11"/>
      <c r="G2187" s="12"/>
      <c r="H2187" s="11"/>
      <c r="I2187" s="12"/>
      <c r="J2187" s="12" t="n">
        <f aca="false">COUNT(E2187,G2187,I2187)</f>
        <v>1</v>
      </c>
      <c r="K2187" s="13" t="n">
        <f aca="false">MIN(E2187,G2187,I2187)</f>
        <v>1063</v>
      </c>
      <c r="L2187" s="9" t="str">
        <f aca="false">IF(E2187=K2187,"5000m",IF(G2187=K2187,"3000mSC","1500m"))</f>
        <v>5000m</v>
      </c>
      <c r="M2187" s="14" t="n">
        <f aca="false">(D2187&lt;&gt;"")*(D2187&lt;=($E$3*60+$F$3)/86400)+(F2187&lt;&gt;"")*(F2187&lt;=($I$3*60+$J$3)/86400)+(H2187&lt;&gt;"")*(H2187&lt;=($M$3*60+$N$3)/86400)</f>
        <v>0</v>
      </c>
      <c r="N2187" s="16"/>
      <c r="O2187" s="15"/>
    </row>
    <row r="2188" customFormat="false" ht="25.35" hidden="false" customHeight="false" outlineLevel="0" collapsed="false">
      <c r="A2188" s="9" t="n">
        <v>2182</v>
      </c>
      <c r="B2188" s="10" t="s">
        <v>3107</v>
      </c>
      <c r="C2188" s="10" t="s">
        <v>3108</v>
      </c>
      <c r="D2188" s="11"/>
      <c r="E2188" s="12"/>
      <c r="F2188" s="11" t="n">
        <v>0.00769328703703704</v>
      </c>
      <c r="G2188" s="12" t="n">
        <v>1063</v>
      </c>
      <c r="H2188" s="11"/>
      <c r="I2188" s="12"/>
      <c r="J2188" s="12" t="n">
        <f aca="false">COUNT(E2188,G2188,I2188)</f>
        <v>1</v>
      </c>
      <c r="K2188" s="13" t="n">
        <f aca="false">MIN(E2188,G2188,I2188)</f>
        <v>1063</v>
      </c>
      <c r="L2188" s="9" t="str">
        <f aca="false">IF(E2188=K2188,"5000m",IF(G2188=K2188,"3000mSC","1500m"))</f>
        <v>3000mSC</v>
      </c>
      <c r="M2188" s="14" t="n">
        <f aca="false">(D2188&lt;&gt;"")*(D2188&lt;=($E$3*60+$F$3)/86400)+(F2188&lt;&gt;"")*(F2188&lt;=($I$3*60+$J$3)/86400)+(H2188&lt;&gt;"")*(H2188&lt;=($M$3*60+$N$3)/86400)</f>
        <v>0</v>
      </c>
      <c r="N2188" s="16"/>
      <c r="O2188" s="15"/>
    </row>
    <row r="2189" customFormat="false" ht="25.35" hidden="false" customHeight="false" outlineLevel="0" collapsed="false">
      <c r="A2189" s="9" t="n">
        <v>2183</v>
      </c>
      <c r="B2189" s="10" t="s">
        <v>3109</v>
      </c>
      <c r="C2189" s="10" t="s">
        <v>1772</v>
      </c>
      <c r="D2189" s="11"/>
      <c r="E2189" s="12"/>
      <c r="F2189" s="11" t="n">
        <v>0.00769953703703704</v>
      </c>
      <c r="G2189" s="12" t="n">
        <v>1065</v>
      </c>
      <c r="H2189" s="11"/>
      <c r="I2189" s="12"/>
      <c r="J2189" s="12" t="n">
        <f aca="false">COUNT(E2189,G2189,I2189)</f>
        <v>1</v>
      </c>
      <c r="K2189" s="13" t="n">
        <f aca="false">MIN(E2189,G2189,I2189)</f>
        <v>1065</v>
      </c>
      <c r="L2189" s="9" t="str">
        <f aca="false">IF(E2189=K2189,"5000m",IF(G2189=K2189,"3000mSC","1500m"))</f>
        <v>3000mSC</v>
      </c>
      <c r="M2189" s="14" t="n">
        <f aca="false">(D2189&lt;&gt;"")*(D2189&lt;=($E$3*60+$F$3)/86400)+(F2189&lt;&gt;"")*(F2189&lt;=($I$3*60+$J$3)/86400)+(H2189&lt;&gt;"")*(H2189&lt;=($M$3*60+$N$3)/86400)</f>
        <v>0</v>
      </c>
      <c r="N2189" s="16"/>
      <c r="O2189" s="15"/>
    </row>
    <row r="2190" customFormat="false" ht="15" hidden="false" customHeight="false" outlineLevel="0" collapsed="false">
      <c r="A2190" s="9" t="n">
        <v>2184</v>
      </c>
      <c r="B2190" s="10" t="s">
        <v>3110</v>
      </c>
      <c r="C2190" s="10" t="s">
        <v>1516</v>
      </c>
      <c r="D2190" s="11"/>
      <c r="E2190" s="12"/>
      <c r="F2190" s="11"/>
      <c r="G2190" s="12"/>
      <c r="H2190" s="11" t="n">
        <v>0.00291689814814815</v>
      </c>
      <c r="I2190" s="12" t="n">
        <v>1065</v>
      </c>
      <c r="J2190" s="12" t="n">
        <f aca="false">COUNT(E2190,G2190,I2190)</f>
        <v>1</v>
      </c>
      <c r="K2190" s="13" t="n">
        <f aca="false">MIN(E2190,G2190,I2190)</f>
        <v>1065</v>
      </c>
      <c r="L2190" s="9" t="str">
        <f aca="false">IF(E2190=K2190,"5000m",IF(G2190=K2190,"3000mSC","1500m"))</f>
        <v>1500m</v>
      </c>
      <c r="M2190" s="14" t="n">
        <f aca="false">(D2190&lt;&gt;"")*(D2190&lt;=($E$3*60+$F$3)/86400)+(F2190&lt;&gt;"")*(F2190&lt;=($I$3*60+$J$3)/86400)+(H2190&lt;&gt;"")*(H2190&lt;=($M$3*60+$N$3)/86400)</f>
        <v>0</v>
      </c>
      <c r="N2190" s="16"/>
      <c r="O2190" s="15"/>
    </row>
    <row r="2191" customFormat="false" ht="25.35" hidden="false" customHeight="false" outlineLevel="0" collapsed="false">
      <c r="A2191" s="9" t="n">
        <v>2185</v>
      </c>
      <c r="B2191" s="10" t="s">
        <v>3111</v>
      </c>
      <c r="C2191" s="10" t="s">
        <v>1897</v>
      </c>
      <c r="D2191" s="11"/>
      <c r="E2191" s="12"/>
      <c r="F2191" s="11" t="n">
        <v>0.0077005787037037</v>
      </c>
      <c r="G2191" s="12" t="n">
        <v>1066</v>
      </c>
      <c r="H2191" s="11"/>
      <c r="I2191" s="12"/>
      <c r="J2191" s="12" t="n">
        <f aca="false">COUNT(E2191,G2191,I2191)</f>
        <v>1</v>
      </c>
      <c r="K2191" s="13" t="n">
        <f aca="false">MIN(E2191,G2191,I2191)</f>
        <v>1066</v>
      </c>
      <c r="L2191" s="9" t="str">
        <f aca="false">IF(E2191=K2191,"5000m",IF(G2191=K2191,"3000mSC","1500m"))</f>
        <v>3000mSC</v>
      </c>
      <c r="M2191" s="14" t="n">
        <f aca="false">(D2191&lt;&gt;"")*(D2191&lt;=($E$3*60+$F$3)/86400)+(F2191&lt;&gt;"")*(F2191&lt;=($I$3*60+$J$3)/86400)+(H2191&lt;&gt;"")*(H2191&lt;=($M$3*60+$N$3)/86400)</f>
        <v>0</v>
      </c>
      <c r="N2191" s="16"/>
      <c r="O2191" s="15"/>
    </row>
    <row r="2192" customFormat="false" ht="15" hidden="false" customHeight="false" outlineLevel="0" collapsed="false">
      <c r="A2192" s="9" t="n">
        <v>2186</v>
      </c>
      <c r="B2192" s="10" t="s">
        <v>3112</v>
      </c>
      <c r="C2192" s="10" t="s">
        <v>986</v>
      </c>
      <c r="D2192" s="11" t="n">
        <v>0.010984837962963</v>
      </c>
      <c r="E2192" s="12" t="n">
        <v>1067</v>
      </c>
      <c r="F2192" s="11"/>
      <c r="G2192" s="12"/>
      <c r="H2192" s="11"/>
      <c r="I2192" s="12"/>
      <c r="J2192" s="12" t="n">
        <f aca="false">COUNT(E2192,G2192,I2192)</f>
        <v>1</v>
      </c>
      <c r="K2192" s="13" t="n">
        <f aca="false">MIN(E2192,G2192,I2192)</f>
        <v>1067</v>
      </c>
      <c r="L2192" s="9" t="str">
        <f aca="false">IF(E2192=K2192,"5000m",IF(G2192=K2192,"3000mSC","1500m"))</f>
        <v>5000m</v>
      </c>
      <c r="M2192" s="14" t="n">
        <f aca="false">(D2192&lt;&gt;"")*(D2192&lt;=($E$3*60+$F$3)/86400)+(F2192&lt;&gt;"")*(F2192&lt;=($I$3*60+$J$3)/86400)+(H2192&lt;&gt;"")*(H2192&lt;=($M$3*60+$N$3)/86400)</f>
        <v>0</v>
      </c>
      <c r="N2192" s="16"/>
      <c r="O2192" s="15"/>
    </row>
    <row r="2193" customFormat="false" ht="25.35" hidden="false" customHeight="false" outlineLevel="0" collapsed="false">
      <c r="A2193" s="9" t="n">
        <v>2187</v>
      </c>
      <c r="B2193" s="10" t="s">
        <v>3113</v>
      </c>
      <c r="C2193" s="10" t="s">
        <v>3114</v>
      </c>
      <c r="D2193" s="11"/>
      <c r="E2193" s="12"/>
      <c r="F2193" s="11" t="n">
        <v>0.00770081018518519</v>
      </c>
      <c r="G2193" s="12" t="n">
        <v>1067</v>
      </c>
      <c r="H2193" s="11"/>
      <c r="I2193" s="12"/>
      <c r="J2193" s="12" t="n">
        <f aca="false">COUNT(E2193,G2193,I2193)</f>
        <v>1</v>
      </c>
      <c r="K2193" s="13" t="n">
        <f aca="false">MIN(E2193,G2193,I2193)</f>
        <v>1067</v>
      </c>
      <c r="L2193" s="9" t="str">
        <f aca="false">IF(E2193=K2193,"5000m",IF(G2193=K2193,"3000mSC","1500m"))</f>
        <v>3000mSC</v>
      </c>
      <c r="M2193" s="14" t="n">
        <f aca="false">(D2193&lt;&gt;"")*(D2193&lt;=($E$3*60+$F$3)/86400)+(F2193&lt;&gt;"")*(F2193&lt;=($I$3*60+$J$3)/86400)+(H2193&lt;&gt;"")*(H2193&lt;=($M$3*60+$N$3)/86400)</f>
        <v>0</v>
      </c>
      <c r="N2193" s="16"/>
      <c r="O2193" s="15"/>
    </row>
    <row r="2194" customFormat="false" ht="15" hidden="false" customHeight="false" outlineLevel="0" collapsed="false">
      <c r="A2194" s="9" t="n">
        <v>2188</v>
      </c>
      <c r="B2194" s="10" t="s">
        <v>3115</v>
      </c>
      <c r="C2194" s="10" t="s">
        <v>25</v>
      </c>
      <c r="D2194" s="11" t="n">
        <v>0.0109853009259259</v>
      </c>
      <c r="E2194" s="12" t="n">
        <v>1068</v>
      </c>
      <c r="F2194" s="11"/>
      <c r="G2194" s="12"/>
      <c r="H2194" s="11" t="n">
        <v>0.00291886574074074</v>
      </c>
      <c r="I2194" s="12" t="n">
        <v>1082</v>
      </c>
      <c r="J2194" s="12" t="n">
        <f aca="false">COUNT(E2194,G2194,I2194)</f>
        <v>2</v>
      </c>
      <c r="K2194" s="13" t="n">
        <f aca="false">MIN(E2194,G2194,I2194)</f>
        <v>1068</v>
      </c>
      <c r="L2194" s="9" t="str">
        <f aca="false">IF(E2194=K2194,"5000m",IF(G2194=K2194,"3000mSC","1500m"))</f>
        <v>5000m</v>
      </c>
      <c r="M2194" s="14" t="n">
        <f aca="false">(D2194&lt;&gt;"")*(D2194&lt;=($E$3*60+$F$3)/86400)+(F2194&lt;&gt;"")*(F2194&lt;=($I$3*60+$J$3)/86400)+(H2194&lt;&gt;"")*(H2194&lt;=($M$3*60+$N$3)/86400)</f>
        <v>0</v>
      </c>
      <c r="N2194" s="16"/>
      <c r="O2194" s="15"/>
    </row>
    <row r="2195" customFormat="false" ht="25.35" hidden="false" customHeight="false" outlineLevel="0" collapsed="false">
      <c r="A2195" s="9" t="n">
        <v>2189</v>
      </c>
      <c r="B2195" s="10" t="s">
        <v>3116</v>
      </c>
      <c r="C2195" s="10" t="s">
        <v>3117</v>
      </c>
      <c r="D2195" s="11"/>
      <c r="E2195" s="12"/>
      <c r="F2195" s="11" t="n">
        <v>0.0077037037037037</v>
      </c>
      <c r="G2195" s="12" t="n">
        <v>1069</v>
      </c>
      <c r="H2195" s="11"/>
      <c r="I2195" s="12"/>
      <c r="J2195" s="12" t="n">
        <f aca="false">COUNT(E2195,G2195,I2195)</f>
        <v>1</v>
      </c>
      <c r="K2195" s="13" t="n">
        <f aca="false">MIN(E2195,G2195,I2195)</f>
        <v>1069</v>
      </c>
      <c r="L2195" s="9" t="str">
        <f aca="false">IF(E2195=K2195,"5000m",IF(G2195=K2195,"3000mSC","1500m"))</f>
        <v>3000mSC</v>
      </c>
      <c r="M2195" s="14" t="n">
        <f aca="false">(D2195&lt;&gt;"")*(D2195&lt;=($E$3*60+$F$3)/86400)+(F2195&lt;&gt;"")*(F2195&lt;=($I$3*60+$J$3)/86400)+(H2195&lt;&gt;"")*(H2195&lt;=($M$3*60+$N$3)/86400)</f>
        <v>0</v>
      </c>
      <c r="N2195" s="16"/>
      <c r="O2195" s="15"/>
    </row>
    <row r="2196" customFormat="false" ht="15" hidden="false" customHeight="false" outlineLevel="0" collapsed="false">
      <c r="A2196" s="9" t="n">
        <v>2190</v>
      </c>
      <c r="B2196" s="10" t="s">
        <v>3118</v>
      </c>
      <c r="C2196" s="10" t="s">
        <v>3119</v>
      </c>
      <c r="D2196" s="11"/>
      <c r="E2196" s="12"/>
      <c r="F2196" s="11"/>
      <c r="G2196" s="12"/>
      <c r="H2196" s="11" t="n">
        <v>0.00291724537037037</v>
      </c>
      <c r="I2196" s="12" t="n">
        <v>1069</v>
      </c>
      <c r="J2196" s="12" t="n">
        <f aca="false">COUNT(E2196,G2196,I2196)</f>
        <v>1</v>
      </c>
      <c r="K2196" s="13" t="n">
        <f aca="false">MIN(E2196,G2196,I2196)</f>
        <v>1069</v>
      </c>
      <c r="L2196" s="9" t="str">
        <f aca="false">IF(E2196=K2196,"5000m",IF(G2196=K2196,"3000mSC","1500m"))</f>
        <v>1500m</v>
      </c>
      <c r="M2196" s="14" t="n">
        <f aca="false">(D2196&lt;&gt;"")*(D2196&lt;=($E$3*60+$F$3)/86400)+(F2196&lt;&gt;"")*(F2196&lt;=($I$3*60+$J$3)/86400)+(H2196&lt;&gt;"")*(H2196&lt;=($M$3*60+$N$3)/86400)</f>
        <v>0</v>
      </c>
      <c r="N2196" s="16"/>
      <c r="O2196" s="15"/>
    </row>
    <row r="2197" customFormat="false" ht="25.35" hidden="false" customHeight="false" outlineLevel="0" collapsed="false">
      <c r="A2197" s="9" t="n">
        <v>2191</v>
      </c>
      <c r="B2197" s="10" t="s">
        <v>3120</v>
      </c>
      <c r="C2197" s="10" t="s">
        <v>494</v>
      </c>
      <c r="D2197" s="11"/>
      <c r="E2197" s="12"/>
      <c r="F2197" s="11" t="n">
        <v>0.00770405092592593</v>
      </c>
      <c r="G2197" s="12" t="n">
        <v>1070</v>
      </c>
      <c r="H2197" s="11"/>
      <c r="I2197" s="12"/>
      <c r="J2197" s="12" t="n">
        <f aca="false">COUNT(E2197,G2197,I2197)</f>
        <v>1</v>
      </c>
      <c r="K2197" s="13" t="n">
        <f aca="false">MIN(E2197,G2197,I2197)</f>
        <v>1070</v>
      </c>
      <c r="L2197" s="9" t="str">
        <f aca="false">IF(E2197=K2197,"5000m",IF(G2197=K2197,"3000mSC","1500m"))</f>
        <v>3000mSC</v>
      </c>
      <c r="M2197" s="14" t="n">
        <f aca="false">(D2197&lt;&gt;"")*(D2197&lt;=($E$3*60+$F$3)/86400)+(F2197&lt;&gt;"")*(F2197&lt;=($I$3*60+$J$3)/86400)+(H2197&lt;&gt;"")*(H2197&lt;=($M$3*60+$N$3)/86400)</f>
        <v>0</v>
      </c>
      <c r="N2197" s="16"/>
      <c r="O2197" s="15"/>
    </row>
    <row r="2198" customFormat="false" ht="15" hidden="false" customHeight="false" outlineLevel="0" collapsed="false">
      <c r="A2198" s="9" t="n">
        <v>2192</v>
      </c>
      <c r="B2198" s="10" t="s">
        <v>3121</v>
      </c>
      <c r="C2198" s="10" t="s">
        <v>3122</v>
      </c>
      <c r="D2198" s="11" t="n">
        <v>0.0109863425925926</v>
      </c>
      <c r="E2198" s="12" t="n">
        <v>1071</v>
      </c>
      <c r="F2198" s="11"/>
      <c r="G2198" s="12"/>
      <c r="H2198" s="11"/>
      <c r="I2198" s="12"/>
      <c r="J2198" s="12" t="n">
        <f aca="false">COUNT(E2198,G2198,I2198)</f>
        <v>1</v>
      </c>
      <c r="K2198" s="13" t="n">
        <f aca="false">MIN(E2198,G2198,I2198)</f>
        <v>1071</v>
      </c>
      <c r="L2198" s="9" t="str">
        <f aca="false">IF(E2198=K2198,"5000m",IF(G2198=K2198,"3000mSC","1500m"))</f>
        <v>5000m</v>
      </c>
      <c r="M2198" s="14" t="n">
        <f aca="false">(D2198&lt;&gt;"")*(D2198&lt;=($E$3*60+$F$3)/86400)+(F2198&lt;&gt;"")*(F2198&lt;=($I$3*60+$J$3)/86400)+(H2198&lt;&gt;"")*(H2198&lt;=($M$3*60+$N$3)/86400)</f>
        <v>0</v>
      </c>
      <c r="N2198" s="16"/>
      <c r="O2198" s="15"/>
    </row>
    <row r="2199" customFormat="false" ht="25.35" hidden="false" customHeight="false" outlineLevel="0" collapsed="false">
      <c r="A2199" s="9" t="n">
        <v>2193</v>
      </c>
      <c r="B2199" s="10" t="s">
        <v>3123</v>
      </c>
      <c r="C2199" s="10" t="s">
        <v>3124</v>
      </c>
      <c r="D2199" s="11"/>
      <c r="E2199" s="12"/>
      <c r="F2199" s="11" t="n">
        <v>0.00770486111111111</v>
      </c>
      <c r="G2199" s="12" t="n">
        <v>1071</v>
      </c>
      <c r="H2199" s="11"/>
      <c r="I2199" s="12"/>
      <c r="J2199" s="12" t="n">
        <f aca="false">COUNT(E2199,G2199,I2199)</f>
        <v>1</v>
      </c>
      <c r="K2199" s="13" t="n">
        <f aca="false">MIN(E2199,G2199,I2199)</f>
        <v>1071</v>
      </c>
      <c r="L2199" s="9" t="str">
        <f aca="false">IF(E2199=K2199,"5000m",IF(G2199=K2199,"3000mSC","1500m"))</f>
        <v>3000mSC</v>
      </c>
      <c r="M2199" s="14" t="n">
        <f aca="false">(D2199&lt;&gt;"")*(D2199&lt;=($E$3*60+$F$3)/86400)+(F2199&lt;&gt;"")*(F2199&lt;=($I$3*60+$J$3)/86400)+(H2199&lt;&gt;"")*(H2199&lt;=($M$3*60+$N$3)/86400)</f>
        <v>0</v>
      </c>
      <c r="N2199" s="16"/>
      <c r="O2199" s="15"/>
    </row>
    <row r="2200" customFormat="false" ht="25.35" hidden="false" customHeight="false" outlineLevel="0" collapsed="false">
      <c r="A2200" s="9" t="n">
        <v>2194</v>
      </c>
      <c r="B2200" s="10" t="s">
        <v>3125</v>
      </c>
      <c r="C2200" s="10" t="s">
        <v>3126</v>
      </c>
      <c r="D2200" s="11"/>
      <c r="E2200" s="12"/>
      <c r="F2200" s="11" t="n">
        <v>0.00770509259259259</v>
      </c>
      <c r="G2200" s="12" t="n">
        <v>1072</v>
      </c>
      <c r="H2200" s="11"/>
      <c r="I2200" s="12"/>
      <c r="J2200" s="12" t="n">
        <f aca="false">COUNT(E2200,G2200,I2200)</f>
        <v>1</v>
      </c>
      <c r="K2200" s="13" t="n">
        <f aca="false">MIN(E2200,G2200,I2200)</f>
        <v>1072</v>
      </c>
      <c r="L2200" s="9" t="str">
        <f aca="false">IF(E2200=K2200,"5000m",IF(G2200=K2200,"3000mSC","1500m"))</f>
        <v>3000mSC</v>
      </c>
      <c r="M2200" s="14" t="n">
        <f aca="false">(D2200&lt;&gt;"")*(D2200&lt;=($E$3*60+$F$3)/86400)+(F2200&lt;&gt;"")*(F2200&lt;=($I$3*60+$J$3)/86400)+(H2200&lt;&gt;"")*(H2200&lt;=($M$3*60+$N$3)/86400)</f>
        <v>0</v>
      </c>
      <c r="N2200" s="16"/>
      <c r="O2200" s="15"/>
    </row>
    <row r="2201" customFormat="false" ht="15" hidden="false" customHeight="false" outlineLevel="0" collapsed="false">
      <c r="A2201" s="9" t="n">
        <v>2195</v>
      </c>
      <c r="B2201" s="10" t="s">
        <v>3127</v>
      </c>
      <c r="C2201" s="10" t="s">
        <v>2436</v>
      </c>
      <c r="D2201" s="11"/>
      <c r="E2201" s="12"/>
      <c r="F2201" s="11"/>
      <c r="G2201" s="12"/>
      <c r="H2201" s="11" t="n">
        <v>0.00291759259259259</v>
      </c>
      <c r="I2201" s="12" t="n">
        <v>1072</v>
      </c>
      <c r="J2201" s="12" t="n">
        <f aca="false">COUNT(E2201,G2201,I2201)</f>
        <v>1</v>
      </c>
      <c r="K2201" s="13" t="n">
        <f aca="false">MIN(E2201,G2201,I2201)</f>
        <v>1072</v>
      </c>
      <c r="L2201" s="9" t="str">
        <f aca="false">IF(E2201=K2201,"5000m",IF(G2201=K2201,"3000mSC","1500m"))</f>
        <v>1500m</v>
      </c>
      <c r="M2201" s="14" t="n">
        <f aca="false">(D2201&lt;&gt;"")*(D2201&lt;=($E$3*60+$F$3)/86400)+(F2201&lt;&gt;"")*(F2201&lt;=($I$3*60+$J$3)/86400)+(H2201&lt;&gt;"")*(H2201&lt;=($M$3*60+$N$3)/86400)</f>
        <v>0</v>
      </c>
      <c r="N2201" s="16"/>
      <c r="O2201" s="15"/>
    </row>
    <row r="2202" customFormat="false" ht="25.35" hidden="false" customHeight="false" outlineLevel="0" collapsed="false">
      <c r="A2202" s="9" t="n">
        <v>2196</v>
      </c>
      <c r="B2202" s="10" t="s">
        <v>3128</v>
      </c>
      <c r="C2202" s="10" t="s">
        <v>1821</v>
      </c>
      <c r="D2202" s="11"/>
      <c r="E2202" s="12"/>
      <c r="F2202" s="11" t="n">
        <v>0.00770601851851852</v>
      </c>
      <c r="G2202" s="12" t="n">
        <v>1073</v>
      </c>
      <c r="H2202" s="11"/>
      <c r="I2202" s="12"/>
      <c r="J2202" s="12" t="n">
        <f aca="false">COUNT(E2202,G2202,I2202)</f>
        <v>1</v>
      </c>
      <c r="K2202" s="13" t="n">
        <f aca="false">MIN(E2202,G2202,I2202)</f>
        <v>1073</v>
      </c>
      <c r="L2202" s="9" t="str">
        <f aca="false">IF(E2202=K2202,"5000m",IF(G2202=K2202,"3000mSC","1500m"))</f>
        <v>3000mSC</v>
      </c>
      <c r="M2202" s="14" t="n">
        <f aca="false">(D2202&lt;&gt;"")*(D2202&lt;=($E$3*60+$F$3)/86400)+(F2202&lt;&gt;"")*(F2202&lt;=($I$3*60+$J$3)/86400)+(H2202&lt;&gt;"")*(H2202&lt;=($M$3*60+$N$3)/86400)</f>
        <v>0</v>
      </c>
      <c r="N2202" s="16"/>
      <c r="O2202" s="15"/>
    </row>
    <row r="2203" customFormat="false" ht="15" hidden="false" customHeight="false" outlineLevel="0" collapsed="false">
      <c r="A2203" s="9" t="n">
        <v>2197</v>
      </c>
      <c r="B2203" s="10" t="s">
        <v>3129</v>
      </c>
      <c r="C2203" s="10" t="s">
        <v>1834</v>
      </c>
      <c r="D2203" s="11"/>
      <c r="E2203" s="12"/>
      <c r="F2203" s="11"/>
      <c r="G2203" s="12"/>
      <c r="H2203" s="11" t="n">
        <v>0.00291782407407407</v>
      </c>
      <c r="I2203" s="12" t="n">
        <v>1073</v>
      </c>
      <c r="J2203" s="12" t="n">
        <f aca="false">COUNT(E2203,G2203,I2203)</f>
        <v>1</v>
      </c>
      <c r="K2203" s="13" t="n">
        <f aca="false">MIN(E2203,G2203,I2203)</f>
        <v>1073</v>
      </c>
      <c r="L2203" s="9" t="str">
        <f aca="false">IF(E2203=K2203,"5000m",IF(G2203=K2203,"3000mSC","1500m"))</f>
        <v>1500m</v>
      </c>
      <c r="M2203" s="14" t="n">
        <f aca="false">(D2203&lt;&gt;"")*(D2203&lt;=($E$3*60+$F$3)/86400)+(F2203&lt;&gt;"")*(F2203&lt;=($I$3*60+$J$3)/86400)+(H2203&lt;&gt;"")*(H2203&lt;=($M$3*60+$N$3)/86400)</f>
        <v>0</v>
      </c>
      <c r="N2203" s="16"/>
      <c r="O2203" s="15"/>
    </row>
    <row r="2204" customFormat="false" ht="25.35" hidden="false" customHeight="false" outlineLevel="0" collapsed="false">
      <c r="A2204" s="9" t="n">
        <v>2198</v>
      </c>
      <c r="B2204" s="10" t="s">
        <v>3130</v>
      </c>
      <c r="C2204" s="10" t="s">
        <v>3131</v>
      </c>
      <c r="D2204" s="11"/>
      <c r="E2204" s="12"/>
      <c r="F2204" s="11" t="n">
        <v>0.00770613425925926</v>
      </c>
      <c r="G2204" s="12" t="n">
        <v>1074</v>
      </c>
      <c r="H2204" s="11"/>
      <c r="I2204" s="12"/>
      <c r="J2204" s="12" t="n">
        <f aca="false">COUNT(E2204,G2204,I2204)</f>
        <v>1</v>
      </c>
      <c r="K2204" s="13" t="n">
        <f aca="false">MIN(E2204,G2204,I2204)</f>
        <v>1074</v>
      </c>
      <c r="L2204" s="9" t="str">
        <f aca="false">IF(E2204=K2204,"5000m",IF(G2204=K2204,"3000mSC","1500m"))</f>
        <v>3000mSC</v>
      </c>
      <c r="M2204" s="14" t="n">
        <f aca="false">(D2204&lt;&gt;"")*(D2204&lt;=($E$3*60+$F$3)/86400)+(F2204&lt;&gt;"")*(F2204&lt;=($I$3*60+$J$3)/86400)+(H2204&lt;&gt;"")*(H2204&lt;=($M$3*60+$N$3)/86400)</f>
        <v>0</v>
      </c>
      <c r="N2204" s="16"/>
      <c r="O2204" s="15"/>
    </row>
    <row r="2205" customFormat="false" ht="15" hidden="false" customHeight="false" outlineLevel="0" collapsed="false">
      <c r="A2205" s="9" t="n">
        <v>2199</v>
      </c>
      <c r="B2205" s="10" t="s">
        <v>3132</v>
      </c>
      <c r="C2205" s="10" t="s">
        <v>1351</v>
      </c>
      <c r="D2205" s="11"/>
      <c r="E2205" s="12"/>
      <c r="F2205" s="11"/>
      <c r="G2205" s="12"/>
      <c r="H2205" s="11" t="n">
        <v>0.00291793981481482</v>
      </c>
      <c r="I2205" s="12" t="n">
        <v>1074</v>
      </c>
      <c r="J2205" s="12" t="n">
        <f aca="false">COUNT(E2205,G2205,I2205)</f>
        <v>1</v>
      </c>
      <c r="K2205" s="13" t="n">
        <f aca="false">MIN(E2205,G2205,I2205)</f>
        <v>1074</v>
      </c>
      <c r="L2205" s="9" t="str">
        <f aca="false">IF(E2205=K2205,"5000m",IF(G2205=K2205,"3000mSC","1500m"))</f>
        <v>1500m</v>
      </c>
      <c r="M2205" s="14" t="n">
        <f aca="false">(D2205&lt;&gt;"")*(D2205&lt;=($E$3*60+$F$3)/86400)+(F2205&lt;&gt;"")*(F2205&lt;=($I$3*60+$J$3)/86400)+(H2205&lt;&gt;"")*(H2205&lt;=($M$3*60+$N$3)/86400)</f>
        <v>0</v>
      </c>
      <c r="N2205" s="16"/>
      <c r="O2205" s="15"/>
    </row>
    <row r="2206" customFormat="false" ht="15" hidden="false" customHeight="false" outlineLevel="0" collapsed="false">
      <c r="A2206" s="9" t="n">
        <v>2200</v>
      </c>
      <c r="B2206" s="10" t="s">
        <v>3133</v>
      </c>
      <c r="C2206" s="10" t="s">
        <v>1855</v>
      </c>
      <c r="D2206" s="11" t="n">
        <v>0.0109871527777778</v>
      </c>
      <c r="E2206" s="12" t="n">
        <v>1075</v>
      </c>
      <c r="F2206" s="11"/>
      <c r="G2206" s="12"/>
      <c r="H2206" s="11"/>
      <c r="I2206" s="12"/>
      <c r="J2206" s="12" t="n">
        <f aca="false">COUNT(E2206,G2206,I2206)</f>
        <v>1</v>
      </c>
      <c r="K2206" s="13" t="n">
        <f aca="false">MIN(E2206,G2206,I2206)</f>
        <v>1075</v>
      </c>
      <c r="L2206" s="9" t="str">
        <f aca="false">IF(E2206=K2206,"5000m",IF(G2206=K2206,"3000mSC","1500m"))</f>
        <v>5000m</v>
      </c>
      <c r="M2206" s="14" t="n">
        <f aca="false">(D2206&lt;&gt;"")*(D2206&lt;=($E$3*60+$F$3)/86400)+(F2206&lt;&gt;"")*(F2206&lt;=($I$3*60+$J$3)/86400)+(H2206&lt;&gt;"")*(H2206&lt;=($M$3*60+$N$3)/86400)</f>
        <v>0</v>
      </c>
      <c r="N2206" s="16"/>
      <c r="O2206" s="15"/>
    </row>
    <row r="2207" customFormat="false" ht="25.35" hidden="false" customHeight="false" outlineLevel="0" collapsed="false">
      <c r="A2207" s="9" t="n">
        <v>2201</v>
      </c>
      <c r="B2207" s="10" t="s">
        <v>3134</v>
      </c>
      <c r="C2207" s="10" t="s">
        <v>3135</v>
      </c>
      <c r="D2207" s="11"/>
      <c r="E2207" s="12"/>
      <c r="F2207" s="11" t="n">
        <v>0.00770740740740741</v>
      </c>
      <c r="G2207" s="12" t="n">
        <v>1075</v>
      </c>
      <c r="H2207" s="11"/>
      <c r="I2207" s="12"/>
      <c r="J2207" s="12" t="n">
        <f aca="false">COUNT(E2207,G2207,I2207)</f>
        <v>1</v>
      </c>
      <c r="K2207" s="13" t="n">
        <f aca="false">MIN(E2207,G2207,I2207)</f>
        <v>1075</v>
      </c>
      <c r="L2207" s="9" t="str">
        <f aca="false">IF(E2207=K2207,"5000m",IF(G2207=K2207,"3000mSC","1500m"))</f>
        <v>3000mSC</v>
      </c>
      <c r="M2207" s="14" t="n">
        <f aca="false">(D2207&lt;&gt;"")*(D2207&lt;=($E$3*60+$F$3)/86400)+(F2207&lt;&gt;"")*(F2207&lt;=($I$3*60+$J$3)/86400)+(H2207&lt;&gt;"")*(H2207&lt;=($M$3*60+$N$3)/86400)</f>
        <v>0</v>
      </c>
      <c r="N2207" s="16"/>
      <c r="O2207" s="15"/>
    </row>
    <row r="2208" customFormat="false" ht="15" hidden="false" customHeight="false" outlineLevel="0" collapsed="false">
      <c r="A2208" s="9" t="n">
        <v>2202</v>
      </c>
      <c r="B2208" s="10" t="s">
        <v>3136</v>
      </c>
      <c r="C2208" s="10" t="s">
        <v>3137</v>
      </c>
      <c r="D2208" s="11"/>
      <c r="E2208" s="12"/>
      <c r="F2208" s="11"/>
      <c r="G2208" s="12"/>
      <c r="H2208" s="11" t="n">
        <v>0.00291805555555556</v>
      </c>
      <c r="I2208" s="12" t="n">
        <v>1075</v>
      </c>
      <c r="J2208" s="12" t="n">
        <f aca="false">COUNT(E2208,G2208,I2208)</f>
        <v>1</v>
      </c>
      <c r="K2208" s="13" t="n">
        <f aca="false">MIN(E2208,G2208,I2208)</f>
        <v>1075</v>
      </c>
      <c r="L2208" s="9" t="str">
        <f aca="false">IF(E2208=K2208,"5000m",IF(G2208=K2208,"3000mSC","1500m"))</f>
        <v>1500m</v>
      </c>
      <c r="M2208" s="14" t="n">
        <f aca="false">(D2208&lt;&gt;"")*(D2208&lt;=($E$3*60+$F$3)/86400)+(F2208&lt;&gt;"")*(F2208&lt;=($I$3*60+$J$3)/86400)+(H2208&lt;&gt;"")*(H2208&lt;=($M$3*60+$N$3)/86400)</f>
        <v>0</v>
      </c>
      <c r="N2208" s="16"/>
      <c r="O2208" s="15"/>
    </row>
    <row r="2209" customFormat="false" ht="25.35" hidden="false" customHeight="false" outlineLevel="0" collapsed="false">
      <c r="A2209" s="9" t="n">
        <v>2203</v>
      </c>
      <c r="B2209" s="10" t="s">
        <v>3138</v>
      </c>
      <c r="C2209" s="10" t="s">
        <v>2430</v>
      </c>
      <c r="D2209" s="11"/>
      <c r="E2209" s="12"/>
      <c r="F2209" s="11" t="n">
        <v>0.00770775462962963</v>
      </c>
      <c r="G2209" s="12" t="n">
        <v>1076</v>
      </c>
      <c r="H2209" s="11"/>
      <c r="I2209" s="12"/>
      <c r="J2209" s="12" t="n">
        <f aca="false">COUNT(E2209,G2209,I2209)</f>
        <v>1</v>
      </c>
      <c r="K2209" s="13" t="n">
        <f aca="false">MIN(E2209,G2209,I2209)</f>
        <v>1076</v>
      </c>
      <c r="L2209" s="9" t="str">
        <f aca="false">IF(E2209=K2209,"5000m",IF(G2209=K2209,"3000mSC","1500m"))</f>
        <v>3000mSC</v>
      </c>
      <c r="M2209" s="14" t="n">
        <f aca="false">(D2209&lt;&gt;"")*(D2209&lt;=($E$3*60+$F$3)/86400)+(F2209&lt;&gt;"")*(F2209&lt;=($I$3*60+$J$3)/86400)+(H2209&lt;&gt;"")*(H2209&lt;=($M$3*60+$N$3)/86400)</f>
        <v>0</v>
      </c>
      <c r="N2209" s="16"/>
      <c r="O2209" s="15"/>
    </row>
    <row r="2210" customFormat="false" ht="15" hidden="false" customHeight="false" outlineLevel="0" collapsed="false">
      <c r="A2210" s="9" t="n">
        <v>2204</v>
      </c>
      <c r="B2210" s="10" t="s">
        <v>3139</v>
      </c>
      <c r="C2210" s="10" t="s">
        <v>213</v>
      </c>
      <c r="D2210" s="11" t="n">
        <v>0.0109878472222222</v>
      </c>
      <c r="E2210" s="12" t="n">
        <v>1077</v>
      </c>
      <c r="F2210" s="11"/>
      <c r="G2210" s="12"/>
      <c r="H2210" s="11"/>
      <c r="I2210" s="12"/>
      <c r="J2210" s="12" t="n">
        <f aca="false">COUNT(E2210,G2210,I2210)</f>
        <v>1</v>
      </c>
      <c r="K2210" s="13" t="n">
        <f aca="false">MIN(E2210,G2210,I2210)</f>
        <v>1077</v>
      </c>
      <c r="L2210" s="9" t="str">
        <f aca="false">IF(E2210=K2210,"5000m",IF(G2210=K2210,"3000mSC","1500m"))</f>
        <v>5000m</v>
      </c>
      <c r="M2210" s="14" t="n">
        <f aca="false">(D2210&lt;&gt;"")*(D2210&lt;=($E$3*60+$F$3)/86400)+(F2210&lt;&gt;"")*(F2210&lt;=($I$3*60+$J$3)/86400)+(H2210&lt;&gt;"")*(H2210&lt;=($M$3*60+$N$3)/86400)</f>
        <v>0</v>
      </c>
      <c r="N2210" s="16"/>
      <c r="O2210" s="15"/>
    </row>
    <row r="2211" customFormat="false" ht="25.35" hidden="false" customHeight="false" outlineLevel="0" collapsed="false">
      <c r="A2211" s="9" t="n">
        <v>2205</v>
      </c>
      <c r="B2211" s="10" t="s">
        <v>3140</v>
      </c>
      <c r="C2211" s="10" t="s">
        <v>85</v>
      </c>
      <c r="D2211" s="11"/>
      <c r="E2211" s="12"/>
      <c r="F2211" s="11" t="n">
        <v>0.00770810185185185</v>
      </c>
      <c r="G2211" s="12" t="n">
        <v>1077</v>
      </c>
      <c r="H2211" s="11"/>
      <c r="I2211" s="12"/>
      <c r="J2211" s="12" t="n">
        <f aca="false">COUNT(E2211,G2211,I2211)</f>
        <v>1</v>
      </c>
      <c r="K2211" s="13" t="n">
        <f aca="false">MIN(E2211,G2211,I2211)</f>
        <v>1077</v>
      </c>
      <c r="L2211" s="9" t="str">
        <f aca="false">IF(E2211=K2211,"5000m",IF(G2211=K2211,"3000mSC","1500m"))</f>
        <v>3000mSC</v>
      </c>
      <c r="M2211" s="14" t="n">
        <f aca="false">(D2211&lt;&gt;"")*(D2211&lt;=($E$3*60+$F$3)/86400)+(F2211&lt;&gt;"")*(F2211&lt;=($I$3*60+$J$3)/86400)+(H2211&lt;&gt;"")*(H2211&lt;=($M$3*60+$N$3)/86400)</f>
        <v>0</v>
      </c>
      <c r="N2211" s="16"/>
      <c r="O2211" s="15"/>
    </row>
    <row r="2212" customFormat="false" ht="15" hidden="false" customHeight="false" outlineLevel="0" collapsed="false">
      <c r="A2212" s="9" t="n">
        <v>2206</v>
      </c>
      <c r="B2212" s="10" t="s">
        <v>3141</v>
      </c>
      <c r="C2212" s="10" t="s">
        <v>3022</v>
      </c>
      <c r="D2212" s="11"/>
      <c r="E2212" s="12"/>
      <c r="F2212" s="11"/>
      <c r="G2212" s="12"/>
      <c r="H2212" s="11" t="n">
        <v>0.00291828703703704</v>
      </c>
      <c r="I2212" s="12" t="n">
        <v>1077</v>
      </c>
      <c r="J2212" s="12" t="n">
        <f aca="false">COUNT(E2212,G2212,I2212)</f>
        <v>1</v>
      </c>
      <c r="K2212" s="13" t="n">
        <f aca="false">MIN(E2212,G2212,I2212)</f>
        <v>1077</v>
      </c>
      <c r="L2212" s="9" t="str">
        <f aca="false">IF(E2212=K2212,"5000m",IF(G2212=K2212,"3000mSC","1500m"))</f>
        <v>1500m</v>
      </c>
      <c r="M2212" s="14" t="n">
        <f aca="false">(D2212&lt;&gt;"")*(D2212&lt;=($E$3*60+$F$3)/86400)+(F2212&lt;&gt;"")*(F2212&lt;=($I$3*60+$J$3)/86400)+(H2212&lt;&gt;"")*(H2212&lt;=($M$3*60+$N$3)/86400)</f>
        <v>0</v>
      </c>
      <c r="N2212" s="16"/>
      <c r="O2212" s="15"/>
    </row>
    <row r="2213" customFormat="false" ht="25.35" hidden="false" customHeight="false" outlineLevel="0" collapsed="false">
      <c r="A2213" s="9" t="n">
        <v>2207</v>
      </c>
      <c r="B2213" s="10" t="s">
        <v>3142</v>
      </c>
      <c r="C2213" s="10" t="s">
        <v>3143</v>
      </c>
      <c r="D2213" s="11"/>
      <c r="E2213" s="12"/>
      <c r="F2213" s="11" t="n">
        <v>0.00770821759259259</v>
      </c>
      <c r="G2213" s="12" t="n">
        <v>1078</v>
      </c>
      <c r="H2213" s="11"/>
      <c r="I2213" s="12"/>
      <c r="J2213" s="12" t="n">
        <f aca="false">COUNT(E2213,G2213,I2213)</f>
        <v>1</v>
      </c>
      <c r="K2213" s="13" t="n">
        <f aca="false">MIN(E2213,G2213,I2213)</f>
        <v>1078</v>
      </c>
      <c r="L2213" s="9" t="str">
        <f aca="false">IF(E2213=K2213,"5000m",IF(G2213=K2213,"3000mSC","1500m"))</f>
        <v>3000mSC</v>
      </c>
      <c r="M2213" s="14" t="n">
        <f aca="false">(D2213&lt;&gt;"")*(D2213&lt;=($E$3*60+$F$3)/86400)+(F2213&lt;&gt;"")*(F2213&lt;=($I$3*60+$J$3)/86400)+(H2213&lt;&gt;"")*(H2213&lt;=($M$3*60+$N$3)/86400)</f>
        <v>0</v>
      </c>
      <c r="N2213" s="16"/>
      <c r="O2213" s="15"/>
    </row>
    <row r="2214" customFormat="false" ht="25.35" hidden="false" customHeight="false" outlineLevel="0" collapsed="false">
      <c r="A2214" s="9" t="n">
        <v>2208</v>
      </c>
      <c r="B2214" s="10" t="s">
        <v>3144</v>
      </c>
      <c r="C2214" s="10" t="s">
        <v>298</v>
      </c>
      <c r="D2214" s="11"/>
      <c r="E2214" s="12"/>
      <c r="F2214" s="11" t="n">
        <v>0.00771157407407407</v>
      </c>
      <c r="G2214" s="12" t="n">
        <v>1079</v>
      </c>
      <c r="H2214" s="11"/>
      <c r="I2214" s="12"/>
      <c r="J2214" s="12" t="n">
        <f aca="false">COUNT(E2214,G2214,I2214)</f>
        <v>1</v>
      </c>
      <c r="K2214" s="13" t="n">
        <f aca="false">MIN(E2214,G2214,I2214)</f>
        <v>1079</v>
      </c>
      <c r="L2214" s="9" t="str">
        <f aca="false">IF(E2214=K2214,"5000m",IF(G2214=K2214,"3000mSC","1500m"))</f>
        <v>3000mSC</v>
      </c>
      <c r="M2214" s="14" t="n">
        <f aca="false">(D2214&lt;&gt;"")*(D2214&lt;=($E$3*60+$F$3)/86400)+(F2214&lt;&gt;"")*(F2214&lt;=($I$3*60+$J$3)/86400)+(H2214&lt;&gt;"")*(H2214&lt;=($M$3*60+$N$3)/86400)</f>
        <v>0</v>
      </c>
      <c r="N2214" s="16"/>
      <c r="O2214" s="15"/>
    </row>
    <row r="2215" customFormat="false" ht="15" hidden="false" customHeight="false" outlineLevel="0" collapsed="false">
      <c r="A2215" s="9" t="n">
        <v>2209</v>
      </c>
      <c r="B2215" s="10" t="s">
        <v>3145</v>
      </c>
      <c r="C2215" s="10" t="s">
        <v>480</v>
      </c>
      <c r="D2215" s="11"/>
      <c r="E2215" s="12"/>
      <c r="F2215" s="11"/>
      <c r="G2215" s="12"/>
      <c r="H2215" s="11" t="n">
        <v>0.00291851851851852</v>
      </c>
      <c r="I2215" s="12" t="n">
        <v>1079</v>
      </c>
      <c r="J2215" s="12" t="n">
        <f aca="false">COUNT(E2215,G2215,I2215)</f>
        <v>1</v>
      </c>
      <c r="K2215" s="13" t="n">
        <f aca="false">MIN(E2215,G2215,I2215)</f>
        <v>1079</v>
      </c>
      <c r="L2215" s="9" t="str">
        <f aca="false">IF(E2215=K2215,"5000m",IF(G2215=K2215,"3000mSC","1500m"))</f>
        <v>1500m</v>
      </c>
      <c r="M2215" s="14" t="n">
        <f aca="false">(D2215&lt;&gt;"")*(D2215&lt;=($E$3*60+$F$3)/86400)+(F2215&lt;&gt;"")*(F2215&lt;=($I$3*60+$J$3)/86400)+(H2215&lt;&gt;"")*(H2215&lt;=($M$3*60+$N$3)/86400)</f>
        <v>0</v>
      </c>
      <c r="N2215" s="16"/>
      <c r="O2215" s="15"/>
    </row>
    <row r="2216" customFormat="false" ht="25.35" hidden="false" customHeight="false" outlineLevel="0" collapsed="false">
      <c r="A2216" s="9" t="n">
        <v>2210</v>
      </c>
      <c r="B2216" s="10" t="s">
        <v>3146</v>
      </c>
      <c r="C2216" s="10" t="s">
        <v>3147</v>
      </c>
      <c r="D2216" s="11"/>
      <c r="E2216" s="12"/>
      <c r="F2216" s="11" t="n">
        <v>0.00771215277777778</v>
      </c>
      <c r="G2216" s="12" t="n">
        <v>1080</v>
      </c>
      <c r="H2216" s="11"/>
      <c r="I2216" s="12"/>
      <c r="J2216" s="12" t="n">
        <f aca="false">COUNT(E2216,G2216,I2216)</f>
        <v>1</v>
      </c>
      <c r="K2216" s="13" t="n">
        <f aca="false">MIN(E2216,G2216,I2216)</f>
        <v>1080</v>
      </c>
      <c r="L2216" s="9" t="str">
        <f aca="false">IF(E2216=K2216,"5000m",IF(G2216=K2216,"3000mSC","1500m"))</f>
        <v>3000mSC</v>
      </c>
      <c r="M2216" s="14" t="n">
        <f aca="false">(D2216&lt;&gt;"")*(D2216&lt;=($E$3*60+$F$3)/86400)+(F2216&lt;&gt;"")*(F2216&lt;=($I$3*60+$J$3)/86400)+(H2216&lt;&gt;"")*(H2216&lt;=($M$3*60+$N$3)/86400)</f>
        <v>0</v>
      </c>
      <c r="N2216" s="16"/>
      <c r="O2216" s="15"/>
    </row>
    <row r="2217" customFormat="false" ht="25.35" hidden="false" customHeight="false" outlineLevel="0" collapsed="false">
      <c r="A2217" s="9" t="n">
        <v>2211</v>
      </c>
      <c r="B2217" s="10" t="s">
        <v>3148</v>
      </c>
      <c r="C2217" s="10" t="s">
        <v>791</v>
      </c>
      <c r="D2217" s="11"/>
      <c r="E2217" s="12"/>
      <c r="F2217" s="11" t="n">
        <v>0.00771261574074074</v>
      </c>
      <c r="G2217" s="12" t="n">
        <v>1081</v>
      </c>
      <c r="H2217" s="11"/>
      <c r="I2217" s="12"/>
      <c r="J2217" s="12" t="n">
        <f aca="false">COUNT(E2217,G2217,I2217)</f>
        <v>1</v>
      </c>
      <c r="K2217" s="13" t="n">
        <f aca="false">MIN(E2217,G2217,I2217)</f>
        <v>1081</v>
      </c>
      <c r="L2217" s="9" t="str">
        <f aca="false">IF(E2217=K2217,"5000m",IF(G2217=K2217,"3000mSC","1500m"))</f>
        <v>3000mSC</v>
      </c>
      <c r="M2217" s="14" t="n">
        <f aca="false">(D2217&lt;&gt;"")*(D2217&lt;=($E$3*60+$F$3)/86400)+(F2217&lt;&gt;"")*(F2217&lt;=($I$3*60+$J$3)/86400)+(H2217&lt;&gt;"")*(H2217&lt;=($M$3*60+$N$3)/86400)</f>
        <v>0</v>
      </c>
      <c r="N2217" s="16"/>
      <c r="O2217" s="15"/>
    </row>
    <row r="2218" customFormat="false" ht="25.35" hidden="false" customHeight="false" outlineLevel="0" collapsed="false">
      <c r="A2218" s="9" t="n">
        <v>2212</v>
      </c>
      <c r="B2218" s="10" t="s">
        <v>3149</v>
      </c>
      <c r="C2218" s="10" t="s">
        <v>2352</v>
      </c>
      <c r="D2218" s="11"/>
      <c r="E2218" s="12"/>
      <c r="F2218" s="11" t="n">
        <v>0.00771331018518519</v>
      </c>
      <c r="G2218" s="12" t="n">
        <v>1082</v>
      </c>
      <c r="H2218" s="11"/>
      <c r="I2218" s="12"/>
      <c r="J2218" s="12" t="n">
        <f aca="false">COUNT(E2218,G2218,I2218)</f>
        <v>1</v>
      </c>
      <c r="K2218" s="13" t="n">
        <f aca="false">MIN(E2218,G2218,I2218)</f>
        <v>1082</v>
      </c>
      <c r="L2218" s="9" t="str">
        <f aca="false">IF(E2218=K2218,"5000m",IF(G2218=K2218,"3000mSC","1500m"))</f>
        <v>3000mSC</v>
      </c>
      <c r="M2218" s="14" t="n">
        <f aca="false">(D2218&lt;&gt;"")*(D2218&lt;=($E$3*60+$F$3)/86400)+(F2218&lt;&gt;"")*(F2218&lt;=($I$3*60+$J$3)/86400)+(H2218&lt;&gt;"")*(H2218&lt;=($M$3*60+$N$3)/86400)</f>
        <v>0</v>
      </c>
      <c r="N2218" s="16"/>
      <c r="O2218" s="15"/>
    </row>
    <row r="2219" customFormat="false" ht="15" hidden="false" customHeight="false" outlineLevel="0" collapsed="false">
      <c r="A2219" s="9" t="n">
        <v>2213</v>
      </c>
      <c r="B2219" s="10" t="s">
        <v>3150</v>
      </c>
      <c r="C2219" s="10" t="s">
        <v>397</v>
      </c>
      <c r="D2219" s="11" t="n">
        <v>0.0109921296296296</v>
      </c>
      <c r="E2219" s="12" t="n">
        <v>1083</v>
      </c>
      <c r="F2219" s="11"/>
      <c r="G2219" s="12"/>
      <c r="H2219" s="11"/>
      <c r="I2219" s="12"/>
      <c r="J2219" s="12" t="n">
        <f aca="false">COUNT(E2219,G2219,I2219)</f>
        <v>1</v>
      </c>
      <c r="K2219" s="13" t="n">
        <f aca="false">MIN(E2219,G2219,I2219)</f>
        <v>1083</v>
      </c>
      <c r="L2219" s="9" t="str">
        <f aca="false">IF(E2219=K2219,"5000m",IF(G2219=K2219,"3000mSC","1500m"))</f>
        <v>5000m</v>
      </c>
      <c r="M2219" s="14" t="n">
        <f aca="false">(D2219&lt;&gt;"")*(D2219&lt;=($E$3*60+$F$3)/86400)+(F2219&lt;&gt;"")*(F2219&lt;=($I$3*60+$J$3)/86400)+(H2219&lt;&gt;"")*(H2219&lt;=($M$3*60+$N$3)/86400)</f>
        <v>0</v>
      </c>
      <c r="N2219" s="16"/>
      <c r="O2219" s="15"/>
    </row>
    <row r="2220" customFormat="false" ht="25.35" hidden="false" customHeight="false" outlineLevel="0" collapsed="false">
      <c r="A2220" s="9" t="n">
        <v>2214</v>
      </c>
      <c r="B2220" s="10" t="s">
        <v>3151</v>
      </c>
      <c r="C2220" s="10" t="s">
        <v>136</v>
      </c>
      <c r="D2220" s="11"/>
      <c r="E2220" s="12"/>
      <c r="F2220" s="11" t="n">
        <v>0.00771377314814815</v>
      </c>
      <c r="G2220" s="12" t="n">
        <v>1083</v>
      </c>
      <c r="H2220" s="11"/>
      <c r="I2220" s="12"/>
      <c r="J2220" s="12" t="n">
        <f aca="false">COUNT(E2220,G2220,I2220)</f>
        <v>1</v>
      </c>
      <c r="K2220" s="13" t="n">
        <f aca="false">MIN(E2220,G2220,I2220)</f>
        <v>1083</v>
      </c>
      <c r="L2220" s="9" t="str">
        <f aca="false">IF(E2220=K2220,"5000m",IF(G2220=K2220,"3000mSC","1500m"))</f>
        <v>3000mSC</v>
      </c>
      <c r="M2220" s="14" t="n">
        <f aca="false">(D2220&lt;&gt;"")*(D2220&lt;=($E$3*60+$F$3)/86400)+(F2220&lt;&gt;"")*(F2220&lt;=($I$3*60+$J$3)/86400)+(H2220&lt;&gt;"")*(H2220&lt;=($M$3*60+$N$3)/86400)</f>
        <v>0</v>
      </c>
      <c r="N2220" s="16"/>
      <c r="O2220" s="15"/>
    </row>
    <row r="2221" customFormat="false" ht="15" hidden="false" customHeight="false" outlineLevel="0" collapsed="false">
      <c r="A2221" s="9" t="n">
        <v>2215</v>
      </c>
      <c r="B2221" s="10" t="s">
        <v>3152</v>
      </c>
      <c r="C2221" s="10" t="s">
        <v>954</v>
      </c>
      <c r="D2221" s="11"/>
      <c r="E2221" s="12"/>
      <c r="F2221" s="11"/>
      <c r="G2221" s="12"/>
      <c r="H2221" s="11" t="n">
        <v>0.00291898148148148</v>
      </c>
      <c r="I2221" s="12" t="n">
        <v>1084</v>
      </c>
      <c r="J2221" s="12" t="n">
        <f aca="false">COUNT(E2221,G2221,I2221)</f>
        <v>1</v>
      </c>
      <c r="K2221" s="13" t="n">
        <f aca="false">MIN(E2221,G2221,I2221)</f>
        <v>1084</v>
      </c>
      <c r="L2221" s="9" t="str">
        <f aca="false">IF(E2221=K2221,"5000m",IF(G2221=K2221,"3000mSC","1500m"))</f>
        <v>1500m</v>
      </c>
      <c r="M2221" s="14" t="n">
        <f aca="false">(D2221&lt;&gt;"")*(D2221&lt;=($E$3*60+$F$3)/86400)+(F2221&lt;&gt;"")*(F2221&lt;=($I$3*60+$J$3)/86400)+(H2221&lt;&gt;"")*(H2221&lt;=($M$3*60+$N$3)/86400)</f>
        <v>0</v>
      </c>
      <c r="N2221" s="16"/>
      <c r="O2221" s="15"/>
    </row>
    <row r="2222" customFormat="false" ht="25.35" hidden="false" customHeight="false" outlineLevel="0" collapsed="false">
      <c r="A2222" s="9" t="n">
        <v>2216</v>
      </c>
      <c r="B2222" s="10" t="s">
        <v>3153</v>
      </c>
      <c r="C2222" s="10" t="s">
        <v>904</v>
      </c>
      <c r="D2222" s="11"/>
      <c r="E2222" s="12"/>
      <c r="F2222" s="11" t="n">
        <v>0.0077193287037037</v>
      </c>
      <c r="G2222" s="12" t="n">
        <v>1085</v>
      </c>
      <c r="H2222" s="11" t="n">
        <v>0.00292418981481482</v>
      </c>
      <c r="I2222" s="12" t="n">
        <v>1139</v>
      </c>
      <c r="J2222" s="12" t="n">
        <f aca="false">COUNT(E2222,G2222,I2222)</f>
        <v>2</v>
      </c>
      <c r="K2222" s="13" t="n">
        <f aca="false">MIN(E2222,G2222,I2222)</f>
        <v>1085</v>
      </c>
      <c r="L2222" s="9" t="str">
        <f aca="false">IF(E2222=K2222,"5000m",IF(G2222=K2222,"3000mSC","1500m"))</f>
        <v>3000mSC</v>
      </c>
      <c r="M2222" s="14" t="n">
        <f aca="false">(D2222&lt;&gt;"")*(D2222&lt;=($E$3*60+$F$3)/86400)+(F2222&lt;&gt;"")*(F2222&lt;=($I$3*60+$J$3)/86400)+(H2222&lt;&gt;"")*(H2222&lt;=($M$3*60+$N$3)/86400)</f>
        <v>0</v>
      </c>
      <c r="N2222" s="16"/>
      <c r="O2222" s="15"/>
    </row>
    <row r="2223" customFormat="false" ht="25.35" hidden="false" customHeight="false" outlineLevel="0" collapsed="false">
      <c r="A2223" s="9" t="n">
        <v>2217</v>
      </c>
      <c r="B2223" s="10" t="s">
        <v>3154</v>
      </c>
      <c r="C2223" s="10" t="s">
        <v>2229</v>
      </c>
      <c r="D2223" s="11"/>
      <c r="E2223" s="12"/>
      <c r="F2223" s="11" t="n">
        <v>0.00771944444444445</v>
      </c>
      <c r="G2223" s="12" t="n">
        <v>1086</v>
      </c>
      <c r="H2223" s="11"/>
      <c r="I2223" s="12"/>
      <c r="J2223" s="12" t="n">
        <f aca="false">COUNT(E2223,G2223,I2223)</f>
        <v>1</v>
      </c>
      <c r="K2223" s="13" t="n">
        <f aca="false">MIN(E2223,G2223,I2223)</f>
        <v>1086</v>
      </c>
      <c r="L2223" s="9" t="str">
        <f aca="false">IF(E2223=K2223,"5000m",IF(G2223=K2223,"3000mSC","1500m"))</f>
        <v>3000mSC</v>
      </c>
      <c r="M2223" s="14" t="n">
        <f aca="false">(D2223&lt;&gt;"")*(D2223&lt;=($E$3*60+$F$3)/86400)+(F2223&lt;&gt;"")*(F2223&lt;=($I$3*60+$J$3)/86400)+(H2223&lt;&gt;"")*(H2223&lt;=($M$3*60+$N$3)/86400)</f>
        <v>0</v>
      </c>
      <c r="N2223" s="16"/>
      <c r="O2223" s="15"/>
    </row>
    <row r="2224" customFormat="false" ht="15" hidden="false" customHeight="false" outlineLevel="0" collapsed="false">
      <c r="A2224" s="9" t="n">
        <v>2218</v>
      </c>
      <c r="B2224" s="10" t="s">
        <v>3155</v>
      </c>
      <c r="C2224" s="10" t="s">
        <v>3156</v>
      </c>
      <c r="D2224" s="11"/>
      <c r="E2224" s="12"/>
      <c r="F2224" s="11"/>
      <c r="G2224" s="12"/>
      <c r="H2224" s="11" t="n">
        <v>0.0029193287037037</v>
      </c>
      <c r="I2224" s="12" t="n">
        <v>1086</v>
      </c>
      <c r="J2224" s="12" t="n">
        <f aca="false">COUNT(E2224,G2224,I2224)</f>
        <v>1</v>
      </c>
      <c r="K2224" s="13" t="n">
        <f aca="false">MIN(E2224,G2224,I2224)</f>
        <v>1086</v>
      </c>
      <c r="L2224" s="9" t="str">
        <f aca="false">IF(E2224=K2224,"5000m",IF(G2224=K2224,"3000mSC","1500m"))</f>
        <v>1500m</v>
      </c>
      <c r="M2224" s="14" t="n">
        <f aca="false">(D2224&lt;&gt;"")*(D2224&lt;=($E$3*60+$F$3)/86400)+(F2224&lt;&gt;"")*(F2224&lt;=($I$3*60+$J$3)/86400)+(H2224&lt;&gt;"")*(H2224&lt;=($M$3*60+$N$3)/86400)</f>
        <v>0</v>
      </c>
      <c r="N2224" s="16"/>
      <c r="O2224" s="15"/>
    </row>
    <row r="2225" customFormat="false" ht="15" hidden="false" customHeight="false" outlineLevel="0" collapsed="false">
      <c r="A2225" s="9" t="n">
        <v>2219</v>
      </c>
      <c r="B2225" s="10" t="s">
        <v>3157</v>
      </c>
      <c r="C2225" s="10" t="s">
        <v>350</v>
      </c>
      <c r="D2225" s="11" t="n">
        <v>0.0109949074074074</v>
      </c>
      <c r="E2225" s="12" t="n">
        <v>1087</v>
      </c>
      <c r="F2225" s="11"/>
      <c r="G2225" s="12"/>
      <c r="H2225" s="11"/>
      <c r="I2225" s="12"/>
      <c r="J2225" s="12" t="n">
        <f aca="false">COUNT(E2225,G2225,I2225)</f>
        <v>1</v>
      </c>
      <c r="K2225" s="13" t="n">
        <f aca="false">MIN(E2225,G2225,I2225)</f>
        <v>1087</v>
      </c>
      <c r="L2225" s="9" t="str">
        <f aca="false">IF(E2225=K2225,"5000m",IF(G2225=K2225,"3000mSC","1500m"))</f>
        <v>5000m</v>
      </c>
      <c r="M2225" s="14" t="n">
        <f aca="false">(D2225&lt;&gt;"")*(D2225&lt;=($E$3*60+$F$3)/86400)+(F2225&lt;&gt;"")*(F2225&lt;=($I$3*60+$J$3)/86400)+(H2225&lt;&gt;"")*(H2225&lt;=($M$3*60+$N$3)/86400)</f>
        <v>0</v>
      </c>
      <c r="N2225" s="16"/>
      <c r="O2225" s="15"/>
    </row>
    <row r="2226" customFormat="false" ht="25.35" hidden="false" customHeight="false" outlineLevel="0" collapsed="false">
      <c r="A2226" s="9" t="n">
        <v>2220</v>
      </c>
      <c r="B2226" s="10" t="s">
        <v>3158</v>
      </c>
      <c r="C2226" s="10" t="s">
        <v>3159</v>
      </c>
      <c r="D2226" s="11"/>
      <c r="E2226" s="12"/>
      <c r="F2226" s="11" t="n">
        <v>0.00772106481481482</v>
      </c>
      <c r="G2226" s="12" t="n">
        <v>1087</v>
      </c>
      <c r="H2226" s="11"/>
      <c r="I2226" s="12"/>
      <c r="J2226" s="12" t="n">
        <f aca="false">COUNT(E2226,G2226,I2226)</f>
        <v>1</v>
      </c>
      <c r="K2226" s="13" t="n">
        <f aca="false">MIN(E2226,G2226,I2226)</f>
        <v>1087</v>
      </c>
      <c r="L2226" s="9" t="str">
        <f aca="false">IF(E2226=K2226,"5000m",IF(G2226=K2226,"3000mSC","1500m"))</f>
        <v>3000mSC</v>
      </c>
      <c r="M2226" s="14" t="n">
        <f aca="false">(D2226&lt;&gt;"")*(D2226&lt;=($E$3*60+$F$3)/86400)+(F2226&lt;&gt;"")*(F2226&lt;=($I$3*60+$J$3)/86400)+(H2226&lt;&gt;"")*(H2226&lt;=($M$3*60+$N$3)/86400)</f>
        <v>0</v>
      </c>
      <c r="N2226" s="16"/>
      <c r="O2226" s="15"/>
    </row>
    <row r="2227" customFormat="false" ht="15" hidden="false" customHeight="false" outlineLevel="0" collapsed="false">
      <c r="A2227" s="9" t="n">
        <v>2221</v>
      </c>
      <c r="B2227" s="10" t="s">
        <v>3160</v>
      </c>
      <c r="C2227" s="10" t="s">
        <v>2606</v>
      </c>
      <c r="D2227" s="11"/>
      <c r="E2227" s="12"/>
      <c r="F2227" s="11"/>
      <c r="G2227" s="12"/>
      <c r="H2227" s="11" t="n">
        <v>0.0029193287037037</v>
      </c>
      <c r="I2227" s="12" t="n">
        <v>1087</v>
      </c>
      <c r="J2227" s="12" t="n">
        <f aca="false">COUNT(E2227,G2227,I2227)</f>
        <v>1</v>
      </c>
      <c r="K2227" s="13" t="n">
        <f aca="false">MIN(E2227,G2227,I2227)</f>
        <v>1087</v>
      </c>
      <c r="L2227" s="9" t="str">
        <f aca="false">IF(E2227=K2227,"5000m",IF(G2227=K2227,"3000mSC","1500m"))</f>
        <v>1500m</v>
      </c>
      <c r="M2227" s="14" t="n">
        <f aca="false">(D2227&lt;&gt;"")*(D2227&lt;=($E$3*60+$F$3)/86400)+(F2227&lt;&gt;"")*(F2227&lt;=($I$3*60+$J$3)/86400)+(H2227&lt;&gt;"")*(H2227&lt;=($M$3*60+$N$3)/86400)</f>
        <v>0</v>
      </c>
      <c r="N2227" s="16"/>
      <c r="O2227" s="15"/>
    </row>
    <row r="2228" customFormat="false" ht="25.35" hidden="false" customHeight="false" outlineLevel="0" collapsed="false">
      <c r="A2228" s="9" t="n">
        <v>2222</v>
      </c>
      <c r="B2228" s="10" t="s">
        <v>3161</v>
      </c>
      <c r="C2228" s="10" t="s">
        <v>2402</v>
      </c>
      <c r="D2228" s="11"/>
      <c r="E2228" s="12"/>
      <c r="F2228" s="11" t="n">
        <v>0.00772233796296296</v>
      </c>
      <c r="G2228" s="12" t="n">
        <v>1088</v>
      </c>
      <c r="H2228" s="11"/>
      <c r="I2228" s="12"/>
      <c r="J2228" s="12" t="n">
        <f aca="false">COUNT(E2228,G2228,I2228)</f>
        <v>1</v>
      </c>
      <c r="K2228" s="13" t="n">
        <f aca="false">MIN(E2228,G2228,I2228)</f>
        <v>1088</v>
      </c>
      <c r="L2228" s="9" t="str">
        <f aca="false">IF(E2228=K2228,"5000m",IF(G2228=K2228,"3000mSC","1500m"))</f>
        <v>3000mSC</v>
      </c>
      <c r="M2228" s="14" t="n">
        <f aca="false">(D2228&lt;&gt;"")*(D2228&lt;=($E$3*60+$F$3)/86400)+(F2228&lt;&gt;"")*(F2228&lt;=($I$3*60+$J$3)/86400)+(H2228&lt;&gt;"")*(H2228&lt;=($M$3*60+$N$3)/86400)</f>
        <v>0</v>
      </c>
      <c r="N2228" s="16"/>
      <c r="O2228" s="15"/>
    </row>
    <row r="2229" customFormat="false" ht="25.35" hidden="false" customHeight="false" outlineLevel="0" collapsed="false">
      <c r="A2229" s="9" t="n">
        <v>2223</v>
      </c>
      <c r="B2229" s="10" t="s">
        <v>3162</v>
      </c>
      <c r="C2229" s="10" t="s">
        <v>3163</v>
      </c>
      <c r="D2229" s="11"/>
      <c r="E2229" s="12"/>
      <c r="F2229" s="11" t="n">
        <v>0.00772291666666667</v>
      </c>
      <c r="G2229" s="12" t="n">
        <v>1089</v>
      </c>
      <c r="H2229" s="11"/>
      <c r="I2229" s="12"/>
      <c r="J2229" s="12" t="n">
        <f aca="false">COUNT(E2229,G2229,I2229)</f>
        <v>1</v>
      </c>
      <c r="K2229" s="13" t="n">
        <f aca="false">MIN(E2229,G2229,I2229)</f>
        <v>1089</v>
      </c>
      <c r="L2229" s="9" t="str">
        <f aca="false">IF(E2229=K2229,"5000m",IF(G2229=K2229,"3000mSC","1500m"))</f>
        <v>3000mSC</v>
      </c>
      <c r="M2229" s="14" t="n">
        <f aca="false">(D2229&lt;&gt;"")*(D2229&lt;=($E$3*60+$F$3)/86400)+(F2229&lt;&gt;"")*(F2229&lt;=($I$3*60+$J$3)/86400)+(H2229&lt;&gt;"")*(H2229&lt;=($M$3*60+$N$3)/86400)</f>
        <v>0</v>
      </c>
      <c r="N2229" s="16"/>
      <c r="O2229" s="15"/>
    </row>
    <row r="2230" customFormat="false" ht="15" hidden="false" customHeight="false" outlineLevel="0" collapsed="false">
      <c r="A2230" s="9" t="n">
        <v>2224</v>
      </c>
      <c r="B2230" s="10" t="s">
        <v>3164</v>
      </c>
      <c r="C2230" s="10" t="s">
        <v>3165</v>
      </c>
      <c r="D2230" s="11"/>
      <c r="E2230" s="12"/>
      <c r="F2230" s="11"/>
      <c r="G2230" s="12"/>
      <c r="H2230" s="11" t="n">
        <v>0.00291944444444445</v>
      </c>
      <c r="I2230" s="12" t="n">
        <v>1089</v>
      </c>
      <c r="J2230" s="12" t="n">
        <f aca="false">COUNT(E2230,G2230,I2230)</f>
        <v>1</v>
      </c>
      <c r="K2230" s="13" t="n">
        <f aca="false">MIN(E2230,G2230,I2230)</f>
        <v>1089</v>
      </c>
      <c r="L2230" s="9" t="str">
        <f aca="false">IF(E2230=K2230,"5000m",IF(G2230=K2230,"3000mSC","1500m"))</f>
        <v>1500m</v>
      </c>
      <c r="M2230" s="14" t="n">
        <f aca="false">(D2230&lt;&gt;"")*(D2230&lt;=($E$3*60+$F$3)/86400)+(F2230&lt;&gt;"")*(F2230&lt;=($I$3*60+$J$3)/86400)+(H2230&lt;&gt;"")*(H2230&lt;=($M$3*60+$N$3)/86400)</f>
        <v>0</v>
      </c>
      <c r="N2230" s="16"/>
      <c r="O2230" s="15"/>
    </row>
    <row r="2231" customFormat="false" ht="15" hidden="false" customHeight="false" outlineLevel="0" collapsed="false">
      <c r="A2231" s="9" t="n">
        <v>2225</v>
      </c>
      <c r="B2231" s="10" t="s">
        <v>3166</v>
      </c>
      <c r="C2231" s="10" t="s">
        <v>603</v>
      </c>
      <c r="D2231" s="11" t="n">
        <v>0.0110085648148148</v>
      </c>
      <c r="E2231" s="12" t="n">
        <v>1108</v>
      </c>
      <c r="F2231" s="11"/>
      <c r="G2231" s="12"/>
      <c r="H2231" s="11" t="n">
        <v>0.00291956018518519</v>
      </c>
      <c r="I2231" s="12" t="n">
        <v>1090</v>
      </c>
      <c r="J2231" s="12" t="n">
        <f aca="false">COUNT(E2231,G2231,I2231)</f>
        <v>2</v>
      </c>
      <c r="K2231" s="13" t="n">
        <f aca="false">MIN(E2231,G2231,I2231)</f>
        <v>1090</v>
      </c>
      <c r="L2231" s="9" t="str">
        <f aca="false">IF(E2231=K2231,"5000m",IF(G2231=K2231,"3000mSC","1500m"))</f>
        <v>1500m</v>
      </c>
      <c r="M2231" s="14" t="n">
        <f aca="false">(D2231&lt;&gt;"")*(D2231&lt;=($E$3*60+$F$3)/86400)+(F2231&lt;&gt;"")*(F2231&lt;=($I$3*60+$J$3)/86400)+(H2231&lt;&gt;"")*(H2231&lt;=($M$3*60+$N$3)/86400)</f>
        <v>0</v>
      </c>
      <c r="N2231" s="16"/>
      <c r="O2231" s="15"/>
    </row>
    <row r="2232" customFormat="false" ht="15" hidden="false" customHeight="false" outlineLevel="0" collapsed="false">
      <c r="A2232" s="9" t="n">
        <v>2226</v>
      </c>
      <c r="B2232" s="10" t="s">
        <v>3167</v>
      </c>
      <c r="C2232" s="10" t="s">
        <v>95</v>
      </c>
      <c r="D2232" s="11" t="n">
        <v>0.0109961805555556</v>
      </c>
      <c r="E2232" s="12" t="n">
        <v>1090</v>
      </c>
      <c r="F2232" s="11"/>
      <c r="G2232" s="12"/>
      <c r="H2232" s="11"/>
      <c r="I2232" s="12"/>
      <c r="J2232" s="12" t="n">
        <f aca="false">COUNT(E2232,G2232,I2232)</f>
        <v>1</v>
      </c>
      <c r="K2232" s="13" t="n">
        <f aca="false">MIN(E2232,G2232,I2232)</f>
        <v>1090</v>
      </c>
      <c r="L2232" s="9" t="str">
        <f aca="false">IF(E2232=K2232,"5000m",IF(G2232=K2232,"3000mSC","1500m"))</f>
        <v>5000m</v>
      </c>
      <c r="M2232" s="14" t="n">
        <f aca="false">(D2232&lt;&gt;"")*(D2232&lt;=($E$3*60+$F$3)/86400)+(F2232&lt;&gt;"")*(F2232&lt;=($I$3*60+$J$3)/86400)+(H2232&lt;&gt;"")*(H2232&lt;=($M$3*60+$N$3)/86400)</f>
        <v>0</v>
      </c>
      <c r="N2232" s="16"/>
      <c r="O2232" s="15"/>
    </row>
    <row r="2233" customFormat="false" ht="25.35" hidden="false" customHeight="false" outlineLevel="0" collapsed="false">
      <c r="A2233" s="9" t="n">
        <v>2227</v>
      </c>
      <c r="B2233" s="10" t="s">
        <v>3168</v>
      </c>
      <c r="C2233" s="10" t="s">
        <v>3169</v>
      </c>
      <c r="D2233" s="11"/>
      <c r="E2233" s="12"/>
      <c r="F2233" s="11" t="n">
        <v>0.00772534722222222</v>
      </c>
      <c r="G2233" s="12" t="n">
        <v>1090</v>
      </c>
      <c r="H2233" s="11"/>
      <c r="I2233" s="12"/>
      <c r="J2233" s="12" t="n">
        <f aca="false">COUNT(E2233,G2233,I2233)</f>
        <v>1</v>
      </c>
      <c r="K2233" s="13" t="n">
        <f aca="false">MIN(E2233,G2233,I2233)</f>
        <v>1090</v>
      </c>
      <c r="L2233" s="9" t="str">
        <f aca="false">IF(E2233=K2233,"5000m",IF(G2233=K2233,"3000mSC","1500m"))</f>
        <v>3000mSC</v>
      </c>
      <c r="M2233" s="14" t="n">
        <f aca="false">(D2233&lt;&gt;"")*(D2233&lt;=($E$3*60+$F$3)/86400)+(F2233&lt;&gt;"")*(F2233&lt;=($I$3*60+$J$3)/86400)+(H2233&lt;&gt;"")*(H2233&lt;=($M$3*60+$N$3)/86400)</f>
        <v>0</v>
      </c>
      <c r="N2233" s="16"/>
      <c r="O2233" s="15"/>
    </row>
    <row r="2234" customFormat="false" ht="25.35" hidden="false" customHeight="false" outlineLevel="0" collapsed="false">
      <c r="A2234" s="9" t="n">
        <v>2228</v>
      </c>
      <c r="B2234" s="10" t="s">
        <v>3170</v>
      </c>
      <c r="C2234" s="10" t="s">
        <v>3122</v>
      </c>
      <c r="D2234" s="11" t="n">
        <v>0.0110605324074074</v>
      </c>
      <c r="E2234" s="12" t="n">
        <v>1215</v>
      </c>
      <c r="F2234" s="11" t="n">
        <v>0.00772546296296296</v>
      </c>
      <c r="G2234" s="12" t="n">
        <v>1091</v>
      </c>
      <c r="H2234" s="11"/>
      <c r="I2234" s="12"/>
      <c r="J2234" s="12" t="n">
        <f aca="false">COUNT(E2234,G2234,I2234)</f>
        <v>2</v>
      </c>
      <c r="K2234" s="13" t="n">
        <f aca="false">MIN(E2234,G2234,I2234)</f>
        <v>1091</v>
      </c>
      <c r="L2234" s="9" t="str">
        <f aca="false">IF(E2234=K2234,"5000m",IF(G2234=K2234,"3000mSC","1500m"))</f>
        <v>3000mSC</v>
      </c>
      <c r="M2234" s="14" t="n">
        <f aca="false">(D2234&lt;&gt;"")*(D2234&lt;=($E$3*60+$F$3)/86400)+(F2234&lt;&gt;"")*(F2234&lt;=($I$3*60+$J$3)/86400)+(H2234&lt;&gt;"")*(H2234&lt;=($M$3*60+$N$3)/86400)</f>
        <v>0</v>
      </c>
      <c r="N2234" s="16"/>
      <c r="O2234" s="15"/>
    </row>
    <row r="2235" customFormat="false" ht="15" hidden="false" customHeight="false" outlineLevel="0" collapsed="false">
      <c r="A2235" s="9" t="n">
        <v>2229</v>
      </c>
      <c r="B2235" s="10" t="s">
        <v>3171</v>
      </c>
      <c r="C2235" s="10" t="s">
        <v>126</v>
      </c>
      <c r="D2235" s="11" t="n">
        <v>0.0109961805555556</v>
      </c>
      <c r="E2235" s="12" t="n">
        <v>1091</v>
      </c>
      <c r="F2235" s="11"/>
      <c r="G2235" s="12"/>
      <c r="H2235" s="11"/>
      <c r="I2235" s="12"/>
      <c r="J2235" s="12" t="n">
        <f aca="false">COUNT(E2235,G2235,I2235)</f>
        <v>1</v>
      </c>
      <c r="K2235" s="13" t="n">
        <f aca="false">MIN(E2235,G2235,I2235)</f>
        <v>1091</v>
      </c>
      <c r="L2235" s="9" t="str">
        <f aca="false">IF(E2235=K2235,"5000m",IF(G2235=K2235,"3000mSC","1500m"))</f>
        <v>5000m</v>
      </c>
      <c r="M2235" s="14" t="n">
        <f aca="false">(D2235&lt;&gt;"")*(D2235&lt;=($E$3*60+$F$3)/86400)+(F2235&lt;&gt;"")*(F2235&lt;=($I$3*60+$J$3)/86400)+(H2235&lt;&gt;"")*(H2235&lt;=($M$3*60+$N$3)/86400)</f>
        <v>0</v>
      </c>
      <c r="N2235" s="16"/>
      <c r="O2235" s="15"/>
    </row>
    <row r="2236" customFormat="false" ht="15" hidden="false" customHeight="false" outlineLevel="0" collapsed="false">
      <c r="A2236" s="9" t="n">
        <v>2230</v>
      </c>
      <c r="B2236" s="10" t="s">
        <v>3172</v>
      </c>
      <c r="C2236" s="10" t="s">
        <v>1608</v>
      </c>
      <c r="D2236" s="11" t="n">
        <v>0.0109965277777778</v>
      </c>
      <c r="E2236" s="12" t="n">
        <v>1092</v>
      </c>
      <c r="F2236" s="11"/>
      <c r="G2236" s="12"/>
      <c r="H2236" s="11"/>
      <c r="I2236" s="12"/>
      <c r="J2236" s="12" t="n">
        <f aca="false">COUNT(E2236,G2236,I2236)</f>
        <v>1</v>
      </c>
      <c r="K2236" s="13" t="n">
        <f aca="false">MIN(E2236,G2236,I2236)</f>
        <v>1092</v>
      </c>
      <c r="L2236" s="9" t="str">
        <f aca="false">IF(E2236=K2236,"5000m",IF(G2236=K2236,"3000mSC","1500m"))</f>
        <v>5000m</v>
      </c>
      <c r="M2236" s="14" t="n">
        <f aca="false">(D2236&lt;&gt;"")*(D2236&lt;=($E$3*60+$F$3)/86400)+(F2236&lt;&gt;"")*(F2236&lt;=($I$3*60+$J$3)/86400)+(H2236&lt;&gt;"")*(H2236&lt;=($M$3*60+$N$3)/86400)</f>
        <v>0</v>
      </c>
      <c r="N2236" s="16"/>
      <c r="O2236" s="15"/>
    </row>
    <row r="2237" customFormat="false" ht="25.35" hidden="false" customHeight="false" outlineLevel="0" collapsed="false">
      <c r="A2237" s="9" t="n">
        <v>2231</v>
      </c>
      <c r="B2237" s="10" t="s">
        <v>3173</v>
      </c>
      <c r="C2237" s="10" t="s">
        <v>2954</v>
      </c>
      <c r="D2237" s="11"/>
      <c r="E2237" s="12"/>
      <c r="F2237" s="11" t="n">
        <v>0.00772569444444445</v>
      </c>
      <c r="G2237" s="12" t="n">
        <v>1092</v>
      </c>
      <c r="H2237" s="11"/>
      <c r="I2237" s="12"/>
      <c r="J2237" s="12" t="n">
        <f aca="false">COUNT(E2237,G2237,I2237)</f>
        <v>1</v>
      </c>
      <c r="K2237" s="13" t="n">
        <f aca="false">MIN(E2237,G2237,I2237)</f>
        <v>1092</v>
      </c>
      <c r="L2237" s="9" t="str">
        <f aca="false">IF(E2237=K2237,"5000m",IF(G2237=K2237,"3000mSC","1500m"))</f>
        <v>3000mSC</v>
      </c>
      <c r="M2237" s="14" t="n">
        <f aca="false">(D2237&lt;&gt;"")*(D2237&lt;=($E$3*60+$F$3)/86400)+(F2237&lt;&gt;"")*(F2237&lt;=($I$3*60+$J$3)/86400)+(H2237&lt;&gt;"")*(H2237&lt;=($M$3*60+$N$3)/86400)</f>
        <v>0</v>
      </c>
      <c r="N2237" s="16"/>
      <c r="O2237" s="15"/>
    </row>
    <row r="2238" customFormat="false" ht="15" hidden="false" customHeight="false" outlineLevel="0" collapsed="false">
      <c r="A2238" s="9" t="n">
        <v>2232</v>
      </c>
      <c r="B2238" s="10" t="s">
        <v>3174</v>
      </c>
      <c r="C2238" s="10" t="s">
        <v>437</v>
      </c>
      <c r="D2238" s="11"/>
      <c r="E2238" s="12"/>
      <c r="F2238" s="11"/>
      <c r="G2238" s="12"/>
      <c r="H2238" s="11" t="n">
        <v>0.00291967592592593</v>
      </c>
      <c r="I2238" s="12" t="n">
        <v>1092</v>
      </c>
      <c r="J2238" s="12" t="n">
        <f aca="false">COUNT(E2238,G2238,I2238)</f>
        <v>1</v>
      </c>
      <c r="K2238" s="13" t="n">
        <f aca="false">MIN(E2238,G2238,I2238)</f>
        <v>1092</v>
      </c>
      <c r="L2238" s="9" t="str">
        <f aca="false">IF(E2238=K2238,"5000m",IF(G2238=K2238,"3000mSC","1500m"))</f>
        <v>1500m</v>
      </c>
      <c r="M2238" s="14" t="n">
        <f aca="false">(D2238&lt;&gt;"")*(D2238&lt;=($E$3*60+$F$3)/86400)+(F2238&lt;&gt;"")*(F2238&lt;=($I$3*60+$J$3)/86400)+(H2238&lt;&gt;"")*(H2238&lt;=($M$3*60+$N$3)/86400)</f>
        <v>0</v>
      </c>
      <c r="N2238" s="16"/>
      <c r="O2238" s="15"/>
    </row>
    <row r="2239" customFormat="false" ht="25.35" hidden="false" customHeight="false" outlineLevel="0" collapsed="false">
      <c r="A2239" s="9" t="n">
        <v>2233</v>
      </c>
      <c r="B2239" s="10" t="s">
        <v>3175</v>
      </c>
      <c r="C2239" s="10" t="s">
        <v>3176</v>
      </c>
      <c r="D2239" s="11"/>
      <c r="E2239" s="12"/>
      <c r="F2239" s="11" t="n">
        <v>0.00772627314814815</v>
      </c>
      <c r="G2239" s="12" t="n">
        <v>1093</v>
      </c>
      <c r="H2239" s="11"/>
      <c r="I2239" s="12"/>
      <c r="J2239" s="12" t="n">
        <f aca="false">COUNT(E2239,G2239,I2239)</f>
        <v>1</v>
      </c>
      <c r="K2239" s="13" t="n">
        <f aca="false">MIN(E2239,G2239,I2239)</f>
        <v>1093</v>
      </c>
      <c r="L2239" s="9" t="str">
        <f aca="false">IF(E2239=K2239,"5000m",IF(G2239=K2239,"3000mSC","1500m"))</f>
        <v>3000mSC</v>
      </c>
      <c r="M2239" s="14" t="n">
        <f aca="false">(D2239&lt;&gt;"")*(D2239&lt;=($E$3*60+$F$3)/86400)+(F2239&lt;&gt;"")*(F2239&lt;=($I$3*60+$J$3)/86400)+(H2239&lt;&gt;"")*(H2239&lt;=($M$3*60+$N$3)/86400)</f>
        <v>0</v>
      </c>
      <c r="N2239" s="16"/>
      <c r="O2239" s="15"/>
    </row>
    <row r="2240" customFormat="false" ht="15" hidden="false" customHeight="false" outlineLevel="0" collapsed="false">
      <c r="A2240" s="9" t="n">
        <v>2234</v>
      </c>
      <c r="B2240" s="10" t="s">
        <v>3177</v>
      </c>
      <c r="C2240" s="10" t="s">
        <v>3178</v>
      </c>
      <c r="D2240" s="11"/>
      <c r="E2240" s="12"/>
      <c r="F2240" s="11"/>
      <c r="G2240" s="12"/>
      <c r="H2240" s="11" t="n">
        <v>0.00291979166666667</v>
      </c>
      <c r="I2240" s="12" t="n">
        <v>1093</v>
      </c>
      <c r="J2240" s="12" t="n">
        <f aca="false">COUNT(E2240,G2240,I2240)</f>
        <v>1</v>
      </c>
      <c r="K2240" s="13" t="n">
        <f aca="false">MIN(E2240,G2240,I2240)</f>
        <v>1093</v>
      </c>
      <c r="L2240" s="9" t="str">
        <f aca="false">IF(E2240=K2240,"5000m",IF(G2240=K2240,"3000mSC","1500m"))</f>
        <v>1500m</v>
      </c>
      <c r="M2240" s="14" t="n">
        <f aca="false">(D2240&lt;&gt;"")*(D2240&lt;=($E$3*60+$F$3)/86400)+(F2240&lt;&gt;"")*(F2240&lt;=($I$3*60+$J$3)/86400)+(H2240&lt;&gt;"")*(H2240&lt;=($M$3*60+$N$3)/86400)</f>
        <v>0</v>
      </c>
      <c r="N2240" s="16"/>
      <c r="O2240" s="15"/>
    </row>
    <row r="2241" customFormat="false" ht="15" hidden="false" customHeight="false" outlineLevel="0" collapsed="false">
      <c r="A2241" s="9" t="n">
        <v>2235</v>
      </c>
      <c r="B2241" s="10" t="s">
        <v>3179</v>
      </c>
      <c r="C2241" s="10" t="s">
        <v>83</v>
      </c>
      <c r="D2241" s="11" t="n">
        <v>0.0109979166666667</v>
      </c>
      <c r="E2241" s="12" t="n">
        <v>1094</v>
      </c>
      <c r="F2241" s="11"/>
      <c r="G2241" s="12"/>
      <c r="H2241" s="11"/>
      <c r="I2241" s="12"/>
      <c r="J2241" s="12" t="n">
        <f aca="false">COUNT(E2241,G2241,I2241)</f>
        <v>1</v>
      </c>
      <c r="K2241" s="13" t="n">
        <f aca="false">MIN(E2241,G2241,I2241)</f>
        <v>1094</v>
      </c>
      <c r="L2241" s="9" t="str">
        <f aca="false">IF(E2241=K2241,"5000m",IF(G2241=K2241,"3000mSC","1500m"))</f>
        <v>5000m</v>
      </c>
      <c r="M2241" s="14" t="n">
        <f aca="false">(D2241&lt;&gt;"")*(D2241&lt;=($E$3*60+$F$3)/86400)+(F2241&lt;&gt;"")*(F2241&lt;=($I$3*60+$J$3)/86400)+(H2241&lt;&gt;"")*(H2241&lt;=($M$3*60+$N$3)/86400)</f>
        <v>0</v>
      </c>
      <c r="N2241" s="16"/>
      <c r="O2241" s="15"/>
    </row>
    <row r="2242" customFormat="false" ht="15" hidden="false" customHeight="false" outlineLevel="0" collapsed="false">
      <c r="A2242" s="9" t="n">
        <v>2236</v>
      </c>
      <c r="B2242" s="10" t="s">
        <v>3180</v>
      </c>
      <c r="C2242" s="10" t="s">
        <v>2844</v>
      </c>
      <c r="D2242" s="11"/>
      <c r="E2242" s="12"/>
      <c r="F2242" s="11"/>
      <c r="G2242" s="12"/>
      <c r="H2242" s="11" t="n">
        <v>0.00291990740740741</v>
      </c>
      <c r="I2242" s="12" t="n">
        <v>1094</v>
      </c>
      <c r="J2242" s="12" t="n">
        <f aca="false">COUNT(E2242,G2242,I2242)</f>
        <v>1</v>
      </c>
      <c r="K2242" s="13" t="n">
        <f aca="false">MIN(E2242,G2242,I2242)</f>
        <v>1094</v>
      </c>
      <c r="L2242" s="9" t="str">
        <f aca="false">IF(E2242=K2242,"5000m",IF(G2242=K2242,"3000mSC","1500m"))</f>
        <v>1500m</v>
      </c>
      <c r="M2242" s="14" t="n">
        <f aca="false">(D2242&lt;&gt;"")*(D2242&lt;=($E$3*60+$F$3)/86400)+(F2242&lt;&gt;"")*(F2242&lt;=($I$3*60+$J$3)/86400)+(H2242&lt;&gt;"")*(H2242&lt;=($M$3*60+$N$3)/86400)</f>
        <v>0</v>
      </c>
      <c r="N2242" s="16"/>
      <c r="O2242" s="15"/>
    </row>
    <row r="2243" customFormat="false" ht="15" hidden="false" customHeight="false" outlineLevel="0" collapsed="false">
      <c r="A2243" s="9" t="n">
        <v>2237</v>
      </c>
      <c r="B2243" s="10" t="s">
        <v>3181</v>
      </c>
      <c r="C2243" s="10" t="s">
        <v>1322</v>
      </c>
      <c r="D2243" s="11" t="n">
        <v>0.0109983796296296</v>
      </c>
      <c r="E2243" s="12" t="n">
        <v>1095</v>
      </c>
      <c r="F2243" s="11"/>
      <c r="G2243" s="12"/>
      <c r="H2243" s="11"/>
      <c r="I2243" s="12"/>
      <c r="J2243" s="12" t="n">
        <f aca="false">COUNT(E2243,G2243,I2243)</f>
        <v>1</v>
      </c>
      <c r="K2243" s="13" t="n">
        <f aca="false">MIN(E2243,G2243,I2243)</f>
        <v>1095</v>
      </c>
      <c r="L2243" s="9" t="str">
        <f aca="false">IF(E2243=K2243,"5000m",IF(G2243=K2243,"3000mSC","1500m"))</f>
        <v>5000m</v>
      </c>
      <c r="M2243" s="14" t="n">
        <f aca="false">(D2243&lt;&gt;"")*(D2243&lt;=($E$3*60+$F$3)/86400)+(F2243&lt;&gt;"")*(F2243&lt;=($I$3*60+$J$3)/86400)+(H2243&lt;&gt;"")*(H2243&lt;=($M$3*60+$N$3)/86400)</f>
        <v>0</v>
      </c>
      <c r="N2243" s="16"/>
      <c r="O2243" s="15"/>
    </row>
    <row r="2244" customFormat="false" ht="25.35" hidden="false" customHeight="false" outlineLevel="0" collapsed="false">
      <c r="A2244" s="9" t="n">
        <v>2238</v>
      </c>
      <c r="B2244" s="10" t="s">
        <v>3182</v>
      </c>
      <c r="C2244" s="10" t="s">
        <v>3183</v>
      </c>
      <c r="D2244" s="11"/>
      <c r="E2244" s="12"/>
      <c r="F2244" s="11" t="n">
        <v>0.0077275462962963</v>
      </c>
      <c r="G2244" s="12" t="n">
        <v>1095</v>
      </c>
      <c r="H2244" s="11"/>
      <c r="I2244" s="12"/>
      <c r="J2244" s="12" t="n">
        <f aca="false">COUNT(E2244,G2244,I2244)</f>
        <v>1</v>
      </c>
      <c r="K2244" s="13" t="n">
        <f aca="false">MIN(E2244,G2244,I2244)</f>
        <v>1095</v>
      </c>
      <c r="L2244" s="9" t="str">
        <f aca="false">IF(E2244=K2244,"5000m",IF(G2244=K2244,"3000mSC","1500m"))</f>
        <v>3000mSC</v>
      </c>
      <c r="M2244" s="14" t="n">
        <f aca="false">(D2244&lt;&gt;"")*(D2244&lt;=($E$3*60+$F$3)/86400)+(F2244&lt;&gt;"")*(F2244&lt;=($I$3*60+$J$3)/86400)+(H2244&lt;&gt;"")*(H2244&lt;=($M$3*60+$N$3)/86400)</f>
        <v>0</v>
      </c>
      <c r="N2244" s="16"/>
      <c r="O2244" s="15"/>
    </row>
    <row r="2245" customFormat="false" ht="25.35" hidden="false" customHeight="false" outlineLevel="0" collapsed="false">
      <c r="A2245" s="9" t="n">
        <v>2239</v>
      </c>
      <c r="B2245" s="10" t="s">
        <v>3184</v>
      </c>
      <c r="C2245" s="10" t="s">
        <v>1372</v>
      </c>
      <c r="D2245" s="11"/>
      <c r="E2245" s="12"/>
      <c r="F2245" s="11" t="n">
        <v>0.00772939814814815</v>
      </c>
      <c r="G2245" s="12" t="n">
        <v>1096</v>
      </c>
      <c r="H2245" s="11"/>
      <c r="I2245" s="12"/>
      <c r="J2245" s="12" t="n">
        <f aca="false">COUNT(E2245,G2245,I2245)</f>
        <v>1</v>
      </c>
      <c r="K2245" s="13" t="n">
        <f aca="false">MIN(E2245,G2245,I2245)</f>
        <v>1096</v>
      </c>
      <c r="L2245" s="9" t="str">
        <f aca="false">IF(E2245=K2245,"5000m",IF(G2245=K2245,"3000mSC","1500m"))</f>
        <v>3000mSC</v>
      </c>
      <c r="M2245" s="14" t="n">
        <f aca="false">(D2245&lt;&gt;"")*(D2245&lt;=($E$3*60+$F$3)/86400)+(F2245&lt;&gt;"")*(F2245&lt;=($I$3*60+$J$3)/86400)+(H2245&lt;&gt;"")*(H2245&lt;=($M$3*60+$N$3)/86400)</f>
        <v>0</v>
      </c>
      <c r="N2245" s="16"/>
      <c r="O2245" s="15"/>
    </row>
    <row r="2246" customFormat="false" ht="15" hidden="false" customHeight="false" outlineLevel="0" collapsed="false">
      <c r="A2246" s="9" t="n">
        <v>2240</v>
      </c>
      <c r="B2246" s="10" t="s">
        <v>3185</v>
      </c>
      <c r="C2246" s="10" t="s">
        <v>3186</v>
      </c>
      <c r="D2246" s="11"/>
      <c r="E2246" s="12"/>
      <c r="F2246" s="11"/>
      <c r="G2246" s="12"/>
      <c r="H2246" s="11" t="n">
        <v>0.00292002314814815</v>
      </c>
      <c r="I2246" s="12" t="n">
        <v>1096</v>
      </c>
      <c r="J2246" s="12" t="n">
        <f aca="false">COUNT(E2246,G2246,I2246)</f>
        <v>1</v>
      </c>
      <c r="K2246" s="13" t="n">
        <f aca="false">MIN(E2246,G2246,I2246)</f>
        <v>1096</v>
      </c>
      <c r="L2246" s="9" t="str">
        <f aca="false">IF(E2246=K2246,"5000m",IF(G2246=K2246,"3000mSC","1500m"))</f>
        <v>1500m</v>
      </c>
      <c r="M2246" s="14" t="n">
        <f aca="false">(D2246&lt;&gt;"")*(D2246&lt;=($E$3*60+$F$3)/86400)+(F2246&lt;&gt;"")*(F2246&lt;=($I$3*60+$J$3)/86400)+(H2246&lt;&gt;"")*(H2246&lt;=($M$3*60+$N$3)/86400)</f>
        <v>0</v>
      </c>
      <c r="N2246" s="16"/>
      <c r="O2246" s="15"/>
    </row>
    <row r="2247" customFormat="false" ht="25.35" hidden="false" customHeight="false" outlineLevel="0" collapsed="false">
      <c r="A2247" s="9" t="n">
        <v>2241</v>
      </c>
      <c r="B2247" s="10" t="s">
        <v>3187</v>
      </c>
      <c r="C2247" s="10" t="s">
        <v>3188</v>
      </c>
      <c r="D2247" s="11"/>
      <c r="E2247" s="12"/>
      <c r="F2247" s="11" t="n">
        <v>0.00773078703703704</v>
      </c>
      <c r="G2247" s="12" t="n">
        <v>1097</v>
      </c>
      <c r="H2247" s="11"/>
      <c r="I2247" s="12"/>
      <c r="J2247" s="12" t="n">
        <f aca="false">COUNT(E2247,G2247,I2247)</f>
        <v>1</v>
      </c>
      <c r="K2247" s="13" t="n">
        <f aca="false">MIN(E2247,G2247,I2247)</f>
        <v>1097</v>
      </c>
      <c r="L2247" s="9" t="str">
        <f aca="false">IF(E2247=K2247,"5000m",IF(G2247=K2247,"3000mSC","1500m"))</f>
        <v>3000mSC</v>
      </c>
      <c r="M2247" s="14" t="n">
        <f aca="false">(D2247&lt;&gt;"")*(D2247&lt;=($E$3*60+$F$3)/86400)+(F2247&lt;&gt;"")*(F2247&lt;=($I$3*60+$J$3)/86400)+(H2247&lt;&gt;"")*(H2247&lt;=($M$3*60+$N$3)/86400)</f>
        <v>0</v>
      </c>
      <c r="N2247" s="16"/>
      <c r="O2247" s="15"/>
    </row>
    <row r="2248" customFormat="false" ht="15" hidden="false" customHeight="false" outlineLevel="0" collapsed="false">
      <c r="A2248" s="9" t="n">
        <v>2242</v>
      </c>
      <c r="B2248" s="10" t="s">
        <v>3189</v>
      </c>
      <c r="C2248" s="10" t="s">
        <v>2106</v>
      </c>
      <c r="D2248" s="11"/>
      <c r="E2248" s="12"/>
      <c r="F2248" s="11"/>
      <c r="G2248" s="12"/>
      <c r="H2248" s="11" t="n">
        <v>0.00292002314814815</v>
      </c>
      <c r="I2248" s="12" t="n">
        <v>1097</v>
      </c>
      <c r="J2248" s="12" t="n">
        <f aca="false">COUNT(E2248,G2248,I2248)</f>
        <v>1</v>
      </c>
      <c r="K2248" s="13" t="n">
        <f aca="false">MIN(E2248,G2248,I2248)</f>
        <v>1097</v>
      </c>
      <c r="L2248" s="9" t="str">
        <f aca="false">IF(E2248=K2248,"5000m",IF(G2248=K2248,"3000mSC","1500m"))</f>
        <v>1500m</v>
      </c>
      <c r="M2248" s="14" t="n">
        <f aca="false">(D2248&lt;&gt;"")*(D2248&lt;=($E$3*60+$F$3)/86400)+(F2248&lt;&gt;"")*(F2248&lt;=($I$3*60+$J$3)/86400)+(H2248&lt;&gt;"")*(H2248&lt;=($M$3*60+$N$3)/86400)</f>
        <v>0</v>
      </c>
      <c r="N2248" s="16"/>
      <c r="O2248" s="15"/>
    </row>
    <row r="2249" customFormat="false" ht="25.35" hidden="false" customHeight="false" outlineLevel="0" collapsed="false">
      <c r="A2249" s="9" t="n">
        <v>2243</v>
      </c>
      <c r="B2249" s="10" t="s">
        <v>3190</v>
      </c>
      <c r="C2249" s="10" t="s">
        <v>3191</v>
      </c>
      <c r="D2249" s="11"/>
      <c r="E2249" s="12"/>
      <c r="F2249" s="11" t="n">
        <v>0.00773078703703704</v>
      </c>
      <c r="G2249" s="12" t="n">
        <v>1098</v>
      </c>
      <c r="H2249" s="11"/>
      <c r="I2249" s="12"/>
      <c r="J2249" s="12" t="n">
        <f aca="false">COUNT(E2249,G2249,I2249)</f>
        <v>1</v>
      </c>
      <c r="K2249" s="13" t="n">
        <f aca="false">MIN(E2249,G2249,I2249)</f>
        <v>1098</v>
      </c>
      <c r="L2249" s="9" t="str">
        <f aca="false">IF(E2249=K2249,"5000m",IF(G2249=K2249,"3000mSC","1500m"))</f>
        <v>3000mSC</v>
      </c>
      <c r="M2249" s="14" t="n">
        <f aca="false">(D2249&lt;&gt;"")*(D2249&lt;=($E$3*60+$F$3)/86400)+(F2249&lt;&gt;"")*(F2249&lt;=($I$3*60+$J$3)/86400)+(H2249&lt;&gt;"")*(H2249&lt;=($M$3*60+$N$3)/86400)</f>
        <v>0</v>
      </c>
      <c r="N2249" s="16"/>
      <c r="O2249" s="15"/>
    </row>
    <row r="2250" customFormat="false" ht="25.35" hidden="false" customHeight="false" outlineLevel="0" collapsed="false">
      <c r="A2250" s="9" t="n">
        <v>2244</v>
      </c>
      <c r="B2250" s="10" t="s">
        <v>3192</v>
      </c>
      <c r="C2250" s="10" t="s">
        <v>938</v>
      </c>
      <c r="D2250" s="11"/>
      <c r="E2250" s="12"/>
      <c r="F2250" s="11" t="n">
        <v>0.00773078703703704</v>
      </c>
      <c r="G2250" s="12" t="n">
        <v>1099</v>
      </c>
      <c r="H2250" s="11"/>
      <c r="I2250" s="12"/>
      <c r="J2250" s="12" t="n">
        <f aca="false">COUNT(E2250,G2250,I2250)</f>
        <v>1</v>
      </c>
      <c r="K2250" s="13" t="n">
        <f aca="false">MIN(E2250,G2250,I2250)</f>
        <v>1099</v>
      </c>
      <c r="L2250" s="9" t="str">
        <f aca="false">IF(E2250=K2250,"5000m",IF(G2250=K2250,"3000mSC","1500m"))</f>
        <v>3000mSC</v>
      </c>
      <c r="M2250" s="14" t="n">
        <f aca="false">(D2250&lt;&gt;"")*(D2250&lt;=($E$3*60+$F$3)/86400)+(F2250&lt;&gt;"")*(F2250&lt;=($I$3*60+$J$3)/86400)+(H2250&lt;&gt;"")*(H2250&lt;=($M$3*60+$N$3)/86400)</f>
        <v>0</v>
      </c>
      <c r="N2250" s="16"/>
      <c r="O2250" s="15"/>
    </row>
    <row r="2251" customFormat="false" ht="15" hidden="false" customHeight="false" outlineLevel="0" collapsed="false">
      <c r="A2251" s="9" t="n">
        <v>2245</v>
      </c>
      <c r="B2251" s="10" t="s">
        <v>3193</v>
      </c>
      <c r="C2251" s="10" t="s">
        <v>1819</v>
      </c>
      <c r="D2251" s="11"/>
      <c r="E2251" s="12"/>
      <c r="F2251" s="11"/>
      <c r="G2251" s="12"/>
      <c r="H2251" s="11" t="n">
        <v>0.00292025462962963</v>
      </c>
      <c r="I2251" s="12" t="n">
        <v>1099</v>
      </c>
      <c r="J2251" s="12" t="n">
        <f aca="false">COUNT(E2251,G2251,I2251)</f>
        <v>1</v>
      </c>
      <c r="K2251" s="13" t="n">
        <f aca="false">MIN(E2251,G2251,I2251)</f>
        <v>1099</v>
      </c>
      <c r="L2251" s="9" t="str">
        <f aca="false">IF(E2251=K2251,"5000m",IF(G2251=K2251,"3000mSC","1500m"))</f>
        <v>1500m</v>
      </c>
      <c r="M2251" s="14" t="n">
        <f aca="false">(D2251&lt;&gt;"")*(D2251&lt;=($E$3*60+$F$3)/86400)+(F2251&lt;&gt;"")*(F2251&lt;=($I$3*60+$J$3)/86400)+(H2251&lt;&gt;"")*(H2251&lt;=($M$3*60+$N$3)/86400)</f>
        <v>0</v>
      </c>
      <c r="N2251" s="16"/>
      <c r="O2251" s="15"/>
    </row>
    <row r="2252" customFormat="false" ht="15" hidden="false" customHeight="false" outlineLevel="0" collapsed="false">
      <c r="A2252" s="9" t="n">
        <v>2246</v>
      </c>
      <c r="B2252" s="10" t="s">
        <v>3194</v>
      </c>
      <c r="C2252" s="10" t="s">
        <v>3195</v>
      </c>
      <c r="D2252" s="11" t="n">
        <v>0.0110045138888889</v>
      </c>
      <c r="E2252" s="12" t="n">
        <v>1100</v>
      </c>
      <c r="F2252" s="11"/>
      <c r="G2252" s="12"/>
      <c r="H2252" s="11"/>
      <c r="I2252" s="12"/>
      <c r="J2252" s="12" t="n">
        <f aca="false">COUNT(E2252,G2252,I2252)</f>
        <v>1</v>
      </c>
      <c r="K2252" s="13" t="n">
        <f aca="false">MIN(E2252,G2252,I2252)</f>
        <v>1100</v>
      </c>
      <c r="L2252" s="9" t="str">
        <f aca="false">IF(E2252=K2252,"5000m",IF(G2252=K2252,"3000mSC","1500m"))</f>
        <v>5000m</v>
      </c>
      <c r="M2252" s="14" t="n">
        <f aca="false">(D2252&lt;&gt;"")*(D2252&lt;=($E$3*60+$F$3)/86400)+(F2252&lt;&gt;"")*(F2252&lt;=($I$3*60+$J$3)/86400)+(H2252&lt;&gt;"")*(H2252&lt;=($M$3*60+$N$3)/86400)</f>
        <v>0</v>
      </c>
      <c r="N2252" s="16"/>
      <c r="O2252" s="15"/>
    </row>
    <row r="2253" customFormat="false" ht="25.35" hidden="false" customHeight="false" outlineLevel="0" collapsed="false">
      <c r="A2253" s="9" t="n">
        <v>2247</v>
      </c>
      <c r="B2253" s="10" t="s">
        <v>3196</v>
      </c>
      <c r="C2253" s="10" t="s">
        <v>2285</v>
      </c>
      <c r="D2253" s="11"/>
      <c r="E2253" s="12"/>
      <c r="F2253" s="11" t="n">
        <v>0.0077318287037037</v>
      </c>
      <c r="G2253" s="12" t="n">
        <v>1100</v>
      </c>
      <c r="H2253" s="11"/>
      <c r="I2253" s="12"/>
      <c r="J2253" s="12" t="n">
        <f aca="false">COUNT(E2253,G2253,I2253)</f>
        <v>1</v>
      </c>
      <c r="K2253" s="13" t="n">
        <f aca="false">MIN(E2253,G2253,I2253)</f>
        <v>1100</v>
      </c>
      <c r="L2253" s="9" t="str">
        <f aca="false">IF(E2253=K2253,"5000m",IF(G2253=K2253,"3000mSC","1500m"))</f>
        <v>3000mSC</v>
      </c>
      <c r="M2253" s="14" t="n">
        <f aca="false">(D2253&lt;&gt;"")*(D2253&lt;=($E$3*60+$F$3)/86400)+(F2253&lt;&gt;"")*(F2253&lt;=($I$3*60+$J$3)/86400)+(H2253&lt;&gt;"")*(H2253&lt;=($M$3*60+$N$3)/86400)</f>
        <v>0</v>
      </c>
      <c r="N2253" s="16"/>
      <c r="O2253" s="15"/>
    </row>
    <row r="2254" customFormat="false" ht="25.35" hidden="false" customHeight="false" outlineLevel="0" collapsed="false">
      <c r="A2254" s="9" t="n">
        <v>2248</v>
      </c>
      <c r="B2254" s="10" t="s">
        <v>3197</v>
      </c>
      <c r="C2254" s="10" t="s">
        <v>1849</v>
      </c>
      <c r="D2254" s="11"/>
      <c r="E2254" s="12"/>
      <c r="F2254" s="11" t="n">
        <v>0.00773206018518519</v>
      </c>
      <c r="G2254" s="12" t="n">
        <v>1101</v>
      </c>
      <c r="H2254" s="11"/>
      <c r="I2254" s="12"/>
      <c r="J2254" s="12" t="n">
        <f aca="false">COUNT(E2254,G2254,I2254)</f>
        <v>1</v>
      </c>
      <c r="K2254" s="13" t="n">
        <f aca="false">MIN(E2254,G2254,I2254)</f>
        <v>1101</v>
      </c>
      <c r="L2254" s="9" t="str">
        <f aca="false">IF(E2254=K2254,"5000m",IF(G2254=K2254,"3000mSC","1500m"))</f>
        <v>3000mSC</v>
      </c>
      <c r="M2254" s="14" t="n">
        <f aca="false">(D2254&lt;&gt;"")*(D2254&lt;=($E$3*60+$F$3)/86400)+(F2254&lt;&gt;"")*(F2254&lt;=($I$3*60+$J$3)/86400)+(H2254&lt;&gt;"")*(H2254&lt;=($M$3*60+$N$3)/86400)</f>
        <v>0</v>
      </c>
      <c r="N2254" s="16"/>
      <c r="O2254" s="15"/>
    </row>
    <row r="2255" customFormat="false" ht="15" hidden="false" customHeight="false" outlineLevel="0" collapsed="false">
      <c r="A2255" s="9" t="n">
        <v>2249</v>
      </c>
      <c r="B2255" s="10" t="s">
        <v>3198</v>
      </c>
      <c r="C2255" s="10" t="s">
        <v>505</v>
      </c>
      <c r="D2255" s="11"/>
      <c r="E2255" s="12"/>
      <c r="F2255" s="11"/>
      <c r="G2255" s="12"/>
      <c r="H2255" s="11" t="n">
        <v>0.00292025462962963</v>
      </c>
      <c r="I2255" s="12" t="n">
        <v>1101</v>
      </c>
      <c r="J2255" s="12" t="n">
        <f aca="false">COUNT(E2255,G2255,I2255)</f>
        <v>1</v>
      </c>
      <c r="K2255" s="13" t="n">
        <f aca="false">MIN(E2255,G2255,I2255)</f>
        <v>1101</v>
      </c>
      <c r="L2255" s="9" t="str">
        <f aca="false">IF(E2255=K2255,"5000m",IF(G2255=K2255,"3000mSC","1500m"))</f>
        <v>1500m</v>
      </c>
      <c r="M2255" s="14" t="n">
        <f aca="false">(D2255&lt;&gt;"")*(D2255&lt;=($E$3*60+$F$3)/86400)+(F2255&lt;&gt;"")*(F2255&lt;=($I$3*60+$J$3)/86400)+(H2255&lt;&gt;"")*(H2255&lt;=($M$3*60+$N$3)/86400)</f>
        <v>0</v>
      </c>
      <c r="N2255" s="16"/>
      <c r="O2255" s="15"/>
    </row>
    <row r="2256" customFormat="false" ht="15" hidden="false" customHeight="false" outlineLevel="0" collapsed="false">
      <c r="A2256" s="9" t="n">
        <v>2250</v>
      </c>
      <c r="B2256" s="10" t="s">
        <v>3199</v>
      </c>
      <c r="C2256" s="10" t="s">
        <v>3200</v>
      </c>
      <c r="D2256" s="11" t="n">
        <v>0.0110052083333333</v>
      </c>
      <c r="E2256" s="12" t="n">
        <v>1102</v>
      </c>
      <c r="F2256" s="11"/>
      <c r="G2256" s="12"/>
      <c r="H2256" s="11" t="n">
        <v>0.00296041666666667</v>
      </c>
      <c r="I2256" s="12" t="n">
        <v>1274</v>
      </c>
      <c r="J2256" s="12" t="n">
        <f aca="false">COUNT(E2256,G2256,I2256)</f>
        <v>2</v>
      </c>
      <c r="K2256" s="13" t="n">
        <f aca="false">MIN(E2256,G2256,I2256)</f>
        <v>1102</v>
      </c>
      <c r="L2256" s="9" t="str">
        <f aca="false">IF(E2256=K2256,"5000m",IF(G2256=K2256,"3000mSC","1500m"))</f>
        <v>5000m</v>
      </c>
      <c r="M2256" s="14" t="n">
        <f aca="false">(D2256&lt;&gt;"")*(D2256&lt;=($E$3*60+$F$3)/86400)+(F2256&lt;&gt;"")*(F2256&lt;=($I$3*60+$J$3)/86400)+(H2256&lt;&gt;"")*(H2256&lt;=($M$3*60+$N$3)/86400)</f>
        <v>0</v>
      </c>
      <c r="N2256" s="16"/>
      <c r="O2256" s="15"/>
    </row>
    <row r="2257" customFormat="false" ht="25.35" hidden="false" customHeight="false" outlineLevel="0" collapsed="false">
      <c r="A2257" s="9" t="n">
        <v>2251</v>
      </c>
      <c r="B2257" s="10" t="s">
        <v>3201</v>
      </c>
      <c r="C2257" s="10" t="s">
        <v>3202</v>
      </c>
      <c r="D2257" s="11"/>
      <c r="E2257" s="12"/>
      <c r="F2257" s="11" t="n">
        <v>0.00773298611111111</v>
      </c>
      <c r="G2257" s="12" t="n">
        <v>1102</v>
      </c>
      <c r="H2257" s="11"/>
      <c r="I2257" s="12"/>
      <c r="J2257" s="12" t="n">
        <f aca="false">COUNT(E2257,G2257,I2257)</f>
        <v>1</v>
      </c>
      <c r="K2257" s="13" t="n">
        <f aca="false">MIN(E2257,G2257,I2257)</f>
        <v>1102</v>
      </c>
      <c r="L2257" s="9" t="str">
        <f aca="false">IF(E2257=K2257,"5000m",IF(G2257=K2257,"3000mSC","1500m"))</f>
        <v>3000mSC</v>
      </c>
      <c r="M2257" s="14" t="n">
        <f aca="false">(D2257&lt;&gt;"")*(D2257&lt;=($E$3*60+$F$3)/86400)+(F2257&lt;&gt;"")*(F2257&lt;=($I$3*60+$J$3)/86400)+(H2257&lt;&gt;"")*(H2257&lt;=($M$3*60+$N$3)/86400)</f>
        <v>0</v>
      </c>
      <c r="N2257" s="16"/>
      <c r="O2257" s="15"/>
    </row>
    <row r="2258" customFormat="false" ht="25.35" hidden="false" customHeight="false" outlineLevel="0" collapsed="false">
      <c r="A2258" s="9" t="n">
        <v>2252</v>
      </c>
      <c r="B2258" s="10" t="s">
        <v>3203</v>
      </c>
      <c r="C2258" s="10" t="s">
        <v>1219</v>
      </c>
      <c r="D2258" s="11"/>
      <c r="E2258" s="12"/>
      <c r="F2258" s="11" t="n">
        <v>0.00773622685185185</v>
      </c>
      <c r="G2258" s="12" t="n">
        <v>1103</v>
      </c>
      <c r="H2258" s="11"/>
      <c r="I2258" s="12"/>
      <c r="J2258" s="12" t="n">
        <f aca="false">COUNT(E2258,G2258,I2258)</f>
        <v>1</v>
      </c>
      <c r="K2258" s="13" t="n">
        <f aca="false">MIN(E2258,G2258,I2258)</f>
        <v>1103</v>
      </c>
      <c r="L2258" s="9" t="str">
        <f aca="false">IF(E2258=K2258,"5000m",IF(G2258=K2258,"3000mSC","1500m"))</f>
        <v>3000mSC</v>
      </c>
      <c r="M2258" s="14" t="n">
        <f aca="false">(D2258&lt;&gt;"")*(D2258&lt;=($E$3*60+$F$3)/86400)+(F2258&lt;&gt;"")*(F2258&lt;=($I$3*60+$J$3)/86400)+(H2258&lt;&gt;"")*(H2258&lt;=($M$3*60+$N$3)/86400)</f>
        <v>0</v>
      </c>
      <c r="N2258" s="16"/>
      <c r="O2258" s="15"/>
    </row>
    <row r="2259" customFormat="false" ht="15" hidden="false" customHeight="false" outlineLevel="0" collapsed="false">
      <c r="A2259" s="9" t="n">
        <v>2253</v>
      </c>
      <c r="B2259" s="10" t="s">
        <v>3204</v>
      </c>
      <c r="C2259" s="10" t="s">
        <v>290</v>
      </c>
      <c r="D2259" s="11"/>
      <c r="E2259" s="12"/>
      <c r="F2259" s="11"/>
      <c r="G2259" s="12"/>
      <c r="H2259" s="11" t="n">
        <v>0.00292025462962963</v>
      </c>
      <c r="I2259" s="12" t="n">
        <v>1103</v>
      </c>
      <c r="J2259" s="12" t="n">
        <f aca="false">COUNT(E2259,G2259,I2259)</f>
        <v>1</v>
      </c>
      <c r="K2259" s="13" t="n">
        <f aca="false">MIN(E2259,G2259,I2259)</f>
        <v>1103</v>
      </c>
      <c r="L2259" s="9" t="str">
        <f aca="false">IF(E2259=K2259,"5000m",IF(G2259=K2259,"3000mSC","1500m"))</f>
        <v>1500m</v>
      </c>
      <c r="M2259" s="14" t="n">
        <f aca="false">(D2259&lt;&gt;"")*(D2259&lt;=($E$3*60+$F$3)/86400)+(F2259&lt;&gt;"")*(F2259&lt;=($I$3*60+$J$3)/86400)+(H2259&lt;&gt;"")*(H2259&lt;=($M$3*60+$N$3)/86400)</f>
        <v>0</v>
      </c>
      <c r="N2259" s="16"/>
      <c r="O2259" s="15"/>
    </row>
    <row r="2260" customFormat="false" ht="25.35" hidden="false" customHeight="false" outlineLevel="0" collapsed="false">
      <c r="A2260" s="9" t="n">
        <v>2254</v>
      </c>
      <c r="B2260" s="10" t="s">
        <v>3205</v>
      </c>
      <c r="C2260" s="10" t="s">
        <v>3206</v>
      </c>
      <c r="D2260" s="11"/>
      <c r="E2260" s="12"/>
      <c r="F2260" s="11" t="n">
        <v>0.00773912037037037</v>
      </c>
      <c r="G2260" s="12" t="n">
        <v>1104</v>
      </c>
      <c r="H2260" s="11"/>
      <c r="I2260" s="12"/>
      <c r="J2260" s="12" t="n">
        <f aca="false">COUNT(E2260,G2260,I2260)</f>
        <v>1</v>
      </c>
      <c r="K2260" s="13" t="n">
        <f aca="false">MIN(E2260,G2260,I2260)</f>
        <v>1104</v>
      </c>
      <c r="L2260" s="9" t="str">
        <f aca="false">IF(E2260=K2260,"5000m",IF(G2260=K2260,"3000mSC","1500m"))</f>
        <v>3000mSC</v>
      </c>
      <c r="M2260" s="14" t="n">
        <f aca="false">(D2260&lt;&gt;"")*(D2260&lt;=($E$3*60+$F$3)/86400)+(F2260&lt;&gt;"")*(F2260&lt;=($I$3*60+$J$3)/86400)+(H2260&lt;&gt;"")*(H2260&lt;=($M$3*60+$N$3)/86400)</f>
        <v>0</v>
      </c>
      <c r="N2260" s="16"/>
      <c r="O2260" s="15"/>
    </row>
    <row r="2261" customFormat="false" ht="15" hidden="false" customHeight="false" outlineLevel="0" collapsed="false">
      <c r="A2261" s="9" t="n">
        <v>2255</v>
      </c>
      <c r="B2261" s="10" t="s">
        <v>3207</v>
      </c>
      <c r="C2261" s="10" t="s">
        <v>2517</v>
      </c>
      <c r="D2261" s="11"/>
      <c r="E2261" s="12"/>
      <c r="F2261" s="11"/>
      <c r="G2261" s="12"/>
      <c r="H2261" s="11" t="n">
        <v>0.00292037037037037</v>
      </c>
      <c r="I2261" s="12" t="n">
        <v>1104</v>
      </c>
      <c r="J2261" s="12" t="n">
        <f aca="false">COUNT(E2261,G2261,I2261)</f>
        <v>1</v>
      </c>
      <c r="K2261" s="13" t="n">
        <f aca="false">MIN(E2261,G2261,I2261)</f>
        <v>1104</v>
      </c>
      <c r="L2261" s="9" t="str">
        <f aca="false">IF(E2261=K2261,"5000m",IF(G2261=K2261,"3000mSC","1500m"))</f>
        <v>1500m</v>
      </c>
      <c r="M2261" s="14" t="n">
        <f aca="false">(D2261&lt;&gt;"")*(D2261&lt;=($E$3*60+$F$3)/86400)+(F2261&lt;&gt;"")*(F2261&lt;=($I$3*60+$J$3)/86400)+(H2261&lt;&gt;"")*(H2261&lt;=($M$3*60+$N$3)/86400)</f>
        <v>0</v>
      </c>
      <c r="N2261" s="16"/>
      <c r="O2261" s="15"/>
    </row>
    <row r="2262" customFormat="false" ht="15" hidden="false" customHeight="false" outlineLevel="0" collapsed="false">
      <c r="A2262" s="9" t="n">
        <v>2256</v>
      </c>
      <c r="B2262" s="10" t="s">
        <v>3208</v>
      </c>
      <c r="C2262" s="10" t="s">
        <v>612</v>
      </c>
      <c r="D2262" s="11" t="n">
        <v>0.0110074074074074</v>
      </c>
      <c r="E2262" s="12" t="n">
        <v>1105</v>
      </c>
      <c r="F2262" s="11"/>
      <c r="G2262" s="12"/>
      <c r="H2262" s="11"/>
      <c r="I2262" s="12"/>
      <c r="J2262" s="12" t="n">
        <f aca="false">COUNT(E2262,G2262,I2262)</f>
        <v>1</v>
      </c>
      <c r="K2262" s="13" t="n">
        <f aca="false">MIN(E2262,G2262,I2262)</f>
        <v>1105</v>
      </c>
      <c r="L2262" s="9" t="str">
        <f aca="false">IF(E2262=K2262,"5000m",IF(G2262=K2262,"3000mSC","1500m"))</f>
        <v>5000m</v>
      </c>
      <c r="M2262" s="14" t="n">
        <f aca="false">(D2262&lt;&gt;"")*(D2262&lt;=($E$3*60+$F$3)/86400)+(F2262&lt;&gt;"")*(F2262&lt;=($I$3*60+$J$3)/86400)+(H2262&lt;&gt;"")*(H2262&lt;=($M$3*60+$N$3)/86400)</f>
        <v>0</v>
      </c>
      <c r="N2262" s="16"/>
      <c r="O2262" s="15"/>
    </row>
    <row r="2263" customFormat="false" ht="25.35" hidden="false" customHeight="false" outlineLevel="0" collapsed="false">
      <c r="A2263" s="9" t="n">
        <v>2257</v>
      </c>
      <c r="B2263" s="10" t="s">
        <v>3209</v>
      </c>
      <c r="C2263" s="10" t="s">
        <v>769</v>
      </c>
      <c r="D2263" s="11"/>
      <c r="E2263" s="12"/>
      <c r="F2263" s="11" t="n">
        <v>0.00774155092592593</v>
      </c>
      <c r="G2263" s="12" t="n">
        <v>1105</v>
      </c>
      <c r="H2263" s="11"/>
      <c r="I2263" s="12"/>
      <c r="J2263" s="12" t="n">
        <f aca="false">COUNT(E2263,G2263,I2263)</f>
        <v>1</v>
      </c>
      <c r="K2263" s="13" t="n">
        <f aca="false">MIN(E2263,G2263,I2263)</f>
        <v>1105</v>
      </c>
      <c r="L2263" s="9" t="str">
        <f aca="false">IF(E2263=K2263,"5000m",IF(G2263=K2263,"3000mSC","1500m"))</f>
        <v>3000mSC</v>
      </c>
      <c r="M2263" s="14" t="n">
        <f aca="false">(D2263&lt;&gt;"")*(D2263&lt;=($E$3*60+$F$3)/86400)+(F2263&lt;&gt;"")*(F2263&lt;=($I$3*60+$J$3)/86400)+(H2263&lt;&gt;"")*(H2263&lt;=($M$3*60+$N$3)/86400)</f>
        <v>0</v>
      </c>
      <c r="N2263" s="16"/>
      <c r="O2263" s="15"/>
    </row>
    <row r="2264" customFormat="false" ht="15" hidden="false" customHeight="false" outlineLevel="0" collapsed="false">
      <c r="A2264" s="9" t="n">
        <v>2258</v>
      </c>
      <c r="B2264" s="10" t="s">
        <v>3210</v>
      </c>
      <c r="C2264" s="10" t="s">
        <v>188</v>
      </c>
      <c r="D2264" s="11" t="n">
        <v>0.0110075231481482</v>
      </c>
      <c r="E2264" s="12" t="n">
        <v>1106</v>
      </c>
      <c r="F2264" s="11"/>
      <c r="G2264" s="12"/>
      <c r="H2264" s="11"/>
      <c r="I2264" s="12"/>
      <c r="J2264" s="12" t="n">
        <f aca="false">COUNT(E2264,G2264,I2264)</f>
        <v>1</v>
      </c>
      <c r="K2264" s="13" t="n">
        <f aca="false">MIN(E2264,G2264,I2264)</f>
        <v>1106</v>
      </c>
      <c r="L2264" s="9" t="str">
        <f aca="false">IF(E2264=K2264,"5000m",IF(G2264=K2264,"3000mSC","1500m"))</f>
        <v>5000m</v>
      </c>
      <c r="M2264" s="14" t="n">
        <f aca="false">(D2264&lt;&gt;"")*(D2264&lt;=($E$3*60+$F$3)/86400)+(F2264&lt;&gt;"")*(F2264&lt;=($I$3*60+$J$3)/86400)+(H2264&lt;&gt;"")*(H2264&lt;=($M$3*60+$N$3)/86400)</f>
        <v>0</v>
      </c>
      <c r="N2264" s="16"/>
      <c r="O2264" s="15"/>
    </row>
    <row r="2265" customFormat="false" ht="25.35" hidden="false" customHeight="false" outlineLevel="0" collapsed="false">
      <c r="A2265" s="9" t="n">
        <v>2259</v>
      </c>
      <c r="B2265" s="10" t="s">
        <v>3211</v>
      </c>
      <c r="C2265" s="10" t="s">
        <v>1942</v>
      </c>
      <c r="D2265" s="11"/>
      <c r="E2265" s="12"/>
      <c r="F2265" s="11" t="n">
        <v>0.00774282407407408</v>
      </c>
      <c r="G2265" s="12" t="n">
        <v>1106</v>
      </c>
      <c r="H2265" s="11"/>
      <c r="I2265" s="12"/>
      <c r="J2265" s="12" t="n">
        <f aca="false">COUNT(E2265,G2265,I2265)</f>
        <v>1</v>
      </c>
      <c r="K2265" s="13" t="n">
        <f aca="false">MIN(E2265,G2265,I2265)</f>
        <v>1106</v>
      </c>
      <c r="L2265" s="9" t="str">
        <f aca="false">IF(E2265=K2265,"5000m",IF(G2265=K2265,"3000mSC","1500m"))</f>
        <v>3000mSC</v>
      </c>
      <c r="M2265" s="14" t="n">
        <f aca="false">(D2265&lt;&gt;"")*(D2265&lt;=($E$3*60+$F$3)/86400)+(F2265&lt;&gt;"")*(F2265&lt;=($I$3*60+$J$3)/86400)+(H2265&lt;&gt;"")*(H2265&lt;=($M$3*60+$N$3)/86400)</f>
        <v>0</v>
      </c>
      <c r="N2265" s="16"/>
      <c r="O2265" s="15"/>
    </row>
    <row r="2266" customFormat="false" ht="15" hidden="false" customHeight="false" outlineLevel="0" collapsed="false">
      <c r="A2266" s="9" t="n">
        <v>2260</v>
      </c>
      <c r="B2266" s="10" t="s">
        <v>3212</v>
      </c>
      <c r="C2266" s="10" t="s">
        <v>445</v>
      </c>
      <c r="D2266" s="11" t="n">
        <v>0.0110081018518519</v>
      </c>
      <c r="E2266" s="12" t="n">
        <v>1107</v>
      </c>
      <c r="F2266" s="11"/>
      <c r="G2266" s="12"/>
      <c r="H2266" s="11"/>
      <c r="I2266" s="12"/>
      <c r="J2266" s="12" t="n">
        <f aca="false">COUNT(E2266,G2266,I2266)</f>
        <v>1</v>
      </c>
      <c r="K2266" s="13" t="n">
        <f aca="false">MIN(E2266,G2266,I2266)</f>
        <v>1107</v>
      </c>
      <c r="L2266" s="9" t="str">
        <f aca="false">IF(E2266=K2266,"5000m",IF(G2266=K2266,"3000mSC","1500m"))</f>
        <v>5000m</v>
      </c>
      <c r="M2266" s="14" t="n">
        <f aca="false">(D2266&lt;&gt;"")*(D2266&lt;=($E$3*60+$F$3)/86400)+(F2266&lt;&gt;"")*(F2266&lt;=($I$3*60+$J$3)/86400)+(H2266&lt;&gt;"")*(H2266&lt;=($M$3*60+$N$3)/86400)</f>
        <v>0</v>
      </c>
      <c r="N2266" s="16"/>
      <c r="O2266" s="15"/>
    </row>
    <row r="2267" customFormat="false" ht="25.35" hidden="false" customHeight="false" outlineLevel="0" collapsed="false">
      <c r="A2267" s="9" t="n">
        <v>2261</v>
      </c>
      <c r="B2267" s="10" t="s">
        <v>3213</v>
      </c>
      <c r="C2267" s="10" t="s">
        <v>3214</v>
      </c>
      <c r="D2267" s="11"/>
      <c r="E2267" s="12"/>
      <c r="F2267" s="11" t="n">
        <v>0.00774375</v>
      </c>
      <c r="G2267" s="12" t="n">
        <v>1107</v>
      </c>
      <c r="H2267" s="11"/>
      <c r="I2267" s="12"/>
      <c r="J2267" s="12" t="n">
        <f aca="false">COUNT(E2267,G2267,I2267)</f>
        <v>1</v>
      </c>
      <c r="K2267" s="13" t="n">
        <f aca="false">MIN(E2267,G2267,I2267)</f>
        <v>1107</v>
      </c>
      <c r="L2267" s="9" t="str">
        <f aca="false">IF(E2267=K2267,"5000m",IF(G2267=K2267,"3000mSC","1500m"))</f>
        <v>3000mSC</v>
      </c>
      <c r="M2267" s="14" t="n">
        <f aca="false">(D2267&lt;&gt;"")*(D2267&lt;=($E$3*60+$F$3)/86400)+(F2267&lt;&gt;"")*(F2267&lt;=($I$3*60+$J$3)/86400)+(H2267&lt;&gt;"")*(H2267&lt;=($M$3*60+$N$3)/86400)</f>
        <v>0</v>
      </c>
      <c r="N2267" s="16"/>
      <c r="O2267" s="15"/>
    </row>
    <row r="2268" customFormat="false" ht="25.35" hidden="false" customHeight="false" outlineLevel="0" collapsed="false">
      <c r="A2268" s="9" t="n">
        <v>2262</v>
      </c>
      <c r="B2268" s="10" t="s">
        <v>3215</v>
      </c>
      <c r="C2268" s="10" t="s">
        <v>3216</v>
      </c>
      <c r="D2268" s="11"/>
      <c r="E2268" s="12"/>
      <c r="F2268" s="11" t="n">
        <v>0.00774398148148148</v>
      </c>
      <c r="G2268" s="12" t="n">
        <v>1108</v>
      </c>
      <c r="H2268" s="11"/>
      <c r="I2268" s="12"/>
      <c r="J2268" s="12" t="n">
        <f aca="false">COUNT(E2268,G2268,I2268)</f>
        <v>1</v>
      </c>
      <c r="K2268" s="13" t="n">
        <f aca="false">MIN(E2268,G2268,I2268)</f>
        <v>1108</v>
      </c>
      <c r="L2268" s="9" t="str">
        <f aca="false">IF(E2268=K2268,"5000m",IF(G2268=K2268,"3000mSC","1500m"))</f>
        <v>3000mSC</v>
      </c>
      <c r="M2268" s="14" t="n">
        <f aca="false">(D2268&lt;&gt;"")*(D2268&lt;=($E$3*60+$F$3)/86400)+(F2268&lt;&gt;"")*(F2268&lt;=($I$3*60+$J$3)/86400)+(H2268&lt;&gt;"")*(H2268&lt;=($M$3*60+$N$3)/86400)</f>
        <v>0</v>
      </c>
      <c r="N2268" s="16"/>
      <c r="O2268" s="15"/>
    </row>
    <row r="2269" customFormat="false" ht="15" hidden="false" customHeight="false" outlineLevel="0" collapsed="false">
      <c r="A2269" s="9" t="n">
        <v>2263</v>
      </c>
      <c r="B2269" s="10" t="s">
        <v>3217</v>
      </c>
      <c r="C2269" s="10" t="s">
        <v>3218</v>
      </c>
      <c r="D2269" s="11"/>
      <c r="E2269" s="12"/>
      <c r="F2269" s="11"/>
      <c r="G2269" s="12"/>
      <c r="H2269" s="11" t="n">
        <v>0.00292106481481482</v>
      </c>
      <c r="I2269" s="12" t="n">
        <v>1108</v>
      </c>
      <c r="J2269" s="12" t="n">
        <f aca="false">COUNT(E2269,G2269,I2269)</f>
        <v>1</v>
      </c>
      <c r="K2269" s="13" t="n">
        <f aca="false">MIN(E2269,G2269,I2269)</f>
        <v>1108</v>
      </c>
      <c r="L2269" s="9" t="str">
        <f aca="false">IF(E2269=K2269,"5000m",IF(G2269=K2269,"3000mSC","1500m"))</f>
        <v>1500m</v>
      </c>
      <c r="M2269" s="14" t="n">
        <f aca="false">(D2269&lt;&gt;"")*(D2269&lt;=($E$3*60+$F$3)/86400)+(F2269&lt;&gt;"")*(F2269&lt;=($I$3*60+$J$3)/86400)+(H2269&lt;&gt;"")*(H2269&lt;=($M$3*60+$N$3)/86400)</f>
        <v>0</v>
      </c>
      <c r="N2269" s="16"/>
      <c r="O2269" s="15"/>
    </row>
    <row r="2270" customFormat="false" ht="15" hidden="false" customHeight="false" outlineLevel="0" collapsed="false">
      <c r="A2270" s="9" t="n">
        <v>2264</v>
      </c>
      <c r="B2270" s="10" t="s">
        <v>3219</v>
      </c>
      <c r="C2270" s="10" t="s">
        <v>277</v>
      </c>
      <c r="D2270" s="11" t="n">
        <v>0.0110094907407407</v>
      </c>
      <c r="E2270" s="12" t="n">
        <v>1109</v>
      </c>
      <c r="F2270" s="11"/>
      <c r="G2270" s="12"/>
      <c r="H2270" s="11"/>
      <c r="I2270" s="12"/>
      <c r="J2270" s="12" t="n">
        <f aca="false">COUNT(E2270,G2270,I2270)</f>
        <v>1</v>
      </c>
      <c r="K2270" s="13" t="n">
        <f aca="false">MIN(E2270,G2270,I2270)</f>
        <v>1109</v>
      </c>
      <c r="L2270" s="9" t="str">
        <f aca="false">IF(E2270=K2270,"5000m",IF(G2270=K2270,"3000mSC","1500m"))</f>
        <v>5000m</v>
      </c>
      <c r="M2270" s="14" t="n">
        <f aca="false">(D2270&lt;&gt;"")*(D2270&lt;=($E$3*60+$F$3)/86400)+(F2270&lt;&gt;"")*(F2270&lt;=($I$3*60+$J$3)/86400)+(H2270&lt;&gt;"")*(H2270&lt;=($M$3*60+$N$3)/86400)</f>
        <v>0</v>
      </c>
      <c r="N2270" s="16"/>
      <c r="O2270" s="15"/>
    </row>
    <row r="2271" customFormat="false" ht="25.35" hidden="false" customHeight="false" outlineLevel="0" collapsed="false">
      <c r="A2271" s="9" t="n">
        <v>2265</v>
      </c>
      <c r="B2271" s="10" t="s">
        <v>3220</v>
      </c>
      <c r="C2271" s="10" t="s">
        <v>60</v>
      </c>
      <c r="D2271" s="11"/>
      <c r="E2271" s="12"/>
      <c r="F2271" s="11" t="n">
        <v>0.00774525462962963</v>
      </c>
      <c r="G2271" s="12" t="n">
        <v>1109</v>
      </c>
      <c r="H2271" s="11"/>
      <c r="I2271" s="12"/>
      <c r="J2271" s="12" t="n">
        <f aca="false">COUNT(E2271,G2271,I2271)</f>
        <v>1</v>
      </c>
      <c r="K2271" s="13" t="n">
        <f aca="false">MIN(E2271,G2271,I2271)</f>
        <v>1109</v>
      </c>
      <c r="L2271" s="9" t="str">
        <f aca="false">IF(E2271=K2271,"5000m",IF(G2271=K2271,"3000mSC","1500m"))</f>
        <v>3000mSC</v>
      </c>
      <c r="M2271" s="14" t="n">
        <f aca="false">(D2271&lt;&gt;"")*(D2271&lt;=($E$3*60+$F$3)/86400)+(F2271&lt;&gt;"")*(F2271&lt;=($I$3*60+$J$3)/86400)+(H2271&lt;&gt;"")*(H2271&lt;=($M$3*60+$N$3)/86400)</f>
        <v>0</v>
      </c>
      <c r="N2271" s="16"/>
      <c r="O2271" s="15"/>
    </row>
    <row r="2272" customFormat="false" ht="15" hidden="false" customHeight="false" outlineLevel="0" collapsed="false">
      <c r="A2272" s="9" t="n">
        <v>2266</v>
      </c>
      <c r="B2272" s="10" t="s">
        <v>3221</v>
      </c>
      <c r="C2272" s="10" t="s">
        <v>3222</v>
      </c>
      <c r="D2272" s="11"/>
      <c r="E2272" s="12"/>
      <c r="F2272" s="11"/>
      <c r="G2272" s="12"/>
      <c r="H2272" s="11" t="n">
        <v>0.00292118055555556</v>
      </c>
      <c r="I2272" s="12" t="n">
        <v>1109</v>
      </c>
      <c r="J2272" s="12" t="n">
        <f aca="false">COUNT(E2272,G2272,I2272)</f>
        <v>1</v>
      </c>
      <c r="K2272" s="13" t="n">
        <f aca="false">MIN(E2272,G2272,I2272)</f>
        <v>1109</v>
      </c>
      <c r="L2272" s="9" t="str">
        <f aca="false">IF(E2272=K2272,"5000m",IF(G2272=K2272,"3000mSC","1500m"))</f>
        <v>1500m</v>
      </c>
      <c r="M2272" s="14" t="n">
        <f aca="false">(D2272&lt;&gt;"")*(D2272&lt;=($E$3*60+$F$3)/86400)+(F2272&lt;&gt;"")*(F2272&lt;=($I$3*60+$J$3)/86400)+(H2272&lt;&gt;"")*(H2272&lt;=($M$3*60+$N$3)/86400)</f>
        <v>0</v>
      </c>
      <c r="N2272" s="16"/>
      <c r="O2272" s="15"/>
    </row>
    <row r="2273" customFormat="false" ht="25.35" hidden="false" customHeight="false" outlineLevel="0" collapsed="false">
      <c r="A2273" s="9" t="n">
        <v>2267</v>
      </c>
      <c r="B2273" s="10" t="s">
        <v>3223</v>
      </c>
      <c r="C2273" s="10" t="s">
        <v>1907</v>
      </c>
      <c r="D2273" s="11"/>
      <c r="E2273" s="12"/>
      <c r="F2273" s="11" t="n">
        <v>0.00774525462962963</v>
      </c>
      <c r="G2273" s="12" t="n">
        <v>1110</v>
      </c>
      <c r="H2273" s="11"/>
      <c r="I2273" s="12"/>
      <c r="J2273" s="12" t="n">
        <f aca="false">COUNT(E2273,G2273,I2273)</f>
        <v>1</v>
      </c>
      <c r="K2273" s="13" t="n">
        <f aca="false">MIN(E2273,G2273,I2273)</f>
        <v>1110</v>
      </c>
      <c r="L2273" s="9" t="str">
        <f aca="false">IF(E2273=K2273,"5000m",IF(G2273=K2273,"3000mSC","1500m"))</f>
        <v>3000mSC</v>
      </c>
      <c r="M2273" s="14" t="n">
        <f aca="false">(D2273&lt;&gt;"")*(D2273&lt;=($E$3*60+$F$3)/86400)+(F2273&lt;&gt;"")*(F2273&lt;=($I$3*60+$J$3)/86400)+(H2273&lt;&gt;"")*(H2273&lt;=($M$3*60+$N$3)/86400)</f>
        <v>0</v>
      </c>
      <c r="N2273" s="16"/>
      <c r="O2273" s="15"/>
    </row>
    <row r="2274" customFormat="false" ht="15" hidden="false" customHeight="false" outlineLevel="0" collapsed="false">
      <c r="A2274" s="9" t="n">
        <v>2268</v>
      </c>
      <c r="B2274" s="10" t="s">
        <v>3224</v>
      </c>
      <c r="C2274" s="10" t="s">
        <v>2457</v>
      </c>
      <c r="D2274" s="11"/>
      <c r="E2274" s="12"/>
      <c r="F2274" s="11"/>
      <c r="G2274" s="12"/>
      <c r="H2274" s="11" t="n">
        <v>0.00292141203703704</v>
      </c>
      <c r="I2274" s="12" t="n">
        <v>1110</v>
      </c>
      <c r="J2274" s="12" t="n">
        <f aca="false">COUNT(E2274,G2274,I2274)</f>
        <v>1</v>
      </c>
      <c r="K2274" s="13" t="n">
        <f aca="false">MIN(E2274,G2274,I2274)</f>
        <v>1110</v>
      </c>
      <c r="L2274" s="9" t="str">
        <f aca="false">IF(E2274=K2274,"5000m",IF(G2274=K2274,"3000mSC","1500m"))</f>
        <v>1500m</v>
      </c>
      <c r="M2274" s="14" t="n">
        <f aca="false">(D2274&lt;&gt;"")*(D2274&lt;=($E$3*60+$F$3)/86400)+(F2274&lt;&gt;"")*(F2274&lt;=($I$3*60+$J$3)/86400)+(H2274&lt;&gt;"")*(H2274&lt;=($M$3*60+$N$3)/86400)</f>
        <v>0</v>
      </c>
      <c r="N2274" s="16"/>
      <c r="O2274" s="15"/>
    </row>
    <row r="2275" customFormat="false" ht="15" hidden="false" customHeight="false" outlineLevel="0" collapsed="false">
      <c r="A2275" s="9" t="n">
        <v>2269</v>
      </c>
      <c r="B2275" s="10" t="s">
        <v>3225</v>
      </c>
      <c r="C2275" s="10" t="s">
        <v>2155</v>
      </c>
      <c r="D2275" s="11" t="n">
        <v>0.0110283564814815</v>
      </c>
      <c r="E2275" s="12" t="n">
        <v>1147</v>
      </c>
      <c r="F2275" s="11"/>
      <c r="G2275" s="12"/>
      <c r="H2275" s="11" t="n">
        <v>0.00292141203703704</v>
      </c>
      <c r="I2275" s="12" t="n">
        <v>1111</v>
      </c>
      <c r="J2275" s="12" t="n">
        <f aca="false">COUNT(E2275,G2275,I2275)</f>
        <v>2</v>
      </c>
      <c r="K2275" s="13" t="n">
        <f aca="false">MIN(E2275,G2275,I2275)</f>
        <v>1111</v>
      </c>
      <c r="L2275" s="9" t="str">
        <f aca="false">IF(E2275=K2275,"5000m",IF(G2275=K2275,"3000mSC","1500m"))</f>
        <v>1500m</v>
      </c>
      <c r="M2275" s="14" t="n">
        <f aca="false">(D2275&lt;&gt;"")*(D2275&lt;=($E$3*60+$F$3)/86400)+(F2275&lt;&gt;"")*(F2275&lt;=($I$3*60+$J$3)/86400)+(H2275&lt;&gt;"")*(H2275&lt;=($M$3*60+$N$3)/86400)</f>
        <v>0</v>
      </c>
      <c r="N2275" s="16"/>
      <c r="O2275" s="15"/>
    </row>
    <row r="2276" customFormat="false" ht="15" hidden="false" customHeight="false" outlineLevel="0" collapsed="false">
      <c r="A2276" s="9" t="n">
        <v>2270</v>
      </c>
      <c r="B2276" s="10" t="s">
        <v>3226</v>
      </c>
      <c r="C2276" s="10" t="s">
        <v>2833</v>
      </c>
      <c r="D2276" s="11" t="n">
        <v>0.0110106481481482</v>
      </c>
      <c r="E2276" s="12" t="n">
        <v>1111</v>
      </c>
      <c r="F2276" s="11"/>
      <c r="G2276" s="12"/>
      <c r="H2276" s="11"/>
      <c r="I2276" s="12"/>
      <c r="J2276" s="12" t="n">
        <f aca="false">COUNT(E2276,G2276,I2276)</f>
        <v>1</v>
      </c>
      <c r="K2276" s="13" t="n">
        <f aca="false">MIN(E2276,G2276,I2276)</f>
        <v>1111</v>
      </c>
      <c r="L2276" s="9" t="str">
        <f aca="false">IF(E2276=K2276,"5000m",IF(G2276=K2276,"3000mSC","1500m"))</f>
        <v>5000m</v>
      </c>
      <c r="M2276" s="14" t="n">
        <f aca="false">(D2276&lt;&gt;"")*(D2276&lt;=($E$3*60+$F$3)/86400)+(F2276&lt;&gt;"")*(F2276&lt;=($I$3*60+$J$3)/86400)+(H2276&lt;&gt;"")*(H2276&lt;=($M$3*60+$N$3)/86400)</f>
        <v>0</v>
      </c>
      <c r="N2276" s="16"/>
      <c r="O2276" s="15"/>
    </row>
    <row r="2277" customFormat="false" ht="25.35" hidden="false" customHeight="false" outlineLevel="0" collapsed="false">
      <c r="A2277" s="9" t="n">
        <v>2271</v>
      </c>
      <c r="B2277" s="10" t="s">
        <v>3227</v>
      </c>
      <c r="C2277" s="10" t="s">
        <v>45</v>
      </c>
      <c r="D2277" s="11"/>
      <c r="E2277" s="12"/>
      <c r="F2277" s="11" t="n">
        <v>0.00774652777777778</v>
      </c>
      <c r="G2277" s="12" t="n">
        <v>1111</v>
      </c>
      <c r="H2277" s="11"/>
      <c r="I2277" s="12"/>
      <c r="J2277" s="12" t="n">
        <f aca="false">COUNT(E2277,G2277,I2277)</f>
        <v>1</v>
      </c>
      <c r="K2277" s="13" t="n">
        <f aca="false">MIN(E2277,G2277,I2277)</f>
        <v>1111</v>
      </c>
      <c r="L2277" s="9" t="str">
        <f aca="false">IF(E2277=K2277,"5000m",IF(G2277=K2277,"3000mSC","1500m"))</f>
        <v>3000mSC</v>
      </c>
      <c r="M2277" s="14" t="n">
        <f aca="false">(D2277&lt;&gt;"")*(D2277&lt;=($E$3*60+$F$3)/86400)+(F2277&lt;&gt;"")*(F2277&lt;=($I$3*60+$J$3)/86400)+(H2277&lt;&gt;"")*(H2277&lt;=($M$3*60+$N$3)/86400)</f>
        <v>0</v>
      </c>
      <c r="N2277" s="16"/>
      <c r="O2277" s="15"/>
    </row>
    <row r="2278" customFormat="false" ht="15" hidden="false" customHeight="false" outlineLevel="0" collapsed="false">
      <c r="A2278" s="9" t="n">
        <v>2272</v>
      </c>
      <c r="B2278" s="10" t="s">
        <v>3228</v>
      </c>
      <c r="C2278" s="10" t="s">
        <v>1843</v>
      </c>
      <c r="D2278" s="11" t="n">
        <v>0.0110561342592593</v>
      </c>
      <c r="E2278" s="12" t="n">
        <v>1210</v>
      </c>
      <c r="F2278" s="11"/>
      <c r="G2278" s="12"/>
      <c r="H2278" s="11" t="n">
        <v>0.00292199074074074</v>
      </c>
      <c r="I2278" s="12" t="n">
        <v>1112</v>
      </c>
      <c r="J2278" s="12" t="n">
        <f aca="false">COUNT(E2278,G2278,I2278)</f>
        <v>2</v>
      </c>
      <c r="K2278" s="13" t="n">
        <f aca="false">MIN(E2278,G2278,I2278)</f>
        <v>1112</v>
      </c>
      <c r="L2278" s="9" t="str">
        <f aca="false">IF(E2278=K2278,"5000m",IF(G2278=K2278,"3000mSC","1500m"))</f>
        <v>1500m</v>
      </c>
      <c r="M2278" s="14" t="n">
        <f aca="false">(D2278&lt;&gt;"")*(D2278&lt;=($E$3*60+$F$3)/86400)+(F2278&lt;&gt;"")*(F2278&lt;=($I$3*60+$J$3)/86400)+(H2278&lt;&gt;"")*(H2278&lt;=($M$3*60+$N$3)/86400)</f>
        <v>0</v>
      </c>
      <c r="N2278" s="16"/>
      <c r="O2278" s="15"/>
    </row>
    <row r="2279" customFormat="false" ht="25.35" hidden="false" customHeight="false" outlineLevel="0" collapsed="false">
      <c r="A2279" s="9" t="n">
        <v>2273</v>
      </c>
      <c r="B2279" s="10" t="s">
        <v>3229</v>
      </c>
      <c r="C2279" s="10" t="s">
        <v>149</v>
      </c>
      <c r="D2279" s="11"/>
      <c r="E2279" s="12"/>
      <c r="F2279" s="11" t="n">
        <v>0.00774930555555556</v>
      </c>
      <c r="G2279" s="12" t="n">
        <v>1112</v>
      </c>
      <c r="H2279" s="11"/>
      <c r="I2279" s="12"/>
      <c r="J2279" s="12" t="n">
        <f aca="false">COUNT(E2279,G2279,I2279)</f>
        <v>1</v>
      </c>
      <c r="K2279" s="13" t="n">
        <f aca="false">MIN(E2279,G2279,I2279)</f>
        <v>1112</v>
      </c>
      <c r="L2279" s="9" t="str">
        <f aca="false">IF(E2279=K2279,"5000m",IF(G2279=K2279,"3000mSC","1500m"))</f>
        <v>3000mSC</v>
      </c>
      <c r="M2279" s="14" t="n">
        <f aca="false">(D2279&lt;&gt;"")*(D2279&lt;=($E$3*60+$F$3)/86400)+(F2279&lt;&gt;"")*(F2279&lt;=($I$3*60+$J$3)/86400)+(H2279&lt;&gt;"")*(H2279&lt;=($M$3*60+$N$3)/86400)</f>
        <v>0</v>
      </c>
      <c r="N2279" s="16"/>
      <c r="O2279" s="15"/>
    </row>
    <row r="2280" customFormat="false" ht="25.35" hidden="false" customHeight="false" outlineLevel="0" collapsed="false">
      <c r="A2280" s="9" t="n">
        <v>2274</v>
      </c>
      <c r="B2280" s="10" t="s">
        <v>3230</v>
      </c>
      <c r="C2280" s="10" t="s">
        <v>175</v>
      </c>
      <c r="D2280" s="11"/>
      <c r="E2280" s="12"/>
      <c r="F2280" s="11" t="n">
        <v>0.00775173611111111</v>
      </c>
      <c r="G2280" s="12" t="n">
        <v>1113</v>
      </c>
      <c r="H2280" s="11"/>
      <c r="I2280" s="12"/>
      <c r="J2280" s="12" t="n">
        <f aca="false">COUNT(E2280,G2280,I2280)</f>
        <v>1</v>
      </c>
      <c r="K2280" s="13" t="n">
        <f aca="false">MIN(E2280,G2280,I2280)</f>
        <v>1113</v>
      </c>
      <c r="L2280" s="9" t="str">
        <f aca="false">IF(E2280=K2280,"5000m",IF(G2280=K2280,"3000mSC","1500m"))</f>
        <v>3000mSC</v>
      </c>
      <c r="M2280" s="14" t="n">
        <f aca="false">(D2280&lt;&gt;"")*(D2280&lt;=($E$3*60+$F$3)/86400)+(F2280&lt;&gt;"")*(F2280&lt;=($I$3*60+$J$3)/86400)+(H2280&lt;&gt;"")*(H2280&lt;=($M$3*60+$N$3)/86400)</f>
        <v>0</v>
      </c>
      <c r="N2280" s="16"/>
      <c r="O2280" s="15"/>
    </row>
    <row r="2281" customFormat="false" ht="15" hidden="false" customHeight="false" outlineLevel="0" collapsed="false">
      <c r="A2281" s="9" t="n">
        <v>2275</v>
      </c>
      <c r="B2281" s="10" t="s">
        <v>3231</v>
      </c>
      <c r="C2281" s="10" t="s">
        <v>3232</v>
      </c>
      <c r="D2281" s="11" t="n">
        <v>0.0110125</v>
      </c>
      <c r="E2281" s="12" t="n">
        <v>1114</v>
      </c>
      <c r="F2281" s="11"/>
      <c r="G2281" s="12"/>
      <c r="H2281" s="11"/>
      <c r="I2281" s="12"/>
      <c r="J2281" s="12" t="n">
        <f aca="false">COUNT(E2281,G2281,I2281)</f>
        <v>1</v>
      </c>
      <c r="K2281" s="13" t="n">
        <f aca="false">MIN(E2281,G2281,I2281)</f>
        <v>1114</v>
      </c>
      <c r="L2281" s="9" t="str">
        <f aca="false">IF(E2281=K2281,"5000m",IF(G2281=K2281,"3000mSC","1500m"))</f>
        <v>5000m</v>
      </c>
      <c r="M2281" s="14" t="n">
        <f aca="false">(D2281&lt;&gt;"")*(D2281&lt;=($E$3*60+$F$3)/86400)+(F2281&lt;&gt;"")*(F2281&lt;=($I$3*60+$J$3)/86400)+(H2281&lt;&gt;"")*(H2281&lt;=($M$3*60+$N$3)/86400)</f>
        <v>0</v>
      </c>
      <c r="N2281" s="16"/>
      <c r="O2281" s="15"/>
    </row>
    <row r="2282" customFormat="false" ht="25.35" hidden="false" customHeight="false" outlineLevel="0" collapsed="false">
      <c r="A2282" s="9" t="n">
        <v>2276</v>
      </c>
      <c r="B2282" s="10" t="s">
        <v>3233</v>
      </c>
      <c r="C2282" s="10" t="s">
        <v>1239</v>
      </c>
      <c r="D2282" s="11"/>
      <c r="E2282" s="12"/>
      <c r="F2282" s="11" t="n">
        <v>0.00775231481481481</v>
      </c>
      <c r="G2282" s="12" t="n">
        <v>1114</v>
      </c>
      <c r="H2282" s="11"/>
      <c r="I2282" s="12"/>
      <c r="J2282" s="12" t="n">
        <f aca="false">COUNT(E2282,G2282,I2282)</f>
        <v>1</v>
      </c>
      <c r="K2282" s="13" t="n">
        <f aca="false">MIN(E2282,G2282,I2282)</f>
        <v>1114</v>
      </c>
      <c r="L2282" s="9" t="str">
        <f aca="false">IF(E2282=K2282,"5000m",IF(G2282=K2282,"3000mSC","1500m"))</f>
        <v>3000mSC</v>
      </c>
      <c r="M2282" s="14" t="n">
        <f aca="false">(D2282&lt;&gt;"")*(D2282&lt;=($E$3*60+$F$3)/86400)+(F2282&lt;&gt;"")*(F2282&lt;=($I$3*60+$J$3)/86400)+(H2282&lt;&gt;"")*(H2282&lt;=($M$3*60+$N$3)/86400)</f>
        <v>0</v>
      </c>
      <c r="N2282" s="16"/>
      <c r="O2282" s="15"/>
    </row>
    <row r="2283" customFormat="false" ht="15" hidden="false" customHeight="false" outlineLevel="0" collapsed="false">
      <c r="A2283" s="9" t="n">
        <v>2277</v>
      </c>
      <c r="B2283" s="10" t="s">
        <v>3234</v>
      </c>
      <c r="C2283" s="10" t="s">
        <v>1386</v>
      </c>
      <c r="D2283" s="11" t="n">
        <v>0.0110135416666667</v>
      </c>
      <c r="E2283" s="12" t="n">
        <v>1115</v>
      </c>
      <c r="F2283" s="11"/>
      <c r="G2283" s="12"/>
      <c r="H2283" s="11"/>
      <c r="I2283" s="12"/>
      <c r="J2283" s="12" t="n">
        <f aca="false">COUNT(E2283,G2283,I2283)</f>
        <v>1</v>
      </c>
      <c r="K2283" s="13" t="n">
        <f aca="false">MIN(E2283,G2283,I2283)</f>
        <v>1115</v>
      </c>
      <c r="L2283" s="9" t="str">
        <f aca="false">IF(E2283=K2283,"5000m",IF(G2283=K2283,"3000mSC","1500m"))</f>
        <v>5000m</v>
      </c>
      <c r="M2283" s="14" t="n">
        <f aca="false">(D2283&lt;&gt;"")*(D2283&lt;=($E$3*60+$F$3)/86400)+(F2283&lt;&gt;"")*(F2283&lt;=($I$3*60+$J$3)/86400)+(H2283&lt;&gt;"")*(H2283&lt;=($M$3*60+$N$3)/86400)</f>
        <v>0</v>
      </c>
      <c r="N2283" s="16"/>
      <c r="O2283" s="15"/>
    </row>
    <row r="2284" customFormat="false" ht="25.35" hidden="false" customHeight="false" outlineLevel="0" collapsed="false">
      <c r="A2284" s="9" t="n">
        <v>2278</v>
      </c>
      <c r="B2284" s="10" t="s">
        <v>3235</v>
      </c>
      <c r="C2284" s="10" t="s">
        <v>3236</v>
      </c>
      <c r="D2284" s="11"/>
      <c r="E2284" s="12"/>
      <c r="F2284" s="11" t="n">
        <v>0.00775266203703704</v>
      </c>
      <c r="G2284" s="12" t="n">
        <v>1115</v>
      </c>
      <c r="H2284" s="11"/>
      <c r="I2284" s="12"/>
      <c r="J2284" s="12" t="n">
        <f aca="false">COUNT(E2284,G2284,I2284)</f>
        <v>1</v>
      </c>
      <c r="K2284" s="13" t="n">
        <f aca="false">MIN(E2284,G2284,I2284)</f>
        <v>1115</v>
      </c>
      <c r="L2284" s="9" t="str">
        <f aca="false">IF(E2284=K2284,"5000m",IF(G2284=K2284,"3000mSC","1500m"))</f>
        <v>3000mSC</v>
      </c>
      <c r="M2284" s="14" t="n">
        <f aca="false">(D2284&lt;&gt;"")*(D2284&lt;=($E$3*60+$F$3)/86400)+(F2284&lt;&gt;"")*(F2284&lt;=($I$3*60+$J$3)/86400)+(H2284&lt;&gt;"")*(H2284&lt;=($M$3*60+$N$3)/86400)</f>
        <v>0</v>
      </c>
      <c r="N2284" s="16"/>
      <c r="O2284" s="15"/>
    </row>
    <row r="2285" customFormat="false" ht="15" hidden="false" customHeight="false" outlineLevel="0" collapsed="false">
      <c r="A2285" s="9" t="n">
        <v>2279</v>
      </c>
      <c r="B2285" s="10" t="s">
        <v>3237</v>
      </c>
      <c r="C2285" s="10" t="s">
        <v>218</v>
      </c>
      <c r="D2285" s="11" t="n">
        <v>0.0110138888888889</v>
      </c>
      <c r="E2285" s="12" t="n">
        <v>1116</v>
      </c>
      <c r="F2285" s="11"/>
      <c r="G2285" s="12"/>
      <c r="H2285" s="11"/>
      <c r="I2285" s="12"/>
      <c r="J2285" s="12" t="n">
        <f aca="false">COUNT(E2285,G2285,I2285)</f>
        <v>1</v>
      </c>
      <c r="K2285" s="13" t="n">
        <f aca="false">MIN(E2285,G2285,I2285)</f>
        <v>1116</v>
      </c>
      <c r="L2285" s="9" t="str">
        <f aca="false">IF(E2285=K2285,"5000m",IF(G2285=K2285,"3000mSC","1500m"))</f>
        <v>5000m</v>
      </c>
      <c r="M2285" s="14" t="n">
        <f aca="false">(D2285&lt;&gt;"")*(D2285&lt;=($E$3*60+$F$3)/86400)+(F2285&lt;&gt;"")*(F2285&lt;=($I$3*60+$J$3)/86400)+(H2285&lt;&gt;"")*(H2285&lt;=($M$3*60+$N$3)/86400)</f>
        <v>0</v>
      </c>
      <c r="N2285" s="16"/>
      <c r="O2285" s="15"/>
    </row>
    <row r="2286" customFormat="false" ht="25.35" hidden="false" customHeight="false" outlineLevel="0" collapsed="false">
      <c r="A2286" s="9" t="n">
        <v>2280</v>
      </c>
      <c r="B2286" s="10" t="s">
        <v>3238</v>
      </c>
      <c r="C2286" s="10" t="s">
        <v>1982</v>
      </c>
      <c r="D2286" s="11"/>
      <c r="E2286" s="12"/>
      <c r="F2286" s="11" t="n">
        <v>0.00775324074074074</v>
      </c>
      <c r="G2286" s="12" t="n">
        <v>1116</v>
      </c>
      <c r="H2286" s="11"/>
      <c r="I2286" s="12"/>
      <c r="J2286" s="12" t="n">
        <f aca="false">COUNT(E2286,G2286,I2286)</f>
        <v>1</v>
      </c>
      <c r="K2286" s="13" t="n">
        <f aca="false">MIN(E2286,G2286,I2286)</f>
        <v>1116</v>
      </c>
      <c r="L2286" s="9" t="str">
        <f aca="false">IF(E2286=K2286,"5000m",IF(G2286=K2286,"3000mSC","1500m"))</f>
        <v>3000mSC</v>
      </c>
      <c r="M2286" s="14" t="n">
        <f aca="false">(D2286&lt;&gt;"")*(D2286&lt;=($E$3*60+$F$3)/86400)+(F2286&lt;&gt;"")*(F2286&lt;=($I$3*60+$J$3)/86400)+(H2286&lt;&gt;"")*(H2286&lt;=($M$3*60+$N$3)/86400)</f>
        <v>0</v>
      </c>
      <c r="N2286" s="16"/>
      <c r="O2286" s="15"/>
    </row>
    <row r="2287" customFormat="false" ht="25.35" hidden="false" customHeight="false" outlineLevel="0" collapsed="false">
      <c r="A2287" s="9" t="n">
        <v>2281</v>
      </c>
      <c r="B2287" s="10" t="s">
        <v>3239</v>
      </c>
      <c r="C2287" s="10" t="s">
        <v>906</v>
      </c>
      <c r="D2287" s="11"/>
      <c r="E2287" s="12"/>
      <c r="F2287" s="11" t="n">
        <v>0.00775659722222222</v>
      </c>
      <c r="G2287" s="12" t="n">
        <v>1117</v>
      </c>
      <c r="H2287" s="11"/>
      <c r="I2287" s="12"/>
      <c r="J2287" s="12" t="n">
        <f aca="false">COUNT(E2287,G2287,I2287)</f>
        <v>1</v>
      </c>
      <c r="K2287" s="13" t="n">
        <f aca="false">MIN(E2287,G2287,I2287)</f>
        <v>1117</v>
      </c>
      <c r="L2287" s="9" t="str">
        <f aca="false">IF(E2287=K2287,"5000m",IF(G2287=K2287,"3000mSC","1500m"))</f>
        <v>3000mSC</v>
      </c>
      <c r="M2287" s="14" t="n">
        <f aca="false">(D2287&lt;&gt;"")*(D2287&lt;=($E$3*60+$F$3)/86400)+(F2287&lt;&gt;"")*(F2287&lt;=($I$3*60+$J$3)/86400)+(H2287&lt;&gt;"")*(H2287&lt;=($M$3*60+$N$3)/86400)</f>
        <v>0</v>
      </c>
      <c r="N2287" s="16"/>
      <c r="O2287" s="15"/>
    </row>
    <row r="2288" customFormat="false" ht="15" hidden="false" customHeight="false" outlineLevel="0" collapsed="false">
      <c r="A2288" s="9" t="n">
        <v>2282</v>
      </c>
      <c r="B2288" s="10" t="s">
        <v>3240</v>
      </c>
      <c r="C2288" s="10" t="s">
        <v>546</v>
      </c>
      <c r="D2288" s="11"/>
      <c r="E2288" s="12"/>
      <c r="F2288" s="11"/>
      <c r="G2288" s="12"/>
      <c r="H2288" s="11" t="n">
        <v>0.00292233796296296</v>
      </c>
      <c r="I2288" s="12" t="n">
        <v>1117</v>
      </c>
      <c r="J2288" s="12" t="n">
        <f aca="false">COUNT(E2288,G2288,I2288)</f>
        <v>1</v>
      </c>
      <c r="K2288" s="13" t="n">
        <f aca="false">MIN(E2288,G2288,I2288)</f>
        <v>1117</v>
      </c>
      <c r="L2288" s="9" t="str">
        <f aca="false">IF(E2288=K2288,"5000m",IF(G2288=K2288,"3000mSC","1500m"))</f>
        <v>1500m</v>
      </c>
      <c r="M2288" s="14" t="n">
        <f aca="false">(D2288&lt;&gt;"")*(D2288&lt;=($E$3*60+$F$3)/86400)+(F2288&lt;&gt;"")*(F2288&lt;=($I$3*60+$J$3)/86400)+(H2288&lt;&gt;"")*(H2288&lt;=($M$3*60+$N$3)/86400)</f>
        <v>0</v>
      </c>
      <c r="N2288" s="16"/>
      <c r="O2288" s="15"/>
    </row>
    <row r="2289" customFormat="false" ht="25.35" hidden="false" customHeight="false" outlineLevel="0" collapsed="false">
      <c r="A2289" s="9" t="n">
        <v>2283</v>
      </c>
      <c r="B2289" s="10" t="s">
        <v>3241</v>
      </c>
      <c r="C2289" s="10" t="s">
        <v>193</v>
      </c>
      <c r="D2289" s="11"/>
      <c r="E2289" s="12"/>
      <c r="F2289" s="11" t="n">
        <v>0.00775763888888889</v>
      </c>
      <c r="G2289" s="12" t="n">
        <v>1118</v>
      </c>
      <c r="H2289" s="11"/>
      <c r="I2289" s="12"/>
      <c r="J2289" s="12" t="n">
        <f aca="false">COUNT(E2289,G2289,I2289)</f>
        <v>1</v>
      </c>
      <c r="K2289" s="13" t="n">
        <f aca="false">MIN(E2289,G2289,I2289)</f>
        <v>1118</v>
      </c>
      <c r="L2289" s="9" t="str">
        <f aca="false">IF(E2289=K2289,"5000m",IF(G2289=K2289,"3000mSC","1500m"))</f>
        <v>3000mSC</v>
      </c>
      <c r="M2289" s="14" t="n">
        <f aca="false">(D2289&lt;&gt;"")*(D2289&lt;=($E$3*60+$F$3)/86400)+(F2289&lt;&gt;"")*(F2289&lt;=($I$3*60+$J$3)/86400)+(H2289&lt;&gt;"")*(H2289&lt;=($M$3*60+$N$3)/86400)</f>
        <v>0</v>
      </c>
      <c r="N2289" s="16"/>
      <c r="O2289" s="15"/>
    </row>
    <row r="2290" customFormat="false" ht="15" hidden="false" customHeight="false" outlineLevel="0" collapsed="false">
      <c r="A2290" s="9" t="n">
        <v>2284</v>
      </c>
      <c r="B2290" s="10" t="s">
        <v>3242</v>
      </c>
      <c r="C2290" s="10" t="s">
        <v>3243</v>
      </c>
      <c r="D2290" s="11"/>
      <c r="E2290" s="12"/>
      <c r="F2290" s="11"/>
      <c r="G2290" s="12"/>
      <c r="H2290" s="11" t="n">
        <v>0.00292233796296296</v>
      </c>
      <c r="I2290" s="12" t="n">
        <v>1118</v>
      </c>
      <c r="J2290" s="12" t="n">
        <f aca="false">COUNT(E2290,G2290,I2290)</f>
        <v>1</v>
      </c>
      <c r="K2290" s="13" t="n">
        <f aca="false">MIN(E2290,G2290,I2290)</f>
        <v>1118</v>
      </c>
      <c r="L2290" s="9" t="str">
        <f aca="false">IF(E2290=K2290,"5000m",IF(G2290=K2290,"3000mSC","1500m"))</f>
        <v>1500m</v>
      </c>
      <c r="M2290" s="14" t="n">
        <f aca="false">(D2290&lt;&gt;"")*(D2290&lt;=($E$3*60+$F$3)/86400)+(F2290&lt;&gt;"")*(F2290&lt;=($I$3*60+$J$3)/86400)+(H2290&lt;&gt;"")*(H2290&lt;=($M$3*60+$N$3)/86400)</f>
        <v>0</v>
      </c>
      <c r="N2290" s="16"/>
      <c r="O2290" s="15"/>
    </row>
    <row r="2291" customFormat="false" ht="25.35" hidden="false" customHeight="false" outlineLevel="0" collapsed="false">
      <c r="A2291" s="9" t="n">
        <v>2285</v>
      </c>
      <c r="B2291" s="10" t="s">
        <v>3244</v>
      </c>
      <c r="C2291" s="10" t="s">
        <v>3245</v>
      </c>
      <c r="D2291" s="11"/>
      <c r="E2291" s="12"/>
      <c r="F2291" s="11" t="n">
        <v>0.00775833333333333</v>
      </c>
      <c r="G2291" s="12" t="n">
        <v>1119</v>
      </c>
      <c r="H2291" s="11"/>
      <c r="I2291" s="12"/>
      <c r="J2291" s="12" t="n">
        <f aca="false">COUNT(E2291,G2291,I2291)</f>
        <v>1</v>
      </c>
      <c r="K2291" s="13" t="n">
        <f aca="false">MIN(E2291,G2291,I2291)</f>
        <v>1119</v>
      </c>
      <c r="L2291" s="9" t="str">
        <f aca="false">IF(E2291=K2291,"5000m",IF(G2291=K2291,"3000mSC","1500m"))</f>
        <v>3000mSC</v>
      </c>
      <c r="M2291" s="14" t="n">
        <f aca="false">(D2291&lt;&gt;"")*(D2291&lt;=($E$3*60+$F$3)/86400)+(F2291&lt;&gt;"")*(F2291&lt;=($I$3*60+$J$3)/86400)+(H2291&lt;&gt;"")*(H2291&lt;=($M$3*60+$N$3)/86400)</f>
        <v>0</v>
      </c>
      <c r="N2291" s="16"/>
      <c r="O2291" s="15"/>
    </row>
    <row r="2292" customFormat="false" ht="25.35" hidden="false" customHeight="false" outlineLevel="0" collapsed="false">
      <c r="A2292" s="9" t="n">
        <v>2286</v>
      </c>
      <c r="B2292" s="10" t="s">
        <v>3246</v>
      </c>
      <c r="C2292" s="10" t="s">
        <v>3247</v>
      </c>
      <c r="D2292" s="11"/>
      <c r="E2292" s="12"/>
      <c r="F2292" s="11" t="n">
        <v>0.00776018518518519</v>
      </c>
      <c r="G2292" s="12" t="n">
        <v>1120</v>
      </c>
      <c r="H2292" s="11"/>
      <c r="I2292" s="12"/>
      <c r="J2292" s="12" t="n">
        <f aca="false">COUNT(E2292,G2292,I2292)</f>
        <v>1</v>
      </c>
      <c r="K2292" s="13" t="n">
        <f aca="false">MIN(E2292,G2292,I2292)</f>
        <v>1120</v>
      </c>
      <c r="L2292" s="9" t="str">
        <f aca="false">IF(E2292=K2292,"5000m",IF(G2292=K2292,"3000mSC","1500m"))</f>
        <v>3000mSC</v>
      </c>
      <c r="M2292" s="14" t="n">
        <f aca="false">(D2292&lt;&gt;"")*(D2292&lt;=($E$3*60+$F$3)/86400)+(F2292&lt;&gt;"")*(F2292&lt;=($I$3*60+$J$3)/86400)+(H2292&lt;&gt;"")*(H2292&lt;=($M$3*60+$N$3)/86400)</f>
        <v>0</v>
      </c>
      <c r="N2292" s="16"/>
      <c r="O2292" s="15"/>
    </row>
    <row r="2293" customFormat="false" ht="15" hidden="false" customHeight="false" outlineLevel="0" collapsed="false">
      <c r="A2293" s="9" t="n">
        <v>2287</v>
      </c>
      <c r="B2293" s="10" t="s">
        <v>3248</v>
      </c>
      <c r="C2293" s="10" t="s">
        <v>3249</v>
      </c>
      <c r="D2293" s="11"/>
      <c r="E2293" s="12"/>
      <c r="F2293" s="11"/>
      <c r="G2293" s="12"/>
      <c r="H2293" s="11" t="n">
        <v>0.00292256944444444</v>
      </c>
      <c r="I2293" s="12" t="n">
        <v>1120</v>
      </c>
      <c r="J2293" s="12" t="n">
        <f aca="false">COUNT(E2293,G2293,I2293)</f>
        <v>1</v>
      </c>
      <c r="K2293" s="13" t="n">
        <f aca="false">MIN(E2293,G2293,I2293)</f>
        <v>1120</v>
      </c>
      <c r="L2293" s="9" t="str">
        <f aca="false">IF(E2293=K2293,"5000m",IF(G2293=K2293,"3000mSC","1500m"))</f>
        <v>1500m</v>
      </c>
      <c r="M2293" s="14" t="n">
        <f aca="false">(D2293&lt;&gt;"")*(D2293&lt;=($E$3*60+$F$3)/86400)+(F2293&lt;&gt;"")*(F2293&lt;=($I$3*60+$J$3)/86400)+(H2293&lt;&gt;"")*(H2293&lt;=($M$3*60+$N$3)/86400)</f>
        <v>0</v>
      </c>
      <c r="N2293" s="16"/>
      <c r="O2293" s="15"/>
    </row>
    <row r="2294" customFormat="false" ht="25.35" hidden="false" customHeight="false" outlineLevel="0" collapsed="false">
      <c r="A2294" s="9" t="n">
        <v>2288</v>
      </c>
      <c r="B2294" s="10" t="s">
        <v>3250</v>
      </c>
      <c r="C2294" s="10" t="s">
        <v>3251</v>
      </c>
      <c r="D2294" s="11"/>
      <c r="E2294" s="12"/>
      <c r="F2294" s="11" t="n">
        <v>0.00776076388888889</v>
      </c>
      <c r="G2294" s="12" t="n">
        <v>1121</v>
      </c>
      <c r="H2294" s="11"/>
      <c r="I2294" s="12"/>
      <c r="J2294" s="12" t="n">
        <f aca="false">COUNT(E2294,G2294,I2294)</f>
        <v>1</v>
      </c>
      <c r="K2294" s="13" t="n">
        <f aca="false">MIN(E2294,G2294,I2294)</f>
        <v>1121</v>
      </c>
      <c r="L2294" s="9" t="str">
        <f aca="false">IF(E2294=K2294,"5000m",IF(G2294=K2294,"3000mSC","1500m"))</f>
        <v>3000mSC</v>
      </c>
      <c r="M2294" s="14" t="n">
        <f aca="false">(D2294&lt;&gt;"")*(D2294&lt;=($E$3*60+$F$3)/86400)+(F2294&lt;&gt;"")*(F2294&lt;=($I$3*60+$J$3)/86400)+(H2294&lt;&gt;"")*(H2294&lt;=($M$3*60+$N$3)/86400)</f>
        <v>0</v>
      </c>
      <c r="N2294" s="16"/>
      <c r="O2294" s="15"/>
    </row>
    <row r="2295" customFormat="false" ht="15" hidden="false" customHeight="false" outlineLevel="0" collapsed="false">
      <c r="A2295" s="9" t="n">
        <v>2289</v>
      </c>
      <c r="B2295" s="10" t="s">
        <v>3252</v>
      </c>
      <c r="C2295" s="10" t="s">
        <v>3253</v>
      </c>
      <c r="D2295" s="11"/>
      <c r="E2295" s="12"/>
      <c r="F2295" s="11"/>
      <c r="G2295" s="12"/>
      <c r="H2295" s="11" t="n">
        <v>0.00292256944444444</v>
      </c>
      <c r="I2295" s="12" t="n">
        <v>1121</v>
      </c>
      <c r="J2295" s="12" t="n">
        <f aca="false">COUNT(E2295,G2295,I2295)</f>
        <v>1</v>
      </c>
      <c r="K2295" s="13" t="n">
        <f aca="false">MIN(E2295,G2295,I2295)</f>
        <v>1121</v>
      </c>
      <c r="L2295" s="9" t="str">
        <f aca="false">IF(E2295=K2295,"5000m",IF(G2295=K2295,"3000mSC","1500m"))</f>
        <v>1500m</v>
      </c>
      <c r="M2295" s="14" t="n">
        <f aca="false">(D2295&lt;&gt;"")*(D2295&lt;=($E$3*60+$F$3)/86400)+(F2295&lt;&gt;"")*(F2295&lt;=($I$3*60+$J$3)/86400)+(H2295&lt;&gt;"")*(H2295&lt;=($M$3*60+$N$3)/86400)</f>
        <v>0</v>
      </c>
      <c r="N2295" s="16"/>
      <c r="O2295" s="15"/>
    </row>
    <row r="2296" customFormat="false" ht="25.35" hidden="false" customHeight="false" outlineLevel="0" collapsed="false">
      <c r="A2296" s="9" t="n">
        <v>2290</v>
      </c>
      <c r="B2296" s="10" t="s">
        <v>3254</v>
      </c>
      <c r="C2296" s="10" t="s">
        <v>1990</v>
      </c>
      <c r="D2296" s="11"/>
      <c r="E2296" s="12"/>
      <c r="F2296" s="11" t="n">
        <v>0.00776111111111111</v>
      </c>
      <c r="G2296" s="12" t="n">
        <v>1122</v>
      </c>
      <c r="H2296" s="11"/>
      <c r="I2296" s="12"/>
      <c r="J2296" s="12" t="n">
        <f aca="false">COUNT(E2296,G2296,I2296)</f>
        <v>1</v>
      </c>
      <c r="K2296" s="13" t="n">
        <f aca="false">MIN(E2296,G2296,I2296)</f>
        <v>1122</v>
      </c>
      <c r="L2296" s="9" t="str">
        <f aca="false">IF(E2296=K2296,"5000m",IF(G2296=K2296,"3000mSC","1500m"))</f>
        <v>3000mSC</v>
      </c>
      <c r="M2296" s="14" t="n">
        <f aca="false">(D2296&lt;&gt;"")*(D2296&lt;=($E$3*60+$F$3)/86400)+(F2296&lt;&gt;"")*(F2296&lt;=($I$3*60+$J$3)/86400)+(H2296&lt;&gt;"")*(H2296&lt;=($M$3*60+$N$3)/86400)</f>
        <v>0</v>
      </c>
      <c r="N2296" s="16"/>
      <c r="O2296" s="15"/>
    </row>
    <row r="2297" customFormat="false" ht="15" hidden="false" customHeight="false" outlineLevel="0" collapsed="false">
      <c r="A2297" s="9" t="n">
        <v>2291</v>
      </c>
      <c r="B2297" s="10" t="s">
        <v>3255</v>
      </c>
      <c r="C2297" s="10" t="s">
        <v>3256</v>
      </c>
      <c r="D2297" s="11"/>
      <c r="E2297" s="12"/>
      <c r="F2297" s="11"/>
      <c r="G2297" s="12"/>
      <c r="H2297" s="11" t="n">
        <v>0.00292256944444444</v>
      </c>
      <c r="I2297" s="12" t="n">
        <v>1122</v>
      </c>
      <c r="J2297" s="12" t="n">
        <f aca="false">COUNT(E2297,G2297,I2297)</f>
        <v>1</v>
      </c>
      <c r="K2297" s="13" t="n">
        <f aca="false">MIN(E2297,G2297,I2297)</f>
        <v>1122</v>
      </c>
      <c r="L2297" s="9" t="str">
        <f aca="false">IF(E2297=K2297,"5000m",IF(G2297=K2297,"3000mSC","1500m"))</f>
        <v>1500m</v>
      </c>
      <c r="M2297" s="14" t="n">
        <f aca="false">(D2297&lt;&gt;"")*(D2297&lt;=($E$3*60+$F$3)/86400)+(F2297&lt;&gt;"")*(F2297&lt;=($I$3*60+$J$3)/86400)+(H2297&lt;&gt;"")*(H2297&lt;=($M$3*60+$N$3)/86400)</f>
        <v>0</v>
      </c>
      <c r="N2297" s="16"/>
      <c r="O2297" s="15"/>
    </row>
    <row r="2298" customFormat="false" ht="15" hidden="false" customHeight="false" outlineLevel="0" collapsed="false">
      <c r="A2298" s="9" t="n">
        <v>2292</v>
      </c>
      <c r="B2298" s="10" t="s">
        <v>3257</v>
      </c>
      <c r="C2298" s="10" t="s">
        <v>546</v>
      </c>
      <c r="D2298" s="11" t="n">
        <v>0.0110174768518519</v>
      </c>
      <c r="E2298" s="12" t="n">
        <v>1123</v>
      </c>
      <c r="F2298" s="11"/>
      <c r="G2298" s="12"/>
      <c r="H2298" s="11" t="n">
        <v>0.00293009259259259</v>
      </c>
      <c r="I2298" s="12" t="n">
        <v>1174</v>
      </c>
      <c r="J2298" s="12" t="n">
        <f aca="false">COUNT(E2298,G2298,I2298)</f>
        <v>2</v>
      </c>
      <c r="K2298" s="13" t="n">
        <f aca="false">MIN(E2298,G2298,I2298)</f>
        <v>1123</v>
      </c>
      <c r="L2298" s="9" t="str">
        <f aca="false">IF(E2298=K2298,"5000m",IF(G2298=K2298,"3000mSC","1500m"))</f>
        <v>5000m</v>
      </c>
      <c r="M2298" s="14" t="n">
        <f aca="false">(D2298&lt;&gt;"")*(D2298&lt;=($E$3*60+$F$3)/86400)+(F2298&lt;&gt;"")*(F2298&lt;=($I$3*60+$J$3)/86400)+(H2298&lt;&gt;"")*(H2298&lt;=($M$3*60+$N$3)/86400)</f>
        <v>0</v>
      </c>
      <c r="N2298" s="16"/>
      <c r="O2298" s="15"/>
    </row>
    <row r="2299" customFormat="false" ht="15" hidden="false" customHeight="false" outlineLevel="0" collapsed="false">
      <c r="A2299" s="9" t="n">
        <v>2293</v>
      </c>
      <c r="B2299" s="10" t="s">
        <v>3258</v>
      </c>
      <c r="C2299" s="10" t="s">
        <v>2041</v>
      </c>
      <c r="D2299" s="11" t="n">
        <v>0.0111005787037037</v>
      </c>
      <c r="E2299" s="12" t="n">
        <v>1271</v>
      </c>
      <c r="F2299" s="11"/>
      <c r="G2299" s="12"/>
      <c r="H2299" s="11" t="n">
        <v>0.00292291666666667</v>
      </c>
      <c r="I2299" s="12" t="n">
        <v>1123</v>
      </c>
      <c r="J2299" s="12" t="n">
        <f aca="false">COUNT(E2299,G2299,I2299)</f>
        <v>2</v>
      </c>
      <c r="K2299" s="13" t="n">
        <f aca="false">MIN(E2299,G2299,I2299)</f>
        <v>1123</v>
      </c>
      <c r="L2299" s="9" t="str">
        <f aca="false">IF(E2299=K2299,"5000m",IF(G2299=K2299,"3000mSC","1500m"))</f>
        <v>1500m</v>
      </c>
      <c r="M2299" s="14" t="n">
        <f aca="false">(D2299&lt;&gt;"")*(D2299&lt;=($E$3*60+$F$3)/86400)+(F2299&lt;&gt;"")*(F2299&lt;=($I$3*60+$J$3)/86400)+(H2299&lt;&gt;"")*(H2299&lt;=($M$3*60+$N$3)/86400)</f>
        <v>0</v>
      </c>
      <c r="N2299" s="16"/>
      <c r="O2299" s="15"/>
    </row>
    <row r="2300" customFormat="false" ht="25.35" hidden="false" customHeight="false" outlineLevel="0" collapsed="false">
      <c r="A2300" s="9" t="n">
        <v>2294</v>
      </c>
      <c r="B2300" s="10" t="s">
        <v>3259</v>
      </c>
      <c r="C2300" s="10" t="s">
        <v>3260</v>
      </c>
      <c r="D2300" s="11"/>
      <c r="E2300" s="12"/>
      <c r="F2300" s="11" t="n">
        <v>0.00776539351851852</v>
      </c>
      <c r="G2300" s="12" t="n">
        <v>1123</v>
      </c>
      <c r="H2300" s="11"/>
      <c r="I2300" s="12"/>
      <c r="J2300" s="12" t="n">
        <f aca="false">COUNT(E2300,G2300,I2300)</f>
        <v>1</v>
      </c>
      <c r="K2300" s="13" t="n">
        <f aca="false">MIN(E2300,G2300,I2300)</f>
        <v>1123</v>
      </c>
      <c r="L2300" s="9" t="str">
        <f aca="false">IF(E2300=K2300,"5000m",IF(G2300=K2300,"3000mSC","1500m"))</f>
        <v>3000mSC</v>
      </c>
      <c r="M2300" s="14" t="n">
        <f aca="false">(D2300&lt;&gt;"")*(D2300&lt;=($E$3*60+$F$3)/86400)+(F2300&lt;&gt;"")*(F2300&lt;=($I$3*60+$J$3)/86400)+(H2300&lt;&gt;"")*(H2300&lt;=($M$3*60+$N$3)/86400)</f>
        <v>0</v>
      </c>
      <c r="N2300" s="16"/>
      <c r="O2300" s="15"/>
    </row>
    <row r="2301" customFormat="false" ht="25.35" hidden="false" customHeight="false" outlineLevel="0" collapsed="false">
      <c r="A2301" s="9" t="n">
        <v>2295</v>
      </c>
      <c r="B2301" s="10" t="s">
        <v>3261</v>
      </c>
      <c r="C2301" s="10" t="s">
        <v>3262</v>
      </c>
      <c r="D2301" s="11"/>
      <c r="E2301" s="12"/>
      <c r="F2301" s="11" t="n">
        <v>0.00776585648148148</v>
      </c>
      <c r="G2301" s="12" t="n">
        <v>1124</v>
      </c>
      <c r="H2301" s="11"/>
      <c r="I2301" s="12"/>
      <c r="J2301" s="12" t="n">
        <f aca="false">COUNT(E2301,G2301,I2301)</f>
        <v>1</v>
      </c>
      <c r="K2301" s="13" t="n">
        <f aca="false">MIN(E2301,G2301,I2301)</f>
        <v>1124</v>
      </c>
      <c r="L2301" s="9" t="str">
        <f aca="false">IF(E2301=K2301,"5000m",IF(G2301=K2301,"3000mSC","1500m"))</f>
        <v>3000mSC</v>
      </c>
      <c r="M2301" s="14" t="n">
        <f aca="false">(D2301&lt;&gt;"")*(D2301&lt;=($E$3*60+$F$3)/86400)+(F2301&lt;&gt;"")*(F2301&lt;=($I$3*60+$J$3)/86400)+(H2301&lt;&gt;"")*(H2301&lt;=($M$3*60+$N$3)/86400)</f>
        <v>0</v>
      </c>
      <c r="N2301" s="16"/>
      <c r="O2301" s="15"/>
    </row>
    <row r="2302" customFormat="false" ht="25.35" hidden="false" customHeight="false" outlineLevel="0" collapsed="false">
      <c r="A2302" s="9" t="n">
        <v>2296</v>
      </c>
      <c r="B2302" s="10" t="s">
        <v>3263</v>
      </c>
      <c r="C2302" s="10" t="s">
        <v>3264</v>
      </c>
      <c r="D2302" s="11"/>
      <c r="E2302" s="12"/>
      <c r="F2302" s="11" t="n">
        <v>0.00776747685185185</v>
      </c>
      <c r="G2302" s="12" t="n">
        <v>1125</v>
      </c>
      <c r="H2302" s="11"/>
      <c r="I2302" s="12"/>
      <c r="J2302" s="12" t="n">
        <f aca="false">COUNT(E2302,G2302,I2302)</f>
        <v>1</v>
      </c>
      <c r="K2302" s="13" t="n">
        <f aca="false">MIN(E2302,G2302,I2302)</f>
        <v>1125</v>
      </c>
      <c r="L2302" s="9" t="str">
        <f aca="false">IF(E2302=K2302,"5000m",IF(G2302=K2302,"3000mSC","1500m"))</f>
        <v>3000mSC</v>
      </c>
      <c r="M2302" s="14" t="n">
        <f aca="false">(D2302&lt;&gt;"")*(D2302&lt;=($E$3*60+$F$3)/86400)+(F2302&lt;&gt;"")*(F2302&lt;=($I$3*60+$J$3)/86400)+(H2302&lt;&gt;"")*(H2302&lt;=($M$3*60+$N$3)/86400)</f>
        <v>0</v>
      </c>
      <c r="N2302" s="16"/>
      <c r="O2302" s="15"/>
    </row>
    <row r="2303" customFormat="false" ht="15" hidden="false" customHeight="false" outlineLevel="0" collapsed="false">
      <c r="A2303" s="9" t="n">
        <v>2297</v>
      </c>
      <c r="B2303" s="10" t="s">
        <v>3265</v>
      </c>
      <c r="C2303" s="10" t="s">
        <v>945</v>
      </c>
      <c r="D2303" s="11"/>
      <c r="E2303" s="12"/>
      <c r="F2303" s="11"/>
      <c r="G2303" s="12"/>
      <c r="H2303" s="11" t="n">
        <v>0.00292303240740741</v>
      </c>
      <c r="I2303" s="12" t="n">
        <v>1125</v>
      </c>
      <c r="J2303" s="12" t="n">
        <f aca="false">COUNT(E2303,G2303,I2303)</f>
        <v>1</v>
      </c>
      <c r="K2303" s="13" t="n">
        <f aca="false">MIN(E2303,G2303,I2303)</f>
        <v>1125</v>
      </c>
      <c r="L2303" s="9" t="str">
        <f aca="false">IF(E2303=K2303,"5000m",IF(G2303=K2303,"3000mSC","1500m"))</f>
        <v>1500m</v>
      </c>
      <c r="M2303" s="14" t="n">
        <f aca="false">(D2303&lt;&gt;"")*(D2303&lt;=($E$3*60+$F$3)/86400)+(F2303&lt;&gt;"")*(F2303&lt;=($I$3*60+$J$3)/86400)+(H2303&lt;&gt;"")*(H2303&lt;=($M$3*60+$N$3)/86400)</f>
        <v>0</v>
      </c>
      <c r="N2303" s="16"/>
      <c r="O2303" s="15"/>
    </row>
    <row r="2304" customFormat="false" ht="25.35" hidden="false" customHeight="false" outlineLevel="0" collapsed="false">
      <c r="A2304" s="9" t="n">
        <v>2298</v>
      </c>
      <c r="B2304" s="10" t="s">
        <v>3266</v>
      </c>
      <c r="C2304" s="10" t="s">
        <v>2713</v>
      </c>
      <c r="D2304" s="11"/>
      <c r="E2304" s="12"/>
      <c r="F2304" s="11" t="n">
        <v>0.00776770833333333</v>
      </c>
      <c r="G2304" s="12" t="n">
        <v>1126</v>
      </c>
      <c r="H2304" s="11"/>
      <c r="I2304" s="12"/>
      <c r="J2304" s="12" t="n">
        <f aca="false">COUNT(E2304,G2304,I2304)</f>
        <v>1</v>
      </c>
      <c r="K2304" s="13" t="n">
        <f aca="false">MIN(E2304,G2304,I2304)</f>
        <v>1126</v>
      </c>
      <c r="L2304" s="9" t="str">
        <f aca="false">IF(E2304=K2304,"5000m",IF(G2304=K2304,"3000mSC","1500m"))</f>
        <v>3000mSC</v>
      </c>
      <c r="M2304" s="14" t="n">
        <f aca="false">(D2304&lt;&gt;"")*(D2304&lt;=($E$3*60+$F$3)/86400)+(F2304&lt;&gt;"")*(F2304&lt;=($I$3*60+$J$3)/86400)+(H2304&lt;&gt;"")*(H2304&lt;=($M$3*60+$N$3)/86400)</f>
        <v>0</v>
      </c>
      <c r="N2304" s="16"/>
      <c r="O2304" s="15"/>
    </row>
    <row r="2305" customFormat="false" ht="15" hidden="false" customHeight="false" outlineLevel="0" collapsed="false">
      <c r="A2305" s="9" t="n">
        <v>2299</v>
      </c>
      <c r="B2305" s="10" t="s">
        <v>3267</v>
      </c>
      <c r="C2305" s="10" t="s">
        <v>555</v>
      </c>
      <c r="D2305" s="11"/>
      <c r="E2305" s="12"/>
      <c r="F2305" s="11"/>
      <c r="G2305" s="12"/>
      <c r="H2305" s="11" t="n">
        <v>0.00292314814814815</v>
      </c>
      <c r="I2305" s="12" t="n">
        <v>1127</v>
      </c>
      <c r="J2305" s="12" t="n">
        <f aca="false">COUNT(E2305,G2305,I2305)</f>
        <v>1</v>
      </c>
      <c r="K2305" s="13" t="n">
        <f aca="false">MIN(E2305,G2305,I2305)</f>
        <v>1127</v>
      </c>
      <c r="L2305" s="9" t="str">
        <f aca="false">IF(E2305=K2305,"5000m",IF(G2305=K2305,"3000mSC","1500m"))</f>
        <v>1500m</v>
      </c>
      <c r="M2305" s="14" t="n">
        <f aca="false">(D2305&lt;&gt;"")*(D2305&lt;=($E$3*60+$F$3)/86400)+(F2305&lt;&gt;"")*(F2305&lt;=($I$3*60+$J$3)/86400)+(H2305&lt;&gt;"")*(H2305&lt;=($M$3*60+$N$3)/86400)</f>
        <v>0</v>
      </c>
      <c r="N2305" s="16"/>
      <c r="O2305" s="15"/>
    </row>
    <row r="2306" customFormat="false" ht="25.35" hidden="false" customHeight="false" outlineLevel="0" collapsed="false">
      <c r="A2306" s="9" t="n">
        <v>2300</v>
      </c>
      <c r="B2306" s="10" t="s">
        <v>3268</v>
      </c>
      <c r="C2306" s="10" t="s">
        <v>2288</v>
      </c>
      <c r="D2306" s="11"/>
      <c r="E2306" s="12"/>
      <c r="F2306" s="11" t="n">
        <v>0.00777604166666667</v>
      </c>
      <c r="G2306" s="12" t="n">
        <v>1128</v>
      </c>
      <c r="H2306" s="11"/>
      <c r="I2306" s="12"/>
      <c r="J2306" s="12" t="n">
        <f aca="false">COUNT(E2306,G2306,I2306)</f>
        <v>1</v>
      </c>
      <c r="K2306" s="13" t="n">
        <f aca="false">MIN(E2306,G2306,I2306)</f>
        <v>1128</v>
      </c>
      <c r="L2306" s="9" t="str">
        <f aca="false">IF(E2306=K2306,"5000m",IF(G2306=K2306,"3000mSC","1500m"))</f>
        <v>3000mSC</v>
      </c>
      <c r="M2306" s="14" t="n">
        <f aca="false">(D2306&lt;&gt;"")*(D2306&lt;=($E$3*60+$F$3)/86400)+(F2306&lt;&gt;"")*(F2306&lt;=($I$3*60+$J$3)/86400)+(H2306&lt;&gt;"")*(H2306&lt;=($M$3*60+$N$3)/86400)</f>
        <v>0</v>
      </c>
      <c r="N2306" s="16"/>
      <c r="O2306" s="15"/>
    </row>
    <row r="2307" customFormat="false" ht="15" hidden="false" customHeight="false" outlineLevel="0" collapsed="false">
      <c r="A2307" s="9" t="n">
        <v>2301</v>
      </c>
      <c r="B2307" s="10" t="s">
        <v>3269</v>
      </c>
      <c r="C2307" s="10" t="s">
        <v>1485</v>
      </c>
      <c r="D2307" s="11"/>
      <c r="E2307" s="12"/>
      <c r="F2307" s="11"/>
      <c r="G2307" s="12"/>
      <c r="H2307" s="11" t="n">
        <v>0.00292326388888889</v>
      </c>
      <c r="I2307" s="12" t="n">
        <v>1128</v>
      </c>
      <c r="J2307" s="12" t="n">
        <f aca="false">COUNT(E2307,G2307,I2307)</f>
        <v>1</v>
      </c>
      <c r="K2307" s="13" t="n">
        <f aca="false">MIN(E2307,G2307,I2307)</f>
        <v>1128</v>
      </c>
      <c r="L2307" s="9" t="str">
        <f aca="false">IF(E2307=K2307,"5000m",IF(G2307=K2307,"3000mSC","1500m"))</f>
        <v>1500m</v>
      </c>
      <c r="M2307" s="14" t="n">
        <f aca="false">(D2307&lt;&gt;"")*(D2307&lt;=($E$3*60+$F$3)/86400)+(F2307&lt;&gt;"")*(F2307&lt;=($I$3*60+$J$3)/86400)+(H2307&lt;&gt;"")*(H2307&lt;=($M$3*60+$N$3)/86400)</f>
        <v>0</v>
      </c>
      <c r="N2307" s="16"/>
      <c r="O2307" s="15"/>
    </row>
    <row r="2308" customFormat="false" ht="15" hidden="false" customHeight="false" outlineLevel="0" collapsed="false">
      <c r="A2308" s="9" t="n">
        <v>2302</v>
      </c>
      <c r="B2308" s="10" t="s">
        <v>3270</v>
      </c>
      <c r="C2308" s="10" t="s">
        <v>577</v>
      </c>
      <c r="D2308" s="11" t="n">
        <v>0.0110193287037037</v>
      </c>
      <c r="E2308" s="12" t="n">
        <v>1129</v>
      </c>
      <c r="F2308" s="11"/>
      <c r="G2308" s="12"/>
      <c r="H2308" s="11"/>
      <c r="I2308" s="12"/>
      <c r="J2308" s="12" t="n">
        <f aca="false">COUNT(E2308,G2308,I2308)</f>
        <v>1</v>
      </c>
      <c r="K2308" s="13" t="n">
        <f aca="false">MIN(E2308,G2308,I2308)</f>
        <v>1129</v>
      </c>
      <c r="L2308" s="9" t="str">
        <f aca="false">IF(E2308=K2308,"5000m",IF(G2308=K2308,"3000mSC","1500m"))</f>
        <v>5000m</v>
      </c>
      <c r="M2308" s="14" t="n">
        <f aca="false">(D2308&lt;&gt;"")*(D2308&lt;=($E$3*60+$F$3)/86400)+(F2308&lt;&gt;"")*(F2308&lt;=($I$3*60+$J$3)/86400)+(H2308&lt;&gt;"")*(H2308&lt;=($M$3*60+$N$3)/86400)</f>
        <v>0</v>
      </c>
      <c r="N2308" s="16"/>
      <c r="O2308" s="15"/>
    </row>
    <row r="2309" customFormat="false" ht="25.35" hidden="false" customHeight="false" outlineLevel="0" collapsed="false">
      <c r="A2309" s="9" t="n">
        <v>2303</v>
      </c>
      <c r="B2309" s="10" t="s">
        <v>3271</v>
      </c>
      <c r="C2309" s="10" t="s">
        <v>3272</v>
      </c>
      <c r="D2309" s="11"/>
      <c r="E2309" s="12"/>
      <c r="F2309" s="11" t="n">
        <v>0.00777962962962963</v>
      </c>
      <c r="G2309" s="12" t="n">
        <v>1129</v>
      </c>
      <c r="H2309" s="11"/>
      <c r="I2309" s="12"/>
      <c r="J2309" s="12" t="n">
        <f aca="false">COUNT(E2309,G2309,I2309)</f>
        <v>1</v>
      </c>
      <c r="K2309" s="13" t="n">
        <f aca="false">MIN(E2309,G2309,I2309)</f>
        <v>1129</v>
      </c>
      <c r="L2309" s="9" t="str">
        <f aca="false">IF(E2309=K2309,"5000m",IF(G2309=K2309,"3000mSC","1500m"))</f>
        <v>3000mSC</v>
      </c>
      <c r="M2309" s="14" t="n">
        <f aca="false">(D2309&lt;&gt;"")*(D2309&lt;=($E$3*60+$F$3)/86400)+(F2309&lt;&gt;"")*(F2309&lt;=($I$3*60+$J$3)/86400)+(H2309&lt;&gt;"")*(H2309&lt;=($M$3*60+$N$3)/86400)</f>
        <v>0</v>
      </c>
      <c r="N2309" s="16"/>
      <c r="O2309" s="15"/>
    </row>
    <row r="2310" customFormat="false" ht="15" hidden="false" customHeight="false" outlineLevel="0" collapsed="false">
      <c r="A2310" s="9" t="n">
        <v>2304</v>
      </c>
      <c r="B2310" s="10" t="s">
        <v>3273</v>
      </c>
      <c r="C2310" s="10" t="s">
        <v>471</v>
      </c>
      <c r="D2310" s="11" t="n">
        <v>0.0110204861111111</v>
      </c>
      <c r="E2310" s="12" t="n">
        <v>1130</v>
      </c>
      <c r="F2310" s="11"/>
      <c r="G2310" s="12"/>
      <c r="H2310" s="11"/>
      <c r="I2310" s="12"/>
      <c r="J2310" s="12" t="n">
        <f aca="false">COUNT(E2310,G2310,I2310)</f>
        <v>1</v>
      </c>
      <c r="K2310" s="13" t="n">
        <f aca="false">MIN(E2310,G2310,I2310)</f>
        <v>1130</v>
      </c>
      <c r="L2310" s="9" t="str">
        <f aca="false">IF(E2310=K2310,"5000m",IF(G2310=K2310,"3000mSC","1500m"))</f>
        <v>5000m</v>
      </c>
      <c r="M2310" s="14" t="n">
        <f aca="false">(D2310&lt;&gt;"")*(D2310&lt;=($E$3*60+$F$3)/86400)+(F2310&lt;&gt;"")*(F2310&lt;=($I$3*60+$J$3)/86400)+(H2310&lt;&gt;"")*(H2310&lt;=($M$3*60+$N$3)/86400)</f>
        <v>0</v>
      </c>
      <c r="N2310" s="16"/>
      <c r="O2310" s="15"/>
    </row>
    <row r="2311" customFormat="false" ht="25.35" hidden="false" customHeight="false" outlineLevel="0" collapsed="false">
      <c r="A2311" s="9" t="n">
        <v>2305</v>
      </c>
      <c r="B2311" s="10" t="s">
        <v>3274</v>
      </c>
      <c r="C2311" s="10" t="s">
        <v>3275</v>
      </c>
      <c r="D2311" s="11"/>
      <c r="E2311" s="12"/>
      <c r="F2311" s="11" t="n">
        <v>0.00778981481481482</v>
      </c>
      <c r="G2311" s="12" t="n">
        <v>1130</v>
      </c>
      <c r="H2311" s="11"/>
      <c r="I2311" s="12"/>
      <c r="J2311" s="12" t="n">
        <f aca="false">COUNT(E2311,G2311,I2311)</f>
        <v>1</v>
      </c>
      <c r="K2311" s="13" t="n">
        <f aca="false">MIN(E2311,G2311,I2311)</f>
        <v>1130</v>
      </c>
      <c r="L2311" s="9" t="str">
        <f aca="false">IF(E2311=K2311,"5000m",IF(G2311=K2311,"3000mSC","1500m"))</f>
        <v>3000mSC</v>
      </c>
      <c r="M2311" s="14" t="n">
        <f aca="false">(D2311&lt;&gt;"")*(D2311&lt;=($E$3*60+$F$3)/86400)+(F2311&lt;&gt;"")*(F2311&lt;=($I$3*60+$J$3)/86400)+(H2311&lt;&gt;"")*(H2311&lt;=($M$3*60+$N$3)/86400)</f>
        <v>0</v>
      </c>
      <c r="N2311" s="16"/>
      <c r="O2311" s="15"/>
    </row>
    <row r="2312" customFormat="false" ht="15" hidden="false" customHeight="false" outlineLevel="0" collapsed="false">
      <c r="A2312" s="9" t="n">
        <v>2306</v>
      </c>
      <c r="B2312" s="10" t="s">
        <v>3276</v>
      </c>
      <c r="C2312" s="10" t="s">
        <v>3277</v>
      </c>
      <c r="D2312" s="11"/>
      <c r="E2312" s="12"/>
      <c r="F2312" s="11"/>
      <c r="G2312" s="12"/>
      <c r="H2312" s="11" t="n">
        <v>0.00292326388888889</v>
      </c>
      <c r="I2312" s="12" t="n">
        <v>1130</v>
      </c>
      <c r="J2312" s="12" t="n">
        <f aca="false">COUNT(E2312,G2312,I2312)</f>
        <v>1</v>
      </c>
      <c r="K2312" s="13" t="n">
        <f aca="false">MIN(E2312,G2312,I2312)</f>
        <v>1130</v>
      </c>
      <c r="L2312" s="9" t="str">
        <f aca="false">IF(E2312=K2312,"5000m",IF(G2312=K2312,"3000mSC","1500m"))</f>
        <v>1500m</v>
      </c>
      <c r="M2312" s="14" t="n">
        <f aca="false">(D2312&lt;&gt;"")*(D2312&lt;=($E$3*60+$F$3)/86400)+(F2312&lt;&gt;"")*(F2312&lt;=($I$3*60+$J$3)/86400)+(H2312&lt;&gt;"")*(H2312&lt;=($M$3*60+$N$3)/86400)</f>
        <v>0</v>
      </c>
      <c r="N2312" s="16"/>
      <c r="O2312" s="15"/>
    </row>
    <row r="2313" customFormat="false" ht="25.35" hidden="false" customHeight="false" outlineLevel="0" collapsed="false">
      <c r="A2313" s="9" t="n">
        <v>2307</v>
      </c>
      <c r="B2313" s="10" t="s">
        <v>3278</v>
      </c>
      <c r="C2313" s="10" t="s">
        <v>2783</v>
      </c>
      <c r="D2313" s="11"/>
      <c r="E2313" s="12"/>
      <c r="F2313" s="11" t="n">
        <v>0.00779340277777778</v>
      </c>
      <c r="G2313" s="12" t="n">
        <v>1131</v>
      </c>
      <c r="H2313" s="11"/>
      <c r="I2313" s="12"/>
      <c r="J2313" s="12" t="n">
        <f aca="false">COUNT(E2313,G2313,I2313)</f>
        <v>1</v>
      </c>
      <c r="K2313" s="13" t="n">
        <f aca="false">MIN(E2313,G2313,I2313)</f>
        <v>1131</v>
      </c>
      <c r="L2313" s="9" t="str">
        <f aca="false">IF(E2313=K2313,"5000m",IF(G2313=K2313,"3000mSC","1500m"))</f>
        <v>3000mSC</v>
      </c>
      <c r="M2313" s="14" t="n">
        <f aca="false">(D2313&lt;&gt;"")*(D2313&lt;=($E$3*60+$F$3)/86400)+(F2313&lt;&gt;"")*(F2313&lt;=($I$3*60+$J$3)/86400)+(H2313&lt;&gt;"")*(H2313&lt;=($M$3*60+$N$3)/86400)</f>
        <v>0</v>
      </c>
      <c r="N2313" s="16"/>
      <c r="O2313" s="15"/>
    </row>
    <row r="2314" customFormat="false" ht="15" hidden="false" customHeight="false" outlineLevel="0" collapsed="false">
      <c r="A2314" s="9" t="n">
        <v>2308</v>
      </c>
      <c r="B2314" s="10" t="s">
        <v>3279</v>
      </c>
      <c r="C2314" s="10" t="s">
        <v>3280</v>
      </c>
      <c r="D2314" s="11"/>
      <c r="E2314" s="12"/>
      <c r="F2314" s="11"/>
      <c r="G2314" s="12"/>
      <c r="H2314" s="11" t="n">
        <v>0.00292326388888889</v>
      </c>
      <c r="I2314" s="12" t="n">
        <v>1131</v>
      </c>
      <c r="J2314" s="12" t="n">
        <f aca="false">COUNT(E2314,G2314,I2314)</f>
        <v>1</v>
      </c>
      <c r="K2314" s="13" t="n">
        <f aca="false">MIN(E2314,G2314,I2314)</f>
        <v>1131</v>
      </c>
      <c r="L2314" s="9" t="str">
        <f aca="false">IF(E2314=K2314,"5000m",IF(G2314=K2314,"3000mSC","1500m"))</f>
        <v>1500m</v>
      </c>
      <c r="M2314" s="14" t="n">
        <f aca="false">(D2314&lt;&gt;"")*(D2314&lt;=($E$3*60+$F$3)/86400)+(F2314&lt;&gt;"")*(F2314&lt;=($I$3*60+$J$3)/86400)+(H2314&lt;&gt;"")*(H2314&lt;=($M$3*60+$N$3)/86400)</f>
        <v>0</v>
      </c>
      <c r="N2314" s="16"/>
      <c r="O2314" s="15"/>
    </row>
    <row r="2315" customFormat="false" ht="25.35" hidden="false" customHeight="false" outlineLevel="0" collapsed="false">
      <c r="A2315" s="9" t="n">
        <v>2309</v>
      </c>
      <c r="B2315" s="10" t="s">
        <v>3281</v>
      </c>
      <c r="C2315" s="10" t="s">
        <v>1764</v>
      </c>
      <c r="D2315" s="11"/>
      <c r="E2315" s="12"/>
      <c r="F2315" s="11" t="n">
        <v>0.00779363425925926</v>
      </c>
      <c r="G2315" s="12" t="n">
        <v>1132</v>
      </c>
      <c r="H2315" s="11"/>
      <c r="I2315" s="12"/>
      <c r="J2315" s="12" t="n">
        <f aca="false">COUNT(E2315,G2315,I2315)</f>
        <v>1</v>
      </c>
      <c r="K2315" s="13" t="n">
        <f aca="false">MIN(E2315,G2315,I2315)</f>
        <v>1132</v>
      </c>
      <c r="L2315" s="9" t="str">
        <f aca="false">IF(E2315=K2315,"5000m",IF(G2315=K2315,"3000mSC","1500m"))</f>
        <v>3000mSC</v>
      </c>
      <c r="M2315" s="14" t="n">
        <f aca="false">(D2315&lt;&gt;"")*(D2315&lt;=($E$3*60+$F$3)/86400)+(F2315&lt;&gt;"")*(F2315&lt;=($I$3*60+$J$3)/86400)+(H2315&lt;&gt;"")*(H2315&lt;=($M$3*60+$N$3)/86400)</f>
        <v>0</v>
      </c>
      <c r="N2315" s="16"/>
      <c r="O2315" s="15"/>
    </row>
    <row r="2316" customFormat="false" ht="15" hidden="false" customHeight="false" outlineLevel="0" collapsed="false">
      <c r="A2316" s="9" t="n">
        <v>2310</v>
      </c>
      <c r="B2316" s="10" t="s">
        <v>3282</v>
      </c>
      <c r="C2316" s="10" t="s">
        <v>457</v>
      </c>
      <c r="D2316" s="11"/>
      <c r="E2316" s="12"/>
      <c r="F2316" s="11"/>
      <c r="G2316" s="12"/>
      <c r="H2316" s="11" t="n">
        <v>0.00292337962962963</v>
      </c>
      <c r="I2316" s="12" t="n">
        <v>1132</v>
      </c>
      <c r="J2316" s="12" t="n">
        <f aca="false">COUNT(E2316,G2316,I2316)</f>
        <v>1</v>
      </c>
      <c r="K2316" s="13" t="n">
        <f aca="false">MIN(E2316,G2316,I2316)</f>
        <v>1132</v>
      </c>
      <c r="L2316" s="9" t="str">
        <f aca="false">IF(E2316=K2316,"5000m",IF(G2316=K2316,"3000mSC","1500m"))</f>
        <v>1500m</v>
      </c>
      <c r="M2316" s="14" t="n">
        <f aca="false">(D2316&lt;&gt;"")*(D2316&lt;=($E$3*60+$F$3)/86400)+(F2316&lt;&gt;"")*(F2316&lt;=($I$3*60+$J$3)/86400)+(H2316&lt;&gt;"")*(H2316&lt;=($M$3*60+$N$3)/86400)</f>
        <v>0</v>
      </c>
      <c r="N2316" s="16"/>
      <c r="O2316" s="15"/>
    </row>
    <row r="2317" customFormat="false" ht="15" hidden="false" customHeight="false" outlineLevel="0" collapsed="false">
      <c r="A2317" s="9" t="n">
        <v>2311</v>
      </c>
      <c r="B2317" s="10" t="s">
        <v>3283</v>
      </c>
      <c r="C2317" s="10" t="s">
        <v>2196</v>
      </c>
      <c r="D2317" s="11" t="n">
        <v>0.011021875</v>
      </c>
      <c r="E2317" s="12" t="n">
        <v>1133</v>
      </c>
      <c r="F2317" s="11"/>
      <c r="G2317" s="12"/>
      <c r="H2317" s="11"/>
      <c r="I2317" s="12"/>
      <c r="J2317" s="12" t="n">
        <f aca="false">COUNT(E2317,G2317,I2317)</f>
        <v>1</v>
      </c>
      <c r="K2317" s="13" t="n">
        <f aca="false">MIN(E2317,G2317,I2317)</f>
        <v>1133</v>
      </c>
      <c r="L2317" s="9" t="str">
        <f aca="false">IF(E2317=K2317,"5000m",IF(G2317=K2317,"3000mSC","1500m"))</f>
        <v>5000m</v>
      </c>
      <c r="M2317" s="14" t="n">
        <f aca="false">(D2317&lt;&gt;"")*(D2317&lt;=($E$3*60+$F$3)/86400)+(F2317&lt;&gt;"")*(F2317&lt;=($I$3*60+$J$3)/86400)+(H2317&lt;&gt;"")*(H2317&lt;=($M$3*60+$N$3)/86400)</f>
        <v>0</v>
      </c>
      <c r="N2317" s="16"/>
      <c r="O2317" s="15"/>
    </row>
    <row r="2318" customFormat="false" ht="25.35" hidden="false" customHeight="false" outlineLevel="0" collapsed="false">
      <c r="A2318" s="9" t="n">
        <v>2312</v>
      </c>
      <c r="B2318" s="10" t="s">
        <v>3284</v>
      </c>
      <c r="C2318" s="10" t="s">
        <v>3285</v>
      </c>
      <c r="D2318" s="11"/>
      <c r="E2318" s="12"/>
      <c r="F2318" s="11" t="n">
        <v>0.00779756944444445</v>
      </c>
      <c r="G2318" s="12" t="n">
        <v>1133</v>
      </c>
      <c r="H2318" s="11"/>
      <c r="I2318" s="12"/>
      <c r="J2318" s="12" t="n">
        <f aca="false">COUNT(E2318,G2318,I2318)</f>
        <v>1</v>
      </c>
      <c r="K2318" s="13" t="n">
        <f aca="false">MIN(E2318,G2318,I2318)</f>
        <v>1133</v>
      </c>
      <c r="L2318" s="9" t="str">
        <f aca="false">IF(E2318=K2318,"5000m",IF(G2318=K2318,"3000mSC","1500m"))</f>
        <v>3000mSC</v>
      </c>
      <c r="M2318" s="14" t="n">
        <f aca="false">(D2318&lt;&gt;"")*(D2318&lt;=($E$3*60+$F$3)/86400)+(F2318&lt;&gt;"")*(F2318&lt;=($I$3*60+$J$3)/86400)+(H2318&lt;&gt;"")*(H2318&lt;=($M$3*60+$N$3)/86400)</f>
        <v>0</v>
      </c>
      <c r="N2318" s="16"/>
      <c r="O2318" s="15"/>
    </row>
    <row r="2319" customFormat="false" ht="25.35" hidden="false" customHeight="false" outlineLevel="0" collapsed="false">
      <c r="A2319" s="9" t="n">
        <v>2313</v>
      </c>
      <c r="B2319" s="10" t="s">
        <v>3286</v>
      </c>
      <c r="C2319" s="10" t="s">
        <v>3287</v>
      </c>
      <c r="D2319" s="11"/>
      <c r="E2319" s="12"/>
      <c r="F2319" s="11" t="n">
        <v>0.00779803240740741</v>
      </c>
      <c r="G2319" s="12" t="n">
        <v>1134</v>
      </c>
      <c r="H2319" s="11"/>
      <c r="I2319" s="12"/>
      <c r="J2319" s="12" t="n">
        <f aca="false">COUNT(E2319,G2319,I2319)</f>
        <v>1</v>
      </c>
      <c r="K2319" s="13" t="n">
        <f aca="false">MIN(E2319,G2319,I2319)</f>
        <v>1134</v>
      </c>
      <c r="L2319" s="9" t="str">
        <f aca="false">IF(E2319=K2319,"5000m",IF(G2319=K2319,"3000mSC","1500m"))</f>
        <v>3000mSC</v>
      </c>
      <c r="M2319" s="14" t="n">
        <f aca="false">(D2319&lt;&gt;"")*(D2319&lt;=($E$3*60+$F$3)/86400)+(F2319&lt;&gt;"")*(F2319&lt;=($I$3*60+$J$3)/86400)+(H2319&lt;&gt;"")*(H2319&lt;=($M$3*60+$N$3)/86400)</f>
        <v>0</v>
      </c>
      <c r="N2319" s="16"/>
      <c r="O2319" s="15"/>
    </row>
    <row r="2320" customFormat="false" ht="15" hidden="false" customHeight="false" outlineLevel="0" collapsed="false">
      <c r="A2320" s="9" t="n">
        <v>2314</v>
      </c>
      <c r="B2320" s="10" t="s">
        <v>3288</v>
      </c>
      <c r="C2320" s="10" t="s">
        <v>1322</v>
      </c>
      <c r="D2320" s="11" t="n">
        <v>0.0110225694444444</v>
      </c>
      <c r="E2320" s="12" t="n">
        <v>1135</v>
      </c>
      <c r="F2320" s="11"/>
      <c r="G2320" s="12"/>
      <c r="H2320" s="11"/>
      <c r="I2320" s="12"/>
      <c r="J2320" s="12" t="n">
        <f aca="false">COUNT(E2320,G2320,I2320)</f>
        <v>1</v>
      </c>
      <c r="K2320" s="13" t="n">
        <f aca="false">MIN(E2320,G2320,I2320)</f>
        <v>1135</v>
      </c>
      <c r="L2320" s="9" t="str">
        <f aca="false">IF(E2320=K2320,"5000m",IF(G2320=K2320,"3000mSC","1500m"))</f>
        <v>5000m</v>
      </c>
      <c r="M2320" s="14" t="n">
        <f aca="false">(D2320&lt;&gt;"")*(D2320&lt;=($E$3*60+$F$3)/86400)+(F2320&lt;&gt;"")*(F2320&lt;=($I$3*60+$J$3)/86400)+(H2320&lt;&gt;"")*(H2320&lt;=($M$3*60+$N$3)/86400)</f>
        <v>0</v>
      </c>
      <c r="N2320" s="16"/>
      <c r="O2320" s="15"/>
    </row>
    <row r="2321" customFormat="false" ht="25.35" hidden="false" customHeight="false" outlineLevel="0" collapsed="false">
      <c r="A2321" s="9" t="n">
        <v>2315</v>
      </c>
      <c r="B2321" s="10" t="s">
        <v>3289</v>
      </c>
      <c r="C2321" s="10" t="s">
        <v>3290</v>
      </c>
      <c r="D2321" s="11"/>
      <c r="E2321" s="12"/>
      <c r="F2321" s="11" t="n">
        <v>0.00779976851851852</v>
      </c>
      <c r="G2321" s="12" t="n">
        <v>1135</v>
      </c>
      <c r="H2321" s="11"/>
      <c r="I2321" s="12"/>
      <c r="J2321" s="12" t="n">
        <f aca="false">COUNT(E2321,G2321,I2321)</f>
        <v>1</v>
      </c>
      <c r="K2321" s="13" t="n">
        <f aca="false">MIN(E2321,G2321,I2321)</f>
        <v>1135</v>
      </c>
      <c r="L2321" s="9" t="str">
        <f aca="false">IF(E2321=K2321,"5000m",IF(G2321=K2321,"3000mSC","1500m"))</f>
        <v>3000mSC</v>
      </c>
      <c r="M2321" s="14" t="n">
        <f aca="false">(D2321&lt;&gt;"")*(D2321&lt;=($E$3*60+$F$3)/86400)+(F2321&lt;&gt;"")*(F2321&lt;=($I$3*60+$J$3)/86400)+(H2321&lt;&gt;"")*(H2321&lt;=($M$3*60+$N$3)/86400)</f>
        <v>0</v>
      </c>
      <c r="N2321" s="16"/>
      <c r="O2321" s="15"/>
    </row>
    <row r="2322" customFormat="false" ht="15" hidden="false" customHeight="false" outlineLevel="0" collapsed="false">
      <c r="A2322" s="9" t="n">
        <v>2316</v>
      </c>
      <c r="B2322" s="10" t="s">
        <v>3291</v>
      </c>
      <c r="C2322" s="10" t="s">
        <v>3292</v>
      </c>
      <c r="D2322" s="11"/>
      <c r="E2322" s="12"/>
      <c r="F2322" s="11"/>
      <c r="G2322" s="12"/>
      <c r="H2322" s="11" t="n">
        <v>0.00292395833333333</v>
      </c>
      <c r="I2322" s="12" t="n">
        <v>1135</v>
      </c>
      <c r="J2322" s="12" t="n">
        <f aca="false">COUNT(E2322,G2322,I2322)</f>
        <v>1</v>
      </c>
      <c r="K2322" s="13" t="n">
        <f aca="false">MIN(E2322,G2322,I2322)</f>
        <v>1135</v>
      </c>
      <c r="L2322" s="9" t="str">
        <f aca="false">IF(E2322=K2322,"5000m",IF(G2322=K2322,"3000mSC","1500m"))</f>
        <v>1500m</v>
      </c>
      <c r="M2322" s="14" t="n">
        <f aca="false">(D2322&lt;&gt;"")*(D2322&lt;=($E$3*60+$F$3)/86400)+(F2322&lt;&gt;"")*(F2322&lt;=($I$3*60+$J$3)/86400)+(H2322&lt;&gt;"")*(H2322&lt;=($M$3*60+$N$3)/86400)</f>
        <v>0</v>
      </c>
      <c r="N2322" s="16"/>
      <c r="O2322" s="15"/>
    </row>
    <row r="2323" customFormat="false" ht="25.35" hidden="false" customHeight="false" outlineLevel="0" collapsed="false">
      <c r="A2323" s="9" t="n">
        <v>2317</v>
      </c>
      <c r="B2323" s="10" t="s">
        <v>3293</v>
      </c>
      <c r="C2323" s="10" t="s">
        <v>3294</v>
      </c>
      <c r="D2323" s="11"/>
      <c r="E2323" s="12"/>
      <c r="F2323" s="11" t="n">
        <v>0.00781087962962963</v>
      </c>
      <c r="G2323" s="12" t="n">
        <v>1137</v>
      </c>
      <c r="H2323" s="11"/>
      <c r="I2323" s="12"/>
      <c r="J2323" s="12" t="n">
        <f aca="false">COUNT(E2323,G2323,I2323)</f>
        <v>1</v>
      </c>
      <c r="K2323" s="13" t="n">
        <f aca="false">MIN(E2323,G2323,I2323)</f>
        <v>1137</v>
      </c>
      <c r="L2323" s="9" t="str">
        <f aca="false">IF(E2323=K2323,"5000m",IF(G2323=K2323,"3000mSC","1500m"))</f>
        <v>3000mSC</v>
      </c>
      <c r="M2323" s="14" t="n">
        <f aca="false">(D2323&lt;&gt;"")*(D2323&lt;=($E$3*60+$F$3)/86400)+(F2323&lt;&gt;"")*(F2323&lt;=($I$3*60+$J$3)/86400)+(H2323&lt;&gt;"")*(H2323&lt;=($M$3*60+$N$3)/86400)</f>
        <v>0</v>
      </c>
      <c r="N2323" s="16"/>
      <c r="O2323" s="15"/>
    </row>
    <row r="2324" customFormat="false" ht="15" hidden="false" customHeight="false" outlineLevel="0" collapsed="false">
      <c r="A2324" s="9" t="n">
        <v>2318</v>
      </c>
      <c r="B2324" s="10" t="s">
        <v>3295</v>
      </c>
      <c r="C2324" s="10" t="s">
        <v>3296</v>
      </c>
      <c r="D2324" s="11"/>
      <c r="E2324" s="12"/>
      <c r="F2324" s="11"/>
      <c r="G2324" s="12"/>
      <c r="H2324" s="11" t="n">
        <v>0.00292395833333333</v>
      </c>
      <c r="I2324" s="12" t="n">
        <v>1137</v>
      </c>
      <c r="J2324" s="12" t="n">
        <f aca="false">COUNT(E2324,G2324,I2324)</f>
        <v>1</v>
      </c>
      <c r="K2324" s="13" t="n">
        <f aca="false">MIN(E2324,G2324,I2324)</f>
        <v>1137</v>
      </c>
      <c r="L2324" s="9" t="str">
        <f aca="false">IF(E2324=K2324,"5000m",IF(G2324=K2324,"3000mSC","1500m"))</f>
        <v>1500m</v>
      </c>
      <c r="M2324" s="14" t="n">
        <f aca="false">(D2324&lt;&gt;"")*(D2324&lt;=($E$3*60+$F$3)/86400)+(F2324&lt;&gt;"")*(F2324&lt;=($I$3*60+$J$3)/86400)+(H2324&lt;&gt;"")*(H2324&lt;=($M$3*60+$N$3)/86400)</f>
        <v>0</v>
      </c>
      <c r="N2324" s="16"/>
      <c r="O2324" s="15"/>
    </row>
    <row r="2325" customFormat="false" ht="15" hidden="false" customHeight="false" outlineLevel="0" collapsed="false">
      <c r="A2325" s="9" t="n">
        <v>2319</v>
      </c>
      <c r="B2325" s="10" t="s">
        <v>3297</v>
      </c>
      <c r="C2325" s="10" t="s">
        <v>49</v>
      </c>
      <c r="D2325" s="11" t="n">
        <v>0.0110253472222222</v>
      </c>
      <c r="E2325" s="12" t="n">
        <v>1138</v>
      </c>
      <c r="F2325" s="11"/>
      <c r="G2325" s="12"/>
      <c r="H2325" s="11"/>
      <c r="I2325" s="12"/>
      <c r="J2325" s="12" t="n">
        <f aca="false">COUNT(E2325,G2325,I2325)</f>
        <v>1</v>
      </c>
      <c r="K2325" s="13" t="n">
        <f aca="false">MIN(E2325,G2325,I2325)</f>
        <v>1138</v>
      </c>
      <c r="L2325" s="9" t="str">
        <f aca="false">IF(E2325=K2325,"5000m",IF(G2325=K2325,"3000mSC","1500m"))</f>
        <v>5000m</v>
      </c>
      <c r="M2325" s="14" t="n">
        <f aca="false">(D2325&lt;&gt;"")*(D2325&lt;=($E$3*60+$F$3)/86400)+(F2325&lt;&gt;"")*(F2325&lt;=($I$3*60+$J$3)/86400)+(H2325&lt;&gt;"")*(H2325&lt;=($M$3*60+$N$3)/86400)</f>
        <v>0</v>
      </c>
      <c r="N2325" s="16"/>
      <c r="O2325" s="15"/>
    </row>
    <row r="2326" customFormat="false" ht="25.35" hidden="false" customHeight="false" outlineLevel="0" collapsed="false">
      <c r="A2326" s="9" t="n">
        <v>2320</v>
      </c>
      <c r="B2326" s="10" t="s">
        <v>3298</v>
      </c>
      <c r="C2326" s="10" t="s">
        <v>3299</v>
      </c>
      <c r="D2326" s="11"/>
      <c r="E2326" s="12"/>
      <c r="F2326" s="11" t="n">
        <v>0.00781099537037037</v>
      </c>
      <c r="G2326" s="12" t="n">
        <v>1138</v>
      </c>
      <c r="H2326" s="11"/>
      <c r="I2326" s="12"/>
      <c r="J2326" s="12" t="n">
        <f aca="false">COUNT(E2326,G2326,I2326)</f>
        <v>1</v>
      </c>
      <c r="K2326" s="13" t="n">
        <f aca="false">MIN(E2326,G2326,I2326)</f>
        <v>1138</v>
      </c>
      <c r="L2326" s="9" t="str">
        <f aca="false">IF(E2326=K2326,"5000m",IF(G2326=K2326,"3000mSC","1500m"))</f>
        <v>3000mSC</v>
      </c>
      <c r="M2326" s="14" t="n">
        <f aca="false">(D2326&lt;&gt;"")*(D2326&lt;=($E$3*60+$F$3)/86400)+(F2326&lt;&gt;"")*(F2326&lt;=($I$3*60+$J$3)/86400)+(H2326&lt;&gt;"")*(H2326&lt;=($M$3*60+$N$3)/86400)</f>
        <v>0</v>
      </c>
      <c r="N2326" s="16"/>
      <c r="O2326" s="15"/>
    </row>
    <row r="2327" customFormat="false" ht="15" hidden="false" customHeight="false" outlineLevel="0" collapsed="false">
      <c r="A2327" s="9" t="n">
        <v>2321</v>
      </c>
      <c r="B2327" s="10" t="s">
        <v>3300</v>
      </c>
      <c r="C2327" s="10" t="s">
        <v>175</v>
      </c>
      <c r="D2327" s="11" t="n">
        <v>0.0110255787037037</v>
      </c>
      <c r="E2327" s="12" t="n">
        <v>1139</v>
      </c>
      <c r="F2327" s="11"/>
      <c r="G2327" s="12"/>
      <c r="H2327" s="11"/>
      <c r="I2327" s="12"/>
      <c r="J2327" s="12" t="n">
        <f aca="false">COUNT(E2327,G2327,I2327)</f>
        <v>1</v>
      </c>
      <c r="K2327" s="13" t="n">
        <f aca="false">MIN(E2327,G2327,I2327)</f>
        <v>1139</v>
      </c>
      <c r="L2327" s="9" t="str">
        <f aca="false">IF(E2327=K2327,"5000m",IF(G2327=K2327,"3000mSC","1500m"))</f>
        <v>5000m</v>
      </c>
      <c r="M2327" s="14" t="n">
        <f aca="false">(D2327&lt;&gt;"")*(D2327&lt;=($E$3*60+$F$3)/86400)+(F2327&lt;&gt;"")*(F2327&lt;=($I$3*60+$J$3)/86400)+(H2327&lt;&gt;"")*(H2327&lt;=($M$3*60+$N$3)/86400)</f>
        <v>0</v>
      </c>
      <c r="N2327" s="16"/>
      <c r="O2327" s="15"/>
    </row>
    <row r="2328" customFormat="false" ht="25.35" hidden="false" customHeight="false" outlineLevel="0" collapsed="false">
      <c r="A2328" s="9" t="n">
        <v>2322</v>
      </c>
      <c r="B2328" s="10" t="s">
        <v>3301</v>
      </c>
      <c r="C2328" s="10" t="s">
        <v>195</v>
      </c>
      <c r="D2328" s="11"/>
      <c r="E2328" s="12"/>
      <c r="F2328" s="11" t="n">
        <v>0.00781585648148148</v>
      </c>
      <c r="G2328" s="12" t="n">
        <v>1139</v>
      </c>
      <c r="H2328" s="11"/>
      <c r="I2328" s="12"/>
      <c r="J2328" s="12" t="n">
        <f aca="false">COUNT(E2328,G2328,I2328)</f>
        <v>1</v>
      </c>
      <c r="K2328" s="13" t="n">
        <f aca="false">MIN(E2328,G2328,I2328)</f>
        <v>1139</v>
      </c>
      <c r="L2328" s="9" t="str">
        <f aca="false">IF(E2328=K2328,"5000m",IF(G2328=K2328,"3000mSC","1500m"))</f>
        <v>3000mSC</v>
      </c>
      <c r="M2328" s="14" t="n">
        <f aca="false">(D2328&lt;&gt;"")*(D2328&lt;=($E$3*60+$F$3)/86400)+(F2328&lt;&gt;"")*(F2328&lt;=($I$3*60+$J$3)/86400)+(H2328&lt;&gt;"")*(H2328&lt;=($M$3*60+$N$3)/86400)</f>
        <v>0</v>
      </c>
      <c r="N2328" s="16"/>
      <c r="O2328" s="15"/>
    </row>
    <row r="2329" customFormat="false" ht="25.35" hidden="false" customHeight="false" outlineLevel="0" collapsed="false">
      <c r="A2329" s="9" t="n">
        <v>2323</v>
      </c>
      <c r="B2329" s="10" t="s">
        <v>3302</v>
      </c>
      <c r="C2329" s="10" t="s">
        <v>2097</v>
      </c>
      <c r="D2329" s="11"/>
      <c r="E2329" s="12"/>
      <c r="F2329" s="11" t="n">
        <v>0.00781585648148148</v>
      </c>
      <c r="G2329" s="12" t="n">
        <v>1140</v>
      </c>
      <c r="H2329" s="11"/>
      <c r="I2329" s="12"/>
      <c r="J2329" s="12" t="n">
        <f aca="false">COUNT(E2329,G2329,I2329)</f>
        <v>1</v>
      </c>
      <c r="K2329" s="13" t="n">
        <f aca="false">MIN(E2329,G2329,I2329)</f>
        <v>1140</v>
      </c>
      <c r="L2329" s="9" t="str">
        <f aca="false">IF(E2329=K2329,"5000m",IF(G2329=K2329,"3000mSC","1500m"))</f>
        <v>3000mSC</v>
      </c>
      <c r="M2329" s="14" t="n">
        <f aca="false">(D2329&lt;&gt;"")*(D2329&lt;=($E$3*60+$F$3)/86400)+(F2329&lt;&gt;"")*(F2329&lt;=($I$3*60+$J$3)/86400)+(H2329&lt;&gt;"")*(H2329&lt;=($M$3*60+$N$3)/86400)</f>
        <v>0</v>
      </c>
      <c r="N2329" s="16"/>
      <c r="O2329" s="15"/>
    </row>
    <row r="2330" customFormat="false" ht="25.35" hidden="false" customHeight="false" outlineLevel="0" collapsed="false">
      <c r="A2330" s="9" t="n">
        <v>2324</v>
      </c>
      <c r="B2330" s="10" t="s">
        <v>3303</v>
      </c>
      <c r="C2330" s="10" t="s">
        <v>3264</v>
      </c>
      <c r="D2330" s="11"/>
      <c r="E2330" s="12"/>
      <c r="F2330" s="11" t="n">
        <v>0.00781666666666667</v>
      </c>
      <c r="G2330" s="12" t="n">
        <v>1141</v>
      </c>
      <c r="H2330" s="11"/>
      <c r="I2330" s="12"/>
      <c r="J2330" s="12" t="n">
        <f aca="false">COUNT(E2330,G2330,I2330)</f>
        <v>1</v>
      </c>
      <c r="K2330" s="13" t="n">
        <f aca="false">MIN(E2330,G2330,I2330)</f>
        <v>1141</v>
      </c>
      <c r="L2330" s="9" t="str">
        <f aca="false">IF(E2330=K2330,"5000m",IF(G2330=K2330,"3000mSC","1500m"))</f>
        <v>3000mSC</v>
      </c>
      <c r="M2330" s="14" t="n">
        <f aca="false">(D2330&lt;&gt;"")*(D2330&lt;=($E$3*60+$F$3)/86400)+(F2330&lt;&gt;"")*(F2330&lt;=($I$3*60+$J$3)/86400)+(H2330&lt;&gt;"")*(H2330&lt;=($M$3*60+$N$3)/86400)</f>
        <v>0</v>
      </c>
      <c r="N2330" s="16"/>
      <c r="O2330" s="15"/>
    </row>
    <row r="2331" customFormat="false" ht="15" hidden="false" customHeight="false" outlineLevel="0" collapsed="false">
      <c r="A2331" s="9" t="n">
        <v>2325</v>
      </c>
      <c r="B2331" s="10" t="s">
        <v>3304</v>
      </c>
      <c r="C2331" s="10" t="s">
        <v>3305</v>
      </c>
      <c r="D2331" s="11"/>
      <c r="E2331" s="12"/>
      <c r="F2331" s="11"/>
      <c r="G2331" s="12"/>
      <c r="H2331" s="11" t="n">
        <v>0.00292465277777778</v>
      </c>
      <c r="I2331" s="12" t="n">
        <v>1141</v>
      </c>
      <c r="J2331" s="12" t="n">
        <f aca="false">COUNT(E2331,G2331,I2331)</f>
        <v>1</v>
      </c>
      <c r="K2331" s="13" t="n">
        <f aca="false">MIN(E2331,G2331,I2331)</f>
        <v>1141</v>
      </c>
      <c r="L2331" s="9" t="str">
        <f aca="false">IF(E2331=K2331,"5000m",IF(G2331=K2331,"3000mSC","1500m"))</f>
        <v>1500m</v>
      </c>
      <c r="M2331" s="14" t="n">
        <f aca="false">(D2331&lt;&gt;"")*(D2331&lt;=($E$3*60+$F$3)/86400)+(F2331&lt;&gt;"")*(F2331&lt;=($I$3*60+$J$3)/86400)+(H2331&lt;&gt;"")*(H2331&lt;=($M$3*60+$N$3)/86400)</f>
        <v>0</v>
      </c>
      <c r="N2331" s="16"/>
      <c r="O2331" s="15"/>
    </row>
    <row r="2332" customFormat="false" ht="25.35" hidden="false" customHeight="false" outlineLevel="0" collapsed="false">
      <c r="A2332" s="9" t="n">
        <v>2326</v>
      </c>
      <c r="B2332" s="10" t="s">
        <v>3306</v>
      </c>
      <c r="C2332" s="10" t="s">
        <v>1170</v>
      </c>
      <c r="D2332" s="11"/>
      <c r="E2332" s="12"/>
      <c r="F2332" s="11" t="n">
        <v>0.00781979166666667</v>
      </c>
      <c r="G2332" s="12" t="n">
        <v>1142</v>
      </c>
      <c r="H2332" s="11"/>
      <c r="I2332" s="12"/>
      <c r="J2332" s="12" t="n">
        <f aca="false">COUNT(E2332,G2332,I2332)</f>
        <v>1</v>
      </c>
      <c r="K2332" s="13" t="n">
        <f aca="false">MIN(E2332,G2332,I2332)</f>
        <v>1142</v>
      </c>
      <c r="L2332" s="9" t="str">
        <f aca="false">IF(E2332=K2332,"5000m",IF(G2332=K2332,"3000mSC","1500m"))</f>
        <v>3000mSC</v>
      </c>
      <c r="M2332" s="14" t="n">
        <f aca="false">(D2332&lt;&gt;"")*(D2332&lt;=($E$3*60+$F$3)/86400)+(F2332&lt;&gt;"")*(F2332&lt;=($I$3*60+$J$3)/86400)+(H2332&lt;&gt;"")*(H2332&lt;=($M$3*60+$N$3)/86400)</f>
        <v>0</v>
      </c>
      <c r="N2332" s="16"/>
      <c r="O2332" s="15"/>
    </row>
    <row r="2333" customFormat="false" ht="25.35" hidden="false" customHeight="false" outlineLevel="0" collapsed="false">
      <c r="A2333" s="9" t="n">
        <v>2327</v>
      </c>
      <c r="B2333" s="10" t="s">
        <v>3307</v>
      </c>
      <c r="C2333" s="10" t="s">
        <v>3308</v>
      </c>
      <c r="D2333" s="11"/>
      <c r="E2333" s="12"/>
      <c r="F2333" s="11" t="n">
        <v>0.00782314814814815</v>
      </c>
      <c r="G2333" s="12" t="n">
        <v>1143</v>
      </c>
      <c r="H2333" s="11"/>
      <c r="I2333" s="12"/>
      <c r="J2333" s="12" t="n">
        <f aca="false">COUNT(E2333,G2333,I2333)</f>
        <v>1</v>
      </c>
      <c r="K2333" s="13" t="n">
        <f aca="false">MIN(E2333,G2333,I2333)</f>
        <v>1143</v>
      </c>
      <c r="L2333" s="9" t="str">
        <f aca="false">IF(E2333=K2333,"5000m",IF(G2333=K2333,"3000mSC","1500m"))</f>
        <v>3000mSC</v>
      </c>
      <c r="M2333" s="14" t="n">
        <f aca="false">(D2333&lt;&gt;"")*(D2333&lt;=($E$3*60+$F$3)/86400)+(F2333&lt;&gt;"")*(F2333&lt;=($I$3*60+$J$3)/86400)+(H2333&lt;&gt;"")*(H2333&lt;=($M$3*60+$N$3)/86400)</f>
        <v>0</v>
      </c>
      <c r="N2333" s="16"/>
      <c r="O2333" s="15"/>
    </row>
    <row r="2334" customFormat="false" ht="25.35" hidden="false" customHeight="false" outlineLevel="0" collapsed="false">
      <c r="A2334" s="9" t="n">
        <v>2328</v>
      </c>
      <c r="B2334" s="10" t="s">
        <v>3309</v>
      </c>
      <c r="C2334" s="10" t="s">
        <v>2386</v>
      </c>
      <c r="D2334" s="11"/>
      <c r="E2334" s="12"/>
      <c r="F2334" s="11" t="n">
        <v>0.00782361111111111</v>
      </c>
      <c r="G2334" s="12" t="n">
        <v>1144</v>
      </c>
      <c r="H2334" s="11"/>
      <c r="I2334" s="12"/>
      <c r="J2334" s="12" t="n">
        <f aca="false">COUNT(E2334,G2334,I2334)</f>
        <v>1</v>
      </c>
      <c r="K2334" s="13" t="n">
        <f aca="false">MIN(E2334,G2334,I2334)</f>
        <v>1144</v>
      </c>
      <c r="L2334" s="9" t="str">
        <f aca="false">IF(E2334=K2334,"5000m",IF(G2334=K2334,"3000mSC","1500m"))</f>
        <v>3000mSC</v>
      </c>
      <c r="M2334" s="14" t="n">
        <f aca="false">(D2334&lt;&gt;"")*(D2334&lt;=($E$3*60+$F$3)/86400)+(F2334&lt;&gt;"")*(F2334&lt;=($I$3*60+$J$3)/86400)+(H2334&lt;&gt;"")*(H2334&lt;=($M$3*60+$N$3)/86400)</f>
        <v>0</v>
      </c>
      <c r="N2334" s="16"/>
      <c r="O2334" s="15"/>
    </row>
    <row r="2335" customFormat="false" ht="25.35" hidden="false" customHeight="false" outlineLevel="0" collapsed="false">
      <c r="A2335" s="9" t="n">
        <v>2329</v>
      </c>
      <c r="B2335" s="10" t="s">
        <v>3310</v>
      </c>
      <c r="C2335" s="10" t="s">
        <v>3311</v>
      </c>
      <c r="D2335" s="11"/>
      <c r="E2335" s="12"/>
      <c r="F2335" s="11" t="n">
        <v>0.00782465277777778</v>
      </c>
      <c r="G2335" s="12" t="n">
        <v>1145</v>
      </c>
      <c r="H2335" s="11"/>
      <c r="I2335" s="12"/>
      <c r="J2335" s="12" t="n">
        <f aca="false">COUNT(E2335,G2335,I2335)</f>
        <v>1</v>
      </c>
      <c r="K2335" s="13" t="n">
        <f aca="false">MIN(E2335,G2335,I2335)</f>
        <v>1145</v>
      </c>
      <c r="L2335" s="9" t="str">
        <f aca="false">IF(E2335=K2335,"5000m",IF(G2335=K2335,"3000mSC","1500m"))</f>
        <v>3000mSC</v>
      </c>
      <c r="M2335" s="14" t="n">
        <f aca="false">(D2335&lt;&gt;"")*(D2335&lt;=($E$3*60+$F$3)/86400)+(F2335&lt;&gt;"")*(F2335&lt;=($I$3*60+$J$3)/86400)+(H2335&lt;&gt;"")*(H2335&lt;=($M$3*60+$N$3)/86400)</f>
        <v>0</v>
      </c>
      <c r="N2335" s="16"/>
      <c r="O2335" s="15"/>
    </row>
    <row r="2336" customFormat="false" ht="25.35" hidden="false" customHeight="false" outlineLevel="0" collapsed="false">
      <c r="A2336" s="9" t="n">
        <v>2330</v>
      </c>
      <c r="B2336" s="10" t="s">
        <v>3312</v>
      </c>
      <c r="C2336" s="10" t="s">
        <v>3313</v>
      </c>
      <c r="D2336" s="11"/>
      <c r="E2336" s="12"/>
      <c r="F2336" s="11" t="n">
        <v>0.00782708333333333</v>
      </c>
      <c r="G2336" s="12" t="n">
        <v>1146</v>
      </c>
      <c r="H2336" s="11"/>
      <c r="I2336" s="12"/>
      <c r="J2336" s="12" t="n">
        <f aca="false">COUNT(E2336,G2336,I2336)</f>
        <v>1</v>
      </c>
      <c r="K2336" s="13" t="n">
        <f aca="false">MIN(E2336,G2336,I2336)</f>
        <v>1146</v>
      </c>
      <c r="L2336" s="9" t="str">
        <f aca="false">IF(E2336=K2336,"5000m",IF(G2336=K2336,"3000mSC","1500m"))</f>
        <v>3000mSC</v>
      </c>
      <c r="M2336" s="14" t="n">
        <f aca="false">(D2336&lt;&gt;"")*(D2336&lt;=($E$3*60+$F$3)/86400)+(F2336&lt;&gt;"")*(F2336&lt;=($I$3*60+$J$3)/86400)+(H2336&lt;&gt;"")*(H2336&lt;=($M$3*60+$N$3)/86400)</f>
        <v>0</v>
      </c>
      <c r="N2336" s="16"/>
      <c r="O2336" s="15"/>
    </row>
    <row r="2337" customFormat="false" ht="15" hidden="false" customHeight="false" outlineLevel="0" collapsed="false">
      <c r="A2337" s="9" t="n">
        <v>2331</v>
      </c>
      <c r="B2337" s="10" t="s">
        <v>3314</v>
      </c>
      <c r="C2337" s="10" t="s">
        <v>567</v>
      </c>
      <c r="D2337" s="11" t="n">
        <v>0.0111163194444444</v>
      </c>
      <c r="E2337" s="12" t="n">
        <v>1283</v>
      </c>
      <c r="F2337" s="11"/>
      <c r="G2337" s="12"/>
      <c r="H2337" s="11" t="n">
        <v>0.00292488425925926</v>
      </c>
      <c r="I2337" s="12" t="n">
        <v>1147</v>
      </c>
      <c r="J2337" s="12" t="n">
        <f aca="false">COUNT(E2337,G2337,I2337)</f>
        <v>2</v>
      </c>
      <c r="K2337" s="13" t="n">
        <f aca="false">MIN(E2337,G2337,I2337)</f>
        <v>1147</v>
      </c>
      <c r="L2337" s="9" t="str">
        <f aca="false">IF(E2337=K2337,"5000m",IF(G2337=K2337,"3000mSC","1500m"))</f>
        <v>1500m</v>
      </c>
      <c r="M2337" s="14" t="n">
        <f aca="false">(D2337&lt;&gt;"")*(D2337&lt;=($E$3*60+$F$3)/86400)+(F2337&lt;&gt;"")*(F2337&lt;=($I$3*60+$J$3)/86400)+(H2337&lt;&gt;"")*(H2337&lt;=($M$3*60+$N$3)/86400)</f>
        <v>0</v>
      </c>
      <c r="N2337" s="16"/>
      <c r="O2337" s="15"/>
    </row>
    <row r="2338" customFormat="false" ht="25.35" hidden="false" customHeight="false" outlineLevel="0" collapsed="false">
      <c r="A2338" s="9" t="n">
        <v>2332</v>
      </c>
      <c r="B2338" s="10" t="s">
        <v>3315</v>
      </c>
      <c r="C2338" s="10" t="s">
        <v>3316</v>
      </c>
      <c r="D2338" s="11"/>
      <c r="E2338" s="12"/>
      <c r="F2338" s="11" t="n">
        <v>0.00783923611111111</v>
      </c>
      <c r="G2338" s="12" t="n">
        <v>1147</v>
      </c>
      <c r="H2338" s="11"/>
      <c r="I2338" s="12"/>
      <c r="J2338" s="12" t="n">
        <f aca="false">COUNT(E2338,G2338,I2338)</f>
        <v>1</v>
      </c>
      <c r="K2338" s="13" t="n">
        <f aca="false">MIN(E2338,G2338,I2338)</f>
        <v>1147</v>
      </c>
      <c r="L2338" s="9" t="str">
        <f aca="false">IF(E2338=K2338,"5000m",IF(G2338=K2338,"3000mSC","1500m"))</f>
        <v>3000mSC</v>
      </c>
      <c r="M2338" s="14" t="n">
        <f aca="false">(D2338&lt;&gt;"")*(D2338&lt;=($E$3*60+$F$3)/86400)+(F2338&lt;&gt;"")*(F2338&lt;=($I$3*60+$J$3)/86400)+(H2338&lt;&gt;"")*(H2338&lt;=($M$3*60+$N$3)/86400)</f>
        <v>0</v>
      </c>
      <c r="N2338" s="16"/>
      <c r="O2338" s="15"/>
    </row>
    <row r="2339" customFormat="false" ht="25.35" hidden="false" customHeight="false" outlineLevel="0" collapsed="false">
      <c r="A2339" s="9" t="n">
        <v>2333</v>
      </c>
      <c r="B2339" s="10" t="s">
        <v>3317</v>
      </c>
      <c r="C2339" s="10" t="s">
        <v>3318</v>
      </c>
      <c r="D2339" s="11"/>
      <c r="E2339" s="12"/>
      <c r="F2339" s="11" t="n">
        <v>0.00784537037037037</v>
      </c>
      <c r="G2339" s="12" t="n">
        <v>1148</v>
      </c>
      <c r="H2339" s="11"/>
      <c r="I2339" s="12"/>
      <c r="J2339" s="12" t="n">
        <f aca="false">COUNT(E2339,G2339,I2339)</f>
        <v>1</v>
      </c>
      <c r="K2339" s="13" t="n">
        <f aca="false">MIN(E2339,G2339,I2339)</f>
        <v>1148</v>
      </c>
      <c r="L2339" s="9" t="str">
        <f aca="false">IF(E2339=K2339,"5000m",IF(G2339=K2339,"3000mSC","1500m"))</f>
        <v>3000mSC</v>
      </c>
      <c r="M2339" s="14" t="n">
        <f aca="false">(D2339&lt;&gt;"")*(D2339&lt;=($E$3*60+$F$3)/86400)+(F2339&lt;&gt;"")*(F2339&lt;=($I$3*60+$J$3)/86400)+(H2339&lt;&gt;"")*(H2339&lt;=($M$3*60+$N$3)/86400)</f>
        <v>0</v>
      </c>
      <c r="N2339" s="16"/>
      <c r="O2339" s="15"/>
    </row>
    <row r="2340" customFormat="false" ht="15" hidden="false" customHeight="false" outlineLevel="0" collapsed="false">
      <c r="A2340" s="9" t="n">
        <v>2334</v>
      </c>
      <c r="B2340" s="10" t="s">
        <v>3319</v>
      </c>
      <c r="C2340" s="10" t="s">
        <v>1668</v>
      </c>
      <c r="D2340" s="11"/>
      <c r="E2340" s="12"/>
      <c r="F2340" s="11"/>
      <c r="G2340" s="12"/>
      <c r="H2340" s="11" t="n">
        <v>0.00292488425925926</v>
      </c>
      <c r="I2340" s="12" t="n">
        <v>1148</v>
      </c>
      <c r="J2340" s="12" t="n">
        <f aca="false">COUNT(E2340,G2340,I2340)</f>
        <v>1</v>
      </c>
      <c r="K2340" s="13" t="n">
        <f aca="false">MIN(E2340,G2340,I2340)</f>
        <v>1148</v>
      </c>
      <c r="L2340" s="9" t="str">
        <f aca="false">IF(E2340=K2340,"5000m",IF(G2340=K2340,"3000mSC","1500m"))</f>
        <v>1500m</v>
      </c>
      <c r="M2340" s="14" t="n">
        <f aca="false">(D2340&lt;&gt;"")*(D2340&lt;=($E$3*60+$F$3)/86400)+(F2340&lt;&gt;"")*(F2340&lt;=($I$3*60+$J$3)/86400)+(H2340&lt;&gt;"")*(H2340&lt;=($M$3*60+$N$3)/86400)</f>
        <v>0</v>
      </c>
      <c r="N2340" s="16"/>
      <c r="O2340" s="15"/>
    </row>
    <row r="2341" customFormat="false" ht="15" hidden="false" customHeight="false" outlineLevel="0" collapsed="false">
      <c r="A2341" s="9" t="n">
        <v>2335</v>
      </c>
      <c r="B2341" s="10" t="s">
        <v>3320</v>
      </c>
      <c r="C2341" s="10" t="s">
        <v>103</v>
      </c>
      <c r="D2341" s="11" t="n">
        <v>0.0110288194444444</v>
      </c>
      <c r="E2341" s="12" t="n">
        <v>1149</v>
      </c>
      <c r="F2341" s="11"/>
      <c r="G2341" s="12"/>
      <c r="H2341" s="11"/>
      <c r="I2341" s="12"/>
      <c r="J2341" s="12" t="n">
        <f aca="false">COUNT(E2341,G2341,I2341)</f>
        <v>1</v>
      </c>
      <c r="K2341" s="13" t="n">
        <f aca="false">MIN(E2341,G2341,I2341)</f>
        <v>1149</v>
      </c>
      <c r="L2341" s="9" t="str">
        <f aca="false">IF(E2341=K2341,"5000m",IF(G2341=K2341,"3000mSC","1500m"))</f>
        <v>5000m</v>
      </c>
      <c r="M2341" s="14" t="n">
        <f aca="false">(D2341&lt;&gt;"")*(D2341&lt;=($E$3*60+$F$3)/86400)+(F2341&lt;&gt;"")*(F2341&lt;=($I$3*60+$J$3)/86400)+(H2341&lt;&gt;"")*(H2341&lt;=($M$3*60+$N$3)/86400)</f>
        <v>0</v>
      </c>
      <c r="N2341" s="16"/>
      <c r="O2341" s="15"/>
    </row>
    <row r="2342" customFormat="false" ht="25.35" hidden="false" customHeight="false" outlineLevel="0" collapsed="false">
      <c r="A2342" s="9" t="n">
        <v>2336</v>
      </c>
      <c r="B2342" s="10" t="s">
        <v>3321</v>
      </c>
      <c r="C2342" s="10" t="s">
        <v>1110</v>
      </c>
      <c r="D2342" s="11"/>
      <c r="E2342" s="12"/>
      <c r="F2342" s="11" t="n">
        <v>0.00784780092592593</v>
      </c>
      <c r="G2342" s="12" t="n">
        <v>1149</v>
      </c>
      <c r="H2342" s="11"/>
      <c r="I2342" s="12"/>
      <c r="J2342" s="12" t="n">
        <f aca="false">COUNT(E2342,G2342,I2342)</f>
        <v>1</v>
      </c>
      <c r="K2342" s="13" t="n">
        <f aca="false">MIN(E2342,G2342,I2342)</f>
        <v>1149</v>
      </c>
      <c r="L2342" s="9" t="str">
        <f aca="false">IF(E2342=K2342,"5000m",IF(G2342=K2342,"3000mSC","1500m"))</f>
        <v>3000mSC</v>
      </c>
      <c r="M2342" s="14" t="n">
        <f aca="false">(D2342&lt;&gt;"")*(D2342&lt;=($E$3*60+$F$3)/86400)+(F2342&lt;&gt;"")*(F2342&lt;=($I$3*60+$J$3)/86400)+(H2342&lt;&gt;"")*(H2342&lt;=($M$3*60+$N$3)/86400)</f>
        <v>0</v>
      </c>
      <c r="N2342" s="16"/>
      <c r="O2342" s="15"/>
    </row>
    <row r="2343" customFormat="false" ht="15" hidden="false" customHeight="false" outlineLevel="0" collapsed="false">
      <c r="A2343" s="9" t="n">
        <v>2337</v>
      </c>
      <c r="B2343" s="10" t="s">
        <v>3322</v>
      </c>
      <c r="C2343" s="10" t="s">
        <v>36</v>
      </c>
      <c r="D2343" s="11" t="n">
        <v>0.0110297453703704</v>
      </c>
      <c r="E2343" s="12" t="n">
        <v>1150</v>
      </c>
      <c r="F2343" s="11"/>
      <c r="G2343" s="12"/>
      <c r="H2343" s="11"/>
      <c r="I2343" s="12"/>
      <c r="J2343" s="12" t="n">
        <f aca="false">COUNT(E2343,G2343,I2343)</f>
        <v>1</v>
      </c>
      <c r="K2343" s="13" t="n">
        <f aca="false">MIN(E2343,G2343,I2343)</f>
        <v>1150</v>
      </c>
      <c r="L2343" s="9" t="str">
        <f aca="false">IF(E2343=K2343,"5000m",IF(G2343=K2343,"3000mSC","1500m"))</f>
        <v>5000m</v>
      </c>
      <c r="M2343" s="14" t="n">
        <f aca="false">(D2343&lt;&gt;"")*(D2343&lt;=($E$3*60+$F$3)/86400)+(F2343&lt;&gt;"")*(F2343&lt;=($I$3*60+$J$3)/86400)+(H2343&lt;&gt;"")*(H2343&lt;=($M$3*60+$N$3)/86400)</f>
        <v>0</v>
      </c>
      <c r="N2343" s="16"/>
      <c r="O2343" s="15"/>
    </row>
    <row r="2344" customFormat="false" ht="25.35" hidden="false" customHeight="false" outlineLevel="0" collapsed="false">
      <c r="A2344" s="9" t="n">
        <v>2338</v>
      </c>
      <c r="B2344" s="10" t="s">
        <v>3323</v>
      </c>
      <c r="C2344" s="10" t="s">
        <v>564</v>
      </c>
      <c r="D2344" s="11"/>
      <c r="E2344" s="12"/>
      <c r="F2344" s="11" t="n">
        <v>0.00786180555555556</v>
      </c>
      <c r="G2344" s="12" t="n">
        <v>1150</v>
      </c>
      <c r="H2344" s="11"/>
      <c r="I2344" s="12"/>
      <c r="J2344" s="12" t="n">
        <f aca="false">COUNT(E2344,G2344,I2344)</f>
        <v>1</v>
      </c>
      <c r="K2344" s="13" t="n">
        <f aca="false">MIN(E2344,G2344,I2344)</f>
        <v>1150</v>
      </c>
      <c r="L2344" s="9" t="str">
        <f aca="false">IF(E2344=K2344,"5000m",IF(G2344=K2344,"3000mSC","1500m"))</f>
        <v>3000mSC</v>
      </c>
      <c r="M2344" s="14" t="n">
        <f aca="false">(D2344&lt;&gt;"")*(D2344&lt;=($E$3*60+$F$3)/86400)+(F2344&lt;&gt;"")*(F2344&lt;=($I$3*60+$J$3)/86400)+(H2344&lt;&gt;"")*(H2344&lt;=($M$3*60+$N$3)/86400)</f>
        <v>0</v>
      </c>
      <c r="N2344" s="16"/>
      <c r="O2344" s="15"/>
    </row>
    <row r="2345" customFormat="false" ht="15" hidden="false" customHeight="false" outlineLevel="0" collapsed="false">
      <c r="A2345" s="9" t="n">
        <v>2339</v>
      </c>
      <c r="B2345" s="10" t="s">
        <v>3324</v>
      </c>
      <c r="C2345" s="10" t="s">
        <v>3325</v>
      </c>
      <c r="D2345" s="11"/>
      <c r="E2345" s="12"/>
      <c r="F2345" s="11"/>
      <c r="G2345" s="12"/>
      <c r="H2345" s="11" t="n">
        <v>0.002925</v>
      </c>
      <c r="I2345" s="12" t="n">
        <v>1150</v>
      </c>
      <c r="J2345" s="12" t="n">
        <f aca="false">COUNT(E2345,G2345,I2345)</f>
        <v>1</v>
      </c>
      <c r="K2345" s="13" t="n">
        <f aca="false">MIN(E2345,G2345,I2345)</f>
        <v>1150</v>
      </c>
      <c r="L2345" s="9" t="str">
        <f aca="false">IF(E2345=K2345,"5000m",IF(G2345=K2345,"3000mSC","1500m"))</f>
        <v>1500m</v>
      </c>
      <c r="M2345" s="14" t="n">
        <f aca="false">(D2345&lt;&gt;"")*(D2345&lt;=($E$3*60+$F$3)/86400)+(F2345&lt;&gt;"")*(F2345&lt;=($I$3*60+$J$3)/86400)+(H2345&lt;&gt;"")*(H2345&lt;=($M$3*60+$N$3)/86400)</f>
        <v>0</v>
      </c>
      <c r="N2345" s="16"/>
      <c r="O2345" s="15"/>
    </row>
    <row r="2346" customFormat="false" ht="25.35" hidden="false" customHeight="false" outlineLevel="0" collapsed="false">
      <c r="A2346" s="9" t="n">
        <v>2340</v>
      </c>
      <c r="B2346" s="10" t="s">
        <v>3326</v>
      </c>
      <c r="C2346" s="10" t="s">
        <v>1423</v>
      </c>
      <c r="D2346" s="11"/>
      <c r="E2346" s="12"/>
      <c r="F2346" s="11" t="n">
        <v>0.00786412037037037</v>
      </c>
      <c r="G2346" s="12" t="n">
        <v>1151</v>
      </c>
      <c r="H2346" s="11"/>
      <c r="I2346" s="12"/>
      <c r="J2346" s="12" t="n">
        <f aca="false">COUNT(E2346,G2346,I2346)</f>
        <v>1</v>
      </c>
      <c r="K2346" s="13" t="n">
        <f aca="false">MIN(E2346,G2346,I2346)</f>
        <v>1151</v>
      </c>
      <c r="L2346" s="9" t="str">
        <f aca="false">IF(E2346=K2346,"5000m",IF(G2346=K2346,"3000mSC","1500m"))</f>
        <v>3000mSC</v>
      </c>
      <c r="M2346" s="14" t="n">
        <f aca="false">(D2346&lt;&gt;"")*(D2346&lt;=($E$3*60+$F$3)/86400)+(F2346&lt;&gt;"")*(F2346&lt;=($I$3*60+$J$3)/86400)+(H2346&lt;&gt;"")*(H2346&lt;=($M$3*60+$N$3)/86400)</f>
        <v>0</v>
      </c>
      <c r="N2346" s="16"/>
      <c r="O2346" s="15"/>
    </row>
    <row r="2347" customFormat="false" ht="15" hidden="false" customHeight="false" outlineLevel="0" collapsed="false">
      <c r="A2347" s="9" t="n">
        <v>2341</v>
      </c>
      <c r="B2347" s="10" t="s">
        <v>3327</v>
      </c>
      <c r="C2347" s="10" t="s">
        <v>1680</v>
      </c>
      <c r="D2347" s="11"/>
      <c r="E2347" s="12"/>
      <c r="F2347" s="11"/>
      <c r="G2347" s="12"/>
      <c r="H2347" s="11" t="n">
        <v>0.00292534722222222</v>
      </c>
      <c r="I2347" s="12" t="n">
        <v>1151</v>
      </c>
      <c r="J2347" s="12" t="n">
        <f aca="false">COUNT(E2347,G2347,I2347)</f>
        <v>1</v>
      </c>
      <c r="K2347" s="13" t="n">
        <f aca="false">MIN(E2347,G2347,I2347)</f>
        <v>1151</v>
      </c>
      <c r="L2347" s="9" t="str">
        <f aca="false">IF(E2347=K2347,"5000m",IF(G2347=K2347,"3000mSC","1500m"))</f>
        <v>1500m</v>
      </c>
      <c r="M2347" s="14" t="n">
        <f aca="false">(D2347&lt;&gt;"")*(D2347&lt;=($E$3*60+$F$3)/86400)+(F2347&lt;&gt;"")*(F2347&lt;=($I$3*60+$J$3)/86400)+(H2347&lt;&gt;"")*(H2347&lt;=($M$3*60+$N$3)/86400)</f>
        <v>0</v>
      </c>
      <c r="N2347" s="16"/>
      <c r="O2347" s="15"/>
    </row>
    <row r="2348" customFormat="false" ht="15" hidden="false" customHeight="false" outlineLevel="0" collapsed="false">
      <c r="A2348" s="9" t="n">
        <v>2342</v>
      </c>
      <c r="B2348" s="10" t="s">
        <v>3328</v>
      </c>
      <c r="C2348" s="10" t="s">
        <v>261</v>
      </c>
      <c r="D2348" s="11" t="n">
        <v>0.0110539351851852</v>
      </c>
      <c r="E2348" s="12" t="n">
        <v>1208</v>
      </c>
      <c r="F2348" s="11"/>
      <c r="G2348" s="12"/>
      <c r="H2348" s="11" t="n">
        <v>0.00292546296296296</v>
      </c>
      <c r="I2348" s="12" t="n">
        <v>1152</v>
      </c>
      <c r="J2348" s="12" t="n">
        <f aca="false">COUNT(E2348,G2348,I2348)</f>
        <v>2</v>
      </c>
      <c r="K2348" s="13" t="n">
        <f aca="false">MIN(E2348,G2348,I2348)</f>
        <v>1152</v>
      </c>
      <c r="L2348" s="9" t="str">
        <f aca="false">IF(E2348=K2348,"5000m",IF(G2348=K2348,"3000mSC","1500m"))</f>
        <v>1500m</v>
      </c>
      <c r="M2348" s="14" t="n">
        <f aca="false">(D2348&lt;&gt;"")*(D2348&lt;=($E$3*60+$F$3)/86400)+(F2348&lt;&gt;"")*(F2348&lt;=($I$3*60+$J$3)/86400)+(H2348&lt;&gt;"")*(H2348&lt;=($M$3*60+$N$3)/86400)</f>
        <v>0</v>
      </c>
      <c r="N2348" s="16"/>
      <c r="O2348" s="15"/>
    </row>
    <row r="2349" customFormat="false" ht="25.35" hidden="false" customHeight="false" outlineLevel="0" collapsed="false">
      <c r="A2349" s="9" t="n">
        <v>2343</v>
      </c>
      <c r="B2349" s="10" t="s">
        <v>3329</v>
      </c>
      <c r="C2349" s="10" t="s">
        <v>906</v>
      </c>
      <c r="D2349" s="11"/>
      <c r="E2349" s="12"/>
      <c r="F2349" s="11" t="n">
        <v>0.00786550925925926</v>
      </c>
      <c r="G2349" s="12" t="n">
        <v>1152</v>
      </c>
      <c r="H2349" s="11"/>
      <c r="I2349" s="12"/>
      <c r="J2349" s="12" t="n">
        <f aca="false">COUNT(E2349,G2349,I2349)</f>
        <v>1</v>
      </c>
      <c r="K2349" s="13" t="n">
        <f aca="false">MIN(E2349,G2349,I2349)</f>
        <v>1152</v>
      </c>
      <c r="L2349" s="9" t="str">
        <f aca="false">IF(E2349=K2349,"5000m",IF(G2349=K2349,"3000mSC","1500m"))</f>
        <v>3000mSC</v>
      </c>
      <c r="M2349" s="14" t="n">
        <f aca="false">(D2349&lt;&gt;"")*(D2349&lt;=($E$3*60+$F$3)/86400)+(F2349&lt;&gt;"")*(F2349&lt;=($I$3*60+$J$3)/86400)+(H2349&lt;&gt;"")*(H2349&lt;=($M$3*60+$N$3)/86400)</f>
        <v>0</v>
      </c>
      <c r="N2349" s="16"/>
      <c r="O2349" s="15"/>
    </row>
    <row r="2350" customFormat="false" ht="15" hidden="false" customHeight="false" outlineLevel="0" collapsed="false">
      <c r="A2350" s="9" t="n">
        <v>2344</v>
      </c>
      <c r="B2350" s="10" t="s">
        <v>3330</v>
      </c>
      <c r="C2350" s="10" t="s">
        <v>1660</v>
      </c>
      <c r="D2350" s="11" t="n">
        <v>0.011072337962963</v>
      </c>
      <c r="E2350" s="12" t="n">
        <v>1240</v>
      </c>
      <c r="F2350" s="11"/>
      <c r="G2350" s="12"/>
      <c r="H2350" s="11" t="n">
        <v>0.00292546296296296</v>
      </c>
      <c r="I2350" s="12" t="n">
        <v>1153</v>
      </c>
      <c r="J2350" s="12" t="n">
        <f aca="false">COUNT(E2350,G2350,I2350)</f>
        <v>2</v>
      </c>
      <c r="K2350" s="13" t="n">
        <f aca="false">MIN(E2350,G2350,I2350)</f>
        <v>1153</v>
      </c>
      <c r="L2350" s="9" t="str">
        <f aca="false">IF(E2350=K2350,"5000m",IF(G2350=K2350,"3000mSC","1500m"))</f>
        <v>1500m</v>
      </c>
      <c r="M2350" s="14" t="n">
        <f aca="false">(D2350&lt;&gt;"")*(D2350&lt;=($E$3*60+$F$3)/86400)+(F2350&lt;&gt;"")*(F2350&lt;=($I$3*60+$J$3)/86400)+(H2350&lt;&gt;"")*(H2350&lt;=($M$3*60+$N$3)/86400)</f>
        <v>0</v>
      </c>
      <c r="N2350" s="16"/>
      <c r="O2350" s="15"/>
    </row>
    <row r="2351" customFormat="false" ht="15" hidden="false" customHeight="false" outlineLevel="0" collapsed="false">
      <c r="A2351" s="9" t="n">
        <v>2345</v>
      </c>
      <c r="B2351" s="10" t="s">
        <v>3331</v>
      </c>
      <c r="C2351" s="10" t="s">
        <v>2205</v>
      </c>
      <c r="D2351" s="11" t="n">
        <v>0.011030787037037</v>
      </c>
      <c r="E2351" s="12" t="n">
        <v>1153</v>
      </c>
      <c r="F2351" s="11"/>
      <c r="G2351" s="12"/>
      <c r="H2351" s="11"/>
      <c r="I2351" s="12"/>
      <c r="J2351" s="12" t="n">
        <f aca="false">COUNT(E2351,G2351,I2351)</f>
        <v>1</v>
      </c>
      <c r="K2351" s="13" t="n">
        <f aca="false">MIN(E2351,G2351,I2351)</f>
        <v>1153</v>
      </c>
      <c r="L2351" s="9" t="str">
        <f aca="false">IF(E2351=K2351,"5000m",IF(G2351=K2351,"3000mSC","1500m"))</f>
        <v>5000m</v>
      </c>
      <c r="M2351" s="14" t="n">
        <f aca="false">(D2351&lt;&gt;"")*(D2351&lt;=($E$3*60+$F$3)/86400)+(F2351&lt;&gt;"")*(F2351&lt;=($I$3*60+$J$3)/86400)+(H2351&lt;&gt;"")*(H2351&lt;=($M$3*60+$N$3)/86400)</f>
        <v>0</v>
      </c>
      <c r="N2351" s="16"/>
      <c r="O2351" s="15"/>
    </row>
    <row r="2352" customFormat="false" ht="25.35" hidden="false" customHeight="false" outlineLevel="0" collapsed="false">
      <c r="A2352" s="9" t="n">
        <v>2346</v>
      </c>
      <c r="B2352" s="10" t="s">
        <v>3332</v>
      </c>
      <c r="C2352" s="10" t="s">
        <v>3333</v>
      </c>
      <c r="D2352" s="11"/>
      <c r="E2352" s="12"/>
      <c r="F2352" s="11" t="n">
        <v>0.00787210648148148</v>
      </c>
      <c r="G2352" s="12" t="n">
        <v>1153</v>
      </c>
      <c r="H2352" s="11"/>
      <c r="I2352" s="12"/>
      <c r="J2352" s="12" t="n">
        <f aca="false">COUNT(E2352,G2352,I2352)</f>
        <v>1</v>
      </c>
      <c r="K2352" s="13" t="n">
        <f aca="false">MIN(E2352,G2352,I2352)</f>
        <v>1153</v>
      </c>
      <c r="L2352" s="9" t="str">
        <f aca="false">IF(E2352=K2352,"5000m",IF(G2352=K2352,"3000mSC","1500m"))</f>
        <v>3000mSC</v>
      </c>
      <c r="M2352" s="14" t="n">
        <f aca="false">(D2352&lt;&gt;"")*(D2352&lt;=($E$3*60+$F$3)/86400)+(F2352&lt;&gt;"")*(F2352&lt;=($I$3*60+$J$3)/86400)+(H2352&lt;&gt;"")*(H2352&lt;=($M$3*60+$N$3)/86400)</f>
        <v>0</v>
      </c>
      <c r="N2352" s="16"/>
      <c r="O2352" s="15"/>
    </row>
    <row r="2353" customFormat="false" ht="25.35" hidden="false" customHeight="false" outlineLevel="0" collapsed="false">
      <c r="A2353" s="9" t="n">
        <v>2347</v>
      </c>
      <c r="B2353" s="10" t="s">
        <v>3334</v>
      </c>
      <c r="C2353" s="10" t="s">
        <v>3335</v>
      </c>
      <c r="D2353" s="11"/>
      <c r="E2353" s="12"/>
      <c r="F2353" s="11" t="n">
        <v>0.00787372685185185</v>
      </c>
      <c r="G2353" s="12" t="n">
        <v>1154</v>
      </c>
      <c r="H2353" s="11"/>
      <c r="I2353" s="12"/>
      <c r="J2353" s="12" t="n">
        <f aca="false">COUNT(E2353,G2353,I2353)</f>
        <v>1</v>
      </c>
      <c r="K2353" s="13" t="n">
        <f aca="false">MIN(E2353,G2353,I2353)</f>
        <v>1154</v>
      </c>
      <c r="L2353" s="9" t="str">
        <f aca="false">IF(E2353=K2353,"5000m",IF(G2353=K2353,"3000mSC","1500m"))</f>
        <v>3000mSC</v>
      </c>
      <c r="M2353" s="14" t="n">
        <f aca="false">(D2353&lt;&gt;"")*(D2353&lt;=($E$3*60+$F$3)/86400)+(F2353&lt;&gt;"")*(F2353&lt;=($I$3*60+$J$3)/86400)+(H2353&lt;&gt;"")*(H2353&lt;=($M$3*60+$N$3)/86400)</f>
        <v>0</v>
      </c>
      <c r="N2353" s="16"/>
      <c r="O2353" s="15"/>
    </row>
    <row r="2354" customFormat="false" ht="15" hidden="false" customHeight="false" outlineLevel="0" collapsed="false">
      <c r="A2354" s="9" t="n">
        <v>2348</v>
      </c>
      <c r="B2354" s="10" t="s">
        <v>3336</v>
      </c>
      <c r="C2354" s="10" t="s">
        <v>645</v>
      </c>
      <c r="D2354" s="11"/>
      <c r="E2354" s="12"/>
      <c r="F2354" s="11"/>
      <c r="G2354" s="12"/>
      <c r="H2354" s="11" t="n">
        <v>0.00292546296296296</v>
      </c>
      <c r="I2354" s="12" t="n">
        <v>1154</v>
      </c>
      <c r="J2354" s="12" t="n">
        <f aca="false">COUNT(E2354,G2354,I2354)</f>
        <v>1</v>
      </c>
      <c r="K2354" s="13" t="n">
        <f aca="false">MIN(E2354,G2354,I2354)</f>
        <v>1154</v>
      </c>
      <c r="L2354" s="9" t="str">
        <f aca="false">IF(E2354=K2354,"5000m",IF(G2354=K2354,"3000mSC","1500m"))</f>
        <v>1500m</v>
      </c>
      <c r="M2354" s="14" t="n">
        <f aca="false">(D2354&lt;&gt;"")*(D2354&lt;=($E$3*60+$F$3)/86400)+(F2354&lt;&gt;"")*(F2354&lt;=($I$3*60+$J$3)/86400)+(H2354&lt;&gt;"")*(H2354&lt;=($M$3*60+$N$3)/86400)</f>
        <v>0</v>
      </c>
      <c r="N2354" s="16"/>
      <c r="O2354" s="15"/>
    </row>
    <row r="2355" customFormat="false" ht="25.35" hidden="false" customHeight="false" outlineLevel="0" collapsed="false">
      <c r="A2355" s="9" t="n">
        <v>2349</v>
      </c>
      <c r="B2355" s="10" t="s">
        <v>3337</v>
      </c>
      <c r="C2355" s="10" t="s">
        <v>3318</v>
      </c>
      <c r="D2355" s="11"/>
      <c r="E2355" s="12"/>
      <c r="F2355" s="11" t="n">
        <v>0.00787581018518519</v>
      </c>
      <c r="G2355" s="12" t="n">
        <v>1155</v>
      </c>
      <c r="H2355" s="11"/>
      <c r="I2355" s="12"/>
      <c r="J2355" s="12" t="n">
        <f aca="false">COUNT(E2355,G2355,I2355)</f>
        <v>1</v>
      </c>
      <c r="K2355" s="13" t="n">
        <f aca="false">MIN(E2355,G2355,I2355)</f>
        <v>1155</v>
      </c>
      <c r="L2355" s="9" t="str">
        <f aca="false">IF(E2355=K2355,"5000m",IF(G2355=K2355,"3000mSC","1500m"))</f>
        <v>3000mSC</v>
      </c>
      <c r="M2355" s="14" t="n">
        <f aca="false">(D2355&lt;&gt;"")*(D2355&lt;=($E$3*60+$F$3)/86400)+(F2355&lt;&gt;"")*(F2355&lt;=($I$3*60+$J$3)/86400)+(H2355&lt;&gt;"")*(H2355&lt;=($M$3*60+$N$3)/86400)</f>
        <v>0</v>
      </c>
      <c r="N2355" s="16"/>
      <c r="O2355" s="15"/>
    </row>
    <row r="2356" customFormat="false" ht="25.35" hidden="false" customHeight="false" outlineLevel="0" collapsed="false">
      <c r="A2356" s="9" t="n">
        <v>2350</v>
      </c>
      <c r="B2356" s="10" t="s">
        <v>3338</v>
      </c>
      <c r="C2356" s="10" t="s">
        <v>3339</v>
      </c>
      <c r="D2356" s="11"/>
      <c r="E2356" s="12"/>
      <c r="F2356" s="11" t="n">
        <v>0.00787800925925926</v>
      </c>
      <c r="G2356" s="12" t="n">
        <v>1156</v>
      </c>
      <c r="H2356" s="11"/>
      <c r="I2356" s="12"/>
      <c r="J2356" s="12" t="n">
        <f aca="false">COUNT(E2356,G2356,I2356)</f>
        <v>1</v>
      </c>
      <c r="K2356" s="13" t="n">
        <f aca="false">MIN(E2356,G2356,I2356)</f>
        <v>1156</v>
      </c>
      <c r="L2356" s="9" t="str">
        <f aca="false">IF(E2356=K2356,"5000m",IF(G2356=K2356,"3000mSC","1500m"))</f>
        <v>3000mSC</v>
      </c>
      <c r="M2356" s="14" t="n">
        <f aca="false">(D2356&lt;&gt;"")*(D2356&lt;=($E$3*60+$F$3)/86400)+(F2356&lt;&gt;"")*(F2356&lt;=($I$3*60+$J$3)/86400)+(H2356&lt;&gt;"")*(H2356&lt;=($M$3*60+$N$3)/86400)</f>
        <v>0</v>
      </c>
      <c r="N2356" s="16"/>
      <c r="O2356" s="15"/>
    </row>
    <row r="2357" customFormat="false" ht="25.35" hidden="false" customHeight="false" outlineLevel="0" collapsed="false">
      <c r="A2357" s="9" t="n">
        <v>2351</v>
      </c>
      <c r="B2357" s="10" t="s">
        <v>3340</v>
      </c>
      <c r="C2357" s="10" t="s">
        <v>714</v>
      </c>
      <c r="D2357" s="11"/>
      <c r="E2357" s="12"/>
      <c r="F2357" s="11" t="n">
        <v>0.0078787037037037</v>
      </c>
      <c r="G2357" s="12" t="n">
        <v>1157</v>
      </c>
      <c r="H2357" s="11"/>
      <c r="I2357" s="12"/>
      <c r="J2357" s="12" t="n">
        <f aca="false">COUNT(E2357,G2357,I2357)</f>
        <v>1</v>
      </c>
      <c r="K2357" s="13" t="n">
        <f aca="false">MIN(E2357,G2357,I2357)</f>
        <v>1157</v>
      </c>
      <c r="L2357" s="9" t="str">
        <f aca="false">IF(E2357=K2357,"5000m",IF(G2357=K2357,"3000mSC","1500m"))</f>
        <v>3000mSC</v>
      </c>
      <c r="M2357" s="14" t="n">
        <f aca="false">(D2357&lt;&gt;"")*(D2357&lt;=($E$3*60+$F$3)/86400)+(F2357&lt;&gt;"")*(F2357&lt;=($I$3*60+$J$3)/86400)+(H2357&lt;&gt;"")*(H2357&lt;=($M$3*60+$N$3)/86400)</f>
        <v>0</v>
      </c>
      <c r="N2357" s="16"/>
      <c r="O2357" s="15"/>
    </row>
    <row r="2358" customFormat="false" ht="15" hidden="false" customHeight="false" outlineLevel="0" collapsed="false">
      <c r="A2358" s="9" t="n">
        <v>2352</v>
      </c>
      <c r="B2358" s="10" t="s">
        <v>3341</v>
      </c>
      <c r="C2358" s="10" t="s">
        <v>3342</v>
      </c>
      <c r="D2358" s="11"/>
      <c r="E2358" s="12"/>
      <c r="F2358" s="11"/>
      <c r="G2358" s="12"/>
      <c r="H2358" s="11" t="n">
        <v>0.00292592592592593</v>
      </c>
      <c r="I2358" s="12" t="n">
        <v>1157</v>
      </c>
      <c r="J2358" s="12" t="n">
        <f aca="false">COUNT(E2358,G2358,I2358)</f>
        <v>1</v>
      </c>
      <c r="K2358" s="13" t="n">
        <f aca="false">MIN(E2358,G2358,I2358)</f>
        <v>1157</v>
      </c>
      <c r="L2358" s="9" t="str">
        <f aca="false">IF(E2358=K2358,"5000m",IF(G2358=K2358,"3000mSC","1500m"))</f>
        <v>1500m</v>
      </c>
      <c r="M2358" s="14" t="n">
        <f aca="false">(D2358&lt;&gt;"")*(D2358&lt;=($E$3*60+$F$3)/86400)+(F2358&lt;&gt;"")*(F2358&lt;=($I$3*60+$J$3)/86400)+(H2358&lt;&gt;"")*(H2358&lt;=($M$3*60+$N$3)/86400)</f>
        <v>0</v>
      </c>
      <c r="N2358" s="16"/>
      <c r="O2358" s="15"/>
    </row>
    <row r="2359" customFormat="false" ht="15" hidden="false" customHeight="false" outlineLevel="0" collapsed="false">
      <c r="A2359" s="9" t="n">
        <v>2353</v>
      </c>
      <c r="B2359" s="10" t="s">
        <v>2166</v>
      </c>
      <c r="C2359" s="10" t="s">
        <v>810</v>
      </c>
      <c r="D2359" s="11" t="n">
        <v>0.0110333333333333</v>
      </c>
      <c r="E2359" s="12" t="n">
        <v>1158</v>
      </c>
      <c r="F2359" s="11"/>
      <c r="G2359" s="12"/>
      <c r="H2359" s="11"/>
      <c r="I2359" s="12"/>
      <c r="J2359" s="12" t="n">
        <f aca="false">COUNT(E2359,G2359,I2359)</f>
        <v>1</v>
      </c>
      <c r="K2359" s="13" t="n">
        <f aca="false">MIN(E2359,G2359,I2359)</f>
        <v>1158</v>
      </c>
      <c r="L2359" s="9" t="str">
        <f aca="false">IF(E2359=K2359,"5000m",IF(G2359=K2359,"3000mSC","1500m"))</f>
        <v>5000m</v>
      </c>
      <c r="M2359" s="14" t="n">
        <f aca="false">(D2359&lt;&gt;"")*(D2359&lt;=($E$3*60+$F$3)/86400)+(F2359&lt;&gt;"")*(F2359&lt;=($I$3*60+$J$3)/86400)+(H2359&lt;&gt;"")*(H2359&lt;=($M$3*60+$N$3)/86400)</f>
        <v>0</v>
      </c>
      <c r="N2359" s="10" t="s">
        <v>3343</v>
      </c>
      <c r="O2359" s="15"/>
    </row>
    <row r="2360" customFormat="false" ht="25.35" hidden="false" customHeight="false" outlineLevel="0" collapsed="false">
      <c r="A2360" s="9" t="n">
        <v>2354</v>
      </c>
      <c r="B2360" s="10" t="s">
        <v>3344</v>
      </c>
      <c r="C2360" s="10" t="s">
        <v>3345</v>
      </c>
      <c r="D2360" s="11"/>
      <c r="E2360" s="12"/>
      <c r="F2360" s="11" t="n">
        <v>0.00788101851851852</v>
      </c>
      <c r="G2360" s="12" t="n">
        <v>1158</v>
      </c>
      <c r="H2360" s="11"/>
      <c r="I2360" s="12"/>
      <c r="J2360" s="12" t="n">
        <f aca="false">COUNT(E2360,G2360,I2360)</f>
        <v>1</v>
      </c>
      <c r="K2360" s="13" t="n">
        <f aca="false">MIN(E2360,G2360,I2360)</f>
        <v>1158</v>
      </c>
      <c r="L2360" s="9" t="str">
        <f aca="false">IF(E2360=K2360,"5000m",IF(G2360=K2360,"3000mSC","1500m"))</f>
        <v>3000mSC</v>
      </c>
      <c r="M2360" s="14" t="n">
        <f aca="false">(D2360&lt;&gt;"")*(D2360&lt;=($E$3*60+$F$3)/86400)+(F2360&lt;&gt;"")*(F2360&lt;=($I$3*60+$J$3)/86400)+(H2360&lt;&gt;"")*(H2360&lt;=($M$3*60+$N$3)/86400)</f>
        <v>0</v>
      </c>
      <c r="N2360" s="16"/>
      <c r="O2360" s="15"/>
    </row>
    <row r="2361" customFormat="false" ht="15" hidden="false" customHeight="false" outlineLevel="0" collapsed="false">
      <c r="A2361" s="9" t="n">
        <v>2355</v>
      </c>
      <c r="B2361" s="10" t="s">
        <v>3346</v>
      </c>
      <c r="C2361" s="10" t="s">
        <v>62</v>
      </c>
      <c r="D2361" s="11" t="n">
        <v>0.0110337962962963</v>
      </c>
      <c r="E2361" s="12" t="n">
        <v>1159</v>
      </c>
      <c r="F2361" s="11"/>
      <c r="G2361" s="12"/>
      <c r="H2361" s="11"/>
      <c r="I2361" s="12"/>
      <c r="J2361" s="12" t="n">
        <f aca="false">COUNT(E2361,G2361,I2361)</f>
        <v>1</v>
      </c>
      <c r="K2361" s="13" t="n">
        <f aca="false">MIN(E2361,G2361,I2361)</f>
        <v>1159</v>
      </c>
      <c r="L2361" s="9" t="str">
        <f aca="false">IF(E2361=K2361,"5000m",IF(G2361=K2361,"3000mSC","1500m"))</f>
        <v>5000m</v>
      </c>
      <c r="M2361" s="14" t="n">
        <f aca="false">(D2361&lt;&gt;"")*(D2361&lt;=($E$3*60+$F$3)/86400)+(F2361&lt;&gt;"")*(F2361&lt;=($I$3*60+$J$3)/86400)+(H2361&lt;&gt;"")*(H2361&lt;=($M$3*60+$N$3)/86400)</f>
        <v>0</v>
      </c>
      <c r="N2361" s="16"/>
      <c r="O2361" s="15"/>
    </row>
    <row r="2362" customFormat="false" ht="25.35" hidden="false" customHeight="false" outlineLevel="0" collapsed="false">
      <c r="A2362" s="9" t="n">
        <v>2356</v>
      </c>
      <c r="B2362" s="10" t="s">
        <v>3347</v>
      </c>
      <c r="C2362" s="10" t="s">
        <v>136</v>
      </c>
      <c r="D2362" s="11"/>
      <c r="E2362" s="12"/>
      <c r="F2362" s="11" t="n">
        <v>0.00788472222222222</v>
      </c>
      <c r="G2362" s="12" t="n">
        <v>1159</v>
      </c>
      <c r="H2362" s="11"/>
      <c r="I2362" s="12"/>
      <c r="J2362" s="12" t="n">
        <f aca="false">COUNT(E2362,G2362,I2362)</f>
        <v>1</v>
      </c>
      <c r="K2362" s="13" t="n">
        <f aca="false">MIN(E2362,G2362,I2362)</f>
        <v>1159</v>
      </c>
      <c r="L2362" s="9" t="str">
        <f aca="false">IF(E2362=K2362,"5000m",IF(G2362=K2362,"3000mSC","1500m"))</f>
        <v>3000mSC</v>
      </c>
      <c r="M2362" s="14" t="n">
        <f aca="false">(D2362&lt;&gt;"")*(D2362&lt;=($E$3*60+$F$3)/86400)+(F2362&lt;&gt;"")*(F2362&lt;=($I$3*60+$J$3)/86400)+(H2362&lt;&gt;"")*(H2362&lt;=($M$3*60+$N$3)/86400)</f>
        <v>0</v>
      </c>
      <c r="N2362" s="16"/>
      <c r="O2362" s="15"/>
    </row>
    <row r="2363" customFormat="false" ht="15" hidden="false" customHeight="false" outlineLevel="0" collapsed="false">
      <c r="A2363" s="9" t="n">
        <v>2357</v>
      </c>
      <c r="B2363" s="10" t="s">
        <v>3348</v>
      </c>
      <c r="C2363" s="10" t="s">
        <v>3349</v>
      </c>
      <c r="D2363" s="11"/>
      <c r="E2363" s="12"/>
      <c r="F2363" s="11"/>
      <c r="G2363" s="12"/>
      <c r="H2363" s="11" t="n">
        <v>0.00292615740740741</v>
      </c>
      <c r="I2363" s="12" t="n">
        <v>1159</v>
      </c>
      <c r="J2363" s="12" t="n">
        <f aca="false">COUNT(E2363,G2363,I2363)</f>
        <v>1</v>
      </c>
      <c r="K2363" s="13" t="n">
        <f aca="false">MIN(E2363,G2363,I2363)</f>
        <v>1159</v>
      </c>
      <c r="L2363" s="9" t="str">
        <f aca="false">IF(E2363=K2363,"5000m",IF(G2363=K2363,"3000mSC","1500m"))</f>
        <v>1500m</v>
      </c>
      <c r="M2363" s="14" t="n">
        <f aca="false">(D2363&lt;&gt;"")*(D2363&lt;=($E$3*60+$F$3)/86400)+(F2363&lt;&gt;"")*(F2363&lt;=($I$3*60+$J$3)/86400)+(H2363&lt;&gt;"")*(H2363&lt;=($M$3*60+$N$3)/86400)</f>
        <v>0</v>
      </c>
      <c r="N2363" s="16"/>
      <c r="O2363" s="15"/>
    </row>
    <row r="2364" customFormat="false" ht="25.35" hidden="false" customHeight="false" outlineLevel="0" collapsed="false">
      <c r="A2364" s="9" t="n">
        <v>2358</v>
      </c>
      <c r="B2364" s="10" t="s">
        <v>3350</v>
      </c>
      <c r="C2364" s="10" t="s">
        <v>803</v>
      </c>
      <c r="D2364" s="11"/>
      <c r="E2364" s="12"/>
      <c r="F2364" s="11" t="n">
        <v>0.00788622685185185</v>
      </c>
      <c r="G2364" s="12" t="n">
        <v>1160</v>
      </c>
      <c r="H2364" s="11"/>
      <c r="I2364" s="12"/>
      <c r="J2364" s="12" t="n">
        <f aca="false">COUNT(E2364,G2364,I2364)</f>
        <v>1</v>
      </c>
      <c r="K2364" s="13" t="n">
        <f aca="false">MIN(E2364,G2364,I2364)</f>
        <v>1160</v>
      </c>
      <c r="L2364" s="9" t="str">
        <f aca="false">IF(E2364=K2364,"5000m",IF(G2364=K2364,"3000mSC","1500m"))</f>
        <v>3000mSC</v>
      </c>
      <c r="M2364" s="14" t="n">
        <f aca="false">(D2364&lt;&gt;"")*(D2364&lt;=($E$3*60+$F$3)/86400)+(F2364&lt;&gt;"")*(F2364&lt;=($I$3*60+$J$3)/86400)+(H2364&lt;&gt;"")*(H2364&lt;=($M$3*60+$N$3)/86400)</f>
        <v>0</v>
      </c>
      <c r="N2364" s="16"/>
      <c r="O2364" s="15"/>
    </row>
    <row r="2365" customFormat="false" ht="15" hidden="false" customHeight="false" outlineLevel="0" collapsed="false">
      <c r="A2365" s="9" t="n">
        <v>2359</v>
      </c>
      <c r="B2365" s="10" t="s">
        <v>3351</v>
      </c>
      <c r="C2365" s="10" t="s">
        <v>3352</v>
      </c>
      <c r="D2365" s="11"/>
      <c r="E2365" s="12"/>
      <c r="F2365" s="11"/>
      <c r="G2365" s="12"/>
      <c r="H2365" s="11" t="n">
        <v>0.00292627314814815</v>
      </c>
      <c r="I2365" s="12" t="n">
        <v>1160</v>
      </c>
      <c r="J2365" s="12" t="n">
        <f aca="false">COUNT(E2365,G2365,I2365)</f>
        <v>1</v>
      </c>
      <c r="K2365" s="13" t="n">
        <f aca="false">MIN(E2365,G2365,I2365)</f>
        <v>1160</v>
      </c>
      <c r="L2365" s="9" t="str">
        <f aca="false">IF(E2365=K2365,"5000m",IF(G2365=K2365,"3000mSC","1500m"))</f>
        <v>1500m</v>
      </c>
      <c r="M2365" s="14" t="n">
        <f aca="false">(D2365&lt;&gt;"")*(D2365&lt;=($E$3*60+$F$3)/86400)+(F2365&lt;&gt;"")*(F2365&lt;=($I$3*60+$J$3)/86400)+(H2365&lt;&gt;"")*(H2365&lt;=($M$3*60+$N$3)/86400)</f>
        <v>0</v>
      </c>
      <c r="N2365" s="16"/>
      <c r="O2365" s="15"/>
    </row>
    <row r="2366" customFormat="false" ht="15" hidden="false" customHeight="false" outlineLevel="0" collapsed="false">
      <c r="A2366" s="9" t="n">
        <v>2360</v>
      </c>
      <c r="B2366" s="10" t="s">
        <v>3353</v>
      </c>
      <c r="C2366" s="10" t="s">
        <v>3354</v>
      </c>
      <c r="D2366" s="11" t="n">
        <v>0.011034837962963</v>
      </c>
      <c r="E2366" s="12" t="n">
        <v>1161</v>
      </c>
      <c r="F2366" s="11"/>
      <c r="G2366" s="12"/>
      <c r="H2366" s="11"/>
      <c r="I2366" s="12"/>
      <c r="J2366" s="12" t="n">
        <f aca="false">COUNT(E2366,G2366,I2366)</f>
        <v>1</v>
      </c>
      <c r="K2366" s="13" t="n">
        <f aca="false">MIN(E2366,G2366,I2366)</f>
        <v>1161</v>
      </c>
      <c r="L2366" s="9" t="str">
        <f aca="false">IF(E2366=K2366,"5000m",IF(G2366=K2366,"3000mSC","1500m"))</f>
        <v>5000m</v>
      </c>
      <c r="M2366" s="14" t="n">
        <f aca="false">(D2366&lt;&gt;"")*(D2366&lt;=($E$3*60+$F$3)/86400)+(F2366&lt;&gt;"")*(F2366&lt;=($I$3*60+$J$3)/86400)+(H2366&lt;&gt;"")*(H2366&lt;=($M$3*60+$N$3)/86400)</f>
        <v>0</v>
      </c>
      <c r="N2366" s="16"/>
      <c r="O2366" s="15"/>
    </row>
    <row r="2367" customFormat="false" ht="25.35" hidden="false" customHeight="false" outlineLevel="0" collapsed="false">
      <c r="A2367" s="9" t="n">
        <v>2361</v>
      </c>
      <c r="B2367" s="10" t="s">
        <v>3355</v>
      </c>
      <c r="C2367" s="10" t="s">
        <v>829</v>
      </c>
      <c r="D2367" s="11"/>
      <c r="E2367" s="12"/>
      <c r="F2367" s="11" t="n">
        <v>0.00788865740740741</v>
      </c>
      <c r="G2367" s="12" t="n">
        <v>1161</v>
      </c>
      <c r="H2367" s="11"/>
      <c r="I2367" s="12"/>
      <c r="J2367" s="12" t="n">
        <f aca="false">COUNT(E2367,G2367,I2367)</f>
        <v>1</v>
      </c>
      <c r="K2367" s="13" t="n">
        <f aca="false">MIN(E2367,G2367,I2367)</f>
        <v>1161</v>
      </c>
      <c r="L2367" s="9" t="str">
        <f aca="false">IF(E2367=K2367,"5000m",IF(G2367=K2367,"3000mSC","1500m"))</f>
        <v>3000mSC</v>
      </c>
      <c r="M2367" s="14" t="n">
        <f aca="false">(D2367&lt;&gt;"")*(D2367&lt;=($E$3*60+$F$3)/86400)+(F2367&lt;&gt;"")*(F2367&lt;=($I$3*60+$J$3)/86400)+(H2367&lt;&gt;"")*(H2367&lt;=($M$3*60+$N$3)/86400)</f>
        <v>0</v>
      </c>
      <c r="N2367" s="16"/>
      <c r="O2367" s="15"/>
    </row>
    <row r="2368" customFormat="false" ht="15" hidden="false" customHeight="false" outlineLevel="0" collapsed="false">
      <c r="A2368" s="9" t="n">
        <v>2362</v>
      </c>
      <c r="B2368" s="10" t="s">
        <v>3356</v>
      </c>
      <c r="C2368" s="10" t="s">
        <v>3357</v>
      </c>
      <c r="D2368" s="11"/>
      <c r="E2368" s="12"/>
      <c r="F2368" s="11"/>
      <c r="G2368" s="12"/>
      <c r="H2368" s="11" t="n">
        <v>0.00292627314814815</v>
      </c>
      <c r="I2368" s="12" t="n">
        <v>1161</v>
      </c>
      <c r="J2368" s="12" t="n">
        <f aca="false">COUNT(E2368,G2368,I2368)</f>
        <v>1</v>
      </c>
      <c r="K2368" s="13" t="n">
        <f aca="false">MIN(E2368,G2368,I2368)</f>
        <v>1161</v>
      </c>
      <c r="L2368" s="9" t="str">
        <f aca="false">IF(E2368=K2368,"5000m",IF(G2368=K2368,"3000mSC","1500m"))</f>
        <v>1500m</v>
      </c>
      <c r="M2368" s="14" t="n">
        <f aca="false">(D2368&lt;&gt;"")*(D2368&lt;=($E$3*60+$F$3)/86400)+(F2368&lt;&gt;"")*(F2368&lt;=($I$3*60+$J$3)/86400)+(H2368&lt;&gt;"")*(H2368&lt;=($M$3*60+$N$3)/86400)</f>
        <v>0</v>
      </c>
      <c r="N2368" s="16"/>
      <c r="O2368" s="15"/>
    </row>
    <row r="2369" customFormat="false" ht="25.35" hidden="false" customHeight="false" outlineLevel="0" collapsed="false">
      <c r="A2369" s="9" t="n">
        <v>2363</v>
      </c>
      <c r="B2369" s="10" t="s">
        <v>3358</v>
      </c>
      <c r="C2369" s="10" t="s">
        <v>3359</v>
      </c>
      <c r="D2369" s="11" t="n">
        <v>0.0110578703703704</v>
      </c>
      <c r="E2369" s="12" t="n">
        <v>1212</v>
      </c>
      <c r="F2369" s="11" t="n">
        <v>0.007896875</v>
      </c>
      <c r="G2369" s="12" t="n">
        <v>1162</v>
      </c>
      <c r="H2369" s="11"/>
      <c r="I2369" s="12"/>
      <c r="J2369" s="12" t="n">
        <f aca="false">COUNT(E2369,G2369,I2369)</f>
        <v>2</v>
      </c>
      <c r="K2369" s="13" t="n">
        <f aca="false">MIN(E2369,G2369,I2369)</f>
        <v>1162</v>
      </c>
      <c r="L2369" s="9" t="str">
        <f aca="false">IF(E2369=K2369,"5000m",IF(G2369=K2369,"3000mSC","1500m"))</f>
        <v>3000mSC</v>
      </c>
      <c r="M2369" s="14" t="n">
        <f aca="false">(D2369&lt;&gt;"")*(D2369&lt;=($E$3*60+$F$3)/86400)+(F2369&lt;&gt;"")*(F2369&lt;=($I$3*60+$J$3)/86400)+(H2369&lt;&gt;"")*(H2369&lt;=($M$3*60+$N$3)/86400)</f>
        <v>0</v>
      </c>
      <c r="N2369" s="16"/>
      <c r="O2369" s="15"/>
    </row>
    <row r="2370" customFormat="false" ht="15" hidden="false" customHeight="false" outlineLevel="0" collapsed="false">
      <c r="A2370" s="9" t="n">
        <v>2364</v>
      </c>
      <c r="B2370" s="10" t="s">
        <v>3360</v>
      </c>
      <c r="C2370" s="10" t="s">
        <v>103</v>
      </c>
      <c r="D2370" s="11" t="n">
        <v>0.0110350694444444</v>
      </c>
      <c r="E2370" s="12" t="n">
        <v>1162</v>
      </c>
      <c r="F2370" s="11"/>
      <c r="G2370" s="12"/>
      <c r="H2370" s="11"/>
      <c r="I2370" s="12"/>
      <c r="J2370" s="12" t="n">
        <f aca="false">COUNT(E2370,G2370,I2370)</f>
        <v>1</v>
      </c>
      <c r="K2370" s="13" t="n">
        <f aca="false">MIN(E2370,G2370,I2370)</f>
        <v>1162</v>
      </c>
      <c r="L2370" s="9" t="str">
        <f aca="false">IF(E2370=K2370,"5000m",IF(G2370=K2370,"3000mSC","1500m"))</f>
        <v>5000m</v>
      </c>
      <c r="M2370" s="14" t="n">
        <f aca="false">(D2370&lt;&gt;"")*(D2370&lt;=($E$3*60+$F$3)/86400)+(F2370&lt;&gt;"")*(F2370&lt;=($I$3*60+$J$3)/86400)+(H2370&lt;&gt;"")*(H2370&lt;=($M$3*60+$N$3)/86400)</f>
        <v>0</v>
      </c>
      <c r="N2370" s="16"/>
      <c r="O2370" s="15"/>
    </row>
    <row r="2371" customFormat="false" ht="15" hidden="false" customHeight="false" outlineLevel="0" collapsed="false">
      <c r="A2371" s="9" t="n">
        <v>2365</v>
      </c>
      <c r="B2371" s="10" t="s">
        <v>3361</v>
      </c>
      <c r="C2371" s="10" t="s">
        <v>107</v>
      </c>
      <c r="D2371" s="11" t="n">
        <v>0.0110351851851852</v>
      </c>
      <c r="E2371" s="12" t="n">
        <v>1163</v>
      </c>
      <c r="F2371" s="11"/>
      <c r="G2371" s="12"/>
      <c r="H2371" s="11" t="n">
        <v>0.00295104166666667</v>
      </c>
      <c r="I2371" s="12" t="n">
        <v>1244</v>
      </c>
      <c r="J2371" s="12" t="n">
        <f aca="false">COUNT(E2371,G2371,I2371)</f>
        <v>2</v>
      </c>
      <c r="K2371" s="13" t="n">
        <f aca="false">MIN(E2371,G2371,I2371)</f>
        <v>1163</v>
      </c>
      <c r="L2371" s="9" t="str">
        <f aca="false">IF(E2371=K2371,"5000m",IF(G2371=K2371,"3000mSC","1500m"))</f>
        <v>5000m</v>
      </c>
      <c r="M2371" s="14" t="n">
        <f aca="false">(D2371&lt;&gt;"")*(D2371&lt;=($E$3*60+$F$3)/86400)+(F2371&lt;&gt;"")*(F2371&lt;=($I$3*60+$J$3)/86400)+(H2371&lt;&gt;"")*(H2371&lt;=($M$3*60+$N$3)/86400)</f>
        <v>0</v>
      </c>
      <c r="N2371" s="16"/>
      <c r="O2371" s="15"/>
    </row>
    <row r="2372" customFormat="false" ht="25.35" hidden="false" customHeight="false" outlineLevel="0" collapsed="false">
      <c r="A2372" s="9" t="n">
        <v>2366</v>
      </c>
      <c r="B2372" s="10" t="s">
        <v>3362</v>
      </c>
      <c r="C2372" s="10" t="s">
        <v>3277</v>
      </c>
      <c r="D2372" s="11"/>
      <c r="E2372" s="12"/>
      <c r="F2372" s="11" t="n">
        <v>0.00789837962962963</v>
      </c>
      <c r="G2372" s="12" t="n">
        <v>1163</v>
      </c>
      <c r="H2372" s="11"/>
      <c r="I2372" s="12"/>
      <c r="J2372" s="12" t="n">
        <f aca="false">COUNT(E2372,G2372,I2372)</f>
        <v>1</v>
      </c>
      <c r="K2372" s="13" t="n">
        <f aca="false">MIN(E2372,G2372,I2372)</f>
        <v>1163</v>
      </c>
      <c r="L2372" s="9" t="str">
        <f aca="false">IF(E2372=K2372,"5000m",IF(G2372=K2372,"3000mSC","1500m"))</f>
        <v>3000mSC</v>
      </c>
      <c r="M2372" s="14" t="n">
        <f aca="false">(D2372&lt;&gt;"")*(D2372&lt;=($E$3*60+$F$3)/86400)+(F2372&lt;&gt;"")*(F2372&lt;=($I$3*60+$J$3)/86400)+(H2372&lt;&gt;"")*(H2372&lt;=($M$3*60+$N$3)/86400)</f>
        <v>0</v>
      </c>
      <c r="N2372" s="16"/>
      <c r="O2372" s="15"/>
    </row>
    <row r="2373" customFormat="false" ht="15" hidden="false" customHeight="false" outlineLevel="0" collapsed="false">
      <c r="A2373" s="9" t="n">
        <v>2367</v>
      </c>
      <c r="B2373" s="10" t="s">
        <v>3363</v>
      </c>
      <c r="C2373" s="10" t="s">
        <v>3364</v>
      </c>
      <c r="D2373" s="11"/>
      <c r="E2373" s="12"/>
      <c r="F2373" s="11"/>
      <c r="G2373" s="12"/>
      <c r="H2373" s="11" t="n">
        <v>0.00292673611111111</v>
      </c>
      <c r="I2373" s="12" t="n">
        <v>1163</v>
      </c>
      <c r="J2373" s="12" t="n">
        <f aca="false">COUNT(E2373,G2373,I2373)</f>
        <v>1</v>
      </c>
      <c r="K2373" s="13" t="n">
        <f aca="false">MIN(E2373,G2373,I2373)</f>
        <v>1163</v>
      </c>
      <c r="L2373" s="9" t="str">
        <f aca="false">IF(E2373=K2373,"5000m",IF(G2373=K2373,"3000mSC","1500m"))</f>
        <v>1500m</v>
      </c>
      <c r="M2373" s="14" t="n">
        <f aca="false">(D2373&lt;&gt;"")*(D2373&lt;=($E$3*60+$F$3)/86400)+(F2373&lt;&gt;"")*(F2373&lt;=($I$3*60+$J$3)/86400)+(H2373&lt;&gt;"")*(H2373&lt;=($M$3*60+$N$3)/86400)</f>
        <v>0</v>
      </c>
      <c r="N2373" s="16"/>
      <c r="O2373" s="15"/>
    </row>
    <row r="2374" customFormat="false" ht="25.35" hidden="false" customHeight="false" outlineLevel="0" collapsed="false">
      <c r="A2374" s="9" t="n">
        <v>2368</v>
      </c>
      <c r="B2374" s="10" t="s">
        <v>3365</v>
      </c>
      <c r="C2374" s="10" t="s">
        <v>974</v>
      </c>
      <c r="D2374" s="11"/>
      <c r="E2374" s="12"/>
      <c r="F2374" s="11" t="n">
        <v>0.00790162037037037</v>
      </c>
      <c r="G2374" s="12" t="n">
        <v>1164</v>
      </c>
      <c r="H2374" s="11"/>
      <c r="I2374" s="12"/>
      <c r="J2374" s="12" t="n">
        <f aca="false">COUNT(E2374,G2374,I2374)</f>
        <v>1</v>
      </c>
      <c r="K2374" s="13" t="n">
        <f aca="false">MIN(E2374,G2374,I2374)</f>
        <v>1164</v>
      </c>
      <c r="L2374" s="9" t="str">
        <f aca="false">IF(E2374=K2374,"5000m",IF(G2374=K2374,"3000mSC","1500m"))</f>
        <v>3000mSC</v>
      </c>
      <c r="M2374" s="14" t="n">
        <f aca="false">(D2374&lt;&gt;"")*(D2374&lt;=($E$3*60+$F$3)/86400)+(F2374&lt;&gt;"")*(F2374&lt;=($I$3*60+$J$3)/86400)+(H2374&lt;&gt;"")*(H2374&lt;=($M$3*60+$N$3)/86400)</f>
        <v>0</v>
      </c>
      <c r="N2374" s="16"/>
      <c r="O2374" s="15"/>
    </row>
    <row r="2375" customFormat="false" ht="15" hidden="false" customHeight="false" outlineLevel="0" collapsed="false">
      <c r="A2375" s="9" t="n">
        <v>2369</v>
      </c>
      <c r="B2375" s="10" t="s">
        <v>3366</v>
      </c>
      <c r="C2375" s="10" t="s">
        <v>1423</v>
      </c>
      <c r="D2375" s="11"/>
      <c r="E2375" s="12"/>
      <c r="F2375" s="11"/>
      <c r="G2375" s="12"/>
      <c r="H2375" s="11" t="n">
        <v>0.00292731481481482</v>
      </c>
      <c r="I2375" s="12" t="n">
        <v>1164</v>
      </c>
      <c r="J2375" s="12" t="n">
        <f aca="false">COUNT(E2375,G2375,I2375)</f>
        <v>1</v>
      </c>
      <c r="K2375" s="13" t="n">
        <f aca="false">MIN(E2375,G2375,I2375)</f>
        <v>1164</v>
      </c>
      <c r="L2375" s="9" t="str">
        <f aca="false">IF(E2375=K2375,"5000m",IF(G2375=K2375,"3000mSC","1500m"))</f>
        <v>1500m</v>
      </c>
      <c r="M2375" s="14" t="n">
        <f aca="false">(D2375&lt;&gt;"")*(D2375&lt;=($E$3*60+$F$3)/86400)+(F2375&lt;&gt;"")*(F2375&lt;=($I$3*60+$J$3)/86400)+(H2375&lt;&gt;"")*(H2375&lt;=($M$3*60+$N$3)/86400)</f>
        <v>0</v>
      </c>
      <c r="N2375" s="16"/>
      <c r="O2375" s="15"/>
    </row>
    <row r="2376" customFormat="false" ht="15" hidden="false" customHeight="false" outlineLevel="0" collapsed="false">
      <c r="A2376" s="9" t="n">
        <v>2370</v>
      </c>
      <c r="B2376" s="10" t="s">
        <v>3367</v>
      </c>
      <c r="C2376" s="10" t="s">
        <v>3368</v>
      </c>
      <c r="D2376" s="11" t="n">
        <v>0.0110355324074074</v>
      </c>
      <c r="E2376" s="12" t="n">
        <v>1165</v>
      </c>
      <c r="F2376" s="11"/>
      <c r="G2376" s="12"/>
      <c r="H2376" s="11"/>
      <c r="I2376" s="12"/>
      <c r="J2376" s="12" t="n">
        <f aca="false">COUNT(E2376,G2376,I2376)</f>
        <v>1</v>
      </c>
      <c r="K2376" s="13" t="n">
        <f aca="false">MIN(E2376,G2376,I2376)</f>
        <v>1165</v>
      </c>
      <c r="L2376" s="9" t="str">
        <f aca="false">IF(E2376=K2376,"5000m",IF(G2376=K2376,"3000mSC","1500m"))</f>
        <v>5000m</v>
      </c>
      <c r="M2376" s="14" t="n">
        <f aca="false">(D2376&lt;&gt;"")*(D2376&lt;=($E$3*60+$F$3)/86400)+(F2376&lt;&gt;"")*(F2376&lt;=($I$3*60+$J$3)/86400)+(H2376&lt;&gt;"")*(H2376&lt;=($M$3*60+$N$3)/86400)</f>
        <v>0</v>
      </c>
      <c r="N2376" s="16"/>
      <c r="O2376" s="15"/>
    </row>
    <row r="2377" customFormat="false" ht="25.35" hidden="false" customHeight="false" outlineLevel="0" collapsed="false">
      <c r="A2377" s="9" t="n">
        <v>2371</v>
      </c>
      <c r="B2377" s="10" t="s">
        <v>3369</v>
      </c>
      <c r="C2377" s="10" t="s">
        <v>797</v>
      </c>
      <c r="D2377" s="11"/>
      <c r="E2377" s="12"/>
      <c r="F2377" s="11" t="n">
        <v>0.007903125</v>
      </c>
      <c r="G2377" s="12" t="n">
        <v>1165</v>
      </c>
      <c r="H2377" s="11"/>
      <c r="I2377" s="12"/>
      <c r="J2377" s="12" t="n">
        <f aca="false">COUNT(E2377,G2377,I2377)</f>
        <v>1</v>
      </c>
      <c r="K2377" s="13" t="n">
        <f aca="false">MIN(E2377,G2377,I2377)</f>
        <v>1165</v>
      </c>
      <c r="L2377" s="9" t="str">
        <f aca="false">IF(E2377=K2377,"5000m",IF(G2377=K2377,"3000mSC","1500m"))</f>
        <v>3000mSC</v>
      </c>
      <c r="M2377" s="14" t="n">
        <f aca="false">(D2377&lt;&gt;"")*(D2377&lt;=($E$3*60+$F$3)/86400)+(F2377&lt;&gt;"")*(F2377&lt;=($I$3*60+$J$3)/86400)+(H2377&lt;&gt;"")*(H2377&lt;=($M$3*60+$N$3)/86400)</f>
        <v>0</v>
      </c>
      <c r="N2377" s="16"/>
      <c r="O2377" s="15"/>
    </row>
    <row r="2378" customFormat="false" ht="15" hidden="false" customHeight="false" outlineLevel="0" collapsed="false">
      <c r="A2378" s="9" t="n">
        <v>2372</v>
      </c>
      <c r="B2378" s="10" t="s">
        <v>3370</v>
      </c>
      <c r="C2378" s="10" t="s">
        <v>3371</v>
      </c>
      <c r="D2378" s="11"/>
      <c r="E2378" s="12"/>
      <c r="F2378" s="11"/>
      <c r="G2378" s="12"/>
      <c r="H2378" s="11" t="n">
        <v>0.00292731481481482</v>
      </c>
      <c r="I2378" s="12" t="n">
        <v>1165</v>
      </c>
      <c r="J2378" s="12" t="n">
        <f aca="false">COUNT(E2378,G2378,I2378)</f>
        <v>1</v>
      </c>
      <c r="K2378" s="13" t="n">
        <f aca="false">MIN(E2378,G2378,I2378)</f>
        <v>1165</v>
      </c>
      <c r="L2378" s="9" t="str">
        <f aca="false">IF(E2378=K2378,"5000m",IF(G2378=K2378,"3000mSC","1500m"))</f>
        <v>1500m</v>
      </c>
      <c r="M2378" s="14" t="n">
        <f aca="false">(D2378&lt;&gt;"")*(D2378&lt;=($E$3*60+$F$3)/86400)+(F2378&lt;&gt;"")*(F2378&lt;=($I$3*60+$J$3)/86400)+(H2378&lt;&gt;"")*(H2378&lt;=($M$3*60+$N$3)/86400)</f>
        <v>0</v>
      </c>
      <c r="N2378" s="16"/>
      <c r="O2378" s="15"/>
    </row>
    <row r="2379" customFormat="false" ht="15" hidden="false" customHeight="false" outlineLevel="0" collapsed="false">
      <c r="A2379" s="9" t="n">
        <v>2373</v>
      </c>
      <c r="B2379" s="10" t="s">
        <v>3372</v>
      </c>
      <c r="C2379" s="10" t="s">
        <v>107</v>
      </c>
      <c r="D2379" s="11" t="n">
        <v>0.0110356481481482</v>
      </c>
      <c r="E2379" s="12" t="n">
        <v>1166</v>
      </c>
      <c r="F2379" s="11"/>
      <c r="G2379" s="12"/>
      <c r="H2379" s="11"/>
      <c r="I2379" s="12"/>
      <c r="J2379" s="12" t="n">
        <f aca="false">COUNT(E2379,G2379,I2379)</f>
        <v>1</v>
      </c>
      <c r="K2379" s="13" t="n">
        <f aca="false">MIN(E2379,G2379,I2379)</f>
        <v>1166</v>
      </c>
      <c r="L2379" s="9" t="str">
        <f aca="false">IF(E2379=K2379,"5000m",IF(G2379=K2379,"3000mSC","1500m"))</f>
        <v>5000m</v>
      </c>
      <c r="M2379" s="14" t="n">
        <f aca="false">(D2379&lt;&gt;"")*(D2379&lt;=($E$3*60+$F$3)/86400)+(F2379&lt;&gt;"")*(F2379&lt;=($I$3*60+$J$3)/86400)+(H2379&lt;&gt;"")*(H2379&lt;=($M$3*60+$N$3)/86400)</f>
        <v>0</v>
      </c>
      <c r="N2379" s="16"/>
      <c r="O2379" s="15"/>
    </row>
    <row r="2380" customFormat="false" ht="25.35" hidden="false" customHeight="false" outlineLevel="0" collapsed="false">
      <c r="A2380" s="9" t="n">
        <v>2374</v>
      </c>
      <c r="B2380" s="10" t="s">
        <v>3373</v>
      </c>
      <c r="C2380" s="10" t="s">
        <v>1496</v>
      </c>
      <c r="D2380" s="11"/>
      <c r="E2380" s="12"/>
      <c r="F2380" s="11" t="n">
        <v>0.00790949074074074</v>
      </c>
      <c r="G2380" s="12" t="n">
        <v>1166</v>
      </c>
      <c r="H2380" s="11"/>
      <c r="I2380" s="12"/>
      <c r="J2380" s="12" t="n">
        <f aca="false">COUNT(E2380,G2380,I2380)</f>
        <v>1</v>
      </c>
      <c r="K2380" s="13" t="n">
        <f aca="false">MIN(E2380,G2380,I2380)</f>
        <v>1166</v>
      </c>
      <c r="L2380" s="9" t="str">
        <f aca="false">IF(E2380=K2380,"5000m",IF(G2380=K2380,"3000mSC","1500m"))</f>
        <v>3000mSC</v>
      </c>
      <c r="M2380" s="14" t="n">
        <f aca="false">(D2380&lt;&gt;"")*(D2380&lt;=($E$3*60+$F$3)/86400)+(F2380&lt;&gt;"")*(F2380&lt;=($I$3*60+$J$3)/86400)+(H2380&lt;&gt;"")*(H2380&lt;=($M$3*60+$N$3)/86400)</f>
        <v>0</v>
      </c>
      <c r="N2380" s="16"/>
      <c r="O2380" s="15"/>
    </row>
    <row r="2381" customFormat="false" ht="15" hidden="false" customHeight="false" outlineLevel="0" collapsed="false">
      <c r="A2381" s="9" t="n">
        <v>2375</v>
      </c>
      <c r="B2381" s="10" t="s">
        <v>3374</v>
      </c>
      <c r="C2381" s="10" t="s">
        <v>1618</v>
      </c>
      <c r="D2381" s="11" t="n">
        <v>0.0110357638888889</v>
      </c>
      <c r="E2381" s="12" t="n">
        <v>1167</v>
      </c>
      <c r="F2381" s="11"/>
      <c r="G2381" s="12"/>
      <c r="H2381" s="11"/>
      <c r="I2381" s="12"/>
      <c r="J2381" s="12" t="n">
        <f aca="false">COUNT(E2381,G2381,I2381)</f>
        <v>1</v>
      </c>
      <c r="K2381" s="13" t="n">
        <f aca="false">MIN(E2381,G2381,I2381)</f>
        <v>1167</v>
      </c>
      <c r="L2381" s="9" t="str">
        <f aca="false">IF(E2381=K2381,"5000m",IF(G2381=K2381,"3000mSC","1500m"))</f>
        <v>5000m</v>
      </c>
      <c r="M2381" s="14" t="n">
        <f aca="false">(D2381&lt;&gt;"")*(D2381&lt;=($E$3*60+$F$3)/86400)+(F2381&lt;&gt;"")*(F2381&lt;=($I$3*60+$J$3)/86400)+(H2381&lt;&gt;"")*(H2381&lt;=($M$3*60+$N$3)/86400)</f>
        <v>0</v>
      </c>
      <c r="N2381" s="16"/>
      <c r="O2381" s="15"/>
    </row>
    <row r="2382" customFormat="false" ht="25.35" hidden="false" customHeight="false" outlineLevel="0" collapsed="false">
      <c r="A2382" s="9" t="n">
        <v>2376</v>
      </c>
      <c r="B2382" s="10" t="s">
        <v>3375</v>
      </c>
      <c r="C2382" s="10" t="s">
        <v>3376</v>
      </c>
      <c r="D2382" s="11"/>
      <c r="E2382" s="12"/>
      <c r="F2382" s="11" t="n">
        <v>0.00791446759259259</v>
      </c>
      <c r="G2382" s="12" t="n">
        <v>1167</v>
      </c>
      <c r="H2382" s="11"/>
      <c r="I2382" s="12"/>
      <c r="J2382" s="12" t="n">
        <f aca="false">COUNT(E2382,G2382,I2382)</f>
        <v>1</v>
      </c>
      <c r="K2382" s="13" t="n">
        <f aca="false">MIN(E2382,G2382,I2382)</f>
        <v>1167</v>
      </c>
      <c r="L2382" s="9" t="str">
        <f aca="false">IF(E2382=K2382,"5000m",IF(G2382=K2382,"3000mSC","1500m"))</f>
        <v>3000mSC</v>
      </c>
      <c r="M2382" s="14" t="n">
        <f aca="false">(D2382&lt;&gt;"")*(D2382&lt;=($E$3*60+$F$3)/86400)+(F2382&lt;&gt;"")*(F2382&lt;=($I$3*60+$J$3)/86400)+(H2382&lt;&gt;"")*(H2382&lt;=($M$3*60+$N$3)/86400)</f>
        <v>0</v>
      </c>
      <c r="N2382" s="16"/>
      <c r="O2382" s="15"/>
    </row>
    <row r="2383" customFormat="false" ht="15" hidden="false" customHeight="false" outlineLevel="0" collapsed="false">
      <c r="A2383" s="9" t="n">
        <v>2377</v>
      </c>
      <c r="B2383" s="10" t="s">
        <v>3377</v>
      </c>
      <c r="C2383" s="10" t="s">
        <v>3378</v>
      </c>
      <c r="D2383" s="11"/>
      <c r="E2383" s="12"/>
      <c r="F2383" s="11"/>
      <c r="G2383" s="12"/>
      <c r="H2383" s="11" t="n">
        <v>0.00292766203703704</v>
      </c>
      <c r="I2383" s="12" t="n">
        <v>1167</v>
      </c>
      <c r="J2383" s="12" t="n">
        <f aca="false">COUNT(E2383,G2383,I2383)</f>
        <v>1</v>
      </c>
      <c r="K2383" s="13" t="n">
        <f aca="false">MIN(E2383,G2383,I2383)</f>
        <v>1167</v>
      </c>
      <c r="L2383" s="9" t="str">
        <f aca="false">IF(E2383=K2383,"5000m",IF(G2383=K2383,"3000mSC","1500m"))</f>
        <v>1500m</v>
      </c>
      <c r="M2383" s="14" t="n">
        <f aca="false">(D2383&lt;&gt;"")*(D2383&lt;=($E$3*60+$F$3)/86400)+(F2383&lt;&gt;"")*(F2383&lt;=($I$3*60+$J$3)/86400)+(H2383&lt;&gt;"")*(H2383&lt;=($M$3*60+$N$3)/86400)</f>
        <v>0</v>
      </c>
      <c r="N2383" s="16"/>
      <c r="O2383" s="15"/>
    </row>
    <row r="2384" customFormat="false" ht="15" hidden="false" customHeight="false" outlineLevel="0" collapsed="false">
      <c r="A2384" s="9" t="n">
        <v>2378</v>
      </c>
      <c r="B2384" s="10" t="s">
        <v>3379</v>
      </c>
      <c r="C2384" s="10" t="s">
        <v>3380</v>
      </c>
      <c r="D2384" s="11" t="n">
        <v>0.0110362268518519</v>
      </c>
      <c r="E2384" s="12" t="n">
        <v>1168</v>
      </c>
      <c r="F2384" s="11"/>
      <c r="G2384" s="12"/>
      <c r="H2384" s="11"/>
      <c r="I2384" s="12"/>
      <c r="J2384" s="12" t="n">
        <f aca="false">COUNT(E2384,G2384,I2384)</f>
        <v>1</v>
      </c>
      <c r="K2384" s="13" t="n">
        <f aca="false">MIN(E2384,G2384,I2384)</f>
        <v>1168</v>
      </c>
      <c r="L2384" s="9" t="str">
        <f aca="false">IF(E2384=K2384,"5000m",IF(G2384=K2384,"3000mSC","1500m"))</f>
        <v>5000m</v>
      </c>
      <c r="M2384" s="14" t="n">
        <f aca="false">(D2384&lt;&gt;"")*(D2384&lt;=($E$3*60+$F$3)/86400)+(F2384&lt;&gt;"")*(F2384&lt;=($I$3*60+$J$3)/86400)+(H2384&lt;&gt;"")*(H2384&lt;=($M$3*60+$N$3)/86400)</f>
        <v>0</v>
      </c>
      <c r="N2384" s="16"/>
      <c r="O2384" s="15"/>
    </row>
    <row r="2385" customFormat="false" ht="25.35" hidden="false" customHeight="false" outlineLevel="0" collapsed="false">
      <c r="A2385" s="9" t="n">
        <v>2379</v>
      </c>
      <c r="B2385" s="10" t="s">
        <v>3381</v>
      </c>
      <c r="C2385" s="10" t="s">
        <v>3382</v>
      </c>
      <c r="D2385" s="11"/>
      <c r="E2385" s="12"/>
      <c r="F2385" s="11" t="n">
        <v>0.0079193287037037</v>
      </c>
      <c r="G2385" s="12" t="n">
        <v>1168</v>
      </c>
      <c r="H2385" s="11"/>
      <c r="I2385" s="12"/>
      <c r="J2385" s="12" t="n">
        <f aca="false">COUNT(E2385,G2385,I2385)</f>
        <v>1</v>
      </c>
      <c r="K2385" s="13" t="n">
        <f aca="false">MIN(E2385,G2385,I2385)</f>
        <v>1168</v>
      </c>
      <c r="L2385" s="9" t="str">
        <f aca="false">IF(E2385=K2385,"5000m",IF(G2385=K2385,"3000mSC","1500m"))</f>
        <v>3000mSC</v>
      </c>
      <c r="M2385" s="14" t="n">
        <f aca="false">(D2385&lt;&gt;"")*(D2385&lt;=($E$3*60+$F$3)/86400)+(F2385&lt;&gt;"")*(F2385&lt;=($I$3*60+$J$3)/86400)+(H2385&lt;&gt;"")*(H2385&lt;=($M$3*60+$N$3)/86400)</f>
        <v>0</v>
      </c>
      <c r="N2385" s="16"/>
      <c r="O2385" s="15"/>
    </row>
    <row r="2386" customFormat="false" ht="15" hidden="false" customHeight="false" outlineLevel="0" collapsed="false">
      <c r="A2386" s="9" t="n">
        <v>2380</v>
      </c>
      <c r="B2386" s="10" t="s">
        <v>3383</v>
      </c>
      <c r="C2386" s="10" t="s">
        <v>720</v>
      </c>
      <c r="D2386" s="11" t="n">
        <v>0.0110368055555556</v>
      </c>
      <c r="E2386" s="12" t="n">
        <v>1169</v>
      </c>
      <c r="F2386" s="11"/>
      <c r="G2386" s="12"/>
      <c r="H2386" s="11"/>
      <c r="I2386" s="12"/>
      <c r="J2386" s="12" t="n">
        <f aca="false">COUNT(E2386,G2386,I2386)</f>
        <v>1</v>
      </c>
      <c r="K2386" s="13" t="n">
        <f aca="false">MIN(E2386,G2386,I2386)</f>
        <v>1169</v>
      </c>
      <c r="L2386" s="9" t="str">
        <f aca="false">IF(E2386=K2386,"5000m",IF(G2386=K2386,"3000mSC","1500m"))</f>
        <v>5000m</v>
      </c>
      <c r="M2386" s="14" t="n">
        <f aca="false">(D2386&lt;&gt;"")*(D2386&lt;=($E$3*60+$F$3)/86400)+(F2386&lt;&gt;"")*(F2386&lt;=($I$3*60+$J$3)/86400)+(H2386&lt;&gt;"")*(H2386&lt;=($M$3*60+$N$3)/86400)</f>
        <v>0</v>
      </c>
      <c r="N2386" s="16"/>
      <c r="O2386" s="15"/>
    </row>
    <row r="2387" customFormat="false" ht="25.35" hidden="false" customHeight="false" outlineLevel="0" collapsed="false">
      <c r="A2387" s="9" t="n">
        <v>2381</v>
      </c>
      <c r="B2387" s="10" t="s">
        <v>3384</v>
      </c>
      <c r="C2387" s="10" t="s">
        <v>3385</v>
      </c>
      <c r="D2387" s="11"/>
      <c r="E2387" s="12"/>
      <c r="F2387" s="11" t="n">
        <v>0.00792094907407407</v>
      </c>
      <c r="G2387" s="12" t="n">
        <v>1169</v>
      </c>
      <c r="H2387" s="11"/>
      <c r="I2387" s="12"/>
      <c r="J2387" s="12" t="n">
        <f aca="false">COUNT(E2387,G2387,I2387)</f>
        <v>1</v>
      </c>
      <c r="K2387" s="13" t="n">
        <f aca="false">MIN(E2387,G2387,I2387)</f>
        <v>1169</v>
      </c>
      <c r="L2387" s="9" t="str">
        <f aca="false">IF(E2387=K2387,"5000m",IF(G2387=K2387,"3000mSC","1500m"))</f>
        <v>3000mSC</v>
      </c>
      <c r="M2387" s="14" t="n">
        <f aca="false">(D2387&lt;&gt;"")*(D2387&lt;=($E$3*60+$F$3)/86400)+(F2387&lt;&gt;"")*(F2387&lt;=($I$3*60+$J$3)/86400)+(H2387&lt;&gt;"")*(H2387&lt;=($M$3*60+$N$3)/86400)</f>
        <v>0</v>
      </c>
      <c r="N2387" s="16"/>
      <c r="O2387" s="15"/>
    </row>
    <row r="2388" customFormat="false" ht="15" hidden="false" customHeight="false" outlineLevel="0" collapsed="false">
      <c r="A2388" s="9" t="n">
        <v>2382</v>
      </c>
      <c r="B2388" s="10" t="s">
        <v>3386</v>
      </c>
      <c r="C2388" s="10" t="s">
        <v>2339</v>
      </c>
      <c r="D2388" s="11"/>
      <c r="E2388" s="12"/>
      <c r="F2388" s="11"/>
      <c r="G2388" s="12"/>
      <c r="H2388" s="11" t="n">
        <v>0.00292835648148148</v>
      </c>
      <c r="I2388" s="12" t="n">
        <v>1169</v>
      </c>
      <c r="J2388" s="12" t="n">
        <f aca="false">COUNT(E2388,G2388,I2388)</f>
        <v>1</v>
      </c>
      <c r="K2388" s="13" t="n">
        <f aca="false">MIN(E2388,G2388,I2388)</f>
        <v>1169</v>
      </c>
      <c r="L2388" s="9" t="str">
        <f aca="false">IF(E2388=K2388,"5000m",IF(G2388=K2388,"3000mSC","1500m"))</f>
        <v>1500m</v>
      </c>
      <c r="M2388" s="14" t="n">
        <f aca="false">(D2388&lt;&gt;"")*(D2388&lt;=($E$3*60+$F$3)/86400)+(F2388&lt;&gt;"")*(F2388&lt;=($I$3*60+$J$3)/86400)+(H2388&lt;&gt;"")*(H2388&lt;=($M$3*60+$N$3)/86400)</f>
        <v>0</v>
      </c>
      <c r="N2388" s="16"/>
      <c r="O2388" s="15"/>
    </row>
    <row r="2389" customFormat="false" ht="15" hidden="false" customHeight="false" outlineLevel="0" collapsed="false">
      <c r="A2389" s="9" t="n">
        <v>2383</v>
      </c>
      <c r="B2389" s="10" t="s">
        <v>3387</v>
      </c>
      <c r="C2389" s="10" t="s">
        <v>36</v>
      </c>
      <c r="D2389" s="11" t="n">
        <v>0.011037037037037</v>
      </c>
      <c r="E2389" s="12" t="n">
        <v>1170</v>
      </c>
      <c r="F2389" s="11"/>
      <c r="G2389" s="12"/>
      <c r="H2389" s="11"/>
      <c r="I2389" s="12"/>
      <c r="J2389" s="12" t="n">
        <f aca="false">COUNT(E2389,G2389,I2389)</f>
        <v>1</v>
      </c>
      <c r="K2389" s="13" t="n">
        <f aca="false">MIN(E2389,G2389,I2389)</f>
        <v>1170</v>
      </c>
      <c r="L2389" s="9" t="str">
        <f aca="false">IF(E2389=K2389,"5000m",IF(G2389=K2389,"3000mSC","1500m"))</f>
        <v>5000m</v>
      </c>
      <c r="M2389" s="14" t="n">
        <f aca="false">(D2389&lt;&gt;"")*(D2389&lt;=($E$3*60+$F$3)/86400)+(F2389&lt;&gt;"")*(F2389&lt;=($I$3*60+$J$3)/86400)+(H2389&lt;&gt;"")*(H2389&lt;=($M$3*60+$N$3)/86400)</f>
        <v>0</v>
      </c>
      <c r="N2389" s="16"/>
      <c r="O2389" s="15"/>
    </row>
    <row r="2390" customFormat="false" ht="25.35" hidden="false" customHeight="false" outlineLevel="0" collapsed="false">
      <c r="A2390" s="9" t="n">
        <v>2384</v>
      </c>
      <c r="B2390" s="10" t="s">
        <v>3388</v>
      </c>
      <c r="C2390" s="10" t="s">
        <v>1651</v>
      </c>
      <c r="D2390" s="11"/>
      <c r="E2390" s="12"/>
      <c r="F2390" s="11" t="n">
        <v>0.00792314814814815</v>
      </c>
      <c r="G2390" s="12" t="n">
        <v>1170</v>
      </c>
      <c r="H2390" s="11"/>
      <c r="I2390" s="12"/>
      <c r="J2390" s="12" t="n">
        <f aca="false">COUNT(E2390,G2390,I2390)</f>
        <v>1</v>
      </c>
      <c r="K2390" s="13" t="n">
        <f aca="false">MIN(E2390,G2390,I2390)</f>
        <v>1170</v>
      </c>
      <c r="L2390" s="9" t="str">
        <f aca="false">IF(E2390=K2390,"5000m",IF(G2390=K2390,"3000mSC","1500m"))</f>
        <v>3000mSC</v>
      </c>
      <c r="M2390" s="14" t="n">
        <f aca="false">(D2390&lt;&gt;"")*(D2390&lt;=($E$3*60+$F$3)/86400)+(F2390&lt;&gt;"")*(F2390&lt;=($I$3*60+$J$3)/86400)+(H2390&lt;&gt;"")*(H2390&lt;=($M$3*60+$N$3)/86400)</f>
        <v>0</v>
      </c>
      <c r="N2390" s="16"/>
      <c r="O2390" s="15"/>
    </row>
    <row r="2391" customFormat="false" ht="25.35" hidden="false" customHeight="false" outlineLevel="0" collapsed="false">
      <c r="A2391" s="9" t="n">
        <v>2385</v>
      </c>
      <c r="B2391" s="10" t="s">
        <v>3389</v>
      </c>
      <c r="C2391" s="10" t="s">
        <v>3390</v>
      </c>
      <c r="D2391" s="11"/>
      <c r="E2391" s="12"/>
      <c r="F2391" s="11" t="n">
        <v>0.00792511574074074</v>
      </c>
      <c r="G2391" s="12" t="n">
        <v>1171</v>
      </c>
      <c r="H2391" s="11"/>
      <c r="I2391" s="12"/>
      <c r="J2391" s="12" t="n">
        <f aca="false">COUNT(E2391,G2391,I2391)</f>
        <v>1</v>
      </c>
      <c r="K2391" s="13" t="n">
        <f aca="false">MIN(E2391,G2391,I2391)</f>
        <v>1171</v>
      </c>
      <c r="L2391" s="9" t="str">
        <f aca="false">IF(E2391=K2391,"5000m",IF(G2391=K2391,"3000mSC","1500m"))</f>
        <v>3000mSC</v>
      </c>
      <c r="M2391" s="14" t="n">
        <f aca="false">(D2391&lt;&gt;"")*(D2391&lt;=($E$3*60+$F$3)/86400)+(F2391&lt;&gt;"")*(F2391&lt;=($I$3*60+$J$3)/86400)+(H2391&lt;&gt;"")*(H2391&lt;=($M$3*60+$N$3)/86400)</f>
        <v>0</v>
      </c>
      <c r="N2391" s="16"/>
      <c r="O2391" s="15"/>
    </row>
    <row r="2392" customFormat="false" ht="15" hidden="false" customHeight="false" outlineLevel="0" collapsed="false">
      <c r="A2392" s="9" t="n">
        <v>2386</v>
      </c>
      <c r="B2392" s="10" t="s">
        <v>3391</v>
      </c>
      <c r="C2392" s="10" t="s">
        <v>1740</v>
      </c>
      <c r="D2392" s="11" t="n">
        <v>0.0110377314814815</v>
      </c>
      <c r="E2392" s="12" t="n">
        <v>1172</v>
      </c>
      <c r="F2392" s="11"/>
      <c r="G2392" s="12"/>
      <c r="H2392" s="11"/>
      <c r="I2392" s="12"/>
      <c r="J2392" s="12" t="n">
        <f aca="false">COUNT(E2392,G2392,I2392)</f>
        <v>1</v>
      </c>
      <c r="K2392" s="13" t="n">
        <f aca="false">MIN(E2392,G2392,I2392)</f>
        <v>1172</v>
      </c>
      <c r="L2392" s="9" t="str">
        <f aca="false">IF(E2392=K2392,"5000m",IF(G2392=K2392,"3000mSC","1500m"))</f>
        <v>5000m</v>
      </c>
      <c r="M2392" s="14" t="n">
        <f aca="false">(D2392&lt;&gt;"")*(D2392&lt;=($E$3*60+$F$3)/86400)+(F2392&lt;&gt;"")*(F2392&lt;=($I$3*60+$J$3)/86400)+(H2392&lt;&gt;"")*(H2392&lt;=($M$3*60+$N$3)/86400)</f>
        <v>0</v>
      </c>
      <c r="N2392" s="16"/>
      <c r="O2392" s="15"/>
    </row>
    <row r="2393" customFormat="false" ht="25.35" hidden="false" customHeight="false" outlineLevel="0" collapsed="false">
      <c r="A2393" s="9" t="n">
        <v>2387</v>
      </c>
      <c r="B2393" s="10" t="s">
        <v>3392</v>
      </c>
      <c r="C2393" s="10" t="s">
        <v>195</v>
      </c>
      <c r="D2393" s="11"/>
      <c r="E2393" s="12"/>
      <c r="F2393" s="11" t="n">
        <v>0.00793101851851852</v>
      </c>
      <c r="G2393" s="12" t="n">
        <v>1172</v>
      </c>
      <c r="H2393" s="11"/>
      <c r="I2393" s="12"/>
      <c r="J2393" s="12" t="n">
        <f aca="false">COUNT(E2393,G2393,I2393)</f>
        <v>1</v>
      </c>
      <c r="K2393" s="13" t="n">
        <f aca="false">MIN(E2393,G2393,I2393)</f>
        <v>1172</v>
      </c>
      <c r="L2393" s="9" t="str">
        <f aca="false">IF(E2393=K2393,"5000m",IF(G2393=K2393,"3000mSC","1500m"))</f>
        <v>3000mSC</v>
      </c>
      <c r="M2393" s="14" t="n">
        <f aca="false">(D2393&lt;&gt;"")*(D2393&lt;=($E$3*60+$F$3)/86400)+(F2393&lt;&gt;"")*(F2393&lt;=($I$3*60+$J$3)/86400)+(H2393&lt;&gt;"")*(H2393&lt;=($M$3*60+$N$3)/86400)</f>
        <v>0</v>
      </c>
      <c r="N2393" s="16"/>
      <c r="O2393" s="15"/>
    </row>
    <row r="2394" customFormat="false" ht="15" hidden="false" customHeight="false" outlineLevel="0" collapsed="false">
      <c r="A2394" s="9" t="n">
        <v>2388</v>
      </c>
      <c r="B2394" s="10" t="s">
        <v>3393</v>
      </c>
      <c r="C2394" s="10" t="s">
        <v>162</v>
      </c>
      <c r="D2394" s="11"/>
      <c r="E2394" s="12"/>
      <c r="F2394" s="11"/>
      <c r="G2394" s="12"/>
      <c r="H2394" s="11" t="n">
        <v>0.00292951388888889</v>
      </c>
      <c r="I2394" s="12" t="n">
        <v>1172</v>
      </c>
      <c r="J2394" s="12" t="n">
        <f aca="false">COUNT(E2394,G2394,I2394)</f>
        <v>1</v>
      </c>
      <c r="K2394" s="13" t="n">
        <f aca="false">MIN(E2394,G2394,I2394)</f>
        <v>1172</v>
      </c>
      <c r="L2394" s="9" t="str">
        <f aca="false">IF(E2394=K2394,"5000m",IF(G2394=K2394,"3000mSC","1500m"))</f>
        <v>1500m</v>
      </c>
      <c r="M2394" s="14" t="n">
        <f aca="false">(D2394&lt;&gt;"")*(D2394&lt;=($E$3*60+$F$3)/86400)+(F2394&lt;&gt;"")*(F2394&lt;=($I$3*60+$J$3)/86400)+(H2394&lt;&gt;"")*(H2394&lt;=($M$3*60+$N$3)/86400)</f>
        <v>0</v>
      </c>
      <c r="N2394" s="16"/>
      <c r="O2394" s="15"/>
    </row>
    <row r="2395" customFormat="false" ht="25.35" hidden="false" customHeight="false" outlineLevel="0" collapsed="false">
      <c r="A2395" s="9" t="n">
        <v>2389</v>
      </c>
      <c r="B2395" s="10" t="s">
        <v>3394</v>
      </c>
      <c r="C2395" s="10" t="s">
        <v>1481</v>
      </c>
      <c r="D2395" s="11"/>
      <c r="E2395" s="12"/>
      <c r="F2395" s="11" t="n">
        <v>0.00793321759259259</v>
      </c>
      <c r="G2395" s="12" t="n">
        <v>1173</v>
      </c>
      <c r="H2395" s="11"/>
      <c r="I2395" s="12"/>
      <c r="J2395" s="12" t="n">
        <f aca="false">COUNT(E2395,G2395,I2395)</f>
        <v>1</v>
      </c>
      <c r="K2395" s="13" t="n">
        <f aca="false">MIN(E2395,G2395,I2395)</f>
        <v>1173</v>
      </c>
      <c r="L2395" s="9" t="str">
        <f aca="false">IF(E2395=K2395,"5000m",IF(G2395=K2395,"3000mSC","1500m"))</f>
        <v>3000mSC</v>
      </c>
      <c r="M2395" s="14" t="n">
        <f aca="false">(D2395&lt;&gt;"")*(D2395&lt;=($E$3*60+$F$3)/86400)+(F2395&lt;&gt;"")*(F2395&lt;=($I$3*60+$J$3)/86400)+(H2395&lt;&gt;"")*(H2395&lt;=($M$3*60+$N$3)/86400)</f>
        <v>0</v>
      </c>
      <c r="N2395" s="16"/>
      <c r="O2395" s="15"/>
    </row>
    <row r="2396" customFormat="false" ht="25.35" hidden="false" customHeight="false" outlineLevel="0" collapsed="false">
      <c r="A2396" s="9" t="n">
        <v>2390</v>
      </c>
      <c r="B2396" s="10" t="s">
        <v>3395</v>
      </c>
      <c r="C2396" s="10" t="s">
        <v>3396</v>
      </c>
      <c r="D2396" s="11"/>
      <c r="E2396" s="12"/>
      <c r="F2396" s="11" t="n">
        <v>0.00793981481481481</v>
      </c>
      <c r="G2396" s="12" t="n">
        <v>1175</v>
      </c>
      <c r="H2396" s="11"/>
      <c r="I2396" s="12"/>
      <c r="J2396" s="12" t="n">
        <f aca="false">COUNT(E2396,G2396,I2396)</f>
        <v>1</v>
      </c>
      <c r="K2396" s="13" t="n">
        <f aca="false">MIN(E2396,G2396,I2396)</f>
        <v>1175</v>
      </c>
      <c r="L2396" s="9" t="str">
        <f aca="false">IF(E2396=K2396,"5000m",IF(G2396=K2396,"3000mSC","1500m"))</f>
        <v>3000mSC</v>
      </c>
      <c r="M2396" s="14" t="n">
        <f aca="false">(D2396&lt;&gt;"")*(D2396&lt;=($E$3*60+$F$3)/86400)+(F2396&lt;&gt;"")*(F2396&lt;=($I$3*60+$J$3)/86400)+(H2396&lt;&gt;"")*(H2396&lt;=($M$3*60+$N$3)/86400)</f>
        <v>0</v>
      </c>
      <c r="N2396" s="16"/>
      <c r="O2396" s="15"/>
    </row>
    <row r="2397" customFormat="false" ht="15" hidden="false" customHeight="false" outlineLevel="0" collapsed="false">
      <c r="A2397" s="9" t="n">
        <v>2391</v>
      </c>
      <c r="B2397" s="10" t="s">
        <v>3397</v>
      </c>
      <c r="C2397" s="10" t="s">
        <v>1900</v>
      </c>
      <c r="D2397" s="11"/>
      <c r="E2397" s="12"/>
      <c r="F2397" s="11"/>
      <c r="G2397" s="12"/>
      <c r="H2397" s="11" t="n">
        <v>0.00293090277777778</v>
      </c>
      <c r="I2397" s="12" t="n">
        <v>1175</v>
      </c>
      <c r="J2397" s="12" t="n">
        <f aca="false">COUNT(E2397,G2397,I2397)</f>
        <v>1</v>
      </c>
      <c r="K2397" s="13" t="n">
        <f aca="false">MIN(E2397,G2397,I2397)</f>
        <v>1175</v>
      </c>
      <c r="L2397" s="9" t="str">
        <f aca="false">IF(E2397=K2397,"5000m",IF(G2397=K2397,"3000mSC","1500m"))</f>
        <v>1500m</v>
      </c>
      <c r="M2397" s="14" t="n">
        <f aca="false">(D2397&lt;&gt;"")*(D2397&lt;=($E$3*60+$F$3)/86400)+(F2397&lt;&gt;"")*(F2397&lt;=($I$3*60+$J$3)/86400)+(H2397&lt;&gt;"")*(H2397&lt;=($M$3*60+$N$3)/86400)</f>
        <v>0</v>
      </c>
      <c r="N2397" s="16"/>
      <c r="O2397" s="15"/>
    </row>
    <row r="2398" customFormat="false" ht="25.35" hidden="false" customHeight="false" outlineLevel="0" collapsed="false">
      <c r="A2398" s="9" t="n">
        <v>2392</v>
      </c>
      <c r="B2398" s="10" t="s">
        <v>3398</v>
      </c>
      <c r="C2398" s="10" t="s">
        <v>588</v>
      </c>
      <c r="D2398" s="11"/>
      <c r="E2398" s="12"/>
      <c r="F2398" s="11" t="n">
        <v>0.00794212962962963</v>
      </c>
      <c r="G2398" s="12" t="n">
        <v>1176</v>
      </c>
      <c r="H2398" s="11"/>
      <c r="I2398" s="12"/>
      <c r="J2398" s="12" t="n">
        <f aca="false">COUNT(E2398,G2398,I2398)</f>
        <v>1</v>
      </c>
      <c r="K2398" s="13" t="n">
        <f aca="false">MIN(E2398,G2398,I2398)</f>
        <v>1176</v>
      </c>
      <c r="L2398" s="9" t="str">
        <f aca="false">IF(E2398=K2398,"5000m",IF(G2398=K2398,"3000mSC","1500m"))</f>
        <v>3000mSC</v>
      </c>
      <c r="M2398" s="14" t="n">
        <f aca="false">(D2398&lt;&gt;"")*(D2398&lt;=($E$3*60+$F$3)/86400)+(F2398&lt;&gt;"")*(F2398&lt;=($I$3*60+$J$3)/86400)+(H2398&lt;&gt;"")*(H2398&lt;=($M$3*60+$N$3)/86400)</f>
        <v>0</v>
      </c>
      <c r="N2398" s="16"/>
      <c r="O2398" s="15"/>
    </row>
    <row r="2399" customFormat="false" ht="15" hidden="false" customHeight="false" outlineLevel="0" collapsed="false">
      <c r="A2399" s="9" t="n">
        <v>2393</v>
      </c>
      <c r="B2399" s="10" t="s">
        <v>3399</v>
      </c>
      <c r="C2399" s="10" t="s">
        <v>2171</v>
      </c>
      <c r="D2399" s="11"/>
      <c r="E2399" s="12"/>
      <c r="F2399" s="11"/>
      <c r="G2399" s="12"/>
      <c r="H2399" s="11" t="n">
        <v>0.00293148148148148</v>
      </c>
      <c r="I2399" s="12" t="n">
        <v>1176</v>
      </c>
      <c r="J2399" s="12" t="n">
        <f aca="false">COUNT(E2399,G2399,I2399)</f>
        <v>1</v>
      </c>
      <c r="K2399" s="13" t="n">
        <f aca="false">MIN(E2399,G2399,I2399)</f>
        <v>1176</v>
      </c>
      <c r="L2399" s="9" t="str">
        <f aca="false">IF(E2399=K2399,"5000m",IF(G2399=K2399,"3000mSC","1500m"))</f>
        <v>1500m</v>
      </c>
      <c r="M2399" s="14" t="n">
        <f aca="false">(D2399&lt;&gt;"")*(D2399&lt;=($E$3*60+$F$3)/86400)+(F2399&lt;&gt;"")*(F2399&lt;=($I$3*60+$J$3)/86400)+(H2399&lt;&gt;"")*(H2399&lt;=($M$3*60+$N$3)/86400)</f>
        <v>0</v>
      </c>
      <c r="N2399" s="16"/>
      <c r="O2399" s="15"/>
    </row>
    <row r="2400" customFormat="false" ht="25.35" hidden="false" customHeight="false" outlineLevel="0" collapsed="false">
      <c r="A2400" s="9" t="n">
        <v>2394</v>
      </c>
      <c r="B2400" s="10" t="s">
        <v>3400</v>
      </c>
      <c r="C2400" s="10" t="s">
        <v>2271</v>
      </c>
      <c r="D2400" s="11"/>
      <c r="E2400" s="12"/>
      <c r="F2400" s="11" t="n">
        <v>0.00794224537037037</v>
      </c>
      <c r="G2400" s="12" t="n">
        <v>1177</v>
      </c>
      <c r="H2400" s="11"/>
      <c r="I2400" s="12"/>
      <c r="J2400" s="12" t="n">
        <f aca="false">COUNT(E2400,G2400,I2400)</f>
        <v>1</v>
      </c>
      <c r="K2400" s="13" t="n">
        <f aca="false">MIN(E2400,G2400,I2400)</f>
        <v>1177</v>
      </c>
      <c r="L2400" s="9" t="str">
        <f aca="false">IF(E2400=K2400,"5000m",IF(G2400=K2400,"3000mSC","1500m"))</f>
        <v>3000mSC</v>
      </c>
      <c r="M2400" s="14" t="n">
        <f aca="false">(D2400&lt;&gt;"")*(D2400&lt;=($E$3*60+$F$3)/86400)+(F2400&lt;&gt;"")*(F2400&lt;=($I$3*60+$J$3)/86400)+(H2400&lt;&gt;"")*(H2400&lt;=($M$3*60+$N$3)/86400)</f>
        <v>0</v>
      </c>
      <c r="N2400" s="16"/>
      <c r="O2400" s="15"/>
    </row>
    <row r="2401" customFormat="false" ht="15" hidden="false" customHeight="false" outlineLevel="0" collapsed="false">
      <c r="A2401" s="9" t="n">
        <v>2395</v>
      </c>
      <c r="B2401" s="10" t="s">
        <v>3401</v>
      </c>
      <c r="C2401" s="10" t="s">
        <v>91</v>
      </c>
      <c r="D2401" s="11" t="n">
        <v>0.0110405092592593</v>
      </c>
      <c r="E2401" s="12" t="n">
        <v>1179</v>
      </c>
      <c r="F2401" s="11"/>
      <c r="G2401" s="12"/>
      <c r="H2401" s="11"/>
      <c r="I2401" s="12"/>
      <c r="J2401" s="12" t="n">
        <f aca="false">COUNT(E2401,G2401,I2401)</f>
        <v>1</v>
      </c>
      <c r="K2401" s="13" t="n">
        <f aca="false">MIN(E2401,G2401,I2401)</f>
        <v>1179</v>
      </c>
      <c r="L2401" s="9" t="str">
        <f aca="false">IF(E2401=K2401,"5000m",IF(G2401=K2401,"3000mSC","1500m"))</f>
        <v>5000m</v>
      </c>
      <c r="M2401" s="14" t="n">
        <f aca="false">(D2401&lt;&gt;"")*(D2401&lt;=($E$3*60+$F$3)/86400)+(F2401&lt;&gt;"")*(F2401&lt;=($I$3*60+$J$3)/86400)+(H2401&lt;&gt;"")*(H2401&lt;=($M$3*60+$N$3)/86400)</f>
        <v>0</v>
      </c>
      <c r="N2401" s="16"/>
      <c r="O2401" s="15"/>
    </row>
    <row r="2402" customFormat="false" ht="25.35" hidden="false" customHeight="false" outlineLevel="0" collapsed="false">
      <c r="A2402" s="9" t="n">
        <v>2396</v>
      </c>
      <c r="B2402" s="10" t="s">
        <v>3402</v>
      </c>
      <c r="C2402" s="10" t="s">
        <v>288</v>
      </c>
      <c r="D2402" s="11"/>
      <c r="E2402" s="12"/>
      <c r="F2402" s="11" t="n">
        <v>0.0079599537037037</v>
      </c>
      <c r="G2402" s="12" t="n">
        <v>1179</v>
      </c>
      <c r="H2402" s="11"/>
      <c r="I2402" s="12"/>
      <c r="J2402" s="12" t="n">
        <f aca="false">COUNT(E2402,G2402,I2402)</f>
        <v>1</v>
      </c>
      <c r="K2402" s="13" t="n">
        <f aca="false">MIN(E2402,G2402,I2402)</f>
        <v>1179</v>
      </c>
      <c r="L2402" s="9" t="str">
        <f aca="false">IF(E2402=K2402,"5000m",IF(G2402=K2402,"3000mSC","1500m"))</f>
        <v>3000mSC</v>
      </c>
      <c r="M2402" s="14" t="n">
        <f aca="false">(D2402&lt;&gt;"")*(D2402&lt;=($E$3*60+$F$3)/86400)+(F2402&lt;&gt;"")*(F2402&lt;=($I$3*60+$J$3)/86400)+(H2402&lt;&gt;"")*(H2402&lt;=($M$3*60+$N$3)/86400)</f>
        <v>0</v>
      </c>
      <c r="N2402" s="16"/>
      <c r="O2402" s="15"/>
    </row>
    <row r="2403" customFormat="false" ht="15" hidden="false" customHeight="false" outlineLevel="0" collapsed="false">
      <c r="A2403" s="9" t="n">
        <v>2397</v>
      </c>
      <c r="B2403" s="10" t="s">
        <v>3403</v>
      </c>
      <c r="C2403" s="10" t="s">
        <v>910</v>
      </c>
      <c r="D2403" s="11"/>
      <c r="E2403" s="12"/>
      <c r="F2403" s="11"/>
      <c r="G2403" s="12"/>
      <c r="H2403" s="11" t="n">
        <v>0.00293206018518519</v>
      </c>
      <c r="I2403" s="12" t="n">
        <v>1179</v>
      </c>
      <c r="J2403" s="12" t="n">
        <f aca="false">COUNT(E2403,G2403,I2403)</f>
        <v>1</v>
      </c>
      <c r="K2403" s="13" t="n">
        <f aca="false">MIN(E2403,G2403,I2403)</f>
        <v>1179</v>
      </c>
      <c r="L2403" s="9" t="str">
        <f aca="false">IF(E2403=K2403,"5000m",IF(G2403=K2403,"3000mSC","1500m"))</f>
        <v>1500m</v>
      </c>
      <c r="M2403" s="14" t="n">
        <f aca="false">(D2403&lt;&gt;"")*(D2403&lt;=($E$3*60+$F$3)/86400)+(F2403&lt;&gt;"")*(F2403&lt;=($I$3*60+$J$3)/86400)+(H2403&lt;&gt;"")*(H2403&lt;=($M$3*60+$N$3)/86400)</f>
        <v>0</v>
      </c>
      <c r="N2403" s="16"/>
      <c r="O2403" s="15"/>
    </row>
    <row r="2404" customFormat="false" ht="15" hidden="false" customHeight="false" outlineLevel="0" collapsed="false">
      <c r="A2404" s="9" t="n">
        <v>2398</v>
      </c>
      <c r="B2404" s="10" t="s">
        <v>3404</v>
      </c>
      <c r="C2404" s="10" t="s">
        <v>2615</v>
      </c>
      <c r="D2404" s="11" t="n">
        <v>0.0110809027777778</v>
      </c>
      <c r="E2404" s="12" t="n">
        <v>1254</v>
      </c>
      <c r="F2404" s="11"/>
      <c r="G2404" s="12"/>
      <c r="H2404" s="11" t="n">
        <v>0.00293252314814815</v>
      </c>
      <c r="I2404" s="12" t="n">
        <v>1180</v>
      </c>
      <c r="J2404" s="12" t="n">
        <f aca="false">COUNT(E2404,G2404,I2404)</f>
        <v>2</v>
      </c>
      <c r="K2404" s="13" t="n">
        <f aca="false">MIN(E2404,G2404,I2404)</f>
        <v>1180</v>
      </c>
      <c r="L2404" s="9" t="str">
        <f aca="false">IF(E2404=K2404,"5000m",IF(G2404=K2404,"3000mSC","1500m"))</f>
        <v>1500m</v>
      </c>
      <c r="M2404" s="14" t="n">
        <f aca="false">(D2404&lt;&gt;"")*(D2404&lt;=($E$3*60+$F$3)/86400)+(F2404&lt;&gt;"")*(F2404&lt;=($I$3*60+$J$3)/86400)+(H2404&lt;&gt;"")*(H2404&lt;=($M$3*60+$N$3)/86400)</f>
        <v>0</v>
      </c>
      <c r="N2404" s="16"/>
      <c r="O2404" s="15"/>
    </row>
    <row r="2405" customFormat="false" ht="25.35" hidden="false" customHeight="false" outlineLevel="0" collapsed="false">
      <c r="A2405" s="9" t="n">
        <v>2399</v>
      </c>
      <c r="B2405" s="10" t="s">
        <v>3405</v>
      </c>
      <c r="C2405" s="10" t="s">
        <v>3406</v>
      </c>
      <c r="D2405" s="11"/>
      <c r="E2405" s="12"/>
      <c r="F2405" s="11" t="n">
        <v>0.00796296296296296</v>
      </c>
      <c r="G2405" s="12" t="n">
        <v>1180</v>
      </c>
      <c r="H2405" s="11"/>
      <c r="I2405" s="12"/>
      <c r="J2405" s="12" t="n">
        <f aca="false">COUNT(E2405,G2405,I2405)</f>
        <v>1</v>
      </c>
      <c r="K2405" s="13" t="n">
        <f aca="false">MIN(E2405,G2405,I2405)</f>
        <v>1180</v>
      </c>
      <c r="L2405" s="9" t="str">
        <f aca="false">IF(E2405=K2405,"5000m",IF(G2405=K2405,"3000mSC","1500m"))</f>
        <v>3000mSC</v>
      </c>
      <c r="M2405" s="14" t="n">
        <f aca="false">(D2405&lt;&gt;"")*(D2405&lt;=($E$3*60+$F$3)/86400)+(F2405&lt;&gt;"")*(F2405&lt;=($I$3*60+$J$3)/86400)+(H2405&lt;&gt;"")*(H2405&lt;=($M$3*60+$N$3)/86400)</f>
        <v>0</v>
      </c>
      <c r="N2405" s="16"/>
      <c r="O2405" s="15"/>
    </row>
    <row r="2406" customFormat="false" ht="25.35" hidden="false" customHeight="false" outlineLevel="0" collapsed="false">
      <c r="A2406" s="9" t="n">
        <v>2400</v>
      </c>
      <c r="B2406" s="10" t="s">
        <v>3407</v>
      </c>
      <c r="C2406" s="10" t="s">
        <v>3408</v>
      </c>
      <c r="D2406" s="11"/>
      <c r="E2406" s="12"/>
      <c r="F2406" s="11" t="n">
        <v>0.00797002314814815</v>
      </c>
      <c r="G2406" s="12" t="n">
        <v>1181</v>
      </c>
      <c r="H2406" s="11"/>
      <c r="I2406" s="12"/>
      <c r="J2406" s="12" t="n">
        <f aca="false">COUNT(E2406,G2406,I2406)</f>
        <v>1</v>
      </c>
      <c r="K2406" s="13" t="n">
        <f aca="false">MIN(E2406,G2406,I2406)</f>
        <v>1181</v>
      </c>
      <c r="L2406" s="9" t="str">
        <f aca="false">IF(E2406=K2406,"5000m",IF(G2406=K2406,"3000mSC","1500m"))</f>
        <v>3000mSC</v>
      </c>
      <c r="M2406" s="14" t="n">
        <f aca="false">(D2406&lt;&gt;"")*(D2406&lt;=($E$3*60+$F$3)/86400)+(F2406&lt;&gt;"")*(F2406&lt;=($I$3*60+$J$3)/86400)+(H2406&lt;&gt;"")*(H2406&lt;=($M$3*60+$N$3)/86400)</f>
        <v>0</v>
      </c>
      <c r="N2406" s="16"/>
      <c r="O2406" s="15"/>
    </row>
    <row r="2407" customFormat="false" ht="15" hidden="false" customHeight="false" outlineLevel="0" collapsed="false">
      <c r="A2407" s="9" t="n">
        <v>2401</v>
      </c>
      <c r="B2407" s="10" t="s">
        <v>3409</v>
      </c>
      <c r="C2407" s="10" t="s">
        <v>695</v>
      </c>
      <c r="D2407" s="11" t="n">
        <v>0.0110421296296296</v>
      </c>
      <c r="E2407" s="12" t="n">
        <v>1182</v>
      </c>
      <c r="F2407" s="11"/>
      <c r="G2407" s="12"/>
      <c r="H2407" s="11"/>
      <c r="I2407" s="12"/>
      <c r="J2407" s="12" t="n">
        <f aca="false">COUNT(E2407,G2407,I2407)</f>
        <v>1</v>
      </c>
      <c r="K2407" s="13" t="n">
        <f aca="false">MIN(E2407,G2407,I2407)</f>
        <v>1182</v>
      </c>
      <c r="L2407" s="9" t="str">
        <f aca="false">IF(E2407=K2407,"5000m",IF(G2407=K2407,"3000mSC","1500m"))</f>
        <v>5000m</v>
      </c>
      <c r="M2407" s="14" t="n">
        <f aca="false">(D2407&lt;&gt;"")*(D2407&lt;=($E$3*60+$F$3)/86400)+(F2407&lt;&gt;"")*(F2407&lt;=($I$3*60+$J$3)/86400)+(H2407&lt;&gt;"")*(H2407&lt;=($M$3*60+$N$3)/86400)</f>
        <v>0</v>
      </c>
      <c r="N2407" s="16"/>
      <c r="O2407" s="15"/>
    </row>
    <row r="2408" customFormat="false" ht="25.35" hidden="false" customHeight="false" outlineLevel="0" collapsed="false">
      <c r="A2408" s="9" t="n">
        <v>2402</v>
      </c>
      <c r="B2408" s="10" t="s">
        <v>3410</v>
      </c>
      <c r="C2408" s="10" t="s">
        <v>3411</v>
      </c>
      <c r="D2408" s="11"/>
      <c r="E2408" s="12"/>
      <c r="F2408" s="11" t="n">
        <v>0.00797002314814815</v>
      </c>
      <c r="G2408" s="12" t="n">
        <v>1182</v>
      </c>
      <c r="H2408" s="11"/>
      <c r="I2408" s="12"/>
      <c r="J2408" s="12" t="n">
        <f aca="false">COUNT(E2408,G2408,I2408)</f>
        <v>1</v>
      </c>
      <c r="K2408" s="13" t="n">
        <f aca="false">MIN(E2408,G2408,I2408)</f>
        <v>1182</v>
      </c>
      <c r="L2408" s="9" t="str">
        <f aca="false">IF(E2408=K2408,"5000m",IF(G2408=K2408,"3000mSC","1500m"))</f>
        <v>3000mSC</v>
      </c>
      <c r="M2408" s="14" t="n">
        <f aca="false">(D2408&lt;&gt;"")*(D2408&lt;=($E$3*60+$F$3)/86400)+(F2408&lt;&gt;"")*(F2408&lt;=($I$3*60+$J$3)/86400)+(H2408&lt;&gt;"")*(H2408&lt;=($M$3*60+$N$3)/86400)</f>
        <v>0</v>
      </c>
      <c r="N2408" s="16"/>
      <c r="O2408" s="15"/>
    </row>
    <row r="2409" customFormat="false" ht="15" hidden="false" customHeight="false" outlineLevel="0" collapsed="false">
      <c r="A2409" s="9" t="n">
        <v>2403</v>
      </c>
      <c r="B2409" s="10" t="s">
        <v>3412</v>
      </c>
      <c r="C2409" s="10" t="s">
        <v>181</v>
      </c>
      <c r="D2409" s="11" t="n">
        <v>0.0110434027777778</v>
      </c>
      <c r="E2409" s="12" t="n">
        <v>1183</v>
      </c>
      <c r="F2409" s="11"/>
      <c r="G2409" s="12"/>
      <c r="H2409" s="11"/>
      <c r="I2409" s="12"/>
      <c r="J2409" s="12" t="n">
        <f aca="false">COUNT(E2409,G2409,I2409)</f>
        <v>1</v>
      </c>
      <c r="K2409" s="13" t="n">
        <f aca="false">MIN(E2409,G2409,I2409)</f>
        <v>1183</v>
      </c>
      <c r="L2409" s="9" t="str">
        <f aca="false">IF(E2409=K2409,"5000m",IF(G2409=K2409,"3000mSC","1500m"))</f>
        <v>5000m</v>
      </c>
      <c r="M2409" s="14" t="n">
        <f aca="false">(D2409&lt;&gt;"")*(D2409&lt;=($E$3*60+$F$3)/86400)+(F2409&lt;&gt;"")*(F2409&lt;=($I$3*60+$J$3)/86400)+(H2409&lt;&gt;"")*(H2409&lt;=($M$3*60+$N$3)/86400)</f>
        <v>0</v>
      </c>
      <c r="N2409" s="16"/>
      <c r="O2409" s="15"/>
    </row>
    <row r="2410" customFormat="false" ht="25.35" hidden="false" customHeight="false" outlineLevel="0" collapsed="false">
      <c r="A2410" s="9" t="n">
        <v>2404</v>
      </c>
      <c r="B2410" s="10" t="s">
        <v>3413</v>
      </c>
      <c r="C2410" s="10" t="s">
        <v>3414</v>
      </c>
      <c r="D2410" s="11"/>
      <c r="E2410" s="12"/>
      <c r="F2410" s="11" t="n">
        <v>0.0079755787037037</v>
      </c>
      <c r="G2410" s="12" t="n">
        <v>1183</v>
      </c>
      <c r="H2410" s="11"/>
      <c r="I2410" s="12"/>
      <c r="J2410" s="12" t="n">
        <f aca="false">COUNT(E2410,G2410,I2410)</f>
        <v>1</v>
      </c>
      <c r="K2410" s="13" t="n">
        <f aca="false">MIN(E2410,G2410,I2410)</f>
        <v>1183</v>
      </c>
      <c r="L2410" s="9" t="str">
        <f aca="false">IF(E2410=K2410,"5000m",IF(G2410=K2410,"3000mSC","1500m"))</f>
        <v>3000mSC</v>
      </c>
      <c r="M2410" s="14" t="n">
        <f aca="false">(D2410&lt;&gt;"")*(D2410&lt;=($E$3*60+$F$3)/86400)+(F2410&lt;&gt;"")*(F2410&lt;=($I$3*60+$J$3)/86400)+(H2410&lt;&gt;"")*(H2410&lt;=($M$3*60+$N$3)/86400)</f>
        <v>0</v>
      </c>
      <c r="N2410" s="16"/>
      <c r="O2410" s="15"/>
    </row>
    <row r="2411" customFormat="false" ht="15" hidden="false" customHeight="false" outlineLevel="0" collapsed="false">
      <c r="A2411" s="9" t="n">
        <v>2405</v>
      </c>
      <c r="B2411" s="10" t="s">
        <v>3415</v>
      </c>
      <c r="C2411" s="10" t="s">
        <v>2219</v>
      </c>
      <c r="D2411" s="11" t="n">
        <v>0.0110434027777778</v>
      </c>
      <c r="E2411" s="12" t="n">
        <v>1184</v>
      </c>
      <c r="F2411" s="11"/>
      <c r="G2411" s="12"/>
      <c r="H2411" s="11"/>
      <c r="I2411" s="12"/>
      <c r="J2411" s="12" t="n">
        <f aca="false">COUNT(E2411,G2411,I2411)</f>
        <v>1</v>
      </c>
      <c r="K2411" s="13" t="n">
        <f aca="false">MIN(E2411,G2411,I2411)</f>
        <v>1184</v>
      </c>
      <c r="L2411" s="9" t="str">
        <f aca="false">IF(E2411=K2411,"5000m",IF(G2411=K2411,"3000mSC","1500m"))</f>
        <v>5000m</v>
      </c>
      <c r="M2411" s="14" t="n">
        <f aca="false">(D2411&lt;&gt;"")*(D2411&lt;=($E$3*60+$F$3)/86400)+(F2411&lt;&gt;"")*(F2411&lt;=($I$3*60+$J$3)/86400)+(H2411&lt;&gt;"")*(H2411&lt;=($M$3*60+$N$3)/86400)</f>
        <v>0</v>
      </c>
      <c r="N2411" s="16"/>
      <c r="O2411" s="15"/>
    </row>
    <row r="2412" customFormat="false" ht="25.35" hidden="false" customHeight="false" outlineLevel="0" collapsed="false">
      <c r="A2412" s="9" t="n">
        <v>2406</v>
      </c>
      <c r="B2412" s="10" t="s">
        <v>3416</v>
      </c>
      <c r="C2412" s="10" t="s">
        <v>599</v>
      </c>
      <c r="D2412" s="11"/>
      <c r="E2412" s="12"/>
      <c r="F2412" s="11" t="n">
        <v>0.00797835648148148</v>
      </c>
      <c r="G2412" s="12" t="n">
        <v>1184</v>
      </c>
      <c r="H2412" s="11"/>
      <c r="I2412" s="12"/>
      <c r="J2412" s="12" t="n">
        <f aca="false">COUNT(E2412,G2412,I2412)</f>
        <v>1</v>
      </c>
      <c r="K2412" s="13" t="n">
        <f aca="false">MIN(E2412,G2412,I2412)</f>
        <v>1184</v>
      </c>
      <c r="L2412" s="9" t="str">
        <f aca="false">IF(E2412=K2412,"5000m",IF(G2412=K2412,"3000mSC","1500m"))</f>
        <v>3000mSC</v>
      </c>
      <c r="M2412" s="14" t="n">
        <f aca="false">(D2412&lt;&gt;"")*(D2412&lt;=($E$3*60+$F$3)/86400)+(F2412&lt;&gt;"")*(F2412&lt;=($I$3*60+$J$3)/86400)+(H2412&lt;&gt;"")*(H2412&lt;=($M$3*60+$N$3)/86400)</f>
        <v>0</v>
      </c>
      <c r="N2412" s="16"/>
      <c r="O2412" s="15"/>
    </row>
    <row r="2413" customFormat="false" ht="15" hidden="false" customHeight="false" outlineLevel="0" collapsed="false">
      <c r="A2413" s="9" t="n">
        <v>2407</v>
      </c>
      <c r="B2413" s="10" t="s">
        <v>3417</v>
      </c>
      <c r="C2413" s="10" t="s">
        <v>1069</v>
      </c>
      <c r="D2413" s="11"/>
      <c r="E2413" s="12"/>
      <c r="F2413" s="11"/>
      <c r="G2413" s="12"/>
      <c r="H2413" s="11" t="n">
        <v>0.00293472222222222</v>
      </c>
      <c r="I2413" s="12" t="n">
        <v>1184</v>
      </c>
      <c r="J2413" s="12" t="n">
        <f aca="false">COUNT(E2413,G2413,I2413)</f>
        <v>1</v>
      </c>
      <c r="K2413" s="13" t="n">
        <f aca="false">MIN(E2413,G2413,I2413)</f>
        <v>1184</v>
      </c>
      <c r="L2413" s="9" t="str">
        <f aca="false">IF(E2413=K2413,"5000m",IF(G2413=K2413,"3000mSC","1500m"))</f>
        <v>1500m</v>
      </c>
      <c r="M2413" s="14" t="n">
        <f aca="false">(D2413&lt;&gt;"")*(D2413&lt;=($E$3*60+$F$3)/86400)+(F2413&lt;&gt;"")*(F2413&lt;=($I$3*60+$J$3)/86400)+(H2413&lt;&gt;"")*(H2413&lt;=($M$3*60+$N$3)/86400)</f>
        <v>0</v>
      </c>
      <c r="N2413" s="16"/>
      <c r="O2413" s="15"/>
    </row>
    <row r="2414" customFormat="false" ht="25.35" hidden="false" customHeight="false" outlineLevel="0" collapsed="false">
      <c r="A2414" s="9" t="n">
        <v>2408</v>
      </c>
      <c r="B2414" s="10" t="s">
        <v>3418</v>
      </c>
      <c r="C2414" s="10" t="s">
        <v>1575</v>
      </c>
      <c r="D2414" s="11"/>
      <c r="E2414" s="12"/>
      <c r="F2414" s="11" t="n">
        <v>0.00798865740740741</v>
      </c>
      <c r="G2414" s="12" t="n">
        <v>1185</v>
      </c>
      <c r="H2414" s="11"/>
      <c r="I2414" s="12"/>
      <c r="J2414" s="12" t="n">
        <f aca="false">COUNT(E2414,G2414,I2414)</f>
        <v>1</v>
      </c>
      <c r="K2414" s="13" t="n">
        <f aca="false">MIN(E2414,G2414,I2414)</f>
        <v>1185</v>
      </c>
      <c r="L2414" s="9" t="str">
        <f aca="false">IF(E2414=K2414,"5000m",IF(G2414=K2414,"3000mSC","1500m"))</f>
        <v>3000mSC</v>
      </c>
      <c r="M2414" s="14" t="n">
        <f aca="false">(D2414&lt;&gt;"")*(D2414&lt;=($E$3*60+$F$3)/86400)+(F2414&lt;&gt;"")*(F2414&lt;=($I$3*60+$J$3)/86400)+(H2414&lt;&gt;"")*(H2414&lt;=($M$3*60+$N$3)/86400)</f>
        <v>0</v>
      </c>
      <c r="N2414" s="16"/>
      <c r="O2414" s="15"/>
    </row>
    <row r="2415" customFormat="false" ht="25.35" hidden="false" customHeight="false" outlineLevel="0" collapsed="false">
      <c r="A2415" s="9" t="n">
        <v>2409</v>
      </c>
      <c r="B2415" s="10" t="s">
        <v>3419</v>
      </c>
      <c r="C2415" s="10" t="s">
        <v>1027</v>
      </c>
      <c r="D2415" s="11"/>
      <c r="E2415" s="12"/>
      <c r="F2415" s="11" t="n">
        <v>0.00799097222222222</v>
      </c>
      <c r="G2415" s="12" t="n">
        <v>1186</v>
      </c>
      <c r="H2415" s="11"/>
      <c r="I2415" s="12"/>
      <c r="J2415" s="12" t="n">
        <f aca="false">COUNT(E2415,G2415,I2415)</f>
        <v>1</v>
      </c>
      <c r="K2415" s="13" t="n">
        <f aca="false">MIN(E2415,G2415,I2415)</f>
        <v>1186</v>
      </c>
      <c r="L2415" s="9" t="str">
        <f aca="false">IF(E2415=K2415,"5000m",IF(G2415=K2415,"3000mSC","1500m"))</f>
        <v>3000mSC</v>
      </c>
      <c r="M2415" s="14" t="n">
        <f aca="false">(D2415&lt;&gt;"")*(D2415&lt;=($E$3*60+$F$3)/86400)+(F2415&lt;&gt;"")*(F2415&lt;=($I$3*60+$J$3)/86400)+(H2415&lt;&gt;"")*(H2415&lt;=($M$3*60+$N$3)/86400)</f>
        <v>0</v>
      </c>
      <c r="N2415" s="16"/>
      <c r="O2415" s="15"/>
    </row>
    <row r="2416" customFormat="false" ht="15" hidden="false" customHeight="false" outlineLevel="0" collapsed="false">
      <c r="A2416" s="9" t="n">
        <v>2410</v>
      </c>
      <c r="B2416" s="10" t="s">
        <v>3420</v>
      </c>
      <c r="C2416" s="10" t="s">
        <v>244</v>
      </c>
      <c r="D2416" s="11"/>
      <c r="E2416" s="12"/>
      <c r="F2416" s="11"/>
      <c r="G2416" s="12"/>
      <c r="H2416" s="11" t="n">
        <v>0.00293483796296296</v>
      </c>
      <c r="I2416" s="12" t="n">
        <v>1186</v>
      </c>
      <c r="J2416" s="12" t="n">
        <f aca="false">COUNT(E2416,G2416,I2416)</f>
        <v>1</v>
      </c>
      <c r="K2416" s="13" t="n">
        <f aca="false">MIN(E2416,G2416,I2416)</f>
        <v>1186</v>
      </c>
      <c r="L2416" s="9" t="str">
        <f aca="false">IF(E2416=K2416,"5000m",IF(G2416=K2416,"3000mSC","1500m"))</f>
        <v>1500m</v>
      </c>
      <c r="M2416" s="14" t="n">
        <f aca="false">(D2416&lt;&gt;"")*(D2416&lt;=($E$3*60+$F$3)/86400)+(F2416&lt;&gt;"")*(F2416&lt;=($I$3*60+$J$3)/86400)+(H2416&lt;&gt;"")*(H2416&lt;=($M$3*60+$N$3)/86400)</f>
        <v>0</v>
      </c>
      <c r="N2416" s="16"/>
      <c r="O2416" s="15"/>
    </row>
    <row r="2417" customFormat="false" ht="25.35" hidden="false" customHeight="false" outlineLevel="0" collapsed="false">
      <c r="A2417" s="9" t="n">
        <v>2411</v>
      </c>
      <c r="B2417" s="10" t="s">
        <v>3421</v>
      </c>
      <c r="C2417" s="10" t="s">
        <v>3422</v>
      </c>
      <c r="D2417" s="11"/>
      <c r="E2417" s="12"/>
      <c r="F2417" s="11" t="n">
        <v>0.00799293981481482</v>
      </c>
      <c r="G2417" s="12" t="n">
        <v>1187</v>
      </c>
      <c r="H2417" s="11"/>
      <c r="I2417" s="12"/>
      <c r="J2417" s="12" t="n">
        <f aca="false">COUNT(E2417,G2417,I2417)</f>
        <v>1</v>
      </c>
      <c r="K2417" s="13" t="n">
        <f aca="false">MIN(E2417,G2417,I2417)</f>
        <v>1187</v>
      </c>
      <c r="L2417" s="9" t="str">
        <f aca="false">IF(E2417=K2417,"5000m",IF(G2417=K2417,"3000mSC","1500m"))</f>
        <v>3000mSC</v>
      </c>
      <c r="M2417" s="14" t="n">
        <f aca="false">(D2417&lt;&gt;"")*(D2417&lt;=($E$3*60+$F$3)/86400)+(F2417&lt;&gt;"")*(F2417&lt;=($I$3*60+$J$3)/86400)+(H2417&lt;&gt;"")*(H2417&lt;=($M$3*60+$N$3)/86400)</f>
        <v>0</v>
      </c>
      <c r="N2417" s="16"/>
      <c r="O2417" s="15"/>
    </row>
    <row r="2418" customFormat="false" ht="15" hidden="false" customHeight="false" outlineLevel="0" collapsed="false">
      <c r="A2418" s="9" t="n">
        <v>2412</v>
      </c>
      <c r="B2418" s="10" t="s">
        <v>3423</v>
      </c>
      <c r="C2418" s="10" t="s">
        <v>3424</v>
      </c>
      <c r="D2418" s="11"/>
      <c r="E2418" s="12"/>
      <c r="F2418" s="11"/>
      <c r="G2418" s="12"/>
      <c r="H2418" s="11" t="n">
        <v>0.0029349537037037</v>
      </c>
      <c r="I2418" s="12" t="n">
        <v>1187</v>
      </c>
      <c r="J2418" s="12" t="n">
        <f aca="false">COUNT(E2418,G2418,I2418)</f>
        <v>1</v>
      </c>
      <c r="K2418" s="13" t="n">
        <f aca="false">MIN(E2418,G2418,I2418)</f>
        <v>1187</v>
      </c>
      <c r="L2418" s="9" t="str">
        <f aca="false">IF(E2418=K2418,"5000m",IF(G2418=K2418,"3000mSC","1500m"))</f>
        <v>1500m</v>
      </c>
      <c r="M2418" s="14" t="n">
        <f aca="false">(D2418&lt;&gt;"")*(D2418&lt;=($E$3*60+$F$3)/86400)+(F2418&lt;&gt;"")*(F2418&lt;=($I$3*60+$J$3)/86400)+(H2418&lt;&gt;"")*(H2418&lt;=($M$3*60+$N$3)/86400)</f>
        <v>0</v>
      </c>
      <c r="N2418" s="16"/>
      <c r="O2418" s="15"/>
    </row>
    <row r="2419" customFormat="false" ht="15" hidden="false" customHeight="false" outlineLevel="0" collapsed="false">
      <c r="A2419" s="9" t="n">
        <v>2413</v>
      </c>
      <c r="B2419" s="10" t="s">
        <v>3425</v>
      </c>
      <c r="C2419" s="10" t="s">
        <v>51</v>
      </c>
      <c r="D2419" s="11" t="n">
        <v>0.0110440972222222</v>
      </c>
      <c r="E2419" s="12" t="n">
        <v>1188</v>
      </c>
      <c r="F2419" s="11"/>
      <c r="G2419" s="12"/>
      <c r="H2419" s="11" t="n">
        <v>0.00296585648148148</v>
      </c>
      <c r="I2419" s="12" t="n">
        <v>1294</v>
      </c>
      <c r="J2419" s="12" t="n">
        <f aca="false">COUNT(E2419,G2419,I2419)</f>
        <v>2</v>
      </c>
      <c r="K2419" s="13" t="n">
        <f aca="false">MIN(E2419,G2419,I2419)</f>
        <v>1188</v>
      </c>
      <c r="L2419" s="9" t="str">
        <f aca="false">IF(E2419=K2419,"5000m",IF(G2419=K2419,"3000mSC","1500m"))</f>
        <v>5000m</v>
      </c>
      <c r="M2419" s="14" t="n">
        <f aca="false">(D2419&lt;&gt;"")*(D2419&lt;=($E$3*60+$F$3)/86400)+(F2419&lt;&gt;"")*(F2419&lt;=($I$3*60+$J$3)/86400)+(H2419&lt;&gt;"")*(H2419&lt;=($M$3*60+$N$3)/86400)</f>
        <v>0</v>
      </c>
      <c r="N2419" s="16"/>
      <c r="O2419" s="15"/>
    </row>
    <row r="2420" customFormat="false" ht="25.35" hidden="false" customHeight="false" outlineLevel="0" collapsed="false">
      <c r="A2420" s="9" t="n">
        <v>2414</v>
      </c>
      <c r="B2420" s="10" t="s">
        <v>3426</v>
      </c>
      <c r="C2420" s="10" t="s">
        <v>3427</v>
      </c>
      <c r="D2420" s="11"/>
      <c r="E2420" s="12"/>
      <c r="F2420" s="11" t="n">
        <v>0.00799710648148148</v>
      </c>
      <c r="G2420" s="12" t="n">
        <v>1188</v>
      </c>
      <c r="H2420" s="11"/>
      <c r="I2420" s="12"/>
      <c r="J2420" s="12" t="n">
        <f aca="false">COUNT(E2420,G2420,I2420)</f>
        <v>1</v>
      </c>
      <c r="K2420" s="13" t="n">
        <f aca="false">MIN(E2420,G2420,I2420)</f>
        <v>1188</v>
      </c>
      <c r="L2420" s="9" t="str">
        <f aca="false">IF(E2420=K2420,"5000m",IF(G2420=K2420,"3000mSC","1500m"))</f>
        <v>3000mSC</v>
      </c>
      <c r="M2420" s="14" t="n">
        <f aca="false">(D2420&lt;&gt;"")*(D2420&lt;=($E$3*60+$F$3)/86400)+(F2420&lt;&gt;"")*(F2420&lt;=($I$3*60+$J$3)/86400)+(H2420&lt;&gt;"")*(H2420&lt;=($M$3*60+$N$3)/86400)</f>
        <v>0</v>
      </c>
      <c r="N2420" s="16"/>
      <c r="O2420" s="15"/>
    </row>
    <row r="2421" customFormat="false" ht="15" hidden="false" customHeight="false" outlineLevel="0" collapsed="false">
      <c r="A2421" s="9" t="n">
        <v>2415</v>
      </c>
      <c r="B2421" s="10" t="s">
        <v>3428</v>
      </c>
      <c r="C2421" s="10" t="s">
        <v>3429</v>
      </c>
      <c r="D2421" s="11"/>
      <c r="E2421" s="12"/>
      <c r="F2421" s="11"/>
      <c r="G2421" s="12"/>
      <c r="H2421" s="11" t="n">
        <v>0.00293564814814815</v>
      </c>
      <c r="I2421" s="12" t="n">
        <v>1188</v>
      </c>
      <c r="J2421" s="12" t="n">
        <f aca="false">COUNT(E2421,G2421,I2421)</f>
        <v>1</v>
      </c>
      <c r="K2421" s="13" t="n">
        <f aca="false">MIN(E2421,G2421,I2421)</f>
        <v>1188</v>
      </c>
      <c r="L2421" s="9" t="str">
        <f aca="false">IF(E2421=K2421,"5000m",IF(G2421=K2421,"3000mSC","1500m"))</f>
        <v>1500m</v>
      </c>
      <c r="M2421" s="14" t="n">
        <f aca="false">(D2421&lt;&gt;"")*(D2421&lt;=($E$3*60+$F$3)/86400)+(F2421&lt;&gt;"")*(F2421&lt;=($I$3*60+$J$3)/86400)+(H2421&lt;&gt;"")*(H2421&lt;=($M$3*60+$N$3)/86400)</f>
        <v>0</v>
      </c>
      <c r="N2421" s="16"/>
      <c r="O2421" s="15"/>
    </row>
    <row r="2422" customFormat="false" ht="15" hidden="false" customHeight="false" outlineLevel="0" collapsed="false">
      <c r="A2422" s="9" t="n">
        <v>2416</v>
      </c>
      <c r="B2422" s="10" t="s">
        <v>3430</v>
      </c>
      <c r="C2422" s="10" t="s">
        <v>3431</v>
      </c>
      <c r="D2422" s="11" t="n">
        <v>0.0110452546296296</v>
      </c>
      <c r="E2422" s="12" t="n">
        <v>1189</v>
      </c>
      <c r="F2422" s="11"/>
      <c r="G2422" s="12"/>
      <c r="H2422" s="11"/>
      <c r="I2422" s="12"/>
      <c r="J2422" s="12" t="n">
        <f aca="false">COUNT(E2422,G2422,I2422)</f>
        <v>1</v>
      </c>
      <c r="K2422" s="13" t="n">
        <f aca="false">MIN(E2422,G2422,I2422)</f>
        <v>1189</v>
      </c>
      <c r="L2422" s="9" t="str">
        <f aca="false">IF(E2422=K2422,"5000m",IF(G2422=K2422,"3000mSC","1500m"))</f>
        <v>5000m</v>
      </c>
      <c r="M2422" s="14" t="n">
        <f aca="false">(D2422&lt;&gt;"")*(D2422&lt;=($E$3*60+$F$3)/86400)+(F2422&lt;&gt;"")*(F2422&lt;=($I$3*60+$J$3)/86400)+(H2422&lt;&gt;"")*(H2422&lt;=($M$3*60+$N$3)/86400)</f>
        <v>0</v>
      </c>
      <c r="N2422" s="16"/>
      <c r="O2422" s="15"/>
    </row>
    <row r="2423" customFormat="false" ht="25.35" hidden="false" customHeight="false" outlineLevel="0" collapsed="false">
      <c r="A2423" s="9" t="n">
        <v>2417</v>
      </c>
      <c r="B2423" s="10" t="s">
        <v>3432</v>
      </c>
      <c r="C2423" s="10" t="s">
        <v>1498</v>
      </c>
      <c r="D2423" s="11"/>
      <c r="E2423" s="12"/>
      <c r="F2423" s="11" t="n">
        <v>0.00800046296296296</v>
      </c>
      <c r="G2423" s="12" t="n">
        <v>1189</v>
      </c>
      <c r="H2423" s="11"/>
      <c r="I2423" s="12"/>
      <c r="J2423" s="12" t="n">
        <f aca="false">COUNT(E2423,G2423,I2423)</f>
        <v>1</v>
      </c>
      <c r="K2423" s="13" t="n">
        <f aca="false">MIN(E2423,G2423,I2423)</f>
        <v>1189</v>
      </c>
      <c r="L2423" s="9" t="str">
        <f aca="false">IF(E2423=K2423,"5000m",IF(G2423=K2423,"3000mSC","1500m"))</f>
        <v>3000mSC</v>
      </c>
      <c r="M2423" s="14" t="n">
        <f aca="false">(D2423&lt;&gt;"")*(D2423&lt;=($E$3*60+$F$3)/86400)+(F2423&lt;&gt;"")*(F2423&lt;=($I$3*60+$J$3)/86400)+(H2423&lt;&gt;"")*(H2423&lt;=($M$3*60+$N$3)/86400)</f>
        <v>0</v>
      </c>
      <c r="N2423" s="16"/>
      <c r="O2423" s="15"/>
    </row>
    <row r="2424" customFormat="false" ht="15" hidden="false" customHeight="false" outlineLevel="0" collapsed="false">
      <c r="A2424" s="9" t="n">
        <v>2418</v>
      </c>
      <c r="B2424" s="10" t="s">
        <v>3433</v>
      </c>
      <c r="C2424" s="10" t="s">
        <v>2278</v>
      </c>
      <c r="D2424" s="11"/>
      <c r="E2424" s="12"/>
      <c r="F2424" s="11"/>
      <c r="G2424" s="12"/>
      <c r="H2424" s="11" t="n">
        <v>0.00293611111111111</v>
      </c>
      <c r="I2424" s="12" t="n">
        <v>1189</v>
      </c>
      <c r="J2424" s="12" t="n">
        <f aca="false">COUNT(E2424,G2424,I2424)</f>
        <v>1</v>
      </c>
      <c r="K2424" s="13" t="n">
        <f aca="false">MIN(E2424,G2424,I2424)</f>
        <v>1189</v>
      </c>
      <c r="L2424" s="9" t="str">
        <f aca="false">IF(E2424=K2424,"5000m",IF(G2424=K2424,"3000mSC","1500m"))</f>
        <v>1500m</v>
      </c>
      <c r="M2424" s="14" t="n">
        <f aca="false">(D2424&lt;&gt;"")*(D2424&lt;=($E$3*60+$F$3)/86400)+(F2424&lt;&gt;"")*(F2424&lt;=($I$3*60+$J$3)/86400)+(H2424&lt;&gt;"")*(H2424&lt;=($M$3*60+$N$3)/86400)</f>
        <v>0</v>
      </c>
      <c r="N2424" s="16"/>
      <c r="O2424" s="15"/>
    </row>
    <row r="2425" customFormat="false" ht="25.35" hidden="false" customHeight="false" outlineLevel="0" collapsed="false">
      <c r="A2425" s="9" t="n">
        <v>2419</v>
      </c>
      <c r="B2425" s="10" t="s">
        <v>3434</v>
      </c>
      <c r="C2425" s="10" t="s">
        <v>2192</v>
      </c>
      <c r="D2425" s="11"/>
      <c r="E2425" s="12"/>
      <c r="F2425" s="11" t="n">
        <v>0.00800439814814815</v>
      </c>
      <c r="G2425" s="12" t="n">
        <v>1190</v>
      </c>
      <c r="H2425" s="11"/>
      <c r="I2425" s="12"/>
      <c r="J2425" s="12" t="n">
        <f aca="false">COUNT(E2425,G2425,I2425)</f>
        <v>1</v>
      </c>
      <c r="K2425" s="13" t="n">
        <f aca="false">MIN(E2425,G2425,I2425)</f>
        <v>1190</v>
      </c>
      <c r="L2425" s="9" t="str">
        <f aca="false">IF(E2425=K2425,"5000m",IF(G2425=K2425,"3000mSC","1500m"))</f>
        <v>3000mSC</v>
      </c>
      <c r="M2425" s="14" t="n">
        <f aca="false">(D2425&lt;&gt;"")*(D2425&lt;=($E$3*60+$F$3)/86400)+(F2425&lt;&gt;"")*(F2425&lt;=($I$3*60+$J$3)/86400)+(H2425&lt;&gt;"")*(H2425&lt;=($M$3*60+$N$3)/86400)</f>
        <v>0</v>
      </c>
      <c r="N2425" s="16"/>
      <c r="O2425" s="15"/>
    </row>
    <row r="2426" customFormat="false" ht="15" hidden="false" customHeight="false" outlineLevel="0" collapsed="false">
      <c r="A2426" s="9" t="n">
        <v>2420</v>
      </c>
      <c r="B2426" s="10" t="s">
        <v>3435</v>
      </c>
      <c r="C2426" s="10" t="s">
        <v>3436</v>
      </c>
      <c r="D2426" s="11"/>
      <c r="E2426" s="12"/>
      <c r="F2426" s="11"/>
      <c r="G2426" s="12"/>
      <c r="H2426" s="11" t="n">
        <v>0.00293634259259259</v>
      </c>
      <c r="I2426" s="12" t="n">
        <v>1190</v>
      </c>
      <c r="J2426" s="12" t="n">
        <f aca="false">COUNT(E2426,G2426,I2426)</f>
        <v>1</v>
      </c>
      <c r="K2426" s="13" t="n">
        <f aca="false">MIN(E2426,G2426,I2426)</f>
        <v>1190</v>
      </c>
      <c r="L2426" s="9" t="str">
        <f aca="false">IF(E2426=K2426,"5000m",IF(G2426=K2426,"3000mSC","1500m"))</f>
        <v>1500m</v>
      </c>
      <c r="M2426" s="14" t="n">
        <f aca="false">(D2426&lt;&gt;"")*(D2426&lt;=($E$3*60+$F$3)/86400)+(F2426&lt;&gt;"")*(F2426&lt;=($I$3*60+$J$3)/86400)+(H2426&lt;&gt;"")*(H2426&lt;=($M$3*60+$N$3)/86400)</f>
        <v>0</v>
      </c>
      <c r="N2426" s="16"/>
      <c r="O2426" s="15"/>
    </row>
    <row r="2427" customFormat="false" ht="15" hidden="false" customHeight="false" outlineLevel="0" collapsed="false">
      <c r="A2427" s="9" t="n">
        <v>2421</v>
      </c>
      <c r="B2427" s="10" t="s">
        <v>3437</v>
      </c>
      <c r="C2427" s="10" t="s">
        <v>2038</v>
      </c>
      <c r="D2427" s="11" t="n">
        <v>0.0110453703703704</v>
      </c>
      <c r="E2427" s="12" t="n">
        <v>1191</v>
      </c>
      <c r="F2427" s="11"/>
      <c r="G2427" s="12"/>
      <c r="H2427" s="11"/>
      <c r="I2427" s="12"/>
      <c r="J2427" s="12" t="n">
        <f aca="false">COUNT(E2427,G2427,I2427)</f>
        <v>1</v>
      </c>
      <c r="K2427" s="13" t="n">
        <f aca="false">MIN(E2427,G2427,I2427)</f>
        <v>1191</v>
      </c>
      <c r="L2427" s="9" t="str">
        <f aca="false">IF(E2427=K2427,"5000m",IF(G2427=K2427,"3000mSC","1500m"))</f>
        <v>5000m</v>
      </c>
      <c r="M2427" s="14" t="n">
        <f aca="false">(D2427&lt;&gt;"")*(D2427&lt;=($E$3*60+$F$3)/86400)+(F2427&lt;&gt;"")*(F2427&lt;=($I$3*60+$J$3)/86400)+(H2427&lt;&gt;"")*(H2427&lt;=($M$3*60+$N$3)/86400)</f>
        <v>0</v>
      </c>
      <c r="N2427" s="16"/>
      <c r="O2427" s="15"/>
    </row>
    <row r="2428" customFormat="false" ht="25.35" hidden="false" customHeight="false" outlineLevel="0" collapsed="false">
      <c r="A2428" s="9" t="n">
        <v>2422</v>
      </c>
      <c r="B2428" s="10" t="s">
        <v>3438</v>
      </c>
      <c r="C2428" s="10" t="s">
        <v>1553</v>
      </c>
      <c r="D2428" s="11"/>
      <c r="E2428" s="12"/>
      <c r="F2428" s="11" t="n">
        <v>0.0080068287037037</v>
      </c>
      <c r="G2428" s="12" t="n">
        <v>1191</v>
      </c>
      <c r="H2428" s="11"/>
      <c r="I2428" s="12"/>
      <c r="J2428" s="12" t="n">
        <f aca="false">COUNT(E2428,G2428,I2428)</f>
        <v>1</v>
      </c>
      <c r="K2428" s="13" t="n">
        <f aca="false">MIN(E2428,G2428,I2428)</f>
        <v>1191</v>
      </c>
      <c r="L2428" s="9" t="str">
        <f aca="false">IF(E2428=K2428,"5000m",IF(G2428=K2428,"3000mSC","1500m"))</f>
        <v>3000mSC</v>
      </c>
      <c r="M2428" s="14" t="n">
        <f aca="false">(D2428&lt;&gt;"")*(D2428&lt;=($E$3*60+$F$3)/86400)+(F2428&lt;&gt;"")*(F2428&lt;=($I$3*60+$J$3)/86400)+(H2428&lt;&gt;"")*(H2428&lt;=($M$3*60+$N$3)/86400)</f>
        <v>0</v>
      </c>
      <c r="N2428" s="16"/>
      <c r="O2428" s="15"/>
    </row>
    <row r="2429" customFormat="false" ht="15" hidden="false" customHeight="false" outlineLevel="0" collapsed="false">
      <c r="A2429" s="9" t="n">
        <v>2423</v>
      </c>
      <c r="B2429" s="10" t="s">
        <v>3439</v>
      </c>
      <c r="C2429" s="10" t="s">
        <v>1038</v>
      </c>
      <c r="D2429" s="11"/>
      <c r="E2429" s="12"/>
      <c r="F2429" s="11"/>
      <c r="G2429" s="12"/>
      <c r="H2429" s="11" t="n">
        <v>0.00293680555555556</v>
      </c>
      <c r="I2429" s="12" t="n">
        <v>1191</v>
      </c>
      <c r="J2429" s="12" t="n">
        <f aca="false">COUNT(E2429,G2429,I2429)</f>
        <v>1</v>
      </c>
      <c r="K2429" s="13" t="n">
        <f aca="false">MIN(E2429,G2429,I2429)</f>
        <v>1191</v>
      </c>
      <c r="L2429" s="9" t="str">
        <f aca="false">IF(E2429=K2429,"5000m",IF(G2429=K2429,"3000mSC","1500m"))</f>
        <v>1500m</v>
      </c>
      <c r="M2429" s="14" t="n">
        <f aca="false">(D2429&lt;&gt;"")*(D2429&lt;=($E$3*60+$F$3)/86400)+(F2429&lt;&gt;"")*(F2429&lt;=($I$3*60+$J$3)/86400)+(H2429&lt;&gt;"")*(H2429&lt;=($M$3*60+$N$3)/86400)</f>
        <v>0</v>
      </c>
      <c r="N2429" s="16"/>
      <c r="O2429" s="15"/>
    </row>
    <row r="2430" customFormat="false" ht="25.35" hidden="false" customHeight="false" outlineLevel="0" collapsed="false">
      <c r="A2430" s="9" t="n">
        <v>2424</v>
      </c>
      <c r="B2430" s="10" t="s">
        <v>3440</v>
      </c>
      <c r="C2430" s="10" t="s">
        <v>3441</v>
      </c>
      <c r="D2430" s="11"/>
      <c r="E2430" s="12"/>
      <c r="F2430" s="11" t="n">
        <v>0.00801030092592593</v>
      </c>
      <c r="G2430" s="12" t="n">
        <v>1192</v>
      </c>
      <c r="H2430" s="11"/>
      <c r="I2430" s="12"/>
      <c r="J2430" s="12" t="n">
        <f aca="false">COUNT(E2430,G2430,I2430)</f>
        <v>1</v>
      </c>
      <c r="K2430" s="13" t="n">
        <f aca="false">MIN(E2430,G2430,I2430)</f>
        <v>1192</v>
      </c>
      <c r="L2430" s="9" t="str">
        <f aca="false">IF(E2430=K2430,"5000m",IF(G2430=K2430,"3000mSC","1500m"))</f>
        <v>3000mSC</v>
      </c>
      <c r="M2430" s="14" t="n">
        <f aca="false">(D2430&lt;&gt;"")*(D2430&lt;=($E$3*60+$F$3)/86400)+(F2430&lt;&gt;"")*(F2430&lt;=($I$3*60+$J$3)/86400)+(H2430&lt;&gt;"")*(H2430&lt;=($M$3*60+$N$3)/86400)</f>
        <v>0</v>
      </c>
      <c r="N2430" s="16"/>
      <c r="O2430" s="15"/>
    </row>
    <row r="2431" customFormat="false" ht="15" hidden="false" customHeight="false" outlineLevel="0" collapsed="false">
      <c r="A2431" s="9" t="n">
        <v>2425</v>
      </c>
      <c r="B2431" s="10" t="s">
        <v>3442</v>
      </c>
      <c r="C2431" s="10" t="s">
        <v>242</v>
      </c>
      <c r="D2431" s="11"/>
      <c r="E2431" s="12"/>
      <c r="F2431" s="11"/>
      <c r="G2431" s="12"/>
      <c r="H2431" s="11" t="n">
        <v>0.00293680555555556</v>
      </c>
      <c r="I2431" s="12" t="n">
        <v>1192</v>
      </c>
      <c r="J2431" s="12" t="n">
        <f aca="false">COUNT(E2431,G2431,I2431)</f>
        <v>1</v>
      </c>
      <c r="K2431" s="13" t="n">
        <f aca="false">MIN(E2431,G2431,I2431)</f>
        <v>1192</v>
      </c>
      <c r="L2431" s="9" t="str">
        <f aca="false">IF(E2431=K2431,"5000m",IF(G2431=K2431,"3000mSC","1500m"))</f>
        <v>1500m</v>
      </c>
      <c r="M2431" s="14" t="n">
        <f aca="false">(D2431&lt;&gt;"")*(D2431&lt;=($E$3*60+$F$3)/86400)+(F2431&lt;&gt;"")*(F2431&lt;=($I$3*60+$J$3)/86400)+(H2431&lt;&gt;"")*(H2431&lt;=($M$3*60+$N$3)/86400)</f>
        <v>0</v>
      </c>
      <c r="N2431" s="16"/>
      <c r="O2431" s="15"/>
    </row>
    <row r="2432" customFormat="false" ht="15" hidden="false" customHeight="false" outlineLevel="0" collapsed="false">
      <c r="A2432" s="9" t="n">
        <v>2426</v>
      </c>
      <c r="B2432" s="10" t="s">
        <v>3443</v>
      </c>
      <c r="C2432" s="10" t="s">
        <v>1675</v>
      </c>
      <c r="D2432" s="11" t="n">
        <v>0.0110465277777778</v>
      </c>
      <c r="E2432" s="12" t="n">
        <v>1193</v>
      </c>
      <c r="F2432" s="11"/>
      <c r="G2432" s="12"/>
      <c r="H2432" s="11" t="n">
        <v>0.00296238425925926</v>
      </c>
      <c r="I2432" s="12" t="n">
        <v>1280</v>
      </c>
      <c r="J2432" s="12" t="n">
        <f aca="false">COUNT(E2432,G2432,I2432)</f>
        <v>2</v>
      </c>
      <c r="K2432" s="13" t="n">
        <f aca="false">MIN(E2432,G2432,I2432)</f>
        <v>1193</v>
      </c>
      <c r="L2432" s="9" t="str">
        <f aca="false">IF(E2432=K2432,"5000m",IF(G2432=K2432,"3000mSC","1500m"))</f>
        <v>5000m</v>
      </c>
      <c r="M2432" s="14" t="n">
        <f aca="false">(D2432&lt;&gt;"")*(D2432&lt;=($E$3*60+$F$3)/86400)+(F2432&lt;&gt;"")*(F2432&lt;=($I$3*60+$J$3)/86400)+(H2432&lt;&gt;"")*(H2432&lt;=($M$3*60+$N$3)/86400)</f>
        <v>0</v>
      </c>
      <c r="N2432" s="16"/>
      <c r="O2432" s="15"/>
    </row>
    <row r="2433" customFormat="false" ht="25.35" hidden="false" customHeight="false" outlineLevel="0" collapsed="false">
      <c r="A2433" s="9" t="n">
        <v>2427</v>
      </c>
      <c r="B2433" s="10" t="s">
        <v>3444</v>
      </c>
      <c r="C2433" s="10" t="s">
        <v>3445</v>
      </c>
      <c r="D2433" s="11"/>
      <c r="E2433" s="12"/>
      <c r="F2433" s="11" t="n">
        <v>0.00801215277777778</v>
      </c>
      <c r="G2433" s="12" t="n">
        <v>1193</v>
      </c>
      <c r="H2433" s="11"/>
      <c r="I2433" s="12"/>
      <c r="J2433" s="12" t="n">
        <f aca="false">COUNT(E2433,G2433,I2433)</f>
        <v>1</v>
      </c>
      <c r="K2433" s="13" t="n">
        <f aca="false">MIN(E2433,G2433,I2433)</f>
        <v>1193</v>
      </c>
      <c r="L2433" s="9" t="str">
        <f aca="false">IF(E2433=K2433,"5000m",IF(G2433=K2433,"3000mSC","1500m"))</f>
        <v>3000mSC</v>
      </c>
      <c r="M2433" s="14" t="n">
        <f aca="false">(D2433&lt;&gt;"")*(D2433&lt;=($E$3*60+$F$3)/86400)+(F2433&lt;&gt;"")*(F2433&lt;=($I$3*60+$J$3)/86400)+(H2433&lt;&gt;"")*(H2433&lt;=($M$3*60+$N$3)/86400)</f>
        <v>0</v>
      </c>
      <c r="N2433" s="16"/>
      <c r="O2433" s="15"/>
    </row>
    <row r="2434" customFormat="false" ht="15" hidden="false" customHeight="false" outlineLevel="0" collapsed="false">
      <c r="A2434" s="9" t="n">
        <v>2428</v>
      </c>
      <c r="B2434" s="10" t="s">
        <v>3446</v>
      </c>
      <c r="C2434" s="10" t="s">
        <v>79</v>
      </c>
      <c r="D2434" s="11"/>
      <c r="E2434" s="12"/>
      <c r="F2434" s="11"/>
      <c r="G2434" s="12"/>
      <c r="H2434" s="11" t="n">
        <v>0.00293680555555556</v>
      </c>
      <c r="I2434" s="12" t="n">
        <v>1193</v>
      </c>
      <c r="J2434" s="12" t="n">
        <f aca="false">COUNT(E2434,G2434,I2434)</f>
        <v>1</v>
      </c>
      <c r="K2434" s="13" t="n">
        <f aca="false">MIN(E2434,G2434,I2434)</f>
        <v>1193</v>
      </c>
      <c r="L2434" s="9" t="str">
        <f aca="false">IF(E2434=K2434,"5000m",IF(G2434=K2434,"3000mSC","1500m"))</f>
        <v>1500m</v>
      </c>
      <c r="M2434" s="14" t="n">
        <f aca="false">(D2434&lt;&gt;"")*(D2434&lt;=($E$3*60+$F$3)/86400)+(F2434&lt;&gt;"")*(F2434&lt;=($I$3*60+$J$3)/86400)+(H2434&lt;&gt;"")*(H2434&lt;=($M$3*60+$N$3)/86400)</f>
        <v>0</v>
      </c>
      <c r="N2434" s="16"/>
      <c r="O2434" s="15"/>
    </row>
    <row r="2435" customFormat="false" ht="25.35" hidden="false" customHeight="false" outlineLevel="0" collapsed="false">
      <c r="A2435" s="9" t="n">
        <v>2429</v>
      </c>
      <c r="B2435" s="10" t="s">
        <v>3447</v>
      </c>
      <c r="C2435" s="10" t="s">
        <v>1491</v>
      </c>
      <c r="D2435" s="11"/>
      <c r="E2435" s="12"/>
      <c r="F2435" s="11" t="n">
        <v>0.00801863425925926</v>
      </c>
      <c r="G2435" s="12" t="n">
        <v>1194</v>
      </c>
      <c r="H2435" s="11"/>
      <c r="I2435" s="12"/>
      <c r="J2435" s="12" t="n">
        <f aca="false">COUNT(E2435,G2435,I2435)</f>
        <v>1</v>
      </c>
      <c r="K2435" s="13" t="n">
        <f aca="false">MIN(E2435,G2435,I2435)</f>
        <v>1194</v>
      </c>
      <c r="L2435" s="9" t="str">
        <f aca="false">IF(E2435=K2435,"5000m",IF(G2435=K2435,"3000mSC","1500m"))</f>
        <v>3000mSC</v>
      </c>
      <c r="M2435" s="14" t="n">
        <f aca="false">(D2435&lt;&gt;"")*(D2435&lt;=($E$3*60+$F$3)/86400)+(F2435&lt;&gt;"")*(F2435&lt;=($I$3*60+$J$3)/86400)+(H2435&lt;&gt;"")*(H2435&lt;=($M$3*60+$N$3)/86400)</f>
        <v>0</v>
      </c>
      <c r="N2435" s="16"/>
      <c r="O2435" s="15"/>
    </row>
    <row r="2436" customFormat="false" ht="15" hidden="false" customHeight="false" outlineLevel="0" collapsed="false">
      <c r="A2436" s="9" t="n">
        <v>2430</v>
      </c>
      <c r="B2436" s="10" t="s">
        <v>3448</v>
      </c>
      <c r="C2436" s="10" t="s">
        <v>3449</v>
      </c>
      <c r="D2436" s="11"/>
      <c r="E2436" s="12"/>
      <c r="F2436" s="11"/>
      <c r="G2436" s="12"/>
      <c r="H2436" s="11" t="n">
        <v>0.00293715277777778</v>
      </c>
      <c r="I2436" s="12" t="n">
        <v>1194</v>
      </c>
      <c r="J2436" s="12" t="n">
        <f aca="false">COUNT(E2436,G2436,I2436)</f>
        <v>1</v>
      </c>
      <c r="K2436" s="13" t="n">
        <f aca="false">MIN(E2436,G2436,I2436)</f>
        <v>1194</v>
      </c>
      <c r="L2436" s="9" t="str">
        <f aca="false">IF(E2436=K2436,"5000m",IF(G2436=K2436,"3000mSC","1500m"))</f>
        <v>1500m</v>
      </c>
      <c r="M2436" s="14" t="n">
        <f aca="false">(D2436&lt;&gt;"")*(D2436&lt;=($E$3*60+$F$3)/86400)+(F2436&lt;&gt;"")*(F2436&lt;=($I$3*60+$J$3)/86400)+(H2436&lt;&gt;"")*(H2436&lt;=($M$3*60+$N$3)/86400)</f>
        <v>0</v>
      </c>
      <c r="N2436" s="16"/>
      <c r="O2436" s="15"/>
    </row>
    <row r="2437" customFormat="false" ht="15" hidden="false" customHeight="false" outlineLevel="0" collapsed="false">
      <c r="A2437" s="9" t="n">
        <v>2431</v>
      </c>
      <c r="B2437" s="10" t="s">
        <v>3450</v>
      </c>
      <c r="C2437" s="10" t="s">
        <v>307</v>
      </c>
      <c r="D2437" s="11" t="n">
        <v>0.0110471064814815</v>
      </c>
      <c r="E2437" s="12" t="n">
        <v>1195</v>
      </c>
      <c r="F2437" s="11"/>
      <c r="G2437" s="12"/>
      <c r="H2437" s="11"/>
      <c r="I2437" s="12"/>
      <c r="J2437" s="12" t="n">
        <f aca="false">COUNT(E2437,G2437,I2437)</f>
        <v>1</v>
      </c>
      <c r="K2437" s="13" t="n">
        <f aca="false">MIN(E2437,G2437,I2437)</f>
        <v>1195</v>
      </c>
      <c r="L2437" s="9" t="str">
        <f aca="false">IF(E2437=K2437,"5000m",IF(G2437=K2437,"3000mSC","1500m"))</f>
        <v>5000m</v>
      </c>
      <c r="M2437" s="14" t="n">
        <f aca="false">(D2437&lt;&gt;"")*(D2437&lt;=($E$3*60+$F$3)/86400)+(F2437&lt;&gt;"")*(F2437&lt;=($I$3*60+$J$3)/86400)+(H2437&lt;&gt;"")*(H2437&lt;=($M$3*60+$N$3)/86400)</f>
        <v>0</v>
      </c>
      <c r="N2437" s="16"/>
      <c r="O2437" s="15"/>
    </row>
    <row r="2438" customFormat="false" ht="15" hidden="false" customHeight="false" outlineLevel="0" collapsed="false">
      <c r="A2438" s="9" t="n">
        <v>2432</v>
      </c>
      <c r="B2438" s="10" t="s">
        <v>3451</v>
      </c>
      <c r="C2438" s="10" t="s">
        <v>695</v>
      </c>
      <c r="D2438" s="11" t="n">
        <v>0.0110478009259259</v>
      </c>
      <c r="E2438" s="12" t="n">
        <v>1196</v>
      </c>
      <c r="F2438" s="11"/>
      <c r="G2438" s="12"/>
      <c r="H2438" s="11"/>
      <c r="I2438" s="12"/>
      <c r="J2438" s="12" t="n">
        <f aca="false">COUNT(E2438,G2438,I2438)</f>
        <v>1</v>
      </c>
      <c r="K2438" s="13" t="n">
        <f aca="false">MIN(E2438,G2438,I2438)</f>
        <v>1196</v>
      </c>
      <c r="L2438" s="9" t="str">
        <f aca="false">IF(E2438=K2438,"5000m",IF(G2438=K2438,"3000mSC","1500m"))</f>
        <v>5000m</v>
      </c>
      <c r="M2438" s="14" t="n">
        <f aca="false">(D2438&lt;&gt;"")*(D2438&lt;=($E$3*60+$F$3)/86400)+(F2438&lt;&gt;"")*(F2438&lt;=($I$3*60+$J$3)/86400)+(H2438&lt;&gt;"")*(H2438&lt;=($M$3*60+$N$3)/86400)</f>
        <v>0</v>
      </c>
      <c r="N2438" s="16"/>
      <c r="O2438" s="15"/>
    </row>
    <row r="2439" customFormat="false" ht="25.35" hidden="false" customHeight="false" outlineLevel="0" collapsed="false">
      <c r="A2439" s="9" t="n">
        <v>2433</v>
      </c>
      <c r="B2439" s="10" t="s">
        <v>3452</v>
      </c>
      <c r="C2439" s="10" t="s">
        <v>3453</v>
      </c>
      <c r="D2439" s="11"/>
      <c r="E2439" s="12"/>
      <c r="F2439" s="11" t="n">
        <v>0.00802847222222222</v>
      </c>
      <c r="G2439" s="12" t="n">
        <v>1196</v>
      </c>
      <c r="H2439" s="11"/>
      <c r="I2439" s="12"/>
      <c r="J2439" s="12" t="n">
        <f aca="false">COUNT(E2439,G2439,I2439)</f>
        <v>1</v>
      </c>
      <c r="K2439" s="13" t="n">
        <f aca="false">MIN(E2439,G2439,I2439)</f>
        <v>1196</v>
      </c>
      <c r="L2439" s="9" t="str">
        <f aca="false">IF(E2439=K2439,"5000m",IF(G2439=K2439,"3000mSC","1500m"))</f>
        <v>3000mSC</v>
      </c>
      <c r="M2439" s="14" t="n">
        <f aca="false">(D2439&lt;&gt;"")*(D2439&lt;=($E$3*60+$F$3)/86400)+(F2439&lt;&gt;"")*(F2439&lt;=($I$3*60+$J$3)/86400)+(H2439&lt;&gt;"")*(H2439&lt;=($M$3*60+$N$3)/86400)</f>
        <v>0</v>
      </c>
      <c r="N2439" s="16"/>
      <c r="O2439" s="15"/>
    </row>
    <row r="2440" customFormat="false" ht="15" hidden="false" customHeight="false" outlineLevel="0" collapsed="false">
      <c r="A2440" s="9" t="n">
        <v>2434</v>
      </c>
      <c r="B2440" s="10" t="s">
        <v>3454</v>
      </c>
      <c r="C2440" s="10" t="s">
        <v>3455</v>
      </c>
      <c r="D2440" s="11"/>
      <c r="E2440" s="12"/>
      <c r="F2440" s="11"/>
      <c r="G2440" s="12"/>
      <c r="H2440" s="11" t="n">
        <v>0.0029375</v>
      </c>
      <c r="I2440" s="12" t="n">
        <v>1196</v>
      </c>
      <c r="J2440" s="12" t="n">
        <f aca="false">COUNT(E2440,G2440,I2440)</f>
        <v>1</v>
      </c>
      <c r="K2440" s="13" t="n">
        <f aca="false">MIN(E2440,G2440,I2440)</f>
        <v>1196</v>
      </c>
      <c r="L2440" s="9" t="str">
        <f aca="false">IF(E2440=K2440,"5000m",IF(G2440=K2440,"3000mSC","1500m"))</f>
        <v>1500m</v>
      </c>
      <c r="M2440" s="14" t="n">
        <f aca="false">(D2440&lt;&gt;"")*(D2440&lt;=($E$3*60+$F$3)/86400)+(F2440&lt;&gt;"")*(F2440&lt;=($I$3*60+$J$3)/86400)+(H2440&lt;&gt;"")*(H2440&lt;=($M$3*60+$N$3)/86400)</f>
        <v>0</v>
      </c>
      <c r="N2440" s="16"/>
      <c r="O2440" s="15"/>
    </row>
    <row r="2441" customFormat="false" ht="15" hidden="false" customHeight="false" outlineLevel="0" collapsed="false">
      <c r="A2441" s="9" t="n">
        <v>2435</v>
      </c>
      <c r="B2441" s="10" t="s">
        <v>3456</v>
      </c>
      <c r="C2441" s="10" t="s">
        <v>3457</v>
      </c>
      <c r="D2441" s="11" t="n">
        <v>0.0110483796296296</v>
      </c>
      <c r="E2441" s="12" t="n">
        <v>1197</v>
      </c>
      <c r="F2441" s="11"/>
      <c r="G2441" s="12"/>
      <c r="H2441" s="11"/>
      <c r="I2441" s="12"/>
      <c r="J2441" s="12" t="n">
        <f aca="false">COUNT(E2441,G2441,I2441)</f>
        <v>1</v>
      </c>
      <c r="K2441" s="13" t="n">
        <f aca="false">MIN(E2441,G2441,I2441)</f>
        <v>1197</v>
      </c>
      <c r="L2441" s="9" t="str">
        <f aca="false">IF(E2441=K2441,"5000m",IF(G2441=K2441,"3000mSC","1500m"))</f>
        <v>5000m</v>
      </c>
      <c r="M2441" s="14" t="n">
        <f aca="false">(D2441&lt;&gt;"")*(D2441&lt;=($E$3*60+$F$3)/86400)+(F2441&lt;&gt;"")*(F2441&lt;=($I$3*60+$J$3)/86400)+(H2441&lt;&gt;"")*(H2441&lt;=($M$3*60+$N$3)/86400)</f>
        <v>0</v>
      </c>
      <c r="N2441" s="16"/>
      <c r="O2441" s="15"/>
    </row>
    <row r="2442" customFormat="false" ht="25.35" hidden="false" customHeight="false" outlineLevel="0" collapsed="false">
      <c r="A2442" s="9" t="n">
        <v>2436</v>
      </c>
      <c r="B2442" s="10" t="s">
        <v>3458</v>
      </c>
      <c r="C2442" s="10" t="s">
        <v>1799</v>
      </c>
      <c r="D2442" s="11"/>
      <c r="E2442" s="12"/>
      <c r="F2442" s="11" t="n">
        <v>0.00802893518518519</v>
      </c>
      <c r="G2442" s="12" t="n">
        <v>1197</v>
      </c>
      <c r="H2442" s="11"/>
      <c r="I2442" s="12"/>
      <c r="J2442" s="12" t="n">
        <f aca="false">COUNT(E2442,G2442,I2442)</f>
        <v>1</v>
      </c>
      <c r="K2442" s="13" t="n">
        <f aca="false">MIN(E2442,G2442,I2442)</f>
        <v>1197</v>
      </c>
      <c r="L2442" s="9" t="str">
        <f aca="false">IF(E2442=K2442,"5000m",IF(G2442=K2442,"3000mSC","1500m"))</f>
        <v>3000mSC</v>
      </c>
      <c r="M2442" s="14" t="n">
        <f aca="false">(D2442&lt;&gt;"")*(D2442&lt;=($E$3*60+$F$3)/86400)+(F2442&lt;&gt;"")*(F2442&lt;=($I$3*60+$J$3)/86400)+(H2442&lt;&gt;"")*(H2442&lt;=($M$3*60+$N$3)/86400)</f>
        <v>0</v>
      </c>
      <c r="N2442" s="16"/>
      <c r="O2442" s="15"/>
    </row>
    <row r="2443" customFormat="false" ht="15" hidden="false" customHeight="false" outlineLevel="0" collapsed="false">
      <c r="A2443" s="9" t="n">
        <v>2437</v>
      </c>
      <c r="B2443" s="10" t="s">
        <v>3459</v>
      </c>
      <c r="C2443" s="10" t="s">
        <v>577</v>
      </c>
      <c r="D2443" s="11" t="n">
        <v>0.011050462962963</v>
      </c>
      <c r="E2443" s="12" t="n">
        <v>1198</v>
      </c>
      <c r="F2443" s="11"/>
      <c r="G2443" s="12"/>
      <c r="H2443" s="11" t="n">
        <v>0.00297430555555556</v>
      </c>
      <c r="I2443" s="12" t="n">
        <v>1324</v>
      </c>
      <c r="J2443" s="12" t="n">
        <f aca="false">COUNT(E2443,G2443,I2443)</f>
        <v>2</v>
      </c>
      <c r="K2443" s="13" t="n">
        <f aca="false">MIN(E2443,G2443,I2443)</f>
        <v>1198</v>
      </c>
      <c r="L2443" s="9" t="str">
        <f aca="false">IF(E2443=K2443,"5000m",IF(G2443=K2443,"3000mSC","1500m"))</f>
        <v>5000m</v>
      </c>
      <c r="M2443" s="14" t="n">
        <f aca="false">(D2443&lt;&gt;"")*(D2443&lt;=($E$3*60+$F$3)/86400)+(F2443&lt;&gt;"")*(F2443&lt;=($I$3*60+$J$3)/86400)+(H2443&lt;&gt;"")*(H2443&lt;=($M$3*60+$N$3)/86400)</f>
        <v>0</v>
      </c>
      <c r="N2443" s="16"/>
      <c r="O2443" s="15"/>
    </row>
    <row r="2444" customFormat="false" ht="25.35" hidden="false" customHeight="false" outlineLevel="0" collapsed="false">
      <c r="A2444" s="9" t="n">
        <v>2438</v>
      </c>
      <c r="B2444" s="10" t="s">
        <v>3460</v>
      </c>
      <c r="C2444" s="10" t="s">
        <v>2009</v>
      </c>
      <c r="D2444" s="11"/>
      <c r="E2444" s="12"/>
      <c r="F2444" s="11" t="n">
        <v>0.00803425925925926</v>
      </c>
      <c r="G2444" s="12" t="n">
        <v>1198</v>
      </c>
      <c r="H2444" s="11"/>
      <c r="I2444" s="12"/>
      <c r="J2444" s="12" t="n">
        <f aca="false">COUNT(E2444,G2444,I2444)</f>
        <v>1</v>
      </c>
      <c r="K2444" s="13" t="n">
        <f aca="false">MIN(E2444,G2444,I2444)</f>
        <v>1198</v>
      </c>
      <c r="L2444" s="9" t="str">
        <f aca="false">IF(E2444=K2444,"5000m",IF(G2444=K2444,"3000mSC","1500m"))</f>
        <v>3000mSC</v>
      </c>
      <c r="M2444" s="14" t="n">
        <f aca="false">(D2444&lt;&gt;"")*(D2444&lt;=($E$3*60+$F$3)/86400)+(F2444&lt;&gt;"")*(F2444&lt;=($I$3*60+$J$3)/86400)+(H2444&lt;&gt;"")*(H2444&lt;=($M$3*60+$N$3)/86400)</f>
        <v>0</v>
      </c>
      <c r="N2444" s="16"/>
      <c r="O2444" s="15"/>
    </row>
    <row r="2445" customFormat="false" ht="15" hidden="false" customHeight="false" outlineLevel="0" collapsed="false">
      <c r="A2445" s="9" t="n">
        <v>2439</v>
      </c>
      <c r="B2445" s="10" t="s">
        <v>1686</v>
      </c>
      <c r="C2445" s="10" t="s">
        <v>1145</v>
      </c>
      <c r="D2445" s="11"/>
      <c r="E2445" s="12"/>
      <c r="F2445" s="11"/>
      <c r="G2445" s="12"/>
      <c r="H2445" s="11" t="n">
        <v>0.00293923611111111</v>
      </c>
      <c r="I2445" s="12" t="n">
        <v>1198</v>
      </c>
      <c r="J2445" s="12" t="n">
        <f aca="false">COUNT(E2445,G2445,I2445)</f>
        <v>1</v>
      </c>
      <c r="K2445" s="13" t="n">
        <f aca="false">MIN(E2445,G2445,I2445)</f>
        <v>1198</v>
      </c>
      <c r="L2445" s="9" t="str">
        <f aca="false">IF(E2445=K2445,"5000m",IF(G2445=K2445,"3000mSC","1500m"))</f>
        <v>1500m</v>
      </c>
      <c r="M2445" s="14" t="n">
        <f aca="false">(D2445&lt;&gt;"")*(D2445&lt;=($E$3*60+$F$3)/86400)+(F2445&lt;&gt;"")*(F2445&lt;=($I$3*60+$J$3)/86400)+(H2445&lt;&gt;"")*(H2445&lt;=($M$3*60+$N$3)/86400)</f>
        <v>0</v>
      </c>
      <c r="N2445" s="10" t="s">
        <v>3461</v>
      </c>
      <c r="O2445" s="15"/>
    </row>
    <row r="2446" customFormat="false" ht="25.35" hidden="false" customHeight="false" outlineLevel="0" collapsed="false">
      <c r="A2446" s="9" t="n">
        <v>2440</v>
      </c>
      <c r="B2446" s="10" t="s">
        <v>3462</v>
      </c>
      <c r="C2446" s="10" t="s">
        <v>2271</v>
      </c>
      <c r="D2446" s="11"/>
      <c r="E2446" s="12"/>
      <c r="F2446" s="11" t="n">
        <v>0.00805300925925926</v>
      </c>
      <c r="G2446" s="12" t="n">
        <v>1200</v>
      </c>
      <c r="H2446" s="11"/>
      <c r="I2446" s="12"/>
      <c r="J2446" s="12" t="n">
        <f aca="false">COUNT(E2446,G2446,I2446)</f>
        <v>1</v>
      </c>
      <c r="K2446" s="13" t="n">
        <f aca="false">MIN(E2446,G2446,I2446)</f>
        <v>1200</v>
      </c>
      <c r="L2446" s="9" t="str">
        <f aca="false">IF(E2446=K2446,"5000m",IF(G2446=K2446,"3000mSC","1500m"))</f>
        <v>3000mSC</v>
      </c>
      <c r="M2446" s="14" t="n">
        <f aca="false">(D2446&lt;&gt;"")*(D2446&lt;=($E$3*60+$F$3)/86400)+(F2446&lt;&gt;"")*(F2446&lt;=($I$3*60+$J$3)/86400)+(H2446&lt;&gt;"")*(H2446&lt;=($M$3*60+$N$3)/86400)</f>
        <v>0</v>
      </c>
      <c r="N2446" s="16"/>
      <c r="O2446" s="15"/>
    </row>
    <row r="2447" customFormat="false" ht="15" hidden="false" customHeight="false" outlineLevel="0" collapsed="false">
      <c r="A2447" s="9" t="n">
        <v>2441</v>
      </c>
      <c r="B2447" s="10" t="s">
        <v>3463</v>
      </c>
      <c r="C2447" s="10" t="s">
        <v>1246</v>
      </c>
      <c r="D2447" s="11" t="n">
        <v>0.0110520833333333</v>
      </c>
      <c r="E2447" s="12" t="n">
        <v>1201</v>
      </c>
      <c r="F2447" s="11"/>
      <c r="G2447" s="12"/>
      <c r="H2447" s="11" t="n">
        <v>0.00295844907407407</v>
      </c>
      <c r="I2447" s="12" t="n">
        <v>1263</v>
      </c>
      <c r="J2447" s="12" t="n">
        <f aca="false">COUNT(E2447,G2447,I2447)</f>
        <v>2</v>
      </c>
      <c r="K2447" s="13" t="n">
        <f aca="false">MIN(E2447,G2447,I2447)</f>
        <v>1201</v>
      </c>
      <c r="L2447" s="9" t="str">
        <f aca="false">IF(E2447=K2447,"5000m",IF(G2447=K2447,"3000mSC","1500m"))</f>
        <v>5000m</v>
      </c>
      <c r="M2447" s="14" t="n">
        <f aca="false">(D2447&lt;&gt;"")*(D2447&lt;=($E$3*60+$F$3)/86400)+(F2447&lt;&gt;"")*(F2447&lt;=($I$3*60+$J$3)/86400)+(H2447&lt;&gt;"")*(H2447&lt;=($M$3*60+$N$3)/86400)</f>
        <v>0</v>
      </c>
      <c r="N2447" s="16"/>
      <c r="O2447" s="15"/>
    </row>
    <row r="2448" customFormat="false" ht="25.35" hidden="false" customHeight="false" outlineLevel="0" collapsed="false">
      <c r="A2448" s="9" t="n">
        <v>2442</v>
      </c>
      <c r="B2448" s="10" t="s">
        <v>3464</v>
      </c>
      <c r="C2448" s="10" t="s">
        <v>1690</v>
      </c>
      <c r="D2448" s="11"/>
      <c r="E2448" s="12"/>
      <c r="F2448" s="11" t="n">
        <v>0.008059375</v>
      </c>
      <c r="G2448" s="12" t="n">
        <v>1201</v>
      </c>
      <c r="H2448" s="11"/>
      <c r="I2448" s="12"/>
      <c r="J2448" s="12" t="n">
        <f aca="false">COUNT(E2448,G2448,I2448)</f>
        <v>1</v>
      </c>
      <c r="K2448" s="13" t="n">
        <f aca="false">MIN(E2448,G2448,I2448)</f>
        <v>1201</v>
      </c>
      <c r="L2448" s="9" t="str">
        <f aca="false">IF(E2448=K2448,"5000m",IF(G2448=K2448,"3000mSC","1500m"))</f>
        <v>3000mSC</v>
      </c>
      <c r="M2448" s="14" t="n">
        <f aca="false">(D2448&lt;&gt;"")*(D2448&lt;=($E$3*60+$F$3)/86400)+(F2448&lt;&gt;"")*(F2448&lt;=($I$3*60+$J$3)/86400)+(H2448&lt;&gt;"")*(H2448&lt;=($M$3*60+$N$3)/86400)</f>
        <v>0</v>
      </c>
      <c r="N2448" s="16"/>
      <c r="O2448" s="15"/>
    </row>
    <row r="2449" customFormat="false" ht="25.35" hidden="false" customHeight="false" outlineLevel="0" collapsed="false">
      <c r="A2449" s="9" t="n">
        <v>2443</v>
      </c>
      <c r="B2449" s="10" t="s">
        <v>3465</v>
      </c>
      <c r="C2449" s="10" t="s">
        <v>1936</v>
      </c>
      <c r="D2449" s="11"/>
      <c r="E2449" s="12"/>
      <c r="F2449" s="11" t="n">
        <v>0.00806342592592593</v>
      </c>
      <c r="G2449" s="12" t="n">
        <v>1202</v>
      </c>
      <c r="H2449" s="11"/>
      <c r="I2449" s="12"/>
      <c r="J2449" s="12" t="n">
        <f aca="false">COUNT(E2449,G2449,I2449)</f>
        <v>1</v>
      </c>
      <c r="K2449" s="13" t="n">
        <f aca="false">MIN(E2449,G2449,I2449)</f>
        <v>1202</v>
      </c>
      <c r="L2449" s="9" t="str">
        <f aca="false">IF(E2449=K2449,"5000m",IF(G2449=K2449,"3000mSC","1500m"))</f>
        <v>3000mSC</v>
      </c>
      <c r="M2449" s="14" t="n">
        <f aca="false">(D2449&lt;&gt;"")*(D2449&lt;=($E$3*60+$F$3)/86400)+(F2449&lt;&gt;"")*(F2449&lt;=($I$3*60+$J$3)/86400)+(H2449&lt;&gt;"")*(H2449&lt;=($M$3*60+$N$3)/86400)</f>
        <v>0</v>
      </c>
      <c r="N2449" s="16"/>
      <c r="O2449" s="15"/>
    </row>
    <row r="2450" customFormat="false" ht="15" hidden="false" customHeight="false" outlineLevel="0" collapsed="false">
      <c r="A2450" s="9" t="n">
        <v>2444</v>
      </c>
      <c r="B2450" s="10" t="s">
        <v>3466</v>
      </c>
      <c r="C2450" s="10" t="s">
        <v>660</v>
      </c>
      <c r="D2450" s="11"/>
      <c r="E2450" s="12"/>
      <c r="F2450" s="11"/>
      <c r="G2450" s="12"/>
      <c r="H2450" s="11" t="n">
        <v>0.00294097222222222</v>
      </c>
      <c r="I2450" s="12" t="n">
        <v>1202</v>
      </c>
      <c r="J2450" s="12" t="n">
        <f aca="false">COUNT(E2450,G2450,I2450)</f>
        <v>1</v>
      </c>
      <c r="K2450" s="13" t="n">
        <f aca="false">MIN(E2450,G2450,I2450)</f>
        <v>1202</v>
      </c>
      <c r="L2450" s="9" t="str">
        <f aca="false">IF(E2450=K2450,"5000m",IF(G2450=K2450,"3000mSC","1500m"))</f>
        <v>1500m</v>
      </c>
      <c r="M2450" s="14" t="n">
        <f aca="false">(D2450&lt;&gt;"")*(D2450&lt;=($E$3*60+$F$3)/86400)+(F2450&lt;&gt;"")*(F2450&lt;=($I$3*60+$J$3)/86400)+(H2450&lt;&gt;"")*(H2450&lt;=($M$3*60+$N$3)/86400)</f>
        <v>0</v>
      </c>
      <c r="N2450" s="16"/>
      <c r="O2450" s="15"/>
    </row>
    <row r="2451" customFormat="false" ht="25.35" hidden="false" customHeight="false" outlineLevel="0" collapsed="false">
      <c r="A2451" s="9" t="n">
        <v>2445</v>
      </c>
      <c r="B2451" s="10" t="s">
        <v>3467</v>
      </c>
      <c r="C2451" s="10" t="s">
        <v>2074</v>
      </c>
      <c r="D2451" s="11"/>
      <c r="E2451" s="12"/>
      <c r="F2451" s="11" t="n">
        <v>0.00806574074074074</v>
      </c>
      <c r="G2451" s="12" t="n">
        <v>1203</v>
      </c>
      <c r="H2451" s="11"/>
      <c r="I2451" s="12"/>
      <c r="J2451" s="12" t="n">
        <f aca="false">COUNT(E2451,G2451,I2451)</f>
        <v>1</v>
      </c>
      <c r="K2451" s="13" t="n">
        <f aca="false">MIN(E2451,G2451,I2451)</f>
        <v>1203</v>
      </c>
      <c r="L2451" s="9" t="str">
        <f aca="false">IF(E2451=K2451,"5000m",IF(G2451=K2451,"3000mSC","1500m"))</f>
        <v>3000mSC</v>
      </c>
      <c r="M2451" s="14" t="n">
        <f aca="false">(D2451&lt;&gt;"")*(D2451&lt;=($E$3*60+$F$3)/86400)+(F2451&lt;&gt;"")*(F2451&lt;=($I$3*60+$J$3)/86400)+(H2451&lt;&gt;"")*(H2451&lt;=($M$3*60+$N$3)/86400)</f>
        <v>0</v>
      </c>
      <c r="N2451" s="16"/>
      <c r="O2451" s="15"/>
    </row>
    <row r="2452" customFormat="false" ht="15" hidden="false" customHeight="false" outlineLevel="0" collapsed="false">
      <c r="A2452" s="9" t="n">
        <v>2446</v>
      </c>
      <c r="B2452" s="10" t="s">
        <v>3468</v>
      </c>
      <c r="C2452" s="10" t="s">
        <v>210</v>
      </c>
      <c r="D2452" s="11" t="n">
        <v>0.011053125</v>
      </c>
      <c r="E2452" s="12" t="n">
        <v>1204</v>
      </c>
      <c r="F2452" s="11"/>
      <c r="G2452" s="12"/>
      <c r="H2452" s="11"/>
      <c r="I2452" s="12"/>
      <c r="J2452" s="12" t="n">
        <f aca="false">COUNT(E2452,G2452,I2452)</f>
        <v>1</v>
      </c>
      <c r="K2452" s="13" t="n">
        <f aca="false">MIN(E2452,G2452,I2452)</f>
        <v>1204</v>
      </c>
      <c r="L2452" s="9" t="str">
        <f aca="false">IF(E2452=K2452,"5000m",IF(G2452=K2452,"3000mSC","1500m"))</f>
        <v>5000m</v>
      </c>
      <c r="M2452" s="14" t="n">
        <f aca="false">(D2452&lt;&gt;"")*(D2452&lt;=($E$3*60+$F$3)/86400)+(F2452&lt;&gt;"")*(F2452&lt;=($I$3*60+$J$3)/86400)+(H2452&lt;&gt;"")*(H2452&lt;=($M$3*60+$N$3)/86400)</f>
        <v>0</v>
      </c>
      <c r="N2452" s="16"/>
      <c r="O2452" s="15"/>
    </row>
    <row r="2453" customFormat="false" ht="25.35" hidden="false" customHeight="false" outlineLevel="0" collapsed="false">
      <c r="A2453" s="9" t="n">
        <v>2447</v>
      </c>
      <c r="B2453" s="10" t="s">
        <v>3469</v>
      </c>
      <c r="C2453" s="10" t="s">
        <v>3470</v>
      </c>
      <c r="D2453" s="11"/>
      <c r="E2453" s="12"/>
      <c r="F2453" s="11" t="n">
        <v>0.00806655092592593</v>
      </c>
      <c r="G2453" s="12" t="n">
        <v>1204</v>
      </c>
      <c r="H2453" s="11"/>
      <c r="I2453" s="12"/>
      <c r="J2453" s="12" t="n">
        <f aca="false">COUNT(E2453,G2453,I2453)</f>
        <v>1</v>
      </c>
      <c r="K2453" s="13" t="n">
        <f aca="false">MIN(E2453,G2453,I2453)</f>
        <v>1204</v>
      </c>
      <c r="L2453" s="9" t="str">
        <f aca="false">IF(E2453=K2453,"5000m",IF(G2453=K2453,"3000mSC","1500m"))</f>
        <v>3000mSC</v>
      </c>
      <c r="M2453" s="14" t="n">
        <f aca="false">(D2453&lt;&gt;"")*(D2453&lt;=($E$3*60+$F$3)/86400)+(F2453&lt;&gt;"")*(F2453&lt;=($I$3*60+$J$3)/86400)+(H2453&lt;&gt;"")*(H2453&lt;=($M$3*60+$N$3)/86400)</f>
        <v>0</v>
      </c>
      <c r="N2453" s="16"/>
      <c r="O2453" s="15"/>
    </row>
    <row r="2454" customFormat="false" ht="15" hidden="false" customHeight="false" outlineLevel="0" collapsed="false">
      <c r="A2454" s="9" t="n">
        <v>2448</v>
      </c>
      <c r="B2454" s="10" t="s">
        <v>3471</v>
      </c>
      <c r="C2454" s="10" t="s">
        <v>1804</v>
      </c>
      <c r="D2454" s="11" t="n">
        <v>0.0110533564814815</v>
      </c>
      <c r="E2454" s="12" t="n">
        <v>1205</v>
      </c>
      <c r="F2454" s="11"/>
      <c r="G2454" s="12"/>
      <c r="H2454" s="11"/>
      <c r="I2454" s="12"/>
      <c r="J2454" s="12" t="n">
        <f aca="false">COUNT(E2454,G2454,I2454)</f>
        <v>1</v>
      </c>
      <c r="K2454" s="13" t="n">
        <f aca="false">MIN(E2454,G2454,I2454)</f>
        <v>1205</v>
      </c>
      <c r="L2454" s="9" t="str">
        <f aca="false">IF(E2454=K2454,"5000m",IF(G2454=K2454,"3000mSC","1500m"))</f>
        <v>5000m</v>
      </c>
      <c r="M2454" s="14" t="n">
        <f aca="false">(D2454&lt;&gt;"")*(D2454&lt;=($E$3*60+$F$3)/86400)+(F2454&lt;&gt;"")*(F2454&lt;=($I$3*60+$J$3)/86400)+(H2454&lt;&gt;"")*(H2454&lt;=($M$3*60+$N$3)/86400)</f>
        <v>0</v>
      </c>
      <c r="N2454" s="16"/>
      <c r="O2454" s="15"/>
    </row>
    <row r="2455" customFormat="false" ht="25.35" hidden="false" customHeight="false" outlineLevel="0" collapsed="false">
      <c r="A2455" s="9" t="n">
        <v>2449</v>
      </c>
      <c r="B2455" s="10" t="s">
        <v>3472</v>
      </c>
      <c r="C2455" s="10" t="s">
        <v>3473</v>
      </c>
      <c r="D2455" s="11"/>
      <c r="E2455" s="12"/>
      <c r="F2455" s="11" t="n">
        <v>0.00806747685185185</v>
      </c>
      <c r="G2455" s="12" t="n">
        <v>1205</v>
      </c>
      <c r="H2455" s="11"/>
      <c r="I2455" s="12"/>
      <c r="J2455" s="12" t="n">
        <f aca="false">COUNT(E2455,G2455,I2455)</f>
        <v>1</v>
      </c>
      <c r="K2455" s="13" t="n">
        <f aca="false">MIN(E2455,G2455,I2455)</f>
        <v>1205</v>
      </c>
      <c r="L2455" s="9" t="str">
        <f aca="false">IF(E2455=K2455,"5000m",IF(G2455=K2455,"3000mSC","1500m"))</f>
        <v>3000mSC</v>
      </c>
      <c r="M2455" s="14" t="n">
        <f aca="false">(D2455&lt;&gt;"")*(D2455&lt;=($E$3*60+$F$3)/86400)+(F2455&lt;&gt;"")*(F2455&lt;=($I$3*60+$J$3)/86400)+(H2455&lt;&gt;"")*(H2455&lt;=($M$3*60+$N$3)/86400)</f>
        <v>0</v>
      </c>
      <c r="N2455" s="16"/>
      <c r="O2455" s="15"/>
    </row>
    <row r="2456" customFormat="false" ht="15" hidden="false" customHeight="false" outlineLevel="0" collapsed="false">
      <c r="A2456" s="9" t="n">
        <v>2450</v>
      </c>
      <c r="B2456" s="10" t="s">
        <v>3474</v>
      </c>
      <c r="C2456" s="10" t="s">
        <v>3475</v>
      </c>
      <c r="D2456" s="11"/>
      <c r="E2456" s="12"/>
      <c r="F2456" s="11"/>
      <c r="G2456" s="12"/>
      <c r="H2456" s="11" t="n">
        <v>0.00294155092592593</v>
      </c>
      <c r="I2456" s="12" t="n">
        <v>1205</v>
      </c>
      <c r="J2456" s="12" t="n">
        <f aca="false">COUNT(E2456,G2456,I2456)</f>
        <v>1</v>
      </c>
      <c r="K2456" s="13" t="n">
        <f aca="false">MIN(E2456,G2456,I2456)</f>
        <v>1205</v>
      </c>
      <c r="L2456" s="9" t="str">
        <f aca="false">IF(E2456=K2456,"5000m",IF(G2456=K2456,"3000mSC","1500m"))</f>
        <v>1500m</v>
      </c>
      <c r="M2456" s="14" t="n">
        <f aca="false">(D2456&lt;&gt;"")*(D2456&lt;=($E$3*60+$F$3)/86400)+(F2456&lt;&gt;"")*(F2456&lt;=($I$3*60+$J$3)/86400)+(H2456&lt;&gt;"")*(H2456&lt;=($M$3*60+$N$3)/86400)</f>
        <v>0</v>
      </c>
      <c r="N2456" s="16"/>
      <c r="O2456" s="15"/>
    </row>
    <row r="2457" customFormat="false" ht="25.35" hidden="false" customHeight="false" outlineLevel="0" collapsed="false">
      <c r="A2457" s="9" t="n">
        <v>2451</v>
      </c>
      <c r="B2457" s="10" t="s">
        <v>3476</v>
      </c>
      <c r="C2457" s="10" t="s">
        <v>3143</v>
      </c>
      <c r="D2457" s="11"/>
      <c r="E2457" s="12"/>
      <c r="F2457" s="11" t="n">
        <v>0.00806979166666667</v>
      </c>
      <c r="G2457" s="12" t="n">
        <v>1206</v>
      </c>
      <c r="H2457" s="11"/>
      <c r="I2457" s="12"/>
      <c r="J2457" s="12" t="n">
        <f aca="false">COUNT(E2457,G2457,I2457)</f>
        <v>1</v>
      </c>
      <c r="K2457" s="13" t="n">
        <f aca="false">MIN(E2457,G2457,I2457)</f>
        <v>1206</v>
      </c>
      <c r="L2457" s="9" t="str">
        <f aca="false">IF(E2457=K2457,"5000m",IF(G2457=K2457,"3000mSC","1500m"))</f>
        <v>3000mSC</v>
      </c>
      <c r="M2457" s="14" t="n">
        <f aca="false">(D2457&lt;&gt;"")*(D2457&lt;=($E$3*60+$F$3)/86400)+(F2457&lt;&gt;"")*(F2457&lt;=($I$3*60+$J$3)/86400)+(H2457&lt;&gt;"")*(H2457&lt;=($M$3*60+$N$3)/86400)</f>
        <v>0</v>
      </c>
      <c r="N2457" s="16"/>
      <c r="O2457" s="15"/>
    </row>
    <row r="2458" customFormat="false" ht="25.35" hidden="false" customHeight="false" outlineLevel="0" collapsed="false">
      <c r="A2458" s="9" t="n">
        <v>2452</v>
      </c>
      <c r="B2458" s="10" t="s">
        <v>3477</v>
      </c>
      <c r="C2458" s="10" t="s">
        <v>3478</v>
      </c>
      <c r="D2458" s="11"/>
      <c r="E2458" s="12"/>
      <c r="F2458" s="11" t="n">
        <v>0.00807349537037037</v>
      </c>
      <c r="G2458" s="12" t="n">
        <v>1207</v>
      </c>
      <c r="H2458" s="11"/>
      <c r="I2458" s="12"/>
      <c r="J2458" s="12" t="n">
        <f aca="false">COUNT(E2458,G2458,I2458)</f>
        <v>1</v>
      </c>
      <c r="K2458" s="13" t="n">
        <f aca="false">MIN(E2458,G2458,I2458)</f>
        <v>1207</v>
      </c>
      <c r="L2458" s="9" t="str">
        <f aca="false">IF(E2458=K2458,"5000m",IF(G2458=K2458,"3000mSC","1500m"))</f>
        <v>3000mSC</v>
      </c>
      <c r="M2458" s="14" t="n">
        <f aca="false">(D2458&lt;&gt;"")*(D2458&lt;=($E$3*60+$F$3)/86400)+(F2458&lt;&gt;"")*(F2458&lt;=($I$3*60+$J$3)/86400)+(H2458&lt;&gt;"")*(H2458&lt;=($M$3*60+$N$3)/86400)</f>
        <v>0</v>
      </c>
      <c r="N2458" s="16"/>
      <c r="O2458" s="15"/>
    </row>
    <row r="2459" customFormat="false" ht="25.35" hidden="false" customHeight="false" outlineLevel="0" collapsed="false">
      <c r="A2459" s="9" t="n">
        <v>2453</v>
      </c>
      <c r="B2459" s="10" t="s">
        <v>3479</v>
      </c>
      <c r="C2459" s="10" t="s">
        <v>3480</v>
      </c>
      <c r="D2459" s="11"/>
      <c r="E2459" s="12"/>
      <c r="F2459" s="11" t="n">
        <v>0.00807662037037037</v>
      </c>
      <c r="G2459" s="12" t="n">
        <v>1208</v>
      </c>
      <c r="H2459" s="11"/>
      <c r="I2459" s="12"/>
      <c r="J2459" s="12" t="n">
        <f aca="false">COUNT(E2459,G2459,I2459)</f>
        <v>1</v>
      </c>
      <c r="K2459" s="13" t="n">
        <f aca="false">MIN(E2459,G2459,I2459)</f>
        <v>1208</v>
      </c>
      <c r="L2459" s="9" t="str">
        <f aca="false">IF(E2459=K2459,"5000m",IF(G2459=K2459,"3000mSC","1500m"))</f>
        <v>3000mSC</v>
      </c>
      <c r="M2459" s="14" t="n">
        <f aca="false">(D2459&lt;&gt;"")*(D2459&lt;=($E$3*60+$F$3)/86400)+(F2459&lt;&gt;"")*(F2459&lt;=($I$3*60+$J$3)/86400)+(H2459&lt;&gt;"")*(H2459&lt;=($M$3*60+$N$3)/86400)</f>
        <v>0</v>
      </c>
      <c r="N2459" s="16"/>
      <c r="O2459" s="15"/>
    </row>
    <row r="2460" customFormat="false" ht="15" hidden="false" customHeight="false" outlineLevel="0" collapsed="false">
      <c r="A2460" s="9" t="n">
        <v>2454</v>
      </c>
      <c r="B2460" s="10" t="s">
        <v>3481</v>
      </c>
      <c r="C2460" s="10" t="s">
        <v>2017</v>
      </c>
      <c r="D2460" s="11"/>
      <c r="E2460" s="12"/>
      <c r="F2460" s="11"/>
      <c r="G2460" s="12"/>
      <c r="H2460" s="11" t="n">
        <v>0.00294189814814815</v>
      </c>
      <c r="I2460" s="12" t="n">
        <v>1208</v>
      </c>
      <c r="J2460" s="12" t="n">
        <f aca="false">COUNT(E2460,G2460,I2460)</f>
        <v>1</v>
      </c>
      <c r="K2460" s="13" t="n">
        <f aca="false">MIN(E2460,G2460,I2460)</f>
        <v>1208</v>
      </c>
      <c r="L2460" s="9" t="str">
        <f aca="false">IF(E2460=K2460,"5000m",IF(G2460=K2460,"3000mSC","1500m"))</f>
        <v>1500m</v>
      </c>
      <c r="M2460" s="14" t="n">
        <f aca="false">(D2460&lt;&gt;"")*(D2460&lt;=($E$3*60+$F$3)/86400)+(F2460&lt;&gt;"")*(F2460&lt;=($I$3*60+$J$3)/86400)+(H2460&lt;&gt;"")*(H2460&lt;=($M$3*60+$N$3)/86400)</f>
        <v>0</v>
      </c>
      <c r="N2460" s="16"/>
      <c r="O2460" s="15"/>
    </row>
    <row r="2461" customFormat="false" ht="25.35" hidden="false" customHeight="false" outlineLevel="0" collapsed="false">
      <c r="A2461" s="9" t="n">
        <v>2455</v>
      </c>
      <c r="B2461" s="10" t="s">
        <v>3482</v>
      </c>
      <c r="C2461" s="10" t="s">
        <v>614</v>
      </c>
      <c r="D2461" s="11"/>
      <c r="E2461" s="12"/>
      <c r="F2461" s="11" t="n">
        <v>0.00808657407407407</v>
      </c>
      <c r="G2461" s="12" t="n">
        <v>1209</v>
      </c>
      <c r="H2461" s="11"/>
      <c r="I2461" s="12"/>
      <c r="J2461" s="12" t="n">
        <f aca="false">COUNT(E2461,G2461,I2461)</f>
        <v>1</v>
      </c>
      <c r="K2461" s="13" t="n">
        <f aca="false">MIN(E2461,G2461,I2461)</f>
        <v>1209</v>
      </c>
      <c r="L2461" s="9" t="str">
        <f aca="false">IF(E2461=K2461,"5000m",IF(G2461=K2461,"3000mSC","1500m"))</f>
        <v>3000mSC</v>
      </c>
      <c r="M2461" s="14" t="n">
        <f aca="false">(D2461&lt;&gt;"")*(D2461&lt;=($E$3*60+$F$3)/86400)+(F2461&lt;&gt;"")*(F2461&lt;=($I$3*60+$J$3)/86400)+(H2461&lt;&gt;"")*(H2461&lt;=($M$3*60+$N$3)/86400)</f>
        <v>0</v>
      </c>
      <c r="N2461" s="16"/>
      <c r="O2461" s="15"/>
    </row>
    <row r="2462" customFormat="false" ht="15" hidden="false" customHeight="false" outlineLevel="0" collapsed="false">
      <c r="A2462" s="9" t="n">
        <v>2456</v>
      </c>
      <c r="B2462" s="10" t="s">
        <v>3483</v>
      </c>
      <c r="C2462" s="10" t="s">
        <v>3272</v>
      </c>
      <c r="D2462" s="11"/>
      <c r="E2462" s="12"/>
      <c r="F2462" s="11"/>
      <c r="G2462" s="12"/>
      <c r="H2462" s="11" t="n">
        <v>0.00294247685185185</v>
      </c>
      <c r="I2462" s="12" t="n">
        <v>1209</v>
      </c>
      <c r="J2462" s="12" t="n">
        <f aca="false">COUNT(E2462,G2462,I2462)</f>
        <v>1</v>
      </c>
      <c r="K2462" s="13" t="n">
        <f aca="false">MIN(E2462,G2462,I2462)</f>
        <v>1209</v>
      </c>
      <c r="L2462" s="9" t="str">
        <f aca="false">IF(E2462=K2462,"5000m",IF(G2462=K2462,"3000mSC","1500m"))</f>
        <v>1500m</v>
      </c>
      <c r="M2462" s="14" t="n">
        <f aca="false">(D2462&lt;&gt;"")*(D2462&lt;=($E$3*60+$F$3)/86400)+(F2462&lt;&gt;"")*(F2462&lt;=($I$3*60+$J$3)/86400)+(H2462&lt;&gt;"")*(H2462&lt;=($M$3*60+$N$3)/86400)</f>
        <v>0</v>
      </c>
      <c r="N2462" s="16"/>
      <c r="O2462" s="15"/>
    </row>
    <row r="2463" customFormat="false" ht="25.35" hidden="false" customHeight="false" outlineLevel="0" collapsed="false">
      <c r="A2463" s="9" t="n">
        <v>2457</v>
      </c>
      <c r="B2463" s="10" t="s">
        <v>3484</v>
      </c>
      <c r="C2463" s="10" t="s">
        <v>1491</v>
      </c>
      <c r="D2463" s="11"/>
      <c r="E2463" s="12"/>
      <c r="F2463" s="11" t="n">
        <v>0.00809756944444444</v>
      </c>
      <c r="G2463" s="12" t="n">
        <v>1210</v>
      </c>
      <c r="H2463" s="11"/>
      <c r="I2463" s="12"/>
      <c r="J2463" s="12" t="n">
        <f aca="false">COUNT(E2463,G2463,I2463)</f>
        <v>1</v>
      </c>
      <c r="K2463" s="13" t="n">
        <f aca="false">MIN(E2463,G2463,I2463)</f>
        <v>1210</v>
      </c>
      <c r="L2463" s="9" t="str">
        <f aca="false">IF(E2463=K2463,"5000m",IF(G2463=K2463,"3000mSC","1500m"))</f>
        <v>3000mSC</v>
      </c>
      <c r="M2463" s="14" t="n">
        <f aca="false">(D2463&lt;&gt;"")*(D2463&lt;=($E$3*60+$F$3)/86400)+(F2463&lt;&gt;"")*(F2463&lt;=($I$3*60+$J$3)/86400)+(H2463&lt;&gt;"")*(H2463&lt;=($M$3*60+$N$3)/86400)</f>
        <v>0</v>
      </c>
      <c r="N2463" s="16"/>
      <c r="O2463" s="15"/>
    </row>
    <row r="2464" customFormat="false" ht="15" hidden="false" customHeight="false" outlineLevel="0" collapsed="false">
      <c r="A2464" s="9" t="n">
        <v>2458</v>
      </c>
      <c r="B2464" s="10" t="s">
        <v>3485</v>
      </c>
      <c r="C2464" s="10" t="s">
        <v>3486</v>
      </c>
      <c r="D2464" s="11" t="n">
        <v>0.0110569444444445</v>
      </c>
      <c r="E2464" s="12" t="n">
        <v>1211</v>
      </c>
      <c r="F2464" s="11"/>
      <c r="G2464" s="12"/>
      <c r="H2464" s="11"/>
      <c r="I2464" s="12"/>
      <c r="J2464" s="12" t="n">
        <f aca="false">COUNT(E2464,G2464,I2464)</f>
        <v>1</v>
      </c>
      <c r="K2464" s="13" t="n">
        <f aca="false">MIN(E2464,G2464,I2464)</f>
        <v>1211</v>
      </c>
      <c r="L2464" s="9" t="str">
        <f aca="false">IF(E2464=K2464,"5000m",IF(G2464=K2464,"3000mSC","1500m"))</f>
        <v>5000m</v>
      </c>
      <c r="M2464" s="14" t="n">
        <f aca="false">(D2464&lt;&gt;"")*(D2464&lt;=($E$3*60+$F$3)/86400)+(F2464&lt;&gt;"")*(F2464&lt;=($I$3*60+$J$3)/86400)+(H2464&lt;&gt;"")*(H2464&lt;=($M$3*60+$N$3)/86400)</f>
        <v>0</v>
      </c>
      <c r="N2464" s="16"/>
      <c r="O2464" s="15"/>
    </row>
    <row r="2465" customFormat="false" ht="25.35" hidden="false" customHeight="false" outlineLevel="0" collapsed="false">
      <c r="A2465" s="9" t="n">
        <v>2459</v>
      </c>
      <c r="B2465" s="10" t="s">
        <v>3487</v>
      </c>
      <c r="C2465" s="10" t="s">
        <v>3488</v>
      </c>
      <c r="D2465" s="11"/>
      <c r="E2465" s="12"/>
      <c r="F2465" s="11" t="n">
        <v>0.00809965277777778</v>
      </c>
      <c r="G2465" s="12" t="n">
        <v>1211</v>
      </c>
      <c r="H2465" s="11"/>
      <c r="I2465" s="12"/>
      <c r="J2465" s="12" t="n">
        <f aca="false">COUNT(E2465,G2465,I2465)</f>
        <v>1</v>
      </c>
      <c r="K2465" s="13" t="n">
        <f aca="false">MIN(E2465,G2465,I2465)</f>
        <v>1211</v>
      </c>
      <c r="L2465" s="9" t="str">
        <f aca="false">IF(E2465=K2465,"5000m",IF(G2465=K2465,"3000mSC","1500m"))</f>
        <v>3000mSC</v>
      </c>
      <c r="M2465" s="14" t="n">
        <f aca="false">(D2465&lt;&gt;"")*(D2465&lt;=($E$3*60+$F$3)/86400)+(F2465&lt;&gt;"")*(F2465&lt;=($I$3*60+$J$3)/86400)+(H2465&lt;&gt;"")*(H2465&lt;=($M$3*60+$N$3)/86400)</f>
        <v>0</v>
      </c>
      <c r="N2465" s="16"/>
      <c r="O2465" s="15"/>
    </row>
    <row r="2466" customFormat="false" ht="15" hidden="false" customHeight="false" outlineLevel="0" collapsed="false">
      <c r="A2466" s="9" t="n">
        <v>2460</v>
      </c>
      <c r="B2466" s="10" t="s">
        <v>3489</v>
      </c>
      <c r="C2466" s="10" t="s">
        <v>2984</v>
      </c>
      <c r="D2466" s="11"/>
      <c r="E2466" s="12"/>
      <c r="F2466" s="11"/>
      <c r="G2466" s="12"/>
      <c r="H2466" s="11" t="n">
        <v>0.00294293981481482</v>
      </c>
      <c r="I2466" s="12" t="n">
        <v>1211</v>
      </c>
      <c r="J2466" s="12" t="n">
        <f aca="false">COUNT(E2466,G2466,I2466)</f>
        <v>1</v>
      </c>
      <c r="K2466" s="13" t="n">
        <f aca="false">MIN(E2466,G2466,I2466)</f>
        <v>1211</v>
      </c>
      <c r="L2466" s="9" t="str">
        <f aca="false">IF(E2466=K2466,"5000m",IF(G2466=K2466,"3000mSC","1500m"))</f>
        <v>1500m</v>
      </c>
      <c r="M2466" s="14" t="n">
        <f aca="false">(D2466&lt;&gt;"")*(D2466&lt;=($E$3*60+$F$3)/86400)+(F2466&lt;&gt;"")*(F2466&lt;=($I$3*60+$J$3)/86400)+(H2466&lt;&gt;"")*(H2466&lt;=($M$3*60+$N$3)/86400)</f>
        <v>0</v>
      </c>
      <c r="N2466" s="16"/>
      <c r="O2466" s="15"/>
    </row>
    <row r="2467" customFormat="false" ht="25.35" hidden="false" customHeight="false" outlineLevel="0" collapsed="false">
      <c r="A2467" s="9" t="n">
        <v>2461</v>
      </c>
      <c r="B2467" s="10" t="s">
        <v>3490</v>
      </c>
      <c r="C2467" s="10" t="s">
        <v>2937</v>
      </c>
      <c r="D2467" s="11"/>
      <c r="E2467" s="12"/>
      <c r="F2467" s="11" t="n">
        <v>0.00810752314814815</v>
      </c>
      <c r="G2467" s="12" t="n">
        <v>1212</v>
      </c>
      <c r="H2467" s="11"/>
      <c r="I2467" s="12"/>
      <c r="J2467" s="12" t="n">
        <f aca="false">COUNT(E2467,G2467,I2467)</f>
        <v>1</v>
      </c>
      <c r="K2467" s="13" t="n">
        <f aca="false">MIN(E2467,G2467,I2467)</f>
        <v>1212</v>
      </c>
      <c r="L2467" s="9" t="str">
        <f aca="false">IF(E2467=K2467,"5000m",IF(G2467=K2467,"3000mSC","1500m"))</f>
        <v>3000mSC</v>
      </c>
      <c r="M2467" s="14" t="n">
        <f aca="false">(D2467&lt;&gt;"")*(D2467&lt;=($E$3*60+$F$3)/86400)+(F2467&lt;&gt;"")*(F2467&lt;=($I$3*60+$J$3)/86400)+(H2467&lt;&gt;"")*(H2467&lt;=($M$3*60+$N$3)/86400)</f>
        <v>0</v>
      </c>
      <c r="N2467" s="16"/>
      <c r="O2467" s="15"/>
    </row>
    <row r="2468" customFormat="false" ht="15" hidden="false" customHeight="false" outlineLevel="0" collapsed="false">
      <c r="A2468" s="9" t="n">
        <v>2462</v>
      </c>
      <c r="B2468" s="10" t="s">
        <v>3491</v>
      </c>
      <c r="C2468" s="10" t="s">
        <v>257</v>
      </c>
      <c r="D2468" s="11"/>
      <c r="E2468" s="12"/>
      <c r="F2468" s="11"/>
      <c r="G2468" s="12"/>
      <c r="H2468" s="11" t="n">
        <v>0.0029431712962963</v>
      </c>
      <c r="I2468" s="12" t="n">
        <v>1212</v>
      </c>
      <c r="J2468" s="12" t="n">
        <f aca="false">COUNT(E2468,G2468,I2468)</f>
        <v>1</v>
      </c>
      <c r="K2468" s="13" t="n">
        <f aca="false">MIN(E2468,G2468,I2468)</f>
        <v>1212</v>
      </c>
      <c r="L2468" s="9" t="str">
        <f aca="false">IF(E2468=K2468,"5000m",IF(G2468=K2468,"3000mSC","1500m"))</f>
        <v>1500m</v>
      </c>
      <c r="M2468" s="14" t="n">
        <f aca="false">(D2468&lt;&gt;"")*(D2468&lt;=($E$3*60+$F$3)/86400)+(F2468&lt;&gt;"")*(F2468&lt;=($I$3*60+$J$3)/86400)+(H2468&lt;&gt;"")*(H2468&lt;=($M$3*60+$N$3)/86400)</f>
        <v>0</v>
      </c>
      <c r="N2468" s="16"/>
      <c r="O2468" s="15"/>
    </row>
    <row r="2469" customFormat="false" ht="25.35" hidden="false" customHeight="false" outlineLevel="0" collapsed="false">
      <c r="A2469" s="9" t="n">
        <v>2463</v>
      </c>
      <c r="B2469" s="10" t="s">
        <v>3492</v>
      </c>
      <c r="C2469" s="10" t="s">
        <v>1668</v>
      </c>
      <c r="D2469" s="11"/>
      <c r="E2469" s="12"/>
      <c r="F2469" s="11" t="n">
        <v>0.00812233796296296</v>
      </c>
      <c r="G2469" s="12" t="n">
        <v>1213</v>
      </c>
      <c r="H2469" s="11"/>
      <c r="I2469" s="12"/>
      <c r="J2469" s="12" t="n">
        <f aca="false">COUNT(E2469,G2469,I2469)</f>
        <v>1</v>
      </c>
      <c r="K2469" s="13" t="n">
        <f aca="false">MIN(E2469,G2469,I2469)</f>
        <v>1213</v>
      </c>
      <c r="L2469" s="9" t="str">
        <f aca="false">IF(E2469=K2469,"5000m",IF(G2469=K2469,"3000mSC","1500m"))</f>
        <v>3000mSC</v>
      </c>
      <c r="M2469" s="14" t="n">
        <f aca="false">(D2469&lt;&gt;"")*(D2469&lt;=($E$3*60+$F$3)/86400)+(F2469&lt;&gt;"")*(F2469&lt;=($I$3*60+$J$3)/86400)+(H2469&lt;&gt;"")*(H2469&lt;=($M$3*60+$N$3)/86400)</f>
        <v>0</v>
      </c>
      <c r="N2469" s="16"/>
      <c r="O2469" s="15"/>
    </row>
    <row r="2470" customFormat="false" ht="15" hidden="false" customHeight="false" outlineLevel="0" collapsed="false">
      <c r="A2470" s="9" t="n">
        <v>2464</v>
      </c>
      <c r="B2470" s="10" t="s">
        <v>3493</v>
      </c>
      <c r="C2470" s="10" t="s">
        <v>541</v>
      </c>
      <c r="D2470" s="11" t="n">
        <v>0.0110586805555556</v>
      </c>
      <c r="E2470" s="12" t="n">
        <v>1214</v>
      </c>
      <c r="F2470" s="11"/>
      <c r="G2470" s="12"/>
      <c r="H2470" s="11"/>
      <c r="I2470" s="12"/>
      <c r="J2470" s="12" t="n">
        <f aca="false">COUNT(E2470,G2470,I2470)</f>
        <v>1</v>
      </c>
      <c r="K2470" s="13" t="n">
        <f aca="false">MIN(E2470,G2470,I2470)</f>
        <v>1214</v>
      </c>
      <c r="L2470" s="9" t="str">
        <f aca="false">IF(E2470=K2470,"5000m",IF(G2470=K2470,"3000mSC","1500m"))</f>
        <v>5000m</v>
      </c>
      <c r="M2470" s="14" t="n">
        <f aca="false">(D2470&lt;&gt;"")*(D2470&lt;=($E$3*60+$F$3)/86400)+(F2470&lt;&gt;"")*(F2470&lt;=($I$3*60+$J$3)/86400)+(H2470&lt;&gt;"")*(H2470&lt;=($M$3*60+$N$3)/86400)</f>
        <v>0</v>
      </c>
      <c r="N2470" s="16"/>
      <c r="O2470" s="15"/>
    </row>
    <row r="2471" customFormat="false" ht="25.35" hidden="false" customHeight="false" outlineLevel="0" collapsed="false">
      <c r="A2471" s="9" t="n">
        <v>2465</v>
      </c>
      <c r="B2471" s="10" t="s">
        <v>3494</v>
      </c>
      <c r="C2471" s="10" t="s">
        <v>2285</v>
      </c>
      <c r="D2471" s="11"/>
      <c r="E2471" s="12"/>
      <c r="F2471" s="11" t="n">
        <v>0.00812962962962963</v>
      </c>
      <c r="G2471" s="12" t="n">
        <v>1214</v>
      </c>
      <c r="H2471" s="11"/>
      <c r="I2471" s="12"/>
      <c r="J2471" s="12" t="n">
        <f aca="false">COUNT(E2471,G2471,I2471)</f>
        <v>1</v>
      </c>
      <c r="K2471" s="13" t="n">
        <f aca="false">MIN(E2471,G2471,I2471)</f>
        <v>1214</v>
      </c>
      <c r="L2471" s="9" t="str">
        <f aca="false">IF(E2471=K2471,"5000m",IF(G2471=K2471,"3000mSC","1500m"))</f>
        <v>3000mSC</v>
      </c>
      <c r="M2471" s="14" t="n">
        <f aca="false">(D2471&lt;&gt;"")*(D2471&lt;=($E$3*60+$F$3)/86400)+(F2471&lt;&gt;"")*(F2471&lt;=($I$3*60+$J$3)/86400)+(H2471&lt;&gt;"")*(H2471&lt;=($M$3*60+$N$3)/86400)</f>
        <v>0</v>
      </c>
      <c r="N2471" s="16"/>
      <c r="O2471" s="15"/>
    </row>
    <row r="2472" customFormat="false" ht="25.35" hidden="false" customHeight="false" outlineLevel="0" collapsed="false">
      <c r="A2472" s="9" t="n">
        <v>2466</v>
      </c>
      <c r="B2472" s="10" t="s">
        <v>3495</v>
      </c>
      <c r="C2472" s="10" t="s">
        <v>3496</v>
      </c>
      <c r="D2472" s="11"/>
      <c r="E2472" s="12"/>
      <c r="F2472" s="11" t="n">
        <v>0.00813506944444445</v>
      </c>
      <c r="G2472" s="12" t="n">
        <v>1215</v>
      </c>
      <c r="H2472" s="11"/>
      <c r="I2472" s="12"/>
      <c r="J2472" s="12" t="n">
        <f aca="false">COUNT(E2472,G2472,I2472)</f>
        <v>1</v>
      </c>
      <c r="K2472" s="13" t="n">
        <f aca="false">MIN(E2472,G2472,I2472)</f>
        <v>1215</v>
      </c>
      <c r="L2472" s="9" t="str">
        <f aca="false">IF(E2472=K2472,"5000m",IF(G2472=K2472,"3000mSC","1500m"))</f>
        <v>3000mSC</v>
      </c>
      <c r="M2472" s="14" t="n">
        <f aca="false">(D2472&lt;&gt;"")*(D2472&lt;=($E$3*60+$F$3)/86400)+(F2472&lt;&gt;"")*(F2472&lt;=($I$3*60+$J$3)/86400)+(H2472&lt;&gt;"")*(H2472&lt;=($M$3*60+$N$3)/86400)</f>
        <v>0</v>
      </c>
      <c r="N2472" s="16"/>
      <c r="O2472" s="15"/>
    </row>
    <row r="2473" customFormat="false" ht="15" hidden="false" customHeight="false" outlineLevel="0" collapsed="false">
      <c r="A2473" s="9" t="n">
        <v>2467</v>
      </c>
      <c r="B2473" s="10" t="s">
        <v>3497</v>
      </c>
      <c r="C2473" s="10" t="s">
        <v>2243</v>
      </c>
      <c r="D2473" s="11"/>
      <c r="E2473" s="12"/>
      <c r="F2473" s="11"/>
      <c r="G2473" s="12"/>
      <c r="H2473" s="11" t="n">
        <v>0.00294375</v>
      </c>
      <c r="I2473" s="12" t="n">
        <v>1215</v>
      </c>
      <c r="J2473" s="12" t="n">
        <f aca="false">COUNT(E2473,G2473,I2473)</f>
        <v>1</v>
      </c>
      <c r="K2473" s="13" t="n">
        <f aca="false">MIN(E2473,G2473,I2473)</f>
        <v>1215</v>
      </c>
      <c r="L2473" s="9" t="str">
        <f aca="false">IF(E2473=K2473,"5000m",IF(G2473=K2473,"3000mSC","1500m"))</f>
        <v>1500m</v>
      </c>
      <c r="M2473" s="14" t="n">
        <f aca="false">(D2473&lt;&gt;"")*(D2473&lt;=($E$3*60+$F$3)/86400)+(F2473&lt;&gt;"")*(F2473&lt;=($I$3*60+$J$3)/86400)+(H2473&lt;&gt;"")*(H2473&lt;=($M$3*60+$N$3)/86400)</f>
        <v>0</v>
      </c>
      <c r="N2473" s="16"/>
      <c r="O2473" s="15"/>
    </row>
    <row r="2474" customFormat="false" ht="25.35" hidden="false" customHeight="false" outlineLevel="0" collapsed="false">
      <c r="A2474" s="9" t="n">
        <v>2468</v>
      </c>
      <c r="B2474" s="10" t="s">
        <v>3498</v>
      </c>
      <c r="C2474" s="10" t="s">
        <v>1819</v>
      </c>
      <c r="D2474" s="11"/>
      <c r="E2474" s="12"/>
      <c r="F2474" s="11" t="n">
        <v>0.00813831018518518</v>
      </c>
      <c r="G2474" s="12" t="n">
        <v>1216</v>
      </c>
      <c r="H2474" s="11"/>
      <c r="I2474" s="12"/>
      <c r="J2474" s="12" t="n">
        <f aca="false">COUNT(E2474,G2474,I2474)</f>
        <v>1</v>
      </c>
      <c r="K2474" s="13" t="n">
        <f aca="false">MIN(E2474,G2474,I2474)</f>
        <v>1216</v>
      </c>
      <c r="L2474" s="9" t="str">
        <f aca="false">IF(E2474=K2474,"5000m",IF(G2474=K2474,"3000mSC","1500m"))</f>
        <v>3000mSC</v>
      </c>
      <c r="M2474" s="14" t="n">
        <f aca="false">(D2474&lt;&gt;"")*(D2474&lt;=($E$3*60+$F$3)/86400)+(F2474&lt;&gt;"")*(F2474&lt;=($I$3*60+$J$3)/86400)+(H2474&lt;&gt;"")*(H2474&lt;=($M$3*60+$N$3)/86400)</f>
        <v>0</v>
      </c>
      <c r="N2474" s="16"/>
      <c r="O2474" s="15"/>
    </row>
    <row r="2475" customFormat="false" ht="25.35" hidden="false" customHeight="false" outlineLevel="0" collapsed="false">
      <c r="A2475" s="9" t="n">
        <v>2469</v>
      </c>
      <c r="B2475" s="10" t="s">
        <v>3499</v>
      </c>
      <c r="C2475" s="10" t="s">
        <v>997</v>
      </c>
      <c r="D2475" s="11"/>
      <c r="E2475" s="12"/>
      <c r="F2475" s="11" t="n">
        <v>0.00813854166666667</v>
      </c>
      <c r="G2475" s="12" t="n">
        <v>1217</v>
      </c>
      <c r="H2475" s="11"/>
      <c r="I2475" s="12"/>
      <c r="J2475" s="12" t="n">
        <f aca="false">COUNT(E2475,G2475,I2475)</f>
        <v>1</v>
      </c>
      <c r="K2475" s="13" t="n">
        <f aca="false">MIN(E2475,G2475,I2475)</f>
        <v>1217</v>
      </c>
      <c r="L2475" s="9" t="str">
        <f aca="false">IF(E2475=K2475,"5000m",IF(G2475=K2475,"3000mSC","1500m"))</f>
        <v>3000mSC</v>
      </c>
      <c r="M2475" s="14" t="n">
        <f aca="false">(D2475&lt;&gt;"")*(D2475&lt;=($E$3*60+$F$3)/86400)+(F2475&lt;&gt;"")*(F2475&lt;=($I$3*60+$J$3)/86400)+(H2475&lt;&gt;"")*(H2475&lt;=($M$3*60+$N$3)/86400)</f>
        <v>0</v>
      </c>
      <c r="N2475" s="16"/>
      <c r="O2475" s="15"/>
    </row>
    <row r="2476" customFormat="false" ht="15" hidden="false" customHeight="false" outlineLevel="0" collapsed="false">
      <c r="A2476" s="9" t="n">
        <v>2470</v>
      </c>
      <c r="B2476" s="10" t="s">
        <v>3500</v>
      </c>
      <c r="C2476" s="10" t="s">
        <v>1839</v>
      </c>
      <c r="D2476" s="11"/>
      <c r="E2476" s="12"/>
      <c r="F2476" s="11"/>
      <c r="G2476" s="12"/>
      <c r="H2476" s="11" t="n">
        <v>0.00294502314814815</v>
      </c>
      <c r="I2476" s="12" t="n">
        <v>1217</v>
      </c>
      <c r="J2476" s="12" t="n">
        <f aca="false">COUNT(E2476,G2476,I2476)</f>
        <v>1</v>
      </c>
      <c r="K2476" s="13" t="n">
        <f aca="false">MIN(E2476,G2476,I2476)</f>
        <v>1217</v>
      </c>
      <c r="L2476" s="9" t="str">
        <f aca="false">IF(E2476=K2476,"5000m",IF(G2476=K2476,"3000mSC","1500m"))</f>
        <v>1500m</v>
      </c>
      <c r="M2476" s="14" t="n">
        <f aca="false">(D2476&lt;&gt;"")*(D2476&lt;=($E$3*60+$F$3)/86400)+(F2476&lt;&gt;"")*(F2476&lt;=($I$3*60+$J$3)/86400)+(H2476&lt;&gt;"")*(H2476&lt;=($M$3*60+$N$3)/86400)</f>
        <v>0</v>
      </c>
      <c r="N2476" s="16"/>
      <c r="O2476" s="15"/>
    </row>
    <row r="2477" customFormat="false" ht="25.35" hidden="false" customHeight="false" outlineLevel="0" collapsed="false">
      <c r="A2477" s="9" t="n">
        <v>2471</v>
      </c>
      <c r="B2477" s="10" t="s">
        <v>3501</v>
      </c>
      <c r="C2477" s="10" t="s">
        <v>2427</v>
      </c>
      <c r="D2477" s="11"/>
      <c r="E2477" s="12"/>
      <c r="F2477" s="11" t="n">
        <v>0.00814953703703704</v>
      </c>
      <c r="G2477" s="12" t="n">
        <v>1218</v>
      </c>
      <c r="H2477" s="11"/>
      <c r="I2477" s="12"/>
      <c r="J2477" s="12" t="n">
        <f aca="false">COUNT(E2477,G2477,I2477)</f>
        <v>1</v>
      </c>
      <c r="K2477" s="13" t="n">
        <f aca="false">MIN(E2477,G2477,I2477)</f>
        <v>1218</v>
      </c>
      <c r="L2477" s="9" t="str">
        <f aca="false">IF(E2477=K2477,"5000m",IF(G2477=K2477,"3000mSC","1500m"))</f>
        <v>3000mSC</v>
      </c>
      <c r="M2477" s="14" t="n">
        <f aca="false">(D2477&lt;&gt;"")*(D2477&lt;=($E$3*60+$F$3)/86400)+(F2477&lt;&gt;"")*(F2477&lt;=($I$3*60+$J$3)/86400)+(H2477&lt;&gt;"")*(H2477&lt;=($M$3*60+$N$3)/86400)</f>
        <v>0</v>
      </c>
      <c r="N2477" s="16"/>
      <c r="O2477" s="15"/>
    </row>
    <row r="2478" customFormat="false" ht="25.35" hidden="false" customHeight="false" outlineLevel="0" collapsed="false">
      <c r="A2478" s="9" t="n">
        <v>2472</v>
      </c>
      <c r="B2478" s="10" t="s">
        <v>3502</v>
      </c>
      <c r="C2478" s="10" t="s">
        <v>585</v>
      </c>
      <c r="D2478" s="11" t="n">
        <v>0.0110797453703704</v>
      </c>
      <c r="E2478" s="12" t="n">
        <v>1250</v>
      </c>
      <c r="F2478" s="11" t="n">
        <v>0.00815219907407407</v>
      </c>
      <c r="G2478" s="12" t="n">
        <v>1219</v>
      </c>
      <c r="H2478" s="11"/>
      <c r="I2478" s="12"/>
      <c r="J2478" s="12" t="n">
        <f aca="false">COUNT(E2478,G2478,I2478)</f>
        <v>2</v>
      </c>
      <c r="K2478" s="13" t="n">
        <f aca="false">MIN(E2478,G2478,I2478)</f>
        <v>1219</v>
      </c>
      <c r="L2478" s="9" t="str">
        <f aca="false">IF(E2478=K2478,"5000m",IF(G2478=K2478,"3000mSC","1500m"))</f>
        <v>3000mSC</v>
      </c>
      <c r="M2478" s="14" t="n">
        <f aca="false">(D2478&lt;&gt;"")*(D2478&lt;=($E$3*60+$F$3)/86400)+(F2478&lt;&gt;"")*(F2478&lt;=($I$3*60+$J$3)/86400)+(H2478&lt;&gt;"")*(H2478&lt;=($M$3*60+$N$3)/86400)</f>
        <v>0</v>
      </c>
      <c r="N2478" s="16"/>
      <c r="O2478" s="15"/>
    </row>
    <row r="2479" customFormat="false" ht="15" hidden="false" customHeight="false" outlineLevel="0" collapsed="false">
      <c r="A2479" s="9" t="n">
        <v>2473</v>
      </c>
      <c r="B2479" s="10" t="s">
        <v>3503</v>
      </c>
      <c r="C2479" s="10" t="s">
        <v>312</v>
      </c>
      <c r="D2479" s="11" t="n">
        <v>0.0110935185185185</v>
      </c>
      <c r="E2479" s="12" t="n">
        <v>1264</v>
      </c>
      <c r="F2479" s="11"/>
      <c r="G2479" s="12"/>
      <c r="H2479" s="11" t="n">
        <v>0.00294571759259259</v>
      </c>
      <c r="I2479" s="12" t="n">
        <v>1219</v>
      </c>
      <c r="J2479" s="12" t="n">
        <f aca="false">COUNT(E2479,G2479,I2479)</f>
        <v>2</v>
      </c>
      <c r="K2479" s="13" t="n">
        <f aca="false">MIN(E2479,G2479,I2479)</f>
        <v>1219</v>
      </c>
      <c r="L2479" s="9" t="str">
        <f aca="false">IF(E2479=K2479,"5000m",IF(G2479=K2479,"3000mSC","1500m"))</f>
        <v>1500m</v>
      </c>
      <c r="M2479" s="14" t="n">
        <f aca="false">(D2479&lt;&gt;"")*(D2479&lt;=($E$3*60+$F$3)/86400)+(F2479&lt;&gt;"")*(F2479&lt;=($I$3*60+$J$3)/86400)+(H2479&lt;&gt;"")*(H2479&lt;=($M$3*60+$N$3)/86400)</f>
        <v>0</v>
      </c>
      <c r="N2479" s="16"/>
      <c r="O2479" s="15"/>
    </row>
    <row r="2480" customFormat="false" ht="15" hidden="false" customHeight="false" outlineLevel="0" collapsed="false">
      <c r="A2480" s="9" t="n">
        <v>2474</v>
      </c>
      <c r="B2480" s="10" t="s">
        <v>3504</v>
      </c>
      <c r="C2480" s="10" t="s">
        <v>3290</v>
      </c>
      <c r="D2480" s="11" t="n">
        <v>0.0110611111111111</v>
      </c>
      <c r="E2480" s="12" t="n">
        <v>1219</v>
      </c>
      <c r="F2480" s="11"/>
      <c r="G2480" s="12"/>
      <c r="H2480" s="11"/>
      <c r="I2480" s="12"/>
      <c r="J2480" s="12" t="n">
        <f aca="false">COUNT(E2480,G2480,I2480)</f>
        <v>1</v>
      </c>
      <c r="K2480" s="13" t="n">
        <f aca="false">MIN(E2480,G2480,I2480)</f>
        <v>1219</v>
      </c>
      <c r="L2480" s="9" t="str">
        <f aca="false">IF(E2480=K2480,"5000m",IF(G2480=K2480,"3000mSC","1500m"))</f>
        <v>5000m</v>
      </c>
      <c r="M2480" s="14" t="n">
        <f aca="false">(D2480&lt;&gt;"")*(D2480&lt;=($E$3*60+$F$3)/86400)+(F2480&lt;&gt;"")*(F2480&lt;=($I$3*60+$J$3)/86400)+(H2480&lt;&gt;"")*(H2480&lt;=($M$3*60+$N$3)/86400)</f>
        <v>0</v>
      </c>
      <c r="N2480" s="16"/>
      <c r="O2480" s="15"/>
    </row>
    <row r="2481" customFormat="false" ht="25.35" hidden="false" customHeight="false" outlineLevel="0" collapsed="false">
      <c r="A2481" s="9" t="n">
        <v>2475</v>
      </c>
      <c r="B2481" s="10" t="s">
        <v>3505</v>
      </c>
      <c r="C2481" s="10" t="s">
        <v>1599</v>
      </c>
      <c r="D2481" s="11"/>
      <c r="E2481" s="12"/>
      <c r="F2481" s="11" t="n">
        <v>0.00815462962962963</v>
      </c>
      <c r="G2481" s="12" t="n">
        <v>1220</v>
      </c>
      <c r="H2481" s="11"/>
      <c r="I2481" s="12"/>
      <c r="J2481" s="12" t="n">
        <f aca="false">COUNT(E2481,G2481,I2481)</f>
        <v>1</v>
      </c>
      <c r="K2481" s="13" t="n">
        <f aca="false">MIN(E2481,G2481,I2481)</f>
        <v>1220</v>
      </c>
      <c r="L2481" s="9" t="str">
        <f aca="false">IF(E2481=K2481,"5000m",IF(G2481=K2481,"3000mSC","1500m"))</f>
        <v>3000mSC</v>
      </c>
      <c r="M2481" s="14" t="n">
        <f aca="false">(D2481&lt;&gt;"")*(D2481&lt;=($E$3*60+$F$3)/86400)+(F2481&lt;&gt;"")*(F2481&lt;=($I$3*60+$J$3)/86400)+(H2481&lt;&gt;"")*(H2481&lt;=($M$3*60+$N$3)/86400)</f>
        <v>0</v>
      </c>
      <c r="N2481" s="16"/>
      <c r="O2481" s="15"/>
    </row>
    <row r="2482" customFormat="false" ht="15" hidden="false" customHeight="false" outlineLevel="0" collapsed="false">
      <c r="A2482" s="9" t="n">
        <v>2476</v>
      </c>
      <c r="B2482" s="10" t="s">
        <v>3506</v>
      </c>
      <c r="C2482" s="10" t="s">
        <v>3507</v>
      </c>
      <c r="D2482" s="11"/>
      <c r="E2482" s="12"/>
      <c r="F2482" s="11"/>
      <c r="G2482" s="12"/>
      <c r="H2482" s="11" t="n">
        <v>0.0029462962962963</v>
      </c>
      <c r="I2482" s="12" t="n">
        <v>1220</v>
      </c>
      <c r="J2482" s="12" t="n">
        <f aca="false">COUNT(E2482,G2482,I2482)</f>
        <v>1</v>
      </c>
      <c r="K2482" s="13" t="n">
        <f aca="false">MIN(E2482,G2482,I2482)</f>
        <v>1220</v>
      </c>
      <c r="L2482" s="9" t="str">
        <f aca="false">IF(E2482=K2482,"5000m",IF(G2482=K2482,"3000mSC","1500m"))</f>
        <v>1500m</v>
      </c>
      <c r="M2482" s="14" t="n">
        <f aca="false">(D2482&lt;&gt;"")*(D2482&lt;=($E$3*60+$F$3)/86400)+(F2482&lt;&gt;"")*(F2482&lt;=($I$3*60+$J$3)/86400)+(H2482&lt;&gt;"")*(H2482&lt;=($M$3*60+$N$3)/86400)</f>
        <v>0</v>
      </c>
      <c r="N2482" s="16"/>
      <c r="O2482" s="15"/>
    </row>
    <row r="2483" customFormat="false" ht="25.35" hidden="false" customHeight="false" outlineLevel="0" collapsed="false">
      <c r="A2483" s="9" t="n">
        <v>2477</v>
      </c>
      <c r="B2483" s="10" t="s">
        <v>3508</v>
      </c>
      <c r="C2483" s="10" t="s">
        <v>1283</v>
      </c>
      <c r="D2483" s="11"/>
      <c r="E2483" s="12"/>
      <c r="F2483" s="11" t="n">
        <v>0.00815543981481482</v>
      </c>
      <c r="G2483" s="12" t="n">
        <v>1221</v>
      </c>
      <c r="H2483" s="11"/>
      <c r="I2483" s="12"/>
      <c r="J2483" s="12" t="n">
        <f aca="false">COUNT(E2483,G2483,I2483)</f>
        <v>1</v>
      </c>
      <c r="K2483" s="13" t="n">
        <f aca="false">MIN(E2483,G2483,I2483)</f>
        <v>1221</v>
      </c>
      <c r="L2483" s="9" t="str">
        <f aca="false">IF(E2483=K2483,"5000m",IF(G2483=K2483,"3000mSC","1500m"))</f>
        <v>3000mSC</v>
      </c>
      <c r="M2483" s="14" t="n">
        <f aca="false">(D2483&lt;&gt;"")*(D2483&lt;=($E$3*60+$F$3)/86400)+(F2483&lt;&gt;"")*(F2483&lt;=($I$3*60+$J$3)/86400)+(H2483&lt;&gt;"")*(H2483&lt;=($M$3*60+$N$3)/86400)</f>
        <v>0</v>
      </c>
      <c r="N2483" s="16"/>
      <c r="O2483" s="15"/>
    </row>
    <row r="2484" customFormat="false" ht="15" hidden="false" customHeight="false" outlineLevel="0" collapsed="false">
      <c r="A2484" s="9" t="n">
        <v>2478</v>
      </c>
      <c r="B2484" s="10" t="s">
        <v>3509</v>
      </c>
      <c r="C2484" s="10" t="s">
        <v>457</v>
      </c>
      <c r="D2484" s="11"/>
      <c r="E2484" s="12"/>
      <c r="F2484" s="11"/>
      <c r="G2484" s="12"/>
      <c r="H2484" s="11" t="n">
        <v>0.002946875</v>
      </c>
      <c r="I2484" s="12" t="n">
        <v>1221</v>
      </c>
      <c r="J2484" s="12" t="n">
        <f aca="false">COUNT(E2484,G2484,I2484)</f>
        <v>1</v>
      </c>
      <c r="K2484" s="13" t="n">
        <f aca="false">MIN(E2484,G2484,I2484)</f>
        <v>1221</v>
      </c>
      <c r="L2484" s="9" t="str">
        <f aca="false">IF(E2484=K2484,"5000m",IF(G2484=K2484,"3000mSC","1500m"))</f>
        <v>1500m</v>
      </c>
      <c r="M2484" s="14" t="n">
        <f aca="false">(D2484&lt;&gt;"")*(D2484&lt;=($E$3*60+$F$3)/86400)+(F2484&lt;&gt;"")*(F2484&lt;=($I$3*60+$J$3)/86400)+(H2484&lt;&gt;"")*(H2484&lt;=($M$3*60+$N$3)/86400)</f>
        <v>0</v>
      </c>
      <c r="N2484" s="16"/>
      <c r="O2484" s="15"/>
    </row>
    <row r="2485" customFormat="false" ht="15" hidden="false" customHeight="false" outlineLevel="0" collapsed="false">
      <c r="A2485" s="9" t="n">
        <v>2479</v>
      </c>
      <c r="B2485" s="10" t="s">
        <v>3510</v>
      </c>
      <c r="C2485" s="10" t="s">
        <v>91</v>
      </c>
      <c r="D2485" s="11" t="n">
        <v>0.0110628472222222</v>
      </c>
      <c r="E2485" s="12" t="n">
        <v>1222</v>
      </c>
      <c r="F2485" s="11"/>
      <c r="G2485" s="12"/>
      <c r="H2485" s="11"/>
      <c r="I2485" s="12"/>
      <c r="J2485" s="12" t="n">
        <f aca="false">COUNT(E2485,G2485,I2485)</f>
        <v>1</v>
      </c>
      <c r="K2485" s="13" t="n">
        <f aca="false">MIN(E2485,G2485,I2485)</f>
        <v>1222</v>
      </c>
      <c r="L2485" s="9" t="str">
        <f aca="false">IF(E2485=K2485,"5000m",IF(G2485=K2485,"3000mSC","1500m"))</f>
        <v>5000m</v>
      </c>
      <c r="M2485" s="14" t="n">
        <f aca="false">(D2485&lt;&gt;"")*(D2485&lt;=($E$3*60+$F$3)/86400)+(F2485&lt;&gt;"")*(F2485&lt;=($I$3*60+$J$3)/86400)+(H2485&lt;&gt;"")*(H2485&lt;=($M$3*60+$N$3)/86400)</f>
        <v>0</v>
      </c>
      <c r="N2485" s="16"/>
      <c r="O2485" s="15"/>
    </row>
    <row r="2486" customFormat="false" ht="25.35" hidden="false" customHeight="false" outlineLevel="0" collapsed="false">
      <c r="A2486" s="9" t="n">
        <v>2480</v>
      </c>
      <c r="B2486" s="10" t="s">
        <v>3511</v>
      </c>
      <c r="C2486" s="10" t="s">
        <v>3512</v>
      </c>
      <c r="D2486" s="11"/>
      <c r="E2486" s="12"/>
      <c r="F2486" s="11" t="n">
        <v>0.00815555555555556</v>
      </c>
      <c r="G2486" s="12" t="n">
        <v>1222</v>
      </c>
      <c r="H2486" s="11"/>
      <c r="I2486" s="12"/>
      <c r="J2486" s="12" t="n">
        <f aca="false">COUNT(E2486,G2486,I2486)</f>
        <v>1</v>
      </c>
      <c r="K2486" s="13" t="n">
        <f aca="false">MIN(E2486,G2486,I2486)</f>
        <v>1222</v>
      </c>
      <c r="L2486" s="9" t="str">
        <f aca="false">IF(E2486=K2486,"5000m",IF(G2486=K2486,"3000mSC","1500m"))</f>
        <v>3000mSC</v>
      </c>
      <c r="M2486" s="14" t="n">
        <f aca="false">(D2486&lt;&gt;"")*(D2486&lt;=($E$3*60+$F$3)/86400)+(F2486&lt;&gt;"")*(F2486&lt;=($I$3*60+$J$3)/86400)+(H2486&lt;&gt;"")*(H2486&lt;=($M$3*60+$N$3)/86400)</f>
        <v>0</v>
      </c>
      <c r="N2486" s="16"/>
      <c r="O2486" s="15"/>
    </row>
    <row r="2487" customFormat="false" ht="15" hidden="false" customHeight="false" outlineLevel="0" collapsed="false">
      <c r="A2487" s="9" t="n">
        <v>2481</v>
      </c>
      <c r="B2487" s="10" t="s">
        <v>3513</v>
      </c>
      <c r="C2487" s="10" t="s">
        <v>3318</v>
      </c>
      <c r="D2487" s="11"/>
      <c r="E2487" s="12"/>
      <c r="F2487" s="11"/>
      <c r="G2487" s="12"/>
      <c r="H2487" s="11" t="n">
        <v>0.00294699074074074</v>
      </c>
      <c r="I2487" s="12" t="n">
        <v>1222</v>
      </c>
      <c r="J2487" s="12" t="n">
        <f aca="false">COUNT(E2487,G2487,I2487)</f>
        <v>1</v>
      </c>
      <c r="K2487" s="13" t="n">
        <f aca="false">MIN(E2487,G2487,I2487)</f>
        <v>1222</v>
      </c>
      <c r="L2487" s="9" t="str">
        <f aca="false">IF(E2487=K2487,"5000m",IF(G2487=K2487,"3000mSC","1500m"))</f>
        <v>1500m</v>
      </c>
      <c r="M2487" s="14" t="n">
        <f aca="false">(D2487&lt;&gt;"")*(D2487&lt;=($E$3*60+$F$3)/86400)+(F2487&lt;&gt;"")*(F2487&lt;=($I$3*60+$J$3)/86400)+(H2487&lt;&gt;"")*(H2487&lt;=($M$3*60+$N$3)/86400)</f>
        <v>0</v>
      </c>
      <c r="N2487" s="16"/>
      <c r="O2487" s="15"/>
    </row>
    <row r="2488" customFormat="false" ht="15" hidden="false" customHeight="false" outlineLevel="0" collapsed="false">
      <c r="A2488" s="9" t="n">
        <v>2482</v>
      </c>
      <c r="B2488" s="10" t="s">
        <v>3514</v>
      </c>
      <c r="C2488" s="10" t="s">
        <v>445</v>
      </c>
      <c r="D2488" s="11" t="n">
        <v>0.0110631944444444</v>
      </c>
      <c r="E2488" s="12" t="n">
        <v>1223</v>
      </c>
      <c r="F2488" s="11"/>
      <c r="G2488" s="12"/>
      <c r="H2488" s="11"/>
      <c r="I2488" s="12"/>
      <c r="J2488" s="12" t="n">
        <f aca="false">COUNT(E2488,G2488,I2488)</f>
        <v>1</v>
      </c>
      <c r="K2488" s="13" t="n">
        <f aca="false">MIN(E2488,G2488,I2488)</f>
        <v>1223</v>
      </c>
      <c r="L2488" s="9" t="str">
        <f aca="false">IF(E2488=K2488,"5000m",IF(G2488=K2488,"3000mSC","1500m"))</f>
        <v>5000m</v>
      </c>
      <c r="M2488" s="14" t="n">
        <f aca="false">(D2488&lt;&gt;"")*(D2488&lt;=($E$3*60+$F$3)/86400)+(F2488&lt;&gt;"")*(F2488&lt;=($I$3*60+$J$3)/86400)+(H2488&lt;&gt;"")*(H2488&lt;=($M$3*60+$N$3)/86400)</f>
        <v>0</v>
      </c>
      <c r="N2488" s="16"/>
      <c r="O2488" s="15"/>
    </row>
    <row r="2489" customFormat="false" ht="15" hidden="false" customHeight="false" outlineLevel="0" collapsed="false">
      <c r="A2489" s="9" t="n">
        <v>2483</v>
      </c>
      <c r="B2489" s="10" t="s">
        <v>3515</v>
      </c>
      <c r="C2489" s="10" t="s">
        <v>95</v>
      </c>
      <c r="D2489" s="11" t="n">
        <v>0.0110635416666667</v>
      </c>
      <c r="E2489" s="12" t="n">
        <v>1224</v>
      </c>
      <c r="F2489" s="11"/>
      <c r="G2489" s="12"/>
      <c r="H2489" s="11"/>
      <c r="I2489" s="12"/>
      <c r="J2489" s="12" t="n">
        <f aca="false">COUNT(E2489,G2489,I2489)</f>
        <v>1</v>
      </c>
      <c r="K2489" s="13" t="n">
        <f aca="false">MIN(E2489,G2489,I2489)</f>
        <v>1224</v>
      </c>
      <c r="L2489" s="9" t="str">
        <f aca="false">IF(E2489=K2489,"5000m",IF(G2489=K2489,"3000mSC","1500m"))</f>
        <v>5000m</v>
      </c>
      <c r="M2489" s="14" t="n">
        <f aca="false">(D2489&lt;&gt;"")*(D2489&lt;=($E$3*60+$F$3)/86400)+(F2489&lt;&gt;"")*(F2489&lt;=($I$3*60+$J$3)/86400)+(H2489&lt;&gt;"")*(H2489&lt;=($M$3*60+$N$3)/86400)</f>
        <v>0</v>
      </c>
      <c r="N2489" s="16"/>
      <c r="O2489" s="15"/>
    </row>
    <row r="2490" customFormat="false" ht="25.35" hidden="false" customHeight="false" outlineLevel="0" collapsed="false">
      <c r="A2490" s="9" t="n">
        <v>2484</v>
      </c>
      <c r="B2490" s="10" t="s">
        <v>3516</v>
      </c>
      <c r="C2490" s="10" t="s">
        <v>97</v>
      </c>
      <c r="D2490" s="11"/>
      <c r="E2490" s="12"/>
      <c r="F2490" s="11" t="n">
        <v>0.0081625</v>
      </c>
      <c r="G2490" s="12" t="n">
        <v>1224</v>
      </c>
      <c r="H2490" s="11"/>
      <c r="I2490" s="12"/>
      <c r="J2490" s="12" t="n">
        <f aca="false">COUNT(E2490,G2490,I2490)</f>
        <v>1</v>
      </c>
      <c r="K2490" s="13" t="n">
        <f aca="false">MIN(E2490,G2490,I2490)</f>
        <v>1224</v>
      </c>
      <c r="L2490" s="9" t="str">
        <f aca="false">IF(E2490=K2490,"5000m",IF(G2490=K2490,"3000mSC","1500m"))</f>
        <v>3000mSC</v>
      </c>
      <c r="M2490" s="14" t="n">
        <f aca="false">(D2490&lt;&gt;"")*(D2490&lt;=($E$3*60+$F$3)/86400)+(F2490&lt;&gt;"")*(F2490&lt;=($I$3*60+$J$3)/86400)+(H2490&lt;&gt;"")*(H2490&lt;=($M$3*60+$N$3)/86400)</f>
        <v>0</v>
      </c>
      <c r="N2490" s="16"/>
      <c r="O2490" s="15"/>
    </row>
    <row r="2491" customFormat="false" ht="15" hidden="false" customHeight="false" outlineLevel="0" collapsed="false">
      <c r="A2491" s="9" t="n">
        <v>2485</v>
      </c>
      <c r="B2491" s="10" t="s">
        <v>3517</v>
      </c>
      <c r="C2491" s="10" t="s">
        <v>2954</v>
      </c>
      <c r="D2491" s="11" t="n">
        <v>0.011065162037037</v>
      </c>
      <c r="E2491" s="12" t="n">
        <v>1225</v>
      </c>
      <c r="F2491" s="11"/>
      <c r="G2491" s="12"/>
      <c r="H2491" s="11"/>
      <c r="I2491" s="12"/>
      <c r="J2491" s="12" t="n">
        <f aca="false">COUNT(E2491,G2491,I2491)</f>
        <v>1</v>
      </c>
      <c r="K2491" s="13" t="n">
        <f aca="false">MIN(E2491,G2491,I2491)</f>
        <v>1225</v>
      </c>
      <c r="L2491" s="9" t="str">
        <f aca="false">IF(E2491=K2491,"5000m",IF(G2491=K2491,"3000mSC","1500m"))</f>
        <v>5000m</v>
      </c>
      <c r="M2491" s="14" t="n">
        <f aca="false">(D2491&lt;&gt;"")*(D2491&lt;=($E$3*60+$F$3)/86400)+(F2491&lt;&gt;"")*(F2491&lt;=($I$3*60+$J$3)/86400)+(H2491&lt;&gt;"")*(H2491&lt;=($M$3*60+$N$3)/86400)</f>
        <v>0</v>
      </c>
      <c r="N2491" s="16"/>
      <c r="O2491" s="15"/>
    </row>
    <row r="2492" customFormat="false" ht="25.35" hidden="false" customHeight="false" outlineLevel="0" collapsed="false">
      <c r="A2492" s="9" t="n">
        <v>2486</v>
      </c>
      <c r="B2492" s="10" t="s">
        <v>3518</v>
      </c>
      <c r="C2492" s="10" t="s">
        <v>139</v>
      </c>
      <c r="D2492" s="11"/>
      <c r="E2492" s="12"/>
      <c r="F2492" s="11" t="n">
        <v>0.00816331018518519</v>
      </c>
      <c r="G2492" s="12" t="n">
        <v>1225</v>
      </c>
      <c r="H2492" s="11"/>
      <c r="I2492" s="12"/>
      <c r="J2492" s="12" t="n">
        <f aca="false">COUNT(E2492,G2492,I2492)</f>
        <v>1</v>
      </c>
      <c r="K2492" s="13" t="n">
        <f aca="false">MIN(E2492,G2492,I2492)</f>
        <v>1225</v>
      </c>
      <c r="L2492" s="9" t="str">
        <f aca="false">IF(E2492=K2492,"5000m",IF(G2492=K2492,"3000mSC","1500m"))</f>
        <v>3000mSC</v>
      </c>
      <c r="M2492" s="14" t="n">
        <f aca="false">(D2492&lt;&gt;"")*(D2492&lt;=($E$3*60+$F$3)/86400)+(F2492&lt;&gt;"")*(F2492&lt;=($I$3*60+$J$3)/86400)+(H2492&lt;&gt;"")*(H2492&lt;=($M$3*60+$N$3)/86400)</f>
        <v>0</v>
      </c>
      <c r="N2492" s="16"/>
      <c r="O2492" s="15"/>
    </row>
    <row r="2493" customFormat="false" ht="15" hidden="false" customHeight="false" outlineLevel="0" collapsed="false">
      <c r="A2493" s="9" t="n">
        <v>2487</v>
      </c>
      <c r="B2493" s="10" t="s">
        <v>3519</v>
      </c>
      <c r="C2493" s="10" t="s">
        <v>564</v>
      </c>
      <c r="D2493" s="11" t="n">
        <v>0.0110658564814815</v>
      </c>
      <c r="E2493" s="12" t="n">
        <v>1226</v>
      </c>
      <c r="F2493" s="11"/>
      <c r="G2493" s="12"/>
      <c r="H2493" s="11"/>
      <c r="I2493" s="12"/>
      <c r="J2493" s="12" t="n">
        <f aca="false">COUNT(E2493,G2493,I2493)</f>
        <v>1</v>
      </c>
      <c r="K2493" s="13" t="n">
        <f aca="false">MIN(E2493,G2493,I2493)</f>
        <v>1226</v>
      </c>
      <c r="L2493" s="9" t="str">
        <f aca="false">IF(E2493=K2493,"5000m",IF(G2493=K2493,"3000mSC","1500m"))</f>
        <v>5000m</v>
      </c>
      <c r="M2493" s="14" t="n">
        <f aca="false">(D2493&lt;&gt;"")*(D2493&lt;=($E$3*60+$F$3)/86400)+(F2493&lt;&gt;"")*(F2493&lt;=($I$3*60+$J$3)/86400)+(H2493&lt;&gt;"")*(H2493&lt;=($M$3*60+$N$3)/86400)</f>
        <v>0</v>
      </c>
      <c r="N2493" s="16"/>
      <c r="O2493" s="15"/>
    </row>
    <row r="2494" customFormat="false" ht="25.35" hidden="false" customHeight="false" outlineLevel="0" collapsed="false">
      <c r="A2494" s="9" t="n">
        <v>2488</v>
      </c>
      <c r="B2494" s="10" t="s">
        <v>3520</v>
      </c>
      <c r="C2494" s="10" t="s">
        <v>2077</v>
      </c>
      <c r="D2494" s="11"/>
      <c r="E2494" s="12"/>
      <c r="F2494" s="11" t="n">
        <v>0.00816354166666667</v>
      </c>
      <c r="G2494" s="12" t="n">
        <v>1226</v>
      </c>
      <c r="H2494" s="11"/>
      <c r="I2494" s="12"/>
      <c r="J2494" s="12" t="n">
        <f aca="false">COUNT(E2494,G2494,I2494)</f>
        <v>1</v>
      </c>
      <c r="K2494" s="13" t="n">
        <f aca="false">MIN(E2494,G2494,I2494)</f>
        <v>1226</v>
      </c>
      <c r="L2494" s="9" t="str">
        <f aca="false">IF(E2494=K2494,"5000m",IF(G2494=K2494,"3000mSC","1500m"))</f>
        <v>3000mSC</v>
      </c>
      <c r="M2494" s="14" t="n">
        <f aca="false">(D2494&lt;&gt;"")*(D2494&lt;=($E$3*60+$F$3)/86400)+(F2494&lt;&gt;"")*(F2494&lt;=($I$3*60+$J$3)/86400)+(H2494&lt;&gt;"")*(H2494&lt;=($M$3*60+$N$3)/86400)</f>
        <v>0</v>
      </c>
      <c r="N2494" s="16"/>
      <c r="O2494" s="15"/>
    </row>
    <row r="2495" customFormat="false" ht="15" hidden="false" customHeight="false" outlineLevel="0" collapsed="false">
      <c r="A2495" s="9" t="n">
        <v>2489</v>
      </c>
      <c r="B2495" s="10" t="s">
        <v>3521</v>
      </c>
      <c r="C2495" s="10" t="s">
        <v>465</v>
      </c>
      <c r="D2495" s="11"/>
      <c r="E2495" s="12"/>
      <c r="F2495" s="11"/>
      <c r="G2495" s="12"/>
      <c r="H2495" s="11" t="n">
        <v>0.00294780092592593</v>
      </c>
      <c r="I2495" s="12" t="n">
        <v>1226</v>
      </c>
      <c r="J2495" s="12" t="n">
        <f aca="false">COUNT(E2495,G2495,I2495)</f>
        <v>1</v>
      </c>
      <c r="K2495" s="13" t="n">
        <f aca="false">MIN(E2495,G2495,I2495)</f>
        <v>1226</v>
      </c>
      <c r="L2495" s="9" t="str">
        <f aca="false">IF(E2495=K2495,"5000m",IF(G2495=K2495,"3000mSC","1500m"))</f>
        <v>1500m</v>
      </c>
      <c r="M2495" s="14" t="n">
        <f aca="false">(D2495&lt;&gt;"")*(D2495&lt;=($E$3*60+$F$3)/86400)+(F2495&lt;&gt;"")*(F2495&lt;=($I$3*60+$J$3)/86400)+(H2495&lt;&gt;"")*(H2495&lt;=($M$3*60+$N$3)/86400)</f>
        <v>0</v>
      </c>
      <c r="N2495" s="16"/>
      <c r="O2495" s="15"/>
    </row>
    <row r="2496" customFormat="false" ht="25.35" hidden="false" customHeight="false" outlineLevel="0" collapsed="false">
      <c r="A2496" s="9" t="n">
        <v>2490</v>
      </c>
      <c r="B2496" s="10" t="s">
        <v>3522</v>
      </c>
      <c r="C2496" s="10" t="s">
        <v>702</v>
      </c>
      <c r="D2496" s="11"/>
      <c r="E2496" s="12"/>
      <c r="F2496" s="11" t="n">
        <v>0.00816655092592593</v>
      </c>
      <c r="G2496" s="12" t="n">
        <v>1227</v>
      </c>
      <c r="H2496" s="11"/>
      <c r="I2496" s="12"/>
      <c r="J2496" s="12" t="n">
        <f aca="false">COUNT(E2496,G2496,I2496)</f>
        <v>1</v>
      </c>
      <c r="K2496" s="13" t="n">
        <f aca="false">MIN(E2496,G2496,I2496)</f>
        <v>1227</v>
      </c>
      <c r="L2496" s="9" t="str">
        <f aca="false">IF(E2496=K2496,"5000m",IF(G2496=K2496,"3000mSC","1500m"))</f>
        <v>3000mSC</v>
      </c>
      <c r="M2496" s="14" t="n">
        <f aca="false">(D2496&lt;&gt;"")*(D2496&lt;=($E$3*60+$F$3)/86400)+(F2496&lt;&gt;"")*(F2496&lt;=($I$3*60+$J$3)/86400)+(H2496&lt;&gt;"")*(H2496&lt;=($M$3*60+$N$3)/86400)</f>
        <v>0</v>
      </c>
      <c r="N2496" s="16"/>
      <c r="O2496" s="15"/>
    </row>
    <row r="2497" customFormat="false" ht="15" hidden="false" customHeight="false" outlineLevel="0" collapsed="false">
      <c r="A2497" s="9" t="n">
        <v>2491</v>
      </c>
      <c r="B2497" s="10" t="s">
        <v>3523</v>
      </c>
      <c r="C2497" s="10" t="s">
        <v>3524</v>
      </c>
      <c r="D2497" s="11"/>
      <c r="E2497" s="12"/>
      <c r="F2497" s="11"/>
      <c r="G2497" s="12"/>
      <c r="H2497" s="11" t="n">
        <v>0.00294791666666667</v>
      </c>
      <c r="I2497" s="12" t="n">
        <v>1227</v>
      </c>
      <c r="J2497" s="12" t="n">
        <f aca="false">COUNT(E2497,G2497,I2497)</f>
        <v>1</v>
      </c>
      <c r="K2497" s="13" t="n">
        <f aca="false">MIN(E2497,G2497,I2497)</f>
        <v>1227</v>
      </c>
      <c r="L2497" s="9" t="str">
        <f aca="false">IF(E2497=K2497,"5000m",IF(G2497=K2497,"3000mSC","1500m"))</f>
        <v>1500m</v>
      </c>
      <c r="M2497" s="14" t="n">
        <f aca="false">(D2497&lt;&gt;"")*(D2497&lt;=($E$3*60+$F$3)/86400)+(F2497&lt;&gt;"")*(F2497&lt;=($I$3*60+$J$3)/86400)+(H2497&lt;&gt;"")*(H2497&lt;=($M$3*60+$N$3)/86400)</f>
        <v>0</v>
      </c>
      <c r="N2497" s="16"/>
      <c r="O2497" s="15"/>
    </row>
    <row r="2498" customFormat="false" ht="25.35" hidden="false" customHeight="false" outlineLevel="0" collapsed="false">
      <c r="A2498" s="9" t="n">
        <v>2492</v>
      </c>
      <c r="B2498" s="10" t="s">
        <v>3525</v>
      </c>
      <c r="C2498" s="10" t="s">
        <v>2528</v>
      </c>
      <c r="D2498" s="11"/>
      <c r="E2498" s="12"/>
      <c r="F2498" s="11" t="n">
        <v>0.00817581018518519</v>
      </c>
      <c r="G2498" s="12" t="n">
        <v>1228</v>
      </c>
      <c r="H2498" s="11"/>
      <c r="I2498" s="12"/>
      <c r="J2498" s="12" t="n">
        <f aca="false">COUNT(E2498,G2498,I2498)</f>
        <v>1</v>
      </c>
      <c r="K2498" s="13" t="n">
        <f aca="false">MIN(E2498,G2498,I2498)</f>
        <v>1228</v>
      </c>
      <c r="L2498" s="9" t="str">
        <f aca="false">IF(E2498=K2498,"5000m",IF(G2498=K2498,"3000mSC","1500m"))</f>
        <v>3000mSC</v>
      </c>
      <c r="M2498" s="14" t="n">
        <f aca="false">(D2498&lt;&gt;"")*(D2498&lt;=($E$3*60+$F$3)/86400)+(F2498&lt;&gt;"")*(F2498&lt;=($I$3*60+$J$3)/86400)+(H2498&lt;&gt;"")*(H2498&lt;=($M$3*60+$N$3)/86400)</f>
        <v>0</v>
      </c>
      <c r="N2498" s="16"/>
      <c r="O2498" s="15"/>
    </row>
    <row r="2499" customFormat="false" ht="15" hidden="false" customHeight="false" outlineLevel="0" collapsed="false">
      <c r="A2499" s="9" t="n">
        <v>2493</v>
      </c>
      <c r="B2499" s="10" t="s">
        <v>3526</v>
      </c>
      <c r="C2499" s="10" t="s">
        <v>79</v>
      </c>
      <c r="D2499" s="11" t="n">
        <v>0.0110665509259259</v>
      </c>
      <c r="E2499" s="12" t="n">
        <v>1229</v>
      </c>
      <c r="F2499" s="11"/>
      <c r="G2499" s="12"/>
      <c r="H2499" s="11"/>
      <c r="I2499" s="12"/>
      <c r="J2499" s="12" t="n">
        <f aca="false">COUNT(E2499,G2499,I2499)</f>
        <v>1</v>
      </c>
      <c r="K2499" s="13" t="n">
        <f aca="false">MIN(E2499,G2499,I2499)</f>
        <v>1229</v>
      </c>
      <c r="L2499" s="9" t="str">
        <f aca="false">IF(E2499=K2499,"5000m",IF(G2499=K2499,"3000mSC","1500m"))</f>
        <v>5000m</v>
      </c>
      <c r="M2499" s="14" t="n">
        <f aca="false">(D2499&lt;&gt;"")*(D2499&lt;=($E$3*60+$F$3)/86400)+(F2499&lt;&gt;"")*(F2499&lt;=($I$3*60+$J$3)/86400)+(H2499&lt;&gt;"")*(H2499&lt;=($M$3*60+$N$3)/86400)</f>
        <v>0</v>
      </c>
      <c r="N2499" s="16"/>
      <c r="O2499" s="15"/>
    </row>
    <row r="2500" customFormat="false" ht="25.35" hidden="false" customHeight="false" outlineLevel="0" collapsed="false">
      <c r="A2500" s="9" t="n">
        <v>2494</v>
      </c>
      <c r="B2500" s="10" t="s">
        <v>3527</v>
      </c>
      <c r="C2500" s="10" t="s">
        <v>3528</v>
      </c>
      <c r="D2500" s="11"/>
      <c r="E2500" s="12"/>
      <c r="F2500" s="11" t="n">
        <v>0.00817731481481481</v>
      </c>
      <c r="G2500" s="12" t="n">
        <v>1229</v>
      </c>
      <c r="H2500" s="11"/>
      <c r="I2500" s="12"/>
      <c r="J2500" s="12" t="n">
        <f aca="false">COUNT(E2500,G2500,I2500)</f>
        <v>1</v>
      </c>
      <c r="K2500" s="13" t="n">
        <f aca="false">MIN(E2500,G2500,I2500)</f>
        <v>1229</v>
      </c>
      <c r="L2500" s="9" t="str">
        <f aca="false">IF(E2500=K2500,"5000m",IF(G2500=K2500,"3000mSC","1500m"))</f>
        <v>3000mSC</v>
      </c>
      <c r="M2500" s="14" t="n">
        <f aca="false">(D2500&lt;&gt;"")*(D2500&lt;=($E$3*60+$F$3)/86400)+(F2500&lt;&gt;"")*(F2500&lt;=($I$3*60+$J$3)/86400)+(H2500&lt;&gt;"")*(H2500&lt;=($M$3*60+$N$3)/86400)</f>
        <v>0</v>
      </c>
      <c r="N2500" s="16"/>
      <c r="O2500" s="15"/>
    </row>
    <row r="2501" customFormat="false" ht="15" hidden="false" customHeight="false" outlineLevel="0" collapsed="false">
      <c r="A2501" s="9" t="n">
        <v>2495</v>
      </c>
      <c r="B2501" s="10" t="s">
        <v>3529</v>
      </c>
      <c r="C2501" s="10" t="s">
        <v>3530</v>
      </c>
      <c r="D2501" s="11"/>
      <c r="E2501" s="12"/>
      <c r="F2501" s="11"/>
      <c r="G2501" s="12"/>
      <c r="H2501" s="11" t="n">
        <v>0.00294826388888889</v>
      </c>
      <c r="I2501" s="12" t="n">
        <v>1229</v>
      </c>
      <c r="J2501" s="12" t="n">
        <f aca="false">COUNT(E2501,G2501,I2501)</f>
        <v>1</v>
      </c>
      <c r="K2501" s="13" t="n">
        <f aca="false">MIN(E2501,G2501,I2501)</f>
        <v>1229</v>
      </c>
      <c r="L2501" s="9" t="str">
        <f aca="false">IF(E2501=K2501,"5000m",IF(G2501=K2501,"3000mSC","1500m"))</f>
        <v>1500m</v>
      </c>
      <c r="M2501" s="14" t="n">
        <f aca="false">(D2501&lt;&gt;"")*(D2501&lt;=($E$3*60+$F$3)/86400)+(F2501&lt;&gt;"")*(F2501&lt;=($I$3*60+$J$3)/86400)+(H2501&lt;&gt;"")*(H2501&lt;=($M$3*60+$N$3)/86400)</f>
        <v>0</v>
      </c>
      <c r="N2501" s="16"/>
      <c r="O2501" s="15"/>
    </row>
    <row r="2502" customFormat="false" ht="15" hidden="false" customHeight="false" outlineLevel="0" collapsed="false">
      <c r="A2502" s="9" t="n">
        <v>2496</v>
      </c>
      <c r="B2502" s="10" t="s">
        <v>3531</v>
      </c>
      <c r="C2502" s="10" t="s">
        <v>1548</v>
      </c>
      <c r="D2502" s="11" t="n">
        <v>0.0110668981481482</v>
      </c>
      <c r="E2502" s="12" t="n">
        <v>1230</v>
      </c>
      <c r="F2502" s="11"/>
      <c r="G2502" s="12"/>
      <c r="H2502" s="11"/>
      <c r="I2502" s="12"/>
      <c r="J2502" s="12" t="n">
        <f aca="false">COUNT(E2502,G2502,I2502)</f>
        <v>1</v>
      </c>
      <c r="K2502" s="13" t="n">
        <f aca="false">MIN(E2502,G2502,I2502)</f>
        <v>1230</v>
      </c>
      <c r="L2502" s="9" t="str">
        <f aca="false">IF(E2502=K2502,"5000m",IF(G2502=K2502,"3000mSC","1500m"))</f>
        <v>5000m</v>
      </c>
      <c r="M2502" s="14" t="n">
        <f aca="false">(D2502&lt;&gt;"")*(D2502&lt;=($E$3*60+$F$3)/86400)+(F2502&lt;&gt;"")*(F2502&lt;=($I$3*60+$J$3)/86400)+(H2502&lt;&gt;"")*(H2502&lt;=($M$3*60+$N$3)/86400)</f>
        <v>0</v>
      </c>
      <c r="N2502" s="16"/>
      <c r="O2502" s="15"/>
    </row>
    <row r="2503" customFormat="false" ht="25.35" hidden="false" customHeight="false" outlineLevel="0" collapsed="false">
      <c r="A2503" s="9" t="n">
        <v>2497</v>
      </c>
      <c r="B2503" s="10" t="s">
        <v>3532</v>
      </c>
      <c r="C2503" s="10" t="s">
        <v>2147</v>
      </c>
      <c r="D2503" s="11"/>
      <c r="E2503" s="12"/>
      <c r="F2503" s="11" t="n">
        <v>0.00817974537037037</v>
      </c>
      <c r="G2503" s="12" t="n">
        <v>1230</v>
      </c>
      <c r="H2503" s="11"/>
      <c r="I2503" s="12"/>
      <c r="J2503" s="12" t="n">
        <f aca="false">COUNT(E2503,G2503,I2503)</f>
        <v>1</v>
      </c>
      <c r="K2503" s="13" t="n">
        <f aca="false">MIN(E2503,G2503,I2503)</f>
        <v>1230</v>
      </c>
      <c r="L2503" s="9" t="str">
        <f aca="false">IF(E2503=K2503,"5000m",IF(G2503=K2503,"3000mSC","1500m"))</f>
        <v>3000mSC</v>
      </c>
      <c r="M2503" s="14" t="n">
        <f aca="false">(D2503&lt;&gt;"")*(D2503&lt;=($E$3*60+$F$3)/86400)+(F2503&lt;&gt;"")*(F2503&lt;=($I$3*60+$J$3)/86400)+(H2503&lt;&gt;"")*(H2503&lt;=($M$3*60+$N$3)/86400)</f>
        <v>0</v>
      </c>
      <c r="N2503" s="16"/>
      <c r="O2503" s="15"/>
    </row>
    <row r="2504" customFormat="false" ht="15" hidden="false" customHeight="false" outlineLevel="0" collapsed="false">
      <c r="A2504" s="9" t="n">
        <v>2498</v>
      </c>
      <c r="B2504" s="10" t="s">
        <v>3533</v>
      </c>
      <c r="C2504" s="10" t="s">
        <v>1040</v>
      </c>
      <c r="D2504" s="11"/>
      <c r="E2504" s="12"/>
      <c r="F2504" s="11"/>
      <c r="G2504" s="12"/>
      <c r="H2504" s="11" t="n">
        <v>0.00294849537037037</v>
      </c>
      <c r="I2504" s="12" t="n">
        <v>1230</v>
      </c>
      <c r="J2504" s="12" t="n">
        <f aca="false">COUNT(E2504,G2504,I2504)</f>
        <v>1</v>
      </c>
      <c r="K2504" s="13" t="n">
        <f aca="false">MIN(E2504,G2504,I2504)</f>
        <v>1230</v>
      </c>
      <c r="L2504" s="9" t="str">
        <f aca="false">IF(E2504=K2504,"5000m",IF(G2504=K2504,"3000mSC","1500m"))</f>
        <v>1500m</v>
      </c>
      <c r="M2504" s="14" t="n">
        <f aca="false">(D2504&lt;&gt;"")*(D2504&lt;=($E$3*60+$F$3)/86400)+(F2504&lt;&gt;"")*(F2504&lt;=($I$3*60+$J$3)/86400)+(H2504&lt;&gt;"")*(H2504&lt;=($M$3*60+$N$3)/86400)</f>
        <v>0</v>
      </c>
      <c r="N2504" s="16"/>
      <c r="O2504" s="15"/>
    </row>
    <row r="2505" customFormat="false" ht="15" hidden="false" customHeight="false" outlineLevel="0" collapsed="false">
      <c r="A2505" s="9" t="n">
        <v>2499</v>
      </c>
      <c r="B2505" s="10" t="s">
        <v>3534</v>
      </c>
      <c r="C2505" s="10" t="s">
        <v>523</v>
      </c>
      <c r="D2505" s="11" t="n">
        <v>0.0110670138888889</v>
      </c>
      <c r="E2505" s="12" t="n">
        <v>1231</v>
      </c>
      <c r="F2505" s="11"/>
      <c r="G2505" s="12"/>
      <c r="H2505" s="11"/>
      <c r="I2505" s="12"/>
      <c r="J2505" s="12" t="n">
        <f aca="false">COUNT(E2505,G2505,I2505)</f>
        <v>1</v>
      </c>
      <c r="K2505" s="13" t="n">
        <f aca="false">MIN(E2505,G2505,I2505)</f>
        <v>1231</v>
      </c>
      <c r="L2505" s="9" t="str">
        <f aca="false">IF(E2505=K2505,"5000m",IF(G2505=K2505,"3000mSC","1500m"))</f>
        <v>5000m</v>
      </c>
      <c r="M2505" s="14" t="n">
        <f aca="false">(D2505&lt;&gt;"")*(D2505&lt;=($E$3*60+$F$3)/86400)+(F2505&lt;&gt;"")*(F2505&lt;=($I$3*60+$J$3)/86400)+(H2505&lt;&gt;"")*(H2505&lt;=($M$3*60+$N$3)/86400)</f>
        <v>0</v>
      </c>
      <c r="N2505" s="16"/>
      <c r="O2505" s="15"/>
    </row>
    <row r="2506" customFormat="false" ht="25.35" hidden="false" customHeight="false" outlineLevel="0" collapsed="false">
      <c r="A2506" s="9" t="n">
        <v>2500</v>
      </c>
      <c r="B2506" s="10" t="s">
        <v>3535</v>
      </c>
      <c r="C2506" s="10" t="s">
        <v>3536</v>
      </c>
      <c r="D2506" s="11"/>
      <c r="E2506" s="12"/>
      <c r="F2506" s="11" t="n">
        <v>0.00819131944444445</v>
      </c>
      <c r="G2506" s="12" t="n">
        <v>1231</v>
      </c>
      <c r="H2506" s="11"/>
      <c r="I2506" s="12"/>
      <c r="J2506" s="12" t="n">
        <f aca="false">COUNT(E2506,G2506,I2506)</f>
        <v>1</v>
      </c>
      <c r="K2506" s="13" t="n">
        <f aca="false">MIN(E2506,G2506,I2506)</f>
        <v>1231</v>
      </c>
      <c r="L2506" s="9" t="str">
        <f aca="false">IF(E2506=K2506,"5000m",IF(G2506=K2506,"3000mSC","1500m"))</f>
        <v>3000mSC</v>
      </c>
      <c r="M2506" s="14" t="n">
        <f aca="false">(D2506&lt;&gt;"")*(D2506&lt;=($E$3*60+$F$3)/86400)+(F2506&lt;&gt;"")*(F2506&lt;=($I$3*60+$J$3)/86400)+(H2506&lt;&gt;"")*(H2506&lt;=($M$3*60+$N$3)/86400)</f>
        <v>0</v>
      </c>
      <c r="N2506" s="16"/>
      <c r="O2506" s="15"/>
    </row>
    <row r="2507" customFormat="false" ht="15" hidden="false" customHeight="false" outlineLevel="0" collapsed="false">
      <c r="A2507" s="9" t="n">
        <v>2501</v>
      </c>
      <c r="B2507" s="10" t="s">
        <v>3537</v>
      </c>
      <c r="C2507" s="10" t="s">
        <v>27</v>
      </c>
      <c r="D2507" s="11"/>
      <c r="E2507" s="12"/>
      <c r="F2507" s="11"/>
      <c r="G2507" s="12"/>
      <c r="H2507" s="11" t="n">
        <v>0.00294872685185185</v>
      </c>
      <c r="I2507" s="12" t="n">
        <v>1231</v>
      </c>
      <c r="J2507" s="12" t="n">
        <f aca="false">COUNT(E2507,G2507,I2507)</f>
        <v>1</v>
      </c>
      <c r="K2507" s="13" t="n">
        <f aca="false">MIN(E2507,G2507,I2507)</f>
        <v>1231</v>
      </c>
      <c r="L2507" s="9" t="str">
        <f aca="false">IF(E2507=K2507,"5000m",IF(G2507=K2507,"3000mSC","1500m"))</f>
        <v>1500m</v>
      </c>
      <c r="M2507" s="14" t="n">
        <f aca="false">(D2507&lt;&gt;"")*(D2507&lt;=($E$3*60+$F$3)/86400)+(F2507&lt;&gt;"")*(F2507&lt;=($I$3*60+$J$3)/86400)+(H2507&lt;&gt;"")*(H2507&lt;=($M$3*60+$N$3)/86400)</f>
        <v>0</v>
      </c>
      <c r="N2507" s="16"/>
      <c r="O2507" s="15"/>
    </row>
    <row r="2508" customFormat="false" ht="25.35" hidden="false" customHeight="false" outlineLevel="0" collapsed="false">
      <c r="A2508" s="9" t="n">
        <v>2502</v>
      </c>
      <c r="B2508" s="10" t="s">
        <v>3538</v>
      </c>
      <c r="C2508" s="10" t="s">
        <v>3539</v>
      </c>
      <c r="D2508" s="11"/>
      <c r="E2508" s="12"/>
      <c r="F2508" s="11" t="n">
        <v>0.00819965277777778</v>
      </c>
      <c r="G2508" s="12" t="n">
        <v>1232</v>
      </c>
      <c r="H2508" s="11"/>
      <c r="I2508" s="12"/>
      <c r="J2508" s="12" t="n">
        <f aca="false">COUNT(E2508,G2508,I2508)</f>
        <v>1</v>
      </c>
      <c r="K2508" s="13" t="n">
        <f aca="false">MIN(E2508,G2508,I2508)</f>
        <v>1232</v>
      </c>
      <c r="L2508" s="9" t="str">
        <f aca="false">IF(E2508=K2508,"5000m",IF(G2508=K2508,"3000mSC","1500m"))</f>
        <v>3000mSC</v>
      </c>
      <c r="M2508" s="14" t="n">
        <f aca="false">(D2508&lt;&gt;"")*(D2508&lt;=($E$3*60+$F$3)/86400)+(F2508&lt;&gt;"")*(F2508&lt;=($I$3*60+$J$3)/86400)+(H2508&lt;&gt;"")*(H2508&lt;=($M$3*60+$N$3)/86400)</f>
        <v>0</v>
      </c>
      <c r="N2508" s="16"/>
      <c r="O2508" s="15"/>
    </row>
    <row r="2509" customFormat="false" ht="15" hidden="false" customHeight="false" outlineLevel="0" collapsed="false">
      <c r="A2509" s="9" t="n">
        <v>2503</v>
      </c>
      <c r="B2509" s="10" t="s">
        <v>3540</v>
      </c>
      <c r="C2509" s="10" t="s">
        <v>3480</v>
      </c>
      <c r="D2509" s="11"/>
      <c r="E2509" s="12"/>
      <c r="F2509" s="11"/>
      <c r="G2509" s="12"/>
      <c r="H2509" s="11" t="n">
        <v>0.00294907407407407</v>
      </c>
      <c r="I2509" s="12" t="n">
        <v>1232</v>
      </c>
      <c r="J2509" s="12" t="n">
        <f aca="false">COUNT(E2509,G2509,I2509)</f>
        <v>1</v>
      </c>
      <c r="K2509" s="13" t="n">
        <f aca="false">MIN(E2509,G2509,I2509)</f>
        <v>1232</v>
      </c>
      <c r="L2509" s="9" t="str">
        <f aca="false">IF(E2509=K2509,"5000m",IF(G2509=K2509,"3000mSC","1500m"))</f>
        <v>1500m</v>
      </c>
      <c r="M2509" s="14" t="n">
        <f aca="false">(D2509&lt;&gt;"")*(D2509&lt;=($E$3*60+$F$3)/86400)+(F2509&lt;&gt;"")*(F2509&lt;=($I$3*60+$J$3)/86400)+(H2509&lt;&gt;"")*(H2509&lt;=($M$3*60+$N$3)/86400)</f>
        <v>0</v>
      </c>
      <c r="N2509" s="16"/>
      <c r="O2509" s="15"/>
    </row>
    <row r="2510" customFormat="false" ht="15" hidden="false" customHeight="false" outlineLevel="0" collapsed="false">
      <c r="A2510" s="9" t="n">
        <v>2504</v>
      </c>
      <c r="B2510" s="10" t="s">
        <v>3541</v>
      </c>
      <c r="C2510" s="10" t="s">
        <v>3542</v>
      </c>
      <c r="D2510" s="11" t="n">
        <v>0.0110694444444444</v>
      </c>
      <c r="E2510" s="12" t="n">
        <v>1233</v>
      </c>
      <c r="F2510" s="11"/>
      <c r="G2510" s="12"/>
      <c r="H2510" s="11"/>
      <c r="I2510" s="12"/>
      <c r="J2510" s="12" t="n">
        <f aca="false">COUNT(E2510,G2510,I2510)</f>
        <v>1</v>
      </c>
      <c r="K2510" s="13" t="n">
        <f aca="false">MIN(E2510,G2510,I2510)</f>
        <v>1233</v>
      </c>
      <c r="L2510" s="9" t="str">
        <f aca="false">IF(E2510=K2510,"5000m",IF(G2510=K2510,"3000mSC","1500m"))</f>
        <v>5000m</v>
      </c>
      <c r="M2510" s="14" t="n">
        <f aca="false">(D2510&lt;&gt;"")*(D2510&lt;=($E$3*60+$F$3)/86400)+(F2510&lt;&gt;"")*(F2510&lt;=($I$3*60+$J$3)/86400)+(H2510&lt;&gt;"")*(H2510&lt;=($M$3*60+$N$3)/86400)</f>
        <v>0</v>
      </c>
      <c r="N2510" s="16"/>
      <c r="O2510" s="15"/>
    </row>
    <row r="2511" customFormat="false" ht="25.35" hidden="false" customHeight="false" outlineLevel="0" collapsed="false">
      <c r="A2511" s="9" t="n">
        <v>2505</v>
      </c>
      <c r="B2511" s="10" t="s">
        <v>3543</v>
      </c>
      <c r="C2511" s="10" t="s">
        <v>2049</v>
      </c>
      <c r="D2511" s="11"/>
      <c r="E2511" s="12"/>
      <c r="F2511" s="11" t="n">
        <v>0.00820150462962963</v>
      </c>
      <c r="G2511" s="12" t="n">
        <v>1233</v>
      </c>
      <c r="H2511" s="11"/>
      <c r="I2511" s="12"/>
      <c r="J2511" s="12" t="n">
        <f aca="false">COUNT(E2511,G2511,I2511)</f>
        <v>1</v>
      </c>
      <c r="K2511" s="13" t="n">
        <f aca="false">MIN(E2511,G2511,I2511)</f>
        <v>1233</v>
      </c>
      <c r="L2511" s="9" t="str">
        <f aca="false">IF(E2511=K2511,"5000m",IF(G2511=K2511,"3000mSC","1500m"))</f>
        <v>3000mSC</v>
      </c>
      <c r="M2511" s="14" t="n">
        <f aca="false">(D2511&lt;&gt;"")*(D2511&lt;=($E$3*60+$F$3)/86400)+(F2511&lt;&gt;"")*(F2511&lt;=($I$3*60+$J$3)/86400)+(H2511&lt;&gt;"")*(H2511&lt;=($M$3*60+$N$3)/86400)</f>
        <v>0</v>
      </c>
      <c r="N2511" s="16"/>
      <c r="O2511" s="15"/>
    </row>
    <row r="2512" customFormat="false" ht="15" hidden="false" customHeight="false" outlineLevel="0" collapsed="false">
      <c r="A2512" s="9" t="n">
        <v>2506</v>
      </c>
      <c r="B2512" s="10" t="s">
        <v>3544</v>
      </c>
      <c r="C2512" s="10" t="s">
        <v>1993</v>
      </c>
      <c r="D2512" s="11"/>
      <c r="E2512" s="12"/>
      <c r="F2512" s="11"/>
      <c r="G2512" s="12"/>
      <c r="H2512" s="11" t="n">
        <v>0.00294907407407407</v>
      </c>
      <c r="I2512" s="12" t="n">
        <v>1233</v>
      </c>
      <c r="J2512" s="12" t="n">
        <f aca="false">COUNT(E2512,G2512,I2512)</f>
        <v>1</v>
      </c>
      <c r="K2512" s="13" t="n">
        <f aca="false">MIN(E2512,G2512,I2512)</f>
        <v>1233</v>
      </c>
      <c r="L2512" s="9" t="str">
        <f aca="false">IF(E2512=K2512,"5000m",IF(G2512=K2512,"3000mSC","1500m"))</f>
        <v>1500m</v>
      </c>
      <c r="M2512" s="14" t="n">
        <f aca="false">(D2512&lt;&gt;"")*(D2512&lt;=($E$3*60+$F$3)/86400)+(F2512&lt;&gt;"")*(F2512&lt;=($I$3*60+$J$3)/86400)+(H2512&lt;&gt;"")*(H2512&lt;=($M$3*60+$N$3)/86400)</f>
        <v>0</v>
      </c>
      <c r="N2512" s="16"/>
      <c r="O2512" s="15"/>
    </row>
    <row r="2513" customFormat="false" ht="15" hidden="false" customHeight="false" outlineLevel="0" collapsed="false">
      <c r="A2513" s="9" t="n">
        <v>2507</v>
      </c>
      <c r="B2513" s="10" t="s">
        <v>3545</v>
      </c>
      <c r="C2513" s="10" t="s">
        <v>1458</v>
      </c>
      <c r="D2513" s="11" t="n">
        <v>0.0110696759259259</v>
      </c>
      <c r="E2513" s="12" t="n">
        <v>1234</v>
      </c>
      <c r="F2513" s="11"/>
      <c r="G2513" s="12"/>
      <c r="H2513" s="11"/>
      <c r="I2513" s="12"/>
      <c r="J2513" s="12" t="n">
        <f aca="false">COUNT(E2513,G2513,I2513)</f>
        <v>1</v>
      </c>
      <c r="K2513" s="13" t="n">
        <f aca="false">MIN(E2513,G2513,I2513)</f>
        <v>1234</v>
      </c>
      <c r="L2513" s="9" t="str">
        <f aca="false">IF(E2513=K2513,"5000m",IF(G2513=K2513,"3000mSC","1500m"))</f>
        <v>5000m</v>
      </c>
      <c r="M2513" s="14" t="n">
        <f aca="false">(D2513&lt;&gt;"")*(D2513&lt;=($E$3*60+$F$3)/86400)+(F2513&lt;&gt;"")*(F2513&lt;=($I$3*60+$J$3)/86400)+(H2513&lt;&gt;"")*(H2513&lt;=($M$3*60+$N$3)/86400)</f>
        <v>0</v>
      </c>
      <c r="N2513" s="16"/>
      <c r="O2513" s="15"/>
    </row>
    <row r="2514" customFormat="false" ht="25.35" hidden="false" customHeight="false" outlineLevel="0" collapsed="false">
      <c r="A2514" s="9" t="n">
        <v>2508</v>
      </c>
      <c r="B2514" s="10" t="s">
        <v>3546</v>
      </c>
      <c r="C2514" s="10" t="s">
        <v>3547</v>
      </c>
      <c r="D2514" s="11"/>
      <c r="E2514" s="12"/>
      <c r="F2514" s="11" t="n">
        <v>0.00820150462962963</v>
      </c>
      <c r="G2514" s="12" t="n">
        <v>1234</v>
      </c>
      <c r="H2514" s="11"/>
      <c r="I2514" s="12"/>
      <c r="J2514" s="12" t="n">
        <f aca="false">COUNT(E2514,G2514,I2514)</f>
        <v>1</v>
      </c>
      <c r="K2514" s="13" t="n">
        <f aca="false">MIN(E2514,G2514,I2514)</f>
        <v>1234</v>
      </c>
      <c r="L2514" s="9" t="str">
        <f aca="false">IF(E2514=K2514,"5000m",IF(G2514=K2514,"3000mSC","1500m"))</f>
        <v>3000mSC</v>
      </c>
      <c r="M2514" s="14" t="n">
        <f aca="false">(D2514&lt;&gt;"")*(D2514&lt;=($E$3*60+$F$3)/86400)+(F2514&lt;&gt;"")*(F2514&lt;=($I$3*60+$J$3)/86400)+(H2514&lt;&gt;"")*(H2514&lt;=($M$3*60+$N$3)/86400)</f>
        <v>0</v>
      </c>
      <c r="N2514" s="16"/>
      <c r="O2514" s="15"/>
    </row>
    <row r="2515" customFormat="false" ht="15" hidden="false" customHeight="false" outlineLevel="0" collapsed="false">
      <c r="A2515" s="9" t="n">
        <v>2509</v>
      </c>
      <c r="B2515" s="10" t="s">
        <v>3548</v>
      </c>
      <c r="C2515" s="10" t="s">
        <v>1849</v>
      </c>
      <c r="D2515" s="11" t="n">
        <v>0.0110702546296296</v>
      </c>
      <c r="E2515" s="12" t="n">
        <v>1235</v>
      </c>
      <c r="F2515" s="11"/>
      <c r="G2515" s="12"/>
      <c r="H2515" s="11"/>
      <c r="I2515" s="12"/>
      <c r="J2515" s="12" t="n">
        <f aca="false">COUNT(E2515,G2515,I2515)</f>
        <v>1</v>
      </c>
      <c r="K2515" s="13" t="n">
        <f aca="false">MIN(E2515,G2515,I2515)</f>
        <v>1235</v>
      </c>
      <c r="L2515" s="9" t="str">
        <f aca="false">IF(E2515=K2515,"5000m",IF(G2515=K2515,"3000mSC","1500m"))</f>
        <v>5000m</v>
      </c>
      <c r="M2515" s="14" t="n">
        <f aca="false">(D2515&lt;&gt;"")*(D2515&lt;=($E$3*60+$F$3)/86400)+(F2515&lt;&gt;"")*(F2515&lt;=($I$3*60+$J$3)/86400)+(H2515&lt;&gt;"")*(H2515&lt;=($M$3*60+$N$3)/86400)</f>
        <v>0</v>
      </c>
      <c r="N2515" s="16"/>
      <c r="O2515" s="15"/>
    </row>
    <row r="2516" customFormat="false" ht="25.35" hidden="false" customHeight="false" outlineLevel="0" collapsed="false">
      <c r="A2516" s="9" t="n">
        <v>2510</v>
      </c>
      <c r="B2516" s="10" t="s">
        <v>3549</v>
      </c>
      <c r="C2516" s="10" t="s">
        <v>988</v>
      </c>
      <c r="D2516" s="11"/>
      <c r="E2516" s="12"/>
      <c r="F2516" s="11" t="n">
        <v>0.00820231481481482</v>
      </c>
      <c r="G2516" s="12" t="n">
        <v>1235</v>
      </c>
      <c r="H2516" s="11"/>
      <c r="I2516" s="12"/>
      <c r="J2516" s="12" t="n">
        <f aca="false">COUNT(E2516,G2516,I2516)</f>
        <v>1</v>
      </c>
      <c r="K2516" s="13" t="n">
        <f aca="false">MIN(E2516,G2516,I2516)</f>
        <v>1235</v>
      </c>
      <c r="L2516" s="9" t="str">
        <f aca="false">IF(E2516=K2516,"5000m",IF(G2516=K2516,"3000mSC","1500m"))</f>
        <v>3000mSC</v>
      </c>
      <c r="M2516" s="14" t="n">
        <f aca="false">(D2516&lt;&gt;"")*(D2516&lt;=($E$3*60+$F$3)/86400)+(F2516&lt;&gt;"")*(F2516&lt;=($I$3*60+$J$3)/86400)+(H2516&lt;&gt;"")*(H2516&lt;=($M$3*60+$N$3)/86400)</f>
        <v>0</v>
      </c>
      <c r="N2516" s="16"/>
      <c r="O2516" s="15"/>
    </row>
    <row r="2517" customFormat="false" ht="15" hidden="false" customHeight="false" outlineLevel="0" collapsed="false">
      <c r="A2517" s="9" t="n">
        <v>2511</v>
      </c>
      <c r="B2517" s="10" t="s">
        <v>3550</v>
      </c>
      <c r="C2517" s="10" t="s">
        <v>3551</v>
      </c>
      <c r="D2517" s="11"/>
      <c r="E2517" s="12"/>
      <c r="F2517" s="11"/>
      <c r="G2517" s="12"/>
      <c r="H2517" s="11" t="n">
        <v>0.00294930555555556</v>
      </c>
      <c r="I2517" s="12" t="n">
        <v>1235</v>
      </c>
      <c r="J2517" s="12" t="n">
        <f aca="false">COUNT(E2517,G2517,I2517)</f>
        <v>1</v>
      </c>
      <c r="K2517" s="13" t="n">
        <f aca="false">MIN(E2517,G2517,I2517)</f>
        <v>1235</v>
      </c>
      <c r="L2517" s="9" t="str">
        <f aca="false">IF(E2517=K2517,"5000m",IF(G2517=K2517,"3000mSC","1500m"))</f>
        <v>1500m</v>
      </c>
      <c r="M2517" s="14" t="n">
        <f aca="false">(D2517&lt;&gt;"")*(D2517&lt;=($E$3*60+$F$3)/86400)+(F2517&lt;&gt;"")*(F2517&lt;=($I$3*60+$J$3)/86400)+(H2517&lt;&gt;"")*(H2517&lt;=($M$3*60+$N$3)/86400)</f>
        <v>0</v>
      </c>
      <c r="N2517" s="16"/>
      <c r="O2517" s="15"/>
    </row>
    <row r="2518" customFormat="false" ht="25.35" hidden="false" customHeight="false" outlineLevel="0" collapsed="false">
      <c r="A2518" s="9" t="n">
        <v>2512</v>
      </c>
      <c r="B2518" s="10" t="s">
        <v>3552</v>
      </c>
      <c r="C2518" s="10" t="s">
        <v>3553</v>
      </c>
      <c r="D2518" s="11"/>
      <c r="E2518" s="12"/>
      <c r="F2518" s="11" t="n">
        <v>0.00820717592592593</v>
      </c>
      <c r="G2518" s="12" t="n">
        <v>1236</v>
      </c>
      <c r="H2518" s="11"/>
      <c r="I2518" s="12"/>
      <c r="J2518" s="12" t="n">
        <f aca="false">COUNT(E2518,G2518,I2518)</f>
        <v>1</v>
      </c>
      <c r="K2518" s="13" t="n">
        <f aca="false">MIN(E2518,G2518,I2518)</f>
        <v>1236</v>
      </c>
      <c r="L2518" s="9" t="str">
        <f aca="false">IF(E2518=K2518,"5000m",IF(G2518=K2518,"3000mSC","1500m"))</f>
        <v>3000mSC</v>
      </c>
      <c r="M2518" s="14" t="n">
        <f aca="false">(D2518&lt;&gt;"")*(D2518&lt;=($E$3*60+$F$3)/86400)+(F2518&lt;&gt;"")*(F2518&lt;=($I$3*60+$J$3)/86400)+(H2518&lt;&gt;"")*(H2518&lt;=($M$3*60+$N$3)/86400)</f>
        <v>0</v>
      </c>
      <c r="N2518" s="16"/>
      <c r="O2518" s="15"/>
    </row>
    <row r="2519" customFormat="false" ht="15" hidden="false" customHeight="false" outlineLevel="0" collapsed="false">
      <c r="A2519" s="9" t="n">
        <v>2513</v>
      </c>
      <c r="B2519" s="10" t="s">
        <v>3554</v>
      </c>
      <c r="C2519" s="10" t="s">
        <v>3555</v>
      </c>
      <c r="D2519" s="11"/>
      <c r="E2519" s="12"/>
      <c r="F2519" s="11"/>
      <c r="G2519" s="12"/>
      <c r="H2519" s="11" t="n">
        <v>0.00294988425925926</v>
      </c>
      <c r="I2519" s="12" t="n">
        <v>1236</v>
      </c>
      <c r="J2519" s="12" t="n">
        <f aca="false">COUNT(E2519,G2519,I2519)</f>
        <v>1</v>
      </c>
      <c r="K2519" s="13" t="n">
        <f aca="false">MIN(E2519,G2519,I2519)</f>
        <v>1236</v>
      </c>
      <c r="L2519" s="9" t="str">
        <f aca="false">IF(E2519=K2519,"5000m",IF(G2519=K2519,"3000mSC","1500m"))</f>
        <v>1500m</v>
      </c>
      <c r="M2519" s="14" t="n">
        <f aca="false">(D2519&lt;&gt;"")*(D2519&lt;=($E$3*60+$F$3)/86400)+(F2519&lt;&gt;"")*(F2519&lt;=($I$3*60+$J$3)/86400)+(H2519&lt;&gt;"")*(H2519&lt;=($M$3*60+$N$3)/86400)</f>
        <v>0</v>
      </c>
      <c r="N2519" s="16"/>
      <c r="O2519" s="15"/>
    </row>
    <row r="2520" customFormat="false" ht="25.35" hidden="false" customHeight="false" outlineLevel="0" collapsed="false">
      <c r="A2520" s="9" t="n">
        <v>2514</v>
      </c>
      <c r="B2520" s="10" t="s">
        <v>3556</v>
      </c>
      <c r="C2520" s="10" t="s">
        <v>1775</v>
      </c>
      <c r="D2520" s="11"/>
      <c r="E2520" s="12"/>
      <c r="F2520" s="11" t="n">
        <v>0.00821180555555556</v>
      </c>
      <c r="G2520" s="12" t="n">
        <v>1237</v>
      </c>
      <c r="H2520" s="11"/>
      <c r="I2520" s="12"/>
      <c r="J2520" s="12" t="n">
        <f aca="false">COUNT(E2520,G2520,I2520)</f>
        <v>1</v>
      </c>
      <c r="K2520" s="13" t="n">
        <f aca="false">MIN(E2520,G2520,I2520)</f>
        <v>1237</v>
      </c>
      <c r="L2520" s="9" t="str">
        <f aca="false">IF(E2520=K2520,"5000m",IF(G2520=K2520,"3000mSC","1500m"))</f>
        <v>3000mSC</v>
      </c>
      <c r="M2520" s="14" t="n">
        <f aca="false">(D2520&lt;&gt;"")*(D2520&lt;=($E$3*60+$F$3)/86400)+(F2520&lt;&gt;"")*(F2520&lt;=($I$3*60+$J$3)/86400)+(H2520&lt;&gt;"")*(H2520&lt;=($M$3*60+$N$3)/86400)</f>
        <v>0</v>
      </c>
      <c r="N2520" s="16"/>
      <c r="O2520" s="15"/>
    </row>
    <row r="2521" customFormat="false" ht="15" hidden="false" customHeight="false" outlineLevel="0" collapsed="false">
      <c r="A2521" s="9" t="n">
        <v>2515</v>
      </c>
      <c r="B2521" s="10" t="s">
        <v>3557</v>
      </c>
      <c r="C2521" s="10" t="s">
        <v>120</v>
      </c>
      <c r="D2521" s="11" t="n">
        <v>0.0110721064814815</v>
      </c>
      <c r="E2521" s="12" t="n">
        <v>1238</v>
      </c>
      <c r="F2521" s="11"/>
      <c r="G2521" s="12"/>
      <c r="H2521" s="11"/>
      <c r="I2521" s="12"/>
      <c r="J2521" s="12" t="n">
        <f aca="false">COUNT(E2521,G2521,I2521)</f>
        <v>1</v>
      </c>
      <c r="K2521" s="13" t="n">
        <f aca="false">MIN(E2521,G2521,I2521)</f>
        <v>1238</v>
      </c>
      <c r="L2521" s="9" t="str">
        <f aca="false">IF(E2521=K2521,"5000m",IF(G2521=K2521,"3000mSC","1500m"))</f>
        <v>5000m</v>
      </c>
      <c r="M2521" s="14" t="n">
        <f aca="false">(D2521&lt;&gt;"")*(D2521&lt;=($E$3*60+$F$3)/86400)+(F2521&lt;&gt;"")*(F2521&lt;=($I$3*60+$J$3)/86400)+(H2521&lt;&gt;"")*(H2521&lt;=($M$3*60+$N$3)/86400)</f>
        <v>0</v>
      </c>
      <c r="N2521" s="16"/>
      <c r="O2521" s="15"/>
    </row>
    <row r="2522" customFormat="false" ht="25.35" hidden="false" customHeight="false" outlineLevel="0" collapsed="false">
      <c r="A2522" s="9" t="n">
        <v>2516</v>
      </c>
      <c r="B2522" s="10" t="s">
        <v>3558</v>
      </c>
      <c r="C2522" s="10" t="s">
        <v>3559</v>
      </c>
      <c r="D2522" s="11"/>
      <c r="E2522" s="12"/>
      <c r="F2522" s="11" t="n">
        <v>0.0082125</v>
      </c>
      <c r="G2522" s="12" t="n">
        <v>1238</v>
      </c>
      <c r="H2522" s="11"/>
      <c r="I2522" s="12"/>
      <c r="J2522" s="12" t="n">
        <f aca="false">COUNT(E2522,G2522,I2522)</f>
        <v>1</v>
      </c>
      <c r="K2522" s="13" t="n">
        <f aca="false">MIN(E2522,G2522,I2522)</f>
        <v>1238</v>
      </c>
      <c r="L2522" s="9" t="str">
        <f aca="false">IF(E2522=K2522,"5000m",IF(G2522=K2522,"3000mSC","1500m"))</f>
        <v>3000mSC</v>
      </c>
      <c r="M2522" s="14" t="n">
        <f aca="false">(D2522&lt;&gt;"")*(D2522&lt;=($E$3*60+$F$3)/86400)+(F2522&lt;&gt;"")*(F2522&lt;=($I$3*60+$J$3)/86400)+(H2522&lt;&gt;"")*(H2522&lt;=($M$3*60+$N$3)/86400)</f>
        <v>0</v>
      </c>
      <c r="N2522" s="16"/>
      <c r="O2522" s="15"/>
    </row>
    <row r="2523" customFormat="false" ht="15" hidden="false" customHeight="false" outlineLevel="0" collapsed="false">
      <c r="A2523" s="9" t="n">
        <v>2517</v>
      </c>
      <c r="B2523" s="10" t="s">
        <v>3560</v>
      </c>
      <c r="C2523" s="10" t="s">
        <v>3480</v>
      </c>
      <c r="D2523" s="11"/>
      <c r="E2523" s="12"/>
      <c r="F2523" s="11"/>
      <c r="G2523" s="12"/>
      <c r="H2523" s="11" t="n">
        <v>0.00295011574074074</v>
      </c>
      <c r="I2523" s="12" t="n">
        <v>1238</v>
      </c>
      <c r="J2523" s="12" t="n">
        <f aca="false">COUNT(E2523,G2523,I2523)</f>
        <v>1</v>
      </c>
      <c r="K2523" s="13" t="n">
        <f aca="false">MIN(E2523,G2523,I2523)</f>
        <v>1238</v>
      </c>
      <c r="L2523" s="9" t="str">
        <f aca="false">IF(E2523=K2523,"5000m",IF(G2523=K2523,"3000mSC","1500m"))</f>
        <v>1500m</v>
      </c>
      <c r="M2523" s="14" t="n">
        <f aca="false">(D2523&lt;&gt;"")*(D2523&lt;=($E$3*60+$F$3)/86400)+(F2523&lt;&gt;"")*(F2523&lt;=($I$3*60+$J$3)/86400)+(H2523&lt;&gt;"")*(H2523&lt;=($M$3*60+$N$3)/86400)</f>
        <v>0</v>
      </c>
      <c r="N2523" s="16"/>
      <c r="O2523" s="15"/>
    </row>
    <row r="2524" customFormat="false" ht="25.35" hidden="false" customHeight="false" outlineLevel="0" collapsed="false">
      <c r="A2524" s="9" t="n">
        <v>2518</v>
      </c>
      <c r="B2524" s="10" t="s">
        <v>3561</v>
      </c>
      <c r="C2524" s="10" t="s">
        <v>3562</v>
      </c>
      <c r="D2524" s="11"/>
      <c r="E2524" s="12"/>
      <c r="F2524" s="11" t="n">
        <v>0.00821261574074074</v>
      </c>
      <c r="G2524" s="12" t="n">
        <v>1239</v>
      </c>
      <c r="H2524" s="11"/>
      <c r="I2524" s="12"/>
      <c r="J2524" s="12" t="n">
        <f aca="false">COUNT(E2524,G2524,I2524)</f>
        <v>1</v>
      </c>
      <c r="K2524" s="13" t="n">
        <f aca="false">MIN(E2524,G2524,I2524)</f>
        <v>1239</v>
      </c>
      <c r="L2524" s="9" t="str">
        <f aca="false">IF(E2524=K2524,"5000m",IF(G2524=K2524,"3000mSC","1500m"))</f>
        <v>3000mSC</v>
      </c>
      <c r="M2524" s="14" t="n">
        <f aca="false">(D2524&lt;&gt;"")*(D2524&lt;=($E$3*60+$F$3)/86400)+(F2524&lt;&gt;"")*(F2524&lt;=($I$3*60+$J$3)/86400)+(H2524&lt;&gt;"")*(H2524&lt;=($M$3*60+$N$3)/86400)</f>
        <v>0</v>
      </c>
      <c r="N2524" s="16"/>
      <c r="O2524" s="15"/>
    </row>
    <row r="2525" customFormat="false" ht="25.35" hidden="false" customHeight="false" outlineLevel="0" collapsed="false">
      <c r="A2525" s="9" t="n">
        <v>2519</v>
      </c>
      <c r="B2525" s="10" t="s">
        <v>3563</v>
      </c>
      <c r="C2525" s="10" t="s">
        <v>3564</v>
      </c>
      <c r="D2525" s="11"/>
      <c r="E2525" s="12"/>
      <c r="F2525" s="11" t="n">
        <v>0.00821331018518519</v>
      </c>
      <c r="G2525" s="12" t="n">
        <v>1240</v>
      </c>
      <c r="H2525" s="11"/>
      <c r="I2525" s="12"/>
      <c r="J2525" s="12" t="n">
        <f aca="false">COUNT(E2525,G2525,I2525)</f>
        <v>1</v>
      </c>
      <c r="K2525" s="13" t="n">
        <f aca="false">MIN(E2525,G2525,I2525)</f>
        <v>1240</v>
      </c>
      <c r="L2525" s="9" t="str">
        <f aca="false">IF(E2525=K2525,"5000m",IF(G2525=K2525,"3000mSC","1500m"))</f>
        <v>3000mSC</v>
      </c>
      <c r="M2525" s="14" t="n">
        <f aca="false">(D2525&lt;&gt;"")*(D2525&lt;=($E$3*60+$F$3)/86400)+(F2525&lt;&gt;"")*(F2525&lt;=($I$3*60+$J$3)/86400)+(H2525&lt;&gt;"")*(H2525&lt;=($M$3*60+$N$3)/86400)</f>
        <v>0</v>
      </c>
      <c r="N2525" s="16"/>
      <c r="O2525" s="15"/>
    </row>
    <row r="2526" customFormat="false" ht="15" hidden="false" customHeight="false" outlineLevel="0" collapsed="false">
      <c r="A2526" s="9" t="n">
        <v>2520</v>
      </c>
      <c r="B2526" s="10" t="s">
        <v>3565</v>
      </c>
      <c r="C2526" s="10" t="s">
        <v>62</v>
      </c>
      <c r="D2526" s="11"/>
      <c r="E2526" s="12"/>
      <c r="F2526" s="11"/>
      <c r="G2526" s="12"/>
      <c r="H2526" s="11" t="n">
        <v>0.00295023148148148</v>
      </c>
      <c r="I2526" s="12" t="n">
        <v>1240</v>
      </c>
      <c r="J2526" s="12" t="n">
        <f aca="false">COUNT(E2526,G2526,I2526)</f>
        <v>1</v>
      </c>
      <c r="K2526" s="13" t="n">
        <f aca="false">MIN(E2526,G2526,I2526)</f>
        <v>1240</v>
      </c>
      <c r="L2526" s="9" t="str">
        <f aca="false">IF(E2526=K2526,"5000m",IF(G2526=K2526,"3000mSC","1500m"))</f>
        <v>1500m</v>
      </c>
      <c r="M2526" s="14" t="n">
        <f aca="false">(D2526&lt;&gt;"")*(D2526&lt;=($E$3*60+$F$3)/86400)+(F2526&lt;&gt;"")*(F2526&lt;=($I$3*60+$J$3)/86400)+(H2526&lt;&gt;"")*(H2526&lt;=($M$3*60+$N$3)/86400)</f>
        <v>0</v>
      </c>
      <c r="N2526" s="16"/>
      <c r="O2526" s="15"/>
    </row>
    <row r="2527" customFormat="false" ht="25.35" hidden="false" customHeight="false" outlineLevel="0" collapsed="false">
      <c r="A2527" s="9" t="n">
        <v>2521</v>
      </c>
      <c r="B2527" s="10" t="s">
        <v>3566</v>
      </c>
      <c r="C2527" s="10" t="s">
        <v>3567</v>
      </c>
      <c r="D2527" s="11"/>
      <c r="E2527" s="12"/>
      <c r="F2527" s="11" t="n">
        <v>0.00821377314814815</v>
      </c>
      <c r="G2527" s="12" t="n">
        <v>1241</v>
      </c>
      <c r="H2527" s="11"/>
      <c r="I2527" s="12"/>
      <c r="J2527" s="12" t="n">
        <f aca="false">COUNT(E2527,G2527,I2527)</f>
        <v>1</v>
      </c>
      <c r="K2527" s="13" t="n">
        <f aca="false">MIN(E2527,G2527,I2527)</f>
        <v>1241</v>
      </c>
      <c r="L2527" s="9" t="str">
        <f aca="false">IF(E2527=K2527,"5000m",IF(G2527=K2527,"3000mSC","1500m"))</f>
        <v>3000mSC</v>
      </c>
      <c r="M2527" s="14" t="n">
        <f aca="false">(D2527&lt;&gt;"")*(D2527&lt;=($E$3*60+$F$3)/86400)+(F2527&lt;&gt;"")*(F2527&lt;=($I$3*60+$J$3)/86400)+(H2527&lt;&gt;"")*(H2527&lt;=($M$3*60+$N$3)/86400)</f>
        <v>0</v>
      </c>
      <c r="N2527" s="16"/>
      <c r="O2527" s="15"/>
    </row>
    <row r="2528" customFormat="false" ht="15" hidden="false" customHeight="false" outlineLevel="0" collapsed="false">
      <c r="A2528" s="9" t="n">
        <v>2522</v>
      </c>
      <c r="B2528" s="10" t="s">
        <v>3568</v>
      </c>
      <c r="C2528" s="10" t="s">
        <v>147</v>
      </c>
      <c r="D2528" s="11"/>
      <c r="E2528" s="12"/>
      <c r="F2528" s="11"/>
      <c r="G2528" s="12"/>
      <c r="H2528" s="11" t="n">
        <v>0.00295034722222222</v>
      </c>
      <c r="I2528" s="12" t="n">
        <v>1241</v>
      </c>
      <c r="J2528" s="12" t="n">
        <f aca="false">COUNT(E2528,G2528,I2528)</f>
        <v>1</v>
      </c>
      <c r="K2528" s="13" t="n">
        <f aca="false">MIN(E2528,G2528,I2528)</f>
        <v>1241</v>
      </c>
      <c r="L2528" s="9" t="str">
        <f aca="false">IF(E2528=K2528,"5000m",IF(G2528=K2528,"3000mSC","1500m"))</f>
        <v>1500m</v>
      </c>
      <c r="M2528" s="14" t="n">
        <f aca="false">(D2528&lt;&gt;"")*(D2528&lt;=($E$3*60+$F$3)/86400)+(F2528&lt;&gt;"")*(F2528&lt;=($I$3*60+$J$3)/86400)+(H2528&lt;&gt;"")*(H2528&lt;=($M$3*60+$N$3)/86400)</f>
        <v>0</v>
      </c>
      <c r="N2528" s="16"/>
      <c r="O2528" s="15"/>
    </row>
    <row r="2529" customFormat="false" ht="25.35" hidden="false" customHeight="false" outlineLevel="0" collapsed="false">
      <c r="A2529" s="9" t="n">
        <v>2523</v>
      </c>
      <c r="B2529" s="10" t="s">
        <v>3569</v>
      </c>
      <c r="C2529" s="10" t="s">
        <v>1651</v>
      </c>
      <c r="D2529" s="11"/>
      <c r="E2529" s="12"/>
      <c r="F2529" s="11" t="n">
        <v>0.00822893518518519</v>
      </c>
      <c r="G2529" s="12" t="n">
        <v>1242</v>
      </c>
      <c r="H2529" s="11"/>
      <c r="I2529" s="12"/>
      <c r="J2529" s="12" t="n">
        <f aca="false">COUNT(E2529,G2529,I2529)</f>
        <v>1</v>
      </c>
      <c r="K2529" s="13" t="n">
        <f aca="false">MIN(E2529,G2529,I2529)</f>
        <v>1242</v>
      </c>
      <c r="L2529" s="9" t="str">
        <f aca="false">IF(E2529=K2529,"5000m",IF(G2529=K2529,"3000mSC","1500m"))</f>
        <v>3000mSC</v>
      </c>
      <c r="M2529" s="14" t="n">
        <f aca="false">(D2529&lt;&gt;"")*(D2529&lt;=($E$3*60+$F$3)/86400)+(F2529&lt;&gt;"")*(F2529&lt;=($I$3*60+$J$3)/86400)+(H2529&lt;&gt;"")*(H2529&lt;=($M$3*60+$N$3)/86400)</f>
        <v>0</v>
      </c>
      <c r="N2529" s="16"/>
      <c r="O2529" s="15"/>
    </row>
    <row r="2530" customFormat="false" ht="15" hidden="false" customHeight="false" outlineLevel="0" collapsed="false">
      <c r="A2530" s="9" t="n">
        <v>2524</v>
      </c>
      <c r="B2530" s="10" t="s">
        <v>3570</v>
      </c>
      <c r="C2530" s="10" t="s">
        <v>3571</v>
      </c>
      <c r="D2530" s="11"/>
      <c r="E2530" s="12"/>
      <c r="F2530" s="11"/>
      <c r="G2530" s="12"/>
      <c r="H2530" s="11" t="n">
        <v>0.0029505787037037</v>
      </c>
      <c r="I2530" s="12" t="n">
        <v>1242</v>
      </c>
      <c r="J2530" s="12" t="n">
        <f aca="false">COUNT(E2530,G2530,I2530)</f>
        <v>1</v>
      </c>
      <c r="K2530" s="13" t="n">
        <f aca="false">MIN(E2530,G2530,I2530)</f>
        <v>1242</v>
      </c>
      <c r="L2530" s="9" t="str">
        <f aca="false">IF(E2530=K2530,"5000m",IF(G2530=K2530,"3000mSC","1500m"))</f>
        <v>1500m</v>
      </c>
      <c r="M2530" s="14" t="n">
        <f aca="false">(D2530&lt;&gt;"")*(D2530&lt;=($E$3*60+$F$3)/86400)+(F2530&lt;&gt;"")*(F2530&lt;=($I$3*60+$J$3)/86400)+(H2530&lt;&gt;"")*(H2530&lt;=($M$3*60+$N$3)/86400)</f>
        <v>0</v>
      </c>
      <c r="N2530" s="16"/>
      <c r="O2530" s="15"/>
    </row>
    <row r="2531" customFormat="false" ht="15" hidden="false" customHeight="false" outlineLevel="0" collapsed="false">
      <c r="A2531" s="9" t="n">
        <v>2525</v>
      </c>
      <c r="B2531" s="10" t="s">
        <v>3572</v>
      </c>
      <c r="C2531" s="10" t="s">
        <v>2024</v>
      </c>
      <c r="D2531" s="11" t="n">
        <v>0.0110730324074074</v>
      </c>
      <c r="E2531" s="12" t="n">
        <v>1243</v>
      </c>
      <c r="F2531" s="11"/>
      <c r="G2531" s="12"/>
      <c r="H2531" s="11"/>
      <c r="I2531" s="12"/>
      <c r="J2531" s="12" t="n">
        <f aca="false">COUNT(E2531,G2531,I2531)</f>
        <v>1</v>
      </c>
      <c r="K2531" s="13" t="n">
        <f aca="false">MIN(E2531,G2531,I2531)</f>
        <v>1243</v>
      </c>
      <c r="L2531" s="9" t="str">
        <f aca="false">IF(E2531=K2531,"5000m",IF(G2531=K2531,"3000mSC","1500m"))</f>
        <v>5000m</v>
      </c>
      <c r="M2531" s="14" t="n">
        <f aca="false">(D2531&lt;&gt;"")*(D2531&lt;=($E$3*60+$F$3)/86400)+(F2531&lt;&gt;"")*(F2531&lt;=($I$3*60+$J$3)/86400)+(H2531&lt;&gt;"")*(H2531&lt;=($M$3*60+$N$3)/86400)</f>
        <v>0</v>
      </c>
      <c r="N2531" s="16"/>
      <c r="O2531" s="15"/>
    </row>
    <row r="2532" customFormat="false" ht="25.35" hidden="false" customHeight="false" outlineLevel="0" collapsed="false">
      <c r="A2532" s="9" t="n">
        <v>2526</v>
      </c>
      <c r="B2532" s="10" t="s">
        <v>3573</v>
      </c>
      <c r="C2532" s="10" t="s">
        <v>3385</v>
      </c>
      <c r="D2532" s="11"/>
      <c r="E2532" s="12"/>
      <c r="F2532" s="11" t="n">
        <v>0.00823472222222222</v>
      </c>
      <c r="G2532" s="12" t="n">
        <v>1243</v>
      </c>
      <c r="H2532" s="11"/>
      <c r="I2532" s="12"/>
      <c r="J2532" s="12" t="n">
        <f aca="false">COUNT(E2532,G2532,I2532)</f>
        <v>1</v>
      </c>
      <c r="K2532" s="13" t="n">
        <f aca="false">MIN(E2532,G2532,I2532)</f>
        <v>1243</v>
      </c>
      <c r="L2532" s="9" t="str">
        <f aca="false">IF(E2532=K2532,"5000m",IF(G2532=K2532,"3000mSC","1500m"))</f>
        <v>3000mSC</v>
      </c>
      <c r="M2532" s="14" t="n">
        <f aca="false">(D2532&lt;&gt;"")*(D2532&lt;=($E$3*60+$F$3)/86400)+(F2532&lt;&gt;"")*(F2532&lt;=($I$3*60+$J$3)/86400)+(H2532&lt;&gt;"")*(H2532&lt;=($M$3*60+$N$3)/86400)</f>
        <v>0</v>
      </c>
      <c r="N2532" s="16"/>
      <c r="O2532" s="15"/>
    </row>
    <row r="2533" customFormat="false" ht="15" hidden="false" customHeight="false" outlineLevel="0" collapsed="false">
      <c r="A2533" s="9" t="n">
        <v>2527</v>
      </c>
      <c r="B2533" s="10" t="s">
        <v>3574</v>
      </c>
      <c r="C2533" s="10" t="s">
        <v>1912</v>
      </c>
      <c r="D2533" s="11" t="n">
        <v>0.0110767361111111</v>
      </c>
      <c r="E2533" s="12" t="n">
        <v>1244</v>
      </c>
      <c r="F2533" s="11"/>
      <c r="G2533" s="12"/>
      <c r="H2533" s="11"/>
      <c r="I2533" s="12"/>
      <c r="J2533" s="12" t="n">
        <f aca="false">COUNT(E2533,G2533,I2533)</f>
        <v>1</v>
      </c>
      <c r="K2533" s="13" t="n">
        <f aca="false">MIN(E2533,G2533,I2533)</f>
        <v>1244</v>
      </c>
      <c r="L2533" s="9" t="str">
        <f aca="false">IF(E2533=K2533,"5000m",IF(G2533=K2533,"3000mSC","1500m"))</f>
        <v>5000m</v>
      </c>
      <c r="M2533" s="14" t="n">
        <f aca="false">(D2533&lt;&gt;"")*(D2533&lt;=($E$3*60+$F$3)/86400)+(F2533&lt;&gt;"")*(F2533&lt;=($I$3*60+$J$3)/86400)+(H2533&lt;&gt;"")*(H2533&lt;=($M$3*60+$N$3)/86400)</f>
        <v>0</v>
      </c>
      <c r="N2533" s="16"/>
      <c r="O2533" s="15"/>
    </row>
    <row r="2534" customFormat="false" ht="25.35" hidden="false" customHeight="false" outlineLevel="0" collapsed="false">
      <c r="A2534" s="9" t="n">
        <v>2528</v>
      </c>
      <c r="B2534" s="10" t="s">
        <v>3575</v>
      </c>
      <c r="C2534" s="10" t="s">
        <v>2090</v>
      </c>
      <c r="D2534" s="11"/>
      <c r="E2534" s="12"/>
      <c r="F2534" s="11" t="n">
        <v>0.00826087962962963</v>
      </c>
      <c r="G2534" s="12" t="n">
        <v>1245</v>
      </c>
      <c r="H2534" s="11"/>
      <c r="I2534" s="12"/>
      <c r="J2534" s="12" t="n">
        <f aca="false">COUNT(E2534,G2534,I2534)</f>
        <v>1</v>
      </c>
      <c r="K2534" s="13" t="n">
        <f aca="false">MIN(E2534,G2534,I2534)</f>
        <v>1245</v>
      </c>
      <c r="L2534" s="9" t="str">
        <f aca="false">IF(E2534=K2534,"5000m",IF(G2534=K2534,"3000mSC","1500m"))</f>
        <v>3000mSC</v>
      </c>
      <c r="M2534" s="14" t="n">
        <f aca="false">(D2534&lt;&gt;"")*(D2534&lt;=($E$3*60+$F$3)/86400)+(F2534&lt;&gt;"")*(F2534&lt;=($I$3*60+$J$3)/86400)+(H2534&lt;&gt;"")*(H2534&lt;=($M$3*60+$N$3)/86400)</f>
        <v>0</v>
      </c>
      <c r="N2534" s="16"/>
      <c r="O2534" s="15"/>
    </row>
    <row r="2535" customFormat="false" ht="15" hidden="false" customHeight="false" outlineLevel="0" collapsed="false">
      <c r="A2535" s="9" t="n">
        <v>2529</v>
      </c>
      <c r="B2535" s="10" t="s">
        <v>3576</v>
      </c>
      <c r="C2535" s="10" t="s">
        <v>3577</v>
      </c>
      <c r="D2535" s="11"/>
      <c r="E2535" s="12"/>
      <c r="F2535" s="11"/>
      <c r="G2535" s="12"/>
      <c r="H2535" s="11" t="n">
        <v>0.00295185185185185</v>
      </c>
      <c r="I2535" s="12" t="n">
        <v>1245</v>
      </c>
      <c r="J2535" s="12" t="n">
        <f aca="false">COUNT(E2535,G2535,I2535)</f>
        <v>1</v>
      </c>
      <c r="K2535" s="13" t="n">
        <f aca="false">MIN(E2535,G2535,I2535)</f>
        <v>1245</v>
      </c>
      <c r="L2535" s="9" t="str">
        <f aca="false">IF(E2535=K2535,"5000m",IF(G2535=K2535,"3000mSC","1500m"))</f>
        <v>1500m</v>
      </c>
      <c r="M2535" s="14" t="n">
        <f aca="false">(D2535&lt;&gt;"")*(D2535&lt;=($E$3*60+$F$3)/86400)+(F2535&lt;&gt;"")*(F2535&lt;=($I$3*60+$J$3)/86400)+(H2535&lt;&gt;"")*(H2535&lt;=($M$3*60+$N$3)/86400)</f>
        <v>0</v>
      </c>
      <c r="N2535" s="16"/>
      <c r="O2535" s="15"/>
    </row>
    <row r="2536" customFormat="false" ht="25.35" hidden="false" customHeight="false" outlineLevel="0" collapsed="false">
      <c r="A2536" s="9" t="n">
        <v>2530</v>
      </c>
      <c r="B2536" s="10" t="s">
        <v>3578</v>
      </c>
      <c r="C2536" s="10" t="s">
        <v>2090</v>
      </c>
      <c r="D2536" s="11"/>
      <c r="E2536" s="12"/>
      <c r="F2536" s="11" t="n">
        <v>0.00826087962962963</v>
      </c>
      <c r="G2536" s="12" t="n">
        <v>1246</v>
      </c>
      <c r="H2536" s="11"/>
      <c r="I2536" s="12"/>
      <c r="J2536" s="12" t="n">
        <f aca="false">COUNT(E2536,G2536,I2536)</f>
        <v>1</v>
      </c>
      <c r="K2536" s="13" t="n">
        <f aca="false">MIN(E2536,G2536,I2536)</f>
        <v>1246</v>
      </c>
      <c r="L2536" s="9" t="str">
        <f aca="false">IF(E2536=K2536,"5000m",IF(G2536=K2536,"3000mSC","1500m"))</f>
        <v>3000mSC</v>
      </c>
      <c r="M2536" s="14" t="n">
        <f aca="false">(D2536&lt;&gt;"")*(D2536&lt;=($E$3*60+$F$3)/86400)+(F2536&lt;&gt;"")*(F2536&lt;=($I$3*60+$J$3)/86400)+(H2536&lt;&gt;"")*(H2536&lt;=($M$3*60+$N$3)/86400)</f>
        <v>0</v>
      </c>
      <c r="N2536" s="16"/>
      <c r="O2536" s="15"/>
    </row>
    <row r="2537" customFormat="false" ht="15" hidden="false" customHeight="false" outlineLevel="0" collapsed="false">
      <c r="A2537" s="9" t="n">
        <v>2531</v>
      </c>
      <c r="B2537" s="10" t="s">
        <v>3579</v>
      </c>
      <c r="C2537" s="10" t="s">
        <v>32</v>
      </c>
      <c r="D2537" s="11"/>
      <c r="E2537" s="12"/>
      <c r="F2537" s="11"/>
      <c r="G2537" s="12"/>
      <c r="H2537" s="11" t="n">
        <v>0.00295208333333333</v>
      </c>
      <c r="I2537" s="12" t="n">
        <v>1246</v>
      </c>
      <c r="J2537" s="12" t="n">
        <f aca="false">COUNT(E2537,G2537,I2537)</f>
        <v>1</v>
      </c>
      <c r="K2537" s="13" t="n">
        <f aca="false">MIN(E2537,G2537,I2537)</f>
        <v>1246</v>
      </c>
      <c r="L2537" s="9" t="str">
        <f aca="false">IF(E2537=K2537,"5000m",IF(G2537=K2537,"3000mSC","1500m"))</f>
        <v>1500m</v>
      </c>
      <c r="M2537" s="14" t="n">
        <f aca="false">(D2537&lt;&gt;"")*(D2537&lt;=($E$3*60+$F$3)/86400)+(F2537&lt;&gt;"")*(F2537&lt;=($I$3*60+$J$3)/86400)+(H2537&lt;&gt;"")*(H2537&lt;=($M$3*60+$N$3)/86400)</f>
        <v>0</v>
      </c>
      <c r="N2537" s="16"/>
      <c r="O2537" s="15"/>
    </row>
    <row r="2538" customFormat="false" ht="25.35" hidden="false" customHeight="false" outlineLevel="0" collapsed="false">
      <c r="A2538" s="9" t="n">
        <v>2532</v>
      </c>
      <c r="B2538" s="10" t="s">
        <v>3580</v>
      </c>
      <c r="C2538" s="10" t="s">
        <v>3581</v>
      </c>
      <c r="D2538" s="11"/>
      <c r="E2538" s="12"/>
      <c r="F2538" s="11" t="n">
        <v>0.00826678240740741</v>
      </c>
      <c r="G2538" s="12" t="n">
        <v>1247</v>
      </c>
      <c r="H2538" s="11"/>
      <c r="I2538" s="12"/>
      <c r="J2538" s="12" t="n">
        <f aca="false">COUNT(E2538,G2538,I2538)</f>
        <v>1</v>
      </c>
      <c r="K2538" s="13" t="n">
        <f aca="false">MIN(E2538,G2538,I2538)</f>
        <v>1247</v>
      </c>
      <c r="L2538" s="9" t="str">
        <f aca="false">IF(E2538=K2538,"5000m",IF(G2538=K2538,"3000mSC","1500m"))</f>
        <v>3000mSC</v>
      </c>
      <c r="M2538" s="14" t="n">
        <f aca="false">(D2538&lt;&gt;"")*(D2538&lt;=($E$3*60+$F$3)/86400)+(F2538&lt;&gt;"")*(F2538&lt;=($I$3*60+$J$3)/86400)+(H2538&lt;&gt;"")*(H2538&lt;=($M$3*60+$N$3)/86400)</f>
        <v>0</v>
      </c>
      <c r="N2538" s="16"/>
      <c r="O2538" s="15"/>
    </row>
    <row r="2539" customFormat="false" ht="15" hidden="false" customHeight="false" outlineLevel="0" collapsed="false">
      <c r="A2539" s="9" t="n">
        <v>2533</v>
      </c>
      <c r="B2539" s="10" t="s">
        <v>3582</v>
      </c>
      <c r="C2539" s="10" t="s">
        <v>171</v>
      </c>
      <c r="D2539" s="11"/>
      <c r="E2539" s="12"/>
      <c r="F2539" s="11"/>
      <c r="G2539" s="12"/>
      <c r="H2539" s="11" t="n">
        <v>0.00295231481481482</v>
      </c>
      <c r="I2539" s="12" t="n">
        <v>1247</v>
      </c>
      <c r="J2539" s="12" t="n">
        <f aca="false">COUNT(E2539,G2539,I2539)</f>
        <v>1</v>
      </c>
      <c r="K2539" s="13" t="n">
        <f aca="false">MIN(E2539,G2539,I2539)</f>
        <v>1247</v>
      </c>
      <c r="L2539" s="9" t="str">
        <f aca="false">IF(E2539=K2539,"5000m",IF(G2539=K2539,"3000mSC","1500m"))</f>
        <v>1500m</v>
      </c>
      <c r="M2539" s="14" t="n">
        <f aca="false">(D2539&lt;&gt;"")*(D2539&lt;=($E$3*60+$F$3)/86400)+(F2539&lt;&gt;"")*(F2539&lt;=($I$3*60+$J$3)/86400)+(H2539&lt;&gt;"")*(H2539&lt;=($M$3*60+$N$3)/86400)</f>
        <v>0</v>
      </c>
      <c r="N2539" s="16"/>
      <c r="O2539" s="15"/>
    </row>
    <row r="2540" customFormat="false" ht="15" hidden="false" customHeight="false" outlineLevel="0" collapsed="false">
      <c r="A2540" s="9" t="n">
        <v>2534</v>
      </c>
      <c r="B2540" s="10" t="s">
        <v>3583</v>
      </c>
      <c r="C2540" s="10" t="s">
        <v>915</v>
      </c>
      <c r="D2540" s="11" t="n">
        <v>0.0110784722222222</v>
      </c>
      <c r="E2540" s="12" t="n">
        <v>1248</v>
      </c>
      <c r="F2540" s="11"/>
      <c r="G2540" s="12"/>
      <c r="H2540" s="11"/>
      <c r="I2540" s="12"/>
      <c r="J2540" s="12" t="n">
        <f aca="false">COUNT(E2540,G2540,I2540)</f>
        <v>1</v>
      </c>
      <c r="K2540" s="13" t="n">
        <f aca="false">MIN(E2540,G2540,I2540)</f>
        <v>1248</v>
      </c>
      <c r="L2540" s="9" t="str">
        <f aca="false">IF(E2540=K2540,"5000m",IF(G2540=K2540,"3000mSC","1500m"))</f>
        <v>5000m</v>
      </c>
      <c r="M2540" s="14" t="n">
        <f aca="false">(D2540&lt;&gt;"")*(D2540&lt;=($E$3*60+$F$3)/86400)+(F2540&lt;&gt;"")*(F2540&lt;=($I$3*60+$J$3)/86400)+(H2540&lt;&gt;"")*(H2540&lt;=($M$3*60+$N$3)/86400)</f>
        <v>0</v>
      </c>
      <c r="N2540" s="16"/>
      <c r="O2540" s="15"/>
    </row>
    <row r="2541" customFormat="false" ht="25.35" hidden="false" customHeight="false" outlineLevel="0" collapsed="false">
      <c r="A2541" s="9" t="n">
        <v>2535</v>
      </c>
      <c r="B2541" s="10" t="s">
        <v>3584</v>
      </c>
      <c r="C2541" s="10" t="s">
        <v>2321</v>
      </c>
      <c r="D2541" s="11"/>
      <c r="E2541" s="12"/>
      <c r="F2541" s="11" t="n">
        <v>0.00828194444444444</v>
      </c>
      <c r="G2541" s="12" t="n">
        <v>1248</v>
      </c>
      <c r="H2541" s="11"/>
      <c r="I2541" s="12"/>
      <c r="J2541" s="12" t="n">
        <f aca="false">COUNT(E2541,G2541,I2541)</f>
        <v>1</v>
      </c>
      <c r="K2541" s="13" t="n">
        <f aca="false">MIN(E2541,G2541,I2541)</f>
        <v>1248</v>
      </c>
      <c r="L2541" s="9" t="str">
        <f aca="false">IF(E2541=K2541,"5000m",IF(G2541=K2541,"3000mSC","1500m"))</f>
        <v>3000mSC</v>
      </c>
      <c r="M2541" s="14" t="n">
        <f aca="false">(D2541&lt;&gt;"")*(D2541&lt;=($E$3*60+$F$3)/86400)+(F2541&lt;&gt;"")*(F2541&lt;=($I$3*60+$J$3)/86400)+(H2541&lt;&gt;"")*(H2541&lt;=($M$3*60+$N$3)/86400)</f>
        <v>0</v>
      </c>
      <c r="N2541" s="16"/>
      <c r="O2541" s="15"/>
    </row>
    <row r="2542" customFormat="false" ht="25.35" hidden="false" customHeight="false" outlineLevel="0" collapsed="false">
      <c r="A2542" s="9" t="n">
        <v>2536</v>
      </c>
      <c r="B2542" s="10" t="s">
        <v>3585</v>
      </c>
      <c r="C2542" s="10" t="s">
        <v>2427</v>
      </c>
      <c r="D2542" s="11"/>
      <c r="E2542" s="12"/>
      <c r="F2542" s="11" t="n">
        <v>0.00828912037037037</v>
      </c>
      <c r="G2542" s="12" t="n">
        <v>1249</v>
      </c>
      <c r="H2542" s="11"/>
      <c r="I2542" s="12"/>
      <c r="J2542" s="12" t="n">
        <f aca="false">COUNT(E2542,G2542,I2542)</f>
        <v>1</v>
      </c>
      <c r="K2542" s="13" t="n">
        <f aca="false">MIN(E2542,G2542,I2542)</f>
        <v>1249</v>
      </c>
      <c r="L2542" s="9" t="str">
        <f aca="false">IF(E2542=K2542,"5000m",IF(G2542=K2542,"3000mSC","1500m"))</f>
        <v>3000mSC</v>
      </c>
      <c r="M2542" s="14" t="n">
        <f aca="false">(D2542&lt;&gt;"")*(D2542&lt;=($E$3*60+$F$3)/86400)+(F2542&lt;&gt;"")*(F2542&lt;=($I$3*60+$J$3)/86400)+(H2542&lt;&gt;"")*(H2542&lt;=($M$3*60+$N$3)/86400)</f>
        <v>0</v>
      </c>
      <c r="N2542" s="16"/>
      <c r="O2542" s="15"/>
    </row>
    <row r="2543" customFormat="false" ht="15" hidden="false" customHeight="false" outlineLevel="0" collapsed="false">
      <c r="A2543" s="9" t="n">
        <v>2537</v>
      </c>
      <c r="B2543" s="10" t="s">
        <v>3586</v>
      </c>
      <c r="C2543" s="10" t="s">
        <v>382</v>
      </c>
      <c r="D2543" s="11"/>
      <c r="E2543" s="12"/>
      <c r="F2543" s="11"/>
      <c r="G2543" s="12"/>
      <c r="H2543" s="11" t="n">
        <v>0.00295347222222222</v>
      </c>
      <c r="I2543" s="12" t="n">
        <v>1249</v>
      </c>
      <c r="J2543" s="12" t="n">
        <f aca="false">COUNT(E2543,G2543,I2543)</f>
        <v>1</v>
      </c>
      <c r="K2543" s="13" t="n">
        <f aca="false">MIN(E2543,G2543,I2543)</f>
        <v>1249</v>
      </c>
      <c r="L2543" s="9" t="str">
        <f aca="false">IF(E2543=K2543,"5000m",IF(G2543=K2543,"3000mSC","1500m"))</f>
        <v>1500m</v>
      </c>
      <c r="M2543" s="14" t="n">
        <f aca="false">(D2543&lt;&gt;"")*(D2543&lt;=($E$3*60+$F$3)/86400)+(F2543&lt;&gt;"")*(F2543&lt;=($I$3*60+$J$3)/86400)+(H2543&lt;&gt;"")*(H2543&lt;=($M$3*60+$N$3)/86400)</f>
        <v>0</v>
      </c>
      <c r="N2543" s="16"/>
      <c r="O2543" s="15"/>
    </row>
    <row r="2544" customFormat="false" ht="25.35" hidden="false" customHeight="false" outlineLevel="0" collapsed="false">
      <c r="A2544" s="9" t="n">
        <v>2538</v>
      </c>
      <c r="B2544" s="10" t="s">
        <v>3587</v>
      </c>
      <c r="C2544" s="10" t="s">
        <v>3588</v>
      </c>
      <c r="D2544" s="11"/>
      <c r="E2544" s="12"/>
      <c r="F2544" s="11" t="n">
        <v>0.00829201388888889</v>
      </c>
      <c r="G2544" s="12" t="n">
        <v>1250</v>
      </c>
      <c r="H2544" s="11"/>
      <c r="I2544" s="12"/>
      <c r="J2544" s="12" t="n">
        <f aca="false">COUNT(E2544,G2544,I2544)</f>
        <v>1</v>
      </c>
      <c r="K2544" s="13" t="n">
        <f aca="false">MIN(E2544,G2544,I2544)</f>
        <v>1250</v>
      </c>
      <c r="L2544" s="9" t="str">
        <f aca="false">IF(E2544=K2544,"5000m",IF(G2544=K2544,"3000mSC","1500m"))</f>
        <v>3000mSC</v>
      </c>
      <c r="M2544" s="14" t="n">
        <f aca="false">(D2544&lt;&gt;"")*(D2544&lt;=($E$3*60+$F$3)/86400)+(F2544&lt;&gt;"")*(F2544&lt;=($I$3*60+$J$3)/86400)+(H2544&lt;&gt;"")*(H2544&lt;=($M$3*60+$N$3)/86400)</f>
        <v>0</v>
      </c>
      <c r="N2544" s="16"/>
      <c r="O2544" s="15"/>
    </row>
    <row r="2545" customFormat="false" ht="15" hidden="false" customHeight="false" outlineLevel="0" collapsed="false">
      <c r="A2545" s="9" t="n">
        <v>2539</v>
      </c>
      <c r="B2545" s="10" t="s">
        <v>3589</v>
      </c>
      <c r="C2545" s="10" t="s">
        <v>1839</v>
      </c>
      <c r="D2545" s="11"/>
      <c r="E2545" s="12"/>
      <c r="F2545" s="11"/>
      <c r="G2545" s="12"/>
      <c r="H2545" s="11" t="n">
        <v>0.0029537037037037</v>
      </c>
      <c r="I2545" s="12" t="n">
        <v>1250</v>
      </c>
      <c r="J2545" s="12" t="n">
        <f aca="false">COUNT(E2545,G2545,I2545)</f>
        <v>1</v>
      </c>
      <c r="K2545" s="13" t="n">
        <f aca="false">MIN(E2545,G2545,I2545)</f>
        <v>1250</v>
      </c>
      <c r="L2545" s="9" t="str">
        <f aca="false">IF(E2545=K2545,"5000m",IF(G2545=K2545,"3000mSC","1500m"))</f>
        <v>1500m</v>
      </c>
      <c r="M2545" s="14" t="n">
        <f aca="false">(D2545&lt;&gt;"")*(D2545&lt;=($E$3*60+$F$3)/86400)+(F2545&lt;&gt;"")*(F2545&lt;=($I$3*60+$J$3)/86400)+(H2545&lt;&gt;"")*(H2545&lt;=($M$3*60+$N$3)/86400)</f>
        <v>0</v>
      </c>
      <c r="N2545" s="16"/>
      <c r="O2545" s="15"/>
    </row>
    <row r="2546" customFormat="false" ht="25.35" hidden="false" customHeight="false" outlineLevel="0" collapsed="false">
      <c r="A2546" s="9" t="n">
        <v>2540</v>
      </c>
      <c r="B2546" s="10" t="s">
        <v>3590</v>
      </c>
      <c r="C2546" s="10" t="s">
        <v>3591</v>
      </c>
      <c r="D2546" s="11"/>
      <c r="E2546" s="12"/>
      <c r="F2546" s="11" t="n">
        <v>0.00829212962962963</v>
      </c>
      <c r="G2546" s="12" t="n">
        <v>1251</v>
      </c>
      <c r="H2546" s="11"/>
      <c r="I2546" s="12"/>
      <c r="J2546" s="12" t="n">
        <f aca="false">COUNT(E2546,G2546,I2546)</f>
        <v>1</v>
      </c>
      <c r="K2546" s="13" t="n">
        <f aca="false">MIN(E2546,G2546,I2546)</f>
        <v>1251</v>
      </c>
      <c r="L2546" s="9" t="str">
        <f aca="false">IF(E2546=K2546,"5000m",IF(G2546=K2546,"3000mSC","1500m"))</f>
        <v>3000mSC</v>
      </c>
      <c r="M2546" s="14" t="n">
        <f aca="false">(D2546&lt;&gt;"")*(D2546&lt;=($E$3*60+$F$3)/86400)+(F2546&lt;&gt;"")*(F2546&lt;=($I$3*60+$J$3)/86400)+(H2546&lt;&gt;"")*(H2546&lt;=($M$3*60+$N$3)/86400)</f>
        <v>0</v>
      </c>
      <c r="N2546" s="16"/>
      <c r="O2546" s="15"/>
    </row>
    <row r="2547" customFormat="false" ht="25.35" hidden="false" customHeight="false" outlineLevel="0" collapsed="false">
      <c r="A2547" s="9" t="n">
        <v>2541</v>
      </c>
      <c r="B2547" s="10" t="s">
        <v>3592</v>
      </c>
      <c r="C2547" s="10" t="s">
        <v>3593</v>
      </c>
      <c r="D2547" s="11"/>
      <c r="E2547" s="12"/>
      <c r="F2547" s="11" t="n">
        <v>0.00829351851851852</v>
      </c>
      <c r="G2547" s="12" t="n">
        <v>1252</v>
      </c>
      <c r="H2547" s="11"/>
      <c r="I2547" s="12"/>
      <c r="J2547" s="12" t="n">
        <f aca="false">COUNT(E2547,G2547,I2547)</f>
        <v>1</v>
      </c>
      <c r="K2547" s="13" t="n">
        <f aca="false">MIN(E2547,G2547,I2547)</f>
        <v>1252</v>
      </c>
      <c r="L2547" s="9" t="str">
        <f aca="false">IF(E2547=K2547,"5000m",IF(G2547=K2547,"3000mSC","1500m"))</f>
        <v>3000mSC</v>
      </c>
      <c r="M2547" s="14" t="n">
        <f aca="false">(D2547&lt;&gt;"")*(D2547&lt;=($E$3*60+$F$3)/86400)+(F2547&lt;&gt;"")*(F2547&lt;=($I$3*60+$J$3)/86400)+(H2547&lt;&gt;"")*(H2547&lt;=($M$3*60+$N$3)/86400)</f>
        <v>0</v>
      </c>
      <c r="N2547" s="16"/>
      <c r="O2547" s="15"/>
    </row>
    <row r="2548" customFormat="false" ht="15" hidden="false" customHeight="false" outlineLevel="0" collapsed="false">
      <c r="A2548" s="9" t="n">
        <v>2542</v>
      </c>
      <c r="B2548" s="10" t="s">
        <v>3594</v>
      </c>
      <c r="C2548" s="10" t="s">
        <v>422</v>
      </c>
      <c r="D2548" s="11" t="n">
        <v>0.011080787037037</v>
      </c>
      <c r="E2548" s="12" t="n">
        <v>1253</v>
      </c>
      <c r="F2548" s="11"/>
      <c r="G2548" s="12"/>
      <c r="H2548" s="11"/>
      <c r="I2548" s="12"/>
      <c r="J2548" s="12" t="n">
        <f aca="false">COUNT(E2548,G2548,I2548)</f>
        <v>1</v>
      </c>
      <c r="K2548" s="13" t="n">
        <f aca="false">MIN(E2548,G2548,I2548)</f>
        <v>1253</v>
      </c>
      <c r="L2548" s="9" t="str">
        <f aca="false">IF(E2548=K2548,"5000m",IF(G2548=K2548,"3000mSC","1500m"))</f>
        <v>5000m</v>
      </c>
      <c r="M2548" s="14" t="n">
        <f aca="false">(D2548&lt;&gt;"")*(D2548&lt;=($E$3*60+$F$3)/86400)+(F2548&lt;&gt;"")*(F2548&lt;=($I$3*60+$J$3)/86400)+(H2548&lt;&gt;"")*(H2548&lt;=($M$3*60+$N$3)/86400)</f>
        <v>0</v>
      </c>
      <c r="N2548" s="16"/>
      <c r="O2548" s="15"/>
    </row>
    <row r="2549" customFormat="false" ht="25.35" hidden="false" customHeight="false" outlineLevel="0" collapsed="false">
      <c r="A2549" s="9" t="n">
        <v>2543</v>
      </c>
      <c r="B2549" s="10" t="s">
        <v>3595</v>
      </c>
      <c r="C2549" s="10" t="s">
        <v>348</v>
      </c>
      <c r="D2549" s="11"/>
      <c r="E2549" s="12"/>
      <c r="F2549" s="11" t="n">
        <v>0.00829710648148148</v>
      </c>
      <c r="G2549" s="12" t="n">
        <v>1253</v>
      </c>
      <c r="H2549" s="11"/>
      <c r="I2549" s="12"/>
      <c r="J2549" s="12" t="n">
        <f aca="false">COUNT(E2549,G2549,I2549)</f>
        <v>1</v>
      </c>
      <c r="K2549" s="13" t="n">
        <f aca="false">MIN(E2549,G2549,I2549)</f>
        <v>1253</v>
      </c>
      <c r="L2549" s="9" t="str">
        <f aca="false">IF(E2549=K2549,"5000m",IF(G2549=K2549,"3000mSC","1500m"))</f>
        <v>3000mSC</v>
      </c>
      <c r="M2549" s="14" t="n">
        <f aca="false">(D2549&lt;&gt;"")*(D2549&lt;=($E$3*60+$F$3)/86400)+(F2549&lt;&gt;"")*(F2549&lt;=($I$3*60+$J$3)/86400)+(H2549&lt;&gt;"")*(H2549&lt;=($M$3*60+$N$3)/86400)</f>
        <v>0</v>
      </c>
      <c r="N2549" s="16"/>
      <c r="O2549" s="15"/>
    </row>
    <row r="2550" customFormat="false" ht="15" hidden="false" customHeight="false" outlineLevel="0" collapsed="false">
      <c r="A2550" s="9" t="n">
        <v>2544</v>
      </c>
      <c r="B2550" s="10" t="s">
        <v>3596</v>
      </c>
      <c r="C2550" s="10" t="s">
        <v>3597</v>
      </c>
      <c r="D2550" s="11"/>
      <c r="E2550" s="12"/>
      <c r="F2550" s="11"/>
      <c r="G2550" s="12"/>
      <c r="H2550" s="11" t="n">
        <v>0.00295532407407407</v>
      </c>
      <c r="I2550" s="12" t="n">
        <v>1253</v>
      </c>
      <c r="J2550" s="12" t="n">
        <f aca="false">COUNT(E2550,G2550,I2550)</f>
        <v>1</v>
      </c>
      <c r="K2550" s="13" t="n">
        <f aca="false">MIN(E2550,G2550,I2550)</f>
        <v>1253</v>
      </c>
      <c r="L2550" s="9" t="str">
        <f aca="false">IF(E2550=K2550,"5000m",IF(G2550=K2550,"3000mSC","1500m"))</f>
        <v>1500m</v>
      </c>
      <c r="M2550" s="14" t="n">
        <f aca="false">(D2550&lt;&gt;"")*(D2550&lt;=($E$3*60+$F$3)/86400)+(F2550&lt;&gt;"")*(F2550&lt;=($I$3*60+$J$3)/86400)+(H2550&lt;&gt;"")*(H2550&lt;=($M$3*60+$N$3)/86400)</f>
        <v>0</v>
      </c>
      <c r="N2550" s="16"/>
      <c r="O2550" s="15"/>
    </row>
    <row r="2551" customFormat="false" ht="25.35" hidden="false" customHeight="false" outlineLevel="0" collapsed="false">
      <c r="A2551" s="9" t="n">
        <v>2545</v>
      </c>
      <c r="B2551" s="10" t="s">
        <v>3598</v>
      </c>
      <c r="C2551" s="10" t="s">
        <v>1962</v>
      </c>
      <c r="D2551" s="11"/>
      <c r="E2551" s="12"/>
      <c r="F2551" s="11" t="n">
        <v>0.00830578703703704</v>
      </c>
      <c r="G2551" s="12" t="n">
        <v>1254</v>
      </c>
      <c r="H2551" s="11"/>
      <c r="I2551" s="12"/>
      <c r="J2551" s="12" t="n">
        <f aca="false">COUNT(E2551,G2551,I2551)</f>
        <v>1</v>
      </c>
      <c r="K2551" s="13" t="n">
        <f aca="false">MIN(E2551,G2551,I2551)</f>
        <v>1254</v>
      </c>
      <c r="L2551" s="9" t="str">
        <f aca="false">IF(E2551=K2551,"5000m",IF(G2551=K2551,"3000mSC","1500m"))</f>
        <v>3000mSC</v>
      </c>
      <c r="M2551" s="14" t="n">
        <f aca="false">(D2551&lt;&gt;"")*(D2551&lt;=($E$3*60+$F$3)/86400)+(F2551&lt;&gt;"")*(F2551&lt;=($I$3*60+$J$3)/86400)+(H2551&lt;&gt;"")*(H2551&lt;=($M$3*60+$N$3)/86400)</f>
        <v>0</v>
      </c>
      <c r="N2551" s="16"/>
      <c r="O2551" s="15"/>
    </row>
    <row r="2552" customFormat="false" ht="25.35" hidden="false" customHeight="false" outlineLevel="0" collapsed="false">
      <c r="A2552" s="9" t="n">
        <v>2546</v>
      </c>
      <c r="B2552" s="10" t="s">
        <v>3599</v>
      </c>
      <c r="C2552" s="10" t="s">
        <v>3600</v>
      </c>
      <c r="D2552" s="11"/>
      <c r="E2552" s="12"/>
      <c r="F2552" s="11" t="n">
        <v>0.00830706018518519</v>
      </c>
      <c r="G2552" s="12" t="n">
        <v>1255</v>
      </c>
      <c r="H2552" s="11"/>
      <c r="I2552" s="12"/>
      <c r="J2552" s="12" t="n">
        <f aca="false">COUNT(E2552,G2552,I2552)</f>
        <v>1</v>
      </c>
      <c r="K2552" s="13" t="n">
        <f aca="false">MIN(E2552,G2552,I2552)</f>
        <v>1255</v>
      </c>
      <c r="L2552" s="9" t="str">
        <f aca="false">IF(E2552=K2552,"5000m",IF(G2552=K2552,"3000mSC","1500m"))</f>
        <v>3000mSC</v>
      </c>
      <c r="M2552" s="14" t="n">
        <f aca="false">(D2552&lt;&gt;"")*(D2552&lt;=($E$3*60+$F$3)/86400)+(F2552&lt;&gt;"")*(F2552&lt;=($I$3*60+$J$3)/86400)+(H2552&lt;&gt;"")*(H2552&lt;=($M$3*60+$N$3)/86400)</f>
        <v>0</v>
      </c>
      <c r="N2552" s="16"/>
      <c r="O2552" s="15"/>
    </row>
    <row r="2553" customFormat="false" ht="15" hidden="false" customHeight="false" outlineLevel="0" collapsed="false">
      <c r="A2553" s="9" t="n">
        <v>2547</v>
      </c>
      <c r="B2553" s="10" t="s">
        <v>3601</v>
      </c>
      <c r="C2553" s="10" t="s">
        <v>614</v>
      </c>
      <c r="D2553" s="11"/>
      <c r="E2553" s="12"/>
      <c r="F2553" s="11"/>
      <c r="G2553" s="12"/>
      <c r="H2553" s="11" t="n">
        <v>0.00295555555555556</v>
      </c>
      <c r="I2553" s="12" t="n">
        <v>1255</v>
      </c>
      <c r="J2553" s="12" t="n">
        <f aca="false">COUNT(E2553,G2553,I2553)</f>
        <v>1</v>
      </c>
      <c r="K2553" s="13" t="n">
        <f aca="false">MIN(E2553,G2553,I2553)</f>
        <v>1255</v>
      </c>
      <c r="L2553" s="9" t="str">
        <f aca="false">IF(E2553=K2553,"5000m",IF(G2553=K2553,"3000mSC","1500m"))</f>
        <v>1500m</v>
      </c>
      <c r="M2553" s="14" t="n">
        <f aca="false">(D2553&lt;&gt;"")*(D2553&lt;=($E$3*60+$F$3)/86400)+(F2553&lt;&gt;"")*(F2553&lt;=($I$3*60+$J$3)/86400)+(H2553&lt;&gt;"")*(H2553&lt;=($M$3*60+$N$3)/86400)</f>
        <v>0</v>
      </c>
      <c r="N2553" s="16"/>
      <c r="O2553" s="15"/>
    </row>
    <row r="2554" customFormat="false" ht="15" hidden="false" customHeight="false" outlineLevel="0" collapsed="false">
      <c r="A2554" s="9" t="n">
        <v>2548</v>
      </c>
      <c r="B2554" s="10" t="s">
        <v>3602</v>
      </c>
      <c r="C2554" s="10" t="s">
        <v>437</v>
      </c>
      <c r="D2554" s="11" t="n">
        <v>0.0110813657407407</v>
      </c>
      <c r="E2554" s="12" t="n">
        <v>1256</v>
      </c>
      <c r="F2554" s="11"/>
      <c r="G2554" s="12"/>
      <c r="H2554" s="11"/>
      <c r="I2554" s="12"/>
      <c r="J2554" s="12" t="n">
        <f aca="false">COUNT(E2554,G2554,I2554)</f>
        <v>1</v>
      </c>
      <c r="K2554" s="13" t="n">
        <f aca="false">MIN(E2554,G2554,I2554)</f>
        <v>1256</v>
      </c>
      <c r="L2554" s="9" t="str">
        <f aca="false">IF(E2554=K2554,"5000m",IF(G2554=K2554,"3000mSC","1500m"))</f>
        <v>5000m</v>
      </c>
      <c r="M2554" s="14" t="n">
        <f aca="false">(D2554&lt;&gt;"")*(D2554&lt;=($E$3*60+$F$3)/86400)+(F2554&lt;&gt;"")*(F2554&lt;=($I$3*60+$J$3)/86400)+(H2554&lt;&gt;"")*(H2554&lt;=($M$3*60+$N$3)/86400)</f>
        <v>0</v>
      </c>
      <c r="N2554" s="16"/>
      <c r="O2554" s="15"/>
    </row>
    <row r="2555" customFormat="false" ht="25.35" hidden="false" customHeight="false" outlineLevel="0" collapsed="false">
      <c r="A2555" s="9" t="n">
        <v>2549</v>
      </c>
      <c r="B2555" s="10" t="s">
        <v>3603</v>
      </c>
      <c r="C2555" s="10" t="s">
        <v>45</v>
      </c>
      <c r="D2555" s="11"/>
      <c r="E2555" s="12"/>
      <c r="F2555" s="11" t="n">
        <v>0.00830821759259259</v>
      </c>
      <c r="G2555" s="12" t="n">
        <v>1256</v>
      </c>
      <c r="H2555" s="11"/>
      <c r="I2555" s="12"/>
      <c r="J2555" s="12" t="n">
        <f aca="false">COUNT(E2555,G2555,I2555)</f>
        <v>1</v>
      </c>
      <c r="K2555" s="13" t="n">
        <f aca="false">MIN(E2555,G2555,I2555)</f>
        <v>1256</v>
      </c>
      <c r="L2555" s="9" t="str">
        <f aca="false">IF(E2555=K2555,"5000m",IF(G2555=K2555,"3000mSC","1500m"))</f>
        <v>3000mSC</v>
      </c>
      <c r="M2555" s="14" t="n">
        <f aca="false">(D2555&lt;&gt;"")*(D2555&lt;=($E$3*60+$F$3)/86400)+(F2555&lt;&gt;"")*(F2555&lt;=($I$3*60+$J$3)/86400)+(H2555&lt;&gt;"")*(H2555&lt;=($M$3*60+$N$3)/86400)</f>
        <v>0</v>
      </c>
      <c r="N2555" s="16"/>
      <c r="O2555" s="15"/>
    </row>
    <row r="2556" customFormat="false" ht="15" hidden="false" customHeight="false" outlineLevel="0" collapsed="false">
      <c r="A2556" s="9" t="n">
        <v>2550</v>
      </c>
      <c r="B2556" s="10" t="s">
        <v>3604</v>
      </c>
      <c r="C2556" s="10" t="s">
        <v>2079</v>
      </c>
      <c r="D2556" s="11"/>
      <c r="E2556" s="12"/>
      <c r="F2556" s="11"/>
      <c r="G2556" s="12"/>
      <c r="H2556" s="11" t="n">
        <v>0.0029556712962963</v>
      </c>
      <c r="I2556" s="12" t="n">
        <v>1256</v>
      </c>
      <c r="J2556" s="12" t="n">
        <f aca="false">COUNT(E2556,G2556,I2556)</f>
        <v>1</v>
      </c>
      <c r="K2556" s="13" t="n">
        <f aca="false">MIN(E2556,G2556,I2556)</f>
        <v>1256</v>
      </c>
      <c r="L2556" s="9" t="str">
        <f aca="false">IF(E2556=K2556,"5000m",IF(G2556=K2556,"3000mSC","1500m"))</f>
        <v>1500m</v>
      </c>
      <c r="M2556" s="14" t="n">
        <f aca="false">(D2556&lt;&gt;"")*(D2556&lt;=($E$3*60+$F$3)/86400)+(F2556&lt;&gt;"")*(F2556&lt;=($I$3*60+$J$3)/86400)+(H2556&lt;&gt;"")*(H2556&lt;=($M$3*60+$N$3)/86400)</f>
        <v>0</v>
      </c>
      <c r="N2556" s="16"/>
      <c r="O2556" s="15"/>
    </row>
    <row r="2557" customFormat="false" ht="25.35" hidden="false" customHeight="false" outlineLevel="0" collapsed="false">
      <c r="A2557" s="9" t="n">
        <v>2551</v>
      </c>
      <c r="B2557" s="10" t="s">
        <v>3605</v>
      </c>
      <c r="C2557" s="10" t="s">
        <v>1504</v>
      </c>
      <c r="D2557" s="11"/>
      <c r="E2557" s="12"/>
      <c r="F2557" s="11" t="n">
        <v>0.00832083333333333</v>
      </c>
      <c r="G2557" s="12" t="n">
        <v>1257</v>
      </c>
      <c r="H2557" s="11"/>
      <c r="I2557" s="12"/>
      <c r="J2557" s="12" t="n">
        <f aca="false">COUNT(E2557,G2557,I2557)</f>
        <v>1</v>
      </c>
      <c r="K2557" s="13" t="n">
        <f aca="false">MIN(E2557,G2557,I2557)</f>
        <v>1257</v>
      </c>
      <c r="L2557" s="9" t="str">
        <f aca="false">IF(E2557=K2557,"5000m",IF(G2557=K2557,"3000mSC","1500m"))</f>
        <v>3000mSC</v>
      </c>
      <c r="M2557" s="14" t="n">
        <f aca="false">(D2557&lt;&gt;"")*(D2557&lt;=($E$3*60+$F$3)/86400)+(F2557&lt;&gt;"")*(F2557&lt;=($I$3*60+$J$3)/86400)+(H2557&lt;&gt;"")*(H2557&lt;=($M$3*60+$N$3)/86400)</f>
        <v>0</v>
      </c>
      <c r="N2557" s="16"/>
      <c r="O2557" s="15"/>
    </row>
    <row r="2558" customFormat="false" ht="15" hidden="false" customHeight="false" outlineLevel="0" collapsed="false">
      <c r="A2558" s="9" t="n">
        <v>2552</v>
      </c>
      <c r="B2558" s="10" t="s">
        <v>3606</v>
      </c>
      <c r="C2558" s="10" t="s">
        <v>494</v>
      </c>
      <c r="D2558" s="11" t="n">
        <v>0.0110859953703704</v>
      </c>
      <c r="E2558" s="12" t="n">
        <v>1258</v>
      </c>
      <c r="F2558" s="11"/>
      <c r="G2558" s="12"/>
      <c r="H2558" s="11" t="n">
        <v>0.00296331018518519</v>
      </c>
      <c r="I2558" s="12" t="n">
        <v>1283</v>
      </c>
      <c r="J2558" s="12" t="n">
        <f aca="false">COUNT(E2558,G2558,I2558)</f>
        <v>2</v>
      </c>
      <c r="K2558" s="13" t="n">
        <f aca="false">MIN(E2558,G2558,I2558)</f>
        <v>1258</v>
      </c>
      <c r="L2558" s="9" t="str">
        <f aca="false">IF(E2558=K2558,"5000m",IF(G2558=K2558,"3000mSC","1500m"))</f>
        <v>5000m</v>
      </c>
      <c r="M2558" s="14" t="n">
        <f aca="false">(D2558&lt;&gt;"")*(D2558&lt;=($E$3*60+$F$3)/86400)+(F2558&lt;&gt;"")*(F2558&lt;=($I$3*60+$J$3)/86400)+(H2558&lt;&gt;"")*(H2558&lt;=($M$3*60+$N$3)/86400)</f>
        <v>0</v>
      </c>
      <c r="N2558" s="16"/>
      <c r="O2558" s="15"/>
    </row>
    <row r="2559" customFormat="false" ht="25.35" hidden="false" customHeight="false" outlineLevel="0" collapsed="false">
      <c r="A2559" s="9" t="n">
        <v>2553</v>
      </c>
      <c r="B2559" s="10" t="s">
        <v>3607</v>
      </c>
      <c r="C2559" s="10" t="s">
        <v>3608</v>
      </c>
      <c r="D2559" s="11"/>
      <c r="E2559" s="12"/>
      <c r="F2559" s="11" t="n">
        <v>0.00832164351851852</v>
      </c>
      <c r="G2559" s="12" t="n">
        <v>1258</v>
      </c>
      <c r="H2559" s="11"/>
      <c r="I2559" s="12"/>
      <c r="J2559" s="12" t="n">
        <f aca="false">COUNT(E2559,G2559,I2559)</f>
        <v>1</v>
      </c>
      <c r="K2559" s="13" t="n">
        <f aca="false">MIN(E2559,G2559,I2559)</f>
        <v>1258</v>
      </c>
      <c r="L2559" s="9" t="str">
        <f aca="false">IF(E2559=K2559,"5000m",IF(G2559=K2559,"3000mSC","1500m"))</f>
        <v>3000mSC</v>
      </c>
      <c r="M2559" s="14" t="n">
        <f aca="false">(D2559&lt;&gt;"")*(D2559&lt;=($E$3*60+$F$3)/86400)+(F2559&lt;&gt;"")*(F2559&lt;=($I$3*60+$J$3)/86400)+(H2559&lt;&gt;"")*(H2559&lt;=($M$3*60+$N$3)/86400)</f>
        <v>0</v>
      </c>
      <c r="N2559" s="16"/>
      <c r="O2559" s="15"/>
    </row>
    <row r="2560" customFormat="false" ht="15" hidden="false" customHeight="false" outlineLevel="0" collapsed="false">
      <c r="A2560" s="9" t="n">
        <v>2554</v>
      </c>
      <c r="B2560" s="10" t="s">
        <v>3609</v>
      </c>
      <c r="C2560" s="10" t="s">
        <v>3610</v>
      </c>
      <c r="D2560" s="11" t="n">
        <v>0.0110873842592593</v>
      </c>
      <c r="E2560" s="12" t="n">
        <v>1259</v>
      </c>
      <c r="F2560" s="11"/>
      <c r="G2560" s="12"/>
      <c r="H2560" s="11"/>
      <c r="I2560" s="12"/>
      <c r="J2560" s="12" t="n">
        <f aca="false">COUNT(E2560,G2560,I2560)</f>
        <v>1</v>
      </c>
      <c r="K2560" s="13" t="n">
        <f aca="false">MIN(E2560,G2560,I2560)</f>
        <v>1259</v>
      </c>
      <c r="L2560" s="9" t="str">
        <f aca="false">IF(E2560=K2560,"5000m",IF(G2560=K2560,"3000mSC","1500m"))</f>
        <v>5000m</v>
      </c>
      <c r="M2560" s="14" t="n">
        <f aca="false">(D2560&lt;&gt;"")*(D2560&lt;=($E$3*60+$F$3)/86400)+(F2560&lt;&gt;"")*(F2560&lt;=($I$3*60+$J$3)/86400)+(H2560&lt;&gt;"")*(H2560&lt;=($M$3*60+$N$3)/86400)</f>
        <v>0</v>
      </c>
      <c r="N2560" s="16"/>
      <c r="O2560" s="15"/>
    </row>
    <row r="2561" customFormat="false" ht="25.35" hidden="false" customHeight="false" outlineLevel="0" collapsed="false">
      <c r="A2561" s="9" t="n">
        <v>2555</v>
      </c>
      <c r="B2561" s="10" t="s">
        <v>3611</v>
      </c>
      <c r="C2561" s="10" t="s">
        <v>3547</v>
      </c>
      <c r="D2561" s="11"/>
      <c r="E2561" s="12"/>
      <c r="F2561" s="11" t="n">
        <v>0.00832314814814815</v>
      </c>
      <c r="G2561" s="12" t="n">
        <v>1259</v>
      </c>
      <c r="H2561" s="11"/>
      <c r="I2561" s="12"/>
      <c r="J2561" s="12" t="n">
        <f aca="false">COUNT(E2561,G2561,I2561)</f>
        <v>1</v>
      </c>
      <c r="K2561" s="13" t="n">
        <f aca="false">MIN(E2561,G2561,I2561)</f>
        <v>1259</v>
      </c>
      <c r="L2561" s="9" t="str">
        <f aca="false">IF(E2561=K2561,"5000m",IF(G2561=K2561,"3000mSC","1500m"))</f>
        <v>3000mSC</v>
      </c>
      <c r="M2561" s="14" t="n">
        <f aca="false">(D2561&lt;&gt;"")*(D2561&lt;=($E$3*60+$F$3)/86400)+(F2561&lt;&gt;"")*(F2561&lt;=($I$3*60+$J$3)/86400)+(H2561&lt;&gt;"")*(H2561&lt;=($M$3*60+$N$3)/86400)</f>
        <v>0</v>
      </c>
      <c r="N2561" s="16"/>
      <c r="O2561" s="15"/>
    </row>
    <row r="2562" customFormat="false" ht="15" hidden="false" customHeight="false" outlineLevel="0" collapsed="false">
      <c r="A2562" s="9" t="n">
        <v>2556</v>
      </c>
      <c r="B2562" s="10" t="s">
        <v>3612</v>
      </c>
      <c r="C2562" s="10" t="s">
        <v>350</v>
      </c>
      <c r="D2562" s="11" t="n">
        <v>0.0110885416666667</v>
      </c>
      <c r="E2562" s="12" t="n">
        <v>1260</v>
      </c>
      <c r="F2562" s="11"/>
      <c r="G2562" s="12"/>
      <c r="H2562" s="11"/>
      <c r="I2562" s="12"/>
      <c r="J2562" s="12" t="n">
        <f aca="false">COUNT(E2562,G2562,I2562)</f>
        <v>1</v>
      </c>
      <c r="K2562" s="13" t="n">
        <f aca="false">MIN(E2562,G2562,I2562)</f>
        <v>1260</v>
      </c>
      <c r="L2562" s="9" t="str">
        <f aca="false">IF(E2562=K2562,"5000m",IF(G2562=K2562,"3000mSC","1500m"))</f>
        <v>5000m</v>
      </c>
      <c r="M2562" s="14" t="n">
        <f aca="false">(D2562&lt;&gt;"")*(D2562&lt;=($E$3*60+$F$3)/86400)+(F2562&lt;&gt;"")*(F2562&lt;=($I$3*60+$J$3)/86400)+(H2562&lt;&gt;"")*(H2562&lt;=($M$3*60+$N$3)/86400)</f>
        <v>0</v>
      </c>
      <c r="N2562" s="16"/>
      <c r="O2562" s="15"/>
    </row>
    <row r="2563" customFormat="false" ht="25.35" hidden="false" customHeight="false" outlineLevel="0" collapsed="false">
      <c r="A2563" s="9" t="n">
        <v>2557</v>
      </c>
      <c r="B2563" s="10" t="s">
        <v>3613</v>
      </c>
      <c r="C2563" s="10" t="s">
        <v>2306</v>
      </c>
      <c r="D2563" s="11"/>
      <c r="E2563" s="12"/>
      <c r="F2563" s="11" t="n">
        <v>0.00833148148148148</v>
      </c>
      <c r="G2563" s="12" t="n">
        <v>1260</v>
      </c>
      <c r="H2563" s="11"/>
      <c r="I2563" s="12"/>
      <c r="J2563" s="12" t="n">
        <f aca="false">COUNT(E2563,G2563,I2563)</f>
        <v>1</v>
      </c>
      <c r="K2563" s="13" t="n">
        <f aca="false">MIN(E2563,G2563,I2563)</f>
        <v>1260</v>
      </c>
      <c r="L2563" s="9" t="str">
        <f aca="false">IF(E2563=K2563,"5000m",IF(G2563=K2563,"3000mSC","1500m"))</f>
        <v>3000mSC</v>
      </c>
      <c r="M2563" s="14" t="n">
        <f aca="false">(D2563&lt;&gt;"")*(D2563&lt;=($E$3*60+$F$3)/86400)+(F2563&lt;&gt;"")*(F2563&lt;=($I$3*60+$J$3)/86400)+(H2563&lt;&gt;"")*(H2563&lt;=($M$3*60+$N$3)/86400)</f>
        <v>0</v>
      </c>
      <c r="N2563" s="16"/>
      <c r="O2563" s="15"/>
    </row>
    <row r="2564" customFormat="false" ht="15" hidden="false" customHeight="false" outlineLevel="0" collapsed="false">
      <c r="A2564" s="9" t="n">
        <v>2558</v>
      </c>
      <c r="B2564" s="10" t="s">
        <v>3614</v>
      </c>
      <c r="C2564" s="10" t="s">
        <v>748</v>
      </c>
      <c r="D2564" s="11"/>
      <c r="E2564" s="12"/>
      <c r="F2564" s="11"/>
      <c r="G2564" s="12"/>
      <c r="H2564" s="11" t="n">
        <v>0.00295706018518519</v>
      </c>
      <c r="I2564" s="12" t="n">
        <v>1260</v>
      </c>
      <c r="J2564" s="12" t="n">
        <f aca="false">COUNT(E2564,G2564,I2564)</f>
        <v>1</v>
      </c>
      <c r="K2564" s="13" t="n">
        <f aca="false">MIN(E2564,G2564,I2564)</f>
        <v>1260</v>
      </c>
      <c r="L2564" s="9" t="str">
        <f aca="false">IF(E2564=K2564,"5000m",IF(G2564=K2564,"3000mSC","1500m"))</f>
        <v>1500m</v>
      </c>
      <c r="M2564" s="14" t="n">
        <f aca="false">(D2564&lt;&gt;"")*(D2564&lt;=($E$3*60+$F$3)/86400)+(F2564&lt;&gt;"")*(F2564&lt;=($I$3*60+$J$3)/86400)+(H2564&lt;&gt;"")*(H2564&lt;=($M$3*60+$N$3)/86400)</f>
        <v>0</v>
      </c>
      <c r="N2564" s="16"/>
      <c r="O2564" s="15"/>
    </row>
    <row r="2565" customFormat="false" ht="15" hidden="false" customHeight="false" outlineLevel="0" collapsed="false">
      <c r="A2565" s="9" t="n">
        <v>2559</v>
      </c>
      <c r="B2565" s="10" t="s">
        <v>3615</v>
      </c>
      <c r="C2565" s="10" t="s">
        <v>41</v>
      </c>
      <c r="D2565" s="11" t="n">
        <v>0.0110905092592593</v>
      </c>
      <c r="E2565" s="12" t="n">
        <v>1261</v>
      </c>
      <c r="F2565" s="11"/>
      <c r="G2565" s="12"/>
      <c r="H2565" s="11"/>
      <c r="I2565" s="12"/>
      <c r="J2565" s="12" t="n">
        <f aca="false">COUNT(E2565,G2565,I2565)</f>
        <v>1</v>
      </c>
      <c r="K2565" s="13" t="n">
        <f aca="false">MIN(E2565,G2565,I2565)</f>
        <v>1261</v>
      </c>
      <c r="L2565" s="9" t="str">
        <f aca="false">IF(E2565=K2565,"5000m",IF(G2565=K2565,"3000mSC","1500m"))</f>
        <v>5000m</v>
      </c>
      <c r="M2565" s="14" t="n">
        <f aca="false">(D2565&lt;&gt;"")*(D2565&lt;=($E$3*60+$F$3)/86400)+(F2565&lt;&gt;"")*(F2565&lt;=($I$3*60+$J$3)/86400)+(H2565&lt;&gt;"")*(H2565&lt;=($M$3*60+$N$3)/86400)</f>
        <v>0</v>
      </c>
      <c r="N2565" s="16"/>
      <c r="O2565" s="15"/>
    </row>
    <row r="2566" customFormat="false" ht="25.35" hidden="false" customHeight="false" outlineLevel="0" collapsed="false">
      <c r="A2566" s="9" t="n">
        <v>2560</v>
      </c>
      <c r="B2566" s="10" t="s">
        <v>3616</v>
      </c>
      <c r="C2566" s="10" t="s">
        <v>323</v>
      </c>
      <c r="D2566" s="11"/>
      <c r="E2566" s="12"/>
      <c r="F2566" s="11" t="n">
        <v>0.00833194444444444</v>
      </c>
      <c r="G2566" s="12" t="n">
        <v>1261</v>
      </c>
      <c r="H2566" s="11"/>
      <c r="I2566" s="12"/>
      <c r="J2566" s="12" t="n">
        <f aca="false">COUNT(E2566,G2566,I2566)</f>
        <v>1</v>
      </c>
      <c r="K2566" s="13" t="n">
        <f aca="false">MIN(E2566,G2566,I2566)</f>
        <v>1261</v>
      </c>
      <c r="L2566" s="9" t="str">
        <f aca="false">IF(E2566=K2566,"5000m",IF(G2566=K2566,"3000mSC","1500m"))</f>
        <v>3000mSC</v>
      </c>
      <c r="M2566" s="14" t="n">
        <f aca="false">(D2566&lt;&gt;"")*(D2566&lt;=($E$3*60+$F$3)/86400)+(F2566&lt;&gt;"")*(F2566&lt;=($I$3*60+$J$3)/86400)+(H2566&lt;&gt;"")*(H2566&lt;=($M$3*60+$N$3)/86400)</f>
        <v>0</v>
      </c>
      <c r="N2566" s="16"/>
      <c r="O2566" s="15"/>
    </row>
    <row r="2567" customFormat="false" ht="15" hidden="false" customHeight="false" outlineLevel="0" collapsed="false">
      <c r="A2567" s="9" t="n">
        <v>2561</v>
      </c>
      <c r="B2567" s="10" t="s">
        <v>3617</v>
      </c>
      <c r="C2567" s="10" t="s">
        <v>744</v>
      </c>
      <c r="D2567" s="11"/>
      <c r="E2567" s="12"/>
      <c r="F2567" s="11"/>
      <c r="G2567" s="12"/>
      <c r="H2567" s="11" t="n">
        <v>0.00295787037037037</v>
      </c>
      <c r="I2567" s="12" t="n">
        <v>1261</v>
      </c>
      <c r="J2567" s="12" t="n">
        <f aca="false">COUNT(E2567,G2567,I2567)</f>
        <v>1</v>
      </c>
      <c r="K2567" s="13" t="n">
        <f aca="false">MIN(E2567,G2567,I2567)</f>
        <v>1261</v>
      </c>
      <c r="L2567" s="9" t="str">
        <f aca="false">IF(E2567=K2567,"5000m",IF(G2567=K2567,"3000mSC","1500m"))</f>
        <v>1500m</v>
      </c>
      <c r="M2567" s="14" t="n">
        <f aca="false">(D2567&lt;&gt;"")*(D2567&lt;=($E$3*60+$F$3)/86400)+(F2567&lt;&gt;"")*(F2567&lt;=($I$3*60+$J$3)/86400)+(H2567&lt;&gt;"")*(H2567&lt;=($M$3*60+$N$3)/86400)</f>
        <v>0</v>
      </c>
      <c r="N2567" s="16"/>
      <c r="O2567" s="15"/>
    </row>
    <row r="2568" customFormat="false" ht="25.35" hidden="false" customHeight="false" outlineLevel="0" collapsed="false">
      <c r="A2568" s="9" t="n">
        <v>2562</v>
      </c>
      <c r="B2568" s="10" t="s">
        <v>3618</v>
      </c>
      <c r="C2568" s="10" t="s">
        <v>3619</v>
      </c>
      <c r="D2568" s="11"/>
      <c r="E2568" s="12"/>
      <c r="F2568" s="11" t="n">
        <v>0.00833576388888889</v>
      </c>
      <c r="G2568" s="12" t="n">
        <v>1262</v>
      </c>
      <c r="H2568" s="11"/>
      <c r="I2568" s="12"/>
      <c r="J2568" s="12" t="n">
        <f aca="false">COUNT(E2568,G2568,I2568)</f>
        <v>1</v>
      </c>
      <c r="K2568" s="13" t="n">
        <f aca="false">MIN(E2568,G2568,I2568)</f>
        <v>1262</v>
      </c>
      <c r="L2568" s="9" t="str">
        <f aca="false">IF(E2568=K2568,"5000m",IF(G2568=K2568,"3000mSC","1500m"))</f>
        <v>3000mSC</v>
      </c>
      <c r="M2568" s="14" t="n">
        <f aca="false">(D2568&lt;&gt;"")*(D2568&lt;=($E$3*60+$F$3)/86400)+(F2568&lt;&gt;"")*(F2568&lt;=($I$3*60+$J$3)/86400)+(H2568&lt;&gt;"")*(H2568&lt;=($M$3*60+$N$3)/86400)</f>
        <v>0</v>
      </c>
      <c r="N2568" s="16"/>
      <c r="O2568" s="15"/>
    </row>
    <row r="2569" customFormat="false" ht="15" hidden="false" customHeight="false" outlineLevel="0" collapsed="false">
      <c r="A2569" s="9" t="n">
        <v>2563</v>
      </c>
      <c r="B2569" s="10" t="s">
        <v>3620</v>
      </c>
      <c r="C2569" s="10" t="s">
        <v>1231</v>
      </c>
      <c r="D2569" s="11" t="n">
        <v>0.0110930555555556</v>
      </c>
      <c r="E2569" s="12" t="n">
        <v>1263</v>
      </c>
      <c r="F2569" s="11"/>
      <c r="G2569" s="12"/>
      <c r="H2569" s="11"/>
      <c r="I2569" s="12"/>
      <c r="J2569" s="12" t="n">
        <f aca="false">COUNT(E2569,G2569,I2569)</f>
        <v>1</v>
      </c>
      <c r="K2569" s="13" t="n">
        <f aca="false">MIN(E2569,G2569,I2569)</f>
        <v>1263</v>
      </c>
      <c r="L2569" s="9" t="str">
        <f aca="false">IF(E2569=K2569,"5000m",IF(G2569=K2569,"3000mSC","1500m"))</f>
        <v>5000m</v>
      </c>
      <c r="M2569" s="14" t="n">
        <f aca="false">(D2569&lt;&gt;"")*(D2569&lt;=($E$3*60+$F$3)/86400)+(F2569&lt;&gt;"")*(F2569&lt;=($I$3*60+$J$3)/86400)+(H2569&lt;&gt;"")*(H2569&lt;=($M$3*60+$N$3)/86400)</f>
        <v>0</v>
      </c>
      <c r="N2569" s="16"/>
      <c r="O2569" s="15"/>
    </row>
    <row r="2570" customFormat="false" ht="25.35" hidden="false" customHeight="false" outlineLevel="0" collapsed="false">
      <c r="A2570" s="9" t="n">
        <v>2564</v>
      </c>
      <c r="B2570" s="10" t="s">
        <v>3621</v>
      </c>
      <c r="C2570" s="10" t="s">
        <v>3622</v>
      </c>
      <c r="D2570" s="11"/>
      <c r="E2570" s="12"/>
      <c r="F2570" s="11" t="n">
        <v>0.00833946759259259</v>
      </c>
      <c r="G2570" s="12" t="n">
        <v>1263</v>
      </c>
      <c r="H2570" s="11"/>
      <c r="I2570" s="12"/>
      <c r="J2570" s="12" t="n">
        <f aca="false">COUNT(E2570,G2570,I2570)</f>
        <v>1</v>
      </c>
      <c r="K2570" s="13" t="n">
        <f aca="false">MIN(E2570,G2570,I2570)</f>
        <v>1263</v>
      </c>
      <c r="L2570" s="9" t="str">
        <f aca="false">IF(E2570=K2570,"5000m",IF(G2570=K2570,"3000mSC","1500m"))</f>
        <v>3000mSC</v>
      </c>
      <c r="M2570" s="14" t="n">
        <f aca="false">(D2570&lt;&gt;"")*(D2570&lt;=($E$3*60+$F$3)/86400)+(F2570&lt;&gt;"")*(F2570&lt;=($I$3*60+$J$3)/86400)+(H2570&lt;&gt;"")*(H2570&lt;=($M$3*60+$N$3)/86400)</f>
        <v>0</v>
      </c>
      <c r="N2570" s="16"/>
      <c r="O2570" s="15"/>
    </row>
    <row r="2571" customFormat="false" ht="25.35" hidden="false" customHeight="false" outlineLevel="0" collapsed="false">
      <c r="A2571" s="9" t="n">
        <v>2565</v>
      </c>
      <c r="B2571" s="10" t="s">
        <v>3623</v>
      </c>
      <c r="C2571" s="10" t="s">
        <v>1504</v>
      </c>
      <c r="D2571" s="11"/>
      <c r="E2571" s="12"/>
      <c r="F2571" s="11" t="n">
        <v>0.0083431712962963</v>
      </c>
      <c r="G2571" s="12" t="n">
        <v>1264</v>
      </c>
      <c r="H2571" s="11"/>
      <c r="I2571" s="12"/>
      <c r="J2571" s="12" t="n">
        <f aca="false">COUNT(E2571,G2571,I2571)</f>
        <v>1</v>
      </c>
      <c r="K2571" s="13" t="n">
        <f aca="false">MIN(E2571,G2571,I2571)</f>
        <v>1264</v>
      </c>
      <c r="L2571" s="9" t="str">
        <f aca="false">IF(E2571=K2571,"5000m",IF(G2571=K2571,"3000mSC","1500m"))</f>
        <v>3000mSC</v>
      </c>
      <c r="M2571" s="14" t="n">
        <f aca="false">(D2571&lt;&gt;"")*(D2571&lt;=($E$3*60+$F$3)/86400)+(F2571&lt;&gt;"")*(F2571&lt;=($I$3*60+$J$3)/86400)+(H2571&lt;&gt;"")*(H2571&lt;=($M$3*60+$N$3)/86400)</f>
        <v>0</v>
      </c>
      <c r="N2571" s="16"/>
      <c r="O2571" s="15"/>
    </row>
    <row r="2572" customFormat="false" ht="15" hidden="false" customHeight="false" outlineLevel="0" collapsed="false">
      <c r="A2572" s="9" t="n">
        <v>2566</v>
      </c>
      <c r="B2572" s="10" t="s">
        <v>3624</v>
      </c>
      <c r="C2572" s="10" t="s">
        <v>377</v>
      </c>
      <c r="D2572" s="11" t="n">
        <v>0.0110959490740741</v>
      </c>
      <c r="E2572" s="12" t="n">
        <v>1265</v>
      </c>
      <c r="F2572" s="11"/>
      <c r="G2572" s="12"/>
      <c r="H2572" s="11"/>
      <c r="I2572" s="12"/>
      <c r="J2572" s="12" t="n">
        <f aca="false">COUNT(E2572,G2572,I2572)</f>
        <v>1</v>
      </c>
      <c r="K2572" s="13" t="n">
        <f aca="false">MIN(E2572,G2572,I2572)</f>
        <v>1265</v>
      </c>
      <c r="L2572" s="9" t="str">
        <f aca="false">IF(E2572=K2572,"5000m",IF(G2572=K2572,"3000mSC","1500m"))</f>
        <v>5000m</v>
      </c>
      <c r="M2572" s="14" t="n">
        <f aca="false">(D2572&lt;&gt;"")*(D2572&lt;=($E$3*60+$F$3)/86400)+(F2572&lt;&gt;"")*(F2572&lt;=($I$3*60+$J$3)/86400)+(H2572&lt;&gt;"")*(H2572&lt;=($M$3*60+$N$3)/86400)</f>
        <v>0</v>
      </c>
      <c r="N2572" s="16"/>
      <c r="O2572" s="15"/>
    </row>
    <row r="2573" customFormat="false" ht="25.35" hidden="false" customHeight="false" outlineLevel="0" collapsed="false">
      <c r="A2573" s="9" t="n">
        <v>2567</v>
      </c>
      <c r="B2573" s="10" t="s">
        <v>3625</v>
      </c>
      <c r="C2573" s="10" t="s">
        <v>3562</v>
      </c>
      <c r="D2573" s="11"/>
      <c r="E2573" s="12"/>
      <c r="F2573" s="11" t="n">
        <v>0.0083494212962963</v>
      </c>
      <c r="G2573" s="12" t="n">
        <v>1265</v>
      </c>
      <c r="H2573" s="11"/>
      <c r="I2573" s="12"/>
      <c r="J2573" s="12" t="n">
        <f aca="false">COUNT(E2573,G2573,I2573)</f>
        <v>1</v>
      </c>
      <c r="K2573" s="13" t="n">
        <f aca="false">MIN(E2573,G2573,I2573)</f>
        <v>1265</v>
      </c>
      <c r="L2573" s="9" t="str">
        <f aca="false">IF(E2573=K2573,"5000m",IF(G2573=K2573,"3000mSC","1500m"))</f>
        <v>3000mSC</v>
      </c>
      <c r="M2573" s="14" t="n">
        <f aca="false">(D2573&lt;&gt;"")*(D2573&lt;=($E$3*60+$F$3)/86400)+(F2573&lt;&gt;"")*(F2573&lt;=($I$3*60+$J$3)/86400)+(H2573&lt;&gt;"")*(H2573&lt;=($M$3*60+$N$3)/86400)</f>
        <v>0</v>
      </c>
      <c r="N2573" s="16"/>
      <c r="O2573" s="15"/>
    </row>
    <row r="2574" customFormat="false" ht="15" hidden="false" customHeight="false" outlineLevel="0" collapsed="false">
      <c r="A2574" s="9" t="n">
        <v>2568</v>
      </c>
      <c r="B2574" s="10" t="s">
        <v>3626</v>
      </c>
      <c r="C2574" s="10" t="s">
        <v>147</v>
      </c>
      <c r="D2574" s="11"/>
      <c r="E2574" s="12"/>
      <c r="F2574" s="11"/>
      <c r="G2574" s="12"/>
      <c r="H2574" s="11" t="n">
        <v>0.00295914351851852</v>
      </c>
      <c r="I2574" s="12" t="n">
        <v>1265</v>
      </c>
      <c r="J2574" s="12" t="n">
        <f aca="false">COUNT(E2574,G2574,I2574)</f>
        <v>1</v>
      </c>
      <c r="K2574" s="13" t="n">
        <f aca="false">MIN(E2574,G2574,I2574)</f>
        <v>1265</v>
      </c>
      <c r="L2574" s="9" t="str">
        <f aca="false">IF(E2574=K2574,"5000m",IF(G2574=K2574,"3000mSC","1500m"))</f>
        <v>1500m</v>
      </c>
      <c r="M2574" s="14" t="n">
        <f aca="false">(D2574&lt;&gt;"")*(D2574&lt;=($E$3*60+$F$3)/86400)+(F2574&lt;&gt;"")*(F2574&lt;=($I$3*60+$J$3)/86400)+(H2574&lt;&gt;"")*(H2574&lt;=($M$3*60+$N$3)/86400)</f>
        <v>0</v>
      </c>
      <c r="N2574" s="16"/>
      <c r="O2574" s="15"/>
    </row>
    <row r="2575" customFormat="false" ht="15" hidden="false" customHeight="false" outlineLevel="0" collapsed="false">
      <c r="A2575" s="9" t="n">
        <v>2569</v>
      </c>
      <c r="B2575" s="10" t="s">
        <v>3627</v>
      </c>
      <c r="C2575" s="10" t="s">
        <v>462</v>
      </c>
      <c r="D2575" s="11" t="n">
        <v>0.0110967592592593</v>
      </c>
      <c r="E2575" s="12" t="n">
        <v>1266</v>
      </c>
      <c r="F2575" s="11"/>
      <c r="G2575" s="12"/>
      <c r="H2575" s="11"/>
      <c r="I2575" s="12"/>
      <c r="J2575" s="12" t="n">
        <f aca="false">COUNT(E2575,G2575,I2575)</f>
        <v>1</v>
      </c>
      <c r="K2575" s="13" t="n">
        <f aca="false">MIN(E2575,G2575,I2575)</f>
        <v>1266</v>
      </c>
      <c r="L2575" s="9" t="str">
        <f aca="false">IF(E2575=K2575,"5000m",IF(G2575=K2575,"3000mSC","1500m"))</f>
        <v>5000m</v>
      </c>
      <c r="M2575" s="14" t="n">
        <f aca="false">(D2575&lt;&gt;"")*(D2575&lt;=($E$3*60+$F$3)/86400)+(F2575&lt;&gt;"")*(F2575&lt;=($I$3*60+$J$3)/86400)+(H2575&lt;&gt;"")*(H2575&lt;=($M$3*60+$N$3)/86400)</f>
        <v>0</v>
      </c>
      <c r="N2575" s="16"/>
      <c r="O2575" s="15"/>
    </row>
    <row r="2576" customFormat="false" ht="25.35" hidden="false" customHeight="false" outlineLevel="0" collapsed="false">
      <c r="A2576" s="9" t="n">
        <v>2570</v>
      </c>
      <c r="B2576" s="10" t="s">
        <v>3628</v>
      </c>
      <c r="C2576" s="10" t="s">
        <v>3629</v>
      </c>
      <c r="D2576" s="11"/>
      <c r="E2576" s="12"/>
      <c r="F2576" s="11" t="n">
        <v>0.00835069444444445</v>
      </c>
      <c r="G2576" s="12" t="n">
        <v>1266</v>
      </c>
      <c r="H2576" s="11"/>
      <c r="I2576" s="12"/>
      <c r="J2576" s="12" t="n">
        <f aca="false">COUNT(E2576,G2576,I2576)</f>
        <v>1</v>
      </c>
      <c r="K2576" s="13" t="n">
        <f aca="false">MIN(E2576,G2576,I2576)</f>
        <v>1266</v>
      </c>
      <c r="L2576" s="9" t="str">
        <f aca="false">IF(E2576=K2576,"5000m",IF(G2576=K2576,"3000mSC","1500m"))</f>
        <v>3000mSC</v>
      </c>
      <c r="M2576" s="14" t="n">
        <f aca="false">(D2576&lt;&gt;"")*(D2576&lt;=($E$3*60+$F$3)/86400)+(F2576&lt;&gt;"")*(F2576&lt;=($I$3*60+$J$3)/86400)+(H2576&lt;&gt;"")*(H2576&lt;=($M$3*60+$N$3)/86400)</f>
        <v>0</v>
      </c>
      <c r="N2576" s="16"/>
      <c r="O2576" s="15"/>
    </row>
    <row r="2577" customFormat="false" ht="15" hidden="false" customHeight="false" outlineLevel="0" collapsed="false">
      <c r="A2577" s="9" t="n">
        <v>2571</v>
      </c>
      <c r="B2577" s="10" t="s">
        <v>3630</v>
      </c>
      <c r="C2577" s="10" t="s">
        <v>141</v>
      </c>
      <c r="D2577" s="11" t="n">
        <v>0.0110979166666667</v>
      </c>
      <c r="E2577" s="12" t="n">
        <v>1267</v>
      </c>
      <c r="F2577" s="11"/>
      <c r="G2577" s="12"/>
      <c r="H2577" s="11"/>
      <c r="I2577" s="12"/>
      <c r="J2577" s="12" t="n">
        <f aca="false">COUNT(E2577,G2577,I2577)</f>
        <v>1</v>
      </c>
      <c r="K2577" s="13" t="n">
        <f aca="false">MIN(E2577,G2577,I2577)</f>
        <v>1267</v>
      </c>
      <c r="L2577" s="9" t="str">
        <f aca="false">IF(E2577=K2577,"5000m",IF(G2577=K2577,"3000mSC","1500m"))</f>
        <v>5000m</v>
      </c>
      <c r="M2577" s="14" t="n">
        <f aca="false">(D2577&lt;&gt;"")*(D2577&lt;=($E$3*60+$F$3)/86400)+(F2577&lt;&gt;"")*(F2577&lt;=($I$3*60+$J$3)/86400)+(H2577&lt;&gt;"")*(H2577&lt;=($M$3*60+$N$3)/86400)</f>
        <v>0</v>
      </c>
      <c r="N2577" s="16"/>
      <c r="O2577" s="15"/>
    </row>
    <row r="2578" customFormat="false" ht="25.35" hidden="false" customHeight="false" outlineLevel="0" collapsed="false">
      <c r="A2578" s="9" t="n">
        <v>2572</v>
      </c>
      <c r="B2578" s="10" t="s">
        <v>3631</v>
      </c>
      <c r="C2578" s="10" t="s">
        <v>3632</v>
      </c>
      <c r="D2578" s="11"/>
      <c r="E2578" s="12"/>
      <c r="F2578" s="11" t="n">
        <v>0.00835092592592593</v>
      </c>
      <c r="G2578" s="12" t="n">
        <v>1267</v>
      </c>
      <c r="H2578" s="11"/>
      <c r="I2578" s="12"/>
      <c r="J2578" s="12" t="n">
        <f aca="false">COUNT(E2578,G2578,I2578)</f>
        <v>1</v>
      </c>
      <c r="K2578" s="13" t="n">
        <f aca="false">MIN(E2578,G2578,I2578)</f>
        <v>1267</v>
      </c>
      <c r="L2578" s="9" t="str">
        <f aca="false">IF(E2578=K2578,"5000m",IF(G2578=K2578,"3000mSC","1500m"))</f>
        <v>3000mSC</v>
      </c>
      <c r="M2578" s="14" t="n">
        <f aca="false">(D2578&lt;&gt;"")*(D2578&lt;=($E$3*60+$F$3)/86400)+(F2578&lt;&gt;"")*(F2578&lt;=($I$3*60+$J$3)/86400)+(H2578&lt;&gt;"")*(H2578&lt;=($M$3*60+$N$3)/86400)</f>
        <v>0</v>
      </c>
      <c r="N2578" s="16"/>
      <c r="O2578" s="15"/>
    </row>
    <row r="2579" customFormat="false" ht="15" hidden="false" customHeight="false" outlineLevel="0" collapsed="false">
      <c r="A2579" s="9" t="n">
        <v>2573</v>
      </c>
      <c r="B2579" s="10" t="s">
        <v>3633</v>
      </c>
      <c r="C2579" s="10" t="s">
        <v>1841</v>
      </c>
      <c r="D2579" s="11"/>
      <c r="E2579" s="12"/>
      <c r="F2579" s="11"/>
      <c r="G2579" s="12"/>
      <c r="H2579" s="11" t="n">
        <v>0.002959375</v>
      </c>
      <c r="I2579" s="12" t="n">
        <v>1267</v>
      </c>
      <c r="J2579" s="12" t="n">
        <f aca="false">COUNT(E2579,G2579,I2579)</f>
        <v>1</v>
      </c>
      <c r="K2579" s="13" t="n">
        <f aca="false">MIN(E2579,G2579,I2579)</f>
        <v>1267</v>
      </c>
      <c r="L2579" s="9" t="str">
        <f aca="false">IF(E2579=K2579,"5000m",IF(G2579=K2579,"3000mSC","1500m"))</f>
        <v>1500m</v>
      </c>
      <c r="M2579" s="14" t="n">
        <f aca="false">(D2579&lt;&gt;"")*(D2579&lt;=($E$3*60+$F$3)/86400)+(F2579&lt;&gt;"")*(F2579&lt;=($I$3*60+$J$3)/86400)+(H2579&lt;&gt;"")*(H2579&lt;=($M$3*60+$N$3)/86400)</f>
        <v>0</v>
      </c>
      <c r="N2579" s="16"/>
      <c r="O2579" s="15"/>
    </row>
    <row r="2580" customFormat="false" ht="25.35" hidden="false" customHeight="false" outlineLevel="0" collapsed="false">
      <c r="A2580" s="9" t="n">
        <v>2574</v>
      </c>
      <c r="B2580" s="10" t="s">
        <v>3634</v>
      </c>
      <c r="C2580" s="10" t="s">
        <v>3382</v>
      </c>
      <c r="D2580" s="11"/>
      <c r="E2580" s="12"/>
      <c r="F2580" s="11" t="n">
        <v>0.00835196759259259</v>
      </c>
      <c r="G2580" s="12" t="n">
        <v>1268</v>
      </c>
      <c r="H2580" s="11"/>
      <c r="I2580" s="12"/>
      <c r="J2580" s="12" t="n">
        <f aca="false">COUNT(E2580,G2580,I2580)</f>
        <v>1</v>
      </c>
      <c r="K2580" s="13" t="n">
        <f aca="false">MIN(E2580,G2580,I2580)</f>
        <v>1268</v>
      </c>
      <c r="L2580" s="9" t="str">
        <f aca="false">IF(E2580=K2580,"5000m",IF(G2580=K2580,"3000mSC","1500m"))</f>
        <v>3000mSC</v>
      </c>
      <c r="M2580" s="14" t="n">
        <f aca="false">(D2580&lt;&gt;"")*(D2580&lt;=($E$3*60+$F$3)/86400)+(F2580&lt;&gt;"")*(F2580&lt;=($I$3*60+$J$3)/86400)+(H2580&lt;&gt;"")*(H2580&lt;=($M$3*60+$N$3)/86400)</f>
        <v>0</v>
      </c>
      <c r="N2580" s="16"/>
      <c r="O2580" s="15"/>
    </row>
    <row r="2581" customFormat="false" ht="15" hidden="false" customHeight="false" outlineLevel="0" collapsed="false">
      <c r="A2581" s="9" t="n">
        <v>2575</v>
      </c>
      <c r="B2581" s="10" t="s">
        <v>3635</v>
      </c>
      <c r="C2581" s="10" t="s">
        <v>3636</v>
      </c>
      <c r="D2581" s="11"/>
      <c r="E2581" s="12"/>
      <c r="F2581" s="11"/>
      <c r="G2581" s="12"/>
      <c r="H2581" s="11" t="n">
        <v>0.00295949074074074</v>
      </c>
      <c r="I2581" s="12" t="n">
        <v>1268</v>
      </c>
      <c r="J2581" s="12" t="n">
        <f aca="false">COUNT(E2581,G2581,I2581)</f>
        <v>1</v>
      </c>
      <c r="K2581" s="13" t="n">
        <f aca="false">MIN(E2581,G2581,I2581)</f>
        <v>1268</v>
      </c>
      <c r="L2581" s="9" t="str">
        <f aca="false">IF(E2581=K2581,"5000m",IF(G2581=K2581,"3000mSC","1500m"))</f>
        <v>1500m</v>
      </c>
      <c r="M2581" s="14" t="n">
        <f aca="false">(D2581&lt;&gt;"")*(D2581&lt;=($E$3*60+$F$3)/86400)+(F2581&lt;&gt;"")*(F2581&lt;=($I$3*60+$J$3)/86400)+(H2581&lt;&gt;"")*(H2581&lt;=($M$3*60+$N$3)/86400)</f>
        <v>0</v>
      </c>
      <c r="N2581" s="16"/>
      <c r="O2581" s="15"/>
    </row>
    <row r="2582" customFormat="false" ht="15" hidden="false" customHeight="false" outlineLevel="0" collapsed="false">
      <c r="A2582" s="9" t="n">
        <v>2576</v>
      </c>
      <c r="B2582" s="10" t="s">
        <v>3637</v>
      </c>
      <c r="C2582" s="10" t="s">
        <v>179</v>
      </c>
      <c r="D2582" s="11" t="n">
        <v>0.0110981481481482</v>
      </c>
      <c r="E2582" s="12" t="n">
        <v>1269</v>
      </c>
      <c r="F2582" s="11"/>
      <c r="G2582" s="12"/>
      <c r="H2582" s="11"/>
      <c r="I2582" s="12"/>
      <c r="J2582" s="12" t="n">
        <f aca="false">COUNT(E2582,G2582,I2582)</f>
        <v>1</v>
      </c>
      <c r="K2582" s="13" t="n">
        <f aca="false">MIN(E2582,G2582,I2582)</f>
        <v>1269</v>
      </c>
      <c r="L2582" s="9" t="str">
        <f aca="false">IF(E2582=K2582,"5000m",IF(G2582=K2582,"3000mSC","1500m"))</f>
        <v>5000m</v>
      </c>
      <c r="M2582" s="14" t="n">
        <f aca="false">(D2582&lt;&gt;"")*(D2582&lt;=($E$3*60+$F$3)/86400)+(F2582&lt;&gt;"")*(F2582&lt;=($I$3*60+$J$3)/86400)+(H2582&lt;&gt;"")*(H2582&lt;=($M$3*60+$N$3)/86400)</f>
        <v>0</v>
      </c>
      <c r="N2582" s="16"/>
      <c r="O2582" s="15"/>
    </row>
    <row r="2583" customFormat="false" ht="25.35" hidden="false" customHeight="false" outlineLevel="0" collapsed="false">
      <c r="A2583" s="9" t="n">
        <v>2577</v>
      </c>
      <c r="B2583" s="10" t="s">
        <v>3638</v>
      </c>
      <c r="C2583" s="10" t="s">
        <v>705</v>
      </c>
      <c r="D2583" s="11"/>
      <c r="E2583" s="12"/>
      <c r="F2583" s="11" t="n">
        <v>0.00835763888888889</v>
      </c>
      <c r="G2583" s="12" t="n">
        <v>1269</v>
      </c>
      <c r="H2583" s="11"/>
      <c r="I2583" s="12"/>
      <c r="J2583" s="12" t="n">
        <f aca="false">COUNT(E2583,G2583,I2583)</f>
        <v>1</v>
      </c>
      <c r="K2583" s="13" t="n">
        <f aca="false">MIN(E2583,G2583,I2583)</f>
        <v>1269</v>
      </c>
      <c r="L2583" s="9" t="str">
        <f aca="false">IF(E2583=K2583,"5000m",IF(G2583=K2583,"3000mSC","1500m"))</f>
        <v>3000mSC</v>
      </c>
      <c r="M2583" s="14" t="n">
        <f aca="false">(D2583&lt;&gt;"")*(D2583&lt;=($E$3*60+$F$3)/86400)+(F2583&lt;&gt;"")*(F2583&lt;=($I$3*60+$J$3)/86400)+(H2583&lt;&gt;"")*(H2583&lt;=($M$3*60+$N$3)/86400)</f>
        <v>0</v>
      </c>
      <c r="N2583" s="16"/>
      <c r="O2583" s="15"/>
    </row>
    <row r="2584" customFormat="false" ht="15" hidden="false" customHeight="false" outlineLevel="0" collapsed="false">
      <c r="A2584" s="9" t="n">
        <v>2578</v>
      </c>
      <c r="B2584" s="10" t="s">
        <v>3639</v>
      </c>
      <c r="C2584" s="10" t="s">
        <v>2147</v>
      </c>
      <c r="D2584" s="11"/>
      <c r="E2584" s="12"/>
      <c r="F2584" s="11"/>
      <c r="G2584" s="12"/>
      <c r="H2584" s="11" t="n">
        <v>0.00295972222222222</v>
      </c>
      <c r="I2584" s="12" t="n">
        <v>1269</v>
      </c>
      <c r="J2584" s="12" t="n">
        <f aca="false">COUNT(E2584,G2584,I2584)</f>
        <v>1</v>
      </c>
      <c r="K2584" s="13" t="n">
        <f aca="false">MIN(E2584,G2584,I2584)</f>
        <v>1269</v>
      </c>
      <c r="L2584" s="9" t="str">
        <f aca="false">IF(E2584=K2584,"5000m",IF(G2584=K2584,"3000mSC","1500m"))</f>
        <v>1500m</v>
      </c>
      <c r="M2584" s="14" t="n">
        <f aca="false">(D2584&lt;&gt;"")*(D2584&lt;=($E$3*60+$F$3)/86400)+(F2584&lt;&gt;"")*(F2584&lt;=($I$3*60+$J$3)/86400)+(H2584&lt;&gt;"")*(H2584&lt;=($M$3*60+$N$3)/86400)</f>
        <v>0</v>
      </c>
      <c r="N2584" s="16"/>
      <c r="O2584" s="15"/>
    </row>
    <row r="2585" customFormat="false" ht="25.35" hidden="false" customHeight="false" outlineLevel="0" collapsed="false">
      <c r="A2585" s="9" t="n">
        <v>2579</v>
      </c>
      <c r="B2585" s="10" t="s">
        <v>3640</v>
      </c>
      <c r="C2585" s="10" t="s">
        <v>1038</v>
      </c>
      <c r="D2585" s="11"/>
      <c r="E2585" s="12"/>
      <c r="F2585" s="11" t="n">
        <v>0.00836458333333333</v>
      </c>
      <c r="G2585" s="12" t="n">
        <v>1270</v>
      </c>
      <c r="H2585" s="11"/>
      <c r="I2585" s="12"/>
      <c r="J2585" s="12" t="n">
        <f aca="false">COUNT(E2585,G2585,I2585)</f>
        <v>1</v>
      </c>
      <c r="K2585" s="13" t="n">
        <f aca="false">MIN(E2585,G2585,I2585)</f>
        <v>1270</v>
      </c>
      <c r="L2585" s="9" t="str">
        <f aca="false">IF(E2585=K2585,"5000m",IF(G2585=K2585,"3000mSC","1500m"))</f>
        <v>3000mSC</v>
      </c>
      <c r="M2585" s="14" t="n">
        <f aca="false">(D2585&lt;&gt;"")*(D2585&lt;=($E$3*60+$F$3)/86400)+(F2585&lt;&gt;"")*(F2585&lt;=($I$3*60+$J$3)/86400)+(H2585&lt;&gt;"")*(H2585&lt;=($M$3*60+$N$3)/86400)</f>
        <v>0</v>
      </c>
      <c r="N2585" s="16"/>
      <c r="O2585" s="15"/>
    </row>
    <row r="2586" customFormat="false" ht="25.35" hidden="false" customHeight="false" outlineLevel="0" collapsed="false">
      <c r="A2586" s="9" t="n">
        <v>2580</v>
      </c>
      <c r="B2586" s="10" t="s">
        <v>3641</v>
      </c>
      <c r="C2586" s="10" t="s">
        <v>2449</v>
      </c>
      <c r="D2586" s="11"/>
      <c r="E2586" s="12"/>
      <c r="F2586" s="11" t="n">
        <v>0.00836678240740741</v>
      </c>
      <c r="G2586" s="12" t="n">
        <v>1271</v>
      </c>
      <c r="H2586" s="11"/>
      <c r="I2586" s="12"/>
      <c r="J2586" s="12" t="n">
        <f aca="false">COUNT(E2586,G2586,I2586)</f>
        <v>1</v>
      </c>
      <c r="K2586" s="13" t="n">
        <f aca="false">MIN(E2586,G2586,I2586)</f>
        <v>1271</v>
      </c>
      <c r="L2586" s="9" t="str">
        <f aca="false">IF(E2586=K2586,"5000m",IF(G2586=K2586,"3000mSC","1500m"))</f>
        <v>3000mSC</v>
      </c>
      <c r="M2586" s="14" t="n">
        <f aca="false">(D2586&lt;&gt;"")*(D2586&lt;=($E$3*60+$F$3)/86400)+(F2586&lt;&gt;"")*(F2586&lt;=($I$3*60+$J$3)/86400)+(H2586&lt;&gt;"")*(H2586&lt;=($M$3*60+$N$3)/86400)</f>
        <v>0</v>
      </c>
      <c r="N2586" s="16"/>
      <c r="O2586" s="15"/>
    </row>
    <row r="2587" customFormat="false" ht="15" hidden="false" customHeight="false" outlineLevel="0" collapsed="false">
      <c r="A2587" s="9" t="n">
        <v>2581</v>
      </c>
      <c r="B2587" s="10" t="s">
        <v>3642</v>
      </c>
      <c r="C2587" s="10" t="s">
        <v>257</v>
      </c>
      <c r="D2587" s="11" t="n">
        <v>0.0111009259259259</v>
      </c>
      <c r="E2587" s="12" t="n">
        <v>1272</v>
      </c>
      <c r="F2587" s="11"/>
      <c r="G2587" s="12"/>
      <c r="H2587" s="11"/>
      <c r="I2587" s="12"/>
      <c r="J2587" s="12" t="n">
        <f aca="false">COUNT(E2587,G2587,I2587)</f>
        <v>1</v>
      </c>
      <c r="K2587" s="13" t="n">
        <f aca="false">MIN(E2587,G2587,I2587)</f>
        <v>1272</v>
      </c>
      <c r="L2587" s="9" t="str">
        <f aca="false">IF(E2587=K2587,"5000m",IF(G2587=K2587,"3000mSC","1500m"))</f>
        <v>5000m</v>
      </c>
      <c r="M2587" s="14" t="n">
        <f aca="false">(D2587&lt;&gt;"")*(D2587&lt;=($E$3*60+$F$3)/86400)+(F2587&lt;&gt;"")*(F2587&lt;=($I$3*60+$J$3)/86400)+(H2587&lt;&gt;"")*(H2587&lt;=($M$3*60+$N$3)/86400)</f>
        <v>0</v>
      </c>
      <c r="N2587" s="16"/>
      <c r="O2587" s="15"/>
    </row>
    <row r="2588" customFormat="false" ht="25.35" hidden="false" customHeight="false" outlineLevel="0" collapsed="false">
      <c r="A2588" s="9" t="n">
        <v>2582</v>
      </c>
      <c r="B2588" s="10" t="s">
        <v>3643</v>
      </c>
      <c r="C2588" s="10" t="s">
        <v>3644</v>
      </c>
      <c r="D2588" s="11"/>
      <c r="E2588" s="12"/>
      <c r="F2588" s="11" t="n">
        <v>0.00837384259259259</v>
      </c>
      <c r="G2588" s="12" t="n">
        <v>1272</v>
      </c>
      <c r="H2588" s="11"/>
      <c r="I2588" s="12"/>
      <c r="J2588" s="12" t="n">
        <f aca="false">COUNT(E2588,G2588,I2588)</f>
        <v>1</v>
      </c>
      <c r="K2588" s="13" t="n">
        <f aca="false">MIN(E2588,G2588,I2588)</f>
        <v>1272</v>
      </c>
      <c r="L2588" s="9" t="str">
        <f aca="false">IF(E2588=K2588,"5000m",IF(G2588=K2588,"3000mSC","1500m"))</f>
        <v>3000mSC</v>
      </c>
      <c r="M2588" s="14" t="n">
        <f aca="false">(D2588&lt;&gt;"")*(D2588&lt;=($E$3*60+$F$3)/86400)+(F2588&lt;&gt;"")*(F2588&lt;=($I$3*60+$J$3)/86400)+(H2588&lt;&gt;"")*(H2588&lt;=($M$3*60+$N$3)/86400)</f>
        <v>0</v>
      </c>
      <c r="N2588" s="16"/>
      <c r="O2588" s="15"/>
    </row>
    <row r="2589" customFormat="false" ht="15" hidden="false" customHeight="false" outlineLevel="0" collapsed="false">
      <c r="A2589" s="9" t="n">
        <v>2583</v>
      </c>
      <c r="B2589" s="10" t="s">
        <v>3645</v>
      </c>
      <c r="C2589" s="10" t="s">
        <v>2017</v>
      </c>
      <c r="D2589" s="11"/>
      <c r="E2589" s="12"/>
      <c r="F2589" s="11"/>
      <c r="G2589" s="12"/>
      <c r="H2589" s="11" t="n">
        <v>0.00296006944444444</v>
      </c>
      <c r="I2589" s="12" t="n">
        <v>1272</v>
      </c>
      <c r="J2589" s="12" t="n">
        <f aca="false">COUNT(E2589,G2589,I2589)</f>
        <v>1</v>
      </c>
      <c r="K2589" s="13" t="n">
        <f aca="false">MIN(E2589,G2589,I2589)</f>
        <v>1272</v>
      </c>
      <c r="L2589" s="9" t="str">
        <f aca="false">IF(E2589=K2589,"5000m",IF(G2589=K2589,"3000mSC","1500m"))</f>
        <v>1500m</v>
      </c>
      <c r="M2589" s="14" t="n">
        <f aca="false">(D2589&lt;&gt;"")*(D2589&lt;=($E$3*60+$F$3)/86400)+(F2589&lt;&gt;"")*(F2589&lt;=($I$3*60+$J$3)/86400)+(H2589&lt;&gt;"")*(H2589&lt;=($M$3*60+$N$3)/86400)</f>
        <v>0</v>
      </c>
      <c r="N2589" s="16"/>
      <c r="O2589" s="15"/>
    </row>
    <row r="2590" customFormat="false" ht="15" hidden="false" customHeight="false" outlineLevel="0" collapsed="false">
      <c r="A2590" s="9" t="n">
        <v>2584</v>
      </c>
      <c r="B2590" s="10" t="s">
        <v>3646</v>
      </c>
      <c r="C2590" s="10" t="s">
        <v>107</v>
      </c>
      <c r="D2590" s="11" t="n">
        <v>0.0111009259259259</v>
      </c>
      <c r="E2590" s="12" t="n">
        <v>1273</v>
      </c>
      <c r="F2590" s="11"/>
      <c r="G2590" s="12"/>
      <c r="H2590" s="11"/>
      <c r="I2590" s="12"/>
      <c r="J2590" s="12" t="n">
        <f aca="false">COUNT(E2590,G2590,I2590)</f>
        <v>1</v>
      </c>
      <c r="K2590" s="13" t="n">
        <f aca="false">MIN(E2590,G2590,I2590)</f>
        <v>1273</v>
      </c>
      <c r="L2590" s="9" t="str">
        <f aca="false">IF(E2590=K2590,"5000m",IF(G2590=K2590,"3000mSC","1500m"))</f>
        <v>5000m</v>
      </c>
      <c r="M2590" s="14" t="n">
        <f aca="false">(D2590&lt;&gt;"")*(D2590&lt;=($E$3*60+$F$3)/86400)+(F2590&lt;&gt;"")*(F2590&lt;=($I$3*60+$J$3)/86400)+(H2590&lt;&gt;"")*(H2590&lt;=($M$3*60+$N$3)/86400)</f>
        <v>0</v>
      </c>
      <c r="N2590" s="16"/>
      <c r="O2590" s="15"/>
    </row>
    <row r="2591" customFormat="false" ht="25.35" hidden="false" customHeight="false" outlineLevel="0" collapsed="false">
      <c r="A2591" s="9" t="n">
        <v>2585</v>
      </c>
      <c r="B2591" s="10" t="s">
        <v>3647</v>
      </c>
      <c r="C2591" s="10" t="s">
        <v>3191</v>
      </c>
      <c r="D2591" s="11"/>
      <c r="E2591" s="12"/>
      <c r="F2591" s="11" t="n">
        <v>0.00837731481481482</v>
      </c>
      <c r="G2591" s="12" t="n">
        <v>1273</v>
      </c>
      <c r="H2591" s="11"/>
      <c r="I2591" s="12"/>
      <c r="J2591" s="12" t="n">
        <f aca="false">COUNT(E2591,G2591,I2591)</f>
        <v>1</v>
      </c>
      <c r="K2591" s="13" t="n">
        <f aca="false">MIN(E2591,G2591,I2591)</f>
        <v>1273</v>
      </c>
      <c r="L2591" s="9" t="str">
        <f aca="false">IF(E2591=K2591,"5000m",IF(G2591=K2591,"3000mSC","1500m"))</f>
        <v>3000mSC</v>
      </c>
      <c r="M2591" s="14" t="n">
        <f aca="false">(D2591&lt;&gt;"")*(D2591&lt;=($E$3*60+$F$3)/86400)+(F2591&lt;&gt;"")*(F2591&lt;=($I$3*60+$J$3)/86400)+(H2591&lt;&gt;"")*(H2591&lt;=($M$3*60+$N$3)/86400)</f>
        <v>0</v>
      </c>
      <c r="N2591" s="16"/>
      <c r="O2591" s="15"/>
    </row>
    <row r="2592" customFormat="false" ht="15" hidden="false" customHeight="false" outlineLevel="0" collapsed="false">
      <c r="A2592" s="9" t="n">
        <v>2586</v>
      </c>
      <c r="B2592" s="10" t="s">
        <v>3648</v>
      </c>
      <c r="C2592" s="10" t="s">
        <v>857</v>
      </c>
      <c r="D2592" s="11" t="n">
        <v>0.0111020833333333</v>
      </c>
      <c r="E2592" s="12" t="n">
        <v>1274</v>
      </c>
      <c r="F2592" s="11"/>
      <c r="G2592" s="12"/>
      <c r="H2592" s="11"/>
      <c r="I2592" s="12"/>
      <c r="J2592" s="12" t="n">
        <f aca="false">COUNT(E2592,G2592,I2592)</f>
        <v>1</v>
      </c>
      <c r="K2592" s="13" t="n">
        <f aca="false">MIN(E2592,G2592,I2592)</f>
        <v>1274</v>
      </c>
      <c r="L2592" s="9" t="str">
        <f aca="false">IF(E2592=K2592,"5000m",IF(G2592=K2592,"3000mSC","1500m"))</f>
        <v>5000m</v>
      </c>
      <c r="M2592" s="14" t="n">
        <f aca="false">(D2592&lt;&gt;"")*(D2592&lt;=($E$3*60+$F$3)/86400)+(F2592&lt;&gt;"")*(F2592&lt;=($I$3*60+$J$3)/86400)+(H2592&lt;&gt;"")*(H2592&lt;=($M$3*60+$N$3)/86400)</f>
        <v>0</v>
      </c>
      <c r="N2592" s="16"/>
      <c r="O2592" s="15"/>
    </row>
    <row r="2593" customFormat="false" ht="25.35" hidden="false" customHeight="false" outlineLevel="0" collapsed="false">
      <c r="A2593" s="9" t="n">
        <v>2587</v>
      </c>
      <c r="B2593" s="10" t="s">
        <v>3649</v>
      </c>
      <c r="C2593" s="10" t="s">
        <v>3650</v>
      </c>
      <c r="D2593" s="11"/>
      <c r="E2593" s="12"/>
      <c r="F2593" s="11" t="n">
        <v>0.00838032407407407</v>
      </c>
      <c r="G2593" s="12" t="n">
        <v>1274</v>
      </c>
      <c r="H2593" s="11"/>
      <c r="I2593" s="12"/>
      <c r="J2593" s="12" t="n">
        <f aca="false">COUNT(E2593,G2593,I2593)</f>
        <v>1</v>
      </c>
      <c r="K2593" s="13" t="n">
        <f aca="false">MIN(E2593,G2593,I2593)</f>
        <v>1274</v>
      </c>
      <c r="L2593" s="9" t="str">
        <f aca="false">IF(E2593=K2593,"5000m",IF(G2593=K2593,"3000mSC","1500m"))</f>
        <v>3000mSC</v>
      </c>
      <c r="M2593" s="14" t="n">
        <f aca="false">(D2593&lt;&gt;"")*(D2593&lt;=($E$3*60+$F$3)/86400)+(F2593&lt;&gt;"")*(F2593&lt;=($I$3*60+$J$3)/86400)+(H2593&lt;&gt;"")*(H2593&lt;=($M$3*60+$N$3)/86400)</f>
        <v>0</v>
      </c>
      <c r="N2593" s="16"/>
      <c r="O2593" s="15"/>
    </row>
    <row r="2594" customFormat="false" ht="15" hidden="false" customHeight="false" outlineLevel="0" collapsed="false">
      <c r="A2594" s="9" t="n">
        <v>2588</v>
      </c>
      <c r="B2594" s="10" t="s">
        <v>3651</v>
      </c>
      <c r="C2594" s="10" t="s">
        <v>460</v>
      </c>
      <c r="D2594" s="11" t="n">
        <v>0.011102662037037</v>
      </c>
      <c r="E2594" s="12" t="n">
        <v>1275</v>
      </c>
      <c r="F2594" s="11"/>
      <c r="G2594" s="12"/>
      <c r="H2594" s="11"/>
      <c r="I2594" s="12"/>
      <c r="J2594" s="12" t="n">
        <f aca="false">COUNT(E2594,G2594,I2594)</f>
        <v>1</v>
      </c>
      <c r="K2594" s="13" t="n">
        <f aca="false">MIN(E2594,G2594,I2594)</f>
        <v>1275</v>
      </c>
      <c r="L2594" s="9" t="str">
        <f aca="false">IF(E2594=K2594,"5000m",IF(G2594=K2594,"3000mSC","1500m"))</f>
        <v>5000m</v>
      </c>
      <c r="M2594" s="14" t="n">
        <f aca="false">(D2594&lt;&gt;"")*(D2594&lt;=($E$3*60+$F$3)/86400)+(F2594&lt;&gt;"")*(F2594&lt;=($I$3*60+$J$3)/86400)+(H2594&lt;&gt;"")*(H2594&lt;=($M$3*60+$N$3)/86400)</f>
        <v>0</v>
      </c>
      <c r="N2594" s="16"/>
      <c r="O2594" s="15"/>
    </row>
    <row r="2595" customFormat="false" ht="25.35" hidden="false" customHeight="false" outlineLevel="0" collapsed="false">
      <c r="A2595" s="9" t="n">
        <v>2589</v>
      </c>
      <c r="B2595" s="10" t="s">
        <v>3652</v>
      </c>
      <c r="C2595" s="10" t="s">
        <v>3653</v>
      </c>
      <c r="D2595" s="11"/>
      <c r="E2595" s="12"/>
      <c r="F2595" s="11" t="n">
        <v>0.00838055555555556</v>
      </c>
      <c r="G2595" s="12" t="n">
        <v>1275</v>
      </c>
      <c r="H2595" s="11"/>
      <c r="I2595" s="12"/>
      <c r="J2595" s="12" t="n">
        <f aca="false">COUNT(E2595,G2595,I2595)</f>
        <v>1</v>
      </c>
      <c r="K2595" s="13" t="n">
        <f aca="false">MIN(E2595,G2595,I2595)</f>
        <v>1275</v>
      </c>
      <c r="L2595" s="9" t="str">
        <f aca="false">IF(E2595=K2595,"5000m",IF(G2595=K2595,"3000mSC","1500m"))</f>
        <v>3000mSC</v>
      </c>
      <c r="M2595" s="14" t="n">
        <f aca="false">(D2595&lt;&gt;"")*(D2595&lt;=($E$3*60+$F$3)/86400)+(F2595&lt;&gt;"")*(F2595&lt;=($I$3*60+$J$3)/86400)+(H2595&lt;&gt;"")*(H2595&lt;=($M$3*60+$N$3)/86400)</f>
        <v>0</v>
      </c>
      <c r="N2595" s="16"/>
      <c r="O2595" s="15"/>
    </row>
    <row r="2596" customFormat="false" ht="15" hidden="false" customHeight="false" outlineLevel="0" collapsed="false">
      <c r="A2596" s="9" t="n">
        <v>2590</v>
      </c>
      <c r="B2596" s="10" t="s">
        <v>3654</v>
      </c>
      <c r="C2596" s="10" t="s">
        <v>2685</v>
      </c>
      <c r="D2596" s="11"/>
      <c r="E2596" s="12"/>
      <c r="F2596" s="11"/>
      <c r="G2596" s="12"/>
      <c r="H2596" s="11" t="n">
        <v>0.00296053240740741</v>
      </c>
      <c r="I2596" s="12" t="n">
        <v>1275</v>
      </c>
      <c r="J2596" s="12" t="n">
        <f aca="false">COUNT(E2596,G2596,I2596)</f>
        <v>1</v>
      </c>
      <c r="K2596" s="13" t="n">
        <f aca="false">MIN(E2596,G2596,I2596)</f>
        <v>1275</v>
      </c>
      <c r="L2596" s="9" t="str">
        <f aca="false">IF(E2596=K2596,"5000m",IF(G2596=K2596,"3000mSC","1500m"))</f>
        <v>1500m</v>
      </c>
      <c r="M2596" s="14" t="n">
        <f aca="false">(D2596&lt;&gt;"")*(D2596&lt;=($E$3*60+$F$3)/86400)+(F2596&lt;&gt;"")*(F2596&lt;=($I$3*60+$J$3)/86400)+(H2596&lt;&gt;"")*(H2596&lt;=($M$3*60+$N$3)/86400)</f>
        <v>0</v>
      </c>
      <c r="N2596" s="16"/>
      <c r="O2596" s="15"/>
    </row>
    <row r="2597" customFormat="false" ht="25.35" hidden="false" customHeight="false" outlineLevel="0" collapsed="false">
      <c r="A2597" s="9" t="n">
        <v>2591</v>
      </c>
      <c r="B2597" s="10" t="s">
        <v>3655</v>
      </c>
      <c r="C2597" s="10" t="s">
        <v>1668</v>
      </c>
      <c r="D2597" s="11"/>
      <c r="E2597" s="12"/>
      <c r="F2597" s="11" t="n">
        <v>0.00838773148148148</v>
      </c>
      <c r="G2597" s="12" t="n">
        <v>1276</v>
      </c>
      <c r="H2597" s="11"/>
      <c r="I2597" s="12"/>
      <c r="J2597" s="12" t="n">
        <f aca="false">COUNT(E2597,G2597,I2597)</f>
        <v>1</v>
      </c>
      <c r="K2597" s="13" t="n">
        <f aca="false">MIN(E2597,G2597,I2597)</f>
        <v>1276</v>
      </c>
      <c r="L2597" s="9" t="str">
        <f aca="false">IF(E2597=K2597,"5000m",IF(G2597=K2597,"3000mSC","1500m"))</f>
        <v>3000mSC</v>
      </c>
      <c r="M2597" s="14" t="n">
        <f aca="false">(D2597&lt;&gt;"")*(D2597&lt;=($E$3*60+$F$3)/86400)+(F2597&lt;&gt;"")*(F2597&lt;=($I$3*60+$J$3)/86400)+(H2597&lt;&gt;"")*(H2597&lt;=($M$3*60+$N$3)/86400)</f>
        <v>0</v>
      </c>
      <c r="N2597" s="16"/>
      <c r="O2597" s="15"/>
    </row>
    <row r="2598" customFormat="false" ht="15" hidden="false" customHeight="false" outlineLevel="0" collapsed="false">
      <c r="A2598" s="9" t="n">
        <v>2592</v>
      </c>
      <c r="B2598" s="10" t="s">
        <v>3656</v>
      </c>
      <c r="C2598" s="10" t="s">
        <v>298</v>
      </c>
      <c r="D2598" s="11"/>
      <c r="E2598" s="12"/>
      <c r="F2598" s="11"/>
      <c r="G2598" s="12"/>
      <c r="H2598" s="11" t="n">
        <v>0.00296122685185185</v>
      </c>
      <c r="I2598" s="12" t="n">
        <v>1276</v>
      </c>
      <c r="J2598" s="12" t="n">
        <f aca="false">COUNT(E2598,G2598,I2598)</f>
        <v>1</v>
      </c>
      <c r="K2598" s="13" t="n">
        <f aca="false">MIN(E2598,G2598,I2598)</f>
        <v>1276</v>
      </c>
      <c r="L2598" s="9" t="str">
        <f aca="false">IF(E2598=K2598,"5000m",IF(G2598=K2598,"3000mSC","1500m"))</f>
        <v>1500m</v>
      </c>
      <c r="M2598" s="14" t="n">
        <f aca="false">(D2598&lt;&gt;"")*(D2598&lt;=($E$3*60+$F$3)/86400)+(F2598&lt;&gt;"")*(F2598&lt;=($I$3*60+$J$3)/86400)+(H2598&lt;&gt;"")*(H2598&lt;=($M$3*60+$N$3)/86400)</f>
        <v>0</v>
      </c>
      <c r="N2598" s="16"/>
      <c r="O2598" s="15"/>
    </row>
    <row r="2599" customFormat="false" ht="25.35" hidden="false" customHeight="false" outlineLevel="0" collapsed="false">
      <c r="A2599" s="9" t="n">
        <v>2593</v>
      </c>
      <c r="B2599" s="10" t="s">
        <v>3657</v>
      </c>
      <c r="C2599" s="10" t="s">
        <v>3658</v>
      </c>
      <c r="D2599" s="11"/>
      <c r="E2599" s="12"/>
      <c r="F2599" s="11" t="n">
        <v>0.00838796296296296</v>
      </c>
      <c r="G2599" s="12" t="n">
        <v>1277</v>
      </c>
      <c r="H2599" s="11"/>
      <c r="I2599" s="12"/>
      <c r="J2599" s="12" t="n">
        <f aca="false">COUNT(E2599,G2599,I2599)</f>
        <v>1</v>
      </c>
      <c r="K2599" s="13" t="n">
        <f aca="false">MIN(E2599,G2599,I2599)</f>
        <v>1277</v>
      </c>
      <c r="L2599" s="9" t="str">
        <f aca="false">IF(E2599=K2599,"5000m",IF(G2599=K2599,"3000mSC","1500m"))</f>
        <v>3000mSC</v>
      </c>
      <c r="M2599" s="14" t="n">
        <f aca="false">(D2599&lt;&gt;"")*(D2599&lt;=($E$3*60+$F$3)/86400)+(F2599&lt;&gt;"")*(F2599&lt;=($I$3*60+$J$3)/86400)+(H2599&lt;&gt;"")*(H2599&lt;=($M$3*60+$N$3)/86400)</f>
        <v>0</v>
      </c>
      <c r="N2599" s="16"/>
      <c r="O2599" s="15"/>
    </row>
    <row r="2600" customFormat="false" ht="25.35" hidden="false" customHeight="false" outlineLevel="0" collapsed="false">
      <c r="A2600" s="9" t="n">
        <v>2594</v>
      </c>
      <c r="B2600" s="10" t="s">
        <v>3659</v>
      </c>
      <c r="C2600" s="10" t="s">
        <v>2917</v>
      </c>
      <c r="D2600" s="11"/>
      <c r="E2600" s="12"/>
      <c r="F2600" s="11" t="n">
        <v>0.00839259259259259</v>
      </c>
      <c r="G2600" s="12" t="n">
        <v>1278</v>
      </c>
      <c r="H2600" s="11"/>
      <c r="I2600" s="12"/>
      <c r="J2600" s="12" t="n">
        <f aca="false">COUNT(E2600,G2600,I2600)</f>
        <v>1</v>
      </c>
      <c r="K2600" s="13" t="n">
        <f aca="false">MIN(E2600,G2600,I2600)</f>
        <v>1278</v>
      </c>
      <c r="L2600" s="9" t="str">
        <f aca="false">IF(E2600=K2600,"5000m",IF(G2600=K2600,"3000mSC","1500m"))</f>
        <v>3000mSC</v>
      </c>
      <c r="M2600" s="14" t="n">
        <f aca="false">(D2600&lt;&gt;"")*(D2600&lt;=($E$3*60+$F$3)/86400)+(F2600&lt;&gt;"")*(F2600&lt;=($I$3*60+$J$3)/86400)+(H2600&lt;&gt;"")*(H2600&lt;=($M$3*60+$N$3)/86400)</f>
        <v>0</v>
      </c>
      <c r="N2600" s="16"/>
      <c r="O2600" s="15"/>
    </row>
    <row r="2601" customFormat="false" ht="25.35" hidden="false" customHeight="false" outlineLevel="0" collapsed="false">
      <c r="A2601" s="9" t="n">
        <v>2595</v>
      </c>
      <c r="B2601" s="10" t="s">
        <v>3660</v>
      </c>
      <c r="C2601" s="10" t="s">
        <v>3661</v>
      </c>
      <c r="D2601" s="11"/>
      <c r="E2601" s="12"/>
      <c r="F2601" s="11" t="n">
        <v>0.00840277777777778</v>
      </c>
      <c r="G2601" s="12" t="n">
        <v>1279</v>
      </c>
      <c r="H2601" s="11"/>
      <c r="I2601" s="12"/>
      <c r="J2601" s="12" t="n">
        <f aca="false">COUNT(E2601,G2601,I2601)</f>
        <v>1</v>
      </c>
      <c r="K2601" s="13" t="n">
        <f aca="false">MIN(E2601,G2601,I2601)</f>
        <v>1279</v>
      </c>
      <c r="L2601" s="9" t="str">
        <f aca="false">IF(E2601=K2601,"5000m",IF(G2601=K2601,"3000mSC","1500m"))</f>
        <v>3000mSC</v>
      </c>
      <c r="M2601" s="14" t="n">
        <f aca="false">(D2601&lt;&gt;"")*(D2601&lt;=($E$3*60+$F$3)/86400)+(F2601&lt;&gt;"")*(F2601&lt;=($I$3*60+$J$3)/86400)+(H2601&lt;&gt;"")*(H2601&lt;=($M$3*60+$N$3)/86400)</f>
        <v>0</v>
      </c>
      <c r="N2601" s="16"/>
      <c r="O2601" s="15"/>
    </row>
    <row r="2602" customFormat="false" ht="15" hidden="false" customHeight="false" outlineLevel="0" collapsed="false">
      <c r="A2602" s="9" t="n">
        <v>2596</v>
      </c>
      <c r="B2602" s="10" t="s">
        <v>3662</v>
      </c>
      <c r="C2602" s="10" t="s">
        <v>300</v>
      </c>
      <c r="D2602" s="11"/>
      <c r="E2602" s="12"/>
      <c r="F2602" s="11"/>
      <c r="G2602" s="12"/>
      <c r="H2602" s="11" t="n">
        <v>0.00296238425925926</v>
      </c>
      <c r="I2602" s="12" t="n">
        <v>1279</v>
      </c>
      <c r="J2602" s="12" t="n">
        <f aca="false">COUNT(E2602,G2602,I2602)</f>
        <v>1</v>
      </c>
      <c r="K2602" s="13" t="n">
        <f aca="false">MIN(E2602,G2602,I2602)</f>
        <v>1279</v>
      </c>
      <c r="L2602" s="9" t="str">
        <f aca="false">IF(E2602=K2602,"5000m",IF(G2602=K2602,"3000mSC","1500m"))</f>
        <v>1500m</v>
      </c>
      <c r="M2602" s="14" t="n">
        <f aca="false">(D2602&lt;&gt;"")*(D2602&lt;=($E$3*60+$F$3)/86400)+(F2602&lt;&gt;"")*(F2602&lt;=($I$3*60+$J$3)/86400)+(H2602&lt;&gt;"")*(H2602&lt;=($M$3*60+$N$3)/86400)</f>
        <v>0</v>
      </c>
      <c r="N2602" s="16"/>
      <c r="O2602" s="15"/>
    </row>
    <row r="2603" customFormat="false" ht="25.35" hidden="false" customHeight="false" outlineLevel="0" collapsed="false">
      <c r="A2603" s="9" t="n">
        <v>2597</v>
      </c>
      <c r="B2603" s="10" t="s">
        <v>3663</v>
      </c>
      <c r="C2603" s="10" t="s">
        <v>3664</v>
      </c>
      <c r="D2603" s="11"/>
      <c r="E2603" s="12"/>
      <c r="F2603" s="11" t="n">
        <v>0.00840300925925926</v>
      </c>
      <c r="G2603" s="12" t="n">
        <v>1280</v>
      </c>
      <c r="H2603" s="11"/>
      <c r="I2603" s="12"/>
      <c r="J2603" s="12" t="n">
        <f aca="false">COUNT(E2603,G2603,I2603)</f>
        <v>1</v>
      </c>
      <c r="K2603" s="13" t="n">
        <f aca="false">MIN(E2603,G2603,I2603)</f>
        <v>1280</v>
      </c>
      <c r="L2603" s="9" t="str">
        <f aca="false">IF(E2603=K2603,"5000m",IF(G2603=K2603,"3000mSC","1500m"))</f>
        <v>3000mSC</v>
      </c>
      <c r="M2603" s="14" t="n">
        <f aca="false">(D2603&lt;&gt;"")*(D2603&lt;=($E$3*60+$F$3)/86400)+(F2603&lt;&gt;"")*(F2603&lt;=($I$3*60+$J$3)/86400)+(H2603&lt;&gt;"")*(H2603&lt;=($M$3*60+$N$3)/86400)</f>
        <v>0</v>
      </c>
      <c r="N2603" s="16"/>
      <c r="O2603" s="15"/>
    </row>
    <row r="2604" customFormat="false" ht="15" hidden="false" customHeight="false" outlineLevel="0" collapsed="false">
      <c r="A2604" s="9" t="n">
        <v>2598</v>
      </c>
      <c r="B2604" s="10" t="s">
        <v>3665</v>
      </c>
      <c r="C2604" s="10" t="s">
        <v>3352</v>
      </c>
      <c r="D2604" s="11" t="n">
        <v>0.0111152777777778</v>
      </c>
      <c r="E2604" s="12" t="n">
        <v>1281</v>
      </c>
      <c r="F2604" s="11"/>
      <c r="G2604" s="12"/>
      <c r="H2604" s="11" t="n">
        <v>0.00296331018518519</v>
      </c>
      <c r="I2604" s="12" t="n">
        <v>1284</v>
      </c>
      <c r="J2604" s="12" t="n">
        <f aca="false">COUNT(E2604,G2604,I2604)</f>
        <v>2</v>
      </c>
      <c r="K2604" s="13" t="n">
        <f aca="false">MIN(E2604,G2604,I2604)</f>
        <v>1281</v>
      </c>
      <c r="L2604" s="9" t="str">
        <f aca="false">IF(E2604=K2604,"5000m",IF(G2604=K2604,"3000mSC","1500m"))</f>
        <v>5000m</v>
      </c>
      <c r="M2604" s="14" t="n">
        <f aca="false">(D2604&lt;&gt;"")*(D2604&lt;=($E$3*60+$F$3)/86400)+(F2604&lt;&gt;"")*(F2604&lt;=($I$3*60+$J$3)/86400)+(H2604&lt;&gt;"")*(H2604&lt;=($M$3*60+$N$3)/86400)</f>
        <v>0</v>
      </c>
      <c r="N2604" s="16"/>
      <c r="O2604" s="15"/>
    </row>
    <row r="2605" customFormat="false" ht="25.35" hidden="false" customHeight="false" outlineLevel="0" collapsed="false">
      <c r="A2605" s="9" t="n">
        <v>2599</v>
      </c>
      <c r="B2605" s="10" t="s">
        <v>3666</v>
      </c>
      <c r="C2605" s="10" t="s">
        <v>3667</v>
      </c>
      <c r="D2605" s="11"/>
      <c r="E2605" s="12"/>
      <c r="F2605" s="11" t="n">
        <v>0.00840636574074074</v>
      </c>
      <c r="G2605" s="12" t="n">
        <v>1281</v>
      </c>
      <c r="H2605" s="11"/>
      <c r="I2605" s="12"/>
      <c r="J2605" s="12" t="n">
        <f aca="false">COUNT(E2605,G2605,I2605)</f>
        <v>1</v>
      </c>
      <c r="K2605" s="13" t="n">
        <f aca="false">MIN(E2605,G2605,I2605)</f>
        <v>1281</v>
      </c>
      <c r="L2605" s="9" t="str">
        <f aca="false">IF(E2605=K2605,"5000m",IF(G2605=K2605,"3000mSC","1500m"))</f>
        <v>3000mSC</v>
      </c>
      <c r="M2605" s="14" t="n">
        <f aca="false">(D2605&lt;&gt;"")*(D2605&lt;=($E$3*60+$F$3)/86400)+(F2605&lt;&gt;"")*(F2605&lt;=($I$3*60+$J$3)/86400)+(H2605&lt;&gt;"")*(H2605&lt;=($M$3*60+$N$3)/86400)</f>
        <v>0</v>
      </c>
      <c r="N2605" s="16"/>
      <c r="O2605" s="15"/>
    </row>
    <row r="2606" customFormat="false" ht="15" hidden="false" customHeight="false" outlineLevel="0" collapsed="false">
      <c r="A2606" s="9" t="n">
        <v>2600</v>
      </c>
      <c r="B2606" s="10" t="s">
        <v>3668</v>
      </c>
      <c r="C2606" s="10" t="s">
        <v>126</v>
      </c>
      <c r="D2606" s="11"/>
      <c r="E2606" s="12"/>
      <c r="F2606" s="11"/>
      <c r="G2606" s="12"/>
      <c r="H2606" s="11" t="n">
        <v>0.0029625</v>
      </c>
      <c r="I2606" s="12" t="n">
        <v>1281</v>
      </c>
      <c r="J2606" s="12" t="n">
        <f aca="false">COUNT(E2606,G2606,I2606)</f>
        <v>1</v>
      </c>
      <c r="K2606" s="13" t="n">
        <f aca="false">MIN(E2606,G2606,I2606)</f>
        <v>1281</v>
      </c>
      <c r="L2606" s="9" t="str">
        <f aca="false">IF(E2606=K2606,"5000m",IF(G2606=K2606,"3000mSC","1500m"))</f>
        <v>1500m</v>
      </c>
      <c r="M2606" s="14" t="n">
        <f aca="false">(D2606&lt;&gt;"")*(D2606&lt;=($E$3*60+$F$3)/86400)+(F2606&lt;&gt;"")*(F2606&lt;=($I$3*60+$J$3)/86400)+(H2606&lt;&gt;"")*(H2606&lt;=($M$3*60+$N$3)/86400)</f>
        <v>0</v>
      </c>
      <c r="N2606" s="16"/>
      <c r="O2606" s="15"/>
    </row>
    <row r="2607" customFormat="false" ht="25.35" hidden="false" customHeight="false" outlineLevel="0" collapsed="false">
      <c r="A2607" s="9" t="n">
        <v>2601</v>
      </c>
      <c r="B2607" s="10" t="s">
        <v>3669</v>
      </c>
      <c r="C2607" s="10" t="s">
        <v>2219</v>
      </c>
      <c r="D2607" s="11"/>
      <c r="E2607" s="12"/>
      <c r="F2607" s="11" t="n">
        <v>0.00840972222222222</v>
      </c>
      <c r="G2607" s="12" t="n">
        <v>1283</v>
      </c>
      <c r="H2607" s="11"/>
      <c r="I2607" s="12"/>
      <c r="J2607" s="12" t="n">
        <f aca="false">COUNT(E2607,G2607,I2607)</f>
        <v>1</v>
      </c>
      <c r="K2607" s="13" t="n">
        <f aca="false">MIN(E2607,G2607,I2607)</f>
        <v>1283</v>
      </c>
      <c r="L2607" s="9" t="str">
        <f aca="false">IF(E2607=K2607,"5000m",IF(G2607=K2607,"3000mSC","1500m"))</f>
        <v>3000mSC</v>
      </c>
      <c r="M2607" s="14" t="n">
        <f aca="false">(D2607&lt;&gt;"")*(D2607&lt;=($E$3*60+$F$3)/86400)+(F2607&lt;&gt;"")*(F2607&lt;=($I$3*60+$J$3)/86400)+(H2607&lt;&gt;"")*(H2607&lt;=($M$3*60+$N$3)/86400)</f>
        <v>0</v>
      </c>
      <c r="N2607" s="16"/>
      <c r="O2607" s="15"/>
    </row>
    <row r="2608" customFormat="false" ht="25.35" hidden="false" customHeight="false" outlineLevel="0" collapsed="false">
      <c r="A2608" s="9" t="n">
        <v>2602</v>
      </c>
      <c r="B2608" s="10" t="s">
        <v>3670</v>
      </c>
      <c r="C2608" s="10" t="s">
        <v>2100</v>
      </c>
      <c r="D2608" s="11"/>
      <c r="E2608" s="12"/>
      <c r="F2608" s="11" t="n">
        <v>0.00841435185185185</v>
      </c>
      <c r="G2608" s="12" t="n">
        <v>1284</v>
      </c>
      <c r="H2608" s="11"/>
      <c r="I2608" s="12"/>
      <c r="J2608" s="12" t="n">
        <f aca="false">COUNT(E2608,G2608,I2608)</f>
        <v>1</v>
      </c>
      <c r="K2608" s="13" t="n">
        <f aca="false">MIN(E2608,G2608,I2608)</f>
        <v>1284</v>
      </c>
      <c r="L2608" s="9" t="str">
        <f aca="false">IF(E2608=K2608,"5000m",IF(G2608=K2608,"3000mSC","1500m"))</f>
        <v>3000mSC</v>
      </c>
      <c r="M2608" s="14" t="n">
        <f aca="false">(D2608&lt;&gt;"")*(D2608&lt;=($E$3*60+$F$3)/86400)+(F2608&lt;&gt;"")*(F2608&lt;=($I$3*60+$J$3)/86400)+(H2608&lt;&gt;"")*(H2608&lt;=($M$3*60+$N$3)/86400)</f>
        <v>0</v>
      </c>
      <c r="N2608" s="16"/>
      <c r="O2608" s="15"/>
    </row>
    <row r="2609" customFormat="false" ht="25.35" hidden="false" customHeight="false" outlineLevel="0" collapsed="false">
      <c r="A2609" s="9" t="n">
        <v>2603</v>
      </c>
      <c r="B2609" s="10" t="s">
        <v>3671</v>
      </c>
      <c r="C2609" s="10" t="s">
        <v>3453</v>
      </c>
      <c r="D2609" s="11"/>
      <c r="E2609" s="12"/>
      <c r="F2609" s="11" t="n">
        <v>0.00842025462962963</v>
      </c>
      <c r="G2609" s="12" t="n">
        <v>1285</v>
      </c>
      <c r="H2609" s="11"/>
      <c r="I2609" s="12"/>
      <c r="J2609" s="12" t="n">
        <f aca="false">COUNT(E2609,G2609,I2609)</f>
        <v>1</v>
      </c>
      <c r="K2609" s="13" t="n">
        <f aca="false">MIN(E2609,G2609,I2609)</f>
        <v>1285</v>
      </c>
      <c r="L2609" s="9" t="str">
        <f aca="false">IF(E2609=K2609,"5000m",IF(G2609=K2609,"3000mSC","1500m"))</f>
        <v>3000mSC</v>
      </c>
      <c r="M2609" s="14" t="n">
        <f aca="false">(D2609&lt;&gt;"")*(D2609&lt;=($E$3*60+$F$3)/86400)+(F2609&lt;&gt;"")*(F2609&lt;=($I$3*60+$J$3)/86400)+(H2609&lt;&gt;"")*(H2609&lt;=($M$3*60+$N$3)/86400)</f>
        <v>0</v>
      </c>
      <c r="N2609" s="16"/>
      <c r="O2609" s="15"/>
    </row>
    <row r="2610" customFormat="false" ht="15" hidden="false" customHeight="false" outlineLevel="0" collapsed="false">
      <c r="A2610" s="9" t="n">
        <v>2604</v>
      </c>
      <c r="B2610" s="10" t="s">
        <v>3672</v>
      </c>
      <c r="C2610" s="10" t="s">
        <v>416</v>
      </c>
      <c r="D2610" s="11"/>
      <c r="E2610" s="12"/>
      <c r="F2610" s="11"/>
      <c r="G2610" s="12"/>
      <c r="H2610" s="11" t="n">
        <v>0.00296342592592593</v>
      </c>
      <c r="I2610" s="12" t="n">
        <v>1285</v>
      </c>
      <c r="J2610" s="12" t="n">
        <f aca="false">COUNT(E2610,G2610,I2610)</f>
        <v>1</v>
      </c>
      <c r="K2610" s="13" t="n">
        <f aca="false">MIN(E2610,G2610,I2610)</f>
        <v>1285</v>
      </c>
      <c r="L2610" s="9" t="str">
        <f aca="false">IF(E2610=K2610,"5000m",IF(G2610=K2610,"3000mSC","1500m"))</f>
        <v>1500m</v>
      </c>
      <c r="M2610" s="14" t="n">
        <f aca="false">(D2610&lt;&gt;"")*(D2610&lt;=($E$3*60+$F$3)/86400)+(F2610&lt;&gt;"")*(F2610&lt;=($I$3*60+$J$3)/86400)+(H2610&lt;&gt;"")*(H2610&lt;=($M$3*60+$N$3)/86400)</f>
        <v>0</v>
      </c>
      <c r="N2610" s="16"/>
      <c r="O2610" s="15"/>
    </row>
    <row r="2611" customFormat="false" ht="25.35" hidden="false" customHeight="false" outlineLevel="0" collapsed="false">
      <c r="A2611" s="9" t="n">
        <v>2605</v>
      </c>
      <c r="B2611" s="10" t="s">
        <v>3673</v>
      </c>
      <c r="C2611" s="10" t="s">
        <v>3674</v>
      </c>
      <c r="D2611" s="11"/>
      <c r="E2611" s="12"/>
      <c r="F2611" s="11" t="n">
        <v>0.00843078703703704</v>
      </c>
      <c r="G2611" s="12" t="n">
        <v>1286</v>
      </c>
      <c r="H2611" s="11"/>
      <c r="I2611" s="12"/>
      <c r="J2611" s="12" t="n">
        <f aca="false">COUNT(E2611,G2611,I2611)</f>
        <v>1</v>
      </c>
      <c r="K2611" s="13" t="n">
        <f aca="false">MIN(E2611,G2611,I2611)</f>
        <v>1286</v>
      </c>
      <c r="L2611" s="9" t="str">
        <f aca="false">IF(E2611=K2611,"5000m",IF(G2611=K2611,"3000mSC","1500m"))</f>
        <v>3000mSC</v>
      </c>
      <c r="M2611" s="14" t="n">
        <f aca="false">(D2611&lt;&gt;"")*(D2611&lt;=($E$3*60+$F$3)/86400)+(F2611&lt;&gt;"")*(F2611&lt;=($I$3*60+$J$3)/86400)+(H2611&lt;&gt;"")*(H2611&lt;=($M$3*60+$N$3)/86400)</f>
        <v>0</v>
      </c>
      <c r="N2611" s="16"/>
      <c r="O2611" s="15"/>
    </row>
    <row r="2612" customFormat="false" ht="15" hidden="false" customHeight="false" outlineLevel="0" collapsed="false">
      <c r="A2612" s="9" t="n">
        <v>2606</v>
      </c>
      <c r="B2612" s="10" t="s">
        <v>3675</v>
      </c>
      <c r="C2612" s="10" t="s">
        <v>1892</v>
      </c>
      <c r="D2612" s="11" t="n">
        <v>0.0111204861111111</v>
      </c>
      <c r="E2612" s="12" t="n">
        <v>1287</v>
      </c>
      <c r="F2612" s="11"/>
      <c r="G2612" s="12"/>
      <c r="H2612" s="11"/>
      <c r="I2612" s="12"/>
      <c r="J2612" s="12" t="n">
        <f aca="false">COUNT(E2612,G2612,I2612)</f>
        <v>1</v>
      </c>
      <c r="K2612" s="13" t="n">
        <f aca="false">MIN(E2612,G2612,I2612)</f>
        <v>1287</v>
      </c>
      <c r="L2612" s="9" t="str">
        <f aca="false">IF(E2612=K2612,"5000m",IF(G2612=K2612,"3000mSC","1500m"))</f>
        <v>5000m</v>
      </c>
      <c r="M2612" s="14" t="n">
        <f aca="false">(D2612&lt;&gt;"")*(D2612&lt;=($E$3*60+$F$3)/86400)+(F2612&lt;&gt;"")*(F2612&lt;=($I$3*60+$J$3)/86400)+(H2612&lt;&gt;"")*(H2612&lt;=($M$3*60+$N$3)/86400)</f>
        <v>0</v>
      </c>
      <c r="N2612" s="16"/>
      <c r="O2612" s="15"/>
    </row>
    <row r="2613" customFormat="false" ht="25.35" hidden="false" customHeight="false" outlineLevel="0" collapsed="false">
      <c r="A2613" s="9" t="n">
        <v>2607</v>
      </c>
      <c r="B2613" s="10" t="s">
        <v>3676</v>
      </c>
      <c r="C2613" s="10" t="s">
        <v>1390</v>
      </c>
      <c r="D2613" s="11"/>
      <c r="E2613" s="12"/>
      <c r="F2613" s="11" t="n">
        <v>0.00843171296296296</v>
      </c>
      <c r="G2613" s="12" t="n">
        <v>1287</v>
      </c>
      <c r="H2613" s="11"/>
      <c r="I2613" s="12"/>
      <c r="J2613" s="12" t="n">
        <f aca="false">COUNT(E2613,G2613,I2613)</f>
        <v>1</v>
      </c>
      <c r="K2613" s="13" t="n">
        <f aca="false">MIN(E2613,G2613,I2613)</f>
        <v>1287</v>
      </c>
      <c r="L2613" s="9" t="str">
        <f aca="false">IF(E2613=K2613,"5000m",IF(G2613=K2613,"3000mSC","1500m"))</f>
        <v>3000mSC</v>
      </c>
      <c r="M2613" s="14" t="n">
        <f aca="false">(D2613&lt;&gt;"")*(D2613&lt;=($E$3*60+$F$3)/86400)+(F2613&lt;&gt;"")*(F2613&lt;=($I$3*60+$J$3)/86400)+(H2613&lt;&gt;"")*(H2613&lt;=($M$3*60+$N$3)/86400)</f>
        <v>0</v>
      </c>
      <c r="N2613" s="16"/>
      <c r="O2613" s="15"/>
    </row>
    <row r="2614" customFormat="false" ht="15" hidden="false" customHeight="false" outlineLevel="0" collapsed="false">
      <c r="A2614" s="9" t="n">
        <v>2608</v>
      </c>
      <c r="B2614" s="10" t="s">
        <v>3677</v>
      </c>
      <c r="C2614" s="10" t="s">
        <v>592</v>
      </c>
      <c r="D2614" s="11"/>
      <c r="E2614" s="12"/>
      <c r="F2614" s="11"/>
      <c r="G2614" s="12"/>
      <c r="H2614" s="11" t="n">
        <v>0.00296388888888889</v>
      </c>
      <c r="I2614" s="12" t="n">
        <v>1287</v>
      </c>
      <c r="J2614" s="12" t="n">
        <f aca="false">COUNT(E2614,G2614,I2614)</f>
        <v>1</v>
      </c>
      <c r="K2614" s="13" t="n">
        <f aca="false">MIN(E2614,G2614,I2614)</f>
        <v>1287</v>
      </c>
      <c r="L2614" s="9" t="str">
        <f aca="false">IF(E2614=K2614,"5000m",IF(G2614=K2614,"3000mSC","1500m"))</f>
        <v>1500m</v>
      </c>
      <c r="M2614" s="14" t="n">
        <f aca="false">(D2614&lt;&gt;"")*(D2614&lt;=($E$3*60+$F$3)/86400)+(F2614&lt;&gt;"")*(F2614&lt;=($I$3*60+$J$3)/86400)+(H2614&lt;&gt;"")*(H2614&lt;=($M$3*60+$N$3)/86400)</f>
        <v>0</v>
      </c>
      <c r="N2614" s="16"/>
      <c r="O2614" s="15"/>
    </row>
    <row r="2615" customFormat="false" ht="25.35" hidden="false" customHeight="false" outlineLevel="0" collapsed="false">
      <c r="A2615" s="9" t="n">
        <v>2609</v>
      </c>
      <c r="B2615" s="10" t="s">
        <v>3678</v>
      </c>
      <c r="C2615" s="10" t="s">
        <v>3679</v>
      </c>
      <c r="D2615" s="11"/>
      <c r="E2615" s="12"/>
      <c r="F2615" s="11" t="n">
        <v>0.00843275462962963</v>
      </c>
      <c r="G2615" s="12" t="n">
        <v>1288</v>
      </c>
      <c r="H2615" s="11"/>
      <c r="I2615" s="12"/>
      <c r="J2615" s="12" t="n">
        <f aca="false">COUNT(E2615,G2615,I2615)</f>
        <v>1</v>
      </c>
      <c r="K2615" s="13" t="n">
        <f aca="false">MIN(E2615,G2615,I2615)</f>
        <v>1288</v>
      </c>
      <c r="L2615" s="9" t="str">
        <f aca="false">IF(E2615=K2615,"5000m",IF(G2615=K2615,"3000mSC","1500m"))</f>
        <v>3000mSC</v>
      </c>
      <c r="M2615" s="14" t="n">
        <f aca="false">(D2615&lt;&gt;"")*(D2615&lt;=($E$3*60+$F$3)/86400)+(F2615&lt;&gt;"")*(F2615&lt;=($I$3*60+$J$3)/86400)+(H2615&lt;&gt;"")*(H2615&lt;=($M$3*60+$N$3)/86400)</f>
        <v>0</v>
      </c>
      <c r="N2615" s="16"/>
      <c r="O2615" s="15"/>
    </row>
    <row r="2616" customFormat="false" ht="15" hidden="false" customHeight="false" outlineLevel="0" collapsed="false">
      <c r="A2616" s="9" t="n">
        <v>2610</v>
      </c>
      <c r="B2616" s="10" t="s">
        <v>3680</v>
      </c>
      <c r="C2616" s="10" t="s">
        <v>1962</v>
      </c>
      <c r="D2616" s="11"/>
      <c r="E2616" s="12"/>
      <c r="F2616" s="11"/>
      <c r="G2616" s="12"/>
      <c r="H2616" s="11" t="n">
        <v>0.00296435185185185</v>
      </c>
      <c r="I2616" s="12" t="n">
        <v>1288</v>
      </c>
      <c r="J2616" s="12" t="n">
        <f aca="false">COUNT(E2616,G2616,I2616)</f>
        <v>1</v>
      </c>
      <c r="K2616" s="13" t="n">
        <f aca="false">MIN(E2616,G2616,I2616)</f>
        <v>1288</v>
      </c>
      <c r="L2616" s="9" t="str">
        <f aca="false">IF(E2616=K2616,"5000m",IF(G2616=K2616,"3000mSC","1500m"))</f>
        <v>1500m</v>
      </c>
      <c r="M2616" s="14" t="n">
        <f aca="false">(D2616&lt;&gt;"")*(D2616&lt;=($E$3*60+$F$3)/86400)+(F2616&lt;&gt;"")*(F2616&lt;=($I$3*60+$J$3)/86400)+(H2616&lt;&gt;"")*(H2616&lt;=($M$3*60+$N$3)/86400)</f>
        <v>0</v>
      </c>
      <c r="N2616" s="16"/>
      <c r="O2616" s="15"/>
    </row>
    <row r="2617" customFormat="false" ht="15" hidden="false" customHeight="false" outlineLevel="0" collapsed="false">
      <c r="A2617" s="9" t="n">
        <v>2611</v>
      </c>
      <c r="B2617" s="10" t="s">
        <v>3681</v>
      </c>
      <c r="C2617" s="10" t="s">
        <v>2974</v>
      </c>
      <c r="D2617" s="11" t="n">
        <v>0.0111210648148148</v>
      </c>
      <c r="E2617" s="12" t="n">
        <v>1289</v>
      </c>
      <c r="F2617" s="11"/>
      <c r="G2617" s="12"/>
      <c r="H2617" s="11"/>
      <c r="I2617" s="12"/>
      <c r="J2617" s="12" t="n">
        <f aca="false">COUNT(E2617,G2617,I2617)</f>
        <v>1</v>
      </c>
      <c r="K2617" s="13" t="n">
        <f aca="false">MIN(E2617,G2617,I2617)</f>
        <v>1289</v>
      </c>
      <c r="L2617" s="9" t="str">
        <f aca="false">IF(E2617=K2617,"5000m",IF(G2617=K2617,"3000mSC","1500m"))</f>
        <v>5000m</v>
      </c>
      <c r="M2617" s="14" t="n">
        <f aca="false">(D2617&lt;&gt;"")*(D2617&lt;=($E$3*60+$F$3)/86400)+(F2617&lt;&gt;"")*(F2617&lt;=($I$3*60+$J$3)/86400)+(H2617&lt;&gt;"")*(H2617&lt;=($M$3*60+$N$3)/86400)</f>
        <v>0</v>
      </c>
      <c r="N2617" s="16"/>
      <c r="O2617" s="15"/>
    </row>
    <row r="2618" customFormat="false" ht="25.35" hidden="false" customHeight="false" outlineLevel="0" collapsed="false">
      <c r="A2618" s="9" t="n">
        <v>2612</v>
      </c>
      <c r="B2618" s="10" t="s">
        <v>3682</v>
      </c>
      <c r="C2618" s="10" t="s">
        <v>2409</v>
      </c>
      <c r="D2618" s="11"/>
      <c r="E2618" s="12"/>
      <c r="F2618" s="11" t="n">
        <v>0.00843541666666667</v>
      </c>
      <c r="G2618" s="12" t="n">
        <v>1289</v>
      </c>
      <c r="H2618" s="11"/>
      <c r="I2618" s="12"/>
      <c r="J2618" s="12" t="n">
        <f aca="false">COUNT(E2618,G2618,I2618)</f>
        <v>1</v>
      </c>
      <c r="K2618" s="13" t="n">
        <f aca="false">MIN(E2618,G2618,I2618)</f>
        <v>1289</v>
      </c>
      <c r="L2618" s="9" t="str">
        <f aca="false">IF(E2618=K2618,"5000m",IF(G2618=K2618,"3000mSC","1500m"))</f>
        <v>3000mSC</v>
      </c>
      <c r="M2618" s="14" t="n">
        <f aca="false">(D2618&lt;&gt;"")*(D2618&lt;=($E$3*60+$F$3)/86400)+(F2618&lt;&gt;"")*(F2618&lt;=($I$3*60+$J$3)/86400)+(H2618&lt;&gt;"")*(H2618&lt;=($M$3*60+$N$3)/86400)</f>
        <v>0</v>
      </c>
      <c r="N2618" s="16"/>
      <c r="O2618" s="15"/>
    </row>
    <row r="2619" customFormat="false" ht="25.35" hidden="false" customHeight="false" outlineLevel="0" collapsed="false">
      <c r="A2619" s="9" t="n">
        <v>2613</v>
      </c>
      <c r="B2619" s="10" t="s">
        <v>3683</v>
      </c>
      <c r="C2619" s="10" t="s">
        <v>1040</v>
      </c>
      <c r="D2619" s="11"/>
      <c r="E2619" s="12"/>
      <c r="F2619" s="11" t="n">
        <v>0.00844826388888889</v>
      </c>
      <c r="G2619" s="12" t="n">
        <v>1290</v>
      </c>
      <c r="H2619" s="11"/>
      <c r="I2619" s="12"/>
      <c r="J2619" s="12" t="n">
        <f aca="false">COUNT(E2619,G2619,I2619)</f>
        <v>1</v>
      </c>
      <c r="K2619" s="13" t="n">
        <f aca="false">MIN(E2619,G2619,I2619)</f>
        <v>1290</v>
      </c>
      <c r="L2619" s="9" t="str">
        <f aca="false">IF(E2619=K2619,"5000m",IF(G2619=K2619,"3000mSC","1500m"))</f>
        <v>3000mSC</v>
      </c>
      <c r="M2619" s="14" t="n">
        <f aca="false">(D2619&lt;&gt;"")*(D2619&lt;=($E$3*60+$F$3)/86400)+(F2619&lt;&gt;"")*(F2619&lt;=($I$3*60+$J$3)/86400)+(H2619&lt;&gt;"")*(H2619&lt;=($M$3*60+$N$3)/86400)</f>
        <v>0</v>
      </c>
      <c r="N2619" s="16"/>
      <c r="O2619" s="15"/>
    </row>
    <row r="2620" customFormat="false" ht="25.35" hidden="false" customHeight="false" outlineLevel="0" collapsed="false">
      <c r="A2620" s="9" t="n">
        <v>2614</v>
      </c>
      <c r="B2620" s="10" t="s">
        <v>3684</v>
      </c>
      <c r="C2620" s="10" t="s">
        <v>3685</v>
      </c>
      <c r="D2620" s="11"/>
      <c r="E2620" s="12"/>
      <c r="F2620" s="11" t="n">
        <v>0.00844872685185185</v>
      </c>
      <c r="G2620" s="12" t="n">
        <v>1291</v>
      </c>
      <c r="H2620" s="11"/>
      <c r="I2620" s="12"/>
      <c r="J2620" s="12" t="n">
        <f aca="false">COUNT(E2620,G2620,I2620)</f>
        <v>1</v>
      </c>
      <c r="K2620" s="13" t="n">
        <f aca="false">MIN(E2620,G2620,I2620)</f>
        <v>1291</v>
      </c>
      <c r="L2620" s="9" t="str">
        <f aca="false">IF(E2620=K2620,"5000m",IF(G2620=K2620,"3000mSC","1500m"))</f>
        <v>3000mSC</v>
      </c>
      <c r="M2620" s="14" t="n">
        <f aca="false">(D2620&lt;&gt;"")*(D2620&lt;=($E$3*60+$F$3)/86400)+(F2620&lt;&gt;"")*(F2620&lt;=($I$3*60+$J$3)/86400)+(H2620&lt;&gt;"")*(H2620&lt;=($M$3*60+$N$3)/86400)</f>
        <v>0</v>
      </c>
      <c r="N2620" s="16"/>
      <c r="O2620" s="15"/>
    </row>
    <row r="2621" customFormat="false" ht="15" hidden="false" customHeight="false" outlineLevel="0" collapsed="false">
      <c r="A2621" s="9" t="n">
        <v>2615</v>
      </c>
      <c r="B2621" s="10" t="s">
        <v>3686</v>
      </c>
      <c r="C2621" s="10" t="s">
        <v>134</v>
      </c>
      <c r="D2621" s="11"/>
      <c r="E2621" s="12"/>
      <c r="F2621" s="11"/>
      <c r="G2621" s="12"/>
      <c r="H2621" s="11" t="n">
        <v>0.00296527777777778</v>
      </c>
      <c r="I2621" s="12" t="n">
        <v>1291</v>
      </c>
      <c r="J2621" s="12" t="n">
        <f aca="false">COUNT(E2621,G2621,I2621)</f>
        <v>1</v>
      </c>
      <c r="K2621" s="13" t="n">
        <f aca="false">MIN(E2621,G2621,I2621)</f>
        <v>1291</v>
      </c>
      <c r="L2621" s="9" t="str">
        <f aca="false">IF(E2621=K2621,"5000m",IF(G2621=K2621,"3000mSC","1500m"))</f>
        <v>1500m</v>
      </c>
      <c r="M2621" s="14" t="n">
        <f aca="false">(D2621&lt;&gt;"")*(D2621&lt;=($E$3*60+$F$3)/86400)+(F2621&lt;&gt;"")*(F2621&lt;=($I$3*60+$J$3)/86400)+(H2621&lt;&gt;"")*(H2621&lt;=($M$3*60+$N$3)/86400)</f>
        <v>0</v>
      </c>
      <c r="N2621" s="16"/>
      <c r="O2621" s="15"/>
    </row>
    <row r="2622" customFormat="false" ht="25.35" hidden="false" customHeight="false" outlineLevel="0" collapsed="false">
      <c r="A2622" s="9" t="n">
        <v>2616</v>
      </c>
      <c r="B2622" s="10" t="s">
        <v>3687</v>
      </c>
      <c r="C2622" s="10" t="s">
        <v>3688</v>
      </c>
      <c r="D2622" s="11"/>
      <c r="E2622" s="12"/>
      <c r="F2622" s="11" t="n">
        <v>0.00845428240740741</v>
      </c>
      <c r="G2622" s="12" t="n">
        <v>1292</v>
      </c>
      <c r="H2622" s="11"/>
      <c r="I2622" s="12"/>
      <c r="J2622" s="12" t="n">
        <f aca="false">COUNT(E2622,G2622,I2622)</f>
        <v>1</v>
      </c>
      <c r="K2622" s="13" t="n">
        <f aca="false">MIN(E2622,G2622,I2622)</f>
        <v>1292</v>
      </c>
      <c r="L2622" s="9" t="str">
        <f aca="false">IF(E2622=K2622,"5000m",IF(G2622=K2622,"3000mSC","1500m"))</f>
        <v>3000mSC</v>
      </c>
      <c r="M2622" s="14" t="n">
        <f aca="false">(D2622&lt;&gt;"")*(D2622&lt;=($E$3*60+$F$3)/86400)+(F2622&lt;&gt;"")*(F2622&lt;=($I$3*60+$J$3)/86400)+(H2622&lt;&gt;"")*(H2622&lt;=($M$3*60+$N$3)/86400)</f>
        <v>0</v>
      </c>
      <c r="N2622" s="16"/>
      <c r="O2622" s="15"/>
    </row>
    <row r="2623" customFormat="false" ht="15" hidden="false" customHeight="false" outlineLevel="0" collapsed="false">
      <c r="A2623" s="9" t="n">
        <v>2617</v>
      </c>
      <c r="B2623" s="10" t="s">
        <v>3689</v>
      </c>
      <c r="C2623" s="10" t="s">
        <v>2999</v>
      </c>
      <c r="D2623" s="11"/>
      <c r="E2623" s="12"/>
      <c r="F2623" s="11"/>
      <c r="G2623" s="12"/>
      <c r="H2623" s="11" t="n">
        <v>0.00296550925925926</v>
      </c>
      <c r="I2623" s="12" t="n">
        <v>1292</v>
      </c>
      <c r="J2623" s="12" t="n">
        <f aca="false">COUNT(E2623,G2623,I2623)</f>
        <v>1</v>
      </c>
      <c r="K2623" s="13" t="n">
        <f aca="false">MIN(E2623,G2623,I2623)</f>
        <v>1292</v>
      </c>
      <c r="L2623" s="9" t="str">
        <f aca="false">IF(E2623=K2623,"5000m",IF(G2623=K2623,"3000mSC","1500m"))</f>
        <v>1500m</v>
      </c>
      <c r="M2623" s="14" t="n">
        <f aca="false">(D2623&lt;&gt;"")*(D2623&lt;=($E$3*60+$F$3)/86400)+(F2623&lt;&gt;"")*(F2623&lt;=($I$3*60+$J$3)/86400)+(H2623&lt;&gt;"")*(H2623&lt;=($M$3*60+$N$3)/86400)</f>
        <v>0</v>
      </c>
      <c r="N2623" s="16"/>
      <c r="O2623" s="15"/>
    </row>
    <row r="2624" customFormat="false" ht="25.35" hidden="false" customHeight="false" outlineLevel="0" collapsed="false">
      <c r="A2624" s="9" t="n">
        <v>2618</v>
      </c>
      <c r="B2624" s="10" t="s">
        <v>3690</v>
      </c>
      <c r="C2624" s="10" t="s">
        <v>401</v>
      </c>
      <c r="D2624" s="11"/>
      <c r="E2624" s="12"/>
      <c r="F2624" s="11" t="n">
        <v>0.00846331018518519</v>
      </c>
      <c r="G2624" s="12" t="n">
        <v>1293</v>
      </c>
      <c r="H2624" s="11"/>
      <c r="I2624" s="12"/>
      <c r="J2624" s="12" t="n">
        <f aca="false">COUNT(E2624,G2624,I2624)</f>
        <v>1</v>
      </c>
      <c r="K2624" s="13" t="n">
        <f aca="false">MIN(E2624,G2624,I2624)</f>
        <v>1293</v>
      </c>
      <c r="L2624" s="9" t="str">
        <f aca="false">IF(E2624=K2624,"5000m",IF(G2624=K2624,"3000mSC","1500m"))</f>
        <v>3000mSC</v>
      </c>
      <c r="M2624" s="14" t="n">
        <f aca="false">(D2624&lt;&gt;"")*(D2624&lt;=($E$3*60+$F$3)/86400)+(F2624&lt;&gt;"")*(F2624&lt;=($I$3*60+$J$3)/86400)+(H2624&lt;&gt;"")*(H2624&lt;=($M$3*60+$N$3)/86400)</f>
        <v>0</v>
      </c>
      <c r="N2624" s="16"/>
      <c r="O2624" s="15"/>
    </row>
    <row r="2625" customFormat="false" ht="15" hidden="false" customHeight="false" outlineLevel="0" collapsed="false">
      <c r="A2625" s="9" t="n">
        <v>2619</v>
      </c>
      <c r="B2625" s="10" t="s">
        <v>3691</v>
      </c>
      <c r="C2625" s="10" t="s">
        <v>107</v>
      </c>
      <c r="D2625" s="11"/>
      <c r="E2625" s="12"/>
      <c r="F2625" s="11"/>
      <c r="G2625" s="12"/>
      <c r="H2625" s="11" t="n">
        <v>0.00296550925925926</v>
      </c>
      <c r="I2625" s="12" t="n">
        <v>1293</v>
      </c>
      <c r="J2625" s="12" t="n">
        <f aca="false">COUNT(E2625,G2625,I2625)</f>
        <v>1</v>
      </c>
      <c r="K2625" s="13" t="n">
        <f aca="false">MIN(E2625,G2625,I2625)</f>
        <v>1293</v>
      </c>
      <c r="L2625" s="9" t="str">
        <f aca="false">IF(E2625=K2625,"5000m",IF(G2625=K2625,"3000mSC","1500m"))</f>
        <v>1500m</v>
      </c>
      <c r="M2625" s="14" t="n">
        <f aca="false">(D2625&lt;&gt;"")*(D2625&lt;=($E$3*60+$F$3)/86400)+(F2625&lt;&gt;"")*(F2625&lt;=($I$3*60+$J$3)/86400)+(H2625&lt;&gt;"")*(H2625&lt;=($M$3*60+$N$3)/86400)</f>
        <v>0</v>
      </c>
      <c r="N2625" s="16"/>
      <c r="O2625" s="15"/>
    </row>
    <row r="2626" customFormat="false" ht="25.35" hidden="false" customHeight="false" outlineLevel="0" collapsed="false">
      <c r="A2626" s="9" t="n">
        <v>2620</v>
      </c>
      <c r="B2626" s="10" t="s">
        <v>3692</v>
      </c>
      <c r="C2626" s="10" t="s">
        <v>702</v>
      </c>
      <c r="D2626" s="11"/>
      <c r="E2626" s="12"/>
      <c r="F2626" s="11" t="n">
        <v>0.00846493055555556</v>
      </c>
      <c r="G2626" s="12" t="n">
        <v>1294</v>
      </c>
      <c r="H2626" s="11"/>
      <c r="I2626" s="12"/>
      <c r="J2626" s="12" t="n">
        <f aca="false">COUNT(E2626,G2626,I2626)</f>
        <v>1</v>
      </c>
      <c r="K2626" s="13" t="n">
        <f aca="false">MIN(E2626,G2626,I2626)</f>
        <v>1294</v>
      </c>
      <c r="L2626" s="9" t="str">
        <f aca="false">IF(E2626=K2626,"5000m",IF(G2626=K2626,"3000mSC","1500m"))</f>
        <v>3000mSC</v>
      </c>
      <c r="M2626" s="14" t="n">
        <f aca="false">(D2626&lt;&gt;"")*(D2626&lt;=($E$3*60+$F$3)/86400)+(F2626&lt;&gt;"")*(F2626&lt;=($I$3*60+$J$3)/86400)+(H2626&lt;&gt;"")*(H2626&lt;=($M$3*60+$N$3)/86400)</f>
        <v>0</v>
      </c>
      <c r="N2626" s="16"/>
      <c r="O2626" s="15"/>
    </row>
    <row r="2627" customFormat="false" ht="25.35" hidden="false" customHeight="false" outlineLevel="0" collapsed="false">
      <c r="A2627" s="9" t="n">
        <v>2621</v>
      </c>
      <c r="B2627" s="10" t="s">
        <v>3693</v>
      </c>
      <c r="C2627" s="10" t="s">
        <v>97</v>
      </c>
      <c r="D2627" s="11"/>
      <c r="E2627" s="12"/>
      <c r="F2627" s="11" t="n">
        <v>0.00847916666666667</v>
      </c>
      <c r="G2627" s="12" t="n">
        <v>1295</v>
      </c>
      <c r="H2627" s="11"/>
      <c r="I2627" s="12"/>
      <c r="J2627" s="12" t="n">
        <f aca="false">COUNT(E2627,G2627,I2627)</f>
        <v>1</v>
      </c>
      <c r="K2627" s="13" t="n">
        <f aca="false">MIN(E2627,G2627,I2627)</f>
        <v>1295</v>
      </c>
      <c r="L2627" s="9" t="str">
        <f aca="false">IF(E2627=K2627,"5000m",IF(G2627=K2627,"3000mSC","1500m"))</f>
        <v>3000mSC</v>
      </c>
      <c r="M2627" s="14" t="n">
        <f aca="false">(D2627&lt;&gt;"")*(D2627&lt;=($E$3*60+$F$3)/86400)+(F2627&lt;&gt;"")*(F2627&lt;=($I$3*60+$J$3)/86400)+(H2627&lt;&gt;"")*(H2627&lt;=($M$3*60+$N$3)/86400)</f>
        <v>0</v>
      </c>
      <c r="N2627" s="16"/>
      <c r="O2627" s="15"/>
    </row>
    <row r="2628" customFormat="false" ht="25.35" hidden="false" customHeight="false" outlineLevel="0" collapsed="false">
      <c r="A2628" s="9" t="n">
        <v>2622</v>
      </c>
      <c r="B2628" s="10" t="s">
        <v>3694</v>
      </c>
      <c r="C2628" s="10" t="s">
        <v>2438</v>
      </c>
      <c r="D2628" s="11"/>
      <c r="E2628" s="12"/>
      <c r="F2628" s="11" t="n">
        <v>0.0084880787037037</v>
      </c>
      <c r="G2628" s="12" t="n">
        <v>1296</v>
      </c>
      <c r="H2628" s="11"/>
      <c r="I2628" s="12"/>
      <c r="J2628" s="12" t="n">
        <f aca="false">COUNT(E2628,G2628,I2628)</f>
        <v>1</v>
      </c>
      <c r="K2628" s="13" t="n">
        <f aca="false">MIN(E2628,G2628,I2628)</f>
        <v>1296</v>
      </c>
      <c r="L2628" s="9" t="str">
        <f aca="false">IF(E2628=K2628,"5000m",IF(G2628=K2628,"3000mSC","1500m"))</f>
        <v>3000mSC</v>
      </c>
      <c r="M2628" s="14" t="n">
        <f aca="false">(D2628&lt;&gt;"")*(D2628&lt;=($E$3*60+$F$3)/86400)+(F2628&lt;&gt;"")*(F2628&lt;=($I$3*60+$J$3)/86400)+(H2628&lt;&gt;"")*(H2628&lt;=($M$3*60+$N$3)/86400)</f>
        <v>0</v>
      </c>
      <c r="N2628" s="16"/>
      <c r="O2628" s="15"/>
    </row>
    <row r="2629" customFormat="false" ht="25.35" hidden="false" customHeight="false" outlineLevel="0" collapsed="false">
      <c r="A2629" s="9" t="n">
        <v>2623</v>
      </c>
      <c r="B2629" s="10" t="s">
        <v>3695</v>
      </c>
      <c r="C2629" s="10" t="s">
        <v>3667</v>
      </c>
      <c r="D2629" s="11"/>
      <c r="E2629" s="12"/>
      <c r="F2629" s="11" t="n">
        <v>0.0084880787037037</v>
      </c>
      <c r="G2629" s="12" t="n">
        <v>1297</v>
      </c>
      <c r="H2629" s="11"/>
      <c r="I2629" s="12"/>
      <c r="J2629" s="12" t="n">
        <f aca="false">COUNT(E2629,G2629,I2629)</f>
        <v>1</v>
      </c>
      <c r="K2629" s="13" t="n">
        <f aca="false">MIN(E2629,G2629,I2629)</f>
        <v>1297</v>
      </c>
      <c r="L2629" s="9" t="str">
        <f aca="false">IF(E2629=K2629,"5000m",IF(G2629=K2629,"3000mSC","1500m"))</f>
        <v>3000mSC</v>
      </c>
      <c r="M2629" s="14" t="n">
        <f aca="false">(D2629&lt;&gt;"")*(D2629&lt;=($E$3*60+$F$3)/86400)+(F2629&lt;&gt;"")*(F2629&lt;=($I$3*60+$J$3)/86400)+(H2629&lt;&gt;"")*(H2629&lt;=($M$3*60+$N$3)/86400)</f>
        <v>0</v>
      </c>
      <c r="N2629" s="16"/>
      <c r="O2629" s="15"/>
    </row>
    <row r="2630" customFormat="false" ht="25.35" hidden="false" customHeight="false" outlineLevel="0" collapsed="false">
      <c r="A2630" s="9" t="n">
        <v>2624</v>
      </c>
      <c r="B2630" s="10" t="s">
        <v>3696</v>
      </c>
      <c r="C2630" s="10" t="s">
        <v>3697</v>
      </c>
      <c r="D2630" s="11"/>
      <c r="E2630" s="12"/>
      <c r="F2630" s="11" t="n">
        <v>0.0084931712962963</v>
      </c>
      <c r="G2630" s="12" t="n">
        <v>1298</v>
      </c>
      <c r="H2630" s="11"/>
      <c r="I2630" s="12"/>
      <c r="J2630" s="12" t="n">
        <f aca="false">COUNT(E2630,G2630,I2630)</f>
        <v>1</v>
      </c>
      <c r="K2630" s="13" t="n">
        <f aca="false">MIN(E2630,G2630,I2630)</f>
        <v>1298</v>
      </c>
      <c r="L2630" s="9" t="str">
        <f aca="false">IF(E2630=K2630,"5000m",IF(G2630=K2630,"3000mSC","1500m"))</f>
        <v>3000mSC</v>
      </c>
      <c r="M2630" s="14" t="n">
        <f aca="false">(D2630&lt;&gt;"")*(D2630&lt;=($E$3*60+$F$3)/86400)+(F2630&lt;&gt;"")*(F2630&lt;=($I$3*60+$J$3)/86400)+(H2630&lt;&gt;"")*(H2630&lt;=($M$3*60+$N$3)/86400)</f>
        <v>0</v>
      </c>
      <c r="N2630" s="16"/>
      <c r="O2630" s="15"/>
    </row>
    <row r="2631" customFormat="false" ht="25.35" hidden="false" customHeight="false" outlineLevel="0" collapsed="false">
      <c r="A2631" s="9" t="n">
        <v>2625</v>
      </c>
      <c r="B2631" s="10" t="s">
        <v>3698</v>
      </c>
      <c r="C2631" s="10" t="s">
        <v>614</v>
      </c>
      <c r="D2631" s="11"/>
      <c r="E2631" s="12"/>
      <c r="F2631" s="11" t="n">
        <v>0.00849803240740741</v>
      </c>
      <c r="G2631" s="12" t="n">
        <v>1299</v>
      </c>
      <c r="H2631" s="11"/>
      <c r="I2631" s="12"/>
      <c r="J2631" s="12" t="n">
        <f aca="false">COUNT(E2631,G2631,I2631)</f>
        <v>1</v>
      </c>
      <c r="K2631" s="13" t="n">
        <f aca="false">MIN(E2631,G2631,I2631)</f>
        <v>1299</v>
      </c>
      <c r="L2631" s="9" t="str">
        <f aca="false">IF(E2631=K2631,"5000m",IF(G2631=K2631,"3000mSC","1500m"))</f>
        <v>3000mSC</v>
      </c>
      <c r="M2631" s="14" t="n">
        <f aca="false">(D2631&lt;&gt;"")*(D2631&lt;=($E$3*60+$F$3)/86400)+(F2631&lt;&gt;"")*(F2631&lt;=($I$3*60+$J$3)/86400)+(H2631&lt;&gt;"")*(H2631&lt;=($M$3*60+$N$3)/86400)</f>
        <v>0</v>
      </c>
      <c r="N2631" s="16"/>
      <c r="O2631" s="15"/>
    </row>
    <row r="2632" customFormat="false" ht="15" hidden="false" customHeight="false" outlineLevel="0" collapsed="false">
      <c r="A2632" s="9" t="n">
        <v>2626</v>
      </c>
      <c r="B2632" s="10" t="s">
        <v>3699</v>
      </c>
      <c r="C2632" s="10" t="s">
        <v>72</v>
      </c>
      <c r="D2632" s="11"/>
      <c r="E2632" s="12"/>
      <c r="F2632" s="11"/>
      <c r="G2632" s="12"/>
      <c r="H2632" s="11" t="n">
        <v>0.00296701388888889</v>
      </c>
      <c r="I2632" s="12" t="n">
        <v>1299</v>
      </c>
      <c r="J2632" s="12" t="n">
        <f aca="false">COUNT(E2632,G2632,I2632)</f>
        <v>1</v>
      </c>
      <c r="K2632" s="13" t="n">
        <f aca="false">MIN(E2632,G2632,I2632)</f>
        <v>1299</v>
      </c>
      <c r="L2632" s="9" t="str">
        <f aca="false">IF(E2632=K2632,"5000m",IF(G2632=K2632,"3000mSC","1500m"))</f>
        <v>1500m</v>
      </c>
      <c r="M2632" s="14" t="n">
        <f aca="false">(D2632&lt;&gt;"")*(D2632&lt;=($E$3*60+$F$3)/86400)+(F2632&lt;&gt;"")*(F2632&lt;=($I$3*60+$J$3)/86400)+(H2632&lt;&gt;"")*(H2632&lt;=($M$3*60+$N$3)/86400)</f>
        <v>0</v>
      </c>
      <c r="N2632" s="16"/>
      <c r="O2632" s="15"/>
    </row>
    <row r="2633" customFormat="false" ht="25.35" hidden="false" customHeight="false" outlineLevel="0" collapsed="false">
      <c r="A2633" s="9" t="n">
        <v>2627</v>
      </c>
      <c r="B2633" s="10" t="s">
        <v>3700</v>
      </c>
      <c r="C2633" s="10" t="s">
        <v>3701</v>
      </c>
      <c r="D2633" s="11"/>
      <c r="E2633" s="12"/>
      <c r="F2633" s="11" t="n">
        <v>0.00849953703703704</v>
      </c>
      <c r="G2633" s="12" t="n">
        <v>1300</v>
      </c>
      <c r="H2633" s="11"/>
      <c r="I2633" s="12"/>
      <c r="J2633" s="12" t="n">
        <f aca="false">COUNT(E2633,G2633,I2633)</f>
        <v>1</v>
      </c>
      <c r="K2633" s="13" t="n">
        <f aca="false">MIN(E2633,G2633,I2633)</f>
        <v>1300</v>
      </c>
      <c r="L2633" s="9" t="str">
        <f aca="false">IF(E2633=K2633,"5000m",IF(G2633=K2633,"3000mSC","1500m"))</f>
        <v>3000mSC</v>
      </c>
      <c r="M2633" s="14" t="n">
        <f aca="false">(D2633&lt;&gt;"")*(D2633&lt;=($E$3*60+$F$3)/86400)+(F2633&lt;&gt;"")*(F2633&lt;=($I$3*60+$J$3)/86400)+(H2633&lt;&gt;"")*(H2633&lt;=($M$3*60+$N$3)/86400)</f>
        <v>0</v>
      </c>
      <c r="N2633" s="16"/>
      <c r="O2633" s="15"/>
    </row>
    <row r="2634" customFormat="false" ht="25.35" hidden="false" customHeight="false" outlineLevel="0" collapsed="false">
      <c r="A2634" s="9" t="n">
        <v>2628</v>
      </c>
      <c r="B2634" s="10" t="s">
        <v>3702</v>
      </c>
      <c r="C2634" s="10" t="s">
        <v>3703</v>
      </c>
      <c r="D2634" s="11"/>
      <c r="E2634" s="12"/>
      <c r="F2634" s="11" t="n">
        <v>0.00851365740740741</v>
      </c>
      <c r="G2634" s="12" t="n">
        <v>1301</v>
      </c>
      <c r="H2634" s="11"/>
      <c r="I2634" s="12"/>
      <c r="J2634" s="12" t="n">
        <f aca="false">COUNT(E2634,G2634,I2634)</f>
        <v>1</v>
      </c>
      <c r="K2634" s="13" t="n">
        <f aca="false">MIN(E2634,G2634,I2634)</f>
        <v>1301</v>
      </c>
      <c r="L2634" s="9" t="str">
        <f aca="false">IF(E2634=K2634,"5000m",IF(G2634=K2634,"3000mSC","1500m"))</f>
        <v>3000mSC</v>
      </c>
      <c r="M2634" s="14" t="n">
        <f aca="false">(D2634&lt;&gt;"")*(D2634&lt;=($E$3*60+$F$3)/86400)+(F2634&lt;&gt;"")*(F2634&lt;=($I$3*60+$J$3)/86400)+(H2634&lt;&gt;"")*(H2634&lt;=($M$3*60+$N$3)/86400)</f>
        <v>0</v>
      </c>
      <c r="N2634" s="16"/>
      <c r="O2634" s="15"/>
    </row>
    <row r="2635" customFormat="false" ht="15" hidden="false" customHeight="false" outlineLevel="0" collapsed="false">
      <c r="A2635" s="9" t="n">
        <v>2629</v>
      </c>
      <c r="B2635" s="10" t="s">
        <v>3704</v>
      </c>
      <c r="C2635" s="10" t="s">
        <v>1150</v>
      </c>
      <c r="D2635" s="11"/>
      <c r="E2635" s="12"/>
      <c r="F2635" s="11"/>
      <c r="G2635" s="12"/>
      <c r="H2635" s="11" t="n">
        <v>0.00296759259259259</v>
      </c>
      <c r="I2635" s="12" t="n">
        <v>1301</v>
      </c>
      <c r="J2635" s="12" t="n">
        <f aca="false">COUNT(E2635,G2635,I2635)</f>
        <v>1</v>
      </c>
      <c r="K2635" s="13" t="n">
        <f aca="false">MIN(E2635,G2635,I2635)</f>
        <v>1301</v>
      </c>
      <c r="L2635" s="9" t="str">
        <f aca="false">IF(E2635=K2635,"5000m",IF(G2635=K2635,"3000mSC","1500m"))</f>
        <v>1500m</v>
      </c>
      <c r="M2635" s="14" t="n">
        <f aca="false">(D2635&lt;&gt;"")*(D2635&lt;=($E$3*60+$F$3)/86400)+(F2635&lt;&gt;"")*(F2635&lt;=($I$3*60+$J$3)/86400)+(H2635&lt;&gt;"")*(H2635&lt;=($M$3*60+$N$3)/86400)</f>
        <v>0</v>
      </c>
      <c r="N2635" s="16"/>
      <c r="O2635" s="15"/>
    </row>
    <row r="2636" customFormat="false" ht="25.35" hidden="false" customHeight="false" outlineLevel="0" collapsed="false">
      <c r="A2636" s="9" t="n">
        <v>2630</v>
      </c>
      <c r="B2636" s="10" t="s">
        <v>3705</v>
      </c>
      <c r="C2636" s="10" t="s">
        <v>3706</v>
      </c>
      <c r="D2636" s="11"/>
      <c r="E2636" s="12"/>
      <c r="F2636" s="11" t="n">
        <v>0.00853715277777778</v>
      </c>
      <c r="G2636" s="12" t="n">
        <v>1302</v>
      </c>
      <c r="H2636" s="11"/>
      <c r="I2636" s="12"/>
      <c r="J2636" s="12" t="n">
        <f aca="false">COUNT(E2636,G2636,I2636)</f>
        <v>1</v>
      </c>
      <c r="K2636" s="13" t="n">
        <f aca="false">MIN(E2636,G2636,I2636)</f>
        <v>1302</v>
      </c>
      <c r="L2636" s="9" t="str">
        <f aca="false">IF(E2636=K2636,"5000m",IF(G2636=K2636,"3000mSC","1500m"))</f>
        <v>3000mSC</v>
      </c>
      <c r="M2636" s="14" t="n">
        <f aca="false">(D2636&lt;&gt;"")*(D2636&lt;=($E$3*60+$F$3)/86400)+(F2636&lt;&gt;"")*(F2636&lt;=($I$3*60+$J$3)/86400)+(H2636&lt;&gt;"")*(H2636&lt;=($M$3*60+$N$3)/86400)</f>
        <v>0</v>
      </c>
      <c r="N2636" s="16"/>
      <c r="O2636" s="15"/>
    </row>
    <row r="2637" customFormat="false" ht="15" hidden="false" customHeight="false" outlineLevel="0" collapsed="false">
      <c r="A2637" s="9" t="n">
        <v>2631</v>
      </c>
      <c r="B2637" s="10" t="s">
        <v>3707</v>
      </c>
      <c r="C2637" s="10" t="s">
        <v>1351</v>
      </c>
      <c r="D2637" s="11"/>
      <c r="E2637" s="12"/>
      <c r="F2637" s="11"/>
      <c r="G2637" s="12"/>
      <c r="H2637" s="11" t="n">
        <v>0.00296782407407407</v>
      </c>
      <c r="I2637" s="12" t="n">
        <v>1302</v>
      </c>
      <c r="J2637" s="12" t="n">
        <f aca="false">COUNT(E2637,G2637,I2637)</f>
        <v>1</v>
      </c>
      <c r="K2637" s="13" t="n">
        <f aca="false">MIN(E2637,G2637,I2637)</f>
        <v>1302</v>
      </c>
      <c r="L2637" s="9" t="str">
        <f aca="false">IF(E2637=K2637,"5000m",IF(G2637=K2637,"3000mSC","1500m"))</f>
        <v>1500m</v>
      </c>
      <c r="M2637" s="14" t="n">
        <f aca="false">(D2637&lt;&gt;"")*(D2637&lt;=($E$3*60+$F$3)/86400)+(F2637&lt;&gt;"")*(F2637&lt;=($I$3*60+$J$3)/86400)+(H2637&lt;&gt;"")*(H2637&lt;=($M$3*60+$N$3)/86400)</f>
        <v>0</v>
      </c>
      <c r="N2637" s="16"/>
      <c r="O2637" s="15"/>
    </row>
    <row r="2638" customFormat="false" ht="25.35" hidden="false" customHeight="false" outlineLevel="0" collapsed="false">
      <c r="A2638" s="9" t="n">
        <v>2632</v>
      </c>
      <c r="B2638" s="10" t="s">
        <v>3708</v>
      </c>
      <c r="C2638" s="10" t="s">
        <v>3709</v>
      </c>
      <c r="D2638" s="11"/>
      <c r="E2638" s="12"/>
      <c r="F2638" s="11" t="n">
        <v>0.0085380787037037</v>
      </c>
      <c r="G2638" s="12" t="n">
        <v>1303</v>
      </c>
      <c r="H2638" s="11"/>
      <c r="I2638" s="12"/>
      <c r="J2638" s="12" t="n">
        <f aca="false">COUNT(E2638,G2638,I2638)</f>
        <v>1</v>
      </c>
      <c r="K2638" s="13" t="n">
        <f aca="false">MIN(E2638,G2638,I2638)</f>
        <v>1303</v>
      </c>
      <c r="L2638" s="9" t="str">
        <f aca="false">IF(E2638=K2638,"5000m",IF(G2638=K2638,"3000mSC","1500m"))</f>
        <v>3000mSC</v>
      </c>
      <c r="M2638" s="14" t="n">
        <f aca="false">(D2638&lt;&gt;"")*(D2638&lt;=($E$3*60+$F$3)/86400)+(F2638&lt;&gt;"")*(F2638&lt;=($I$3*60+$J$3)/86400)+(H2638&lt;&gt;"")*(H2638&lt;=($M$3*60+$N$3)/86400)</f>
        <v>0</v>
      </c>
      <c r="N2638" s="16"/>
      <c r="O2638" s="15"/>
    </row>
    <row r="2639" customFormat="false" ht="15" hidden="false" customHeight="false" outlineLevel="0" collapsed="false">
      <c r="A2639" s="9" t="n">
        <v>2633</v>
      </c>
      <c r="B2639" s="10" t="s">
        <v>3710</v>
      </c>
      <c r="C2639" s="10" t="s">
        <v>3711</v>
      </c>
      <c r="D2639" s="11"/>
      <c r="E2639" s="12"/>
      <c r="F2639" s="11"/>
      <c r="G2639" s="12"/>
      <c r="H2639" s="11" t="n">
        <v>0.00296863425925926</v>
      </c>
      <c r="I2639" s="12" t="n">
        <v>1303</v>
      </c>
      <c r="J2639" s="12" t="n">
        <f aca="false">COUNT(E2639,G2639,I2639)</f>
        <v>1</v>
      </c>
      <c r="K2639" s="13" t="n">
        <f aca="false">MIN(E2639,G2639,I2639)</f>
        <v>1303</v>
      </c>
      <c r="L2639" s="9" t="str">
        <f aca="false">IF(E2639=K2639,"5000m",IF(G2639=K2639,"3000mSC","1500m"))</f>
        <v>1500m</v>
      </c>
      <c r="M2639" s="14" t="n">
        <f aca="false">(D2639&lt;&gt;"")*(D2639&lt;=($E$3*60+$F$3)/86400)+(F2639&lt;&gt;"")*(F2639&lt;=($I$3*60+$J$3)/86400)+(H2639&lt;&gt;"")*(H2639&lt;=($M$3*60+$N$3)/86400)</f>
        <v>0</v>
      </c>
      <c r="N2639" s="16"/>
      <c r="O2639" s="15"/>
    </row>
    <row r="2640" customFormat="false" ht="25.35" hidden="false" customHeight="false" outlineLevel="0" collapsed="false">
      <c r="A2640" s="9" t="n">
        <v>2634</v>
      </c>
      <c r="B2640" s="10" t="s">
        <v>3712</v>
      </c>
      <c r="C2640" s="10" t="s">
        <v>3713</v>
      </c>
      <c r="D2640" s="11"/>
      <c r="E2640" s="12"/>
      <c r="F2640" s="11" t="n">
        <v>0.00854097222222222</v>
      </c>
      <c r="G2640" s="12" t="n">
        <v>1304</v>
      </c>
      <c r="H2640" s="11"/>
      <c r="I2640" s="12"/>
      <c r="J2640" s="12" t="n">
        <f aca="false">COUNT(E2640,G2640,I2640)</f>
        <v>1</v>
      </c>
      <c r="K2640" s="13" t="n">
        <f aca="false">MIN(E2640,G2640,I2640)</f>
        <v>1304</v>
      </c>
      <c r="L2640" s="9" t="str">
        <f aca="false">IF(E2640=K2640,"5000m",IF(G2640=K2640,"3000mSC","1500m"))</f>
        <v>3000mSC</v>
      </c>
      <c r="M2640" s="14" t="n">
        <f aca="false">(D2640&lt;&gt;"")*(D2640&lt;=($E$3*60+$F$3)/86400)+(F2640&lt;&gt;"")*(F2640&lt;=($I$3*60+$J$3)/86400)+(H2640&lt;&gt;"")*(H2640&lt;=($M$3*60+$N$3)/86400)</f>
        <v>0</v>
      </c>
      <c r="N2640" s="16"/>
      <c r="O2640" s="15"/>
    </row>
    <row r="2641" customFormat="false" ht="15" hidden="false" customHeight="false" outlineLevel="0" collapsed="false">
      <c r="A2641" s="9" t="n">
        <v>2635</v>
      </c>
      <c r="B2641" s="10" t="s">
        <v>3714</v>
      </c>
      <c r="C2641" s="10" t="s">
        <v>3715</v>
      </c>
      <c r="D2641" s="11"/>
      <c r="E2641" s="12"/>
      <c r="F2641" s="11"/>
      <c r="G2641" s="12"/>
      <c r="H2641" s="11" t="n">
        <v>0.00296875</v>
      </c>
      <c r="I2641" s="12" t="n">
        <v>1304</v>
      </c>
      <c r="J2641" s="12" t="n">
        <f aca="false">COUNT(E2641,G2641,I2641)</f>
        <v>1</v>
      </c>
      <c r="K2641" s="13" t="n">
        <f aca="false">MIN(E2641,G2641,I2641)</f>
        <v>1304</v>
      </c>
      <c r="L2641" s="9" t="str">
        <f aca="false">IF(E2641=K2641,"5000m",IF(G2641=K2641,"3000mSC","1500m"))</f>
        <v>1500m</v>
      </c>
      <c r="M2641" s="14" t="n">
        <f aca="false">(D2641&lt;&gt;"")*(D2641&lt;=($E$3*60+$F$3)/86400)+(F2641&lt;&gt;"")*(F2641&lt;=($I$3*60+$J$3)/86400)+(H2641&lt;&gt;"")*(H2641&lt;=($M$3*60+$N$3)/86400)</f>
        <v>0</v>
      </c>
      <c r="N2641" s="16"/>
      <c r="O2641" s="15"/>
    </row>
    <row r="2642" customFormat="false" ht="25.35" hidden="false" customHeight="false" outlineLevel="0" collapsed="false">
      <c r="A2642" s="9" t="n">
        <v>2636</v>
      </c>
      <c r="B2642" s="10" t="s">
        <v>3716</v>
      </c>
      <c r="C2642" s="10" t="s">
        <v>3717</v>
      </c>
      <c r="D2642" s="11"/>
      <c r="E2642" s="12"/>
      <c r="F2642" s="11" t="n">
        <v>0.00855069444444444</v>
      </c>
      <c r="G2642" s="12" t="n">
        <v>1305</v>
      </c>
      <c r="H2642" s="11"/>
      <c r="I2642" s="12"/>
      <c r="J2642" s="12" t="n">
        <f aca="false">COUNT(E2642,G2642,I2642)</f>
        <v>1</v>
      </c>
      <c r="K2642" s="13" t="n">
        <f aca="false">MIN(E2642,G2642,I2642)</f>
        <v>1305</v>
      </c>
      <c r="L2642" s="9" t="str">
        <f aca="false">IF(E2642=K2642,"5000m",IF(G2642=K2642,"3000mSC","1500m"))</f>
        <v>3000mSC</v>
      </c>
      <c r="M2642" s="14" t="n">
        <f aca="false">(D2642&lt;&gt;"")*(D2642&lt;=($E$3*60+$F$3)/86400)+(F2642&lt;&gt;"")*(F2642&lt;=($I$3*60+$J$3)/86400)+(H2642&lt;&gt;"")*(H2642&lt;=($M$3*60+$N$3)/86400)</f>
        <v>0</v>
      </c>
      <c r="N2642" s="16"/>
      <c r="O2642" s="15"/>
    </row>
    <row r="2643" customFormat="false" ht="25.35" hidden="false" customHeight="false" outlineLevel="0" collapsed="false">
      <c r="A2643" s="9" t="n">
        <v>2637</v>
      </c>
      <c r="B2643" s="10" t="s">
        <v>3718</v>
      </c>
      <c r="C2643" s="10" t="s">
        <v>3706</v>
      </c>
      <c r="D2643" s="11"/>
      <c r="E2643" s="12"/>
      <c r="F2643" s="11" t="n">
        <v>0.00856365740740741</v>
      </c>
      <c r="G2643" s="12" t="n">
        <v>1306</v>
      </c>
      <c r="H2643" s="11"/>
      <c r="I2643" s="12"/>
      <c r="J2643" s="12" t="n">
        <f aca="false">COUNT(E2643,G2643,I2643)</f>
        <v>1</v>
      </c>
      <c r="K2643" s="13" t="n">
        <f aca="false">MIN(E2643,G2643,I2643)</f>
        <v>1306</v>
      </c>
      <c r="L2643" s="9" t="str">
        <f aca="false">IF(E2643=K2643,"5000m",IF(G2643=K2643,"3000mSC","1500m"))</f>
        <v>3000mSC</v>
      </c>
      <c r="M2643" s="14" t="n">
        <f aca="false">(D2643&lt;&gt;"")*(D2643&lt;=($E$3*60+$F$3)/86400)+(F2643&lt;&gt;"")*(F2643&lt;=($I$3*60+$J$3)/86400)+(H2643&lt;&gt;"")*(H2643&lt;=($M$3*60+$N$3)/86400)</f>
        <v>0</v>
      </c>
      <c r="N2643" s="16"/>
      <c r="O2643" s="15"/>
    </row>
    <row r="2644" customFormat="false" ht="15" hidden="false" customHeight="false" outlineLevel="0" collapsed="false">
      <c r="A2644" s="9" t="n">
        <v>2638</v>
      </c>
      <c r="B2644" s="10" t="s">
        <v>3719</v>
      </c>
      <c r="C2644" s="10" t="s">
        <v>3720</v>
      </c>
      <c r="D2644" s="11"/>
      <c r="E2644" s="12"/>
      <c r="F2644" s="11"/>
      <c r="G2644" s="12"/>
      <c r="H2644" s="11" t="n">
        <v>0.00296921296296296</v>
      </c>
      <c r="I2644" s="12" t="n">
        <v>1306</v>
      </c>
      <c r="J2644" s="12" t="n">
        <f aca="false">COUNT(E2644,G2644,I2644)</f>
        <v>1</v>
      </c>
      <c r="K2644" s="13" t="n">
        <f aca="false">MIN(E2644,G2644,I2644)</f>
        <v>1306</v>
      </c>
      <c r="L2644" s="9" t="str">
        <f aca="false">IF(E2644=K2644,"5000m",IF(G2644=K2644,"3000mSC","1500m"))</f>
        <v>1500m</v>
      </c>
      <c r="M2644" s="14" t="n">
        <f aca="false">(D2644&lt;&gt;"")*(D2644&lt;=($E$3*60+$F$3)/86400)+(F2644&lt;&gt;"")*(F2644&lt;=($I$3*60+$J$3)/86400)+(H2644&lt;&gt;"")*(H2644&lt;=($M$3*60+$N$3)/86400)</f>
        <v>0</v>
      </c>
      <c r="N2644" s="16"/>
      <c r="O2644" s="15"/>
    </row>
    <row r="2645" customFormat="false" ht="25.35" hidden="false" customHeight="false" outlineLevel="0" collapsed="false">
      <c r="A2645" s="9" t="n">
        <v>2639</v>
      </c>
      <c r="B2645" s="10" t="s">
        <v>3721</v>
      </c>
      <c r="C2645" s="10" t="s">
        <v>3722</v>
      </c>
      <c r="D2645" s="11"/>
      <c r="E2645" s="12"/>
      <c r="F2645" s="11" t="n">
        <v>0.00856388888888889</v>
      </c>
      <c r="G2645" s="12" t="n">
        <v>1307</v>
      </c>
      <c r="H2645" s="11"/>
      <c r="I2645" s="12"/>
      <c r="J2645" s="12" t="n">
        <f aca="false">COUNT(E2645,G2645,I2645)</f>
        <v>1</v>
      </c>
      <c r="K2645" s="13" t="n">
        <f aca="false">MIN(E2645,G2645,I2645)</f>
        <v>1307</v>
      </c>
      <c r="L2645" s="9" t="str">
        <f aca="false">IF(E2645=K2645,"5000m",IF(G2645=K2645,"3000mSC","1500m"))</f>
        <v>3000mSC</v>
      </c>
      <c r="M2645" s="14" t="n">
        <f aca="false">(D2645&lt;&gt;"")*(D2645&lt;=($E$3*60+$F$3)/86400)+(F2645&lt;&gt;"")*(F2645&lt;=($I$3*60+$J$3)/86400)+(H2645&lt;&gt;"")*(H2645&lt;=($M$3*60+$N$3)/86400)</f>
        <v>0</v>
      </c>
      <c r="N2645" s="16"/>
      <c r="O2645" s="15"/>
    </row>
    <row r="2646" customFormat="false" ht="25.35" hidden="false" customHeight="false" outlineLevel="0" collapsed="false">
      <c r="A2646" s="9" t="n">
        <v>2640</v>
      </c>
      <c r="B2646" s="10" t="s">
        <v>3723</v>
      </c>
      <c r="C2646" s="10" t="s">
        <v>3724</v>
      </c>
      <c r="D2646" s="11"/>
      <c r="E2646" s="12"/>
      <c r="F2646" s="11" t="n">
        <v>0.00856435185185185</v>
      </c>
      <c r="G2646" s="12" t="n">
        <v>1308</v>
      </c>
      <c r="H2646" s="11"/>
      <c r="I2646" s="12"/>
      <c r="J2646" s="12" t="n">
        <f aca="false">COUNT(E2646,G2646,I2646)</f>
        <v>1</v>
      </c>
      <c r="K2646" s="13" t="n">
        <f aca="false">MIN(E2646,G2646,I2646)</f>
        <v>1308</v>
      </c>
      <c r="L2646" s="9" t="str">
        <f aca="false">IF(E2646=K2646,"5000m",IF(G2646=K2646,"3000mSC","1500m"))</f>
        <v>3000mSC</v>
      </c>
      <c r="M2646" s="14" t="n">
        <f aca="false">(D2646&lt;&gt;"")*(D2646&lt;=($E$3*60+$F$3)/86400)+(F2646&lt;&gt;"")*(F2646&lt;=($I$3*60+$J$3)/86400)+(H2646&lt;&gt;"")*(H2646&lt;=($M$3*60+$N$3)/86400)</f>
        <v>0</v>
      </c>
      <c r="N2646" s="16"/>
      <c r="O2646" s="15"/>
    </row>
    <row r="2647" customFormat="false" ht="15" hidden="false" customHeight="false" outlineLevel="0" collapsed="false">
      <c r="A2647" s="9" t="n">
        <v>2641</v>
      </c>
      <c r="B2647" s="10" t="s">
        <v>3725</v>
      </c>
      <c r="C2647" s="10" t="s">
        <v>2288</v>
      </c>
      <c r="D2647" s="11"/>
      <c r="E2647" s="12"/>
      <c r="F2647" s="11"/>
      <c r="G2647" s="12"/>
      <c r="H2647" s="11" t="n">
        <v>0.00296944444444444</v>
      </c>
      <c r="I2647" s="12" t="n">
        <v>1308</v>
      </c>
      <c r="J2647" s="12" t="n">
        <f aca="false">COUNT(E2647,G2647,I2647)</f>
        <v>1</v>
      </c>
      <c r="K2647" s="13" t="n">
        <f aca="false">MIN(E2647,G2647,I2647)</f>
        <v>1308</v>
      </c>
      <c r="L2647" s="9" t="str">
        <f aca="false">IF(E2647=K2647,"5000m",IF(G2647=K2647,"3000mSC","1500m"))</f>
        <v>1500m</v>
      </c>
      <c r="M2647" s="14" t="n">
        <f aca="false">(D2647&lt;&gt;"")*(D2647&lt;=($E$3*60+$F$3)/86400)+(F2647&lt;&gt;"")*(F2647&lt;=($I$3*60+$J$3)/86400)+(H2647&lt;&gt;"")*(H2647&lt;=($M$3*60+$N$3)/86400)</f>
        <v>0</v>
      </c>
      <c r="N2647" s="16"/>
      <c r="O2647" s="15"/>
    </row>
    <row r="2648" customFormat="false" ht="25.35" hidden="false" customHeight="false" outlineLevel="0" collapsed="false">
      <c r="A2648" s="9" t="n">
        <v>2642</v>
      </c>
      <c r="B2648" s="10" t="s">
        <v>3726</v>
      </c>
      <c r="C2648" s="10" t="s">
        <v>3727</v>
      </c>
      <c r="D2648" s="11"/>
      <c r="E2648" s="12"/>
      <c r="F2648" s="11" t="n">
        <v>0.0085693287037037</v>
      </c>
      <c r="G2648" s="12" t="n">
        <v>1309</v>
      </c>
      <c r="H2648" s="11"/>
      <c r="I2648" s="12"/>
      <c r="J2648" s="12" t="n">
        <f aca="false">COUNT(E2648,G2648,I2648)</f>
        <v>1</v>
      </c>
      <c r="K2648" s="13" t="n">
        <f aca="false">MIN(E2648,G2648,I2648)</f>
        <v>1309</v>
      </c>
      <c r="L2648" s="9" t="str">
        <f aca="false">IF(E2648=K2648,"5000m",IF(G2648=K2648,"3000mSC","1500m"))</f>
        <v>3000mSC</v>
      </c>
      <c r="M2648" s="14" t="n">
        <f aca="false">(D2648&lt;&gt;"")*(D2648&lt;=($E$3*60+$F$3)/86400)+(F2648&lt;&gt;"")*(F2648&lt;=($I$3*60+$J$3)/86400)+(H2648&lt;&gt;"")*(H2648&lt;=($M$3*60+$N$3)/86400)</f>
        <v>0</v>
      </c>
      <c r="N2648" s="16"/>
      <c r="O2648" s="15"/>
    </row>
    <row r="2649" customFormat="false" ht="15" hidden="false" customHeight="false" outlineLevel="0" collapsed="false">
      <c r="A2649" s="9" t="n">
        <v>2643</v>
      </c>
      <c r="B2649" s="10" t="s">
        <v>3728</v>
      </c>
      <c r="C2649" s="10" t="s">
        <v>3729</v>
      </c>
      <c r="D2649" s="11"/>
      <c r="E2649" s="12"/>
      <c r="F2649" s="11"/>
      <c r="G2649" s="12"/>
      <c r="H2649" s="11" t="n">
        <v>0.00296956018518519</v>
      </c>
      <c r="I2649" s="12" t="n">
        <v>1309</v>
      </c>
      <c r="J2649" s="12" t="n">
        <f aca="false">COUNT(E2649,G2649,I2649)</f>
        <v>1</v>
      </c>
      <c r="K2649" s="13" t="n">
        <f aca="false">MIN(E2649,G2649,I2649)</f>
        <v>1309</v>
      </c>
      <c r="L2649" s="9" t="str">
        <f aca="false">IF(E2649=K2649,"5000m",IF(G2649=K2649,"3000mSC","1500m"))</f>
        <v>1500m</v>
      </c>
      <c r="M2649" s="14" t="n">
        <f aca="false">(D2649&lt;&gt;"")*(D2649&lt;=($E$3*60+$F$3)/86400)+(F2649&lt;&gt;"")*(F2649&lt;=($I$3*60+$J$3)/86400)+(H2649&lt;&gt;"")*(H2649&lt;=($M$3*60+$N$3)/86400)</f>
        <v>0</v>
      </c>
      <c r="N2649" s="16"/>
      <c r="O2649" s="15"/>
    </row>
    <row r="2650" customFormat="false" ht="25.35" hidden="false" customHeight="false" outlineLevel="0" collapsed="false">
      <c r="A2650" s="9" t="n">
        <v>2644</v>
      </c>
      <c r="B2650" s="10" t="s">
        <v>3730</v>
      </c>
      <c r="C2650" s="10" t="s">
        <v>3731</v>
      </c>
      <c r="D2650" s="11"/>
      <c r="E2650" s="12"/>
      <c r="F2650" s="11" t="n">
        <v>0.00857025462962963</v>
      </c>
      <c r="G2650" s="12" t="n">
        <v>1310</v>
      </c>
      <c r="H2650" s="11"/>
      <c r="I2650" s="12"/>
      <c r="J2650" s="12" t="n">
        <f aca="false">COUNT(E2650,G2650,I2650)</f>
        <v>1</v>
      </c>
      <c r="K2650" s="13" t="n">
        <f aca="false">MIN(E2650,G2650,I2650)</f>
        <v>1310</v>
      </c>
      <c r="L2650" s="9" t="str">
        <f aca="false">IF(E2650=K2650,"5000m",IF(G2650=K2650,"3000mSC","1500m"))</f>
        <v>3000mSC</v>
      </c>
      <c r="M2650" s="14" t="n">
        <f aca="false">(D2650&lt;&gt;"")*(D2650&lt;=($E$3*60+$F$3)/86400)+(F2650&lt;&gt;"")*(F2650&lt;=($I$3*60+$J$3)/86400)+(H2650&lt;&gt;"")*(H2650&lt;=($M$3*60+$N$3)/86400)</f>
        <v>0</v>
      </c>
      <c r="N2650" s="16"/>
      <c r="O2650" s="15"/>
    </row>
    <row r="2651" customFormat="false" ht="25.35" hidden="false" customHeight="false" outlineLevel="0" collapsed="false">
      <c r="A2651" s="9" t="n">
        <v>2645</v>
      </c>
      <c r="B2651" s="10" t="s">
        <v>3732</v>
      </c>
      <c r="C2651" s="10" t="s">
        <v>3733</v>
      </c>
      <c r="D2651" s="11"/>
      <c r="E2651" s="12"/>
      <c r="F2651" s="11" t="n">
        <v>0.00857673611111111</v>
      </c>
      <c r="G2651" s="12" t="n">
        <v>1311</v>
      </c>
      <c r="H2651" s="11"/>
      <c r="I2651" s="12"/>
      <c r="J2651" s="12" t="n">
        <f aca="false">COUNT(E2651,G2651,I2651)</f>
        <v>1</v>
      </c>
      <c r="K2651" s="13" t="n">
        <f aca="false">MIN(E2651,G2651,I2651)</f>
        <v>1311</v>
      </c>
      <c r="L2651" s="9" t="str">
        <f aca="false">IF(E2651=K2651,"5000m",IF(G2651=K2651,"3000mSC","1500m"))</f>
        <v>3000mSC</v>
      </c>
      <c r="M2651" s="14" t="n">
        <f aca="false">(D2651&lt;&gt;"")*(D2651&lt;=($E$3*60+$F$3)/86400)+(F2651&lt;&gt;"")*(F2651&lt;=($I$3*60+$J$3)/86400)+(H2651&lt;&gt;"")*(H2651&lt;=($M$3*60+$N$3)/86400)</f>
        <v>0</v>
      </c>
      <c r="N2651" s="16"/>
      <c r="O2651" s="15"/>
    </row>
    <row r="2652" customFormat="false" ht="25.35" hidden="false" customHeight="false" outlineLevel="0" collapsed="false">
      <c r="A2652" s="9" t="n">
        <v>2646</v>
      </c>
      <c r="B2652" s="10" t="s">
        <v>3734</v>
      </c>
      <c r="C2652" s="10" t="s">
        <v>1125</v>
      </c>
      <c r="D2652" s="11"/>
      <c r="E2652" s="12"/>
      <c r="F2652" s="11" t="n">
        <v>0.00857997685185185</v>
      </c>
      <c r="G2652" s="12" t="n">
        <v>1312</v>
      </c>
      <c r="H2652" s="11"/>
      <c r="I2652" s="12"/>
      <c r="J2652" s="12" t="n">
        <f aca="false">COUNT(E2652,G2652,I2652)</f>
        <v>1</v>
      </c>
      <c r="K2652" s="13" t="n">
        <f aca="false">MIN(E2652,G2652,I2652)</f>
        <v>1312</v>
      </c>
      <c r="L2652" s="9" t="str">
        <f aca="false">IF(E2652=K2652,"5000m",IF(G2652=K2652,"3000mSC","1500m"))</f>
        <v>3000mSC</v>
      </c>
      <c r="M2652" s="14" t="n">
        <f aca="false">(D2652&lt;&gt;"")*(D2652&lt;=($E$3*60+$F$3)/86400)+(F2652&lt;&gt;"")*(F2652&lt;=($I$3*60+$J$3)/86400)+(H2652&lt;&gt;"")*(H2652&lt;=($M$3*60+$N$3)/86400)</f>
        <v>0</v>
      </c>
      <c r="N2652" s="16"/>
      <c r="O2652" s="15"/>
    </row>
    <row r="2653" customFormat="false" ht="15" hidden="false" customHeight="false" outlineLevel="0" collapsed="false">
      <c r="A2653" s="9" t="n">
        <v>2647</v>
      </c>
      <c r="B2653" s="10" t="s">
        <v>3735</v>
      </c>
      <c r="C2653" s="10" t="s">
        <v>3736</v>
      </c>
      <c r="D2653" s="11"/>
      <c r="E2653" s="12"/>
      <c r="F2653" s="11"/>
      <c r="G2653" s="12"/>
      <c r="H2653" s="11" t="n">
        <v>0.00297060185185185</v>
      </c>
      <c r="I2653" s="12" t="n">
        <v>1312</v>
      </c>
      <c r="J2653" s="12" t="n">
        <f aca="false">COUNT(E2653,G2653,I2653)</f>
        <v>1</v>
      </c>
      <c r="K2653" s="13" t="n">
        <f aca="false">MIN(E2653,G2653,I2653)</f>
        <v>1312</v>
      </c>
      <c r="L2653" s="9" t="str">
        <f aca="false">IF(E2653=K2653,"5000m",IF(G2653=K2653,"3000mSC","1500m"))</f>
        <v>1500m</v>
      </c>
      <c r="M2653" s="14" t="n">
        <f aca="false">(D2653&lt;&gt;"")*(D2653&lt;=($E$3*60+$F$3)/86400)+(F2653&lt;&gt;"")*(F2653&lt;=($I$3*60+$J$3)/86400)+(H2653&lt;&gt;"")*(H2653&lt;=($M$3*60+$N$3)/86400)</f>
        <v>0</v>
      </c>
      <c r="N2653" s="16"/>
      <c r="O2653" s="15"/>
    </row>
    <row r="2654" customFormat="false" ht="25.35" hidden="false" customHeight="false" outlineLevel="0" collapsed="false">
      <c r="A2654" s="9" t="n">
        <v>2648</v>
      </c>
      <c r="B2654" s="10" t="s">
        <v>3737</v>
      </c>
      <c r="C2654" s="10" t="s">
        <v>2698</v>
      </c>
      <c r="D2654" s="11"/>
      <c r="E2654" s="12"/>
      <c r="F2654" s="11" t="n">
        <v>0.00858298611111111</v>
      </c>
      <c r="G2654" s="12" t="n">
        <v>1313</v>
      </c>
      <c r="H2654" s="11"/>
      <c r="I2654" s="12"/>
      <c r="J2654" s="12" t="n">
        <f aca="false">COUNT(E2654,G2654,I2654)</f>
        <v>1</v>
      </c>
      <c r="K2654" s="13" t="n">
        <f aca="false">MIN(E2654,G2654,I2654)</f>
        <v>1313</v>
      </c>
      <c r="L2654" s="9" t="str">
        <f aca="false">IF(E2654=K2654,"5000m",IF(G2654=K2654,"3000mSC","1500m"))</f>
        <v>3000mSC</v>
      </c>
      <c r="M2654" s="14" t="n">
        <f aca="false">(D2654&lt;&gt;"")*(D2654&lt;=($E$3*60+$F$3)/86400)+(F2654&lt;&gt;"")*(F2654&lt;=($I$3*60+$J$3)/86400)+(H2654&lt;&gt;"")*(H2654&lt;=($M$3*60+$N$3)/86400)</f>
        <v>0</v>
      </c>
      <c r="N2654" s="16"/>
      <c r="O2654" s="15"/>
    </row>
    <row r="2655" customFormat="false" ht="25.35" hidden="false" customHeight="false" outlineLevel="0" collapsed="false">
      <c r="A2655" s="9" t="n">
        <v>2649</v>
      </c>
      <c r="B2655" s="10" t="s">
        <v>3738</v>
      </c>
      <c r="C2655" s="10" t="s">
        <v>3739</v>
      </c>
      <c r="D2655" s="11"/>
      <c r="E2655" s="12"/>
      <c r="F2655" s="11" t="n">
        <v>0.00860219907407408</v>
      </c>
      <c r="G2655" s="12" t="n">
        <v>1314</v>
      </c>
      <c r="H2655" s="11"/>
      <c r="I2655" s="12"/>
      <c r="J2655" s="12" t="n">
        <f aca="false">COUNT(E2655,G2655,I2655)</f>
        <v>1</v>
      </c>
      <c r="K2655" s="13" t="n">
        <f aca="false">MIN(E2655,G2655,I2655)</f>
        <v>1314</v>
      </c>
      <c r="L2655" s="9" t="str">
        <f aca="false">IF(E2655=K2655,"5000m",IF(G2655=K2655,"3000mSC","1500m"))</f>
        <v>3000mSC</v>
      </c>
      <c r="M2655" s="14" t="n">
        <f aca="false">(D2655&lt;&gt;"")*(D2655&lt;=($E$3*60+$F$3)/86400)+(F2655&lt;&gt;"")*(F2655&lt;=($I$3*60+$J$3)/86400)+(H2655&lt;&gt;"")*(H2655&lt;=($M$3*60+$N$3)/86400)</f>
        <v>0</v>
      </c>
      <c r="N2655" s="16"/>
      <c r="O2655" s="15"/>
    </row>
    <row r="2656" customFormat="false" ht="15" hidden="false" customHeight="false" outlineLevel="0" collapsed="false">
      <c r="A2656" s="9" t="n">
        <v>2650</v>
      </c>
      <c r="B2656" s="10" t="s">
        <v>3740</v>
      </c>
      <c r="C2656" s="10" t="s">
        <v>3741</v>
      </c>
      <c r="D2656" s="11"/>
      <c r="E2656" s="12"/>
      <c r="F2656" s="11"/>
      <c r="G2656" s="12"/>
      <c r="H2656" s="11" t="n">
        <v>0.00297152777777778</v>
      </c>
      <c r="I2656" s="12" t="n">
        <v>1314</v>
      </c>
      <c r="J2656" s="12" t="n">
        <f aca="false">COUNT(E2656,G2656,I2656)</f>
        <v>1</v>
      </c>
      <c r="K2656" s="13" t="n">
        <f aca="false">MIN(E2656,G2656,I2656)</f>
        <v>1314</v>
      </c>
      <c r="L2656" s="9" t="str">
        <f aca="false">IF(E2656=K2656,"5000m",IF(G2656=K2656,"3000mSC","1500m"))</f>
        <v>1500m</v>
      </c>
      <c r="M2656" s="14" t="n">
        <f aca="false">(D2656&lt;&gt;"")*(D2656&lt;=($E$3*60+$F$3)/86400)+(F2656&lt;&gt;"")*(F2656&lt;=($I$3*60+$J$3)/86400)+(H2656&lt;&gt;"")*(H2656&lt;=($M$3*60+$N$3)/86400)</f>
        <v>0</v>
      </c>
      <c r="N2656" s="16"/>
      <c r="O2656" s="15"/>
    </row>
    <row r="2657" customFormat="false" ht="25.35" hidden="false" customHeight="false" outlineLevel="0" collapsed="false">
      <c r="A2657" s="9" t="n">
        <v>2651</v>
      </c>
      <c r="B2657" s="10" t="s">
        <v>3742</v>
      </c>
      <c r="C2657" s="10" t="s">
        <v>954</v>
      </c>
      <c r="D2657" s="11"/>
      <c r="E2657" s="12"/>
      <c r="F2657" s="11" t="n">
        <v>0.008609375</v>
      </c>
      <c r="G2657" s="12" t="n">
        <v>1315</v>
      </c>
      <c r="H2657" s="11"/>
      <c r="I2657" s="12"/>
      <c r="J2657" s="12" t="n">
        <f aca="false">COUNT(E2657,G2657,I2657)</f>
        <v>1</v>
      </c>
      <c r="K2657" s="13" t="n">
        <f aca="false">MIN(E2657,G2657,I2657)</f>
        <v>1315</v>
      </c>
      <c r="L2657" s="9" t="str">
        <f aca="false">IF(E2657=K2657,"5000m",IF(G2657=K2657,"3000mSC","1500m"))</f>
        <v>3000mSC</v>
      </c>
      <c r="M2657" s="14" t="n">
        <f aca="false">(D2657&lt;&gt;"")*(D2657&lt;=($E$3*60+$F$3)/86400)+(F2657&lt;&gt;"")*(F2657&lt;=($I$3*60+$J$3)/86400)+(H2657&lt;&gt;"")*(H2657&lt;=($M$3*60+$N$3)/86400)</f>
        <v>0</v>
      </c>
      <c r="N2657" s="16"/>
      <c r="O2657" s="15"/>
    </row>
    <row r="2658" customFormat="false" ht="25.35" hidden="false" customHeight="false" outlineLevel="0" collapsed="false">
      <c r="A2658" s="9" t="n">
        <v>2652</v>
      </c>
      <c r="B2658" s="10" t="s">
        <v>3743</v>
      </c>
      <c r="C2658" s="10" t="s">
        <v>2442</v>
      </c>
      <c r="D2658" s="11"/>
      <c r="E2658" s="12"/>
      <c r="F2658" s="11" t="n">
        <v>0.00861840277777778</v>
      </c>
      <c r="G2658" s="12" t="n">
        <v>1316</v>
      </c>
      <c r="H2658" s="11"/>
      <c r="I2658" s="12"/>
      <c r="J2658" s="12" t="n">
        <f aca="false">COUNT(E2658,G2658,I2658)</f>
        <v>1</v>
      </c>
      <c r="K2658" s="13" t="n">
        <f aca="false">MIN(E2658,G2658,I2658)</f>
        <v>1316</v>
      </c>
      <c r="L2658" s="9" t="str">
        <f aca="false">IF(E2658=K2658,"5000m",IF(G2658=K2658,"3000mSC","1500m"))</f>
        <v>3000mSC</v>
      </c>
      <c r="M2658" s="14" t="n">
        <f aca="false">(D2658&lt;&gt;"")*(D2658&lt;=($E$3*60+$F$3)/86400)+(F2658&lt;&gt;"")*(F2658&lt;=($I$3*60+$J$3)/86400)+(H2658&lt;&gt;"")*(H2658&lt;=($M$3*60+$N$3)/86400)</f>
        <v>0</v>
      </c>
      <c r="N2658" s="16"/>
      <c r="O2658" s="15"/>
    </row>
    <row r="2659" customFormat="false" ht="25.35" hidden="false" customHeight="false" outlineLevel="0" collapsed="false">
      <c r="A2659" s="9" t="n">
        <v>2653</v>
      </c>
      <c r="B2659" s="10" t="s">
        <v>3744</v>
      </c>
      <c r="C2659" s="10" t="s">
        <v>2638</v>
      </c>
      <c r="D2659" s="11"/>
      <c r="E2659" s="12"/>
      <c r="F2659" s="11" t="n">
        <v>0.0086212962962963</v>
      </c>
      <c r="G2659" s="12" t="n">
        <v>1317</v>
      </c>
      <c r="H2659" s="11"/>
      <c r="I2659" s="12"/>
      <c r="J2659" s="12" t="n">
        <f aca="false">COUNT(E2659,G2659,I2659)</f>
        <v>1</v>
      </c>
      <c r="K2659" s="13" t="n">
        <f aca="false">MIN(E2659,G2659,I2659)</f>
        <v>1317</v>
      </c>
      <c r="L2659" s="9" t="str">
        <f aca="false">IF(E2659=K2659,"5000m",IF(G2659=K2659,"3000mSC","1500m"))</f>
        <v>3000mSC</v>
      </c>
      <c r="M2659" s="14" t="n">
        <f aca="false">(D2659&lt;&gt;"")*(D2659&lt;=($E$3*60+$F$3)/86400)+(F2659&lt;&gt;"")*(F2659&lt;=($I$3*60+$J$3)/86400)+(H2659&lt;&gt;"")*(H2659&lt;=($M$3*60+$N$3)/86400)</f>
        <v>0</v>
      </c>
      <c r="N2659" s="16"/>
      <c r="O2659" s="15"/>
    </row>
    <row r="2660" customFormat="false" ht="15" hidden="false" customHeight="false" outlineLevel="0" collapsed="false">
      <c r="A2660" s="9" t="n">
        <v>2654</v>
      </c>
      <c r="B2660" s="10" t="s">
        <v>3745</v>
      </c>
      <c r="C2660" s="10" t="s">
        <v>1223</v>
      </c>
      <c r="D2660" s="11"/>
      <c r="E2660" s="12"/>
      <c r="F2660" s="11"/>
      <c r="G2660" s="12"/>
      <c r="H2660" s="11" t="n">
        <v>0.00297175925925926</v>
      </c>
      <c r="I2660" s="12" t="n">
        <v>1317</v>
      </c>
      <c r="J2660" s="12" t="n">
        <f aca="false">COUNT(E2660,G2660,I2660)</f>
        <v>1</v>
      </c>
      <c r="K2660" s="13" t="n">
        <f aca="false">MIN(E2660,G2660,I2660)</f>
        <v>1317</v>
      </c>
      <c r="L2660" s="9" t="str">
        <f aca="false">IF(E2660=K2660,"5000m",IF(G2660=K2660,"3000mSC","1500m"))</f>
        <v>1500m</v>
      </c>
      <c r="M2660" s="14" t="n">
        <f aca="false">(D2660&lt;&gt;"")*(D2660&lt;=($E$3*60+$F$3)/86400)+(F2660&lt;&gt;"")*(F2660&lt;=($I$3*60+$J$3)/86400)+(H2660&lt;&gt;"")*(H2660&lt;=($M$3*60+$N$3)/86400)</f>
        <v>0</v>
      </c>
      <c r="N2660" s="16"/>
      <c r="O2660" s="15"/>
    </row>
    <row r="2661" customFormat="false" ht="25.35" hidden="false" customHeight="false" outlineLevel="0" collapsed="false">
      <c r="A2661" s="9" t="n">
        <v>2655</v>
      </c>
      <c r="B2661" s="10" t="s">
        <v>3746</v>
      </c>
      <c r="C2661" s="10" t="s">
        <v>3002</v>
      </c>
      <c r="D2661" s="11"/>
      <c r="E2661" s="12"/>
      <c r="F2661" s="11" t="n">
        <v>0.0086337962962963</v>
      </c>
      <c r="G2661" s="12" t="n">
        <v>1318</v>
      </c>
      <c r="H2661" s="11"/>
      <c r="I2661" s="12"/>
      <c r="J2661" s="12" t="n">
        <f aca="false">COUNT(E2661,G2661,I2661)</f>
        <v>1</v>
      </c>
      <c r="K2661" s="13" t="n">
        <f aca="false">MIN(E2661,G2661,I2661)</f>
        <v>1318</v>
      </c>
      <c r="L2661" s="9" t="str">
        <f aca="false">IF(E2661=K2661,"5000m",IF(G2661=K2661,"3000mSC","1500m"))</f>
        <v>3000mSC</v>
      </c>
      <c r="M2661" s="14" t="n">
        <f aca="false">(D2661&lt;&gt;"")*(D2661&lt;=($E$3*60+$F$3)/86400)+(F2661&lt;&gt;"")*(F2661&lt;=($I$3*60+$J$3)/86400)+(H2661&lt;&gt;"")*(H2661&lt;=($M$3*60+$N$3)/86400)</f>
        <v>0</v>
      </c>
      <c r="N2661" s="16"/>
      <c r="O2661" s="15"/>
    </row>
    <row r="2662" customFormat="false" ht="15" hidden="false" customHeight="false" outlineLevel="0" collapsed="false">
      <c r="A2662" s="9" t="n">
        <v>2656</v>
      </c>
      <c r="B2662" s="10" t="s">
        <v>3747</v>
      </c>
      <c r="C2662" s="10" t="s">
        <v>546</v>
      </c>
      <c r="D2662" s="11"/>
      <c r="E2662" s="12"/>
      <c r="F2662" s="11"/>
      <c r="G2662" s="12"/>
      <c r="H2662" s="11" t="n">
        <v>0.00297222222222222</v>
      </c>
      <c r="I2662" s="12" t="n">
        <v>1318</v>
      </c>
      <c r="J2662" s="12" t="n">
        <f aca="false">COUNT(E2662,G2662,I2662)</f>
        <v>1</v>
      </c>
      <c r="K2662" s="13" t="n">
        <f aca="false">MIN(E2662,G2662,I2662)</f>
        <v>1318</v>
      </c>
      <c r="L2662" s="9" t="str">
        <f aca="false">IF(E2662=K2662,"5000m",IF(G2662=K2662,"3000mSC","1500m"))</f>
        <v>1500m</v>
      </c>
      <c r="M2662" s="14" t="n">
        <f aca="false">(D2662&lt;&gt;"")*(D2662&lt;=($E$3*60+$F$3)/86400)+(F2662&lt;&gt;"")*(F2662&lt;=($I$3*60+$J$3)/86400)+(H2662&lt;&gt;"")*(H2662&lt;=($M$3*60+$N$3)/86400)</f>
        <v>0</v>
      </c>
      <c r="N2662" s="16"/>
      <c r="O2662" s="15"/>
    </row>
    <row r="2663" customFormat="false" ht="25.35" hidden="false" customHeight="false" outlineLevel="0" collapsed="false">
      <c r="A2663" s="9" t="n">
        <v>2657</v>
      </c>
      <c r="B2663" s="10" t="s">
        <v>3748</v>
      </c>
      <c r="C2663" s="10" t="s">
        <v>3749</v>
      </c>
      <c r="D2663" s="11"/>
      <c r="E2663" s="12"/>
      <c r="F2663" s="11" t="n">
        <v>0.00863530092592593</v>
      </c>
      <c r="G2663" s="12" t="n">
        <v>1319</v>
      </c>
      <c r="H2663" s="11"/>
      <c r="I2663" s="12"/>
      <c r="J2663" s="12" t="n">
        <f aca="false">COUNT(E2663,G2663,I2663)</f>
        <v>1</v>
      </c>
      <c r="K2663" s="13" t="n">
        <f aca="false">MIN(E2663,G2663,I2663)</f>
        <v>1319</v>
      </c>
      <c r="L2663" s="9" t="str">
        <f aca="false">IF(E2663=K2663,"5000m",IF(G2663=K2663,"3000mSC","1500m"))</f>
        <v>3000mSC</v>
      </c>
      <c r="M2663" s="14" t="n">
        <f aca="false">(D2663&lt;&gt;"")*(D2663&lt;=($E$3*60+$F$3)/86400)+(F2663&lt;&gt;"")*(F2663&lt;=($I$3*60+$J$3)/86400)+(H2663&lt;&gt;"")*(H2663&lt;=($M$3*60+$N$3)/86400)</f>
        <v>0</v>
      </c>
      <c r="N2663" s="16"/>
      <c r="O2663" s="15"/>
    </row>
    <row r="2664" customFormat="false" ht="25.35" hidden="false" customHeight="false" outlineLevel="0" collapsed="false">
      <c r="A2664" s="9" t="n">
        <v>2658</v>
      </c>
      <c r="B2664" s="10" t="s">
        <v>3750</v>
      </c>
      <c r="C2664" s="10" t="s">
        <v>3751</v>
      </c>
      <c r="D2664" s="11"/>
      <c r="E2664" s="12"/>
      <c r="F2664" s="11" t="n">
        <v>0.00863703703703704</v>
      </c>
      <c r="G2664" s="12" t="n">
        <v>1320</v>
      </c>
      <c r="H2664" s="11"/>
      <c r="I2664" s="12"/>
      <c r="J2664" s="12" t="n">
        <f aca="false">COUNT(E2664,G2664,I2664)</f>
        <v>1</v>
      </c>
      <c r="K2664" s="13" t="n">
        <f aca="false">MIN(E2664,G2664,I2664)</f>
        <v>1320</v>
      </c>
      <c r="L2664" s="9" t="str">
        <f aca="false">IF(E2664=K2664,"5000m",IF(G2664=K2664,"3000mSC","1500m"))</f>
        <v>3000mSC</v>
      </c>
      <c r="M2664" s="14" t="n">
        <f aca="false">(D2664&lt;&gt;"")*(D2664&lt;=($E$3*60+$F$3)/86400)+(F2664&lt;&gt;"")*(F2664&lt;=($I$3*60+$J$3)/86400)+(H2664&lt;&gt;"")*(H2664&lt;=($M$3*60+$N$3)/86400)</f>
        <v>0</v>
      </c>
      <c r="N2664" s="16"/>
      <c r="O2664" s="15"/>
    </row>
    <row r="2665" customFormat="false" ht="25.35" hidden="false" customHeight="false" outlineLevel="0" collapsed="false">
      <c r="A2665" s="9" t="n">
        <v>2659</v>
      </c>
      <c r="B2665" s="10" t="s">
        <v>3752</v>
      </c>
      <c r="C2665" s="10" t="s">
        <v>511</v>
      </c>
      <c r="D2665" s="11"/>
      <c r="E2665" s="12"/>
      <c r="F2665" s="11" t="n">
        <v>0.0086375</v>
      </c>
      <c r="G2665" s="12" t="n">
        <v>1321</v>
      </c>
      <c r="H2665" s="11"/>
      <c r="I2665" s="12"/>
      <c r="J2665" s="12" t="n">
        <f aca="false">COUNT(E2665,G2665,I2665)</f>
        <v>1</v>
      </c>
      <c r="K2665" s="13" t="n">
        <f aca="false">MIN(E2665,G2665,I2665)</f>
        <v>1321</v>
      </c>
      <c r="L2665" s="9" t="str">
        <f aca="false">IF(E2665=K2665,"5000m",IF(G2665=K2665,"3000mSC","1500m"))</f>
        <v>3000mSC</v>
      </c>
      <c r="M2665" s="14" t="n">
        <f aca="false">(D2665&lt;&gt;"")*(D2665&lt;=($E$3*60+$F$3)/86400)+(F2665&lt;&gt;"")*(F2665&lt;=($I$3*60+$J$3)/86400)+(H2665&lt;&gt;"")*(H2665&lt;=($M$3*60+$N$3)/86400)</f>
        <v>0</v>
      </c>
      <c r="N2665" s="16"/>
      <c r="O2665" s="15"/>
    </row>
    <row r="2666" customFormat="false" ht="15" hidden="false" customHeight="false" outlineLevel="0" collapsed="false">
      <c r="A2666" s="9" t="n">
        <v>2660</v>
      </c>
      <c r="B2666" s="10" t="s">
        <v>3753</v>
      </c>
      <c r="C2666" s="10" t="s">
        <v>3754</v>
      </c>
      <c r="D2666" s="11"/>
      <c r="E2666" s="12"/>
      <c r="F2666" s="11"/>
      <c r="G2666" s="12"/>
      <c r="H2666" s="11" t="n">
        <v>0.00297337962962963</v>
      </c>
      <c r="I2666" s="12" t="n">
        <v>1321</v>
      </c>
      <c r="J2666" s="12" t="n">
        <f aca="false">COUNT(E2666,G2666,I2666)</f>
        <v>1</v>
      </c>
      <c r="K2666" s="13" t="n">
        <f aca="false">MIN(E2666,G2666,I2666)</f>
        <v>1321</v>
      </c>
      <c r="L2666" s="9" t="str">
        <f aca="false">IF(E2666=K2666,"5000m",IF(G2666=K2666,"3000mSC","1500m"))</f>
        <v>1500m</v>
      </c>
      <c r="M2666" s="14" t="n">
        <f aca="false">(D2666&lt;&gt;"")*(D2666&lt;=($E$3*60+$F$3)/86400)+(F2666&lt;&gt;"")*(F2666&lt;=($I$3*60+$J$3)/86400)+(H2666&lt;&gt;"")*(H2666&lt;=($M$3*60+$N$3)/86400)</f>
        <v>0</v>
      </c>
      <c r="N2666" s="16"/>
      <c r="O2666" s="15"/>
    </row>
    <row r="2667" customFormat="false" ht="25.35" hidden="false" customHeight="false" outlineLevel="0" collapsed="false">
      <c r="A2667" s="9" t="n">
        <v>2661</v>
      </c>
      <c r="B2667" s="10" t="s">
        <v>3755</v>
      </c>
      <c r="C2667" s="10" t="s">
        <v>3736</v>
      </c>
      <c r="D2667" s="11"/>
      <c r="E2667" s="12"/>
      <c r="F2667" s="11" t="n">
        <v>0.00864537037037037</v>
      </c>
      <c r="G2667" s="12" t="n">
        <v>1322</v>
      </c>
      <c r="H2667" s="11"/>
      <c r="I2667" s="12"/>
      <c r="J2667" s="12" t="n">
        <f aca="false">COUNT(E2667,G2667,I2667)</f>
        <v>1</v>
      </c>
      <c r="K2667" s="13" t="n">
        <f aca="false">MIN(E2667,G2667,I2667)</f>
        <v>1322</v>
      </c>
      <c r="L2667" s="9" t="str">
        <f aca="false">IF(E2667=K2667,"5000m",IF(G2667=K2667,"3000mSC","1500m"))</f>
        <v>3000mSC</v>
      </c>
      <c r="M2667" s="14" t="n">
        <f aca="false">(D2667&lt;&gt;"")*(D2667&lt;=($E$3*60+$F$3)/86400)+(F2667&lt;&gt;"")*(F2667&lt;=($I$3*60+$J$3)/86400)+(H2667&lt;&gt;"")*(H2667&lt;=($M$3*60+$N$3)/86400)</f>
        <v>0</v>
      </c>
      <c r="N2667" s="16"/>
      <c r="O2667" s="15"/>
    </row>
    <row r="2668" customFormat="false" ht="15" hidden="false" customHeight="false" outlineLevel="0" collapsed="false">
      <c r="A2668" s="9" t="n">
        <v>2662</v>
      </c>
      <c r="B2668" s="10" t="s">
        <v>3756</v>
      </c>
      <c r="C2668" s="10" t="s">
        <v>1205</v>
      </c>
      <c r="D2668" s="11"/>
      <c r="E2668" s="12"/>
      <c r="F2668" s="11"/>
      <c r="G2668" s="12"/>
      <c r="H2668" s="11" t="n">
        <v>0.00297372685185185</v>
      </c>
      <c r="I2668" s="12" t="n">
        <v>1322</v>
      </c>
      <c r="J2668" s="12" t="n">
        <f aca="false">COUNT(E2668,G2668,I2668)</f>
        <v>1</v>
      </c>
      <c r="K2668" s="13" t="n">
        <f aca="false">MIN(E2668,G2668,I2668)</f>
        <v>1322</v>
      </c>
      <c r="L2668" s="9" t="str">
        <f aca="false">IF(E2668=K2668,"5000m",IF(G2668=K2668,"3000mSC","1500m"))</f>
        <v>1500m</v>
      </c>
      <c r="M2668" s="14" t="n">
        <f aca="false">(D2668&lt;&gt;"")*(D2668&lt;=($E$3*60+$F$3)/86400)+(F2668&lt;&gt;"")*(F2668&lt;=($I$3*60+$J$3)/86400)+(H2668&lt;&gt;"")*(H2668&lt;=($M$3*60+$N$3)/86400)</f>
        <v>0</v>
      </c>
      <c r="N2668" s="16"/>
      <c r="O2668" s="15"/>
    </row>
    <row r="2669" customFormat="false" ht="25.35" hidden="false" customHeight="false" outlineLevel="0" collapsed="false">
      <c r="A2669" s="9" t="n">
        <v>2663</v>
      </c>
      <c r="B2669" s="10" t="s">
        <v>3757</v>
      </c>
      <c r="C2669" s="10" t="s">
        <v>2313</v>
      </c>
      <c r="D2669" s="11"/>
      <c r="E2669" s="12"/>
      <c r="F2669" s="11" t="n">
        <v>0.00864606481481482</v>
      </c>
      <c r="G2669" s="12" t="n">
        <v>1323</v>
      </c>
      <c r="H2669" s="11"/>
      <c r="I2669" s="12"/>
      <c r="J2669" s="12" t="n">
        <f aca="false">COUNT(E2669,G2669,I2669)</f>
        <v>1</v>
      </c>
      <c r="K2669" s="13" t="n">
        <f aca="false">MIN(E2669,G2669,I2669)</f>
        <v>1323</v>
      </c>
      <c r="L2669" s="9" t="str">
        <f aca="false">IF(E2669=K2669,"5000m",IF(G2669=K2669,"3000mSC","1500m"))</f>
        <v>3000mSC</v>
      </c>
      <c r="M2669" s="14" t="n">
        <f aca="false">(D2669&lt;&gt;"")*(D2669&lt;=($E$3*60+$F$3)/86400)+(F2669&lt;&gt;"")*(F2669&lt;=($I$3*60+$J$3)/86400)+(H2669&lt;&gt;"")*(H2669&lt;=($M$3*60+$N$3)/86400)</f>
        <v>0</v>
      </c>
      <c r="N2669" s="16"/>
      <c r="O2669" s="15"/>
    </row>
    <row r="2670" customFormat="false" ht="25.35" hidden="false" customHeight="false" outlineLevel="0" collapsed="false">
      <c r="A2670" s="9" t="n">
        <v>2664</v>
      </c>
      <c r="B2670" s="10" t="s">
        <v>3758</v>
      </c>
      <c r="C2670" s="10" t="s">
        <v>3759</v>
      </c>
      <c r="D2670" s="11"/>
      <c r="E2670" s="12"/>
      <c r="F2670" s="11" t="n">
        <v>0.00865104166666667</v>
      </c>
      <c r="G2670" s="12" t="n">
        <v>1324</v>
      </c>
      <c r="H2670" s="11"/>
      <c r="I2670" s="12"/>
      <c r="J2670" s="12" t="n">
        <f aca="false">COUNT(E2670,G2670,I2670)</f>
        <v>1</v>
      </c>
      <c r="K2670" s="13" t="n">
        <f aca="false">MIN(E2670,G2670,I2670)</f>
        <v>1324</v>
      </c>
      <c r="L2670" s="9" t="str">
        <f aca="false">IF(E2670=K2670,"5000m",IF(G2670=K2670,"3000mSC","1500m"))</f>
        <v>3000mSC</v>
      </c>
      <c r="M2670" s="14" t="n">
        <f aca="false">(D2670&lt;&gt;"")*(D2670&lt;=($E$3*60+$F$3)/86400)+(F2670&lt;&gt;"")*(F2670&lt;=($I$3*60+$J$3)/86400)+(H2670&lt;&gt;"")*(H2670&lt;=($M$3*60+$N$3)/86400)</f>
        <v>0</v>
      </c>
      <c r="N2670" s="16"/>
      <c r="O2670" s="15"/>
    </row>
    <row r="2671" customFormat="false" ht="25.35" hidden="false" customHeight="false" outlineLevel="0" collapsed="false">
      <c r="A2671" s="9" t="n">
        <v>2665</v>
      </c>
      <c r="B2671" s="10" t="s">
        <v>3760</v>
      </c>
      <c r="C2671" s="10" t="s">
        <v>2638</v>
      </c>
      <c r="D2671" s="11"/>
      <c r="E2671" s="12"/>
      <c r="F2671" s="11" t="n">
        <v>0.00865150462962963</v>
      </c>
      <c r="G2671" s="12" t="n">
        <v>1325</v>
      </c>
      <c r="H2671" s="11"/>
      <c r="I2671" s="12"/>
      <c r="J2671" s="12" t="n">
        <f aca="false">COUNT(E2671,G2671,I2671)</f>
        <v>1</v>
      </c>
      <c r="K2671" s="13" t="n">
        <f aca="false">MIN(E2671,G2671,I2671)</f>
        <v>1325</v>
      </c>
      <c r="L2671" s="9" t="str">
        <f aca="false">IF(E2671=K2671,"5000m",IF(G2671=K2671,"3000mSC","1500m"))</f>
        <v>3000mSC</v>
      </c>
      <c r="M2671" s="14" t="n">
        <f aca="false">(D2671&lt;&gt;"")*(D2671&lt;=($E$3*60+$F$3)/86400)+(F2671&lt;&gt;"")*(F2671&lt;=($I$3*60+$J$3)/86400)+(H2671&lt;&gt;"")*(H2671&lt;=($M$3*60+$N$3)/86400)</f>
        <v>0</v>
      </c>
      <c r="N2671" s="16"/>
      <c r="O2671" s="15"/>
    </row>
    <row r="2672" customFormat="false" ht="15" hidden="false" customHeight="false" outlineLevel="0" collapsed="false">
      <c r="A2672" s="9" t="n">
        <v>2666</v>
      </c>
      <c r="B2672" s="10" t="s">
        <v>3761</v>
      </c>
      <c r="C2672" s="10" t="s">
        <v>2769</v>
      </c>
      <c r="D2672" s="11"/>
      <c r="E2672" s="12"/>
      <c r="F2672" s="11"/>
      <c r="G2672" s="12"/>
      <c r="H2672" s="11" t="n">
        <v>0.00297465277777778</v>
      </c>
      <c r="I2672" s="12" t="n">
        <v>1325</v>
      </c>
      <c r="J2672" s="12" t="n">
        <f aca="false">COUNT(E2672,G2672,I2672)</f>
        <v>1</v>
      </c>
      <c r="K2672" s="13" t="n">
        <f aca="false">MIN(E2672,G2672,I2672)</f>
        <v>1325</v>
      </c>
      <c r="L2672" s="9" t="str">
        <f aca="false">IF(E2672=K2672,"5000m",IF(G2672=K2672,"3000mSC","1500m"))</f>
        <v>1500m</v>
      </c>
      <c r="M2672" s="14" t="n">
        <f aca="false">(D2672&lt;&gt;"")*(D2672&lt;=($E$3*60+$F$3)/86400)+(F2672&lt;&gt;"")*(F2672&lt;=($I$3*60+$J$3)/86400)+(H2672&lt;&gt;"")*(H2672&lt;=($M$3*60+$N$3)/86400)</f>
        <v>0</v>
      </c>
      <c r="N2672" s="16"/>
      <c r="O2672" s="15"/>
    </row>
    <row r="2673" customFormat="false" ht="25.35" hidden="false" customHeight="false" outlineLevel="0" collapsed="false">
      <c r="A2673" s="9" t="n">
        <v>2667</v>
      </c>
      <c r="B2673" s="10" t="s">
        <v>3762</v>
      </c>
      <c r="C2673" s="10" t="s">
        <v>3763</v>
      </c>
      <c r="D2673" s="11"/>
      <c r="E2673" s="12"/>
      <c r="F2673" s="11" t="n">
        <v>0.00866712962962963</v>
      </c>
      <c r="G2673" s="12" t="n">
        <v>1326</v>
      </c>
      <c r="H2673" s="11"/>
      <c r="I2673" s="12"/>
      <c r="J2673" s="12" t="n">
        <f aca="false">COUNT(E2673,G2673,I2673)</f>
        <v>1</v>
      </c>
      <c r="K2673" s="13" t="n">
        <f aca="false">MIN(E2673,G2673,I2673)</f>
        <v>1326</v>
      </c>
      <c r="L2673" s="9" t="str">
        <f aca="false">IF(E2673=K2673,"5000m",IF(G2673=K2673,"3000mSC","1500m"))</f>
        <v>3000mSC</v>
      </c>
      <c r="M2673" s="14" t="n">
        <f aca="false">(D2673&lt;&gt;"")*(D2673&lt;=($E$3*60+$F$3)/86400)+(F2673&lt;&gt;"")*(F2673&lt;=($I$3*60+$J$3)/86400)+(H2673&lt;&gt;"")*(H2673&lt;=($M$3*60+$N$3)/86400)</f>
        <v>0</v>
      </c>
      <c r="N2673" s="16"/>
      <c r="O2673" s="15"/>
    </row>
    <row r="2674" customFormat="false" ht="25.35" hidden="false" customHeight="false" outlineLevel="0" collapsed="false">
      <c r="A2674" s="9" t="n">
        <v>2668</v>
      </c>
      <c r="B2674" s="10" t="s">
        <v>3764</v>
      </c>
      <c r="C2674" s="10" t="s">
        <v>2219</v>
      </c>
      <c r="D2674" s="11"/>
      <c r="E2674" s="12"/>
      <c r="F2674" s="11" t="n">
        <v>0.00869976851851852</v>
      </c>
      <c r="G2674" s="12" t="n">
        <v>1327</v>
      </c>
      <c r="H2674" s="11"/>
      <c r="I2674" s="12"/>
      <c r="J2674" s="12" t="n">
        <f aca="false">COUNT(E2674,G2674,I2674)</f>
        <v>1</v>
      </c>
      <c r="K2674" s="13" t="n">
        <f aca="false">MIN(E2674,G2674,I2674)</f>
        <v>1327</v>
      </c>
      <c r="L2674" s="9" t="str">
        <f aca="false">IF(E2674=K2674,"5000m",IF(G2674=K2674,"3000mSC","1500m"))</f>
        <v>3000mSC</v>
      </c>
      <c r="M2674" s="14" t="n">
        <f aca="false">(D2674&lt;&gt;"")*(D2674&lt;=($E$3*60+$F$3)/86400)+(F2674&lt;&gt;"")*(F2674&lt;=($I$3*60+$J$3)/86400)+(H2674&lt;&gt;"")*(H2674&lt;=($M$3*60+$N$3)/86400)</f>
        <v>0</v>
      </c>
      <c r="N2674" s="16"/>
      <c r="O2674" s="15"/>
    </row>
    <row r="2675" customFormat="false" ht="15" hidden="false" customHeight="false" outlineLevel="0" collapsed="false">
      <c r="A2675" s="9" t="n">
        <v>2669</v>
      </c>
      <c r="B2675" s="10" t="s">
        <v>3765</v>
      </c>
      <c r="C2675" s="10" t="s">
        <v>32</v>
      </c>
      <c r="D2675" s="11"/>
      <c r="E2675" s="12"/>
      <c r="F2675" s="11"/>
      <c r="G2675" s="12"/>
      <c r="H2675" s="11" t="n">
        <v>0.00297523148148148</v>
      </c>
      <c r="I2675" s="12" t="n">
        <v>1327</v>
      </c>
      <c r="J2675" s="12" t="n">
        <f aca="false">COUNT(E2675,G2675,I2675)</f>
        <v>1</v>
      </c>
      <c r="K2675" s="13" t="n">
        <f aca="false">MIN(E2675,G2675,I2675)</f>
        <v>1327</v>
      </c>
      <c r="L2675" s="9" t="str">
        <f aca="false">IF(E2675=K2675,"5000m",IF(G2675=K2675,"3000mSC","1500m"))</f>
        <v>1500m</v>
      </c>
      <c r="M2675" s="14" t="n">
        <f aca="false">(D2675&lt;&gt;"")*(D2675&lt;=($E$3*60+$F$3)/86400)+(F2675&lt;&gt;"")*(F2675&lt;=($I$3*60+$J$3)/86400)+(H2675&lt;&gt;"")*(H2675&lt;=($M$3*60+$N$3)/86400)</f>
        <v>0</v>
      </c>
      <c r="N2675" s="16"/>
      <c r="O2675" s="15"/>
    </row>
    <row r="2676" customFormat="false" ht="25.35" hidden="false" customHeight="false" outlineLevel="0" collapsed="false">
      <c r="A2676" s="9" t="n">
        <v>2670</v>
      </c>
      <c r="B2676" s="10" t="s">
        <v>3766</v>
      </c>
      <c r="C2676" s="10" t="s">
        <v>3767</v>
      </c>
      <c r="D2676" s="11"/>
      <c r="E2676" s="12"/>
      <c r="F2676" s="11" t="n">
        <v>0.00870243055555556</v>
      </c>
      <c r="G2676" s="12" t="n">
        <v>1328</v>
      </c>
      <c r="H2676" s="11"/>
      <c r="I2676" s="12"/>
      <c r="J2676" s="12" t="n">
        <f aca="false">COUNT(E2676,G2676,I2676)</f>
        <v>1</v>
      </c>
      <c r="K2676" s="13" t="n">
        <f aca="false">MIN(E2676,G2676,I2676)</f>
        <v>1328</v>
      </c>
      <c r="L2676" s="9" t="str">
        <f aca="false">IF(E2676=K2676,"5000m",IF(G2676=K2676,"3000mSC","1500m"))</f>
        <v>3000mSC</v>
      </c>
      <c r="M2676" s="14" t="n">
        <f aca="false">(D2676&lt;&gt;"")*(D2676&lt;=($E$3*60+$F$3)/86400)+(F2676&lt;&gt;"")*(F2676&lt;=($I$3*60+$J$3)/86400)+(H2676&lt;&gt;"")*(H2676&lt;=($M$3*60+$N$3)/86400)</f>
        <v>0</v>
      </c>
      <c r="N2676" s="16"/>
      <c r="O2676" s="15"/>
    </row>
    <row r="2677" customFormat="false" ht="25.35" hidden="false" customHeight="false" outlineLevel="0" collapsed="false">
      <c r="A2677" s="9" t="n">
        <v>2671</v>
      </c>
      <c r="B2677" s="10" t="s">
        <v>3768</v>
      </c>
      <c r="C2677" s="10" t="s">
        <v>3769</v>
      </c>
      <c r="D2677" s="11"/>
      <c r="E2677" s="12"/>
      <c r="F2677" s="11" t="n">
        <v>0.0087025462962963</v>
      </c>
      <c r="G2677" s="12" t="n">
        <v>1329</v>
      </c>
      <c r="H2677" s="11"/>
      <c r="I2677" s="12"/>
      <c r="J2677" s="12" t="n">
        <f aca="false">COUNT(E2677,G2677,I2677)</f>
        <v>1</v>
      </c>
      <c r="K2677" s="13" t="n">
        <f aca="false">MIN(E2677,G2677,I2677)</f>
        <v>1329</v>
      </c>
      <c r="L2677" s="9" t="str">
        <f aca="false">IF(E2677=K2677,"5000m",IF(G2677=K2677,"3000mSC","1500m"))</f>
        <v>3000mSC</v>
      </c>
      <c r="M2677" s="14" t="n">
        <f aca="false">(D2677&lt;&gt;"")*(D2677&lt;=($E$3*60+$F$3)/86400)+(F2677&lt;&gt;"")*(F2677&lt;=($I$3*60+$J$3)/86400)+(H2677&lt;&gt;"")*(H2677&lt;=($M$3*60+$N$3)/86400)</f>
        <v>0</v>
      </c>
      <c r="N2677" s="16"/>
      <c r="O2677" s="15"/>
    </row>
    <row r="2678" customFormat="false" ht="25.35" hidden="false" customHeight="false" outlineLevel="0" collapsed="false">
      <c r="A2678" s="9" t="n">
        <v>2672</v>
      </c>
      <c r="B2678" s="10" t="s">
        <v>3770</v>
      </c>
      <c r="C2678" s="10" t="s">
        <v>3771</v>
      </c>
      <c r="D2678" s="11"/>
      <c r="E2678" s="12"/>
      <c r="F2678" s="11" t="n">
        <v>0.00871111111111111</v>
      </c>
      <c r="G2678" s="12" t="n">
        <v>1330</v>
      </c>
      <c r="H2678" s="11"/>
      <c r="I2678" s="12"/>
      <c r="J2678" s="12" t="n">
        <f aca="false">COUNT(E2678,G2678,I2678)</f>
        <v>1</v>
      </c>
      <c r="K2678" s="13" t="n">
        <f aca="false">MIN(E2678,G2678,I2678)</f>
        <v>1330</v>
      </c>
      <c r="L2678" s="9" t="str">
        <f aca="false">IF(E2678=K2678,"5000m",IF(G2678=K2678,"3000mSC","1500m"))</f>
        <v>3000mSC</v>
      </c>
      <c r="M2678" s="14" t="n">
        <f aca="false">(D2678&lt;&gt;"")*(D2678&lt;=($E$3*60+$F$3)/86400)+(F2678&lt;&gt;"")*(F2678&lt;=($I$3*60+$J$3)/86400)+(H2678&lt;&gt;"")*(H2678&lt;=($M$3*60+$N$3)/86400)</f>
        <v>0</v>
      </c>
      <c r="N2678" s="16"/>
      <c r="O2678" s="15"/>
    </row>
    <row r="2679" customFormat="false" ht="25.35" hidden="false" customHeight="false" outlineLevel="0" collapsed="false">
      <c r="A2679" s="9" t="n">
        <v>2673</v>
      </c>
      <c r="B2679" s="10" t="s">
        <v>3772</v>
      </c>
      <c r="C2679" s="10" t="s">
        <v>1170</v>
      </c>
      <c r="D2679" s="11"/>
      <c r="E2679" s="12"/>
      <c r="F2679" s="11" t="n">
        <v>0.00872453703703704</v>
      </c>
      <c r="G2679" s="12" t="n">
        <v>1331</v>
      </c>
      <c r="H2679" s="11"/>
      <c r="I2679" s="12"/>
      <c r="J2679" s="12" t="n">
        <f aca="false">COUNT(E2679,G2679,I2679)</f>
        <v>1</v>
      </c>
      <c r="K2679" s="13" t="n">
        <f aca="false">MIN(E2679,G2679,I2679)</f>
        <v>1331</v>
      </c>
      <c r="L2679" s="9" t="str">
        <f aca="false">IF(E2679=K2679,"5000m",IF(G2679=K2679,"3000mSC","1500m"))</f>
        <v>3000mSC</v>
      </c>
      <c r="M2679" s="14" t="n">
        <f aca="false">(D2679&lt;&gt;"")*(D2679&lt;=($E$3*60+$F$3)/86400)+(F2679&lt;&gt;"")*(F2679&lt;=($I$3*60+$J$3)/86400)+(H2679&lt;&gt;"")*(H2679&lt;=($M$3*60+$N$3)/86400)</f>
        <v>0</v>
      </c>
      <c r="N2679" s="16"/>
      <c r="O2679" s="15"/>
    </row>
    <row r="2680" customFormat="false" ht="15" hidden="false" customHeight="false" outlineLevel="0" collapsed="false">
      <c r="A2680" s="9" t="n">
        <v>2674</v>
      </c>
      <c r="B2680" s="10" t="s">
        <v>3773</v>
      </c>
      <c r="C2680" s="10" t="s">
        <v>803</v>
      </c>
      <c r="D2680" s="11"/>
      <c r="E2680" s="12"/>
      <c r="F2680" s="11"/>
      <c r="G2680" s="12"/>
      <c r="H2680" s="11" t="n">
        <v>0.00297569444444445</v>
      </c>
      <c r="I2680" s="12" t="n">
        <v>1331</v>
      </c>
      <c r="J2680" s="12" t="n">
        <f aca="false">COUNT(E2680,G2680,I2680)</f>
        <v>1</v>
      </c>
      <c r="K2680" s="13" t="n">
        <f aca="false">MIN(E2680,G2680,I2680)</f>
        <v>1331</v>
      </c>
      <c r="L2680" s="9" t="str">
        <f aca="false">IF(E2680=K2680,"5000m",IF(G2680=K2680,"3000mSC","1500m"))</f>
        <v>1500m</v>
      </c>
      <c r="M2680" s="14" t="n">
        <f aca="false">(D2680&lt;&gt;"")*(D2680&lt;=($E$3*60+$F$3)/86400)+(F2680&lt;&gt;"")*(F2680&lt;=($I$3*60+$J$3)/86400)+(H2680&lt;&gt;"")*(H2680&lt;=($M$3*60+$N$3)/86400)</f>
        <v>0</v>
      </c>
      <c r="N2680" s="16"/>
      <c r="O2680" s="15"/>
    </row>
    <row r="2681" customFormat="false" ht="25.35" hidden="false" customHeight="false" outlineLevel="0" collapsed="false">
      <c r="A2681" s="9" t="n">
        <v>2675</v>
      </c>
      <c r="B2681" s="10" t="s">
        <v>3774</v>
      </c>
      <c r="C2681" s="10" t="s">
        <v>3775</v>
      </c>
      <c r="D2681" s="11"/>
      <c r="E2681" s="12"/>
      <c r="F2681" s="11" t="n">
        <v>0.00872650462962963</v>
      </c>
      <c r="G2681" s="12" t="n">
        <v>1332</v>
      </c>
      <c r="H2681" s="11"/>
      <c r="I2681" s="12"/>
      <c r="J2681" s="12" t="n">
        <f aca="false">COUNT(E2681,G2681,I2681)</f>
        <v>1</v>
      </c>
      <c r="K2681" s="13" t="n">
        <f aca="false">MIN(E2681,G2681,I2681)</f>
        <v>1332</v>
      </c>
      <c r="L2681" s="9" t="str">
        <f aca="false">IF(E2681=K2681,"5000m",IF(G2681=K2681,"3000mSC","1500m"))</f>
        <v>3000mSC</v>
      </c>
      <c r="M2681" s="14" t="n">
        <f aca="false">(D2681&lt;&gt;"")*(D2681&lt;=($E$3*60+$F$3)/86400)+(F2681&lt;&gt;"")*(F2681&lt;=($I$3*60+$J$3)/86400)+(H2681&lt;&gt;"")*(H2681&lt;=($M$3*60+$N$3)/86400)</f>
        <v>0</v>
      </c>
      <c r="N2681" s="16"/>
      <c r="O2681" s="15"/>
    </row>
    <row r="2682" customFormat="false" ht="25.35" hidden="false" customHeight="false" outlineLevel="0" collapsed="false">
      <c r="A2682" s="9" t="n">
        <v>2676</v>
      </c>
      <c r="B2682" s="10" t="s">
        <v>3776</v>
      </c>
      <c r="C2682" s="10" t="s">
        <v>3777</v>
      </c>
      <c r="D2682" s="11"/>
      <c r="E2682" s="12"/>
      <c r="F2682" s="11" t="n">
        <v>0.00873958333333333</v>
      </c>
      <c r="G2682" s="12" t="n">
        <v>1333</v>
      </c>
      <c r="H2682" s="11"/>
      <c r="I2682" s="12"/>
      <c r="J2682" s="12" t="n">
        <f aca="false">COUNT(E2682,G2682,I2682)</f>
        <v>1</v>
      </c>
      <c r="K2682" s="13" t="n">
        <f aca="false">MIN(E2682,G2682,I2682)</f>
        <v>1333</v>
      </c>
      <c r="L2682" s="9" t="str">
        <f aca="false">IF(E2682=K2682,"5000m",IF(G2682=K2682,"3000mSC","1500m"))</f>
        <v>3000mSC</v>
      </c>
      <c r="M2682" s="14" t="n">
        <f aca="false">(D2682&lt;&gt;"")*(D2682&lt;=($E$3*60+$F$3)/86400)+(F2682&lt;&gt;"")*(F2682&lt;=($I$3*60+$J$3)/86400)+(H2682&lt;&gt;"")*(H2682&lt;=($M$3*60+$N$3)/86400)</f>
        <v>0</v>
      </c>
      <c r="N2682" s="16"/>
      <c r="O2682" s="15"/>
    </row>
    <row r="2683" customFormat="false" ht="25.35" hidden="false" customHeight="false" outlineLevel="0" collapsed="false">
      <c r="A2683" s="9" t="n">
        <v>2677</v>
      </c>
      <c r="B2683" s="10" t="s">
        <v>3778</v>
      </c>
      <c r="C2683" s="10" t="s">
        <v>2512</v>
      </c>
      <c r="D2683" s="11"/>
      <c r="E2683" s="12"/>
      <c r="F2683" s="11" t="n">
        <v>0.0087556712962963</v>
      </c>
      <c r="G2683" s="12" t="n">
        <v>1334</v>
      </c>
      <c r="H2683" s="11"/>
      <c r="I2683" s="12"/>
      <c r="J2683" s="12" t="n">
        <f aca="false">COUNT(E2683,G2683,I2683)</f>
        <v>1</v>
      </c>
      <c r="K2683" s="13" t="n">
        <f aca="false">MIN(E2683,G2683,I2683)</f>
        <v>1334</v>
      </c>
      <c r="L2683" s="9" t="str">
        <f aca="false">IF(E2683=K2683,"5000m",IF(G2683=K2683,"3000mSC","1500m"))</f>
        <v>3000mSC</v>
      </c>
      <c r="M2683" s="14" t="n">
        <f aca="false">(D2683&lt;&gt;"")*(D2683&lt;=($E$3*60+$F$3)/86400)+(F2683&lt;&gt;"")*(F2683&lt;=($I$3*60+$J$3)/86400)+(H2683&lt;&gt;"")*(H2683&lt;=($M$3*60+$N$3)/86400)</f>
        <v>0</v>
      </c>
      <c r="N2683" s="16"/>
      <c r="O2683" s="15"/>
    </row>
    <row r="2684" customFormat="false" ht="15" hidden="false" customHeight="false" outlineLevel="0" collapsed="false">
      <c r="A2684" s="9" t="n">
        <v>2678</v>
      </c>
      <c r="B2684" s="10" t="s">
        <v>3779</v>
      </c>
      <c r="C2684" s="10" t="s">
        <v>326</v>
      </c>
      <c r="D2684" s="11"/>
      <c r="E2684" s="12"/>
      <c r="F2684" s="11"/>
      <c r="G2684" s="12"/>
      <c r="H2684" s="11" t="n">
        <v>0.00297604166666667</v>
      </c>
      <c r="I2684" s="12" t="n">
        <v>1334</v>
      </c>
      <c r="J2684" s="12" t="n">
        <f aca="false">COUNT(E2684,G2684,I2684)</f>
        <v>1</v>
      </c>
      <c r="K2684" s="13" t="n">
        <f aca="false">MIN(E2684,G2684,I2684)</f>
        <v>1334</v>
      </c>
      <c r="L2684" s="9" t="str">
        <f aca="false">IF(E2684=K2684,"5000m",IF(G2684=K2684,"3000mSC","1500m"))</f>
        <v>1500m</v>
      </c>
      <c r="M2684" s="14" t="n">
        <f aca="false">(D2684&lt;&gt;"")*(D2684&lt;=($E$3*60+$F$3)/86400)+(F2684&lt;&gt;"")*(F2684&lt;=($I$3*60+$J$3)/86400)+(H2684&lt;&gt;"")*(H2684&lt;=($M$3*60+$N$3)/86400)</f>
        <v>0</v>
      </c>
      <c r="N2684" s="16"/>
      <c r="O2684" s="15"/>
    </row>
    <row r="2685" customFormat="false" ht="25.35" hidden="false" customHeight="false" outlineLevel="0" collapsed="false">
      <c r="A2685" s="9" t="n">
        <v>2679</v>
      </c>
      <c r="B2685" s="10" t="s">
        <v>3780</v>
      </c>
      <c r="C2685" s="10" t="s">
        <v>3781</v>
      </c>
      <c r="D2685" s="11"/>
      <c r="E2685" s="12"/>
      <c r="F2685" s="11" t="n">
        <v>0.00876585648148148</v>
      </c>
      <c r="G2685" s="12" t="n">
        <v>1335</v>
      </c>
      <c r="H2685" s="11"/>
      <c r="I2685" s="12"/>
      <c r="J2685" s="12" t="n">
        <f aca="false">COUNT(E2685,G2685,I2685)</f>
        <v>1</v>
      </c>
      <c r="K2685" s="13" t="n">
        <f aca="false">MIN(E2685,G2685,I2685)</f>
        <v>1335</v>
      </c>
      <c r="L2685" s="9" t="str">
        <f aca="false">IF(E2685=K2685,"5000m",IF(G2685=K2685,"3000mSC","1500m"))</f>
        <v>3000mSC</v>
      </c>
      <c r="M2685" s="14" t="n">
        <f aca="false">(D2685&lt;&gt;"")*(D2685&lt;=($E$3*60+$F$3)/86400)+(F2685&lt;&gt;"")*(F2685&lt;=($I$3*60+$J$3)/86400)+(H2685&lt;&gt;"")*(H2685&lt;=($M$3*60+$N$3)/86400)</f>
        <v>0</v>
      </c>
      <c r="N2685" s="16"/>
      <c r="O2685" s="15"/>
    </row>
    <row r="2686" customFormat="false" ht="25.35" hidden="false" customHeight="false" outlineLevel="0" collapsed="false">
      <c r="A2686" s="9" t="n">
        <v>2680</v>
      </c>
      <c r="B2686" s="10" t="s">
        <v>3782</v>
      </c>
      <c r="C2686" s="10" t="s">
        <v>3783</v>
      </c>
      <c r="D2686" s="11"/>
      <c r="E2686" s="12"/>
      <c r="F2686" s="11" t="n">
        <v>0.00878009259259259</v>
      </c>
      <c r="G2686" s="12" t="n">
        <v>1336</v>
      </c>
      <c r="H2686" s="11"/>
      <c r="I2686" s="12"/>
      <c r="J2686" s="12" t="n">
        <f aca="false">COUNT(E2686,G2686,I2686)</f>
        <v>1</v>
      </c>
      <c r="K2686" s="13" t="n">
        <f aca="false">MIN(E2686,G2686,I2686)</f>
        <v>1336</v>
      </c>
      <c r="L2686" s="9" t="str">
        <f aca="false">IF(E2686=K2686,"5000m",IF(G2686=K2686,"3000mSC","1500m"))</f>
        <v>3000mSC</v>
      </c>
      <c r="M2686" s="14" t="n">
        <f aca="false">(D2686&lt;&gt;"")*(D2686&lt;=($E$3*60+$F$3)/86400)+(F2686&lt;&gt;"")*(F2686&lt;=($I$3*60+$J$3)/86400)+(H2686&lt;&gt;"")*(H2686&lt;=($M$3*60+$N$3)/86400)</f>
        <v>0</v>
      </c>
      <c r="N2686" s="16"/>
      <c r="O2686" s="15"/>
    </row>
    <row r="2687" customFormat="false" ht="15" hidden="false" customHeight="false" outlineLevel="0" collapsed="false">
      <c r="A2687" s="9" t="n">
        <v>2681</v>
      </c>
      <c r="B2687" s="10" t="s">
        <v>3784</v>
      </c>
      <c r="C2687" s="10" t="s">
        <v>387</v>
      </c>
      <c r="D2687" s="11"/>
      <c r="E2687" s="12"/>
      <c r="F2687" s="11"/>
      <c r="G2687" s="12"/>
      <c r="H2687" s="11" t="n">
        <v>0.00297627314814815</v>
      </c>
      <c r="I2687" s="12" t="n">
        <v>1336</v>
      </c>
      <c r="J2687" s="12" t="n">
        <f aca="false">COUNT(E2687,G2687,I2687)</f>
        <v>1</v>
      </c>
      <c r="K2687" s="13" t="n">
        <f aca="false">MIN(E2687,G2687,I2687)</f>
        <v>1336</v>
      </c>
      <c r="L2687" s="9" t="str">
        <f aca="false">IF(E2687=K2687,"5000m",IF(G2687=K2687,"3000mSC","1500m"))</f>
        <v>1500m</v>
      </c>
      <c r="M2687" s="14" t="n">
        <f aca="false">(D2687&lt;&gt;"")*(D2687&lt;=($E$3*60+$F$3)/86400)+(F2687&lt;&gt;"")*(F2687&lt;=($I$3*60+$J$3)/86400)+(H2687&lt;&gt;"")*(H2687&lt;=($M$3*60+$N$3)/86400)</f>
        <v>0</v>
      </c>
      <c r="N2687" s="16"/>
      <c r="O2687" s="15"/>
    </row>
    <row r="2688" customFormat="false" ht="25.35" hidden="false" customHeight="false" outlineLevel="0" collapsed="false">
      <c r="A2688" s="9" t="n">
        <v>2682</v>
      </c>
      <c r="B2688" s="10" t="s">
        <v>3785</v>
      </c>
      <c r="C2688" s="10" t="s">
        <v>1729</v>
      </c>
      <c r="D2688" s="11"/>
      <c r="E2688" s="12"/>
      <c r="F2688" s="11" t="n">
        <v>0.00878275462962963</v>
      </c>
      <c r="G2688" s="12" t="n">
        <v>1337</v>
      </c>
      <c r="H2688" s="11"/>
      <c r="I2688" s="12"/>
      <c r="J2688" s="12" t="n">
        <f aca="false">COUNT(E2688,G2688,I2688)</f>
        <v>1</v>
      </c>
      <c r="K2688" s="13" t="n">
        <f aca="false">MIN(E2688,G2688,I2688)</f>
        <v>1337</v>
      </c>
      <c r="L2688" s="9" t="str">
        <f aca="false">IF(E2688=K2688,"5000m",IF(G2688=K2688,"3000mSC","1500m"))</f>
        <v>3000mSC</v>
      </c>
      <c r="M2688" s="14" t="n">
        <f aca="false">(D2688&lt;&gt;"")*(D2688&lt;=($E$3*60+$F$3)/86400)+(F2688&lt;&gt;"")*(F2688&lt;=($I$3*60+$J$3)/86400)+(H2688&lt;&gt;"")*(H2688&lt;=($M$3*60+$N$3)/86400)</f>
        <v>0</v>
      </c>
      <c r="N2688" s="16"/>
      <c r="O2688" s="15"/>
    </row>
    <row r="2689" customFormat="false" ht="25.35" hidden="false" customHeight="false" outlineLevel="0" collapsed="false">
      <c r="A2689" s="9" t="n">
        <v>2683</v>
      </c>
      <c r="B2689" s="10" t="s">
        <v>3786</v>
      </c>
      <c r="C2689" s="10" t="s">
        <v>3787</v>
      </c>
      <c r="D2689" s="11"/>
      <c r="E2689" s="12"/>
      <c r="F2689" s="11" t="n">
        <v>0.00878865740740741</v>
      </c>
      <c r="G2689" s="12" t="n">
        <v>1338</v>
      </c>
      <c r="H2689" s="11"/>
      <c r="I2689" s="12"/>
      <c r="J2689" s="12" t="n">
        <f aca="false">COUNT(E2689,G2689,I2689)</f>
        <v>1</v>
      </c>
      <c r="K2689" s="13" t="n">
        <f aca="false">MIN(E2689,G2689,I2689)</f>
        <v>1338</v>
      </c>
      <c r="L2689" s="9" t="str">
        <f aca="false">IF(E2689=K2689,"5000m",IF(G2689=K2689,"3000mSC","1500m"))</f>
        <v>3000mSC</v>
      </c>
      <c r="M2689" s="14" t="n">
        <f aca="false">(D2689&lt;&gt;"")*(D2689&lt;=($E$3*60+$F$3)/86400)+(F2689&lt;&gt;"")*(F2689&lt;=($I$3*60+$J$3)/86400)+(H2689&lt;&gt;"")*(H2689&lt;=($M$3*60+$N$3)/86400)</f>
        <v>0</v>
      </c>
      <c r="N2689" s="16"/>
      <c r="O2689" s="15"/>
    </row>
    <row r="2690" customFormat="false" ht="15" hidden="false" customHeight="false" outlineLevel="0" collapsed="false">
      <c r="A2690" s="9" t="n">
        <v>2684</v>
      </c>
      <c r="B2690" s="10" t="s">
        <v>3788</v>
      </c>
      <c r="C2690" s="10" t="s">
        <v>1023</v>
      </c>
      <c r="D2690" s="11"/>
      <c r="E2690" s="12"/>
      <c r="F2690" s="11"/>
      <c r="G2690" s="12"/>
      <c r="H2690" s="11" t="n">
        <v>0.00297673611111111</v>
      </c>
      <c r="I2690" s="12" t="n">
        <v>1338</v>
      </c>
      <c r="J2690" s="12" t="n">
        <f aca="false">COUNT(E2690,G2690,I2690)</f>
        <v>1</v>
      </c>
      <c r="K2690" s="13" t="n">
        <f aca="false">MIN(E2690,G2690,I2690)</f>
        <v>1338</v>
      </c>
      <c r="L2690" s="9" t="str">
        <f aca="false">IF(E2690=K2690,"5000m",IF(G2690=K2690,"3000mSC","1500m"))</f>
        <v>1500m</v>
      </c>
      <c r="M2690" s="14" t="n">
        <f aca="false">(D2690&lt;&gt;"")*(D2690&lt;=($E$3*60+$F$3)/86400)+(F2690&lt;&gt;"")*(F2690&lt;=($I$3*60+$J$3)/86400)+(H2690&lt;&gt;"")*(H2690&lt;=($M$3*60+$N$3)/86400)</f>
        <v>0</v>
      </c>
      <c r="N2690" s="16"/>
      <c r="O2690" s="15"/>
    </row>
    <row r="2691" customFormat="false" ht="25.35" hidden="false" customHeight="false" outlineLevel="0" collapsed="false">
      <c r="A2691" s="9" t="n">
        <v>2685</v>
      </c>
      <c r="B2691" s="10" t="s">
        <v>3789</v>
      </c>
      <c r="C2691" s="10" t="s">
        <v>3143</v>
      </c>
      <c r="D2691" s="11"/>
      <c r="E2691" s="12"/>
      <c r="F2691" s="11" t="n">
        <v>0.00879212962962963</v>
      </c>
      <c r="G2691" s="12" t="n">
        <v>1339</v>
      </c>
      <c r="H2691" s="11"/>
      <c r="I2691" s="12"/>
      <c r="J2691" s="12" t="n">
        <f aca="false">COUNT(E2691,G2691,I2691)</f>
        <v>1</v>
      </c>
      <c r="K2691" s="13" t="n">
        <f aca="false">MIN(E2691,G2691,I2691)</f>
        <v>1339</v>
      </c>
      <c r="L2691" s="9" t="str">
        <f aca="false">IF(E2691=K2691,"5000m",IF(G2691=K2691,"3000mSC","1500m"))</f>
        <v>3000mSC</v>
      </c>
      <c r="M2691" s="14" t="n">
        <f aca="false">(D2691&lt;&gt;"")*(D2691&lt;=($E$3*60+$F$3)/86400)+(F2691&lt;&gt;"")*(F2691&lt;=($I$3*60+$J$3)/86400)+(H2691&lt;&gt;"")*(H2691&lt;=($M$3*60+$N$3)/86400)</f>
        <v>0</v>
      </c>
      <c r="N2691" s="16"/>
      <c r="O2691" s="15"/>
    </row>
    <row r="2692" customFormat="false" ht="25.35" hidden="false" customHeight="false" outlineLevel="0" collapsed="false">
      <c r="A2692" s="9" t="n">
        <v>2686</v>
      </c>
      <c r="B2692" s="10" t="s">
        <v>3790</v>
      </c>
      <c r="C2692" s="10" t="s">
        <v>949</v>
      </c>
      <c r="D2692" s="11"/>
      <c r="E2692" s="12"/>
      <c r="F2692" s="11" t="n">
        <v>0.00881018518518519</v>
      </c>
      <c r="G2692" s="12" t="n">
        <v>1340</v>
      </c>
      <c r="H2692" s="11"/>
      <c r="I2692" s="12"/>
      <c r="J2692" s="12" t="n">
        <f aca="false">COUNT(E2692,G2692,I2692)</f>
        <v>1</v>
      </c>
      <c r="K2692" s="13" t="n">
        <f aca="false">MIN(E2692,G2692,I2692)</f>
        <v>1340</v>
      </c>
      <c r="L2692" s="9" t="str">
        <f aca="false">IF(E2692=K2692,"5000m",IF(G2692=K2692,"3000mSC","1500m"))</f>
        <v>3000mSC</v>
      </c>
      <c r="M2692" s="14" t="n">
        <f aca="false">(D2692&lt;&gt;"")*(D2692&lt;=($E$3*60+$F$3)/86400)+(F2692&lt;&gt;"")*(F2692&lt;=($I$3*60+$J$3)/86400)+(H2692&lt;&gt;"")*(H2692&lt;=($M$3*60+$N$3)/86400)</f>
        <v>0</v>
      </c>
      <c r="N2692" s="16"/>
      <c r="O2692" s="15"/>
    </row>
    <row r="2693" customFormat="false" ht="25.35" hidden="false" customHeight="false" outlineLevel="0" collapsed="false">
      <c r="A2693" s="9" t="n">
        <v>2687</v>
      </c>
      <c r="B2693" s="10" t="s">
        <v>3791</v>
      </c>
      <c r="C2693" s="10" t="s">
        <v>3333</v>
      </c>
      <c r="D2693" s="11"/>
      <c r="E2693" s="12"/>
      <c r="F2693" s="11" t="n">
        <v>0.00881296296296296</v>
      </c>
      <c r="G2693" s="12" t="n">
        <v>1341</v>
      </c>
      <c r="H2693" s="11"/>
      <c r="I2693" s="12"/>
      <c r="J2693" s="12" t="n">
        <f aca="false">COUNT(E2693,G2693,I2693)</f>
        <v>1</v>
      </c>
      <c r="K2693" s="13" t="n">
        <f aca="false">MIN(E2693,G2693,I2693)</f>
        <v>1341</v>
      </c>
      <c r="L2693" s="9" t="str">
        <f aca="false">IF(E2693=K2693,"5000m",IF(G2693=K2693,"3000mSC","1500m"))</f>
        <v>3000mSC</v>
      </c>
      <c r="M2693" s="14" t="n">
        <f aca="false">(D2693&lt;&gt;"")*(D2693&lt;=($E$3*60+$F$3)/86400)+(F2693&lt;&gt;"")*(F2693&lt;=($I$3*60+$J$3)/86400)+(H2693&lt;&gt;"")*(H2693&lt;=($M$3*60+$N$3)/86400)</f>
        <v>0</v>
      </c>
      <c r="N2693" s="16"/>
      <c r="O2693" s="15"/>
    </row>
    <row r="2694" customFormat="false" ht="15" hidden="false" customHeight="false" outlineLevel="0" collapsed="false">
      <c r="A2694" s="9" t="n">
        <v>2688</v>
      </c>
      <c r="B2694" s="10" t="s">
        <v>3792</v>
      </c>
      <c r="C2694" s="10" t="s">
        <v>1830</v>
      </c>
      <c r="D2694" s="11"/>
      <c r="E2694" s="12"/>
      <c r="F2694" s="11"/>
      <c r="G2694" s="12"/>
      <c r="H2694" s="11" t="n">
        <v>0.00297719907407407</v>
      </c>
      <c r="I2694" s="12" t="n">
        <v>1341</v>
      </c>
      <c r="J2694" s="12" t="n">
        <f aca="false">COUNT(E2694,G2694,I2694)</f>
        <v>1</v>
      </c>
      <c r="K2694" s="13" t="n">
        <f aca="false">MIN(E2694,G2694,I2694)</f>
        <v>1341</v>
      </c>
      <c r="L2694" s="9" t="str">
        <f aca="false">IF(E2694=K2694,"5000m",IF(G2694=K2694,"3000mSC","1500m"))</f>
        <v>1500m</v>
      </c>
      <c r="M2694" s="14" t="n">
        <f aca="false">(D2694&lt;&gt;"")*(D2694&lt;=($E$3*60+$F$3)/86400)+(F2694&lt;&gt;"")*(F2694&lt;=($I$3*60+$J$3)/86400)+(H2694&lt;&gt;"")*(H2694&lt;=($M$3*60+$N$3)/86400)</f>
        <v>0</v>
      </c>
      <c r="N2694" s="16"/>
      <c r="O2694" s="15"/>
    </row>
    <row r="2695" customFormat="false" ht="25.35" hidden="false" customHeight="false" outlineLevel="0" collapsed="false">
      <c r="A2695" s="9" t="n">
        <v>2689</v>
      </c>
      <c r="B2695" s="10" t="s">
        <v>3793</v>
      </c>
      <c r="C2695" s="10" t="s">
        <v>2155</v>
      </c>
      <c r="D2695" s="11"/>
      <c r="E2695" s="12"/>
      <c r="F2695" s="11" t="n">
        <v>0.00881550925925926</v>
      </c>
      <c r="G2695" s="12" t="n">
        <v>1342</v>
      </c>
      <c r="H2695" s="11"/>
      <c r="I2695" s="12"/>
      <c r="J2695" s="12" t="n">
        <f aca="false">COUNT(E2695,G2695,I2695)</f>
        <v>1</v>
      </c>
      <c r="K2695" s="13" t="n">
        <f aca="false">MIN(E2695,G2695,I2695)</f>
        <v>1342</v>
      </c>
      <c r="L2695" s="9" t="str">
        <f aca="false">IF(E2695=K2695,"5000m",IF(G2695=K2695,"3000mSC","1500m"))</f>
        <v>3000mSC</v>
      </c>
      <c r="M2695" s="14" t="n">
        <f aca="false">(D2695&lt;&gt;"")*(D2695&lt;=($E$3*60+$F$3)/86400)+(F2695&lt;&gt;"")*(F2695&lt;=($I$3*60+$J$3)/86400)+(H2695&lt;&gt;"")*(H2695&lt;=($M$3*60+$N$3)/86400)</f>
        <v>0</v>
      </c>
      <c r="N2695" s="16"/>
      <c r="O2695" s="15"/>
    </row>
    <row r="2696" customFormat="false" ht="15" hidden="false" customHeight="false" outlineLevel="0" collapsed="false">
      <c r="A2696" s="9" t="n">
        <v>2690</v>
      </c>
      <c r="B2696" s="10" t="s">
        <v>3794</v>
      </c>
      <c r="C2696" s="10" t="s">
        <v>1225</v>
      </c>
      <c r="D2696" s="11"/>
      <c r="E2696" s="12"/>
      <c r="F2696" s="11"/>
      <c r="G2696" s="12"/>
      <c r="H2696" s="11" t="n">
        <v>0.00297731481481482</v>
      </c>
      <c r="I2696" s="12" t="n">
        <v>1342</v>
      </c>
      <c r="J2696" s="12" t="n">
        <f aca="false">COUNT(E2696,G2696,I2696)</f>
        <v>1</v>
      </c>
      <c r="K2696" s="13" t="n">
        <f aca="false">MIN(E2696,G2696,I2696)</f>
        <v>1342</v>
      </c>
      <c r="L2696" s="9" t="str">
        <f aca="false">IF(E2696=K2696,"5000m",IF(G2696=K2696,"3000mSC","1500m"))</f>
        <v>1500m</v>
      </c>
      <c r="M2696" s="14" t="n">
        <f aca="false">(D2696&lt;&gt;"")*(D2696&lt;=($E$3*60+$F$3)/86400)+(F2696&lt;&gt;"")*(F2696&lt;=($I$3*60+$J$3)/86400)+(H2696&lt;&gt;"")*(H2696&lt;=($M$3*60+$N$3)/86400)</f>
        <v>0</v>
      </c>
      <c r="N2696" s="16"/>
      <c r="O2696" s="15"/>
    </row>
    <row r="2697" customFormat="false" ht="25.35" hidden="false" customHeight="false" outlineLevel="0" collapsed="false">
      <c r="A2697" s="9" t="n">
        <v>2691</v>
      </c>
      <c r="B2697" s="10" t="s">
        <v>3795</v>
      </c>
      <c r="C2697" s="10" t="s">
        <v>2253</v>
      </c>
      <c r="D2697" s="11"/>
      <c r="E2697" s="12"/>
      <c r="F2697" s="11" t="n">
        <v>0.00884328703703704</v>
      </c>
      <c r="G2697" s="12" t="n">
        <v>1343</v>
      </c>
      <c r="H2697" s="11"/>
      <c r="I2697" s="12"/>
      <c r="J2697" s="12" t="n">
        <f aca="false">COUNT(E2697,G2697,I2697)</f>
        <v>1</v>
      </c>
      <c r="K2697" s="13" t="n">
        <f aca="false">MIN(E2697,G2697,I2697)</f>
        <v>1343</v>
      </c>
      <c r="L2697" s="9" t="str">
        <f aca="false">IF(E2697=K2697,"5000m",IF(G2697=K2697,"3000mSC","1500m"))</f>
        <v>3000mSC</v>
      </c>
      <c r="M2697" s="14" t="n">
        <f aca="false">(D2697&lt;&gt;"")*(D2697&lt;=($E$3*60+$F$3)/86400)+(F2697&lt;&gt;"")*(F2697&lt;=($I$3*60+$J$3)/86400)+(H2697&lt;&gt;"")*(H2697&lt;=($M$3*60+$N$3)/86400)</f>
        <v>0</v>
      </c>
      <c r="N2697" s="16"/>
      <c r="O2697" s="15"/>
    </row>
    <row r="2698" customFormat="false" ht="25.35" hidden="false" customHeight="false" outlineLevel="0" collapsed="false">
      <c r="A2698" s="9" t="n">
        <v>2692</v>
      </c>
      <c r="B2698" s="10" t="s">
        <v>3796</v>
      </c>
      <c r="C2698" s="10" t="s">
        <v>3797</v>
      </c>
      <c r="D2698" s="11"/>
      <c r="E2698" s="12"/>
      <c r="F2698" s="11" t="n">
        <v>0.00884664351851852</v>
      </c>
      <c r="G2698" s="12" t="n">
        <v>1344</v>
      </c>
      <c r="H2698" s="11"/>
      <c r="I2698" s="12"/>
      <c r="J2698" s="12" t="n">
        <f aca="false">COUNT(E2698,G2698,I2698)</f>
        <v>1</v>
      </c>
      <c r="K2698" s="13" t="n">
        <f aca="false">MIN(E2698,G2698,I2698)</f>
        <v>1344</v>
      </c>
      <c r="L2698" s="9" t="str">
        <f aca="false">IF(E2698=K2698,"5000m",IF(G2698=K2698,"3000mSC","1500m"))</f>
        <v>3000mSC</v>
      </c>
      <c r="M2698" s="14" t="n">
        <f aca="false">(D2698&lt;&gt;"")*(D2698&lt;=($E$3*60+$F$3)/86400)+(F2698&lt;&gt;"")*(F2698&lt;=($I$3*60+$J$3)/86400)+(H2698&lt;&gt;"")*(H2698&lt;=($M$3*60+$N$3)/86400)</f>
        <v>0</v>
      </c>
      <c r="N2698" s="16"/>
      <c r="O2698" s="15"/>
    </row>
    <row r="2699" customFormat="false" ht="25.35" hidden="false" customHeight="false" outlineLevel="0" collapsed="false">
      <c r="A2699" s="9" t="n">
        <v>2693</v>
      </c>
      <c r="B2699" s="10" t="s">
        <v>3798</v>
      </c>
      <c r="C2699" s="10" t="s">
        <v>1180</v>
      </c>
      <c r="D2699" s="11"/>
      <c r="E2699" s="12"/>
      <c r="F2699" s="11" t="n">
        <v>0.0088494212962963</v>
      </c>
      <c r="G2699" s="12" t="n">
        <v>1345</v>
      </c>
      <c r="H2699" s="11"/>
      <c r="I2699" s="12"/>
      <c r="J2699" s="12" t="n">
        <f aca="false">COUNT(E2699,G2699,I2699)</f>
        <v>1</v>
      </c>
      <c r="K2699" s="13" t="n">
        <f aca="false">MIN(E2699,G2699,I2699)</f>
        <v>1345</v>
      </c>
      <c r="L2699" s="9" t="str">
        <f aca="false">IF(E2699=K2699,"5000m",IF(G2699=K2699,"3000mSC","1500m"))</f>
        <v>3000mSC</v>
      </c>
      <c r="M2699" s="14" t="n">
        <f aca="false">(D2699&lt;&gt;"")*(D2699&lt;=($E$3*60+$F$3)/86400)+(F2699&lt;&gt;"")*(F2699&lt;=($I$3*60+$J$3)/86400)+(H2699&lt;&gt;"")*(H2699&lt;=($M$3*60+$N$3)/86400)</f>
        <v>0</v>
      </c>
      <c r="N2699" s="16"/>
      <c r="O2699" s="15"/>
    </row>
    <row r="2700" customFormat="false" ht="15" hidden="false" customHeight="false" outlineLevel="0" collapsed="false">
      <c r="A2700" s="9" t="n">
        <v>2694</v>
      </c>
      <c r="B2700" s="10" t="s">
        <v>3799</v>
      </c>
      <c r="C2700" s="10" t="s">
        <v>3800</v>
      </c>
      <c r="D2700" s="11"/>
      <c r="E2700" s="12"/>
      <c r="F2700" s="11"/>
      <c r="G2700" s="12"/>
      <c r="H2700" s="11" t="n">
        <v>0.002978125</v>
      </c>
      <c r="I2700" s="12" t="n">
        <v>1345</v>
      </c>
      <c r="J2700" s="12" t="n">
        <f aca="false">COUNT(E2700,G2700,I2700)</f>
        <v>1</v>
      </c>
      <c r="K2700" s="13" t="n">
        <f aca="false">MIN(E2700,G2700,I2700)</f>
        <v>1345</v>
      </c>
      <c r="L2700" s="9" t="str">
        <f aca="false">IF(E2700=K2700,"5000m",IF(G2700=K2700,"3000mSC","1500m"))</f>
        <v>1500m</v>
      </c>
      <c r="M2700" s="14" t="n">
        <f aca="false">(D2700&lt;&gt;"")*(D2700&lt;=($E$3*60+$F$3)/86400)+(F2700&lt;&gt;"")*(F2700&lt;=($I$3*60+$J$3)/86400)+(H2700&lt;&gt;"")*(H2700&lt;=($M$3*60+$N$3)/86400)</f>
        <v>0</v>
      </c>
      <c r="N2700" s="16"/>
      <c r="O2700" s="15"/>
    </row>
    <row r="2701" customFormat="false" ht="25.35" hidden="false" customHeight="false" outlineLevel="0" collapsed="false">
      <c r="A2701" s="9" t="n">
        <v>2695</v>
      </c>
      <c r="B2701" s="10" t="s">
        <v>3801</v>
      </c>
      <c r="C2701" s="10" t="s">
        <v>3547</v>
      </c>
      <c r="D2701" s="11"/>
      <c r="E2701" s="12"/>
      <c r="F2701" s="11" t="n">
        <v>0.00888935185185185</v>
      </c>
      <c r="G2701" s="12" t="n">
        <v>1346</v>
      </c>
      <c r="H2701" s="11"/>
      <c r="I2701" s="12"/>
      <c r="J2701" s="12" t="n">
        <f aca="false">COUNT(E2701,G2701,I2701)</f>
        <v>1</v>
      </c>
      <c r="K2701" s="13" t="n">
        <f aca="false">MIN(E2701,G2701,I2701)</f>
        <v>1346</v>
      </c>
      <c r="L2701" s="9" t="str">
        <f aca="false">IF(E2701=K2701,"5000m",IF(G2701=K2701,"3000mSC","1500m"))</f>
        <v>3000mSC</v>
      </c>
      <c r="M2701" s="14" t="n">
        <f aca="false">(D2701&lt;&gt;"")*(D2701&lt;=($E$3*60+$F$3)/86400)+(F2701&lt;&gt;"")*(F2701&lt;=($I$3*60+$J$3)/86400)+(H2701&lt;&gt;"")*(H2701&lt;=($M$3*60+$N$3)/86400)</f>
        <v>0</v>
      </c>
      <c r="N2701" s="16"/>
      <c r="O2701" s="15"/>
    </row>
    <row r="2702" customFormat="false" ht="25.35" hidden="false" customHeight="false" outlineLevel="0" collapsed="false">
      <c r="A2702" s="9" t="n">
        <v>2696</v>
      </c>
      <c r="B2702" s="10" t="s">
        <v>3802</v>
      </c>
      <c r="C2702" s="10" t="s">
        <v>3053</v>
      </c>
      <c r="D2702" s="11"/>
      <c r="E2702" s="12"/>
      <c r="F2702" s="11" t="n">
        <v>0.00890381944444444</v>
      </c>
      <c r="G2702" s="12" t="n">
        <v>1347</v>
      </c>
      <c r="H2702" s="11"/>
      <c r="I2702" s="12"/>
      <c r="J2702" s="12" t="n">
        <f aca="false">COUNT(E2702,G2702,I2702)</f>
        <v>1</v>
      </c>
      <c r="K2702" s="13" t="n">
        <f aca="false">MIN(E2702,G2702,I2702)</f>
        <v>1347</v>
      </c>
      <c r="L2702" s="9" t="str">
        <f aca="false">IF(E2702=K2702,"5000m",IF(G2702=K2702,"3000mSC","1500m"))</f>
        <v>3000mSC</v>
      </c>
      <c r="M2702" s="14" t="n">
        <f aca="false">(D2702&lt;&gt;"")*(D2702&lt;=($E$3*60+$F$3)/86400)+(F2702&lt;&gt;"")*(F2702&lt;=($I$3*60+$J$3)/86400)+(H2702&lt;&gt;"")*(H2702&lt;=($M$3*60+$N$3)/86400)</f>
        <v>0</v>
      </c>
      <c r="N2702" s="16"/>
      <c r="O2702" s="15"/>
    </row>
    <row r="2703" customFormat="false" ht="15" hidden="false" customHeight="false" outlineLevel="0" collapsed="false">
      <c r="A2703" s="9" t="n">
        <v>2697</v>
      </c>
      <c r="B2703" s="10" t="s">
        <v>3803</v>
      </c>
      <c r="C2703" s="10" t="s">
        <v>486</v>
      </c>
      <c r="D2703" s="11"/>
      <c r="E2703" s="12"/>
      <c r="F2703" s="11"/>
      <c r="G2703" s="12"/>
      <c r="H2703" s="11" t="n">
        <v>0.00297847222222222</v>
      </c>
      <c r="I2703" s="12" t="n">
        <v>1347</v>
      </c>
      <c r="J2703" s="12" t="n">
        <f aca="false">COUNT(E2703,G2703,I2703)</f>
        <v>1</v>
      </c>
      <c r="K2703" s="13" t="n">
        <f aca="false">MIN(E2703,G2703,I2703)</f>
        <v>1347</v>
      </c>
      <c r="L2703" s="9" t="str">
        <f aca="false">IF(E2703=K2703,"5000m",IF(G2703=K2703,"3000mSC","1500m"))</f>
        <v>1500m</v>
      </c>
      <c r="M2703" s="14" t="n">
        <f aca="false">(D2703&lt;&gt;"")*(D2703&lt;=($E$3*60+$F$3)/86400)+(F2703&lt;&gt;"")*(F2703&lt;=($I$3*60+$J$3)/86400)+(H2703&lt;&gt;"")*(H2703&lt;=($M$3*60+$N$3)/86400)</f>
        <v>0</v>
      </c>
      <c r="N2703" s="16"/>
      <c r="O2703" s="15"/>
    </row>
    <row r="2704" customFormat="false" ht="25.35" hidden="false" customHeight="false" outlineLevel="0" collapsed="false">
      <c r="A2704" s="9" t="n">
        <v>2698</v>
      </c>
      <c r="B2704" s="10" t="s">
        <v>3804</v>
      </c>
      <c r="C2704" s="10" t="s">
        <v>3805</v>
      </c>
      <c r="D2704" s="11"/>
      <c r="E2704" s="12"/>
      <c r="F2704" s="11" t="n">
        <v>0.00891770833333333</v>
      </c>
      <c r="G2704" s="12" t="n">
        <v>1348</v>
      </c>
      <c r="H2704" s="11"/>
      <c r="I2704" s="12"/>
      <c r="J2704" s="12" t="n">
        <f aca="false">COUNT(E2704,G2704,I2704)</f>
        <v>1</v>
      </c>
      <c r="K2704" s="13" t="n">
        <f aca="false">MIN(E2704,G2704,I2704)</f>
        <v>1348</v>
      </c>
      <c r="L2704" s="9" t="str">
        <f aca="false">IF(E2704=K2704,"5000m",IF(G2704=K2704,"3000mSC","1500m"))</f>
        <v>3000mSC</v>
      </c>
      <c r="M2704" s="14" t="n">
        <f aca="false">(D2704&lt;&gt;"")*(D2704&lt;=($E$3*60+$F$3)/86400)+(F2704&lt;&gt;"")*(F2704&lt;=($I$3*60+$J$3)/86400)+(H2704&lt;&gt;"")*(H2704&lt;=($M$3*60+$N$3)/86400)</f>
        <v>0</v>
      </c>
      <c r="N2704" s="16"/>
      <c r="O2704" s="15"/>
    </row>
    <row r="2705" customFormat="false" ht="15" hidden="false" customHeight="false" outlineLevel="0" collapsed="false">
      <c r="A2705" s="9" t="n">
        <v>2699</v>
      </c>
      <c r="B2705" s="10" t="s">
        <v>3806</v>
      </c>
      <c r="C2705" s="10" t="s">
        <v>2100</v>
      </c>
      <c r="D2705" s="11"/>
      <c r="E2705" s="12"/>
      <c r="F2705" s="11"/>
      <c r="G2705" s="12"/>
      <c r="H2705" s="11" t="n">
        <v>0.00297893518518519</v>
      </c>
      <c r="I2705" s="12" t="n">
        <v>1348</v>
      </c>
      <c r="J2705" s="12" t="n">
        <f aca="false">COUNT(E2705,G2705,I2705)</f>
        <v>1</v>
      </c>
      <c r="K2705" s="13" t="n">
        <f aca="false">MIN(E2705,G2705,I2705)</f>
        <v>1348</v>
      </c>
      <c r="L2705" s="9" t="str">
        <f aca="false">IF(E2705=K2705,"5000m",IF(G2705=K2705,"3000mSC","1500m"))</f>
        <v>1500m</v>
      </c>
      <c r="M2705" s="14" t="n">
        <f aca="false">(D2705&lt;&gt;"")*(D2705&lt;=($E$3*60+$F$3)/86400)+(F2705&lt;&gt;"")*(F2705&lt;=($I$3*60+$J$3)/86400)+(H2705&lt;&gt;"")*(H2705&lt;=($M$3*60+$N$3)/86400)</f>
        <v>0</v>
      </c>
      <c r="N2705" s="16"/>
      <c r="O2705" s="15"/>
    </row>
    <row r="2706" customFormat="false" ht="25.35" hidden="false" customHeight="false" outlineLevel="0" collapsed="false">
      <c r="A2706" s="9" t="n">
        <v>2700</v>
      </c>
      <c r="B2706" s="10" t="s">
        <v>3807</v>
      </c>
      <c r="C2706" s="10" t="s">
        <v>244</v>
      </c>
      <c r="D2706" s="11"/>
      <c r="E2706" s="12"/>
      <c r="F2706" s="11" t="n">
        <v>0.008946875</v>
      </c>
      <c r="G2706" s="12" t="n">
        <v>1349</v>
      </c>
      <c r="H2706" s="11"/>
      <c r="I2706" s="12"/>
      <c r="J2706" s="12" t="n">
        <f aca="false">COUNT(E2706,G2706,I2706)</f>
        <v>1</v>
      </c>
      <c r="K2706" s="13" t="n">
        <f aca="false">MIN(E2706,G2706,I2706)</f>
        <v>1349</v>
      </c>
      <c r="L2706" s="9" t="str">
        <f aca="false">IF(E2706=K2706,"5000m",IF(G2706=K2706,"3000mSC","1500m"))</f>
        <v>3000mSC</v>
      </c>
      <c r="M2706" s="14" t="n">
        <f aca="false">(D2706&lt;&gt;"")*(D2706&lt;=($E$3*60+$F$3)/86400)+(F2706&lt;&gt;"")*(F2706&lt;=($I$3*60+$J$3)/86400)+(H2706&lt;&gt;"")*(H2706&lt;=($M$3*60+$N$3)/86400)</f>
        <v>0</v>
      </c>
      <c r="N2706" s="16"/>
      <c r="O2706" s="15"/>
    </row>
    <row r="2707" customFormat="false" ht="25.35" hidden="false" customHeight="false" outlineLevel="0" collapsed="false">
      <c r="A2707" s="9" t="n">
        <v>2701</v>
      </c>
      <c r="B2707" s="10" t="s">
        <v>3808</v>
      </c>
      <c r="C2707" s="10" t="s">
        <v>3809</v>
      </c>
      <c r="D2707" s="11"/>
      <c r="E2707" s="12"/>
      <c r="F2707" s="11" t="n">
        <v>0.00894965277777778</v>
      </c>
      <c r="G2707" s="12" t="n">
        <v>1350</v>
      </c>
      <c r="H2707" s="11"/>
      <c r="I2707" s="12"/>
      <c r="J2707" s="12" t="n">
        <f aca="false">COUNT(E2707,G2707,I2707)</f>
        <v>1</v>
      </c>
      <c r="K2707" s="13" t="n">
        <f aca="false">MIN(E2707,G2707,I2707)</f>
        <v>1350</v>
      </c>
      <c r="L2707" s="9" t="str">
        <f aca="false">IF(E2707=K2707,"5000m",IF(G2707=K2707,"3000mSC","1500m"))</f>
        <v>3000mSC</v>
      </c>
      <c r="M2707" s="14" t="n">
        <f aca="false">(D2707&lt;&gt;"")*(D2707&lt;=($E$3*60+$F$3)/86400)+(F2707&lt;&gt;"")*(F2707&lt;=($I$3*60+$J$3)/86400)+(H2707&lt;&gt;"")*(H2707&lt;=($M$3*60+$N$3)/86400)</f>
        <v>0</v>
      </c>
      <c r="N2707" s="16"/>
      <c r="O2707" s="15"/>
    </row>
    <row r="2708" customFormat="false" ht="25.35" hidden="false" customHeight="false" outlineLevel="0" collapsed="false">
      <c r="A2708" s="9" t="n">
        <v>2702</v>
      </c>
      <c r="B2708" s="10" t="s">
        <v>3810</v>
      </c>
      <c r="C2708" s="10" t="s">
        <v>3811</v>
      </c>
      <c r="D2708" s="11"/>
      <c r="E2708" s="12"/>
      <c r="F2708" s="11" t="n">
        <v>0.00895011574074074</v>
      </c>
      <c r="G2708" s="12" t="n">
        <v>1351</v>
      </c>
      <c r="H2708" s="11"/>
      <c r="I2708" s="12"/>
      <c r="J2708" s="12" t="n">
        <f aca="false">COUNT(E2708,G2708,I2708)</f>
        <v>1</v>
      </c>
      <c r="K2708" s="13" t="n">
        <f aca="false">MIN(E2708,G2708,I2708)</f>
        <v>1351</v>
      </c>
      <c r="L2708" s="9" t="str">
        <f aca="false">IF(E2708=K2708,"5000m",IF(G2708=K2708,"3000mSC","1500m"))</f>
        <v>3000mSC</v>
      </c>
      <c r="M2708" s="14" t="n">
        <f aca="false">(D2708&lt;&gt;"")*(D2708&lt;=($E$3*60+$F$3)/86400)+(F2708&lt;&gt;"")*(F2708&lt;=($I$3*60+$J$3)/86400)+(H2708&lt;&gt;"")*(H2708&lt;=($M$3*60+$N$3)/86400)</f>
        <v>0</v>
      </c>
      <c r="N2708" s="16"/>
      <c r="O2708" s="15"/>
    </row>
    <row r="2709" customFormat="false" ht="25.35" hidden="false" customHeight="false" outlineLevel="0" collapsed="false">
      <c r="A2709" s="9" t="n">
        <v>2703</v>
      </c>
      <c r="B2709" s="10" t="s">
        <v>3812</v>
      </c>
      <c r="C2709" s="10" t="s">
        <v>3813</v>
      </c>
      <c r="D2709" s="11"/>
      <c r="E2709" s="12"/>
      <c r="F2709" s="11" t="n">
        <v>0.00897789351851852</v>
      </c>
      <c r="G2709" s="12" t="n">
        <v>1352</v>
      </c>
      <c r="H2709" s="11"/>
      <c r="I2709" s="12"/>
      <c r="J2709" s="12" t="n">
        <f aca="false">COUNT(E2709,G2709,I2709)</f>
        <v>1</v>
      </c>
      <c r="K2709" s="13" t="n">
        <f aca="false">MIN(E2709,G2709,I2709)</f>
        <v>1352</v>
      </c>
      <c r="L2709" s="9" t="str">
        <f aca="false">IF(E2709=K2709,"5000m",IF(G2709=K2709,"3000mSC","1500m"))</f>
        <v>3000mSC</v>
      </c>
      <c r="M2709" s="14" t="n">
        <f aca="false">(D2709&lt;&gt;"")*(D2709&lt;=($E$3*60+$F$3)/86400)+(F2709&lt;&gt;"")*(F2709&lt;=($I$3*60+$J$3)/86400)+(H2709&lt;&gt;"")*(H2709&lt;=($M$3*60+$N$3)/86400)</f>
        <v>0</v>
      </c>
      <c r="N2709" s="16"/>
      <c r="O2709" s="15"/>
    </row>
    <row r="2710" customFormat="false" ht="15" hidden="false" customHeight="false" outlineLevel="0" collapsed="false">
      <c r="A2710" s="9" t="n">
        <v>2704</v>
      </c>
      <c r="B2710" s="10" t="s">
        <v>3814</v>
      </c>
      <c r="C2710" s="10" t="s">
        <v>511</v>
      </c>
      <c r="D2710" s="11"/>
      <c r="E2710" s="12"/>
      <c r="F2710" s="11"/>
      <c r="G2710" s="12"/>
      <c r="H2710" s="11" t="n">
        <v>0.00297997685185185</v>
      </c>
      <c r="I2710" s="12" t="n">
        <v>1352</v>
      </c>
      <c r="J2710" s="12" t="n">
        <f aca="false">COUNT(E2710,G2710,I2710)</f>
        <v>1</v>
      </c>
      <c r="K2710" s="13" t="n">
        <f aca="false">MIN(E2710,G2710,I2710)</f>
        <v>1352</v>
      </c>
      <c r="L2710" s="9" t="str">
        <f aca="false">IF(E2710=K2710,"5000m",IF(G2710=K2710,"3000mSC","1500m"))</f>
        <v>1500m</v>
      </c>
      <c r="M2710" s="14" t="n">
        <f aca="false">(D2710&lt;&gt;"")*(D2710&lt;=($E$3*60+$F$3)/86400)+(F2710&lt;&gt;"")*(F2710&lt;=($I$3*60+$J$3)/86400)+(H2710&lt;&gt;"")*(H2710&lt;=($M$3*60+$N$3)/86400)</f>
        <v>0</v>
      </c>
      <c r="N2710" s="16"/>
      <c r="O2710" s="15"/>
    </row>
    <row r="2711" customFormat="false" ht="25.35" hidden="false" customHeight="false" outlineLevel="0" collapsed="false">
      <c r="A2711" s="9" t="n">
        <v>2705</v>
      </c>
      <c r="B2711" s="10" t="s">
        <v>3815</v>
      </c>
      <c r="C2711" s="10" t="s">
        <v>3736</v>
      </c>
      <c r="D2711" s="11"/>
      <c r="E2711" s="12"/>
      <c r="F2711" s="11" t="n">
        <v>0.009009375</v>
      </c>
      <c r="G2711" s="12" t="n">
        <v>1353</v>
      </c>
      <c r="H2711" s="11"/>
      <c r="I2711" s="12"/>
      <c r="J2711" s="12" t="n">
        <f aca="false">COUNT(E2711,G2711,I2711)</f>
        <v>1</v>
      </c>
      <c r="K2711" s="13" t="n">
        <f aca="false">MIN(E2711,G2711,I2711)</f>
        <v>1353</v>
      </c>
      <c r="L2711" s="9" t="str">
        <f aca="false">IF(E2711=K2711,"5000m",IF(G2711=K2711,"3000mSC","1500m"))</f>
        <v>3000mSC</v>
      </c>
      <c r="M2711" s="14" t="n">
        <f aca="false">(D2711&lt;&gt;"")*(D2711&lt;=($E$3*60+$F$3)/86400)+(F2711&lt;&gt;"")*(F2711&lt;=($I$3*60+$J$3)/86400)+(H2711&lt;&gt;"")*(H2711&lt;=($M$3*60+$N$3)/86400)</f>
        <v>0</v>
      </c>
      <c r="N2711" s="16"/>
      <c r="O2711" s="15"/>
    </row>
    <row r="2712" customFormat="false" ht="15" hidden="false" customHeight="false" outlineLevel="0" collapsed="false">
      <c r="A2712" s="9" t="n">
        <v>2706</v>
      </c>
      <c r="B2712" s="10" t="s">
        <v>3816</v>
      </c>
      <c r="C2712" s="10" t="s">
        <v>3020</v>
      </c>
      <c r="D2712" s="11"/>
      <c r="E2712" s="12"/>
      <c r="F2712" s="11"/>
      <c r="G2712" s="12"/>
      <c r="H2712" s="11" t="n">
        <v>0.00297997685185185</v>
      </c>
      <c r="I2712" s="12" t="n">
        <v>1353</v>
      </c>
      <c r="J2712" s="12" t="n">
        <f aca="false">COUNT(E2712,G2712,I2712)</f>
        <v>1</v>
      </c>
      <c r="K2712" s="13" t="n">
        <f aca="false">MIN(E2712,G2712,I2712)</f>
        <v>1353</v>
      </c>
      <c r="L2712" s="9" t="str">
        <f aca="false">IF(E2712=K2712,"5000m",IF(G2712=K2712,"3000mSC","1500m"))</f>
        <v>1500m</v>
      </c>
      <c r="M2712" s="14" t="n">
        <f aca="false">(D2712&lt;&gt;"")*(D2712&lt;=($E$3*60+$F$3)/86400)+(F2712&lt;&gt;"")*(F2712&lt;=($I$3*60+$J$3)/86400)+(H2712&lt;&gt;"")*(H2712&lt;=($M$3*60+$N$3)/86400)</f>
        <v>0</v>
      </c>
      <c r="N2712" s="16"/>
      <c r="O2712" s="15"/>
    </row>
    <row r="2713" customFormat="false" ht="25.35" hidden="false" customHeight="false" outlineLevel="0" collapsed="false">
      <c r="A2713" s="9" t="n">
        <v>2707</v>
      </c>
      <c r="B2713" s="10" t="s">
        <v>3817</v>
      </c>
      <c r="C2713" s="10" t="s">
        <v>1970</v>
      </c>
      <c r="D2713" s="11"/>
      <c r="E2713" s="12"/>
      <c r="F2713" s="11" t="n">
        <v>0.00901157407407408</v>
      </c>
      <c r="G2713" s="12" t="n">
        <v>1354</v>
      </c>
      <c r="H2713" s="11"/>
      <c r="I2713" s="12"/>
      <c r="J2713" s="12" t="n">
        <f aca="false">COUNT(E2713,G2713,I2713)</f>
        <v>1</v>
      </c>
      <c r="K2713" s="13" t="n">
        <f aca="false">MIN(E2713,G2713,I2713)</f>
        <v>1354</v>
      </c>
      <c r="L2713" s="9" t="str">
        <f aca="false">IF(E2713=K2713,"5000m",IF(G2713=K2713,"3000mSC","1500m"))</f>
        <v>3000mSC</v>
      </c>
      <c r="M2713" s="14" t="n">
        <f aca="false">(D2713&lt;&gt;"")*(D2713&lt;=($E$3*60+$F$3)/86400)+(F2713&lt;&gt;"")*(F2713&lt;=($I$3*60+$J$3)/86400)+(H2713&lt;&gt;"")*(H2713&lt;=($M$3*60+$N$3)/86400)</f>
        <v>0</v>
      </c>
      <c r="N2713" s="16"/>
      <c r="O2713" s="15"/>
    </row>
    <row r="2714" customFormat="false" ht="15" hidden="false" customHeight="false" outlineLevel="0" collapsed="false">
      <c r="A2714" s="9" t="n">
        <v>2708</v>
      </c>
      <c r="B2714" s="10" t="s">
        <v>3818</v>
      </c>
      <c r="C2714" s="10" t="s">
        <v>3819</v>
      </c>
      <c r="D2714" s="11"/>
      <c r="E2714" s="12"/>
      <c r="F2714" s="11"/>
      <c r="G2714" s="12"/>
      <c r="H2714" s="11" t="n">
        <v>0.00297997685185185</v>
      </c>
      <c r="I2714" s="12" t="n">
        <v>1354</v>
      </c>
      <c r="J2714" s="12" t="n">
        <f aca="false">COUNT(E2714,G2714,I2714)</f>
        <v>1</v>
      </c>
      <c r="K2714" s="13" t="n">
        <f aca="false">MIN(E2714,G2714,I2714)</f>
        <v>1354</v>
      </c>
      <c r="L2714" s="9" t="str">
        <f aca="false">IF(E2714=K2714,"5000m",IF(G2714=K2714,"3000mSC","1500m"))</f>
        <v>1500m</v>
      </c>
      <c r="M2714" s="14" t="n">
        <f aca="false">(D2714&lt;&gt;"")*(D2714&lt;=($E$3*60+$F$3)/86400)+(F2714&lt;&gt;"")*(F2714&lt;=($I$3*60+$J$3)/86400)+(H2714&lt;&gt;"")*(H2714&lt;=($M$3*60+$N$3)/86400)</f>
        <v>0</v>
      </c>
      <c r="N2714" s="16"/>
      <c r="O2714" s="15"/>
    </row>
    <row r="2715" customFormat="false" ht="25.35" hidden="false" customHeight="false" outlineLevel="0" collapsed="false">
      <c r="A2715" s="9" t="n">
        <v>2709</v>
      </c>
      <c r="B2715" s="10" t="s">
        <v>3820</v>
      </c>
      <c r="C2715" s="10" t="s">
        <v>541</v>
      </c>
      <c r="D2715" s="11"/>
      <c r="E2715" s="12"/>
      <c r="F2715" s="11" t="n">
        <v>0.00901863425925926</v>
      </c>
      <c r="G2715" s="12" t="n">
        <v>1355</v>
      </c>
      <c r="H2715" s="11"/>
      <c r="I2715" s="12"/>
      <c r="J2715" s="12" t="n">
        <f aca="false">COUNT(E2715,G2715,I2715)</f>
        <v>1</v>
      </c>
      <c r="K2715" s="13" t="n">
        <f aca="false">MIN(E2715,G2715,I2715)</f>
        <v>1355</v>
      </c>
      <c r="L2715" s="9" t="str">
        <f aca="false">IF(E2715=K2715,"5000m",IF(G2715=K2715,"3000mSC","1500m"))</f>
        <v>3000mSC</v>
      </c>
      <c r="M2715" s="14" t="n">
        <f aca="false">(D2715&lt;&gt;"")*(D2715&lt;=($E$3*60+$F$3)/86400)+(F2715&lt;&gt;"")*(F2715&lt;=($I$3*60+$J$3)/86400)+(H2715&lt;&gt;"")*(H2715&lt;=($M$3*60+$N$3)/86400)</f>
        <v>0</v>
      </c>
      <c r="N2715" s="16"/>
      <c r="O2715" s="15"/>
    </row>
    <row r="2716" customFormat="false" ht="25.35" hidden="false" customHeight="false" outlineLevel="0" collapsed="false">
      <c r="A2716" s="9" t="n">
        <v>2710</v>
      </c>
      <c r="B2716" s="10" t="s">
        <v>3821</v>
      </c>
      <c r="C2716" s="10" t="s">
        <v>69</v>
      </c>
      <c r="D2716" s="11"/>
      <c r="E2716" s="12"/>
      <c r="F2716" s="11" t="n">
        <v>0.00903194444444445</v>
      </c>
      <c r="G2716" s="12" t="n">
        <v>1356</v>
      </c>
      <c r="H2716" s="11"/>
      <c r="I2716" s="12"/>
      <c r="J2716" s="12" t="n">
        <f aca="false">COUNT(E2716,G2716,I2716)</f>
        <v>1</v>
      </c>
      <c r="K2716" s="13" t="n">
        <f aca="false">MIN(E2716,G2716,I2716)</f>
        <v>1356</v>
      </c>
      <c r="L2716" s="9" t="str">
        <f aca="false">IF(E2716=K2716,"5000m",IF(G2716=K2716,"3000mSC","1500m"))</f>
        <v>3000mSC</v>
      </c>
      <c r="M2716" s="14" t="n">
        <f aca="false">(D2716&lt;&gt;"")*(D2716&lt;=($E$3*60+$F$3)/86400)+(F2716&lt;&gt;"")*(F2716&lt;=($I$3*60+$J$3)/86400)+(H2716&lt;&gt;"")*(H2716&lt;=($M$3*60+$N$3)/86400)</f>
        <v>0</v>
      </c>
      <c r="N2716" s="16"/>
      <c r="O2716" s="15"/>
    </row>
    <row r="2717" customFormat="false" ht="25.35" hidden="false" customHeight="false" outlineLevel="0" collapsed="false">
      <c r="A2717" s="9" t="n">
        <v>2711</v>
      </c>
      <c r="B2717" s="10" t="s">
        <v>3822</v>
      </c>
      <c r="C2717" s="10" t="s">
        <v>1900</v>
      </c>
      <c r="D2717" s="11"/>
      <c r="E2717" s="12"/>
      <c r="F2717" s="11" t="n">
        <v>0.00903425925925926</v>
      </c>
      <c r="G2717" s="12" t="n">
        <v>1357</v>
      </c>
      <c r="H2717" s="11"/>
      <c r="I2717" s="12"/>
      <c r="J2717" s="12" t="n">
        <f aca="false">COUNT(E2717,G2717,I2717)</f>
        <v>1</v>
      </c>
      <c r="K2717" s="13" t="n">
        <f aca="false">MIN(E2717,G2717,I2717)</f>
        <v>1357</v>
      </c>
      <c r="L2717" s="9" t="str">
        <f aca="false">IF(E2717=K2717,"5000m",IF(G2717=K2717,"3000mSC","1500m"))</f>
        <v>3000mSC</v>
      </c>
      <c r="M2717" s="14" t="n">
        <f aca="false">(D2717&lt;&gt;"")*(D2717&lt;=($E$3*60+$F$3)/86400)+(F2717&lt;&gt;"")*(F2717&lt;=($I$3*60+$J$3)/86400)+(H2717&lt;&gt;"")*(H2717&lt;=($M$3*60+$N$3)/86400)</f>
        <v>0</v>
      </c>
      <c r="N2717" s="16"/>
      <c r="O2717" s="15"/>
    </row>
    <row r="2718" customFormat="false" ht="15" hidden="false" customHeight="false" outlineLevel="0" collapsed="false">
      <c r="A2718" s="9" t="n">
        <v>2712</v>
      </c>
      <c r="B2718" s="10" t="s">
        <v>3823</v>
      </c>
      <c r="C2718" s="10" t="s">
        <v>2041</v>
      </c>
      <c r="D2718" s="11"/>
      <c r="E2718" s="12"/>
      <c r="F2718" s="11"/>
      <c r="G2718" s="12"/>
      <c r="H2718" s="11" t="n">
        <v>0.00298101851851852</v>
      </c>
      <c r="I2718" s="12" t="n">
        <v>1357</v>
      </c>
      <c r="J2718" s="12" t="n">
        <f aca="false">COUNT(E2718,G2718,I2718)</f>
        <v>1</v>
      </c>
      <c r="K2718" s="13" t="n">
        <f aca="false">MIN(E2718,G2718,I2718)</f>
        <v>1357</v>
      </c>
      <c r="L2718" s="9" t="str">
        <f aca="false">IF(E2718=K2718,"5000m",IF(G2718=K2718,"3000mSC","1500m"))</f>
        <v>1500m</v>
      </c>
      <c r="M2718" s="14" t="n">
        <f aca="false">(D2718&lt;&gt;"")*(D2718&lt;=($E$3*60+$F$3)/86400)+(F2718&lt;&gt;"")*(F2718&lt;=($I$3*60+$J$3)/86400)+(H2718&lt;&gt;"")*(H2718&lt;=($M$3*60+$N$3)/86400)</f>
        <v>0</v>
      </c>
      <c r="N2718" s="16"/>
      <c r="O2718" s="15"/>
    </row>
    <row r="2719" customFormat="false" ht="25.35" hidden="false" customHeight="false" outlineLevel="0" collapsed="false">
      <c r="A2719" s="9" t="n">
        <v>2713</v>
      </c>
      <c r="B2719" s="10" t="s">
        <v>3824</v>
      </c>
      <c r="C2719" s="10" t="s">
        <v>3825</v>
      </c>
      <c r="D2719" s="11"/>
      <c r="E2719" s="12"/>
      <c r="F2719" s="11" t="n">
        <v>0.00903993055555556</v>
      </c>
      <c r="G2719" s="12" t="n">
        <v>1358</v>
      </c>
      <c r="H2719" s="11"/>
      <c r="I2719" s="12"/>
      <c r="J2719" s="12" t="n">
        <f aca="false">COUNT(E2719,G2719,I2719)</f>
        <v>1</v>
      </c>
      <c r="K2719" s="13" t="n">
        <f aca="false">MIN(E2719,G2719,I2719)</f>
        <v>1358</v>
      </c>
      <c r="L2719" s="9" t="str">
        <f aca="false">IF(E2719=K2719,"5000m",IF(G2719=K2719,"3000mSC","1500m"))</f>
        <v>3000mSC</v>
      </c>
      <c r="M2719" s="14" t="n">
        <f aca="false">(D2719&lt;&gt;"")*(D2719&lt;=($E$3*60+$F$3)/86400)+(F2719&lt;&gt;"")*(F2719&lt;=($I$3*60+$J$3)/86400)+(H2719&lt;&gt;"")*(H2719&lt;=($M$3*60+$N$3)/86400)</f>
        <v>0</v>
      </c>
      <c r="N2719" s="16"/>
      <c r="O2719" s="15"/>
    </row>
    <row r="2720" customFormat="false" ht="25.35" hidden="false" customHeight="false" outlineLevel="0" collapsed="false">
      <c r="A2720" s="9" t="n">
        <v>2714</v>
      </c>
      <c r="B2720" s="10" t="s">
        <v>3826</v>
      </c>
      <c r="C2720" s="10" t="s">
        <v>3827</v>
      </c>
      <c r="D2720" s="11"/>
      <c r="E2720" s="12"/>
      <c r="F2720" s="11" t="n">
        <v>0.00908773148148148</v>
      </c>
      <c r="G2720" s="12" t="n">
        <v>1359</v>
      </c>
      <c r="H2720" s="11"/>
      <c r="I2720" s="12"/>
      <c r="J2720" s="12" t="n">
        <f aca="false">COUNT(E2720,G2720,I2720)</f>
        <v>1</v>
      </c>
      <c r="K2720" s="13" t="n">
        <f aca="false">MIN(E2720,G2720,I2720)</f>
        <v>1359</v>
      </c>
      <c r="L2720" s="9" t="str">
        <f aca="false">IF(E2720=K2720,"5000m",IF(G2720=K2720,"3000mSC","1500m"))</f>
        <v>3000mSC</v>
      </c>
      <c r="M2720" s="14" t="n">
        <f aca="false">(D2720&lt;&gt;"")*(D2720&lt;=($E$3*60+$F$3)/86400)+(F2720&lt;&gt;"")*(F2720&lt;=($I$3*60+$J$3)/86400)+(H2720&lt;&gt;"")*(H2720&lt;=($M$3*60+$N$3)/86400)</f>
        <v>0</v>
      </c>
      <c r="N2720" s="16"/>
      <c r="O2720" s="15"/>
    </row>
    <row r="2721" customFormat="false" ht="25.35" hidden="false" customHeight="false" outlineLevel="0" collapsed="false">
      <c r="A2721" s="9" t="n">
        <v>2715</v>
      </c>
      <c r="B2721" s="10" t="s">
        <v>3828</v>
      </c>
      <c r="C2721" s="10" t="s">
        <v>1271</v>
      </c>
      <c r="D2721" s="11"/>
      <c r="E2721" s="12"/>
      <c r="F2721" s="11" t="n">
        <v>0.00909224537037037</v>
      </c>
      <c r="G2721" s="12" t="n">
        <v>1360</v>
      </c>
      <c r="H2721" s="11"/>
      <c r="I2721" s="12"/>
      <c r="J2721" s="12" t="n">
        <f aca="false">COUNT(E2721,G2721,I2721)</f>
        <v>1</v>
      </c>
      <c r="K2721" s="13" t="n">
        <f aca="false">MIN(E2721,G2721,I2721)</f>
        <v>1360</v>
      </c>
      <c r="L2721" s="9" t="str">
        <f aca="false">IF(E2721=K2721,"5000m",IF(G2721=K2721,"3000mSC","1500m"))</f>
        <v>3000mSC</v>
      </c>
      <c r="M2721" s="14" t="n">
        <f aca="false">(D2721&lt;&gt;"")*(D2721&lt;=($E$3*60+$F$3)/86400)+(F2721&lt;&gt;"")*(F2721&lt;=($I$3*60+$J$3)/86400)+(H2721&lt;&gt;"")*(H2721&lt;=($M$3*60+$N$3)/86400)</f>
        <v>0</v>
      </c>
      <c r="N2721" s="16"/>
      <c r="O2721" s="15"/>
    </row>
    <row r="2722" customFormat="false" ht="25.35" hidden="false" customHeight="false" outlineLevel="0" collapsed="false">
      <c r="A2722" s="9" t="n">
        <v>2716</v>
      </c>
      <c r="B2722" s="10" t="s">
        <v>3829</v>
      </c>
      <c r="C2722" s="10" t="s">
        <v>3775</v>
      </c>
      <c r="D2722" s="11"/>
      <c r="E2722" s="12"/>
      <c r="F2722" s="11" t="n">
        <v>0.00909351851851852</v>
      </c>
      <c r="G2722" s="12" t="n">
        <v>1361</v>
      </c>
      <c r="H2722" s="11"/>
      <c r="I2722" s="12"/>
      <c r="J2722" s="12" t="n">
        <f aca="false">COUNT(E2722,G2722,I2722)</f>
        <v>1</v>
      </c>
      <c r="K2722" s="13" t="n">
        <f aca="false">MIN(E2722,G2722,I2722)</f>
        <v>1361</v>
      </c>
      <c r="L2722" s="9" t="str">
        <f aca="false">IF(E2722=K2722,"5000m",IF(G2722=K2722,"3000mSC","1500m"))</f>
        <v>3000mSC</v>
      </c>
      <c r="M2722" s="14" t="n">
        <f aca="false">(D2722&lt;&gt;"")*(D2722&lt;=($E$3*60+$F$3)/86400)+(F2722&lt;&gt;"")*(F2722&lt;=($I$3*60+$J$3)/86400)+(H2722&lt;&gt;"")*(H2722&lt;=($M$3*60+$N$3)/86400)</f>
        <v>0</v>
      </c>
      <c r="N2722" s="16"/>
      <c r="O2722" s="15"/>
    </row>
    <row r="2723" customFormat="false" ht="25.35" hidden="false" customHeight="false" outlineLevel="0" collapsed="false">
      <c r="A2723" s="9" t="n">
        <v>2717</v>
      </c>
      <c r="B2723" s="10" t="s">
        <v>3830</v>
      </c>
      <c r="C2723" s="10" t="s">
        <v>3831</v>
      </c>
      <c r="D2723" s="11"/>
      <c r="E2723" s="12"/>
      <c r="F2723" s="11" t="n">
        <v>0.00909513888888889</v>
      </c>
      <c r="G2723" s="12" t="n">
        <v>1362</v>
      </c>
      <c r="H2723" s="11"/>
      <c r="I2723" s="12"/>
      <c r="J2723" s="12" t="n">
        <f aca="false">COUNT(E2723,G2723,I2723)</f>
        <v>1</v>
      </c>
      <c r="K2723" s="13" t="n">
        <f aca="false">MIN(E2723,G2723,I2723)</f>
        <v>1362</v>
      </c>
      <c r="L2723" s="9" t="str">
        <f aca="false">IF(E2723=K2723,"5000m",IF(G2723=K2723,"3000mSC","1500m"))</f>
        <v>3000mSC</v>
      </c>
      <c r="M2723" s="14" t="n">
        <f aca="false">(D2723&lt;&gt;"")*(D2723&lt;=($E$3*60+$F$3)/86400)+(F2723&lt;&gt;"")*(F2723&lt;=($I$3*60+$J$3)/86400)+(H2723&lt;&gt;"")*(H2723&lt;=($M$3*60+$N$3)/86400)</f>
        <v>0</v>
      </c>
      <c r="N2723" s="16"/>
      <c r="O2723" s="15"/>
    </row>
    <row r="2724" customFormat="false" ht="25.35" hidden="false" customHeight="false" outlineLevel="0" collapsed="false">
      <c r="A2724" s="9" t="n">
        <v>2718</v>
      </c>
      <c r="B2724" s="10" t="s">
        <v>3832</v>
      </c>
      <c r="C2724" s="10" t="s">
        <v>1368</v>
      </c>
      <c r="D2724" s="11"/>
      <c r="E2724" s="12"/>
      <c r="F2724" s="11" t="n">
        <v>0.00914594907407407</v>
      </c>
      <c r="G2724" s="12" t="n">
        <v>1363</v>
      </c>
      <c r="H2724" s="11"/>
      <c r="I2724" s="12"/>
      <c r="J2724" s="12" t="n">
        <f aca="false">COUNT(E2724,G2724,I2724)</f>
        <v>1</v>
      </c>
      <c r="K2724" s="13" t="n">
        <f aca="false">MIN(E2724,G2724,I2724)</f>
        <v>1363</v>
      </c>
      <c r="L2724" s="9" t="str">
        <f aca="false">IF(E2724=K2724,"5000m",IF(G2724=K2724,"3000mSC","1500m"))</f>
        <v>3000mSC</v>
      </c>
      <c r="M2724" s="14" t="n">
        <f aca="false">(D2724&lt;&gt;"")*(D2724&lt;=($E$3*60+$F$3)/86400)+(F2724&lt;&gt;"")*(F2724&lt;=($I$3*60+$J$3)/86400)+(H2724&lt;&gt;"")*(H2724&lt;=($M$3*60+$N$3)/86400)</f>
        <v>0</v>
      </c>
      <c r="N2724" s="16"/>
      <c r="O2724" s="15"/>
    </row>
    <row r="2725" customFormat="false" ht="25.35" hidden="false" customHeight="false" outlineLevel="0" collapsed="false">
      <c r="A2725" s="9" t="n">
        <v>2719</v>
      </c>
      <c r="B2725" s="10" t="s">
        <v>3833</v>
      </c>
      <c r="C2725" s="10" t="s">
        <v>139</v>
      </c>
      <c r="D2725" s="11"/>
      <c r="E2725" s="12"/>
      <c r="F2725" s="11" t="n">
        <v>0.00915092592592593</v>
      </c>
      <c r="G2725" s="12" t="n">
        <v>1364</v>
      </c>
      <c r="H2725" s="11"/>
      <c r="I2725" s="12"/>
      <c r="J2725" s="12" t="n">
        <f aca="false">COUNT(E2725,G2725,I2725)</f>
        <v>1</v>
      </c>
      <c r="K2725" s="13" t="n">
        <f aca="false">MIN(E2725,G2725,I2725)</f>
        <v>1364</v>
      </c>
      <c r="L2725" s="9" t="str">
        <f aca="false">IF(E2725=K2725,"5000m",IF(G2725=K2725,"3000mSC","1500m"))</f>
        <v>3000mSC</v>
      </c>
      <c r="M2725" s="14" t="n">
        <f aca="false">(D2725&lt;&gt;"")*(D2725&lt;=($E$3*60+$F$3)/86400)+(F2725&lt;&gt;"")*(F2725&lt;=($I$3*60+$J$3)/86400)+(H2725&lt;&gt;"")*(H2725&lt;=($M$3*60+$N$3)/86400)</f>
        <v>0</v>
      </c>
      <c r="N2725" s="16"/>
      <c r="O2725" s="15"/>
    </row>
    <row r="2726" customFormat="false" ht="25.35" hidden="false" customHeight="false" outlineLevel="0" collapsed="false">
      <c r="A2726" s="9" t="n">
        <v>2720</v>
      </c>
      <c r="B2726" s="10" t="s">
        <v>3834</v>
      </c>
      <c r="C2726" s="10" t="s">
        <v>3736</v>
      </c>
      <c r="D2726" s="11"/>
      <c r="E2726" s="12"/>
      <c r="F2726" s="11" t="n">
        <v>0.00917615740740741</v>
      </c>
      <c r="G2726" s="12" t="n">
        <v>1365</v>
      </c>
      <c r="H2726" s="11"/>
      <c r="I2726" s="12"/>
      <c r="J2726" s="12" t="n">
        <f aca="false">COUNT(E2726,G2726,I2726)</f>
        <v>1</v>
      </c>
      <c r="K2726" s="13" t="n">
        <f aca="false">MIN(E2726,G2726,I2726)</f>
        <v>1365</v>
      </c>
      <c r="L2726" s="9" t="str">
        <f aca="false">IF(E2726=K2726,"5000m",IF(G2726=K2726,"3000mSC","1500m"))</f>
        <v>3000mSC</v>
      </c>
      <c r="M2726" s="14" t="n">
        <f aca="false">(D2726&lt;&gt;"")*(D2726&lt;=($E$3*60+$F$3)/86400)+(F2726&lt;&gt;"")*(F2726&lt;=($I$3*60+$J$3)/86400)+(H2726&lt;&gt;"")*(H2726&lt;=($M$3*60+$N$3)/86400)</f>
        <v>0</v>
      </c>
      <c r="N2726" s="16"/>
      <c r="O2726" s="15"/>
    </row>
    <row r="2727" customFormat="false" ht="25.35" hidden="false" customHeight="false" outlineLevel="0" collapsed="false">
      <c r="A2727" s="9" t="n">
        <v>2721</v>
      </c>
      <c r="B2727" s="10" t="s">
        <v>3835</v>
      </c>
      <c r="C2727" s="10" t="s">
        <v>3827</v>
      </c>
      <c r="D2727" s="11"/>
      <c r="E2727" s="12"/>
      <c r="F2727" s="11" t="n">
        <v>0.00924594907407408</v>
      </c>
      <c r="G2727" s="12" t="n">
        <v>1366</v>
      </c>
      <c r="H2727" s="11"/>
      <c r="I2727" s="12"/>
      <c r="J2727" s="12" t="n">
        <f aca="false">COUNT(E2727,G2727,I2727)</f>
        <v>1</v>
      </c>
      <c r="K2727" s="13" t="n">
        <f aca="false">MIN(E2727,G2727,I2727)</f>
        <v>1366</v>
      </c>
      <c r="L2727" s="9" t="str">
        <f aca="false">IF(E2727=K2727,"5000m",IF(G2727=K2727,"3000mSC","1500m"))</f>
        <v>3000mSC</v>
      </c>
      <c r="M2727" s="14" t="n">
        <f aca="false">(D2727&lt;&gt;"")*(D2727&lt;=($E$3*60+$F$3)/86400)+(F2727&lt;&gt;"")*(F2727&lt;=($I$3*60+$J$3)/86400)+(H2727&lt;&gt;"")*(H2727&lt;=($M$3*60+$N$3)/86400)</f>
        <v>0</v>
      </c>
      <c r="N2727" s="16"/>
      <c r="O2727" s="15"/>
    </row>
    <row r="2728" customFormat="false" ht="25.35" hidden="false" customHeight="false" outlineLevel="0" collapsed="false">
      <c r="A2728" s="9" t="n">
        <v>2722</v>
      </c>
      <c r="B2728" s="10" t="s">
        <v>3836</v>
      </c>
      <c r="C2728" s="10" t="s">
        <v>3837</v>
      </c>
      <c r="D2728" s="11"/>
      <c r="E2728" s="12"/>
      <c r="F2728" s="11" t="n">
        <v>0.00924618055555556</v>
      </c>
      <c r="G2728" s="12" t="n">
        <v>1367</v>
      </c>
      <c r="H2728" s="11"/>
      <c r="I2728" s="12"/>
      <c r="J2728" s="12" t="n">
        <f aca="false">COUNT(E2728,G2728,I2728)</f>
        <v>1</v>
      </c>
      <c r="K2728" s="13" t="n">
        <f aca="false">MIN(E2728,G2728,I2728)</f>
        <v>1367</v>
      </c>
      <c r="L2728" s="9" t="str">
        <f aca="false">IF(E2728=K2728,"5000m",IF(G2728=K2728,"3000mSC","1500m"))</f>
        <v>3000mSC</v>
      </c>
      <c r="M2728" s="14" t="n">
        <f aca="false">(D2728&lt;&gt;"")*(D2728&lt;=($E$3*60+$F$3)/86400)+(F2728&lt;&gt;"")*(F2728&lt;=($I$3*60+$J$3)/86400)+(H2728&lt;&gt;"")*(H2728&lt;=($M$3*60+$N$3)/86400)</f>
        <v>0</v>
      </c>
      <c r="N2728" s="16"/>
      <c r="O2728" s="15"/>
    </row>
    <row r="2729" customFormat="false" ht="25.35" hidden="false" customHeight="false" outlineLevel="0" collapsed="false">
      <c r="A2729" s="9" t="n">
        <v>2723</v>
      </c>
      <c r="B2729" s="10" t="s">
        <v>3838</v>
      </c>
      <c r="C2729" s="10" t="s">
        <v>3390</v>
      </c>
      <c r="D2729" s="11"/>
      <c r="E2729" s="12"/>
      <c r="F2729" s="11" t="n">
        <v>0.00928900462962963</v>
      </c>
      <c r="G2729" s="12" t="n">
        <v>1368</v>
      </c>
      <c r="H2729" s="11"/>
      <c r="I2729" s="12"/>
      <c r="J2729" s="12" t="n">
        <f aca="false">COUNT(E2729,G2729,I2729)</f>
        <v>1</v>
      </c>
      <c r="K2729" s="13" t="n">
        <f aca="false">MIN(E2729,G2729,I2729)</f>
        <v>1368</v>
      </c>
      <c r="L2729" s="9" t="str">
        <f aca="false">IF(E2729=K2729,"5000m",IF(G2729=K2729,"3000mSC","1500m"))</f>
        <v>3000mSC</v>
      </c>
      <c r="M2729" s="14" t="n">
        <f aca="false">(D2729&lt;&gt;"")*(D2729&lt;=($E$3*60+$F$3)/86400)+(F2729&lt;&gt;"")*(F2729&lt;=($I$3*60+$J$3)/86400)+(H2729&lt;&gt;"")*(H2729&lt;=($M$3*60+$N$3)/86400)</f>
        <v>0</v>
      </c>
      <c r="N2729" s="16"/>
      <c r="O2729" s="15"/>
    </row>
    <row r="2730" customFormat="false" ht="25.35" hidden="false" customHeight="false" outlineLevel="0" collapsed="false">
      <c r="A2730" s="9" t="n">
        <v>2724</v>
      </c>
      <c r="B2730" s="10" t="s">
        <v>3839</v>
      </c>
      <c r="C2730" s="10" t="s">
        <v>3840</v>
      </c>
      <c r="D2730" s="11"/>
      <c r="E2730" s="12"/>
      <c r="F2730" s="11" t="n">
        <v>0.00930740740740741</v>
      </c>
      <c r="G2730" s="12" t="n">
        <v>1369</v>
      </c>
      <c r="H2730" s="11"/>
      <c r="I2730" s="12"/>
      <c r="J2730" s="12" t="n">
        <f aca="false">COUNT(E2730,G2730,I2730)</f>
        <v>1</v>
      </c>
      <c r="K2730" s="13" t="n">
        <f aca="false">MIN(E2730,G2730,I2730)</f>
        <v>1369</v>
      </c>
      <c r="L2730" s="9" t="str">
        <f aca="false">IF(E2730=K2730,"5000m",IF(G2730=K2730,"3000mSC","1500m"))</f>
        <v>3000mSC</v>
      </c>
      <c r="M2730" s="14" t="n">
        <f aca="false">(D2730&lt;&gt;"")*(D2730&lt;=($E$3*60+$F$3)/86400)+(F2730&lt;&gt;"")*(F2730&lt;=($I$3*60+$J$3)/86400)+(H2730&lt;&gt;"")*(H2730&lt;=($M$3*60+$N$3)/86400)</f>
        <v>0</v>
      </c>
      <c r="N2730" s="16"/>
      <c r="O2730" s="15"/>
    </row>
    <row r="2731" customFormat="false" ht="25.35" hidden="false" customHeight="false" outlineLevel="0" collapsed="false">
      <c r="A2731" s="9" t="n">
        <v>2725</v>
      </c>
      <c r="B2731" s="10" t="s">
        <v>3841</v>
      </c>
      <c r="C2731" s="10" t="s">
        <v>2373</v>
      </c>
      <c r="D2731" s="11"/>
      <c r="E2731" s="12"/>
      <c r="F2731" s="11" t="n">
        <v>0.00931400462962963</v>
      </c>
      <c r="G2731" s="12" t="n">
        <v>1370</v>
      </c>
      <c r="H2731" s="11"/>
      <c r="I2731" s="12"/>
      <c r="J2731" s="12" t="n">
        <f aca="false">COUNT(E2731,G2731,I2731)</f>
        <v>1</v>
      </c>
      <c r="K2731" s="13" t="n">
        <f aca="false">MIN(E2731,G2731,I2731)</f>
        <v>1370</v>
      </c>
      <c r="L2731" s="9" t="str">
        <f aca="false">IF(E2731=K2731,"5000m",IF(G2731=K2731,"3000mSC","1500m"))</f>
        <v>3000mSC</v>
      </c>
      <c r="M2731" s="14" t="n">
        <f aca="false">(D2731&lt;&gt;"")*(D2731&lt;=($E$3*60+$F$3)/86400)+(F2731&lt;&gt;"")*(F2731&lt;=($I$3*60+$J$3)/86400)+(H2731&lt;&gt;"")*(H2731&lt;=($M$3*60+$N$3)/86400)</f>
        <v>0</v>
      </c>
      <c r="N2731" s="16"/>
      <c r="O2731" s="15"/>
    </row>
    <row r="2732" customFormat="false" ht="25.35" hidden="false" customHeight="false" outlineLevel="0" collapsed="false">
      <c r="A2732" s="9" t="n">
        <v>2726</v>
      </c>
      <c r="B2732" s="10" t="s">
        <v>3842</v>
      </c>
      <c r="C2732" s="10" t="s">
        <v>3843</v>
      </c>
      <c r="D2732" s="11"/>
      <c r="E2732" s="12"/>
      <c r="F2732" s="11" t="n">
        <v>0.009334375</v>
      </c>
      <c r="G2732" s="12" t="n">
        <v>1371</v>
      </c>
      <c r="H2732" s="11"/>
      <c r="I2732" s="12"/>
      <c r="J2732" s="12" t="n">
        <f aca="false">COUNT(E2732,G2732,I2732)</f>
        <v>1</v>
      </c>
      <c r="K2732" s="13" t="n">
        <f aca="false">MIN(E2732,G2732,I2732)</f>
        <v>1371</v>
      </c>
      <c r="L2732" s="9" t="str">
        <f aca="false">IF(E2732=K2732,"5000m",IF(G2732=K2732,"3000mSC","1500m"))</f>
        <v>3000mSC</v>
      </c>
      <c r="M2732" s="14" t="n">
        <f aca="false">(D2732&lt;&gt;"")*(D2732&lt;=($E$3*60+$F$3)/86400)+(F2732&lt;&gt;"")*(F2732&lt;=($I$3*60+$J$3)/86400)+(H2732&lt;&gt;"")*(H2732&lt;=($M$3*60+$N$3)/86400)</f>
        <v>0</v>
      </c>
      <c r="N2732" s="16"/>
      <c r="O2732" s="15"/>
    </row>
    <row r="2733" customFormat="false" ht="25.35" hidden="false" customHeight="false" outlineLevel="0" collapsed="false">
      <c r="A2733" s="9" t="n">
        <v>2727</v>
      </c>
      <c r="B2733" s="10" t="s">
        <v>3844</v>
      </c>
      <c r="C2733" s="10" t="s">
        <v>3845</v>
      </c>
      <c r="D2733" s="11"/>
      <c r="E2733" s="12"/>
      <c r="F2733" s="11" t="n">
        <v>0.00941574074074074</v>
      </c>
      <c r="G2733" s="12" t="n">
        <v>1372</v>
      </c>
      <c r="H2733" s="11"/>
      <c r="I2733" s="12"/>
      <c r="J2733" s="12" t="n">
        <f aca="false">COUNT(E2733,G2733,I2733)</f>
        <v>1</v>
      </c>
      <c r="K2733" s="13" t="n">
        <f aca="false">MIN(E2733,G2733,I2733)</f>
        <v>1372</v>
      </c>
      <c r="L2733" s="9" t="str">
        <f aca="false">IF(E2733=K2733,"5000m",IF(G2733=K2733,"3000mSC","1500m"))</f>
        <v>3000mSC</v>
      </c>
      <c r="M2733" s="14" t="n">
        <f aca="false">(D2733&lt;&gt;"")*(D2733&lt;=($E$3*60+$F$3)/86400)+(F2733&lt;&gt;"")*(F2733&lt;=($I$3*60+$J$3)/86400)+(H2733&lt;&gt;"")*(H2733&lt;=($M$3*60+$N$3)/86400)</f>
        <v>0</v>
      </c>
      <c r="N2733" s="16"/>
      <c r="O2733" s="15"/>
    </row>
    <row r="2734" customFormat="false" ht="25.35" hidden="false" customHeight="false" outlineLevel="0" collapsed="false">
      <c r="A2734" s="9" t="n">
        <v>2728</v>
      </c>
      <c r="B2734" s="10" t="s">
        <v>3846</v>
      </c>
      <c r="C2734" s="10" t="s">
        <v>3847</v>
      </c>
      <c r="D2734" s="11"/>
      <c r="E2734" s="12"/>
      <c r="F2734" s="11" t="n">
        <v>0.00948449074074074</v>
      </c>
      <c r="G2734" s="12" t="n">
        <v>1373</v>
      </c>
      <c r="H2734" s="11"/>
      <c r="I2734" s="12"/>
      <c r="J2734" s="12" t="n">
        <f aca="false">COUNT(E2734,G2734,I2734)</f>
        <v>1</v>
      </c>
      <c r="K2734" s="13" t="n">
        <f aca="false">MIN(E2734,G2734,I2734)</f>
        <v>1373</v>
      </c>
      <c r="L2734" s="9" t="str">
        <f aca="false">IF(E2734=K2734,"5000m",IF(G2734=K2734,"3000mSC","1500m"))</f>
        <v>3000mSC</v>
      </c>
      <c r="M2734" s="14" t="n">
        <f aca="false">(D2734&lt;&gt;"")*(D2734&lt;=($E$3*60+$F$3)/86400)+(F2734&lt;&gt;"")*(F2734&lt;=($I$3*60+$J$3)/86400)+(H2734&lt;&gt;"")*(H2734&lt;=($M$3*60+$N$3)/86400)</f>
        <v>0</v>
      </c>
      <c r="N2734" s="16"/>
      <c r="O2734" s="15"/>
    </row>
    <row r="2735" customFormat="false" ht="25.35" hidden="false" customHeight="false" outlineLevel="0" collapsed="false">
      <c r="A2735" s="9" t="n">
        <v>2729</v>
      </c>
      <c r="B2735" s="10" t="s">
        <v>3848</v>
      </c>
      <c r="C2735" s="10" t="s">
        <v>3396</v>
      </c>
      <c r="D2735" s="11"/>
      <c r="E2735" s="12"/>
      <c r="F2735" s="11" t="n">
        <v>0.0099724537037037</v>
      </c>
      <c r="G2735" s="12" t="n">
        <v>1374</v>
      </c>
      <c r="H2735" s="11"/>
      <c r="I2735" s="12"/>
      <c r="J2735" s="12" t="n">
        <f aca="false">COUNT(E2735,G2735,I2735)</f>
        <v>1</v>
      </c>
      <c r="K2735" s="13" t="n">
        <f aca="false">MIN(E2735,G2735,I2735)</f>
        <v>1374</v>
      </c>
      <c r="L2735" s="9" t="str">
        <f aca="false">IF(E2735=K2735,"5000m",IF(G2735=K2735,"3000mSC","1500m"))</f>
        <v>3000mSC</v>
      </c>
      <c r="M2735" s="14" t="n">
        <f aca="false">(D2735&lt;&gt;"")*(D2735&lt;=($E$3*60+$F$3)/86400)+(F2735&lt;&gt;"")*(F2735&lt;=($I$3*60+$J$3)/86400)+(H2735&lt;&gt;"")*(H2735&lt;=($M$3*60+$N$3)/86400)</f>
        <v>0</v>
      </c>
      <c r="N2735" s="16"/>
      <c r="O2735" s="15"/>
    </row>
    <row r="2736" customFormat="false" ht="25.35" hidden="false" customHeight="false" outlineLevel="0" collapsed="false">
      <c r="A2736" s="9" t="n">
        <v>2730</v>
      </c>
      <c r="B2736" s="10" t="s">
        <v>3849</v>
      </c>
      <c r="C2736" s="10" t="s">
        <v>3850</v>
      </c>
      <c r="D2736" s="11"/>
      <c r="E2736" s="12"/>
      <c r="F2736" s="11" t="n">
        <v>0.0103003472222222</v>
      </c>
      <c r="G2736" s="12" t="n">
        <v>1375</v>
      </c>
      <c r="H2736" s="11"/>
      <c r="I2736" s="12"/>
      <c r="J2736" s="12" t="n">
        <f aca="false">COUNT(E2736,G2736,I2736)</f>
        <v>1</v>
      </c>
      <c r="K2736" s="13" t="n">
        <f aca="false">MIN(E2736,G2736,I2736)</f>
        <v>1375</v>
      </c>
      <c r="L2736" s="9" t="str">
        <f aca="false">IF(E2736=K2736,"5000m",IF(G2736=K2736,"3000mSC","1500m"))</f>
        <v>3000mSC</v>
      </c>
      <c r="M2736" s="14" t="n">
        <f aca="false">(D2736&lt;&gt;"")*(D2736&lt;=($E$3*60+$F$3)/86400)+(F2736&lt;&gt;"")*(F2736&lt;=($I$3*60+$J$3)/86400)+(H2736&lt;&gt;"")*(H2736&lt;=($M$3*60+$N$3)/86400)</f>
        <v>0</v>
      </c>
      <c r="N2736" s="16"/>
      <c r="O2736" s="15"/>
    </row>
    <row r="2737" customFormat="false" ht="25.35" hidden="false" customHeight="false" outlineLevel="0" collapsed="false">
      <c r="A2737" s="9" t="n">
        <v>2731</v>
      </c>
      <c r="B2737" s="10" t="s">
        <v>3851</v>
      </c>
      <c r="C2737" s="10" t="s">
        <v>3852</v>
      </c>
      <c r="D2737" s="11"/>
      <c r="E2737" s="12"/>
      <c r="F2737" s="11" t="n">
        <v>0.0104084490740741</v>
      </c>
      <c r="G2737" s="12" t="n">
        <v>1376</v>
      </c>
      <c r="H2737" s="11"/>
      <c r="I2737" s="12"/>
      <c r="J2737" s="12" t="n">
        <f aca="false">COUNT(E2737,G2737,I2737)</f>
        <v>1</v>
      </c>
      <c r="K2737" s="13" t="n">
        <f aca="false">MIN(E2737,G2737,I2737)</f>
        <v>1376</v>
      </c>
      <c r="L2737" s="9" t="str">
        <f aca="false">IF(E2737=K2737,"5000m",IF(G2737=K2737,"3000mSC","1500m"))</f>
        <v>3000mSC</v>
      </c>
      <c r="M2737" s="14" t="n">
        <f aca="false">(D2737&lt;&gt;"")*(D2737&lt;=($E$3*60+$F$3)/86400)+(F2737&lt;&gt;"")*(F2737&lt;=($I$3*60+$J$3)/86400)+(H2737&lt;&gt;"")*(H2737&lt;=($M$3*60+$N$3)/86400)</f>
        <v>0</v>
      </c>
      <c r="N2737" s="16"/>
      <c r="O2737" s="15"/>
    </row>
    <row r="2738" customFormat="false" ht="25.35" hidden="false" customHeight="false" outlineLevel="0" collapsed="false">
      <c r="A2738" s="9" t="n">
        <v>2732</v>
      </c>
      <c r="B2738" s="10" t="s">
        <v>3853</v>
      </c>
      <c r="C2738" s="10" t="s">
        <v>2253</v>
      </c>
      <c r="D2738" s="11"/>
      <c r="E2738" s="12"/>
      <c r="F2738" s="11" t="n">
        <v>0.0107068287037037</v>
      </c>
      <c r="G2738" s="12" t="n">
        <v>1377</v>
      </c>
      <c r="H2738" s="11"/>
      <c r="I2738" s="12"/>
      <c r="J2738" s="12" t="n">
        <f aca="false">COUNT(E2738,G2738,I2738)</f>
        <v>1</v>
      </c>
      <c r="K2738" s="13" t="n">
        <f aca="false">MIN(E2738,G2738,I2738)</f>
        <v>1377</v>
      </c>
      <c r="L2738" s="9" t="str">
        <f aca="false">IF(E2738=K2738,"5000m",IF(G2738=K2738,"3000mSC","1500m"))</f>
        <v>3000mSC</v>
      </c>
      <c r="M2738" s="14" t="n">
        <f aca="false">(D2738&lt;&gt;"")*(D2738&lt;=($E$3*60+$F$3)/86400)+(F2738&lt;&gt;"")*(F2738&lt;=($I$3*60+$J$3)/86400)+(H2738&lt;&gt;"")*(H2738&lt;=($M$3*60+$N$3)/86400)</f>
        <v>0</v>
      </c>
      <c r="N2738" s="16"/>
      <c r="O2738" s="15"/>
    </row>
  </sheetData>
  <autoFilter ref="A6:O2738"/>
  <conditionalFormatting sqref="E7:E2738 G7:G2738 I7:I2738 K7:K2738">
    <cfRule type="cellIs" priority="2" operator="lessThanOrEqual" aboveAverage="0" equalAverage="0" bottom="0" percent="0" rank="0" text="" dxfId="7">
      <formula>10</formula>
    </cfRule>
    <cfRule type="cellIs" priority="3" operator="lessThanOrEqual" aboveAverage="0" equalAverage="0" bottom="0" percent="0" rank="0" text="" dxfId="8">
      <formula>50</formula>
    </cfRule>
    <cfRule type="cellIs" priority="4" operator="lessThanOrEqual" aboveAverage="0" equalAverage="0" bottom="0" percent="0" rank="0" text="" dxfId="9">
      <formula>100</formula>
    </cfRule>
  </conditionalFormatting>
  <conditionalFormatting sqref="M7:M2738">
    <cfRule type="cellIs" priority="5" operator="greaterThanOrEqual" aboveAverage="0" equalAverage="0" bottom="0" percent="0" rank="0" text="" dxfId="10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6" min="2" style="0" width="9"/>
    <col collapsed="false" customWidth="true" hidden="false" outlineLevel="0" max="7" min="7" style="0" width="7"/>
    <col collapsed="false" customWidth="true" hidden="false" outlineLevel="0" max="8" min="8" style="0" width="80"/>
  </cols>
  <sheetData>
    <row r="1" customFormat="false" ht="17.35" hidden="false" customHeight="false" outlineLevel="0" collapsed="false">
      <c r="A1" s="17" t="s">
        <v>3854</v>
      </c>
    </row>
    <row r="2" customFormat="false" ht="15" hidden="false" customHeight="false" outlineLevel="0" collapsed="false">
      <c r="A2" s="2" t="s">
        <v>3855</v>
      </c>
    </row>
    <row r="4" customFormat="false" ht="33.75" hidden="false" customHeight="true" outlineLevel="0" collapsed="false">
      <c r="A4" s="8" t="s">
        <v>9</v>
      </c>
      <c r="B4" s="8" t="s">
        <v>3856</v>
      </c>
      <c r="C4" s="8" t="s">
        <v>3857</v>
      </c>
      <c r="D4" s="7" t="s">
        <v>3858</v>
      </c>
      <c r="E4" s="7" t="s">
        <v>3859</v>
      </c>
      <c r="F4" s="7" t="s">
        <v>3860</v>
      </c>
      <c r="G4" s="8" t="s">
        <v>3861</v>
      </c>
      <c r="H4" s="7" t="s">
        <v>3862</v>
      </c>
    </row>
    <row r="5" customFormat="false" ht="15" hidden="false" customHeight="false" outlineLevel="0" collapsed="false">
      <c r="A5" s="10" t="s">
        <v>29</v>
      </c>
      <c r="B5" s="12" t="n">
        <f aca="false">COUNTIF(選手一覧!$C$7:$C$2738,A5)</f>
        <v>17</v>
      </c>
      <c r="C5" s="14" t="n">
        <f aca="false">COUNTIFS(選手一覧!$C$7:$C$2738,A5,選手一覧!$K$7:$K$2738,"&lt;=100")</f>
        <v>8</v>
      </c>
      <c r="D5" s="14" t="n">
        <f aca="false">COUNTIFS(選手一覧!$C$7:$C$2738,A5,選手一覧!$E$7:$E$2738,"&lt;=100")</f>
        <v>7</v>
      </c>
      <c r="E5" s="14" t="n">
        <f aca="false">COUNTIFS(選手一覧!$C$7:$C$2738,A5,選手一覧!$G$7:$G$2738,"&lt;=100")</f>
        <v>2</v>
      </c>
      <c r="F5" s="14" t="n">
        <f aca="false">COUNTIFS(選手一覧!$C$7:$C$2738,A5,選手一覧!$I$7:$I$2738,"&lt;=100")</f>
        <v>2</v>
      </c>
      <c r="G5" s="13" t="n">
        <f aca="false">_xlfn.MINIFS(選手一覧!$K$7:$K$2738,選手一覧!$C$7:$C$2738,A5)</f>
        <v>2</v>
      </c>
      <c r="H5" s="10" t="s">
        <v>3863</v>
      </c>
    </row>
    <row r="6" customFormat="false" ht="15" hidden="false" customHeight="false" outlineLevel="0" collapsed="false">
      <c r="A6" s="10" t="s">
        <v>242</v>
      </c>
      <c r="B6" s="12" t="n">
        <f aca="false">COUNTIF(選手一覧!$C$7:$C$2738,A6)</f>
        <v>18</v>
      </c>
      <c r="C6" s="14" t="n">
        <f aca="false">COUNTIFS(選手一覧!$C$7:$C$2738,A6,選手一覧!$K$7:$K$2738,"&lt;=100")</f>
        <v>5</v>
      </c>
      <c r="D6" s="14" t="n">
        <f aca="false">COUNTIFS(選手一覧!$C$7:$C$2738,A6,選手一覧!$E$7:$E$2738,"&lt;=100")</f>
        <v>2</v>
      </c>
      <c r="E6" s="14" t="n">
        <f aca="false">COUNTIFS(選手一覧!$C$7:$C$2738,A6,選手一覧!$G$7:$G$2738,"&lt;=100")</f>
        <v>2</v>
      </c>
      <c r="F6" s="14" t="n">
        <f aca="false">COUNTIFS(選手一覧!$C$7:$C$2738,A6,選手一覧!$I$7:$I$2738,"&lt;=100")</f>
        <v>1</v>
      </c>
      <c r="G6" s="13" t="n">
        <f aca="false">_xlfn.MINIFS(選手一覧!$K$7:$K$2738,選手一覧!$C$7:$C$2738,A6)</f>
        <v>51</v>
      </c>
      <c r="H6" s="10" t="s">
        <v>3864</v>
      </c>
    </row>
    <row r="7" customFormat="false" ht="15" hidden="false" customHeight="false" outlineLevel="0" collapsed="false">
      <c r="A7" s="10" t="s">
        <v>25</v>
      </c>
      <c r="B7" s="12" t="n">
        <f aca="false">COUNTIF(選手一覧!$C$7:$C$2738,A7)</f>
        <v>17</v>
      </c>
      <c r="C7" s="14" t="n">
        <f aca="false">COUNTIFS(選手一覧!$C$7:$C$2738,A7,選手一覧!$K$7:$K$2738,"&lt;=100")</f>
        <v>5</v>
      </c>
      <c r="D7" s="14" t="n">
        <f aca="false">COUNTIFS(選手一覧!$C$7:$C$2738,A7,選手一覧!$E$7:$E$2738,"&lt;=100")</f>
        <v>2</v>
      </c>
      <c r="E7" s="14" t="n">
        <f aca="false">COUNTIFS(選手一覧!$C$7:$C$2738,A7,選手一覧!$G$7:$G$2738,"&lt;=100")</f>
        <v>2</v>
      </c>
      <c r="F7" s="14" t="n">
        <f aca="false">COUNTIFS(選手一覧!$C$7:$C$2738,A7,選手一覧!$I$7:$I$2738,"&lt;=100")</f>
        <v>1</v>
      </c>
      <c r="G7" s="13" t="n">
        <f aca="false">_xlfn.MINIFS(選手一覧!$K$7:$K$2738,選手一覧!$C$7:$C$2738,A7)</f>
        <v>1</v>
      </c>
      <c r="H7" s="10" t="s">
        <v>3865</v>
      </c>
    </row>
    <row r="8" customFormat="false" ht="15" hidden="false" customHeight="false" outlineLevel="0" collapsed="false">
      <c r="A8" s="10" t="s">
        <v>64</v>
      </c>
      <c r="B8" s="12" t="n">
        <f aca="false">COUNTIF(選手一覧!$C$7:$C$2738,A8)</f>
        <v>14</v>
      </c>
      <c r="C8" s="14" t="n">
        <f aca="false">COUNTIFS(選手一覧!$C$7:$C$2738,A8,選手一覧!$K$7:$K$2738,"&lt;=100")</f>
        <v>5</v>
      </c>
      <c r="D8" s="14" t="n">
        <f aca="false">COUNTIFS(選手一覧!$C$7:$C$2738,A8,選手一覧!$E$7:$E$2738,"&lt;=100")</f>
        <v>2</v>
      </c>
      <c r="E8" s="14" t="n">
        <f aca="false">COUNTIFS(選手一覧!$C$7:$C$2738,A8,選手一覧!$G$7:$G$2738,"&lt;=100")</f>
        <v>2</v>
      </c>
      <c r="F8" s="14" t="n">
        <f aca="false">COUNTIFS(選手一覧!$C$7:$C$2738,A8,選手一覧!$I$7:$I$2738,"&lt;=100")</f>
        <v>3</v>
      </c>
      <c r="G8" s="13" t="n">
        <f aca="false">_xlfn.MINIFS(選手一覧!$K$7:$K$2738,選手一覧!$C$7:$C$2738,A8)</f>
        <v>9</v>
      </c>
      <c r="H8" s="10" t="s">
        <v>3866</v>
      </c>
    </row>
    <row r="9" customFormat="false" ht="15" hidden="false" customHeight="false" outlineLevel="0" collapsed="false">
      <c r="A9" s="10" t="s">
        <v>23</v>
      </c>
      <c r="B9" s="12" t="n">
        <f aca="false">COUNTIF(選手一覧!$C$7:$C$2738,A9)</f>
        <v>13</v>
      </c>
      <c r="C9" s="14" t="n">
        <f aca="false">COUNTIFS(選手一覧!$C$7:$C$2738,A9,選手一覧!$K$7:$K$2738,"&lt;=100")</f>
        <v>5</v>
      </c>
      <c r="D9" s="14" t="n">
        <f aca="false">COUNTIFS(選手一覧!$C$7:$C$2738,A9,選手一覧!$E$7:$E$2738,"&lt;=100")</f>
        <v>4</v>
      </c>
      <c r="E9" s="14" t="n">
        <f aca="false">COUNTIFS(選手一覧!$C$7:$C$2738,A9,選手一覧!$G$7:$G$2738,"&lt;=100")</f>
        <v>3</v>
      </c>
      <c r="F9" s="14" t="n">
        <f aca="false">COUNTIFS(選手一覧!$C$7:$C$2738,A9,選手一覧!$I$7:$I$2738,"&lt;=100")</f>
        <v>2</v>
      </c>
      <c r="G9" s="13" t="n">
        <f aca="false">_xlfn.MINIFS(選手一覧!$K$7:$K$2738,選手一覧!$C$7:$C$2738,A9)</f>
        <v>1</v>
      </c>
      <c r="H9" s="10" t="s">
        <v>3867</v>
      </c>
    </row>
    <row r="10" customFormat="false" ht="15" hidden="false" customHeight="false" outlineLevel="0" collapsed="false">
      <c r="A10" s="10" t="s">
        <v>53</v>
      </c>
      <c r="B10" s="12" t="n">
        <f aca="false">COUNTIF(選手一覧!$C$7:$C$2738,A10)</f>
        <v>8</v>
      </c>
      <c r="C10" s="14" t="n">
        <f aca="false">COUNTIFS(選手一覧!$C$7:$C$2738,A10,選手一覧!$K$7:$K$2738,"&lt;=100")</f>
        <v>5</v>
      </c>
      <c r="D10" s="14" t="n">
        <f aca="false">COUNTIFS(選手一覧!$C$7:$C$2738,A10,選手一覧!$E$7:$E$2738,"&lt;=100")</f>
        <v>1</v>
      </c>
      <c r="E10" s="14" t="n">
        <f aca="false">COUNTIFS(選手一覧!$C$7:$C$2738,A10,選手一覧!$G$7:$G$2738,"&lt;=100")</f>
        <v>2</v>
      </c>
      <c r="F10" s="14" t="n">
        <f aca="false">COUNTIFS(選手一覧!$C$7:$C$2738,A10,選手一覧!$I$7:$I$2738,"&lt;=100")</f>
        <v>2</v>
      </c>
      <c r="G10" s="13" t="n">
        <f aca="false">_xlfn.MINIFS(選手一覧!$K$7:$K$2738,選手一覧!$C$7:$C$2738,A10)</f>
        <v>7</v>
      </c>
      <c r="H10" s="10" t="s">
        <v>3868</v>
      </c>
    </row>
    <row r="11" customFormat="false" ht="15" hidden="false" customHeight="false" outlineLevel="0" collapsed="false">
      <c r="A11" s="10" t="s">
        <v>103</v>
      </c>
      <c r="B11" s="12" t="n">
        <f aca="false">COUNTIF(選手一覧!$C$7:$C$2738,A11)</f>
        <v>17</v>
      </c>
      <c r="C11" s="14" t="n">
        <f aca="false">COUNTIFS(選手一覧!$C$7:$C$2738,A11,選手一覧!$K$7:$K$2738,"&lt;=100")</f>
        <v>4</v>
      </c>
      <c r="D11" s="14" t="n">
        <f aca="false">COUNTIFS(選手一覧!$C$7:$C$2738,A11,選手一覧!$E$7:$E$2738,"&lt;=100")</f>
        <v>4</v>
      </c>
      <c r="E11" s="14" t="n">
        <f aca="false">COUNTIFS(選手一覧!$C$7:$C$2738,A11,選手一覧!$G$7:$G$2738,"&lt;=100")</f>
        <v>0</v>
      </c>
      <c r="F11" s="14" t="n">
        <f aca="false">COUNTIFS(選手一覧!$C$7:$C$2738,A11,選手一覧!$I$7:$I$2738,"&lt;=100")</f>
        <v>1</v>
      </c>
      <c r="G11" s="13" t="n">
        <f aca="false">_xlfn.MINIFS(選手一覧!$K$7:$K$2738,選手一覧!$C$7:$C$2738,A11)</f>
        <v>18</v>
      </c>
      <c r="H11" s="10" t="s">
        <v>3869</v>
      </c>
    </row>
    <row r="12" customFormat="false" ht="15" hidden="false" customHeight="false" outlineLevel="0" collapsed="false">
      <c r="A12" s="10" t="s">
        <v>179</v>
      </c>
      <c r="B12" s="12" t="n">
        <f aca="false">COUNTIF(選手一覧!$C$7:$C$2738,A12)</f>
        <v>13</v>
      </c>
      <c r="C12" s="14" t="n">
        <f aca="false">COUNTIFS(選手一覧!$C$7:$C$2738,A12,選手一覧!$K$7:$K$2738,"&lt;=100")</f>
        <v>4</v>
      </c>
      <c r="D12" s="14" t="n">
        <f aca="false">COUNTIFS(選手一覧!$C$7:$C$2738,A12,選手一覧!$E$7:$E$2738,"&lt;=100")</f>
        <v>3</v>
      </c>
      <c r="E12" s="14" t="n">
        <f aca="false">COUNTIFS(選手一覧!$C$7:$C$2738,A12,選手一覧!$G$7:$G$2738,"&lt;=100")</f>
        <v>1</v>
      </c>
      <c r="F12" s="14" t="n">
        <f aca="false">COUNTIFS(選手一覧!$C$7:$C$2738,A12,選手一覧!$I$7:$I$2738,"&lt;=100")</f>
        <v>1</v>
      </c>
      <c r="G12" s="13" t="n">
        <f aca="false">_xlfn.MINIFS(選手一覧!$K$7:$K$2738,選手一覧!$C$7:$C$2738,A12)</f>
        <v>35</v>
      </c>
      <c r="H12" s="10" t="s">
        <v>3870</v>
      </c>
    </row>
    <row r="13" customFormat="false" ht="15" hidden="false" customHeight="false" outlineLevel="0" collapsed="false">
      <c r="A13" s="10" t="s">
        <v>350</v>
      </c>
      <c r="B13" s="12" t="n">
        <f aca="false">COUNTIF(選手一覧!$C$7:$C$2738,A13)</f>
        <v>13</v>
      </c>
      <c r="C13" s="14" t="n">
        <f aca="false">COUNTIFS(選手一覧!$C$7:$C$2738,A13,選手一覧!$K$7:$K$2738,"&lt;=100")</f>
        <v>4</v>
      </c>
      <c r="D13" s="14" t="n">
        <f aca="false">COUNTIFS(選手一覧!$C$7:$C$2738,A13,選手一覧!$E$7:$E$2738,"&lt;=100")</f>
        <v>3</v>
      </c>
      <c r="E13" s="14" t="n">
        <f aca="false">COUNTIFS(選手一覧!$C$7:$C$2738,A13,選手一覧!$G$7:$G$2738,"&lt;=100")</f>
        <v>2</v>
      </c>
      <c r="F13" s="14" t="n">
        <f aca="false">COUNTIFS(選手一覧!$C$7:$C$2738,A13,選手一覧!$I$7:$I$2738,"&lt;=100")</f>
        <v>0</v>
      </c>
      <c r="G13" s="13" t="n">
        <f aca="false">_xlfn.MINIFS(選手一覧!$K$7:$K$2738,選手一覧!$C$7:$C$2738,A13)</f>
        <v>84</v>
      </c>
      <c r="H13" s="10" t="s">
        <v>3871</v>
      </c>
    </row>
    <row r="14" customFormat="false" ht="15" hidden="false" customHeight="false" outlineLevel="0" collapsed="false">
      <c r="A14" s="10" t="s">
        <v>166</v>
      </c>
      <c r="B14" s="12" t="n">
        <f aca="false">COUNTIF(選手一覧!$C$7:$C$2738,A14)</f>
        <v>11</v>
      </c>
      <c r="C14" s="14" t="n">
        <f aca="false">COUNTIFS(選手一覧!$C$7:$C$2738,A14,選手一覧!$K$7:$K$2738,"&lt;=100")</f>
        <v>4</v>
      </c>
      <c r="D14" s="14" t="n">
        <f aca="false">COUNTIFS(選手一覧!$C$7:$C$2738,A14,選手一覧!$E$7:$E$2738,"&lt;=100")</f>
        <v>3</v>
      </c>
      <c r="E14" s="14" t="n">
        <f aca="false">COUNTIFS(選手一覧!$C$7:$C$2738,A14,選手一覧!$G$7:$G$2738,"&lt;=100")</f>
        <v>1</v>
      </c>
      <c r="F14" s="14" t="n">
        <f aca="false">COUNTIFS(選手一覧!$C$7:$C$2738,A14,選手一覧!$I$7:$I$2738,"&lt;=100")</f>
        <v>2</v>
      </c>
      <c r="G14" s="13" t="n">
        <f aca="false">_xlfn.MINIFS(選手一覧!$K$7:$K$2738,選手一覧!$C$7:$C$2738,A14)</f>
        <v>32</v>
      </c>
      <c r="H14" s="10" t="s">
        <v>3872</v>
      </c>
    </row>
    <row r="15" customFormat="false" ht="15" hidden="false" customHeight="false" outlineLevel="0" collapsed="false">
      <c r="A15" s="10" t="s">
        <v>55</v>
      </c>
      <c r="B15" s="12" t="n">
        <f aca="false">COUNTIF(選手一覧!$C$7:$C$2738,A15)</f>
        <v>10</v>
      </c>
      <c r="C15" s="14" t="n">
        <f aca="false">COUNTIFS(選手一覧!$C$7:$C$2738,A15,選手一覧!$K$7:$K$2738,"&lt;=100")</f>
        <v>4</v>
      </c>
      <c r="D15" s="14" t="n">
        <f aca="false">COUNTIFS(選手一覧!$C$7:$C$2738,A15,選手一覧!$E$7:$E$2738,"&lt;=100")</f>
        <v>3</v>
      </c>
      <c r="E15" s="14" t="n">
        <f aca="false">COUNTIFS(選手一覧!$C$7:$C$2738,A15,選手一覧!$G$7:$G$2738,"&lt;=100")</f>
        <v>1</v>
      </c>
      <c r="F15" s="14" t="n">
        <f aca="false">COUNTIFS(選手一覧!$C$7:$C$2738,A15,選手一覧!$I$7:$I$2738,"&lt;=100")</f>
        <v>2</v>
      </c>
      <c r="G15" s="13" t="n">
        <f aca="false">_xlfn.MINIFS(選手一覧!$K$7:$K$2738,選手一覧!$C$7:$C$2738,A15)</f>
        <v>8</v>
      </c>
      <c r="H15" s="10" t="s">
        <v>3873</v>
      </c>
    </row>
    <row r="16" customFormat="false" ht="15" hidden="false" customHeight="false" outlineLevel="0" collapsed="false">
      <c r="A16" s="10" t="s">
        <v>124</v>
      </c>
      <c r="B16" s="12" t="n">
        <f aca="false">COUNTIF(選手一覧!$C$7:$C$2738,A16)</f>
        <v>10</v>
      </c>
      <c r="C16" s="14" t="n">
        <f aca="false">COUNTIFS(選手一覧!$C$7:$C$2738,A16,選手一覧!$K$7:$K$2738,"&lt;=100")</f>
        <v>4</v>
      </c>
      <c r="D16" s="14" t="n">
        <f aca="false">COUNTIFS(選手一覧!$C$7:$C$2738,A16,選手一覧!$E$7:$E$2738,"&lt;=100")</f>
        <v>2</v>
      </c>
      <c r="E16" s="14" t="n">
        <f aca="false">COUNTIFS(選手一覧!$C$7:$C$2738,A16,選手一覧!$G$7:$G$2738,"&lt;=100")</f>
        <v>2</v>
      </c>
      <c r="F16" s="14" t="n">
        <f aca="false">COUNTIFS(選手一覧!$C$7:$C$2738,A16,選手一覧!$I$7:$I$2738,"&lt;=100")</f>
        <v>0</v>
      </c>
      <c r="G16" s="13" t="n">
        <f aca="false">_xlfn.MINIFS(選手一覧!$K$7:$K$2738,選手一覧!$C$7:$C$2738,A16)</f>
        <v>22</v>
      </c>
      <c r="H16" s="10" t="s">
        <v>3874</v>
      </c>
    </row>
    <row r="17" customFormat="false" ht="15" hidden="false" customHeight="false" outlineLevel="0" collapsed="false">
      <c r="A17" s="10" t="s">
        <v>27</v>
      </c>
      <c r="B17" s="12" t="n">
        <f aca="false">COUNTIF(選手一覧!$C$7:$C$2738,A17)</f>
        <v>9</v>
      </c>
      <c r="C17" s="14" t="n">
        <f aca="false">COUNTIFS(選手一覧!$C$7:$C$2738,A17,選手一覧!$K$7:$K$2738,"&lt;=100")</f>
        <v>4</v>
      </c>
      <c r="D17" s="14" t="n">
        <f aca="false">COUNTIFS(選手一覧!$C$7:$C$2738,A17,選手一覧!$E$7:$E$2738,"&lt;=100")</f>
        <v>4</v>
      </c>
      <c r="E17" s="14" t="n">
        <f aca="false">COUNTIFS(選手一覧!$C$7:$C$2738,A17,選手一覧!$G$7:$G$2738,"&lt;=100")</f>
        <v>0</v>
      </c>
      <c r="F17" s="14" t="n">
        <f aca="false">COUNTIFS(選手一覧!$C$7:$C$2738,A17,選手一覧!$I$7:$I$2738,"&lt;=100")</f>
        <v>1</v>
      </c>
      <c r="G17" s="13" t="n">
        <f aca="false">_xlfn.MINIFS(選手一覧!$K$7:$K$2738,選手一覧!$C$7:$C$2738,A17)</f>
        <v>1</v>
      </c>
      <c r="H17" s="10" t="s">
        <v>3875</v>
      </c>
    </row>
    <row r="18" customFormat="false" ht="15" hidden="false" customHeight="false" outlineLevel="0" collapsed="false">
      <c r="A18" s="10" t="s">
        <v>109</v>
      </c>
      <c r="B18" s="12" t="n">
        <f aca="false">COUNTIF(選手一覧!$C$7:$C$2738,A18)</f>
        <v>7</v>
      </c>
      <c r="C18" s="14" t="n">
        <f aca="false">COUNTIFS(選手一覧!$C$7:$C$2738,A18,選手一覧!$K$7:$K$2738,"&lt;=100")</f>
        <v>4</v>
      </c>
      <c r="D18" s="14" t="n">
        <f aca="false">COUNTIFS(選手一覧!$C$7:$C$2738,A18,選手一覧!$E$7:$E$2738,"&lt;=100")</f>
        <v>3</v>
      </c>
      <c r="E18" s="14" t="n">
        <f aca="false">COUNTIFS(選手一覧!$C$7:$C$2738,A18,選手一覧!$G$7:$G$2738,"&lt;=100")</f>
        <v>1</v>
      </c>
      <c r="F18" s="14" t="n">
        <f aca="false">COUNTIFS(選手一覧!$C$7:$C$2738,A18,選手一覧!$I$7:$I$2738,"&lt;=100")</f>
        <v>2</v>
      </c>
      <c r="G18" s="13" t="n">
        <f aca="false">_xlfn.MINIFS(選手一覧!$K$7:$K$2738,選手一覧!$C$7:$C$2738,A18)</f>
        <v>20</v>
      </c>
      <c r="H18" s="10" t="s">
        <v>3876</v>
      </c>
    </row>
    <row r="19" customFormat="false" ht="15" hidden="false" customHeight="false" outlineLevel="0" collapsed="false">
      <c r="A19" s="10" t="s">
        <v>36</v>
      </c>
      <c r="B19" s="12" t="n">
        <f aca="false">COUNTIF(選手一覧!$C$7:$C$2738,A19)</f>
        <v>15</v>
      </c>
      <c r="C19" s="14" t="n">
        <f aca="false">COUNTIFS(選手一覧!$C$7:$C$2738,A19,選手一覧!$K$7:$K$2738,"&lt;=100")</f>
        <v>3</v>
      </c>
      <c r="D19" s="14" t="n">
        <f aca="false">COUNTIFS(選手一覧!$C$7:$C$2738,A19,選手一覧!$E$7:$E$2738,"&lt;=100")</f>
        <v>3</v>
      </c>
      <c r="E19" s="14" t="n">
        <f aca="false">COUNTIFS(選手一覧!$C$7:$C$2738,A19,選手一覧!$G$7:$G$2738,"&lt;=100")</f>
        <v>0</v>
      </c>
      <c r="F19" s="14" t="n">
        <f aca="false">COUNTIFS(選手一覧!$C$7:$C$2738,A19,選手一覧!$I$7:$I$2738,"&lt;=100")</f>
        <v>2</v>
      </c>
      <c r="G19" s="13" t="n">
        <f aca="false">_xlfn.MINIFS(選手一覧!$K$7:$K$2738,選手一覧!$C$7:$C$2738,A19)</f>
        <v>4</v>
      </c>
      <c r="H19" s="10" t="s">
        <v>3877</v>
      </c>
    </row>
    <row r="20" customFormat="false" ht="15" hidden="false" customHeight="false" outlineLevel="0" collapsed="false">
      <c r="A20" s="10" t="s">
        <v>72</v>
      </c>
      <c r="B20" s="12" t="n">
        <f aca="false">COUNTIF(選手一覧!$C$7:$C$2738,A20)</f>
        <v>12</v>
      </c>
      <c r="C20" s="14" t="n">
        <f aca="false">COUNTIFS(選手一覧!$C$7:$C$2738,A20,選手一覧!$K$7:$K$2738,"&lt;=100")</f>
        <v>3</v>
      </c>
      <c r="D20" s="14" t="n">
        <f aca="false">COUNTIFS(選手一覧!$C$7:$C$2738,A20,選手一覧!$E$7:$E$2738,"&lt;=100")</f>
        <v>1</v>
      </c>
      <c r="E20" s="14" t="n">
        <f aca="false">COUNTIFS(選手一覧!$C$7:$C$2738,A20,選手一覧!$G$7:$G$2738,"&lt;=100")</f>
        <v>2</v>
      </c>
      <c r="F20" s="14" t="n">
        <f aca="false">COUNTIFS(選手一覧!$C$7:$C$2738,A20,選手一覧!$I$7:$I$2738,"&lt;=100")</f>
        <v>1</v>
      </c>
      <c r="G20" s="13" t="n">
        <f aca="false">_xlfn.MINIFS(選手一覧!$K$7:$K$2738,選手一覧!$C$7:$C$2738,A20)</f>
        <v>11</v>
      </c>
      <c r="H20" s="10" t="s">
        <v>3878</v>
      </c>
    </row>
    <row r="21" customFormat="false" ht="15" hidden="false" customHeight="false" outlineLevel="0" collapsed="false">
      <c r="A21" s="10" t="s">
        <v>95</v>
      </c>
      <c r="B21" s="12" t="n">
        <f aca="false">COUNTIF(選手一覧!$C$7:$C$2738,A21)</f>
        <v>11</v>
      </c>
      <c r="C21" s="14" t="n">
        <f aca="false">COUNTIFS(選手一覧!$C$7:$C$2738,A21,選手一覧!$K$7:$K$2738,"&lt;=100")</f>
        <v>3</v>
      </c>
      <c r="D21" s="14" t="n">
        <f aca="false">COUNTIFS(選手一覧!$C$7:$C$2738,A21,選手一覧!$E$7:$E$2738,"&lt;=100")</f>
        <v>3</v>
      </c>
      <c r="E21" s="14" t="n">
        <f aca="false">COUNTIFS(選手一覧!$C$7:$C$2738,A21,選手一覧!$G$7:$G$2738,"&lt;=100")</f>
        <v>0</v>
      </c>
      <c r="F21" s="14" t="n">
        <f aca="false">COUNTIFS(選手一覧!$C$7:$C$2738,A21,選手一覧!$I$7:$I$2738,"&lt;=100")</f>
        <v>3</v>
      </c>
      <c r="G21" s="13" t="n">
        <f aca="false">_xlfn.MINIFS(選手一覧!$K$7:$K$2738,選手一覧!$C$7:$C$2738,A21)</f>
        <v>16</v>
      </c>
      <c r="H21" s="10" t="s">
        <v>3879</v>
      </c>
    </row>
    <row r="22" customFormat="false" ht="15" hidden="false" customHeight="false" outlineLevel="0" collapsed="false">
      <c r="A22" s="10" t="s">
        <v>105</v>
      </c>
      <c r="B22" s="12" t="n">
        <f aca="false">COUNTIF(選手一覧!$C$7:$C$2738,A22)</f>
        <v>11</v>
      </c>
      <c r="C22" s="14" t="n">
        <f aca="false">COUNTIFS(選手一覧!$C$7:$C$2738,A22,選手一覧!$K$7:$K$2738,"&lt;=100")</f>
        <v>3</v>
      </c>
      <c r="D22" s="14" t="n">
        <f aca="false">COUNTIFS(選手一覧!$C$7:$C$2738,A22,選手一覧!$E$7:$E$2738,"&lt;=100")</f>
        <v>3</v>
      </c>
      <c r="E22" s="14" t="n">
        <f aca="false">COUNTIFS(選手一覧!$C$7:$C$2738,A22,選手一覧!$G$7:$G$2738,"&lt;=100")</f>
        <v>1</v>
      </c>
      <c r="F22" s="14" t="n">
        <f aca="false">COUNTIFS(選手一覧!$C$7:$C$2738,A22,選手一覧!$I$7:$I$2738,"&lt;=100")</f>
        <v>1</v>
      </c>
      <c r="G22" s="13" t="n">
        <f aca="false">_xlfn.MINIFS(選手一覧!$K$7:$K$2738,選手一覧!$C$7:$C$2738,A22)</f>
        <v>19</v>
      </c>
      <c r="H22" s="10" t="s">
        <v>3880</v>
      </c>
    </row>
    <row r="23" customFormat="false" ht="15" hidden="false" customHeight="false" outlineLevel="0" collapsed="false">
      <c r="A23" s="10" t="s">
        <v>171</v>
      </c>
      <c r="B23" s="12" t="n">
        <f aca="false">COUNTIF(選手一覧!$C$7:$C$2738,A23)</f>
        <v>11</v>
      </c>
      <c r="C23" s="14" t="n">
        <f aca="false">COUNTIFS(選手一覧!$C$7:$C$2738,A23,選手一覧!$K$7:$K$2738,"&lt;=100")</f>
        <v>3</v>
      </c>
      <c r="D23" s="14" t="n">
        <f aca="false">COUNTIFS(選手一覧!$C$7:$C$2738,A23,選手一覧!$E$7:$E$2738,"&lt;=100")</f>
        <v>1</v>
      </c>
      <c r="E23" s="14" t="n">
        <f aca="false">COUNTIFS(選手一覧!$C$7:$C$2738,A23,選手一覧!$G$7:$G$2738,"&lt;=100")</f>
        <v>0</v>
      </c>
      <c r="F23" s="14" t="n">
        <f aca="false">COUNTIFS(選手一覧!$C$7:$C$2738,A23,選手一覧!$I$7:$I$2738,"&lt;=100")</f>
        <v>3</v>
      </c>
      <c r="G23" s="13" t="n">
        <f aca="false">_xlfn.MINIFS(選手一覧!$K$7:$K$2738,選手一覧!$C$7:$C$2738,A23)</f>
        <v>33</v>
      </c>
      <c r="H23" s="10" t="s">
        <v>3881</v>
      </c>
    </row>
    <row r="24" customFormat="false" ht="15" hidden="false" customHeight="false" outlineLevel="0" collapsed="false">
      <c r="A24" s="10" t="s">
        <v>134</v>
      </c>
      <c r="B24" s="12" t="n">
        <f aca="false">COUNTIF(選手一覧!$C$7:$C$2738,A24)</f>
        <v>10</v>
      </c>
      <c r="C24" s="14" t="n">
        <f aca="false">COUNTIFS(選手一覧!$C$7:$C$2738,A24,選手一覧!$K$7:$K$2738,"&lt;=100")</f>
        <v>3</v>
      </c>
      <c r="D24" s="14" t="n">
        <f aca="false">COUNTIFS(選手一覧!$C$7:$C$2738,A24,選手一覧!$E$7:$E$2738,"&lt;=100")</f>
        <v>2</v>
      </c>
      <c r="E24" s="14" t="n">
        <f aca="false">COUNTIFS(選手一覧!$C$7:$C$2738,A24,選手一覧!$G$7:$G$2738,"&lt;=100")</f>
        <v>1</v>
      </c>
      <c r="F24" s="14" t="n">
        <f aca="false">COUNTIFS(選手一覧!$C$7:$C$2738,A24,選手一覧!$I$7:$I$2738,"&lt;=100")</f>
        <v>2</v>
      </c>
      <c r="G24" s="13" t="n">
        <f aca="false">_xlfn.MINIFS(選手一覧!$K$7:$K$2738,選手一覧!$C$7:$C$2738,A24)</f>
        <v>25</v>
      </c>
      <c r="H24" s="10" t="s">
        <v>3882</v>
      </c>
    </row>
    <row r="25" customFormat="false" ht="15" hidden="false" customHeight="false" outlineLevel="0" collapsed="false">
      <c r="A25" s="10" t="s">
        <v>87</v>
      </c>
      <c r="B25" s="12" t="n">
        <f aca="false">COUNTIF(選手一覧!$C$7:$C$2738,A25)</f>
        <v>8</v>
      </c>
      <c r="C25" s="14" t="n">
        <f aca="false">COUNTIFS(選手一覧!$C$7:$C$2738,A25,選手一覧!$K$7:$K$2738,"&lt;=100")</f>
        <v>3</v>
      </c>
      <c r="D25" s="14" t="n">
        <f aca="false">COUNTIFS(選手一覧!$C$7:$C$2738,A25,選手一覧!$E$7:$E$2738,"&lt;=100")</f>
        <v>1</v>
      </c>
      <c r="E25" s="14" t="n">
        <f aca="false">COUNTIFS(選手一覧!$C$7:$C$2738,A25,選手一覧!$G$7:$G$2738,"&lt;=100")</f>
        <v>2</v>
      </c>
      <c r="F25" s="14" t="n">
        <f aca="false">COUNTIFS(選手一覧!$C$7:$C$2738,A25,選手一覧!$I$7:$I$2738,"&lt;=100")</f>
        <v>1</v>
      </c>
      <c r="G25" s="13" t="n">
        <f aca="false">_xlfn.MINIFS(選手一覧!$K$7:$K$2738,選手一覧!$C$7:$C$2738,A25)</f>
        <v>15</v>
      </c>
      <c r="H25" s="10" t="s">
        <v>3883</v>
      </c>
    </row>
    <row r="26" customFormat="false" ht="15" hidden="false" customHeight="false" outlineLevel="0" collapsed="false">
      <c r="A26" s="10" t="s">
        <v>120</v>
      </c>
      <c r="B26" s="12" t="n">
        <f aca="false">COUNTIF(選手一覧!$C$7:$C$2738,A26)</f>
        <v>8</v>
      </c>
      <c r="C26" s="14" t="n">
        <f aca="false">COUNTIFS(選手一覧!$C$7:$C$2738,A26,選手一覧!$K$7:$K$2738,"&lt;=100")</f>
        <v>3</v>
      </c>
      <c r="D26" s="14" t="n">
        <f aca="false">COUNTIFS(選手一覧!$C$7:$C$2738,A26,選手一覧!$E$7:$E$2738,"&lt;=100")</f>
        <v>0</v>
      </c>
      <c r="E26" s="14" t="n">
        <f aca="false">COUNTIFS(選手一覧!$C$7:$C$2738,A26,選手一覧!$G$7:$G$2738,"&lt;=100")</f>
        <v>2</v>
      </c>
      <c r="F26" s="14" t="n">
        <f aca="false">COUNTIFS(選手一覧!$C$7:$C$2738,A26,選手一覧!$I$7:$I$2738,"&lt;=100")</f>
        <v>1</v>
      </c>
      <c r="G26" s="13" t="n">
        <f aca="false">_xlfn.MINIFS(選手一覧!$K$7:$K$2738,選手一覧!$C$7:$C$2738,A26)</f>
        <v>22</v>
      </c>
      <c r="H26" s="10" t="s">
        <v>3884</v>
      </c>
    </row>
    <row r="27" customFormat="false" ht="15" hidden="false" customHeight="false" outlineLevel="0" collapsed="false">
      <c r="A27" s="10" t="s">
        <v>141</v>
      </c>
      <c r="B27" s="12" t="n">
        <f aca="false">COUNTIF(選手一覧!$C$7:$C$2738,A27)</f>
        <v>8</v>
      </c>
      <c r="C27" s="14" t="n">
        <f aca="false">COUNTIFS(選手一覧!$C$7:$C$2738,A27,選手一覧!$K$7:$K$2738,"&lt;=100")</f>
        <v>3</v>
      </c>
      <c r="D27" s="14" t="n">
        <f aca="false">COUNTIFS(選手一覧!$C$7:$C$2738,A27,選手一覧!$E$7:$E$2738,"&lt;=100")</f>
        <v>0</v>
      </c>
      <c r="E27" s="14" t="n">
        <f aca="false">COUNTIFS(選手一覧!$C$7:$C$2738,A27,選手一覧!$G$7:$G$2738,"&lt;=100")</f>
        <v>1</v>
      </c>
      <c r="F27" s="14" t="n">
        <f aca="false">COUNTIFS(選手一覧!$C$7:$C$2738,A27,選手一覧!$I$7:$I$2738,"&lt;=100")</f>
        <v>2</v>
      </c>
      <c r="G27" s="13" t="n">
        <f aca="false">_xlfn.MINIFS(選手一覧!$K$7:$K$2738,選手一覧!$C$7:$C$2738,A27)</f>
        <v>27</v>
      </c>
      <c r="H27" s="10" t="s">
        <v>3885</v>
      </c>
    </row>
    <row r="28" customFormat="false" ht="15" hidden="false" customHeight="false" outlineLevel="0" collapsed="false">
      <c r="A28" s="10" t="s">
        <v>210</v>
      </c>
      <c r="B28" s="12" t="n">
        <f aca="false">COUNTIF(選手一覧!$C$7:$C$2738,A28)</f>
        <v>8</v>
      </c>
      <c r="C28" s="14" t="n">
        <f aca="false">COUNTIFS(選手一覧!$C$7:$C$2738,A28,選手一覧!$K$7:$K$2738,"&lt;=100")</f>
        <v>3</v>
      </c>
      <c r="D28" s="14" t="n">
        <f aca="false">COUNTIFS(選手一覧!$C$7:$C$2738,A28,選手一覧!$E$7:$E$2738,"&lt;=100")</f>
        <v>0</v>
      </c>
      <c r="E28" s="14" t="n">
        <f aca="false">COUNTIFS(選手一覧!$C$7:$C$2738,A28,選手一覧!$G$7:$G$2738,"&lt;=100")</f>
        <v>2</v>
      </c>
      <c r="F28" s="14" t="n">
        <f aca="false">COUNTIFS(選手一覧!$C$7:$C$2738,A28,選手一覧!$I$7:$I$2738,"&lt;=100")</f>
        <v>1</v>
      </c>
      <c r="G28" s="13" t="n">
        <f aca="false">_xlfn.MINIFS(選手一覧!$K$7:$K$2738,選手一覧!$C$7:$C$2738,A28)</f>
        <v>42</v>
      </c>
      <c r="H28" s="10" t="s">
        <v>3886</v>
      </c>
    </row>
    <row r="29" customFormat="false" ht="15" hidden="false" customHeight="false" outlineLevel="0" collapsed="false">
      <c r="A29" s="10" t="s">
        <v>39</v>
      </c>
      <c r="B29" s="12" t="n">
        <f aca="false">COUNTIF(選手一覧!$C$7:$C$2738,A29)</f>
        <v>6</v>
      </c>
      <c r="C29" s="14" t="n">
        <f aca="false">COUNTIFS(選手一覧!$C$7:$C$2738,A29,選手一覧!$K$7:$K$2738,"&lt;=100")</f>
        <v>3</v>
      </c>
      <c r="D29" s="14" t="n">
        <f aca="false">COUNTIFS(選手一覧!$C$7:$C$2738,A29,選手一覧!$E$7:$E$2738,"&lt;=100")</f>
        <v>0</v>
      </c>
      <c r="E29" s="14" t="n">
        <f aca="false">COUNTIFS(選手一覧!$C$7:$C$2738,A29,選手一覧!$G$7:$G$2738,"&lt;=100")</f>
        <v>3</v>
      </c>
      <c r="F29" s="14" t="n">
        <f aca="false">COUNTIFS(選手一覧!$C$7:$C$2738,A29,選手一覧!$I$7:$I$2738,"&lt;=100")</f>
        <v>0</v>
      </c>
      <c r="G29" s="13" t="n">
        <f aca="false">_xlfn.MINIFS(選手一覧!$K$7:$K$2738,選手一覧!$C$7:$C$2738,A29)</f>
        <v>5</v>
      </c>
      <c r="H29" s="10" t="s">
        <v>3887</v>
      </c>
    </row>
    <row r="30" customFormat="false" ht="15" hidden="false" customHeight="false" outlineLevel="0" collapsed="false">
      <c r="A30" s="10" t="s">
        <v>62</v>
      </c>
      <c r="B30" s="12" t="n">
        <f aca="false">COUNTIF(選手一覧!$C$7:$C$2738,A30)</f>
        <v>6</v>
      </c>
      <c r="C30" s="14" t="n">
        <f aca="false">COUNTIFS(選手一覧!$C$7:$C$2738,A30,選手一覧!$K$7:$K$2738,"&lt;=100")</f>
        <v>3</v>
      </c>
      <c r="D30" s="14" t="n">
        <f aca="false">COUNTIFS(選手一覧!$C$7:$C$2738,A30,選手一覧!$E$7:$E$2738,"&lt;=100")</f>
        <v>1</v>
      </c>
      <c r="E30" s="14" t="n">
        <f aca="false">COUNTIFS(選手一覧!$C$7:$C$2738,A30,選手一覧!$G$7:$G$2738,"&lt;=100")</f>
        <v>1</v>
      </c>
      <c r="F30" s="14" t="n">
        <f aca="false">COUNTIFS(選手一覧!$C$7:$C$2738,A30,選手一覧!$I$7:$I$2738,"&lt;=100")</f>
        <v>1</v>
      </c>
      <c r="G30" s="13" t="n">
        <f aca="false">_xlfn.MINIFS(選手一覧!$K$7:$K$2738,選手一覧!$C$7:$C$2738,A30)</f>
        <v>9</v>
      </c>
      <c r="H30" s="10" t="s">
        <v>3888</v>
      </c>
    </row>
    <row r="31" customFormat="false" ht="15" hidden="false" customHeight="false" outlineLevel="0" collapsed="false">
      <c r="A31" s="10" t="s">
        <v>206</v>
      </c>
      <c r="B31" s="12" t="n">
        <f aca="false">COUNTIF(選手一覧!$C$7:$C$2738,A31)</f>
        <v>6</v>
      </c>
      <c r="C31" s="14" t="n">
        <f aca="false">COUNTIFS(選手一覧!$C$7:$C$2738,A31,選手一覧!$K$7:$K$2738,"&lt;=100")</f>
        <v>3</v>
      </c>
      <c r="D31" s="14" t="n">
        <f aca="false">COUNTIFS(選手一覧!$C$7:$C$2738,A31,選手一覧!$E$7:$E$2738,"&lt;=100")</f>
        <v>1</v>
      </c>
      <c r="E31" s="14" t="n">
        <f aca="false">COUNTIFS(選手一覧!$C$7:$C$2738,A31,選手一覧!$G$7:$G$2738,"&lt;=100")</f>
        <v>1</v>
      </c>
      <c r="F31" s="14" t="n">
        <f aca="false">COUNTIFS(選手一覧!$C$7:$C$2738,A31,選手一覧!$I$7:$I$2738,"&lt;=100")</f>
        <v>2</v>
      </c>
      <c r="G31" s="13" t="n">
        <f aca="false">_xlfn.MINIFS(選手一覧!$K$7:$K$2738,選手一覧!$C$7:$C$2738,A31)</f>
        <v>41</v>
      </c>
      <c r="H31" s="10" t="s">
        <v>3889</v>
      </c>
    </row>
    <row r="32" customFormat="false" ht="15" hidden="false" customHeight="false" outlineLevel="0" collapsed="false">
      <c r="A32" s="10" t="s">
        <v>193</v>
      </c>
      <c r="B32" s="12" t="n">
        <f aca="false">COUNTIF(選手一覧!$C$7:$C$2738,A32)</f>
        <v>5</v>
      </c>
      <c r="C32" s="14" t="n">
        <f aca="false">COUNTIFS(選手一覧!$C$7:$C$2738,A32,選手一覧!$K$7:$K$2738,"&lt;=100")</f>
        <v>3</v>
      </c>
      <c r="D32" s="14" t="n">
        <f aca="false">COUNTIFS(選手一覧!$C$7:$C$2738,A32,選手一覧!$E$7:$E$2738,"&lt;=100")</f>
        <v>0</v>
      </c>
      <c r="E32" s="14" t="n">
        <f aca="false">COUNTIFS(選手一覧!$C$7:$C$2738,A32,選手一覧!$G$7:$G$2738,"&lt;=100")</f>
        <v>2</v>
      </c>
      <c r="F32" s="14" t="n">
        <f aca="false">COUNTIFS(選手一覧!$C$7:$C$2738,A32,選手一覧!$I$7:$I$2738,"&lt;=100")</f>
        <v>1</v>
      </c>
      <c r="G32" s="13" t="n">
        <f aca="false">_xlfn.MINIFS(選手一覧!$K$7:$K$2738,選手一覧!$C$7:$C$2738,A32)</f>
        <v>38</v>
      </c>
      <c r="H32" s="10" t="s">
        <v>3890</v>
      </c>
    </row>
    <row r="33" customFormat="false" ht="15" hidden="false" customHeight="false" outlineLevel="0" collapsed="false">
      <c r="A33" s="10" t="s">
        <v>49</v>
      </c>
      <c r="B33" s="12" t="n">
        <f aca="false">COUNTIF(選手一覧!$C$7:$C$2738,A33)</f>
        <v>20</v>
      </c>
      <c r="C33" s="14" t="n">
        <f aca="false">COUNTIFS(選手一覧!$C$7:$C$2738,A33,選手一覧!$K$7:$K$2738,"&lt;=100")</f>
        <v>2</v>
      </c>
      <c r="D33" s="14" t="n">
        <f aca="false">COUNTIFS(選手一覧!$C$7:$C$2738,A33,選手一覧!$E$7:$E$2738,"&lt;=100")</f>
        <v>1</v>
      </c>
      <c r="E33" s="14" t="n">
        <f aca="false">COUNTIFS(選手一覧!$C$7:$C$2738,A33,選手一覧!$G$7:$G$2738,"&lt;=100")</f>
        <v>2</v>
      </c>
      <c r="F33" s="14" t="n">
        <f aca="false">COUNTIFS(選手一覧!$C$7:$C$2738,A33,選手一覧!$I$7:$I$2738,"&lt;=100")</f>
        <v>0</v>
      </c>
      <c r="G33" s="13" t="n">
        <f aca="false">_xlfn.MINIFS(選手一覧!$K$7:$K$2738,選手一覧!$C$7:$C$2738,A33)</f>
        <v>7</v>
      </c>
      <c r="H33" s="10" t="s">
        <v>3891</v>
      </c>
    </row>
    <row r="34" customFormat="false" ht="15" hidden="false" customHeight="false" outlineLevel="0" collapsed="false">
      <c r="A34" s="10" t="s">
        <v>79</v>
      </c>
      <c r="B34" s="12" t="n">
        <f aca="false">COUNTIF(選手一覧!$C$7:$C$2738,A34)</f>
        <v>11</v>
      </c>
      <c r="C34" s="14" t="n">
        <f aca="false">COUNTIFS(選手一覧!$C$7:$C$2738,A34,選手一覧!$K$7:$K$2738,"&lt;=100")</f>
        <v>2</v>
      </c>
      <c r="D34" s="14" t="n">
        <f aca="false">COUNTIFS(選手一覧!$C$7:$C$2738,A34,選手一覧!$E$7:$E$2738,"&lt;=100")</f>
        <v>0</v>
      </c>
      <c r="E34" s="14" t="n">
        <f aca="false">COUNTIFS(選手一覧!$C$7:$C$2738,A34,選手一覧!$G$7:$G$2738,"&lt;=100")</f>
        <v>1</v>
      </c>
      <c r="F34" s="14" t="n">
        <f aca="false">COUNTIFS(選手一覧!$C$7:$C$2738,A34,選手一覧!$I$7:$I$2738,"&lt;=100")</f>
        <v>1</v>
      </c>
      <c r="G34" s="13" t="n">
        <f aca="false">_xlfn.MINIFS(選手一覧!$K$7:$K$2738,選手一覧!$C$7:$C$2738,A34)</f>
        <v>13</v>
      </c>
      <c r="H34" s="10" t="s">
        <v>3892</v>
      </c>
    </row>
    <row r="35" customFormat="false" ht="15" hidden="false" customHeight="false" outlineLevel="0" collapsed="false">
      <c r="A35" s="10" t="s">
        <v>107</v>
      </c>
      <c r="B35" s="12" t="n">
        <f aca="false">COUNTIF(選手一覧!$C$7:$C$2738,A35)</f>
        <v>10</v>
      </c>
      <c r="C35" s="14" t="n">
        <f aca="false">COUNTIFS(選手一覧!$C$7:$C$2738,A35,選手一覧!$K$7:$K$2738,"&lt;=100")</f>
        <v>2</v>
      </c>
      <c r="D35" s="14" t="n">
        <f aca="false">COUNTIFS(選手一覧!$C$7:$C$2738,A35,選手一覧!$E$7:$E$2738,"&lt;=100")</f>
        <v>1</v>
      </c>
      <c r="E35" s="14" t="n">
        <f aca="false">COUNTIFS(選手一覧!$C$7:$C$2738,A35,選手一覧!$G$7:$G$2738,"&lt;=100")</f>
        <v>1</v>
      </c>
      <c r="F35" s="14" t="n">
        <f aca="false">COUNTIFS(選手一覧!$C$7:$C$2738,A35,選手一覧!$I$7:$I$2738,"&lt;=100")</f>
        <v>1</v>
      </c>
      <c r="G35" s="13" t="n">
        <f aca="false">_xlfn.MINIFS(選手一覧!$K$7:$K$2738,選手一覧!$C$7:$C$2738,A35)</f>
        <v>19</v>
      </c>
      <c r="H35" s="10" t="s">
        <v>3893</v>
      </c>
    </row>
    <row r="36" customFormat="false" ht="15" hidden="false" customHeight="false" outlineLevel="0" collapsed="false">
      <c r="A36" s="10" t="s">
        <v>43</v>
      </c>
      <c r="B36" s="12" t="n">
        <f aca="false">COUNTIF(選手一覧!$C$7:$C$2738,A36)</f>
        <v>9</v>
      </c>
      <c r="C36" s="14" t="n">
        <f aca="false">COUNTIFS(選手一覧!$C$7:$C$2738,A36,選手一覧!$K$7:$K$2738,"&lt;=100")</f>
        <v>2</v>
      </c>
      <c r="D36" s="14" t="n">
        <f aca="false">COUNTIFS(選手一覧!$C$7:$C$2738,A36,選手一覧!$E$7:$E$2738,"&lt;=100")</f>
        <v>1</v>
      </c>
      <c r="E36" s="14" t="n">
        <f aca="false">COUNTIFS(選手一覧!$C$7:$C$2738,A36,選手一覧!$G$7:$G$2738,"&lt;=100")</f>
        <v>0</v>
      </c>
      <c r="F36" s="14" t="n">
        <f aca="false">COUNTIFS(選手一覧!$C$7:$C$2738,A36,選手一覧!$I$7:$I$2738,"&lt;=100")</f>
        <v>1</v>
      </c>
      <c r="G36" s="13" t="n">
        <f aca="false">_xlfn.MINIFS(選手一覧!$K$7:$K$2738,選手一覧!$C$7:$C$2738,A36)</f>
        <v>5</v>
      </c>
      <c r="H36" s="10" t="s">
        <v>3894</v>
      </c>
    </row>
    <row r="37" customFormat="false" ht="15" hidden="false" customHeight="false" outlineLevel="0" collapsed="false">
      <c r="A37" s="10" t="s">
        <v>154</v>
      </c>
      <c r="B37" s="12" t="n">
        <f aca="false">COUNTIF(選手一覧!$C$7:$C$2738,A37)</f>
        <v>9</v>
      </c>
      <c r="C37" s="14" t="n">
        <f aca="false">COUNTIFS(選手一覧!$C$7:$C$2738,A37,選手一覧!$K$7:$K$2738,"&lt;=100")</f>
        <v>2</v>
      </c>
      <c r="D37" s="14" t="n">
        <f aca="false">COUNTIFS(選手一覧!$C$7:$C$2738,A37,選手一覧!$E$7:$E$2738,"&lt;=100")</f>
        <v>0</v>
      </c>
      <c r="E37" s="14" t="n">
        <f aca="false">COUNTIFS(選手一覧!$C$7:$C$2738,A37,選手一覧!$G$7:$G$2738,"&lt;=100")</f>
        <v>1</v>
      </c>
      <c r="F37" s="14" t="n">
        <f aca="false">COUNTIFS(選手一覧!$C$7:$C$2738,A37,選手一覧!$I$7:$I$2738,"&lt;=100")</f>
        <v>1</v>
      </c>
      <c r="G37" s="13" t="n">
        <f aca="false">_xlfn.MINIFS(選手一覧!$K$7:$K$2738,選手一覧!$C$7:$C$2738,A37)</f>
        <v>30</v>
      </c>
      <c r="H37" s="10" t="s">
        <v>3895</v>
      </c>
    </row>
    <row r="38" customFormat="false" ht="15" hidden="false" customHeight="false" outlineLevel="0" collapsed="false">
      <c r="A38" s="10" t="s">
        <v>226</v>
      </c>
      <c r="B38" s="12" t="n">
        <f aca="false">COUNTIF(選手一覧!$C$7:$C$2738,A38)</f>
        <v>9</v>
      </c>
      <c r="C38" s="14" t="n">
        <f aca="false">COUNTIFS(選手一覧!$C$7:$C$2738,A38,選手一覧!$K$7:$K$2738,"&lt;=100")</f>
        <v>2</v>
      </c>
      <c r="D38" s="14" t="n">
        <f aca="false">COUNTIFS(選手一覧!$C$7:$C$2738,A38,選手一覧!$E$7:$E$2738,"&lt;=100")</f>
        <v>2</v>
      </c>
      <c r="E38" s="14" t="n">
        <f aca="false">COUNTIFS(選手一覧!$C$7:$C$2738,A38,選手一覧!$G$7:$G$2738,"&lt;=100")</f>
        <v>0</v>
      </c>
      <c r="F38" s="14" t="n">
        <f aca="false">COUNTIFS(選手一覧!$C$7:$C$2738,A38,選手一覧!$I$7:$I$2738,"&lt;=100")</f>
        <v>2</v>
      </c>
      <c r="G38" s="13" t="n">
        <f aca="false">_xlfn.MINIFS(選手一覧!$K$7:$K$2738,選手一覧!$C$7:$C$2738,A38)</f>
        <v>45</v>
      </c>
      <c r="H38" s="10" t="s">
        <v>3896</v>
      </c>
    </row>
    <row r="39" customFormat="false" ht="15" hidden="false" customHeight="false" outlineLevel="0" collapsed="false">
      <c r="A39" s="10" t="s">
        <v>69</v>
      </c>
      <c r="B39" s="12" t="n">
        <f aca="false">COUNTIF(選手一覧!$C$7:$C$2738,A39)</f>
        <v>8</v>
      </c>
      <c r="C39" s="14" t="n">
        <f aca="false">COUNTIFS(選手一覧!$C$7:$C$2738,A39,選手一覧!$K$7:$K$2738,"&lt;=100")</f>
        <v>2</v>
      </c>
      <c r="D39" s="14" t="n">
        <f aca="false">COUNTIFS(選手一覧!$C$7:$C$2738,A39,選手一覧!$E$7:$E$2738,"&lt;=100")</f>
        <v>0</v>
      </c>
      <c r="E39" s="14" t="n">
        <f aca="false">COUNTIFS(選手一覧!$C$7:$C$2738,A39,選手一覧!$G$7:$G$2738,"&lt;=100")</f>
        <v>1</v>
      </c>
      <c r="F39" s="14" t="n">
        <f aca="false">COUNTIFS(選手一覧!$C$7:$C$2738,A39,選手一覧!$I$7:$I$2738,"&lt;=100")</f>
        <v>1</v>
      </c>
      <c r="G39" s="13" t="n">
        <f aca="false">_xlfn.MINIFS(選手一覧!$K$7:$K$2738,選手一覧!$C$7:$C$2738,A39)</f>
        <v>10</v>
      </c>
      <c r="H39" s="10" t="s">
        <v>3897</v>
      </c>
    </row>
    <row r="40" customFormat="false" ht="15" hidden="false" customHeight="false" outlineLevel="0" collapsed="false">
      <c r="A40" s="10" t="s">
        <v>114</v>
      </c>
      <c r="B40" s="12" t="n">
        <f aca="false">COUNTIF(選手一覧!$C$7:$C$2738,A40)</f>
        <v>8</v>
      </c>
      <c r="C40" s="14" t="n">
        <f aca="false">COUNTIFS(選手一覧!$C$7:$C$2738,A40,選手一覧!$K$7:$K$2738,"&lt;=100")</f>
        <v>2</v>
      </c>
      <c r="D40" s="14" t="n">
        <f aca="false">COUNTIFS(選手一覧!$C$7:$C$2738,A40,選手一覧!$E$7:$E$2738,"&lt;=100")</f>
        <v>0</v>
      </c>
      <c r="E40" s="14" t="n">
        <f aca="false">COUNTIFS(選手一覧!$C$7:$C$2738,A40,選手一覧!$G$7:$G$2738,"&lt;=100")</f>
        <v>1</v>
      </c>
      <c r="F40" s="14" t="n">
        <f aca="false">COUNTIFS(選手一覧!$C$7:$C$2738,A40,選手一覧!$I$7:$I$2738,"&lt;=100")</f>
        <v>1</v>
      </c>
      <c r="G40" s="13" t="n">
        <f aca="false">_xlfn.MINIFS(選手一覧!$K$7:$K$2738,選手一覧!$C$7:$C$2738,A40)</f>
        <v>21</v>
      </c>
      <c r="H40" s="10" t="s">
        <v>3898</v>
      </c>
    </row>
    <row r="41" customFormat="false" ht="15" hidden="false" customHeight="false" outlineLevel="0" collapsed="false">
      <c r="A41" s="10" t="s">
        <v>32</v>
      </c>
      <c r="B41" s="12" t="n">
        <f aca="false">COUNTIF(選手一覧!$C$7:$C$2738,A41)</f>
        <v>7</v>
      </c>
      <c r="C41" s="14" t="n">
        <f aca="false">COUNTIFS(選手一覧!$C$7:$C$2738,A41,選手一覧!$K$7:$K$2738,"&lt;=100")</f>
        <v>2</v>
      </c>
      <c r="D41" s="14" t="n">
        <f aca="false">COUNTIFS(選手一覧!$C$7:$C$2738,A41,選手一覧!$E$7:$E$2738,"&lt;=100")</f>
        <v>1</v>
      </c>
      <c r="E41" s="14" t="n">
        <f aca="false">COUNTIFS(選手一覧!$C$7:$C$2738,A41,選手一覧!$G$7:$G$2738,"&lt;=100")</f>
        <v>1</v>
      </c>
      <c r="F41" s="14" t="n">
        <f aca="false">COUNTIFS(選手一覧!$C$7:$C$2738,A41,選手一覧!$I$7:$I$2738,"&lt;=100")</f>
        <v>0</v>
      </c>
      <c r="G41" s="13" t="n">
        <f aca="false">_xlfn.MINIFS(選手一覧!$K$7:$K$2738,選手一覧!$C$7:$C$2738,A41)</f>
        <v>3</v>
      </c>
      <c r="H41" s="10" t="s">
        <v>3899</v>
      </c>
    </row>
    <row r="42" customFormat="false" ht="15" hidden="false" customHeight="false" outlineLevel="0" collapsed="false">
      <c r="A42" s="10" t="s">
        <v>45</v>
      </c>
      <c r="B42" s="12" t="n">
        <f aca="false">COUNTIF(選手一覧!$C$7:$C$2738,A42)</f>
        <v>7</v>
      </c>
      <c r="C42" s="14" t="n">
        <f aca="false">COUNTIFS(選手一覧!$C$7:$C$2738,A42,選手一覧!$K$7:$K$2738,"&lt;=100")</f>
        <v>2</v>
      </c>
      <c r="D42" s="14" t="n">
        <f aca="false">COUNTIFS(選手一覧!$C$7:$C$2738,A42,選手一覧!$E$7:$E$2738,"&lt;=100")</f>
        <v>1</v>
      </c>
      <c r="E42" s="14" t="n">
        <f aca="false">COUNTIFS(選手一覧!$C$7:$C$2738,A42,選手一覧!$G$7:$G$2738,"&lt;=100")</f>
        <v>1</v>
      </c>
      <c r="F42" s="14" t="n">
        <f aca="false">COUNTIFS(選手一覧!$C$7:$C$2738,A42,選手一覧!$I$7:$I$2738,"&lt;=100")</f>
        <v>0</v>
      </c>
      <c r="G42" s="13" t="n">
        <f aca="false">_xlfn.MINIFS(選手一覧!$K$7:$K$2738,選手一覧!$C$7:$C$2738,A42)</f>
        <v>6</v>
      </c>
      <c r="H42" s="10" t="s">
        <v>3900</v>
      </c>
    </row>
    <row r="43" customFormat="false" ht="15" hidden="false" customHeight="false" outlineLevel="0" collapsed="false">
      <c r="A43" s="10" t="s">
        <v>60</v>
      </c>
      <c r="B43" s="12" t="n">
        <f aca="false">COUNTIF(選手一覧!$C$7:$C$2738,A43)</f>
        <v>7</v>
      </c>
      <c r="C43" s="14" t="n">
        <f aca="false">COUNTIFS(選手一覧!$C$7:$C$2738,A43,選手一覧!$K$7:$K$2738,"&lt;=100")</f>
        <v>2</v>
      </c>
      <c r="D43" s="14" t="n">
        <f aca="false">COUNTIFS(選手一覧!$C$7:$C$2738,A43,選手一覧!$E$7:$E$2738,"&lt;=100")</f>
        <v>0</v>
      </c>
      <c r="E43" s="14" t="n">
        <f aca="false">COUNTIFS(選手一覧!$C$7:$C$2738,A43,選手一覧!$G$7:$G$2738,"&lt;=100")</f>
        <v>1</v>
      </c>
      <c r="F43" s="14" t="n">
        <f aca="false">COUNTIFS(選手一覧!$C$7:$C$2738,A43,選手一覧!$I$7:$I$2738,"&lt;=100")</f>
        <v>1</v>
      </c>
      <c r="G43" s="13" t="n">
        <f aca="false">_xlfn.MINIFS(選手一覧!$K$7:$K$2738,選手一覧!$C$7:$C$2738,A43)</f>
        <v>8</v>
      </c>
      <c r="H43" s="10" t="s">
        <v>3901</v>
      </c>
    </row>
    <row r="44" customFormat="false" ht="15" hidden="false" customHeight="false" outlineLevel="0" collapsed="false">
      <c r="A44" s="10" t="s">
        <v>83</v>
      </c>
      <c r="B44" s="12" t="n">
        <f aca="false">COUNTIF(選手一覧!$C$7:$C$2738,A44)</f>
        <v>7</v>
      </c>
      <c r="C44" s="14" t="n">
        <f aca="false">COUNTIFS(選手一覧!$C$7:$C$2738,A44,選手一覧!$K$7:$K$2738,"&lt;=100")</f>
        <v>2</v>
      </c>
      <c r="D44" s="14" t="n">
        <f aca="false">COUNTIFS(選手一覧!$C$7:$C$2738,A44,選手一覧!$E$7:$E$2738,"&lt;=100")</f>
        <v>1</v>
      </c>
      <c r="E44" s="14" t="n">
        <f aca="false">COUNTIFS(選手一覧!$C$7:$C$2738,A44,選手一覧!$G$7:$G$2738,"&lt;=100")</f>
        <v>1</v>
      </c>
      <c r="F44" s="14" t="n">
        <f aca="false">COUNTIFS(選手一覧!$C$7:$C$2738,A44,選手一覧!$I$7:$I$2738,"&lt;=100")</f>
        <v>1</v>
      </c>
      <c r="G44" s="13" t="n">
        <f aca="false">_xlfn.MINIFS(選手一覧!$K$7:$K$2738,選手一覧!$C$7:$C$2738,A44)</f>
        <v>14</v>
      </c>
      <c r="H44" s="10" t="s">
        <v>3902</v>
      </c>
    </row>
    <row r="45" customFormat="false" ht="15" hidden="false" customHeight="false" outlineLevel="0" collapsed="false">
      <c r="A45" s="10" t="s">
        <v>185</v>
      </c>
      <c r="B45" s="12" t="n">
        <f aca="false">COUNTIF(選手一覧!$C$7:$C$2738,A45)</f>
        <v>7</v>
      </c>
      <c r="C45" s="14" t="n">
        <f aca="false">COUNTIFS(選手一覧!$C$7:$C$2738,A45,選手一覧!$K$7:$K$2738,"&lt;=100")</f>
        <v>2</v>
      </c>
      <c r="D45" s="14" t="n">
        <f aca="false">COUNTIFS(選手一覧!$C$7:$C$2738,A45,選手一覧!$E$7:$E$2738,"&lt;=100")</f>
        <v>1</v>
      </c>
      <c r="E45" s="14" t="n">
        <f aca="false">COUNTIFS(選手一覧!$C$7:$C$2738,A45,選手一覧!$G$7:$G$2738,"&lt;=100")</f>
        <v>0</v>
      </c>
      <c r="F45" s="14" t="n">
        <f aca="false">COUNTIFS(選手一覧!$C$7:$C$2738,A45,選手一覧!$I$7:$I$2738,"&lt;=100")</f>
        <v>1</v>
      </c>
      <c r="G45" s="13" t="n">
        <f aca="false">_xlfn.MINIFS(選手一覧!$K$7:$K$2738,選手一覧!$C$7:$C$2738,A45)</f>
        <v>36</v>
      </c>
      <c r="H45" s="10" t="s">
        <v>3903</v>
      </c>
    </row>
    <row r="46" customFormat="false" ht="15" hidden="false" customHeight="false" outlineLevel="0" collapsed="false">
      <c r="A46" s="10" t="s">
        <v>261</v>
      </c>
      <c r="B46" s="12" t="n">
        <f aca="false">COUNTIF(選手一覧!$C$7:$C$2738,A46)</f>
        <v>7</v>
      </c>
      <c r="C46" s="14" t="n">
        <f aca="false">COUNTIFS(選手一覧!$C$7:$C$2738,A46,選手一覧!$K$7:$K$2738,"&lt;=100")</f>
        <v>2</v>
      </c>
      <c r="D46" s="14" t="n">
        <f aca="false">COUNTIFS(選手一覧!$C$7:$C$2738,A46,選手一覧!$E$7:$E$2738,"&lt;=100")</f>
        <v>1</v>
      </c>
      <c r="E46" s="14" t="n">
        <f aca="false">COUNTIFS(選手一覧!$C$7:$C$2738,A46,選手一覧!$G$7:$G$2738,"&lt;=100")</f>
        <v>1</v>
      </c>
      <c r="F46" s="14" t="n">
        <f aca="false">COUNTIFS(選手一覧!$C$7:$C$2738,A46,選手一覧!$I$7:$I$2738,"&lt;=100")</f>
        <v>0</v>
      </c>
      <c r="G46" s="13" t="n">
        <f aca="false">_xlfn.MINIFS(選手一覧!$K$7:$K$2738,選手一覧!$C$7:$C$2738,A46)</f>
        <v>56</v>
      </c>
      <c r="H46" s="10" t="s">
        <v>3904</v>
      </c>
    </row>
    <row r="47" customFormat="false" ht="15" hidden="false" customHeight="false" outlineLevel="0" collapsed="false">
      <c r="A47" s="10" t="s">
        <v>307</v>
      </c>
      <c r="B47" s="12" t="n">
        <f aca="false">COUNTIF(選手一覧!$C$7:$C$2738,A47)</f>
        <v>7</v>
      </c>
      <c r="C47" s="14" t="n">
        <f aca="false">COUNTIFS(選手一覧!$C$7:$C$2738,A47,選手一覧!$K$7:$K$2738,"&lt;=100")</f>
        <v>2</v>
      </c>
      <c r="D47" s="14" t="n">
        <f aca="false">COUNTIFS(選手一覧!$C$7:$C$2738,A47,選手一覧!$E$7:$E$2738,"&lt;=100")</f>
        <v>2</v>
      </c>
      <c r="E47" s="14" t="n">
        <f aca="false">COUNTIFS(選手一覧!$C$7:$C$2738,A47,選手一覧!$G$7:$G$2738,"&lt;=100")</f>
        <v>0</v>
      </c>
      <c r="F47" s="14" t="n">
        <f aca="false">COUNTIFS(選手一覧!$C$7:$C$2738,A47,選手一覧!$I$7:$I$2738,"&lt;=100")</f>
        <v>1</v>
      </c>
      <c r="G47" s="13" t="n">
        <f aca="false">_xlfn.MINIFS(選手一覧!$K$7:$K$2738,選手一覧!$C$7:$C$2738,A47)</f>
        <v>71</v>
      </c>
      <c r="H47" s="10" t="s">
        <v>3905</v>
      </c>
    </row>
    <row r="48" customFormat="false" ht="15" hidden="false" customHeight="false" outlineLevel="0" collapsed="false">
      <c r="A48" s="10" t="s">
        <v>41</v>
      </c>
      <c r="B48" s="12" t="n">
        <f aca="false">COUNTIF(選手一覧!$C$7:$C$2738,A48)</f>
        <v>6</v>
      </c>
      <c r="C48" s="14" t="n">
        <f aca="false">COUNTIFS(選手一覧!$C$7:$C$2738,A48,選手一覧!$K$7:$K$2738,"&lt;=100")</f>
        <v>2</v>
      </c>
      <c r="D48" s="14" t="n">
        <f aca="false">COUNTIFS(選手一覧!$C$7:$C$2738,A48,選手一覧!$E$7:$E$2738,"&lt;=100")</f>
        <v>2</v>
      </c>
      <c r="E48" s="14" t="n">
        <f aca="false">COUNTIFS(選手一覧!$C$7:$C$2738,A48,選手一覧!$G$7:$G$2738,"&lt;=100")</f>
        <v>0</v>
      </c>
      <c r="F48" s="14" t="n">
        <f aca="false">COUNTIFS(選手一覧!$C$7:$C$2738,A48,選手一覧!$I$7:$I$2738,"&lt;=100")</f>
        <v>1</v>
      </c>
      <c r="G48" s="13" t="n">
        <f aca="false">_xlfn.MINIFS(選手一覧!$K$7:$K$2738,選手一覧!$C$7:$C$2738,A48)</f>
        <v>5</v>
      </c>
      <c r="H48" s="10" t="s">
        <v>3906</v>
      </c>
    </row>
    <row r="49" customFormat="false" ht="15" hidden="false" customHeight="false" outlineLevel="0" collapsed="false">
      <c r="A49" s="10" t="s">
        <v>51</v>
      </c>
      <c r="B49" s="12" t="n">
        <f aca="false">COUNTIF(選手一覧!$C$7:$C$2738,A49)</f>
        <v>5</v>
      </c>
      <c r="C49" s="14" t="n">
        <f aca="false">COUNTIFS(選手一覧!$C$7:$C$2738,A49,選手一覧!$K$7:$K$2738,"&lt;=100")</f>
        <v>2</v>
      </c>
      <c r="D49" s="14" t="n">
        <f aca="false">COUNTIFS(選手一覧!$C$7:$C$2738,A49,選手一覧!$E$7:$E$2738,"&lt;=100")</f>
        <v>1</v>
      </c>
      <c r="E49" s="14" t="n">
        <f aca="false">COUNTIFS(選手一覧!$C$7:$C$2738,A49,選手一覧!$G$7:$G$2738,"&lt;=100")</f>
        <v>0</v>
      </c>
      <c r="F49" s="14" t="n">
        <f aca="false">COUNTIFS(選手一覧!$C$7:$C$2738,A49,選手一覧!$I$7:$I$2738,"&lt;=100")</f>
        <v>2</v>
      </c>
      <c r="G49" s="13" t="n">
        <f aca="false">_xlfn.MINIFS(選手一覧!$K$7:$K$2738,選手一覧!$C$7:$C$2738,A49)</f>
        <v>7</v>
      </c>
      <c r="H49" s="10" t="s">
        <v>3907</v>
      </c>
    </row>
    <row r="50" customFormat="false" ht="15" hidden="false" customHeight="false" outlineLevel="0" collapsed="false">
      <c r="A50" s="10" t="s">
        <v>57</v>
      </c>
      <c r="B50" s="12" t="n">
        <f aca="false">COUNTIF(選手一覧!$C$7:$C$2738,A50)</f>
        <v>5</v>
      </c>
      <c r="C50" s="14" t="n">
        <f aca="false">COUNTIFS(選手一覧!$C$7:$C$2738,A50,選手一覧!$K$7:$K$2738,"&lt;=100")</f>
        <v>2</v>
      </c>
      <c r="D50" s="14" t="n">
        <f aca="false">COUNTIFS(選手一覧!$C$7:$C$2738,A50,選手一覧!$E$7:$E$2738,"&lt;=100")</f>
        <v>1</v>
      </c>
      <c r="E50" s="14" t="n">
        <f aca="false">COUNTIFS(選手一覧!$C$7:$C$2738,A50,選手一覧!$G$7:$G$2738,"&lt;=100")</f>
        <v>1</v>
      </c>
      <c r="F50" s="14" t="n">
        <f aca="false">COUNTIFS(選手一覧!$C$7:$C$2738,A50,選手一覧!$I$7:$I$2738,"&lt;=100")</f>
        <v>1</v>
      </c>
      <c r="G50" s="13" t="n">
        <f aca="false">_xlfn.MINIFS(選手一覧!$K$7:$K$2738,選手一覧!$C$7:$C$2738,A50)</f>
        <v>8</v>
      </c>
      <c r="H50" s="10" t="s">
        <v>3908</v>
      </c>
    </row>
    <row r="51" customFormat="false" ht="15" hidden="false" customHeight="false" outlineLevel="0" collapsed="false">
      <c r="A51" s="10" t="s">
        <v>122</v>
      </c>
      <c r="B51" s="12" t="n">
        <f aca="false">COUNTIF(選手一覧!$C$7:$C$2738,A51)</f>
        <v>5</v>
      </c>
      <c r="C51" s="14" t="n">
        <f aca="false">COUNTIFS(選手一覧!$C$7:$C$2738,A51,選手一覧!$K$7:$K$2738,"&lt;=100")</f>
        <v>2</v>
      </c>
      <c r="D51" s="14" t="n">
        <f aca="false">COUNTIFS(選手一覧!$C$7:$C$2738,A51,選手一覧!$E$7:$E$2738,"&lt;=100")</f>
        <v>1</v>
      </c>
      <c r="E51" s="14" t="n">
        <f aca="false">COUNTIFS(選手一覧!$C$7:$C$2738,A51,選手一覧!$G$7:$G$2738,"&lt;=100")</f>
        <v>1</v>
      </c>
      <c r="F51" s="14" t="n">
        <f aca="false">COUNTIFS(選手一覧!$C$7:$C$2738,A51,選手一覧!$I$7:$I$2738,"&lt;=100")</f>
        <v>1</v>
      </c>
      <c r="G51" s="13" t="n">
        <f aca="false">_xlfn.MINIFS(選手一覧!$K$7:$K$2738,選手一覧!$C$7:$C$2738,A51)</f>
        <v>22</v>
      </c>
      <c r="H51" s="10" t="s">
        <v>3909</v>
      </c>
    </row>
    <row r="52" customFormat="false" ht="15" hidden="false" customHeight="false" outlineLevel="0" collapsed="false">
      <c r="A52" s="10" t="s">
        <v>149</v>
      </c>
      <c r="B52" s="12" t="n">
        <f aca="false">COUNTIF(選手一覧!$C$7:$C$2738,A52)</f>
        <v>5</v>
      </c>
      <c r="C52" s="14" t="n">
        <f aca="false">COUNTIFS(選手一覧!$C$7:$C$2738,A52,選手一覧!$K$7:$K$2738,"&lt;=100")</f>
        <v>2</v>
      </c>
      <c r="D52" s="14" t="n">
        <f aca="false">COUNTIFS(選手一覧!$C$7:$C$2738,A52,選手一覧!$E$7:$E$2738,"&lt;=100")</f>
        <v>0</v>
      </c>
      <c r="E52" s="14" t="n">
        <f aca="false">COUNTIFS(選手一覧!$C$7:$C$2738,A52,選手一覧!$G$7:$G$2738,"&lt;=100")</f>
        <v>0</v>
      </c>
      <c r="F52" s="14" t="n">
        <f aca="false">COUNTIFS(選手一覧!$C$7:$C$2738,A52,選手一覧!$I$7:$I$2738,"&lt;=100")</f>
        <v>2</v>
      </c>
      <c r="G52" s="13" t="n">
        <f aca="false">_xlfn.MINIFS(選手一覧!$K$7:$K$2738,選手一覧!$C$7:$C$2738,A52)</f>
        <v>28</v>
      </c>
      <c r="H52" s="10" t="s">
        <v>3910</v>
      </c>
    </row>
    <row r="53" customFormat="false" ht="15" hidden="false" customHeight="false" outlineLevel="0" collapsed="false">
      <c r="A53" s="10" t="s">
        <v>208</v>
      </c>
      <c r="B53" s="12" t="n">
        <f aca="false">COUNTIF(選手一覧!$C$7:$C$2738,A53)</f>
        <v>5</v>
      </c>
      <c r="C53" s="14" t="n">
        <f aca="false">COUNTIFS(選手一覧!$C$7:$C$2738,A53,選手一覧!$K$7:$K$2738,"&lt;=100")</f>
        <v>2</v>
      </c>
      <c r="D53" s="14" t="n">
        <f aca="false">COUNTIFS(選手一覧!$C$7:$C$2738,A53,選手一覧!$E$7:$E$2738,"&lt;=100")</f>
        <v>1</v>
      </c>
      <c r="E53" s="14" t="n">
        <f aca="false">COUNTIFS(選手一覧!$C$7:$C$2738,A53,選手一覧!$G$7:$G$2738,"&lt;=100")</f>
        <v>1</v>
      </c>
      <c r="F53" s="14" t="n">
        <f aca="false">COUNTIFS(選手一覧!$C$7:$C$2738,A53,選手一覧!$I$7:$I$2738,"&lt;=100")</f>
        <v>0</v>
      </c>
      <c r="G53" s="13" t="n">
        <f aca="false">_xlfn.MINIFS(選手一覧!$K$7:$K$2738,選手一覧!$C$7:$C$2738,A53)</f>
        <v>41</v>
      </c>
      <c r="H53" s="10" t="s">
        <v>3911</v>
      </c>
    </row>
    <row r="54" customFormat="false" ht="15" hidden="false" customHeight="false" outlineLevel="0" collapsed="false">
      <c r="A54" s="10" t="s">
        <v>237</v>
      </c>
      <c r="B54" s="12" t="n">
        <f aca="false">COUNTIF(選手一覧!$C$7:$C$2738,A54)</f>
        <v>5</v>
      </c>
      <c r="C54" s="14" t="n">
        <f aca="false">COUNTIFS(選手一覧!$C$7:$C$2738,A54,選手一覧!$K$7:$K$2738,"&lt;=100")</f>
        <v>2</v>
      </c>
      <c r="D54" s="14" t="n">
        <f aca="false">COUNTIFS(選手一覧!$C$7:$C$2738,A54,選手一覧!$E$7:$E$2738,"&lt;=100")</f>
        <v>1</v>
      </c>
      <c r="E54" s="14" t="n">
        <f aca="false">COUNTIFS(選手一覧!$C$7:$C$2738,A54,選手一覧!$G$7:$G$2738,"&lt;=100")</f>
        <v>1</v>
      </c>
      <c r="F54" s="14" t="n">
        <f aca="false">COUNTIFS(選手一覧!$C$7:$C$2738,A54,選手一覧!$I$7:$I$2738,"&lt;=100")</f>
        <v>1</v>
      </c>
      <c r="G54" s="13" t="n">
        <f aca="false">_xlfn.MINIFS(選手一覧!$K$7:$K$2738,選手一覧!$C$7:$C$2738,A54)</f>
        <v>49</v>
      </c>
      <c r="H54" s="10" t="s">
        <v>3912</v>
      </c>
    </row>
    <row r="55" customFormat="false" ht="15" hidden="false" customHeight="false" outlineLevel="0" collapsed="false">
      <c r="A55" s="10" t="s">
        <v>97</v>
      </c>
      <c r="B55" s="12" t="n">
        <f aca="false">COUNTIF(選手一覧!$C$7:$C$2738,A55)</f>
        <v>4</v>
      </c>
      <c r="C55" s="14" t="n">
        <f aca="false">COUNTIFS(選手一覧!$C$7:$C$2738,A55,選手一覧!$K$7:$K$2738,"&lt;=100")</f>
        <v>2</v>
      </c>
      <c r="D55" s="14" t="n">
        <f aca="false">COUNTIFS(選手一覧!$C$7:$C$2738,A55,選手一覧!$E$7:$E$2738,"&lt;=100")</f>
        <v>0</v>
      </c>
      <c r="E55" s="14" t="n">
        <f aca="false">COUNTIFS(選手一覧!$C$7:$C$2738,A55,選手一覧!$G$7:$G$2738,"&lt;=100")</f>
        <v>1</v>
      </c>
      <c r="F55" s="14" t="n">
        <f aca="false">COUNTIFS(選手一覧!$C$7:$C$2738,A55,選手一覧!$I$7:$I$2738,"&lt;=100")</f>
        <v>1</v>
      </c>
      <c r="G55" s="13" t="n">
        <f aca="false">_xlfn.MINIFS(選手一覧!$K$7:$K$2738,選手一覧!$C$7:$C$2738,A55)</f>
        <v>17</v>
      </c>
      <c r="H55" s="10" t="s">
        <v>3913</v>
      </c>
    </row>
    <row r="56" customFormat="false" ht="15" hidden="false" customHeight="false" outlineLevel="0" collapsed="false">
      <c r="A56" s="10" t="s">
        <v>156</v>
      </c>
      <c r="B56" s="12" t="n">
        <f aca="false">COUNTIF(選手一覧!$C$7:$C$2738,A56)</f>
        <v>3</v>
      </c>
      <c r="C56" s="14" t="n">
        <f aca="false">COUNTIFS(選手一覧!$C$7:$C$2738,A56,選手一覧!$K$7:$K$2738,"&lt;=100")</f>
        <v>2</v>
      </c>
      <c r="D56" s="14" t="n">
        <f aca="false">COUNTIFS(選手一覧!$C$7:$C$2738,A56,選手一覧!$E$7:$E$2738,"&lt;=100")</f>
        <v>2</v>
      </c>
      <c r="E56" s="14" t="n">
        <f aca="false">COUNTIFS(選手一覧!$C$7:$C$2738,A56,選手一覧!$G$7:$G$2738,"&lt;=100")</f>
        <v>0</v>
      </c>
      <c r="F56" s="14" t="n">
        <f aca="false">COUNTIFS(選手一覧!$C$7:$C$2738,A56,選手一覧!$I$7:$I$2738,"&lt;=100")</f>
        <v>0</v>
      </c>
      <c r="G56" s="13" t="n">
        <f aca="false">_xlfn.MINIFS(選手一覧!$K$7:$K$2738,選手一覧!$C$7:$C$2738,A56)</f>
        <v>30</v>
      </c>
      <c r="H56" s="10" t="s">
        <v>3914</v>
      </c>
    </row>
    <row r="57" customFormat="false" ht="15" hidden="false" customHeight="false" outlineLevel="0" collapsed="false">
      <c r="A57" s="10" t="s">
        <v>240</v>
      </c>
      <c r="B57" s="12" t="n">
        <f aca="false">COUNTIF(選手一覧!$C$7:$C$2738,A57)</f>
        <v>3</v>
      </c>
      <c r="C57" s="14" t="n">
        <f aca="false">COUNTIFS(選手一覧!$C$7:$C$2738,A57,選手一覧!$K$7:$K$2738,"&lt;=100")</f>
        <v>2</v>
      </c>
      <c r="D57" s="14" t="n">
        <f aca="false">COUNTIFS(選手一覧!$C$7:$C$2738,A57,選手一覧!$E$7:$E$2738,"&lt;=100")</f>
        <v>0</v>
      </c>
      <c r="E57" s="14" t="n">
        <f aca="false">COUNTIFS(選手一覧!$C$7:$C$2738,A57,選手一覧!$G$7:$G$2738,"&lt;=100")</f>
        <v>1</v>
      </c>
      <c r="F57" s="14" t="n">
        <f aca="false">COUNTIFS(選手一覧!$C$7:$C$2738,A57,選手一覧!$I$7:$I$2738,"&lt;=100")</f>
        <v>1</v>
      </c>
      <c r="G57" s="13" t="n">
        <f aca="false">_xlfn.MINIFS(選手一覧!$K$7:$K$2738,選手一覧!$C$7:$C$2738,A57)</f>
        <v>51</v>
      </c>
      <c r="H57" s="10" t="s">
        <v>3915</v>
      </c>
    </row>
    <row r="58" customFormat="false" ht="15" hidden="false" customHeight="false" outlineLevel="0" collapsed="false">
      <c r="A58" s="10" t="s">
        <v>76</v>
      </c>
      <c r="B58" s="12" t="n">
        <f aca="false">COUNTIF(選手一覧!$C$7:$C$2738,A58)</f>
        <v>2</v>
      </c>
      <c r="C58" s="14" t="n">
        <f aca="false">COUNTIFS(選手一覧!$C$7:$C$2738,A58,選手一覧!$K$7:$K$2738,"&lt;=100")</f>
        <v>2</v>
      </c>
      <c r="D58" s="14" t="n">
        <f aca="false">COUNTIFS(選手一覧!$C$7:$C$2738,A58,選手一覧!$E$7:$E$2738,"&lt;=100")</f>
        <v>0</v>
      </c>
      <c r="E58" s="14" t="n">
        <f aca="false">COUNTIFS(選手一覧!$C$7:$C$2738,A58,選手一覧!$G$7:$G$2738,"&lt;=100")</f>
        <v>1</v>
      </c>
      <c r="F58" s="14" t="n">
        <f aca="false">COUNTIFS(選手一覧!$C$7:$C$2738,A58,選手一覧!$I$7:$I$2738,"&lt;=100")</f>
        <v>1</v>
      </c>
      <c r="G58" s="13" t="n">
        <f aca="false">_xlfn.MINIFS(選手一覧!$K$7:$K$2738,選手一覧!$C$7:$C$2738,A58)</f>
        <v>12</v>
      </c>
      <c r="H58" s="10" t="s">
        <v>3916</v>
      </c>
    </row>
    <row r="59" customFormat="false" ht="15" hidden="false" customHeight="false" outlineLevel="0" collapsed="false">
      <c r="A59" s="10" t="s">
        <v>91</v>
      </c>
      <c r="B59" s="12" t="n">
        <f aca="false">COUNTIF(選手一覧!$C$7:$C$2738,A59)</f>
        <v>15</v>
      </c>
      <c r="C59" s="14" t="n">
        <f aca="false">COUNTIFS(選手一覧!$C$7:$C$2738,A59,選手一覧!$K$7:$K$2738,"&lt;=100")</f>
        <v>1</v>
      </c>
      <c r="D59" s="14" t="n">
        <f aca="false">COUNTIFS(選手一覧!$C$7:$C$2738,A59,選手一覧!$E$7:$E$2738,"&lt;=100")</f>
        <v>0</v>
      </c>
      <c r="E59" s="14" t="n">
        <f aca="false">COUNTIFS(選手一覧!$C$7:$C$2738,A59,選手一覧!$G$7:$G$2738,"&lt;=100")</f>
        <v>1</v>
      </c>
      <c r="F59" s="14" t="n">
        <f aca="false">COUNTIFS(選手一覧!$C$7:$C$2738,A59,選手一覧!$I$7:$I$2738,"&lt;=100")</f>
        <v>0</v>
      </c>
      <c r="G59" s="13" t="n">
        <f aca="false">_xlfn.MINIFS(選手一覧!$K$7:$K$2738,選手一覧!$C$7:$C$2738,A59)</f>
        <v>16</v>
      </c>
      <c r="H59" s="10" t="s">
        <v>3917</v>
      </c>
    </row>
    <row r="60" customFormat="false" ht="15" hidden="false" customHeight="false" outlineLevel="0" collapsed="false">
      <c r="A60" s="10" t="s">
        <v>312</v>
      </c>
      <c r="B60" s="12" t="n">
        <f aca="false">COUNTIF(選手一覧!$C$7:$C$2738,A60)</f>
        <v>15</v>
      </c>
      <c r="C60" s="14" t="n">
        <f aca="false">COUNTIFS(選手一覧!$C$7:$C$2738,A60,選手一覧!$K$7:$K$2738,"&lt;=100")</f>
        <v>1</v>
      </c>
      <c r="D60" s="14" t="n">
        <f aca="false">COUNTIFS(選手一覧!$C$7:$C$2738,A60,選手一覧!$E$7:$E$2738,"&lt;=100")</f>
        <v>1</v>
      </c>
      <c r="E60" s="14" t="n">
        <f aca="false">COUNTIFS(選手一覧!$C$7:$C$2738,A60,選手一覧!$G$7:$G$2738,"&lt;=100")</f>
        <v>0</v>
      </c>
      <c r="F60" s="14" t="n">
        <f aca="false">COUNTIFS(選手一覧!$C$7:$C$2738,A60,選手一覧!$I$7:$I$2738,"&lt;=100")</f>
        <v>1</v>
      </c>
      <c r="G60" s="13" t="n">
        <f aca="false">_xlfn.MINIFS(選手一覧!$K$7:$K$2738,選手一覧!$C$7:$C$2738,A60)</f>
        <v>72</v>
      </c>
      <c r="H60" s="10" t="s">
        <v>3918</v>
      </c>
    </row>
    <row r="61" customFormat="false" ht="15" hidden="false" customHeight="false" outlineLevel="0" collapsed="false">
      <c r="A61" s="10" t="s">
        <v>377</v>
      </c>
      <c r="B61" s="12" t="n">
        <f aca="false">COUNTIF(選手一覧!$C$7:$C$2738,A61)</f>
        <v>12</v>
      </c>
      <c r="C61" s="14" t="n">
        <f aca="false">COUNTIFS(選手一覧!$C$7:$C$2738,A61,選手一覧!$K$7:$K$2738,"&lt;=100")</f>
        <v>1</v>
      </c>
      <c r="D61" s="14" t="n">
        <f aca="false">COUNTIFS(選手一覧!$C$7:$C$2738,A61,選手一覧!$E$7:$E$2738,"&lt;=100")</f>
        <v>1</v>
      </c>
      <c r="E61" s="14" t="n">
        <f aca="false">COUNTIFS(選手一覧!$C$7:$C$2738,A61,選手一覧!$G$7:$G$2738,"&lt;=100")</f>
        <v>0</v>
      </c>
      <c r="F61" s="14" t="n">
        <f aca="false">COUNTIFS(選手一覧!$C$7:$C$2738,A61,選手一覧!$I$7:$I$2738,"&lt;=100")</f>
        <v>0</v>
      </c>
      <c r="G61" s="13" t="n">
        <f aca="false">_xlfn.MINIFS(選手一覧!$K$7:$K$2738,選手一覧!$C$7:$C$2738,A61)</f>
        <v>93</v>
      </c>
      <c r="H61" s="10" t="s">
        <v>3919</v>
      </c>
    </row>
    <row r="62" customFormat="false" ht="15" hidden="false" customHeight="false" outlineLevel="0" collapsed="false">
      <c r="A62" s="10" t="s">
        <v>175</v>
      </c>
      <c r="B62" s="12" t="n">
        <f aca="false">COUNTIF(選手一覧!$C$7:$C$2738,A62)</f>
        <v>11</v>
      </c>
      <c r="C62" s="14" t="n">
        <f aca="false">COUNTIFS(選手一覧!$C$7:$C$2738,A62,選手一覧!$K$7:$K$2738,"&lt;=100")</f>
        <v>1</v>
      </c>
      <c r="D62" s="14" t="n">
        <f aca="false">COUNTIFS(選手一覧!$C$7:$C$2738,A62,選手一覧!$E$7:$E$2738,"&lt;=100")</f>
        <v>1</v>
      </c>
      <c r="E62" s="14" t="n">
        <f aca="false">COUNTIFS(選手一覧!$C$7:$C$2738,A62,選手一覧!$G$7:$G$2738,"&lt;=100")</f>
        <v>0</v>
      </c>
      <c r="F62" s="14" t="n">
        <f aca="false">COUNTIFS(選手一覧!$C$7:$C$2738,A62,選手一覧!$I$7:$I$2738,"&lt;=100")</f>
        <v>0</v>
      </c>
      <c r="G62" s="13" t="n">
        <f aca="false">_xlfn.MINIFS(選手一覧!$K$7:$K$2738,選手一覧!$C$7:$C$2738,A62)</f>
        <v>34</v>
      </c>
      <c r="H62" s="10" t="s">
        <v>3920</v>
      </c>
    </row>
    <row r="63" customFormat="false" ht="15" hidden="false" customHeight="false" outlineLevel="0" collapsed="false">
      <c r="A63" s="10" t="s">
        <v>195</v>
      </c>
      <c r="B63" s="12" t="n">
        <f aca="false">COUNTIF(選手一覧!$C$7:$C$2738,A63)</f>
        <v>11</v>
      </c>
      <c r="C63" s="14" t="n">
        <f aca="false">COUNTIFS(選手一覧!$C$7:$C$2738,A63,選手一覧!$K$7:$K$2738,"&lt;=100")</f>
        <v>1</v>
      </c>
      <c r="D63" s="14" t="n">
        <f aca="false">COUNTIFS(選手一覧!$C$7:$C$2738,A63,選手一覧!$E$7:$E$2738,"&lt;=100")</f>
        <v>1</v>
      </c>
      <c r="E63" s="14" t="n">
        <f aca="false">COUNTIFS(選手一覧!$C$7:$C$2738,A63,選手一覧!$G$7:$G$2738,"&lt;=100")</f>
        <v>0</v>
      </c>
      <c r="F63" s="14" t="n">
        <f aca="false">COUNTIFS(選手一覧!$C$7:$C$2738,A63,選手一覧!$I$7:$I$2738,"&lt;=100")</f>
        <v>1</v>
      </c>
      <c r="G63" s="13" t="n">
        <f aca="false">_xlfn.MINIFS(選手一覧!$K$7:$K$2738,選手一覧!$C$7:$C$2738,A63)</f>
        <v>38</v>
      </c>
      <c r="H63" s="10" t="s">
        <v>3921</v>
      </c>
    </row>
    <row r="64" customFormat="false" ht="15" hidden="false" customHeight="false" outlineLevel="0" collapsed="false">
      <c r="A64" s="10" t="s">
        <v>286</v>
      </c>
      <c r="B64" s="12" t="n">
        <f aca="false">COUNTIF(選手一覧!$C$7:$C$2738,A64)</f>
        <v>11</v>
      </c>
      <c r="C64" s="14" t="n">
        <f aca="false">COUNTIFS(選手一覧!$C$7:$C$2738,A64,選手一覧!$K$7:$K$2738,"&lt;=100")</f>
        <v>1</v>
      </c>
      <c r="D64" s="14" t="n">
        <f aca="false">COUNTIFS(選手一覧!$C$7:$C$2738,A64,選手一覧!$E$7:$E$2738,"&lt;=100")</f>
        <v>0</v>
      </c>
      <c r="E64" s="14" t="n">
        <f aca="false">COUNTIFS(選手一覧!$C$7:$C$2738,A64,選手一覧!$G$7:$G$2738,"&lt;=100")</f>
        <v>0</v>
      </c>
      <c r="F64" s="14" t="n">
        <f aca="false">COUNTIFS(選手一覧!$C$7:$C$2738,A64,選手一覧!$I$7:$I$2738,"&lt;=100")</f>
        <v>1</v>
      </c>
      <c r="G64" s="13" t="n">
        <f aca="false">_xlfn.MINIFS(選手一覧!$K$7:$K$2738,選手一覧!$C$7:$C$2738,A64)</f>
        <v>64</v>
      </c>
      <c r="H64" s="10" t="s">
        <v>3922</v>
      </c>
    </row>
    <row r="65" customFormat="false" ht="15" hidden="false" customHeight="false" outlineLevel="0" collapsed="false">
      <c r="A65" s="10" t="s">
        <v>302</v>
      </c>
      <c r="B65" s="12" t="n">
        <f aca="false">COUNTIF(選手一覧!$C$7:$C$2738,A65)</f>
        <v>11</v>
      </c>
      <c r="C65" s="14" t="n">
        <f aca="false">COUNTIFS(選手一覧!$C$7:$C$2738,A65,選手一覧!$K$7:$K$2738,"&lt;=100")</f>
        <v>1</v>
      </c>
      <c r="D65" s="14" t="n">
        <f aca="false">COUNTIFS(選手一覧!$C$7:$C$2738,A65,選手一覧!$E$7:$E$2738,"&lt;=100")</f>
        <v>0</v>
      </c>
      <c r="E65" s="14" t="n">
        <f aca="false">COUNTIFS(選手一覧!$C$7:$C$2738,A65,選手一覧!$G$7:$G$2738,"&lt;=100")</f>
        <v>0</v>
      </c>
      <c r="F65" s="14" t="n">
        <f aca="false">COUNTIFS(選手一覧!$C$7:$C$2738,A65,選手一覧!$I$7:$I$2738,"&lt;=100")</f>
        <v>1</v>
      </c>
      <c r="G65" s="13" t="n">
        <f aca="false">_xlfn.MINIFS(選手一覧!$K$7:$K$2738,選手一覧!$C$7:$C$2738,A65)</f>
        <v>69</v>
      </c>
      <c r="H65" s="10" t="s">
        <v>3923</v>
      </c>
    </row>
    <row r="66" customFormat="false" ht="15" hidden="false" customHeight="false" outlineLevel="0" collapsed="false">
      <c r="A66" s="10" t="s">
        <v>254</v>
      </c>
      <c r="B66" s="12" t="n">
        <f aca="false">COUNTIF(選手一覧!$C$7:$C$2738,A66)</f>
        <v>10</v>
      </c>
      <c r="C66" s="14" t="n">
        <f aca="false">COUNTIFS(選手一覧!$C$7:$C$2738,A66,選手一覧!$K$7:$K$2738,"&lt;=100")</f>
        <v>1</v>
      </c>
      <c r="D66" s="14" t="n">
        <f aca="false">COUNTIFS(選手一覧!$C$7:$C$2738,A66,選手一覧!$E$7:$E$2738,"&lt;=100")</f>
        <v>0</v>
      </c>
      <c r="E66" s="14" t="n">
        <f aca="false">COUNTIFS(選手一覧!$C$7:$C$2738,A66,選手一覧!$G$7:$G$2738,"&lt;=100")</f>
        <v>0</v>
      </c>
      <c r="F66" s="14" t="n">
        <f aca="false">COUNTIFS(選手一覧!$C$7:$C$2738,A66,選手一覧!$I$7:$I$2738,"&lt;=100")</f>
        <v>1</v>
      </c>
      <c r="G66" s="13" t="n">
        <f aca="false">_xlfn.MINIFS(選手一覧!$K$7:$K$2738,選手一覧!$C$7:$C$2738,A66)</f>
        <v>54</v>
      </c>
      <c r="H66" s="10" t="s">
        <v>3924</v>
      </c>
    </row>
    <row r="67" customFormat="false" ht="15" hidden="false" customHeight="false" outlineLevel="0" collapsed="false">
      <c r="A67" s="10" t="s">
        <v>126</v>
      </c>
      <c r="B67" s="12" t="n">
        <f aca="false">COUNTIF(選手一覧!$C$7:$C$2738,A67)</f>
        <v>9</v>
      </c>
      <c r="C67" s="14" t="n">
        <f aca="false">COUNTIFS(選手一覧!$C$7:$C$2738,A67,選手一覧!$K$7:$K$2738,"&lt;=100")</f>
        <v>1</v>
      </c>
      <c r="D67" s="14" t="n">
        <f aca="false">COUNTIFS(選手一覧!$C$7:$C$2738,A67,選手一覧!$E$7:$E$2738,"&lt;=100")</f>
        <v>0</v>
      </c>
      <c r="E67" s="14" t="n">
        <f aca="false">COUNTIFS(選手一覧!$C$7:$C$2738,A67,選手一覧!$G$7:$G$2738,"&lt;=100")</f>
        <v>1</v>
      </c>
      <c r="F67" s="14" t="n">
        <f aca="false">COUNTIFS(選手一覧!$C$7:$C$2738,A67,選手一覧!$I$7:$I$2738,"&lt;=100")</f>
        <v>0</v>
      </c>
      <c r="G67" s="13" t="n">
        <f aca="false">_xlfn.MINIFS(選手一覧!$K$7:$K$2738,選手一覧!$C$7:$C$2738,A67)</f>
        <v>23</v>
      </c>
      <c r="H67" s="10" t="s">
        <v>3925</v>
      </c>
    </row>
    <row r="68" customFormat="false" ht="15" hidden="false" customHeight="false" outlineLevel="0" collapsed="false">
      <c r="A68" s="10" t="s">
        <v>229</v>
      </c>
      <c r="B68" s="12" t="n">
        <f aca="false">COUNTIF(選手一覧!$C$7:$C$2738,A68)</f>
        <v>9</v>
      </c>
      <c r="C68" s="14" t="n">
        <f aca="false">COUNTIFS(選手一覧!$C$7:$C$2738,A68,選手一覧!$K$7:$K$2738,"&lt;=100")</f>
        <v>1</v>
      </c>
      <c r="D68" s="14" t="n">
        <f aca="false">COUNTIFS(選手一覧!$C$7:$C$2738,A68,選手一覧!$E$7:$E$2738,"&lt;=100")</f>
        <v>0</v>
      </c>
      <c r="E68" s="14" t="n">
        <f aca="false">COUNTIFS(選手一覧!$C$7:$C$2738,A68,選手一覧!$G$7:$G$2738,"&lt;=100")</f>
        <v>1</v>
      </c>
      <c r="F68" s="14" t="n">
        <f aca="false">COUNTIFS(選手一覧!$C$7:$C$2738,A68,選手一覧!$I$7:$I$2738,"&lt;=100")</f>
        <v>0</v>
      </c>
      <c r="G68" s="13" t="n">
        <f aca="false">_xlfn.MINIFS(選手一覧!$K$7:$K$2738,選手一覧!$C$7:$C$2738,A68)</f>
        <v>46</v>
      </c>
      <c r="H68" s="10" t="s">
        <v>3926</v>
      </c>
    </row>
    <row r="69" customFormat="false" ht="15" hidden="false" customHeight="false" outlineLevel="0" collapsed="false">
      <c r="A69" s="10" t="s">
        <v>387</v>
      </c>
      <c r="B69" s="12" t="n">
        <f aca="false">COUNTIF(選手一覧!$C$7:$C$2738,A69)</f>
        <v>9</v>
      </c>
      <c r="C69" s="14" t="n">
        <f aca="false">COUNTIFS(選手一覧!$C$7:$C$2738,A69,選手一覧!$K$7:$K$2738,"&lt;=100")</f>
        <v>1</v>
      </c>
      <c r="D69" s="14" t="n">
        <f aca="false">COUNTIFS(選手一覧!$C$7:$C$2738,A69,選手一覧!$E$7:$E$2738,"&lt;=100")</f>
        <v>0</v>
      </c>
      <c r="E69" s="14" t="n">
        <f aca="false">COUNTIFS(選手一覧!$C$7:$C$2738,A69,選手一覧!$G$7:$G$2738,"&lt;=100")</f>
        <v>0</v>
      </c>
      <c r="F69" s="14" t="n">
        <f aca="false">COUNTIFS(選手一覧!$C$7:$C$2738,A69,選手一覧!$I$7:$I$2738,"&lt;=100")</f>
        <v>1</v>
      </c>
      <c r="G69" s="13" t="n">
        <f aca="false">_xlfn.MINIFS(選手一覧!$K$7:$K$2738,選手一覧!$C$7:$C$2738,A69)</f>
        <v>95</v>
      </c>
      <c r="H69" s="10" t="s">
        <v>3927</v>
      </c>
    </row>
    <row r="70" customFormat="false" ht="15" hidden="false" customHeight="false" outlineLevel="0" collapsed="false">
      <c r="A70" s="10" t="s">
        <v>112</v>
      </c>
      <c r="B70" s="12" t="n">
        <f aca="false">COUNTIF(選手一覧!$C$7:$C$2738,A70)</f>
        <v>8</v>
      </c>
      <c r="C70" s="14" t="n">
        <f aca="false">COUNTIFS(選手一覧!$C$7:$C$2738,A70,選手一覧!$K$7:$K$2738,"&lt;=100")</f>
        <v>1</v>
      </c>
      <c r="D70" s="14" t="n">
        <f aca="false">COUNTIFS(選手一覧!$C$7:$C$2738,A70,選手一覧!$E$7:$E$2738,"&lt;=100")</f>
        <v>0</v>
      </c>
      <c r="E70" s="14" t="n">
        <f aca="false">COUNTIFS(選手一覧!$C$7:$C$2738,A70,選手一覧!$G$7:$G$2738,"&lt;=100")</f>
        <v>0</v>
      </c>
      <c r="F70" s="14" t="n">
        <f aca="false">COUNTIFS(選手一覧!$C$7:$C$2738,A70,選手一覧!$I$7:$I$2738,"&lt;=100")</f>
        <v>1</v>
      </c>
      <c r="G70" s="13" t="n">
        <f aca="false">_xlfn.MINIFS(選手一覧!$K$7:$K$2738,選手一覧!$C$7:$C$2738,A70)</f>
        <v>20</v>
      </c>
      <c r="H70" s="10" t="s">
        <v>3928</v>
      </c>
    </row>
    <row r="71" customFormat="false" ht="15" hidden="false" customHeight="false" outlineLevel="0" collapsed="false">
      <c r="A71" s="10" t="s">
        <v>181</v>
      </c>
      <c r="B71" s="12" t="n">
        <f aca="false">COUNTIF(選手一覧!$C$7:$C$2738,A71)</f>
        <v>8</v>
      </c>
      <c r="C71" s="14" t="n">
        <f aca="false">COUNTIFS(選手一覧!$C$7:$C$2738,A71,選手一覧!$K$7:$K$2738,"&lt;=100")</f>
        <v>1</v>
      </c>
      <c r="D71" s="14" t="n">
        <f aca="false">COUNTIFS(選手一覧!$C$7:$C$2738,A71,選手一覧!$E$7:$E$2738,"&lt;=100")</f>
        <v>0</v>
      </c>
      <c r="E71" s="14" t="n">
        <f aca="false">COUNTIFS(選手一覧!$C$7:$C$2738,A71,選手一覧!$G$7:$G$2738,"&lt;=100")</f>
        <v>0</v>
      </c>
      <c r="F71" s="14" t="n">
        <f aca="false">COUNTIFS(選手一覧!$C$7:$C$2738,A71,選手一覧!$I$7:$I$2738,"&lt;=100")</f>
        <v>1</v>
      </c>
      <c r="G71" s="13" t="n">
        <f aca="false">_xlfn.MINIFS(選手一覧!$K$7:$K$2738,選手一覧!$C$7:$C$2738,A71)</f>
        <v>35</v>
      </c>
      <c r="H71" s="10" t="s">
        <v>3929</v>
      </c>
    </row>
    <row r="72" customFormat="false" ht="15" hidden="false" customHeight="false" outlineLevel="0" collapsed="false">
      <c r="A72" s="10" t="s">
        <v>277</v>
      </c>
      <c r="B72" s="12" t="n">
        <f aca="false">COUNTIF(選手一覧!$C$7:$C$2738,A72)</f>
        <v>8</v>
      </c>
      <c r="C72" s="14" t="n">
        <f aca="false">COUNTIFS(選手一覧!$C$7:$C$2738,A72,選手一覧!$K$7:$K$2738,"&lt;=100")</f>
        <v>1</v>
      </c>
      <c r="D72" s="14" t="n">
        <f aca="false">COUNTIFS(選手一覧!$C$7:$C$2738,A72,選手一覧!$E$7:$E$2738,"&lt;=100")</f>
        <v>1</v>
      </c>
      <c r="E72" s="14" t="n">
        <f aca="false">COUNTIFS(選手一覧!$C$7:$C$2738,A72,選手一覧!$G$7:$G$2738,"&lt;=100")</f>
        <v>0</v>
      </c>
      <c r="F72" s="14" t="n">
        <f aca="false">COUNTIFS(選手一覧!$C$7:$C$2738,A72,選手一覧!$I$7:$I$2738,"&lt;=100")</f>
        <v>0</v>
      </c>
      <c r="G72" s="13" t="n">
        <f aca="false">_xlfn.MINIFS(選手一覧!$K$7:$K$2738,選手一覧!$C$7:$C$2738,A72)</f>
        <v>61</v>
      </c>
      <c r="H72" s="10" t="s">
        <v>3930</v>
      </c>
    </row>
    <row r="73" customFormat="false" ht="15" hidden="false" customHeight="false" outlineLevel="0" collapsed="false">
      <c r="A73" s="10" t="s">
        <v>358</v>
      </c>
      <c r="B73" s="12" t="n">
        <f aca="false">COUNTIF(選手一覧!$C$7:$C$2738,A73)</f>
        <v>8</v>
      </c>
      <c r="C73" s="14" t="n">
        <f aca="false">COUNTIFS(選手一覧!$C$7:$C$2738,A73,選手一覧!$K$7:$K$2738,"&lt;=100")</f>
        <v>1</v>
      </c>
      <c r="D73" s="14" t="n">
        <f aca="false">COUNTIFS(選手一覧!$C$7:$C$2738,A73,選手一覧!$E$7:$E$2738,"&lt;=100")</f>
        <v>1</v>
      </c>
      <c r="E73" s="14" t="n">
        <f aca="false">COUNTIFS(選手一覧!$C$7:$C$2738,A73,選手一覧!$G$7:$G$2738,"&lt;=100")</f>
        <v>0</v>
      </c>
      <c r="F73" s="14" t="n">
        <f aca="false">COUNTIFS(選手一覧!$C$7:$C$2738,A73,選手一覧!$I$7:$I$2738,"&lt;=100")</f>
        <v>0</v>
      </c>
      <c r="G73" s="13" t="n">
        <f aca="false">_xlfn.MINIFS(選手一覧!$K$7:$K$2738,選手一覧!$C$7:$C$2738,A73)</f>
        <v>87</v>
      </c>
      <c r="H73" s="10" t="s">
        <v>3931</v>
      </c>
    </row>
    <row r="74" customFormat="false" ht="15" hidden="false" customHeight="false" outlineLevel="0" collapsed="false">
      <c r="A74" s="10" t="s">
        <v>382</v>
      </c>
      <c r="B74" s="12" t="n">
        <f aca="false">COUNTIF(選手一覧!$C$7:$C$2738,A74)</f>
        <v>8</v>
      </c>
      <c r="C74" s="14" t="n">
        <f aca="false">COUNTIFS(選手一覧!$C$7:$C$2738,A74,選手一覧!$K$7:$K$2738,"&lt;=100")</f>
        <v>1</v>
      </c>
      <c r="D74" s="14" t="n">
        <f aca="false">COUNTIFS(選手一覧!$C$7:$C$2738,A74,選手一覧!$E$7:$E$2738,"&lt;=100")</f>
        <v>0</v>
      </c>
      <c r="E74" s="14" t="n">
        <f aca="false">COUNTIFS(選手一覧!$C$7:$C$2738,A74,選手一覧!$G$7:$G$2738,"&lt;=100")</f>
        <v>0</v>
      </c>
      <c r="F74" s="14" t="n">
        <f aca="false">COUNTIFS(選手一覧!$C$7:$C$2738,A74,選手一覧!$I$7:$I$2738,"&lt;=100")</f>
        <v>1</v>
      </c>
      <c r="G74" s="13" t="n">
        <f aca="false">_xlfn.MINIFS(選手一覧!$K$7:$K$2738,選手一覧!$C$7:$C$2738,A74)</f>
        <v>94</v>
      </c>
      <c r="H74" s="10" t="s">
        <v>3932</v>
      </c>
    </row>
    <row r="75" customFormat="false" ht="15" hidden="false" customHeight="false" outlineLevel="0" collapsed="false">
      <c r="A75" s="10" t="s">
        <v>47</v>
      </c>
      <c r="B75" s="12" t="n">
        <f aca="false">COUNTIF(選手一覧!$C$7:$C$2738,A75)</f>
        <v>7</v>
      </c>
      <c r="C75" s="14" t="n">
        <f aca="false">COUNTIFS(選手一覧!$C$7:$C$2738,A75,選手一覧!$K$7:$K$2738,"&lt;=100")</f>
        <v>1</v>
      </c>
      <c r="D75" s="14" t="n">
        <f aca="false">COUNTIFS(選手一覧!$C$7:$C$2738,A75,選手一覧!$E$7:$E$2738,"&lt;=100")</f>
        <v>0</v>
      </c>
      <c r="E75" s="14" t="n">
        <f aca="false">COUNTIFS(選手一覧!$C$7:$C$2738,A75,選手一覧!$G$7:$G$2738,"&lt;=100")</f>
        <v>0</v>
      </c>
      <c r="F75" s="14" t="n">
        <f aca="false">COUNTIFS(選手一覧!$C$7:$C$2738,A75,選手一覧!$I$7:$I$2738,"&lt;=100")</f>
        <v>1</v>
      </c>
      <c r="G75" s="13" t="n">
        <f aca="false">_xlfn.MINIFS(選手一覧!$K$7:$K$2738,選手一覧!$C$7:$C$2738,A75)</f>
        <v>6</v>
      </c>
      <c r="H75" s="10" t="s">
        <v>3933</v>
      </c>
    </row>
    <row r="76" customFormat="false" ht="15" hidden="false" customHeight="false" outlineLevel="0" collapsed="false">
      <c r="A76" s="10" t="s">
        <v>118</v>
      </c>
      <c r="B76" s="12" t="n">
        <f aca="false">COUNTIF(選手一覧!$C$7:$C$2738,A76)</f>
        <v>7</v>
      </c>
      <c r="C76" s="14" t="n">
        <f aca="false">COUNTIFS(選手一覧!$C$7:$C$2738,A76,選手一覧!$K$7:$K$2738,"&lt;=100")</f>
        <v>1</v>
      </c>
      <c r="D76" s="14" t="n">
        <f aca="false">COUNTIFS(選手一覧!$C$7:$C$2738,A76,選手一覧!$E$7:$E$2738,"&lt;=100")</f>
        <v>0</v>
      </c>
      <c r="E76" s="14" t="n">
        <f aca="false">COUNTIFS(選手一覧!$C$7:$C$2738,A76,選手一覧!$G$7:$G$2738,"&lt;=100")</f>
        <v>0</v>
      </c>
      <c r="F76" s="14" t="n">
        <f aca="false">COUNTIFS(選手一覧!$C$7:$C$2738,A76,選手一覧!$I$7:$I$2738,"&lt;=100")</f>
        <v>1</v>
      </c>
      <c r="G76" s="13" t="n">
        <f aca="false">_xlfn.MINIFS(選手一覧!$K$7:$K$2738,選手一覧!$C$7:$C$2738,A76)</f>
        <v>21</v>
      </c>
      <c r="H76" s="10" t="s">
        <v>3934</v>
      </c>
    </row>
    <row r="77" customFormat="false" ht="15" hidden="false" customHeight="false" outlineLevel="0" collapsed="false">
      <c r="A77" s="10" t="s">
        <v>263</v>
      </c>
      <c r="B77" s="12" t="n">
        <f aca="false">COUNTIF(選手一覧!$C$7:$C$2738,A77)</f>
        <v>7</v>
      </c>
      <c r="C77" s="14" t="n">
        <f aca="false">COUNTIFS(選手一覧!$C$7:$C$2738,A77,選手一覧!$K$7:$K$2738,"&lt;=100")</f>
        <v>1</v>
      </c>
      <c r="D77" s="14" t="n">
        <f aca="false">COUNTIFS(選手一覧!$C$7:$C$2738,A77,選手一覧!$E$7:$E$2738,"&lt;=100")</f>
        <v>0</v>
      </c>
      <c r="E77" s="14" t="n">
        <f aca="false">COUNTIFS(選手一覧!$C$7:$C$2738,A77,選手一覧!$G$7:$G$2738,"&lt;=100")</f>
        <v>1</v>
      </c>
      <c r="F77" s="14" t="n">
        <f aca="false">COUNTIFS(選手一覧!$C$7:$C$2738,A77,選手一覧!$I$7:$I$2738,"&lt;=100")</f>
        <v>0</v>
      </c>
      <c r="G77" s="13" t="n">
        <f aca="false">_xlfn.MINIFS(選手一覧!$K$7:$K$2738,選手一覧!$C$7:$C$2738,A77)</f>
        <v>57</v>
      </c>
      <c r="H77" s="10" t="s">
        <v>3935</v>
      </c>
    </row>
    <row r="78" customFormat="false" ht="15" hidden="false" customHeight="false" outlineLevel="0" collapsed="false">
      <c r="A78" s="10" t="s">
        <v>298</v>
      </c>
      <c r="B78" s="12" t="n">
        <f aca="false">COUNTIF(選手一覧!$C$7:$C$2738,A78)</f>
        <v>7</v>
      </c>
      <c r="C78" s="14" t="n">
        <f aca="false">COUNTIFS(選手一覧!$C$7:$C$2738,A78,選手一覧!$K$7:$K$2738,"&lt;=100")</f>
        <v>1</v>
      </c>
      <c r="D78" s="14" t="n">
        <f aca="false">COUNTIFS(選手一覧!$C$7:$C$2738,A78,選手一覧!$E$7:$E$2738,"&lt;=100")</f>
        <v>1</v>
      </c>
      <c r="E78" s="14" t="n">
        <f aca="false">COUNTIFS(選手一覧!$C$7:$C$2738,A78,選手一覧!$G$7:$G$2738,"&lt;=100")</f>
        <v>0</v>
      </c>
      <c r="F78" s="14" t="n">
        <f aca="false">COUNTIFS(選手一覧!$C$7:$C$2738,A78,選手一覧!$I$7:$I$2738,"&lt;=100")</f>
        <v>0</v>
      </c>
      <c r="G78" s="13" t="n">
        <f aca="false">_xlfn.MINIFS(選手一覧!$K$7:$K$2738,選手一覧!$C$7:$C$2738,A78)</f>
        <v>68</v>
      </c>
      <c r="H78" s="10" t="s">
        <v>3936</v>
      </c>
    </row>
    <row r="79" customFormat="false" ht="15" hidden="false" customHeight="false" outlineLevel="0" collapsed="false">
      <c r="A79" s="10" t="s">
        <v>371</v>
      </c>
      <c r="B79" s="12" t="n">
        <f aca="false">COUNTIF(選手一覧!$C$7:$C$2738,A79)</f>
        <v>7</v>
      </c>
      <c r="C79" s="14" t="n">
        <f aca="false">COUNTIFS(選手一覧!$C$7:$C$2738,A79,選手一覧!$K$7:$K$2738,"&lt;=100")</f>
        <v>1</v>
      </c>
      <c r="D79" s="14" t="n">
        <f aca="false">COUNTIFS(選手一覧!$C$7:$C$2738,A79,選手一覧!$E$7:$E$2738,"&lt;=100")</f>
        <v>0</v>
      </c>
      <c r="E79" s="14" t="n">
        <f aca="false">COUNTIFS(選手一覧!$C$7:$C$2738,A79,選手一覧!$G$7:$G$2738,"&lt;=100")</f>
        <v>1</v>
      </c>
      <c r="F79" s="14" t="n">
        <f aca="false">COUNTIFS(選手一覧!$C$7:$C$2738,A79,選手一覧!$I$7:$I$2738,"&lt;=100")</f>
        <v>0</v>
      </c>
      <c r="G79" s="13" t="n">
        <f aca="false">_xlfn.MINIFS(選手一覧!$K$7:$K$2738,選手一覧!$C$7:$C$2738,A79)</f>
        <v>92</v>
      </c>
      <c r="H79" s="10" t="s">
        <v>3937</v>
      </c>
    </row>
    <row r="80" customFormat="false" ht="15" hidden="false" customHeight="false" outlineLevel="0" collapsed="false">
      <c r="A80" s="10" t="s">
        <v>397</v>
      </c>
      <c r="B80" s="12" t="n">
        <f aca="false">COUNTIF(選手一覧!$C$7:$C$2738,A80)</f>
        <v>7</v>
      </c>
      <c r="C80" s="14" t="n">
        <f aca="false">COUNTIFS(選手一覧!$C$7:$C$2738,A80,選手一覧!$K$7:$K$2738,"&lt;=100")</f>
        <v>1</v>
      </c>
      <c r="D80" s="14" t="n">
        <f aca="false">COUNTIFS(選手一覧!$C$7:$C$2738,A80,選手一覧!$E$7:$E$2738,"&lt;=100")</f>
        <v>0</v>
      </c>
      <c r="E80" s="14" t="n">
        <f aca="false">COUNTIFS(選手一覧!$C$7:$C$2738,A80,選手一覧!$G$7:$G$2738,"&lt;=100")</f>
        <v>0</v>
      </c>
      <c r="F80" s="14" t="n">
        <f aca="false">COUNTIFS(選手一覧!$C$7:$C$2738,A80,選手一覧!$I$7:$I$2738,"&lt;=100")</f>
        <v>1</v>
      </c>
      <c r="G80" s="13" t="n">
        <f aca="false">_xlfn.MINIFS(選手一覧!$K$7:$K$2738,選手一覧!$C$7:$C$2738,A80)</f>
        <v>98</v>
      </c>
      <c r="H80" s="10" t="s">
        <v>3938</v>
      </c>
    </row>
    <row r="81" customFormat="false" ht="15" hidden="false" customHeight="false" outlineLevel="0" collapsed="false">
      <c r="A81" s="10" t="s">
        <v>85</v>
      </c>
      <c r="B81" s="12" t="n">
        <f aca="false">COUNTIF(選手一覧!$C$7:$C$2738,A81)</f>
        <v>6</v>
      </c>
      <c r="C81" s="14" t="n">
        <f aca="false">COUNTIFS(選手一覧!$C$7:$C$2738,A81,選手一覧!$K$7:$K$2738,"&lt;=100")</f>
        <v>1</v>
      </c>
      <c r="D81" s="14" t="n">
        <f aca="false">COUNTIFS(選手一覧!$C$7:$C$2738,A81,選手一覧!$E$7:$E$2738,"&lt;=100")</f>
        <v>0</v>
      </c>
      <c r="E81" s="14" t="n">
        <f aca="false">COUNTIFS(選手一覧!$C$7:$C$2738,A81,選手一覧!$G$7:$G$2738,"&lt;=100")</f>
        <v>0</v>
      </c>
      <c r="F81" s="14" t="n">
        <f aca="false">COUNTIFS(選手一覧!$C$7:$C$2738,A81,選手一覧!$I$7:$I$2738,"&lt;=100")</f>
        <v>1</v>
      </c>
      <c r="G81" s="13" t="n">
        <f aca="false">_xlfn.MINIFS(選手一覧!$K$7:$K$2738,選手一覧!$C$7:$C$2738,A81)</f>
        <v>14</v>
      </c>
      <c r="H81" s="10" t="s">
        <v>3939</v>
      </c>
    </row>
    <row r="82" customFormat="false" ht="15" hidden="false" customHeight="false" outlineLevel="0" collapsed="false">
      <c r="A82" s="10" t="s">
        <v>147</v>
      </c>
      <c r="B82" s="12" t="n">
        <f aca="false">COUNTIF(選手一覧!$C$7:$C$2738,A82)</f>
        <v>6</v>
      </c>
      <c r="C82" s="14" t="n">
        <f aca="false">COUNTIFS(選手一覧!$C$7:$C$2738,A82,選手一覧!$K$7:$K$2738,"&lt;=100")</f>
        <v>1</v>
      </c>
      <c r="D82" s="14" t="n">
        <f aca="false">COUNTIFS(選手一覧!$C$7:$C$2738,A82,選手一覧!$E$7:$E$2738,"&lt;=100")</f>
        <v>1</v>
      </c>
      <c r="E82" s="14" t="n">
        <f aca="false">COUNTIFS(選手一覧!$C$7:$C$2738,A82,選手一覧!$G$7:$G$2738,"&lt;=100")</f>
        <v>0</v>
      </c>
      <c r="F82" s="14" t="n">
        <f aca="false">COUNTIFS(選手一覧!$C$7:$C$2738,A82,選手一覧!$I$7:$I$2738,"&lt;=100")</f>
        <v>1</v>
      </c>
      <c r="G82" s="13" t="n">
        <f aca="false">_xlfn.MINIFS(選手一覧!$K$7:$K$2738,選手一覧!$C$7:$C$2738,A82)</f>
        <v>28</v>
      </c>
      <c r="H82" s="10" t="s">
        <v>3940</v>
      </c>
    </row>
    <row r="83" customFormat="false" ht="15" hidden="false" customHeight="false" outlineLevel="0" collapsed="false">
      <c r="A83" s="10" t="s">
        <v>213</v>
      </c>
      <c r="B83" s="12" t="n">
        <f aca="false">COUNTIF(選手一覧!$C$7:$C$2738,A83)</f>
        <v>6</v>
      </c>
      <c r="C83" s="14" t="n">
        <f aca="false">COUNTIFS(選手一覧!$C$7:$C$2738,A83,選手一覧!$K$7:$K$2738,"&lt;=100")</f>
        <v>1</v>
      </c>
      <c r="D83" s="14" t="n">
        <f aca="false">COUNTIFS(選手一覧!$C$7:$C$2738,A83,選手一覧!$E$7:$E$2738,"&lt;=100")</f>
        <v>0</v>
      </c>
      <c r="E83" s="14" t="n">
        <f aca="false">COUNTIFS(選手一覧!$C$7:$C$2738,A83,選手一覧!$G$7:$G$2738,"&lt;=100")</f>
        <v>1</v>
      </c>
      <c r="F83" s="14" t="n">
        <f aca="false">COUNTIFS(選手一覧!$C$7:$C$2738,A83,選手一覧!$I$7:$I$2738,"&lt;=100")</f>
        <v>0</v>
      </c>
      <c r="G83" s="13" t="n">
        <f aca="false">_xlfn.MINIFS(選手一覧!$K$7:$K$2738,選手一覧!$C$7:$C$2738,A83)</f>
        <v>42</v>
      </c>
      <c r="H83" s="10" t="s">
        <v>3941</v>
      </c>
    </row>
    <row r="84" customFormat="false" ht="15" hidden="false" customHeight="false" outlineLevel="0" collapsed="false">
      <c r="A84" s="10" t="s">
        <v>279</v>
      </c>
      <c r="B84" s="12" t="n">
        <f aca="false">COUNTIF(選手一覧!$C$7:$C$2738,A84)</f>
        <v>6</v>
      </c>
      <c r="C84" s="14" t="n">
        <f aca="false">COUNTIFS(選手一覧!$C$7:$C$2738,A84,選手一覧!$K$7:$K$2738,"&lt;=100")</f>
        <v>1</v>
      </c>
      <c r="D84" s="14" t="n">
        <f aca="false">COUNTIFS(選手一覧!$C$7:$C$2738,A84,選手一覧!$E$7:$E$2738,"&lt;=100")</f>
        <v>0</v>
      </c>
      <c r="E84" s="14" t="n">
        <f aca="false">COUNTIFS(選手一覧!$C$7:$C$2738,A84,選手一覧!$G$7:$G$2738,"&lt;=100")</f>
        <v>1</v>
      </c>
      <c r="F84" s="14" t="n">
        <f aca="false">COUNTIFS(選手一覧!$C$7:$C$2738,A84,選手一覧!$I$7:$I$2738,"&lt;=100")</f>
        <v>0</v>
      </c>
      <c r="G84" s="13" t="n">
        <f aca="false">_xlfn.MINIFS(選手一覧!$K$7:$K$2738,選手一覧!$C$7:$C$2738,A84)</f>
        <v>62</v>
      </c>
      <c r="H84" s="10" t="s">
        <v>3942</v>
      </c>
    </row>
    <row r="85" customFormat="false" ht="15" hidden="false" customHeight="false" outlineLevel="0" collapsed="false">
      <c r="A85" s="10" t="s">
        <v>309</v>
      </c>
      <c r="B85" s="12" t="n">
        <f aca="false">COUNTIF(選手一覧!$C$7:$C$2738,A85)</f>
        <v>6</v>
      </c>
      <c r="C85" s="14" t="n">
        <f aca="false">COUNTIFS(選手一覧!$C$7:$C$2738,A85,選手一覧!$K$7:$K$2738,"&lt;=100")</f>
        <v>1</v>
      </c>
      <c r="D85" s="14" t="n">
        <f aca="false">COUNTIFS(選手一覧!$C$7:$C$2738,A85,選手一覧!$E$7:$E$2738,"&lt;=100")</f>
        <v>0</v>
      </c>
      <c r="E85" s="14" t="n">
        <f aca="false">COUNTIFS(選手一覧!$C$7:$C$2738,A85,選手一覧!$G$7:$G$2738,"&lt;=100")</f>
        <v>1</v>
      </c>
      <c r="F85" s="14" t="n">
        <f aca="false">COUNTIFS(選手一覧!$C$7:$C$2738,A85,選手一覧!$I$7:$I$2738,"&lt;=100")</f>
        <v>0</v>
      </c>
      <c r="G85" s="13" t="n">
        <f aca="false">_xlfn.MINIFS(選手一覧!$K$7:$K$2738,選手一覧!$C$7:$C$2738,A85)</f>
        <v>71</v>
      </c>
      <c r="H85" s="10" t="s">
        <v>3943</v>
      </c>
    </row>
    <row r="86" customFormat="false" ht="15" hidden="false" customHeight="false" outlineLevel="0" collapsed="false">
      <c r="A86" s="10" t="s">
        <v>317</v>
      </c>
      <c r="B86" s="12" t="n">
        <f aca="false">COUNTIF(選手一覧!$C$7:$C$2738,A86)</f>
        <v>6</v>
      </c>
      <c r="C86" s="14" t="n">
        <f aca="false">COUNTIFS(選手一覧!$C$7:$C$2738,A86,選手一覧!$K$7:$K$2738,"&lt;=100")</f>
        <v>1</v>
      </c>
      <c r="D86" s="14" t="n">
        <f aca="false">COUNTIFS(選手一覧!$C$7:$C$2738,A86,選手一覧!$E$7:$E$2738,"&lt;=100")</f>
        <v>0</v>
      </c>
      <c r="E86" s="14" t="n">
        <f aca="false">COUNTIFS(選手一覧!$C$7:$C$2738,A86,選手一覧!$G$7:$G$2738,"&lt;=100")</f>
        <v>1</v>
      </c>
      <c r="F86" s="14" t="n">
        <f aca="false">COUNTIFS(選手一覧!$C$7:$C$2738,A86,選手一覧!$I$7:$I$2738,"&lt;=100")</f>
        <v>0</v>
      </c>
      <c r="G86" s="13" t="n">
        <f aca="false">_xlfn.MINIFS(選手一覧!$K$7:$K$2738,選手一覧!$C$7:$C$2738,A86)</f>
        <v>73</v>
      </c>
      <c r="H86" s="10" t="s">
        <v>3944</v>
      </c>
    </row>
    <row r="87" customFormat="false" ht="15" hidden="false" customHeight="false" outlineLevel="0" collapsed="false">
      <c r="A87" s="10" t="s">
        <v>363</v>
      </c>
      <c r="B87" s="12" t="n">
        <f aca="false">COUNTIF(選手一覧!$C$7:$C$2738,A87)</f>
        <v>6</v>
      </c>
      <c r="C87" s="14" t="n">
        <f aca="false">COUNTIFS(選手一覧!$C$7:$C$2738,A87,選手一覧!$K$7:$K$2738,"&lt;=100")</f>
        <v>1</v>
      </c>
      <c r="D87" s="14" t="n">
        <f aca="false">COUNTIFS(選手一覧!$C$7:$C$2738,A87,選手一覧!$E$7:$E$2738,"&lt;=100")</f>
        <v>0</v>
      </c>
      <c r="E87" s="14" t="n">
        <f aca="false">COUNTIFS(選手一覧!$C$7:$C$2738,A87,選手一覧!$G$7:$G$2738,"&lt;=100")</f>
        <v>0</v>
      </c>
      <c r="F87" s="14" t="n">
        <f aca="false">COUNTIFS(選手一覧!$C$7:$C$2738,A87,選手一覧!$I$7:$I$2738,"&lt;=100")</f>
        <v>1</v>
      </c>
      <c r="G87" s="13" t="n">
        <f aca="false">_xlfn.MINIFS(選手一覧!$K$7:$K$2738,選手一覧!$C$7:$C$2738,A87)</f>
        <v>89</v>
      </c>
      <c r="H87" s="10" t="s">
        <v>3945</v>
      </c>
    </row>
    <row r="88" customFormat="false" ht="15" hidden="false" customHeight="false" outlineLevel="0" collapsed="false">
      <c r="A88" s="10" t="s">
        <v>380</v>
      </c>
      <c r="B88" s="12" t="n">
        <f aca="false">COUNTIF(選手一覧!$C$7:$C$2738,A88)</f>
        <v>6</v>
      </c>
      <c r="C88" s="14" t="n">
        <f aca="false">COUNTIFS(選手一覧!$C$7:$C$2738,A88,選手一覧!$K$7:$K$2738,"&lt;=100")</f>
        <v>1</v>
      </c>
      <c r="D88" s="14" t="n">
        <f aca="false">COUNTIFS(選手一覧!$C$7:$C$2738,A88,選手一覧!$E$7:$E$2738,"&lt;=100")</f>
        <v>1</v>
      </c>
      <c r="E88" s="14" t="n">
        <f aca="false">COUNTIFS(選手一覧!$C$7:$C$2738,A88,選手一覧!$G$7:$G$2738,"&lt;=100")</f>
        <v>0</v>
      </c>
      <c r="F88" s="14" t="n">
        <f aca="false">COUNTIFS(選手一覧!$C$7:$C$2738,A88,選手一覧!$I$7:$I$2738,"&lt;=100")</f>
        <v>0</v>
      </c>
      <c r="G88" s="13" t="n">
        <f aca="false">_xlfn.MINIFS(選手一覧!$K$7:$K$2738,選手一覧!$C$7:$C$2738,A88)</f>
        <v>94</v>
      </c>
      <c r="H88" s="10" t="s">
        <v>3946</v>
      </c>
    </row>
    <row r="89" customFormat="false" ht="15" hidden="false" customHeight="false" outlineLevel="0" collapsed="false">
      <c r="A89" s="10" t="s">
        <v>116</v>
      </c>
      <c r="B89" s="12" t="n">
        <f aca="false">COUNTIF(選手一覧!$C$7:$C$2738,A89)</f>
        <v>5</v>
      </c>
      <c r="C89" s="14" t="n">
        <f aca="false">COUNTIFS(選手一覧!$C$7:$C$2738,A89,選手一覧!$K$7:$K$2738,"&lt;=100")</f>
        <v>1</v>
      </c>
      <c r="D89" s="14" t="n">
        <f aca="false">COUNTIFS(選手一覧!$C$7:$C$2738,A89,選手一覧!$E$7:$E$2738,"&lt;=100")</f>
        <v>1</v>
      </c>
      <c r="E89" s="14" t="n">
        <f aca="false">COUNTIFS(選手一覧!$C$7:$C$2738,A89,選手一覧!$G$7:$G$2738,"&lt;=100")</f>
        <v>0</v>
      </c>
      <c r="F89" s="14" t="n">
        <f aca="false">COUNTIFS(選手一覧!$C$7:$C$2738,A89,選手一覧!$I$7:$I$2738,"&lt;=100")</f>
        <v>1</v>
      </c>
      <c r="G89" s="13" t="n">
        <f aca="false">_xlfn.MINIFS(選手一覧!$K$7:$K$2738,選手一覧!$C$7:$C$2738,A89)</f>
        <v>21</v>
      </c>
      <c r="H89" s="10" t="s">
        <v>3947</v>
      </c>
    </row>
    <row r="90" customFormat="false" ht="15" hidden="false" customHeight="false" outlineLevel="0" collapsed="false">
      <c r="A90" s="10" t="s">
        <v>130</v>
      </c>
      <c r="B90" s="12" t="n">
        <f aca="false">COUNTIF(選手一覧!$C$7:$C$2738,A90)</f>
        <v>5</v>
      </c>
      <c r="C90" s="14" t="n">
        <f aca="false">COUNTIFS(選手一覧!$C$7:$C$2738,A90,選手一覧!$K$7:$K$2738,"&lt;=100")</f>
        <v>1</v>
      </c>
      <c r="D90" s="14" t="n">
        <f aca="false">COUNTIFS(選手一覧!$C$7:$C$2738,A90,選手一覧!$E$7:$E$2738,"&lt;=100")</f>
        <v>1</v>
      </c>
      <c r="E90" s="14" t="n">
        <f aca="false">COUNTIFS(選手一覧!$C$7:$C$2738,A90,選手一覧!$G$7:$G$2738,"&lt;=100")</f>
        <v>0</v>
      </c>
      <c r="F90" s="14" t="n">
        <f aca="false">COUNTIFS(選手一覧!$C$7:$C$2738,A90,選手一覧!$I$7:$I$2738,"&lt;=100")</f>
        <v>0</v>
      </c>
      <c r="G90" s="13" t="n">
        <f aca="false">_xlfn.MINIFS(選手一覧!$K$7:$K$2738,選手一覧!$C$7:$C$2738,A90)</f>
        <v>23</v>
      </c>
      <c r="H90" s="10" t="s">
        <v>3948</v>
      </c>
    </row>
    <row r="91" customFormat="false" ht="15" hidden="false" customHeight="false" outlineLevel="0" collapsed="false">
      <c r="A91" s="10" t="s">
        <v>139</v>
      </c>
      <c r="B91" s="12" t="n">
        <f aca="false">COUNTIF(選手一覧!$C$7:$C$2738,A91)</f>
        <v>5</v>
      </c>
      <c r="C91" s="14" t="n">
        <f aca="false">COUNTIFS(選手一覧!$C$7:$C$2738,A91,選手一覧!$K$7:$K$2738,"&lt;=100")</f>
        <v>1</v>
      </c>
      <c r="D91" s="14" t="n">
        <f aca="false">COUNTIFS(選手一覧!$C$7:$C$2738,A91,選手一覧!$E$7:$E$2738,"&lt;=100")</f>
        <v>0</v>
      </c>
      <c r="E91" s="14" t="n">
        <f aca="false">COUNTIFS(選手一覧!$C$7:$C$2738,A91,選手一覧!$G$7:$G$2738,"&lt;=100")</f>
        <v>0</v>
      </c>
      <c r="F91" s="14" t="n">
        <f aca="false">COUNTIFS(選手一覧!$C$7:$C$2738,A91,選手一覧!$I$7:$I$2738,"&lt;=100")</f>
        <v>1</v>
      </c>
      <c r="G91" s="13" t="n">
        <f aca="false">_xlfn.MINIFS(選手一覧!$K$7:$K$2738,選手一覧!$C$7:$C$2738,A91)</f>
        <v>26</v>
      </c>
      <c r="H91" s="10" t="s">
        <v>3949</v>
      </c>
    </row>
    <row r="92" customFormat="false" ht="15" hidden="false" customHeight="false" outlineLevel="0" collapsed="false">
      <c r="A92" s="10" t="s">
        <v>190</v>
      </c>
      <c r="B92" s="12" t="n">
        <f aca="false">COUNTIF(選手一覧!$C$7:$C$2738,A92)</f>
        <v>5</v>
      </c>
      <c r="C92" s="14" t="n">
        <f aca="false">COUNTIFS(選手一覧!$C$7:$C$2738,A92,選手一覧!$K$7:$K$2738,"&lt;=100")</f>
        <v>1</v>
      </c>
      <c r="D92" s="14" t="n">
        <f aca="false">COUNTIFS(選手一覧!$C$7:$C$2738,A92,選手一覧!$E$7:$E$2738,"&lt;=100")</f>
        <v>1</v>
      </c>
      <c r="E92" s="14" t="n">
        <f aca="false">COUNTIFS(選手一覧!$C$7:$C$2738,A92,選手一覧!$G$7:$G$2738,"&lt;=100")</f>
        <v>0</v>
      </c>
      <c r="F92" s="14" t="n">
        <f aca="false">COUNTIFS(選手一覧!$C$7:$C$2738,A92,選手一覧!$I$7:$I$2738,"&lt;=100")</f>
        <v>0</v>
      </c>
      <c r="G92" s="13" t="n">
        <f aca="false">_xlfn.MINIFS(選手一覧!$K$7:$K$2738,選手一覧!$C$7:$C$2738,A92)</f>
        <v>37</v>
      </c>
      <c r="H92" s="10" t="s">
        <v>3950</v>
      </c>
    </row>
    <row r="93" customFormat="false" ht="15" hidden="false" customHeight="false" outlineLevel="0" collapsed="false">
      <c r="A93" s="10" t="s">
        <v>215</v>
      </c>
      <c r="B93" s="12" t="n">
        <f aca="false">COUNTIF(選手一覧!$C$7:$C$2738,A93)</f>
        <v>5</v>
      </c>
      <c r="C93" s="14" t="n">
        <f aca="false">COUNTIFS(選手一覧!$C$7:$C$2738,A93,選手一覧!$K$7:$K$2738,"&lt;=100")</f>
        <v>1</v>
      </c>
      <c r="D93" s="14" t="n">
        <f aca="false">COUNTIFS(選手一覧!$C$7:$C$2738,A93,選手一覧!$E$7:$E$2738,"&lt;=100")</f>
        <v>0</v>
      </c>
      <c r="E93" s="14" t="n">
        <f aca="false">COUNTIFS(選手一覧!$C$7:$C$2738,A93,選手一覧!$G$7:$G$2738,"&lt;=100")</f>
        <v>1</v>
      </c>
      <c r="F93" s="14" t="n">
        <f aca="false">COUNTIFS(選手一覧!$C$7:$C$2738,A93,選手一覧!$I$7:$I$2738,"&lt;=100")</f>
        <v>0</v>
      </c>
      <c r="G93" s="13" t="n">
        <f aca="false">_xlfn.MINIFS(選手一覧!$K$7:$K$2738,選手一覧!$C$7:$C$2738,A93)</f>
        <v>43</v>
      </c>
      <c r="H93" s="10" t="s">
        <v>3951</v>
      </c>
    </row>
    <row r="94" customFormat="false" ht="15" hidden="false" customHeight="false" outlineLevel="0" collapsed="false">
      <c r="A94" s="10" t="s">
        <v>257</v>
      </c>
      <c r="B94" s="12" t="n">
        <f aca="false">COUNTIF(選手一覧!$C$7:$C$2738,A94)</f>
        <v>5</v>
      </c>
      <c r="C94" s="14" t="n">
        <f aca="false">COUNTIFS(選手一覧!$C$7:$C$2738,A94,選手一覧!$K$7:$K$2738,"&lt;=100")</f>
        <v>1</v>
      </c>
      <c r="D94" s="14" t="n">
        <f aca="false">COUNTIFS(選手一覧!$C$7:$C$2738,A94,選手一覧!$E$7:$E$2738,"&lt;=100")</f>
        <v>1</v>
      </c>
      <c r="E94" s="14" t="n">
        <f aca="false">COUNTIFS(選手一覧!$C$7:$C$2738,A94,選手一覧!$G$7:$G$2738,"&lt;=100")</f>
        <v>0</v>
      </c>
      <c r="F94" s="14" t="n">
        <f aca="false">COUNTIFS(選手一覧!$C$7:$C$2738,A94,選手一覧!$I$7:$I$2738,"&lt;=100")</f>
        <v>0</v>
      </c>
      <c r="G94" s="13" t="n">
        <f aca="false">_xlfn.MINIFS(選手一覧!$K$7:$K$2738,選手一覧!$C$7:$C$2738,A94)</f>
        <v>55</v>
      </c>
      <c r="H94" s="10" t="s">
        <v>3952</v>
      </c>
    </row>
    <row r="95" customFormat="false" ht="15" hidden="false" customHeight="false" outlineLevel="0" collapsed="false">
      <c r="A95" s="10" t="s">
        <v>326</v>
      </c>
      <c r="B95" s="12" t="n">
        <f aca="false">COUNTIF(選手一覧!$C$7:$C$2738,A95)</f>
        <v>5</v>
      </c>
      <c r="C95" s="14" t="n">
        <f aca="false">COUNTIFS(選手一覧!$C$7:$C$2738,A95,選手一覧!$K$7:$K$2738,"&lt;=100")</f>
        <v>1</v>
      </c>
      <c r="D95" s="14" t="n">
        <f aca="false">COUNTIFS(選手一覧!$C$7:$C$2738,A95,選手一覧!$E$7:$E$2738,"&lt;=100")</f>
        <v>0</v>
      </c>
      <c r="E95" s="14" t="n">
        <f aca="false">COUNTIFS(選手一覧!$C$7:$C$2738,A95,選手一覧!$G$7:$G$2738,"&lt;=100")</f>
        <v>0</v>
      </c>
      <c r="F95" s="14" t="n">
        <f aca="false">COUNTIFS(選手一覧!$C$7:$C$2738,A95,選手一覧!$I$7:$I$2738,"&lt;=100")</f>
        <v>1</v>
      </c>
      <c r="G95" s="13" t="n">
        <f aca="false">_xlfn.MINIFS(選手一覧!$K$7:$K$2738,選手一覧!$C$7:$C$2738,A95)</f>
        <v>76</v>
      </c>
      <c r="H95" s="10" t="s">
        <v>3953</v>
      </c>
    </row>
    <row r="96" customFormat="false" ht="15" hidden="false" customHeight="false" outlineLevel="0" collapsed="false">
      <c r="A96" s="10" t="s">
        <v>348</v>
      </c>
      <c r="B96" s="12" t="n">
        <f aca="false">COUNTIF(選手一覧!$C$7:$C$2738,A96)</f>
        <v>5</v>
      </c>
      <c r="C96" s="14" t="n">
        <f aca="false">COUNTIFS(選手一覧!$C$7:$C$2738,A96,選手一覧!$K$7:$K$2738,"&lt;=100")</f>
        <v>1</v>
      </c>
      <c r="D96" s="14" t="n">
        <f aca="false">COUNTIFS(選手一覧!$C$7:$C$2738,A96,選手一覧!$E$7:$E$2738,"&lt;=100")</f>
        <v>0</v>
      </c>
      <c r="E96" s="14" t="n">
        <f aca="false">COUNTIFS(選手一覧!$C$7:$C$2738,A96,選手一覧!$G$7:$G$2738,"&lt;=100")</f>
        <v>0</v>
      </c>
      <c r="F96" s="14" t="n">
        <f aca="false">COUNTIFS(選手一覧!$C$7:$C$2738,A96,選手一覧!$I$7:$I$2738,"&lt;=100")</f>
        <v>1</v>
      </c>
      <c r="G96" s="13" t="n">
        <f aca="false">_xlfn.MINIFS(選手一覧!$K$7:$K$2738,選手一覧!$C$7:$C$2738,A96)</f>
        <v>83</v>
      </c>
      <c r="H96" s="10" t="s">
        <v>3954</v>
      </c>
    </row>
    <row r="97" customFormat="false" ht="15" hidden="false" customHeight="false" outlineLevel="0" collapsed="false">
      <c r="A97" s="10" t="s">
        <v>34</v>
      </c>
      <c r="B97" s="12" t="n">
        <f aca="false">COUNTIF(選手一覧!$C$7:$C$2738,A97)</f>
        <v>4</v>
      </c>
      <c r="C97" s="14" t="n">
        <f aca="false">COUNTIFS(選手一覧!$C$7:$C$2738,A97,選手一覧!$K$7:$K$2738,"&lt;=100")</f>
        <v>1</v>
      </c>
      <c r="D97" s="14" t="n">
        <f aca="false">COUNTIFS(選手一覧!$C$7:$C$2738,A97,選手一覧!$E$7:$E$2738,"&lt;=100")</f>
        <v>0</v>
      </c>
      <c r="E97" s="14" t="n">
        <f aca="false">COUNTIFS(選手一覧!$C$7:$C$2738,A97,選手一覧!$G$7:$G$2738,"&lt;=100")</f>
        <v>1</v>
      </c>
      <c r="F97" s="14" t="n">
        <f aca="false">COUNTIFS(選手一覧!$C$7:$C$2738,A97,選手一覧!$I$7:$I$2738,"&lt;=100")</f>
        <v>1</v>
      </c>
      <c r="G97" s="13" t="n">
        <f aca="false">_xlfn.MINIFS(選手一覧!$K$7:$K$2738,選手一覧!$C$7:$C$2738,A97)</f>
        <v>4</v>
      </c>
      <c r="H97" s="10" t="s">
        <v>3955</v>
      </c>
    </row>
    <row r="98" customFormat="false" ht="15" hidden="false" customHeight="false" outlineLevel="0" collapsed="false">
      <c r="A98" s="10" t="s">
        <v>136</v>
      </c>
      <c r="B98" s="12" t="n">
        <f aca="false">COUNTIF(選手一覧!$C$7:$C$2738,A98)</f>
        <v>4</v>
      </c>
      <c r="C98" s="14" t="n">
        <f aca="false">COUNTIFS(選手一覧!$C$7:$C$2738,A98,選手一覧!$K$7:$K$2738,"&lt;=100")</f>
        <v>1</v>
      </c>
      <c r="D98" s="14" t="n">
        <f aca="false">COUNTIFS(選手一覧!$C$7:$C$2738,A98,選手一覧!$E$7:$E$2738,"&lt;=100")</f>
        <v>0</v>
      </c>
      <c r="E98" s="14" t="n">
        <f aca="false">COUNTIFS(選手一覧!$C$7:$C$2738,A98,選手一覧!$G$7:$G$2738,"&lt;=100")</f>
        <v>1</v>
      </c>
      <c r="F98" s="14" t="n">
        <f aca="false">COUNTIFS(選手一覧!$C$7:$C$2738,A98,選手一覧!$I$7:$I$2738,"&lt;=100")</f>
        <v>0</v>
      </c>
      <c r="G98" s="13" t="n">
        <f aca="false">_xlfn.MINIFS(選手一覧!$K$7:$K$2738,選手一覧!$C$7:$C$2738,A98)</f>
        <v>25</v>
      </c>
      <c r="H98" s="10" t="s">
        <v>3956</v>
      </c>
    </row>
    <row r="99" customFormat="false" ht="15" hidden="false" customHeight="false" outlineLevel="0" collapsed="false">
      <c r="A99" s="10" t="s">
        <v>162</v>
      </c>
      <c r="B99" s="12" t="n">
        <f aca="false">COUNTIF(選手一覧!$C$7:$C$2738,A99)</f>
        <v>4</v>
      </c>
      <c r="C99" s="14" t="n">
        <f aca="false">COUNTIFS(選手一覧!$C$7:$C$2738,A99,選手一覧!$K$7:$K$2738,"&lt;=100")</f>
        <v>1</v>
      </c>
      <c r="D99" s="14" t="n">
        <f aca="false">COUNTIFS(選手一覧!$C$7:$C$2738,A99,選手一覧!$E$7:$E$2738,"&lt;=100")</f>
        <v>0</v>
      </c>
      <c r="E99" s="14" t="n">
        <f aca="false">COUNTIFS(選手一覧!$C$7:$C$2738,A99,選手一覧!$G$7:$G$2738,"&lt;=100")</f>
        <v>1</v>
      </c>
      <c r="F99" s="14" t="n">
        <f aca="false">COUNTIFS(選手一覧!$C$7:$C$2738,A99,選手一覧!$I$7:$I$2738,"&lt;=100")</f>
        <v>1</v>
      </c>
      <c r="G99" s="13" t="n">
        <f aca="false">_xlfn.MINIFS(選手一覧!$K$7:$K$2738,選手一覧!$C$7:$C$2738,A99)</f>
        <v>32</v>
      </c>
      <c r="H99" s="10" t="s">
        <v>3957</v>
      </c>
    </row>
    <row r="100" customFormat="false" ht="15" hidden="false" customHeight="false" outlineLevel="0" collapsed="false">
      <c r="A100" s="10" t="s">
        <v>183</v>
      </c>
      <c r="B100" s="12" t="n">
        <f aca="false">COUNTIF(選手一覧!$C$7:$C$2738,A100)</f>
        <v>4</v>
      </c>
      <c r="C100" s="14" t="n">
        <f aca="false">COUNTIFS(選手一覧!$C$7:$C$2738,A100,選手一覧!$K$7:$K$2738,"&lt;=100")</f>
        <v>1</v>
      </c>
      <c r="D100" s="14" t="n">
        <f aca="false">COUNTIFS(選手一覧!$C$7:$C$2738,A100,選手一覧!$E$7:$E$2738,"&lt;=100")</f>
        <v>0</v>
      </c>
      <c r="E100" s="14" t="n">
        <f aca="false">COUNTIFS(選手一覧!$C$7:$C$2738,A100,選手一覧!$G$7:$G$2738,"&lt;=100")</f>
        <v>1</v>
      </c>
      <c r="F100" s="14" t="n">
        <f aca="false">COUNTIFS(選手一覧!$C$7:$C$2738,A100,選手一覧!$I$7:$I$2738,"&lt;=100")</f>
        <v>0</v>
      </c>
      <c r="G100" s="13" t="n">
        <f aca="false">_xlfn.MINIFS(選手一覧!$K$7:$K$2738,選手一覧!$C$7:$C$2738,A100)</f>
        <v>36</v>
      </c>
      <c r="H100" s="10" t="s">
        <v>3958</v>
      </c>
    </row>
    <row r="101" customFormat="false" ht="15" hidden="false" customHeight="false" outlineLevel="0" collapsed="false">
      <c r="A101" s="10" t="s">
        <v>201</v>
      </c>
      <c r="B101" s="12" t="n">
        <f aca="false">COUNTIF(選手一覧!$C$7:$C$2738,A101)</f>
        <v>4</v>
      </c>
      <c r="C101" s="14" t="n">
        <f aca="false">COUNTIFS(選手一覧!$C$7:$C$2738,A101,選手一覧!$K$7:$K$2738,"&lt;=100")</f>
        <v>1</v>
      </c>
      <c r="D101" s="14" t="n">
        <f aca="false">COUNTIFS(選手一覧!$C$7:$C$2738,A101,選手一覧!$E$7:$E$2738,"&lt;=100")</f>
        <v>0</v>
      </c>
      <c r="E101" s="14" t="n">
        <f aca="false">COUNTIFS(選手一覧!$C$7:$C$2738,A101,選手一覧!$G$7:$G$2738,"&lt;=100")</f>
        <v>1</v>
      </c>
      <c r="F101" s="14" t="n">
        <f aca="false">COUNTIFS(選手一覧!$C$7:$C$2738,A101,選手一覧!$I$7:$I$2738,"&lt;=100")</f>
        <v>0</v>
      </c>
      <c r="G101" s="13" t="n">
        <f aca="false">_xlfn.MINIFS(選手一覧!$K$7:$K$2738,選手一覧!$C$7:$C$2738,A101)</f>
        <v>40</v>
      </c>
      <c r="H101" s="10" t="s">
        <v>3959</v>
      </c>
    </row>
    <row r="102" customFormat="false" ht="15" hidden="false" customHeight="false" outlineLevel="0" collapsed="false">
      <c r="A102" s="10" t="s">
        <v>218</v>
      </c>
      <c r="B102" s="12" t="n">
        <f aca="false">COUNTIF(選手一覧!$C$7:$C$2738,A102)</f>
        <v>4</v>
      </c>
      <c r="C102" s="14" t="n">
        <f aca="false">COUNTIFS(選手一覧!$C$7:$C$2738,A102,選手一覧!$K$7:$K$2738,"&lt;=100")</f>
        <v>1</v>
      </c>
      <c r="D102" s="14" t="n">
        <f aca="false">COUNTIFS(選手一覧!$C$7:$C$2738,A102,選手一覧!$E$7:$E$2738,"&lt;=100")</f>
        <v>0</v>
      </c>
      <c r="E102" s="14" t="n">
        <f aca="false">COUNTIFS(選手一覧!$C$7:$C$2738,A102,選手一覧!$G$7:$G$2738,"&lt;=100")</f>
        <v>0</v>
      </c>
      <c r="F102" s="14" t="n">
        <f aca="false">COUNTIFS(選手一覧!$C$7:$C$2738,A102,選手一覧!$I$7:$I$2738,"&lt;=100")</f>
        <v>1</v>
      </c>
      <c r="G102" s="13" t="n">
        <f aca="false">_xlfn.MINIFS(選手一覧!$K$7:$K$2738,選手一覧!$C$7:$C$2738,A102)</f>
        <v>43</v>
      </c>
      <c r="H102" s="10" t="s">
        <v>3960</v>
      </c>
    </row>
    <row r="103" customFormat="false" ht="15" hidden="false" customHeight="false" outlineLevel="0" collapsed="false">
      <c r="A103" s="10" t="s">
        <v>234</v>
      </c>
      <c r="B103" s="12" t="n">
        <f aca="false">COUNTIF(選手一覧!$C$7:$C$2738,A103)</f>
        <v>4</v>
      </c>
      <c r="C103" s="14" t="n">
        <f aca="false">COUNTIFS(選手一覧!$C$7:$C$2738,A103,選手一覧!$K$7:$K$2738,"&lt;=100")</f>
        <v>1</v>
      </c>
      <c r="D103" s="14" t="n">
        <f aca="false">COUNTIFS(選手一覧!$C$7:$C$2738,A103,選手一覧!$E$7:$E$2738,"&lt;=100")</f>
        <v>1</v>
      </c>
      <c r="E103" s="14" t="n">
        <f aca="false">COUNTIFS(選手一覧!$C$7:$C$2738,A103,選手一覧!$G$7:$G$2738,"&lt;=100")</f>
        <v>0</v>
      </c>
      <c r="F103" s="14" t="n">
        <f aca="false">COUNTIFS(選手一覧!$C$7:$C$2738,A103,選手一覧!$I$7:$I$2738,"&lt;=100")</f>
        <v>0</v>
      </c>
      <c r="G103" s="13" t="n">
        <f aca="false">_xlfn.MINIFS(選手一覧!$K$7:$K$2738,選手一覧!$C$7:$C$2738,A103)</f>
        <v>48</v>
      </c>
      <c r="H103" s="10" t="s">
        <v>3961</v>
      </c>
    </row>
    <row r="104" customFormat="false" ht="15" hidden="false" customHeight="false" outlineLevel="0" collapsed="false">
      <c r="A104" s="10" t="s">
        <v>288</v>
      </c>
      <c r="B104" s="12" t="n">
        <f aca="false">COUNTIF(選手一覧!$C$7:$C$2738,A104)</f>
        <v>4</v>
      </c>
      <c r="C104" s="14" t="n">
        <f aca="false">COUNTIFS(選手一覧!$C$7:$C$2738,A104,選手一覧!$K$7:$K$2738,"&lt;=100")</f>
        <v>1</v>
      </c>
      <c r="D104" s="14" t="n">
        <f aca="false">COUNTIFS(選手一覧!$C$7:$C$2738,A104,選手一覧!$E$7:$E$2738,"&lt;=100")</f>
        <v>0</v>
      </c>
      <c r="E104" s="14" t="n">
        <f aca="false">COUNTIFS(選手一覧!$C$7:$C$2738,A104,選手一覧!$G$7:$G$2738,"&lt;=100")</f>
        <v>1</v>
      </c>
      <c r="F104" s="14" t="n">
        <f aca="false">COUNTIFS(選手一覧!$C$7:$C$2738,A104,選手一覧!$I$7:$I$2738,"&lt;=100")</f>
        <v>0</v>
      </c>
      <c r="G104" s="13" t="n">
        <f aca="false">_xlfn.MINIFS(選手一覧!$K$7:$K$2738,選手一覧!$C$7:$C$2738,A104)</f>
        <v>64</v>
      </c>
      <c r="H104" s="10" t="s">
        <v>3962</v>
      </c>
    </row>
    <row r="105" customFormat="false" ht="15" hidden="false" customHeight="false" outlineLevel="0" collapsed="false">
      <c r="A105" s="10" t="s">
        <v>399</v>
      </c>
      <c r="B105" s="12" t="n">
        <f aca="false">COUNTIF(選手一覧!$C$7:$C$2738,A105)</f>
        <v>4</v>
      </c>
      <c r="C105" s="14" t="n">
        <f aca="false">COUNTIFS(選手一覧!$C$7:$C$2738,A105,選手一覧!$K$7:$K$2738,"&lt;=100")</f>
        <v>1</v>
      </c>
      <c r="D105" s="14" t="n">
        <f aca="false">COUNTIFS(選手一覧!$C$7:$C$2738,A105,選手一覧!$E$7:$E$2738,"&lt;=100")</f>
        <v>0</v>
      </c>
      <c r="E105" s="14" t="n">
        <f aca="false">COUNTIFS(選手一覧!$C$7:$C$2738,A105,選手一覧!$G$7:$G$2738,"&lt;=100")</f>
        <v>0</v>
      </c>
      <c r="F105" s="14" t="n">
        <f aca="false">COUNTIFS(選手一覧!$C$7:$C$2738,A105,選手一覧!$I$7:$I$2738,"&lt;=100")</f>
        <v>1</v>
      </c>
      <c r="G105" s="13" t="n">
        <f aca="false">_xlfn.MINIFS(選手一覧!$K$7:$K$2738,選手一覧!$C$7:$C$2738,A105)</f>
        <v>99</v>
      </c>
      <c r="H105" s="10" t="s">
        <v>3963</v>
      </c>
    </row>
    <row r="106" customFormat="false" ht="15" hidden="false" customHeight="false" outlineLevel="0" collapsed="false">
      <c r="A106" s="10" t="s">
        <v>81</v>
      </c>
      <c r="B106" s="12" t="n">
        <f aca="false">COUNTIF(選手一覧!$C$7:$C$2738,A106)</f>
        <v>3</v>
      </c>
      <c r="C106" s="14" t="n">
        <f aca="false">COUNTIFS(選手一覧!$C$7:$C$2738,A106,選手一覧!$K$7:$K$2738,"&lt;=100")</f>
        <v>1</v>
      </c>
      <c r="D106" s="14" t="n">
        <f aca="false">COUNTIFS(選手一覧!$C$7:$C$2738,A106,選手一覧!$E$7:$E$2738,"&lt;=100")</f>
        <v>0</v>
      </c>
      <c r="E106" s="14" t="n">
        <f aca="false">COUNTIFS(選手一覧!$C$7:$C$2738,A106,選手一覧!$G$7:$G$2738,"&lt;=100")</f>
        <v>1</v>
      </c>
      <c r="F106" s="14" t="n">
        <f aca="false">COUNTIFS(選手一覧!$C$7:$C$2738,A106,選手一覧!$I$7:$I$2738,"&lt;=100")</f>
        <v>1</v>
      </c>
      <c r="G106" s="13" t="n">
        <f aca="false">_xlfn.MINIFS(選手一覧!$K$7:$K$2738,選手一覧!$C$7:$C$2738,A106)</f>
        <v>14</v>
      </c>
      <c r="H106" s="10" t="s">
        <v>3964</v>
      </c>
    </row>
    <row r="107" customFormat="false" ht="15" hidden="false" customHeight="false" outlineLevel="0" collapsed="false">
      <c r="A107" s="10" t="s">
        <v>93</v>
      </c>
      <c r="B107" s="12" t="n">
        <f aca="false">COUNTIF(選手一覧!$C$7:$C$2738,A107)</f>
        <v>3</v>
      </c>
      <c r="C107" s="14" t="n">
        <f aca="false">COUNTIFS(選手一覧!$C$7:$C$2738,A107,選手一覧!$K$7:$K$2738,"&lt;=100")</f>
        <v>1</v>
      </c>
      <c r="D107" s="14" t="n">
        <f aca="false">COUNTIFS(選手一覧!$C$7:$C$2738,A107,選手一覧!$E$7:$E$2738,"&lt;=100")</f>
        <v>1</v>
      </c>
      <c r="E107" s="14" t="n">
        <f aca="false">COUNTIFS(選手一覧!$C$7:$C$2738,A107,選手一覧!$G$7:$G$2738,"&lt;=100")</f>
        <v>0</v>
      </c>
      <c r="F107" s="14" t="n">
        <f aca="false">COUNTIFS(選手一覧!$C$7:$C$2738,A107,選手一覧!$I$7:$I$2738,"&lt;=100")</f>
        <v>1</v>
      </c>
      <c r="G107" s="13" t="n">
        <f aca="false">_xlfn.MINIFS(選手一覧!$K$7:$K$2738,選手一覧!$C$7:$C$2738,A107)</f>
        <v>16</v>
      </c>
      <c r="H107" s="10" t="s">
        <v>3965</v>
      </c>
    </row>
    <row r="108" customFormat="false" ht="15" hidden="false" customHeight="false" outlineLevel="0" collapsed="false">
      <c r="A108" s="10" t="s">
        <v>128</v>
      </c>
      <c r="B108" s="12" t="n">
        <f aca="false">COUNTIF(選手一覧!$C$7:$C$2738,A108)</f>
        <v>3</v>
      </c>
      <c r="C108" s="14" t="n">
        <f aca="false">COUNTIFS(選手一覧!$C$7:$C$2738,A108,選手一覧!$K$7:$K$2738,"&lt;=100")</f>
        <v>1</v>
      </c>
      <c r="D108" s="14" t="n">
        <f aca="false">COUNTIFS(選手一覧!$C$7:$C$2738,A108,選手一覧!$E$7:$E$2738,"&lt;=100")</f>
        <v>1</v>
      </c>
      <c r="E108" s="14" t="n">
        <f aca="false">COUNTIFS(選手一覧!$C$7:$C$2738,A108,選手一覧!$G$7:$G$2738,"&lt;=100")</f>
        <v>0</v>
      </c>
      <c r="F108" s="14" t="n">
        <f aca="false">COUNTIFS(選手一覧!$C$7:$C$2738,A108,選手一覧!$I$7:$I$2738,"&lt;=100")</f>
        <v>1</v>
      </c>
      <c r="G108" s="13" t="n">
        <f aca="false">_xlfn.MINIFS(選手一覧!$K$7:$K$2738,選手一覧!$C$7:$C$2738,A108)</f>
        <v>23</v>
      </c>
      <c r="H108" s="10" t="s">
        <v>3966</v>
      </c>
    </row>
    <row r="109" customFormat="false" ht="15" hidden="false" customHeight="false" outlineLevel="0" collapsed="false">
      <c r="A109" s="10" t="s">
        <v>188</v>
      </c>
      <c r="B109" s="12" t="n">
        <f aca="false">COUNTIF(選手一覧!$C$7:$C$2738,A109)</f>
        <v>3</v>
      </c>
      <c r="C109" s="14" t="n">
        <f aca="false">COUNTIFS(選手一覧!$C$7:$C$2738,A109,選手一覧!$K$7:$K$2738,"&lt;=100")</f>
        <v>1</v>
      </c>
      <c r="D109" s="14" t="n">
        <f aca="false">COUNTIFS(選手一覧!$C$7:$C$2738,A109,選手一覧!$E$7:$E$2738,"&lt;=100")</f>
        <v>0</v>
      </c>
      <c r="E109" s="14" t="n">
        <f aca="false">COUNTIFS(選手一覧!$C$7:$C$2738,A109,選手一覧!$G$7:$G$2738,"&lt;=100")</f>
        <v>1</v>
      </c>
      <c r="F109" s="14" t="n">
        <f aca="false">COUNTIFS(選手一覧!$C$7:$C$2738,A109,選手一覧!$I$7:$I$2738,"&lt;=100")</f>
        <v>0</v>
      </c>
      <c r="G109" s="13" t="n">
        <f aca="false">_xlfn.MINIFS(選手一覧!$K$7:$K$2738,選手一覧!$C$7:$C$2738,A109)</f>
        <v>37</v>
      </c>
      <c r="H109" s="10" t="s">
        <v>3967</v>
      </c>
    </row>
    <row r="110" customFormat="false" ht="15" hidden="false" customHeight="false" outlineLevel="0" collapsed="false">
      <c r="A110" s="10" t="s">
        <v>244</v>
      </c>
      <c r="B110" s="12" t="n">
        <f aca="false">COUNTIF(選手一覧!$C$7:$C$2738,A110)</f>
        <v>3</v>
      </c>
      <c r="C110" s="14" t="n">
        <f aca="false">COUNTIFS(選手一覧!$C$7:$C$2738,A110,選手一覧!$K$7:$K$2738,"&lt;=100")</f>
        <v>1</v>
      </c>
      <c r="D110" s="14" t="n">
        <f aca="false">COUNTIFS(選手一覧!$C$7:$C$2738,A110,選手一覧!$E$7:$E$2738,"&lt;=100")</f>
        <v>0</v>
      </c>
      <c r="E110" s="14" t="n">
        <f aca="false">COUNTIFS(選手一覧!$C$7:$C$2738,A110,選手一覧!$G$7:$G$2738,"&lt;=100")</f>
        <v>0</v>
      </c>
      <c r="F110" s="14" t="n">
        <f aca="false">COUNTIFS(選手一覧!$C$7:$C$2738,A110,選手一覧!$I$7:$I$2738,"&lt;=100")</f>
        <v>1</v>
      </c>
      <c r="G110" s="13" t="n">
        <f aca="false">_xlfn.MINIFS(選手一覧!$K$7:$K$2738,選手一覧!$C$7:$C$2738,A110)</f>
        <v>52</v>
      </c>
      <c r="H110" s="10" t="s">
        <v>3968</v>
      </c>
    </row>
    <row r="111" customFormat="false" ht="15" hidden="false" customHeight="false" outlineLevel="0" collapsed="false">
      <c r="A111" s="10" t="s">
        <v>246</v>
      </c>
      <c r="B111" s="12" t="n">
        <f aca="false">COUNTIF(選手一覧!$C$7:$C$2738,A111)</f>
        <v>3</v>
      </c>
      <c r="C111" s="14" t="n">
        <f aca="false">COUNTIFS(選手一覧!$C$7:$C$2738,A111,選手一覧!$K$7:$K$2738,"&lt;=100")</f>
        <v>1</v>
      </c>
      <c r="D111" s="14" t="n">
        <f aca="false">COUNTIFS(選手一覧!$C$7:$C$2738,A111,選手一覧!$E$7:$E$2738,"&lt;=100")</f>
        <v>0</v>
      </c>
      <c r="E111" s="14" t="n">
        <f aca="false">COUNTIFS(選手一覧!$C$7:$C$2738,A111,選手一覧!$G$7:$G$2738,"&lt;=100")</f>
        <v>1</v>
      </c>
      <c r="F111" s="14" t="n">
        <f aca="false">COUNTIFS(選手一覧!$C$7:$C$2738,A111,選手一覧!$I$7:$I$2738,"&lt;=100")</f>
        <v>0</v>
      </c>
      <c r="G111" s="13" t="n">
        <f aca="false">_xlfn.MINIFS(選手一覧!$K$7:$K$2738,選手一覧!$C$7:$C$2738,A111)</f>
        <v>52</v>
      </c>
      <c r="H111" s="10" t="s">
        <v>3969</v>
      </c>
    </row>
    <row r="112" customFormat="false" ht="15" hidden="false" customHeight="false" outlineLevel="0" collapsed="false">
      <c r="A112" s="10" t="s">
        <v>267</v>
      </c>
      <c r="B112" s="12" t="n">
        <f aca="false">COUNTIF(選手一覧!$C$7:$C$2738,A112)</f>
        <v>3</v>
      </c>
      <c r="C112" s="14" t="n">
        <f aca="false">COUNTIFS(選手一覧!$C$7:$C$2738,A112,選手一覧!$K$7:$K$2738,"&lt;=100")</f>
        <v>1</v>
      </c>
      <c r="D112" s="14" t="n">
        <f aca="false">COUNTIFS(選手一覧!$C$7:$C$2738,A112,選手一覧!$E$7:$E$2738,"&lt;=100")</f>
        <v>0</v>
      </c>
      <c r="E112" s="14" t="n">
        <f aca="false">COUNTIFS(選手一覧!$C$7:$C$2738,A112,選手一覧!$G$7:$G$2738,"&lt;=100")</f>
        <v>1</v>
      </c>
      <c r="F112" s="14" t="n">
        <f aca="false">COUNTIFS(選手一覧!$C$7:$C$2738,A112,選手一覧!$I$7:$I$2738,"&lt;=100")</f>
        <v>0</v>
      </c>
      <c r="G112" s="13" t="n">
        <f aca="false">_xlfn.MINIFS(選手一覧!$K$7:$K$2738,選手一覧!$C$7:$C$2738,A112)</f>
        <v>58</v>
      </c>
      <c r="H112" s="10" t="s">
        <v>3970</v>
      </c>
    </row>
    <row r="113" customFormat="false" ht="15" hidden="false" customHeight="false" outlineLevel="0" collapsed="false">
      <c r="A113" s="10" t="s">
        <v>295</v>
      </c>
      <c r="B113" s="12" t="n">
        <f aca="false">COUNTIF(選手一覧!$C$7:$C$2738,A113)</f>
        <v>3</v>
      </c>
      <c r="C113" s="14" t="n">
        <f aca="false">COUNTIFS(選手一覧!$C$7:$C$2738,A113,選手一覧!$K$7:$K$2738,"&lt;=100")</f>
        <v>1</v>
      </c>
      <c r="D113" s="14" t="n">
        <f aca="false">COUNTIFS(選手一覧!$C$7:$C$2738,A113,選手一覧!$E$7:$E$2738,"&lt;=100")</f>
        <v>0</v>
      </c>
      <c r="E113" s="14" t="n">
        <f aca="false">COUNTIFS(選手一覧!$C$7:$C$2738,A113,選手一覧!$G$7:$G$2738,"&lt;=100")</f>
        <v>0</v>
      </c>
      <c r="F113" s="14" t="n">
        <f aca="false">COUNTIFS(選手一覧!$C$7:$C$2738,A113,選手一覧!$I$7:$I$2738,"&lt;=100")</f>
        <v>1</v>
      </c>
      <c r="G113" s="13" t="n">
        <f aca="false">_xlfn.MINIFS(選手一覧!$K$7:$K$2738,選手一覧!$C$7:$C$2738,A113)</f>
        <v>67</v>
      </c>
      <c r="H113" s="10" t="s">
        <v>3971</v>
      </c>
    </row>
    <row r="114" customFormat="false" ht="15" hidden="false" customHeight="false" outlineLevel="0" collapsed="false">
      <c r="A114" s="10" t="s">
        <v>300</v>
      </c>
      <c r="B114" s="12" t="n">
        <f aca="false">COUNTIF(選手一覧!$C$7:$C$2738,A114)</f>
        <v>3</v>
      </c>
      <c r="C114" s="14" t="n">
        <f aca="false">COUNTIFS(選手一覧!$C$7:$C$2738,A114,選手一覧!$K$7:$K$2738,"&lt;=100")</f>
        <v>1</v>
      </c>
      <c r="D114" s="14" t="n">
        <f aca="false">COUNTIFS(選手一覧!$C$7:$C$2738,A114,選手一覧!$E$7:$E$2738,"&lt;=100")</f>
        <v>0</v>
      </c>
      <c r="E114" s="14" t="n">
        <f aca="false">COUNTIFS(選手一覧!$C$7:$C$2738,A114,選手一覧!$G$7:$G$2738,"&lt;=100")</f>
        <v>1</v>
      </c>
      <c r="F114" s="14" t="n">
        <f aca="false">COUNTIFS(選手一覧!$C$7:$C$2738,A114,選手一覧!$I$7:$I$2738,"&lt;=100")</f>
        <v>0</v>
      </c>
      <c r="G114" s="13" t="n">
        <f aca="false">_xlfn.MINIFS(選手一覧!$K$7:$K$2738,選手一覧!$C$7:$C$2738,A114)</f>
        <v>69</v>
      </c>
      <c r="H114" s="10" t="s">
        <v>3972</v>
      </c>
    </row>
    <row r="115" customFormat="false" ht="15" hidden="false" customHeight="false" outlineLevel="0" collapsed="false">
      <c r="A115" s="10" t="s">
        <v>341</v>
      </c>
      <c r="B115" s="12" t="n">
        <f aca="false">COUNTIF(選手一覧!$C$7:$C$2738,A115)</f>
        <v>3</v>
      </c>
      <c r="C115" s="14" t="n">
        <f aca="false">COUNTIFS(選手一覧!$C$7:$C$2738,A115,選手一覧!$K$7:$K$2738,"&lt;=100")</f>
        <v>1</v>
      </c>
      <c r="D115" s="14" t="n">
        <f aca="false">COUNTIFS(選手一覧!$C$7:$C$2738,A115,選手一覧!$E$7:$E$2738,"&lt;=100")</f>
        <v>0</v>
      </c>
      <c r="E115" s="14" t="n">
        <f aca="false">COUNTIFS(選手一覧!$C$7:$C$2738,A115,選手一覧!$G$7:$G$2738,"&lt;=100")</f>
        <v>1</v>
      </c>
      <c r="F115" s="14" t="n">
        <f aca="false">COUNTIFS(選手一覧!$C$7:$C$2738,A115,選手一覧!$I$7:$I$2738,"&lt;=100")</f>
        <v>0</v>
      </c>
      <c r="G115" s="13" t="n">
        <f aca="false">_xlfn.MINIFS(選手一覧!$K$7:$K$2738,選手一覧!$C$7:$C$2738,A115)</f>
        <v>81</v>
      </c>
      <c r="H115" s="10" t="s">
        <v>3973</v>
      </c>
    </row>
    <row r="116" customFormat="false" ht="15" hidden="false" customHeight="false" outlineLevel="0" collapsed="false">
      <c r="A116" s="10" t="s">
        <v>391</v>
      </c>
      <c r="B116" s="12" t="n">
        <f aca="false">COUNTIF(選手一覧!$C$7:$C$2738,A116)</f>
        <v>3</v>
      </c>
      <c r="C116" s="14" t="n">
        <f aca="false">COUNTIFS(選手一覧!$C$7:$C$2738,A116,選手一覧!$K$7:$K$2738,"&lt;=100")</f>
        <v>1</v>
      </c>
      <c r="D116" s="14" t="n">
        <f aca="false">COUNTIFS(選手一覧!$C$7:$C$2738,A116,選手一覧!$E$7:$E$2738,"&lt;=100")</f>
        <v>0</v>
      </c>
      <c r="E116" s="14" t="n">
        <f aca="false">COUNTIFS(選手一覧!$C$7:$C$2738,A116,選手一覧!$G$7:$G$2738,"&lt;=100")</f>
        <v>0</v>
      </c>
      <c r="F116" s="14" t="n">
        <f aca="false">COUNTIFS(選手一覧!$C$7:$C$2738,A116,選手一覧!$I$7:$I$2738,"&lt;=100")</f>
        <v>1</v>
      </c>
      <c r="G116" s="13" t="n">
        <f aca="false">_xlfn.MINIFS(選手一覧!$K$7:$K$2738,選手一覧!$C$7:$C$2738,A116)</f>
        <v>96</v>
      </c>
      <c r="H116" s="10" t="s">
        <v>3974</v>
      </c>
    </row>
    <row r="117" customFormat="false" ht="15" hidden="false" customHeight="false" outlineLevel="0" collapsed="false">
      <c r="A117" s="10" t="s">
        <v>393</v>
      </c>
      <c r="B117" s="12" t="n">
        <f aca="false">COUNTIF(選手一覧!$C$7:$C$2738,A117)</f>
        <v>3</v>
      </c>
      <c r="C117" s="14" t="n">
        <f aca="false">COUNTIFS(選手一覧!$C$7:$C$2738,A117,選手一覧!$K$7:$K$2738,"&lt;=100")</f>
        <v>1</v>
      </c>
      <c r="D117" s="14" t="n">
        <f aca="false">COUNTIFS(選手一覧!$C$7:$C$2738,A117,選手一覧!$E$7:$E$2738,"&lt;=100")</f>
        <v>0</v>
      </c>
      <c r="E117" s="14" t="n">
        <f aca="false">COUNTIFS(選手一覧!$C$7:$C$2738,A117,選手一覧!$G$7:$G$2738,"&lt;=100")</f>
        <v>1</v>
      </c>
      <c r="F117" s="14" t="n">
        <f aca="false">COUNTIFS(選手一覧!$C$7:$C$2738,A117,選手一覧!$I$7:$I$2738,"&lt;=100")</f>
        <v>0</v>
      </c>
      <c r="G117" s="13" t="n">
        <f aca="false">_xlfn.MINIFS(選手一覧!$K$7:$K$2738,選手一覧!$C$7:$C$2738,A117)</f>
        <v>97</v>
      </c>
      <c r="H117" s="10" t="s">
        <v>3975</v>
      </c>
    </row>
    <row r="118" customFormat="false" ht="15" hidden="false" customHeight="false" outlineLevel="0" collapsed="false">
      <c r="A118" s="10" t="s">
        <v>401</v>
      </c>
      <c r="B118" s="12" t="n">
        <f aca="false">COUNTIF(選手一覧!$C$7:$C$2738,A118)</f>
        <v>3</v>
      </c>
      <c r="C118" s="14" t="n">
        <f aca="false">COUNTIFS(選手一覧!$C$7:$C$2738,A118,選手一覧!$K$7:$K$2738,"&lt;=100")</f>
        <v>1</v>
      </c>
      <c r="D118" s="14" t="n">
        <f aca="false">COUNTIFS(選手一覧!$C$7:$C$2738,A118,選手一覧!$E$7:$E$2738,"&lt;=100")</f>
        <v>0</v>
      </c>
      <c r="E118" s="14" t="n">
        <f aca="false">COUNTIFS(選手一覧!$C$7:$C$2738,A118,選手一覧!$G$7:$G$2738,"&lt;=100")</f>
        <v>1</v>
      </c>
      <c r="F118" s="14" t="n">
        <f aca="false">COUNTIFS(選手一覧!$C$7:$C$2738,A118,選手一覧!$I$7:$I$2738,"&lt;=100")</f>
        <v>0</v>
      </c>
      <c r="G118" s="13" t="n">
        <f aca="false">_xlfn.MINIFS(選手一覧!$K$7:$K$2738,選手一覧!$C$7:$C$2738,A118)</f>
        <v>99</v>
      </c>
      <c r="H118" s="10" t="s">
        <v>3976</v>
      </c>
    </row>
    <row r="119" customFormat="false" ht="15" hidden="false" customHeight="false" outlineLevel="0" collapsed="false">
      <c r="A119" s="10" t="s">
        <v>405</v>
      </c>
      <c r="B119" s="12" t="n">
        <f aca="false">COUNTIF(選手一覧!$C$7:$C$2738,A119)</f>
        <v>3</v>
      </c>
      <c r="C119" s="14" t="n">
        <f aca="false">COUNTIFS(選手一覧!$C$7:$C$2738,A119,選手一覧!$K$7:$K$2738,"&lt;=100")</f>
        <v>1</v>
      </c>
      <c r="D119" s="14" t="n">
        <f aca="false">COUNTIFS(選手一覧!$C$7:$C$2738,A119,選手一覧!$E$7:$E$2738,"&lt;=100")</f>
        <v>0</v>
      </c>
      <c r="E119" s="14" t="n">
        <f aca="false">COUNTIFS(選手一覧!$C$7:$C$2738,A119,選手一覧!$G$7:$G$2738,"&lt;=100")</f>
        <v>1</v>
      </c>
      <c r="F119" s="14" t="n">
        <f aca="false">COUNTIFS(選手一覧!$C$7:$C$2738,A119,選手一覧!$I$7:$I$2738,"&lt;=100")</f>
        <v>0</v>
      </c>
      <c r="G119" s="13" t="n">
        <f aca="false">_xlfn.MINIFS(選手一覧!$K$7:$K$2738,選手一覧!$C$7:$C$2738,A119)</f>
        <v>100</v>
      </c>
      <c r="H119" s="10" t="s">
        <v>3977</v>
      </c>
    </row>
    <row r="120" customFormat="false" ht="15" hidden="false" customHeight="false" outlineLevel="0" collapsed="false">
      <c r="A120" s="10" t="s">
        <v>132</v>
      </c>
      <c r="B120" s="12" t="n">
        <f aca="false">COUNTIF(選手一覧!$C$7:$C$2738,A120)</f>
        <v>2</v>
      </c>
      <c r="C120" s="14" t="n">
        <f aca="false">COUNTIFS(選手一覧!$C$7:$C$2738,A120,選手一覧!$K$7:$K$2738,"&lt;=100")</f>
        <v>1</v>
      </c>
      <c r="D120" s="14" t="n">
        <f aca="false">COUNTIFS(選手一覧!$C$7:$C$2738,A120,選手一覧!$E$7:$E$2738,"&lt;=100")</f>
        <v>0</v>
      </c>
      <c r="E120" s="14" t="n">
        <f aca="false">COUNTIFS(選手一覧!$C$7:$C$2738,A120,選手一覧!$G$7:$G$2738,"&lt;=100")</f>
        <v>1</v>
      </c>
      <c r="F120" s="14" t="n">
        <f aca="false">COUNTIFS(選手一覧!$C$7:$C$2738,A120,選手一覧!$I$7:$I$2738,"&lt;=100")</f>
        <v>0</v>
      </c>
      <c r="G120" s="13" t="n">
        <f aca="false">_xlfn.MINIFS(選手一覧!$K$7:$K$2738,選手一覧!$C$7:$C$2738,A120)</f>
        <v>24</v>
      </c>
      <c r="H120" s="10" t="s">
        <v>3978</v>
      </c>
    </row>
    <row r="121" customFormat="false" ht="15" hidden="false" customHeight="false" outlineLevel="0" collapsed="false">
      <c r="A121" s="10" t="s">
        <v>145</v>
      </c>
      <c r="B121" s="12" t="n">
        <f aca="false">COUNTIF(選手一覧!$C$7:$C$2738,A121)</f>
        <v>2</v>
      </c>
      <c r="C121" s="14" t="n">
        <f aca="false">COUNTIFS(選手一覧!$C$7:$C$2738,A121,選手一覧!$K$7:$K$2738,"&lt;=100")</f>
        <v>1</v>
      </c>
      <c r="D121" s="14" t="n">
        <f aca="false">COUNTIFS(選手一覧!$C$7:$C$2738,A121,選手一覧!$E$7:$E$2738,"&lt;=100")</f>
        <v>0</v>
      </c>
      <c r="E121" s="14" t="n">
        <f aca="false">COUNTIFS(選手一覧!$C$7:$C$2738,A121,選手一覧!$G$7:$G$2738,"&lt;=100")</f>
        <v>1</v>
      </c>
      <c r="F121" s="14" t="n">
        <f aca="false">COUNTIFS(選手一覧!$C$7:$C$2738,A121,選手一覧!$I$7:$I$2738,"&lt;=100")</f>
        <v>0</v>
      </c>
      <c r="G121" s="13" t="n">
        <f aca="false">_xlfn.MINIFS(選手一覧!$K$7:$K$2738,選手一覧!$C$7:$C$2738,A121)</f>
        <v>28</v>
      </c>
      <c r="H121" s="10" t="s">
        <v>3979</v>
      </c>
    </row>
    <row r="122" customFormat="false" ht="15" hidden="false" customHeight="false" outlineLevel="0" collapsed="false">
      <c r="A122" s="10" t="s">
        <v>158</v>
      </c>
      <c r="B122" s="12" t="n">
        <f aca="false">COUNTIF(選手一覧!$C$7:$C$2738,A122)</f>
        <v>2</v>
      </c>
      <c r="C122" s="14" t="n">
        <f aca="false">COUNTIFS(選手一覧!$C$7:$C$2738,A122,選手一覧!$K$7:$K$2738,"&lt;=100")</f>
        <v>1</v>
      </c>
      <c r="D122" s="14" t="n">
        <f aca="false">COUNTIFS(選手一覧!$C$7:$C$2738,A122,選手一覧!$E$7:$E$2738,"&lt;=100")</f>
        <v>1</v>
      </c>
      <c r="E122" s="14" t="n">
        <f aca="false">COUNTIFS(選手一覧!$C$7:$C$2738,A122,選手一覧!$G$7:$G$2738,"&lt;=100")</f>
        <v>1</v>
      </c>
      <c r="F122" s="14" t="n">
        <f aca="false">COUNTIFS(選手一覧!$C$7:$C$2738,A122,選手一覧!$I$7:$I$2738,"&lt;=100")</f>
        <v>0</v>
      </c>
      <c r="G122" s="13" t="n">
        <f aca="false">_xlfn.MINIFS(選手一覧!$K$7:$K$2738,選手一覧!$C$7:$C$2738,A122)</f>
        <v>31</v>
      </c>
      <c r="H122" s="10" t="s">
        <v>3980</v>
      </c>
    </row>
    <row r="123" customFormat="false" ht="15" hidden="false" customHeight="false" outlineLevel="0" collapsed="false">
      <c r="A123" s="10" t="s">
        <v>173</v>
      </c>
      <c r="B123" s="12" t="n">
        <f aca="false">COUNTIF(選手一覧!$C$7:$C$2738,A123)</f>
        <v>2</v>
      </c>
      <c r="C123" s="14" t="n">
        <f aca="false">COUNTIFS(選手一覧!$C$7:$C$2738,A123,選手一覧!$K$7:$K$2738,"&lt;=100")</f>
        <v>1</v>
      </c>
      <c r="D123" s="14" t="n">
        <f aca="false">COUNTIFS(選手一覧!$C$7:$C$2738,A123,選手一覧!$E$7:$E$2738,"&lt;=100")</f>
        <v>0</v>
      </c>
      <c r="E123" s="14" t="n">
        <f aca="false">COUNTIFS(選手一覧!$C$7:$C$2738,A123,選手一覧!$G$7:$G$2738,"&lt;=100")</f>
        <v>1</v>
      </c>
      <c r="F123" s="14" t="n">
        <f aca="false">COUNTIFS(選手一覧!$C$7:$C$2738,A123,選手一覧!$I$7:$I$2738,"&lt;=100")</f>
        <v>0</v>
      </c>
      <c r="G123" s="13" t="n">
        <f aca="false">_xlfn.MINIFS(選手一覧!$K$7:$K$2738,選手一覧!$C$7:$C$2738,A123)</f>
        <v>34</v>
      </c>
      <c r="H123" s="10" t="s">
        <v>3981</v>
      </c>
    </row>
    <row r="124" customFormat="false" ht="15" hidden="false" customHeight="false" outlineLevel="0" collapsed="false">
      <c r="A124" s="10" t="s">
        <v>220</v>
      </c>
      <c r="B124" s="12" t="n">
        <f aca="false">COUNTIF(選手一覧!$C$7:$C$2738,A124)</f>
        <v>2</v>
      </c>
      <c r="C124" s="14" t="n">
        <f aca="false">COUNTIFS(選手一覧!$C$7:$C$2738,A124,選手一覧!$K$7:$K$2738,"&lt;=100")</f>
        <v>1</v>
      </c>
      <c r="D124" s="14" t="n">
        <f aca="false">COUNTIFS(選手一覧!$C$7:$C$2738,A124,選手一覧!$E$7:$E$2738,"&lt;=100")</f>
        <v>0</v>
      </c>
      <c r="E124" s="14" t="n">
        <f aca="false">COUNTIFS(選手一覧!$C$7:$C$2738,A124,選手一覧!$G$7:$G$2738,"&lt;=100")</f>
        <v>0</v>
      </c>
      <c r="F124" s="14" t="n">
        <f aca="false">COUNTIFS(選手一覧!$C$7:$C$2738,A124,選手一覧!$I$7:$I$2738,"&lt;=100")</f>
        <v>1</v>
      </c>
      <c r="G124" s="13" t="n">
        <f aca="false">_xlfn.MINIFS(選手一覧!$K$7:$K$2738,選手一覧!$C$7:$C$2738,A124)</f>
        <v>44</v>
      </c>
      <c r="H124" s="10" t="s">
        <v>3982</v>
      </c>
    </row>
    <row r="125" customFormat="false" ht="15" hidden="false" customHeight="false" outlineLevel="0" collapsed="false">
      <c r="A125" s="10" t="s">
        <v>223</v>
      </c>
      <c r="B125" s="12" t="n">
        <f aca="false">COUNTIF(選手一覧!$C$7:$C$2738,A125)</f>
        <v>2</v>
      </c>
      <c r="C125" s="14" t="n">
        <f aca="false">COUNTIFS(選手一覧!$C$7:$C$2738,A125,選手一覧!$K$7:$K$2738,"&lt;=100")</f>
        <v>1</v>
      </c>
      <c r="D125" s="14" t="n">
        <f aca="false">COUNTIFS(選手一覧!$C$7:$C$2738,A125,選手一覧!$E$7:$E$2738,"&lt;=100")</f>
        <v>0</v>
      </c>
      <c r="E125" s="14" t="n">
        <f aca="false">COUNTIFS(選手一覧!$C$7:$C$2738,A125,選手一覧!$G$7:$G$2738,"&lt;=100")</f>
        <v>1</v>
      </c>
      <c r="F125" s="14" t="n">
        <f aca="false">COUNTIFS(選手一覧!$C$7:$C$2738,A125,選手一覧!$I$7:$I$2738,"&lt;=100")</f>
        <v>0</v>
      </c>
      <c r="G125" s="13" t="n">
        <f aca="false">_xlfn.MINIFS(選手一覧!$K$7:$K$2738,選手一覧!$C$7:$C$2738,A125)</f>
        <v>44</v>
      </c>
      <c r="H125" s="10" t="s">
        <v>3983</v>
      </c>
    </row>
    <row r="126" customFormat="false" ht="15" hidden="false" customHeight="false" outlineLevel="0" collapsed="false">
      <c r="A126" s="10" t="s">
        <v>282</v>
      </c>
      <c r="B126" s="12" t="n">
        <f aca="false">COUNTIF(選手一覧!$C$7:$C$2738,A126)</f>
        <v>2</v>
      </c>
      <c r="C126" s="14" t="n">
        <f aca="false">COUNTIFS(選手一覧!$C$7:$C$2738,A126,選手一覧!$K$7:$K$2738,"&lt;=100")</f>
        <v>1</v>
      </c>
      <c r="D126" s="14" t="n">
        <f aca="false">COUNTIFS(選手一覧!$C$7:$C$2738,A126,選手一覧!$E$7:$E$2738,"&lt;=100")</f>
        <v>0</v>
      </c>
      <c r="E126" s="14" t="n">
        <f aca="false">COUNTIFS(選手一覧!$C$7:$C$2738,A126,選手一覧!$G$7:$G$2738,"&lt;=100")</f>
        <v>1</v>
      </c>
      <c r="F126" s="14" t="n">
        <f aca="false">COUNTIFS(選手一覧!$C$7:$C$2738,A126,選手一覧!$I$7:$I$2738,"&lt;=100")</f>
        <v>0</v>
      </c>
      <c r="G126" s="13" t="n">
        <f aca="false">_xlfn.MINIFS(選手一覧!$K$7:$K$2738,選手一覧!$C$7:$C$2738,A126)</f>
        <v>63</v>
      </c>
      <c r="H126" s="10" t="s">
        <v>3984</v>
      </c>
    </row>
    <row r="127" customFormat="false" ht="15" hidden="false" customHeight="false" outlineLevel="0" collapsed="false">
      <c r="A127" s="10" t="s">
        <v>290</v>
      </c>
      <c r="B127" s="12" t="n">
        <f aca="false">COUNTIF(選手一覧!$C$7:$C$2738,A127)</f>
        <v>2</v>
      </c>
      <c r="C127" s="14" t="n">
        <f aca="false">COUNTIFS(選手一覧!$C$7:$C$2738,A127,選手一覧!$K$7:$K$2738,"&lt;=100")</f>
        <v>1</v>
      </c>
      <c r="D127" s="14" t="n">
        <f aca="false">COUNTIFS(選手一覧!$C$7:$C$2738,A127,選手一覧!$E$7:$E$2738,"&lt;=100")</f>
        <v>0</v>
      </c>
      <c r="E127" s="14" t="n">
        <f aca="false">COUNTIFS(選手一覧!$C$7:$C$2738,A127,選手一覧!$G$7:$G$2738,"&lt;=100")</f>
        <v>1</v>
      </c>
      <c r="F127" s="14" t="n">
        <f aca="false">COUNTIFS(選手一覧!$C$7:$C$2738,A127,選手一覧!$I$7:$I$2738,"&lt;=100")</f>
        <v>0</v>
      </c>
      <c r="G127" s="13" t="n">
        <f aca="false">_xlfn.MINIFS(選手一覧!$K$7:$K$2738,選手一覧!$C$7:$C$2738,A127)</f>
        <v>65</v>
      </c>
      <c r="H127" s="10" t="s">
        <v>3985</v>
      </c>
    </row>
    <row r="128" customFormat="false" ht="15" hidden="false" customHeight="false" outlineLevel="0" collapsed="false">
      <c r="A128" s="10" t="s">
        <v>323</v>
      </c>
      <c r="B128" s="12" t="n">
        <f aca="false">COUNTIF(選手一覧!$C$7:$C$2738,A128)</f>
        <v>2</v>
      </c>
      <c r="C128" s="14" t="n">
        <f aca="false">COUNTIFS(選手一覧!$C$7:$C$2738,A128,選手一覧!$K$7:$K$2738,"&lt;=100")</f>
        <v>1</v>
      </c>
      <c r="D128" s="14" t="n">
        <f aca="false">COUNTIFS(選手一覧!$C$7:$C$2738,A128,選手一覧!$E$7:$E$2738,"&lt;=100")</f>
        <v>0</v>
      </c>
      <c r="E128" s="14" t="n">
        <f aca="false">COUNTIFS(選手一覧!$C$7:$C$2738,A128,選手一覧!$G$7:$G$2738,"&lt;=100")</f>
        <v>1</v>
      </c>
      <c r="F128" s="14" t="n">
        <f aca="false">COUNTIFS(選手一覧!$C$7:$C$2738,A128,選手一覧!$I$7:$I$2738,"&lt;=100")</f>
        <v>0</v>
      </c>
      <c r="G128" s="13" t="n">
        <f aca="false">_xlfn.MINIFS(選手一覧!$K$7:$K$2738,選手一覧!$C$7:$C$2738,A128)</f>
        <v>75</v>
      </c>
      <c r="H128" s="10" t="s">
        <v>3986</v>
      </c>
    </row>
    <row r="129" customFormat="false" ht="15" hidden="false" customHeight="false" outlineLevel="0" collapsed="false">
      <c r="A129" s="10" t="s">
        <v>338</v>
      </c>
      <c r="B129" s="12" t="n">
        <f aca="false">COUNTIF(選手一覧!$C$7:$C$2738,A129)</f>
        <v>2</v>
      </c>
      <c r="C129" s="14" t="n">
        <f aca="false">COUNTIFS(選手一覧!$C$7:$C$2738,A129,選手一覧!$K$7:$K$2738,"&lt;=100")</f>
        <v>1</v>
      </c>
      <c r="D129" s="14" t="n">
        <f aca="false">COUNTIFS(選手一覧!$C$7:$C$2738,A129,選手一覧!$E$7:$E$2738,"&lt;=100")</f>
        <v>0</v>
      </c>
      <c r="E129" s="14" t="n">
        <f aca="false">COUNTIFS(選手一覧!$C$7:$C$2738,A129,選手一覧!$G$7:$G$2738,"&lt;=100")</f>
        <v>1</v>
      </c>
      <c r="F129" s="14" t="n">
        <f aca="false">COUNTIFS(選手一覧!$C$7:$C$2738,A129,選手一覧!$I$7:$I$2738,"&lt;=100")</f>
        <v>0</v>
      </c>
      <c r="G129" s="13" t="n">
        <f aca="false">_xlfn.MINIFS(選手一覧!$K$7:$K$2738,選手一覧!$C$7:$C$2738,A129)</f>
        <v>80</v>
      </c>
      <c r="H129" s="10" t="s">
        <v>3987</v>
      </c>
    </row>
    <row r="130" customFormat="false" ht="15" hidden="false" customHeight="false" outlineLevel="0" collapsed="false">
      <c r="A130" s="10" t="s">
        <v>374</v>
      </c>
      <c r="B130" s="12" t="n">
        <f aca="false">COUNTIF(選手一覧!$C$7:$C$2738,A130)</f>
        <v>2</v>
      </c>
      <c r="C130" s="14" t="n">
        <f aca="false">COUNTIFS(選手一覧!$C$7:$C$2738,A130,選手一覧!$K$7:$K$2738,"&lt;=100")</f>
        <v>1</v>
      </c>
      <c r="D130" s="14" t="n">
        <f aca="false">COUNTIFS(選手一覧!$C$7:$C$2738,A130,選手一覧!$E$7:$E$2738,"&lt;=100")</f>
        <v>0</v>
      </c>
      <c r="E130" s="14" t="n">
        <f aca="false">COUNTIFS(選手一覧!$C$7:$C$2738,A130,選手一覧!$G$7:$G$2738,"&lt;=100")</f>
        <v>0</v>
      </c>
      <c r="F130" s="14" t="n">
        <f aca="false">COUNTIFS(選手一覧!$C$7:$C$2738,A130,選手一覧!$I$7:$I$2738,"&lt;=100")</f>
        <v>1</v>
      </c>
      <c r="G130" s="13" t="n">
        <f aca="false">_xlfn.MINIFS(選手一覧!$K$7:$K$2738,選手一覧!$C$7:$C$2738,A130)</f>
        <v>92</v>
      </c>
      <c r="H130" s="10" t="s">
        <v>3988</v>
      </c>
    </row>
    <row r="131" customFormat="false" ht="15" hidden="false" customHeight="false" outlineLevel="0" collapsed="false">
      <c r="A131" s="10" t="s">
        <v>385</v>
      </c>
      <c r="B131" s="12" t="n">
        <f aca="false">COUNTIF(選手一覧!$C$7:$C$2738,A131)</f>
        <v>2</v>
      </c>
      <c r="C131" s="14" t="n">
        <f aca="false">COUNTIFS(選手一覧!$C$7:$C$2738,A131,選手一覧!$K$7:$K$2738,"&lt;=100")</f>
        <v>1</v>
      </c>
      <c r="D131" s="14" t="n">
        <f aca="false">COUNTIFS(選手一覧!$C$7:$C$2738,A131,選手一覧!$E$7:$E$2738,"&lt;=100")</f>
        <v>0</v>
      </c>
      <c r="E131" s="14" t="n">
        <f aca="false">COUNTIFS(選手一覧!$C$7:$C$2738,A131,選手一覧!$G$7:$G$2738,"&lt;=100")</f>
        <v>1</v>
      </c>
      <c r="F131" s="14" t="n">
        <f aca="false">COUNTIFS(選手一覧!$C$7:$C$2738,A131,選手一覧!$I$7:$I$2738,"&lt;=100")</f>
        <v>0</v>
      </c>
      <c r="G131" s="13" t="n">
        <f aca="false">_xlfn.MINIFS(選手一覧!$K$7:$K$2738,選手一覧!$C$7:$C$2738,A131)</f>
        <v>95</v>
      </c>
      <c r="H131" s="10" t="s">
        <v>3989</v>
      </c>
    </row>
    <row r="132" customFormat="false" ht="15" hidden="false" customHeight="false" outlineLevel="0" collapsed="false">
      <c r="A132" s="10" t="s">
        <v>101</v>
      </c>
      <c r="B132" s="12" t="n">
        <f aca="false">COUNTIF(選手一覧!$C$7:$C$2738,A132)</f>
        <v>1</v>
      </c>
      <c r="C132" s="14" t="n">
        <f aca="false">COUNTIFS(選手一覧!$C$7:$C$2738,A132,選手一覧!$K$7:$K$2738,"&lt;=100")</f>
        <v>1</v>
      </c>
      <c r="D132" s="14" t="n">
        <f aca="false">COUNTIFS(選手一覧!$C$7:$C$2738,A132,選手一覧!$E$7:$E$2738,"&lt;=100")</f>
        <v>0</v>
      </c>
      <c r="E132" s="14" t="n">
        <f aca="false">COUNTIFS(選手一覧!$C$7:$C$2738,A132,選手一覧!$G$7:$G$2738,"&lt;=100")</f>
        <v>1</v>
      </c>
      <c r="F132" s="14" t="n">
        <f aca="false">COUNTIFS(選手一覧!$C$7:$C$2738,A132,選手一覧!$I$7:$I$2738,"&lt;=100")</f>
        <v>0</v>
      </c>
      <c r="G132" s="13" t="n">
        <f aca="false">_xlfn.MINIFS(選手一覧!$K$7:$K$2738,選手一覧!$C$7:$C$2738,A132)</f>
        <v>18</v>
      </c>
      <c r="H132" s="10" t="s">
        <v>3990</v>
      </c>
    </row>
    <row r="133" customFormat="false" ht="15" hidden="false" customHeight="false" outlineLevel="0" collapsed="false">
      <c r="A133" s="10" t="s">
        <v>164</v>
      </c>
      <c r="B133" s="12" t="n">
        <f aca="false">COUNTIF(選手一覧!$C$7:$C$2738,A133)</f>
        <v>1</v>
      </c>
      <c r="C133" s="14" t="n">
        <f aca="false">COUNTIFS(選手一覧!$C$7:$C$2738,A133,選手一覧!$K$7:$K$2738,"&lt;=100")</f>
        <v>1</v>
      </c>
      <c r="D133" s="14" t="n">
        <f aca="false">COUNTIFS(選手一覧!$C$7:$C$2738,A133,選手一覧!$E$7:$E$2738,"&lt;=100")</f>
        <v>1</v>
      </c>
      <c r="E133" s="14" t="n">
        <f aca="false">COUNTIFS(選手一覧!$C$7:$C$2738,A133,選手一覧!$G$7:$G$2738,"&lt;=100")</f>
        <v>0</v>
      </c>
      <c r="F133" s="14" t="n">
        <f aca="false">COUNTIFS(選手一覧!$C$7:$C$2738,A133,選手一覧!$I$7:$I$2738,"&lt;=100")</f>
        <v>1</v>
      </c>
      <c r="G133" s="13" t="n">
        <f aca="false">_xlfn.MINIFS(選手一覧!$K$7:$K$2738,選手一覧!$C$7:$C$2738,A133)</f>
        <v>32</v>
      </c>
      <c r="H133" s="10" t="s">
        <v>3991</v>
      </c>
    </row>
    <row r="134" customFormat="false" ht="15" hidden="false" customHeight="false" outlineLevel="0" collapsed="false">
      <c r="A134" s="10" t="s">
        <v>168</v>
      </c>
      <c r="B134" s="12" t="n">
        <f aca="false">COUNTIF(選手一覧!$C$7:$C$2738,A134)</f>
        <v>1</v>
      </c>
      <c r="C134" s="14" t="n">
        <f aca="false">COUNTIFS(選手一覧!$C$7:$C$2738,A134,選手一覧!$K$7:$K$2738,"&lt;=100")</f>
        <v>1</v>
      </c>
      <c r="D134" s="14" t="n">
        <f aca="false">COUNTIFS(選手一覧!$C$7:$C$2738,A134,選手一覧!$E$7:$E$2738,"&lt;=100")</f>
        <v>0</v>
      </c>
      <c r="E134" s="14" t="n">
        <f aca="false">COUNTIFS(選手一覧!$C$7:$C$2738,A134,選手一覧!$G$7:$G$2738,"&lt;=100")</f>
        <v>1</v>
      </c>
      <c r="F134" s="14" t="n">
        <f aca="false">COUNTIFS(選手一覧!$C$7:$C$2738,A134,選手一覧!$I$7:$I$2738,"&lt;=100")</f>
        <v>0</v>
      </c>
      <c r="G134" s="13" t="n">
        <f aca="false">_xlfn.MINIFS(選手一覧!$K$7:$K$2738,選手一覧!$C$7:$C$2738,A134)</f>
        <v>33</v>
      </c>
      <c r="H134" s="10" t="s">
        <v>3992</v>
      </c>
    </row>
    <row r="135" customFormat="false" ht="15" hidden="false" customHeight="false" outlineLevel="0" collapsed="false">
      <c r="A135" s="10" t="s">
        <v>177</v>
      </c>
      <c r="B135" s="12" t="n">
        <f aca="false">COUNTIF(選手一覧!$C$7:$C$2738,A135)</f>
        <v>1</v>
      </c>
      <c r="C135" s="14" t="n">
        <f aca="false">COUNTIFS(選手一覧!$C$7:$C$2738,A135,選手一覧!$K$7:$K$2738,"&lt;=100")</f>
        <v>1</v>
      </c>
      <c r="D135" s="14" t="n">
        <f aca="false">COUNTIFS(選手一覧!$C$7:$C$2738,A135,選手一覧!$E$7:$E$2738,"&lt;=100")</f>
        <v>0</v>
      </c>
      <c r="E135" s="14" t="n">
        <f aca="false">COUNTIFS(選手一覧!$C$7:$C$2738,A135,選手一覧!$G$7:$G$2738,"&lt;=100")</f>
        <v>1</v>
      </c>
      <c r="F135" s="14" t="n">
        <f aca="false">COUNTIFS(選手一覧!$C$7:$C$2738,A135,選手一覧!$I$7:$I$2738,"&lt;=100")</f>
        <v>0</v>
      </c>
      <c r="G135" s="13" t="n">
        <f aca="false">_xlfn.MINIFS(選手一覧!$K$7:$K$2738,選手一覧!$C$7:$C$2738,A135)</f>
        <v>35</v>
      </c>
      <c r="H135" s="10" t="s">
        <v>3993</v>
      </c>
    </row>
    <row r="136" customFormat="false" ht="15" hidden="false" customHeight="false" outlineLevel="0" collapsed="false">
      <c r="A136" s="10" t="s">
        <v>250</v>
      </c>
      <c r="B136" s="12" t="n">
        <f aca="false">COUNTIF(選手一覧!$C$7:$C$2738,A136)</f>
        <v>1</v>
      </c>
      <c r="C136" s="14" t="n">
        <f aca="false">COUNTIFS(選手一覧!$C$7:$C$2738,A136,選手一覧!$K$7:$K$2738,"&lt;=100")</f>
        <v>1</v>
      </c>
      <c r="D136" s="14" t="n">
        <f aca="false">COUNTIFS(選手一覧!$C$7:$C$2738,A136,選手一覧!$E$7:$E$2738,"&lt;=100")</f>
        <v>0</v>
      </c>
      <c r="E136" s="14" t="n">
        <f aca="false">COUNTIFS(選手一覧!$C$7:$C$2738,A136,選手一覧!$G$7:$G$2738,"&lt;=100")</f>
        <v>0</v>
      </c>
      <c r="F136" s="14" t="n">
        <f aca="false">COUNTIFS(選手一覧!$C$7:$C$2738,A136,選手一覧!$I$7:$I$2738,"&lt;=100")</f>
        <v>1</v>
      </c>
      <c r="G136" s="13" t="n">
        <f aca="false">_xlfn.MINIFS(選手一覧!$K$7:$K$2738,選手一覧!$C$7:$C$2738,A136)</f>
        <v>53</v>
      </c>
      <c r="H136" s="10" t="s">
        <v>3994</v>
      </c>
    </row>
    <row r="137" customFormat="false" ht="15" hidden="false" customHeight="false" outlineLevel="0" collapsed="false">
      <c r="A137" s="10" t="s">
        <v>259</v>
      </c>
      <c r="B137" s="12" t="n">
        <f aca="false">COUNTIF(選手一覧!$C$7:$C$2738,A137)</f>
        <v>1</v>
      </c>
      <c r="C137" s="14" t="n">
        <f aca="false">COUNTIFS(選手一覧!$C$7:$C$2738,A137,選手一覧!$K$7:$K$2738,"&lt;=100")</f>
        <v>1</v>
      </c>
      <c r="D137" s="14" t="n">
        <f aca="false">COUNTIFS(選手一覧!$C$7:$C$2738,A137,選手一覧!$E$7:$E$2738,"&lt;=100")</f>
        <v>0</v>
      </c>
      <c r="E137" s="14" t="n">
        <f aca="false">COUNTIFS(選手一覧!$C$7:$C$2738,A137,選手一覧!$G$7:$G$2738,"&lt;=100")</f>
        <v>1</v>
      </c>
      <c r="F137" s="14" t="n">
        <f aca="false">COUNTIFS(選手一覧!$C$7:$C$2738,A137,選手一覧!$I$7:$I$2738,"&lt;=100")</f>
        <v>0</v>
      </c>
      <c r="G137" s="13" t="n">
        <f aca="false">_xlfn.MINIFS(選手一覧!$K$7:$K$2738,選手一覧!$C$7:$C$2738,A137)</f>
        <v>56</v>
      </c>
      <c r="H137" s="10" t="s">
        <v>3995</v>
      </c>
    </row>
    <row r="138" customFormat="false" ht="15" hidden="false" customHeight="false" outlineLevel="0" collapsed="false">
      <c r="A138" s="10" t="s">
        <v>270</v>
      </c>
      <c r="B138" s="12" t="n">
        <f aca="false">COUNTIF(選手一覧!$C$7:$C$2738,A138)</f>
        <v>1</v>
      </c>
      <c r="C138" s="14" t="n">
        <f aca="false">COUNTIFS(選手一覧!$C$7:$C$2738,A138,選手一覧!$K$7:$K$2738,"&lt;=100")</f>
        <v>1</v>
      </c>
      <c r="D138" s="14" t="n">
        <f aca="false">COUNTIFS(選手一覧!$C$7:$C$2738,A138,選手一覧!$E$7:$E$2738,"&lt;=100")</f>
        <v>0</v>
      </c>
      <c r="E138" s="14" t="n">
        <f aca="false">COUNTIFS(選手一覧!$C$7:$C$2738,A138,選手一覧!$G$7:$G$2738,"&lt;=100")</f>
        <v>0</v>
      </c>
      <c r="F138" s="14" t="n">
        <f aca="false">COUNTIFS(選手一覧!$C$7:$C$2738,A138,選手一覧!$I$7:$I$2738,"&lt;=100")</f>
        <v>1</v>
      </c>
      <c r="G138" s="13" t="n">
        <f aca="false">_xlfn.MINIFS(選手一覧!$K$7:$K$2738,選手一覧!$C$7:$C$2738,A138)</f>
        <v>59</v>
      </c>
      <c r="H138" s="10" t="s">
        <v>3996</v>
      </c>
    </row>
    <row r="139" customFormat="false" ht="15" hidden="false" customHeight="false" outlineLevel="0" collapsed="false">
      <c r="A139" s="10" t="s">
        <v>315</v>
      </c>
      <c r="B139" s="12" t="n">
        <f aca="false">COUNTIF(選手一覧!$C$7:$C$2738,A139)</f>
        <v>1</v>
      </c>
      <c r="C139" s="14" t="n">
        <f aca="false">COUNTIFS(選手一覧!$C$7:$C$2738,A139,選手一覧!$K$7:$K$2738,"&lt;=100")</f>
        <v>1</v>
      </c>
      <c r="D139" s="14" t="n">
        <f aca="false">COUNTIFS(選手一覧!$C$7:$C$2738,A139,選手一覧!$E$7:$E$2738,"&lt;=100")</f>
        <v>0</v>
      </c>
      <c r="E139" s="14" t="n">
        <f aca="false">COUNTIFS(選手一覧!$C$7:$C$2738,A139,選手一覧!$G$7:$G$2738,"&lt;=100")</f>
        <v>1</v>
      </c>
      <c r="F139" s="14" t="n">
        <f aca="false">COUNTIFS(選手一覧!$C$7:$C$2738,A139,選手一覧!$I$7:$I$2738,"&lt;=100")</f>
        <v>0</v>
      </c>
      <c r="G139" s="13" t="n">
        <f aca="false">_xlfn.MINIFS(選手一覧!$K$7:$K$2738,選手一覧!$C$7:$C$2738,A139)</f>
        <v>72</v>
      </c>
      <c r="H139" s="10" t="s">
        <v>3997</v>
      </c>
    </row>
    <row r="140" customFormat="false" ht="15" hidden="false" customHeight="false" outlineLevel="0" collapsed="false">
      <c r="A140" s="10" t="s">
        <v>333</v>
      </c>
      <c r="B140" s="12" t="n">
        <f aca="false">COUNTIF(選手一覧!$C$7:$C$2738,A140)</f>
        <v>1</v>
      </c>
      <c r="C140" s="14" t="n">
        <f aca="false">COUNTIFS(選手一覧!$C$7:$C$2738,A140,選手一覧!$K$7:$K$2738,"&lt;=100")</f>
        <v>1</v>
      </c>
      <c r="D140" s="14" t="n">
        <f aca="false">COUNTIFS(選手一覧!$C$7:$C$2738,A140,選手一覧!$E$7:$E$2738,"&lt;=100")</f>
        <v>0</v>
      </c>
      <c r="E140" s="14" t="n">
        <f aca="false">COUNTIFS(選手一覧!$C$7:$C$2738,A140,選手一覧!$G$7:$G$2738,"&lt;=100")</f>
        <v>0</v>
      </c>
      <c r="F140" s="14" t="n">
        <f aca="false">COUNTIFS(選手一覧!$C$7:$C$2738,A140,選手一覧!$I$7:$I$2738,"&lt;=100")</f>
        <v>1</v>
      </c>
      <c r="G140" s="13" t="n">
        <f aca="false">_xlfn.MINIFS(選手一覧!$K$7:$K$2738,選手一覧!$C$7:$C$2738,A140)</f>
        <v>78</v>
      </c>
      <c r="H140" s="10" t="s">
        <v>3998</v>
      </c>
    </row>
    <row r="141" customFormat="false" ht="15" hidden="false" customHeight="false" outlineLevel="0" collapsed="false">
      <c r="A141" s="10" t="s">
        <v>352</v>
      </c>
      <c r="B141" s="12" t="n">
        <f aca="false">COUNTIF(選手一覧!$C$7:$C$2738,A141)</f>
        <v>1</v>
      </c>
      <c r="C141" s="14" t="n">
        <f aca="false">COUNTIFS(選手一覧!$C$7:$C$2738,A141,選手一覧!$K$7:$K$2738,"&lt;=100")</f>
        <v>1</v>
      </c>
      <c r="D141" s="14" t="n">
        <f aca="false">COUNTIFS(選手一覧!$C$7:$C$2738,A141,選手一覧!$E$7:$E$2738,"&lt;=100")</f>
        <v>0</v>
      </c>
      <c r="E141" s="14" t="n">
        <f aca="false">COUNTIFS(選手一覧!$C$7:$C$2738,A141,選手一覧!$G$7:$G$2738,"&lt;=100")</f>
        <v>1</v>
      </c>
      <c r="F141" s="14" t="n">
        <f aca="false">COUNTIFS(選手一覧!$C$7:$C$2738,A141,選手一覧!$I$7:$I$2738,"&lt;=100")</f>
        <v>0</v>
      </c>
      <c r="G141" s="13" t="n">
        <f aca="false">_xlfn.MINIFS(選手一覧!$K$7:$K$2738,選手一覧!$C$7:$C$2738,A141)</f>
        <v>85</v>
      </c>
      <c r="H141" s="10" t="s">
        <v>3999</v>
      </c>
    </row>
    <row r="142" customFormat="false" ht="15" hidden="false" customHeight="false" outlineLevel="0" collapsed="false">
      <c r="A142" s="10" t="s">
        <v>366</v>
      </c>
      <c r="B142" s="12" t="n">
        <f aca="false">COUNTIF(選手一覧!$C$7:$C$2738,A142)</f>
        <v>1</v>
      </c>
      <c r="C142" s="14" t="n">
        <f aca="false">COUNTIFS(選手一覧!$C$7:$C$2738,A142,選手一覧!$K$7:$K$2738,"&lt;=100")</f>
        <v>1</v>
      </c>
      <c r="D142" s="14" t="n">
        <f aca="false">COUNTIFS(選手一覧!$C$7:$C$2738,A142,選手一覧!$E$7:$E$2738,"&lt;=100")</f>
        <v>0</v>
      </c>
      <c r="E142" s="14" t="n">
        <f aca="false">COUNTIFS(選手一覧!$C$7:$C$2738,A142,選手一覧!$G$7:$G$2738,"&lt;=100")</f>
        <v>1</v>
      </c>
      <c r="F142" s="14" t="n">
        <f aca="false">COUNTIFS(選手一覧!$C$7:$C$2738,A142,選手一覧!$I$7:$I$2738,"&lt;=100")</f>
        <v>0</v>
      </c>
      <c r="G142" s="13" t="n">
        <f aca="false">_xlfn.MINIFS(選手一覧!$K$7:$K$2738,選手一覧!$C$7:$C$2738,A142)</f>
        <v>90</v>
      </c>
      <c r="H142" s="10" t="s">
        <v>4000</v>
      </c>
    </row>
    <row r="143" customFormat="false" ht="15" hidden="false" customHeight="false" outlineLevel="0" collapsed="false">
      <c r="A143" s="10" t="s">
        <v>403</v>
      </c>
      <c r="B143" s="12" t="n">
        <f aca="false">COUNTIF(選手一覧!$C$7:$C$2738,A143)</f>
        <v>1</v>
      </c>
      <c r="C143" s="14" t="n">
        <f aca="false">COUNTIFS(選手一覧!$C$7:$C$2738,A143,選手一覧!$K$7:$K$2738,"&lt;=100")</f>
        <v>1</v>
      </c>
      <c r="D143" s="14" t="n">
        <f aca="false">COUNTIFS(選手一覧!$C$7:$C$2738,A143,選手一覧!$E$7:$E$2738,"&lt;=100")</f>
        <v>1</v>
      </c>
      <c r="E143" s="14" t="n">
        <f aca="false">COUNTIFS(選手一覧!$C$7:$C$2738,A143,選手一覧!$G$7:$G$2738,"&lt;=100")</f>
        <v>0</v>
      </c>
      <c r="F143" s="14" t="n">
        <f aca="false">COUNTIFS(選手一覧!$C$7:$C$2738,A143,選手一覧!$I$7:$I$2738,"&lt;=100")</f>
        <v>0</v>
      </c>
      <c r="G143" s="13" t="n">
        <f aca="false">_xlfn.MINIFS(選手一覧!$K$7:$K$2738,選手一覧!$C$7:$C$2738,A143)</f>
        <v>99</v>
      </c>
      <c r="H143" s="10" t="s">
        <v>4001</v>
      </c>
    </row>
    <row r="144" customFormat="false" ht="15" hidden="false" customHeight="false" outlineLevel="0" collapsed="false">
      <c r="A144" s="10" t="s">
        <v>494</v>
      </c>
      <c r="B144" s="12" t="n">
        <f aca="false">COUNTIF(選手一覧!$C$7:$C$2738,A144)</f>
        <v>13</v>
      </c>
      <c r="C144" s="14" t="n">
        <f aca="false">COUNTIFS(選手一覧!$C$7:$C$2738,A144,選手一覧!$K$7:$K$2738,"&lt;=100")</f>
        <v>0</v>
      </c>
      <c r="D144" s="14" t="n">
        <f aca="false">COUNTIFS(選手一覧!$C$7:$C$2738,A144,選手一覧!$E$7:$E$2738,"&lt;=100")</f>
        <v>0</v>
      </c>
      <c r="E144" s="14" t="n">
        <f aca="false">COUNTIFS(選手一覧!$C$7:$C$2738,A144,選手一覧!$G$7:$G$2738,"&lt;=100")</f>
        <v>0</v>
      </c>
      <c r="F144" s="14" t="n">
        <f aca="false">COUNTIFS(選手一覧!$C$7:$C$2738,A144,選手一覧!$I$7:$I$2738,"&lt;=100")</f>
        <v>0</v>
      </c>
      <c r="G144" s="13" t="n">
        <f aca="false">_xlfn.MINIFS(選手一覧!$K$7:$K$2738,選手一覧!$C$7:$C$2738,A144)</f>
        <v>126</v>
      </c>
      <c r="H144" s="16"/>
    </row>
    <row r="145" customFormat="false" ht="15" hidden="false" customHeight="false" outlineLevel="0" collapsed="false">
      <c r="A145" s="10" t="s">
        <v>577</v>
      </c>
      <c r="B145" s="12" t="n">
        <f aca="false">COUNTIF(選手一覧!$C$7:$C$2738,A145)</f>
        <v>13</v>
      </c>
      <c r="C145" s="14" t="n">
        <f aca="false">COUNTIFS(選手一覧!$C$7:$C$2738,A145,選手一覧!$K$7:$K$2738,"&lt;=100")</f>
        <v>0</v>
      </c>
      <c r="D145" s="14" t="n">
        <f aca="false">COUNTIFS(選手一覧!$C$7:$C$2738,A145,選手一覧!$E$7:$E$2738,"&lt;=100")</f>
        <v>0</v>
      </c>
      <c r="E145" s="14" t="n">
        <f aca="false">COUNTIFS(選手一覧!$C$7:$C$2738,A145,選手一覧!$G$7:$G$2738,"&lt;=100")</f>
        <v>0</v>
      </c>
      <c r="F145" s="14" t="n">
        <f aca="false">COUNTIFS(選手一覧!$C$7:$C$2738,A145,選手一覧!$I$7:$I$2738,"&lt;=100")</f>
        <v>0</v>
      </c>
      <c r="G145" s="13" t="n">
        <f aca="false">_xlfn.MINIFS(選手一覧!$K$7:$K$2738,選手一覧!$C$7:$C$2738,A145)</f>
        <v>153</v>
      </c>
      <c r="H145" s="16"/>
    </row>
    <row r="146" customFormat="false" ht="15" hidden="false" customHeight="false" outlineLevel="0" collapsed="false">
      <c r="A146" s="10" t="s">
        <v>425</v>
      </c>
      <c r="B146" s="12" t="n">
        <f aca="false">COUNTIF(選手一覧!$C$7:$C$2738,A146)</f>
        <v>12</v>
      </c>
      <c r="C146" s="14" t="n">
        <f aca="false">COUNTIFS(選手一覧!$C$7:$C$2738,A146,選手一覧!$K$7:$K$2738,"&lt;=100")</f>
        <v>0</v>
      </c>
      <c r="D146" s="14" t="n">
        <f aca="false">COUNTIFS(選手一覧!$C$7:$C$2738,A146,選手一覧!$E$7:$E$2738,"&lt;=100")</f>
        <v>0</v>
      </c>
      <c r="E146" s="14" t="n">
        <f aca="false">COUNTIFS(選手一覧!$C$7:$C$2738,A146,選手一覧!$G$7:$G$2738,"&lt;=100")</f>
        <v>0</v>
      </c>
      <c r="F146" s="14" t="n">
        <f aca="false">COUNTIFS(選手一覧!$C$7:$C$2738,A146,選手一覧!$I$7:$I$2738,"&lt;=100")</f>
        <v>0</v>
      </c>
      <c r="G146" s="13" t="n">
        <f aca="false">_xlfn.MINIFS(選手一覧!$K$7:$K$2738,選手一覧!$C$7:$C$2738,A146)</f>
        <v>107</v>
      </c>
      <c r="H146" s="16"/>
    </row>
    <row r="147" customFormat="false" ht="15" hidden="false" customHeight="false" outlineLevel="0" collapsed="false">
      <c r="A147" s="10" t="s">
        <v>523</v>
      </c>
      <c r="B147" s="12" t="n">
        <f aca="false">COUNTIF(選手一覧!$C$7:$C$2738,A147)</f>
        <v>11</v>
      </c>
      <c r="C147" s="14" t="n">
        <f aca="false">COUNTIFS(選手一覧!$C$7:$C$2738,A147,選手一覧!$K$7:$K$2738,"&lt;=100")</f>
        <v>0</v>
      </c>
      <c r="D147" s="14" t="n">
        <f aca="false">COUNTIFS(選手一覧!$C$7:$C$2738,A147,選手一覧!$E$7:$E$2738,"&lt;=100")</f>
        <v>0</v>
      </c>
      <c r="E147" s="14" t="n">
        <f aca="false">COUNTIFS(選手一覧!$C$7:$C$2738,A147,選手一覧!$G$7:$G$2738,"&lt;=100")</f>
        <v>0</v>
      </c>
      <c r="F147" s="14" t="n">
        <f aca="false">COUNTIFS(選手一覧!$C$7:$C$2738,A147,選手一覧!$I$7:$I$2738,"&lt;=100")</f>
        <v>0</v>
      </c>
      <c r="G147" s="13" t="n">
        <f aca="false">_xlfn.MINIFS(選手一覧!$K$7:$K$2738,選手一覧!$C$7:$C$2738,A147)</f>
        <v>134</v>
      </c>
      <c r="H147" s="16"/>
    </row>
    <row r="148" customFormat="false" ht="15" hidden="false" customHeight="false" outlineLevel="0" collapsed="false">
      <c r="A148" s="10" t="s">
        <v>546</v>
      </c>
      <c r="B148" s="12" t="n">
        <f aca="false">COUNTIF(選手一覧!$C$7:$C$2738,A148)</f>
        <v>11</v>
      </c>
      <c r="C148" s="14" t="n">
        <f aca="false">COUNTIFS(選手一覧!$C$7:$C$2738,A148,選手一覧!$K$7:$K$2738,"&lt;=100")</f>
        <v>0</v>
      </c>
      <c r="D148" s="14" t="n">
        <f aca="false">COUNTIFS(選手一覧!$C$7:$C$2738,A148,選手一覧!$E$7:$E$2738,"&lt;=100")</f>
        <v>0</v>
      </c>
      <c r="E148" s="14" t="n">
        <f aca="false">COUNTIFS(選手一覧!$C$7:$C$2738,A148,選手一覧!$G$7:$G$2738,"&lt;=100")</f>
        <v>0</v>
      </c>
      <c r="F148" s="14" t="n">
        <f aca="false">COUNTIFS(選手一覧!$C$7:$C$2738,A148,選手一覧!$I$7:$I$2738,"&lt;=100")</f>
        <v>0</v>
      </c>
      <c r="G148" s="13" t="n">
        <f aca="false">_xlfn.MINIFS(選手一覧!$K$7:$K$2738,選手一覧!$C$7:$C$2738,A148)</f>
        <v>142</v>
      </c>
      <c r="H148" s="16"/>
    </row>
    <row r="149" customFormat="false" ht="15" hidden="false" customHeight="false" outlineLevel="0" collapsed="false">
      <c r="A149" s="10" t="s">
        <v>445</v>
      </c>
      <c r="B149" s="12" t="n">
        <f aca="false">COUNTIF(選手一覧!$C$7:$C$2738,A149)</f>
        <v>10</v>
      </c>
      <c r="C149" s="14" t="n">
        <f aca="false">COUNTIFS(選手一覧!$C$7:$C$2738,A149,選手一覧!$K$7:$K$2738,"&lt;=100")</f>
        <v>0</v>
      </c>
      <c r="D149" s="14" t="n">
        <f aca="false">COUNTIFS(選手一覧!$C$7:$C$2738,A149,選手一覧!$E$7:$E$2738,"&lt;=100")</f>
        <v>0</v>
      </c>
      <c r="E149" s="14" t="n">
        <f aca="false">COUNTIFS(選手一覧!$C$7:$C$2738,A149,選手一覧!$G$7:$G$2738,"&lt;=100")</f>
        <v>0</v>
      </c>
      <c r="F149" s="14" t="n">
        <f aca="false">COUNTIFS(選手一覧!$C$7:$C$2738,A149,選手一覧!$I$7:$I$2738,"&lt;=100")</f>
        <v>0</v>
      </c>
      <c r="G149" s="13" t="n">
        <f aca="false">_xlfn.MINIFS(選手一覧!$K$7:$K$2738,選手一覧!$C$7:$C$2738,A149)</f>
        <v>113</v>
      </c>
      <c r="H149" s="16"/>
    </row>
    <row r="150" customFormat="false" ht="15" hidden="false" customHeight="false" outlineLevel="0" collapsed="false">
      <c r="A150" s="10" t="s">
        <v>460</v>
      </c>
      <c r="B150" s="12" t="n">
        <f aca="false">COUNTIF(選手一覧!$C$7:$C$2738,A150)</f>
        <v>10</v>
      </c>
      <c r="C150" s="14" t="n">
        <f aca="false">COUNTIFS(選手一覧!$C$7:$C$2738,A150,選手一覧!$K$7:$K$2738,"&lt;=100")</f>
        <v>0</v>
      </c>
      <c r="D150" s="14" t="n">
        <f aca="false">COUNTIFS(選手一覧!$C$7:$C$2738,A150,選手一覧!$E$7:$E$2738,"&lt;=100")</f>
        <v>0</v>
      </c>
      <c r="E150" s="14" t="n">
        <f aca="false">COUNTIFS(選手一覧!$C$7:$C$2738,A150,選手一覧!$G$7:$G$2738,"&lt;=100")</f>
        <v>0</v>
      </c>
      <c r="F150" s="14" t="n">
        <f aca="false">COUNTIFS(選手一覧!$C$7:$C$2738,A150,選手一覧!$I$7:$I$2738,"&lt;=100")</f>
        <v>0</v>
      </c>
      <c r="G150" s="13" t="n">
        <f aca="false">_xlfn.MINIFS(選手一覧!$K$7:$K$2738,選手一覧!$C$7:$C$2738,A150)</f>
        <v>117</v>
      </c>
      <c r="H150" s="16"/>
    </row>
    <row r="151" customFormat="false" ht="15" hidden="false" customHeight="false" outlineLevel="0" collapsed="false">
      <c r="A151" s="10" t="s">
        <v>440</v>
      </c>
      <c r="B151" s="12" t="n">
        <f aca="false">COUNTIF(選手一覧!$C$7:$C$2738,A151)</f>
        <v>9</v>
      </c>
      <c r="C151" s="14" t="n">
        <f aca="false">COUNTIFS(選手一覧!$C$7:$C$2738,A151,選手一覧!$K$7:$K$2738,"&lt;=100")</f>
        <v>0</v>
      </c>
      <c r="D151" s="14" t="n">
        <f aca="false">COUNTIFS(選手一覧!$C$7:$C$2738,A151,選手一覧!$E$7:$E$2738,"&lt;=100")</f>
        <v>0</v>
      </c>
      <c r="E151" s="14" t="n">
        <f aca="false">COUNTIFS(選手一覧!$C$7:$C$2738,A151,選手一覧!$G$7:$G$2738,"&lt;=100")</f>
        <v>0</v>
      </c>
      <c r="F151" s="14" t="n">
        <f aca="false">COUNTIFS(選手一覧!$C$7:$C$2738,A151,選手一覧!$I$7:$I$2738,"&lt;=100")</f>
        <v>0</v>
      </c>
      <c r="G151" s="13" t="n">
        <f aca="false">_xlfn.MINIFS(選手一覧!$K$7:$K$2738,選手一覧!$C$7:$C$2738,A151)</f>
        <v>112</v>
      </c>
      <c r="H151" s="16"/>
    </row>
    <row r="152" customFormat="false" ht="15" hidden="false" customHeight="false" outlineLevel="0" collapsed="false">
      <c r="A152" s="10" t="s">
        <v>473</v>
      </c>
      <c r="B152" s="12" t="n">
        <f aca="false">COUNTIF(選手一覧!$C$7:$C$2738,A152)</f>
        <v>9</v>
      </c>
      <c r="C152" s="14" t="n">
        <f aca="false">COUNTIFS(選手一覧!$C$7:$C$2738,A152,選手一覧!$K$7:$K$2738,"&lt;=100")</f>
        <v>0</v>
      </c>
      <c r="D152" s="14" t="n">
        <f aca="false">COUNTIFS(選手一覧!$C$7:$C$2738,A152,選手一覧!$E$7:$E$2738,"&lt;=100")</f>
        <v>0</v>
      </c>
      <c r="E152" s="14" t="n">
        <f aca="false">COUNTIFS(選手一覧!$C$7:$C$2738,A152,選手一覧!$G$7:$G$2738,"&lt;=100")</f>
        <v>0</v>
      </c>
      <c r="F152" s="14" t="n">
        <f aca="false">COUNTIFS(選手一覧!$C$7:$C$2738,A152,選手一覧!$I$7:$I$2738,"&lt;=100")</f>
        <v>0</v>
      </c>
      <c r="G152" s="13" t="n">
        <f aca="false">_xlfn.MINIFS(選手一覧!$K$7:$K$2738,選手一覧!$C$7:$C$2738,A152)</f>
        <v>121</v>
      </c>
      <c r="H152" s="16"/>
    </row>
    <row r="153" customFormat="false" ht="15" hidden="false" customHeight="false" outlineLevel="0" collapsed="false">
      <c r="A153" s="10" t="s">
        <v>616</v>
      </c>
      <c r="B153" s="12" t="n">
        <f aca="false">COUNTIF(選手一覧!$C$7:$C$2738,A153)</f>
        <v>9</v>
      </c>
      <c r="C153" s="14" t="n">
        <f aca="false">COUNTIFS(選手一覧!$C$7:$C$2738,A153,選手一覧!$K$7:$K$2738,"&lt;=100")</f>
        <v>0</v>
      </c>
      <c r="D153" s="14" t="n">
        <f aca="false">COUNTIFS(選手一覧!$C$7:$C$2738,A153,選手一覧!$E$7:$E$2738,"&lt;=100")</f>
        <v>0</v>
      </c>
      <c r="E153" s="14" t="n">
        <f aca="false">COUNTIFS(選手一覧!$C$7:$C$2738,A153,選手一覧!$G$7:$G$2738,"&lt;=100")</f>
        <v>0</v>
      </c>
      <c r="F153" s="14" t="n">
        <f aca="false">COUNTIFS(選手一覧!$C$7:$C$2738,A153,選手一覧!$I$7:$I$2738,"&lt;=100")</f>
        <v>0</v>
      </c>
      <c r="G153" s="13" t="n">
        <f aca="false">_xlfn.MINIFS(選手一覧!$K$7:$K$2738,選手一覧!$C$7:$C$2738,A153)</f>
        <v>165</v>
      </c>
      <c r="H153" s="16"/>
    </row>
    <row r="154" customFormat="false" ht="15" hidden="false" customHeight="false" outlineLevel="0" collapsed="false">
      <c r="A154" s="10" t="s">
        <v>695</v>
      </c>
      <c r="B154" s="12" t="n">
        <f aca="false">COUNTIF(選手一覧!$C$7:$C$2738,A154)</f>
        <v>9</v>
      </c>
      <c r="C154" s="14" t="n">
        <f aca="false">COUNTIFS(選手一覧!$C$7:$C$2738,A154,選手一覧!$K$7:$K$2738,"&lt;=100")</f>
        <v>0</v>
      </c>
      <c r="D154" s="14" t="n">
        <f aca="false">COUNTIFS(選手一覧!$C$7:$C$2738,A154,選手一覧!$E$7:$E$2738,"&lt;=100")</f>
        <v>0</v>
      </c>
      <c r="E154" s="14" t="n">
        <f aca="false">COUNTIFS(選手一覧!$C$7:$C$2738,A154,選手一覧!$G$7:$G$2738,"&lt;=100")</f>
        <v>0</v>
      </c>
      <c r="F154" s="14" t="n">
        <f aca="false">COUNTIFS(選手一覧!$C$7:$C$2738,A154,選手一覧!$I$7:$I$2738,"&lt;=100")</f>
        <v>0</v>
      </c>
      <c r="G154" s="13" t="n">
        <f aca="false">_xlfn.MINIFS(選手一覧!$K$7:$K$2738,選手一覧!$C$7:$C$2738,A154)</f>
        <v>187</v>
      </c>
      <c r="H154" s="16"/>
    </row>
    <row r="155" customFormat="false" ht="15" hidden="false" customHeight="false" outlineLevel="0" collapsed="false">
      <c r="A155" s="10" t="s">
        <v>457</v>
      </c>
      <c r="B155" s="12" t="n">
        <f aca="false">COUNTIF(選手一覧!$C$7:$C$2738,A155)</f>
        <v>8</v>
      </c>
      <c r="C155" s="14" t="n">
        <f aca="false">COUNTIFS(選手一覧!$C$7:$C$2738,A155,選手一覧!$K$7:$K$2738,"&lt;=100")</f>
        <v>0</v>
      </c>
      <c r="D155" s="14" t="n">
        <f aca="false">COUNTIFS(選手一覧!$C$7:$C$2738,A155,選手一覧!$E$7:$E$2738,"&lt;=100")</f>
        <v>0</v>
      </c>
      <c r="E155" s="14" t="n">
        <f aca="false">COUNTIFS(選手一覧!$C$7:$C$2738,A155,選手一覧!$G$7:$G$2738,"&lt;=100")</f>
        <v>0</v>
      </c>
      <c r="F155" s="14" t="n">
        <f aca="false">COUNTIFS(選手一覧!$C$7:$C$2738,A155,選手一覧!$I$7:$I$2738,"&lt;=100")</f>
        <v>0</v>
      </c>
      <c r="G155" s="13" t="n">
        <f aca="false">_xlfn.MINIFS(選手一覧!$K$7:$K$2738,選手一覧!$C$7:$C$2738,A155)</f>
        <v>117</v>
      </c>
      <c r="H155" s="16"/>
    </row>
    <row r="156" customFormat="false" ht="15" hidden="false" customHeight="false" outlineLevel="0" collapsed="false">
      <c r="A156" s="10" t="s">
        <v>462</v>
      </c>
      <c r="B156" s="12" t="n">
        <f aca="false">COUNTIF(選手一覧!$C$7:$C$2738,A156)</f>
        <v>8</v>
      </c>
      <c r="C156" s="14" t="n">
        <f aca="false">COUNTIFS(選手一覧!$C$7:$C$2738,A156,選手一覧!$K$7:$K$2738,"&lt;=100")</f>
        <v>0</v>
      </c>
      <c r="D156" s="14" t="n">
        <f aca="false">COUNTIFS(選手一覧!$C$7:$C$2738,A156,選手一覧!$E$7:$E$2738,"&lt;=100")</f>
        <v>0</v>
      </c>
      <c r="E156" s="14" t="n">
        <f aca="false">COUNTIFS(選手一覧!$C$7:$C$2738,A156,選手一覧!$G$7:$G$2738,"&lt;=100")</f>
        <v>0</v>
      </c>
      <c r="F156" s="14" t="n">
        <f aca="false">COUNTIFS(選手一覧!$C$7:$C$2738,A156,選手一覧!$I$7:$I$2738,"&lt;=100")</f>
        <v>0</v>
      </c>
      <c r="G156" s="13" t="n">
        <f aca="false">_xlfn.MINIFS(選手一覧!$K$7:$K$2738,選手一覧!$C$7:$C$2738,A156)</f>
        <v>118</v>
      </c>
      <c r="H156" s="16"/>
    </row>
    <row r="157" customFormat="false" ht="15" hidden="false" customHeight="false" outlineLevel="0" collapsed="false">
      <c r="A157" s="10" t="s">
        <v>486</v>
      </c>
      <c r="B157" s="12" t="n">
        <f aca="false">COUNTIF(選手一覧!$C$7:$C$2738,A157)</f>
        <v>8</v>
      </c>
      <c r="C157" s="14" t="n">
        <f aca="false">COUNTIFS(選手一覧!$C$7:$C$2738,A157,選手一覧!$K$7:$K$2738,"&lt;=100")</f>
        <v>0</v>
      </c>
      <c r="D157" s="14" t="n">
        <f aca="false">COUNTIFS(選手一覧!$C$7:$C$2738,A157,選手一覧!$E$7:$E$2738,"&lt;=100")</f>
        <v>0</v>
      </c>
      <c r="E157" s="14" t="n">
        <f aca="false">COUNTIFS(選手一覧!$C$7:$C$2738,A157,選手一覧!$G$7:$G$2738,"&lt;=100")</f>
        <v>0</v>
      </c>
      <c r="F157" s="14" t="n">
        <f aca="false">COUNTIFS(選手一覧!$C$7:$C$2738,A157,選手一覧!$I$7:$I$2738,"&lt;=100")</f>
        <v>0</v>
      </c>
      <c r="G157" s="13" t="n">
        <f aca="false">_xlfn.MINIFS(選手一覧!$K$7:$K$2738,選手一覧!$C$7:$C$2738,A157)</f>
        <v>124</v>
      </c>
      <c r="H157" s="16"/>
    </row>
    <row r="158" customFormat="false" ht="15" hidden="false" customHeight="false" outlineLevel="0" collapsed="false">
      <c r="A158" s="10" t="s">
        <v>541</v>
      </c>
      <c r="B158" s="12" t="n">
        <f aca="false">COUNTIF(選手一覧!$C$7:$C$2738,A158)</f>
        <v>8</v>
      </c>
      <c r="C158" s="14" t="n">
        <f aca="false">COUNTIFS(選手一覧!$C$7:$C$2738,A158,選手一覧!$K$7:$K$2738,"&lt;=100")</f>
        <v>0</v>
      </c>
      <c r="D158" s="14" t="n">
        <f aca="false">COUNTIFS(選手一覧!$C$7:$C$2738,A158,選手一覧!$E$7:$E$2738,"&lt;=100")</f>
        <v>0</v>
      </c>
      <c r="E158" s="14" t="n">
        <f aca="false">COUNTIFS(選手一覧!$C$7:$C$2738,A158,選手一覧!$G$7:$G$2738,"&lt;=100")</f>
        <v>0</v>
      </c>
      <c r="F158" s="14" t="n">
        <f aca="false">COUNTIFS(選手一覧!$C$7:$C$2738,A158,選手一覧!$I$7:$I$2738,"&lt;=100")</f>
        <v>0</v>
      </c>
      <c r="G158" s="13" t="n">
        <f aca="false">_xlfn.MINIFS(選手一覧!$K$7:$K$2738,選手一覧!$C$7:$C$2738,A158)</f>
        <v>140</v>
      </c>
      <c r="H158" s="16"/>
    </row>
    <row r="159" customFormat="false" ht="15" hidden="false" customHeight="false" outlineLevel="0" collapsed="false">
      <c r="A159" s="10" t="s">
        <v>1038</v>
      </c>
      <c r="B159" s="12" t="n">
        <f aca="false">COUNTIF(選手一覧!$C$7:$C$2738,A159)</f>
        <v>8</v>
      </c>
      <c r="C159" s="14" t="n">
        <f aca="false">COUNTIFS(選手一覧!$C$7:$C$2738,A159,選手一覧!$K$7:$K$2738,"&lt;=100")</f>
        <v>0</v>
      </c>
      <c r="D159" s="14" t="n">
        <f aca="false">COUNTIFS(選手一覧!$C$7:$C$2738,A159,選手一覧!$E$7:$E$2738,"&lt;=100")</f>
        <v>0</v>
      </c>
      <c r="E159" s="14" t="n">
        <f aca="false">COUNTIFS(選手一覧!$C$7:$C$2738,A159,選手一覧!$G$7:$G$2738,"&lt;=100")</f>
        <v>0</v>
      </c>
      <c r="F159" s="14" t="n">
        <f aca="false">COUNTIFS(選手一覧!$C$7:$C$2738,A159,選手一覧!$I$7:$I$2738,"&lt;=100")</f>
        <v>0</v>
      </c>
      <c r="G159" s="13" t="n">
        <f aca="false">_xlfn.MINIFS(選手一覧!$K$7:$K$2738,選手一覧!$C$7:$C$2738,A159)</f>
        <v>298</v>
      </c>
      <c r="H159" s="16"/>
    </row>
    <row r="160" customFormat="false" ht="15" hidden="false" customHeight="false" outlineLevel="0" collapsed="false">
      <c r="A160" s="10" t="s">
        <v>422</v>
      </c>
      <c r="B160" s="12" t="n">
        <f aca="false">COUNTIF(選手一覧!$C$7:$C$2738,A160)</f>
        <v>7</v>
      </c>
      <c r="C160" s="14" t="n">
        <f aca="false">COUNTIFS(選手一覧!$C$7:$C$2738,A160,選手一覧!$K$7:$K$2738,"&lt;=100")</f>
        <v>0</v>
      </c>
      <c r="D160" s="14" t="n">
        <f aca="false">COUNTIFS(選手一覧!$C$7:$C$2738,A160,選手一覧!$E$7:$E$2738,"&lt;=100")</f>
        <v>0</v>
      </c>
      <c r="E160" s="14" t="n">
        <f aca="false">COUNTIFS(選手一覧!$C$7:$C$2738,A160,選手一覧!$G$7:$G$2738,"&lt;=100")</f>
        <v>0</v>
      </c>
      <c r="F160" s="14" t="n">
        <f aca="false">COUNTIFS(選手一覧!$C$7:$C$2738,A160,選手一覧!$I$7:$I$2738,"&lt;=100")</f>
        <v>0</v>
      </c>
      <c r="G160" s="13" t="n">
        <f aca="false">_xlfn.MINIFS(選手一覧!$K$7:$K$2738,選手一覧!$C$7:$C$2738,A160)</f>
        <v>106</v>
      </c>
      <c r="H160" s="16"/>
    </row>
    <row r="161" customFormat="false" ht="15" hidden="false" customHeight="false" outlineLevel="0" collapsed="false">
      <c r="A161" s="10" t="s">
        <v>437</v>
      </c>
      <c r="B161" s="12" t="n">
        <f aca="false">COUNTIF(選手一覧!$C$7:$C$2738,A161)</f>
        <v>7</v>
      </c>
      <c r="C161" s="14" t="n">
        <f aca="false">COUNTIFS(選手一覧!$C$7:$C$2738,A161,選手一覧!$K$7:$K$2738,"&lt;=100")</f>
        <v>0</v>
      </c>
      <c r="D161" s="14" t="n">
        <f aca="false">COUNTIFS(選手一覧!$C$7:$C$2738,A161,選手一覧!$E$7:$E$2738,"&lt;=100")</f>
        <v>0</v>
      </c>
      <c r="E161" s="14" t="n">
        <f aca="false">COUNTIFS(選手一覧!$C$7:$C$2738,A161,選手一覧!$G$7:$G$2738,"&lt;=100")</f>
        <v>0</v>
      </c>
      <c r="F161" s="14" t="n">
        <f aca="false">COUNTIFS(選手一覧!$C$7:$C$2738,A161,選手一覧!$I$7:$I$2738,"&lt;=100")</f>
        <v>0</v>
      </c>
      <c r="G161" s="13" t="n">
        <f aca="false">_xlfn.MINIFS(選手一覧!$K$7:$K$2738,選手一覧!$C$7:$C$2738,A161)</f>
        <v>111</v>
      </c>
      <c r="H161" s="16"/>
    </row>
    <row r="162" customFormat="false" ht="15" hidden="false" customHeight="false" outlineLevel="0" collapsed="false">
      <c r="A162" s="10" t="s">
        <v>564</v>
      </c>
      <c r="B162" s="12" t="n">
        <f aca="false">COUNTIF(選手一覧!$C$7:$C$2738,A162)</f>
        <v>7</v>
      </c>
      <c r="C162" s="14" t="n">
        <f aca="false">COUNTIFS(選手一覧!$C$7:$C$2738,A162,選手一覧!$K$7:$K$2738,"&lt;=100")</f>
        <v>0</v>
      </c>
      <c r="D162" s="14" t="n">
        <f aca="false">COUNTIFS(選手一覧!$C$7:$C$2738,A162,選手一覧!$E$7:$E$2738,"&lt;=100")</f>
        <v>0</v>
      </c>
      <c r="E162" s="14" t="n">
        <f aca="false">COUNTIFS(選手一覧!$C$7:$C$2738,A162,選手一覧!$G$7:$G$2738,"&lt;=100")</f>
        <v>0</v>
      </c>
      <c r="F162" s="14" t="n">
        <f aca="false">COUNTIFS(選手一覧!$C$7:$C$2738,A162,選手一覧!$I$7:$I$2738,"&lt;=100")</f>
        <v>0</v>
      </c>
      <c r="G162" s="13" t="n">
        <f aca="false">_xlfn.MINIFS(選手一覧!$K$7:$K$2738,選手一覧!$C$7:$C$2738,A162)</f>
        <v>148</v>
      </c>
      <c r="H162" s="16"/>
    </row>
    <row r="163" customFormat="false" ht="15" hidden="false" customHeight="false" outlineLevel="0" collapsed="false">
      <c r="A163" s="10" t="s">
        <v>570</v>
      </c>
      <c r="B163" s="12" t="n">
        <f aca="false">COUNTIF(選手一覧!$C$7:$C$2738,A163)</f>
        <v>7</v>
      </c>
      <c r="C163" s="14" t="n">
        <f aca="false">COUNTIFS(選手一覧!$C$7:$C$2738,A163,選手一覧!$K$7:$K$2738,"&lt;=100")</f>
        <v>0</v>
      </c>
      <c r="D163" s="14" t="n">
        <f aca="false">COUNTIFS(選手一覧!$C$7:$C$2738,A163,選手一覧!$E$7:$E$2738,"&lt;=100")</f>
        <v>0</v>
      </c>
      <c r="E163" s="14" t="n">
        <f aca="false">COUNTIFS(選手一覧!$C$7:$C$2738,A163,選手一覧!$G$7:$G$2738,"&lt;=100")</f>
        <v>0</v>
      </c>
      <c r="F163" s="14" t="n">
        <f aca="false">COUNTIFS(選手一覧!$C$7:$C$2738,A163,選手一覧!$I$7:$I$2738,"&lt;=100")</f>
        <v>0</v>
      </c>
      <c r="G163" s="13" t="n">
        <f aca="false">_xlfn.MINIFS(選手一覧!$K$7:$K$2738,選手一覧!$C$7:$C$2738,A163)</f>
        <v>150</v>
      </c>
      <c r="H163" s="16"/>
    </row>
    <row r="164" customFormat="false" ht="15" hidden="false" customHeight="false" outlineLevel="0" collapsed="false">
      <c r="A164" s="10" t="s">
        <v>614</v>
      </c>
      <c r="B164" s="12" t="n">
        <f aca="false">COUNTIF(選手一覧!$C$7:$C$2738,A164)</f>
        <v>7</v>
      </c>
      <c r="C164" s="14" t="n">
        <f aca="false">COUNTIFS(選手一覧!$C$7:$C$2738,A164,選手一覧!$K$7:$K$2738,"&lt;=100")</f>
        <v>0</v>
      </c>
      <c r="D164" s="14" t="n">
        <f aca="false">COUNTIFS(選手一覧!$C$7:$C$2738,A164,選手一覧!$E$7:$E$2738,"&lt;=100")</f>
        <v>0</v>
      </c>
      <c r="E164" s="14" t="n">
        <f aca="false">COUNTIFS(選手一覧!$C$7:$C$2738,A164,選手一覧!$G$7:$G$2738,"&lt;=100")</f>
        <v>0</v>
      </c>
      <c r="F164" s="14" t="n">
        <f aca="false">COUNTIFS(選手一覧!$C$7:$C$2738,A164,選手一覧!$I$7:$I$2738,"&lt;=100")</f>
        <v>0</v>
      </c>
      <c r="G164" s="13" t="n">
        <f aca="false">_xlfn.MINIFS(選手一覧!$K$7:$K$2738,選手一覧!$C$7:$C$2738,A164)</f>
        <v>164</v>
      </c>
      <c r="H164" s="16"/>
    </row>
    <row r="165" customFormat="false" ht="15" hidden="false" customHeight="false" outlineLevel="0" collapsed="false">
      <c r="A165" s="10" t="s">
        <v>1504</v>
      </c>
      <c r="B165" s="12" t="n">
        <f aca="false">COUNTIF(選手一覧!$C$7:$C$2738,A165)</f>
        <v>7</v>
      </c>
      <c r="C165" s="14" t="n">
        <f aca="false">COUNTIFS(選手一覧!$C$7:$C$2738,A165,選手一覧!$K$7:$K$2738,"&lt;=100")</f>
        <v>0</v>
      </c>
      <c r="D165" s="14" t="n">
        <f aca="false">COUNTIFS(選手一覧!$C$7:$C$2738,A165,選手一覧!$E$7:$E$2738,"&lt;=100")</f>
        <v>0</v>
      </c>
      <c r="E165" s="14" t="n">
        <f aca="false">COUNTIFS(選手一覧!$C$7:$C$2738,A165,選手一覧!$G$7:$G$2738,"&lt;=100")</f>
        <v>0</v>
      </c>
      <c r="F165" s="14" t="n">
        <f aca="false">COUNTIFS(選手一覧!$C$7:$C$2738,A165,選手一覧!$I$7:$I$2738,"&lt;=100")</f>
        <v>0</v>
      </c>
      <c r="G165" s="13" t="n">
        <f aca="false">_xlfn.MINIFS(選手一覧!$K$7:$K$2738,選手一覧!$C$7:$C$2738,A165)</f>
        <v>465</v>
      </c>
      <c r="H165" s="16"/>
    </row>
    <row r="166" customFormat="false" ht="15" hidden="false" customHeight="false" outlineLevel="0" collapsed="false">
      <c r="A166" s="10" t="s">
        <v>465</v>
      </c>
      <c r="B166" s="12" t="n">
        <f aca="false">COUNTIF(選手一覧!$C$7:$C$2738,A166)</f>
        <v>6</v>
      </c>
      <c r="C166" s="14" t="n">
        <f aca="false">COUNTIFS(選手一覧!$C$7:$C$2738,A166,選手一覧!$K$7:$K$2738,"&lt;=100")</f>
        <v>0</v>
      </c>
      <c r="D166" s="14" t="n">
        <f aca="false">COUNTIFS(選手一覧!$C$7:$C$2738,A166,選手一覧!$E$7:$E$2738,"&lt;=100")</f>
        <v>0</v>
      </c>
      <c r="E166" s="14" t="n">
        <f aca="false">COUNTIFS(選手一覧!$C$7:$C$2738,A166,選手一覧!$G$7:$G$2738,"&lt;=100")</f>
        <v>0</v>
      </c>
      <c r="F166" s="14" t="n">
        <f aca="false">COUNTIFS(選手一覧!$C$7:$C$2738,A166,選手一覧!$I$7:$I$2738,"&lt;=100")</f>
        <v>0</v>
      </c>
      <c r="G166" s="13" t="n">
        <f aca="false">_xlfn.MINIFS(選手一覧!$K$7:$K$2738,選手一覧!$C$7:$C$2738,A166)</f>
        <v>119</v>
      </c>
      <c r="H166" s="16"/>
    </row>
    <row r="167" customFormat="false" ht="15" hidden="false" customHeight="false" outlineLevel="0" collapsed="false">
      <c r="A167" s="10" t="s">
        <v>484</v>
      </c>
      <c r="B167" s="12" t="n">
        <f aca="false">COUNTIF(選手一覧!$C$7:$C$2738,A167)</f>
        <v>6</v>
      </c>
      <c r="C167" s="14" t="n">
        <f aca="false">COUNTIFS(選手一覧!$C$7:$C$2738,A167,選手一覧!$K$7:$K$2738,"&lt;=100")</f>
        <v>0</v>
      </c>
      <c r="D167" s="14" t="n">
        <f aca="false">COUNTIFS(選手一覧!$C$7:$C$2738,A167,選手一覧!$E$7:$E$2738,"&lt;=100")</f>
        <v>0</v>
      </c>
      <c r="E167" s="14" t="n">
        <f aca="false">COUNTIFS(選手一覧!$C$7:$C$2738,A167,選手一覧!$G$7:$G$2738,"&lt;=100")</f>
        <v>0</v>
      </c>
      <c r="F167" s="14" t="n">
        <f aca="false">COUNTIFS(選手一覧!$C$7:$C$2738,A167,選手一覧!$I$7:$I$2738,"&lt;=100")</f>
        <v>0</v>
      </c>
      <c r="G167" s="13" t="n">
        <f aca="false">_xlfn.MINIFS(選手一覧!$K$7:$K$2738,選手一覧!$C$7:$C$2738,A167)</f>
        <v>124</v>
      </c>
      <c r="H167" s="16"/>
    </row>
    <row r="168" customFormat="false" ht="15" hidden="false" customHeight="false" outlineLevel="0" collapsed="false">
      <c r="A168" s="10" t="s">
        <v>505</v>
      </c>
      <c r="B168" s="12" t="n">
        <f aca="false">COUNTIF(選手一覧!$C$7:$C$2738,A168)</f>
        <v>6</v>
      </c>
      <c r="C168" s="14" t="n">
        <f aca="false">COUNTIFS(選手一覧!$C$7:$C$2738,A168,選手一覧!$K$7:$K$2738,"&lt;=100")</f>
        <v>0</v>
      </c>
      <c r="D168" s="14" t="n">
        <f aca="false">COUNTIFS(選手一覧!$C$7:$C$2738,A168,選手一覧!$E$7:$E$2738,"&lt;=100")</f>
        <v>0</v>
      </c>
      <c r="E168" s="14" t="n">
        <f aca="false">COUNTIFS(選手一覧!$C$7:$C$2738,A168,選手一覧!$G$7:$G$2738,"&lt;=100")</f>
        <v>0</v>
      </c>
      <c r="F168" s="14" t="n">
        <f aca="false">COUNTIFS(選手一覧!$C$7:$C$2738,A168,選手一覧!$I$7:$I$2738,"&lt;=100")</f>
        <v>0</v>
      </c>
      <c r="G168" s="13" t="n">
        <f aca="false">_xlfn.MINIFS(選手一覧!$K$7:$K$2738,選手一覧!$C$7:$C$2738,A168)</f>
        <v>130</v>
      </c>
      <c r="H168" s="16"/>
    </row>
    <row r="169" customFormat="false" ht="15" hidden="false" customHeight="false" outlineLevel="0" collapsed="false">
      <c r="A169" s="10" t="s">
        <v>549</v>
      </c>
      <c r="B169" s="12" t="n">
        <f aca="false">COUNTIF(選手一覧!$C$7:$C$2738,A169)</f>
        <v>6</v>
      </c>
      <c r="C169" s="14" t="n">
        <f aca="false">COUNTIFS(選手一覧!$C$7:$C$2738,A169,選手一覧!$K$7:$K$2738,"&lt;=100")</f>
        <v>0</v>
      </c>
      <c r="D169" s="14" t="n">
        <f aca="false">COUNTIFS(選手一覧!$C$7:$C$2738,A169,選手一覧!$E$7:$E$2738,"&lt;=100")</f>
        <v>0</v>
      </c>
      <c r="E169" s="14" t="n">
        <f aca="false">COUNTIFS(選手一覧!$C$7:$C$2738,A169,選手一覧!$G$7:$G$2738,"&lt;=100")</f>
        <v>0</v>
      </c>
      <c r="F169" s="14" t="n">
        <f aca="false">COUNTIFS(選手一覧!$C$7:$C$2738,A169,選手一覧!$I$7:$I$2738,"&lt;=100")</f>
        <v>0</v>
      </c>
      <c r="G169" s="13" t="n">
        <f aca="false">_xlfn.MINIFS(選手一覧!$K$7:$K$2738,選手一覧!$C$7:$C$2738,A169)</f>
        <v>143</v>
      </c>
      <c r="H169" s="16"/>
    </row>
    <row r="170" customFormat="false" ht="15" hidden="false" customHeight="false" outlineLevel="0" collapsed="false">
      <c r="A170" s="10" t="s">
        <v>590</v>
      </c>
      <c r="B170" s="12" t="n">
        <f aca="false">COUNTIF(選手一覧!$C$7:$C$2738,A170)</f>
        <v>6</v>
      </c>
      <c r="C170" s="14" t="n">
        <f aca="false">COUNTIFS(選手一覧!$C$7:$C$2738,A170,選手一覧!$K$7:$K$2738,"&lt;=100")</f>
        <v>0</v>
      </c>
      <c r="D170" s="14" t="n">
        <f aca="false">COUNTIFS(選手一覧!$C$7:$C$2738,A170,選手一覧!$E$7:$E$2738,"&lt;=100")</f>
        <v>0</v>
      </c>
      <c r="E170" s="14" t="n">
        <f aca="false">COUNTIFS(選手一覧!$C$7:$C$2738,A170,選手一覧!$G$7:$G$2738,"&lt;=100")</f>
        <v>0</v>
      </c>
      <c r="F170" s="14" t="n">
        <f aca="false">COUNTIFS(選手一覧!$C$7:$C$2738,A170,選手一覧!$I$7:$I$2738,"&lt;=100")</f>
        <v>0</v>
      </c>
      <c r="G170" s="13" t="n">
        <f aca="false">_xlfn.MINIFS(選手一覧!$K$7:$K$2738,選手一覧!$C$7:$C$2738,A170)</f>
        <v>157</v>
      </c>
      <c r="H170" s="16"/>
    </row>
    <row r="171" customFormat="false" ht="15" hidden="false" customHeight="false" outlineLevel="0" collapsed="false">
      <c r="A171" s="10" t="s">
        <v>603</v>
      </c>
      <c r="B171" s="12" t="n">
        <f aca="false">COUNTIF(選手一覧!$C$7:$C$2738,A171)</f>
        <v>6</v>
      </c>
      <c r="C171" s="14" t="n">
        <f aca="false">COUNTIFS(選手一覧!$C$7:$C$2738,A171,選手一覧!$K$7:$K$2738,"&lt;=100")</f>
        <v>0</v>
      </c>
      <c r="D171" s="14" t="n">
        <f aca="false">COUNTIFS(選手一覧!$C$7:$C$2738,A171,選手一覧!$E$7:$E$2738,"&lt;=100")</f>
        <v>0</v>
      </c>
      <c r="E171" s="14" t="n">
        <f aca="false">COUNTIFS(選手一覧!$C$7:$C$2738,A171,選手一覧!$G$7:$G$2738,"&lt;=100")</f>
        <v>0</v>
      </c>
      <c r="F171" s="14" t="n">
        <f aca="false">COUNTIFS(選手一覧!$C$7:$C$2738,A171,選手一覧!$I$7:$I$2738,"&lt;=100")</f>
        <v>0</v>
      </c>
      <c r="G171" s="13" t="n">
        <f aca="false">_xlfn.MINIFS(選手一覧!$K$7:$K$2738,選手一覧!$C$7:$C$2738,A171)</f>
        <v>162</v>
      </c>
      <c r="H171" s="16"/>
    </row>
    <row r="172" customFormat="false" ht="15" hidden="false" customHeight="false" outlineLevel="0" collapsed="false">
      <c r="A172" s="10" t="s">
        <v>660</v>
      </c>
      <c r="B172" s="12" t="n">
        <f aca="false">COUNTIF(選手一覧!$C$7:$C$2738,A172)</f>
        <v>6</v>
      </c>
      <c r="C172" s="14" t="n">
        <f aca="false">COUNTIFS(選手一覧!$C$7:$C$2738,A172,選手一覧!$K$7:$K$2738,"&lt;=100")</f>
        <v>0</v>
      </c>
      <c r="D172" s="14" t="n">
        <f aca="false">COUNTIFS(選手一覧!$C$7:$C$2738,A172,選手一覧!$E$7:$E$2738,"&lt;=100")</f>
        <v>0</v>
      </c>
      <c r="E172" s="14" t="n">
        <f aca="false">COUNTIFS(選手一覧!$C$7:$C$2738,A172,選手一覧!$G$7:$G$2738,"&lt;=100")</f>
        <v>0</v>
      </c>
      <c r="F172" s="14" t="n">
        <f aca="false">COUNTIFS(選手一覧!$C$7:$C$2738,A172,選手一覧!$I$7:$I$2738,"&lt;=100")</f>
        <v>0</v>
      </c>
      <c r="G172" s="13" t="n">
        <f aca="false">_xlfn.MINIFS(選手一覧!$K$7:$K$2738,選手一覧!$C$7:$C$2738,A172)</f>
        <v>177</v>
      </c>
      <c r="H172" s="16"/>
    </row>
    <row r="173" customFormat="false" ht="15" hidden="false" customHeight="false" outlineLevel="0" collapsed="false">
      <c r="A173" s="10" t="s">
        <v>680</v>
      </c>
      <c r="B173" s="12" t="n">
        <f aca="false">COUNTIF(選手一覧!$C$7:$C$2738,A173)</f>
        <v>6</v>
      </c>
      <c r="C173" s="14" t="n">
        <f aca="false">COUNTIFS(選手一覧!$C$7:$C$2738,A173,選手一覧!$K$7:$K$2738,"&lt;=100")</f>
        <v>0</v>
      </c>
      <c r="D173" s="14" t="n">
        <f aca="false">COUNTIFS(選手一覧!$C$7:$C$2738,A173,選手一覧!$E$7:$E$2738,"&lt;=100")</f>
        <v>0</v>
      </c>
      <c r="E173" s="14" t="n">
        <f aca="false">COUNTIFS(選手一覧!$C$7:$C$2738,A173,選手一覧!$G$7:$G$2738,"&lt;=100")</f>
        <v>0</v>
      </c>
      <c r="F173" s="14" t="n">
        <f aca="false">COUNTIFS(選手一覧!$C$7:$C$2738,A173,選手一覧!$I$7:$I$2738,"&lt;=100")</f>
        <v>0</v>
      </c>
      <c r="G173" s="13" t="n">
        <f aca="false">_xlfn.MINIFS(選手一覧!$K$7:$K$2738,選手一覧!$C$7:$C$2738,A173)</f>
        <v>183</v>
      </c>
      <c r="H173" s="16"/>
    </row>
    <row r="174" customFormat="false" ht="15" hidden="false" customHeight="false" outlineLevel="0" collapsed="false">
      <c r="A174" s="10" t="s">
        <v>724</v>
      </c>
      <c r="B174" s="12" t="n">
        <f aca="false">COUNTIF(選手一覧!$C$7:$C$2738,A174)</f>
        <v>6</v>
      </c>
      <c r="C174" s="14" t="n">
        <f aca="false">COUNTIFS(選手一覧!$C$7:$C$2738,A174,選手一覧!$K$7:$K$2738,"&lt;=100")</f>
        <v>0</v>
      </c>
      <c r="D174" s="14" t="n">
        <f aca="false">COUNTIFS(選手一覧!$C$7:$C$2738,A174,選手一覧!$E$7:$E$2738,"&lt;=100")</f>
        <v>0</v>
      </c>
      <c r="E174" s="14" t="n">
        <f aca="false">COUNTIFS(選手一覧!$C$7:$C$2738,A174,選手一覧!$G$7:$G$2738,"&lt;=100")</f>
        <v>0</v>
      </c>
      <c r="F174" s="14" t="n">
        <f aca="false">COUNTIFS(選手一覧!$C$7:$C$2738,A174,選手一覧!$I$7:$I$2738,"&lt;=100")</f>
        <v>0</v>
      </c>
      <c r="G174" s="13" t="n">
        <f aca="false">_xlfn.MINIFS(選手一覧!$K$7:$K$2738,選手一覧!$C$7:$C$2738,A174)</f>
        <v>195</v>
      </c>
      <c r="H174" s="16"/>
    </row>
    <row r="175" customFormat="false" ht="15" hidden="false" customHeight="false" outlineLevel="0" collapsed="false">
      <c r="A175" s="10" t="s">
        <v>758</v>
      </c>
      <c r="B175" s="12" t="n">
        <f aca="false">COUNTIF(選手一覧!$C$7:$C$2738,A175)</f>
        <v>6</v>
      </c>
      <c r="C175" s="14" t="n">
        <f aca="false">COUNTIFS(選手一覧!$C$7:$C$2738,A175,選手一覧!$K$7:$K$2738,"&lt;=100")</f>
        <v>0</v>
      </c>
      <c r="D175" s="14" t="n">
        <f aca="false">COUNTIFS(選手一覧!$C$7:$C$2738,A175,選手一覧!$E$7:$E$2738,"&lt;=100")</f>
        <v>0</v>
      </c>
      <c r="E175" s="14" t="n">
        <f aca="false">COUNTIFS(選手一覧!$C$7:$C$2738,A175,選手一覧!$G$7:$G$2738,"&lt;=100")</f>
        <v>0</v>
      </c>
      <c r="F175" s="14" t="n">
        <f aca="false">COUNTIFS(選手一覧!$C$7:$C$2738,A175,選手一覧!$I$7:$I$2738,"&lt;=100")</f>
        <v>0</v>
      </c>
      <c r="G175" s="13" t="n">
        <f aca="false">_xlfn.MINIFS(選手一覧!$K$7:$K$2738,選手一覧!$C$7:$C$2738,A175)</f>
        <v>205</v>
      </c>
      <c r="H175" s="16"/>
    </row>
    <row r="176" customFormat="false" ht="15" hidden="false" customHeight="false" outlineLevel="0" collapsed="false">
      <c r="A176" s="10" t="s">
        <v>844</v>
      </c>
      <c r="B176" s="12" t="n">
        <f aca="false">COUNTIF(選手一覧!$C$7:$C$2738,A176)</f>
        <v>6</v>
      </c>
      <c r="C176" s="14" t="n">
        <f aca="false">COUNTIFS(選手一覧!$C$7:$C$2738,A176,選手一覧!$K$7:$K$2738,"&lt;=100")</f>
        <v>0</v>
      </c>
      <c r="D176" s="14" t="n">
        <f aca="false">COUNTIFS(選手一覧!$C$7:$C$2738,A176,選手一覧!$E$7:$E$2738,"&lt;=100")</f>
        <v>0</v>
      </c>
      <c r="E176" s="14" t="n">
        <f aca="false">COUNTIFS(選手一覧!$C$7:$C$2738,A176,選手一覧!$G$7:$G$2738,"&lt;=100")</f>
        <v>0</v>
      </c>
      <c r="F176" s="14" t="n">
        <f aca="false">COUNTIFS(選手一覧!$C$7:$C$2738,A176,選手一覧!$I$7:$I$2738,"&lt;=100")</f>
        <v>0</v>
      </c>
      <c r="G176" s="13" t="n">
        <f aca="false">_xlfn.MINIFS(選手一覧!$K$7:$K$2738,選手一覧!$C$7:$C$2738,A176)</f>
        <v>231</v>
      </c>
      <c r="H176" s="16"/>
    </row>
    <row r="177" customFormat="false" ht="15" hidden="false" customHeight="false" outlineLevel="0" collapsed="false">
      <c r="A177" s="10" t="s">
        <v>915</v>
      </c>
      <c r="B177" s="12" t="n">
        <f aca="false">COUNTIF(選手一覧!$C$7:$C$2738,A177)</f>
        <v>6</v>
      </c>
      <c r="C177" s="14" t="n">
        <f aca="false">COUNTIFS(選手一覧!$C$7:$C$2738,A177,選手一覧!$K$7:$K$2738,"&lt;=100")</f>
        <v>0</v>
      </c>
      <c r="D177" s="14" t="n">
        <f aca="false">COUNTIFS(選手一覧!$C$7:$C$2738,A177,選手一覧!$E$7:$E$2738,"&lt;=100")</f>
        <v>0</v>
      </c>
      <c r="E177" s="14" t="n">
        <f aca="false">COUNTIFS(選手一覧!$C$7:$C$2738,A177,選手一覧!$G$7:$G$2738,"&lt;=100")</f>
        <v>0</v>
      </c>
      <c r="F177" s="14" t="n">
        <f aca="false">COUNTIFS(選手一覧!$C$7:$C$2738,A177,選手一覧!$I$7:$I$2738,"&lt;=100")</f>
        <v>0</v>
      </c>
      <c r="G177" s="13" t="n">
        <f aca="false">_xlfn.MINIFS(選手一覧!$K$7:$K$2738,選手一覧!$C$7:$C$2738,A177)</f>
        <v>254</v>
      </c>
      <c r="H177" s="16"/>
    </row>
    <row r="178" customFormat="false" ht="15" hidden="false" customHeight="false" outlineLevel="0" collapsed="false">
      <c r="A178" s="10" t="s">
        <v>947</v>
      </c>
      <c r="B178" s="12" t="n">
        <f aca="false">COUNTIF(選手一覧!$C$7:$C$2738,A178)</f>
        <v>6</v>
      </c>
      <c r="C178" s="14" t="n">
        <f aca="false">COUNTIFS(選手一覧!$C$7:$C$2738,A178,選手一覧!$K$7:$K$2738,"&lt;=100")</f>
        <v>0</v>
      </c>
      <c r="D178" s="14" t="n">
        <f aca="false">COUNTIFS(選手一覧!$C$7:$C$2738,A178,選手一覧!$E$7:$E$2738,"&lt;=100")</f>
        <v>0</v>
      </c>
      <c r="E178" s="14" t="n">
        <f aca="false">COUNTIFS(選手一覧!$C$7:$C$2738,A178,選手一覧!$G$7:$G$2738,"&lt;=100")</f>
        <v>0</v>
      </c>
      <c r="F178" s="14" t="n">
        <f aca="false">COUNTIFS(選手一覧!$C$7:$C$2738,A178,選手一覧!$I$7:$I$2738,"&lt;=100")</f>
        <v>0</v>
      </c>
      <c r="G178" s="13" t="n">
        <f aca="false">_xlfn.MINIFS(選手一覧!$K$7:$K$2738,選手一覧!$C$7:$C$2738,A178)</f>
        <v>264</v>
      </c>
      <c r="H178" s="16"/>
    </row>
    <row r="179" customFormat="false" ht="15" hidden="false" customHeight="false" outlineLevel="0" collapsed="false">
      <c r="A179" s="10" t="s">
        <v>1020</v>
      </c>
      <c r="B179" s="12" t="n">
        <f aca="false">COUNTIF(選手一覧!$C$7:$C$2738,A179)</f>
        <v>6</v>
      </c>
      <c r="C179" s="14" t="n">
        <f aca="false">COUNTIFS(選手一覧!$C$7:$C$2738,A179,選手一覧!$K$7:$K$2738,"&lt;=100")</f>
        <v>0</v>
      </c>
      <c r="D179" s="14" t="n">
        <f aca="false">COUNTIFS(選手一覧!$C$7:$C$2738,A179,選手一覧!$E$7:$E$2738,"&lt;=100")</f>
        <v>0</v>
      </c>
      <c r="E179" s="14" t="n">
        <f aca="false">COUNTIFS(選手一覧!$C$7:$C$2738,A179,選手一覧!$G$7:$G$2738,"&lt;=100")</f>
        <v>0</v>
      </c>
      <c r="F179" s="14" t="n">
        <f aca="false">COUNTIFS(選手一覧!$C$7:$C$2738,A179,選手一覧!$I$7:$I$2738,"&lt;=100")</f>
        <v>0</v>
      </c>
      <c r="G179" s="13" t="n">
        <f aca="false">_xlfn.MINIFS(選手一覧!$K$7:$K$2738,選手一覧!$C$7:$C$2738,A179)</f>
        <v>290</v>
      </c>
      <c r="H179" s="16"/>
    </row>
    <row r="180" customFormat="false" ht="15" hidden="false" customHeight="false" outlineLevel="0" collapsed="false">
      <c r="A180" s="10" t="s">
        <v>1023</v>
      </c>
      <c r="B180" s="12" t="n">
        <f aca="false">COUNTIF(選手一覧!$C$7:$C$2738,A180)</f>
        <v>6</v>
      </c>
      <c r="C180" s="14" t="n">
        <f aca="false">COUNTIFS(選手一覧!$C$7:$C$2738,A180,選手一覧!$K$7:$K$2738,"&lt;=100")</f>
        <v>0</v>
      </c>
      <c r="D180" s="14" t="n">
        <f aca="false">COUNTIFS(選手一覧!$C$7:$C$2738,A180,選手一覧!$E$7:$E$2738,"&lt;=100")</f>
        <v>0</v>
      </c>
      <c r="E180" s="14" t="n">
        <f aca="false">COUNTIFS(選手一覧!$C$7:$C$2738,A180,選手一覧!$G$7:$G$2738,"&lt;=100")</f>
        <v>0</v>
      </c>
      <c r="F180" s="14" t="n">
        <f aca="false">COUNTIFS(選手一覧!$C$7:$C$2738,A180,選手一覧!$I$7:$I$2738,"&lt;=100")</f>
        <v>0</v>
      </c>
      <c r="G180" s="13" t="n">
        <f aca="false">_xlfn.MINIFS(選手一覧!$K$7:$K$2738,選手一覧!$C$7:$C$2738,A180)</f>
        <v>292</v>
      </c>
      <c r="H180" s="16"/>
    </row>
    <row r="181" customFormat="false" ht="15" hidden="false" customHeight="false" outlineLevel="0" collapsed="false">
      <c r="A181" s="10" t="s">
        <v>1155</v>
      </c>
      <c r="B181" s="12" t="n">
        <f aca="false">COUNTIF(選手一覧!$C$7:$C$2738,A181)</f>
        <v>6</v>
      </c>
      <c r="C181" s="14" t="n">
        <f aca="false">COUNTIFS(選手一覧!$C$7:$C$2738,A181,選手一覧!$K$7:$K$2738,"&lt;=100")</f>
        <v>0</v>
      </c>
      <c r="D181" s="14" t="n">
        <f aca="false">COUNTIFS(選手一覧!$C$7:$C$2738,A181,選手一覧!$E$7:$E$2738,"&lt;=100")</f>
        <v>0</v>
      </c>
      <c r="E181" s="14" t="n">
        <f aca="false">COUNTIFS(選手一覧!$C$7:$C$2738,A181,選手一覧!$G$7:$G$2738,"&lt;=100")</f>
        <v>0</v>
      </c>
      <c r="F181" s="14" t="n">
        <f aca="false">COUNTIFS(選手一覧!$C$7:$C$2738,A181,選手一覧!$I$7:$I$2738,"&lt;=100")</f>
        <v>0</v>
      </c>
      <c r="G181" s="13" t="n">
        <f aca="false">_xlfn.MINIFS(選手一覧!$K$7:$K$2738,選手一覧!$C$7:$C$2738,A181)</f>
        <v>339</v>
      </c>
      <c r="H181" s="16"/>
    </row>
    <row r="182" customFormat="false" ht="15" hidden="false" customHeight="false" outlineLevel="0" collapsed="false">
      <c r="A182" s="10" t="s">
        <v>538</v>
      </c>
      <c r="B182" s="12" t="n">
        <f aca="false">COUNTIF(選手一覧!$C$7:$C$2738,A182)</f>
        <v>5</v>
      </c>
      <c r="C182" s="14" t="n">
        <f aca="false">COUNTIFS(選手一覧!$C$7:$C$2738,A182,選手一覧!$K$7:$K$2738,"&lt;=100")</f>
        <v>0</v>
      </c>
      <c r="D182" s="14" t="n">
        <f aca="false">COUNTIFS(選手一覧!$C$7:$C$2738,A182,選手一覧!$E$7:$E$2738,"&lt;=100")</f>
        <v>0</v>
      </c>
      <c r="E182" s="14" t="n">
        <f aca="false">COUNTIFS(選手一覧!$C$7:$C$2738,A182,選手一覧!$G$7:$G$2738,"&lt;=100")</f>
        <v>0</v>
      </c>
      <c r="F182" s="14" t="n">
        <f aca="false">COUNTIFS(選手一覧!$C$7:$C$2738,A182,選手一覧!$I$7:$I$2738,"&lt;=100")</f>
        <v>0</v>
      </c>
      <c r="G182" s="13" t="n">
        <f aca="false">_xlfn.MINIFS(選手一覧!$K$7:$K$2738,選手一覧!$C$7:$C$2738,A182)</f>
        <v>139</v>
      </c>
      <c r="H182" s="16"/>
    </row>
    <row r="183" customFormat="false" ht="15" hidden="false" customHeight="false" outlineLevel="0" collapsed="false">
      <c r="A183" s="10" t="s">
        <v>555</v>
      </c>
      <c r="B183" s="12" t="n">
        <f aca="false">COUNTIF(選手一覧!$C$7:$C$2738,A183)</f>
        <v>5</v>
      </c>
      <c r="C183" s="14" t="n">
        <f aca="false">COUNTIFS(選手一覧!$C$7:$C$2738,A183,選手一覧!$K$7:$K$2738,"&lt;=100")</f>
        <v>0</v>
      </c>
      <c r="D183" s="14" t="n">
        <f aca="false">COUNTIFS(選手一覧!$C$7:$C$2738,A183,選手一覧!$E$7:$E$2738,"&lt;=100")</f>
        <v>0</v>
      </c>
      <c r="E183" s="14" t="n">
        <f aca="false">COUNTIFS(選手一覧!$C$7:$C$2738,A183,選手一覧!$G$7:$G$2738,"&lt;=100")</f>
        <v>0</v>
      </c>
      <c r="F183" s="14" t="n">
        <f aca="false">COUNTIFS(選手一覧!$C$7:$C$2738,A183,選手一覧!$I$7:$I$2738,"&lt;=100")</f>
        <v>0</v>
      </c>
      <c r="G183" s="13" t="n">
        <f aca="false">_xlfn.MINIFS(選手一覧!$K$7:$K$2738,選手一覧!$C$7:$C$2738,A183)</f>
        <v>145</v>
      </c>
      <c r="H183" s="16"/>
    </row>
    <row r="184" customFormat="false" ht="15" hidden="false" customHeight="false" outlineLevel="0" collapsed="false">
      <c r="A184" s="10" t="s">
        <v>567</v>
      </c>
      <c r="B184" s="12" t="n">
        <f aca="false">COUNTIF(選手一覧!$C$7:$C$2738,A184)</f>
        <v>5</v>
      </c>
      <c r="C184" s="14" t="n">
        <f aca="false">COUNTIFS(選手一覧!$C$7:$C$2738,A184,選手一覧!$K$7:$K$2738,"&lt;=100")</f>
        <v>0</v>
      </c>
      <c r="D184" s="14" t="n">
        <f aca="false">COUNTIFS(選手一覧!$C$7:$C$2738,A184,選手一覧!$E$7:$E$2738,"&lt;=100")</f>
        <v>0</v>
      </c>
      <c r="E184" s="14" t="n">
        <f aca="false">COUNTIFS(選手一覧!$C$7:$C$2738,A184,選手一覧!$G$7:$G$2738,"&lt;=100")</f>
        <v>0</v>
      </c>
      <c r="F184" s="14" t="n">
        <f aca="false">COUNTIFS(選手一覧!$C$7:$C$2738,A184,選手一覧!$I$7:$I$2738,"&lt;=100")</f>
        <v>0</v>
      </c>
      <c r="G184" s="13" t="n">
        <f aca="false">_xlfn.MINIFS(選手一覧!$K$7:$K$2738,選手一覧!$C$7:$C$2738,A184)</f>
        <v>149</v>
      </c>
      <c r="H184" s="16"/>
    </row>
    <row r="185" customFormat="false" ht="15" hidden="false" customHeight="false" outlineLevel="0" collapsed="false">
      <c r="A185" s="10" t="s">
        <v>592</v>
      </c>
      <c r="B185" s="12" t="n">
        <f aca="false">COUNTIF(選手一覧!$C$7:$C$2738,A185)</f>
        <v>5</v>
      </c>
      <c r="C185" s="14" t="n">
        <f aca="false">COUNTIFS(選手一覧!$C$7:$C$2738,A185,選手一覧!$K$7:$K$2738,"&lt;=100")</f>
        <v>0</v>
      </c>
      <c r="D185" s="14" t="n">
        <f aca="false">COUNTIFS(選手一覧!$C$7:$C$2738,A185,選手一覧!$E$7:$E$2738,"&lt;=100")</f>
        <v>0</v>
      </c>
      <c r="E185" s="14" t="n">
        <f aca="false">COUNTIFS(選手一覧!$C$7:$C$2738,A185,選手一覧!$G$7:$G$2738,"&lt;=100")</f>
        <v>0</v>
      </c>
      <c r="F185" s="14" t="n">
        <f aca="false">COUNTIFS(選手一覧!$C$7:$C$2738,A185,選手一覧!$I$7:$I$2738,"&lt;=100")</f>
        <v>0</v>
      </c>
      <c r="G185" s="13" t="n">
        <f aca="false">_xlfn.MINIFS(選手一覧!$K$7:$K$2738,選手一覧!$C$7:$C$2738,A185)</f>
        <v>158</v>
      </c>
      <c r="H185" s="16"/>
    </row>
    <row r="186" customFormat="false" ht="15" hidden="false" customHeight="false" outlineLevel="0" collapsed="false">
      <c r="A186" s="10" t="s">
        <v>688</v>
      </c>
      <c r="B186" s="12" t="n">
        <f aca="false">COUNTIF(選手一覧!$C$7:$C$2738,A186)</f>
        <v>5</v>
      </c>
      <c r="C186" s="14" t="n">
        <f aca="false">COUNTIFS(選手一覧!$C$7:$C$2738,A186,選手一覧!$K$7:$K$2738,"&lt;=100")</f>
        <v>0</v>
      </c>
      <c r="D186" s="14" t="n">
        <f aca="false">COUNTIFS(選手一覧!$C$7:$C$2738,A186,選手一覧!$E$7:$E$2738,"&lt;=100")</f>
        <v>0</v>
      </c>
      <c r="E186" s="14" t="n">
        <f aca="false">COUNTIFS(選手一覧!$C$7:$C$2738,A186,選手一覧!$G$7:$G$2738,"&lt;=100")</f>
        <v>0</v>
      </c>
      <c r="F186" s="14" t="n">
        <f aca="false">COUNTIFS(選手一覧!$C$7:$C$2738,A186,選手一覧!$I$7:$I$2738,"&lt;=100")</f>
        <v>0</v>
      </c>
      <c r="G186" s="13" t="n">
        <f aca="false">_xlfn.MINIFS(選手一覧!$K$7:$K$2738,選手一覧!$C$7:$C$2738,A186)</f>
        <v>185</v>
      </c>
      <c r="H186" s="16"/>
    </row>
    <row r="187" customFormat="false" ht="15" hidden="false" customHeight="false" outlineLevel="0" collapsed="false">
      <c r="A187" s="10" t="s">
        <v>705</v>
      </c>
      <c r="B187" s="12" t="n">
        <f aca="false">COUNTIF(選手一覧!$C$7:$C$2738,A187)</f>
        <v>5</v>
      </c>
      <c r="C187" s="14" t="n">
        <f aca="false">COUNTIFS(選手一覧!$C$7:$C$2738,A187,選手一覧!$K$7:$K$2738,"&lt;=100")</f>
        <v>0</v>
      </c>
      <c r="D187" s="14" t="n">
        <f aca="false">COUNTIFS(選手一覧!$C$7:$C$2738,A187,選手一覧!$E$7:$E$2738,"&lt;=100")</f>
        <v>0</v>
      </c>
      <c r="E187" s="14" t="n">
        <f aca="false">COUNTIFS(選手一覧!$C$7:$C$2738,A187,選手一覧!$G$7:$G$2738,"&lt;=100")</f>
        <v>0</v>
      </c>
      <c r="F187" s="14" t="n">
        <f aca="false">COUNTIFS(選手一覧!$C$7:$C$2738,A187,選手一覧!$I$7:$I$2738,"&lt;=100")</f>
        <v>0</v>
      </c>
      <c r="G187" s="13" t="n">
        <f aca="false">_xlfn.MINIFS(選手一覧!$K$7:$K$2738,選手一覧!$C$7:$C$2738,A187)</f>
        <v>189</v>
      </c>
      <c r="H187" s="16"/>
    </row>
    <row r="188" customFormat="false" ht="15" hidden="false" customHeight="false" outlineLevel="0" collapsed="false">
      <c r="A188" s="10" t="s">
        <v>712</v>
      </c>
      <c r="B188" s="12" t="n">
        <f aca="false">COUNTIF(選手一覧!$C$7:$C$2738,A188)</f>
        <v>5</v>
      </c>
      <c r="C188" s="14" t="n">
        <f aca="false">COUNTIFS(選手一覧!$C$7:$C$2738,A188,選手一覧!$K$7:$K$2738,"&lt;=100")</f>
        <v>0</v>
      </c>
      <c r="D188" s="14" t="n">
        <f aca="false">COUNTIFS(選手一覧!$C$7:$C$2738,A188,選手一覧!$E$7:$E$2738,"&lt;=100")</f>
        <v>0</v>
      </c>
      <c r="E188" s="14" t="n">
        <f aca="false">COUNTIFS(選手一覧!$C$7:$C$2738,A188,選手一覧!$G$7:$G$2738,"&lt;=100")</f>
        <v>0</v>
      </c>
      <c r="F188" s="14" t="n">
        <f aca="false">COUNTIFS(選手一覧!$C$7:$C$2738,A188,選手一覧!$I$7:$I$2738,"&lt;=100")</f>
        <v>0</v>
      </c>
      <c r="G188" s="13" t="n">
        <f aca="false">_xlfn.MINIFS(選手一覧!$K$7:$K$2738,選手一覧!$C$7:$C$2738,A188)</f>
        <v>192</v>
      </c>
      <c r="H188" s="16"/>
    </row>
    <row r="189" customFormat="false" ht="15" hidden="false" customHeight="false" outlineLevel="0" collapsed="false">
      <c r="A189" s="10" t="s">
        <v>720</v>
      </c>
      <c r="B189" s="12" t="n">
        <f aca="false">COUNTIF(選手一覧!$C$7:$C$2738,A189)</f>
        <v>5</v>
      </c>
      <c r="C189" s="14" t="n">
        <f aca="false">COUNTIFS(選手一覧!$C$7:$C$2738,A189,選手一覧!$K$7:$K$2738,"&lt;=100")</f>
        <v>0</v>
      </c>
      <c r="D189" s="14" t="n">
        <f aca="false">COUNTIFS(選手一覧!$C$7:$C$2738,A189,選手一覧!$E$7:$E$2738,"&lt;=100")</f>
        <v>0</v>
      </c>
      <c r="E189" s="14" t="n">
        <f aca="false">COUNTIFS(選手一覧!$C$7:$C$2738,A189,選手一覧!$G$7:$G$2738,"&lt;=100")</f>
        <v>0</v>
      </c>
      <c r="F189" s="14" t="n">
        <f aca="false">COUNTIFS(選手一覧!$C$7:$C$2738,A189,選手一覧!$I$7:$I$2738,"&lt;=100")</f>
        <v>0</v>
      </c>
      <c r="G189" s="13" t="n">
        <f aca="false">_xlfn.MINIFS(選手一覧!$K$7:$K$2738,選手一覧!$C$7:$C$2738,A189)</f>
        <v>194</v>
      </c>
      <c r="H189" s="16"/>
    </row>
    <row r="190" customFormat="false" ht="15" hidden="false" customHeight="false" outlineLevel="0" collapsed="false">
      <c r="A190" s="10" t="s">
        <v>810</v>
      </c>
      <c r="B190" s="12" t="n">
        <f aca="false">COUNTIF(選手一覧!$C$7:$C$2738,A190)</f>
        <v>5</v>
      </c>
      <c r="C190" s="14" t="n">
        <f aca="false">COUNTIFS(選手一覧!$C$7:$C$2738,A190,選手一覧!$K$7:$K$2738,"&lt;=100")</f>
        <v>0</v>
      </c>
      <c r="D190" s="14" t="n">
        <f aca="false">COUNTIFS(選手一覧!$C$7:$C$2738,A190,選手一覧!$E$7:$E$2738,"&lt;=100")</f>
        <v>0</v>
      </c>
      <c r="E190" s="14" t="n">
        <f aca="false">COUNTIFS(選手一覧!$C$7:$C$2738,A190,選手一覧!$G$7:$G$2738,"&lt;=100")</f>
        <v>0</v>
      </c>
      <c r="F190" s="14" t="n">
        <f aca="false">COUNTIFS(選手一覧!$C$7:$C$2738,A190,選手一覧!$I$7:$I$2738,"&lt;=100")</f>
        <v>0</v>
      </c>
      <c r="G190" s="13" t="n">
        <f aca="false">_xlfn.MINIFS(選手一覧!$K$7:$K$2738,選手一覧!$C$7:$C$2738,A190)</f>
        <v>222</v>
      </c>
      <c r="H190" s="16"/>
    </row>
    <row r="191" customFormat="false" ht="15" hidden="false" customHeight="false" outlineLevel="0" collapsed="false">
      <c r="A191" s="10" t="s">
        <v>814</v>
      </c>
      <c r="B191" s="12" t="n">
        <f aca="false">COUNTIF(選手一覧!$C$7:$C$2738,A191)</f>
        <v>5</v>
      </c>
      <c r="C191" s="14" t="n">
        <f aca="false">COUNTIFS(選手一覧!$C$7:$C$2738,A191,選手一覧!$K$7:$K$2738,"&lt;=100")</f>
        <v>0</v>
      </c>
      <c r="D191" s="14" t="n">
        <f aca="false">COUNTIFS(選手一覧!$C$7:$C$2738,A191,選手一覧!$E$7:$E$2738,"&lt;=100")</f>
        <v>0</v>
      </c>
      <c r="E191" s="14" t="n">
        <f aca="false">COUNTIFS(選手一覧!$C$7:$C$2738,A191,選手一覧!$G$7:$G$2738,"&lt;=100")</f>
        <v>0</v>
      </c>
      <c r="F191" s="14" t="n">
        <f aca="false">COUNTIFS(選手一覧!$C$7:$C$2738,A191,選手一覧!$I$7:$I$2738,"&lt;=100")</f>
        <v>0</v>
      </c>
      <c r="G191" s="13" t="n">
        <f aca="false">_xlfn.MINIFS(選手一覧!$K$7:$K$2738,選手一覧!$C$7:$C$2738,A191)</f>
        <v>223</v>
      </c>
      <c r="H191" s="16"/>
    </row>
    <row r="192" customFormat="false" ht="15" hidden="false" customHeight="false" outlineLevel="0" collapsed="false">
      <c r="A192" s="10" t="s">
        <v>823</v>
      </c>
      <c r="B192" s="12" t="n">
        <f aca="false">COUNTIF(選手一覧!$C$7:$C$2738,A192)</f>
        <v>5</v>
      </c>
      <c r="C192" s="14" t="n">
        <f aca="false">COUNTIFS(選手一覧!$C$7:$C$2738,A192,選手一覧!$K$7:$K$2738,"&lt;=100")</f>
        <v>0</v>
      </c>
      <c r="D192" s="14" t="n">
        <f aca="false">COUNTIFS(選手一覧!$C$7:$C$2738,A192,選手一覧!$E$7:$E$2738,"&lt;=100")</f>
        <v>0</v>
      </c>
      <c r="E192" s="14" t="n">
        <f aca="false">COUNTIFS(選手一覧!$C$7:$C$2738,A192,選手一覧!$G$7:$G$2738,"&lt;=100")</f>
        <v>0</v>
      </c>
      <c r="F192" s="14" t="n">
        <f aca="false">COUNTIFS(選手一覧!$C$7:$C$2738,A192,選手一覧!$I$7:$I$2738,"&lt;=100")</f>
        <v>0</v>
      </c>
      <c r="G192" s="13" t="n">
        <f aca="false">_xlfn.MINIFS(選手一覧!$K$7:$K$2738,選手一覧!$C$7:$C$2738,A192)</f>
        <v>224</v>
      </c>
      <c r="H192" s="16"/>
    </row>
    <row r="193" customFormat="false" ht="15" hidden="false" customHeight="false" outlineLevel="0" collapsed="false">
      <c r="A193" s="10" t="s">
        <v>857</v>
      </c>
      <c r="B193" s="12" t="n">
        <f aca="false">COUNTIF(選手一覧!$C$7:$C$2738,A193)</f>
        <v>5</v>
      </c>
      <c r="C193" s="14" t="n">
        <f aca="false">COUNTIFS(選手一覧!$C$7:$C$2738,A193,選手一覧!$K$7:$K$2738,"&lt;=100")</f>
        <v>0</v>
      </c>
      <c r="D193" s="14" t="n">
        <f aca="false">COUNTIFS(選手一覧!$C$7:$C$2738,A193,選手一覧!$E$7:$E$2738,"&lt;=100")</f>
        <v>0</v>
      </c>
      <c r="E193" s="14" t="n">
        <f aca="false">COUNTIFS(選手一覧!$C$7:$C$2738,A193,選手一覧!$G$7:$G$2738,"&lt;=100")</f>
        <v>0</v>
      </c>
      <c r="F193" s="14" t="n">
        <f aca="false">COUNTIFS(選手一覧!$C$7:$C$2738,A193,選手一覧!$I$7:$I$2738,"&lt;=100")</f>
        <v>0</v>
      </c>
      <c r="G193" s="13" t="n">
        <f aca="false">_xlfn.MINIFS(選手一覧!$K$7:$K$2738,選手一覧!$C$7:$C$2738,A193)</f>
        <v>234</v>
      </c>
      <c r="H193" s="16"/>
    </row>
    <row r="194" customFormat="false" ht="15" hidden="false" customHeight="false" outlineLevel="0" collapsed="false">
      <c r="A194" s="10" t="s">
        <v>906</v>
      </c>
      <c r="B194" s="12" t="n">
        <f aca="false">COUNTIF(選手一覧!$C$7:$C$2738,A194)</f>
        <v>5</v>
      </c>
      <c r="C194" s="14" t="n">
        <f aca="false">COUNTIFS(選手一覧!$C$7:$C$2738,A194,選手一覧!$K$7:$K$2738,"&lt;=100")</f>
        <v>0</v>
      </c>
      <c r="D194" s="14" t="n">
        <f aca="false">COUNTIFS(選手一覧!$C$7:$C$2738,A194,選手一覧!$E$7:$E$2738,"&lt;=100")</f>
        <v>0</v>
      </c>
      <c r="E194" s="14" t="n">
        <f aca="false">COUNTIFS(選手一覧!$C$7:$C$2738,A194,選手一覧!$G$7:$G$2738,"&lt;=100")</f>
        <v>0</v>
      </c>
      <c r="F194" s="14" t="n">
        <f aca="false">COUNTIFS(選手一覧!$C$7:$C$2738,A194,選手一覧!$I$7:$I$2738,"&lt;=100")</f>
        <v>0</v>
      </c>
      <c r="G194" s="13" t="n">
        <f aca="false">_xlfn.MINIFS(選手一覧!$K$7:$K$2738,選手一覧!$C$7:$C$2738,A194)</f>
        <v>251</v>
      </c>
      <c r="H194" s="16"/>
    </row>
    <row r="195" customFormat="false" ht="15" hidden="false" customHeight="false" outlineLevel="0" collapsed="false">
      <c r="A195" s="10" t="s">
        <v>917</v>
      </c>
      <c r="B195" s="12" t="n">
        <f aca="false">COUNTIF(選手一覧!$C$7:$C$2738,A195)</f>
        <v>5</v>
      </c>
      <c r="C195" s="14" t="n">
        <f aca="false">COUNTIFS(選手一覧!$C$7:$C$2738,A195,選手一覧!$K$7:$K$2738,"&lt;=100")</f>
        <v>0</v>
      </c>
      <c r="D195" s="14" t="n">
        <f aca="false">COUNTIFS(選手一覧!$C$7:$C$2738,A195,選手一覧!$E$7:$E$2738,"&lt;=100")</f>
        <v>0</v>
      </c>
      <c r="E195" s="14" t="n">
        <f aca="false">COUNTIFS(選手一覧!$C$7:$C$2738,A195,選手一覧!$G$7:$G$2738,"&lt;=100")</f>
        <v>0</v>
      </c>
      <c r="F195" s="14" t="n">
        <f aca="false">COUNTIFS(選手一覧!$C$7:$C$2738,A195,選手一覧!$I$7:$I$2738,"&lt;=100")</f>
        <v>0</v>
      </c>
      <c r="G195" s="13" t="n">
        <f aca="false">_xlfn.MINIFS(選手一覧!$K$7:$K$2738,選手一覧!$C$7:$C$2738,A195)</f>
        <v>255</v>
      </c>
      <c r="H195" s="16"/>
    </row>
    <row r="196" customFormat="false" ht="15" hidden="false" customHeight="false" outlineLevel="0" collapsed="false">
      <c r="A196" s="10" t="s">
        <v>954</v>
      </c>
      <c r="B196" s="12" t="n">
        <f aca="false">COUNTIF(選手一覧!$C$7:$C$2738,A196)</f>
        <v>5</v>
      </c>
      <c r="C196" s="14" t="n">
        <f aca="false">COUNTIFS(選手一覧!$C$7:$C$2738,A196,選手一覧!$K$7:$K$2738,"&lt;=100")</f>
        <v>0</v>
      </c>
      <c r="D196" s="14" t="n">
        <f aca="false">COUNTIFS(選手一覧!$C$7:$C$2738,A196,選手一覧!$E$7:$E$2738,"&lt;=100")</f>
        <v>0</v>
      </c>
      <c r="E196" s="14" t="n">
        <f aca="false">COUNTIFS(選手一覧!$C$7:$C$2738,A196,選手一覧!$G$7:$G$2738,"&lt;=100")</f>
        <v>0</v>
      </c>
      <c r="F196" s="14" t="n">
        <f aca="false">COUNTIFS(選手一覧!$C$7:$C$2738,A196,選手一覧!$I$7:$I$2738,"&lt;=100")</f>
        <v>0</v>
      </c>
      <c r="G196" s="13" t="n">
        <f aca="false">_xlfn.MINIFS(選手一覧!$K$7:$K$2738,選手一覧!$C$7:$C$2738,A196)</f>
        <v>265</v>
      </c>
      <c r="H196" s="16"/>
    </row>
    <row r="197" customFormat="false" ht="15" hidden="false" customHeight="false" outlineLevel="0" collapsed="false">
      <c r="A197" s="10" t="s">
        <v>974</v>
      </c>
      <c r="B197" s="12" t="n">
        <f aca="false">COUNTIF(選手一覧!$C$7:$C$2738,A197)</f>
        <v>5</v>
      </c>
      <c r="C197" s="14" t="n">
        <f aca="false">COUNTIFS(選手一覧!$C$7:$C$2738,A197,選手一覧!$K$7:$K$2738,"&lt;=100")</f>
        <v>0</v>
      </c>
      <c r="D197" s="14" t="n">
        <f aca="false">COUNTIFS(選手一覧!$C$7:$C$2738,A197,選手一覧!$E$7:$E$2738,"&lt;=100")</f>
        <v>0</v>
      </c>
      <c r="E197" s="14" t="n">
        <f aca="false">COUNTIFS(選手一覧!$C$7:$C$2738,A197,選手一覧!$G$7:$G$2738,"&lt;=100")</f>
        <v>0</v>
      </c>
      <c r="F197" s="14" t="n">
        <f aca="false">COUNTIFS(選手一覧!$C$7:$C$2738,A197,選手一覧!$I$7:$I$2738,"&lt;=100")</f>
        <v>0</v>
      </c>
      <c r="G197" s="13" t="n">
        <f aca="false">_xlfn.MINIFS(選手一覧!$K$7:$K$2738,選手一覧!$C$7:$C$2738,A197)</f>
        <v>275</v>
      </c>
      <c r="H197" s="16"/>
    </row>
    <row r="198" customFormat="false" ht="15" hidden="false" customHeight="false" outlineLevel="0" collapsed="false">
      <c r="A198" s="10" t="s">
        <v>1130</v>
      </c>
      <c r="B198" s="12" t="n">
        <f aca="false">COUNTIF(選手一覧!$C$7:$C$2738,A198)</f>
        <v>5</v>
      </c>
      <c r="C198" s="14" t="n">
        <f aca="false">COUNTIFS(選手一覧!$C$7:$C$2738,A198,選手一覧!$K$7:$K$2738,"&lt;=100")</f>
        <v>0</v>
      </c>
      <c r="D198" s="14" t="n">
        <f aca="false">COUNTIFS(選手一覧!$C$7:$C$2738,A198,選手一覧!$E$7:$E$2738,"&lt;=100")</f>
        <v>0</v>
      </c>
      <c r="E198" s="14" t="n">
        <f aca="false">COUNTIFS(選手一覧!$C$7:$C$2738,A198,選手一覧!$G$7:$G$2738,"&lt;=100")</f>
        <v>0</v>
      </c>
      <c r="F198" s="14" t="n">
        <f aca="false">COUNTIFS(選手一覧!$C$7:$C$2738,A198,選手一覧!$I$7:$I$2738,"&lt;=100")</f>
        <v>0</v>
      </c>
      <c r="G198" s="13" t="n">
        <f aca="false">_xlfn.MINIFS(選手一覧!$K$7:$K$2738,選手一覧!$C$7:$C$2738,A198)</f>
        <v>330</v>
      </c>
      <c r="H198" s="16"/>
    </row>
    <row r="199" customFormat="false" ht="15" hidden="false" customHeight="false" outlineLevel="0" collapsed="false">
      <c r="A199" s="10" t="s">
        <v>1309</v>
      </c>
      <c r="B199" s="12" t="n">
        <f aca="false">COUNTIF(選手一覧!$C$7:$C$2738,A199)</f>
        <v>5</v>
      </c>
      <c r="C199" s="14" t="n">
        <f aca="false">COUNTIFS(選手一覧!$C$7:$C$2738,A199,選手一覧!$K$7:$K$2738,"&lt;=100")</f>
        <v>0</v>
      </c>
      <c r="D199" s="14" t="n">
        <f aca="false">COUNTIFS(選手一覧!$C$7:$C$2738,A199,選手一覧!$E$7:$E$2738,"&lt;=100")</f>
        <v>0</v>
      </c>
      <c r="E199" s="14" t="n">
        <f aca="false">COUNTIFS(選手一覧!$C$7:$C$2738,A199,選手一覧!$G$7:$G$2738,"&lt;=100")</f>
        <v>0</v>
      </c>
      <c r="F199" s="14" t="n">
        <f aca="false">COUNTIFS(選手一覧!$C$7:$C$2738,A199,選手一覧!$I$7:$I$2738,"&lt;=100")</f>
        <v>0</v>
      </c>
      <c r="G199" s="13" t="n">
        <f aca="false">_xlfn.MINIFS(選手一覧!$K$7:$K$2738,選手一覧!$C$7:$C$2738,A199)</f>
        <v>396</v>
      </c>
      <c r="H199" s="16"/>
    </row>
    <row r="200" customFormat="false" ht="15" hidden="false" customHeight="false" outlineLevel="0" collapsed="false">
      <c r="A200" s="10" t="s">
        <v>1351</v>
      </c>
      <c r="B200" s="12" t="n">
        <f aca="false">COUNTIF(選手一覧!$C$7:$C$2738,A200)</f>
        <v>5</v>
      </c>
      <c r="C200" s="14" t="n">
        <f aca="false">COUNTIFS(選手一覧!$C$7:$C$2738,A200,選手一覧!$K$7:$K$2738,"&lt;=100")</f>
        <v>0</v>
      </c>
      <c r="D200" s="14" t="n">
        <f aca="false">COUNTIFS(選手一覧!$C$7:$C$2738,A200,選手一覧!$E$7:$E$2738,"&lt;=100")</f>
        <v>0</v>
      </c>
      <c r="E200" s="14" t="n">
        <f aca="false">COUNTIFS(選手一覧!$C$7:$C$2738,A200,選手一覧!$G$7:$G$2738,"&lt;=100")</f>
        <v>0</v>
      </c>
      <c r="F200" s="14" t="n">
        <f aca="false">COUNTIFS(選手一覧!$C$7:$C$2738,A200,選手一覧!$I$7:$I$2738,"&lt;=100")</f>
        <v>0</v>
      </c>
      <c r="G200" s="13" t="n">
        <f aca="false">_xlfn.MINIFS(選手一覧!$K$7:$K$2738,選手一覧!$C$7:$C$2738,A200)</f>
        <v>411</v>
      </c>
      <c r="H200" s="16"/>
    </row>
    <row r="201" customFormat="false" ht="15" hidden="false" customHeight="false" outlineLevel="0" collapsed="false">
      <c r="A201" s="10" t="s">
        <v>1413</v>
      </c>
      <c r="B201" s="12" t="n">
        <f aca="false">COUNTIF(選手一覧!$C$7:$C$2738,A201)</f>
        <v>5</v>
      </c>
      <c r="C201" s="14" t="n">
        <f aca="false">COUNTIFS(選手一覧!$C$7:$C$2738,A201,選手一覧!$K$7:$K$2738,"&lt;=100")</f>
        <v>0</v>
      </c>
      <c r="D201" s="14" t="n">
        <f aca="false">COUNTIFS(選手一覧!$C$7:$C$2738,A201,選手一覧!$E$7:$E$2738,"&lt;=100")</f>
        <v>0</v>
      </c>
      <c r="E201" s="14" t="n">
        <f aca="false">COUNTIFS(選手一覧!$C$7:$C$2738,A201,選手一覧!$G$7:$G$2738,"&lt;=100")</f>
        <v>0</v>
      </c>
      <c r="F201" s="14" t="n">
        <f aca="false">COUNTIFS(選手一覧!$C$7:$C$2738,A201,選手一覧!$I$7:$I$2738,"&lt;=100")</f>
        <v>0</v>
      </c>
      <c r="G201" s="13" t="n">
        <f aca="false">_xlfn.MINIFS(選手一覧!$K$7:$K$2738,選手一覧!$C$7:$C$2738,A201)</f>
        <v>431</v>
      </c>
      <c r="H201" s="16"/>
    </row>
    <row r="202" customFormat="false" ht="15" hidden="false" customHeight="false" outlineLevel="0" collapsed="false">
      <c r="A202" s="10" t="s">
        <v>1458</v>
      </c>
      <c r="B202" s="12" t="n">
        <f aca="false">COUNTIF(選手一覧!$C$7:$C$2738,A202)</f>
        <v>5</v>
      </c>
      <c r="C202" s="14" t="n">
        <f aca="false">COUNTIFS(選手一覧!$C$7:$C$2738,A202,選手一覧!$K$7:$K$2738,"&lt;=100")</f>
        <v>0</v>
      </c>
      <c r="D202" s="14" t="n">
        <f aca="false">COUNTIFS(選手一覧!$C$7:$C$2738,A202,選手一覧!$E$7:$E$2738,"&lt;=100")</f>
        <v>0</v>
      </c>
      <c r="E202" s="14" t="n">
        <f aca="false">COUNTIFS(選手一覧!$C$7:$C$2738,A202,選手一覧!$G$7:$G$2738,"&lt;=100")</f>
        <v>0</v>
      </c>
      <c r="F202" s="14" t="n">
        <f aca="false">COUNTIFS(選手一覧!$C$7:$C$2738,A202,選手一覧!$I$7:$I$2738,"&lt;=100")</f>
        <v>0</v>
      </c>
      <c r="G202" s="13" t="n">
        <f aca="false">_xlfn.MINIFS(選手一覧!$K$7:$K$2738,選手一覧!$C$7:$C$2738,A202)</f>
        <v>447</v>
      </c>
      <c r="H202" s="16"/>
    </row>
    <row r="203" customFormat="false" ht="15" hidden="false" customHeight="false" outlineLevel="0" collapsed="false">
      <c r="A203" s="10" t="s">
        <v>1496</v>
      </c>
      <c r="B203" s="12" t="n">
        <f aca="false">COUNTIF(選手一覧!$C$7:$C$2738,A203)</f>
        <v>5</v>
      </c>
      <c r="C203" s="14" t="n">
        <f aca="false">COUNTIFS(選手一覧!$C$7:$C$2738,A203,選手一覧!$K$7:$K$2738,"&lt;=100")</f>
        <v>0</v>
      </c>
      <c r="D203" s="14" t="n">
        <f aca="false">COUNTIFS(選手一覧!$C$7:$C$2738,A203,選手一覧!$E$7:$E$2738,"&lt;=100")</f>
        <v>0</v>
      </c>
      <c r="E203" s="14" t="n">
        <f aca="false">COUNTIFS(選手一覧!$C$7:$C$2738,A203,選手一覧!$G$7:$G$2738,"&lt;=100")</f>
        <v>0</v>
      </c>
      <c r="F203" s="14" t="n">
        <f aca="false">COUNTIFS(選手一覧!$C$7:$C$2738,A203,選手一覧!$I$7:$I$2738,"&lt;=100")</f>
        <v>0</v>
      </c>
      <c r="G203" s="13" t="n">
        <f aca="false">_xlfn.MINIFS(選手一覧!$K$7:$K$2738,選手一覧!$C$7:$C$2738,A203)</f>
        <v>461</v>
      </c>
      <c r="H203" s="16"/>
    </row>
    <row r="204" customFormat="false" ht="15" hidden="false" customHeight="false" outlineLevel="0" collapsed="false">
      <c r="A204" s="10" t="s">
        <v>1553</v>
      </c>
      <c r="B204" s="12" t="n">
        <f aca="false">COUNTIF(選手一覧!$C$7:$C$2738,A204)</f>
        <v>5</v>
      </c>
      <c r="C204" s="14" t="n">
        <f aca="false">COUNTIFS(選手一覧!$C$7:$C$2738,A204,選手一覧!$K$7:$K$2738,"&lt;=100")</f>
        <v>0</v>
      </c>
      <c r="D204" s="14" t="n">
        <f aca="false">COUNTIFS(選手一覧!$C$7:$C$2738,A204,選手一覧!$E$7:$E$2738,"&lt;=100")</f>
        <v>0</v>
      </c>
      <c r="E204" s="14" t="n">
        <f aca="false">COUNTIFS(選手一覧!$C$7:$C$2738,A204,選手一覧!$G$7:$G$2738,"&lt;=100")</f>
        <v>0</v>
      </c>
      <c r="F204" s="14" t="n">
        <f aca="false">COUNTIFS(選手一覧!$C$7:$C$2738,A204,選手一覧!$I$7:$I$2738,"&lt;=100")</f>
        <v>0</v>
      </c>
      <c r="G204" s="13" t="n">
        <f aca="false">_xlfn.MINIFS(選手一覧!$K$7:$K$2738,選手一覧!$C$7:$C$2738,A204)</f>
        <v>481</v>
      </c>
      <c r="H204" s="16"/>
    </row>
    <row r="205" customFormat="false" ht="15" hidden="false" customHeight="false" outlineLevel="0" collapsed="false">
      <c r="A205" s="10" t="s">
        <v>1680</v>
      </c>
      <c r="B205" s="12" t="n">
        <f aca="false">COUNTIF(選手一覧!$C$7:$C$2738,A205)</f>
        <v>5</v>
      </c>
      <c r="C205" s="14" t="n">
        <f aca="false">COUNTIFS(選手一覧!$C$7:$C$2738,A205,選手一覧!$K$7:$K$2738,"&lt;=100")</f>
        <v>0</v>
      </c>
      <c r="D205" s="14" t="n">
        <f aca="false">COUNTIFS(選手一覧!$C$7:$C$2738,A205,選手一覧!$E$7:$E$2738,"&lt;=100")</f>
        <v>0</v>
      </c>
      <c r="E205" s="14" t="n">
        <f aca="false">COUNTIFS(選手一覧!$C$7:$C$2738,A205,選手一覧!$G$7:$G$2738,"&lt;=100")</f>
        <v>0</v>
      </c>
      <c r="F205" s="14" t="n">
        <f aca="false">COUNTIFS(選手一覧!$C$7:$C$2738,A205,選手一覧!$I$7:$I$2738,"&lt;=100")</f>
        <v>0</v>
      </c>
      <c r="G205" s="13" t="n">
        <f aca="false">_xlfn.MINIFS(選手一覧!$K$7:$K$2738,選手一覧!$C$7:$C$2738,A205)</f>
        <v>528</v>
      </c>
      <c r="H205" s="16"/>
    </row>
    <row r="206" customFormat="false" ht="15" hidden="false" customHeight="false" outlineLevel="0" collapsed="false">
      <c r="A206" s="10" t="s">
        <v>1764</v>
      </c>
      <c r="B206" s="12" t="n">
        <f aca="false">COUNTIF(選手一覧!$C$7:$C$2738,A206)</f>
        <v>5</v>
      </c>
      <c r="C206" s="14" t="n">
        <f aca="false">COUNTIFS(選手一覧!$C$7:$C$2738,A206,選手一覧!$K$7:$K$2738,"&lt;=100")</f>
        <v>0</v>
      </c>
      <c r="D206" s="14" t="n">
        <f aca="false">COUNTIFS(選手一覧!$C$7:$C$2738,A206,選手一覧!$E$7:$E$2738,"&lt;=100")</f>
        <v>0</v>
      </c>
      <c r="E206" s="14" t="n">
        <f aca="false">COUNTIFS(選手一覧!$C$7:$C$2738,A206,選手一覧!$G$7:$G$2738,"&lt;=100")</f>
        <v>0</v>
      </c>
      <c r="F206" s="14" t="n">
        <f aca="false">COUNTIFS(選手一覧!$C$7:$C$2738,A206,選手一覧!$I$7:$I$2738,"&lt;=100")</f>
        <v>0</v>
      </c>
      <c r="G206" s="13" t="n">
        <f aca="false">_xlfn.MINIFS(選手一覧!$K$7:$K$2738,選手一覧!$C$7:$C$2738,A206)</f>
        <v>558</v>
      </c>
      <c r="H206" s="16"/>
    </row>
    <row r="207" customFormat="false" ht="15" hidden="false" customHeight="false" outlineLevel="0" collapsed="false">
      <c r="A207" s="10" t="s">
        <v>1839</v>
      </c>
      <c r="B207" s="12" t="n">
        <f aca="false">COUNTIF(選手一覧!$C$7:$C$2738,A207)</f>
        <v>5</v>
      </c>
      <c r="C207" s="14" t="n">
        <f aca="false">COUNTIFS(選手一覧!$C$7:$C$2738,A207,選手一覧!$K$7:$K$2738,"&lt;=100")</f>
        <v>0</v>
      </c>
      <c r="D207" s="14" t="n">
        <f aca="false">COUNTIFS(選手一覧!$C$7:$C$2738,A207,選手一覧!$E$7:$E$2738,"&lt;=100")</f>
        <v>0</v>
      </c>
      <c r="E207" s="14" t="n">
        <f aca="false">COUNTIFS(選手一覧!$C$7:$C$2738,A207,選手一覧!$G$7:$G$2738,"&lt;=100")</f>
        <v>0</v>
      </c>
      <c r="F207" s="14" t="n">
        <f aca="false">COUNTIFS(選手一覧!$C$7:$C$2738,A207,選手一覧!$I$7:$I$2738,"&lt;=100")</f>
        <v>0</v>
      </c>
      <c r="G207" s="13" t="n">
        <f aca="false">_xlfn.MINIFS(選手一覧!$K$7:$K$2738,選手一覧!$C$7:$C$2738,A207)</f>
        <v>585</v>
      </c>
      <c r="H207" s="16"/>
    </row>
    <row r="208" customFormat="false" ht="15" hidden="false" customHeight="false" outlineLevel="0" collapsed="false">
      <c r="A208" s="10" t="s">
        <v>1897</v>
      </c>
      <c r="B208" s="12" t="n">
        <f aca="false">COUNTIF(選手一覧!$C$7:$C$2738,A208)</f>
        <v>5</v>
      </c>
      <c r="C208" s="14" t="n">
        <f aca="false">COUNTIFS(選手一覧!$C$7:$C$2738,A208,選手一覧!$K$7:$K$2738,"&lt;=100")</f>
        <v>0</v>
      </c>
      <c r="D208" s="14" t="n">
        <f aca="false">COUNTIFS(選手一覧!$C$7:$C$2738,A208,選手一覧!$E$7:$E$2738,"&lt;=100")</f>
        <v>0</v>
      </c>
      <c r="E208" s="14" t="n">
        <f aca="false">COUNTIFS(選手一覧!$C$7:$C$2738,A208,選手一覧!$G$7:$G$2738,"&lt;=100")</f>
        <v>0</v>
      </c>
      <c r="F208" s="14" t="n">
        <f aca="false">COUNTIFS(選手一覧!$C$7:$C$2738,A208,選手一覧!$I$7:$I$2738,"&lt;=100")</f>
        <v>0</v>
      </c>
      <c r="G208" s="13" t="n">
        <f aca="false">_xlfn.MINIFS(選手一覧!$K$7:$K$2738,選手一覧!$C$7:$C$2738,A208)</f>
        <v>607</v>
      </c>
      <c r="H208" s="16"/>
    </row>
    <row r="209" customFormat="false" ht="15" hidden="false" customHeight="false" outlineLevel="0" collapsed="false">
      <c r="A209" s="10" t="s">
        <v>2100</v>
      </c>
      <c r="B209" s="12" t="n">
        <f aca="false">COUNTIF(選手一覧!$C$7:$C$2738,A209)</f>
        <v>5</v>
      </c>
      <c r="C209" s="14" t="n">
        <f aca="false">COUNTIFS(選手一覧!$C$7:$C$2738,A209,選手一覧!$K$7:$K$2738,"&lt;=100")</f>
        <v>0</v>
      </c>
      <c r="D209" s="14" t="n">
        <f aca="false">COUNTIFS(選手一覧!$C$7:$C$2738,A209,選手一覧!$E$7:$E$2738,"&lt;=100")</f>
        <v>0</v>
      </c>
      <c r="E209" s="14" t="n">
        <f aca="false">COUNTIFS(選手一覧!$C$7:$C$2738,A209,選手一覧!$G$7:$G$2738,"&lt;=100")</f>
        <v>0</v>
      </c>
      <c r="F209" s="14" t="n">
        <f aca="false">COUNTIFS(選手一覧!$C$7:$C$2738,A209,選手一覧!$I$7:$I$2738,"&lt;=100")</f>
        <v>0</v>
      </c>
      <c r="G209" s="13" t="n">
        <f aca="false">_xlfn.MINIFS(選手一覧!$K$7:$K$2738,選手一覧!$C$7:$C$2738,A209)</f>
        <v>687</v>
      </c>
      <c r="H209" s="16"/>
    </row>
    <row r="210" customFormat="false" ht="15" hidden="false" customHeight="false" outlineLevel="0" collapsed="false">
      <c r="A210" s="10" t="s">
        <v>467</v>
      </c>
      <c r="B210" s="12" t="n">
        <f aca="false">COUNTIF(選手一覧!$C$7:$C$2738,A210)</f>
        <v>4</v>
      </c>
      <c r="C210" s="14" t="n">
        <f aca="false">COUNTIFS(選手一覧!$C$7:$C$2738,A210,選手一覧!$K$7:$K$2738,"&lt;=100")</f>
        <v>0</v>
      </c>
      <c r="D210" s="14" t="n">
        <f aca="false">COUNTIFS(選手一覧!$C$7:$C$2738,A210,選手一覧!$E$7:$E$2738,"&lt;=100")</f>
        <v>0</v>
      </c>
      <c r="E210" s="14" t="n">
        <f aca="false">COUNTIFS(選手一覧!$C$7:$C$2738,A210,選手一覧!$G$7:$G$2738,"&lt;=100")</f>
        <v>0</v>
      </c>
      <c r="F210" s="14" t="n">
        <f aca="false">COUNTIFS(選手一覧!$C$7:$C$2738,A210,選手一覧!$I$7:$I$2738,"&lt;=100")</f>
        <v>0</v>
      </c>
      <c r="G210" s="13" t="n">
        <f aca="false">_xlfn.MINIFS(選手一覧!$K$7:$K$2738,選手一覧!$C$7:$C$2738,A210)</f>
        <v>119</v>
      </c>
      <c r="H210" s="16"/>
    </row>
    <row r="211" customFormat="false" ht="15" hidden="false" customHeight="false" outlineLevel="0" collapsed="false">
      <c r="A211" s="10" t="s">
        <v>471</v>
      </c>
      <c r="B211" s="12" t="n">
        <f aca="false">COUNTIF(選手一覧!$C$7:$C$2738,A211)</f>
        <v>4</v>
      </c>
      <c r="C211" s="14" t="n">
        <f aca="false">COUNTIFS(選手一覧!$C$7:$C$2738,A211,選手一覧!$K$7:$K$2738,"&lt;=100")</f>
        <v>0</v>
      </c>
      <c r="D211" s="14" t="n">
        <f aca="false">COUNTIFS(選手一覧!$C$7:$C$2738,A211,選手一覧!$E$7:$E$2738,"&lt;=100")</f>
        <v>0</v>
      </c>
      <c r="E211" s="14" t="n">
        <f aca="false">COUNTIFS(選手一覧!$C$7:$C$2738,A211,選手一覧!$G$7:$G$2738,"&lt;=100")</f>
        <v>0</v>
      </c>
      <c r="F211" s="14" t="n">
        <f aca="false">COUNTIFS(選手一覧!$C$7:$C$2738,A211,選手一覧!$I$7:$I$2738,"&lt;=100")</f>
        <v>0</v>
      </c>
      <c r="G211" s="13" t="n">
        <f aca="false">_xlfn.MINIFS(選手一覧!$K$7:$K$2738,選手一覧!$C$7:$C$2738,A211)</f>
        <v>120</v>
      </c>
      <c r="H211" s="16"/>
    </row>
    <row r="212" customFormat="false" ht="15" hidden="false" customHeight="false" outlineLevel="0" collapsed="false">
      <c r="A212" s="10" t="s">
        <v>480</v>
      </c>
      <c r="B212" s="12" t="n">
        <f aca="false">COUNTIF(選手一覧!$C$7:$C$2738,A212)</f>
        <v>4</v>
      </c>
      <c r="C212" s="14" t="n">
        <f aca="false">COUNTIFS(選手一覧!$C$7:$C$2738,A212,選手一覧!$K$7:$K$2738,"&lt;=100")</f>
        <v>0</v>
      </c>
      <c r="D212" s="14" t="n">
        <f aca="false">COUNTIFS(選手一覧!$C$7:$C$2738,A212,選手一覧!$E$7:$E$2738,"&lt;=100")</f>
        <v>0</v>
      </c>
      <c r="E212" s="14" t="n">
        <f aca="false">COUNTIFS(選手一覧!$C$7:$C$2738,A212,選手一覧!$G$7:$G$2738,"&lt;=100")</f>
        <v>0</v>
      </c>
      <c r="F212" s="14" t="n">
        <f aca="false">COUNTIFS(選手一覧!$C$7:$C$2738,A212,選手一覧!$I$7:$I$2738,"&lt;=100")</f>
        <v>0</v>
      </c>
      <c r="G212" s="13" t="n">
        <f aca="false">_xlfn.MINIFS(選手一覧!$K$7:$K$2738,選手一覧!$C$7:$C$2738,A212)</f>
        <v>123</v>
      </c>
      <c r="H212" s="16"/>
    </row>
    <row r="213" customFormat="false" ht="15" hidden="false" customHeight="false" outlineLevel="0" collapsed="false">
      <c r="A213" s="10" t="s">
        <v>482</v>
      </c>
      <c r="B213" s="12" t="n">
        <f aca="false">COUNTIF(選手一覧!$C$7:$C$2738,A213)</f>
        <v>4</v>
      </c>
      <c r="C213" s="14" t="n">
        <f aca="false">COUNTIFS(選手一覧!$C$7:$C$2738,A213,選手一覧!$K$7:$K$2738,"&lt;=100")</f>
        <v>0</v>
      </c>
      <c r="D213" s="14" t="n">
        <f aca="false">COUNTIFS(選手一覧!$C$7:$C$2738,A213,選手一覧!$E$7:$E$2738,"&lt;=100")</f>
        <v>0</v>
      </c>
      <c r="E213" s="14" t="n">
        <f aca="false">COUNTIFS(選手一覧!$C$7:$C$2738,A213,選手一覧!$G$7:$G$2738,"&lt;=100")</f>
        <v>0</v>
      </c>
      <c r="F213" s="14" t="n">
        <f aca="false">COUNTIFS(選手一覧!$C$7:$C$2738,A213,選手一覧!$I$7:$I$2738,"&lt;=100")</f>
        <v>0</v>
      </c>
      <c r="G213" s="13" t="n">
        <f aca="false">_xlfn.MINIFS(選手一覧!$K$7:$K$2738,選手一覧!$C$7:$C$2738,A213)</f>
        <v>124</v>
      </c>
      <c r="H213" s="16"/>
    </row>
    <row r="214" customFormat="false" ht="15" hidden="false" customHeight="false" outlineLevel="0" collapsed="false">
      <c r="A214" s="10" t="s">
        <v>534</v>
      </c>
      <c r="B214" s="12" t="n">
        <f aca="false">COUNTIF(選手一覧!$C$7:$C$2738,A214)</f>
        <v>4</v>
      </c>
      <c r="C214" s="14" t="n">
        <f aca="false">COUNTIFS(選手一覧!$C$7:$C$2738,A214,選手一覧!$K$7:$K$2738,"&lt;=100")</f>
        <v>0</v>
      </c>
      <c r="D214" s="14" t="n">
        <f aca="false">COUNTIFS(選手一覧!$C$7:$C$2738,A214,選手一覧!$E$7:$E$2738,"&lt;=100")</f>
        <v>0</v>
      </c>
      <c r="E214" s="14" t="n">
        <f aca="false">COUNTIFS(選手一覧!$C$7:$C$2738,A214,選手一覧!$G$7:$G$2738,"&lt;=100")</f>
        <v>0</v>
      </c>
      <c r="F214" s="14" t="n">
        <f aca="false">COUNTIFS(選手一覧!$C$7:$C$2738,A214,選手一覧!$I$7:$I$2738,"&lt;=100")</f>
        <v>0</v>
      </c>
      <c r="G214" s="13" t="n">
        <f aca="false">_xlfn.MINIFS(選手一覧!$K$7:$K$2738,選手一覧!$C$7:$C$2738,A214)</f>
        <v>138</v>
      </c>
      <c r="H214" s="16"/>
    </row>
    <row r="215" customFormat="false" ht="15" hidden="false" customHeight="false" outlineLevel="0" collapsed="false">
      <c r="A215" s="10" t="s">
        <v>588</v>
      </c>
      <c r="B215" s="12" t="n">
        <f aca="false">COUNTIF(選手一覧!$C$7:$C$2738,A215)</f>
        <v>4</v>
      </c>
      <c r="C215" s="14" t="n">
        <f aca="false">COUNTIFS(選手一覧!$C$7:$C$2738,A215,選手一覧!$K$7:$K$2738,"&lt;=100")</f>
        <v>0</v>
      </c>
      <c r="D215" s="14" t="n">
        <f aca="false">COUNTIFS(選手一覧!$C$7:$C$2738,A215,選手一覧!$E$7:$E$2738,"&lt;=100")</f>
        <v>0</v>
      </c>
      <c r="E215" s="14" t="n">
        <f aca="false">COUNTIFS(選手一覧!$C$7:$C$2738,A215,選手一覧!$G$7:$G$2738,"&lt;=100")</f>
        <v>0</v>
      </c>
      <c r="F215" s="14" t="n">
        <f aca="false">COUNTIFS(選手一覧!$C$7:$C$2738,A215,選手一覧!$I$7:$I$2738,"&lt;=100")</f>
        <v>0</v>
      </c>
      <c r="G215" s="13" t="n">
        <f aca="false">_xlfn.MINIFS(選手一覧!$K$7:$K$2738,選手一覧!$C$7:$C$2738,A215)</f>
        <v>157</v>
      </c>
      <c r="H215" s="16"/>
    </row>
    <row r="216" customFormat="false" ht="15" hidden="false" customHeight="false" outlineLevel="0" collapsed="false">
      <c r="A216" s="10" t="s">
        <v>599</v>
      </c>
      <c r="B216" s="12" t="n">
        <f aca="false">COUNTIF(選手一覧!$C$7:$C$2738,A216)</f>
        <v>4</v>
      </c>
      <c r="C216" s="14" t="n">
        <f aca="false">COUNTIFS(選手一覧!$C$7:$C$2738,A216,選手一覧!$K$7:$K$2738,"&lt;=100")</f>
        <v>0</v>
      </c>
      <c r="D216" s="14" t="n">
        <f aca="false">COUNTIFS(選手一覧!$C$7:$C$2738,A216,選手一覧!$E$7:$E$2738,"&lt;=100")</f>
        <v>0</v>
      </c>
      <c r="E216" s="14" t="n">
        <f aca="false">COUNTIFS(選手一覧!$C$7:$C$2738,A216,選手一覧!$G$7:$G$2738,"&lt;=100")</f>
        <v>0</v>
      </c>
      <c r="F216" s="14" t="n">
        <f aca="false">COUNTIFS(選手一覧!$C$7:$C$2738,A216,選手一覧!$I$7:$I$2738,"&lt;=100")</f>
        <v>0</v>
      </c>
      <c r="G216" s="13" t="n">
        <f aca="false">_xlfn.MINIFS(選手一覧!$K$7:$K$2738,選手一覧!$C$7:$C$2738,A216)</f>
        <v>160</v>
      </c>
      <c r="H216" s="16"/>
    </row>
    <row r="217" customFormat="false" ht="15" hidden="false" customHeight="false" outlineLevel="0" collapsed="false">
      <c r="A217" s="10" t="s">
        <v>605</v>
      </c>
      <c r="B217" s="12" t="n">
        <f aca="false">COUNTIF(選手一覧!$C$7:$C$2738,A217)</f>
        <v>4</v>
      </c>
      <c r="C217" s="14" t="n">
        <f aca="false">COUNTIFS(選手一覧!$C$7:$C$2738,A217,選手一覧!$K$7:$K$2738,"&lt;=100")</f>
        <v>0</v>
      </c>
      <c r="D217" s="14" t="n">
        <f aca="false">COUNTIFS(選手一覧!$C$7:$C$2738,A217,選手一覧!$E$7:$E$2738,"&lt;=100")</f>
        <v>0</v>
      </c>
      <c r="E217" s="14" t="n">
        <f aca="false">COUNTIFS(選手一覧!$C$7:$C$2738,A217,選手一覧!$G$7:$G$2738,"&lt;=100")</f>
        <v>0</v>
      </c>
      <c r="F217" s="14" t="n">
        <f aca="false">COUNTIFS(選手一覧!$C$7:$C$2738,A217,選手一覧!$I$7:$I$2738,"&lt;=100")</f>
        <v>0</v>
      </c>
      <c r="G217" s="13" t="n">
        <f aca="false">_xlfn.MINIFS(選手一覧!$K$7:$K$2738,選手一覧!$C$7:$C$2738,A217)</f>
        <v>162</v>
      </c>
      <c r="H217" s="16"/>
    </row>
    <row r="218" customFormat="false" ht="15" hidden="false" customHeight="false" outlineLevel="0" collapsed="false">
      <c r="A218" s="10" t="s">
        <v>714</v>
      </c>
      <c r="B218" s="12" t="n">
        <f aca="false">COUNTIF(選手一覧!$C$7:$C$2738,A218)</f>
        <v>4</v>
      </c>
      <c r="C218" s="14" t="n">
        <f aca="false">COUNTIFS(選手一覧!$C$7:$C$2738,A218,選手一覧!$K$7:$K$2738,"&lt;=100")</f>
        <v>0</v>
      </c>
      <c r="D218" s="14" t="n">
        <f aca="false">COUNTIFS(選手一覧!$C$7:$C$2738,A218,選手一覧!$E$7:$E$2738,"&lt;=100")</f>
        <v>0</v>
      </c>
      <c r="E218" s="14" t="n">
        <f aca="false">COUNTIFS(選手一覧!$C$7:$C$2738,A218,選手一覧!$G$7:$G$2738,"&lt;=100")</f>
        <v>0</v>
      </c>
      <c r="F218" s="14" t="n">
        <f aca="false">COUNTIFS(選手一覧!$C$7:$C$2738,A218,選手一覧!$I$7:$I$2738,"&lt;=100")</f>
        <v>0</v>
      </c>
      <c r="G218" s="13" t="n">
        <f aca="false">_xlfn.MINIFS(選手一覧!$K$7:$K$2738,選手一覧!$C$7:$C$2738,A218)</f>
        <v>192</v>
      </c>
      <c r="H218" s="16"/>
    </row>
    <row r="219" customFormat="false" ht="15" hidden="false" customHeight="false" outlineLevel="0" collapsed="false">
      <c r="A219" s="10" t="s">
        <v>744</v>
      </c>
      <c r="B219" s="12" t="n">
        <f aca="false">COUNTIF(選手一覧!$C$7:$C$2738,A219)</f>
        <v>4</v>
      </c>
      <c r="C219" s="14" t="n">
        <f aca="false">COUNTIFS(選手一覧!$C$7:$C$2738,A219,選手一覧!$K$7:$K$2738,"&lt;=100")</f>
        <v>0</v>
      </c>
      <c r="D219" s="14" t="n">
        <f aca="false">COUNTIFS(選手一覧!$C$7:$C$2738,A219,選手一覧!$E$7:$E$2738,"&lt;=100")</f>
        <v>0</v>
      </c>
      <c r="E219" s="14" t="n">
        <f aca="false">COUNTIFS(選手一覧!$C$7:$C$2738,A219,選手一覧!$G$7:$G$2738,"&lt;=100")</f>
        <v>0</v>
      </c>
      <c r="F219" s="14" t="n">
        <f aca="false">COUNTIFS(選手一覧!$C$7:$C$2738,A219,選手一覧!$I$7:$I$2738,"&lt;=100")</f>
        <v>0</v>
      </c>
      <c r="G219" s="13" t="n">
        <f aca="false">_xlfn.MINIFS(選手一覧!$K$7:$K$2738,選手一覧!$C$7:$C$2738,A219)</f>
        <v>202</v>
      </c>
      <c r="H219" s="16"/>
    </row>
    <row r="220" customFormat="false" ht="15" hidden="false" customHeight="false" outlineLevel="0" collapsed="false">
      <c r="A220" s="10" t="s">
        <v>754</v>
      </c>
      <c r="B220" s="12" t="n">
        <f aca="false">COUNTIF(選手一覧!$C$7:$C$2738,A220)</f>
        <v>4</v>
      </c>
      <c r="C220" s="14" t="n">
        <f aca="false">COUNTIFS(選手一覧!$C$7:$C$2738,A220,選手一覧!$K$7:$K$2738,"&lt;=100")</f>
        <v>0</v>
      </c>
      <c r="D220" s="14" t="n">
        <f aca="false">COUNTIFS(選手一覧!$C$7:$C$2738,A220,選手一覧!$E$7:$E$2738,"&lt;=100")</f>
        <v>0</v>
      </c>
      <c r="E220" s="14" t="n">
        <f aca="false">COUNTIFS(選手一覧!$C$7:$C$2738,A220,選手一覧!$G$7:$G$2738,"&lt;=100")</f>
        <v>0</v>
      </c>
      <c r="F220" s="14" t="n">
        <f aca="false">COUNTIFS(選手一覧!$C$7:$C$2738,A220,選手一覧!$I$7:$I$2738,"&lt;=100")</f>
        <v>0</v>
      </c>
      <c r="G220" s="13" t="n">
        <f aca="false">_xlfn.MINIFS(選手一覧!$K$7:$K$2738,選手一覧!$C$7:$C$2738,A220)</f>
        <v>204</v>
      </c>
      <c r="H220" s="16"/>
    </row>
    <row r="221" customFormat="false" ht="15" hidden="false" customHeight="false" outlineLevel="0" collapsed="false">
      <c r="A221" s="10" t="s">
        <v>848</v>
      </c>
      <c r="B221" s="12" t="n">
        <f aca="false">COUNTIF(選手一覧!$C$7:$C$2738,A221)</f>
        <v>4</v>
      </c>
      <c r="C221" s="14" t="n">
        <f aca="false">COUNTIFS(選手一覧!$C$7:$C$2738,A221,選手一覧!$K$7:$K$2738,"&lt;=100")</f>
        <v>0</v>
      </c>
      <c r="D221" s="14" t="n">
        <f aca="false">COUNTIFS(選手一覧!$C$7:$C$2738,A221,選手一覧!$E$7:$E$2738,"&lt;=100")</f>
        <v>0</v>
      </c>
      <c r="E221" s="14" t="n">
        <f aca="false">COUNTIFS(選手一覧!$C$7:$C$2738,A221,選手一覧!$G$7:$G$2738,"&lt;=100")</f>
        <v>0</v>
      </c>
      <c r="F221" s="14" t="n">
        <f aca="false">COUNTIFS(選手一覧!$C$7:$C$2738,A221,選手一覧!$I$7:$I$2738,"&lt;=100")</f>
        <v>0</v>
      </c>
      <c r="G221" s="13" t="n">
        <f aca="false">_xlfn.MINIFS(選手一覧!$K$7:$K$2738,選手一覧!$C$7:$C$2738,A221)</f>
        <v>232</v>
      </c>
      <c r="H221" s="16"/>
    </row>
    <row r="222" customFormat="false" ht="15" hidden="false" customHeight="false" outlineLevel="0" collapsed="false">
      <c r="A222" s="10" t="s">
        <v>874</v>
      </c>
      <c r="B222" s="12" t="n">
        <f aca="false">COUNTIF(選手一覧!$C$7:$C$2738,A222)</f>
        <v>4</v>
      </c>
      <c r="C222" s="14" t="n">
        <f aca="false">COUNTIFS(選手一覧!$C$7:$C$2738,A222,選手一覧!$K$7:$K$2738,"&lt;=100")</f>
        <v>0</v>
      </c>
      <c r="D222" s="14" t="n">
        <f aca="false">COUNTIFS(選手一覧!$C$7:$C$2738,A222,選手一覧!$E$7:$E$2738,"&lt;=100")</f>
        <v>0</v>
      </c>
      <c r="E222" s="14" t="n">
        <f aca="false">COUNTIFS(選手一覧!$C$7:$C$2738,A222,選手一覧!$G$7:$G$2738,"&lt;=100")</f>
        <v>0</v>
      </c>
      <c r="F222" s="14" t="n">
        <f aca="false">COUNTIFS(選手一覧!$C$7:$C$2738,A222,選手一覧!$I$7:$I$2738,"&lt;=100")</f>
        <v>0</v>
      </c>
      <c r="G222" s="13" t="n">
        <f aca="false">_xlfn.MINIFS(選手一覧!$K$7:$K$2738,選手一覧!$C$7:$C$2738,A222)</f>
        <v>240</v>
      </c>
      <c r="H222" s="16"/>
    </row>
    <row r="223" customFormat="false" ht="15" hidden="false" customHeight="false" outlineLevel="0" collapsed="false">
      <c r="A223" s="10" t="s">
        <v>884</v>
      </c>
      <c r="B223" s="12" t="n">
        <f aca="false">COUNTIF(選手一覧!$C$7:$C$2738,A223)</f>
        <v>4</v>
      </c>
      <c r="C223" s="14" t="n">
        <f aca="false">COUNTIFS(選手一覧!$C$7:$C$2738,A223,選手一覧!$K$7:$K$2738,"&lt;=100")</f>
        <v>0</v>
      </c>
      <c r="D223" s="14" t="n">
        <f aca="false">COUNTIFS(選手一覧!$C$7:$C$2738,A223,選手一覧!$E$7:$E$2738,"&lt;=100")</f>
        <v>0</v>
      </c>
      <c r="E223" s="14" t="n">
        <f aca="false">COUNTIFS(選手一覧!$C$7:$C$2738,A223,選手一覧!$G$7:$G$2738,"&lt;=100")</f>
        <v>0</v>
      </c>
      <c r="F223" s="14" t="n">
        <f aca="false">COUNTIFS(選手一覧!$C$7:$C$2738,A223,選手一覧!$I$7:$I$2738,"&lt;=100")</f>
        <v>0</v>
      </c>
      <c r="G223" s="13" t="n">
        <f aca="false">_xlfn.MINIFS(選手一覧!$K$7:$K$2738,選手一覧!$C$7:$C$2738,A223)</f>
        <v>244</v>
      </c>
      <c r="H223" s="16"/>
    </row>
    <row r="224" customFormat="false" ht="15" hidden="false" customHeight="false" outlineLevel="0" collapsed="false">
      <c r="A224" s="10" t="s">
        <v>945</v>
      </c>
      <c r="B224" s="12" t="n">
        <f aca="false">COUNTIF(選手一覧!$C$7:$C$2738,A224)</f>
        <v>4</v>
      </c>
      <c r="C224" s="14" t="n">
        <f aca="false">COUNTIFS(選手一覧!$C$7:$C$2738,A224,選手一覧!$K$7:$K$2738,"&lt;=100")</f>
        <v>0</v>
      </c>
      <c r="D224" s="14" t="n">
        <f aca="false">COUNTIFS(選手一覧!$C$7:$C$2738,A224,選手一覧!$E$7:$E$2738,"&lt;=100")</f>
        <v>0</v>
      </c>
      <c r="E224" s="14" t="n">
        <f aca="false">COUNTIFS(選手一覧!$C$7:$C$2738,A224,選手一覧!$G$7:$G$2738,"&lt;=100")</f>
        <v>0</v>
      </c>
      <c r="F224" s="14" t="n">
        <f aca="false">COUNTIFS(選手一覧!$C$7:$C$2738,A224,選手一覧!$I$7:$I$2738,"&lt;=100")</f>
        <v>0</v>
      </c>
      <c r="G224" s="13" t="n">
        <f aca="false">_xlfn.MINIFS(選手一覧!$K$7:$K$2738,選手一覧!$C$7:$C$2738,A224)</f>
        <v>263</v>
      </c>
      <c r="H224" s="16"/>
    </row>
    <row r="225" customFormat="false" ht="15" hidden="false" customHeight="false" outlineLevel="0" collapsed="false">
      <c r="A225" s="10" t="s">
        <v>988</v>
      </c>
      <c r="B225" s="12" t="n">
        <f aca="false">COUNTIF(選手一覧!$C$7:$C$2738,A225)</f>
        <v>4</v>
      </c>
      <c r="C225" s="14" t="n">
        <f aca="false">COUNTIFS(選手一覧!$C$7:$C$2738,A225,選手一覧!$K$7:$K$2738,"&lt;=100")</f>
        <v>0</v>
      </c>
      <c r="D225" s="14" t="n">
        <f aca="false">COUNTIFS(選手一覧!$C$7:$C$2738,A225,選手一覧!$E$7:$E$2738,"&lt;=100")</f>
        <v>0</v>
      </c>
      <c r="E225" s="14" t="n">
        <f aca="false">COUNTIFS(選手一覧!$C$7:$C$2738,A225,選手一覧!$G$7:$G$2738,"&lt;=100")</f>
        <v>0</v>
      </c>
      <c r="F225" s="14" t="n">
        <f aca="false">COUNTIFS(選手一覧!$C$7:$C$2738,A225,選手一覧!$I$7:$I$2738,"&lt;=100")</f>
        <v>0</v>
      </c>
      <c r="G225" s="13" t="n">
        <f aca="false">_xlfn.MINIFS(選手一覧!$K$7:$K$2738,選手一覧!$C$7:$C$2738,A225)</f>
        <v>280</v>
      </c>
      <c r="H225" s="16"/>
    </row>
    <row r="226" customFormat="false" ht="15" hidden="false" customHeight="false" outlineLevel="0" collapsed="false">
      <c r="A226" s="10" t="s">
        <v>997</v>
      </c>
      <c r="B226" s="12" t="n">
        <f aca="false">COUNTIF(選手一覧!$C$7:$C$2738,A226)</f>
        <v>4</v>
      </c>
      <c r="C226" s="14" t="n">
        <f aca="false">COUNTIFS(選手一覧!$C$7:$C$2738,A226,選手一覧!$K$7:$K$2738,"&lt;=100")</f>
        <v>0</v>
      </c>
      <c r="D226" s="14" t="n">
        <f aca="false">COUNTIFS(選手一覧!$C$7:$C$2738,A226,選手一覧!$E$7:$E$2738,"&lt;=100")</f>
        <v>0</v>
      </c>
      <c r="E226" s="14" t="n">
        <f aca="false">COUNTIFS(選手一覧!$C$7:$C$2738,A226,選手一覧!$G$7:$G$2738,"&lt;=100")</f>
        <v>0</v>
      </c>
      <c r="F226" s="14" t="n">
        <f aca="false">COUNTIFS(選手一覧!$C$7:$C$2738,A226,選手一覧!$I$7:$I$2738,"&lt;=100")</f>
        <v>0</v>
      </c>
      <c r="G226" s="13" t="n">
        <f aca="false">_xlfn.MINIFS(選手一覧!$K$7:$K$2738,選手一覧!$C$7:$C$2738,A226)</f>
        <v>283</v>
      </c>
      <c r="H226" s="16"/>
    </row>
    <row r="227" customFormat="false" ht="15" hidden="false" customHeight="false" outlineLevel="0" collapsed="false">
      <c r="A227" s="10" t="s">
        <v>1046</v>
      </c>
      <c r="B227" s="12" t="n">
        <f aca="false">COUNTIF(選手一覧!$C$7:$C$2738,A227)</f>
        <v>4</v>
      </c>
      <c r="C227" s="14" t="n">
        <f aca="false">COUNTIFS(選手一覧!$C$7:$C$2738,A227,選手一覧!$K$7:$K$2738,"&lt;=100")</f>
        <v>0</v>
      </c>
      <c r="D227" s="14" t="n">
        <f aca="false">COUNTIFS(選手一覧!$C$7:$C$2738,A227,選手一覧!$E$7:$E$2738,"&lt;=100")</f>
        <v>0</v>
      </c>
      <c r="E227" s="14" t="n">
        <f aca="false">COUNTIFS(選手一覧!$C$7:$C$2738,A227,選手一覧!$G$7:$G$2738,"&lt;=100")</f>
        <v>0</v>
      </c>
      <c r="F227" s="14" t="n">
        <f aca="false">COUNTIFS(選手一覧!$C$7:$C$2738,A227,選手一覧!$I$7:$I$2738,"&lt;=100")</f>
        <v>0</v>
      </c>
      <c r="G227" s="13" t="n">
        <f aca="false">_xlfn.MINIFS(選手一覧!$K$7:$K$2738,選手一覧!$C$7:$C$2738,A227)</f>
        <v>300</v>
      </c>
      <c r="H227" s="16"/>
    </row>
    <row r="228" customFormat="false" ht="15" hidden="false" customHeight="false" outlineLevel="0" collapsed="false">
      <c r="A228" s="10" t="s">
        <v>1119</v>
      </c>
      <c r="B228" s="12" t="n">
        <f aca="false">COUNTIF(選手一覧!$C$7:$C$2738,A228)</f>
        <v>4</v>
      </c>
      <c r="C228" s="14" t="n">
        <f aca="false">COUNTIFS(選手一覧!$C$7:$C$2738,A228,選手一覧!$K$7:$K$2738,"&lt;=100")</f>
        <v>0</v>
      </c>
      <c r="D228" s="14" t="n">
        <f aca="false">COUNTIFS(選手一覧!$C$7:$C$2738,A228,選手一覧!$E$7:$E$2738,"&lt;=100")</f>
        <v>0</v>
      </c>
      <c r="E228" s="14" t="n">
        <f aca="false">COUNTIFS(選手一覧!$C$7:$C$2738,A228,選手一覧!$G$7:$G$2738,"&lt;=100")</f>
        <v>0</v>
      </c>
      <c r="F228" s="14" t="n">
        <f aca="false">COUNTIFS(選手一覧!$C$7:$C$2738,A228,選手一覧!$I$7:$I$2738,"&lt;=100")</f>
        <v>0</v>
      </c>
      <c r="G228" s="13" t="n">
        <f aca="false">_xlfn.MINIFS(選手一覧!$K$7:$K$2738,選手一覧!$C$7:$C$2738,A228)</f>
        <v>327</v>
      </c>
      <c r="H228" s="16"/>
    </row>
    <row r="229" customFormat="false" ht="15" hidden="false" customHeight="false" outlineLevel="0" collapsed="false">
      <c r="A229" s="10" t="s">
        <v>1166</v>
      </c>
      <c r="B229" s="12" t="n">
        <f aca="false">COUNTIF(選手一覧!$C$7:$C$2738,A229)</f>
        <v>4</v>
      </c>
      <c r="C229" s="14" t="n">
        <f aca="false">COUNTIFS(選手一覧!$C$7:$C$2738,A229,選手一覧!$K$7:$K$2738,"&lt;=100")</f>
        <v>0</v>
      </c>
      <c r="D229" s="14" t="n">
        <f aca="false">COUNTIFS(選手一覧!$C$7:$C$2738,A229,選手一覧!$E$7:$E$2738,"&lt;=100")</f>
        <v>0</v>
      </c>
      <c r="E229" s="14" t="n">
        <f aca="false">COUNTIFS(選手一覧!$C$7:$C$2738,A229,選手一覧!$G$7:$G$2738,"&lt;=100")</f>
        <v>0</v>
      </c>
      <c r="F229" s="14" t="n">
        <f aca="false">COUNTIFS(選手一覧!$C$7:$C$2738,A229,選手一覧!$I$7:$I$2738,"&lt;=100")</f>
        <v>0</v>
      </c>
      <c r="G229" s="13" t="n">
        <f aca="false">_xlfn.MINIFS(選手一覧!$K$7:$K$2738,選手一覧!$C$7:$C$2738,A229)</f>
        <v>343</v>
      </c>
      <c r="H229" s="16"/>
    </row>
    <row r="230" customFormat="false" ht="15" hidden="false" customHeight="false" outlineLevel="0" collapsed="false">
      <c r="A230" s="10" t="s">
        <v>1174</v>
      </c>
      <c r="B230" s="12" t="n">
        <f aca="false">COUNTIF(選手一覧!$C$7:$C$2738,A230)</f>
        <v>4</v>
      </c>
      <c r="C230" s="14" t="n">
        <f aca="false">COUNTIFS(選手一覧!$C$7:$C$2738,A230,選手一覧!$K$7:$K$2738,"&lt;=100")</f>
        <v>0</v>
      </c>
      <c r="D230" s="14" t="n">
        <f aca="false">COUNTIFS(選手一覧!$C$7:$C$2738,A230,選手一覧!$E$7:$E$2738,"&lt;=100")</f>
        <v>0</v>
      </c>
      <c r="E230" s="14" t="n">
        <f aca="false">COUNTIFS(選手一覧!$C$7:$C$2738,A230,選手一覧!$G$7:$G$2738,"&lt;=100")</f>
        <v>0</v>
      </c>
      <c r="F230" s="14" t="n">
        <f aca="false">COUNTIFS(選手一覧!$C$7:$C$2738,A230,選手一覧!$I$7:$I$2738,"&lt;=100")</f>
        <v>0</v>
      </c>
      <c r="G230" s="13" t="n">
        <f aca="false">_xlfn.MINIFS(選手一覧!$K$7:$K$2738,選手一覧!$C$7:$C$2738,A230)</f>
        <v>345</v>
      </c>
      <c r="H230" s="16"/>
    </row>
    <row r="231" customFormat="false" ht="15" hidden="false" customHeight="false" outlineLevel="0" collapsed="false">
      <c r="A231" s="10" t="s">
        <v>1225</v>
      </c>
      <c r="B231" s="12" t="n">
        <f aca="false">COUNTIF(選手一覧!$C$7:$C$2738,A231)</f>
        <v>4</v>
      </c>
      <c r="C231" s="14" t="n">
        <f aca="false">COUNTIFS(選手一覧!$C$7:$C$2738,A231,選手一覧!$K$7:$K$2738,"&lt;=100")</f>
        <v>0</v>
      </c>
      <c r="D231" s="14" t="n">
        <f aca="false">COUNTIFS(選手一覧!$C$7:$C$2738,A231,選手一覧!$E$7:$E$2738,"&lt;=100")</f>
        <v>0</v>
      </c>
      <c r="E231" s="14" t="n">
        <f aca="false">COUNTIFS(選手一覧!$C$7:$C$2738,A231,選手一覧!$G$7:$G$2738,"&lt;=100")</f>
        <v>0</v>
      </c>
      <c r="F231" s="14" t="n">
        <f aca="false">COUNTIFS(選手一覧!$C$7:$C$2738,A231,選手一覧!$I$7:$I$2738,"&lt;=100")</f>
        <v>0</v>
      </c>
      <c r="G231" s="13" t="n">
        <f aca="false">_xlfn.MINIFS(選手一覧!$K$7:$K$2738,選手一覧!$C$7:$C$2738,A231)</f>
        <v>365</v>
      </c>
      <c r="H231" s="16"/>
    </row>
    <row r="232" customFormat="false" ht="15" hidden="false" customHeight="false" outlineLevel="0" collapsed="false">
      <c r="A232" s="10" t="s">
        <v>1314</v>
      </c>
      <c r="B232" s="12" t="n">
        <f aca="false">COUNTIF(選手一覧!$C$7:$C$2738,A232)</f>
        <v>4</v>
      </c>
      <c r="C232" s="14" t="n">
        <f aca="false">COUNTIFS(選手一覧!$C$7:$C$2738,A232,選手一覧!$K$7:$K$2738,"&lt;=100")</f>
        <v>0</v>
      </c>
      <c r="D232" s="14" t="n">
        <f aca="false">COUNTIFS(選手一覧!$C$7:$C$2738,A232,選手一覧!$E$7:$E$2738,"&lt;=100")</f>
        <v>0</v>
      </c>
      <c r="E232" s="14" t="n">
        <f aca="false">COUNTIFS(選手一覧!$C$7:$C$2738,A232,選手一覧!$G$7:$G$2738,"&lt;=100")</f>
        <v>0</v>
      </c>
      <c r="F232" s="14" t="n">
        <f aca="false">COUNTIFS(選手一覧!$C$7:$C$2738,A232,選手一覧!$I$7:$I$2738,"&lt;=100")</f>
        <v>0</v>
      </c>
      <c r="G232" s="13" t="n">
        <f aca="false">_xlfn.MINIFS(選手一覧!$K$7:$K$2738,選手一覧!$C$7:$C$2738,A232)</f>
        <v>398</v>
      </c>
      <c r="H232" s="16"/>
    </row>
    <row r="233" customFormat="false" ht="15" hidden="false" customHeight="false" outlineLevel="0" collapsed="false">
      <c r="A233" s="10" t="s">
        <v>1322</v>
      </c>
      <c r="B233" s="12" t="n">
        <f aca="false">COUNTIF(選手一覧!$C$7:$C$2738,A233)</f>
        <v>4</v>
      </c>
      <c r="C233" s="14" t="n">
        <f aca="false">COUNTIFS(選手一覧!$C$7:$C$2738,A233,選手一覧!$K$7:$K$2738,"&lt;=100")</f>
        <v>0</v>
      </c>
      <c r="D233" s="14" t="n">
        <f aca="false">COUNTIFS(選手一覧!$C$7:$C$2738,A233,選手一覧!$E$7:$E$2738,"&lt;=100")</f>
        <v>0</v>
      </c>
      <c r="E233" s="14" t="n">
        <f aca="false">COUNTIFS(選手一覧!$C$7:$C$2738,A233,選手一覧!$G$7:$G$2738,"&lt;=100")</f>
        <v>0</v>
      </c>
      <c r="F233" s="14" t="n">
        <f aca="false">COUNTIFS(選手一覧!$C$7:$C$2738,A233,選手一覧!$I$7:$I$2738,"&lt;=100")</f>
        <v>0</v>
      </c>
      <c r="G233" s="13" t="n">
        <f aca="false">_xlfn.MINIFS(選手一覧!$K$7:$K$2738,選手一覧!$C$7:$C$2738,A233)</f>
        <v>401</v>
      </c>
      <c r="H233" s="16"/>
    </row>
    <row r="234" customFormat="false" ht="15" hidden="false" customHeight="false" outlineLevel="0" collapsed="false">
      <c r="A234" s="10" t="s">
        <v>1366</v>
      </c>
      <c r="B234" s="12" t="n">
        <f aca="false">COUNTIF(選手一覧!$C$7:$C$2738,A234)</f>
        <v>4</v>
      </c>
      <c r="C234" s="14" t="n">
        <f aca="false">COUNTIFS(選手一覧!$C$7:$C$2738,A234,選手一覧!$K$7:$K$2738,"&lt;=100")</f>
        <v>0</v>
      </c>
      <c r="D234" s="14" t="n">
        <f aca="false">COUNTIFS(選手一覧!$C$7:$C$2738,A234,選手一覧!$E$7:$E$2738,"&lt;=100")</f>
        <v>0</v>
      </c>
      <c r="E234" s="14" t="n">
        <f aca="false">COUNTIFS(選手一覧!$C$7:$C$2738,A234,選手一覧!$G$7:$G$2738,"&lt;=100")</f>
        <v>0</v>
      </c>
      <c r="F234" s="14" t="n">
        <f aca="false">COUNTIFS(選手一覧!$C$7:$C$2738,A234,選手一覧!$I$7:$I$2738,"&lt;=100")</f>
        <v>0</v>
      </c>
      <c r="G234" s="13" t="n">
        <f aca="false">_xlfn.MINIFS(選手一覧!$K$7:$K$2738,選手一覧!$C$7:$C$2738,A234)</f>
        <v>416</v>
      </c>
      <c r="H234" s="16"/>
    </row>
    <row r="235" customFormat="false" ht="15" hidden="false" customHeight="false" outlineLevel="0" collapsed="false">
      <c r="A235" s="10" t="s">
        <v>1381</v>
      </c>
      <c r="B235" s="12" t="n">
        <f aca="false">COUNTIF(選手一覧!$C$7:$C$2738,A235)</f>
        <v>4</v>
      </c>
      <c r="C235" s="14" t="n">
        <f aca="false">COUNTIFS(選手一覧!$C$7:$C$2738,A235,選手一覧!$K$7:$K$2738,"&lt;=100")</f>
        <v>0</v>
      </c>
      <c r="D235" s="14" t="n">
        <f aca="false">COUNTIFS(選手一覧!$C$7:$C$2738,A235,選手一覧!$E$7:$E$2738,"&lt;=100")</f>
        <v>0</v>
      </c>
      <c r="E235" s="14" t="n">
        <f aca="false">COUNTIFS(選手一覧!$C$7:$C$2738,A235,選手一覧!$G$7:$G$2738,"&lt;=100")</f>
        <v>0</v>
      </c>
      <c r="F235" s="14" t="n">
        <f aca="false">COUNTIFS(選手一覧!$C$7:$C$2738,A235,選手一覧!$I$7:$I$2738,"&lt;=100")</f>
        <v>0</v>
      </c>
      <c r="G235" s="13" t="n">
        <f aca="false">_xlfn.MINIFS(選手一覧!$K$7:$K$2738,選手一覧!$C$7:$C$2738,A235)</f>
        <v>421</v>
      </c>
      <c r="H235" s="16"/>
    </row>
    <row r="236" customFormat="false" ht="15" hidden="false" customHeight="false" outlineLevel="0" collapsed="false">
      <c r="A236" s="10" t="s">
        <v>1383</v>
      </c>
      <c r="B236" s="12" t="n">
        <f aca="false">COUNTIF(選手一覧!$C$7:$C$2738,A236)</f>
        <v>4</v>
      </c>
      <c r="C236" s="14" t="n">
        <f aca="false">COUNTIFS(選手一覧!$C$7:$C$2738,A236,選手一覧!$K$7:$K$2738,"&lt;=100")</f>
        <v>0</v>
      </c>
      <c r="D236" s="14" t="n">
        <f aca="false">COUNTIFS(選手一覧!$C$7:$C$2738,A236,選手一覧!$E$7:$E$2738,"&lt;=100")</f>
        <v>0</v>
      </c>
      <c r="E236" s="14" t="n">
        <f aca="false">COUNTIFS(選手一覧!$C$7:$C$2738,A236,選手一覧!$G$7:$G$2738,"&lt;=100")</f>
        <v>0</v>
      </c>
      <c r="F236" s="14" t="n">
        <f aca="false">COUNTIFS(選手一覧!$C$7:$C$2738,A236,選手一覧!$I$7:$I$2738,"&lt;=100")</f>
        <v>0</v>
      </c>
      <c r="G236" s="13" t="n">
        <f aca="false">_xlfn.MINIFS(選手一覧!$K$7:$K$2738,選手一覧!$C$7:$C$2738,A236)</f>
        <v>421</v>
      </c>
      <c r="H236" s="16"/>
    </row>
    <row r="237" customFormat="false" ht="15" hidden="false" customHeight="false" outlineLevel="0" collapsed="false">
      <c r="A237" s="10" t="s">
        <v>1423</v>
      </c>
      <c r="B237" s="12" t="n">
        <f aca="false">COUNTIF(選手一覧!$C$7:$C$2738,A237)</f>
        <v>4</v>
      </c>
      <c r="C237" s="14" t="n">
        <f aca="false">COUNTIFS(選手一覧!$C$7:$C$2738,A237,選手一覧!$K$7:$K$2738,"&lt;=100")</f>
        <v>0</v>
      </c>
      <c r="D237" s="14" t="n">
        <f aca="false">COUNTIFS(選手一覧!$C$7:$C$2738,A237,選手一覧!$E$7:$E$2738,"&lt;=100")</f>
        <v>0</v>
      </c>
      <c r="E237" s="14" t="n">
        <f aca="false">COUNTIFS(選手一覧!$C$7:$C$2738,A237,選手一覧!$G$7:$G$2738,"&lt;=100")</f>
        <v>0</v>
      </c>
      <c r="F237" s="14" t="n">
        <f aca="false">COUNTIFS(選手一覧!$C$7:$C$2738,A237,選手一覧!$I$7:$I$2738,"&lt;=100")</f>
        <v>0</v>
      </c>
      <c r="G237" s="13" t="n">
        <f aca="false">_xlfn.MINIFS(選手一覧!$K$7:$K$2738,選手一覧!$C$7:$C$2738,A237)</f>
        <v>435</v>
      </c>
      <c r="H237" s="16"/>
    </row>
    <row r="238" customFormat="false" ht="15" hidden="false" customHeight="false" outlineLevel="0" collapsed="false">
      <c r="A238" s="10" t="s">
        <v>1498</v>
      </c>
      <c r="B238" s="12" t="n">
        <f aca="false">COUNTIF(選手一覧!$C$7:$C$2738,A238)</f>
        <v>4</v>
      </c>
      <c r="C238" s="14" t="n">
        <f aca="false">COUNTIFS(選手一覧!$C$7:$C$2738,A238,選手一覧!$K$7:$K$2738,"&lt;=100")</f>
        <v>0</v>
      </c>
      <c r="D238" s="14" t="n">
        <f aca="false">COUNTIFS(選手一覧!$C$7:$C$2738,A238,選手一覧!$E$7:$E$2738,"&lt;=100")</f>
        <v>0</v>
      </c>
      <c r="E238" s="14" t="n">
        <f aca="false">COUNTIFS(選手一覧!$C$7:$C$2738,A238,選手一覧!$G$7:$G$2738,"&lt;=100")</f>
        <v>0</v>
      </c>
      <c r="F238" s="14" t="n">
        <f aca="false">COUNTIFS(選手一覧!$C$7:$C$2738,A238,選手一覧!$I$7:$I$2738,"&lt;=100")</f>
        <v>0</v>
      </c>
      <c r="G238" s="13" t="n">
        <f aca="false">_xlfn.MINIFS(選手一覧!$K$7:$K$2738,選手一覧!$C$7:$C$2738,A238)</f>
        <v>462</v>
      </c>
      <c r="H238" s="16"/>
    </row>
    <row r="239" customFormat="false" ht="15" hidden="false" customHeight="false" outlineLevel="0" collapsed="false">
      <c r="A239" s="10" t="s">
        <v>1595</v>
      </c>
      <c r="B239" s="12" t="n">
        <f aca="false">COUNTIF(選手一覧!$C$7:$C$2738,A239)</f>
        <v>4</v>
      </c>
      <c r="C239" s="14" t="n">
        <f aca="false">COUNTIFS(選手一覧!$C$7:$C$2738,A239,選手一覧!$K$7:$K$2738,"&lt;=100")</f>
        <v>0</v>
      </c>
      <c r="D239" s="14" t="n">
        <f aca="false">COUNTIFS(選手一覧!$C$7:$C$2738,A239,選手一覧!$E$7:$E$2738,"&lt;=100")</f>
        <v>0</v>
      </c>
      <c r="E239" s="14" t="n">
        <f aca="false">COUNTIFS(選手一覧!$C$7:$C$2738,A239,選手一覧!$G$7:$G$2738,"&lt;=100")</f>
        <v>0</v>
      </c>
      <c r="F239" s="14" t="n">
        <f aca="false">COUNTIFS(選手一覧!$C$7:$C$2738,A239,選手一覧!$I$7:$I$2738,"&lt;=100")</f>
        <v>0</v>
      </c>
      <c r="G239" s="13" t="n">
        <f aca="false">_xlfn.MINIFS(選手一覧!$K$7:$K$2738,選手一覧!$C$7:$C$2738,A239)</f>
        <v>498</v>
      </c>
      <c r="H239" s="16"/>
    </row>
    <row r="240" customFormat="false" ht="15" hidden="false" customHeight="false" outlineLevel="0" collapsed="false">
      <c r="A240" s="10" t="s">
        <v>1608</v>
      </c>
      <c r="B240" s="12" t="n">
        <f aca="false">COUNTIF(選手一覧!$C$7:$C$2738,A240)</f>
        <v>4</v>
      </c>
      <c r="C240" s="14" t="n">
        <f aca="false">COUNTIFS(選手一覧!$C$7:$C$2738,A240,選手一覧!$K$7:$K$2738,"&lt;=100")</f>
        <v>0</v>
      </c>
      <c r="D240" s="14" t="n">
        <f aca="false">COUNTIFS(選手一覧!$C$7:$C$2738,A240,選手一覧!$E$7:$E$2738,"&lt;=100")</f>
        <v>0</v>
      </c>
      <c r="E240" s="14" t="n">
        <f aca="false">COUNTIFS(選手一覧!$C$7:$C$2738,A240,選手一覧!$G$7:$G$2738,"&lt;=100")</f>
        <v>0</v>
      </c>
      <c r="F240" s="14" t="n">
        <f aca="false">COUNTIFS(選手一覧!$C$7:$C$2738,A240,選手一覧!$I$7:$I$2738,"&lt;=100")</f>
        <v>0</v>
      </c>
      <c r="G240" s="13" t="n">
        <f aca="false">_xlfn.MINIFS(選手一覧!$K$7:$K$2738,選手一覧!$C$7:$C$2738,A240)</f>
        <v>502</v>
      </c>
      <c r="H240" s="16"/>
    </row>
    <row r="241" customFormat="false" ht="15" hidden="false" customHeight="false" outlineLevel="0" collapsed="false">
      <c r="A241" s="10" t="s">
        <v>1618</v>
      </c>
      <c r="B241" s="12" t="n">
        <f aca="false">COUNTIF(選手一覧!$C$7:$C$2738,A241)</f>
        <v>4</v>
      </c>
      <c r="C241" s="14" t="n">
        <f aca="false">COUNTIFS(選手一覧!$C$7:$C$2738,A241,選手一覧!$K$7:$K$2738,"&lt;=100")</f>
        <v>0</v>
      </c>
      <c r="D241" s="14" t="n">
        <f aca="false">COUNTIFS(選手一覧!$C$7:$C$2738,A241,選手一覧!$E$7:$E$2738,"&lt;=100")</f>
        <v>0</v>
      </c>
      <c r="E241" s="14" t="n">
        <f aca="false">COUNTIFS(選手一覧!$C$7:$C$2738,A241,選手一覧!$G$7:$G$2738,"&lt;=100")</f>
        <v>0</v>
      </c>
      <c r="F241" s="14" t="n">
        <f aca="false">COUNTIFS(選手一覧!$C$7:$C$2738,A241,選手一覧!$I$7:$I$2738,"&lt;=100")</f>
        <v>0</v>
      </c>
      <c r="G241" s="13" t="n">
        <f aca="false">_xlfn.MINIFS(選手一覧!$K$7:$K$2738,選手一覧!$C$7:$C$2738,A241)</f>
        <v>506</v>
      </c>
      <c r="H241" s="16"/>
    </row>
    <row r="242" customFormat="false" ht="15" hidden="false" customHeight="false" outlineLevel="0" collapsed="false">
      <c r="A242" s="10" t="s">
        <v>1651</v>
      </c>
      <c r="B242" s="12" t="n">
        <f aca="false">COUNTIF(選手一覧!$C$7:$C$2738,A242)</f>
        <v>4</v>
      </c>
      <c r="C242" s="14" t="n">
        <f aca="false">COUNTIFS(選手一覧!$C$7:$C$2738,A242,選手一覧!$K$7:$K$2738,"&lt;=100")</f>
        <v>0</v>
      </c>
      <c r="D242" s="14" t="n">
        <f aca="false">COUNTIFS(選手一覧!$C$7:$C$2738,A242,選手一覧!$E$7:$E$2738,"&lt;=100")</f>
        <v>0</v>
      </c>
      <c r="E242" s="14" t="n">
        <f aca="false">COUNTIFS(選手一覧!$C$7:$C$2738,A242,選手一覧!$G$7:$G$2738,"&lt;=100")</f>
        <v>0</v>
      </c>
      <c r="F242" s="14" t="n">
        <f aca="false">COUNTIFS(選手一覧!$C$7:$C$2738,A242,選手一覧!$I$7:$I$2738,"&lt;=100")</f>
        <v>0</v>
      </c>
      <c r="G242" s="13" t="n">
        <f aca="false">_xlfn.MINIFS(選手一覧!$K$7:$K$2738,選手一覧!$C$7:$C$2738,A242)</f>
        <v>518</v>
      </c>
      <c r="H242" s="16"/>
    </row>
    <row r="243" customFormat="false" ht="15" hidden="false" customHeight="false" outlineLevel="0" collapsed="false">
      <c r="A243" s="10" t="s">
        <v>1668</v>
      </c>
      <c r="B243" s="12" t="n">
        <f aca="false">COUNTIF(選手一覧!$C$7:$C$2738,A243)</f>
        <v>4</v>
      </c>
      <c r="C243" s="14" t="n">
        <f aca="false">COUNTIFS(選手一覧!$C$7:$C$2738,A243,選手一覧!$K$7:$K$2738,"&lt;=100")</f>
        <v>0</v>
      </c>
      <c r="D243" s="14" t="n">
        <f aca="false">COUNTIFS(選手一覧!$C$7:$C$2738,A243,選手一覧!$E$7:$E$2738,"&lt;=100")</f>
        <v>0</v>
      </c>
      <c r="E243" s="14" t="n">
        <f aca="false">COUNTIFS(選手一覧!$C$7:$C$2738,A243,選手一覧!$G$7:$G$2738,"&lt;=100")</f>
        <v>0</v>
      </c>
      <c r="F243" s="14" t="n">
        <f aca="false">COUNTIFS(選手一覧!$C$7:$C$2738,A243,選手一覧!$I$7:$I$2738,"&lt;=100")</f>
        <v>0</v>
      </c>
      <c r="G243" s="13" t="n">
        <f aca="false">_xlfn.MINIFS(選手一覧!$K$7:$K$2738,選手一覧!$C$7:$C$2738,A243)</f>
        <v>524</v>
      </c>
      <c r="H243" s="16"/>
    </row>
    <row r="244" customFormat="false" ht="15" hidden="false" customHeight="false" outlineLevel="0" collapsed="false">
      <c r="A244" s="10" t="s">
        <v>1690</v>
      </c>
      <c r="B244" s="12" t="n">
        <f aca="false">COUNTIF(選手一覧!$C$7:$C$2738,A244)</f>
        <v>4</v>
      </c>
      <c r="C244" s="14" t="n">
        <f aca="false">COUNTIFS(選手一覧!$C$7:$C$2738,A244,選手一覧!$K$7:$K$2738,"&lt;=100")</f>
        <v>0</v>
      </c>
      <c r="D244" s="14" t="n">
        <f aca="false">COUNTIFS(選手一覧!$C$7:$C$2738,A244,選手一覧!$E$7:$E$2738,"&lt;=100")</f>
        <v>0</v>
      </c>
      <c r="E244" s="14" t="n">
        <f aca="false">COUNTIFS(選手一覧!$C$7:$C$2738,A244,選手一覧!$G$7:$G$2738,"&lt;=100")</f>
        <v>0</v>
      </c>
      <c r="F244" s="14" t="n">
        <f aca="false">COUNTIFS(選手一覧!$C$7:$C$2738,A244,選手一覧!$I$7:$I$2738,"&lt;=100")</f>
        <v>0</v>
      </c>
      <c r="G244" s="13" t="n">
        <f aca="false">_xlfn.MINIFS(選手一覧!$K$7:$K$2738,選手一覧!$C$7:$C$2738,A244)</f>
        <v>532</v>
      </c>
      <c r="H244" s="16"/>
    </row>
    <row r="245" customFormat="false" ht="15" hidden="false" customHeight="false" outlineLevel="0" collapsed="false">
      <c r="A245" s="10" t="s">
        <v>1775</v>
      </c>
      <c r="B245" s="12" t="n">
        <f aca="false">COUNTIF(選手一覧!$C$7:$C$2738,A245)</f>
        <v>4</v>
      </c>
      <c r="C245" s="14" t="n">
        <f aca="false">COUNTIFS(選手一覧!$C$7:$C$2738,A245,選手一覧!$K$7:$K$2738,"&lt;=100")</f>
        <v>0</v>
      </c>
      <c r="D245" s="14" t="n">
        <f aca="false">COUNTIFS(選手一覧!$C$7:$C$2738,A245,選手一覧!$E$7:$E$2738,"&lt;=100")</f>
        <v>0</v>
      </c>
      <c r="E245" s="14" t="n">
        <f aca="false">COUNTIFS(選手一覧!$C$7:$C$2738,A245,選手一覧!$G$7:$G$2738,"&lt;=100")</f>
        <v>0</v>
      </c>
      <c r="F245" s="14" t="n">
        <f aca="false">COUNTIFS(選手一覧!$C$7:$C$2738,A245,選手一覧!$I$7:$I$2738,"&lt;=100")</f>
        <v>0</v>
      </c>
      <c r="G245" s="13" t="n">
        <f aca="false">_xlfn.MINIFS(選手一覧!$K$7:$K$2738,選手一覧!$C$7:$C$2738,A245)</f>
        <v>562</v>
      </c>
      <c r="H245" s="16"/>
    </row>
    <row r="246" customFormat="false" ht="15" hidden="false" customHeight="false" outlineLevel="0" collapsed="false">
      <c r="A246" s="10" t="s">
        <v>1777</v>
      </c>
      <c r="B246" s="12" t="n">
        <f aca="false">COUNTIF(選手一覧!$C$7:$C$2738,A246)</f>
        <v>4</v>
      </c>
      <c r="C246" s="14" t="n">
        <f aca="false">COUNTIFS(選手一覧!$C$7:$C$2738,A246,選手一覧!$K$7:$K$2738,"&lt;=100")</f>
        <v>0</v>
      </c>
      <c r="D246" s="14" t="n">
        <f aca="false">COUNTIFS(選手一覧!$C$7:$C$2738,A246,選手一覧!$E$7:$E$2738,"&lt;=100")</f>
        <v>0</v>
      </c>
      <c r="E246" s="14" t="n">
        <f aca="false">COUNTIFS(選手一覧!$C$7:$C$2738,A246,選手一覧!$G$7:$G$2738,"&lt;=100")</f>
        <v>0</v>
      </c>
      <c r="F246" s="14" t="n">
        <f aca="false">COUNTIFS(選手一覧!$C$7:$C$2738,A246,選手一覧!$I$7:$I$2738,"&lt;=100")</f>
        <v>0</v>
      </c>
      <c r="G246" s="13" t="n">
        <f aca="false">_xlfn.MINIFS(選手一覧!$K$7:$K$2738,選手一覧!$C$7:$C$2738,A246)</f>
        <v>563</v>
      </c>
      <c r="H246" s="16"/>
    </row>
    <row r="247" customFormat="false" ht="15" hidden="false" customHeight="false" outlineLevel="0" collapsed="false">
      <c r="A247" s="10" t="s">
        <v>2024</v>
      </c>
      <c r="B247" s="12" t="n">
        <f aca="false">COUNTIF(選手一覧!$C$7:$C$2738,A247)</f>
        <v>4</v>
      </c>
      <c r="C247" s="14" t="n">
        <f aca="false">COUNTIFS(選手一覧!$C$7:$C$2738,A247,選手一覧!$K$7:$K$2738,"&lt;=100")</f>
        <v>0</v>
      </c>
      <c r="D247" s="14" t="n">
        <f aca="false">COUNTIFS(選手一覧!$C$7:$C$2738,A247,選手一覧!$E$7:$E$2738,"&lt;=100")</f>
        <v>0</v>
      </c>
      <c r="E247" s="14" t="n">
        <f aca="false">COUNTIFS(選手一覧!$C$7:$C$2738,A247,選手一覧!$G$7:$G$2738,"&lt;=100")</f>
        <v>0</v>
      </c>
      <c r="F247" s="14" t="n">
        <f aca="false">COUNTIFS(選手一覧!$C$7:$C$2738,A247,選手一覧!$I$7:$I$2738,"&lt;=100")</f>
        <v>0</v>
      </c>
      <c r="G247" s="13" t="n">
        <f aca="false">_xlfn.MINIFS(選手一覧!$K$7:$K$2738,選手一覧!$C$7:$C$2738,A247)</f>
        <v>658</v>
      </c>
      <c r="H247" s="16"/>
    </row>
    <row r="248" customFormat="false" ht="15" hidden="false" customHeight="false" outlineLevel="0" collapsed="false">
      <c r="A248" s="10" t="s">
        <v>2041</v>
      </c>
      <c r="B248" s="12" t="n">
        <f aca="false">COUNTIF(選手一覧!$C$7:$C$2738,A248)</f>
        <v>4</v>
      </c>
      <c r="C248" s="14" t="n">
        <f aca="false">COUNTIFS(選手一覧!$C$7:$C$2738,A248,選手一覧!$K$7:$K$2738,"&lt;=100")</f>
        <v>0</v>
      </c>
      <c r="D248" s="14" t="n">
        <f aca="false">COUNTIFS(選手一覧!$C$7:$C$2738,A248,選手一覧!$E$7:$E$2738,"&lt;=100")</f>
        <v>0</v>
      </c>
      <c r="E248" s="14" t="n">
        <f aca="false">COUNTIFS(選手一覧!$C$7:$C$2738,A248,選手一覧!$G$7:$G$2738,"&lt;=100")</f>
        <v>0</v>
      </c>
      <c r="F248" s="14" t="n">
        <f aca="false">COUNTIFS(選手一覧!$C$7:$C$2738,A248,選手一覧!$I$7:$I$2738,"&lt;=100")</f>
        <v>0</v>
      </c>
      <c r="G248" s="13" t="n">
        <f aca="false">_xlfn.MINIFS(選手一覧!$K$7:$K$2738,選手一覧!$C$7:$C$2738,A248)</f>
        <v>664</v>
      </c>
      <c r="H248" s="16"/>
    </row>
    <row r="249" customFormat="false" ht="15" hidden="false" customHeight="false" outlineLevel="0" collapsed="false">
      <c r="A249" s="10" t="s">
        <v>2171</v>
      </c>
      <c r="B249" s="12" t="n">
        <f aca="false">COUNTIF(選手一覧!$C$7:$C$2738,A249)</f>
        <v>4</v>
      </c>
      <c r="C249" s="14" t="n">
        <f aca="false">COUNTIFS(選手一覧!$C$7:$C$2738,A249,選手一覧!$K$7:$K$2738,"&lt;=100")</f>
        <v>0</v>
      </c>
      <c r="D249" s="14" t="n">
        <f aca="false">COUNTIFS(選手一覧!$C$7:$C$2738,A249,選手一覧!$E$7:$E$2738,"&lt;=100")</f>
        <v>0</v>
      </c>
      <c r="E249" s="14" t="n">
        <f aca="false">COUNTIFS(選手一覧!$C$7:$C$2738,A249,選手一覧!$G$7:$G$2738,"&lt;=100")</f>
        <v>0</v>
      </c>
      <c r="F249" s="14" t="n">
        <f aca="false">COUNTIFS(選手一覧!$C$7:$C$2738,A249,選手一覧!$I$7:$I$2738,"&lt;=100")</f>
        <v>0</v>
      </c>
      <c r="G249" s="13" t="n">
        <f aca="false">_xlfn.MINIFS(選手一覧!$K$7:$K$2738,選手一覧!$C$7:$C$2738,A249)</f>
        <v>713</v>
      </c>
      <c r="H249" s="16"/>
    </row>
    <row r="250" customFormat="false" ht="15" hidden="false" customHeight="false" outlineLevel="0" collapsed="false">
      <c r="A250" s="10" t="s">
        <v>2219</v>
      </c>
      <c r="B250" s="12" t="n">
        <f aca="false">COUNTIF(選手一覧!$C$7:$C$2738,A250)</f>
        <v>4</v>
      </c>
      <c r="C250" s="14" t="n">
        <f aca="false">COUNTIFS(選手一覧!$C$7:$C$2738,A250,選手一覧!$K$7:$K$2738,"&lt;=100")</f>
        <v>0</v>
      </c>
      <c r="D250" s="14" t="n">
        <f aca="false">COUNTIFS(選手一覧!$C$7:$C$2738,A250,選手一覧!$E$7:$E$2738,"&lt;=100")</f>
        <v>0</v>
      </c>
      <c r="E250" s="14" t="n">
        <f aca="false">COUNTIFS(選手一覧!$C$7:$C$2738,A250,選手一覧!$G$7:$G$2738,"&lt;=100")</f>
        <v>0</v>
      </c>
      <c r="F250" s="14" t="n">
        <f aca="false">COUNTIFS(選手一覧!$C$7:$C$2738,A250,選手一覧!$I$7:$I$2738,"&lt;=100")</f>
        <v>0</v>
      </c>
      <c r="G250" s="13" t="n">
        <f aca="false">_xlfn.MINIFS(選手一覧!$K$7:$K$2738,選手一覧!$C$7:$C$2738,A250)</f>
        <v>731</v>
      </c>
      <c r="H250" s="16"/>
    </row>
    <row r="251" customFormat="false" ht="15" hidden="false" customHeight="false" outlineLevel="0" collapsed="false">
      <c r="A251" s="10" t="s">
        <v>2253</v>
      </c>
      <c r="B251" s="12" t="n">
        <f aca="false">COUNTIF(選手一覧!$C$7:$C$2738,A251)</f>
        <v>4</v>
      </c>
      <c r="C251" s="14" t="n">
        <f aca="false">COUNTIFS(選手一覧!$C$7:$C$2738,A251,選手一覧!$K$7:$K$2738,"&lt;=100")</f>
        <v>0</v>
      </c>
      <c r="D251" s="14" t="n">
        <f aca="false">COUNTIFS(選手一覧!$C$7:$C$2738,A251,選手一覧!$E$7:$E$2738,"&lt;=100")</f>
        <v>0</v>
      </c>
      <c r="E251" s="14" t="n">
        <f aca="false">COUNTIFS(選手一覧!$C$7:$C$2738,A251,選手一覧!$G$7:$G$2738,"&lt;=100")</f>
        <v>0</v>
      </c>
      <c r="F251" s="14" t="n">
        <f aca="false">COUNTIFS(選手一覧!$C$7:$C$2738,A251,選手一覧!$I$7:$I$2738,"&lt;=100")</f>
        <v>0</v>
      </c>
      <c r="G251" s="13" t="n">
        <f aca="false">_xlfn.MINIFS(選手一覧!$K$7:$K$2738,選手一覧!$C$7:$C$2738,A251)</f>
        <v>742</v>
      </c>
      <c r="H251" s="16"/>
    </row>
    <row r="252" customFormat="false" ht="15" hidden="false" customHeight="false" outlineLevel="0" collapsed="false">
      <c r="A252" s="10" t="s">
        <v>2271</v>
      </c>
      <c r="B252" s="12" t="n">
        <f aca="false">COUNTIF(選手一覧!$C$7:$C$2738,A252)</f>
        <v>4</v>
      </c>
      <c r="C252" s="14" t="n">
        <f aca="false">COUNTIFS(選手一覧!$C$7:$C$2738,A252,選手一覧!$K$7:$K$2738,"&lt;=100")</f>
        <v>0</v>
      </c>
      <c r="D252" s="14" t="n">
        <f aca="false">COUNTIFS(選手一覧!$C$7:$C$2738,A252,選手一覧!$E$7:$E$2738,"&lt;=100")</f>
        <v>0</v>
      </c>
      <c r="E252" s="14" t="n">
        <f aca="false">COUNTIFS(選手一覧!$C$7:$C$2738,A252,選手一覧!$G$7:$G$2738,"&lt;=100")</f>
        <v>0</v>
      </c>
      <c r="F252" s="14" t="n">
        <f aca="false">COUNTIFS(選手一覧!$C$7:$C$2738,A252,選手一覧!$I$7:$I$2738,"&lt;=100")</f>
        <v>0</v>
      </c>
      <c r="G252" s="13" t="n">
        <f aca="false">_xlfn.MINIFS(選手一覧!$K$7:$K$2738,選手一覧!$C$7:$C$2738,A252)</f>
        <v>748</v>
      </c>
      <c r="H252" s="16"/>
    </row>
    <row r="253" customFormat="false" ht="15" hidden="false" customHeight="false" outlineLevel="0" collapsed="false">
      <c r="A253" s="10" t="s">
        <v>3736</v>
      </c>
      <c r="B253" s="12" t="n">
        <f aca="false">COUNTIF(選手一覧!$C$7:$C$2738,A253)</f>
        <v>4</v>
      </c>
      <c r="C253" s="14" t="n">
        <f aca="false">COUNTIFS(選手一覧!$C$7:$C$2738,A253,選手一覧!$K$7:$K$2738,"&lt;=100")</f>
        <v>0</v>
      </c>
      <c r="D253" s="14" t="n">
        <f aca="false">COUNTIFS(選手一覧!$C$7:$C$2738,A253,選手一覧!$E$7:$E$2738,"&lt;=100")</f>
        <v>0</v>
      </c>
      <c r="E253" s="14" t="n">
        <f aca="false">COUNTIFS(選手一覧!$C$7:$C$2738,A253,選手一覧!$G$7:$G$2738,"&lt;=100")</f>
        <v>0</v>
      </c>
      <c r="F253" s="14" t="n">
        <f aca="false">COUNTIFS(選手一覧!$C$7:$C$2738,A253,選手一覧!$I$7:$I$2738,"&lt;=100")</f>
        <v>0</v>
      </c>
      <c r="G253" s="13" t="n">
        <f aca="false">_xlfn.MINIFS(選手一覧!$K$7:$K$2738,選手一覧!$C$7:$C$2738,A253)</f>
        <v>1312</v>
      </c>
      <c r="H253" s="16"/>
    </row>
    <row r="254" customFormat="false" ht="15" hidden="false" customHeight="false" outlineLevel="0" collapsed="false">
      <c r="A254" s="10" t="s">
        <v>416</v>
      </c>
      <c r="B254" s="12" t="n">
        <f aca="false">COUNTIF(選手一覧!$C$7:$C$2738,A254)</f>
        <v>3</v>
      </c>
      <c r="C254" s="14" t="n">
        <f aca="false">COUNTIFS(選手一覧!$C$7:$C$2738,A254,選手一覧!$K$7:$K$2738,"&lt;=100")</f>
        <v>0</v>
      </c>
      <c r="D254" s="14" t="n">
        <f aca="false">COUNTIFS(選手一覧!$C$7:$C$2738,A254,選手一覧!$E$7:$E$2738,"&lt;=100")</f>
        <v>0</v>
      </c>
      <c r="E254" s="14" t="n">
        <f aca="false">COUNTIFS(選手一覧!$C$7:$C$2738,A254,選手一覧!$G$7:$G$2738,"&lt;=100")</f>
        <v>0</v>
      </c>
      <c r="F254" s="14" t="n">
        <f aca="false">COUNTIFS(選手一覧!$C$7:$C$2738,A254,選手一覧!$I$7:$I$2738,"&lt;=100")</f>
        <v>0</v>
      </c>
      <c r="G254" s="13" t="n">
        <f aca="false">_xlfn.MINIFS(選手一覧!$K$7:$K$2738,選手一覧!$C$7:$C$2738,A254)</f>
        <v>105</v>
      </c>
      <c r="H254" s="16"/>
    </row>
    <row r="255" customFormat="false" ht="15" hidden="false" customHeight="false" outlineLevel="0" collapsed="false">
      <c r="A255" s="10" t="s">
        <v>443</v>
      </c>
      <c r="B255" s="12" t="n">
        <f aca="false">COUNTIF(選手一覧!$C$7:$C$2738,A255)</f>
        <v>3</v>
      </c>
      <c r="C255" s="14" t="n">
        <f aca="false">COUNTIFS(選手一覧!$C$7:$C$2738,A255,選手一覧!$K$7:$K$2738,"&lt;=100")</f>
        <v>0</v>
      </c>
      <c r="D255" s="14" t="n">
        <f aca="false">COUNTIFS(選手一覧!$C$7:$C$2738,A255,選手一覧!$E$7:$E$2738,"&lt;=100")</f>
        <v>0</v>
      </c>
      <c r="E255" s="14" t="n">
        <f aca="false">COUNTIFS(選手一覧!$C$7:$C$2738,A255,選手一覧!$G$7:$G$2738,"&lt;=100")</f>
        <v>0</v>
      </c>
      <c r="F255" s="14" t="n">
        <f aca="false">COUNTIFS(選手一覧!$C$7:$C$2738,A255,選手一覧!$I$7:$I$2738,"&lt;=100")</f>
        <v>0</v>
      </c>
      <c r="G255" s="13" t="n">
        <f aca="false">_xlfn.MINIFS(選手一覧!$K$7:$K$2738,選手一覧!$C$7:$C$2738,A255)</f>
        <v>113</v>
      </c>
      <c r="H255" s="16"/>
    </row>
    <row r="256" customFormat="false" ht="15" hidden="false" customHeight="false" outlineLevel="0" collapsed="false">
      <c r="A256" s="10" t="s">
        <v>492</v>
      </c>
      <c r="B256" s="12" t="n">
        <f aca="false">COUNTIF(選手一覧!$C$7:$C$2738,A256)</f>
        <v>3</v>
      </c>
      <c r="C256" s="14" t="n">
        <f aca="false">COUNTIFS(選手一覧!$C$7:$C$2738,A256,選手一覧!$K$7:$K$2738,"&lt;=100")</f>
        <v>0</v>
      </c>
      <c r="D256" s="14" t="n">
        <f aca="false">COUNTIFS(選手一覧!$C$7:$C$2738,A256,選手一覧!$E$7:$E$2738,"&lt;=100")</f>
        <v>0</v>
      </c>
      <c r="E256" s="14" t="n">
        <f aca="false">COUNTIFS(選手一覧!$C$7:$C$2738,A256,選手一覧!$G$7:$G$2738,"&lt;=100")</f>
        <v>0</v>
      </c>
      <c r="F256" s="14" t="n">
        <f aca="false">COUNTIFS(選手一覧!$C$7:$C$2738,A256,選手一覧!$I$7:$I$2738,"&lt;=100")</f>
        <v>0</v>
      </c>
      <c r="G256" s="13" t="n">
        <f aca="false">_xlfn.MINIFS(選手一覧!$K$7:$K$2738,選手一覧!$C$7:$C$2738,A256)</f>
        <v>126</v>
      </c>
      <c r="H256" s="16"/>
    </row>
    <row r="257" customFormat="false" ht="15" hidden="false" customHeight="false" outlineLevel="0" collapsed="false">
      <c r="A257" s="10" t="s">
        <v>502</v>
      </c>
      <c r="B257" s="12" t="n">
        <f aca="false">COUNTIF(選手一覧!$C$7:$C$2738,A257)</f>
        <v>3</v>
      </c>
      <c r="C257" s="14" t="n">
        <f aca="false">COUNTIFS(選手一覧!$C$7:$C$2738,A257,選手一覧!$K$7:$K$2738,"&lt;=100")</f>
        <v>0</v>
      </c>
      <c r="D257" s="14" t="n">
        <f aca="false">COUNTIFS(選手一覧!$C$7:$C$2738,A257,選手一覧!$E$7:$E$2738,"&lt;=100")</f>
        <v>0</v>
      </c>
      <c r="E257" s="14" t="n">
        <f aca="false">COUNTIFS(選手一覧!$C$7:$C$2738,A257,選手一覧!$G$7:$G$2738,"&lt;=100")</f>
        <v>0</v>
      </c>
      <c r="F257" s="14" t="n">
        <f aca="false">COUNTIFS(選手一覧!$C$7:$C$2738,A257,選手一覧!$I$7:$I$2738,"&lt;=100")</f>
        <v>0</v>
      </c>
      <c r="G257" s="13" t="n">
        <f aca="false">_xlfn.MINIFS(選手一覧!$K$7:$K$2738,選手一覧!$C$7:$C$2738,A257)</f>
        <v>129</v>
      </c>
      <c r="H257" s="16"/>
    </row>
    <row r="258" customFormat="false" ht="15" hidden="false" customHeight="false" outlineLevel="0" collapsed="false">
      <c r="A258" s="10" t="s">
        <v>511</v>
      </c>
      <c r="B258" s="12" t="n">
        <f aca="false">COUNTIF(選手一覧!$C$7:$C$2738,A258)</f>
        <v>3</v>
      </c>
      <c r="C258" s="14" t="n">
        <f aca="false">COUNTIFS(選手一覧!$C$7:$C$2738,A258,選手一覧!$K$7:$K$2738,"&lt;=100")</f>
        <v>0</v>
      </c>
      <c r="D258" s="14" t="n">
        <f aca="false">COUNTIFS(選手一覧!$C$7:$C$2738,A258,選手一覧!$E$7:$E$2738,"&lt;=100")</f>
        <v>0</v>
      </c>
      <c r="E258" s="14" t="n">
        <f aca="false">COUNTIFS(選手一覧!$C$7:$C$2738,A258,選手一覧!$G$7:$G$2738,"&lt;=100")</f>
        <v>0</v>
      </c>
      <c r="F258" s="14" t="n">
        <f aca="false">COUNTIFS(選手一覧!$C$7:$C$2738,A258,選手一覧!$I$7:$I$2738,"&lt;=100")</f>
        <v>0</v>
      </c>
      <c r="G258" s="13" t="n">
        <f aca="false">_xlfn.MINIFS(選手一覧!$K$7:$K$2738,選手一覧!$C$7:$C$2738,A258)</f>
        <v>131</v>
      </c>
      <c r="H258" s="16"/>
    </row>
    <row r="259" customFormat="false" ht="15" hidden="false" customHeight="false" outlineLevel="0" collapsed="false">
      <c r="A259" s="10" t="s">
        <v>519</v>
      </c>
      <c r="B259" s="12" t="n">
        <f aca="false">COUNTIF(選手一覧!$C$7:$C$2738,A259)</f>
        <v>3</v>
      </c>
      <c r="C259" s="14" t="n">
        <f aca="false">COUNTIFS(選手一覧!$C$7:$C$2738,A259,選手一覧!$K$7:$K$2738,"&lt;=100")</f>
        <v>0</v>
      </c>
      <c r="D259" s="14" t="n">
        <f aca="false">COUNTIFS(選手一覧!$C$7:$C$2738,A259,選手一覧!$E$7:$E$2738,"&lt;=100")</f>
        <v>0</v>
      </c>
      <c r="E259" s="14" t="n">
        <f aca="false">COUNTIFS(選手一覧!$C$7:$C$2738,A259,選手一覧!$G$7:$G$2738,"&lt;=100")</f>
        <v>0</v>
      </c>
      <c r="F259" s="14" t="n">
        <f aca="false">COUNTIFS(選手一覧!$C$7:$C$2738,A259,選手一覧!$I$7:$I$2738,"&lt;=100")</f>
        <v>0</v>
      </c>
      <c r="G259" s="13" t="n">
        <f aca="false">_xlfn.MINIFS(選手一覧!$K$7:$K$2738,選手一覧!$C$7:$C$2738,A259)</f>
        <v>134</v>
      </c>
      <c r="H259" s="16"/>
    </row>
    <row r="260" customFormat="false" ht="15" hidden="false" customHeight="false" outlineLevel="0" collapsed="false">
      <c r="A260" s="10" t="s">
        <v>521</v>
      </c>
      <c r="B260" s="12" t="n">
        <f aca="false">COUNTIF(選手一覧!$C$7:$C$2738,A260)</f>
        <v>3</v>
      </c>
      <c r="C260" s="14" t="n">
        <f aca="false">COUNTIFS(選手一覧!$C$7:$C$2738,A260,選手一覧!$K$7:$K$2738,"&lt;=100")</f>
        <v>0</v>
      </c>
      <c r="D260" s="14" t="n">
        <f aca="false">COUNTIFS(選手一覧!$C$7:$C$2738,A260,選手一覧!$E$7:$E$2738,"&lt;=100")</f>
        <v>0</v>
      </c>
      <c r="E260" s="14" t="n">
        <f aca="false">COUNTIFS(選手一覧!$C$7:$C$2738,A260,選手一覧!$G$7:$G$2738,"&lt;=100")</f>
        <v>0</v>
      </c>
      <c r="F260" s="14" t="n">
        <f aca="false">COUNTIFS(選手一覧!$C$7:$C$2738,A260,選手一覧!$I$7:$I$2738,"&lt;=100")</f>
        <v>0</v>
      </c>
      <c r="G260" s="13" t="n">
        <f aca="false">_xlfn.MINIFS(選手一覧!$K$7:$K$2738,選手一覧!$C$7:$C$2738,A260)</f>
        <v>134</v>
      </c>
      <c r="H260" s="16"/>
    </row>
    <row r="261" customFormat="false" ht="15" hidden="false" customHeight="false" outlineLevel="0" collapsed="false">
      <c r="A261" s="10" t="s">
        <v>625</v>
      </c>
      <c r="B261" s="12" t="n">
        <f aca="false">COUNTIF(選手一覧!$C$7:$C$2738,A261)</f>
        <v>3</v>
      </c>
      <c r="C261" s="14" t="n">
        <f aca="false">COUNTIFS(選手一覧!$C$7:$C$2738,A261,選手一覧!$K$7:$K$2738,"&lt;=100")</f>
        <v>0</v>
      </c>
      <c r="D261" s="14" t="n">
        <f aca="false">COUNTIFS(選手一覧!$C$7:$C$2738,A261,選手一覧!$E$7:$E$2738,"&lt;=100")</f>
        <v>0</v>
      </c>
      <c r="E261" s="14" t="n">
        <f aca="false">COUNTIFS(選手一覧!$C$7:$C$2738,A261,選手一覧!$G$7:$G$2738,"&lt;=100")</f>
        <v>0</v>
      </c>
      <c r="F261" s="14" t="n">
        <f aca="false">COUNTIFS(選手一覧!$C$7:$C$2738,A261,選手一覧!$I$7:$I$2738,"&lt;=100")</f>
        <v>0</v>
      </c>
      <c r="G261" s="13" t="n">
        <f aca="false">_xlfn.MINIFS(選手一覧!$K$7:$K$2738,選手一覧!$C$7:$C$2738,A261)</f>
        <v>166</v>
      </c>
      <c r="H261" s="16"/>
    </row>
    <row r="262" customFormat="false" ht="15" hidden="false" customHeight="false" outlineLevel="0" collapsed="false">
      <c r="A262" s="10" t="s">
        <v>652</v>
      </c>
      <c r="B262" s="12" t="n">
        <f aca="false">COUNTIF(選手一覧!$C$7:$C$2738,A262)</f>
        <v>3</v>
      </c>
      <c r="C262" s="14" t="n">
        <f aca="false">COUNTIFS(選手一覧!$C$7:$C$2738,A262,選手一覧!$K$7:$K$2738,"&lt;=100")</f>
        <v>0</v>
      </c>
      <c r="D262" s="14" t="n">
        <f aca="false">COUNTIFS(選手一覧!$C$7:$C$2738,A262,選手一覧!$E$7:$E$2738,"&lt;=100")</f>
        <v>0</v>
      </c>
      <c r="E262" s="14" t="n">
        <f aca="false">COUNTIFS(選手一覧!$C$7:$C$2738,A262,選手一覧!$G$7:$G$2738,"&lt;=100")</f>
        <v>0</v>
      </c>
      <c r="F262" s="14" t="n">
        <f aca="false">COUNTIFS(選手一覧!$C$7:$C$2738,A262,選手一覧!$I$7:$I$2738,"&lt;=100")</f>
        <v>0</v>
      </c>
      <c r="G262" s="13" t="n">
        <f aca="false">_xlfn.MINIFS(選手一覧!$K$7:$K$2738,選手一覧!$C$7:$C$2738,A262)</f>
        <v>176</v>
      </c>
      <c r="H262" s="16"/>
    </row>
    <row r="263" customFormat="false" ht="15" hidden="false" customHeight="false" outlineLevel="0" collapsed="false">
      <c r="A263" s="10" t="s">
        <v>658</v>
      </c>
      <c r="B263" s="12" t="n">
        <f aca="false">COUNTIF(選手一覧!$C$7:$C$2738,A263)</f>
        <v>3</v>
      </c>
      <c r="C263" s="14" t="n">
        <f aca="false">COUNTIFS(選手一覧!$C$7:$C$2738,A263,選手一覧!$K$7:$K$2738,"&lt;=100")</f>
        <v>0</v>
      </c>
      <c r="D263" s="14" t="n">
        <f aca="false">COUNTIFS(選手一覧!$C$7:$C$2738,A263,選手一覧!$E$7:$E$2738,"&lt;=100")</f>
        <v>0</v>
      </c>
      <c r="E263" s="14" t="n">
        <f aca="false">COUNTIFS(選手一覧!$C$7:$C$2738,A263,選手一覧!$G$7:$G$2738,"&lt;=100")</f>
        <v>0</v>
      </c>
      <c r="F263" s="14" t="n">
        <f aca="false">COUNTIFS(選手一覧!$C$7:$C$2738,A263,選手一覧!$I$7:$I$2738,"&lt;=100")</f>
        <v>0</v>
      </c>
      <c r="G263" s="13" t="n">
        <f aca="false">_xlfn.MINIFS(選手一覧!$K$7:$K$2738,選手一覧!$C$7:$C$2738,A263)</f>
        <v>177</v>
      </c>
      <c r="H263" s="16"/>
    </row>
    <row r="264" customFormat="false" ht="15" hidden="false" customHeight="false" outlineLevel="0" collapsed="false">
      <c r="A264" s="10" t="s">
        <v>685</v>
      </c>
      <c r="B264" s="12" t="n">
        <f aca="false">COUNTIF(選手一覧!$C$7:$C$2738,A264)</f>
        <v>3</v>
      </c>
      <c r="C264" s="14" t="n">
        <f aca="false">COUNTIFS(選手一覧!$C$7:$C$2738,A264,選手一覧!$K$7:$K$2738,"&lt;=100")</f>
        <v>0</v>
      </c>
      <c r="D264" s="14" t="n">
        <f aca="false">COUNTIFS(選手一覧!$C$7:$C$2738,A264,選手一覧!$E$7:$E$2738,"&lt;=100")</f>
        <v>0</v>
      </c>
      <c r="E264" s="14" t="n">
        <f aca="false">COUNTIFS(選手一覧!$C$7:$C$2738,A264,選手一覧!$G$7:$G$2738,"&lt;=100")</f>
        <v>0</v>
      </c>
      <c r="F264" s="14" t="n">
        <f aca="false">COUNTIFS(選手一覧!$C$7:$C$2738,A264,選手一覧!$I$7:$I$2738,"&lt;=100")</f>
        <v>0</v>
      </c>
      <c r="G264" s="13" t="n">
        <f aca="false">_xlfn.MINIFS(選手一覧!$K$7:$K$2738,選手一覧!$C$7:$C$2738,A264)</f>
        <v>184</v>
      </c>
      <c r="H264" s="16"/>
    </row>
    <row r="265" customFormat="false" ht="15" hidden="false" customHeight="false" outlineLevel="0" collapsed="false">
      <c r="A265" s="10" t="s">
        <v>697</v>
      </c>
      <c r="B265" s="12" t="n">
        <f aca="false">COUNTIF(選手一覧!$C$7:$C$2738,A265)</f>
        <v>3</v>
      </c>
      <c r="C265" s="14" t="n">
        <f aca="false">COUNTIFS(選手一覧!$C$7:$C$2738,A265,選手一覧!$K$7:$K$2738,"&lt;=100")</f>
        <v>0</v>
      </c>
      <c r="D265" s="14" t="n">
        <f aca="false">COUNTIFS(選手一覧!$C$7:$C$2738,A265,選手一覧!$E$7:$E$2738,"&lt;=100")</f>
        <v>0</v>
      </c>
      <c r="E265" s="14" t="n">
        <f aca="false">COUNTIFS(選手一覧!$C$7:$C$2738,A265,選手一覧!$G$7:$G$2738,"&lt;=100")</f>
        <v>0</v>
      </c>
      <c r="F265" s="14" t="n">
        <f aca="false">COUNTIFS(選手一覧!$C$7:$C$2738,A265,選手一覧!$I$7:$I$2738,"&lt;=100")</f>
        <v>0</v>
      </c>
      <c r="G265" s="13" t="n">
        <f aca="false">_xlfn.MINIFS(選手一覧!$K$7:$K$2738,選手一覧!$C$7:$C$2738,A265)</f>
        <v>187</v>
      </c>
      <c r="H265" s="16"/>
    </row>
    <row r="266" customFormat="false" ht="15" hidden="false" customHeight="false" outlineLevel="0" collapsed="false">
      <c r="A266" s="10" t="s">
        <v>702</v>
      </c>
      <c r="B266" s="12" t="n">
        <f aca="false">COUNTIF(選手一覧!$C$7:$C$2738,A266)</f>
        <v>3</v>
      </c>
      <c r="C266" s="14" t="n">
        <f aca="false">COUNTIFS(選手一覧!$C$7:$C$2738,A266,選手一覧!$K$7:$K$2738,"&lt;=100")</f>
        <v>0</v>
      </c>
      <c r="D266" s="14" t="n">
        <f aca="false">COUNTIFS(選手一覧!$C$7:$C$2738,A266,選手一覧!$E$7:$E$2738,"&lt;=100")</f>
        <v>0</v>
      </c>
      <c r="E266" s="14" t="n">
        <f aca="false">COUNTIFS(選手一覧!$C$7:$C$2738,A266,選手一覧!$G$7:$G$2738,"&lt;=100")</f>
        <v>0</v>
      </c>
      <c r="F266" s="14" t="n">
        <f aca="false">COUNTIFS(選手一覧!$C$7:$C$2738,A266,選手一覧!$I$7:$I$2738,"&lt;=100")</f>
        <v>0</v>
      </c>
      <c r="G266" s="13" t="n">
        <f aca="false">_xlfn.MINIFS(選手一覧!$K$7:$K$2738,選手一覧!$C$7:$C$2738,A266)</f>
        <v>188</v>
      </c>
      <c r="H266" s="16"/>
    </row>
    <row r="267" customFormat="false" ht="15" hidden="false" customHeight="false" outlineLevel="0" collapsed="false">
      <c r="A267" s="10" t="s">
        <v>748</v>
      </c>
      <c r="B267" s="12" t="n">
        <f aca="false">COUNTIF(選手一覧!$C$7:$C$2738,A267)</f>
        <v>3</v>
      </c>
      <c r="C267" s="14" t="n">
        <f aca="false">COUNTIFS(選手一覧!$C$7:$C$2738,A267,選手一覧!$K$7:$K$2738,"&lt;=100")</f>
        <v>0</v>
      </c>
      <c r="D267" s="14" t="n">
        <f aca="false">COUNTIFS(選手一覧!$C$7:$C$2738,A267,選手一覧!$E$7:$E$2738,"&lt;=100")</f>
        <v>0</v>
      </c>
      <c r="E267" s="14" t="n">
        <f aca="false">COUNTIFS(選手一覧!$C$7:$C$2738,A267,選手一覧!$G$7:$G$2738,"&lt;=100")</f>
        <v>0</v>
      </c>
      <c r="F267" s="14" t="n">
        <f aca="false">COUNTIFS(選手一覧!$C$7:$C$2738,A267,選手一覧!$I$7:$I$2738,"&lt;=100")</f>
        <v>0</v>
      </c>
      <c r="G267" s="13" t="n">
        <f aca="false">_xlfn.MINIFS(選手一覧!$K$7:$K$2738,選手一覧!$C$7:$C$2738,A267)</f>
        <v>203</v>
      </c>
      <c r="H267" s="16"/>
    </row>
    <row r="268" customFormat="false" ht="15" hidden="false" customHeight="false" outlineLevel="0" collapsed="false">
      <c r="A268" s="10" t="s">
        <v>769</v>
      </c>
      <c r="B268" s="12" t="n">
        <f aca="false">COUNTIF(選手一覧!$C$7:$C$2738,A268)</f>
        <v>3</v>
      </c>
      <c r="C268" s="14" t="n">
        <f aca="false">COUNTIFS(選手一覧!$C$7:$C$2738,A268,選手一覧!$K$7:$K$2738,"&lt;=100")</f>
        <v>0</v>
      </c>
      <c r="D268" s="14" t="n">
        <f aca="false">COUNTIFS(選手一覧!$C$7:$C$2738,A268,選手一覧!$E$7:$E$2738,"&lt;=100")</f>
        <v>0</v>
      </c>
      <c r="E268" s="14" t="n">
        <f aca="false">COUNTIFS(選手一覧!$C$7:$C$2738,A268,選手一覧!$G$7:$G$2738,"&lt;=100")</f>
        <v>0</v>
      </c>
      <c r="F268" s="14" t="n">
        <f aca="false">COUNTIFS(選手一覧!$C$7:$C$2738,A268,選手一覧!$I$7:$I$2738,"&lt;=100")</f>
        <v>0</v>
      </c>
      <c r="G268" s="13" t="n">
        <f aca="false">_xlfn.MINIFS(選手一覧!$K$7:$K$2738,選手一覧!$C$7:$C$2738,A268)</f>
        <v>208</v>
      </c>
      <c r="H268" s="16"/>
    </row>
    <row r="269" customFormat="false" ht="15" hidden="false" customHeight="false" outlineLevel="0" collapsed="false">
      <c r="A269" s="10" t="s">
        <v>795</v>
      </c>
      <c r="B269" s="12" t="n">
        <f aca="false">COUNTIF(選手一覧!$C$7:$C$2738,A269)</f>
        <v>3</v>
      </c>
      <c r="C269" s="14" t="n">
        <f aca="false">COUNTIFS(選手一覧!$C$7:$C$2738,A269,選手一覧!$K$7:$K$2738,"&lt;=100")</f>
        <v>0</v>
      </c>
      <c r="D269" s="14" t="n">
        <f aca="false">COUNTIFS(選手一覧!$C$7:$C$2738,A269,選手一覧!$E$7:$E$2738,"&lt;=100")</f>
        <v>0</v>
      </c>
      <c r="E269" s="14" t="n">
        <f aca="false">COUNTIFS(選手一覧!$C$7:$C$2738,A269,選手一覧!$G$7:$G$2738,"&lt;=100")</f>
        <v>0</v>
      </c>
      <c r="F269" s="14" t="n">
        <f aca="false">COUNTIFS(選手一覧!$C$7:$C$2738,A269,選手一覧!$I$7:$I$2738,"&lt;=100")</f>
        <v>0</v>
      </c>
      <c r="G269" s="13" t="n">
        <f aca="false">_xlfn.MINIFS(選手一覧!$K$7:$K$2738,選手一覧!$C$7:$C$2738,A269)</f>
        <v>218</v>
      </c>
      <c r="H269" s="16"/>
    </row>
    <row r="270" customFormat="false" ht="15" hidden="false" customHeight="false" outlineLevel="0" collapsed="false">
      <c r="A270" s="10" t="s">
        <v>803</v>
      </c>
      <c r="B270" s="12" t="n">
        <f aca="false">COUNTIF(選手一覧!$C$7:$C$2738,A270)</f>
        <v>3</v>
      </c>
      <c r="C270" s="14" t="n">
        <f aca="false">COUNTIFS(選手一覧!$C$7:$C$2738,A270,選手一覧!$K$7:$K$2738,"&lt;=100")</f>
        <v>0</v>
      </c>
      <c r="D270" s="14" t="n">
        <f aca="false">COUNTIFS(選手一覧!$C$7:$C$2738,A270,選手一覧!$E$7:$E$2738,"&lt;=100")</f>
        <v>0</v>
      </c>
      <c r="E270" s="14" t="n">
        <f aca="false">COUNTIFS(選手一覧!$C$7:$C$2738,A270,選手一覧!$G$7:$G$2738,"&lt;=100")</f>
        <v>0</v>
      </c>
      <c r="F270" s="14" t="n">
        <f aca="false">COUNTIFS(選手一覧!$C$7:$C$2738,A270,選手一覧!$I$7:$I$2738,"&lt;=100")</f>
        <v>0</v>
      </c>
      <c r="G270" s="13" t="n">
        <f aca="false">_xlfn.MINIFS(選手一覧!$K$7:$K$2738,選手一覧!$C$7:$C$2738,A270)</f>
        <v>220</v>
      </c>
      <c r="H270" s="16"/>
    </row>
    <row r="271" customFormat="false" ht="15" hidden="false" customHeight="false" outlineLevel="0" collapsed="false">
      <c r="A271" s="10" t="s">
        <v>818</v>
      </c>
      <c r="B271" s="12" t="n">
        <f aca="false">COUNTIF(選手一覧!$C$7:$C$2738,A271)</f>
        <v>3</v>
      </c>
      <c r="C271" s="14" t="n">
        <f aca="false">COUNTIFS(選手一覧!$C$7:$C$2738,A271,選手一覧!$K$7:$K$2738,"&lt;=100")</f>
        <v>0</v>
      </c>
      <c r="D271" s="14" t="n">
        <f aca="false">COUNTIFS(選手一覧!$C$7:$C$2738,A271,選手一覧!$E$7:$E$2738,"&lt;=100")</f>
        <v>0</v>
      </c>
      <c r="E271" s="14" t="n">
        <f aca="false">COUNTIFS(選手一覧!$C$7:$C$2738,A271,選手一覧!$G$7:$G$2738,"&lt;=100")</f>
        <v>0</v>
      </c>
      <c r="F271" s="14" t="n">
        <f aca="false">COUNTIFS(選手一覧!$C$7:$C$2738,A271,選手一覧!$I$7:$I$2738,"&lt;=100")</f>
        <v>0</v>
      </c>
      <c r="G271" s="13" t="n">
        <f aca="false">_xlfn.MINIFS(選手一覧!$K$7:$K$2738,選手一覧!$C$7:$C$2738,A271)</f>
        <v>223</v>
      </c>
      <c r="H271" s="16"/>
    </row>
    <row r="272" customFormat="false" ht="15" hidden="false" customHeight="false" outlineLevel="0" collapsed="false">
      <c r="A272" s="10" t="s">
        <v>854</v>
      </c>
      <c r="B272" s="12" t="n">
        <f aca="false">COUNTIF(選手一覧!$C$7:$C$2738,A272)</f>
        <v>3</v>
      </c>
      <c r="C272" s="14" t="n">
        <f aca="false">COUNTIFS(選手一覧!$C$7:$C$2738,A272,選手一覧!$K$7:$K$2738,"&lt;=100")</f>
        <v>0</v>
      </c>
      <c r="D272" s="14" t="n">
        <f aca="false">COUNTIFS(選手一覧!$C$7:$C$2738,A272,選手一覧!$E$7:$E$2738,"&lt;=100")</f>
        <v>0</v>
      </c>
      <c r="E272" s="14" t="n">
        <f aca="false">COUNTIFS(選手一覧!$C$7:$C$2738,A272,選手一覧!$G$7:$G$2738,"&lt;=100")</f>
        <v>0</v>
      </c>
      <c r="F272" s="14" t="n">
        <f aca="false">COUNTIFS(選手一覧!$C$7:$C$2738,A272,選手一覧!$I$7:$I$2738,"&lt;=100")</f>
        <v>0</v>
      </c>
      <c r="G272" s="13" t="n">
        <f aca="false">_xlfn.MINIFS(選手一覧!$K$7:$K$2738,選手一覧!$C$7:$C$2738,A272)</f>
        <v>234</v>
      </c>
      <c r="H272" s="16"/>
    </row>
    <row r="273" customFormat="false" ht="15" hidden="false" customHeight="false" outlineLevel="0" collapsed="false">
      <c r="A273" s="10" t="s">
        <v>861</v>
      </c>
      <c r="B273" s="12" t="n">
        <f aca="false">COUNTIF(選手一覧!$C$7:$C$2738,A273)</f>
        <v>3</v>
      </c>
      <c r="C273" s="14" t="n">
        <f aca="false">COUNTIFS(選手一覧!$C$7:$C$2738,A273,選手一覧!$K$7:$K$2738,"&lt;=100")</f>
        <v>0</v>
      </c>
      <c r="D273" s="14" t="n">
        <f aca="false">COUNTIFS(選手一覧!$C$7:$C$2738,A273,選手一覧!$E$7:$E$2738,"&lt;=100")</f>
        <v>0</v>
      </c>
      <c r="E273" s="14" t="n">
        <f aca="false">COUNTIFS(選手一覧!$C$7:$C$2738,A273,選手一覧!$G$7:$G$2738,"&lt;=100")</f>
        <v>0</v>
      </c>
      <c r="F273" s="14" t="n">
        <f aca="false">COUNTIFS(選手一覧!$C$7:$C$2738,A273,選手一覧!$I$7:$I$2738,"&lt;=100")</f>
        <v>0</v>
      </c>
      <c r="G273" s="13" t="n">
        <f aca="false">_xlfn.MINIFS(選手一覧!$K$7:$K$2738,選手一覧!$C$7:$C$2738,A273)</f>
        <v>235</v>
      </c>
      <c r="H273" s="16"/>
    </row>
    <row r="274" customFormat="false" ht="15" hidden="false" customHeight="false" outlineLevel="0" collapsed="false">
      <c r="A274" s="10" t="s">
        <v>865</v>
      </c>
      <c r="B274" s="12" t="n">
        <f aca="false">COUNTIF(選手一覧!$C$7:$C$2738,A274)</f>
        <v>3</v>
      </c>
      <c r="C274" s="14" t="n">
        <f aca="false">COUNTIFS(選手一覧!$C$7:$C$2738,A274,選手一覧!$K$7:$K$2738,"&lt;=100")</f>
        <v>0</v>
      </c>
      <c r="D274" s="14" t="n">
        <f aca="false">COUNTIFS(選手一覧!$C$7:$C$2738,A274,選手一覧!$E$7:$E$2738,"&lt;=100")</f>
        <v>0</v>
      </c>
      <c r="E274" s="14" t="n">
        <f aca="false">COUNTIFS(選手一覧!$C$7:$C$2738,A274,選手一覧!$G$7:$G$2738,"&lt;=100")</f>
        <v>0</v>
      </c>
      <c r="F274" s="14" t="n">
        <f aca="false">COUNTIFS(選手一覧!$C$7:$C$2738,A274,選手一覧!$I$7:$I$2738,"&lt;=100")</f>
        <v>0</v>
      </c>
      <c r="G274" s="13" t="n">
        <f aca="false">_xlfn.MINIFS(選手一覧!$K$7:$K$2738,選手一覧!$C$7:$C$2738,A274)</f>
        <v>238</v>
      </c>
      <c r="H274" s="16"/>
    </row>
    <row r="275" customFormat="false" ht="15" hidden="false" customHeight="false" outlineLevel="0" collapsed="false">
      <c r="A275" s="10" t="s">
        <v>904</v>
      </c>
      <c r="B275" s="12" t="n">
        <f aca="false">COUNTIF(選手一覧!$C$7:$C$2738,A275)</f>
        <v>3</v>
      </c>
      <c r="C275" s="14" t="n">
        <f aca="false">COUNTIFS(選手一覧!$C$7:$C$2738,A275,選手一覧!$K$7:$K$2738,"&lt;=100")</f>
        <v>0</v>
      </c>
      <c r="D275" s="14" t="n">
        <f aca="false">COUNTIFS(選手一覧!$C$7:$C$2738,A275,選手一覧!$E$7:$E$2738,"&lt;=100")</f>
        <v>0</v>
      </c>
      <c r="E275" s="14" t="n">
        <f aca="false">COUNTIFS(選手一覧!$C$7:$C$2738,A275,選手一覧!$G$7:$G$2738,"&lt;=100")</f>
        <v>0</v>
      </c>
      <c r="F275" s="14" t="n">
        <f aca="false">COUNTIFS(選手一覧!$C$7:$C$2738,A275,選手一覧!$I$7:$I$2738,"&lt;=100")</f>
        <v>0</v>
      </c>
      <c r="G275" s="13" t="n">
        <f aca="false">_xlfn.MINIFS(選手一覧!$K$7:$K$2738,選手一覧!$C$7:$C$2738,A275)</f>
        <v>250</v>
      </c>
      <c r="H275" s="16"/>
    </row>
    <row r="276" customFormat="false" ht="15" hidden="false" customHeight="false" outlineLevel="0" collapsed="false">
      <c r="A276" s="10" t="s">
        <v>910</v>
      </c>
      <c r="B276" s="12" t="n">
        <f aca="false">COUNTIF(選手一覧!$C$7:$C$2738,A276)</f>
        <v>3</v>
      </c>
      <c r="C276" s="14" t="n">
        <f aca="false">COUNTIFS(選手一覧!$C$7:$C$2738,A276,選手一覧!$K$7:$K$2738,"&lt;=100")</f>
        <v>0</v>
      </c>
      <c r="D276" s="14" t="n">
        <f aca="false">COUNTIFS(選手一覧!$C$7:$C$2738,A276,選手一覧!$E$7:$E$2738,"&lt;=100")</f>
        <v>0</v>
      </c>
      <c r="E276" s="14" t="n">
        <f aca="false">COUNTIFS(選手一覧!$C$7:$C$2738,A276,選手一覧!$G$7:$G$2738,"&lt;=100")</f>
        <v>0</v>
      </c>
      <c r="F276" s="14" t="n">
        <f aca="false">COUNTIFS(選手一覧!$C$7:$C$2738,A276,選手一覧!$I$7:$I$2738,"&lt;=100")</f>
        <v>0</v>
      </c>
      <c r="G276" s="13" t="n">
        <f aca="false">_xlfn.MINIFS(選手一覧!$K$7:$K$2738,選手一覧!$C$7:$C$2738,A276)</f>
        <v>253</v>
      </c>
      <c r="H276" s="16"/>
    </row>
    <row r="277" customFormat="false" ht="15" hidden="false" customHeight="false" outlineLevel="0" collapsed="false">
      <c r="A277" s="10" t="s">
        <v>921</v>
      </c>
      <c r="B277" s="12" t="n">
        <f aca="false">COUNTIF(選手一覧!$C$7:$C$2738,A277)</f>
        <v>3</v>
      </c>
      <c r="C277" s="14" t="n">
        <f aca="false">COUNTIFS(選手一覧!$C$7:$C$2738,A277,選手一覧!$K$7:$K$2738,"&lt;=100")</f>
        <v>0</v>
      </c>
      <c r="D277" s="14" t="n">
        <f aca="false">COUNTIFS(選手一覧!$C$7:$C$2738,A277,選手一覧!$E$7:$E$2738,"&lt;=100")</f>
        <v>0</v>
      </c>
      <c r="E277" s="14" t="n">
        <f aca="false">COUNTIFS(選手一覧!$C$7:$C$2738,A277,選手一覧!$G$7:$G$2738,"&lt;=100")</f>
        <v>0</v>
      </c>
      <c r="F277" s="14" t="n">
        <f aca="false">COUNTIFS(選手一覧!$C$7:$C$2738,A277,選手一覧!$I$7:$I$2738,"&lt;=100")</f>
        <v>0</v>
      </c>
      <c r="G277" s="13" t="n">
        <f aca="false">_xlfn.MINIFS(選手一覧!$K$7:$K$2738,選手一覧!$C$7:$C$2738,A277)</f>
        <v>256</v>
      </c>
      <c r="H277" s="16"/>
    </row>
    <row r="278" customFormat="false" ht="15" hidden="false" customHeight="false" outlineLevel="0" collapsed="false">
      <c r="A278" s="10" t="s">
        <v>927</v>
      </c>
      <c r="B278" s="12" t="n">
        <f aca="false">COUNTIF(選手一覧!$C$7:$C$2738,A278)</f>
        <v>3</v>
      </c>
      <c r="C278" s="14" t="n">
        <f aca="false">COUNTIFS(選手一覧!$C$7:$C$2738,A278,選手一覧!$K$7:$K$2738,"&lt;=100")</f>
        <v>0</v>
      </c>
      <c r="D278" s="14" t="n">
        <f aca="false">COUNTIFS(選手一覧!$C$7:$C$2738,A278,選手一覧!$E$7:$E$2738,"&lt;=100")</f>
        <v>0</v>
      </c>
      <c r="E278" s="14" t="n">
        <f aca="false">COUNTIFS(選手一覧!$C$7:$C$2738,A278,選手一覧!$G$7:$G$2738,"&lt;=100")</f>
        <v>0</v>
      </c>
      <c r="F278" s="14" t="n">
        <f aca="false">COUNTIFS(選手一覧!$C$7:$C$2738,A278,選手一覧!$I$7:$I$2738,"&lt;=100")</f>
        <v>0</v>
      </c>
      <c r="G278" s="13" t="n">
        <f aca="false">_xlfn.MINIFS(選手一覧!$K$7:$K$2738,選手一覧!$C$7:$C$2738,A278)</f>
        <v>258</v>
      </c>
      <c r="H278" s="16"/>
    </row>
    <row r="279" customFormat="false" ht="15" hidden="false" customHeight="false" outlineLevel="0" collapsed="false">
      <c r="A279" s="10" t="s">
        <v>931</v>
      </c>
      <c r="B279" s="12" t="n">
        <f aca="false">COUNTIF(選手一覧!$C$7:$C$2738,A279)</f>
        <v>3</v>
      </c>
      <c r="C279" s="14" t="n">
        <f aca="false">COUNTIFS(選手一覧!$C$7:$C$2738,A279,選手一覧!$K$7:$K$2738,"&lt;=100")</f>
        <v>0</v>
      </c>
      <c r="D279" s="14" t="n">
        <f aca="false">COUNTIFS(選手一覧!$C$7:$C$2738,A279,選手一覧!$E$7:$E$2738,"&lt;=100")</f>
        <v>0</v>
      </c>
      <c r="E279" s="14" t="n">
        <f aca="false">COUNTIFS(選手一覧!$C$7:$C$2738,A279,選手一覧!$G$7:$G$2738,"&lt;=100")</f>
        <v>0</v>
      </c>
      <c r="F279" s="14" t="n">
        <f aca="false">COUNTIFS(選手一覧!$C$7:$C$2738,A279,選手一覧!$I$7:$I$2738,"&lt;=100")</f>
        <v>0</v>
      </c>
      <c r="G279" s="13" t="n">
        <f aca="false">_xlfn.MINIFS(選手一覧!$K$7:$K$2738,選手一覧!$C$7:$C$2738,A279)</f>
        <v>259</v>
      </c>
      <c r="H279" s="16"/>
    </row>
    <row r="280" customFormat="false" ht="15" hidden="false" customHeight="false" outlineLevel="0" collapsed="false">
      <c r="A280" s="10" t="s">
        <v>938</v>
      </c>
      <c r="B280" s="12" t="n">
        <f aca="false">COUNTIF(選手一覧!$C$7:$C$2738,A280)</f>
        <v>3</v>
      </c>
      <c r="C280" s="14" t="n">
        <f aca="false">COUNTIFS(選手一覧!$C$7:$C$2738,A280,選手一覧!$K$7:$K$2738,"&lt;=100")</f>
        <v>0</v>
      </c>
      <c r="D280" s="14" t="n">
        <f aca="false">COUNTIFS(選手一覧!$C$7:$C$2738,A280,選手一覧!$E$7:$E$2738,"&lt;=100")</f>
        <v>0</v>
      </c>
      <c r="E280" s="14" t="n">
        <f aca="false">COUNTIFS(選手一覧!$C$7:$C$2738,A280,選手一覧!$G$7:$G$2738,"&lt;=100")</f>
        <v>0</v>
      </c>
      <c r="F280" s="14" t="n">
        <f aca="false">COUNTIFS(選手一覧!$C$7:$C$2738,A280,選手一覧!$I$7:$I$2738,"&lt;=100")</f>
        <v>0</v>
      </c>
      <c r="G280" s="13" t="n">
        <f aca="false">_xlfn.MINIFS(選手一覧!$K$7:$K$2738,選手一覧!$C$7:$C$2738,A280)</f>
        <v>261</v>
      </c>
      <c r="H280" s="16"/>
    </row>
    <row r="281" customFormat="false" ht="15" hidden="false" customHeight="false" outlineLevel="0" collapsed="false">
      <c r="A281" s="10" t="s">
        <v>949</v>
      </c>
      <c r="B281" s="12" t="n">
        <f aca="false">COUNTIF(選手一覧!$C$7:$C$2738,A281)</f>
        <v>3</v>
      </c>
      <c r="C281" s="14" t="n">
        <f aca="false">COUNTIFS(選手一覧!$C$7:$C$2738,A281,選手一覧!$K$7:$K$2738,"&lt;=100")</f>
        <v>0</v>
      </c>
      <c r="D281" s="14" t="n">
        <f aca="false">COUNTIFS(選手一覧!$C$7:$C$2738,A281,選手一覧!$E$7:$E$2738,"&lt;=100")</f>
        <v>0</v>
      </c>
      <c r="E281" s="14" t="n">
        <f aca="false">COUNTIFS(選手一覧!$C$7:$C$2738,A281,選手一覧!$G$7:$G$2738,"&lt;=100")</f>
        <v>0</v>
      </c>
      <c r="F281" s="14" t="n">
        <f aca="false">COUNTIFS(選手一覧!$C$7:$C$2738,A281,選手一覧!$I$7:$I$2738,"&lt;=100")</f>
        <v>0</v>
      </c>
      <c r="G281" s="13" t="n">
        <f aca="false">_xlfn.MINIFS(選手一覧!$K$7:$K$2738,選手一覧!$C$7:$C$2738,A281)</f>
        <v>264</v>
      </c>
      <c r="H281" s="16"/>
    </row>
    <row r="282" customFormat="false" ht="15" hidden="false" customHeight="false" outlineLevel="0" collapsed="false">
      <c r="A282" s="10" t="s">
        <v>983</v>
      </c>
      <c r="B282" s="12" t="n">
        <f aca="false">COUNTIF(選手一覧!$C$7:$C$2738,A282)</f>
        <v>3</v>
      </c>
      <c r="C282" s="14" t="n">
        <f aca="false">COUNTIFS(選手一覧!$C$7:$C$2738,A282,選手一覧!$K$7:$K$2738,"&lt;=100")</f>
        <v>0</v>
      </c>
      <c r="D282" s="14" t="n">
        <f aca="false">COUNTIFS(選手一覧!$C$7:$C$2738,A282,選手一覧!$E$7:$E$2738,"&lt;=100")</f>
        <v>0</v>
      </c>
      <c r="E282" s="14" t="n">
        <f aca="false">COUNTIFS(選手一覧!$C$7:$C$2738,A282,選手一覧!$G$7:$G$2738,"&lt;=100")</f>
        <v>0</v>
      </c>
      <c r="F282" s="14" t="n">
        <f aca="false">COUNTIFS(選手一覧!$C$7:$C$2738,A282,選手一覧!$I$7:$I$2738,"&lt;=100")</f>
        <v>0</v>
      </c>
      <c r="G282" s="13" t="n">
        <f aca="false">_xlfn.MINIFS(選手一覧!$K$7:$K$2738,選手一覧!$C$7:$C$2738,A282)</f>
        <v>278</v>
      </c>
      <c r="H282" s="16"/>
    </row>
    <row r="283" customFormat="false" ht="15" hidden="false" customHeight="false" outlineLevel="0" collapsed="false">
      <c r="A283" s="10" t="s">
        <v>986</v>
      </c>
      <c r="B283" s="12" t="n">
        <f aca="false">COUNTIF(選手一覧!$C$7:$C$2738,A283)</f>
        <v>3</v>
      </c>
      <c r="C283" s="14" t="n">
        <f aca="false">COUNTIFS(選手一覧!$C$7:$C$2738,A283,選手一覧!$K$7:$K$2738,"&lt;=100")</f>
        <v>0</v>
      </c>
      <c r="D283" s="14" t="n">
        <f aca="false">COUNTIFS(選手一覧!$C$7:$C$2738,A283,選手一覧!$E$7:$E$2738,"&lt;=100")</f>
        <v>0</v>
      </c>
      <c r="E283" s="14" t="n">
        <f aca="false">COUNTIFS(選手一覧!$C$7:$C$2738,A283,選手一覧!$G$7:$G$2738,"&lt;=100")</f>
        <v>0</v>
      </c>
      <c r="F283" s="14" t="n">
        <f aca="false">COUNTIFS(選手一覧!$C$7:$C$2738,A283,選手一覧!$I$7:$I$2738,"&lt;=100")</f>
        <v>0</v>
      </c>
      <c r="G283" s="13" t="n">
        <f aca="false">_xlfn.MINIFS(選手一覧!$K$7:$K$2738,選手一覧!$C$7:$C$2738,A283)</f>
        <v>280</v>
      </c>
      <c r="H283" s="16"/>
    </row>
    <row r="284" customFormat="false" ht="15" hidden="false" customHeight="false" outlineLevel="0" collapsed="false">
      <c r="A284" s="10" t="s">
        <v>1005</v>
      </c>
      <c r="B284" s="12" t="n">
        <f aca="false">COUNTIF(選手一覧!$C$7:$C$2738,A284)</f>
        <v>3</v>
      </c>
      <c r="C284" s="14" t="n">
        <f aca="false">COUNTIFS(選手一覧!$C$7:$C$2738,A284,選手一覧!$K$7:$K$2738,"&lt;=100")</f>
        <v>0</v>
      </c>
      <c r="D284" s="14" t="n">
        <f aca="false">COUNTIFS(選手一覧!$C$7:$C$2738,A284,選手一覧!$E$7:$E$2738,"&lt;=100")</f>
        <v>0</v>
      </c>
      <c r="E284" s="14" t="n">
        <f aca="false">COUNTIFS(選手一覧!$C$7:$C$2738,A284,選手一覧!$G$7:$G$2738,"&lt;=100")</f>
        <v>0</v>
      </c>
      <c r="F284" s="14" t="n">
        <f aca="false">COUNTIFS(選手一覧!$C$7:$C$2738,A284,選手一覧!$I$7:$I$2738,"&lt;=100")</f>
        <v>0</v>
      </c>
      <c r="G284" s="13" t="n">
        <f aca="false">_xlfn.MINIFS(選手一覧!$K$7:$K$2738,選手一覧!$C$7:$C$2738,A284)</f>
        <v>285</v>
      </c>
      <c r="H284" s="16"/>
    </row>
    <row r="285" customFormat="false" ht="15" hidden="false" customHeight="false" outlineLevel="0" collapsed="false">
      <c r="A285" s="10" t="s">
        <v>1040</v>
      </c>
      <c r="B285" s="12" t="n">
        <f aca="false">COUNTIF(選手一覧!$C$7:$C$2738,A285)</f>
        <v>3</v>
      </c>
      <c r="C285" s="14" t="n">
        <f aca="false">COUNTIFS(選手一覧!$C$7:$C$2738,A285,選手一覧!$K$7:$K$2738,"&lt;=100")</f>
        <v>0</v>
      </c>
      <c r="D285" s="14" t="n">
        <f aca="false">COUNTIFS(選手一覧!$C$7:$C$2738,A285,選手一覧!$E$7:$E$2738,"&lt;=100")</f>
        <v>0</v>
      </c>
      <c r="E285" s="14" t="n">
        <f aca="false">COUNTIFS(選手一覧!$C$7:$C$2738,A285,選手一覧!$G$7:$G$2738,"&lt;=100")</f>
        <v>0</v>
      </c>
      <c r="F285" s="14" t="n">
        <f aca="false">COUNTIFS(選手一覧!$C$7:$C$2738,A285,選手一覧!$I$7:$I$2738,"&lt;=100")</f>
        <v>0</v>
      </c>
      <c r="G285" s="13" t="n">
        <f aca="false">_xlfn.MINIFS(選手一覧!$K$7:$K$2738,選手一覧!$C$7:$C$2738,A285)</f>
        <v>298</v>
      </c>
      <c r="H285" s="16"/>
    </row>
    <row r="286" customFormat="false" ht="15" hidden="false" customHeight="false" outlineLevel="0" collapsed="false">
      <c r="A286" s="10" t="s">
        <v>1051</v>
      </c>
      <c r="B286" s="12" t="n">
        <f aca="false">COUNTIF(選手一覧!$C$7:$C$2738,A286)</f>
        <v>3</v>
      </c>
      <c r="C286" s="14" t="n">
        <f aca="false">COUNTIFS(選手一覧!$C$7:$C$2738,A286,選手一覧!$K$7:$K$2738,"&lt;=100")</f>
        <v>0</v>
      </c>
      <c r="D286" s="14" t="n">
        <f aca="false">COUNTIFS(選手一覧!$C$7:$C$2738,A286,選手一覧!$E$7:$E$2738,"&lt;=100")</f>
        <v>0</v>
      </c>
      <c r="E286" s="14" t="n">
        <f aca="false">COUNTIFS(選手一覧!$C$7:$C$2738,A286,選手一覧!$G$7:$G$2738,"&lt;=100")</f>
        <v>0</v>
      </c>
      <c r="F286" s="14" t="n">
        <f aca="false">COUNTIFS(選手一覧!$C$7:$C$2738,A286,選手一覧!$I$7:$I$2738,"&lt;=100")</f>
        <v>0</v>
      </c>
      <c r="G286" s="13" t="n">
        <f aca="false">_xlfn.MINIFS(選手一覧!$K$7:$K$2738,選手一覧!$C$7:$C$2738,A286)</f>
        <v>302</v>
      </c>
      <c r="H286" s="16"/>
    </row>
    <row r="287" customFormat="false" ht="15" hidden="false" customHeight="false" outlineLevel="0" collapsed="false">
      <c r="A287" s="10" t="s">
        <v>1062</v>
      </c>
      <c r="B287" s="12" t="n">
        <f aca="false">COUNTIF(選手一覧!$C$7:$C$2738,A287)</f>
        <v>3</v>
      </c>
      <c r="C287" s="14" t="n">
        <f aca="false">COUNTIFS(選手一覧!$C$7:$C$2738,A287,選手一覧!$K$7:$K$2738,"&lt;=100")</f>
        <v>0</v>
      </c>
      <c r="D287" s="14" t="n">
        <f aca="false">COUNTIFS(選手一覧!$C$7:$C$2738,A287,選手一覧!$E$7:$E$2738,"&lt;=100")</f>
        <v>0</v>
      </c>
      <c r="E287" s="14" t="n">
        <f aca="false">COUNTIFS(選手一覧!$C$7:$C$2738,A287,選手一覧!$G$7:$G$2738,"&lt;=100")</f>
        <v>0</v>
      </c>
      <c r="F287" s="14" t="n">
        <f aca="false">COUNTIFS(選手一覧!$C$7:$C$2738,A287,選手一覧!$I$7:$I$2738,"&lt;=100")</f>
        <v>0</v>
      </c>
      <c r="G287" s="13" t="n">
        <f aca="false">_xlfn.MINIFS(選手一覧!$K$7:$K$2738,選手一覧!$C$7:$C$2738,A287)</f>
        <v>306</v>
      </c>
      <c r="H287" s="16"/>
    </row>
    <row r="288" customFormat="false" ht="15" hidden="false" customHeight="false" outlineLevel="0" collapsed="false">
      <c r="A288" s="10" t="s">
        <v>1065</v>
      </c>
      <c r="B288" s="12" t="n">
        <f aca="false">COUNTIF(選手一覧!$C$7:$C$2738,A288)</f>
        <v>3</v>
      </c>
      <c r="C288" s="14" t="n">
        <f aca="false">COUNTIFS(選手一覧!$C$7:$C$2738,A288,選手一覧!$K$7:$K$2738,"&lt;=100")</f>
        <v>0</v>
      </c>
      <c r="D288" s="14" t="n">
        <f aca="false">COUNTIFS(選手一覧!$C$7:$C$2738,A288,選手一覧!$E$7:$E$2738,"&lt;=100")</f>
        <v>0</v>
      </c>
      <c r="E288" s="14" t="n">
        <f aca="false">COUNTIFS(選手一覧!$C$7:$C$2738,A288,選手一覧!$G$7:$G$2738,"&lt;=100")</f>
        <v>0</v>
      </c>
      <c r="F288" s="14" t="n">
        <f aca="false">COUNTIFS(選手一覧!$C$7:$C$2738,A288,選手一覧!$I$7:$I$2738,"&lt;=100")</f>
        <v>0</v>
      </c>
      <c r="G288" s="13" t="n">
        <f aca="false">_xlfn.MINIFS(選手一覧!$K$7:$K$2738,選手一覧!$C$7:$C$2738,A288)</f>
        <v>307</v>
      </c>
      <c r="H288" s="16"/>
    </row>
    <row r="289" customFormat="false" ht="15" hidden="false" customHeight="false" outlineLevel="0" collapsed="false">
      <c r="A289" s="10" t="s">
        <v>1069</v>
      </c>
      <c r="B289" s="12" t="n">
        <f aca="false">COUNTIF(選手一覧!$C$7:$C$2738,A289)</f>
        <v>3</v>
      </c>
      <c r="C289" s="14" t="n">
        <f aca="false">COUNTIFS(選手一覧!$C$7:$C$2738,A289,選手一覧!$K$7:$K$2738,"&lt;=100")</f>
        <v>0</v>
      </c>
      <c r="D289" s="14" t="n">
        <f aca="false">COUNTIFS(選手一覧!$C$7:$C$2738,A289,選手一覧!$E$7:$E$2738,"&lt;=100")</f>
        <v>0</v>
      </c>
      <c r="E289" s="14" t="n">
        <f aca="false">COUNTIFS(選手一覧!$C$7:$C$2738,A289,選手一覧!$G$7:$G$2738,"&lt;=100")</f>
        <v>0</v>
      </c>
      <c r="F289" s="14" t="n">
        <f aca="false">COUNTIFS(選手一覧!$C$7:$C$2738,A289,選手一覧!$I$7:$I$2738,"&lt;=100")</f>
        <v>0</v>
      </c>
      <c r="G289" s="13" t="n">
        <f aca="false">_xlfn.MINIFS(選手一覧!$K$7:$K$2738,選手一覧!$C$7:$C$2738,A289)</f>
        <v>307</v>
      </c>
      <c r="H289" s="16"/>
    </row>
    <row r="290" customFormat="false" ht="15" hidden="false" customHeight="false" outlineLevel="0" collapsed="false">
      <c r="A290" s="10" t="s">
        <v>1122</v>
      </c>
      <c r="B290" s="12" t="n">
        <f aca="false">COUNTIF(選手一覧!$C$7:$C$2738,A290)</f>
        <v>3</v>
      </c>
      <c r="C290" s="14" t="n">
        <f aca="false">COUNTIFS(選手一覧!$C$7:$C$2738,A290,選手一覧!$K$7:$K$2738,"&lt;=100")</f>
        <v>0</v>
      </c>
      <c r="D290" s="14" t="n">
        <f aca="false">COUNTIFS(選手一覧!$C$7:$C$2738,A290,選手一覧!$E$7:$E$2738,"&lt;=100")</f>
        <v>0</v>
      </c>
      <c r="E290" s="14" t="n">
        <f aca="false">COUNTIFS(選手一覧!$C$7:$C$2738,A290,選手一覧!$G$7:$G$2738,"&lt;=100")</f>
        <v>0</v>
      </c>
      <c r="F290" s="14" t="n">
        <f aca="false">COUNTIFS(選手一覧!$C$7:$C$2738,A290,選手一覧!$I$7:$I$2738,"&lt;=100")</f>
        <v>0</v>
      </c>
      <c r="G290" s="13" t="n">
        <f aca="false">_xlfn.MINIFS(選手一覧!$K$7:$K$2738,選手一覧!$C$7:$C$2738,A290)</f>
        <v>328</v>
      </c>
      <c r="H290" s="16"/>
    </row>
    <row r="291" customFormat="false" ht="15" hidden="false" customHeight="false" outlineLevel="0" collapsed="false">
      <c r="A291" s="10" t="s">
        <v>1137</v>
      </c>
      <c r="B291" s="12" t="n">
        <f aca="false">COUNTIF(選手一覧!$C$7:$C$2738,A291)</f>
        <v>3</v>
      </c>
      <c r="C291" s="14" t="n">
        <f aca="false">COUNTIFS(選手一覧!$C$7:$C$2738,A291,選手一覧!$K$7:$K$2738,"&lt;=100")</f>
        <v>0</v>
      </c>
      <c r="D291" s="14" t="n">
        <f aca="false">COUNTIFS(選手一覧!$C$7:$C$2738,A291,選手一覧!$E$7:$E$2738,"&lt;=100")</f>
        <v>0</v>
      </c>
      <c r="E291" s="14" t="n">
        <f aca="false">COUNTIFS(選手一覧!$C$7:$C$2738,A291,選手一覧!$G$7:$G$2738,"&lt;=100")</f>
        <v>0</v>
      </c>
      <c r="F291" s="14" t="n">
        <f aca="false">COUNTIFS(選手一覧!$C$7:$C$2738,A291,選手一覧!$I$7:$I$2738,"&lt;=100")</f>
        <v>0</v>
      </c>
      <c r="G291" s="13" t="n">
        <f aca="false">_xlfn.MINIFS(選手一覧!$K$7:$K$2738,選手一覧!$C$7:$C$2738,A291)</f>
        <v>332</v>
      </c>
      <c r="H291" s="16"/>
    </row>
    <row r="292" customFormat="false" ht="15" hidden="false" customHeight="false" outlineLevel="0" collapsed="false">
      <c r="A292" s="10" t="s">
        <v>1150</v>
      </c>
      <c r="B292" s="12" t="n">
        <f aca="false">COUNTIF(選手一覧!$C$7:$C$2738,A292)</f>
        <v>3</v>
      </c>
      <c r="C292" s="14" t="n">
        <f aca="false">COUNTIFS(選手一覧!$C$7:$C$2738,A292,選手一覧!$K$7:$K$2738,"&lt;=100")</f>
        <v>0</v>
      </c>
      <c r="D292" s="14" t="n">
        <f aca="false">COUNTIFS(選手一覧!$C$7:$C$2738,A292,選手一覧!$E$7:$E$2738,"&lt;=100")</f>
        <v>0</v>
      </c>
      <c r="E292" s="14" t="n">
        <f aca="false">COUNTIFS(選手一覧!$C$7:$C$2738,A292,選手一覧!$G$7:$G$2738,"&lt;=100")</f>
        <v>0</v>
      </c>
      <c r="F292" s="14" t="n">
        <f aca="false">COUNTIFS(選手一覧!$C$7:$C$2738,A292,選手一覧!$I$7:$I$2738,"&lt;=100")</f>
        <v>0</v>
      </c>
      <c r="G292" s="13" t="n">
        <f aca="false">_xlfn.MINIFS(選手一覧!$K$7:$K$2738,選手一覧!$C$7:$C$2738,A292)</f>
        <v>337</v>
      </c>
      <c r="H292" s="16"/>
    </row>
    <row r="293" customFormat="false" ht="15" hidden="false" customHeight="false" outlineLevel="0" collapsed="false">
      <c r="A293" s="10" t="s">
        <v>1170</v>
      </c>
      <c r="B293" s="12" t="n">
        <f aca="false">COUNTIF(選手一覧!$C$7:$C$2738,A293)</f>
        <v>3</v>
      </c>
      <c r="C293" s="14" t="n">
        <f aca="false">COUNTIFS(選手一覧!$C$7:$C$2738,A293,選手一覧!$K$7:$K$2738,"&lt;=100")</f>
        <v>0</v>
      </c>
      <c r="D293" s="14" t="n">
        <f aca="false">COUNTIFS(選手一覧!$C$7:$C$2738,A293,選手一覧!$E$7:$E$2738,"&lt;=100")</f>
        <v>0</v>
      </c>
      <c r="E293" s="14" t="n">
        <f aca="false">COUNTIFS(選手一覧!$C$7:$C$2738,A293,選手一覧!$G$7:$G$2738,"&lt;=100")</f>
        <v>0</v>
      </c>
      <c r="F293" s="14" t="n">
        <f aca="false">COUNTIFS(選手一覧!$C$7:$C$2738,A293,選手一覧!$I$7:$I$2738,"&lt;=100")</f>
        <v>0</v>
      </c>
      <c r="G293" s="13" t="n">
        <f aca="false">_xlfn.MINIFS(選手一覧!$K$7:$K$2738,選手一覧!$C$7:$C$2738,A293)</f>
        <v>344</v>
      </c>
      <c r="H293" s="16"/>
    </row>
    <row r="294" customFormat="false" ht="15" hidden="false" customHeight="false" outlineLevel="0" collapsed="false">
      <c r="A294" s="10" t="s">
        <v>1180</v>
      </c>
      <c r="B294" s="12" t="n">
        <f aca="false">COUNTIF(選手一覧!$C$7:$C$2738,A294)</f>
        <v>3</v>
      </c>
      <c r="C294" s="14" t="n">
        <f aca="false">COUNTIFS(選手一覧!$C$7:$C$2738,A294,選手一覧!$K$7:$K$2738,"&lt;=100")</f>
        <v>0</v>
      </c>
      <c r="D294" s="14" t="n">
        <f aca="false">COUNTIFS(選手一覧!$C$7:$C$2738,A294,選手一覧!$E$7:$E$2738,"&lt;=100")</f>
        <v>0</v>
      </c>
      <c r="E294" s="14" t="n">
        <f aca="false">COUNTIFS(選手一覧!$C$7:$C$2738,A294,選手一覧!$G$7:$G$2738,"&lt;=100")</f>
        <v>0</v>
      </c>
      <c r="F294" s="14" t="n">
        <f aca="false">COUNTIFS(選手一覧!$C$7:$C$2738,A294,選手一覧!$I$7:$I$2738,"&lt;=100")</f>
        <v>0</v>
      </c>
      <c r="G294" s="13" t="n">
        <f aca="false">_xlfn.MINIFS(選手一覧!$K$7:$K$2738,選手一覧!$C$7:$C$2738,A294)</f>
        <v>347</v>
      </c>
      <c r="H294" s="16"/>
    </row>
    <row r="295" customFormat="false" ht="15" hidden="false" customHeight="false" outlineLevel="0" collapsed="false">
      <c r="A295" s="10" t="s">
        <v>1199</v>
      </c>
      <c r="B295" s="12" t="n">
        <f aca="false">COUNTIF(選手一覧!$C$7:$C$2738,A295)</f>
        <v>3</v>
      </c>
      <c r="C295" s="14" t="n">
        <f aca="false">COUNTIFS(選手一覧!$C$7:$C$2738,A295,選手一覧!$K$7:$K$2738,"&lt;=100")</f>
        <v>0</v>
      </c>
      <c r="D295" s="14" t="n">
        <f aca="false">COUNTIFS(選手一覧!$C$7:$C$2738,A295,選手一覧!$E$7:$E$2738,"&lt;=100")</f>
        <v>0</v>
      </c>
      <c r="E295" s="14" t="n">
        <f aca="false">COUNTIFS(選手一覧!$C$7:$C$2738,A295,選手一覧!$G$7:$G$2738,"&lt;=100")</f>
        <v>0</v>
      </c>
      <c r="F295" s="14" t="n">
        <f aca="false">COUNTIFS(選手一覧!$C$7:$C$2738,A295,選手一覧!$I$7:$I$2738,"&lt;=100")</f>
        <v>0</v>
      </c>
      <c r="G295" s="13" t="n">
        <f aca="false">_xlfn.MINIFS(選手一覧!$K$7:$K$2738,選手一覧!$C$7:$C$2738,A295)</f>
        <v>353</v>
      </c>
      <c r="H295" s="16"/>
    </row>
    <row r="296" customFormat="false" ht="15" hidden="false" customHeight="false" outlineLevel="0" collapsed="false">
      <c r="A296" s="10" t="s">
        <v>1210</v>
      </c>
      <c r="B296" s="12" t="n">
        <f aca="false">COUNTIF(選手一覧!$C$7:$C$2738,A296)</f>
        <v>3</v>
      </c>
      <c r="C296" s="14" t="n">
        <f aca="false">COUNTIFS(選手一覧!$C$7:$C$2738,A296,選手一覧!$K$7:$K$2738,"&lt;=100")</f>
        <v>0</v>
      </c>
      <c r="D296" s="14" t="n">
        <f aca="false">COUNTIFS(選手一覧!$C$7:$C$2738,A296,選手一覧!$E$7:$E$2738,"&lt;=100")</f>
        <v>0</v>
      </c>
      <c r="E296" s="14" t="n">
        <f aca="false">COUNTIFS(選手一覧!$C$7:$C$2738,A296,選手一覧!$G$7:$G$2738,"&lt;=100")</f>
        <v>0</v>
      </c>
      <c r="F296" s="14" t="n">
        <f aca="false">COUNTIFS(選手一覧!$C$7:$C$2738,A296,選手一覧!$I$7:$I$2738,"&lt;=100")</f>
        <v>0</v>
      </c>
      <c r="G296" s="13" t="n">
        <f aca="false">_xlfn.MINIFS(選手一覧!$K$7:$K$2738,選手一覧!$C$7:$C$2738,A296)</f>
        <v>358</v>
      </c>
      <c r="H296" s="16"/>
    </row>
    <row r="297" customFormat="false" ht="15" hidden="false" customHeight="false" outlineLevel="0" collapsed="false">
      <c r="A297" s="10" t="s">
        <v>1239</v>
      </c>
      <c r="B297" s="12" t="n">
        <f aca="false">COUNTIF(選手一覧!$C$7:$C$2738,A297)</f>
        <v>3</v>
      </c>
      <c r="C297" s="14" t="n">
        <f aca="false">COUNTIFS(選手一覧!$C$7:$C$2738,A297,選手一覧!$K$7:$K$2738,"&lt;=100")</f>
        <v>0</v>
      </c>
      <c r="D297" s="14" t="n">
        <f aca="false">COUNTIFS(選手一覧!$C$7:$C$2738,A297,選手一覧!$E$7:$E$2738,"&lt;=100")</f>
        <v>0</v>
      </c>
      <c r="E297" s="14" t="n">
        <f aca="false">COUNTIFS(選手一覧!$C$7:$C$2738,A297,選手一覧!$G$7:$G$2738,"&lt;=100")</f>
        <v>0</v>
      </c>
      <c r="F297" s="14" t="n">
        <f aca="false">COUNTIFS(選手一覧!$C$7:$C$2738,A297,選手一覧!$I$7:$I$2738,"&lt;=100")</f>
        <v>0</v>
      </c>
      <c r="G297" s="13" t="n">
        <f aca="false">_xlfn.MINIFS(選手一覧!$K$7:$K$2738,選手一覧!$C$7:$C$2738,A297)</f>
        <v>372</v>
      </c>
      <c r="H297" s="16"/>
    </row>
    <row r="298" customFormat="false" ht="15" hidden="false" customHeight="false" outlineLevel="0" collapsed="false">
      <c r="A298" s="10" t="s">
        <v>1280</v>
      </c>
      <c r="B298" s="12" t="n">
        <f aca="false">COUNTIF(選手一覧!$C$7:$C$2738,A298)</f>
        <v>3</v>
      </c>
      <c r="C298" s="14" t="n">
        <f aca="false">COUNTIFS(選手一覧!$C$7:$C$2738,A298,選手一覧!$K$7:$K$2738,"&lt;=100")</f>
        <v>0</v>
      </c>
      <c r="D298" s="14" t="n">
        <f aca="false">COUNTIFS(選手一覧!$C$7:$C$2738,A298,選手一覧!$E$7:$E$2738,"&lt;=100")</f>
        <v>0</v>
      </c>
      <c r="E298" s="14" t="n">
        <f aca="false">COUNTIFS(選手一覧!$C$7:$C$2738,A298,選手一覧!$G$7:$G$2738,"&lt;=100")</f>
        <v>0</v>
      </c>
      <c r="F298" s="14" t="n">
        <f aca="false">COUNTIFS(選手一覧!$C$7:$C$2738,A298,選手一覧!$I$7:$I$2738,"&lt;=100")</f>
        <v>0</v>
      </c>
      <c r="G298" s="13" t="n">
        <f aca="false">_xlfn.MINIFS(選手一覧!$K$7:$K$2738,選手一覧!$C$7:$C$2738,A298)</f>
        <v>387</v>
      </c>
      <c r="H298" s="16"/>
    </row>
    <row r="299" customFormat="false" ht="15" hidden="false" customHeight="false" outlineLevel="0" collapsed="false">
      <c r="A299" s="10" t="s">
        <v>1283</v>
      </c>
      <c r="B299" s="12" t="n">
        <f aca="false">COUNTIF(選手一覧!$C$7:$C$2738,A299)</f>
        <v>3</v>
      </c>
      <c r="C299" s="14" t="n">
        <f aca="false">COUNTIFS(選手一覧!$C$7:$C$2738,A299,選手一覧!$K$7:$K$2738,"&lt;=100")</f>
        <v>0</v>
      </c>
      <c r="D299" s="14" t="n">
        <f aca="false">COUNTIFS(選手一覧!$C$7:$C$2738,A299,選手一覧!$E$7:$E$2738,"&lt;=100")</f>
        <v>0</v>
      </c>
      <c r="E299" s="14" t="n">
        <f aca="false">COUNTIFS(選手一覧!$C$7:$C$2738,A299,選手一覧!$G$7:$G$2738,"&lt;=100")</f>
        <v>0</v>
      </c>
      <c r="F299" s="14" t="n">
        <f aca="false">COUNTIFS(選手一覧!$C$7:$C$2738,A299,選手一覧!$I$7:$I$2738,"&lt;=100")</f>
        <v>0</v>
      </c>
      <c r="G299" s="13" t="n">
        <f aca="false">_xlfn.MINIFS(選手一覧!$K$7:$K$2738,選手一覧!$C$7:$C$2738,A299)</f>
        <v>388</v>
      </c>
      <c r="H299" s="16"/>
    </row>
    <row r="300" customFormat="false" ht="15" hidden="false" customHeight="false" outlineLevel="0" collapsed="false">
      <c r="A300" s="10" t="s">
        <v>1297</v>
      </c>
      <c r="B300" s="12" t="n">
        <f aca="false">COUNTIF(選手一覧!$C$7:$C$2738,A300)</f>
        <v>3</v>
      </c>
      <c r="C300" s="14" t="n">
        <f aca="false">COUNTIFS(選手一覧!$C$7:$C$2738,A300,選手一覧!$K$7:$K$2738,"&lt;=100")</f>
        <v>0</v>
      </c>
      <c r="D300" s="14" t="n">
        <f aca="false">COUNTIFS(選手一覧!$C$7:$C$2738,A300,選手一覧!$E$7:$E$2738,"&lt;=100")</f>
        <v>0</v>
      </c>
      <c r="E300" s="14" t="n">
        <f aca="false">COUNTIFS(選手一覧!$C$7:$C$2738,A300,選手一覧!$G$7:$G$2738,"&lt;=100")</f>
        <v>0</v>
      </c>
      <c r="F300" s="14" t="n">
        <f aca="false">COUNTIFS(選手一覧!$C$7:$C$2738,A300,選手一覧!$I$7:$I$2738,"&lt;=100")</f>
        <v>0</v>
      </c>
      <c r="G300" s="13" t="n">
        <f aca="false">_xlfn.MINIFS(選手一覧!$K$7:$K$2738,選手一覧!$C$7:$C$2738,A300)</f>
        <v>393</v>
      </c>
      <c r="H300" s="16"/>
    </row>
    <row r="301" customFormat="false" ht="15" hidden="false" customHeight="false" outlineLevel="0" collapsed="false">
      <c r="A301" s="10" t="s">
        <v>1311</v>
      </c>
      <c r="B301" s="12" t="n">
        <f aca="false">COUNTIF(選手一覧!$C$7:$C$2738,A301)</f>
        <v>3</v>
      </c>
      <c r="C301" s="14" t="n">
        <f aca="false">COUNTIFS(選手一覧!$C$7:$C$2738,A301,選手一覧!$K$7:$K$2738,"&lt;=100")</f>
        <v>0</v>
      </c>
      <c r="D301" s="14" t="n">
        <f aca="false">COUNTIFS(選手一覧!$C$7:$C$2738,A301,選手一覧!$E$7:$E$2738,"&lt;=100")</f>
        <v>0</v>
      </c>
      <c r="E301" s="14" t="n">
        <f aca="false">COUNTIFS(選手一覧!$C$7:$C$2738,A301,選手一覧!$G$7:$G$2738,"&lt;=100")</f>
        <v>0</v>
      </c>
      <c r="F301" s="14" t="n">
        <f aca="false">COUNTIFS(選手一覧!$C$7:$C$2738,A301,選手一覧!$I$7:$I$2738,"&lt;=100")</f>
        <v>0</v>
      </c>
      <c r="G301" s="13" t="n">
        <f aca="false">_xlfn.MINIFS(選手一覧!$K$7:$K$2738,選手一覧!$C$7:$C$2738,A301)</f>
        <v>397</v>
      </c>
      <c r="H301" s="16"/>
    </row>
    <row r="302" customFormat="false" ht="15" hidden="false" customHeight="false" outlineLevel="0" collapsed="false">
      <c r="A302" s="10" t="s">
        <v>1334</v>
      </c>
      <c r="B302" s="12" t="n">
        <f aca="false">COUNTIF(選手一覧!$C$7:$C$2738,A302)</f>
        <v>3</v>
      </c>
      <c r="C302" s="14" t="n">
        <f aca="false">COUNTIFS(選手一覧!$C$7:$C$2738,A302,選手一覧!$K$7:$K$2738,"&lt;=100")</f>
        <v>0</v>
      </c>
      <c r="D302" s="14" t="n">
        <f aca="false">COUNTIFS(選手一覧!$C$7:$C$2738,A302,選手一覧!$E$7:$E$2738,"&lt;=100")</f>
        <v>0</v>
      </c>
      <c r="E302" s="14" t="n">
        <f aca="false">COUNTIFS(選手一覧!$C$7:$C$2738,A302,選手一覧!$G$7:$G$2738,"&lt;=100")</f>
        <v>0</v>
      </c>
      <c r="F302" s="14" t="n">
        <f aca="false">COUNTIFS(選手一覧!$C$7:$C$2738,A302,選手一覧!$I$7:$I$2738,"&lt;=100")</f>
        <v>0</v>
      </c>
      <c r="G302" s="13" t="n">
        <f aca="false">_xlfn.MINIFS(選手一覧!$K$7:$K$2738,選手一覧!$C$7:$C$2738,A302)</f>
        <v>405</v>
      </c>
      <c r="H302" s="16"/>
    </row>
    <row r="303" customFormat="false" ht="15" hidden="false" customHeight="false" outlineLevel="0" collapsed="false">
      <c r="A303" s="10" t="s">
        <v>1368</v>
      </c>
      <c r="B303" s="12" t="n">
        <f aca="false">COUNTIF(選手一覧!$C$7:$C$2738,A303)</f>
        <v>3</v>
      </c>
      <c r="C303" s="14" t="n">
        <f aca="false">COUNTIFS(選手一覧!$C$7:$C$2738,A303,選手一覧!$K$7:$K$2738,"&lt;=100")</f>
        <v>0</v>
      </c>
      <c r="D303" s="14" t="n">
        <f aca="false">COUNTIFS(選手一覧!$C$7:$C$2738,A303,選手一覧!$E$7:$E$2738,"&lt;=100")</f>
        <v>0</v>
      </c>
      <c r="E303" s="14" t="n">
        <f aca="false">COUNTIFS(選手一覧!$C$7:$C$2738,A303,選手一覧!$G$7:$G$2738,"&lt;=100")</f>
        <v>0</v>
      </c>
      <c r="F303" s="14" t="n">
        <f aca="false">COUNTIFS(選手一覧!$C$7:$C$2738,A303,選手一覧!$I$7:$I$2738,"&lt;=100")</f>
        <v>0</v>
      </c>
      <c r="G303" s="13" t="n">
        <f aca="false">_xlfn.MINIFS(選手一覧!$K$7:$K$2738,選手一覧!$C$7:$C$2738,A303)</f>
        <v>416</v>
      </c>
      <c r="H303" s="16"/>
    </row>
    <row r="304" customFormat="false" ht="15" hidden="false" customHeight="false" outlineLevel="0" collapsed="false">
      <c r="A304" s="10" t="s">
        <v>1372</v>
      </c>
      <c r="B304" s="12" t="n">
        <f aca="false">COUNTIF(選手一覧!$C$7:$C$2738,A304)</f>
        <v>3</v>
      </c>
      <c r="C304" s="14" t="n">
        <f aca="false">COUNTIFS(選手一覧!$C$7:$C$2738,A304,選手一覧!$K$7:$K$2738,"&lt;=100")</f>
        <v>0</v>
      </c>
      <c r="D304" s="14" t="n">
        <f aca="false">COUNTIFS(選手一覧!$C$7:$C$2738,A304,選手一覧!$E$7:$E$2738,"&lt;=100")</f>
        <v>0</v>
      </c>
      <c r="E304" s="14" t="n">
        <f aca="false">COUNTIFS(選手一覧!$C$7:$C$2738,A304,選手一覧!$G$7:$G$2738,"&lt;=100")</f>
        <v>0</v>
      </c>
      <c r="F304" s="14" t="n">
        <f aca="false">COUNTIFS(選手一覧!$C$7:$C$2738,A304,選手一覧!$I$7:$I$2738,"&lt;=100")</f>
        <v>0</v>
      </c>
      <c r="G304" s="13" t="n">
        <f aca="false">_xlfn.MINIFS(選手一覧!$K$7:$K$2738,選手一覧!$C$7:$C$2738,A304)</f>
        <v>417</v>
      </c>
      <c r="H304" s="16"/>
    </row>
    <row r="305" customFormat="false" ht="15" hidden="false" customHeight="false" outlineLevel="0" collapsed="false">
      <c r="A305" s="10" t="s">
        <v>1390</v>
      </c>
      <c r="B305" s="12" t="n">
        <f aca="false">COUNTIF(選手一覧!$C$7:$C$2738,A305)</f>
        <v>3</v>
      </c>
      <c r="C305" s="14" t="n">
        <f aca="false">COUNTIFS(選手一覧!$C$7:$C$2738,A305,選手一覧!$K$7:$K$2738,"&lt;=100")</f>
        <v>0</v>
      </c>
      <c r="D305" s="14" t="n">
        <f aca="false">COUNTIFS(選手一覧!$C$7:$C$2738,A305,選手一覧!$E$7:$E$2738,"&lt;=100")</f>
        <v>0</v>
      </c>
      <c r="E305" s="14" t="n">
        <f aca="false">COUNTIFS(選手一覧!$C$7:$C$2738,A305,選手一覧!$G$7:$G$2738,"&lt;=100")</f>
        <v>0</v>
      </c>
      <c r="F305" s="14" t="n">
        <f aca="false">COUNTIFS(選手一覧!$C$7:$C$2738,A305,選手一覧!$I$7:$I$2738,"&lt;=100")</f>
        <v>0</v>
      </c>
      <c r="G305" s="13" t="n">
        <f aca="false">_xlfn.MINIFS(選手一覧!$K$7:$K$2738,選手一覧!$C$7:$C$2738,A305)</f>
        <v>423</v>
      </c>
      <c r="H305" s="16"/>
    </row>
    <row r="306" customFormat="false" ht="15" hidden="false" customHeight="false" outlineLevel="0" collapsed="false">
      <c r="A306" s="10" t="s">
        <v>1411</v>
      </c>
      <c r="B306" s="12" t="n">
        <f aca="false">COUNTIF(選手一覧!$C$7:$C$2738,A306)</f>
        <v>3</v>
      </c>
      <c r="C306" s="14" t="n">
        <f aca="false">COUNTIFS(選手一覧!$C$7:$C$2738,A306,選手一覧!$K$7:$K$2738,"&lt;=100")</f>
        <v>0</v>
      </c>
      <c r="D306" s="14" t="n">
        <f aca="false">COUNTIFS(選手一覧!$C$7:$C$2738,A306,選手一覧!$E$7:$E$2738,"&lt;=100")</f>
        <v>0</v>
      </c>
      <c r="E306" s="14" t="n">
        <f aca="false">COUNTIFS(選手一覧!$C$7:$C$2738,A306,選手一覧!$G$7:$G$2738,"&lt;=100")</f>
        <v>0</v>
      </c>
      <c r="F306" s="14" t="n">
        <f aca="false">COUNTIFS(選手一覧!$C$7:$C$2738,A306,選手一覧!$I$7:$I$2738,"&lt;=100")</f>
        <v>0</v>
      </c>
      <c r="G306" s="13" t="n">
        <f aca="false">_xlfn.MINIFS(選手一覧!$K$7:$K$2738,選手一覧!$C$7:$C$2738,A306)</f>
        <v>431</v>
      </c>
      <c r="H306" s="16"/>
    </row>
    <row r="307" customFormat="false" ht="15" hidden="false" customHeight="false" outlineLevel="0" collapsed="false">
      <c r="A307" s="10" t="s">
        <v>1436</v>
      </c>
      <c r="B307" s="12" t="n">
        <f aca="false">COUNTIF(選手一覧!$C$7:$C$2738,A307)</f>
        <v>3</v>
      </c>
      <c r="C307" s="14" t="n">
        <f aca="false">COUNTIFS(選手一覧!$C$7:$C$2738,A307,選手一覧!$K$7:$K$2738,"&lt;=100")</f>
        <v>0</v>
      </c>
      <c r="D307" s="14" t="n">
        <f aca="false">COUNTIFS(選手一覧!$C$7:$C$2738,A307,選手一覧!$E$7:$E$2738,"&lt;=100")</f>
        <v>0</v>
      </c>
      <c r="E307" s="14" t="n">
        <f aca="false">COUNTIFS(選手一覧!$C$7:$C$2738,A307,選手一覧!$G$7:$G$2738,"&lt;=100")</f>
        <v>0</v>
      </c>
      <c r="F307" s="14" t="n">
        <f aca="false">COUNTIFS(選手一覧!$C$7:$C$2738,A307,選手一覧!$I$7:$I$2738,"&lt;=100")</f>
        <v>0</v>
      </c>
      <c r="G307" s="13" t="n">
        <f aca="false">_xlfn.MINIFS(選手一覧!$K$7:$K$2738,選手一覧!$C$7:$C$2738,A307)</f>
        <v>440</v>
      </c>
      <c r="H307" s="16"/>
    </row>
    <row r="308" customFormat="false" ht="15" hidden="false" customHeight="false" outlineLevel="0" collapsed="false">
      <c r="A308" s="10" t="s">
        <v>1443</v>
      </c>
      <c r="B308" s="12" t="n">
        <f aca="false">COUNTIF(選手一覧!$C$7:$C$2738,A308)</f>
        <v>3</v>
      </c>
      <c r="C308" s="14" t="n">
        <f aca="false">COUNTIFS(選手一覧!$C$7:$C$2738,A308,選手一覧!$K$7:$K$2738,"&lt;=100")</f>
        <v>0</v>
      </c>
      <c r="D308" s="14" t="n">
        <f aca="false">COUNTIFS(選手一覧!$C$7:$C$2738,A308,選手一覧!$E$7:$E$2738,"&lt;=100")</f>
        <v>0</v>
      </c>
      <c r="E308" s="14" t="n">
        <f aca="false">COUNTIFS(選手一覧!$C$7:$C$2738,A308,選手一覧!$G$7:$G$2738,"&lt;=100")</f>
        <v>0</v>
      </c>
      <c r="F308" s="14" t="n">
        <f aca="false">COUNTIFS(選手一覧!$C$7:$C$2738,A308,選手一覧!$I$7:$I$2738,"&lt;=100")</f>
        <v>0</v>
      </c>
      <c r="G308" s="13" t="n">
        <f aca="false">_xlfn.MINIFS(選手一覧!$K$7:$K$2738,選手一覧!$C$7:$C$2738,A308)</f>
        <v>441</v>
      </c>
      <c r="H308" s="16"/>
    </row>
    <row r="309" customFormat="false" ht="15" hidden="false" customHeight="false" outlineLevel="0" collapsed="false">
      <c r="A309" s="10" t="s">
        <v>1481</v>
      </c>
      <c r="B309" s="12" t="n">
        <f aca="false">COUNTIF(選手一覧!$C$7:$C$2738,A309)</f>
        <v>3</v>
      </c>
      <c r="C309" s="14" t="n">
        <f aca="false">COUNTIFS(選手一覧!$C$7:$C$2738,A309,選手一覧!$K$7:$K$2738,"&lt;=100")</f>
        <v>0</v>
      </c>
      <c r="D309" s="14" t="n">
        <f aca="false">COUNTIFS(選手一覧!$C$7:$C$2738,A309,選手一覧!$E$7:$E$2738,"&lt;=100")</f>
        <v>0</v>
      </c>
      <c r="E309" s="14" t="n">
        <f aca="false">COUNTIFS(選手一覧!$C$7:$C$2738,A309,選手一覧!$G$7:$G$2738,"&lt;=100")</f>
        <v>0</v>
      </c>
      <c r="F309" s="14" t="n">
        <f aca="false">COUNTIFS(選手一覧!$C$7:$C$2738,A309,選手一覧!$I$7:$I$2738,"&lt;=100")</f>
        <v>0</v>
      </c>
      <c r="G309" s="13" t="n">
        <f aca="false">_xlfn.MINIFS(選手一覧!$K$7:$K$2738,選手一覧!$C$7:$C$2738,A309)</f>
        <v>456</v>
      </c>
      <c r="H309" s="16"/>
    </row>
    <row r="310" customFormat="false" ht="15" hidden="false" customHeight="false" outlineLevel="0" collapsed="false">
      <c r="A310" s="10" t="s">
        <v>1491</v>
      </c>
      <c r="B310" s="12" t="n">
        <f aca="false">COUNTIF(選手一覧!$C$7:$C$2738,A310)</f>
        <v>3</v>
      </c>
      <c r="C310" s="14" t="n">
        <f aca="false">COUNTIFS(選手一覧!$C$7:$C$2738,A310,選手一覧!$K$7:$K$2738,"&lt;=100")</f>
        <v>0</v>
      </c>
      <c r="D310" s="14" t="n">
        <f aca="false">COUNTIFS(選手一覧!$C$7:$C$2738,A310,選手一覧!$E$7:$E$2738,"&lt;=100")</f>
        <v>0</v>
      </c>
      <c r="E310" s="14" t="n">
        <f aca="false">COUNTIFS(選手一覧!$C$7:$C$2738,A310,選手一覧!$G$7:$G$2738,"&lt;=100")</f>
        <v>0</v>
      </c>
      <c r="F310" s="14" t="n">
        <f aca="false">COUNTIFS(選手一覧!$C$7:$C$2738,A310,選手一覧!$I$7:$I$2738,"&lt;=100")</f>
        <v>0</v>
      </c>
      <c r="G310" s="13" t="n">
        <f aca="false">_xlfn.MINIFS(選手一覧!$K$7:$K$2738,選手一覧!$C$7:$C$2738,A310)</f>
        <v>459</v>
      </c>
      <c r="H310" s="16"/>
    </row>
    <row r="311" customFormat="false" ht="15" hidden="false" customHeight="false" outlineLevel="0" collapsed="false">
      <c r="A311" s="10" t="s">
        <v>1536</v>
      </c>
      <c r="B311" s="12" t="n">
        <f aca="false">COUNTIF(選手一覧!$C$7:$C$2738,A311)</f>
        <v>3</v>
      </c>
      <c r="C311" s="14" t="n">
        <f aca="false">COUNTIFS(選手一覧!$C$7:$C$2738,A311,選手一覧!$K$7:$K$2738,"&lt;=100")</f>
        <v>0</v>
      </c>
      <c r="D311" s="14" t="n">
        <f aca="false">COUNTIFS(選手一覧!$C$7:$C$2738,A311,選手一覧!$E$7:$E$2738,"&lt;=100")</f>
        <v>0</v>
      </c>
      <c r="E311" s="14" t="n">
        <f aca="false">COUNTIFS(選手一覧!$C$7:$C$2738,A311,選手一覧!$G$7:$G$2738,"&lt;=100")</f>
        <v>0</v>
      </c>
      <c r="F311" s="14" t="n">
        <f aca="false">COUNTIFS(選手一覧!$C$7:$C$2738,A311,選手一覧!$I$7:$I$2738,"&lt;=100")</f>
        <v>0</v>
      </c>
      <c r="G311" s="13" t="n">
        <f aca="false">_xlfn.MINIFS(選手一覧!$K$7:$K$2738,選手一覧!$C$7:$C$2738,A311)</f>
        <v>474</v>
      </c>
      <c r="H311" s="16"/>
    </row>
    <row r="312" customFormat="false" ht="15" hidden="false" customHeight="false" outlineLevel="0" collapsed="false">
      <c r="A312" s="10" t="s">
        <v>1628</v>
      </c>
      <c r="B312" s="12" t="n">
        <f aca="false">COUNTIF(選手一覧!$C$7:$C$2738,A312)</f>
        <v>3</v>
      </c>
      <c r="C312" s="14" t="n">
        <f aca="false">COUNTIFS(選手一覧!$C$7:$C$2738,A312,選手一覧!$K$7:$K$2738,"&lt;=100")</f>
        <v>0</v>
      </c>
      <c r="D312" s="14" t="n">
        <f aca="false">COUNTIFS(選手一覧!$C$7:$C$2738,A312,選手一覧!$E$7:$E$2738,"&lt;=100")</f>
        <v>0</v>
      </c>
      <c r="E312" s="14" t="n">
        <f aca="false">COUNTIFS(選手一覧!$C$7:$C$2738,A312,選手一覧!$G$7:$G$2738,"&lt;=100")</f>
        <v>0</v>
      </c>
      <c r="F312" s="14" t="n">
        <f aca="false">COUNTIFS(選手一覧!$C$7:$C$2738,A312,選手一覧!$I$7:$I$2738,"&lt;=100")</f>
        <v>0</v>
      </c>
      <c r="G312" s="13" t="n">
        <f aca="false">_xlfn.MINIFS(選手一覧!$K$7:$K$2738,選手一覧!$C$7:$C$2738,A312)</f>
        <v>509</v>
      </c>
      <c r="H312" s="16"/>
    </row>
    <row r="313" customFormat="false" ht="15" hidden="false" customHeight="false" outlineLevel="0" collapsed="false">
      <c r="A313" s="10" t="s">
        <v>1660</v>
      </c>
      <c r="B313" s="12" t="n">
        <f aca="false">COUNTIF(選手一覧!$C$7:$C$2738,A313)</f>
        <v>3</v>
      </c>
      <c r="C313" s="14" t="n">
        <f aca="false">COUNTIFS(選手一覧!$C$7:$C$2738,A313,選手一覧!$K$7:$K$2738,"&lt;=100")</f>
        <v>0</v>
      </c>
      <c r="D313" s="14" t="n">
        <f aca="false">COUNTIFS(選手一覧!$C$7:$C$2738,A313,選手一覧!$E$7:$E$2738,"&lt;=100")</f>
        <v>0</v>
      </c>
      <c r="E313" s="14" t="n">
        <f aca="false">COUNTIFS(選手一覧!$C$7:$C$2738,A313,選手一覧!$G$7:$G$2738,"&lt;=100")</f>
        <v>0</v>
      </c>
      <c r="F313" s="14" t="n">
        <f aca="false">COUNTIFS(選手一覧!$C$7:$C$2738,A313,選手一覧!$I$7:$I$2738,"&lt;=100")</f>
        <v>0</v>
      </c>
      <c r="G313" s="13" t="n">
        <f aca="false">_xlfn.MINIFS(選手一覧!$K$7:$K$2738,選手一覧!$C$7:$C$2738,A313)</f>
        <v>521</v>
      </c>
      <c r="H313" s="16"/>
    </row>
    <row r="314" customFormat="false" ht="15" hidden="false" customHeight="false" outlineLevel="0" collapsed="false">
      <c r="A314" s="10" t="s">
        <v>1729</v>
      </c>
      <c r="B314" s="12" t="n">
        <f aca="false">COUNTIF(選手一覧!$C$7:$C$2738,A314)</f>
        <v>3</v>
      </c>
      <c r="C314" s="14" t="n">
        <f aca="false">COUNTIFS(選手一覧!$C$7:$C$2738,A314,選手一覧!$K$7:$K$2738,"&lt;=100")</f>
        <v>0</v>
      </c>
      <c r="D314" s="14" t="n">
        <f aca="false">COUNTIFS(選手一覧!$C$7:$C$2738,A314,選手一覧!$E$7:$E$2738,"&lt;=100")</f>
        <v>0</v>
      </c>
      <c r="E314" s="14" t="n">
        <f aca="false">COUNTIFS(選手一覧!$C$7:$C$2738,A314,選手一覧!$G$7:$G$2738,"&lt;=100")</f>
        <v>0</v>
      </c>
      <c r="F314" s="14" t="n">
        <f aca="false">COUNTIFS(選手一覧!$C$7:$C$2738,A314,選手一覧!$I$7:$I$2738,"&lt;=100")</f>
        <v>0</v>
      </c>
      <c r="G314" s="13" t="n">
        <f aca="false">_xlfn.MINIFS(選手一覧!$K$7:$K$2738,選手一覧!$C$7:$C$2738,A314)</f>
        <v>547</v>
      </c>
      <c r="H314" s="16"/>
    </row>
    <row r="315" customFormat="false" ht="15" hidden="false" customHeight="false" outlineLevel="0" collapsed="false">
      <c r="A315" s="10" t="s">
        <v>1819</v>
      </c>
      <c r="B315" s="12" t="n">
        <f aca="false">COUNTIF(選手一覧!$C$7:$C$2738,A315)</f>
        <v>3</v>
      </c>
      <c r="C315" s="14" t="n">
        <f aca="false">COUNTIFS(選手一覧!$C$7:$C$2738,A315,選手一覧!$K$7:$K$2738,"&lt;=100")</f>
        <v>0</v>
      </c>
      <c r="D315" s="14" t="n">
        <f aca="false">COUNTIFS(選手一覧!$C$7:$C$2738,A315,選手一覧!$E$7:$E$2738,"&lt;=100")</f>
        <v>0</v>
      </c>
      <c r="E315" s="14" t="n">
        <f aca="false">COUNTIFS(選手一覧!$C$7:$C$2738,A315,選手一覧!$G$7:$G$2738,"&lt;=100")</f>
        <v>0</v>
      </c>
      <c r="F315" s="14" t="n">
        <f aca="false">COUNTIFS(選手一覧!$C$7:$C$2738,A315,選手一覧!$I$7:$I$2738,"&lt;=100")</f>
        <v>0</v>
      </c>
      <c r="G315" s="13" t="n">
        <f aca="false">_xlfn.MINIFS(選手一覧!$K$7:$K$2738,選手一覧!$C$7:$C$2738,A315)</f>
        <v>577</v>
      </c>
      <c r="H315" s="16"/>
    </row>
    <row r="316" customFormat="false" ht="15" hidden="false" customHeight="false" outlineLevel="0" collapsed="false">
      <c r="A316" s="10" t="s">
        <v>1821</v>
      </c>
      <c r="B316" s="12" t="n">
        <f aca="false">COUNTIF(選手一覧!$C$7:$C$2738,A316)</f>
        <v>3</v>
      </c>
      <c r="C316" s="14" t="n">
        <f aca="false">COUNTIFS(選手一覧!$C$7:$C$2738,A316,選手一覧!$K$7:$K$2738,"&lt;=100")</f>
        <v>0</v>
      </c>
      <c r="D316" s="14" t="n">
        <f aca="false">COUNTIFS(選手一覧!$C$7:$C$2738,A316,選手一覧!$E$7:$E$2738,"&lt;=100")</f>
        <v>0</v>
      </c>
      <c r="E316" s="14" t="n">
        <f aca="false">COUNTIFS(選手一覧!$C$7:$C$2738,A316,選手一覧!$G$7:$G$2738,"&lt;=100")</f>
        <v>0</v>
      </c>
      <c r="F316" s="14" t="n">
        <f aca="false">COUNTIFS(選手一覧!$C$7:$C$2738,A316,選手一覧!$I$7:$I$2738,"&lt;=100")</f>
        <v>0</v>
      </c>
      <c r="G316" s="13" t="n">
        <f aca="false">_xlfn.MINIFS(選手一覧!$K$7:$K$2738,選手一覧!$C$7:$C$2738,A316)</f>
        <v>578</v>
      </c>
      <c r="H316" s="16"/>
    </row>
    <row r="317" customFormat="false" ht="15" hidden="false" customHeight="false" outlineLevel="0" collapsed="false">
      <c r="A317" s="10" t="s">
        <v>1841</v>
      </c>
      <c r="B317" s="12" t="n">
        <f aca="false">COUNTIF(選手一覧!$C$7:$C$2738,A317)</f>
        <v>3</v>
      </c>
      <c r="C317" s="14" t="n">
        <f aca="false">COUNTIFS(選手一覧!$C$7:$C$2738,A317,選手一覧!$K$7:$K$2738,"&lt;=100")</f>
        <v>0</v>
      </c>
      <c r="D317" s="14" t="n">
        <f aca="false">COUNTIFS(選手一覧!$C$7:$C$2738,A317,選手一覧!$E$7:$E$2738,"&lt;=100")</f>
        <v>0</v>
      </c>
      <c r="E317" s="14" t="n">
        <f aca="false">COUNTIFS(選手一覧!$C$7:$C$2738,A317,選手一覧!$G$7:$G$2738,"&lt;=100")</f>
        <v>0</v>
      </c>
      <c r="F317" s="14" t="n">
        <f aca="false">COUNTIFS(選手一覧!$C$7:$C$2738,A317,選手一覧!$I$7:$I$2738,"&lt;=100")</f>
        <v>0</v>
      </c>
      <c r="G317" s="13" t="n">
        <f aca="false">_xlfn.MINIFS(選手一覧!$K$7:$K$2738,選手一覧!$C$7:$C$2738,A317)</f>
        <v>585</v>
      </c>
      <c r="H317" s="16"/>
    </row>
    <row r="318" customFormat="false" ht="15" hidden="false" customHeight="false" outlineLevel="0" collapsed="false">
      <c r="A318" s="10" t="s">
        <v>1843</v>
      </c>
      <c r="B318" s="12" t="n">
        <f aca="false">COUNTIF(選手一覧!$C$7:$C$2738,A318)</f>
        <v>3</v>
      </c>
      <c r="C318" s="14" t="n">
        <f aca="false">COUNTIFS(選手一覧!$C$7:$C$2738,A318,選手一覧!$K$7:$K$2738,"&lt;=100")</f>
        <v>0</v>
      </c>
      <c r="D318" s="14" t="n">
        <f aca="false">COUNTIFS(選手一覧!$C$7:$C$2738,A318,選手一覧!$E$7:$E$2738,"&lt;=100")</f>
        <v>0</v>
      </c>
      <c r="E318" s="14" t="n">
        <f aca="false">COUNTIFS(選手一覧!$C$7:$C$2738,A318,選手一覧!$G$7:$G$2738,"&lt;=100")</f>
        <v>0</v>
      </c>
      <c r="F318" s="14" t="n">
        <f aca="false">COUNTIFS(選手一覧!$C$7:$C$2738,A318,選手一覧!$I$7:$I$2738,"&lt;=100")</f>
        <v>0</v>
      </c>
      <c r="G318" s="13" t="n">
        <f aca="false">_xlfn.MINIFS(選手一覧!$K$7:$K$2738,選手一覧!$C$7:$C$2738,A318)</f>
        <v>586</v>
      </c>
      <c r="H318" s="16"/>
    </row>
    <row r="319" customFormat="false" ht="15" hidden="false" customHeight="false" outlineLevel="0" collapsed="false">
      <c r="A319" s="10" t="s">
        <v>1849</v>
      </c>
      <c r="B319" s="12" t="n">
        <f aca="false">COUNTIF(選手一覧!$C$7:$C$2738,A319)</f>
        <v>3</v>
      </c>
      <c r="C319" s="14" t="n">
        <f aca="false">COUNTIFS(選手一覧!$C$7:$C$2738,A319,選手一覧!$K$7:$K$2738,"&lt;=100")</f>
        <v>0</v>
      </c>
      <c r="D319" s="14" t="n">
        <f aca="false">COUNTIFS(選手一覧!$C$7:$C$2738,A319,選手一覧!$E$7:$E$2738,"&lt;=100")</f>
        <v>0</v>
      </c>
      <c r="E319" s="14" t="n">
        <f aca="false">COUNTIFS(選手一覧!$C$7:$C$2738,A319,選手一覧!$G$7:$G$2738,"&lt;=100")</f>
        <v>0</v>
      </c>
      <c r="F319" s="14" t="n">
        <f aca="false">COUNTIFS(選手一覧!$C$7:$C$2738,A319,選手一覧!$I$7:$I$2738,"&lt;=100")</f>
        <v>0</v>
      </c>
      <c r="G319" s="13" t="n">
        <f aca="false">_xlfn.MINIFS(選手一覧!$K$7:$K$2738,選手一覧!$C$7:$C$2738,A319)</f>
        <v>589</v>
      </c>
      <c r="H319" s="16"/>
    </row>
    <row r="320" customFormat="false" ht="15" hidden="false" customHeight="false" outlineLevel="0" collapsed="false">
      <c r="A320" s="10" t="s">
        <v>1855</v>
      </c>
      <c r="B320" s="12" t="n">
        <f aca="false">COUNTIF(選手一覧!$C$7:$C$2738,A320)</f>
        <v>3</v>
      </c>
      <c r="C320" s="14" t="n">
        <f aca="false">COUNTIFS(選手一覧!$C$7:$C$2738,A320,選手一覧!$K$7:$K$2738,"&lt;=100")</f>
        <v>0</v>
      </c>
      <c r="D320" s="14" t="n">
        <f aca="false">COUNTIFS(選手一覧!$C$7:$C$2738,A320,選手一覧!$E$7:$E$2738,"&lt;=100")</f>
        <v>0</v>
      </c>
      <c r="E320" s="14" t="n">
        <f aca="false">COUNTIFS(選手一覧!$C$7:$C$2738,A320,選手一覧!$G$7:$G$2738,"&lt;=100")</f>
        <v>0</v>
      </c>
      <c r="F320" s="14" t="n">
        <f aca="false">COUNTIFS(選手一覧!$C$7:$C$2738,A320,選手一覧!$I$7:$I$2738,"&lt;=100")</f>
        <v>0</v>
      </c>
      <c r="G320" s="13" t="n">
        <f aca="false">_xlfn.MINIFS(選手一覧!$K$7:$K$2738,選手一覧!$C$7:$C$2738,A320)</f>
        <v>591</v>
      </c>
      <c r="H320" s="16"/>
    </row>
    <row r="321" customFormat="false" ht="15" hidden="false" customHeight="false" outlineLevel="0" collapsed="false">
      <c r="A321" s="10" t="s">
        <v>1871</v>
      </c>
      <c r="B321" s="12" t="n">
        <f aca="false">COUNTIF(選手一覧!$C$7:$C$2738,A321)</f>
        <v>3</v>
      </c>
      <c r="C321" s="14" t="n">
        <f aca="false">COUNTIFS(選手一覧!$C$7:$C$2738,A321,選手一覧!$K$7:$K$2738,"&lt;=100")</f>
        <v>0</v>
      </c>
      <c r="D321" s="14" t="n">
        <f aca="false">COUNTIFS(選手一覧!$C$7:$C$2738,A321,選手一覧!$E$7:$E$2738,"&lt;=100")</f>
        <v>0</v>
      </c>
      <c r="E321" s="14" t="n">
        <f aca="false">COUNTIFS(選手一覧!$C$7:$C$2738,A321,選手一覧!$G$7:$G$2738,"&lt;=100")</f>
        <v>0</v>
      </c>
      <c r="F321" s="14" t="n">
        <f aca="false">COUNTIFS(選手一覧!$C$7:$C$2738,A321,選手一覧!$I$7:$I$2738,"&lt;=100")</f>
        <v>0</v>
      </c>
      <c r="G321" s="13" t="n">
        <f aca="false">_xlfn.MINIFS(選手一覧!$K$7:$K$2738,選手一覧!$C$7:$C$2738,A321)</f>
        <v>598</v>
      </c>
      <c r="H321" s="16"/>
    </row>
    <row r="322" customFormat="false" ht="15" hidden="false" customHeight="false" outlineLevel="0" collapsed="false">
      <c r="A322" s="10" t="s">
        <v>1873</v>
      </c>
      <c r="B322" s="12" t="n">
        <f aca="false">COUNTIF(選手一覧!$C$7:$C$2738,A322)</f>
        <v>3</v>
      </c>
      <c r="C322" s="14" t="n">
        <f aca="false">COUNTIFS(選手一覧!$C$7:$C$2738,A322,選手一覧!$K$7:$K$2738,"&lt;=100")</f>
        <v>0</v>
      </c>
      <c r="D322" s="14" t="n">
        <f aca="false">COUNTIFS(選手一覧!$C$7:$C$2738,A322,選手一覧!$E$7:$E$2738,"&lt;=100")</f>
        <v>0</v>
      </c>
      <c r="E322" s="14" t="n">
        <f aca="false">COUNTIFS(選手一覧!$C$7:$C$2738,A322,選手一覧!$G$7:$G$2738,"&lt;=100")</f>
        <v>0</v>
      </c>
      <c r="F322" s="14" t="n">
        <f aca="false">COUNTIFS(選手一覧!$C$7:$C$2738,A322,選手一覧!$I$7:$I$2738,"&lt;=100")</f>
        <v>0</v>
      </c>
      <c r="G322" s="13" t="n">
        <f aca="false">_xlfn.MINIFS(選手一覧!$K$7:$K$2738,選手一覧!$C$7:$C$2738,A322)</f>
        <v>599</v>
      </c>
      <c r="H322" s="16"/>
    </row>
    <row r="323" customFormat="false" ht="15" hidden="false" customHeight="false" outlineLevel="0" collapsed="false">
      <c r="A323" s="10" t="s">
        <v>1878</v>
      </c>
      <c r="B323" s="12" t="n">
        <f aca="false">COUNTIF(選手一覧!$C$7:$C$2738,A323)</f>
        <v>3</v>
      </c>
      <c r="C323" s="14" t="n">
        <f aca="false">COUNTIFS(選手一覧!$C$7:$C$2738,A323,選手一覧!$K$7:$K$2738,"&lt;=100")</f>
        <v>0</v>
      </c>
      <c r="D323" s="14" t="n">
        <f aca="false">COUNTIFS(選手一覧!$C$7:$C$2738,A323,選手一覧!$E$7:$E$2738,"&lt;=100")</f>
        <v>0</v>
      </c>
      <c r="E323" s="14" t="n">
        <f aca="false">COUNTIFS(選手一覧!$C$7:$C$2738,A323,選手一覧!$G$7:$G$2738,"&lt;=100")</f>
        <v>0</v>
      </c>
      <c r="F323" s="14" t="n">
        <f aca="false">COUNTIFS(選手一覧!$C$7:$C$2738,A323,選手一覧!$I$7:$I$2738,"&lt;=100")</f>
        <v>0</v>
      </c>
      <c r="G323" s="13" t="n">
        <f aca="false">_xlfn.MINIFS(選手一覧!$K$7:$K$2738,選手一覧!$C$7:$C$2738,A323)</f>
        <v>601</v>
      </c>
      <c r="H323" s="16"/>
    </row>
    <row r="324" customFormat="false" ht="15" hidden="false" customHeight="false" outlineLevel="0" collapsed="false">
      <c r="A324" s="10" t="s">
        <v>1885</v>
      </c>
      <c r="B324" s="12" t="n">
        <f aca="false">COUNTIF(選手一覧!$C$7:$C$2738,A324)</f>
        <v>3</v>
      </c>
      <c r="C324" s="14" t="n">
        <f aca="false">COUNTIFS(選手一覧!$C$7:$C$2738,A324,選手一覧!$K$7:$K$2738,"&lt;=100")</f>
        <v>0</v>
      </c>
      <c r="D324" s="14" t="n">
        <f aca="false">COUNTIFS(選手一覧!$C$7:$C$2738,A324,選手一覧!$E$7:$E$2738,"&lt;=100")</f>
        <v>0</v>
      </c>
      <c r="E324" s="14" t="n">
        <f aca="false">COUNTIFS(選手一覧!$C$7:$C$2738,A324,選手一覧!$G$7:$G$2738,"&lt;=100")</f>
        <v>0</v>
      </c>
      <c r="F324" s="14" t="n">
        <f aca="false">COUNTIFS(選手一覧!$C$7:$C$2738,A324,選手一覧!$I$7:$I$2738,"&lt;=100")</f>
        <v>0</v>
      </c>
      <c r="G324" s="13" t="n">
        <f aca="false">_xlfn.MINIFS(選手一覧!$K$7:$K$2738,選手一覧!$C$7:$C$2738,A324)</f>
        <v>603</v>
      </c>
      <c r="H324" s="16"/>
    </row>
    <row r="325" customFormat="false" ht="15" hidden="false" customHeight="false" outlineLevel="0" collapsed="false">
      <c r="A325" s="10" t="s">
        <v>1900</v>
      </c>
      <c r="B325" s="12" t="n">
        <f aca="false">COUNTIF(選手一覧!$C$7:$C$2738,A325)</f>
        <v>3</v>
      </c>
      <c r="C325" s="14" t="n">
        <f aca="false">COUNTIFS(選手一覧!$C$7:$C$2738,A325,選手一覧!$K$7:$K$2738,"&lt;=100")</f>
        <v>0</v>
      </c>
      <c r="D325" s="14" t="n">
        <f aca="false">COUNTIFS(選手一覧!$C$7:$C$2738,A325,選手一覧!$E$7:$E$2738,"&lt;=100")</f>
        <v>0</v>
      </c>
      <c r="E325" s="14" t="n">
        <f aca="false">COUNTIFS(選手一覧!$C$7:$C$2738,A325,選手一覧!$G$7:$G$2738,"&lt;=100")</f>
        <v>0</v>
      </c>
      <c r="F325" s="14" t="n">
        <f aca="false">COUNTIFS(選手一覧!$C$7:$C$2738,A325,選手一覧!$I$7:$I$2738,"&lt;=100")</f>
        <v>0</v>
      </c>
      <c r="G325" s="13" t="n">
        <f aca="false">_xlfn.MINIFS(選手一覧!$K$7:$K$2738,選手一覧!$C$7:$C$2738,A325)</f>
        <v>609</v>
      </c>
      <c r="H325" s="16"/>
    </row>
    <row r="326" customFormat="false" ht="15" hidden="false" customHeight="false" outlineLevel="0" collapsed="false">
      <c r="A326" s="10" t="s">
        <v>1905</v>
      </c>
      <c r="B326" s="12" t="n">
        <f aca="false">COUNTIF(選手一覧!$C$7:$C$2738,A326)</f>
        <v>3</v>
      </c>
      <c r="C326" s="14" t="n">
        <f aca="false">COUNTIFS(選手一覧!$C$7:$C$2738,A326,選手一覧!$K$7:$K$2738,"&lt;=100")</f>
        <v>0</v>
      </c>
      <c r="D326" s="14" t="n">
        <f aca="false">COUNTIFS(選手一覧!$C$7:$C$2738,A326,選手一覧!$E$7:$E$2738,"&lt;=100")</f>
        <v>0</v>
      </c>
      <c r="E326" s="14" t="n">
        <f aca="false">COUNTIFS(選手一覧!$C$7:$C$2738,A326,選手一覧!$G$7:$G$2738,"&lt;=100")</f>
        <v>0</v>
      </c>
      <c r="F326" s="14" t="n">
        <f aca="false">COUNTIFS(選手一覧!$C$7:$C$2738,A326,選手一覧!$I$7:$I$2738,"&lt;=100")</f>
        <v>0</v>
      </c>
      <c r="G326" s="13" t="n">
        <f aca="false">_xlfn.MINIFS(選手一覧!$K$7:$K$2738,選手一覧!$C$7:$C$2738,A326)</f>
        <v>610</v>
      </c>
      <c r="H326" s="16"/>
    </row>
    <row r="327" customFormat="false" ht="15" hidden="false" customHeight="false" outlineLevel="0" collapsed="false">
      <c r="A327" s="10" t="s">
        <v>1912</v>
      </c>
      <c r="B327" s="12" t="n">
        <f aca="false">COUNTIF(選手一覧!$C$7:$C$2738,A327)</f>
        <v>3</v>
      </c>
      <c r="C327" s="14" t="n">
        <f aca="false">COUNTIFS(選手一覧!$C$7:$C$2738,A327,選手一覧!$K$7:$K$2738,"&lt;=100")</f>
        <v>0</v>
      </c>
      <c r="D327" s="14" t="n">
        <f aca="false">COUNTIFS(選手一覧!$C$7:$C$2738,A327,選手一覧!$E$7:$E$2738,"&lt;=100")</f>
        <v>0</v>
      </c>
      <c r="E327" s="14" t="n">
        <f aca="false">COUNTIFS(選手一覧!$C$7:$C$2738,A327,選手一覧!$G$7:$G$2738,"&lt;=100")</f>
        <v>0</v>
      </c>
      <c r="F327" s="14" t="n">
        <f aca="false">COUNTIFS(選手一覧!$C$7:$C$2738,A327,選手一覧!$I$7:$I$2738,"&lt;=100")</f>
        <v>0</v>
      </c>
      <c r="G327" s="13" t="n">
        <f aca="false">_xlfn.MINIFS(選手一覧!$K$7:$K$2738,選手一覧!$C$7:$C$2738,A327)</f>
        <v>612</v>
      </c>
      <c r="H327" s="16"/>
    </row>
    <row r="328" customFormat="false" ht="15" hidden="false" customHeight="false" outlineLevel="0" collapsed="false">
      <c r="A328" s="10" t="s">
        <v>1936</v>
      </c>
      <c r="B328" s="12" t="n">
        <f aca="false">COUNTIF(選手一覧!$C$7:$C$2738,A328)</f>
        <v>3</v>
      </c>
      <c r="C328" s="14" t="n">
        <f aca="false">COUNTIFS(選手一覧!$C$7:$C$2738,A328,選手一覧!$K$7:$K$2738,"&lt;=100")</f>
        <v>0</v>
      </c>
      <c r="D328" s="14" t="n">
        <f aca="false">COUNTIFS(選手一覧!$C$7:$C$2738,A328,選手一覧!$E$7:$E$2738,"&lt;=100")</f>
        <v>0</v>
      </c>
      <c r="E328" s="14" t="n">
        <f aca="false">COUNTIFS(選手一覧!$C$7:$C$2738,A328,選手一覧!$G$7:$G$2738,"&lt;=100")</f>
        <v>0</v>
      </c>
      <c r="F328" s="14" t="n">
        <f aca="false">COUNTIFS(選手一覧!$C$7:$C$2738,A328,選手一覧!$I$7:$I$2738,"&lt;=100")</f>
        <v>0</v>
      </c>
      <c r="G328" s="13" t="n">
        <f aca="false">_xlfn.MINIFS(選手一覧!$K$7:$K$2738,選手一覧!$C$7:$C$2738,A328)</f>
        <v>620</v>
      </c>
      <c r="H328" s="16"/>
    </row>
    <row r="329" customFormat="false" ht="15" hidden="false" customHeight="false" outlineLevel="0" collapsed="false">
      <c r="A329" s="10" t="s">
        <v>1942</v>
      </c>
      <c r="B329" s="12" t="n">
        <f aca="false">COUNTIF(選手一覧!$C$7:$C$2738,A329)</f>
        <v>3</v>
      </c>
      <c r="C329" s="14" t="n">
        <f aca="false">COUNTIFS(選手一覧!$C$7:$C$2738,A329,選手一覧!$K$7:$K$2738,"&lt;=100")</f>
        <v>0</v>
      </c>
      <c r="D329" s="14" t="n">
        <f aca="false">COUNTIFS(選手一覧!$C$7:$C$2738,A329,選手一覧!$E$7:$E$2738,"&lt;=100")</f>
        <v>0</v>
      </c>
      <c r="E329" s="14" t="n">
        <f aca="false">COUNTIFS(選手一覧!$C$7:$C$2738,A329,選手一覧!$G$7:$G$2738,"&lt;=100")</f>
        <v>0</v>
      </c>
      <c r="F329" s="14" t="n">
        <f aca="false">COUNTIFS(選手一覧!$C$7:$C$2738,A329,選手一覧!$I$7:$I$2738,"&lt;=100")</f>
        <v>0</v>
      </c>
      <c r="G329" s="13" t="n">
        <f aca="false">_xlfn.MINIFS(選手一覧!$K$7:$K$2738,選手一覧!$C$7:$C$2738,A329)</f>
        <v>623</v>
      </c>
      <c r="H329" s="16"/>
    </row>
    <row r="330" customFormat="false" ht="15" hidden="false" customHeight="false" outlineLevel="0" collapsed="false">
      <c r="A330" s="10" t="s">
        <v>1962</v>
      </c>
      <c r="B330" s="12" t="n">
        <f aca="false">COUNTIF(選手一覧!$C$7:$C$2738,A330)</f>
        <v>3</v>
      </c>
      <c r="C330" s="14" t="n">
        <f aca="false">COUNTIFS(選手一覧!$C$7:$C$2738,A330,選手一覧!$K$7:$K$2738,"&lt;=100")</f>
        <v>0</v>
      </c>
      <c r="D330" s="14" t="n">
        <f aca="false">COUNTIFS(選手一覧!$C$7:$C$2738,A330,選手一覧!$E$7:$E$2738,"&lt;=100")</f>
        <v>0</v>
      </c>
      <c r="E330" s="14" t="n">
        <f aca="false">COUNTIFS(選手一覧!$C$7:$C$2738,A330,選手一覧!$G$7:$G$2738,"&lt;=100")</f>
        <v>0</v>
      </c>
      <c r="F330" s="14" t="n">
        <f aca="false">COUNTIFS(選手一覧!$C$7:$C$2738,A330,選手一覧!$I$7:$I$2738,"&lt;=100")</f>
        <v>0</v>
      </c>
      <c r="G330" s="13" t="n">
        <f aca="false">_xlfn.MINIFS(選手一覧!$K$7:$K$2738,選手一覧!$C$7:$C$2738,A330)</f>
        <v>632</v>
      </c>
      <c r="H330" s="16"/>
    </row>
    <row r="331" customFormat="false" ht="15" hidden="false" customHeight="false" outlineLevel="0" collapsed="false">
      <c r="A331" s="10" t="s">
        <v>1975</v>
      </c>
      <c r="B331" s="12" t="n">
        <f aca="false">COUNTIF(選手一覧!$C$7:$C$2738,A331)</f>
        <v>3</v>
      </c>
      <c r="C331" s="14" t="n">
        <f aca="false">COUNTIFS(選手一覧!$C$7:$C$2738,A331,選手一覧!$K$7:$K$2738,"&lt;=100")</f>
        <v>0</v>
      </c>
      <c r="D331" s="14" t="n">
        <f aca="false">COUNTIFS(選手一覧!$C$7:$C$2738,A331,選手一覧!$E$7:$E$2738,"&lt;=100")</f>
        <v>0</v>
      </c>
      <c r="E331" s="14" t="n">
        <f aca="false">COUNTIFS(選手一覧!$C$7:$C$2738,A331,選手一覧!$G$7:$G$2738,"&lt;=100")</f>
        <v>0</v>
      </c>
      <c r="F331" s="14" t="n">
        <f aca="false">COUNTIFS(選手一覧!$C$7:$C$2738,A331,選手一覧!$I$7:$I$2738,"&lt;=100")</f>
        <v>0</v>
      </c>
      <c r="G331" s="13" t="n">
        <f aca="false">_xlfn.MINIFS(選手一覧!$K$7:$K$2738,選手一覧!$C$7:$C$2738,A331)</f>
        <v>638</v>
      </c>
      <c r="H331" s="16"/>
    </row>
    <row r="332" customFormat="false" ht="15" hidden="false" customHeight="false" outlineLevel="0" collapsed="false">
      <c r="A332" s="10" t="s">
        <v>1990</v>
      </c>
      <c r="B332" s="12" t="n">
        <f aca="false">COUNTIF(選手一覧!$C$7:$C$2738,A332)</f>
        <v>3</v>
      </c>
      <c r="C332" s="14" t="n">
        <f aca="false">COUNTIFS(選手一覧!$C$7:$C$2738,A332,選手一覧!$K$7:$K$2738,"&lt;=100")</f>
        <v>0</v>
      </c>
      <c r="D332" s="14" t="n">
        <f aca="false">COUNTIFS(選手一覧!$C$7:$C$2738,A332,選手一覧!$E$7:$E$2738,"&lt;=100")</f>
        <v>0</v>
      </c>
      <c r="E332" s="14" t="n">
        <f aca="false">COUNTIFS(選手一覧!$C$7:$C$2738,A332,選手一覧!$G$7:$G$2738,"&lt;=100")</f>
        <v>0</v>
      </c>
      <c r="F332" s="14" t="n">
        <f aca="false">COUNTIFS(選手一覧!$C$7:$C$2738,A332,選手一覧!$I$7:$I$2738,"&lt;=100")</f>
        <v>0</v>
      </c>
      <c r="G332" s="13" t="n">
        <f aca="false">_xlfn.MINIFS(選手一覧!$K$7:$K$2738,選手一覧!$C$7:$C$2738,A332)</f>
        <v>644</v>
      </c>
      <c r="H332" s="16"/>
    </row>
    <row r="333" customFormat="false" ht="15" hidden="false" customHeight="false" outlineLevel="0" collapsed="false">
      <c r="A333" s="10" t="s">
        <v>1993</v>
      </c>
      <c r="B333" s="12" t="n">
        <f aca="false">COUNTIF(選手一覧!$C$7:$C$2738,A333)</f>
        <v>3</v>
      </c>
      <c r="C333" s="14" t="n">
        <f aca="false">COUNTIFS(選手一覧!$C$7:$C$2738,A333,選手一覧!$K$7:$K$2738,"&lt;=100")</f>
        <v>0</v>
      </c>
      <c r="D333" s="14" t="n">
        <f aca="false">COUNTIFS(選手一覧!$C$7:$C$2738,A333,選手一覧!$E$7:$E$2738,"&lt;=100")</f>
        <v>0</v>
      </c>
      <c r="E333" s="14" t="n">
        <f aca="false">COUNTIFS(選手一覧!$C$7:$C$2738,A333,選手一覧!$G$7:$G$2738,"&lt;=100")</f>
        <v>0</v>
      </c>
      <c r="F333" s="14" t="n">
        <f aca="false">COUNTIFS(選手一覧!$C$7:$C$2738,A333,選手一覧!$I$7:$I$2738,"&lt;=100")</f>
        <v>0</v>
      </c>
      <c r="G333" s="13" t="n">
        <f aca="false">_xlfn.MINIFS(選手一覧!$K$7:$K$2738,選手一覧!$C$7:$C$2738,A333)</f>
        <v>645</v>
      </c>
      <c r="H333" s="16"/>
    </row>
    <row r="334" customFormat="false" ht="15" hidden="false" customHeight="false" outlineLevel="0" collapsed="false">
      <c r="A334" s="10" t="s">
        <v>2017</v>
      </c>
      <c r="B334" s="12" t="n">
        <f aca="false">COUNTIF(選手一覧!$C$7:$C$2738,A334)</f>
        <v>3</v>
      </c>
      <c r="C334" s="14" t="n">
        <f aca="false">COUNTIFS(選手一覧!$C$7:$C$2738,A334,選手一覧!$K$7:$K$2738,"&lt;=100")</f>
        <v>0</v>
      </c>
      <c r="D334" s="14" t="n">
        <f aca="false">COUNTIFS(選手一覧!$C$7:$C$2738,A334,選手一覧!$E$7:$E$2738,"&lt;=100")</f>
        <v>0</v>
      </c>
      <c r="E334" s="14" t="n">
        <f aca="false">COUNTIFS(選手一覧!$C$7:$C$2738,A334,選手一覧!$G$7:$G$2738,"&lt;=100")</f>
        <v>0</v>
      </c>
      <c r="F334" s="14" t="n">
        <f aca="false">COUNTIFS(選手一覧!$C$7:$C$2738,A334,選手一覧!$I$7:$I$2738,"&lt;=100")</f>
        <v>0</v>
      </c>
      <c r="G334" s="13" t="n">
        <f aca="false">_xlfn.MINIFS(選手一覧!$K$7:$K$2738,選手一覧!$C$7:$C$2738,A334)</f>
        <v>655</v>
      </c>
      <c r="H334" s="16"/>
    </row>
    <row r="335" customFormat="false" ht="15" hidden="false" customHeight="false" outlineLevel="0" collapsed="false">
      <c r="A335" s="10" t="s">
        <v>2031</v>
      </c>
      <c r="B335" s="12" t="n">
        <f aca="false">COUNTIF(選手一覧!$C$7:$C$2738,A335)</f>
        <v>3</v>
      </c>
      <c r="C335" s="14" t="n">
        <f aca="false">COUNTIFS(選手一覧!$C$7:$C$2738,A335,選手一覧!$K$7:$K$2738,"&lt;=100")</f>
        <v>0</v>
      </c>
      <c r="D335" s="14" t="n">
        <f aca="false">COUNTIFS(選手一覧!$C$7:$C$2738,A335,選手一覧!$E$7:$E$2738,"&lt;=100")</f>
        <v>0</v>
      </c>
      <c r="E335" s="14" t="n">
        <f aca="false">COUNTIFS(選手一覧!$C$7:$C$2738,A335,選手一覧!$G$7:$G$2738,"&lt;=100")</f>
        <v>0</v>
      </c>
      <c r="F335" s="14" t="n">
        <f aca="false">COUNTIFS(選手一覧!$C$7:$C$2738,A335,選手一覧!$I$7:$I$2738,"&lt;=100")</f>
        <v>0</v>
      </c>
      <c r="G335" s="13" t="n">
        <f aca="false">_xlfn.MINIFS(選手一覧!$K$7:$K$2738,選手一覧!$C$7:$C$2738,A335)</f>
        <v>660</v>
      </c>
      <c r="H335" s="16"/>
    </row>
    <row r="336" customFormat="false" ht="15" hidden="false" customHeight="false" outlineLevel="0" collapsed="false">
      <c r="A336" s="10" t="s">
        <v>2038</v>
      </c>
      <c r="B336" s="12" t="n">
        <f aca="false">COUNTIF(選手一覧!$C$7:$C$2738,A336)</f>
        <v>3</v>
      </c>
      <c r="C336" s="14" t="n">
        <f aca="false">COUNTIFS(選手一覧!$C$7:$C$2738,A336,選手一覧!$K$7:$K$2738,"&lt;=100")</f>
        <v>0</v>
      </c>
      <c r="D336" s="14" t="n">
        <f aca="false">COUNTIFS(選手一覧!$C$7:$C$2738,A336,選手一覧!$E$7:$E$2738,"&lt;=100")</f>
        <v>0</v>
      </c>
      <c r="E336" s="14" t="n">
        <f aca="false">COUNTIFS(選手一覧!$C$7:$C$2738,A336,選手一覧!$G$7:$G$2738,"&lt;=100")</f>
        <v>0</v>
      </c>
      <c r="F336" s="14" t="n">
        <f aca="false">COUNTIFS(選手一覧!$C$7:$C$2738,A336,選手一覧!$I$7:$I$2738,"&lt;=100")</f>
        <v>0</v>
      </c>
      <c r="G336" s="13" t="n">
        <f aca="false">_xlfn.MINIFS(選手一覧!$K$7:$K$2738,選手一覧!$C$7:$C$2738,A336)</f>
        <v>663</v>
      </c>
      <c r="H336" s="16"/>
    </row>
    <row r="337" customFormat="false" ht="15" hidden="false" customHeight="false" outlineLevel="0" collapsed="false">
      <c r="A337" s="10" t="s">
        <v>2082</v>
      </c>
      <c r="B337" s="12" t="n">
        <f aca="false">COUNTIF(選手一覧!$C$7:$C$2738,A337)</f>
        <v>3</v>
      </c>
      <c r="C337" s="14" t="n">
        <f aca="false">COUNTIFS(選手一覧!$C$7:$C$2738,A337,選手一覧!$K$7:$K$2738,"&lt;=100")</f>
        <v>0</v>
      </c>
      <c r="D337" s="14" t="n">
        <f aca="false">COUNTIFS(選手一覧!$C$7:$C$2738,A337,選手一覧!$E$7:$E$2738,"&lt;=100")</f>
        <v>0</v>
      </c>
      <c r="E337" s="14" t="n">
        <f aca="false">COUNTIFS(選手一覧!$C$7:$C$2738,A337,選手一覧!$G$7:$G$2738,"&lt;=100")</f>
        <v>0</v>
      </c>
      <c r="F337" s="14" t="n">
        <f aca="false">COUNTIFS(選手一覧!$C$7:$C$2738,A337,選手一覧!$I$7:$I$2738,"&lt;=100")</f>
        <v>0</v>
      </c>
      <c r="G337" s="13" t="n">
        <f aca="false">_xlfn.MINIFS(選手一覧!$K$7:$K$2738,選手一覧!$C$7:$C$2738,A337)</f>
        <v>680</v>
      </c>
      <c r="H337" s="16"/>
    </row>
    <row r="338" customFormat="false" ht="15" hidden="false" customHeight="false" outlineLevel="0" collapsed="false">
      <c r="A338" s="10" t="s">
        <v>2090</v>
      </c>
      <c r="B338" s="12" t="n">
        <f aca="false">COUNTIF(選手一覧!$C$7:$C$2738,A338)</f>
        <v>3</v>
      </c>
      <c r="C338" s="14" t="n">
        <f aca="false">COUNTIFS(選手一覧!$C$7:$C$2738,A338,選手一覧!$K$7:$K$2738,"&lt;=100")</f>
        <v>0</v>
      </c>
      <c r="D338" s="14" t="n">
        <f aca="false">COUNTIFS(選手一覧!$C$7:$C$2738,A338,選手一覧!$E$7:$E$2738,"&lt;=100")</f>
        <v>0</v>
      </c>
      <c r="E338" s="14" t="n">
        <f aca="false">COUNTIFS(選手一覧!$C$7:$C$2738,A338,選手一覧!$G$7:$G$2738,"&lt;=100")</f>
        <v>0</v>
      </c>
      <c r="F338" s="14" t="n">
        <f aca="false">COUNTIFS(選手一覧!$C$7:$C$2738,A338,選手一覧!$I$7:$I$2738,"&lt;=100")</f>
        <v>0</v>
      </c>
      <c r="G338" s="13" t="n">
        <f aca="false">_xlfn.MINIFS(選手一覧!$K$7:$K$2738,選手一覧!$C$7:$C$2738,A338)</f>
        <v>682</v>
      </c>
      <c r="H338" s="16"/>
    </row>
    <row r="339" customFormat="false" ht="15" hidden="false" customHeight="false" outlineLevel="0" collapsed="false">
      <c r="A339" s="10" t="s">
        <v>2097</v>
      </c>
      <c r="B339" s="12" t="n">
        <f aca="false">COUNTIF(選手一覧!$C$7:$C$2738,A339)</f>
        <v>3</v>
      </c>
      <c r="C339" s="14" t="n">
        <f aca="false">COUNTIFS(選手一覧!$C$7:$C$2738,A339,選手一覧!$K$7:$K$2738,"&lt;=100")</f>
        <v>0</v>
      </c>
      <c r="D339" s="14" t="n">
        <f aca="false">COUNTIFS(選手一覧!$C$7:$C$2738,A339,選手一覧!$E$7:$E$2738,"&lt;=100")</f>
        <v>0</v>
      </c>
      <c r="E339" s="14" t="n">
        <f aca="false">COUNTIFS(選手一覧!$C$7:$C$2738,A339,選手一覧!$G$7:$G$2738,"&lt;=100")</f>
        <v>0</v>
      </c>
      <c r="F339" s="14" t="n">
        <f aca="false">COUNTIFS(選手一覧!$C$7:$C$2738,A339,選手一覧!$I$7:$I$2738,"&lt;=100")</f>
        <v>0</v>
      </c>
      <c r="G339" s="13" t="n">
        <f aca="false">_xlfn.MINIFS(選手一覧!$K$7:$K$2738,選手一覧!$C$7:$C$2738,A339)</f>
        <v>685</v>
      </c>
      <c r="H339" s="16"/>
    </row>
    <row r="340" customFormat="false" ht="15" hidden="false" customHeight="false" outlineLevel="0" collapsed="false">
      <c r="A340" s="10" t="s">
        <v>2114</v>
      </c>
      <c r="B340" s="12" t="n">
        <f aca="false">COUNTIF(選手一覧!$C$7:$C$2738,A340)</f>
        <v>3</v>
      </c>
      <c r="C340" s="14" t="n">
        <f aca="false">COUNTIFS(選手一覧!$C$7:$C$2738,A340,選手一覧!$K$7:$K$2738,"&lt;=100")</f>
        <v>0</v>
      </c>
      <c r="D340" s="14" t="n">
        <f aca="false">COUNTIFS(選手一覧!$C$7:$C$2738,A340,選手一覧!$E$7:$E$2738,"&lt;=100")</f>
        <v>0</v>
      </c>
      <c r="E340" s="14" t="n">
        <f aca="false">COUNTIFS(選手一覧!$C$7:$C$2738,A340,選手一覧!$G$7:$G$2738,"&lt;=100")</f>
        <v>0</v>
      </c>
      <c r="F340" s="14" t="n">
        <f aca="false">COUNTIFS(選手一覧!$C$7:$C$2738,A340,選手一覧!$I$7:$I$2738,"&lt;=100")</f>
        <v>0</v>
      </c>
      <c r="G340" s="13" t="n">
        <f aca="false">_xlfn.MINIFS(選手一覧!$K$7:$K$2738,選手一覧!$C$7:$C$2738,A340)</f>
        <v>693</v>
      </c>
      <c r="H340" s="16"/>
    </row>
    <row r="341" customFormat="false" ht="15" hidden="false" customHeight="false" outlineLevel="0" collapsed="false">
      <c r="A341" s="10" t="s">
        <v>2147</v>
      </c>
      <c r="B341" s="12" t="n">
        <f aca="false">COUNTIF(選手一覧!$C$7:$C$2738,A341)</f>
        <v>3</v>
      </c>
      <c r="C341" s="14" t="n">
        <f aca="false">COUNTIFS(選手一覧!$C$7:$C$2738,A341,選手一覧!$K$7:$K$2738,"&lt;=100")</f>
        <v>0</v>
      </c>
      <c r="D341" s="14" t="n">
        <f aca="false">COUNTIFS(選手一覧!$C$7:$C$2738,A341,選手一覧!$E$7:$E$2738,"&lt;=100")</f>
        <v>0</v>
      </c>
      <c r="E341" s="14" t="n">
        <f aca="false">COUNTIFS(選手一覧!$C$7:$C$2738,A341,選手一覧!$G$7:$G$2738,"&lt;=100")</f>
        <v>0</v>
      </c>
      <c r="F341" s="14" t="n">
        <f aca="false">COUNTIFS(選手一覧!$C$7:$C$2738,A341,選手一覧!$I$7:$I$2738,"&lt;=100")</f>
        <v>0</v>
      </c>
      <c r="G341" s="13" t="n">
        <f aca="false">_xlfn.MINIFS(選手一覧!$K$7:$K$2738,選手一覧!$C$7:$C$2738,A341)</f>
        <v>705</v>
      </c>
      <c r="H341" s="16"/>
    </row>
    <row r="342" customFormat="false" ht="15" hidden="false" customHeight="false" outlineLevel="0" collapsed="false">
      <c r="A342" s="10" t="s">
        <v>2155</v>
      </c>
      <c r="B342" s="12" t="n">
        <f aca="false">COUNTIF(選手一覧!$C$7:$C$2738,A342)</f>
        <v>3</v>
      </c>
      <c r="C342" s="14" t="n">
        <f aca="false">COUNTIFS(選手一覧!$C$7:$C$2738,A342,選手一覧!$K$7:$K$2738,"&lt;=100")</f>
        <v>0</v>
      </c>
      <c r="D342" s="14" t="n">
        <f aca="false">COUNTIFS(選手一覧!$C$7:$C$2738,A342,選手一覧!$E$7:$E$2738,"&lt;=100")</f>
        <v>0</v>
      </c>
      <c r="E342" s="14" t="n">
        <f aca="false">COUNTIFS(選手一覧!$C$7:$C$2738,A342,選手一覧!$G$7:$G$2738,"&lt;=100")</f>
        <v>0</v>
      </c>
      <c r="F342" s="14" t="n">
        <f aca="false">COUNTIFS(選手一覧!$C$7:$C$2738,A342,選手一覧!$I$7:$I$2738,"&lt;=100")</f>
        <v>0</v>
      </c>
      <c r="G342" s="13" t="n">
        <f aca="false">_xlfn.MINIFS(選手一覧!$K$7:$K$2738,選手一覧!$C$7:$C$2738,A342)</f>
        <v>707</v>
      </c>
      <c r="H342" s="16"/>
    </row>
    <row r="343" customFormat="false" ht="15" hidden="false" customHeight="false" outlineLevel="0" collapsed="false">
      <c r="A343" s="10" t="s">
        <v>2196</v>
      </c>
      <c r="B343" s="12" t="n">
        <f aca="false">COUNTIF(選手一覧!$C$7:$C$2738,A343)</f>
        <v>3</v>
      </c>
      <c r="C343" s="14" t="n">
        <f aca="false">COUNTIFS(選手一覧!$C$7:$C$2738,A343,選手一覧!$K$7:$K$2738,"&lt;=100")</f>
        <v>0</v>
      </c>
      <c r="D343" s="14" t="n">
        <f aca="false">COUNTIFS(選手一覧!$C$7:$C$2738,A343,選手一覧!$E$7:$E$2738,"&lt;=100")</f>
        <v>0</v>
      </c>
      <c r="E343" s="14" t="n">
        <f aca="false">COUNTIFS(選手一覧!$C$7:$C$2738,A343,選手一覧!$G$7:$G$2738,"&lt;=100")</f>
        <v>0</v>
      </c>
      <c r="F343" s="14" t="n">
        <f aca="false">COUNTIFS(選手一覧!$C$7:$C$2738,A343,選手一覧!$I$7:$I$2738,"&lt;=100")</f>
        <v>0</v>
      </c>
      <c r="G343" s="13" t="n">
        <f aca="false">_xlfn.MINIFS(選手一覧!$K$7:$K$2738,選手一覧!$C$7:$C$2738,A343)</f>
        <v>723</v>
      </c>
      <c r="H343" s="16"/>
    </row>
    <row r="344" customFormat="false" ht="15" hidden="false" customHeight="false" outlineLevel="0" collapsed="false">
      <c r="A344" s="10" t="s">
        <v>2229</v>
      </c>
      <c r="B344" s="12" t="n">
        <f aca="false">COUNTIF(選手一覧!$C$7:$C$2738,A344)</f>
        <v>3</v>
      </c>
      <c r="C344" s="14" t="n">
        <f aca="false">COUNTIFS(選手一覧!$C$7:$C$2738,A344,選手一覧!$K$7:$K$2738,"&lt;=100")</f>
        <v>0</v>
      </c>
      <c r="D344" s="14" t="n">
        <f aca="false">COUNTIFS(選手一覧!$C$7:$C$2738,A344,選手一覧!$E$7:$E$2738,"&lt;=100")</f>
        <v>0</v>
      </c>
      <c r="E344" s="14" t="n">
        <f aca="false">COUNTIFS(選手一覧!$C$7:$C$2738,A344,選手一覧!$G$7:$G$2738,"&lt;=100")</f>
        <v>0</v>
      </c>
      <c r="F344" s="14" t="n">
        <f aca="false">COUNTIFS(選手一覧!$C$7:$C$2738,A344,選手一覧!$I$7:$I$2738,"&lt;=100")</f>
        <v>0</v>
      </c>
      <c r="G344" s="13" t="n">
        <f aca="false">_xlfn.MINIFS(選手一覧!$K$7:$K$2738,選手一覧!$C$7:$C$2738,A344)</f>
        <v>736</v>
      </c>
      <c r="H344" s="16"/>
    </row>
    <row r="345" customFormat="false" ht="15" hidden="false" customHeight="false" outlineLevel="0" collapsed="false">
      <c r="A345" s="10" t="s">
        <v>2283</v>
      </c>
      <c r="B345" s="12" t="n">
        <f aca="false">COUNTIF(選手一覧!$C$7:$C$2738,A345)</f>
        <v>3</v>
      </c>
      <c r="C345" s="14" t="n">
        <f aca="false">COUNTIFS(選手一覧!$C$7:$C$2738,A345,選手一覧!$K$7:$K$2738,"&lt;=100")</f>
        <v>0</v>
      </c>
      <c r="D345" s="14" t="n">
        <f aca="false">COUNTIFS(選手一覧!$C$7:$C$2738,A345,選手一覧!$E$7:$E$2738,"&lt;=100")</f>
        <v>0</v>
      </c>
      <c r="E345" s="14" t="n">
        <f aca="false">COUNTIFS(選手一覧!$C$7:$C$2738,A345,選手一覧!$G$7:$G$2738,"&lt;=100")</f>
        <v>0</v>
      </c>
      <c r="F345" s="14" t="n">
        <f aca="false">COUNTIFS(選手一覧!$C$7:$C$2738,A345,選手一覧!$I$7:$I$2738,"&lt;=100")</f>
        <v>0</v>
      </c>
      <c r="G345" s="13" t="n">
        <f aca="false">_xlfn.MINIFS(選手一覧!$K$7:$K$2738,選手一覧!$C$7:$C$2738,A345)</f>
        <v>752</v>
      </c>
      <c r="H345" s="16"/>
    </row>
    <row r="346" customFormat="false" ht="15" hidden="false" customHeight="false" outlineLevel="0" collapsed="false">
      <c r="A346" s="10" t="s">
        <v>2285</v>
      </c>
      <c r="B346" s="12" t="n">
        <f aca="false">COUNTIF(選手一覧!$C$7:$C$2738,A346)</f>
        <v>3</v>
      </c>
      <c r="C346" s="14" t="n">
        <f aca="false">COUNTIFS(選手一覧!$C$7:$C$2738,A346,選手一覧!$K$7:$K$2738,"&lt;=100")</f>
        <v>0</v>
      </c>
      <c r="D346" s="14" t="n">
        <f aca="false">COUNTIFS(選手一覧!$C$7:$C$2738,A346,選手一覧!$E$7:$E$2738,"&lt;=100")</f>
        <v>0</v>
      </c>
      <c r="E346" s="14" t="n">
        <f aca="false">COUNTIFS(選手一覧!$C$7:$C$2738,A346,選手一覧!$G$7:$G$2738,"&lt;=100")</f>
        <v>0</v>
      </c>
      <c r="F346" s="14" t="n">
        <f aca="false">COUNTIFS(選手一覧!$C$7:$C$2738,A346,選手一覧!$I$7:$I$2738,"&lt;=100")</f>
        <v>0</v>
      </c>
      <c r="G346" s="13" t="n">
        <f aca="false">_xlfn.MINIFS(選手一覧!$K$7:$K$2738,選手一覧!$C$7:$C$2738,A346)</f>
        <v>752</v>
      </c>
      <c r="H346" s="16"/>
    </row>
    <row r="347" customFormat="false" ht="15" hidden="false" customHeight="false" outlineLevel="0" collapsed="false">
      <c r="A347" s="10" t="s">
        <v>2288</v>
      </c>
      <c r="B347" s="12" t="n">
        <f aca="false">COUNTIF(選手一覧!$C$7:$C$2738,A347)</f>
        <v>3</v>
      </c>
      <c r="C347" s="14" t="n">
        <f aca="false">COUNTIFS(選手一覧!$C$7:$C$2738,A347,選手一覧!$K$7:$K$2738,"&lt;=100")</f>
        <v>0</v>
      </c>
      <c r="D347" s="14" t="n">
        <f aca="false">COUNTIFS(選手一覧!$C$7:$C$2738,A347,選手一覧!$E$7:$E$2738,"&lt;=100")</f>
        <v>0</v>
      </c>
      <c r="E347" s="14" t="n">
        <f aca="false">COUNTIFS(選手一覧!$C$7:$C$2738,A347,選手一覧!$G$7:$G$2738,"&lt;=100")</f>
        <v>0</v>
      </c>
      <c r="F347" s="14" t="n">
        <f aca="false">COUNTIFS(選手一覧!$C$7:$C$2738,A347,選手一覧!$I$7:$I$2738,"&lt;=100")</f>
        <v>0</v>
      </c>
      <c r="G347" s="13" t="n">
        <f aca="false">_xlfn.MINIFS(選手一覧!$K$7:$K$2738,選手一覧!$C$7:$C$2738,A347)</f>
        <v>753</v>
      </c>
      <c r="H347" s="16"/>
    </row>
    <row r="348" customFormat="false" ht="15" hidden="false" customHeight="false" outlineLevel="0" collapsed="false">
      <c r="A348" s="10" t="s">
        <v>2398</v>
      </c>
      <c r="B348" s="12" t="n">
        <f aca="false">COUNTIF(選手一覧!$C$7:$C$2738,A348)</f>
        <v>3</v>
      </c>
      <c r="C348" s="14" t="n">
        <f aca="false">COUNTIFS(選手一覧!$C$7:$C$2738,A348,選手一覧!$K$7:$K$2738,"&lt;=100")</f>
        <v>0</v>
      </c>
      <c r="D348" s="14" t="n">
        <f aca="false">COUNTIFS(選手一覧!$C$7:$C$2738,A348,選手一覧!$E$7:$E$2738,"&lt;=100")</f>
        <v>0</v>
      </c>
      <c r="E348" s="14" t="n">
        <f aca="false">COUNTIFS(選手一覧!$C$7:$C$2738,A348,選手一覧!$G$7:$G$2738,"&lt;=100")</f>
        <v>0</v>
      </c>
      <c r="F348" s="14" t="n">
        <f aca="false">COUNTIFS(選手一覧!$C$7:$C$2738,A348,選手一覧!$I$7:$I$2738,"&lt;=100")</f>
        <v>0</v>
      </c>
      <c r="G348" s="13" t="n">
        <f aca="false">_xlfn.MINIFS(選手一覧!$K$7:$K$2738,選手一覧!$C$7:$C$2738,A348)</f>
        <v>796</v>
      </c>
      <c r="H348" s="16"/>
    </row>
    <row r="349" customFormat="false" ht="15" hidden="false" customHeight="false" outlineLevel="0" collapsed="false">
      <c r="A349" s="10" t="s">
        <v>2427</v>
      </c>
      <c r="B349" s="12" t="n">
        <f aca="false">COUNTIF(選手一覧!$C$7:$C$2738,A349)</f>
        <v>3</v>
      </c>
      <c r="C349" s="14" t="n">
        <f aca="false">COUNTIFS(選手一覧!$C$7:$C$2738,A349,選手一覧!$K$7:$K$2738,"&lt;=100")</f>
        <v>0</v>
      </c>
      <c r="D349" s="14" t="n">
        <f aca="false">COUNTIFS(選手一覧!$C$7:$C$2738,A349,選手一覧!$E$7:$E$2738,"&lt;=100")</f>
        <v>0</v>
      </c>
      <c r="E349" s="14" t="n">
        <f aca="false">COUNTIFS(選手一覧!$C$7:$C$2738,A349,選手一覧!$G$7:$G$2738,"&lt;=100")</f>
        <v>0</v>
      </c>
      <c r="F349" s="14" t="n">
        <f aca="false">COUNTIFS(選手一覧!$C$7:$C$2738,A349,選手一覧!$I$7:$I$2738,"&lt;=100")</f>
        <v>0</v>
      </c>
      <c r="G349" s="13" t="n">
        <f aca="false">_xlfn.MINIFS(選手一覧!$K$7:$K$2738,選手一覧!$C$7:$C$2738,A349)</f>
        <v>807</v>
      </c>
      <c r="H349" s="16"/>
    </row>
    <row r="350" customFormat="false" ht="15" hidden="false" customHeight="false" outlineLevel="0" collapsed="false">
      <c r="A350" s="10" t="s">
        <v>2442</v>
      </c>
      <c r="B350" s="12" t="n">
        <f aca="false">COUNTIF(選手一覧!$C$7:$C$2738,A350)</f>
        <v>3</v>
      </c>
      <c r="C350" s="14" t="n">
        <f aca="false">COUNTIFS(選手一覧!$C$7:$C$2738,A350,選手一覧!$K$7:$K$2738,"&lt;=100")</f>
        <v>0</v>
      </c>
      <c r="D350" s="14" t="n">
        <f aca="false">COUNTIFS(選手一覧!$C$7:$C$2738,A350,選手一覧!$E$7:$E$2738,"&lt;=100")</f>
        <v>0</v>
      </c>
      <c r="E350" s="14" t="n">
        <f aca="false">COUNTIFS(選手一覧!$C$7:$C$2738,A350,選手一覧!$G$7:$G$2738,"&lt;=100")</f>
        <v>0</v>
      </c>
      <c r="F350" s="14" t="n">
        <f aca="false">COUNTIFS(選手一覧!$C$7:$C$2738,A350,選手一覧!$I$7:$I$2738,"&lt;=100")</f>
        <v>0</v>
      </c>
      <c r="G350" s="13" t="n">
        <f aca="false">_xlfn.MINIFS(選手一覧!$K$7:$K$2738,選手一覧!$C$7:$C$2738,A350)</f>
        <v>813</v>
      </c>
      <c r="H350" s="16"/>
    </row>
    <row r="351" customFormat="false" ht="15" hidden="false" customHeight="false" outlineLevel="0" collapsed="false">
      <c r="A351" s="10" t="s">
        <v>2457</v>
      </c>
      <c r="B351" s="12" t="n">
        <f aca="false">COUNTIF(選手一覧!$C$7:$C$2738,A351)</f>
        <v>3</v>
      </c>
      <c r="C351" s="14" t="n">
        <f aca="false">COUNTIFS(選手一覧!$C$7:$C$2738,A351,選手一覧!$K$7:$K$2738,"&lt;=100")</f>
        <v>0</v>
      </c>
      <c r="D351" s="14" t="n">
        <f aca="false">COUNTIFS(選手一覧!$C$7:$C$2738,A351,選手一覧!$E$7:$E$2738,"&lt;=100")</f>
        <v>0</v>
      </c>
      <c r="E351" s="14" t="n">
        <f aca="false">COUNTIFS(選手一覧!$C$7:$C$2738,A351,選手一覧!$G$7:$G$2738,"&lt;=100")</f>
        <v>0</v>
      </c>
      <c r="F351" s="14" t="n">
        <f aca="false">COUNTIFS(選手一覧!$C$7:$C$2738,A351,選手一覧!$I$7:$I$2738,"&lt;=100")</f>
        <v>0</v>
      </c>
      <c r="G351" s="13" t="n">
        <f aca="false">_xlfn.MINIFS(選手一覧!$K$7:$K$2738,選手一覧!$C$7:$C$2738,A351)</f>
        <v>818</v>
      </c>
      <c r="H351" s="16"/>
    </row>
    <row r="352" customFormat="false" ht="15" hidden="false" customHeight="false" outlineLevel="0" collapsed="false">
      <c r="A352" s="10" t="s">
        <v>2553</v>
      </c>
      <c r="B352" s="12" t="n">
        <f aca="false">COUNTIF(選手一覧!$C$7:$C$2738,A352)</f>
        <v>3</v>
      </c>
      <c r="C352" s="14" t="n">
        <f aca="false">COUNTIFS(選手一覧!$C$7:$C$2738,A352,選手一覧!$K$7:$K$2738,"&lt;=100")</f>
        <v>0</v>
      </c>
      <c r="D352" s="14" t="n">
        <f aca="false">COUNTIFS(選手一覧!$C$7:$C$2738,A352,選手一覧!$E$7:$E$2738,"&lt;=100")</f>
        <v>0</v>
      </c>
      <c r="E352" s="14" t="n">
        <f aca="false">COUNTIFS(選手一覧!$C$7:$C$2738,A352,選手一覧!$G$7:$G$2738,"&lt;=100")</f>
        <v>0</v>
      </c>
      <c r="F352" s="14" t="n">
        <f aca="false">COUNTIFS(選手一覧!$C$7:$C$2738,A352,選手一覧!$I$7:$I$2738,"&lt;=100")</f>
        <v>0</v>
      </c>
      <c r="G352" s="13" t="n">
        <f aca="false">_xlfn.MINIFS(選手一覧!$K$7:$K$2738,選手一覧!$C$7:$C$2738,A352)</f>
        <v>851</v>
      </c>
      <c r="H352" s="16"/>
    </row>
    <row r="353" customFormat="false" ht="15" hidden="false" customHeight="false" outlineLevel="0" collapsed="false">
      <c r="A353" s="10" t="s">
        <v>2606</v>
      </c>
      <c r="B353" s="12" t="n">
        <f aca="false">COUNTIF(選手一覧!$C$7:$C$2738,A353)</f>
        <v>3</v>
      </c>
      <c r="C353" s="14" t="n">
        <f aca="false">COUNTIFS(選手一覧!$C$7:$C$2738,A353,選手一覧!$K$7:$K$2738,"&lt;=100")</f>
        <v>0</v>
      </c>
      <c r="D353" s="14" t="n">
        <f aca="false">COUNTIFS(選手一覧!$C$7:$C$2738,A353,選手一覧!$E$7:$E$2738,"&lt;=100")</f>
        <v>0</v>
      </c>
      <c r="E353" s="14" t="n">
        <f aca="false">COUNTIFS(選手一覧!$C$7:$C$2738,A353,選手一覧!$G$7:$G$2738,"&lt;=100")</f>
        <v>0</v>
      </c>
      <c r="F353" s="14" t="n">
        <f aca="false">COUNTIFS(選手一覧!$C$7:$C$2738,A353,選手一覧!$I$7:$I$2738,"&lt;=100")</f>
        <v>0</v>
      </c>
      <c r="G353" s="13" t="n">
        <f aca="false">_xlfn.MINIFS(選手一覧!$K$7:$K$2738,選手一覧!$C$7:$C$2738,A353)</f>
        <v>874</v>
      </c>
      <c r="H353" s="16"/>
    </row>
    <row r="354" customFormat="false" ht="15" hidden="false" customHeight="false" outlineLevel="0" collapsed="false">
      <c r="A354" s="10" t="s">
        <v>2638</v>
      </c>
      <c r="B354" s="12" t="n">
        <f aca="false">COUNTIF(選手一覧!$C$7:$C$2738,A354)</f>
        <v>3</v>
      </c>
      <c r="C354" s="14" t="n">
        <f aca="false">COUNTIFS(選手一覧!$C$7:$C$2738,A354,選手一覧!$K$7:$K$2738,"&lt;=100")</f>
        <v>0</v>
      </c>
      <c r="D354" s="14" t="n">
        <f aca="false">COUNTIFS(選手一覧!$C$7:$C$2738,A354,選手一覧!$E$7:$E$2738,"&lt;=100")</f>
        <v>0</v>
      </c>
      <c r="E354" s="14" t="n">
        <f aca="false">COUNTIFS(選手一覧!$C$7:$C$2738,A354,選手一覧!$G$7:$G$2738,"&lt;=100")</f>
        <v>0</v>
      </c>
      <c r="F354" s="14" t="n">
        <f aca="false">COUNTIFS(選手一覧!$C$7:$C$2738,A354,選手一覧!$I$7:$I$2738,"&lt;=100")</f>
        <v>0</v>
      </c>
      <c r="G354" s="13" t="n">
        <f aca="false">_xlfn.MINIFS(選手一覧!$K$7:$K$2738,選手一覧!$C$7:$C$2738,A354)</f>
        <v>885</v>
      </c>
      <c r="H354" s="16"/>
    </row>
    <row r="355" customFormat="false" ht="15" hidden="false" customHeight="false" outlineLevel="0" collapsed="false">
      <c r="A355" s="10" t="s">
        <v>2685</v>
      </c>
      <c r="B355" s="12" t="n">
        <f aca="false">COUNTIF(選手一覧!$C$7:$C$2738,A355)</f>
        <v>3</v>
      </c>
      <c r="C355" s="14" t="n">
        <f aca="false">COUNTIFS(選手一覧!$C$7:$C$2738,A355,選手一覧!$K$7:$K$2738,"&lt;=100")</f>
        <v>0</v>
      </c>
      <c r="D355" s="14" t="n">
        <f aca="false">COUNTIFS(選手一覧!$C$7:$C$2738,A355,選手一覧!$E$7:$E$2738,"&lt;=100")</f>
        <v>0</v>
      </c>
      <c r="E355" s="14" t="n">
        <f aca="false">COUNTIFS(選手一覧!$C$7:$C$2738,A355,選手一覧!$G$7:$G$2738,"&lt;=100")</f>
        <v>0</v>
      </c>
      <c r="F355" s="14" t="n">
        <f aca="false">COUNTIFS(選手一覧!$C$7:$C$2738,A355,選手一覧!$I$7:$I$2738,"&lt;=100")</f>
        <v>0</v>
      </c>
      <c r="G355" s="13" t="n">
        <f aca="false">_xlfn.MINIFS(選手一覧!$K$7:$K$2738,選手一覧!$C$7:$C$2738,A355)</f>
        <v>902</v>
      </c>
      <c r="H355" s="16"/>
    </row>
    <row r="356" customFormat="false" ht="15" hidden="false" customHeight="false" outlineLevel="0" collapsed="false">
      <c r="A356" s="10" t="s">
        <v>2954</v>
      </c>
      <c r="B356" s="12" t="n">
        <f aca="false">COUNTIF(選手一覧!$C$7:$C$2738,A356)</f>
        <v>3</v>
      </c>
      <c r="C356" s="14" t="n">
        <f aca="false">COUNTIFS(選手一覧!$C$7:$C$2738,A356,選手一覧!$K$7:$K$2738,"&lt;=100")</f>
        <v>0</v>
      </c>
      <c r="D356" s="14" t="n">
        <f aca="false">COUNTIFS(選手一覧!$C$7:$C$2738,A356,選手一覧!$E$7:$E$2738,"&lt;=100")</f>
        <v>0</v>
      </c>
      <c r="E356" s="14" t="n">
        <f aca="false">COUNTIFS(選手一覧!$C$7:$C$2738,A356,選手一覧!$G$7:$G$2738,"&lt;=100")</f>
        <v>0</v>
      </c>
      <c r="F356" s="14" t="n">
        <f aca="false">COUNTIFS(選手一覧!$C$7:$C$2738,A356,選手一覧!$I$7:$I$2738,"&lt;=100")</f>
        <v>0</v>
      </c>
      <c r="G356" s="13" t="n">
        <f aca="false">_xlfn.MINIFS(選手一覧!$K$7:$K$2738,選手一覧!$C$7:$C$2738,A356)</f>
        <v>1006</v>
      </c>
      <c r="H356" s="16"/>
    </row>
    <row r="357" customFormat="false" ht="15" hidden="false" customHeight="false" outlineLevel="0" collapsed="false">
      <c r="A357" s="10" t="s">
        <v>3143</v>
      </c>
      <c r="B357" s="12" t="n">
        <f aca="false">COUNTIF(選手一覧!$C$7:$C$2738,A357)</f>
        <v>3</v>
      </c>
      <c r="C357" s="14" t="n">
        <f aca="false">COUNTIFS(選手一覧!$C$7:$C$2738,A357,選手一覧!$K$7:$K$2738,"&lt;=100")</f>
        <v>0</v>
      </c>
      <c r="D357" s="14" t="n">
        <f aca="false">COUNTIFS(選手一覧!$C$7:$C$2738,A357,選手一覧!$E$7:$E$2738,"&lt;=100")</f>
        <v>0</v>
      </c>
      <c r="E357" s="14" t="n">
        <f aca="false">COUNTIFS(選手一覧!$C$7:$C$2738,A357,選手一覧!$G$7:$G$2738,"&lt;=100")</f>
        <v>0</v>
      </c>
      <c r="F357" s="14" t="n">
        <f aca="false">COUNTIFS(選手一覧!$C$7:$C$2738,A357,選手一覧!$I$7:$I$2738,"&lt;=100")</f>
        <v>0</v>
      </c>
      <c r="G357" s="13" t="n">
        <f aca="false">_xlfn.MINIFS(選手一覧!$K$7:$K$2738,選手一覧!$C$7:$C$2738,A357)</f>
        <v>1078</v>
      </c>
      <c r="H357" s="16"/>
    </row>
    <row r="358" customFormat="false" ht="15" hidden="false" customHeight="false" outlineLevel="0" collapsed="false">
      <c r="A358" s="10" t="s">
        <v>3318</v>
      </c>
      <c r="B358" s="12" t="n">
        <f aca="false">COUNTIF(選手一覧!$C$7:$C$2738,A358)</f>
        <v>3</v>
      </c>
      <c r="C358" s="14" t="n">
        <f aca="false">COUNTIFS(選手一覧!$C$7:$C$2738,A358,選手一覧!$K$7:$K$2738,"&lt;=100")</f>
        <v>0</v>
      </c>
      <c r="D358" s="14" t="n">
        <f aca="false">COUNTIFS(選手一覧!$C$7:$C$2738,A358,選手一覧!$E$7:$E$2738,"&lt;=100")</f>
        <v>0</v>
      </c>
      <c r="E358" s="14" t="n">
        <f aca="false">COUNTIFS(選手一覧!$C$7:$C$2738,A358,選手一覧!$G$7:$G$2738,"&lt;=100")</f>
        <v>0</v>
      </c>
      <c r="F358" s="14" t="n">
        <f aca="false">COUNTIFS(選手一覧!$C$7:$C$2738,A358,選手一覧!$I$7:$I$2738,"&lt;=100")</f>
        <v>0</v>
      </c>
      <c r="G358" s="13" t="n">
        <f aca="false">_xlfn.MINIFS(選手一覧!$K$7:$K$2738,選手一覧!$C$7:$C$2738,A358)</f>
        <v>1148</v>
      </c>
      <c r="H358" s="16"/>
    </row>
    <row r="359" customFormat="false" ht="15" hidden="false" customHeight="false" outlineLevel="0" collapsed="false">
      <c r="A359" s="10" t="s">
        <v>3480</v>
      </c>
      <c r="B359" s="12" t="n">
        <f aca="false">COUNTIF(選手一覧!$C$7:$C$2738,A359)</f>
        <v>3</v>
      </c>
      <c r="C359" s="14" t="n">
        <f aca="false">COUNTIFS(選手一覧!$C$7:$C$2738,A359,選手一覧!$K$7:$K$2738,"&lt;=100")</f>
        <v>0</v>
      </c>
      <c r="D359" s="14" t="n">
        <f aca="false">COUNTIFS(選手一覧!$C$7:$C$2738,A359,選手一覧!$E$7:$E$2738,"&lt;=100")</f>
        <v>0</v>
      </c>
      <c r="E359" s="14" t="n">
        <f aca="false">COUNTIFS(選手一覧!$C$7:$C$2738,A359,選手一覧!$G$7:$G$2738,"&lt;=100")</f>
        <v>0</v>
      </c>
      <c r="F359" s="14" t="n">
        <f aca="false">COUNTIFS(選手一覧!$C$7:$C$2738,A359,選手一覧!$I$7:$I$2738,"&lt;=100")</f>
        <v>0</v>
      </c>
      <c r="G359" s="13" t="n">
        <f aca="false">_xlfn.MINIFS(選手一覧!$K$7:$K$2738,選手一覧!$C$7:$C$2738,A359)</f>
        <v>1208</v>
      </c>
      <c r="H359" s="16"/>
    </row>
    <row r="360" customFormat="false" ht="15" hidden="false" customHeight="false" outlineLevel="0" collapsed="false">
      <c r="A360" s="10" t="s">
        <v>3547</v>
      </c>
      <c r="B360" s="12" t="n">
        <f aca="false">COUNTIF(選手一覧!$C$7:$C$2738,A360)</f>
        <v>3</v>
      </c>
      <c r="C360" s="14" t="n">
        <f aca="false">COUNTIFS(選手一覧!$C$7:$C$2738,A360,選手一覧!$K$7:$K$2738,"&lt;=100")</f>
        <v>0</v>
      </c>
      <c r="D360" s="14" t="n">
        <f aca="false">COUNTIFS(選手一覧!$C$7:$C$2738,A360,選手一覧!$E$7:$E$2738,"&lt;=100")</f>
        <v>0</v>
      </c>
      <c r="E360" s="14" t="n">
        <f aca="false">COUNTIFS(選手一覧!$C$7:$C$2738,A360,選手一覧!$G$7:$G$2738,"&lt;=100")</f>
        <v>0</v>
      </c>
      <c r="F360" s="14" t="n">
        <f aca="false">COUNTIFS(選手一覧!$C$7:$C$2738,A360,選手一覧!$I$7:$I$2738,"&lt;=100")</f>
        <v>0</v>
      </c>
      <c r="G360" s="13" t="n">
        <f aca="false">_xlfn.MINIFS(選手一覧!$K$7:$K$2738,選手一覧!$C$7:$C$2738,A360)</f>
        <v>1234</v>
      </c>
      <c r="H360" s="16"/>
    </row>
    <row r="361" customFormat="false" ht="15" hidden="false" customHeight="false" outlineLevel="0" collapsed="false">
      <c r="A361" s="10" t="s">
        <v>420</v>
      </c>
      <c r="B361" s="12" t="n">
        <f aca="false">COUNTIF(選手一覧!$C$7:$C$2738,A361)</f>
        <v>2</v>
      </c>
      <c r="C361" s="14" t="n">
        <f aca="false">COUNTIFS(選手一覧!$C$7:$C$2738,A361,選手一覧!$K$7:$K$2738,"&lt;=100")</f>
        <v>0</v>
      </c>
      <c r="D361" s="14" t="n">
        <f aca="false">COUNTIFS(選手一覧!$C$7:$C$2738,A361,選手一覧!$E$7:$E$2738,"&lt;=100")</f>
        <v>0</v>
      </c>
      <c r="E361" s="14" t="n">
        <f aca="false">COUNTIFS(選手一覧!$C$7:$C$2738,A361,選手一覧!$G$7:$G$2738,"&lt;=100")</f>
        <v>0</v>
      </c>
      <c r="F361" s="14" t="n">
        <f aca="false">COUNTIFS(選手一覧!$C$7:$C$2738,A361,選手一覧!$I$7:$I$2738,"&lt;=100")</f>
        <v>0</v>
      </c>
      <c r="G361" s="13" t="n">
        <f aca="false">_xlfn.MINIFS(選手一覧!$K$7:$K$2738,選手一覧!$C$7:$C$2738,A361)</f>
        <v>106</v>
      </c>
      <c r="H361" s="16"/>
    </row>
    <row r="362" customFormat="false" ht="15" hidden="false" customHeight="false" outlineLevel="0" collapsed="false">
      <c r="A362" s="10" t="s">
        <v>434</v>
      </c>
      <c r="B362" s="12" t="n">
        <f aca="false">COUNTIF(選手一覧!$C$7:$C$2738,A362)</f>
        <v>2</v>
      </c>
      <c r="C362" s="14" t="n">
        <f aca="false">COUNTIFS(選手一覧!$C$7:$C$2738,A362,選手一覧!$K$7:$K$2738,"&lt;=100")</f>
        <v>0</v>
      </c>
      <c r="D362" s="14" t="n">
        <f aca="false">COUNTIFS(選手一覧!$C$7:$C$2738,A362,選手一覧!$E$7:$E$2738,"&lt;=100")</f>
        <v>0</v>
      </c>
      <c r="E362" s="14" t="n">
        <f aca="false">COUNTIFS(選手一覧!$C$7:$C$2738,A362,選手一覧!$G$7:$G$2738,"&lt;=100")</f>
        <v>0</v>
      </c>
      <c r="F362" s="14" t="n">
        <f aca="false">COUNTIFS(選手一覧!$C$7:$C$2738,A362,選手一覧!$I$7:$I$2738,"&lt;=100")</f>
        <v>0</v>
      </c>
      <c r="G362" s="13" t="n">
        <f aca="false">_xlfn.MINIFS(選手一覧!$K$7:$K$2738,選手一覧!$C$7:$C$2738,A362)</f>
        <v>110</v>
      </c>
      <c r="H362" s="16"/>
    </row>
    <row r="363" customFormat="false" ht="15" hidden="false" customHeight="false" outlineLevel="0" collapsed="false">
      <c r="A363" s="10" t="s">
        <v>490</v>
      </c>
      <c r="B363" s="12" t="n">
        <f aca="false">COUNTIF(選手一覧!$C$7:$C$2738,A363)</f>
        <v>2</v>
      </c>
      <c r="C363" s="14" t="n">
        <f aca="false">COUNTIFS(選手一覧!$C$7:$C$2738,A363,選手一覧!$K$7:$K$2738,"&lt;=100")</f>
        <v>0</v>
      </c>
      <c r="D363" s="14" t="n">
        <f aca="false">COUNTIFS(選手一覧!$C$7:$C$2738,A363,選手一覧!$E$7:$E$2738,"&lt;=100")</f>
        <v>0</v>
      </c>
      <c r="E363" s="14" t="n">
        <f aca="false">COUNTIFS(選手一覧!$C$7:$C$2738,A363,選手一覧!$G$7:$G$2738,"&lt;=100")</f>
        <v>0</v>
      </c>
      <c r="F363" s="14" t="n">
        <f aca="false">COUNTIFS(選手一覧!$C$7:$C$2738,A363,選手一覧!$I$7:$I$2738,"&lt;=100")</f>
        <v>0</v>
      </c>
      <c r="G363" s="13" t="n">
        <f aca="false">_xlfn.MINIFS(選手一覧!$K$7:$K$2738,選手一覧!$C$7:$C$2738,A363)</f>
        <v>125</v>
      </c>
      <c r="H363" s="16"/>
    </row>
    <row r="364" customFormat="false" ht="15" hidden="false" customHeight="false" outlineLevel="0" collapsed="false">
      <c r="A364" s="10" t="s">
        <v>513</v>
      </c>
      <c r="B364" s="12" t="n">
        <f aca="false">COUNTIF(選手一覧!$C$7:$C$2738,A364)</f>
        <v>2</v>
      </c>
      <c r="C364" s="14" t="n">
        <f aca="false">COUNTIFS(選手一覧!$C$7:$C$2738,A364,選手一覧!$K$7:$K$2738,"&lt;=100")</f>
        <v>0</v>
      </c>
      <c r="D364" s="14" t="n">
        <f aca="false">COUNTIFS(選手一覧!$C$7:$C$2738,A364,選手一覧!$E$7:$E$2738,"&lt;=100")</f>
        <v>0</v>
      </c>
      <c r="E364" s="14" t="n">
        <f aca="false">COUNTIFS(選手一覧!$C$7:$C$2738,A364,選手一覧!$G$7:$G$2738,"&lt;=100")</f>
        <v>0</v>
      </c>
      <c r="F364" s="14" t="n">
        <f aca="false">COUNTIFS(選手一覧!$C$7:$C$2738,A364,選手一覧!$I$7:$I$2738,"&lt;=100")</f>
        <v>0</v>
      </c>
      <c r="G364" s="13" t="n">
        <f aca="false">_xlfn.MINIFS(選手一覧!$K$7:$K$2738,選手一覧!$C$7:$C$2738,A364)</f>
        <v>131</v>
      </c>
      <c r="H364" s="16"/>
    </row>
    <row r="365" customFormat="false" ht="15" hidden="false" customHeight="false" outlineLevel="0" collapsed="false">
      <c r="A365" s="10" t="s">
        <v>529</v>
      </c>
      <c r="B365" s="12" t="n">
        <f aca="false">COUNTIF(選手一覧!$C$7:$C$2738,A365)</f>
        <v>2</v>
      </c>
      <c r="C365" s="14" t="n">
        <f aca="false">COUNTIFS(選手一覧!$C$7:$C$2738,A365,選手一覧!$K$7:$K$2738,"&lt;=100")</f>
        <v>0</v>
      </c>
      <c r="D365" s="14" t="n">
        <f aca="false">COUNTIFS(選手一覧!$C$7:$C$2738,A365,選手一覧!$E$7:$E$2738,"&lt;=100")</f>
        <v>0</v>
      </c>
      <c r="E365" s="14" t="n">
        <f aca="false">COUNTIFS(選手一覧!$C$7:$C$2738,A365,選手一覧!$G$7:$G$2738,"&lt;=100")</f>
        <v>0</v>
      </c>
      <c r="F365" s="14" t="n">
        <f aca="false">COUNTIFS(選手一覧!$C$7:$C$2738,A365,選手一覧!$I$7:$I$2738,"&lt;=100")</f>
        <v>0</v>
      </c>
      <c r="G365" s="13" t="n">
        <f aca="false">_xlfn.MINIFS(選手一覧!$K$7:$K$2738,選手一覧!$C$7:$C$2738,A365)</f>
        <v>136</v>
      </c>
      <c r="H365" s="16"/>
    </row>
    <row r="366" customFormat="false" ht="15" hidden="false" customHeight="false" outlineLevel="0" collapsed="false">
      <c r="A366" s="10" t="s">
        <v>543</v>
      </c>
      <c r="B366" s="12" t="n">
        <f aca="false">COUNTIF(選手一覧!$C$7:$C$2738,A366)</f>
        <v>2</v>
      </c>
      <c r="C366" s="14" t="n">
        <f aca="false">COUNTIFS(選手一覧!$C$7:$C$2738,A366,選手一覧!$K$7:$K$2738,"&lt;=100")</f>
        <v>0</v>
      </c>
      <c r="D366" s="14" t="n">
        <f aca="false">COUNTIFS(選手一覧!$C$7:$C$2738,A366,選手一覧!$E$7:$E$2738,"&lt;=100")</f>
        <v>0</v>
      </c>
      <c r="E366" s="14" t="n">
        <f aca="false">COUNTIFS(選手一覧!$C$7:$C$2738,A366,選手一覧!$G$7:$G$2738,"&lt;=100")</f>
        <v>0</v>
      </c>
      <c r="F366" s="14" t="n">
        <f aca="false">COUNTIFS(選手一覧!$C$7:$C$2738,A366,選手一覧!$I$7:$I$2738,"&lt;=100")</f>
        <v>0</v>
      </c>
      <c r="G366" s="13" t="n">
        <f aca="false">_xlfn.MINIFS(選手一覧!$K$7:$K$2738,選手一覧!$C$7:$C$2738,A366)</f>
        <v>141</v>
      </c>
      <c r="H366" s="16"/>
    </row>
    <row r="367" customFormat="false" ht="15" hidden="false" customHeight="false" outlineLevel="0" collapsed="false">
      <c r="A367" s="10" t="s">
        <v>585</v>
      </c>
      <c r="B367" s="12" t="n">
        <f aca="false">COUNTIF(選手一覧!$C$7:$C$2738,A367)</f>
        <v>2</v>
      </c>
      <c r="C367" s="14" t="n">
        <f aca="false">COUNTIFS(選手一覧!$C$7:$C$2738,A367,選手一覧!$K$7:$K$2738,"&lt;=100")</f>
        <v>0</v>
      </c>
      <c r="D367" s="14" t="n">
        <f aca="false">COUNTIFS(選手一覧!$C$7:$C$2738,A367,選手一覧!$E$7:$E$2738,"&lt;=100")</f>
        <v>0</v>
      </c>
      <c r="E367" s="14" t="n">
        <f aca="false">COUNTIFS(選手一覧!$C$7:$C$2738,A367,選手一覧!$G$7:$G$2738,"&lt;=100")</f>
        <v>0</v>
      </c>
      <c r="F367" s="14" t="n">
        <f aca="false">COUNTIFS(選手一覧!$C$7:$C$2738,A367,選手一覧!$I$7:$I$2738,"&lt;=100")</f>
        <v>0</v>
      </c>
      <c r="G367" s="13" t="n">
        <f aca="false">_xlfn.MINIFS(選手一覧!$K$7:$K$2738,選手一覧!$C$7:$C$2738,A367)</f>
        <v>156</v>
      </c>
      <c r="H367" s="16"/>
    </row>
    <row r="368" customFormat="false" ht="15" hidden="false" customHeight="false" outlineLevel="0" collapsed="false">
      <c r="A368" s="10" t="s">
        <v>612</v>
      </c>
      <c r="B368" s="12" t="n">
        <f aca="false">COUNTIF(選手一覧!$C$7:$C$2738,A368)</f>
        <v>2</v>
      </c>
      <c r="C368" s="14" t="n">
        <f aca="false">COUNTIFS(選手一覧!$C$7:$C$2738,A368,選手一覧!$K$7:$K$2738,"&lt;=100")</f>
        <v>0</v>
      </c>
      <c r="D368" s="14" t="n">
        <f aca="false">COUNTIFS(選手一覧!$C$7:$C$2738,A368,選手一覧!$E$7:$E$2738,"&lt;=100")</f>
        <v>0</v>
      </c>
      <c r="E368" s="14" t="n">
        <f aca="false">COUNTIFS(選手一覧!$C$7:$C$2738,A368,選手一覧!$G$7:$G$2738,"&lt;=100")</f>
        <v>0</v>
      </c>
      <c r="F368" s="14" t="n">
        <f aca="false">COUNTIFS(選手一覧!$C$7:$C$2738,A368,選手一覧!$I$7:$I$2738,"&lt;=100")</f>
        <v>0</v>
      </c>
      <c r="G368" s="13" t="n">
        <f aca="false">_xlfn.MINIFS(選手一覧!$K$7:$K$2738,選手一覧!$C$7:$C$2738,A368)</f>
        <v>164</v>
      </c>
      <c r="H368" s="16"/>
    </row>
    <row r="369" customFormat="false" ht="15" hidden="false" customHeight="false" outlineLevel="0" collapsed="false">
      <c r="A369" s="10" t="s">
        <v>621</v>
      </c>
      <c r="B369" s="12" t="n">
        <f aca="false">COUNTIF(選手一覧!$C$7:$C$2738,A369)</f>
        <v>2</v>
      </c>
      <c r="C369" s="14" t="n">
        <f aca="false">COUNTIFS(選手一覧!$C$7:$C$2738,A369,選手一覧!$K$7:$K$2738,"&lt;=100")</f>
        <v>0</v>
      </c>
      <c r="D369" s="14" t="n">
        <f aca="false">COUNTIFS(選手一覧!$C$7:$C$2738,A369,選手一覧!$E$7:$E$2738,"&lt;=100")</f>
        <v>0</v>
      </c>
      <c r="E369" s="14" t="n">
        <f aca="false">COUNTIFS(選手一覧!$C$7:$C$2738,A369,選手一覧!$G$7:$G$2738,"&lt;=100")</f>
        <v>0</v>
      </c>
      <c r="F369" s="14" t="n">
        <f aca="false">COUNTIFS(選手一覧!$C$7:$C$2738,A369,選手一覧!$I$7:$I$2738,"&lt;=100")</f>
        <v>0</v>
      </c>
      <c r="G369" s="13" t="n">
        <f aca="false">_xlfn.MINIFS(選手一覧!$K$7:$K$2738,選手一覧!$C$7:$C$2738,A369)</f>
        <v>166</v>
      </c>
      <c r="H369" s="16"/>
    </row>
    <row r="370" customFormat="false" ht="15" hidden="false" customHeight="false" outlineLevel="0" collapsed="false">
      <c r="A370" s="10" t="s">
        <v>630</v>
      </c>
      <c r="B370" s="12" t="n">
        <f aca="false">COUNTIF(選手一覧!$C$7:$C$2738,A370)</f>
        <v>2</v>
      </c>
      <c r="C370" s="14" t="n">
        <f aca="false">COUNTIFS(選手一覧!$C$7:$C$2738,A370,選手一覧!$K$7:$K$2738,"&lt;=100")</f>
        <v>0</v>
      </c>
      <c r="D370" s="14" t="n">
        <f aca="false">COUNTIFS(選手一覧!$C$7:$C$2738,A370,選手一覧!$E$7:$E$2738,"&lt;=100")</f>
        <v>0</v>
      </c>
      <c r="E370" s="14" t="n">
        <f aca="false">COUNTIFS(選手一覧!$C$7:$C$2738,A370,選手一覧!$G$7:$G$2738,"&lt;=100")</f>
        <v>0</v>
      </c>
      <c r="F370" s="14" t="n">
        <f aca="false">COUNTIFS(選手一覧!$C$7:$C$2738,A370,選手一覧!$I$7:$I$2738,"&lt;=100")</f>
        <v>0</v>
      </c>
      <c r="G370" s="13" t="n">
        <f aca="false">_xlfn.MINIFS(選手一覧!$K$7:$K$2738,選手一覧!$C$7:$C$2738,A370)</f>
        <v>168</v>
      </c>
      <c r="H370" s="16"/>
    </row>
    <row r="371" customFormat="false" ht="15" hidden="false" customHeight="false" outlineLevel="0" collapsed="false">
      <c r="A371" s="10" t="s">
        <v>645</v>
      </c>
      <c r="B371" s="12" t="n">
        <f aca="false">COUNTIF(選手一覧!$C$7:$C$2738,A371)</f>
        <v>2</v>
      </c>
      <c r="C371" s="14" t="n">
        <f aca="false">COUNTIFS(選手一覧!$C$7:$C$2738,A371,選手一覧!$K$7:$K$2738,"&lt;=100")</f>
        <v>0</v>
      </c>
      <c r="D371" s="14" t="n">
        <f aca="false">COUNTIFS(選手一覧!$C$7:$C$2738,A371,選手一覧!$E$7:$E$2738,"&lt;=100")</f>
        <v>0</v>
      </c>
      <c r="E371" s="14" t="n">
        <f aca="false">COUNTIFS(選手一覧!$C$7:$C$2738,A371,選手一覧!$G$7:$G$2738,"&lt;=100")</f>
        <v>0</v>
      </c>
      <c r="F371" s="14" t="n">
        <f aca="false">COUNTIFS(選手一覧!$C$7:$C$2738,A371,選手一覧!$I$7:$I$2738,"&lt;=100")</f>
        <v>0</v>
      </c>
      <c r="G371" s="13" t="n">
        <f aca="false">_xlfn.MINIFS(選手一覧!$K$7:$K$2738,選手一覧!$C$7:$C$2738,A371)</f>
        <v>174</v>
      </c>
      <c r="H371" s="16"/>
    </row>
    <row r="372" customFormat="false" ht="15" hidden="false" customHeight="false" outlineLevel="0" collapsed="false">
      <c r="A372" s="10" t="s">
        <v>656</v>
      </c>
      <c r="B372" s="12" t="n">
        <f aca="false">COUNTIF(選手一覧!$C$7:$C$2738,A372)</f>
        <v>2</v>
      </c>
      <c r="C372" s="14" t="n">
        <f aca="false">COUNTIFS(選手一覧!$C$7:$C$2738,A372,選手一覧!$K$7:$K$2738,"&lt;=100")</f>
        <v>0</v>
      </c>
      <c r="D372" s="14" t="n">
        <f aca="false">COUNTIFS(選手一覧!$C$7:$C$2738,A372,選手一覧!$E$7:$E$2738,"&lt;=100")</f>
        <v>0</v>
      </c>
      <c r="E372" s="14" t="n">
        <f aca="false">COUNTIFS(選手一覧!$C$7:$C$2738,A372,選手一覧!$G$7:$G$2738,"&lt;=100")</f>
        <v>0</v>
      </c>
      <c r="F372" s="14" t="n">
        <f aca="false">COUNTIFS(選手一覧!$C$7:$C$2738,A372,選手一覧!$I$7:$I$2738,"&lt;=100")</f>
        <v>0</v>
      </c>
      <c r="G372" s="13" t="n">
        <f aca="false">_xlfn.MINIFS(選手一覧!$K$7:$K$2738,選手一覧!$C$7:$C$2738,A372)</f>
        <v>176</v>
      </c>
      <c r="H372" s="16"/>
    </row>
    <row r="373" customFormat="false" ht="15" hidden="false" customHeight="false" outlineLevel="0" collapsed="false">
      <c r="A373" s="10" t="s">
        <v>667</v>
      </c>
      <c r="B373" s="12" t="n">
        <f aca="false">COUNTIF(選手一覧!$C$7:$C$2738,A373)</f>
        <v>2</v>
      </c>
      <c r="C373" s="14" t="n">
        <f aca="false">COUNTIFS(選手一覧!$C$7:$C$2738,A373,選手一覧!$K$7:$K$2738,"&lt;=100")</f>
        <v>0</v>
      </c>
      <c r="D373" s="14" t="n">
        <f aca="false">COUNTIFS(選手一覧!$C$7:$C$2738,A373,選手一覧!$E$7:$E$2738,"&lt;=100")</f>
        <v>0</v>
      </c>
      <c r="E373" s="14" t="n">
        <f aca="false">COUNTIFS(選手一覧!$C$7:$C$2738,A373,選手一覧!$G$7:$G$2738,"&lt;=100")</f>
        <v>0</v>
      </c>
      <c r="F373" s="14" t="n">
        <f aca="false">COUNTIFS(選手一覧!$C$7:$C$2738,A373,選手一覧!$I$7:$I$2738,"&lt;=100")</f>
        <v>0</v>
      </c>
      <c r="G373" s="13" t="n">
        <f aca="false">_xlfn.MINIFS(選手一覧!$K$7:$K$2738,選手一覧!$C$7:$C$2738,A373)</f>
        <v>179</v>
      </c>
      <c r="H373" s="16"/>
    </row>
    <row r="374" customFormat="false" ht="15" hidden="false" customHeight="false" outlineLevel="0" collapsed="false">
      <c r="A374" s="10" t="s">
        <v>674</v>
      </c>
      <c r="B374" s="12" t="n">
        <f aca="false">COUNTIF(選手一覧!$C$7:$C$2738,A374)</f>
        <v>2</v>
      </c>
      <c r="C374" s="14" t="n">
        <f aca="false">COUNTIFS(選手一覧!$C$7:$C$2738,A374,選手一覧!$K$7:$K$2738,"&lt;=100")</f>
        <v>0</v>
      </c>
      <c r="D374" s="14" t="n">
        <f aca="false">COUNTIFS(選手一覧!$C$7:$C$2738,A374,選手一覧!$E$7:$E$2738,"&lt;=100")</f>
        <v>0</v>
      </c>
      <c r="E374" s="14" t="n">
        <f aca="false">COUNTIFS(選手一覧!$C$7:$C$2738,A374,選手一覧!$G$7:$G$2738,"&lt;=100")</f>
        <v>0</v>
      </c>
      <c r="F374" s="14" t="n">
        <f aca="false">COUNTIFS(選手一覧!$C$7:$C$2738,A374,選手一覧!$I$7:$I$2738,"&lt;=100")</f>
        <v>0</v>
      </c>
      <c r="G374" s="13" t="n">
        <f aca="false">_xlfn.MINIFS(選手一覧!$K$7:$K$2738,選手一覧!$C$7:$C$2738,A374)</f>
        <v>181</v>
      </c>
      <c r="H374" s="16"/>
    </row>
    <row r="375" customFormat="false" ht="15" hidden="false" customHeight="false" outlineLevel="0" collapsed="false">
      <c r="A375" s="10" t="s">
        <v>717</v>
      </c>
      <c r="B375" s="12" t="n">
        <f aca="false">COUNTIF(選手一覧!$C$7:$C$2738,A375)</f>
        <v>2</v>
      </c>
      <c r="C375" s="14" t="n">
        <f aca="false">COUNTIFS(選手一覧!$C$7:$C$2738,A375,選手一覧!$K$7:$K$2738,"&lt;=100")</f>
        <v>0</v>
      </c>
      <c r="D375" s="14" t="n">
        <f aca="false">COUNTIFS(選手一覧!$C$7:$C$2738,A375,選手一覧!$E$7:$E$2738,"&lt;=100")</f>
        <v>0</v>
      </c>
      <c r="E375" s="14" t="n">
        <f aca="false">COUNTIFS(選手一覧!$C$7:$C$2738,A375,選手一覧!$G$7:$G$2738,"&lt;=100")</f>
        <v>0</v>
      </c>
      <c r="F375" s="14" t="n">
        <f aca="false">COUNTIFS(選手一覧!$C$7:$C$2738,A375,選手一覧!$I$7:$I$2738,"&lt;=100")</f>
        <v>0</v>
      </c>
      <c r="G375" s="13" t="n">
        <f aca="false">_xlfn.MINIFS(選手一覧!$K$7:$K$2738,選手一覧!$C$7:$C$2738,A375)</f>
        <v>193</v>
      </c>
      <c r="H375" s="16"/>
    </row>
    <row r="376" customFormat="false" ht="15" hidden="false" customHeight="false" outlineLevel="0" collapsed="false">
      <c r="A376" s="10" t="s">
        <v>730</v>
      </c>
      <c r="B376" s="12" t="n">
        <f aca="false">COUNTIF(選手一覧!$C$7:$C$2738,A376)</f>
        <v>2</v>
      </c>
      <c r="C376" s="14" t="n">
        <f aca="false">COUNTIFS(選手一覧!$C$7:$C$2738,A376,選手一覧!$K$7:$K$2738,"&lt;=100")</f>
        <v>0</v>
      </c>
      <c r="D376" s="14" t="n">
        <f aca="false">COUNTIFS(選手一覧!$C$7:$C$2738,A376,選手一覧!$E$7:$E$2738,"&lt;=100")</f>
        <v>0</v>
      </c>
      <c r="E376" s="14" t="n">
        <f aca="false">COUNTIFS(選手一覧!$C$7:$C$2738,A376,選手一覧!$G$7:$G$2738,"&lt;=100")</f>
        <v>0</v>
      </c>
      <c r="F376" s="14" t="n">
        <f aca="false">COUNTIFS(選手一覧!$C$7:$C$2738,A376,選手一覧!$I$7:$I$2738,"&lt;=100")</f>
        <v>0</v>
      </c>
      <c r="G376" s="13" t="n">
        <f aca="false">_xlfn.MINIFS(選手一覧!$K$7:$K$2738,選手一覧!$C$7:$C$2738,A376)</f>
        <v>197</v>
      </c>
      <c r="H376" s="16"/>
    </row>
    <row r="377" customFormat="false" ht="15" hidden="false" customHeight="false" outlineLevel="0" collapsed="false">
      <c r="A377" s="10" t="s">
        <v>733</v>
      </c>
      <c r="B377" s="12" t="n">
        <f aca="false">COUNTIF(選手一覧!$C$7:$C$2738,A377)</f>
        <v>2</v>
      </c>
      <c r="C377" s="14" t="n">
        <f aca="false">COUNTIFS(選手一覧!$C$7:$C$2738,A377,選手一覧!$K$7:$K$2738,"&lt;=100")</f>
        <v>0</v>
      </c>
      <c r="D377" s="14" t="n">
        <f aca="false">COUNTIFS(選手一覧!$C$7:$C$2738,A377,選手一覧!$E$7:$E$2738,"&lt;=100")</f>
        <v>0</v>
      </c>
      <c r="E377" s="14" t="n">
        <f aca="false">COUNTIFS(選手一覧!$C$7:$C$2738,A377,選手一覧!$G$7:$G$2738,"&lt;=100")</f>
        <v>0</v>
      </c>
      <c r="F377" s="14" t="n">
        <f aca="false">COUNTIFS(選手一覧!$C$7:$C$2738,A377,選手一覧!$I$7:$I$2738,"&lt;=100")</f>
        <v>0</v>
      </c>
      <c r="G377" s="13" t="n">
        <f aca="false">_xlfn.MINIFS(選手一覧!$K$7:$K$2738,選手一覧!$C$7:$C$2738,A377)</f>
        <v>198</v>
      </c>
      <c r="H377" s="16"/>
    </row>
    <row r="378" customFormat="false" ht="15" hidden="false" customHeight="false" outlineLevel="0" collapsed="false">
      <c r="A378" s="10" t="s">
        <v>738</v>
      </c>
      <c r="B378" s="12" t="n">
        <f aca="false">COUNTIF(選手一覧!$C$7:$C$2738,A378)</f>
        <v>2</v>
      </c>
      <c r="C378" s="14" t="n">
        <f aca="false">COUNTIFS(選手一覧!$C$7:$C$2738,A378,選手一覧!$K$7:$K$2738,"&lt;=100")</f>
        <v>0</v>
      </c>
      <c r="D378" s="14" t="n">
        <f aca="false">COUNTIFS(選手一覧!$C$7:$C$2738,A378,選手一覧!$E$7:$E$2738,"&lt;=100")</f>
        <v>0</v>
      </c>
      <c r="E378" s="14" t="n">
        <f aca="false">COUNTIFS(選手一覧!$C$7:$C$2738,A378,選手一覧!$G$7:$G$2738,"&lt;=100")</f>
        <v>0</v>
      </c>
      <c r="F378" s="14" t="n">
        <f aca="false">COUNTIFS(選手一覧!$C$7:$C$2738,A378,選手一覧!$I$7:$I$2738,"&lt;=100")</f>
        <v>0</v>
      </c>
      <c r="G378" s="13" t="n">
        <f aca="false">_xlfn.MINIFS(選手一覧!$K$7:$K$2738,選手一覧!$C$7:$C$2738,A378)</f>
        <v>200</v>
      </c>
      <c r="H378" s="16"/>
    </row>
    <row r="379" customFormat="false" ht="15" hidden="false" customHeight="false" outlineLevel="0" collapsed="false">
      <c r="A379" s="10" t="s">
        <v>746</v>
      </c>
      <c r="B379" s="12" t="n">
        <f aca="false">COUNTIF(選手一覧!$C$7:$C$2738,A379)</f>
        <v>2</v>
      </c>
      <c r="C379" s="14" t="n">
        <f aca="false">COUNTIFS(選手一覧!$C$7:$C$2738,A379,選手一覧!$K$7:$K$2738,"&lt;=100")</f>
        <v>0</v>
      </c>
      <c r="D379" s="14" t="n">
        <f aca="false">COUNTIFS(選手一覧!$C$7:$C$2738,A379,選手一覧!$E$7:$E$2738,"&lt;=100")</f>
        <v>0</v>
      </c>
      <c r="E379" s="14" t="n">
        <f aca="false">COUNTIFS(選手一覧!$C$7:$C$2738,A379,選手一覧!$G$7:$G$2738,"&lt;=100")</f>
        <v>0</v>
      </c>
      <c r="F379" s="14" t="n">
        <f aca="false">COUNTIFS(選手一覧!$C$7:$C$2738,A379,選手一覧!$I$7:$I$2738,"&lt;=100")</f>
        <v>0</v>
      </c>
      <c r="G379" s="13" t="n">
        <f aca="false">_xlfn.MINIFS(選手一覧!$K$7:$K$2738,選手一覧!$C$7:$C$2738,A379)</f>
        <v>202</v>
      </c>
      <c r="H379" s="16"/>
    </row>
    <row r="380" customFormat="false" ht="15" hidden="false" customHeight="false" outlineLevel="0" collapsed="false">
      <c r="A380" s="10" t="s">
        <v>752</v>
      </c>
      <c r="B380" s="12" t="n">
        <f aca="false">COUNTIF(選手一覧!$C$7:$C$2738,A380)</f>
        <v>2</v>
      </c>
      <c r="C380" s="14" t="n">
        <f aca="false">COUNTIFS(選手一覧!$C$7:$C$2738,A380,選手一覧!$K$7:$K$2738,"&lt;=100")</f>
        <v>0</v>
      </c>
      <c r="D380" s="14" t="n">
        <f aca="false">COUNTIFS(選手一覧!$C$7:$C$2738,A380,選手一覧!$E$7:$E$2738,"&lt;=100")</f>
        <v>0</v>
      </c>
      <c r="E380" s="14" t="n">
        <f aca="false">COUNTIFS(選手一覧!$C$7:$C$2738,A380,選手一覧!$G$7:$G$2738,"&lt;=100")</f>
        <v>0</v>
      </c>
      <c r="F380" s="14" t="n">
        <f aca="false">COUNTIFS(選手一覧!$C$7:$C$2738,A380,選手一覧!$I$7:$I$2738,"&lt;=100")</f>
        <v>0</v>
      </c>
      <c r="G380" s="13" t="n">
        <f aca="false">_xlfn.MINIFS(選手一覧!$K$7:$K$2738,選手一覧!$C$7:$C$2738,A380)</f>
        <v>204</v>
      </c>
      <c r="H380" s="16"/>
    </row>
    <row r="381" customFormat="false" ht="15" hidden="false" customHeight="false" outlineLevel="0" collapsed="false">
      <c r="A381" s="10" t="s">
        <v>756</v>
      </c>
      <c r="B381" s="12" t="n">
        <f aca="false">COUNTIF(選手一覧!$C$7:$C$2738,A381)</f>
        <v>2</v>
      </c>
      <c r="C381" s="14" t="n">
        <f aca="false">COUNTIFS(選手一覧!$C$7:$C$2738,A381,選手一覧!$K$7:$K$2738,"&lt;=100")</f>
        <v>0</v>
      </c>
      <c r="D381" s="14" t="n">
        <f aca="false">COUNTIFS(選手一覧!$C$7:$C$2738,A381,選手一覧!$E$7:$E$2738,"&lt;=100")</f>
        <v>0</v>
      </c>
      <c r="E381" s="14" t="n">
        <f aca="false">COUNTIFS(選手一覧!$C$7:$C$2738,A381,選手一覧!$G$7:$G$2738,"&lt;=100")</f>
        <v>0</v>
      </c>
      <c r="F381" s="14" t="n">
        <f aca="false">COUNTIFS(選手一覧!$C$7:$C$2738,A381,選手一覧!$I$7:$I$2738,"&lt;=100")</f>
        <v>0</v>
      </c>
      <c r="G381" s="13" t="n">
        <f aca="false">_xlfn.MINIFS(選手一覧!$K$7:$K$2738,選手一覧!$C$7:$C$2738,A381)</f>
        <v>205</v>
      </c>
      <c r="H381" s="16"/>
    </row>
    <row r="382" customFormat="false" ht="15" hidden="false" customHeight="false" outlineLevel="0" collapsed="false">
      <c r="A382" s="10" t="s">
        <v>771</v>
      </c>
      <c r="B382" s="12" t="n">
        <f aca="false">COUNTIF(選手一覧!$C$7:$C$2738,A382)</f>
        <v>2</v>
      </c>
      <c r="C382" s="14" t="n">
        <f aca="false">COUNTIFS(選手一覧!$C$7:$C$2738,A382,選手一覧!$K$7:$K$2738,"&lt;=100")</f>
        <v>0</v>
      </c>
      <c r="D382" s="14" t="n">
        <f aca="false">COUNTIFS(選手一覧!$C$7:$C$2738,A382,選手一覧!$E$7:$E$2738,"&lt;=100")</f>
        <v>0</v>
      </c>
      <c r="E382" s="14" t="n">
        <f aca="false">COUNTIFS(選手一覧!$C$7:$C$2738,A382,選手一覧!$G$7:$G$2738,"&lt;=100")</f>
        <v>0</v>
      </c>
      <c r="F382" s="14" t="n">
        <f aca="false">COUNTIFS(選手一覧!$C$7:$C$2738,A382,選手一覧!$I$7:$I$2738,"&lt;=100")</f>
        <v>0</v>
      </c>
      <c r="G382" s="13" t="n">
        <f aca="false">_xlfn.MINIFS(選手一覧!$K$7:$K$2738,選手一覧!$C$7:$C$2738,A382)</f>
        <v>209</v>
      </c>
      <c r="H382" s="16"/>
    </row>
    <row r="383" customFormat="false" ht="15" hidden="false" customHeight="false" outlineLevel="0" collapsed="false">
      <c r="A383" s="10" t="s">
        <v>783</v>
      </c>
      <c r="B383" s="12" t="n">
        <f aca="false">COUNTIF(選手一覧!$C$7:$C$2738,A383)</f>
        <v>2</v>
      </c>
      <c r="C383" s="14" t="n">
        <f aca="false">COUNTIFS(選手一覧!$C$7:$C$2738,A383,選手一覧!$K$7:$K$2738,"&lt;=100")</f>
        <v>0</v>
      </c>
      <c r="D383" s="14" t="n">
        <f aca="false">COUNTIFS(選手一覧!$C$7:$C$2738,A383,選手一覧!$E$7:$E$2738,"&lt;=100")</f>
        <v>0</v>
      </c>
      <c r="E383" s="14" t="n">
        <f aca="false">COUNTIFS(選手一覧!$C$7:$C$2738,A383,選手一覧!$G$7:$G$2738,"&lt;=100")</f>
        <v>0</v>
      </c>
      <c r="F383" s="14" t="n">
        <f aca="false">COUNTIFS(選手一覧!$C$7:$C$2738,A383,選手一覧!$I$7:$I$2738,"&lt;=100")</f>
        <v>0</v>
      </c>
      <c r="G383" s="13" t="n">
        <f aca="false">_xlfn.MINIFS(選手一覧!$K$7:$K$2738,選手一覧!$C$7:$C$2738,A383)</f>
        <v>213</v>
      </c>
      <c r="H383" s="16"/>
    </row>
    <row r="384" customFormat="false" ht="15" hidden="false" customHeight="false" outlineLevel="0" collapsed="false">
      <c r="A384" s="10" t="s">
        <v>791</v>
      </c>
      <c r="B384" s="12" t="n">
        <f aca="false">COUNTIF(選手一覧!$C$7:$C$2738,A384)</f>
        <v>2</v>
      </c>
      <c r="C384" s="14" t="n">
        <f aca="false">COUNTIFS(選手一覧!$C$7:$C$2738,A384,選手一覧!$K$7:$K$2738,"&lt;=100")</f>
        <v>0</v>
      </c>
      <c r="D384" s="14" t="n">
        <f aca="false">COUNTIFS(選手一覧!$C$7:$C$2738,A384,選手一覧!$E$7:$E$2738,"&lt;=100")</f>
        <v>0</v>
      </c>
      <c r="E384" s="14" t="n">
        <f aca="false">COUNTIFS(選手一覧!$C$7:$C$2738,A384,選手一覧!$G$7:$G$2738,"&lt;=100")</f>
        <v>0</v>
      </c>
      <c r="F384" s="14" t="n">
        <f aca="false">COUNTIFS(選手一覧!$C$7:$C$2738,A384,選手一覧!$I$7:$I$2738,"&lt;=100")</f>
        <v>0</v>
      </c>
      <c r="G384" s="13" t="n">
        <f aca="false">_xlfn.MINIFS(選手一覧!$K$7:$K$2738,選手一覧!$C$7:$C$2738,A384)</f>
        <v>216</v>
      </c>
      <c r="H384" s="16"/>
    </row>
    <row r="385" customFormat="false" ht="15" hidden="false" customHeight="false" outlineLevel="0" collapsed="false">
      <c r="A385" s="10" t="s">
        <v>797</v>
      </c>
      <c r="B385" s="12" t="n">
        <f aca="false">COUNTIF(選手一覧!$C$7:$C$2738,A385)</f>
        <v>2</v>
      </c>
      <c r="C385" s="14" t="n">
        <f aca="false">COUNTIFS(選手一覧!$C$7:$C$2738,A385,選手一覧!$K$7:$K$2738,"&lt;=100")</f>
        <v>0</v>
      </c>
      <c r="D385" s="14" t="n">
        <f aca="false">COUNTIFS(選手一覧!$C$7:$C$2738,A385,選手一覧!$E$7:$E$2738,"&lt;=100")</f>
        <v>0</v>
      </c>
      <c r="E385" s="14" t="n">
        <f aca="false">COUNTIFS(選手一覧!$C$7:$C$2738,A385,選手一覧!$G$7:$G$2738,"&lt;=100")</f>
        <v>0</v>
      </c>
      <c r="F385" s="14" t="n">
        <f aca="false">COUNTIFS(選手一覧!$C$7:$C$2738,A385,選手一覧!$I$7:$I$2738,"&lt;=100")</f>
        <v>0</v>
      </c>
      <c r="G385" s="13" t="n">
        <f aca="false">_xlfn.MINIFS(選手一覧!$K$7:$K$2738,選手一覧!$C$7:$C$2738,A385)</f>
        <v>218</v>
      </c>
      <c r="H385" s="16"/>
    </row>
    <row r="386" customFormat="false" ht="15" hidden="false" customHeight="false" outlineLevel="0" collapsed="false">
      <c r="A386" s="10" t="s">
        <v>812</v>
      </c>
      <c r="B386" s="12" t="n">
        <f aca="false">COUNTIF(選手一覧!$C$7:$C$2738,A386)</f>
        <v>2</v>
      </c>
      <c r="C386" s="14" t="n">
        <f aca="false">COUNTIFS(選手一覧!$C$7:$C$2738,A386,選手一覧!$K$7:$K$2738,"&lt;=100")</f>
        <v>0</v>
      </c>
      <c r="D386" s="14" t="n">
        <f aca="false">COUNTIFS(選手一覧!$C$7:$C$2738,A386,選手一覧!$E$7:$E$2738,"&lt;=100")</f>
        <v>0</v>
      </c>
      <c r="E386" s="14" t="n">
        <f aca="false">COUNTIFS(選手一覧!$C$7:$C$2738,A386,選手一覧!$G$7:$G$2738,"&lt;=100")</f>
        <v>0</v>
      </c>
      <c r="F386" s="14" t="n">
        <f aca="false">COUNTIFS(選手一覧!$C$7:$C$2738,A386,選手一覧!$I$7:$I$2738,"&lt;=100")</f>
        <v>0</v>
      </c>
      <c r="G386" s="13" t="n">
        <f aca="false">_xlfn.MINIFS(選手一覧!$K$7:$K$2738,選手一覧!$C$7:$C$2738,A386)</f>
        <v>222</v>
      </c>
      <c r="H386" s="16"/>
    </row>
    <row r="387" customFormat="false" ht="15" hidden="false" customHeight="false" outlineLevel="0" collapsed="false">
      <c r="A387" s="10" t="s">
        <v>816</v>
      </c>
      <c r="B387" s="12" t="n">
        <f aca="false">COUNTIF(選手一覧!$C$7:$C$2738,A387)</f>
        <v>2</v>
      </c>
      <c r="C387" s="14" t="n">
        <f aca="false">COUNTIFS(選手一覧!$C$7:$C$2738,A387,選手一覧!$K$7:$K$2738,"&lt;=100")</f>
        <v>0</v>
      </c>
      <c r="D387" s="14" t="n">
        <f aca="false">COUNTIFS(選手一覧!$C$7:$C$2738,A387,選手一覧!$E$7:$E$2738,"&lt;=100")</f>
        <v>0</v>
      </c>
      <c r="E387" s="14" t="n">
        <f aca="false">COUNTIFS(選手一覧!$C$7:$C$2738,A387,選手一覧!$G$7:$G$2738,"&lt;=100")</f>
        <v>0</v>
      </c>
      <c r="F387" s="14" t="n">
        <f aca="false">COUNTIFS(選手一覧!$C$7:$C$2738,A387,選手一覧!$I$7:$I$2738,"&lt;=100")</f>
        <v>0</v>
      </c>
      <c r="G387" s="13" t="n">
        <f aca="false">_xlfn.MINIFS(選手一覧!$K$7:$K$2738,選手一覧!$C$7:$C$2738,A387)</f>
        <v>223</v>
      </c>
      <c r="H387" s="16"/>
    </row>
    <row r="388" customFormat="false" ht="15" hidden="false" customHeight="false" outlineLevel="0" collapsed="false">
      <c r="A388" s="10" t="s">
        <v>829</v>
      </c>
      <c r="B388" s="12" t="n">
        <f aca="false">COUNTIF(選手一覧!$C$7:$C$2738,A388)</f>
        <v>2</v>
      </c>
      <c r="C388" s="14" t="n">
        <f aca="false">COUNTIFS(選手一覧!$C$7:$C$2738,A388,選手一覧!$K$7:$K$2738,"&lt;=100")</f>
        <v>0</v>
      </c>
      <c r="D388" s="14" t="n">
        <f aca="false">COUNTIFS(選手一覧!$C$7:$C$2738,A388,選手一覧!$E$7:$E$2738,"&lt;=100")</f>
        <v>0</v>
      </c>
      <c r="E388" s="14" t="n">
        <f aca="false">COUNTIFS(選手一覧!$C$7:$C$2738,A388,選手一覧!$G$7:$G$2738,"&lt;=100")</f>
        <v>0</v>
      </c>
      <c r="F388" s="14" t="n">
        <f aca="false">COUNTIFS(選手一覧!$C$7:$C$2738,A388,選手一覧!$I$7:$I$2738,"&lt;=100")</f>
        <v>0</v>
      </c>
      <c r="G388" s="13" t="n">
        <f aca="false">_xlfn.MINIFS(選手一覧!$K$7:$K$2738,選手一覧!$C$7:$C$2738,A388)</f>
        <v>226</v>
      </c>
      <c r="H388" s="16"/>
    </row>
    <row r="389" customFormat="false" ht="15" hidden="false" customHeight="false" outlineLevel="0" collapsed="false">
      <c r="A389" s="10" t="s">
        <v>831</v>
      </c>
      <c r="B389" s="12" t="n">
        <f aca="false">COUNTIF(選手一覧!$C$7:$C$2738,A389)</f>
        <v>2</v>
      </c>
      <c r="C389" s="14" t="n">
        <f aca="false">COUNTIFS(選手一覧!$C$7:$C$2738,A389,選手一覧!$K$7:$K$2738,"&lt;=100")</f>
        <v>0</v>
      </c>
      <c r="D389" s="14" t="n">
        <f aca="false">COUNTIFS(選手一覧!$C$7:$C$2738,A389,選手一覧!$E$7:$E$2738,"&lt;=100")</f>
        <v>0</v>
      </c>
      <c r="E389" s="14" t="n">
        <f aca="false">COUNTIFS(選手一覧!$C$7:$C$2738,A389,選手一覧!$G$7:$G$2738,"&lt;=100")</f>
        <v>0</v>
      </c>
      <c r="F389" s="14" t="n">
        <f aca="false">COUNTIFS(選手一覧!$C$7:$C$2738,A389,選手一覧!$I$7:$I$2738,"&lt;=100")</f>
        <v>0</v>
      </c>
      <c r="G389" s="13" t="n">
        <f aca="false">_xlfn.MINIFS(選手一覧!$K$7:$K$2738,選手一覧!$C$7:$C$2738,A389)</f>
        <v>227</v>
      </c>
      <c r="H389" s="16"/>
    </row>
    <row r="390" customFormat="false" ht="15" hidden="false" customHeight="false" outlineLevel="0" collapsed="false">
      <c r="A390" s="10" t="s">
        <v>836</v>
      </c>
      <c r="B390" s="12" t="n">
        <f aca="false">COUNTIF(選手一覧!$C$7:$C$2738,A390)</f>
        <v>2</v>
      </c>
      <c r="C390" s="14" t="n">
        <f aca="false">COUNTIFS(選手一覧!$C$7:$C$2738,A390,選手一覧!$K$7:$K$2738,"&lt;=100")</f>
        <v>0</v>
      </c>
      <c r="D390" s="14" t="n">
        <f aca="false">COUNTIFS(選手一覧!$C$7:$C$2738,A390,選手一覧!$E$7:$E$2738,"&lt;=100")</f>
        <v>0</v>
      </c>
      <c r="E390" s="14" t="n">
        <f aca="false">COUNTIFS(選手一覧!$C$7:$C$2738,A390,選手一覧!$G$7:$G$2738,"&lt;=100")</f>
        <v>0</v>
      </c>
      <c r="F390" s="14" t="n">
        <f aca="false">COUNTIFS(選手一覧!$C$7:$C$2738,A390,選手一覧!$I$7:$I$2738,"&lt;=100")</f>
        <v>0</v>
      </c>
      <c r="G390" s="13" t="n">
        <f aca="false">_xlfn.MINIFS(選手一覧!$K$7:$K$2738,選手一覧!$C$7:$C$2738,A390)</f>
        <v>228</v>
      </c>
      <c r="H390" s="16"/>
    </row>
    <row r="391" customFormat="false" ht="15" hidden="false" customHeight="false" outlineLevel="0" collapsed="false">
      <c r="A391" s="10" t="s">
        <v>846</v>
      </c>
      <c r="B391" s="12" t="n">
        <f aca="false">COUNTIF(選手一覧!$C$7:$C$2738,A391)</f>
        <v>2</v>
      </c>
      <c r="C391" s="14" t="n">
        <f aca="false">COUNTIFS(選手一覧!$C$7:$C$2738,A391,選手一覧!$K$7:$K$2738,"&lt;=100")</f>
        <v>0</v>
      </c>
      <c r="D391" s="14" t="n">
        <f aca="false">COUNTIFS(選手一覧!$C$7:$C$2738,A391,選手一覧!$E$7:$E$2738,"&lt;=100")</f>
        <v>0</v>
      </c>
      <c r="E391" s="14" t="n">
        <f aca="false">COUNTIFS(選手一覧!$C$7:$C$2738,A391,選手一覧!$G$7:$G$2738,"&lt;=100")</f>
        <v>0</v>
      </c>
      <c r="F391" s="14" t="n">
        <f aca="false">COUNTIFS(選手一覧!$C$7:$C$2738,A391,選手一覧!$I$7:$I$2738,"&lt;=100")</f>
        <v>0</v>
      </c>
      <c r="G391" s="13" t="n">
        <f aca="false">_xlfn.MINIFS(選手一覧!$K$7:$K$2738,選手一覧!$C$7:$C$2738,A391)</f>
        <v>231</v>
      </c>
      <c r="H391" s="16"/>
    </row>
    <row r="392" customFormat="false" ht="15" hidden="false" customHeight="false" outlineLevel="0" collapsed="false">
      <c r="A392" s="10" t="s">
        <v>850</v>
      </c>
      <c r="B392" s="12" t="n">
        <f aca="false">COUNTIF(選手一覧!$C$7:$C$2738,A392)</f>
        <v>2</v>
      </c>
      <c r="C392" s="14" t="n">
        <f aca="false">COUNTIFS(選手一覧!$C$7:$C$2738,A392,選手一覧!$K$7:$K$2738,"&lt;=100")</f>
        <v>0</v>
      </c>
      <c r="D392" s="14" t="n">
        <f aca="false">COUNTIFS(選手一覧!$C$7:$C$2738,A392,選手一覧!$E$7:$E$2738,"&lt;=100")</f>
        <v>0</v>
      </c>
      <c r="E392" s="14" t="n">
        <f aca="false">COUNTIFS(選手一覧!$C$7:$C$2738,A392,選手一覧!$G$7:$G$2738,"&lt;=100")</f>
        <v>0</v>
      </c>
      <c r="F392" s="14" t="n">
        <f aca="false">COUNTIFS(選手一覧!$C$7:$C$2738,A392,選手一覧!$I$7:$I$2738,"&lt;=100")</f>
        <v>0</v>
      </c>
      <c r="G392" s="13" t="n">
        <f aca="false">_xlfn.MINIFS(選手一覧!$K$7:$K$2738,選手一覧!$C$7:$C$2738,A392)</f>
        <v>232</v>
      </c>
      <c r="H392" s="16"/>
    </row>
    <row r="393" customFormat="false" ht="15" hidden="false" customHeight="false" outlineLevel="0" collapsed="false">
      <c r="A393" s="10" t="s">
        <v>897</v>
      </c>
      <c r="B393" s="12" t="n">
        <f aca="false">COUNTIF(選手一覧!$C$7:$C$2738,A393)</f>
        <v>2</v>
      </c>
      <c r="C393" s="14" t="n">
        <f aca="false">COUNTIFS(選手一覧!$C$7:$C$2738,A393,選手一覧!$K$7:$K$2738,"&lt;=100")</f>
        <v>0</v>
      </c>
      <c r="D393" s="14" t="n">
        <f aca="false">COUNTIFS(選手一覧!$C$7:$C$2738,A393,選手一覧!$E$7:$E$2738,"&lt;=100")</f>
        <v>0</v>
      </c>
      <c r="E393" s="14" t="n">
        <f aca="false">COUNTIFS(選手一覧!$C$7:$C$2738,A393,選手一覧!$G$7:$G$2738,"&lt;=100")</f>
        <v>0</v>
      </c>
      <c r="F393" s="14" t="n">
        <f aca="false">COUNTIFS(選手一覧!$C$7:$C$2738,A393,選手一覧!$I$7:$I$2738,"&lt;=100")</f>
        <v>0</v>
      </c>
      <c r="G393" s="13" t="n">
        <f aca="false">_xlfn.MINIFS(選手一覧!$K$7:$K$2738,選手一覧!$C$7:$C$2738,A393)</f>
        <v>248</v>
      </c>
      <c r="H393" s="16"/>
    </row>
    <row r="394" customFormat="false" ht="15" hidden="false" customHeight="false" outlineLevel="0" collapsed="false">
      <c r="A394" s="10" t="s">
        <v>952</v>
      </c>
      <c r="B394" s="12" t="n">
        <f aca="false">COUNTIF(選手一覧!$C$7:$C$2738,A394)</f>
        <v>2</v>
      </c>
      <c r="C394" s="14" t="n">
        <f aca="false">COUNTIFS(選手一覧!$C$7:$C$2738,A394,選手一覧!$K$7:$K$2738,"&lt;=100")</f>
        <v>0</v>
      </c>
      <c r="D394" s="14" t="n">
        <f aca="false">COUNTIFS(選手一覧!$C$7:$C$2738,A394,選手一覧!$E$7:$E$2738,"&lt;=100")</f>
        <v>0</v>
      </c>
      <c r="E394" s="14" t="n">
        <f aca="false">COUNTIFS(選手一覧!$C$7:$C$2738,A394,選手一覧!$G$7:$G$2738,"&lt;=100")</f>
        <v>0</v>
      </c>
      <c r="F394" s="14" t="n">
        <f aca="false">COUNTIFS(選手一覧!$C$7:$C$2738,A394,選手一覧!$I$7:$I$2738,"&lt;=100")</f>
        <v>0</v>
      </c>
      <c r="G394" s="13" t="n">
        <f aca="false">_xlfn.MINIFS(選手一覧!$K$7:$K$2738,選手一覧!$C$7:$C$2738,A394)</f>
        <v>265</v>
      </c>
      <c r="H394" s="16"/>
    </row>
    <row r="395" customFormat="false" ht="15" hidden="false" customHeight="false" outlineLevel="0" collapsed="false">
      <c r="A395" s="10" t="s">
        <v>963</v>
      </c>
      <c r="B395" s="12" t="n">
        <f aca="false">COUNTIF(選手一覧!$C$7:$C$2738,A395)</f>
        <v>2</v>
      </c>
      <c r="C395" s="14" t="n">
        <f aca="false">COUNTIFS(選手一覧!$C$7:$C$2738,A395,選手一覧!$K$7:$K$2738,"&lt;=100")</f>
        <v>0</v>
      </c>
      <c r="D395" s="14" t="n">
        <f aca="false">COUNTIFS(選手一覧!$C$7:$C$2738,A395,選手一覧!$E$7:$E$2738,"&lt;=100")</f>
        <v>0</v>
      </c>
      <c r="E395" s="14" t="n">
        <f aca="false">COUNTIFS(選手一覧!$C$7:$C$2738,A395,選手一覧!$G$7:$G$2738,"&lt;=100")</f>
        <v>0</v>
      </c>
      <c r="F395" s="14" t="n">
        <f aca="false">COUNTIFS(選手一覧!$C$7:$C$2738,A395,選手一覧!$I$7:$I$2738,"&lt;=100")</f>
        <v>0</v>
      </c>
      <c r="G395" s="13" t="n">
        <f aca="false">_xlfn.MINIFS(選手一覧!$K$7:$K$2738,選手一覧!$C$7:$C$2738,A395)</f>
        <v>270</v>
      </c>
      <c r="H395" s="16"/>
    </row>
    <row r="396" customFormat="false" ht="15" hidden="false" customHeight="false" outlineLevel="0" collapsed="false">
      <c r="A396" s="10" t="s">
        <v>969</v>
      </c>
      <c r="B396" s="12" t="n">
        <f aca="false">COUNTIF(選手一覧!$C$7:$C$2738,A396)</f>
        <v>2</v>
      </c>
      <c r="C396" s="14" t="n">
        <f aca="false">COUNTIFS(選手一覧!$C$7:$C$2738,A396,選手一覧!$K$7:$K$2738,"&lt;=100")</f>
        <v>0</v>
      </c>
      <c r="D396" s="14" t="n">
        <f aca="false">COUNTIFS(選手一覧!$C$7:$C$2738,A396,選手一覧!$E$7:$E$2738,"&lt;=100")</f>
        <v>0</v>
      </c>
      <c r="E396" s="14" t="n">
        <f aca="false">COUNTIFS(選手一覧!$C$7:$C$2738,A396,選手一覧!$G$7:$G$2738,"&lt;=100")</f>
        <v>0</v>
      </c>
      <c r="F396" s="14" t="n">
        <f aca="false">COUNTIFS(選手一覧!$C$7:$C$2738,A396,選手一覧!$I$7:$I$2738,"&lt;=100")</f>
        <v>0</v>
      </c>
      <c r="G396" s="13" t="n">
        <f aca="false">_xlfn.MINIFS(選手一覧!$K$7:$K$2738,選手一覧!$C$7:$C$2738,A396)</f>
        <v>272</v>
      </c>
      <c r="H396" s="16"/>
    </row>
    <row r="397" customFormat="false" ht="15" hidden="false" customHeight="false" outlineLevel="0" collapsed="false">
      <c r="A397" s="10" t="s">
        <v>992</v>
      </c>
      <c r="B397" s="12" t="n">
        <f aca="false">COUNTIF(選手一覧!$C$7:$C$2738,A397)</f>
        <v>2</v>
      </c>
      <c r="C397" s="14" t="n">
        <f aca="false">COUNTIFS(選手一覧!$C$7:$C$2738,A397,選手一覧!$K$7:$K$2738,"&lt;=100")</f>
        <v>0</v>
      </c>
      <c r="D397" s="14" t="n">
        <f aca="false">COUNTIFS(選手一覧!$C$7:$C$2738,A397,選手一覧!$E$7:$E$2738,"&lt;=100")</f>
        <v>0</v>
      </c>
      <c r="E397" s="14" t="n">
        <f aca="false">COUNTIFS(選手一覧!$C$7:$C$2738,A397,選手一覧!$G$7:$G$2738,"&lt;=100")</f>
        <v>0</v>
      </c>
      <c r="F397" s="14" t="n">
        <f aca="false">COUNTIFS(選手一覧!$C$7:$C$2738,A397,選手一覧!$I$7:$I$2738,"&lt;=100")</f>
        <v>0</v>
      </c>
      <c r="G397" s="13" t="n">
        <f aca="false">_xlfn.MINIFS(選手一覧!$K$7:$K$2738,選手一覧!$C$7:$C$2738,A397)</f>
        <v>282</v>
      </c>
      <c r="H397" s="16"/>
    </row>
    <row r="398" customFormat="false" ht="15" hidden="false" customHeight="false" outlineLevel="0" collapsed="false">
      <c r="A398" s="10" t="s">
        <v>995</v>
      </c>
      <c r="B398" s="12" t="n">
        <f aca="false">COUNTIF(選手一覧!$C$7:$C$2738,A398)</f>
        <v>2</v>
      </c>
      <c r="C398" s="14" t="n">
        <f aca="false">COUNTIFS(選手一覧!$C$7:$C$2738,A398,選手一覧!$K$7:$K$2738,"&lt;=100")</f>
        <v>0</v>
      </c>
      <c r="D398" s="14" t="n">
        <f aca="false">COUNTIFS(選手一覧!$C$7:$C$2738,A398,選手一覧!$E$7:$E$2738,"&lt;=100")</f>
        <v>0</v>
      </c>
      <c r="E398" s="14" t="n">
        <f aca="false">COUNTIFS(選手一覧!$C$7:$C$2738,A398,選手一覧!$G$7:$G$2738,"&lt;=100")</f>
        <v>0</v>
      </c>
      <c r="F398" s="14" t="n">
        <f aca="false">COUNTIFS(選手一覧!$C$7:$C$2738,A398,選手一覧!$I$7:$I$2738,"&lt;=100")</f>
        <v>0</v>
      </c>
      <c r="G398" s="13" t="n">
        <f aca="false">_xlfn.MINIFS(選手一覧!$K$7:$K$2738,選手一覧!$C$7:$C$2738,A398)</f>
        <v>282</v>
      </c>
      <c r="H398" s="16"/>
    </row>
    <row r="399" customFormat="false" ht="15" hidden="false" customHeight="false" outlineLevel="0" collapsed="false">
      <c r="A399" s="10" t="s">
        <v>1027</v>
      </c>
      <c r="B399" s="12" t="n">
        <f aca="false">COUNTIF(選手一覧!$C$7:$C$2738,A399)</f>
        <v>2</v>
      </c>
      <c r="C399" s="14" t="n">
        <f aca="false">COUNTIFS(選手一覧!$C$7:$C$2738,A399,選手一覧!$K$7:$K$2738,"&lt;=100")</f>
        <v>0</v>
      </c>
      <c r="D399" s="14" t="n">
        <f aca="false">COUNTIFS(選手一覧!$C$7:$C$2738,A399,選手一覧!$E$7:$E$2738,"&lt;=100")</f>
        <v>0</v>
      </c>
      <c r="E399" s="14" t="n">
        <f aca="false">COUNTIFS(選手一覧!$C$7:$C$2738,A399,選手一覧!$G$7:$G$2738,"&lt;=100")</f>
        <v>0</v>
      </c>
      <c r="F399" s="14" t="n">
        <f aca="false">COUNTIFS(選手一覧!$C$7:$C$2738,A399,選手一覧!$I$7:$I$2738,"&lt;=100")</f>
        <v>0</v>
      </c>
      <c r="G399" s="13" t="n">
        <f aca="false">_xlfn.MINIFS(選手一覧!$K$7:$K$2738,選手一覧!$C$7:$C$2738,A399)</f>
        <v>293</v>
      </c>
      <c r="H399" s="16"/>
    </row>
    <row r="400" customFormat="false" ht="15" hidden="false" customHeight="false" outlineLevel="0" collapsed="false">
      <c r="A400" s="10" t="s">
        <v>1033</v>
      </c>
      <c r="B400" s="12" t="n">
        <f aca="false">COUNTIF(選手一覧!$C$7:$C$2738,A400)</f>
        <v>2</v>
      </c>
      <c r="C400" s="14" t="n">
        <f aca="false">COUNTIFS(選手一覧!$C$7:$C$2738,A400,選手一覧!$K$7:$K$2738,"&lt;=100")</f>
        <v>0</v>
      </c>
      <c r="D400" s="14" t="n">
        <f aca="false">COUNTIFS(選手一覧!$C$7:$C$2738,A400,選手一覧!$E$7:$E$2738,"&lt;=100")</f>
        <v>0</v>
      </c>
      <c r="E400" s="14" t="n">
        <f aca="false">COUNTIFS(選手一覧!$C$7:$C$2738,A400,選手一覧!$G$7:$G$2738,"&lt;=100")</f>
        <v>0</v>
      </c>
      <c r="F400" s="14" t="n">
        <f aca="false">COUNTIFS(選手一覧!$C$7:$C$2738,A400,選手一覧!$I$7:$I$2738,"&lt;=100")</f>
        <v>0</v>
      </c>
      <c r="G400" s="13" t="n">
        <f aca="false">_xlfn.MINIFS(選手一覧!$K$7:$K$2738,選手一覧!$C$7:$C$2738,A400)</f>
        <v>297</v>
      </c>
      <c r="H400" s="16"/>
    </row>
    <row r="401" customFormat="false" ht="15" hidden="false" customHeight="false" outlineLevel="0" collapsed="false">
      <c r="A401" s="10" t="s">
        <v>1059</v>
      </c>
      <c r="B401" s="12" t="n">
        <f aca="false">COUNTIF(選手一覧!$C$7:$C$2738,A401)</f>
        <v>2</v>
      </c>
      <c r="C401" s="14" t="n">
        <f aca="false">COUNTIFS(選手一覧!$C$7:$C$2738,A401,選手一覧!$K$7:$K$2738,"&lt;=100")</f>
        <v>0</v>
      </c>
      <c r="D401" s="14" t="n">
        <f aca="false">COUNTIFS(選手一覧!$C$7:$C$2738,A401,選手一覧!$E$7:$E$2738,"&lt;=100")</f>
        <v>0</v>
      </c>
      <c r="E401" s="14" t="n">
        <f aca="false">COUNTIFS(選手一覧!$C$7:$C$2738,A401,選手一覧!$G$7:$G$2738,"&lt;=100")</f>
        <v>0</v>
      </c>
      <c r="F401" s="14" t="n">
        <f aca="false">COUNTIFS(選手一覧!$C$7:$C$2738,A401,選手一覧!$I$7:$I$2738,"&lt;=100")</f>
        <v>0</v>
      </c>
      <c r="G401" s="13" t="n">
        <f aca="false">_xlfn.MINIFS(選手一覧!$K$7:$K$2738,選手一覧!$C$7:$C$2738,A401)</f>
        <v>305</v>
      </c>
      <c r="H401" s="16"/>
    </row>
    <row r="402" customFormat="false" ht="15" hidden="false" customHeight="false" outlineLevel="0" collapsed="false">
      <c r="A402" s="10" t="s">
        <v>1079</v>
      </c>
      <c r="B402" s="12" t="n">
        <f aca="false">COUNTIF(選手一覧!$C$7:$C$2738,A402)</f>
        <v>2</v>
      </c>
      <c r="C402" s="14" t="n">
        <f aca="false">COUNTIFS(選手一覧!$C$7:$C$2738,A402,選手一覧!$K$7:$K$2738,"&lt;=100")</f>
        <v>0</v>
      </c>
      <c r="D402" s="14" t="n">
        <f aca="false">COUNTIFS(選手一覧!$C$7:$C$2738,A402,選手一覧!$E$7:$E$2738,"&lt;=100")</f>
        <v>0</v>
      </c>
      <c r="E402" s="14" t="n">
        <f aca="false">COUNTIFS(選手一覧!$C$7:$C$2738,A402,選手一覧!$G$7:$G$2738,"&lt;=100")</f>
        <v>0</v>
      </c>
      <c r="F402" s="14" t="n">
        <f aca="false">COUNTIFS(選手一覧!$C$7:$C$2738,A402,選手一覧!$I$7:$I$2738,"&lt;=100")</f>
        <v>0</v>
      </c>
      <c r="G402" s="13" t="n">
        <f aca="false">_xlfn.MINIFS(選手一覧!$K$7:$K$2738,選手一覧!$C$7:$C$2738,A402)</f>
        <v>311</v>
      </c>
      <c r="H402" s="16"/>
    </row>
    <row r="403" customFormat="false" ht="15" hidden="false" customHeight="false" outlineLevel="0" collapsed="false">
      <c r="A403" s="10" t="s">
        <v>1110</v>
      </c>
      <c r="B403" s="12" t="n">
        <f aca="false">COUNTIF(選手一覧!$C$7:$C$2738,A403)</f>
        <v>2</v>
      </c>
      <c r="C403" s="14" t="n">
        <f aca="false">COUNTIFS(選手一覧!$C$7:$C$2738,A403,選手一覧!$K$7:$K$2738,"&lt;=100")</f>
        <v>0</v>
      </c>
      <c r="D403" s="14" t="n">
        <f aca="false">COUNTIFS(選手一覧!$C$7:$C$2738,A403,選手一覧!$E$7:$E$2738,"&lt;=100")</f>
        <v>0</v>
      </c>
      <c r="E403" s="14" t="n">
        <f aca="false">COUNTIFS(選手一覧!$C$7:$C$2738,A403,選手一覧!$G$7:$G$2738,"&lt;=100")</f>
        <v>0</v>
      </c>
      <c r="F403" s="14" t="n">
        <f aca="false">COUNTIFS(選手一覧!$C$7:$C$2738,A403,選手一覧!$I$7:$I$2738,"&lt;=100")</f>
        <v>0</v>
      </c>
      <c r="G403" s="13" t="n">
        <f aca="false">_xlfn.MINIFS(選手一覧!$K$7:$K$2738,選手一覧!$C$7:$C$2738,A403)</f>
        <v>324</v>
      </c>
      <c r="H403" s="16"/>
    </row>
    <row r="404" customFormat="false" ht="15" hidden="false" customHeight="false" outlineLevel="0" collapsed="false">
      <c r="A404" s="10" t="s">
        <v>1125</v>
      </c>
      <c r="B404" s="12" t="n">
        <f aca="false">COUNTIF(選手一覧!$C$7:$C$2738,A404)</f>
        <v>2</v>
      </c>
      <c r="C404" s="14" t="n">
        <f aca="false">COUNTIFS(選手一覧!$C$7:$C$2738,A404,選手一覧!$K$7:$K$2738,"&lt;=100")</f>
        <v>0</v>
      </c>
      <c r="D404" s="14" t="n">
        <f aca="false">COUNTIFS(選手一覧!$C$7:$C$2738,A404,選手一覧!$E$7:$E$2738,"&lt;=100")</f>
        <v>0</v>
      </c>
      <c r="E404" s="14" t="n">
        <f aca="false">COUNTIFS(選手一覧!$C$7:$C$2738,A404,選手一覧!$G$7:$G$2738,"&lt;=100")</f>
        <v>0</v>
      </c>
      <c r="F404" s="14" t="n">
        <f aca="false">COUNTIFS(選手一覧!$C$7:$C$2738,A404,選手一覧!$I$7:$I$2738,"&lt;=100")</f>
        <v>0</v>
      </c>
      <c r="G404" s="13" t="n">
        <f aca="false">_xlfn.MINIFS(選手一覧!$K$7:$K$2738,選手一覧!$C$7:$C$2738,A404)</f>
        <v>329</v>
      </c>
      <c r="H404" s="16"/>
    </row>
    <row r="405" customFormat="false" ht="15" hidden="false" customHeight="false" outlineLevel="0" collapsed="false">
      <c r="A405" s="10" t="s">
        <v>1127</v>
      </c>
      <c r="B405" s="12" t="n">
        <f aca="false">COUNTIF(選手一覧!$C$7:$C$2738,A405)</f>
        <v>2</v>
      </c>
      <c r="C405" s="14" t="n">
        <f aca="false">COUNTIFS(選手一覧!$C$7:$C$2738,A405,選手一覧!$K$7:$K$2738,"&lt;=100")</f>
        <v>0</v>
      </c>
      <c r="D405" s="14" t="n">
        <f aca="false">COUNTIFS(選手一覧!$C$7:$C$2738,A405,選手一覧!$E$7:$E$2738,"&lt;=100")</f>
        <v>0</v>
      </c>
      <c r="E405" s="14" t="n">
        <f aca="false">COUNTIFS(選手一覧!$C$7:$C$2738,A405,選手一覧!$G$7:$G$2738,"&lt;=100")</f>
        <v>0</v>
      </c>
      <c r="F405" s="14" t="n">
        <f aca="false">COUNTIFS(選手一覧!$C$7:$C$2738,A405,選手一覧!$I$7:$I$2738,"&lt;=100")</f>
        <v>0</v>
      </c>
      <c r="G405" s="13" t="n">
        <f aca="false">_xlfn.MINIFS(選手一覧!$K$7:$K$2738,選手一覧!$C$7:$C$2738,A405)</f>
        <v>330</v>
      </c>
      <c r="H405" s="16"/>
    </row>
    <row r="406" customFormat="false" ht="15" hidden="false" customHeight="false" outlineLevel="0" collapsed="false">
      <c r="A406" s="10" t="s">
        <v>1132</v>
      </c>
      <c r="B406" s="12" t="n">
        <f aca="false">COUNTIF(選手一覧!$C$7:$C$2738,A406)</f>
        <v>2</v>
      </c>
      <c r="C406" s="14" t="n">
        <f aca="false">COUNTIFS(選手一覧!$C$7:$C$2738,A406,選手一覧!$K$7:$K$2738,"&lt;=100")</f>
        <v>0</v>
      </c>
      <c r="D406" s="14" t="n">
        <f aca="false">COUNTIFS(選手一覧!$C$7:$C$2738,A406,選手一覧!$E$7:$E$2738,"&lt;=100")</f>
        <v>0</v>
      </c>
      <c r="E406" s="14" t="n">
        <f aca="false">COUNTIFS(選手一覧!$C$7:$C$2738,A406,選手一覧!$G$7:$G$2738,"&lt;=100")</f>
        <v>0</v>
      </c>
      <c r="F406" s="14" t="n">
        <f aca="false">COUNTIFS(選手一覧!$C$7:$C$2738,A406,選手一覧!$I$7:$I$2738,"&lt;=100")</f>
        <v>0</v>
      </c>
      <c r="G406" s="13" t="n">
        <f aca="false">_xlfn.MINIFS(選手一覧!$K$7:$K$2738,選手一覧!$C$7:$C$2738,A406)</f>
        <v>331</v>
      </c>
      <c r="H406" s="16"/>
    </row>
    <row r="407" customFormat="false" ht="15" hidden="false" customHeight="false" outlineLevel="0" collapsed="false">
      <c r="A407" s="10" t="s">
        <v>1145</v>
      </c>
      <c r="B407" s="12" t="n">
        <f aca="false">COUNTIF(選手一覧!$C$7:$C$2738,A407)</f>
        <v>2</v>
      </c>
      <c r="C407" s="14" t="n">
        <f aca="false">COUNTIFS(選手一覧!$C$7:$C$2738,A407,選手一覧!$K$7:$K$2738,"&lt;=100")</f>
        <v>0</v>
      </c>
      <c r="D407" s="14" t="n">
        <f aca="false">COUNTIFS(選手一覧!$C$7:$C$2738,A407,選手一覧!$E$7:$E$2738,"&lt;=100")</f>
        <v>0</v>
      </c>
      <c r="E407" s="14" t="n">
        <f aca="false">COUNTIFS(選手一覧!$C$7:$C$2738,A407,選手一覧!$G$7:$G$2738,"&lt;=100")</f>
        <v>0</v>
      </c>
      <c r="F407" s="14" t="n">
        <f aca="false">COUNTIFS(選手一覧!$C$7:$C$2738,A407,選手一覧!$I$7:$I$2738,"&lt;=100")</f>
        <v>0</v>
      </c>
      <c r="G407" s="13" t="n">
        <f aca="false">_xlfn.MINIFS(選手一覧!$K$7:$K$2738,選手一覧!$C$7:$C$2738,A407)</f>
        <v>335</v>
      </c>
      <c r="H407" s="16"/>
    </row>
    <row r="408" customFormat="false" ht="15" hidden="false" customHeight="false" outlineLevel="0" collapsed="false">
      <c r="A408" s="10" t="s">
        <v>1157</v>
      </c>
      <c r="B408" s="12" t="n">
        <f aca="false">COUNTIF(選手一覧!$C$7:$C$2738,A408)</f>
        <v>2</v>
      </c>
      <c r="C408" s="14" t="n">
        <f aca="false">COUNTIFS(選手一覧!$C$7:$C$2738,A408,選手一覧!$K$7:$K$2738,"&lt;=100")</f>
        <v>0</v>
      </c>
      <c r="D408" s="14" t="n">
        <f aca="false">COUNTIFS(選手一覧!$C$7:$C$2738,A408,選手一覧!$E$7:$E$2738,"&lt;=100")</f>
        <v>0</v>
      </c>
      <c r="E408" s="14" t="n">
        <f aca="false">COUNTIFS(選手一覧!$C$7:$C$2738,A408,選手一覧!$G$7:$G$2738,"&lt;=100")</f>
        <v>0</v>
      </c>
      <c r="F408" s="14" t="n">
        <f aca="false">COUNTIFS(選手一覧!$C$7:$C$2738,A408,選手一覧!$I$7:$I$2738,"&lt;=100")</f>
        <v>0</v>
      </c>
      <c r="G408" s="13" t="n">
        <f aca="false">_xlfn.MINIFS(選手一覧!$K$7:$K$2738,選手一覧!$C$7:$C$2738,A408)</f>
        <v>339</v>
      </c>
      <c r="H408" s="16"/>
    </row>
    <row r="409" customFormat="false" ht="15" hidden="false" customHeight="false" outlineLevel="0" collapsed="false">
      <c r="A409" s="10" t="s">
        <v>1183</v>
      </c>
      <c r="B409" s="12" t="n">
        <f aca="false">COUNTIF(選手一覧!$C$7:$C$2738,A409)</f>
        <v>2</v>
      </c>
      <c r="C409" s="14" t="n">
        <f aca="false">COUNTIFS(選手一覧!$C$7:$C$2738,A409,選手一覧!$K$7:$K$2738,"&lt;=100")</f>
        <v>0</v>
      </c>
      <c r="D409" s="14" t="n">
        <f aca="false">COUNTIFS(選手一覧!$C$7:$C$2738,A409,選手一覧!$E$7:$E$2738,"&lt;=100")</f>
        <v>0</v>
      </c>
      <c r="E409" s="14" t="n">
        <f aca="false">COUNTIFS(選手一覧!$C$7:$C$2738,A409,選手一覧!$G$7:$G$2738,"&lt;=100")</f>
        <v>0</v>
      </c>
      <c r="F409" s="14" t="n">
        <f aca="false">COUNTIFS(選手一覧!$C$7:$C$2738,A409,選手一覧!$I$7:$I$2738,"&lt;=100")</f>
        <v>0</v>
      </c>
      <c r="G409" s="13" t="n">
        <f aca="false">_xlfn.MINIFS(選手一覧!$K$7:$K$2738,選手一覧!$C$7:$C$2738,A409)</f>
        <v>348</v>
      </c>
      <c r="H409" s="16"/>
    </row>
    <row r="410" customFormat="false" ht="15" hidden="false" customHeight="false" outlineLevel="0" collapsed="false">
      <c r="A410" s="10" t="s">
        <v>1186</v>
      </c>
      <c r="B410" s="12" t="n">
        <f aca="false">COUNTIF(選手一覧!$C$7:$C$2738,A410)</f>
        <v>2</v>
      </c>
      <c r="C410" s="14" t="n">
        <f aca="false">COUNTIFS(選手一覧!$C$7:$C$2738,A410,選手一覧!$K$7:$K$2738,"&lt;=100")</f>
        <v>0</v>
      </c>
      <c r="D410" s="14" t="n">
        <f aca="false">COUNTIFS(選手一覧!$C$7:$C$2738,A410,選手一覧!$E$7:$E$2738,"&lt;=100")</f>
        <v>0</v>
      </c>
      <c r="E410" s="14" t="n">
        <f aca="false">COUNTIFS(選手一覧!$C$7:$C$2738,A410,選手一覧!$G$7:$G$2738,"&lt;=100")</f>
        <v>0</v>
      </c>
      <c r="F410" s="14" t="n">
        <f aca="false">COUNTIFS(選手一覧!$C$7:$C$2738,A410,選手一覧!$I$7:$I$2738,"&lt;=100")</f>
        <v>0</v>
      </c>
      <c r="G410" s="13" t="n">
        <f aca="false">_xlfn.MINIFS(選手一覧!$K$7:$K$2738,選手一覧!$C$7:$C$2738,A410)</f>
        <v>349</v>
      </c>
      <c r="H410" s="16"/>
    </row>
    <row r="411" customFormat="false" ht="15" hidden="false" customHeight="false" outlineLevel="0" collapsed="false">
      <c r="A411" s="10" t="s">
        <v>1203</v>
      </c>
      <c r="B411" s="12" t="n">
        <f aca="false">COUNTIF(選手一覧!$C$7:$C$2738,A411)</f>
        <v>2</v>
      </c>
      <c r="C411" s="14" t="n">
        <f aca="false">COUNTIFS(選手一覧!$C$7:$C$2738,A411,選手一覧!$K$7:$K$2738,"&lt;=100")</f>
        <v>0</v>
      </c>
      <c r="D411" s="14" t="n">
        <f aca="false">COUNTIFS(選手一覧!$C$7:$C$2738,A411,選手一覧!$E$7:$E$2738,"&lt;=100")</f>
        <v>0</v>
      </c>
      <c r="E411" s="14" t="n">
        <f aca="false">COUNTIFS(選手一覧!$C$7:$C$2738,A411,選手一覧!$G$7:$G$2738,"&lt;=100")</f>
        <v>0</v>
      </c>
      <c r="F411" s="14" t="n">
        <f aca="false">COUNTIFS(選手一覧!$C$7:$C$2738,A411,選手一覧!$I$7:$I$2738,"&lt;=100")</f>
        <v>0</v>
      </c>
      <c r="G411" s="13" t="n">
        <f aca="false">_xlfn.MINIFS(選手一覧!$K$7:$K$2738,選手一覧!$C$7:$C$2738,A411)</f>
        <v>356</v>
      </c>
      <c r="H411" s="16"/>
    </row>
    <row r="412" customFormat="false" ht="15" hidden="false" customHeight="false" outlineLevel="0" collapsed="false">
      <c r="A412" s="10" t="s">
        <v>1205</v>
      </c>
      <c r="B412" s="12" t="n">
        <f aca="false">COUNTIF(選手一覧!$C$7:$C$2738,A412)</f>
        <v>2</v>
      </c>
      <c r="C412" s="14" t="n">
        <f aca="false">COUNTIFS(選手一覧!$C$7:$C$2738,A412,選手一覧!$K$7:$K$2738,"&lt;=100")</f>
        <v>0</v>
      </c>
      <c r="D412" s="14" t="n">
        <f aca="false">COUNTIFS(選手一覧!$C$7:$C$2738,A412,選手一覧!$E$7:$E$2738,"&lt;=100")</f>
        <v>0</v>
      </c>
      <c r="E412" s="14" t="n">
        <f aca="false">COUNTIFS(選手一覧!$C$7:$C$2738,A412,選手一覧!$G$7:$G$2738,"&lt;=100")</f>
        <v>0</v>
      </c>
      <c r="F412" s="14" t="n">
        <f aca="false">COUNTIFS(選手一覧!$C$7:$C$2738,A412,選手一覧!$I$7:$I$2738,"&lt;=100")</f>
        <v>0</v>
      </c>
      <c r="G412" s="13" t="n">
        <f aca="false">_xlfn.MINIFS(選手一覧!$K$7:$K$2738,選手一覧!$C$7:$C$2738,A412)</f>
        <v>356</v>
      </c>
      <c r="H412" s="16"/>
    </row>
    <row r="413" customFormat="false" ht="15" hidden="false" customHeight="false" outlineLevel="0" collapsed="false">
      <c r="A413" s="10" t="s">
        <v>1216</v>
      </c>
      <c r="B413" s="12" t="n">
        <f aca="false">COUNTIF(選手一覧!$C$7:$C$2738,A413)</f>
        <v>2</v>
      </c>
      <c r="C413" s="14" t="n">
        <f aca="false">COUNTIFS(選手一覧!$C$7:$C$2738,A413,選手一覧!$K$7:$K$2738,"&lt;=100")</f>
        <v>0</v>
      </c>
      <c r="D413" s="14" t="n">
        <f aca="false">COUNTIFS(選手一覧!$C$7:$C$2738,A413,選手一覧!$E$7:$E$2738,"&lt;=100")</f>
        <v>0</v>
      </c>
      <c r="E413" s="14" t="n">
        <f aca="false">COUNTIFS(選手一覧!$C$7:$C$2738,A413,選手一覧!$G$7:$G$2738,"&lt;=100")</f>
        <v>0</v>
      </c>
      <c r="F413" s="14" t="n">
        <f aca="false">COUNTIFS(選手一覧!$C$7:$C$2738,A413,選手一覧!$I$7:$I$2738,"&lt;=100")</f>
        <v>0</v>
      </c>
      <c r="G413" s="13" t="n">
        <f aca="false">_xlfn.MINIFS(選手一覧!$K$7:$K$2738,選手一覧!$C$7:$C$2738,A413)</f>
        <v>361</v>
      </c>
      <c r="H413" s="16"/>
    </row>
    <row r="414" customFormat="false" ht="15" hidden="false" customHeight="false" outlineLevel="0" collapsed="false">
      <c r="A414" s="10" t="s">
        <v>1219</v>
      </c>
      <c r="B414" s="12" t="n">
        <f aca="false">COUNTIF(選手一覧!$C$7:$C$2738,A414)</f>
        <v>2</v>
      </c>
      <c r="C414" s="14" t="n">
        <f aca="false">COUNTIFS(選手一覧!$C$7:$C$2738,A414,選手一覧!$K$7:$K$2738,"&lt;=100")</f>
        <v>0</v>
      </c>
      <c r="D414" s="14" t="n">
        <f aca="false">COUNTIFS(選手一覧!$C$7:$C$2738,A414,選手一覧!$E$7:$E$2738,"&lt;=100")</f>
        <v>0</v>
      </c>
      <c r="E414" s="14" t="n">
        <f aca="false">COUNTIFS(選手一覧!$C$7:$C$2738,A414,選手一覧!$G$7:$G$2738,"&lt;=100")</f>
        <v>0</v>
      </c>
      <c r="F414" s="14" t="n">
        <f aca="false">COUNTIFS(選手一覧!$C$7:$C$2738,A414,選手一覧!$I$7:$I$2738,"&lt;=100")</f>
        <v>0</v>
      </c>
      <c r="G414" s="13" t="n">
        <f aca="false">_xlfn.MINIFS(選手一覧!$K$7:$K$2738,選手一覧!$C$7:$C$2738,A414)</f>
        <v>362</v>
      </c>
      <c r="H414" s="16"/>
    </row>
    <row r="415" customFormat="false" ht="15" hidden="false" customHeight="false" outlineLevel="0" collapsed="false">
      <c r="A415" s="10" t="s">
        <v>1223</v>
      </c>
      <c r="B415" s="12" t="n">
        <f aca="false">COUNTIF(選手一覧!$C$7:$C$2738,A415)</f>
        <v>2</v>
      </c>
      <c r="C415" s="14" t="n">
        <f aca="false">COUNTIFS(選手一覧!$C$7:$C$2738,A415,選手一覧!$K$7:$K$2738,"&lt;=100")</f>
        <v>0</v>
      </c>
      <c r="D415" s="14" t="n">
        <f aca="false">COUNTIFS(選手一覧!$C$7:$C$2738,A415,選手一覧!$E$7:$E$2738,"&lt;=100")</f>
        <v>0</v>
      </c>
      <c r="E415" s="14" t="n">
        <f aca="false">COUNTIFS(選手一覧!$C$7:$C$2738,A415,選手一覧!$G$7:$G$2738,"&lt;=100")</f>
        <v>0</v>
      </c>
      <c r="F415" s="14" t="n">
        <f aca="false">COUNTIFS(選手一覧!$C$7:$C$2738,A415,選手一覧!$I$7:$I$2738,"&lt;=100")</f>
        <v>0</v>
      </c>
      <c r="G415" s="13" t="n">
        <f aca="false">_xlfn.MINIFS(選手一覧!$K$7:$K$2738,選手一覧!$C$7:$C$2738,A415)</f>
        <v>364</v>
      </c>
      <c r="H415" s="16"/>
    </row>
    <row r="416" customFormat="false" ht="15" hidden="false" customHeight="false" outlineLevel="0" collapsed="false">
      <c r="A416" s="10" t="s">
        <v>1231</v>
      </c>
      <c r="B416" s="12" t="n">
        <f aca="false">COUNTIF(選手一覧!$C$7:$C$2738,A416)</f>
        <v>2</v>
      </c>
      <c r="C416" s="14" t="n">
        <f aca="false">COUNTIFS(選手一覧!$C$7:$C$2738,A416,選手一覧!$K$7:$K$2738,"&lt;=100")</f>
        <v>0</v>
      </c>
      <c r="D416" s="14" t="n">
        <f aca="false">COUNTIFS(選手一覧!$C$7:$C$2738,A416,選手一覧!$E$7:$E$2738,"&lt;=100")</f>
        <v>0</v>
      </c>
      <c r="E416" s="14" t="n">
        <f aca="false">COUNTIFS(選手一覧!$C$7:$C$2738,A416,選手一覧!$G$7:$G$2738,"&lt;=100")</f>
        <v>0</v>
      </c>
      <c r="F416" s="14" t="n">
        <f aca="false">COUNTIFS(選手一覧!$C$7:$C$2738,A416,選手一覧!$I$7:$I$2738,"&lt;=100")</f>
        <v>0</v>
      </c>
      <c r="G416" s="13" t="n">
        <f aca="false">_xlfn.MINIFS(選手一覧!$K$7:$K$2738,選手一覧!$C$7:$C$2738,A416)</f>
        <v>367</v>
      </c>
      <c r="H416" s="16"/>
    </row>
    <row r="417" customFormat="false" ht="15" hidden="false" customHeight="false" outlineLevel="0" collapsed="false">
      <c r="A417" s="10" t="s">
        <v>1246</v>
      </c>
      <c r="B417" s="12" t="n">
        <f aca="false">COUNTIF(選手一覧!$C$7:$C$2738,A417)</f>
        <v>2</v>
      </c>
      <c r="C417" s="14" t="n">
        <f aca="false">COUNTIFS(選手一覧!$C$7:$C$2738,A417,選手一覧!$K$7:$K$2738,"&lt;=100")</f>
        <v>0</v>
      </c>
      <c r="D417" s="14" t="n">
        <f aca="false">COUNTIFS(選手一覧!$C$7:$C$2738,A417,選手一覧!$E$7:$E$2738,"&lt;=100")</f>
        <v>0</v>
      </c>
      <c r="E417" s="14" t="n">
        <f aca="false">COUNTIFS(選手一覧!$C$7:$C$2738,A417,選手一覧!$G$7:$G$2738,"&lt;=100")</f>
        <v>0</v>
      </c>
      <c r="F417" s="14" t="n">
        <f aca="false">COUNTIFS(選手一覧!$C$7:$C$2738,A417,選手一覧!$I$7:$I$2738,"&lt;=100")</f>
        <v>0</v>
      </c>
      <c r="G417" s="13" t="n">
        <f aca="false">_xlfn.MINIFS(選手一覧!$K$7:$K$2738,選手一覧!$C$7:$C$2738,A417)</f>
        <v>375</v>
      </c>
      <c r="H417" s="16"/>
    </row>
    <row r="418" customFormat="false" ht="15" hidden="false" customHeight="false" outlineLevel="0" collapsed="false">
      <c r="A418" s="10" t="s">
        <v>1260</v>
      </c>
      <c r="B418" s="12" t="n">
        <f aca="false">COUNTIF(選手一覧!$C$7:$C$2738,A418)</f>
        <v>2</v>
      </c>
      <c r="C418" s="14" t="n">
        <f aca="false">COUNTIFS(選手一覧!$C$7:$C$2738,A418,選手一覧!$K$7:$K$2738,"&lt;=100")</f>
        <v>0</v>
      </c>
      <c r="D418" s="14" t="n">
        <f aca="false">COUNTIFS(選手一覧!$C$7:$C$2738,A418,選手一覧!$E$7:$E$2738,"&lt;=100")</f>
        <v>0</v>
      </c>
      <c r="E418" s="14" t="n">
        <f aca="false">COUNTIFS(選手一覧!$C$7:$C$2738,A418,選手一覧!$G$7:$G$2738,"&lt;=100")</f>
        <v>0</v>
      </c>
      <c r="F418" s="14" t="n">
        <f aca="false">COUNTIFS(選手一覧!$C$7:$C$2738,A418,選手一覧!$I$7:$I$2738,"&lt;=100")</f>
        <v>0</v>
      </c>
      <c r="G418" s="13" t="n">
        <f aca="false">_xlfn.MINIFS(選手一覧!$K$7:$K$2738,選手一覧!$C$7:$C$2738,A418)</f>
        <v>381</v>
      </c>
      <c r="H418" s="16"/>
    </row>
    <row r="419" customFormat="false" ht="15" hidden="false" customHeight="false" outlineLevel="0" collapsed="false">
      <c r="A419" s="10" t="s">
        <v>1271</v>
      </c>
      <c r="B419" s="12" t="n">
        <f aca="false">COUNTIF(選手一覧!$C$7:$C$2738,A419)</f>
        <v>2</v>
      </c>
      <c r="C419" s="14" t="n">
        <f aca="false">COUNTIFS(選手一覧!$C$7:$C$2738,A419,選手一覧!$K$7:$K$2738,"&lt;=100")</f>
        <v>0</v>
      </c>
      <c r="D419" s="14" t="n">
        <f aca="false">COUNTIFS(選手一覧!$C$7:$C$2738,A419,選手一覧!$E$7:$E$2738,"&lt;=100")</f>
        <v>0</v>
      </c>
      <c r="E419" s="14" t="n">
        <f aca="false">COUNTIFS(選手一覧!$C$7:$C$2738,A419,選手一覧!$G$7:$G$2738,"&lt;=100")</f>
        <v>0</v>
      </c>
      <c r="F419" s="14" t="n">
        <f aca="false">COUNTIFS(選手一覧!$C$7:$C$2738,A419,選手一覧!$I$7:$I$2738,"&lt;=100")</f>
        <v>0</v>
      </c>
      <c r="G419" s="13" t="n">
        <f aca="false">_xlfn.MINIFS(選手一覧!$K$7:$K$2738,選手一覧!$C$7:$C$2738,A419)</f>
        <v>384</v>
      </c>
      <c r="H419" s="16"/>
    </row>
    <row r="420" customFormat="false" ht="15" hidden="false" customHeight="false" outlineLevel="0" collapsed="false">
      <c r="A420" s="10" t="s">
        <v>1286</v>
      </c>
      <c r="B420" s="12" t="n">
        <f aca="false">COUNTIF(選手一覧!$C$7:$C$2738,A420)</f>
        <v>2</v>
      </c>
      <c r="C420" s="14" t="n">
        <f aca="false">COUNTIFS(選手一覧!$C$7:$C$2738,A420,選手一覧!$K$7:$K$2738,"&lt;=100")</f>
        <v>0</v>
      </c>
      <c r="D420" s="14" t="n">
        <f aca="false">COUNTIFS(選手一覧!$C$7:$C$2738,A420,選手一覧!$E$7:$E$2738,"&lt;=100")</f>
        <v>0</v>
      </c>
      <c r="E420" s="14" t="n">
        <f aca="false">COUNTIFS(選手一覧!$C$7:$C$2738,A420,選手一覧!$G$7:$G$2738,"&lt;=100")</f>
        <v>0</v>
      </c>
      <c r="F420" s="14" t="n">
        <f aca="false">COUNTIFS(選手一覧!$C$7:$C$2738,A420,選手一覧!$I$7:$I$2738,"&lt;=100")</f>
        <v>0</v>
      </c>
      <c r="G420" s="13" t="n">
        <f aca="false">_xlfn.MINIFS(選手一覧!$K$7:$K$2738,選手一覧!$C$7:$C$2738,A420)</f>
        <v>389</v>
      </c>
      <c r="H420" s="16"/>
    </row>
    <row r="421" customFormat="false" ht="15" hidden="false" customHeight="false" outlineLevel="0" collapsed="false">
      <c r="A421" s="10" t="s">
        <v>1336</v>
      </c>
      <c r="B421" s="12" t="n">
        <f aca="false">COUNTIF(選手一覧!$C$7:$C$2738,A421)</f>
        <v>2</v>
      </c>
      <c r="C421" s="14" t="n">
        <f aca="false">COUNTIFS(選手一覧!$C$7:$C$2738,A421,選手一覧!$K$7:$K$2738,"&lt;=100")</f>
        <v>0</v>
      </c>
      <c r="D421" s="14" t="n">
        <f aca="false">COUNTIFS(選手一覧!$C$7:$C$2738,A421,選手一覧!$E$7:$E$2738,"&lt;=100")</f>
        <v>0</v>
      </c>
      <c r="E421" s="14" t="n">
        <f aca="false">COUNTIFS(選手一覧!$C$7:$C$2738,A421,選手一覧!$G$7:$G$2738,"&lt;=100")</f>
        <v>0</v>
      </c>
      <c r="F421" s="14" t="n">
        <f aca="false">COUNTIFS(選手一覧!$C$7:$C$2738,A421,選手一覧!$I$7:$I$2738,"&lt;=100")</f>
        <v>0</v>
      </c>
      <c r="G421" s="13" t="n">
        <f aca="false">_xlfn.MINIFS(選手一覧!$K$7:$K$2738,選手一覧!$C$7:$C$2738,A421)</f>
        <v>405</v>
      </c>
      <c r="H421" s="16"/>
    </row>
    <row r="422" customFormat="false" ht="15" hidden="false" customHeight="false" outlineLevel="0" collapsed="false">
      <c r="A422" s="10" t="s">
        <v>1348</v>
      </c>
      <c r="B422" s="12" t="n">
        <f aca="false">COUNTIF(選手一覧!$C$7:$C$2738,A422)</f>
        <v>2</v>
      </c>
      <c r="C422" s="14" t="n">
        <f aca="false">COUNTIFS(選手一覧!$C$7:$C$2738,A422,選手一覧!$K$7:$K$2738,"&lt;=100")</f>
        <v>0</v>
      </c>
      <c r="D422" s="14" t="n">
        <f aca="false">COUNTIFS(選手一覧!$C$7:$C$2738,A422,選手一覧!$E$7:$E$2738,"&lt;=100")</f>
        <v>0</v>
      </c>
      <c r="E422" s="14" t="n">
        <f aca="false">COUNTIFS(選手一覧!$C$7:$C$2738,A422,選手一覧!$G$7:$G$2738,"&lt;=100")</f>
        <v>0</v>
      </c>
      <c r="F422" s="14" t="n">
        <f aca="false">COUNTIFS(選手一覧!$C$7:$C$2738,A422,選手一覧!$I$7:$I$2738,"&lt;=100")</f>
        <v>0</v>
      </c>
      <c r="G422" s="13" t="n">
        <f aca="false">_xlfn.MINIFS(選手一覧!$K$7:$K$2738,選手一覧!$C$7:$C$2738,A422)</f>
        <v>409</v>
      </c>
      <c r="H422" s="16"/>
    </row>
    <row r="423" customFormat="false" ht="15" hidden="false" customHeight="false" outlineLevel="0" collapsed="false">
      <c r="A423" s="10" t="s">
        <v>1357</v>
      </c>
      <c r="B423" s="12" t="n">
        <f aca="false">COUNTIF(選手一覧!$C$7:$C$2738,A423)</f>
        <v>2</v>
      </c>
      <c r="C423" s="14" t="n">
        <f aca="false">COUNTIFS(選手一覧!$C$7:$C$2738,A423,選手一覧!$K$7:$K$2738,"&lt;=100")</f>
        <v>0</v>
      </c>
      <c r="D423" s="14" t="n">
        <f aca="false">COUNTIFS(選手一覧!$C$7:$C$2738,A423,選手一覧!$E$7:$E$2738,"&lt;=100")</f>
        <v>0</v>
      </c>
      <c r="E423" s="14" t="n">
        <f aca="false">COUNTIFS(選手一覧!$C$7:$C$2738,A423,選手一覧!$G$7:$G$2738,"&lt;=100")</f>
        <v>0</v>
      </c>
      <c r="F423" s="14" t="n">
        <f aca="false">COUNTIFS(選手一覧!$C$7:$C$2738,A423,選手一覧!$I$7:$I$2738,"&lt;=100")</f>
        <v>0</v>
      </c>
      <c r="G423" s="13" t="n">
        <f aca="false">_xlfn.MINIFS(選手一覧!$K$7:$K$2738,選手一覧!$C$7:$C$2738,A423)</f>
        <v>413</v>
      </c>
      <c r="H423" s="16"/>
    </row>
    <row r="424" customFormat="false" ht="15" hidden="false" customHeight="false" outlineLevel="0" collapsed="false">
      <c r="A424" s="10" t="s">
        <v>1386</v>
      </c>
      <c r="B424" s="12" t="n">
        <f aca="false">COUNTIF(選手一覧!$C$7:$C$2738,A424)</f>
        <v>2</v>
      </c>
      <c r="C424" s="14" t="n">
        <f aca="false">COUNTIFS(選手一覧!$C$7:$C$2738,A424,選手一覧!$K$7:$K$2738,"&lt;=100")</f>
        <v>0</v>
      </c>
      <c r="D424" s="14" t="n">
        <f aca="false">COUNTIFS(選手一覧!$C$7:$C$2738,A424,選手一覧!$E$7:$E$2738,"&lt;=100")</f>
        <v>0</v>
      </c>
      <c r="E424" s="14" t="n">
        <f aca="false">COUNTIFS(選手一覧!$C$7:$C$2738,A424,選手一覧!$G$7:$G$2738,"&lt;=100")</f>
        <v>0</v>
      </c>
      <c r="F424" s="14" t="n">
        <f aca="false">COUNTIFS(選手一覧!$C$7:$C$2738,A424,選手一覧!$I$7:$I$2738,"&lt;=100")</f>
        <v>0</v>
      </c>
      <c r="G424" s="13" t="n">
        <f aca="false">_xlfn.MINIFS(選手一覧!$K$7:$K$2738,選手一覧!$C$7:$C$2738,A424)</f>
        <v>422</v>
      </c>
      <c r="H424" s="16"/>
    </row>
    <row r="425" customFormat="false" ht="15" hidden="false" customHeight="false" outlineLevel="0" collapsed="false">
      <c r="A425" s="10" t="s">
        <v>1395</v>
      </c>
      <c r="B425" s="12" t="n">
        <f aca="false">COUNTIF(選手一覧!$C$7:$C$2738,A425)</f>
        <v>2</v>
      </c>
      <c r="C425" s="14" t="n">
        <f aca="false">COUNTIFS(選手一覧!$C$7:$C$2738,A425,選手一覧!$K$7:$K$2738,"&lt;=100")</f>
        <v>0</v>
      </c>
      <c r="D425" s="14" t="n">
        <f aca="false">COUNTIFS(選手一覧!$C$7:$C$2738,A425,選手一覧!$E$7:$E$2738,"&lt;=100")</f>
        <v>0</v>
      </c>
      <c r="E425" s="14" t="n">
        <f aca="false">COUNTIFS(選手一覧!$C$7:$C$2738,A425,選手一覧!$G$7:$G$2738,"&lt;=100")</f>
        <v>0</v>
      </c>
      <c r="F425" s="14" t="n">
        <f aca="false">COUNTIFS(選手一覧!$C$7:$C$2738,A425,選手一覧!$I$7:$I$2738,"&lt;=100")</f>
        <v>0</v>
      </c>
      <c r="G425" s="13" t="n">
        <f aca="false">_xlfn.MINIFS(選手一覧!$K$7:$K$2738,選手一覧!$C$7:$C$2738,A425)</f>
        <v>425</v>
      </c>
      <c r="H425" s="16"/>
    </row>
    <row r="426" customFormat="false" ht="15" hidden="false" customHeight="false" outlineLevel="0" collapsed="false">
      <c r="A426" s="10" t="s">
        <v>1438</v>
      </c>
      <c r="B426" s="12" t="n">
        <f aca="false">COUNTIF(選手一覧!$C$7:$C$2738,A426)</f>
        <v>2</v>
      </c>
      <c r="C426" s="14" t="n">
        <f aca="false">COUNTIFS(選手一覧!$C$7:$C$2738,A426,選手一覧!$K$7:$K$2738,"&lt;=100")</f>
        <v>0</v>
      </c>
      <c r="D426" s="14" t="n">
        <f aca="false">COUNTIFS(選手一覧!$C$7:$C$2738,A426,選手一覧!$E$7:$E$2738,"&lt;=100")</f>
        <v>0</v>
      </c>
      <c r="E426" s="14" t="n">
        <f aca="false">COUNTIFS(選手一覧!$C$7:$C$2738,A426,選手一覧!$G$7:$G$2738,"&lt;=100")</f>
        <v>0</v>
      </c>
      <c r="F426" s="14" t="n">
        <f aca="false">COUNTIFS(選手一覧!$C$7:$C$2738,A426,選手一覧!$I$7:$I$2738,"&lt;=100")</f>
        <v>0</v>
      </c>
      <c r="G426" s="13" t="n">
        <f aca="false">_xlfn.MINIFS(選手一覧!$K$7:$K$2738,選手一覧!$C$7:$C$2738,A426)</f>
        <v>440</v>
      </c>
      <c r="H426" s="16"/>
    </row>
    <row r="427" customFormat="false" ht="15" hidden="false" customHeight="false" outlineLevel="0" collapsed="false">
      <c r="A427" s="10" t="s">
        <v>1440</v>
      </c>
      <c r="B427" s="12" t="n">
        <f aca="false">COUNTIF(選手一覧!$C$7:$C$2738,A427)</f>
        <v>2</v>
      </c>
      <c r="C427" s="14" t="n">
        <f aca="false">COUNTIFS(選手一覧!$C$7:$C$2738,A427,選手一覧!$K$7:$K$2738,"&lt;=100")</f>
        <v>0</v>
      </c>
      <c r="D427" s="14" t="n">
        <f aca="false">COUNTIFS(選手一覧!$C$7:$C$2738,A427,選手一覧!$E$7:$E$2738,"&lt;=100")</f>
        <v>0</v>
      </c>
      <c r="E427" s="14" t="n">
        <f aca="false">COUNTIFS(選手一覧!$C$7:$C$2738,A427,選手一覧!$G$7:$G$2738,"&lt;=100")</f>
        <v>0</v>
      </c>
      <c r="F427" s="14" t="n">
        <f aca="false">COUNTIFS(選手一覧!$C$7:$C$2738,A427,選手一覧!$I$7:$I$2738,"&lt;=100")</f>
        <v>0</v>
      </c>
      <c r="G427" s="13" t="n">
        <f aca="false">_xlfn.MINIFS(選手一覧!$K$7:$K$2738,選手一覧!$C$7:$C$2738,A427)</f>
        <v>441</v>
      </c>
      <c r="H427" s="16"/>
    </row>
    <row r="428" customFormat="false" ht="15" hidden="false" customHeight="false" outlineLevel="0" collapsed="false">
      <c r="A428" s="10" t="s">
        <v>1456</v>
      </c>
      <c r="B428" s="12" t="n">
        <f aca="false">COUNTIF(選手一覧!$C$7:$C$2738,A428)</f>
        <v>2</v>
      </c>
      <c r="C428" s="14" t="n">
        <f aca="false">COUNTIFS(選手一覧!$C$7:$C$2738,A428,選手一覧!$K$7:$K$2738,"&lt;=100")</f>
        <v>0</v>
      </c>
      <c r="D428" s="14" t="n">
        <f aca="false">COUNTIFS(選手一覧!$C$7:$C$2738,A428,選手一覧!$E$7:$E$2738,"&lt;=100")</f>
        <v>0</v>
      </c>
      <c r="E428" s="14" t="n">
        <f aca="false">COUNTIFS(選手一覧!$C$7:$C$2738,A428,選手一覧!$G$7:$G$2738,"&lt;=100")</f>
        <v>0</v>
      </c>
      <c r="F428" s="14" t="n">
        <f aca="false">COUNTIFS(選手一覧!$C$7:$C$2738,A428,選手一覧!$I$7:$I$2738,"&lt;=100")</f>
        <v>0</v>
      </c>
      <c r="G428" s="13" t="n">
        <f aca="false">_xlfn.MINIFS(選手一覧!$K$7:$K$2738,選手一覧!$C$7:$C$2738,A428)</f>
        <v>446</v>
      </c>
      <c r="H428" s="16"/>
    </row>
    <row r="429" customFormat="false" ht="15" hidden="false" customHeight="false" outlineLevel="0" collapsed="false">
      <c r="A429" s="10" t="s">
        <v>1474</v>
      </c>
      <c r="B429" s="12" t="n">
        <f aca="false">COUNTIF(選手一覧!$C$7:$C$2738,A429)</f>
        <v>2</v>
      </c>
      <c r="C429" s="14" t="n">
        <f aca="false">COUNTIFS(選手一覧!$C$7:$C$2738,A429,選手一覧!$K$7:$K$2738,"&lt;=100")</f>
        <v>0</v>
      </c>
      <c r="D429" s="14" t="n">
        <f aca="false">COUNTIFS(選手一覧!$C$7:$C$2738,A429,選手一覧!$E$7:$E$2738,"&lt;=100")</f>
        <v>0</v>
      </c>
      <c r="E429" s="14" t="n">
        <f aca="false">COUNTIFS(選手一覧!$C$7:$C$2738,A429,選手一覧!$G$7:$G$2738,"&lt;=100")</f>
        <v>0</v>
      </c>
      <c r="F429" s="14" t="n">
        <f aca="false">COUNTIFS(選手一覧!$C$7:$C$2738,A429,選手一覧!$I$7:$I$2738,"&lt;=100")</f>
        <v>0</v>
      </c>
      <c r="G429" s="13" t="n">
        <f aca="false">_xlfn.MINIFS(選手一覧!$K$7:$K$2738,選手一覧!$C$7:$C$2738,A429)</f>
        <v>453</v>
      </c>
      <c r="H429" s="16"/>
    </row>
    <row r="430" customFormat="false" ht="15" hidden="false" customHeight="false" outlineLevel="0" collapsed="false">
      <c r="A430" s="10" t="s">
        <v>1485</v>
      </c>
      <c r="B430" s="12" t="n">
        <f aca="false">COUNTIF(選手一覧!$C$7:$C$2738,A430)</f>
        <v>2</v>
      </c>
      <c r="C430" s="14" t="n">
        <f aca="false">COUNTIFS(選手一覧!$C$7:$C$2738,A430,選手一覧!$K$7:$K$2738,"&lt;=100")</f>
        <v>0</v>
      </c>
      <c r="D430" s="14" t="n">
        <f aca="false">COUNTIFS(選手一覧!$C$7:$C$2738,A430,選手一覧!$E$7:$E$2738,"&lt;=100")</f>
        <v>0</v>
      </c>
      <c r="E430" s="14" t="n">
        <f aca="false">COUNTIFS(選手一覧!$C$7:$C$2738,A430,選手一覧!$G$7:$G$2738,"&lt;=100")</f>
        <v>0</v>
      </c>
      <c r="F430" s="14" t="n">
        <f aca="false">COUNTIFS(選手一覧!$C$7:$C$2738,A430,選手一覧!$I$7:$I$2738,"&lt;=100")</f>
        <v>0</v>
      </c>
      <c r="G430" s="13" t="n">
        <f aca="false">_xlfn.MINIFS(選手一覧!$K$7:$K$2738,選手一覧!$C$7:$C$2738,A430)</f>
        <v>458</v>
      </c>
      <c r="H430" s="16"/>
    </row>
    <row r="431" customFormat="false" ht="15" hidden="false" customHeight="false" outlineLevel="0" collapsed="false">
      <c r="A431" s="10" t="s">
        <v>1514</v>
      </c>
      <c r="B431" s="12" t="n">
        <f aca="false">COUNTIF(選手一覧!$C$7:$C$2738,A431)</f>
        <v>2</v>
      </c>
      <c r="C431" s="14" t="n">
        <f aca="false">COUNTIFS(選手一覧!$C$7:$C$2738,A431,選手一覧!$K$7:$K$2738,"&lt;=100")</f>
        <v>0</v>
      </c>
      <c r="D431" s="14" t="n">
        <f aca="false">COUNTIFS(選手一覧!$C$7:$C$2738,A431,選手一覧!$E$7:$E$2738,"&lt;=100")</f>
        <v>0</v>
      </c>
      <c r="E431" s="14" t="n">
        <f aca="false">COUNTIFS(選手一覧!$C$7:$C$2738,A431,選手一覧!$G$7:$G$2738,"&lt;=100")</f>
        <v>0</v>
      </c>
      <c r="F431" s="14" t="n">
        <f aca="false">COUNTIFS(選手一覧!$C$7:$C$2738,A431,選手一覧!$I$7:$I$2738,"&lt;=100")</f>
        <v>0</v>
      </c>
      <c r="G431" s="13" t="n">
        <f aca="false">_xlfn.MINIFS(選手一覧!$K$7:$K$2738,選手一覧!$C$7:$C$2738,A431)</f>
        <v>467</v>
      </c>
      <c r="H431" s="16"/>
    </row>
    <row r="432" customFormat="false" ht="15" hidden="false" customHeight="false" outlineLevel="0" collapsed="false">
      <c r="A432" s="10" t="s">
        <v>1516</v>
      </c>
      <c r="B432" s="12" t="n">
        <f aca="false">COUNTIF(選手一覧!$C$7:$C$2738,A432)</f>
        <v>2</v>
      </c>
      <c r="C432" s="14" t="n">
        <f aca="false">COUNTIFS(選手一覧!$C$7:$C$2738,A432,選手一覧!$K$7:$K$2738,"&lt;=100")</f>
        <v>0</v>
      </c>
      <c r="D432" s="14" t="n">
        <f aca="false">COUNTIFS(選手一覧!$C$7:$C$2738,A432,選手一覧!$E$7:$E$2738,"&lt;=100")</f>
        <v>0</v>
      </c>
      <c r="E432" s="14" t="n">
        <f aca="false">COUNTIFS(選手一覧!$C$7:$C$2738,A432,選手一覧!$G$7:$G$2738,"&lt;=100")</f>
        <v>0</v>
      </c>
      <c r="F432" s="14" t="n">
        <f aca="false">COUNTIFS(選手一覧!$C$7:$C$2738,A432,選手一覧!$I$7:$I$2738,"&lt;=100")</f>
        <v>0</v>
      </c>
      <c r="G432" s="13" t="n">
        <f aca="false">_xlfn.MINIFS(選手一覧!$K$7:$K$2738,選手一覧!$C$7:$C$2738,A432)</f>
        <v>468</v>
      </c>
      <c r="H432" s="16"/>
    </row>
    <row r="433" customFormat="false" ht="15" hidden="false" customHeight="false" outlineLevel="0" collapsed="false">
      <c r="A433" s="10" t="s">
        <v>1548</v>
      </c>
      <c r="B433" s="12" t="n">
        <f aca="false">COUNTIF(選手一覧!$C$7:$C$2738,A433)</f>
        <v>2</v>
      </c>
      <c r="C433" s="14" t="n">
        <f aca="false">COUNTIFS(選手一覧!$C$7:$C$2738,A433,選手一覧!$K$7:$K$2738,"&lt;=100")</f>
        <v>0</v>
      </c>
      <c r="D433" s="14" t="n">
        <f aca="false">COUNTIFS(選手一覧!$C$7:$C$2738,A433,選手一覧!$E$7:$E$2738,"&lt;=100")</f>
        <v>0</v>
      </c>
      <c r="E433" s="14" t="n">
        <f aca="false">COUNTIFS(選手一覧!$C$7:$C$2738,A433,選手一覧!$G$7:$G$2738,"&lt;=100")</f>
        <v>0</v>
      </c>
      <c r="F433" s="14" t="n">
        <f aca="false">COUNTIFS(選手一覧!$C$7:$C$2738,A433,選手一覧!$I$7:$I$2738,"&lt;=100")</f>
        <v>0</v>
      </c>
      <c r="G433" s="13" t="n">
        <f aca="false">_xlfn.MINIFS(選手一覧!$K$7:$K$2738,選手一覧!$C$7:$C$2738,A433)</f>
        <v>480</v>
      </c>
      <c r="H433" s="16"/>
    </row>
    <row r="434" customFormat="false" ht="15" hidden="false" customHeight="false" outlineLevel="0" collapsed="false">
      <c r="A434" s="10" t="s">
        <v>1575</v>
      </c>
      <c r="B434" s="12" t="n">
        <f aca="false">COUNTIF(選手一覧!$C$7:$C$2738,A434)</f>
        <v>2</v>
      </c>
      <c r="C434" s="14" t="n">
        <f aca="false">COUNTIFS(選手一覧!$C$7:$C$2738,A434,選手一覧!$K$7:$K$2738,"&lt;=100")</f>
        <v>0</v>
      </c>
      <c r="D434" s="14" t="n">
        <f aca="false">COUNTIFS(選手一覧!$C$7:$C$2738,A434,選手一覧!$E$7:$E$2738,"&lt;=100")</f>
        <v>0</v>
      </c>
      <c r="E434" s="14" t="n">
        <f aca="false">COUNTIFS(選手一覧!$C$7:$C$2738,A434,選手一覧!$G$7:$G$2738,"&lt;=100")</f>
        <v>0</v>
      </c>
      <c r="F434" s="14" t="n">
        <f aca="false">COUNTIFS(選手一覧!$C$7:$C$2738,A434,選手一覧!$I$7:$I$2738,"&lt;=100")</f>
        <v>0</v>
      </c>
      <c r="G434" s="13" t="n">
        <f aca="false">_xlfn.MINIFS(選手一覧!$K$7:$K$2738,選手一覧!$C$7:$C$2738,A434)</f>
        <v>490</v>
      </c>
      <c r="H434" s="16"/>
    </row>
    <row r="435" customFormat="false" ht="15" hidden="false" customHeight="false" outlineLevel="0" collapsed="false">
      <c r="A435" s="10" t="s">
        <v>1599</v>
      </c>
      <c r="B435" s="12" t="n">
        <f aca="false">COUNTIF(選手一覧!$C$7:$C$2738,A435)</f>
        <v>2</v>
      </c>
      <c r="C435" s="14" t="n">
        <f aca="false">COUNTIFS(選手一覧!$C$7:$C$2738,A435,選手一覧!$K$7:$K$2738,"&lt;=100")</f>
        <v>0</v>
      </c>
      <c r="D435" s="14" t="n">
        <f aca="false">COUNTIFS(選手一覧!$C$7:$C$2738,A435,選手一覧!$E$7:$E$2738,"&lt;=100")</f>
        <v>0</v>
      </c>
      <c r="E435" s="14" t="n">
        <f aca="false">COUNTIFS(選手一覧!$C$7:$C$2738,A435,選手一覧!$G$7:$G$2738,"&lt;=100")</f>
        <v>0</v>
      </c>
      <c r="F435" s="14" t="n">
        <f aca="false">COUNTIFS(選手一覧!$C$7:$C$2738,A435,選手一覧!$I$7:$I$2738,"&lt;=100")</f>
        <v>0</v>
      </c>
      <c r="G435" s="13" t="n">
        <f aca="false">_xlfn.MINIFS(選手一覧!$K$7:$K$2738,選手一覧!$C$7:$C$2738,A435)</f>
        <v>499</v>
      </c>
      <c r="H435" s="16"/>
    </row>
    <row r="436" customFormat="false" ht="15" hidden="false" customHeight="false" outlineLevel="0" collapsed="false">
      <c r="A436" s="10" t="s">
        <v>1614</v>
      </c>
      <c r="B436" s="12" t="n">
        <f aca="false">COUNTIF(選手一覧!$C$7:$C$2738,A436)</f>
        <v>2</v>
      </c>
      <c r="C436" s="14" t="n">
        <f aca="false">COUNTIFS(選手一覧!$C$7:$C$2738,A436,選手一覧!$K$7:$K$2738,"&lt;=100")</f>
        <v>0</v>
      </c>
      <c r="D436" s="14" t="n">
        <f aca="false">COUNTIFS(選手一覧!$C$7:$C$2738,A436,選手一覧!$E$7:$E$2738,"&lt;=100")</f>
        <v>0</v>
      </c>
      <c r="E436" s="14" t="n">
        <f aca="false">COUNTIFS(選手一覧!$C$7:$C$2738,A436,選手一覧!$G$7:$G$2738,"&lt;=100")</f>
        <v>0</v>
      </c>
      <c r="F436" s="14" t="n">
        <f aca="false">COUNTIFS(選手一覧!$C$7:$C$2738,A436,選手一覧!$I$7:$I$2738,"&lt;=100")</f>
        <v>0</v>
      </c>
      <c r="G436" s="13" t="n">
        <f aca="false">_xlfn.MINIFS(選手一覧!$K$7:$K$2738,選手一覧!$C$7:$C$2738,A436)</f>
        <v>504</v>
      </c>
      <c r="H436" s="16"/>
    </row>
    <row r="437" customFormat="false" ht="15" hidden="false" customHeight="false" outlineLevel="0" collapsed="false">
      <c r="A437" s="10" t="s">
        <v>1616</v>
      </c>
      <c r="B437" s="12" t="n">
        <f aca="false">COUNTIF(選手一覧!$C$7:$C$2738,A437)</f>
        <v>2</v>
      </c>
      <c r="C437" s="14" t="n">
        <f aca="false">COUNTIFS(選手一覧!$C$7:$C$2738,A437,選手一覧!$K$7:$K$2738,"&lt;=100")</f>
        <v>0</v>
      </c>
      <c r="D437" s="14" t="n">
        <f aca="false">COUNTIFS(選手一覧!$C$7:$C$2738,A437,選手一覧!$E$7:$E$2738,"&lt;=100")</f>
        <v>0</v>
      </c>
      <c r="E437" s="14" t="n">
        <f aca="false">COUNTIFS(選手一覧!$C$7:$C$2738,A437,選手一覧!$G$7:$G$2738,"&lt;=100")</f>
        <v>0</v>
      </c>
      <c r="F437" s="14" t="n">
        <f aca="false">COUNTIFS(選手一覧!$C$7:$C$2738,A437,選手一覧!$I$7:$I$2738,"&lt;=100")</f>
        <v>0</v>
      </c>
      <c r="G437" s="13" t="n">
        <f aca="false">_xlfn.MINIFS(選手一覧!$K$7:$K$2738,選手一覧!$C$7:$C$2738,A437)</f>
        <v>505</v>
      </c>
      <c r="H437" s="16"/>
    </row>
    <row r="438" customFormat="false" ht="15" hidden="false" customHeight="false" outlineLevel="0" collapsed="false">
      <c r="A438" s="10" t="s">
        <v>1621</v>
      </c>
      <c r="B438" s="12" t="n">
        <f aca="false">COUNTIF(選手一覧!$C$7:$C$2738,A438)</f>
        <v>2</v>
      </c>
      <c r="C438" s="14" t="n">
        <f aca="false">COUNTIFS(選手一覧!$C$7:$C$2738,A438,選手一覧!$K$7:$K$2738,"&lt;=100")</f>
        <v>0</v>
      </c>
      <c r="D438" s="14" t="n">
        <f aca="false">COUNTIFS(選手一覧!$C$7:$C$2738,A438,選手一覧!$E$7:$E$2738,"&lt;=100")</f>
        <v>0</v>
      </c>
      <c r="E438" s="14" t="n">
        <f aca="false">COUNTIFS(選手一覧!$C$7:$C$2738,A438,選手一覧!$G$7:$G$2738,"&lt;=100")</f>
        <v>0</v>
      </c>
      <c r="F438" s="14" t="n">
        <f aca="false">COUNTIFS(選手一覧!$C$7:$C$2738,A438,選手一覧!$I$7:$I$2738,"&lt;=100")</f>
        <v>0</v>
      </c>
      <c r="G438" s="13" t="n">
        <f aca="false">_xlfn.MINIFS(選手一覧!$K$7:$K$2738,選手一覧!$C$7:$C$2738,A438)</f>
        <v>507</v>
      </c>
      <c r="H438" s="16"/>
    </row>
    <row r="439" customFormat="false" ht="15" hidden="false" customHeight="false" outlineLevel="0" collapsed="false">
      <c r="A439" s="10" t="s">
        <v>1626</v>
      </c>
      <c r="B439" s="12" t="n">
        <f aca="false">COUNTIF(選手一覧!$C$7:$C$2738,A439)</f>
        <v>2</v>
      </c>
      <c r="C439" s="14" t="n">
        <f aca="false">COUNTIFS(選手一覧!$C$7:$C$2738,A439,選手一覧!$K$7:$K$2738,"&lt;=100")</f>
        <v>0</v>
      </c>
      <c r="D439" s="14" t="n">
        <f aca="false">COUNTIFS(選手一覧!$C$7:$C$2738,A439,選手一覧!$E$7:$E$2738,"&lt;=100")</f>
        <v>0</v>
      </c>
      <c r="E439" s="14" t="n">
        <f aca="false">COUNTIFS(選手一覧!$C$7:$C$2738,A439,選手一覧!$G$7:$G$2738,"&lt;=100")</f>
        <v>0</v>
      </c>
      <c r="F439" s="14" t="n">
        <f aca="false">COUNTIFS(選手一覧!$C$7:$C$2738,A439,選手一覧!$I$7:$I$2738,"&lt;=100")</f>
        <v>0</v>
      </c>
      <c r="G439" s="13" t="n">
        <f aca="false">_xlfn.MINIFS(選手一覧!$K$7:$K$2738,選手一覧!$C$7:$C$2738,A439)</f>
        <v>508</v>
      </c>
      <c r="H439" s="16"/>
    </row>
    <row r="440" customFormat="false" ht="15" hidden="false" customHeight="false" outlineLevel="0" collapsed="false">
      <c r="A440" s="10" t="s">
        <v>1630</v>
      </c>
      <c r="B440" s="12" t="n">
        <f aca="false">COUNTIF(選手一覧!$C$7:$C$2738,A440)</f>
        <v>2</v>
      </c>
      <c r="C440" s="14" t="n">
        <f aca="false">COUNTIFS(選手一覧!$C$7:$C$2738,A440,選手一覧!$K$7:$K$2738,"&lt;=100")</f>
        <v>0</v>
      </c>
      <c r="D440" s="14" t="n">
        <f aca="false">COUNTIFS(選手一覧!$C$7:$C$2738,A440,選手一覧!$E$7:$E$2738,"&lt;=100")</f>
        <v>0</v>
      </c>
      <c r="E440" s="14" t="n">
        <f aca="false">COUNTIFS(選手一覧!$C$7:$C$2738,A440,選手一覧!$G$7:$G$2738,"&lt;=100")</f>
        <v>0</v>
      </c>
      <c r="F440" s="14" t="n">
        <f aca="false">COUNTIFS(選手一覧!$C$7:$C$2738,A440,選手一覧!$I$7:$I$2738,"&lt;=100")</f>
        <v>0</v>
      </c>
      <c r="G440" s="13" t="n">
        <f aca="false">_xlfn.MINIFS(選手一覧!$K$7:$K$2738,選手一覧!$C$7:$C$2738,A440)</f>
        <v>509</v>
      </c>
      <c r="H440" s="16"/>
    </row>
    <row r="441" customFormat="false" ht="15" hidden="false" customHeight="false" outlineLevel="0" collapsed="false">
      <c r="A441" s="10" t="s">
        <v>1649</v>
      </c>
      <c r="B441" s="12" t="n">
        <f aca="false">COUNTIF(選手一覧!$C$7:$C$2738,A441)</f>
        <v>2</v>
      </c>
      <c r="C441" s="14" t="n">
        <f aca="false">COUNTIFS(選手一覧!$C$7:$C$2738,A441,選手一覧!$K$7:$K$2738,"&lt;=100")</f>
        <v>0</v>
      </c>
      <c r="D441" s="14" t="n">
        <f aca="false">COUNTIFS(選手一覧!$C$7:$C$2738,A441,選手一覧!$E$7:$E$2738,"&lt;=100")</f>
        <v>0</v>
      </c>
      <c r="E441" s="14" t="n">
        <f aca="false">COUNTIFS(選手一覧!$C$7:$C$2738,A441,選手一覧!$G$7:$G$2738,"&lt;=100")</f>
        <v>0</v>
      </c>
      <c r="F441" s="14" t="n">
        <f aca="false">COUNTIFS(選手一覧!$C$7:$C$2738,A441,選手一覧!$I$7:$I$2738,"&lt;=100")</f>
        <v>0</v>
      </c>
      <c r="G441" s="13" t="n">
        <f aca="false">_xlfn.MINIFS(選手一覧!$K$7:$K$2738,選手一覧!$C$7:$C$2738,A441)</f>
        <v>517</v>
      </c>
      <c r="H441" s="16"/>
    </row>
    <row r="442" customFormat="false" ht="15" hidden="false" customHeight="false" outlineLevel="0" collapsed="false">
      <c r="A442" s="10" t="s">
        <v>1653</v>
      </c>
      <c r="B442" s="12" t="n">
        <f aca="false">COUNTIF(選手一覧!$C$7:$C$2738,A442)</f>
        <v>2</v>
      </c>
      <c r="C442" s="14" t="n">
        <f aca="false">COUNTIFS(選手一覧!$C$7:$C$2738,A442,選手一覧!$K$7:$K$2738,"&lt;=100")</f>
        <v>0</v>
      </c>
      <c r="D442" s="14" t="n">
        <f aca="false">COUNTIFS(選手一覧!$C$7:$C$2738,A442,選手一覧!$E$7:$E$2738,"&lt;=100")</f>
        <v>0</v>
      </c>
      <c r="E442" s="14" t="n">
        <f aca="false">COUNTIFS(選手一覧!$C$7:$C$2738,A442,選手一覧!$G$7:$G$2738,"&lt;=100")</f>
        <v>0</v>
      </c>
      <c r="F442" s="14" t="n">
        <f aca="false">COUNTIFS(選手一覧!$C$7:$C$2738,A442,選手一覧!$I$7:$I$2738,"&lt;=100")</f>
        <v>0</v>
      </c>
      <c r="G442" s="13" t="n">
        <f aca="false">_xlfn.MINIFS(選手一覧!$K$7:$K$2738,選手一覧!$C$7:$C$2738,A442)</f>
        <v>519</v>
      </c>
      <c r="H442" s="16"/>
    </row>
    <row r="443" customFormat="false" ht="15" hidden="false" customHeight="false" outlineLevel="0" collapsed="false">
      <c r="A443" s="10" t="s">
        <v>1675</v>
      </c>
      <c r="B443" s="12" t="n">
        <f aca="false">COUNTIF(選手一覧!$C$7:$C$2738,A443)</f>
        <v>2</v>
      </c>
      <c r="C443" s="14" t="n">
        <f aca="false">COUNTIFS(選手一覧!$C$7:$C$2738,A443,選手一覧!$K$7:$K$2738,"&lt;=100")</f>
        <v>0</v>
      </c>
      <c r="D443" s="14" t="n">
        <f aca="false">COUNTIFS(選手一覧!$C$7:$C$2738,A443,選手一覧!$E$7:$E$2738,"&lt;=100")</f>
        <v>0</v>
      </c>
      <c r="E443" s="14" t="n">
        <f aca="false">COUNTIFS(選手一覧!$C$7:$C$2738,A443,選手一覧!$G$7:$G$2738,"&lt;=100")</f>
        <v>0</v>
      </c>
      <c r="F443" s="14" t="n">
        <f aca="false">COUNTIFS(選手一覧!$C$7:$C$2738,A443,選手一覧!$I$7:$I$2738,"&lt;=100")</f>
        <v>0</v>
      </c>
      <c r="G443" s="13" t="n">
        <f aca="false">_xlfn.MINIFS(選手一覧!$K$7:$K$2738,選手一覧!$C$7:$C$2738,A443)</f>
        <v>525</v>
      </c>
      <c r="H443" s="16"/>
    </row>
    <row r="444" customFormat="false" ht="15" hidden="false" customHeight="false" outlineLevel="0" collapsed="false">
      <c r="A444" s="10" t="s">
        <v>1702</v>
      </c>
      <c r="B444" s="12" t="n">
        <f aca="false">COUNTIF(選手一覧!$C$7:$C$2738,A444)</f>
        <v>2</v>
      </c>
      <c r="C444" s="14" t="n">
        <f aca="false">COUNTIFS(選手一覧!$C$7:$C$2738,A444,選手一覧!$K$7:$K$2738,"&lt;=100")</f>
        <v>0</v>
      </c>
      <c r="D444" s="14" t="n">
        <f aca="false">COUNTIFS(選手一覧!$C$7:$C$2738,A444,選手一覧!$E$7:$E$2738,"&lt;=100")</f>
        <v>0</v>
      </c>
      <c r="E444" s="14" t="n">
        <f aca="false">COUNTIFS(選手一覧!$C$7:$C$2738,A444,選手一覧!$G$7:$G$2738,"&lt;=100")</f>
        <v>0</v>
      </c>
      <c r="F444" s="14" t="n">
        <f aca="false">COUNTIFS(選手一覧!$C$7:$C$2738,A444,選手一覧!$I$7:$I$2738,"&lt;=100")</f>
        <v>0</v>
      </c>
      <c r="G444" s="13" t="n">
        <f aca="false">_xlfn.MINIFS(選手一覧!$K$7:$K$2738,選手一覧!$C$7:$C$2738,A444)</f>
        <v>536</v>
      </c>
      <c r="H444" s="16"/>
    </row>
    <row r="445" customFormat="false" ht="15" hidden="false" customHeight="false" outlineLevel="0" collapsed="false">
      <c r="A445" s="10" t="s">
        <v>1717</v>
      </c>
      <c r="B445" s="12" t="n">
        <f aca="false">COUNTIF(選手一覧!$C$7:$C$2738,A445)</f>
        <v>2</v>
      </c>
      <c r="C445" s="14" t="n">
        <f aca="false">COUNTIFS(選手一覧!$C$7:$C$2738,A445,選手一覧!$K$7:$K$2738,"&lt;=100")</f>
        <v>0</v>
      </c>
      <c r="D445" s="14" t="n">
        <f aca="false">COUNTIFS(選手一覧!$C$7:$C$2738,A445,選手一覧!$E$7:$E$2738,"&lt;=100")</f>
        <v>0</v>
      </c>
      <c r="E445" s="14" t="n">
        <f aca="false">COUNTIFS(選手一覧!$C$7:$C$2738,A445,選手一覧!$G$7:$G$2738,"&lt;=100")</f>
        <v>0</v>
      </c>
      <c r="F445" s="14" t="n">
        <f aca="false">COUNTIFS(選手一覧!$C$7:$C$2738,A445,選手一覧!$I$7:$I$2738,"&lt;=100")</f>
        <v>0</v>
      </c>
      <c r="G445" s="13" t="n">
        <f aca="false">_xlfn.MINIFS(選手一覧!$K$7:$K$2738,選手一覧!$C$7:$C$2738,A445)</f>
        <v>542</v>
      </c>
      <c r="H445" s="16"/>
    </row>
    <row r="446" customFormat="false" ht="15" hidden="false" customHeight="false" outlineLevel="0" collapsed="false">
      <c r="A446" s="10" t="s">
        <v>1721</v>
      </c>
      <c r="B446" s="12" t="n">
        <f aca="false">COUNTIF(選手一覧!$C$7:$C$2738,A446)</f>
        <v>2</v>
      </c>
      <c r="C446" s="14" t="n">
        <f aca="false">COUNTIFS(選手一覧!$C$7:$C$2738,A446,選手一覧!$K$7:$K$2738,"&lt;=100")</f>
        <v>0</v>
      </c>
      <c r="D446" s="14" t="n">
        <f aca="false">COUNTIFS(選手一覧!$C$7:$C$2738,A446,選手一覧!$E$7:$E$2738,"&lt;=100")</f>
        <v>0</v>
      </c>
      <c r="E446" s="14" t="n">
        <f aca="false">COUNTIFS(選手一覧!$C$7:$C$2738,A446,選手一覧!$G$7:$G$2738,"&lt;=100")</f>
        <v>0</v>
      </c>
      <c r="F446" s="14" t="n">
        <f aca="false">COUNTIFS(選手一覧!$C$7:$C$2738,A446,選手一覧!$I$7:$I$2738,"&lt;=100")</f>
        <v>0</v>
      </c>
      <c r="G446" s="13" t="n">
        <f aca="false">_xlfn.MINIFS(選手一覧!$K$7:$K$2738,選手一覧!$C$7:$C$2738,A446)</f>
        <v>543</v>
      </c>
      <c r="H446" s="16"/>
    </row>
    <row r="447" customFormat="false" ht="15" hidden="false" customHeight="false" outlineLevel="0" collapsed="false">
      <c r="A447" s="10" t="s">
        <v>1738</v>
      </c>
      <c r="B447" s="12" t="n">
        <f aca="false">COUNTIF(選手一覧!$C$7:$C$2738,A447)</f>
        <v>2</v>
      </c>
      <c r="C447" s="14" t="n">
        <f aca="false">COUNTIFS(選手一覧!$C$7:$C$2738,A447,選手一覧!$K$7:$K$2738,"&lt;=100")</f>
        <v>0</v>
      </c>
      <c r="D447" s="14" t="n">
        <f aca="false">COUNTIFS(選手一覧!$C$7:$C$2738,A447,選手一覧!$E$7:$E$2738,"&lt;=100")</f>
        <v>0</v>
      </c>
      <c r="E447" s="14" t="n">
        <f aca="false">COUNTIFS(選手一覧!$C$7:$C$2738,A447,選手一覧!$G$7:$G$2738,"&lt;=100")</f>
        <v>0</v>
      </c>
      <c r="F447" s="14" t="n">
        <f aca="false">COUNTIFS(選手一覧!$C$7:$C$2738,A447,選手一覧!$I$7:$I$2738,"&lt;=100")</f>
        <v>0</v>
      </c>
      <c r="G447" s="13" t="n">
        <f aca="false">_xlfn.MINIFS(選手一覧!$K$7:$K$2738,選手一覧!$C$7:$C$2738,A447)</f>
        <v>549</v>
      </c>
      <c r="H447" s="16"/>
    </row>
    <row r="448" customFormat="false" ht="15" hidden="false" customHeight="false" outlineLevel="0" collapsed="false">
      <c r="A448" s="10" t="s">
        <v>1740</v>
      </c>
      <c r="B448" s="12" t="n">
        <f aca="false">COUNTIF(選手一覧!$C$7:$C$2738,A448)</f>
        <v>2</v>
      </c>
      <c r="C448" s="14" t="n">
        <f aca="false">COUNTIFS(選手一覧!$C$7:$C$2738,A448,選手一覧!$K$7:$K$2738,"&lt;=100")</f>
        <v>0</v>
      </c>
      <c r="D448" s="14" t="n">
        <f aca="false">COUNTIFS(選手一覧!$C$7:$C$2738,A448,選手一覧!$E$7:$E$2738,"&lt;=100")</f>
        <v>0</v>
      </c>
      <c r="E448" s="14" t="n">
        <f aca="false">COUNTIFS(選手一覧!$C$7:$C$2738,A448,選手一覧!$G$7:$G$2738,"&lt;=100")</f>
        <v>0</v>
      </c>
      <c r="F448" s="14" t="n">
        <f aca="false">COUNTIFS(選手一覧!$C$7:$C$2738,A448,選手一覧!$I$7:$I$2738,"&lt;=100")</f>
        <v>0</v>
      </c>
      <c r="G448" s="13" t="n">
        <f aca="false">_xlfn.MINIFS(選手一覧!$K$7:$K$2738,選手一覧!$C$7:$C$2738,A448)</f>
        <v>550</v>
      </c>
      <c r="H448" s="16"/>
    </row>
    <row r="449" customFormat="false" ht="15" hidden="false" customHeight="false" outlineLevel="0" collapsed="false">
      <c r="A449" s="10" t="s">
        <v>1747</v>
      </c>
      <c r="B449" s="12" t="n">
        <f aca="false">COUNTIF(選手一覧!$C$7:$C$2738,A449)</f>
        <v>2</v>
      </c>
      <c r="C449" s="14" t="n">
        <f aca="false">COUNTIFS(選手一覧!$C$7:$C$2738,A449,選手一覧!$K$7:$K$2738,"&lt;=100")</f>
        <v>0</v>
      </c>
      <c r="D449" s="14" t="n">
        <f aca="false">COUNTIFS(選手一覧!$C$7:$C$2738,A449,選手一覧!$E$7:$E$2738,"&lt;=100")</f>
        <v>0</v>
      </c>
      <c r="E449" s="14" t="n">
        <f aca="false">COUNTIFS(選手一覧!$C$7:$C$2738,A449,選手一覧!$G$7:$G$2738,"&lt;=100")</f>
        <v>0</v>
      </c>
      <c r="F449" s="14" t="n">
        <f aca="false">COUNTIFS(選手一覧!$C$7:$C$2738,A449,選手一覧!$I$7:$I$2738,"&lt;=100")</f>
        <v>0</v>
      </c>
      <c r="G449" s="13" t="n">
        <f aca="false">_xlfn.MINIFS(選手一覧!$K$7:$K$2738,選手一覧!$C$7:$C$2738,A449)</f>
        <v>552</v>
      </c>
      <c r="H449" s="16"/>
    </row>
    <row r="450" customFormat="false" ht="15" hidden="false" customHeight="false" outlineLevel="0" collapsed="false">
      <c r="A450" s="10" t="s">
        <v>1753</v>
      </c>
      <c r="B450" s="12" t="n">
        <f aca="false">COUNTIF(選手一覧!$C$7:$C$2738,A450)</f>
        <v>2</v>
      </c>
      <c r="C450" s="14" t="n">
        <f aca="false">COUNTIFS(選手一覧!$C$7:$C$2738,A450,選手一覧!$K$7:$K$2738,"&lt;=100")</f>
        <v>0</v>
      </c>
      <c r="D450" s="14" t="n">
        <f aca="false">COUNTIFS(選手一覧!$C$7:$C$2738,A450,選手一覧!$E$7:$E$2738,"&lt;=100")</f>
        <v>0</v>
      </c>
      <c r="E450" s="14" t="n">
        <f aca="false">COUNTIFS(選手一覧!$C$7:$C$2738,A450,選手一覧!$G$7:$G$2738,"&lt;=100")</f>
        <v>0</v>
      </c>
      <c r="F450" s="14" t="n">
        <f aca="false">COUNTIFS(選手一覧!$C$7:$C$2738,A450,選手一覧!$I$7:$I$2738,"&lt;=100")</f>
        <v>0</v>
      </c>
      <c r="G450" s="13" t="n">
        <f aca="false">_xlfn.MINIFS(選手一覧!$K$7:$K$2738,選手一覧!$C$7:$C$2738,A450)</f>
        <v>555</v>
      </c>
      <c r="H450" s="16"/>
    </row>
    <row r="451" customFormat="false" ht="15" hidden="false" customHeight="false" outlineLevel="0" collapsed="false">
      <c r="A451" s="10" t="s">
        <v>1772</v>
      </c>
      <c r="B451" s="12" t="n">
        <f aca="false">COUNTIF(選手一覧!$C$7:$C$2738,A451)</f>
        <v>2</v>
      </c>
      <c r="C451" s="14" t="n">
        <f aca="false">COUNTIFS(選手一覧!$C$7:$C$2738,A451,選手一覧!$K$7:$K$2738,"&lt;=100")</f>
        <v>0</v>
      </c>
      <c r="D451" s="14" t="n">
        <f aca="false">COUNTIFS(選手一覧!$C$7:$C$2738,A451,選手一覧!$E$7:$E$2738,"&lt;=100")</f>
        <v>0</v>
      </c>
      <c r="E451" s="14" t="n">
        <f aca="false">COUNTIFS(選手一覧!$C$7:$C$2738,A451,選手一覧!$G$7:$G$2738,"&lt;=100")</f>
        <v>0</v>
      </c>
      <c r="F451" s="14" t="n">
        <f aca="false">COUNTIFS(選手一覧!$C$7:$C$2738,A451,選手一覧!$I$7:$I$2738,"&lt;=100")</f>
        <v>0</v>
      </c>
      <c r="G451" s="13" t="n">
        <f aca="false">_xlfn.MINIFS(選手一覧!$K$7:$K$2738,選手一覧!$C$7:$C$2738,A451)</f>
        <v>562</v>
      </c>
      <c r="H451" s="16"/>
    </row>
    <row r="452" customFormat="false" ht="15" hidden="false" customHeight="false" outlineLevel="0" collapsed="false">
      <c r="A452" s="10" t="s">
        <v>1783</v>
      </c>
      <c r="B452" s="12" t="n">
        <f aca="false">COUNTIF(選手一覧!$C$7:$C$2738,A452)</f>
        <v>2</v>
      </c>
      <c r="C452" s="14" t="n">
        <f aca="false">COUNTIFS(選手一覧!$C$7:$C$2738,A452,選手一覧!$K$7:$K$2738,"&lt;=100")</f>
        <v>0</v>
      </c>
      <c r="D452" s="14" t="n">
        <f aca="false">COUNTIFS(選手一覧!$C$7:$C$2738,A452,選手一覧!$E$7:$E$2738,"&lt;=100")</f>
        <v>0</v>
      </c>
      <c r="E452" s="14" t="n">
        <f aca="false">COUNTIFS(選手一覧!$C$7:$C$2738,A452,選手一覧!$G$7:$G$2738,"&lt;=100")</f>
        <v>0</v>
      </c>
      <c r="F452" s="14" t="n">
        <f aca="false">COUNTIFS(選手一覧!$C$7:$C$2738,A452,選手一覧!$I$7:$I$2738,"&lt;=100")</f>
        <v>0</v>
      </c>
      <c r="G452" s="13" t="n">
        <f aca="false">_xlfn.MINIFS(選手一覧!$K$7:$K$2738,選手一覧!$C$7:$C$2738,A452)</f>
        <v>564</v>
      </c>
      <c r="H452" s="16"/>
    </row>
    <row r="453" customFormat="false" ht="15" hidden="false" customHeight="false" outlineLevel="0" collapsed="false">
      <c r="A453" s="10" t="s">
        <v>1789</v>
      </c>
      <c r="B453" s="12" t="n">
        <f aca="false">COUNTIF(選手一覧!$C$7:$C$2738,A453)</f>
        <v>2</v>
      </c>
      <c r="C453" s="14" t="n">
        <f aca="false">COUNTIFS(選手一覧!$C$7:$C$2738,A453,選手一覧!$K$7:$K$2738,"&lt;=100")</f>
        <v>0</v>
      </c>
      <c r="D453" s="14" t="n">
        <f aca="false">COUNTIFS(選手一覧!$C$7:$C$2738,A453,選手一覧!$E$7:$E$2738,"&lt;=100")</f>
        <v>0</v>
      </c>
      <c r="E453" s="14" t="n">
        <f aca="false">COUNTIFS(選手一覧!$C$7:$C$2738,A453,選手一覧!$G$7:$G$2738,"&lt;=100")</f>
        <v>0</v>
      </c>
      <c r="F453" s="14" t="n">
        <f aca="false">COUNTIFS(選手一覧!$C$7:$C$2738,A453,選手一覧!$I$7:$I$2738,"&lt;=100")</f>
        <v>0</v>
      </c>
      <c r="G453" s="13" t="n">
        <f aca="false">_xlfn.MINIFS(選手一覧!$K$7:$K$2738,選手一覧!$C$7:$C$2738,A453)</f>
        <v>565</v>
      </c>
      <c r="H453" s="16"/>
    </row>
    <row r="454" customFormat="false" ht="15" hidden="false" customHeight="false" outlineLevel="0" collapsed="false">
      <c r="A454" s="10" t="s">
        <v>1799</v>
      </c>
      <c r="B454" s="12" t="n">
        <f aca="false">COUNTIF(選手一覧!$C$7:$C$2738,A454)</f>
        <v>2</v>
      </c>
      <c r="C454" s="14" t="n">
        <f aca="false">COUNTIFS(選手一覧!$C$7:$C$2738,A454,選手一覧!$K$7:$K$2738,"&lt;=100")</f>
        <v>0</v>
      </c>
      <c r="D454" s="14" t="n">
        <f aca="false">COUNTIFS(選手一覧!$C$7:$C$2738,A454,選手一覧!$E$7:$E$2738,"&lt;=100")</f>
        <v>0</v>
      </c>
      <c r="E454" s="14" t="n">
        <f aca="false">COUNTIFS(選手一覧!$C$7:$C$2738,A454,選手一覧!$G$7:$G$2738,"&lt;=100")</f>
        <v>0</v>
      </c>
      <c r="F454" s="14" t="n">
        <f aca="false">COUNTIFS(選手一覧!$C$7:$C$2738,A454,選手一覧!$I$7:$I$2738,"&lt;=100")</f>
        <v>0</v>
      </c>
      <c r="G454" s="13" t="n">
        <f aca="false">_xlfn.MINIFS(選手一覧!$K$7:$K$2738,選手一覧!$C$7:$C$2738,A454)</f>
        <v>569</v>
      </c>
      <c r="H454" s="16"/>
    </row>
    <row r="455" customFormat="false" ht="15" hidden="false" customHeight="false" outlineLevel="0" collapsed="false">
      <c r="A455" s="10" t="s">
        <v>1804</v>
      </c>
      <c r="B455" s="12" t="n">
        <f aca="false">COUNTIF(選手一覧!$C$7:$C$2738,A455)</f>
        <v>2</v>
      </c>
      <c r="C455" s="14" t="n">
        <f aca="false">COUNTIFS(選手一覧!$C$7:$C$2738,A455,選手一覧!$K$7:$K$2738,"&lt;=100")</f>
        <v>0</v>
      </c>
      <c r="D455" s="14" t="n">
        <f aca="false">COUNTIFS(選手一覧!$C$7:$C$2738,A455,選手一覧!$E$7:$E$2738,"&lt;=100")</f>
        <v>0</v>
      </c>
      <c r="E455" s="14" t="n">
        <f aca="false">COUNTIFS(選手一覧!$C$7:$C$2738,A455,選手一覧!$G$7:$G$2738,"&lt;=100")</f>
        <v>0</v>
      </c>
      <c r="F455" s="14" t="n">
        <f aca="false">COUNTIFS(選手一覧!$C$7:$C$2738,A455,選手一覧!$I$7:$I$2738,"&lt;=100")</f>
        <v>0</v>
      </c>
      <c r="G455" s="13" t="n">
        <f aca="false">_xlfn.MINIFS(選手一覧!$K$7:$K$2738,選手一覧!$C$7:$C$2738,A455)</f>
        <v>571</v>
      </c>
      <c r="H455" s="16"/>
    </row>
    <row r="456" customFormat="false" ht="15" hidden="false" customHeight="false" outlineLevel="0" collapsed="false">
      <c r="A456" s="10" t="s">
        <v>1813</v>
      </c>
      <c r="B456" s="12" t="n">
        <f aca="false">COUNTIF(選手一覧!$C$7:$C$2738,A456)</f>
        <v>2</v>
      </c>
      <c r="C456" s="14" t="n">
        <f aca="false">COUNTIFS(選手一覧!$C$7:$C$2738,A456,選手一覧!$K$7:$K$2738,"&lt;=100")</f>
        <v>0</v>
      </c>
      <c r="D456" s="14" t="n">
        <f aca="false">COUNTIFS(選手一覧!$C$7:$C$2738,A456,選手一覧!$E$7:$E$2738,"&lt;=100")</f>
        <v>0</v>
      </c>
      <c r="E456" s="14" t="n">
        <f aca="false">COUNTIFS(選手一覧!$C$7:$C$2738,A456,選手一覧!$G$7:$G$2738,"&lt;=100")</f>
        <v>0</v>
      </c>
      <c r="F456" s="14" t="n">
        <f aca="false">COUNTIFS(選手一覧!$C$7:$C$2738,A456,選手一覧!$I$7:$I$2738,"&lt;=100")</f>
        <v>0</v>
      </c>
      <c r="G456" s="13" t="n">
        <f aca="false">_xlfn.MINIFS(選手一覧!$K$7:$K$2738,選手一覧!$C$7:$C$2738,A456)</f>
        <v>575</v>
      </c>
      <c r="H456" s="16"/>
    </row>
    <row r="457" customFormat="false" ht="15" hidden="false" customHeight="false" outlineLevel="0" collapsed="false">
      <c r="A457" s="10" t="s">
        <v>1830</v>
      </c>
      <c r="B457" s="12" t="n">
        <f aca="false">COUNTIF(選手一覧!$C$7:$C$2738,A457)</f>
        <v>2</v>
      </c>
      <c r="C457" s="14" t="n">
        <f aca="false">COUNTIFS(選手一覧!$C$7:$C$2738,A457,選手一覧!$K$7:$K$2738,"&lt;=100")</f>
        <v>0</v>
      </c>
      <c r="D457" s="14" t="n">
        <f aca="false">COUNTIFS(選手一覧!$C$7:$C$2738,A457,選手一覧!$E$7:$E$2738,"&lt;=100")</f>
        <v>0</v>
      </c>
      <c r="E457" s="14" t="n">
        <f aca="false">COUNTIFS(選手一覧!$C$7:$C$2738,A457,選手一覧!$G$7:$G$2738,"&lt;=100")</f>
        <v>0</v>
      </c>
      <c r="F457" s="14" t="n">
        <f aca="false">COUNTIFS(選手一覧!$C$7:$C$2738,A457,選手一覧!$I$7:$I$2738,"&lt;=100")</f>
        <v>0</v>
      </c>
      <c r="G457" s="13" t="n">
        <f aca="false">_xlfn.MINIFS(選手一覧!$K$7:$K$2738,選手一覧!$C$7:$C$2738,A457)</f>
        <v>582</v>
      </c>
      <c r="H457" s="16"/>
    </row>
    <row r="458" customFormat="false" ht="15" hidden="false" customHeight="false" outlineLevel="0" collapsed="false">
      <c r="A458" s="10" t="s">
        <v>1834</v>
      </c>
      <c r="B458" s="12" t="n">
        <f aca="false">COUNTIF(選手一覧!$C$7:$C$2738,A458)</f>
        <v>2</v>
      </c>
      <c r="C458" s="14" t="n">
        <f aca="false">COUNTIFS(選手一覧!$C$7:$C$2738,A458,選手一覧!$K$7:$K$2738,"&lt;=100")</f>
        <v>0</v>
      </c>
      <c r="D458" s="14" t="n">
        <f aca="false">COUNTIFS(選手一覧!$C$7:$C$2738,A458,選手一覧!$E$7:$E$2738,"&lt;=100")</f>
        <v>0</v>
      </c>
      <c r="E458" s="14" t="n">
        <f aca="false">COUNTIFS(選手一覧!$C$7:$C$2738,A458,選手一覧!$G$7:$G$2738,"&lt;=100")</f>
        <v>0</v>
      </c>
      <c r="F458" s="14" t="n">
        <f aca="false">COUNTIFS(選手一覧!$C$7:$C$2738,A458,選手一覧!$I$7:$I$2738,"&lt;=100")</f>
        <v>0</v>
      </c>
      <c r="G458" s="13" t="n">
        <f aca="false">_xlfn.MINIFS(選手一覧!$K$7:$K$2738,選手一覧!$C$7:$C$2738,A458)</f>
        <v>583</v>
      </c>
      <c r="H458" s="16"/>
    </row>
    <row r="459" customFormat="false" ht="15" hidden="false" customHeight="false" outlineLevel="0" collapsed="false">
      <c r="A459" s="10" t="s">
        <v>1837</v>
      </c>
      <c r="B459" s="12" t="n">
        <f aca="false">COUNTIF(選手一覧!$C$7:$C$2738,A459)</f>
        <v>2</v>
      </c>
      <c r="C459" s="14" t="n">
        <f aca="false">COUNTIFS(選手一覧!$C$7:$C$2738,A459,選手一覧!$K$7:$K$2738,"&lt;=100")</f>
        <v>0</v>
      </c>
      <c r="D459" s="14" t="n">
        <f aca="false">COUNTIFS(選手一覧!$C$7:$C$2738,A459,選手一覧!$E$7:$E$2738,"&lt;=100")</f>
        <v>0</v>
      </c>
      <c r="E459" s="14" t="n">
        <f aca="false">COUNTIFS(選手一覧!$C$7:$C$2738,A459,選手一覧!$G$7:$G$2738,"&lt;=100")</f>
        <v>0</v>
      </c>
      <c r="F459" s="14" t="n">
        <f aca="false">COUNTIFS(選手一覧!$C$7:$C$2738,A459,選手一覧!$I$7:$I$2738,"&lt;=100")</f>
        <v>0</v>
      </c>
      <c r="G459" s="13" t="n">
        <f aca="false">_xlfn.MINIFS(選手一覧!$K$7:$K$2738,選手一覧!$C$7:$C$2738,A459)</f>
        <v>584</v>
      </c>
      <c r="H459" s="16"/>
    </row>
    <row r="460" customFormat="false" ht="15" hidden="false" customHeight="false" outlineLevel="0" collapsed="false">
      <c r="A460" s="10" t="s">
        <v>1876</v>
      </c>
      <c r="B460" s="12" t="n">
        <f aca="false">COUNTIF(選手一覧!$C$7:$C$2738,A460)</f>
        <v>2</v>
      </c>
      <c r="C460" s="14" t="n">
        <f aca="false">COUNTIFS(選手一覧!$C$7:$C$2738,A460,選手一覧!$K$7:$K$2738,"&lt;=100")</f>
        <v>0</v>
      </c>
      <c r="D460" s="14" t="n">
        <f aca="false">COUNTIFS(選手一覧!$C$7:$C$2738,A460,選手一覧!$E$7:$E$2738,"&lt;=100")</f>
        <v>0</v>
      </c>
      <c r="E460" s="14" t="n">
        <f aca="false">COUNTIFS(選手一覧!$C$7:$C$2738,A460,選手一覧!$G$7:$G$2738,"&lt;=100")</f>
        <v>0</v>
      </c>
      <c r="F460" s="14" t="n">
        <f aca="false">COUNTIFS(選手一覧!$C$7:$C$2738,A460,選手一覧!$I$7:$I$2738,"&lt;=100")</f>
        <v>0</v>
      </c>
      <c r="G460" s="13" t="n">
        <f aca="false">_xlfn.MINIFS(選手一覧!$K$7:$K$2738,選手一覧!$C$7:$C$2738,A460)</f>
        <v>601</v>
      </c>
      <c r="H460" s="16"/>
    </row>
    <row r="461" customFormat="false" ht="15" hidden="false" customHeight="false" outlineLevel="0" collapsed="false">
      <c r="A461" s="10" t="s">
        <v>1883</v>
      </c>
      <c r="B461" s="12" t="n">
        <f aca="false">COUNTIF(選手一覧!$C$7:$C$2738,A461)</f>
        <v>2</v>
      </c>
      <c r="C461" s="14" t="n">
        <f aca="false">COUNTIFS(選手一覧!$C$7:$C$2738,A461,選手一覧!$K$7:$K$2738,"&lt;=100")</f>
        <v>0</v>
      </c>
      <c r="D461" s="14" t="n">
        <f aca="false">COUNTIFS(選手一覧!$C$7:$C$2738,A461,選手一覧!$E$7:$E$2738,"&lt;=100")</f>
        <v>0</v>
      </c>
      <c r="E461" s="14" t="n">
        <f aca="false">COUNTIFS(選手一覧!$C$7:$C$2738,A461,選手一覧!$G$7:$G$2738,"&lt;=100")</f>
        <v>0</v>
      </c>
      <c r="F461" s="14" t="n">
        <f aca="false">COUNTIFS(選手一覧!$C$7:$C$2738,A461,選手一覧!$I$7:$I$2738,"&lt;=100")</f>
        <v>0</v>
      </c>
      <c r="G461" s="13" t="n">
        <f aca="false">_xlfn.MINIFS(選手一覧!$K$7:$K$2738,選手一覧!$C$7:$C$2738,A461)</f>
        <v>602</v>
      </c>
      <c r="H461" s="16"/>
    </row>
    <row r="462" customFormat="false" ht="15" hidden="false" customHeight="false" outlineLevel="0" collapsed="false">
      <c r="A462" s="10" t="s">
        <v>1888</v>
      </c>
      <c r="B462" s="12" t="n">
        <f aca="false">COUNTIF(選手一覧!$C$7:$C$2738,A462)</f>
        <v>2</v>
      </c>
      <c r="C462" s="14" t="n">
        <f aca="false">COUNTIFS(選手一覧!$C$7:$C$2738,A462,選手一覧!$K$7:$K$2738,"&lt;=100")</f>
        <v>0</v>
      </c>
      <c r="D462" s="14" t="n">
        <f aca="false">COUNTIFS(選手一覧!$C$7:$C$2738,A462,選手一覧!$E$7:$E$2738,"&lt;=100")</f>
        <v>0</v>
      </c>
      <c r="E462" s="14" t="n">
        <f aca="false">COUNTIFS(選手一覧!$C$7:$C$2738,A462,選手一覧!$G$7:$G$2738,"&lt;=100")</f>
        <v>0</v>
      </c>
      <c r="F462" s="14" t="n">
        <f aca="false">COUNTIFS(選手一覧!$C$7:$C$2738,A462,選手一覧!$I$7:$I$2738,"&lt;=100")</f>
        <v>0</v>
      </c>
      <c r="G462" s="13" t="n">
        <f aca="false">_xlfn.MINIFS(選手一覧!$K$7:$K$2738,選手一覧!$C$7:$C$2738,A462)</f>
        <v>604</v>
      </c>
      <c r="H462" s="16"/>
    </row>
    <row r="463" customFormat="false" ht="15" hidden="false" customHeight="false" outlineLevel="0" collapsed="false">
      <c r="A463" s="10" t="s">
        <v>1892</v>
      </c>
      <c r="B463" s="12" t="n">
        <f aca="false">COUNTIF(選手一覧!$C$7:$C$2738,A463)</f>
        <v>2</v>
      </c>
      <c r="C463" s="14" t="n">
        <f aca="false">COUNTIFS(選手一覧!$C$7:$C$2738,A463,選手一覧!$K$7:$K$2738,"&lt;=100")</f>
        <v>0</v>
      </c>
      <c r="D463" s="14" t="n">
        <f aca="false">COUNTIFS(選手一覧!$C$7:$C$2738,A463,選手一覧!$E$7:$E$2738,"&lt;=100")</f>
        <v>0</v>
      </c>
      <c r="E463" s="14" t="n">
        <f aca="false">COUNTIFS(選手一覧!$C$7:$C$2738,A463,選手一覧!$G$7:$G$2738,"&lt;=100")</f>
        <v>0</v>
      </c>
      <c r="F463" s="14" t="n">
        <f aca="false">COUNTIFS(選手一覧!$C$7:$C$2738,A463,選手一覧!$I$7:$I$2738,"&lt;=100")</f>
        <v>0</v>
      </c>
      <c r="G463" s="13" t="n">
        <f aca="false">_xlfn.MINIFS(選手一覧!$K$7:$K$2738,選手一覧!$C$7:$C$2738,A463)</f>
        <v>605</v>
      </c>
      <c r="H463" s="16"/>
    </row>
    <row r="464" customFormat="false" ht="15" hidden="false" customHeight="false" outlineLevel="0" collapsed="false">
      <c r="A464" s="10" t="s">
        <v>1907</v>
      </c>
      <c r="B464" s="12" t="n">
        <f aca="false">COUNTIF(選手一覧!$C$7:$C$2738,A464)</f>
        <v>2</v>
      </c>
      <c r="C464" s="14" t="n">
        <f aca="false">COUNTIFS(選手一覧!$C$7:$C$2738,A464,選手一覧!$K$7:$K$2738,"&lt;=100")</f>
        <v>0</v>
      </c>
      <c r="D464" s="14" t="n">
        <f aca="false">COUNTIFS(選手一覧!$C$7:$C$2738,A464,選手一覧!$E$7:$E$2738,"&lt;=100")</f>
        <v>0</v>
      </c>
      <c r="E464" s="14" t="n">
        <f aca="false">COUNTIFS(選手一覧!$C$7:$C$2738,A464,選手一覧!$G$7:$G$2738,"&lt;=100")</f>
        <v>0</v>
      </c>
      <c r="F464" s="14" t="n">
        <f aca="false">COUNTIFS(選手一覧!$C$7:$C$2738,A464,選手一覧!$I$7:$I$2738,"&lt;=100")</f>
        <v>0</v>
      </c>
      <c r="G464" s="13" t="n">
        <f aca="false">_xlfn.MINIFS(選手一覧!$K$7:$K$2738,選手一覧!$C$7:$C$2738,A464)</f>
        <v>611</v>
      </c>
      <c r="H464" s="16"/>
    </row>
    <row r="465" customFormat="false" ht="15" hidden="false" customHeight="false" outlineLevel="0" collapsed="false">
      <c r="A465" s="10" t="s">
        <v>1916</v>
      </c>
      <c r="B465" s="12" t="n">
        <f aca="false">COUNTIF(選手一覧!$C$7:$C$2738,A465)</f>
        <v>2</v>
      </c>
      <c r="C465" s="14" t="n">
        <f aca="false">COUNTIFS(選手一覧!$C$7:$C$2738,A465,選手一覧!$K$7:$K$2738,"&lt;=100")</f>
        <v>0</v>
      </c>
      <c r="D465" s="14" t="n">
        <f aca="false">COUNTIFS(選手一覧!$C$7:$C$2738,A465,選手一覧!$E$7:$E$2738,"&lt;=100")</f>
        <v>0</v>
      </c>
      <c r="E465" s="14" t="n">
        <f aca="false">COUNTIFS(選手一覧!$C$7:$C$2738,A465,選手一覧!$G$7:$G$2738,"&lt;=100")</f>
        <v>0</v>
      </c>
      <c r="F465" s="14" t="n">
        <f aca="false">COUNTIFS(選手一覧!$C$7:$C$2738,A465,選手一覧!$I$7:$I$2738,"&lt;=100")</f>
        <v>0</v>
      </c>
      <c r="G465" s="13" t="n">
        <f aca="false">_xlfn.MINIFS(選手一覧!$K$7:$K$2738,選手一覧!$C$7:$C$2738,A465)</f>
        <v>613</v>
      </c>
      <c r="H465" s="16"/>
    </row>
    <row r="466" customFormat="false" ht="15" hidden="false" customHeight="false" outlineLevel="0" collapsed="false">
      <c r="A466" s="10" t="s">
        <v>1933</v>
      </c>
      <c r="B466" s="12" t="n">
        <f aca="false">COUNTIF(選手一覧!$C$7:$C$2738,A466)</f>
        <v>2</v>
      </c>
      <c r="C466" s="14" t="n">
        <f aca="false">COUNTIFS(選手一覧!$C$7:$C$2738,A466,選手一覧!$K$7:$K$2738,"&lt;=100")</f>
        <v>0</v>
      </c>
      <c r="D466" s="14" t="n">
        <f aca="false">COUNTIFS(選手一覧!$C$7:$C$2738,A466,選手一覧!$E$7:$E$2738,"&lt;=100")</f>
        <v>0</v>
      </c>
      <c r="E466" s="14" t="n">
        <f aca="false">COUNTIFS(選手一覧!$C$7:$C$2738,A466,選手一覧!$G$7:$G$2738,"&lt;=100")</f>
        <v>0</v>
      </c>
      <c r="F466" s="14" t="n">
        <f aca="false">COUNTIFS(選手一覧!$C$7:$C$2738,A466,選手一覧!$I$7:$I$2738,"&lt;=100")</f>
        <v>0</v>
      </c>
      <c r="G466" s="13" t="n">
        <f aca="false">_xlfn.MINIFS(選手一覧!$K$7:$K$2738,選手一覧!$C$7:$C$2738,A466)</f>
        <v>619</v>
      </c>
      <c r="H466" s="16"/>
    </row>
    <row r="467" customFormat="false" ht="15" hidden="false" customHeight="false" outlineLevel="0" collapsed="false">
      <c r="A467" s="10" t="s">
        <v>1970</v>
      </c>
      <c r="B467" s="12" t="n">
        <f aca="false">COUNTIF(選手一覧!$C$7:$C$2738,A467)</f>
        <v>2</v>
      </c>
      <c r="C467" s="14" t="n">
        <f aca="false">COUNTIFS(選手一覧!$C$7:$C$2738,A467,選手一覧!$K$7:$K$2738,"&lt;=100")</f>
        <v>0</v>
      </c>
      <c r="D467" s="14" t="n">
        <f aca="false">COUNTIFS(選手一覧!$C$7:$C$2738,A467,選手一覧!$E$7:$E$2738,"&lt;=100")</f>
        <v>0</v>
      </c>
      <c r="E467" s="14" t="n">
        <f aca="false">COUNTIFS(選手一覧!$C$7:$C$2738,A467,選手一覧!$G$7:$G$2738,"&lt;=100")</f>
        <v>0</v>
      </c>
      <c r="F467" s="14" t="n">
        <f aca="false">COUNTIFS(選手一覧!$C$7:$C$2738,A467,選手一覧!$I$7:$I$2738,"&lt;=100")</f>
        <v>0</v>
      </c>
      <c r="G467" s="13" t="n">
        <f aca="false">_xlfn.MINIFS(選手一覧!$K$7:$K$2738,選手一覧!$C$7:$C$2738,A467)</f>
        <v>637</v>
      </c>
      <c r="H467" s="16"/>
    </row>
    <row r="468" customFormat="false" ht="15" hidden="false" customHeight="false" outlineLevel="0" collapsed="false">
      <c r="A468" s="10" t="s">
        <v>1982</v>
      </c>
      <c r="B468" s="12" t="n">
        <f aca="false">COUNTIF(選手一覧!$C$7:$C$2738,A468)</f>
        <v>2</v>
      </c>
      <c r="C468" s="14" t="n">
        <f aca="false">COUNTIFS(選手一覧!$C$7:$C$2738,A468,選手一覧!$K$7:$K$2738,"&lt;=100")</f>
        <v>0</v>
      </c>
      <c r="D468" s="14" t="n">
        <f aca="false">COUNTIFS(選手一覧!$C$7:$C$2738,A468,選手一覧!$E$7:$E$2738,"&lt;=100")</f>
        <v>0</v>
      </c>
      <c r="E468" s="14" t="n">
        <f aca="false">COUNTIFS(選手一覧!$C$7:$C$2738,A468,選手一覧!$G$7:$G$2738,"&lt;=100")</f>
        <v>0</v>
      </c>
      <c r="F468" s="14" t="n">
        <f aca="false">COUNTIFS(選手一覧!$C$7:$C$2738,A468,選手一覧!$I$7:$I$2738,"&lt;=100")</f>
        <v>0</v>
      </c>
      <c r="G468" s="13" t="n">
        <f aca="false">_xlfn.MINIFS(選手一覧!$K$7:$K$2738,選手一覧!$C$7:$C$2738,A468)</f>
        <v>641</v>
      </c>
      <c r="H468" s="16"/>
    </row>
    <row r="469" customFormat="false" ht="15" hidden="false" customHeight="false" outlineLevel="0" collapsed="false">
      <c r="A469" s="10" t="s">
        <v>2009</v>
      </c>
      <c r="B469" s="12" t="n">
        <f aca="false">COUNTIF(選手一覧!$C$7:$C$2738,A469)</f>
        <v>2</v>
      </c>
      <c r="C469" s="14" t="n">
        <f aca="false">COUNTIFS(選手一覧!$C$7:$C$2738,A469,選手一覧!$K$7:$K$2738,"&lt;=100")</f>
        <v>0</v>
      </c>
      <c r="D469" s="14" t="n">
        <f aca="false">COUNTIFS(選手一覧!$C$7:$C$2738,A469,選手一覧!$E$7:$E$2738,"&lt;=100")</f>
        <v>0</v>
      </c>
      <c r="E469" s="14" t="n">
        <f aca="false">COUNTIFS(選手一覧!$C$7:$C$2738,A469,選手一覧!$G$7:$G$2738,"&lt;=100")</f>
        <v>0</v>
      </c>
      <c r="F469" s="14" t="n">
        <f aca="false">COUNTIFS(選手一覧!$C$7:$C$2738,A469,選手一覧!$I$7:$I$2738,"&lt;=100")</f>
        <v>0</v>
      </c>
      <c r="G469" s="13" t="n">
        <f aca="false">_xlfn.MINIFS(選手一覧!$K$7:$K$2738,選手一覧!$C$7:$C$2738,A469)</f>
        <v>652</v>
      </c>
      <c r="H469" s="16"/>
    </row>
    <row r="470" customFormat="false" ht="15" hidden="false" customHeight="false" outlineLevel="0" collapsed="false">
      <c r="A470" s="10" t="s">
        <v>2049</v>
      </c>
      <c r="B470" s="12" t="n">
        <f aca="false">COUNTIF(選手一覧!$C$7:$C$2738,A470)</f>
        <v>2</v>
      </c>
      <c r="C470" s="14" t="n">
        <f aca="false">COUNTIFS(選手一覧!$C$7:$C$2738,A470,選手一覧!$K$7:$K$2738,"&lt;=100")</f>
        <v>0</v>
      </c>
      <c r="D470" s="14" t="n">
        <f aca="false">COUNTIFS(選手一覧!$C$7:$C$2738,A470,選手一覧!$E$7:$E$2738,"&lt;=100")</f>
        <v>0</v>
      </c>
      <c r="E470" s="14" t="n">
        <f aca="false">COUNTIFS(選手一覧!$C$7:$C$2738,A470,選手一覧!$G$7:$G$2738,"&lt;=100")</f>
        <v>0</v>
      </c>
      <c r="F470" s="14" t="n">
        <f aca="false">COUNTIFS(選手一覧!$C$7:$C$2738,A470,選手一覧!$I$7:$I$2738,"&lt;=100")</f>
        <v>0</v>
      </c>
      <c r="G470" s="13" t="n">
        <f aca="false">_xlfn.MINIFS(選手一覧!$K$7:$K$2738,選手一覧!$C$7:$C$2738,A470)</f>
        <v>668</v>
      </c>
      <c r="H470" s="16"/>
    </row>
    <row r="471" customFormat="false" ht="15" hidden="false" customHeight="false" outlineLevel="0" collapsed="false">
      <c r="A471" s="10" t="s">
        <v>2053</v>
      </c>
      <c r="B471" s="12" t="n">
        <f aca="false">COUNTIF(選手一覧!$C$7:$C$2738,A471)</f>
        <v>2</v>
      </c>
      <c r="C471" s="14" t="n">
        <f aca="false">COUNTIFS(選手一覧!$C$7:$C$2738,A471,選手一覧!$K$7:$K$2738,"&lt;=100")</f>
        <v>0</v>
      </c>
      <c r="D471" s="14" t="n">
        <f aca="false">COUNTIFS(選手一覧!$C$7:$C$2738,A471,選手一覧!$E$7:$E$2738,"&lt;=100")</f>
        <v>0</v>
      </c>
      <c r="E471" s="14" t="n">
        <f aca="false">COUNTIFS(選手一覧!$C$7:$C$2738,A471,選手一覧!$G$7:$G$2738,"&lt;=100")</f>
        <v>0</v>
      </c>
      <c r="F471" s="14" t="n">
        <f aca="false">COUNTIFS(選手一覧!$C$7:$C$2738,A471,選手一覧!$I$7:$I$2738,"&lt;=100")</f>
        <v>0</v>
      </c>
      <c r="G471" s="13" t="n">
        <f aca="false">_xlfn.MINIFS(選手一覧!$K$7:$K$2738,選手一覧!$C$7:$C$2738,A471)</f>
        <v>669</v>
      </c>
      <c r="H471" s="16"/>
    </row>
    <row r="472" customFormat="false" ht="15" hidden="false" customHeight="false" outlineLevel="0" collapsed="false">
      <c r="A472" s="10" t="s">
        <v>2062</v>
      </c>
      <c r="B472" s="12" t="n">
        <f aca="false">COUNTIF(選手一覧!$C$7:$C$2738,A472)</f>
        <v>2</v>
      </c>
      <c r="C472" s="14" t="n">
        <f aca="false">COUNTIFS(選手一覧!$C$7:$C$2738,A472,選手一覧!$K$7:$K$2738,"&lt;=100")</f>
        <v>0</v>
      </c>
      <c r="D472" s="14" t="n">
        <f aca="false">COUNTIFS(選手一覧!$C$7:$C$2738,A472,選手一覧!$E$7:$E$2738,"&lt;=100")</f>
        <v>0</v>
      </c>
      <c r="E472" s="14" t="n">
        <f aca="false">COUNTIFS(選手一覧!$C$7:$C$2738,A472,選手一覧!$G$7:$G$2738,"&lt;=100")</f>
        <v>0</v>
      </c>
      <c r="F472" s="14" t="n">
        <f aca="false">COUNTIFS(選手一覧!$C$7:$C$2738,A472,選手一覧!$I$7:$I$2738,"&lt;=100")</f>
        <v>0</v>
      </c>
      <c r="G472" s="13" t="n">
        <f aca="false">_xlfn.MINIFS(選手一覧!$K$7:$K$2738,選手一覧!$C$7:$C$2738,A472)</f>
        <v>674</v>
      </c>
      <c r="H472" s="16"/>
    </row>
    <row r="473" customFormat="false" ht="15" hidden="false" customHeight="false" outlineLevel="0" collapsed="false">
      <c r="A473" s="10" t="s">
        <v>2074</v>
      </c>
      <c r="B473" s="12" t="n">
        <f aca="false">COUNTIF(選手一覧!$C$7:$C$2738,A473)</f>
        <v>2</v>
      </c>
      <c r="C473" s="14" t="n">
        <f aca="false">COUNTIFS(選手一覧!$C$7:$C$2738,A473,選手一覧!$K$7:$K$2738,"&lt;=100")</f>
        <v>0</v>
      </c>
      <c r="D473" s="14" t="n">
        <f aca="false">COUNTIFS(選手一覧!$C$7:$C$2738,A473,選手一覧!$E$7:$E$2738,"&lt;=100")</f>
        <v>0</v>
      </c>
      <c r="E473" s="14" t="n">
        <f aca="false">COUNTIFS(選手一覧!$C$7:$C$2738,A473,選手一覧!$G$7:$G$2738,"&lt;=100")</f>
        <v>0</v>
      </c>
      <c r="F473" s="14" t="n">
        <f aca="false">COUNTIFS(選手一覧!$C$7:$C$2738,A473,選手一覧!$I$7:$I$2738,"&lt;=100")</f>
        <v>0</v>
      </c>
      <c r="G473" s="13" t="n">
        <f aca="false">_xlfn.MINIFS(選手一覧!$K$7:$K$2738,選手一覧!$C$7:$C$2738,A473)</f>
        <v>677</v>
      </c>
      <c r="H473" s="16"/>
    </row>
    <row r="474" customFormat="false" ht="15" hidden="false" customHeight="false" outlineLevel="0" collapsed="false">
      <c r="A474" s="10" t="s">
        <v>2077</v>
      </c>
      <c r="B474" s="12" t="n">
        <f aca="false">COUNTIF(選手一覧!$C$7:$C$2738,A474)</f>
        <v>2</v>
      </c>
      <c r="C474" s="14" t="n">
        <f aca="false">COUNTIFS(選手一覧!$C$7:$C$2738,A474,選手一覧!$K$7:$K$2738,"&lt;=100")</f>
        <v>0</v>
      </c>
      <c r="D474" s="14" t="n">
        <f aca="false">COUNTIFS(選手一覧!$C$7:$C$2738,A474,選手一覧!$E$7:$E$2738,"&lt;=100")</f>
        <v>0</v>
      </c>
      <c r="E474" s="14" t="n">
        <f aca="false">COUNTIFS(選手一覧!$C$7:$C$2738,A474,選手一覧!$G$7:$G$2738,"&lt;=100")</f>
        <v>0</v>
      </c>
      <c r="F474" s="14" t="n">
        <f aca="false">COUNTIFS(選手一覧!$C$7:$C$2738,A474,選手一覧!$I$7:$I$2738,"&lt;=100")</f>
        <v>0</v>
      </c>
      <c r="G474" s="13" t="n">
        <f aca="false">_xlfn.MINIFS(選手一覧!$K$7:$K$2738,選手一覧!$C$7:$C$2738,A474)</f>
        <v>678</v>
      </c>
      <c r="H474" s="16"/>
    </row>
    <row r="475" customFormat="false" ht="15" hidden="false" customHeight="false" outlineLevel="0" collapsed="false">
      <c r="A475" s="10" t="s">
        <v>2079</v>
      </c>
      <c r="B475" s="12" t="n">
        <f aca="false">COUNTIF(選手一覧!$C$7:$C$2738,A475)</f>
        <v>2</v>
      </c>
      <c r="C475" s="14" t="n">
        <f aca="false">COUNTIFS(選手一覧!$C$7:$C$2738,A475,選手一覧!$K$7:$K$2738,"&lt;=100")</f>
        <v>0</v>
      </c>
      <c r="D475" s="14" t="n">
        <f aca="false">COUNTIFS(選手一覧!$C$7:$C$2738,A475,選手一覧!$E$7:$E$2738,"&lt;=100")</f>
        <v>0</v>
      </c>
      <c r="E475" s="14" t="n">
        <f aca="false">COUNTIFS(選手一覧!$C$7:$C$2738,A475,選手一覧!$G$7:$G$2738,"&lt;=100")</f>
        <v>0</v>
      </c>
      <c r="F475" s="14" t="n">
        <f aca="false">COUNTIFS(選手一覧!$C$7:$C$2738,A475,選手一覧!$I$7:$I$2738,"&lt;=100")</f>
        <v>0</v>
      </c>
      <c r="G475" s="13" t="n">
        <f aca="false">_xlfn.MINIFS(選手一覧!$K$7:$K$2738,選手一覧!$C$7:$C$2738,A475)</f>
        <v>678</v>
      </c>
      <c r="H475" s="16"/>
    </row>
    <row r="476" customFormat="false" ht="15" hidden="false" customHeight="false" outlineLevel="0" collapsed="false">
      <c r="A476" s="10" t="s">
        <v>2092</v>
      </c>
      <c r="B476" s="12" t="n">
        <f aca="false">COUNTIF(選手一覧!$C$7:$C$2738,A476)</f>
        <v>2</v>
      </c>
      <c r="C476" s="14" t="n">
        <f aca="false">COUNTIFS(選手一覧!$C$7:$C$2738,A476,選手一覧!$K$7:$K$2738,"&lt;=100")</f>
        <v>0</v>
      </c>
      <c r="D476" s="14" t="n">
        <f aca="false">COUNTIFS(選手一覧!$C$7:$C$2738,A476,選手一覧!$E$7:$E$2738,"&lt;=100")</f>
        <v>0</v>
      </c>
      <c r="E476" s="14" t="n">
        <f aca="false">COUNTIFS(選手一覧!$C$7:$C$2738,A476,選手一覧!$G$7:$G$2738,"&lt;=100")</f>
        <v>0</v>
      </c>
      <c r="F476" s="14" t="n">
        <f aca="false">COUNTIFS(選手一覧!$C$7:$C$2738,A476,選手一覧!$I$7:$I$2738,"&lt;=100")</f>
        <v>0</v>
      </c>
      <c r="G476" s="13" t="n">
        <f aca="false">_xlfn.MINIFS(選手一覧!$K$7:$K$2738,選手一覧!$C$7:$C$2738,A476)</f>
        <v>682</v>
      </c>
      <c r="H476" s="16"/>
    </row>
    <row r="477" customFormat="false" ht="15" hidden="false" customHeight="false" outlineLevel="0" collapsed="false">
      <c r="A477" s="10" t="s">
        <v>2106</v>
      </c>
      <c r="B477" s="12" t="n">
        <f aca="false">COUNTIF(選手一覧!$C$7:$C$2738,A477)</f>
        <v>2</v>
      </c>
      <c r="C477" s="14" t="n">
        <f aca="false">COUNTIFS(選手一覧!$C$7:$C$2738,A477,選手一覧!$K$7:$K$2738,"&lt;=100")</f>
        <v>0</v>
      </c>
      <c r="D477" s="14" t="n">
        <f aca="false">COUNTIFS(選手一覧!$C$7:$C$2738,A477,選手一覧!$E$7:$E$2738,"&lt;=100")</f>
        <v>0</v>
      </c>
      <c r="E477" s="14" t="n">
        <f aca="false">COUNTIFS(選手一覧!$C$7:$C$2738,A477,選手一覧!$G$7:$G$2738,"&lt;=100")</f>
        <v>0</v>
      </c>
      <c r="F477" s="14" t="n">
        <f aca="false">COUNTIFS(選手一覧!$C$7:$C$2738,A477,選手一覧!$I$7:$I$2738,"&lt;=100")</f>
        <v>0</v>
      </c>
      <c r="G477" s="13" t="n">
        <f aca="false">_xlfn.MINIFS(選手一覧!$K$7:$K$2738,選手一覧!$C$7:$C$2738,A477)</f>
        <v>689</v>
      </c>
      <c r="H477" s="16"/>
    </row>
    <row r="478" customFormat="false" ht="15" hidden="false" customHeight="false" outlineLevel="0" collapsed="false">
      <c r="A478" s="10" t="s">
        <v>2123</v>
      </c>
      <c r="B478" s="12" t="n">
        <f aca="false">COUNTIF(選手一覧!$C$7:$C$2738,A478)</f>
        <v>2</v>
      </c>
      <c r="C478" s="14" t="n">
        <f aca="false">COUNTIFS(選手一覧!$C$7:$C$2738,A478,選手一覧!$K$7:$K$2738,"&lt;=100")</f>
        <v>0</v>
      </c>
      <c r="D478" s="14" t="n">
        <f aca="false">COUNTIFS(選手一覧!$C$7:$C$2738,A478,選手一覧!$E$7:$E$2738,"&lt;=100")</f>
        <v>0</v>
      </c>
      <c r="E478" s="14" t="n">
        <f aca="false">COUNTIFS(選手一覧!$C$7:$C$2738,A478,選手一覧!$G$7:$G$2738,"&lt;=100")</f>
        <v>0</v>
      </c>
      <c r="F478" s="14" t="n">
        <f aca="false">COUNTIFS(選手一覧!$C$7:$C$2738,A478,選手一覧!$I$7:$I$2738,"&lt;=100")</f>
        <v>0</v>
      </c>
      <c r="G478" s="13" t="n">
        <f aca="false">_xlfn.MINIFS(選手一覧!$K$7:$K$2738,選手一覧!$C$7:$C$2738,A478)</f>
        <v>695</v>
      </c>
      <c r="H478" s="16"/>
    </row>
    <row r="479" customFormat="false" ht="15" hidden="false" customHeight="false" outlineLevel="0" collapsed="false">
      <c r="A479" s="10" t="s">
        <v>2129</v>
      </c>
      <c r="B479" s="12" t="n">
        <f aca="false">COUNTIF(選手一覧!$C$7:$C$2738,A479)</f>
        <v>2</v>
      </c>
      <c r="C479" s="14" t="n">
        <f aca="false">COUNTIFS(選手一覧!$C$7:$C$2738,A479,選手一覧!$K$7:$K$2738,"&lt;=100")</f>
        <v>0</v>
      </c>
      <c r="D479" s="14" t="n">
        <f aca="false">COUNTIFS(選手一覧!$C$7:$C$2738,A479,選手一覧!$E$7:$E$2738,"&lt;=100")</f>
        <v>0</v>
      </c>
      <c r="E479" s="14" t="n">
        <f aca="false">COUNTIFS(選手一覧!$C$7:$C$2738,A479,選手一覧!$G$7:$G$2738,"&lt;=100")</f>
        <v>0</v>
      </c>
      <c r="F479" s="14" t="n">
        <f aca="false">COUNTIFS(選手一覧!$C$7:$C$2738,A479,選手一覧!$I$7:$I$2738,"&lt;=100")</f>
        <v>0</v>
      </c>
      <c r="G479" s="13" t="n">
        <f aca="false">_xlfn.MINIFS(選手一覧!$K$7:$K$2738,選手一覧!$C$7:$C$2738,A479)</f>
        <v>697</v>
      </c>
      <c r="H479" s="16"/>
    </row>
    <row r="480" customFormat="false" ht="15" hidden="false" customHeight="false" outlineLevel="0" collapsed="false">
      <c r="A480" s="10" t="s">
        <v>2140</v>
      </c>
      <c r="B480" s="12" t="n">
        <f aca="false">COUNTIF(選手一覧!$C$7:$C$2738,A480)</f>
        <v>2</v>
      </c>
      <c r="C480" s="14" t="n">
        <f aca="false">COUNTIFS(選手一覧!$C$7:$C$2738,A480,選手一覧!$K$7:$K$2738,"&lt;=100")</f>
        <v>0</v>
      </c>
      <c r="D480" s="14" t="n">
        <f aca="false">COUNTIFS(選手一覧!$C$7:$C$2738,A480,選手一覧!$E$7:$E$2738,"&lt;=100")</f>
        <v>0</v>
      </c>
      <c r="E480" s="14" t="n">
        <f aca="false">COUNTIFS(選手一覧!$C$7:$C$2738,A480,選手一覧!$G$7:$G$2738,"&lt;=100")</f>
        <v>0</v>
      </c>
      <c r="F480" s="14" t="n">
        <f aca="false">COUNTIFS(選手一覧!$C$7:$C$2738,A480,選手一覧!$I$7:$I$2738,"&lt;=100")</f>
        <v>0</v>
      </c>
      <c r="G480" s="13" t="n">
        <f aca="false">_xlfn.MINIFS(選手一覧!$K$7:$K$2738,選手一覧!$C$7:$C$2738,A480)</f>
        <v>701</v>
      </c>
      <c r="H480" s="16"/>
    </row>
    <row r="481" customFormat="false" ht="15" hidden="false" customHeight="false" outlineLevel="0" collapsed="false">
      <c r="A481" s="10" t="s">
        <v>2173</v>
      </c>
      <c r="B481" s="12" t="n">
        <f aca="false">COUNTIF(選手一覧!$C$7:$C$2738,A481)</f>
        <v>2</v>
      </c>
      <c r="C481" s="14" t="n">
        <f aca="false">COUNTIFS(選手一覧!$C$7:$C$2738,A481,選手一覧!$K$7:$K$2738,"&lt;=100")</f>
        <v>0</v>
      </c>
      <c r="D481" s="14" t="n">
        <f aca="false">COUNTIFS(選手一覧!$C$7:$C$2738,A481,選手一覧!$E$7:$E$2738,"&lt;=100")</f>
        <v>0</v>
      </c>
      <c r="E481" s="14" t="n">
        <f aca="false">COUNTIFS(選手一覧!$C$7:$C$2738,A481,選手一覧!$G$7:$G$2738,"&lt;=100")</f>
        <v>0</v>
      </c>
      <c r="F481" s="14" t="n">
        <f aca="false">COUNTIFS(選手一覧!$C$7:$C$2738,A481,選手一覧!$I$7:$I$2738,"&lt;=100")</f>
        <v>0</v>
      </c>
      <c r="G481" s="13" t="n">
        <f aca="false">_xlfn.MINIFS(選手一覧!$K$7:$K$2738,選手一覧!$C$7:$C$2738,A481)</f>
        <v>714</v>
      </c>
      <c r="H481" s="16"/>
    </row>
    <row r="482" customFormat="false" ht="15" hidden="false" customHeight="false" outlineLevel="0" collapsed="false">
      <c r="A482" s="10" t="s">
        <v>2192</v>
      </c>
      <c r="B482" s="12" t="n">
        <f aca="false">COUNTIF(選手一覧!$C$7:$C$2738,A482)</f>
        <v>2</v>
      </c>
      <c r="C482" s="14" t="n">
        <f aca="false">COUNTIFS(選手一覧!$C$7:$C$2738,A482,選手一覧!$K$7:$K$2738,"&lt;=100")</f>
        <v>0</v>
      </c>
      <c r="D482" s="14" t="n">
        <f aca="false">COUNTIFS(選手一覧!$C$7:$C$2738,A482,選手一覧!$E$7:$E$2738,"&lt;=100")</f>
        <v>0</v>
      </c>
      <c r="E482" s="14" t="n">
        <f aca="false">COUNTIFS(選手一覧!$C$7:$C$2738,A482,選手一覧!$G$7:$G$2738,"&lt;=100")</f>
        <v>0</v>
      </c>
      <c r="F482" s="14" t="n">
        <f aca="false">COUNTIFS(選手一覧!$C$7:$C$2738,A482,選手一覧!$I$7:$I$2738,"&lt;=100")</f>
        <v>0</v>
      </c>
      <c r="G482" s="13" t="n">
        <f aca="false">_xlfn.MINIFS(選手一覧!$K$7:$K$2738,選手一覧!$C$7:$C$2738,A482)</f>
        <v>722</v>
      </c>
      <c r="H482" s="16"/>
    </row>
    <row r="483" customFormat="false" ht="15" hidden="false" customHeight="false" outlineLevel="0" collapsed="false">
      <c r="A483" s="10" t="s">
        <v>2205</v>
      </c>
      <c r="B483" s="12" t="n">
        <f aca="false">COUNTIF(選手一覧!$C$7:$C$2738,A483)</f>
        <v>2</v>
      </c>
      <c r="C483" s="14" t="n">
        <f aca="false">COUNTIFS(選手一覧!$C$7:$C$2738,A483,選手一覧!$K$7:$K$2738,"&lt;=100")</f>
        <v>0</v>
      </c>
      <c r="D483" s="14" t="n">
        <f aca="false">COUNTIFS(選手一覧!$C$7:$C$2738,A483,選手一覧!$E$7:$E$2738,"&lt;=100")</f>
        <v>0</v>
      </c>
      <c r="E483" s="14" t="n">
        <f aca="false">COUNTIFS(選手一覧!$C$7:$C$2738,A483,選手一覧!$G$7:$G$2738,"&lt;=100")</f>
        <v>0</v>
      </c>
      <c r="F483" s="14" t="n">
        <f aca="false">COUNTIFS(選手一覧!$C$7:$C$2738,A483,選手一覧!$I$7:$I$2738,"&lt;=100")</f>
        <v>0</v>
      </c>
      <c r="G483" s="13" t="n">
        <f aca="false">_xlfn.MINIFS(選手一覧!$K$7:$K$2738,選手一覧!$C$7:$C$2738,A483)</f>
        <v>726</v>
      </c>
      <c r="H483" s="16"/>
    </row>
    <row r="484" customFormat="false" ht="15" hidden="false" customHeight="false" outlineLevel="0" collapsed="false">
      <c r="A484" s="10" t="s">
        <v>2212</v>
      </c>
      <c r="B484" s="12" t="n">
        <f aca="false">COUNTIF(選手一覧!$C$7:$C$2738,A484)</f>
        <v>2</v>
      </c>
      <c r="C484" s="14" t="n">
        <f aca="false">COUNTIFS(選手一覧!$C$7:$C$2738,A484,選手一覧!$K$7:$K$2738,"&lt;=100")</f>
        <v>0</v>
      </c>
      <c r="D484" s="14" t="n">
        <f aca="false">COUNTIFS(選手一覧!$C$7:$C$2738,A484,選手一覧!$E$7:$E$2738,"&lt;=100")</f>
        <v>0</v>
      </c>
      <c r="E484" s="14" t="n">
        <f aca="false">COUNTIFS(選手一覧!$C$7:$C$2738,A484,選手一覧!$G$7:$G$2738,"&lt;=100")</f>
        <v>0</v>
      </c>
      <c r="F484" s="14" t="n">
        <f aca="false">COUNTIFS(選手一覧!$C$7:$C$2738,A484,選手一覧!$I$7:$I$2738,"&lt;=100")</f>
        <v>0</v>
      </c>
      <c r="G484" s="13" t="n">
        <f aca="false">_xlfn.MINIFS(選手一覧!$K$7:$K$2738,選手一覧!$C$7:$C$2738,A484)</f>
        <v>729</v>
      </c>
      <c r="H484" s="16"/>
    </row>
    <row r="485" customFormat="false" ht="15" hidden="false" customHeight="false" outlineLevel="0" collapsed="false">
      <c r="A485" s="10" t="s">
        <v>2215</v>
      </c>
      <c r="B485" s="12" t="n">
        <f aca="false">COUNTIF(選手一覧!$C$7:$C$2738,A485)</f>
        <v>2</v>
      </c>
      <c r="C485" s="14" t="n">
        <f aca="false">COUNTIFS(選手一覧!$C$7:$C$2738,A485,選手一覧!$K$7:$K$2738,"&lt;=100")</f>
        <v>0</v>
      </c>
      <c r="D485" s="14" t="n">
        <f aca="false">COUNTIFS(選手一覧!$C$7:$C$2738,A485,選手一覧!$E$7:$E$2738,"&lt;=100")</f>
        <v>0</v>
      </c>
      <c r="E485" s="14" t="n">
        <f aca="false">COUNTIFS(選手一覧!$C$7:$C$2738,A485,選手一覧!$G$7:$G$2738,"&lt;=100")</f>
        <v>0</v>
      </c>
      <c r="F485" s="14" t="n">
        <f aca="false">COUNTIFS(選手一覧!$C$7:$C$2738,A485,選手一覧!$I$7:$I$2738,"&lt;=100")</f>
        <v>0</v>
      </c>
      <c r="G485" s="13" t="n">
        <f aca="false">_xlfn.MINIFS(選手一覧!$K$7:$K$2738,選手一覧!$C$7:$C$2738,A485)</f>
        <v>730</v>
      </c>
      <c r="H485" s="16"/>
    </row>
    <row r="486" customFormat="false" ht="15" hidden="false" customHeight="false" outlineLevel="0" collapsed="false">
      <c r="A486" s="10" t="s">
        <v>2221</v>
      </c>
      <c r="B486" s="12" t="n">
        <f aca="false">COUNTIF(選手一覧!$C$7:$C$2738,A486)</f>
        <v>2</v>
      </c>
      <c r="C486" s="14" t="n">
        <f aca="false">COUNTIFS(選手一覧!$C$7:$C$2738,A486,選手一覧!$K$7:$K$2738,"&lt;=100")</f>
        <v>0</v>
      </c>
      <c r="D486" s="14" t="n">
        <f aca="false">COUNTIFS(選手一覧!$C$7:$C$2738,A486,選手一覧!$E$7:$E$2738,"&lt;=100")</f>
        <v>0</v>
      </c>
      <c r="E486" s="14" t="n">
        <f aca="false">COUNTIFS(選手一覧!$C$7:$C$2738,A486,選手一覧!$G$7:$G$2738,"&lt;=100")</f>
        <v>0</v>
      </c>
      <c r="F486" s="14" t="n">
        <f aca="false">COUNTIFS(選手一覧!$C$7:$C$2738,A486,選手一覧!$I$7:$I$2738,"&lt;=100")</f>
        <v>0</v>
      </c>
      <c r="G486" s="13" t="n">
        <f aca="false">_xlfn.MINIFS(選手一覧!$K$7:$K$2738,選手一覧!$C$7:$C$2738,A486)</f>
        <v>731</v>
      </c>
      <c r="H486" s="16"/>
    </row>
    <row r="487" customFormat="false" ht="15" hidden="false" customHeight="false" outlineLevel="0" collapsed="false">
      <c r="A487" s="10" t="s">
        <v>2238</v>
      </c>
      <c r="B487" s="12" t="n">
        <f aca="false">COUNTIF(選手一覧!$C$7:$C$2738,A487)</f>
        <v>2</v>
      </c>
      <c r="C487" s="14" t="n">
        <f aca="false">COUNTIFS(選手一覧!$C$7:$C$2738,A487,選手一覧!$K$7:$K$2738,"&lt;=100")</f>
        <v>0</v>
      </c>
      <c r="D487" s="14" t="n">
        <f aca="false">COUNTIFS(選手一覧!$C$7:$C$2738,A487,選手一覧!$E$7:$E$2738,"&lt;=100")</f>
        <v>0</v>
      </c>
      <c r="E487" s="14" t="n">
        <f aca="false">COUNTIFS(選手一覧!$C$7:$C$2738,A487,選手一覧!$G$7:$G$2738,"&lt;=100")</f>
        <v>0</v>
      </c>
      <c r="F487" s="14" t="n">
        <f aca="false">COUNTIFS(選手一覧!$C$7:$C$2738,A487,選手一覧!$I$7:$I$2738,"&lt;=100")</f>
        <v>0</v>
      </c>
      <c r="G487" s="13" t="n">
        <f aca="false">_xlfn.MINIFS(選手一覧!$K$7:$K$2738,選手一覧!$C$7:$C$2738,A487)</f>
        <v>739</v>
      </c>
      <c r="H487" s="16"/>
    </row>
    <row r="488" customFormat="false" ht="15" hidden="false" customHeight="false" outlineLevel="0" collapsed="false">
      <c r="A488" s="10" t="s">
        <v>2243</v>
      </c>
      <c r="B488" s="12" t="n">
        <f aca="false">COUNTIF(選手一覧!$C$7:$C$2738,A488)</f>
        <v>2</v>
      </c>
      <c r="C488" s="14" t="n">
        <f aca="false">COUNTIFS(選手一覧!$C$7:$C$2738,A488,選手一覧!$K$7:$K$2738,"&lt;=100")</f>
        <v>0</v>
      </c>
      <c r="D488" s="14" t="n">
        <f aca="false">COUNTIFS(選手一覧!$C$7:$C$2738,A488,選手一覧!$E$7:$E$2738,"&lt;=100")</f>
        <v>0</v>
      </c>
      <c r="E488" s="14" t="n">
        <f aca="false">COUNTIFS(選手一覧!$C$7:$C$2738,A488,選手一覧!$G$7:$G$2738,"&lt;=100")</f>
        <v>0</v>
      </c>
      <c r="F488" s="14" t="n">
        <f aca="false">COUNTIFS(選手一覧!$C$7:$C$2738,A488,選手一覧!$I$7:$I$2738,"&lt;=100")</f>
        <v>0</v>
      </c>
      <c r="G488" s="13" t="n">
        <f aca="false">_xlfn.MINIFS(選手一覧!$K$7:$K$2738,選手一覧!$C$7:$C$2738,A488)</f>
        <v>740</v>
      </c>
      <c r="H488" s="16"/>
    </row>
    <row r="489" customFormat="false" ht="15" hidden="false" customHeight="false" outlineLevel="0" collapsed="false">
      <c r="A489" s="10" t="s">
        <v>2278</v>
      </c>
      <c r="B489" s="12" t="n">
        <f aca="false">COUNTIF(選手一覧!$C$7:$C$2738,A489)</f>
        <v>2</v>
      </c>
      <c r="C489" s="14" t="n">
        <f aca="false">COUNTIFS(選手一覧!$C$7:$C$2738,A489,選手一覧!$K$7:$K$2738,"&lt;=100")</f>
        <v>0</v>
      </c>
      <c r="D489" s="14" t="n">
        <f aca="false">COUNTIFS(選手一覧!$C$7:$C$2738,A489,選手一覧!$E$7:$E$2738,"&lt;=100")</f>
        <v>0</v>
      </c>
      <c r="E489" s="14" t="n">
        <f aca="false">COUNTIFS(選手一覧!$C$7:$C$2738,A489,選手一覧!$G$7:$G$2738,"&lt;=100")</f>
        <v>0</v>
      </c>
      <c r="F489" s="14" t="n">
        <f aca="false">COUNTIFS(選手一覧!$C$7:$C$2738,A489,選手一覧!$I$7:$I$2738,"&lt;=100")</f>
        <v>0</v>
      </c>
      <c r="G489" s="13" t="n">
        <f aca="false">_xlfn.MINIFS(選手一覧!$K$7:$K$2738,選手一覧!$C$7:$C$2738,A489)</f>
        <v>750</v>
      </c>
      <c r="H489" s="16"/>
    </row>
    <row r="490" customFormat="false" ht="15" hidden="false" customHeight="false" outlineLevel="0" collapsed="false">
      <c r="A490" s="10" t="s">
        <v>2281</v>
      </c>
      <c r="B490" s="12" t="n">
        <f aca="false">COUNTIF(選手一覧!$C$7:$C$2738,A490)</f>
        <v>2</v>
      </c>
      <c r="C490" s="14" t="n">
        <f aca="false">COUNTIFS(選手一覧!$C$7:$C$2738,A490,選手一覧!$K$7:$K$2738,"&lt;=100")</f>
        <v>0</v>
      </c>
      <c r="D490" s="14" t="n">
        <f aca="false">COUNTIFS(選手一覧!$C$7:$C$2738,A490,選手一覧!$E$7:$E$2738,"&lt;=100")</f>
        <v>0</v>
      </c>
      <c r="E490" s="14" t="n">
        <f aca="false">COUNTIFS(選手一覧!$C$7:$C$2738,A490,選手一覧!$G$7:$G$2738,"&lt;=100")</f>
        <v>0</v>
      </c>
      <c r="F490" s="14" t="n">
        <f aca="false">COUNTIFS(選手一覧!$C$7:$C$2738,A490,選手一覧!$I$7:$I$2738,"&lt;=100")</f>
        <v>0</v>
      </c>
      <c r="G490" s="13" t="n">
        <f aca="false">_xlfn.MINIFS(選手一覧!$K$7:$K$2738,選手一覧!$C$7:$C$2738,A490)</f>
        <v>751</v>
      </c>
      <c r="H490" s="16"/>
    </row>
    <row r="491" customFormat="false" ht="15" hidden="false" customHeight="false" outlineLevel="0" collapsed="false">
      <c r="A491" s="10" t="s">
        <v>2293</v>
      </c>
      <c r="B491" s="12" t="n">
        <f aca="false">COUNTIF(選手一覧!$C$7:$C$2738,A491)</f>
        <v>2</v>
      </c>
      <c r="C491" s="14" t="n">
        <f aca="false">COUNTIFS(選手一覧!$C$7:$C$2738,A491,選手一覧!$K$7:$K$2738,"&lt;=100")</f>
        <v>0</v>
      </c>
      <c r="D491" s="14" t="n">
        <f aca="false">COUNTIFS(選手一覧!$C$7:$C$2738,A491,選手一覧!$E$7:$E$2738,"&lt;=100")</f>
        <v>0</v>
      </c>
      <c r="E491" s="14" t="n">
        <f aca="false">COUNTIFS(選手一覧!$C$7:$C$2738,A491,選手一覧!$G$7:$G$2738,"&lt;=100")</f>
        <v>0</v>
      </c>
      <c r="F491" s="14" t="n">
        <f aca="false">COUNTIFS(選手一覧!$C$7:$C$2738,A491,選手一覧!$I$7:$I$2738,"&lt;=100")</f>
        <v>0</v>
      </c>
      <c r="G491" s="13" t="n">
        <f aca="false">_xlfn.MINIFS(選手一覧!$K$7:$K$2738,選手一覧!$C$7:$C$2738,A491)</f>
        <v>754</v>
      </c>
      <c r="H491" s="16"/>
    </row>
    <row r="492" customFormat="false" ht="15" hidden="false" customHeight="false" outlineLevel="0" collapsed="false">
      <c r="A492" s="10" t="s">
        <v>2306</v>
      </c>
      <c r="B492" s="12" t="n">
        <f aca="false">COUNTIF(選手一覧!$C$7:$C$2738,A492)</f>
        <v>2</v>
      </c>
      <c r="C492" s="14" t="n">
        <f aca="false">COUNTIFS(選手一覧!$C$7:$C$2738,A492,選手一覧!$K$7:$K$2738,"&lt;=100")</f>
        <v>0</v>
      </c>
      <c r="D492" s="14" t="n">
        <f aca="false">COUNTIFS(選手一覧!$C$7:$C$2738,A492,選手一覧!$E$7:$E$2738,"&lt;=100")</f>
        <v>0</v>
      </c>
      <c r="E492" s="14" t="n">
        <f aca="false">COUNTIFS(選手一覧!$C$7:$C$2738,A492,選手一覧!$G$7:$G$2738,"&lt;=100")</f>
        <v>0</v>
      </c>
      <c r="F492" s="14" t="n">
        <f aca="false">COUNTIFS(選手一覧!$C$7:$C$2738,A492,選手一覧!$I$7:$I$2738,"&lt;=100")</f>
        <v>0</v>
      </c>
      <c r="G492" s="13" t="n">
        <f aca="false">_xlfn.MINIFS(選手一覧!$K$7:$K$2738,選手一覧!$C$7:$C$2738,A492)</f>
        <v>759</v>
      </c>
      <c r="H492" s="16"/>
    </row>
    <row r="493" customFormat="false" ht="15" hidden="false" customHeight="false" outlineLevel="0" collapsed="false">
      <c r="A493" s="10" t="s">
        <v>2309</v>
      </c>
      <c r="B493" s="12" t="n">
        <f aca="false">COUNTIF(選手一覧!$C$7:$C$2738,A493)</f>
        <v>2</v>
      </c>
      <c r="C493" s="14" t="n">
        <f aca="false">COUNTIFS(選手一覧!$C$7:$C$2738,A493,選手一覧!$K$7:$K$2738,"&lt;=100")</f>
        <v>0</v>
      </c>
      <c r="D493" s="14" t="n">
        <f aca="false">COUNTIFS(選手一覧!$C$7:$C$2738,A493,選手一覧!$E$7:$E$2738,"&lt;=100")</f>
        <v>0</v>
      </c>
      <c r="E493" s="14" t="n">
        <f aca="false">COUNTIFS(選手一覧!$C$7:$C$2738,A493,選手一覧!$G$7:$G$2738,"&lt;=100")</f>
        <v>0</v>
      </c>
      <c r="F493" s="14" t="n">
        <f aca="false">COUNTIFS(選手一覧!$C$7:$C$2738,A493,選手一覧!$I$7:$I$2738,"&lt;=100")</f>
        <v>0</v>
      </c>
      <c r="G493" s="13" t="n">
        <f aca="false">_xlfn.MINIFS(選手一覧!$K$7:$K$2738,選手一覧!$C$7:$C$2738,A493)</f>
        <v>759</v>
      </c>
      <c r="H493" s="16"/>
    </row>
    <row r="494" customFormat="false" ht="15" hidden="false" customHeight="false" outlineLevel="0" collapsed="false">
      <c r="A494" s="10" t="s">
        <v>2313</v>
      </c>
      <c r="B494" s="12" t="n">
        <f aca="false">COUNTIF(選手一覧!$C$7:$C$2738,A494)</f>
        <v>2</v>
      </c>
      <c r="C494" s="14" t="n">
        <f aca="false">COUNTIFS(選手一覧!$C$7:$C$2738,A494,選手一覧!$K$7:$K$2738,"&lt;=100")</f>
        <v>0</v>
      </c>
      <c r="D494" s="14" t="n">
        <f aca="false">COUNTIFS(選手一覧!$C$7:$C$2738,A494,選手一覧!$E$7:$E$2738,"&lt;=100")</f>
        <v>0</v>
      </c>
      <c r="E494" s="14" t="n">
        <f aca="false">COUNTIFS(選手一覧!$C$7:$C$2738,A494,選手一覧!$G$7:$G$2738,"&lt;=100")</f>
        <v>0</v>
      </c>
      <c r="F494" s="14" t="n">
        <f aca="false">COUNTIFS(選手一覧!$C$7:$C$2738,A494,選手一覧!$I$7:$I$2738,"&lt;=100")</f>
        <v>0</v>
      </c>
      <c r="G494" s="13" t="n">
        <f aca="false">_xlfn.MINIFS(選手一覧!$K$7:$K$2738,選手一覧!$C$7:$C$2738,A494)</f>
        <v>761</v>
      </c>
      <c r="H494" s="16"/>
    </row>
    <row r="495" customFormat="false" ht="15" hidden="false" customHeight="false" outlineLevel="0" collapsed="false">
      <c r="A495" s="10" t="s">
        <v>2321</v>
      </c>
      <c r="B495" s="12" t="n">
        <f aca="false">COUNTIF(選手一覧!$C$7:$C$2738,A495)</f>
        <v>2</v>
      </c>
      <c r="C495" s="14" t="n">
        <f aca="false">COUNTIFS(選手一覧!$C$7:$C$2738,A495,選手一覧!$K$7:$K$2738,"&lt;=100")</f>
        <v>0</v>
      </c>
      <c r="D495" s="14" t="n">
        <f aca="false">COUNTIFS(選手一覧!$C$7:$C$2738,A495,選手一覧!$E$7:$E$2738,"&lt;=100")</f>
        <v>0</v>
      </c>
      <c r="E495" s="14" t="n">
        <f aca="false">COUNTIFS(選手一覧!$C$7:$C$2738,A495,選手一覧!$G$7:$G$2738,"&lt;=100")</f>
        <v>0</v>
      </c>
      <c r="F495" s="14" t="n">
        <f aca="false">COUNTIFS(選手一覧!$C$7:$C$2738,A495,選手一覧!$I$7:$I$2738,"&lt;=100")</f>
        <v>0</v>
      </c>
      <c r="G495" s="13" t="n">
        <f aca="false">_xlfn.MINIFS(選手一覧!$K$7:$K$2738,選手一覧!$C$7:$C$2738,A495)</f>
        <v>763</v>
      </c>
      <c r="H495" s="16"/>
    </row>
    <row r="496" customFormat="false" ht="15" hidden="false" customHeight="false" outlineLevel="0" collapsed="false">
      <c r="A496" s="10" t="s">
        <v>2339</v>
      </c>
      <c r="B496" s="12" t="n">
        <f aca="false">COUNTIF(選手一覧!$C$7:$C$2738,A496)</f>
        <v>2</v>
      </c>
      <c r="C496" s="14" t="n">
        <f aca="false">COUNTIFS(選手一覧!$C$7:$C$2738,A496,選手一覧!$K$7:$K$2738,"&lt;=100")</f>
        <v>0</v>
      </c>
      <c r="D496" s="14" t="n">
        <f aca="false">COUNTIFS(選手一覧!$C$7:$C$2738,A496,選手一覧!$E$7:$E$2738,"&lt;=100")</f>
        <v>0</v>
      </c>
      <c r="E496" s="14" t="n">
        <f aca="false">COUNTIFS(選手一覧!$C$7:$C$2738,A496,選手一覧!$G$7:$G$2738,"&lt;=100")</f>
        <v>0</v>
      </c>
      <c r="F496" s="14" t="n">
        <f aca="false">COUNTIFS(選手一覧!$C$7:$C$2738,A496,選手一覧!$I$7:$I$2738,"&lt;=100")</f>
        <v>0</v>
      </c>
      <c r="G496" s="13" t="n">
        <f aca="false">_xlfn.MINIFS(選手一覧!$K$7:$K$2738,選手一覧!$C$7:$C$2738,A496)</f>
        <v>769</v>
      </c>
      <c r="H496" s="16"/>
    </row>
    <row r="497" customFormat="false" ht="15" hidden="false" customHeight="false" outlineLevel="0" collapsed="false">
      <c r="A497" s="10" t="s">
        <v>2352</v>
      </c>
      <c r="B497" s="12" t="n">
        <f aca="false">COUNTIF(選手一覧!$C$7:$C$2738,A497)</f>
        <v>2</v>
      </c>
      <c r="C497" s="14" t="n">
        <f aca="false">COUNTIFS(選手一覧!$C$7:$C$2738,A497,選手一覧!$K$7:$K$2738,"&lt;=100")</f>
        <v>0</v>
      </c>
      <c r="D497" s="14" t="n">
        <f aca="false">COUNTIFS(選手一覧!$C$7:$C$2738,A497,選手一覧!$E$7:$E$2738,"&lt;=100")</f>
        <v>0</v>
      </c>
      <c r="E497" s="14" t="n">
        <f aca="false">COUNTIFS(選手一覧!$C$7:$C$2738,A497,選手一覧!$G$7:$G$2738,"&lt;=100")</f>
        <v>0</v>
      </c>
      <c r="F497" s="14" t="n">
        <f aca="false">COUNTIFS(選手一覧!$C$7:$C$2738,A497,選手一覧!$I$7:$I$2738,"&lt;=100")</f>
        <v>0</v>
      </c>
      <c r="G497" s="13" t="n">
        <f aca="false">_xlfn.MINIFS(選手一覧!$K$7:$K$2738,選手一覧!$C$7:$C$2738,A497)</f>
        <v>774</v>
      </c>
      <c r="H497" s="16"/>
    </row>
    <row r="498" customFormat="false" ht="15" hidden="false" customHeight="false" outlineLevel="0" collapsed="false">
      <c r="A498" s="10" t="s">
        <v>2373</v>
      </c>
      <c r="B498" s="12" t="n">
        <f aca="false">COUNTIF(選手一覧!$C$7:$C$2738,A498)</f>
        <v>2</v>
      </c>
      <c r="C498" s="14" t="n">
        <f aca="false">COUNTIFS(選手一覧!$C$7:$C$2738,A498,選手一覧!$K$7:$K$2738,"&lt;=100")</f>
        <v>0</v>
      </c>
      <c r="D498" s="14" t="n">
        <f aca="false">COUNTIFS(選手一覧!$C$7:$C$2738,A498,選手一覧!$E$7:$E$2738,"&lt;=100")</f>
        <v>0</v>
      </c>
      <c r="E498" s="14" t="n">
        <f aca="false">COUNTIFS(選手一覧!$C$7:$C$2738,A498,選手一覧!$G$7:$G$2738,"&lt;=100")</f>
        <v>0</v>
      </c>
      <c r="F498" s="14" t="n">
        <f aca="false">COUNTIFS(選手一覧!$C$7:$C$2738,A498,選手一覧!$I$7:$I$2738,"&lt;=100")</f>
        <v>0</v>
      </c>
      <c r="G498" s="13" t="n">
        <f aca="false">_xlfn.MINIFS(選手一覧!$K$7:$K$2738,選手一覧!$C$7:$C$2738,A498)</f>
        <v>783</v>
      </c>
      <c r="H498" s="16"/>
    </row>
    <row r="499" customFormat="false" ht="15" hidden="false" customHeight="false" outlineLevel="0" collapsed="false">
      <c r="A499" s="10" t="s">
        <v>2386</v>
      </c>
      <c r="B499" s="12" t="n">
        <f aca="false">COUNTIF(選手一覧!$C$7:$C$2738,A499)</f>
        <v>2</v>
      </c>
      <c r="C499" s="14" t="n">
        <f aca="false">COUNTIFS(選手一覧!$C$7:$C$2738,A499,選手一覧!$K$7:$K$2738,"&lt;=100")</f>
        <v>0</v>
      </c>
      <c r="D499" s="14" t="n">
        <f aca="false">COUNTIFS(選手一覧!$C$7:$C$2738,A499,選手一覧!$E$7:$E$2738,"&lt;=100")</f>
        <v>0</v>
      </c>
      <c r="E499" s="14" t="n">
        <f aca="false">COUNTIFS(選手一覧!$C$7:$C$2738,A499,選手一覧!$G$7:$G$2738,"&lt;=100")</f>
        <v>0</v>
      </c>
      <c r="F499" s="14" t="n">
        <f aca="false">COUNTIFS(選手一覧!$C$7:$C$2738,A499,選手一覧!$I$7:$I$2738,"&lt;=100")</f>
        <v>0</v>
      </c>
      <c r="G499" s="13" t="n">
        <f aca="false">_xlfn.MINIFS(選手一覧!$K$7:$K$2738,選手一覧!$C$7:$C$2738,A499)</f>
        <v>790</v>
      </c>
      <c r="H499" s="16"/>
    </row>
    <row r="500" customFormat="false" ht="15" hidden="false" customHeight="false" outlineLevel="0" collapsed="false">
      <c r="A500" s="10" t="s">
        <v>2393</v>
      </c>
      <c r="B500" s="12" t="n">
        <f aca="false">COUNTIF(選手一覧!$C$7:$C$2738,A500)</f>
        <v>2</v>
      </c>
      <c r="C500" s="14" t="n">
        <f aca="false">COUNTIFS(選手一覧!$C$7:$C$2738,A500,選手一覧!$K$7:$K$2738,"&lt;=100")</f>
        <v>0</v>
      </c>
      <c r="D500" s="14" t="n">
        <f aca="false">COUNTIFS(選手一覧!$C$7:$C$2738,A500,選手一覧!$E$7:$E$2738,"&lt;=100")</f>
        <v>0</v>
      </c>
      <c r="E500" s="14" t="n">
        <f aca="false">COUNTIFS(選手一覧!$C$7:$C$2738,A500,選手一覧!$G$7:$G$2738,"&lt;=100")</f>
        <v>0</v>
      </c>
      <c r="F500" s="14" t="n">
        <f aca="false">COUNTIFS(選手一覧!$C$7:$C$2738,A500,選手一覧!$I$7:$I$2738,"&lt;=100")</f>
        <v>0</v>
      </c>
      <c r="G500" s="13" t="n">
        <f aca="false">_xlfn.MINIFS(選手一覧!$K$7:$K$2738,選手一覧!$C$7:$C$2738,A500)</f>
        <v>793</v>
      </c>
      <c r="H500" s="16"/>
    </row>
    <row r="501" customFormat="false" ht="15" hidden="false" customHeight="false" outlineLevel="0" collapsed="false">
      <c r="A501" s="10" t="s">
        <v>2402</v>
      </c>
      <c r="B501" s="12" t="n">
        <f aca="false">COUNTIF(選手一覧!$C$7:$C$2738,A501)</f>
        <v>2</v>
      </c>
      <c r="C501" s="14" t="n">
        <f aca="false">COUNTIFS(選手一覧!$C$7:$C$2738,A501,選手一覧!$K$7:$K$2738,"&lt;=100")</f>
        <v>0</v>
      </c>
      <c r="D501" s="14" t="n">
        <f aca="false">COUNTIFS(選手一覧!$C$7:$C$2738,A501,選手一覧!$E$7:$E$2738,"&lt;=100")</f>
        <v>0</v>
      </c>
      <c r="E501" s="14" t="n">
        <f aca="false">COUNTIFS(選手一覧!$C$7:$C$2738,A501,選手一覧!$G$7:$G$2738,"&lt;=100")</f>
        <v>0</v>
      </c>
      <c r="F501" s="14" t="n">
        <f aca="false">COUNTIFS(選手一覧!$C$7:$C$2738,A501,選手一覧!$I$7:$I$2738,"&lt;=100")</f>
        <v>0</v>
      </c>
      <c r="G501" s="13" t="n">
        <f aca="false">_xlfn.MINIFS(選手一覧!$K$7:$K$2738,選手一覧!$C$7:$C$2738,A501)</f>
        <v>797</v>
      </c>
      <c r="H501" s="16"/>
    </row>
    <row r="502" customFormat="false" ht="15" hidden="false" customHeight="false" outlineLevel="0" collapsed="false">
      <c r="A502" s="10" t="s">
        <v>2409</v>
      </c>
      <c r="B502" s="12" t="n">
        <f aca="false">COUNTIF(選手一覧!$C$7:$C$2738,A502)</f>
        <v>2</v>
      </c>
      <c r="C502" s="14" t="n">
        <f aca="false">COUNTIFS(選手一覧!$C$7:$C$2738,A502,選手一覧!$K$7:$K$2738,"&lt;=100")</f>
        <v>0</v>
      </c>
      <c r="D502" s="14" t="n">
        <f aca="false">COUNTIFS(選手一覧!$C$7:$C$2738,A502,選手一覧!$E$7:$E$2738,"&lt;=100")</f>
        <v>0</v>
      </c>
      <c r="E502" s="14" t="n">
        <f aca="false">COUNTIFS(選手一覧!$C$7:$C$2738,A502,選手一覧!$G$7:$G$2738,"&lt;=100")</f>
        <v>0</v>
      </c>
      <c r="F502" s="14" t="n">
        <f aca="false">COUNTIFS(選手一覧!$C$7:$C$2738,A502,選手一覧!$I$7:$I$2738,"&lt;=100")</f>
        <v>0</v>
      </c>
      <c r="G502" s="13" t="n">
        <f aca="false">_xlfn.MINIFS(選手一覧!$K$7:$K$2738,選手一覧!$C$7:$C$2738,A502)</f>
        <v>800</v>
      </c>
      <c r="H502" s="16"/>
    </row>
    <row r="503" customFormat="false" ht="15" hidden="false" customHeight="false" outlineLevel="0" collapsed="false">
      <c r="A503" s="10" t="s">
        <v>2430</v>
      </c>
      <c r="B503" s="12" t="n">
        <f aca="false">COUNTIF(選手一覧!$C$7:$C$2738,A503)</f>
        <v>2</v>
      </c>
      <c r="C503" s="14" t="n">
        <f aca="false">COUNTIFS(選手一覧!$C$7:$C$2738,A503,選手一覧!$K$7:$K$2738,"&lt;=100")</f>
        <v>0</v>
      </c>
      <c r="D503" s="14" t="n">
        <f aca="false">COUNTIFS(選手一覧!$C$7:$C$2738,A503,選手一覧!$E$7:$E$2738,"&lt;=100")</f>
        <v>0</v>
      </c>
      <c r="E503" s="14" t="n">
        <f aca="false">COUNTIFS(選手一覧!$C$7:$C$2738,A503,選手一覧!$G$7:$G$2738,"&lt;=100")</f>
        <v>0</v>
      </c>
      <c r="F503" s="14" t="n">
        <f aca="false">COUNTIFS(選手一覧!$C$7:$C$2738,A503,選手一覧!$I$7:$I$2738,"&lt;=100")</f>
        <v>0</v>
      </c>
      <c r="G503" s="13" t="n">
        <f aca="false">_xlfn.MINIFS(選手一覧!$K$7:$K$2738,選手一覧!$C$7:$C$2738,A503)</f>
        <v>808</v>
      </c>
      <c r="H503" s="16"/>
    </row>
    <row r="504" customFormat="false" ht="15" hidden="false" customHeight="false" outlineLevel="0" collapsed="false">
      <c r="A504" s="10" t="s">
        <v>2436</v>
      </c>
      <c r="B504" s="12" t="n">
        <f aca="false">COUNTIF(選手一覧!$C$7:$C$2738,A504)</f>
        <v>2</v>
      </c>
      <c r="C504" s="14" t="n">
        <f aca="false">COUNTIFS(選手一覧!$C$7:$C$2738,A504,選手一覧!$K$7:$K$2738,"&lt;=100")</f>
        <v>0</v>
      </c>
      <c r="D504" s="14" t="n">
        <f aca="false">COUNTIFS(選手一覧!$C$7:$C$2738,A504,選手一覧!$E$7:$E$2738,"&lt;=100")</f>
        <v>0</v>
      </c>
      <c r="E504" s="14" t="n">
        <f aca="false">COUNTIFS(選手一覧!$C$7:$C$2738,A504,選手一覧!$G$7:$G$2738,"&lt;=100")</f>
        <v>0</v>
      </c>
      <c r="F504" s="14" t="n">
        <f aca="false">COUNTIFS(選手一覧!$C$7:$C$2738,A504,選手一覧!$I$7:$I$2738,"&lt;=100")</f>
        <v>0</v>
      </c>
      <c r="G504" s="13" t="n">
        <f aca="false">_xlfn.MINIFS(選手一覧!$K$7:$K$2738,選手一覧!$C$7:$C$2738,A504)</f>
        <v>810</v>
      </c>
      <c r="H504" s="16"/>
    </row>
    <row r="505" customFormat="false" ht="15" hidden="false" customHeight="false" outlineLevel="0" collapsed="false">
      <c r="A505" s="10" t="s">
        <v>2438</v>
      </c>
      <c r="B505" s="12" t="n">
        <f aca="false">COUNTIF(選手一覧!$C$7:$C$2738,A505)</f>
        <v>2</v>
      </c>
      <c r="C505" s="14" t="n">
        <f aca="false">COUNTIFS(選手一覧!$C$7:$C$2738,A505,選手一覧!$K$7:$K$2738,"&lt;=100")</f>
        <v>0</v>
      </c>
      <c r="D505" s="14" t="n">
        <f aca="false">COUNTIFS(選手一覧!$C$7:$C$2738,A505,選手一覧!$E$7:$E$2738,"&lt;=100")</f>
        <v>0</v>
      </c>
      <c r="E505" s="14" t="n">
        <f aca="false">COUNTIFS(選手一覧!$C$7:$C$2738,A505,選手一覧!$G$7:$G$2738,"&lt;=100")</f>
        <v>0</v>
      </c>
      <c r="F505" s="14" t="n">
        <f aca="false">COUNTIFS(選手一覧!$C$7:$C$2738,A505,選手一覧!$I$7:$I$2738,"&lt;=100")</f>
        <v>0</v>
      </c>
      <c r="G505" s="13" t="n">
        <f aca="false">_xlfn.MINIFS(選手一覧!$K$7:$K$2738,選手一覧!$C$7:$C$2738,A505)</f>
        <v>811</v>
      </c>
      <c r="H505" s="16"/>
    </row>
    <row r="506" customFormat="false" ht="15" hidden="false" customHeight="false" outlineLevel="0" collapsed="false">
      <c r="A506" s="10" t="s">
        <v>2449</v>
      </c>
      <c r="B506" s="12" t="n">
        <f aca="false">COUNTIF(選手一覧!$C$7:$C$2738,A506)</f>
        <v>2</v>
      </c>
      <c r="C506" s="14" t="n">
        <f aca="false">COUNTIFS(選手一覧!$C$7:$C$2738,A506,選手一覧!$K$7:$K$2738,"&lt;=100")</f>
        <v>0</v>
      </c>
      <c r="D506" s="14" t="n">
        <f aca="false">COUNTIFS(選手一覧!$C$7:$C$2738,A506,選手一覧!$E$7:$E$2738,"&lt;=100")</f>
        <v>0</v>
      </c>
      <c r="E506" s="14" t="n">
        <f aca="false">COUNTIFS(選手一覧!$C$7:$C$2738,A506,選手一覧!$G$7:$G$2738,"&lt;=100")</f>
        <v>0</v>
      </c>
      <c r="F506" s="14" t="n">
        <f aca="false">COUNTIFS(選手一覧!$C$7:$C$2738,A506,選手一覧!$I$7:$I$2738,"&lt;=100")</f>
        <v>0</v>
      </c>
      <c r="G506" s="13" t="n">
        <f aca="false">_xlfn.MINIFS(選手一覧!$K$7:$K$2738,選手一覧!$C$7:$C$2738,A506)</f>
        <v>815</v>
      </c>
      <c r="H506" s="16"/>
    </row>
    <row r="507" customFormat="false" ht="15" hidden="false" customHeight="false" outlineLevel="0" collapsed="false">
      <c r="A507" s="10" t="s">
        <v>2483</v>
      </c>
      <c r="B507" s="12" t="n">
        <f aca="false">COUNTIF(選手一覧!$C$7:$C$2738,A507)</f>
        <v>2</v>
      </c>
      <c r="C507" s="14" t="n">
        <f aca="false">COUNTIFS(選手一覧!$C$7:$C$2738,A507,選手一覧!$K$7:$K$2738,"&lt;=100")</f>
        <v>0</v>
      </c>
      <c r="D507" s="14" t="n">
        <f aca="false">COUNTIFS(選手一覧!$C$7:$C$2738,A507,選手一覧!$E$7:$E$2738,"&lt;=100")</f>
        <v>0</v>
      </c>
      <c r="E507" s="14" t="n">
        <f aca="false">COUNTIFS(選手一覧!$C$7:$C$2738,A507,選手一覧!$G$7:$G$2738,"&lt;=100")</f>
        <v>0</v>
      </c>
      <c r="F507" s="14" t="n">
        <f aca="false">COUNTIFS(選手一覧!$C$7:$C$2738,A507,選手一覧!$I$7:$I$2738,"&lt;=100")</f>
        <v>0</v>
      </c>
      <c r="G507" s="13" t="n">
        <f aca="false">_xlfn.MINIFS(選手一覧!$K$7:$K$2738,選手一覧!$C$7:$C$2738,A507)</f>
        <v>828</v>
      </c>
      <c r="H507" s="16"/>
    </row>
    <row r="508" customFormat="false" ht="15" hidden="false" customHeight="false" outlineLevel="0" collapsed="false">
      <c r="A508" s="10" t="s">
        <v>2512</v>
      </c>
      <c r="B508" s="12" t="n">
        <f aca="false">COUNTIF(選手一覧!$C$7:$C$2738,A508)</f>
        <v>2</v>
      </c>
      <c r="C508" s="14" t="n">
        <f aca="false">COUNTIFS(選手一覧!$C$7:$C$2738,A508,選手一覧!$K$7:$K$2738,"&lt;=100")</f>
        <v>0</v>
      </c>
      <c r="D508" s="14" t="n">
        <f aca="false">COUNTIFS(選手一覧!$C$7:$C$2738,A508,選手一覧!$E$7:$E$2738,"&lt;=100")</f>
        <v>0</v>
      </c>
      <c r="E508" s="14" t="n">
        <f aca="false">COUNTIFS(選手一覧!$C$7:$C$2738,A508,選手一覧!$G$7:$G$2738,"&lt;=100")</f>
        <v>0</v>
      </c>
      <c r="F508" s="14" t="n">
        <f aca="false">COUNTIFS(選手一覧!$C$7:$C$2738,A508,選手一覧!$I$7:$I$2738,"&lt;=100")</f>
        <v>0</v>
      </c>
      <c r="G508" s="13" t="n">
        <f aca="false">_xlfn.MINIFS(選手一覧!$K$7:$K$2738,選手一覧!$C$7:$C$2738,A508)</f>
        <v>838</v>
      </c>
      <c r="H508" s="16"/>
    </row>
    <row r="509" customFormat="false" ht="15" hidden="false" customHeight="false" outlineLevel="0" collapsed="false">
      <c r="A509" s="10" t="s">
        <v>2517</v>
      </c>
      <c r="B509" s="12" t="n">
        <f aca="false">COUNTIF(選手一覧!$C$7:$C$2738,A509)</f>
        <v>2</v>
      </c>
      <c r="C509" s="14" t="n">
        <f aca="false">COUNTIFS(選手一覧!$C$7:$C$2738,A509,選手一覧!$K$7:$K$2738,"&lt;=100")</f>
        <v>0</v>
      </c>
      <c r="D509" s="14" t="n">
        <f aca="false">COUNTIFS(選手一覧!$C$7:$C$2738,A509,選手一覧!$E$7:$E$2738,"&lt;=100")</f>
        <v>0</v>
      </c>
      <c r="E509" s="14" t="n">
        <f aca="false">COUNTIFS(選手一覧!$C$7:$C$2738,A509,選手一覧!$G$7:$G$2738,"&lt;=100")</f>
        <v>0</v>
      </c>
      <c r="F509" s="14" t="n">
        <f aca="false">COUNTIFS(選手一覧!$C$7:$C$2738,A509,選手一覧!$I$7:$I$2738,"&lt;=100")</f>
        <v>0</v>
      </c>
      <c r="G509" s="13" t="n">
        <f aca="false">_xlfn.MINIFS(選手一覧!$K$7:$K$2738,選手一覧!$C$7:$C$2738,A509)</f>
        <v>839</v>
      </c>
      <c r="H509" s="16"/>
    </row>
    <row r="510" customFormat="false" ht="15" hidden="false" customHeight="false" outlineLevel="0" collapsed="false">
      <c r="A510" s="10" t="s">
        <v>2523</v>
      </c>
      <c r="B510" s="12" t="n">
        <f aca="false">COUNTIF(選手一覧!$C$7:$C$2738,A510)</f>
        <v>2</v>
      </c>
      <c r="C510" s="14" t="n">
        <f aca="false">COUNTIFS(選手一覧!$C$7:$C$2738,A510,選手一覧!$K$7:$K$2738,"&lt;=100")</f>
        <v>0</v>
      </c>
      <c r="D510" s="14" t="n">
        <f aca="false">COUNTIFS(選手一覧!$C$7:$C$2738,A510,選手一覧!$E$7:$E$2738,"&lt;=100")</f>
        <v>0</v>
      </c>
      <c r="E510" s="14" t="n">
        <f aca="false">COUNTIFS(選手一覧!$C$7:$C$2738,A510,選手一覧!$G$7:$G$2738,"&lt;=100")</f>
        <v>0</v>
      </c>
      <c r="F510" s="14" t="n">
        <f aca="false">COUNTIFS(選手一覧!$C$7:$C$2738,A510,選手一覧!$I$7:$I$2738,"&lt;=100")</f>
        <v>0</v>
      </c>
      <c r="G510" s="13" t="n">
        <f aca="false">_xlfn.MINIFS(選手一覧!$K$7:$K$2738,選手一覧!$C$7:$C$2738,A510)</f>
        <v>842</v>
      </c>
      <c r="H510" s="16"/>
    </row>
    <row r="511" customFormat="false" ht="15" hidden="false" customHeight="false" outlineLevel="0" collapsed="false">
      <c r="A511" s="10" t="s">
        <v>2528</v>
      </c>
      <c r="B511" s="12" t="n">
        <f aca="false">COUNTIF(選手一覧!$C$7:$C$2738,A511)</f>
        <v>2</v>
      </c>
      <c r="C511" s="14" t="n">
        <f aca="false">COUNTIFS(選手一覧!$C$7:$C$2738,A511,選手一覧!$K$7:$K$2738,"&lt;=100")</f>
        <v>0</v>
      </c>
      <c r="D511" s="14" t="n">
        <f aca="false">COUNTIFS(選手一覧!$C$7:$C$2738,A511,選手一覧!$E$7:$E$2738,"&lt;=100")</f>
        <v>0</v>
      </c>
      <c r="E511" s="14" t="n">
        <f aca="false">COUNTIFS(選手一覧!$C$7:$C$2738,A511,選手一覧!$G$7:$G$2738,"&lt;=100")</f>
        <v>0</v>
      </c>
      <c r="F511" s="14" t="n">
        <f aca="false">COUNTIFS(選手一覧!$C$7:$C$2738,A511,選手一覧!$I$7:$I$2738,"&lt;=100")</f>
        <v>0</v>
      </c>
      <c r="G511" s="13" t="n">
        <f aca="false">_xlfn.MINIFS(選手一覧!$K$7:$K$2738,選手一覧!$C$7:$C$2738,A511)</f>
        <v>843</v>
      </c>
      <c r="H511" s="16"/>
    </row>
    <row r="512" customFormat="false" ht="15" hidden="false" customHeight="false" outlineLevel="0" collapsed="false">
      <c r="A512" s="10" t="s">
        <v>2534</v>
      </c>
      <c r="B512" s="12" t="n">
        <f aca="false">COUNTIF(選手一覧!$C$7:$C$2738,A512)</f>
        <v>2</v>
      </c>
      <c r="C512" s="14" t="n">
        <f aca="false">COUNTIFS(選手一覧!$C$7:$C$2738,A512,選手一覧!$K$7:$K$2738,"&lt;=100")</f>
        <v>0</v>
      </c>
      <c r="D512" s="14" t="n">
        <f aca="false">COUNTIFS(選手一覧!$C$7:$C$2738,A512,選手一覧!$E$7:$E$2738,"&lt;=100")</f>
        <v>0</v>
      </c>
      <c r="E512" s="14" t="n">
        <f aca="false">COUNTIFS(選手一覧!$C$7:$C$2738,A512,選手一覧!$G$7:$G$2738,"&lt;=100")</f>
        <v>0</v>
      </c>
      <c r="F512" s="14" t="n">
        <f aca="false">COUNTIFS(選手一覧!$C$7:$C$2738,A512,選手一覧!$I$7:$I$2738,"&lt;=100")</f>
        <v>0</v>
      </c>
      <c r="G512" s="13" t="n">
        <f aca="false">_xlfn.MINIFS(選手一覧!$K$7:$K$2738,選手一覧!$C$7:$C$2738,A512)</f>
        <v>846</v>
      </c>
      <c r="H512" s="16"/>
    </row>
    <row r="513" customFormat="false" ht="15" hidden="false" customHeight="false" outlineLevel="0" collapsed="false">
      <c r="A513" s="10" t="s">
        <v>2542</v>
      </c>
      <c r="B513" s="12" t="n">
        <f aca="false">COUNTIF(選手一覧!$C$7:$C$2738,A513)</f>
        <v>2</v>
      </c>
      <c r="C513" s="14" t="n">
        <f aca="false">COUNTIFS(選手一覧!$C$7:$C$2738,A513,選手一覧!$K$7:$K$2738,"&lt;=100")</f>
        <v>0</v>
      </c>
      <c r="D513" s="14" t="n">
        <f aca="false">COUNTIFS(選手一覧!$C$7:$C$2738,A513,選手一覧!$E$7:$E$2738,"&lt;=100")</f>
        <v>0</v>
      </c>
      <c r="E513" s="14" t="n">
        <f aca="false">COUNTIFS(選手一覧!$C$7:$C$2738,A513,選手一覧!$G$7:$G$2738,"&lt;=100")</f>
        <v>0</v>
      </c>
      <c r="F513" s="14" t="n">
        <f aca="false">COUNTIFS(選手一覧!$C$7:$C$2738,A513,選手一覧!$I$7:$I$2738,"&lt;=100")</f>
        <v>0</v>
      </c>
      <c r="G513" s="13" t="n">
        <f aca="false">_xlfn.MINIFS(選手一覧!$K$7:$K$2738,選手一覧!$C$7:$C$2738,A513)</f>
        <v>848</v>
      </c>
      <c r="H513" s="16"/>
    </row>
    <row r="514" customFormat="false" ht="15" hidden="false" customHeight="false" outlineLevel="0" collapsed="false">
      <c r="A514" s="10" t="s">
        <v>2555</v>
      </c>
      <c r="B514" s="12" t="n">
        <f aca="false">COUNTIF(選手一覧!$C$7:$C$2738,A514)</f>
        <v>2</v>
      </c>
      <c r="C514" s="14" t="n">
        <f aca="false">COUNTIFS(選手一覧!$C$7:$C$2738,A514,選手一覧!$K$7:$K$2738,"&lt;=100")</f>
        <v>0</v>
      </c>
      <c r="D514" s="14" t="n">
        <f aca="false">COUNTIFS(選手一覧!$C$7:$C$2738,A514,選手一覧!$E$7:$E$2738,"&lt;=100")</f>
        <v>0</v>
      </c>
      <c r="E514" s="14" t="n">
        <f aca="false">COUNTIFS(選手一覧!$C$7:$C$2738,A514,選手一覧!$G$7:$G$2738,"&lt;=100")</f>
        <v>0</v>
      </c>
      <c r="F514" s="14" t="n">
        <f aca="false">COUNTIFS(選手一覧!$C$7:$C$2738,A514,選手一覧!$I$7:$I$2738,"&lt;=100")</f>
        <v>0</v>
      </c>
      <c r="G514" s="13" t="n">
        <f aca="false">_xlfn.MINIFS(選手一覧!$K$7:$K$2738,選手一覧!$C$7:$C$2738,A514)</f>
        <v>852</v>
      </c>
      <c r="H514" s="16"/>
    </row>
    <row r="515" customFormat="false" ht="15" hidden="false" customHeight="false" outlineLevel="0" collapsed="false">
      <c r="A515" s="10" t="s">
        <v>2603</v>
      </c>
      <c r="B515" s="12" t="n">
        <f aca="false">COUNTIF(選手一覧!$C$7:$C$2738,A515)</f>
        <v>2</v>
      </c>
      <c r="C515" s="14" t="n">
        <f aca="false">COUNTIFS(選手一覧!$C$7:$C$2738,A515,選手一覧!$K$7:$K$2738,"&lt;=100")</f>
        <v>0</v>
      </c>
      <c r="D515" s="14" t="n">
        <f aca="false">COUNTIFS(選手一覧!$C$7:$C$2738,A515,選手一覧!$E$7:$E$2738,"&lt;=100")</f>
        <v>0</v>
      </c>
      <c r="E515" s="14" t="n">
        <f aca="false">COUNTIFS(選手一覧!$C$7:$C$2738,A515,選手一覧!$G$7:$G$2738,"&lt;=100")</f>
        <v>0</v>
      </c>
      <c r="F515" s="14" t="n">
        <f aca="false">COUNTIFS(選手一覧!$C$7:$C$2738,A515,選手一覧!$I$7:$I$2738,"&lt;=100")</f>
        <v>0</v>
      </c>
      <c r="G515" s="13" t="n">
        <f aca="false">_xlfn.MINIFS(選手一覧!$K$7:$K$2738,選手一覧!$C$7:$C$2738,A515)</f>
        <v>873</v>
      </c>
      <c r="H515" s="16"/>
    </row>
    <row r="516" customFormat="false" ht="15" hidden="false" customHeight="false" outlineLevel="0" collapsed="false">
      <c r="A516" s="10" t="s">
        <v>2610</v>
      </c>
      <c r="B516" s="12" t="n">
        <f aca="false">COUNTIF(選手一覧!$C$7:$C$2738,A516)</f>
        <v>2</v>
      </c>
      <c r="C516" s="14" t="n">
        <f aca="false">COUNTIFS(選手一覧!$C$7:$C$2738,A516,選手一覧!$K$7:$K$2738,"&lt;=100")</f>
        <v>0</v>
      </c>
      <c r="D516" s="14" t="n">
        <f aca="false">COUNTIFS(選手一覧!$C$7:$C$2738,A516,選手一覧!$E$7:$E$2738,"&lt;=100")</f>
        <v>0</v>
      </c>
      <c r="E516" s="14" t="n">
        <f aca="false">COUNTIFS(選手一覧!$C$7:$C$2738,A516,選手一覧!$G$7:$G$2738,"&lt;=100")</f>
        <v>0</v>
      </c>
      <c r="F516" s="14" t="n">
        <f aca="false">COUNTIFS(選手一覧!$C$7:$C$2738,A516,選手一覧!$I$7:$I$2738,"&lt;=100")</f>
        <v>0</v>
      </c>
      <c r="G516" s="13" t="n">
        <f aca="false">_xlfn.MINIFS(選手一覧!$K$7:$K$2738,選手一覧!$C$7:$C$2738,A516)</f>
        <v>875</v>
      </c>
      <c r="H516" s="16"/>
    </row>
    <row r="517" customFormat="false" ht="15" hidden="false" customHeight="false" outlineLevel="0" collapsed="false">
      <c r="A517" s="10" t="s">
        <v>2613</v>
      </c>
      <c r="B517" s="12" t="n">
        <f aca="false">COUNTIF(選手一覧!$C$7:$C$2738,A517)</f>
        <v>2</v>
      </c>
      <c r="C517" s="14" t="n">
        <f aca="false">COUNTIFS(選手一覧!$C$7:$C$2738,A517,選手一覧!$K$7:$K$2738,"&lt;=100")</f>
        <v>0</v>
      </c>
      <c r="D517" s="14" t="n">
        <f aca="false">COUNTIFS(選手一覧!$C$7:$C$2738,A517,選手一覧!$E$7:$E$2738,"&lt;=100")</f>
        <v>0</v>
      </c>
      <c r="E517" s="14" t="n">
        <f aca="false">COUNTIFS(選手一覧!$C$7:$C$2738,A517,選手一覧!$G$7:$G$2738,"&lt;=100")</f>
        <v>0</v>
      </c>
      <c r="F517" s="14" t="n">
        <f aca="false">COUNTIFS(選手一覧!$C$7:$C$2738,A517,選手一覧!$I$7:$I$2738,"&lt;=100")</f>
        <v>0</v>
      </c>
      <c r="G517" s="13" t="n">
        <f aca="false">_xlfn.MINIFS(選手一覧!$K$7:$K$2738,選手一覧!$C$7:$C$2738,A517)</f>
        <v>876</v>
      </c>
      <c r="H517" s="16"/>
    </row>
    <row r="518" customFormat="false" ht="15" hidden="false" customHeight="false" outlineLevel="0" collapsed="false">
      <c r="A518" s="10" t="s">
        <v>2615</v>
      </c>
      <c r="B518" s="12" t="n">
        <f aca="false">COUNTIF(選手一覧!$C$7:$C$2738,A518)</f>
        <v>2</v>
      </c>
      <c r="C518" s="14" t="n">
        <f aca="false">COUNTIFS(選手一覧!$C$7:$C$2738,A518,選手一覧!$K$7:$K$2738,"&lt;=100")</f>
        <v>0</v>
      </c>
      <c r="D518" s="14" t="n">
        <f aca="false">COUNTIFS(選手一覧!$C$7:$C$2738,A518,選手一覧!$E$7:$E$2738,"&lt;=100")</f>
        <v>0</v>
      </c>
      <c r="E518" s="14" t="n">
        <f aca="false">COUNTIFS(選手一覧!$C$7:$C$2738,A518,選手一覧!$G$7:$G$2738,"&lt;=100")</f>
        <v>0</v>
      </c>
      <c r="F518" s="14" t="n">
        <f aca="false">COUNTIFS(選手一覧!$C$7:$C$2738,A518,選手一覧!$I$7:$I$2738,"&lt;=100")</f>
        <v>0</v>
      </c>
      <c r="G518" s="13" t="n">
        <f aca="false">_xlfn.MINIFS(選手一覧!$K$7:$K$2738,選手一覧!$C$7:$C$2738,A518)</f>
        <v>876</v>
      </c>
      <c r="H518" s="16"/>
    </row>
    <row r="519" customFormat="false" ht="15" hidden="false" customHeight="false" outlineLevel="0" collapsed="false">
      <c r="A519" s="10" t="s">
        <v>2698</v>
      </c>
      <c r="B519" s="12" t="n">
        <f aca="false">COUNTIF(選手一覧!$C$7:$C$2738,A519)</f>
        <v>2</v>
      </c>
      <c r="C519" s="14" t="n">
        <f aca="false">COUNTIFS(選手一覧!$C$7:$C$2738,A519,選手一覧!$K$7:$K$2738,"&lt;=100")</f>
        <v>0</v>
      </c>
      <c r="D519" s="14" t="n">
        <f aca="false">COUNTIFS(選手一覧!$C$7:$C$2738,A519,選手一覧!$E$7:$E$2738,"&lt;=100")</f>
        <v>0</v>
      </c>
      <c r="E519" s="14" t="n">
        <f aca="false">COUNTIFS(選手一覧!$C$7:$C$2738,A519,選手一覧!$G$7:$G$2738,"&lt;=100")</f>
        <v>0</v>
      </c>
      <c r="F519" s="14" t="n">
        <f aca="false">COUNTIFS(選手一覧!$C$7:$C$2738,A519,選手一覧!$I$7:$I$2738,"&lt;=100")</f>
        <v>0</v>
      </c>
      <c r="G519" s="13" t="n">
        <f aca="false">_xlfn.MINIFS(選手一覧!$K$7:$K$2738,選手一覧!$C$7:$C$2738,A519)</f>
        <v>907</v>
      </c>
      <c r="H519" s="16"/>
    </row>
    <row r="520" customFormat="false" ht="15" hidden="false" customHeight="false" outlineLevel="0" collapsed="false">
      <c r="A520" s="10" t="s">
        <v>2713</v>
      </c>
      <c r="B520" s="12" t="n">
        <f aca="false">COUNTIF(選手一覧!$C$7:$C$2738,A520)</f>
        <v>2</v>
      </c>
      <c r="C520" s="14" t="n">
        <f aca="false">COUNTIFS(選手一覧!$C$7:$C$2738,A520,選手一覧!$K$7:$K$2738,"&lt;=100")</f>
        <v>0</v>
      </c>
      <c r="D520" s="14" t="n">
        <f aca="false">COUNTIFS(選手一覧!$C$7:$C$2738,A520,選手一覧!$E$7:$E$2738,"&lt;=100")</f>
        <v>0</v>
      </c>
      <c r="E520" s="14" t="n">
        <f aca="false">COUNTIFS(選手一覧!$C$7:$C$2738,A520,選手一覧!$G$7:$G$2738,"&lt;=100")</f>
        <v>0</v>
      </c>
      <c r="F520" s="14" t="n">
        <f aca="false">COUNTIFS(選手一覧!$C$7:$C$2738,A520,選手一覧!$I$7:$I$2738,"&lt;=100")</f>
        <v>0</v>
      </c>
      <c r="G520" s="13" t="n">
        <f aca="false">_xlfn.MINIFS(選手一覧!$K$7:$K$2738,選手一覧!$C$7:$C$2738,A520)</f>
        <v>912</v>
      </c>
      <c r="H520" s="16"/>
    </row>
    <row r="521" customFormat="false" ht="15" hidden="false" customHeight="false" outlineLevel="0" collapsed="false">
      <c r="A521" s="10" t="s">
        <v>2724</v>
      </c>
      <c r="B521" s="12" t="n">
        <f aca="false">COUNTIF(選手一覧!$C$7:$C$2738,A521)</f>
        <v>2</v>
      </c>
      <c r="C521" s="14" t="n">
        <f aca="false">COUNTIFS(選手一覧!$C$7:$C$2738,A521,選手一覧!$K$7:$K$2738,"&lt;=100")</f>
        <v>0</v>
      </c>
      <c r="D521" s="14" t="n">
        <f aca="false">COUNTIFS(選手一覧!$C$7:$C$2738,A521,選手一覧!$E$7:$E$2738,"&lt;=100")</f>
        <v>0</v>
      </c>
      <c r="E521" s="14" t="n">
        <f aca="false">COUNTIFS(選手一覧!$C$7:$C$2738,A521,選手一覧!$G$7:$G$2738,"&lt;=100")</f>
        <v>0</v>
      </c>
      <c r="F521" s="14" t="n">
        <f aca="false">COUNTIFS(選手一覧!$C$7:$C$2738,A521,選手一覧!$I$7:$I$2738,"&lt;=100")</f>
        <v>0</v>
      </c>
      <c r="G521" s="13" t="n">
        <f aca="false">_xlfn.MINIFS(選手一覧!$K$7:$K$2738,選手一覧!$C$7:$C$2738,A521)</f>
        <v>916</v>
      </c>
      <c r="H521" s="16"/>
    </row>
    <row r="522" customFormat="false" ht="15" hidden="false" customHeight="false" outlineLevel="0" collapsed="false">
      <c r="A522" s="10" t="s">
        <v>2769</v>
      </c>
      <c r="B522" s="12" t="n">
        <f aca="false">COUNTIF(選手一覧!$C$7:$C$2738,A522)</f>
        <v>2</v>
      </c>
      <c r="C522" s="14" t="n">
        <f aca="false">COUNTIFS(選手一覧!$C$7:$C$2738,A522,選手一覧!$K$7:$K$2738,"&lt;=100")</f>
        <v>0</v>
      </c>
      <c r="D522" s="14" t="n">
        <f aca="false">COUNTIFS(選手一覧!$C$7:$C$2738,A522,選手一覧!$E$7:$E$2738,"&lt;=100")</f>
        <v>0</v>
      </c>
      <c r="E522" s="14" t="n">
        <f aca="false">COUNTIFS(選手一覧!$C$7:$C$2738,A522,選手一覧!$G$7:$G$2738,"&lt;=100")</f>
        <v>0</v>
      </c>
      <c r="F522" s="14" t="n">
        <f aca="false">COUNTIFS(選手一覧!$C$7:$C$2738,A522,選手一覧!$I$7:$I$2738,"&lt;=100")</f>
        <v>0</v>
      </c>
      <c r="G522" s="13" t="n">
        <f aca="false">_xlfn.MINIFS(選手一覧!$K$7:$K$2738,選手一覧!$C$7:$C$2738,A522)</f>
        <v>935</v>
      </c>
      <c r="H522" s="16"/>
    </row>
    <row r="523" customFormat="false" ht="15" hidden="false" customHeight="false" outlineLevel="0" collapsed="false">
      <c r="A523" s="10" t="s">
        <v>2774</v>
      </c>
      <c r="B523" s="12" t="n">
        <f aca="false">COUNTIF(選手一覧!$C$7:$C$2738,A523)</f>
        <v>2</v>
      </c>
      <c r="C523" s="14" t="n">
        <f aca="false">COUNTIFS(選手一覧!$C$7:$C$2738,A523,選手一覧!$K$7:$K$2738,"&lt;=100")</f>
        <v>0</v>
      </c>
      <c r="D523" s="14" t="n">
        <f aca="false">COUNTIFS(選手一覧!$C$7:$C$2738,A523,選手一覧!$E$7:$E$2738,"&lt;=100")</f>
        <v>0</v>
      </c>
      <c r="E523" s="14" t="n">
        <f aca="false">COUNTIFS(選手一覧!$C$7:$C$2738,A523,選手一覧!$G$7:$G$2738,"&lt;=100")</f>
        <v>0</v>
      </c>
      <c r="F523" s="14" t="n">
        <f aca="false">COUNTIFS(選手一覧!$C$7:$C$2738,A523,選手一覧!$I$7:$I$2738,"&lt;=100")</f>
        <v>0</v>
      </c>
      <c r="G523" s="13" t="n">
        <f aca="false">_xlfn.MINIFS(選手一覧!$K$7:$K$2738,選手一覧!$C$7:$C$2738,A523)</f>
        <v>937</v>
      </c>
      <c r="H523" s="16"/>
    </row>
    <row r="524" customFormat="false" ht="15" hidden="false" customHeight="false" outlineLevel="0" collapsed="false">
      <c r="A524" s="10" t="s">
        <v>2783</v>
      </c>
      <c r="B524" s="12" t="n">
        <f aca="false">COUNTIF(選手一覧!$C$7:$C$2738,A524)</f>
        <v>2</v>
      </c>
      <c r="C524" s="14" t="n">
        <f aca="false">COUNTIFS(選手一覧!$C$7:$C$2738,A524,選手一覧!$K$7:$K$2738,"&lt;=100")</f>
        <v>0</v>
      </c>
      <c r="D524" s="14" t="n">
        <f aca="false">COUNTIFS(選手一覧!$C$7:$C$2738,A524,選手一覧!$E$7:$E$2738,"&lt;=100")</f>
        <v>0</v>
      </c>
      <c r="E524" s="14" t="n">
        <f aca="false">COUNTIFS(選手一覧!$C$7:$C$2738,A524,選手一覧!$G$7:$G$2738,"&lt;=100")</f>
        <v>0</v>
      </c>
      <c r="F524" s="14" t="n">
        <f aca="false">COUNTIFS(選手一覧!$C$7:$C$2738,A524,選手一覧!$I$7:$I$2738,"&lt;=100")</f>
        <v>0</v>
      </c>
      <c r="G524" s="13" t="n">
        <f aca="false">_xlfn.MINIFS(選手一覧!$K$7:$K$2738,選手一覧!$C$7:$C$2738,A524)</f>
        <v>941</v>
      </c>
      <c r="H524" s="16"/>
    </row>
    <row r="525" customFormat="false" ht="15" hidden="false" customHeight="false" outlineLevel="0" collapsed="false">
      <c r="A525" s="10" t="s">
        <v>2811</v>
      </c>
      <c r="B525" s="12" t="n">
        <f aca="false">COUNTIF(選手一覧!$C$7:$C$2738,A525)</f>
        <v>2</v>
      </c>
      <c r="C525" s="14" t="n">
        <f aca="false">COUNTIFS(選手一覧!$C$7:$C$2738,A525,選手一覧!$K$7:$K$2738,"&lt;=100")</f>
        <v>0</v>
      </c>
      <c r="D525" s="14" t="n">
        <f aca="false">COUNTIFS(選手一覧!$C$7:$C$2738,A525,選手一覧!$E$7:$E$2738,"&lt;=100")</f>
        <v>0</v>
      </c>
      <c r="E525" s="14" t="n">
        <f aca="false">COUNTIFS(選手一覧!$C$7:$C$2738,A525,選手一覧!$G$7:$G$2738,"&lt;=100")</f>
        <v>0</v>
      </c>
      <c r="F525" s="14" t="n">
        <f aca="false">COUNTIFS(選手一覧!$C$7:$C$2738,A525,選手一覧!$I$7:$I$2738,"&lt;=100")</f>
        <v>0</v>
      </c>
      <c r="G525" s="13" t="n">
        <f aca="false">_xlfn.MINIFS(選手一覧!$K$7:$K$2738,選手一覧!$C$7:$C$2738,A525)</f>
        <v>952</v>
      </c>
      <c r="H525" s="16"/>
    </row>
    <row r="526" customFormat="false" ht="15" hidden="false" customHeight="false" outlineLevel="0" collapsed="false">
      <c r="A526" s="10" t="s">
        <v>2833</v>
      </c>
      <c r="B526" s="12" t="n">
        <f aca="false">COUNTIF(選手一覧!$C$7:$C$2738,A526)</f>
        <v>2</v>
      </c>
      <c r="C526" s="14" t="n">
        <f aca="false">COUNTIFS(選手一覧!$C$7:$C$2738,A526,選手一覧!$K$7:$K$2738,"&lt;=100")</f>
        <v>0</v>
      </c>
      <c r="D526" s="14" t="n">
        <f aca="false">COUNTIFS(選手一覧!$C$7:$C$2738,A526,選手一覧!$E$7:$E$2738,"&lt;=100")</f>
        <v>0</v>
      </c>
      <c r="E526" s="14" t="n">
        <f aca="false">COUNTIFS(選手一覧!$C$7:$C$2738,A526,選手一覧!$G$7:$G$2738,"&lt;=100")</f>
        <v>0</v>
      </c>
      <c r="F526" s="14" t="n">
        <f aca="false">COUNTIFS(選手一覧!$C$7:$C$2738,A526,選手一覧!$I$7:$I$2738,"&lt;=100")</f>
        <v>0</v>
      </c>
      <c r="G526" s="13" t="n">
        <f aca="false">_xlfn.MINIFS(選手一覧!$K$7:$K$2738,選手一覧!$C$7:$C$2738,A526)</f>
        <v>960</v>
      </c>
      <c r="H526" s="16"/>
    </row>
    <row r="527" customFormat="false" ht="15" hidden="false" customHeight="false" outlineLevel="0" collapsed="false">
      <c r="A527" s="10" t="s">
        <v>2844</v>
      </c>
      <c r="B527" s="12" t="n">
        <f aca="false">COUNTIF(選手一覧!$C$7:$C$2738,A527)</f>
        <v>2</v>
      </c>
      <c r="C527" s="14" t="n">
        <f aca="false">COUNTIFS(選手一覧!$C$7:$C$2738,A527,選手一覧!$K$7:$K$2738,"&lt;=100")</f>
        <v>0</v>
      </c>
      <c r="D527" s="14" t="n">
        <f aca="false">COUNTIFS(選手一覧!$C$7:$C$2738,A527,選手一覧!$E$7:$E$2738,"&lt;=100")</f>
        <v>0</v>
      </c>
      <c r="E527" s="14" t="n">
        <f aca="false">COUNTIFS(選手一覧!$C$7:$C$2738,A527,選手一覧!$G$7:$G$2738,"&lt;=100")</f>
        <v>0</v>
      </c>
      <c r="F527" s="14" t="n">
        <f aca="false">COUNTIFS(選手一覧!$C$7:$C$2738,A527,選手一覧!$I$7:$I$2738,"&lt;=100")</f>
        <v>0</v>
      </c>
      <c r="G527" s="13" t="n">
        <f aca="false">_xlfn.MINIFS(選手一覧!$K$7:$K$2738,選手一覧!$C$7:$C$2738,A527)</f>
        <v>964</v>
      </c>
      <c r="H527" s="16"/>
    </row>
    <row r="528" customFormat="false" ht="15" hidden="false" customHeight="false" outlineLevel="0" collapsed="false">
      <c r="A528" s="10" t="s">
        <v>2917</v>
      </c>
      <c r="B528" s="12" t="n">
        <f aca="false">COUNTIF(選手一覧!$C$7:$C$2738,A528)</f>
        <v>2</v>
      </c>
      <c r="C528" s="14" t="n">
        <f aca="false">COUNTIFS(選手一覧!$C$7:$C$2738,A528,選手一覧!$K$7:$K$2738,"&lt;=100")</f>
        <v>0</v>
      </c>
      <c r="D528" s="14" t="n">
        <f aca="false">COUNTIFS(選手一覧!$C$7:$C$2738,A528,選手一覧!$E$7:$E$2738,"&lt;=100")</f>
        <v>0</v>
      </c>
      <c r="E528" s="14" t="n">
        <f aca="false">COUNTIFS(選手一覧!$C$7:$C$2738,A528,選手一覧!$G$7:$G$2738,"&lt;=100")</f>
        <v>0</v>
      </c>
      <c r="F528" s="14" t="n">
        <f aca="false">COUNTIFS(選手一覧!$C$7:$C$2738,A528,選手一覧!$I$7:$I$2738,"&lt;=100")</f>
        <v>0</v>
      </c>
      <c r="G528" s="13" t="n">
        <f aca="false">_xlfn.MINIFS(選手一覧!$K$7:$K$2738,選手一覧!$C$7:$C$2738,A528)</f>
        <v>992</v>
      </c>
      <c r="H528" s="16"/>
    </row>
    <row r="529" customFormat="false" ht="15" hidden="false" customHeight="false" outlineLevel="0" collapsed="false">
      <c r="A529" s="10" t="s">
        <v>2937</v>
      </c>
      <c r="B529" s="12" t="n">
        <f aca="false">COUNTIF(選手一覧!$C$7:$C$2738,A529)</f>
        <v>2</v>
      </c>
      <c r="C529" s="14" t="n">
        <f aca="false">COUNTIFS(選手一覧!$C$7:$C$2738,A529,選手一覧!$K$7:$K$2738,"&lt;=100")</f>
        <v>0</v>
      </c>
      <c r="D529" s="14" t="n">
        <f aca="false">COUNTIFS(選手一覧!$C$7:$C$2738,A529,選手一覧!$E$7:$E$2738,"&lt;=100")</f>
        <v>0</v>
      </c>
      <c r="E529" s="14" t="n">
        <f aca="false">COUNTIFS(選手一覧!$C$7:$C$2738,A529,選手一覧!$G$7:$G$2738,"&lt;=100")</f>
        <v>0</v>
      </c>
      <c r="F529" s="14" t="n">
        <f aca="false">COUNTIFS(選手一覧!$C$7:$C$2738,A529,選手一覧!$I$7:$I$2738,"&lt;=100")</f>
        <v>0</v>
      </c>
      <c r="G529" s="13" t="n">
        <f aca="false">_xlfn.MINIFS(選手一覧!$K$7:$K$2738,選手一覧!$C$7:$C$2738,A529)</f>
        <v>1001</v>
      </c>
      <c r="H529" s="16"/>
    </row>
    <row r="530" customFormat="false" ht="15" hidden="false" customHeight="false" outlineLevel="0" collapsed="false">
      <c r="A530" s="10" t="s">
        <v>2974</v>
      </c>
      <c r="B530" s="12" t="n">
        <f aca="false">COUNTIF(選手一覧!$C$7:$C$2738,A530)</f>
        <v>2</v>
      </c>
      <c r="C530" s="14" t="n">
        <f aca="false">COUNTIFS(選手一覧!$C$7:$C$2738,A530,選手一覧!$K$7:$K$2738,"&lt;=100")</f>
        <v>0</v>
      </c>
      <c r="D530" s="14" t="n">
        <f aca="false">COUNTIFS(選手一覧!$C$7:$C$2738,A530,選手一覧!$E$7:$E$2738,"&lt;=100")</f>
        <v>0</v>
      </c>
      <c r="E530" s="14" t="n">
        <f aca="false">COUNTIFS(選手一覧!$C$7:$C$2738,A530,選手一覧!$G$7:$G$2738,"&lt;=100")</f>
        <v>0</v>
      </c>
      <c r="F530" s="14" t="n">
        <f aca="false">COUNTIFS(選手一覧!$C$7:$C$2738,A530,選手一覧!$I$7:$I$2738,"&lt;=100")</f>
        <v>0</v>
      </c>
      <c r="G530" s="13" t="n">
        <f aca="false">_xlfn.MINIFS(選手一覧!$K$7:$K$2738,選手一覧!$C$7:$C$2738,A530)</f>
        <v>1014</v>
      </c>
      <c r="H530" s="16"/>
    </row>
    <row r="531" customFormat="false" ht="15" hidden="false" customHeight="false" outlineLevel="0" collapsed="false">
      <c r="A531" s="10" t="s">
        <v>2984</v>
      </c>
      <c r="B531" s="12" t="n">
        <f aca="false">COUNTIF(選手一覧!$C$7:$C$2738,A531)</f>
        <v>2</v>
      </c>
      <c r="C531" s="14" t="n">
        <f aca="false">COUNTIFS(選手一覧!$C$7:$C$2738,A531,選手一覧!$K$7:$K$2738,"&lt;=100")</f>
        <v>0</v>
      </c>
      <c r="D531" s="14" t="n">
        <f aca="false">COUNTIFS(選手一覧!$C$7:$C$2738,A531,選手一覧!$E$7:$E$2738,"&lt;=100")</f>
        <v>0</v>
      </c>
      <c r="E531" s="14" t="n">
        <f aca="false">COUNTIFS(選手一覧!$C$7:$C$2738,A531,選手一覧!$G$7:$G$2738,"&lt;=100")</f>
        <v>0</v>
      </c>
      <c r="F531" s="14" t="n">
        <f aca="false">COUNTIFS(選手一覧!$C$7:$C$2738,A531,選手一覧!$I$7:$I$2738,"&lt;=100")</f>
        <v>0</v>
      </c>
      <c r="G531" s="13" t="n">
        <f aca="false">_xlfn.MINIFS(選手一覧!$K$7:$K$2738,選手一覧!$C$7:$C$2738,A531)</f>
        <v>1016</v>
      </c>
      <c r="H531" s="16"/>
    </row>
    <row r="532" customFormat="false" ht="15" hidden="false" customHeight="false" outlineLevel="0" collapsed="false">
      <c r="A532" s="10" t="s">
        <v>2999</v>
      </c>
      <c r="B532" s="12" t="n">
        <f aca="false">COUNTIF(選手一覧!$C$7:$C$2738,A532)</f>
        <v>2</v>
      </c>
      <c r="C532" s="14" t="n">
        <f aca="false">COUNTIFS(選手一覧!$C$7:$C$2738,A532,選手一覧!$K$7:$K$2738,"&lt;=100")</f>
        <v>0</v>
      </c>
      <c r="D532" s="14" t="n">
        <f aca="false">COUNTIFS(選手一覧!$C$7:$C$2738,A532,選手一覧!$E$7:$E$2738,"&lt;=100")</f>
        <v>0</v>
      </c>
      <c r="E532" s="14" t="n">
        <f aca="false">COUNTIFS(選手一覧!$C$7:$C$2738,A532,選手一覧!$G$7:$G$2738,"&lt;=100")</f>
        <v>0</v>
      </c>
      <c r="F532" s="14" t="n">
        <f aca="false">COUNTIFS(選手一覧!$C$7:$C$2738,A532,選手一覧!$I$7:$I$2738,"&lt;=100")</f>
        <v>0</v>
      </c>
      <c r="G532" s="13" t="n">
        <f aca="false">_xlfn.MINIFS(選手一覧!$K$7:$K$2738,選手一覧!$C$7:$C$2738,A532)</f>
        <v>1022</v>
      </c>
      <c r="H532" s="16"/>
    </row>
    <row r="533" customFormat="false" ht="15" hidden="false" customHeight="false" outlineLevel="0" collapsed="false">
      <c r="A533" s="10" t="s">
        <v>3002</v>
      </c>
      <c r="B533" s="12" t="n">
        <f aca="false">COUNTIF(選手一覧!$C$7:$C$2738,A533)</f>
        <v>2</v>
      </c>
      <c r="C533" s="14" t="n">
        <f aca="false">COUNTIFS(選手一覧!$C$7:$C$2738,A533,選手一覧!$K$7:$K$2738,"&lt;=100")</f>
        <v>0</v>
      </c>
      <c r="D533" s="14" t="n">
        <f aca="false">COUNTIFS(選手一覧!$C$7:$C$2738,A533,選手一覧!$E$7:$E$2738,"&lt;=100")</f>
        <v>0</v>
      </c>
      <c r="E533" s="14" t="n">
        <f aca="false">COUNTIFS(選手一覧!$C$7:$C$2738,A533,選手一覧!$G$7:$G$2738,"&lt;=100")</f>
        <v>0</v>
      </c>
      <c r="F533" s="14" t="n">
        <f aca="false">COUNTIFS(選手一覧!$C$7:$C$2738,A533,選手一覧!$I$7:$I$2738,"&lt;=100")</f>
        <v>0</v>
      </c>
      <c r="G533" s="13" t="n">
        <f aca="false">_xlfn.MINIFS(選手一覧!$K$7:$K$2738,選手一覧!$C$7:$C$2738,A533)</f>
        <v>1023</v>
      </c>
      <c r="H533" s="16"/>
    </row>
    <row r="534" customFormat="false" ht="15" hidden="false" customHeight="false" outlineLevel="0" collapsed="false">
      <c r="A534" s="10" t="s">
        <v>3004</v>
      </c>
      <c r="B534" s="12" t="n">
        <f aca="false">COUNTIF(選手一覧!$C$7:$C$2738,A534)</f>
        <v>2</v>
      </c>
      <c r="C534" s="14" t="n">
        <f aca="false">COUNTIFS(選手一覧!$C$7:$C$2738,A534,選手一覧!$K$7:$K$2738,"&lt;=100")</f>
        <v>0</v>
      </c>
      <c r="D534" s="14" t="n">
        <f aca="false">COUNTIFS(選手一覧!$C$7:$C$2738,A534,選手一覧!$E$7:$E$2738,"&lt;=100")</f>
        <v>0</v>
      </c>
      <c r="E534" s="14" t="n">
        <f aca="false">COUNTIFS(選手一覧!$C$7:$C$2738,A534,選手一覧!$G$7:$G$2738,"&lt;=100")</f>
        <v>0</v>
      </c>
      <c r="F534" s="14" t="n">
        <f aca="false">COUNTIFS(選手一覧!$C$7:$C$2738,A534,選手一覧!$I$7:$I$2738,"&lt;=100")</f>
        <v>0</v>
      </c>
      <c r="G534" s="13" t="n">
        <f aca="false">_xlfn.MINIFS(選手一覧!$K$7:$K$2738,選手一覧!$C$7:$C$2738,A534)</f>
        <v>1023</v>
      </c>
      <c r="H534" s="16"/>
    </row>
    <row r="535" customFormat="false" ht="15" hidden="false" customHeight="false" outlineLevel="0" collapsed="false">
      <c r="A535" s="10" t="s">
        <v>3020</v>
      </c>
      <c r="B535" s="12" t="n">
        <f aca="false">COUNTIF(選手一覧!$C$7:$C$2738,A535)</f>
        <v>2</v>
      </c>
      <c r="C535" s="14" t="n">
        <f aca="false">COUNTIFS(選手一覧!$C$7:$C$2738,A535,選手一覧!$K$7:$K$2738,"&lt;=100")</f>
        <v>0</v>
      </c>
      <c r="D535" s="14" t="n">
        <f aca="false">COUNTIFS(選手一覧!$C$7:$C$2738,A535,選手一覧!$E$7:$E$2738,"&lt;=100")</f>
        <v>0</v>
      </c>
      <c r="E535" s="14" t="n">
        <f aca="false">COUNTIFS(選手一覧!$C$7:$C$2738,A535,選手一覧!$G$7:$G$2738,"&lt;=100")</f>
        <v>0</v>
      </c>
      <c r="F535" s="14" t="n">
        <f aca="false">COUNTIFS(選手一覧!$C$7:$C$2738,A535,選手一覧!$I$7:$I$2738,"&lt;=100")</f>
        <v>0</v>
      </c>
      <c r="G535" s="13" t="n">
        <f aca="false">_xlfn.MINIFS(選手一覧!$K$7:$K$2738,選手一覧!$C$7:$C$2738,A535)</f>
        <v>1029</v>
      </c>
      <c r="H535" s="16"/>
    </row>
    <row r="536" customFormat="false" ht="15" hidden="false" customHeight="false" outlineLevel="0" collapsed="false">
      <c r="A536" s="10" t="s">
        <v>3022</v>
      </c>
      <c r="B536" s="12" t="n">
        <f aca="false">COUNTIF(選手一覧!$C$7:$C$2738,A536)</f>
        <v>2</v>
      </c>
      <c r="C536" s="14" t="n">
        <f aca="false">COUNTIFS(選手一覧!$C$7:$C$2738,A536,選手一覧!$K$7:$K$2738,"&lt;=100")</f>
        <v>0</v>
      </c>
      <c r="D536" s="14" t="n">
        <f aca="false">COUNTIFS(選手一覧!$C$7:$C$2738,A536,選手一覧!$E$7:$E$2738,"&lt;=100")</f>
        <v>0</v>
      </c>
      <c r="E536" s="14" t="n">
        <f aca="false">COUNTIFS(選手一覧!$C$7:$C$2738,A536,選手一覧!$G$7:$G$2738,"&lt;=100")</f>
        <v>0</v>
      </c>
      <c r="F536" s="14" t="n">
        <f aca="false">COUNTIFS(選手一覧!$C$7:$C$2738,A536,選手一覧!$I$7:$I$2738,"&lt;=100")</f>
        <v>0</v>
      </c>
      <c r="G536" s="13" t="n">
        <f aca="false">_xlfn.MINIFS(選手一覧!$K$7:$K$2738,選手一覧!$C$7:$C$2738,A536)</f>
        <v>1030</v>
      </c>
      <c r="H536" s="16"/>
    </row>
    <row r="537" customFormat="false" ht="15" hidden="false" customHeight="false" outlineLevel="0" collapsed="false">
      <c r="A537" s="10" t="s">
        <v>3053</v>
      </c>
      <c r="B537" s="12" t="n">
        <f aca="false">COUNTIF(選手一覧!$C$7:$C$2738,A537)</f>
        <v>2</v>
      </c>
      <c r="C537" s="14" t="n">
        <f aca="false">COUNTIFS(選手一覧!$C$7:$C$2738,A537,選手一覧!$K$7:$K$2738,"&lt;=100")</f>
        <v>0</v>
      </c>
      <c r="D537" s="14" t="n">
        <f aca="false">COUNTIFS(選手一覧!$C$7:$C$2738,A537,選手一覧!$E$7:$E$2738,"&lt;=100")</f>
        <v>0</v>
      </c>
      <c r="E537" s="14" t="n">
        <f aca="false">COUNTIFS(選手一覧!$C$7:$C$2738,A537,選手一覧!$G$7:$G$2738,"&lt;=100")</f>
        <v>0</v>
      </c>
      <c r="F537" s="14" t="n">
        <f aca="false">COUNTIFS(選手一覧!$C$7:$C$2738,A537,選手一覧!$I$7:$I$2738,"&lt;=100")</f>
        <v>0</v>
      </c>
      <c r="G537" s="13" t="n">
        <f aca="false">_xlfn.MINIFS(選手一覧!$K$7:$K$2738,選手一覧!$C$7:$C$2738,A537)</f>
        <v>1040</v>
      </c>
      <c r="H537" s="16"/>
    </row>
    <row r="538" customFormat="false" ht="15" hidden="false" customHeight="false" outlineLevel="0" collapsed="false">
      <c r="A538" s="10" t="s">
        <v>3122</v>
      </c>
      <c r="B538" s="12" t="n">
        <f aca="false">COUNTIF(選手一覧!$C$7:$C$2738,A538)</f>
        <v>2</v>
      </c>
      <c r="C538" s="14" t="n">
        <f aca="false">COUNTIFS(選手一覧!$C$7:$C$2738,A538,選手一覧!$K$7:$K$2738,"&lt;=100")</f>
        <v>0</v>
      </c>
      <c r="D538" s="14" t="n">
        <f aca="false">COUNTIFS(選手一覧!$C$7:$C$2738,A538,選手一覧!$E$7:$E$2738,"&lt;=100")</f>
        <v>0</v>
      </c>
      <c r="E538" s="14" t="n">
        <f aca="false">COUNTIFS(選手一覧!$C$7:$C$2738,A538,選手一覧!$G$7:$G$2738,"&lt;=100")</f>
        <v>0</v>
      </c>
      <c r="F538" s="14" t="n">
        <f aca="false">COUNTIFS(選手一覧!$C$7:$C$2738,A538,選手一覧!$I$7:$I$2738,"&lt;=100")</f>
        <v>0</v>
      </c>
      <c r="G538" s="13" t="n">
        <f aca="false">_xlfn.MINIFS(選手一覧!$K$7:$K$2738,選手一覧!$C$7:$C$2738,A538)</f>
        <v>1071</v>
      </c>
      <c r="H538" s="16"/>
    </row>
    <row r="539" customFormat="false" ht="15" hidden="false" customHeight="false" outlineLevel="0" collapsed="false">
      <c r="A539" s="10" t="s">
        <v>3191</v>
      </c>
      <c r="B539" s="12" t="n">
        <f aca="false">COUNTIF(選手一覧!$C$7:$C$2738,A539)</f>
        <v>2</v>
      </c>
      <c r="C539" s="14" t="n">
        <f aca="false">COUNTIFS(選手一覧!$C$7:$C$2738,A539,選手一覧!$K$7:$K$2738,"&lt;=100")</f>
        <v>0</v>
      </c>
      <c r="D539" s="14" t="n">
        <f aca="false">COUNTIFS(選手一覧!$C$7:$C$2738,A539,選手一覧!$E$7:$E$2738,"&lt;=100")</f>
        <v>0</v>
      </c>
      <c r="E539" s="14" t="n">
        <f aca="false">COUNTIFS(選手一覧!$C$7:$C$2738,A539,選手一覧!$G$7:$G$2738,"&lt;=100")</f>
        <v>0</v>
      </c>
      <c r="F539" s="14" t="n">
        <f aca="false">COUNTIFS(選手一覧!$C$7:$C$2738,A539,選手一覧!$I$7:$I$2738,"&lt;=100")</f>
        <v>0</v>
      </c>
      <c r="G539" s="13" t="n">
        <f aca="false">_xlfn.MINIFS(選手一覧!$K$7:$K$2738,選手一覧!$C$7:$C$2738,A539)</f>
        <v>1098</v>
      </c>
      <c r="H539" s="16"/>
    </row>
    <row r="540" customFormat="false" ht="15" hidden="false" customHeight="false" outlineLevel="0" collapsed="false">
      <c r="A540" s="10" t="s">
        <v>3264</v>
      </c>
      <c r="B540" s="12" t="n">
        <f aca="false">COUNTIF(選手一覧!$C$7:$C$2738,A540)</f>
        <v>2</v>
      </c>
      <c r="C540" s="14" t="n">
        <f aca="false">COUNTIFS(選手一覧!$C$7:$C$2738,A540,選手一覧!$K$7:$K$2738,"&lt;=100")</f>
        <v>0</v>
      </c>
      <c r="D540" s="14" t="n">
        <f aca="false">COUNTIFS(選手一覧!$C$7:$C$2738,A540,選手一覧!$E$7:$E$2738,"&lt;=100")</f>
        <v>0</v>
      </c>
      <c r="E540" s="14" t="n">
        <f aca="false">COUNTIFS(選手一覧!$C$7:$C$2738,A540,選手一覧!$G$7:$G$2738,"&lt;=100")</f>
        <v>0</v>
      </c>
      <c r="F540" s="14" t="n">
        <f aca="false">COUNTIFS(選手一覧!$C$7:$C$2738,A540,選手一覧!$I$7:$I$2738,"&lt;=100")</f>
        <v>0</v>
      </c>
      <c r="G540" s="13" t="n">
        <f aca="false">_xlfn.MINIFS(選手一覧!$K$7:$K$2738,選手一覧!$C$7:$C$2738,A540)</f>
        <v>1125</v>
      </c>
      <c r="H540" s="16"/>
    </row>
    <row r="541" customFormat="false" ht="15" hidden="false" customHeight="false" outlineLevel="0" collapsed="false">
      <c r="A541" s="10" t="s">
        <v>3272</v>
      </c>
      <c r="B541" s="12" t="n">
        <f aca="false">COUNTIF(選手一覧!$C$7:$C$2738,A541)</f>
        <v>2</v>
      </c>
      <c r="C541" s="14" t="n">
        <f aca="false">COUNTIFS(選手一覧!$C$7:$C$2738,A541,選手一覧!$K$7:$K$2738,"&lt;=100")</f>
        <v>0</v>
      </c>
      <c r="D541" s="14" t="n">
        <f aca="false">COUNTIFS(選手一覧!$C$7:$C$2738,A541,選手一覧!$E$7:$E$2738,"&lt;=100")</f>
        <v>0</v>
      </c>
      <c r="E541" s="14" t="n">
        <f aca="false">COUNTIFS(選手一覧!$C$7:$C$2738,A541,選手一覧!$G$7:$G$2738,"&lt;=100")</f>
        <v>0</v>
      </c>
      <c r="F541" s="14" t="n">
        <f aca="false">COUNTIFS(選手一覧!$C$7:$C$2738,A541,選手一覧!$I$7:$I$2738,"&lt;=100")</f>
        <v>0</v>
      </c>
      <c r="G541" s="13" t="n">
        <f aca="false">_xlfn.MINIFS(選手一覧!$K$7:$K$2738,選手一覧!$C$7:$C$2738,A541)</f>
        <v>1129</v>
      </c>
      <c r="H541" s="16"/>
    </row>
    <row r="542" customFormat="false" ht="15" hidden="false" customHeight="false" outlineLevel="0" collapsed="false">
      <c r="A542" s="10" t="s">
        <v>3277</v>
      </c>
      <c r="B542" s="12" t="n">
        <f aca="false">COUNTIF(選手一覧!$C$7:$C$2738,A542)</f>
        <v>2</v>
      </c>
      <c r="C542" s="14" t="n">
        <f aca="false">COUNTIFS(選手一覧!$C$7:$C$2738,A542,選手一覧!$K$7:$K$2738,"&lt;=100")</f>
        <v>0</v>
      </c>
      <c r="D542" s="14" t="n">
        <f aca="false">COUNTIFS(選手一覧!$C$7:$C$2738,A542,選手一覧!$E$7:$E$2738,"&lt;=100")</f>
        <v>0</v>
      </c>
      <c r="E542" s="14" t="n">
        <f aca="false">COUNTIFS(選手一覧!$C$7:$C$2738,A542,選手一覧!$G$7:$G$2738,"&lt;=100")</f>
        <v>0</v>
      </c>
      <c r="F542" s="14" t="n">
        <f aca="false">COUNTIFS(選手一覧!$C$7:$C$2738,A542,選手一覧!$I$7:$I$2738,"&lt;=100")</f>
        <v>0</v>
      </c>
      <c r="G542" s="13" t="n">
        <f aca="false">_xlfn.MINIFS(選手一覧!$K$7:$K$2738,選手一覧!$C$7:$C$2738,A542)</f>
        <v>1130</v>
      </c>
      <c r="H542" s="16"/>
    </row>
    <row r="543" customFormat="false" ht="15" hidden="false" customHeight="false" outlineLevel="0" collapsed="false">
      <c r="A543" s="10" t="s">
        <v>3290</v>
      </c>
      <c r="B543" s="12" t="n">
        <f aca="false">COUNTIF(選手一覧!$C$7:$C$2738,A543)</f>
        <v>2</v>
      </c>
      <c r="C543" s="14" t="n">
        <f aca="false">COUNTIFS(選手一覧!$C$7:$C$2738,A543,選手一覧!$K$7:$K$2738,"&lt;=100")</f>
        <v>0</v>
      </c>
      <c r="D543" s="14" t="n">
        <f aca="false">COUNTIFS(選手一覧!$C$7:$C$2738,A543,選手一覧!$E$7:$E$2738,"&lt;=100")</f>
        <v>0</v>
      </c>
      <c r="E543" s="14" t="n">
        <f aca="false">COUNTIFS(選手一覧!$C$7:$C$2738,A543,選手一覧!$G$7:$G$2738,"&lt;=100")</f>
        <v>0</v>
      </c>
      <c r="F543" s="14" t="n">
        <f aca="false">COUNTIFS(選手一覧!$C$7:$C$2738,A543,選手一覧!$I$7:$I$2738,"&lt;=100")</f>
        <v>0</v>
      </c>
      <c r="G543" s="13" t="n">
        <f aca="false">_xlfn.MINIFS(選手一覧!$K$7:$K$2738,選手一覧!$C$7:$C$2738,A543)</f>
        <v>1135</v>
      </c>
      <c r="H543" s="16"/>
    </row>
    <row r="544" customFormat="false" ht="15" hidden="false" customHeight="false" outlineLevel="0" collapsed="false">
      <c r="A544" s="10" t="s">
        <v>3333</v>
      </c>
      <c r="B544" s="12" t="n">
        <f aca="false">COUNTIF(選手一覧!$C$7:$C$2738,A544)</f>
        <v>2</v>
      </c>
      <c r="C544" s="14" t="n">
        <f aca="false">COUNTIFS(選手一覧!$C$7:$C$2738,A544,選手一覧!$K$7:$K$2738,"&lt;=100")</f>
        <v>0</v>
      </c>
      <c r="D544" s="14" t="n">
        <f aca="false">COUNTIFS(選手一覧!$C$7:$C$2738,A544,選手一覧!$E$7:$E$2738,"&lt;=100")</f>
        <v>0</v>
      </c>
      <c r="E544" s="14" t="n">
        <f aca="false">COUNTIFS(選手一覧!$C$7:$C$2738,A544,選手一覧!$G$7:$G$2738,"&lt;=100")</f>
        <v>0</v>
      </c>
      <c r="F544" s="14" t="n">
        <f aca="false">COUNTIFS(選手一覧!$C$7:$C$2738,A544,選手一覧!$I$7:$I$2738,"&lt;=100")</f>
        <v>0</v>
      </c>
      <c r="G544" s="13" t="n">
        <f aca="false">_xlfn.MINIFS(選手一覧!$K$7:$K$2738,選手一覧!$C$7:$C$2738,A544)</f>
        <v>1153</v>
      </c>
      <c r="H544" s="16"/>
    </row>
    <row r="545" customFormat="false" ht="15" hidden="false" customHeight="false" outlineLevel="0" collapsed="false">
      <c r="A545" s="10" t="s">
        <v>3352</v>
      </c>
      <c r="B545" s="12" t="n">
        <f aca="false">COUNTIF(選手一覧!$C$7:$C$2738,A545)</f>
        <v>2</v>
      </c>
      <c r="C545" s="14" t="n">
        <f aca="false">COUNTIFS(選手一覧!$C$7:$C$2738,A545,選手一覧!$K$7:$K$2738,"&lt;=100")</f>
        <v>0</v>
      </c>
      <c r="D545" s="14" t="n">
        <f aca="false">COUNTIFS(選手一覧!$C$7:$C$2738,A545,選手一覧!$E$7:$E$2738,"&lt;=100")</f>
        <v>0</v>
      </c>
      <c r="E545" s="14" t="n">
        <f aca="false">COUNTIFS(選手一覧!$C$7:$C$2738,A545,選手一覧!$G$7:$G$2738,"&lt;=100")</f>
        <v>0</v>
      </c>
      <c r="F545" s="14" t="n">
        <f aca="false">COUNTIFS(選手一覧!$C$7:$C$2738,A545,選手一覧!$I$7:$I$2738,"&lt;=100")</f>
        <v>0</v>
      </c>
      <c r="G545" s="13" t="n">
        <f aca="false">_xlfn.MINIFS(選手一覧!$K$7:$K$2738,選手一覧!$C$7:$C$2738,A545)</f>
        <v>1160</v>
      </c>
      <c r="H545" s="16"/>
    </row>
    <row r="546" customFormat="false" ht="15" hidden="false" customHeight="false" outlineLevel="0" collapsed="false">
      <c r="A546" s="10" t="s">
        <v>3382</v>
      </c>
      <c r="B546" s="12" t="n">
        <f aca="false">COUNTIF(選手一覧!$C$7:$C$2738,A546)</f>
        <v>2</v>
      </c>
      <c r="C546" s="14" t="n">
        <f aca="false">COUNTIFS(選手一覧!$C$7:$C$2738,A546,選手一覧!$K$7:$K$2738,"&lt;=100")</f>
        <v>0</v>
      </c>
      <c r="D546" s="14" t="n">
        <f aca="false">COUNTIFS(選手一覧!$C$7:$C$2738,A546,選手一覧!$E$7:$E$2738,"&lt;=100")</f>
        <v>0</v>
      </c>
      <c r="E546" s="14" t="n">
        <f aca="false">COUNTIFS(選手一覧!$C$7:$C$2738,A546,選手一覧!$G$7:$G$2738,"&lt;=100")</f>
        <v>0</v>
      </c>
      <c r="F546" s="14" t="n">
        <f aca="false">COUNTIFS(選手一覧!$C$7:$C$2738,A546,選手一覧!$I$7:$I$2738,"&lt;=100")</f>
        <v>0</v>
      </c>
      <c r="G546" s="13" t="n">
        <f aca="false">_xlfn.MINIFS(選手一覧!$K$7:$K$2738,選手一覧!$C$7:$C$2738,A546)</f>
        <v>1168</v>
      </c>
      <c r="H546" s="16"/>
    </row>
    <row r="547" customFormat="false" ht="15" hidden="false" customHeight="false" outlineLevel="0" collapsed="false">
      <c r="A547" s="10" t="s">
        <v>3385</v>
      </c>
      <c r="B547" s="12" t="n">
        <f aca="false">COUNTIF(選手一覧!$C$7:$C$2738,A547)</f>
        <v>2</v>
      </c>
      <c r="C547" s="14" t="n">
        <f aca="false">COUNTIFS(選手一覧!$C$7:$C$2738,A547,選手一覧!$K$7:$K$2738,"&lt;=100")</f>
        <v>0</v>
      </c>
      <c r="D547" s="14" t="n">
        <f aca="false">COUNTIFS(選手一覧!$C$7:$C$2738,A547,選手一覧!$E$7:$E$2738,"&lt;=100")</f>
        <v>0</v>
      </c>
      <c r="E547" s="14" t="n">
        <f aca="false">COUNTIFS(選手一覧!$C$7:$C$2738,A547,選手一覧!$G$7:$G$2738,"&lt;=100")</f>
        <v>0</v>
      </c>
      <c r="F547" s="14" t="n">
        <f aca="false">COUNTIFS(選手一覧!$C$7:$C$2738,A547,選手一覧!$I$7:$I$2738,"&lt;=100")</f>
        <v>0</v>
      </c>
      <c r="G547" s="13" t="n">
        <f aca="false">_xlfn.MINIFS(選手一覧!$K$7:$K$2738,選手一覧!$C$7:$C$2738,A547)</f>
        <v>1169</v>
      </c>
      <c r="H547" s="16"/>
    </row>
    <row r="548" customFormat="false" ht="15" hidden="false" customHeight="false" outlineLevel="0" collapsed="false">
      <c r="A548" s="10" t="s">
        <v>3390</v>
      </c>
      <c r="B548" s="12" t="n">
        <f aca="false">COUNTIF(選手一覧!$C$7:$C$2738,A548)</f>
        <v>2</v>
      </c>
      <c r="C548" s="14" t="n">
        <f aca="false">COUNTIFS(選手一覧!$C$7:$C$2738,A548,選手一覧!$K$7:$K$2738,"&lt;=100")</f>
        <v>0</v>
      </c>
      <c r="D548" s="14" t="n">
        <f aca="false">COUNTIFS(選手一覧!$C$7:$C$2738,A548,選手一覧!$E$7:$E$2738,"&lt;=100")</f>
        <v>0</v>
      </c>
      <c r="E548" s="14" t="n">
        <f aca="false">COUNTIFS(選手一覧!$C$7:$C$2738,A548,選手一覧!$G$7:$G$2738,"&lt;=100")</f>
        <v>0</v>
      </c>
      <c r="F548" s="14" t="n">
        <f aca="false">COUNTIFS(選手一覧!$C$7:$C$2738,A548,選手一覧!$I$7:$I$2738,"&lt;=100")</f>
        <v>0</v>
      </c>
      <c r="G548" s="13" t="n">
        <f aca="false">_xlfn.MINIFS(選手一覧!$K$7:$K$2738,選手一覧!$C$7:$C$2738,A548)</f>
        <v>1171</v>
      </c>
      <c r="H548" s="16"/>
    </row>
    <row r="549" customFormat="false" ht="15" hidden="false" customHeight="false" outlineLevel="0" collapsed="false">
      <c r="A549" s="10" t="s">
        <v>3396</v>
      </c>
      <c r="B549" s="12" t="n">
        <f aca="false">COUNTIF(選手一覧!$C$7:$C$2738,A549)</f>
        <v>2</v>
      </c>
      <c r="C549" s="14" t="n">
        <f aca="false">COUNTIFS(選手一覧!$C$7:$C$2738,A549,選手一覧!$K$7:$K$2738,"&lt;=100")</f>
        <v>0</v>
      </c>
      <c r="D549" s="14" t="n">
        <f aca="false">COUNTIFS(選手一覧!$C$7:$C$2738,A549,選手一覧!$E$7:$E$2738,"&lt;=100")</f>
        <v>0</v>
      </c>
      <c r="E549" s="14" t="n">
        <f aca="false">COUNTIFS(選手一覧!$C$7:$C$2738,A549,選手一覧!$G$7:$G$2738,"&lt;=100")</f>
        <v>0</v>
      </c>
      <c r="F549" s="14" t="n">
        <f aca="false">COUNTIFS(選手一覧!$C$7:$C$2738,A549,選手一覧!$I$7:$I$2738,"&lt;=100")</f>
        <v>0</v>
      </c>
      <c r="G549" s="13" t="n">
        <f aca="false">_xlfn.MINIFS(選手一覧!$K$7:$K$2738,選手一覧!$C$7:$C$2738,A549)</f>
        <v>1175</v>
      </c>
      <c r="H549" s="16"/>
    </row>
    <row r="550" customFormat="false" ht="15" hidden="false" customHeight="false" outlineLevel="0" collapsed="false">
      <c r="A550" s="10" t="s">
        <v>3453</v>
      </c>
      <c r="B550" s="12" t="n">
        <f aca="false">COUNTIF(選手一覧!$C$7:$C$2738,A550)</f>
        <v>2</v>
      </c>
      <c r="C550" s="14" t="n">
        <f aca="false">COUNTIFS(選手一覧!$C$7:$C$2738,A550,選手一覧!$K$7:$K$2738,"&lt;=100")</f>
        <v>0</v>
      </c>
      <c r="D550" s="14" t="n">
        <f aca="false">COUNTIFS(選手一覧!$C$7:$C$2738,A550,選手一覧!$E$7:$E$2738,"&lt;=100")</f>
        <v>0</v>
      </c>
      <c r="E550" s="14" t="n">
        <f aca="false">COUNTIFS(選手一覧!$C$7:$C$2738,A550,選手一覧!$G$7:$G$2738,"&lt;=100")</f>
        <v>0</v>
      </c>
      <c r="F550" s="14" t="n">
        <f aca="false">COUNTIFS(選手一覧!$C$7:$C$2738,A550,選手一覧!$I$7:$I$2738,"&lt;=100")</f>
        <v>0</v>
      </c>
      <c r="G550" s="13" t="n">
        <f aca="false">_xlfn.MINIFS(選手一覧!$K$7:$K$2738,選手一覧!$C$7:$C$2738,A550)</f>
        <v>1196</v>
      </c>
      <c r="H550" s="16"/>
    </row>
    <row r="551" customFormat="false" ht="15" hidden="false" customHeight="false" outlineLevel="0" collapsed="false">
      <c r="A551" s="10" t="s">
        <v>3562</v>
      </c>
      <c r="B551" s="12" t="n">
        <f aca="false">COUNTIF(選手一覧!$C$7:$C$2738,A551)</f>
        <v>2</v>
      </c>
      <c r="C551" s="14" t="n">
        <f aca="false">COUNTIFS(選手一覧!$C$7:$C$2738,A551,選手一覧!$K$7:$K$2738,"&lt;=100")</f>
        <v>0</v>
      </c>
      <c r="D551" s="14" t="n">
        <f aca="false">COUNTIFS(選手一覧!$C$7:$C$2738,A551,選手一覧!$E$7:$E$2738,"&lt;=100")</f>
        <v>0</v>
      </c>
      <c r="E551" s="14" t="n">
        <f aca="false">COUNTIFS(選手一覧!$C$7:$C$2738,A551,選手一覧!$G$7:$G$2738,"&lt;=100")</f>
        <v>0</v>
      </c>
      <c r="F551" s="14" t="n">
        <f aca="false">COUNTIFS(選手一覧!$C$7:$C$2738,A551,選手一覧!$I$7:$I$2738,"&lt;=100")</f>
        <v>0</v>
      </c>
      <c r="G551" s="13" t="n">
        <f aca="false">_xlfn.MINIFS(選手一覧!$K$7:$K$2738,選手一覧!$C$7:$C$2738,A551)</f>
        <v>1239</v>
      </c>
      <c r="H551" s="16"/>
    </row>
    <row r="552" customFormat="false" ht="15" hidden="false" customHeight="false" outlineLevel="0" collapsed="false">
      <c r="A552" s="10" t="s">
        <v>3667</v>
      </c>
      <c r="B552" s="12" t="n">
        <f aca="false">COUNTIF(選手一覧!$C$7:$C$2738,A552)</f>
        <v>2</v>
      </c>
      <c r="C552" s="14" t="n">
        <f aca="false">COUNTIFS(選手一覧!$C$7:$C$2738,A552,選手一覧!$K$7:$K$2738,"&lt;=100")</f>
        <v>0</v>
      </c>
      <c r="D552" s="14" t="n">
        <f aca="false">COUNTIFS(選手一覧!$C$7:$C$2738,A552,選手一覧!$E$7:$E$2738,"&lt;=100")</f>
        <v>0</v>
      </c>
      <c r="E552" s="14" t="n">
        <f aca="false">COUNTIFS(選手一覧!$C$7:$C$2738,A552,選手一覧!$G$7:$G$2738,"&lt;=100")</f>
        <v>0</v>
      </c>
      <c r="F552" s="14" t="n">
        <f aca="false">COUNTIFS(選手一覧!$C$7:$C$2738,A552,選手一覧!$I$7:$I$2738,"&lt;=100")</f>
        <v>0</v>
      </c>
      <c r="G552" s="13" t="n">
        <f aca="false">_xlfn.MINIFS(選手一覧!$K$7:$K$2738,選手一覧!$C$7:$C$2738,A552)</f>
        <v>1281</v>
      </c>
      <c r="H552" s="16"/>
    </row>
    <row r="553" customFormat="false" ht="15" hidden="false" customHeight="false" outlineLevel="0" collapsed="false">
      <c r="A553" s="10" t="s">
        <v>3706</v>
      </c>
      <c r="B553" s="12" t="n">
        <f aca="false">COUNTIF(選手一覧!$C$7:$C$2738,A553)</f>
        <v>2</v>
      </c>
      <c r="C553" s="14" t="n">
        <f aca="false">COUNTIFS(選手一覧!$C$7:$C$2738,A553,選手一覧!$K$7:$K$2738,"&lt;=100")</f>
        <v>0</v>
      </c>
      <c r="D553" s="14" t="n">
        <f aca="false">COUNTIFS(選手一覧!$C$7:$C$2738,A553,選手一覧!$E$7:$E$2738,"&lt;=100")</f>
        <v>0</v>
      </c>
      <c r="E553" s="14" t="n">
        <f aca="false">COUNTIFS(選手一覧!$C$7:$C$2738,A553,選手一覧!$G$7:$G$2738,"&lt;=100")</f>
        <v>0</v>
      </c>
      <c r="F553" s="14" t="n">
        <f aca="false">COUNTIFS(選手一覧!$C$7:$C$2738,A553,選手一覧!$I$7:$I$2738,"&lt;=100")</f>
        <v>0</v>
      </c>
      <c r="G553" s="13" t="n">
        <f aca="false">_xlfn.MINIFS(選手一覧!$K$7:$K$2738,選手一覧!$C$7:$C$2738,A553)</f>
        <v>1302</v>
      </c>
      <c r="H553" s="16"/>
    </row>
    <row r="554" customFormat="false" ht="15" hidden="false" customHeight="false" outlineLevel="0" collapsed="false">
      <c r="A554" s="10" t="s">
        <v>3775</v>
      </c>
      <c r="B554" s="12" t="n">
        <f aca="false">COUNTIF(選手一覧!$C$7:$C$2738,A554)</f>
        <v>2</v>
      </c>
      <c r="C554" s="14" t="n">
        <f aca="false">COUNTIFS(選手一覧!$C$7:$C$2738,A554,選手一覧!$K$7:$K$2738,"&lt;=100")</f>
        <v>0</v>
      </c>
      <c r="D554" s="14" t="n">
        <f aca="false">COUNTIFS(選手一覧!$C$7:$C$2738,A554,選手一覧!$E$7:$E$2738,"&lt;=100")</f>
        <v>0</v>
      </c>
      <c r="E554" s="14" t="n">
        <f aca="false">COUNTIFS(選手一覧!$C$7:$C$2738,A554,選手一覧!$G$7:$G$2738,"&lt;=100")</f>
        <v>0</v>
      </c>
      <c r="F554" s="14" t="n">
        <f aca="false">COUNTIFS(選手一覧!$C$7:$C$2738,A554,選手一覧!$I$7:$I$2738,"&lt;=100")</f>
        <v>0</v>
      </c>
      <c r="G554" s="13" t="n">
        <f aca="false">_xlfn.MINIFS(選手一覧!$K$7:$K$2738,選手一覧!$C$7:$C$2738,A554)</f>
        <v>1332</v>
      </c>
      <c r="H554" s="16"/>
    </row>
    <row r="555" customFormat="false" ht="15" hidden="false" customHeight="false" outlineLevel="0" collapsed="false">
      <c r="A555" s="10" t="s">
        <v>3827</v>
      </c>
      <c r="B555" s="12" t="n">
        <f aca="false">COUNTIF(選手一覧!$C$7:$C$2738,A555)</f>
        <v>2</v>
      </c>
      <c r="C555" s="14" t="n">
        <f aca="false">COUNTIFS(選手一覧!$C$7:$C$2738,A555,選手一覧!$K$7:$K$2738,"&lt;=100")</f>
        <v>0</v>
      </c>
      <c r="D555" s="14" t="n">
        <f aca="false">COUNTIFS(選手一覧!$C$7:$C$2738,A555,選手一覧!$E$7:$E$2738,"&lt;=100")</f>
        <v>0</v>
      </c>
      <c r="E555" s="14" t="n">
        <f aca="false">COUNTIFS(選手一覧!$C$7:$C$2738,A555,選手一覧!$G$7:$G$2738,"&lt;=100")</f>
        <v>0</v>
      </c>
      <c r="F555" s="14" t="n">
        <f aca="false">COUNTIFS(選手一覧!$C$7:$C$2738,A555,選手一覧!$I$7:$I$2738,"&lt;=100")</f>
        <v>0</v>
      </c>
      <c r="G555" s="13" t="n">
        <f aca="false">_xlfn.MINIFS(選手一覧!$K$7:$K$2738,選手一覧!$C$7:$C$2738,A555)</f>
        <v>1359</v>
      </c>
      <c r="H555" s="16"/>
    </row>
    <row r="556" customFormat="false" ht="15" hidden="false" customHeight="false" outlineLevel="0" collapsed="false">
      <c r="A556" s="10" t="s">
        <v>449</v>
      </c>
      <c r="B556" s="12" t="n">
        <f aca="false">COUNTIF(選手一覧!$C$7:$C$2738,A556)</f>
        <v>1</v>
      </c>
      <c r="C556" s="14" t="n">
        <f aca="false">COUNTIFS(選手一覧!$C$7:$C$2738,A556,選手一覧!$K$7:$K$2738,"&lt;=100")</f>
        <v>0</v>
      </c>
      <c r="D556" s="14" t="n">
        <f aca="false">COUNTIFS(選手一覧!$C$7:$C$2738,A556,選手一覧!$E$7:$E$2738,"&lt;=100")</f>
        <v>0</v>
      </c>
      <c r="E556" s="14" t="n">
        <f aca="false">COUNTIFS(選手一覧!$C$7:$C$2738,A556,選手一覧!$G$7:$G$2738,"&lt;=100")</f>
        <v>0</v>
      </c>
      <c r="F556" s="14" t="n">
        <f aca="false">COUNTIFS(選手一覧!$C$7:$C$2738,A556,選手一覧!$I$7:$I$2738,"&lt;=100")</f>
        <v>0</v>
      </c>
      <c r="G556" s="13" t="n">
        <f aca="false">_xlfn.MINIFS(選手一覧!$K$7:$K$2738,選手一覧!$C$7:$C$2738,A556)</f>
        <v>114</v>
      </c>
      <c r="H556" s="16"/>
    </row>
    <row r="557" customFormat="false" ht="15" hidden="false" customHeight="false" outlineLevel="0" collapsed="false">
      <c r="A557" s="10" t="s">
        <v>500</v>
      </c>
      <c r="B557" s="12" t="n">
        <f aca="false">COUNTIF(選手一覧!$C$7:$C$2738,A557)</f>
        <v>1</v>
      </c>
      <c r="C557" s="14" t="n">
        <f aca="false">COUNTIFS(選手一覧!$C$7:$C$2738,A557,選手一覧!$K$7:$K$2738,"&lt;=100")</f>
        <v>0</v>
      </c>
      <c r="D557" s="14" t="n">
        <f aca="false">COUNTIFS(選手一覧!$C$7:$C$2738,A557,選手一覧!$E$7:$E$2738,"&lt;=100")</f>
        <v>0</v>
      </c>
      <c r="E557" s="14" t="n">
        <f aca="false">COUNTIFS(選手一覧!$C$7:$C$2738,A557,選手一覧!$G$7:$G$2738,"&lt;=100")</f>
        <v>0</v>
      </c>
      <c r="F557" s="14" t="n">
        <f aca="false">COUNTIFS(選手一覧!$C$7:$C$2738,A557,選手一覧!$I$7:$I$2738,"&lt;=100")</f>
        <v>0</v>
      </c>
      <c r="G557" s="13" t="n">
        <f aca="false">_xlfn.MINIFS(選手一覧!$K$7:$K$2738,選手一覧!$C$7:$C$2738,A557)</f>
        <v>129</v>
      </c>
      <c r="H557" s="16"/>
    </row>
    <row r="558" customFormat="false" ht="15" hidden="false" customHeight="false" outlineLevel="0" collapsed="false">
      <c r="A558" s="10" t="s">
        <v>508</v>
      </c>
      <c r="B558" s="12" t="n">
        <f aca="false">COUNTIF(選手一覧!$C$7:$C$2738,A558)</f>
        <v>1</v>
      </c>
      <c r="C558" s="14" t="n">
        <f aca="false">COUNTIFS(選手一覧!$C$7:$C$2738,A558,選手一覧!$K$7:$K$2738,"&lt;=100")</f>
        <v>0</v>
      </c>
      <c r="D558" s="14" t="n">
        <f aca="false">COUNTIFS(選手一覧!$C$7:$C$2738,A558,選手一覧!$E$7:$E$2738,"&lt;=100")</f>
        <v>0</v>
      </c>
      <c r="E558" s="14" t="n">
        <f aca="false">COUNTIFS(選手一覧!$C$7:$C$2738,A558,選手一覧!$G$7:$G$2738,"&lt;=100")</f>
        <v>0</v>
      </c>
      <c r="F558" s="14" t="n">
        <f aca="false">COUNTIFS(選手一覧!$C$7:$C$2738,A558,選手一覧!$I$7:$I$2738,"&lt;=100")</f>
        <v>0</v>
      </c>
      <c r="G558" s="13" t="n">
        <f aca="false">_xlfn.MINIFS(選手一覧!$K$7:$K$2738,選手一覧!$C$7:$C$2738,A558)</f>
        <v>130</v>
      </c>
      <c r="H558" s="16"/>
    </row>
    <row r="559" customFormat="false" ht="15" hidden="false" customHeight="false" outlineLevel="0" collapsed="false">
      <c r="A559" s="10" t="s">
        <v>551</v>
      </c>
      <c r="B559" s="12" t="n">
        <f aca="false">COUNTIF(選手一覧!$C$7:$C$2738,A559)</f>
        <v>1</v>
      </c>
      <c r="C559" s="14" t="n">
        <f aca="false">COUNTIFS(選手一覧!$C$7:$C$2738,A559,選手一覧!$K$7:$K$2738,"&lt;=100")</f>
        <v>0</v>
      </c>
      <c r="D559" s="14" t="n">
        <f aca="false">COUNTIFS(選手一覧!$C$7:$C$2738,A559,選手一覧!$E$7:$E$2738,"&lt;=100")</f>
        <v>0</v>
      </c>
      <c r="E559" s="14" t="n">
        <f aca="false">COUNTIFS(選手一覧!$C$7:$C$2738,A559,選手一覧!$G$7:$G$2738,"&lt;=100")</f>
        <v>0</v>
      </c>
      <c r="F559" s="14" t="n">
        <f aca="false">COUNTIFS(選手一覧!$C$7:$C$2738,A559,選手一覧!$I$7:$I$2738,"&lt;=100")</f>
        <v>0</v>
      </c>
      <c r="G559" s="13" t="n">
        <f aca="false">_xlfn.MINIFS(選手一覧!$K$7:$K$2738,選手一覧!$C$7:$C$2738,A559)</f>
        <v>143</v>
      </c>
      <c r="H559" s="16"/>
    </row>
    <row r="560" customFormat="false" ht="15" hidden="false" customHeight="false" outlineLevel="0" collapsed="false">
      <c r="A560" s="10" t="s">
        <v>581</v>
      </c>
      <c r="B560" s="12" t="n">
        <f aca="false">COUNTIF(選手一覧!$C$7:$C$2738,A560)</f>
        <v>1</v>
      </c>
      <c r="C560" s="14" t="n">
        <f aca="false">COUNTIFS(選手一覧!$C$7:$C$2738,A560,選手一覧!$K$7:$K$2738,"&lt;=100")</f>
        <v>0</v>
      </c>
      <c r="D560" s="14" t="n">
        <f aca="false">COUNTIFS(選手一覧!$C$7:$C$2738,A560,選手一覧!$E$7:$E$2738,"&lt;=100")</f>
        <v>0</v>
      </c>
      <c r="E560" s="14" t="n">
        <f aca="false">COUNTIFS(選手一覧!$C$7:$C$2738,A560,選手一覧!$G$7:$G$2738,"&lt;=100")</f>
        <v>0</v>
      </c>
      <c r="F560" s="14" t="n">
        <f aca="false">COUNTIFS(選手一覧!$C$7:$C$2738,A560,選手一覧!$I$7:$I$2738,"&lt;=100")</f>
        <v>0</v>
      </c>
      <c r="G560" s="13" t="n">
        <f aca="false">_xlfn.MINIFS(選手一覧!$K$7:$K$2738,選手一覧!$C$7:$C$2738,A560)</f>
        <v>154</v>
      </c>
      <c r="H560" s="16"/>
    </row>
    <row r="561" customFormat="false" ht="15" hidden="false" customHeight="false" outlineLevel="0" collapsed="false">
      <c r="A561" s="10" t="s">
        <v>596</v>
      </c>
      <c r="B561" s="12" t="n">
        <f aca="false">COUNTIF(選手一覧!$C$7:$C$2738,A561)</f>
        <v>1</v>
      </c>
      <c r="C561" s="14" t="n">
        <f aca="false">COUNTIFS(選手一覧!$C$7:$C$2738,A561,選手一覧!$K$7:$K$2738,"&lt;=100")</f>
        <v>0</v>
      </c>
      <c r="D561" s="14" t="n">
        <f aca="false">COUNTIFS(選手一覧!$C$7:$C$2738,A561,選手一覧!$E$7:$E$2738,"&lt;=100")</f>
        <v>0</v>
      </c>
      <c r="E561" s="14" t="n">
        <f aca="false">COUNTIFS(選手一覧!$C$7:$C$2738,A561,選手一覧!$G$7:$G$2738,"&lt;=100")</f>
        <v>0</v>
      </c>
      <c r="F561" s="14" t="n">
        <f aca="false">COUNTIFS(選手一覧!$C$7:$C$2738,A561,選手一覧!$I$7:$I$2738,"&lt;=100")</f>
        <v>0</v>
      </c>
      <c r="G561" s="13" t="n">
        <f aca="false">_xlfn.MINIFS(選手一覧!$K$7:$K$2738,選手一覧!$C$7:$C$2738,A561)</f>
        <v>159</v>
      </c>
      <c r="H561" s="16"/>
    </row>
    <row r="562" customFormat="false" ht="15" hidden="false" customHeight="false" outlineLevel="0" collapsed="false">
      <c r="A562" s="10" t="s">
        <v>609</v>
      </c>
      <c r="B562" s="12" t="n">
        <f aca="false">COUNTIF(選手一覧!$C$7:$C$2738,A562)</f>
        <v>1</v>
      </c>
      <c r="C562" s="14" t="n">
        <f aca="false">COUNTIFS(選手一覧!$C$7:$C$2738,A562,選手一覧!$K$7:$K$2738,"&lt;=100")</f>
        <v>0</v>
      </c>
      <c r="D562" s="14" t="n">
        <f aca="false">COUNTIFS(選手一覧!$C$7:$C$2738,A562,選手一覧!$E$7:$E$2738,"&lt;=100")</f>
        <v>0</v>
      </c>
      <c r="E562" s="14" t="n">
        <f aca="false">COUNTIFS(選手一覧!$C$7:$C$2738,A562,選手一覧!$G$7:$G$2738,"&lt;=100")</f>
        <v>0</v>
      </c>
      <c r="F562" s="14" t="n">
        <f aca="false">COUNTIFS(選手一覧!$C$7:$C$2738,A562,選手一覧!$I$7:$I$2738,"&lt;=100")</f>
        <v>0</v>
      </c>
      <c r="G562" s="13" t="n">
        <f aca="false">_xlfn.MINIFS(選手一覧!$K$7:$K$2738,選手一覧!$C$7:$C$2738,A562)</f>
        <v>163</v>
      </c>
      <c r="H562" s="16"/>
    </row>
    <row r="563" customFormat="false" ht="15" hidden="false" customHeight="false" outlineLevel="0" collapsed="false">
      <c r="A563" s="10" t="s">
        <v>627</v>
      </c>
      <c r="B563" s="12" t="n">
        <f aca="false">COUNTIF(選手一覧!$C$7:$C$2738,A563)</f>
        <v>1</v>
      </c>
      <c r="C563" s="14" t="n">
        <f aca="false">COUNTIFS(選手一覧!$C$7:$C$2738,A563,選手一覧!$K$7:$K$2738,"&lt;=100")</f>
        <v>0</v>
      </c>
      <c r="D563" s="14" t="n">
        <f aca="false">COUNTIFS(選手一覧!$C$7:$C$2738,A563,選手一覧!$E$7:$E$2738,"&lt;=100")</f>
        <v>0</v>
      </c>
      <c r="E563" s="14" t="n">
        <f aca="false">COUNTIFS(選手一覧!$C$7:$C$2738,A563,選手一覧!$G$7:$G$2738,"&lt;=100")</f>
        <v>0</v>
      </c>
      <c r="F563" s="14" t="n">
        <f aca="false">COUNTIFS(選手一覧!$C$7:$C$2738,A563,選手一覧!$I$7:$I$2738,"&lt;=100")</f>
        <v>0</v>
      </c>
      <c r="G563" s="13" t="n">
        <f aca="false">_xlfn.MINIFS(選手一覧!$K$7:$K$2738,選手一覧!$C$7:$C$2738,A563)</f>
        <v>167</v>
      </c>
      <c r="H563" s="16"/>
    </row>
    <row r="564" customFormat="false" ht="15" hidden="false" customHeight="false" outlineLevel="0" collapsed="false">
      <c r="A564" s="10" t="s">
        <v>642</v>
      </c>
      <c r="B564" s="12" t="n">
        <f aca="false">COUNTIF(選手一覧!$C$7:$C$2738,A564)</f>
        <v>1</v>
      </c>
      <c r="C564" s="14" t="n">
        <f aca="false">COUNTIFS(選手一覧!$C$7:$C$2738,A564,選手一覧!$K$7:$K$2738,"&lt;=100")</f>
        <v>0</v>
      </c>
      <c r="D564" s="14" t="n">
        <f aca="false">COUNTIFS(選手一覧!$C$7:$C$2738,A564,選手一覧!$E$7:$E$2738,"&lt;=100")</f>
        <v>0</v>
      </c>
      <c r="E564" s="14" t="n">
        <f aca="false">COUNTIFS(選手一覧!$C$7:$C$2738,A564,選手一覧!$G$7:$G$2738,"&lt;=100")</f>
        <v>0</v>
      </c>
      <c r="F564" s="14" t="n">
        <f aca="false">COUNTIFS(選手一覧!$C$7:$C$2738,A564,選手一覧!$I$7:$I$2738,"&lt;=100")</f>
        <v>0</v>
      </c>
      <c r="G564" s="13" t="n">
        <f aca="false">_xlfn.MINIFS(選手一覧!$K$7:$K$2738,選手一覧!$C$7:$C$2738,A564)</f>
        <v>173</v>
      </c>
      <c r="H564" s="16"/>
    </row>
    <row r="565" customFormat="false" ht="15" hidden="false" customHeight="false" outlineLevel="0" collapsed="false">
      <c r="A565" s="10" t="s">
        <v>650</v>
      </c>
      <c r="B565" s="12" t="n">
        <f aca="false">COUNTIF(選手一覧!$C$7:$C$2738,A565)</f>
        <v>1</v>
      </c>
      <c r="C565" s="14" t="n">
        <f aca="false">COUNTIFS(選手一覧!$C$7:$C$2738,A565,選手一覧!$K$7:$K$2738,"&lt;=100")</f>
        <v>0</v>
      </c>
      <c r="D565" s="14" t="n">
        <f aca="false">COUNTIFS(選手一覧!$C$7:$C$2738,A565,選手一覧!$E$7:$E$2738,"&lt;=100")</f>
        <v>0</v>
      </c>
      <c r="E565" s="14" t="n">
        <f aca="false">COUNTIFS(選手一覧!$C$7:$C$2738,A565,選手一覧!$G$7:$G$2738,"&lt;=100")</f>
        <v>0</v>
      </c>
      <c r="F565" s="14" t="n">
        <f aca="false">COUNTIFS(選手一覧!$C$7:$C$2738,A565,選手一覧!$I$7:$I$2738,"&lt;=100")</f>
        <v>0</v>
      </c>
      <c r="G565" s="13" t="n">
        <f aca="false">_xlfn.MINIFS(選手一覧!$K$7:$K$2738,選手一覧!$C$7:$C$2738,A565)</f>
        <v>175</v>
      </c>
      <c r="H565" s="16"/>
    </row>
    <row r="566" customFormat="false" ht="15" hidden="false" customHeight="false" outlineLevel="0" collapsed="false">
      <c r="A566" s="10" t="s">
        <v>654</v>
      </c>
      <c r="B566" s="12" t="n">
        <f aca="false">COUNTIF(選手一覧!$C$7:$C$2738,A566)</f>
        <v>1</v>
      </c>
      <c r="C566" s="14" t="n">
        <f aca="false">COUNTIFS(選手一覧!$C$7:$C$2738,A566,選手一覧!$K$7:$K$2738,"&lt;=100")</f>
        <v>0</v>
      </c>
      <c r="D566" s="14" t="n">
        <f aca="false">COUNTIFS(選手一覧!$C$7:$C$2738,A566,選手一覧!$E$7:$E$2738,"&lt;=100")</f>
        <v>0</v>
      </c>
      <c r="E566" s="14" t="n">
        <f aca="false">COUNTIFS(選手一覧!$C$7:$C$2738,A566,選手一覧!$G$7:$G$2738,"&lt;=100")</f>
        <v>0</v>
      </c>
      <c r="F566" s="14" t="n">
        <f aca="false">COUNTIFS(選手一覧!$C$7:$C$2738,A566,選手一覧!$I$7:$I$2738,"&lt;=100")</f>
        <v>0</v>
      </c>
      <c r="G566" s="13" t="n">
        <f aca="false">_xlfn.MINIFS(選手一覧!$K$7:$K$2738,選手一覧!$C$7:$C$2738,A566)</f>
        <v>176</v>
      </c>
      <c r="H566" s="16"/>
    </row>
    <row r="567" customFormat="false" ht="15" hidden="false" customHeight="false" outlineLevel="0" collapsed="false">
      <c r="A567" s="10" t="s">
        <v>678</v>
      </c>
      <c r="B567" s="12" t="n">
        <f aca="false">COUNTIF(選手一覧!$C$7:$C$2738,A567)</f>
        <v>1</v>
      </c>
      <c r="C567" s="14" t="n">
        <f aca="false">COUNTIFS(選手一覧!$C$7:$C$2738,A567,選手一覧!$K$7:$K$2738,"&lt;=100")</f>
        <v>0</v>
      </c>
      <c r="D567" s="14" t="n">
        <f aca="false">COUNTIFS(選手一覧!$C$7:$C$2738,A567,選手一覧!$E$7:$E$2738,"&lt;=100")</f>
        <v>0</v>
      </c>
      <c r="E567" s="14" t="n">
        <f aca="false">COUNTIFS(選手一覧!$C$7:$C$2738,A567,選手一覧!$G$7:$G$2738,"&lt;=100")</f>
        <v>0</v>
      </c>
      <c r="F567" s="14" t="n">
        <f aca="false">COUNTIFS(選手一覧!$C$7:$C$2738,A567,選手一覧!$I$7:$I$2738,"&lt;=100")</f>
        <v>0</v>
      </c>
      <c r="G567" s="13" t="n">
        <f aca="false">_xlfn.MINIFS(選手一覧!$K$7:$K$2738,選手一覧!$C$7:$C$2738,A567)</f>
        <v>182</v>
      </c>
      <c r="H567" s="16"/>
    </row>
    <row r="568" customFormat="false" ht="15" hidden="false" customHeight="false" outlineLevel="0" collapsed="false">
      <c r="A568" s="10" t="s">
        <v>699</v>
      </c>
      <c r="B568" s="12" t="n">
        <f aca="false">COUNTIF(選手一覧!$C$7:$C$2738,A568)</f>
        <v>1</v>
      </c>
      <c r="C568" s="14" t="n">
        <f aca="false">COUNTIFS(選手一覧!$C$7:$C$2738,A568,選手一覧!$K$7:$K$2738,"&lt;=100")</f>
        <v>0</v>
      </c>
      <c r="D568" s="14" t="n">
        <f aca="false">COUNTIFS(選手一覧!$C$7:$C$2738,A568,選手一覧!$E$7:$E$2738,"&lt;=100")</f>
        <v>0</v>
      </c>
      <c r="E568" s="14" t="n">
        <f aca="false">COUNTIFS(選手一覧!$C$7:$C$2738,A568,選手一覧!$G$7:$G$2738,"&lt;=100")</f>
        <v>0</v>
      </c>
      <c r="F568" s="14" t="n">
        <f aca="false">COUNTIFS(選手一覧!$C$7:$C$2738,A568,選手一覧!$I$7:$I$2738,"&lt;=100")</f>
        <v>0</v>
      </c>
      <c r="G568" s="13" t="n">
        <f aca="false">_xlfn.MINIFS(選手一覧!$K$7:$K$2738,選手一覧!$C$7:$C$2738,A568)</f>
        <v>188</v>
      </c>
      <c r="H568" s="16"/>
    </row>
    <row r="569" customFormat="false" ht="15" hidden="false" customHeight="false" outlineLevel="0" collapsed="false">
      <c r="A569" s="10" t="s">
        <v>741</v>
      </c>
      <c r="B569" s="12" t="n">
        <f aca="false">COUNTIF(選手一覧!$C$7:$C$2738,A569)</f>
        <v>1</v>
      </c>
      <c r="C569" s="14" t="n">
        <f aca="false">COUNTIFS(選手一覧!$C$7:$C$2738,A569,選手一覧!$K$7:$K$2738,"&lt;=100")</f>
        <v>0</v>
      </c>
      <c r="D569" s="14" t="n">
        <f aca="false">COUNTIFS(選手一覧!$C$7:$C$2738,A569,選手一覧!$E$7:$E$2738,"&lt;=100")</f>
        <v>0</v>
      </c>
      <c r="E569" s="14" t="n">
        <f aca="false">COUNTIFS(選手一覧!$C$7:$C$2738,A569,選手一覧!$G$7:$G$2738,"&lt;=100")</f>
        <v>0</v>
      </c>
      <c r="F569" s="14" t="n">
        <f aca="false">COUNTIFS(選手一覧!$C$7:$C$2738,A569,選手一覧!$I$7:$I$2738,"&lt;=100")</f>
        <v>0</v>
      </c>
      <c r="G569" s="13" t="n">
        <f aca="false">_xlfn.MINIFS(選手一覧!$K$7:$K$2738,選手一覧!$C$7:$C$2738,A569)</f>
        <v>201</v>
      </c>
      <c r="H569" s="16"/>
    </row>
    <row r="570" customFormat="false" ht="15" hidden="false" customHeight="false" outlineLevel="0" collapsed="false">
      <c r="A570" s="10" t="s">
        <v>762</v>
      </c>
      <c r="B570" s="12" t="n">
        <f aca="false">COUNTIF(選手一覧!$C$7:$C$2738,A570)</f>
        <v>1</v>
      </c>
      <c r="C570" s="14" t="n">
        <f aca="false">COUNTIFS(選手一覧!$C$7:$C$2738,A570,選手一覧!$K$7:$K$2738,"&lt;=100")</f>
        <v>0</v>
      </c>
      <c r="D570" s="14" t="n">
        <f aca="false">COUNTIFS(選手一覧!$C$7:$C$2738,A570,選手一覧!$E$7:$E$2738,"&lt;=100")</f>
        <v>0</v>
      </c>
      <c r="E570" s="14" t="n">
        <f aca="false">COUNTIFS(選手一覧!$C$7:$C$2738,A570,選手一覧!$G$7:$G$2738,"&lt;=100")</f>
        <v>0</v>
      </c>
      <c r="F570" s="14" t="n">
        <f aca="false">COUNTIFS(選手一覧!$C$7:$C$2738,A570,選手一覧!$I$7:$I$2738,"&lt;=100")</f>
        <v>0</v>
      </c>
      <c r="G570" s="13" t="n">
        <f aca="false">_xlfn.MINIFS(選手一覧!$K$7:$K$2738,選手一覧!$C$7:$C$2738,A570)</f>
        <v>206</v>
      </c>
      <c r="H570" s="16"/>
    </row>
    <row r="571" customFormat="false" ht="15" hidden="false" customHeight="false" outlineLevel="0" collapsed="false">
      <c r="A571" s="10" t="s">
        <v>793</v>
      </c>
      <c r="B571" s="12" t="n">
        <f aca="false">COUNTIF(選手一覧!$C$7:$C$2738,A571)</f>
        <v>1</v>
      </c>
      <c r="C571" s="14" t="n">
        <f aca="false">COUNTIFS(選手一覧!$C$7:$C$2738,A571,選手一覧!$K$7:$K$2738,"&lt;=100")</f>
        <v>0</v>
      </c>
      <c r="D571" s="14" t="n">
        <f aca="false">COUNTIFS(選手一覧!$C$7:$C$2738,A571,選手一覧!$E$7:$E$2738,"&lt;=100")</f>
        <v>0</v>
      </c>
      <c r="E571" s="14" t="n">
        <f aca="false">COUNTIFS(選手一覧!$C$7:$C$2738,A571,選手一覧!$G$7:$G$2738,"&lt;=100")</f>
        <v>0</v>
      </c>
      <c r="F571" s="14" t="n">
        <f aca="false">COUNTIFS(選手一覧!$C$7:$C$2738,A571,選手一覧!$I$7:$I$2738,"&lt;=100")</f>
        <v>0</v>
      </c>
      <c r="G571" s="13" t="n">
        <f aca="false">_xlfn.MINIFS(選手一覧!$K$7:$K$2738,選手一覧!$C$7:$C$2738,A571)</f>
        <v>217</v>
      </c>
      <c r="H571" s="16"/>
    </row>
    <row r="572" customFormat="false" ht="15" hidden="false" customHeight="false" outlineLevel="0" collapsed="false">
      <c r="A572" s="10" t="s">
        <v>806</v>
      </c>
      <c r="B572" s="12" t="n">
        <f aca="false">COUNTIF(選手一覧!$C$7:$C$2738,A572)</f>
        <v>1</v>
      </c>
      <c r="C572" s="14" t="n">
        <f aca="false">COUNTIFS(選手一覧!$C$7:$C$2738,A572,選手一覧!$K$7:$K$2738,"&lt;=100")</f>
        <v>0</v>
      </c>
      <c r="D572" s="14" t="n">
        <f aca="false">COUNTIFS(選手一覧!$C$7:$C$2738,A572,選手一覧!$E$7:$E$2738,"&lt;=100")</f>
        <v>0</v>
      </c>
      <c r="E572" s="14" t="n">
        <f aca="false">COUNTIFS(選手一覧!$C$7:$C$2738,A572,選手一覧!$G$7:$G$2738,"&lt;=100")</f>
        <v>0</v>
      </c>
      <c r="F572" s="14" t="n">
        <f aca="false">COUNTIFS(選手一覧!$C$7:$C$2738,A572,選手一覧!$I$7:$I$2738,"&lt;=100")</f>
        <v>0</v>
      </c>
      <c r="G572" s="13" t="n">
        <f aca="false">_xlfn.MINIFS(選手一覧!$K$7:$K$2738,選手一覧!$C$7:$C$2738,A572)</f>
        <v>221</v>
      </c>
      <c r="H572" s="16"/>
    </row>
    <row r="573" customFormat="false" ht="15" hidden="false" customHeight="false" outlineLevel="0" collapsed="false">
      <c r="A573" s="10" t="s">
        <v>821</v>
      </c>
      <c r="B573" s="12" t="n">
        <f aca="false">COUNTIF(選手一覧!$C$7:$C$2738,A573)</f>
        <v>1</v>
      </c>
      <c r="C573" s="14" t="n">
        <f aca="false">COUNTIFS(選手一覧!$C$7:$C$2738,A573,選手一覧!$K$7:$K$2738,"&lt;=100")</f>
        <v>0</v>
      </c>
      <c r="D573" s="14" t="n">
        <f aca="false">COUNTIFS(選手一覧!$C$7:$C$2738,A573,選手一覧!$E$7:$E$2738,"&lt;=100")</f>
        <v>0</v>
      </c>
      <c r="E573" s="14" t="n">
        <f aca="false">COUNTIFS(選手一覧!$C$7:$C$2738,A573,選手一覧!$G$7:$G$2738,"&lt;=100")</f>
        <v>0</v>
      </c>
      <c r="F573" s="14" t="n">
        <f aca="false">COUNTIFS(選手一覧!$C$7:$C$2738,A573,選手一覧!$I$7:$I$2738,"&lt;=100")</f>
        <v>0</v>
      </c>
      <c r="G573" s="13" t="n">
        <f aca="false">_xlfn.MINIFS(選手一覧!$K$7:$K$2738,選手一覧!$C$7:$C$2738,A573)</f>
        <v>224</v>
      </c>
      <c r="H573" s="16"/>
    </row>
    <row r="574" customFormat="false" ht="15" hidden="false" customHeight="false" outlineLevel="0" collapsed="false">
      <c r="A574" s="10" t="s">
        <v>833</v>
      </c>
      <c r="B574" s="12" t="n">
        <f aca="false">COUNTIF(選手一覧!$C$7:$C$2738,A574)</f>
        <v>1</v>
      </c>
      <c r="C574" s="14" t="n">
        <f aca="false">COUNTIFS(選手一覧!$C$7:$C$2738,A574,選手一覧!$K$7:$K$2738,"&lt;=100")</f>
        <v>0</v>
      </c>
      <c r="D574" s="14" t="n">
        <f aca="false">COUNTIFS(選手一覧!$C$7:$C$2738,A574,選手一覧!$E$7:$E$2738,"&lt;=100")</f>
        <v>0</v>
      </c>
      <c r="E574" s="14" t="n">
        <f aca="false">COUNTIFS(選手一覧!$C$7:$C$2738,A574,選手一覧!$G$7:$G$2738,"&lt;=100")</f>
        <v>0</v>
      </c>
      <c r="F574" s="14" t="n">
        <f aca="false">COUNTIFS(選手一覧!$C$7:$C$2738,A574,選手一覧!$I$7:$I$2738,"&lt;=100")</f>
        <v>0</v>
      </c>
      <c r="G574" s="13" t="n">
        <f aca="false">_xlfn.MINIFS(選手一覧!$K$7:$K$2738,選手一覧!$C$7:$C$2738,A574)</f>
        <v>228</v>
      </c>
      <c r="H574" s="16"/>
    </row>
    <row r="575" customFormat="false" ht="15" hidden="false" customHeight="false" outlineLevel="0" collapsed="false">
      <c r="A575" s="10" t="s">
        <v>840</v>
      </c>
      <c r="B575" s="12" t="n">
        <f aca="false">COUNTIF(選手一覧!$C$7:$C$2738,A575)</f>
        <v>1</v>
      </c>
      <c r="C575" s="14" t="n">
        <f aca="false">COUNTIFS(選手一覧!$C$7:$C$2738,A575,選手一覧!$K$7:$K$2738,"&lt;=100")</f>
        <v>0</v>
      </c>
      <c r="D575" s="14" t="n">
        <f aca="false">COUNTIFS(選手一覧!$C$7:$C$2738,A575,選手一覧!$E$7:$E$2738,"&lt;=100")</f>
        <v>0</v>
      </c>
      <c r="E575" s="14" t="n">
        <f aca="false">COUNTIFS(選手一覧!$C$7:$C$2738,A575,選手一覧!$G$7:$G$2738,"&lt;=100")</f>
        <v>0</v>
      </c>
      <c r="F575" s="14" t="n">
        <f aca="false">COUNTIFS(選手一覧!$C$7:$C$2738,A575,選手一覧!$I$7:$I$2738,"&lt;=100")</f>
        <v>0</v>
      </c>
      <c r="G575" s="13" t="n">
        <f aca="false">_xlfn.MINIFS(選手一覧!$K$7:$K$2738,選手一覧!$C$7:$C$2738,A575)</f>
        <v>230</v>
      </c>
      <c r="H575" s="16"/>
    </row>
    <row r="576" customFormat="false" ht="15" hidden="false" customHeight="false" outlineLevel="0" collapsed="false">
      <c r="A576" s="10" t="s">
        <v>872</v>
      </c>
      <c r="B576" s="12" t="n">
        <f aca="false">COUNTIF(選手一覧!$C$7:$C$2738,A576)</f>
        <v>1</v>
      </c>
      <c r="C576" s="14" t="n">
        <f aca="false">COUNTIFS(選手一覧!$C$7:$C$2738,A576,選手一覧!$K$7:$K$2738,"&lt;=100")</f>
        <v>0</v>
      </c>
      <c r="D576" s="14" t="n">
        <f aca="false">COUNTIFS(選手一覧!$C$7:$C$2738,A576,選手一覧!$E$7:$E$2738,"&lt;=100")</f>
        <v>0</v>
      </c>
      <c r="E576" s="14" t="n">
        <f aca="false">COUNTIFS(選手一覧!$C$7:$C$2738,A576,選手一覧!$G$7:$G$2738,"&lt;=100")</f>
        <v>0</v>
      </c>
      <c r="F576" s="14" t="n">
        <f aca="false">COUNTIFS(選手一覧!$C$7:$C$2738,A576,選手一覧!$I$7:$I$2738,"&lt;=100")</f>
        <v>0</v>
      </c>
      <c r="G576" s="13" t="n">
        <f aca="false">_xlfn.MINIFS(選手一覧!$K$7:$K$2738,選手一覧!$C$7:$C$2738,A576)</f>
        <v>240</v>
      </c>
      <c r="H576" s="16"/>
    </row>
    <row r="577" customFormat="false" ht="15" hidden="false" customHeight="false" outlineLevel="0" collapsed="false">
      <c r="A577" s="10" t="s">
        <v>881</v>
      </c>
      <c r="B577" s="12" t="n">
        <f aca="false">COUNTIF(選手一覧!$C$7:$C$2738,A577)</f>
        <v>1</v>
      </c>
      <c r="C577" s="14" t="n">
        <f aca="false">COUNTIFS(選手一覧!$C$7:$C$2738,A577,選手一覧!$K$7:$K$2738,"&lt;=100")</f>
        <v>0</v>
      </c>
      <c r="D577" s="14" t="n">
        <f aca="false">COUNTIFS(選手一覧!$C$7:$C$2738,A577,選手一覧!$E$7:$E$2738,"&lt;=100")</f>
        <v>0</v>
      </c>
      <c r="E577" s="14" t="n">
        <f aca="false">COUNTIFS(選手一覧!$C$7:$C$2738,A577,選手一覧!$G$7:$G$2738,"&lt;=100")</f>
        <v>0</v>
      </c>
      <c r="F577" s="14" t="n">
        <f aca="false">COUNTIFS(選手一覧!$C$7:$C$2738,A577,選手一覧!$I$7:$I$2738,"&lt;=100")</f>
        <v>0</v>
      </c>
      <c r="G577" s="13" t="n">
        <f aca="false">_xlfn.MINIFS(選手一覧!$K$7:$K$2738,選手一覧!$C$7:$C$2738,A577)</f>
        <v>243</v>
      </c>
      <c r="H577" s="16"/>
    </row>
    <row r="578" customFormat="false" ht="15" hidden="false" customHeight="false" outlineLevel="0" collapsed="false">
      <c r="A578" s="10" t="s">
        <v>899</v>
      </c>
      <c r="B578" s="12" t="n">
        <f aca="false">COUNTIF(選手一覧!$C$7:$C$2738,A578)</f>
        <v>1</v>
      </c>
      <c r="C578" s="14" t="n">
        <f aca="false">COUNTIFS(選手一覧!$C$7:$C$2738,A578,選手一覧!$K$7:$K$2738,"&lt;=100")</f>
        <v>0</v>
      </c>
      <c r="D578" s="14" t="n">
        <f aca="false">COUNTIFS(選手一覧!$C$7:$C$2738,A578,選手一覧!$E$7:$E$2738,"&lt;=100")</f>
        <v>0</v>
      </c>
      <c r="E578" s="14" t="n">
        <f aca="false">COUNTIFS(選手一覧!$C$7:$C$2738,A578,選手一覧!$G$7:$G$2738,"&lt;=100")</f>
        <v>0</v>
      </c>
      <c r="F578" s="14" t="n">
        <f aca="false">COUNTIFS(選手一覧!$C$7:$C$2738,A578,選手一覧!$I$7:$I$2738,"&lt;=100")</f>
        <v>0</v>
      </c>
      <c r="G578" s="13" t="n">
        <f aca="false">_xlfn.MINIFS(選手一覧!$K$7:$K$2738,選手一覧!$C$7:$C$2738,A578)</f>
        <v>249</v>
      </c>
      <c r="H578" s="16"/>
    </row>
    <row r="579" customFormat="false" ht="15" hidden="false" customHeight="false" outlineLevel="0" collapsed="false">
      <c r="A579" s="10" t="s">
        <v>902</v>
      </c>
      <c r="B579" s="12" t="n">
        <f aca="false">COUNTIF(選手一覧!$C$7:$C$2738,A579)</f>
        <v>1</v>
      </c>
      <c r="C579" s="14" t="n">
        <f aca="false">COUNTIFS(選手一覧!$C$7:$C$2738,A579,選手一覧!$K$7:$K$2738,"&lt;=100")</f>
        <v>0</v>
      </c>
      <c r="D579" s="14" t="n">
        <f aca="false">COUNTIFS(選手一覧!$C$7:$C$2738,A579,選手一覧!$E$7:$E$2738,"&lt;=100")</f>
        <v>0</v>
      </c>
      <c r="E579" s="14" t="n">
        <f aca="false">COUNTIFS(選手一覧!$C$7:$C$2738,A579,選手一覧!$G$7:$G$2738,"&lt;=100")</f>
        <v>0</v>
      </c>
      <c r="F579" s="14" t="n">
        <f aca="false">COUNTIFS(選手一覧!$C$7:$C$2738,A579,選手一覧!$I$7:$I$2738,"&lt;=100")</f>
        <v>0</v>
      </c>
      <c r="G579" s="13" t="n">
        <f aca="false">_xlfn.MINIFS(選手一覧!$K$7:$K$2738,選手一覧!$C$7:$C$2738,A579)</f>
        <v>250</v>
      </c>
      <c r="H579" s="16"/>
    </row>
    <row r="580" customFormat="false" ht="15" hidden="false" customHeight="false" outlineLevel="0" collapsed="false">
      <c r="A580" s="10" t="s">
        <v>966</v>
      </c>
      <c r="B580" s="12" t="n">
        <f aca="false">COUNTIF(選手一覧!$C$7:$C$2738,A580)</f>
        <v>1</v>
      </c>
      <c r="C580" s="14" t="n">
        <f aca="false">COUNTIFS(選手一覧!$C$7:$C$2738,A580,選手一覧!$K$7:$K$2738,"&lt;=100")</f>
        <v>0</v>
      </c>
      <c r="D580" s="14" t="n">
        <f aca="false">COUNTIFS(選手一覧!$C$7:$C$2738,A580,選手一覧!$E$7:$E$2738,"&lt;=100")</f>
        <v>0</v>
      </c>
      <c r="E580" s="14" t="n">
        <f aca="false">COUNTIFS(選手一覧!$C$7:$C$2738,A580,選手一覧!$G$7:$G$2738,"&lt;=100")</f>
        <v>0</v>
      </c>
      <c r="F580" s="14" t="n">
        <f aca="false">COUNTIFS(選手一覧!$C$7:$C$2738,A580,選手一覧!$I$7:$I$2738,"&lt;=100")</f>
        <v>0</v>
      </c>
      <c r="G580" s="13" t="n">
        <f aca="false">_xlfn.MINIFS(選手一覧!$K$7:$K$2738,選手一覧!$C$7:$C$2738,A580)</f>
        <v>271</v>
      </c>
      <c r="H580" s="16"/>
    </row>
    <row r="581" customFormat="false" ht="15" hidden="false" customHeight="false" outlineLevel="0" collapsed="false">
      <c r="A581" s="10" t="s">
        <v>981</v>
      </c>
      <c r="B581" s="12" t="n">
        <f aca="false">COUNTIF(選手一覧!$C$7:$C$2738,A581)</f>
        <v>1</v>
      </c>
      <c r="C581" s="14" t="n">
        <f aca="false">COUNTIFS(選手一覧!$C$7:$C$2738,A581,選手一覧!$K$7:$K$2738,"&lt;=100")</f>
        <v>0</v>
      </c>
      <c r="D581" s="14" t="n">
        <f aca="false">COUNTIFS(選手一覧!$C$7:$C$2738,A581,選手一覧!$E$7:$E$2738,"&lt;=100")</f>
        <v>0</v>
      </c>
      <c r="E581" s="14" t="n">
        <f aca="false">COUNTIFS(選手一覧!$C$7:$C$2738,A581,選手一覧!$G$7:$G$2738,"&lt;=100")</f>
        <v>0</v>
      </c>
      <c r="F581" s="14" t="n">
        <f aca="false">COUNTIFS(選手一覧!$C$7:$C$2738,A581,選手一覧!$I$7:$I$2738,"&lt;=100")</f>
        <v>0</v>
      </c>
      <c r="G581" s="13" t="n">
        <f aca="false">_xlfn.MINIFS(選手一覧!$K$7:$K$2738,選手一覧!$C$7:$C$2738,A581)</f>
        <v>277</v>
      </c>
      <c r="H581" s="16"/>
    </row>
    <row r="582" customFormat="false" ht="15" hidden="false" customHeight="false" outlineLevel="0" collapsed="false">
      <c r="A582" s="10" t="s">
        <v>999</v>
      </c>
      <c r="B582" s="12" t="n">
        <f aca="false">COUNTIF(選手一覧!$C$7:$C$2738,A582)</f>
        <v>1</v>
      </c>
      <c r="C582" s="14" t="n">
        <f aca="false">COUNTIFS(選手一覧!$C$7:$C$2738,A582,選手一覧!$K$7:$K$2738,"&lt;=100")</f>
        <v>0</v>
      </c>
      <c r="D582" s="14" t="n">
        <f aca="false">COUNTIFS(選手一覧!$C$7:$C$2738,A582,選手一覧!$E$7:$E$2738,"&lt;=100")</f>
        <v>0</v>
      </c>
      <c r="E582" s="14" t="n">
        <f aca="false">COUNTIFS(選手一覧!$C$7:$C$2738,A582,選手一覧!$G$7:$G$2738,"&lt;=100")</f>
        <v>0</v>
      </c>
      <c r="F582" s="14" t="n">
        <f aca="false">COUNTIFS(選手一覧!$C$7:$C$2738,A582,選手一覧!$I$7:$I$2738,"&lt;=100")</f>
        <v>0</v>
      </c>
      <c r="G582" s="13" t="n">
        <f aca="false">_xlfn.MINIFS(選手一覧!$K$7:$K$2738,選手一覧!$C$7:$C$2738,A582)</f>
        <v>283</v>
      </c>
      <c r="H582" s="16"/>
    </row>
    <row r="583" customFormat="false" ht="15" hidden="false" customHeight="false" outlineLevel="0" collapsed="false">
      <c r="A583" s="10" t="s">
        <v>1007</v>
      </c>
      <c r="B583" s="12" t="n">
        <f aca="false">COUNTIF(選手一覧!$C$7:$C$2738,A583)</f>
        <v>1</v>
      </c>
      <c r="C583" s="14" t="n">
        <f aca="false">COUNTIFS(選手一覧!$C$7:$C$2738,A583,選手一覧!$K$7:$K$2738,"&lt;=100")</f>
        <v>0</v>
      </c>
      <c r="D583" s="14" t="n">
        <f aca="false">COUNTIFS(選手一覧!$C$7:$C$2738,A583,選手一覧!$E$7:$E$2738,"&lt;=100")</f>
        <v>0</v>
      </c>
      <c r="E583" s="14" t="n">
        <f aca="false">COUNTIFS(選手一覧!$C$7:$C$2738,A583,選手一覧!$G$7:$G$2738,"&lt;=100")</f>
        <v>0</v>
      </c>
      <c r="F583" s="14" t="n">
        <f aca="false">COUNTIFS(選手一覧!$C$7:$C$2738,A583,選手一覧!$I$7:$I$2738,"&lt;=100")</f>
        <v>0</v>
      </c>
      <c r="G583" s="13" t="n">
        <f aca="false">_xlfn.MINIFS(選手一覧!$K$7:$K$2738,選手一覧!$C$7:$C$2738,A583)</f>
        <v>286</v>
      </c>
      <c r="H583" s="16"/>
    </row>
    <row r="584" customFormat="false" ht="15" hidden="false" customHeight="false" outlineLevel="0" collapsed="false">
      <c r="A584" s="10" t="s">
        <v>1018</v>
      </c>
      <c r="B584" s="12" t="n">
        <f aca="false">COUNTIF(選手一覧!$C$7:$C$2738,A584)</f>
        <v>1</v>
      </c>
      <c r="C584" s="14" t="n">
        <f aca="false">COUNTIFS(選手一覧!$C$7:$C$2738,A584,選手一覧!$K$7:$K$2738,"&lt;=100")</f>
        <v>0</v>
      </c>
      <c r="D584" s="14" t="n">
        <f aca="false">COUNTIFS(選手一覧!$C$7:$C$2738,A584,選手一覧!$E$7:$E$2738,"&lt;=100")</f>
        <v>0</v>
      </c>
      <c r="E584" s="14" t="n">
        <f aca="false">COUNTIFS(選手一覧!$C$7:$C$2738,A584,選手一覧!$G$7:$G$2738,"&lt;=100")</f>
        <v>0</v>
      </c>
      <c r="F584" s="14" t="n">
        <f aca="false">COUNTIFS(選手一覧!$C$7:$C$2738,A584,選手一覧!$I$7:$I$2738,"&lt;=100")</f>
        <v>0</v>
      </c>
      <c r="G584" s="13" t="n">
        <f aca="false">_xlfn.MINIFS(選手一覧!$K$7:$K$2738,選手一覧!$C$7:$C$2738,A584)</f>
        <v>290</v>
      </c>
      <c r="H584" s="16"/>
    </row>
    <row r="585" customFormat="false" ht="15" hidden="false" customHeight="false" outlineLevel="0" collapsed="false">
      <c r="A585" s="10" t="s">
        <v>1035</v>
      </c>
      <c r="B585" s="12" t="n">
        <f aca="false">COUNTIF(選手一覧!$C$7:$C$2738,A585)</f>
        <v>1</v>
      </c>
      <c r="C585" s="14" t="n">
        <f aca="false">COUNTIFS(選手一覧!$C$7:$C$2738,A585,選手一覧!$K$7:$K$2738,"&lt;=100")</f>
        <v>0</v>
      </c>
      <c r="D585" s="14" t="n">
        <f aca="false">COUNTIFS(選手一覧!$C$7:$C$2738,A585,選手一覧!$E$7:$E$2738,"&lt;=100")</f>
        <v>0</v>
      </c>
      <c r="E585" s="14" t="n">
        <f aca="false">COUNTIFS(選手一覧!$C$7:$C$2738,A585,選手一覧!$G$7:$G$2738,"&lt;=100")</f>
        <v>0</v>
      </c>
      <c r="F585" s="14" t="n">
        <f aca="false">COUNTIFS(選手一覧!$C$7:$C$2738,A585,選手一覧!$I$7:$I$2738,"&lt;=100")</f>
        <v>0</v>
      </c>
      <c r="G585" s="13" t="n">
        <f aca="false">_xlfn.MINIFS(選手一覧!$K$7:$K$2738,選手一覧!$C$7:$C$2738,A585)</f>
        <v>297</v>
      </c>
      <c r="H585" s="16"/>
    </row>
    <row r="586" customFormat="false" ht="15" hidden="false" customHeight="false" outlineLevel="0" collapsed="false">
      <c r="A586" s="10" t="s">
        <v>1042</v>
      </c>
      <c r="B586" s="12" t="n">
        <f aca="false">COUNTIF(選手一覧!$C$7:$C$2738,A586)</f>
        <v>1</v>
      </c>
      <c r="C586" s="14" t="n">
        <f aca="false">COUNTIFS(選手一覧!$C$7:$C$2738,A586,選手一覧!$K$7:$K$2738,"&lt;=100")</f>
        <v>0</v>
      </c>
      <c r="D586" s="14" t="n">
        <f aca="false">COUNTIFS(選手一覧!$C$7:$C$2738,A586,選手一覧!$E$7:$E$2738,"&lt;=100")</f>
        <v>0</v>
      </c>
      <c r="E586" s="14" t="n">
        <f aca="false">COUNTIFS(選手一覧!$C$7:$C$2738,A586,選手一覧!$G$7:$G$2738,"&lt;=100")</f>
        <v>0</v>
      </c>
      <c r="F586" s="14" t="n">
        <f aca="false">COUNTIFS(選手一覧!$C$7:$C$2738,A586,選手一覧!$I$7:$I$2738,"&lt;=100")</f>
        <v>0</v>
      </c>
      <c r="G586" s="13" t="n">
        <f aca="false">_xlfn.MINIFS(選手一覧!$K$7:$K$2738,選手一覧!$C$7:$C$2738,A586)</f>
        <v>299</v>
      </c>
      <c r="H586" s="16"/>
    </row>
    <row r="587" customFormat="false" ht="15" hidden="false" customHeight="false" outlineLevel="0" collapsed="false">
      <c r="A587" s="10" t="s">
        <v>1055</v>
      </c>
      <c r="B587" s="12" t="n">
        <f aca="false">COUNTIF(選手一覧!$C$7:$C$2738,A587)</f>
        <v>1</v>
      </c>
      <c r="C587" s="14" t="n">
        <f aca="false">COUNTIFS(選手一覧!$C$7:$C$2738,A587,選手一覧!$K$7:$K$2738,"&lt;=100")</f>
        <v>0</v>
      </c>
      <c r="D587" s="14" t="n">
        <f aca="false">COUNTIFS(選手一覧!$C$7:$C$2738,A587,選手一覧!$E$7:$E$2738,"&lt;=100")</f>
        <v>0</v>
      </c>
      <c r="E587" s="14" t="n">
        <f aca="false">COUNTIFS(選手一覧!$C$7:$C$2738,A587,選手一覧!$G$7:$G$2738,"&lt;=100")</f>
        <v>0</v>
      </c>
      <c r="F587" s="14" t="n">
        <f aca="false">COUNTIFS(選手一覧!$C$7:$C$2738,A587,選手一覧!$I$7:$I$2738,"&lt;=100")</f>
        <v>0</v>
      </c>
      <c r="G587" s="13" t="n">
        <f aca="false">_xlfn.MINIFS(選手一覧!$K$7:$K$2738,選手一覧!$C$7:$C$2738,A587)</f>
        <v>303</v>
      </c>
      <c r="H587" s="16"/>
    </row>
    <row r="588" customFormat="false" ht="15" hidden="false" customHeight="false" outlineLevel="0" collapsed="false">
      <c r="A588" s="10" t="s">
        <v>1067</v>
      </c>
      <c r="B588" s="12" t="n">
        <f aca="false">COUNTIF(選手一覧!$C$7:$C$2738,A588)</f>
        <v>1</v>
      </c>
      <c r="C588" s="14" t="n">
        <f aca="false">COUNTIFS(選手一覧!$C$7:$C$2738,A588,選手一覧!$K$7:$K$2738,"&lt;=100")</f>
        <v>0</v>
      </c>
      <c r="D588" s="14" t="n">
        <f aca="false">COUNTIFS(選手一覧!$C$7:$C$2738,A588,選手一覧!$E$7:$E$2738,"&lt;=100")</f>
        <v>0</v>
      </c>
      <c r="E588" s="14" t="n">
        <f aca="false">COUNTIFS(選手一覧!$C$7:$C$2738,A588,選手一覧!$G$7:$G$2738,"&lt;=100")</f>
        <v>0</v>
      </c>
      <c r="F588" s="14" t="n">
        <f aca="false">COUNTIFS(選手一覧!$C$7:$C$2738,A588,選手一覧!$I$7:$I$2738,"&lt;=100")</f>
        <v>0</v>
      </c>
      <c r="G588" s="13" t="n">
        <f aca="false">_xlfn.MINIFS(選手一覧!$K$7:$K$2738,選手一覧!$C$7:$C$2738,A588)</f>
        <v>307</v>
      </c>
      <c r="H588" s="16"/>
    </row>
    <row r="589" customFormat="false" ht="15" hidden="false" customHeight="false" outlineLevel="0" collapsed="false">
      <c r="A589" s="10" t="s">
        <v>1073</v>
      </c>
      <c r="B589" s="12" t="n">
        <f aca="false">COUNTIF(選手一覧!$C$7:$C$2738,A589)</f>
        <v>1</v>
      </c>
      <c r="C589" s="14" t="n">
        <f aca="false">COUNTIFS(選手一覧!$C$7:$C$2738,A589,選手一覧!$K$7:$K$2738,"&lt;=100")</f>
        <v>0</v>
      </c>
      <c r="D589" s="14" t="n">
        <f aca="false">COUNTIFS(選手一覧!$C$7:$C$2738,A589,選手一覧!$E$7:$E$2738,"&lt;=100")</f>
        <v>0</v>
      </c>
      <c r="E589" s="14" t="n">
        <f aca="false">COUNTIFS(選手一覧!$C$7:$C$2738,A589,選手一覧!$G$7:$G$2738,"&lt;=100")</f>
        <v>0</v>
      </c>
      <c r="F589" s="14" t="n">
        <f aca="false">COUNTIFS(選手一覧!$C$7:$C$2738,A589,選手一覧!$I$7:$I$2738,"&lt;=100")</f>
        <v>0</v>
      </c>
      <c r="G589" s="13" t="n">
        <f aca="false">_xlfn.MINIFS(選手一覧!$K$7:$K$2738,選手一覧!$C$7:$C$2738,A589)</f>
        <v>309</v>
      </c>
      <c r="H589" s="16"/>
    </row>
    <row r="590" customFormat="false" ht="15" hidden="false" customHeight="false" outlineLevel="0" collapsed="false">
      <c r="A590" s="10" t="s">
        <v>1090</v>
      </c>
      <c r="B590" s="12" t="n">
        <f aca="false">COUNTIF(選手一覧!$C$7:$C$2738,A590)</f>
        <v>1</v>
      </c>
      <c r="C590" s="14" t="n">
        <f aca="false">COUNTIFS(選手一覧!$C$7:$C$2738,A590,選手一覧!$K$7:$K$2738,"&lt;=100")</f>
        <v>0</v>
      </c>
      <c r="D590" s="14" t="n">
        <f aca="false">COUNTIFS(選手一覧!$C$7:$C$2738,A590,選手一覧!$E$7:$E$2738,"&lt;=100")</f>
        <v>0</v>
      </c>
      <c r="E590" s="14" t="n">
        <f aca="false">COUNTIFS(選手一覧!$C$7:$C$2738,A590,選手一覧!$G$7:$G$2738,"&lt;=100")</f>
        <v>0</v>
      </c>
      <c r="F590" s="14" t="n">
        <f aca="false">COUNTIFS(選手一覧!$C$7:$C$2738,A590,選手一覧!$I$7:$I$2738,"&lt;=100")</f>
        <v>0</v>
      </c>
      <c r="G590" s="13" t="n">
        <f aca="false">_xlfn.MINIFS(選手一覧!$K$7:$K$2738,選手一覧!$C$7:$C$2738,A590)</f>
        <v>315</v>
      </c>
      <c r="H590" s="16"/>
    </row>
    <row r="591" customFormat="false" ht="15" hidden="false" customHeight="false" outlineLevel="0" collapsed="false">
      <c r="A591" s="10" t="s">
        <v>1093</v>
      </c>
      <c r="B591" s="12" t="n">
        <f aca="false">COUNTIF(選手一覧!$C$7:$C$2738,A591)</f>
        <v>1</v>
      </c>
      <c r="C591" s="14" t="n">
        <f aca="false">COUNTIFS(選手一覧!$C$7:$C$2738,A591,選手一覧!$K$7:$K$2738,"&lt;=100")</f>
        <v>0</v>
      </c>
      <c r="D591" s="14" t="n">
        <f aca="false">COUNTIFS(選手一覧!$C$7:$C$2738,A591,選手一覧!$E$7:$E$2738,"&lt;=100")</f>
        <v>0</v>
      </c>
      <c r="E591" s="14" t="n">
        <f aca="false">COUNTIFS(選手一覧!$C$7:$C$2738,A591,選手一覧!$G$7:$G$2738,"&lt;=100")</f>
        <v>0</v>
      </c>
      <c r="F591" s="14" t="n">
        <f aca="false">COUNTIFS(選手一覧!$C$7:$C$2738,A591,選手一覧!$I$7:$I$2738,"&lt;=100")</f>
        <v>0</v>
      </c>
      <c r="G591" s="13" t="n">
        <f aca="false">_xlfn.MINIFS(選手一覧!$K$7:$K$2738,選手一覧!$C$7:$C$2738,A591)</f>
        <v>316</v>
      </c>
      <c r="H591" s="16"/>
    </row>
    <row r="592" customFormat="false" ht="15" hidden="false" customHeight="false" outlineLevel="0" collapsed="false">
      <c r="A592" s="10" t="s">
        <v>1096</v>
      </c>
      <c r="B592" s="12" t="n">
        <f aca="false">COUNTIF(選手一覧!$C$7:$C$2738,A592)</f>
        <v>1</v>
      </c>
      <c r="C592" s="14" t="n">
        <f aca="false">COUNTIFS(選手一覧!$C$7:$C$2738,A592,選手一覧!$K$7:$K$2738,"&lt;=100")</f>
        <v>0</v>
      </c>
      <c r="D592" s="14" t="n">
        <f aca="false">COUNTIFS(選手一覧!$C$7:$C$2738,A592,選手一覧!$E$7:$E$2738,"&lt;=100")</f>
        <v>0</v>
      </c>
      <c r="E592" s="14" t="n">
        <f aca="false">COUNTIFS(選手一覧!$C$7:$C$2738,A592,選手一覧!$G$7:$G$2738,"&lt;=100")</f>
        <v>0</v>
      </c>
      <c r="F592" s="14" t="n">
        <f aca="false">COUNTIFS(選手一覧!$C$7:$C$2738,A592,選手一覧!$I$7:$I$2738,"&lt;=100")</f>
        <v>0</v>
      </c>
      <c r="G592" s="13" t="n">
        <f aca="false">_xlfn.MINIFS(選手一覧!$K$7:$K$2738,選手一覧!$C$7:$C$2738,A592)</f>
        <v>317</v>
      </c>
      <c r="H592" s="16"/>
    </row>
    <row r="593" customFormat="false" ht="15" hidden="false" customHeight="false" outlineLevel="0" collapsed="false">
      <c r="A593" s="10" t="s">
        <v>1098</v>
      </c>
      <c r="B593" s="12" t="n">
        <f aca="false">COUNTIF(選手一覧!$C$7:$C$2738,A593)</f>
        <v>1</v>
      </c>
      <c r="C593" s="14" t="n">
        <f aca="false">COUNTIFS(選手一覧!$C$7:$C$2738,A593,選手一覧!$K$7:$K$2738,"&lt;=100")</f>
        <v>0</v>
      </c>
      <c r="D593" s="14" t="n">
        <f aca="false">COUNTIFS(選手一覧!$C$7:$C$2738,A593,選手一覧!$E$7:$E$2738,"&lt;=100")</f>
        <v>0</v>
      </c>
      <c r="E593" s="14" t="n">
        <f aca="false">COUNTIFS(選手一覧!$C$7:$C$2738,A593,選手一覧!$G$7:$G$2738,"&lt;=100")</f>
        <v>0</v>
      </c>
      <c r="F593" s="14" t="n">
        <f aca="false">COUNTIFS(選手一覧!$C$7:$C$2738,A593,選手一覧!$I$7:$I$2738,"&lt;=100")</f>
        <v>0</v>
      </c>
      <c r="G593" s="13" t="n">
        <f aca="false">_xlfn.MINIFS(選手一覧!$K$7:$K$2738,選手一覧!$C$7:$C$2738,A593)</f>
        <v>318</v>
      </c>
      <c r="H593" s="16"/>
    </row>
    <row r="594" customFormat="false" ht="15" hidden="false" customHeight="false" outlineLevel="0" collapsed="false">
      <c r="A594" s="10" t="s">
        <v>1106</v>
      </c>
      <c r="B594" s="12" t="n">
        <f aca="false">COUNTIF(選手一覧!$C$7:$C$2738,A594)</f>
        <v>1</v>
      </c>
      <c r="C594" s="14" t="n">
        <f aca="false">COUNTIFS(選手一覧!$C$7:$C$2738,A594,選手一覧!$K$7:$K$2738,"&lt;=100")</f>
        <v>0</v>
      </c>
      <c r="D594" s="14" t="n">
        <f aca="false">COUNTIFS(選手一覧!$C$7:$C$2738,A594,選手一覧!$E$7:$E$2738,"&lt;=100")</f>
        <v>0</v>
      </c>
      <c r="E594" s="14" t="n">
        <f aca="false">COUNTIFS(選手一覧!$C$7:$C$2738,A594,選手一覧!$G$7:$G$2738,"&lt;=100")</f>
        <v>0</v>
      </c>
      <c r="F594" s="14" t="n">
        <f aca="false">COUNTIFS(選手一覧!$C$7:$C$2738,A594,選手一覧!$I$7:$I$2738,"&lt;=100")</f>
        <v>0</v>
      </c>
      <c r="G594" s="13" t="n">
        <f aca="false">_xlfn.MINIFS(選手一覧!$K$7:$K$2738,選手一覧!$C$7:$C$2738,A594)</f>
        <v>322</v>
      </c>
      <c r="H594" s="16"/>
    </row>
    <row r="595" customFormat="false" ht="15" hidden="false" customHeight="false" outlineLevel="0" collapsed="false">
      <c r="A595" s="10" t="s">
        <v>1113</v>
      </c>
      <c r="B595" s="12" t="n">
        <f aca="false">COUNTIF(選手一覧!$C$7:$C$2738,A595)</f>
        <v>1</v>
      </c>
      <c r="C595" s="14" t="n">
        <f aca="false">COUNTIFS(選手一覧!$C$7:$C$2738,A595,選手一覧!$K$7:$K$2738,"&lt;=100")</f>
        <v>0</v>
      </c>
      <c r="D595" s="14" t="n">
        <f aca="false">COUNTIFS(選手一覧!$C$7:$C$2738,A595,選手一覧!$E$7:$E$2738,"&lt;=100")</f>
        <v>0</v>
      </c>
      <c r="E595" s="14" t="n">
        <f aca="false">COUNTIFS(選手一覧!$C$7:$C$2738,A595,選手一覧!$G$7:$G$2738,"&lt;=100")</f>
        <v>0</v>
      </c>
      <c r="F595" s="14" t="n">
        <f aca="false">COUNTIFS(選手一覧!$C$7:$C$2738,A595,選手一覧!$I$7:$I$2738,"&lt;=100")</f>
        <v>0</v>
      </c>
      <c r="G595" s="13" t="n">
        <f aca="false">_xlfn.MINIFS(選手一覧!$K$7:$K$2738,選手一覧!$C$7:$C$2738,A595)</f>
        <v>325</v>
      </c>
      <c r="H595" s="16"/>
    </row>
    <row r="596" customFormat="false" ht="15" hidden="false" customHeight="false" outlineLevel="0" collapsed="false">
      <c r="A596" s="10" t="s">
        <v>1140</v>
      </c>
      <c r="B596" s="12" t="n">
        <f aca="false">COUNTIF(選手一覧!$C$7:$C$2738,A596)</f>
        <v>1</v>
      </c>
      <c r="C596" s="14" t="n">
        <f aca="false">COUNTIFS(選手一覧!$C$7:$C$2738,A596,選手一覧!$K$7:$K$2738,"&lt;=100")</f>
        <v>0</v>
      </c>
      <c r="D596" s="14" t="n">
        <f aca="false">COUNTIFS(選手一覧!$C$7:$C$2738,A596,選手一覧!$E$7:$E$2738,"&lt;=100")</f>
        <v>0</v>
      </c>
      <c r="E596" s="14" t="n">
        <f aca="false">COUNTIFS(選手一覧!$C$7:$C$2738,A596,選手一覧!$G$7:$G$2738,"&lt;=100")</f>
        <v>0</v>
      </c>
      <c r="F596" s="14" t="n">
        <f aca="false">COUNTIFS(選手一覧!$C$7:$C$2738,A596,選手一覧!$I$7:$I$2738,"&lt;=100")</f>
        <v>0</v>
      </c>
      <c r="G596" s="13" t="n">
        <f aca="false">_xlfn.MINIFS(選手一覧!$K$7:$K$2738,選手一覧!$C$7:$C$2738,A596)</f>
        <v>333</v>
      </c>
      <c r="H596" s="16"/>
    </row>
    <row r="597" customFormat="false" ht="15" hidden="false" customHeight="false" outlineLevel="0" collapsed="false">
      <c r="A597" s="10" t="s">
        <v>1177</v>
      </c>
      <c r="B597" s="12" t="n">
        <f aca="false">COUNTIF(選手一覧!$C$7:$C$2738,A597)</f>
        <v>1</v>
      </c>
      <c r="C597" s="14" t="n">
        <f aca="false">COUNTIFS(選手一覧!$C$7:$C$2738,A597,選手一覧!$K$7:$K$2738,"&lt;=100")</f>
        <v>0</v>
      </c>
      <c r="D597" s="14" t="n">
        <f aca="false">COUNTIFS(選手一覧!$C$7:$C$2738,A597,選手一覧!$E$7:$E$2738,"&lt;=100")</f>
        <v>0</v>
      </c>
      <c r="E597" s="14" t="n">
        <f aca="false">COUNTIFS(選手一覧!$C$7:$C$2738,A597,選手一覧!$G$7:$G$2738,"&lt;=100")</f>
        <v>0</v>
      </c>
      <c r="F597" s="14" t="n">
        <f aca="false">COUNTIFS(選手一覧!$C$7:$C$2738,A597,選手一覧!$I$7:$I$2738,"&lt;=100")</f>
        <v>0</v>
      </c>
      <c r="G597" s="13" t="n">
        <f aca="false">_xlfn.MINIFS(選手一覧!$K$7:$K$2738,選手一覧!$C$7:$C$2738,A597)</f>
        <v>346</v>
      </c>
      <c r="H597" s="16"/>
    </row>
    <row r="598" customFormat="false" ht="15" hidden="false" customHeight="false" outlineLevel="0" collapsed="false">
      <c r="A598" s="10" t="s">
        <v>1188</v>
      </c>
      <c r="B598" s="12" t="n">
        <f aca="false">COUNTIF(選手一覧!$C$7:$C$2738,A598)</f>
        <v>1</v>
      </c>
      <c r="C598" s="14" t="n">
        <f aca="false">COUNTIFS(選手一覧!$C$7:$C$2738,A598,選手一覧!$K$7:$K$2738,"&lt;=100")</f>
        <v>0</v>
      </c>
      <c r="D598" s="14" t="n">
        <f aca="false">COUNTIFS(選手一覧!$C$7:$C$2738,A598,選手一覧!$E$7:$E$2738,"&lt;=100")</f>
        <v>0</v>
      </c>
      <c r="E598" s="14" t="n">
        <f aca="false">COUNTIFS(選手一覧!$C$7:$C$2738,A598,選手一覧!$G$7:$G$2738,"&lt;=100")</f>
        <v>0</v>
      </c>
      <c r="F598" s="14" t="n">
        <f aca="false">COUNTIFS(選手一覧!$C$7:$C$2738,A598,選手一覧!$I$7:$I$2738,"&lt;=100")</f>
        <v>0</v>
      </c>
      <c r="G598" s="13" t="n">
        <f aca="false">_xlfn.MINIFS(選手一覧!$K$7:$K$2738,選手一覧!$C$7:$C$2738,A598)</f>
        <v>349</v>
      </c>
      <c r="H598" s="16"/>
    </row>
    <row r="599" customFormat="false" ht="15" hidden="false" customHeight="false" outlineLevel="0" collapsed="false">
      <c r="A599" s="10" t="s">
        <v>1191</v>
      </c>
      <c r="B599" s="12" t="n">
        <f aca="false">COUNTIF(選手一覧!$C$7:$C$2738,A599)</f>
        <v>1</v>
      </c>
      <c r="C599" s="14" t="n">
        <f aca="false">COUNTIFS(選手一覧!$C$7:$C$2738,A599,選手一覧!$K$7:$K$2738,"&lt;=100")</f>
        <v>0</v>
      </c>
      <c r="D599" s="14" t="n">
        <f aca="false">COUNTIFS(選手一覧!$C$7:$C$2738,A599,選手一覧!$E$7:$E$2738,"&lt;=100")</f>
        <v>0</v>
      </c>
      <c r="E599" s="14" t="n">
        <f aca="false">COUNTIFS(選手一覧!$C$7:$C$2738,A599,選手一覧!$G$7:$G$2738,"&lt;=100")</f>
        <v>0</v>
      </c>
      <c r="F599" s="14" t="n">
        <f aca="false">COUNTIFS(選手一覧!$C$7:$C$2738,A599,選手一覧!$I$7:$I$2738,"&lt;=100")</f>
        <v>0</v>
      </c>
      <c r="G599" s="13" t="n">
        <f aca="false">_xlfn.MINIFS(選手一覧!$K$7:$K$2738,選手一覧!$C$7:$C$2738,A599)</f>
        <v>350</v>
      </c>
      <c r="H599" s="16"/>
    </row>
    <row r="600" customFormat="false" ht="15" hidden="false" customHeight="false" outlineLevel="0" collapsed="false">
      <c r="A600" s="10" t="s">
        <v>1194</v>
      </c>
      <c r="B600" s="12" t="n">
        <f aca="false">COUNTIF(選手一覧!$C$7:$C$2738,A600)</f>
        <v>1</v>
      </c>
      <c r="C600" s="14" t="n">
        <f aca="false">COUNTIFS(選手一覧!$C$7:$C$2738,A600,選手一覧!$K$7:$K$2738,"&lt;=100")</f>
        <v>0</v>
      </c>
      <c r="D600" s="14" t="n">
        <f aca="false">COUNTIFS(選手一覧!$C$7:$C$2738,A600,選手一覧!$E$7:$E$2738,"&lt;=100")</f>
        <v>0</v>
      </c>
      <c r="E600" s="14" t="n">
        <f aca="false">COUNTIFS(選手一覧!$C$7:$C$2738,A600,選手一覧!$G$7:$G$2738,"&lt;=100")</f>
        <v>0</v>
      </c>
      <c r="F600" s="14" t="n">
        <f aca="false">COUNTIFS(選手一覧!$C$7:$C$2738,A600,選手一覧!$I$7:$I$2738,"&lt;=100")</f>
        <v>0</v>
      </c>
      <c r="G600" s="13" t="n">
        <f aca="false">_xlfn.MINIFS(選手一覧!$K$7:$K$2738,選手一覧!$C$7:$C$2738,A600)</f>
        <v>351</v>
      </c>
      <c r="H600" s="16"/>
    </row>
    <row r="601" customFormat="false" ht="15" hidden="false" customHeight="false" outlineLevel="0" collapsed="false">
      <c r="A601" s="10" t="s">
        <v>1208</v>
      </c>
      <c r="B601" s="12" t="n">
        <f aca="false">COUNTIF(選手一覧!$C$7:$C$2738,A601)</f>
        <v>1</v>
      </c>
      <c r="C601" s="14" t="n">
        <f aca="false">COUNTIFS(選手一覧!$C$7:$C$2738,A601,選手一覧!$K$7:$K$2738,"&lt;=100")</f>
        <v>0</v>
      </c>
      <c r="D601" s="14" t="n">
        <f aca="false">COUNTIFS(選手一覧!$C$7:$C$2738,A601,選手一覧!$E$7:$E$2738,"&lt;=100")</f>
        <v>0</v>
      </c>
      <c r="E601" s="14" t="n">
        <f aca="false">COUNTIFS(選手一覧!$C$7:$C$2738,A601,選手一覧!$G$7:$G$2738,"&lt;=100")</f>
        <v>0</v>
      </c>
      <c r="F601" s="14" t="n">
        <f aca="false">COUNTIFS(選手一覧!$C$7:$C$2738,A601,選手一覧!$I$7:$I$2738,"&lt;=100")</f>
        <v>0</v>
      </c>
      <c r="G601" s="13" t="n">
        <f aca="false">_xlfn.MINIFS(選手一覧!$K$7:$K$2738,選手一覧!$C$7:$C$2738,A601)</f>
        <v>357</v>
      </c>
      <c r="H601" s="16"/>
    </row>
    <row r="602" customFormat="false" ht="15" hidden="false" customHeight="false" outlineLevel="0" collapsed="false">
      <c r="A602" s="10" t="s">
        <v>1212</v>
      </c>
      <c r="B602" s="12" t="n">
        <f aca="false">COUNTIF(選手一覧!$C$7:$C$2738,A602)</f>
        <v>1</v>
      </c>
      <c r="C602" s="14" t="n">
        <f aca="false">COUNTIFS(選手一覧!$C$7:$C$2738,A602,選手一覧!$K$7:$K$2738,"&lt;=100")</f>
        <v>0</v>
      </c>
      <c r="D602" s="14" t="n">
        <f aca="false">COUNTIFS(選手一覧!$C$7:$C$2738,A602,選手一覧!$E$7:$E$2738,"&lt;=100")</f>
        <v>0</v>
      </c>
      <c r="E602" s="14" t="n">
        <f aca="false">COUNTIFS(選手一覧!$C$7:$C$2738,A602,選手一覧!$G$7:$G$2738,"&lt;=100")</f>
        <v>0</v>
      </c>
      <c r="F602" s="14" t="n">
        <f aca="false">COUNTIFS(選手一覧!$C$7:$C$2738,A602,選手一覧!$I$7:$I$2738,"&lt;=100")</f>
        <v>0</v>
      </c>
      <c r="G602" s="13" t="n">
        <f aca="false">_xlfn.MINIFS(選手一覧!$K$7:$K$2738,選手一覧!$C$7:$C$2738,A602)</f>
        <v>358</v>
      </c>
      <c r="H602" s="16"/>
    </row>
    <row r="603" customFormat="false" ht="15" hidden="false" customHeight="false" outlineLevel="0" collapsed="false">
      <c r="A603" s="10" t="s">
        <v>1229</v>
      </c>
      <c r="B603" s="12" t="n">
        <f aca="false">COUNTIF(選手一覧!$C$7:$C$2738,A603)</f>
        <v>1</v>
      </c>
      <c r="C603" s="14" t="n">
        <f aca="false">COUNTIFS(選手一覧!$C$7:$C$2738,A603,選手一覧!$K$7:$K$2738,"&lt;=100")</f>
        <v>0</v>
      </c>
      <c r="D603" s="14" t="n">
        <f aca="false">COUNTIFS(選手一覧!$C$7:$C$2738,A603,選手一覧!$E$7:$E$2738,"&lt;=100")</f>
        <v>0</v>
      </c>
      <c r="E603" s="14" t="n">
        <f aca="false">COUNTIFS(選手一覧!$C$7:$C$2738,A603,選手一覧!$G$7:$G$2738,"&lt;=100")</f>
        <v>0</v>
      </c>
      <c r="F603" s="14" t="n">
        <f aca="false">COUNTIFS(選手一覧!$C$7:$C$2738,A603,選手一覧!$I$7:$I$2738,"&lt;=100")</f>
        <v>0</v>
      </c>
      <c r="G603" s="13" t="n">
        <f aca="false">_xlfn.MINIFS(選手一覧!$K$7:$K$2738,選手一覧!$C$7:$C$2738,A603)</f>
        <v>366</v>
      </c>
      <c r="H603" s="16"/>
    </row>
    <row r="604" customFormat="false" ht="15" hidden="false" customHeight="false" outlineLevel="0" collapsed="false">
      <c r="A604" s="10" t="s">
        <v>1243</v>
      </c>
      <c r="B604" s="12" t="n">
        <f aca="false">COUNTIF(選手一覧!$C$7:$C$2738,A604)</f>
        <v>1</v>
      </c>
      <c r="C604" s="14" t="n">
        <f aca="false">COUNTIFS(選手一覧!$C$7:$C$2738,A604,選手一覧!$K$7:$K$2738,"&lt;=100")</f>
        <v>0</v>
      </c>
      <c r="D604" s="14" t="n">
        <f aca="false">COUNTIFS(選手一覧!$C$7:$C$2738,A604,選手一覧!$E$7:$E$2738,"&lt;=100")</f>
        <v>0</v>
      </c>
      <c r="E604" s="14" t="n">
        <f aca="false">COUNTIFS(選手一覧!$C$7:$C$2738,A604,選手一覧!$G$7:$G$2738,"&lt;=100")</f>
        <v>0</v>
      </c>
      <c r="F604" s="14" t="n">
        <f aca="false">COUNTIFS(選手一覧!$C$7:$C$2738,A604,選手一覧!$I$7:$I$2738,"&lt;=100")</f>
        <v>0</v>
      </c>
      <c r="G604" s="13" t="n">
        <f aca="false">_xlfn.MINIFS(選手一覧!$K$7:$K$2738,選手一覧!$C$7:$C$2738,A604)</f>
        <v>374</v>
      </c>
      <c r="H604" s="16"/>
    </row>
    <row r="605" customFormat="false" ht="15" hidden="false" customHeight="false" outlineLevel="0" collapsed="false">
      <c r="A605" s="10" t="s">
        <v>1255</v>
      </c>
      <c r="B605" s="12" t="n">
        <f aca="false">COUNTIF(選手一覧!$C$7:$C$2738,A605)</f>
        <v>1</v>
      </c>
      <c r="C605" s="14" t="n">
        <f aca="false">COUNTIFS(選手一覧!$C$7:$C$2738,A605,選手一覧!$K$7:$K$2738,"&lt;=100")</f>
        <v>0</v>
      </c>
      <c r="D605" s="14" t="n">
        <f aca="false">COUNTIFS(選手一覧!$C$7:$C$2738,A605,選手一覧!$E$7:$E$2738,"&lt;=100")</f>
        <v>0</v>
      </c>
      <c r="E605" s="14" t="n">
        <f aca="false">COUNTIFS(選手一覧!$C$7:$C$2738,A605,選手一覧!$G$7:$G$2738,"&lt;=100")</f>
        <v>0</v>
      </c>
      <c r="F605" s="14" t="n">
        <f aca="false">COUNTIFS(選手一覧!$C$7:$C$2738,A605,選手一覧!$I$7:$I$2738,"&lt;=100")</f>
        <v>0</v>
      </c>
      <c r="G605" s="13" t="n">
        <f aca="false">_xlfn.MINIFS(選手一覧!$K$7:$K$2738,選手一覧!$C$7:$C$2738,A605)</f>
        <v>379</v>
      </c>
      <c r="H605" s="16"/>
    </row>
    <row r="606" customFormat="false" ht="15" hidden="false" customHeight="false" outlineLevel="0" collapsed="false">
      <c r="A606" s="10" t="s">
        <v>1257</v>
      </c>
      <c r="B606" s="12" t="n">
        <f aca="false">COUNTIF(選手一覧!$C$7:$C$2738,A606)</f>
        <v>1</v>
      </c>
      <c r="C606" s="14" t="n">
        <f aca="false">COUNTIFS(選手一覧!$C$7:$C$2738,A606,選手一覧!$K$7:$K$2738,"&lt;=100")</f>
        <v>0</v>
      </c>
      <c r="D606" s="14" t="n">
        <f aca="false">COUNTIFS(選手一覧!$C$7:$C$2738,A606,選手一覧!$E$7:$E$2738,"&lt;=100")</f>
        <v>0</v>
      </c>
      <c r="E606" s="14" t="n">
        <f aca="false">COUNTIFS(選手一覧!$C$7:$C$2738,A606,選手一覧!$G$7:$G$2738,"&lt;=100")</f>
        <v>0</v>
      </c>
      <c r="F606" s="14" t="n">
        <f aca="false">COUNTIFS(選手一覧!$C$7:$C$2738,A606,選手一覧!$I$7:$I$2738,"&lt;=100")</f>
        <v>0</v>
      </c>
      <c r="G606" s="13" t="n">
        <f aca="false">_xlfn.MINIFS(選手一覧!$K$7:$K$2738,選手一覧!$C$7:$C$2738,A606)</f>
        <v>380</v>
      </c>
      <c r="H606" s="16"/>
    </row>
    <row r="607" customFormat="false" ht="15" hidden="false" customHeight="false" outlineLevel="0" collapsed="false">
      <c r="A607" s="10" t="s">
        <v>1263</v>
      </c>
      <c r="B607" s="12" t="n">
        <f aca="false">COUNTIF(選手一覧!$C$7:$C$2738,A607)</f>
        <v>1</v>
      </c>
      <c r="C607" s="14" t="n">
        <f aca="false">COUNTIFS(選手一覧!$C$7:$C$2738,A607,選手一覧!$K$7:$K$2738,"&lt;=100")</f>
        <v>0</v>
      </c>
      <c r="D607" s="14" t="n">
        <f aca="false">COUNTIFS(選手一覧!$C$7:$C$2738,A607,選手一覧!$E$7:$E$2738,"&lt;=100")</f>
        <v>0</v>
      </c>
      <c r="E607" s="14" t="n">
        <f aca="false">COUNTIFS(選手一覧!$C$7:$C$2738,A607,選手一覧!$G$7:$G$2738,"&lt;=100")</f>
        <v>0</v>
      </c>
      <c r="F607" s="14" t="n">
        <f aca="false">COUNTIFS(選手一覧!$C$7:$C$2738,A607,選手一覧!$I$7:$I$2738,"&lt;=100")</f>
        <v>0</v>
      </c>
      <c r="G607" s="13" t="n">
        <f aca="false">_xlfn.MINIFS(選手一覧!$K$7:$K$2738,選手一覧!$C$7:$C$2738,A607)</f>
        <v>382</v>
      </c>
      <c r="H607" s="16"/>
    </row>
    <row r="608" customFormat="false" ht="15" hidden="false" customHeight="false" outlineLevel="0" collapsed="false">
      <c r="A608" s="10" t="s">
        <v>1265</v>
      </c>
      <c r="B608" s="12" t="n">
        <f aca="false">COUNTIF(選手一覧!$C$7:$C$2738,A608)</f>
        <v>1</v>
      </c>
      <c r="C608" s="14" t="n">
        <f aca="false">COUNTIFS(選手一覧!$C$7:$C$2738,A608,選手一覧!$K$7:$K$2738,"&lt;=100")</f>
        <v>0</v>
      </c>
      <c r="D608" s="14" t="n">
        <f aca="false">COUNTIFS(選手一覧!$C$7:$C$2738,A608,選手一覧!$E$7:$E$2738,"&lt;=100")</f>
        <v>0</v>
      </c>
      <c r="E608" s="14" t="n">
        <f aca="false">COUNTIFS(選手一覧!$C$7:$C$2738,A608,選手一覧!$G$7:$G$2738,"&lt;=100")</f>
        <v>0</v>
      </c>
      <c r="F608" s="14" t="n">
        <f aca="false">COUNTIFS(選手一覧!$C$7:$C$2738,A608,選手一覧!$I$7:$I$2738,"&lt;=100")</f>
        <v>0</v>
      </c>
      <c r="G608" s="13" t="n">
        <f aca="false">_xlfn.MINIFS(選手一覧!$K$7:$K$2738,選手一覧!$C$7:$C$2738,A608)</f>
        <v>383</v>
      </c>
      <c r="H608" s="16"/>
    </row>
    <row r="609" customFormat="false" ht="15" hidden="false" customHeight="false" outlineLevel="0" collapsed="false">
      <c r="A609" s="10" t="s">
        <v>1268</v>
      </c>
      <c r="B609" s="12" t="n">
        <f aca="false">COUNTIF(選手一覧!$C$7:$C$2738,A609)</f>
        <v>1</v>
      </c>
      <c r="C609" s="14" t="n">
        <f aca="false">COUNTIFS(選手一覧!$C$7:$C$2738,A609,選手一覧!$K$7:$K$2738,"&lt;=100")</f>
        <v>0</v>
      </c>
      <c r="D609" s="14" t="n">
        <f aca="false">COUNTIFS(選手一覧!$C$7:$C$2738,A609,選手一覧!$E$7:$E$2738,"&lt;=100")</f>
        <v>0</v>
      </c>
      <c r="E609" s="14" t="n">
        <f aca="false">COUNTIFS(選手一覧!$C$7:$C$2738,A609,選手一覧!$G$7:$G$2738,"&lt;=100")</f>
        <v>0</v>
      </c>
      <c r="F609" s="14" t="n">
        <f aca="false">COUNTIFS(選手一覧!$C$7:$C$2738,A609,選手一覧!$I$7:$I$2738,"&lt;=100")</f>
        <v>0</v>
      </c>
      <c r="G609" s="13" t="n">
        <f aca="false">_xlfn.MINIFS(選手一覧!$K$7:$K$2738,選手一覧!$C$7:$C$2738,A609)</f>
        <v>383</v>
      </c>
      <c r="H609" s="16"/>
    </row>
    <row r="610" customFormat="false" ht="15" hidden="false" customHeight="false" outlineLevel="0" collapsed="false">
      <c r="A610" s="10" t="s">
        <v>1276</v>
      </c>
      <c r="B610" s="12" t="n">
        <f aca="false">COUNTIF(選手一覧!$C$7:$C$2738,A610)</f>
        <v>1</v>
      </c>
      <c r="C610" s="14" t="n">
        <f aca="false">COUNTIFS(選手一覧!$C$7:$C$2738,A610,選手一覧!$K$7:$K$2738,"&lt;=100")</f>
        <v>0</v>
      </c>
      <c r="D610" s="14" t="n">
        <f aca="false">COUNTIFS(選手一覧!$C$7:$C$2738,A610,選手一覧!$E$7:$E$2738,"&lt;=100")</f>
        <v>0</v>
      </c>
      <c r="E610" s="14" t="n">
        <f aca="false">COUNTIFS(選手一覧!$C$7:$C$2738,A610,選手一覧!$G$7:$G$2738,"&lt;=100")</f>
        <v>0</v>
      </c>
      <c r="F610" s="14" t="n">
        <f aca="false">COUNTIFS(選手一覧!$C$7:$C$2738,A610,選手一覧!$I$7:$I$2738,"&lt;=100")</f>
        <v>0</v>
      </c>
      <c r="G610" s="13" t="n">
        <f aca="false">_xlfn.MINIFS(選手一覧!$K$7:$K$2738,選手一覧!$C$7:$C$2738,A610)</f>
        <v>386</v>
      </c>
      <c r="H610" s="16"/>
    </row>
    <row r="611" customFormat="false" ht="15" hidden="false" customHeight="false" outlineLevel="0" collapsed="false">
      <c r="A611" s="10" t="s">
        <v>1288</v>
      </c>
      <c r="B611" s="12" t="n">
        <f aca="false">COUNTIF(選手一覧!$C$7:$C$2738,A611)</f>
        <v>1</v>
      </c>
      <c r="C611" s="14" t="n">
        <f aca="false">COUNTIFS(選手一覧!$C$7:$C$2738,A611,選手一覧!$K$7:$K$2738,"&lt;=100")</f>
        <v>0</v>
      </c>
      <c r="D611" s="14" t="n">
        <f aca="false">COUNTIFS(選手一覧!$C$7:$C$2738,A611,選手一覧!$E$7:$E$2738,"&lt;=100")</f>
        <v>0</v>
      </c>
      <c r="E611" s="14" t="n">
        <f aca="false">COUNTIFS(選手一覧!$C$7:$C$2738,A611,選手一覧!$G$7:$G$2738,"&lt;=100")</f>
        <v>0</v>
      </c>
      <c r="F611" s="14" t="n">
        <f aca="false">COUNTIFS(選手一覧!$C$7:$C$2738,A611,選手一覧!$I$7:$I$2738,"&lt;=100")</f>
        <v>0</v>
      </c>
      <c r="G611" s="13" t="n">
        <f aca="false">_xlfn.MINIFS(選手一覧!$K$7:$K$2738,選手一覧!$C$7:$C$2738,A611)</f>
        <v>390</v>
      </c>
      <c r="H611" s="16"/>
    </row>
    <row r="612" customFormat="false" ht="15" hidden="false" customHeight="false" outlineLevel="0" collapsed="false">
      <c r="A612" s="10" t="s">
        <v>1295</v>
      </c>
      <c r="B612" s="12" t="n">
        <f aca="false">COUNTIF(選手一覧!$C$7:$C$2738,A612)</f>
        <v>1</v>
      </c>
      <c r="C612" s="14" t="n">
        <f aca="false">COUNTIFS(選手一覧!$C$7:$C$2738,A612,選手一覧!$K$7:$K$2738,"&lt;=100")</f>
        <v>0</v>
      </c>
      <c r="D612" s="14" t="n">
        <f aca="false">COUNTIFS(選手一覧!$C$7:$C$2738,A612,選手一覧!$E$7:$E$2738,"&lt;=100")</f>
        <v>0</v>
      </c>
      <c r="E612" s="14" t="n">
        <f aca="false">COUNTIFS(選手一覧!$C$7:$C$2738,A612,選手一覧!$G$7:$G$2738,"&lt;=100")</f>
        <v>0</v>
      </c>
      <c r="F612" s="14" t="n">
        <f aca="false">COUNTIFS(選手一覧!$C$7:$C$2738,A612,選手一覧!$I$7:$I$2738,"&lt;=100")</f>
        <v>0</v>
      </c>
      <c r="G612" s="13" t="n">
        <f aca="false">_xlfn.MINIFS(選手一覧!$K$7:$K$2738,選手一覧!$C$7:$C$2738,A612)</f>
        <v>392</v>
      </c>
      <c r="H612" s="16"/>
    </row>
    <row r="613" customFormat="false" ht="15" hidden="false" customHeight="false" outlineLevel="0" collapsed="false">
      <c r="A613" s="10" t="s">
        <v>1299</v>
      </c>
      <c r="B613" s="12" t="n">
        <f aca="false">COUNTIF(選手一覧!$C$7:$C$2738,A613)</f>
        <v>1</v>
      </c>
      <c r="C613" s="14" t="n">
        <f aca="false">COUNTIFS(選手一覧!$C$7:$C$2738,A613,選手一覧!$K$7:$K$2738,"&lt;=100")</f>
        <v>0</v>
      </c>
      <c r="D613" s="14" t="n">
        <f aca="false">COUNTIFS(選手一覧!$C$7:$C$2738,A613,選手一覧!$E$7:$E$2738,"&lt;=100")</f>
        <v>0</v>
      </c>
      <c r="E613" s="14" t="n">
        <f aca="false">COUNTIFS(選手一覧!$C$7:$C$2738,A613,選手一覧!$G$7:$G$2738,"&lt;=100")</f>
        <v>0</v>
      </c>
      <c r="F613" s="14" t="n">
        <f aca="false">COUNTIFS(選手一覧!$C$7:$C$2738,A613,選手一覧!$I$7:$I$2738,"&lt;=100")</f>
        <v>0</v>
      </c>
      <c r="G613" s="13" t="n">
        <f aca="false">_xlfn.MINIFS(選手一覧!$K$7:$K$2738,選手一覧!$C$7:$C$2738,A613)</f>
        <v>393</v>
      </c>
      <c r="H613" s="16"/>
    </row>
    <row r="614" customFormat="false" ht="15" hidden="false" customHeight="false" outlineLevel="0" collapsed="false">
      <c r="A614" s="10" t="s">
        <v>1301</v>
      </c>
      <c r="B614" s="12" t="n">
        <f aca="false">COUNTIF(選手一覧!$C$7:$C$2738,A614)</f>
        <v>1</v>
      </c>
      <c r="C614" s="14" t="n">
        <f aca="false">COUNTIFS(選手一覧!$C$7:$C$2738,A614,選手一覧!$K$7:$K$2738,"&lt;=100")</f>
        <v>0</v>
      </c>
      <c r="D614" s="14" t="n">
        <f aca="false">COUNTIFS(選手一覧!$C$7:$C$2738,A614,選手一覧!$E$7:$E$2738,"&lt;=100")</f>
        <v>0</v>
      </c>
      <c r="E614" s="14" t="n">
        <f aca="false">COUNTIFS(選手一覧!$C$7:$C$2738,A614,選手一覧!$G$7:$G$2738,"&lt;=100")</f>
        <v>0</v>
      </c>
      <c r="F614" s="14" t="n">
        <f aca="false">COUNTIFS(選手一覧!$C$7:$C$2738,A614,選手一覧!$I$7:$I$2738,"&lt;=100")</f>
        <v>0</v>
      </c>
      <c r="G614" s="13" t="n">
        <f aca="false">_xlfn.MINIFS(選手一覧!$K$7:$K$2738,選手一覧!$C$7:$C$2738,A614)</f>
        <v>393</v>
      </c>
      <c r="H614" s="16"/>
    </row>
    <row r="615" customFormat="false" ht="15" hidden="false" customHeight="false" outlineLevel="0" collapsed="false">
      <c r="A615" s="10" t="s">
        <v>1304</v>
      </c>
      <c r="B615" s="12" t="n">
        <f aca="false">COUNTIF(選手一覧!$C$7:$C$2738,A615)</f>
        <v>1</v>
      </c>
      <c r="C615" s="14" t="n">
        <f aca="false">COUNTIFS(選手一覧!$C$7:$C$2738,A615,選手一覧!$K$7:$K$2738,"&lt;=100")</f>
        <v>0</v>
      </c>
      <c r="D615" s="14" t="n">
        <f aca="false">COUNTIFS(選手一覧!$C$7:$C$2738,A615,選手一覧!$E$7:$E$2738,"&lt;=100")</f>
        <v>0</v>
      </c>
      <c r="E615" s="14" t="n">
        <f aca="false">COUNTIFS(選手一覧!$C$7:$C$2738,A615,選手一覧!$G$7:$G$2738,"&lt;=100")</f>
        <v>0</v>
      </c>
      <c r="F615" s="14" t="n">
        <f aca="false">COUNTIFS(選手一覧!$C$7:$C$2738,A615,選手一覧!$I$7:$I$2738,"&lt;=100")</f>
        <v>0</v>
      </c>
      <c r="G615" s="13" t="n">
        <f aca="false">_xlfn.MINIFS(選手一覧!$K$7:$K$2738,選手一覧!$C$7:$C$2738,A615)</f>
        <v>394</v>
      </c>
      <c r="H615" s="16"/>
    </row>
    <row r="616" customFormat="false" ht="15" hidden="false" customHeight="false" outlineLevel="0" collapsed="false">
      <c r="A616" s="10" t="s">
        <v>1320</v>
      </c>
      <c r="B616" s="12" t="n">
        <f aca="false">COUNTIF(選手一覧!$C$7:$C$2738,A616)</f>
        <v>1</v>
      </c>
      <c r="C616" s="14" t="n">
        <f aca="false">COUNTIFS(選手一覧!$C$7:$C$2738,A616,選手一覧!$K$7:$K$2738,"&lt;=100")</f>
        <v>0</v>
      </c>
      <c r="D616" s="14" t="n">
        <f aca="false">COUNTIFS(選手一覧!$C$7:$C$2738,A616,選手一覧!$E$7:$E$2738,"&lt;=100")</f>
        <v>0</v>
      </c>
      <c r="E616" s="14" t="n">
        <f aca="false">COUNTIFS(選手一覧!$C$7:$C$2738,A616,選手一覧!$G$7:$G$2738,"&lt;=100")</f>
        <v>0</v>
      </c>
      <c r="F616" s="14" t="n">
        <f aca="false">COUNTIFS(選手一覧!$C$7:$C$2738,A616,選手一覧!$I$7:$I$2738,"&lt;=100")</f>
        <v>0</v>
      </c>
      <c r="G616" s="13" t="n">
        <f aca="false">_xlfn.MINIFS(選手一覧!$K$7:$K$2738,選手一覧!$C$7:$C$2738,A616)</f>
        <v>401</v>
      </c>
      <c r="H616" s="16"/>
    </row>
    <row r="617" customFormat="false" ht="15" hidden="false" customHeight="false" outlineLevel="0" collapsed="false">
      <c r="A617" s="10" t="s">
        <v>1326</v>
      </c>
      <c r="B617" s="12" t="n">
        <f aca="false">COUNTIF(選手一覧!$C$7:$C$2738,A617)</f>
        <v>1</v>
      </c>
      <c r="C617" s="14" t="n">
        <f aca="false">COUNTIFS(選手一覧!$C$7:$C$2738,A617,選手一覧!$K$7:$K$2738,"&lt;=100")</f>
        <v>0</v>
      </c>
      <c r="D617" s="14" t="n">
        <f aca="false">COUNTIFS(選手一覧!$C$7:$C$2738,A617,選手一覧!$E$7:$E$2738,"&lt;=100")</f>
        <v>0</v>
      </c>
      <c r="E617" s="14" t="n">
        <f aca="false">COUNTIFS(選手一覧!$C$7:$C$2738,A617,選手一覧!$G$7:$G$2738,"&lt;=100")</f>
        <v>0</v>
      </c>
      <c r="F617" s="14" t="n">
        <f aca="false">COUNTIFS(選手一覧!$C$7:$C$2738,A617,選手一覧!$I$7:$I$2738,"&lt;=100")</f>
        <v>0</v>
      </c>
      <c r="G617" s="13" t="n">
        <f aca="false">_xlfn.MINIFS(選手一覧!$K$7:$K$2738,選手一覧!$C$7:$C$2738,A617)</f>
        <v>402</v>
      </c>
      <c r="H617" s="16"/>
    </row>
    <row r="618" customFormat="false" ht="15" hidden="false" customHeight="false" outlineLevel="0" collapsed="false">
      <c r="A618" s="10" t="s">
        <v>1329</v>
      </c>
      <c r="B618" s="12" t="n">
        <f aca="false">COUNTIF(選手一覧!$C$7:$C$2738,A618)</f>
        <v>1</v>
      </c>
      <c r="C618" s="14" t="n">
        <f aca="false">COUNTIFS(選手一覧!$C$7:$C$2738,A618,選手一覧!$K$7:$K$2738,"&lt;=100")</f>
        <v>0</v>
      </c>
      <c r="D618" s="14" t="n">
        <f aca="false">COUNTIFS(選手一覧!$C$7:$C$2738,A618,選手一覧!$E$7:$E$2738,"&lt;=100")</f>
        <v>0</v>
      </c>
      <c r="E618" s="14" t="n">
        <f aca="false">COUNTIFS(選手一覧!$C$7:$C$2738,A618,選手一覧!$G$7:$G$2738,"&lt;=100")</f>
        <v>0</v>
      </c>
      <c r="F618" s="14" t="n">
        <f aca="false">COUNTIFS(選手一覧!$C$7:$C$2738,A618,選手一覧!$I$7:$I$2738,"&lt;=100")</f>
        <v>0</v>
      </c>
      <c r="G618" s="13" t="n">
        <f aca="false">_xlfn.MINIFS(選手一覧!$K$7:$K$2738,選手一覧!$C$7:$C$2738,A618)</f>
        <v>403</v>
      </c>
      <c r="H618" s="16"/>
    </row>
    <row r="619" customFormat="false" ht="15" hidden="false" customHeight="false" outlineLevel="0" collapsed="false">
      <c r="A619" s="10" t="s">
        <v>1331</v>
      </c>
      <c r="B619" s="12" t="n">
        <f aca="false">COUNTIF(選手一覧!$C$7:$C$2738,A619)</f>
        <v>1</v>
      </c>
      <c r="C619" s="14" t="n">
        <f aca="false">COUNTIFS(選手一覧!$C$7:$C$2738,A619,選手一覧!$K$7:$K$2738,"&lt;=100")</f>
        <v>0</v>
      </c>
      <c r="D619" s="14" t="n">
        <f aca="false">COUNTIFS(選手一覧!$C$7:$C$2738,A619,選手一覧!$E$7:$E$2738,"&lt;=100")</f>
        <v>0</v>
      </c>
      <c r="E619" s="14" t="n">
        <f aca="false">COUNTIFS(選手一覧!$C$7:$C$2738,A619,選手一覧!$G$7:$G$2738,"&lt;=100")</f>
        <v>0</v>
      </c>
      <c r="F619" s="14" t="n">
        <f aca="false">COUNTIFS(選手一覧!$C$7:$C$2738,A619,選手一覧!$I$7:$I$2738,"&lt;=100")</f>
        <v>0</v>
      </c>
      <c r="G619" s="13" t="n">
        <f aca="false">_xlfn.MINIFS(選手一覧!$K$7:$K$2738,選手一覧!$C$7:$C$2738,A619)</f>
        <v>404</v>
      </c>
      <c r="H619" s="16"/>
    </row>
    <row r="620" customFormat="false" ht="15" hidden="false" customHeight="false" outlineLevel="0" collapsed="false">
      <c r="A620" s="10" t="s">
        <v>1341</v>
      </c>
      <c r="B620" s="12" t="n">
        <f aca="false">COUNTIF(選手一覧!$C$7:$C$2738,A620)</f>
        <v>1</v>
      </c>
      <c r="C620" s="14" t="n">
        <f aca="false">COUNTIFS(選手一覧!$C$7:$C$2738,A620,選手一覧!$K$7:$K$2738,"&lt;=100")</f>
        <v>0</v>
      </c>
      <c r="D620" s="14" t="n">
        <f aca="false">COUNTIFS(選手一覧!$C$7:$C$2738,A620,選手一覧!$E$7:$E$2738,"&lt;=100")</f>
        <v>0</v>
      </c>
      <c r="E620" s="14" t="n">
        <f aca="false">COUNTIFS(選手一覧!$C$7:$C$2738,A620,選手一覧!$G$7:$G$2738,"&lt;=100")</f>
        <v>0</v>
      </c>
      <c r="F620" s="14" t="n">
        <f aca="false">COUNTIFS(選手一覧!$C$7:$C$2738,A620,選手一覧!$I$7:$I$2738,"&lt;=100")</f>
        <v>0</v>
      </c>
      <c r="G620" s="13" t="n">
        <f aca="false">_xlfn.MINIFS(選手一覧!$K$7:$K$2738,選手一覧!$C$7:$C$2738,A620)</f>
        <v>407</v>
      </c>
      <c r="H620" s="16"/>
    </row>
    <row r="621" customFormat="false" ht="15" hidden="false" customHeight="false" outlineLevel="0" collapsed="false">
      <c r="A621" s="10" t="s">
        <v>1344</v>
      </c>
      <c r="B621" s="12" t="n">
        <f aca="false">COUNTIF(選手一覧!$C$7:$C$2738,A621)</f>
        <v>1</v>
      </c>
      <c r="C621" s="14" t="n">
        <f aca="false">COUNTIFS(選手一覧!$C$7:$C$2738,A621,選手一覧!$K$7:$K$2738,"&lt;=100")</f>
        <v>0</v>
      </c>
      <c r="D621" s="14" t="n">
        <f aca="false">COUNTIFS(選手一覧!$C$7:$C$2738,A621,選手一覧!$E$7:$E$2738,"&lt;=100")</f>
        <v>0</v>
      </c>
      <c r="E621" s="14" t="n">
        <f aca="false">COUNTIFS(選手一覧!$C$7:$C$2738,A621,選手一覧!$G$7:$G$2738,"&lt;=100")</f>
        <v>0</v>
      </c>
      <c r="F621" s="14" t="n">
        <f aca="false">COUNTIFS(選手一覧!$C$7:$C$2738,A621,選手一覧!$I$7:$I$2738,"&lt;=100")</f>
        <v>0</v>
      </c>
      <c r="G621" s="13" t="n">
        <f aca="false">_xlfn.MINIFS(選手一覧!$K$7:$K$2738,選手一覧!$C$7:$C$2738,A621)</f>
        <v>408</v>
      </c>
      <c r="H621" s="16"/>
    </row>
    <row r="622" customFormat="false" ht="15" hidden="false" customHeight="false" outlineLevel="0" collapsed="false">
      <c r="A622" s="10" t="s">
        <v>1353</v>
      </c>
      <c r="B622" s="12" t="n">
        <f aca="false">COUNTIF(選手一覧!$C$7:$C$2738,A622)</f>
        <v>1</v>
      </c>
      <c r="C622" s="14" t="n">
        <f aca="false">COUNTIFS(選手一覧!$C$7:$C$2738,A622,選手一覧!$K$7:$K$2738,"&lt;=100")</f>
        <v>0</v>
      </c>
      <c r="D622" s="14" t="n">
        <f aca="false">COUNTIFS(選手一覧!$C$7:$C$2738,A622,選手一覧!$E$7:$E$2738,"&lt;=100")</f>
        <v>0</v>
      </c>
      <c r="E622" s="14" t="n">
        <f aca="false">COUNTIFS(選手一覧!$C$7:$C$2738,A622,選手一覧!$G$7:$G$2738,"&lt;=100")</f>
        <v>0</v>
      </c>
      <c r="F622" s="14" t="n">
        <f aca="false">COUNTIFS(選手一覧!$C$7:$C$2738,A622,選手一覧!$I$7:$I$2738,"&lt;=100")</f>
        <v>0</v>
      </c>
      <c r="G622" s="13" t="n">
        <f aca="false">_xlfn.MINIFS(選手一覧!$K$7:$K$2738,選手一覧!$C$7:$C$2738,A622)</f>
        <v>411</v>
      </c>
      <c r="H622" s="16"/>
    </row>
    <row r="623" customFormat="false" ht="15" hidden="false" customHeight="false" outlineLevel="0" collapsed="false">
      <c r="A623" s="10" t="s">
        <v>1362</v>
      </c>
      <c r="B623" s="12" t="n">
        <f aca="false">COUNTIF(選手一覧!$C$7:$C$2738,A623)</f>
        <v>1</v>
      </c>
      <c r="C623" s="14" t="n">
        <f aca="false">COUNTIFS(選手一覧!$C$7:$C$2738,A623,選手一覧!$K$7:$K$2738,"&lt;=100")</f>
        <v>0</v>
      </c>
      <c r="D623" s="14" t="n">
        <f aca="false">COUNTIFS(選手一覧!$C$7:$C$2738,A623,選手一覧!$E$7:$E$2738,"&lt;=100")</f>
        <v>0</v>
      </c>
      <c r="E623" s="14" t="n">
        <f aca="false">COUNTIFS(選手一覧!$C$7:$C$2738,A623,選手一覧!$G$7:$G$2738,"&lt;=100")</f>
        <v>0</v>
      </c>
      <c r="F623" s="14" t="n">
        <f aca="false">COUNTIFS(選手一覧!$C$7:$C$2738,A623,選手一覧!$I$7:$I$2738,"&lt;=100")</f>
        <v>0</v>
      </c>
      <c r="G623" s="13" t="n">
        <f aca="false">_xlfn.MINIFS(選手一覧!$K$7:$K$2738,選手一覧!$C$7:$C$2738,A623)</f>
        <v>415</v>
      </c>
      <c r="H623" s="16"/>
    </row>
    <row r="624" customFormat="false" ht="15" hidden="false" customHeight="false" outlineLevel="0" collapsed="false">
      <c r="A624" s="10" t="s">
        <v>1364</v>
      </c>
      <c r="B624" s="12" t="n">
        <f aca="false">COUNTIF(選手一覧!$C$7:$C$2738,A624)</f>
        <v>1</v>
      </c>
      <c r="C624" s="14" t="n">
        <f aca="false">COUNTIFS(選手一覧!$C$7:$C$2738,A624,選手一覧!$K$7:$K$2738,"&lt;=100")</f>
        <v>0</v>
      </c>
      <c r="D624" s="14" t="n">
        <f aca="false">COUNTIFS(選手一覧!$C$7:$C$2738,A624,選手一覧!$E$7:$E$2738,"&lt;=100")</f>
        <v>0</v>
      </c>
      <c r="E624" s="14" t="n">
        <f aca="false">COUNTIFS(選手一覧!$C$7:$C$2738,A624,選手一覧!$G$7:$G$2738,"&lt;=100")</f>
        <v>0</v>
      </c>
      <c r="F624" s="14" t="n">
        <f aca="false">COUNTIFS(選手一覧!$C$7:$C$2738,A624,選手一覧!$I$7:$I$2738,"&lt;=100")</f>
        <v>0</v>
      </c>
      <c r="G624" s="13" t="n">
        <f aca="false">_xlfn.MINIFS(選手一覧!$K$7:$K$2738,選手一覧!$C$7:$C$2738,A624)</f>
        <v>416</v>
      </c>
      <c r="H624" s="16"/>
    </row>
    <row r="625" customFormat="false" ht="15" hidden="false" customHeight="false" outlineLevel="0" collapsed="false">
      <c r="A625" s="10" t="s">
        <v>1370</v>
      </c>
      <c r="B625" s="12" t="n">
        <f aca="false">COUNTIF(選手一覧!$C$7:$C$2738,A625)</f>
        <v>1</v>
      </c>
      <c r="C625" s="14" t="n">
        <f aca="false">COUNTIFS(選手一覧!$C$7:$C$2738,A625,選手一覧!$K$7:$K$2738,"&lt;=100")</f>
        <v>0</v>
      </c>
      <c r="D625" s="14" t="n">
        <f aca="false">COUNTIFS(選手一覧!$C$7:$C$2738,A625,選手一覧!$E$7:$E$2738,"&lt;=100")</f>
        <v>0</v>
      </c>
      <c r="E625" s="14" t="n">
        <f aca="false">COUNTIFS(選手一覧!$C$7:$C$2738,A625,選手一覧!$G$7:$G$2738,"&lt;=100")</f>
        <v>0</v>
      </c>
      <c r="F625" s="14" t="n">
        <f aca="false">COUNTIFS(選手一覧!$C$7:$C$2738,A625,選手一覧!$I$7:$I$2738,"&lt;=100")</f>
        <v>0</v>
      </c>
      <c r="G625" s="13" t="n">
        <f aca="false">_xlfn.MINIFS(選手一覧!$K$7:$K$2738,選手一覧!$C$7:$C$2738,A625)</f>
        <v>417</v>
      </c>
      <c r="H625" s="16"/>
    </row>
    <row r="626" customFormat="false" ht="15" hidden="false" customHeight="false" outlineLevel="0" collapsed="false">
      <c r="A626" s="10" t="s">
        <v>1398</v>
      </c>
      <c r="B626" s="12" t="n">
        <f aca="false">COUNTIF(選手一覧!$C$7:$C$2738,A626)</f>
        <v>1</v>
      </c>
      <c r="C626" s="14" t="n">
        <f aca="false">COUNTIFS(選手一覧!$C$7:$C$2738,A626,選手一覧!$K$7:$K$2738,"&lt;=100")</f>
        <v>0</v>
      </c>
      <c r="D626" s="14" t="n">
        <f aca="false">COUNTIFS(選手一覧!$C$7:$C$2738,A626,選手一覧!$E$7:$E$2738,"&lt;=100")</f>
        <v>0</v>
      </c>
      <c r="E626" s="14" t="n">
        <f aca="false">COUNTIFS(選手一覧!$C$7:$C$2738,A626,選手一覧!$G$7:$G$2738,"&lt;=100")</f>
        <v>0</v>
      </c>
      <c r="F626" s="14" t="n">
        <f aca="false">COUNTIFS(選手一覧!$C$7:$C$2738,A626,選手一覧!$I$7:$I$2738,"&lt;=100")</f>
        <v>0</v>
      </c>
      <c r="G626" s="13" t="n">
        <f aca="false">_xlfn.MINIFS(選手一覧!$K$7:$K$2738,選手一覧!$C$7:$C$2738,A626)</f>
        <v>426</v>
      </c>
      <c r="H626" s="16"/>
    </row>
    <row r="627" customFormat="false" ht="15" hidden="false" customHeight="false" outlineLevel="0" collapsed="false">
      <c r="A627" s="10" t="s">
        <v>1405</v>
      </c>
      <c r="B627" s="12" t="n">
        <f aca="false">COUNTIF(選手一覧!$C$7:$C$2738,A627)</f>
        <v>1</v>
      </c>
      <c r="C627" s="14" t="n">
        <f aca="false">COUNTIFS(選手一覧!$C$7:$C$2738,A627,選手一覧!$K$7:$K$2738,"&lt;=100")</f>
        <v>0</v>
      </c>
      <c r="D627" s="14" t="n">
        <f aca="false">COUNTIFS(選手一覧!$C$7:$C$2738,A627,選手一覧!$E$7:$E$2738,"&lt;=100")</f>
        <v>0</v>
      </c>
      <c r="E627" s="14" t="n">
        <f aca="false">COUNTIFS(選手一覧!$C$7:$C$2738,A627,選手一覧!$G$7:$G$2738,"&lt;=100")</f>
        <v>0</v>
      </c>
      <c r="F627" s="14" t="n">
        <f aca="false">COUNTIFS(選手一覧!$C$7:$C$2738,A627,選手一覧!$I$7:$I$2738,"&lt;=100")</f>
        <v>0</v>
      </c>
      <c r="G627" s="13" t="n">
        <f aca="false">_xlfn.MINIFS(選手一覧!$K$7:$K$2738,選手一覧!$C$7:$C$2738,A627)</f>
        <v>428</v>
      </c>
      <c r="H627" s="16"/>
    </row>
    <row r="628" customFormat="false" ht="15" hidden="false" customHeight="false" outlineLevel="0" collapsed="false">
      <c r="A628" s="10" t="s">
        <v>1417</v>
      </c>
      <c r="B628" s="12" t="n">
        <f aca="false">COUNTIF(選手一覧!$C$7:$C$2738,A628)</f>
        <v>1</v>
      </c>
      <c r="C628" s="14" t="n">
        <f aca="false">COUNTIFS(選手一覧!$C$7:$C$2738,A628,選手一覧!$K$7:$K$2738,"&lt;=100")</f>
        <v>0</v>
      </c>
      <c r="D628" s="14" t="n">
        <f aca="false">COUNTIFS(選手一覧!$C$7:$C$2738,A628,選手一覧!$E$7:$E$2738,"&lt;=100")</f>
        <v>0</v>
      </c>
      <c r="E628" s="14" t="n">
        <f aca="false">COUNTIFS(選手一覧!$C$7:$C$2738,A628,選手一覧!$G$7:$G$2738,"&lt;=100")</f>
        <v>0</v>
      </c>
      <c r="F628" s="14" t="n">
        <f aca="false">COUNTIFS(選手一覧!$C$7:$C$2738,A628,選手一覧!$I$7:$I$2738,"&lt;=100")</f>
        <v>0</v>
      </c>
      <c r="G628" s="13" t="n">
        <f aca="false">_xlfn.MINIFS(選手一覧!$K$7:$K$2738,選手一覧!$C$7:$C$2738,A628)</f>
        <v>432</v>
      </c>
      <c r="H628" s="16"/>
    </row>
    <row r="629" customFormat="false" ht="15" hidden="false" customHeight="false" outlineLevel="0" collapsed="false">
      <c r="A629" s="10" t="s">
        <v>1425</v>
      </c>
      <c r="B629" s="12" t="n">
        <f aca="false">COUNTIF(選手一覧!$C$7:$C$2738,A629)</f>
        <v>1</v>
      </c>
      <c r="C629" s="14" t="n">
        <f aca="false">COUNTIFS(選手一覧!$C$7:$C$2738,A629,選手一覧!$K$7:$K$2738,"&lt;=100")</f>
        <v>0</v>
      </c>
      <c r="D629" s="14" t="n">
        <f aca="false">COUNTIFS(選手一覧!$C$7:$C$2738,A629,選手一覧!$E$7:$E$2738,"&lt;=100")</f>
        <v>0</v>
      </c>
      <c r="E629" s="14" t="n">
        <f aca="false">COUNTIFS(選手一覧!$C$7:$C$2738,A629,選手一覧!$G$7:$G$2738,"&lt;=100")</f>
        <v>0</v>
      </c>
      <c r="F629" s="14" t="n">
        <f aca="false">COUNTIFS(選手一覧!$C$7:$C$2738,A629,選手一覧!$I$7:$I$2738,"&lt;=100")</f>
        <v>0</v>
      </c>
      <c r="G629" s="13" t="n">
        <f aca="false">_xlfn.MINIFS(選手一覧!$K$7:$K$2738,選手一覧!$C$7:$C$2738,A629)</f>
        <v>435</v>
      </c>
      <c r="H629" s="16"/>
    </row>
    <row r="630" customFormat="false" ht="15" hidden="false" customHeight="false" outlineLevel="0" collapsed="false">
      <c r="A630" s="10" t="s">
        <v>1453</v>
      </c>
      <c r="B630" s="12" t="n">
        <f aca="false">COUNTIF(選手一覧!$C$7:$C$2738,A630)</f>
        <v>1</v>
      </c>
      <c r="C630" s="14" t="n">
        <f aca="false">COUNTIFS(選手一覧!$C$7:$C$2738,A630,選手一覧!$K$7:$K$2738,"&lt;=100")</f>
        <v>0</v>
      </c>
      <c r="D630" s="14" t="n">
        <f aca="false">COUNTIFS(選手一覧!$C$7:$C$2738,A630,選手一覧!$E$7:$E$2738,"&lt;=100")</f>
        <v>0</v>
      </c>
      <c r="E630" s="14" t="n">
        <f aca="false">COUNTIFS(選手一覧!$C$7:$C$2738,A630,選手一覧!$G$7:$G$2738,"&lt;=100")</f>
        <v>0</v>
      </c>
      <c r="F630" s="14" t="n">
        <f aca="false">COUNTIFS(選手一覧!$C$7:$C$2738,A630,選手一覧!$I$7:$I$2738,"&lt;=100")</f>
        <v>0</v>
      </c>
      <c r="G630" s="13" t="n">
        <f aca="false">_xlfn.MINIFS(選手一覧!$K$7:$K$2738,選手一覧!$C$7:$C$2738,A630)</f>
        <v>446</v>
      </c>
      <c r="H630" s="16"/>
    </row>
    <row r="631" customFormat="false" ht="15" hidden="false" customHeight="false" outlineLevel="0" collapsed="false">
      <c r="A631" s="10" t="s">
        <v>1463</v>
      </c>
      <c r="B631" s="12" t="n">
        <f aca="false">COUNTIF(選手一覧!$C$7:$C$2738,A631)</f>
        <v>1</v>
      </c>
      <c r="C631" s="14" t="n">
        <f aca="false">COUNTIFS(選手一覧!$C$7:$C$2738,A631,選手一覧!$K$7:$K$2738,"&lt;=100")</f>
        <v>0</v>
      </c>
      <c r="D631" s="14" t="n">
        <f aca="false">COUNTIFS(選手一覧!$C$7:$C$2738,A631,選手一覧!$E$7:$E$2738,"&lt;=100")</f>
        <v>0</v>
      </c>
      <c r="E631" s="14" t="n">
        <f aca="false">COUNTIFS(選手一覧!$C$7:$C$2738,A631,選手一覧!$G$7:$G$2738,"&lt;=100")</f>
        <v>0</v>
      </c>
      <c r="F631" s="14" t="n">
        <f aca="false">COUNTIFS(選手一覧!$C$7:$C$2738,A631,選手一覧!$I$7:$I$2738,"&lt;=100")</f>
        <v>0</v>
      </c>
      <c r="G631" s="13" t="n">
        <f aca="false">_xlfn.MINIFS(選手一覧!$K$7:$K$2738,選手一覧!$C$7:$C$2738,A631)</f>
        <v>449</v>
      </c>
      <c r="H631" s="16"/>
    </row>
    <row r="632" customFormat="false" ht="15" hidden="false" customHeight="false" outlineLevel="0" collapsed="false">
      <c r="A632" s="10" t="s">
        <v>1468</v>
      </c>
      <c r="B632" s="12" t="n">
        <f aca="false">COUNTIF(選手一覧!$C$7:$C$2738,A632)</f>
        <v>1</v>
      </c>
      <c r="C632" s="14" t="n">
        <f aca="false">COUNTIFS(選手一覧!$C$7:$C$2738,A632,選手一覧!$K$7:$K$2738,"&lt;=100")</f>
        <v>0</v>
      </c>
      <c r="D632" s="14" t="n">
        <f aca="false">COUNTIFS(選手一覧!$C$7:$C$2738,A632,選手一覧!$E$7:$E$2738,"&lt;=100")</f>
        <v>0</v>
      </c>
      <c r="E632" s="14" t="n">
        <f aca="false">COUNTIFS(選手一覧!$C$7:$C$2738,A632,選手一覧!$G$7:$G$2738,"&lt;=100")</f>
        <v>0</v>
      </c>
      <c r="F632" s="14" t="n">
        <f aca="false">COUNTIFS(選手一覧!$C$7:$C$2738,A632,選手一覧!$I$7:$I$2738,"&lt;=100")</f>
        <v>0</v>
      </c>
      <c r="G632" s="13" t="n">
        <f aca="false">_xlfn.MINIFS(選手一覧!$K$7:$K$2738,選手一覧!$C$7:$C$2738,A632)</f>
        <v>451</v>
      </c>
      <c r="H632" s="16"/>
    </row>
    <row r="633" customFormat="false" ht="15" hidden="false" customHeight="false" outlineLevel="0" collapsed="false">
      <c r="A633" s="10" t="s">
        <v>1487</v>
      </c>
      <c r="B633" s="12" t="n">
        <f aca="false">COUNTIF(選手一覧!$C$7:$C$2738,A633)</f>
        <v>1</v>
      </c>
      <c r="C633" s="14" t="n">
        <f aca="false">COUNTIFS(選手一覧!$C$7:$C$2738,A633,選手一覧!$K$7:$K$2738,"&lt;=100")</f>
        <v>0</v>
      </c>
      <c r="D633" s="14" t="n">
        <f aca="false">COUNTIFS(選手一覧!$C$7:$C$2738,A633,選手一覧!$E$7:$E$2738,"&lt;=100")</f>
        <v>0</v>
      </c>
      <c r="E633" s="14" t="n">
        <f aca="false">COUNTIFS(選手一覧!$C$7:$C$2738,A633,選手一覧!$G$7:$G$2738,"&lt;=100")</f>
        <v>0</v>
      </c>
      <c r="F633" s="14" t="n">
        <f aca="false">COUNTIFS(選手一覧!$C$7:$C$2738,A633,選手一覧!$I$7:$I$2738,"&lt;=100")</f>
        <v>0</v>
      </c>
      <c r="G633" s="13" t="n">
        <f aca="false">_xlfn.MINIFS(選手一覧!$K$7:$K$2738,選手一覧!$C$7:$C$2738,A633)</f>
        <v>458</v>
      </c>
      <c r="H633" s="16"/>
    </row>
    <row r="634" customFormat="false" ht="15" hidden="false" customHeight="false" outlineLevel="0" collapsed="false">
      <c r="A634" s="10" t="s">
        <v>1501</v>
      </c>
      <c r="B634" s="12" t="n">
        <f aca="false">COUNTIF(選手一覧!$C$7:$C$2738,A634)</f>
        <v>1</v>
      </c>
      <c r="C634" s="14" t="n">
        <f aca="false">COUNTIFS(選手一覧!$C$7:$C$2738,A634,選手一覧!$K$7:$K$2738,"&lt;=100")</f>
        <v>0</v>
      </c>
      <c r="D634" s="14" t="n">
        <f aca="false">COUNTIFS(選手一覧!$C$7:$C$2738,A634,選手一覧!$E$7:$E$2738,"&lt;=100")</f>
        <v>0</v>
      </c>
      <c r="E634" s="14" t="n">
        <f aca="false">COUNTIFS(選手一覧!$C$7:$C$2738,A634,選手一覧!$G$7:$G$2738,"&lt;=100")</f>
        <v>0</v>
      </c>
      <c r="F634" s="14" t="n">
        <f aca="false">COUNTIFS(選手一覧!$C$7:$C$2738,A634,選手一覧!$I$7:$I$2738,"&lt;=100")</f>
        <v>0</v>
      </c>
      <c r="G634" s="13" t="n">
        <f aca="false">_xlfn.MINIFS(選手一覧!$K$7:$K$2738,選手一覧!$C$7:$C$2738,A634)</f>
        <v>464</v>
      </c>
      <c r="H634" s="16"/>
    </row>
    <row r="635" customFormat="false" ht="15" hidden="false" customHeight="false" outlineLevel="0" collapsed="false">
      <c r="A635" s="10" t="s">
        <v>1507</v>
      </c>
      <c r="B635" s="12" t="n">
        <f aca="false">COUNTIF(選手一覧!$C$7:$C$2738,A635)</f>
        <v>1</v>
      </c>
      <c r="C635" s="14" t="n">
        <f aca="false">COUNTIFS(選手一覧!$C$7:$C$2738,A635,選手一覧!$K$7:$K$2738,"&lt;=100")</f>
        <v>0</v>
      </c>
      <c r="D635" s="14" t="n">
        <f aca="false">COUNTIFS(選手一覧!$C$7:$C$2738,A635,選手一覧!$E$7:$E$2738,"&lt;=100")</f>
        <v>0</v>
      </c>
      <c r="E635" s="14" t="n">
        <f aca="false">COUNTIFS(選手一覧!$C$7:$C$2738,A635,選手一覧!$G$7:$G$2738,"&lt;=100")</f>
        <v>0</v>
      </c>
      <c r="F635" s="14" t="n">
        <f aca="false">COUNTIFS(選手一覧!$C$7:$C$2738,A635,選手一覧!$I$7:$I$2738,"&lt;=100")</f>
        <v>0</v>
      </c>
      <c r="G635" s="13" t="n">
        <f aca="false">_xlfn.MINIFS(選手一覧!$K$7:$K$2738,選手一覧!$C$7:$C$2738,A635)</f>
        <v>465</v>
      </c>
      <c r="H635" s="16"/>
    </row>
    <row r="636" customFormat="false" ht="15" hidden="false" customHeight="false" outlineLevel="0" collapsed="false">
      <c r="A636" s="10" t="s">
        <v>1510</v>
      </c>
      <c r="B636" s="12" t="n">
        <f aca="false">COUNTIF(選手一覧!$C$7:$C$2738,A636)</f>
        <v>1</v>
      </c>
      <c r="C636" s="14" t="n">
        <f aca="false">COUNTIFS(選手一覧!$C$7:$C$2738,A636,選手一覧!$K$7:$K$2738,"&lt;=100")</f>
        <v>0</v>
      </c>
      <c r="D636" s="14" t="n">
        <f aca="false">COUNTIFS(選手一覧!$C$7:$C$2738,A636,選手一覧!$E$7:$E$2738,"&lt;=100")</f>
        <v>0</v>
      </c>
      <c r="E636" s="14" t="n">
        <f aca="false">COUNTIFS(選手一覧!$C$7:$C$2738,A636,選手一覧!$G$7:$G$2738,"&lt;=100")</f>
        <v>0</v>
      </c>
      <c r="F636" s="14" t="n">
        <f aca="false">COUNTIFS(選手一覧!$C$7:$C$2738,A636,選手一覧!$I$7:$I$2738,"&lt;=100")</f>
        <v>0</v>
      </c>
      <c r="G636" s="13" t="n">
        <f aca="false">_xlfn.MINIFS(選手一覧!$K$7:$K$2738,選手一覧!$C$7:$C$2738,A636)</f>
        <v>466</v>
      </c>
      <c r="H636" s="16"/>
    </row>
    <row r="637" customFormat="false" ht="15" hidden="false" customHeight="false" outlineLevel="0" collapsed="false">
      <c r="A637" s="10" t="s">
        <v>1512</v>
      </c>
      <c r="B637" s="12" t="n">
        <f aca="false">COUNTIF(選手一覧!$C$7:$C$2738,A637)</f>
        <v>1</v>
      </c>
      <c r="C637" s="14" t="n">
        <f aca="false">COUNTIFS(選手一覧!$C$7:$C$2738,A637,選手一覧!$K$7:$K$2738,"&lt;=100")</f>
        <v>0</v>
      </c>
      <c r="D637" s="14" t="n">
        <f aca="false">COUNTIFS(選手一覧!$C$7:$C$2738,A637,選手一覧!$E$7:$E$2738,"&lt;=100")</f>
        <v>0</v>
      </c>
      <c r="E637" s="14" t="n">
        <f aca="false">COUNTIFS(選手一覧!$C$7:$C$2738,A637,選手一覧!$G$7:$G$2738,"&lt;=100")</f>
        <v>0</v>
      </c>
      <c r="F637" s="14" t="n">
        <f aca="false">COUNTIFS(選手一覧!$C$7:$C$2738,A637,選手一覧!$I$7:$I$2738,"&lt;=100")</f>
        <v>0</v>
      </c>
      <c r="G637" s="13" t="n">
        <f aca="false">_xlfn.MINIFS(選手一覧!$K$7:$K$2738,選手一覧!$C$7:$C$2738,A637)</f>
        <v>467</v>
      </c>
      <c r="H637" s="16"/>
    </row>
    <row r="638" customFormat="false" ht="15" hidden="false" customHeight="false" outlineLevel="0" collapsed="false">
      <c r="A638" s="10" t="s">
        <v>1520</v>
      </c>
      <c r="B638" s="12" t="n">
        <f aca="false">COUNTIF(選手一覧!$C$7:$C$2738,A638)</f>
        <v>1</v>
      </c>
      <c r="C638" s="14" t="n">
        <f aca="false">COUNTIFS(選手一覧!$C$7:$C$2738,A638,選手一覧!$K$7:$K$2738,"&lt;=100")</f>
        <v>0</v>
      </c>
      <c r="D638" s="14" t="n">
        <f aca="false">COUNTIFS(選手一覧!$C$7:$C$2738,A638,選手一覧!$E$7:$E$2738,"&lt;=100")</f>
        <v>0</v>
      </c>
      <c r="E638" s="14" t="n">
        <f aca="false">COUNTIFS(選手一覧!$C$7:$C$2738,A638,選手一覧!$G$7:$G$2738,"&lt;=100")</f>
        <v>0</v>
      </c>
      <c r="F638" s="14" t="n">
        <f aca="false">COUNTIFS(選手一覧!$C$7:$C$2738,A638,選手一覧!$I$7:$I$2738,"&lt;=100")</f>
        <v>0</v>
      </c>
      <c r="G638" s="13" t="n">
        <f aca="false">_xlfn.MINIFS(選手一覧!$K$7:$K$2738,選手一覧!$C$7:$C$2738,A638)</f>
        <v>469</v>
      </c>
      <c r="H638" s="16"/>
    </row>
    <row r="639" customFormat="false" ht="15" hidden="false" customHeight="false" outlineLevel="0" collapsed="false">
      <c r="A639" s="10" t="s">
        <v>1522</v>
      </c>
      <c r="B639" s="12" t="n">
        <f aca="false">COUNTIF(選手一覧!$C$7:$C$2738,A639)</f>
        <v>1</v>
      </c>
      <c r="C639" s="14" t="n">
        <f aca="false">COUNTIFS(選手一覧!$C$7:$C$2738,A639,選手一覧!$K$7:$K$2738,"&lt;=100")</f>
        <v>0</v>
      </c>
      <c r="D639" s="14" t="n">
        <f aca="false">COUNTIFS(選手一覧!$C$7:$C$2738,A639,選手一覧!$E$7:$E$2738,"&lt;=100")</f>
        <v>0</v>
      </c>
      <c r="E639" s="14" t="n">
        <f aca="false">COUNTIFS(選手一覧!$C$7:$C$2738,A639,選手一覧!$G$7:$G$2738,"&lt;=100")</f>
        <v>0</v>
      </c>
      <c r="F639" s="14" t="n">
        <f aca="false">COUNTIFS(選手一覧!$C$7:$C$2738,A639,選手一覧!$I$7:$I$2738,"&lt;=100")</f>
        <v>0</v>
      </c>
      <c r="G639" s="13" t="n">
        <f aca="false">_xlfn.MINIFS(選手一覧!$K$7:$K$2738,選手一覧!$C$7:$C$2738,A639)</f>
        <v>470</v>
      </c>
      <c r="H639" s="16"/>
    </row>
    <row r="640" customFormat="false" ht="15" hidden="false" customHeight="false" outlineLevel="0" collapsed="false">
      <c r="A640" s="10" t="s">
        <v>1538</v>
      </c>
      <c r="B640" s="12" t="n">
        <f aca="false">COUNTIF(選手一覧!$C$7:$C$2738,A640)</f>
        <v>1</v>
      </c>
      <c r="C640" s="14" t="n">
        <f aca="false">COUNTIFS(選手一覧!$C$7:$C$2738,A640,選手一覧!$K$7:$K$2738,"&lt;=100")</f>
        <v>0</v>
      </c>
      <c r="D640" s="14" t="n">
        <f aca="false">COUNTIFS(選手一覧!$C$7:$C$2738,A640,選手一覧!$E$7:$E$2738,"&lt;=100")</f>
        <v>0</v>
      </c>
      <c r="E640" s="14" t="n">
        <f aca="false">COUNTIFS(選手一覧!$C$7:$C$2738,A640,選手一覧!$G$7:$G$2738,"&lt;=100")</f>
        <v>0</v>
      </c>
      <c r="F640" s="14" t="n">
        <f aca="false">COUNTIFS(選手一覧!$C$7:$C$2738,A640,選手一覧!$I$7:$I$2738,"&lt;=100")</f>
        <v>0</v>
      </c>
      <c r="G640" s="13" t="n">
        <f aca="false">_xlfn.MINIFS(選手一覧!$K$7:$K$2738,選手一覧!$C$7:$C$2738,A640)</f>
        <v>476</v>
      </c>
      <c r="H640" s="16"/>
    </row>
    <row r="641" customFormat="false" ht="15" hidden="false" customHeight="false" outlineLevel="0" collapsed="false">
      <c r="A641" s="10" t="s">
        <v>1546</v>
      </c>
      <c r="B641" s="12" t="n">
        <f aca="false">COUNTIF(選手一覧!$C$7:$C$2738,A641)</f>
        <v>1</v>
      </c>
      <c r="C641" s="14" t="n">
        <f aca="false">COUNTIFS(選手一覧!$C$7:$C$2738,A641,選手一覧!$K$7:$K$2738,"&lt;=100")</f>
        <v>0</v>
      </c>
      <c r="D641" s="14" t="n">
        <f aca="false">COUNTIFS(選手一覧!$C$7:$C$2738,A641,選手一覧!$E$7:$E$2738,"&lt;=100")</f>
        <v>0</v>
      </c>
      <c r="E641" s="14" t="n">
        <f aca="false">COUNTIFS(選手一覧!$C$7:$C$2738,A641,選手一覧!$G$7:$G$2738,"&lt;=100")</f>
        <v>0</v>
      </c>
      <c r="F641" s="14" t="n">
        <f aca="false">COUNTIFS(選手一覧!$C$7:$C$2738,A641,選手一覧!$I$7:$I$2738,"&lt;=100")</f>
        <v>0</v>
      </c>
      <c r="G641" s="13" t="n">
        <f aca="false">_xlfn.MINIFS(選手一覧!$K$7:$K$2738,選手一覧!$C$7:$C$2738,A641)</f>
        <v>480</v>
      </c>
      <c r="H641" s="16"/>
    </row>
    <row r="642" customFormat="false" ht="15" hidden="false" customHeight="false" outlineLevel="0" collapsed="false">
      <c r="A642" s="10" t="s">
        <v>1551</v>
      </c>
      <c r="B642" s="12" t="n">
        <f aca="false">COUNTIF(選手一覧!$C$7:$C$2738,A642)</f>
        <v>1</v>
      </c>
      <c r="C642" s="14" t="n">
        <f aca="false">COUNTIFS(選手一覧!$C$7:$C$2738,A642,選手一覧!$K$7:$K$2738,"&lt;=100")</f>
        <v>0</v>
      </c>
      <c r="D642" s="14" t="n">
        <f aca="false">COUNTIFS(選手一覧!$C$7:$C$2738,A642,選手一覧!$E$7:$E$2738,"&lt;=100")</f>
        <v>0</v>
      </c>
      <c r="E642" s="14" t="n">
        <f aca="false">COUNTIFS(選手一覧!$C$7:$C$2738,A642,選手一覧!$G$7:$G$2738,"&lt;=100")</f>
        <v>0</v>
      </c>
      <c r="F642" s="14" t="n">
        <f aca="false">COUNTIFS(選手一覧!$C$7:$C$2738,A642,選手一覧!$I$7:$I$2738,"&lt;=100")</f>
        <v>0</v>
      </c>
      <c r="G642" s="13" t="n">
        <f aca="false">_xlfn.MINIFS(選手一覧!$K$7:$K$2738,選手一覧!$C$7:$C$2738,A642)</f>
        <v>481</v>
      </c>
      <c r="H642" s="16"/>
    </row>
    <row r="643" customFormat="false" ht="15" hidden="false" customHeight="false" outlineLevel="0" collapsed="false">
      <c r="A643" s="10" t="s">
        <v>1556</v>
      </c>
      <c r="B643" s="12" t="n">
        <f aca="false">COUNTIF(選手一覧!$C$7:$C$2738,A643)</f>
        <v>1</v>
      </c>
      <c r="C643" s="14" t="n">
        <f aca="false">COUNTIFS(選手一覧!$C$7:$C$2738,A643,選手一覧!$K$7:$K$2738,"&lt;=100")</f>
        <v>0</v>
      </c>
      <c r="D643" s="14" t="n">
        <f aca="false">COUNTIFS(選手一覧!$C$7:$C$2738,A643,選手一覧!$E$7:$E$2738,"&lt;=100")</f>
        <v>0</v>
      </c>
      <c r="E643" s="14" t="n">
        <f aca="false">COUNTIFS(選手一覧!$C$7:$C$2738,A643,選手一覧!$G$7:$G$2738,"&lt;=100")</f>
        <v>0</v>
      </c>
      <c r="F643" s="14" t="n">
        <f aca="false">COUNTIFS(選手一覧!$C$7:$C$2738,A643,選手一覧!$I$7:$I$2738,"&lt;=100")</f>
        <v>0</v>
      </c>
      <c r="G643" s="13" t="n">
        <f aca="false">_xlfn.MINIFS(選手一覧!$K$7:$K$2738,選手一覧!$C$7:$C$2738,A643)</f>
        <v>483</v>
      </c>
      <c r="H643" s="16"/>
    </row>
    <row r="644" customFormat="false" ht="15" hidden="false" customHeight="false" outlineLevel="0" collapsed="false">
      <c r="A644" s="10" t="s">
        <v>1560</v>
      </c>
      <c r="B644" s="12" t="n">
        <f aca="false">COUNTIF(選手一覧!$C$7:$C$2738,A644)</f>
        <v>1</v>
      </c>
      <c r="C644" s="14" t="n">
        <f aca="false">COUNTIFS(選手一覧!$C$7:$C$2738,A644,選手一覧!$K$7:$K$2738,"&lt;=100")</f>
        <v>0</v>
      </c>
      <c r="D644" s="14" t="n">
        <f aca="false">COUNTIFS(選手一覧!$C$7:$C$2738,A644,選手一覧!$E$7:$E$2738,"&lt;=100")</f>
        <v>0</v>
      </c>
      <c r="E644" s="14" t="n">
        <f aca="false">COUNTIFS(選手一覧!$C$7:$C$2738,A644,選手一覧!$G$7:$G$2738,"&lt;=100")</f>
        <v>0</v>
      </c>
      <c r="F644" s="14" t="n">
        <f aca="false">COUNTIFS(選手一覧!$C$7:$C$2738,A644,選手一覧!$I$7:$I$2738,"&lt;=100")</f>
        <v>0</v>
      </c>
      <c r="G644" s="13" t="n">
        <f aca="false">_xlfn.MINIFS(選手一覧!$K$7:$K$2738,選手一覧!$C$7:$C$2738,A644)</f>
        <v>484</v>
      </c>
      <c r="H644" s="16"/>
    </row>
    <row r="645" customFormat="false" ht="15" hidden="false" customHeight="false" outlineLevel="0" collapsed="false">
      <c r="A645" s="10" t="s">
        <v>1567</v>
      </c>
      <c r="B645" s="12" t="n">
        <f aca="false">COUNTIF(選手一覧!$C$7:$C$2738,A645)</f>
        <v>1</v>
      </c>
      <c r="C645" s="14" t="n">
        <f aca="false">COUNTIFS(選手一覧!$C$7:$C$2738,A645,選手一覧!$K$7:$K$2738,"&lt;=100")</f>
        <v>0</v>
      </c>
      <c r="D645" s="14" t="n">
        <f aca="false">COUNTIFS(選手一覧!$C$7:$C$2738,A645,選手一覧!$E$7:$E$2738,"&lt;=100")</f>
        <v>0</v>
      </c>
      <c r="E645" s="14" t="n">
        <f aca="false">COUNTIFS(選手一覧!$C$7:$C$2738,A645,選手一覧!$G$7:$G$2738,"&lt;=100")</f>
        <v>0</v>
      </c>
      <c r="F645" s="14" t="n">
        <f aca="false">COUNTIFS(選手一覧!$C$7:$C$2738,A645,選手一覧!$I$7:$I$2738,"&lt;=100")</f>
        <v>0</v>
      </c>
      <c r="G645" s="13" t="n">
        <f aca="false">_xlfn.MINIFS(選手一覧!$K$7:$K$2738,選手一覧!$C$7:$C$2738,A645)</f>
        <v>488</v>
      </c>
      <c r="H645" s="16"/>
    </row>
    <row r="646" customFormat="false" ht="15" hidden="false" customHeight="false" outlineLevel="0" collapsed="false">
      <c r="A646" s="10" t="s">
        <v>1570</v>
      </c>
      <c r="B646" s="12" t="n">
        <f aca="false">COUNTIF(選手一覧!$C$7:$C$2738,A646)</f>
        <v>1</v>
      </c>
      <c r="C646" s="14" t="n">
        <f aca="false">COUNTIFS(選手一覧!$C$7:$C$2738,A646,選手一覧!$K$7:$K$2738,"&lt;=100")</f>
        <v>0</v>
      </c>
      <c r="D646" s="14" t="n">
        <f aca="false">COUNTIFS(選手一覧!$C$7:$C$2738,A646,選手一覧!$E$7:$E$2738,"&lt;=100")</f>
        <v>0</v>
      </c>
      <c r="E646" s="14" t="n">
        <f aca="false">COUNTIFS(選手一覧!$C$7:$C$2738,A646,選手一覧!$G$7:$G$2738,"&lt;=100")</f>
        <v>0</v>
      </c>
      <c r="F646" s="14" t="n">
        <f aca="false">COUNTIFS(選手一覧!$C$7:$C$2738,A646,選手一覧!$I$7:$I$2738,"&lt;=100")</f>
        <v>0</v>
      </c>
      <c r="G646" s="13" t="n">
        <f aca="false">_xlfn.MINIFS(選手一覧!$K$7:$K$2738,選手一覧!$C$7:$C$2738,A646)</f>
        <v>489</v>
      </c>
      <c r="H646" s="16"/>
    </row>
    <row r="647" customFormat="false" ht="15" hidden="false" customHeight="false" outlineLevel="0" collapsed="false">
      <c r="A647" s="10" t="s">
        <v>1573</v>
      </c>
      <c r="B647" s="12" t="n">
        <f aca="false">COUNTIF(選手一覧!$C$7:$C$2738,A647)</f>
        <v>1</v>
      </c>
      <c r="C647" s="14" t="n">
        <f aca="false">COUNTIFS(選手一覧!$C$7:$C$2738,A647,選手一覧!$K$7:$K$2738,"&lt;=100")</f>
        <v>0</v>
      </c>
      <c r="D647" s="14" t="n">
        <f aca="false">COUNTIFS(選手一覧!$C$7:$C$2738,A647,選手一覧!$E$7:$E$2738,"&lt;=100")</f>
        <v>0</v>
      </c>
      <c r="E647" s="14" t="n">
        <f aca="false">COUNTIFS(選手一覧!$C$7:$C$2738,A647,選手一覧!$G$7:$G$2738,"&lt;=100")</f>
        <v>0</v>
      </c>
      <c r="F647" s="14" t="n">
        <f aca="false">COUNTIFS(選手一覧!$C$7:$C$2738,A647,選手一覧!$I$7:$I$2738,"&lt;=100")</f>
        <v>0</v>
      </c>
      <c r="G647" s="13" t="n">
        <f aca="false">_xlfn.MINIFS(選手一覧!$K$7:$K$2738,選手一覧!$C$7:$C$2738,A647)</f>
        <v>490</v>
      </c>
      <c r="H647" s="16"/>
    </row>
    <row r="648" customFormat="false" ht="15" hidden="false" customHeight="false" outlineLevel="0" collapsed="false">
      <c r="A648" s="10" t="s">
        <v>1578</v>
      </c>
      <c r="B648" s="12" t="n">
        <f aca="false">COUNTIF(選手一覧!$C$7:$C$2738,A648)</f>
        <v>1</v>
      </c>
      <c r="C648" s="14" t="n">
        <f aca="false">COUNTIFS(選手一覧!$C$7:$C$2738,A648,選手一覧!$K$7:$K$2738,"&lt;=100")</f>
        <v>0</v>
      </c>
      <c r="D648" s="14" t="n">
        <f aca="false">COUNTIFS(選手一覧!$C$7:$C$2738,A648,選手一覧!$E$7:$E$2738,"&lt;=100")</f>
        <v>0</v>
      </c>
      <c r="E648" s="14" t="n">
        <f aca="false">COUNTIFS(選手一覧!$C$7:$C$2738,A648,選手一覧!$G$7:$G$2738,"&lt;=100")</f>
        <v>0</v>
      </c>
      <c r="F648" s="14" t="n">
        <f aca="false">COUNTIFS(選手一覧!$C$7:$C$2738,A648,選手一覧!$I$7:$I$2738,"&lt;=100")</f>
        <v>0</v>
      </c>
      <c r="G648" s="13" t="n">
        <f aca="false">_xlfn.MINIFS(選手一覧!$K$7:$K$2738,選手一覧!$C$7:$C$2738,A648)</f>
        <v>492</v>
      </c>
      <c r="H648" s="16"/>
    </row>
    <row r="649" customFormat="false" ht="15" hidden="false" customHeight="false" outlineLevel="0" collapsed="false">
      <c r="A649" s="10" t="s">
        <v>1582</v>
      </c>
      <c r="B649" s="12" t="n">
        <f aca="false">COUNTIF(選手一覧!$C$7:$C$2738,A649)</f>
        <v>1</v>
      </c>
      <c r="C649" s="14" t="n">
        <f aca="false">COUNTIFS(選手一覧!$C$7:$C$2738,A649,選手一覧!$K$7:$K$2738,"&lt;=100")</f>
        <v>0</v>
      </c>
      <c r="D649" s="14" t="n">
        <f aca="false">COUNTIFS(選手一覧!$C$7:$C$2738,A649,選手一覧!$E$7:$E$2738,"&lt;=100")</f>
        <v>0</v>
      </c>
      <c r="E649" s="14" t="n">
        <f aca="false">COUNTIFS(選手一覧!$C$7:$C$2738,A649,選手一覧!$G$7:$G$2738,"&lt;=100")</f>
        <v>0</v>
      </c>
      <c r="F649" s="14" t="n">
        <f aca="false">COUNTIFS(選手一覧!$C$7:$C$2738,A649,選手一覧!$I$7:$I$2738,"&lt;=100")</f>
        <v>0</v>
      </c>
      <c r="G649" s="13" t="n">
        <f aca="false">_xlfn.MINIFS(選手一覧!$K$7:$K$2738,選手一覧!$C$7:$C$2738,A649)</f>
        <v>493</v>
      </c>
      <c r="H649" s="16"/>
    </row>
    <row r="650" customFormat="false" ht="15" hidden="false" customHeight="false" outlineLevel="0" collapsed="false">
      <c r="A650" s="10" t="s">
        <v>1589</v>
      </c>
      <c r="B650" s="12" t="n">
        <f aca="false">COUNTIF(選手一覧!$C$7:$C$2738,A650)</f>
        <v>1</v>
      </c>
      <c r="C650" s="14" t="n">
        <f aca="false">COUNTIFS(選手一覧!$C$7:$C$2738,A650,選手一覧!$K$7:$K$2738,"&lt;=100")</f>
        <v>0</v>
      </c>
      <c r="D650" s="14" t="n">
        <f aca="false">COUNTIFS(選手一覧!$C$7:$C$2738,A650,選手一覧!$E$7:$E$2738,"&lt;=100")</f>
        <v>0</v>
      </c>
      <c r="E650" s="14" t="n">
        <f aca="false">COUNTIFS(選手一覧!$C$7:$C$2738,A650,選手一覧!$G$7:$G$2738,"&lt;=100")</f>
        <v>0</v>
      </c>
      <c r="F650" s="14" t="n">
        <f aca="false">COUNTIFS(選手一覧!$C$7:$C$2738,A650,選手一覧!$I$7:$I$2738,"&lt;=100")</f>
        <v>0</v>
      </c>
      <c r="G650" s="13" t="n">
        <f aca="false">_xlfn.MINIFS(選手一覧!$K$7:$K$2738,選手一覧!$C$7:$C$2738,A650)</f>
        <v>496</v>
      </c>
      <c r="H650" s="16"/>
    </row>
    <row r="651" customFormat="false" ht="15" hidden="false" customHeight="false" outlineLevel="0" collapsed="false">
      <c r="A651" s="10" t="s">
        <v>1602</v>
      </c>
      <c r="B651" s="12" t="n">
        <f aca="false">COUNTIF(選手一覧!$C$7:$C$2738,A651)</f>
        <v>1</v>
      </c>
      <c r="C651" s="14" t="n">
        <f aca="false">COUNTIFS(選手一覧!$C$7:$C$2738,A651,選手一覧!$K$7:$K$2738,"&lt;=100")</f>
        <v>0</v>
      </c>
      <c r="D651" s="14" t="n">
        <f aca="false">COUNTIFS(選手一覧!$C$7:$C$2738,A651,選手一覧!$E$7:$E$2738,"&lt;=100")</f>
        <v>0</v>
      </c>
      <c r="E651" s="14" t="n">
        <f aca="false">COUNTIFS(選手一覧!$C$7:$C$2738,A651,選手一覧!$G$7:$G$2738,"&lt;=100")</f>
        <v>0</v>
      </c>
      <c r="F651" s="14" t="n">
        <f aca="false">COUNTIFS(選手一覧!$C$7:$C$2738,A651,選手一覧!$I$7:$I$2738,"&lt;=100")</f>
        <v>0</v>
      </c>
      <c r="G651" s="13" t="n">
        <f aca="false">_xlfn.MINIFS(選手一覧!$K$7:$K$2738,選手一覧!$C$7:$C$2738,A651)</f>
        <v>500</v>
      </c>
      <c r="H651" s="16"/>
    </row>
    <row r="652" customFormat="false" ht="15" hidden="false" customHeight="false" outlineLevel="0" collapsed="false">
      <c r="A652" s="10" t="s">
        <v>1604</v>
      </c>
      <c r="B652" s="12" t="n">
        <f aca="false">COUNTIF(選手一覧!$C$7:$C$2738,A652)</f>
        <v>1</v>
      </c>
      <c r="C652" s="14" t="n">
        <f aca="false">COUNTIFS(選手一覧!$C$7:$C$2738,A652,選手一覧!$K$7:$K$2738,"&lt;=100")</f>
        <v>0</v>
      </c>
      <c r="D652" s="14" t="n">
        <f aca="false">COUNTIFS(選手一覧!$C$7:$C$2738,A652,選手一覧!$E$7:$E$2738,"&lt;=100")</f>
        <v>0</v>
      </c>
      <c r="E652" s="14" t="n">
        <f aca="false">COUNTIFS(選手一覧!$C$7:$C$2738,A652,選手一覧!$G$7:$G$2738,"&lt;=100")</f>
        <v>0</v>
      </c>
      <c r="F652" s="14" t="n">
        <f aca="false">COUNTIFS(選手一覧!$C$7:$C$2738,A652,選手一覧!$I$7:$I$2738,"&lt;=100")</f>
        <v>0</v>
      </c>
      <c r="G652" s="13" t="n">
        <f aca="false">_xlfn.MINIFS(選手一覧!$K$7:$K$2738,選手一覧!$C$7:$C$2738,A652)</f>
        <v>500</v>
      </c>
      <c r="H652" s="16"/>
    </row>
    <row r="653" customFormat="false" ht="15" hidden="false" customHeight="false" outlineLevel="0" collapsed="false">
      <c r="A653" s="10" t="s">
        <v>1611</v>
      </c>
      <c r="B653" s="12" t="n">
        <f aca="false">COUNTIF(選手一覧!$C$7:$C$2738,A653)</f>
        <v>1</v>
      </c>
      <c r="C653" s="14" t="n">
        <f aca="false">COUNTIFS(選手一覧!$C$7:$C$2738,A653,選手一覧!$K$7:$K$2738,"&lt;=100")</f>
        <v>0</v>
      </c>
      <c r="D653" s="14" t="n">
        <f aca="false">COUNTIFS(選手一覧!$C$7:$C$2738,A653,選手一覧!$E$7:$E$2738,"&lt;=100")</f>
        <v>0</v>
      </c>
      <c r="E653" s="14" t="n">
        <f aca="false">COUNTIFS(選手一覧!$C$7:$C$2738,A653,選手一覧!$G$7:$G$2738,"&lt;=100")</f>
        <v>0</v>
      </c>
      <c r="F653" s="14" t="n">
        <f aca="false">COUNTIFS(選手一覧!$C$7:$C$2738,A653,選手一覧!$I$7:$I$2738,"&lt;=100")</f>
        <v>0</v>
      </c>
      <c r="G653" s="13" t="n">
        <f aca="false">_xlfn.MINIFS(選手一覧!$K$7:$K$2738,選手一覧!$C$7:$C$2738,A653)</f>
        <v>503</v>
      </c>
      <c r="H653" s="16"/>
    </row>
    <row r="654" customFormat="false" ht="15" hidden="false" customHeight="false" outlineLevel="0" collapsed="false">
      <c r="A654" s="10" t="s">
        <v>1634</v>
      </c>
      <c r="B654" s="12" t="n">
        <f aca="false">COUNTIF(選手一覧!$C$7:$C$2738,A654)</f>
        <v>1</v>
      </c>
      <c r="C654" s="14" t="n">
        <f aca="false">COUNTIFS(選手一覧!$C$7:$C$2738,A654,選手一覧!$K$7:$K$2738,"&lt;=100")</f>
        <v>0</v>
      </c>
      <c r="D654" s="14" t="n">
        <f aca="false">COUNTIFS(選手一覧!$C$7:$C$2738,A654,選手一覧!$E$7:$E$2738,"&lt;=100")</f>
        <v>0</v>
      </c>
      <c r="E654" s="14" t="n">
        <f aca="false">COUNTIFS(選手一覧!$C$7:$C$2738,A654,選手一覧!$G$7:$G$2738,"&lt;=100")</f>
        <v>0</v>
      </c>
      <c r="F654" s="14" t="n">
        <f aca="false">COUNTIFS(選手一覧!$C$7:$C$2738,A654,選手一覧!$I$7:$I$2738,"&lt;=100")</f>
        <v>0</v>
      </c>
      <c r="G654" s="13" t="n">
        <f aca="false">_xlfn.MINIFS(選手一覧!$K$7:$K$2738,選手一覧!$C$7:$C$2738,A654)</f>
        <v>511</v>
      </c>
      <c r="H654" s="16"/>
    </row>
    <row r="655" customFormat="false" ht="15" hidden="false" customHeight="false" outlineLevel="0" collapsed="false">
      <c r="A655" s="10" t="s">
        <v>1637</v>
      </c>
      <c r="B655" s="12" t="n">
        <f aca="false">COUNTIF(選手一覧!$C$7:$C$2738,A655)</f>
        <v>1</v>
      </c>
      <c r="C655" s="14" t="n">
        <f aca="false">COUNTIFS(選手一覧!$C$7:$C$2738,A655,選手一覧!$K$7:$K$2738,"&lt;=100")</f>
        <v>0</v>
      </c>
      <c r="D655" s="14" t="n">
        <f aca="false">COUNTIFS(選手一覧!$C$7:$C$2738,A655,選手一覧!$E$7:$E$2738,"&lt;=100")</f>
        <v>0</v>
      </c>
      <c r="E655" s="14" t="n">
        <f aca="false">COUNTIFS(選手一覧!$C$7:$C$2738,A655,選手一覧!$G$7:$G$2738,"&lt;=100")</f>
        <v>0</v>
      </c>
      <c r="F655" s="14" t="n">
        <f aca="false">COUNTIFS(選手一覧!$C$7:$C$2738,A655,選手一覧!$I$7:$I$2738,"&lt;=100")</f>
        <v>0</v>
      </c>
      <c r="G655" s="13" t="n">
        <f aca="false">_xlfn.MINIFS(選手一覧!$K$7:$K$2738,選手一覧!$C$7:$C$2738,A655)</f>
        <v>512</v>
      </c>
      <c r="H655" s="16"/>
    </row>
    <row r="656" customFormat="false" ht="15" hidden="false" customHeight="false" outlineLevel="0" collapsed="false">
      <c r="A656" s="10" t="s">
        <v>1644</v>
      </c>
      <c r="B656" s="12" t="n">
        <f aca="false">COUNTIF(選手一覧!$C$7:$C$2738,A656)</f>
        <v>1</v>
      </c>
      <c r="C656" s="14" t="n">
        <f aca="false">COUNTIFS(選手一覧!$C$7:$C$2738,A656,選手一覧!$K$7:$K$2738,"&lt;=100")</f>
        <v>0</v>
      </c>
      <c r="D656" s="14" t="n">
        <f aca="false">COUNTIFS(選手一覧!$C$7:$C$2738,A656,選手一覧!$E$7:$E$2738,"&lt;=100")</f>
        <v>0</v>
      </c>
      <c r="E656" s="14" t="n">
        <f aca="false">COUNTIFS(選手一覧!$C$7:$C$2738,A656,選手一覧!$G$7:$G$2738,"&lt;=100")</f>
        <v>0</v>
      </c>
      <c r="F656" s="14" t="n">
        <f aca="false">COUNTIFS(選手一覧!$C$7:$C$2738,A656,選手一覧!$I$7:$I$2738,"&lt;=100")</f>
        <v>0</v>
      </c>
      <c r="G656" s="13" t="n">
        <f aca="false">_xlfn.MINIFS(選手一覧!$K$7:$K$2738,選手一覧!$C$7:$C$2738,A656)</f>
        <v>514</v>
      </c>
      <c r="H656" s="16"/>
    </row>
    <row r="657" customFormat="false" ht="15" hidden="false" customHeight="false" outlineLevel="0" collapsed="false">
      <c r="A657" s="10" t="s">
        <v>1647</v>
      </c>
      <c r="B657" s="12" t="n">
        <f aca="false">COUNTIF(選手一覧!$C$7:$C$2738,A657)</f>
        <v>1</v>
      </c>
      <c r="C657" s="14" t="n">
        <f aca="false">COUNTIFS(選手一覧!$C$7:$C$2738,A657,選手一覧!$K$7:$K$2738,"&lt;=100")</f>
        <v>0</v>
      </c>
      <c r="D657" s="14" t="n">
        <f aca="false">COUNTIFS(選手一覧!$C$7:$C$2738,A657,選手一覧!$E$7:$E$2738,"&lt;=100")</f>
        <v>0</v>
      </c>
      <c r="E657" s="14" t="n">
        <f aca="false">COUNTIFS(選手一覧!$C$7:$C$2738,A657,選手一覧!$G$7:$G$2738,"&lt;=100")</f>
        <v>0</v>
      </c>
      <c r="F657" s="14" t="n">
        <f aca="false">COUNTIFS(選手一覧!$C$7:$C$2738,A657,選手一覧!$I$7:$I$2738,"&lt;=100")</f>
        <v>0</v>
      </c>
      <c r="G657" s="13" t="n">
        <f aca="false">_xlfn.MINIFS(選手一覧!$K$7:$K$2738,選手一覧!$C$7:$C$2738,A657)</f>
        <v>516</v>
      </c>
      <c r="H657" s="16"/>
    </row>
    <row r="658" customFormat="false" ht="15" hidden="false" customHeight="false" outlineLevel="0" collapsed="false">
      <c r="A658" s="10" t="s">
        <v>1655</v>
      </c>
      <c r="B658" s="12" t="n">
        <f aca="false">COUNTIF(選手一覧!$C$7:$C$2738,A658)</f>
        <v>1</v>
      </c>
      <c r="C658" s="14" t="n">
        <f aca="false">COUNTIFS(選手一覧!$C$7:$C$2738,A658,選手一覧!$K$7:$K$2738,"&lt;=100")</f>
        <v>0</v>
      </c>
      <c r="D658" s="14" t="n">
        <f aca="false">COUNTIFS(選手一覧!$C$7:$C$2738,A658,選手一覧!$E$7:$E$2738,"&lt;=100")</f>
        <v>0</v>
      </c>
      <c r="E658" s="14" t="n">
        <f aca="false">COUNTIFS(選手一覧!$C$7:$C$2738,A658,選手一覧!$G$7:$G$2738,"&lt;=100")</f>
        <v>0</v>
      </c>
      <c r="F658" s="14" t="n">
        <f aca="false">COUNTIFS(選手一覧!$C$7:$C$2738,A658,選手一覧!$I$7:$I$2738,"&lt;=100")</f>
        <v>0</v>
      </c>
      <c r="G658" s="13" t="n">
        <f aca="false">_xlfn.MINIFS(選手一覧!$K$7:$K$2738,選手一覧!$C$7:$C$2738,A658)</f>
        <v>519</v>
      </c>
      <c r="H658" s="16"/>
    </row>
    <row r="659" customFormat="false" ht="15" hidden="false" customHeight="false" outlineLevel="0" collapsed="false">
      <c r="A659" s="10" t="s">
        <v>1658</v>
      </c>
      <c r="B659" s="12" t="n">
        <f aca="false">COUNTIF(選手一覧!$C$7:$C$2738,A659)</f>
        <v>1</v>
      </c>
      <c r="C659" s="14" t="n">
        <f aca="false">COUNTIFS(選手一覧!$C$7:$C$2738,A659,選手一覧!$K$7:$K$2738,"&lt;=100")</f>
        <v>0</v>
      </c>
      <c r="D659" s="14" t="n">
        <f aca="false">COUNTIFS(選手一覧!$C$7:$C$2738,A659,選手一覧!$E$7:$E$2738,"&lt;=100")</f>
        <v>0</v>
      </c>
      <c r="E659" s="14" t="n">
        <f aca="false">COUNTIFS(選手一覧!$C$7:$C$2738,A659,選手一覧!$G$7:$G$2738,"&lt;=100")</f>
        <v>0</v>
      </c>
      <c r="F659" s="14" t="n">
        <f aca="false">COUNTIFS(選手一覧!$C$7:$C$2738,A659,選手一覧!$I$7:$I$2738,"&lt;=100")</f>
        <v>0</v>
      </c>
      <c r="G659" s="13" t="n">
        <f aca="false">_xlfn.MINIFS(選手一覧!$K$7:$K$2738,選手一覧!$C$7:$C$2738,A659)</f>
        <v>521</v>
      </c>
      <c r="H659" s="16"/>
    </row>
    <row r="660" customFormat="false" ht="15" hidden="false" customHeight="false" outlineLevel="0" collapsed="false">
      <c r="A660" s="10" t="s">
        <v>1662</v>
      </c>
      <c r="B660" s="12" t="n">
        <f aca="false">COUNTIF(選手一覧!$C$7:$C$2738,A660)</f>
        <v>1</v>
      </c>
      <c r="C660" s="14" t="n">
        <f aca="false">COUNTIFS(選手一覧!$C$7:$C$2738,A660,選手一覧!$K$7:$K$2738,"&lt;=100")</f>
        <v>0</v>
      </c>
      <c r="D660" s="14" t="n">
        <f aca="false">COUNTIFS(選手一覧!$C$7:$C$2738,A660,選手一覧!$E$7:$E$2738,"&lt;=100")</f>
        <v>0</v>
      </c>
      <c r="E660" s="14" t="n">
        <f aca="false">COUNTIFS(選手一覧!$C$7:$C$2738,A660,選手一覧!$G$7:$G$2738,"&lt;=100")</f>
        <v>0</v>
      </c>
      <c r="F660" s="14" t="n">
        <f aca="false">COUNTIFS(選手一覧!$C$7:$C$2738,A660,選手一覧!$I$7:$I$2738,"&lt;=100")</f>
        <v>0</v>
      </c>
      <c r="G660" s="13" t="n">
        <f aca="false">_xlfn.MINIFS(選手一覧!$K$7:$K$2738,選手一覧!$C$7:$C$2738,A660)</f>
        <v>522</v>
      </c>
      <c r="H660" s="16"/>
    </row>
    <row r="661" customFormat="false" ht="15" hidden="false" customHeight="false" outlineLevel="0" collapsed="false">
      <c r="A661" s="10" t="s">
        <v>1664</v>
      </c>
      <c r="B661" s="12" t="n">
        <f aca="false">COUNTIF(選手一覧!$C$7:$C$2738,A661)</f>
        <v>1</v>
      </c>
      <c r="C661" s="14" t="n">
        <f aca="false">COUNTIFS(選手一覧!$C$7:$C$2738,A661,選手一覧!$K$7:$K$2738,"&lt;=100")</f>
        <v>0</v>
      </c>
      <c r="D661" s="14" t="n">
        <f aca="false">COUNTIFS(選手一覧!$C$7:$C$2738,A661,選手一覧!$E$7:$E$2738,"&lt;=100")</f>
        <v>0</v>
      </c>
      <c r="E661" s="14" t="n">
        <f aca="false">COUNTIFS(選手一覧!$C$7:$C$2738,A661,選手一覧!$G$7:$G$2738,"&lt;=100")</f>
        <v>0</v>
      </c>
      <c r="F661" s="14" t="n">
        <f aca="false">COUNTIFS(選手一覧!$C$7:$C$2738,A661,選手一覧!$I$7:$I$2738,"&lt;=100")</f>
        <v>0</v>
      </c>
      <c r="G661" s="13" t="n">
        <f aca="false">_xlfn.MINIFS(選手一覧!$K$7:$K$2738,選手一覧!$C$7:$C$2738,A661)</f>
        <v>523</v>
      </c>
      <c r="H661" s="16"/>
    </row>
    <row r="662" customFormat="false" ht="15" hidden="false" customHeight="false" outlineLevel="0" collapsed="false">
      <c r="A662" s="10" t="s">
        <v>1670</v>
      </c>
      <c r="B662" s="12" t="n">
        <f aca="false">COUNTIF(選手一覧!$C$7:$C$2738,A662)</f>
        <v>1</v>
      </c>
      <c r="C662" s="14" t="n">
        <f aca="false">COUNTIFS(選手一覧!$C$7:$C$2738,A662,選手一覧!$K$7:$K$2738,"&lt;=100")</f>
        <v>0</v>
      </c>
      <c r="D662" s="14" t="n">
        <f aca="false">COUNTIFS(選手一覧!$C$7:$C$2738,A662,選手一覧!$E$7:$E$2738,"&lt;=100")</f>
        <v>0</v>
      </c>
      <c r="E662" s="14" t="n">
        <f aca="false">COUNTIFS(選手一覧!$C$7:$C$2738,A662,選手一覧!$G$7:$G$2738,"&lt;=100")</f>
        <v>0</v>
      </c>
      <c r="F662" s="14" t="n">
        <f aca="false">COUNTIFS(選手一覧!$C$7:$C$2738,A662,選手一覧!$I$7:$I$2738,"&lt;=100")</f>
        <v>0</v>
      </c>
      <c r="G662" s="13" t="n">
        <f aca="false">_xlfn.MINIFS(選手一覧!$K$7:$K$2738,選手一覧!$C$7:$C$2738,A662)</f>
        <v>524</v>
      </c>
      <c r="H662" s="16"/>
    </row>
    <row r="663" customFormat="false" ht="15" hidden="false" customHeight="false" outlineLevel="0" collapsed="false">
      <c r="A663" s="10" t="s">
        <v>1673</v>
      </c>
      <c r="B663" s="12" t="n">
        <f aca="false">COUNTIF(選手一覧!$C$7:$C$2738,A663)</f>
        <v>1</v>
      </c>
      <c r="C663" s="14" t="n">
        <f aca="false">COUNTIFS(選手一覧!$C$7:$C$2738,A663,選手一覧!$K$7:$K$2738,"&lt;=100")</f>
        <v>0</v>
      </c>
      <c r="D663" s="14" t="n">
        <f aca="false">COUNTIFS(選手一覧!$C$7:$C$2738,A663,選手一覧!$E$7:$E$2738,"&lt;=100")</f>
        <v>0</v>
      </c>
      <c r="E663" s="14" t="n">
        <f aca="false">COUNTIFS(選手一覧!$C$7:$C$2738,A663,選手一覧!$G$7:$G$2738,"&lt;=100")</f>
        <v>0</v>
      </c>
      <c r="F663" s="14" t="n">
        <f aca="false">COUNTIFS(選手一覧!$C$7:$C$2738,A663,選手一覧!$I$7:$I$2738,"&lt;=100")</f>
        <v>0</v>
      </c>
      <c r="G663" s="13" t="n">
        <f aca="false">_xlfn.MINIFS(選手一覧!$K$7:$K$2738,選手一覧!$C$7:$C$2738,A663)</f>
        <v>525</v>
      </c>
      <c r="H663" s="16"/>
    </row>
    <row r="664" customFormat="false" ht="15" hidden="false" customHeight="false" outlineLevel="0" collapsed="false">
      <c r="A664" s="10" t="s">
        <v>1684</v>
      </c>
      <c r="B664" s="12" t="n">
        <f aca="false">COUNTIF(選手一覧!$C$7:$C$2738,A664)</f>
        <v>1</v>
      </c>
      <c r="C664" s="14" t="n">
        <f aca="false">COUNTIFS(選手一覧!$C$7:$C$2738,A664,選手一覧!$K$7:$K$2738,"&lt;=100")</f>
        <v>0</v>
      </c>
      <c r="D664" s="14" t="n">
        <f aca="false">COUNTIFS(選手一覧!$C$7:$C$2738,A664,選手一覧!$E$7:$E$2738,"&lt;=100")</f>
        <v>0</v>
      </c>
      <c r="E664" s="14" t="n">
        <f aca="false">COUNTIFS(選手一覧!$C$7:$C$2738,A664,選手一覧!$G$7:$G$2738,"&lt;=100")</f>
        <v>0</v>
      </c>
      <c r="F664" s="14" t="n">
        <f aca="false">COUNTIFS(選手一覧!$C$7:$C$2738,A664,選手一覧!$I$7:$I$2738,"&lt;=100")</f>
        <v>0</v>
      </c>
      <c r="G664" s="13" t="n">
        <f aca="false">_xlfn.MINIFS(選手一覧!$K$7:$K$2738,選手一覧!$C$7:$C$2738,A664)</f>
        <v>530</v>
      </c>
      <c r="H664" s="16"/>
    </row>
    <row r="665" customFormat="false" ht="15" hidden="false" customHeight="false" outlineLevel="0" collapsed="false">
      <c r="A665" s="10" t="s">
        <v>1692</v>
      </c>
      <c r="B665" s="12" t="n">
        <f aca="false">COUNTIF(選手一覧!$C$7:$C$2738,A665)</f>
        <v>1</v>
      </c>
      <c r="C665" s="14" t="n">
        <f aca="false">COUNTIFS(選手一覧!$C$7:$C$2738,A665,選手一覧!$K$7:$K$2738,"&lt;=100")</f>
        <v>0</v>
      </c>
      <c r="D665" s="14" t="n">
        <f aca="false">COUNTIFS(選手一覧!$C$7:$C$2738,A665,選手一覧!$E$7:$E$2738,"&lt;=100")</f>
        <v>0</v>
      </c>
      <c r="E665" s="14" t="n">
        <f aca="false">COUNTIFS(選手一覧!$C$7:$C$2738,A665,選手一覧!$G$7:$G$2738,"&lt;=100")</f>
        <v>0</v>
      </c>
      <c r="F665" s="14" t="n">
        <f aca="false">COUNTIFS(選手一覧!$C$7:$C$2738,A665,選手一覧!$I$7:$I$2738,"&lt;=100")</f>
        <v>0</v>
      </c>
      <c r="G665" s="13" t="n">
        <f aca="false">_xlfn.MINIFS(選手一覧!$K$7:$K$2738,選手一覧!$C$7:$C$2738,A665)</f>
        <v>533</v>
      </c>
      <c r="H665" s="16"/>
    </row>
    <row r="666" customFormat="false" ht="15" hidden="false" customHeight="false" outlineLevel="0" collapsed="false">
      <c r="A666" s="10" t="s">
        <v>1696</v>
      </c>
      <c r="B666" s="12" t="n">
        <f aca="false">COUNTIF(選手一覧!$C$7:$C$2738,A666)</f>
        <v>1</v>
      </c>
      <c r="C666" s="14" t="n">
        <f aca="false">COUNTIFS(選手一覧!$C$7:$C$2738,A666,選手一覧!$K$7:$K$2738,"&lt;=100")</f>
        <v>0</v>
      </c>
      <c r="D666" s="14" t="n">
        <f aca="false">COUNTIFS(選手一覧!$C$7:$C$2738,A666,選手一覧!$E$7:$E$2738,"&lt;=100")</f>
        <v>0</v>
      </c>
      <c r="E666" s="14" t="n">
        <f aca="false">COUNTIFS(選手一覧!$C$7:$C$2738,A666,選手一覧!$G$7:$G$2738,"&lt;=100")</f>
        <v>0</v>
      </c>
      <c r="F666" s="14" t="n">
        <f aca="false">COUNTIFS(選手一覧!$C$7:$C$2738,A666,選手一覧!$I$7:$I$2738,"&lt;=100")</f>
        <v>0</v>
      </c>
      <c r="G666" s="13" t="n">
        <f aca="false">_xlfn.MINIFS(選手一覧!$K$7:$K$2738,選手一覧!$C$7:$C$2738,A666)</f>
        <v>534</v>
      </c>
      <c r="H666" s="16"/>
    </row>
    <row r="667" customFormat="false" ht="15" hidden="false" customHeight="false" outlineLevel="0" collapsed="false">
      <c r="A667" s="10" t="s">
        <v>1710</v>
      </c>
      <c r="B667" s="12" t="n">
        <f aca="false">COUNTIF(選手一覧!$C$7:$C$2738,A667)</f>
        <v>1</v>
      </c>
      <c r="C667" s="14" t="n">
        <f aca="false">COUNTIFS(選手一覧!$C$7:$C$2738,A667,選手一覧!$K$7:$K$2738,"&lt;=100")</f>
        <v>0</v>
      </c>
      <c r="D667" s="14" t="n">
        <f aca="false">COUNTIFS(選手一覧!$C$7:$C$2738,A667,選手一覧!$E$7:$E$2738,"&lt;=100")</f>
        <v>0</v>
      </c>
      <c r="E667" s="14" t="n">
        <f aca="false">COUNTIFS(選手一覧!$C$7:$C$2738,A667,選手一覧!$G$7:$G$2738,"&lt;=100")</f>
        <v>0</v>
      </c>
      <c r="F667" s="14" t="n">
        <f aca="false">COUNTIFS(選手一覧!$C$7:$C$2738,A667,選手一覧!$I$7:$I$2738,"&lt;=100")</f>
        <v>0</v>
      </c>
      <c r="G667" s="13" t="n">
        <f aca="false">_xlfn.MINIFS(選手一覧!$K$7:$K$2738,選手一覧!$C$7:$C$2738,A667)</f>
        <v>540</v>
      </c>
      <c r="H667" s="16"/>
    </row>
    <row r="668" customFormat="false" ht="15" hidden="false" customHeight="false" outlineLevel="0" collapsed="false">
      <c r="A668" s="10" t="s">
        <v>1712</v>
      </c>
      <c r="B668" s="12" t="n">
        <f aca="false">COUNTIF(選手一覧!$C$7:$C$2738,A668)</f>
        <v>1</v>
      </c>
      <c r="C668" s="14" t="n">
        <f aca="false">COUNTIFS(選手一覧!$C$7:$C$2738,A668,選手一覧!$K$7:$K$2738,"&lt;=100")</f>
        <v>0</v>
      </c>
      <c r="D668" s="14" t="n">
        <f aca="false">COUNTIFS(選手一覧!$C$7:$C$2738,A668,選手一覧!$E$7:$E$2738,"&lt;=100")</f>
        <v>0</v>
      </c>
      <c r="E668" s="14" t="n">
        <f aca="false">COUNTIFS(選手一覧!$C$7:$C$2738,A668,選手一覧!$G$7:$G$2738,"&lt;=100")</f>
        <v>0</v>
      </c>
      <c r="F668" s="14" t="n">
        <f aca="false">COUNTIFS(選手一覧!$C$7:$C$2738,A668,選手一覧!$I$7:$I$2738,"&lt;=100")</f>
        <v>0</v>
      </c>
      <c r="G668" s="13" t="n">
        <f aca="false">_xlfn.MINIFS(選手一覧!$K$7:$K$2738,選手一覧!$C$7:$C$2738,A668)</f>
        <v>540</v>
      </c>
      <c r="H668" s="16"/>
    </row>
    <row r="669" customFormat="false" ht="15" hidden="false" customHeight="false" outlineLevel="0" collapsed="false">
      <c r="A669" s="10" t="s">
        <v>1715</v>
      </c>
      <c r="B669" s="12" t="n">
        <f aca="false">COUNTIF(選手一覧!$C$7:$C$2738,A669)</f>
        <v>1</v>
      </c>
      <c r="C669" s="14" t="n">
        <f aca="false">COUNTIFS(選手一覧!$C$7:$C$2738,A669,選手一覧!$K$7:$K$2738,"&lt;=100")</f>
        <v>0</v>
      </c>
      <c r="D669" s="14" t="n">
        <f aca="false">COUNTIFS(選手一覧!$C$7:$C$2738,A669,選手一覧!$E$7:$E$2738,"&lt;=100")</f>
        <v>0</v>
      </c>
      <c r="E669" s="14" t="n">
        <f aca="false">COUNTIFS(選手一覧!$C$7:$C$2738,A669,選手一覧!$G$7:$G$2738,"&lt;=100")</f>
        <v>0</v>
      </c>
      <c r="F669" s="14" t="n">
        <f aca="false">COUNTIFS(選手一覧!$C$7:$C$2738,A669,選手一覧!$I$7:$I$2738,"&lt;=100")</f>
        <v>0</v>
      </c>
      <c r="G669" s="13" t="n">
        <f aca="false">_xlfn.MINIFS(選手一覧!$K$7:$K$2738,選手一覧!$C$7:$C$2738,A669)</f>
        <v>541</v>
      </c>
      <c r="H669" s="16"/>
    </row>
    <row r="670" customFormat="false" ht="15" hidden="false" customHeight="false" outlineLevel="0" collapsed="false">
      <c r="A670" s="10" t="s">
        <v>1723</v>
      </c>
      <c r="B670" s="12" t="n">
        <f aca="false">COUNTIF(選手一覧!$C$7:$C$2738,A670)</f>
        <v>1</v>
      </c>
      <c r="C670" s="14" t="n">
        <f aca="false">COUNTIFS(選手一覧!$C$7:$C$2738,A670,選手一覧!$K$7:$K$2738,"&lt;=100")</f>
        <v>0</v>
      </c>
      <c r="D670" s="14" t="n">
        <f aca="false">COUNTIFS(選手一覧!$C$7:$C$2738,A670,選手一覧!$E$7:$E$2738,"&lt;=100")</f>
        <v>0</v>
      </c>
      <c r="E670" s="14" t="n">
        <f aca="false">COUNTIFS(選手一覧!$C$7:$C$2738,A670,選手一覧!$G$7:$G$2738,"&lt;=100")</f>
        <v>0</v>
      </c>
      <c r="F670" s="14" t="n">
        <f aca="false">COUNTIFS(選手一覧!$C$7:$C$2738,A670,選手一覧!$I$7:$I$2738,"&lt;=100")</f>
        <v>0</v>
      </c>
      <c r="G670" s="13" t="n">
        <f aca="false">_xlfn.MINIFS(選手一覧!$K$7:$K$2738,選手一覧!$C$7:$C$2738,A670)</f>
        <v>544</v>
      </c>
      <c r="H670" s="16"/>
    </row>
    <row r="671" customFormat="false" ht="15" hidden="false" customHeight="false" outlineLevel="0" collapsed="false">
      <c r="A671" s="10" t="s">
        <v>1733</v>
      </c>
      <c r="B671" s="12" t="n">
        <f aca="false">COUNTIF(選手一覧!$C$7:$C$2738,A671)</f>
        <v>1</v>
      </c>
      <c r="C671" s="14" t="n">
        <f aca="false">COUNTIFS(選手一覧!$C$7:$C$2738,A671,選手一覧!$K$7:$K$2738,"&lt;=100")</f>
        <v>0</v>
      </c>
      <c r="D671" s="14" t="n">
        <f aca="false">COUNTIFS(選手一覧!$C$7:$C$2738,A671,選手一覧!$E$7:$E$2738,"&lt;=100")</f>
        <v>0</v>
      </c>
      <c r="E671" s="14" t="n">
        <f aca="false">COUNTIFS(選手一覧!$C$7:$C$2738,A671,選手一覧!$G$7:$G$2738,"&lt;=100")</f>
        <v>0</v>
      </c>
      <c r="F671" s="14" t="n">
        <f aca="false">COUNTIFS(選手一覧!$C$7:$C$2738,A671,選手一覧!$I$7:$I$2738,"&lt;=100")</f>
        <v>0</v>
      </c>
      <c r="G671" s="13" t="n">
        <f aca="false">_xlfn.MINIFS(選手一覧!$K$7:$K$2738,選手一覧!$C$7:$C$2738,A671)</f>
        <v>548</v>
      </c>
      <c r="H671" s="16"/>
    </row>
    <row r="672" customFormat="false" ht="15" hidden="false" customHeight="false" outlineLevel="0" collapsed="false">
      <c r="A672" s="10" t="s">
        <v>1736</v>
      </c>
      <c r="B672" s="12" t="n">
        <f aca="false">COUNTIF(選手一覧!$C$7:$C$2738,A672)</f>
        <v>1</v>
      </c>
      <c r="C672" s="14" t="n">
        <f aca="false">COUNTIFS(選手一覧!$C$7:$C$2738,A672,選手一覧!$K$7:$K$2738,"&lt;=100")</f>
        <v>0</v>
      </c>
      <c r="D672" s="14" t="n">
        <f aca="false">COUNTIFS(選手一覧!$C$7:$C$2738,A672,選手一覧!$E$7:$E$2738,"&lt;=100")</f>
        <v>0</v>
      </c>
      <c r="E672" s="14" t="n">
        <f aca="false">COUNTIFS(選手一覧!$C$7:$C$2738,A672,選手一覧!$G$7:$G$2738,"&lt;=100")</f>
        <v>0</v>
      </c>
      <c r="F672" s="14" t="n">
        <f aca="false">COUNTIFS(選手一覧!$C$7:$C$2738,A672,選手一覧!$I$7:$I$2738,"&lt;=100")</f>
        <v>0</v>
      </c>
      <c r="G672" s="13" t="n">
        <f aca="false">_xlfn.MINIFS(選手一覧!$K$7:$K$2738,選手一覧!$C$7:$C$2738,A672)</f>
        <v>549</v>
      </c>
      <c r="H672" s="16"/>
    </row>
    <row r="673" customFormat="false" ht="15" hidden="false" customHeight="false" outlineLevel="0" collapsed="false">
      <c r="A673" s="10" t="s">
        <v>1742</v>
      </c>
      <c r="B673" s="12" t="n">
        <f aca="false">COUNTIF(選手一覧!$C$7:$C$2738,A673)</f>
        <v>1</v>
      </c>
      <c r="C673" s="14" t="n">
        <f aca="false">COUNTIFS(選手一覧!$C$7:$C$2738,A673,選手一覧!$K$7:$K$2738,"&lt;=100")</f>
        <v>0</v>
      </c>
      <c r="D673" s="14" t="n">
        <f aca="false">COUNTIFS(選手一覧!$C$7:$C$2738,A673,選手一覧!$E$7:$E$2738,"&lt;=100")</f>
        <v>0</v>
      </c>
      <c r="E673" s="14" t="n">
        <f aca="false">COUNTIFS(選手一覧!$C$7:$C$2738,A673,選手一覧!$G$7:$G$2738,"&lt;=100")</f>
        <v>0</v>
      </c>
      <c r="F673" s="14" t="n">
        <f aca="false">COUNTIFS(選手一覧!$C$7:$C$2738,A673,選手一覧!$I$7:$I$2738,"&lt;=100")</f>
        <v>0</v>
      </c>
      <c r="G673" s="13" t="n">
        <f aca="false">_xlfn.MINIFS(選手一覧!$K$7:$K$2738,選手一覧!$C$7:$C$2738,A673)</f>
        <v>550</v>
      </c>
      <c r="H673" s="16"/>
    </row>
    <row r="674" customFormat="false" ht="15" hidden="false" customHeight="false" outlineLevel="0" collapsed="false">
      <c r="A674" s="10" t="s">
        <v>1744</v>
      </c>
      <c r="B674" s="12" t="n">
        <f aca="false">COUNTIF(選手一覧!$C$7:$C$2738,A674)</f>
        <v>1</v>
      </c>
      <c r="C674" s="14" t="n">
        <f aca="false">COUNTIFS(選手一覧!$C$7:$C$2738,A674,選手一覧!$K$7:$K$2738,"&lt;=100")</f>
        <v>0</v>
      </c>
      <c r="D674" s="14" t="n">
        <f aca="false">COUNTIFS(選手一覧!$C$7:$C$2738,A674,選手一覧!$E$7:$E$2738,"&lt;=100")</f>
        <v>0</v>
      </c>
      <c r="E674" s="14" t="n">
        <f aca="false">COUNTIFS(選手一覧!$C$7:$C$2738,A674,選手一覧!$G$7:$G$2738,"&lt;=100")</f>
        <v>0</v>
      </c>
      <c r="F674" s="14" t="n">
        <f aca="false">COUNTIFS(選手一覧!$C$7:$C$2738,A674,選手一覧!$I$7:$I$2738,"&lt;=100")</f>
        <v>0</v>
      </c>
      <c r="G674" s="13" t="n">
        <f aca="false">_xlfn.MINIFS(選手一覧!$K$7:$K$2738,選手一覧!$C$7:$C$2738,A674)</f>
        <v>551</v>
      </c>
      <c r="H674" s="16"/>
    </row>
    <row r="675" customFormat="false" ht="15" hidden="false" customHeight="false" outlineLevel="0" collapsed="false">
      <c r="A675" s="10" t="s">
        <v>1749</v>
      </c>
      <c r="B675" s="12" t="n">
        <f aca="false">COUNTIF(選手一覧!$C$7:$C$2738,A675)</f>
        <v>1</v>
      </c>
      <c r="C675" s="14" t="n">
        <f aca="false">COUNTIFS(選手一覧!$C$7:$C$2738,A675,選手一覧!$K$7:$K$2738,"&lt;=100")</f>
        <v>0</v>
      </c>
      <c r="D675" s="14" t="n">
        <f aca="false">COUNTIFS(選手一覧!$C$7:$C$2738,A675,選手一覧!$E$7:$E$2738,"&lt;=100")</f>
        <v>0</v>
      </c>
      <c r="E675" s="14" t="n">
        <f aca="false">COUNTIFS(選手一覧!$C$7:$C$2738,A675,選手一覧!$G$7:$G$2738,"&lt;=100")</f>
        <v>0</v>
      </c>
      <c r="F675" s="14" t="n">
        <f aca="false">COUNTIFS(選手一覧!$C$7:$C$2738,A675,選手一覧!$I$7:$I$2738,"&lt;=100")</f>
        <v>0</v>
      </c>
      <c r="G675" s="13" t="n">
        <f aca="false">_xlfn.MINIFS(選手一覧!$K$7:$K$2738,選手一覧!$C$7:$C$2738,A675)</f>
        <v>553</v>
      </c>
      <c r="H675" s="16"/>
    </row>
    <row r="676" customFormat="false" ht="15" hidden="false" customHeight="false" outlineLevel="0" collapsed="false">
      <c r="A676" s="10" t="s">
        <v>1751</v>
      </c>
      <c r="B676" s="12" t="n">
        <f aca="false">COUNTIF(選手一覧!$C$7:$C$2738,A676)</f>
        <v>1</v>
      </c>
      <c r="C676" s="14" t="n">
        <f aca="false">COUNTIFS(選手一覧!$C$7:$C$2738,A676,選手一覧!$K$7:$K$2738,"&lt;=100")</f>
        <v>0</v>
      </c>
      <c r="D676" s="14" t="n">
        <f aca="false">COUNTIFS(選手一覧!$C$7:$C$2738,A676,選手一覧!$E$7:$E$2738,"&lt;=100")</f>
        <v>0</v>
      </c>
      <c r="E676" s="14" t="n">
        <f aca="false">COUNTIFS(選手一覧!$C$7:$C$2738,A676,選手一覧!$G$7:$G$2738,"&lt;=100")</f>
        <v>0</v>
      </c>
      <c r="F676" s="14" t="n">
        <f aca="false">COUNTIFS(選手一覧!$C$7:$C$2738,A676,選手一覧!$I$7:$I$2738,"&lt;=100")</f>
        <v>0</v>
      </c>
      <c r="G676" s="13" t="n">
        <f aca="false">_xlfn.MINIFS(選手一覧!$K$7:$K$2738,選手一覧!$C$7:$C$2738,A676)</f>
        <v>554</v>
      </c>
      <c r="H676" s="16"/>
    </row>
    <row r="677" customFormat="false" ht="15" hidden="false" customHeight="false" outlineLevel="0" collapsed="false">
      <c r="A677" s="10" t="s">
        <v>1758</v>
      </c>
      <c r="B677" s="12" t="n">
        <f aca="false">COUNTIF(選手一覧!$C$7:$C$2738,A677)</f>
        <v>1</v>
      </c>
      <c r="C677" s="14" t="n">
        <f aca="false">COUNTIFS(選手一覧!$C$7:$C$2738,A677,選手一覧!$K$7:$K$2738,"&lt;=100")</f>
        <v>0</v>
      </c>
      <c r="D677" s="14" t="n">
        <f aca="false">COUNTIFS(選手一覧!$C$7:$C$2738,A677,選手一覧!$E$7:$E$2738,"&lt;=100")</f>
        <v>0</v>
      </c>
      <c r="E677" s="14" t="n">
        <f aca="false">COUNTIFS(選手一覧!$C$7:$C$2738,A677,選手一覧!$G$7:$G$2738,"&lt;=100")</f>
        <v>0</v>
      </c>
      <c r="F677" s="14" t="n">
        <f aca="false">COUNTIFS(選手一覧!$C$7:$C$2738,A677,選手一覧!$I$7:$I$2738,"&lt;=100")</f>
        <v>0</v>
      </c>
      <c r="G677" s="13" t="n">
        <f aca="false">_xlfn.MINIFS(選手一覧!$K$7:$K$2738,選手一覧!$C$7:$C$2738,A677)</f>
        <v>557</v>
      </c>
      <c r="H677" s="16"/>
    </row>
    <row r="678" customFormat="false" ht="15" hidden="false" customHeight="false" outlineLevel="0" collapsed="false">
      <c r="A678" s="10" t="s">
        <v>1760</v>
      </c>
      <c r="B678" s="12" t="n">
        <f aca="false">COUNTIF(選手一覧!$C$7:$C$2738,A678)</f>
        <v>1</v>
      </c>
      <c r="C678" s="14" t="n">
        <f aca="false">COUNTIFS(選手一覧!$C$7:$C$2738,A678,選手一覧!$K$7:$K$2738,"&lt;=100")</f>
        <v>0</v>
      </c>
      <c r="D678" s="14" t="n">
        <f aca="false">COUNTIFS(選手一覧!$C$7:$C$2738,A678,選手一覧!$E$7:$E$2738,"&lt;=100")</f>
        <v>0</v>
      </c>
      <c r="E678" s="14" t="n">
        <f aca="false">COUNTIFS(選手一覧!$C$7:$C$2738,A678,選手一覧!$G$7:$G$2738,"&lt;=100")</f>
        <v>0</v>
      </c>
      <c r="F678" s="14" t="n">
        <f aca="false">COUNTIFS(選手一覧!$C$7:$C$2738,A678,選手一覧!$I$7:$I$2738,"&lt;=100")</f>
        <v>0</v>
      </c>
      <c r="G678" s="13" t="n">
        <f aca="false">_xlfn.MINIFS(選手一覧!$K$7:$K$2738,選手一覧!$C$7:$C$2738,A678)</f>
        <v>557</v>
      </c>
      <c r="H678" s="16"/>
    </row>
    <row r="679" customFormat="false" ht="15" hidden="false" customHeight="false" outlineLevel="0" collapsed="false">
      <c r="A679" s="10" t="s">
        <v>1766</v>
      </c>
      <c r="B679" s="12" t="n">
        <f aca="false">COUNTIF(選手一覧!$C$7:$C$2738,A679)</f>
        <v>1</v>
      </c>
      <c r="C679" s="14" t="n">
        <f aca="false">COUNTIFS(選手一覧!$C$7:$C$2738,A679,選手一覧!$K$7:$K$2738,"&lt;=100")</f>
        <v>0</v>
      </c>
      <c r="D679" s="14" t="n">
        <f aca="false">COUNTIFS(選手一覧!$C$7:$C$2738,A679,選手一覧!$E$7:$E$2738,"&lt;=100")</f>
        <v>0</v>
      </c>
      <c r="E679" s="14" t="n">
        <f aca="false">COUNTIFS(選手一覧!$C$7:$C$2738,A679,選手一覧!$G$7:$G$2738,"&lt;=100")</f>
        <v>0</v>
      </c>
      <c r="F679" s="14" t="n">
        <f aca="false">COUNTIFS(選手一覧!$C$7:$C$2738,A679,選手一覧!$I$7:$I$2738,"&lt;=100")</f>
        <v>0</v>
      </c>
      <c r="G679" s="13" t="n">
        <f aca="false">_xlfn.MINIFS(選手一覧!$K$7:$K$2738,選手一覧!$C$7:$C$2738,A679)</f>
        <v>559</v>
      </c>
      <c r="H679" s="16"/>
    </row>
    <row r="680" customFormat="false" ht="15" hidden="false" customHeight="false" outlineLevel="0" collapsed="false">
      <c r="A680" s="10" t="s">
        <v>1779</v>
      </c>
      <c r="B680" s="12" t="n">
        <f aca="false">COUNTIF(選手一覧!$C$7:$C$2738,A680)</f>
        <v>1</v>
      </c>
      <c r="C680" s="14" t="n">
        <f aca="false">COUNTIFS(選手一覧!$C$7:$C$2738,A680,選手一覧!$K$7:$K$2738,"&lt;=100")</f>
        <v>0</v>
      </c>
      <c r="D680" s="14" t="n">
        <f aca="false">COUNTIFS(選手一覧!$C$7:$C$2738,A680,選手一覧!$E$7:$E$2738,"&lt;=100")</f>
        <v>0</v>
      </c>
      <c r="E680" s="14" t="n">
        <f aca="false">COUNTIFS(選手一覧!$C$7:$C$2738,A680,選手一覧!$G$7:$G$2738,"&lt;=100")</f>
        <v>0</v>
      </c>
      <c r="F680" s="14" t="n">
        <f aca="false">COUNTIFS(選手一覧!$C$7:$C$2738,A680,選手一覧!$I$7:$I$2738,"&lt;=100")</f>
        <v>0</v>
      </c>
      <c r="G680" s="13" t="n">
        <f aca="false">_xlfn.MINIFS(選手一覧!$K$7:$K$2738,選手一覧!$C$7:$C$2738,A680)</f>
        <v>563</v>
      </c>
      <c r="H680" s="16"/>
    </row>
    <row r="681" customFormat="false" ht="15" hidden="false" customHeight="false" outlineLevel="0" collapsed="false">
      <c r="A681" s="10" t="s">
        <v>1781</v>
      </c>
      <c r="B681" s="12" t="n">
        <f aca="false">COUNTIF(選手一覧!$C$7:$C$2738,A681)</f>
        <v>1</v>
      </c>
      <c r="C681" s="14" t="n">
        <f aca="false">COUNTIFS(選手一覧!$C$7:$C$2738,A681,選手一覧!$K$7:$K$2738,"&lt;=100")</f>
        <v>0</v>
      </c>
      <c r="D681" s="14" t="n">
        <f aca="false">COUNTIFS(選手一覧!$C$7:$C$2738,A681,選手一覧!$E$7:$E$2738,"&lt;=100")</f>
        <v>0</v>
      </c>
      <c r="E681" s="14" t="n">
        <f aca="false">COUNTIFS(選手一覧!$C$7:$C$2738,A681,選手一覧!$G$7:$G$2738,"&lt;=100")</f>
        <v>0</v>
      </c>
      <c r="F681" s="14" t="n">
        <f aca="false">COUNTIFS(選手一覧!$C$7:$C$2738,A681,選手一覧!$I$7:$I$2738,"&lt;=100")</f>
        <v>0</v>
      </c>
      <c r="G681" s="13" t="n">
        <f aca="false">_xlfn.MINIFS(選手一覧!$K$7:$K$2738,選手一覧!$C$7:$C$2738,A681)</f>
        <v>563</v>
      </c>
      <c r="H681" s="16"/>
    </row>
    <row r="682" customFormat="false" ht="15" hidden="false" customHeight="false" outlineLevel="0" collapsed="false">
      <c r="A682" s="10" t="s">
        <v>1786</v>
      </c>
      <c r="B682" s="12" t="n">
        <f aca="false">COUNTIF(選手一覧!$C$7:$C$2738,A682)</f>
        <v>1</v>
      </c>
      <c r="C682" s="14" t="n">
        <f aca="false">COUNTIFS(選手一覧!$C$7:$C$2738,A682,選手一覧!$K$7:$K$2738,"&lt;=100")</f>
        <v>0</v>
      </c>
      <c r="D682" s="14" t="n">
        <f aca="false">COUNTIFS(選手一覧!$C$7:$C$2738,A682,選手一覧!$E$7:$E$2738,"&lt;=100")</f>
        <v>0</v>
      </c>
      <c r="E682" s="14" t="n">
        <f aca="false">COUNTIFS(選手一覧!$C$7:$C$2738,A682,選手一覧!$G$7:$G$2738,"&lt;=100")</f>
        <v>0</v>
      </c>
      <c r="F682" s="14" t="n">
        <f aca="false">COUNTIFS(選手一覧!$C$7:$C$2738,A682,選手一覧!$I$7:$I$2738,"&lt;=100")</f>
        <v>0</v>
      </c>
      <c r="G682" s="13" t="n">
        <f aca="false">_xlfn.MINIFS(選手一覧!$K$7:$K$2738,選手一覧!$C$7:$C$2738,A682)</f>
        <v>564</v>
      </c>
      <c r="H682" s="16"/>
    </row>
    <row r="683" customFormat="false" ht="15" hidden="false" customHeight="false" outlineLevel="0" collapsed="false">
      <c r="A683" s="10" t="s">
        <v>1801</v>
      </c>
      <c r="B683" s="12" t="n">
        <f aca="false">COUNTIF(選手一覧!$C$7:$C$2738,A683)</f>
        <v>1</v>
      </c>
      <c r="C683" s="14" t="n">
        <f aca="false">COUNTIFS(選手一覧!$C$7:$C$2738,A683,選手一覧!$K$7:$K$2738,"&lt;=100")</f>
        <v>0</v>
      </c>
      <c r="D683" s="14" t="n">
        <f aca="false">COUNTIFS(選手一覧!$C$7:$C$2738,A683,選手一覧!$E$7:$E$2738,"&lt;=100")</f>
        <v>0</v>
      </c>
      <c r="E683" s="14" t="n">
        <f aca="false">COUNTIFS(選手一覧!$C$7:$C$2738,A683,選手一覧!$G$7:$G$2738,"&lt;=100")</f>
        <v>0</v>
      </c>
      <c r="F683" s="14" t="n">
        <f aca="false">COUNTIFS(選手一覧!$C$7:$C$2738,A683,選手一覧!$I$7:$I$2738,"&lt;=100")</f>
        <v>0</v>
      </c>
      <c r="G683" s="13" t="n">
        <f aca="false">_xlfn.MINIFS(選手一覧!$K$7:$K$2738,選手一覧!$C$7:$C$2738,A683)</f>
        <v>570</v>
      </c>
      <c r="H683" s="16"/>
    </row>
    <row r="684" customFormat="false" ht="15" hidden="false" customHeight="false" outlineLevel="0" collapsed="false">
      <c r="A684" s="10" t="s">
        <v>1807</v>
      </c>
      <c r="B684" s="12" t="n">
        <f aca="false">COUNTIF(選手一覧!$C$7:$C$2738,A684)</f>
        <v>1</v>
      </c>
      <c r="C684" s="14" t="n">
        <f aca="false">COUNTIFS(選手一覧!$C$7:$C$2738,A684,選手一覧!$K$7:$K$2738,"&lt;=100")</f>
        <v>0</v>
      </c>
      <c r="D684" s="14" t="n">
        <f aca="false">COUNTIFS(選手一覧!$C$7:$C$2738,A684,選手一覧!$E$7:$E$2738,"&lt;=100")</f>
        <v>0</v>
      </c>
      <c r="E684" s="14" t="n">
        <f aca="false">COUNTIFS(選手一覧!$C$7:$C$2738,A684,選手一覧!$G$7:$G$2738,"&lt;=100")</f>
        <v>0</v>
      </c>
      <c r="F684" s="14" t="n">
        <f aca="false">COUNTIFS(選手一覧!$C$7:$C$2738,A684,選手一覧!$I$7:$I$2738,"&lt;=100")</f>
        <v>0</v>
      </c>
      <c r="G684" s="13" t="n">
        <f aca="false">_xlfn.MINIFS(選手一覧!$K$7:$K$2738,選手一覧!$C$7:$C$2738,A684)</f>
        <v>572</v>
      </c>
      <c r="H684" s="16"/>
    </row>
    <row r="685" customFormat="false" ht="15" hidden="false" customHeight="false" outlineLevel="0" collapsed="false">
      <c r="A685" s="10" t="s">
        <v>1811</v>
      </c>
      <c r="B685" s="12" t="n">
        <f aca="false">COUNTIF(選手一覧!$C$7:$C$2738,A685)</f>
        <v>1</v>
      </c>
      <c r="C685" s="14" t="n">
        <f aca="false">COUNTIFS(選手一覧!$C$7:$C$2738,A685,選手一覧!$K$7:$K$2738,"&lt;=100")</f>
        <v>0</v>
      </c>
      <c r="D685" s="14" t="n">
        <f aca="false">COUNTIFS(選手一覧!$C$7:$C$2738,A685,選手一覧!$E$7:$E$2738,"&lt;=100")</f>
        <v>0</v>
      </c>
      <c r="E685" s="14" t="n">
        <f aca="false">COUNTIFS(選手一覧!$C$7:$C$2738,A685,選手一覧!$G$7:$G$2738,"&lt;=100")</f>
        <v>0</v>
      </c>
      <c r="F685" s="14" t="n">
        <f aca="false">COUNTIFS(選手一覧!$C$7:$C$2738,A685,選手一覧!$I$7:$I$2738,"&lt;=100")</f>
        <v>0</v>
      </c>
      <c r="G685" s="13" t="n">
        <f aca="false">_xlfn.MINIFS(選手一覧!$K$7:$K$2738,選手一覧!$C$7:$C$2738,A685)</f>
        <v>575</v>
      </c>
      <c r="H685" s="16"/>
    </row>
    <row r="686" customFormat="false" ht="15" hidden="false" customHeight="false" outlineLevel="0" collapsed="false">
      <c r="A686" s="10" t="s">
        <v>1825</v>
      </c>
      <c r="B686" s="12" t="n">
        <f aca="false">COUNTIF(選手一覧!$C$7:$C$2738,A686)</f>
        <v>1</v>
      </c>
      <c r="C686" s="14" t="n">
        <f aca="false">COUNTIFS(選手一覧!$C$7:$C$2738,A686,選手一覧!$K$7:$K$2738,"&lt;=100")</f>
        <v>0</v>
      </c>
      <c r="D686" s="14" t="n">
        <f aca="false">COUNTIFS(選手一覧!$C$7:$C$2738,A686,選手一覧!$E$7:$E$2738,"&lt;=100")</f>
        <v>0</v>
      </c>
      <c r="E686" s="14" t="n">
        <f aca="false">COUNTIFS(選手一覧!$C$7:$C$2738,A686,選手一覧!$G$7:$G$2738,"&lt;=100")</f>
        <v>0</v>
      </c>
      <c r="F686" s="14" t="n">
        <f aca="false">COUNTIFS(選手一覧!$C$7:$C$2738,A686,選手一覧!$I$7:$I$2738,"&lt;=100")</f>
        <v>0</v>
      </c>
      <c r="G686" s="13" t="n">
        <f aca="false">_xlfn.MINIFS(選手一覧!$K$7:$K$2738,選手一覧!$C$7:$C$2738,A686)</f>
        <v>580</v>
      </c>
      <c r="H686" s="16"/>
    </row>
    <row r="687" customFormat="false" ht="15" hidden="false" customHeight="false" outlineLevel="0" collapsed="false">
      <c r="A687" s="10" t="s">
        <v>1828</v>
      </c>
      <c r="B687" s="12" t="n">
        <f aca="false">COUNTIF(選手一覧!$C$7:$C$2738,A687)</f>
        <v>1</v>
      </c>
      <c r="C687" s="14" t="n">
        <f aca="false">COUNTIFS(選手一覧!$C$7:$C$2738,A687,選手一覧!$K$7:$K$2738,"&lt;=100")</f>
        <v>0</v>
      </c>
      <c r="D687" s="14" t="n">
        <f aca="false">COUNTIFS(選手一覧!$C$7:$C$2738,A687,選手一覧!$E$7:$E$2738,"&lt;=100")</f>
        <v>0</v>
      </c>
      <c r="E687" s="14" t="n">
        <f aca="false">COUNTIFS(選手一覧!$C$7:$C$2738,A687,選手一覧!$G$7:$G$2738,"&lt;=100")</f>
        <v>0</v>
      </c>
      <c r="F687" s="14" t="n">
        <f aca="false">COUNTIFS(選手一覧!$C$7:$C$2738,A687,選手一覧!$I$7:$I$2738,"&lt;=100")</f>
        <v>0</v>
      </c>
      <c r="G687" s="13" t="n">
        <f aca="false">_xlfn.MINIFS(選手一覧!$K$7:$K$2738,選手一覧!$C$7:$C$2738,A687)</f>
        <v>581</v>
      </c>
      <c r="H687" s="16"/>
    </row>
    <row r="688" customFormat="false" ht="15" hidden="false" customHeight="false" outlineLevel="0" collapsed="false">
      <c r="A688" s="10" t="s">
        <v>1852</v>
      </c>
      <c r="B688" s="12" t="n">
        <f aca="false">COUNTIF(選手一覧!$C$7:$C$2738,A688)</f>
        <v>1</v>
      </c>
      <c r="C688" s="14" t="n">
        <f aca="false">COUNTIFS(選手一覧!$C$7:$C$2738,A688,選手一覧!$K$7:$K$2738,"&lt;=100")</f>
        <v>0</v>
      </c>
      <c r="D688" s="14" t="n">
        <f aca="false">COUNTIFS(選手一覧!$C$7:$C$2738,A688,選手一覧!$E$7:$E$2738,"&lt;=100")</f>
        <v>0</v>
      </c>
      <c r="E688" s="14" t="n">
        <f aca="false">COUNTIFS(選手一覧!$C$7:$C$2738,A688,選手一覧!$G$7:$G$2738,"&lt;=100")</f>
        <v>0</v>
      </c>
      <c r="F688" s="14" t="n">
        <f aca="false">COUNTIFS(選手一覧!$C$7:$C$2738,A688,選手一覧!$I$7:$I$2738,"&lt;=100")</f>
        <v>0</v>
      </c>
      <c r="G688" s="13" t="n">
        <f aca="false">_xlfn.MINIFS(選手一覧!$K$7:$K$2738,選手一覧!$C$7:$C$2738,A688)</f>
        <v>591</v>
      </c>
      <c r="H688" s="16"/>
    </row>
    <row r="689" customFormat="false" ht="15" hidden="false" customHeight="false" outlineLevel="0" collapsed="false">
      <c r="A689" s="10" t="s">
        <v>1857</v>
      </c>
      <c r="B689" s="12" t="n">
        <f aca="false">COUNTIF(選手一覧!$C$7:$C$2738,A689)</f>
        <v>1</v>
      </c>
      <c r="C689" s="14" t="n">
        <f aca="false">COUNTIFS(選手一覧!$C$7:$C$2738,A689,選手一覧!$K$7:$K$2738,"&lt;=100")</f>
        <v>0</v>
      </c>
      <c r="D689" s="14" t="n">
        <f aca="false">COUNTIFS(選手一覧!$C$7:$C$2738,A689,選手一覧!$E$7:$E$2738,"&lt;=100")</f>
        <v>0</v>
      </c>
      <c r="E689" s="14" t="n">
        <f aca="false">COUNTIFS(選手一覧!$C$7:$C$2738,A689,選手一覧!$G$7:$G$2738,"&lt;=100")</f>
        <v>0</v>
      </c>
      <c r="F689" s="14" t="n">
        <f aca="false">COUNTIFS(選手一覧!$C$7:$C$2738,A689,選手一覧!$I$7:$I$2738,"&lt;=100")</f>
        <v>0</v>
      </c>
      <c r="G689" s="13" t="n">
        <f aca="false">_xlfn.MINIFS(選手一覧!$K$7:$K$2738,選手一覧!$C$7:$C$2738,A689)</f>
        <v>592</v>
      </c>
      <c r="H689" s="16"/>
    </row>
    <row r="690" customFormat="false" ht="15" hidden="false" customHeight="false" outlineLevel="0" collapsed="false">
      <c r="A690" s="10" t="s">
        <v>1861</v>
      </c>
      <c r="B690" s="12" t="n">
        <f aca="false">COUNTIF(選手一覧!$C$7:$C$2738,A690)</f>
        <v>1</v>
      </c>
      <c r="C690" s="14" t="n">
        <f aca="false">COUNTIFS(選手一覧!$C$7:$C$2738,A690,選手一覧!$K$7:$K$2738,"&lt;=100")</f>
        <v>0</v>
      </c>
      <c r="D690" s="14" t="n">
        <f aca="false">COUNTIFS(選手一覧!$C$7:$C$2738,A690,選手一覧!$E$7:$E$2738,"&lt;=100")</f>
        <v>0</v>
      </c>
      <c r="E690" s="14" t="n">
        <f aca="false">COUNTIFS(選手一覧!$C$7:$C$2738,A690,選手一覧!$G$7:$G$2738,"&lt;=100")</f>
        <v>0</v>
      </c>
      <c r="F690" s="14" t="n">
        <f aca="false">COUNTIFS(選手一覧!$C$7:$C$2738,A690,選手一覧!$I$7:$I$2738,"&lt;=100")</f>
        <v>0</v>
      </c>
      <c r="G690" s="13" t="n">
        <f aca="false">_xlfn.MINIFS(選手一覧!$K$7:$K$2738,選手一覧!$C$7:$C$2738,A690)</f>
        <v>594</v>
      </c>
      <c r="H690" s="16"/>
    </row>
    <row r="691" customFormat="false" ht="15" hidden="false" customHeight="false" outlineLevel="0" collapsed="false">
      <c r="A691" s="10" t="s">
        <v>1863</v>
      </c>
      <c r="B691" s="12" t="n">
        <f aca="false">COUNTIF(選手一覧!$C$7:$C$2738,A691)</f>
        <v>1</v>
      </c>
      <c r="C691" s="14" t="n">
        <f aca="false">COUNTIFS(選手一覧!$C$7:$C$2738,A691,選手一覧!$K$7:$K$2738,"&lt;=100")</f>
        <v>0</v>
      </c>
      <c r="D691" s="14" t="n">
        <f aca="false">COUNTIFS(選手一覧!$C$7:$C$2738,A691,選手一覧!$E$7:$E$2738,"&lt;=100")</f>
        <v>0</v>
      </c>
      <c r="E691" s="14" t="n">
        <f aca="false">COUNTIFS(選手一覧!$C$7:$C$2738,A691,選手一覧!$G$7:$G$2738,"&lt;=100")</f>
        <v>0</v>
      </c>
      <c r="F691" s="14" t="n">
        <f aca="false">COUNTIFS(選手一覧!$C$7:$C$2738,A691,選手一覧!$I$7:$I$2738,"&lt;=100")</f>
        <v>0</v>
      </c>
      <c r="G691" s="13" t="n">
        <f aca="false">_xlfn.MINIFS(選手一覧!$K$7:$K$2738,選手一覧!$C$7:$C$2738,A691)</f>
        <v>595</v>
      </c>
      <c r="H691" s="16"/>
    </row>
    <row r="692" customFormat="false" ht="15" hidden="false" customHeight="false" outlineLevel="0" collapsed="false">
      <c r="A692" s="10" t="s">
        <v>1865</v>
      </c>
      <c r="B692" s="12" t="n">
        <f aca="false">COUNTIF(選手一覧!$C$7:$C$2738,A692)</f>
        <v>1</v>
      </c>
      <c r="C692" s="14" t="n">
        <f aca="false">COUNTIFS(選手一覧!$C$7:$C$2738,A692,選手一覧!$K$7:$K$2738,"&lt;=100")</f>
        <v>0</v>
      </c>
      <c r="D692" s="14" t="n">
        <f aca="false">COUNTIFS(選手一覧!$C$7:$C$2738,A692,選手一覧!$E$7:$E$2738,"&lt;=100")</f>
        <v>0</v>
      </c>
      <c r="E692" s="14" t="n">
        <f aca="false">COUNTIFS(選手一覧!$C$7:$C$2738,A692,選手一覧!$G$7:$G$2738,"&lt;=100")</f>
        <v>0</v>
      </c>
      <c r="F692" s="14" t="n">
        <f aca="false">COUNTIFS(選手一覧!$C$7:$C$2738,A692,選手一覧!$I$7:$I$2738,"&lt;=100")</f>
        <v>0</v>
      </c>
      <c r="G692" s="13" t="n">
        <f aca="false">_xlfn.MINIFS(選手一覧!$K$7:$K$2738,選手一覧!$C$7:$C$2738,A692)</f>
        <v>595</v>
      </c>
      <c r="H692" s="16"/>
    </row>
    <row r="693" customFormat="false" ht="15" hidden="false" customHeight="false" outlineLevel="0" collapsed="false">
      <c r="A693" s="10" t="s">
        <v>1868</v>
      </c>
      <c r="B693" s="12" t="n">
        <f aca="false">COUNTIF(選手一覧!$C$7:$C$2738,A693)</f>
        <v>1</v>
      </c>
      <c r="C693" s="14" t="n">
        <f aca="false">COUNTIFS(選手一覧!$C$7:$C$2738,A693,選手一覧!$K$7:$K$2738,"&lt;=100")</f>
        <v>0</v>
      </c>
      <c r="D693" s="14" t="n">
        <f aca="false">COUNTIFS(選手一覧!$C$7:$C$2738,A693,選手一覧!$E$7:$E$2738,"&lt;=100")</f>
        <v>0</v>
      </c>
      <c r="E693" s="14" t="n">
        <f aca="false">COUNTIFS(選手一覧!$C$7:$C$2738,A693,選手一覧!$G$7:$G$2738,"&lt;=100")</f>
        <v>0</v>
      </c>
      <c r="F693" s="14" t="n">
        <f aca="false">COUNTIFS(選手一覧!$C$7:$C$2738,A693,選手一覧!$I$7:$I$2738,"&lt;=100")</f>
        <v>0</v>
      </c>
      <c r="G693" s="13" t="n">
        <f aca="false">_xlfn.MINIFS(選手一覧!$K$7:$K$2738,選手一覧!$C$7:$C$2738,A693)</f>
        <v>596</v>
      </c>
      <c r="H693" s="16"/>
    </row>
    <row r="694" customFormat="false" ht="15" hidden="false" customHeight="false" outlineLevel="0" collapsed="false">
      <c r="A694" s="10" t="s">
        <v>1903</v>
      </c>
      <c r="B694" s="12" t="n">
        <f aca="false">COUNTIF(選手一覧!$C$7:$C$2738,A694)</f>
        <v>1</v>
      </c>
      <c r="C694" s="14" t="n">
        <f aca="false">COUNTIFS(選手一覧!$C$7:$C$2738,A694,選手一覧!$K$7:$K$2738,"&lt;=100")</f>
        <v>0</v>
      </c>
      <c r="D694" s="14" t="n">
        <f aca="false">COUNTIFS(選手一覧!$C$7:$C$2738,A694,選手一覧!$E$7:$E$2738,"&lt;=100")</f>
        <v>0</v>
      </c>
      <c r="E694" s="14" t="n">
        <f aca="false">COUNTIFS(選手一覧!$C$7:$C$2738,A694,選手一覧!$G$7:$G$2738,"&lt;=100")</f>
        <v>0</v>
      </c>
      <c r="F694" s="14" t="n">
        <f aca="false">COUNTIFS(選手一覧!$C$7:$C$2738,A694,選手一覧!$I$7:$I$2738,"&lt;=100")</f>
        <v>0</v>
      </c>
      <c r="G694" s="13" t="n">
        <f aca="false">_xlfn.MINIFS(選手一覧!$K$7:$K$2738,選手一覧!$C$7:$C$2738,A694)</f>
        <v>609</v>
      </c>
      <c r="H694" s="16"/>
    </row>
    <row r="695" customFormat="false" ht="15" hidden="false" customHeight="false" outlineLevel="0" collapsed="false">
      <c r="A695" s="10" t="s">
        <v>1910</v>
      </c>
      <c r="B695" s="12" t="n">
        <f aca="false">COUNTIF(選手一覧!$C$7:$C$2738,A695)</f>
        <v>1</v>
      </c>
      <c r="C695" s="14" t="n">
        <f aca="false">COUNTIFS(選手一覧!$C$7:$C$2738,A695,選手一覧!$K$7:$K$2738,"&lt;=100")</f>
        <v>0</v>
      </c>
      <c r="D695" s="14" t="n">
        <f aca="false">COUNTIFS(選手一覧!$C$7:$C$2738,A695,選手一覧!$E$7:$E$2738,"&lt;=100")</f>
        <v>0</v>
      </c>
      <c r="E695" s="14" t="n">
        <f aca="false">COUNTIFS(選手一覧!$C$7:$C$2738,A695,選手一覧!$G$7:$G$2738,"&lt;=100")</f>
        <v>0</v>
      </c>
      <c r="F695" s="14" t="n">
        <f aca="false">COUNTIFS(選手一覧!$C$7:$C$2738,A695,選手一覧!$I$7:$I$2738,"&lt;=100")</f>
        <v>0</v>
      </c>
      <c r="G695" s="13" t="n">
        <f aca="false">_xlfn.MINIFS(選手一覧!$K$7:$K$2738,選手一覧!$C$7:$C$2738,A695)</f>
        <v>611</v>
      </c>
      <c r="H695" s="16"/>
    </row>
    <row r="696" customFormat="false" ht="15" hidden="false" customHeight="false" outlineLevel="0" collapsed="false">
      <c r="A696" s="10" t="s">
        <v>1914</v>
      </c>
      <c r="B696" s="12" t="n">
        <f aca="false">COUNTIF(選手一覧!$C$7:$C$2738,A696)</f>
        <v>1</v>
      </c>
      <c r="C696" s="14" t="n">
        <f aca="false">COUNTIFS(選手一覧!$C$7:$C$2738,A696,選手一覧!$K$7:$K$2738,"&lt;=100")</f>
        <v>0</v>
      </c>
      <c r="D696" s="14" t="n">
        <f aca="false">COUNTIFS(選手一覧!$C$7:$C$2738,A696,選手一覧!$E$7:$E$2738,"&lt;=100")</f>
        <v>0</v>
      </c>
      <c r="E696" s="14" t="n">
        <f aca="false">COUNTIFS(選手一覧!$C$7:$C$2738,A696,選手一覧!$G$7:$G$2738,"&lt;=100")</f>
        <v>0</v>
      </c>
      <c r="F696" s="14" t="n">
        <f aca="false">COUNTIFS(選手一覧!$C$7:$C$2738,A696,選手一覧!$I$7:$I$2738,"&lt;=100")</f>
        <v>0</v>
      </c>
      <c r="G696" s="13" t="n">
        <f aca="false">_xlfn.MINIFS(選手一覧!$K$7:$K$2738,選手一覧!$C$7:$C$2738,A696)</f>
        <v>612</v>
      </c>
      <c r="H696" s="16"/>
    </row>
    <row r="697" customFormat="false" ht="15" hidden="false" customHeight="false" outlineLevel="0" collapsed="false">
      <c r="A697" s="10" t="s">
        <v>1921</v>
      </c>
      <c r="B697" s="12" t="n">
        <f aca="false">COUNTIF(選手一覧!$C$7:$C$2738,A697)</f>
        <v>1</v>
      </c>
      <c r="C697" s="14" t="n">
        <f aca="false">COUNTIFS(選手一覧!$C$7:$C$2738,A697,選手一覧!$K$7:$K$2738,"&lt;=100")</f>
        <v>0</v>
      </c>
      <c r="D697" s="14" t="n">
        <f aca="false">COUNTIFS(選手一覧!$C$7:$C$2738,A697,選手一覧!$E$7:$E$2738,"&lt;=100")</f>
        <v>0</v>
      </c>
      <c r="E697" s="14" t="n">
        <f aca="false">COUNTIFS(選手一覧!$C$7:$C$2738,A697,選手一覧!$G$7:$G$2738,"&lt;=100")</f>
        <v>0</v>
      </c>
      <c r="F697" s="14" t="n">
        <f aca="false">COUNTIFS(選手一覧!$C$7:$C$2738,A697,選手一覧!$I$7:$I$2738,"&lt;=100")</f>
        <v>0</v>
      </c>
      <c r="G697" s="13" t="n">
        <f aca="false">_xlfn.MINIFS(選手一覧!$K$7:$K$2738,選手一覧!$C$7:$C$2738,A697)</f>
        <v>615</v>
      </c>
      <c r="H697" s="16"/>
    </row>
    <row r="698" customFormat="false" ht="15" hidden="false" customHeight="false" outlineLevel="0" collapsed="false">
      <c r="A698" s="10" t="s">
        <v>1924</v>
      </c>
      <c r="B698" s="12" t="n">
        <f aca="false">COUNTIF(選手一覧!$C$7:$C$2738,A698)</f>
        <v>1</v>
      </c>
      <c r="C698" s="14" t="n">
        <f aca="false">COUNTIFS(選手一覧!$C$7:$C$2738,A698,選手一覧!$K$7:$K$2738,"&lt;=100")</f>
        <v>0</v>
      </c>
      <c r="D698" s="14" t="n">
        <f aca="false">COUNTIFS(選手一覧!$C$7:$C$2738,A698,選手一覧!$E$7:$E$2738,"&lt;=100")</f>
        <v>0</v>
      </c>
      <c r="E698" s="14" t="n">
        <f aca="false">COUNTIFS(選手一覧!$C$7:$C$2738,A698,選手一覧!$G$7:$G$2738,"&lt;=100")</f>
        <v>0</v>
      </c>
      <c r="F698" s="14" t="n">
        <f aca="false">COUNTIFS(選手一覧!$C$7:$C$2738,A698,選手一覧!$I$7:$I$2738,"&lt;=100")</f>
        <v>0</v>
      </c>
      <c r="G698" s="13" t="n">
        <f aca="false">_xlfn.MINIFS(選手一覧!$K$7:$K$2738,選手一覧!$C$7:$C$2738,A698)</f>
        <v>616</v>
      </c>
      <c r="H698" s="16"/>
    </row>
    <row r="699" customFormat="false" ht="15" hidden="false" customHeight="false" outlineLevel="0" collapsed="false">
      <c r="A699" s="10" t="s">
        <v>1926</v>
      </c>
      <c r="B699" s="12" t="n">
        <f aca="false">COUNTIF(選手一覧!$C$7:$C$2738,A699)</f>
        <v>1</v>
      </c>
      <c r="C699" s="14" t="n">
        <f aca="false">COUNTIFS(選手一覧!$C$7:$C$2738,A699,選手一覧!$K$7:$K$2738,"&lt;=100")</f>
        <v>0</v>
      </c>
      <c r="D699" s="14" t="n">
        <f aca="false">COUNTIFS(選手一覧!$C$7:$C$2738,A699,選手一覧!$E$7:$E$2738,"&lt;=100")</f>
        <v>0</v>
      </c>
      <c r="E699" s="14" t="n">
        <f aca="false">COUNTIFS(選手一覧!$C$7:$C$2738,A699,選手一覧!$G$7:$G$2738,"&lt;=100")</f>
        <v>0</v>
      </c>
      <c r="F699" s="14" t="n">
        <f aca="false">COUNTIFS(選手一覧!$C$7:$C$2738,A699,選手一覧!$I$7:$I$2738,"&lt;=100")</f>
        <v>0</v>
      </c>
      <c r="G699" s="13" t="n">
        <f aca="false">_xlfn.MINIFS(選手一覧!$K$7:$K$2738,選手一覧!$C$7:$C$2738,A699)</f>
        <v>617</v>
      </c>
      <c r="H699" s="16"/>
    </row>
    <row r="700" customFormat="false" ht="15" hidden="false" customHeight="false" outlineLevel="0" collapsed="false">
      <c r="A700" s="10" t="s">
        <v>1930</v>
      </c>
      <c r="B700" s="12" t="n">
        <f aca="false">COUNTIF(選手一覧!$C$7:$C$2738,A700)</f>
        <v>1</v>
      </c>
      <c r="C700" s="14" t="n">
        <f aca="false">COUNTIFS(選手一覧!$C$7:$C$2738,A700,選手一覧!$K$7:$K$2738,"&lt;=100")</f>
        <v>0</v>
      </c>
      <c r="D700" s="14" t="n">
        <f aca="false">COUNTIFS(選手一覧!$C$7:$C$2738,A700,選手一覧!$E$7:$E$2738,"&lt;=100")</f>
        <v>0</v>
      </c>
      <c r="E700" s="14" t="n">
        <f aca="false">COUNTIFS(選手一覧!$C$7:$C$2738,A700,選手一覧!$G$7:$G$2738,"&lt;=100")</f>
        <v>0</v>
      </c>
      <c r="F700" s="14" t="n">
        <f aca="false">COUNTIFS(選手一覧!$C$7:$C$2738,A700,選手一覧!$I$7:$I$2738,"&lt;=100")</f>
        <v>0</v>
      </c>
      <c r="G700" s="13" t="n">
        <f aca="false">_xlfn.MINIFS(選手一覧!$K$7:$K$2738,選手一覧!$C$7:$C$2738,A700)</f>
        <v>619</v>
      </c>
      <c r="H700" s="16"/>
    </row>
    <row r="701" customFormat="false" ht="15" hidden="false" customHeight="false" outlineLevel="0" collapsed="false">
      <c r="A701" s="10" t="s">
        <v>1946</v>
      </c>
      <c r="B701" s="12" t="n">
        <f aca="false">COUNTIF(選手一覧!$C$7:$C$2738,A701)</f>
        <v>1</v>
      </c>
      <c r="C701" s="14" t="n">
        <f aca="false">COUNTIFS(選手一覧!$C$7:$C$2738,A701,選手一覧!$K$7:$K$2738,"&lt;=100")</f>
        <v>0</v>
      </c>
      <c r="D701" s="14" t="n">
        <f aca="false">COUNTIFS(選手一覧!$C$7:$C$2738,A701,選手一覧!$E$7:$E$2738,"&lt;=100")</f>
        <v>0</v>
      </c>
      <c r="E701" s="14" t="n">
        <f aca="false">COUNTIFS(選手一覧!$C$7:$C$2738,A701,選手一覧!$G$7:$G$2738,"&lt;=100")</f>
        <v>0</v>
      </c>
      <c r="F701" s="14" t="n">
        <f aca="false">COUNTIFS(選手一覧!$C$7:$C$2738,A701,選手一覧!$I$7:$I$2738,"&lt;=100")</f>
        <v>0</v>
      </c>
      <c r="G701" s="13" t="n">
        <f aca="false">_xlfn.MINIFS(選手一覧!$K$7:$K$2738,選手一覧!$C$7:$C$2738,A701)</f>
        <v>625</v>
      </c>
      <c r="H701" s="16"/>
    </row>
    <row r="702" customFormat="false" ht="15" hidden="false" customHeight="false" outlineLevel="0" collapsed="false">
      <c r="A702" s="10" t="s">
        <v>1958</v>
      </c>
      <c r="B702" s="12" t="n">
        <f aca="false">COUNTIF(選手一覧!$C$7:$C$2738,A702)</f>
        <v>1</v>
      </c>
      <c r="C702" s="14" t="n">
        <f aca="false">COUNTIFS(選手一覧!$C$7:$C$2738,A702,選手一覧!$K$7:$K$2738,"&lt;=100")</f>
        <v>0</v>
      </c>
      <c r="D702" s="14" t="n">
        <f aca="false">COUNTIFS(選手一覧!$C$7:$C$2738,A702,選手一覧!$E$7:$E$2738,"&lt;=100")</f>
        <v>0</v>
      </c>
      <c r="E702" s="14" t="n">
        <f aca="false">COUNTIFS(選手一覧!$C$7:$C$2738,A702,選手一覧!$G$7:$G$2738,"&lt;=100")</f>
        <v>0</v>
      </c>
      <c r="F702" s="14" t="n">
        <f aca="false">COUNTIFS(選手一覧!$C$7:$C$2738,A702,選手一覧!$I$7:$I$2738,"&lt;=100")</f>
        <v>0</v>
      </c>
      <c r="G702" s="13" t="n">
        <f aca="false">_xlfn.MINIFS(選手一覧!$K$7:$K$2738,選手一覧!$C$7:$C$2738,A702)</f>
        <v>631</v>
      </c>
      <c r="H702" s="16"/>
    </row>
    <row r="703" customFormat="false" ht="15" hidden="false" customHeight="false" outlineLevel="0" collapsed="false">
      <c r="A703" s="10" t="s">
        <v>1968</v>
      </c>
      <c r="B703" s="12" t="n">
        <f aca="false">COUNTIF(選手一覧!$C$7:$C$2738,A703)</f>
        <v>1</v>
      </c>
      <c r="C703" s="14" t="n">
        <f aca="false">COUNTIFS(選手一覧!$C$7:$C$2738,A703,選手一覧!$K$7:$K$2738,"&lt;=100")</f>
        <v>0</v>
      </c>
      <c r="D703" s="14" t="n">
        <f aca="false">COUNTIFS(選手一覧!$C$7:$C$2738,A703,選手一覧!$E$7:$E$2738,"&lt;=100")</f>
        <v>0</v>
      </c>
      <c r="E703" s="14" t="n">
        <f aca="false">COUNTIFS(選手一覧!$C$7:$C$2738,A703,選手一覧!$G$7:$G$2738,"&lt;=100")</f>
        <v>0</v>
      </c>
      <c r="F703" s="14" t="n">
        <f aca="false">COUNTIFS(選手一覧!$C$7:$C$2738,A703,選手一覧!$I$7:$I$2738,"&lt;=100")</f>
        <v>0</v>
      </c>
      <c r="G703" s="13" t="n">
        <f aca="false">_xlfn.MINIFS(選手一覧!$K$7:$K$2738,選手一覧!$C$7:$C$2738,A703)</f>
        <v>636</v>
      </c>
      <c r="H703" s="16"/>
    </row>
    <row r="704" customFormat="false" ht="15" hidden="false" customHeight="false" outlineLevel="0" collapsed="false">
      <c r="A704" s="10" t="s">
        <v>1972</v>
      </c>
      <c r="B704" s="12" t="n">
        <f aca="false">COUNTIF(選手一覧!$C$7:$C$2738,A704)</f>
        <v>1</v>
      </c>
      <c r="C704" s="14" t="n">
        <f aca="false">COUNTIFS(選手一覧!$C$7:$C$2738,A704,選手一覧!$K$7:$K$2738,"&lt;=100")</f>
        <v>0</v>
      </c>
      <c r="D704" s="14" t="n">
        <f aca="false">COUNTIFS(選手一覧!$C$7:$C$2738,A704,選手一覧!$E$7:$E$2738,"&lt;=100")</f>
        <v>0</v>
      </c>
      <c r="E704" s="14" t="n">
        <f aca="false">COUNTIFS(選手一覧!$C$7:$C$2738,A704,選手一覧!$G$7:$G$2738,"&lt;=100")</f>
        <v>0</v>
      </c>
      <c r="F704" s="14" t="n">
        <f aca="false">COUNTIFS(選手一覧!$C$7:$C$2738,A704,選手一覧!$I$7:$I$2738,"&lt;=100")</f>
        <v>0</v>
      </c>
      <c r="G704" s="13" t="n">
        <f aca="false">_xlfn.MINIFS(選手一覧!$K$7:$K$2738,選手一覧!$C$7:$C$2738,A704)</f>
        <v>638</v>
      </c>
      <c r="H704" s="16"/>
    </row>
    <row r="705" customFormat="false" ht="15" hidden="false" customHeight="false" outlineLevel="0" collapsed="false">
      <c r="A705" s="10" t="s">
        <v>1979</v>
      </c>
      <c r="B705" s="12" t="n">
        <f aca="false">COUNTIF(選手一覧!$C$7:$C$2738,A705)</f>
        <v>1</v>
      </c>
      <c r="C705" s="14" t="n">
        <f aca="false">COUNTIFS(選手一覧!$C$7:$C$2738,A705,選手一覧!$K$7:$K$2738,"&lt;=100")</f>
        <v>0</v>
      </c>
      <c r="D705" s="14" t="n">
        <f aca="false">COUNTIFS(選手一覧!$C$7:$C$2738,A705,選手一覧!$E$7:$E$2738,"&lt;=100")</f>
        <v>0</v>
      </c>
      <c r="E705" s="14" t="n">
        <f aca="false">COUNTIFS(選手一覧!$C$7:$C$2738,A705,選手一覧!$G$7:$G$2738,"&lt;=100")</f>
        <v>0</v>
      </c>
      <c r="F705" s="14" t="n">
        <f aca="false">COUNTIFS(選手一覧!$C$7:$C$2738,A705,選手一覧!$I$7:$I$2738,"&lt;=100")</f>
        <v>0</v>
      </c>
      <c r="G705" s="13" t="n">
        <f aca="false">_xlfn.MINIFS(選手一覧!$K$7:$K$2738,選手一覧!$C$7:$C$2738,A705)</f>
        <v>640</v>
      </c>
      <c r="H705" s="16"/>
    </row>
    <row r="706" customFormat="false" ht="15" hidden="false" customHeight="false" outlineLevel="0" collapsed="false">
      <c r="A706" s="10" t="s">
        <v>1985</v>
      </c>
      <c r="B706" s="12" t="n">
        <f aca="false">COUNTIF(選手一覧!$C$7:$C$2738,A706)</f>
        <v>1</v>
      </c>
      <c r="C706" s="14" t="n">
        <f aca="false">COUNTIFS(選手一覧!$C$7:$C$2738,A706,選手一覧!$K$7:$K$2738,"&lt;=100")</f>
        <v>0</v>
      </c>
      <c r="D706" s="14" t="n">
        <f aca="false">COUNTIFS(選手一覧!$C$7:$C$2738,A706,選手一覧!$E$7:$E$2738,"&lt;=100")</f>
        <v>0</v>
      </c>
      <c r="E706" s="14" t="n">
        <f aca="false">COUNTIFS(選手一覧!$C$7:$C$2738,A706,選手一覧!$G$7:$G$2738,"&lt;=100")</f>
        <v>0</v>
      </c>
      <c r="F706" s="14" t="n">
        <f aca="false">COUNTIFS(選手一覧!$C$7:$C$2738,A706,選手一覧!$I$7:$I$2738,"&lt;=100")</f>
        <v>0</v>
      </c>
      <c r="G706" s="13" t="n">
        <f aca="false">_xlfn.MINIFS(選手一覧!$K$7:$K$2738,選手一覧!$C$7:$C$2738,A706)</f>
        <v>642</v>
      </c>
      <c r="H706" s="16"/>
    </row>
    <row r="707" customFormat="false" ht="15" hidden="false" customHeight="false" outlineLevel="0" collapsed="false">
      <c r="A707" s="10" t="s">
        <v>1998</v>
      </c>
      <c r="B707" s="12" t="n">
        <f aca="false">COUNTIF(選手一覧!$C$7:$C$2738,A707)</f>
        <v>1</v>
      </c>
      <c r="C707" s="14" t="n">
        <f aca="false">COUNTIFS(選手一覧!$C$7:$C$2738,A707,選手一覧!$K$7:$K$2738,"&lt;=100")</f>
        <v>0</v>
      </c>
      <c r="D707" s="14" t="n">
        <f aca="false">COUNTIFS(選手一覧!$C$7:$C$2738,A707,選手一覧!$E$7:$E$2738,"&lt;=100")</f>
        <v>0</v>
      </c>
      <c r="E707" s="14" t="n">
        <f aca="false">COUNTIFS(選手一覧!$C$7:$C$2738,A707,選手一覧!$G$7:$G$2738,"&lt;=100")</f>
        <v>0</v>
      </c>
      <c r="F707" s="14" t="n">
        <f aca="false">COUNTIFS(選手一覧!$C$7:$C$2738,A707,選手一覧!$I$7:$I$2738,"&lt;=100")</f>
        <v>0</v>
      </c>
      <c r="G707" s="13" t="n">
        <f aca="false">_xlfn.MINIFS(選手一覧!$K$7:$K$2738,選手一覧!$C$7:$C$2738,A707)</f>
        <v>646</v>
      </c>
      <c r="H707" s="16"/>
    </row>
    <row r="708" customFormat="false" ht="15" hidden="false" customHeight="false" outlineLevel="0" collapsed="false">
      <c r="A708" s="10" t="s">
        <v>2002</v>
      </c>
      <c r="B708" s="12" t="n">
        <f aca="false">COUNTIF(選手一覧!$C$7:$C$2738,A708)</f>
        <v>1</v>
      </c>
      <c r="C708" s="14" t="n">
        <f aca="false">COUNTIFS(選手一覧!$C$7:$C$2738,A708,選手一覧!$K$7:$K$2738,"&lt;=100")</f>
        <v>0</v>
      </c>
      <c r="D708" s="14" t="n">
        <f aca="false">COUNTIFS(選手一覧!$C$7:$C$2738,A708,選手一覧!$E$7:$E$2738,"&lt;=100")</f>
        <v>0</v>
      </c>
      <c r="E708" s="14" t="n">
        <f aca="false">COUNTIFS(選手一覧!$C$7:$C$2738,A708,選手一覧!$G$7:$G$2738,"&lt;=100")</f>
        <v>0</v>
      </c>
      <c r="F708" s="14" t="n">
        <f aca="false">COUNTIFS(選手一覧!$C$7:$C$2738,A708,選手一覧!$I$7:$I$2738,"&lt;=100")</f>
        <v>0</v>
      </c>
      <c r="G708" s="13" t="n">
        <f aca="false">_xlfn.MINIFS(選手一覧!$K$7:$K$2738,選手一覧!$C$7:$C$2738,A708)</f>
        <v>648</v>
      </c>
      <c r="H708" s="16"/>
    </row>
    <row r="709" customFormat="false" ht="15" hidden="false" customHeight="false" outlineLevel="0" collapsed="false">
      <c r="A709" s="10" t="s">
        <v>2015</v>
      </c>
      <c r="B709" s="12" t="n">
        <f aca="false">COUNTIF(選手一覧!$C$7:$C$2738,A709)</f>
        <v>1</v>
      </c>
      <c r="C709" s="14" t="n">
        <f aca="false">COUNTIFS(選手一覧!$C$7:$C$2738,A709,選手一覧!$K$7:$K$2738,"&lt;=100")</f>
        <v>0</v>
      </c>
      <c r="D709" s="14" t="n">
        <f aca="false">COUNTIFS(選手一覧!$C$7:$C$2738,A709,選手一覧!$E$7:$E$2738,"&lt;=100")</f>
        <v>0</v>
      </c>
      <c r="E709" s="14" t="n">
        <f aca="false">COUNTIFS(選手一覧!$C$7:$C$2738,A709,選手一覧!$G$7:$G$2738,"&lt;=100")</f>
        <v>0</v>
      </c>
      <c r="F709" s="14" t="n">
        <f aca="false">COUNTIFS(選手一覧!$C$7:$C$2738,A709,選手一覧!$I$7:$I$2738,"&lt;=100")</f>
        <v>0</v>
      </c>
      <c r="G709" s="13" t="n">
        <f aca="false">_xlfn.MINIFS(選手一覧!$K$7:$K$2738,選手一覧!$C$7:$C$2738,A709)</f>
        <v>654</v>
      </c>
      <c r="H709" s="16"/>
    </row>
    <row r="710" customFormat="false" ht="15" hidden="false" customHeight="false" outlineLevel="0" collapsed="false">
      <c r="A710" s="10" t="s">
        <v>2021</v>
      </c>
      <c r="B710" s="12" t="n">
        <f aca="false">COUNTIF(選手一覧!$C$7:$C$2738,A710)</f>
        <v>1</v>
      </c>
      <c r="C710" s="14" t="n">
        <f aca="false">COUNTIFS(選手一覧!$C$7:$C$2738,A710,選手一覧!$K$7:$K$2738,"&lt;=100")</f>
        <v>0</v>
      </c>
      <c r="D710" s="14" t="n">
        <f aca="false">COUNTIFS(選手一覧!$C$7:$C$2738,A710,選手一覧!$E$7:$E$2738,"&lt;=100")</f>
        <v>0</v>
      </c>
      <c r="E710" s="14" t="n">
        <f aca="false">COUNTIFS(選手一覧!$C$7:$C$2738,A710,選手一覧!$G$7:$G$2738,"&lt;=100")</f>
        <v>0</v>
      </c>
      <c r="F710" s="14" t="n">
        <f aca="false">COUNTIFS(選手一覧!$C$7:$C$2738,A710,選手一覧!$I$7:$I$2738,"&lt;=100")</f>
        <v>0</v>
      </c>
      <c r="G710" s="13" t="n">
        <f aca="false">_xlfn.MINIFS(選手一覧!$K$7:$K$2738,選手一覧!$C$7:$C$2738,A710)</f>
        <v>657</v>
      </c>
      <c r="H710" s="16"/>
    </row>
    <row r="711" customFormat="false" ht="15" hidden="false" customHeight="false" outlineLevel="0" collapsed="false">
      <c r="A711" s="10" t="s">
        <v>2035</v>
      </c>
      <c r="B711" s="12" t="n">
        <f aca="false">COUNTIF(選手一覧!$C$7:$C$2738,A711)</f>
        <v>1</v>
      </c>
      <c r="C711" s="14" t="n">
        <f aca="false">COUNTIFS(選手一覧!$C$7:$C$2738,A711,選手一覧!$K$7:$K$2738,"&lt;=100")</f>
        <v>0</v>
      </c>
      <c r="D711" s="14" t="n">
        <f aca="false">COUNTIFS(選手一覧!$C$7:$C$2738,A711,選手一覧!$E$7:$E$2738,"&lt;=100")</f>
        <v>0</v>
      </c>
      <c r="E711" s="14" t="n">
        <f aca="false">COUNTIFS(選手一覧!$C$7:$C$2738,A711,選手一覧!$G$7:$G$2738,"&lt;=100")</f>
        <v>0</v>
      </c>
      <c r="F711" s="14" t="n">
        <f aca="false">COUNTIFS(選手一覧!$C$7:$C$2738,A711,選手一覧!$I$7:$I$2738,"&lt;=100")</f>
        <v>0</v>
      </c>
      <c r="G711" s="13" t="n">
        <f aca="false">_xlfn.MINIFS(選手一覧!$K$7:$K$2738,選手一覧!$C$7:$C$2738,A711)</f>
        <v>662</v>
      </c>
      <c r="H711" s="16"/>
    </row>
    <row r="712" customFormat="false" ht="15" hidden="false" customHeight="false" outlineLevel="0" collapsed="false">
      <c r="A712" s="10" t="s">
        <v>2044</v>
      </c>
      <c r="B712" s="12" t="n">
        <f aca="false">COUNTIF(選手一覧!$C$7:$C$2738,A712)</f>
        <v>1</v>
      </c>
      <c r="C712" s="14" t="n">
        <f aca="false">COUNTIFS(選手一覧!$C$7:$C$2738,A712,選手一覧!$K$7:$K$2738,"&lt;=100")</f>
        <v>0</v>
      </c>
      <c r="D712" s="14" t="n">
        <f aca="false">COUNTIFS(選手一覧!$C$7:$C$2738,A712,選手一覧!$E$7:$E$2738,"&lt;=100")</f>
        <v>0</v>
      </c>
      <c r="E712" s="14" t="n">
        <f aca="false">COUNTIFS(選手一覧!$C$7:$C$2738,A712,選手一覧!$G$7:$G$2738,"&lt;=100")</f>
        <v>0</v>
      </c>
      <c r="F712" s="14" t="n">
        <f aca="false">COUNTIFS(選手一覧!$C$7:$C$2738,A712,選手一覧!$I$7:$I$2738,"&lt;=100")</f>
        <v>0</v>
      </c>
      <c r="G712" s="13" t="n">
        <f aca="false">_xlfn.MINIFS(選手一覧!$K$7:$K$2738,選手一覧!$C$7:$C$2738,A712)</f>
        <v>665</v>
      </c>
      <c r="H712" s="16"/>
    </row>
    <row r="713" customFormat="false" ht="15" hidden="false" customHeight="false" outlineLevel="0" collapsed="false">
      <c r="A713" s="10" t="s">
        <v>2058</v>
      </c>
      <c r="B713" s="12" t="n">
        <f aca="false">COUNTIF(選手一覧!$C$7:$C$2738,A713)</f>
        <v>1</v>
      </c>
      <c r="C713" s="14" t="n">
        <f aca="false">COUNTIFS(選手一覧!$C$7:$C$2738,A713,選手一覧!$K$7:$K$2738,"&lt;=100")</f>
        <v>0</v>
      </c>
      <c r="D713" s="14" t="n">
        <f aca="false">COUNTIFS(選手一覧!$C$7:$C$2738,A713,選手一覧!$E$7:$E$2738,"&lt;=100")</f>
        <v>0</v>
      </c>
      <c r="E713" s="14" t="n">
        <f aca="false">COUNTIFS(選手一覧!$C$7:$C$2738,A713,選手一覧!$G$7:$G$2738,"&lt;=100")</f>
        <v>0</v>
      </c>
      <c r="F713" s="14" t="n">
        <f aca="false">COUNTIFS(選手一覧!$C$7:$C$2738,A713,選手一覧!$I$7:$I$2738,"&lt;=100")</f>
        <v>0</v>
      </c>
      <c r="G713" s="13" t="n">
        <f aca="false">_xlfn.MINIFS(選手一覧!$K$7:$K$2738,選手一覧!$C$7:$C$2738,A713)</f>
        <v>672</v>
      </c>
      <c r="H713" s="16"/>
    </row>
    <row r="714" customFormat="false" ht="15" hidden="false" customHeight="false" outlineLevel="0" collapsed="false">
      <c r="A714" s="10" t="s">
        <v>2066</v>
      </c>
      <c r="B714" s="12" t="n">
        <f aca="false">COUNTIF(選手一覧!$C$7:$C$2738,A714)</f>
        <v>1</v>
      </c>
      <c r="C714" s="14" t="n">
        <f aca="false">COUNTIFS(選手一覧!$C$7:$C$2738,A714,選手一覧!$K$7:$K$2738,"&lt;=100")</f>
        <v>0</v>
      </c>
      <c r="D714" s="14" t="n">
        <f aca="false">COUNTIFS(選手一覧!$C$7:$C$2738,A714,選手一覧!$E$7:$E$2738,"&lt;=100")</f>
        <v>0</v>
      </c>
      <c r="E714" s="14" t="n">
        <f aca="false">COUNTIFS(選手一覧!$C$7:$C$2738,A714,選手一覧!$G$7:$G$2738,"&lt;=100")</f>
        <v>0</v>
      </c>
      <c r="F714" s="14" t="n">
        <f aca="false">COUNTIFS(選手一覧!$C$7:$C$2738,A714,選手一覧!$I$7:$I$2738,"&lt;=100")</f>
        <v>0</v>
      </c>
      <c r="G714" s="13" t="n">
        <f aca="false">_xlfn.MINIFS(選手一覧!$K$7:$K$2738,選手一覧!$C$7:$C$2738,A714)</f>
        <v>675</v>
      </c>
      <c r="H714" s="16"/>
    </row>
    <row r="715" customFormat="false" ht="15" hidden="false" customHeight="false" outlineLevel="0" collapsed="false">
      <c r="A715" s="10" t="s">
        <v>2068</v>
      </c>
      <c r="B715" s="12" t="n">
        <f aca="false">COUNTIF(選手一覧!$C$7:$C$2738,A715)</f>
        <v>1</v>
      </c>
      <c r="C715" s="14" t="n">
        <f aca="false">COUNTIFS(選手一覧!$C$7:$C$2738,A715,選手一覧!$K$7:$K$2738,"&lt;=100")</f>
        <v>0</v>
      </c>
      <c r="D715" s="14" t="n">
        <f aca="false">COUNTIFS(選手一覧!$C$7:$C$2738,A715,選手一覧!$E$7:$E$2738,"&lt;=100")</f>
        <v>0</v>
      </c>
      <c r="E715" s="14" t="n">
        <f aca="false">COUNTIFS(選手一覧!$C$7:$C$2738,A715,選手一覧!$G$7:$G$2738,"&lt;=100")</f>
        <v>0</v>
      </c>
      <c r="F715" s="14" t="n">
        <f aca="false">COUNTIFS(選手一覧!$C$7:$C$2738,A715,選手一覧!$I$7:$I$2738,"&lt;=100")</f>
        <v>0</v>
      </c>
      <c r="G715" s="13" t="n">
        <f aca="false">_xlfn.MINIFS(選手一覧!$K$7:$K$2738,選手一覧!$C$7:$C$2738,A715)</f>
        <v>675</v>
      </c>
      <c r="H715" s="16"/>
    </row>
    <row r="716" customFormat="false" ht="15" hidden="false" customHeight="false" outlineLevel="0" collapsed="false">
      <c r="A716" s="10" t="s">
        <v>2072</v>
      </c>
      <c r="B716" s="12" t="n">
        <f aca="false">COUNTIF(選手一覧!$C$7:$C$2738,A716)</f>
        <v>1</v>
      </c>
      <c r="C716" s="14" t="n">
        <f aca="false">COUNTIFS(選手一覧!$C$7:$C$2738,A716,選手一覧!$K$7:$K$2738,"&lt;=100")</f>
        <v>0</v>
      </c>
      <c r="D716" s="14" t="n">
        <f aca="false">COUNTIFS(選手一覧!$C$7:$C$2738,A716,選手一覧!$E$7:$E$2738,"&lt;=100")</f>
        <v>0</v>
      </c>
      <c r="E716" s="14" t="n">
        <f aca="false">COUNTIFS(選手一覧!$C$7:$C$2738,A716,選手一覧!$G$7:$G$2738,"&lt;=100")</f>
        <v>0</v>
      </c>
      <c r="F716" s="14" t="n">
        <f aca="false">COUNTIFS(選手一覧!$C$7:$C$2738,A716,選手一覧!$I$7:$I$2738,"&lt;=100")</f>
        <v>0</v>
      </c>
      <c r="G716" s="13" t="n">
        <f aca="false">_xlfn.MINIFS(選手一覧!$K$7:$K$2738,選手一覧!$C$7:$C$2738,A716)</f>
        <v>676</v>
      </c>
      <c r="H716" s="16"/>
    </row>
    <row r="717" customFormat="false" ht="15" hidden="false" customHeight="false" outlineLevel="0" collapsed="false">
      <c r="A717" s="10" t="s">
        <v>2087</v>
      </c>
      <c r="B717" s="12" t="n">
        <f aca="false">COUNTIF(選手一覧!$C$7:$C$2738,A717)</f>
        <v>1</v>
      </c>
      <c r="C717" s="14" t="n">
        <f aca="false">COUNTIFS(選手一覧!$C$7:$C$2738,A717,選手一覧!$K$7:$K$2738,"&lt;=100")</f>
        <v>0</v>
      </c>
      <c r="D717" s="14" t="n">
        <f aca="false">COUNTIFS(選手一覧!$C$7:$C$2738,A717,選手一覧!$E$7:$E$2738,"&lt;=100")</f>
        <v>0</v>
      </c>
      <c r="E717" s="14" t="n">
        <f aca="false">COUNTIFS(選手一覧!$C$7:$C$2738,A717,選手一覧!$G$7:$G$2738,"&lt;=100")</f>
        <v>0</v>
      </c>
      <c r="F717" s="14" t="n">
        <f aca="false">COUNTIFS(選手一覧!$C$7:$C$2738,A717,選手一覧!$I$7:$I$2738,"&lt;=100")</f>
        <v>0</v>
      </c>
      <c r="G717" s="13" t="n">
        <f aca="false">_xlfn.MINIFS(選手一覧!$K$7:$K$2738,選手一覧!$C$7:$C$2738,A717)</f>
        <v>681</v>
      </c>
      <c r="H717" s="16"/>
    </row>
    <row r="718" customFormat="false" ht="15" hidden="false" customHeight="false" outlineLevel="0" collapsed="false">
      <c r="A718" s="10" t="s">
        <v>2103</v>
      </c>
      <c r="B718" s="12" t="n">
        <f aca="false">COUNTIF(選手一覧!$C$7:$C$2738,A718)</f>
        <v>1</v>
      </c>
      <c r="C718" s="14" t="n">
        <f aca="false">COUNTIFS(選手一覧!$C$7:$C$2738,A718,選手一覧!$K$7:$K$2738,"&lt;=100")</f>
        <v>0</v>
      </c>
      <c r="D718" s="14" t="n">
        <f aca="false">COUNTIFS(選手一覧!$C$7:$C$2738,A718,選手一覧!$E$7:$E$2738,"&lt;=100")</f>
        <v>0</v>
      </c>
      <c r="E718" s="14" t="n">
        <f aca="false">COUNTIFS(選手一覧!$C$7:$C$2738,A718,選手一覧!$G$7:$G$2738,"&lt;=100")</f>
        <v>0</v>
      </c>
      <c r="F718" s="14" t="n">
        <f aca="false">COUNTIFS(選手一覧!$C$7:$C$2738,A718,選手一覧!$I$7:$I$2738,"&lt;=100")</f>
        <v>0</v>
      </c>
      <c r="G718" s="13" t="n">
        <f aca="false">_xlfn.MINIFS(選手一覧!$K$7:$K$2738,選手一覧!$C$7:$C$2738,A718)</f>
        <v>688</v>
      </c>
      <c r="H718" s="16"/>
    </row>
    <row r="719" customFormat="false" ht="15" hidden="false" customHeight="false" outlineLevel="0" collapsed="false">
      <c r="A719" s="10" t="s">
        <v>2111</v>
      </c>
      <c r="B719" s="12" t="n">
        <f aca="false">COUNTIF(選手一覧!$C$7:$C$2738,A719)</f>
        <v>1</v>
      </c>
      <c r="C719" s="14" t="n">
        <f aca="false">COUNTIFS(選手一覧!$C$7:$C$2738,A719,選手一覧!$K$7:$K$2738,"&lt;=100")</f>
        <v>0</v>
      </c>
      <c r="D719" s="14" t="n">
        <f aca="false">COUNTIFS(選手一覧!$C$7:$C$2738,A719,選手一覧!$E$7:$E$2738,"&lt;=100")</f>
        <v>0</v>
      </c>
      <c r="E719" s="14" t="n">
        <f aca="false">COUNTIFS(選手一覧!$C$7:$C$2738,A719,選手一覧!$G$7:$G$2738,"&lt;=100")</f>
        <v>0</v>
      </c>
      <c r="F719" s="14" t="n">
        <f aca="false">COUNTIFS(選手一覧!$C$7:$C$2738,A719,選手一覧!$I$7:$I$2738,"&lt;=100")</f>
        <v>0</v>
      </c>
      <c r="G719" s="13" t="n">
        <f aca="false">_xlfn.MINIFS(選手一覧!$K$7:$K$2738,選手一覧!$C$7:$C$2738,A719)</f>
        <v>691</v>
      </c>
      <c r="H719" s="16"/>
    </row>
    <row r="720" customFormat="false" ht="15" hidden="false" customHeight="false" outlineLevel="0" collapsed="false">
      <c r="A720" s="10" t="s">
        <v>2118</v>
      </c>
      <c r="B720" s="12" t="n">
        <f aca="false">COUNTIF(選手一覧!$C$7:$C$2738,A720)</f>
        <v>1</v>
      </c>
      <c r="C720" s="14" t="n">
        <f aca="false">COUNTIFS(選手一覧!$C$7:$C$2738,A720,選手一覧!$K$7:$K$2738,"&lt;=100")</f>
        <v>0</v>
      </c>
      <c r="D720" s="14" t="n">
        <f aca="false">COUNTIFS(選手一覧!$C$7:$C$2738,A720,選手一覧!$E$7:$E$2738,"&lt;=100")</f>
        <v>0</v>
      </c>
      <c r="E720" s="14" t="n">
        <f aca="false">COUNTIFS(選手一覧!$C$7:$C$2738,A720,選手一覧!$G$7:$G$2738,"&lt;=100")</f>
        <v>0</v>
      </c>
      <c r="F720" s="14" t="n">
        <f aca="false">COUNTIFS(選手一覧!$C$7:$C$2738,A720,選手一覧!$I$7:$I$2738,"&lt;=100")</f>
        <v>0</v>
      </c>
      <c r="G720" s="13" t="n">
        <f aca="false">_xlfn.MINIFS(選手一覧!$K$7:$K$2738,選手一覧!$C$7:$C$2738,A720)</f>
        <v>694</v>
      </c>
      <c r="H720" s="16"/>
    </row>
    <row r="721" customFormat="false" ht="15" hidden="false" customHeight="false" outlineLevel="0" collapsed="false">
      <c r="A721" s="10" t="s">
        <v>2127</v>
      </c>
      <c r="B721" s="12" t="n">
        <f aca="false">COUNTIF(選手一覧!$C$7:$C$2738,A721)</f>
        <v>1</v>
      </c>
      <c r="C721" s="14" t="n">
        <f aca="false">COUNTIFS(選手一覧!$C$7:$C$2738,A721,選手一覧!$K$7:$K$2738,"&lt;=100")</f>
        <v>0</v>
      </c>
      <c r="D721" s="14" t="n">
        <f aca="false">COUNTIFS(選手一覧!$C$7:$C$2738,A721,選手一覧!$E$7:$E$2738,"&lt;=100")</f>
        <v>0</v>
      </c>
      <c r="E721" s="14" t="n">
        <f aca="false">COUNTIFS(選手一覧!$C$7:$C$2738,A721,選手一覧!$G$7:$G$2738,"&lt;=100")</f>
        <v>0</v>
      </c>
      <c r="F721" s="14" t="n">
        <f aca="false">COUNTIFS(選手一覧!$C$7:$C$2738,A721,選手一覧!$I$7:$I$2738,"&lt;=100")</f>
        <v>0</v>
      </c>
      <c r="G721" s="13" t="n">
        <f aca="false">_xlfn.MINIFS(選手一覧!$K$7:$K$2738,選手一覧!$C$7:$C$2738,A721)</f>
        <v>696</v>
      </c>
      <c r="H721" s="16"/>
    </row>
    <row r="722" customFormat="false" ht="15" hidden="false" customHeight="false" outlineLevel="0" collapsed="false">
      <c r="A722" s="10" t="s">
        <v>2132</v>
      </c>
      <c r="B722" s="12" t="n">
        <f aca="false">COUNTIF(選手一覧!$C$7:$C$2738,A722)</f>
        <v>1</v>
      </c>
      <c r="C722" s="14" t="n">
        <f aca="false">COUNTIFS(選手一覧!$C$7:$C$2738,A722,選手一覧!$K$7:$K$2738,"&lt;=100")</f>
        <v>0</v>
      </c>
      <c r="D722" s="14" t="n">
        <f aca="false">COUNTIFS(選手一覧!$C$7:$C$2738,A722,選手一覧!$E$7:$E$2738,"&lt;=100")</f>
        <v>0</v>
      </c>
      <c r="E722" s="14" t="n">
        <f aca="false">COUNTIFS(選手一覧!$C$7:$C$2738,A722,選手一覧!$G$7:$G$2738,"&lt;=100")</f>
        <v>0</v>
      </c>
      <c r="F722" s="14" t="n">
        <f aca="false">COUNTIFS(選手一覧!$C$7:$C$2738,A722,選手一覧!$I$7:$I$2738,"&lt;=100")</f>
        <v>0</v>
      </c>
      <c r="G722" s="13" t="n">
        <f aca="false">_xlfn.MINIFS(選手一覧!$K$7:$K$2738,選手一覧!$C$7:$C$2738,A722)</f>
        <v>698</v>
      </c>
      <c r="H722" s="16"/>
    </row>
    <row r="723" customFormat="false" ht="15" hidden="false" customHeight="false" outlineLevel="0" collapsed="false">
      <c r="A723" s="10" t="s">
        <v>2134</v>
      </c>
      <c r="B723" s="12" t="n">
        <f aca="false">COUNTIF(選手一覧!$C$7:$C$2738,A723)</f>
        <v>1</v>
      </c>
      <c r="C723" s="14" t="n">
        <f aca="false">COUNTIFS(選手一覧!$C$7:$C$2738,A723,選手一覧!$K$7:$K$2738,"&lt;=100")</f>
        <v>0</v>
      </c>
      <c r="D723" s="14" t="n">
        <f aca="false">COUNTIFS(選手一覧!$C$7:$C$2738,A723,選手一覧!$E$7:$E$2738,"&lt;=100")</f>
        <v>0</v>
      </c>
      <c r="E723" s="14" t="n">
        <f aca="false">COUNTIFS(選手一覧!$C$7:$C$2738,A723,選手一覧!$G$7:$G$2738,"&lt;=100")</f>
        <v>0</v>
      </c>
      <c r="F723" s="14" t="n">
        <f aca="false">COUNTIFS(選手一覧!$C$7:$C$2738,A723,選手一覧!$I$7:$I$2738,"&lt;=100")</f>
        <v>0</v>
      </c>
      <c r="G723" s="13" t="n">
        <f aca="false">_xlfn.MINIFS(選手一覧!$K$7:$K$2738,選手一覧!$C$7:$C$2738,A723)</f>
        <v>699</v>
      </c>
      <c r="H723" s="16"/>
    </row>
    <row r="724" customFormat="false" ht="15" hidden="false" customHeight="false" outlineLevel="0" collapsed="false">
      <c r="A724" s="10" t="s">
        <v>2136</v>
      </c>
      <c r="B724" s="12" t="n">
        <f aca="false">COUNTIF(選手一覧!$C$7:$C$2738,A724)</f>
        <v>1</v>
      </c>
      <c r="C724" s="14" t="n">
        <f aca="false">COUNTIFS(選手一覧!$C$7:$C$2738,A724,選手一覧!$K$7:$K$2738,"&lt;=100")</f>
        <v>0</v>
      </c>
      <c r="D724" s="14" t="n">
        <f aca="false">COUNTIFS(選手一覧!$C$7:$C$2738,A724,選手一覧!$E$7:$E$2738,"&lt;=100")</f>
        <v>0</v>
      </c>
      <c r="E724" s="14" t="n">
        <f aca="false">COUNTIFS(選手一覧!$C$7:$C$2738,A724,選手一覧!$G$7:$G$2738,"&lt;=100")</f>
        <v>0</v>
      </c>
      <c r="F724" s="14" t="n">
        <f aca="false">COUNTIFS(選手一覧!$C$7:$C$2738,A724,選手一覧!$I$7:$I$2738,"&lt;=100")</f>
        <v>0</v>
      </c>
      <c r="G724" s="13" t="n">
        <f aca="false">_xlfn.MINIFS(選手一覧!$K$7:$K$2738,選手一覧!$C$7:$C$2738,A724)</f>
        <v>699</v>
      </c>
      <c r="H724" s="16"/>
    </row>
    <row r="725" customFormat="false" ht="15" hidden="false" customHeight="false" outlineLevel="0" collapsed="false">
      <c r="A725" s="10" t="s">
        <v>2138</v>
      </c>
      <c r="B725" s="12" t="n">
        <f aca="false">COUNTIF(選手一覧!$C$7:$C$2738,A725)</f>
        <v>1</v>
      </c>
      <c r="C725" s="14" t="n">
        <f aca="false">COUNTIFS(選手一覧!$C$7:$C$2738,A725,選手一覧!$K$7:$K$2738,"&lt;=100")</f>
        <v>0</v>
      </c>
      <c r="D725" s="14" t="n">
        <f aca="false">COUNTIFS(選手一覧!$C$7:$C$2738,A725,選手一覧!$E$7:$E$2738,"&lt;=100")</f>
        <v>0</v>
      </c>
      <c r="E725" s="14" t="n">
        <f aca="false">COUNTIFS(選手一覧!$C$7:$C$2738,A725,選手一覧!$G$7:$G$2738,"&lt;=100")</f>
        <v>0</v>
      </c>
      <c r="F725" s="14" t="n">
        <f aca="false">COUNTIFS(選手一覧!$C$7:$C$2738,A725,選手一覧!$I$7:$I$2738,"&lt;=100")</f>
        <v>0</v>
      </c>
      <c r="G725" s="13" t="n">
        <f aca="false">_xlfn.MINIFS(選手一覧!$K$7:$K$2738,選手一覧!$C$7:$C$2738,A725)</f>
        <v>700</v>
      </c>
      <c r="H725" s="16"/>
    </row>
    <row r="726" customFormat="false" ht="15" hidden="false" customHeight="false" outlineLevel="0" collapsed="false">
      <c r="A726" s="10" t="s">
        <v>2151</v>
      </c>
      <c r="B726" s="12" t="n">
        <f aca="false">COUNTIF(選手一覧!$C$7:$C$2738,A726)</f>
        <v>1</v>
      </c>
      <c r="C726" s="14" t="n">
        <f aca="false">COUNTIFS(選手一覧!$C$7:$C$2738,A726,選手一覧!$K$7:$K$2738,"&lt;=100")</f>
        <v>0</v>
      </c>
      <c r="D726" s="14" t="n">
        <f aca="false">COUNTIFS(選手一覧!$C$7:$C$2738,A726,選手一覧!$E$7:$E$2738,"&lt;=100")</f>
        <v>0</v>
      </c>
      <c r="E726" s="14" t="n">
        <f aca="false">COUNTIFS(選手一覧!$C$7:$C$2738,A726,選手一覧!$G$7:$G$2738,"&lt;=100")</f>
        <v>0</v>
      </c>
      <c r="F726" s="14" t="n">
        <f aca="false">COUNTIFS(選手一覧!$C$7:$C$2738,A726,選手一覧!$I$7:$I$2738,"&lt;=100")</f>
        <v>0</v>
      </c>
      <c r="G726" s="13" t="n">
        <f aca="false">_xlfn.MINIFS(選手一覧!$K$7:$K$2738,選手一覧!$C$7:$C$2738,A726)</f>
        <v>706</v>
      </c>
      <c r="H726" s="16"/>
    </row>
    <row r="727" customFormat="false" ht="15" hidden="false" customHeight="false" outlineLevel="0" collapsed="false">
      <c r="A727" s="10" t="s">
        <v>2160</v>
      </c>
      <c r="B727" s="12" t="n">
        <f aca="false">COUNTIF(選手一覧!$C$7:$C$2738,A727)</f>
        <v>1</v>
      </c>
      <c r="C727" s="14" t="n">
        <f aca="false">COUNTIFS(選手一覧!$C$7:$C$2738,A727,選手一覧!$K$7:$K$2738,"&lt;=100")</f>
        <v>0</v>
      </c>
      <c r="D727" s="14" t="n">
        <f aca="false">COUNTIFS(選手一覧!$C$7:$C$2738,A727,選手一覧!$E$7:$E$2738,"&lt;=100")</f>
        <v>0</v>
      </c>
      <c r="E727" s="14" t="n">
        <f aca="false">COUNTIFS(選手一覧!$C$7:$C$2738,A727,選手一覧!$G$7:$G$2738,"&lt;=100")</f>
        <v>0</v>
      </c>
      <c r="F727" s="14" t="n">
        <f aca="false">COUNTIFS(選手一覧!$C$7:$C$2738,A727,選手一覧!$I$7:$I$2738,"&lt;=100")</f>
        <v>0</v>
      </c>
      <c r="G727" s="13" t="n">
        <f aca="false">_xlfn.MINIFS(選手一覧!$K$7:$K$2738,選手一覧!$C$7:$C$2738,A727)</f>
        <v>710</v>
      </c>
      <c r="H727" s="16"/>
    </row>
    <row r="728" customFormat="false" ht="15" hidden="false" customHeight="false" outlineLevel="0" collapsed="false">
      <c r="A728" s="10" t="s">
        <v>2164</v>
      </c>
      <c r="B728" s="12" t="n">
        <f aca="false">COUNTIF(選手一覧!$C$7:$C$2738,A728)</f>
        <v>1</v>
      </c>
      <c r="C728" s="14" t="n">
        <f aca="false">COUNTIFS(選手一覧!$C$7:$C$2738,A728,選手一覧!$K$7:$K$2738,"&lt;=100")</f>
        <v>0</v>
      </c>
      <c r="D728" s="14" t="n">
        <f aca="false">COUNTIFS(選手一覧!$C$7:$C$2738,A728,選手一覧!$E$7:$E$2738,"&lt;=100")</f>
        <v>0</v>
      </c>
      <c r="E728" s="14" t="n">
        <f aca="false">COUNTIFS(選手一覧!$C$7:$C$2738,A728,選手一覧!$G$7:$G$2738,"&lt;=100")</f>
        <v>0</v>
      </c>
      <c r="F728" s="14" t="n">
        <f aca="false">COUNTIFS(選手一覧!$C$7:$C$2738,A728,選手一覧!$I$7:$I$2738,"&lt;=100")</f>
        <v>0</v>
      </c>
      <c r="G728" s="13" t="n">
        <f aca="false">_xlfn.MINIFS(選手一覧!$K$7:$K$2738,選手一覧!$C$7:$C$2738,A728)</f>
        <v>711</v>
      </c>
      <c r="H728" s="16"/>
    </row>
    <row r="729" customFormat="false" ht="15" hidden="false" customHeight="false" outlineLevel="0" collapsed="false">
      <c r="A729" s="10" t="s">
        <v>2181</v>
      </c>
      <c r="B729" s="12" t="n">
        <f aca="false">COUNTIF(選手一覧!$C$7:$C$2738,A729)</f>
        <v>1</v>
      </c>
      <c r="C729" s="14" t="n">
        <f aca="false">COUNTIFS(選手一覧!$C$7:$C$2738,A729,選手一覧!$K$7:$K$2738,"&lt;=100")</f>
        <v>0</v>
      </c>
      <c r="D729" s="14" t="n">
        <f aca="false">COUNTIFS(選手一覧!$C$7:$C$2738,A729,選手一覧!$E$7:$E$2738,"&lt;=100")</f>
        <v>0</v>
      </c>
      <c r="E729" s="14" t="n">
        <f aca="false">COUNTIFS(選手一覧!$C$7:$C$2738,A729,選手一覧!$G$7:$G$2738,"&lt;=100")</f>
        <v>0</v>
      </c>
      <c r="F729" s="14" t="n">
        <f aca="false">COUNTIFS(選手一覧!$C$7:$C$2738,A729,選手一覧!$I$7:$I$2738,"&lt;=100")</f>
        <v>0</v>
      </c>
      <c r="G729" s="13" t="n">
        <f aca="false">_xlfn.MINIFS(選手一覧!$K$7:$K$2738,選手一覧!$C$7:$C$2738,A729)</f>
        <v>717</v>
      </c>
      <c r="H729" s="16"/>
    </row>
    <row r="730" customFormat="false" ht="15" hidden="false" customHeight="false" outlineLevel="0" collapsed="false">
      <c r="A730" s="10" t="s">
        <v>2184</v>
      </c>
      <c r="B730" s="12" t="n">
        <f aca="false">COUNTIF(選手一覧!$C$7:$C$2738,A730)</f>
        <v>1</v>
      </c>
      <c r="C730" s="14" t="n">
        <f aca="false">COUNTIFS(選手一覧!$C$7:$C$2738,A730,選手一覧!$K$7:$K$2738,"&lt;=100")</f>
        <v>0</v>
      </c>
      <c r="D730" s="14" t="n">
        <f aca="false">COUNTIFS(選手一覧!$C$7:$C$2738,A730,選手一覧!$E$7:$E$2738,"&lt;=100")</f>
        <v>0</v>
      </c>
      <c r="E730" s="14" t="n">
        <f aca="false">COUNTIFS(選手一覧!$C$7:$C$2738,A730,選手一覧!$G$7:$G$2738,"&lt;=100")</f>
        <v>0</v>
      </c>
      <c r="F730" s="14" t="n">
        <f aca="false">COUNTIFS(選手一覧!$C$7:$C$2738,A730,選手一覧!$I$7:$I$2738,"&lt;=100")</f>
        <v>0</v>
      </c>
      <c r="G730" s="13" t="n">
        <f aca="false">_xlfn.MINIFS(選手一覧!$K$7:$K$2738,選手一覧!$C$7:$C$2738,A730)</f>
        <v>719</v>
      </c>
      <c r="H730" s="16"/>
    </row>
    <row r="731" customFormat="false" ht="15" hidden="false" customHeight="false" outlineLevel="0" collapsed="false">
      <c r="A731" s="10" t="s">
        <v>2186</v>
      </c>
      <c r="B731" s="12" t="n">
        <f aca="false">COUNTIF(選手一覧!$C$7:$C$2738,A731)</f>
        <v>1</v>
      </c>
      <c r="C731" s="14" t="n">
        <f aca="false">COUNTIFS(選手一覧!$C$7:$C$2738,A731,選手一覧!$K$7:$K$2738,"&lt;=100")</f>
        <v>0</v>
      </c>
      <c r="D731" s="14" t="n">
        <f aca="false">COUNTIFS(選手一覧!$C$7:$C$2738,A731,選手一覧!$E$7:$E$2738,"&lt;=100")</f>
        <v>0</v>
      </c>
      <c r="E731" s="14" t="n">
        <f aca="false">COUNTIFS(選手一覧!$C$7:$C$2738,A731,選手一覧!$G$7:$G$2738,"&lt;=100")</f>
        <v>0</v>
      </c>
      <c r="F731" s="14" t="n">
        <f aca="false">COUNTIFS(選手一覧!$C$7:$C$2738,A731,選手一覧!$I$7:$I$2738,"&lt;=100")</f>
        <v>0</v>
      </c>
      <c r="G731" s="13" t="n">
        <f aca="false">_xlfn.MINIFS(選手一覧!$K$7:$K$2738,選手一覧!$C$7:$C$2738,A731)</f>
        <v>720</v>
      </c>
      <c r="H731" s="16"/>
    </row>
    <row r="732" customFormat="false" ht="15" hidden="false" customHeight="false" outlineLevel="0" collapsed="false">
      <c r="A732" s="10" t="s">
        <v>2201</v>
      </c>
      <c r="B732" s="12" t="n">
        <f aca="false">COUNTIF(選手一覧!$C$7:$C$2738,A732)</f>
        <v>1</v>
      </c>
      <c r="C732" s="14" t="n">
        <f aca="false">COUNTIFS(選手一覧!$C$7:$C$2738,A732,選手一覧!$K$7:$K$2738,"&lt;=100")</f>
        <v>0</v>
      </c>
      <c r="D732" s="14" t="n">
        <f aca="false">COUNTIFS(選手一覧!$C$7:$C$2738,A732,選手一覧!$E$7:$E$2738,"&lt;=100")</f>
        <v>0</v>
      </c>
      <c r="E732" s="14" t="n">
        <f aca="false">COUNTIFS(選手一覧!$C$7:$C$2738,A732,選手一覧!$G$7:$G$2738,"&lt;=100")</f>
        <v>0</v>
      </c>
      <c r="F732" s="14" t="n">
        <f aca="false">COUNTIFS(選手一覧!$C$7:$C$2738,A732,選手一覧!$I$7:$I$2738,"&lt;=100")</f>
        <v>0</v>
      </c>
      <c r="G732" s="13" t="n">
        <f aca="false">_xlfn.MINIFS(選手一覧!$K$7:$K$2738,選手一覧!$C$7:$C$2738,A732)</f>
        <v>724</v>
      </c>
      <c r="H732" s="16"/>
    </row>
    <row r="733" customFormat="false" ht="15" hidden="false" customHeight="false" outlineLevel="0" collapsed="false">
      <c r="A733" s="10" t="s">
        <v>2203</v>
      </c>
      <c r="B733" s="12" t="n">
        <f aca="false">COUNTIF(選手一覧!$C$7:$C$2738,A733)</f>
        <v>1</v>
      </c>
      <c r="C733" s="14" t="n">
        <f aca="false">COUNTIFS(選手一覧!$C$7:$C$2738,A733,選手一覧!$K$7:$K$2738,"&lt;=100")</f>
        <v>0</v>
      </c>
      <c r="D733" s="14" t="n">
        <f aca="false">COUNTIFS(選手一覧!$C$7:$C$2738,A733,選手一覧!$E$7:$E$2738,"&lt;=100")</f>
        <v>0</v>
      </c>
      <c r="E733" s="14" t="n">
        <f aca="false">COUNTIFS(選手一覧!$C$7:$C$2738,A733,選手一覧!$G$7:$G$2738,"&lt;=100")</f>
        <v>0</v>
      </c>
      <c r="F733" s="14" t="n">
        <f aca="false">COUNTIFS(選手一覧!$C$7:$C$2738,A733,選手一覧!$I$7:$I$2738,"&lt;=100")</f>
        <v>0</v>
      </c>
      <c r="G733" s="13" t="n">
        <f aca="false">_xlfn.MINIFS(選手一覧!$K$7:$K$2738,選手一覧!$C$7:$C$2738,A733)</f>
        <v>725</v>
      </c>
      <c r="H733" s="16"/>
    </row>
    <row r="734" customFormat="false" ht="15" hidden="false" customHeight="false" outlineLevel="0" collapsed="false">
      <c r="A734" s="10" t="s">
        <v>2210</v>
      </c>
      <c r="B734" s="12" t="n">
        <f aca="false">COUNTIF(選手一覧!$C$7:$C$2738,A734)</f>
        <v>1</v>
      </c>
      <c r="C734" s="14" t="n">
        <f aca="false">COUNTIFS(選手一覧!$C$7:$C$2738,A734,選手一覧!$K$7:$K$2738,"&lt;=100")</f>
        <v>0</v>
      </c>
      <c r="D734" s="14" t="n">
        <f aca="false">COUNTIFS(選手一覧!$C$7:$C$2738,A734,選手一覧!$E$7:$E$2738,"&lt;=100")</f>
        <v>0</v>
      </c>
      <c r="E734" s="14" t="n">
        <f aca="false">COUNTIFS(選手一覧!$C$7:$C$2738,A734,選手一覧!$G$7:$G$2738,"&lt;=100")</f>
        <v>0</v>
      </c>
      <c r="F734" s="14" t="n">
        <f aca="false">COUNTIFS(選手一覧!$C$7:$C$2738,A734,選手一覧!$I$7:$I$2738,"&lt;=100")</f>
        <v>0</v>
      </c>
      <c r="G734" s="13" t="n">
        <f aca="false">_xlfn.MINIFS(選手一覧!$K$7:$K$2738,選手一覧!$C$7:$C$2738,A734)</f>
        <v>728</v>
      </c>
      <c r="H734" s="16"/>
    </row>
    <row r="735" customFormat="false" ht="15" hidden="false" customHeight="false" outlineLevel="0" collapsed="false">
      <c r="A735" s="10" t="s">
        <v>2217</v>
      </c>
      <c r="B735" s="12" t="n">
        <f aca="false">COUNTIF(選手一覧!$C$7:$C$2738,A735)</f>
        <v>1</v>
      </c>
      <c r="C735" s="14" t="n">
        <f aca="false">COUNTIFS(選手一覧!$C$7:$C$2738,A735,選手一覧!$K$7:$K$2738,"&lt;=100")</f>
        <v>0</v>
      </c>
      <c r="D735" s="14" t="n">
        <f aca="false">COUNTIFS(選手一覧!$C$7:$C$2738,A735,選手一覧!$E$7:$E$2738,"&lt;=100")</f>
        <v>0</v>
      </c>
      <c r="E735" s="14" t="n">
        <f aca="false">COUNTIFS(選手一覧!$C$7:$C$2738,A735,選手一覧!$G$7:$G$2738,"&lt;=100")</f>
        <v>0</v>
      </c>
      <c r="F735" s="14" t="n">
        <f aca="false">COUNTIFS(選手一覧!$C$7:$C$2738,A735,選手一覧!$I$7:$I$2738,"&lt;=100")</f>
        <v>0</v>
      </c>
      <c r="G735" s="13" t="n">
        <f aca="false">_xlfn.MINIFS(選手一覧!$K$7:$K$2738,選手一覧!$C$7:$C$2738,A735)</f>
        <v>730</v>
      </c>
      <c r="H735" s="16"/>
    </row>
    <row r="736" customFormat="false" ht="15" hidden="false" customHeight="false" outlineLevel="0" collapsed="false">
      <c r="A736" s="10" t="s">
        <v>2233</v>
      </c>
      <c r="B736" s="12" t="n">
        <f aca="false">COUNTIF(選手一覧!$C$7:$C$2738,A736)</f>
        <v>1</v>
      </c>
      <c r="C736" s="14" t="n">
        <f aca="false">COUNTIFS(選手一覧!$C$7:$C$2738,A736,選手一覧!$K$7:$K$2738,"&lt;=100")</f>
        <v>0</v>
      </c>
      <c r="D736" s="14" t="n">
        <f aca="false">COUNTIFS(選手一覧!$C$7:$C$2738,A736,選手一覧!$E$7:$E$2738,"&lt;=100")</f>
        <v>0</v>
      </c>
      <c r="E736" s="14" t="n">
        <f aca="false">COUNTIFS(選手一覧!$C$7:$C$2738,A736,選手一覧!$G$7:$G$2738,"&lt;=100")</f>
        <v>0</v>
      </c>
      <c r="F736" s="14" t="n">
        <f aca="false">COUNTIFS(選手一覧!$C$7:$C$2738,A736,選手一覧!$I$7:$I$2738,"&lt;=100")</f>
        <v>0</v>
      </c>
      <c r="G736" s="13" t="n">
        <f aca="false">_xlfn.MINIFS(選手一覧!$K$7:$K$2738,選手一覧!$C$7:$C$2738,A736)</f>
        <v>737</v>
      </c>
      <c r="H736" s="16"/>
    </row>
    <row r="737" customFormat="false" ht="15" hidden="false" customHeight="false" outlineLevel="0" collapsed="false">
      <c r="A737" s="10" t="s">
        <v>2235</v>
      </c>
      <c r="B737" s="12" t="n">
        <f aca="false">COUNTIF(選手一覧!$C$7:$C$2738,A737)</f>
        <v>1</v>
      </c>
      <c r="C737" s="14" t="n">
        <f aca="false">COUNTIFS(選手一覧!$C$7:$C$2738,A737,選手一覧!$K$7:$K$2738,"&lt;=100")</f>
        <v>0</v>
      </c>
      <c r="D737" s="14" t="n">
        <f aca="false">COUNTIFS(選手一覧!$C$7:$C$2738,A737,選手一覧!$E$7:$E$2738,"&lt;=100")</f>
        <v>0</v>
      </c>
      <c r="E737" s="14" t="n">
        <f aca="false">COUNTIFS(選手一覧!$C$7:$C$2738,A737,選手一覧!$G$7:$G$2738,"&lt;=100")</f>
        <v>0</v>
      </c>
      <c r="F737" s="14" t="n">
        <f aca="false">COUNTIFS(選手一覧!$C$7:$C$2738,A737,選手一覧!$I$7:$I$2738,"&lt;=100")</f>
        <v>0</v>
      </c>
      <c r="G737" s="13" t="n">
        <f aca="false">_xlfn.MINIFS(選手一覧!$K$7:$K$2738,選手一覧!$C$7:$C$2738,A737)</f>
        <v>737</v>
      </c>
      <c r="H737" s="16"/>
    </row>
    <row r="738" customFormat="false" ht="15" hidden="false" customHeight="false" outlineLevel="0" collapsed="false">
      <c r="A738" s="10" t="s">
        <v>2240</v>
      </c>
      <c r="B738" s="12" t="n">
        <f aca="false">COUNTIF(選手一覧!$C$7:$C$2738,A738)</f>
        <v>1</v>
      </c>
      <c r="C738" s="14" t="n">
        <f aca="false">COUNTIFS(選手一覧!$C$7:$C$2738,A738,選手一覧!$K$7:$K$2738,"&lt;=100")</f>
        <v>0</v>
      </c>
      <c r="D738" s="14" t="n">
        <f aca="false">COUNTIFS(選手一覧!$C$7:$C$2738,A738,選手一覧!$E$7:$E$2738,"&lt;=100")</f>
        <v>0</v>
      </c>
      <c r="E738" s="14" t="n">
        <f aca="false">COUNTIFS(選手一覧!$C$7:$C$2738,A738,選手一覧!$G$7:$G$2738,"&lt;=100")</f>
        <v>0</v>
      </c>
      <c r="F738" s="14" t="n">
        <f aca="false">COUNTIFS(選手一覧!$C$7:$C$2738,A738,選手一覧!$I$7:$I$2738,"&lt;=100")</f>
        <v>0</v>
      </c>
      <c r="G738" s="13" t="n">
        <f aca="false">_xlfn.MINIFS(選手一覧!$K$7:$K$2738,選手一覧!$C$7:$C$2738,A738)</f>
        <v>739</v>
      </c>
      <c r="H738" s="16"/>
    </row>
    <row r="739" customFormat="false" ht="15" hidden="false" customHeight="false" outlineLevel="0" collapsed="false">
      <c r="A739" s="10" t="s">
        <v>2245</v>
      </c>
      <c r="B739" s="12" t="n">
        <f aca="false">COUNTIF(選手一覧!$C$7:$C$2738,A739)</f>
        <v>1</v>
      </c>
      <c r="C739" s="14" t="n">
        <f aca="false">COUNTIFS(選手一覧!$C$7:$C$2738,A739,選手一覧!$K$7:$K$2738,"&lt;=100")</f>
        <v>0</v>
      </c>
      <c r="D739" s="14" t="n">
        <f aca="false">COUNTIFS(選手一覧!$C$7:$C$2738,A739,選手一覧!$E$7:$E$2738,"&lt;=100")</f>
        <v>0</v>
      </c>
      <c r="E739" s="14" t="n">
        <f aca="false">COUNTIFS(選手一覧!$C$7:$C$2738,A739,選手一覧!$G$7:$G$2738,"&lt;=100")</f>
        <v>0</v>
      </c>
      <c r="F739" s="14" t="n">
        <f aca="false">COUNTIFS(選手一覧!$C$7:$C$2738,A739,選手一覧!$I$7:$I$2738,"&lt;=100")</f>
        <v>0</v>
      </c>
      <c r="G739" s="13" t="n">
        <f aca="false">_xlfn.MINIFS(選手一覧!$K$7:$K$2738,選手一覧!$C$7:$C$2738,A739)</f>
        <v>740</v>
      </c>
      <c r="H739" s="16"/>
    </row>
    <row r="740" customFormat="false" ht="15" hidden="false" customHeight="false" outlineLevel="0" collapsed="false">
      <c r="A740" s="16" t="s">
        <v>2249</v>
      </c>
      <c r="B740" s="12" t="n">
        <f aca="false">COUNTIF(選手一覧!$C$7:$C$2738,A740)</f>
        <v>1</v>
      </c>
      <c r="C740" s="14" t="n">
        <f aca="false">COUNTIFS(選手一覧!$C$7:$C$2738,A740,選手一覧!$K$7:$K$2738,"&lt;=100")</f>
        <v>0</v>
      </c>
      <c r="D740" s="14" t="n">
        <f aca="false">COUNTIFS(選手一覧!$C$7:$C$2738,A740,選手一覧!$E$7:$E$2738,"&lt;=100")</f>
        <v>0</v>
      </c>
      <c r="E740" s="14" t="n">
        <f aca="false">COUNTIFS(選手一覧!$C$7:$C$2738,A740,選手一覧!$G$7:$G$2738,"&lt;=100")</f>
        <v>0</v>
      </c>
      <c r="F740" s="14" t="n">
        <f aca="false">COUNTIFS(選手一覧!$C$7:$C$2738,A740,選手一覧!$I$7:$I$2738,"&lt;=100")</f>
        <v>0</v>
      </c>
      <c r="G740" s="13" t="n">
        <f aca="false">_xlfn.MINIFS(選手一覧!$K$7:$K$2738,選手一覧!$C$7:$C$2738,A740)</f>
        <v>742</v>
      </c>
      <c r="H740" s="16"/>
    </row>
    <row r="741" customFormat="false" ht="15" hidden="false" customHeight="false" outlineLevel="0" collapsed="false">
      <c r="A741" s="10" t="s">
        <v>2251</v>
      </c>
      <c r="B741" s="12" t="n">
        <f aca="false">COUNTIF(選手一覧!$C$7:$C$2738,A741)</f>
        <v>1</v>
      </c>
      <c r="C741" s="14" t="n">
        <f aca="false">COUNTIFS(選手一覧!$C$7:$C$2738,A741,選手一覧!$K$7:$K$2738,"&lt;=100")</f>
        <v>0</v>
      </c>
      <c r="D741" s="14" t="n">
        <f aca="false">COUNTIFS(選手一覧!$C$7:$C$2738,A741,選手一覧!$E$7:$E$2738,"&lt;=100")</f>
        <v>0</v>
      </c>
      <c r="E741" s="14" t="n">
        <f aca="false">COUNTIFS(選手一覧!$C$7:$C$2738,A741,選手一覧!$G$7:$G$2738,"&lt;=100")</f>
        <v>0</v>
      </c>
      <c r="F741" s="14" t="n">
        <f aca="false">COUNTIFS(選手一覧!$C$7:$C$2738,A741,選手一覧!$I$7:$I$2738,"&lt;=100")</f>
        <v>0</v>
      </c>
      <c r="G741" s="13" t="n">
        <f aca="false">_xlfn.MINIFS(選手一覧!$K$7:$K$2738,選手一覧!$C$7:$C$2738,A741)</f>
        <v>742</v>
      </c>
      <c r="H741" s="16"/>
    </row>
    <row r="742" customFormat="false" ht="15" hidden="false" customHeight="false" outlineLevel="0" collapsed="false">
      <c r="A742" s="10" t="s">
        <v>2258</v>
      </c>
      <c r="B742" s="12" t="n">
        <f aca="false">COUNTIF(選手一覧!$C$7:$C$2738,A742)</f>
        <v>1</v>
      </c>
      <c r="C742" s="14" t="n">
        <f aca="false">COUNTIFS(選手一覧!$C$7:$C$2738,A742,選手一覧!$K$7:$K$2738,"&lt;=100")</f>
        <v>0</v>
      </c>
      <c r="D742" s="14" t="n">
        <f aca="false">COUNTIFS(選手一覧!$C$7:$C$2738,A742,選手一覧!$E$7:$E$2738,"&lt;=100")</f>
        <v>0</v>
      </c>
      <c r="E742" s="14" t="n">
        <f aca="false">COUNTIFS(選手一覧!$C$7:$C$2738,A742,選手一覧!$G$7:$G$2738,"&lt;=100")</f>
        <v>0</v>
      </c>
      <c r="F742" s="14" t="n">
        <f aca="false">COUNTIFS(選手一覧!$C$7:$C$2738,A742,選手一覧!$I$7:$I$2738,"&lt;=100")</f>
        <v>0</v>
      </c>
      <c r="G742" s="13" t="n">
        <f aca="false">_xlfn.MINIFS(選手一覧!$K$7:$K$2738,選手一覧!$C$7:$C$2738,A742)</f>
        <v>744</v>
      </c>
      <c r="H742" s="16"/>
    </row>
    <row r="743" customFormat="false" ht="15" hidden="false" customHeight="false" outlineLevel="0" collapsed="false">
      <c r="A743" s="10" t="s">
        <v>2260</v>
      </c>
      <c r="B743" s="12" t="n">
        <f aca="false">COUNTIF(選手一覧!$C$7:$C$2738,A743)</f>
        <v>1</v>
      </c>
      <c r="C743" s="14" t="n">
        <f aca="false">COUNTIFS(選手一覧!$C$7:$C$2738,A743,選手一覧!$K$7:$K$2738,"&lt;=100")</f>
        <v>0</v>
      </c>
      <c r="D743" s="14" t="n">
        <f aca="false">COUNTIFS(選手一覧!$C$7:$C$2738,A743,選手一覧!$E$7:$E$2738,"&lt;=100")</f>
        <v>0</v>
      </c>
      <c r="E743" s="14" t="n">
        <f aca="false">COUNTIFS(選手一覧!$C$7:$C$2738,A743,選手一覧!$G$7:$G$2738,"&lt;=100")</f>
        <v>0</v>
      </c>
      <c r="F743" s="14" t="n">
        <f aca="false">COUNTIFS(選手一覧!$C$7:$C$2738,A743,選手一覧!$I$7:$I$2738,"&lt;=100")</f>
        <v>0</v>
      </c>
      <c r="G743" s="13" t="n">
        <f aca="false">_xlfn.MINIFS(選手一覧!$K$7:$K$2738,選手一覧!$C$7:$C$2738,A743)</f>
        <v>744</v>
      </c>
      <c r="H743" s="16"/>
    </row>
    <row r="744" customFormat="false" ht="15" hidden="false" customHeight="false" outlineLevel="0" collapsed="false">
      <c r="A744" s="10" t="s">
        <v>2261</v>
      </c>
      <c r="B744" s="12" t="n">
        <f aca="false">COUNTIF(選手一覧!$C$7:$C$2738,A744)</f>
        <v>1</v>
      </c>
      <c r="C744" s="14" t="n">
        <f aca="false">COUNTIFS(選手一覧!$C$7:$C$2738,A744,選手一覧!$K$7:$K$2738,"&lt;=100")</f>
        <v>0</v>
      </c>
      <c r="D744" s="14" t="n">
        <f aca="false">COUNTIFS(選手一覧!$C$7:$C$2738,A744,選手一覧!$E$7:$E$2738,"&lt;=100")</f>
        <v>0</v>
      </c>
      <c r="E744" s="14" t="n">
        <f aca="false">COUNTIFS(選手一覧!$C$7:$C$2738,A744,選手一覧!$G$7:$G$2738,"&lt;=100")</f>
        <v>0</v>
      </c>
      <c r="F744" s="14" t="n">
        <f aca="false">COUNTIFS(選手一覧!$C$7:$C$2738,A744,選手一覧!$I$7:$I$2738,"&lt;=100")</f>
        <v>0</v>
      </c>
      <c r="G744" s="13" t="n">
        <f aca="false">_xlfn.MINIFS(選手一覧!$K$7:$K$2738,選手一覧!$C$7:$C$2738,A744)</f>
        <v>745</v>
      </c>
      <c r="H744" s="16"/>
    </row>
    <row r="745" customFormat="false" ht="15" hidden="false" customHeight="false" outlineLevel="0" collapsed="false">
      <c r="A745" s="10" t="s">
        <v>2267</v>
      </c>
      <c r="B745" s="12" t="n">
        <f aca="false">COUNTIF(選手一覧!$C$7:$C$2738,A745)</f>
        <v>1</v>
      </c>
      <c r="C745" s="14" t="n">
        <f aca="false">COUNTIFS(選手一覧!$C$7:$C$2738,A745,選手一覧!$K$7:$K$2738,"&lt;=100")</f>
        <v>0</v>
      </c>
      <c r="D745" s="14" t="n">
        <f aca="false">COUNTIFS(選手一覧!$C$7:$C$2738,A745,選手一覧!$E$7:$E$2738,"&lt;=100")</f>
        <v>0</v>
      </c>
      <c r="E745" s="14" t="n">
        <f aca="false">COUNTIFS(選手一覧!$C$7:$C$2738,A745,選手一覧!$G$7:$G$2738,"&lt;=100")</f>
        <v>0</v>
      </c>
      <c r="F745" s="14" t="n">
        <f aca="false">COUNTIFS(選手一覧!$C$7:$C$2738,A745,選手一覧!$I$7:$I$2738,"&lt;=100")</f>
        <v>0</v>
      </c>
      <c r="G745" s="13" t="n">
        <f aca="false">_xlfn.MINIFS(選手一覧!$K$7:$K$2738,選手一覧!$C$7:$C$2738,A745)</f>
        <v>746</v>
      </c>
      <c r="H745" s="16"/>
    </row>
    <row r="746" customFormat="false" ht="15" hidden="false" customHeight="false" outlineLevel="0" collapsed="false">
      <c r="A746" s="10" t="s">
        <v>2273</v>
      </c>
      <c r="B746" s="12" t="n">
        <f aca="false">COUNTIF(選手一覧!$C$7:$C$2738,A746)</f>
        <v>1</v>
      </c>
      <c r="C746" s="14" t="n">
        <f aca="false">COUNTIFS(選手一覧!$C$7:$C$2738,A746,選手一覧!$K$7:$K$2738,"&lt;=100")</f>
        <v>0</v>
      </c>
      <c r="D746" s="14" t="n">
        <f aca="false">COUNTIFS(選手一覧!$C$7:$C$2738,A746,選手一覧!$E$7:$E$2738,"&lt;=100")</f>
        <v>0</v>
      </c>
      <c r="E746" s="14" t="n">
        <f aca="false">COUNTIFS(選手一覧!$C$7:$C$2738,A746,選手一覧!$G$7:$G$2738,"&lt;=100")</f>
        <v>0</v>
      </c>
      <c r="F746" s="14" t="n">
        <f aca="false">COUNTIFS(選手一覧!$C$7:$C$2738,A746,選手一覧!$I$7:$I$2738,"&lt;=100")</f>
        <v>0</v>
      </c>
      <c r="G746" s="13" t="n">
        <f aca="false">_xlfn.MINIFS(選手一覧!$K$7:$K$2738,選手一覧!$C$7:$C$2738,A746)</f>
        <v>748</v>
      </c>
      <c r="H746" s="16"/>
    </row>
    <row r="747" customFormat="false" ht="15" hidden="false" customHeight="false" outlineLevel="0" collapsed="false">
      <c r="A747" s="10" t="s">
        <v>2276</v>
      </c>
      <c r="B747" s="12" t="n">
        <f aca="false">COUNTIF(選手一覧!$C$7:$C$2738,A747)</f>
        <v>1</v>
      </c>
      <c r="C747" s="14" t="n">
        <f aca="false">COUNTIFS(選手一覧!$C$7:$C$2738,A747,選手一覧!$K$7:$K$2738,"&lt;=100")</f>
        <v>0</v>
      </c>
      <c r="D747" s="14" t="n">
        <f aca="false">COUNTIFS(選手一覧!$C$7:$C$2738,A747,選手一覧!$E$7:$E$2738,"&lt;=100")</f>
        <v>0</v>
      </c>
      <c r="E747" s="14" t="n">
        <f aca="false">COUNTIFS(選手一覧!$C$7:$C$2738,A747,選手一覧!$G$7:$G$2738,"&lt;=100")</f>
        <v>0</v>
      </c>
      <c r="F747" s="14" t="n">
        <f aca="false">COUNTIFS(選手一覧!$C$7:$C$2738,A747,選手一覧!$I$7:$I$2738,"&lt;=100")</f>
        <v>0</v>
      </c>
      <c r="G747" s="13" t="n">
        <f aca="false">_xlfn.MINIFS(選手一覧!$K$7:$K$2738,選手一覧!$C$7:$C$2738,A747)</f>
        <v>750</v>
      </c>
      <c r="H747" s="16"/>
    </row>
    <row r="748" customFormat="false" ht="15" hidden="false" customHeight="false" outlineLevel="0" collapsed="false">
      <c r="A748" s="10" t="s">
        <v>2291</v>
      </c>
      <c r="B748" s="12" t="n">
        <f aca="false">COUNTIF(選手一覧!$C$7:$C$2738,A748)</f>
        <v>1</v>
      </c>
      <c r="C748" s="14" t="n">
        <f aca="false">COUNTIFS(選手一覧!$C$7:$C$2738,A748,選手一覧!$K$7:$K$2738,"&lt;=100")</f>
        <v>0</v>
      </c>
      <c r="D748" s="14" t="n">
        <f aca="false">COUNTIFS(選手一覧!$C$7:$C$2738,A748,選手一覧!$E$7:$E$2738,"&lt;=100")</f>
        <v>0</v>
      </c>
      <c r="E748" s="14" t="n">
        <f aca="false">COUNTIFS(選手一覧!$C$7:$C$2738,A748,選手一覧!$G$7:$G$2738,"&lt;=100")</f>
        <v>0</v>
      </c>
      <c r="F748" s="14" t="n">
        <f aca="false">COUNTIFS(選手一覧!$C$7:$C$2738,A748,選手一覧!$I$7:$I$2738,"&lt;=100")</f>
        <v>0</v>
      </c>
      <c r="G748" s="13" t="n">
        <f aca="false">_xlfn.MINIFS(選手一覧!$K$7:$K$2738,選手一覧!$C$7:$C$2738,A748)</f>
        <v>754</v>
      </c>
      <c r="H748" s="16"/>
    </row>
    <row r="749" customFormat="false" ht="15" hidden="false" customHeight="false" outlineLevel="0" collapsed="false">
      <c r="A749" s="10" t="s">
        <v>2297</v>
      </c>
      <c r="B749" s="12" t="n">
        <f aca="false">COUNTIF(選手一覧!$C$7:$C$2738,A749)</f>
        <v>1</v>
      </c>
      <c r="C749" s="14" t="n">
        <f aca="false">COUNTIFS(選手一覧!$C$7:$C$2738,A749,選手一覧!$K$7:$K$2738,"&lt;=100")</f>
        <v>0</v>
      </c>
      <c r="D749" s="14" t="n">
        <f aca="false">COUNTIFS(選手一覧!$C$7:$C$2738,A749,選手一覧!$E$7:$E$2738,"&lt;=100")</f>
        <v>0</v>
      </c>
      <c r="E749" s="14" t="n">
        <f aca="false">COUNTIFS(選手一覧!$C$7:$C$2738,A749,選手一覧!$G$7:$G$2738,"&lt;=100")</f>
        <v>0</v>
      </c>
      <c r="F749" s="14" t="n">
        <f aca="false">COUNTIFS(選手一覧!$C$7:$C$2738,A749,選手一覧!$I$7:$I$2738,"&lt;=100")</f>
        <v>0</v>
      </c>
      <c r="G749" s="13" t="n">
        <f aca="false">_xlfn.MINIFS(選手一覧!$K$7:$K$2738,選手一覧!$C$7:$C$2738,A749)</f>
        <v>756</v>
      </c>
      <c r="H749" s="16"/>
    </row>
    <row r="750" customFormat="false" ht="15" hidden="false" customHeight="false" outlineLevel="0" collapsed="false">
      <c r="A750" s="10" t="s">
        <v>2299</v>
      </c>
      <c r="B750" s="12" t="n">
        <f aca="false">COUNTIF(選手一覧!$C$7:$C$2738,A750)</f>
        <v>1</v>
      </c>
      <c r="C750" s="14" t="n">
        <f aca="false">COUNTIFS(選手一覧!$C$7:$C$2738,A750,選手一覧!$K$7:$K$2738,"&lt;=100")</f>
        <v>0</v>
      </c>
      <c r="D750" s="14" t="n">
        <f aca="false">COUNTIFS(選手一覧!$C$7:$C$2738,A750,選手一覧!$E$7:$E$2738,"&lt;=100")</f>
        <v>0</v>
      </c>
      <c r="E750" s="14" t="n">
        <f aca="false">COUNTIFS(選手一覧!$C$7:$C$2738,A750,選手一覧!$G$7:$G$2738,"&lt;=100")</f>
        <v>0</v>
      </c>
      <c r="F750" s="14" t="n">
        <f aca="false">COUNTIFS(選手一覧!$C$7:$C$2738,A750,選手一覧!$I$7:$I$2738,"&lt;=100")</f>
        <v>0</v>
      </c>
      <c r="G750" s="13" t="n">
        <f aca="false">_xlfn.MINIFS(選手一覧!$K$7:$K$2738,選手一覧!$C$7:$C$2738,A750)</f>
        <v>757</v>
      </c>
      <c r="H750" s="16"/>
    </row>
    <row r="751" customFormat="false" ht="15" hidden="false" customHeight="false" outlineLevel="0" collapsed="false">
      <c r="A751" s="10" t="s">
        <v>2304</v>
      </c>
      <c r="B751" s="12" t="n">
        <f aca="false">COUNTIF(選手一覧!$C$7:$C$2738,A751)</f>
        <v>1</v>
      </c>
      <c r="C751" s="14" t="n">
        <f aca="false">COUNTIFS(選手一覧!$C$7:$C$2738,A751,選手一覧!$K$7:$K$2738,"&lt;=100")</f>
        <v>0</v>
      </c>
      <c r="D751" s="14" t="n">
        <f aca="false">COUNTIFS(選手一覧!$C$7:$C$2738,A751,選手一覧!$E$7:$E$2738,"&lt;=100")</f>
        <v>0</v>
      </c>
      <c r="E751" s="14" t="n">
        <f aca="false">COUNTIFS(選手一覧!$C$7:$C$2738,A751,選手一覧!$G$7:$G$2738,"&lt;=100")</f>
        <v>0</v>
      </c>
      <c r="F751" s="14" t="n">
        <f aca="false">COUNTIFS(選手一覧!$C$7:$C$2738,A751,選手一覧!$I$7:$I$2738,"&lt;=100")</f>
        <v>0</v>
      </c>
      <c r="G751" s="13" t="n">
        <f aca="false">_xlfn.MINIFS(選手一覧!$K$7:$K$2738,選手一覧!$C$7:$C$2738,A751)</f>
        <v>758</v>
      </c>
      <c r="H751" s="16"/>
    </row>
    <row r="752" customFormat="false" ht="15" hidden="false" customHeight="false" outlineLevel="0" collapsed="false">
      <c r="A752" s="10" t="s">
        <v>2311</v>
      </c>
      <c r="B752" s="12" t="n">
        <f aca="false">COUNTIF(選手一覧!$C$7:$C$2738,A752)</f>
        <v>1</v>
      </c>
      <c r="C752" s="14" t="n">
        <f aca="false">COUNTIFS(選手一覧!$C$7:$C$2738,A752,選手一覧!$K$7:$K$2738,"&lt;=100")</f>
        <v>0</v>
      </c>
      <c r="D752" s="14" t="n">
        <f aca="false">COUNTIFS(選手一覧!$C$7:$C$2738,A752,選手一覧!$E$7:$E$2738,"&lt;=100")</f>
        <v>0</v>
      </c>
      <c r="E752" s="14" t="n">
        <f aca="false">COUNTIFS(選手一覧!$C$7:$C$2738,A752,選手一覧!$G$7:$G$2738,"&lt;=100")</f>
        <v>0</v>
      </c>
      <c r="F752" s="14" t="n">
        <f aca="false">COUNTIFS(選手一覧!$C$7:$C$2738,A752,選手一覧!$I$7:$I$2738,"&lt;=100")</f>
        <v>0</v>
      </c>
      <c r="G752" s="13" t="n">
        <f aca="false">_xlfn.MINIFS(選手一覧!$K$7:$K$2738,選手一覧!$C$7:$C$2738,A752)</f>
        <v>760</v>
      </c>
      <c r="H752" s="16"/>
    </row>
    <row r="753" customFormat="false" ht="15" hidden="false" customHeight="false" outlineLevel="0" collapsed="false">
      <c r="A753" s="10" t="s">
        <v>2329</v>
      </c>
      <c r="B753" s="12" t="n">
        <f aca="false">COUNTIF(選手一覧!$C$7:$C$2738,A753)</f>
        <v>1</v>
      </c>
      <c r="C753" s="14" t="n">
        <f aca="false">COUNTIFS(選手一覧!$C$7:$C$2738,A753,選手一覧!$K$7:$K$2738,"&lt;=100")</f>
        <v>0</v>
      </c>
      <c r="D753" s="14" t="n">
        <f aca="false">COUNTIFS(選手一覧!$C$7:$C$2738,A753,選手一覧!$E$7:$E$2738,"&lt;=100")</f>
        <v>0</v>
      </c>
      <c r="E753" s="14" t="n">
        <f aca="false">COUNTIFS(選手一覧!$C$7:$C$2738,A753,選手一覧!$G$7:$G$2738,"&lt;=100")</f>
        <v>0</v>
      </c>
      <c r="F753" s="14" t="n">
        <f aca="false">COUNTIFS(選手一覧!$C$7:$C$2738,A753,選手一覧!$I$7:$I$2738,"&lt;=100")</f>
        <v>0</v>
      </c>
      <c r="G753" s="13" t="n">
        <f aca="false">_xlfn.MINIFS(選手一覧!$K$7:$K$2738,選手一覧!$C$7:$C$2738,A753)</f>
        <v>766</v>
      </c>
      <c r="H753" s="16"/>
    </row>
    <row r="754" customFormat="false" ht="15" hidden="false" customHeight="false" outlineLevel="0" collapsed="false">
      <c r="A754" s="10" t="s">
        <v>2336</v>
      </c>
      <c r="B754" s="12" t="n">
        <f aca="false">COUNTIF(選手一覧!$C$7:$C$2738,A754)</f>
        <v>1</v>
      </c>
      <c r="C754" s="14" t="n">
        <f aca="false">COUNTIFS(選手一覧!$C$7:$C$2738,A754,選手一覧!$K$7:$K$2738,"&lt;=100")</f>
        <v>0</v>
      </c>
      <c r="D754" s="14" t="n">
        <f aca="false">COUNTIFS(選手一覧!$C$7:$C$2738,A754,選手一覧!$E$7:$E$2738,"&lt;=100")</f>
        <v>0</v>
      </c>
      <c r="E754" s="14" t="n">
        <f aca="false">COUNTIFS(選手一覧!$C$7:$C$2738,A754,選手一覧!$G$7:$G$2738,"&lt;=100")</f>
        <v>0</v>
      </c>
      <c r="F754" s="14" t="n">
        <f aca="false">COUNTIFS(選手一覧!$C$7:$C$2738,A754,選手一覧!$I$7:$I$2738,"&lt;=100")</f>
        <v>0</v>
      </c>
      <c r="G754" s="13" t="n">
        <f aca="false">_xlfn.MINIFS(選手一覧!$K$7:$K$2738,選手一覧!$C$7:$C$2738,A754)</f>
        <v>768</v>
      </c>
      <c r="H754" s="16"/>
    </row>
    <row r="755" customFormat="false" ht="15" hidden="false" customHeight="false" outlineLevel="0" collapsed="false">
      <c r="A755" s="10" t="s">
        <v>2342</v>
      </c>
      <c r="B755" s="12" t="n">
        <f aca="false">COUNTIF(選手一覧!$C$7:$C$2738,A755)</f>
        <v>1</v>
      </c>
      <c r="C755" s="14" t="n">
        <f aca="false">COUNTIFS(選手一覧!$C$7:$C$2738,A755,選手一覧!$K$7:$K$2738,"&lt;=100")</f>
        <v>0</v>
      </c>
      <c r="D755" s="14" t="n">
        <f aca="false">COUNTIFS(選手一覧!$C$7:$C$2738,A755,選手一覧!$E$7:$E$2738,"&lt;=100")</f>
        <v>0</v>
      </c>
      <c r="E755" s="14" t="n">
        <f aca="false">COUNTIFS(選手一覧!$C$7:$C$2738,A755,選手一覧!$G$7:$G$2738,"&lt;=100")</f>
        <v>0</v>
      </c>
      <c r="F755" s="14" t="n">
        <f aca="false">COUNTIFS(選手一覧!$C$7:$C$2738,A755,選手一覧!$I$7:$I$2738,"&lt;=100")</f>
        <v>0</v>
      </c>
      <c r="G755" s="13" t="n">
        <f aca="false">_xlfn.MINIFS(選手一覧!$K$7:$K$2738,選手一覧!$C$7:$C$2738,A755)</f>
        <v>771</v>
      </c>
      <c r="H755" s="16"/>
    </row>
    <row r="756" customFormat="false" ht="15" hidden="false" customHeight="false" outlineLevel="0" collapsed="false">
      <c r="A756" s="10" t="s">
        <v>2350</v>
      </c>
      <c r="B756" s="12" t="n">
        <f aca="false">COUNTIF(選手一覧!$C$7:$C$2738,A756)</f>
        <v>1</v>
      </c>
      <c r="C756" s="14" t="n">
        <f aca="false">COUNTIFS(選手一覧!$C$7:$C$2738,A756,選手一覧!$K$7:$K$2738,"&lt;=100")</f>
        <v>0</v>
      </c>
      <c r="D756" s="14" t="n">
        <f aca="false">COUNTIFS(選手一覧!$C$7:$C$2738,A756,選手一覧!$E$7:$E$2738,"&lt;=100")</f>
        <v>0</v>
      </c>
      <c r="E756" s="14" t="n">
        <f aca="false">COUNTIFS(選手一覧!$C$7:$C$2738,A756,選手一覧!$G$7:$G$2738,"&lt;=100")</f>
        <v>0</v>
      </c>
      <c r="F756" s="14" t="n">
        <f aca="false">COUNTIFS(選手一覧!$C$7:$C$2738,A756,選手一覧!$I$7:$I$2738,"&lt;=100")</f>
        <v>0</v>
      </c>
      <c r="G756" s="13" t="n">
        <f aca="false">_xlfn.MINIFS(選手一覧!$K$7:$K$2738,選手一覧!$C$7:$C$2738,A756)</f>
        <v>773</v>
      </c>
      <c r="H756" s="16"/>
    </row>
    <row r="757" customFormat="false" ht="15" hidden="false" customHeight="false" outlineLevel="0" collapsed="false">
      <c r="A757" s="10" t="s">
        <v>2355</v>
      </c>
      <c r="B757" s="12" t="n">
        <f aca="false">COUNTIF(選手一覧!$C$7:$C$2738,A757)</f>
        <v>1</v>
      </c>
      <c r="C757" s="14" t="n">
        <f aca="false">COUNTIFS(選手一覧!$C$7:$C$2738,A757,選手一覧!$K$7:$K$2738,"&lt;=100")</f>
        <v>0</v>
      </c>
      <c r="D757" s="14" t="n">
        <f aca="false">COUNTIFS(選手一覧!$C$7:$C$2738,A757,選手一覧!$E$7:$E$2738,"&lt;=100")</f>
        <v>0</v>
      </c>
      <c r="E757" s="14" t="n">
        <f aca="false">COUNTIFS(選手一覧!$C$7:$C$2738,A757,選手一覧!$G$7:$G$2738,"&lt;=100")</f>
        <v>0</v>
      </c>
      <c r="F757" s="14" t="n">
        <f aca="false">COUNTIFS(選手一覧!$C$7:$C$2738,A757,選手一覧!$I$7:$I$2738,"&lt;=100")</f>
        <v>0</v>
      </c>
      <c r="G757" s="13" t="n">
        <f aca="false">_xlfn.MINIFS(選手一覧!$K$7:$K$2738,選手一覧!$C$7:$C$2738,A757)</f>
        <v>775</v>
      </c>
      <c r="H757" s="16"/>
    </row>
    <row r="758" customFormat="false" ht="15" hidden="false" customHeight="false" outlineLevel="0" collapsed="false">
      <c r="A758" s="10" t="s">
        <v>2363</v>
      </c>
      <c r="B758" s="12" t="n">
        <f aca="false">COUNTIF(選手一覧!$C$7:$C$2738,A758)</f>
        <v>1</v>
      </c>
      <c r="C758" s="14" t="n">
        <f aca="false">COUNTIFS(選手一覧!$C$7:$C$2738,A758,選手一覧!$K$7:$K$2738,"&lt;=100")</f>
        <v>0</v>
      </c>
      <c r="D758" s="14" t="n">
        <f aca="false">COUNTIFS(選手一覧!$C$7:$C$2738,A758,選手一覧!$E$7:$E$2738,"&lt;=100")</f>
        <v>0</v>
      </c>
      <c r="E758" s="14" t="n">
        <f aca="false">COUNTIFS(選手一覧!$C$7:$C$2738,A758,選手一覧!$G$7:$G$2738,"&lt;=100")</f>
        <v>0</v>
      </c>
      <c r="F758" s="14" t="n">
        <f aca="false">COUNTIFS(選手一覧!$C$7:$C$2738,A758,選手一覧!$I$7:$I$2738,"&lt;=100")</f>
        <v>0</v>
      </c>
      <c r="G758" s="13" t="n">
        <f aca="false">_xlfn.MINIFS(選手一覧!$K$7:$K$2738,選手一覧!$C$7:$C$2738,A758)</f>
        <v>779</v>
      </c>
      <c r="H758" s="16"/>
    </row>
    <row r="759" customFormat="false" ht="15" hidden="false" customHeight="false" outlineLevel="0" collapsed="false">
      <c r="A759" s="10" t="s">
        <v>2395</v>
      </c>
      <c r="B759" s="12" t="n">
        <f aca="false">COUNTIF(選手一覧!$C$7:$C$2738,A759)</f>
        <v>1</v>
      </c>
      <c r="C759" s="14" t="n">
        <f aca="false">COUNTIFS(選手一覧!$C$7:$C$2738,A759,選手一覧!$K$7:$K$2738,"&lt;=100")</f>
        <v>0</v>
      </c>
      <c r="D759" s="14" t="n">
        <f aca="false">COUNTIFS(選手一覧!$C$7:$C$2738,A759,選手一覧!$E$7:$E$2738,"&lt;=100")</f>
        <v>0</v>
      </c>
      <c r="E759" s="14" t="n">
        <f aca="false">COUNTIFS(選手一覧!$C$7:$C$2738,A759,選手一覧!$G$7:$G$2738,"&lt;=100")</f>
        <v>0</v>
      </c>
      <c r="F759" s="14" t="n">
        <f aca="false">COUNTIFS(選手一覧!$C$7:$C$2738,A759,選手一覧!$I$7:$I$2738,"&lt;=100")</f>
        <v>0</v>
      </c>
      <c r="G759" s="13" t="n">
        <f aca="false">_xlfn.MINIFS(選手一覧!$K$7:$K$2738,選手一覧!$C$7:$C$2738,A759)</f>
        <v>794</v>
      </c>
      <c r="H759" s="16"/>
    </row>
    <row r="760" customFormat="false" ht="15" hidden="false" customHeight="false" outlineLevel="0" collapsed="false">
      <c r="A760" s="10" t="s">
        <v>2414</v>
      </c>
      <c r="B760" s="12" t="n">
        <f aca="false">COUNTIF(選手一覧!$C$7:$C$2738,A760)</f>
        <v>1</v>
      </c>
      <c r="C760" s="14" t="n">
        <f aca="false">COUNTIFS(選手一覧!$C$7:$C$2738,A760,選手一覧!$K$7:$K$2738,"&lt;=100")</f>
        <v>0</v>
      </c>
      <c r="D760" s="14" t="n">
        <f aca="false">COUNTIFS(選手一覧!$C$7:$C$2738,A760,選手一覧!$E$7:$E$2738,"&lt;=100")</f>
        <v>0</v>
      </c>
      <c r="E760" s="14" t="n">
        <f aca="false">COUNTIFS(選手一覧!$C$7:$C$2738,A760,選手一覧!$G$7:$G$2738,"&lt;=100")</f>
        <v>0</v>
      </c>
      <c r="F760" s="14" t="n">
        <f aca="false">COUNTIFS(選手一覧!$C$7:$C$2738,A760,選手一覧!$I$7:$I$2738,"&lt;=100")</f>
        <v>0</v>
      </c>
      <c r="G760" s="13" t="n">
        <f aca="false">_xlfn.MINIFS(選手一覧!$K$7:$K$2738,選手一覧!$C$7:$C$2738,A760)</f>
        <v>801</v>
      </c>
      <c r="H760" s="16"/>
    </row>
    <row r="761" customFormat="false" ht="15" hidden="false" customHeight="false" outlineLevel="0" collapsed="false">
      <c r="A761" s="10" t="s">
        <v>2418</v>
      </c>
      <c r="B761" s="12" t="n">
        <f aca="false">COUNTIF(選手一覧!$C$7:$C$2738,A761)</f>
        <v>1</v>
      </c>
      <c r="C761" s="14" t="n">
        <f aca="false">COUNTIFS(選手一覧!$C$7:$C$2738,A761,選手一覧!$K$7:$K$2738,"&lt;=100")</f>
        <v>0</v>
      </c>
      <c r="D761" s="14" t="n">
        <f aca="false">COUNTIFS(選手一覧!$C$7:$C$2738,A761,選手一覧!$E$7:$E$2738,"&lt;=100")</f>
        <v>0</v>
      </c>
      <c r="E761" s="14" t="n">
        <f aca="false">COUNTIFS(選手一覧!$C$7:$C$2738,A761,選手一覧!$G$7:$G$2738,"&lt;=100")</f>
        <v>0</v>
      </c>
      <c r="F761" s="14" t="n">
        <f aca="false">COUNTIFS(選手一覧!$C$7:$C$2738,A761,選手一覧!$I$7:$I$2738,"&lt;=100")</f>
        <v>0</v>
      </c>
      <c r="G761" s="13" t="n">
        <f aca="false">_xlfn.MINIFS(選手一覧!$K$7:$K$2738,選手一覧!$C$7:$C$2738,A761)</f>
        <v>803</v>
      </c>
      <c r="H761" s="16"/>
    </row>
    <row r="762" customFormat="false" ht="15" hidden="false" customHeight="false" outlineLevel="0" collapsed="false">
      <c r="A762" s="10" t="s">
        <v>2424</v>
      </c>
      <c r="B762" s="12" t="n">
        <f aca="false">COUNTIF(選手一覧!$C$7:$C$2738,A762)</f>
        <v>1</v>
      </c>
      <c r="C762" s="14" t="n">
        <f aca="false">COUNTIFS(選手一覧!$C$7:$C$2738,A762,選手一覧!$K$7:$K$2738,"&lt;=100")</f>
        <v>0</v>
      </c>
      <c r="D762" s="14" t="n">
        <f aca="false">COUNTIFS(選手一覧!$C$7:$C$2738,A762,選手一覧!$E$7:$E$2738,"&lt;=100")</f>
        <v>0</v>
      </c>
      <c r="E762" s="14" t="n">
        <f aca="false">COUNTIFS(選手一覧!$C$7:$C$2738,A762,選手一覧!$G$7:$G$2738,"&lt;=100")</f>
        <v>0</v>
      </c>
      <c r="F762" s="14" t="n">
        <f aca="false">COUNTIFS(選手一覧!$C$7:$C$2738,A762,選手一覧!$I$7:$I$2738,"&lt;=100")</f>
        <v>0</v>
      </c>
      <c r="G762" s="13" t="n">
        <f aca="false">_xlfn.MINIFS(選手一覧!$K$7:$K$2738,選手一覧!$C$7:$C$2738,A762)</f>
        <v>806</v>
      </c>
      <c r="H762" s="16"/>
    </row>
    <row r="763" customFormat="false" ht="15" hidden="false" customHeight="false" outlineLevel="0" collapsed="false">
      <c r="A763" s="10" t="s">
        <v>2434</v>
      </c>
      <c r="B763" s="12" t="n">
        <f aca="false">COUNTIF(選手一覧!$C$7:$C$2738,A763)</f>
        <v>1</v>
      </c>
      <c r="C763" s="14" t="n">
        <f aca="false">COUNTIFS(選手一覧!$C$7:$C$2738,A763,選手一覧!$K$7:$K$2738,"&lt;=100")</f>
        <v>0</v>
      </c>
      <c r="D763" s="14" t="n">
        <f aca="false">COUNTIFS(選手一覧!$C$7:$C$2738,A763,選手一覧!$E$7:$E$2738,"&lt;=100")</f>
        <v>0</v>
      </c>
      <c r="E763" s="14" t="n">
        <f aca="false">COUNTIFS(選手一覧!$C$7:$C$2738,A763,選手一覧!$G$7:$G$2738,"&lt;=100")</f>
        <v>0</v>
      </c>
      <c r="F763" s="14" t="n">
        <f aca="false">COUNTIFS(選手一覧!$C$7:$C$2738,A763,選手一覧!$I$7:$I$2738,"&lt;=100")</f>
        <v>0</v>
      </c>
      <c r="G763" s="13" t="n">
        <f aca="false">_xlfn.MINIFS(選手一覧!$K$7:$K$2738,選手一覧!$C$7:$C$2738,A763)</f>
        <v>809</v>
      </c>
      <c r="H763" s="16"/>
    </row>
    <row r="764" customFormat="false" ht="15" hidden="false" customHeight="false" outlineLevel="0" collapsed="false">
      <c r="A764" s="10" t="s">
        <v>2447</v>
      </c>
      <c r="B764" s="12" t="n">
        <f aca="false">COUNTIF(選手一覧!$C$7:$C$2738,A764)</f>
        <v>1</v>
      </c>
      <c r="C764" s="14" t="n">
        <f aca="false">COUNTIFS(選手一覧!$C$7:$C$2738,A764,選手一覧!$K$7:$K$2738,"&lt;=100")</f>
        <v>0</v>
      </c>
      <c r="D764" s="14" t="n">
        <f aca="false">COUNTIFS(選手一覧!$C$7:$C$2738,A764,選手一覧!$E$7:$E$2738,"&lt;=100")</f>
        <v>0</v>
      </c>
      <c r="E764" s="14" t="n">
        <f aca="false">COUNTIFS(選手一覧!$C$7:$C$2738,A764,選手一覧!$G$7:$G$2738,"&lt;=100")</f>
        <v>0</v>
      </c>
      <c r="F764" s="14" t="n">
        <f aca="false">COUNTIFS(選手一覧!$C$7:$C$2738,A764,選手一覧!$I$7:$I$2738,"&lt;=100")</f>
        <v>0</v>
      </c>
      <c r="G764" s="13" t="n">
        <f aca="false">_xlfn.MINIFS(選手一覧!$K$7:$K$2738,選手一覧!$C$7:$C$2738,A764)</f>
        <v>815</v>
      </c>
      <c r="H764" s="16"/>
    </row>
    <row r="765" customFormat="false" ht="15" hidden="false" customHeight="false" outlineLevel="0" collapsed="false">
      <c r="A765" s="10" t="s">
        <v>2461</v>
      </c>
      <c r="B765" s="12" t="n">
        <f aca="false">COUNTIF(選手一覧!$C$7:$C$2738,A765)</f>
        <v>1</v>
      </c>
      <c r="C765" s="14" t="n">
        <f aca="false">COUNTIFS(選手一覧!$C$7:$C$2738,A765,選手一覧!$K$7:$K$2738,"&lt;=100")</f>
        <v>0</v>
      </c>
      <c r="D765" s="14" t="n">
        <f aca="false">COUNTIFS(選手一覧!$C$7:$C$2738,A765,選手一覧!$E$7:$E$2738,"&lt;=100")</f>
        <v>0</v>
      </c>
      <c r="E765" s="14" t="n">
        <f aca="false">COUNTIFS(選手一覧!$C$7:$C$2738,A765,選手一覧!$G$7:$G$2738,"&lt;=100")</f>
        <v>0</v>
      </c>
      <c r="F765" s="14" t="n">
        <f aca="false">COUNTIFS(選手一覧!$C$7:$C$2738,A765,選手一覧!$I$7:$I$2738,"&lt;=100")</f>
        <v>0</v>
      </c>
      <c r="G765" s="13" t="n">
        <f aca="false">_xlfn.MINIFS(選手一覧!$K$7:$K$2738,選手一覧!$C$7:$C$2738,A765)</f>
        <v>819</v>
      </c>
      <c r="H765" s="16"/>
    </row>
    <row r="766" customFormat="false" ht="15" hidden="false" customHeight="false" outlineLevel="0" collapsed="false">
      <c r="A766" s="10" t="s">
        <v>2463</v>
      </c>
      <c r="B766" s="12" t="n">
        <f aca="false">COUNTIF(選手一覧!$C$7:$C$2738,A766)</f>
        <v>1</v>
      </c>
      <c r="C766" s="14" t="n">
        <f aca="false">COUNTIFS(選手一覧!$C$7:$C$2738,A766,選手一覧!$K$7:$K$2738,"&lt;=100")</f>
        <v>0</v>
      </c>
      <c r="D766" s="14" t="n">
        <f aca="false">COUNTIFS(選手一覧!$C$7:$C$2738,A766,選手一覧!$E$7:$E$2738,"&lt;=100")</f>
        <v>0</v>
      </c>
      <c r="E766" s="14" t="n">
        <f aca="false">COUNTIFS(選手一覧!$C$7:$C$2738,A766,選手一覧!$G$7:$G$2738,"&lt;=100")</f>
        <v>0</v>
      </c>
      <c r="F766" s="14" t="n">
        <f aca="false">COUNTIFS(選手一覧!$C$7:$C$2738,A766,選手一覧!$I$7:$I$2738,"&lt;=100")</f>
        <v>0</v>
      </c>
      <c r="G766" s="13" t="n">
        <f aca="false">_xlfn.MINIFS(選手一覧!$K$7:$K$2738,選手一覧!$C$7:$C$2738,A766)</f>
        <v>820</v>
      </c>
      <c r="H766" s="16"/>
    </row>
    <row r="767" customFormat="false" ht="15" hidden="false" customHeight="false" outlineLevel="0" collapsed="false">
      <c r="A767" s="10" t="s">
        <v>2468</v>
      </c>
      <c r="B767" s="12" t="n">
        <f aca="false">COUNTIF(選手一覧!$C$7:$C$2738,A767)</f>
        <v>1</v>
      </c>
      <c r="C767" s="14" t="n">
        <f aca="false">COUNTIFS(選手一覧!$C$7:$C$2738,A767,選手一覧!$K$7:$K$2738,"&lt;=100")</f>
        <v>0</v>
      </c>
      <c r="D767" s="14" t="n">
        <f aca="false">COUNTIFS(選手一覧!$C$7:$C$2738,A767,選手一覧!$E$7:$E$2738,"&lt;=100")</f>
        <v>0</v>
      </c>
      <c r="E767" s="14" t="n">
        <f aca="false">COUNTIFS(選手一覧!$C$7:$C$2738,A767,選手一覧!$G$7:$G$2738,"&lt;=100")</f>
        <v>0</v>
      </c>
      <c r="F767" s="14" t="n">
        <f aca="false">COUNTIFS(選手一覧!$C$7:$C$2738,A767,選手一覧!$I$7:$I$2738,"&lt;=100")</f>
        <v>0</v>
      </c>
      <c r="G767" s="13" t="n">
        <f aca="false">_xlfn.MINIFS(選手一覧!$K$7:$K$2738,選手一覧!$C$7:$C$2738,A767)</f>
        <v>822</v>
      </c>
      <c r="H767" s="16"/>
    </row>
    <row r="768" customFormat="false" ht="15" hidden="false" customHeight="false" outlineLevel="0" collapsed="false">
      <c r="A768" s="10" t="s">
        <v>2480</v>
      </c>
      <c r="B768" s="12" t="n">
        <f aca="false">COUNTIF(選手一覧!$C$7:$C$2738,A768)</f>
        <v>1</v>
      </c>
      <c r="C768" s="14" t="n">
        <f aca="false">COUNTIFS(選手一覧!$C$7:$C$2738,A768,選手一覧!$K$7:$K$2738,"&lt;=100")</f>
        <v>0</v>
      </c>
      <c r="D768" s="14" t="n">
        <f aca="false">COUNTIFS(選手一覧!$C$7:$C$2738,A768,選手一覧!$E$7:$E$2738,"&lt;=100")</f>
        <v>0</v>
      </c>
      <c r="E768" s="14" t="n">
        <f aca="false">COUNTIFS(選手一覧!$C$7:$C$2738,A768,選手一覧!$G$7:$G$2738,"&lt;=100")</f>
        <v>0</v>
      </c>
      <c r="F768" s="14" t="n">
        <f aca="false">COUNTIFS(選手一覧!$C$7:$C$2738,A768,選手一覧!$I$7:$I$2738,"&lt;=100")</f>
        <v>0</v>
      </c>
      <c r="G768" s="13" t="n">
        <f aca="false">_xlfn.MINIFS(選手一覧!$K$7:$K$2738,選手一覧!$C$7:$C$2738,A768)</f>
        <v>827</v>
      </c>
      <c r="H768" s="16"/>
    </row>
    <row r="769" customFormat="false" ht="15" hidden="false" customHeight="false" outlineLevel="0" collapsed="false">
      <c r="A769" s="10" t="s">
        <v>2487</v>
      </c>
      <c r="B769" s="12" t="n">
        <f aca="false">COUNTIF(選手一覧!$C$7:$C$2738,A769)</f>
        <v>1</v>
      </c>
      <c r="C769" s="14" t="n">
        <f aca="false">COUNTIFS(選手一覧!$C$7:$C$2738,A769,選手一覧!$K$7:$K$2738,"&lt;=100")</f>
        <v>0</v>
      </c>
      <c r="D769" s="14" t="n">
        <f aca="false">COUNTIFS(選手一覧!$C$7:$C$2738,A769,選手一覧!$E$7:$E$2738,"&lt;=100")</f>
        <v>0</v>
      </c>
      <c r="E769" s="14" t="n">
        <f aca="false">COUNTIFS(選手一覧!$C$7:$C$2738,A769,選手一覧!$G$7:$G$2738,"&lt;=100")</f>
        <v>0</v>
      </c>
      <c r="F769" s="14" t="n">
        <f aca="false">COUNTIFS(選手一覧!$C$7:$C$2738,A769,選手一覧!$I$7:$I$2738,"&lt;=100")</f>
        <v>0</v>
      </c>
      <c r="G769" s="13" t="n">
        <f aca="false">_xlfn.MINIFS(選手一覧!$K$7:$K$2738,選手一覧!$C$7:$C$2738,A769)</f>
        <v>829</v>
      </c>
      <c r="H769" s="16"/>
    </row>
    <row r="770" customFormat="false" ht="15" hidden="false" customHeight="false" outlineLevel="0" collapsed="false">
      <c r="A770" s="10" t="s">
        <v>2490</v>
      </c>
      <c r="B770" s="12" t="n">
        <f aca="false">COUNTIF(選手一覧!$C$7:$C$2738,A770)</f>
        <v>1</v>
      </c>
      <c r="C770" s="14" t="n">
        <f aca="false">COUNTIFS(選手一覧!$C$7:$C$2738,A770,選手一覧!$K$7:$K$2738,"&lt;=100")</f>
        <v>0</v>
      </c>
      <c r="D770" s="14" t="n">
        <f aca="false">COUNTIFS(選手一覧!$C$7:$C$2738,A770,選手一覧!$E$7:$E$2738,"&lt;=100")</f>
        <v>0</v>
      </c>
      <c r="E770" s="14" t="n">
        <f aca="false">COUNTIFS(選手一覧!$C$7:$C$2738,A770,選手一覧!$G$7:$G$2738,"&lt;=100")</f>
        <v>0</v>
      </c>
      <c r="F770" s="14" t="n">
        <f aca="false">COUNTIFS(選手一覧!$C$7:$C$2738,A770,選手一覧!$I$7:$I$2738,"&lt;=100")</f>
        <v>0</v>
      </c>
      <c r="G770" s="13" t="n">
        <f aca="false">_xlfn.MINIFS(選手一覧!$K$7:$K$2738,選手一覧!$C$7:$C$2738,A770)</f>
        <v>830</v>
      </c>
      <c r="H770" s="16"/>
    </row>
    <row r="771" customFormat="false" ht="15" hidden="false" customHeight="false" outlineLevel="0" collapsed="false">
      <c r="A771" s="10" t="s">
        <v>2492</v>
      </c>
      <c r="B771" s="12" t="n">
        <f aca="false">COUNTIF(選手一覧!$C$7:$C$2738,A771)</f>
        <v>1</v>
      </c>
      <c r="C771" s="14" t="n">
        <f aca="false">COUNTIFS(選手一覧!$C$7:$C$2738,A771,選手一覧!$K$7:$K$2738,"&lt;=100")</f>
        <v>0</v>
      </c>
      <c r="D771" s="14" t="n">
        <f aca="false">COUNTIFS(選手一覧!$C$7:$C$2738,A771,選手一覧!$E$7:$E$2738,"&lt;=100")</f>
        <v>0</v>
      </c>
      <c r="E771" s="14" t="n">
        <f aca="false">COUNTIFS(選手一覧!$C$7:$C$2738,A771,選手一覧!$G$7:$G$2738,"&lt;=100")</f>
        <v>0</v>
      </c>
      <c r="F771" s="14" t="n">
        <f aca="false">COUNTIFS(選手一覧!$C$7:$C$2738,A771,選手一覧!$I$7:$I$2738,"&lt;=100")</f>
        <v>0</v>
      </c>
      <c r="G771" s="13" t="n">
        <f aca="false">_xlfn.MINIFS(選手一覧!$K$7:$K$2738,選手一覧!$C$7:$C$2738,A771)</f>
        <v>831</v>
      </c>
      <c r="H771" s="16"/>
    </row>
    <row r="772" customFormat="false" ht="15" hidden="false" customHeight="false" outlineLevel="0" collapsed="false">
      <c r="A772" s="10" t="s">
        <v>2497</v>
      </c>
      <c r="B772" s="12" t="n">
        <f aca="false">COUNTIF(選手一覧!$C$7:$C$2738,A772)</f>
        <v>1</v>
      </c>
      <c r="C772" s="14" t="n">
        <f aca="false">COUNTIFS(選手一覧!$C$7:$C$2738,A772,選手一覧!$K$7:$K$2738,"&lt;=100")</f>
        <v>0</v>
      </c>
      <c r="D772" s="14" t="n">
        <f aca="false">COUNTIFS(選手一覧!$C$7:$C$2738,A772,選手一覧!$E$7:$E$2738,"&lt;=100")</f>
        <v>0</v>
      </c>
      <c r="E772" s="14" t="n">
        <f aca="false">COUNTIFS(選手一覧!$C$7:$C$2738,A772,選手一覧!$G$7:$G$2738,"&lt;=100")</f>
        <v>0</v>
      </c>
      <c r="F772" s="14" t="n">
        <f aca="false">COUNTIFS(選手一覧!$C$7:$C$2738,A772,選手一覧!$I$7:$I$2738,"&lt;=100")</f>
        <v>0</v>
      </c>
      <c r="G772" s="13" t="n">
        <f aca="false">_xlfn.MINIFS(選手一覧!$K$7:$K$2738,選手一覧!$C$7:$C$2738,A772)</f>
        <v>833</v>
      </c>
      <c r="H772" s="16"/>
    </row>
    <row r="773" customFormat="false" ht="15" hidden="false" customHeight="false" outlineLevel="0" collapsed="false">
      <c r="A773" s="10" t="s">
        <v>2501</v>
      </c>
      <c r="B773" s="12" t="n">
        <f aca="false">COUNTIF(選手一覧!$C$7:$C$2738,A773)</f>
        <v>1</v>
      </c>
      <c r="C773" s="14" t="n">
        <f aca="false">COUNTIFS(選手一覧!$C$7:$C$2738,A773,選手一覧!$K$7:$K$2738,"&lt;=100")</f>
        <v>0</v>
      </c>
      <c r="D773" s="14" t="n">
        <f aca="false">COUNTIFS(選手一覧!$C$7:$C$2738,A773,選手一覧!$E$7:$E$2738,"&lt;=100")</f>
        <v>0</v>
      </c>
      <c r="E773" s="14" t="n">
        <f aca="false">COUNTIFS(選手一覧!$C$7:$C$2738,A773,選手一覧!$G$7:$G$2738,"&lt;=100")</f>
        <v>0</v>
      </c>
      <c r="F773" s="14" t="n">
        <f aca="false">COUNTIFS(選手一覧!$C$7:$C$2738,A773,選手一覧!$I$7:$I$2738,"&lt;=100")</f>
        <v>0</v>
      </c>
      <c r="G773" s="13" t="n">
        <f aca="false">_xlfn.MINIFS(選手一覧!$K$7:$K$2738,選手一覧!$C$7:$C$2738,A773)</f>
        <v>834</v>
      </c>
      <c r="H773" s="16"/>
    </row>
    <row r="774" customFormat="false" ht="15" hidden="false" customHeight="false" outlineLevel="0" collapsed="false">
      <c r="A774" s="10" t="s">
        <v>2507</v>
      </c>
      <c r="B774" s="12" t="n">
        <f aca="false">COUNTIF(選手一覧!$C$7:$C$2738,A774)</f>
        <v>1</v>
      </c>
      <c r="C774" s="14" t="n">
        <f aca="false">COUNTIFS(選手一覧!$C$7:$C$2738,A774,選手一覧!$K$7:$K$2738,"&lt;=100")</f>
        <v>0</v>
      </c>
      <c r="D774" s="14" t="n">
        <f aca="false">COUNTIFS(選手一覧!$C$7:$C$2738,A774,選手一覧!$E$7:$E$2738,"&lt;=100")</f>
        <v>0</v>
      </c>
      <c r="E774" s="14" t="n">
        <f aca="false">COUNTIFS(選手一覧!$C$7:$C$2738,A774,選手一覧!$G$7:$G$2738,"&lt;=100")</f>
        <v>0</v>
      </c>
      <c r="F774" s="14" t="n">
        <f aca="false">COUNTIFS(選手一覧!$C$7:$C$2738,A774,選手一覧!$I$7:$I$2738,"&lt;=100")</f>
        <v>0</v>
      </c>
      <c r="G774" s="13" t="n">
        <f aca="false">_xlfn.MINIFS(選手一覧!$K$7:$K$2738,選手一覧!$C$7:$C$2738,A774)</f>
        <v>836</v>
      </c>
      <c r="H774" s="16"/>
    </row>
    <row r="775" customFormat="false" ht="15" hidden="false" customHeight="false" outlineLevel="0" collapsed="false">
      <c r="A775" s="10" t="s">
        <v>2510</v>
      </c>
      <c r="B775" s="12" t="n">
        <f aca="false">COUNTIF(選手一覧!$C$7:$C$2738,A775)</f>
        <v>1</v>
      </c>
      <c r="C775" s="14" t="n">
        <f aca="false">COUNTIFS(選手一覧!$C$7:$C$2738,A775,選手一覧!$K$7:$K$2738,"&lt;=100")</f>
        <v>0</v>
      </c>
      <c r="D775" s="14" t="n">
        <f aca="false">COUNTIFS(選手一覧!$C$7:$C$2738,A775,選手一覧!$E$7:$E$2738,"&lt;=100")</f>
        <v>0</v>
      </c>
      <c r="E775" s="14" t="n">
        <f aca="false">COUNTIFS(選手一覧!$C$7:$C$2738,A775,選手一覧!$G$7:$G$2738,"&lt;=100")</f>
        <v>0</v>
      </c>
      <c r="F775" s="14" t="n">
        <f aca="false">COUNTIFS(選手一覧!$C$7:$C$2738,A775,選手一覧!$I$7:$I$2738,"&lt;=100")</f>
        <v>0</v>
      </c>
      <c r="G775" s="13" t="n">
        <f aca="false">_xlfn.MINIFS(選手一覧!$K$7:$K$2738,選手一覧!$C$7:$C$2738,A775)</f>
        <v>837</v>
      </c>
      <c r="H775" s="16"/>
    </row>
    <row r="776" customFormat="false" ht="15" hidden="false" customHeight="false" outlineLevel="0" collapsed="false">
      <c r="A776" s="10" t="s">
        <v>2532</v>
      </c>
      <c r="B776" s="12" t="n">
        <f aca="false">COUNTIF(選手一覧!$C$7:$C$2738,A776)</f>
        <v>1</v>
      </c>
      <c r="C776" s="14" t="n">
        <f aca="false">COUNTIFS(選手一覧!$C$7:$C$2738,A776,選手一覧!$K$7:$K$2738,"&lt;=100")</f>
        <v>0</v>
      </c>
      <c r="D776" s="14" t="n">
        <f aca="false">COUNTIFS(選手一覧!$C$7:$C$2738,A776,選手一覧!$E$7:$E$2738,"&lt;=100")</f>
        <v>0</v>
      </c>
      <c r="E776" s="14" t="n">
        <f aca="false">COUNTIFS(選手一覧!$C$7:$C$2738,A776,選手一覧!$G$7:$G$2738,"&lt;=100")</f>
        <v>0</v>
      </c>
      <c r="F776" s="14" t="n">
        <f aca="false">COUNTIFS(選手一覧!$C$7:$C$2738,A776,選手一覧!$I$7:$I$2738,"&lt;=100")</f>
        <v>0</v>
      </c>
      <c r="G776" s="13" t="n">
        <f aca="false">_xlfn.MINIFS(選手一覧!$K$7:$K$2738,選手一覧!$C$7:$C$2738,A776)</f>
        <v>845</v>
      </c>
      <c r="H776" s="16"/>
    </row>
    <row r="777" customFormat="false" ht="15" hidden="false" customHeight="false" outlineLevel="0" collapsed="false">
      <c r="A777" s="10" t="s">
        <v>2539</v>
      </c>
      <c r="B777" s="12" t="n">
        <f aca="false">COUNTIF(選手一覧!$C$7:$C$2738,A777)</f>
        <v>1</v>
      </c>
      <c r="C777" s="14" t="n">
        <f aca="false">COUNTIFS(選手一覧!$C$7:$C$2738,A777,選手一覧!$K$7:$K$2738,"&lt;=100")</f>
        <v>0</v>
      </c>
      <c r="D777" s="14" t="n">
        <f aca="false">COUNTIFS(選手一覧!$C$7:$C$2738,A777,選手一覧!$E$7:$E$2738,"&lt;=100")</f>
        <v>0</v>
      </c>
      <c r="E777" s="14" t="n">
        <f aca="false">COUNTIFS(選手一覧!$C$7:$C$2738,A777,選手一覧!$G$7:$G$2738,"&lt;=100")</f>
        <v>0</v>
      </c>
      <c r="F777" s="14" t="n">
        <f aca="false">COUNTIFS(選手一覧!$C$7:$C$2738,A777,選手一覧!$I$7:$I$2738,"&lt;=100")</f>
        <v>0</v>
      </c>
      <c r="G777" s="13" t="n">
        <f aca="false">_xlfn.MINIFS(選手一覧!$K$7:$K$2738,選手一覧!$C$7:$C$2738,A777)</f>
        <v>847</v>
      </c>
      <c r="H777" s="16"/>
    </row>
    <row r="778" customFormat="false" ht="15" hidden="false" customHeight="false" outlineLevel="0" collapsed="false">
      <c r="A778" s="10" t="s">
        <v>2545</v>
      </c>
      <c r="B778" s="12" t="n">
        <f aca="false">COUNTIF(選手一覧!$C$7:$C$2738,A778)</f>
        <v>1</v>
      </c>
      <c r="C778" s="14" t="n">
        <f aca="false">COUNTIFS(選手一覧!$C$7:$C$2738,A778,選手一覧!$K$7:$K$2738,"&lt;=100")</f>
        <v>0</v>
      </c>
      <c r="D778" s="14" t="n">
        <f aca="false">COUNTIFS(選手一覧!$C$7:$C$2738,A778,選手一覧!$E$7:$E$2738,"&lt;=100")</f>
        <v>0</v>
      </c>
      <c r="E778" s="14" t="n">
        <f aca="false">COUNTIFS(選手一覧!$C$7:$C$2738,A778,選手一覧!$G$7:$G$2738,"&lt;=100")</f>
        <v>0</v>
      </c>
      <c r="F778" s="14" t="n">
        <f aca="false">COUNTIFS(選手一覧!$C$7:$C$2738,A778,選手一覧!$I$7:$I$2738,"&lt;=100")</f>
        <v>0</v>
      </c>
      <c r="G778" s="13" t="n">
        <f aca="false">_xlfn.MINIFS(選手一覧!$K$7:$K$2738,選手一覧!$C$7:$C$2738,A778)</f>
        <v>849</v>
      </c>
      <c r="H778" s="16"/>
    </row>
    <row r="779" customFormat="false" ht="15" hidden="false" customHeight="false" outlineLevel="0" collapsed="false">
      <c r="A779" s="10" t="s">
        <v>2550</v>
      </c>
      <c r="B779" s="12" t="n">
        <f aca="false">COUNTIF(選手一覧!$C$7:$C$2738,A779)</f>
        <v>1</v>
      </c>
      <c r="C779" s="14" t="n">
        <f aca="false">COUNTIFS(選手一覧!$C$7:$C$2738,A779,選手一覧!$K$7:$K$2738,"&lt;=100")</f>
        <v>0</v>
      </c>
      <c r="D779" s="14" t="n">
        <f aca="false">COUNTIFS(選手一覧!$C$7:$C$2738,A779,選手一覧!$E$7:$E$2738,"&lt;=100")</f>
        <v>0</v>
      </c>
      <c r="E779" s="14" t="n">
        <f aca="false">COUNTIFS(選手一覧!$C$7:$C$2738,A779,選手一覧!$G$7:$G$2738,"&lt;=100")</f>
        <v>0</v>
      </c>
      <c r="F779" s="14" t="n">
        <f aca="false">COUNTIFS(選手一覧!$C$7:$C$2738,A779,選手一覧!$I$7:$I$2738,"&lt;=100")</f>
        <v>0</v>
      </c>
      <c r="G779" s="13" t="n">
        <f aca="false">_xlfn.MINIFS(選手一覧!$K$7:$K$2738,選手一覧!$C$7:$C$2738,A779)</f>
        <v>850</v>
      </c>
      <c r="H779" s="16"/>
    </row>
    <row r="780" customFormat="false" ht="15" hidden="false" customHeight="false" outlineLevel="0" collapsed="false">
      <c r="A780" s="10" t="s">
        <v>2557</v>
      </c>
      <c r="B780" s="12" t="n">
        <f aca="false">COUNTIF(選手一覧!$C$7:$C$2738,A780)</f>
        <v>1</v>
      </c>
      <c r="C780" s="14" t="n">
        <f aca="false">COUNTIFS(選手一覧!$C$7:$C$2738,A780,選手一覧!$K$7:$K$2738,"&lt;=100")</f>
        <v>0</v>
      </c>
      <c r="D780" s="14" t="n">
        <f aca="false">COUNTIFS(選手一覧!$C$7:$C$2738,A780,選手一覧!$E$7:$E$2738,"&lt;=100")</f>
        <v>0</v>
      </c>
      <c r="E780" s="14" t="n">
        <f aca="false">COUNTIFS(選手一覧!$C$7:$C$2738,A780,選手一覧!$G$7:$G$2738,"&lt;=100")</f>
        <v>0</v>
      </c>
      <c r="F780" s="14" t="n">
        <f aca="false">COUNTIFS(選手一覧!$C$7:$C$2738,A780,選手一覧!$I$7:$I$2738,"&lt;=100")</f>
        <v>0</v>
      </c>
      <c r="G780" s="13" t="n">
        <f aca="false">_xlfn.MINIFS(選手一覧!$K$7:$K$2738,選手一覧!$C$7:$C$2738,A780)</f>
        <v>853</v>
      </c>
      <c r="H780" s="16"/>
    </row>
    <row r="781" customFormat="false" ht="15" hidden="false" customHeight="false" outlineLevel="0" collapsed="false">
      <c r="A781" s="10" t="s">
        <v>2560</v>
      </c>
      <c r="B781" s="12" t="n">
        <f aca="false">COUNTIF(選手一覧!$C$7:$C$2738,A781)</f>
        <v>1</v>
      </c>
      <c r="C781" s="14" t="n">
        <f aca="false">COUNTIFS(選手一覧!$C$7:$C$2738,A781,選手一覧!$K$7:$K$2738,"&lt;=100")</f>
        <v>0</v>
      </c>
      <c r="D781" s="14" t="n">
        <f aca="false">COUNTIFS(選手一覧!$C$7:$C$2738,A781,選手一覧!$E$7:$E$2738,"&lt;=100")</f>
        <v>0</v>
      </c>
      <c r="E781" s="14" t="n">
        <f aca="false">COUNTIFS(選手一覧!$C$7:$C$2738,A781,選手一覧!$G$7:$G$2738,"&lt;=100")</f>
        <v>0</v>
      </c>
      <c r="F781" s="14" t="n">
        <f aca="false">COUNTIFS(選手一覧!$C$7:$C$2738,A781,選手一覧!$I$7:$I$2738,"&lt;=100")</f>
        <v>0</v>
      </c>
      <c r="G781" s="13" t="n">
        <f aca="false">_xlfn.MINIFS(選手一覧!$K$7:$K$2738,選手一覧!$C$7:$C$2738,A781)</f>
        <v>854</v>
      </c>
      <c r="H781" s="16"/>
    </row>
    <row r="782" customFormat="false" ht="15" hidden="false" customHeight="false" outlineLevel="0" collapsed="false">
      <c r="A782" s="10" t="s">
        <v>2565</v>
      </c>
      <c r="B782" s="12" t="n">
        <f aca="false">COUNTIF(選手一覧!$C$7:$C$2738,A782)</f>
        <v>1</v>
      </c>
      <c r="C782" s="14" t="n">
        <f aca="false">COUNTIFS(選手一覧!$C$7:$C$2738,A782,選手一覧!$K$7:$K$2738,"&lt;=100")</f>
        <v>0</v>
      </c>
      <c r="D782" s="14" t="n">
        <f aca="false">COUNTIFS(選手一覧!$C$7:$C$2738,A782,選手一覧!$E$7:$E$2738,"&lt;=100")</f>
        <v>0</v>
      </c>
      <c r="E782" s="14" t="n">
        <f aca="false">COUNTIFS(選手一覧!$C$7:$C$2738,A782,選手一覧!$G$7:$G$2738,"&lt;=100")</f>
        <v>0</v>
      </c>
      <c r="F782" s="14" t="n">
        <f aca="false">COUNTIFS(選手一覧!$C$7:$C$2738,A782,選手一覧!$I$7:$I$2738,"&lt;=100")</f>
        <v>0</v>
      </c>
      <c r="G782" s="13" t="n">
        <f aca="false">_xlfn.MINIFS(選手一覧!$K$7:$K$2738,選手一覧!$C$7:$C$2738,A782)</f>
        <v>856</v>
      </c>
      <c r="H782" s="16"/>
    </row>
    <row r="783" customFormat="false" ht="15" hidden="false" customHeight="false" outlineLevel="0" collapsed="false">
      <c r="A783" s="10" t="s">
        <v>2577</v>
      </c>
      <c r="B783" s="12" t="n">
        <f aca="false">COUNTIF(選手一覧!$C$7:$C$2738,A783)</f>
        <v>1</v>
      </c>
      <c r="C783" s="14" t="n">
        <f aca="false">COUNTIFS(選手一覧!$C$7:$C$2738,A783,選手一覧!$K$7:$K$2738,"&lt;=100")</f>
        <v>0</v>
      </c>
      <c r="D783" s="14" t="n">
        <f aca="false">COUNTIFS(選手一覧!$C$7:$C$2738,A783,選手一覧!$E$7:$E$2738,"&lt;=100")</f>
        <v>0</v>
      </c>
      <c r="E783" s="14" t="n">
        <f aca="false">COUNTIFS(選手一覧!$C$7:$C$2738,A783,選手一覧!$G$7:$G$2738,"&lt;=100")</f>
        <v>0</v>
      </c>
      <c r="F783" s="14" t="n">
        <f aca="false">COUNTIFS(選手一覧!$C$7:$C$2738,A783,選手一覧!$I$7:$I$2738,"&lt;=100")</f>
        <v>0</v>
      </c>
      <c r="G783" s="13" t="n">
        <f aca="false">_xlfn.MINIFS(選手一覧!$K$7:$K$2738,選手一覧!$C$7:$C$2738,A783)</f>
        <v>862</v>
      </c>
      <c r="H783" s="16"/>
    </row>
    <row r="784" customFormat="false" ht="15" hidden="false" customHeight="false" outlineLevel="0" collapsed="false">
      <c r="A784" s="10" t="s">
        <v>2586</v>
      </c>
      <c r="B784" s="12" t="n">
        <f aca="false">COUNTIF(選手一覧!$C$7:$C$2738,A784)</f>
        <v>1</v>
      </c>
      <c r="C784" s="14" t="n">
        <f aca="false">COUNTIFS(選手一覧!$C$7:$C$2738,A784,選手一覧!$K$7:$K$2738,"&lt;=100")</f>
        <v>0</v>
      </c>
      <c r="D784" s="14" t="n">
        <f aca="false">COUNTIFS(選手一覧!$C$7:$C$2738,A784,選手一覧!$E$7:$E$2738,"&lt;=100")</f>
        <v>0</v>
      </c>
      <c r="E784" s="14" t="n">
        <f aca="false">COUNTIFS(選手一覧!$C$7:$C$2738,A784,選手一覧!$G$7:$G$2738,"&lt;=100")</f>
        <v>0</v>
      </c>
      <c r="F784" s="14" t="n">
        <f aca="false">COUNTIFS(選手一覧!$C$7:$C$2738,A784,選手一覧!$I$7:$I$2738,"&lt;=100")</f>
        <v>0</v>
      </c>
      <c r="G784" s="13" t="n">
        <f aca="false">_xlfn.MINIFS(選手一覧!$K$7:$K$2738,選手一覧!$C$7:$C$2738,A784)</f>
        <v>866</v>
      </c>
      <c r="H784" s="16"/>
    </row>
    <row r="785" customFormat="false" ht="15" hidden="false" customHeight="false" outlineLevel="0" collapsed="false">
      <c r="A785" s="10" t="s">
        <v>2590</v>
      </c>
      <c r="B785" s="12" t="n">
        <f aca="false">COUNTIF(選手一覧!$C$7:$C$2738,A785)</f>
        <v>1</v>
      </c>
      <c r="C785" s="14" t="n">
        <f aca="false">COUNTIFS(選手一覧!$C$7:$C$2738,A785,選手一覧!$K$7:$K$2738,"&lt;=100")</f>
        <v>0</v>
      </c>
      <c r="D785" s="14" t="n">
        <f aca="false">COUNTIFS(選手一覧!$C$7:$C$2738,A785,選手一覧!$E$7:$E$2738,"&lt;=100")</f>
        <v>0</v>
      </c>
      <c r="E785" s="14" t="n">
        <f aca="false">COUNTIFS(選手一覧!$C$7:$C$2738,A785,選手一覧!$G$7:$G$2738,"&lt;=100")</f>
        <v>0</v>
      </c>
      <c r="F785" s="14" t="n">
        <f aca="false">COUNTIFS(選手一覧!$C$7:$C$2738,A785,選手一覧!$I$7:$I$2738,"&lt;=100")</f>
        <v>0</v>
      </c>
      <c r="G785" s="13" t="n">
        <f aca="false">_xlfn.MINIFS(選手一覧!$K$7:$K$2738,選手一覧!$C$7:$C$2738,A785)</f>
        <v>868</v>
      </c>
      <c r="H785" s="16"/>
    </row>
    <row r="786" customFormat="false" ht="15" hidden="false" customHeight="false" outlineLevel="0" collapsed="false">
      <c r="A786" s="10" t="s">
        <v>2592</v>
      </c>
      <c r="B786" s="12" t="n">
        <f aca="false">COUNTIF(選手一覧!$C$7:$C$2738,A786)</f>
        <v>1</v>
      </c>
      <c r="C786" s="14" t="n">
        <f aca="false">COUNTIFS(選手一覧!$C$7:$C$2738,A786,選手一覧!$K$7:$K$2738,"&lt;=100")</f>
        <v>0</v>
      </c>
      <c r="D786" s="14" t="n">
        <f aca="false">COUNTIFS(選手一覧!$C$7:$C$2738,A786,選手一覧!$E$7:$E$2738,"&lt;=100")</f>
        <v>0</v>
      </c>
      <c r="E786" s="14" t="n">
        <f aca="false">COUNTIFS(選手一覧!$C$7:$C$2738,A786,選手一覧!$G$7:$G$2738,"&lt;=100")</f>
        <v>0</v>
      </c>
      <c r="F786" s="14" t="n">
        <f aca="false">COUNTIFS(選手一覧!$C$7:$C$2738,A786,選手一覧!$I$7:$I$2738,"&lt;=100")</f>
        <v>0</v>
      </c>
      <c r="G786" s="13" t="n">
        <f aca="false">_xlfn.MINIFS(選手一覧!$K$7:$K$2738,選手一覧!$C$7:$C$2738,A786)</f>
        <v>869</v>
      </c>
      <c r="H786" s="16"/>
    </row>
    <row r="787" customFormat="false" ht="15" hidden="false" customHeight="false" outlineLevel="0" collapsed="false">
      <c r="A787" s="10" t="s">
        <v>2595</v>
      </c>
      <c r="B787" s="12" t="n">
        <f aca="false">COUNTIF(選手一覧!$C$7:$C$2738,A787)</f>
        <v>1</v>
      </c>
      <c r="C787" s="14" t="n">
        <f aca="false">COUNTIFS(選手一覧!$C$7:$C$2738,A787,選手一覧!$K$7:$K$2738,"&lt;=100")</f>
        <v>0</v>
      </c>
      <c r="D787" s="14" t="n">
        <f aca="false">COUNTIFS(選手一覧!$C$7:$C$2738,A787,選手一覧!$E$7:$E$2738,"&lt;=100")</f>
        <v>0</v>
      </c>
      <c r="E787" s="14" t="n">
        <f aca="false">COUNTIFS(選手一覧!$C$7:$C$2738,A787,選手一覧!$G$7:$G$2738,"&lt;=100")</f>
        <v>0</v>
      </c>
      <c r="F787" s="14" t="n">
        <f aca="false">COUNTIFS(選手一覧!$C$7:$C$2738,A787,選手一覧!$I$7:$I$2738,"&lt;=100")</f>
        <v>0</v>
      </c>
      <c r="G787" s="13" t="n">
        <f aca="false">_xlfn.MINIFS(選手一覧!$K$7:$K$2738,選手一覧!$C$7:$C$2738,A787)</f>
        <v>870</v>
      </c>
      <c r="H787" s="16"/>
    </row>
    <row r="788" customFormat="false" ht="15" hidden="false" customHeight="false" outlineLevel="0" collapsed="false">
      <c r="A788" s="10" t="s">
        <v>2598</v>
      </c>
      <c r="B788" s="12" t="n">
        <f aca="false">COUNTIF(選手一覧!$C$7:$C$2738,A788)</f>
        <v>1</v>
      </c>
      <c r="C788" s="14" t="n">
        <f aca="false">COUNTIFS(選手一覧!$C$7:$C$2738,A788,選手一覧!$K$7:$K$2738,"&lt;=100")</f>
        <v>0</v>
      </c>
      <c r="D788" s="14" t="n">
        <f aca="false">COUNTIFS(選手一覧!$C$7:$C$2738,A788,選手一覧!$E$7:$E$2738,"&lt;=100")</f>
        <v>0</v>
      </c>
      <c r="E788" s="14" t="n">
        <f aca="false">COUNTIFS(選手一覧!$C$7:$C$2738,A788,選手一覧!$G$7:$G$2738,"&lt;=100")</f>
        <v>0</v>
      </c>
      <c r="F788" s="14" t="n">
        <f aca="false">COUNTIFS(選手一覧!$C$7:$C$2738,A788,選手一覧!$I$7:$I$2738,"&lt;=100")</f>
        <v>0</v>
      </c>
      <c r="G788" s="13" t="n">
        <f aca="false">_xlfn.MINIFS(選手一覧!$K$7:$K$2738,選手一覧!$C$7:$C$2738,A788)</f>
        <v>871</v>
      </c>
      <c r="H788" s="16"/>
    </row>
    <row r="789" customFormat="false" ht="15" hidden="false" customHeight="false" outlineLevel="0" collapsed="false">
      <c r="A789" s="10" t="s">
        <v>2601</v>
      </c>
      <c r="B789" s="12" t="n">
        <f aca="false">COUNTIF(選手一覧!$C$7:$C$2738,A789)</f>
        <v>1</v>
      </c>
      <c r="C789" s="14" t="n">
        <f aca="false">COUNTIFS(選手一覧!$C$7:$C$2738,A789,選手一覧!$K$7:$K$2738,"&lt;=100")</f>
        <v>0</v>
      </c>
      <c r="D789" s="14" t="n">
        <f aca="false">COUNTIFS(選手一覧!$C$7:$C$2738,A789,選手一覧!$E$7:$E$2738,"&lt;=100")</f>
        <v>0</v>
      </c>
      <c r="E789" s="14" t="n">
        <f aca="false">COUNTIFS(選手一覧!$C$7:$C$2738,A789,選手一覧!$G$7:$G$2738,"&lt;=100")</f>
        <v>0</v>
      </c>
      <c r="F789" s="14" t="n">
        <f aca="false">COUNTIFS(選手一覧!$C$7:$C$2738,A789,選手一覧!$I$7:$I$2738,"&lt;=100")</f>
        <v>0</v>
      </c>
      <c r="G789" s="13" t="n">
        <f aca="false">_xlfn.MINIFS(選手一覧!$K$7:$K$2738,選手一覧!$C$7:$C$2738,A789)</f>
        <v>872</v>
      </c>
      <c r="H789" s="16"/>
    </row>
    <row r="790" customFormat="false" ht="15" hidden="false" customHeight="false" outlineLevel="0" collapsed="false">
      <c r="A790" s="10" t="s">
        <v>2617</v>
      </c>
      <c r="B790" s="12" t="n">
        <f aca="false">COUNTIF(選手一覧!$C$7:$C$2738,A790)</f>
        <v>1</v>
      </c>
      <c r="C790" s="14" t="n">
        <f aca="false">COUNTIFS(選手一覧!$C$7:$C$2738,A790,選手一覧!$K$7:$K$2738,"&lt;=100")</f>
        <v>0</v>
      </c>
      <c r="D790" s="14" t="n">
        <f aca="false">COUNTIFS(選手一覧!$C$7:$C$2738,A790,選手一覧!$E$7:$E$2738,"&lt;=100")</f>
        <v>0</v>
      </c>
      <c r="E790" s="14" t="n">
        <f aca="false">COUNTIFS(選手一覧!$C$7:$C$2738,A790,選手一覧!$G$7:$G$2738,"&lt;=100")</f>
        <v>0</v>
      </c>
      <c r="F790" s="14" t="n">
        <f aca="false">COUNTIFS(選手一覧!$C$7:$C$2738,A790,選手一覧!$I$7:$I$2738,"&lt;=100")</f>
        <v>0</v>
      </c>
      <c r="G790" s="13" t="n">
        <f aca="false">_xlfn.MINIFS(選手一覧!$K$7:$K$2738,選手一覧!$C$7:$C$2738,A790)</f>
        <v>877</v>
      </c>
      <c r="H790" s="16"/>
    </row>
    <row r="791" customFormat="false" ht="15" hidden="false" customHeight="false" outlineLevel="0" collapsed="false">
      <c r="A791" s="10" t="s">
        <v>2619</v>
      </c>
      <c r="B791" s="12" t="n">
        <f aca="false">COUNTIF(選手一覧!$C$7:$C$2738,A791)</f>
        <v>1</v>
      </c>
      <c r="C791" s="14" t="n">
        <f aca="false">COUNTIFS(選手一覧!$C$7:$C$2738,A791,選手一覧!$K$7:$K$2738,"&lt;=100")</f>
        <v>0</v>
      </c>
      <c r="D791" s="14" t="n">
        <f aca="false">COUNTIFS(選手一覧!$C$7:$C$2738,A791,選手一覧!$E$7:$E$2738,"&lt;=100")</f>
        <v>0</v>
      </c>
      <c r="E791" s="14" t="n">
        <f aca="false">COUNTIFS(選手一覧!$C$7:$C$2738,A791,選手一覧!$G$7:$G$2738,"&lt;=100")</f>
        <v>0</v>
      </c>
      <c r="F791" s="14" t="n">
        <f aca="false">COUNTIFS(選手一覧!$C$7:$C$2738,A791,選手一覧!$I$7:$I$2738,"&lt;=100")</f>
        <v>0</v>
      </c>
      <c r="G791" s="13" t="n">
        <f aca="false">_xlfn.MINIFS(選手一覧!$K$7:$K$2738,選手一覧!$C$7:$C$2738,A791)</f>
        <v>877</v>
      </c>
      <c r="H791" s="16"/>
    </row>
    <row r="792" customFormat="false" ht="15" hidden="false" customHeight="false" outlineLevel="0" collapsed="false">
      <c r="A792" s="10" t="s">
        <v>2621</v>
      </c>
      <c r="B792" s="12" t="n">
        <f aca="false">COUNTIF(選手一覧!$C$7:$C$2738,A792)</f>
        <v>1</v>
      </c>
      <c r="C792" s="14" t="n">
        <f aca="false">COUNTIFS(選手一覧!$C$7:$C$2738,A792,選手一覧!$K$7:$K$2738,"&lt;=100")</f>
        <v>0</v>
      </c>
      <c r="D792" s="14" t="n">
        <f aca="false">COUNTIFS(選手一覧!$C$7:$C$2738,A792,選手一覧!$E$7:$E$2738,"&lt;=100")</f>
        <v>0</v>
      </c>
      <c r="E792" s="14" t="n">
        <f aca="false">COUNTIFS(選手一覧!$C$7:$C$2738,A792,選手一覧!$G$7:$G$2738,"&lt;=100")</f>
        <v>0</v>
      </c>
      <c r="F792" s="14" t="n">
        <f aca="false">COUNTIFS(選手一覧!$C$7:$C$2738,A792,選手一覧!$I$7:$I$2738,"&lt;=100")</f>
        <v>0</v>
      </c>
      <c r="G792" s="13" t="n">
        <f aca="false">_xlfn.MINIFS(選手一覧!$K$7:$K$2738,選手一覧!$C$7:$C$2738,A792)</f>
        <v>878</v>
      </c>
      <c r="H792" s="16"/>
    </row>
    <row r="793" customFormat="false" ht="15" hidden="false" customHeight="false" outlineLevel="0" collapsed="false">
      <c r="A793" s="10" t="s">
        <v>2626</v>
      </c>
      <c r="B793" s="12" t="n">
        <f aca="false">COUNTIF(選手一覧!$C$7:$C$2738,A793)</f>
        <v>1</v>
      </c>
      <c r="C793" s="14" t="n">
        <f aca="false">COUNTIFS(選手一覧!$C$7:$C$2738,A793,選手一覧!$K$7:$K$2738,"&lt;=100")</f>
        <v>0</v>
      </c>
      <c r="D793" s="14" t="n">
        <f aca="false">COUNTIFS(選手一覧!$C$7:$C$2738,A793,選手一覧!$E$7:$E$2738,"&lt;=100")</f>
        <v>0</v>
      </c>
      <c r="E793" s="14" t="n">
        <f aca="false">COUNTIFS(選手一覧!$C$7:$C$2738,A793,選手一覧!$G$7:$G$2738,"&lt;=100")</f>
        <v>0</v>
      </c>
      <c r="F793" s="14" t="n">
        <f aca="false">COUNTIFS(選手一覧!$C$7:$C$2738,A793,選手一覧!$I$7:$I$2738,"&lt;=100")</f>
        <v>0</v>
      </c>
      <c r="G793" s="13" t="n">
        <f aca="false">_xlfn.MINIFS(選手一覧!$K$7:$K$2738,選手一覧!$C$7:$C$2738,A793)</f>
        <v>880</v>
      </c>
      <c r="H793" s="16"/>
    </row>
    <row r="794" customFormat="false" ht="15" hidden="false" customHeight="false" outlineLevel="0" collapsed="false">
      <c r="A794" s="10" t="s">
        <v>2628</v>
      </c>
      <c r="B794" s="12" t="n">
        <f aca="false">COUNTIF(選手一覧!$C$7:$C$2738,A794)</f>
        <v>1</v>
      </c>
      <c r="C794" s="14" t="n">
        <f aca="false">COUNTIFS(選手一覧!$C$7:$C$2738,A794,選手一覧!$K$7:$K$2738,"&lt;=100")</f>
        <v>0</v>
      </c>
      <c r="D794" s="14" t="n">
        <f aca="false">COUNTIFS(選手一覧!$C$7:$C$2738,A794,選手一覧!$E$7:$E$2738,"&lt;=100")</f>
        <v>0</v>
      </c>
      <c r="E794" s="14" t="n">
        <f aca="false">COUNTIFS(選手一覧!$C$7:$C$2738,A794,選手一覧!$G$7:$G$2738,"&lt;=100")</f>
        <v>0</v>
      </c>
      <c r="F794" s="14" t="n">
        <f aca="false">COUNTIFS(選手一覧!$C$7:$C$2738,A794,選手一覧!$I$7:$I$2738,"&lt;=100")</f>
        <v>0</v>
      </c>
      <c r="G794" s="13" t="n">
        <f aca="false">_xlfn.MINIFS(選手一覧!$K$7:$K$2738,選手一覧!$C$7:$C$2738,A794)</f>
        <v>881</v>
      </c>
      <c r="H794" s="16"/>
    </row>
    <row r="795" customFormat="false" ht="15" hidden="false" customHeight="false" outlineLevel="0" collapsed="false">
      <c r="A795" s="10" t="s">
        <v>2631</v>
      </c>
      <c r="B795" s="12" t="n">
        <f aca="false">COUNTIF(選手一覧!$C$7:$C$2738,A795)</f>
        <v>1</v>
      </c>
      <c r="C795" s="14" t="n">
        <f aca="false">COUNTIFS(選手一覧!$C$7:$C$2738,A795,選手一覧!$K$7:$K$2738,"&lt;=100")</f>
        <v>0</v>
      </c>
      <c r="D795" s="14" t="n">
        <f aca="false">COUNTIFS(選手一覧!$C$7:$C$2738,A795,選手一覧!$E$7:$E$2738,"&lt;=100")</f>
        <v>0</v>
      </c>
      <c r="E795" s="14" t="n">
        <f aca="false">COUNTIFS(選手一覧!$C$7:$C$2738,A795,選手一覧!$G$7:$G$2738,"&lt;=100")</f>
        <v>0</v>
      </c>
      <c r="F795" s="14" t="n">
        <f aca="false">COUNTIFS(選手一覧!$C$7:$C$2738,A795,選手一覧!$I$7:$I$2738,"&lt;=100")</f>
        <v>0</v>
      </c>
      <c r="G795" s="13" t="n">
        <f aca="false">_xlfn.MINIFS(選手一覧!$K$7:$K$2738,選手一覧!$C$7:$C$2738,A795)</f>
        <v>882</v>
      </c>
      <c r="H795" s="16"/>
    </row>
    <row r="796" customFormat="false" ht="15" hidden="false" customHeight="false" outlineLevel="0" collapsed="false">
      <c r="A796" s="10" t="s">
        <v>2640</v>
      </c>
      <c r="B796" s="12" t="n">
        <f aca="false">COUNTIF(選手一覧!$C$7:$C$2738,A796)</f>
        <v>1</v>
      </c>
      <c r="C796" s="14" t="n">
        <f aca="false">COUNTIFS(選手一覧!$C$7:$C$2738,A796,選手一覧!$K$7:$K$2738,"&lt;=100")</f>
        <v>0</v>
      </c>
      <c r="D796" s="14" t="n">
        <f aca="false">COUNTIFS(選手一覧!$C$7:$C$2738,A796,選手一覧!$E$7:$E$2738,"&lt;=100")</f>
        <v>0</v>
      </c>
      <c r="E796" s="14" t="n">
        <f aca="false">COUNTIFS(選手一覧!$C$7:$C$2738,A796,選手一覧!$G$7:$G$2738,"&lt;=100")</f>
        <v>0</v>
      </c>
      <c r="F796" s="14" t="n">
        <f aca="false">COUNTIFS(選手一覧!$C$7:$C$2738,A796,選手一覧!$I$7:$I$2738,"&lt;=100")</f>
        <v>0</v>
      </c>
      <c r="G796" s="13" t="n">
        <f aca="false">_xlfn.MINIFS(選手一覧!$K$7:$K$2738,選手一覧!$C$7:$C$2738,A796)</f>
        <v>885</v>
      </c>
      <c r="H796" s="16"/>
    </row>
    <row r="797" customFormat="false" ht="15" hidden="false" customHeight="false" outlineLevel="0" collapsed="false">
      <c r="A797" s="10" t="s">
        <v>2650</v>
      </c>
      <c r="B797" s="12" t="n">
        <f aca="false">COUNTIF(選手一覧!$C$7:$C$2738,A797)</f>
        <v>1</v>
      </c>
      <c r="C797" s="14" t="n">
        <f aca="false">COUNTIFS(選手一覧!$C$7:$C$2738,A797,選手一覧!$K$7:$K$2738,"&lt;=100")</f>
        <v>0</v>
      </c>
      <c r="D797" s="14" t="n">
        <f aca="false">COUNTIFS(選手一覧!$C$7:$C$2738,A797,選手一覧!$E$7:$E$2738,"&lt;=100")</f>
        <v>0</v>
      </c>
      <c r="E797" s="14" t="n">
        <f aca="false">COUNTIFS(選手一覧!$C$7:$C$2738,A797,選手一覧!$G$7:$G$2738,"&lt;=100")</f>
        <v>0</v>
      </c>
      <c r="F797" s="14" t="n">
        <f aca="false">COUNTIFS(選手一覧!$C$7:$C$2738,A797,選手一覧!$I$7:$I$2738,"&lt;=100")</f>
        <v>0</v>
      </c>
      <c r="G797" s="13" t="n">
        <f aca="false">_xlfn.MINIFS(選手一覧!$K$7:$K$2738,選手一覧!$C$7:$C$2738,A797)</f>
        <v>889</v>
      </c>
      <c r="H797" s="16"/>
    </row>
    <row r="798" customFormat="false" ht="15" hidden="false" customHeight="false" outlineLevel="0" collapsed="false">
      <c r="A798" s="10" t="s">
        <v>2654</v>
      </c>
      <c r="B798" s="12" t="n">
        <f aca="false">COUNTIF(選手一覧!$C$7:$C$2738,A798)</f>
        <v>1</v>
      </c>
      <c r="C798" s="14" t="n">
        <f aca="false">COUNTIFS(選手一覧!$C$7:$C$2738,A798,選手一覧!$K$7:$K$2738,"&lt;=100")</f>
        <v>0</v>
      </c>
      <c r="D798" s="14" t="n">
        <f aca="false">COUNTIFS(選手一覧!$C$7:$C$2738,A798,選手一覧!$E$7:$E$2738,"&lt;=100")</f>
        <v>0</v>
      </c>
      <c r="E798" s="14" t="n">
        <f aca="false">COUNTIFS(選手一覧!$C$7:$C$2738,A798,選手一覧!$G$7:$G$2738,"&lt;=100")</f>
        <v>0</v>
      </c>
      <c r="F798" s="14" t="n">
        <f aca="false">COUNTIFS(選手一覧!$C$7:$C$2738,A798,選手一覧!$I$7:$I$2738,"&lt;=100")</f>
        <v>0</v>
      </c>
      <c r="G798" s="13" t="n">
        <f aca="false">_xlfn.MINIFS(選手一覧!$K$7:$K$2738,選手一覧!$C$7:$C$2738,A798)</f>
        <v>890</v>
      </c>
      <c r="H798" s="16"/>
    </row>
    <row r="799" customFormat="false" ht="15" hidden="false" customHeight="false" outlineLevel="0" collapsed="false">
      <c r="A799" s="10" t="s">
        <v>2661</v>
      </c>
      <c r="B799" s="12" t="n">
        <f aca="false">COUNTIF(選手一覧!$C$7:$C$2738,A799)</f>
        <v>1</v>
      </c>
      <c r="C799" s="14" t="n">
        <f aca="false">COUNTIFS(選手一覧!$C$7:$C$2738,A799,選手一覧!$K$7:$K$2738,"&lt;=100")</f>
        <v>0</v>
      </c>
      <c r="D799" s="14" t="n">
        <f aca="false">COUNTIFS(選手一覧!$C$7:$C$2738,A799,選手一覧!$E$7:$E$2738,"&lt;=100")</f>
        <v>0</v>
      </c>
      <c r="E799" s="14" t="n">
        <f aca="false">COUNTIFS(選手一覧!$C$7:$C$2738,A799,選手一覧!$G$7:$G$2738,"&lt;=100")</f>
        <v>0</v>
      </c>
      <c r="F799" s="14" t="n">
        <f aca="false">COUNTIFS(選手一覧!$C$7:$C$2738,A799,選手一覧!$I$7:$I$2738,"&lt;=100")</f>
        <v>0</v>
      </c>
      <c r="G799" s="13" t="n">
        <f aca="false">_xlfn.MINIFS(選手一覧!$K$7:$K$2738,選手一覧!$C$7:$C$2738,A799)</f>
        <v>894</v>
      </c>
      <c r="H799" s="16"/>
    </row>
    <row r="800" customFormat="false" ht="15" hidden="false" customHeight="false" outlineLevel="0" collapsed="false">
      <c r="A800" s="10" t="s">
        <v>2663</v>
      </c>
      <c r="B800" s="12" t="n">
        <f aca="false">COUNTIF(選手一覧!$C$7:$C$2738,A800)</f>
        <v>1</v>
      </c>
      <c r="C800" s="14" t="n">
        <f aca="false">COUNTIFS(選手一覧!$C$7:$C$2738,A800,選手一覧!$K$7:$K$2738,"&lt;=100")</f>
        <v>0</v>
      </c>
      <c r="D800" s="14" t="n">
        <f aca="false">COUNTIFS(選手一覧!$C$7:$C$2738,A800,選手一覧!$E$7:$E$2738,"&lt;=100")</f>
        <v>0</v>
      </c>
      <c r="E800" s="14" t="n">
        <f aca="false">COUNTIFS(選手一覧!$C$7:$C$2738,A800,選手一覧!$G$7:$G$2738,"&lt;=100")</f>
        <v>0</v>
      </c>
      <c r="F800" s="14" t="n">
        <f aca="false">COUNTIFS(選手一覧!$C$7:$C$2738,A800,選手一覧!$I$7:$I$2738,"&lt;=100")</f>
        <v>0</v>
      </c>
      <c r="G800" s="13" t="n">
        <f aca="false">_xlfn.MINIFS(選手一覧!$K$7:$K$2738,選手一覧!$C$7:$C$2738,A800)</f>
        <v>894</v>
      </c>
      <c r="H800" s="16"/>
    </row>
    <row r="801" customFormat="false" ht="15" hidden="false" customHeight="false" outlineLevel="0" collapsed="false">
      <c r="A801" s="10" t="s">
        <v>2666</v>
      </c>
      <c r="B801" s="12" t="n">
        <f aca="false">COUNTIF(選手一覧!$C$7:$C$2738,A801)</f>
        <v>1</v>
      </c>
      <c r="C801" s="14" t="n">
        <f aca="false">COUNTIFS(選手一覧!$C$7:$C$2738,A801,選手一覧!$K$7:$K$2738,"&lt;=100")</f>
        <v>0</v>
      </c>
      <c r="D801" s="14" t="n">
        <f aca="false">COUNTIFS(選手一覧!$C$7:$C$2738,A801,選手一覧!$E$7:$E$2738,"&lt;=100")</f>
        <v>0</v>
      </c>
      <c r="E801" s="14" t="n">
        <f aca="false">COUNTIFS(選手一覧!$C$7:$C$2738,A801,選手一覧!$G$7:$G$2738,"&lt;=100")</f>
        <v>0</v>
      </c>
      <c r="F801" s="14" t="n">
        <f aca="false">COUNTIFS(選手一覧!$C$7:$C$2738,A801,選手一覧!$I$7:$I$2738,"&lt;=100")</f>
        <v>0</v>
      </c>
      <c r="G801" s="13" t="n">
        <f aca="false">_xlfn.MINIFS(選手一覧!$K$7:$K$2738,選手一覧!$C$7:$C$2738,A801)</f>
        <v>895</v>
      </c>
      <c r="H801" s="16"/>
    </row>
    <row r="802" customFormat="false" ht="15" hidden="false" customHeight="false" outlineLevel="0" collapsed="false">
      <c r="A802" s="10" t="s">
        <v>2670</v>
      </c>
      <c r="B802" s="12" t="n">
        <f aca="false">COUNTIF(選手一覧!$C$7:$C$2738,A802)</f>
        <v>1</v>
      </c>
      <c r="C802" s="14" t="n">
        <f aca="false">COUNTIFS(選手一覧!$C$7:$C$2738,A802,選手一覧!$K$7:$K$2738,"&lt;=100")</f>
        <v>0</v>
      </c>
      <c r="D802" s="14" t="n">
        <f aca="false">COUNTIFS(選手一覧!$C$7:$C$2738,A802,選手一覧!$E$7:$E$2738,"&lt;=100")</f>
        <v>0</v>
      </c>
      <c r="E802" s="14" t="n">
        <f aca="false">COUNTIFS(選手一覧!$C$7:$C$2738,A802,選手一覧!$G$7:$G$2738,"&lt;=100")</f>
        <v>0</v>
      </c>
      <c r="F802" s="14" t="n">
        <f aca="false">COUNTIFS(選手一覧!$C$7:$C$2738,A802,選手一覧!$I$7:$I$2738,"&lt;=100")</f>
        <v>0</v>
      </c>
      <c r="G802" s="13" t="n">
        <f aca="false">_xlfn.MINIFS(選手一覧!$K$7:$K$2738,選手一覧!$C$7:$C$2738,A802)</f>
        <v>896</v>
      </c>
      <c r="H802" s="16"/>
    </row>
    <row r="803" customFormat="false" ht="15" hidden="false" customHeight="false" outlineLevel="0" collapsed="false">
      <c r="A803" s="10" t="s">
        <v>2675</v>
      </c>
      <c r="B803" s="12" t="n">
        <f aca="false">COUNTIF(選手一覧!$C$7:$C$2738,A803)</f>
        <v>1</v>
      </c>
      <c r="C803" s="14" t="n">
        <f aca="false">COUNTIFS(選手一覧!$C$7:$C$2738,A803,選手一覧!$K$7:$K$2738,"&lt;=100")</f>
        <v>0</v>
      </c>
      <c r="D803" s="14" t="n">
        <f aca="false">COUNTIFS(選手一覧!$C$7:$C$2738,A803,選手一覧!$E$7:$E$2738,"&lt;=100")</f>
        <v>0</v>
      </c>
      <c r="E803" s="14" t="n">
        <f aca="false">COUNTIFS(選手一覧!$C$7:$C$2738,A803,選手一覧!$G$7:$G$2738,"&lt;=100")</f>
        <v>0</v>
      </c>
      <c r="F803" s="14" t="n">
        <f aca="false">COUNTIFS(選手一覧!$C$7:$C$2738,A803,選手一覧!$I$7:$I$2738,"&lt;=100")</f>
        <v>0</v>
      </c>
      <c r="G803" s="13" t="n">
        <f aca="false">_xlfn.MINIFS(選手一覧!$K$7:$K$2738,選手一覧!$C$7:$C$2738,A803)</f>
        <v>899</v>
      </c>
      <c r="H803" s="16"/>
    </row>
    <row r="804" customFormat="false" ht="15" hidden="false" customHeight="false" outlineLevel="0" collapsed="false">
      <c r="A804" s="10" t="s">
        <v>2677</v>
      </c>
      <c r="B804" s="12" t="n">
        <f aca="false">COUNTIF(選手一覧!$C$7:$C$2738,A804)</f>
        <v>1</v>
      </c>
      <c r="C804" s="14" t="n">
        <f aca="false">COUNTIFS(選手一覧!$C$7:$C$2738,A804,選手一覧!$K$7:$K$2738,"&lt;=100")</f>
        <v>0</v>
      </c>
      <c r="D804" s="14" t="n">
        <f aca="false">COUNTIFS(選手一覧!$C$7:$C$2738,A804,選手一覧!$E$7:$E$2738,"&lt;=100")</f>
        <v>0</v>
      </c>
      <c r="E804" s="14" t="n">
        <f aca="false">COUNTIFS(選手一覧!$C$7:$C$2738,A804,選手一覧!$G$7:$G$2738,"&lt;=100")</f>
        <v>0</v>
      </c>
      <c r="F804" s="14" t="n">
        <f aca="false">COUNTIFS(選手一覧!$C$7:$C$2738,A804,選手一覧!$I$7:$I$2738,"&lt;=100")</f>
        <v>0</v>
      </c>
      <c r="G804" s="13" t="n">
        <f aca="false">_xlfn.MINIFS(選手一覧!$K$7:$K$2738,選手一覧!$C$7:$C$2738,A804)</f>
        <v>900</v>
      </c>
      <c r="H804" s="16"/>
    </row>
    <row r="805" customFormat="false" ht="15" hidden="false" customHeight="false" outlineLevel="0" collapsed="false">
      <c r="A805" s="10" t="s">
        <v>2679</v>
      </c>
      <c r="B805" s="12" t="n">
        <f aca="false">COUNTIF(選手一覧!$C$7:$C$2738,A805)</f>
        <v>1</v>
      </c>
      <c r="C805" s="14" t="n">
        <f aca="false">COUNTIFS(選手一覧!$C$7:$C$2738,A805,選手一覧!$K$7:$K$2738,"&lt;=100")</f>
        <v>0</v>
      </c>
      <c r="D805" s="14" t="n">
        <f aca="false">COUNTIFS(選手一覧!$C$7:$C$2738,A805,選手一覧!$E$7:$E$2738,"&lt;=100")</f>
        <v>0</v>
      </c>
      <c r="E805" s="14" t="n">
        <f aca="false">COUNTIFS(選手一覧!$C$7:$C$2738,A805,選手一覧!$G$7:$G$2738,"&lt;=100")</f>
        <v>0</v>
      </c>
      <c r="F805" s="14" t="n">
        <f aca="false">COUNTIFS(選手一覧!$C$7:$C$2738,A805,選手一覧!$I$7:$I$2738,"&lt;=100")</f>
        <v>0</v>
      </c>
      <c r="G805" s="13" t="n">
        <f aca="false">_xlfn.MINIFS(選手一覧!$K$7:$K$2738,選手一覧!$C$7:$C$2738,A805)</f>
        <v>900</v>
      </c>
      <c r="H805" s="16"/>
    </row>
    <row r="806" customFormat="false" ht="15" hidden="false" customHeight="false" outlineLevel="0" collapsed="false">
      <c r="A806" s="10" t="s">
        <v>2682</v>
      </c>
      <c r="B806" s="12" t="n">
        <f aca="false">COUNTIF(選手一覧!$C$7:$C$2738,A806)</f>
        <v>1</v>
      </c>
      <c r="C806" s="14" t="n">
        <f aca="false">COUNTIFS(選手一覧!$C$7:$C$2738,A806,選手一覧!$K$7:$K$2738,"&lt;=100")</f>
        <v>0</v>
      </c>
      <c r="D806" s="14" t="n">
        <f aca="false">COUNTIFS(選手一覧!$C$7:$C$2738,A806,選手一覧!$E$7:$E$2738,"&lt;=100")</f>
        <v>0</v>
      </c>
      <c r="E806" s="14" t="n">
        <f aca="false">COUNTIFS(選手一覧!$C$7:$C$2738,A806,選手一覧!$G$7:$G$2738,"&lt;=100")</f>
        <v>0</v>
      </c>
      <c r="F806" s="14" t="n">
        <f aca="false">COUNTIFS(選手一覧!$C$7:$C$2738,A806,選手一覧!$I$7:$I$2738,"&lt;=100")</f>
        <v>0</v>
      </c>
      <c r="G806" s="13" t="n">
        <f aca="false">_xlfn.MINIFS(選手一覧!$K$7:$K$2738,選手一覧!$C$7:$C$2738,A806)</f>
        <v>901</v>
      </c>
      <c r="H806" s="16"/>
    </row>
    <row r="807" customFormat="false" ht="15" hidden="false" customHeight="false" outlineLevel="0" collapsed="false">
      <c r="A807" s="10" t="s">
        <v>2690</v>
      </c>
      <c r="B807" s="12" t="n">
        <f aca="false">COUNTIF(選手一覧!$C$7:$C$2738,A807)</f>
        <v>1</v>
      </c>
      <c r="C807" s="14" t="n">
        <f aca="false">COUNTIFS(選手一覧!$C$7:$C$2738,A807,選手一覧!$K$7:$K$2738,"&lt;=100")</f>
        <v>0</v>
      </c>
      <c r="D807" s="14" t="n">
        <f aca="false">COUNTIFS(選手一覧!$C$7:$C$2738,A807,選手一覧!$E$7:$E$2738,"&lt;=100")</f>
        <v>0</v>
      </c>
      <c r="E807" s="14" t="n">
        <f aca="false">COUNTIFS(選手一覧!$C$7:$C$2738,A807,選手一覧!$G$7:$G$2738,"&lt;=100")</f>
        <v>0</v>
      </c>
      <c r="F807" s="14" t="n">
        <f aca="false">COUNTIFS(選手一覧!$C$7:$C$2738,A807,選手一覧!$I$7:$I$2738,"&lt;=100")</f>
        <v>0</v>
      </c>
      <c r="G807" s="13" t="n">
        <f aca="false">_xlfn.MINIFS(選手一覧!$K$7:$K$2738,選手一覧!$C$7:$C$2738,A807)</f>
        <v>903</v>
      </c>
      <c r="H807" s="16"/>
    </row>
    <row r="808" customFormat="false" ht="15" hidden="false" customHeight="false" outlineLevel="0" collapsed="false">
      <c r="A808" s="10" t="s">
        <v>2693</v>
      </c>
      <c r="B808" s="12" t="n">
        <f aca="false">COUNTIF(選手一覧!$C$7:$C$2738,A808)</f>
        <v>1</v>
      </c>
      <c r="C808" s="14" t="n">
        <f aca="false">COUNTIFS(選手一覧!$C$7:$C$2738,A808,選手一覧!$K$7:$K$2738,"&lt;=100")</f>
        <v>0</v>
      </c>
      <c r="D808" s="14" t="n">
        <f aca="false">COUNTIFS(選手一覧!$C$7:$C$2738,A808,選手一覧!$E$7:$E$2738,"&lt;=100")</f>
        <v>0</v>
      </c>
      <c r="E808" s="14" t="n">
        <f aca="false">COUNTIFS(選手一覧!$C$7:$C$2738,A808,選手一覧!$G$7:$G$2738,"&lt;=100")</f>
        <v>0</v>
      </c>
      <c r="F808" s="14" t="n">
        <f aca="false">COUNTIFS(選手一覧!$C$7:$C$2738,A808,選手一覧!$I$7:$I$2738,"&lt;=100")</f>
        <v>0</v>
      </c>
      <c r="G808" s="13" t="n">
        <f aca="false">_xlfn.MINIFS(選手一覧!$K$7:$K$2738,選手一覧!$C$7:$C$2738,A808)</f>
        <v>904</v>
      </c>
      <c r="H808" s="16"/>
    </row>
    <row r="809" customFormat="false" ht="15" hidden="false" customHeight="false" outlineLevel="0" collapsed="false">
      <c r="A809" s="10" t="s">
        <v>2700</v>
      </c>
      <c r="B809" s="12" t="n">
        <f aca="false">COUNTIF(選手一覧!$C$7:$C$2738,A809)</f>
        <v>1</v>
      </c>
      <c r="C809" s="14" t="n">
        <f aca="false">COUNTIFS(選手一覧!$C$7:$C$2738,A809,選手一覧!$K$7:$K$2738,"&lt;=100")</f>
        <v>0</v>
      </c>
      <c r="D809" s="14" t="n">
        <f aca="false">COUNTIFS(選手一覧!$C$7:$C$2738,A809,選手一覧!$E$7:$E$2738,"&lt;=100")</f>
        <v>0</v>
      </c>
      <c r="E809" s="14" t="n">
        <f aca="false">COUNTIFS(選手一覧!$C$7:$C$2738,A809,選手一覧!$G$7:$G$2738,"&lt;=100")</f>
        <v>0</v>
      </c>
      <c r="F809" s="14" t="n">
        <f aca="false">COUNTIFS(選手一覧!$C$7:$C$2738,A809,選手一覧!$I$7:$I$2738,"&lt;=100")</f>
        <v>0</v>
      </c>
      <c r="G809" s="13" t="n">
        <f aca="false">_xlfn.MINIFS(選手一覧!$K$7:$K$2738,選手一覧!$C$7:$C$2738,A809)</f>
        <v>907</v>
      </c>
      <c r="H809" s="16"/>
    </row>
    <row r="810" customFormat="false" ht="15" hidden="false" customHeight="false" outlineLevel="0" collapsed="false">
      <c r="A810" s="10" t="s">
        <v>2702</v>
      </c>
      <c r="B810" s="12" t="n">
        <f aca="false">COUNTIF(選手一覧!$C$7:$C$2738,A810)</f>
        <v>1</v>
      </c>
      <c r="C810" s="14" t="n">
        <f aca="false">COUNTIFS(選手一覧!$C$7:$C$2738,A810,選手一覧!$K$7:$K$2738,"&lt;=100")</f>
        <v>0</v>
      </c>
      <c r="D810" s="14" t="n">
        <f aca="false">COUNTIFS(選手一覧!$C$7:$C$2738,A810,選手一覧!$E$7:$E$2738,"&lt;=100")</f>
        <v>0</v>
      </c>
      <c r="E810" s="14" t="n">
        <f aca="false">COUNTIFS(選手一覧!$C$7:$C$2738,A810,選手一覧!$G$7:$G$2738,"&lt;=100")</f>
        <v>0</v>
      </c>
      <c r="F810" s="14" t="n">
        <f aca="false">COUNTIFS(選手一覧!$C$7:$C$2738,A810,選手一覧!$I$7:$I$2738,"&lt;=100")</f>
        <v>0</v>
      </c>
      <c r="G810" s="13" t="n">
        <f aca="false">_xlfn.MINIFS(選手一覧!$K$7:$K$2738,選手一覧!$C$7:$C$2738,A810)</f>
        <v>908</v>
      </c>
      <c r="H810" s="16"/>
    </row>
    <row r="811" customFormat="false" ht="15" hidden="false" customHeight="false" outlineLevel="0" collapsed="false">
      <c r="A811" s="10" t="s">
        <v>2704</v>
      </c>
      <c r="B811" s="12" t="n">
        <f aca="false">COUNTIF(選手一覧!$C$7:$C$2738,A811)</f>
        <v>1</v>
      </c>
      <c r="C811" s="14" t="n">
        <f aca="false">COUNTIFS(選手一覧!$C$7:$C$2738,A811,選手一覧!$K$7:$K$2738,"&lt;=100")</f>
        <v>0</v>
      </c>
      <c r="D811" s="14" t="n">
        <f aca="false">COUNTIFS(選手一覧!$C$7:$C$2738,A811,選手一覧!$E$7:$E$2738,"&lt;=100")</f>
        <v>0</v>
      </c>
      <c r="E811" s="14" t="n">
        <f aca="false">COUNTIFS(選手一覧!$C$7:$C$2738,A811,選手一覧!$G$7:$G$2738,"&lt;=100")</f>
        <v>0</v>
      </c>
      <c r="F811" s="14" t="n">
        <f aca="false">COUNTIFS(選手一覧!$C$7:$C$2738,A811,選手一覧!$I$7:$I$2738,"&lt;=100")</f>
        <v>0</v>
      </c>
      <c r="G811" s="13" t="n">
        <f aca="false">_xlfn.MINIFS(選手一覧!$K$7:$K$2738,選手一覧!$C$7:$C$2738,A811)</f>
        <v>909</v>
      </c>
      <c r="H811" s="16"/>
    </row>
    <row r="812" customFormat="false" ht="15" hidden="false" customHeight="false" outlineLevel="0" collapsed="false">
      <c r="A812" s="10" t="s">
        <v>2707</v>
      </c>
      <c r="B812" s="12" t="n">
        <f aca="false">COUNTIF(選手一覧!$C$7:$C$2738,A812)</f>
        <v>1</v>
      </c>
      <c r="C812" s="14" t="n">
        <f aca="false">COUNTIFS(選手一覧!$C$7:$C$2738,A812,選手一覧!$K$7:$K$2738,"&lt;=100")</f>
        <v>0</v>
      </c>
      <c r="D812" s="14" t="n">
        <f aca="false">COUNTIFS(選手一覧!$C$7:$C$2738,A812,選手一覧!$E$7:$E$2738,"&lt;=100")</f>
        <v>0</v>
      </c>
      <c r="E812" s="14" t="n">
        <f aca="false">COUNTIFS(選手一覧!$C$7:$C$2738,A812,選手一覧!$G$7:$G$2738,"&lt;=100")</f>
        <v>0</v>
      </c>
      <c r="F812" s="14" t="n">
        <f aca="false">COUNTIFS(選手一覧!$C$7:$C$2738,A812,選手一覧!$I$7:$I$2738,"&lt;=100")</f>
        <v>0</v>
      </c>
      <c r="G812" s="13" t="n">
        <f aca="false">_xlfn.MINIFS(選手一覧!$K$7:$K$2738,選手一覧!$C$7:$C$2738,A812)</f>
        <v>910</v>
      </c>
      <c r="H812" s="16"/>
    </row>
    <row r="813" customFormat="false" ht="15" hidden="false" customHeight="false" outlineLevel="0" collapsed="false">
      <c r="A813" s="10" t="s">
        <v>2715</v>
      </c>
      <c r="B813" s="12" t="n">
        <f aca="false">COUNTIF(選手一覧!$C$7:$C$2738,A813)</f>
        <v>1</v>
      </c>
      <c r="C813" s="14" t="n">
        <f aca="false">COUNTIFS(選手一覧!$C$7:$C$2738,A813,選手一覧!$K$7:$K$2738,"&lt;=100")</f>
        <v>0</v>
      </c>
      <c r="D813" s="14" t="n">
        <f aca="false">COUNTIFS(選手一覧!$C$7:$C$2738,A813,選手一覧!$E$7:$E$2738,"&lt;=100")</f>
        <v>0</v>
      </c>
      <c r="E813" s="14" t="n">
        <f aca="false">COUNTIFS(選手一覧!$C$7:$C$2738,A813,選手一覧!$G$7:$G$2738,"&lt;=100")</f>
        <v>0</v>
      </c>
      <c r="F813" s="14" t="n">
        <f aca="false">COUNTIFS(選手一覧!$C$7:$C$2738,A813,選手一覧!$I$7:$I$2738,"&lt;=100")</f>
        <v>0</v>
      </c>
      <c r="G813" s="13" t="n">
        <f aca="false">_xlfn.MINIFS(選手一覧!$K$7:$K$2738,選手一覧!$C$7:$C$2738,A813)</f>
        <v>913</v>
      </c>
      <c r="H813" s="16"/>
    </row>
    <row r="814" customFormat="false" ht="15" hidden="false" customHeight="false" outlineLevel="0" collapsed="false">
      <c r="A814" s="10" t="s">
        <v>2720</v>
      </c>
      <c r="B814" s="12" t="n">
        <f aca="false">COUNTIF(選手一覧!$C$7:$C$2738,A814)</f>
        <v>1</v>
      </c>
      <c r="C814" s="14" t="n">
        <f aca="false">COUNTIFS(選手一覧!$C$7:$C$2738,A814,選手一覧!$K$7:$K$2738,"&lt;=100")</f>
        <v>0</v>
      </c>
      <c r="D814" s="14" t="n">
        <f aca="false">COUNTIFS(選手一覧!$C$7:$C$2738,A814,選手一覧!$E$7:$E$2738,"&lt;=100")</f>
        <v>0</v>
      </c>
      <c r="E814" s="14" t="n">
        <f aca="false">COUNTIFS(選手一覧!$C$7:$C$2738,A814,選手一覧!$G$7:$G$2738,"&lt;=100")</f>
        <v>0</v>
      </c>
      <c r="F814" s="14" t="n">
        <f aca="false">COUNTIFS(選手一覧!$C$7:$C$2738,A814,選手一覧!$I$7:$I$2738,"&lt;=100")</f>
        <v>0</v>
      </c>
      <c r="G814" s="13" t="n">
        <f aca="false">_xlfn.MINIFS(選手一覧!$K$7:$K$2738,選手一覧!$C$7:$C$2738,A814)</f>
        <v>915</v>
      </c>
      <c r="H814" s="16"/>
    </row>
    <row r="815" customFormat="false" ht="15" hidden="false" customHeight="false" outlineLevel="0" collapsed="false">
      <c r="A815" s="10" t="s">
        <v>2726</v>
      </c>
      <c r="B815" s="12" t="n">
        <f aca="false">COUNTIF(選手一覧!$C$7:$C$2738,A815)</f>
        <v>1</v>
      </c>
      <c r="C815" s="14" t="n">
        <f aca="false">COUNTIFS(選手一覧!$C$7:$C$2738,A815,選手一覧!$K$7:$K$2738,"&lt;=100")</f>
        <v>0</v>
      </c>
      <c r="D815" s="14" t="n">
        <f aca="false">COUNTIFS(選手一覧!$C$7:$C$2738,A815,選手一覧!$E$7:$E$2738,"&lt;=100")</f>
        <v>0</v>
      </c>
      <c r="E815" s="14" t="n">
        <f aca="false">COUNTIFS(選手一覧!$C$7:$C$2738,A815,選手一覧!$G$7:$G$2738,"&lt;=100")</f>
        <v>0</v>
      </c>
      <c r="F815" s="14" t="n">
        <f aca="false">COUNTIFS(選手一覧!$C$7:$C$2738,A815,選手一覧!$I$7:$I$2738,"&lt;=100")</f>
        <v>0</v>
      </c>
      <c r="G815" s="13" t="n">
        <f aca="false">_xlfn.MINIFS(選手一覧!$K$7:$K$2738,選手一覧!$C$7:$C$2738,A815)</f>
        <v>917</v>
      </c>
      <c r="H815" s="16"/>
    </row>
    <row r="816" customFormat="false" ht="15" hidden="false" customHeight="false" outlineLevel="0" collapsed="false">
      <c r="A816" s="10" t="s">
        <v>2732</v>
      </c>
      <c r="B816" s="12" t="n">
        <f aca="false">COUNTIF(選手一覧!$C$7:$C$2738,A816)</f>
        <v>1</v>
      </c>
      <c r="C816" s="14" t="n">
        <f aca="false">COUNTIFS(選手一覧!$C$7:$C$2738,A816,選手一覧!$K$7:$K$2738,"&lt;=100")</f>
        <v>0</v>
      </c>
      <c r="D816" s="14" t="n">
        <f aca="false">COUNTIFS(選手一覧!$C$7:$C$2738,A816,選手一覧!$E$7:$E$2738,"&lt;=100")</f>
        <v>0</v>
      </c>
      <c r="E816" s="14" t="n">
        <f aca="false">COUNTIFS(選手一覧!$C$7:$C$2738,A816,選手一覧!$G$7:$G$2738,"&lt;=100")</f>
        <v>0</v>
      </c>
      <c r="F816" s="14" t="n">
        <f aca="false">COUNTIFS(選手一覧!$C$7:$C$2738,A816,選手一覧!$I$7:$I$2738,"&lt;=100")</f>
        <v>0</v>
      </c>
      <c r="G816" s="13" t="n">
        <f aca="false">_xlfn.MINIFS(選手一覧!$K$7:$K$2738,選手一覧!$C$7:$C$2738,A816)</f>
        <v>920</v>
      </c>
      <c r="H816" s="16"/>
    </row>
    <row r="817" customFormat="false" ht="15" hidden="false" customHeight="false" outlineLevel="0" collapsed="false">
      <c r="A817" s="10" t="s">
        <v>2734</v>
      </c>
      <c r="B817" s="12" t="n">
        <f aca="false">COUNTIF(選手一覧!$C$7:$C$2738,A817)</f>
        <v>1</v>
      </c>
      <c r="C817" s="14" t="n">
        <f aca="false">COUNTIFS(選手一覧!$C$7:$C$2738,A817,選手一覧!$K$7:$K$2738,"&lt;=100")</f>
        <v>0</v>
      </c>
      <c r="D817" s="14" t="n">
        <f aca="false">COUNTIFS(選手一覧!$C$7:$C$2738,A817,選手一覧!$E$7:$E$2738,"&lt;=100")</f>
        <v>0</v>
      </c>
      <c r="E817" s="14" t="n">
        <f aca="false">COUNTIFS(選手一覧!$C$7:$C$2738,A817,選手一覧!$G$7:$G$2738,"&lt;=100")</f>
        <v>0</v>
      </c>
      <c r="F817" s="14" t="n">
        <f aca="false">COUNTIFS(選手一覧!$C$7:$C$2738,A817,選手一覧!$I$7:$I$2738,"&lt;=100")</f>
        <v>0</v>
      </c>
      <c r="G817" s="13" t="n">
        <f aca="false">_xlfn.MINIFS(選手一覧!$K$7:$K$2738,選手一覧!$C$7:$C$2738,A817)</f>
        <v>920</v>
      </c>
      <c r="H817" s="16"/>
    </row>
    <row r="818" customFormat="false" ht="15" hidden="false" customHeight="false" outlineLevel="0" collapsed="false">
      <c r="A818" s="10" t="s">
        <v>2736</v>
      </c>
      <c r="B818" s="12" t="n">
        <f aca="false">COUNTIF(選手一覧!$C$7:$C$2738,A818)</f>
        <v>1</v>
      </c>
      <c r="C818" s="14" t="n">
        <f aca="false">COUNTIFS(選手一覧!$C$7:$C$2738,A818,選手一覧!$K$7:$K$2738,"&lt;=100")</f>
        <v>0</v>
      </c>
      <c r="D818" s="14" t="n">
        <f aca="false">COUNTIFS(選手一覧!$C$7:$C$2738,A818,選手一覧!$E$7:$E$2738,"&lt;=100")</f>
        <v>0</v>
      </c>
      <c r="E818" s="14" t="n">
        <f aca="false">COUNTIFS(選手一覧!$C$7:$C$2738,A818,選手一覧!$G$7:$G$2738,"&lt;=100")</f>
        <v>0</v>
      </c>
      <c r="F818" s="14" t="n">
        <f aca="false">COUNTIFS(選手一覧!$C$7:$C$2738,A818,選手一覧!$I$7:$I$2738,"&lt;=100")</f>
        <v>0</v>
      </c>
      <c r="G818" s="13" t="n">
        <f aca="false">_xlfn.MINIFS(選手一覧!$K$7:$K$2738,選手一覧!$C$7:$C$2738,A818)</f>
        <v>921</v>
      </c>
      <c r="H818" s="16"/>
    </row>
    <row r="819" customFormat="false" ht="15" hidden="false" customHeight="false" outlineLevel="0" collapsed="false">
      <c r="A819" s="10" t="s">
        <v>2738</v>
      </c>
      <c r="B819" s="12" t="n">
        <f aca="false">COUNTIF(選手一覧!$C$7:$C$2738,A819)</f>
        <v>1</v>
      </c>
      <c r="C819" s="14" t="n">
        <f aca="false">COUNTIFS(選手一覧!$C$7:$C$2738,A819,選手一覧!$K$7:$K$2738,"&lt;=100")</f>
        <v>0</v>
      </c>
      <c r="D819" s="14" t="n">
        <f aca="false">COUNTIFS(選手一覧!$C$7:$C$2738,A819,選手一覧!$E$7:$E$2738,"&lt;=100")</f>
        <v>0</v>
      </c>
      <c r="E819" s="14" t="n">
        <f aca="false">COUNTIFS(選手一覧!$C$7:$C$2738,A819,選手一覧!$G$7:$G$2738,"&lt;=100")</f>
        <v>0</v>
      </c>
      <c r="F819" s="14" t="n">
        <f aca="false">COUNTIFS(選手一覧!$C$7:$C$2738,A819,選手一覧!$I$7:$I$2738,"&lt;=100")</f>
        <v>0</v>
      </c>
      <c r="G819" s="13" t="n">
        <f aca="false">_xlfn.MINIFS(選手一覧!$K$7:$K$2738,選手一覧!$C$7:$C$2738,A819)</f>
        <v>922</v>
      </c>
      <c r="H819" s="16"/>
    </row>
    <row r="820" customFormat="false" ht="15" hidden="false" customHeight="false" outlineLevel="0" collapsed="false">
      <c r="A820" s="10" t="s">
        <v>2742</v>
      </c>
      <c r="B820" s="12" t="n">
        <f aca="false">COUNTIF(選手一覧!$C$7:$C$2738,A820)</f>
        <v>1</v>
      </c>
      <c r="C820" s="14" t="n">
        <f aca="false">COUNTIFS(選手一覧!$C$7:$C$2738,A820,選手一覧!$K$7:$K$2738,"&lt;=100")</f>
        <v>0</v>
      </c>
      <c r="D820" s="14" t="n">
        <f aca="false">COUNTIFS(選手一覧!$C$7:$C$2738,A820,選手一覧!$E$7:$E$2738,"&lt;=100")</f>
        <v>0</v>
      </c>
      <c r="E820" s="14" t="n">
        <f aca="false">COUNTIFS(選手一覧!$C$7:$C$2738,A820,選手一覧!$G$7:$G$2738,"&lt;=100")</f>
        <v>0</v>
      </c>
      <c r="F820" s="14" t="n">
        <f aca="false">COUNTIFS(選手一覧!$C$7:$C$2738,A820,選手一覧!$I$7:$I$2738,"&lt;=100")</f>
        <v>0</v>
      </c>
      <c r="G820" s="13" t="n">
        <f aca="false">_xlfn.MINIFS(選手一覧!$K$7:$K$2738,選手一覧!$C$7:$C$2738,A820)</f>
        <v>924</v>
      </c>
      <c r="H820" s="16"/>
    </row>
    <row r="821" customFormat="false" ht="15" hidden="false" customHeight="false" outlineLevel="0" collapsed="false">
      <c r="A821" s="10" t="s">
        <v>2748</v>
      </c>
      <c r="B821" s="12" t="n">
        <f aca="false">COUNTIF(選手一覧!$C$7:$C$2738,A821)</f>
        <v>1</v>
      </c>
      <c r="C821" s="14" t="n">
        <f aca="false">COUNTIFS(選手一覧!$C$7:$C$2738,A821,選手一覧!$K$7:$K$2738,"&lt;=100")</f>
        <v>0</v>
      </c>
      <c r="D821" s="14" t="n">
        <f aca="false">COUNTIFS(選手一覧!$C$7:$C$2738,A821,選手一覧!$E$7:$E$2738,"&lt;=100")</f>
        <v>0</v>
      </c>
      <c r="E821" s="14" t="n">
        <f aca="false">COUNTIFS(選手一覧!$C$7:$C$2738,A821,選手一覧!$G$7:$G$2738,"&lt;=100")</f>
        <v>0</v>
      </c>
      <c r="F821" s="14" t="n">
        <f aca="false">COUNTIFS(選手一覧!$C$7:$C$2738,A821,選手一覧!$I$7:$I$2738,"&lt;=100")</f>
        <v>0</v>
      </c>
      <c r="G821" s="13" t="n">
        <f aca="false">_xlfn.MINIFS(選手一覧!$K$7:$K$2738,選手一覧!$C$7:$C$2738,A821)</f>
        <v>926</v>
      </c>
      <c r="H821" s="16"/>
    </row>
    <row r="822" customFormat="false" ht="15" hidden="false" customHeight="false" outlineLevel="0" collapsed="false">
      <c r="A822" s="10" t="s">
        <v>2751</v>
      </c>
      <c r="B822" s="12" t="n">
        <f aca="false">COUNTIF(選手一覧!$C$7:$C$2738,A822)</f>
        <v>1</v>
      </c>
      <c r="C822" s="14" t="n">
        <f aca="false">COUNTIFS(選手一覧!$C$7:$C$2738,A822,選手一覧!$K$7:$K$2738,"&lt;=100")</f>
        <v>0</v>
      </c>
      <c r="D822" s="14" t="n">
        <f aca="false">COUNTIFS(選手一覧!$C$7:$C$2738,A822,選手一覧!$E$7:$E$2738,"&lt;=100")</f>
        <v>0</v>
      </c>
      <c r="E822" s="14" t="n">
        <f aca="false">COUNTIFS(選手一覧!$C$7:$C$2738,A822,選手一覧!$G$7:$G$2738,"&lt;=100")</f>
        <v>0</v>
      </c>
      <c r="F822" s="14" t="n">
        <f aca="false">COUNTIFS(選手一覧!$C$7:$C$2738,A822,選手一覧!$I$7:$I$2738,"&lt;=100")</f>
        <v>0</v>
      </c>
      <c r="G822" s="13" t="n">
        <f aca="false">_xlfn.MINIFS(選手一覧!$K$7:$K$2738,選手一覧!$C$7:$C$2738,A822)</f>
        <v>927</v>
      </c>
      <c r="H822" s="16"/>
    </row>
    <row r="823" customFormat="false" ht="15" hidden="false" customHeight="false" outlineLevel="0" collapsed="false">
      <c r="A823" s="10" t="s">
        <v>2756</v>
      </c>
      <c r="B823" s="12" t="n">
        <f aca="false">COUNTIF(選手一覧!$C$7:$C$2738,A823)</f>
        <v>1</v>
      </c>
      <c r="C823" s="14" t="n">
        <f aca="false">COUNTIFS(選手一覧!$C$7:$C$2738,A823,選手一覧!$K$7:$K$2738,"&lt;=100")</f>
        <v>0</v>
      </c>
      <c r="D823" s="14" t="n">
        <f aca="false">COUNTIFS(選手一覧!$C$7:$C$2738,A823,選手一覧!$E$7:$E$2738,"&lt;=100")</f>
        <v>0</v>
      </c>
      <c r="E823" s="14" t="n">
        <f aca="false">COUNTIFS(選手一覧!$C$7:$C$2738,A823,選手一覧!$G$7:$G$2738,"&lt;=100")</f>
        <v>0</v>
      </c>
      <c r="F823" s="14" t="n">
        <f aca="false">COUNTIFS(選手一覧!$C$7:$C$2738,A823,選手一覧!$I$7:$I$2738,"&lt;=100")</f>
        <v>0</v>
      </c>
      <c r="G823" s="13" t="n">
        <f aca="false">_xlfn.MINIFS(選手一覧!$K$7:$K$2738,選手一覧!$C$7:$C$2738,A823)</f>
        <v>930</v>
      </c>
      <c r="H823" s="16"/>
    </row>
    <row r="824" customFormat="false" ht="15" hidden="false" customHeight="false" outlineLevel="0" collapsed="false">
      <c r="A824" s="10" t="s">
        <v>2760</v>
      </c>
      <c r="B824" s="12" t="n">
        <f aca="false">COUNTIF(選手一覧!$C$7:$C$2738,A824)</f>
        <v>1</v>
      </c>
      <c r="C824" s="14" t="n">
        <f aca="false">COUNTIFS(選手一覧!$C$7:$C$2738,A824,選手一覧!$K$7:$K$2738,"&lt;=100")</f>
        <v>0</v>
      </c>
      <c r="D824" s="14" t="n">
        <f aca="false">COUNTIFS(選手一覧!$C$7:$C$2738,A824,選手一覧!$E$7:$E$2738,"&lt;=100")</f>
        <v>0</v>
      </c>
      <c r="E824" s="14" t="n">
        <f aca="false">COUNTIFS(選手一覧!$C$7:$C$2738,A824,選手一覧!$G$7:$G$2738,"&lt;=100")</f>
        <v>0</v>
      </c>
      <c r="F824" s="14" t="n">
        <f aca="false">COUNTIFS(選手一覧!$C$7:$C$2738,A824,選手一覧!$I$7:$I$2738,"&lt;=100")</f>
        <v>0</v>
      </c>
      <c r="G824" s="13" t="n">
        <f aca="false">_xlfn.MINIFS(選手一覧!$K$7:$K$2738,選手一覧!$C$7:$C$2738,A824)</f>
        <v>932</v>
      </c>
      <c r="H824" s="16"/>
    </row>
    <row r="825" customFormat="false" ht="15" hidden="false" customHeight="false" outlineLevel="0" collapsed="false">
      <c r="A825" s="10" t="s">
        <v>2762</v>
      </c>
      <c r="B825" s="12" t="n">
        <f aca="false">COUNTIF(選手一覧!$C$7:$C$2738,A825)</f>
        <v>1</v>
      </c>
      <c r="C825" s="14" t="n">
        <f aca="false">COUNTIFS(選手一覧!$C$7:$C$2738,A825,選手一覧!$K$7:$K$2738,"&lt;=100")</f>
        <v>0</v>
      </c>
      <c r="D825" s="14" t="n">
        <f aca="false">COUNTIFS(選手一覧!$C$7:$C$2738,A825,選手一覧!$E$7:$E$2738,"&lt;=100")</f>
        <v>0</v>
      </c>
      <c r="E825" s="14" t="n">
        <f aca="false">COUNTIFS(選手一覧!$C$7:$C$2738,A825,選手一覧!$G$7:$G$2738,"&lt;=100")</f>
        <v>0</v>
      </c>
      <c r="F825" s="14" t="n">
        <f aca="false">COUNTIFS(選手一覧!$C$7:$C$2738,A825,選手一覧!$I$7:$I$2738,"&lt;=100")</f>
        <v>0</v>
      </c>
      <c r="G825" s="13" t="n">
        <f aca="false">_xlfn.MINIFS(選手一覧!$K$7:$K$2738,選手一覧!$C$7:$C$2738,A825)</f>
        <v>933</v>
      </c>
      <c r="H825" s="16"/>
    </row>
    <row r="826" customFormat="false" ht="15" hidden="false" customHeight="false" outlineLevel="0" collapsed="false">
      <c r="A826" s="10" t="s">
        <v>2764</v>
      </c>
      <c r="B826" s="12" t="n">
        <f aca="false">COUNTIF(選手一覧!$C$7:$C$2738,A826)</f>
        <v>1</v>
      </c>
      <c r="C826" s="14" t="n">
        <f aca="false">COUNTIFS(選手一覧!$C$7:$C$2738,A826,選手一覧!$K$7:$K$2738,"&lt;=100")</f>
        <v>0</v>
      </c>
      <c r="D826" s="14" t="n">
        <f aca="false">COUNTIFS(選手一覧!$C$7:$C$2738,A826,選手一覧!$E$7:$E$2738,"&lt;=100")</f>
        <v>0</v>
      </c>
      <c r="E826" s="14" t="n">
        <f aca="false">COUNTIFS(選手一覧!$C$7:$C$2738,A826,選手一覧!$G$7:$G$2738,"&lt;=100")</f>
        <v>0</v>
      </c>
      <c r="F826" s="14" t="n">
        <f aca="false">COUNTIFS(選手一覧!$C$7:$C$2738,A826,選手一覧!$I$7:$I$2738,"&lt;=100")</f>
        <v>0</v>
      </c>
      <c r="G826" s="13" t="n">
        <f aca="false">_xlfn.MINIFS(選手一覧!$K$7:$K$2738,選手一覧!$C$7:$C$2738,A826)</f>
        <v>933</v>
      </c>
      <c r="H826" s="16"/>
    </row>
    <row r="827" customFormat="false" ht="15" hidden="false" customHeight="false" outlineLevel="0" collapsed="false">
      <c r="A827" s="10" t="s">
        <v>2766</v>
      </c>
      <c r="B827" s="12" t="n">
        <f aca="false">COUNTIF(選手一覧!$C$7:$C$2738,A827)</f>
        <v>1</v>
      </c>
      <c r="C827" s="14" t="n">
        <f aca="false">COUNTIFS(選手一覧!$C$7:$C$2738,A827,選手一覧!$K$7:$K$2738,"&lt;=100")</f>
        <v>0</v>
      </c>
      <c r="D827" s="14" t="n">
        <f aca="false">COUNTIFS(選手一覧!$C$7:$C$2738,A827,選手一覧!$E$7:$E$2738,"&lt;=100")</f>
        <v>0</v>
      </c>
      <c r="E827" s="14" t="n">
        <f aca="false">COUNTIFS(選手一覧!$C$7:$C$2738,A827,選手一覧!$G$7:$G$2738,"&lt;=100")</f>
        <v>0</v>
      </c>
      <c r="F827" s="14" t="n">
        <f aca="false">COUNTIFS(選手一覧!$C$7:$C$2738,A827,選手一覧!$I$7:$I$2738,"&lt;=100")</f>
        <v>0</v>
      </c>
      <c r="G827" s="13" t="n">
        <f aca="false">_xlfn.MINIFS(選手一覧!$K$7:$K$2738,選手一覧!$C$7:$C$2738,A827)</f>
        <v>934</v>
      </c>
      <c r="H827" s="16"/>
    </row>
    <row r="828" customFormat="false" ht="15" hidden="false" customHeight="false" outlineLevel="0" collapsed="false">
      <c r="A828" s="10" t="s">
        <v>2772</v>
      </c>
      <c r="B828" s="12" t="n">
        <f aca="false">COUNTIF(選手一覧!$C$7:$C$2738,A828)</f>
        <v>1</v>
      </c>
      <c r="C828" s="14" t="n">
        <f aca="false">COUNTIFS(選手一覧!$C$7:$C$2738,A828,選手一覧!$K$7:$K$2738,"&lt;=100")</f>
        <v>0</v>
      </c>
      <c r="D828" s="14" t="n">
        <f aca="false">COUNTIFS(選手一覧!$C$7:$C$2738,A828,選手一覧!$E$7:$E$2738,"&lt;=100")</f>
        <v>0</v>
      </c>
      <c r="E828" s="14" t="n">
        <f aca="false">COUNTIFS(選手一覧!$C$7:$C$2738,A828,選手一覧!$G$7:$G$2738,"&lt;=100")</f>
        <v>0</v>
      </c>
      <c r="F828" s="14" t="n">
        <f aca="false">COUNTIFS(選手一覧!$C$7:$C$2738,A828,選手一覧!$I$7:$I$2738,"&lt;=100")</f>
        <v>0</v>
      </c>
      <c r="G828" s="13" t="n">
        <f aca="false">_xlfn.MINIFS(選手一覧!$K$7:$K$2738,選手一覧!$C$7:$C$2738,A828)</f>
        <v>936</v>
      </c>
      <c r="H828" s="16"/>
    </row>
    <row r="829" customFormat="false" ht="15" hidden="false" customHeight="false" outlineLevel="0" collapsed="false">
      <c r="A829" s="10" t="s">
        <v>2778</v>
      </c>
      <c r="B829" s="12" t="n">
        <f aca="false">COUNTIF(選手一覧!$C$7:$C$2738,A829)</f>
        <v>1</v>
      </c>
      <c r="C829" s="14" t="n">
        <f aca="false">COUNTIFS(選手一覧!$C$7:$C$2738,A829,選手一覧!$K$7:$K$2738,"&lt;=100")</f>
        <v>0</v>
      </c>
      <c r="D829" s="14" t="n">
        <f aca="false">COUNTIFS(選手一覧!$C$7:$C$2738,A829,選手一覧!$E$7:$E$2738,"&lt;=100")</f>
        <v>0</v>
      </c>
      <c r="E829" s="14" t="n">
        <f aca="false">COUNTIFS(選手一覧!$C$7:$C$2738,A829,選手一覧!$G$7:$G$2738,"&lt;=100")</f>
        <v>0</v>
      </c>
      <c r="F829" s="14" t="n">
        <f aca="false">COUNTIFS(選手一覧!$C$7:$C$2738,A829,選手一覧!$I$7:$I$2738,"&lt;=100")</f>
        <v>0</v>
      </c>
      <c r="G829" s="13" t="n">
        <f aca="false">_xlfn.MINIFS(選手一覧!$K$7:$K$2738,選手一覧!$C$7:$C$2738,A829)</f>
        <v>939</v>
      </c>
      <c r="H829" s="16"/>
    </row>
    <row r="830" customFormat="false" ht="15" hidden="false" customHeight="false" outlineLevel="0" collapsed="false">
      <c r="A830" s="10" t="s">
        <v>2785</v>
      </c>
      <c r="B830" s="12" t="n">
        <f aca="false">COUNTIF(選手一覧!$C$7:$C$2738,A830)</f>
        <v>1</v>
      </c>
      <c r="C830" s="14" t="n">
        <f aca="false">COUNTIFS(選手一覧!$C$7:$C$2738,A830,選手一覧!$K$7:$K$2738,"&lt;=100")</f>
        <v>0</v>
      </c>
      <c r="D830" s="14" t="n">
        <f aca="false">COUNTIFS(選手一覧!$C$7:$C$2738,A830,選手一覧!$E$7:$E$2738,"&lt;=100")</f>
        <v>0</v>
      </c>
      <c r="E830" s="14" t="n">
        <f aca="false">COUNTIFS(選手一覧!$C$7:$C$2738,A830,選手一覧!$G$7:$G$2738,"&lt;=100")</f>
        <v>0</v>
      </c>
      <c r="F830" s="14" t="n">
        <f aca="false">COUNTIFS(選手一覧!$C$7:$C$2738,A830,選手一覧!$I$7:$I$2738,"&lt;=100")</f>
        <v>0</v>
      </c>
      <c r="G830" s="13" t="n">
        <f aca="false">_xlfn.MINIFS(選手一覧!$K$7:$K$2738,選手一覧!$C$7:$C$2738,A830)</f>
        <v>942</v>
      </c>
      <c r="H830" s="16"/>
    </row>
    <row r="831" customFormat="false" ht="15" hidden="false" customHeight="false" outlineLevel="0" collapsed="false">
      <c r="A831" s="10" t="s">
        <v>2787</v>
      </c>
      <c r="B831" s="12" t="n">
        <f aca="false">COUNTIF(選手一覧!$C$7:$C$2738,A831)</f>
        <v>1</v>
      </c>
      <c r="C831" s="14" t="n">
        <f aca="false">COUNTIFS(選手一覧!$C$7:$C$2738,A831,選手一覧!$K$7:$K$2738,"&lt;=100")</f>
        <v>0</v>
      </c>
      <c r="D831" s="14" t="n">
        <f aca="false">COUNTIFS(選手一覧!$C$7:$C$2738,A831,選手一覧!$E$7:$E$2738,"&lt;=100")</f>
        <v>0</v>
      </c>
      <c r="E831" s="14" t="n">
        <f aca="false">COUNTIFS(選手一覧!$C$7:$C$2738,A831,選手一覧!$G$7:$G$2738,"&lt;=100")</f>
        <v>0</v>
      </c>
      <c r="F831" s="14" t="n">
        <f aca="false">COUNTIFS(選手一覧!$C$7:$C$2738,A831,選手一覧!$I$7:$I$2738,"&lt;=100")</f>
        <v>0</v>
      </c>
      <c r="G831" s="13" t="n">
        <f aca="false">_xlfn.MINIFS(選手一覧!$K$7:$K$2738,選手一覧!$C$7:$C$2738,A831)</f>
        <v>942</v>
      </c>
      <c r="H831" s="16"/>
    </row>
    <row r="832" customFormat="false" ht="15" hidden="false" customHeight="false" outlineLevel="0" collapsed="false">
      <c r="A832" s="10" t="s">
        <v>2792</v>
      </c>
      <c r="B832" s="12" t="n">
        <f aca="false">COUNTIF(選手一覧!$C$7:$C$2738,A832)</f>
        <v>1</v>
      </c>
      <c r="C832" s="14" t="n">
        <f aca="false">COUNTIFS(選手一覧!$C$7:$C$2738,A832,選手一覧!$K$7:$K$2738,"&lt;=100")</f>
        <v>0</v>
      </c>
      <c r="D832" s="14" t="n">
        <f aca="false">COUNTIFS(選手一覧!$C$7:$C$2738,A832,選手一覧!$E$7:$E$2738,"&lt;=100")</f>
        <v>0</v>
      </c>
      <c r="E832" s="14" t="n">
        <f aca="false">COUNTIFS(選手一覧!$C$7:$C$2738,A832,選手一覧!$G$7:$G$2738,"&lt;=100")</f>
        <v>0</v>
      </c>
      <c r="F832" s="14" t="n">
        <f aca="false">COUNTIFS(選手一覧!$C$7:$C$2738,A832,選手一覧!$I$7:$I$2738,"&lt;=100")</f>
        <v>0</v>
      </c>
      <c r="G832" s="13" t="n">
        <f aca="false">_xlfn.MINIFS(選手一覧!$K$7:$K$2738,選手一覧!$C$7:$C$2738,A832)</f>
        <v>943</v>
      </c>
      <c r="H832" s="16"/>
    </row>
    <row r="833" customFormat="false" ht="15" hidden="false" customHeight="false" outlineLevel="0" collapsed="false">
      <c r="A833" s="10" t="s">
        <v>2794</v>
      </c>
      <c r="B833" s="12" t="n">
        <f aca="false">COUNTIF(選手一覧!$C$7:$C$2738,A833)</f>
        <v>1</v>
      </c>
      <c r="C833" s="14" t="n">
        <f aca="false">COUNTIFS(選手一覧!$C$7:$C$2738,A833,選手一覧!$K$7:$K$2738,"&lt;=100")</f>
        <v>0</v>
      </c>
      <c r="D833" s="14" t="n">
        <f aca="false">COUNTIFS(選手一覧!$C$7:$C$2738,A833,選手一覧!$E$7:$E$2738,"&lt;=100")</f>
        <v>0</v>
      </c>
      <c r="E833" s="14" t="n">
        <f aca="false">COUNTIFS(選手一覧!$C$7:$C$2738,A833,選手一覧!$G$7:$G$2738,"&lt;=100")</f>
        <v>0</v>
      </c>
      <c r="F833" s="14" t="n">
        <f aca="false">COUNTIFS(選手一覧!$C$7:$C$2738,A833,選手一覧!$I$7:$I$2738,"&lt;=100")</f>
        <v>0</v>
      </c>
      <c r="G833" s="13" t="n">
        <f aca="false">_xlfn.MINIFS(選手一覧!$K$7:$K$2738,選手一覧!$C$7:$C$2738,A833)</f>
        <v>944</v>
      </c>
      <c r="H833" s="16"/>
    </row>
    <row r="834" customFormat="false" ht="15" hidden="false" customHeight="false" outlineLevel="0" collapsed="false">
      <c r="A834" s="10" t="s">
        <v>2796</v>
      </c>
      <c r="B834" s="12" t="n">
        <f aca="false">COUNTIF(選手一覧!$C$7:$C$2738,A834)</f>
        <v>1</v>
      </c>
      <c r="C834" s="14" t="n">
        <f aca="false">COUNTIFS(選手一覧!$C$7:$C$2738,A834,選手一覧!$K$7:$K$2738,"&lt;=100")</f>
        <v>0</v>
      </c>
      <c r="D834" s="14" t="n">
        <f aca="false">COUNTIFS(選手一覧!$C$7:$C$2738,A834,選手一覧!$E$7:$E$2738,"&lt;=100")</f>
        <v>0</v>
      </c>
      <c r="E834" s="14" t="n">
        <f aca="false">COUNTIFS(選手一覧!$C$7:$C$2738,A834,選手一覧!$G$7:$G$2738,"&lt;=100")</f>
        <v>0</v>
      </c>
      <c r="F834" s="14" t="n">
        <f aca="false">COUNTIFS(選手一覧!$C$7:$C$2738,A834,選手一覧!$I$7:$I$2738,"&lt;=100")</f>
        <v>0</v>
      </c>
      <c r="G834" s="13" t="n">
        <f aca="false">_xlfn.MINIFS(選手一覧!$K$7:$K$2738,選手一覧!$C$7:$C$2738,A834)</f>
        <v>945</v>
      </c>
      <c r="H834" s="16"/>
    </row>
    <row r="835" customFormat="false" ht="15" hidden="false" customHeight="false" outlineLevel="0" collapsed="false">
      <c r="A835" s="10" t="s">
        <v>2800</v>
      </c>
      <c r="B835" s="12" t="n">
        <f aca="false">COUNTIF(選手一覧!$C$7:$C$2738,A835)</f>
        <v>1</v>
      </c>
      <c r="C835" s="14" t="n">
        <f aca="false">COUNTIFS(選手一覧!$C$7:$C$2738,A835,選手一覧!$K$7:$K$2738,"&lt;=100")</f>
        <v>0</v>
      </c>
      <c r="D835" s="14" t="n">
        <f aca="false">COUNTIFS(選手一覧!$C$7:$C$2738,A835,選手一覧!$E$7:$E$2738,"&lt;=100")</f>
        <v>0</v>
      </c>
      <c r="E835" s="14" t="n">
        <f aca="false">COUNTIFS(選手一覧!$C$7:$C$2738,A835,選手一覧!$G$7:$G$2738,"&lt;=100")</f>
        <v>0</v>
      </c>
      <c r="F835" s="14" t="n">
        <f aca="false">COUNTIFS(選手一覧!$C$7:$C$2738,A835,選手一覧!$I$7:$I$2738,"&lt;=100")</f>
        <v>0</v>
      </c>
      <c r="G835" s="13" t="n">
        <f aca="false">_xlfn.MINIFS(選手一覧!$K$7:$K$2738,選手一覧!$C$7:$C$2738,A835)</f>
        <v>947</v>
      </c>
      <c r="H835" s="16"/>
    </row>
    <row r="836" customFormat="false" ht="15" hidden="false" customHeight="false" outlineLevel="0" collapsed="false">
      <c r="A836" s="10" t="s">
        <v>2805</v>
      </c>
      <c r="B836" s="12" t="n">
        <f aca="false">COUNTIF(選手一覧!$C$7:$C$2738,A836)</f>
        <v>1</v>
      </c>
      <c r="C836" s="14" t="n">
        <f aca="false">COUNTIFS(選手一覧!$C$7:$C$2738,A836,選手一覧!$K$7:$K$2738,"&lt;=100")</f>
        <v>0</v>
      </c>
      <c r="D836" s="14" t="n">
        <f aca="false">COUNTIFS(選手一覧!$C$7:$C$2738,A836,選手一覧!$E$7:$E$2738,"&lt;=100")</f>
        <v>0</v>
      </c>
      <c r="E836" s="14" t="n">
        <f aca="false">COUNTIFS(選手一覧!$C$7:$C$2738,A836,選手一覧!$G$7:$G$2738,"&lt;=100")</f>
        <v>0</v>
      </c>
      <c r="F836" s="14" t="n">
        <f aca="false">COUNTIFS(選手一覧!$C$7:$C$2738,A836,選手一覧!$I$7:$I$2738,"&lt;=100")</f>
        <v>0</v>
      </c>
      <c r="G836" s="13" t="n">
        <f aca="false">_xlfn.MINIFS(選手一覧!$K$7:$K$2738,選手一覧!$C$7:$C$2738,A836)</f>
        <v>949</v>
      </c>
      <c r="H836" s="16"/>
    </row>
    <row r="837" customFormat="false" ht="15" hidden="false" customHeight="false" outlineLevel="0" collapsed="false">
      <c r="A837" s="10" t="s">
        <v>2818</v>
      </c>
      <c r="B837" s="12" t="n">
        <f aca="false">COUNTIF(選手一覧!$C$7:$C$2738,A837)</f>
        <v>1</v>
      </c>
      <c r="C837" s="14" t="n">
        <f aca="false">COUNTIFS(選手一覧!$C$7:$C$2738,A837,選手一覧!$K$7:$K$2738,"&lt;=100")</f>
        <v>0</v>
      </c>
      <c r="D837" s="14" t="n">
        <f aca="false">COUNTIFS(選手一覧!$C$7:$C$2738,A837,選手一覧!$E$7:$E$2738,"&lt;=100")</f>
        <v>0</v>
      </c>
      <c r="E837" s="14" t="n">
        <f aca="false">COUNTIFS(選手一覧!$C$7:$C$2738,A837,選手一覧!$G$7:$G$2738,"&lt;=100")</f>
        <v>0</v>
      </c>
      <c r="F837" s="14" t="n">
        <f aca="false">COUNTIFS(選手一覧!$C$7:$C$2738,A837,選手一覧!$I$7:$I$2738,"&lt;=100")</f>
        <v>0</v>
      </c>
      <c r="G837" s="13" t="n">
        <f aca="false">_xlfn.MINIFS(選手一覧!$K$7:$K$2738,選手一覧!$C$7:$C$2738,A837)</f>
        <v>955</v>
      </c>
      <c r="H837" s="16"/>
    </row>
    <row r="838" customFormat="false" ht="15" hidden="false" customHeight="false" outlineLevel="0" collapsed="false">
      <c r="A838" s="10" t="s">
        <v>2822</v>
      </c>
      <c r="B838" s="12" t="n">
        <f aca="false">COUNTIF(選手一覧!$C$7:$C$2738,A838)</f>
        <v>1</v>
      </c>
      <c r="C838" s="14" t="n">
        <f aca="false">COUNTIFS(選手一覧!$C$7:$C$2738,A838,選手一覧!$K$7:$K$2738,"&lt;=100")</f>
        <v>0</v>
      </c>
      <c r="D838" s="14" t="n">
        <f aca="false">COUNTIFS(選手一覧!$C$7:$C$2738,A838,選手一覧!$E$7:$E$2738,"&lt;=100")</f>
        <v>0</v>
      </c>
      <c r="E838" s="14" t="n">
        <f aca="false">COUNTIFS(選手一覧!$C$7:$C$2738,A838,選手一覧!$G$7:$G$2738,"&lt;=100")</f>
        <v>0</v>
      </c>
      <c r="F838" s="14" t="n">
        <f aca="false">COUNTIFS(選手一覧!$C$7:$C$2738,A838,選手一覧!$I$7:$I$2738,"&lt;=100")</f>
        <v>0</v>
      </c>
      <c r="G838" s="13" t="n">
        <f aca="false">_xlfn.MINIFS(選手一覧!$K$7:$K$2738,選手一覧!$C$7:$C$2738,A838)</f>
        <v>957</v>
      </c>
      <c r="H838" s="16"/>
    </row>
    <row r="839" customFormat="false" ht="15" hidden="false" customHeight="false" outlineLevel="0" collapsed="false">
      <c r="A839" s="10" t="s">
        <v>2827</v>
      </c>
      <c r="B839" s="12" t="n">
        <f aca="false">COUNTIF(選手一覧!$C$7:$C$2738,A839)</f>
        <v>1</v>
      </c>
      <c r="C839" s="14" t="n">
        <f aca="false">COUNTIFS(選手一覧!$C$7:$C$2738,A839,選手一覧!$K$7:$K$2738,"&lt;=100")</f>
        <v>0</v>
      </c>
      <c r="D839" s="14" t="n">
        <f aca="false">COUNTIFS(選手一覧!$C$7:$C$2738,A839,選手一覧!$E$7:$E$2738,"&lt;=100")</f>
        <v>0</v>
      </c>
      <c r="E839" s="14" t="n">
        <f aca="false">COUNTIFS(選手一覧!$C$7:$C$2738,A839,選手一覧!$G$7:$G$2738,"&lt;=100")</f>
        <v>0</v>
      </c>
      <c r="F839" s="14" t="n">
        <f aca="false">COUNTIFS(選手一覧!$C$7:$C$2738,A839,選手一覧!$I$7:$I$2738,"&lt;=100")</f>
        <v>0</v>
      </c>
      <c r="G839" s="13" t="n">
        <f aca="false">_xlfn.MINIFS(選手一覧!$K$7:$K$2738,選手一覧!$C$7:$C$2738,A839)</f>
        <v>958</v>
      </c>
      <c r="H839" s="16"/>
    </row>
    <row r="840" customFormat="false" ht="15" hidden="false" customHeight="false" outlineLevel="0" collapsed="false">
      <c r="A840" s="10" t="s">
        <v>2835</v>
      </c>
      <c r="B840" s="12" t="n">
        <f aca="false">COUNTIF(選手一覧!$C$7:$C$2738,A840)</f>
        <v>1</v>
      </c>
      <c r="C840" s="14" t="n">
        <f aca="false">COUNTIFS(選手一覧!$C$7:$C$2738,A840,選手一覧!$K$7:$K$2738,"&lt;=100")</f>
        <v>0</v>
      </c>
      <c r="D840" s="14" t="n">
        <f aca="false">COUNTIFS(選手一覧!$C$7:$C$2738,A840,選手一覧!$E$7:$E$2738,"&lt;=100")</f>
        <v>0</v>
      </c>
      <c r="E840" s="14" t="n">
        <f aca="false">COUNTIFS(選手一覧!$C$7:$C$2738,A840,選手一覧!$G$7:$G$2738,"&lt;=100")</f>
        <v>0</v>
      </c>
      <c r="F840" s="14" t="n">
        <f aca="false">COUNTIFS(選手一覧!$C$7:$C$2738,A840,選手一覧!$I$7:$I$2738,"&lt;=100")</f>
        <v>0</v>
      </c>
      <c r="G840" s="13" t="n">
        <f aca="false">_xlfn.MINIFS(選手一覧!$K$7:$K$2738,選手一覧!$C$7:$C$2738,A840)</f>
        <v>960</v>
      </c>
      <c r="H840" s="16"/>
    </row>
    <row r="841" customFormat="false" ht="15" hidden="false" customHeight="false" outlineLevel="0" collapsed="false">
      <c r="A841" s="10" t="s">
        <v>2840</v>
      </c>
      <c r="B841" s="12" t="n">
        <f aca="false">COUNTIF(選手一覧!$C$7:$C$2738,A841)</f>
        <v>1</v>
      </c>
      <c r="C841" s="14" t="n">
        <f aca="false">COUNTIFS(選手一覧!$C$7:$C$2738,A841,選手一覧!$K$7:$K$2738,"&lt;=100")</f>
        <v>0</v>
      </c>
      <c r="D841" s="14" t="n">
        <f aca="false">COUNTIFS(選手一覧!$C$7:$C$2738,A841,選手一覧!$E$7:$E$2738,"&lt;=100")</f>
        <v>0</v>
      </c>
      <c r="E841" s="14" t="n">
        <f aca="false">COUNTIFS(選手一覧!$C$7:$C$2738,A841,選手一覧!$G$7:$G$2738,"&lt;=100")</f>
        <v>0</v>
      </c>
      <c r="F841" s="14" t="n">
        <f aca="false">COUNTIFS(選手一覧!$C$7:$C$2738,A841,選手一覧!$I$7:$I$2738,"&lt;=100")</f>
        <v>0</v>
      </c>
      <c r="G841" s="13" t="n">
        <f aca="false">_xlfn.MINIFS(選手一覧!$K$7:$K$2738,選手一覧!$C$7:$C$2738,A841)</f>
        <v>963</v>
      </c>
      <c r="H841" s="16"/>
    </row>
    <row r="842" customFormat="false" ht="15" hidden="false" customHeight="false" outlineLevel="0" collapsed="false">
      <c r="A842" s="10" t="s">
        <v>2842</v>
      </c>
      <c r="B842" s="12" t="n">
        <f aca="false">COUNTIF(選手一覧!$C$7:$C$2738,A842)</f>
        <v>1</v>
      </c>
      <c r="C842" s="14" t="n">
        <f aca="false">COUNTIFS(選手一覧!$C$7:$C$2738,A842,選手一覧!$K$7:$K$2738,"&lt;=100")</f>
        <v>0</v>
      </c>
      <c r="D842" s="14" t="n">
        <f aca="false">COUNTIFS(選手一覧!$C$7:$C$2738,A842,選手一覧!$E$7:$E$2738,"&lt;=100")</f>
        <v>0</v>
      </c>
      <c r="E842" s="14" t="n">
        <f aca="false">COUNTIFS(選手一覧!$C$7:$C$2738,A842,選手一覧!$G$7:$G$2738,"&lt;=100")</f>
        <v>0</v>
      </c>
      <c r="F842" s="14" t="n">
        <f aca="false">COUNTIFS(選手一覧!$C$7:$C$2738,A842,選手一覧!$I$7:$I$2738,"&lt;=100")</f>
        <v>0</v>
      </c>
      <c r="G842" s="13" t="n">
        <f aca="false">_xlfn.MINIFS(選手一覧!$K$7:$K$2738,選手一覧!$C$7:$C$2738,A842)</f>
        <v>963</v>
      </c>
      <c r="H842" s="16"/>
    </row>
    <row r="843" customFormat="false" ht="15" hidden="false" customHeight="false" outlineLevel="0" collapsed="false">
      <c r="A843" s="10" t="s">
        <v>2846</v>
      </c>
      <c r="B843" s="12" t="n">
        <f aca="false">COUNTIF(選手一覧!$C$7:$C$2738,A843)</f>
        <v>1</v>
      </c>
      <c r="C843" s="14" t="n">
        <f aca="false">COUNTIFS(選手一覧!$C$7:$C$2738,A843,選手一覧!$K$7:$K$2738,"&lt;=100")</f>
        <v>0</v>
      </c>
      <c r="D843" s="14" t="n">
        <f aca="false">COUNTIFS(選手一覧!$C$7:$C$2738,A843,選手一覧!$E$7:$E$2738,"&lt;=100")</f>
        <v>0</v>
      </c>
      <c r="E843" s="14" t="n">
        <f aca="false">COUNTIFS(選手一覧!$C$7:$C$2738,A843,選手一覧!$G$7:$G$2738,"&lt;=100")</f>
        <v>0</v>
      </c>
      <c r="F843" s="14" t="n">
        <f aca="false">COUNTIFS(選手一覧!$C$7:$C$2738,A843,選手一覧!$I$7:$I$2738,"&lt;=100")</f>
        <v>0</v>
      </c>
      <c r="G843" s="13" t="n">
        <f aca="false">_xlfn.MINIFS(選手一覧!$K$7:$K$2738,選手一覧!$C$7:$C$2738,A843)</f>
        <v>965</v>
      </c>
      <c r="H843" s="16"/>
    </row>
    <row r="844" customFormat="false" ht="15" hidden="false" customHeight="false" outlineLevel="0" collapsed="false">
      <c r="A844" s="10" t="s">
        <v>2849</v>
      </c>
      <c r="B844" s="12" t="n">
        <f aca="false">COUNTIF(選手一覧!$C$7:$C$2738,A844)</f>
        <v>1</v>
      </c>
      <c r="C844" s="14" t="n">
        <f aca="false">COUNTIFS(選手一覧!$C$7:$C$2738,A844,選手一覧!$K$7:$K$2738,"&lt;=100")</f>
        <v>0</v>
      </c>
      <c r="D844" s="14" t="n">
        <f aca="false">COUNTIFS(選手一覧!$C$7:$C$2738,A844,選手一覧!$E$7:$E$2738,"&lt;=100")</f>
        <v>0</v>
      </c>
      <c r="E844" s="14" t="n">
        <f aca="false">COUNTIFS(選手一覧!$C$7:$C$2738,A844,選手一覧!$G$7:$G$2738,"&lt;=100")</f>
        <v>0</v>
      </c>
      <c r="F844" s="14" t="n">
        <f aca="false">COUNTIFS(選手一覧!$C$7:$C$2738,A844,選手一覧!$I$7:$I$2738,"&lt;=100")</f>
        <v>0</v>
      </c>
      <c r="G844" s="13" t="n">
        <f aca="false">_xlfn.MINIFS(選手一覧!$K$7:$K$2738,選手一覧!$C$7:$C$2738,A844)</f>
        <v>966</v>
      </c>
      <c r="H844" s="16"/>
    </row>
    <row r="845" customFormat="false" ht="15" hidden="false" customHeight="false" outlineLevel="0" collapsed="false">
      <c r="A845" s="10" t="s">
        <v>2852</v>
      </c>
      <c r="B845" s="12" t="n">
        <f aca="false">COUNTIF(選手一覧!$C$7:$C$2738,A845)</f>
        <v>1</v>
      </c>
      <c r="C845" s="14" t="n">
        <f aca="false">COUNTIFS(選手一覧!$C$7:$C$2738,A845,選手一覧!$K$7:$K$2738,"&lt;=100")</f>
        <v>0</v>
      </c>
      <c r="D845" s="14" t="n">
        <f aca="false">COUNTIFS(選手一覧!$C$7:$C$2738,A845,選手一覧!$E$7:$E$2738,"&lt;=100")</f>
        <v>0</v>
      </c>
      <c r="E845" s="14" t="n">
        <f aca="false">COUNTIFS(選手一覧!$C$7:$C$2738,A845,選手一覧!$G$7:$G$2738,"&lt;=100")</f>
        <v>0</v>
      </c>
      <c r="F845" s="14" t="n">
        <f aca="false">COUNTIFS(選手一覧!$C$7:$C$2738,A845,選手一覧!$I$7:$I$2738,"&lt;=100")</f>
        <v>0</v>
      </c>
      <c r="G845" s="13" t="n">
        <f aca="false">_xlfn.MINIFS(選手一覧!$K$7:$K$2738,選手一覧!$C$7:$C$2738,A845)</f>
        <v>967</v>
      </c>
      <c r="H845" s="16"/>
    </row>
    <row r="846" customFormat="false" ht="15" hidden="false" customHeight="false" outlineLevel="0" collapsed="false">
      <c r="A846" s="10" t="s">
        <v>2855</v>
      </c>
      <c r="B846" s="12" t="n">
        <f aca="false">COUNTIF(選手一覧!$C$7:$C$2738,A846)</f>
        <v>1</v>
      </c>
      <c r="C846" s="14" t="n">
        <f aca="false">COUNTIFS(選手一覧!$C$7:$C$2738,A846,選手一覧!$K$7:$K$2738,"&lt;=100")</f>
        <v>0</v>
      </c>
      <c r="D846" s="14" t="n">
        <f aca="false">COUNTIFS(選手一覧!$C$7:$C$2738,A846,選手一覧!$E$7:$E$2738,"&lt;=100")</f>
        <v>0</v>
      </c>
      <c r="E846" s="14" t="n">
        <f aca="false">COUNTIFS(選手一覧!$C$7:$C$2738,A846,選手一覧!$G$7:$G$2738,"&lt;=100")</f>
        <v>0</v>
      </c>
      <c r="F846" s="14" t="n">
        <f aca="false">COUNTIFS(選手一覧!$C$7:$C$2738,A846,選手一覧!$I$7:$I$2738,"&lt;=100")</f>
        <v>0</v>
      </c>
      <c r="G846" s="13" t="n">
        <f aca="false">_xlfn.MINIFS(選手一覧!$K$7:$K$2738,選手一覧!$C$7:$C$2738,A846)</f>
        <v>968</v>
      </c>
      <c r="H846" s="16"/>
    </row>
    <row r="847" customFormat="false" ht="15" hidden="false" customHeight="false" outlineLevel="0" collapsed="false">
      <c r="A847" s="10" t="s">
        <v>2858</v>
      </c>
      <c r="B847" s="12" t="n">
        <f aca="false">COUNTIF(選手一覧!$C$7:$C$2738,A847)</f>
        <v>1</v>
      </c>
      <c r="C847" s="14" t="n">
        <f aca="false">COUNTIFS(選手一覧!$C$7:$C$2738,A847,選手一覧!$K$7:$K$2738,"&lt;=100")</f>
        <v>0</v>
      </c>
      <c r="D847" s="14" t="n">
        <f aca="false">COUNTIFS(選手一覧!$C$7:$C$2738,A847,選手一覧!$E$7:$E$2738,"&lt;=100")</f>
        <v>0</v>
      </c>
      <c r="E847" s="14" t="n">
        <f aca="false">COUNTIFS(選手一覧!$C$7:$C$2738,A847,選手一覧!$G$7:$G$2738,"&lt;=100")</f>
        <v>0</v>
      </c>
      <c r="F847" s="14" t="n">
        <f aca="false">COUNTIFS(選手一覧!$C$7:$C$2738,A847,選手一覧!$I$7:$I$2738,"&lt;=100")</f>
        <v>0</v>
      </c>
      <c r="G847" s="13" t="n">
        <f aca="false">_xlfn.MINIFS(選手一覧!$K$7:$K$2738,選手一覧!$C$7:$C$2738,A847)</f>
        <v>969</v>
      </c>
      <c r="H847" s="16"/>
    </row>
    <row r="848" customFormat="false" ht="15" hidden="false" customHeight="false" outlineLevel="0" collapsed="false">
      <c r="A848" s="10" t="s">
        <v>2860</v>
      </c>
      <c r="B848" s="12" t="n">
        <f aca="false">COUNTIF(選手一覧!$C$7:$C$2738,A848)</f>
        <v>1</v>
      </c>
      <c r="C848" s="14" t="n">
        <f aca="false">COUNTIFS(選手一覧!$C$7:$C$2738,A848,選手一覧!$K$7:$K$2738,"&lt;=100")</f>
        <v>0</v>
      </c>
      <c r="D848" s="14" t="n">
        <f aca="false">COUNTIFS(選手一覧!$C$7:$C$2738,A848,選手一覧!$E$7:$E$2738,"&lt;=100")</f>
        <v>0</v>
      </c>
      <c r="E848" s="14" t="n">
        <f aca="false">COUNTIFS(選手一覧!$C$7:$C$2738,A848,選手一覧!$G$7:$G$2738,"&lt;=100")</f>
        <v>0</v>
      </c>
      <c r="F848" s="14" t="n">
        <f aca="false">COUNTIFS(選手一覧!$C$7:$C$2738,A848,選手一覧!$I$7:$I$2738,"&lt;=100")</f>
        <v>0</v>
      </c>
      <c r="G848" s="13" t="n">
        <f aca="false">_xlfn.MINIFS(選手一覧!$K$7:$K$2738,選手一覧!$C$7:$C$2738,A848)</f>
        <v>969</v>
      </c>
      <c r="H848" s="16"/>
    </row>
    <row r="849" customFormat="false" ht="15" hidden="false" customHeight="false" outlineLevel="0" collapsed="false">
      <c r="A849" s="10" t="s">
        <v>2862</v>
      </c>
      <c r="B849" s="12" t="n">
        <f aca="false">COUNTIF(選手一覧!$C$7:$C$2738,A849)</f>
        <v>1</v>
      </c>
      <c r="C849" s="14" t="n">
        <f aca="false">COUNTIFS(選手一覧!$C$7:$C$2738,A849,選手一覧!$K$7:$K$2738,"&lt;=100")</f>
        <v>0</v>
      </c>
      <c r="D849" s="14" t="n">
        <f aca="false">COUNTIFS(選手一覧!$C$7:$C$2738,A849,選手一覧!$E$7:$E$2738,"&lt;=100")</f>
        <v>0</v>
      </c>
      <c r="E849" s="14" t="n">
        <f aca="false">COUNTIFS(選手一覧!$C$7:$C$2738,A849,選手一覧!$G$7:$G$2738,"&lt;=100")</f>
        <v>0</v>
      </c>
      <c r="F849" s="14" t="n">
        <f aca="false">COUNTIFS(選手一覧!$C$7:$C$2738,A849,選手一覧!$I$7:$I$2738,"&lt;=100")</f>
        <v>0</v>
      </c>
      <c r="G849" s="13" t="n">
        <f aca="false">_xlfn.MINIFS(選手一覧!$K$7:$K$2738,選手一覧!$C$7:$C$2738,A849)</f>
        <v>970</v>
      </c>
      <c r="H849" s="16"/>
    </row>
    <row r="850" customFormat="false" ht="15" hidden="false" customHeight="false" outlineLevel="0" collapsed="false">
      <c r="A850" s="10" t="s">
        <v>2864</v>
      </c>
      <c r="B850" s="12" t="n">
        <f aca="false">COUNTIF(選手一覧!$C$7:$C$2738,A850)</f>
        <v>1</v>
      </c>
      <c r="C850" s="14" t="n">
        <f aca="false">COUNTIFS(選手一覧!$C$7:$C$2738,A850,選手一覧!$K$7:$K$2738,"&lt;=100")</f>
        <v>0</v>
      </c>
      <c r="D850" s="14" t="n">
        <f aca="false">COUNTIFS(選手一覧!$C$7:$C$2738,A850,選手一覧!$E$7:$E$2738,"&lt;=100")</f>
        <v>0</v>
      </c>
      <c r="E850" s="14" t="n">
        <f aca="false">COUNTIFS(選手一覧!$C$7:$C$2738,A850,選手一覧!$G$7:$G$2738,"&lt;=100")</f>
        <v>0</v>
      </c>
      <c r="F850" s="14" t="n">
        <f aca="false">COUNTIFS(選手一覧!$C$7:$C$2738,A850,選手一覧!$I$7:$I$2738,"&lt;=100")</f>
        <v>0</v>
      </c>
      <c r="G850" s="13" t="n">
        <f aca="false">_xlfn.MINIFS(選手一覧!$K$7:$K$2738,選手一覧!$C$7:$C$2738,A850)</f>
        <v>970</v>
      </c>
      <c r="H850" s="16"/>
    </row>
    <row r="851" customFormat="false" ht="15" hidden="false" customHeight="false" outlineLevel="0" collapsed="false">
      <c r="A851" s="10" t="s">
        <v>2881</v>
      </c>
      <c r="B851" s="12" t="n">
        <f aca="false">COUNTIF(選手一覧!$C$7:$C$2738,A851)</f>
        <v>1</v>
      </c>
      <c r="C851" s="14" t="n">
        <f aca="false">COUNTIFS(選手一覧!$C$7:$C$2738,A851,選手一覧!$K$7:$K$2738,"&lt;=100")</f>
        <v>0</v>
      </c>
      <c r="D851" s="14" t="n">
        <f aca="false">COUNTIFS(選手一覧!$C$7:$C$2738,A851,選手一覧!$E$7:$E$2738,"&lt;=100")</f>
        <v>0</v>
      </c>
      <c r="E851" s="14" t="n">
        <f aca="false">COUNTIFS(選手一覧!$C$7:$C$2738,A851,選手一覧!$G$7:$G$2738,"&lt;=100")</f>
        <v>0</v>
      </c>
      <c r="F851" s="14" t="n">
        <f aca="false">COUNTIFS(選手一覧!$C$7:$C$2738,A851,選手一覧!$I$7:$I$2738,"&lt;=100")</f>
        <v>0</v>
      </c>
      <c r="G851" s="13" t="n">
        <f aca="false">_xlfn.MINIFS(選手一覧!$K$7:$K$2738,選手一覧!$C$7:$C$2738,A851)</f>
        <v>977</v>
      </c>
      <c r="H851" s="16"/>
    </row>
    <row r="852" customFormat="false" ht="15" hidden="false" customHeight="false" outlineLevel="0" collapsed="false">
      <c r="A852" s="10" t="s">
        <v>2885</v>
      </c>
      <c r="B852" s="12" t="n">
        <f aca="false">COUNTIF(選手一覧!$C$7:$C$2738,A852)</f>
        <v>1</v>
      </c>
      <c r="C852" s="14" t="n">
        <f aca="false">COUNTIFS(選手一覧!$C$7:$C$2738,A852,選手一覧!$K$7:$K$2738,"&lt;=100")</f>
        <v>0</v>
      </c>
      <c r="D852" s="14" t="n">
        <f aca="false">COUNTIFS(選手一覧!$C$7:$C$2738,A852,選手一覧!$E$7:$E$2738,"&lt;=100")</f>
        <v>0</v>
      </c>
      <c r="E852" s="14" t="n">
        <f aca="false">COUNTIFS(選手一覧!$C$7:$C$2738,A852,選手一覧!$G$7:$G$2738,"&lt;=100")</f>
        <v>0</v>
      </c>
      <c r="F852" s="14" t="n">
        <f aca="false">COUNTIFS(選手一覧!$C$7:$C$2738,A852,選手一覧!$I$7:$I$2738,"&lt;=100")</f>
        <v>0</v>
      </c>
      <c r="G852" s="13" t="n">
        <f aca="false">_xlfn.MINIFS(選手一覧!$K$7:$K$2738,選手一覧!$C$7:$C$2738,A852)</f>
        <v>979</v>
      </c>
      <c r="H852" s="16"/>
    </row>
    <row r="853" customFormat="false" ht="15" hidden="false" customHeight="false" outlineLevel="0" collapsed="false">
      <c r="A853" s="10" t="s">
        <v>2889</v>
      </c>
      <c r="B853" s="12" t="n">
        <f aca="false">COUNTIF(選手一覧!$C$7:$C$2738,A853)</f>
        <v>1</v>
      </c>
      <c r="C853" s="14" t="n">
        <f aca="false">COUNTIFS(選手一覧!$C$7:$C$2738,A853,選手一覧!$K$7:$K$2738,"&lt;=100")</f>
        <v>0</v>
      </c>
      <c r="D853" s="14" t="n">
        <f aca="false">COUNTIFS(選手一覧!$C$7:$C$2738,A853,選手一覧!$E$7:$E$2738,"&lt;=100")</f>
        <v>0</v>
      </c>
      <c r="E853" s="14" t="n">
        <f aca="false">COUNTIFS(選手一覧!$C$7:$C$2738,A853,選手一覧!$G$7:$G$2738,"&lt;=100")</f>
        <v>0</v>
      </c>
      <c r="F853" s="14" t="n">
        <f aca="false">COUNTIFS(選手一覧!$C$7:$C$2738,A853,選手一覧!$I$7:$I$2738,"&lt;=100")</f>
        <v>0</v>
      </c>
      <c r="G853" s="13" t="n">
        <f aca="false">_xlfn.MINIFS(選手一覧!$K$7:$K$2738,選手一覧!$C$7:$C$2738,A853)</f>
        <v>981</v>
      </c>
      <c r="H853" s="16"/>
    </row>
    <row r="854" customFormat="false" ht="15" hidden="false" customHeight="false" outlineLevel="0" collapsed="false">
      <c r="A854" s="10" t="s">
        <v>2894</v>
      </c>
      <c r="B854" s="12" t="n">
        <f aca="false">COUNTIF(選手一覧!$C$7:$C$2738,A854)</f>
        <v>1</v>
      </c>
      <c r="C854" s="14" t="n">
        <f aca="false">COUNTIFS(選手一覧!$C$7:$C$2738,A854,選手一覧!$K$7:$K$2738,"&lt;=100")</f>
        <v>0</v>
      </c>
      <c r="D854" s="14" t="n">
        <f aca="false">COUNTIFS(選手一覧!$C$7:$C$2738,A854,選手一覧!$E$7:$E$2738,"&lt;=100")</f>
        <v>0</v>
      </c>
      <c r="E854" s="14" t="n">
        <f aca="false">COUNTIFS(選手一覧!$C$7:$C$2738,A854,選手一覧!$G$7:$G$2738,"&lt;=100")</f>
        <v>0</v>
      </c>
      <c r="F854" s="14" t="n">
        <f aca="false">COUNTIFS(選手一覧!$C$7:$C$2738,A854,選手一覧!$I$7:$I$2738,"&lt;=100")</f>
        <v>0</v>
      </c>
      <c r="G854" s="13" t="n">
        <f aca="false">_xlfn.MINIFS(選手一覧!$K$7:$K$2738,選手一覧!$C$7:$C$2738,A854)</f>
        <v>984</v>
      </c>
      <c r="H854" s="16"/>
    </row>
    <row r="855" customFormat="false" ht="15" hidden="false" customHeight="false" outlineLevel="0" collapsed="false">
      <c r="A855" s="10" t="s">
        <v>2903</v>
      </c>
      <c r="B855" s="12" t="n">
        <f aca="false">COUNTIF(選手一覧!$C$7:$C$2738,A855)</f>
        <v>1</v>
      </c>
      <c r="C855" s="14" t="n">
        <f aca="false">COUNTIFS(選手一覧!$C$7:$C$2738,A855,選手一覧!$K$7:$K$2738,"&lt;=100")</f>
        <v>0</v>
      </c>
      <c r="D855" s="14" t="n">
        <f aca="false">COUNTIFS(選手一覧!$C$7:$C$2738,A855,選手一覧!$E$7:$E$2738,"&lt;=100")</f>
        <v>0</v>
      </c>
      <c r="E855" s="14" t="n">
        <f aca="false">COUNTIFS(選手一覧!$C$7:$C$2738,A855,選手一覧!$G$7:$G$2738,"&lt;=100")</f>
        <v>0</v>
      </c>
      <c r="F855" s="14" t="n">
        <f aca="false">COUNTIFS(選手一覧!$C$7:$C$2738,A855,選手一覧!$I$7:$I$2738,"&lt;=100")</f>
        <v>0</v>
      </c>
      <c r="G855" s="13" t="n">
        <f aca="false">_xlfn.MINIFS(選手一覧!$K$7:$K$2738,選手一覧!$C$7:$C$2738,A855)</f>
        <v>988</v>
      </c>
      <c r="H855" s="16"/>
    </row>
    <row r="856" customFormat="false" ht="15" hidden="false" customHeight="false" outlineLevel="0" collapsed="false">
      <c r="A856" s="10" t="s">
        <v>2906</v>
      </c>
      <c r="B856" s="12" t="n">
        <f aca="false">COUNTIF(選手一覧!$C$7:$C$2738,A856)</f>
        <v>1</v>
      </c>
      <c r="C856" s="14" t="n">
        <f aca="false">COUNTIFS(選手一覧!$C$7:$C$2738,A856,選手一覧!$K$7:$K$2738,"&lt;=100")</f>
        <v>0</v>
      </c>
      <c r="D856" s="14" t="n">
        <f aca="false">COUNTIFS(選手一覧!$C$7:$C$2738,A856,選手一覧!$E$7:$E$2738,"&lt;=100")</f>
        <v>0</v>
      </c>
      <c r="E856" s="14" t="n">
        <f aca="false">COUNTIFS(選手一覧!$C$7:$C$2738,A856,選手一覧!$G$7:$G$2738,"&lt;=100")</f>
        <v>0</v>
      </c>
      <c r="F856" s="14" t="n">
        <f aca="false">COUNTIFS(選手一覧!$C$7:$C$2738,A856,選手一覧!$I$7:$I$2738,"&lt;=100")</f>
        <v>0</v>
      </c>
      <c r="G856" s="13" t="n">
        <f aca="false">_xlfn.MINIFS(選手一覧!$K$7:$K$2738,選手一覧!$C$7:$C$2738,A856)</f>
        <v>989</v>
      </c>
      <c r="H856" s="16"/>
    </row>
    <row r="857" customFormat="false" ht="15" hidden="false" customHeight="false" outlineLevel="0" collapsed="false">
      <c r="A857" s="10" t="s">
        <v>2908</v>
      </c>
      <c r="B857" s="12" t="n">
        <f aca="false">COUNTIF(選手一覧!$C$7:$C$2738,A857)</f>
        <v>1</v>
      </c>
      <c r="C857" s="14" t="n">
        <f aca="false">COUNTIFS(選手一覧!$C$7:$C$2738,A857,選手一覧!$K$7:$K$2738,"&lt;=100")</f>
        <v>0</v>
      </c>
      <c r="D857" s="14" t="n">
        <f aca="false">COUNTIFS(選手一覧!$C$7:$C$2738,A857,選手一覧!$E$7:$E$2738,"&lt;=100")</f>
        <v>0</v>
      </c>
      <c r="E857" s="14" t="n">
        <f aca="false">COUNTIFS(選手一覧!$C$7:$C$2738,A857,選手一覧!$G$7:$G$2738,"&lt;=100")</f>
        <v>0</v>
      </c>
      <c r="F857" s="14" t="n">
        <f aca="false">COUNTIFS(選手一覧!$C$7:$C$2738,A857,選手一覧!$I$7:$I$2738,"&lt;=100")</f>
        <v>0</v>
      </c>
      <c r="G857" s="13" t="n">
        <f aca="false">_xlfn.MINIFS(選手一覧!$K$7:$K$2738,選手一覧!$C$7:$C$2738,A857)</f>
        <v>989</v>
      </c>
      <c r="H857" s="16"/>
    </row>
    <row r="858" customFormat="false" ht="15" hidden="false" customHeight="false" outlineLevel="0" collapsed="false">
      <c r="A858" s="10" t="s">
        <v>2911</v>
      </c>
      <c r="B858" s="12" t="n">
        <f aca="false">COUNTIF(選手一覧!$C$7:$C$2738,A858)</f>
        <v>1</v>
      </c>
      <c r="C858" s="14" t="n">
        <f aca="false">COUNTIFS(選手一覧!$C$7:$C$2738,A858,選手一覧!$K$7:$K$2738,"&lt;=100")</f>
        <v>0</v>
      </c>
      <c r="D858" s="14" t="n">
        <f aca="false">COUNTIFS(選手一覧!$C$7:$C$2738,A858,選手一覧!$E$7:$E$2738,"&lt;=100")</f>
        <v>0</v>
      </c>
      <c r="E858" s="14" t="n">
        <f aca="false">COUNTIFS(選手一覧!$C$7:$C$2738,A858,選手一覧!$G$7:$G$2738,"&lt;=100")</f>
        <v>0</v>
      </c>
      <c r="F858" s="14" t="n">
        <f aca="false">COUNTIFS(選手一覧!$C$7:$C$2738,A858,選手一覧!$I$7:$I$2738,"&lt;=100")</f>
        <v>0</v>
      </c>
      <c r="G858" s="13" t="n">
        <f aca="false">_xlfn.MINIFS(選手一覧!$K$7:$K$2738,選手一覧!$C$7:$C$2738,A858)</f>
        <v>990</v>
      </c>
      <c r="H858" s="16"/>
    </row>
    <row r="859" customFormat="false" ht="15" hidden="false" customHeight="false" outlineLevel="0" collapsed="false">
      <c r="A859" s="10" t="s">
        <v>2914</v>
      </c>
      <c r="B859" s="12" t="n">
        <f aca="false">COUNTIF(選手一覧!$C$7:$C$2738,A859)</f>
        <v>1</v>
      </c>
      <c r="C859" s="14" t="n">
        <f aca="false">COUNTIFS(選手一覧!$C$7:$C$2738,A859,選手一覧!$K$7:$K$2738,"&lt;=100")</f>
        <v>0</v>
      </c>
      <c r="D859" s="14" t="n">
        <f aca="false">COUNTIFS(選手一覧!$C$7:$C$2738,A859,選手一覧!$E$7:$E$2738,"&lt;=100")</f>
        <v>0</v>
      </c>
      <c r="E859" s="14" t="n">
        <f aca="false">COUNTIFS(選手一覧!$C$7:$C$2738,A859,選手一覧!$G$7:$G$2738,"&lt;=100")</f>
        <v>0</v>
      </c>
      <c r="F859" s="14" t="n">
        <f aca="false">COUNTIFS(選手一覧!$C$7:$C$2738,A859,選手一覧!$I$7:$I$2738,"&lt;=100")</f>
        <v>0</v>
      </c>
      <c r="G859" s="13" t="n">
        <f aca="false">_xlfn.MINIFS(選手一覧!$K$7:$K$2738,選手一覧!$C$7:$C$2738,A859)</f>
        <v>991</v>
      </c>
      <c r="H859" s="16"/>
    </row>
    <row r="860" customFormat="false" ht="15" hidden="false" customHeight="false" outlineLevel="0" collapsed="false">
      <c r="A860" s="10" t="s">
        <v>2919</v>
      </c>
      <c r="B860" s="12" t="n">
        <f aca="false">COUNTIF(選手一覧!$C$7:$C$2738,A860)</f>
        <v>1</v>
      </c>
      <c r="C860" s="14" t="n">
        <f aca="false">COUNTIFS(選手一覧!$C$7:$C$2738,A860,選手一覧!$K$7:$K$2738,"&lt;=100")</f>
        <v>0</v>
      </c>
      <c r="D860" s="14" t="n">
        <f aca="false">COUNTIFS(選手一覧!$C$7:$C$2738,A860,選手一覧!$E$7:$E$2738,"&lt;=100")</f>
        <v>0</v>
      </c>
      <c r="E860" s="14" t="n">
        <f aca="false">COUNTIFS(選手一覧!$C$7:$C$2738,A860,選手一覧!$G$7:$G$2738,"&lt;=100")</f>
        <v>0</v>
      </c>
      <c r="F860" s="14" t="n">
        <f aca="false">COUNTIFS(選手一覧!$C$7:$C$2738,A860,選手一覧!$I$7:$I$2738,"&lt;=100")</f>
        <v>0</v>
      </c>
      <c r="G860" s="13" t="n">
        <f aca="false">_xlfn.MINIFS(選手一覧!$K$7:$K$2738,選手一覧!$C$7:$C$2738,A860)</f>
        <v>993</v>
      </c>
      <c r="H860" s="16"/>
    </row>
    <row r="861" customFormat="false" ht="15" hidden="false" customHeight="false" outlineLevel="0" collapsed="false">
      <c r="A861" s="10" t="s">
        <v>2921</v>
      </c>
      <c r="B861" s="12" t="n">
        <f aca="false">COUNTIF(選手一覧!$C$7:$C$2738,A861)</f>
        <v>1</v>
      </c>
      <c r="C861" s="14" t="n">
        <f aca="false">COUNTIFS(選手一覧!$C$7:$C$2738,A861,選手一覧!$K$7:$K$2738,"&lt;=100")</f>
        <v>0</v>
      </c>
      <c r="D861" s="14" t="n">
        <f aca="false">COUNTIFS(選手一覧!$C$7:$C$2738,A861,選手一覧!$E$7:$E$2738,"&lt;=100")</f>
        <v>0</v>
      </c>
      <c r="E861" s="14" t="n">
        <f aca="false">COUNTIFS(選手一覧!$C$7:$C$2738,A861,選手一覧!$G$7:$G$2738,"&lt;=100")</f>
        <v>0</v>
      </c>
      <c r="F861" s="14" t="n">
        <f aca="false">COUNTIFS(選手一覧!$C$7:$C$2738,A861,選手一覧!$I$7:$I$2738,"&lt;=100")</f>
        <v>0</v>
      </c>
      <c r="G861" s="13" t="n">
        <f aca="false">_xlfn.MINIFS(選手一覧!$K$7:$K$2738,選手一覧!$C$7:$C$2738,A861)</f>
        <v>994</v>
      </c>
      <c r="H861" s="16"/>
    </row>
    <row r="862" customFormat="false" ht="15" hidden="false" customHeight="false" outlineLevel="0" collapsed="false">
      <c r="A862" s="10" t="s">
        <v>2923</v>
      </c>
      <c r="B862" s="12" t="n">
        <f aca="false">COUNTIF(選手一覧!$C$7:$C$2738,A862)</f>
        <v>1</v>
      </c>
      <c r="C862" s="14" t="n">
        <f aca="false">COUNTIFS(選手一覧!$C$7:$C$2738,A862,選手一覧!$K$7:$K$2738,"&lt;=100")</f>
        <v>0</v>
      </c>
      <c r="D862" s="14" t="n">
        <f aca="false">COUNTIFS(選手一覧!$C$7:$C$2738,A862,選手一覧!$E$7:$E$2738,"&lt;=100")</f>
        <v>0</v>
      </c>
      <c r="E862" s="14" t="n">
        <f aca="false">COUNTIFS(選手一覧!$C$7:$C$2738,A862,選手一覧!$G$7:$G$2738,"&lt;=100")</f>
        <v>0</v>
      </c>
      <c r="F862" s="14" t="n">
        <f aca="false">COUNTIFS(選手一覧!$C$7:$C$2738,A862,選手一覧!$I$7:$I$2738,"&lt;=100")</f>
        <v>0</v>
      </c>
      <c r="G862" s="13" t="n">
        <f aca="false">_xlfn.MINIFS(選手一覧!$K$7:$K$2738,選手一覧!$C$7:$C$2738,A862)</f>
        <v>994</v>
      </c>
      <c r="H862" s="16"/>
    </row>
    <row r="863" customFormat="false" ht="15" hidden="false" customHeight="false" outlineLevel="0" collapsed="false">
      <c r="A863" s="10" t="s">
        <v>2925</v>
      </c>
      <c r="B863" s="12" t="n">
        <f aca="false">COUNTIF(選手一覧!$C$7:$C$2738,A863)</f>
        <v>1</v>
      </c>
      <c r="C863" s="14" t="n">
        <f aca="false">COUNTIFS(選手一覧!$C$7:$C$2738,A863,選手一覧!$K$7:$K$2738,"&lt;=100")</f>
        <v>0</v>
      </c>
      <c r="D863" s="14" t="n">
        <f aca="false">COUNTIFS(選手一覧!$C$7:$C$2738,A863,選手一覧!$E$7:$E$2738,"&lt;=100")</f>
        <v>0</v>
      </c>
      <c r="E863" s="14" t="n">
        <f aca="false">COUNTIFS(選手一覧!$C$7:$C$2738,A863,選手一覧!$G$7:$G$2738,"&lt;=100")</f>
        <v>0</v>
      </c>
      <c r="F863" s="14" t="n">
        <f aca="false">COUNTIFS(選手一覧!$C$7:$C$2738,A863,選手一覧!$I$7:$I$2738,"&lt;=100")</f>
        <v>0</v>
      </c>
      <c r="G863" s="13" t="n">
        <f aca="false">_xlfn.MINIFS(選手一覧!$K$7:$K$2738,選手一覧!$C$7:$C$2738,A863)</f>
        <v>995</v>
      </c>
      <c r="H863" s="16"/>
    </row>
    <row r="864" customFormat="false" ht="15" hidden="false" customHeight="false" outlineLevel="0" collapsed="false">
      <c r="A864" s="10" t="s">
        <v>2930</v>
      </c>
      <c r="B864" s="12" t="n">
        <f aca="false">COUNTIF(選手一覧!$C$7:$C$2738,A864)</f>
        <v>1</v>
      </c>
      <c r="C864" s="14" t="n">
        <f aca="false">COUNTIFS(選手一覧!$C$7:$C$2738,A864,選手一覧!$K$7:$K$2738,"&lt;=100")</f>
        <v>0</v>
      </c>
      <c r="D864" s="14" t="n">
        <f aca="false">COUNTIFS(選手一覧!$C$7:$C$2738,A864,選手一覧!$E$7:$E$2738,"&lt;=100")</f>
        <v>0</v>
      </c>
      <c r="E864" s="14" t="n">
        <f aca="false">COUNTIFS(選手一覧!$C$7:$C$2738,A864,選手一覧!$G$7:$G$2738,"&lt;=100")</f>
        <v>0</v>
      </c>
      <c r="F864" s="14" t="n">
        <f aca="false">COUNTIFS(選手一覧!$C$7:$C$2738,A864,選手一覧!$I$7:$I$2738,"&lt;=100")</f>
        <v>0</v>
      </c>
      <c r="G864" s="13" t="n">
        <f aca="false">_xlfn.MINIFS(選手一覧!$K$7:$K$2738,選手一覧!$C$7:$C$2738,A864)</f>
        <v>998</v>
      </c>
      <c r="H864" s="16"/>
    </row>
    <row r="865" customFormat="false" ht="15" hidden="false" customHeight="false" outlineLevel="0" collapsed="false">
      <c r="A865" s="10" t="s">
        <v>2940</v>
      </c>
      <c r="B865" s="12" t="n">
        <f aca="false">COUNTIF(選手一覧!$C$7:$C$2738,A865)</f>
        <v>1</v>
      </c>
      <c r="C865" s="14" t="n">
        <f aca="false">COUNTIFS(選手一覧!$C$7:$C$2738,A865,選手一覧!$K$7:$K$2738,"&lt;=100")</f>
        <v>0</v>
      </c>
      <c r="D865" s="14" t="n">
        <f aca="false">COUNTIFS(選手一覧!$C$7:$C$2738,A865,選手一覧!$E$7:$E$2738,"&lt;=100")</f>
        <v>0</v>
      </c>
      <c r="E865" s="14" t="n">
        <f aca="false">COUNTIFS(選手一覧!$C$7:$C$2738,A865,選手一覧!$G$7:$G$2738,"&lt;=100")</f>
        <v>0</v>
      </c>
      <c r="F865" s="14" t="n">
        <f aca="false">COUNTIFS(選手一覧!$C$7:$C$2738,A865,選手一覧!$I$7:$I$2738,"&lt;=100")</f>
        <v>0</v>
      </c>
      <c r="G865" s="13" t="n">
        <f aca="false">_xlfn.MINIFS(選手一覧!$K$7:$K$2738,選手一覧!$C$7:$C$2738,A865)</f>
        <v>1001</v>
      </c>
      <c r="H865" s="16"/>
    </row>
    <row r="866" customFormat="false" ht="15" hidden="false" customHeight="false" outlineLevel="0" collapsed="false">
      <c r="A866" s="10" t="s">
        <v>2942</v>
      </c>
      <c r="B866" s="12" t="n">
        <f aca="false">COUNTIF(選手一覧!$C$7:$C$2738,A866)</f>
        <v>1</v>
      </c>
      <c r="C866" s="14" t="n">
        <f aca="false">COUNTIFS(選手一覧!$C$7:$C$2738,A866,選手一覧!$K$7:$K$2738,"&lt;=100")</f>
        <v>0</v>
      </c>
      <c r="D866" s="14" t="n">
        <f aca="false">COUNTIFS(選手一覧!$C$7:$C$2738,A866,選手一覧!$E$7:$E$2738,"&lt;=100")</f>
        <v>0</v>
      </c>
      <c r="E866" s="14" t="n">
        <f aca="false">COUNTIFS(選手一覧!$C$7:$C$2738,A866,選手一覧!$G$7:$G$2738,"&lt;=100")</f>
        <v>0</v>
      </c>
      <c r="F866" s="14" t="n">
        <f aca="false">COUNTIFS(選手一覧!$C$7:$C$2738,A866,選手一覧!$I$7:$I$2738,"&lt;=100")</f>
        <v>0</v>
      </c>
      <c r="G866" s="13" t="n">
        <f aca="false">_xlfn.MINIFS(選手一覧!$K$7:$K$2738,選手一覧!$C$7:$C$2738,A866)</f>
        <v>1002</v>
      </c>
      <c r="H866" s="16"/>
    </row>
    <row r="867" customFormat="false" ht="15" hidden="false" customHeight="false" outlineLevel="0" collapsed="false">
      <c r="A867" s="10" t="s">
        <v>2948</v>
      </c>
      <c r="B867" s="12" t="n">
        <f aca="false">COUNTIF(選手一覧!$C$7:$C$2738,A867)</f>
        <v>1</v>
      </c>
      <c r="C867" s="14" t="n">
        <f aca="false">COUNTIFS(選手一覧!$C$7:$C$2738,A867,選手一覧!$K$7:$K$2738,"&lt;=100")</f>
        <v>0</v>
      </c>
      <c r="D867" s="14" t="n">
        <f aca="false">COUNTIFS(選手一覧!$C$7:$C$2738,A867,選手一覧!$E$7:$E$2738,"&lt;=100")</f>
        <v>0</v>
      </c>
      <c r="E867" s="14" t="n">
        <f aca="false">COUNTIFS(選手一覧!$C$7:$C$2738,A867,選手一覧!$G$7:$G$2738,"&lt;=100")</f>
        <v>0</v>
      </c>
      <c r="F867" s="14" t="n">
        <f aca="false">COUNTIFS(選手一覧!$C$7:$C$2738,A867,選手一覧!$I$7:$I$2738,"&lt;=100")</f>
        <v>0</v>
      </c>
      <c r="G867" s="13" t="n">
        <f aca="false">_xlfn.MINIFS(選手一覧!$K$7:$K$2738,選手一覧!$C$7:$C$2738,A867)</f>
        <v>1004</v>
      </c>
      <c r="H867" s="16"/>
    </row>
    <row r="868" customFormat="false" ht="15" hidden="false" customHeight="false" outlineLevel="0" collapsed="false">
      <c r="A868" s="10" t="s">
        <v>2950</v>
      </c>
      <c r="B868" s="12" t="n">
        <f aca="false">COUNTIF(選手一覧!$C$7:$C$2738,A868)</f>
        <v>1</v>
      </c>
      <c r="C868" s="14" t="n">
        <f aca="false">COUNTIFS(選手一覧!$C$7:$C$2738,A868,選手一覧!$K$7:$K$2738,"&lt;=100")</f>
        <v>0</v>
      </c>
      <c r="D868" s="14" t="n">
        <f aca="false">COUNTIFS(選手一覧!$C$7:$C$2738,A868,選手一覧!$E$7:$E$2738,"&lt;=100")</f>
        <v>0</v>
      </c>
      <c r="E868" s="14" t="n">
        <f aca="false">COUNTIFS(選手一覧!$C$7:$C$2738,A868,選手一覧!$G$7:$G$2738,"&lt;=100")</f>
        <v>0</v>
      </c>
      <c r="F868" s="14" t="n">
        <f aca="false">COUNTIFS(選手一覧!$C$7:$C$2738,A868,選手一覧!$I$7:$I$2738,"&lt;=100")</f>
        <v>0</v>
      </c>
      <c r="G868" s="13" t="n">
        <f aca="false">_xlfn.MINIFS(選手一覧!$K$7:$K$2738,選手一覧!$C$7:$C$2738,A868)</f>
        <v>1004</v>
      </c>
      <c r="H868" s="16"/>
    </row>
    <row r="869" customFormat="false" ht="15" hidden="false" customHeight="false" outlineLevel="0" collapsed="false">
      <c r="A869" s="10" t="s">
        <v>2962</v>
      </c>
      <c r="B869" s="12" t="n">
        <f aca="false">COUNTIF(選手一覧!$C$7:$C$2738,A869)</f>
        <v>1</v>
      </c>
      <c r="C869" s="14" t="n">
        <f aca="false">COUNTIFS(選手一覧!$C$7:$C$2738,A869,選手一覧!$K$7:$K$2738,"&lt;=100")</f>
        <v>0</v>
      </c>
      <c r="D869" s="14" t="n">
        <f aca="false">COUNTIFS(選手一覧!$C$7:$C$2738,A869,選手一覧!$E$7:$E$2738,"&lt;=100")</f>
        <v>0</v>
      </c>
      <c r="E869" s="14" t="n">
        <f aca="false">COUNTIFS(選手一覧!$C$7:$C$2738,A869,選手一覧!$G$7:$G$2738,"&lt;=100")</f>
        <v>0</v>
      </c>
      <c r="F869" s="14" t="n">
        <f aca="false">COUNTIFS(選手一覧!$C$7:$C$2738,A869,選手一覧!$I$7:$I$2738,"&lt;=100")</f>
        <v>0</v>
      </c>
      <c r="G869" s="13" t="n">
        <f aca="false">_xlfn.MINIFS(選手一覧!$K$7:$K$2738,選手一覧!$C$7:$C$2738,A869)</f>
        <v>1010</v>
      </c>
      <c r="H869" s="16"/>
    </row>
    <row r="870" customFormat="false" ht="15" hidden="false" customHeight="false" outlineLevel="0" collapsed="false">
      <c r="A870" s="10" t="s">
        <v>2966</v>
      </c>
      <c r="B870" s="12" t="n">
        <f aca="false">COUNTIF(選手一覧!$C$7:$C$2738,A870)</f>
        <v>1</v>
      </c>
      <c r="C870" s="14" t="n">
        <f aca="false">COUNTIFS(選手一覧!$C$7:$C$2738,A870,選手一覧!$K$7:$K$2738,"&lt;=100")</f>
        <v>0</v>
      </c>
      <c r="D870" s="14" t="n">
        <f aca="false">COUNTIFS(選手一覧!$C$7:$C$2738,A870,選手一覧!$E$7:$E$2738,"&lt;=100")</f>
        <v>0</v>
      </c>
      <c r="E870" s="14" t="n">
        <f aca="false">COUNTIFS(選手一覧!$C$7:$C$2738,A870,選手一覧!$G$7:$G$2738,"&lt;=100")</f>
        <v>0</v>
      </c>
      <c r="F870" s="14" t="n">
        <f aca="false">COUNTIFS(選手一覧!$C$7:$C$2738,A870,選手一覧!$I$7:$I$2738,"&lt;=100")</f>
        <v>0</v>
      </c>
      <c r="G870" s="13" t="n">
        <f aca="false">_xlfn.MINIFS(選手一覧!$K$7:$K$2738,選手一覧!$C$7:$C$2738,A870)</f>
        <v>1011</v>
      </c>
      <c r="H870" s="16"/>
    </row>
    <row r="871" customFormat="false" ht="15" hidden="false" customHeight="false" outlineLevel="0" collapsed="false">
      <c r="A871" s="10" t="s">
        <v>2970</v>
      </c>
      <c r="B871" s="12" t="n">
        <f aca="false">COUNTIF(選手一覧!$C$7:$C$2738,A871)</f>
        <v>1</v>
      </c>
      <c r="C871" s="14" t="n">
        <f aca="false">COUNTIFS(選手一覧!$C$7:$C$2738,A871,選手一覧!$K$7:$K$2738,"&lt;=100")</f>
        <v>0</v>
      </c>
      <c r="D871" s="14" t="n">
        <f aca="false">COUNTIFS(選手一覧!$C$7:$C$2738,A871,選手一覧!$E$7:$E$2738,"&lt;=100")</f>
        <v>0</v>
      </c>
      <c r="E871" s="14" t="n">
        <f aca="false">COUNTIFS(選手一覧!$C$7:$C$2738,A871,選手一覧!$G$7:$G$2738,"&lt;=100")</f>
        <v>0</v>
      </c>
      <c r="F871" s="14" t="n">
        <f aca="false">COUNTIFS(選手一覧!$C$7:$C$2738,A871,選手一覧!$I$7:$I$2738,"&lt;=100")</f>
        <v>0</v>
      </c>
      <c r="G871" s="13" t="n">
        <f aca="false">_xlfn.MINIFS(選手一覧!$K$7:$K$2738,選手一覧!$C$7:$C$2738,A871)</f>
        <v>1013</v>
      </c>
      <c r="H871" s="16"/>
    </row>
    <row r="872" customFormat="false" ht="15" hidden="false" customHeight="false" outlineLevel="0" collapsed="false">
      <c r="A872" s="10" t="s">
        <v>2977</v>
      </c>
      <c r="B872" s="12" t="n">
        <f aca="false">COUNTIF(選手一覧!$C$7:$C$2738,A872)</f>
        <v>1</v>
      </c>
      <c r="C872" s="14" t="n">
        <f aca="false">COUNTIFS(選手一覧!$C$7:$C$2738,A872,選手一覧!$K$7:$K$2738,"&lt;=100")</f>
        <v>0</v>
      </c>
      <c r="D872" s="14" t="n">
        <f aca="false">COUNTIFS(選手一覧!$C$7:$C$2738,A872,選手一覧!$E$7:$E$2738,"&lt;=100")</f>
        <v>0</v>
      </c>
      <c r="E872" s="14" t="n">
        <f aca="false">COUNTIFS(選手一覧!$C$7:$C$2738,A872,選手一覧!$G$7:$G$2738,"&lt;=100")</f>
        <v>0</v>
      </c>
      <c r="F872" s="14" t="n">
        <f aca="false">COUNTIFS(選手一覧!$C$7:$C$2738,A872,選手一覧!$I$7:$I$2738,"&lt;=100")</f>
        <v>0</v>
      </c>
      <c r="G872" s="13" t="n">
        <f aca="false">_xlfn.MINIFS(選手一覧!$K$7:$K$2738,選手一覧!$C$7:$C$2738,A872)</f>
        <v>1014</v>
      </c>
      <c r="H872" s="16"/>
    </row>
    <row r="873" customFormat="false" ht="15" hidden="false" customHeight="false" outlineLevel="0" collapsed="false">
      <c r="A873" s="10" t="s">
        <v>2982</v>
      </c>
      <c r="B873" s="12" t="n">
        <f aca="false">COUNTIF(選手一覧!$C$7:$C$2738,A873)</f>
        <v>1</v>
      </c>
      <c r="C873" s="14" t="n">
        <f aca="false">COUNTIFS(選手一覧!$C$7:$C$2738,A873,選手一覧!$K$7:$K$2738,"&lt;=100")</f>
        <v>0</v>
      </c>
      <c r="D873" s="14" t="n">
        <f aca="false">COUNTIFS(選手一覧!$C$7:$C$2738,A873,選手一覧!$E$7:$E$2738,"&lt;=100")</f>
        <v>0</v>
      </c>
      <c r="E873" s="14" t="n">
        <f aca="false">COUNTIFS(選手一覧!$C$7:$C$2738,A873,選手一覧!$G$7:$G$2738,"&lt;=100")</f>
        <v>0</v>
      </c>
      <c r="F873" s="14" t="n">
        <f aca="false">COUNTIFS(選手一覧!$C$7:$C$2738,A873,選手一覧!$I$7:$I$2738,"&lt;=100")</f>
        <v>0</v>
      </c>
      <c r="G873" s="13" t="n">
        <f aca="false">_xlfn.MINIFS(選手一覧!$K$7:$K$2738,選手一覧!$C$7:$C$2738,A873)</f>
        <v>1016</v>
      </c>
      <c r="H873" s="16"/>
    </row>
    <row r="874" customFormat="false" ht="15" hidden="false" customHeight="false" outlineLevel="0" collapsed="false">
      <c r="A874" s="10" t="s">
        <v>2986</v>
      </c>
      <c r="B874" s="12" t="n">
        <f aca="false">COUNTIF(選手一覧!$C$7:$C$2738,A874)</f>
        <v>1</v>
      </c>
      <c r="C874" s="14" t="n">
        <f aca="false">COUNTIFS(選手一覧!$C$7:$C$2738,A874,選手一覧!$K$7:$K$2738,"&lt;=100")</f>
        <v>0</v>
      </c>
      <c r="D874" s="14" t="n">
        <f aca="false">COUNTIFS(選手一覧!$C$7:$C$2738,A874,選手一覧!$E$7:$E$2738,"&lt;=100")</f>
        <v>0</v>
      </c>
      <c r="E874" s="14" t="n">
        <f aca="false">COUNTIFS(選手一覧!$C$7:$C$2738,A874,選手一覧!$G$7:$G$2738,"&lt;=100")</f>
        <v>0</v>
      </c>
      <c r="F874" s="14" t="n">
        <f aca="false">COUNTIFS(選手一覧!$C$7:$C$2738,A874,選手一覧!$I$7:$I$2738,"&lt;=100")</f>
        <v>0</v>
      </c>
      <c r="G874" s="13" t="n">
        <f aca="false">_xlfn.MINIFS(選手一覧!$K$7:$K$2738,選手一覧!$C$7:$C$2738,A874)</f>
        <v>1017</v>
      </c>
      <c r="H874" s="16"/>
    </row>
    <row r="875" customFormat="false" ht="15" hidden="false" customHeight="false" outlineLevel="0" collapsed="false">
      <c r="A875" s="10" t="s">
        <v>2989</v>
      </c>
      <c r="B875" s="12" t="n">
        <f aca="false">COUNTIF(選手一覧!$C$7:$C$2738,A875)</f>
        <v>1</v>
      </c>
      <c r="C875" s="14" t="n">
        <f aca="false">COUNTIFS(選手一覧!$C$7:$C$2738,A875,選手一覧!$K$7:$K$2738,"&lt;=100")</f>
        <v>0</v>
      </c>
      <c r="D875" s="14" t="n">
        <f aca="false">COUNTIFS(選手一覧!$C$7:$C$2738,A875,選手一覧!$E$7:$E$2738,"&lt;=100")</f>
        <v>0</v>
      </c>
      <c r="E875" s="14" t="n">
        <f aca="false">COUNTIFS(選手一覧!$C$7:$C$2738,A875,選手一覧!$G$7:$G$2738,"&lt;=100")</f>
        <v>0</v>
      </c>
      <c r="F875" s="14" t="n">
        <f aca="false">COUNTIFS(選手一覧!$C$7:$C$2738,A875,選手一覧!$I$7:$I$2738,"&lt;=100")</f>
        <v>0</v>
      </c>
      <c r="G875" s="13" t="n">
        <f aca="false">_xlfn.MINIFS(選手一覧!$K$7:$K$2738,選手一覧!$C$7:$C$2738,A875)</f>
        <v>1018</v>
      </c>
      <c r="H875" s="16"/>
    </row>
    <row r="876" customFormat="false" ht="15" hidden="false" customHeight="false" outlineLevel="0" collapsed="false">
      <c r="A876" s="10" t="s">
        <v>2991</v>
      </c>
      <c r="B876" s="12" t="n">
        <f aca="false">COUNTIF(選手一覧!$C$7:$C$2738,A876)</f>
        <v>1</v>
      </c>
      <c r="C876" s="14" t="n">
        <f aca="false">COUNTIFS(選手一覧!$C$7:$C$2738,A876,選手一覧!$K$7:$K$2738,"&lt;=100")</f>
        <v>0</v>
      </c>
      <c r="D876" s="14" t="n">
        <f aca="false">COUNTIFS(選手一覧!$C$7:$C$2738,A876,選手一覧!$E$7:$E$2738,"&lt;=100")</f>
        <v>0</v>
      </c>
      <c r="E876" s="14" t="n">
        <f aca="false">COUNTIFS(選手一覧!$C$7:$C$2738,A876,選手一覧!$G$7:$G$2738,"&lt;=100")</f>
        <v>0</v>
      </c>
      <c r="F876" s="14" t="n">
        <f aca="false">COUNTIFS(選手一覧!$C$7:$C$2738,A876,選手一覧!$I$7:$I$2738,"&lt;=100")</f>
        <v>0</v>
      </c>
      <c r="G876" s="13" t="n">
        <f aca="false">_xlfn.MINIFS(選手一覧!$K$7:$K$2738,選手一覧!$C$7:$C$2738,A876)</f>
        <v>1019</v>
      </c>
      <c r="H876" s="16"/>
    </row>
    <row r="877" customFormat="false" ht="15" hidden="false" customHeight="false" outlineLevel="0" collapsed="false">
      <c r="A877" s="10" t="s">
        <v>2993</v>
      </c>
      <c r="B877" s="12" t="n">
        <f aca="false">COUNTIF(選手一覧!$C$7:$C$2738,A877)</f>
        <v>1</v>
      </c>
      <c r="C877" s="14" t="n">
        <f aca="false">COUNTIFS(選手一覧!$C$7:$C$2738,A877,選手一覧!$K$7:$K$2738,"&lt;=100")</f>
        <v>0</v>
      </c>
      <c r="D877" s="14" t="n">
        <f aca="false">COUNTIFS(選手一覧!$C$7:$C$2738,A877,選手一覧!$E$7:$E$2738,"&lt;=100")</f>
        <v>0</v>
      </c>
      <c r="E877" s="14" t="n">
        <f aca="false">COUNTIFS(選手一覧!$C$7:$C$2738,A877,選手一覧!$G$7:$G$2738,"&lt;=100")</f>
        <v>0</v>
      </c>
      <c r="F877" s="14" t="n">
        <f aca="false">COUNTIFS(選手一覧!$C$7:$C$2738,A877,選手一覧!$I$7:$I$2738,"&lt;=100")</f>
        <v>0</v>
      </c>
      <c r="G877" s="13" t="n">
        <f aca="false">_xlfn.MINIFS(選手一覧!$K$7:$K$2738,選手一覧!$C$7:$C$2738,A877)</f>
        <v>1020</v>
      </c>
      <c r="H877" s="16"/>
    </row>
    <row r="878" customFormat="false" ht="15" hidden="false" customHeight="false" outlineLevel="0" collapsed="false">
      <c r="A878" s="10" t="s">
        <v>2997</v>
      </c>
      <c r="B878" s="12" t="n">
        <f aca="false">COUNTIF(選手一覧!$C$7:$C$2738,A878)</f>
        <v>1</v>
      </c>
      <c r="C878" s="14" t="n">
        <f aca="false">COUNTIFS(選手一覧!$C$7:$C$2738,A878,選手一覧!$K$7:$K$2738,"&lt;=100")</f>
        <v>0</v>
      </c>
      <c r="D878" s="14" t="n">
        <f aca="false">COUNTIFS(選手一覧!$C$7:$C$2738,A878,選手一覧!$E$7:$E$2738,"&lt;=100")</f>
        <v>0</v>
      </c>
      <c r="E878" s="14" t="n">
        <f aca="false">COUNTIFS(選手一覧!$C$7:$C$2738,A878,選手一覧!$G$7:$G$2738,"&lt;=100")</f>
        <v>0</v>
      </c>
      <c r="F878" s="14" t="n">
        <f aca="false">COUNTIFS(選手一覧!$C$7:$C$2738,A878,選手一覧!$I$7:$I$2738,"&lt;=100")</f>
        <v>0</v>
      </c>
      <c r="G878" s="13" t="n">
        <f aca="false">_xlfn.MINIFS(選手一覧!$K$7:$K$2738,選手一覧!$C$7:$C$2738,A878)</f>
        <v>1021</v>
      </c>
      <c r="H878" s="16"/>
    </row>
    <row r="879" customFormat="false" ht="15" hidden="false" customHeight="false" outlineLevel="0" collapsed="false">
      <c r="A879" s="10" t="s">
        <v>3006</v>
      </c>
      <c r="B879" s="12" t="n">
        <f aca="false">COUNTIF(選手一覧!$C$7:$C$2738,A879)</f>
        <v>1</v>
      </c>
      <c r="C879" s="14" t="n">
        <f aca="false">COUNTIFS(選手一覧!$C$7:$C$2738,A879,選手一覧!$K$7:$K$2738,"&lt;=100")</f>
        <v>0</v>
      </c>
      <c r="D879" s="14" t="n">
        <f aca="false">COUNTIFS(選手一覧!$C$7:$C$2738,A879,選手一覧!$E$7:$E$2738,"&lt;=100")</f>
        <v>0</v>
      </c>
      <c r="E879" s="14" t="n">
        <f aca="false">COUNTIFS(選手一覧!$C$7:$C$2738,A879,選手一覧!$G$7:$G$2738,"&lt;=100")</f>
        <v>0</v>
      </c>
      <c r="F879" s="14" t="n">
        <f aca="false">COUNTIFS(選手一覧!$C$7:$C$2738,A879,選手一覧!$I$7:$I$2738,"&lt;=100")</f>
        <v>0</v>
      </c>
      <c r="G879" s="13" t="n">
        <f aca="false">_xlfn.MINIFS(選手一覧!$K$7:$K$2738,選手一覧!$C$7:$C$2738,A879)</f>
        <v>1024</v>
      </c>
      <c r="H879" s="16"/>
    </row>
    <row r="880" customFormat="false" ht="15" hidden="false" customHeight="false" outlineLevel="0" collapsed="false">
      <c r="A880" s="10" t="s">
        <v>3008</v>
      </c>
      <c r="B880" s="12" t="n">
        <f aca="false">COUNTIF(選手一覧!$C$7:$C$2738,A880)</f>
        <v>1</v>
      </c>
      <c r="C880" s="14" t="n">
        <f aca="false">COUNTIFS(選手一覧!$C$7:$C$2738,A880,選手一覧!$K$7:$K$2738,"&lt;=100")</f>
        <v>0</v>
      </c>
      <c r="D880" s="14" t="n">
        <f aca="false">COUNTIFS(選手一覧!$C$7:$C$2738,A880,選手一覧!$E$7:$E$2738,"&lt;=100")</f>
        <v>0</v>
      </c>
      <c r="E880" s="14" t="n">
        <f aca="false">COUNTIFS(選手一覧!$C$7:$C$2738,A880,選手一覧!$G$7:$G$2738,"&lt;=100")</f>
        <v>0</v>
      </c>
      <c r="F880" s="14" t="n">
        <f aca="false">COUNTIFS(選手一覧!$C$7:$C$2738,A880,選手一覧!$I$7:$I$2738,"&lt;=100")</f>
        <v>0</v>
      </c>
      <c r="G880" s="13" t="n">
        <f aca="false">_xlfn.MINIFS(選手一覧!$K$7:$K$2738,選手一覧!$C$7:$C$2738,A880)</f>
        <v>1025</v>
      </c>
      <c r="H880" s="16"/>
    </row>
    <row r="881" customFormat="false" ht="15" hidden="false" customHeight="false" outlineLevel="0" collapsed="false">
      <c r="A881" s="10" t="s">
        <v>3013</v>
      </c>
      <c r="B881" s="12" t="n">
        <f aca="false">COUNTIF(選手一覧!$C$7:$C$2738,A881)</f>
        <v>1</v>
      </c>
      <c r="C881" s="14" t="n">
        <f aca="false">COUNTIFS(選手一覧!$C$7:$C$2738,A881,選手一覧!$K$7:$K$2738,"&lt;=100")</f>
        <v>0</v>
      </c>
      <c r="D881" s="14" t="n">
        <f aca="false">COUNTIFS(選手一覧!$C$7:$C$2738,A881,選手一覧!$E$7:$E$2738,"&lt;=100")</f>
        <v>0</v>
      </c>
      <c r="E881" s="14" t="n">
        <f aca="false">COUNTIFS(選手一覧!$C$7:$C$2738,A881,選手一覧!$G$7:$G$2738,"&lt;=100")</f>
        <v>0</v>
      </c>
      <c r="F881" s="14" t="n">
        <f aca="false">COUNTIFS(選手一覧!$C$7:$C$2738,A881,選手一覧!$I$7:$I$2738,"&lt;=100")</f>
        <v>0</v>
      </c>
      <c r="G881" s="13" t="n">
        <f aca="false">_xlfn.MINIFS(選手一覧!$K$7:$K$2738,選手一覧!$C$7:$C$2738,A881)</f>
        <v>1026</v>
      </c>
      <c r="H881" s="16"/>
    </row>
    <row r="882" customFormat="false" ht="15" hidden="false" customHeight="false" outlineLevel="0" collapsed="false">
      <c r="A882" s="10" t="s">
        <v>3015</v>
      </c>
      <c r="B882" s="12" t="n">
        <f aca="false">COUNTIF(選手一覧!$C$7:$C$2738,A882)</f>
        <v>1</v>
      </c>
      <c r="C882" s="14" t="n">
        <f aca="false">COUNTIFS(選手一覧!$C$7:$C$2738,A882,選手一覧!$K$7:$K$2738,"&lt;=100")</f>
        <v>0</v>
      </c>
      <c r="D882" s="14" t="n">
        <f aca="false">COUNTIFS(選手一覧!$C$7:$C$2738,A882,選手一覧!$E$7:$E$2738,"&lt;=100")</f>
        <v>0</v>
      </c>
      <c r="E882" s="14" t="n">
        <f aca="false">COUNTIFS(選手一覧!$C$7:$C$2738,A882,選手一覧!$G$7:$G$2738,"&lt;=100")</f>
        <v>0</v>
      </c>
      <c r="F882" s="14" t="n">
        <f aca="false">COUNTIFS(選手一覧!$C$7:$C$2738,A882,選手一覧!$I$7:$I$2738,"&lt;=100")</f>
        <v>0</v>
      </c>
      <c r="G882" s="13" t="n">
        <f aca="false">_xlfn.MINIFS(選手一覧!$K$7:$K$2738,選手一覧!$C$7:$C$2738,A882)</f>
        <v>1027</v>
      </c>
      <c r="H882" s="16"/>
    </row>
    <row r="883" customFormat="false" ht="15" hidden="false" customHeight="false" outlineLevel="0" collapsed="false">
      <c r="A883" s="10" t="s">
        <v>3017</v>
      </c>
      <c r="B883" s="12" t="n">
        <f aca="false">COUNTIF(選手一覧!$C$7:$C$2738,A883)</f>
        <v>1</v>
      </c>
      <c r="C883" s="14" t="n">
        <f aca="false">COUNTIFS(選手一覧!$C$7:$C$2738,A883,選手一覧!$K$7:$K$2738,"&lt;=100")</f>
        <v>0</v>
      </c>
      <c r="D883" s="14" t="n">
        <f aca="false">COUNTIFS(選手一覧!$C$7:$C$2738,A883,選手一覧!$E$7:$E$2738,"&lt;=100")</f>
        <v>0</v>
      </c>
      <c r="E883" s="14" t="n">
        <f aca="false">COUNTIFS(選手一覧!$C$7:$C$2738,A883,選手一覧!$G$7:$G$2738,"&lt;=100")</f>
        <v>0</v>
      </c>
      <c r="F883" s="14" t="n">
        <f aca="false">COUNTIFS(選手一覧!$C$7:$C$2738,A883,選手一覧!$I$7:$I$2738,"&lt;=100")</f>
        <v>0</v>
      </c>
      <c r="G883" s="13" t="n">
        <f aca="false">_xlfn.MINIFS(選手一覧!$K$7:$K$2738,選手一覧!$C$7:$C$2738,A883)</f>
        <v>1027</v>
      </c>
      <c r="H883" s="16"/>
    </row>
    <row r="884" customFormat="false" ht="15" hidden="false" customHeight="false" outlineLevel="0" collapsed="false">
      <c r="A884" s="10" t="s">
        <v>3025</v>
      </c>
      <c r="B884" s="12" t="n">
        <f aca="false">COUNTIF(選手一覧!$C$7:$C$2738,A884)</f>
        <v>1</v>
      </c>
      <c r="C884" s="14" t="n">
        <f aca="false">COUNTIFS(選手一覧!$C$7:$C$2738,A884,選手一覧!$K$7:$K$2738,"&lt;=100")</f>
        <v>0</v>
      </c>
      <c r="D884" s="14" t="n">
        <f aca="false">COUNTIFS(選手一覧!$C$7:$C$2738,A884,選手一覧!$E$7:$E$2738,"&lt;=100")</f>
        <v>0</v>
      </c>
      <c r="E884" s="14" t="n">
        <f aca="false">COUNTIFS(選手一覧!$C$7:$C$2738,A884,選手一覧!$G$7:$G$2738,"&lt;=100")</f>
        <v>0</v>
      </c>
      <c r="F884" s="14" t="n">
        <f aca="false">COUNTIFS(選手一覧!$C$7:$C$2738,A884,選手一覧!$I$7:$I$2738,"&lt;=100")</f>
        <v>0</v>
      </c>
      <c r="G884" s="13" t="n">
        <f aca="false">_xlfn.MINIFS(選手一覧!$K$7:$K$2738,選手一覧!$C$7:$C$2738,A884)</f>
        <v>1031</v>
      </c>
      <c r="H884" s="16"/>
    </row>
    <row r="885" customFormat="false" ht="15" hidden="false" customHeight="false" outlineLevel="0" collapsed="false">
      <c r="A885" s="10" t="s">
        <v>3027</v>
      </c>
      <c r="B885" s="12" t="n">
        <f aca="false">COUNTIF(選手一覧!$C$7:$C$2738,A885)</f>
        <v>1</v>
      </c>
      <c r="C885" s="14" t="n">
        <f aca="false">COUNTIFS(選手一覧!$C$7:$C$2738,A885,選手一覧!$K$7:$K$2738,"&lt;=100")</f>
        <v>0</v>
      </c>
      <c r="D885" s="14" t="n">
        <f aca="false">COUNTIFS(選手一覧!$C$7:$C$2738,A885,選手一覧!$E$7:$E$2738,"&lt;=100")</f>
        <v>0</v>
      </c>
      <c r="E885" s="14" t="n">
        <f aca="false">COUNTIFS(選手一覧!$C$7:$C$2738,A885,選手一覧!$G$7:$G$2738,"&lt;=100")</f>
        <v>0</v>
      </c>
      <c r="F885" s="14" t="n">
        <f aca="false">COUNTIFS(選手一覧!$C$7:$C$2738,A885,選手一覧!$I$7:$I$2738,"&lt;=100")</f>
        <v>0</v>
      </c>
      <c r="G885" s="13" t="n">
        <f aca="false">_xlfn.MINIFS(選手一覧!$K$7:$K$2738,選手一覧!$C$7:$C$2738,A885)</f>
        <v>1031</v>
      </c>
      <c r="H885" s="16"/>
    </row>
    <row r="886" customFormat="false" ht="15" hidden="false" customHeight="false" outlineLevel="0" collapsed="false">
      <c r="A886" s="10" t="s">
        <v>3029</v>
      </c>
      <c r="B886" s="12" t="n">
        <f aca="false">COUNTIF(選手一覧!$C$7:$C$2738,A886)</f>
        <v>1</v>
      </c>
      <c r="C886" s="14" t="n">
        <f aca="false">COUNTIFS(選手一覧!$C$7:$C$2738,A886,選手一覧!$K$7:$K$2738,"&lt;=100")</f>
        <v>0</v>
      </c>
      <c r="D886" s="14" t="n">
        <f aca="false">COUNTIFS(選手一覧!$C$7:$C$2738,A886,選手一覧!$E$7:$E$2738,"&lt;=100")</f>
        <v>0</v>
      </c>
      <c r="E886" s="14" t="n">
        <f aca="false">COUNTIFS(選手一覧!$C$7:$C$2738,A886,選手一覧!$G$7:$G$2738,"&lt;=100")</f>
        <v>0</v>
      </c>
      <c r="F886" s="14" t="n">
        <f aca="false">COUNTIFS(選手一覧!$C$7:$C$2738,A886,選手一覧!$I$7:$I$2738,"&lt;=100")</f>
        <v>0</v>
      </c>
      <c r="G886" s="13" t="n">
        <f aca="false">_xlfn.MINIFS(選手一覧!$K$7:$K$2738,選手一覧!$C$7:$C$2738,A886)</f>
        <v>1032</v>
      </c>
      <c r="H886" s="16"/>
    </row>
    <row r="887" customFormat="false" ht="15" hidden="false" customHeight="false" outlineLevel="0" collapsed="false">
      <c r="A887" s="10" t="s">
        <v>3031</v>
      </c>
      <c r="B887" s="12" t="n">
        <f aca="false">COUNTIF(選手一覧!$C$7:$C$2738,A887)</f>
        <v>1</v>
      </c>
      <c r="C887" s="14" t="n">
        <f aca="false">COUNTIFS(選手一覧!$C$7:$C$2738,A887,選手一覧!$K$7:$K$2738,"&lt;=100")</f>
        <v>0</v>
      </c>
      <c r="D887" s="14" t="n">
        <f aca="false">COUNTIFS(選手一覧!$C$7:$C$2738,A887,選手一覧!$E$7:$E$2738,"&lt;=100")</f>
        <v>0</v>
      </c>
      <c r="E887" s="14" t="n">
        <f aca="false">COUNTIFS(選手一覧!$C$7:$C$2738,A887,選手一覧!$G$7:$G$2738,"&lt;=100")</f>
        <v>0</v>
      </c>
      <c r="F887" s="14" t="n">
        <f aca="false">COUNTIFS(選手一覧!$C$7:$C$2738,A887,選手一覧!$I$7:$I$2738,"&lt;=100")</f>
        <v>0</v>
      </c>
      <c r="G887" s="13" t="n">
        <f aca="false">_xlfn.MINIFS(選手一覧!$K$7:$K$2738,選手一覧!$C$7:$C$2738,A887)</f>
        <v>1032</v>
      </c>
      <c r="H887" s="16"/>
    </row>
    <row r="888" customFormat="false" ht="15" hidden="false" customHeight="false" outlineLevel="0" collapsed="false">
      <c r="A888" s="10" t="s">
        <v>3035</v>
      </c>
      <c r="B888" s="12" t="n">
        <f aca="false">COUNTIF(選手一覧!$C$7:$C$2738,A888)</f>
        <v>1</v>
      </c>
      <c r="C888" s="14" t="n">
        <f aca="false">COUNTIFS(選手一覧!$C$7:$C$2738,A888,選手一覧!$K$7:$K$2738,"&lt;=100")</f>
        <v>0</v>
      </c>
      <c r="D888" s="14" t="n">
        <f aca="false">COUNTIFS(選手一覧!$C$7:$C$2738,A888,選手一覧!$E$7:$E$2738,"&lt;=100")</f>
        <v>0</v>
      </c>
      <c r="E888" s="14" t="n">
        <f aca="false">COUNTIFS(選手一覧!$C$7:$C$2738,A888,選手一覧!$G$7:$G$2738,"&lt;=100")</f>
        <v>0</v>
      </c>
      <c r="F888" s="14" t="n">
        <f aca="false">COUNTIFS(選手一覧!$C$7:$C$2738,A888,選手一覧!$I$7:$I$2738,"&lt;=100")</f>
        <v>0</v>
      </c>
      <c r="G888" s="13" t="n">
        <f aca="false">_xlfn.MINIFS(選手一覧!$K$7:$K$2738,選手一覧!$C$7:$C$2738,A888)</f>
        <v>1034</v>
      </c>
      <c r="H888" s="16"/>
    </row>
    <row r="889" customFormat="false" ht="15" hidden="false" customHeight="false" outlineLevel="0" collapsed="false">
      <c r="A889" s="10" t="s">
        <v>3036</v>
      </c>
      <c r="B889" s="12" t="n">
        <f aca="false">COUNTIF(選手一覧!$C$7:$C$2738,A889)</f>
        <v>1</v>
      </c>
      <c r="C889" s="14" t="n">
        <f aca="false">COUNTIFS(選手一覧!$C$7:$C$2738,A889,選手一覧!$K$7:$K$2738,"&lt;=100")</f>
        <v>0</v>
      </c>
      <c r="D889" s="14" t="n">
        <f aca="false">COUNTIFS(選手一覧!$C$7:$C$2738,A889,選手一覧!$E$7:$E$2738,"&lt;=100")</f>
        <v>0</v>
      </c>
      <c r="E889" s="14" t="n">
        <f aca="false">COUNTIFS(選手一覧!$C$7:$C$2738,A889,選手一覧!$G$7:$G$2738,"&lt;=100")</f>
        <v>0</v>
      </c>
      <c r="F889" s="14" t="n">
        <f aca="false">COUNTIFS(選手一覧!$C$7:$C$2738,A889,選手一覧!$I$7:$I$2738,"&lt;=100")</f>
        <v>0</v>
      </c>
      <c r="G889" s="13" t="n">
        <f aca="false">_xlfn.MINIFS(選手一覧!$K$7:$K$2738,選手一覧!$C$7:$C$2738,A889)</f>
        <v>1034</v>
      </c>
      <c r="H889" s="16"/>
    </row>
    <row r="890" customFormat="false" ht="15" hidden="false" customHeight="false" outlineLevel="0" collapsed="false">
      <c r="A890" s="10" t="s">
        <v>3044</v>
      </c>
      <c r="B890" s="12" t="n">
        <f aca="false">COUNTIF(選手一覧!$C$7:$C$2738,A890)</f>
        <v>1</v>
      </c>
      <c r="C890" s="14" t="n">
        <f aca="false">COUNTIFS(選手一覧!$C$7:$C$2738,A890,選手一覧!$K$7:$K$2738,"&lt;=100")</f>
        <v>0</v>
      </c>
      <c r="D890" s="14" t="n">
        <f aca="false">COUNTIFS(選手一覧!$C$7:$C$2738,A890,選手一覧!$E$7:$E$2738,"&lt;=100")</f>
        <v>0</v>
      </c>
      <c r="E890" s="14" t="n">
        <f aca="false">COUNTIFS(選手一覧!$C$7:$C$2738,A890,選手一覧!$G$7:$G$2738,"&lt;=100")</f>
        <v>0</v>
      </c>
      <c r="F890" s="14" t="n">
        <f aca="false">COUNTIFS(選手一覧!$C$7:$C$2738,A890,選手一覧!$I$7:$I$2738,"&lt;=100")</f>
        <v>0</v>
      </c>
      <c r="G890" s="13" t="n">
        <f aca="false">_xlfn.MINIFS(選手一覧!$K$7:$K$2738,選手一覧!$C$7:$C$2738,A890)</f>
        <v>1036</v>
      </c>
      <c r="H890" s="16"/>
    </row>
    <row r="891" customFormat="false" ht="15" hidden="false" customHeight="false" outlineLevel="0" collapsed="false">
      <c r="A891" s="10" t="s">
        <v>3051</v>
      </c>
      <c r="B891" s="12" t="n">
        <f aca="false">COUNTIF(選手一覧!$C$7:$C$2738,A891)</f>
        <v>1</v>
      </c>
      <c r="C891" s="14" t="n">
        <f aca="false">COUNTIFS(選手一覧!$C$7:$C$2738,A891,選手一覧!$K$7:$K$2738,"&lt;=100")</f>
        <v>0</v>
      </c>
      <c r="D891" s="14" t="n">
        <f aca="false">COUNTIFS(選手一覧!$C$7:$C$2738,A891,選手一覧!$E$7:$E$2738,"&lt;=100")</f>
        <v>0</v>
      </c>
      <c r="E891" s="14" t="n">
        <f aca="false">COUNTIFS(選手一覧!$C$7:$C$2738,A891,選手一覧!$G$7:$G$2738,"&lt;=100")</f>
        <v>0</v>
      </c>
      <c r="F891" s="14" t="n">
        <f aca="false">COUNTIFS(選手一覧!$C$7:$C$2738,A891,選手一覧!$I$7:$I$2738,"&lt;=100")</f>
        <v>0</v>
      </c>
      <c r="G891" s="13" t="n">
        <f aca="false">_xlfn.MINIFS(選手一覧!$K$7:$K$2738,選手一覧!$C$7:$C$2738,A891)</f>
        <v>1039</v>
      </c>
      <c r="H891" s="16"/>
    </row>
    <row r="892" customFormat="false" ht="15" hidden="false" customHeight="false" outlineLevel="0" collapsed="false">
      <c r="A892" s="10" t="s">
        <v>3058</v>
      </c>
      <c r="B892" s="12" t="n">
        <f aca="false">COUNTIF(選手一覧!$C$7:$C$2738,A892)</f>
        <v>1</v>
      </c>
      <c r="C892" s="14" t="n">
        <f aca="false">COUNTIFS(選手一覧!$C$7:$C$2738,A892,選手一覧!$K$7:$K$2738,"&lt;=100")</f>
        <v>0</v>
      </c>
      <c r="D892" s="14" t="n">
        <f aca="false">COUNTIFS(選手一覧!$C$7:$C$2738,A892,選手一覧!$E$7:$E$2738,"&lt;=100")</f>
        <v>0</v>
      </c>
      <c r="E892" s="14" t="n">
        <f aca="false">COUNTIFS(選手一覧!$C$7:$C$2738,A892,選手一覧!$G$7:$G$2738,"&lt;=100")</f>
        <v>0</v>
      </c>
      <c r="F892" s="14" t="n">
        <f aca="false">COUNTIFS(選手一覧!$C$7:$C$2738,A892,選手一覧!$I$7:$I$2738,"&lt;=100")</f>
        <v>0</v>
      </c>
      <c r="G892" s="13" t="n">
        <f aca="false">_xlfn.MINIFS(選手一覧!$K$7:$K$2738,選手一覧!$C$7:$C$2738,A892)</f>
        <v>1042</v>
      </c>
      <c r="H892" s="16"/>
    </row>
    <row r="893" customFormat="false" ht="15" hidden="false" customHeight="false" outlineLevel="0" collapsed="false">
      <c r="A893" s="10" t="s">
        <v>3064</v>
      </c>
      <c r="B893" s="12" t="n">
        <f aca="false">COUNTIF(選手一覧!$C$7:$C$2738,A893)</f>
        <v>1</v>
      </c>
      <c r="C893" s="14" t="n">
        <f aca="false">COUNTIFS(選手一覧!$C$7:$C$2738,A893,選手一覧!$K$7:$K$2738,"&lt;=100")</f>
        <v>0</v>
      </c>
      <c r="D893" s="14" t="n">
        <f aca="false">COUNTIFS(選手一覧!$C$7:$C$2738,A893,選手一覧!$E$7:$E$2738,"&lt;=100")</f>
        <v>0</v>
      </c>
      <c r="E893" s="14" t="n">
        <f aca="false">COUNTIFS(選手一覧!$C$7:$C$2738,A893,選手一覧!$G$7:$G$2738,"&lt;=100")</f>
        <v>0</v>
      </c>
      <c r="F893" s="14" t="n">
        <f aca="false">COUNTIFS(選手一覧!$C$7:$C$2738,A893,選手一覧!$I$7:$I$2738,"&lt;=100")</f>
        <v>0</v>
      </c>
      <c r="G893" s="13" t="n">
        <f aca="false">_xlfn.MINIFS(選手一覧!$K$7:$K$2738,選手一覧!$C$7:$C$2738,A893)</f>
        <v>1045</v>
      </c>
      <c r="H893" s="16"/>
    </row>
    <row r="894" customFormat="false" ht="15" hidden="false" customHeight="false" outlineLevel="0" collapsed="false">
      <c r="A894" s="10" t="s">
        <v>3069</v>
      </c>
      <c r="B894" s="12" t="n">
        <f aca="false">COUNTIF(選手一覧!$C$7:$C$2738,A894)</f>
        <v>1</v>
      </c>
      <c r="C894" s="14" t="n">
        <f aca="false">COUNTIFS(選手一覧!$C$7:$C$2738,A894,選手一覧!$K$7:$K$2738,"&lt;=100")</f>
        <v>0</v>
      </c>
      <c r="D894" s="14" t="n">
        <f aca="false">COUNTIFS(選手一覧!$C$7:$C$2738,A894,選手一覧!$E$7:$E$2738,"&lt;=100")</f>
        <v>0</v>
      </c>
      <c r="E894" s="14" t="n">
        <f aca="false">COUNTIFS(選手一覧!$C$7:$C$2738,A894,選手一覧!$G$7:$G$2738,"&lt;=100")</f>
        <v>0</v>
      </c>
      <c r="F894" s="14" t="n">
        <f aca="false">COUNTIFS(選手一覧!$C$7:$C$2738,A894,選手一覧!$I$7:$I$2738,"&lt;=100")</f>
        <v>0</v>
      </c>
      <c r="G894" s="13" t="n">
        <f aca="false">_xlfn.MINIFS(選手一覧!$K$7:$K$2738,選手一覧!$C$7:$C$2738,A894)</f>
        <v>1046</v>
      </c>
      <c r="H894" s="16"/>
    </row>
    <row r="895" customFormat="false" ht="15" hidden="false" customHeight="false" outlineLevel="0" collapsed="false">
      <c r="A895" s="10" t="s">
        <v>3071</v>
      </c>
      <c r="B895" s="12" t="n">
        <f aca="false">COUNTIF(選手一覧!$C$7:$C$2738,A895)</f>
        <v>1</v>
      </c>
      <c r="C895" s="14" t="n">
        <f aca="false">COUNTIFS(選手一覧!$C$7:$C$2738,A895,選手一覧!$K$7:$K$2738,"&lt;=100")</f>
        <v>0</v>
      </c>
      <c r="D895" s="14" t="n">
        <f aca="false">COUNTIFS(選手一覧!$C$7:$C$2738,A895,選手一覧!$E$7:$E$2738,"&lt;=100")</f>
        <v>0</v>
      </c>
      <c r="E895" s="14" t="n">
        <f aca="false">COUNTIFS(選手一覧!$C$7:$C$2738,A895,選手一覧!$G$7:$G$2738,"&lt;=100")</f>
        <v>0</v>
      </c>
      <c r="F895" s="14" t="n">
        <f aca="false">COUNTIFS(選手一覧!$C$7:$C$2738,A895,選手一覧!$I$7:$I$2738,"&lt;=100")</f>
        <v>0</v>
      </c>
      <c r="G895" s="13" t="n">
        <f aca="false">_xlfn.MINIFS(選手一覧!$K$7:$K$2738,選手一覧!$C$7:$C$2738,A895)</f>
        <v>1047</v>
      </c>
      <c r="H895" s="16"/>
    </row>
    <row r="896" customFormat="false" ht="15" hidden="false" customHeight="false" outlineLevel="0" collapsed="false">
      <c r="A896" s="10" t="s">
        <v>3076</v>
      </c>
      <c r="B896" s="12" t="n">
        <f aca="false">COUNTIF(選手一覧!$C$7:$C$2738,A896)</f>
        <v>1</v>
      </c>
      <c r="C896" s="14" t="n">
        <f aca="false">COUNTIFS(選手一覧!$C$7:$C$2738,A896,選手一覧!$K$7:$K$2738,"&lt;=100")</f>
        <v>0</v>
      </c>
      <c r="D896" s="14" t="n">
        <f aca="false">COUNTIFS(選手一覧!$C$7:$C$2738,A896,選手一覧!$E$7:$E$2738,"&lt;=100")</f>
        <v>0</v>
      </c>
      <c r="E896" s="14" t="n">
        <f aca="false">COUNTIFS(選手一覧!$C$7:$C$2738,A896,選手一覧!$G$7:$G$2738,"&lt;=100")</f>
        <v>0</v>
      </c>
      <c r="F896" s="14" t="n">
        <f aca="false">COUNTIFS(選手一覧!$C$7:$C$2738,A896,選手一覧!$I$7:$I$2738,"&lt;=100")</f>
        <v>0</v>
      </c>
      <c r="G896" s="13" t="n">
        <f aca="false">_xlfn.MINIFS(選手一覧!$K$7:$K$2738,選手一覧!$C$7:$C$2738,A896)</f>
        <v>1049</v>
      </c>
      <c r="H896" s="16"/>
    </row>
    <row r="897" customFormat="false" ht="15" hidden="false" customHeight="false" outlineLevel="0" collapsed="false">
      <c r="A897" s="10" t="s">
        <v>3078</v>
      </c>
      <c r="B897" s="12" t="n">
        <f aca="false">COUNTIF(選手一覧!$C$7:$C$2738,A897)</f>
        <v>1</v>
      </c>
      <c r="C897" s="14" t="n">
        <f aca="false">COUNTIFS(選手一覧!$C$7:$C$2738,A897,選手一覧!$K$7:$K$2738,"&lt;=100")</f>
        <v>0</v>
      </c>
      <c r="D897" s="14" t="n">
        <f aca="false">COUNTIFS(選手一覧!$C$7:$C$2738,A897,選手一覧!$E$7:$E$2738,"&lt;=100")</f>
        <v>0</v>
      </c>
      <c r="E897" s="14" t="n">
        <f aca="false">COUNTIFS(選手一覧!$C$7:$C$2738,A897,選手一覧!$G$7:$G$2738,"&lt;=100")</f>
        <v>0</v>
      </c>
      <c r="F897" s="14" t="n">
        <f aca="false">COUNTIFS(選手一覧!$C$7:$C$2738,A897,選手一覧!$I$7:$I$2738,"&lt;=100")</f>
        <v>0</v>
      </c>
      <c r="G897" s="13" t="n">
        <f aca="false">_xlfn.MINIFS(選手一覧!$K$7:$K$2738,選手一覧!$C$7:$C$2738,A897)</f>
        <v>1049</v>
      </c>
      <c r="H897" s="16"/>
    </row>
    <row r="898" customFormat="false" ht="15" hidden="false" customHeight="false" outlineLevel="0" collapsed="false">
      <c r="A898" s="10" t="s">
        <v>3081</v>
      </c>
      <c r="B898" s="12" t="n">
        <f aca="false">COUNTIF(選手一覧!$C$7:$C$2738,A898)</f>
        <v>1</v>
      </c>
      <c r="C898" s="14" t="n">
        <f aca="false">COUNTIFS(選手一覧!$C$7:$C$2738,A898,選手一覧!$K$7:$K$2738,"&lt;=100")</f>
        <v>0</v>
      </c>
      <c r="D898" s="14" t="n">
        <f aca="false">COUNTIFS(選手一覧!$C$7:$C$2738,A898,選手一覧!$E$7:$E$2738,"&lt;=100")</f>
        <v>0</v>
      </c>
      <c r="E898" s="14" t="n">
        <f aca="false">COUNTIFS(選手一覧!$C$7:$C$2738,A898,選手一覧!$G$7:$G$2738,"&lt;=100")</f>
        <v>0</v>
      </c>
      <c r="F898" s="14" t="n">
        <f aca="false">COUNTIFS(選手一覧!$C$7:$C$2738,A898,選手一覧!$I$7:$I$2738,"&lt;=100")</f>
        <v>0</v>
      </c>
      <c r="G898" s="13" t="n">
        <f aca="false">_xlfn.MINIFS(選手一覧!$K$7:$K$2738,選手一覧!$C$7:$C$2738,A898)</f>
        <v>1051</v>
      </c>
      <c r="H898" s="16"/>
    </row>
    <row r="899" customFormat="false" ht="15" hidden="false" customHeight="false" outlineLevel="0" collapsed="false">
      <c r="A899" s="10" t="s">
        <v>3083</v>
      </c>
      <c r="B899" s="12" t="n">
        <f aca="false">COUNTIF(選手一覧!$C$7:$C$2738,A899)</f>
        <v>1</v>
      </c>
      <c r="C899" s="14" t="n">
        <f aca="false">COUNTIFS(選手一覧!$C$7:$C$2738,A899,選手一覧!$K$7:$K$2738,"&lt;=100")</f>
        <v>0</v>
      </c>
      <c r="D899" s="14" t="n">
        <f aca="false">COUNTIFS(選手一覧!$C$7:$C$2738,A899,選手一覧!$E$7:$E$2738,"&lt;=100")</f>
        <v>0</v>
      </c>
      <c r="E899" s="14" t="n">
        <f aca="false">COUNTIFS(選手一覧!$C$7:$C$2738,A899,選手一覧!$G$7:$G$2738,"&lt;=100")</f>
        <v>0</v>
      </c>
      <c r="F899" s="14" t="n">
        <f aca="false">COUNTIFS(選手一覧!$C$7:$C$2738,A899,選手一覧!$I$7:$I$2738,"&lt;=100")</f>
        <v>0</v>
      </c>
      <c r="G899" s="13" t="n">
        <f aca="false">_xlfn.MINIFS(選手一覧!$K$7:$K$2738,選手一覧!$C$7:$C$2738,A899)</f>
        <v>1051</v>
      </c>
      <c r="H899" s="16"/>
    </row>
    <row r="900" customFormat="false" ht="15" hidden="false" customHeight="false" outlineLevel="0" collapsed="false">
      <c r="A900" s="10" t="s">
        <v>3086</v>
      </c>
      <c r="B900" s="12" t="n">
        <f aca="false">COUNTIF(選手一覧!$C$7:$C$2738,A900)</f>
        <v>1</v>
      </c>
      <c r="C900" s="14" t="n">
        <f aca="false">COUNTIFS(選手一覧!$C$7:$C$2738,A900,選手一覧!$K$7:$K$2738,"&lt;=100")</f>
        <v>0</v>
      </c>
      <c r="D900" s="14" t="n">
        <f aca="false">COUNTIFS(選手一覧!$C$7:$C$2738,A900,選手一覧!$E$7:$E$2738,"&lt;=100")</f>
        <v>0</v>
      </c>
      <c r="E900" s="14" t="n">
        <f aca="false">COUNTIFS(選手一覧!$C$7:$C$2738,A900,選手一覧!$G$7:$G$2738,"&lt;=100")</f>
        <v>0</v>
      </c>
      <c r="F900" s="14" t="n">
        <f aca="false">COUNTIFS(選手一覧!$C$7:$C$2738,A900,選手一覧!$I$7:$I$2738,"&lt;=100")</f>
        <v>0</v>
      </c>
      <c r="G900" s="13" t="n">
        <f aca="false">_xlfn.MINIFS(選手一覧!$K$7:$K$2738,選手一覧!$C$7:$C$2738,A900)</f>
        <v>1052</v>
      </c>
      <c r="H900" s="16"/>
    </row>
    <row r="901" customFormat="false" ht="15" hidden="false" customHeight="false" outlineLevel="0" collapsed="false">
      <c r="A901" s="10" t="s">
        <v>3088</v>
      </c>
      <c r="B901" s="12" t="n">
        <f aca="false">COUNTIF(選手一覧!$C$7:$C$2738,A901)</f>
        <v>1</v>
      </c>
      <c r="C901" s="14" t="n">
        <f aca="false">COUNTIFS(選手一覧!$C$7:$C$2738,A901,選手一覧!$K$7:$K$2738,"&lt;=100")</f>
        <v>0</v>
      </c>
      <c r="D901" s="14" t="n">
        <f aca="false">COUNTIFS(選手一覧!$C$7:$C$2738,A901,選手一覧!$E$7:$E$2738,"&lt;=100")</f>
        <v>0</v>
      </c>
      <c r="E901" s="14" t="n">
        <f aca="false">COUNTIFS(選手一覧!$C$7:$C$2738,A901,選手一覧!$G$7:$G$2738,"&lt;=100")</f>
        <v>0</v>
      </c>
      <c r="F901" s="14" t="n">
        <f aca="false">COUNTIFS(選手一覧!$C$7:$C$2738,A901,選手一覧!$I$7:$I$2738,"&lt;=100")</f>
        <v>0</v>
      </c>
      <c r="G901" s="13" t="n">
        <f aca="false">_xlfn.MINIFS(選手一覧!$K$7:$K$2738,選手一覧!$C$7:$C$2738,A901)</f>
        <v>1052</v>
      </c>
      <c r="H901" s="16"/>
    </row>
    <row r="902" customFormat="false" ht="15" hidden="false" customHeight="false" outlineLevel="0" collapsed="false">
      <c r="A902" s="10" t="s">
        <v>3099</v>
      </c>
      <c r="B902" s="12" t="n">
        <f aca="false">COUNTIF(選手一覧!$C$7:$C$2738,A902)</f>
        <v>1</v>
      </c>
      <c r="C902" s="14" t="n">
        <f aca="false">COUNTIFS(選手一覧!$C$7:$C$2738,A902,選手一覧!$K$7:$K$2738,"&lt;=100")</f>
        <v>0</v>
      </c>
      <c r="D902" s="14" t="n">
        <f aca="false">COUNTIFS(選手一覧!$C$7:$C$2738,A902,選手一覧!$E$7:$E$2738,"&lt;=100")</f>
        <v>0</v>
      </c>
      <c r="E902" s="14" t="n">
        <f aca="false">COUNTIFS(選手一覧!$C$7:$C$2738,A902,選手一覧!$G$7:$G$2738,"&lt;=100")</f>
        <v>0</v>
      </c>
      <c r="F902" s="14" t="n">
        <f aca="false">COUNTIFS(選手一覧!$C$7:$C$2738,A902,選手一覧!$I$7:$I$2738,"&lt;=100")</f>
        <v>0</v>
      </c>
      <c r="G902" s="13" t="n">
        <f aca="false">_xlfn.MINIFS(選手一覧!$K$7:$K$2738,選手一覧!$C$7:$C$2738,A902)</f>
        <v>1060</v>
      </c>
      <c r="H902" s="16"/>
    </row>
    <row r="903" customFormat="false" ht="15" hidden="false" customHeight="false" outlineLevel="0" collapsed="false">
      <c r="A903" s="10" t="s">
        <v>3103</v>
      </c>
      <c r="B903" s="12" t="n">
        <f aca="false">COUNTIF(選手一覧!$C$7:$C$2738,A903)</f>
        <v>1</v>
      </c>
      <c r="C903" s="14" t="n">
        <f aca="false">COUNTIFS(選手一覧!$C$7:$C$2738,A903,選手一覧!$K$7:$K$2738,"&lt;=100")</f>
        <v>0</v>
      </c>
      <c r="D903" s="14" t="n">
        <f aca="false">COUNTIFS(選手一覧!$C$7:$C$2738,A903,選手一覧!$E$7:$E$2738,"&lt;=100")</f>
        <v>0</v>
      </c>
      <c r="E903" s="14" t="n">
        <f aca="false">COUNTIFS(選手一覧!$C$7:$C$2738,A903,選手一覧!$G$7:$G$2738,"&lt;=100")</f>
        <v>0</v>
      </c>
      <c r="F903" s="14" t="n">
        <f aca="false">COUNTIFS(選手一覧!$C$7:$C$2738,A903,選手一覧!$I$7:$I$2738,"&lt;=100")</f>
        <v>0</v>
      </c>
      <c r="G903" s="13" t="n">
        <f aca="false">_xlfn.MINIFS(選手一覧!$K$7:$K$2738,選手一覧!$C$7:$C$2738,A903)</f>
        <v>1061</v>
      </c>
      <c r="H903" s="16"/>
    </row>
    <row r="904" customFormat="false" ht="15" hidden="false" customHeight="false" outlineLevel="0" collapsed="false">
      <c r="A904" s="10" t="s">
        <v>3108</v>
      </c>
      <c r="B904" s="12" t="n">
        <f aca="false">COUNTIF(選手一覧!$C$7:$C$2738,A904)</f>
        <v>1</v>
      </c>
      <c r="C904" s="14" t="n">
        <f aca="false">COUNTIFS(選手一覧!$C$7:$C$2738,A904,選手一覧!$K$7:$K$2738,"&lt;=100")</f>
        <v>0</v>
      </c>
      <c r="D904" s="14" t="n">
        <f aca="false">COUNTIFS(選手一覧!$C$7:$C$2738,A904,選手一覧!$E$7:$E$2738,"&lt;=100")</f>
        <v>0</v>
      </c>
      <c r="E904" s="14" t="n">
        <f aca="false">COUNTIFS(選手一覧!$C$7:$C$2738,A904,選手一覧!$G$7:$G$2738,"&lt;=100")</f>
        <v>0</v>
      </c>
      <c r="F904" s="14" t="n">
        <f aca="false">COUNTIFS(選手一覧!$C$7:$C$2738,A904,選手一覧!$I$7:$I$2738,"&lt;=100")</f>
        <v>0</v>
      </c>
      <c r="G904" s="13" t="n">
        <f aca="false">_xlfn.MINIFS(選手一覧!$K$7:$K$2738,選手一覧!$C$7:$C$2738,A904)</f>
        <v>1063</v>
      </c>
      <c r="H904" s="16"/>
    </row>
    <row r="905" customFormat="false" ht="15" hidden="false" customHeight="false" outlineLevel="0" collapsed="false">
      <c r="A905" s="10" t="s">
        <v>3114</v>
      </c>
      <c r="B905" s="12" t="n">
        <f aca="false">COUNTIF(選手一覧!$C$7:$C$2738,A905)</f>
        <v>1</v>
      </c>
      <c r="C905" s="14" t="n">
        <f aca="false">COUNTIFS(選手一覧!$C$7:$C$2738,A905,選手一覧!$K$7:$K$2738,"&lt;=100")</f>
        <v>0</v>
      </c>
      <c r="D905" s="14" t="n">
        <f aca="false">COUNTIFS(選手一覧!$C$7:$C$2738,A905,選手一覧!$E$7:$E$2738,"&lt;=100")</f>
        <v>0</v>
      </c>
      <c r="E905" s="14" t="n">
        <f aca="false">COUNTIFS(選手一覧!$C$7:$C$2738,A905,選手一覧!$G$7:$G$2738,"&lt;=100")</f>
        <v>0</v>
      </c>
      <c r="F905" s="14" t="n">
        <f aca="false">COUNTIFS(選手一覧!$C$7:$C$2738,A905,選手一覧!$I$7:$I$2738,"&lt;=100")</f>
        <v>0</v>
      </c>
      <c r="G905" s="13" t="n">
        <f aca="false">_xlfn.MINIFS(選手一覧!$K$7:$K$2738,選手一覧!$C$7:$C$2738,A905)</f>
        <v>1067</v>
      </c>
      <c r="H905" s="16"/>
    </row>
    <row r="906" customFormat="false" ht="15" hidden="false" customHeight="false" outlineLevel="0" collapsed="false">
      <c r="A906" s="10" t="s">
        <v>3117</v>
      </c>
      <c r="B906" s="12" t="n">
        <f aca="false">COUNTIF(選手一覧!$C$7:$C$2738,A906)</f>
        <v>1</v>
      </c>
      <c r="C906" s="14" t="n">
        <f aca="false">COUNTIFS(選手一覧!$C$7:$C$2738,A906,選手一覧!$K$7:$K$2738,"&lt;=100")</f>
        <v>0</v>
      </c>
      <c r="D906" s="14" t="n">
        <f aca="false">COUNTIFS(選手一覧!$C$7:$C$2738,A906,選手一覧!$E$7:$E$2738,"&lt;=100")</f>
        <v>0</v>
      </c>
      <c r="E906" s="14" t="n">
        <f aca="false">COUNTIFS(選手一覧!$C$7:$C$2738,A906,選手一覧!$G$7:$G$2738,"&lt;=100")</f>
        <v>0</v>
      </c>
      <c r="F906" s="14" t="n">
        <f aca="false">COUNTIFS(選手一覧!$C$7:$C$2738,A906,選手一覧!$I$7:$I$2738,"&lt;=100")</f>
        <v>0</v>
      </c>
      <c r="G906" s="13" t="n">
        <f aca="false">_xlfn.MINIFS(選手一覧!$K$7:$K$2738,選手一覧!$C$7:$C$2738,A906)</f>
        <v>1069</v>
      </c>
      <c r="H906" s="16"/>
    </row>
    <row r="907" customFormat="false" ht="15" hidden="false" customHeight="false" outlineLevel="0" collapsed="false">
      <c r="A907" s="10" t="s">
        <v>3119</v>
      </c>
      <c r="B907" s="12" t="n">
        <f aca="false">COUNTIF(選手一覧!$C$7:$C$2738,A907)</f>
        <v>1</v>
      </c>
      <c r="C907" s="14" t="n">
        <f aca="false">COUNTIFS(選手一覧!$C$7:$C$2738,A907,選手一覧!$K$7:$K$2738,"&lt;=100")</f>
        <v>0</v>
      </c>
      <c r="D907" s="14" t="n">
        <f aca="false">COUNTIFS(選手一覧!$C$7:$C$2738,A907,選手一覧!$E$7:$E$2738,"&lt;=100")</f>
        <v>0</v>
      </c>
      <c r="E907" s="14" t="n">
        <f aca="false">COUNTIFS(選手一覧!$C$7:$C$2738,A907,選手一覧!$G$7:$G$2738,"&lt;=100")</f>
        <v>0</v>
      </c>
      <c r="F907" s="14" t="n">
        <f aca="false">COUNTIFS(選手一覧!$C$7:$C$2738,A907,選手一覧!$I$7:$I$2738,"&lt;=100")</f>
        <v>0</v>
      </c>
      <c r="G907" s="13" t="n">
        <f aca="false">_xlfn.MINIFS(選手一覧!$K$7:$K$2738,選手一覧!$C$7:$C$2738,A907)</f>
        <v>1069</v>
      </c>
      <c r="H907" s="16"/>
    </row>
    <row r="908" customFormat="false" ht="15" hidden="false" customHeight="false" outlineLevel="0" collapsed="false">
      <c r="A908" s="10" t="s">
        <v>3124</v>
      </c>
      <c r="B908" s="12" t="n">
        <f aca="false">COUNTIF(選手一覧!$C$7:$C$2738,A908)</f>
        <v>1</v>
      </c>
      <c r="C908" s="14" t="n">
        <f aca="false">COUNTIFS(選手一覧!$C$7:$C$2738,A908,選手一覧!$K$7:$K$2738,"&lt;=100")</f>
        <v>0</v>
      </c>
      <c r="D908" s="14" t="n">
        <f aca="false">COUNTIFS(選手一覧!$C$7:$C$2738,A908,選手一覧!$E$7:$E$2738,"&lt;=100")</f>
        <v>0</v>
      </c>
      <c r="E908" s="14" t="n">
        <f aca="false">COUNTIFS(選手一覧!$C$7:$C$2738,A908,選手一覧!$G$7:$G$2738,"&lt;=100")</f>
        <v>0</v>
      </c>
      <c r="F908" s="14" t="n">
        <f aca="false">COUNTIFS(選手一覧!$C$7:$C$2738,A908,選手一覧!$I$7:$I$2738,"&lt;=100")</f>
        <v>0</v>
      </c>
      <c r="G908" s="13" t="n">
        <f aca="false">_xlfn.MINIFS(選手一覧!$K$7:$K$2738,選手一覧!$C$7:$C$2738,A908)</f>
        <v>1071</v>
      </c>
      <c r="H908" s="16"/>
    </row>
    <row r="909" customFormat="false" ht="15" hidden="false" customHeight="false" outlineLevel="0" collapsed="false">
      <c r="A909" s="10" t="s">
        <v>3126</v>
      </c>
      <c r="B909" s="12" t="n">
        <f aca="false">COUNTIF(選手一覧!$C$7:$C$2738,A909)</f>
        <v>1</v>
      </c>
      <c r="C909" s="14" t="n">
        <f aca="false">COUNTIFS(選手一覧!$C$7:$C$2738,A909,選手一覧!$K$7:$K$2738,"&lt;=100")</f>
        <v>0</v>
      </c>
      <c r="D909" s="14" t="n">
        <f aca="false">COUNTIFS(選手一覧!$C$7:$C$2738,A909,選手一覧!$E$7:$E$2738,"&lt;=100")</f>
        <v>0</v>
      </c>
      <c r="E909" s="14" t="n">
        <f aca="false">COUNTIFS(選手一覧!$C$7:$C$2738,A909,選手一覧!$G$7:$G$2738,"&lt;=100")</f>
        <v>0</v>
      </c>
      <c r="F909" s="14" t="n">
        <f aca="false">COUNTIFS(選手一覧!$C$7:$C$2738,A909,選手一覧!$I$7:$I$2738,"&lt;=100")</f>
        <v>0</v>
      </c>
      <c r="G909" s="13" t="n">
        <f aca="false">_xlfn.MINIFS(選手一覧!$K$7:$K$2738,選手一覧!$C$7:$C$2738,A909)</f>
        <v>1072</v>
      </c>
      <c r="H909" s="16"/>
    </row>
    <row r="910" customFormat="false" ht="15" hidden="false" customHeight="false" outlineLevel="0" collapsed="false">
      <c r="A910" s="10" t="s">
        <v>3131</v>
      </c>
      <c r="B910" s="12" t="n">
        <f aca="false">COUNTIF(選手一覧!$C$7:$C$2738,A910)</f>
        <v>1</v>
      </c>
      <c r="C910" s="14" t="n">
        <f aca="false">COUNTIFS(選手一覧!$C$7:$C$2738,A910,選手一覧!$K$7:$K$2738,"&lt;=100")</f>
        <v>0</v>
      </c>
      <c r="D910" s="14" t="n">
        <f aca="false">COUNTIFS(選手一覧!$C$7:$C$2738,A910,選手一覧!$E$7:$E$2738,"&lt;=100")</f>
        <v>0</v>
      </c>
      <c r="E910" s="14" t="n">
        <f aca="false">COUNTIFS(選手一覧!$C$7:$C$2738,A910,選手一覧!$G$7:$G$2738,"&lt;=100")</f>
        <v>0</v>
      </c>
      <c r="F910" s="14" t="n">
        <f aca="false">COUNTIFS(選手一覧!$C$7:$C$2738,A910,選手一覧!$I$7:$I$2738,"&lt;=100")</f>
        <v>0</v>
      </c>
      <c r="G910" s="13" t="n">
        <f aca="false">_xlfn.MINIFS(選手一覧!$K$7:$K$2738,選手一覧!$C$7:$C$2738,A910)</f>
        <v>1074</v>
      </c>
      <c r="H910" s="16"/>
    </row>
    <row r="911" customFormat="false" ht="15" hidden="false" customHeight="false" outlineLevel="0" collapsed="false">
      <c r="A911" s="10" t="s">
        <v>3135</v>
      </c>
      <c r="B911" s="12" t="n">
        <f aca="false">COUNTIF(選手一覧!$C$7:$C$2738,A911)</f>
        <v>1</v>
      </c>
      <c r="C911" s="14" t="n">
        <f aca="false">COUNTIFS(選手一覧!$C$7:$C$2738,A911,選手一覧!$K$7:$K$2738,"&lt;=100")</f>
        <v>0</v>
      </c>
      <c r="D911" s="14" t="n">
        <f aca="false">COUNTIFS(選手一覧!$C$7:$C$2738,A911,選手一覧!$E$7:$E$2738,"&lt;=100")</f>
        <v>0</v>
      </c>
      <c r="E911" s="14" t="n">
        <f aca="false">COUNTIFS(選手一覧!$C$7:$C$2738,A911,選手一覧!$G$7:$G$2738,"&lt;=100")</f>
        <v>0</v>
      </c>
      <c r="F911" s="14" t="n">
        <f aca="false">COUNTIFS(選手一覧!$C$7:$C$2738,A911,選手一覧!$I$7:$I$2738,"&lt;=100")</f>
        <v>0</v>
      </c>
      <c r="G911" s="13" t="n">
        <f aca="false">_xlfn.MINIFS(選手一覧!$K$7:$K$2738,選手一覧!$C$7:$C$2738,A911)</f>
        <v>1075</v>
      </c>
      <c r="H911" s="16"/>
    </row>
    <row r="912" customFormat="false" ht="15" hidden="false" customHeight="false" outlineLevel="0" collapsed="false">
      <c r="A912" s="10" t="s">
        <v>3137</v>
      </c>
      <c r="B912" s="12" t="n">
        <f aca="false">COUNTIF(選手一覧!$C$7:$C$2738,A912)</f>
        <v>1</v>
      </c>
      <c r="C912" s="14" t="n">
        <f aca="false">COUNTIFS(選手一覧!$C$7:$C$2738,A912,選手一覧!$K$7:$K$2738,"&lt;=100")</f>
        <v>0</v>
      </c>
      <c r="D912" s="14" t="n">
        <f aca="false">COUNTIFS(選手一覧!$C$7:$C$2738,A912,選手一覧!$E$7:$E$2738,"&lt;=100")</f>
        <v>0</v>
      </c>
      <c r="E912" s="14" t="n">
        <f aca="false">COUNTIFS(選手一覧!$C$7:$C$2738,A912,選手一覧!$G$7:$G$2738,"&lt;=100")</f>
        <v>0</v>
      </c>
      <c r="F912" s="14" t="n">
        <f aca="false">COUNTIFS(選手一覧!$C$7:$C$2738,A912,選手一覧!$I$7:$I$2738,"&lt;=100")</f>
        <v>0</v>
      </c>
      <c r="G912" s="13" t="n">
        <f aca="false">_xlfn.MINIFS(選手一覧!$K$7:$K$2738,選手一覧!$C$7:$C$2738,A912)</f>
        <v>1075</v>
      </c>
      <c r="H912" s="16"/>
    </row>
    <row r="913" customFormat="false" ht="15" hidden="false" customHeight="false" outlineLevel="0" collapsed="false">
      <c r="A913" s="10" t="s">
        <v>3147</v>
      </c>
      <c r="B913" s="12" t="n">
        <f aca="false">COUNTIF(選手一覧!$C$7:$C$2738,A913)</f>
        <v>1</v>
      </c>
      <c r="C913" s="14" t="n">
        <f aca="false">COUNTIFS(選手一覧!$C$7:$C$2738,A913,選手一覧!$K$7:$K$2738,"&lt;=100")</f>
        <v>0</v>
      </c>
      <c r="D913" s="14" t="n">
        <f aca="false">COUNTIFS(選手一覧!$C$7:$C$2738,A913,選手一覧!$E$7:$E$2738,"&lt;=100")</f>
        <v>0</v>
      </c>
      <c r="E913" s="14" t="n">
        <f aca="false">COUNTIFS(選手一覧!$C$7:$C$2738,A913,選手一覧!$G$7:$G$2738,"&lt;=100")</f>
        <v>0</v>
      </c>
      <c r="F913" s="14" t="n">
        <f aca="false">COUNTIFS(選手一覧!$C$7:$C$2738,A913,選手一覧!$I$7:$I$2738,"&lt;=100")</f>
        <v>0</v>
      </c>
      <c r="G913" s="13" t="n">
        <f aca="false">_xlfn.MINIFS(選手一覧!$K$7:$K$2738,選手一覧!$C$7:$C$2738,A913)</f>
        <v>1080</v>
      </c>
      <c r="H913" s="16"/>
    </row>
    <row r="914" customFormat="false" ht="15" hidden="false" customHeight="false" outlineLevel="0" collapsed="false">
      <c r="A914" s="10" t="s">
        <v>3156</v>
      </c>
      <c r="B914" s="12" t="n">
        <f aca="false">COUNTIF(選手一覧!$C$7:$C$2738,A914)</f>
        <v>1</v>
      </c>
      <c r="C914" s="14" t="n">
        <f aca="false">COUNTIFS(選手一覧!$C$7:$C$2738,A914,選手一覧!$K$7:$K$2738,"&lt;=100")</f>
        <v>0</v>
      </c>
      <c r="D914" s="14" t="n">
        <f aca="false">COUNTIFS(選手一覧!$C$7:$C$2738,A914,選手一覧!$E$7:$E$2738,"&lt;=100")</f>
        <v>0</v>
      </c>
      <c r="E914" s="14" t="n">
        <f aca="false">COUNTIFS(選手一覧!$C$7:$C$2738,A914,選手一覧!$G$7:$G$2738,"&lt;=100")</f>
        <v>0</v>
      </c>
      <c r="F914" s="14" t="n">
        <f aca="false">COUNTIFS(選手一覧!$C$7:$C$2738,A914,選手一覧!$I$7:$I$2738,"&lt;=100")</f>
        <v>0</v>
      </c>
      <c r="G914" s="13" t="n">
        <f aca="false">_xlfn.MINIFS(選手一覧!$K$7:$K$2738,選手一覧!$C$7:$C$2738,A914)</f>
        <v>1086</v>
      </c>
      <c r="H914" s="16"/>
    </row>
    <row r="915" customFormat="false" ht="15" hidden="false" customHeight="false" outlineLevel="0" collapsed="false">
      <c r="A915" s="10" t="s">
        <v>3159</v>
      </c>
      <c r="B915" s="12" t="n">
        <f aca="false">COUNTIF(選手一覧!$C$7:$C$2738,A915)</f>
        <v>1</v>
      </c>
      <c r="C915" s="14" t="n">
        <f aca="false">COUNTIFS(選手一覧!$C$7:$C$2738,A915,選手一覧!$K$7:$K$2738,"&lt;=100")</f>
        <v>0</v>
      </c>
      <c r="D915" s="14" t="n">
        <f aca="false">COUNTIFS(選手一覧!$C$7:$C$2738,A915,選手一覧!$E$7:$E$2738,"&lt;=100")</f>
        <v>0</v>
      </c>
      <c r="E915" s="14" t="n">
        <f aca="false">COUNTIFS(選手一覧!$C$7:$C$2738,A915,選手一覧!$G$7:$G$2738,"&lt;=100")</f>
        <v>0</v>
      </c>
      <c r="F915" s="14" t="n">
        <f aca="false">COUNTIFS(選手一覧!$C$7:$C$2738,A915,選手一覧!$I$7:$I$2738,"&lt;=100")</f>
        <v>0</v>
      </c>
      <c r="G915" s="13" t="n">
        <f aca="false">_xlfn.MINIFS(選手一覧!$K$7:$K$2738,選手一覧!$C$7:$C$2738,A915)</f>
        <v>1087</v>
      </c>
      <c r="H915" s="16"/>
    </row>
    <row r="916" customFormat="false" ht="15" hidden="false" customHeight="false" outlineLevel="0" collapsed="false">
      <c r="A916" s="10" t="s">
        <v>3163</v>
      </c>
      <c r="B916" s="12" t="n">
        <f aca="false">COUNTIF(選手一覧!$C$7:$C$2738,A916)</f>
        <v>1</v>
      </c>
      <c r="C916" s="14" t="n">
        <f aca="false">COUNTIFS(選手一覧!$C$7:$C$2738,A916,選手一覧!$K$7:$K$2738,"&lt;=100")</f>
        <v>0</v>
      </c>
      <c r="D916" s="14" t="n">
        <f aca="false">COUNTIFS(選手一覧!$C$7:$C$2738,A916,選手一覧!$E$7:$E$2738,"&lt;=100")</f>
        <v>0</v>
      </c>
      <c r="E916" s="14" t="n">
        <f aca="false">COUNTIFS(選手一覧!$C$7:$C$2738,A916,選手一覧!$G$7:$G$2738,"&lt;=100")</f>
        <v>0</v>
      </c>
      <c r="F916" s="14" t="n">
        <f aca="false">COUNTIFS(選手一覧!$C$7:$C$2738,A916,選手一覧!$I$7:$I$2738,"&lt;=100")</f>
        <v>0</v>
      </c>
      <c r="G916" s="13" t="n">
        <f aca="false">_xlfn.MINIFS(選手一覧!$K$7:$K$2738,選手一覧!$C$7:$C$2738,A916)</f>
        <v>1089</v>
      </c>
      <c r="H916" s="16"/>
    </row>
    <row r="917" customFormat="false" ht="15" hidden="false" customHeight="false" outlineLevel="0" collapsed="false">
      <c r="A917" s="10" t="s">
        <v>3165</v>
      </c>
      <c r="B917" s="12" t="n">
        <f aca="false">COUNTIF(選手一覧!$C$7:$C$2738,A917)</f>
        <v>1</v>
      </c>
      <c r="C917" s="14" t="n">
        <f aca="false">COUNTIFS(選手一覧!$C$7:$C$2738,A917,選手一覧!$K$7:$K$2738,"&lt;=100")</f>
        <v>0</v>
      </c>
      <c r="D917" s="14" t="n">
        <f aca="false">COUNTIFS(選手一覧!$C$7:$C$2738,A917,選手一覧!$E$7:$E$2738,"&lt;=100")</f>
        <v>0</v>
      </c>
      <c r="E917" s="14" t="n">
        <f aca="false">COUNTIFS(選手一覧!$C$7:$C$2738,A917,選手一覧!$G$7:$G$2738,"&lt;=100")</f>
        <v>0</v>
      </c>
      <c r="F917" s="14" t="n">
        <f aca="false">COUNTIFS(選手一覧!$C$7:$C$2738,A917,選手一覧!$I$7:$I$2738,"&lt;=100")</f>
        <v>0</v>
      </c>
      <c r="G917" s="13" t="n">
        <f aca="false">_xlfn.MINIFS(選手一覧!$K$7:$K$2738,選手一覧!$C$7:$C$2738,A917)</f>
        <v>1089</v>
      </c>
      <c r="H917" s="16"/>
    </row>
    <row r="918" customFormat="false" ht="15" hidden="false" customHeight="false" outlineLevel="0" collapsed="false">
      <c r="A918" s="10" t="s">
        <v>3169</v>
      </c>
      <c r="B918" s="12" t="n">
        <f aca="false">COUNTIF(選手一覧!$C$7:$C$2738,A918)</f>
        <v>1</v>
      </c>
      <c r="C918" s="14" t="n">
        <f aca="false">COUNTIFS(選手一覧!$C$7:$C$2738,A918,選手一覧!$K$7:$K$2738,"&lt;=100")</f>
        <v>0</v>
      </c>
      <c r="D918" s="14" t="n">
        <f aca="false">COUNTIFS(選手一覧!$C$7:$C$2738,A918,選手一覧!$E$7:$E$2738,"&lt;=100")</f>
        <v>0</v>
      </c>
      <c r="E918" s="14" t="n">
        <f aca="false">COUNTIFS(選手一覧!$C$7:$C$2738,A918,選手一覧!$G$7:$G$2738,"&lt;=100")</f>
        <v>0</v>
      </c>
      <c r="F918" s="14" t="n">
        <f aca="false">COUNTIFS(選手一覧!$C$7:$C$2738,A918,選手一覧!$I$7:$I$2738,"&lt;=100")</f>
        <v>0</v>
      </c>
      <c r="G918" s="13" t="n">
        <f aca="false">_xlfn.MINIFS(選手一覧!$K$7:$K$2738,選手一覧!$C$7:$C$2738,A918)</f>
        <v>1090</v>
      </c>
      <c r="H918" s="16"/>
    </row>
    <row r="919" customFormat="false" ht="15" hidden="false" customHeight="false" outlineLevel="0" collapsed="false">
      <c r="A919" s="10" t="s">
        <v>3176</v>
      </c>
      <c r="B919" s="12" t="n">
        <f aca="false">COUNTIF(選手一覧!$C$7:$C$2738,A919)</f>
        <v>1</v>
      </c>
      <c r="C919" s="14" t="n">
        <f aca="false">COUNTIFS(選手一覧!$C$7:$C$2738,A919,選手一覧!$K$7:$K$2738,"&lt;=100")</f>
        <v>0</v>
      </c>
      <c r="D919" s="14" t="n">
        <f aca="false">COUNTIFS(選手一覧!$C$7:$C$2738,A919,選手一覧!$E$7:$E$2738,"&lt;=100")</f>
        <v>0</v>
      </c>
      <c r="E919" s="14" t="n">
        <f aca="false">COUNTIFS(選手一覧!$C$7:$C$2738,A919,選手一覧!$G$7:$G$2738,"&lt;=100")</f>
        <v>0</v>
      </c>
      <c r="F919" s="14" t="n">
        <f aca="false">COUNTIFS(選手一覧!$C$7:$C$2738,A919,選手一覧!$I$7:$I$2738,"&lt;=100")</f>
        <v>0</v>
      </c>
      <c r="G919" s="13" t="n">
        <f aca="false">_xlfn.MINIFS(選手一覧!$K$7:$K$2738,選手一覧!$C$7:$C$2738,A919)</f>
        <v>1093</v>
      </c>
      <c r="H919" s="16"/>
    </row>
    <row r="920" customFormat="false" ht="15" hidden="false" customHeight="false" outlineLevel="0" collapsed="false">
      <c r="A920" s="10" t="s">
        <v>3178</v>
      </c>
      <c r="B920" s="12" t="n">
        <f aca="false">COUNTIF(選手一覧!$C$7:$C$2738,A920)</f>
        <v>1</v>
      </c>
      <c r="C920" s="14" t="n">
        <f aca="false">COUNTIFS(選手一覧!$C$7:$C$2738,A920,選手一覧!$K$7:$K$2738,"&lt;=100")</f>
        <v>0</v>
      </c>
      <c r="D920" s="14" t="n">
        <f aca="false">COUNTIFS(選手一覧!$C$7:$C$2738,A920,選手一覧!$E$7:$E$2738,"&lt;=100")</f>
        <v>0</v>
      </c>
      <c r="E920" s="14" t="n">
        <f aca="false">COUNTIFS(選手一覧!$C$7:$C$2738,A920,選手一覧!$G$7:$G$2738,"&lt;=100")</f>
        <v>0</v>
      </c>
      <c r="F920" s="14" t="n">
        <f aca="false">COUNTIFS(選手一覧!$C$7:$C$2738,A920,選手一覧!$I$7:$I$2738,"&lt;=100")</f>
        <v>0</v>
      </c>
      <c r="G920" s="13" t="n">
        <f aca="false">_xlfn.MINIFS(選手一覧!$K$7:$K$2738,選手一覧!$C$7:$C$2738,A920)</f>
        <v>1093</v>
      </c>
      <c r="H920" s="16"/>
    </row>
    <row r="921" customFormat="false" ht="15" hidden="false" customHeight="false" outlineLevel="0" collapsed="false">
      <c r="A921" s="10" t="s">
        <v>3183</v>
      </c>
      <c r="B921" s="12" t="n">
        <f aca="false">COUNTIF(選手一覧!$C$7:$C$2738,A921)</f>
        <v>1</v>
      </c>
      <c r="C921" s="14" t="n">
        <f aca="false">COUNTIFS(選手一覧!$C$7:$C$2738,A921,選手一覧!$K$7:$K$2738,"&lt;=100")</f>
        <v>0</v>
      </c>
      <c r="D921" s="14" t="n">
        <f aca="false">COUNTIFS(選手一覧!$C$7:$C$2738,A921,選手一覧!$E$7:$E$2738,"&lt;=100")</f>
        <v>0</v>
      </c>
      <c r="E921" s="14" t="n">
        <f aca="false">COUNTIFS(選手一覧!$C$7:$C$2738,A921,選手一覧!$G$7:$G$2738,"&lt;=100")</f>
        <v>0</v>
      </c>
      <c r="F921" s="14" t="n">
        <f aca="false">COUNTIFS(選手一覧!$C$7:$C$2738,A921,選手一覧!$I$7:$I$2738,"&lt;=100")</f>
        <v>0</v>
      </c>
      <c r="G921" s="13" t="n">
        <f aca="false">_xlfn.MINIFS(選手一覧!$K$7:$K$2738,選手一覧!$C$7:$C$2738,A921)</f>
        <v>1095</v>
      </c>
      <c r="H921" s="16"/>
    </row>
    <row r="922" customFormat="false" ht="15" hidden="false" customHeight="false" outlineLevel="0" collapsed="false">
      <c r="A922" s="10" t="s">
        <v>3186</v>
      </c>
      <c r="B922" s="12" t="n">
        <f aca="false">COUNTIF(選手一覧!$C$7:$C$2738,A922)</f>
        <v>1</v>
      </c>
      <c r="C922" s="14" t="n">
        <f aca="false">COUNTIFS(選手一覧!$C$7:$C$2738,A922,選手一覧!$K$7:$K$2738,"&lt;=100")</f>
        <v>0</v>
      </c>
      <c r="D922" s="14" t="n">
        <f aca="false">COUNTIFS(選手一覧!$C$7:$C$2738,A922,選手一覧!$E$7:$E$2738,"&lt;=100")</f>
        <v>0</v>
      </c>
      <c r="E922" s="14" t="n">
        <f aca="false">COUNTIFS(選手一覧!$C$7:$C$2738,A922,選手一覧!$G$7:$G$2738,"&lt;=100")</f>
        <v>0</v>
      </c>
      <c r="F922" s="14" t="n">
        <f aca="false">COUNTIFS(選手一覧!$C$7:$C$2738,A922,選手一覧!$I$7:$I$2738,"&lt;=100")</f>
        <v>0</v>
      </c>
      <c r="G922" s="13" t="n">
        <f aca="false">_xlfn.MINIFS(選手一覧!$K$7:$K$2738,選手一覧!$C$7:$C$2738,A922)</f>
        <v>1096</v>
      </c>
      <c r="H922" s="16"/>
    </row>
    <row r="923" customFormat="false" ht="15" hidden="false" customHeight="false" outlineLevel="0" collapsed="false">
      <c r="A923" s="10" t="s">
        <v>3188</v>
      </c>
      <c r="B923" s="12" t="n">
        <f aca="false">COUNTIF(選手一覧!$C$7:$C$2738,A923)</f>
        <v>1</v>
      </c>
      <c r="C923" s="14" t="n">
        <f aca="false">COUNTIFS(選手一覧!$C$7:$C$2738,A923,選手一覧!$K$7:$K$2738,"&lt;=100")</f>
        <v>0</v>
      </c>
      <c r="D923" s="14" t="n">
        <f aca="false">COUNTIFS(選手一覧!$C$7:$C$2738,A923,選手一覧!$E$7:$E$2738,"&lt;=100")</f>
        <v>0</v>
      </c>
      <c r="E923" s="14" t="n">
        <f aca="false">COUNTIFS(選手一覧!$C$7:$C$2738,A923,選手一覧!$G$7:$G$2738,"&lt;=100")</f>
        <v>0</v>
      </c>
      <c r="F923" s="14" t="n">
        <f aca="false">COUNTIFS(選手一覧!$C$7:$C$2738,A923,選手一覧!$I$7:$I$2738,"&lt;=100")</f>
        <v>0</v>
      </c>
      <c r="G923" s="13" t="n">
        <f aca="false">_xlfn.MINIFS(選手一覧!$K$7:$K$2738,選手一覧!$C$7:$C$2738,A923)</f>
        <v>1097</v>
      </c>
      <c r="H923" s="16"/>
    </row>
    <row r="924" customFormat="false" ht="15" hidden="false" customHeight="false" outlineLevel="0" collapsed="false">
      <c r="A924" s="10" t="s">
        <v>3195</v>
      </c>
      <c r="B924" s="12" t="n">
        <f aca="false">COUNTIF(選手一覧!$C$7:$C$2738,A924)</f>
        <v>1</v>
      </c>
      <c r="C924" s="14" t="n">
        <f aca="false">COUNTIFS(選手一覧!$C$7:$C$2738,A924,選手一覧!$K$7:$K$2738,"&lt;=100")</f>
        <v>0</v>
      </c>
      <c r="D924" s="14" t="n">
        <f aca="false">COUNTIFS(選手一覧!$C$7:$C$2738,A924,選手一覧!$E$7:$E$2738,"&lt;=100")</f>
        <v>0</v>
      </c>
      <c r="E924" s="14" t="n">
        <f aca="false">COUNTIFS(選手一覧!$C$7:$C$2738,A924,選手一覧!$G$7:$G$2738,"&lt;=100")</f>
        <v>0</v>
      </c>
      <c r="F924" s="14" t="n">
        <f aca="false">COUNTIFS(選手一覧!$C$7:$C$2738,A924,選手一覧!$I$7:$I$2738,"&lt;=100")</f>
        <v>0</v>
      </c>
      <c r="G924" s="13" t="n">
        <f aca="false">_xlfn.MINIFS(選手一覧!$K$7:$K$2738,選手一覧!$C$7:$C$2738,A924)</f>
        <v>1100</v>
      </c>
      <c r="H924" s="16"/>
    </row>
    <row r="925" customFormat="false" ht="15" hidden="false" customHeight="false" outlineLevel="0" collapsed="false">
      <c r="A925" s="10" t="s">
        <v>3200</v>
      </c>
      <c r="B925" s="12" t="n">
        <f aca="false">COUNTIF(選手一覧!$C$7:$C$2738,A925)</f>
        <v>1</v>
      </c>
      <c r="C925" s="14" t="n">
        <f aca="false">COUNTIFS(選手一覧!$C$7:$C$2738,A925,選手一覧!$K$7:$K$2738,"&lt;=100")</f>
        <v>0</v>
      </c>
      <c r="D925" s="14" t="n">
        <f aca="false">COUNTIFS(選手一覧!$C$7:$C$2738,A925,選手一覧!$E$7:$E$2738,"&lt;=100")</f>
        <v>0</v>
      </c>
      <c r="E925" s="14" t="n">
        <f aca="false">COUNTIFS(選手一覧!$C$7:$C$2738,A925,選手一覧!$G$7:$G$2738,"&lt;=100")</f>
        <v>0</v>
      </c>
      <c r="F925" s="14" t="n">
        <f aca="false">COUNTIFS(選手一覧!$C$7:$C$2738,A925,選手一覧!$I$7:$I$2738,"&lt;=100")</f>
        <v>0</v>
      </c>
      <c r="G925" s="13" t="n">
        <f aca="false">_xlfn.MINIFS(選手一覧!$K$7:$K$2738,選手一覧!$C$7:$C$2738,A925)</f>
        <v>1102</v>
      </c>
      <c r="H925" s="16"/>
    </row>
    <row r="926" customFormat="false" ht="15" hidden="false" customHeight="false" outlineLevel="0" collapsed="false">
      <c r="A926" s="10" t="s">
        <v>3202</v>
      </c>
      <c r="B926" s="12" t="n">
        <f aca="false">COUNTIF(選手一覧!$C$7:$C$2738,A926)</f>
        <v>1</v>
      </c>
      <c r="C926" s="14" t="n">
        <f aca="false">COUNTIFS(選手一覧!$C$7:$C$2738,A926,選手一覧!$K$7:$K$2738,"&lt;=100")</f>
        <v>0</v>
      </c>
      <c r="D926" s="14" t="n">
        <f aca="false">COUNTIFS(選手一覧!$C$7:$C$2738,A926,選手一覧!$E$7:$E$2738,"&lt;=100")</f>
        <v>0</v>
      </c>
      <c r="E926" s="14" t="n">
        <f aca="false">COUNTIFS(選手一覧!$C$7:$C$2738,A926,選手一覧!$G$7:$G$2738,"&lt;=100")</f>
        <v>0</v>
      </c>
      <c r="F926" s="14" t="n">
        <f aca="false">COUNTIFS(選手一覧!$C$7:$C$2738,A926,選手一覧!$I$7:$I$2738,"&lt;=100")</f>
        <v>0</v>
      </c>
      <c r="G926" s="13" t="n">
        <f aca="false">_xlfn.MINIFS(選手一覧!$K$7:$K$2738,選手一覧!$C$7:$C$2738,A926)</f>
        <v>1102</v>
      </c>
      <c r="H926" s="16"/>
    </row>
    <row r="927" customFormat="false" ht="15" hidden="false" customHeight="false" outlineLevel="0" collapsed="false">
      <c r="A927" s="10" t="s">
        <v>3206</v>
      </c>
      <c r="B927" s="12" t="n">
        <f aca="false">COUNTIF(選手一覧!$C$7:$C$2738,A927)</f>
        <v>1</v>
      </c>
      <c r="C927" s="14" t="n">
        <f aca="false">COUNTIFS(選手一覧!$C$7:$C$2738,A927,選手一覧!$K$7:$K$2738,"&lt;=100")</f>
        <v>0</v>
      </c>
      <c r="D927" s="14" t="n">
        <f aca="false">COUNTIFS(選手一覧!$C$7:$C$2738,A927,選手一覧!$E$7:$E$2738,"&lt;=100")</f>
        <v>0</v>
      </c>
      <c r="E927" s="14" t="n">
        <f aca="false">COUNTIFS(選手一覧!$C$7:$C$2738,A927,選手一覧!$G$7:$G$2738,"&lt;=100")</f>
        <v>0</v>
      </c>
      <c r="F927" s="14" t="n">
        <f aca="false">COUNTIFS(選手一覧!$C$7:$C$2738,A927,選手一覧!$I$7:$I$2738,"&lt;=100")</f>
        <v>0</v>
      </c>
      <c r="G927" s="13" t="n">
        <f aca="false">_xlfn.MINIFS(選手一覧!$K$7:$K$2738,選手一覧!$C$7:$C$2738,A927)</f>
        <v>1104</v>
      </c>
      <c r="H927" s="16"/>
    </row>
    <row r="928" customFormat="false" ht="15" hidden="false" customHeight="false" outlineLevel="0" collapsed="false">
      <c r="A928" s="10" t="s">
        <v>3214</v>
      </c>
      <c r="B928" s="12" t="n">
        <f aca="false">COUNTIF(選手一覧!$C$7:$C$2738,A928)</f>
        <v>1</v>
      </c>
      <c r="C928" s="14" t="n">
        <f aca="false">COUNTIFS(選手一覧!$C$7:$C$2738,A928,選手一覧!$K$7:$K$2738,"&lt;=100")</f>
        <v>0</v>
      </c>
      <c r="D928" s="14" t="n">
        <f aca="false">COUNTIFS(選手一覧!$C$7:$C$2738,A928,選手一覧!$E$7:$E$2738,"&lt;=100")</f>
        <v>0</v>
      </c>
      <c r="E928" s="14" t="n">
        <f aca="false">COUNTIFS(選手一覧!$C$7:$C$2738,A928,選手一覧!$G$7:$G$2738,"&lt;=100")</f>
        <v>0</v>
      </c>
      <c r="F928" s="14" t="n">
        <f aca="false">COUNTIFS(選手一覧!$C$7:$C$2738,A928,選手一覧!$I$7:$I$2738,"&lt;=100")</f>
        <v>0</v>
      </c>
      <c r="G928" s="13" t="n">
        <f aca="false">_xlfn.MINIFS(選手一覧!$K$7:$K$2738,選手一覧!$C$7:$C$2738,A928)</f>
        <v>1107</v>
      </c>
      <c r="H928" s="16"/>
    </row>
    <row r="929" customFormat="false" ht="15" hidden="false" customHeight="false" outlineLevel="0" collapsed="false">
      <c r="A929" s="10" t="s">
        <v>3216</v>
      </c>
      <c r="B929" s="12" t="n">
        <f aca="false">COUNTIF(選手一覧!$C$7:$C$2738,A929)</f>
        <v>1</v>
      </c>
      <c r="C929" s="14" t="n">
        <f aca="false">COUNTIFS(選手一覧!$C$7:$C$2738,A929,選手一覧!$K$7:$K$2738,"&lt;=100")</f>
        <v>0</v>
      </c>
      <c r="D929" s="14" t="n">
        <f aca="false">COUNTIFS(選手一覧!$C$7:$C$2738,A929,選手一覧!$E$7:$E$2738,"&lt;=100")</f>
        <v>0</v>
      </c>
      <c r="E929" s="14" t="n">
        <f aca="false">COUNTIFS(選手一覧!$C$7:$C$2738,A929,選手一覧!$G$7:$G$2738,"&lt;=100")</f>
        <v>0</v>
      </c>
      <c r="F929" s="14" t="n">
        <f aca="false">COUNTIFS(選手一覧!$C$7:$C$2738,A929,選手一覧!$I$7:$I$2738,"&lt;=100")</f>
        <v>0</v>
      </c>
      <c r="G929" s="13" t="n">
        <f aca="false">_xlfn.MINIFS(選手一覧!$K$7:$K$2738,選手一覧!$C$7:$C$2738,A929)</f>
        <v>1108</v>
      </c>
      <c r="H929" s="16"/>
    </row>
    <row r="930" customFormat="false" ht="15" hidden="false" customHeight="false" outlineLevel="0" collapsed="false">
      <c r="A930" s="10" t="s">
        <v>3218</v>
      </c>
      <c r="B930" s="12" t="n">
        <f aca="false">COUNTIF(選手一覧!$C$7:$C$2738,A930)</f>
        <v>1</v>
      </c>
      <c r="C930" s="14" t="n">
        <f aca="false">COUNTIFS(選手一覧!$C$7:$C$2738,A930,選手一覧!$K$7:$K$2738,"&lt;=100")</f>
        <v>0</v>
      </c>
      <c r="D930" s="14" t="n">
        <f aca="false">COUNTIFS(選手一覧!$C$7:$C$2738,A930,選手一覧!$E$7:$E$2738,"&lt;=100")</f>
        <v>0</v>
      </c>
      <c r="E930" s="14" t="n">
        <f aca="false">COUNTIFS(選手一覧!$C$7:$C$2738,A930,選手一覧!$G$7:$G$2738,"&lt;=100")</f>
        <v>0</v>
      </c>
      <c r="F930" s="14" t="n">
        <f aca="false">COUNTIFS(選手一覧!$C$7:$C$2738,A930,選手一覧!$I$7:$I$2738,"&lt;=100")</f>
        <v>0</v>
      </c>
      <c r="G930" s="13" t="n">
        <f aca="false">_xlfn.MINIFS(選手一覧!$K$7:$K$2738,選手一覧!$C$7:$C$2738,A930)</f>
        <v>1108</v>
      </c>
      <c r="H930" s="16"/>
    </row>
    <row r="931" customFormat="false" ht="15" hidden="false" customHeight="false" outlineLevel="0" collapsed="false">
      <c r="A931" s="10" t="s">
        <v>3222</v>
      </c>
      <c r="B931" s="12" t="n">
        <f aca="false">COUNTIF(選手一覧!$C$7:$C$2738,A931)</f>
        <v>1</v>
      </c>
      <c r="C931" s="14" t="n">
        <f aca="false">COUNTIFS(選手一覧!$C$7:$C$2738,A931,選手一覧!$K$7:$K$2738,"&lt;=100")</f>
        <v>0</v>
      </c>
      <c r="D931" s="14" t="n">
        <f aca="false">COUNTIFS(選手一覧!$C$7:$C$2738,A931,選手一覧!$E$7:$E$2738,"&lt;=100")</f>
        <v>0</v>
      </c>
      <c r="E931" s="14" t="n">
        <f aca="false">COUNTIFS(選手一覧!$C$7:$C$2738,A931,選手一覧!$G$7:$G$2738,"&lt;=100")</f>
        <v>0</v>
      </c>
      <c r="F931" s="14" t="n">
        <f aca="false">COUNTIFS(選手一覧!$C$7:$C$2738,A931,選手一覧!$I$7:$I$2738,"&lt;=100")</f>
        <v>0</v>
      </c>
      <c r="G931" s="13" t="n">
        <f aca="false">_xlfn.MINIFS(選手一覧!$K$7:$K$2738,選手一覧!$C$7:$C$2738,A931)</f>
        <v>1109</v>
      </c>
      <c r="H931" s="16"/>
    </row>
    <row r="932" customFormat="false" ht="15" hidden="false" customHeight="false" outlineLevel="0" collapsed="false">
      <c r="A932" s="10" t="s">
        <v>3232</v>
      </c>
      <c r="B932" s="12" t="n">
        <f aca="false">COUNTIF(選手一覧!$C$7:$C$2738,A932)</f>
        <v>1</v>
      </c>
      <c r="C932" s="14" t="n">
        <f aca="false">COUNTIFS(選手一覧!$C$7:$C$2738,A932,選手一覧!$K$7:$K$2738,"&lt;=100")</f>
        <v>0</v>
      </c>
      <c r="D932" s="14" t="n">
        <f aca="false">COUNTIFS(選手一覧!$C$7:$C$2738,A932,選手一覧!$E$7:$E$2738,"&lt;=100")</f>
        <v>0</v>
      </c>
      <c r="E932" s="14" t="n">
        <f aca="false">COUNTIFS(選手一覧!$C$7:$C$2738,A932,選手一覧!$G$7:$G$2738,"&lt;=100")</f>
        <v>0</v>
      </c>
      <c r="F932" s="14" t="n">
        <f aca="false">COUNTIFS(選手一覧!$C$7:$C$2738,A932,選手一覧!$I$7:$I$2738,"&lt;=100")</f>
        <v>0</v>
      </c>
      <c r="G932" s="13" t="n">
        <f aca="false">_xlfn.MINIFS(選手一覧!$K$7:$K$2738,選手一覧!$C$7:$C$2738,A932)</f>
        <v>1114</v>
      </c>
      <c r="H932" s="16"/>
    </row>
    <row r="933" customFormat="false" ht="15" hidden="false" customHeight="false" outlineLevel="0" collapsed="false">
      <c r="A933" s="10" t="s">
        <v>3236</v>
      </c>
      <c r="B933" s="12" t="n">
        <f aca="false">COUNTIF(選手一覧!$C$7:$C$2738,A933)</f>
        <v>1</v>
      </c>
      <c r="C933" s="14" t="n">
        <f aca="false">COUNTIFS(選手一覧!$C$7:$C$2738,A933,選手一覧!$K$7:$K$2738,"&lt;=100")</f>
        <v>0</v>
      </c>
      <c r="D933" s="14" t="n">
        <f aca="false">COUNTIFS(選手一覧!$C$7:$C$2738,A933,選手一覧!$E$7:$E$2738,"&lt;=100")</f>
        <v>0</v>
      </c>
      <c r="E933" s="14" t="n">
        <f aca="false">COUNTIFS(選手一覧!$C$7:$C$2738,A933,選手一覧!$G$7:$G$2738,"&lt;=100")</f>
        <v>0</v>
      </c>
      <c r="F933" s="14" t="n">
        <f aca="false">COUNTIFS(選手一覧!$C$7:$C$2738,A933,選手一覧!$I$7:$I$2738,"&lt;=100")</f>
        <v>0</v>
      </c>
      <c r="G933" s="13" t="n">
        <f aca="false">_xlfn.MINIFS(選手一覧!$K$7:$K$2738,選手一覧!$C$7:$C$2738,A933)</f>
        <v>1115</v>
      </c>
      <c r="H933" s="16"/>
    </row>
    <row r="934" customFormat="false" ht="15" hidden="false" customHeight="false" outlineLevel="0" collapsed="false">
      <c r="A934" s="10" t="s">
        <v>3243</v>
      </c>
      <c r="B934" s="12" t="n">
        <f aca="false">COUNTIF(選手一覧!$C$7:$C$2738,A934)</f>
        <v>1</v>
      </c>
      <c r="C934" s="14" t="n">
        <f aca="false">COUNTIFS(選手一覧!$C$7:$C$2738,A934,選手一覧!$K$7:$K$2738,"&lt;=100")</f>
        <v>0</v>
      </c>
      <c r="D934" s="14" t="n">
        <f aca="false">COUNTIFS(選手一覧!$C$7:$C$2738,A934,選手一覧!$E$7:$E$2738,"&lt;=100")</f>
        <v>0</v>
      </c>
      <c r="E934" s="14" t="n">
        <f aca="false">COUNTIFS(選手一覧!$C$7:$C$2738,A934,選手一覧!$G$7:$G$2738,"&lt;=100")</f>
        <v>0</v>
      </c>
      <c r="F934" s="14" t="n">
        <f aca="false">COUNTIFS(選手一覧!$C$7:$C$2738,A934,選手一覧!$I$7:$I$2738,"&lt;=100")</f>
        <v>0</v>
      </c>
      <c r="G934" s="13" t="n">
        <f aca="false">_xlfn.MINIFS(選手一覧!$K$7:$K$2738,選手一覧!$C$7:$C$2738,A934)</f>
        <v>1118</v>
      </c>
      <c r="H934" s="16"/>
    </row>
    <row r="935" customFormat="false" ht="15" hidden="false" customHeight="false" outlineLevel="0" collapsed="false">
      <c r="A935" s="10" t="s">
        <v>3245</v>
      </c>
      <c r="B935" s="12" t="n">
        <f aca="false">COUNTIF(選手一覧!$C$7:$C$2738,A935)</f>
        <v>1</v>
      </c>
      <c r="C935" s="14" t="n">
        <f aca="false">COUNTIFS(選手一覧!$C$7:$C$2738,A935,選手一覧!$K$7:$K$2738,"&lt;=100")</f>
        <v>0</v>
      </c>
      <c r="D935" s="14" t="n">
        <f aca="false">COUNTIFS(選手一覧!$C$7:$C$2738,A935,選手一覧!$E$7:$E$2738,"&lt;=100")</f>
        <v>0</v>
      </c>
      <c r="E935" s="14" t="n">
        <f aca="false">COUNTIFS(選手一覧!$C$7:$C$2738,A935,選手一覧!$G$7:$G$2738,"&lt;=100")</f>
        <v>0</v>
      </c>
      <c r="F935" s="14" t="n">
        <f aca="false">COUNTIFS(選手一覧!$C$7:$C$2738,A935,選手一覧!$I$7:$I$2738,"&lt;=100")</f>
        <v>0</v>
      </c>
      <c r="G935" s="13" t="n">
        <f aca="false">_xlfn.MINIFS(選手一覧!$K$7:$K$2738,選手一覧!$C$7:$C$2738,A935)</f>
        <v>1119</v>
      </c>
      <c r="H935" s="16"/>
    </row>
    <row r="936" customFormat="false" ht="15" hidden="false" customHeight="false" outlineLevel="0" collapsed="false">
      <c r="A936" s="10" t="s">
        <v>3247</v>
      </c>
      <c r="B936" s="12" t="n">
        <f aca="false">COUNTIF(選手一覧!$C$7:$C$2738,A936)</f>
        <v>1</v>
      </c>
      <c r="C936" s="14" t="n">
        <f aca="false">COUNTIFS(選手一覧!$C$7:$C$2738,A936,選手一覧!$K$7:$K$2738,"&lt;=100")</f>
        <v>0</v>
      </c>
      <c r="D936" s="14" t="n">
        <f aca="false">COUNTIFS(選手一覧!$C$7:$C$2738,A936,選手一覧!$E$7:$E$2738,"&lt;=100")</f>
        <v>0</v>
      </c>
      <c r="E936" s="14" t="n">
        <f aca="false">COUNTIFS(選手一覧!$C$7:$C$2738,A936,選手一覧!$G$7:$G$2738,"&lt;=100")</f>
        <v>0</v>
      </c>
      <c r="F936" s="14" t="n">
        <f aca="false">COUNTIFS(選手一覧!$C$7:$C$2738,A936,選手一覧!$I$7:$I$2738,"&lt;=100")</f>
        <v>0</v>
      </c>
      <c r="G936" s="13" t="n">
        <f aca="false">_xlfn.MINIFS(選手一覧!$K$7:$K$2738,選手一覧!$C$7:$C$2738,A936)</f>
        <v>1120</v>
      </c>
      <c r="H936" s="16"/>
    </row>
    <row r="937" customFormat="false" ht="15" hidden="false" customHeight="false" outlineLevel="0" collapsed="false">
      <c r="A937" s="10" t="s">
        <v>3249</v>
      </c>
      <c r="B937" s="12" t="n">
        <f aca="false">COUNTIF(選手一覧!$C$7:$C$2738,A937)</f>
        <v>1</v>
      </c>
      <c r="C937" s="14" t="n">
        <f aca="false">COUNTIFS(選手一覧!$C$7:$C$2738,A937,選手一覧!$K$7:$K$2738,"&lt;=100")</f>
        <v>0</v>
      </c>
      <c r="D937" s="14" t="n">
        <f aca="false">COUNTIFS(選手一覧!$C$7:$C$2738,A937,選手一覧!$E$7:$E$2738,"&lt;=100")</f>
        <v>0</v>
      </c>
      <c r="E937" s="14" t="n">
        <f aca="false">COUNTIFS(選手一覧!$C$7:$C$2738,A937,選手一覧!$G$7:$G$2738,"&lt;=100")</f>
        <v>0</v>
      </c>
      <c r="F937" s="14" t="n">
        <f aca="false">COUNTIFS(選手一覧!$C$7:$C$2738,A937,選手一覧!$I$7:$I$2738,"&lt;=100")</f>
        <v>0</v>
      </c>
      <c r="G937" s="13" t="n">
        <f aca="false">_xlfn.MINIFS(選手一覧!$K$7:$K$2738,選手一覧!$C$7:$C$2738,A937)</f>
        <v>1120</v>
      </c>
      <c r="H937" s="16"/>
    </row>
    <row r="938" customFormat="false" ht="15" hidden="false" customHeight="false" outlineLevel="0" collapsed="false">
      <c r="A938" s="10" t="s">
        <v>3251</v>
      </c>
      <c r="B938" s="12" t="n">
        <f aca="false">COUNTIF(選手一覧!$C$7:$C$2738,A938)</f>
        <v>1</v>
      </c>
      <c r="C938" s="14" t="n">
        <f aca="false">COUNTIFS(選手一覧!$C$7:$C$2738,A938,選手一覧!$K$7:$K$2738,"&lt;=100")</f>
        <v>0</v>
      </c>
      <c r="D938" s="14" t="n">
        <f aca="false">COUNTIFS(選手一覧!$C$7:$C$2738,A938,選手一覧!$E$7:$E$2738,"&lt;=100")</f>
        <v>0</v>
      </c>
      <c r="E938" s="14" t="n">
        <f aca="false">COUNTIFS(選手一覧!$C$7:$C$2738,A938,選手一覧!$G$7:$G$2738,"&lt;=100")</f>
        <v>0</v>
      </c>
      <c r="F938" s="14" t="n">
        <f aca="false">COUNTIFS(選手一覧!$C$7:$C$2738,A938,選手一覧!$I$7:$I$2738,"&lt;=100")</f>
        <v>0</v>
      </c>
      <c r="G938" s="13" t="n">
        <f aca="false">_xlfn.MINIFS(選手一覧!$K$7:$K$2738,選手一覧!$C$7:$C$2738,A938)</f>
        <v>1121</v>
      </c>
      <c r="H938" s="16"/>
    </row>
    <row r="939" customFormat="false" ht="15" hidden="false" customHeight="false" outlineLevel="0" collapsed="false">
      <c r="A939" s="10" t="s">
        <v>3253</v>
      </c>
      <c r="B939" s="12" t="n">
        <f aca="false">COUNTIF(選手一覧!$C$7:$C$2738,A939)</f>
        <v>1</v>
      </c>
      <c r="C939" s="14" t="n">
        <f aca="false">COUNTIFS(選手一覧!$C$7:$C$2738,A939,選手一覧!$K$7:$K$2738,"&lt;=100")</f>
        <v>0</v>
      </c>
      <c r="D939" s="14" t="n">
        <f aca="false">COUNTIFS(選手一覧!$C$7:$C$2738,A939,選手一覧!$E$7:$E$2738,"&lt;=100")</f>
        <v>0</v>
      </c>
      <c r="E939" s="14" t="n">
        <f aca="false">COUNTIFS(選手一覧!$C$7:$C$2738,A939,選手一覧!$G$7:$G$2738,"&lt;=100")</f>
        <v>0</v>
      </c>
      <c r="F939" s="14" t="n">
        <f aca="false">COUNTIFS(選手一覧!$C$7:$C$2738,A939,選手一覧!$I$7:$I$2738,"&lt;=100")</f>
        <v>0</v>
      </c>
      <c r="G939" s="13" t="n">
        <f aca="false">_xlfn.MINIFS(選手一覧!$K$7:$K$2738,選手一覧!$C$7:$C$2738,A939)</f>
        <v>1121</v>
      </c>
      <c r="H939" s="16"/>
    </row>
    <row r="940" customFormat="false" ht="15" hidden="false" customHeight="false" outlineLevel="0" collapsed="false">
      <c r="A940" s="10" t="s">
        <v>3256</v>
      </c>
      <c r="B940" s="12" t="n">
        <f aca="false">COUNTIF(選手一覧!$C$7:$C$2738,A940)</f>
        <v>1</v>
      </c>
      <c r="C940" s="14" t="n">
        <f aca="false">COUNTIFS(選手一覧!$C$7:$C$2738,A940,選手一覧!$K$7:$K$2738,"&lt;=100")</f>
        <v>0</v>
      </c>
      <c r="D940" s="14" t="n">
        <f aca="false">COUNTIFS(選手一覧!$C$7:$C$2738,A940,選手一覧!$E$7:$E$2738,"&lt;=100")</f>
        <v>0</v>
      </c>
      <c r="E940" s="14" t="n">
        <f aca="false">COUNTIFS(選手一覧!$C$7:$C$2738,A940,選手一覧!$G$7:$G$2738,"&lt;=100")</f>
        <v>0</v>
      </c>
      <c r="F940" s="14" t="n">
        <f aca="false">COUNTIFS(選手一覧!$C$7:$C$2738,A940,選手一覧!$I$7:$I$2738,"&lt;=100")</f>
        <v>0</v>
      </c>
      <c r="G940" s="13" t="n">
        <f aca="false">_xlfn.MINIFS(選手一覧!$K$7:$K$2738,選手一覧!$C$7:$C$2738,A940)</f>
        <v>1122</v>
      </c>
      <c r="H940" s="16"/>
    </row>
    <row r="941" customFormat="false" ht="15" hidden="false" customHeight="false" outlineLevel="0" collapsed="false">
      <c r="A941" s="10" t="s">
        <v>3260</v>
      </c>
      <c r="B941" s="12" t="n">
        <f aca="false">COUNTIF(選手一覧!$C$7:$C$2738,A941)</f>
        <v>1</v>
      </c>
      <c r="C941" s="14" t="n">
        <f aca="false">COUNTIFS(選手一覧!$C$7:$C$2738,A941,選手一覧!$K$7:$K$2738,"&lt;=100")</f>
        <v>0</v>
      </c>
      <c r="D941" s="14" t="n">
        <f aca="false">COUNTIFS(選手一覧!$C$7:$C$2738,A941,選手一覧!$E$7:$E$2738,"&lt;=100")</f>
        <v>0</v>
      </c>
      <c r="E941" s="14" t="n">
        <f aca="false">COUNTIFS(選手一覧!$C$7:$C$2738,A941,選手一覧!$G$7:$G$2738,"&lt;=100")</f>
        <v>0</v>
      </c>
      <c r="F941" s="14" t="n">
        <f aca="false">COUNTIFS(選手一覧!$C$7:$C$2738,A941,選手一覧!$I$7:$I$2738,"&lt;=100")</f>
        <v>0</v>
      </c>
      <c r="G941" s="13" t="n">
        <f aca="false">_xlfn.MINIFS(選手一覧!$K$7:$K$2738,選手一覧!$C$7:$C$2738,A941)</f>
        <v>1123</v>
      </c>
      <c r="H941" s="16"/>
    </row>
    <row r="942" customFormat="false" ht="15" hidden="false" customHeight="false" outlineLevel="0" collapsed="false">
      <c r="A942" s="10" t="s">
        <v>3262</v>
      </c>
      <c r="B942" s="12" t="n">
        <f aca="false">COUNTIF(選手一覧!$C$7:$C$2738,A942)</f>
        <v>1</v>
      </c>
      <c r="C942" s="14" t="n">
        <f aca="false">COUNTIFS(選手一覧!$C$7:$C$2738,A942,選手一覧!$K$7:$K$2738,"&lt;=100")</f>
        <v>0</v>
      </c>
      <c r="D942" s="14" t="n">
        <f aca="false">COUNTIFS(選手一覧!$C$7:$C$2738,A942,選手一覧!$E$7:$E$2738,"&lt;=100")</f>
        <v>0</v>
      </c>
      <c r="E942" s="14" t="n">
        <f aca="false">COUNTIFS(選手一覧!$C$7:$C$2738,A942,選手一覧!$G$7:$G$2738,"&lt;=100")</f>
        <v>0</v>
      </c>
      <c r="F942" s="14" t="n">
        <f aca="false">COUNTIFS(選手一覧!$C$7:$C$2738,A942,選手一覧!$I$7:$I$2738,"&lt;=100")</f>
        <v>0</v>
      </c>
      <c r="G942" s="13" t="n">
        <f aca="false">_xlfn.MINIFS(選手一覧!$K$7:$K$2738,選手一覧!$C$7:$C$2738,A942)</f>
        <v>1124</v>
      </c>
      <c r="H942" s="16"/>
    </row>
    <row r="943" customFormat="false" ht="15" hidden="false" customHeight="false" outlineLevel="0" collapsed="false">
      <c r="A943" s="10" t="s">
        <v>3275</v>
      </c>
      <c r="B943" s="12" t="n">
        <f aca="false">COUNTIF(選手一覧!$C$7:$C$2738,A943)</f>
        <v>1</v>
      </c>
      <c r="C943" s="14" t="n">
        <f aca="false">COUNTIFS(選手一覧!$C$7:$C$2738,A943,選手一覧!$K$7:$K$2738,"&lt;=100")</f>
        <v>0</v>
      </c>
      <c r="D943" s="14" t="n">
        <f aca="false">COUNTIFS(選手一覧!$C$7:$C$2738,A943,選手一覧!$E$7:$E$2738,"&lt;=100")</f>
        <v>0</v>
      </c>
      <c r="E943" s="14" t="n">
        <f aca="false">COUNTIFS(選手一覧!$C$7:$C$2738,A943,選手一覧!$G$7:$G$2738,"&lt;=100")</f>
        <v>0</v>
      </c>
      <c r="F943" s="14" t="n">
        <f aca="false">COUNTIFS(選手一覧!$C$7:$C$2738,A943,選手一覧!$I$7:$I$2738,"&lt;=100")</f>
        <v>0</v>
      </c>
      <c r="G943" s="13" t="n">
        <f aca="false">_xlfn.MINIFS(選手一覧!$K$7:$K$2738,選手一覧!$C$7:$C$2738,A943)</f>
        <v>1130</v>
      </c>
      <c r="H943" s="16"/>
    </row>
    <row r="944" customFormat="false" ht="15" hidden="false" customHeight="false" outlineLevel="0" collapsed="false">
      <c r="A944" s="10" t="s">
        <v>3280</v>
      </c>
      <c r="B944" s="12" t="n">
        <f aca="false">COUNTIF(選手一覧!$C$7:$C$2738,A944)</f>
        <v>1</v>
      </c>
      <c r="C944" s="14" t="n">
        <f aca="false">COUNTIFS(選手一覧!$C$7:$C$2738,A944,選手一覧!$K$7:$K$2738,"&lt;=100")</f>
        <v>0</v>
      </c>
      <c r="D944" s="14" t="n">
        <f aca="false">COUNTIFS(選手一覧!$C$7:$C$2738,A944,選手一覧!$E$7:$E$2738,"&lt;=100")</f>
        <v>0</v>
      </c>
      <c r="E944" s="14" t="n">
        <f aca="false">COUNTIFS(選手一覧!$C$7:$C$2738,A944,選手一覧!$G$7:$G$2738,"&lt;=100")</f>
        <v>0</v>
      </c>
      <c r="F944" s="14" t="n">
        <f aca="false">COUNTIFS(選手一覧!$C$7:$C$2738,A944,選手一覧!$I$7:$I$2738,"&lt;=100")</f>
        <v>0</v>
      </c>
      <c r="G944" s="13" t="n">
        <f aca="false">_xlfn.MINIFS(選手一覧!$K$7:$K$2738,選手一覧!$C$7:$C$2738,A944)</f>
        <v>1131</v>
      </c>
      <c r="H944" s="16"/>
    </row>
    <row r="945" customFormat="false" ht="15" hidden="false" customHeight="false" outlineLevel="0" collapsed="false">
      <c r="A945" s="10" t="s">
        <v>3285</v>
      </c>
      <c r="B945" s="12" t="n">
        <f aca="false">COUNTIF(選手一覧!$C$7:$C$2738,A945)</f>
        <v>1</v>
      </c>
      <c r="C945" s="14" t="n">
        <f aca="false">COUNTIFS(選手一覧!$C$7:$C$2738,A945,選手一覧!$K$7:$K$2738,"&lt;=100")</f>
        <v>0</v>
      </c>
      <c r="D945" s="14" t="n">
        <f aca="false">COUNTIFS(選手一覧!$C$7:$C$2738,A945,選手一覧!$E$7:$E$2738,"&lt;=100")</f>
        <v>0</v>
      </c>
      <c r="E945" s="14" t="n">
        <f aca="false">COUNTIFS(選手一覧!$C$7:$C$2738,A945,選手一覧!$G$7:$G$2738,"&lt;=100")</f>
        <v>0</v>
      </c>
      <c r="F945" s="14" t="n">
        <f aca="false">COUNTIFS(選手一覧!$C$7:$C$2738,A945,選手一覧!$I$7:$I$2738,"&lt;=100")</f>
        <v>0</v>
      </c>
      <c r="G945" s="13" t="n">
        <f aca="false">_xlfn.MINIFS(選手一覧!$K$7:$K$2738,選手一覧!$C$7:$C$2738,A945)</f>
        <v>1133</v>
      </c>
      <c r="H945" s="16"/>
    </row>
    <row r="946" customFormat="false" ht="15" hidden="false" customHeight="false" outlineLevel="0" collapsed="false">
      <c r="A946" s="10" t="s">
        <v>3287</v>
      </c>
      <c r="B946" s="12" t="n">
        <f aca="false">COUNTIF(選手一覧!$C$7:$C$2738,A946)</f>
        <v>1</v>
      </c>
      <c r="C946" s="14" t="n">
        <f aca="false">COUNTIFS(選手一覧!$C$7:$C$2738,A946,選手一覧!$K$7:$K$2738,"&lt;=100")</f>
        <v>0</v>
      </c>
      <c r="D946" s="14" t="n">
        <f aca="false">COUNTIFS(選手一覧!$C$7:$C$2738,A946,選手一覧!$E$7:$E$2738,"&lt;=100")</f>
        <v>0</v>
      </c>
      <c r="E946" s="14" t="n">
        <f aca="false">COUNTIFS(選手一覧!$C$7:$C$2738,A946,選手一覧!$G$7:$G$2738,"&lt;=100")</f>
        <v>0</v>
      </c>
      <c r="F946" s="14" t="n">
        <f aca="false">COUNTIFS(選手一覧!$C$7:$C$2738,A946,選手一覧!$I$7:$I$2738,"&lt;=100")</f>
        <v>0</v>
      </c>
      <c r="G946" s="13" t="n">
        <f aca="false">_xlfn.MINIFS(選手一覧!$K$7:$K$2738,選手一覧!$C$7:$C$2738,A946)</f>
        <v>1134</v>
      </c>
      <c r="H946" s="16"/>
    </row>
    <row r="947" customFormat="false" ht="15" hidden="false" customHeight="false" outlineLevel="0" collapsed="false">
      <c r="A947" s="10" t="s">
        <v>3292</v>
      </c>
      <c r="B947" s="12" t="n">
        <f aca="false">COUNTIF(選手一覧!$C$7:$C$2738,A947)</f>
        <v>1</v>
      </c>
      <c r="C947" s="14" t="n">
        <f aca="false">COUNTIFS(選手一覧!$C$7:$C$2738,A947,選手一覧!$K$7:$K$2738,"&lt;=100")</f>
        <v>0</v>
      </c>
      <c r="D947" s="14" t="n">
        <f aca="false">COUNTIFS(選手一覧!$C$7:$C$2738,A947,選手一覧!$E$7:$E$2738,"&lt;=100")</f>
        <v>0</v>
      </c>
      <c r="E947" s="14" t="n">
        <f aca="false">COUNTIFS(選手一覧!$C$7:$C$2738,A947,選手一覧!$G$7:$G$2738,"&lt;=100")</f>
        <v>0</v>
      </c>
      <c r="F947" s="14" t="n">
        <f aca="false">COUNTIFS(選手一覧!$C$7:$C$2738,A947,選手一覧!$I$7:$I$2738,"&lt;=100")</f>
        <v>0</v>
      </c>
      <c r="G947" s="13" t="n">
        <f aca="false">_xlfn.MINIFS(選手一覧!$K$7:$K$2738,選手一覧!$C$7:$C$2738,A947)</f>
        <v>1135</v>
      </c>
      <c r="H947" s="16"/>
    </row>
    <row r="948" customFormat="false" ht="15" hidden="false" customHeight="false" outlineLevel="0" collapsed="false">
      <c r="A948" s="10" t="s">
        <v>3294</v>
      </c>
      <c r="B948" s="12" t="n">
        <f aca="false">COUNTIF(選手一覧!$C$7:$C$2738,A948)</f>
        <v>1</v>
      </c>
      <c r="C948" s="14" t="n">
        <f aca="false">COUNTIFS(選手一覧!$C$7:$C$2738,A948,選手一覧!$K$7:$K$2738,"&lt;=100")</f>
        <v>0</v>
      </c>
      <c r="D948" s="14" t="n">
        <f aca="false">COUNTIFS(選手一覧!$C$7:$C$2738,A948,選手一覧!$E$7:$E$2738,"&lt;=100")</f>
        <v>0</v>
      </c>
      <c r="E948" s="14" t="n">
        <f aca="false">COUNTIFS(選手一覧!$C$7:$C$2738,A948,選手一覧!$G$7:$G$2738,"&lt;=100")</f>
        <v>0</v>
      </c>
      <c r="F948" s="14" t="n">
        <f aca="false">COUNTIFS(選手一覧!$C$7:$C$2738,A948,選手一覧!$I$7:$I$2738,"&lt;=100")</f>
        <v>0</v>
      </c>
      <c r="G948" s="13" t="n">
        <f aca="false">_xlfn.MINIFS(選手一覧!$K$7:$K$2738,選手一覧!$C$7:$C$2738,A948)</f>
        <v>1137</v>
      </c>
      <c r="H948" s="16"/>
    </row>
    <row r="949" customFormat="false" ht="15" hidden="false" customHeight="false" outlineLevel="0" collapsed="false">
      <c r="A949" s="10" t="s">
        <v>3296</v>
      </c>
      <c r="B949" s="12" t="n">
        <f aca="false">COUNTIF(選手一覧!$C$7:$C$2738,A949)</f>
        <v>1</v>
      </c>
      <c r="C949" s="14" t="n">
        <f aca="false">COUNTIFS(選手一覧!$C$7:$C$2738,A949,選手一覧!$K$7:$K$2738,"&lt;=100")</f>
        <v>0</v>
      </c>
      <c r="D949" s="14" t="n">
        <f aca="false">COUNTIFS(選手一覧!$C$7:$C$2738,A949,選手一覧!$E$7:$E$2738,"&lt;=100")</f>
        <v>0</v>
      </c>
      <c r="E949" s="14" t="n">
        <f aca="false">COUNTIFS(選手一覧!$C$7:$C$2738,A949,選手一覧!$G$7:$G$2738,"&lt;=100")</f>
        <v>0</v>
      </c>
      <c r="F949" s="14" t="n">
        <f aca="false">COUNTIFS(選手一覧!$C$7:$C$2738,A949,選手一覧!$I$7:$I$2738,"&lt;=100")</f>
        <v>0</v>
      </c>
      <c r="G949" s="13" t="n">
        <f aca="false">_xlfn.MINIFS(選手一覧!$K$7:$K$2738,選手一覧!$C$7:$C$2738,A949)</f>
        <v>1137</v>
      </c>
      <c r="H949" s="16"/>
    </row>
    <row r="950" customFormat="false" ht="15" hidden="false" customHeight="false" outlineLevel="0" collapsed="false">
      <c r="A950" s="10" t="s">
        <v>3299</v>
      </c>
      <c r="B950" s="12" t="n">
        <f aca="false">COUNTIF(選手一覧!$C$7:$C$2738,A950)</f>
        <v>1</v>
      </c>
      <c r="C950" s="14" t="n">
        <f aca="false">COUNTIFS(選手一覧!$C$7:$C$2738,A950,選手一覧!$K$7:$K$2738,"&lt;=100")</f>
        <v>0</v>
      </c>
      <c r="D950" s="14" t="n">
        <f aca="false">COUNTIFS(選手一覧!$C$7:$C$2738,A950,選手一覧!$E$7:$E$2738,"&lt;=100")</f>
        <v>0</v>
      </c>
      <c r="E950" s="14" t="n">
        <f aca="false">COUNTIFS(選手一覧!$C$7:$C$2738,A950,選手一覧!$G$7:$G$2738,"&lt;=100")</f>
        <v>0</v>
      </c>
      <c r="F950" s="14" t="n">
        <f aca="false">COUNTIFS(選手一覧!$C$7:$C$2738,A950,選手一覧!$I$7:$I$2738,"&lt;=100")</f>
        <v>0</v>
      </c>
      <c r="G950" s="13" t="n">
        <f aca="false">_xlfn.MINIFS(選手一覧!$K$7:$K$2738,選手一覧!$C$7:$C$2738,A950)</f>
        <v>1138</v>
      </c>
      <c r="H950" s="16"/>
    </row>
    <row r="951" customFormat="false" ht="15" hidden="false" customHeight="false" outlineLevel="0" collapsed="false">
      <c r="A951" s="10" t="s">
        <v>3305</v>
      </c>
      <c r="B951" s="12" t="n">
        <f aca="false">COUNTIF(選手一覧!$C$7:$C$2738,A951)</f>
        <v>1</v>
      </c>
      <c r="C951" s="14" t="n">
        <f aca="false">COUNTIFS(選手一覧!$C$7:$C$2738,A951,選手一覧!$K$7:$K$2738,"&lt;=100")</f>
        <v>0</v>
      </c>
      <c r="D951" s="14" t="n">
        <f aca="false">COUNTIFS(選手一覧!$C$7:$C$2738,A951,選手一覧!$E$7:$E$2738,"&lt;=100")</f>
        <v>0</v>
      </c>
      <c r="E951" s="14" t="n">
        <f aca="false">COUNTIFS(選手一覧!$C$7:$C$2738,A951,選手一覧!$G$7:$G$2738,"&lt;=100")</f>
        <v>0</v>
      </c>
      <c r="F951" s="14" t="n">
        <f aca="false">COUNTIFS(選手一覧!$C$7:$C$2738,A951,選手一覧!$I$7:$I$2738,"&lt;=100")</f>
        <v>0</v>
      </c>
      <c r="G951" s="13" t="n">
        <f aca="false">_xlfn.MINIFS(選手一覧!$K$7:$K$2738,選手一覧!$C$7:$C$2738,A951)</f>
        <v>1141</v>
      </c>
      <c r="H951" s="16"/>
    </row>
    <row r="952" customFormat="false" ht="15" hidden="false" customHeight="false" outlineLevel="0" collapsed="false">
      <c r="A952" s="10" t="s">
        <v>3308</v>
      </c>
      <c r="B952" s="12" t="n">
        <f aca="false">COUNTIF(選手一覧!$C$7:$C$2738,A952)</f>
        <v>1</v>
      </c>
      <c r="C952" s="14" t="n">
        <f aca="false">COUNTIFS(選手一覧!$C$7:$C$2738,A952,選手一覧!$K$7:$K$2738,"&lt;=100")</f>
        <v>0</v>
      </c>
      <c r="D952" s="14" t="n">
        <f aca="false">COUNTIFS(選手一覧!$C$7:$C$2738,A952,選手一覧!$E$7:$E$2738,"&lt;=100")</f>
        <v>0</v>
      </c>
      <c r="E952" s="14" t="n">
        <f aca="false">COUNTIFS(選手一覧!$C$7:$C$2738,A952,選手一覧!$G$7:$G$2738,"&lt;=100")</f>
        <v>0</v>
      </c>
      <c r="F952" s="14" t="n">
        <f aca="false">COUNTIFS(選手一覧!$C$7:$C$2738,A952,選手一覧!$I$7:$I$2738,"&lt;=100")</f>
        <v>0</v>
      </c>
      <c r="G952" s="13" t="n">
        <f aca="false">_xlfn.MINIFS(選手一覧!$K$7:$K$2738,選手一覧!$C$7:$C$2738,A952)</f>
        <v>1143</v>
      </c>
      <c r="H952" s="16"/>
    </row>
    <row r="953" customFormat="false" ht="15" hidden="false" customHeight="false" outlineLevel="0" collapsed="false">
      <c r="A953" s="10" t="s">
        <v>3311</v>
      </c>
      <c r="B953" s="12" t="n">
        <f aca="false">COUNTIF(選手一覧!$C$7:$C$2738,A953)</f>
        <v>1</v>
      </c>
      <c r="C953" s="14" t="n">
        <f aca="false">COUNTIFS(選手一覧!$C$7:$C$2738,A953,選手一覧!$K$7:$K$2738,"&lt;=100")</f>
        <v>0</v>
      </c>
      <c r="D953" s="14" t="n">
        <f aca="false">COUNTIFS(選手一覧!$C$7:$C$2738,A953,選手一覧!$E$7:$E$2738,"&lt;=100")</f>
        <v>0</v>
      </c>
      <c r="E953" s="14" t="n">
        <f aca="false">COUNTIFS(選手一覧!$C$7:$C$2738,A953,選手一覧!$G$7:$G$2738,"&lt;=100")</f>
        <v>0</v>
      </c>
      <c r="F953" s="14" t="n">
        <f aca="false">COUNTIFS(選手一覧!$C$7:$C$2738,A953,選手一覧!$I$7:$I$2738,"&lt;=100")</f>
        <v>0</v>
      </c>
      <c r="G953" s="13" t="n">
        <f aca="false">_xlfn.MINIFS(選手一覧!$K$7:$K$2738,選手一覧!$C$7:$C$2738,A953)</f>
        <v>1145</v>
      </c>
      <c r="H953" s="16"/>
    </row>
    <row r="954" customFormat="false" ht="15" hidden="false" customHeight="false" outlineLevel="0" collapsed="false">
      <c r="A954" s="10" t="s">
        <v>3313</v>
      </c>
      <c r="B954" s="12" t="n">
        <f aca="false">COUNTIF(選手一覧!$C$7:$C$2738,A954)</f>
        <v>1</v>
      </c>
      <c r="C954" s="14" t="n">
        <f aca="false">COUNTIFS(選手一覧!$C$7:$C$2738,A954,選手一覧!$K$7:$K$2738,"&lt;=100")</f>
        <v>0</v>
      </c>
      <c r="D954" s="14" t="n">
        <f aca="false">COUNTIFS(選手一覧!$C$7:$C$2738,A954,選手一覧!$E$7:$E$2738,"&lt;=100")</f>
        <v>0</v>
      </c>
      <c r="E954" s="14" t="n">
        <f aca="false">COUNTIFS(選手一覧!$C$7:$C$2738,A954,選手一覧!$G$7:$G$2738,"&lt;=100")</f>
        <v>0</v>
      </c>
      <c r="F954" s="14" t="n">
        <f aca="false">COUNTIFS(選手一覧!$C$7:$C$2738,A954,選手一覧!$I$7:$I$2738,"&lt;=100")</f>
        <v>0</v>
      </c>
      <c r="G954" s="13" t="n">
        <f aca="false">_xlfn.MINIFS(選手一覧!$K$7:$K$2738,選手一覧!$C$7:$C$2738,A954)</f>
        <v>1146</v>
      </c>
      <c r="H954" s="16"/>
    </row>
    <row r="955" customFormat="false" ht="15" hidden="false" customHeight="false" outlineLevel="0" collapsed="false">
      <c r="A955" s="10" t="s">
        <v>3316</v>
      </c>
      <c r="B955" s="12" t="n">
        <f aca="false">COUNTIF(選手一覧!$C$7:$C$2738,A955)</f>
        <v>1</v>
      </c>
      <c r="C955" s="14" t="n">
        <f aca="false">COUNTIFS(選手一覧!$C$7:$C$2738,A955,選手一覧!$K$7:$K$2738,"&lt;=100")</f>
        <v>0</v>
      </c>
      <c r="D955" s="14" t="n">
        <f aca="false">COUNTIFS(選手一覧!$C$7:$C$2738,A955,選手一覧!$E$7:$E$2738,"&lt;=100")</f>
        <v>0</v>
      </c>
      <c r="E955" s="14" t="n">
        <f aca="false">COUNTIFS(選手一覧!$C$7:$C$2738,A955,選手一覧!$G$7:$G$2738,"&lt;=100")</f>
        <v>0</v>
      </c>
      <c r="F955" s="14" t="n">
        <f aca="false">COUNTIFS(選手一覧!$C$7:$C$2738,A955,選手一覧!$I$7:$I$2738,"&lt;=100")</f>
        <v>0</v>
      </c>
      <c r="G955" s="13" t="n">
        <f aca="false">_xlfn.MINIFS(選手一覧!$K$7:$K$2738,選手一覧!$C$7:$C$2738,A955)</f>
        <v>1147</v>
      </c>
      <c r="H955" s="16"/>
    </row>
    <row r="956" customFormat="false" ht="15" hidden="false" customHeight="false" outlineLevel="0" collapsed="false">
      <c r="A956" s="10" t="s">
        <v>3325</v>
      </c>
      <c r="B956" s="12" t="n">
        <f aca="false">COUNTIF(選手一覧!$C$7:$C$2738,A956)</f>
        <v>1</v>
      </c>
      <c r="C956" s="14" t="n">
        <f aca="false">COUNTIFS(選手一覧!$C$7:$C$2738,A956,選手一覧!$K$7:$K$2738,"&lt;=100")</f>
        <v>0</v>
      </c>
      <c r="D956" s="14" t="n">
        <f aca="false">COUNTIFS(選手一覧!$C$7:$C$2738,A956,選手一覧!$E$7:$E$2738,"&lt;=100")</f>
        <v>0</v>
      </c>
      <c r="E956" s="14" t="n">
        <f aca="false">COUNTIFS(選手一覧!$C$7:$C$2738,A956,選手一覧!$G$7:$G$2738,"&lt;=100")</f>
        <v>0</v>
      </c>
      <c r="F956" s="14" t="n">
        <f aca="false">COUNTIFS(選手一覧!$C$7:$C$2738,A956,選手一覧!$I$7:$I$2738,"&lt;=100")</f>
        <v>0</v>
      </c>
      <c r="G956" s="13" t="n">
        <f aca="false">_xlfn.MINIFS(選手一覧!$K$7:$K$2738,選手一覧!$C$7:$C$2738,A956)</f>
        <v>1150</v>
      </c>
      <c r="H956" s="16"/>
    </row>
    <row r="957" customFormat="false" ht="15" hidden="false" customHeight="false" outlineLevel="0" collapsed="false">
      <c r="A957" s="10" t="s">
        <v>3335</v>
      </c>
      <c r="B957" s="12" t="n">
        <f aca="false">COUNTIF(選手一覧!$C$7:$C$2738,A957)</f>
        <v>1</v>
      </c>
      <c r="C957" s="14" t="n">
        <f aca="false">COUNTIFS(選手一覧!$C$7:$C$2738,A957,選手一覧!$K$7:$K$2738,"&lt;=100")</f>
        <v>0</v>
      </c>
      <c r="D957" s="14" t="n">
        <f aca="false">COUNTIFS(選手一覧!$C$7:$C$2738,A957,選手一覧!$E$7:$E$2738,"&lt;=100")</f>
        <v>0</v>
      </c>
      <c r="E957" s="14" t="n">
        <f aca="false">COUNTIFS(選手一覧!$C$7:$C$2738,A957,選手一覧!$G$7:$G$2738,"&lt;=100")</f>
        <v>0</v>
      </c>
      <c r="F957" s="14" t="n">
        <f aca="false">COUNTIFS(選手一覧!$C$7:$C$2738,A957,選手一覧!$I$7:$I$2738,"&lt;=100")</f>
        <v>0</v>
      </c>
      <c r="G957" s="13" t="n">
        <f aca="false">_xlfn.MINIFS(選手一覧!$K$7:$K$2738,選手一覧!$C$7:$C$2738,A957)</f>
        <v>1154</v>
      </c>
      <c r="H957" s="16"/>
    </row>
    <row r="958" customFormat="false" ht="15" hidden="false" customHeight="false" outlineLevel="0" collapsed="false">
      <c r="A958" s="10" t="s">
        <v>3339</v>
      </c>
      <c r="B958" s="12" t="n">
        <f aca="false">COUNTIF(選手一覧!$C$7:$C$2738,A958)</f>
        <v>1</v>
      </c>
      <c r="C958" s="14" t="n">
        <f aca="false">COUNTIFS(選手一覧!$C$7:$C$2738,A958,選手一覧!$K$7:$K$2738,"&lt;=100")</f>
        <v>0</v>
      </c>
      <c r="D958" s="14" t="n">
        <f aca="false">COUNTIFS(選手一覧!$C$7:$C$2738,A958,選手一覧!$E$7:$E$2738,"&lt;=100")</f>
        <v>0</v>
      </c>
      <c r="E958" s="14" t="n">
        <f aca="false">COUNTIFS(選手一覧!$C$7:$C$2738,A958,選手一覧!$G$7:$G$2738,"&lt;=100")</f>
        <v>0</v>
      </c>
      <c r="F958" s="14" t="n">
        <f aca="false">COUNTIFS(選手一覧!$C$7:$C$2738,A958,選手一覧!$I$7:$I$2738,"&lt;=100")</f>
        <v>0</v>
      </c>
      <c r="G958" s="13" t="n">
        <f aca="false">_xlfn.MINIFS(選手一覧!$K$7:$K$2738,選手一覧!$C$7:$C$2738,A958)</f>
        <v>1156</v>
      </c>
      <c r="H958" s="16"/>
    </row>
    <row r="959" customFormat="false" ht="15" hidden="false" customHeight="false" outlineLevel="0" collapsed="false">
      <c r="A959" s="10" t="s">
        <v>3342</v>
      </c>
      <c r="B959" s="12" t="n">
        <f aca="false">COUNTIF(選手一覧!$C$7:$C$2738,A959)</f>
        <v>1</v>
      </c>
      <c r="C959" s="14" t="n">
        <f aca="false">COUNTIFS(選手一覧!$C$7:$C$2738,A959,選手一覧!$K$7:$K$2738,"&lt;=100")</f>
        <v>0</v>
      </c>
      <c r="D959" s="14" t="n">
        <f aca="false">COUNTIFS(選手一覧!$C$7:$C$2738,A959,選手一覧!$E$7:$E$2738,"&lt;=100")</f>
        <v>0</v>
      </c>
      <c r="E959" s="14" t="n">
        <f aca="false">COUNTIFS(選手一覧!$C$7:$C$2738,A959,選手一覧!$G$7:$G$2738,"&lt;=100")</f>
        <v>0</v>
      </c>
      <c r="F959" s="14" t="n">
        <f aca="false">COUNTIFS(選手一覧!$C$7:$C$2738,A959,選手一覧!$I$7:$I$2738,"&lt;=100")</f>
        <v>0</v>
      </c>
      <c r="G959" s="13" t="n">
        <f aca="false">_xlfn.MINIFS(選手一覧!$K$7:$K$2738,選手一覧!$C$7:$C$2738,A959)</f>
        <v>1157</v>
      </c>
      <c r="H959" s="16"/>
    </row>
    <row r="960" customFormat="false" ht="15" hidden="false" customHeight="false" outlineLevel="0" collapsed="false">
      <c r="A960" s="10" t="s">
        <v>3345</v>
      </c>
      <c r="B960" s="12" t="n">
        <f aca="false">COUNTIF(選手一覧!$C$7:$C$2738,A960)</f>
        <v>1</v>
      </c>
      <c r="C960" s="14" t="n">
        <f aca="false">COUNTIFS(選手一覧!$C$7:$C$2738,A960,選手一覧!$K$7:$K$2738,"&lt;=100")</f>
        <v>0</v>
      </c>
      <c r="D960" s="14" t="n">
        <f aca="false">COUNTIFS(選手一覧!$C$7:$C$2738,A960,選手一覧!$E$7:$E$2738,"&lt;=100")</f>
        <v>0</v>
      </c>
      <c r="E960" s="14" t="n">
        <f aca="false">COUNTIFS(選手一覧!$C$7:$C$2738,A960,選手一覧!$G$7:$G$2738,"&lt;=100")</f>
        <v>0</v>
      </c>
      <c r="F960" s="14" t="n">
        <f aca="false">COUNTIFS(選手一覧!$C$7:$C$2738,A960,選手一覧!$I$7:$I$2738,"&lt;=100")</f>
        <v>0</v>
      </c>
      <c r="G960" s="13" t="n">
        <f aca="false">_xlfn.MINIFS(選手一覧!$K$7:$K$2738,選手一覧!$C$7:$C$2738,A960)</f>
        <v>1158</v>
      </c>
      <c r="H960" s="16"/>
    </row>
    <row r="961" customFormat="false" ht="15" hidden="false" customHeight="false" outlineLevel="0" collapsed="false">
      <c r="A961" s="10" t="s">
        <v>3349</v>
      </c>
      <c r="B961" s="12" t="n">
        <f aca="false">COUNTIF(選手一覧!$C$7:$C$2738,A961)</f>
        <v>1</v>
      </c>
      <c r="C961" s="14" t="n">
        <f aca="false">COUNTIFS(選手一覧!$C$7:$C$2738,A961,選手一覧!$K$7:$K$2738,"&lt;=100")</f>
        <v>0</v>
      </c>
      <c r="D961" s="14" t="n">
        <f aca="false">COUNTIFS(選手一覧!$C$7:$C$2738,A961,選手一覧!$E$7:$E$2738,"&lt;=100")</f>
        <v>0</v>
      </c>
      <c r="E961" s="14" t="n">
        <f aca="false">COUNTIFS(選手一覧!$C$7:$C$2738,A961,選手一覧!$G$7:$G$2738,"&lt;=100")</f>
        <v>0</v>
      </c>
      <c r="F961" s="14" t="n">
        <f aca="false">COUNTIFS(選手一覧!$C$7:$C$2738,A961,選手一覧!$I$7:$I$2738,"&lt;=100")</f>
        <v>0</v>
      </c>
      <c r="G961" s="13" t="n">
        <f aca="false">_xlfn.MINIFS(選手一覧!$K$7:$K$2738,選手一覧!$C$7:$C$2738,A961)</f>
        <v>1159</v>
      </c>
      <c r="H961" s="16"/>
    </row>
    <row r="962" customFormat="false" ht="15" hidden="false" customHeight="false" outlineLevel="0" collapsed="false">
      <c r="A962" s="10" t="s">
        <v>3354</v>
      </c>
      <c r="B962" s="12" t="n">
        <f aca="false">COUNTIF(選手一覧!$C$7:$C$2738,A962)</f>
        <v>1</v>
      </c>
      <c r="C962" s="14" t="n">
        <f aca="false">COUNTIFS(選手一覧!$C$7:$C$2738,A962,選手一覧!$K$7:$K$2738,"&lt;=100")</f>
        <v>0</v>
      </c>
      <c r="D962" s="14" t="n">
        <f aca="false">COUNTIFS(選手一覧!$C$7:$C$2738,A962,選手一覧!$E$7:$E$2738,"&lt;=100")</f>
        <v>0</v>
      </c>
      <c r="E962" s="14" t="n">
        <f aca="false">COUNTIFS(選手一覧!$C$7:$C$2738,A962,選手一覧!$G$7:$G$2738,"&lt;=100")</f>
        <v>0</v>
      </c>
      <c r="F962" s="14" t="n">
        <f aca="false">COUNTIFS(選手一覧!$C$7:$C$2738,A962,選手一覧!$I$7:$I$2738,"&lt;=100")</f>
        <v>0</v>
      </c>
      <c r="G962" s="13" t="n">
        <f aca="false">_xlfn.MINIFS(選手一覧!$K$7:$K$2738,選手一覧!$C$7:$C$2738,A962)</f>
        <v>1161</v>
      </c>
      <c r="H962" s="16"/>
    </row>
    <row r="963" customFormat="false" ht="15" hidden="false" customHeight="false" outlineLevel="0" collapsed="false">
      <c r="A963" s="10" t="s">
        <v>3357</v>
      </c>
      <c r="B963" s="12" t="n">
        <f aca="false">COUNTIF(選手一覧!$C$7:$C$2738,A963)</f>
        <v>1</v>
      </c>
      <c r="C963" s="14" t="n">
        <f aca="false">COUNTIFS(選手一覧!$C$7:$C$2738,A963,選手一覧!$K$7:$K$2738,"&lt;=100")</f>
        <v>0</v>
      </c>
      <c r="D963" s="14" t="n">
        <f aca="false">COUNTIFS(選手一覧!$C$7:$C$2738,A963,選手一覧!$E$7:$E$2738,"&lt;=100")</f>
        <v>0</v>
      </c>
      <c r="E963" s="14" t="n">
        <f aca="false">COUNTIFS(選手一覧!$C$7:$C$2738,A963,選手一覧!$G$7:$G$2738,"&lt;=100")</f>
        <v>0</v>
      </c>
      <c r="F963" s="14" t="n">
        <f aca="false">COUNTIFS(選手一覧!$C$7:$C$2738,A963,選手一覧!$I$7:$I$2738,"&lt;=100")</f>
        <v>0</v>
      </c>
      <c r="G963" s="13" t="n">
        <f aca="false">_xlfn.MINIFS(選手一覧!$K$7:$K$2738,選手一覧!$C$7:$C$2738,A963)</f>
        <v>1161</v>
      </c>
      <c r="H963" s="16"/>
    </row>
    <row r="964" customFormat="false" ht="15" hidden="false" customHeight="false" outlineLevel="0" collapsed="false">
      <c r="A964" s="10" t="s">
        <v>3359</v>
      </c>
      <c r="B964" s="12" t="n">
        <f aca="false">COUNTIF(選手一覧!$C$7:$C$2738,A964)</f>
        <v>1</v>
      </c>
      <c r="C964" s="14" t="n">
        <f aca="false">COUNTIFS(選手一覧!$C$7:$C$2738,A964,選手一覧!$K$7:$K$2738,"&lt;=100")</f>
        <v>0</v>
      </c>
      <c r="D964" s="14" t="n">
        <f aca="false">COUNTIFS(選手一覧!$C$7:$C$2738,A964,選手一覧!$E$7:$E$2738,"&lt;=100")</f>
        <v>0</v>
      </c>
      <c r="E964" s="14" t="n">
        <f aca="false">COUNTIFS(選手一覧!$C$7:$C$2738,A964,選手一覧!$G$7:$G$2738,"&lt;=100")</f>
        <v>0</v>
      </c>
      <c r="F964" s="14" t="n">
        <f aca="false">COUNTIFS(選手一覧!$C$7:$C$2738,A964,選手一覧!$I$7:$I$2738,"&lt;=100")</f>
        <v>0</v>
      </c>
      <c r="G964" s="13" t="n">
        <f aca="false">_xlfn.MINIFS(選手一覧!$K$7:$K$2738,選手一覧!$C$7:$C$2738,A964)</f>
        <v>1162</v>
      </c>
      <c r="H964" s="16"/>
    </row>
    <row r="965" customFormat="false" ht="15" hidden="false" customHeight="false" outlineLevel="0" collapsed="false">
      <c r="A965" s="10" t="s">
        <v>3364</v>
      </c>
      <c r="B965" s="12" t="n">
        <f aca="false">COUNTIF(選手一覧!$C$7:$C$2738,A965)</f>
        <v>1</v>
      </c>
      <c r="C965" s="14" t="n">
        <f aca="false">COUNTIFS(選手一覧!$C$7:$C$2738,A965,選手一覧!$K$7:$K$2738,"&lt;=100")</f>
        <v>0</v>
      </c>
      <c r="D965" s="14" t="n">
        <f aca="false">COUNTIFS(選手一覧!$C$7:$C$2738,A965,選手一覧!$E$7:$E$2738,"&lt;=100")</f>
        <v>0</v>
      </c>
      <c r="E965" s="14" t="n">
        <f aca="false">COUNTIFS(選手一覧!$C$7:$C$2738,A965,選手一覧!$G$7:$G$2738,"&lt;=100")</f>
        <v>0</v>
      </c>
      <c r="F965" s="14" t="n">
        <f aca="false">COUNTIFS(選手一覧!$C$7:$C$2738,A965,選手一覧!$I$7:$I$2738,"&lt;=100")</f>
        <v>0</v>
      </c>
      <c r="G965" s="13" t="n">
        <f aca="false">_xlfn.MINIFS(選手一覧!$K$7:$K$2738,選手一覧!$C$7:$C$2738,A965)</f>
        <v>1163</v>
      </c>
      <c r="H965" s="16"/>
    </row>
    <row r="966" customFormat="false" ht="15" hidden="false" customHeight="false" outlineLevel="0" collapsed="false">
      <c r="A966" s="10" t="s">
        <v>3368</v>
      </c>
      <c r="B966" s="12" t="n">
        <f aca="false">COUNTIF(選手一覧!$C$7:$C$2738,A966)</f>
        <v>1</v>
      </c>
      <c r="C966" s="14" t="n">
        <f aca="false">COUNTIFS(選手一覧!$C$7:$C$2738,A966,選手一覧!$K$7:$K$2738,"&lt;=100")</f>
        <v>0</v>
      </c>
      <c r="D966" s="14" t="n">
        <f aca="false">COUNTIFS(選手一覧!$C$7:$C$2738,A966,選手一覧!$E$7:$E$2738,"&lt;=100")</f>
        <v>0</v>
      </c>
      <c r="E966" s="14" t="n">
        <f aca="false">COUNTIFS(選手一覧!$C$7:$C$2738,A966,選手一覧!$G$7:$G$2738,"&lt;=100")</f>
        <v>0</v>
      </c>
      <c r="F966" s="14" t="n">
        <f aca="false">COUNTIFS(選手一覧!$C$7:$C$2738,A966,選手一覧!$I$7:$I$2738,"&lt;=100")</f>
        <v>0</v>
      </c>
      <c r="G966" s="13" t="n">
        <f aca="false">_xlfn.MINIFS(選手一覧!$K$7:$K$2738,選手一覧!$C$7:$C$2738,A966)</f>
        <v>1165</v>
      </c>
      <c r="H966" s="16"/>
    </row>
    <row r="967" customFormat="false" ht="15" hidden="false" customHeight="false" outlineLevel="0" collapsed="false">
      <c r="A967" s="10" t="s">
        <v>3371</v>
      </c>
      <c r="B967" s="12" t="n">
        <f aca="false">COUNTIF(選手一覧!$C$7:$C$2738,A967)</f>
        <v>1</v>
      </c>
      <c r="C967" s="14" t="n">
        <f aca="false">COUNTIFS(選手一覧!$C$7:$C$2738,A967,選手一覧!$K$7:$K$2738,"&lt;=100")</f>
        <v>0</v>
      </c>
      <c r="D967" s="14" t="n">
        <f aca="false">COUNTIFS(選手一覧!$C$7:$C$2738,A967,選手一覧!$E$7:$E$2738,"&lt;=100")</f>
        <v>0</v>
      </c>
      <c r="E967" s="14" t="n">
        <f aca="false">COUNTIFS(選手一覧!$C$7:$C$2738,A967,選手一覧!$G$7:$G$2738,"&lt;=100")</f>
        <v>0</v>
      </c>
      <c r="F967" s="14" t="n">
        <f aca="false">COUNTIFS(選手一覧!$C$7:$C$2738,A967,選手一覧!$I$7:$I$2738,"&lt;=100")</f>
        <v>0</v>
      </c>
      <c r="G967" s="13" t="n">
        <f aca="false">_xlfn.MINIFS(選手一覧!$K$7:$K$2738,選手一覧!$C$7:$C$2738,A967)</f>
        <v>1165</v>
      </c>
      <c r="H967" s="16"/>
    </row>
    <row r="968" customFormat="false" ht="15" hidden="false" customHeight="false" outlineLevel="0" collapsed="false">
      <c r="A968" s="10" t="s">
        <v>3376</v>
      </c>
      <c r="B968" s="12" t="n">
        <f aca="false">COUNTIF(選手一覧!$C$7:$C$2738,A968)</f>
        <v>1</v>
      </c>
      <c r="C968" s="14" t="n">
        <f aca="false">COUNTIFS(選手一覧!$C$7:$C$2738,A968,選手一覧!$K$7:$K$2738,"&lt;=100")</f>
        <v>0</v>
      </c>
      <c r="D968" s="14" t="n">
        <f aca="false">COUNTIFS(選手一覧!$C$7:$C$2738,A968,選手一覧!$E$7:$E$2738,"&lt;=100")</f>
        <v>0</v>
      </c>
      <c r="E968" s="14" t="n">
        <f aca="false">COUNTIFS(選手一覧!$C$7:$C$2738,A968,選手一覧!$G$7:$G$2738,"&lt;=100")</f>
        <v>0</v>
      </c>
      <c r="F968" s="14" t="n">
        <f aca="false">COUNTIFS(選手一覧!$C$7:$C$2738,A968,選手一覧!$I$7:$I$2738,"&lt;=100")</f>
        <v>0</v>
      </c>
      <c r="G968" s="13" t="n">
        <f aca="false">_xlfn.MINIFS(選手一覧!$K$7:$K$2738,選手一覧!$C$7:$C$2738,A968)</f>
        <v>1167</v>
      </c>
      <c r="H968" s="16"/>
    </row>
    <row r="969" customFormat="false" ht="15" hidden="false" customHeight="false" outlineLevel="0" collapsed="false">
      <c r="A969" s="10" t="s">
        <v>3378</v>
      </c>
      <c r="B969" s="12" t="n">
        <f aca="false">COUNTIF(選手一覧!$C$7:$C$2738,A969)</f>
        <v>1</v>
      </c>
      <c r="C969" s="14" t="n">
        <f aca="false">COUNTIFS(選手一覧!$C$7:$C$2738,A969,選手一覧!$K$7:$K$2738,"&lt;=100")</f>
        <v>0</v>
      </c>
      <c r="D969" s="14" t="n">
        <f aca="false">COUNTIFS(選手一覧!$C$7:$C$2738,A969,選手一覧!$E$7:$E$2738,"&lt;=100")</f>
        <v>0</v>
      </c>
      <c r="E969" s="14" t="n">
        <f aca="false">COUNTIFS(選手一覧!$C$7:$C$2738,A969,選手一覧!$G$7:$G$2738,"&lt;=100")</f>
        <v>0</v>
      </c>
      <c r="F969" s="14" t="n">
        <f aca="false">COUNTIFS(選手一覧!$C$7:$C$2738,A969,選手一覧!$I$7:$I$2738,"&lt;=100")</f>
        <v>0</v>
      </c>
      <c r="G969" s="13" t="n">
        <f aca="false">_xlfn.MINIFS(選手一覧!$K$7:$K$2738,選手一覧!$C$7:$C$2738,A969)</f>
        <v>1167</v>
      </c>
      <c r="H969" s="16"/>
    </row>
    <row r="970" customFormat="false" ht="15" hidden="false" customHeight="false" outlineLevel="0" collapsed="false">
      <c r="A970" s="10" t="s">
        <v>3380</v>
      </c>
      <c r="B970" s="12" t="n">
        <f aca="false">COUNTIF(選手一覧!$C$7:$C$2738,A970)</f>
        <v>1</v>
      </c>
      <c r="C970" s="14" t="n">
        <f aca="false">COUNTIFS(選手一覧!$C$7:$C$2738,A970,選手一覧!$K$7:$K$2738,"&lt;=100")</f>
        <v>0</v>
      </c>
      <c r="D970" s="14" t="n">
        <f aca="false">COUNTIFS(選手一覧!$C$7:$C$2738,A970,選手一覧!$E$7:$E$2738,"&lt;=100")</f>
        <v>0</v>
      </c>
      <c r="E970" s="14" t="n">
        <f aca="false">COUNTIFS(選手一覧!$C$7:$C$2738,A970,選手一覧!$G$7:$G$2738,"&lt;=100")</f>
        <v>0</v>
      </c>
      <c r="F970" s="14" t="n">
        <f aca="false">COUNTIFS(選手一覧!$C$7:$C$2738,A970,選手一覧!$I$7:$I$2738,"&lt;=100")</f>
        <v>0</v>
      </c>
      <c r="G970" s="13" t="n">
        <f aca="false">_xlfn.MINIFS(選手一覧!$K$7:$K$2738,選手一覧!$C$7:$C$2738,A970)</f>
        <v>1168</v>
      </c>
      <c r="H970" s="16"/>
    </row>
    <row r="971" customFormat="false" ht="15" hidden="false" customHeight="false" outlineLevel="0" collapsed="false">
      <c r="A971" s="10" t="s">
        <v>3406</v>
      </c>
      <c r="B971" s="12" t="n">
        <f aca="false">COUNTIF(選手一覧!$C$7:$C$2738,A971)</f>
        <v>1</v>
      </c>
      <c r="C971" s="14" t="n">
        <f aca="false">COUNTIFS(選手一覧!$C$7:$C$2738,A971,選手一覧!$K$7:$K$2738,"&lt;=100")</f>
        <v>0</v>
      </c>
      <c r="D971" s="14" t="n">
        <f aca="false">COUNTIFS(選手一覧!$C$7:$C$2738,A971,選手一覧!$E$7:$E$2738,"&lt;=100")</f>
        <v>0</v>
      </c>
      <c r="E971" s="14" t="n">
        <f aca="false">COUNTIFS(選手一覧!$C$7:$C$2738,A971,選手一覧!$G$7:$G$2738,"&lt;=100")</f>
        <v>0</v>
      </c>
      <c r="F971" s="14" t="n">
        <f aca="false">COUNTIFS(選手一覧!$C$7:$C$2738,A971,選手一覧!$I$7:$I$2738,"&lt;=100")</f>
        <v>0</v>
      </c>
      <c r="G971" s="13" t="n">
        <f aca="false">_xlfn.MINIFS(選手一覧!$K$7:$K$2738,選手一覧!$C$7:$C$2738,A971)</f>
        <v>1180</v>
      </c>
      <c r="H971" s="16"/>
    </row>
    <row r="972" customFormat="false" ht="15" hidden="false" customHeight="false" outlineLevel="0" collapsed="false">
      <c r="A972" s="10" t="s">
        <v>3408</v>
      </c>
      <c r="B972" s="12" t="n">
        <f aca="false">COUNTIF(選手一覧!$C$7:$C$2738,A972)</f>
        <v>1</v>
      </c>
      <c r="C972" s="14" t="n">
        <f aca="false">COUNTIFS(選手一覧!$C$7:$C$2738,A972,選手一覧!$K$7:$K$2738,"&lt;=100")</f>
        <v>0</v>
      </c>
      <c r="D972" s="14" t="n">
        <f aca="false">COUNTIFS(選手一覧!$C$7:$C$2738,A972,選手一覧!$E$7:$E$2738,"&lt;=100")</f>
        <v>0</v>
      </c>
      <c r="E972" s="14" t="n">
        <f aca="false">COUNTIFS(選手一覧!$C$7:$C$2738,A972,選手一覧!$G$7:$G$2738,"&lt;=100")</f>
        <v>0</v>
      </c>
      <c r="F972" s="14" t="n">
        <f aca="false">COUNTIFS(選手一覧!$C$7:$C$2738,A972,選手一覧!$I$7:$I$2738,"&lt;=100")</f>
        <v>0</v>
      </c>
      <c r="G972" s="13" t="n">
        <f aca="false">_xlfn.MINIFS(選手一覧!$K$7:$K$2738,選手一覧!$C$7:$C$2738,A972)</f>
        <v>1181</v>
      </c>
      <c r="H972" s="16"/>
    </row>
    <row r="973" customFormat="false" ht="15" hidden="false" customHeight="false" outlineLevel="0" collapsed="false">
      <c r="A973" s="10" t="s">
        <v>3411</v>
      </c>
      <c r="B973" s="12" t="n">
        <f aca="false">COUNTIF(選手一覧!$C$7:$C$2738,A973)</f>
        <v>1</v>
      </c>
      <c r="C973" s="14" t="n">
        <f aca="false">COUNTIFS(選手一覧!$C$7:$C$2738,A973,選手一覧!$K$7:$K$2738,"&lt;=100")</f>
        <v>0</v>
      </c>
      <c r="D973" s="14" t="n">
        <f aca="false">COUNTIFS(選手一覧!$C$7:$C$2738,A973,選手一覧!$E$7:$E$2738,"&lt;=100")</f>
        <v>0</v>
      </c>
      <c r="E973" s="14" t="n">
        <f aca="false">COUNTIFS(選手一覧!$C$7:$C$2738,A973,選手一覧!$G$7:$G$2738,"&lt;=100")</f>
        <v>0</v>
      </c>
      <c r="F973" s="14" t="n">
        <f aca="false">COUNTIFS(選手一覧!$C$7:$C$2738,A973,選手一覧!$I$7:$I$2738,"&lt;=100")</f>
        <v>0</v>
      </c>
      <c r="G973" s="13" t="n">
        <f aca="false">_xlfn.MINIFS(選手一覧!$K$7:$K$2738,選手一覧!$C$7:$C$2738,A973)</f>
        <v>1182</v>
      </c>
      <c r="H973" s="16"/>
    </row>
    <row r="974" customFormat="false" ht="15" hidden="false" customHeight="false" outlineLevel="0" collapsed="false">
      <c r="A974" s="10" t="s">
        <v>3414</v>
      </c>
      <c r="B974" s="12" t="n">
        <f aca="false">COUNTIF(選手一覧!$C$7:$C$2738,A974)</f>
        <v>1</v>
      </c>
      <c r="C974" s="14" t="n">
        <f aca="false">COUNTIFS(選手一覧!$C$7:$C$2738,A974,選手一覧!$K$7:$K$2738,"&lt;=100")</f>
        <v>0</v>
      </c>
      <c r="D974" s="14" t="n">
        <f aca="false">COUNTIFS(選手一覧!$C$7:$C$2738,A974,選手一覧!$E$7:$E$2738,"&lt;=100")</f>
        <v>0</v>
      </c>
      <c r="E974" s="14" t="n">
        <f aca="false">COUNTIFS(選手一覧!$C$7:$C$2738,A974,選手一覧!$G$7:$G$2738,"&lt;=100")</f>
        <v>0</v>
      </c>
      <c r="F974" s="14" t="n">
        <f aca="false">COUNTIFS(選手一覧!$C$7:$C$2738,A974,選手一覧!$I$7:$I$2738,"&lt;=100")</f>
        <v>0</v>
      </c>
      <c r="G974" s="13" t="n">
        <f aca="false">_xlfn.MINIFS(選手一覧!$K$7:$K$2738,選手一覧!$C$7:$C$2738,A974)</f>
        <v>1183</v>
      </c>
      <c r="H974" s="16"/>
    </row>
    <row r="975" customFormat="false" ht="15" hidden="false" customHeight="false" outlineLevel="0" collapsed="false">
      <c r="A975" s="10" t="s">
        <v>3422</v>
      </c>
      <c r="B975" s="12" t="n">
        <f aca="false">COUNTIF(選手一覧!$C$7:$C$2738,A975)</f>
        <v>1</v>
      </c>
      <c r="C975" s="14" t="n">
        <f aca="false">COUNTIFS(選手一覧!$C$7:$C$2738,A975,選手一覧!$K$7:$K$2738,"&lt;=100")</f>
        <v>0</v>
      </c>
      <c r="D975" s="14" t="n">
        <f aca="false">COUNTIFS(選手一覧!$C$7:$C$2738,A975,選手一覧!$E$7:$E$2738,"&lt;=100")</f>
        <v>0</v>
      </c>
      <c r="E975" s="14" t="n">
        <f aca="false">COUNTIFS(選手一覧!$C$7:$C$2738,A975,選手一覧!$G$7:$G$2738,"&lt;=100")</f>
        <v>0</v>
      </c>
      <c r="F975" s="14" t="n">
        <f aca="false">COUNTIFS(選手一覧!$C$7:$C$2738,A975,選手一覧!$I$7:$I$2738,"&lt;=100")</f>
        <v>0</v>
      </c>
      <c r="G975" s="13" t="n">
        <f aca="false">_xlfn.MINIFS(選手一覧!$K$7:$K$2738,選手一覧!$C$7:$C$2738,A975)</f>
        <v>1187</v>
      </c>
      <c r="H975" s="16"/>
    </row>
    <row r="976" customFormat="false" ht="15" hidden="false" customHeight="false" outlineLevel="0" collapsed="false">
      <c r="A976" s="10" t="s">
        <v>3424</v>
      </c>
      <c r="B976" s="12" t="n">
        <f aca="false">COUNTIF(選手一覧!$C$7:$C$2738,A976)</f>
        <v>1</v>
      </c>
      <c r="C976" s="14" t="n">
        <f aca="false">COUNTIFS(選手一覧!$C$7:$C$2738,A976,選手一覧!$K$7:$K$2738,"&lt;=100")</f>
        <v>0</v>
      </c>
      <c r="D976" s="14" t="n">
        <f aca="false">COUNTIFS(選手一覧!$C$7:$C$2738,A976,選手一覧!$E$7:$E$2738,"&lt;=100")</f>
        <v>0</v>
      </c>
      <c r="E976" s="14" t="n">
        <f aca="false">COUNTIFS(選手一覧!$C$7:$C$2738,A976,選手一覧!$G$7:$G$2738,"&lt;=100")</f>
        <v>0</v>
      </c>
      <c r="F976" s="14" t="n">
        <f aca="false">COUNTIFS(選手一覧!$C$7:$C$2738,A976,選手一覧!$I$7:$I$2738,"&lt;=100")</f>
        <v>0</v>
      </c>
      <c r="G976" s="13" t="n">
        <f aca="false">_xlfn.MINIFS(選手一覧!$K$7:$K$2738,選手一覧!$C$7:$C$2738,A976)</f>
        <v>1187</v>
      </c>
      <c r="H976" s="16"/>
    </row>
    <row r="977" customFormat="false" ht="15" hidden="false" customHeight="false" outlineLevel="0" collapsed="false">
      <c r="A977" s="10" t="s">
        <v>3427</v>
      </c>
      <c r="B977" s="12" t="n">
        <f aca="false">COUNTIF(選手一覧!$C$7:$C$2738,A977)</f>
        <v>1</v>
      </c>
      <c r="C977" s="14" t="n">
        <f aca="false">COUNTIFS(選手一覧!$C$7:$C$2738,A977,選手一覧!$K$7:$K$2738,"&lt;=100")</f>
        <v>0</v>
      </c>
      <c r="D977" s="14" t="n">
        <f aca="false">COUNTIFS(選手一覧!$C$7:$C$2738,A977,選手一覧!$E$7:$E$2738,"&lt;=100")</f>
        <v>0</v>
      </c>
      <c r="E977" s="14" t="n">
        <f aca="false">COUNTIFS(選手一覧!$C$7:$C$2738,A977,選手一覧!$G$7:$G$2738,"&lt;=100")</f>
        <v>0</v>
      </c>
      <c r="F977" s="14" t="n">
        <f aca="false">COUNTIFS(選手一覧!$C$7:$C$2738,A977,選手一覧!$I$7:$I$2738,"&lt;=100")</f>
        <v>0</v>
      </c>
      <c r="G977" s="13" t="n">
        <f aca="false">_xlfn.MINIFS(選手一覧!$K$7:$K$2738,選手一覧!$C$7:$C$2738,A977)</f>
        <v>1188</v>
      </c>
      <c r="H977" s="16"/>
    </row>
    <row r="978" customFormat="false" ht="15" hidden="false" customHeight="false" outlineLevel="0" collapsed="false">
      <c r="A978" s="10" t="s">
        <v>3429</v>
      </c>
      <c r="B978" s="12" t="n">
        <f aca="false">COUNTIF(選手一覧!$C$7:$C$2738,A978)</f>
        <v>1</v>
      </c>
      <c r="C978" s="14" t="n">
        <f aca="false">COUNTIFS(選手一覧!$C$7:$C$2738,A978,選手一覧!$K$7:$K$2738,"&lt;=100")</f>
        <v>0</v>
      </c>
      <c r="D978" s="14" t="n">
        <f aca="false">COUNTIFS(選手一覧!$C$7:$C$2738,A978,選手一覧!$E$7:$E$2738,"&lt;=100")</f>
        <v>0</v>
      </c>
      <c r="E978" s="14" t="n">
        <f aca="false">COUNTIFS(選手一覧!$C$7:$C$2738,A978,選手一覧!$G$7:$G$2738,"&lt;=100")</f>
        <v>0</v>
      </c>
      <c r="F978" s="14" t="n">
        <f aca="false">COUNTIFS(選手一覧!$C$7:$C$2738,A978,選手一覧!$I$7:$I$2738,"&lt;=100")</f>
        <v>0</v>
      </c>
      <c r="G978" s="13" t="n">
        <f aca="false">_xlfn.MINIFS(選手一覧!$K$7:$K$2738,選手一覧!$C$7:$C$2738,A978)</f>
        <v>1188</v>
      </c>
      <c r="H978" s="16"/>
    </row>
    <row r="979" customFormat="false" ht="15" hidden="false" customHeight="false" outlineLevel="0" collapsed="false">
      <c r="A979" s="10" t="s">
        <v>3431</v>
      </c>
      <c r="B979" s="12" t="n">
        <f aca="false">COUNTIF(選手一覧!$C$7:$C$2738,A979)</f>
        <v>1</v>
      </c>
      <c r="C979" s="14" t="n">
        <f aca="false">COUNTIFS(選手一覧!$C$7:$C$2738,A979,選手一覧!$K$7:$K$2738,"&lt;=100")</f>
        <v>0</v>
      </c>
      <c r="D979" s="14" t="n">
        <f aca="false">COUNTIFS(選手一覧!$C$7:$C$2738,A979,選手一覧!$E$7:$E$2738,"&lt;=100")</f>
        <v>0</v>
      </c>
      <c r="E979" s="14" t="n">
        <f aca="false">COUNTIFS(選手一覧!$C$7:$C$2738,A979,選手一覧!$G$7:$G$2738,"&lt;=100")</f>
        <v>0</v>
      </c>
      <c r="F979" s="14" t="n">
        <f aca="false">COUNTIFS(選手一覧!$C$7:$C$2738,A979,選手一覧!$I$7:$I$2738,"&lt;=100")</f>
        <v>0</v>
      </c>
      <c r="G979" s="13" t="n">
        <f aca="false">_xlfn.MINIFS(選手一覧!$K$7:$K$2738,選手一覧!$C$7:$C$2738,A979)</f>
        <v>1189</v>
      </c>
      <c r="H979" s="16"/>
    </row>
    <row r="980" customFormat="false" ht="15" hidden="false" customHeight="false" outlineLevel="0" collapsed="false">
      <c r="A980" s="10" t="s">
        <v>3436</v>
      </c>
      <c r="B980" s="12" t="n">
        <f aca="false">COUNTIF(選手一覧!$C$7:$C$2738,A980)</f>
        <v>1</v>
      </c>
      <c r="C980" s="14" t="n">
        <f aca="false">COUNTIFS(選手一覧!$C$7:$C$2738,A980,選手一覧!$K$7:$K$2738,"&lt;=100")</f>
        <v>0</v>
      </c>
      <c r="D980" s="14" t="n">
        <f aca="false">COUNTIFS(選手一覧!$C$7:$C$2738,A980,選手一覧!$E$7:$E$2738,"&lt;=100")</f>
        <v>0</v>
      </c>
      <c r="E980" s="14" t="n">
        <f aca="false">COUNTIFS(選手一覧!$C$7:$C$2738,A980,選手一覧!$G$7:$G$2738,"&lt;=100")</f>
        <v>0</v>
      </c>
      <c r="F980" s="14" t="n">
        <f aca="false">COUNTIFS(選手一覧!$C$7:$C$2738,A980,選手一覧!$I$7:$I$2738,"&lt;=100")</f>
        <v>0</v>
      </c>
      <c r="G980" s="13" t="n">
        <f aca="false">_xlfn.MINIFS(選手一覧!$K$7:$K$2738,選手一覧!$C$7:$C$2738,A980)</f>
        <v>1190</v>
      </c>
      <c r="H980" s="16"/>
    </row>
    <row r="981" customFormat="false" ht="15" hidden="false" customHeight="false" outlineLevel="0" collapsed="false">
      <c r="A981" s="10" t="s">
        <v>3441</v>
      </c>
      <c r="B981" s="12" t="n">
        <f aca="false">COUNTIF(選手一覧!$C$7:$C$2738,A981)</f>
        <v>1</v>
      </c>
      <c r="C981" s="14" t="n">
        <f aca="false">COUNTIFS(選手一覧!$C$7:$C$2738,A981,選手一覧!$K$7:$K$2738,"&lt;=100")</f>
        <v>0</v>
      </c>
      <c r="D981" s="14" t="n">
        <f aca="false">COUNTIFS(選手一覧!$C$7:$C$2738,A981,選手一覧!$E$7:$E$2738,"&lt;=100")</f>
        <v>0</v>
      </c>
      <c r="E981" s="14" t="n">
        <f aca="false">COUNTIFS(選手一覧!$C$7:$C$2738,A981,選手一覧!$G$7:$G$2738,"&lt;=100")</f>
        <v>0</v>
      </c>
      <c r="F981" s="14" t="n">
        <f aca="false">COUNTIFS(選手一覧!$C$7:$C$2738,A981,選手一覧!$I$7:$I$2738,"&lt;=100")</f>
        <v>0</v>
      </c>
      <c r="G981" s="13" t="n">
        <f aca="false">_xlfn.MINIFS(選手一覧!$K$7:$K$2738,選手一覧!$C$7:$C$2738,A981)</f>
        <v>1192</v>
      </c>
      <c r="H981" s="16"/>
    </row>
    <row r="982" customFormat="false" ht="15" hidden="false" customHeight="false" outlineLevel="0" collapsed="false">
      <c r="A982" s="10" t="s">
        <v>3445</v>
      </c>
      <c r="B982" s="12" t="n">
        <f aca="false">COUNTIF(選手一覧!$C$7:$C$2738,A982)</f>
        <v>1</v>
      </c>
      <c r="C982" s="14" t="n">
        <f aca="false">COUNTIFS(選手一覧!$C$7:$C$2738,A982,選手一覧!$K$7:$K$2738,"&lt;=100")</f>
        <v>0</v>
      </c>
      <c r="D982" s="14" t="n">
        <f aca="false">COUNTIFS(選手一覧!$C$7:$C$2738,A982,選手一覧!$E$7:$E$2738,"&lt;=100")</f>
        <v>0</v>
      </c>
      <c r="E982" s="14" t="n">
        <f aca="false">COUNTIFS(選手一覧!$C$7:$C$2738,A982,選手一覧!$G$7:$G$2738,"&lt;=100")</f>
        <v>0</v>
      </c>
      <c r="F982" s="14" t="n">
        <f aca="false">COUNTIFS(選手一覧!$C$7:$C$2738,A982,選手一覧!$I$7:$I$2738,"&lt;=100")</f>
        <v>0</v>
      </c>
      <c r="G982" s="13" t="n">
        <f aca="false">_xlfn.MINIFS(選手一覧!$K$7:$K$2738,選手一覧!$C$7:$C$2738,A982)</f>
        <v>1193</v>
      </c>
      <c r="H982" s="16"/>
    </row>
    <row r="983" customFormat="false" ht="15" hidden="false" customHeight="false" outlineLevel="0" collapsed="false">
      <c r="A983" s="10" t="s">
        <v>3449</v>
      </c>
      <c r="B983" s="12" t="n">
        <f aca="false">COUNTIF(選手一覧!$C$7:$C$2738,A983)</f>
        <v>1</v>
      </c>
      <c r="C983" s="14" t="n">
        <f aca="false">COUNTIFS(選手一覧!$C$7:$C$2738,A983,選手一覧!$K$7:$K$2738,"&lt;=100")</f>
        <v>0</v>
      </c>
      <c r="D983" s="14" t="n">
        <f aca="false">COUNTIFS(選手一覧!$C$7:$C$2738,A983,選手一覧!$E$7:$E$2738,"&lt;=100")</f>
        <v>0</v>
      </c>
      <c r="E983" s="14" t="n">
        <f aca="false">COUNTIFS(選手一覧!$C$7:$C$2738,A983,選手一覧!$G$7:$G$2738,"&lt;=100")</f>
        <v>0</v>
      </c>
      <c r="F983" s="14" t="n">
        <f aca="false">COUNTIFS(選手一覧!$C$7:$C$2738,A983,選手一覧!$I$7:$I$2738,"&lt;=100")</f>
        <v>0</v>
      </c>
      <c r="G983" s="13" t="n">
        <f aca="false">_xlfn.MINIFS(選手一覧!$K$7:$K$2738,選手一覧!$C$7:$C$2738,A983)</f>
        <v>1194</v>
      </c>
      <c r="H983" s="16"/>
    </row>
    <row r="984" customFormat="false" ht="15" hidden="false" customHeight="false" outlineLevel="0" collapsed="false">
      <c r="A984" s="10" t="s">
        <v>3455</v>
      </c>
      <c r="B984" s="12" t="n">
        <f aca="false">COUNTIF(選手一覧!$C$7:$C$2738,A984)</f>
        <v>1</v>
      </c>
      <c r="C984" s="14" t="n">
        <f aca="false">COUNTIFS(選手一覧!$C$7:$C$2738,A984,選手一覧!$K$7:$K$2738,"&lt;=100")</f>
        <v>0</v>
      </c>
      <c r="D984" s="14" t="n">
        <f aca="false">COUNTIFS(選手一覧!$C$7:$C$2738,A984,選手一覧!$E$7:$E$2738,"&lt;=100")</f>
        <v>0</v>
      </c>
      <c r="E984" s="14" t="n">
        <f aca="false">COUNTIFS(選手一覧!$C$7:$C$2738,A984,選手一覧!$G$7:$G$2738,"&lt;=100")</f>
        <v>0</v>
      </c>
      <c r="F984" s="14" t="n">
        <f aca="false">COUNTIFS(選手一覧!$C$7:$C$2738,A984,選手一覧!$I$7:$I$2738,"&lt;=100")</f>
        <v>0</v>
      </c>
      <c r="G984" s="13" t="n">
        <f aca="false">_xlfn.MINIFS(選手一覧!$K$7:$K$2738,選手一覧!$C$7:$C$2738,A984)</f>
        <v>1196</v>
      </c>
      <c r="H984" s="16"/>
    </row>
    <row r="985" customFormat="false" ht="15" hidden="false" customHeight="false" outlineLevel="0" collapsed="false">
      <c r="A985" s="10" t="s">
        <v>3457</v>
      </c>
      <c r="B985" s="12" t="n">
        <f aca="false">COUNTIF(選手一覧!$C$7:$C$2738,A985)</f>
        <v>1</v>
      </c>
      <c r="C985" s="14" t="n">
        <f aca="false">COUNTIFS(選手一覧!$C$7:$C$2738,A985,選手一覧!$K$7:$K$2738,"&lt;=100")</f>
        <v>0</v>
      </c>
      <c r="D985" s="14" t="n">
        <f aca="false">COUNTIFS(選手一覧!$C$7:$C$2738,A985,選手一覧!$E$7:$E$2738,"&lt;=100")</f>
        <v>0</v>
      </c>
      <c r="E985" s="14" t="n">
        <f aca="false">COUNTIFS(選手一覧!$C$7:$C$2738,A985,選手一覧!$G$7:$G$2738,"&lt;=100")</f>
        <v>0</v>
      </c>
      <c r="F985" s="14" t="n">
        <f aca="false">COUNTIFS(選手一覧!$C$7:$C$2738,A985,選手一覧!$I$7:$I$2738,"&lt;=100")</f>
        <v>0</v>
      </c>
      <c r="G985" s="13" t="n">
        <f aca="false">_xlfn.MINIFS(選手一覧!$K$7:$K$2738,選手一覧!$C$7:$C$2738,A985)</f>
        <v>1197</v>
      </c>
      <c r="H985" s="16"/>
    </row>
    <row r="986" customFormat="false" ht="15" hidden="false" customHeight="false" outlineLevel="0" collapsed="false">
      <c r="A986" s="10" t="s">
        <v>3470</v>
      </c>
      <c r="B986" s="12" t="n">
        <f aca="false">COUNTIF(選手一覧!$C$7:$C$2738,A986)</f>
        <v>1</v>
      </c>
      <c r="C986" s="14" t="n">
        <f aca="false">COUNTIFS(選手一覧!$C$7:$C$2738,A986,選手一覧!$K$7:$K$2738,"&lt;=100")</f>
        <v>0</v>
      </c>
      <c r="D986" s="14" t="n">
        <f aca="false">COUNTIFS(選手一覧!$C$7:$C$2738,A986,選手一覧!$E$7:$E$2738,"&lt;=100")</f>
        <v>0</v>
      </c>
      <c r="E986" s="14" t="n">
        <f aca="false">COUNTIFS(選手一覧!$C$7:$C$2738,A986,選手一覧!$G$7:$G$2738,"&lt;=100")</f>
        <v>0</v>
      </c>
      <c r="F986" s="14" t="n">
        <f aca="false">COUNTIFS(選手一覧!$C$7:$C$2738,A986,選手一覧!$I$7:$I$2738,"&lt;=100")</f>
        <v>0</v>
      </c>
      <c r="G986" s="13" t="n">
        <f aca="false">_xlfn.MINIFS(選手一覧!$K$7:$K$2738,選手一覧!$C$7:$C$2738,A986)</f>
        <v>1204</v>
      </c>
      <c r="H986" s="16"/>
    </row>
    <row r="987" customFormat="false" ht="15" hidden="false" customHeight="false" outlineLevel="0" collapsed="false">
      <c r="A987" s="10" t="s">
        <v>3473</v>
      </c>
      <c r="B987" s="12" t="n">
        <f aca="false">COUNTIF(選手一覧!$C$7:$C$2738,A987)</f>
        <v>1</v>
      </c>
      <c r="C987" s="14" t="n">
        <f aca="false">COUNTIFS(選手一覧!$C$7:$C$2738,A987,選手一覧!$K$7:$K$2738,"&lt;=100")</f>
        <v>0</v>
      </c>
      <c r="D987" s="14" t="n">
        <f aca="false">COUNTIFS(選手一覧!$C$7:$C$2738,A987,選手一覧!$E$7:$E$2738,"&lt;=100")</f>
        <v>0</v>
      </c>
      <c r="E987" s="14" t="n">
        <f aca="false">COUNTIFS(選手一覧!$C$7:$C$2738,A987,選手一覧!$G$7:$G$2738,"&lt;=100")</f>
        <v>0</v>
      </c>
      <c r="F987" s="14" t="n">
        <f aca="false">COUNTIFS(選手一覧!$C$7:$C$2738,A987,選手一覧!$I$7:$I$2738,"&lt;=100")</f>
        <v>0</v>
      </c>
      <c r="G987" s="13" t="n">
        <f aca="false">_xlfn.MINIFS(選手一覧!$K$7:$K$2738,選手一覧!$C$7:$C$2738,A987)</f>
        <v>1205</v>
      </c>
      <c r="H987" s="16"/>
    </row>
    <row r="988" customFormat="false" ht="15" hidden="false" customHeight="false" outlineLevel="0" collapsed="false">
      <c r="A988" s="10" t="s">
        <v>3475</v>
      </c>
      <c r="B988" s="12" t="n">
        <f aca="false">COUNTIF(選手一覧!$C$7:$C$2738,A988)</f>
        <v>1</v>
      </c>
      <c r="C988" s="14" t="n">
        <f aca="false">COUNTIFS(選手一覧!$C$7:$C$2738,A988,選手一覧!$K$7:$K$2738,"&lt;=100")</f>
        <v>0</v>
      </c>
      <c r="D988" s="14" t="n">
        <f aca="false">COUNTIFS(選手一覧!$C$7:$C$2738,A988,選手一覧!$E$7:$E$2738,"&lt;=100")</f>
        <v>0</v>
      </c>
      <c r="E988" s="14" t="n">
        <f aca="false">COUNTIFS(選手一覧!$C$7:$C$2738,A988,選手一覧!$G$7:$G$2738,"&lt;=100")</f>
        <v>0</v>
      </c>
      <c r="F988" s="14" t="n">
        <f aca="false">COUNTIFS(選手一覧!$C$7:$C$2738,A988,選手一覧!$I$7:$I$2738,"&lt;=100")</f>
        <v>0</v>
      </c>
      <c r="G988" s="13" t="n">
        <f aca="false">_xlfn.MINIFS(選手一覧!$K$7:$K$2738,選手一覧!$C$7:$C$2738,A988)</f>
        <v>1205</v>
      </c>
      <c r="H988" s="16"/>
    </row>
    <row r="989" customFormat="false" ht="15" hidden="false" customHeight="false" outlineLevel="0" collapsed="false">
      <c r="A989" s="10" t="s">
        <v>3478</v>
      </c>
      <c r="B989" s="12" t="n">
        <f aca="false">COUNTIF(選手一覧!$C$7:$C$2738,A989)</f>
        <v>1</v>
      </c>
      <c r="C989" s="14" t="n">
        <f aca="false">COUNTIFS(選手一覧!$C$7:$C$2738,A989,選手一覧!$K$7:$K$2738,"&lt;=100")</f>
        <v>0</v>
      </c>
      <c r="D989" s="14" t="n">
        <f aca="false">COUNTIFS(選手一覧!$C$7:$C$2738,A989,選手一覧!$E$7:$E$2738,"&lt;=100")</f>
        <v>0</v>
      </c>
      <c r="E989" s="14" t="n">
        <f aca="false">COUNTIFS(選手一覧!$C$7:$C$2738,A989,選手一覧!$G$7:$G$2738,"&lt;=100")</f>
        <v>0</v>
      </c>
      <c r="F989" s="14" t="n">
        <f aca="false">COUNTIFS(選手一覧!$C$7:$C$2738,A989,選手一覧!$I$7:$I$2738,"&lt;=100")</f>
        <v>0</v>
      </c>
      <c r="G989" s="13" t="n">
        <f aca="false">_xlfn.MINIFS(選手一覧!$K$7:$K$2738,選手一覧!$C$7:$C$2738,A989)</f>
        <v>1207</v>
      </c>
      <c r="H989" s="16"/>
    </row>
    <row r="990" customFormat="false" ht="15" hidden="false" customHeight="false" outlineLevel="0" collapsed="false">
      <c r="A990" s="10" t="s">
        <v>3486</v>
      </c>
      <c r="B990" s="12" t="n">
        <f aca="false">COUNTIF(選手一覧!$C$7:$C$2738,A990)</f>
        <v>1</v>
      </c>
      <c r="C990" s="14" t="n">
        <f aca="false">COUNTIFS(選手一覧!$C$7:$C$2738,A990,選手一覧!$K$7:$K$2738,"&lt;=100")</f>
        <v>0</v>
      </c>
      <c r="D990" s="14" t="n">
        <f aca="false">COUNTIFS(選手一覧!$C$7:$C$2738,A990,選手一覧!$E$7:$E$2738,"&lt;=100")</f>
        <v>0</v>
      </c>
      <c r="E990" s="14" t="n">
        <f aca="false">COUNTIFS(選手一覧!$C$7:$C$2738,A990,選手一覧!$G$7:$G$2738,"&lt;=100")</f>
        <v>0</v>
      </c>
      <c r="F990" s="14" t="n">
        <f aca="false">COUNTIFS(選手一覧!$C$7:$C$2738,A990,選手一覧!$I$7:$I$2738,"&lt;=100")</f>
        <v>0</v>
      </c>
      <c r="G990" s="13" t="n">
        <f aca="false">_xlfn.MINIFS(選手一覧!$K$7:$K$2738,選手一覧!$C$7:$C$2738,A990)</f>
        <v>1211</v>
      </c>
      <c r="H990" s="16"/>
    </row>
    <row r="991" customFormat="false" ht="15" hidden="false" customHeight="false" outlineLevel="0" collapsed="false">
      <c r="A991" s="10" t="s">
        <v>3488</v>
      </c>
      <c r="B991" s="12" t="n">
        <f aca="false">COUNTIF(選手一覧!$C$7:$C$2738,A991)</f>
        <v>1</v>
      </c>
      <c r="C991" s="14" t="n">
        <f aca="false">COUNTIFS(選手一覧!$C$7:$C$2738,A991,選手一覧!$K$7:$K$2738,"&lt;=100")</f>
        <v>0</v>
      </c>
      <c r="D991" s="14" t="n">
        <f aca="false">COUNTIFS(選手一覧!$C$7:$C$2738,A991,選手一覧!$E$7:$E$2738,"&lt;=100")</f>
        <v>0</v>
      </c>
      <c r="E991" s="14" t="n">
        <f aca="false">COUNTIFS(選手一覧!$C$7:$C$2738,A991,選手一覧!$G$7:$G$2738,"&lt;=100")</f>
        <v>0</v>
      </c>
      <c r="F991" s="14" t="n">
        <f aca="false">COUNTIFS(選手一覧!$C$7:$C$2738,A991,選手一覧!$I$7:$I$2738,"&lt;=100")</f>
        <v>0</v>
      </c>
      <c r="G991" s="13" t="n">
        <f aca="false">_xlfn.MINIFS(選手一覧!$K$7:$K$2738,選手一覧!$C$7:$C$2738,A991)</f>
        <v>1211</v>
      </c>
      <c r="H991" s="16"/>
    </row>
    <row r="992" customFormat="false" ht="15" hidden="false" customHeight="false" outlineLevel="0" collapsed="false">
      <c r="A992" s="10" t="s">
        <v>3496</v>
      </c>
      <c r="B992" s="12" t="n">
        <f aca="false">COUNTIF(選手一覧!$C$7:$C$2738,A992)</f>
        <v>1</v>
      </c>
      <c r="C992" s="14" t="n">
        <f aca="false">COUNTIFS(選手一覧!$C$7:$C$2738,A992,選手一覧!$K$7:$K$2738,"&lt;=100")</f>
        <v>0</v>
      </c>
      <c r="D992" s="14" t="n">
        <f aca="false">COUNTIFS(選手一覧!$C$7:$C$2738,A992,選手一覧!$E$7:$E$2738,"&lt;=100")</f>
        <v>0</v>
      </c>
      <c r="E992" s="14" t="n">
        <f aca="false">COUNTIFS(選手一覧!$C$7:$C$2738,A992,選手一覧!$G$7:$G$2738,"&lt;=100")</f>
        <v>0</v>
      </c>
      <c r="F992" s="14" t="n">
        <f aca="false">COUNTIFS(選手一覧!$C$7:$C$2738,A992,選手一覧!$I$7:$I$2738,"&lt;=100")</f>
        <v>0</v>
      </c>
      <c r="G992" s="13" t="n">
        <f aca="false">_xlfn.MINIFS(選手一覧!$K$7:$K$2738,選手一覧!$C$7:$C$2738,A992)</f>
        <v>1215</v>
      </c>
      <c r="H992" s="16"/>
    </row>
    <row r="993" customFormat="false" ht="15" hidden="false" customHeight="false" outlineLevel="0" collapsed="false">
      <c r="A993" s="10" t="s">
        <v>3507</v>
      </c>
      <c r="B993" s="12" t="n">
        <f aca="false">COUNTIF(選手一覧!$C$7:$C$2738,A993)</f>
        <v>1</v>
      </c>
      <c r="C993" s="14" t="n">
        <f aca="false">COUNTIFS(選手一覧!$C$7:$C$2738,A993,選手一覧!$K$7:$K$2738,"&lt;=100")</f>
        <v>0</v>
      </c>
      <c r="D993" s="14" t="n">
        <f aca="false">COUNTIFS(選手一覧!$C$7:$C$2738,A993,選手一覧!$E$7:$E$2738,"&lt;=100")</f>
        <v>0</v>
      </c>
      <c r="E993" s="14" t="n">
        <f aca="false">COUNTIFS(選手一覧!$C$7:$C$2738,A993,選手一覧!$G$7:$G$2738,"&lt;=100")</f>
        <v>0</v>
      </c>
      <c r="F993" s="14" t="n">
        <f aca="false">COUNTIFS(選手一覧!$C$7:$C$2738,A993,選手一覧!$I$7:$I$2738,"&lt;=100")</f>
        <v>0</v>
      </c>
      <c r="G993" s="13" t="n">
        <f aca="false">_xlfn.MINIFS(選手一覧!$K$7:$K$2738,選手一覧!$C$7:$C$2738,A993)</f>
        <v>1220</v>
      </c>
      <c r="H993" s="16"/>
    </row>
    <row r="994" customFormat="false" ht="15" hidden="false" customHeight="false" outlineLevel="0" collapsed="false">
      <c r="A994" s="10" t="s">
        <v>3512</v>
      </c>
      <c r="B994" s="12" t="n">
        <f aca="false">COUNTIF(選手一覧!$C$7:$C$2738,A994)</f>
        <v>1</v>
      </c>
      <c r="C994" s="14" t="n">
        <f aca="false">COUNTIFS(選手一覧!$C$7:$C$2738,A994,選手一覧!$K$7:$K$2738,"&lt;=100")</f>
        <v>0</v>
      </c>
      <c r="D994" s="14" t="n">
        <f aca="false">COUNTIFS(選手一覧!$C$7:$C$2738,A994,選手一覧!$E$7:$E$2738,"&lt;=100")</f>
        <v>0</v>
      </c>
      <c r="E994" s="14" t="n">
        <f aca="false">COUNTIFS(選手一覧!$C$7:$C$2738,A994,選手一覧!$G$7:$G$2738,"&lt;=100")</f>
        <v>0</v>
      </c>
      <c r="F994" s="14" t="n">
        <f aca="false">COUNTIFS(選手一覧!$C$7:$C$2738,A994,選手一覧!$I$7:$I$2738,"&lt;=100")</f>
        <v>0</v>
      </c>
      <c r="G994" s="13" t="n">
        <f aca="false">_xlfn.MINIFS(選手一覧!$K$7:$K$2738,選手一覧!$C$7:$C$2738,A994)</f>
        <v>1222</v>
      </c>
      <c r="H994" s="16"/>
    </row>
    <row r="995" customFormat="false" ht="15" hidden="false" customHeight="false" outlineLevel="0" collapsed="false">
      <c r="A995" s="10" t="s">
        <v>3524</v>
      </c>
      <c r="B995" s="12" t="n">
        <f aca="false">COUNTIF(選手一覧!$C$7:$C$2738,A995)</f>
        <v>1</v>
      </c>
      <c r="C995" s="14" t="n">
        <f aca="false">COUNTIFS(選手一覧!$C$7:$C$2738,A995,選手一覧!$K$7:$K$2738,"&lt;=100")</f>
        <v>0</v>
      </c>
      <c r="D995" s="14" t="n">
        <f aca="false">COUNTIFS(選手一覧!$C$7:$C$2738,A995,選手一覧!$E$7:$E$2738,"&lt;=100")</f>
        <v>0</v>
      </c>
      <c r="E995" s="14" t="n">
        <f aca="false">COUNTIFS(選手一覧!$C$7:$C$2738,A995,選手一覧!$G$7:$G$2738,"&lt;=100")</f>
        <v>0</v>
      </c>
      <c r="F995" s="14" t="n">
        <f aca="false">COUNTIFS(選手一覧!$C$7:$C$2738,A995,選手一覧!$I$7:$I$2738,"&lt;=100")</f>
        <v>0</v>
      </c>
      <c r="G995" s="13" t="n">
        <f aca="false">_xlfn.MINIFS(選手一覧!$K$7:$K$2738,選手一覧!$C$7:$C$2738,A995)</f>
        <v>1227</v>
      </c>
      <c r="H995" s="16"/>
    </row>
    <row r="996" customFormat="false" ht="15" hidden="false" customHeight="false" outlineLevel="0" collapsed="false">
      <c r="A996" s="10" t="s">
        <v>3528</v>
      </c>
      <c r="B996" s="12" t="n">
        <f aca="false">COUNTIF(選手一覧!$C$7:$C$2738,A996)</f>
        <v>1</v>
      </c>
      <c r="C996" s="14" t="n">
        <f aca="false">COUNTIFS(選手一覧!$C$7:$C$2738,A996,選手一覧!$K$7:$K$2738,"&lt;=100")</f>
        <v>0</v>
      </c>
      <c r="D996" s="14" t="n">
        <f aca="false">COUNTIFS(選手一覧!$C$7:$C$2738,A996,選手一覧!$E$7:$E$2738,"&lt;=100")</f>
        <v>0</v>
      </c>
      <c r="E996" s="14" t="n">
        <f aca="false">COUNTIFS(選手一覧!$C$7:$C$2738,A996,選手一覧!$G$7:$G$2738,"&lt;=100")</f>
        <v>0</v>
      </c>
      <c r="F996" s="14" t="n">
        <f aca="false">COUNTIFS(選手一覧!$C$7:$C$2738,A996,選手一覧!$I$7:$I$2738,"&lt;=100")</f>
        <v>0</v>
      </c>
      <c r="G996" s="13" t="n">
        <f aca="false">_xlfn.MINIFS(選手一覧!$K$7:$K$2738,選手一覧!$C$7:$C$2738,A996)</f>
        <v>1229</v>
      </c>
      <c r="H996" s="16"/>
    </row>
    <row r="997" customFormat="false" ht="15" hidden="false" customHeight="false" outlineLevel="0" collapsed="false">
      <c r="A997" s="10" t="s">
        <v>3530</v>
      </c>
      <c r="B997" s="12" t="n">
        <f aca="false">COUNTIF(選手一覧!$C$7:$C$2738,A997)</f>
        <v>1</v>
      </c>
      <c r="C997" s="14" t="n">
        <f aca="false">COUNTIFS(選手一覧!$C$7:$C$2738,A997,選手一覧!$K$7:$K$2738,"&lt;=100")</f>
        <v>0</v>
      </c>
      <c r="D997" s="14" t="n">
        <f aca="false">COUNTIFS(選手一覧!$C$7:$C$2738,A997,選手一覧!$E$7:$E$2738,"&lt;=100")</f>
        <v>0</v>
      </c>
      <c r="E997" s="14" t="n">
        <f aca="false">COUNTIFS(選手一覧!$C$7:$C$2738,A997,選手一覧!$G$7:$G$2738,"&lt;=100")</f>
        <v>0</v>
      </c>
      <c r="F997" s="14" t="n">
        <f aca="false">COUNTIFS(選手一覧!$C$7:$C$2738,A997,選手一覧!$I$7:$I$2738,"&lt;=100")</f>
        <v>0</v>
      </c>
      <c r="G997" s="13" t="n">
        <f aca="false">_xlfn.MINIFS(選手一覧!$K$7:$K$2738,選手一覧!$C$7:$C$2738,A997)</f>
        <v>1229</v>
      </c>
      <c r="H997" s="16"/>
    </row>
    <row r="998" customFormat="false" ht="15" hidden="false" customHeight="false" outlineLevel="0" collapsed="false">
      <c r="A998" s="10" t="s">
        <v>3536</v>
      </c>
      <c r="B998" s="12" t="n">
        <f aca="false">COUNTIF(選手一覧!$C$7:$C$2738,A998)</f>
        <v>1</v>
      </c>
      <c r="C998" s="14" t="n">
        <f aca="false">COUNTIFS(選手一覧!$C$7:$C$2738,A998,選手一覧!$K$7:$K$2738,"&lt;=100")</f>
        <v>0</v>
      </c>
      <c r="D998" s="14" t="n">
        <f aca="false">COUNTIFS(選手一覧!$C$7:$C$2738,A998,選手一覧!$E$7:$E$2738,"&lt;=100")</f>
        <v>0</v>
      </c>
      <c r="E998" s="14" t="n">
        <f aca="false">COUNTIFS(選手一覧!$C$7:$C$2738,A998,選手一覧!$G$7:$G$2738,"&lt;=100")</f>
        <v>0</v>
      </c>
      <c r="F998" s="14" t="n">
        <f aca="false">COUNTIFS(選手一覧!$C$7:$C$2738,A998,選手一覧!$I$7:$I$2738,"&lt;=100")</f>
        <v>0</v>
      </c>
      <c r="G998" s="13" t="n">
        <f aca="false">_xlfn.MINIFS(選手一覧!$K$7:$K$2738,選手一覧!$C$7:$C$2738,A998)</f>
        <v>1231</v>
      </c>
      <c r="H998" s="16"/>
    </row>
    <row r="999" customFormat="false" ht="15" hidden="false" customHeight="false" outlineLevel="0" collapsed="false">
      <c r="A999" s="10" t="s">
        <v>3539</v>
      </c>
      <c r="B999" s="12" t="n">
        <f aca="false">COUNTIF(選手一覧!$C$7:$C$2738,A999)</f>
        <v>1</v>
      </c>
      <c r="C999" s="14" t="n">
        <f aca="false">COUNTIFS(選手一覧!$C$7:$C$2738,A999,選手一覧!$K$7:$K$2738,"&lt;=100")</f>
        <v>0</v>
      </c>
      <c r="D999" s="14" t="n">
        <f aca="false">COUNTIFS(選手一覧!$C$7:$C$2738,A999,選手一覧!$E$7:$E$2738,"&lt;=100")</f>
        <v>0</v>
      </c>
      <c r="E999" s="14" t="n">
        <f aca="false">COUNTIFS(選手一覧!$C$7:$C$2738,A999,選手一覧!$G$7:$G$2738,"&lt;=100")</f>
        <v>0</v>
      </c>
      <c r="F999" s="14" t="n">
        <f aca="false">COUNTIFS(選手一覧!$C$7:$C$2738,A999,選手一覧!$I$7:$I$2738,"&lt;=100")</f>
        <v>0</v>
      </c>
      <c r="G999" s="13" t="n">
        <f aca="false">_xlfn.MINIFS(選手一覧!$K$7:$K$2738,選手一覧!$C$7:$C$2738,A999)</f>
        <v>1232</v>
      </c>
      <c r="H999" s="16"/>
    </row>
    <row r="1000" customFormat="false" ht="15" hidden="false" customHeight="false" outlineLevel="0" collapsed="false">
      <c r="A1000" s="10" t="s">
        <v>3542</v>
      </c>
      <c r="B1000" s="12" t="n">
        <f aca="false">COUNTIF(選手一覧!$C$7:$C$2738,A1000)</f>
        <v>1</v>
      </c>
      <c r="C1000" s="14" t="n">
        <f aca="false">COUNTIFS(選手一覧!$C$7:$C$2738,A1000,選手一覧!$K$7:$K$2738,"&lt;=100")</f>
        <v>0</v>
      </c>
      <c r="D1000" s="14" t="n">
        <f aca="false">COUNTIFS(選手一覧!$C$7:$C$2738,A1000,選手一覧!$E$7:$E$2738,"&lt;=100")</f>
        <v>0</v>
      </c>
      <c r="E1000" s="14" t="n">
        <f aca="false">COUNTIFS(選手一覧!$C$7:$C$2738,A1000,選手一覧!$G$7:$G$2738,"&lt;=100")</f>
        <v>0</v>
      </c>
      <c r="F1000" s="14" t="n">
        <f aca="false">COUNTIFS(選手一覧!$C$7:$C$2738,A1000,選手一覧!$I$7:$I$2738,"&lt;=100")</f>
        <v>0</v>
      </c>
      <c r="G1000" s="13" t="n">
        <f aca="false">_xlfn.MINIFS(選手一覧!$K$7:$K$2738,選手一覧!$C$7:$C$2738,A1000)</f>
        <v>1233</v>
      </c>
      <c r="H1000" s="16"/>
    </row>
    <row r="1001" customFormat="false" ht="15" hidden="false" customHeight="false" outlineLevel="0" collapsed="false">
      <c r="A1001" s="10" t="s">
        <v>3551</v>
      </c>
      <c r="B1001" s="12" t="n">
        <f aca="false">COUNTIF(選手一覧!$C$7:$C$2738,A1001)</f>
        <v>1</v>
      </c>
      <c r="C1001" s="14" t="n">
        <f aca="false">COUNTIFS(選手一覧!$C$7:$C$2738,A1001,選手一覧!$K$7:$K$2738,"&lt;=100")</f>
        <v>0</v>
      </c>
      <c r="D1001" s="14" t="n">
        <f aca="false">COUNTIFS(選手一覧!$C$7:$C$2738,A1001,選手一覧!$E$7:$E$2738,"&lt;=100")</f>
        <v>0</v>
      </c>
      <c r="E1001" s="14" t="n">
        <f aca="false">COUNTIFS(選手一覧!$C$7:$C$2738,A1001,選手一覧!$G$7:$G$2738,"&lt;=100")</f>
        <v>0</v>
      </c>
      <c r="F1001" s="14" t="n">
        <f aca="false">COUNTIFS(選手一覧!$C$7:$C$2738,A1001,選手一覧!$I$7:$I$2738,"&lt;=100")</f>
        <v>0</v>
      </c>
      <c r="G1001" s="13" t="n">
        <f aca="false">_xlfn.MINIFS(選手一覧!$K$7:$K$2738,選手一覧!$C$7:$C$2738,A1001)</f>
        <v>1235</v>
      </c>
      <c r="H1001" s="16"/>
    </row>
    <row r="1002" customFormat="false" ht="15" hidden="false" customHeight="false" outlineLevel="0" collapsed="false">
      <c r="A1002" s="10" t="s">
        <v>3553</v>
      </c>
      <c r="B1002" s="12" t="n">
        <f aca="false">COUNTIF(選手一覧!$C$7:$C$2738,A1002)</f>
        <v>1</v>
      </c>
      <c r="C1002" s="14" t="n">
        <f aca="false">COUNTIFS(選手一覧!$C$7:$C$2738,A1002,選手一覧!$K$7:$K$2738,"&lt;=100")</f>
        <v>0</v>
      </c>
      <c r="D1002" s="14" t="n">
        <f aca="false">COUNTIFS(選手一覧!$C$7:$C$2738,A1002,選手一覧!$E$7:$E$2738,"&lt;=100")</f>
        <v>0</v>
      </c>
      <c r="E1002" s="14" t="n">
        <f aca="false">COUNTIFS(選手一覧!$C$7:$C$2738,A1002,選手一覧!$G$7:$G$2738,"&lt;=100")</f>
        <v>0</v>
      </c>
      <c r="F1002" s="14" t="n">
        <f aca="false">COUNTIFS(選手一覧!$C$7:$C$2738,A1002,選手一覧!$I$7:$I$2738,"&lt;=100")</f>
        <v>0</v>
      </c>
      <c r="G1002" s="13" t="n">
        <f aca="false">_xlfn.MINIFS(選手一覧!$K$7:$K$2738,選手一覧!$C$7:$C$2738,A1002)</f>
        <v>1236</v>
      </c>
      <c r="H1002" s="16"/>
    </row>
    <row r="1003" customFormat="false" ht="15" hidden="false" customHeight="false" outlineLevel="0" collapsed="false">
      <c r="A1003" s="10" t="s">
        <v>3555</v>
      </c>
      <c r="B1003" s="12" t="n">
        <f aca="false">COUNTIF(選手一覧!$C$7:$C$2738,A1003)</f>
        <v>1</v>
      </c>
      <c r="C1003" s="14" t="n">
        <f aca="false">COUNTIFS(選手一覧!$C$7:$C$2738,A1003,選手一覧!$K$7:$K$2738,"&lt;=100")</f>
        <v>0</v>
      </c>
      <c r="D1003" s="14" t="n">
        <f aca="false">COUNTIFS(選手一覧!$C$7:$C$2738,A1003,選手一覧!$E$7:$E$2738,"&lt;=100")</f>
        <v>0</v>
      </c>
      <c r="E1003" s="14" t="n">
        <f aca="false">COUNTIFS(選手一覧!$C$7:$C$2738,A1003,選手一覧!$G$7:$G$2738,"&lt;=100")</f>
        <v>0</v>
      </c>
      <c r="F1003" s="14" t="n">
        <f aca="false">COUNTIFS(選手一覧!$C$7:$C$2738,A1003,選手一覧!$I$7:$I$2738,"&lt;=100")</f>
        <v>0</v>
      </c>
      <c r="G1003" s="13" t="n">
        <f aca="false">_xlfn.MINIFS(選手一覧!$K$7:$K$2738,選手一覧!$C$7:$C$2738,A1003)</f>
        <v>1236</v>
      </c>
      <c r="H1003" s="16"/>
    </row>
    <row r="1004" customFormat="false" ht="15" hidden="false" customHeight="false" outlineLevel="0" collapsed="false">
      <c r="A1004" s="10" t="s">
        <v>3559</v>
      </c>
      <c r="B1004" s="12" t="n">
        <f aca="false">COUNTIF(選手一覧!$C$7:$C$2738,A1004)</f>
        <v>1</v>
      </c>
      <c r="C1004" s="14" t="n">
        <f aca="false">COUNTIFS(選手一覧!$C$7:$C$2738,A1004,選手一覧!$K$7:$K$2738,"&lt;=100")</f>
        <v>0</v>
      </c>
      <c r="D1004" s="14" t="n">
        <f aca="false">COUNTIFS(選手一覧!$C$7:$C$2738,A1004,選手一覧!$E$7:$E$2738,"&lt;=100")</f>
        <v>0</v>
      </c>
      <c r="E1004" s="14" t="n">
        <f aca="false">COUNTIFS(選手一覧!$C$7:$C$2738,A1004,選手一覧!$G$7:$G$2738,"&lt;=100")</f>
        <v>0</v>
      </c>
      <c r="F1004" s="14" t="n">
        <f aca="false">COUNTIFS(選手一覧!$C$7:$C$2738,A1004,選手一覧!$I$7:$I$2738,"&lt;=100")</f>
        <v>0</v>
      </c>
      <c r="G1004" s="13" t="n">
        <f aca="false">_xlfn.MINIFS(選手一覧!$K$7:$K$2738,選手一覧!$C$7:$C$2738,A1004)</f>
        <v>1238</v>
      </c>
      <c r="H1004" s="16"/>
    </row>
    <row r="1005" customFormat="false" ht="15" hidden="false" customHeight="false" outlineLevel="0" collapsed="false">
      <c r="A1005" s="10" t="s">
        <v>3564</v>
      </c>
      <c r="B1005" s="12" t="n">
        <f aca="false">COUNTIF(選手一覧!$C$7:$C$2738,A1005)</f>
        <v>1</v>
      </c>
      <c r="C1005" s="14" t="n">
        <f aca="false">COUNTIFS(選手一覧!$C$7:$C$2738,A1005,選手一覧!$K$7:$K$2738,"&lt;=100")</f>
        <v>0</v>
      </c>
      <c r="D1005" s="14" t="n">
        <f aca="false">COUNTIFS(選手一覧!$C$7:$C$2738,A1005,選手一覧!$E$7:$E$2738,"&lt;=100")</f>
        <v>0</v>
      </c>
      <c r="E1005" s="14" t="n">
        <f aca="false">COUNTIFS(選手一覧!$C$7:$C$2738,A1005,選手一覧!$G$7:$G$2738,"&lt;=100")</f>
        <v>0</v>
      </c>
      <c r="F1005" s="14" t="n">
        <f aca="false">COUNTIFS(選手一覧!$C$7:$C$2738,A1005,選手一覧!$I$7:$I$2738,"&lt;=100")</f>
        <v>0</v>
      </c>
      <c r="G1005" s="13" t="n">
        <f aca="false">_xlfn.MINIFS(選手一覧!$K$7:$K$2738,選手一覧!$C$7:$C$2738,A1005)</f>
        <v>1240</v>
      </c>
      <c r="H1005" s="16"/>
    </row>
    <row r="1006" customFormat="false" ht="15" hidden="false" customHeight="false" outlineLevel="0" collapsed="false">
      <c r="A1006" s="10" t="s">
        <v>3567</v>
      </c>
      <c r="B1006" s="12" t="n">
        <f aca="false">COUNTIF(選手一覧!$C$7:$C$2738,A1006)</f>
        <v>1</v>
      </c>
      <c r="C1006" s="14" t="n">
        <f aca="false">COUNTIFS(選手一覧!$C$7:$C$2738,A1006,選手一覧!$K$7:$K$2738,"&lt;=100")</f>
        <v>0</v>
      </c>
      <c r="D1006" s="14" t="n">
        <f aca="false">COUNTIFS(選手一覧!$C$7:$C$2738,A1006,選手一覧!$E$7:$E$2738,"&lt;=100")</f>
        <v>0</v>
      </c>
      <c r="E1006" s="14" t="n">
        <f aca="false">COUNTIFS(選手一覧!$C$7:$C$2738,A1006,選手一覧!$G$7:$G$2738,"&lt;=100")</f>
        <v>0</v>
      </c>
      <c r="F1006" s="14" t="n">
        <f aca="false">COUNTIFS(選手一覧!$C$7:$C$2738,A1006,選手一覧!$I$7:$I$2738,"&lt;=100")</f>
        <v>0</v>
      </c>
      <c r="G1006" s="13" t="n">
        <f aca="false">_xlfn.MINIFS(選手一覧!$K$7:$K$2738,選手一覧!$C$7:$C$2738,A1006)</f>
        <v>1241</v>
      </c>
      <c r="H1006" s="16"/>
    </row>
    <row r="1007" customFormat="false" ht="15" hidden="false" customHeight="false" outlineLevel="0" collapsed="false">
      <c r="A1007" s="10" t="s">
        <v>3571</v>
      </c>
      <c r="B1007" s="12" t="n">
        <f aca="false">COUNTIF(選手一覧!$C$7:$C$2738,A1007)</f>
        <v>1</v>
      </c>
      <c r="C1007" s="14" t="n">
        <f aca="false">COUNTIFS(選手一覧!$C$7:$C$2738,A1007,選手一覧!$K$7:$K$2738,"&lt;=100")</f>
        <v>0</v>
      </c>
      <c r="D1007" s="14" t="n">
        <f aca="false">COUNTIFS(選手一覧!$C$7:$C$2738,A1007,選手一覧!$E$7:$E$2738,"&lt;=100")</f>
        <v>0</v>
      </c>
      <c r="E1007" s="14" t="n">
        <f aca="false">COUNTIFS(選手一覧!$C$7:$C$2738,A1007,選手一覧!$G$7:$G$2738,"&lt;=100")</f>
        <v>0</v>
      </c>
      <c r="F1007" s="14" t="n">
        <f aca="false">COUNTIFS(選手一覧!$C$7:$C$2738,A1007,選手一覧!$I$7:$I$2738,"&lt;=100")</f>
        <v>0</v>
      </c>
      <c r="G1007" s="13" t="n">
        <f aca="false">_xlfn.MINIFS(選手一覧!$K$7:$K$2738,選手一覧!$C$7:$C$2738,A1007)</f>
        <v>1242</v>
      </c>
      <c r="H1007" s="16"/>
    </row>
    <row r="1008" customFormat="false" ht="15" hidden="false" customHeight="false" outlineLevel="0" collapsed="false">
      <c r="A1008" s="10" t="s">
        <v>3577</v>
      </c>
      <c r="B1008" s="12" t="n">
        <f aca="false">COUNTIF(選手一覧!$C$7:$C$2738,A1008)</f>
        <v>1</v>
      </c>
      <c r="C1008" s="14" t="n">
        <f aca="false">COUNTIFS(選手一覧!$C$7:$C$2738,A1008,選手一覧!$K$7:$K$2738,"&lt;=100")</f>
        <v>0</v>
      </c>
      <c r="D1008" s="14" t="n">
        <f aca="false">COUNTIFS(選手一覧!$C$7:$C$2738,A1008,選手一覧!$E$7:$E$2738,"&lt;=100")</f>
        <v>0</v>
      </c>
      <c r="E1008" s="14" t="n">
        <f aca="false">COUNTIFS(選手一覧!$C$7:$C$2738,A1008,選手一覧!$G$7:$G$2738,"&lt;=100")</f>
        <v>0</v>
      </c>
      <c r="F1008" s="14" t="n">
        <f aca="false">COUNTIFS(選手一覧!$C$7:$C$2738,A1008,選手一覧!$I$7:$I$2738,"&lt;=100")</f>
        <v>0</v>
      </c>
      <c r="G1008" s="13" t="n">
        <f aca="false">_xlfn.MINIFS(選手一覧!$K$7:$K$2738,選手一覧!$C$7:$C$2738,A1008)</f>
        <v>1245</v>
      </c>
      <c r="H1008" s="16"/>
    </row>
    <row r="1009" customFormat="false" ht="15" hidden="false" customHeight="false" outlineLevel="0" collapsed="false">
      <c r="A1009" s="10" t="s">
        <v>3581</v>
      </c>
      <c r="B1009" s="12" t="n">
        <f aca="false">COUNTIF(選手一覧!$C$7:$C$2738,A1009)</f>
        <v>1</v>
      </c>
      <c r="C1009" s="14" t="n">
        <f aca="false">COUNTIFS(選手一覧!$C$7:$C$2738,A1009,選手一覧!$K$7:$K$2738,"&lt;=100")</f>
        <v>0</v>
      </c>
      <c r="D1009" s="14" t="n">
        <f aca="false">COUNTIFS(選手一覧!$C$7:$C$2738,A1009,選手一覧!$E$7:$E$2738,"&lt;=100")</f>
        <v>0</v>
      </c>
      <c r="E1009" s="14" t="n">
        <f aca="false">COUNTIFS(選手一覧!$C$7:$C$2738,A1009,選手一覧!$G$7:$G$2738,"&lt;=100")</f>
        <v>0</v>
      </c>
      <c r="F1009" s="14" t="n">
        <f aca="false">COUNTIFS(選手一覧!$C$7:$C$2738,A1009,選手一覧!$I$7:$I$2738,"&lt;=100")</f>
        <v>0</v>
      </c>
      <c r="G1009" s="13" t="n">
        <f aca="false">_xlfn.MINIFS(選手一覧!$K$7:$K$2738,選手一覧!$C$7:$C$2738,A1009)</f>
        <v>1247</v>
      </c>
      <c r="H1009" s="16"/>
    </row>
    <row r="1010" customFormat="false" ht="15" hidden="false" customHeight="false" outlineLevel="0" collapsed="false">
      <c r="A1010" s="10" t="s">
        <v>3588</v>
      </c>
      <c r="B1010" s="12" t="n">
        <f aca="false">COUNTIF(選手一覧!$C$7:$C$2738,A1010)</f>
        <v>1</v>
      </c>
      <c r="C1010" s="14" t="n">
        <f aca="false">COUNTIFS(選手一覧!$C$7:$C$2738,A1010,選手一覧!$K$7:$K$2738,"&lt;=100")</f>
        <v>0</v>
      </c>
      <c r="D1010" s="14" t="n">
        <f aca="false">COUNTIFS(選手一覧!$C$7:$C$2738,A1010,選手一覧!$E$7:$E$2738,"&lt;=100")</f>
        <v>0</v>
      </c>
      <c r="E1010" s="14" t="n">
        <f aca="false">COUNTIFS(選手一覧!$C$7:$C$2738,A1010,選手一覧!$G$7:$G$2738,"&lt;=100")</f>
        <v>0</v>
      </c>
      <c r="F1010" s="14" t="n">
        <f aca="false">COUNTIFS(選手一覧!$C$7:$C$2738,A1010,選手一覧!$I$7:$I$2738,"&lt;=100")</f>
        <v>0</v>
      </c>
      <c r="G1010" s="13" t="n">
        <f aca="false">_xlfn.MINIFS(選手一覧!$K$7:$K$2738,選手一覧!$C$7:$C$2738,A1010)</f>
        <v>1250</v>
      </c>
      <c r="H1010" s="16"/>
    </row>
    <row r="1011" customFormat="false" ht="15" hidden="false" customHeight="false" outlineLevel="0" collapsed="false">
      <c r="A1011" s="10" t="s">
        <v>3591</v>
      </c>
      <c r="B1011" s="12" t="n">
        <f aca="false">COUNTIF(選手一覧!$C$7:$C$2738,A1011)</f>
        <v>1</v>
      </c>
      <c r="C1011" s="14" t="n">
        <f aca="false">COUNTIFS(選手一覧!$C$7:$C$2738,A1011,選手一覧!$K$7:$K$2738,"&lt;=100")</f>
        <v>0</v>
      </c>
      <c r="D1011" s="14" t="n">
        <f aca="false">COUNTIFS(選手一覧!$C$7:$C$2738,A1011,選手一覧!$E$7:$E$2738,"&lt;=100")</f>
        <v>0</v>
      </c>
      <c r="E1011" s="14" t="n">
        <f aca="false">COUNTIFS(選手一覧!$C$7:$C$2738,A1011,選手一覧!$G$7:$G$2738,"&lt;=100")</f>
        <v>0</v>
      </c>
      <c r="F1011" s="14" t="n">
        <f aca="false">COUNTIFS(選手一覧!$C$7:$C$2738,A1011,選手一覧!$I$7:$I$2738,"&lt;=100")</f>
        <v>0</v>
      </c>
      <c r="G1011" s="13" t="n">
        <f aca="false">_xlfn.MINIFS(選手一覧!$K$7:$K$2738,選手一覧!$C$7:$C$2738,A1011)</f>
        <v>1251</v>
      </c>
      <c r="H1011" s="16"/>
    </row>
    <row r="1012" customFormat="false" ht="15" hidden="false" customHeight="false" outlineLevel="0" collapsed="false">
      <c r="A1012" s="10" t="s">
        <v>3593</v>
      </c>
      <c r="B1012" s="12" t="n">
        <f aca="false">COUNTIF(選手一覧!$C$7:$C$2738,A1012)</f>
        <v>1</v>
      </c>
      <c r="C1012" s="14" t="n">
        <f aca="false">COUNTIFS(選手一覧!$C$7:$C$2738,A1012,選手一覧!$K$7:$K$2738,"&lt;=100")</f>
        <v>0</v>
      </c>
      <c r="D1012" s="14" t="n">
        <f aca="false">COUNTIFS(選手一覧!$C$7:$C$2738,A1012,選手一覧!$E$7:$E$2738,"&lt;=100")</f>
        <v>0</v>
      </c>
      <c r="E1012" s="14" t="n">
        <f aca="false">COUNTIFS(選手一覧!$C$7:$C$2738,A1012,選手一覧!$G$7:$G$2738,"&lt;=100")</f>
        <v>0</v>
      </c>
      <c r="F1012" s="14" t="n">
        <f aca="false">COUNTIFS(選手一覧!$C$7:$C$2738,A1012,選手一覧!$I$7:$I$2738,"&lt;=100")</f>
        <v>0</v>
      </c>
      <c r="G1012" s="13" t="n">
        <f aca="false">_xlfn.MINIFS(選手一覧!$K$7:$K$2738,選手一覧!$C$7:$C$2738,A1012)</f>
        <v>1252</v>
      </c>
      <c r="H1012" s="16"/>
    </row>
    <row r="1013" customFormat="false" ht="15" hidden="false" customHeight="false" outlineLevel="0" collapsed="false">
      <c r="A1013" s="10" t="s">
        <v>3597</v>
      </c>
      <c r="B1013" s="12" t="n">
        <f aca="false">COUNTIF(選手一覧!$C$7:$C$2738,A1013)</f>
        <v>1</v>
      </c>
      <c r="C1013" s="14" t="n">
        <f aca="false">COUNTIFS(選手一覧!$C$7:$C$2738,A1013,選手一覧!$K$7:$K$2738,"&lt;=100")</f>
        <v>0</v>
      </c>
      <c r="D1013" s="14" t="n">
        <f aca="false">COUNTIFS(選手一覧!$C$7:$C$2738,A1013,選手一覧!$E$7:$E$2738,"&lt;=100")</f>
        <v>0</v>
      </c>
      <c r="E1013" s="14" t="n">
        <f aca="false">COUNTIFS(選手一覧!$C$7:$C$2738,A1013,選手一覧!$G$7:$G$2738,"&lt;=100")</f>
        <v>0</v>
      </c>
      <c r="F1013" s="14" t="n">
        <f aca="false">COUNTIFS(選手一覧!$C$7:$C$2738,A1013,選手一覧!$I$7:$I$2738,"&lt;=100")</f>
        <v>0</v>
      </c>
      <c r="G1013" s="13" t="n">
        <f aca="false">_xlfn.MINIFS(選手一覧!$K$7:$K$2738,選手一覧!$C$7:$C$2738,A1013)</f>
        <v>1253</v>
      </c>
      <c r="H1013" s="16"/>
    </row>
    <row r="1014" customFormat="false" ht="15" hidden="false" customHeight="false" outlineLevel="0" collapsed="false">
      <c r="A1014" s="10" t="s">
        <v>3600</v>
      </c>
      <c r="B1014" s="12" t="n">
        <f aca="false">COUNTIF(選手一覧!$C$7:$C$2738,A1014)</f>
        <v>1</v>
      </c>
      <c r="C1014" s="14" t="n">
        <f aca="false">COUNTIFS(選手一覧!$C$7:$C$2738,A1014,選手一覧!$K$7:$K$2738,"&lt;=100")</f>
        <v>0</v>
      </c>
      <c r="D1014" s="14" t="n">
        <f aca="false">COUNTIFS(選手一覧!$C$7:$C$2738,A1014,選手一覧!$E$7:$E$2738,"&lt;=100")</f>
        <v>0</v>
      </c>
      <c r="E1014" s="14" t="n">
        <f aca="false">COUNTIFS(選手一覧!$C$7:$C$2738,A1014,選手一覧!$G$7:$G$2738,"&lt;=100")</f>
        <v>0</v>
      </c>
      <c r="F1014" s="14" t="n">
        <f aca="false">COUNTIFS(選手一覧!$C$7:$C$2738,A1014,選手一覧!$I$7:$I$2738,"&lt;=100")</f>
        <v>0</v>
      </c>
      <c r="G1014" s="13" t="n">
        <f aca="false">_xlfn.MINIFS(選手一覧!$K$7:$K$2738,選手一覧!$C$7:$C$2738,A1014)</f>
        <v>1255</v>
      </c>
      <c r="H1014" s="16"/>
    </row>
    <row r="1015" customFormat="false" ht="15" hidden="false" customHeight="false" outlineLevel="0" collapsed="false">
      <c r="A1015" s="10" t="s">
        <v>3608</v>
      </c>
      <c r="B1015" s="12" t="n">
        <f aca="false">COUNTIF(選手一覧!$C$7:$C$2738,A1015)</f>
        <v>1</v>
      </c>
      <c r="C1015" s="14" t="n">
        <f aca="false">COUNTIFS(選手一覧!$C$7:$C$2738,A1015,選手一覧!$K$7:$K$2738,"&lt;=100")</f>
        <v>0</v>
      </c>
      <c r="D1015" s="14" t="n">
        <f aca="false">COUNTIFS(選手一覧!$C$7:$C$2738,A1015,選手一覧!$E$7:$E$2738,"&lt;=100")</f>
        <v>0</v>
      </c>
      <c r="E1015" s="14" t="n">
        <f aca="false">COUNTIFS(選手一覧!$C$7:$C$2738,A1015,選手一覧!$G$7:$G$2738,"&lt;=100")</f>
        <v>0</v>
      </c>
      <c r="F1015" s="14" t="n">
        <f aca="false">COUNTIFS(選手一覧!$C$7:$C$2738,A1015,選手一覧!$I$7:$I$2738,"&lt;=100")</f>
        <v>0</v>
      </c>
      <c r="G1015" s="13" t="n">
        <f aca="false">_xlfn.MINIFS(選手一覧!$K$7:$K$2738,選手一覧!$C$7:$C$2738,A1015)</f>
        <v>1258</v>
      </c>
      <c r="H1015" s="16"/>
    </row>
    <row r="1016" customFormat="false" ht="15" hidden="false" customHeight="false" outlineLevel="0" collapsed="false">
      <c r="A1016" s="10" t="s">
        <v>3610</v>
      </c>
      <c r="B1016" s="12" t="n">
        <f aca="false">COUNTIF(選手一覧!$C$7:$C$2738,A1016)</f>
        <v>1</v>
      </c>
      <c r="C1016" s="14" t="n">
        <f aca="false">COUNTIFS(選手一覧!$C$7:$C$2738,A1016,選手一覧!$K$7:$K$2738,"&lt;=100")</f>
        <v>0</v>
      </c>
      <c r="D1016" s="14" t="n">
        <f aca="false">COUNTIFS(選手一覧!$C$7:$C$2738,A1016,選手一覧!$E$7:$E$2738,"&lt;=100")</f>
        <v>0</v>
      </c>
      <c r="E1016" s="14" t="n">
        <f aca="false">COUNTIFS(選手一覧!$C$7:$C$2738,A1016,選手一覧!$G$7:$G$2738,"&lt;=100")</f>
        <v>0</v>
      </c>
      <c r="F1016" s="14" t="n">
        <f aca="false">COUNTIFS(選手一覧!$C$7:$C$2738,A1016,選手一覧!$I$7:$I$2738,"&lt;=100")</f>
        <v>0</v>
      </c>
      <c r="G1016" s="13" t="n">
        <f aca="false">_xlfn.MINIFS(選手一覧!$K$7:$K$2738,選手一覧!$C$7:$C$2738,A1016)</f>
        <v>1259</v>
      </c>
      <c r="H1016" s="16"/>
    </row>
    <row r="1017" customFormat="false" ht="15" hidden="false" customHeight="false" outlineLevel="0" collapsed="false">
      <c r="A1017" s="10" t="s">
        <v>3619</v>
      </c>
      <c r="B1017" s="12" t="n">
        <f aca="false">COUNTIF(選手一覧!$C$7:$C$2738,A1017)</f>
        <v>1</v>
      </c>
      <c r="C1017" s="14" t="n">
        <f aca="false">COUNTIFS(選手一覧!$C$7:$C$2738,A1017,選手一覧!$K$7:$K$2738,"&lt;=100")</f>
        <v>0</v>
      </c>
      <c r="D1017" s="14" t="n">
        <f aca="false">COUNTIFS(選手一覧!$C$7:$C$2738,A1017,選手一覧!$E$7:$E$2738,"&lt;=100")</f>
        <v>0</v>
      </c>
      <c r="E1017" s="14" t="n">
        <f aca="false">COUNTIFS(選手一覧!$C$7:$C$2738,A1017,選手一覧!$G$7:$G$2738,"&lt;=100")</f>
        <v>0</v>
      </c>
      <c r="F1017" s="14" t="n">
        <f aca="false">COUNTIFS(選手一覧!$C$7:$C$2738,A1017,選手一覧!$I$7:$I$2738,"&lt;=100")</f>
        <v>0</v>
      </c>
      <c r="G1017" s="13" t="n">
        <f aca="false">_xlfn.MINIFS(選手一覧!$K$7:$K$2738,選手一覧!$C$7:$C$2738,A1017)</f>
        <v>1262</v>
      </c>
      <c r="H1017" s="16"/>
    </row>
    <row r="1018" customFormat="false" ht="15" hidden="false" customHeight="false" outlineLevel="0" collapsed="false">
      <c r="A1018" s="10" t="s">
        <v>3622</v>
      </c>
      <c r="B1018" s="12" t="n">
        <f aca="false">COUNTIF(選手一覧!$C$7:$C$2738,A1018)</f>
        <v>1</v>
      </c>
      <c r="C1018" s="14" t="n">
        <f aca="false">COUNTIFS(選手一覧!$C$7:$C$2738,A1018,選手一覧!$K$7:$K$2738,"&lt;=100")</f>
        <v>0</v>
      </c>
      <c r="D1018" s="14" t="n">
        <f aca="false">COUNTIFS(選手一覧!$C$7:$C$2738,A1018,選手一覧!$E$7:$E$2738,"&lt;=100")</f>
        <v>0</v>
      </c>
      <c r="E1018" s="14" t="n">
        <f aca="false">COUNTIFS(選手一覧!$C$7:$C$2738,A1018,選手一覧!$G$7:$G$2738,"&lt;=100")</f>
        <v>0</v>
      </c>
      <c r="F1018" s="14" t="n">
        <f aca="false">COUNTIFS(選手一覧!$C$7:$C$2738,A1018,選手一覧!$I$7:$I$2738,"&lt;=100")</f>
        <v>0</v>
      </c>
      <c r="G1018" s="13" t="n">
        <f aca="false">_xlfn.MINIFS(選手一覧!$K$7:$K$2738,選手一覧!$C$7:$C$2738,A1018)</f>
        <v>1263</v>
      </c>
      <c r="H1018" s="16"/>
    </row>
    <row r="1019" customFormat="false" ht="15" hidden="false" customHeight="false" outlineLevel="0" collapsed="false">
      <c r="A1019" s="10" t="s">
        <v>3629</v>
      </c>
      <c r="B1019" s="12" t="n">
        <f aca="false">COUNTIF(選手一覧!$C$7:$C$2738,A1019)</f>
        <v>1</v>
      </c>
      <c r="C1019" s="14" t="n">
        <f aca="false">COUNTIFS(選手一覧!$C$7:$C$2738,A1019,選手一覧!$K$7:$K$2738,"&lt;=100")</f>
        <v>0</v>
      </c>
      <c r="D1019" s="14" t="n">
        <f aca="false">COUNTIFS(選手一覧!$C$7:$C$2738,A1019,選手一覧!$E$7:$E$2738,"&lt;=100")</f>
        <v>0</v>
      </c>
      <c r="E1019" s="14" t="n">
        <f aca="false">COUNTIFS(選手一覧!$C$7:$C$2738,A1019,選手一覧!$G$7:$G$2738,"&lt;=100")</f>
        <v>0</v>
      </c>
      <c r="F1019" s="14" t="n">
        <f aca="false">COUNTIFS(選手一覧!$C$7:$C$2738,A1019,選手一覧!$I$7:$I$2738,"&lt;=100")</f>
        <v>0</v>
      </c>
      <c r="G1019" s="13" t="n">
        <f aca="false">_xlfn.MINIFS(選手一覧!$K$7:$K$2738,選手一覧!$C$7:$C$2738,A1019)</f>
        <v>1266</v>
      </c>
      <c r="H1019" s="16"/>
    </row>
    <row r="1020" customFormat="false" ht="15" hidden="false" customHeight="false" outlineLevel="0" collapsed="false">
      <c r="A1020" s="10" t="s">
        <v>3632</v>
      </c>
      <c r="B1020" s="12" t="n">
        <f aca="false">COUNTIF(選手一覧!$C$7:$C$2738,A1020)</f>
        <v>1</v>
      </c>
      <c r="C1020" s="14" t="n">
        <f aca="false">COUNTIFS(選手一覧!$C$7:$C$2738,A1020,選手一覧!$K$7:$K$2738,"&lt;=100")</f>
        <v>0</v>
      </c>
      <c r="D1020" s="14" t="n">
        <f aca="false">COUNTIFS(選手一覧!$C$7:$C$2738,A1020,選手一覧!$E$7:$E$2738,"&lt;=100")</f>
        <v>0</v>
      </c>
      <c r="E1020" s="14" t="n">
        <f aca="false">COUNTIFS(選手一覧!$C$7:$C$2738,A1020,選手一覧!$G$7:$G$2738,"&lt;=100")</f>
        <v>0</v>
      </c>
      <c r="F1020" s="14" t="n">
        <f aca="false">COUNTIFS(選手一覧!$C$7:$C$2738,A1020,選手一覧!$I$7:$I$2738,"&lt;=100")</f>
        <v>0</v>
      </c>
      <c r="G1020" s="13" t="n">
        <f aca="false">_xlfn.MINIFS(選手一覧!$K$7:$K$2738,選手一覧!$C$7:$C$2738,A1020)</f>
        <v>1267</v>
      </c>
      <c r="H1020" s="16"/>
    </row>
    <row r="1021" customFormat="false" ht="15" hidden="false" customHeight="false" outlineLevel="0" collapsed="false">
      <c r="A1021" s="10" t="s">
        <v>3636</v>
      </c>
      <c r="B1021" s="12" t="n">
        <f aca="false">COUNTIF(選手一覧!$C$7:$C$2738,A1021)</f>
        <v>1</v>
      </c>
      <c r="C1021" s="14" t="n">
        <f aca="false">COUNTIFS(選手一覧!$C$7:$C$2738,A1021,選手一覧!$K$7:$K$2738,"&lt;=100")</f>
        <v>0</v>
      </c>
      <c r="D1021" s="14" t="n">
        <f aca="false">COUNTIFS(選手一覧!$C$7:$C$2738,A1021,選手一覧!$E$7:$E$2738,"&lt;=100")</f>
        <v>0</v>
      </c>
      <c r="E1021" s="14" t="n">
        <f aca="false">COUNTIFS(選手一覧!$C$7:$C$2738,A1021,選手一覧!$G$7:$G$2738,"&lt;=100")</f>
        <v>0</v>
      </c>
      <c r="F1021" s="14" t="n">
        <f aca="false">COUNTIFS(選手一覧!$C$7:$C$2738,A1021,選手一覧!$I$7:$I$2738,"&lt;=100")</f>
        <v>0</v>
      </c>
      <c r="G1021" s="13" t="n">
        <f aca="false">_xlfn.MINIFS(選手一覧!$K$7:$K$2738,選手一覧!$C$7:$C$2738,A1021)</f>
        <v>1268</v>
      </c>
      <c r="H1021" s="16"/>
    </row>
    <row r="1022" customFormat="false" ht="15" hidden="false" customHeight="false" outlineLevel="0" collapsed="false">
      <c r="A1022" s="10" t="s">
        <v>3644</v>
      </c>
      <c r="B1022" s="12" t="n">
        <f aca="false">COUNTIF(選手一覧!$C$7:$C$2738,A1022)</f>
        <v>1</v>
      </c>
      <c r="C1022" s="14" t="n">
        <f aca="false">COUNTIFS(選手一覧!$C$7:$C$2738,A1022,選手一覧!$K$7:$K$2738,"&lt;=100")</f>
        <v>0</v>
      </c>
      <c r="D1022" s="14" t="n">
        <f aca="false">COUNTIFS(選手一覧!$C$7:$C$2738,A1022,選手一覧!$E$7:$E$2738,"&lt;=100")</f>
        <v>0</v>
      </c>
      <c r="E1022" s="14" t="n">
        <f aca="false">COUNTIFS(選手一覧!$C$7:$C$2738,A1022,選手一覧!$G$7:$G$2738,"&lt;=100")</f>
        <v>0</v>
      </c>
      <c r="F1022" s="14" t="n">
        <f aca="false">COUNTIFS(選手一覧!$C$7:$C$2738,A1022,選手一覧!$I$7:$I$2738,"&lt;=100")</f>
        <v>0</v>
      </c>
      <c r="G1022" s="13" t="n">
        <f aca="false">_xlfn.MINIFS(選手一覧!$K$7:$K$2738,選手一覧!$C$7:$C$2738,A1022)</f>
        <v>1272</v>
      </c>
      <c r="H1022" s="16"/>
    </row>
    <row r="1023" customFormat="false" ht="15" hidden="false" customHeight="false" outlineLevel="0" collapsed="false">
      <c r="A1023" s="10" t="s">
        <v>3650</v>
      </c>
      <c r="B1023" s="12" t="n">
        <f aca="false">COUNTIF(選手一覧!$C$7:$C$2738,A1023)</f>
        <v>1</v>
      </c>
      <c r="C1023" s="14" t="n">
        <f aca="false">COUNTIFS(選手一覧!$C$7:$C$2738,A1023,選手一覧!$K$7:$K$2738,"&lt;=100")</f>
        <v>0</v>
      </c>
      <c r="D1023" s="14" t="n">
        <f aca="false">COUNTIFS(選手一覧!$C$7:$C$2738,A1023,選手一覧!$E$7:$E$2738,"&lt;=100")</f>
        <v>0</v>
      </c>
      <c r="E1023" s="14" t="n">
        <f aca="false">COUNTIFS(選手一覧!$C$7:$C$2738,A1023,選手一覧!$G$7:$G$2738,"&lt;=100")</f>
        <v>0</v>
      </c>
      <c r="F1023" s="14" t="n">
        <f aca="false">COUNTIFS(選手一覧!$C$7:$C$2738,A1023,選手一覧!$I$7:$I$2738,"&lt;=100")</f>
        <v>0</v>
      </c>
      <c r="G1023" s="13" t="n">
        <f aca="false">_xlfn.MINIFS(選手一覧!$K$7:$K$2738,選手一覧!$C$7:$C$2738,A1023)</f>
        <v>1274</v>
      </c>
      <c r="H1023" s="16"/>
    </row>
    <row r="1024" customFormat="false" ht="15" hidden="false" customHeight="false" outlineLevel="0" collapsed="false">
      <c r="A1024" s="10" t="s">
        <v>3653</v>
      </c>
      <c r="B1024" s="12" t="n">
        <f aca="false">COUNTIF(選手一覧!$C$7:$C$2738,A1024)</f>
        <v>1</v>
      </c>
      <c r="C1024" s="14" t="n">
        <f aca="false">COUNTIFS(選手一覧!$C$7:$C$2738,A1024,選手一覧!$K$7:$K$2738,"&lt;=100")</f>
        <v>0</v>
      </c>
      <c r="D1024" s="14" t="n">
        <f aca="false">COUNTIFS(選手一覧!$C$7:$C$2738,A1024,選手一覧!$E$7:$E$2738,"&lt;=100")</f>
        <v>0</v>
      </c>
      <c r="E1024" s="14" t="n">
        <f aca="false">COUNTIFS(選手一覧!$C$7:$C$2738,A1024,選手一覧!$G$7:$G$2738,"&lt;=100")</f>
        <v>0</v>
      </c>
      <c r="F1024" s="14" t="n">
        <f aca="false">COUNTIFS(選手一覧!$C$7:$C$2738,A1024,選手一覧!$I$7:$I$2738,"&lt;=100")</f>
        <v>0</v>
      </c>
      <c r="G1024" s="13" t="n">
        <f aca="false">_xlfn.MINIFS(選手一覧!$K$7:$K$2738,選手一覧!$C$7:$C$2738,A1024)</f>
        <v>1275</v>
      </c>
      <c r="H1024" s="16"/>
    </row>
    <row r="1025" customFormat="false" ht="15" hidden="false" customHeight="false" outlineLevel="0" collapsed="false">
      <c r="A1025" s="10" t="s">
        <v>3658</v>
      </c>
      <c r="B1025" s="12" t="n">
        <f aca="false">COUNTIF(選手一覧!$C$7:$C$2738,A1025)</f>
        <v>1</v>
      </c>
      <c r="C1025" s="14" t="n">
        <f aca="false">COUNTIFS(選手一覧!$C$7:$C$2738,A1025,選手一覧!$K$7:$K$2738,"&lt;=100")</f>
        <v>0</v>
      </c>
      <c r="D1025" s="14" t="n">
        <f aca="false">COUNTIFS(選手一覧!$C$7:$C$2738,A1025,選手一覧!$E$7:$E$2738,"&lt;=100")</f>
        <v>0</v>
      </c>
      <c r="E1025" s="14" t="n">
        <f aca="false">COUNTIFS(選手一覧!$C$7:$C$2738,A1025,選手一覧!$G$7:$G$2738,"&lt;=100")</f>
        <v>0</v>
      </c>
      <c r="F1025" s="14" t="n">
        <f aca="false">COUNTIFS(選手一覧!$C$7:$C$2738,A1025,選手一覧!$I$7:$I$2738,"&lt;=100")</f>
        <v>0</v>
      </c>
      <c r="G1025" s="13" t="n">
        <f aca="false">_xlfn.MINIFS(選手一覧!$K$7:$K$2738,選手一覧!$C$7:$C$2738,A1025)</f>
        <v>1277</v>
      </c>
      <c r="H1025" s="16"/>
    </row>
    <row r="1026" customFormat="false" ht="15" hidden="false" customHeight="false" outlineLevel="0" collapsed="false">
      <c r="A1026" s="10" t="s">
        <v>3661</v>
      </c>
      <c r="B1026" s="12" t="n">
        <f aca="false">COUNTIF(選手一覧!$C$7:$C$2738,A1026)</f>
        <v>1</v>
      </c>
      <c r="C1026" s="14" t="n">
        <f aca="false">COUNTIFS(選手一覧!$C$7:$C$2738,A1026,選手一覧!$K$7:$K$2738,"&lt;=100")</f>
        <v>0</v>
      </c>
      <c r="D1026" s="14" t="n">
        <f aca="false">COUNTIFS(選手一覧!$C$7:$C$2738,A1026,選手一覧!$E$7:$E$2738,"&lt;=100")</f>
        <v>0</v>
      </c>
      <c r="E1026" s="14" t="n">
        <f aca="false">COUNTIFS(選手一覧!$C$7:$C$2738,A1026,選手一覧!$G$7:$G$2738,"&lt;=100")</f>
        <v>0</v>
      </c>
      <c r="F1026" s="14" t="n">
        <f aca="false">COUNTIFS(選手一覧!$C$7:$C$2738,A1026,選手一覧!$I$7:$I$2738,"&lt;=100")</f>
        <v>0</v>
      </c>
      <c r="G1026" s="13" t="n">
        <f aca="false">_xlfn.MINIFS(選手一覧!$K$7:$K$2738,選手一覧!$C$7:$C$2738,A1026)</f>
        <v>1279</v>
      </c>
      <c r="H1026" s="16"/>
    </row>
    <row r="1027" customFormat="false" ht="15" hidden="false" customHeight="false" outlineLevel="0" collapsed="false">
      <c r="A1027" s="10" t="s">
        <v>3664</v>
      </c>
      <c r="B1027" s="12" t="n">
        <f aca="false">COUNTIF(選手一覧!$C$7:$C$2738,A1027)</f>
        <v>1</v>
      </c>
      <c r="C1027" s="14" t="n">
        <f aca="false">COUNTIFS(選手一覧!$C$7:$C$2738,A1027,選手一覧!$K$7:$K$2738,"&lt;=100")</f>
        <v>0</v>
      </c>
      <c r="D1027" s="14" t="n">
        <f aca="false">COUNTIFS(選手一覧!$C$7:$C$2738,A1027,選手一覧!$E$7:$E$2738,"&lt;=100")</f>
        <v>0</v>
      </c>
      <c r="E1027" s="14" t="n">
        <f aca="false">COUNTIFS(選手一覧!$C$7:$C$2738,A1027,選手一覧!$G$7:$G$2738,"&lt;=100")</f>
        <v>0</v>
      </c>
      <c r="F1027" s="14" t="n">
        <f aca="false">COUNTIFS(選手一覧!$C$7:$C$2738,A1027,選手一覧!$I$7:$I$2738,"&lt;=100")</f>
        <v>0</v>
      </c>
      <c r="G1027" s="13" t="n">
        <f aca="false">_xlfn.MINIFS(選手一覧!$K$7:$K$2738,選手一覧!$C$7:$C$2738,A1027)</f>
        <v>1280</v>
      </c>
      <c r="H1027" s="16"/>
    </row>
    <row r="1028" customFormat="false" ht="15" hidden="false" customHeight="false" outlineLevel="0" collapsed="false">
      <c r="A1028" s="10" t="s">
        <v>3674</v>
      </c>
      <c r="B1028" s="12" t="n">
        <f aca="false">COUNTIF(選手一覧!$C$7:$C$2738,A1028)</f>
        <v>1</v>
      </c>
      <c r="C1028" s="14" t="n">
        <f aca="false">COUNTIFS(選手一覧!$C$7:$C$2738,A1028,選手一覧!$K$7:$K$2738,"&lt;=100")</f>
        <v>0</v>
      </c>
      <c r="D1028" s="14" t="n">
        <f aca="false">COUNTIFS(選手一覧!$C$7:$C$2738,A1028,選手一覧!$E$7:$E$2738,"&lt;=100")</f>
        <v>0</v>
      </c>
      <c r="E1028" s="14" t="n">
        <f aca="false">COUNTIFS(選手一覧!$C$7:$C$2738,A1028,選手一覧!$G$7:$G$2738,"&lt;=100")</f>
        <v>0</v>
      </c>
      <c r="F1028" s="14" t="n">
        <f aca="false">COUNTIFS(選手一覧!$C$7:$C$2738,A1028,選手一覧!$I$7:$I$2738,"&lt;=100")</f>
        <v>0</v>
      </c>
      <c r="G1028" s="13" t="n">
        <f aca="false">_xlfn.MINIFS(選手一覧!$K$7:$K$2738,選手一覧!$C$7:$C$2738,A1028)</f>
        <v>1286</v>
      </c>
      <c r="H1028" s="16"/>
    </row>
    <row r="1029" customFormat="false" ht="15" hidden="false" customHeight="false" outlineLevel="0" collapsed="false">
      <c r="A1029" s="10" t="s">
        <v>3679</v>
      </c>
      <c r="B1029" s="12" t="n">
        <f aca="false">COUNTIF(選手一覧!$C$7:$C$2738,A1029)</f>
        <v>1</v>
      </c>
      <c r="C1029" s="14" t="n">
        <f aca="false">COUNTIFS(選手一覧!$C$7:$C$2738,A1029,選手一覧!$K$7:$K$2738,"&lt;=100")</f>
        <v>0</v>
      </c>
      <c r="D1029" s="14" t="n">
        <f aca="false">COUNTIFS(選手一覧!$C$7:$C$2738,A1029,選手一覧!$E$7:$E$2738,"&lt;=100")</f>
        <v>0</v>
      </c>
      <c r="E1029" s="14" t="n">
        <f aca="false">COUNTIFS(選手一覧!$C$7:$C$2738,A1029,選手一覧!$G$7:$G$2738,"&lt;=100")</f>
        <v>0</v>
      </c>
      <c r="F1029" s="14" t="n">
        <f aca="false">COUNTIFS(選手一覧!$C$7:$C$2738,A1029,選手一覧!$I$7:$I$2738,"&lt;=100")</f>
        <v>0</v>
      </c>
      <c r="G1029" s="13" t="n">
        <f aca="false">_xlfn.MINIFS(選手一覧!$K$7:$K$2738,選手一覧!$C$7:$C$2738,A1029)</f>
        <v>1288</v>
      </c>
      <c r="H1029" s="16"/>
    </row>
    <row r="1030" customFormat="false" ht="15" hidden="false" customHeight="false" outlineLevel="0" collapsed="false">
      <c r="A1030" s="10" t="s">
        <v>3685</v>
      </c>
      <c r="B1030" s="12" t="n">
        <f aca="false">COUNTIF(選手一覧!$C$7:$C$2738,A1030)</f>
        <v>1</v>
      </c>
      <c r="C1030" s="14" t="n">
        <f aca="false">COUNTIFS(選手一覧!$C$7:$C$2738,A1030,選手一覧!$K$7:$K$2738,"&lt;=100")</f>
        <v>0</v>
      </c>
      <c r="D1030" s="14" t="n">
        <f aca="false">COUNTIFS(選手一覧!$C$7:$C$2738,A1030,選手一覧!$E$7:$E$2738,"&lt;=100")</f>
        <v>0</v>
      </c>
      <c r="E1030" s="14" t="n">
        <f aca="false">COUNTIFS(選手一覧!$C$7:$C$2738,A1030,選手一覧!$G$7:$G$2738,"&lt;=100")</f>
        <v>0</v>
      </c>
      <c r="F1030" s="14" t="n">
        <f aca="false">COUNTIFS(選手一覧!$C$7:$C$2738,A1030,選手一覧!$I$7:$I$2738,"&lt;=100")</f>
        <v>0</v>
      </c>
      <c r="G1030" s="13" t="n">
        <f aca="false">_xlfn.MINIFS(選手一覧!$K$7:$K$2738,選手一覧!$C$7:$C$2738,A1030)</f>
        <v>1291</v>
      </c>
      <c r="H1030" s="16"/>
    </row>
    <row r="1031" customFormat="false" ht="15" hidden="false" customHeight="false" outlineLevel="0" collapsed="false">
      <c r="A1031" s="10" t="s">
        <v>3688</v>
      </c>
      <c r="B1031" s="12" t="n">
        <f aca="false">COUNTIF(選手一覧!$C$7:$C$2738,A1031)</f>
        <v>1</v>
      </c>
      <c r="C1031" s="14" t="n">
        <f aca="false">COUNTIFS(選手一覧!$C$7:$C$2738,A1031,選手一覧!$K$7:$K$2738,"&lt;=100")</f>
        <v>0</v>
      </c>
      <c r="D1031" s="14" t="n">
        <f aca="false">COUNTIFS(選手一覧!$C$7:$C$2738,A1031,選手一覧!$E$7:$E$2738,"&lt;=100")</f>
        <v>0</v>
      </c>
      <c r="E1031" s="14" t="n">
        <f aca="false">COUNTIFS(選手一覧!$C$7:$C$2738,A1031,選手一覧!$G$7:$G$2738,"&lt;=100")</f>
        <v>0</v>
      </c>
      <c r="F1031" s="14" t="n">
        <f aca="false">COUNTIFS(選手一覧!$C$7:$C$2738,A1031,選手一覧!$I$7:$I$2738,"&lt;=100")</f>
        <v>0</v>
      </c>
      <c r="G1031" s="13" t="n">
        <f aca="false">_xlfn.MINIFS(選手一覧!$K$7:$K$2738,選手一覧!$C$7:$C$2738,A1031)</f>
        <v>1292</v>
      </c>
      <c r="H1031" s="16"/>
    </row>
    <row r="1032" customFormat="false" ht="15" hidden="false" customHeight="false" outlineLevel="0" collapsed="false">
      <c r="A1032" s="10" t="s">
        <v>3697</v>
      </c>
      <c r="B1032" s="12" t="n">
        <f aca="false">COUNTIF(選手一覧!$C$7:$C$2738,A1032)</f>
        <v>1</v>
      </c>
      <c r="C1032" s="14" t="n">
        <f aca="false">COUNTIFS(選手一覧!$C$7:$C$2738,A1032,選手一覧!$K$7:$K$2738,"&lt;=100")</f>
        <v>0</v>
      </c>
      <c r="D1032" s="14" t="n">
        <f aca="false">COUNTIFS(選手一覧!$C$7:$C$2738,A1032,選手一覧!$E$7:$E$2738,"&lt;=100")</f>
        <v>0</v>
      </c>
      <c r="E1032" s="14" t="n">
        <f aca="false">COUNTIFS(選手一覧!$C$7:$C$2738,A1032,選手一覧!$G$7:$G$2738,"&lt;=100")</f>
        <v>0</v>
      </c>
      <c r="F1032" s="14" t="n">
        <f aca="false">COUNTIFS(選手一覧!$C$7:$C$2738,A1032,選手一覧!$I$7:$I$2738,"&lt;=100")</f>
        <v>0</v>
      </c>
      <c r="G1032" s="13" t="n">
        <f aca="false">_xlfn.MINIFS(選手一覧!$K$7:$K$2738,選手一覧!$C$7:$C$2738,A1032)</f>
        <v>1298</v>
      </c>
      <c r="H1032" s="16"/>
    </row>
    <row r="1033" customFormat="false" ht="15" hidden="false" customHeight="false" outlineLevel="0" collapsed="false">
      <c r="A1033" s="10" t="s">
        <v>3701</v>
      </c>
      <c r="B1033" s="12" t="n">
        <f aca="false">COUNTIF(選手一覧!$C$7:$C$2738,A1033)</f>
        <v>1</v>
      </c>
      <c r="C1033" s="14" t="n">
        <f aca="false">COUNTIFS(選手一覧!$C$7:$C$2738,A1033,選手一覧!$K$7:$K$2738,"&lt;=100")</f>
        <v>0</v>
      </c>
      <c r="D1033" s="14" t="n">
        <f aca="false">COUNTIFS(選手一覧!$C$7:$C$2738,A1033,選手一覧!$E$7:$E$2738,"&lt;=100")</f>
        <v>0</v>
      </c>
      <c r="E1033" s="14" t="n">
        <f aca="false">COUNTIFS(選手一覧!$C$7:$C$2738,A1033,選手一覧!$G$7:$G$2738,"&lt;=100")</f>
        <v>0</v>
      </c>
      <c r="F1033" s="14" t="n">
        <f aca="false">COUNTIFS(選手一覧!$C$7:$C$2738,A1033,選手一覧!$I$7:$I$2738,"&lt;=100")</f>
        <v>0</v>
      </c>
      <c r="G1033" s="13" t="n">
        <f aca="false">_xlfn.MINIFS(選手一覧!$K$7:$K$2738,選手一覧!$C$7:$C$2738,A1033)</f>
        <v>1300</v>
      </c>
      <c r="H1033" s="16"/>
    </row>
    <row r="1034" customFormat="false" ht="15" hidden="false" customHeight="false" outlineLevel="0" collapsed="false">
      <c r="A1034" s="10" t="s">
        <v>3703</v>
      </c>
      <c r="B1034" s="12" t="n">
        <f aca="false">COUNTIF(選手一覧!$C$7:$C$2738,A1034)</f>
        <v>1</v>
      </c>
      <c r="C1034" s="14" t="n">
        <f aca="false">COUNTIFS(選手一覧!$C$7:$C$2738,A1034,選手一覧!$K$7:$K$2738,"&lt;=100")</f>
        <v>0</v>
      </c>
      <c r="D1034" s="14" t="n">
        <f aca="false">COUNTIFS(選手一覧!$C$7:$C$2738,A1034,選手一覧!$E$7:$E$2738,"&lt;=100")</f>
        <v>0</v>
      </c>
      <c r="E1034" s="14" t="n">
        <f aca="false">COUNTIFS(選手一覧!$C$7:$C$2738,A1034,選手一覧!$G$7:$G$2738,"&lt;=100")</f>
        <v>0</v>
      </c>
      <c r="F1034" s="14" t="n">
        <f aca="false">COUNTIFS(選手一覧!$C$7:$C$2738,A1034,選手一覧!$I$7:$I$2738,"&lt;=100")</f>
        <v>0</v>
      </c>
      <c r="G1034" s="13" t="n">
        <f aca="false">_xlfn.MINIFS(選手一覧!$K$7:$K$2738,選手一覧!$C$7:$C$2738,A1034)</f>
        <v>1301</v>
      </c>
      <c r="H1034" s="16"/>
    </row>
    <row r="1035" customFormat="false" ht="15" hidden="false" customHeight="false" outlineLevel="0" collapsed="false">
      <c r="A1035" s="10" t="s">
        <v>3709</v>
      </c>
      <c r="B1035" s="12" t="n">
        <f aca="false">COUNTIF(選手一覧!$C$7:$C$2738,A1035)</f>
        <v>1</v>
      </c>
      <c r="C1035" s="14" t="n">
        <f aca="false">COUNTIFS(選手一覧!$C$7:$C$2738,A1035,選手一覧!$K$7:$K$2738,"&lt;=100")</f>
        <v>0</v>
      </c>
      <c r="D1035" s="14" t="n">
        <f aca="false">COUNTIFS(選手一覧!$C$7:$C$2738,A1035,選手一覧!$E$7:$E$2738,"&lt;=100")</f>
        <v>0</v>
      </c>
      <c r="E1035" s="14" t="n">
        <f aca="false">COUNTIFS(選手一覧!$C$7:$C$2738,A1035,選手一覧!$G$7:$G$2738,"&lt;=100")</f>
        <v>0</v>
      </c>
      <c r="F1035" s="14" t="n">
        <f aca="false">COUNTIFS(選手一覧!$C$7:$C$2738,A1035,選手一覧!$I$7:$I$2738,"&lt;=100")</f>
        <v>0</v>
      </c>
      <c r="G1035" s="13" t="n">
        <f aca="false">_xlfn.MINIFS(選手一覧!$K$7:$K$2738,選手一覧!$C$7:$C$2738,A1035)</f>
        <v>1303</v>
      </c>
      <c r="H1035" s="16"/>
    </row>
    <row r="1036" customFormat="false" ht="15" hidden="false" customHeight="false" outlineLevel="0" collapsed="false">
      <c r="A1036" s="10" t="s">
        <v>3711</v>
      </c>
      <c r="B1036" s="12" t="n">
        <f aca="false">COUNTIF(選手一覧!$C$7:$C$2738,A1036)</f>
        <v>1</v>
      </c>
      <c r="C1036" s="14" t="n">
        <f aca="false">COUNTIFS(選手一覧!$C$7:$C$2738,A1036,選手一覧!$K$7:$K$2738,"&lt;=100")</f>
        <v>0</v>
      </c>
      <c r="D1036" s="14" t="n">
        <f aca="false">COUNTIFS(選手一覧!$C$7:$C$2738,A1036,選手一覧!$E$7:$E$2738,"&lt;=100")</f>
        <v>0</v>
      </c>
      <c r="E1036" s="14" t="n">
        <f aca="false">COUNTIFS(選手一覧!$C$7:$C$2738,A1036,選手一覧!$G$7:$G$2738,"&lt;=100")</f>
        <v>0</v>
      </c>
      <c r="F1036" s="14" t="n">
        <f aca="false">COUNTIFS(選手一覧!$C$7:$C$2738,A1036,選手一覧!$I$7:$I$2738,"&lt;=100")</f>
        <v>0</v>
      </c>
      <c r="G1036" s="13" t="n">
        <f aca="false">_xlfn.MINIFS(選手一覧!$K$7:$K$2738,選手一覧!$C$7:$C$2738,A1036)</f>
        <v>1303</v>
      </c>
      <c r="H1036" s="16"/>
    </row>
    <row r="1037" customFormat="false" ht="15" hidden="false" customHeight="false" outlineLevel="0" collapsed="false">
      <c r="A1037" s="10" t="s">
        <v>3713</v>
      </c>
      <c r="B1037" s="12" t="n">
        <f aca="false">COUNTIF(選手一覧!$C$7:$C$2738,A1037)</f>
        <v>1</v>
      </c>
      <c r="C1037" s="14" t="n">
        <f aca="false">COUNTIFS(選手一覧!$C$7:$C$2738,A1037,選手一覧!$K$7:$K$2738,"&lt;=100")</f>
        <v>0</v>
      </c>
      <c r="D1037" s="14" t="n">
        <f aca="false">COUNTIFS(選手一覧!$C$7:$C$2738,A1037,選手一覧!$E$7:$E$2738,"&lt;=100")</f>
        <v>0</v>
      </c>
      <c r="E1037" s="14" t="n">
        <f aca="false">COUNTIFS(選手一覧!$C$7:$C$2738,A1037,選手一覧!$G$7:$G$2738,"&lt;=100")</f>
        <v>0</v>
      </c>
      <c r="F1037" s="14" t="n">
        <f aca="false">COUNTIFS(選手一覧!$C$7:$C$2738,A1037,選手一覧!$I$7:$I$2738,"&lt;=100")</f>
        <v>0</v>
      </c>
      <c r="G1037" s="13" t="n">
        <f aca="false">_xlfn.MINIFS(選手一覧!$K$7:$K$2738,選手一覧!$C$7:$C$2738,A1037)</f>
        <v>1304</v>
      </c>
      <c r="H1037" s="16"/>
    </row>
    <row r="1038" customFormat="false" ht="15" hidden="false" customHeight="false" outlineLevel="0" collapsed="false">
      <c r="A1038" s="10" t="s">
        <v>3715</v>
      </c>
      <c r="B1038" s="12" t="n">
        <f aca="false">COUNTIF(選手一覧!$C$7:$C$2738,A1038)</f>
        <v>1</v>
      </c>
      <c r="C1038" s="14" t="n">
        <f aca="false">COUNTIFS(選手一覧!$C$7:$C$2738,A1038,選手一覧!$K$7:$K$2738,"&lt;=100")</f>
        <v>0</v>
      </c>
      <c r="D1038" s="14" t="n">
        <f aca="false">COUNTIFS(選手一覧!$C$7:$C$2738,A1038,選手一覧!$E$7:$E$2738,"&lt;=100")</f>
        <v>0</v>
      </c>
      <c r="E1038" s="14" t="n">
        <f aca="false">COUNTIFS(選手一覧!$C$7:$C$2738,A1038,選手一覧!$G$7:$G$2738,"&lt;=100")</f>
        <v>0</v>
      </c>
      <c r="F1038" s="14" t="n">
        <f aca="false">COUNTIFS(選手一覧!$C$7:$C$2738,A1038,選手一覧!$I$7:$I$2738,"&lt;=100")</f>
        <v>0</v>
      </c>
      <c r="G1038" s="13" t="n">
        <f aca="false">_xlfn.MINIFS(選手一覧!$K$7:$K$2738,選手一覧!$C$7:$C$2738,A1038)</f>
        <v>1304</v>
      </c>
      <c r="H1038" s="16"/>
    </row>
    <row r="1039" customFormat="false" ht="15" hidden="false" customHeight="false" outlineLevel="0" collapsed="false">
      <c r="A1039" s="10" t="s">
        <v>3717</v>
      </c>
      <c r="B1039" s="12" t="n">
        <f aca="false">COUNTIF(選手一覧!$C$7:$C$2738,A1039)</f>
        <v>1</v>
      </c>
      <c r="C1039" s="14" t="n">
        <f aca="false">COUNTIFS(選手一覧!$C$7:$C$2738,A1039,選手一覧!$K$7:$K$2738,"&lt;=100")</f>
        <v>0</v>
      </c>
      <c r="D1039" s="14" t="n">
        <f aca="false">COUNTIFS(選手一覧!$C$7:$C$2738,A1039,選手一覧!$E$7:$E$2738,"&lt;=100")</f>
        <v>0</v>
      </c>
      <c r="E1039" s="14" t="n">
        <f aca="false">COUNTIFS(選手一覧!$C$7:$C$2738,A1039,選手一覧!$G$7:$G$2738,"&lt;=100")</f>
        <v>0</v>
      </c>
      <c r="F1039" s="14" t="n">
        <f aca="false">COUNTIFS(選手一覧!$C$7:$C$2738,A1039,選手一覧!$I$7:$I$2738,"&lt;=100")</f>
        <v>0</v>
      </c>
      <c r="G1039" s="13" t="n">
        <f aca="false">_xlfn.MINIFS(選手一覧!$K$7:$K$2738,選手一覧!$C$7:$C$2738,A1039)</f>
        <v>1305</v>
      </c>
      <c r="H1039" s="16"/>
    </row>
    <row r="1040" customFormat="false" ht="15" hidden="false" customHeight="false" outlineLevel="0" collapsed="false">
      <c r="A1040" s="10" t="s">
        <v>3720</v>
      </c>
      <c r="B1040" s="12" t="n">
        <f aca="false">COUNTIF(選手一覧!$C$7:$C$2738,A1040)</f>
        <v>1</v>
      </c>
      <c r="C1040" s="14" t="n">
        <f aca="false">COUNTIFS(選手一覧!$C$7:$C$2738,A1040,選手一覧!$K$7:$K$2738,"&lt;=100")</f>
        <v>0</v>
      </c>
      <c r="D1040" s="14" t="n">
        <f aca="false">COUNTIFS(選手一覧!$C$7:$C$2738,A1040,選手一覧!$E$7:$E$2738,"&lt;=100")</f>
        <v>0</v>
      </c>
      <c r="E1040" s="14" t="n">
        <f aca="false">COUNTIFS(選手一覧!$C$7:$C$2738,A1040,選手一覧!$G$7:$G$2738,"&lt;=100")</f>
        <v>0</v>
      </c>
      <c r="F1040" s="14" t="n">
        <f aca="false">COUNTIFS(選手一覧!$C$7:$C$2738,A1040,選手一覧!$I$7:$I$2738,"&lt;=100")</f>
        <v>0</v>
      </c>
      <c r="G1040" s="13" t="n">
        <f aca="false">_xlfn.MINIFS(選手一覧!$K$7:$K$2738,選手一覧!$C$7:$C$2738,A1040)</f>
        <v>1306</v>
      </c>
      <c r="H1040" s="16"/>
    </row>
    <row r="1041" customFormat="false" ht="15" hidden="false" customHeight="false" outlineLevel="0" collapsed="false">
      <c r="A1041" s="10" t="s">
        <v>3722</v>
      </c>
      <c r="B1041" s="12" t="n">
        <f aca="false">COUNTIF(選手一覧!$C$7:$C$2738,A1041)</f>
        <v>1</v>
      </c>
      <c r="C1041" s="14" t="n">
        <f aca="false">COUNTIFS(選手一覧!$C$7:$C$2738,A1041,選手一覧!$K$7:$K$2738,"&lt;=100")</f>
        <v>0</v>
      </c>
      <c r="D1041" s="14" t="n">
        <f aca="false">COUNTIFS(選手一覧!$C$7:$C$2738,A1041,選手一覧!$E$7:$E$2738,"&lt;=100")</f>
        <v>0</v>
      </c>
      <c r="E1041" s="14" t="n">
        <f aca="false">COUNTIFS(選手一覧!$C$7:$C$2738,A1041,選手一覧!$G$7:$G$2738,"&lt;=100")</f>
        <v>0</v>
      </c>
      <c r="F1041" s="14" t="n">
        <f aca="false">COUNTIFS(選手一覧!$C$7:$C$2738,A1041,選手一覧!$I$7:$I$2738,"&lt;=100")</f>
        <v>0</v>
      </c>
      <c r="G1041" s="13" t="n">
        <f aca="false">_xlfn.MINIFS(選手一覧!$K$7:$K$2738,選手一覧!$C$7:$C$2738,A1041)</f>
        <v>1307</v>
      </c>
      <c r="H1041" s="16"/>
    </row>
    <row r="1042" customFormat="false" ht="15" hidden="false" customHeight="false" outlineLevel="0" collapsed="false">
      <c r="A1042" s="10" t="s">
        <v>3724</v>
      </c>
      <c r="B1042" s="12" t="n">
        <f aca="false">COUNTIF(選手一覧!$C$7:$C$2738,A1042)</f>
        <v>1</v>
      </c>
      <c r="C1042" s="14" t="n">
        <f aca="false">COUNTIFS(選手一覧!$C$7:$C$2738,A1042,選手一覧!$K$7:$K$2738,"&lt;=100")</f>
        <v>0</v>
      </c>
      <c r="D1042" s="14" t="n">
        <f aca="false">COUNTIFS(選手一覧!$C$7:$C$2738,A1042,選手一覧!$E$7:$E$2738,"&lt;=100")</f>
        <v>0</v>
      </c>
      <c r="E1042" s="14" t="n">
        <f aca="false">COUNTIFS(選手一覧!$C$7:$C$2738,A1042,選手一覧!$G$7:$G$2738,"&lt;=100")</f>
        <v>0</v>
      </c>
      <c r="F1042" s="14" t="n">
        <f aca="false">COUNTIFS(選手一覧!$C$7:$C$2738,A1042,選手一覧!$I$7:$I$2738,"&lt;=100")</f>
        <v>0</v>
      </c>
      <c r="G1042" s="13" t="n">
        <f aca="false">_xlfn.MINIFS(選手一覧!$K$7:$K$2738,選手一覧!$C$7:$C$2738,A1042)</f>
        <v>1308</v>
      </c>
      <c r="H1042" s="16"/>
    </row>
    <row r="1043" customFormat="false" ht="15" hidden="false" customHeight="false" outlineLevel="0" collapsed="false">
      <c r="A1043" s="10" t="s">
        <v>3727</v>
      </c>
      <c r="B1043" s="12" t="n">
        <f aca="false">COUNTIF(選手一覧!$C$7:$C$2738,A1043)</f>
        <v>1</v>
      </c>
      <c r="C1043" s="14" t="n">
        <f aca="false">COUNTIFS(選手一覧!$C$7:$C$2738,A1043,選手一覧!$K$7:$K$2738,"&lt;=100")</f>
        <v>0</v>
      </c>
      <c r="D1043" s="14" t="n">
        <f aca="false">COUNTIFS(選手一覧!$C$7:$C$2738,A1043,選手一覧!$E$7:$E$2738,"&lt;=100")</f>
        <v>0</v>
      </c>
      <c r="E1043" s="14" t="n">
        <f aca="false">COUNTIFS(選手一覧!$C$7:$C$2738,A1043,選手一覧!$G$7:$G$2738,"&lt;=100")</f>
        <v>0</v>
      </c>
      <c r="F1043" s="14" t="n">
        <f aca="false">COUNTIFS(選手一覧!$C$7:$C$2738,A1043,選手一覧!$I$7:$I$2738,"&lt;=100")</f>
        <v>0</v>
      </c>
      <c r="G1043" s="13" t="n">
        <f aca="false">_xlfn.MINIFS(選手一覧!$K$7:$K$2738,選手一覧!$C$7:$C$2738,A1043)</f>
        <v>1309</v>
      </c>
      <c r="H1043" s="16"/>
    </row>
    <row r="1044" customFormat="false" ht="15" hidden="false" customHeight="false" outlineLevel="0" collapsed="false">
      <c r="A1044" s="10" t="s">
        <v>3729</v>
      </c>
      <c r="B1044" s="12" t="n">
        <f aca="false">COUNTIF(選手一覧!$C$7:$C$2738,A1044)</f>
        <v>1</v>
      </c>
      <c r="C1044" s="14" t="n">
        <f aca="false">COUNTIFS(選手一覧!$C$7:$C$2738,A1044,選手一覧!$K$7:$K$2738,"&lt;=100")</f>
        <v>0</v>
      </c>
      <c r="D1044" s="14" t="n">
        <f aca="false">COUNTIFS(選手一覧!$C$7:$C$2738,A1044,選手一覧!$E$7:$E$2738,"&lt;=100")</f>
        <v>0</v>
      </c>
      <c r="E1044" s="14" t="n">
        <f aca="false">COUNTIFS(選手一覧!$C$7:$C$2738,A1044,選手一覧!$G$7:$G$2738,"&lt;=100")</f>
        <v>0</v>
      </c>
      <c r="F1044" s="14" t="n">
        <f aca="false">COUNTIFS(選手一覧!$C$7:$C$2738,A1044,選手一覧!$I$7:$I$2738,"&lt;=100")</f>
        <v>0</v>
      </c>
      <c r="G1044" s="13" t="n">
        <f aca="false">_xlfn.MINIFS(選手一覧!$K$7:$K$2738,選手一覧!$C$7:$C$2738,A1044)</f>
        <v>1309</v>
      </c>
      <c r="H1044" s="16"/>
    </row>
    <row r="1045" customFormat="false" ht="15" hidden="false" customHeight="false" outlineLevel="0" collapsed="false">
      <c r="A1045" s="10" t="s">
        <v>3731</v>
      </c>
      <c r="B1045" s="12" t="n">
        <f aca="false">COUNTIF(選手一覧!$C$7:$C$2738,A1045)</f>
        <v>1</v>
      </c>
      <c r="C1045" s="14" t="n">
        <f aca="false">COUNTIFS(選手一覧!$C$7:$C$2738,A1045,選手一覧!$K$7:$K$2738,"&lt;=100")</f>
        <v>0</v>
      </c>
      <c r="D1045" s="14" t="n">
        <f aca="false">COUNTIFS(選手一覧!$C$7:$C$2738,A1045,選手一覧!$E$7:$E$2738,"&lt;=100")</f>
        <v>0</v>
      </c>
      <c r="E1045" s="14" t="n">
        <f aca="false">COUNTIFS(選手一覧!$C$7:$C$2738,A1045,選手一覧!$G$7:$G$2738,"&lt;=100")</f>
        <v>0</v>
      </c>
      <c r="F1045" s="14" t="n">
        <f aca="false">COUNTIFS(選手一覧!$C$7:$C$2738,A1045,選手一覧!$I$7:$I$2738,"&lt;=100")</f>
        <v>0</v>
      </c>
      <c r="G1045" s="13" t="n">
        <f aca="false">_xlfn.MINIFS(選手一覧!$K$7:$K$2738,選手一覧!$C$7:$C$2738,A1045)</f>
        <v>1310</v>
      </c>
      <c r="H1045" s="16"/>
    </row>
    <row r="1046" customFormat="false" ht="15" hidden="false" customHeight="false" outlineLevel="0" collapsed="false">
      <c r="A1046" s="10" t="s">
        <v>3733</v>
      </c>
      <c r="B1046" s="12" t="n">
        <f aca="false">COUNTIF(選手一覧!$C$7:$C$2738,A1046)</f>
        <v>1</v>
      </c>
      <c r="C1046" s="14" t="n">
        <f aca="false">COUNTIFS(選手一覧!$C$7:$C$2738,A1046,選手一覧!$K$7:$K$2738,"&lt;=100")</f>
        <v>0</v>
      </c>
      <c r="D1046" s="14" t="n">
        <f aca="false">COUNTIFS(選手一覧!$C$7:$C$2738,A1046,選手一覧!$E$7:$E$2738,"&lt;=100")</f>
        <v>0</v>
      </c>
      <c r="E1046" s="14" t="n">
        <f aca="false">COUNTIFS(選手一覧!$C$7:$C$2738,A1046,選手一覧!$G$7:$G$2738,"&lt;=100")</f>
        <v>0</v>
      </c>
      <c r="F1046" s="14" t="n">
        <f aca="false">COUNTIFS(選手一覧!$C$7:$C$2738,A1046,選手一覧!$I$7:$I$2738,"&lt;=100")</f>
        <v>0</v>
      </c>
      <c r="G1046" s="13" t="n">
        <f aca="false">_xlfn.MINIFS(選手一覧!$K$7:$K$2738,選手一覧!$C$7:$C$2738,A1046)</f>
        <v>1311</v>
      </c>
      <c r="H1046" s="16"/>
    </row>
    <row r="1047" customFormat="false" ht="15" hidden="false" customHeight="false" outlineLevel="0" collapsed="false">
      <c r="A1047" s="10" t="s">
        <v>3739</v>
      </c>
      <c r="B1047" s="12" t="n">
        <f aca="false">COUNTIF(選手一覧!$C$7:$C$2738,A1047)</f>
        <v>1</v>
      </c>
      <c r="C1047" s="14" t="n">
        <f aca="false">COUNTIFS(選手一覧!$C$7:$C$2738,A1047,選手一覧!$K$7:$K$2738,"&lt;=100")</f>
        <v>0</v>
      </c>
      <c r="D1047" s="14" t="n">
        <f aca="false">COUNTIFS(選手一覧!$C$7:$C$2738,A1047,選手一覧!$E$7:$E$2738,"&lt;=100")</f>
        <v>0</v>
      </c>
      <c r="E1047" s="14" t="n">
        <f aca="false">COUNTIFS(選手一覧!$C$7:$C$2738,A1047,選手一覧!$G$7:$G$2738,"&lt;=100")</f>
        <v>0</v>
      </c>
      <c r="F1047" s="14" t="n">
        <f aca="false">COUNTIFS(選手一覧!$C$7:$C$2738,A1047,選手一覧!$I$7:$I$2738,"&lt;=100")</f>
        <v>0</v>
      </c>
      <c r="G1047" s="13" t="n">
        <f aca="false">_xlfn.MINIFS(選手一覧!$K$7:$K$2738,選手一覧!$C$7:$C$2738,A1047)</f>
        <v>1314</v>
      </c>
      <c r="H1047" s="16"/>
    </row>
    <row r="1048" customFormat="false" ht="15" hidden="false" customHeight="false" outlineLevel="0" collapsed="false">
      <c r="A1048" s="10" t="s">
        <v>3741</v>
      </c>
      <c r="B1048" s="12" t="n">
        <f aca="false">COUNTIF(選手一覧!$C$7:$C$2738,A1048)</f>
        <v>1</v>
      </c>
      <c r="C1048" s="14" t="n">
        <f aca="false">COUNTIFS(選手一覧!$C$7:$C$2738,A1048,選手一覧!$K$7:$K$2738,"&lt;=100")</f>
        <v>0</v>
      </c>
      <c r="D1048" s="14" t="n">
        <f aca="false">COUNTIFS(選手一覧!$C$7:$C$2738,A1048,選手一覧!$E$7:$E$2738,"&lt;=100")</f>
        <v>0</v>
      </c>
      <c r="E1048" s="14" t="n">
        <f aca="false">COUNTIFS(選手一覧!$C$7:$C$2738,A1048,選手一覧!$G$7:$G$2738,"&lt;=100")</f>
        <v>0</v>
      </c>
      <c r="F1048" s="14" t="n">
        <f aca="false">COUNTIFS(選手一覧!$C$7:$C$2738,A1048,選手一覧!$I$7:$I$2738,"&lt;=100")</f>
        <v>0</v>
      </c>
      <c r="G1048" s="13" t="n">
        <f aca="false">_xlfn.MINIFS(選手一覧!$K$7:$K$2738,選手一覧!$C$7:$C$2738,A1048)</f>
        <v>1314</v>
      </c>
      <c r="H1048" s="16"/>
    </row>
    <row r="1049" customFormat="false" ht="15" hidden="false" customHeight="false" outlineLevel="0" collapsed="false">
      <c r="A1049" s="10" t="s">
        <v>3749</v>
      </c>
      <c r="B1049" s="12" t="n">
        <f aca="false">COUNTIF(選手一覧!$C$7:$C$2738,A1049)</f>
        <v>1</v>
      </c>
      <c r="C1049" s="14" t="n">
        <f aca="false">COUNTIFS(選手一覧!$C$7:$C$2738,A1049,選手一覧!$K$7:$K$2738,"&lt;=100")</f>
        <v>0</v>
      </c>
      <c r="D1049" s="14" t="n">
        <f aca="false">COUNTIFS(選手一覧!$C$7:$C$2738,A1049,選手一覧!$E$7:$E$2738,"&lt;=100")</f>
        <v>0</v>
      </c>
      <c r="E1049" s="14" t="n">
        <f aca="false">COUNTIFS(選手一覧!$C$7:$C$2738,A1049,選手一覧!$G$7:$G$2738,"&lt;=100")</f>
        <v>0</v>
      </c>
      <c r="F1049" s="14" t="n">
        <f aca="false">COUNTIFS(選手一覧!$C$7:$C$2738,A1049,選手一覧!$I$7:$I$2738,"&lt;=100")</f>
        <v>0</v>
      </c>
      <c r="G1049" s="13" t="n">
        <f aca="false">_xlfn.MINIFS(選手一覧!$K$7:$K$2738,選手一覧!$C$7:$C$2738,A1049)</f>
        <v>1319</v>
      </c>
      <c r="H1049" s="16"/>
    </row>
    <row r="1050" customFormat="false" ht="15" hidden="false" customHeight="false" outlineLevel="0" collapsed="false">
      <c r="A1050" s="10" t="s">
        <v>3751</v>
      </c>
      <c r="B1050" s="12" t="n">
        <f aca="false">COUNTIF(選手一覧!$C$7:$C$2738,A1050)</f>
        <v>1</v>
      </c>
      <c r="C1050" s="14" t="n">
        <f aca="false">COUNTIFS(選手一覧!$C$7:$C$2738,A1050,選手一覧!$K$7:$K$2738,"&lt;=100")</f>
        <v>0</v>
      </c>
      <c r="D1050" s="14" t="n">
        <f aca="false">COUNTIFS(選手一覧!$C$7:$C$2738,A1050,選手一覧!$E$7:$E$2738,"&lt;=100")</f>
        <v>0</v>
      </c>
      <c r="E1050" s="14" t="n">
        <f aca="false">COUNTIFS(選手一覧!$C$7:$C$2738,A1050,選手一覧!$G$7:$G$2738,"&lt;=100")</f>
        <v>0</v>
      </c>
      <c r="F1050" s="14" t="n">
        <f aca="false">COUNTIFS(選手一覧!$C$7:$C$2738,A1050,選手一覧!$I$7:$I$2738,"&lt;=100")</f>
        <v>0</v>
      </c>
      <c r="G1050" s="13" t="n">
        <f aca="false">_xlfn.MINIFS(選手一覧!$K$7:$K$2738,選手一覧!$C$7:$C$2738,A1050)</f>
        <v>1320</v>
      </c>
      <c r="H1050" s="16"/>
    </row>
    <row r="1051" customFormat="false" ht="15" hidden="false" customHeight="false" outlineLevel="0" collapsed="false">
      <c r="A1051" s="10" t="s">
        <v>3754</v>
      </c>
      <c r="B1051" s="12" t="n">
        <f aca="false">COUNTIF(選手一覧!$C$7:$C$2738,A1051)</f>
        <v>1</v>
      </c>
      <c r="C1051" s="14" t="n">
        <f aca="false">COUNTIFS(選手一覧!$C$7:$C$2738,A1051,選手一覧!$K$7:$K$2738,"&lt;=100")</f>
        <v>0</v>
      </c>
      <c r="D1051" s="14" t="n">
        <f aca="false">COUNTIFS(選手一覧!$C$7:$C$2738,A1051,選手一覧!$E$7:$E$2738,"&lt;=100")</f>
        <v>0</v>
      </c>
      <c r="E1051" s="14" t="n">
        <f aca="false">COUNTIFS(選手一覧!$C$7:$C$2738,A1051,選手一覧!$G$7:$G$2738,"&lt;=100")</f>
        <v>0</v>
      </c>
      <c r="F1051" s="14" t="n">
        <f aca="false">COUNTIFS(選手一覧!$C$7:$C$2738,A1051,選手一覧!$I$7:$I$2738,"&lt;=100")</f>
        <v>0</v>
      </c>
      <c r="G1051" s="13" t="n">
        <f aca="false">_xlfn.MINIFS(選手一覧!$K$7:$K$2738,選手一覧!$C$7:$C$2738,A1051)</f>
        <v>1321</v>
      </c>
      <c r="H1051" s="16"/>
    </row>
    <row r="1052" customFormat="false" ht="15" hidden="false" customHeight="false" outlineLevel="0" collapsed="false">
      <c r="A1052" s="10" t="s">
        <v>3759</v>
      </c>
      <c r="B1052" s="12" t="n">
        <f aca="false">COUNTIF(選手一覧!$C$7:$C$2738,A1052)</f>
        <v>1</v>
      </c>
      <c r="C1052" s="14" t="n">
        <f aca="false">COUNTIFS(選手一覧!$C$7:$C$2738,A1052,選手一覧!$K$7:$K$2738,"&lt;=100")</f>
        <v>0</v>
      </c>
      <c r="D1052" s="14" t="n">
        <f aca="false">COUNTIFS(選手一覧!$C$7:$C$2738,A1052,選手一覧!$E$7:$E$2738,"&lt;=100")</f>
        <v>0</v>
      </c>
      <c r="E1052" s="14" t="n">
        <f aca="false">COUNTIFS(選手一覧!$C$7:$C$2738,A1052,選手一覧!$G$7:$G$2738,"&lt;=100")</f>
        <v>0</v>
      </c>
      <c r="F1052" s="14" t="n">
        <f aca="false">COUNTIFS(選手一覧!$C$7:$C$2738,A1052,選手一覧!$I$7:$I$2738,"&lt;=100")</f>
        <v>0</v>
      </c>
      <c r="G1052" s="13" t="n">
        <f aca="false">_xlfn.MINIFS(選手一覧!$K$7:$K$2738,選手一覧!$C$7:$C$2738,A1052)</f>
        <v>1324</v>
      </c>
      <c r="H1052" s="16"/>
    </row>
    <row r="1053" customFormat="false" ht="15" hidden="false" customHeight="false" outlineLevel="0" collapsed="false">
      <c r="A1053" s="10" t="s">
        <v>3763</v>
      </c>
      <c r="B1053" s="12" t="n">
        <f aca="false">COUNTIF(選手一覧!$C$7:$C$2738,A1053)</f>
        <v>1</v>
      </c>
      <c r="C1053" s="14" t="n">
        <f aca="false">COUNTIFS(選手一覧!$C$7:$C$2738,A1053,選手一覧!$K$7:$K$2738,"&lt;=100")</f>
        <v>0</v>
      </c>
      <c r="D1053" s="14" t="n">
        <f aca="false">COUNTIFS(選手一覧!$C$7:$C$2738,A1053,選手一覧!$E$7:$E$2738,"&lt;=100")</f>
        <v>0</v>
      </c>
      <c r="E1053" s="14" t="n">
        <f aca="false">COUNTIFS(選手一覧!$C$7:$C$2738,A1053,選手一覧!$G$7:$G$2738,"&lt;=100")</f>
        <v>0</v>
      </c>
      <c r="F1053" s="14" t="n">
        <f aca="false">COUNTIFS(選手一覧!$C$7:$C$2738,A1053,選手一覧!$I$7:$I$2738,"&lt;=100")</f>
        <v>0</v>
      </c>
      <c r="G1053" s="13" t="n">
        <f aca="false">_xlfn.MINIFS(選手一覧!$K$7:$K$2738,選手一覧!$C$7:$C$2738,A1053)</f>
        <v>1326</v>
      </c>
      <c r="H1053" s="16"/>
    </row>
    <row r="1054" customFormat="false" ht="15" hidden="false" customHeight="false" outlineLevel="0" collapsed="false">
      <c r="A1054" s="10" t="s">
        <v>3767</v>
      </c>
      <c r="B1054" s="12" t="n">
        <f aca="false">COUNTIF(選手一覧!$C$7:$C$2738,A1054)</f>
        <v>1</v>
      </c>
      <c r="C1054" s="14" t="n">
        <f aca="false">COUNTIFS(選手一覧!$C$7:$C$2738,A1054,選手一覧!$K$7:$K$2738,"&lt;=100")</f>
        <v>0</v>
      </c>
      <c r="D1054" s="14" t="n">
        <f aca="false">COUNTIFS(選手一覧!$C$7:$C$2738,A1054,選手一覧!$E$7:$E$2738,"&lt;=100")</f>
        <v>0</v>
      </c>
      <c r="E1054" s="14" t="n">
        <f aca="false">COUNTIFS(選手一覧!$C$7:$C$2738,A1054,選手一覧!$G$7:$G$2738,"&lt;=100")</f>
        <v>0</v>
      </c>
      <c r="F1054" s="14" t="n">
        <f aca="false">COUNTIFS(選手一覧!$C$7:$C$2738,A1054,選手一覧!$I$7:$I$2738,"&lt;=100")</f>
        <v>0</v>
      </c>
      <c r="G1054" s="13" t="n">
        <f aca="false">_xlfn.MINIFS(選手一覧!$K$7:$K$2738,選手一覧!$C$7:$C$2738,A1054)</f>
        <v>1328</v>
      </c>
      <c r="H1054" s="16"/>
    </row>
    <row r="1055" customFormat="false" ht="15" hidden="false" customHeight="false" outlineLevel="0" collapsed="false">
      <c r="A1055" s="10" t="s">
        <v>3769</v>
      </c>
      <c r="B1055" s="12" t="n">
        <f aca="false">COUNTIF(選手一覧!$C$7:$C$2738,A1055)</f>
        <v>1</v>
      </c>
      <c r="C1055" s="14" t="n">
        <f aca="false">COUNTIFS(選手一覧!$C$7:$C$2738,A1055,選手一覧!$K$7:$K$2738,"&lt;=100")</f>
        <v>0</v>
      </c>
      <c r="D1055" s="14" t="n">
        <f aca="false">COUNTIFS(選手一覧!$C$7:$C$2738,A1055,選手一覧!$E$7:$E$2738,"&lt;=100")</f>
        <v>0</v>
      </c>
      <c r="E1055" s="14" t="n">
        <f aca="false">COUNTIFS(選手一覧!$C$7:$C$2738,A1055,選手一覧!$G$7:$G$2738,"&lt;=100")</f>
        <v>0</v>
      </c>
      <c r="F1055" s="14" t="n">
        <f aca="false">COUNTIFS(選手一覧!$C$7:$C$2738,A1055,選手一覧!$I$7:$I$2738,"&lt;=100")</f>
        <v>0</v>
      </c>
      <c r="G1055" s="13" t="n">
        <f aca="false">_xlfn.MINIFS(選手一覧!$K$7:$K$2738,選手一覧!$C$7:$C$2738,A1055)</f>
        <v>1329</v>
      </c>
      <c r="H1055" s="16"/>
    </row>
    <row r="1056" customFormat="false" ht="15" hidden="false" customHeight="false" outlineLevel="0" collapsed="false">
      <c r="A1056" s="10" t="s">
        <v>3771</v>
      </c>
      <c r="B1056" s="12" t="n">
        <f aca="false">COUNTIF(選手一覧!$C$7:$C$2738,A1056)</f>
        <v>1</v>
      </c>
      <c r="C1056" s="14" t="n">
        <f aca="false">COUNTIFS(選手一覧!$C$7:$C$2738,A1056,選手一覧!$K$7:$K$2738,"&lt;=100")</f>
        <v>0</v>
      </c>
      <c r="D1056" s="14" t="n">
        <f aca="false">COUNTIFS(選手一覧!$C$7:$C$2738,A1056,選手一覧!$E$7:$E$2738,"&lt;=100")</f>
        <v>0</v>
      </c>
      <c r="E1056" s="14" t="n">
        <f aca="false">COUNTIFS(選手一覧!$C$7:$C$2738,A1056,選手一覧!$G$7:$G$2738,"&lt;=100")</f>
        <v>0</v>
      </c>
      <c r="F1056" s="14" t="n">
        <f aca="false">COUNTIFS(選手一覧!$C$7:$C$2738,A1056,選手一覧!$I$7:$I$2738,"&lt;=100")</f>
        <v>0</v>
      </c>
      <c r="G1056" s="13" t="n">
        <f aca="false">_xlfn.MINIFS(選手一覧!$K$7:$K$2738,選手一覧!$C$7:$C$2738,A1056)</f>
        <v>1330</v>
      </c>
      <c r="H1056" s="16"/>
    </row>
    <row r="1057" customFormat="false" ht="15" hidden="false" customHeight="false" outlineLevel="0" collapsed="false">
      <c r="A1057" s="10" t="s">
        <v>3777</v>
      </c>
      <c r="B1057" s="12" t="n">
        <f aca="false">COUNTIF(選手一覧!$C$7:$C$2738,A1057)</f>
        <v>1</v>
      </c>
      <c r="C1057" s="14" t="n">
        <f aca="false">COUNTIFS(選手一覧!$C$7:$C$2738,A1057,選手一覧!$K$7:$K$2738,"&lt;=100")</f>
        <v>0</v>
      </c>
      <c r="D1057" s="14" t="n">
        <f aca="false">COUNTIFS(選手一覧!$C$7:$C$2738,A1057,選手一覧!$E$7:$E$2738,"&lt;=100")</f>
        <v>0</v>
      </c>
      <c r="E1057" s="14" t="n">
        <f aca="false">COUNTIFS(選手一覧!$C$7:$C$2738,A1057,選手一覧!$G$7:$G$2738,"&lt;=100")</f>
        <v>0</v>
      </c>
      <c r="F1057" s="14" t="n">
        <f aca="false">COUNTIFS(選手一覧!$C$7:$C$2738,A1057,選手一覧!$I$7:$I$2738,"&lt;=100")</f>
        <v>0</v>
      </c>
      <c r="G1057" s="13" t="n">
        <f aca="false">_xlfn.MINIFS(選手一覧!$K$7:$K$2738,選手一覧!$C$7:$C$2738,A1057)</f>
        <v>1333</v>
      </c>
      <c r="H1057" s="16"/>
    </row>
    <row r="1058" customFormat="false" ht="15" hidden="false" customHeight="false" outlineLevel="0" collapsed="false">
      <c r="A1058" s="10" t="s">
        <v>3781</v>
      </c>
      <c r="B1058" s="12" t="n">
        <f aca="false">COUNTIF(選手一覧!$C$7:$C$2738,A1058)</f>
        <v>1</v>
      </c>
      <c r="C1058" s="14" t="n">
        <f aca="false">COUNTIFS(選手一覧!$C$7:$C$2738,A1058,選手一覧!$K$7:$K$2738,"&lt;=100")</f>
        <v>0</v>
      </c>
      <c r="D1058" s="14" t="n">
        <f aca="false">COUNTIFS(選手一覧!$C$7:$C$2738,A1058,選手一覧!$E$7:$E$2738,"&lt;=100")</f>
        <v>0</v>
      </c>
      <c r="E1058" s="14" t="n">
        <f aca="false">COUNTIFS(選手一覧!$C$7:$C$2738,A1058,選手一覧!$G$7:$G$2738,"&lt;=100")</f>
        <v>0</v>
      </c>
      <c r="F1058" s="14" t="n">
        <f aca="false">COUNTIFS(選手一覧!$C$7:$C$2738,A1058,選手一覧!$I$7:$I$2738,"&lt;=100")</f>
        <v>0</v>
      </c>
      <c r="G1058" s="13" t="n">
        <f aca="false">_xlfn.MINIFS(選手一覧!$K$7:$K$2738,選手一覧!$C$7:$C$2738,A1058)</f>
        <v>1335</v>
      </c>
      <c r="H1058" s="16"/>
    </row>
    <row r="1059" customFormat="false" ht="15" hidden="false" customHeight="false" outlineLevel="0" collapsed="false">
      <c r="A1059" s="10" t="s">
        <v>3783</v>
      </c>
      <c r="B1059" s="12" t="n">
        <f aca="false">COUNTIF(選手一覧!$C$7:$C$2738,A1059)</f>
        <v>1</v>
      </c>
      <c r="C1059" s="14" t="n">
        <f aca="false">COUNTIFS(選手一覧!$C$7:$C$2738,A1059,選手一覧!$K$7:$K$2738,"&lt;=100")</f>
        <v>0</v>
      </c>
      <c r="D1059" s="14" t="n">
        <f aca="false">COUNTIFS(選手一覧!$C$7:$C$2738,A1059,選手一覧!$E$7:$E$2738,"&lt;=100")</f>
        <v>0</v>
      </c>
      <c r="E1059" s="14" t="n">
        <f aca="false">COUNTIFS(選手一覧!$C$7:$C$2738,A1059,選手一覧!$G$7:$G$2738,"&lt;=100")</f>
        <v>0</v>
      </c>
      <c r="F1059" s="14" t="n">
        <f aca="false">COUNTIFS(選手一覧!$C$7:$C$2738,A1059,選手一覧!$I$7:$I$2738,"&lt;=100")</f>
        <v>0</v>
      </c>
      <c r="G1059" s="13" t="n">
        <f aca="false">_xlfn.MINIFS(選手一覧!$K$7:$K$2738,選手一覧!$C$7:$C$2738,A1059)</f>
        <v>1336</v>
      </c>
      <c r="H1059" s="16"/>
    </row>
    <row r="1060" customFormat="false" ht="15" hidden="false" customHeight="false" outlineLevel="0" collapsed="false">
      <c r="A1060" s="10" t="s">
        <v>3787</v>
      </c>
      <c r="B1060" s="12" t="n">
        <f aca="false">COUNTIF(選手一覧!$C$7:$C$2738,A1060)</f>
        <v>1</v>
      </c>
      <c r="C1060" s="14" t="n">
        <f aca="false">COUNTIFS(選手一覧!$C$7:$C$2738,A1060,選手一覧!$K$7:$K$2738,"&lt;=100")</f>
        <v>0</v>
      </c>
      <c r="D1060" s="14" t="n">
        <f aca="false">COUNTIFS(選手一覧!$C$7:$C$2738,A1060,選手一覧!$E$7:$E$2738,"&lt;=100")</f>
        <v>0</v>
      </c>
      <c r="E1060" s="14" t="n">
        <f aca="false">COUNTIFS(選手一覧!$C$7:$C$2738,A1060,選手一覧!$G$7:$G$2738,"&lt;=100")</f>
        <v>0</v>
      </c>
      <c r="F1060" s="14" t="n">
        <f aca="false">COUNTIFS(選手一覧!$C$7:$C$2738,A1060,選手一覧!$I$7:$I$2738,"&lt;=100")</f>
        <v>0</v>
      </c>
      <c r="G1060" s="13" t="n">
        <f aca="false">_xlfn.MINIFS(選手一覧!$K$7:$K$2738,選手一覧!$C$7:$C$2738,A1060)</f>
        <v>1338</v>
      </c>
      <c r="H1060" s="16"/>
    </row>
    <row r="1061" customFormat="false" ht="15" hidden="false" customHeight="false" outlineLevel="0" collapsed="false">
      <c r="A1061" s="10" t="s">
        <v>3797</v>
      </c>
      <c r="B1061" s="12" t="n">
        <f aca="false">COUNTIF(選手一覧!$C$7:$C$2738,A1061)</f>
        <v>1</v>
      </c>
      <c r="C1061" s="14" t="n">
        <f aca="false">COUNTIFS(選手一覧!$C$7:$C$2738,A1061,選手一覧!$K$7:$K$2738,"&lt;=100")</f>
        <v>0</v>
      </c>
      <c r="D1061" s="14" t="n">
        <f aca="false">COUNTIFS(選手一覧!$C$7:$C$2738,A1061,選手一覧!$E$7:$E$2738,"&lt;=100")</f>
        <v>0</v>
      </c>
      <c r="E1061" s="14" t="n">
        <f aca="false">COUNTIFS(選手一覧!$C$7:$C$2738,A1061,選手一覧!$G$7:$G$2738,"&lt;=100")</f>
        <v>0</v>
      </c>
      <c r="F1061" s="14" t="n">
        <f aca="false">COUNTIFS(選手一覧!$C$7:$C$2738,A1061,選手一覧!$I$7:$I$2738,"&lt;=100")</f>
        <v>0</v>
      </c>
      <c r="G1061" s="13" t="n">
        <f aca="false">_xlfn.MINIFS(選手一覧!$K$7:$K$2738,選手一覧!$C$7:$C$2738,A1061)</f>
        <v>1344</v>
      </c>
      <c r="H1061" s="16"/>
    </row>
    <row r="1062" customFormat="false" ht="15" hidden="false" customHeight="false" outlineLevel="0" collapsed="false">
      <c r="A1062" s="10" t="s">
        <v>3800</v>
      </c>
      <c r="B1062" s="12" t="n">
        <f aca="false">COUNTIF(選手一覧!$C$7:$C$2738,A1062)</f>
        <v>1</v>
      </c>
      <c r="C1062" s="14" t="n">
        <f aca="false">COUNTIFS(選手一覧!$C$7:$C$2738,A1062,選手一覧!$K$7:$K$2738,"&lt;=100")</f>
        <v>0</v>
      </c>
      <c r="D1062" s="14" t="n">
        <f aca="false">COUNTIFS(選手一覧!$C$7:$C$2738,A1062,選手一覧!$E$7:$E$2738,"&lt;=100")</f>
        <v>0</v>
      </c>
      <c r="E1062" s="14" t="n">
        <f aca="false">COUNTIFS(選手一覧!$C$7:$C$2738,A1062,選手一覧!$G$7:$G$2738,"&lt;=100")</f>
        <v>0</v>
      </c>
      <c r="F1062" s="14" t="n">
        <f aca="false">COUNTIFS(選手一覧!$C$7:$C$2738,A1062,選手一覧!$I$7:$I$2738,"&lt;=100")</f>
        <v>0</v>
      </c>
      <c r="G1062" s="13" t="n">
        <f aca="false">_xlfn.MINIFS(選手一覧!$K$7:$K$2738,選手一覧!$C$7:$C$2738,A1062)</f>
        <v>1345</v>
      </c>
      <c r="H1062" s="16"/>
    </row>
    <row r="1063" customFormat="false" ht="15" hidden="false" customHeight="false" outlineLevel="0" collapsed="false">
      <c r="A1063" s="10" t="s">
        <v>3805</v>
      </c>
      <c r="B1063" s="12" t="n">
        <f aca="false">COUNTIF(選手一覧!$C$7:$C$2738,A1063)</f>
        <v>1</v>
      </c>
      <c r="C1063" s="14" t="n">
        <f aca="false">COUNTIFS(選手一覧!$C$7:$C$2738,A1063,選手一覧!$K$7:$K$2738,"&lt;=100")</f>
        <v>0</v>
      </c>
      <c r="D1063" s="14" t="n">
        <f aca="false">COUNTIFS(選手一覧!$C$7:$C$2738,A1063,選手一覧!$E$7:$E$2738,"&lt;=100")</f>
        <v>0</v>
      </c>
      <c r="E1063" s="14" t="n">
        <f aca="false">COUNTIFS(選手一覧!$C$7:$C$2738,A1063,選手一覧!$G$7:$G$2738,"&lt;=100")</f>
        <v>0</v>
      </c>
      <c r="F1063" s="14" t="n">
        <f aca="false">COUNTIFS(選手一覧!$C$7:$C$2738,A1063,選手一覧!$I$7:$I$2738,"&lt;=100")</f>
        <v>0</v>
      </c>
      <c r="G1063" s="13" t="n">
        <f aca="false">_xlfn.MINIFS(選手一覧!$K$7:$K$2738,選手一覧!$C$7:$C$2738,A1063)</f>
        <v>1348</v>
      </c>
      <c r="H1063" s="16"/>
    </row>
    <row r="1064" customFormat="false" ht="15" hidden="false" customHeight="false" outlineLevel="0" collapsed="false">
      <c r="A1064" s="10" t="s">
        <v>3809</v>
      </c>
      <c r="B1064" s="12" t="n">
        <f aca="false">COUNTIF(選手一覧!$C$7:$C$2738,A1064)</f>
        <v>1</v>
      </c>
      <c r="C1064" s="14" t="n">
        <f aca="false">COUNTIFS(選手一覧!$C$7:$C$2738,A1064,選手一覧!$K$7:$K$2738,"&lt;=100")</f>
        <v>0</v>
      </c>
      <c r="D1064" s="14" t="n">
        <f aca="false">COUNTIFS(選手一覧!$C$7:$C$2738,A1064,選手一覧!$E$7:$E$2738,"&lt;=100")</f>
        <v>0</v>
      </c>
      <c r="E1064" s="14" t="n">
        <f aca="false">COUNTIFS(選手一覧!$C$7:$C$2738,A1064,選手一覧!$G$7:$G$2738,"&lt;=100")</f>
        <v>0</v>
      </c>
      <c r="F1064" s="14" t="n">
        <f aca="false">COUNTIFS(選手一覧!$C$7:$C$2738,A1064,選手一覧!$I$7:$I$2738,"&lt;=100")</f>
        <v>0</v>
      </c>
      <c r="G1064" s="13" t="n">
        <f aca="false">_xlfn.MINIFS(選手一覧!$K$7:$K$2738,選手一覧!$C$7:$C$2738,A1064)</f>
        <v>1350</v>
      </c>
      <c r="H1064" s="16"/>
    </row>
    <row r="1065" customFormat="false" ht="15" hidden="false" customHeight="false" outlineLevel="0" collapsed="false">
      <c r="A1065" s="10" t="s">
        <v>3811</v>
      </c>
      <c r="B1065" s="12" t="n">
        <f aca="false">COUNTIF(選手一覧!$C$7:$C$2738,A1065)</f>
        <v>1</v>
      </c>
      <c r="C1065" s="14" t="n">
        <f aca="false">COUNTIFS(選手一覧!$C$7:$C$2738,A1065,選手一覧!$K$7:$K$2738,"&lt;=100")</f>
        <v>0</v>
      </c>
      <c r="D1065" s="14" t="n">
        <f aca="false">COUNTIFS(選手一覧!$C$7:$C$2738,A1065,選手一覧!$E$7:$E$2738,"&lt;=100")</f>
        <v>0</v>
      </c>
      <c r="E1065" s="14" t="n">
        <f aca="false">COUNTIFS(選手一覧!$C$7:$C$2738,A1065,選手一覧!$G$7:$G$2738,"&lt;=100")</f>
        <v>0</v>
      </c>
      <c r="F1065" s="14" t="n">
        <f aca="false">COUNTIFS(選手一覧!$C$7:$C$2738,A1065,選手一覧!$I$7:$I$2738,"&lt;=100")</f>
        <v>0</v>
      </c>
      <c r="G1065" s="13" t="n">
        <f aca="false">_xlfn.MINIFS(選手一覧!$K$7:$K$2738,選手一覧!$C$7:$C$2738,A1065)</f>
        <v>1351</v>
      </c>
      <c r="H1065" s="16"/>
    </row>
    <row r="1066" customFormat="false" ht="15" hidden="false" customHeight="false" outlineLevel="0" collapsed="false">
      <c r="A1066" s="10" t="s">
        <v>3813</v>
      </c>
      <c r="B1066" s="12" t="n">
        <f aca="false">COUNTIF(選手一覧!$C$7:$C$2738,A1066)</f>
        <v>1</v>
      </c>
      <c r="C1066" s="14" t="n">
        <f aca="false">COUNTIFS(選手一覧!$C$7:$C$2738,A1066,選手一覧!$K$7:$K$2738,"&lt;=100")</f>
        <v>0</v>
      </c>
      <c r="D1066" s="14" t="n">
        <f aca="false">COUNTIFS(選手一覧!$C$7:$C$2738,A1066,選手一覧!$E$7:$E$2738,"&lt;=100")</f>
        <v>0</v>
      </c>
      <c r="E1066" s="14" t="n">
        <f aca="false">COUNTIFS(選手一覧!$C$7:$C$2738,A1066,選手一覧!$G$7:$G$2738,"&lt;=100")</f>
        <v>0</v>
      </c>
      <c r="F1066" s="14" t="n">
        <f aca="false">COUNTIFS(選手一覧!$C$7:$C$2738,A1066,選手一覧!$I$7:$I$2738,"&lt;=100")</f>
        <v>0</v>
      </c>
      <c r="G1066" s="13" t="n">
        <f aca="false">_xlfn.MINIFS(選手一覧!$K$7:$K$2738,選手一覧!$C$7:$C$2738,A1066)</f>
        <v>1352</v>
      </c>
      <c r="H1066" s="16"/>
    </row>
    <row r="1067" customFormat="false" ht="15" hidden="false" customHeight="false" outlineLevel="0" collapsed="false">
      <c r="A1067" s="10" t="s">
        <v>3819</v>
      </c>
      <c r="B1067" s="12" t="n">
        <f aca="false">COUNTIF(選手一覧!$C$7:$C$2738,A1067)</f>
        <v>1</v>
      </c>
      <c r="C1067" s="14" t="n">
        <f aca="false">COUNTIFS(選手一覧!$C$7:$C$2738,A1067,選手一覧!$K$7:$K$2738,"&lt;=100")</f>
        <v>0</v>
      </c>
      <c r="D1067" s="14" t="n">
        <f aca="false">COUNTIFS(選手一覧!$C$7:$C$2738,A1067,選手一覧!$E$7:$E$2738,"&lt;=100")</f>
        <v>0</v>
      </c>
      <c r="E1067" s="14" t="n">
        <f aca="false">COUNTIFS(選手一覧!$C$7:$C$2738,A1067,選手一覧!$G$7:$G$2738,"&lt;=100")</f>
        <v>0</v>
      </c>
      <c r="F1067" s="14" t="n">
        <f aca="false">COUNTIFS(選手一覧!$C$7:$C$2738,A1067,選手一覧!$I$7:$I$2738,"&lt;=100")</f>
        <v>0</v>
      </c>
      <c r="G1067" s="13" t="n">
        <f aca="false">_xlfn.MINIFS(選手一覧!$K$7:$K$2738,選手一覧!$C$7:$C$2738,A1067)</f>
        <v>1354</v>
      </c>
      <c r="H1067" s="16"/>
    </row>
    <row r="1068" customFormat="false" ht="15" hidden="false" customHeight="false" outlineLevel="0" collapsed="false">
      <c r="A1068" s="10" t="s">
        <v>3825</v>
      </c>
      <c r="B1068" s="12" t="n">
        <f aca="false">COUNTIF(選手一覧!$C$7:$C$2738,A1068)</f>
        <v>1</v>
      </c>
      <c r="C1068" s="14" t="n">
        <f aca="false">COUNTIFS(選手一覧!$C$7:$C$2738,A1068,選手一覧!$K$7:$K$2738,"&lt;=100")</f>
        <v>0</v>
      </c>
      <c r="D1068" s="14" t="n">
        <f aca="false">COUNTIFS(選手一覧!$C$7:$C$2738,A1068,選手一覧!$E$7:$E$2738,"&lt;=100")</f>
        <v>0</v>
      </c>
      <c r="E1068" s="14" t="n">
        <f aca="false">COUNTIFS(選手一覧!$C$7:$C$2738,A1068,選手一覧!$G$7:$G$2738,"&lt;=100")</f>
        <v>0</v>
      </c>
      <c r="F1068" s="14" t="n">
        <f aca="false">COUNTIFS(選手一覧!$C$7:$C$2738,A1068,選手一覧!$I$7:$I$2738,"&lt;=100")</f>
        <v>0</v>
      </c>
      <c r="G1068" s="13" t="n">
        <f aca="false">_xlfn.MINIFS(選手一覧!$K$7:$K$2738,選手一覧!$C$7:$C$2738,A1068)</f>
        <v>1358</v>
      </c>
      <c r="H1068" s="16"/>
    </row>
    <row r="1069" customFormat="false" ht="15" hidden="false" customHeight="false" outlineLevel="0" collapsed="false">
      <c r="A1069" s="10" t="s">
        <v>3831</v>
      </c>
      <c r="B1069" s="12" t="n">
        <f aca="false">COUNTIF(選手一覧!$C$7:$C$2738,A1069)</f>
        <v>1</v>
      </c>
      <c r="C1069" s="14" t="n">
        <f aca="false">COUNTIFS(選手一覧!$C$7:$C$2738,A1069,選手一覧!$K$7:$K$2738,"&lt;=100")</f>
        <v>0</v>
      </c>
      <c r="D1069" s="14" t="n">
        <f aca="false">COUNTIFS(選手一覧!$C$7:$C$2738,A1069,選手一覧!$E$7:$E$2738,"&lt;=100")</f>
        <v>0</v>
      </c>
      <c r="E1069" s="14" t="n">
        <f aca="false">COUNTIFS(選手一覧!$C$7:$C$2738,A1069,選手一覧!$G$7:$G$2738,"&lt;=100")</f>
        <v>0</v>
      </c>
      <c r="F1069" s="14" t="n">
        <f aca="false">COUNTIFS(選手一覧!$C$7:$C$2738,A1069,選手一覧!$I$7:$I$2738,"&lt;=100")</f>
        <v>0</v>
      </c>
      <c r="G1069" s="13" t="n">
        <f aca="false">_xlfn.MINIFS(選手一覧!$K$7:$K$2738,選手一覧!$C$7:$C$2738,A1069)</f>
        <v>1362</v>
      </c>
      <c r="H1069" s="16"/>
    </row>
    <row r="1070" customFormat="false" ht="15" hidden="false" customHeight="false" outlineLevel="0" collapsed="false">
      <c r="A1070" s="10" t="s">
        <v>3837</v>
      </c>
      <c r="B1070" s="12" t="n">
        <f aca="false">COUNTIF(選手一覧!$C$7:$C$2738,A1070)</f>
        <v>1</v>
      </c>
      <c r="C1070" s="14" t="n">
        <f aca="false">COUNTIFS(選手一覧!$C$7:$C$2738,A1070,選手一覧!$K$7:$K$2738,"&lt;=100")</f>
        <v>0</v>
      </c>
      <c r="D1070" s="14" t="n">
        <f aca="false">COUNTIFS(選手一覧!$C$7:$C$2738,A1070,選手一覧!$E$7:$E$2738,"&lt;=100")</f>
        <v>0</v>
      </c>
      <c r="E1070" s="14" t="n">
        <f aca="false">COUNTIFS(選手一覧!$C$7:$C$2738,A1070,選手一覧!$G$7:$G$2738,"&lt;=100")</f>
        <v>0</v>
      </c>
      <c r="F1070" s="14" t="n">
        <f aca="false">COUNTIFS(選手一覧!$C$7:$C$2738,A1070,選手一覧!$I$7:$I$2738,"&lt;=100")</f>
        <v>0</v>
      </c>
      <c r="G1070" s="13" t="n">
        <f aca="false">_xlfn.MINIFS(選手一覧!$K$7:$K$2738,選手一覧!$C$7:$C$2738,A1070)</f>
        <v>1367</v>
      </c>
      <c r="H1070" s="16"/>
    </row>
    <row r="1071" customFormat="false" ht="15" hidden="false" customHeight="false" outlineLevel="0" collapsed="false">
      <c r="A1071" s="10" t="s">
        <v>3840</v>
      </c>
      <c r="B1071" s="12" t="n">
        <f aca="false">COUNTIF(選手一覧!$C$7:$C$2738,A1071)</f>
        <v>1</v>
      </c>
      <c r="C1071" s="14" t="n">
        <f aca="false">COUNTIFS(選手一覧!$C$7:$C$2738,A1071,選手一覧!$K$7:$K$2738,"&lt;=100")</f>
        <v>0</v>
      </c>
      <c r="D1071" s="14" t="n">
        <f aca="false">COUNTIFS(選手一覧!$C$7:$C$2738,A1071,選手一覧!$E$7:$E$2738,"&lt;=100")</f>
        <v>0</v>
      </c>
      <c r="E1071" s="14" t="n">
        <f aca="false">COUNTIFS(選手一覧!$C$7:$C$2738,A1071,選手一覧!$G$7:$G$2738,"&lt;=100")</f>
        <v>0</v>
      </c>
      <c r="F1071" s="14" t="n">
        <f aca="false">COUNTIFS(選手一覧!$C$7:$C$2738,A1071,選手一覧!$I$7:$I$2738,"&lt;=100")</f>
        <v>0</v>
      </c>
      <c r="G1071" s="13" t="n">
        <f aca="false">_xlfn.MINIFS(選手一覧!$K$7:$K$2738,選手一覧!$C$7:$C$2738,A1071)</f>
        <v>1369</v>
      </c>
      <c r="H1071" s="16"/>
    </row>
    <row r="1072" customFormat="false" ht="15" hidden="false" customHeight="false" outlineLevel="0" collapsed="false">
      <c r="A1072" s="10" t="s">
        <v>3843</v>
      </c>
      <c r="B1072" s="12" t="n">
        <f aca="false">COUNTIF(選手一覧!$C$7:$C$2738,A1072)</f>
        <v>1</v>
      </c>
      <c r="C1072" s="14" t="n">
        <f aca="false">COUNTIFS(選手一覧!$C$7:$C$2738,A1072,選手一覧!$K$7:$K$2738,"&lt;=100")</f>
        <v>0</v>
      </c>
      <c r="D1072" s="14" t="n">
        <f aca="false">COUNTIFS(選手一覧!$C$7:$C$2738,A1072,選手一覧!$E$7:$E$2738,"&lt;=100")</f>
        <v>0</v>
      </c>
      <c r="E1072" s="14" t="n">
        <f aca="false">COUNTIFS(選手一覧!$C$7:$C$2738,A1072,選手一覧!$G$7:$G$2738,"&lt;=100")</f>
        <v>0</v>
      </c>
      <c r="F1072" s="14" t="n">
        <f aca="false">COUNTIFS(選手一覧!$C$7:$C$2738,A1072,選手一覧!$I$7:$I$2738,"&lt;=100")</f>
        <v>0</v>
      </c>
      <c r="G1072" s="13" t="n">
        <f aca="false">_xlfn.MINIFS(選手一覧!$K$7:$K$2738,選手一覧!$C$7:$C$2738,A1072)</f>
        <v>1371</v>
      </c>
      <c r="H1072" s="16"/>
    </row>
    <row r="1073" customFormat="false" ht="15" hidden="false" customHeight="false" outlineLevel="0" collapsed="false">
      <c r="A1073" s="10" t="s">
        <v>3845</v>
      </c>
      <c r="B1073" s="12" t="n">
        <f aca="false">COUNTIF(選手一覧!$C$7:$C$2738,A1073)</f>
        <v>1</v>
      </c>
      <c r="C1073" s="14" t="n">
        <f aca="false">COUNTIFS(選手一覧!$C$7:$C$2738,A1073,選手一覧!$K$7:$K$2738,"&lt;=100")</f>
        <v>0</v>
      </c>
      <c r="D1073" s="14" t="n">
        <f aca="false">COUNTIFS(選手一覧!$C$7:$C$2738,A1073,選手一覧!$E$7:$E$2738,"&lt;=100")</f>
        <v>0</v>
      </c>
      <c r="E1073" s="14" t="n">
        <f aca="false">COUNTIFS(選手一覧!$C$7:$C$2738,A1073,選手一覧!$G$7:$G$2738,"&lt;=100")</f>
        <v>0</v>
      </c>
      <c r="F1073" s="14" t="n">
        <f aca="false">COUNTIFS(選手一覧!$C$7:$C$2738,A1073,選手一覧!$I$7:$I$2738,"&lt;=100")</f>
        <v>0</v>
      </c>
      <c r="G1073" s="13" t="n">
        <f aca="false">_xlfn.MINIFS(選手一覧!$K$7:$K$2738,選手一覧!$C$7:$C$2738,A1073)</f>
        <v>1372</v>
      </c>
      <c r="H1073" s="16"/>
    </row>
    <row r="1074" customFormat="false" ht="15" hidden="false" customHeight="false" outlineLevel="0" collapsed="false">
      <c r="A1074" s="10" t="s">
        <v>3847</v>
      </c>
      <c r="B1074" s="12" t="n">
        <f aca="false">COUNTIF(選手一覧!$C$7:$C$2738,A1074)</f>
        <v>1</v>
      </c>
      <c r="C1074" s="14" t="n">
        <f aca="false">COUNTIFS(選手一覧!$C$7:$C$2738,A1074,選手一覧!$K$7:$K$2738,"&lt;=100")</f>
        <v>0</v>
      </c>
      <c r="D1074" s="14" t="n">
        <f aca="false">COUNTIFS(選手一覧!$C$7:$C$2738,A1074,選手一覧!$E$7:$E$2738,"&lt;=100")</f>
        <v>0</v>
      </c>
      <c r="E1074" s="14" t="n">
        <f aca="false">COUNTIFS(選手一覧!$C$7:$C$2738,A1074,選手一覧!$G$7:$G$2738,"&lt;=100")</f>
        <v>0</v>
      </c>
      <c r="F1074" s="14" t="n">
        <f aca="false">COUNTIFS(選手一覧!$C$7:$C$2738,A1074,選手一覧!$I$7:$I$2738,"&lt;=100")</f>
        <v>0</v>
      </c>
      <c r="G1074" s="13" t="n">
        <f aca="false">_xlfn.MINIFS(選手一覧!$K$7:$K$2738,選手一覧!$C$7:$C$2738,A1074)</f>
        <v>1373</v>
      </c>
      <c r="H1074" s="16"/>
    </row>
    <row r="1075" customFormat="false" ht="15" hidden="false" customHeight="false" outlineLevel="0" collapsed="false">
      <c r="A1075" s="10" t="s">
        <v>3850</v>
      </c>
      <c r="B1075" s="12" t="n">
        <f aca="false">COUNTIF(選手一覧!$C$7:$C$2738,A1075)</f>
        <v>1</v>
      </c>
      <c r="C1075" s="14" t="n">
        <f aca="false">COUNTIFS(選手一覧!$C$7:$C$2738,A1075,選手一覧!$K$7:$K$2738,"&lt;=100")</f>
        <v>0</v>
      </c>
      <c r="D1075" s="14" t="n">
        <f aca="false">COUNTIFS(選手一覧!$C$7:$C$2738,A1075,選手一覧!$E$7:$E$2738,"&lt;=100")</f>
        <v>0</v>
      </c>
      <c r="E1075" s="14" t="n">
        <f aca="false">COUNTIFS(選手一覧!$C$7:$C$2738,A1075,選手一覧!$G$7:$G$2738,"&lt;=100")</f>
        <v>0</v>
      </c>
      <c r="F1075" s="14" t="n">
        <f aca="false">COUNTIFS(選手一覧!$C$7:$C$2738,A1075,選手一覧!$I$7:$I$2738,"&lt;=100")</f>
        <v>0</v>
      </c>
      <c r="G1075" s="13" t="n">
        <f aca="false">_xlfn.MINIFS(選手一覧!$K$7:$K$2738,選手一覧!$C$7:$C$2738,A1075)</f>
        <v>1375</v>
      </c>
      <c r="H1075" s="16"/>
    </row>
    <row r="1076" customFormat="false" ht="15" hidden="false" customHeight="false" outlineLevel="0" collapsed="false">
      <c r="A1076" s="10" t="s">
        <v>3852</v>
      </c>
      <c r="B1076" s="12" t="n">
        <f aca="false">COUNTIF(選手一覧!$C$7:$C$2738,A1076)</f>
        <v>1</v>
      </c>
      <c r="C1076" s="14" t="n">
        <f aca="false">COUNTIFS(選手一覧!$C$7:$C$2738,A1076,選手一覧!$K$7:$K$2738,"&lt;=100")</f>
        <v>0</v>
      </c>
      <c r="D1076" s="14" t="n">
        <f aca="false">COUNTIFS(選手一覧!$C$7:$C$2738,A1076,選手一覧!$E$7:$E$2738,"&lt;=100")</f>
        <v>0</v>
      </c>
      <c r="E1076" s="14" t="n">
        <f aca="false">COUNTIFS(選手一覧!$C$7:$C$2738,A1076,選手一覧!$G$7:$G$2738,"&lt;=100")</f>
        <v>0</v>
      </c>
      <c r="F1076" s="14" t="n">
        <f aca="false">COUNTIFS(選手一覧!$C$7:$C$2738,A1076,選手一覧!$I$7:$I$2738,"&lt;=100")</f>
        <v>0</v>
      </c>
      <c r="G1076" s="13" t="n">
        <f aca="false">_xlfn.MINIFS(選手一覧!$K$7:$K$2738,選手一覧!$C$7:$C$2738,A1076)</f>
        <v>1376</v>
      </c>
      <c r="H1076" s="16"/>
    </row>
  </sheetData>
  <autoFilter ref="A4:H1076"/>
  <conditionalFormatting sqref="G5:G1076">
    <cfRule type="cellIs" priority="2" operator="lessThanOrEqual" aboveAverage="0" equalAverage="0" bottom="0" percent="0" rank="0" text="" dxfId="7">
      <formula>10</formula>
    </cfRule>
    <cfRule type="cellIs" priority="3" operator="lessThanOrEqual" aboveAverage="0" equalAverage="0" bottom="0" percent="0" rank="0" text="" dxfId="8">
      <formula>50</formula>
    </cfRule>
    <cfRule type="cellIs" priority="4" operator="lessThanOrEqual" aboveAverage="0" equalAverage="0" bottom="0" percent="0" rank="0" text="" dxfId="9">
      <formula>100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9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8"/>
  </cols>
  <sheetData>
    <row r="1" customFormat="false" ht="19.4" hidden="false" customHeight="false" outlineLevel="0" collapsed="false">
      <c r="A1" s="1" t="s">
        <v>4002</v>
      </c>
    </row>
    <row r="2" customFormat="false" ht="15" hidden="false" customHeight="false" outlineLevel="0" collapsed="false">
      <c r="A2" s="2" t="s">
        <v>4003</v>
      </c>
    </row>
    <row r="4" customFormat="false" ht="33.75" hidden="false" customHeight="true" outlineLevel="0" collapsed="false">
      <c r="A4" s="8" t="s">
        <v>4004</v>
      </c>
      <c r="B4" s="8" t="s">
        <v>8</v>
      </c>
      <c r="C4" s="8" t="s">
        <v>9</v>
      </c>
      <c r="D4" s="8" t="s">
        <v>4005</v>
      </c>
      <c r="E4" s="8" t="s">
        <v>4006</v>
      </c>
      <c r="F4" s="7" t="s">
        <v>7</v>
      </c>
      <c r="G4" s="7" t="s">
        <v>12</v>
      </c>
      <c r="H4" s="7" t="s">
        <v>13</v>
      </c>
      <c r="I4" s="7" t="s">
        <v>14</v>
      </c>
      <c r="J4" s="7" t="s">
        <v>15</v>
      </c>
    </row>
    <row r="5" customFormat="false" ht="15" hidden="false" customHeight="false" outlineLevel="0" collapsed="false">
      <c r="A5" s="12" t="n">
        <v>1</v>
      </c>
      <c r="B5" s="10" t="s">
        <v>26</v>
      </c>
      <c r="C5" s="10" t="s">
        <v>27</v>
      </c>
      <c r="D5" s="11" t="n">
        <v>0.00914050925925926</v>
      </c>
      <c r="E5" s="18" t="n">
        <f aca="false">ROUND((D5-$D$5)*86400,2)</f>
        <v>0</v>
      </c>
      <c r="F5" s="12" t="n">
        <v>3</v>
      </c>
      <c r="G5" s="11" t="str">
        <f aca="false">IF(INDEX(選手一覧!$F$7:$F$2738,$F5)="","",INDEX(選手一覧!$F$7:$F$2738,$F5))</f>
        <v/>
      </c>
      <c r="H5" s="12" t="str">
        <f aca="false">IF(INDEX(選手一覧!$G$7:$G$2738,$F5)="","",INDEX(選手一覧!$G$7:$G$2738,$F5))</f>
        <v/>
      </c>
      <c r="I5" s="11" t="n">
        <f aca="false">IF(INDEX(選手一覧!$H$7:$H$2738,$F5)="","",INDEX(選手一覧!$H$7:$H$2738,$F5))</f>
        <v>0.00264097222222222</v>
      </c>
      <c r="J5" s="12" t="n">
        <f aca="false">IF(INDEX(選手一覧!$I$7:$I$2738,$F5)="","",INDEX(選手一覧!$I$7:$I$2738,$F5))</f>
        <v>3</v>
      </c>
    </row>
    <row r="6" customFormat="false" ht="15" hidden="false" customHeight="false" outlineLevel="0" collapsed="false">
      <c r="A6" s="12" t="n">
        <v>2</v>
      </c>
      <c r="B6" s="10" t="s">
        <v>22</v>
      </c>
      <c r="C6" s="10" t="s">
        <v>23</v>
      </c>
      <c r="D6" s="11" t="n">
        <v>0.00964340277777778</v>
      </c>
      <c r="E6" s="18" t="n">
        <f aca="false">ROUND((D6-$D$5)*86400,2)</f>
        <v>43.45</v>
      </c>
      <c r="F6" s="12" t="n">
        <v>1</v>
      </c>
      <c r="G6" s="11" t="n">
        <f aca="false">IF(INDEX(選手一覧!$F$7:$F$2738,$F6)="","",INDEX(選手一覧!$F$7:$F$2738,$F6))</f>
        <v>0.00642048611111111</v>
      </c>
      <c r="H6" s="12" t="n">
        <f aca="false">IF(INDEX(選手一覧!$G$7:$G$2738,$F6)="","",INDEX(選手一覧!$G$7:$G$2738,$F6))</f>
        <v>19</v>
      </c>
      <c r="I6" s="11" t="n">
        <f aca="false">IF(INDEX(選手一覧!$H$7:$H$2738,$F6)="","",INDEX(選手一覧!$H$7:$H$2738,$F6))</f>
        <v>0.00260451388888889</v>
      </c>
      <c r="J6" s="12" t="n">
        <f aca="false">IF(INDEX(選手一覧!$I$7:$I$2738,$F6)="","",INDEX(選手一覧!$I$7:$I$2738,$F6))</f>
        <v>1</v>
      </c>
    </row>
    <row r="7" customFormat="false" ht="15" hidden="false" customHeight="false" outlineLevel="0" collapsed="false">
      <c r="A7" s="12" t="n">
        <v>3</v>
      </c>
      <c r="B7" s="10" t="s">
        <v>30</v>
      </c>
      <c r="C7" s="10" t="s">
        <v>23</v>
      </c>
      <c r="D7" s="11" t="n">
        <v>0.00968773148148148</v>
      </c>
      <c r="E7" s="18" t="n">
        <f aca="false">ROUND((D7-$D$5)*86400,2)</f>
        <v>47.28</v>
      </c>
      <c r="F7" s="12" t="n">
        <v>5</v>
      </c>
      <c r="G7" s="11" t="str">
        <f aca="false">IF(INDEX(選手一覧!$F$7:$F$2738,$F7)="","",INDEX(選手一覧!$F$7:$F$2738,$F7))</f>
        <v/>
      </c>
      <c r="H7" s="12" t="str">
        <f aca="false">IF(INDEX(選手一覧!$G$7:$G$2738,$F7)="","",INDEX(選手一覧!$G$7:$G$2738,$F7))</f>
        <v/>
      </c>
      <c r="I7" s="11" t="n">
        <f aca="false">IF(INDEX(選手一覧!$H$7:$H$2738,$F7)="","",INDEX(選手一覧!$H$7:$H$2738,$F7))</f>
        <v>0.00262800925925926</v>
      </c>
      <c r="J7" s="12" t="n">
        <f aca="false">IF(INDEX(選手一覧!$I$7:$I$2738,$F7)="","",INDEX(選手一覧!$I$7:$I$2738,$F7))</f>
        <v>2</v>
      </c>
    </row>
    <row r="8" customFormat="false" ht="15" hidden="false" customHeight="false" outlineLevel="0" collapsed="false">
      <c r="A8" s="12" t="n">
        <v>4</v>
      </c>
      <c r="B8" s="10" t="s">
        <v>35</v>
      </c>
      <c r="C8" s="10" t="s">
        <v>36</v>
      </c>
      <c r="D8" s="11" t="n">
        <v>0.00971435185185185</v>
      </c>
      <c r="E8" s="18" t="n">
        <f aca="false">ROUND((D8-$D$5)*86400,2)</f>
        <v>49.58</v>
      </c>
      <c r="F8" s="12" t="n">
        <v>8</v>
      </c>
      <c r="G8" s="11" t="str">
        <f aca="false">IF(INDEX(選手一覧!$F$7:$F$2738,$F8)="","",INDEX(選手一覧!$F$7:$F$2738,$F8))</f>
        <v/>
      </c>
      <c r="H8" s="12" t="str">
        <f aca="false">IF(INDEX(選手一覧!$G$7:$G$2738,$F8)="","",INDEX(選手一覧!$G$7:$G$2738,$F8))</f>
        <v/>
      </c>
      <c r="I8" s="11" t="n">
        <f aca="false">IF(INDEX(選手一覧!$H$7:$H$2738,$F8)="","",INDEX(選手一覧!$H$7:$H$2738,$F8))</f>
        <v>0.002721875</v>
      </c>
      <c r="J8" s="12" t="n">
        <f aca="false">IF(INDEX(選手一覧!$I$7:$I$2738,$F8)="","",INDEX(選手一覧!$I$7:$I$2738,$F8))</f>
        <v>51</v>
      </c>
    </row>
    <row r="9" customFormat="false" ht="15" hidden="false" customHeight="false" outlineLevel="0" collapsed="false">
      <c r="A9" s="12" t="n">
        <v>5</v>
      </c>
      <c r="B9" s="10" t="s">
        <v>40</v>
      </c>
      <c r="C9" s="10" t="s">
        <v>41</v>
      </c>
      <c r="D9" s="11" t="n">
        <v>0.00974224537037037</v>
      </c>
      <c r="E9" s="18" t="n">
        <f aca="false">ROUND((D9-$D$5)*86400,2)</f>
        <v>51.99</v>
      </c>
      <c r="F9" s="12" t="n">
        <v>11</v>
      </c>
      <c r="G9" s="11" t="str">
        <f aca="false">IF(INDEX(選手一覧!$F$7:$F$2738,$F9)="","",INDEX(選手一覧!$F$7:$F$2738,$F9))</f>
        <v/>
      </c>
      <c r="H9" s="12" t="str">
        <f aca="false">IF(INDEX(選手一覧!$G$7:$G$2738,$F9)="","",INDEX(選手一覧!$G$7:$G$2738,$F9))</f>
        <v/>
      </c>
      <c r="I9" s="11" t="n">
        <f aca="false">IF(INDEX(選手一覧!$H$7:$H$2738,$F9)="","",INDEX(選手一覧!$H$7:$H$2738,$F9))</f>
        <v>0.00267881944444444</v>
      </c>
      <c r="J9" s="12" t="n">
        <f aca="false">IF(INDEX(選手一覧!$I$7:$I$2738,$F9)="","",INDEX(選手一覧!$I$7:$I$2738,$F9))</f>
        <v>13</v>
      </c>
    </row>
    <row r="10" customFormat="false" ht="15" hidden="false" customHeight="false" outlineLevel="0" collapsed="false">
      <c r="A10" s="12" t="n">
        <v>6</v>
      </c>
      <c r="B10" s="10" t="s">
        <v>28</v>
      </c>
      <c r="C10" s="10" t="s">
        <v>29</v>
      </c>
      <c r="D10" s="11" t="n">
        <v>0.00975914351851852</v>
      </c>
      <c r="E10" s="18" t="n">
        <f aca="false">ROUND((D10-$D$5)*86400,2)</f>
        <v>53.45</v>
      </c>
      <c r="F10" s="12" t="n">
        <v>4</v>
      </c>
      <c r="G10" s="11" t="n">
        <f aca="false">IF(INDEX(選手一覧!$F$7:$F$2738,$F10)="","",INDEX(選手一覧!$F$7:$F$2738,$F10))</f>
        <v>0.00626909722222222</v>
      </c>
      <c r="H10" s="12" t="n">
        <f aca="false">IF(INDEX(選手一覧!$G$7:$G$2738,$F10)="","",INDEX(選手一覧!$G$7:$G$2738,$F10))</f>
        <v>2</v>
      </c>
      <c r="I10" s="11" t="n">
        <f aca="false">IF(INDEX(選手一覧!$H$7:$H$2738,$F10)="","",INDEX(選手一覧!$H$7:$H$2738,$F10))</f>
        <v>0.00278136574074074</v>
      </c>
      <c r="J10" s="12" t="n">
        <f aca="false">IF(INDEX(選手一覧!$I$7:$I$2738,$F10)="","",INDEX(選手一覧!$I$7:$I$2738,$F10))</f>
        <v>209</v>
      </c>
    </row>
    <row r="11" customFormat="false" ht="15" hidden="false" customHeight="false" outlineLevel="0" collapsed="false">
      <c r="A11" s="12" t="n">
        <v>7</v>
      </c>
      <c r="B11" s="10" t="s">
        <v>52</v>
      </c>
      <c r="C11" s="10" t="s">
        <v>53</v>
      </c>
      <c r="D11" s="11" t="n">
        <v>0.00977974537037037</v>
      </c>
      <c r="E11" s="18" t="n">
        <f aca="false">ROUND((D11-$D$5)*86400,2)</f>
        <v>55.23</v>
      </c>
      <c r="F11" s="12" t="n">
        <v>17</v>
      </c>
      <c r="G11" s="11" t="str">
        <f aca="false">IF(INDEX(選手一覧!$F$7:$F$2738,$F11)="","",INDEX(選手一覧!$F$7:$F$2738,$F11))</f>
        <v/>
      </c>
      <c r="H11" s="12" t="str">
        <f aca="false">IF(INDEX(選手一覧!$G$7:$G$2738,$F11)="","",INDEX(選手一覧!$G$7:$G$2738,$F11))</f>
        <v/>
      </c>
      <c r="I11" s="11" t="str">
        <f aca="false">IF(INDEX(選手一覧!$H$7:$H$2738,$F11)="","",INDEX(選手一覧!$H$7:$H$2738,$F11))</f>
        <v/>
      </c>
      <c r="J11" s="12" t="str">
        <f aca="false">IF(INDEX(選手一覧!$I$7:$I$2738,$F11)="","",INDEX(選手一覧!$I$7:$I$2738,$F11))</f>
        <v/>
      </c>
    </row>
    <row r="12" customFormat="false" ht="15" hidden="false" customHeight="false" outlineLevel="0" collapsed="false">
      <c r="A12" s="12" t="n">
        <v>8</v>
      </c>
      <c r="B12" s="10" t="s">
        <v>56</v>
      </c>
      <c r="C12" s="10" t="s">
        <v>57</v>
      </c>
      <c r="D12" s="11" t="n">
        <v>0.00981168981481482</v>
      </c>
      <c r="E12" s="18" t="n">
        <f aca="false">ROUND((D12-$D$5)*86400,2)</f>
        <v>57.99</v>
      </c>
      <c r="F12" s="12" t="n">
        <v>19</v>
      </c>
      <c r="G12" s="11" t="str">
        <f aca="false">IF(INDEX(選手一覧!$F$7:$F$2738,$F12)="","",INDEX(選手一覧!$F$7:$F$2738,$F12))</f>
        <v/>
      </c>
      <c r="H12" s="12" t="str">
        <f aca="false">IF(INDEX(選手一覧!$G$7:$G$2738,$F12)="","",INDEX(選手一覧!$G$7:$G$2738,$F12))</f>
        <v/>
      </c>
      <c r="I12" s="11" t="n">
        <f aca="false">IF(INDEX(選手一覧!$H$7:$H$2738,$F12)="","",INDEX(選手一覧!$H$7:$H$2738,$F12))</f>
        <v>0.00269803240740741</v>
      </c>
      <c r="J12" s="12" t="n">
        <f aca="false">IF(INDEX(選手一覧!$I$7:$I$2738,$F12)="","",INDEX(選手一覧!$I$7:$I$2738,$F12))</f>
        <v>24</v>
      </c>
    </row>
    <row r="13" customFormat="false" ht="15" hidden="false" customHeight="false" outlineLevel="0" collapsed="false">
      <c r="A13" s="12" t="n">
        <v>9</v>
      </c>
      <c r="B13" s="10" t="s">
        <v>65</v>
      </c>
      <c r="C13" s="10" t="s">
        <v>36</v>
      </c>
      <c r="D13" s="11" t="n">
        <v>0.00981481481481481</v>
      </c>
      <c r="E13" s="18" t="n">
        <f aca="false">ROUND((D13-$D$5)*86400,2)</f>
        <v>58.26</v>
      </c>
      <c r="F13" s="12" t="n">
        <v>23</v>
      </c>
      <c r="G13" s="11" t="str">
        <f aca="false">IF(INDEX(選手一覧!$F$7:$F$2738,$F13)="","",INDEX(選手一覧!$F$7:$F$2738,$F13))</f>
        <v/>
      </c>
      <c r="H13" s="12" t="str">
        <f aca="false">IF(INDEX(選手一覧!$G$7:$G$2738,$F13)="","",INDEX(選手一覧!$G$7:$G$2738,$F13))</f>
        <v/>
      </c>
      <c r="I13" s="11" t="n">
        <f aca="false">IF(INDEX(選手一覧!$H$7:$H$2738,$F13)="","",INDEX(選手一覧!$H$7:$H$2738,$F13))</f>
        <v>0.00277962962962963</v>
      </c>
      <c r="J13" s="12" t="n">
        <f aca="false">IF(INDEX(選手一覧!$I$7:$I$2738,$F13)="","",INDEX(選手一覧!$I$7:$I$2738,$F13))</f>
        <v>200</v>
      </c>
    </row>
    <row r="14" customFormat="false" ht="15" hidden="false" customHeight="false" outlineLevel="0" collapsed="false">
      <c r="A14" s="12" t="n">
        <v>10</v>
      </c>
      <c r="B14" s="10" t="s">
        <v>67</v>
      </c>
      <c r="C14" s="10" t="s">
        <v>29</v>
      </c>
      <c r="D14" s="11" t="n">
        <v>0.00986527777777778</v>
      </c>
      <c r="E14" s="18" t="n">
        <f aca="false">ROUND((D14-$D$5)*86400,2)</f>
        <v>62.62</v>
      </c>
      <c r="F14" s="12" t="n">
        <v>25</v>
      </c>
      <c r="G14" s="11" t="str">
        <f aca="false">IF(INDEX(選手一覧!$F$7:$F$2738,$F14)="","",INDEX(選手一覧!$F$7:$F$2738,$F14))</f>
        <v/>
      </c>
      <c r="H14" s="12" t="str">
        <f aca="false">IF(INDEX(選手一覧!$G$7:$G$2738,$F14)="","",INDEX(選手一覧!$G$7:$G$2738,$F14))</f>
        <v/>
      </c>
      <c r="I14" s="11" t="n">
        <f aca="false">IF(INDEX(選手一覧!$H$7:$H$2738,$F14)="","",INDEX(選手一覧!$H$7:$H$2738,$F14))</f>
        <v>0.00282071759259259</v>
      </c>
      <c r="J14" s="12" t="n">
        <f aca="false">IF(INDEX(選手一覧!$I$7:$I$2738,$F14)="","",INDEX(選手一覧!$I$7:$I$2738,$F14))</f>
        <v>367</v>
      </c>
    </row>
    <row r="15" customFormat="false" ht="15" hidden="false" customHeight="false" outlineLevel="0" collapsed="false">
      <c r="A15" s="12" t="n">
        <v>11</v>
      </c>
      <c r="B15" s="10" t="s">
        <v>73</v>
      </c>
      <c r="C15" s="10" t="s">
        <v>29</v>
      </c>
      <c r="D15" s="11" t="n">
        <v>0.00987071759259259</v>
      </c>
      <c r="E15" s="18" t="n">
        <f aca="false">ROUND((D15-$D$5)*86400,2)</f>
        <v>63.09</v>
      </c>
      <c r="F15" s="12" t="n">
        <v>29</v>
      </c>
      <c r="G15" s="11" t="str">
        <f aca="false">IF(INDEX(選手一覧!$F$7:$F$2738,$F15)="","",INDEX(選手一覧!$F$7:$F$2738,$F15))</f>
        <v/>
      </c>
      <c r="H15" s="12" t="str">
        <f aca="false">IF(INDEX(選手一覧!$G$7:$G$2738,$F15)="","",INDEX(選手一覧!$G$7:$G$2738,$F15))</f>
        <v/>
      </c>
      <c r="I15" s="11" t="n">
        <f aca="false">IF(INDEX(選手一覧!$H$7:$H$2738,$F15)="","",INDEX(選手一覧!$H$7:$H$2738,$F15))</f>
        <v>0.00275902777777778</v>
      </c>
      <c r="J15" s="12" t="n">
        <f aca="false">IF(INDEX(選手一覧!$I$7:$I$2738,$F15)="","",INDEX(選手一覧!$I$7:$I$2738,$F15))</f>
        <v>132</v>
      </c>
    </row>
    <row r="16" customFormat="false" ht="15" hidden="false" customHeight="false" outlineLevel="0" collapsed="false">
      <c r="A16" s="12" t="n">
        <v>12</v>
      </c>
      <c r="B16" s="10" t="s">
        <v>54</v>
      </c>
      <c r="C16" s="10" t="s">
        <v>55</v>
      </c>
      <c r="D16" s="11" t="n">
        <v>0.00987303240740741</v>
      </c>
      <c r="E16" s="18" t="n">
        <f aca="false">ROUND((D16-$D$5)*86400,2)</f>
        <v>63.29</v>
      </c>
      <c r="F16" s="12" t="n">
        <v>18</v>
      </c>
      <c r="G16" s="11" t="str">
        <f aca="false">IF(INDEX(選手一覧!$F$7:$F$2738,$F16)="","",INDEX(選手一覧!$F$7:$F$2738,$F16))</f>
        <v/>
      </c>
      <c r="H16" s="12" t="str">
        <f aca="false">IF(INDEX(選手一覧!$G$7:$G$2738,$F16)="","",INDEX(選手一覧!$G$7:$G$2738,$F16))</f>
        <v/>
      </c>
      <c r="I16" s="11" t="n">
        <f aca="false">IF(INDEX(選手一覧!$H$7:$H$2738,$F16)="","",INDEX(選手一覧!$H$7:$H$2738,$F16))</f>
        <v>0.00267592592592593</v>
      </c>
      <c r="J16" s="12" t="n">
        <f aca="false">IF(INDEX(選手一覧!$I$7:$I$2738,$F16)="","",INDEX(選手一覧!$I$7:$I$2738,$F16))</f>
        <v>8</v>
      </c>
    </row>
    <row r="17" customFormat="false" ht="15" hidden="false" customHeight="false" outlineLevel="0" collapsed="false">
      <c r="A17" s="12" t="n">
        <v>13</v>
      </c>
      <c r="B17" s="10" t="s">
        <v>4007</v>
      </c>
      <c r="C17" s="10" t="s">
        <v>57</v>
      </c>
      <c r="D17" s="11" t="n">
        <v>0.00987326388888889</v>
      </c>
      <c r="E17" s="18" t="n">
        <f aca="false">ROUND((D17-$D$5)*86400,2)</f>
        <v>63.31</v>
      </c>
      <c r="F17" s="12" t="n">
        <v>19</v>
      </c>
      <c r="G17" s="11" t="str">
        <f aca="false">IF(INDEX(選手一覧!$F$7:$F$2738,$F17)="","",INDEX(選手一覧!$F$7:$F$2738,$F17))</f>
        <v/>
      </c>
      <c r="H17" s="12" t="str">
        <f aca="false">IF(INDEX(選手一覧!$G$7:$G$2738,$F17)="","",INDEX(選手一覧!$G$7:$G$2738,$F17))</f>
        <v/>
      </c>
      <c r="I17" s="11" t="n">
        <f aca="false">IF(INDEX(選手一覧!$H$7:$H$2738,$F17)="","",INDEX(選手一覧!$H$7:$H$2738,$F17))</f>
        <v>0.00269803240740741</v>
      </c>
      <c r="J17" s="12" t="n">
        <f aca="false">IF(INDEX(選手一覧!$I$7:$I$2738,$F17)="","",INDEX(選手一覧!$I$7:$I$2738,$F17))</f>
        <v>24</v>
      </c>
    </row>
    <row r="18" customFormat="false" ht="15" hidden="false" customHeight="false" outlineLevel="0" collapsed="false">
      <c r="A18" s="12" t="n">
        <v>14</v>
      </c>
      <c r="B18" s="10" t="s">
        <v>82</v>
      </c>
      <c r="C18" s="10" t="s">
        <v>83</v>
      </c>
      <c r="D18" s="11" t="n">
        <v>0.00990069444444445</v>
      </c>
      <c r="E18" s="18" t="n">
        <f aca="false">ROUND((D18-$D$5)*86400,2)</f>
        <v>65.68</v>
      </c>
      <c r="F18" s="12" t="n">
        <v>34</v>
      </c>
      <c r="G18" s="11" t="str">
        <f aca="false">IF(INDEX(選手一覧!$F$7:$F$2738,$F18)="","",INDEX(選手一覧!$F$7:$F$2738,$F18))</f>
        <v/>
      </c>
      <c r="H18" s="12" t="str">
        <f aca="false">IF(INDEX(選手一覧!$G$7:$G$2738,$F18)="","",INDEX(選手一覧!$G$7:$G$2738,$F18))</f>
        <v/>
      </c>
      <c r="I18" s="11" t="n">
        <f aca="false">IF(INDEX(選手一覧!$H$7:$H$2738,$F18)="","",INDEX(選手一覧!$H$7:$H$2738,$F18))</f>
        <v>0.00268946759259259</v>
      </c>
      <c r="J18" s="12" t="n">
        <f aca="false">IF(INDEX(選手一覧!$I$7:$I$2738,$F18)="","",INDEX(選手一覧!$I$7:$I$2738,$F18))</f>
        <v>18</v>
      </c>
    </row>
    <row r="19" customFormat="false" ht="15" hidden="false" customHeight="false" outlineLevel="0" collapsed="false">
      <c r="A19" s="12" t="n">
        <v>15</v>
      </c>
      <c r="B19" s="10" t="s">
        <v>89</v>
      </c>
      <c r="C19" s="10" t="s">
        <v>55</v>
      </c>
      <c r="D19" s="11" t="n">
        <v>0.00990787037037037</v>
      </c>
      <c r="E19" s="18" t="n">
        <f aca="false">ROUND((D19-$D$5)*86400,2)</f>
        <v>66.3</v>
      </c>
      <c r="F19" s="12" t="n">
        <v>38</v>
      </c>
      <c r="G19" s="11" t="str">
        <f aca="false">IF(INDEX(選手一覧!$F$7:$F$2738,$F19)="","",INDEX(選手一覧!$F$7:$F$2738,$F19))</f>
        <v/>
      </c>
      <c r="H19" s="12" t="str">
        <f aca="false">IF(INDEX(選手一覧!$G$7:$G$2738,$F19)="","",INDEX(選手一覧!$G$7:$G$2738,$F19))</f>
        <v/>
      </c>
      <c r="I19" s="11" t="n">
        <f aca="false">IF(INDEX(選手一覧!$H$7:$H$2738,$F19)="","",INDEX(選手一覧!$H$7:$H$2738,$F19))</f>
        <v>0.00283935185185185</v>
      </c>
      <c r="J19" s="12" t="n">
        <f aca="false">IF(INDEX(選手一覧!$I$7:$I$2738,$F19)="","",INDEX(選手一覧!$I$7:$I$2738,$F19))</f>
        <v>491</v>
      </c>
    </row>
    <row r="20" customFormat="false" ht="15" hidden="false" customHeight="false" outlineLevel="0" collapsed="false">
      <c r="A20" s="12" t="n">
        <v>16</v>
      </c>
      <c r="B20" s="10" t="s">
        <v>92</v>
      </c>
      <c r="C20" s="10" t="s">
        <v>93</v>
      </c>
      <c r="D20" s="11" t="n">
        <v>0.00992893518518519</v>
      </c>
      <c r="E20" s="18" t="n">
        <f aca="false">ROUND((D20-$D$5)*86400,2)</f>
        <v>68.12</v>
      </c>
      <c r="F20" s="12" t="n">
        <v>40</v>
      </c>
      <c r="G20" s="11" t="str">
        <f aca="false">IF(INDEX(選手一覧!$F$7:$F$2738,$F20)="","",INDEX(選手一覧!$F$7:$F$2738,$F20))</f>
        <v/>
      </c>
      <c r="H20" s="12" t="str">
        <f aca="false">IF(INDEX(選手一覧!$G$7:$G$2738,$F20)="","",INDEX(選手一覧!$G$7:$G$2738,$F20))</f>
        <v/>
      </c>
      <c r="I20" s="11" t="n">
        <f aca="false">IF(INDEX(選手一覧!$H$7:$H$2738,$F20)="","",INDEX(選手一覧!$H$7:$H$2738,$F20))</f>
        <v>0.00270949074074074</v>
      </c>
      <c r="J20" s="12" t="n">
        <f aca="false">IF(INDEX(選手一覧!$I$7:$I$2738,$F20)="","",INDEX(選手一覧!$I$7:$I$2738,$F20))</f>
        <v>34</v>
      </c>
    </row>
    <row r="21" customFormat="false" ht="15" hidden="false" customHeight="false" outlineLevel="0" collapsed="false">
      <c r="A21" s="12" t="n">
        <v>17</v>
      </c>
      <c r="B21" s="10" t="s">
        <v>99</v>
      </c>
      <c r="C21" s="10" t="s">
        <v>25</v>
      </c>
      <c r="D21" s="11" t="n">
        <v>0.00994131944444444</v>
      </c>
      <c r="E21" s="18" t="n">
        <f aca="false">ROUND((D21-$D$5)*86400,2)</f>
        <v>69.19</v>
      </c>
      <c r="F21" s="12" t="n">
        <v>44</v>
      </c>
      <c r="G21" s="11" t="str">
        <f aca="false">IF(INDEX(選手一覧!$F$7:$F$2738,$F21)="","",INDEX(選手一覧!$F$7:$F$2738,$F21))</f>
        <v/>
      </c>
      <c r="H21" s="12" t="str">
        <f aca="false">IF(INDEX(選手一覧!$G$7:$G$2738,$F21)="","",INDEX(選手一覧!$G$7:$G$2738,$F21))</f>
        <v/>
      </c>
      <c r="I21" s="11" t="n">
        <f aca="false">IF(INDEX(選手一覧!$H$7:$H$2738,$F21)="","",INDEX(選手一覧!$H$7:$H$2738,$F21))</f>
        <v>0.0028630787037037</v>
      </c>
      <c r="J21" s="12" t="n">
        <f aca="false">IF(INDEX(選手一覧!$I$7:$I$2738,$F21)="","",INDEX(選手一覧!$I$7:$I$2738,$F21))</f>
        <v>656</v>
      </c>
    </row>
    <row r="22" customFormat="false" ht="15" hidden="false" customHeight="false" outlineLevel="0" collapsed="false">
      <c r="A22" s="12" t="n">
        <v>18</v>
      </c>
      <c r="B22" s="10" t="s">
        <v>102</v>
      </c>
      <c r="C22" s="10" t="s">
        <v>103</v>
      </c>
      <c r="D22" s="11" t="n">
        <v>0.0099462962962963</v>
      </c>
      <c r="E22" s="18" t="n">
        <f aca="false">ROUND((D22-$D$5)*86400,2)</f>
        <v>69.62</v>
      </c>
      <c r="F22" s="12" t="n">
        <v>46</v>
      </c>
      <c r="G22" s="11" t="str">
        <f aca="false">IF(INDEX(選手一覧!$F$7:$F$2738,$F22)="","",INDEX(選手一覧!$F$7:$F$2738,$F22))</f>
        <v/>
      </c>
      <c r="H22" s="12" t="str">
        <f aca="false">IF(INDEX(選手一覧!$G$7:$G$2738,$F22)="","",INDEX(選手一覧!$G$7:$G$2738,$F22))</f>
        <v/>
      </c>
      <c r="I22" s="11" t="n">
        <f aca="false">IF(INDEX(選手一覧!$H$7:$H$2738,$F22)="","",INDEX(選手一覧!$H$7:$H$2738,$F22))</f>
        <v>0.00272430555555556</v>
      </c>
      <c r="J22" s="12" t="n">
        <f aca="false">IF(INDEX(選手一覧!$I$7:$I$2738,$F22)="","",INDEX(選手一覧!$I$7:$I$2738,$F22))</f>
        <v>55</v>
      </c>
    </row>
    <row r="23" customFormat="false" ht="15" hidden="false" customHeight="false" outlineLevel="0" collapsed="false">
      <c r="A23" s="12" t="n">
        <v>19</v>
      </c>
      <c r="B23" s="10" t="s">
        <v>106</v>
      </c>
      <c r="C23" s="10" t="s">
        <v>107</v>
      </c>
      <c r="D23" s="11" t="n">
        <v>0.00997210648148148</v>
      </c>
      <c r="E23" s="18" t="n">
        <f aca="false">ROUND((D23-$D$5)*86400,2)</f>
        <v>71.85</v>
      </c>
      <c r="F23" s="12" t="n">
        <v>48</v>
      </c>
      <c r="G23" s="11" t="str">
        <f aca="false">IF(INDEX(選手一覧!$F$7:$F$2738,$F23)="","",INDEX(選手一覧!$F$7:$F$2738,$F23))</f>
        <v/>
      </c>
      <c r="H23" s="12" t="str">
        <f aca="false">IF(INDEX(選手一覧!$G$7:$G$2738,$F23)="","",INDEX(選手一覧!$G$7:$G$2738,$F23))</f>
        <v/>
      </c>
      <c r="I23" s="11" t="n">
        <f aca="false">IF(INDEX(選手一覧!$H$7:$H$2738,$F23)="","",INDEX(選手一覧!$H$7:$H$2738,$F23))</f>
        <v>0.00273252314814815</v>
      </c>
      <c r="J23" s="12" t="n">
        <f aca="false">IF(INDEX(選手一覧!$I$7:$I$2738,$F23)="","",INDEX(選手一覧!$I$7:$I$2738,$F23))</f>
        <v>70</v>
      </c>
    </row>
    <row r="24" customFormat="false" ht="15" hidden="false" customHeight="false" outlineLevel="0" collapsed="false">
      <c r="A24" s="12" t="n">
        <v>20</v>
      </c>
      <c r="B24" s="10" t="s">
        <v>108</v>
      </c>
      <c r="C24" s="10" t="s">
        <v>109</v>
      </c>
      <c r="D24" s="11" t="n">
        <v>0.00997581018518519</v>
      </c>
      <c r="E24" s="18" t="n">
        <f aca="false">ROUND((D24-$D$5)*86400,2)</f>
        <v>72.17</v>
      </c>
      <c r="F24" s="12" t="n">
        <v>49</v>
      </c>
      <c r="G24" s="11" t="str">
        <f aca="false">IF(INDEX(選手一覧!$F$7:$F$2738,$F24)="","",INDEX(選手一覧!$F$7:$F$2738,$F24))</f>
        <v/>
      </c>
      <c r="H24" s="12" t="str">
        <f aca="false">IF(INDEX(選手一覧!$G$7:$G$2738,$F24)="","",INDEX(選手一覧!$G$7:$G$2738,$F24))</f>
        <v/>
      </c>
      <c r="I24" s="11" t="n">
        <f aca="false">IF(INDEX(選手一覧!$H$7:$H$2738,$F24)="","",INDEX(選手一覧!$H$7:$H$2738,$F24))</f>
        <v>0.00273564814814815</v>
      </c>
      <c r="J24" s="12" t="n">
        <f aca="false">IF(INDEX(選手一覧!$I$7:$I$2738,$F24)="","",INDEX(選手一覧!$I$7:$I$2738,$F24))</f>
        <v>74</v>
      </c>
    </row>
    <row r="25" customFormat="false" ht="15" hidden="false" customHeight="false" outlineLevel="0" collapsed="false">
      <c r="A25" s="12" t="n">
        <v>21</v>
      </c>
      <c r="B25" s="10" t="s">
        <v>115</v>
      </c>
      <c r="C25" s="10" t="s">
        <v>116</v>
      </c>
      <c r="D25" s="11" t="n">
        <v>0.00997708333333333</v>
      </c>
      <c r="E25" s="18" t="n">
        <f aca="false">ROUND((D25-$D$5)*86400,2)</f>
        <v>72.28</v>
      </c>
      <c r="F25" s="12" t="n">
        <v>53</v>
      </c>
      <c r="G25" s="11" t="str">
        <f aca="false">IF(INDEX(選手一覧!$F$7:$F$2738,$F25)="","",INDEX(選手一覧!$F$7:$F$2738,$F25))</f>
        <v/>
      </c>
      <c r="H25" s="12" t="str">
        <f aca="false">IF(INDEX(選手一覧!$G$7:$G$2738,$F25)="","",INDEX(選手一覧!$G$7:$G$2738,$F25))</f>
        <v/>
      </c>
      <c r="I25" s="11" t="n">
        <f aca="false">IF(INDEX(選手一覧!$H$7:$H$2738,$F25)="","",INDEX(選手一覧!$H$7:$H$2738,$F25))</f>
        <v>0.0027244212962963</v>
      </c>
      <c r="J25" s="12" t="n">
        <f aca="false">IF(INDEX(選手一覧!$I$7:$I$2738,$F25)="","",INDEX(選手一覧!$I$7:$I$2738,$F25))</f>
        <v>56</v>
      </c>
    </row>
    <row r="26" customFormat="false" ht="15" hidden="false" customHeight="false" outlineLevel="0" collapsed="false">
      <c r="A26" s="12" t="n">
        <v>22</v>
      </c>
      <c r="B26" s="10" t="s">
        <v>123</v>
      </c>
      <c r="C26" s="10" t="s">
        <v>124</v>
      </c>
      <c r="D26" s="11" t="n">
        <v>0.0100024305555556</v>
      </c>
      <c r="E26" s="18" t="n">
        <f aca="false">ROUND((D26-$D$5)*86400,2)</f>
        <v>74.47</v>
      </c>
      <c r="F26" s="12" t="n">
        <v>57</v>
      </c>
      <c r="G26" s="11" t="str">
        <f aca="false">IF(INDEX(選手一覧!$F$7:$F$2738,$F26)="","",INDEX(選手一覧!$F$7:$F$2738,$F26))</f>
        <v/>
      </c>
      <c r="H26" s="12" t="str">
        <f aca="false">IF(INDEX(選手一覧!$G$7:$G$2738,$F26)="","",INDEX(選手一覧!$G$7:$G$2738,$F26))</f>
        <v/>
      </c>
      <c r="I26" s="11" t="n">
        <f aca="false">IF(INDEX(選手一覧!$H$7:$H$2738,$F26)="","",INDEX(選手一覧!$H$7:$H$2738,$F26))</f>
        <v>0.00293900462962963</v>
      </c>
      <c r="J26" s="12" t="n">
        <f aca="false">IF(INDEX(選手一覧!$I$7:$I$2738,$F26)="","",INDEX(選手一覧!$I$7:$I$2738,$F26))</f>
        <v>1197</v>
      </c>
    </row>
    <row r="27" customFormat="false" ht="15" hidden="false" customHeight="false" outlineLevel="0" collapsed="false">
      <c r="A27" s="12" t="n">
        <v>23</v>
      </c>
      <c r="B27" s="10" t="s">
        <v>129</v>
      </c>
      <c r="C27" s="10" t="s">
        <v>130</v>
      </c>
      <c r="D27" s="11" t="n">
        <v>0.0100109953703704</v>
      </c>
      <c r="E27" s="18" t="n">
        <f aca="false">ROUND((D27-$D$5)*86400,2)</f>
        <v>75.21</v>
      </c>
      <c r="F27" s="12" t="n">
        <v>60</v>
      </c>
      <c r="G27" s="11" t="str">
        <f aca="false">IF(INDEX(選手一覧!$F$7:$F$2738,$F27)="","",INDEX(選手一覧!$F$7:$F$2738,$F27))</f>
        <v/>
      </c>
      <c r="H27" s="12" t="str">
        <f aca="false">IF(INDEX(選手一覧!$G$7:$G$2738,$F27)="","",INDEX(選手一覧!$G$7:$G$2738,$F27))</f>
        <v/>
      </c>
      <c r="I27" s="11" t="str">
        <f aca="false">IF(INDEX(選手一覧!$H$7:$H$2738,$F27)="","",INDEX(選手一覧!$H$7:$H$2738,$F27))</f>
        <v/>
      </c>
      <c r="J27" s="12" t="str">
        <f aca="false">IF(INDEX(選手一覧!$I$7:$I$2738,$F27)="","",INDEX(選手一覧!$I$7:$I$2738,$F27))</f>
        <v/>
      </c>
    </row>
    <row r="28" customFormat="false" ht="15" hidden="false" customHeight="false" outlineLevel="0" collapsed="false">
      <c r="A28" s="12" t="n">
        <v>24</v>
      </c>
      <c r="B28" s="10" t="s">
        <v>70</v>
      </c>
      <c r="C28" s="10" t="s">
        <v>29</v>
      </c>
      <c r="D28" s="11" t="n">
        <v>0.0100170138888889</v>
      </c>
      <c r="E28" s="18" t="n">
        <f aca="false">ROUND((D28-$D$5)*86400,2)</f>
        <v>75.73</v>
      </c>
      <c r="F28" s="12" t="n">
        <v>27</v>
      </c>
      <c r="G28" s="11" t="n">
        <f aca="false">IF(INDEX(選手一覧!$F$7:$F$2738,$F28)="","",INDEX(選手一覧!$F$7:$F$2738,$F28))</f>
        <v>0.00636747685185185</v>
      </c>
      <c r="H28" s="12" t="n">
        <f aca="false">IF(INDEX(選手一覧!$G$7:$G$2738,$F28)="","",INDEX(選手一覧!$G$7:$G$2738,$F28))</f>
        <v>11</v>
      </c>
      <c r="I28" s="11" t="n">
        <f aca="false">IF(INDEX(選手一覧!$H$7:$H$2738,$F28)="","",INDEX(選手一覧!$H$7:$H$2738,$F28))</f>
        <v>0.00280856481481482</v>
      </c>
      <c r="J28" s="12" t="n">
        <f aca="false">IF(INDEX(選手一覧!$I$7:$I$2738,$F28)="","",INDEX(選手一覧!$I$7:$I$2738,$F28))</f>
        <v>320</v>
      </c>
    </row>
    <row r="29" customFormat="false" ht="15" hidden="false" customHeight="false" outlineLevel="0" collapsed="false">
      <c r="A29" s="12" t="n">
        <v>25</v>
      </c>
      <c r="B29" s="10" t="s">
        <v>63</v>
      </c>
      <c r="C29" s="10" t="s">
        <v>64</v>
      </c>
      <c r="D29" s="11" t="n">
        <v>0.0100194444444444</v>
      </c>
      <c r="E29" s="18" t="n">
        <f aca="false">ROUND((D29-$D$5)*86400,2)</f>
        <v>75.94</v>
      </c>
      <c r="F29" s="12" t="n">
        <v>22</v>
      </c>
      <c r="G29" s="11" t="str">
        <f aca="false">IF(INDEX(選手一覧!$F$7:$F$2738,$F29)="","",INDEX(選手一覧!$F$7:$F$2738,$F29))</f>
        <v/>
      </c>
      <c r="H29" s="12" t="str">
        <f aca="false">IF(INDEX(選手一覧!$G$7:$G$2738,$F29)="","",INDEX(選手一覧!$G$7:$G$2738,$F29))</f>
        <v/>
      </c>
      <c r="I29" s="11" t="n">
        <f aca="false">IF(INDEX(選手一覧!$H$7:$H$2738,$F29)="","",INDEX(選手一覧!$H$7:$H$2738,$F29))</f>
        <v>0.00267650462962963</v>
      </c>
      <c r="J29" s="12" t="n">
        <f aca="false">IF(INDEX(選手一覧!$I$7:$I$2738,$F29)="","",INDEX(選手一覧!$I$7:$I$2738,$F29))</f>
        <v>9</v>
      </c>
    </row>
    <row r="30" customFormat="false" ht="15" hidden="false" customHeight="false" outlineLevel="0" collapsed="false">
      <c r="A30" s="12" t="n">
        <v>26</v>
      </c>
      <c r="B30" s="10" t="s">
        <v>50</v>
      </c>
      <c r="C30" s="10" t="s">
        <v>51</v>
      </c>
      <c r="D30" s="11" t="n">
        <v>0.010022337962963</v>
      </c>
      <c r="E30" s="18" t="n">
        <f aca="false">ROUND((D30-$D$5)*86400,2)</f>
        <v>76.19</v>
      </c>
      <c r="F30" s="12" t="n">
        <v>16</v>
      </c>
      <c r="G30" s="11" t="str">
        <f aca="false">IF(INDEX(選手一覧!$F$7:$F$2738,$F30)="","",INDEX(選手一覧!$F$7:$F$2738,$F30))</f>
        <v/>
      </c>
      <c r="H30" s="12" t="str">
        <f aca="false">IF(INDEX(選手一覧!$G$7:$G$2738,$F30)="","",INDEX(選手一覧!$G$7:$G$2738,$F30))</f>
        <v/>
      </c>
      <c r="I30" s="11" t="n">
        <f aca="false">IF(INDEX(選手一覧!$H$7:$H$2738,$F30)="","",INDEX(選手一覧!$H$7:$H$2738,$F30))</f>
        <v>0.00267071759259259</v>
      </c>
      <c r="J30" s="12" t="n">
        <f aca="false">IF(INDEX(選手一覧!$I$7:$I$2738,$F30)="","",INDEX(選手一覧!$I$7:$I$2738,$F30))</f>
        <v>7</v>
      </c>
    </row>
    <row r="31" customFormat="false" ht="15" hidden="false" customHeight="false" outlineLevel="0" collapsed="false">
      <c r="A31" s="12" t="n">
        <v>27</v>
      </c>
      <c r="B31" s="10" t="s">
        <v>143</v>
      </c>
      <c r="C31" s="10" t="s">
        <v>103</v>
      </c>
      <c r="D31" s="11" t="n">
        <v>0.0100325231481482</v>
      </c>
      <c r="E31" s="18" t="n">
        <f aca="false">ROUND((D31-$D$5)*86400,2)</f>
        <v>77.07</v>
      </c>
      <c r="F31" s="12" t="n">
        <v>68</v>
      </c>
      <c r="G31" s="11" t="str">
        <f aca="false">IF(INDEX(選手一覧!$F$7:$F$2738,$F31)="","",INDEX(選手一覧!$F$7:$F$2738,$F31))</f>
        <v/>
      </c>
      <c r="H31" s="12" t="str">
        <f aca="false">IF(INDEX(選手一覧!$G$7:$G$2738,$F31)="","",INDEX(選手一覧!$G$7:$G$2738,$F31))</f>
        <v/>
      </c>
      <c r="I31" s="11" t="str">
        <f aca="false">IF(INDEX(選手一覧!$H$7:$H$2738,$F31)="","",INDEX(選手一覧!$H$7:$H$2738,$F31))</f>
        <v/>
      </c>
      <c r="J31" s="12" t="str">
        <f aca="false">IF(INDEX(選手一覧!$I$7:$I$2738,$F31)="","",INDEX(選手一覧!$I$7:$I$2738,$F31))</f>
        <v/>
      </c>
    </row>
    <row r="32" customFormat="false" ht="15" hidden="false" customHeight="false" outlineLevel="0" collapsed="false">
      <c r="A32" s="12" t="n">
        <v>28</v>
      </c>
      <c r="B32" s="10" t="s">
        <v>146</v>
      </c>
      <c r="C32" s="10" t="s">
        <v>147</v>
      </c>
      <c r="D32" s="11" t="n">
        <v>0.0100331018518519</v>
      </c>
      <c r="E32" s="18" t="n">
        <f aca="false">ROUND((D32-$D$5)*86400,2)</f>
        <v>77.12</v>
      </c>
      <c r="F32" s="12" t="n">
        <v>70</v>
      </c>
      <c r="G32" s="11" t="str">
        <f aca="false">IF(INDEX(選手一覧!$F$7:$F$2738,$F32)="","",INDEX(選手一覧!$F$7:$F$2738,$F32))</f>
        <v/>
      </c>
      <c r="H32" s="12" t="str">
        <f aca="false">IF(INDEX(選手一覧!$G$7:$G$2738,$F32)="","",INDEX(選手一覧!$G$7:$G$2738,$F32))</f>
        <v/>
      </c>
      <c r="I32" s="11" t="n">
        <f aca="false">IF(INDEX(選手一覧!$H$7:$H$2738,$F32)="","",INDEX(選手一覧!$H$7:$H$2738,$F32))</f>
        <v>0.00271909722222222</v>
      </c>
      <c r="J32" s="12" t="n">
        <f aca="false">IF(INDEX(選手一覧!$I$7:$I$2738,$F32)="","",INDEX(選手一覧!$I$7:$I$2738,$F32))</f>
        <v>48</v>
      </c>
    </row>
    <row r="33" customFormat="false" ht="15" hidden="false" customHeight="false" outlineLevel="0" collapsed="false">
      <c r="A33" s="12" t="n">
        <v>29</v>
      </c>
      <c r="B33" s="10" t="s">
        <v>150</v>
      </c>
      <c r="C33" s="10" t="s">
        <v>64</v>
      </c>
      <c r="D33" s="11" t="n">
        <v>0.0100400462962963</v>
      </c>
      <c r="E33" s="18" t="n">
        <f aca="false">ROUND((D33-$D$5)*86400,2)</f>
        <v>77.72</v>
      </c>
      <c r="F33" s="12" t="n">
        <v>72</v>
      </c>
      <c r="G33" s="11" t="n">
        <f aca="false">IF(INDEX(選手一覧!$F$7:$F$2738,$F33)="","",INDEX(選手一覧!$F$7:$F$2738,$F33))</f>
        <v>0.00702037037037037</v>
      </c>
      <c r="H33" s="12" t="n">
        <f aca="false">IF(INDEX(選手一覧!$G$7:$G$2738,$F33)="","",INDEX(選手一覧!$G$7:$G$2738,$F33))</f>
        <v>355</v>
      </c>
      <c r="I33" s="11" t="n">
        <f aca="false">IF(INDEX(選手一覧!$H$7:$H$2738,$F33)="","",INDEX(選手一覧!$H$7:$H$2738,$F33))</f>
        <v>0.00270590277777778</v>
      </c>
      <c r="J33" s="12" t="n">
        <f aca="false">IF(INDEX(選手一覧!$I$7:$I$2738,$F33)="","",INDEX(選手一覧!$I$7:$I$2738,$F33))</f>
        <v>29</v>
      </c>
    </row>
    <row r="34" customFormat="false" ht="15" hidden="false" customHeight="false" outlineLevel="0" collapsed="false">
      <c r="A34" s="12" t="n">
        <v>30</v>
      </c>
      <c r="B34" s="10" t="s">
        <v>155</v>
      </c>
      <c r="C34" s="10" t="s">
        <v>156</v>
      </c>
      <c r="D34" s="11" t="n">
        <v>0.010040162037037</v>
      </c>
      <c r="E34" s="18" t="n">
        <f aca="false">ROUND((D34-$D$5)*86400,2)</f>
        <v>77.73</v>
      </c>
      <c r="F34" s="12" t="n">
        <v>76</v>
      </c>
      <c r="G34" s="11" t="str">
        <f aca="false">IF(INDEX(選手一覧!$F$7:$F$2738,$F34)="","",INDEX(選手一覧!$F$7:$F$2738,$F34))</f>
        <v/>
      </c>
      <c r="H34" s="12" t="str">
        <f aca="false">IF(INDEX(選手一覧!$G$7:$G$2738,$F34)="","",INDEX(選手一覧!$G$7:$G$2738,$F34))</f>
        <v/>
      </c>
      <c r="I34" s="11" t="n">
        <f aca="false">IF(INDEX(選手一覧!$H$7:$H$2738,$F34)="","",INDEX(選手一覧!$H$7:$H$2738,$F34))</f>
        <v>0.00284363425925926</v>
      </c>
      <c r="J34" s="12" t="n">
        <f aca="false">IF(INDEX(選手一覧!$I$7:$I$2738,$F34)="","",INDEX(選手一覧!$I$7:$I$2738,$F34))</f>
        <v>520</v>
      </c>
    </row>
    <row r="35" customFormat="false" ht="15" hidden="false" customHeight="false" outlineLevel="0" collapsed="false">
      <c r="A35" s="12" t="n">
        <v>31</v>
      </c>
      <c r="B35" s="10" t="s">
        <v>160</v>
      </c>
      <c r="C35" s="10" t="s">
        <v>25</v>
      </c>
      <c r="D35" s="11" t="n">
        <v>0.0100422453703704</v>
      </c>
      <c r="E35" s="18" t="n">
        <f aca="false">ROUND((D35-$D$5)*86400,2)</f>
        <v>77.91</v>
      </c>
      <c r="F35" s="12" t="n">
        <v>79</v>
      </c>
      <c r="G35" s="11" t="str">
        <f aca="false">IF(INDEX(選手一覧!$F$7:$F$2738,$F35)="","",INDEX(選手一覧!$F$7:$F$2738,$F35))</f>
        <v/>
      </c>
      <c r="H35" s="12" t="str">
        <f aca="false">IF(INDEX(選手一覧!$G$7:$G$2738,$F35)="","",INDEX(選手一覧!$G$7:$G$2738,$F35))</f>
        <v/>
      </c>
      <c r="I35" s="11" t="str">
        <f aca="false">IF(INDEX(選手一覧!$H$7:$H$2738,$F35)="","",INDEX(選手一覧!$H$7:$H$2738,$F35))</f>
        <v/>
      </c>
      <c r="J35" s="12" t="str">
        <f aca="false">IF(INDEX(選手一覧!$I$7:$I$2738,$F35)="","",INDEX(選手一覧!$I$7:$I$2738,$F35))</f>
        <v/>
      </c>
    </row>
    <row r="36" customFormat="false" ht="15" hidden="false" customHeight="false" outlineLevel="0" collapsed="false">
      <c r="A36" s="12" t="n">
        <v>32</v>
      </c>
      <c r="B36" s="10" t="s">
        <v>163</v>
      </c>
      <c r="C36" s="10" t="s">
        <v>164</v>
      </c>
      <c r="D36" s="11" t="n">
        <v>0.0100430555555556</v>
      </c>
      <c r="E36" s="18" t="n">
        <f aca="false">ROUND((D36-$D$5)*86400,2)</f>
        <v>77.98</v>
      </c>
      <c r="F36" s="12" t="n">
        <v>81</v>
      </c>
      <c r="G36" s="11" t="str">
        <f aca="false">IF(INDEX(選手一覧!$F$7:$F$2738,$F36)="","",INDEX(選手一覧!$F$7:$F$2738,$F36))</f>
        <v/>
      </c>
      <c r="H36" s="12" t="str">
        <f aca="false">IF(INDEX(選手一覧!$G$7:$G$2738,$F36)="","",INDEX(選手一覧!$G$7:$G$2738,$F36))</f>
        <v/>
      </c>
      <c r="I36" s="11" t="n">
        <f aca="false">IF(INDEX(選手一覧!$H$7:$H$2738,$F36)="","",INDEX(選手一覧!$H$7:$H$2738,$F36))</f>
        <v>0.00272511574074074</v>
      </c>
      <c r="J36" s="12" t="n">
        <f aca="false">IF(INDEX(選手一覧!$I$7:$I$2738,$F36)="","",INDEX(選手一覧!$I$7:$I$2738,$F36))</f>
        <v>58</v>
      </c>
    </row>
    <row r="37" customFormat="false" ht="15" hidden="false" customHeight="false" outlineLevel="0" collapsed="false">
      <c r="A37" s="12" t="n">
        <v>33</v>
      </c>
      <c r="B37" s="10" t="s">
        <v>169</v>
      </c>
      <c r="C37" s="10" t="s">
        <v>29</v>
      </c>
      <c r="D37" s="11" t="n">
        <v>0.0100454861111111</v>
      </c>
      <c r="E37" s="18" t="n">
        <f aca="false">ROUND((D37-$D$5)*86400,2)</f>
        <v>78.19</v>
      </c>
      <c r="F37" s="12" t="n">
        <v>84</v>
      </c>
      <c r="G37" s="11" t="str">
        <f aca="false">IF(INDEX(選手一覧!$F$7:$F$2738,$F37)="","",INDEX(選手一覧!$F$7:$F$2738,$F37))</f>
        <v/>
      </c>
      <c r="H37" s="12" t="str">
        <f aca="false">IF(INDEX(選手一覧!$G$7:$G$2738,$F37)="","",INDEX(選手一覧!$G$7:$G$2738,$F37))</f>
        <v/>
      </c>
      <c r="I37" s="11" t="n">
        <f aca="false">IF(INDEX(選手一覧!$H$7:$H$2738,$F37)="","",INDEX(選手一覧!$H$7:$H$2738,$F37))</f>
        <v>0.00273946759259259</v>
      </c>
      <c r="J37" s="12" t="n">
        <f aca="false">IF(INDEX(選手一覧!$I$7:$I$2738,$F37)="","",INDEX(選手一覧!$I$7:$I$2738,$F37))</f>
        <v>84</v>
      </c>
    </row>
    <row r="38" customFormat="false" ht="15" hidden="false" customHeight="false" outlineLevel="0" collapsed="false">
      <c r="A38" s="12" t="n">
        <v>34</v>
      </c>
      <c r="B38" s="10" t="s">
        <v>174</v>
      </c>
      <c r="C38" s="10" t="s">
        <v>175</v>
      </c>
      <c r="D38" s="11" t="n">
        <v>0.0100482638888889</v>
      </c>
      <c r="E38" s="18" t="n">
        <f aca="false">ROUND((D38-$D$5)*86400,2)</f>
        <v>78.43</v>
      </c>
      <c r="F38" s="12" t="n">
        <v>87</v>
      </c>
      <c r="G38" s="11" t="str">
        <f aca="false">IF(INDEX(選手一覧!$F$7:$F$2738,$F38)="","",INDEX(選手一覧!$F$7:$F$2738,$F38))</f>
        <v/>
      </c>
      <c r="H38" s="12" t="str">
        <f aca="false">IF(INDEX(選手一覧!$G$7:$G$2738,$F38)="","",INDEX(選手一覧!$G$7:$G$2738,$F38))</f>
        <v/>
      </c>
      <c r="I38" s="11" t="str">
        <f aca="false">IF(INDEX(選手一覧!$H$7:$H$2738,$F38)="","",INDEX(選手一覧!$H$7:$H$2738,$F38))</f>
        <v/>
      </c>
      <c r="J38" s="12" t="str">
        <f aca="false">IF(INDEX(選手一覧!$I$7:$I$2738,$F38)="","",INDEX(選手一覧!$I$7:$I$2738,$F38))</f>
        <v/>
      </c>
    </row>
    <row r="39" customFormat="false" ht="15" hidden="false" customHeight="false" outlineLevel="0" collapsed="false">
      <c r="A39" s="12" t="n">
        <v>35</v>
      </c>
      <c r="B39" s="10" t="s">
        <v>178</v>
      </c>
      <c r="C39" s="10" t="s">
        <v>179</v>
      </c>
      <c r="D39" s="11" t="n">
        <v>0.0100494212962963</v>
      </c>
      <c r="E39" s="18" t="n">
        <f aca="false">ROUND((D39-$D$5)*86400,2)</f>
        <v>78.53</v>
      </c>
      <c r="F39" s="12" t="n">
        <v>89</v>
      </c>
      <c r="G39" s="11" t="str">
        <f aca="false">IF(INDEX(選手一覧!$F$7:$F$2738,$F39)="","",INDEX(選手一覧!$F$7:$F$2738,$F39))</f>
        <v/>
      </c>
      <c r="H39" s="12" t="str">
        <f aca="false">IF(INDEX(選手一覧!$G$7:$G$2738,$F39)="","",INDEX(選手一覧!$G$7:$G$2738,$F39))</f>
        <v/>
      </c>
      <c r="I39" s="11" t="n">
        <f aca="false">IF(INDEX(選手一覧!$H$7:$H$2738,$F39)="","",INDEX(選手一覧!$H$7:$H$2738,$F39))</f>
        <v>0.00274490740740741</v>
      </c>
      <c r="J39" s="12" t="n">
        <f aca="false">IF(INDEX(選手一覧!$I$7:$I$2738,$F39)="","",INDEX(選手一覧!$I$7:$I$2738,$F39))</f>
        <v>90</v>
      </c>
    </row>
    <row r="40" customFormat="false" ht="15" hidden="false" customHeight="false" outlineLevel="0" collapsed="false">
      <c r="A40" s="12" t="n">
        <v>36</v>
      </c>
      <c r="B40" s="10" t="s">
        <v>184</v>
      </c>
      <c r="C40" s="10" t="s">
        <v>185</v>
      </c>
      <c r="D40" s="11" t="n">
        <v>0.0100496527777778</v>
      </c>
      <c r="E40" s="18" t="n">
        <f aca="false">ROUND((D40-$D$5)*86400,2)</f>
        <v>78.55</v>
      </c>
      <c r="F40" s="12" t="n">
        <v>92</v>
      </c>
      <c r="G40" s="11" t="str">
        <f aca="false">IF(INDEX(選手一覧!$F$7:$F$2738,$F40)="","",INDEX(選手一覧!$F$7:$F$2738,$F40))</f>
        <v/>
      </c>
      <c r="H40" s="12" t="str">
        <f aca="false">IF(INDEX(選手一覧!$G$7:$G$2738,$F40)="","",INDEX(選手一覧!$G$7:$G$2738,$F40))</f>
        <v/>
      </c>
      <c r="I40" s="11" t="n">
        <f aca="false">IF(INDEX(選手一覧!$H$7:$H$2738,$F40)="","",INDEX(選手一覧!$H$7:$H$2738,$F40))</f>
        <v>0.00277361111111111</v>
      </c>
      <c r="J40" s="12" t="n">
        <f aca="false">IF(INDEX(選手一覧!$I$7:$I$2738,$F40)="","",INDEX(選手一覧!$I$7:$I$2738,$F40))</f>
        <v>171</v>
      </c>
    </row>
    <row r="41" customFormat="false" ht="15" hidden="false" customHeight="false" outlineLevel="0" collapsed="false">
      <c r="A41" s="12" t="n">
        <v>37</v>
      </c>
      <c r="B41" s="10" t="s">
        <v>189</v>
      </c>
      <c r="C41" s="10" t="s">
        <v>190</v>
      </c>
      <c r="D41" s="11" t="n">
        <v>0.0100549768518519</v>
      </c>
      <c r="E41" s="18" t="n">
        <f aca="false">ROUND((D41-$D$5)*86400,2)</f>
        <v>79.01</v>
      </c>
      <c r="F41" s="12" t="n">
        <v>95</v>
      </c>
      <c r="G41" s="11" t="str">
        <f aca="false">IF(INDEX(選手一覧!$F$7:$F$2738,$F41)="","",INDEX(選手一覧!$F$7:$F$2738,$F41))</f>
        <v/>
      </c>
      <c r="H41" s="12" t="str">
        <f aca="false">IF(INDEX(選手一覧!$G$7:$G$2738,$F41)="","",INDEX(選手一覧!$G$7:$G$2738,$F41))</f>
        <v/>
      </c>
      <c r="I41" s="11" t="n">
        <f aca="false">IF(INDEX(選手一覧!$H$7:$H$2738,$F41)="","",INDEX(選手一覧!$H$7:$H$2738,$F41))</f>
        <v>0.00277592592592593</v>
      </c>
      <c r="J41" s="12" t="n">
        <f aca="false">IF(INDEX(選手一覧!$I$7:$I$2738,$F41)="","",INDEX(選手一覧!$I$7:$I$2738,$F41))</f>
        <v>182</v>
      </c>
    </row>
    <row r="42" customFormat="false" ht="15" hidden="false" customHeight="false" outlineLevel="0" collapsed="false">
      <c r="A42" s="12" t="n">
        <v>38</v>
      </c>
      <c r="B42" s="10" t="s">
        <v>194</v>
      </c>
      <c r="C42" s="10" t="s">
        <v>195</v>
      </c>
      <c r="D42" s="11" t="n">
        <v>0.0100549768518519</v>
      </c>
      <c r="E42" s="18" t="n">
        <f aca="false">ROUND((D42-$D$5)*86400,2)</f>
        <v>79.01</v>
      </c>
      <c r="F42" s="12" t="n">
        <v>98</v>
      </c>
      <c r="G42" s="11" t="str">
        <f aca="false">IF(INDEX(選手一覧!$F$7:$F$2738,$F42)="","",INDEX(選手一覧!$F$7:$F$2738,$F42))</f>
        <v/>
      </c>
      <c r="H42" s="12" t="str">
        <f aca="false">IF(INDEX(選手一覧!$G$7:$G$2738,$F42)="","",INDEX(選手一覧!$G$7:$G$2738,$F42))</f>
        <v/>
      </c>
      <c r="I42" s="11" t="n">
        <f aca="false">IF(INDEX(選手一覧!$H$7:$H$2738,$F42)="","",INDEX(選手一覧!$H$7:$H$2738,$F42))</f>
        <v>0.00271759259259259</v>
      </c>
      <c r="J42" s="12" t="n">
        <f aca="false">IF(INDEX(選手一覧!$I$7:$I$2738,$F42)="","",INDEX(選手一覧!$I$7:$I$2738,$F42))</f>
        <v>46</v>
      </c>
    </row>
    <row r="43" customFormat="false" ht="15" hidden="false" customHeight="false" outlineLevel="0" collapsed="false">
      <c r="A43" s="12" t="n">
        <v>39</v>
      </c>
      <c r="B43" s="10" t="s">
        <v>199</v>
      </c>
      <c r="C43" s="10" t="s">
        <v>27</v>
      </c>
      <c r="D43" s="11" t="n">
        <v>0.010055787037037</v>
      </c>
      <c r="E43" s="18" t="n">
        <f aca="false">ROUND((D43-$D$5)*86400,2)</f>
        <v>79.08</v>
      </c>
      <c r="F43" s="12" t="n">
        <v>102</v>
      </c>
      <c r="G43" s="11" t="str">
        <f aca="false">IF(INDEX(選手一覧!$F$7:$F$2738,$F43)="","",INDEX(選手一覧!$F$7:$F$2738,$F43))</f>
        <v/>
      </c>
      <c r="H43" s="12" t="str">
        <f aca="false">IF(INDEX(選手一覧!$G$7:$G$2738,$F43)="","",INDEX(選手一覧!$G$7:$G$2738,$F43))</f>
        <v/>
      </c>
      <c r="I43" s="11" t="n">
        <f aca="false">IF(INDEX(選手一覧!$H$7:$H$2738,$F43)="","",INDEX(選手一覧!$H$7:$H$2738,$F43))</f>
        <v>0.00295462962962963</v>
      </c>
      <c r="J43" s="12" t="n">
        <f aca="false">IF(INDEX(選手一覧!$I$7:$I$2738,$F43)="","",INDEX(選手一覧!$I$7:$I$2738,$F43))</f>
        <v>1252</v>
      </c>
    </row>
    <row r="44" customFormat="false" ht="15" hidden="false" customHeight="false" outlineLevel="0" collapsed="false">
      <c r="A44" s="12" t="n">
        <v>40</v>
      </c>
      <c r="B44" s="10" t="s">
        <v>203</v>
      </c>
      <c r="C44" s="10" t="s">
        <v>103</v>
      </c>
      <c r="D44" s="11" t="n">
        <v>0.0100653935185185</v>
      </c>
      <c r="E44" s="18" t="n">
        <f aca="false">ROUND((D44-$D$5)*86400,2)</f>
        <v>79.91</v>
      </c>
      <c r="F44" s="12" t="n">
        <v>105</v>
      </c>
      <c r="G44" s="11" t="str">
        <f aca="false">IF(INDEX(選手一覧!$F$7:$F$2738,$F44)="","",INDEX(選手一覧!$F$7:$F$2738,$F44))</f>
        <v/>
      </c>
      <c r="H44" s="12" t="str">
        <f aca="false">IF(INDEX(選手一覧!$G$7:$G$2738,$F44)="","",INDEX(選手一覧!$G$7:$G$2738,$F44))</f>
        <v/>
      </c>
      <c r="I44" s="11" t="str">
        <f aca="false">IF(INDEX(選手一覧!$H$7:$H$2738,$F44)="","",INDEX(選手一覧!$H$7:$H$2738,$F44))</f>
        <v/>
      </c>
      <c r="J44" s="12" t="str">
        <f aca="false">IF(INDEX(選手一覧!$I$7:$I$2738,$F44)="","",INDEX(選手一覧!$I$7:$I$2738,$F44))</f>
        <v/>
      </c>
    </row>
    <row r="45" customFormat="false" ht="15" hidden="false" customHeight="false" outlineLevel="0" collapsed="false">
      <c r="A45" s="12" t="n">
        <v>41</v>
      </c>
      <c r="B45" s="10" t="s">
        <v>207</v>
      </c>
      <c r="C45" s="10" t="s">
        <v>208</v>
      </c>
      <c r="D45" s="11" t="n">
        <v>0.0100755787037037</v>
      </c>
      <c r="E45" s="18" t="n">
        <f aca="false">ROUND((D45-$D$5)*86400,2)</f>
        <v>80.79</v>
      </c>
      <c r="F45" s="12" t="n">
        <v>108</v>
      </c>
      <c r="G45" s="11" t="str">
        <f aca="false">IF(INDEX(選手一覧!$F$7:$F$2738,$F45)="","",INDEX(選手一覧!$F$7:$F$2738,$F45))</f>
        <v/>
      </c>
      <c r="H45" s="12" t="str">
        <f aca="false">IF(INDEX(選手一覧!$G$7:$G$2738,$F45)="","",INDEX(選手一覧!$G$7:$G$2738,$F45))</f>
        <v/>
      </c>
      <c r="I45" s="11" t="n">
        <f aca="false">IF(INDEX(選手一覧!$H$7:$H$2738,$F45)="","",INDEX(選手一覧!$H$7:$H$2738,$F45))</f>
        <v>0.00276655092592593</v>
      </c>
      <c r="J45" s="12" t="n">
        <f aca="false">IF(INDEX(選手一覧!$I$7:$I$2738,$F45)="","",INDEX(選手一覧!$I$7:$I$2738,$F45))</f>
        <v>153</v>
      </c>
    </row>
    <row r="46" customFormat="false" ht="15" hidden="false" customHeight="false" outlineLevel="0" collapsed="false">
      <c r="A46" s="12" t="n">
        <v>42</v>
      </c>
      <c r="B46" s="10" t="s">
        <v>211</v>
      </c>
      <c r="C46" s="10" t="s">
        <v>29</v>
      </c>
      <c r="D46" s="11" t="n">
        <v>0.0100759259259259</v>
      </c>
      <c r="E46" s="18" t="n">
        <f aca="false">ROUND((D46-$D$5)*86400,2)</f>
        <v>80.82</v>
      </c>
      <c r="F46" s="12" t="n">
        <v>110</v>
      </c>
      <c r="G46" s="11" t="str">
        <f aca="false">IF(INDEX(選手一覧!$F$7:$F$2738,$F46)="","",INDEX(選手一覧!$F$7:$F$2738,$F46))</f>
        <v/>
      </c>
      <c r="H46" s="12" t="str">
        <f aca="false">IF(INDEX(選手一覧!$G$7:$G$2738,$F46)="","",INDEX(選手一覧!$G$7:$G$2738,$F46))</f>
        <v/>
      </c>
      <c r="I46" s="11" t="n">
        <f aca="false">IF(INDEX(選手一覧!$H$7:$H$2738,$F46)="","",INDEX(選手一覧!$H$7:$H$2738,$F46))</f>
        <v>0.00279201388888889</v>
      </c>
      <c r="J46" s="12" t="n">
        <f aca="false">IF(INDEX(選手一覧!$I$7:$I$2738,$F46)="","",INDEX(選手一覧!$I$7:$I$2738,$F46))</f>
        <v>249</v>
      </c>
    </row>
    <row r="47" customFormat="false" ht="15" hidden="false" customHeight="false" outlineLevel="0" collapsed="false">
      <c r="A47" s="12" t="n">
        <v>43</v>
      </c>
      <c r="B47" s="10" t="s">
        <v>216</v>
      </c>
      <c r="C47" s="10" t="s">
        <v>27</v>
      </c>
      <c r="D47" s="11" t="n">
        <v>0.0100761574074074</v>
      </c>
      <c r="E47" s="18" t="n">
        <f aca="false">ROUND((D47-$D$5)*86400,2)</f>
        <v>80.84</v>
      </c>
      <c r="F47" s="12" t="n">
        <v>113</v>
      </c>
      <c r="G47" s="11" t="str">
        <f aca="false">IF(INDEX(選手一覧!$F$7:$F$2738,$F47)="","",INDEX(選手一覧!$F$7:$F$2738,$F47))</f>
        <v/>
      </c>
      <c r="H47" s="12" t="str">
        <f aca="false">IF(INDEX(選手一覧!$G$7:$G$2738,$F47)="","",INDEX(選手一覧!$G$7:$G$2738,$F47))</f>
        <v/>
      </c>
      <c r="I47" s="11" t="n">
        <f aca="false">IF(INDEX(選手一覧!$H$7:$H$2738,$F47)="","",INDEX(選手一覧!$H$7:$H$2738,$F47))</f>
        <v>0.00275925925925926</v>
      </c>
      <c r="J47" s="12" t="n">
        <f aca="false">IF(INDEX(選手一覧!$I$7:$I$2738,$F47)="","",INDEX(選手一覧!$I$7:$I$2738,$F47))</f>
        <v>133</v>
      </c>
    </row>
    <row r="48" customFormat="false" ht="15" hidden="false" customHeight="false" outlineLevel="0" collapsed="false">
      <c r="A48" s="12" t="n">
        <v>44</v>
      </c>
      <c r="B48" s="10" t="s">
        <v>221</v>
      </c>
      <c r="C48" s="10" t="s">
        <v>179</v>
      </c>
      <c r="D48" s="11" t="n">
        <v>0.010080787037037</v>
      </c>
      <c r="E48" s="18" t="n">
        <f aca="false">ROUND((D48-$D$5)*86400,2)</f>
        <v>81.24</v>
      </c>
      <c r="F48" s="12" t="n">
        <v>116</v>
      </c>
      <c r="G48" s="11" t="str">
        <f aca="false">IF(INDEX(選手一覧!$F$7:$F$2738,$F48)="","",INDEX(選手一覧!$F$7:$F$2738,$F48))</f>
        <v/>
      </c>
      <c r="H48" s="12" t="str">
        <f aca="false">IF(INDEX(選手一覧!$G$7:$G$2738,$F48)="","",INDEX(選手一覧!$G$7:$G$2738,$F48))</f>
        <v/>
      </c>
      <c r="I48" s="11" t="n">
        <f aca="false">IF(INDEX(選手一覧!$H$7:$H$2738,$F48)="","",INDEX(選手一覧!$H$7:$H$2738,$F48))</f>
        <v>0.00285601851851852</v>
      </c>
      <c r="J48" s="12" t="n">
        <f aca="false">IF(INDEX(選手一覧!$I$7:$I$2738,$F48)="","",INDEX(選手一覧!$I$7:$I$2738,$F48))</f>
        <v>608</v>
      </c>
    </row>
    <row r="49" customFormat="false" ht="15" hidden="false" customHeight="false" outlineLevel="0" collapsed="false">
      <c r="A49" s="12" t="n">
        <v>45</v>
      </c>
      <c r="B49" s="10" t="s">
        <v>225</v>
      </c>
      <c r="C49" s="10" t="s">
        <v>226</v>
      </c>
      <c r="D49" s="11" t="n">
        <v>0.0100890046296296</v>
      </c>
      <c r="E49" s="18" t="n">
        <f aca="false">ROUND((D49-$D$5)*86400,2)</f>
        <v>81.95</v>
      </c>
      <c r="F49" s="12" t="n">
        <v>119</v>
      </c>
      <c r="G49" s="11" t="str">
        <f aca="false">IF(INDEX(選手一覧!$F$7:$F$2738,$F49)="","",INDEX(選手一覧!$F$7:$F$2738,$F49))</f>
        <v/>
      </c>
      <c r="H49" s="12" t="str">
        <f aca="false">IF(INDEX(選手一覧!$G$7:$G$2738,$F49)="","",INDEX(選手一覧!$G$7:$G$2738,$F49))</f>
        <v/>
      </c>
      <c r="I49" s="11" t="n">
        <f aca="false">IF(INDEX(選手一覧!$H$7:$H$2738,$F49)="","",INDEX(選手一覧!$H$7:$H$2738,$F49))</f>
        <v>0.00272962962962963</v>
      </c>
      <c r="J49" s="12" t="n">
        <f aca="false">IF(INDEX(選手一覧!$I$7:$I$2738,$F49)="","",INDEX(選手一覧!$I$7:$I$2738,$F49))</f>
        <v>65</v>
      </c>
    </row>
    <row r="50" customFormat="false" ht="15" hidden="false" customHeight="false" outlineLevel="0" collapsed="false">
      <c r="A50" s="12" t="n">
        <v>46</v>
      </c>
      <c r="B50" s="10" t="s">
        <v>196</v>
      </c>
      <c r="C50" s="10" t="s">
        <v>55</v>
      </c>
      <c r="D50" s="11" t="n">
        <v>0.0100895833333333</v>
      </c>
      <c r="E50" s="18" t="n">
        <f aca="false">ROUND((D50-$D$5)*86400,2)</f>
        <v>82</v>
      </c>
      <c r="F50" s="12" t="n">
        <v>99</v>
      </c>
      <c r="G50" s="11" t="str">
        <f aca="false">IF(INDEX(選手一覧!$F$7:$F$2738,$F50)="","",INDEX(選手一覧!$F$7:$F$2738,$F50))</f>
        <v/>
      </c>
      <c r="H50" s="12" t="str">
        <f aca="false">IF(INDEX(選手一覧!$G$7:$G$2738,$F50)="","",INDEX(選手一覧!$G$7:$G$2738,$F50))</f>
        <v/>
      </c>
      <c r="I50" s="11" t="n">
        <f aca="false">IF(INDEX(選手一覧!$H$7:$H$2738,$F50)="","",INDEX(選手一覧!$H$7:$H$2738,$F50))</f>
        <v>0.00271238425925926</v>
      </c>
      <c r="J50" s="12" t="n">
        <f aca="false">IF(INDEX(選手一覧!$I$7:$I$2738,$F50)="","",INDEX(選手一覧!$I$7:$I$2738,$F50))</f>
        <v>38</v>
      </c>
    </row>
    <row r="51" customFormat="false" ht="15" hidden="false" customHeight="false" outlineLevel="0" collapsed="false">
      <c r="A51" s="12" t="n">
        <v>47</v>
      </c>
      <c r="B51" s="10" t="s">
        <v>231</v>
      </c>
      <c r="C51" s="10" t="s">
        <v>36</v>
      </c>
      <c r="D51" s="11" t="n">
        <v>0.0100917824074074</v>
      </c>
      <c r="E51" s="18" t="n">
        <f aca="false">ROUND((D51-$D$5)*86400,2)</f>
        <v>82.19</v>
      </c>
      <c r="F51" s="12" t="n">
        <v>123</v>
      </c>
      <c r="G51" s="11" t="str">
        <f aca="false">IF(INDEX(選手一覧!$F$7:$F$2738,$F51)="","",INDEX(選手一覧!$F$7:$F$2738,$F51))</f>
        <v/>
      </c>
      <c r="H51" s="12" t="str">
        <f aca="false">IF(INDEX(選手一覧!$G$7:$G$2738,$F51)="","",INDEX(選手一覧!$G$7:$G$2738,$F51))</f>
        <v/>
      </c>
      <c r="I51" s="11" t="n">
        <f aca="false">IF(INDEX(選手一覧!$H$7:$H$2738,$F51)="","",INDEX(選手一覧!$H$7:$H$2738,$F51))</f>
        <v>0.00271898148148148</v>
      </c>
      <c r="J51" s="12" t="n">
        <f aca="false">IF(INDEX(選手一覧!$I$7:$I$2738,$F51)="","",INDEX(選手一覧!$I$7:$I$2738,$F51))</f>
        <v>47</v>
      </c>
    </row>
    <row r="52" customFormat="false" ht="15" hidden="false" customHeight="false" outlineLevel="0" collapsed="false">
      <c r="A52" s="12" t="n">
        <v>48</v>
      </c>
      <c r="B52" s="10" t="s">
        <v>233</v>
      </c>
      <c r="C52" s="10" t="s">
        <v>234</v>
      </c>
      <c r="D52" s="11" t="n">
        <v>0.0100947916666667</v>
      </c>
      <c r="E52" s="18" t="n">
        <f aca="false">ROUND((D52-$D$5)*86400,2)</f>
        <v>82.45</v>
      </c>
      <c r="F52" s="12" t="n">
        <v>125</v>
      </c>
      <c r="G52" s="11" t="str">
        <f aca="false">IF(INDEX(選手一覧!$F$7:$F$2738,$F52)="","",INDEX(選手一覧!$F$7:$F$2738,$F52))</f>
        <v/>
      </c>
      <c r="H52" s="12" t="str">
        <f aca="false">IF(INDEX(選手一覧!$G$7:$G$2738,$F52)="","",INDEX(選手一覧!$G$7:$G$2738,$F52))</f>
        <v/>
      </c>
      <c r="I52" s="11" t="n">
        <f aca="false">IF(INDEX(選手一覧!$H$7:$H$2738,$F52)="","",INDEX(選手一覧!$H$7:$H$2738,$F52))</f>
        <v>0.00276203703703704</v>
      </c>
      <c r="J52" s="12" t="n">
        <f aca="false">IF(INDEX(選手一覧!$I$7:$I$2738,$F52)="","",INDEX(選手一覧!$I$7:$I$2738,$F52))</f>
        <v>139</v>
      </c>
    </row>
    <row r="53" customFormat="false" ht="15" hidden="false" customHeight="false" outlineLevel="0" collapsed="false">
      <c r="A53" s="12" t="n">
        <v>49</v>
      </c>
      <c r="B53" s="10" t="s">
        <v>236</v>
      </c>
      <c r="C53" s="10" t="s">
        <v>237</v>
      </c>
      <c r="D53" s="11" t="n">
        <v>0.0100954861111111</v>
      </c>
      <c r="E53" s="18" t="n">
        <f aca="false">ROUND((D53-$D$5)*86400,2)</f>
        <v>82.51</v>
      </c>
      <c r="F53" s="12" t="n">
        <v>127</v>
      </c>
      <c r="G53" s="11" t="str">
        <f aca="false">IF(INDEX(選手一覧!$F$7:$F$2738,$F53)="","",INDEX(選手一覧!$F$7:$F$2738,$F53))</f>
        <v/>
      </c>
      <c r="H53" s="12" t="str">
        <f aca="false">IF(INDEX(選手一覧!$G$7:$G$2738,$F53)="","",INDEX(選手一覧!$G$7:$G$2738,$F53))</f>
        <v/>
      </c>
      <c r="I53" s="11" t="n">
        <f aca="false">IF(INDEX(選手一覧!$H$7:$H$2738,$F53)="","",INDEX(選手一覧!$H$7:$H$2738,$F53))</f>
        <v>0.00272893518518519</v>
      </c>
      <c r="J53" s="12" t="n">
        <f aca="false">IF(INDEX(選手一覧!$I$7:$I$2738,$F53)="","",INDEX(選手一覧!$I$7:$I$2738,$F53))</f>
        <v>62</v>
      </c>
    </row>
    <row r="54" customFormat="false" ht="15" hidden="false" customHeight="false" outlineLevel="0" collapsed="false">
      <c r="A54" s="12" t="n">
        <v>50</v>
      </c>
      <c r="B54" s="10" t="s">
        <v>121</v>
      </c>
      <c r="C54" s="10" t="s">
        <v>122</v>
      </c>
      <c r="D54" s="11" t="n">
        <v>0.0100962962962963</v>
      </c>
      <c r="E54" s="18" t="n">
        <f aca="false">ROUND((D54-$D$5)*86400,2)</f>
        <v>82.58</v>
      </c>
      <c r="F54" s="12" t="n">
        <v>56</v>
      </c>
      <c r="G54" s="11" t="str">
        <f aca="false">IF(INDEX(選手一覧!$F$7:$F$2738,$F54)="","",INDEX(選手一覧!$F$7:$F$2738,$F54))</f>
        <v/>
      </c>
      <c r="H54" s="12" t="str">
        <f aca="false">IF(INDEX(選手一覧!$G$7:$G$2738,$F54)="","",INDEX(選手一覧!$G$7:$G$2738,$F54))</f>
        <v/>
      </c>
      <c r="I54" s="11" t="n">
        <f aca="false">IF(INDEX(選手一覧!$H$7:$H$2738,$F54)="","",INDEX(選手一覧!$H$7:$H$2738,$F54))</f>
        <v>0.0026931712962963</v>
      </c>
      <c r="J54" s="12" t="n">
        <f aca="false">IF(INDEX(選手一覧!$I$7:$I$2738,$F54)="","",INDEX(選手一覧!$I$7:$I$2738,$F54))</f>
        <v>22</v>
      </c>
    </row>
    <row r="55" customFormat="false" ht="15" hidden="false" customHeight="false" outlineLevel="0" collapsed="false">
      <c r="A55" s="12" t="n">
        <v>51</v>
      </c>
      <c r="B55" s="10" t="s">
        <v>241</v>
      </c>
      <c r="C55" s="10" t="s">
        <v>242</v>
      </c>
      <c r="D55" s="11" t="n">
        <v>0.0100986111111111</v>
      </c>
      <c r="E55" s="18" t="n">
        <f aca="false">ROUND((D55-$D$5)*86400,2)</f>
        <v>82.78</v>
      </c>
      <c r="F55" s="12" t="n">
        <v>130</v>
      </c>
      <c r="G55" s="11" t="str">
        <f aca="false">IF(INDEX(選手一覧!$F$7:$F$2738,$F55)="","",INDEX(選手一覧!$F$7:$F$2738,$F55))</f>
        <v/>
      </c>
      <c r="H55" s="12" t="str">
        <f aca="false">IF(INDEX(選手一覧!$G$7:$G$2738,$F55)="","",INDEX(選手一覧!$G$7:$G$2738,$F55))</f>
        <v/>
      </c>
      <c r="I55" s="11" t="str">
        <f aca="false">IF(INDEX(選手一覧!$H$7:$H$2738,$F55)="","",INDEX(選手一覧!$H$7:$H$2738,$F55))</f>
        <v/>
      </c>
      <c r="J55" s="12" t="str">
        <f aca="false">IF(INDEX(選手一覧!$I$7:$I$2738,$F55)="","",INDEX(選手一覧!$I$7:$I$2738,$F55))</f>
        <v/>
      </c>
    </row>
    <row r="56" customFormat="false" ht="15" hidden="false" customHeight="false" outlineLevel="0" collapsed="false">
      <c r="A56" s="12" t="n">
        <v>52</v>
      </c>
      <c r="B56" s="10" t="s">
        <v>198</v>
      </c>
      <c r="C56" s="10" t="s">
        <v>95</v>
      </c>
      <c r="D56" s="11" t="n">
        <v>0.0101003472222222</v>
      </c>
      <c r="E56" s="18" t="n">
        <f aca="false">ROUND((D56-$D$5)*86400,2)</f>
        <v>82.93</v>
      </c>
      <c r="F56" s="12" t="n">
        <v>101</v>
      </c>
      <c r="G56" s="11" t="str">
        <f aca="false">IF(INDEX(選手一覧!$F$7:$F$2738,$F56)="","",INDEX(選手一覧!$F$7:$F$2738,$F56))</f>
        <v/>
      </c>
      <c r="H56" s="12" t="str">
        <f aca="false">IF(INDEX(選手一覧!$G$7:$G$2738,$F56)="","",INDEX(選手一覧!$G$7:$G$2738,$F56))</f>
        <v/>
      </c>
      <c r="I56" s="11" t="n">
        <f aca="false">IF(INDEX(選手一覧!$H$7:$H$2738,$F56)="","",INDEX(選手一覧!$H$7:$H$2738,$F56))</f>
        <v>0.00271296296296296</v>
      </c>
      <c r="J56" s="12" t="n">
        <f aca="false">IF(INDEX(選手一覧!$I$7:$I$2738,$F56)="","",INDEX(選手一覧!$I$7:$I$2738,$F56))</f>
        <v>39</v>
      </c>
    </row>
    <row r="57" customFormat="false" ht="15" hidden="false" customHeight="false" outlineLevel="0" collapsed="false">
      <c r="A57" s="12" t="n">
        <v>53</v>
      </c>
      <c r="B57" s="10" t="s">
        <v>248</v>
      </c>
      <c r="C57" s="10" t="s">
        <v>109</v>
      </c>
      <c r="D57" s="11" t="n">
        <v>0.0101015046296296</v>
      </c>
      <c r="E57" s="18" t="n">
        <f aca="false">ROUND((D57-$D$5)*86400,2)</f>
        <v>83.03</v>
      </c>
      <c r="F57" s="12" t="n">
        <v>134</v>
      </c>
      <c r="G57" s="11" t="str">
        <f aca="false">IF(INDEX(選手一覧!$F$7:$F$2738,$F57)="","",INDEX(選手一覧!$F$7:$F$2738,$F57))</f>
        <v/>
      </c>
      <c r="H57" s="12" t="str">
        <f aca="false">IF(INDEX(選手一覧!$G$7:$G$2738,$F57)="","",INDEX(選手一覧!$G$7:$G$2738,$F57))</f>
        <v/>
      </c>
      <c r="I57" s="11" t="n">
        <f aca="false">IF(INDEX(選手一覧!$H$7:$H$2738,$F57)="","",INDEX(選手一覧!$H$7:$H$2738,$F57))</f>
        <v>0.00281412037037037</v>
      </c>
      <c r="J57" s="12" t="n">
        <f aca="false">IF(INDEX(選手一覧!$I$7:$I$2738,$F57)="","",INDEX(選手一覧!$I$7:$I$2738,$F57))</f>
        <v>340</v>
      </c>
    </row>
    <row r="58" customFormat="false" ht="15" hidden="false" customHeight="false" outlineLevel="0" collapsed="false">
      <c r="A58" s="12" t="n">
        <v>54</v>
      </c>
      <c r="B58" s="10" t="s">
        <v>252</v>
      </c>
      <c r="C58" s="10" t="s">
        <v>242</v>
      </c>
      <c r="D58" s="11" t="n">
        <v>0.0101061342592593</v>
      </c>
      <c r="E58" s="18" t="n">
        <f aca="false">ROUND((D58-$D$5)*86400,2)</f>
        <v>83.43</v>
      </c>
      <c r="F58" s="12" t="n">
        <v>137</v>
      </c>
      <c r="G58" s="11" t="str">
        <f aca="false">IF(INDEX(選手一覧!$F$7:$F$2738,$F58)="","",INDEX(選手一覧!$F$7:$F$2738,$F58))</f>
        <v/>
      </c>
      <c r="H58" s="12" t="str">
        <f aca="false">IF(INDEX(選手一覧!$G$7:$G$2738,$F58)="","",INDEX(選手一覧!$G$7:$G$2738,$F58))</f>
        <v/>
      </c>
      <c r="I58" s="11" t="n">
        <f aca="false">IF(INDEX(選手一覧!$H$7:$H$2738,$F58)="","",INDEX(選手一覧!$H$7:$H$2738,$F58))</f>
        <v>0.00276990740740741</v>
      </c>
      <c r="J58" s="12" t="n">
        <f aca="false">IF(INDEX(選手一覧!$I$7:$I$2738,$F58)="","",INDEX(選手一覧!$I$7:$I$2738,$F58))</f>
        <v>161</v>
      </c>
    </row>
    <row r="59" customFormat="false" ht="15" hidden="false" customHeight="false" outlineLevel="0" collapsed="false">
      <c r="A59" s="12" t="n">
        <v>55</v>
      </c>
      <c r="B59" s="10" t="s">
        <v>256</v>
      </c>
      <c r="C59" s="10" t="s">
        <v>257</v>
      </c>
      <c r="D59" s="11" t="n">
        <v>0.01010625</v>
      </c>
      <c r="E59" s="18" t="n">
        <f aca="false">ROUND((D59-$D$5)*86400,2)</f>
        <v>83.44</v>
      </c>
      <c r="F59" s="12" t="n">
        <v>140</v>
      </c>
      <c r="G59" s="11" t="str">
        <f aca="false">IF(INDEX(選手一覧!$F$7:$F$2738,$F59)="","",INDEX(選手一覧!$F$7:$F$2738,$F59))</f>
        <v/>
      </c>
      <c r="H59" s="12" t="str">
        <f aca="false">IF(INDEX(選手一覧!$G$7:$G$2738,$F59)="","",INDEX(選手一覧!$G$7:$G$2738,$F59))</f>
        <v/>
      </c>
      <c r="I59" s="11" t="n">
        <f aca="false">IF(INDEX(選手一覧!$H$7:$H$2738,$F59)="","",INDEX(選手一覧!$H$7:$H$2738,$F59))</f>
        <v>0.00283935185185185</v>
      </c>
      <c r="J59" s="12" t="n">
        <f aca="false">IF(INDEX(選手一覧!$I$7:$I$2738,$F59)="","",INDEX(選手一覧!$I$7:$I$2738,$F59))</f>
        <v>492</v>
      </c>
    </row>
    <row r="60" customFormat="false" ht="15" hidden="false" customHeight="false" outlineLevel="0" collapsed="false">
      <c r="A60" s="12" t="n">
        <v>56</v>
      </c>
      <c r="B60" s="10" t="s">
        <v>260</v>
      </c>
      <c r="C60" s="10" t="s">
        <v>261</v>
      </c>
      <c r="D60" s="11" t="n">
        <v>0.0101087962962963</v>
      </c>
      <c r="E60" s="18" t="n">
        <f aca="false">ROUND((D60-$D$5)*86400,2)</f>
        <v>83.66</v>
      </c>
      <c r="F60" s="12" t="n">
        <v>142</v>
      </c>
      <c r="G60" s="11" t="str">
        <f aca="false">IF(INDEX(選手一覧!$F$7:$F$2738,$F60)="","",INDEX(選手一覧!$F$7:$F$2738,$F60))</f>
        <v/>
      </c>
      <c r="H60" s="12" t="str">
        <f aca="false">IF(INDEX(選手一覧!$G$7:$G$2738,$F60)="","",INDEX(選手一覧!$G$7:$G$2738,$F60))</f>
        <v/>
      </c>
      <c r="I60" s="11" t="str">
        <f aca="false">IF(INDEX(選手一覧!$H$7:$H$2738,$F60)="","",INDEX(選手一覧!$H$7:$H$2738,$F60))</f>
        <v/>
      </c>
      <c r="J60" s="12" t="str">
        <f aca="false">IF(INDEX(選手一覧!$I$7:$I$2738,$F60)="","",INDEX(選手一覧!$I$7:$I$2738,$F60))</f>
        <v/>
      </c>
    </row>
    <row r="61" customFormat="false" ht="15" hidden="false" customHeight="false" outlineLevel="0" collapsed="false">
      <c r="A61" s="12" t="n">
        <v>57</v>
      </c>
      <c r="B61" s="10" t="s">
        <v>265</v>
      </c>
      <c r="C61" s="10" t="s">
        <v>124</v>
      </c>
      <c r="D61" s="11" t="n">
        <v>0.0101109953703704</v>
      </c>
      <c r="E61" s="18" t="n">
        <f aca="false">ROUND((D61-$D$5)*86400,2)</f>
        <v>83.85</v>
      </c>
      <c r="F61" s="12" t="n">
        <v>145</v>
      </c>
      <c r="G61" s="11" t="str">
        <f aca="false">IF(INDEX(選手一覧!$F$7:$F$2738,$F61)="","",INDEX(選手一覧!$F$7:$F$2738,$F61))</f>
        <v/>
      </c>
      <c r="H61" s="12" t="str">
        <f aca="false">IF(INDEX(選手一覧!$G$7:$G$2738,$F61)="","",INDEX(選手一覧!$G$7:$G$2738,$F61))</f>
        <v/>
      </c>
      <c r="I61" s="11" t="str">
        <f aca="false">IF(INDEX(選手一覧!$H$7:$H$2738,$F61)="","",INDEX(選手一覧!$H$7:$H$2738,$F61))</f>
        <v/>
      </c>
      <c r="J61" s="12" t="str">
        <f aca="false">IF(INDEX(選手一覧!$I$7:$I$2738,$F61)="","",INDEX(選手一覧!$I$7:$I$2738,$F61))</f>
        <v/>
      </c>
    </row>
    <row r="62" customFormat="false" ht="15" hidden="false" customHeight="false" outlineLevel="0" collapsed="false">
      <c r="A62" s="12" t="n">
        <v>58</v>
      </c>
      <c r="B62" s="10" t="s">
        <v>94</v>
      </c>
      <c r="C62" s="10" t="s">
        <v>95</v>
      </c>
      <c r="D62" s="11" t="n">
        <v>0.0101146990740741</v>
      </c>
      <c r="E62" s="18" t="n">
        <f aca="false">ROUND((D62-$D$5)*86400,2)</f>
        <v>84.17</v>
      </c>
      <c r="F62" s="12" t="n">
        <v>41</v>
      </c>
      <c r="G62" s="11" t="str">
        <f aca="false">IF(INDEX(選手一覧!$F$7:$F$2738,$F62)="","",INDEX(選手一覧!$F$7:$F$2738,$F62))</f>
        <v/>
      </c>
      <c r="H62" s="12" t="str">
        <f aca="false">IF(INDEX(選手一覧!$G$7:$G$2738,$F62)="","",INDEX(選手一覧!$G$7:$G$2738,$F62))</f>
        <v/>
      </c>
      <c r="I62" s="11" t="n">
        <f aca="false">IF(INDEX(選手一覧!$H$7:$H$2738,$F62)="","",INDEX(選手一覧!$H$7:$H$2738,$F62))</f>
        <v>0.00268472222222222</v>
      </c>
      <c r="J62" s="12" t="n">
        <f aca="false">IF(INDEX(選手一覧!$I$7:$I$2738,$F62)="","",INDEX(選手一覧!$I$7:$I$2738,$F62))</f>
        <v>16</v>
      </c>
    </row>
    <row r="63" customFormat="false" ht="15" hidden="false" customHeight="false" outlineLevel="0" collapsed="false">
      <c r="A63" s="12" t="n">
        <v>59</v>
      </c>
      <c r="B63" s="10" t="s">
        <v>205</v>
      </c>
      <c r="C63" s="10" t="s">
        <v>206</v>
      </c>
      <c r="D63" s="11" t="n">
        <v>0.010127662037037</v>
      </c>
      <c r="E63" s="18" t="n">
        <f aca="false">ROUND((D63-$D$5)*86400,2)</f>
        <v>85.29</v>
      </c>
      <c r="F63" s="12" t="n">
        <v>107</v>
      </c>
      <c r="G63" s="11" t="str">
        <f aca="false">IF(INDEX(選手一覧!$F$7:$F$2738,$F63)="","",INDEX(選手一覧!$F$7:$F$2738,$F63))</f>
        <v/>
      </c>
      <c r="H63" s="12" t="str">
        <f aca="false">IF(INDEX(選手一覧!$G$7:$G$2738,$F63)="","",INDEX(選手一覧!$G$7:$G$2738,$F63))</f>
        <v/>
      </c>
      <c r="I63" s="11" t="n">
        <f aca="false">IF(INDEX(選手一覧!$H$7:$H$2738,$F63)="","",INDEX(選手一覧!$H$7:$H$2738,$F63))</f>
        <v>0.00271319444444444</v>
      </c>
      <c r="J63" s="12" t="n">
        <f aca="false">IF(INDEX(選手一覧!$I$7:$I$2738,$F63)="","",INDEX(選手一覧!$I$7:$I$2738,$F63))</f>
        <v>41</v>
      </c>
    </row>
    <row r="64" customFormat="false" ht="15" hidden="false" customHeight="false" outlineLevel="0" collapsed="false">
      <c r="A64" s="12" t="n">
        <v>60</v>
      </c>
      <c r="B64" s="10" t="s">
        <v>272</v>
      </c>
      <c r="C64" s="10" t="s">
        <v>171</v>
      </c>
      <c r="D64" s="11" t="n">
        <v>0.0101305555555556</v>
      </c>
      <c r="E64" s="18" t="n">
        <f aca="false">ROUND((D64-$D$5)*86400,2)</f>
        <v>85.54</v>
      </c>
      <c r="F64" s="12" t="n">
        <v>150</v>
      </c>
      <c r="G64" s="11" t="str">
        <f aca="false">IF(INDEX(選手一覧!$F$7:$F$2738,$F64)="","",INDEX(選手一覧!$F$7:$F$2738,$F64))</f>
        <v/>
      </c>
      <c r="H64" s="12" t="str">
        <f aca="false">IF(INDEX(選手一覧!$G$7:$G$2738,$F64)="","",INDEX(選手一覧!$G$7:$G$2738,$F64))</f>
        <v/>
      </c>
      <c r="I64" s="11" t="n">
        <f aca="false">IF(INDEX(選手一覧!$H$7:$H$2738,$F64)="","",INDEX(選手一覧!$H$7:$H$2738,$F64))</f>
        <v>0.00274467592592593</v>
      </c>
      <c r="J64" s="12" t="n">
        <f aca="false">IF(INDEX(選手一覧!$I$7:$I$2738,$F64)="","",INDEX(選手一覧!$I$7:$I$2738,$F64))</f>
        <v>88</v>
      </c>
    </row>
    <row r="65" customFormat="false" ht="15" hidden="false" customHeight="false" outlineLevel="0" collapsed="false">
      <c r="A65" s="12" t="n">
        <v>61</v>
      </c>
      <c r="B65" s="10" t="s">
        <v>276</v>
      </c>
      <c r="C65" s="10" t="s">
        <v>277</v>
      </c>
      <c r="D65" s="11" t="n">
        <v>0.0101342592592593</v>
      </c>
      <c r="E65" s="18" t="n">
        <f aca="false">ROUND((D65-$D$5)*86400,2)</f>
        <v>85.86</v>
      </c>
      <c r="F65" s="12" t="n">
        <v>154</v>
      </c>
      <c r="G65" s="11" t="str">
        <f aca="false">IF(INDEX(選手一覧!$F$7:$F$2738,$F65)="","",INDEX(選手一覧!$F$7:$F$2738,$F65))</f>
        <v/>
      </c>
      <c r="H65" s="12" t="str">
        <f aca="false">IF(INDEX(選手一覧!$G$7:$G$2738,$F65)="","",INDEX(選手一覧!$G$7:$G$2738,$F65))</f>
        <v/>
      </c>
      <c r="I65" s="11" t="str">
        <f aca="false">IF(INDEX(選手一覧!$H$7:$H$2738,$F65)="","",INDEX(選手一覧!$H$7:$H$2738,$F65))</f>
        <v/>
      </c>
      <c r="J65" s="12" t="str">
        <f aca="false">IF(INDEX(選手一覧!$I$7:$I$2738,$F65)="","",INDEX(選手一覧!$I$7:$I$2738,$F65))</f>
        <v/>
      </c>
    </row>
    <row r="66" customFormat="false" ht="15" hidden="false" customHeight="false" outlineLevel="0" collapsed="false">
      <c r="A66" s="12" t="n">
        <v>62</v>
      </c>
      <c r="B66" s="10" t="s">
        <v>280</v>
      </c>
      <c r="C66" s="10" t="s">
        <v>226</v>
      </c>
      <c r="D66" s="11" t="n">
        <v>0.0101347222222222</v>
      </c>
      <c r="E66" s="18" t="n">
        <f aca="false">ROUND((D66-$D$5)*86400,2)</f>
        <v>85.9</v>
      </c>
      <c r="F66" s="12" t="n">
        <v>156</v>
      </c>
      <c r="G66" s="11" t="str">
        <f aca="false">IF(INDEX(選手一覧!$F$7:$F$2738,$F66)="","",INDEX(選手一覧!$F$7:$F$2738,$F66))</f>
        <v/>
      </c>
      <c r="H66" s="12" t="str">
        <f aca="false">IF(INDEX(選手一覧!$G$7:$G$2738,$F66)="","",INDEX(選手一覧!$G$7:$G$2738,$F66))</f>
        <v/>
      </c>
      <c r="I66" s="11" t="n">
        <f aca="false">IF(INDEX(選手一覧!$H$7:$H$2738,$F66)="","",INDEX(選手一覧!$H$7:$H$2738,$F66))</f>
        <v>0.00273715277777778</v>
      </c>
      <c r="J66" s="12" t="n">
        <f aca="false">IF(INDEX(選手一覧!$I$7:$I$2738,$F66)="","",INDEX(選手一覧!$I$7:$I$2738,$F66))</f>
        <v>80</v>
      </c>
    </row>
    <row r="67" customFormat="false" ht="15" hidden="false" customHeight="false" outlineLevel="0" collapsed="false">
      <c r="A67" s="12" t="n">
        <v>63</v>
      </c>
      <c r="B67" s="10" t="s">
        <v>283</v>
      </c>
      <c r="C67" s="10" t="s">
        <v>179</v>
      </c>
      <c r="D67" s="11" t="n">
        <v>0.0101351851851852</v>
      </c>
      <c r="E67" s="18" t="n">
        <f aca="false">ROUND((D67-$D$5)*86400,2)</f>
        <v>85.94</v>
      </c>
      <c r="F67" s="12" t="n">
        <v>158</v>
      </c>
      <c r="G67" s="11" t="str">
        <f aca="false">IF(INDEX(選手一覧!$F$7:$F$2738,$F67)="","",INDEX(選手一覧!$F$7:$F$2738,$F67))</f>
        <v/>
      </c>
      <c r="H67" s="12" t="str">
        <f aca="false">IF(INDEX(選手一覧!$G$7:$G$2738,$F67)="","",INDEX(選手一覧!$G$7:$G$2738,$F67))</f>
        <v/>
      </c>
      <c r="I67" s="11" t="n">
        <f aca="false">IF(INDEX(選手一覧!$H$7:$H$2738,$F67)="","",INDEX(選手一覧!$H$7:$H$2738,$F67))</f>
        <v>0.0028431712962963</v>
      </c>
      <c r="J67" s="12" t="n">
        <f aca="false">IF(INDEX(選手一覧!$I$7:$I$2738,$F67)="","",INDEX(選手一覧!$I$7:$I$2738,$F67))</f>
        <v>517</v>
      </c>
    </row>
    <row r="68" customFormat="false" ht="15" hidden="false" customHeight="false" outlineLevel="0" collapsed="false">
      <c r="A68" s="12" t="n">
        <v>64</v>
      </c>
      <c r="B68" s="10" t="s">
        <v>284</v>
      </c>
      <c r="C68" s="10" t="s">
        <v>166</v>
      </c>
      <c r="D68" s="11" t="n">
        <v>0.0101362268518519</v>
      </c>
      <c r="E68" s="18" t="n">
        <f aca="false">ROUND((D68-$D$5)*86400,2)</f>
        <v>86.03</v>
      </c>
      <c r="F68" s="12" t="n">
        <v>159</v>
      </c>
      <c r="G68" s="11" t="n">
        <f aca="false">IF(INDEX(選手一覧!$F$7:$F$2738,$F68)="","",INDEX(選手一覧!$F$7:$F$2738,$F68))</f>
        <v>0.00668483796296296</v>
      </c>
      <c r="H68" s="12" t="n">
        <f aca="false">IF(INDEX(選手一覧!$G$7:$G$2738,$F68)="","",INDEX(選手一覧!$G$7:$G$2738,$F68))</f>
        <v>102</v>
      </c>
      <c r="I68" s="11" t="n">
        <f aca="false">IF(INDEX(選手一覧!$H$7:$H$2738,$F68)="","",INDEX(選手一覧!$H$7:$H$2738,$F68))</f>
        <v>0.0028724537037037</v>
      </c>
      <c r="J68" s="12" t="n">
        <f aca="false">IF(INDEX(選手一覧!$I$7:$I$2738,$F68)="","",INDEX(選手一覧!$I$7:$I$2738,$F68))</f>
        <v>718</v>
      </c>
    </row>
    <row r="69" customFormat="false" ht="15" hidden="false" customHeight="false" outlineLevel="0" collapsed="false">
      <c r="A69" s="12" t="n">
        <v>65</v>
      </c>
      <c r="B69" s="10" t="s">
        <v>104</v>
      </c>
      <c r="C69" s="10" t="s">
        <v>105</v>
      </c>
      <c r="D69" s="11" t="n">
        <v>0.0101371527777778</v>
      </c>
      <c r="E69" s="18" t="n">
        <f aca="false">ROUND((D69-$D$5)*86400,2)</f>
        <v>86.11</v>
      </c>
      <c r="F69" s="12" t="n">
        <v>47</v>
      </c>
      <c r="G69" s="11" t="str">
        <f aca="false">IF(INDEX(選手一覧!$F$7:$F$2738,$F69)="","",INDEX(選手一覧!$F$7:$F$2738,$F69))</f>
        <v/>
      </c>
      <c r="H69" s="12" t="str">
        <f aca="false">IF(INDEX(選手一覧!$G$7:$G$2738,$F69)="","",INDEX(選手一覧!$G$7:$G$2738,$F69))</f>
        <v/>
      </c>
      <c r="I69" s="11" t="n">
        <f aca="false">IF(INDEX(選手一覧!$H$7:$H$2738,$F69)="","",INDEX(選手一覧!$H$7:$H$2738,$F69))</f>
        <v>0.00269143518518519</v>
      </c>
      <c r="J69" s="12" t="n">
        <f aca="false">IF(INDEX(選手一覧!$I$7:$I$2738,$F69)="","",INDEX(選手一覧!$I$7:$I$2738,$F69))</f>
        <v>19</v>
      </c>
    </row>
    <row r="70" customFormat="false" ht="15" hidden="false" customHeight="false" outlineLevel="0" collapsed="false">
      <c r="A70" s="12" t="n">
        <v>66</v>
      </c>
      <c r="B70" s="10" t="s">
        <v>227</v>
      </c>
      <c r="C70" s="10" t="s">
        <v>134</v>
      </c>
      <c r="D70" s="11" t="n">
        <v>0.0101373842592593</v>
      </c>
      <c r="E70" s="18" t="n">
        <f aca="false">ROUND((D70-$D$5)*86400,2)</f>
        <v>86.13</v>
      </c>
      <c r="F70" s="12" t="n">
        <v>120</v>
      </c>
      <c r="G70" s="11" t="str">
        <f aca="false">IF(INDEX(選手一覧!$F$7:$F$2738,$F70)="","",INDEX(選手一覧!$F$7:$F$2738,$F70))</f>
        <v/>
      </c>
      <c r="H70" s="12" t="str">
        <f aca="false">IF(INDEX(選手一覧!$G$7:$G$2738,$F70)="","",INDEX(選手一覧!$G$7:$G$2738,$F70))</f>
        <v/>
      </c>
      <c r="I70" s="11" t="n">
        <f aca="false">IF(INDEX(選手一覧!$H$7:$H$2738,$F70)="","",INDEX(選手一覧!$H$7:$H$2738,$F70))</f>
        <v>0.00271736111111111</v>
      </c>
      <c r="J70" s="12" t="n">
        <f aca="false">IF(INDEX(選手一覧!$I$7:$I$2738,$F70)="","",INDEX(選手一覧!$I$7:$I$2738,$F70))</f>
        <v>45</v>
      </c>
    </row>
    <row r="71" customFormat="false" ht="15" hidden="false" customHeight="false" outlineLevel="0" collapsed="false">
      <c r="A71" s="12" t="n">
        <v>67</v>
      </c>
      <c r="B71" s="10" t="s">
        <v>48</v>
      </c>
      <c r="C71" s="10" t="s">
        <v>49</v>
      </c>
      <c r="D71" s="11" t="n">
        <v>0.0101377314814815</v>
      </c>
      <c r="E71" s="18" t="n">
        <f aca="false">ROUND((D71-$D$5)*86400,2)</f>
        <v>86.16</v>
      </c>
      <c r="F71" s="12" t="n">
        <v>15</v>
      </c>
      <c r="G71" s="11" t="n">
        <f aca="false">IF(INDEX(選手一覧!$F$7:$F$2738,$F71)="","",INDEX(選手一覧!$F$7:$F$2738,$F71))</f>
        <v>0.00634039351851852</v>
      </c>
      <c r="H71" s="12" t="n">
        <f aca="false">IF(INDEX(選手一覧!$G$7:$G$2738,$F71)="","",INDEX(選手一覧!$G$7:$G$2738,$F71))</f>
        <v>7</v>
      </c>
      <c r="I71" s="11" t="n">
        <f aca="false">IF(INDEX(選手一覧!$H$7:$H$2738,$F71)="","",INDEX(選手一覧!$H$7:$H$2738,$F71))</f>
        <v>0.0028818287037037</v>
      </c>
      <c r="J71" s="12" t="n">
        <f aca="false">IF(INDEX(選手一覧!$I$7:$I$2738,$F71)="","",INDEX(選手一覧!$I$7:$I$2738,$F71))</f>
        <v>787</v>
      </c>
    </row>
    <row r="72" customFormat="false" ht="15" hidden="false" customHeight="false" outlineLevel="0" collapsed="false">
      <c r="A72" s="12" t="n">
        <v>68</v>
      </c>
      <c r="B72" s="10" t="s">
        <v>297</v>
      </c>
      <c r="C72" s="10" t="s">
        <v>298</v>
      </c>
      <c r="D72" s="11" t="n">
        <v>0.0101380787037037</v>
      </c>
      <c r="E72" s="18" t="n">
        <f aca="false">ROUND((D72-$D$5)*86400,2)</f>
        <v>86.19</v>
      </c>
      <c r="F72" s="12" t="n">
        <v>168</v>
      </c>
      <c r="G72" s="11" t="str">
        <f aca="false">IF(INDEX(選手一覧!$F$7:$F$2738,$F72)="","",INDEX(選手一覧!$F$7:$F$2738,$F72))</f>
        <v/>
      </c>
      <c r="H72" s="12" t="str">
        <f aca="false">IF(INDEX(選手一覧!$G$7:$G$2738,$F72)="","",INDEX(選手一覧!$G$7:$G$2738,$F72))</f>
        <v/>
      </c>
      <c r="I72" s="11" t="n">
        <f aca="false">IF(INDEX(選手一覧!$H$7:$H$2738,$F72)="","",INDEX(選手一覧!$H$7:$H$2738,$F72))</f>
        <v>0.0027568287037037</v>
      </c>
      <c r="J72" s="12" t="n">
        <f aca="false">IF(INDEX(選手一覧!$I$7:$I$2738,$F72)="","",INDEX(選手一覧!$I$7:$I$2738,$F72))</f>
        <v>127</v>
      </c>
    </row>
    <row r="73" customFormat="false" ht="15" hidden="false" customHeight="false" outlineLevel="0" collapsed="false">
      <c r="A73" s="12" t="n">
        <v>69</v>
      </c>
      <c r="B73" s="10" t="s">
        <v>303</v>
      </c>
      <c r="C73" s="10" t="s">
        <v>45</v>
      </c>
      <c r="D73" s="11" t="n">
        <v>0.0101414351851852</v>
      </c>
      <c r="E73" s="18" t="n">
        <f aca="false">ROUND((D73-$D$5)*86400,2)</f>
        <v>86.48</v>
      </c>
      <c r="F73" s="12" t="n">
        <v>171</v>
      </c>
      <c r="G73" s="11" t="str">
        <f aca="false">IF(INDEX(選手一覧!$F$7:$F$2738,$F73)="","",INDEX(選手一覧!$F$7:$F$2738,$F73))</f>
        <v/>
      </c>
      <c r="H73" s="12" t="str">
        <f aca="false">IF(INDEX(選手一覧!$G$7:$G$2738,$F73)="","",INDEX(選手一覧!$G$7:$G$2738,$F73))</f>
        <v/>
      </c>
      <c r="I73" s="11" t="n">
        <f aca="false">IF(INDEX(選手一覧!$H$7:$H$2738,$F73)="","",INDEX(選手一覧!$H$7:$H$2738,$F73))</f>
        <v>0.00285590277777778</v>
      </c>
      <c r="J73" s="12" t="n">
        <f aca="false">IF(INDEX(選手一覧!$I$7:$I$2738,$F73)="","",INDEX(選手一覧!$I$7:$I$2738,$F73))</f>
        <v>607</v>
      </c>
    </row>
    <row r="74" customFormat="false" ht="15" hidden="false" customHeight="false" outlineLevel="0" collapsed="false">
      <c r="A74" s="12" t="n">
        <v>70</v>
      </c>
      <c r="B74" s="10" t="s">
        <v>305</v>
      </c>
      <c r="C74" s="10" t="s">
        <v>103</v>
      </c>
      <c r="D74" s="11" t="n">
        <v>0.0101446759259259</v>
      </c>
      <c r="E74" s="18" t="n">
        <f aca="false">ROUND((D74-$D$5)*86400,2)</f>
        <v>86.76</v>
      </c>
      <c r="F74" s="12" t="n">
        <v>173</v>
      </c>
      <c r="G74" s="11" t="str">
        <f aca="false">IF(INDEX(選手一覧!$F$7:$F$2738,$F74)="","",INDEX(選手一覧!$F$7:$F$2738,$F74))</f>
        <v/>
      </c>
      <c r="H74" s="12" t="str">
        <f aca="false">IF(INDEX(選手一覧!$G$7:$G$2738,$F74)="","",INDEX(選手一覧!$G$7:$G$2738,$F74))</f>
        <v/>
      </c>
      <c r="I74" s="11" t="str">
        <f aca="false">IF(INDEX(選手一覧!$H$7:$H$2738,$F74)="","",INDEX(選手一覧!$H$7:$H$2738,$F74))</f>
        <v/>
      </c>
      <c r="J74" s="12" t="str">
        <f aca="false">IF(INDEX(選手一覧!$I$7:$I$2738,$F74)="","",INDEX(選手一覧!$I$7:$I$2738,$F74))</f>
        <v/>
      </c>
    </row>
    <row r="75" customFormat="false" ht="15" hidden="false" customHeight="false" outlineLevel="0" collapsed="false">
      <c r="A75" s="12" t="n">
        <v>71</v>
      </c>
      <c r="B75" s="10" t="s">
        <v>306</v>
      </c>
      <c r="C75" s="10" t="s">
        <v>307</v>
      </c>
      <c r="D75" s="11" t="n">
        <v>0.0101478009259259</v>
      </c>
      <c r="E75" s="18" t="n">
        <f aca="false">ROUND((D75-$D$5)*86400,2)</f>
        <v>87.03</v>
      </c>
      <c r="F75" s="12" t="n">
        <v>174</v>
      </c>
      <c r="G75" s="11" t="n">
        <f aca="false">IF(INDEX(選手一覧!$F$7:$F$2738,$F75)="","",INDEX(選手一覧!$F$7:$F$2738,$F75))</f>
        <v>0.00698865740740741</v>
      </c>
      <c r="H75" s="12" t="n">
        <f aca="false">IF(INDEX(選手一覧!$G$7:$G$2738,$F75)="","",INDEX(選手一覧!$G$7:$G$2738,$F75))</f>
        <v>323</v>
      </c>
      <c r="I75" s="11" t="n">
        <f aca="false">IF(INDEX(選手一覧!$H$7:$H$2738,$F75)="","",INDEX(選手一覧!$H$7:$H$2738,$F75))</f>
        <v>0.00275729166666667</v>
      </c>
      <c r="J75" s="12" t="n">
        <f aca="false">IF(INDEX(選手一覧!$I$7:$I$2738,$F75)="","",INDEX(選手一覧!$I$7:$I$2738,$F75))</f>
        <v>128</v>
      </c>
    </row>
    <row r="76" customFormat="false" ht="15" hidden="false" customHeight="false" outlineLevel="0" collapsed="false">
      <c r="A76" s="12" t="n">
        <v>72</v>
      </c>
      <c r="B76" s="10" t="s">
        <v>311</v>
      </c>
      <c r="C76" s="10" t="s">
        <v>312</v>
      </c>
      <c r="D76" s="11" t="n">
        <v>0.0101538194444444</v>
      </c>
      <c r="E76" s="18" t="n">
        <f aca="false">ROUND((D76-$D$5)*86400,2)</f>
        <v>87.55</v>
      </c>
      <c r="F76" s="12" t="n">
        <v>177</v>
      </c>
      <c r="G76" s="11" t="str">
        <f aca="false">IF(INDEX(選手一覧!$F$7:$F$2738,$F76)="","",INDEX(選手一覧!$F$7:$F$2738,$F76))</f>
        <v/>
      </c>
      <c r="H76" s="12" t="str">
        <f aca="false">IF(INDEX(選手一覧!$G$7:$G$2738,$F76)="","",INDEX(選手一覧!$G$7:$G$2738,$F76))</f>
        <v/>
      </c>
      <c r="I76" s="11" t="n">
        <f aca="false">IF(INDEX(選手一覧!$H$7:$H$2738,$F76)="","",INDEX(選手一覧!$H$7:$H$2738,$F76))</f>
        <v>0.00274097222222222</v>
      </c>
      <c r="J76" s="12" t="n">
        <f aca="false">IF(INDEX(選手一覧!$I$7:$I$2738,$F76)="","",INDEX(選手一覧!$I$7:$I$2738,$F76))</f>
        <v>86</v>
      </c>
    </row>
    <row r="77" customFormat="false" ht="15" hidden="false" customHeight="false" outlineLevel="0" collapsed="false">
      <c r="A77" s="12" t="n">
        <v>73</v>
      </c>
      <c r="B77" s="10" t="s">
        <v>319</v>
      </c>
      <c r="C77" s="10" t="s">
        <v>105</v>
      </c>
      <c r="D77" s="11" t="n">
        <v>0.0101539351851852</v>
      </c>
      <c r="E77" s="18" t="n">
        <f aca="false">ROUND((D77-$D$5)*86400,2)</f>
        <v>87.56</v>
      </c>
      <c r="F77" s="12" t="n">
        <v>182</v>
      </c>
      <c r="G77" s="11" t="str">
        <f aca="false">IF(INDEX(選手一覧!$F$7:$F$2738,$F77)="","",INDEX(選手一覧!$F$7:$F$2738,$F77))</f>
        <v/>
      </c>
      <c r="H77" s="12" t="str">
        <f aca="false">IF(INDEX(選手一覧!$G$7:$G$2738,$F77)="","",INDEX(選手一覧!$G$7:$G$2738,$F77))</f>
        <v/>
      </c>
      <c r="I77" s="11" t="str">
        <f aca="false">IF(INDEX(選手一覧!$H$7:$H$2738,$F77)="","",INDEX(選手一覧!$H$7:$H$2738,$F77))</f>
        <v/>
      </c>
      <c r="J77" s="12" t="str">
        <f aca="false">IF(INDEX(選手一覧!$I$7:$I$2738,$F77)="","",INDEX(選手一覧!$I$7:$I$2738,$F77))</f>
        <v/>
      </c>
    </row>
    <row r="78" customFormat="false" ht="15" hidden="false" customHeight="false" outlineLevel="0" collapsed="false">
      <c r="A78" s="12" t="n">
        <v>74</v>
      </c>
      <c r="B78" s="10" t="s">
        <v>151</v>
      </c>
      <c r="C78" s="10" t="s">
        <v>105</v>
      </c>
      <c r="D78" s="11" t="n">
        <v>0.0101585648148148</v>
      </c>
      <c r="E78" s="18" t="n">
        <f aca="false">ROUND((D78-$D$5)*86400,2)</f>
        <v>87.96</v>
      </c>
      <c r="F78" s="12" t="n">
        <v>73</v>
      </c>
      <c r="G78" s="11" t="n">
        <f aca="false">IF(INDEX(選手一覧!$F$7:$F$2738,$F78)="","",INDEX(選手一覧!$F$7:$F$2738,$F78))</f>
        <v>0.00647060185185185</v>
      </c>
      <c r="H78" s="12" t="n">
        <f aca="false">IF(INDEX(選手一覧!$G$7:$G$2738,$F78)="","",INDEX(選手一覧!$G$7:$G$2738,$F78))</f>
        <v>29</v>
      </c>
      <c r="I78" s="11" t="str">
        <f aca="false">IF(INDEX(選手一覧!$H$7:$H$2738,$F78)="","",INDEX(選手一覧!$H$7:$H$2738,$F78))</f>
        <v/>
      </c>
      <c r="J78" s="12" t="str">
        <f aca="false">IF(INDEX(選手一覧!$I$7:$I$2738,$F78)="","",INDEX(選手一覧!$I$7:$I$2738,$F78))</f>
        <v/>
      </c>
    </row>
    <row r="79" customFormat="false" ht="15" hidden="false" customHeight="false" outlineLevel="0" collapsed="false">
      <c r="A79" s="12" t="n">
        <v>75</v>
      </c>
      <c r="B79" s="10" t="s">
        <v>165</v>
      </c>
      <c r="C79" s="10" t="s">
        <v>166</v>
      </c>
      <c r="D79" s="11" t="n">
        <v>0.010158912037037</v>
      </c>
      <c r="E79" s="18" t="n">
        <f aca="false">ROUND((D79-$D$5)*86400,2)</f>
        <v>87.99</v>
      </c>
      <c r="F79" s="12" t="n">
        <v>82</v>
      </c>
      <c r="G79" s="11" t="str">
        <f aca="false">IF(INDEX(選手一覧!$F$7:$F$2738,$F79)="","",INDEX(選手一覧!$F$7:$F$2738,$F79))</f>
        <v/>
      </c>
      <c r="H79" s="12" t="str">
        <f aca="false">IF(INDEX(選手一覧!$G$7:$G$2738,$F79)="","",INDEX(選手一覧!$G$7:$G$2738,$F79))</f>
        <v/>
      </c>
      <c r="I79" s="11" t="n">
        <f aca="false">IF(INDEX(選手一覧!$H$7:$H$2738,$F79)="","",INDEX(選手一覧!$H$7:$H$2738,$F79))</f>
        <v>0.00270787037037037</v>
      </c>
      <c r="J79" s="12" t="n">
        <f aca="false">IF(INDEX(選手一覧!$I$7:$I$2738,$F79)="","",INDEX(選手一覧!$I$7:$I$2738,$F79))</f>
        <v>32</v>
      </c>
    </row>
    <row r="80" customFormat="false" ht="15" hidden="false" customHeight="false" outlineLevel="0" collapsed="false">
      <c r="A80" s="12" t="n">
        <v>76</v>
      </c>
      <c r="B80" s="10" t="s">
        <v>321</v>
      </c>
      <c r="C80" s="10" t="s">
        <v>307</v>
      </c>
      <c r="D80" s="11" t="n">
        <v>0.010159837962963</v>
      </c>
      <c r="E80" s="18" t="n">
        <f aca="false">ROUND((D80-$D$5)*86400,2)</f>
        <v>88.07</v>
      </c>
      <c r="F80" s="12" t="n">
        <v>184</v>
      </c>
      <c r="G80" s="11" t="str">
        <f aca="false">IF(INDEX(選手一覧!$F$7:$F$2738,$F80)="","",INDEX(選手一覧!$F$7:$F$2738,$F80))</f>
        <v/>
      </c>
      <c r="H80" s="12" t="str">
        <f aca="false">IF(INDEX(選手一覧!$G$7:$G$2738,$F80)="","",INDEX(選手一覧!$G$7:$G$2738,$F80))</f>
        <v/>
      </c>
      <c r="I80" s="11" t="n">
        <f aca="false">IF(INDEX(選手一覧!$H$7:$H$2738,$F80)="","",INDEX(選手一覧!$H$7:$H$2738,$F80))</f>
        <v>0.00273576388888889</v>
      </c>
      <c r="J80" s="12" t="n">
        <f aca="false">IF(INDEX(選手一覧!$I$7:$I$2738,$F80)="","",INDEX(選手一覧!$I$7:$I$2738,$F80))</f>
        <v>75</v>
      </c>
    </row>
    <row r="81" customFormat="false" ht="15" hidden="false" customHeight="false" outlineLevel="0" collapsed="false">
      <c r="A81" s="12" t="n">
        <v>77</v>
      </c>
      <c r="B81" s="10" t="s">
        <v>327</v>
      </c>
      <c r="C81" s="10" t="s">
        <v>27</v>
      </c>
      <c r="D81" s="11" t="n">
        <v>0.0101636574074074</v>
      </c>
      <c r="E81" s="18" t="n">
        <f aca="false">ROUND((D81-$D$5)*86400,2)</f>
        <v>88.4</v>
      </c>
      <c r="F81" s="12" t="n">
        <v>188</v>
      </c>
      <c r="G81" s="11" t="n">
        <f aca="false">IF(INDEX(選手一覧!$F$7:$F$2738,$F81)="","",INDEX(選手一覧!$F$7:$F$2738,$F81))</f>
        <v>0.00668576388888889</v>
      </c>
      <c r="H81" s="12" t="n">
        <f aca="false">IF(INDEX(選手一覧!$G$7:$G$2738,$F81)="","",INDEX(選手一覧!$G$7:$G$2738,$F81))</f>
        <v>103</v>
      </c>
      <c r="I81" s="11" t="n">
        <f aca="false">IF(INDEX(選手一覧!$H$7:$H$2738,$F81)="","",INDEX(選手一覧!$H$7:$H$2738,$F81))</f>
        <v>0.00296979166666667</v>
      </c>
      <c r="J81" s="12" t="n">
        <f aca="false">IF(INDEX(選手一覧!$I$7:$I$2738,$F81)="","",INDEX(選手一覧!$I$7:$I$2738,$F81))</f>
        <v>1310</v>
      </c>
    </row>
    <row r="82" customFormat="false" ht="15" hidden="false" customHeight="false" outlineLevel="0" collapsed="false">
      <c r="A82" s="12" t="n">
        <v>78</v>
      </c>
      <c r="B82" s="10" t="s">
        <v>330</v>
      </c>
      <c r="C82" s="10" t="s">
        <v>29</v>
      </c>
      <c r="D82" s="11" t="n">
        <v>0.0101642361111111</v>
      </c>
      <c r="E82" s="18" t="n">
        <f aca="false">ROUND((D82-$D$5)*86400,2)</f>
        <v>88.45</v>
      </c>
      <c r="F82" s="12" t="n">
        <v>191</v>
      </c>
      <c r="G82" s="11" t="n">
        <f aca="false">IF(INDEX(選手一覧!$F$7:$F$2738,$F82)="","",INDEX(選手一覧!$F$7:$F$2738,$F82))</f>
        <v>0.00702662037037037</v>
      </c>
      <c r="H82" s="12" t="n">
        <f aca="false">IF(INDEX(選手一覧!$G$7:$G$2738,$F82)="","",INDEX(選手一覧!$G$7:$G$2738,$F82))</f>
        <v>360</v>
      </c>
      <c r="I82" s="11" t="n">
        <f aca="false">IF(INDEX(選手一覧!$H$7:$H$2738,$F82)="","",INDEX(選手一覧!$H$7:$H$2738,$F82))</f>
        <v>0.00284363425925926</v>
      </c>
      <c r="J82" s="12" t="n">
        <f aca="false">IF(INDEX(選手一覧!$I$7:$I$2738,$F82)="","",INDEX(選手一覧!$I$7:$I$2738,$F82))</f>
        <v>522</v>
      </c>
    </row>
    <row r="83" customFormat="false" ht="15" hidden="false" customHeight="false" outlineLevel="0" collapsed="false">
      <c r="A83" s="12" t="n">
        <v>79</v>
      </c>
      <c r="B83" s="10" t="s">
        <v>336</v>
      </c>
      <c r="C83" s="10" t="s">
        <v>43</v>
      </c>
      <c r="D83" s="11" t="n">
        <v>0.0101675925925926</v>
      </c>
      <c r="E83" s="18" t="n">
        <f aca="false">ROUND((D83-$D$5)*86400,2)</f>
        <v>88.74</v>
      </c>
      <c r="F83" s="12" t="n">
        <v>196</v>
      </c>
      <c r="G83" s="11" t="str">
        <f aca="false">IF(INDEX(選手一覧!$F$7:$F$2738,$F83)="","",INDEX(選手一覧!$F$7:$F$2738,$F83))</f>
        <v/>
      </c>
      <c r="H83" s="12" t="str">
        <f aca="false">IF(INDEX(選手一覧!$G$7:$G$2738,$F83)="","",INDEX(選手一覧!$G$7:$G$2738,$F83))</f>
        <v/>
      </c>
      <c r="I83" s="11" t="n">
        <f aca="false">IF(INDEX(選手一覧!$H$7:$H$2738,$F83)="","",INDEX(選手一覧!$H$7:$H$2738,$F83))</f>
        <v>0.00288171296296296</v>
      </c>
      <c r="J83" s="12" t="n">
        <f aca="false">IF(INDEX(選手一覧!$I$7:$I$2738,$F83)="","",INDEX(選手一覧!$I$7:$I$2738,$F83))</f>
        <v>785</v>
      </c>
    </row>
    <row r="84" customFormat="false" ht="15" hidden="false" customHeight="false" outlineLevel="0" collapsed="false">
      <c r="A84" s="12" t="n">
        <v>80</v>
      </c>
      <c r="B84" s="10" t="s">
        <v>339</v>
      </c>
      <c r="C84" s="10" t="s">
        <v>23</v>
      </c>
      <c r="D84" s="11" t="n">
        <v>0.0101733796296296</v>
      </c>
      <c r="E84" s="18" t="n">
        <f aca="false">ROUND((D84-$D$5)*86400,2)</f>
        <v>89.24</v>
      </c>
      <c r="F84" s="12" t="n">
        <v>198</v>
      </c>
      <c r="G84" s="11" t="str">
        <f aca="false">IF(INDEX(選手一覧!$F$7:$F$2738,$F84)="","",INDEX(選手一覧!$F$7:$F$2738,$F84))</f>
        <v/>
      </c>
      <c r="H84" s="12" t="str">
        <f aca="false">IF(INDEX(選手一覧!$G$7:$G$2738,$F84)="","",INDEX(選手一覧!$G$7:$G$2738,$F84))</f>
        <v/>
      </c>
      <c r="I84" s="11" t="str">
        <f aca="false">IF(INDEX(選手一覧!$H$7:$H$2738,$F84)="","",INDEX(選手一覧!$H$7:$H$2738,$F84))</f>
        <v/>
      </c>
      <c r="J84" s="12" t="str">
        <f aca="false">IF(INDEX(選手一覧!$I$7:$I$2738,$F84)="","",INDEX(選手一覧!$I$7:$I$2738,$F84))</f>
        <v/>
      </c>
    </row>
    <row r="85" customFormat="false" ht="15" hidden="false" customHeight="false" outlineLevel="0" collapsed="false">
      <c r="A85" s="12" t="n">
        <v>81</v>
      </c>
      <c r="B85" s="10" t="s">
        <v>342</v>
      </c>
      <c r="C85" s="10" t="s">
        <v>95</v>
      </c>
      <c r="D85" s="11" t="n">
        <v>0.0101733796296296</v>
      </c>
      <c r="E85" s="18" t="n">
        <f aca="false">ROUND((D85-$D$5)*86400,2)</f>
        <v>89.24</v>
      </c>
      <c r="F85" s="12" t="n">
        <v>200</v>
      </c>
      <c r="G85" s="11" t="str">
        <f aca="false">IF(INDEX(選手一覧!$F$7:$F$2738,$F85)="","",INDEX(選手一覧!$F$7:$F$2738,$F85))</f>
        <v/>
      </c>
      <c r="H85" s="12" t="str">
        <f aca="false">IF(INDEX(選手一覧!$G$7:$G$2738,$F85)="","",INDEX(選手一覧!$G$7:$G$2738,$F85))</f>
        <v/>
      </c>
      <c r="I85" s="11" t="n">
        <f aca="false">IF(INDEX(選手一覧!$H$7:$H$2738,$F85)="","",INDEX(選手一覧!$H$7:$H$2738,$F85))</f>
        <v>0.00274398148148148</v>
      </c>
      <c r="J85" s="12" t="n">
        <f aca="false">IF(INDEX(選手一覧!$I$7:$I$2738,$F85)="","",INDEX(選手一覧!$I$7:$I$2738,$F85))</f>
        <v>87</v>
      </c>
    </row>
    <row r="86" customFormat="false" ht="15" hidden="false" customHeight="false" outlineLevel="0" collapsed="false">
      <c r="A86" s="12" t="n">
        <v>82</v>
      </c>
      <c r="B86" s="10" t="s">
        <v>86</v>
      </c>
      <c r="C86" s="10" t="s">
        <v>87</v>
      </c>
      <c r="D86" s="11" t="n">
        <v>0.0101737268518519</v>
      </c>
      <c r="E86" s="18" t="n">
        <f aca="false">ROUND((D86-$D$5)*86400,2)</f>
        <v>89.27</v>
      </c>
      <c r="F86" s="12" t="n">
        <v>36</v>
      </c>
      <c r="G86" s="11" t="str">
        <f aca="false">IF(INDEX(選手一覧!$F$7:$F$2738,$F86)="","",INDEX(選手一覧!$F$7:$F$2738,$F86))</f>
        <v/>
      </c>
      <c r="H86" s="12" t="str">
        <f aca="false">IF(INDEX(選手一覧!$G$7:$G$2738,$F86)="","",INDEX(選手一覧!$G$7:$G$2738,$F86))</f>
        <v/>
      </c>
      <c r="I86" s="11" t="n">
        <f aca="false">IF(INDEX(選手一覧!$H$7:$H$2738,$F86)="","",INDEX(選手一覧!$H$7:$H$2738,$F86))</f>
        <v>0.00268391203703704</v>
      </c>
      <c r="J86" s="12" t="n">
        <f aca="false">IF(INDEX(選手一覧!$I$7:$I$2738,$F86)="","",INDEX(選手一覧!$I$7:$I$2738,$F86))</f>
        <v>15</v>
      </c>
    </row>
    <row r="87" customFormat="false" ht="15" hidden="false" customHeight="false" outlineLevel="0" collapsed="false">
      <c r="A87" s="12" t="n">
        <v>83</v>
      </c>
      <c r="B87" s="10" t="s">
        <v>271</v>
      </c>
      <c r="C87" s="10" t="s">
        <v>166</v>
      </c>
      <c r="D87" s="11" t="n">
        <v>0.0101766203703704</v>
      </c>
      <c r="E87" s="18" t="n">
        <f aca="false">ROUND((D87-$D$5)*86400,2)</f>
        <v>89.52</v>
      </c>
      <c r="F87" s="12" t="n">
        <v>149</v>
      </c>
      <c r="G87" s="11" t="str">
        <f aca="false">IF(INDEX(選手一覧!$F$7:$F$2738,$F87)="","",INDEX(選手一覧!$F$7:$F$2738,$F87))</f>
        <v/>
      </c>
      <c r="H87" s="12" t="str">
        <f aca="false">IF(INDEX(選手一覧!$G$7:$G$2738,$F87)="","",INDEX(選手一覧!$G$7:$G$2738,$F87))</f>
        <v/>
      </c>
      <c r="I87" s="11" t="n">
        <f aca="false">IF(INDEX(選手一覧!$H$7:$H$2738,$F87)="","",INDEX(選手一覧!$H$7:$H$2738,$F87))</f>
        <v>0.00272847222222222</v>
      </c>
      <c r="J87" s="12" t="n">
        <f aca="false">IF(INDEX(選手一覧!$I$7:$I$2738,$F87)="","",INDEX(選手一覧!$I$7:$I$2738,$F87))</f>
        <v>60</v>
      </c>
    </row>
    <row r="88" customFormat="false" ht="15" hidden="false" customHeight="false" outlineLevel="0" collapsed="false">
      <c r="A88" s="12" t="n">
        <v>84</v>
      </c>
      <c r="B88" s="10" t="s">
        <v>66</v>
      </c>
      <c r="C88" s="10" t="s">
        <v>23</v>
      </c>
      <c r="D88" s="11" t="n">
        <v>0.0101787037037037</v>
      </c>
      <c r="E88" s="18" t="n">
        <f aca="false">ROUND((D88-$D$5)*86400,2)</f>
        <v>89.7</v>
      </c>
      <c r="F88" s="12" t="n">
        <v>24</v>
      </c>
      <c r="G88" s="11" t="n">
        <f aca="false">IF(INDEX(選手一覧!$F$7:$F$2738,$F88)="","",INDEX(選手一覧!$F$7:$F$2738,$F88))</f>
        <v>0.00635891203703704</v>
      </c>
      <c r="H88" s="12" t="n">
        <f aca="false">IF(INDEX(選手一覧!$G$7:$G$2738,$F88)="","",INDEX(選手一覧!$G$7:$G$2738,$F88))</f>
        <v>10</v>
      </c>
      <c r="I88" s="11" t="str">
        <f aca="false">IF(INDEX(選手一覧!$H$7:$H$2738,$F88)="","",INDEX(選手一覧!$H$7:$H$2738,$F88))</f>
        <v/>
      </c>
      <c r="J88" s="12" t="str">
        <f aca="false">IF(INDEX(選手一覧!$I$7:$I$2738,$F88)="","",INDEX(選手一覧!$I$7:$I$2738,$F88))</f>
        <v/>
      </c>
    </row>
    <row r="89" customFormat="false" ht="15" hidden="false" customHeight="false" outlineLevel="0" collapsed="false">
      <c r="A89" s="12" t="n">
        <v>85</v>
      </c>
      <c r="B89" s="10" t="s">
        <v>353</v>
      </c>
      <c r="C89" s="10" t="s">
        <v>41</v>
      </c>
      <c r="D89" s="11" t="n">
        <v>0.0101798611111111</v>
      </c>
      <c r="E89" s="18" t="n">
        <f aca="false">ROUND((D89-$D$5)*86400,2)</f>
        <v>89.8</v>
      </c>
      <c r="F89" s="12" t="n">
        <v>207</v>
      </c>
      <c r="G89" s="11" t="str">
        <f aca="false">IF(INDEX(選手一覧!$F$7:$F$2738,$F89)="","",INDEX(選手一覧!$F$7:$F$2738,$F89))</f>
        <v/>
      </c>
      <c r="H89" s="12" t="str">
        <f aca="false">IF(INDEX(選手一覧!$G$7:$G$2738,$F89)="","",INDEX(選手一覧!$G$7:$G$2738,$F89))</f>
        <v/>
      </c>
      <c r="I89" s="11" t="n">
        <f aca="false">IF(INDEX(選手一覧!$H$7:$H$2738,$F89)="","",INDEX(選手一覧!$H$7:$H$2738,$F89))</f>
        <v>0.002865625</v>
      </c>
      <c r="J89" s="12" t="n">
        <f aca="false">IF(INDEX(選手一覧!$I$7:$I$2738,$F89)="","",INDEX(選手一覧!$I$7:$I$2738,$F89))</f>
        <v>668</v>
      </c>
    </row>
    <row r="90" customFormat="false" ht="15" hidden="false" customHeight="false" outlineLevel="0" collapsed="false">
      <c r="A90" s="12" t="n">
        <v>86</v>
      </c>
      <c r="B90" s="10" t="s">
        <v>356</v>
      </c>
      <c r="C90" s="10" t="s">
        <v>62</v>
      </c>
      <c r="D90" s="11" t="n">
        <v>0.0101837962962963</v>
      </c>
      <c r="E90" s="18" t="n">
        <f aca="false">ROUND((D90-$D$5)*86400,2)</f>
        <v>90.14</v>
      </c>
      <c r="F90" s="12" t="n">
        <v>210</v>
      </c>
      <c r="G90" s="11" t="str">
        <f aca="false">IF(INDEX(選手一覧!$F$7:$F$2738,$F90)="","",INDEX(選手一覧!$F$7:$F$2738,$F90))</f>
        <v/>
      </c>
      <c r="H90" s="12" t="str">
        <f aca="false">IF(INDEX(選手一覧!$G$7:$G$2738,$F90)="","",INDEX(選手一覧!$G$7:$G$2738,$F90))</f>
        <v/>
      </c>
      <c r="I90" s="11" t="n">
        <f aca="false">IF(INDEX(選手一覧!$H$7:$H$2738,$F90)="","",INDEX(選手一覧!$H$7:$H$2738,$F90))</f>
        <v>0.00292476851851852</v>
      </c>
      <c r="J90" s="12" t="n">
        <f aca="false">IF(INDEX(選手一覧!$I$7:$I$2738,$F90)="","",INDEX(選手一覧!$I$7:$I$2738,$F90))</f>
        <v>1142</v>
      </c>
    </row>
    <row r="91" customFormat="false" ht="15" hidden="false" customHeight="false" outlineLevel="0" collapsed="false">
      <c r="A91" s="12" t="n">
        <v>87</v>
      </c>
      <c r="B91" s="10" t="s">
        <v>357</v>
      </c>
      <c r="C91" s="10" t="s">
        <v>358</v>
      </c>
      <c r="D91" s="11" t="n">
        <v>0.0101858796296296</v>
      </c>
      <c r="E91" s="18" t="n">
        <f aca="false">ROUND((D91-$D$5)*86400,2)</f>
        <v>90.32</v>
      </c>
      <c r="F91" s="12" t="n">
        <v>211</v>
      </c>
      <c r="G91" s="11" t="str">
        <f aca="false">IF(INDEX(選手一覧!$F$7:$F$2738,$F91)="","",INDEX(選手一覧!$F$7:$F$2738,$F91))</f>
        <v/>
      </c>
      <c r="H91" s="12" t="str">
        <f aca="false">IF(INDEX(選手一覧!$G$7:$G$2738,$F91)="","",INDEX(選手一覧!$G$7:$G$2738,$F91))</f>
        <v/>
      </c>
      <c r="I91" s="11" t="n">
        <f aca="false">IF(INDEX(選手一覧!$H$7:$H$2738,$F91)="","",INDEX(選手一覧!$H$7:$H$2738,$F91))</f>
        <v>0.00276203703703704</v>
      </c>
      <c r="J91" s="12" t="n">
        <f aca="false">IF(INDEX(選手一覧!$I$7:$I$2738,$F91)="","",INDEX(選手一覧!$I$7:$I$2738,$F91))</f>
        <v>140</v>
      </c>
    </row>
    <row r="92" customFormat="false" ht="15" hidden="false" customHeight="false" outlineLevel="0" collapsed="false">
      <c r="A92" s="12" t="n">
        <v>88</v>
      </c>
      <c r="B92" s="10" t="s">
        <v>142</v>
      </c>
      <c r="C92" s="10" t="s">
        <v>109</v>
      </c>
      <c r="D92" s="11" t="n">
        <v>0.0101863425925926</v>
      </c>
      <c r="E92" s="18" t="n">
        <f aca="false">ROUND((D92-$D$5)*86400,2)</f>
        <v>90.36</v>
      </c>
      <c r="F92" s="12" t="n">
        <v>67</v>
      </c>
      <c r="G92" s="11" t="str">
        <f aca="false">IF(INDEX(選手一覧!$F$7:$F$2738,$F92)="","",INDEX(選手一覧!$F$7:$F$2738,$F92))</f>
        <v/>
      </c>
      <c r="H92" s="12" t="str">
        <f aca="false">IF(INDEX(選手一覧!$G$7:$G$2738,$F92)="","",INDEX(選手一覧!$G$7:$G$2738,$F92))</f>
        <v/>
      </c>
      <c r="I92" s="11" t="n">
        <f aca="false">IF(INDEX(選手一覧!$H$7:$H$2738,$F92)="","",INDEX(選手一覧!$H$7:$H$2738,$F92))</f>
        <v>0.00270231481481482</v>
      </c>
      <c r="J92" s="12" t="n">
        <f aca="false">IF(INDEX(選手一覧!$I$7:$I$2738,$F92)="","",INDEX(選手一覧!$I$7:$I$2738,$F92))</f>
        <v>27</v>
      </c>
    </row>
    <row r="93" customFormat="false" ht="15" hidden="false" customHeight="false" outlineLevel="0" collapsed="false">
      <c r="A93" s="12" t="n">
        <v>89</v>
      </c>
      <c r="B93" s="10" t="s">
        <v>364</v>
      </c>
      <c r="C93" s="10" t="s">
        <v>350</v>
      </c>
      <c r="D93" s="11" t="n">
        <v>0.0101872685185185</v>
      </c>
      <c r="E93" s="18" t="n">
        <f aca="false">ROUND((D93-$D$5)*86400,2)</f>
        <v>90.44</v>
      </c>
      <c r="F93" s="12" t="n">
        <v>216</v>
      </c>
      <c r="G93" s="11" t="str">
        <f aca="false">IF(INDEX(選手一覧!$F$7:$F$2738,$F93)="","",INDEX(選手一覧!$F$7:$F$2738,$F93))</f>
        <v/>
      </c>
      <c r="H93" s="12" t="str">
        <f aca="false">IF(INDEX(選手一覧!$G$7:$G$2738,$F93)="","",INDEX(選手一覧!$G$7:$G$2738,$F93))</f>
        <v/>
      </c>
      <c r="I93" s="11" t="n">
        <f aca="false">IF(INDEX(選手一覧!$H$7:$H$2738,$F93)="","",INDEX(選手一覧!$H$7:$H$2738,$F93))</f>
        <v>0.00286180555555556</v>
      </c>
      <c r="J93" s="12" t="n">
        <f aca="false">IF(INDEX(選手一覧!$I$7:$I$2738,$F93)="","",INDEX(選手一覧!$I$7:$I$2738,$F93))</f>
        <v>643</v>
      </c>
    </row>
    <row r="94" customFormat="false" ht="15" hidden="false" customHeight="false" outlineLevel="0" collapsed="false">
      <c r="A94" s="12" t="n">
        <v>90</v>
      </c>
      <c r="B94" s="10" t="s">
        <v>367</v>
      </c>
      <c r="C94" s="10" t="s">
        <v>134</v>
      </c>
      <c r="D94" s="11" t="n">
        <v>0.0101877314814815</v>
      </c>
      <c r="E94" s="18" t="n">
        <f aca="false">ROUND((D94-$D$5)*86400,2)</f>
        <v>90.48</v>
      </c>
      <c r="F94" s="12" t="n">
        <v>218</v>
      </c>
      <c r="G94" s="11" t="str">
        <f aca="false">IF(INDEX(選手一覧!$F$7:$F$2738,$F94)="","",INDEX(選手一覧!$F$7:$F$2738,$F94))</f>
        <v/>
      </c>
      <c r="H94" s="12" t="str">
        <f aca="false">IF(INDEX(選手一覧!$G$7:$G$2738,$F94)="","",INDEX(選手一覧!$G$7:$G$2738,$F94))</f>
        <v/>
      </c>
      <c r="I94" s="11" t="n">
        <f aca="false">IF(INDEX(選手一覧!$H$7:$H$2738,$F94)="","",INDEX(選手一覧!$H$7:$H$2738,$F94))</f>
        <v>0.00289039351851852</v>
      </c>
      <c r="J94" s="12" t="n">
        <f aca="false">IF(INDEX(選手一覧!$I$7:$I$2738,$F94)="","",INDEX(選手一覧!$I$7:$I$2738,$F94))</f>
        <v>871</v>
      </c>
    </row>
    <row r="95" customFormat="false" ht="15" hidden="false" customHeight="false" outlineLevel="0" collapsed="false">
      <c r="A95" s="12" t="n">
        <v>91</v>
      </c>
      <c r="B95" s="10" t="s">
        <v>349</v>
      </c>
      <c r="C95" s="10" t="s">
        <v>350</v>
      </c>
      <c r="D95" s="11" t="n">
        <v>0.0101881944444444</v>
      </c>
      <c r="E95" s="18" t="n">
        <f aca="false">ROUND((D95-$D$5)*86400,2)</f>
        <v>90.52</v>
      </c>
      <c r="F95" s="12" t="n">
        <v>205</v>
      </c>
      <c r="G95" s="11" t="n">
        <f aca="false">IF(INDEX(選手一覧!$F$7:$F$2738,$F95)="","",INDEX(選手一覧!$F$7:$F$2738,$F95))</f>
        <v>0.00665277777777778</v>
      </c>
      <c r="H95" s="12" t="n">
        <f aca="false">IF(INDEX(選手一覧!$G$7:$G$2738,$F95)="","",INDEX(選手一覧!$G$7:$G$2738,$F95))</f>
        <v>84</v>
      </c>
      <c r="I95" s="11" t="n">
        <f aca="false">IF(INDEX(選手一覧!$H$7:$H$2738,$F95)="","",INDEX(選手一覧!$H$7:$H$2738,$F95))</f>
        <v>0.00280810185185185</v>
      </c>
      <c r="J95" s="12" t="n">
        <f aca="false">IF(INDEX(選手一覧!$I$7:$I$2738,$F95)="","",INDEX(選手一覧!$I$7:$I$2738,$F95))</f>
        <v>317</v>
      </c>
    </row>
    <row r="96" customFormat="false" ht="15" hidden="false" customHeight="false" outlineLevel="0" collapsed="false">
      <c r="A96" s="12" t="n">
        <v>92</v>
      </c>
      <c r="B96" s="10" t="s">
        <v>372</v>
      </c>
      <c r="C96" s="10" t="s">
        <v>350</v>
      </c>
      <c r="D96" s="11" t="n">
        <v>0.0101917824074074</v>
      </c>
      <c r="E96" s="18" t="n">
        <f aca="false">ROUND((D96-$D$5)*86400,2)</f>
        <v>90.83</v>
      </c>
      <c r="F96" s="12" t="n">
        <v>222</v>
      </c>
      <c r="G96" s="11" t="str">
        <f aca="false">IF(INDEX(選手一覧!$F$7:$F$2738,$F96)="","",INDEX(選手一覧!$F$7:$F$2738,$F96))</f>
        <v/>
      </c>
      <c r="H96" s="12" t="str">
        <f aca="false">IF(INDEX(選手一覧!$G$7:$G$2738,$F96)="","",INDEX(選手一覧!$G$7:$G$2738,$F96))</f>
        <v/>
      </c>
      <c r="I96" s="11" t="n">
        <f aca="false">IF(INDEX(選手一覧!$H$7:$H$2738,$F96)="","",INDEX(選手一覧!$H$7:$H$2738,$F96))</f>
        <v>0.0028181712962963</v>
      </c>
      <c r="J96" s="12" t="n">
        <f aca="false">IF(INDEX(選手一覧!$I$7:$I$2738,$F96)="","",INDEX(選手一覧!$I$7:$I$2738,$F96))</f>
        <v>355</v>
      </c>
    </row>
    <row r="97" customFormat="false" ht="15" hidden="false" customHeight="false" outlineLevel="0" collapsed="false">
      <c r="A97" s="12" t="n">
        <v>93</v>
      </c>
      <c r="B97" s="10" t="s">
        <v>376</v>
      </c>
      <c r="C97" s="10" t="s">
        <v>377</v>
      </c>
      <c r="D97" s="11" t="n">
        <v>0.0101918981481482</v>
      </c>
      <c r="E97" s="18" t="n">
        <f aca="false">ROUND((D97-$D$5)*86400,2)</f>
        <v>90.84</v>
      </c>
      <c r="F97" s="12" t="n">
        <v>225</v>
      </c>
      <c r="G97" s="11" t="str">
        <f aca="false">IF(INDEX(選手一覧!$F$7:$F$2738,$F97)="","",INDEX(選手一覧!$F$7:$F$2738,$F97))</f>
        <v/>
      </c>
      <c r="H97" s="12" t="str">
        <f aca="false">IF(INDEX(選手一覧!$G$7:$G$2738,$F97)="","",INDEX(選手一覧!$G$7:$G$2738,$F97))</f>
        <v/>
      </c>
      <c r="I97" s="11" t="n">
        <f aca="false">IF(INDEX(選手一覧!$H$7:$H$2738,$F97)="","",INDEX(選手一覧!$H$7:$H$2738,$F97))</f>
        <v>0.00282222222222222</v>
      </c>
      <c r="J97" s="12" t="n">
        <f aca="false">IF(INDEX(選手一覧!$I$7:$I$2738,$F97)="","",INDEX(選手一覧!$I$7:$I$2738,$F97))</f>
        <v>375</v>
      </c>
    </row>
    <row r="98" customFormat="false" ht="15" hidden="false" customHeight="false" outlineLevel="0" collapsed="false">
      <c r="A98" s="12" t="n">
        <v>94</v>
      </c>
      <c r="B98" s="10" t="s">
        <v>379</v>
      </c>
      <c r="C98" s="10" t="s">
        <v>380</v>
      </c>
      <c r="D98" s="11" t="n">
        <v>0.0101935185185185</v>
      </c>
      <c r="E98" s="18" t="n">
        <f aca="false">ROUND((D98-$D$5)*86400,2)</f>
        <v>90.98</v>
      </c>
      <c r="F98" s="12" t="n">
        <v>227</v>
      </c>
      <c r="G98" s="11" t="str">
        <f aca="false">IF(INDEX(選手一覧!$F$7:$F$2738,$F98)="","",INDEX(選手一覧!$F$7:$F$2738,$F98))</f>
        <v/>
      </c>
      <c r="H98" s="12" t="str">
        <f aca="false">IF(INDEX(選手一覧!$G$7:$G$2738,$F98)="","",INDEX(選手一覧!$G$7:$G$2738,$F98))</f>
        <v/>
      </c>
      <c r="I98" s="11" t="n">
        <f aca="false">IF(INDEX(選手一覧!$H$7:$H$2738,$F98)="","",INDEX(選手一覧!$H$7:$H$2738,$F98))</f>
        <v>0.00275324074074074</v>
      </c>
      <c r="J98" s="12" t="n">
        <f aca="false">IF(INDEX(選手一覧!$I$7:$I$2738,$F98)="","",INDEX(選手一覧!$I$7:$I$2738,$F98))</f>
        <v>111</v>
      </c>
    </row>
    <row r="99" customFormat="false" ht="15" hidden="false" customHeight="false" outlineLevel="0" collapsed="false">
      <c r="A99" s="12" t="n">
        <v>95</v>
      </c>
      <c r="B99" s="10" t="s">
        <v>127</v>
      </c>
      <c r="C99" s="10" t="s">
        <v>128</v>
      </c>
      <c r="D99" s="11" t="n">
        <v>0.0101960648148148</v>
      </c>
      <c r="E99" s="18" t="n">
        <f aca="false">ROUND((D99-$D$5)*86400,2)</f>
        <v>91.2</v>
      </c>
      <c r="F99" s="12" t="n">
        <v>59</v>
      </c>
      <c r="G99" s="11" t="str">
        <f aca="false">IF(INDEX(選手一覧!$F$7:$F$2738,$F99)="","",INDEX(選手一覧!$F$7:$F$2738,$F99))</f>
        <v/>
      </c>
      <c r="H99" s="12" t="str">
        <f aca="false">IF(INDEX(選手一覧!$G$7:$G$2738,$F99)="","",INDEX(選手一覧!$G$7:$G$2738,$F99))</f>
        <v/>
      </c>
      <c r="I99" s="11" t="n">
        <f aca="false">IF(INDEX(選手一覧!$H$7:$H$2738,$F99)="","",INDEX(選手一覧!$H$7:$H$2738,$F99))</f>
        <v>0.00269340277777778</v>
      </c>
      <c r="J99" s="12" t="n">
        <f aca="false">IF(INDEX(選手一覧!$I$7:$I$2738,$F99)="","",INDEX(選手一覧!$I$7:$I$2738,$F99))</f>
        <v>23</v>
      </c>
    </row>
    <row r="100" customFormat="false" ht="15" hidden="false" customHeight="false" outlineLevel="0" collapsed="false">
      <c r="A100" s="12" t="n">
        <v>96</v>
      </c>
      <c r="B100" s="10" t="s">
        <v>389</v>
      </c>
      <c r="C100" s="10" t="s">
        <v>156</v>
      </c>
      <c r="D100" s="11" t="n">
        <v>0.0101975694444444</v>
      </c>
      <c r="E100" s="18" t="n">
        <f aca="false">ROUND((D100-$D$5)*86400,2)</f>
        <v>91.33</v>
      </c>
      <c r="F100" s="12" t="n">
        <v>233</v>
      </c>
      <c r="G100" s="11" t="str">
        <f aca="false">IF(INDEX(選手一覧!$F$7:$F$2738,$F100)="","",INDEX(選手一覧!$F$7:$F$2738,$F100))</f>
        <v/>
      </c>
      <c r="H100" s="12" t="str">
        <f aca="false">IF(INDEX(選手一覧!$G$7:$G$2738,$F100)="","",INDEX(選手一覧!$G$7:$G$2738,$F100))</f>
        <v/>
      </c>
      <c r="I100" s="11" t="n">
        <f aca="false">IF(INDEX(選手一覧!$H$7:$H$2738,$F100)="","",INDEX(選手一覧!$H$7:$H$2738,$F100))</f>
        <v>0.00275451388888889</v>
      </c>
      <c r="J100" s="12" t="n">
        <f aca="false">IF(INDEX(選手一覧!$I$7:$I$2738,$F100)="","",INDEX(選手一覧!$I$7:$I$2738,$F100))</f>
        <v>119</v>
      </c>
    </row>
    <row r="101" customFormat="false" ht="15" hidden="false" customHeight="false" outlineLevel="0" collapsed="false">
      <c r="A101" s="12" t="n">
        <v>97</v>
      </c>
      <c r="B101" s="10" t="s">
        <v>157</v>
      </c>
      <c r="C101" s="10" t="s">
        <v>158</v>
      </c>
      <c r="D101" s="11" t="n">
        <v>0.0102012731481482</v>
      </c>
      <c r="E101" s="18" t="n">
        <f aca="false">ROUND((D101-$D$5)*86400,2)</f>
        <v>91.65</v>
      </c>
      <c r="F101" s="12" t="n">
        <v>77</v>
      </c>
      <c r="G101" s="11" t="n">
        <f aca="false">IF(INDEX(選手一覧!$F$7:$F$2738,$F101)="","",INDEX(選手一覧!$F$7:$F$2738,$F101))</f>
        <v>0.00648483796296296</v>
      </c>
      <c r="H101" s="12" t="n">
        <f aca="false">IF(INDEX(選手一覧!$G$7:$G$2738,$F101)="","",INDEX(選手一覧!$G$7:$G$2738,$F101))</f>
        <v>31</v>
      </c>
      <c r="I101" s="11" t="n">
        <f aca="false">IF(INDEX(選手一覧!$H$7:$H$2738,$F101)="","",INDEX(選手一覧!$H$7:$H$2738,$F101))</f>
        <v>0.00275451388888889</v>
      </c>
      <c r="J101" s="12" t="n">
        <f aca="false">IF(INDEX(選手一覧!$I$7:$I$2738,$F101)="","",INDEX(選手一覧!$I$7:$I$2738,$F101))</f>
        <v>120</v>
      </c>
    </row>
    <row r="102" customFormat="false" ht="15" hidden="false" customHeight="false" outlineLevel="0" collapsed="false">
      <c r="A102" s="12" t="n">
        <v>98</v>
      </c>
      <c r="B102" s="10" t="s">
        <v>71</v>
      </c>
      <c r="C102" s="10" t="s">
        <v>72</v>
      </c>
      <c r="D102" s="11" t="n">
        <v>0.0102041666666667</v>
      </c>
      <c r="E102" s="18" t="n">
        <f aca="false">ROUND((D102-$D$5)*86400,2)</f>
        <v>91.9</v>
      </c>
      <c r="F102" s="12" t="n">
        <v>28</v>
      </c>
      <c r="G102" s="11" t="str">
        <f aca="false">IF(INDEX(選手一覧!$F$7:$F$2738,$F102)="","",INDEX(選手一覧!$F$7:$F$2738,$F102))</f>
        <v/>
      </c>
      <c r="H102" s="12" t="str">
        <f aca="false">IF(INDEX(選手一覧!$G$7:$G$2738,$F102)="","",INDEX(選手一覧!$G$7:$G$2738,$F102))</f>
        <v/>
      </c>
      <c r="I102" s="11" t="n">
        <f aca="false">IF(INDEX(選手一覧!$H$7:$H$2738,$F102)="","",INDEX(選手一覧!$H$7:$H$2738,$F102))</f>
        <v>0.00267743055555556</v>
      </c>
      <c r="J102" s="12" t="n">
        <f aca="false">IF(INDEX(選手一覧!$I$7:$I$2738,$F102)="","",INDEX(選手一覧!$I$7:$I$2738,$F102))</f>
        <v>11</v>
      </c>
    </row>
    <row r="103" customFormat="false" ht="15" hidden="false" customHeight="false" outlineLevel="0" collapsed="false">
      <c r="A103" s="12" t="n">
        <v>99</v>
      </c>
      <c r="B103" s="10" t="s">
        <v>402</v>
      </c>
      <c r="C103" s="10" t="s">
        <v>403</v>
      </c>
      <c r="D103" s="11" t="n">
        <v>0.0102086805555556</v>
      </c>
      <c r="E103" s="18" t="n">
        <f aca="false">ROUND((D103-$D$5)*86400,2)</f>
        <v>92.29</v>
      </c>
      <c r="F103" s="12" t="n">
        <v>241</v>
      </c>
      <c r="G103" s="11" t="str">
        <f aca="false">IF(INDEX(選手一覧!$F$7:$F$2738,$F103)="","",INDEX(選手一覧!$F$7:$F$2738,$F103))</f>
        <v/>
      </c>
      <c r="H103" s="12" t="str">
        <f aca="false">IF(INDEX(選手一覧!$G$7:$G$2738,$F103)="","",INDEX(選手一覧!$G$7:$G$2738,$F103))</f>
        <v/>
      </c>
      <c r="I103" s="11" t="str">
        <f aca="false">IF(INDEX(選手一覧!$H$7:$H$2738,$F103)="","",INDEX(選手一覧!$H$7:$H$2738,$F103))</f>
        <v/>
      </c>
      <c r="J103" s="12" t="str">
        <f aca="false">IF(INDEX(選手一覧!$I$7:$I$2738,$F103)="","",INDEX(選手一覧!$I$7:$I$2738,$F103))</f>
        <v/>
      </c>
    </row>
    <row r="104" customFormat="false" ht="15" hidden="false" customHeight="false" outlineLevel="0" collapsed="false">
      <c r="A104" s="12" t="n">
        <v>100</v>
      </c>
      <c r="B104" s="10" t="s">
        <v>406</v>
      </c>
      <c r="C104" s="10" t="s">
        <v>32</v>
      </c>
      <c r="D104" s="11" t="n">
        <v>0.0102087962962963</v>
      </c>
      <c r="E104" s="18" t="n">
        <f aca="false">ROUND((D104-$D$5)*86400,2)</f>
        <v>92.3</v>
      </c>
      <c r="F104" s="12" t="n">
        <v>243</v>
      </c>
      <c r="G104" s="11" t="str">
        <f aca="false">IF(INDEX(選手一覧!$F$7:$F$2738,$F104)="","",INDEX(選手一覧!$F$7:$F$2738,$F104))</f>
        <v/>
      </c>
      <c r="H104" s="12" t="str">
        <f aca="false">IF(INDEX(選手一覧!$G$7:$G$2738,$F104)="","",INDEX(選手一覧!$G$7:$G$2738,$F104))</f>
        <v/>
      </c>
      <c r="I104" s="11" t="str">
        <f aca="false">IF(INDEX(選手一覧!$H$7:$H$2738,$F104)="","",INDEX(選手一覧!$H$7:$H$2738,$F104))</f>
        <v/>
      </c>
      <c r="J104" s="12" t="str">
        <f aca="false">IF(INDEX(選手一覧!$I$7:$I$2738,$F104)="","",INDEX(選手一覧!$I$7:$I$2738,$F104))</f>
        <v/>
      </c>
    </row>
    <row r="105" customFormat="false" ht="15" hidden="false" customHeight="false" outlineLevel="0" collapsed="false">
      <c r="A105" s="12" t="n">
        <v>101</v>
      </c>
      <c r="B105" s="10" t="s">
        <v>409</v>
      </c>
      <c r="C105" s="10" t="s">
        <v>124</v>
      </c>
      <c r="D105" s="11" t="n">
        <v>0.0102111111111111</v>
      </c>
      <c r="E105" s="18" t="n">
        <f aca="false">ROUND((D105-$D$5)*86400,2)</f>
        <v>92.5</v>
      </c>
      <c r="F105" s="12" t="n">
        <v>246</v>
      </c>
      <c r="G105" s="11" t="str">
        <f aca="false">IF(INDEX(選手一覧!$F$7:$F$2738,$F105)="","",INDEX(選手一覧!$F$7:$F$2738,$F105))</f>
        <v/>
      </c>
      <c r="H105" s="12" t="str">
        <f aca="false">IF(INDEX(選手一覧!$G$7:$G$2738,$F105)="","",INDEX(選手一覧!$G$7:$G$2738,$F105))</f>
        <v/>
      </c>
      <c r="I105" s="11" t="n">
        <f aca="false">IF(INDEX(選手一覧!$H$7:$H$2738,$F105)="","",INDEX(選手一覧!$H$7:$H$2738,$F105))</f>
        <v>0.00277835648148148</v>
      </c>
      <c r="J105" s="12" t="n">
        <f aca="false">IF(INDEX(選手一覧!$I$7:$I$2738,$F105)="","",INDEX(選手一覧!$I$7:$I$2738,$F105))</f>
        <v>194</v>
      </c>
    </row>
    <row r="106" customFormat="false" ht="15" hidden="false" customHeight="false" outlineLevel="0" collapsed="false">
      <c r="A106" s="12" t="n">
        <v>102</v>
      </c>
      <c r="B106" s="10" t="s">
        <v>44</v>
      </c>
      <c r="C106" s="10" t="s">
        <v>45</v>
      </c>
      <c r="D106" s="11" t="n">
        <v>0.0102140046296296</v>
      </c>
      <c r="E106" s="18" t="n">
        <f aca="false">ROUND((D106-$D$5)*86400,2)</f>
        <v>92.75</v>
      </c>
      <c r="F106" s="12" t="n">
        <v>13</v>
      </c>
      <c r="G106" s="11" t="n">
        <f aca="false">IF(INDEX(選手一覧!$F$7:$F$2738,$F106)="","",INDEX(選手一覧!$F$7:$F$2738,$F106))</f>
        <v>0.00633553240740741</v>
      </c>
      <c r="H106" s="12" t="n">
        <f aca="false">IF(INDEX(選手一覧!$G$7:$G$2738,$F106)="","",INDEX(選手一覧!$G$7:$G$2738,$F106))</f>
        <v>6</v>
      </c>
      <c r="I106" s="11" t="n">
        <f aca="false">IF(INDEX(選手一覧!$H$7:$H$2738,$F106)="","",INDEX(選手一覧!$H$7:$H$2738,$F106))</f>
        <v>0.00285925925925926</v>
      </c>
      <c r="J106" s="12" t="n">
        <f aca="false">IF(INDEX(選手一覧!$I$7:$I$2738,$F106)="","",INDEX(選手一覧!$I$7:$I$2738,$F106))</f>
        <v>630</v>
      </c>
    </row>
    <row r="107" customFormat="false" ht="15" hidden="false" customHeight="false" outlineLevel="0" collapsed="false">
      <c r="A107" s="12" t="n">
        <v>103</v>
      </c>
      <c r="B107" s="10" t="s">
        <v>264</v>
      </c>
      <c r="C107" s="10" t="s">
        <v>206</v>
      </c>
      <c r="D107" s="11" t="n">
        <v>0.0102142361111111</v>
      </c>
      <c r="E107" s="18" t="n">
        <f aca="false">ROUND((D107-$D$5)*86400,2)</f>
        <v>92.77</v>
      </c>
      <c r="F107" s="12" t="n">
        <v>144</v>
      </c>
      <c r="G107" s="11" t="str">
        <f aca="false">IF(INDEX(選手一覧!$F$7:$F$2738,$F107)="","",INDEX(選手一覧!$F$7:$F$2738,$F107))</f>
        <v/>
      </c>
      <c r="H107" s="12" t="str">
        <f aca="false">IF(INDEX(選手一覧!$G$7:$G$2738,$F107)="","",INDEX(選手一覧!$G$7:$G$2738,$F107))</f>
        <v/>
      </c>
      <c r="I107" s="11" t="n">
        <f aca="false">IF(INDEX(選手一覧!$H$7:$H$2738,$F107)="","",INDEX(選手一覧!$H$7:$H$2738,$F107))</f>
        <v>0.00272511574074074</v>
      </c>
      <c r="J107" s="12" t="n">
        <f aca="false">IF(INDEX(選手一覧!$I$7:$I$2738,$F107)="","",INDEX(選手一覧!$I$7:$I$2738,$F107))</f>
        <v>57</v>
      </c>
    </row>
    <row r="108" customFormat="false" ht="15" hidden="false" customHeight="false" outlineLevel="0" collapsed="false">
      <c r="A108" s="12" t="n">
        <v>104</v>
      </c>
      <c r="B108" s="10" t="s">
        <v>24</v>
      </c>
      <c r="C108" s="10" t="s">
        <v>25</v>
      </c>
      <c r="D108" s="11" t="n">
        <v>0.0102148148148148</v>
      </c>
      <c r="E108" s="18" t="n">
        <f aca="false">ROUND((D108-$D$5)*86400,2)</f>
        <v>92.82</v>
      </c>
      <c r="F108" s="12" t="n">
        <v>2</v>
      </c>
      <c r="G108" s="11" t="n">
        <f aca="false">IF(INDEX(選手一覧!$F$7:$F$2738,$F108)="","",INDEX(選手一覧!$F$7:$F$2738,$F108))</f>
        <v>0.00623865740740741</v>
      </c>
      <c r="H108" s="12" t="n">
        <f aca="false">IF(INDEX(選手一覧!$G$7:$G$2738,$F108)="","",INDEX(選手一覧!$G$7:$G$2738,$F108))</f>
        <v>1</v>
      </c>
      <c r="I108" s="11" t="n">
        <f aca="false">IF(INDEX(選手一覧!$H$7:$H$2738,$F108)="","",INDEX(選手一覧!$H$7:$H$2738,$F108))</f>
        <v>0.00286273148148148</v>
      </c>
      <c r="J108" s="12" t="n">
        <f aca="false">IF(INDEX(選手一覧!$I$7:$I$2738,$F108)="","",INDEX(選手一覧!$I$7:$I$2738,$F108))</f>
        <v>654</v>
      </c>
    </row>
    <row r="109" customFormat="false" ht="15" hidden="false" customHeight="false" outlineLevel="0" collapsed="false">
      <c r="A109" s="12" t="n">
        <v>105</v>
      </c>
      <c r="B109" s="10" t="s">
        <v>417</v>
      </c>
      <c r="C109" s="10" t="s">
        <v>25</v>
      </c>
      <c r="D109" s="11" t="n">
        <v>0.010215625</v>
      </c>
      <c r="E109" s="18" t="n">
        <f aca="false">ROUND((D109-$D$5)*86400,2)</f>
        <v>92.89</v>
      </c>
      <c r="F109" s="12" t="n">
        <v>253</v>
      </c>
      <c r="G109" s="11" t="str">
        <f aca="false">IF(INDEX(選手一覧!$F$7:$F$2738,$F109)="","",INDEX(選手一覧!$F$7:$F$2738,$F109))</f>
        <v/>
      </c>
      <c r="H109" s="12" t="str">
        <f aca="false">IF(INDEX(選手一覧!$G$7:$G$2738,$F109)="","",INDEX(選手一覧!$G$7:$G$2738,$F109))</f>
        <v/>
      </c>
      <c r="I109" s="11" t="n">
        <f aca="false">IF(INDEX(選手一覧!$H$7:$H$2738,$F109)="","",INDEX(選手一覧!$H$7:$H$2738,$F109))</f>
        <v>0.00285358796296296</v>
      </c>
      <c r="J109" s="12" t="n">
        <f aca="false">IF(INDEX(選手一覧!$I$7:$I$2738,$F109)="","",INDEX(選手一覧!$I$7:$I$2738,$F109))</f>
        <v>590</v>
      </c>
    </row>
    <row r="110" customFormat="false" ht="15" hidden="false" customHeight="false" outlineLevel="0" collapsed="false">
      <c r="A110" s="12" t="n">
        <v>106</v>
      </c>
      <c r="B110" s="10" t="s">
        <v>395</v>
      </c>
      <c r="C110" s="10" t="s">
        <v>350</v>
      </c>
      <c r="D110" s="11" t="n">
        <v>0.0102157407407407</v>
      </c>
      <c r="E110" s="18" t="n">
        <f aca="false">ROUND((D110-$D$5)*86400,2)</f>
        <v>92.9</v>
      </c>
      <c r="F110" s="12" t="n">
        <v>237</v>
      </c>
      <c r="G110" s="11" t="n">
        <f aca="false">IF(INDEX(選手一覧!$F$7:$F$2738,$F110)="","",INDEX(選手一覧!$F$7:$F$2738,$F110))</f>
        <v>0.00668009259259259</v>
      </c>
      <c r="H110" s="12" t="n">
        <f aca="false">IF(INDEX(選手一覧!$G$7:$G$2738,$F110)="","",INDEX(選手一覧!$G$7:$G$2738,$F110))</f>
        <v>98</v>
      </c>
      <c r="I110" s="11" t="str">
        <f aca="false">IF(INDEX(選手一覧!$H$7:$H$2738,$F110)="","",INDEX(選手一覧!$H$7:$H$2738,$F110))</f>
        <v/>
      </c>
      <c r="J110" s="12" t="str">
        <f aca="false">IF(INDEX(選手一覧!$I$7:$I$2738,$F110)="","",INDEX(選手一覧!$I$7:$I$2738,$F110))</f>
        <v/>
      </c>
    </row>
    <row r="111" customFormat="false" ht="15" hidden="false" customHeight="false" outlineLevel="0" collapsed="false">
      <c r="A111" s="12" t="n">
        <v>107</v>
      </c>
      <c r="B111" s="10" t="s">
        <v>394</v>
      </c>
      <c r="C111" s="10" t="s">
        <v>141</v>
      </c>
      <c r="D111" s="11" t="n">
        <v>0.0102170138888889</v>
      </c>
      <c r="E111" s="18" t="n">
        <f aca="false">ROUND((D111-$D$5)*86400,2)</f>
        <v>93.01</v>
      </c>
      <c r="F111" s="12" t="n">
        <v>236</v>
      </c>
      <c r="G111" s="11" t="str">
        <f aca="false">IF(INDEX(選手一覧!$F$7:$F$2738,$F111)="","",INDEX(選手一覧!$F$7:$F$2738,$F111))</f>
        <v/>
      </c>
      <c r="H111" s="12" t="str">
        <f aca="false">IF(INDEX(選手一覧!$G$7:$G$2738,$F111)="","",INDEX(選手一覧!$G$7:$G$2738,$F111))</f>
        <v/>
      </c>
      <c r="I111" s="11" t="n">
        <f aca="false">IF(INDEX(選手一覧!$H$7:$H$2738,$F111)="","",INDEX(選手一覧!$H$7:$H$2738,$F111))</f>
        <v>0.00274849537037037</v>
      </c>
      <c r="J111" s="12" t="n">
        <f aca="false">IF(INDEX(選手一覧!$I$7:$I$2738,$F111)="","",INDEX(選手一覧!$I$7:$I$2738,$F111))</f>
        <v>97</v>
      </c>
    </row>
    <row r="112" customFormat="false" ht="15" hidden="false" customHeight="false" outlineLevel="0" collapsed="false">
      <c r="A112" s="12" t="n">
        <v>108</v>
      </c>
      <c r="B112" s="10" t="s">
        <v>427</v>
      </c>
      <c r="C112" s="10" t="s">
        <v>312</v>
      </c>
      <c r="D112" s="11" t="n">
        <v>0.0102188657407407</v>
      </c>
      <c r="E112" s="18" t="n">
        <f aca="false">ROUND((D112-$D$5)*86400,2)</f>
        <v>93.17</v>
      </c>
      <c r="F112" s="12" t="n">
        <v>260</v>
      </c>
      <c r="G112" s="11" t="str">
        <f aca="false">IF(INDEX(選手一覧!$F$7:$F$2738,$F112)="","",INDEX(選手一覧!$F$7:$F$2738,$F112))</f>
        <v/>
      </c>
      <c r="H112" s="12" t="str">
        <f aca="false">IF(INDEX(選手一覧!$G$7:$G$2738,$F112)="","",INDEX(選手一覧!$G$7:$G$2738,$F112))</f>
        <v/>
      </c>
      <c r="I112" s="11" t="n">
        <f aca="false">IF(INDEX(選手一覧!$H$7:$H$2738,$F112)="","",INDEX(選手一覧!$H$7:$H$2738,$F112))</f>
        <v>0.00279363425925926</v>
      </c>
      <c r="J112" s="12" t="n">
        <f aca="false">IF(INDEX(選手一覧!$I$7:$I$2738,$F112)="","",INDEX(選手一覧!$I$7:$I$2738,$F112))</f>
        <v>252</v>
      </c>
    </row>
    <row r="113" customFormat="false" ht="15" hidden="false" customHeight="false" outlineLevel="0" collapsed="false">
      <c r="A113" s="12" t="n">
        <v>109</v>
      </c>
      <c r="B113" s="10" t="s">
        <v>431</v>
      </c>
      <c r="C113" s="10" t="s">
        <v>36</v>
      </c>
      <c r="D113" s="11" t="n">
        <v>0.0102216435185185</v>
      </c>
      <c r="E113" s="18" t="n">
        <f aca="false">ROUND((D113-$D$5)*86400,2)</f>
        <v>93.41</v>
      </c>
      <c r="F113" s="12" t="n">
        <v>264</v>
      </c>
      <c r="G113" s="11" t="str">
        <f aca="false">IF(INDEX(選手一覧!$F$7:$F$2738,$F113)="","",INDEX(選手一覧!$F$7:$F$2738,$F113))</f>
        <v/>
      </c>
      <c r="H113" s="12" t="str">
        <f aca="false">IF(INDEX(選手一覧!$G$7:$G$2738,$F113)="","",INDEX(選手一覧!$G$7:$G$2738,$F113))</f>
        <v/>
      </c>
      <c r="I113" s="11" t="n">
        <f aca="false">IF(INDEX(選手一覧!$H$7:$H$2738,$F113)="","",INDEX(選手一覧!$H$7:$H$2738,$F113))</f>
        <v>0.00285625</v>
      </c>
      <c r="J113" s="12" t="n">
        <f aca="false">IF(INDEX(選手一覧!$I$7:$I$2738,$F113)="","",INDEX(選手一覧!$I$7:$I$2738,$F113))</f>
        <v>610</v>
      </c>
    </row>
    <row r="114" customFormat="false" ht="15" hidden="false" customHeight="false" outlineLevel="0" collapsed="false">
      <c r="A114" s="12" t="n">
        <v>110</v>
      </c>
      <c r="B114" s="10" t="s">
        <v>432</v>
      </c>
      <c r="C114" s="10" t="s">
        <v>134</v>
      </c>
      <c r="D114" s="11" t="n">
        <v>0.0102280092592593</v>
      </c>
      <c r="E114" s="18" t="n">
        <f aca="false">ROUND((D114-$D$5)*86400,2)</f>
        <v>93.96</v>
      </c>
      <c r="F114" s="12" t="n">
        <v>265</v>
      </c>
      <c r="G114" s="11" t="str">
        <f aca="false">IF(INDEX(選手一覧!$F$7:$F$2738,$F114)="","",INDEX(選手一覧!$F$7:$F$2738,$F114))</f>
        <v/>
      </c>
      <c r="H114" s="12" t="str">
        <f aca="false">IF(INDEX(選手一覧!$G$7:$G$2738,$F114)="","",INDEX(選手一覧!$G$7:$G$2738,$F114))</f>
        <v/>
      </c>
      <c r="I114" s="11" t="n">
        <f aca="false">IF(INDEX(選手一覧!$H$7:$H$2738,$F114)="","",INDEX(選手一覧!$H$7:$H$2738,$F114))</f>
        <v>0.00285231481481482</v>
      </c>
      <c r="J114" s="12" t="n">
        <f aca="false">IF(INDEX(選手一覧!$I$7:$I$2738,$F114)="","",INDEX(選手一覧!$I$7:$I$2738,$F114))</f>
        <v>581</v>
      </c>
    </row>
    <row r="115" customFormat="false" ht="15" hidden="false" customHeight="false" outlineLevel="0" collapsed="false">
      <c r="A115" s="12" t="n">
        <v>111</v>
      </c>
      <c r="B115" s="10" t="s">
        <v>438</v>
      </c>
      <c r="C115" s="10" t="s">
        <v>237</v>
      </c>
      <c r="D115" s="11" t="n">
        <v>0.0102291666666667</v>
      </c>
      <c r="E115" s="18" t="n">
        <f aca="false">ROUND((D115-$D$5)*86400,2)</f>
        <v>94.06</v>
      </c>
      <c r="F115" s="12" t="n">
        <v>269</v>
      </c>
      <c r="G115" s="11" t="str">
        <f aca="false">IF(INDEX(選手一覧!$F$7:$F$2738,$F115)="","",INDEX(選手一覧!$F$7:$F$2738,$F115))</f>
        <v/>
      </c>
      <c r="H115" s="12" t="str">
        <f aca="false">IF(INDEX(選手一覧!$G$7:$G$2738,$F115)="","",INDEX(選手一覧!$G$7:$G$2738,$F115))</f>
        <v/>
      </c>
      <c r="I115" s="11" t="n">
        <f aca="false">IF(INDEX(選手一覧!$H$7:$H$2738,$F115)="","",INDEX(選手一覧!$H$7:$H$2738,$F115))</f>
        <v>0.00281643518518519</v>
      </c>
      <c r="J115" s="12" t="n">
        <f aca="false">IF(INDEX(選手一覧!$I$7:$I$2738,$F115)="","",INDEX(選手一覧!$I$7:$I$2738,$F115))</f>
        <v>346</v>
      </c>
    </row>
    <row r="116" customFormat="false" ht="15" hidden="false" customHeight="false" outlineLevel="0" collapsed="false">
      <c r="A116" s="12" t="n">
        <v>112</v>
      </c>
      <c r="B116" s="10" t="s">
        <v>347</v>
      </c>
      <c r="C116" s="10" t="s">
        <v>348</v>
      </c>
      <c r="D116" s="11" t="n">
        <v>0.0102315972222222</v>
      </c>
      <c r="E116" s="18" t="n">
        <f aca="false">ROUND((D116-$D$5)*86400,2)</f>
        <v>94.27</v>
      </c>
      <c r="F116" s="12" t="n">
        <v>204</v>
      </c>
      <c r="G116" s="11" t="str">
        <f aca="false">IF(INDEX(選手一覧!$F$7:$F$2738,$F116)="","",INDEX(選手一覧!$F$7:$F$2738,$F116))</f>
        <v/>
      </c>
      <c r="H116" s="12" t="str">
        <f aca="false">IF(INDEX(選手一覧!$G$7:$G$2738,$F116)="","",INDEX(選手一覧!$G$7:$G$2738,$F116))</f>
        <v/>
      </c>
      <c r="I116" s="11" t="n">
        <f aca="false">IF(INDEX(選手一覧!$H$7:$H$2738,$F116)="","",INDEX(選手一覧!$H$7:$H$2738,$F116))</f>
        <v>0.00273877314814815</v>
      </c>
      <c r="J116" s="12" t="n">
        <f aca="false">IF(INDEX(選手一覧!$I$7:$I$2738,$F116)="","",INDEX(選手一覧!$I$7:$I$2738,$F116))</f>
        <v>83</v>
      </c>
    </row>
    <row r="117" customFormat="false" ht="15" hidden="false" customHeight="false" outlineLevel="0" collapsed="false">
      <c r="A117" s="12" t="n">
        <v>113</v>
      </c>
      <c r="B117" s="10" t="s">
        <v>446</v>
      </c>
      <c r="C117" s="10" t="s">
        <v>29</v>
      </c>
      <c r="D117" s="11" t="n">
        <v>0.010234837962963</v>
      </c>
      <c r="E117" s="18" t="n">
        <f aca="false">ROUND((D117-$D$5)*86400,2)</f>
        <v>94.55</v>
      </c>
      <c r="F117" s="12" t="n">
        <v>274</v>
      </c>
      <c r="G117" s="11" t="str">
        <f aca="false">IF(INDEX(選手一覧!$F$7:$F$2738,$F117)="","",INDEX(選手一覧!$F$7:$F$2738,$F117))</f>
        <v/>
      </c>
      <c r="H117" s="12" t="str">
        <f aca="false">IF(INDEX(選手一覧!$G$7:$G$2738,$F117)="","",INDEX(選手一覧!$G$7:$G$2738,$F117))</f>
        <v/>
      </c>
      <c r="I117" s="11" t="str">
        <f aca="false">IF(INDEX(選手一覧!$H$7:$H$2738,$F117)="","",INDEX(選手一覧!$H$7:$H$2738,$F117))</f>
        <v/>
      </c>
      <c r="J117" s="12" t="str">
        <f aca="false">IF(INDEX(選手一覧!$I$7:$I$2738,$F117)="","",INDEX(選手一覧!$I$7:$I$2738,$F117))</f>
        <v/>
      </c>
    </row>
    <row r="118" customFormat="false" ht="15" hidden="false" customHeight="false" outlineLevel="0" collapsed="false">
      <c r="A118" s="12" t="n">
        <v>114</v>
      </c>
      <c r="B118" s="10" t="s">
        <v>133</v>
      </c>
      <c r="C118" s="10" t="s">
        <v>134</v>
      </c>
      <c r="D118" s="11" t="n">
        <v>0.0102357638888889</v>
      </c>
      <c r="E118" s="18" t="n">
        <f aca="false">ROUND((D118-$D$5)*86400,2)</f>
        <v>94.63</v>
      </c>
      <c r="F118" s="12" t="n">
        <v>62</v>
      </c>
      <c r="G118" s="11" t="n">
        <f aca="false">IF(INDEX(選手一覧!$F$7:$F$2738,$F118)="","",INDEX(選手一覧!$F$7:$F$2738,$F118))</f>
        <v>0.00656354166666667</v>
      </c>
      <c r="H118" s="12" t="n">
        <f aca="false">IF(INDEX(選手一覧!$G$7:$G$2738,$F118)="","",INDEX(選手一覧!$G$7:$G$2738,$F118))</f>
        <v>50</v>
      </c>
      <c r="I118" s="11" t="n">
        <f aca="false">IF(INDEX(選手一覧!$H$7:$H$2738,$F118)="","",INDEX(選手一覧!$H$7:$H$2738,$F118))</f>
        <v>0.00269826388888889</v>
      </c>
      <c r="J118" s="12" t="n">
        <f aca="false">IF(INDEX(選手一覧!$I$7:$I$2738,$F118)="","",INDEX(選手一覧!$I$7:$I$2738,$F118))</f>
        <v>25</v>
      </c>
    </row>
    <row r="119" customFormat="false" ht="15" hidden="false" customHeight="false" outlineLevel="0" collapsed="false">
      <c r="A119" s="12" t="n">
        <v>115</v>
      </c>
      <c r="B119" s="10" t="s">
        <v>452</v>
      </c>
      <c r="C119" s="10" t="s">
        <v>79</v>
      </c>
      <c r="D119" s="11" t="n">
        <v>0.0102358796296296</v>
      </c>
      <c r="E119" s="18" t="n">
        <f aca="false">ROUND((D119-$D$5)*86400,2)</f>
        <v>94.64</v>
      </c>
      <c r="F119" s="12" t="n">
        <v>279</v>
      </c>
      <c r="G119" s="11" t="str">
        <f aca="false">IF(INDEX(選手一覧!$F$7:$F$2738,$F119)="","",INDEX(選手一覧!$F$7:$F$2738,$F119))</f>
        <v/>
      </c>
      <c r="H119" s="12" t="str">
        <f aca="false">IF(INDEX(選手一覧!$G$7:$G$2738,$F119)="","",INDEX(選手一覧!$G$7:$G$2738,$F119))</f>
        <v/>
      </c>
      <c r="I119" s="11" t="n">
        <f aca="false">IF(INDEX(選手一覧!$H$7:$H$2738,$F119)="","",INDEX(選手一覧!$H$7:$H$2738,$F119))</f>
        <v>0.0029318287037037</v>
      </c>
      <c r="J119" s="12" t="n">
        <f aca="false">IF(INDEX(選手一覧!$I$7:$I$2738,$F119)="","",INDEX(選手一覧!$I$7:$I$2738,$F119))</f>
        <v>1177</v>
      </c>
    </row>
    <row r="120" customFormat="false" ht="15" hidden="false" customHeight="false" outlineLevel="0" collapsed="false">
      <c r="A120" s="12" t="n">
        <v>116</v>
      </c>
      <c r="B120" s="10" t="s">
        <v>454</v>
      </c>
      <c r="C120" s="10" t="s">
        <v>213</v>
      </c>
      <c r="D120" s="11" t="n">
        <v>0.0102368055555556</v>
      </c>
      <c r="E120" s="18" t="n">
        <f aca="false">ROUND((D120-$D$5)*86400,2)</f>
        <v>94.72</v>
      </c>
      <c r="F120" s="12" t="n">
        <v>281</v>
      </c>
      <c r="G120" s="11" t="str">
        <f aca="false">IF(INDEX(選手一覧!$F$7:$F$2738,$F120)="","",INDEX(選手一覧!$F$7:$F$2738,$F120))</f>
        <v/>
      </c>
      <c r="H120" s="12" t="str">
        <f aca="false">IF(INDEX(選手一覧!$G$7:$G$2738,$F120)="","",INDEX(選手一覧!$G$7:$G$2738,$F120))</f>
        <v/>
      </c>
      <c r="I120" s="11" t="str">
        <f aca="false">IF(INDEX(選手一覧!$H$7:$H$2738,$F120)="","",INDEX(選手一覧!$H$7:$H$2738,$F120))</f>
        <v/>
      </c>
      <c r="J120" s="12" t="str">
        <f aca="false">IF(INDEX(選手一覧!$I$7:$I$2738,$F120)="","",INDEX(選手一覧!$I$7:$I$2738,$F120))</f>
        <v/>
      </c>
    </row>
    <row r="121" customFormat="false" ht="15" hidden="false" customHeight="false" outlineLevel="0" collapsed="false">
      <c r="A121" s="12" t="n">
        <v>117</v>
      </c>
      <c r="B121" s="10" t="s">
        <v>458</v>
      </c>
      <c r="C121" s="10" t="s">
        <v>229</v>
      </c>
      <c r="D121" s="11" t="n">
        <v>0.0102376157407407</v>
      </c>
      <c r="E121" s="18" t="n">
        <f aca="false">ROUND((D121-$D$5)*86400,2)</f>
        <v>94.79</v>
      </c>
      <c r="F121" s="12" t="n">
        <v>284</v>
      </c>
      <c r="G121" s="11" t="str">
        <f aca="false">IF(INDEX(選手一覧!$F$7:$F$2738,$F121)="","",INDEX(選手一覧!$F$7:$F$2738,$F121))</f>
        <v/>
      </c>
      <c r="H121" s="12" t="str">
        <f aca="false">IF(INDEX(選手一覧!$G$7:$G$2738,$F121)="","",INDEX(選手一覧!$G$7:$G$2738,$F121))</f>
        <v/>
      </c>
      <c r="I121" s="11" t="n">
        <f aca="false">IF(INDEX(選手一覧!$H$7:$H$2738,$F121)="","",INDEX(選手一覧!$H$7:$H$2738,$F121))</f>
        <v>0.00285590277777778</v>
      </c>
      <c r="J121" s="12" t="n">
        <f aca="false">IF(INDEX(選手一覧!$I$7:$I$2738,$F121)="","",INDEX(選手一覧!$I$7:$I$2738,$F121))</f>
        <v>605</v>
      </c>
    </row>
    <row r="122" customFormat="false" ht="15" hidden="false" customHeight="false" outlineLevel="0" collapsed="false">
      <c r="A122" s="12" t="n">
        <v>118</v>
      </c>
      <c r="B122" s="10" t="s">
        <v>461</v>
      </c>
      <c r="C122" s="10" t="s">
        <v>462</v>
      </c>
      <c r="D122" s="11" t="n">
        <v>0.0102384259259259</v>
      </c>
      <c r="E122" s="18" t="n">
        <f aca="false">ROUND((D122-$D$5)*86400,2)</f>
        <v>94.86</v>
      </c>
      <c r="F122" s="12" t="n">
        <v>286</v>
      </c>
      <c r="G122" s="11" t="str">
        <f aca="false">IF(INDEX(選手一覧!$F$7:$F$2738,$F122)="","",INDEX(選手一覧!$F$7:$F$2738,$F122))</f>
        <v/>
      </c>
      <c r="H122" s="12" t="str">
        <f aca="false">IF(INDEX(選手一覧!$G$7:$G$2738,$F122)="","",INDEX(選手一覧!$G$7:$G$2738,$F122))</f>
        <v/>
      </c>
      <c r="I122" s="11" t="n">
        <f aca="false">IF(INDEX(選手一覧!$H$7:$H$2738,$F122)="","",INDEX(選手一覧!$H$7:$H$2738,$F122))</f>
        <v>0.00276053240740741</v>
      </c>
      <c r="J122" s="12" t="n">
        <f aca="false">IF(INDEX(選手一覧!$I$7:$I$2738,$F122)="","",INDEX(選手一覧!$I$7:$I$2738,$F122))</f>
        <v>137</v>
      </c>
    </row>
    <row r="123" customFormat="false" ht="15" hidden="false" customHeight="false" outlineLevel="0" collapsed="false">
      <c r="A123" s="12" t="n">
        <v>119</v>
      </c>
      <c r="B123" s="10" t="s">
        <v>466</v>
      </c>
      <c r="C123" s="10" t="s">
        <v>467</v>
      </c>
      <c r="D123" s="11" t="n">
        <v>0.0102386574074074</v>
      </c>
      <c r="E123" s="18" t="n">
        <f aca="false">ROUND((D123-$D$5)*86400,2)</f>
        <v>94.88</v>
      </c>
      <c r="F123" s="12" t="n">
        <v>289</v>
      </c>
      <c r="G123" s="11" t="str">
        <f aca="false">IF(INDEX(選手一覧!$F$7:$F$2738,$F123)="","",INDEX(選手一覧!$F$7:$F$2738,$F123))</f>
        <v/>
      </c>
      <c r="H123" s="12" t="str">
        <f aca="false">IF(INDEX(選手一覧!$G$7:$G$2738,$F123)="","",INDEX(選手一覧!$G$7:$G$2738,$F123))</f>
        <v/>
      </c>
      <c r="I123" s="11" t="n">
        <f aca="false">IF(INDEX(選手一覧!$H$7:$H$2738,$F123)="","",INDEX(選手一覧!$H$7:$H$2738,$F123))</f>
        <v>0.00282083333333333</v>
      </c>
      <c r="J123" s="12" t="n">
        <f aca="false">IF(INDEX(選手一覧!$I$7:$I$2738,$F123)="","",INDEX(選手一覧!$I$7:$I$2738,$F123))</f>
        <v>368</v>
      </c>
    </row>
    <row r="124" customFormat="false" ht="15" hidden="false" customHeight="false" outlineLevel="0" collapsed="false">
      <c r="A124" s="12" t="n">
        <v>120</v>
      </c>
      <c r="B124" s="10" t="s">
        <v>470</v>
      </c>
      <c r="C124" s="10" t="s">
        <v>471</v>
      </c>
      <c r="D124" s="11" t="n">
        <v>0.0102403935185185</v>
      </c>
      <c r="E124" s="18" t="n">
        <f aca="false">ROUND((D124-$D$5)*86400,2)</f>
        <v>95.03</v>
      </c>
      <c r="F124" s="12" t="n">
        <v>291</v>
      </c>
      <c r="G124" s="11" t="str">
        <f aca="false">IF(INDEX(選手一覧!$F$7:$F$2738,$F124)="","",INDEX(選手一覧!$F$7:$F$2738,$F124))</f>
        <v/>
      </c>
      <c r="H124" s="12" t="str">
        <f aca="false">IF(INDEX(選手一覧!$G$7:$G$2738,$F124)="","",INDEX(選手一覧!$G$7:$G$2738,$F124))</f>
        <v/>
      </c>
      <c r="I124" s="11" t="n">
        <f aca="false">IF(INDEX(選手一覧!$H$7:$H$2738,$F124)="","",INDEX(選手一覧!$H$7:$H$2738,$F124))</f>
        <v>0.00279675925925926</v>
      </c>
      <c r="J124" s="12" t="n">
        <f aca="false">IF(INDEX(選手一覧!$I$7:$I$2738,$F124)="","",INDEX(選手一覧!$I$7:$I$2738,$F124))</f>
        <v>268</v>
      </c>
    </row>
    <row r="125" customFormat="false" ht="15" hidden="false" customHeight="false" outlineLevel="0" collapsed="false">
      <c r="A125" s="12" t="n">
        <v>121</v>
      </c>
      <c r="B125" s="10" t="s">
        <v>472</v>
      </c>
      <c r="C125" s="10" t="s">
        <v>473</v>
      </c>
      <c r="D125" s="11" t="n">
        <v>0.0102405092592593</v>
      </c>
      <c r="E125" s="18" t="n">
        <f aca="false">ROUND((D125-$D$5)*86400,2)</f>
        <v>95.04</v>
      </c>
      <c r="F125" s="12" t="n">
        <v>292</v>
      </c>
      <c r="G125" s="11" t="str">
        <f aca="false">IF(INDEX(選手一覧!$F$7:$F$2738,$F125)="","",INDEX(選手一覧!$F$7:$F$2738,$F125))</f>
        <v/>
      </c>
      <c r="H125" s="12" t="str">
        <f aca="false">IF(INDEX(選手一覧!$G$7:$G$2738,$F125)="","",INDEX(選手一覧!$G$7:$G$2738,$F125))</f>
        <v/>
      </c>
      <c r="I125" s="11" t="n">
        <f aca="false">IF(INDEX(選手一覧!$H$7:$H$2738,$F125)="","",INDEX(選手一覧!$H$7:$H$2738,$F125))</f>
        <v>0.00284490740740741</v>
      </c>
      <c r="J125" s="12" t="n">
        <f aca="false">IF(INDEX(選手一覧!$I$7:$I$2738,$F125)="","",INDEX(選手一覧!$I$7:$I$2738,$F125))</f>
        <v>535</v>
      </c>
    </row>
    <row r="126" customFormat="false" ht="15" hidden="false" customHeight="false" outlineLevel="0" collapsed="false">
      <c r="A126" s="12" t="n">
        <v>122</v>
      </c>
      <c r="B126" s="10" t="s">
        <v>477</v>
      </c>
      <c r="C126" s="10" t="s">
        <v>29</v>
      </c>
      <c r="D126" s="11" t="n">
        <v>0.0102427083333333</v>
      </c>
      <c r="E126" s="18" t="n">
        <f aca="false">ROUND((D126-$D$5)*86400,2)</f>
        <v>95.23</v>
      </c>
      <c r="F126" s="12" t="n">
        <v>296</v>
      </c>
      <c r="G126" s="11" t="str">
        <f aca="false">IF(INDEX(選手一覧!$F$7:$F$2738,$F126)="","",INDEX(選手一覧!$F$7:$F$2738,$F126))</f>
        <v/>
      </c>
      <c r="H126" s="12" t="str">
        <f aca="false">IF(INDEX(選手一覧!$G$7:$G$2738,$F126)="","",INDEX(選手一覧!$G$7:$G$2738,$F126))</f>
        <v/>
      </c>
      <c r="I126" s="11" t="n">
        <f aca="false">IF(INDEX(選手一覧!$H$7:$H$2738,$F126)="","",INDEX(選手一覧!$H$7:$H$2738,$F126))</f>
        <v>0.00289537037037037</v>
      </c>
      <c r="J126" s="12" t="n">
        <f aca="false">IF(INDEX(選手一覧!$I$7:$I$2738,$F126)="","",INDEX(選手一覧!$I$7:$I$2738,$F126))</f>
        <v>913</v>
      </c>
    </row>
    <row r="127" customFormat="false" ht="15" hidden="false" customHeight="false" outlineLevel="0" collapsed="false">
      <c r="A127" s="12" t="n">
        <v>123</v>
      </c>
      <c r="B127" s="10" t="s">
        <v>398</v>
      </c>
      <c r="C127" s="10" t="s">
        <v>399</v>
      </c>
      <c r="D127" s="11" t="n">
        <v>0.0102435185185185</v>
      </c>
      <c r="E127" s="18" t="n">
        <f aca="false">ROUND((D127-$D$5)*86400,2)</f>
        <v>95.3</v>
      </c>
      <c r="F127" s="12" t="n">
        <v>239</v>
      </c>
      <c r="G127" s="11" t="str">
        <f aca="false">IF(INDEX(選手一覧!$F$7:$F$2738,$F127)="","",INDEX(選手一覧!$F$7:$F$2738,$F127))</f>
        <v/>
      </c>
      <c r="H127" s="12" t="str">
        <f aca="false">IF(INDEX(選手一覧!$G$7:$G$2738,$F127)="","",INDEX(選手一覧!$G$7:$G$2738,$F127))</f>
        <v/>
      </c>
      <c r="I127" s="11" t="n">
        <f aca="false">IF(INDEX(選手一覧!$H$7:$H$2738,$F127)="","",INDEX(選手一覧!$H$7:$H$2738,$F127))</f>
        <v>0.00274872685185185</v>
      </c>
      <c r="J127" s="12" t="n">
        <f aca="false">IF(INDEX(選手一覧!$I$7:$I$2738,$F127)="","",INDEX(選手一覧!$I$7:$I$2738,$F127))</f>
        <v>99</v>
      </c>
    </row>
    <row r="128" customFormat="false" ht="15" hidden="false" customHeight="false" outlineLevel="0" collapsed="false">
      <c r="A128" s="12" t="n">
        <v>124</v>
      </c>
      <c r="B128" s="10" t="s">
        <v>481</v>
      </c>
      <c r="C128" s="10" t="s">
        <v>482</v>
      </c>
      <c r="D128" s="11" t="n">
        <v>0.0102439814814815</v>
      </c>
      <c r="E128" s="18" t="n">
        <f aca="false">ROUND((D128-$D$5)*86400,2)</f>
        <v>95.34</v>
      </c>
      <c r="F128" s="12" t="n">
        <v>299</v>
      </c>
      <c r="G128" s="11" t="str">
        <f aca="false">IF(INDEX(選手一覧!$F$7:$F$2738,$F128)="","",INDEX(選手一覧!$F$7:$F$2738,$F128))</f>
        <v/>
      </c>
      <c r="H128" s="12" t="str">
        <f aca="false">IF(INDEX(選手一覧!$G$7:$G$2738,$F128)="","",INDEX(選手一覧!$G$7:$G$2738,$F128))</f>
        <v/>
      </c>
      <c r="I128" s="11" t="n">
        <f aca="false">IF(INDEX(選手一覧!$H$7:$H$2738,$F128)="","",INDEX(選手一覧!$H$7:$H$2738,$F128))</f>
        <v>0.00282534722222222</v>
      </c>
      <c r="J128" s="12" t="n">
        <f aca="false">IF(INDEX(選手一覧!$I$7:$I$2738,$F128)="","",INDEX(選手一覧!$I$7:$I$2738,$F128))</f>
        <v>395</v>
      </c>
    </row>
    <row r="129" customFormat="false" ht="15" hidden="false" customHeight="false" outlineLevel="0" collapsed="false">
      <c r="A129" s="12" t="n">
        <v>125</v>
      </c>
      <c r="B129" s="10" t="s">
        <v>487</v>
      </c>
      <c r="C129" s="10" t="s">
        <v>55</v>
      </c>
      <c r="D129" s="11" t="n">
        <v>0.0102445601851852</v>
      </c>
      <c r="E129" s="18" t="n">
        <f aca="false">ROUND((D129-$D$5)*86400,2)</f>
        <v>95.39</v>
      </c>
      <c r="F129" s="12" t="n">
        <v>302</v>
      </c>
      <c r="G129" s="11" t="str">
        <f aca="false">IF(INDEX(選手一覧!$F$7:$F$2738,$F129)="","",INDEX(選手一覧!$F$7:$F$2738,$F129))</f>
        <v/>
      </c>
      <c r="H129" s="12" t="str">
        <f aca="false">IF(INDEX(選手一覧!$G$7:$G$2738,$F129)="","",INDEX(選手一覧!$G$7:$G$2738,$F129))</f>
        <v/>
      </c>
      <c r="I129" s="11" t="n">
        <f aca="false">IF(INDEX(選手一覧!$H$7:$H$2738,$F129)="","",INDEX(選手一覧!$H$7:$H$2738,$F129))</f>
        <v>0.00285393518518519</v>
      </c>
      <c r="J129" s="12" t="n">
        <f aca="false">IF(INDEX(選手一覧!$I$7:$I$2738,$F129)="","",INDEX(選手一覧!$I$7:$I$2738,$F129))</f>
        <v>593</v>
      </c>
    </row>
    <row r="130" customFormat="false" ht="15" hidden="false" customHeight="false" outlineLevel="0" collapsed="false">
      <c r="A130" s="12" t="n">
        <v>126</v>
      </c>
      <c r="B130" s="10" t="s">
        <v>219</v>
      </c>
      <c r="C130" s="10" t="s">
        <v>220</v>
      </c>
      <c r="D130" s="11" t="n">
        <v>0.0102458333333333</v>
      </c>
      <c r="E130" s="18" t="n">
        <f aca="false">ROUND((D130-$D$5)*86400,2)</f>
        <v>95.5</v>
      </c>
      <c r="F130" s="12" t="n">
        <v>115</v>
      </c>
      <c r="G130" s="11" t="n">
        <f aca="false">IF(INDEX(選手一覧!$F$7:$F$2738,$F130)="","",INDEX(選手一覧!$F$7:$F$2738,$F130))</f>
        <v>0.00804594907407407</v>
      </c>
      <c r="H130" s="12" t="n">
        <f aca="false">IF(INDEX(選手一覧!$G$7:$G$2738,$F130)="","",INDEX(選手一覧!$G$7:$G$2738,$F130))</f>
        <v>1199</v>
      </c>
      <c r="I130" s="11" t="n">
        <f aca="false">IF(INDEX(選手一覧!$H$7:$H$2738,$F130)="","",INDEX(選手一覧!$H$7:$H$2738,$F130))</f>
        <v>0.00271724537037037</v>
      </c>
      <c r="J130" s="12" t="n">
        <f aca="false">IF(INDEX(選手一覧!$I$7:$I$2738,$F130)="","",INDEX(選手一覧!$I$7:$I$2738,$F130))</f>
        <v>44</v>
      </c>
    </row>
    <row r="131" customFormat="false" ht="15" hidden="false" customHeight="false" outlineLevel="0" collapsed="false">
      <c r="A131" s="12" t="n">
        <v>127</v>
      </c>
      <c r="B131" s="10" t="s">
        <v>496</v>
      </c>
      <c r="C131" s="10" t="s">
        <v>218</v>
      </c>
      <c r="D131" s="11" t="n">
        <v>0.0102467592592593</v>
      </c>
      <c r="E131" s="18" t="n">
        <f aca="false">ROUND((D131-$D$5)*86400,2)</f>
        <v>95.58</v>
      </c>
      <c r="F131" s="12" t="n">
        <v>308</v>
      </c>
      <c r="G131" s="11" t="str">
        <f aca="false">IF(INDEX(選手一覧!$F$7:$F$2738,$F131)="","",INDEX(選手一覧!$F$7:$F$2738,$F131))</f>
        <v/>
      </c>
      <c r="H131" s="12" t="str">
        <f aca="false">IF(INDEX(選手一覧!$G$7:$G$2738,$F131)="","",INDEX(選手一覧!$G$7:$G$2738,$F131))</f>
        <v/>
      </c>
      <c r="I131" s="11" t="n">
        <f aca="false">IF(INDEX(選手一覧!$H$7:$H$2738,$F131)="","",INDEX(選手一覧!$H$7:$H$2738,$F131))</f>
        <v>0.00287627314814815</v>
      </c>
      <c r="J131" s="12" t="n">
        <f aca="false">IF(INDEX(選手一覧!$I$7:$I$2738,$F131)="","",INDEX(選手一覧!$I$7:$I$2738,$F131))</f>
        <v>741</v>
      </c>
    </row>
    <row r="132" customFormat="false" ht="15" hidden="false" customHeight="false" outlineLevel="0" collapsed="false">
      <c r="A132" s="12" t="n">
        <v>128</v>
      </c>
      <c r="B132" s="10" t="s">
        <v>497</v>
      </c>
      <c r="C132" s="10" t="s">
        <v>312</v>
      </c>
      <c r="D132" s="11" t="n">
        <v>0.0102480324074074</v>
      </c>
      <c r="E132" s="18" t="n">
        <f aca="false">ROUND((D132-$D$5)*86400,2)</f>
        <v>95.69</v>
      </c>
      <c r="F132" s="12" t="n">
        <v>309</v>
      </c>
      <c r="G132" s="11" t="str">
        <f aca="false">IF(INDEX(選手一覧!$F$7:$F$2738,$F132)="","",INDEX(選手一覧!$F$7:$F$2738,$F132))</f>
        <v/>
      </c>
      <c r="H132" s="12" t="str">
        <f aca="false">IF(INDEX(選手一覧!$G$7:$G$2738,$F132)="","",INDEX(選手一覧!$G$7:$G$2738,$F132))</f>
        <v/>
      </c>
      <c r="I132" s="11" t="n">
        <f aca="false">IF(INDEX(選手一覧!$H$7:$H$2738,$F132)="","",INDEX(選手一覧!$H$7:$H$2738,$F132))</f>
        <v>0.00277349537037037</v>
      </c>
      <c r="J132" s="12" t="n">
        <f aca="false">IF(INDEX(選手一覧!$I$7:$I$2738,$F132)="","",INDEX(選手一覧!$I$7:$I$2738,$F132))</f>
        <v>170</v>
      </c>
    </row>
    <row r="133" customFormat="false" ht="15" hidden="false" customHeight="false" outlineLevel="0" collapsed="false">
      <c r="A133" s="12" t="n">
        <v>129</v>
      </c>
      <c r="B133" s="10" t="s">
        <v>501</v>
      </c>
      <c r="C133" s="10" t="s">
        <v>502</v>
      </c>
      <c r="D133" s="11" t="n">
        <v>0.0102574074074074</v>
      </c>
      <c r="E133" s="18" t="n">
        <f aca="false">ROUND((D133-$D$5)*86400,2)</f>
        <v>96.5</v>
      </c>
      <c r="F133" s="12" t="n">
        <v>312</v>
      </c>
      <c r="G133" s="11" t="str">
        <f aca="false">IF(INDEX(選手一覧!$F$7:$F$2738,$F133)="","",INDEX(選手一覧!$F$7:$F$2738,$F133))</f>
        <v/>
      </c>
      <c r="H133" s="12" t="str">
        <f aca="false">IF(INDEX(選手一覧!$G$7:$G$2738,$F133)="","",INDEX(選手一覧!$G$7:$G$2738,$F133))</f>
        <v/>
      </c>
      <c r="I133" s="11" t="n">
        <f aca="false">IF(INDEX(選手一覧!$H$7:$H$2738,$F133)="","",INDEX(選手一覧!$H$7:$H$2738,$F133))</f>
        <v>0.00276655092592593</v>
      </c>
      <c r="J133" s="12" t="n">
        <f aca="false">IF(INDEX(選手一覧!$I$7:$I$2738,$F133)="","",INDEX(選手一覧!$I$7:$I$2738,$F133))</f>
        <v>152</v>
      </c>
    </row>
    <row r="134" customFormat="false" ht="15" hidden="false" customHeight="false" outlineLevel="0" collapsed="false">
      <c r="A134" s="12" t="n">
        <v>130</v>
      </c>
      <c r="B134" s="10" t="s">
        <v>507</v>
      </c>
      <c r="C134" s="10" t="s">
        <v>508</v>
      </c>
      <c r="D134" s="11" t="n">
        <v>0.0102626157407407</v>
      </c>
      <c r="E134" s="18" t="n">
        <f aca="false">ROUND((D134-$D$5)*86400,2)</f>
        <v>96.95</v>
      </c>
      <c r="F134" s="12" t="n">
        <v>315</v>
      </c>
      <c r="G134" s="11" t="str">
        <f aca="false">IF(INDEX(選手一覧!$F$7:$F$2738,$F134)="","",INDEX(選手一覧!$F$7:$F$2738,$F134))</f>
        <v/>
      </c>
      <c r="H134" s="12" t="str">
        <f aca="false">IF(INDEX(選手一覧!$G$7:$G$2738,$F134)="","",INDEX(選手一覧!$G$7:$G$2738,$F134))</f>
        <v/>
      </c>
      <c r="I134" s="11" t="n">
        <f aca="false">IF(INDEX(選手一覧!$H$7:$H$2738,$F134)="","",INDEX(選手一覧!$H$7:$H$2738,$F134))</f>
        <v>0.0027681712962963</v>
      </c>
      <c r="J134" s="12" t="n">
        <f aca="false">IF(INDEX(選手一覧!$I$7:$I$2738,$F134)="","",INDEX(選手一覧!$I$7:$I$2738,$F134))</f>
        <v>158</v>
      </c>
    </row>
    <row r="135" customFormat="false" ht="15" hidden="false" customHeight="false" outlineLevel="0" collapsed="false">
      <c r="A135" s="12" t="n">
        <v>131</v>
      </c>
      <c r="B135" s="10" t="s">
        <v>514</v>
      </c>
      <c r="C135" s="10" t="s">
        <v>175</v>
      </c>
      <c r="D135" s="11" t="n">
        <v>0.0102633101851852</v>
      </c>
      <c r="E135" s="18" t="n">
        <f aca="false">ROUND((D135-$D$5)*86400,2)</f>
        <v>97.01</v>
      </c>
      <c r="F135" s="12" t="n">
        <v>318</v>
      </c>
      <c r="G135" s="11" t="str">
        <f aca="false">IF(INDEX(選手一覧!$F$7:$F$2738,$F135)="","",INDEX(選手一覧!$F$7:$F$2738,$F135))</f>
        <v/>
      </c>
      <c r="H135" s="12" t="str">
        <f aca="false">IF(INDEX(選手一覧!$G$7:$G$2738,$F135)="","",INDEX(選手一覧!$G$7:$G$2738,$F135))</f>
        <v/>
      </c>
      <c r="I135" s="11" t="str">
        <f aca="false">IF(INDEX(選手一覧!$H$7:$H$2738,$F135)="","",INDEX(選手一覧!$H$7:$H$2738,$F135))</f>
        <v/>
      </c>
      <c r="J135" s="12" t="str">
        <f aca="false">IF(INDEX(選手一覧!$I$7:$I$2738,$F135)="","",INDEX(選手一覧!$I$7:$I$2738,$F135))</f>
        <v/>
      </c>
    </row>
    <row r="136" customFormat="false" ht="15" hidden="false" customHeight="false" outlineLevel="0" collapsed="false">
      <c r="A136" s="12" t="n">
        <v>132</v>
      </c>
      <c r="B136" s="10" t="s">
        <v>334</v>
      </c>
      <c r="C136" s="10" t="s">
        <v>141</v>
      </c>
      <c r="D136" s="11" t="n">
        <v>0.0102657407407407</v>
      </c>
      <c r="E136" s="18" t="n">
        <f aca="false">ROUND((D136-$D$5)*86400,2)</f>
        <v>97.22</v>
      </c>
      <c r="F136" s="12" t="n">
        <v>194</v>
      </c>
      <c r="G136" s="11" t="n">
        <f aca="false">IF(INDEX(選手一覧!$F$7:$F$2738,$F136)="","",INDEX(選手一覧!$F$7:$F$2738,$F136))</f>
        <v>0.00676458333333333</v>
      </c>
      <c r="H136" s="12" t="n">
        <f aca="false">IF(INDEX(選手一覧!$G$7:$G$2738,$F136)="","",INDEX(選手一覧!$G$7:$G$2738,$F136))</f>
        <v>141</v>
      </c>
      <c r="I136" s="11" t="n">
        <f aca="false">IF(INDEX(選手一覧!$H$7:$H$2738,$F136)="","",INDEX(選手一覧!$H$7:$H$2738,$F136))</f>
        <v>0.00273703703703704</v>
      </c>
      <c r="J136" s="12" t="n">
        <f aca="false">IF(INDEX(選手一覧!$I$7:$I$2738,$F136)="","",INDEX(選手一覧!$I$7:$I$2738,$F136))</f>
        <v>79</v>
      </c>
    </row>
    <row r="137" customFormat="false" ht="15" hidden="false" customHeight="false" outlineLevel="0" collapsed="false">
      <c r="A137" s="12" t="n">
        <v>133</v>
      </c>
      <c r="B137" s="10" t="s">
        <v>517</v>
      </c>
      <c r="C137" s="10" t="s">
        <v>350</v>
      </c>
      <c r="D137" s="11" t="n">
        <v>0.0102665509259259</v>
      </c>
      <c r="E137" s="18" t="n">
        <f aca="false">ROUND((D137-$D$5)*86400,2)</f>
        <v>97.29</v>
      </c>
      <c r="F137" s="12" t="n">
        <v>321</v>
      </c>
      <c r="G137" s="11" t="str">
        <f aca="false">IF(INDEX(選手一覧!$F$7:$F$2738,$F137)="","",INDEX(選手一覧!$F$7:$F$2738,$F137))</f>
        <v/>
      </c>
      <c r="H137" s="12" t="str">
        <f aca="false">IF(INDEX(選手一覧!$G$7:$G$2738,$F137)="","",INDEX(選手一覧!$G$7:$G$2738,$F137))</f>
        <v/>
      </c>
      <c r="I137" s="11" t="str">
        <f aca="false">IF(INDEX(選手一覧!$H$7:$H$2738,$F137)="","",INDEX(選手一覧!$H$7:$H$2738,$F137))</f>
        <v/>
      </c>
      <c r="J137" s="12" t="str">
        <f aca="false">IF(INDEX(選手一覧!$I$7:$I$2738,$F137)="","",INDEX(選手一覧!$I$7:$I$2738,$F137))</f>
        <v/>
      </c>
    </row>
    <row r="138" customFormat="false" ht="15" hidden="false" customHeight="false" outlineLevel="0" collapsed="false">
      <c r="A138" s="12" t="n">
        <v>134</v>
      </c>
      <c r="B138" s="10" t="s">
        <v>522</v>
      </c>
      <c r="C138" s="10" t="s">
        <v>523</v>
      </c>
      <c r="D138" s="11" t="n">
        <v>0.0102667824074074</v>
      </c>
      <c r="E138" s="18" t="n">
        <f aca="false">ROUND((D138-$D$5)*86400,2)</f>
        <v>97.31</v>
      </c>
      <c r="F138" s="12" t="n">
        <v>324</v>
      </c>
      <c r="G138" s="11" t="str">
        <f aca="false">IF(INDEX(選手一覧!$F$7:$F$2738,$F138)="","",INDEX(選手一覧!$F$7:$F$2738,$F138))</f>
        <v/>
      </c>
      <c r="H138" s="12" t="str">
        <f aca="false">IF(INDEX(選手一覧!$G$7:$G$2738,$F138)="","",INDEX(選手一覧!$G$7:$G$2738,$F138))</f>
        <v/>
      </c>
      <c r="I138" s="11" t="str">
        <f aca="false">IF(INDEX(選手一覧!$H$7:$H$2738,$F138)="","",INDEX(選手一覧!$H$7:$H$2738,$F138))</f>
        <v/>
      </c>
      <c r="J138" s="12" t="str">
        <f aca="false">IF(INDEX(選手一覧!$I$7:$I$2738,$F138)="","",INDEX(選手一覧!$I$7:$I$2738,$F138))</f>
        <v/>
      </c>
    </row>
    <row r="139" customFormat="false" ht="15" hidden="false" customHeight="false" outlineLevel="0" collapsed="false">
      <c r="A139" s="12" t="n">
        <v>135</v>
      </c>
      <c r="B139" s="10" t="s">
        <v>524</v>
      </c>
      <c r="C139" s="10" t="s">
        <v>257</v>
      </c>
      <c r="D139" s="11" t="n">
        <v>0.0102670138888889</v>
      </c>
      <c r="E139" s="18" t="n">
        <f aca="false">ROUND((D139-$D$5)*86400,2)</f>
        <v>97.33</v>
      </c>
      <c r="F139" s="12" t="n">
        <v>325</v>
      </c>
      <c r="G139" s="11" t="n">
        <f aca="false">IF(INDEX(選手一覧!$F$7:$F$2738,$F139)="","",INDEX(選手一覧!$F$7:$F$2738,$F139))</f>
        <v>0.00697407407407407</v>
      </c>
      <c r="H139" s="12" t="n">
        <f aca="false">IF(INDEX(選手一覧!$G$7:$G$2738,$F139)="","",INDEX(選手一覧!$G$7:$G$2738,$F139))</f>
        <v>308</v>
      </c>
      <c r="I139" s="11" t="n">
        <f aca="false">IF(INDEX(選手一覧!$H$7:$H$2738,$F139)="","",INDEX(選手一覧!$H$7:$H$2738,$F139))</f>
        <v>0.00291087962962963</v>
      </c>
      <c r="J139" s="12" t="n">
        <f aca="false">IF(INDEX(選手一覧!$I$7:$I$2738,$F139)="","",INDEX(選手一覧!$I$7:$I$2738,$F139))</f>
        <v>1028</v>
      </c>
    </row>
    <row r="140" customFormat="false" ht="15" hidden="false" customHeight="false" outlineLevel="0" collapsed="false">
      <c r="A140" s="12" t="n">
        <v>136</v>
      </c>
      <c r="B140" s="10" t="s">
        <v>527</v>
      </c>
      <c r="C140" s="10" t="s">
        <v>484</v>
      </c>
      <c r="D140" s="11" t="n">
        <v>0.0102678240740741</v>
      </c>
      <c r="E140" s="18" t="n">
        <f aca="false">ROUND((D140-$D$5)*86400,2)</f>
        <v>97.4</v>
      </c>
      <c r="F140" s="12" t="n">
        <v>328</v>
      </c>
      <c r="G140" s="11" t="str">
        <f aca="false">IF(INDEX(選手一覧!$F$7:$F$2738,$F140)="","",INDEX(選手一覧!$F$7:$F$2738,$F140))</f>
        <v/>
      </c>
      <c r="H140" s="12" t="str">
        <f aca="false">IF(INDEX(選手一覧!$G$7:$G$2738,$F140)="","",INDEX(選手一覧!$G$7:$G$2738,$F140))</f>
        <v/>
      </c>
      <c r="I140" s="11" t="str">
        <f aca="false">IF(INDEX(選手一覧!$H$7:$H$2738,$F140)="","",INDEX(選手一覧!$H$7:$H$2738,$F140))</f>
        <v/>
      </c>
      <c r="J140" s="12" t="str">
        <f aca="false">IF(INDEX(選手一覧!$I$7:$I$2738,$F140)="","",INDEX(選手一覧!$I$7:$I$2738,$F140))</f>
        <v/>
      </c>
    </row>
    <row r="141" customFormat="false" ht="15" hidden="false" customHeight="false" outlineLevel="0" collapsed="false">
      <c r="A141" s="12" t="n">
        <v>137</v>
      </c>
      <c r="B141" s="10" t="s">
        <v>531</v>
      </c>
      <c r="C141" s="10" t="s">
        <v>60</v>
      </c>
      <c r="D141" s="11" t="n">
        <v>0.01026875</v>
      </c>
      <c r="E141" s="18" t="n">
        <f aca="false">ROUND((D141-$D$5)*86400,2)</f>
        <v>97.48</v>
      </c>
      <c r="F141" s="12" t="n">
        <v>331</v>
      </c>
      <c r="G141" s="11" t="str">
        <f aca="false">IF(INDEX(選手一覧!$F$7:$F$2738,$F141)="","",INDEX(選手一覧!$F$7:$F$2738,$F141))</f>
        <v/>
      </c>
      <c r="H141" s="12" t="str">
        <f aca="false">IF(INDEX(選手一覧!$G$7:$G$2738,$F141)="","",INDEX(選手一覧!$G$7:$G$2738,$F141))</f>
        <v/>
      </c>
      <c r="I141" s="11" t="n">
        <f aca="false">IF(INDEX(選手一覧!$H$7:$H$2738,$F141)="","",INDEX(選手一覧!$H$7:$H$2738,$F141))</f>
        <v>0.00279618055555556</v>
      </c>
      <c r="J141" s="12" t="n">
        <f aca="false">IF(INDEX(選手一覧!$I$7:$I$2738,$F141)="","",INDEX(選手一覧!$I$7:$I$2738,$F141))</f>
        <v>266</v>
      </c>
    </row>
    <row r="142" customFormat="false" ht="15" hidden="false" customHeight="false" outlineLevel="0" collapsed="false">
      <c r="A142" s="12" t="n">
        <v>138</v>
      </c>
      <c r="B142" s="10" t="s">
        <v>532</v>
      </c>
      <c r="C142" s="10" t="s">
        <v>91</v>
      </c>
      <c r="D142" s="11" t="n">
        <v>0.010269212962963</v>
      </c>
      <c r="E142" s="18" t="n">
        <f aca="false">ROUND((D142-$D$5)*86400,2)</f>
        <v>97.52</v>
      </c>
      <c r="F142" s="12" t="n">
        <v>332</v>
      </c>
      <c r="G142" s="11" t="str">
        <f aca="false">IF(INDEX(選手一覧!$F$7:$F$2738,$F142)="","",INDEX(選手一覧!$F$7:$F$2738,$F142))</f>
        <v/>
      </c>
      <c r="H142" s="12" t="str">
        <f aca="false">IF(INDEX(選手一覧!$G$7:$G$2738,$F142)="","",INDEX(選手一覧!$G$7:$G$2738,$F142))</f>
        <v/>
      </c>
      <c r="I142" s="11" t="n">
        <f aca="false">IF(INDEX(選手一覧!$H$7:$H$2738,$F142)="","",INDEX(選手一覧!$H$7:$H$2738,$F142))</f>
        <v>0.0027837962962963</v>
      </c>
      <c r="J142" s="12" t="n">
        <f aca="false">IF(INDEX(選手一覧!$I$7:$I$2738,$F142)="","",INDEX(選手一覧!$I$7:$I$2738,$F142))</f>
        <v>215</v>
      </c>
    </row>
    <row r="143" customFormat="false" ht="15" hidden="false" customHeight="false" outlineLevel="0" collapsed="false">
      <c r="A143" s="12" t="n">
        <v>139</v>
      </c>
      <c r="B143" s="10" t="s">
        <v>536</v>
      </c>
      <c r="C143" s="10" t="s">
        <v>23</v>
      </c>
      <c r="D143" s="11" t="n">
        <v>0.0102702546296296</v>
      </c>
      <c r="E143" s="18" t="n">
        <f aca="false">ROUND((D143-$D$5)*86400,2)</f>
        <v>97.61</v>
      </c>
      <c r="F143" s="12" t="n">
        <v>335</v>
      </c>
      <c r="G143" s="11" t="str">
        <f aca="false">IF(INDEX(選手一覧!$F$7:$F$2738,$F143)="","",INDEX(選手一覧!$F$7:$F$2738,$F143))</f>
        <v/>
      </c>
      <c r="H143" s="12" t="str">
        <f aca="false">IF(INDEX(選手一覧!$G$7:$G$2738,$F143)="","",INDEX(選手一覧!$G$7:$G$2738,$F143))</f>
        <v/>
      </c>
      <c r="I143" s="11" t="n">
        <f aca="false">IF(INDEX(選手一覧!$H$7:$H$2738,$F143)="","",INDEX(選手一覧!$H$7:$H$2738,$F143))</f>
        <v>0.00287025462962963</v>
      </c>
      <c r="J143" s="12" t="n">
        <f aca="false">IF(INDEX(選手一覧!$I$7:$I$2738,$F143)="","",INDEX(選手一覧!$I$7:$I$2738,$F143))</f>
        <v>697</v>
      </c>
    </row>
    <row r="144" customFormat="false" ht="15" hidden="false" customHeight="false" outlineLevel="0" collapsed="false">
      <c r="A144" s="12" t="n">
        <v>140</v>
      </c>
      <c r="B144" s="10" t="s">
        <v>539</v>
      </c>
      <c r="C144" s="10" t="s">
        <v>141</v>
      </c>
      <c r="D144" s="11" t="n">
        <v>0.0102734953703704</v>
      </c>
      <c r="E144" s="18" t="n">
        <f aca="false">ROUND((D144-$D$5)*86400,2)</f>
        <v>97.89</v>
      </c>
      <c r="F144" s="12" t="n">
        <v>337</v>
      </c>
      <c r="G144" s="11" t="str">
        <f aca="false">IF(INDEX(選手一覧!$F$7:$F$2738,$F144)="","",INDEX(選手一覧!$F$7:$F$2738,$F144))</f>
        <v/>
      </c>
      <c r="H144" s="12" t="str">
        <f aca="false">IF(INDEX(選手一覧!$G$7:$G$2738,$F144)="","",INDEX(選手一覧!$G$7:$G$2738,$F144))</f>
        <v/>
      </c>
      <c r="I144" s="11" t="n">
        <f aca="false">IF(INDEX(選手一覧!$H$7:$H$2738,$F144)="","",INDEX(選手一覧!$H$7:$H$2738,$F144))</f>
        <v>0.00287731481481482</v>
      </c>
      <c r="J144" s="12" t="n">
        <f aca="false">IF(INDEX(選手一覧!$I$7:$I$2738,$F144)="","",INDEX(選手一覧!$I$7:$I$2738,$F144))</f>
        <v>749</v>
      </c>
    </row>
    <row r="145" customFormat="false" ht="15" hidden="false" customHeight="false" outlineLevel="0" collapsed="false">
      <c r="A145" s="12" t="n">
        <v>141</v>
      </c>
      <c r="B145" s="10" t="s">
        <v>159</v>
      </c>
      <c r="C145" s="10" t="s">
        <v>53</v>
      </c>
      <c r="D145" s="11" t="n">
        <v>0.010275462962963</v>
      </c>
      <c r="E145" s="18" t="n">
        <f aca="false">ROUND((D145-$D$5)*86400,2)</f>
        <v>98.06</v>
      </c>
      <c r="F145" s="12" t="n">
        <v>78</v>
      </c>
      <c r="G145" s="11" t="str">
        <f aca="false">IF(INDEX(選手一覧!$F$7:$F$2738,$F145)="","",INDEX(選手一覧!$F$7:$F$2738,$F145))</f>
        <v/>
      </c>
      <c r="H145" s="12" t="str">
        <f aca="false">IF(INDEX(選手一覧!$G$7:$G$2738,$F145)="","",INDEX(選手一覧!$G$7:$G$2738,$F145))</f>
        <v/>
      </c>
      <c r="I145" s="11" t="n">
        <f aca="false">IF(INDEX(選手一覧!$H$7:$H$2738,$F145)="","",INDEX(選手一覧!$H$7:$H$2738,$F145))</f>
        <v>0.00270763888888889</v>
      </c>
      <c r="J145" s="12" t="n">
        <f aca="false">IF(INDEX(選手一覧!$I$7:$I$2738,$F145)="","",INDEX(選手一覧!$I$7:$I$2738,$F145))</f>
        <v>31</v>
      </c>
    </row>
    <row r="146" customFormat="false" ht="15" hidden="false" customHeight="false" outlineLevel="0" collapsed="false">
      <c r="A146" s="12" t="n">
        <v>142</v>
      </c>
      <c r="B146" s="10" t="s">
        <v>545</v>
      </c>
      <c r="C146" s="10" t="s">
        <v>546</v>
      </c>
      <c r="D146" s="11" t="n">
        <v>0.0102767361111111</v>
      </c>
      <c r="E146" s="18" t="n">
        <f aca="false">ROUND((D146-$D$5)*86400,2)</f>
        <v>98.17</v>
      </c>
      <c r="F146" s="12" t="n">
        <v>340</v>
      </c>
      <c r="G146" s="11" t="str">
        <f aca="false">IF(INDEX(選手一覧!$F$7:$F$2738,$F146)="","",INDEX(選手一覧!$F$7:$F$2738,$F146))</f>
        <v/>
      </c>
      <c r="H146" s="12" t="str">
        <f aca="false">IF(INDEX(選手一覧!$G$7:$G$2738,$F146)="","",INDEX(選手一覧!$G$7:$G$2738,$F146))</f>
        <v/>
      </c>
      <c r="I146" s="11" t="n">
        <f aca="false">IF(INDEX(選手一覧!$H$7:$H$2738,$F146)="","",INDEX(選手一覧!$H$7:$H$2738,$F146))</f>
        <v>0.00282476851851852</v>
      </c>
      <c r="J146" s="12" t="n">
        <f aca="false">IF(INDEX(選手一覧!$I$7:$I$2738,$F146)="","",INDEX(選手一覧!$I$7:$I$2738,$F146))</f>
        <v>391</v>
      </c>
    </row>
    <row r="147" customFormat="false" ht="15" hidden="false" customHeight="false" outlineLevel="0" collapsed="false">
      <c r="A147" s="12" t="n">
        <v>143</v>
      </c>
      <c r="B147" s="10" t="s">
        <v>552</v>
      </c>
      <c r="C147" s="10" t="s">
        <v>83</v>
      </c>
      <c r="D147" s="11" t="n">
        <v>0.0102770833333333</v>
      </c>
      <c r="E147" s="18" t="n">
        <f aca="false">ROUND((D147-$D$5)*86400,2)</f>
        <v>98.2</v>
      </c>
      <c r="F147" s="12" t="n">
        <v>344</v>
      </c>
      <c r="G147" s="11" t="str">
        <f aca="false">IF(INDEX(選手一覧!$F$7:$F$2738,$F147)="","",INDEX(選手一覧!$F$7:$F$2738,$F147))</f>
        <v/>
      </c>
      <c r="H147" s="12" t="str">
        <f aca="false">IF(INDEX(選手一覧!$G$7:$G$2738,$F147)="","",INDEX(選手一覧!$G$7:$G$2738,$F147))</f>
        <v/>
      </c>
      <c r="I147" s="11" t="n">
        <f aca="false">IF(INDEX(選手一覧!$H$7:$H$2738,$F147)="","",INDEX(選手一覧!$H$7:$H$2738,$F147))</f>
        <v>0.00292951388888889</v>
      </c>
      <c r="J147" s="12" t="n">
        <f aca="false">IF(INDEX(選手一覧!$I$7:$I$2738,$F147)="","",INDEX(選手一覧!$I$7:$I$2738,$F147))</f>
        <v>1173</v>
      </c>
    </row>
    <row r="148" customFormat="false" ht="15" hidden="false" customHeight="false" outlineLevel="0" collapsed="false">
      <c r="A148" s="12" t="n">
        <v>144</v>
      </c>
      <c r="B148" s="10" t="s">
        <v>381</v>
      </c>
      <c r="C148" s="10" t="s">
        <v>382</v>
      </c>
      <c r="D148" s="11" t="n">
        <v>0.010277662037037</v>
      </c>
      <c r="E148" s="18" t="n">
        <f aca="false">ROUND((D148-$D$5)*86400,2)</f>
        <v>98.25</v>
      </c>
      <c r="F148" s="12" t="n">
        <v>228</v>
      </c>
      <c r="G148" s="11" t="str">
        <f aca="false">IF(INDEX(選手一覧!$F$7:$F$2738,$F148)="","",INDEX(選手一覧!$F$7:$F$2738,$F148))</f>
        <v/>
      </c>
      <c r="H148" s="12" t="str">
        <f aca="false">IF(INDEX(選手一覧!$G$7:$G$2738,$F148)="","",INDEX(選手一覧!$G$7:$G$2738,$F148))</f>
        <v/>
      </c>
      <c r="I148" s="11" t="n">
        <f aca="false">IF(INDEX(選手一覧!$H$7:$H$2738,$F148)="","",INDEX(選手一覧!$H$7:$H$2738,$F148))</f>
        <v>0.00274710648148148</v>
      </c>
      <c r="J148" s="12" t="n">
        <f aca="false">IF(INDEX(選手一覧!$I$7:$I$2738,$F148)="","",INDEX(選手一覧!$I$7:$I$2738,$F148))</f>
        <v>94</v>
      </c>
    </row>
    <row r="149" customFormat="false" ht="15" hidden="false" customHeight="false" outlineLevel="0" collapsed="false">
      <c r="A149" s="12" t="n">
        <v>145</v>
      </c>
      <c r="B149" s="10" t="s">
        <v>463</v>
      </c>
      <c r="C149" s="10" t="s">
        <v>215</v>
      </c>
      <c r="D149" s="11" t="n">
        <v>0.0102777777777778</v>
      </c>
      <c r="E149" s="18" t="n">
        <f aca="false">ROUND((D149-$D$5)*86400,2)</f>
        <v>98.26</v>
      </c>
      <c r="F149" s="12" t="n">
        <v>287</v>
      </c>
      <c r="G149" s="11" t="str">
        <f aca="false">IF(INDEX(選手一覧!$F$7:$F$2738,$F149)="","",INDEX(選手一覧!$F$7:$F$2738,$F149))</f>
        <v/>
      </c>
      <c r="H149" s="12" t="str">
        <f aca="false">IF(INDEX(選手一覧!$G$7:$G$2738,$F149)="","",INDEX(選手一覧!$G$7:$G$2738,$F149))</f>
        <v/>
      </c>
      <c r="I149" s="11" t="n">
        <f aca="false">IF(INDEX(選手一覧!$H$7:$H$2738,$F149)="","",INDEX(選手一覧!$H$7:$H$2738,$F149))</f>
        <v>0.00275451388888889</v>
      </c>
      <c r="J149" s="12" t="n">
        <f aca="false">IF(INDEX(選手一覧!$I$7:$I$2738,$F149)="","",INDEX(選手一覧!$I$7:$I$2738,$F149))</f>
        <v>118</v>
      </c>
    </row>
    <row r="150" customFormat="false" ht="15" hidden="false" customHeight="false" outlineLevel="0" collapsed="false">
      <c r="A150" s="12" t="n">
        <v>146</v>
      </c>
      <c r="B150" s="10" t="s">
        <v>31</v>
      </c>
      <c r="C150" s="10" t="s">
        <v>32</v>
      </c>
      <c r="D150" s="11" t="n">
        <v>0.0102784722222222</v>
      </c>
      <c r="E150" s="18" t="n">
        <f aca="false">ROUND((D150-$D$5)*86400,2)</f>
        <v>98.32</v>
      </c>
      <c r="F150" s="12" t="n">
        <v>6</v>
      </c>
      <c r="G150" s="11" t="n">
        <f aca="false">IF(INDEX(選手一覧!$F$7:$F$2738,$F150)="","",INDEX(選手一覧!$F$7:$F$2738,$F150))</f>
        <v>0.00627025462962963</v>
      </c>
      <c r="H150" s="12" t="n">
        <f aca="false">IF(INDEX(選手一覧!$G$7:$G$2738,$F150)="","",INDEX(選手一覧!$G$7:$G$2738,$F150))</f>
        <v>3</v>
      </c>
      <c r="I150" s="11" t="n">
        <f aca="false">IF(INDEX(選手一覧!$H$7:$H$2738,$F150)="","",INDEX(選手一覧!$H$7:$H$2738,$F150))</f>
        <v>0.0029193287037037</v>
      </c>
      <c r="J150" s="12" t="n">
        <f aca="false">IF(INDEX(選手一覧!$I$7:$I$2738,$F150)="","",INDEX(選手一覧!$I$7:$I$2738,$F150))</f>
        <v>1088</v>
      </c>
    </row>
    <row r="151" customFormat="false" ht="15" hidden="false" customHeight="false" outlineLevel="0" collapsed="false">
      <c r="A151" s="12" t="n">
        <v>147</v>
      </c>
      <c r="B151" s="10" t="s">
        <v>74</v>
      </c>
      <c r="C151" s="10" t="s">
        <v>55</v>
      </c>
      <c r="D151" s="11" t="n">
        <v>0.0102784722222222</v>
      </c>
      <c r="E151" s="18" t="n">
        <f aca="false">ROUND((D151-$D$5)*86400,2)</f>
        <v>98.32</v>
      </c>
      <c r="F151" s="12" t="n">
        <v>30</v>
      </c>
      <c r="G151" s="11" t="n">
        <f aca="false">IF(INDEX(選手一覧!$F$7:$F$2738,$F151)="","",INDEX(選手一覧!$F$7:$F$2738,$F151))</f>
        <v>0.00638402777777778</v>
      </c>
      <c r="H151" s="12" t="n">
        <f aca="false">IF(INDEX(選手一覧!$G$7:$G$2738,$F151)="","",INDEX(選手一覧!$G$7:$G$2738,$F151))</f>
        <v>12</v>
      </c>
      <c r="I151" s="11" t="n">
        <f aca="false">IF(INDEX(選手一覧!$H$7:$H$2738,$F151)="","",INDEX(選手一覧!$H$7:$H$2738,$F151))</f>
        <v>0.0027630787037037</v>
      </c>
      <c r="J151" s="12" t="n">
        <f aca="false">IF(INDEX(選手一覧!$I$7:$I$2738,$F151)="","",INDEX(選手一覧!$I$7:$I$2738,$F151))</f>
        <v>142</v>
      </c>
    </row>
    <row r="152" customFormat="false" ht="15" hidden="false" customHeight="false" outlineLevel="0" collapsed="false">
      <c r="A152" s="12" t="n">
        <v>148</v>
      </c>
      <c r="B152" s="10" t="s">
        <v>413</v>
      </c>
      <c r="C152" s="10" t="s">
        <v>229</v>
      </c>
      <c r="D152" s="11" t="n">
        <v>0.0102799768518519</v>
      </c>
      <c r="E152" s="18" t="n">
        <f aca="false">ROUND((D152-$D$5)*86400,2)</f>
        <v>98.45</v>
      </c>
      <c r="F152" s="12" t="n">
        <v>250</v>
      </c>
      <c r="G152" s="11" t="str">
        <f aca="false">IF(INDEX(選手一覧!$F$7:$F$2738,$F152)="","",INDEX(選手一覧!$F$7:$F$2738,$F152))</f>
        <v/>
      </c>
      <c r="H152" s="12" t="str">
        <f aca="false">IF(INDEX(選手一覧!$G$7:$G$2738,$F152)="","",INDEX(選手一覧!$G$7:$G$2738,$F152))</f>
        <v/>
      </c>
      <c r="I152" s="11" t="n">
        <f aca="false">IF(INDEX(選手一覧!$H$7:$H$2738,$F152)="","",INDEX(選手一覧!$H$7:$H$2738,$F152))</f>
        <v>0.00274988425925926</v>
      </c>
      <c r="J152" s="12" t="n">
        <f aca="false">IF(INDEX(選手一覧!$I$7:$I$2738,$F152)="","",INDEX(選手一覧!$I$7:$I$2738,$F152))</f>
        <v>104</v>
      </c>
    </row>
    <row r="153" customFormat="false" ht="15" hidden="false" customHeight="false" outlineLevel="0" collapsed="false">
      <c r="A153" s="12" t="n">
        <v>149</v>
      </c>
      <c r="B153" s="10" t="s">
        <v>565</v>
      </c>
      <c r="C153" s="10" t="s">
        <v>380</v>
      </c>
      <c r="D153" s="11" t="n">
        <v>0.0102820601851852</v>
      </c>
      <c r="E153" s="18" t="n">
        <f aca="false">ROUND((D153-$D$5)*86400,2)</f>
        <v>98.63</v>
      </c>
      <c r="F153" s="12" t="n">
        <v>354</v>
      </c>
      <c r="G153" s="11" t="n">
        <f aca="false">IF(INDEX(選手一覧!$F$7:$F$2738,$F153)="","",INDEX(選手一覧!$F$7:$F$2738,$F153))</f>
        <v>0.00693680555555556</v>
      </c>
      <c r="H153" s="12" t="n">
        <f aca="false">IF(INDEX(選手一覧!$G$7:$G$2738,$F153)="","",INDEX(選手一覧!$G$7:$G$2738,$F153))</f>
        <v>280</v>
      </c>
      <c r="I153" s="11" t="n">
        <f aca="false">IF(INDEX(選手一覧!$H$7:$H$2738,$F153)="","",INDEX(選手一覧!$H$7:$H$2738,$F153))</f>
        <v>0.00288113425925926</v>
      </c>
      <c r="J153" s="12" t="n">
        <f aca="false">IF(INDEX(選手一覧!$I$7:$I$2738,$F153)="","",INDEX(選手一覧!$I$7:$I$2738,$F153))</f>
        <v>778</v>
      </c>
    </row>
    <row r="154" customFormat="false" ht="15" hidden="false" customHeight="false" outlineLevel="0" collapsed="false">
      <c r="A154" s="12" t="n">
        <v>150</v>
      </c>
      <c r="B154" s="10" t="s">
        <v>569</v>
      </c>
      <c r="C154" s="10" t="s">
        <v>570</v>
      </c>
      <c r="D154" s="11" t="n">
        <v>0.0102821759259259</v>
      </c>
      <c r="E154" s="18" t="n">
        <f aca="false">ROUND((D154-$D$5)*86400,2)</f>
        <v>98.64</v>
      </c>
      <c r="F154" s="12" t="n">
        <v>357</v>
      </c>
      <c r="G154" s="11" t="str">
        <f aca="false">IF(INDEX(選手一覧!$F$7:$F$2738,$F154)="","",INDEX(選手一覧!$F$7:$F$2738,$F154))</f>
        <v/>
      </c>
      <c r="H154" s="12" t="str">
        <f aca="false">IF(INDEX(選手一覧!$G$7:$G$2738,$F154)="","",INDEX(選手一覧!$G$7:$G$2738,$F154))</f>
        <v/>
      </c>
      <c r="I154" s="11" t="n">
        <f aca="false">IF(INDEX(選手一覧!$H$7:$H$2738,$F154)="","",INDEX(選手一覧!$H$7:$H$2738,$F154))</f>
        <v>0.00280266203703704</v>
      </c>
      <c r="J154" s="12" t="n">
        <f aca="false">IF(INDEX(選手一覧!$I$7:$I$2738,$F154)="","",INDEX(選手一覧!$I$7:$I$2738,$F154))</f>
        <v>294</v>
      </c>
    </row>
    <row r="155" customFormat="false" ht="15" hidden="false" customHeight="false" outlineLevel="0" collapsed="false">
      <c r="A155" s="12" t="n">
        <v>151</v>
      </c>
      <c r="B155" s="10" t="s">
        <v>572</v>
      </c>
      <c r="C155" s="10" t="s">
        <v>85</v>
      </c>
      <c r="D155" s="11" t="n">
        <v>0.0102822916666667</v>
      </c>
      <c r="E155" s="18" t="n">
        <f aca="false">ROUND((D155-$D$5)*86400,2)</f>
        <v>98.65</v>
      </c>
      <c r="F155" s="12" t="n">
        <v>359</v>
      </c>
      <c r="G155" s="11" t="str">
        <f aca="false">IF(INDEX(選手一覧!$F$7:$F$2738,$F155)="","",INDEX(選手一覧!$F$7:$F$2738,$F155))</f>
        <v/>
      </c>
      <c r="H155" s="12" t="str">
        <f aca="false">IF(INDEX(選手一覧!$G$7:$G$2738,$F155)="","",INDEX(選手一覧!$G$7:$G$2738,$F155))</f>
        <v/>
      </c>
      <c r="I155" s="11" t="n">
        <f aca="false">IF(INDEX(選手一覧!$H$7:$H$2738,$F155)="","",INDEX(選手一覧!$H$7:$H$2738,$F155))</f>
        <v>0.00278773148148148</v>
      </c>
      <c r="J155" s="12" t="n">
        <f aca="false">IF(INDEX(選手一覧!$I$7:$I$2738,$F155)="","",INDEX(選手一覧!$I$7:$I$2738,$F155))</f>
        <v>233</v>
      </c>
    </row>
    <row r="156" customFormat="false" ht="15" hidden="false" customHeight="false" outlineLevel="0" collapsed="false">
      <c r="A156" s="12" t="n">
        <v>152</v>
      </c>
      <c r="B156" s="10" t="s">
        <v>119</v>
      </c>
      <c r="C156" s="10" t="s">
        <v>120</v>
      </c>
      <c r="D156" s="11" t="n">
        <v>0.0102828703703704</v>
      </c>
      <c r="E156" s="18" t="n">
        <f aca="false">ROUND((D156-$D$5)*86400,2)</f>
        <v>98.7</v>
      </c>
      <c r="F156" s="12" t="n">
        <v>55</v>
      </c>
      <c r="G156" s="11" t="n">
        <f aca="false">IF(INDEX(選手一覧!$F$7:$F$2738,$F156)="","",INDEX(選手一覧!$F$7:$F$2738,$F156))</f>
        <v>0.00644189814814815</v>
      </c>
      <c r="H156" s="12" t="n">
        <f aca="false">IF(INDEX(選手一覧!$G$7:$G$2738,$F156)="","",INDEX(選手一覧!$G$7:$G$2738,$F156))</f>
        <v>22</v>
      </c>
      <c r="I156" s="11" t="n">
        <f aca="false">IF(INDEX(選手一覧!$H$7:$H$2738,$F156)="","",INDEX(選手一覧!$H$7:$H$2738,$F156))</f>
        <v>0.00278020833333333</v>
      </c>
      <c r="J156" s="12" t="n">
        <f aca="false">IF(INDEX(選手一覧!$I$7:$I$2738,$F156)="","",INDEX(選手一覧!$I$7:$I$2738,$F156))</f>
        <v>201</v>
      </c>
    </row>
    <row r="157" customFormat="false" ht="15" hidden="false" customHeight="false" outlineLevel="0" collapsed="false">
      <c r="A157" s="12" t="n">
        <v>153</v>
      </c>
      <c r="B157" s="10" t="s">
        <v>117</v>
      </c>
      <c r="C157" s="10" t="s">
        <v>118</v>
      </c>
      <c r="D157" s="11" t="n">
        <v>0.010284837962963</v>
      </c>
      <c r="E157" s="18" t="n">
        <f aca="false">ROUND((D157-$D$5)*86400,2)</f>
        <v>98.87</v>
      </c>
      <c r="F157" s="12" t="n">
        <v>54</v>
      </c>
      <c r="G157" s="11" t="str">
        <f aca="false">IF(INDEX(選手一覧!$F$7:$F$2738,$F157)="","",INDEX(選手一覧!$F$7:$F$2738,$F157))</f>
        <v/>
      </c>
      <c r="H157" s="12" t="str">
        <f aca="false">IF(INDEX(選手一覧!$G$7:$G$2738,$F157)="","",INDEX(選手一覧!$G$7:$G$2738,$F157))</f>
        <v/>
      </c>
      <c r="I157" s="11" t="n">
        <f aca="false">IF(INDEX(選手一覧!$H$7:$H$2738,$F157)="","",INDEX(選手一覧!$H$7:$H$2738,$F157))</f>
        <v>0.00269259259259259</v>
      </c>
      <c r="J157" s="12" t="n">
        <f aca="false">IF(INDEX(選手一覧!$I$7:$I$2738,$F157)="","",INDEX(選手一覧!$I$7:$I$2738,$F157))</f>
        <v>21</v>
      </c>
    </row>
    <row r="158" customFormat="false" ht="15" hidden="false" customHeight="false" outlineLevel="0" collapsed="false">
      <c r="A158" s="12" t="n">
        <v>154</v>
      </c>
      <c r="B158" s="10" t="s">
        <v>578</v>
      </c>
      <c r="C158" s="10" t="s">
        <v>371</v>
      </c>
      <c r="D158" s="11" t="n">
        <v>0.0102885416666667</v>
      </c>
      <c r="E158" s="18" t="n">
        <f aca="false">ROUND((D158-$D$5)*86400,2)</f>
        <v>99.19</v>
      </c>
      <c r="F158" s="12" t="n">
        <v>364</v>
      </c>
      <c r="G158" s="11" t="str">
        <f aca="false">IF(INDEX(選手一覧!$F$7:$F$2738,$F158)="","",INDEX(選手一覧!$F$7:$F$2738,$F158))</f>
        <v/>
      </c>
      <c r="H158" s="12" t="str">
        <f aca="false">IF(INDEX(選手一覧!$G$7:$G$2738,$F158)="","",INDEX(選手一覧!$G$7:$G$2738,$F158))</f>
        <v/>
      </c>
      <c r="I158" s="11" t="n">
        <f aca="false">IF(INDEX(選手一覧!$H$7:$H$2738,$F158)="","",INDEX(選手一覧!$H$7:$H$2738,$F158))</f>
        <v>0.00280694444444444</v>
      </c>
      <c r="J158" s="12" t="n">
        <f aca="false">IF(INDEX(選手一覧!$I$7:$I$2738,$F158)="","",INDEX(選手一覧!$I$7:$I$2738,$F158))</f>
        <v>313</v>
      </c>
    </row>
    <row r="159" customFormat="false" ht="15" hidden="false" customHeight="false" outlineLevel="0" collapsed="false">
      <c r="A159" s="12" t="n">
        <v>155</v>
      </c>
      <c r="B159" s="10" t="s">
        <v>38</v>
      </c>
      <c r="C159" s="10" t="s">
        <v>39</v>
      </c>
      <c r="D159" s="11" t="n">
        <v>0.0102916666666667</v>
      </c>
      <c r="E159" s="18" t="n">
        <f aca="false">ROUND((D159-$D$5)*86400,2)</f>
        <v>99.46</v>
      </c>
      <c r="F159" s="12" t="n">
        <v>10</v>
      </c>
      <c r="G159" s="11" t="n">
        <f aca="false">IF(INDEX(選手一覧!$F$7:$F$2738,$F159)="","",INDEX(選手一覧!$F$7:$F$2738,$F159))</f>
        <v>0.00632650462962963</v>
      </c>
      <c r="H159" s="12" t="n">
        <f aca="false">IF(INDEX(選手一覧!$G$7:$G$2738,$F159)="","",INDEX(選手一覧!$G$7:$G$2738,$F159))</f>
        <v>5</v>
      </c>
      <c r="I159" s="11" t="n">
        <f aca="false">IF(INDEX(選手一覧!$H$7:$H$2738,$F159)="","",INDEX(選手一覧!$H$7:$H$2738,$F159))</f>
        <v>0.00284988425925926</v>
      </c>
      <c r="J159" s="12" t="n">
        <f aca="false">IF(INDEX(選手一覧!$I$7:$I$2738,$F159)="","",INDEX(選手一覧!$I$7:$I$2738,$F159))</f>
        <v>569</v>
      </c>
    </row>
    <row r="160" customFormat="false" ht="15" hidden="false" customHeight="false" outlineLevel="0" collapsed="false">
      <c r="A160" s="12" t="n">
        <v>156</v>
      </c>
      <c r="B160" s="10" t="s">
        <v>370</v>
      </c>
      <c r="C160" s="10" t="s">
        <v>371</v>
      </c>
      <c r="D160" s="11" t="n">
        <v>0.0102929398148148</v>
      </c>
      <c r="E160" s="18" t="n">
        <f aca="false">ROUND((D160-$D$5)*86400,2)</f>
        <v>99.57</v>
      </c>
      <c r="F160" s="12" t="n">
        <v>221</v>
      </c>
      <c r="G160" s="11" t="n">
        <f aca="false">IF(INDEX(選手一覧!$F$7:$F$2738,$F160)="","",INDEX(選手一覧!$F$7:$F$2738,$F160))</f>
        <v>0.00667303240740741</v>
      </c>
      <c r="H160" s="12" t="n">
        <f aca="false">IF(INDEX(選手一覧!$G$7:$G$2738,$F160)="","",INDEX(選手一覧!$G$7:$G$2738,$F160))</f>
        <v>92</v>
      </c>
      <c r="I160" s="11" t="n">
        <f aca="false">IF(INDEX(選手一覧!$H$7:$H$2738,$F160)="","",INDEX(選手一覧!$H$7:$H$2738,$F160))</f>
        <v>0.00289953703703704</v>
      </c>
      <c r="J160" s="12" t="n">
        <f aca="false">IF(INDEX(選手一覧!$I$7:$I$2738,$F160)="","",INDEX(選手一覧!$I$7:$I$2738,$F160))</f>
        <v>941</v>
      </c>
    </row>
    <row r="161" customFormat="false" ht="15" hidden="false" customHeight="false" outlineLevel="0" collapsed="false">
      <c r="A161" s="12" t="n">
        <v>157</v>
      </c>
      <c r="B161" s="10" t="s">
        <v>84</v>
      </c>
      <c r="C161" s="10" t="s">
        <v>85</v>
      </c>
      <c r="D161" s="11" t="n">
        <v>0.0102939814814815</v>
      </c>
      <c r="E161" s="18" t="n">
        <f aca="false">ROUND((D161-$D$5)*86400,2)</f>
        <v>99.66</v>
      </c>
      <c r="F161" s="12" t="n">
        <v>35</v>
      </c>
      <c r="G161" s="11" t="str">
        <f aca="false">IF(INDEX(選手一覧!$F$7:$F$2738,$F161)="","",INDEX(選手一覧!$F$7:$F$2738,$F161))</f>
        <v/>
      </c>
      <c r="H161" s="12" t="str">
        <f aca="false">IF(INDEX(選手一覧!$G$7:$G$2738,$F161)="","",INDEX(選手一覧!$G$7:$G$2738,$F161))</f>
        <v/>
      </c>
      <c r="I161" s="11" t="n">
        <f aca="false">IF(INDEX(選手一覧!$H$7:$H$2738,$F161)="","",INDEX(選手一覧!$H$7:$H$2738,$F161))</f>
        <v>0.00268113425925926</v>
      </c>
      <c r="J161" s="12" t="n">
        <f aca="false">IF(INDEX(選手一覧!$I$7:$I$2738,$F161)="","",INDEX(選手一覧!$I$7:$I$2738,$F161))</f>
        <v>14</v>
      </c>
    </row>
    <row r="162" customFormat="false" ht="15" hidden="false" customHeight="false" outlineLevel="0" collapsed="false">
      <c r="A162" s="12" t="n">
        <v>158</v>
      </c>
      <c r="B162" s="10" t="s">
        <v>593</v>
      </c>
      <c r="C162" s="10" t="s">
        <v>166</v>
      </c>
      <c r="D162" s="11" t="n">
        <v>0.0102986111111111</v>
      </c>
      <c r="E162" s="18" t="n">
        <f aca="false">ROUND((D162-$D$5)*86400,2)</f>
        <v>100.06</v>
      </c>
      <c r="F162" s="12" t="n">
        <v>374</v>
      </c>
      <c r="G162" s="11" t="str">
        <f aca="false">IF(INDEX(選手一覧!$F$7:$F$2738,$F162)="","",INDEX(選手一覧!$F$7:$F$2738,$F162))</f>
        <v/>
      </c>
      <c r="H162" s="12" t="str">
        <f aca="false">IF(INDEX(選手一覧!$G$7:$G$2738,$F162)="","",INDEX(選手一覧!$G$7:$G$2738,$F162))</f>
        <v/>
      </c>
      <c r="I162" s="11" t="n">
        <f aca="false">IF(INDEX(選手一覧!$H$7:$H$2738,$F162)="","",INDEX(選手一覧!$H$7:$H$2738,$F162))</f>
        <v>0.00277789351851852</v>
      </c>
      <c r="J162" s="12" t="n">
        <f aca="false">IF(INDEX(選手一覧!$I$7:$I$2738,$F162)="","",INDEX(選手一覧!$I$7:$I$2738,$F162))</f>
        <v>190</v>
      </c>
    </row>
    <row r="163" customFormat="false" ht="15" hidden="false" customHeight="false" outlineLevel="0" collapsed="false">
      <c r="A163" s="12" t="n">
        <v>159</v>
      </c>
      <c r="B163" s="10" t="s">
        <v>426</v>
      </c>
      <c r="C163" s="10" t="s">
        <v>166</v>
      </c>
      <c r="D163" s="11" t="n">
        <v>0.0102987268518519</v>
      </c>
      <c r="E163" s="18" t="n">
        <f aca="false">ROUND((D163-$D$5)*86400,2)</f>
        <v>100.07</v>
      </c>
      <c r="F163" s="12" t="n">
        <v>259</v>
      </c>
      <c r="G163" s="11" t="str">
        <f aca="false">IF(INDEX(選手一覧!$F$7:$F$2738,$F163)="","",INDEX(選手一覧!$F$7:$F$2738,$F163))</f>
        <v/>
      </c>
      <c r="H163" s="12" t="str">
        <f aca="false">IF(INDEX(選手一覧!$G$7:$G$2738,$F163)="","",INDEX(選手一覧!$G$7:$G$2738,$F163))</f>
        <v/>
      </c>
      <c r="I163" s="11" t="n">
        <f aca="false">IF(INDEX(選手一覧!$H$7:$H$2738,$F163)="","",INDEX(選手一覧!$H$7:$H$2738,$F163))</f>
        <v>0.00275208333333333</v>
      </c>
      <c r="J163" s="12" t="n">
        <f aca="false">IF(INDEX(選手一覧!$I$7:$I$2738,$F163)="","",INDEX(選手一覧!$I$7:$I$2738,$F163))</f>
        <v>108</v>
      </c>
    </row>
    <row r="164" customFormat="false" ht="15" hidden="false" customHeight="false" outlineLevel="0" collapsed="false">
      <c r="A164" s="12" t="n">
        <v>160</v>
      </c>
      <c r="B164" s="10" t="s">
        <v>597</v>
      </c>
      <c r="C164" s="10" t="s">
        <v>229</v>
      </c>
      <c r="D164" s="11" t="n">
        <v>0.0103002314814815</v>
      </c>
      <c r="E164" s="18" t="n">
        <f aca="false">ROUND((D164-$D$5)*86400,2)</f>
        <v>100.2</v>
      </c>
      <c r="F164" s="12" t="n">
        <v>377</v>
      </c>
      <c r="G164" s="11" t="n">
        <f aca="false">IF(INDEX(選手一覧!$F$7:$F$2738,$F164)="","",INDEX(選手一覧!$F$7:$F$2738,$F164))</f>
        <v>0.00701736111111111</v>
      </c>
      <c r="H164" s="12" t="n">
        <f aca="false">IF(INDEX(選手一覧!$G$7:$G$2738,$F164)="","",INDEX(選手一覧!$G$7:$G$2738,$F164))</f>
        <v>354</v>
      </c>
      <c r="I164" s="11" t="n">
        <f aca="false">IF(INDEX(選手一覧!$H$7:$H$2738,$F164)="","",INDEX(選手一覧!$H$7:$H$2738,$F164))</f>
        <v>0.0028443287037037</v>
      </c>
      <c r="J164" s="12" t="n">
        <f aca="false">IF(INDEX(選手一覧!$I$7:$I$2738,$F164)="","",INDEX(選手一覧!$I$7:$I$2738,$F164))</f>
        <v>529</v>
      </c>
    </row>
    <row r="165" customFormat="false" ht="15" hidden="false" customHeight="false" outlineLevel="0" collapsed="false">
      <c r="A165" s="12" t="n">
        <v>161</v>
      </c>
      <c r="B165" s="10" t="s">
        <v>442</v>
      </c>
      <c r="C165" s="10" t="s">
        <v>443</v>
      </c>
      <c r="D165" s="11" t="n">
        <v>0.0103003472222222</v>
      </c>
      <c r="E165" s="18" t="n">
        <f aca="false">ROUND((D165-$D$5)*86400,2)</f>
        <v>100.21</v>
      </c>
      <c r="F165" s="12" t="n">
        <v>272</v>
      </c>
      <c r="G165" s="11" t="n">
        <f aca="false">IF(INDEX(選手一覧!$F$7:$F$2738,$F165)="","",INDEX(選手一覧!$F$7:$F$2738,$F165))</f>
        <v>0.0070880787037037</v>
      </c>
      <c r="H165" s="12" t="n">
        <f aca="false">IF(INDEX(選手一覧!$G$7:$G$2738,$F165)="","",INDEX(選手一覧!$G$7:$G$2738,$F165))</f>
        <v>437</v>
      </c>
      <c r="I165" s="11" t="n">
        <f aca="false">IF(INDEX(選手一覧!$H$7:$H$2738,$F165)="","",INDEX(選手一覧!$H$7:$H$2738,$F165))</f>
        <v>0.00275381944444445</v>
      </c>
      <c r="J165" s="12" t="n">
        <f aca="false">IF(INDEX(選手一覧!$I$7:$I$2738,$F165)="","",INDEX(選手一覧!$I$7:$I$2738,$F165))</f>
        <v>113</v>
      </c>
    </row>
    <row r="166" customFormat="false" ht="15" hidden="false" customHeight="false" outlineLevel="0" collapsed="false">
      <c r="A166" s="12" t="n">
        <v>162</v>
      </c>
      <c r="B166" s="10" t="s">
        <v>98</v>
      </c>
      <c r="C166" s="10" t="s">
        <v>64</v>
      </c>
      <c r="D166" s="11" t="n">
        <v>0.0103006944444444</v>
      </c>
      <c r="E166" s="18" t="n">
        <f aca="false">ROUND((D166-$D$5)*86400,2)</f>
        <v>100.24</v>
      </c>
      <c r="F166" s="12" t="n">
        <v>43</v>
      </c>
      <c r="G166" s="11" t="str">
        <f aca="false">IF(INDEX(選手一覧!$F$7:$F$2738,$F166)="","",INDEX(選手一覧!$F$7:$F$2738,$F166))</f>
        <v/>
      </c>
      <c r="H166" s="12" t="str">
        <f aca="false">IF(INDEX(選手一覧!$G$7:$G$2738,$F166)="","",INDEX(選手一覧!$G$7:$G$2738,$F166))</f>
        <v/>
      </c>
      <c r="I166" s="11" t="n">
        <f aca="false">IF(INDEX(選手一覧!$H$7:$H$2738,$F166)="","",INDEX(選手一覧!$H$7:$H$2738,$F166))</f>
        <v>0.00268900462962963</v>
      </c>
      <c r="J166" s="12" t="n">
        <f aca="false">IF(INDEX(選手一覧!$I$7:$I$2738,$F166)="","",INDEX(選手一覧!$I$7:$I$2738,$F166))</f>
        <v>17</v>
      </c>
    </row>
    <row r="167" customFormat="false" ht="15" hidden="false" customHeight="false" outlineLevel="0" collapsed="false">
      <c r="A167" s="12" t="n">
        <v>163</v>
      </c>
      <c r="B167" s="10" t="s">
        <v>606</v>
      </c>
      <c r="C167" s="10" t="s">
        <v>312</v>
      </c>
      <c r="D167" s="11" t="n">
        <v>0.0103019675925926</v>
      </c>
      <c r="E167" s="18" t="n">
        <f aca="false">ROUND((D167-$D$5)*86400,2)</f>
        <v>100.35</v>
      </c>
      <c r="F167" s="12" t="n">
        <v>383</v>
      </c>
      <c r="G167" s="11" t="n">
        <f aca="false">IF(INDEX(選手一覧!$F$7:$F$2738,$F167)="","",INDEX(選手一覧!$F$7:$F$2738,$F167))</f>
        <v>0.00693576388888889</v>
      </c>
      <c r="H167" s="12" t="n">
        <f aca="false">IF(INDEX(選手一覧!$G$7:$G$2738,$F167)="","",INDEX(選手一覧!$G$7:$G$2738,$F167))</f>
        <v>278</v>
      </c>
      <c r="I167" s="11" t="n">
        <f aca="false">IF(INDEX(選手一覧!$H$7:$H$2738,$F167)="","",INDEX(選手一覧!$H$7:$H$2738,$F167))</f>
        <v>0.00278275462962963</v>
      </c>
      <c r="J167" s="12" t="n">
        <f aca="false">IF(INDEX(選手一覧!$I$7:$I$2738,$F167)="","",INDEX(選手一覧!$I$7:$I$2738,$F167))</f>
        <v>212</v>
      </c>
    </row>
    <row r="168" customFormat="false" ht="15" hidden="false" customHeight="false" outlineLevel="0" collapsed="false">
      <c r="A168" s="12" t="n">
        <v>164</v>
      </c>
      <c r="B168" s="10" t="s">
        <v>611</v>
      </c>
      <c r="C168" s="10" t="s">
        <v>612</v>
      </c>
      <c r="D168" s="11" t="n">
        <v>0.0103054398148148</v>
      </c>
      <c r="E168" s="18" t="n">
        <f aca="false">ROUND((D168-$D$5)*86400,2)</f>
        <v>100.65</v>
      </c>
      <c r="F168" s="12" t="n">
        <v>387</v>
      </c>
      <c r="G168" s="11" t="str">
        <f aca="false">IF(INDEX(選手一覧!$F$7:$F$2738,$F168)="","",INDEX(選手一覧!$F$7:$F$2738,$F168))</f>
        <v/>
      </c>
      <c r="H168" s="12" t="str">
        <f aca="false">IF(INDEX(選手一覧!$G$7:$G$2738,$F168)="","",INDEX(選手一覧!$G$7:$G$2738,$F168))</f>
        <v/>
      </c>
      <c r="I168" s="11" t="n">
        <f aca="false">IF(INDEX(選手一覧!$H$7:$H$2738,$F168)="","",INDEX(選手一覧!$H$7:$H$2738,$F168))</f>
        <v>0.00280335648148148</v>
      </c>
      <c r="J168" s="12" t="n">
        <f aca="false">IF(INDEX(選手一覧!$I$7:$I$2738,$F168)="","",INDEX(選手一覧!$I$7:$I$2738,$F168))</f>
        <v>297</v>
      </c>
    </row>
    <row r="169" customFormat="false" ht="15" hidden="false" customHeight="false" outlineLevel="0" collapsed="false">
      <c r="A169" s="12" t="n">
        <v>165</v>
      </c>
      <c r="B169" s="10" t="s">
        <v>619</v>
      </c>
      <c r="C169" s="10" t="s">
        <v>277</v>
      </c>
      <c r="D169" s="11" t="n">
        <v>0.0103106481481482</v>
      </c>
      <c r="E169" s="18" t="n">
        <f aca="false">ROUND((D169-$D$5)*86400,2)</f>
        <v>101.1</v>
      </c>
      <c r="F169" s="12" t="n">
        <v>391</v>
      </c>
      <c r="G169" s="11" t="str">
        <f aca="false">IF(INDEX(選手一覧!$F$7:$F$2738,$F169)="","",INDEX(選手一覧!$F$7:$F$2738,$F169))</f>
        <v/>
      </c>
      <c r="H169" s="12" t="str">
        <f aca="false">IF(INDEX(選手一覧!$G$7:$G$2738,$F169)="","",INDEX(選手一覧!$G$7:$G$2738,$F169))</f>
        <v/>
      </c>
      <c r="I169" s="11" t="str">
        <f aca="false">IF(INDEX(選手一覧!$H$7:$H$2738,$F169)="","",INDEX(選手一覧!$H$7:$H$2738,$F169))</f>
        <v/>
      </c>
      <c r="J169" s="12" t="str">
        <f aca="false">IF(INDEX(選手一覧!$I$7:$I$2738,$F169)="","",INDEX(選手一覧!$I$7:$I$2738,$F169))</f>
        <v/>
      </c>
    </row>
    <row r="170" customFormat="false" ht="15" hidden="false" customHeight="false" outlineLevel="0" collapsed="false">
      <c r="A170" s="12" t="n">
        <v>166</v>
      </c>
      <c r="B170" s="10" t="s">
        <v>623</v>
      </c>
      <c r="C170" s="10" t="s">
        <v>147</v>
      </c>
      <c r="D170" s="11" t="n">
        <v>0.0103112268518519</v>
      </c>
      <c r="E170" s="18" t="n">
        <f aca="false">ROUND((D170-$D$5)*86400,2)</f>
        <v>101.15</v>
      </c>
      <c r="F170" s="12" t="n">
        <v>393</v>
      </c>
      <c r="G170" s="11" t="str">
        <f aca="false">IF(INDEX(選手一覧!$F$7:$F$2738,$F170)="","",INDEX(選手一覧!$F$7:$F$2738,$F170))</f>
        <v/>
      </c>
      <c r="H170" s="12" t="str">
        <f aca="false">IF(INDEX(選手一覧!$G$7:$G$2738,$F170)="","",INDEX(選手一覧!$G$7:$G$2738,$F170))</f>
        <v/>
      </c>
      <c r="I170" s="11" t="n">
        <f aca="false">IF(INDEX(選手一覧!$H$7:$H$2738,$F170)="","",INDEX(選手一覧!$H$7:$H$2738,$F170))</f>
        <v>0.00283043981481482</v>
      </c>
      <c r="J170" s="12" t="n">
        <f aca="false">IF(INDEX(選手一覧!$I$7:$I$2738,$F170)="","",INDEX(選手一覧!$I$7:$I$2738,$F170))</f>
        <v>429</v>
      </c>
    </row>
    <row r="171" customFormat="false" ht="15" hidden="false" customHeight="false" outlineLevel="0" collapsed="false">
      <c r="A171" s="12" t="n">
        <v>167</v>
      </c>
      <c r="B171" s="10" t="s">
        <v>478</v>
      </c>
      <c r="C171" s="10" t="s">
        <v>72</v>
      </c>
      <c r="D171" s="11" t="n">
        <v>0.0103144675925926</v>
      </c>
      <c r="E171" s="18" t="n">
        <f aca="false">ROUND((D171-$D$5)*86400,2)</f>
        <v>101.43</v>
      </c>
      <c r="F171" s="12" t="n">
        <v>297</v>
      </c>
      <c r="G171" s="11" t="n">
        <f aca="false">IF(INDEX(選手一覧!$F$7:$F$2738,$F171)="","",INDEX(選手一覧!$F$7:$F$2738,$F171))</f>
        <v>0.00674305555555556</v>
      </c>
      <c r="H171" s="12" t="n">
        <f aca="false">IF(INDEX(選手一覧!$G$7:$G$2738,$F171)="","",INDEX(選手一覧!$G$7:$G$2738,$F171))</f>
        <v>123</v>
      </c>
      <c r="I171" s="11" t="n">
        <f aca="false">IF(INDEX(選手一覧!$H$7:$H$2738,$F171)="","",INDEX(選手一覧!$H$7:$H$2738,$F171))</f>
        <v>0.00277951388888889</v>
      </c>
      <c r="J171" s="12" t="n">
        <f aca="false">IF(INDEX(選手一覧!$I$7:$I$2738,$F171)="","",INDEX(選手一覧!$I$7:$I$2738,$F171))</f>
        <v>199</v>
      </c>
    </row>
    <row r="172" customFormat="false" ht="15" hidden="false" customHeight="false" outlineLevel="0" collapsed="false">
      <c r="A172" s="12" t="n">
        <v>168</v>
      </c>
      <c r="B172" s="10" t="s">
        <v>631</v>
      </c>
      <c r="C172" s="10" t="s">
        <v>312</v>
      </c>
      <c r="D172" s="11" t="n">
        <v>0.010315625</v>
      </c>
      <c r="E172" s="18" t="n">
        <f aca="false">ROUND((D172-$D$5)*86400,2)</f>
        <v>101.53</v>
      </c>
      <c r="F172" s="12" t="n">
        <v>398</v>
      </c>
      <c r="G172" s="11" t="str">
        <f aca="false">IF(INDEX(選手一覧!$F$7:$F$2738,$F172)="","",INDEX(選手一覧!$F$7:$F$2738,$F172))</f>
        <v/>
      </c>
      <c r="H172" s="12" t="str">
        <f aca="false">IF(INDEX(選手一覧!$G$7:$G$2738,$F172)="","",INDEX(選手一覧!$G$7:$G$2738,$F172))</f>
        <v/>
      </c>
      <c r="I172" s="11" t="str">
        <f aca="false">IF(INDEX(選手一覧!$H$7:$H$2738,$F172)="","",INDEX(選手一覧!$H$7:$H$2738,$F172))</f>
        <v/>
      </c>
      <c r="J172" s="12" t="str">
        <f aca="false">IF(INDEX(選手一覧!$I$7:$I$2738,$F172)="","",INDEX(選手一覧!$I$7:$I$2738,$F172))</f>
        <v/>
      </c>
    </row>
    <row r="173" customFormat="false" ht="15" hidden="false" customHeight="false" outlineLevel="0" collapsed="false">
      <c r="A173" s="12" t="n">
        <v>169</v>
      </c>
      <c r="B173" s="10" t="s">
        <v>632</v>
      </c>
      <c r="C173" s="10" t="s">
        <v>193</v>
      </c>
      <c r="D173" s="11" t="n">
        <v>0.0103164351851852</v>
      </c>
      <c r="E173" s="18" t="n">
        <f aca="false">ROUND((D173-$D$5)*86400,2)</f>
        <v>101.6</v>
      </c>
      <c r="F173" s="12" t="n">
        <v>399</v>
      </c>
      <c r="G173" s="11" t="str">
        <f aca="false">IF(INDEX(選手一覧!$F$7:$F$2738,$F173)="","",INDEX(選手一覧!$F$7:$F$2738,$F173))</f>
        <v/>
      </c>
      <c r="H173" s="12" t="str">
        <f aca="false">IF(INDEX(選手一覧!$G$7:$G$2738,$F173)="","",INDEX(選手一覧!$G$7:$G$2738,$F173))</f>
        <v/>
      </c>
      <c r="I173" s="11" t="n">
        <f aca="false">IF(INDEX(選手一覧!$H$7:$H$2738,$F173)="","",INDEX(選手一覧!$H$7:$H$2738,$F173))</f>
        <v>0.00283576388888889</v>
      </c>
      <c r="J173" s="12" t="n">
        <f aca="false">IF(INDEX(選手一覧!$I$7:$I$2738,$F173)="","",INDEX(選手一覧!$I$7:$I$2738,$F173))</f>
        <v>468</v>
      </c>
    </row>
    <row r="174" customFormat="false" ht="15" hidden="false" customHeight="false" outlineLevel="0" collapsed="false">
      <c r="A174" s="12" t="n">
        <v>170</v>
      </c>
      <c r="B174" s="10" t="s">
        <v>224</v>
      </c>
      <c r="C174" s="10" t="s">
        <v>210</v>
      </c>
      <c r="D174" s="11" t="n">
        <v>0.0103172453703704</v>
      </c>
      <c r="E174" s="18" t="n">
        <f aca="false">ROUND((D174-$D$5)*86400,2)</f>
        <v>101.67</v>
      </c>
      <c r="F174" s="12" t="n">
        <v>118</v>
      </c>
      <c r="G174" s="11" t="n">
        <f aca="false">IF(INDEX(選手一覧!$F$7:$F$2738,$F174)="","",INDEX(選手一覧!$F$7:$F$2738,$F174))</f>
        <v>0.00654826388888889</v>
      </c>
      <c r="H174" s="12" t="n">
        <f aca="false">IF(INDEX(選手一覧!$G$7:$G$2738,$F174)="","",INDEX(選手一覧!$G$7:$G$2738,$F174))</f>
        <v>45</v>
      </c>
      <c r="I174" s="11" t="n">
        <f aca="false">IF(INDEX(選手一覧!$H$7:$H$2738,$F174)="","",INDEX(選手一覧!$H$7:$H$2738,$F174))</f>
        <v>0.00278391203703704</v>
      </c>
      <c r="J174" s="12" t="n">
        <f aca="false">IF(INDEX(選手一覧!$I$7:$I$2738,$F174)="","",INDEX(選手一覧!$I$7:$I$2738,$F174))</f>
        <v>216</v>
      </c>
    </row>
    <row r="175" customFormat="false" ht="15" hidden="false" customHeight="false" outlineLevel="0" collapsed="false">
      <c r="A175" s="12" t="n">
        <v>171</v>
      </c>
      <c r="B175" s="10" t="s">
        <v>637</v>
      </c>
      <c r="C175" s="10" t="s">
        <v>23</v>
      </c>
      <c r="D175" s="11" t="n">
        <v>0.0103173611111111</v>
      </c>
      <c r="E175" s="18" t="n">
        <f aca="false">ROUND((D175-$D$5)*86400,2)</f>
        <v>101.68</v>
      </c>
      <c r="F175" s="12" t="n">
        <v>404</v>
      </c>
      <c r="G175" s="11" t="str">
        <f aca="false">IF(INDEX(選手一覧!$F$7:$F$2738,$F175)="","",INDEX(選手一覧!$F$7:$F$2738,$F175))</f>
        <v/>
      </c>
      <c r="H175" s="12" t="str">
        <f aca="false">IF(INDEX(選手一覧!$G$7:$G$2738,$F175)="","",INDEX(選手一覧!$G$7:$G$2738,$F175))</f>
        <v/>
      </c>
      <c r="I175" s="11" t="n">
        <f aca="false">IF(INDEX(選手一覧!$H$7:$H$2738,$F175)="","",INDEX(選手一覧!$H$7:$H$2738,$F175))</f>
        <v>0.0028712962962963</v>
      </c>
      <c r="J175" s="12" t="n">
        <f aca="false">IF(INDEX(選手一覧!$I$7:$I$2738,$F175)="","",INDEX(選手一覧!$I$7:$I$2738,$F175))</f>
        <v>709</v>
      </c>
    </row>
    <row r="176" customFormat="false" ht="15" hidden="false" customHeight="false" outlineLevel="0" collapsed="false">
      <c r="A176" s="12" t="n">
        <v>172</v>
      </c>
      <c r="B176" s="10" t="s">
        <v>214</v>
      </c>
      <c r="C176" s="10" t="s">
        <v>215</v>
      </c>
      <c r="D176" s="11" t="n">
        <v>0.0103181712962963</v>
      </c>
      <c r="E176" s="18" t="n">
        <f aca="false">ROUND((D176-$D$5)*86400,2)</f>
        <v>101.75</v>
      </c>
      <c r="F176" s="12" t="n">
        <v>112</v>
      </c>
      <c r="G176" s="11" t="n">
        <f aca="false">IF(INDEX(選手一覧!$F$7:$F$2738,$F176)="","",INDEX(選手一覧!$F$7:$F$2738,$F176))</f>
        <v>0.006540625</v>
      </c>
      <c r="H176" s="12" t="n">
        <f aca="false">IF(INDEX(選手一覧!$G$7:$G$2738,$F176)="","",INDEX(選手一覧!$G$7:$G$2738,$F176))</f>
        <v>43</v>
      </c>
      <c r="I176" s="11" t="n">
        <f aca="false">IF(INDEX(選手一覧!$H$7:$H$2738,$F176)="","",INDEX(選手一覧!$H$7:$H$2738,$F176))</f>
        <v>0.00277326388888889</v>
      </c>
      <c r="J176" s="12" t="n">
        <f aca="false">IF(INDEX(選手一覧!$I$7:$I$2738,$F176)="","",INDEX(選手一覧!$I$7:$I$2738,$F176))</f>
        <v>168</v>
      </c>
    </row>
    <row r="177" customFormat="false" ht="15" hidden="false" customHeight="false" outlineLevel="0" collapsed="false">
      <c r="A177" s="12" t="n">
        <v>173</v>
      </c>
      <c r="B177" s="10" t="s">
        <v>640</v>
      </c>
      <c r="C177" s="10" t="s">
        <v>87</v>
      </c>
      <c r="D177" s="11" t="n">
        <v>0.01031875</v>
      </c>
      <c r="E177" s="18" t="n">
        <f aca="false">ROUND((D177-$D$5)*86400,2)</f>
        <v>101.8</v>
      </c>
      <c r="F177" s="12" t="n">
        <v>407</v>
      </c>
      <c r="G177" s="11" t="str">
        <f aca="false">IF(INDEX(選手一覧!$F$7:$F$2738,$F177)="","",INDEX(選手一覧!$F$7:$F$2738,$F177))</f>
        <v/>
      </c>
      <c r="H177" s="12" t="str">
        <f aca="false">IF(INDEX(選手一覧!$G$7:$G$2738,$F177)="","",INDEX(選手一覧!$G$7:$G$2738,$F177))</f>
        <v/>
      </c>
      <c r="I177" s="11" t="n">
        <f aca="false">IF(INDEX(選手一覧!$H$7:$H$2738,$F177)="","",INDEX(選手一覧!$H$7:$H$2738,$F177))</f>
        <v>0.00285532407407407</v>
      </c>
      <c r="J177" s="12" t="n">
        <f aca="false">IF(INDEX(選手一覧!$I$7:$I$2738,$F177)="","",INDEX(選手一覧!$I$7:$I$2738,$F177))</f>
        <v>598</v>
      </c>
    </row>
    <row r="178" customFormat="false" ht="15" hidden="false" customHeight="false" outlineLevel="0" collapsed="false">
      <c r="A178" s="12" t="n">
        <v>174</v>
      </c>
      <c r="B178" s="10" t="s">
        <v>646</v>
      </c>
      <c r="C178" s="10" t="s">
        <v>43</v>
      </c>
      <c r="D178" s="11" t="n">
        <v>0.0103224537037037</v>
      </c>
      <c r="E178" s="18" t="n">
        <f aca="false">ROUND((D178-$D$5)*86400,2)</f>
        <v>102.12</v>
      </c>
      <c r="F178" s="12" t="n">
        <v>411</v>
      </c>
      <c r="G178" s="11" t="str">
        <f aca="false">IF(INDEX(選手一覧!$F$7:$F$2738,$F178)="","",INDEX(選手一覧!$F$7:$F$2738,$F178))</f>
        <v/>
      </c>
      <c r="H178" s="12" t="str">
        <f aca="false">IF(INDEX(選手一覧!$G$7:$G$2738,$F178)="","",INDEX(選手一覧!$G$7:$G$2738,$F178))</f>
        <v/>
      </c>
      <c r="I178" s="11" t="n">
        <f aca="false">IF(INDEX(選手一覧!$H$7:$H$2738,$F178)="","",INDEX(選手一覧!$H$7:$H$2738,$F178))</f>
        <v>0.00290902777777778</v>
      </c>
      <c r="J178" s="12" t="n">
        <f aca="false">IF(INDEX(選手一覧!$I$7:$I$2738,$F178)="","",INDEX(選手一覧!$I$7:$I$2738,$F178))</f>
        <v>1009</v>
      </c>
    </row>
    <row r="179" customFormat="false" ht="15" hidden="false" customHeight="false" outlineLevel="0" collapsed="false">
      <c r="A179" s="12" t="n">
        <v>175</v>
      </c>
      <c r="B179" s="10" t="s">
        <v>152</v>
      </c>
      <c r="C179" s="10" t="s">
        <v>39</v>
      </c>
      <c r="D179" s="11" t="n">
        <v>0.0103246527777778</v>
      </c>
      <c r="E179" s="18" t="n">
        <f aca="false">ROUND((D179-$D$5)*86400,2)</f>
        <v>102.31</v>
      </c>
      <c r="F179" s="12" t="n">
        <v>74</v>
      </c>
      <c r="G179" s="11" t="n">
        <f aca="false">IF(INDEX(選手一覧!$F$7:$F$2738,$F179)="","",INDEX(選手一覧!$F$7:$F$2738,$F179))</f>
        <v>0.00648136574074074</v>
      </c>
      <c r="H179" s="12" t="n">
        <f aca="false">IF(INDEX(選手一覧!$G$7:$G$2738,$F179)="","",INDEX(選手一覧!$G$7:$G$2738,$F179))</f>
        <v>30</v>
      </c>
      <c r="I179" s="11" t="n">
        <f aca="false">IF(INDEX(選手一覧!$H$7:$H$2738,$F179)="","",INDEX(選手一覧!$H$7:$H$2738,$F179))</f>
        <v>0.00279930555555556</v>
      </c>
      <c r="J179" s="12" t="n">
        <f aca="false">IF(INDEX(選手一覧!$I$7:$I$2738,$F179)="","",INDEX(選手一覧!$I$7:$I$2738,$F179))</f>
        <v>279</v>
      </c>
    </row>
    <row r="180" customFormat="false" ht="15" hidden="false" customHeight="false" outlineLevel="0" collapsed="false">
      <c r="A180" s="12" t="n">
        <v>176</v>
      </c>
      <c r="B180" s="10" t="s">
        <v>653</v>
      </c>
      <c r="C180" s="10" t="s">
        <v>654</v>
      </c>
      <c r="D180" s="11" t="n">
        <v>0.0103251157407407</v>
      </c>
      <c r="E180" s="18" t="n">
        <f aca="false">ROUND((D180-$D$5)*86400,2)</f>
        <v>102.35</v>
      </c>
      <c r="F180" s="12" t="n">
        <v>416</v>
      </c>
      <c r="G180" s="11" t="str">
        <f aca="false">IF(INDEX(選手一覧!$F$7:$F$2738,$F180)="","",INDEX(選手一覧!$F$7:$F$2738,$F180))</f>
        <v/>
      </c>
      <c r="H180" s="12" t="str">
        <f aca="false">IF(INDEX(選手一覧!$G$7:$G$2738,$F180)="","",INDEX(選手一覧!$G$7:$G$2738,$F180))</f>
        <v/>
      </c>
      <c r="I180" s="11" t="n">
        <f aca="false">IF(INDEX(選手一覧!$H$7:$H$2738,$F180)="","",INDEX(選手一覧!$H$7:$H$2738,$F180))</f>
        <v>0.00282268518518519</v>
      </c>
      <c r="J180" s="12" t="n">
        <f aca="false">IF(INDEX(選手一覧!$I$7:$I$2738,$F180)="","",INDEX(選手一覧!$I$7:$I$2738,$F180))</f>
        <v>379</v>
      </c>
    </row>
    <row r="181" customFormat="false" ht="15" hidden="false" customHeight="false" outlineLevel="0" collapsed="false">
      <c r="A181" s="12" t="n">
        <v>177</v>
      </c>
      <c r="B181" s="10" t="s">
        <v>661</v>
      </c>
      <c r="C181" s="10" t="s">
        <v>570</v>
      </c>
      <c r="D181" s="11" t="n">
        <v>0.0103259259259259</v>
      </c>
      <c r="E181" s="18" t="n">
        <f aca="false">ROUND((D181-$D$5)*86400,2)</f>
        <v>102.42</v>
      </c>
      <c r="F181" s="12" t="n">
        <v>420</v>
      </c>
      <c r="G181" s="11" t="str">
        <f aca="false">IF(INDEX(選手一覧!$F$7:$F$2738,$F181)="","",INDEX(選手一覧!$F$7:$F$2738,$F181))</f>
        <v/>
      </c>
      <c r="H181" s="12" t="str">
        <f aca="false">IF(INDEX(選手一覧!$G$7:$G$2738,$F181)="","",INDEX(選手一覧!$G$7:$G$2738,$F181))</f>
        <v/>
      </c>
      <c r="I181" s="11" t="n">
        <f aca="false">IF(INDEX(選手一覧!$H$7:$H$2738,$F181)="","",INDEX(選手一覧!$H$7:$H$2738,$F181))</f>
        <v>0.00296030092592593</v>
      </c>
      <c r="J181" s="12" t="n">
        <f aca="false">IF(INDEX(選手一覧!$I$7:$I$2738,$F181)="","",INDEX(選手一覧!$I$7:$I$2738,$F181))</f>
        <v>1273</v>
      </c>
    </row>
    <row r="182" customFormat="false" ht="15" hidden="false" customHeight="false" outlineLevel="0" collapsed="false">
      <c r="A182" s="12" t="n">
        <v>178</v>
      </c>
      <c r="B182" s="10" t="s">
        <v>664</v>
      </c>
      <c r="C182" s="10" t="s">
        <v>242</v>
      </c>
      <c r="D182" s="11" t="n">
        <v>0.0103260416666667</v>
      </c>
      <c r="E182" s="18" t="n">
        <f aca="false">ROUND((D182-$D$5)*86400,2)</f>
        <v>102.43</v>
      </c>
      <c r="F182" s="12" t="n">
        <v>422</v>
      </c>
      <c r="G182" s="11" t="str">
        <f aca="false">IF(INDEX(選手一覧!$F$7:$F$2738,$F182)="","",INDEX(選手一覧!$F$7:$F$2738,$F182))</f>
        <v/>
      </c>
      <c r="H182" s="12" t="str">
        <f aca="false">IF(INDEX(選手一覧!$G$7:$G$2738,$F182)="","",INDEX(選手一覧!$G$7:$G$2738,$F182))</f>
        <v/>
      </c>
      <c r="I182" s="11" t="n">
        <f aca="false">IF(INDEX(選手一覧!$H$7:$H$2738,$F182)="","",INDEX(選手一覧!$H$7:$H$2738,$F182))</f>
        <v>0.00282430555555556</v>
      </c>
      <c r="J182" s="12" t="n">
        <f aca="false">IF(INDEX(選手一覧!$I$7:$I$2738,$F182)="","",INDEX(選手一覧!$I$7:$I$2738,$F182))</f>
        <v>389</v>
      </c>
    </row>
    <row r="183" customFormat="false" ht="15" hidden="false" customHeight="false" outlineLevel="0" collapsed="false">
      <c r="A183" s="12" t="n">
        <v>179</v>
      </c>
      <c r="B183" s="10" t="s">
        <v>669</v>
      </c>
      <c r="C183" s="10" t="s">
        <v>83</v>
      </c>
      <c r="D183" s="11" t="n">
        <v>0.0103261574074074</v>
      </c>
      <c r="E183" s="18" t="n">
        <f aca="false">ROUND((D183-$D$5)*86400,2)</f>
        <v>102.44</v>
      </c>
      <c r="F183" s="12" t="n">
        <v>426</v>
      </c>
      <c r="G183" s="11" t="str">
        <f aca="false">IF(INDEX(選手一覧!$F$7:$F$2738,$F183)="","",INDEX(選手一覧!$F$7:$F$2738,$F183))</f>
        <v/>
      </c>
      <c r="H183" s="12" t="str">
        <f aca="false">IF(INDEX(選手一覧!$G$7:$G$2738,$F183)="","",INDEX(選手一覧!$G$7:$G$2738,$F183))</f>
        <v/>
      </c>
      <c r="I183" s="11" t="n">
        <f aca="false">IF(INDEX(選手一覧!$H$7:$H$2738,$F183)="","",INDEX(選手一覧!$H$7:$H$2738,$F183))</f>
        <v>0.00288576388888889</v>
      </c>
      <c r="J183" s="12" t="n">
        <f aca="false">IF(INDEX(選手一覧!$I$7:$I$2738,$F183)="","",INDEX(選手一覧!$I$7:$I$2738,$F183))</f>
        <v>822</v>
      </c>
    </row>
    <row r="184" customFormat="false" ht="15" hidden="false" customHeight="false" outlineLevel="0" collapsed="false">
      <c r="A184" s="12" t="n">
        <v>180</v>
      </c>
      <c r="B184" s="10" t="s">
        <v>670</v>
      </c>
      <c r="C184" s="10" t="s">
        <v>64</v>
      </c>
      <c r="D184" s="11" t="n">
        <v>0.0103270833333333</v>
      </c>
      <c r="E184" s="18" t="n">
        <f aca="false">ROUND((D184-$D$5)*86400,2)</f>
        <v>102.52</v>
      </c>
      <c r="F184" s="12" t="n">
        <v>427</v>
      </c>
      <c r="G184" s="11" t="n">
        <f aca="false">IF(INDEX(選手一覧!$F$7:$F$2738,$F184)="","",INDEX(選手一覧!$F$7:$F$2738,$F184))</f>
        <v>0.00692604166666667</v>
      </c>
      <c r="H184" s="12" t="n">
        <f aca="false">IF(INDEX(選手一覧!$G$7:$G$2738,$F184)="","",INDEX(選手一覧!$G$7:$G$2738,$F184))</f>
        <v>266</v>
      </c>
      <c r="I184" s="11" t="n">
        <f aca="false">IF(INDEX(選手一覧!$H$7:$H$2738,$F184)="","",INDEX(選手一覧!$H$7:$H$2738,$F184))</f>
        <v>0.00286608796296296</v>
      </c>
      <c r="J184" s="12" t="n">
        <f aca="false">IF(INDEX(選手一覧!$I$7:$I$2738,$F184)="","",INDEX(選手一覧!$I$7:$I$2738,$F184))</f>
        <v>670</v>
      </c>
    </row>
    <row r="185" customFormat="false" ht="15" hidden="false" customHeight="false" outlineLevel="0" collapsed="false">
      <c r="A185" s="12" t="n">
        <v>181</v>
      </c>
      <c r="B185" s="10" t="s">
        <v>675</v>
      </c>
      <c r="C185" s="10" t="s">
        <v>49</v>
      </c>
      <c r="D185" s="11" t="n">
        <v>0.0103275462962963</v>
      </c>
      <c r="E185" s="18" t="n">
        <f aca="false">ROUND((D185-$D$5)*86400,2)</f>
        <v>102.56</v>
      </c>
      <c r="F185" s="12" t="n">
        <v>431</v>
      </c>
      <c r="G185" s="11" t="str">
        <f aca="false">IF(INDEX(選手一覧!$F$7:$F$2738,$F185)="","",INDEX(選手一覧!$F$7:$F$2738,$F185))</f>
        <v/>
      </c>
      <c r="H185" s="12" t="str">
        <f aca="false">IF(INDEX(選手一覧!$G$7:$G$2738,$F185)="","",INDEX(選手一覧!$G$7:$G$2738,$F185))</f>
        <v/>
      </c>
      <c r="I185" s="11" t="str">
        <f aca="false">IF(INDEX(選手一覧!$H$7:$H$2738,$F185)="","",INDEX(選手一覧!$H$7:$H$2738,$F185))</f>
        <v/>
      </c>
      <c r="J185" s="12" t="str">
        <f aca="false">IF(INDEX(選手一覧!$I$7:$I$2738,$F185)="","",INDEX(選手一覧!$I$7:$I$2738,$F185))</f>
        <v/>
      </c>
    </row>
    <row r="186" customFormat="false" ht="15" hidden="false" customHeight="false" outlineLevel="0" collapsed="false">
      <c r="A186" s="12" t="n">
        <v>182</v>
      </c>
      <c r="B186" s="10" t="s">
        <v>676</v>
      </c>
      <c r="C186" s="10" t="s">
        <v>387</v>
      </c>
      <c r="D186" s="11" t="n">
        <v>0.0103303240740741</v>
      </c>
      <c r="E186" s="18" t="n">
        <f aca="false">ROUND((D186-$D$5)*86400,2)</f>
        <v>102.8</v>
      </c>
      <c r="F186" s="12" t="n">
        <v>432</v>
      </c>
      <c r="G186" s="11" t="n">
        <f aca="false">IF(INDEX(選手一覧!$F$7:$F$2738,$F186)="","",INDEX(選手一覧!$F$7:$F$2738,$F186))</f>
        <v>0.00704131944444445</v>
      </c>
      <c r="H186" s="12" t="n">
        <f aca="false">IF(INDEX(選手一覧!$G$7:$G$2738,$F186)="","",INDEX(選手一覧!$G$7:$G$2738,$F186))</f>
        <v>378</v>
      </c>
      <c r="I186" s="11" t="n">
        <f aca="false">IF(INDEX(選手一覧!$H$7:$H$2738,$F186)="","",INDEX(選手一覧!$H$7:$H$2738,$F186))</f>
        <v>0.00277731481481482</v>
      </c>
      <c r="J186" s="12" t="n">
        <f aca="false">IF(INDEX(選手一覧!$I$7:$I$2738,$F186)="","",INDEX(選手一覧!$I$7:$I$2738,$F186))</f>
        <v>187</v>
      </c>
    </row>
    <row r="187" customFormat="false" ht="15" hidden="false" customHeight="false" outlineLevel="0" collapsed="false">
      <c r="A187" s="12" t="n">
        <v>183</v>
      </c>
      <c r="B187" s="10" t="s">
        <v>682</v>
      </c>
      <c r="C187" s="10" t="s">
        <v>171</v>
      </c>
      <c r="D187" s="11" t="n">
        <v>0.0103304398148148</v>
      </c>
      <c r="E187" s="18" t="n">
        <f aca="false">ROUND((D187-$D$5)*86400,2)</f>
        <v>102.81</v>
      </c>
      <c r="F187" s="12" t="n">
        <v>436</v>
      </c>
      <c r="G187" s="11" t="str">
        <f aca="false">IF(INDEX(選手一覧!$F$7:$F$2738,$F187)="","",INDEX(選手一覧!$F$7:$F$2738,$F187))</f>
        <v/>
      </c>
      <c r="H187" s="12" t="str">
        <f aca="false">IF(INDEX(選手一覧!$G$7:$G$2738,$F187)="","",INDEX(選手一覧!$G$7:$G$2738,$F187))</f>
        <v/>
      </c>
      <c r="I187" s="11" t="n">
        <f aca="false">IF(INDEX(選手一覧!$H$7:$H$2738,$F187)="","",INDEX(選手一覧!$H$7:$H$2738,$F187))</f>
        <v>0.00295821759259259</v>
      </c>
      <c r="J187" s="12" t="n">
        <f aca="false">IF(INDEX(選手一覧!$I$7:$I$2738,$F187)="","",INDEX(選手一覧!$I$7:$I$2738,$F187))</f>
        <v>1262</v>
      </c>
    </row>
    <row r="188" customFormat="false" ht="15" hidden="false" customHeight="false" outlineLevel="0" collapsed="false">
      <c r="A188" s="12" t="n">
        <v>184</v>
      </c>
      <c r="B188" s="10" t="s">
        <v>683</v>
      </c>
      <c r="C188" s="10" t="s">
        <v>64</v>
      </c>
      <c r="D188" s="11" t="n">
        <v>0.0103328703703704</v>
      </c>
      <c r="E188" s="18" t="n">
        <f aca="false">ROUND((D188-$D$5)*86400,2)</f>
        <v>103.02</v>
      </c>
      <c r="F188" s="12" t="n">
        <v>437</v>
      </c>
      <c r="G188" s="11" t="str">
        <f aca="false">IF(INDEX(選手一覧!$F$7:$F$2738,$F188)="","",INDEX(選手一覧!$F$7:$F$2738,$F188))</f>
        <v/>
      </c>
      <c r="H188" s="12" t="str">
        <f aca="false">IF(INDEX(選手一覧!$G$7:$G$2738,$F188)="","",INDEX(選手一覧!$G$7:$G$2738,$F188))</f>
        <v/>
      </c>
      <c r="I188" s="11" t="n">
        <f aca="false">IF(INDEX(選手一覧!$H$7:$H$2738,$F188)="","",INDEX(選手一覧!$H$7:$H$2738,$F188))</f>
        <v>0.00282314814814815</v>
      </c>
      <c r="J188" s="12" t="n">
        <f aca="false">IF(INDEX(選手一覧!$I$7:$I$2738,$F188)="","",INDEX(選手一覧!$I$7:$I$2738,$F188))</f>
        <v>382</v>
      </c>
    </row>
    <row r="189" customFormat="false" ht="15" hidden="false" customHeight="false" outlineLevel="0" collapsed="false">
      <c r="A189" s="12" t="n">
        <v>185</v>
      </c>
      <c r="B189" s="10" t="s">
        <v>687</v>
      </c>
      <c r="C189" s="10" t="s">
        <v>688</v>
      </c>
      <c r="D189" s="11" t="n">
        <v>0.0103357638888889</v>
      </c>
      <c r="E189" s="18" t="n">
        <f aca="false">ROUND((D189-$D$5)*86400,2)</f>
        <v>103.27</v>
      </c>
      <c r="F189" s="12" t="n">
        <v>440</v>
      </c>
      <c r="G189" s="11" t="str">
        <f aca="false">IF(INDEX(選手一覧!$F$7:$F$2738,$F189)="","",INDEX(選手一覧!$F$7:$F$2738,$F189))</f>
        <v/>
      </c>
      <c r="H189" s="12" t="str">
        <f aca="false">IF(INDEX(選手一覧!$G$7:$G$2738,$F189)="","",INDEX(選手一覧!$G$7:$G$2738,$F189))</f>
        <v/>
      </c>
      <c r="I189" s="11" t="str">
        <f aca="false">IF(INDEX(選手一覧!$H$7:$H$2738,$F189)="","",INDEX(選手一覧!$H$7:$H$2738,$F189))</f>
        <v/>
      </c>
      <c r="J189" s="12" t="str">
        <f aca="false">IF(INDEX(選手一覧!$I$7:$I$2738,$F189)="","",INDEX(選手一覧!$I$7:$I$2738,$F189))</f>
        <v/>
      </c>
    </row>
    <row r="190" customFormat="false" ht="15" hidden="false" customHeight="false" outlineLevel="0" collapsed="false">
      <c r="A190" s="12" t="n">
        <v>186</v>
      </c>
      <c r="B190" s="10" t="s">
        <v>690</v>
      </c>
      <c r="C190" s="10" t="s">
        <v>599</v>
      </c>
      <c r="D190" s="11" t="n">
        <v>0.0103365740740741</v>
      </c>
      <c r="E190" s="18" t="n">
        <f aca="false">ROUND((D190-$D$5)*86400,2)</f>
        <v>103.34</v>
      </c>
      <c r="F190" s="12" t="n">
        <v>442</v>
      </c>
      <c r="G190" s="11" t="n">
        <f aca="false">IF(INDEX(選手一覧!$F$7:$F$2738,$F190)="","",INDEX(選手一覧!$F$7:$F$2738,$F190))</f>
        <v>0.00739351851851852</v>
      </c>
      <c r="H190" s="12" t="n">
        <f aca="false">IF(INDEX(選手一覧!$G$7:$G$2738,$F190)="","",INDEX(選手一覧!$G$7:$G$2738,$F190))</f>
        <v>765</v>
      </c>
      <c r="I190" s="11" t="n">
        <f aca="false">IF(INDEX(選手一覧!$H$7:$H$2738,$F190)="","",INDEX(選手一覧!$H$7:$H$2738,$F190))</f>
        <v>0.002790625</v>
      </c>
      <c r="J190" s="12" t="n">
        <f aca="false">IF(INDEX(選手一覧!$I$7:$I$2738,$F190)="","",INDEX(選手一覧!$I$7:$I$2738,$F190))</f>
        <v>243</v>
      </c>
    </row>
    <row r="191" customFormat="false" ht="15" hidden="false" customHeight="false" outlineLevel="0" collapsed="false">
      <c r="A191" s="12" t="n">
        <v>187</v>
      </c>
      <c r="B191" s="10" t="s">
        <v>694</v>
      </c>
      <c r="C191" s="10" t="s">
        <v>695</v>
      </c>
      <c r="D191" s="11" t="n">
        <v>0.0103375</v>
      </c>
      <c r="E191" s="18" t="n">
        <f aca="false">ROUND((D191-$D$5)*86400,2)</f>
        <v>103.42</v>
      </c>
      <c r="F191" s="12" t="n">
        <v>445</v>
      </c>
      <c r="G191" s="11" t="n">
        <f aca="false">IF(INDEX(選手一覧!$F$7:$F$2738,$F191)="","",INDEX(選手一覧!$F$7:$F$2738,$F191))</f>
        <v>0.00693090277777778</v>
      </c>
      <c r="H191" s="12" t="n">
        <f aca="false">IF(INDEX(選手一覧!$G$7:$G$2738,$F191)="","",INDEX(選手一覧!$G$7:$G$2738,$F191))</f>
        <v>274</v>
      </c>
      <c r="I191" s="11" t="n">
        <f aca="false">IF(INDEX(選手一覧!$H$7:$H$2738,$F191)="","",INDEX(選手一覧!$H$7:$H$2738,$F191))</f>
        <v>0.00290196759259259</v>
      </c>
      <c r="J191" s="12" t="n">
        <f aca="false">IF(INDEX(選手一覧!$I$7:$I$2738,$F191)="","",INDEX(選手一覧!$I$7:$I$2738,$F191))</f>
        <v>964</v>
      </c>
    </row>
    <row r="192" customFormat="false" ht="15" hidden="false" customHeight="false" outlineLevel="0" collapsed="false">
      <c r="A192" s="12" t="n">
        <v>188</v>
      </c>
      <c r="B192" s="10" t="s">
        <v>700</v>
      </c>
      <c r="C192" s="10" t="s">
        <v>486</v>
      </c>
      <c r="D192" s="11" t="n">
        <v>0.010337962962963</v>
      </c>
      <c r="E192" s="18" t="n">
        <f aca="false">ROUND((D192-$D$5)*86400,2)</f>
        <v>103.46</v>
      </c>
      <c r="F192" s="12" t="n">
        <v>448</v>
      </c>
      <c r="G192" s="11" t="str">
        <f aca="false">IF(INDEX(選手一覧!$F$7:$F$2738,$F192)="","",INDEX(選手一覧!$F$7:$F$2738,$F192))</f>
        <v/>
      </c>
      <c r="H192" s="12" t="str">
        <f aca="false">IF(INDEX(選手一覧!$G$7:$G$2738,$F192)="","",INDEX(選手一覧!$G$7:$G$2738,$F192))</f>
        <v/>
      </c>
      <c r="I192" s="11" t="str">
        <f aca="false">IF(INDEX(選手一覧!$H$7:$H$2738,$F192)="","",INDEX(選手一覧!$H$7:$H$2738,$F192))</f>
        <v/>
      </c>
      <c r="J192" s="12" t="str">
        <f aca="false">IF(INDEX(選手一覧!$I$7:$I$2738,$F192)="","",INDEX(選手一覧!$I$7:$I$2738,$F192))</f>
        <v/>
      </c>
    </row>
    <row r="193" customFormat="false" ht="15" hidden="false" customHeight="false" outlineLevel="0" collapsed="false">
      <c r="A193" s="12" t="n">
        <v>189</v>
      </c>
      <c r="B193" s="10" t="s">
        <v>703</v>
      </c>
      <c r="C193" s="10" t="s">
        <v>29</v>
      </c>
      <c r="D193" s="11" t="n">
        <v>0.0103387731481482</v>
      </c>
      <c r="E193" s="18" t="n">
        <f aca="false">ROUND((D193-$D$5)*86400,2)</f>
        <v>103.53</v>
      </c>
      <c r="F193" s="12" t="n">
        <v>450</v>
      </c>
      <c r="G193" s="11" t="str">
        <f aca="false">IF(INDEX(選手一覧!$F$7:$F$2738,$F193)="","",INDEX(選手一覧!$F$7:$F$2738,$F193))</f>
        <v/>
      </c>
      <c r="H193" s="12" t="str">
        <f aca="false">IF(INDEX(選手一覧!$G$7:$G$2738,$F193)="","",INDEX(選手一覧!$G$7:$G$2738,$F193))</f>
        <v/>
      </c>
      <c r="I193" s="11" t="n">
        <f aca="false">IF(INDEX(選手一覧!$H$7:$H$2738,$F193)="","",INDEX(選手一覧!$H$7:$H$2738,$F193))</f>
        <v>0.00288298611111111</v>
      </c>
      <c r="J193" s="12" t="n">
        <f aca="false">IF(INDEX(選手一覧!$I$7:$I$2738,$F193)="","",INDEX(選手一覧!$I$7:$I$2738,$F193))</f>
        <v>802</v>
      </c>
    </row>
    <row r="194" customFormat="false" ht="15" hidden="false" customHeight="false" outlineLevel="0" collapsed="false">
      <c r="A194" s="12" t="n">
        <v>190</v>
      </c>
      <c r="B194" s="10" t="s">
        <v>706</v>
      </c>
      <c r="C194" s="10" t="s">
        <v>185</v>
      </c>
      <c r="D194" s="11" t="n">
        <v>0.0103393518518519</v>
      </c>
      <c r="E194" s="18" t="n">
        <f aca="false">ROUND((D194-$D$5)*86400,2)</f>
        <v>103.58</v>
      </c>
      <c r="F194" s="12" t="n">
        <v>452</v>
      </c>
      <c r="G194" s="11" t="n">
        <f aca="false">IF(INDEX(選手一覧!$F$7:$F$2738,$F194)="","",INDEX(選手一覧!$F$7:$F$2738,$F194))</f>
        <v>0.00682673611111111</v>
      </c>
      <c r="H194" s="12" t="n">
        <f aca="false">IF(INDEX(選手一覧!$G$7:$G$2738,$F194)="","",INDEX(選手一覧!$G$7:$G$2738,$F194))</f>
        <v>190</v>
      </c>
      <c r="I194" s="11" t="n">
        <f aca="false">IF(INDEX(選手一覧!$H$7:$H$2738,$F194)="","",INDEX(選手一覧!$H$7:$H$2738,$F194))</f>
        <v>0.0028119212962963</v>
      </c>
      <c r="J194" s="12" t="n">
        <f aca="false">IF(INDEX(選手一覧!$I$7:$I$2738,$F194)="","",INDEX(選手一覧!$I$7:$I$2738,$F194))</f>
        <v>329</v>
      </c>
    </row>
    <row r="195" customFormat="false" ht="15" hidden="false" customHeight="false" outlineLevel="0" collapsed="false">
      <c r="A195" s="12" t="n">
        <v>191</v>
      </c>
      <c r="B195" s="10" t="s">
        <v>709</v>
      </c>
      <c r="C195" s="10" t="s">
        <v>688</v>
      </c>
      <c r="D195" s="11" t="n">
        <v>0.0103395833333333</v>
      </c>
      <c r="E195" s="18" t="n">
        <f aca="false">ROUND((D195-$D$5)*86400,2)</f>
        <v>103.6</v>
      </c>
      <c r="F195" s="12" t="n">
        <v>455</v>
      </c>
      <c r="G195" s="11" t="str">
        <f aca="false">IF(INDEX(選手一覧!$F$7:$F$2738,$F195)="","",INDEX(選手一覧!$F$7:$F$2738,$F195))</f>
        <v/>
      </c>
      <c r="H195" s="12" t="str">
        <f aca="false">IF(INDEX(選手一覧!$G$7:$G$2738,$F195)="","",INDEX(選手一覧!$G$7:$G$2738,$F195))</f>
        <v/>
      </c>
      <c r="I195" s="11" t="str">
        <f aca="false">IF(INDEX(選手一覧!$H$7:$H$2738,$F195)="","",INDEX(選手一覧!$H$7:$H$2738,$F195))</f>
        <v/>
      </c>
      <c r="J195" s="12" t="str">
        <f aca="false">IF(INDEX(選手一覧!$I$7:$I$2738,$F195)="","",INDEX(選手一覧!$I$7:$I$2738,$F195))</f>
        <v/>
      </c>
    </row>
    <row r="196" customFormat="false" ht="15" hidden="false" customHeight="false" outlineLevel="0" collapsed="false">
      <c r="A196" s="12" t="n">
        <v>192</v>
      </c>
      <c r="B196" s="10" t="s">
        <v>710</v>
      </c>
      <c r="C196" s="10" t="s">
        <v>49</v>
      </c>
      <c r="D196" s="11" t="n">
        <v>0.010340162037037</v>
      </c>
      <c r="E196" s="18" t="n">
        <f aca="false">ROUND((D196-$D$5)*86400,2)</f>
        <v>103.65</v>
      </c>
      <c r="F196" s="12" t="n">
        <v>456</v>
      </c>
      <c r="G196" s="11" t="str">
        <f aca="false">IF(INDEX(選手一覧!$F$7:$F$2738,$F196)="","",INDEX(選手一覧!$F$7:$F$2738,$F196))</f>
        <v/>
      </c>
      <c r="H196" s="12" t="str">
        <f aca="false">IF(INDEX(選手一覧!$G$7:$G$2738,$F196)="","",INDEX(選手一覧!$G$7:$G$2738,$F196))</f>
        <v/>
      </c>
      <c r="I196" s="11" t="n">
        <f aca="false">IF(INDEX(選手一覧!$H$7:$H$2738,$F196)="","",INDEX(選手一覧!$H$7:$H$2738,$F196))</f>
        <v>0.00288611111111111</v>
      </c>
      <c r="J196" s="12" t="n">
        <f aca="false">IF(INDEX(選手一覧!$I$7:$I$2738,$F196)="","",INDEX(選手一覧!$I$7:$I$2738,$F196))</f>
        <v>826</v>
      </c>
    </row>
    <row r="197" customFormat="false" ht="15" hidden="false" customHeight="false" outlineLevel="0" collapsed="false">
      <c r="A197" s="12" t="n">
        <v>193</v>
      </c>
      <c r="B197" s="10" t="s">
        <v>209</v>
      </c>
      <c r="C197" s="10" t="s">
        <v>210</v>
      </c>
      <c r="D197" s="11" t="n">
        <v>0.0103403935185185</v>
      </c>
      <c r="E197" s="18" t="n">
        <f aca="false">ROUND((D197-$D$5)*86400,2)</f>
        <v>103.67</v>
      </c>
      <c r="F197" s="12" t="n">
        <v>109</v>
      </c>
      <c r="G197" s="11" t="str">
        <f aca="false">IF(INDEX(選手一覧!$F$7:$F$2738,$F197)="","",INDEX(選手一覧!$F$7:$F$2738,$F197))</f>
        <v/>
      </c>
      <c r="H197" s="12" t="str">
        <f aca="false">IF(INDEX(選手一覧!$G$7:$G$2738,$F197)="","",INDEX(選手一覧!$G$7:$G$2738,$F197))</f>
        <v/>
      </c>
      <c r="I197" s="11" t="n">
        <f aca="false">IF(INDEX(選手一覧!$H$7:$H$2738,$F197)="","",INDEX(選手一覧!$H$7:$H$2738,$F197))</f>
        <v>0.00271400462962963</v>
      </c>
      <c r="J197" s="12" t="n">
        <f aca="false">IF(INDEX(選手一覧!$I$7:$I$2738,$F197)="","",INDEX(選手一覧!$I$7:$I$2738,$F197))</f>
        <v>42</v>
      </c>
    </row>
    <row r="198" customFormat="false" ht="15" hidden="false" customHeight="false" outlineLevel="0" collapsed="false">
      <c r="A198" s="12" t="n">
        <v>194</v>
      </c>
      <c r="B198" s="10" t="s">
        <v>719</v>
      </c>
      <c r="C198" s="10" t="s">
        <v>720</v>
      </c>
      <c r="D198" s="11" t="n">
        <v>0.010341087962963</v>
      </c>
      <c r="E198" s="18" t="n">
        <f aca="false">ROUND((D198-$D$5)*86400,2)</f>
        <v>103.73</v>
      </c>
      <c r="F198" s="12" t="n">
        <v>462</v>
      </c>
      <c r="G198" s="11" t="str">
        <f aca="false">IF(INDEX(選手一覧!$F$7:$F$2738,$F198)="","",INDEX(選手一覧!$F$7:$F$2738,$F198))</f>
        <v/>
      </c>
      <c r="H198" s="12" t="str">
        <f aca="false">IF(INDEX(選手一覧!$G$7:$G$2738,$F198)="","",INDEX(選手一覧!$G$7:$G$2738,$F198))</f>
        <v/>
      </c>
      <c r="I198" s="11" t="str">
        <f aca="false">IF(INDEX(選手一覧!$H$7:$H$2738,$F198)="","",INDEX(選手一覧!$H$7:$H$2738,$F198))</f>
        <v/>
      </c>
      <c r="J198" s="12" t="str">
        <f aca="false">IF(INDEX(選手一覧!$I$7:$I$2738,$F198)="","",INDEX(選手一覧!$I$7:$I$2738,$F198))</f>
        <v/>
      </c>
    </row>
    <row r="199" customFormat="false" ht="15" hidden="false" customHeight="false" outlineLevel="0" collapsed="false">
      <c r="A199" s="12" t="n">
        <v>195</v>
      </c>
      <c r="B199" s="10" t="s">
        <v>721</v>
      </c>
      <c r="C199" s="10" t="s">
        <v>229</v>
      </c>
      <c r="D199" s="11" t="n">
        <v>0.0103414351851852</v>
      </c>
      <c r="E199" s="18" t="n">
        <f aca="false">ROUND((D199-$D$5)*86400,2)</f>
        <v>103.76</v>
      </c>
      <c r="F199" s="12" t="n">
        <v>463</v>
      </c>
      <c r="G199" s="11" t="str">
        <f aca="false">IF(INDEX(選手一覧!$F$7:$F$2738,$F199)="","",INDEX(選手一覧!$F$7:$F$2738,$F199))</f>
        <v/>
      </c>
      <c r="H199" s="12" t="str">
        <f aca="false">IF(INDEX(選手一覧!$G$7:$G$2738,$F199)="","",INDEX(選手一覧!$G$7:$G$2738,$F199))</f>
        <v/>
      </c>
      <c r="I199" s="11" t="n">
        <f aca="false">IF(INDEX(選手一覧!$H$7:$H$2738,$F199)="","",INDEX(選手一覧!$H$7:$H$2738,$F199))</f>
        <v>0.00285347222222222</v>
      </c>
      <c r="J199" s="12" t="n">
        <f aca="false">IF(INDEX(選手一覧!$I$7:$I$2738,$F199)="","",INDEX(選手一覧!$I$7:$I$2738,$F199))</f>
        <v>588</v>
      </c>
    </row>
    <row r="200" customFormat="false" ht="15" hidden="false" customHeight="false" outlineLevel="0" collapsed="false">
      <c r="A200" s="12" t="n">
        <v>196</v>
      </c>
      <c r="B200" s="10" t="s">
        <v>726</v>
      </c>
      <c r="C200" s="10" t="s">
        <v>242</v>
      </c>
      <c r="D200" s="11" t="n">
        <v>0.0103417824074074</v>
      </c>
      <c r="E200" s="18" t="n">
        <f aca="false">ROUND((D200-$D$5)*86400,2)</f>
        <v>103.79</v>
      </c>
      <c r="F200" s="12" t="n">
        <v>467</v>
      </c>
      <c r="G200" s="11" t="str">
        <f aca="false">IF(INDEX(選手一覧!$F$7:$F$2738,$F200)="","",INDEX(選手一覧!$F$7:$F$2738,$F200))</f>
        <v/>
      </c>
      <c r="H200" s="12" t="str">
        <f aca="false">IF(INDEX(選手一覧!$G$7:$G$2738,$F200)="","",INDEX(選手一覧!$G$7:$G$2738,$F200))</f>
        <v/>
      </c>
      <c r="I200" s="11" t="n">
        <f aca="false">IF(INDEX(選手一覧!$H$7:$H$2738,$F200)="","",INDEX(選手一覧!$H$7:$H$2738,$F200))</f>
        <v>0.00290543981481482</v>
      </c>
      <c r="J200" s="12" t="n">
        <f aca="false">IF(INDEX(選手一覧!$I$7:$I$2738,$F200)="","",INDEX(選手一覧!$I$7:$I$2738,$F200))</f>
        <v>986</v>
      </c>
    </row>
    <row r="201" customFormat="false" ht="15" hidden="false" customHeight="false" outlineLevel="0" collapsed="false">
      <c r="A201" s="12" t="n">
        <v>197</v>
      </c>
      <c r="B201" s="10" t="s">
        <v>728</v>
      </c>
      <c r="C201" s="10" t="s">
        <v>695</v>
      </c>
      <c r="D201" s="11" t="n">
        <v>0.0103466435185185</v>
      </c>
      <c r="E201" s="18" t="n">
        <f aca="false">ROUND((D201-$D$5)*86400,2)</f>
        <v>104.21</v>
      </c>
      <c r="F201" s="12" t="n">
        <v>469</v>
      </c>
      <c r="G201" s="11" t="str">
        <f aca="false">IF(INDEX(選手一覧!$F$7:$F$2738,$F201)="","",INDEX(選手一覧!$F$7:$F$2738,$F201))</f>
        <v/>
      </c>
      <c r="H201" s="12" t="str">
        <f aca="false">IF(INDEX(選手一覧!$G$7:$G$2738,$F201)="","",INDEX(選手一覧!$G$7:$G$2738,$F201))</f>
        <v/>
      </c>
      <c r="I201" s="11" t="n">
        <f aca="false">IF(INDEX(選手一覧!$H$7:$H$2738,$F201)="","",INDEX(選手一覧!$H$7:$H$2738,$F201))</f>
        <v>0.00286898148148148</v>
      </c>
      <c r="J201" s="12" t="n">
        <f aca="false">IF(INDEX(選手一覧!$I$7:$I$2738,$F201)="","",INDEX(選手一覧!$I$7:$I$2738,$F201))</f>
        <v>687</v>
      </c>
    </row>
    <row r="202" customFormat="false" ht="15" hidden="false" customHeight="false" outlineLevel="0" collapsed="false">
      <c r="A202" s="12" t="n">
        <v>198</v>
      </c>
      <c r="B202" s="10" t="s">
        <v>731</v>
      </c>
      <c r="C202" s="10" t="s">
        <v>440</v>
      </c>
      <c r="D202" s="11" t="n">
        <v>0.0103467592592593</v>
      </c>
      <c r="E202" s="18" t="n">
        <f aca="false">ROUND((D202-$D$5)*86400,2)</f>
        <v>104.22</v>
      </c>
      <c r="F202" s="12" t="n">
        <v>471</v>
      </c>
      <c r="G202" s="11" t="str">
        <f aca="false">IF(INDEX(選手一覧!$F$7:$F$2738,$F202)="","",INDEX(選手一覧!$F$7:$F$2738,$F202))</f>
        <v/>
      </c>
      <c r="H202" s="12" t="str">
        <f aca="false">IF(INDEX(選手一覧!$G$7:$G$2738,$F202)="","",INDEX(選手一覧!$G$7:$G$2738,$F202))</f>
        <v/>
      </c>
      <c r="I202" s="11" t="n">
        <f aca="false">IF(INDEX(選手一覧!$H$7:$H$2738,$F202)="","",INDEX(選手一覧!$H$7:$H$2738,$F202))</f>
        <v>0.00278680555555556</v>
      </c>
      <c r="J202" s="12" t="n">
        <f aca="false">IF(INDEX(選手一覧!$I$7:$I$2738,$F202)="","",INDEX(選手一覧!$I$7:$I$2738,$F202))</f>
        <v>227</v>
      </c>
    </row>
    <row r="203" customFormat="false" ht="15" hidden="false" customHeight="false" outlineLevel="0" collapsed="false">
      <c r="A203" s="12" t="n">
        <v>199</v>
      </c>
      <c r="B203" s="10" t="s">
        <v>735</v>
      </c>
      <c r="C203" s="10" t="s">
        <v>473</v>
      </c>
      <c r="D203" s="11" t="n">
        <v>0.010347337962963</v>
      </c>
      <c r="E203" s="18" t="n">
        <f aca="false">ROUND((D203-$D$5)*86400,2)</f>
        <v>104.27</v>
      </c>
      <c r="F203" s="12" t="n">
        <v>474</v>
      </c>
      <c r="G203" s="11" t="str">
        <f aca="false">IF(INDEX(選手一覧!$F$7:$F$2738,$F203)="","",INDEX(選手一覧!$F$7:$F$2738,$F203))</f>
        <v/>
      </c>
      <c r="H203" s="12" t="str">
        <f aca="false">IF(INDEX(選手一覧!$G$7:$G$2738,$F203)="","",INDEX(選手一覧!$G$7:$G$2738,$F203))</f>
        <v/>
      </c>
      <c r="I203" s="11" t="n">
        <f aca="false">IF(INDEX(選手一覧!$H$7:$H$2738,$F203)="","",INDEX(選手一覧!$H$7:$H$2738,$F203))</f>
        <v>0.00289305555555556</v>
      </c>
      <c r="J203" s="12" t="n">
        <f aca="false">IF(INDEX(選手一覧!$I$7:$I$2738,$F203)="","",INDEX(選手一覧!$I$7:$I$2738,$F203))</f>
        <v>898</v>
      </c>
    </row>
    <row r="204" customFormat="false" ht="15" hidden="false" customHeight="false" outlineLevel="0" collapsed="false">
      <c r="A204" s="12" t="n">
        <v>200</v>
      </c>
      <c r="B204" s="10" t="s">
        <v>739</v>
      </c>
      <c r="C204" s="10" t="s">
        <v>72</v>
      </c>
      <c r="D204" s="11" t="n">
        <v>0.0103476851851852</v>
      </c>
      <c r="E204" s="18" t="n">
        <f aca="false">ROUND((D204-$D$5)*86400,2)</f>
        <v>104.3</v>
      </c>
      <c r="F204" s="12" t="n">
        <v>477</v>
      </c>
      <c r="G204" s="11" t="str">
        <f aca="false">IF(INDEX(選手一覧!$F$7:$F$2738,$F204)="","",INDEX(選手一覧!$F$7:$F$2738,$F204))</f>
        <v/>
      </c>
      <c r="H204" s="12" t="str">
        <f aca="false">IF(INDEX(選手一覧!$G$7:$G$2738,$F204)="","",INDEX(選手一覧!$G$7:$G$2738,$F204))</f>
        <v/>
      </c>
      <c r="I204" s="11" t="n">
        <f aca="false">IF(INDEX(選手一覧!$H$7:$H$2738,$F204)="","",INDEX(選手一覧!$H$7:$H$2738,$F204))</f>
        <v>0.00298055555555556</v>
      </c>
      <c r="J204" s="12" t="n">
        <f aca="false">IF(INDEX(選手一覧!$I$7:$I$2738,$F204)="","",INDEX(選手一覧!$I$7:$I$2738,$F204))</f>
        <v>1355</v>
      </c>
    </row>
    <row r="205" customFormat="false" ht="15" hidden="false" customHeight="false" outlineLevel="0" collapsed="false">
      <c r="A205" s="12" t="n">
        <v>201</v>
      </c>
      <c r="B205" s="10" t="s">
        <v>33</v>
      </c>
      <c r="C205" s="10" t="s">
        <v>34</v>
      </c>
      <c r="D205" s="11" t="n">
        <v>0.0103481481481482</v>
      </c>
      <c r="E205" s="18" t="n">
        <f aca="false">ROUND((D205-$D$5)*86400,2)</f>
        <v>104.34</v>
      </c>
      <c r="F205" s="12" t="n">
        <v>7</v>
      </c>
      <c r="G205" s="11" t="n">
        <f aca="false">IF(INDEX(選手一覧!$F$7:$F$2738,$F205)="","",INDEX(選手一覧!$F$7:$F$2738,$F205))</f>
        <v>0.00630729166666667</v>
      </c>
      <c r="H205" s="12" t="n">
        <f aca="false">IF(INDEX(選手一覧!$G$7:$G$2738,$F205)="","",INDEX(選手一覧!$G$7:$G$2738,$F205))</f>
        <v>4</v>
      </c>
      <c r="I205" s="11" t="n">
        <f aca="false">IF(INDEX(選手一覧!$H$7:$H$2738,$F205)="","",INDEX(選手一覧!$H$7:$H$2738,$F205))</f>
        <v>0.00273877314814815</v>
      </c>
      <c r="J205" s="12" t="n">
        <f aca="false">IF(INDEX(選手一覧!$I$7:$I$2738,$F205)="","",INDEX(選手一覧!$I$7:$I$2738,$F205))</f>
        <v>82</v>
      </c>
    </row>
    <row r="206" customFormat="false" ht="15" hidden="false" customHeight="false" outlineLevel="0" collapsed="false">
      <c r="A206" s="12" t="n">
        <v>202</v>
      </c>
      <c r="B206" s="10" t="s">
        <v>742</v>
      </c>
      <c r="C206" s="10" t="s">
        <v>36</v>
      </c>
      <c r="D206" s="11" t="n">
        <v>0.0103487268518519</v>
      </c>
      <c r="E206" s="18" t="n">
        <f aca="false">ROUND((D206-$D$5)*86400,2)</f>
        <v>104.39</v>
      </c>
      <c r="F206" s="12" t="n">
        <v>479</v>
      </c>
      <c r="G206" s="11" t="n">
        <f aca="false">IF(INDEX(選手一覧!$F$7:$F$2738,$F206)="","",INDEX(選手一覧!$F$7:$F$2738,$F206))</f>
        <v>0.00709699074074074</v>
      </c>
      <c r="H206" s="12" t="n">
        <f aca="false">IF(INDEX(選手一覧!$G$7:$G$2738,$F206)="","",INDEX(選手一覧!$G$7:$G$2738,$F206))</f>
        <v>444</v>
      </c>
      <c r="I206" s="11" t="n">
        <f aca="false">IF(INDEX(選手一覧!$H$7:$H$2738,$F206)="","",INDEX(選手一覧!$H$7:$H$2738,$F206))</f>
        <v>0.0028431712962963</v>
      </c>
      <c r="J206" s="12" t="n">
        <f aca="false">IF(INDEX(選手一覧!$I$7:$I$2738,$F206)="","",INDEX(選手一覧!$I$7:$I$2738,$F206))</f>
        <v>518</v>
      </c>
    </row>
    <row r="207" customFormat="false" ht="15" hidden="false" customHeight="false" outlineLevel="0" collapsed="false">
      <c r="A207" s="12" t="n">
        <v>203</v>
      </c>
      <c r="B207" s="10" t="s">
        <v>423</v>
      </c>
      <c r="C207" s="10" t="s">
        <v>91</v>
      </c>
      <c r="D207" s="11" t="n">
        <v>0.0103505787037037</v>
      </c>
      <c r="E207" s="18" t="n">
        <f aca="false">ROUND((D207-$D$5)*86400,2)</f>
        <v>104.55</v>
      </c>
      <c r="F207" s="12" t="n">
        <v>257</v>
      </c>
      <c r="G207" s="11" t="n">
        <f aca="false">IF(INDEX(選手一覧!$F$7:$F$2738,$F207)="","",INDEX(選手一覧!$F$7:$F$2738,$F207))</f>
        <v>0.00669953703703704</v>
      </c>
      <c r="H207" s="12" t="n">
        <f aca="false">IF(INDEX(選手一覧!$G$7:$G$2738,$F207)="","",INDEX(選手一覧!$G$7:$G$2738,$F207))</f>
        <v>107</v>
      </c>
      <c r="I207" s="11" t="n">
        <f aca="false">IF(INDEX(選手一覧!$H$7:$H$2738,$F207)="","",INDEX(選手一覧!$H$7:$H$2738,$F207))</f>
        <v>0.00276481481481482</v>
      </c>
      <c r="J207" s="12" t="n">
        <f aca="false">IF(INDEX(選手一覧!$I$7:$I$2738,$F207)="","",INDEX(選手一覧!$I$7:$I$2738,$F207))</f>
        <v>149</v>
      </c>
    </row>
    <row r="208" customFormat="false" ht="15" hidden="false" customHeight="false" outlineLevel="0" collapsed="false">
      <c r="A208" s="12" t="n">
        <v>204</v>
      </c>
      <c r="B208" s="10" t="s">
        <v>750</v>
      </c>
      <c r="C208" s="10" t="s">
        <v>445</v>
      </c>
      <c r="D208" s="11" t="n">
        <v>0.0103506944444444</v>
      </c>
      <c r="E208" s="18" t="n">
        <f aca="false">ROUND((D208-$D$5)*86400,2)</f>
        <v>104.56</v>
      </c>
      <c r="F208" s="12" t="n">
        <v>484</v>
      </c>
      <c r="G208" s="11" t="str">
        <f aca="false">IF(INDEX(選手一覧!$F$7:$F$2738,$F208)="","",INDEX(選手一覧!$F$7:$F$2738,$F208))</f>
        <v/>
      </c>
      <c r="H208" s="12" t="str">
        <f aca="false">IF(INDEX(選手一覧!$G$7:$G$2738,$F208)="","",INDEX(選手一覧!$G$7:$G$2738,$F208))</f>
        <v/>
      </c>
      <c r="I208" s="11" t="n">
        <f aca="false">IF(INDEX(選手一覧!$H$7:$H$2738,$F208)="","",INDEX(選手一覧!$H$7:$H$2738,$F208))</f>
        <v>0.0028349537037037</v>
      </c>
      <c r="J208" s="12" t="n">
        <f aca="false">IF(INDEX(選手一覧!$I$7:$I$2738,$F208)="","",INDEX(選手一覧!$I$7:$I$2738,$F208))</f>
        <v>461</v>
      </c>
    </row>
    <row r="209" customFormat="false" ht="15" hidden="false" customHeight="false" outlineLevel="0" collapsed="false">
      <c r="A209" s="12" t="n">
        <v>205</v>
      </c>
      <c r="B209" s="10" t="s">
        <v>755</v>
      </c>
      <c r="C209" s="10" t="s">
        <v>756</v>
      </c>
      <c r="D209" s="11" t="n">
        <v>0.0103510416666667</v>
      </c>
      <c r="E209" s="18" t="n">
        <f aca="false">ROUND((D209-$D$5)*86400,2)</f>
        <v>104.59</v>
      </c>
      <c r="F209" s="12" t="n">
        <v>487</v>
      </c>
      <c r="G209" s="11" t="str">
        <f aca="false">IF(INDEX(選手一覧!$F$7:$F$2738,$F209)="","",INDEX(選手一覧!$F$7:$F$2738,$F209))</f>
        <v/>
      </c>
      <c r="H209" s="12" t="str">
        <f aca="false">IF(INDEX(選手一覧!$G$7:$G$2738,$F209)="","",INDEX(選手一覧!$G$7:$G$2738,$F209))</f>
        <v/>
      </c>
      <c r="I209" s="11" t="n">
        <f aca="false">IF(INDEX(選手一覧!$H$7:$H$2738,$F209)="","",INDEX(選手一覧!$H$7:$H$2738,$F209))</f>
        <v>0.00279907407407407</v>
      </c>
      <c r="J209" s="12" t="n">
        <f aca="false">IF(INDEX(選手一覧!$I$7:$I$2738,$F209)="","",INDEX(選手一覧!$I$7:$I$2738,$F209))</f>
        <v>277</v>
      </c>
    </row>
    <row r="210" customFormat="false" ht="15" hidden="false" customHeight="false" outlineLevel="0" collapsed="false">
      <c r="A210" s="12" t="n">
        <v>206</v>
      </c>
      <c r="B210" s="10" t="s">
        <v>760</v>
      </c>
      <c r="C210" s="10" t="s">
        <v>141</v>
      </c>
      <c r="D210" s="11" t="n">
        <v>0.0103516203703704</v>
      </c>
      <c r="E210" s="18" t="n">
        <f aca="false">ROUND((D210-$D$5)*86400,2)</f>
        <v>104.64</v>
      </c>
      <c r="F210" s="12" t="n">
        <v>490</v>
      </c>
      <c r="G210" s="11" t="str">
        <f aca="false">IF(INDEX(選手一覧!$F$7:$F$2738,$F210)="","",INDEX(選手一覧!$F$7:$F$2738,$F210))</f>
        <v/>
      </c>
      <c r="H210" s="12" t="str">
        <f aca="false">IF(INDEX(選手一覧!$G$7:$G$2738,$F210)="","",INDEX(選手一覧!$G$7:$G$2738,$F210))</f>
        <v/>
      </c>
      <c r="I210" s="11" t="n">
        <f aca="false">IF(INDEX(選手一覧!$H$7:$H$2738,$F210)="","",INDEX(選手一覧!$H$7:$H$2738,$F210))</f>
        <v>0.00282152777777778</v>
      </c>
      <c r="J210" s="12" t="n">
        <f aca="false">IF(INDEX(選手一覧!$I$7:$I$2738,$F210)="","",INDEX(選手一覧!$I$7:$I$2738,$F210))</f>
        <v>372</v>
      </c>
    </row>
    <row r="211" customFormat="false" ht="15" hidden="false" customHeight="false" outlineLevel="0" collapsed="false">
      <c r="A211" s="12" t="n">
        <v>207</v>
      </c>
      <c r="B211" s="10" t="s">
        <v>763</v>
      </c>
      <c r="C211" s="10" t="s">
        <v>29</v>
      </c>
      <c r="D211" s="11" t="n">
        <v>0.0103527777777778</v>
      </c>
      <c r="E211" s="18" t="n">
        <f aca="false">ROUND((D211-$D$5)*86400,2)</f>
        <v>104.74</v>
      </c>
      <c r="F211" s="12" t="n">
        <v>492</v>
      </c>
      <c r="G211" s="11" t="str">
        <f aca="false">IF(INDEX(選手一覧!$F$7:$F$2738,$F211)="","",INDEX(選手一覧!$F$7:$F$2738,$F211))</f>
        <v/>
      </c>
      <c r="H211" s="12" t="str">
        <f aca="false">IF(INDEX(選手一覧!$G$7:$G$2738,$F211)="","",INDEX(選手一覧!$G$7:$G$2738,$F211))</f>
        <v/>
      </c>
      <c r="I211" s="11" t="n">
        <f aca="false">IF(INDEX(選手一覧!$H$7:$H$2738,$F211)="","",INDEX(選手一覧!$H$7:$H$2738,$F211))</f>
        <v>0.00286099537037037</v>
      </c>
      <c r="J211" s="12" t="n">
        <f aca="false">IF(INDEX(選手一覧!$I$7:$I$2738,$F211)="","",INDEX(選手一覧!$I$7:$I$2738,$F211))</f>
        <v>640</v>
      </c>
    </row>
    <row r="212" customFormat="false" ht="15" hidden="false" customHeight="false" outlineLevel="0" collapsed="false">
      <c r="A212" s="12" t="n">
        <v>208</v>
      </c>
      <c r="B212" s="10" t="s">
        <v>767</v>
      </c>
      <c r="C212" s="10" t="s">
        <v>105</v>
      </c>
      <c r="D212" s="11" t="n">
        <v>0.0103532407407407</v>
      </c>
      <c r="E212" s="18" t="n">
        <f aca="false">ROUND((D212-$D$5)*86400,2)</f>
        <v>104.78</v>
      </c>
      <c r="F212" s="12" t="n">
        <v>496</v>
      </c>
      <c r="G212" s="11" t="str">
        <f aca="false">IF(INDEX(選手一覧!$F$7:$F$2738,$F212)="","",INDEX(選手一覧!$F$7:$F$2738,$F212))</f>
        <v/>
      </c>
      <c r="H212" s="12" t="str">
        <f aca="false">IF(INDEX(選手一覧!$G$7:$G$2738,$F212)="","",INDEX(選手一覧!$G$7:$G$2738,$F212))</f>
        <v/>
      </c>
      <c r="I212" s="11" t="str">
        <f aca="false">IF(INDEX(選手一覧!$H$7:$H$2738,$F212)="","",INDEX(選手一覧!$H$7:$H$2738,$F212))</f>
        <v/>
      </c>
      <c r="J212" s="12" t="str">
        <f aca="false">IF(INDEX(選手一覧!$I$7:$I$2738,$F212)="","",INDEX(選手一覧!$I$7:$I$2738,$F212))</f>
        <v/>
      </c>
    </row>
    <row r="213" customFormat="false" ht="15" hidden="false" customHeight="false" outlineLevel="0" collapsed="false">
      <c r="A213" s="12" t="n">
        <v>209</v>
      </c>
      <c r="B213" s="10" t="s">
        <v>335</v>
      </c>
      <c r="C213" s="10" t="s">
        <v>154</v>
      </c>
      <c r="D213" s="11" t="n">
        <v>0.0103547453703704</v>
      </c>
      <c r="E213" s="18" t="n">
        <f aca="false">ROUND((D213-$D$5)*86400,2)</f>
        <v>104.91</v>
      </c>
      <c r="F213" s="12" t="n">
        <v>195</v>
      </c>
      <c r="G213" s="11" t="n">
        <f aca="false">IF(INDEX(選手一覧!$F$7:$F$2738,$F213)="","",INDEX(選手一覧!$F$7:$F$2738,$F213))</f>
        <v>0.0066412037037037</v>
      </c>
      <c r="H213" s="12" t="n">
        <f aca="false">IF(INDEX(選手一覧!$G$7:$G$2738,$F213)="","",INDEX(選手一覧!$G$7:$G$2738,$F213))</f>
        <v>79</v>
      </c>
      <c r="I213" s="11" t="n">
        <f aca="false">IF(INDEX(選手一覧!$H$7:$H$2738,$F213)="","",INDEX(選手一覧!$H$7:$H$2738,$F213))</f>
        <v>0.00275543981481482</v>
      </c>
      <c r="J213" s="12" t="n">
        <f aca="false">IF(INDEX(選手一覧!$I$7:$I$2738,$F213)="","",INDEX(選手一覧!$I$7:$I$2738,$F213))</f>
        <v>121</v>
      </c>
    </row>
    <row r="214" customFormat="false" ht="15" hidden="false" customHeight="false" outlineLevel="0" collapsed="false">
      <c r="A214" s="12" t="n">
        <v>210</v>
      </c>
      <c r="B214" s="10" t="s">
        <v>773</v>
      </c>
      <c r="C214" s="10" t="s">
        <v>577</v>
      </c>
      <c r="D214" s="11" t="n">
        <v>0.0103554398148148</v>
      </c>
      <c r="E214" s="18" t="n">
        <f aca="false">ROUND((D214-$D$5)*86400,2)</f>
        <v>104.97</v>
      </c>
      <c r="F214" s="12" t="n">
        <v>500</v>
      </c>
      <c r="G214" s="11" t="str">
        <f aca="false">IF(INDEX(選手一覧!$F$7:$F$2738,$F214)="","",INDEX(選手一覧!$F$7:$F$2738,$F214))</f>
        <v/>
      </c>
      <c r="H214" s="12" t="str">
        <f aca="false">IF(INDEX(選手一覧!$G$7:$G$2738,$F214)="","",INDEX(選手一覧!$G$7:$G$2738,$F214))</f>
        <v/>
      </c>
      <c r="I214" s="11" t="n">
        <f aca="false">IF(INDEX(選手一覧!$H$7:$H$2738,$F214)="","",INDEX(選手一覧!$H$7:$H$2738,$F214))</f>
        <v>0.00280162037037037</v>
      </c>
      <c r="J214" s="12" t="n">
        <f aca="false">IF(INDEX(選手一覧!$I$7:$I$2738,$F214)="","",INDEX(選手一覧!$I$7:$I$2738,$F214))</f>
        <v>289</v>
      </c>
    </row>
    <row r="215" customFormat="false" ht="15" hidden="false" customHeight="false" outlineLevel="0" collapsed="false">
      <c r="A215" s="12" t="n">
        <v>211</v>
      </c>
      <c r="B215" s="10" t="s">
        <v>776</v>
      </c>
      <c r="C215" s="10" t="s">
        <v>29</v>
      </c>
      <c r="D215" s="11" t="n">
        <v>0.0103571759259259</v>
      </c>
      <c r="E215" s="18" t="n">
        <f aca="false">ROUND((D215-$D$5)*86400,2)</f>
        <v>105.12</v>
      </c>
      <c r="F215" s="12" t="n">
        <v>503</v>
      </c>
      <c r="G215" s="11" t="str">
        <f aca="false">IF(INDEX(選手一覧!$F$7:$F$2738,$F215)="","",INDEX(選手一覧!$F$7:$F$2738,$F215))</f>
        <v/>
      </c>
      <c r="H215" s="12" t="str">
        <f aca="false">IF(INDEX(選手一覧!$G$7:$G$2738,$F215)="","",INDEX(選手一覧!$G$7:$G$2738,$F215))</f>
        <v/>
      </c>
      <c r="I215" s="11" t="n">
        <f aca="false">IF(INDEX(選手一覧!$H$7:$H$2738,$F215)="","",INDEX(選手一覧!$H$7:$H$2738,$F215))</f>
        <v>0.00285416666666667</v>
      </c>
      <c r="J215" s="12" t="n">
        <f aca="false">IF(INDEX(選手一覧!$I$7:$I$2738,$F215)="","",INDEX(選手一覧!$I$7:$I$2738,$F215))</f>
        <v>596</v>
      </c>
    </row>
    <row r="216" customFormat="false" ht="15" hidden="false" customHeight="false" outlineLevel="0" collapsed="false">
      <c r="A216" s="12" t="n">
        <v>212</v>
      </c>
      <c r="B216" s="10" t="s">
        <v>779</v>
      </c>
      <c r="C216" s="10" t="s">
        <v>171</v>
      </c>
      <c r="D216" s="11" t="n">
        <v>0.0103578703703704</v>
      </c>
      <c r="E216" s="18" t="n">
        <f aca="false">ROUND((D216-$D$5)*86400,2)</f>
        <v>105.18</v>
      </c>
      <c r="F216" s="12" t="n">
        <v>506</v>
      </c>
      <c r="G216" s="11" t="str">
        <f aca="false">IF(INDEX(選手一覧!$F$7:$F$2738,$F216)="","",INDEX(選手一覧!$F$7:$F$2738,$F216))</f>
        <v/>
      </c>
      <c r="H216" s="12" t="str">
        <f aca="false">IF(INDEX(選手一覧!$G$7:$G$2738,$F216)="","",INDEX(選手一覧!$G$7:$G$2738,$F216))</f>
        <v/>
      </c>
      <c r="I216" s="11" t="n">
        <f aca="false">IF(INDEX(選手一覧!$H$7:$H$2738,$F216)="","",INDEX(選手一覧!$H$7:$H$2738,$F216))</f>
        <v>0.00296122685185185</v>
      </c>
      <c r="J216" s="12" t="n">
        <f aca="false">IF(INDEX(選手一覧!$I$7:$I$2738,$F216)="","",INDEX(選手一覧!$I$7:$I$2738,$F216))</f>
        <v>1277</v>
      </c>
    </row>
    <row r="217" customFormat="false" ht="15" hidden="false" customHeight="false" outlineLevel="0" collapsed="false">
      <c r="A217" s="12" t="n">
        <v>213</v>
      </c>
      <c r="B217" s="10" t="s">
        <v>781</v>
      </c>
      <c r="C217" s="10" t="s">
        <v>49</v>
      </c>
      <c r="D217" s="11" t="n">
        <v>0.0103584490740741</v>
      </c>
      <c r="E217" s="18" t="n">
        <f aca="false">ROUND((D217-$D$5)*86400,2)</f>
        <v>105.23</v>
      </c>
      <c r="F217" s="12" t="n">
        <v>508</v>
      </c>
      <c r="G217" s="11" t="str">
        <f aca="false">IF(INDEX(選手一覧!$F$7:$F$2738,$F217)="","",INDEX(選手一覧!$F$7:$F$2738,$F217))</f>
        <v/>
      </c>
      <c r="H217" s="12" t="str">
        <f aca="false">IF(INDEX(選手一覧!$G$7:$G$2738,$F217)="","",INDEX(選手一覧!$G$7:$G$2738,$F217))</f>
        <v/>
      </c>
      <c r="I217" s="11" t="str">
        <f aca="false">IF(INDEX(選手一覧!$H$7:$H$2738,$F217)="","",INDEX(選手一覧!$H$7:$H$2738,$F217))</f>
        <v/>
      </c>
      <c r="J217" s="12" t="str">
        <f aca="false">IF(INDEX(選手一覧!$I$7:$I$2738,$F217)="","",INDEX(選手一覧!$I$7:$I$2738,$F217))</f>
        <v/>
      </c>
    </row>
    <row r="218" customFormat="false" ht="15" hidden="false" customHeight="false" outlineLevel="0" collapsed="false">
      <c r="A218" s="12" t="n">
        <v>214</v>
      </c>
      <c r="B218" s="10" t="s">
        <v>786</v>
      </c>
      <c r="C218" s="10" t="s">
        <v>312</v>
      </c>
      <c r="D218" s="11" t="n">
        <v>0.0103591435185185</v>
      </c>
      <c r="E218" s="18" t="n">
        <f aca="false">ROUND((D218-$D$5)*86400,2)</f>
        <v>105.29</v>
      </c>
      <c r="F218" s="12" t="n">
        <v>512</v>
      </c>
      <c r="G218" s="11" t="str">
        <f aca="false">IF(INDEX(選手一覧!$F$7:$F$2738,$F218)="","",INDEX(選手一覧!$F$7:$F$2738,$F218))</f>
        <v/>
      </c>
      <c r="H218" s="12" t="str">
        <f aca="false">IF(INDEX(選手一覧!$G$7:$G$2738,$F218)="","",INDEX(選手一覧!$G$7:$G$2738,$F218))</f>
        <v/>
      </c>
      <c r="I218" s="11" t="n">
        <f aca="false">IF(INDEX(選手一覧!$H$7:$H$2738,$F218)="","",INDEX(選手一覧!$H$7:$H$2738,$F218))</f>
        <v>0.00284479166666667</v>
      </c>
      <c r="J218" s="12" t="n">
        <f aca="false">IF(INDEX(選手一覧!$I$7:$I$2738,$F218)="","",INDEX(選手一覧!$I$7:$I$2738,$F218))</f>
        <v>533</v>
      </c>
    </row>
    <row r="219" customFormat="false" ht="15" hidden="false" customHeight="false" outlineLevel="0" collapsed="false">
      <c r="A219" s="12" t="n">
        <v>215</v>
      </c>
      <c r="B219" s="10" t="s">
        <v>788</v>
      </c>
      <c r="C219" s="10" t="s">
        <v>25</v>
      </c>
      <c r="D219" s="11" t="n">
        <v>0.010359375</v>
      </c>
      <c r="E219" s="18" t="n">
        <f aca="false">ROUND((D219-$D$5)*86400,2)</f>
        <v>105.31</v>
      </c>
      <c r="F219" s="12" t="n">
        <v>514</v>
      </c>
      <c r="G219" s="11" t="str">
        <f aca="false">IF(INDEX(選手一覧!$F$7:$F$2738,$F219)="","",INDEX(選手一覧!$F$7:$F$2738,$F219))</f>
        <v/>
      </c>
      <c r="H219" s="12" t="str">
        <f aca="false">IF(INDEX(選手一覧!$G$7:$G$2738,$F219)="","",INDEX(選手一覧!$G$7:$G$2738,$F219))</f>
        <v/>
      </c>
      <c r="I219" s="11" t="n">
        <f aca="false">IF(INDEX(選手一覧!$H$7:$H$2738,$F219)="","",INDEX(選手一覧!$H$7:$H$2738,$F219))</f>
        <v>0.00296354166666667</v>
      </c>
      <c r="J219" s="12" t="n">
        <f aca="false">IF(INDEX(選手一覧!$I$7:$I$2738,$F219)="","",INDEX(選手一覧!$I$7:$I$2738,$F219))</f>
        <v>1286</v>
      </c>
    </row>
    <row r="220" customFormat="false" ht="15" hidden="false" customHeight="false" outlineLevel="0" collapsed="false">
      <c r="A220" s="12" t="n">
        <v>216</v>
      </c>
      <c r="B220" s="10" t="s">
        <v>789</v>
      </c>
      <c r="C220" s="10" t="s">
        <v>103</v>
      </c>
      <c r="D220" s="11" t="n">
        <v>0.0103594907407407</v>
      </c>
      <c r="E220" s="18" t="n">
        <f aca="false">ROUND((D220-$D$5)*86400,2)</f>
        <v>105.32</v>
      </c>
      <c r="F220" s="12" t="n">
        <v>515</v>
      </c>
      <c r="G220" s="11" t="str">
        <f aca="false">IF(INDEX(選手一覧!$F$7:$F$2738,$F220)="","",INDEX(選手一覧!$F$7:$F$2738,$F220))</f>
        <v/>
      </c>
      <c r="H220" s="12" t="str">
        <f aca="false">IF(INDEX(選手一覧!$G$7:$G$2738,$F220)="","",INDEX(選手一覧!$G$7:$G$2738,$F220))</f>
        <v/>
      </c>
      <c r="I220" s="11" t="str">
        <f aca="false">IF(INDEX(選手一覧!$H$7:$H$2738,$F220)="","",INDEX(選手一覧!$H$7:$H$2738,$F220))</f>
        <v/>
      </c>
      <c r="J220" s="12" t="str">
        <f aca="false">IF(INDEX(選手一覧!$I$7:$I$2738,$F220)="","",INDEX(選手一覧!$I$7:$I$2738,$F220))</f>
        <v/>
      </c>
    </row>
    <row r="221" customFormat="false" ht="15" hidden="false" customHeight="false" outlineLevel="0" collapsed="false">
      <c r="A221" s="12" t="n">
        <v>217</v>
      </c>
      <c r="B221" s="10" t="s">
        <v>560</v>
      </c>
      <c r="C221" s="10" t="s">
        <v>49</v>
      </c>
      <c r="D221" s="11" t="n">
        <v>0.0103599537037037</v>
      </c>
      <c r="E221" s="18" t="n">
        <f aca="false">ROUND((D221-$D$5)*86400,2)</f>
        <v>105.36</v>
      </c>
      <c r="F221" s="12" t="n">
        <v>350</v>
      </c>
      <c r="G221" s="11" t="str">
        <f aca="false">IF(INDEX(選手一覧!$F$7:$F$2738,$F221)="","",INDEX(選手一覧!$F$7:$F$2738,$F221))</f>
        <v/>
      </c>
      <c r="H221" s="12" t="str">
        <f aca="false">IF(INDEX(選手一覧!$G$7:$G$2738,$F221)="","",INDEX(選手一覧!$G$7:$G$2738,$F221))</f>
        <v/>
      </c>
      <c r="I221" s="11" t="n">
        <f aca="false">IF(INDEX(選手一覧!$H$7:$H$2738,$F221)="","",INDEX(選手一覧!$H$7:$H$2738,$F221))</f>
        <v>0.00276469907407407</v>
      </c>
      <c r="J221" s="12" t="n">
        <f aca="false">IF(INDEX(選手一覧!$I$7:$I$2738,$F221)="","",INDEX(選手一覧!$I$7:$I$2738,$F221))</f>
        <v>147</v>
      </c>
    </row>
    <row r="222" customFormat="false" ht="15" hidden="false" customHeight="false" outlineLevel="0" collapsed="false">
      <c r="A222" s="12" t="n">
        <v>218</v>
      </c>
      <c r="B222" s="10" t="s">
        <v>798</v>
      </c>
      <c r="C222" s="10" t="s">
        <v>242</v>
      </c>
      <c r="D222" s="11" t="n">
        <v>0.0103613425925926</v>
      </c>
      <c r="E222" s="18" t="n">
        <f aca="false">ROUND((D222-$D$5)*86400,2)</f>
        <v>105.48</v>
      </c>
      <c r="F222" s="12" t="n">
        <v>520</v>
      </c>
      <c r="G222" s="11" t="str">
        <f aca="false">IF(INDEX(選手一覧!$F$7:$F$2738,$F222)="","",INDEX(選手一覧!$F$7:$F$2738,$F222))</f>
        <v/>
      </c>
      <c r="H222" s="12" t="str">
        <f aca="false">IF(INDEX(選手一覧!$G$7:$G$2738,$F222)="","",INDEX(選手一覧!$G$7:$G$2738,$F222))</f>
        <v/>
      </c>
      <c r="I222" s="11" t="str">
        <f aca="false">IF(INDEX(選手一覧!$H$7:$H$2738,$F222)="","",INDEX(選手一覧!$H$7:$H$2738,$F222))</f>
        <v/>
      </c>
      <c r="J222" s="12" t="str">
        <f aca="false">IF(INDEX(選手一覧!$I$7:$I$2738,$F222)="","",INDEX(選手一覧!$I$7:$I$2738,$F222))</f>
        <v/>
      </c>
    </row>
    <row r="223" customFormat="false" ht="15" hidden="false" customHeight="false" outlineLevel="0" collapsed="false">
      <c r="A223" s="12" t="n">
        <v>219</v>
      </c>
      <c r="B223" s="10" t="s">
        <v>799</v>
      </c>
      <c r="C223" s="10" t="s">
        <v>350</v>
      </c>
      <c r="D223" s="11" t="n">
        <v>0.0103614583333333</v>
      </c>
      <c r="E223" s="18" t="n">
        <f aca="false">ROUND((D223-$D$5)*86400,2)</f>
        <v>105.49</v>
      </c>
      <c r="F223" s="12" t="n">
        <v>521</v>
      </c>
      <c r="G223" s="11" t="str">
        <f aca="false">IF(INDEX(選手一覧!$F$7:$F$2738,$F223)="","",INDEX(選手一覧!$F$7:$F$2738,$F223))</f>
        <v/>
      </c>
      <c r="H223" s="12" t="str">
        <f aca="false">IF(INDEX(選手一覧!$G$7:$G$2738,$F223)="","",INDEX(選手一覧!$G$7:$G$2738,$F223))</f>
        <v/>
      </c>
      <c r="I223" s="11" t="n">
        <f aca="false">IF(INDEX(選手一覧!$H$7:$H$2738,$F223)="","",INDEX(選手一覧!$H$7:$H$2738,$F223))</f>
        <v>0.00281921296296296</v>
      </c>
      <c r="J223" s="12" t="n">
        <f aca="false">IF(INDEX(選手一覧!$I$7:$I$2738,$F223)="","",INDEX(選手一覧!$I$7:$I$2738,$F223))</f>
        <v>360</v>
      </c>
    </row>
    <row r="224" customFormat="false" ht="15" hidden="false" customHeight="false" outlineLevel="0" collapsed="false">
      <c r="A224" s="12" t="n">
        <v>220</v>
      </c>
      <c r="B224" s="10" t="s">
        <v>59</v>
      </c>
      <c r="C224" s="10" t="s">
        <v>60</v>
      </c>
      <c r="D224" s="11" t="n">
        <v>0.0103640046296296</v>
      </c>
      <c r="E224" s="18" t="n">
        <f aca="false">ROUND((D224-$D$5)*86400,2)</f>
        <v>105.71</v>
      </c>
      <c r="F224" s="12" t="n">
        <v>20</v>
      </c>
      <c r="G224" s="11" t="n">
        <f aca="false">IF(INDEX(選手一覧!$F$7:$F$2738,$F224)="","",INDEX(選手一覧!$F$7:$F$2738,$F224))</f>
        <v>0.00634456018518519</v>
      </c>
      <c r="H224" s="12" t="n">
        <f aca="false">IF(INDEX(選手一覧!$G$7:$G$2738,$F224)="","",INDEX(選手一覧!$G$7:$G$2738,$F224))</f>
        <v>8</v>
      </c>
      <c r="I224" s="11" t="str">
        <f aca="false">IF(INDEX(選手一覧!$H$7:$H$2738,$F224)="","",INDEX(選手一覧!$H$7:$H$2738,$F224))</f>
        <v/>
      </c>
      <c r="J224" s="12" t="str">
        <f aca="false">IF(INDEX(選手一覧!$I$7:$I$2738,$F224)="","",INDEX(選手一覧!$I$7:$I$2738,$F224))</f>
        <v/>
      </c>
    </row>
    <row r="225" customFormat="false" ht="15" hidden="false" customHeight="false" outlineLevel="0" collapsed="false">
      <c r="A225" s="12" t="n">
        <v>221</v>
      </c>
      <c r="B225" s="10" t="s">
        <v>807</v>
      </c>
      <c r="C225" s="10" t="s">
        <v>201</v>
      </c>
      <c r="D225" s="11" t="n">
        <v>0.0103642361111111</v>
      </c>
      <c r="E225" s="18" t="n">
        <f aca="false">ROUND((D225-$D$5)*86400,2)</f>
        <v>105.73</v>
      </c>
      <c r="F225" s="12" t="n">
        <v>527</v>
      </c>
      <c r="G225" s="11" t="str">
        <f aca="false">IF(INDEX(選手一覧!$F$7:$F$2738,$F225)="","",INDEX(選手一覧!$F$7:$F$2738,$F225))</f>
        <v/>
      </c>
      <c r="H225" s="12" t="str">
        <f aca="false">IF(INDEX(選手一覧!$G$7:$G$2738,$F225)="","",INDEX(選手一覧!$G$7:$G$2738,$F225))</f>
        <v/>
      </c>
      <c r="I225" s="11" t="n">
        <f aca="false">IF(INDEX(選手一覧!$H$7:$H$2738,$F225)="","",INDEX(選手一覧!$H$7:$H$2738,$F225))</f>
        <v>0.00280520833333333</v>
      </c>
      <c r="J225" s="12" t="n">
        <f aca="false">IF(INDEX(選手一覧!$I$7:$I$2738,$F225)="","",INDEX(選手一覧!$I$7:$I$2738,$F225))</f>
        <v>303</v>
      </c>
    </row>
    <row r="226" customFormat="false" ht="15" hidden="false" customHeight="false" outlineLevel="0" collapsed="false">
      <c r="A226" s="12" t="n">
        <v>222</v>
      </c>
      <c r="B226" s="10" t="s">
        <v>137</v>
      </c>
      <c r="C226" s="10" t="s">
        <v>87</v>
      </c>
      <c r="D226" s="11" t="n">
        <v>0.0103675925925926</v>
      </c>
      <c r="E226" s="18" t="n">
        <f aca="false">ROUND((D226-$D$5)*86400,2)</f>
        <v>106.02</v>
      </c>
      <c r="F226" s="12" t="n">
        <v>64</v>
      </c>
      <c r="G226" s="11" t="n">
        <f aca="false">IF(INDEX(選手一覧!$F$7:$F$2738,$F226)="","",INDEX(選手一覧!$F$7:$F$2738,$F226))</f>
        <v>0.0064625</v>
      </c>
      <c r="H226" s="12" t="n">
        <f aca="false">IF(INDEX(選手一覧!$G$7:$G$2738,$F226)="","",INDEX(選手一覧!$G$7:$G$2738,$F226))</f>
        <v>26</v>
      </c>
      <c r="I226" s="11" t="n">
        <f aca="false">IF(INDEX(選手一覧!$H$7:$H$2738,$F226)="","",INDEX(選手一覧!$H$7:$H$2738,$F226))</f>
        <v>0.00275833333333333</v>
      </c>
      <c r="J226" s="12" t="n">
        <f aca="false">IF(INDEX(選手一覧!$I$7:$I$2738,$F226)="","",INDEX(選手一覧!$I$7:$I$2738,$F226))</f>
        <v>130</v>
      </c>
    </row>
    <row r="227" customFormat="false" ht="15" hidden="false" customHeight="false" outlineLevel="0" collapsed="false">
      <c r="A227" s="12" t="n">
        <v>223</v>
      </c>
      <c r="B227" s="10" t="s">
        <v>813</v>
      </c>
      <c r="C227" s="10" t="s">
        <v>814</v>
      </c>
      <c r="D227" s="11" t="n">
        <v>0.0103679398148148</v>
      </c>
      <c r="E227" s="18" t="n">
        <f aca="false">ROUND((D227-$D$5)*86400,2)</f>
        <v>106.05</v>
      </c>
      <c r="F227" s="12" t="n">
        <v>531</v>
      </c>
      <c r="G227" s="11" t="str">
        <f aca="false">IF(INDEX(選手一覧!$F$7:$F$2738,$F227)="","",INDEX(選手一覧!$F$7:$F$2738,$F227))</f>
        <v/>
      </c>
      <c r="H227" s="12" t="str">
        <f aca="false">IF(INDEX(選手一覧!$G$7:$G$2738,$F227)="","",INDEX(選手一覧!$G$7:$G$2738,$F227))</f>
        <v/>
      </c>
      <c r="I227" s="11" t="n">
        <f aca="false">IF(INDEX(選手一覧!$H$7:$H$2738,$F227)="","",INDEX(選手一覧!$H$7:$H$2738,$F227))</f>
        <v>0.00287696759259259</v>
      </c>
      <c r="J227" s="12" t="n">
        <f aca="false">IF(INDEX(選手一覧!$I$7:$I$2738,$F227)="","",INDEX(選手一覧!$I$7:$I$2738,$F227))</f>
        <v>747</v>
      </c>
    </row>
    <row r="228" customFormat="false" ht="15" hidden="false" customHeight="false" outlineLevel="0" collapsed="false">
      <c r="A228" s="12" t="n">
        <v>224</v>
      </c>
      <c r="B228" s="10" t="s">
        <v>819</v>
      </c>
      <c r="C228" s="10" t="s">
        <v>226</v>
      </c>
      <c r="D228" s="11" t="n">
        <v>0.010369212962963</v>
      </c>
      <c r="E228" s="18" t="n">
        <f aca="false">ROUND((D228-$D$5)*86400,2)</f>
        <v>106.16</v>
      </c>
      <c r="F228" s="12" t="n">
        <v>534</v>
      </c>
      <c r="G228" s="11" t="str">
        <f aca="false">IF(INDEX(選手一覧!$F$7:$F$2738,$F228)="","",INDEX(選手一覧!$F$7:$F$2738,$F228))</f>
        <v/>
      </c>
      <c r="H228" s="12" t="str">
        <f aca="false">IF(INDEX(選手一覧!$G$7:$G$2738,$F228)="","",INDEX(選手一覧!$G$7:$G$2738,$F228))</f>
        <v/>
      </c>
      <c r="I228" s="11" t="n">
        <f aca="false">IF(INDEX(選手一覧!$H$7:$H$2738,$F228)="","",INDEX(選手一覧!$H$7:$H$2738,$F228))</f>
        <v>0.00282905092592593</v>
      </c>
      <c r="J228" s="12" t="n">
        <f aca="false">IF(INDEX(選手一覧!$I$7:$I$2738,$F228)="","",INDEX(選手一覧!$I$7:$I$2738,$F228))</f>
        <v>420</v>
      </c>
    </row>
    <row r="229" customFormat="false" ht="15" hidden="false" customHeight="false" outlineLevel="0" collapsed="false">
      <c r="A229" s="12" t="n">
        <v>225</v>
      </c>
      <c r="B229" s="10" t="s">
        <v>824</v>
      </c>
      <c r="C229" s="10" t="s">
        <v>183</v>
      </c>
      <c r="D229" s="11" t="n">
        <v>0.0103697916666667</v>
      </c>
      <c r="E229" s="18" t="n">
        <f aca="false">ROUND((D229-$D$5)*86400,2)</f>
        <v>106.21</v>
      </c>
      <c r="F229" s="12" t="n">
        <v>537</v>
      </c>
      <c r="G229" s="11" t="str">
        <f aca="false">IF(INDEX(選手一覧!$F$7:$F$2738,$F229)="","",INDEX(選手一覧!$F$7:$F$2738,$F229))</f>
        <v/>
      </c>
      <c r="H229" s="12" t="str">
        <f aca="false">IF(INDEX(選手一覧!$G$7:$G$2738,$F229)="","",INDEX(選手一覧!$G$7:$G$2738,$F229))</f>
        <v/>
      </c>
      <c r="I229" s="11" t="n">
        <f aca="false">IF(INDEX(選手一覧!$H$7:$H$2738,$F229)="","",INDEX(選手一覧!$H$7:$H$2738,$F229))</f>
        <v>0.00284270833333333</v>
      </c>
      <c r="J229" s="12" t="n">
        <f aca="false">IF(INDEX(選手一覧!$I$7:$I$2738,$F229)="","",INDEX(選手一覧!$I$7:$I$2738,$F229))</f>
        <v>515</v>
      </c>
    </row>
    <row r="230" customFormat="false" ht="15" hidden="false" customHeight="false" outlineLevel="0" collapsed="false">
      <c r="A230" s="12" t="n">
        <v>226</v>
      </c>
      <c r="B230" s="10" t="s">
        <v>46</v>
      </c>
      <c r="C230" s="10" t="s">
        <v>47</v>
      </c>
      <c r="D230" s="11" t="n">
        <v>0.0103711805555556</v>
      </c>
      <c r="E230" s="18" t="n">
        <f aca="false">ROUND((D230-$D$5)*86400,2)</f>
        <v>106.33</v>
      </c>
      <c r="F230" s="12" t="n">
        <v>14</v>
      </c>
      <c r="G230" s="11" t="str">
        <f aca="false">IF(INDEX(選手一覧!$F$7:$F$2738,$F230)="","",INDEX(選手一覧!$F$7:$F$2738,$F230))</f>
        <v/>
      </c>
      <c r="H230" s="12" t="str">
        <f aca="false">IF(INDEX(選手一覧!$G$7:$G$2738,$F230)="","",INDEX(選手一覧!$G$7:$G$2738,$F230))</f>
        <v/>
      </c>
      <c r="I230" s="11" t="n">
        <f aca="false">IF(INDEX(選手一覧!$H$7:$H$2738,$F230)="","",INDEX(選手一覧!$H$7:$H$2738,$F230))</f>
        <v>0.0026662037037037</v>
      </c>
      <c r="J230" s="12" t="n">
        <f aca="false">IF(INDEX(選手一覧!$I$7:$I$2738,$F230)="","",INDEX(選手一覧!$I$7:$I$2738,$F230))</f>
        <v>6</v>
      </c>
    </row>
    <row r="231" customFormat="false" ht="15" hidden="false" customHeight="false" outlineLevel="0" collapsed="false">
      <c r="A231" s="12" t="n">
        <v>227</v>
      </c>
      <c r="B231" s="10" t="s">
        <v>191</v>
      </c>
      <c r="C231" s="10" t="s">
        <v>62</v>
      </c>
      <c r="D231" s="11" t="n">
        <v>0.0103731481481482</v>
      </c>
      <c r="E231" s="18" t="n">
        <f aca="false">ROUND((D231-$D$5)*86400,2)</f>
        <v>106.5</v>
      </c>
      <c r="F231" s="12" t="n">
        <v>96</v>
      </c>
      <c r="G231" s="11" t="str">
        <f aca="false">IF(INDEX(選手一覧!$F$7:$F$2738,$F231)="","",INDEX(選手一覧!$F$7:$F$2738,$F231))</f>
        <v/>
      </c>
      <c r="H231" s="12" t="str">
        <f aca="false">IF(INDEX(選手一覧!$G$7:$G$2738,$F231)="","",INDEX(選手一覧!$G$7:$G$2738,$F231))</f>
        <v/>
      </c>
      <c r="I231" s="11" t="n">
        <f aca="false">IF(INDEX(選手一覧!$H$7:$H$2738,$F231)="","",INDEX(選手一覧!$H$7:$H$2738,$F231))</f>
        <v>0.00271180555555556</v>
      </c>
      <c r="J231" s="12" t="n">
        <f aca="false">IF(INDEX(選手一覧!$I$7:$I$2738,$F231)="","",INDEX(選手一覧!$I$7:$I$2738,$F231))</f>
        <v>37</v>
      </c>
    </row>
    <row r="232" customFormat="false" ht="15" hidden="false" customHeight="false" outlineLevel="0" collapsed="false">
      <c r="A232" s="12" t="n">
        <v>228</v>
      </c>
      <c r="B232" s="10" t="s">
        <v>834</v>
      </c>
      <c r="C232" s="10" t="s">
        <v>660</v>
      </c>
      <c r="D232" s="11" t="n">
        <v>0.0103738425925926</v>
      </c>
      <c r="E232" s="18" t="n">
        <f aca="false">ROUND((D232-$D$5)*86400,2)</f>
        <v>106.56</v>
      </c>
      <c r="F232" s="12" t="n">
        <v>544</v>
      </c>
      <c r="G232" s="11" t="str">
        <f aca="false">IF(INDEX(選手一覧!$F$7:$F$2738,$F232)="","",INDEX(選手一覧!$F$7:$F$2738,$F232))</f>
        <v/>
      </c>
      <c r="H232" s="12" t="str">
        <f aca="false">IF(INDEX(選手一覧!$G$7:$G$2738,$F232)="","",INDEX(選手一覧!$G$7:$G$2738,$F232))</f>
        <v/>
      </c>
      <c r="I232" s="11" t="n">
        <f aca="false">IF(INDEX(選手一覧!$H$7:$H$2738,$F232)="","",INDEX(選手一覧!$H$7:$H$2738,$F232))</f>
        <v>0.00296898148148148</v>
      </c>
      <c r="J232" s="12" t="n">
        <f aca="false">IF(INDEX(選手一覧!$I$7:$I$2738,$F232)="","",INDEX(選手一覧!$I$7:$I$2738,$F232))</f>
        <v>1305</v>
      </c>
    </row>
    <row r="233" customFormat="false" ht="15" hidden="false" customHeight="false" outlineLevel="0" collapsed="false">
      <c r="A233" s="12" t="n">
        <v>229</v>
      </c>
      <c r="B233" s="10" t="s">
        <v>187</v>
      </c>
      <c r="C233" s="10" t="s">
        <v>188</v>
      </c>
      <c r="D233" s="11" t="n">
        <v>0.0103741898148148</v>
      </c>
      <c r="E233" s="18" t="n">
        <f aca="false">ROUND((D233-$D$5)*86400,2)</f>
        <v>106.59</v>
      </c>
      <c r="F233" s="12" t="n">
        <v>94</v>
      </c>
      <c r="G233" s="11" t="n">
        <f aca="false">IF(INDEX(選手一覧!$F$7:$F$2738,$F233)="","",INDEX(選手一覧!$F$7:$F$2738,$F233))</f>
        <v>0.00650520833333333</v>
      </c>
      <c r="H233" s="12" t="n">
        <f aca="false">IF(INDEX(選手一覧!$G$7:$G$2738,$F233)="","",INDEX(選手一覧!$G$7:$G$2738,$F233))</f>
        <v>37</v>
      </c>
      <c r="I233" s="11" t="n">
        <f aca="false">IF(INDEX(選手一覧!$H$7:$H$2738,$F233)="","",INDEX(選手一覧!$H$7:$H$2738,$F233))</f>
        <v>0.00288148148148148</v>
      </c>
      <c r="J233" s="12" t="n">
        <f aca="false">IF(INDEX(選手一覧!$I$7:$I$2738,$F233)="","",INDEX(選手一覧!$I$7:$I$2738,$F233))</f>
        <v>784</v>
      </c>
    </row>
    <row r="234" customFormat="false" ht="15" hidden="false" customHeight="false" outlineLevel="0" collapsed="false">
      <c r="A234" s="12" t="n">
        <v>230</v>
      </c>
      <c r="B234" s="10" t="s">
        <v>839</v>
      </c>
      <c r="C234" s="10" t="s">
        <v>840</v>
      </c>
      <c r="D234" s="11" t="n">
        <v>0.0103746527777778</v>
      </c>
      <c r="E234" s="18" t="n">
        <f aca="false">ROUND((D234-$D$5)*86400,2)</f>
        <v>106.63</v>
      </c>
      <c r="F234" s="12" t="n">
        <v>548</v>
      </c>
      <c r="G234" s="11" t="str">
        <f aca="false">IF(INDEX(選手一覧!$F$7:$F$2738,$F234)="","",INDEX(選手一覧!$F$7:$F$2738,$F234))</f>
        <v/>
      </c>
      <c r="H234" s="12" t="str">
        <f aca="false">IF(INDEX(選手一覧!$G$7:$G$2738,$F234)="","",INDEX(選手一覧!$G$7:$G$2738,$F234))</f>
        <v/>
      </c>
      <c r="I234" s="11" t="n">
        <f aca="false">IF(INDEX(選手一覧!$H$7:$H$2738,$F234)="","",INDEX(選手一覧!$H$7:$H$2738,$F234))</f>
        <v>0.00280636574074074</v>
      </c>
      <c r="J234" s="12" t="n">
        <f aca="false">IF(INDEX(選手一覧!$I$7:$I$2738,$F234)="","",INDEX(選手一覧!$I$7:$I$2738,$F234))</f>
        <v>308</v>
      </c>
    </row>
    <row r="235" customFormat="false" ht="15" hidden="false" customHeight="false" outlineLevel="0" collapsed="false">
      <c r="A235" s="12" t="n">
        <v>231</v>
      </c>
      <c r="B235" s="10" t="s">
        <v>842</v>
      </c>
      <c r="C235" s="10" t="s">
        <v>312</v>
      </c>
      <c r="D235" s="11" t="n">
        <v>0.0103753472222222</v>
      </c>
      <c r="E235" s="18" t="n">
        <f aca="false">ROUND((D235-$D$5)*86400,2)</f>
        <v>106.69</v>
      </c>
      <c r="F235" s="12" t="n">
        <v>550</v>
      </c>
      <c r="G235" s="11" t="str">
        <f aca="false">IF(INDEX(選手一覧!$F$7:$F$2738,$F235)="","",INDEX(選手一覧!$F$7:$F$2738,$F235))</f>
        <v/>
      </c>
      <c r="H235" s="12" t="str">
        <f aca="false">IF(INDEX(選手一覧!$G$7:$G$2738,$F235)="","",INDEX(選手一覧!$G$7:$G$2738,$F235))</f>
        <v/>
      </c>
      <c r="I235" s="11" t="n">
        <f aca="false">IF(INDEX(選手一覧!$H$7:$H$2738,$F235)="","",INDEX(選手一覧!$H$7:$H$2738,$F235))</f>
        <v>0.0027912037037037</v>
      </c>
      <c r="J235" s="12" t="n">
        <f aca="false">IF(INDEX(選手一覧!$I$7:$I$2738,$F235)="","",INDEX(選手一覧!$I$7:$I$2738,$F235))</f>
        <v>246</v>
      </c>
    </row>
    <row r="236" customFormat="false" ht="15" hidden="false" customHeight="false" outlineLevel="0" collapsed="false">
      <c r="A236" s="12" t="n">
        <v>232</v>
      </c>
      <c r="B236" s="10" t="s">
        <v>847</v>
      </c>
      <c r="C236" s="10" t="s">
        <v>848</v>
      </c>
      <c r="D236" s="11" t="n">
        <v>0.0103755787037037</v>
      </c>
      <c r="E236" s="18" t="n">
        <f aca="false">ROUND((D236-$D$5)*86400,2)</f>
        <v>106.71</v>
      </c>
      <c r="F236" s="12" t="n">
        <v>553</v>
      </c>
      <c r="G236" s="11" t="str">
        <f aca="false">IF(INDEX(選手一覧!$F$7:$F$2738,$F236)="","",INDEX(選手一覧!$F$7:$F$2738,$F236))</f>
        <v/>
      </c>
      <c r="H236" s="12" t="str">
        <f aca="false">IF(INDEX(選手一覧!$G$7:$G$2738,$F236)="","",INDEX(選手一覧!$G$7:$G$2738,$F236))</f>
        <v/>
      </c>
      <c r="I236" s="11" t="n">
        <f aca="false">IF(INDEX(選手一覧!$H$7:$H$2738,$F236)="","",INDEX(選手一覧!$H$7:$H$2738,$F236))</f>
        <v>0.00278877314814815</v>
      </c>
      <c r="J236" s="12" t="n">
        <f aca="false">IF(INDEX(選手一覧!$I$7:$I$2738,$F236)="","",INDEX(選手一覧!$I$7:$I$2738,$F236))</f>
        <v>236</v>
      </c>
    </row>
    <row r="237" customFormat="false" ht="15" hidden="false" customHeight="false" outlineLevel="0" collapsed="false">
      <c r="A237" s="12" t="n">
        <v>233</v>
      </c>
      <c r="B237" s="10" t="s">
        <v>638</v>
      </c>
      <c r="C237" s="10" t="s">
        <v>134</v>
      </c>
      <c r="D237" s="11" t="n">
        <v>0.0103755787037037</v>
      </c>
      <c r="E237" s="18" t="n">
        <f aca="false">ROUND((D237-$D$5)*86400,2)</f>
        <v>106.71</v>
      </c>
      <c r="F237" s="12" t="n">
        <v>405</v>
      </c>
      <c r="G237" s="11" t="str">
        <f aca="false">IF(INDEX(選手一覧!$F$7:$F$2738,$F237)="","",INDEX(選手一覧!$F$7:$F$2738,$F237))</f>
        <v/>
      </c>
      <c r="H237" s="12" t="str">
        <f aca="false">IF(INDEX(選手一覧!$G$7:$G$2738,$F237)="","",INDEX(選手一覧!$G$7:$G$2738,$F237))</f>
        <v/>
      </c>
      <c r="I237" s="11" t="n">
        <f aca="false">IF(INDEX(選手一覧!$H$7:$H$2738,$F237)="","",INDEX(選手一覧!$H$7:$H$2738,$F237))</f>
        <v>0.00277407407407407</v>
      </c>
      <c r="J237" s="12" t="n">
        <f aca="false">IF(INDEX(選手一覧!$I$7:$I$2738,$F237)="","",INDEX(選手一覧!$I$7:$I$2738,$F237))</f>
        <v>172</v>
      </c>
    </row>
    <row r="238" customFormat="false" ht="15" hidden="false" customHeight="false" outlineLevel="0" collapsed="false">
      <c r="A238" s="12" t="n">
        <v>234</v>
      </c>
      <c r="B238" s="10" t="s">
        <v>856</v>
      </c>
      <c r="C238" s="10" t="s">
        <v>857</v>
      </c>
      <c r="D238" s="11" t="n">
        <v>0.0103759259259259</v>
      </c>
      <c r="E238" s="18" t="n">
        <f aca="false">ROUND((D238-$D$5)*86400,2)</f>
        <v>106.74</v>
      </c>
      <c r="F238" s="12" t="n">
        <v>559</v>
      </c>
      <c r="G238" s="11" t="str">
        <f aca="false">IF(INDEX(選手一覧!$F$7:$F$2738,$F238)="","",INDEX(選手一覧!$F$7:$F$2738,$F238))</f>
        <v/>
      </c>
      <c r="H238" s="12" t="str">
        <f aca="false">IF(INDEX(選手一覧!$G$7:$G$2738,$F238)="","",INDEX(選手一覧!$G$7:$G$2738,$F238))</f>
        <v/>
      </c>
      <c r="I238" s="11" t="n">
        <f aca="false">IF(INDEX(選手一覧!$H$7:$H$2738,$F238)="","",INDEX(選手一覧!$H$7:$H$2738,$F238))</f>
        <v>0.00285034722222222</v>
      </c>
      <c r="J238" s="12" t="n">
        <f aca="false">IF(INDEX(選手一覧!$I$7:$I$2738,$F238)="","",INDEX(選手一覧!$I$7:$I$2738,$F238))</f>
        <v>571</v>
      </c>
    </row>
    <row r="239" customFormat="false" ht="15" hidden="false" customHeight="false" outlineLevel="0" collapsed="false">
      <c r="A239" s="12" t="n">
        <v>235</v>
      </c>
      <c r="B239" s="10" t="s">
        <v>859</v>
      </c>
      <c r="C239" s="10" t="s">
        <v>27</v>
      </c>
      <c r="D239" s="11" t="n">
        <v>0.0103759259259259</v>
      </c>
      <c r="E239" s="18" t="n">
        <f aca="false">ROUND((D239-$D$5)*86400,2)</f>
        <v>106.74</v>
      </c>
      <c r="F239" s="12" t="n">
        <v>561</v>
      </c>
      <c r="G239" s="11" t="str">
        <f aca="false">IF(INDEX(選手一覧!$F$7:$F$2738,$F239)="","",INDEX(選手一覧!$F$7:$F$2738,$F239))</f>
        <v/>
      </c>
      <c r="H239" s="12" t="str">
        <f aca="false">IF(INDEX(選手一覧!$G$7:$G$2738,$F239)="","",INDEX(選手一覧!$G$7:$G$2738,$F239))</f>
        <v/>
      </c>
      <c r="I239" s="11" t="str">
        <f aca="false">IF(INDEX(選手一覧!$H$7:$H$2738,$F239)="","",INDEX(選手一覧!$H$7:$H$2738,$F239))</f>
        <v/>
      </c>
      <c r="J239" s="12" t="str">
        <f aca="false">IF(INDEX(選手一覧!$I$7:$I$2738,$F239)="","",INDEX(選手一覧!$I$7:$I$2738,$F239))</f>
        <v/>
      </c>
    </row>
    <row r="240" customFormat="false" ht="15" hidden="false" customHeight="false" outlineLevel="0" collapsed="false">
      <c r="A240" s="12" t="n">
        <v>236</v>
      </c>
      <c r="B240" s="10" t="s">
        <v>75</v>
      </c>
      <c r="C240" s="10" t="s">
        <v>76</v>
      </c>
      <c r="D240" s="11" t="n">
        <v>0.0103765046296296</v>
      </c>
      <c r="E240" s="18" t="n">
        <f aca="false">ROUND((D240-$D$5)*86400,2)</f>
        <v>106.79</v>
      </c>
      <c r="F240" s="12" t="n">
        <v>31</v>
      </c>
      <c r="G240" s="11" t="str">
        <f aca="false">IF(INDEX(選手一覧!$F$7:$F$2738,$F240)="","",INDEX(選手一覧!$F$7:$F$2738,$F240))</f>
        <v/>
      </c>
      <c r="H240" s="12" t="str">
        <f aca="false">IF(INDEX(選手一覧!$G$7:$G$2738,$F240)="","",INDEX(選手一覧!$G$7:$G$2738,$F240))</f>
        <v/>
      </c>
      <c r="I240" s="11" t="n">
        <f aca="false">IF(INDEX(選手一覧!$H$7:$H$2738,$F240)="","",INDEX(選手一覧!$H$7:$H$2738,$F240))</f>
        <v>0.00267881944444444</v>
      </c>
      <c r="J240" s="12" t="n">
        <f aca="false">IF(INDEX(選手一覧!$I$7:$I$2738,$F240)="","",INDEX(選手一覧!$I$7:$I$2738,$F240))</f>
        <v>12</v>
      </c>
    </row>
    <row r="241" customFormat="false" ht="15" hidden="false" customHeight="false" outlineLevel="0" collapsed="false">
      <c r="A241" s="12" t="n">
        <v>237</v>
      </c>
      <c r="B241" s="10" t="s">
        <v>548</v>
      </c>
      <c r="C241" s="10" t="s">
        <v>549</v>
      </c>
      <c r="D241" s="11" t="n">
        <v>0.0103766203703704</v>
      </c>
      <c r="E241" s="18" t="n">
        <f aca="false">ROUND((D241-$D$5)*86400,2)</f>
        <v>106.8</v>
      </c>
      <c r="F241" s="12" t="n">
        <v>342</v>
      </c>
      <c r="G241" s="11" t="str">
        <f aca="false">IF(INDEX(選手一覧!$F$7:$F$2738,$F241)="","",INDEX(選手一覧!$F$7:$F$2738,$F241))</f>
        <v/>
      </c>
      <c r="H241" s="12" t="str">
        <f aca="false">IF(INDEX(選手一覧!$G$7:$G$2738,$F241)="","",INDEX(選手一覧!$G$7:$G$2738,$F241))</f>
        <v/>
      </c>
      <c r="I241" s="11" t="n">
        <f aca="false">IF(INDEX(選手一覧!$H$7:$H$2738,$F241)="","",INDEX(選手一覧!$H$7:$H$2738,$F241))</f>
        <v>0.00276319444444444</v>
      </c>
      <c r="J241" s="12" t="n">
        <f aca="false">IF(INDEX(選手一覧!$I$7:$I$2738,$F241)="","",INDEX(選手一覧!$I$7:$I$2738,$F241))</f>
        <v>143</v>
      </c>
    </row>
    <row r="242" customFormat="false" ht="15" hidden="false" customHeight="false" outlineLevel="0" collapsed="false">
      <c r="A242" s="12" t="n">
        <v>238</v>
      </c>
      <c r="B242" s="10" t="s">
        <v>360</v>
      </c>
      <c r="C242" s="10" t="s">
        <v>242</v>
      </c>
      <c r="D242" s="11" t="n">
        <v>0.0103774305555556</v>
      </c>
      <c r="E242" s="18" t="n">
        <f aca="false">ROUND((D242-$D$5)*86400,2)</f>
        <v>106.87</v>
      </c>
      <c r="F242" s="12" t="n">
        <v>213</v>
      </c>
      <c r="G242" s="11" t="n">
        <f aca="false">IF(INDEX(選手一覧!$F$7:$F$2738,$F242)="","",INDEX(選手一覧!$F$7:$F$2738,$F242))</f>
        <v>0.006659375</v>
      </c>
      <c r="H242" s="12" t="n">
        <f aca="false">IF(INDEX(選手一覧!$G$7:$G$2738,$F242)="","",INDEX(選手一覧!$G$7:$G$2738,$F242))</f>
        <v>88</v>
      </c>
      <c r="I242" s="11" t="n">
        <f aca="false">IF(INDEX(選手一覧!$H$7:$H$2738,$F242)="","",INDEX(選手一覧!$H$7:$H$2738,$F242))</f>
        <v>0.00296747685185185</v>
      </c>
      <c r="J242" s="12" t="n">
        <f aca="false">IF(INDEX(選手一覧!$I$7:$I$2738,$F242)="","",INDEX(選手一覧!$I$7:$I$2738,$F242))</f>
        <v>1300</v>
      </c>
    </row>
    <row r="243" customFormat="false" ht="15" hidden="false" customHeight="false" outlineLevel="0" collapsed="false">
      <c r="A243" s="12" t="n">
        <v>239</v>
      </c>
      <c r="B243" s="10" t="s">
        <v>868</v>
      </c>
      <c r="C243" s="10" t="s">
        <v>166</v>
      </c>
      <c r="D243" s="11" t="n">
        <v>0.0103777777777778</v>
      </c>
      <c r="E243" s="18" t="n">
        <f aca="false">ROUND((D243-$D$5)*86400,2)</f>
        <v>106.9</v>
      </c>
      <c r="F243" s="12" t="n">
        <v>568</v>
      </c>
      <c r="G243" s="11" t="str">
        <f aca="false">IF(INDEX(選手一覧!$F$7:$F$2738,$F243)="","",INDEX(選手一覧!$F$7:$F$2738,$F243))</f>
        <v/>
      </c>
      <c r="H243" s="12" t="str">
        <f aca="false">IF(INDEX(選手一覧!$G$7:$G$2738,$F243)="","",INDEX(選手一覧!$G$7:$G$2738,$F243))</f>
        <v/>
      </c>
      <c r="I243" s="11" t="n">
        <f aca="false">IF(INDEX(選手一覧!$H$7:$H$2738,$F243)="","",INDEX(選手一覧!$H$7:$H$2738,$F243))</f>
        <v>0.00282164351851852</v>
      </c>
      <c r="J243" s="12" t="n">
        <f aca="false">IF(INDEX(選手一覧!$I$7:$I$2738,$F243)="","",INDEX(選手一覧!$I$7:$I$2738,$F243))</f>
        <v>373</v>
      </c>
    </row>
    <row r="244" customFormat="false" ht="15" hidden="false" customHeight="false" outlineLevel="0" collapsed="false">
      <c r="A244" s="12" t="n">
        <v>240</v>
      </c>
      <c r="B244" s="10" t="s">
        <v>870</v>
      </c>
      <c r="C244" s="10" t="s">
        <v>733</v>
      </c>
      <c r="D244" s="11" t="n">
        <v>0.0103777777777778</v>
      </c>
      <c r="E244" s="18" t="n">
        <f aca="false">ROUND((D244-$D$5)*86400,2)</f>
        <v>106.9</v>
      </c>
      <c r="F244" s="12" t="n">
        <v>570</v>
      </c>
      <c r="G244" s="11" t="str">
        <f aca="false">IF(INDEX(選手一覧!$F$7:$F$2738,$F244)="","",INDEX(選手一覧!$F$7:$F$2738,$F244))</f>
        <v/>
      </c>
      <c r="H244" s="12" t="str">
        <f aca="false">IF(INDEX(選手一覧!$G$7:$G$2738,$F244)="","",INDEX(選手一覧!$G$7:$G$2738,$F244))</f>
        <v/>
      </c>
      <c r="I244" s="11" t="n">
        <f aca="false">IF(INDEX(選手一覧!$H$7:$H$2738,$F244)="","",INDEX(選手一覧!$H$7:$H$2738,$F244))</f>
        <v>0.0028369212962963</v>
      </c>
      <c r="J244" s="12" t="n">
        <f aca="false">IF(INDEX(選手一覧!$I$7:$I$2738,$F244)="","",INDEX(選手一覧!$I$7:$I$2738,$F244))</f>
        <v>479</v>
      </c>
    </row>
    <row r="245" customFormat="false" ht="15" hidden="false" customHeight="false" outlineLevel="0" collapsed="false">
      <c r="A245" s="12" t="n">
        <v>241</v>
      </c>
      <c r="B245" s="10" t="s">
        <v>876</v>
      </c>
      <c r="C245" s="10" t="s">
        <v>171</v>
      </c>
      <c r="D245" s="11" t="n">
        <v>0.010378125</v>
      </c>
      <c r="E245" s="18" t="n">
        <f aca="false">ROUND((D245-$D$5)*86400,2)</f>
        <v>106.93</v>
      </c>
      <c r="F245" s="12" t="n">
        <v>574</v>
      </c>
      <c r="G245" s="11" t="str">
        <f aca="false">IF(INDEX(選手一覧!$F$7:$F$2738,$F245)="","",INDEX(選手一覧!$F$7:$F$2738,$F245))</f>
        <v/>
      </c>
      <c r="H245" s="12" t="str">
        <f aca="false">IF(INDEX(選手一覧!$G$7:$G$2738,$F245)="","",INDEX(選手一覧!$G$7:$G$2738,$F245))</f>
        <v/>
      </c>
      <c r="I245" s="11" t="str">
        <f aca="false">IF(INDEX(選手一覧!$H$7:$H$2738,$F245)="","",INDEX(選手一覧!$H$7:$H$2738,$F245))</f>
        <v/>
      </c>
      <c r="J245" s="12" t="str">
        <f aca="false">IF(INDEX(選手一覧!$I$7:$I$2738,$F245)="","",INDEX(選手一覧!$I$7:$I$2738,$F245))</f>
        <v/>
      </c>
    </row>
    <row r="246" customFormat="false" ht="15" hidden="false" customHeight="false" outlineLevel="0" collapsed="false">
      <c r="A246" s="12" t="n">
        <v>242</v>
      </c>
      <c r="B246" s="10" t="s">
        <v>672</v>
      </c>
      <c r="C246" s="10" t="s">
        <v>462</v>
      </c>
      <c r="D246" s="11" t="n">
        <v>0.0103782407407407</v>
      </c>
      <c r="E246" s="18" t="n">
        <f aca="false">ROUND((D246-$D$5)*86400,2)</f>
        <v>106.94</v>
      </c>
      <c r="F246" s="12" t="n">
        <v>429</v>
      </c>
      <c r="G246" s="11" t="str">
        <f aca="false">IF(INDEX(選手一覧!$F$7:$F$2738,$F246)="","",INDEX(選手一覧!$F$7:$F$2738,$F246))</f>
        <v/>
      </c>
      <c r="H246" s="12" t="str">
        <f aca="false">IF(INDEX(選手一覧!$G$7:$G$2738,$F246)="","",INDEX(選手一覧!$G$7:$G$2738,$F246))</f>
        <v/>
      </c>
      <c r="I246" s="11" t="n">
        <f aca="false">IF(INDEX(選手一覧!$H$7:$H$2738,$F246)="","",INDEX(選手一覧!$H$7:$H$2738,$F246))</f>
        <v>0.00277592592592593</v>
      </c>
      <c r="J246" s="12" t="n">
        <f aca="false">IF(INDEX(選手一覧!$I$7:$I$2738,$F246)="","",INDEX(選手一覧!$I$7:$I$2738,$F246))</f>
        <v>181</v>
      </c>
    </row>
    <row r="247" customFormat="false" ht="15" hidden="false" customHeight="false" outlineLevel="0" collapsed="false">
      <c r="A247" s="12" t="n">
        <v>243</v>
      </c>
      <c r="B247" s="10" t="s">
        <v>879</v>
      </c>
      <c r="C247" s="10" t="s">
        <v>105</v>
      </c>
      <c r="D247" s="11" t="n">
        <v>0.0103790509259259</v>
      </c>
      <c r="E247" s="18" t="n">
        <f aca="false">ROUND((D247-$D$5)*86400,2)</f>
        <v>107.01</v>
      </c>
      <c r="F247" s="12" t="n">
        <v>577</v>
      </c>
      <c r="G247" s="11" t="str">
        <f aca="false">IF(INDEX(選手一覧!$F$7:$F$2738,$F247)="","",INDEX(選手一覧!$F$7:$F$2738,$F247))</f>
        <v/>
      </c>
      <c r="H247" s="12" t="str">
        <f aca="false">IF(INDEX(選手一覧!$G$7:$G$2738,$F247)="","",INDEX(選手一覧!$G$7:$G$2738,$F247))</f>
        <v/>
      </c>
      <c r="I247" s="11" t="str">
        <f aca="false">IF(INDEX(選手一覧!$H$7:$H$2738,$F247)="","",INDEX(選手一覧!$H$7:$H$2738,$F247))</f>
        <v/>
      </c>
      <c r="J247" s="12" t="str">
        <f aca="false">IF(INDEX(選手一覧!$I$7:$I$2738,$F247)="","",INDEX(選手一覧!$I$7:$I$2738,$F247))</f>
        <v/>
      </c>
    </row>
    <row r="248" customFormat="false" ht="15" hidden="false" customHeight="false" outlineLevel="0" collapsed="false">
      <c r="A248" s="12" t="n">
        <v>244</v>
      </c>
      <c r="B248" s="10" t="s">
        <v>885</v>
      </c>
      <c r="C248" s="10" t="s">
        <v>23</v>
      </c>
      <c r="D248" s="11" t="n">
        <v>0.0103798611111111</v>
      </c>
      <c r="E248" s="18" t="n">
        <f aca="false">ROUND((D248-$D$5)*86400,2)</f>
        <v>107.08</v>
      </c>
      <c r="F248" s="12" t="n">
        <v>581</v>
      </c>
      <c r="G248" s="11" t="str">
        <f aca="false">IF(INDEX(選手一覧!$F$7:$F$2738,$F248)="","",INDEX(選手一覧!$F$7:$F$2738,$F248))</f>
        <v/>
      </c>
      <c r="H248" s="12" t="str">
        <f aca="false">IF(INDEX(選手一覧!$G$7:$G$2738,$F248)="","",INDEX(選手一覧!$G$7:$G$2738,$F248))</f>
        <v/>
      </c>
      <c r="I248" s="11" t="str">
        <f aca="false">IF(INDEX(選手一覧!$H$7:$H$2738,$F248)="","",INDEX(選手一覧!$H$7:$H$2738,$F248))</f>
        <v/>
      </c>
      <c r="J248" s="12" t="str">
        <f aca="false">IF(INDEX(選手一覧!$I$7:$I$2738,$F248)="","",INDEX(選手一覧!$I$7:$I$2738,$F248))</f>
        <v/>
      </c>
    </row>
    <row r="249" customFormat="false" ht="15" hidden="false" customHeight="false" outlineLevel="0" collapsed="false">
      <c r="A249" s="12" t="n">
        <v>245</v>
      </c>
      <c r="B249" s="10" t="s">
        <v>887</v>
      </c>
      <c r="C249" s="10" t="s">
        <v>814</v>
      </c>
      <c r="D249" s="11" t="n">
        <v>0.0103844907407407</v>
      </c>
      <c r="E249" s="18" t="n">
        <f aca="false">ROUND((D249-$D$5)*86400,2)</f>
        <v>107.48</v>
      </c>
      <c r="F249" s="12" t="n">
        <v>583</v>
      </c>
      <c r="G249" s="11" t="n">
        <f aca="false">IF(INDEX(選手一覧!$F$7:$F$2738,$F249)="","",INDEX(選手一覧!$F$7:$F$2738,$F249))</f>
        <v>0.0072037037037037</v>
      </c>
      <c r="H249" s="12" t="n">
        <f aca="false">IF(INDEX(選手一覧!$G$7:$G$2738,$F249)="","",INDEX(選手一覧!$G$7:$G$2738,$F249))</f>
        <v>541</v>
      </c>
      <c r="I249" s="11" t="n">
        <f aca="false">IF(INDEX(選手一覧!$H$7:$H$2738,$F249)="","",INDEX(選手一覧!$H$7:$H$2738,$F249))</f>
        <v>0.00296643518518519</v>
      </c>
      <c r="J249" s="12" t="n">
        <f aca="false">IF(INDEX(選手一覧!$I$7:$I$2738,$F249)="","",INDEX(選手一覧!$I$7:$I$2738,$F249))</f>
        <v>1297</v>
      </c>
    </row>
    <row r="250" customFormat="false" ht="15" hidden="false" customHeight="false" outlineLevel="0" collapsed="false">
      <c r="A250" s="12" t="n">
        <v>246</v>
      </c>
      <c r="B250" s="10" t="s">
        <v>889</v>
      </c>
      <c r="C250" s="10" t="s">
        <v>23</v>
      </c>
      <c r="D250" s="11" t="n">
        <v>0.0103846064814815</v>
      </c>
      <c r="E250" s="18" t="n">
        <f aca="false">ROUND((D250-$D$5)*86400,2)</f>
        <v>107.49</v>
      </c>
      <c r="F250" s="12" t="n">
        <v>585</v>
      </c>
      <c r="G250" s="11" t="str">
        <f aca="false">IF(INDEX(選手一覧!$F$7:$F$2738,$F250)="","",INDEX(選手一覧!$F$7:$F$2738,$F250))</f>
        <v/>
      </c>
      <c r="H250" s="12" t="str">
        <f aca="false">IF(INDEX(選手一覧!$G$7:$G$2738,$F250)="","",INDEX(選手一覧!$G$7:$G$2738,$F250))</f>
        <v/>
      </c>
      <c r="I250" s="11" t="str">
        <f aca="false">IF(INDEX(選手一覧!$H$7:$H$2738,$F250)="","",INDEX(選手一覧!$H$7:$H$2738,$F250))</f>
        <v/>
      </c>
      <c r="J250" s="12" t="str">
        <f aca="false">IF(INDEX(選手一覧!$I$7:$I$2738,$F250)="","",INDEX(選手一覧!$I$7:$I$2738,$F250))</f>
        <v/>
      </c>
    </row>
    <row r="251" customFormat="false" ht="15" hidden="false" customHeight="false" outlineLevel="0" collapsed="false">
      <c r="A251" s="12" t="n">
        <v>247</v>
      </c>
      <c r="B251" s="10" t="s">
        <v>893</v>
      </c>
      <c r="C251" s="10" t="s">
        <v>541</v>
      </c>
      <c r="D251" s="11" t="n">
        <v>0.0103861111111111</v>
      </c>
      <c r="E251" s="18" t="n">
        <f aca="false">ROUND((D251-$D$5)*86400,2)</f>
        <v>107.62</v>
      </c>
      <c r="F251" s="12" t="n">
        <v>589</v>
      </c>
      <c r="G251" s="11" t="str">
        <f aca="false">IF(INDEX(選手一覧!$F$7:$F$2738,$F251)="","",INDEX(選手一覧!$F$7:$F$2738,$F251))</f>
        <v/>
      </c>
      <c r="H251" s="12" t="str">
        <f aca="false">IF(INDEX(選手一覧!$G$7:$G$2738,$F251)="","",INDEX(選手一覧!$G$7:$G$2738,$F251))</f>
        <v/>
      </c>
      <c r="I251" s="11" t="n">
        <f aca="false">IF(INDEX(選手一覧!$H$7:$H$2738,$F251)="","",INDEX(選手一覧!$H$7:$H$2738,$F251))</f>
        <v>0.00282662037037037</v>
      </c>
      <c r="J251" s="12" t="n">
        <f aca="false">IF(INDEX(選手一覧!$I$7:$I$2738,$F251)="","",INDEX(選手一覧!$I$7:$I$2738,$F251))</f>
        <v>403</v>
      </c>
    </row>
    <row r="252" customFormat="false" ht="15" hidden="false" customHeight="false" outlineLevel="0" collapsed="false">
      <c r="A252" s="12" t="n">
        <v>248</v>
      </c>
      <c r="B252" s="10" t="s">
        <v>894</v>
      </c>
      <c r="C252" s="10" t="s">
        <v>45</v>
      </c>
      <c r="D252" s="11" t="n">
        <v>0.010387962962963</v>
      </c>
      <c r="E252" s="18" t="n">
        <f aca="false">ROUND((D252-$D$5)*86400,2)</f>
        <v>107.78</v>
      </c>
      <c r="F252" s="12" t="n">
        <v>590</v>
      </c>
      <c r="G252" s="11" t="n">
        <f aca="false">IF(INDEX(選手一覧!$F$7:$F$2738,$F252)="","",INDEX(選手一覧!$F$7:$F$2738,$F252))</f>
        <v>0.00696041666666667</v>
      </c>
      <c r="H252" s="12" t="n">
        <f aca="false">IF(INDEX(選手一覧!$G$7:$G$2738,$F252)="","",INDEX(選手一覧!$G$7:$G$2738,$F252))</f>
        <v>294</v>
      </c>
      <c r="I252" s="11" t="n">
        <f aca="false">IF(INDEX(選手一覧!$H$7:$H$2738,$F252)="","",INDEX(選手一覧!$H$7:$H$2738,$F252))</f>
        <v>0.00292326388888889</v>
      </c>
      <c r="J252" s="12" t="n">
        <f aca="false">IF(INDEX(選手一覧!$I$7:$I$2738,$F252)="","",INDEX(選手一覧!$I$7:$I$2738,$F252))</f>
        <v>1129</v>
      </c>
    </row>
    <row r="253" customFormat="false" ht="15" hidden="false" customHeight="false" outlineLevel="0" collapsed="false">
      <c r="A253" s="12" t="n">
        <v>249</v>
      </c>
      <c r="B253" s="10" t="s">
        <v>900</v>
      </c>
      <c r="C253" s="10" t="s">
        <v>242</v>
      </c>
      <c r="D253" s="11" t="n">
        <v>0.0103880787037037</v>
      </c>
      <c r="E253" s="18" t="n">
        <f aca="false">ROUND((D253-$D$5)*86400,2)</f>
        <v>107.79</v>
      </c>
      <c r="F253" s="12" t="n">
        <v>594</v>
      </c>
      <c r="G253" s="11" t="str">
        <f aca="false">IF(INDEX(選手一覧!$F$7:$F$2738,$F253)="","",INDEX(選手一覧!$F$7:$F$2738,$F253))</f>
        <v/>
      </c>
      <c r="H253" s="12" t="str">
        <f aca="false">IF(INDEX(選手一覧!$G$7:$G$2738,$F253)="","",INDEX(選手一覧!$G$7:$G$2738,$F253))</f>
        <v/>
      </c>
      <c r="I253" s="11" t="n">
        <f aca="false">IF(INDEX(選手一覧!$H$7:$H$2738,$F253)="","",INDEX(選手一覧!$H$7:$H$2738,$F253))</f>
        <v>0.00288842592592593</v>
      </c>
      <c r="J253" s="12" t="n">
        <f aca="false">IF(INDEX(選手一覧!$I$7:$I$2738,$F253)="","",INDEX(選手一覧!$I$7:$I$2738,$F253))</f>
        <v>852</v>
      </c>
    </row>
    <row r="254" customFormat="false" ht="15" hidden="false" customHeight="false" outlineLevel="0" collapsed="false">
      <c r="A254" s="12" t="n">
        <v>250</v>
      </c>
      <c r="B254" s="10" t="s">
        <v>901</v>
      </c>
      <c r="C254" s="10" t="s">
        <v>902</v>
      </c>
      <c r="D254" s="11" t="n">
        <v>0.0103887731481482</v>
      </c>
      <c r="E254" s="18" t="n">
        <f aca="false">ROUND((D254-$D$5)*86400,2)</f>
        <v>107.85</v>
      </c>
      <c r="F254" s="12" t="n">
        <v>595</v>
      </c>
      <c r="G254" s="11" t="str">
        <f aca="false">IF(INDEX(選手一覧!$F$7:$F$2738,$F254)="","",INDEX(選手一覧!$F$7:$F$2738,$F254))</f>
        <v/>
      </c>
      <c r="H254" s="12" t="str">
        <f aca="false">IF(INDEX(選手一覧!$G$7:$G$2738,$F254)="","",INDEX(選手一覧!$G$7:$G$2738,$F254))</f>
        <v/>
      </c>
      <c r="I254" s="11" t="n">
        <f aca="false">IF(INDEX(選手一覧!$H$7:$H$2738,$F254)="","",INDEX(選手一覧!$H$7:$H$2738,$F254))</f>
        <v>0.00282719907407407</v>
      </c>
      <c r="J254" s="12" t="n">
        <f aca="false">IF(INDEX(選手一覧!$I$7:$I$2738,$F254)="","",INDEX(選手一覧!$I$7:$I$2738,$F254))</f>
        <v>406</v>
      </c>
    </row>
    <row r="255" customFormat="false" ht="15" hidden="false" customHeight="false" outlineLevel="0" collapsed="false">
      <c r="A255" s="12" t="n">
        <v>251</v>
      </c>
      <c r="B255" s="10" t="s">
        <v>905</v>
      </c>
      <c r="C255" s="10" t="s">
        <v>906</v>
      </c>
      <c r="D255" s="11" t="n">
        <v>0.0103915509259259</v>
      </c>
      <c r="E255" s="18" t="n">
        <f aca="false">ROUND((D255-$D$5)*86400,2)</f>
        <v>108.09</v>
      </c>
      <c r="F255" s="12" t="n">
        <v>597</v>
      </c>
      <c r="G255" s="11" t="str">
        <f aca="false">IF(INDEX(選手一覧!$F$7:$F$2738,$F255)="","",INDEX(選手一覧!$F$7:$F$2738,$F255))</f>
        <v/>
      </c>
      <c r="H255" s="12" t="str">
        <f aca="false">IF(INDEX(選手一覧!$G$7:$G$2738,$F255)="","",INDEX(選手一覧!$G$7:$G$2738,$F255))</f>
        <v/>
      </c>
      <c r="I255" s="11" t="n">
        <f aca="false">IF(INDEX(選手一覧!$H$7:$H$2738,$F255)="","",INDEX(選手一覧!$H$7:$H$2738,$F255))</f>
        <v>0.00280694444444444</v>
      </c>
      <c r="J255" s="12" t="n">
        <f aca="false">IF(INDEX(選手一覧!$I$7:$I$2738,$F255)="","",INDEX(選手一覧!$I$7:$I$2738,$F255))</f>
        <v>314</v>
      </c>
    </row>
    <row r="256" customFormat="false" ht="15" hidden="false" customHeight="false" outlineLevel="0" collapsed="false">
      <c r="A256" s="12" t="n">
        <v>252</v>
      </c>
      <c r="B256" s="10" t="s">
        <v>135</v>
      </c>
      <c r="C256" s="10" t="s">
        <v>136</v>
      </c>
      <c r="D256" s="11" t="n">
        <v>0.0103917824074074</v>
      </c>
      <c r="E256" s="18" t="n">
        <f aca="false">ROUND((D256-$D$5)*86400,2)</f>
        <v>108.11</v>
      </c>
      <c r="F256" s="12" t="n">
        <v>63</v>
      </c>
      <c r="G256" s="11" t="n">
        <f aca="false">IF(INDEX(選手一覧!$F$7:$F$2738,$F256)="","",INDEX(選手一覧!$F$7:$F$2738,$F256))</f>
        <v>0.00646053240740741</v>
      </c>
      <c r="H256" s="12" t="n">
        <f aca="false">IF(INDEX(選手一覧!$G$7:$G$2738,$F256)="","",INDEX(選手一覧!$G$7:$G$2738,$F256))</f>
        <v>25</v>
      </c>
      <c r="I256" s="11" t="n">
        <f aca="false">IF(INDEX(選手一覧!$H$7:$H$2738,$F256)="","",INDEX(選手一覧!$H$7:$H$2738,$F256))</f>
        <v>0.00286458333333333</v>
      </c>
      <c r="J256" s="12" t="n">
        <f aca="false">IF(INDEX(選手一覧!$I$7:$I$2738,$F256)="","",INDEX(選手一覧!$I$7:$I$2738,$F256))</f>
        <v>663</v>
      </c>
    </row>
    <row r="257" customFormat="false" ht="15" hidden="false" customHeight="false" outlineLevel="0" collapsed="false">
      <c r="A257" s="12" t="n">
        <v>253</v>
      </c>
      <c r="B257" s="10" t="s">
        <v>911</v>
      </c>
      <c r="C257" s="10" t="s">
        <v>130</v>
      </c>
      <c r="D257" s="11" t="n">
        <v>0.0103930555555556</v>
      </c>
      <c r="E257" s="18" t="n">
        <f aca="false">ROUND((D257-$D$5)*86400,2)</f>
        <v>108.22</v>
      </c>
      <c r="F257" s="12" t="n">
        <v>601</v>
      </c>
      <c r="G257" s="11" t="str">
        <f aca="false">IF(INDEX(選手一覧!$F$7:$F$2738,$F257)="","",INDEX(選手一覧!$F$7:$F$2738,$F257))</f>
        <v/>
      </c>
      <c r="H257" s="12" t="str">
        <f aca="false">IF(INDEX(選手一覧!$G$7:$G$2738,$F257)="","",INDEX(選手一覧!$G$7:$G$2738,$F257))</f>
        <v/>
      </c>
      <c r="I257" s="11" t="str">
        <f aca="false">IF(INDEX(選手一覧!$H$7:$H$2738,$F257)="","",INDEX(選手一覧!$H$7:$H$2738,$F257))</f>
        <v/>
      </c>
      <c r="J257" s="12" t="str">
        <f aca="false">IF(INDEX(選手一覧!$I$7:$I$2738,$F257)="","",INDEX(選手一覧!$I$7:$I$2738,$F257))</f>
        <v/>
      </c>
    </row>
    <row r="258" customFormat="false" ht="15" hidden="false" customHeight="false" outlineLevel="0" collapsed="false">
      <c r="A258" s="12" t="n">
        <v>254</v>
      </c>
      <c r="B258" s="10" t="s">
        <v>913</v>
      </c>
      <c r="C258" s="10" t="s">
        <v>397</v>
      </c>
      <c r="D258" s="11" t="n">
        <v>0.0103950231481482</v>
      </c>
      <c r="E258" s="18" t="n">
        <f aca="false">ROUND((D258-$D$5)*86400,2)</f>
        <v>108.39</v>
      </c>
      <c r="F258" s="12" t="n">
        <v>603</v>
      </c>
      <c r="G258" s="11" t="str">
        <f aca="false">IF(INDEX(選手一覧!$F$7:$F$2738,$F258)="","",INDEX(選手一覧!$F$7:$F$2738,$F258))</f>
        <v/>
      </c>
      <c r="H258" s="12" t="str">
        <f aca="false">IF(INDEX(選手一覧!$G$7:$G$2738,$F258)="","",INDEX(選手一覧!$G$7:$G$2738,$F258))</f>
        <v/>
      </c>
      <c r="I258" s="11" t="str">
        <f aca="false">IF(INDEX(選手一覧!$H$7:$H$2738,$F258)="","",INDEX(選手一覧!$H$7:$H$2738,$F258))</f>
        <v/>
      </c>
      <c r="J258" s="12" t="str">
        <f aca="false">IF(INDEX(選手一覧!$I$7:$I$2738,$F258)="","",INDEX(選手一覧!$I$7:$I$2738,$F258))</f>
        <v/>
      </c>
    </row>
    <row r="259" customFormat="false" ht="15" hidden="false" customHeight="false" outlineLevel="0" collapsed="false">
      <c r="A259" s="12" t="n">
        <v>255</v>
      </c>
      <c r="B259" s="10" t="s">
        <v>918</v>
      </c>
      <c r="C259" s="10" t="s">
        <v>64</v>
      </c>
      <c r="D259" s="11" t="n">
        <v>0.0103954861111111</v>
      </c>
      <c r="E259" s="18" t="n">
        <f aca="false">ROUND((D259-$D$5)*86400,2)</f>
        <v>108.43</v>
      </c>
      <c r="F259" s="12" t="n">
        <v>606</v>
      </c>
      <c r="G259" s="11" t="str">
        <f aca="false">IF(INDEX(選手一覧!$F$7:$F$2738,$F259)="","",INDEX(選手一覧!$F$7:$F$2738,$F259))</f>
        <v/>
      </c>
      <c r="H259" s="12" t="str">
        <f aca="false">IF(INDEX(選手一覧!$G$7:$G$2738,$F259)="","",INDEX(選手一覧!$G$7:$G$2738,$F259))</f>
        <v/>
      </c>
      <c r="I259" s="11" t="n">
        <f aca="false">IF(INDEX(選手一覧!$H$7:$H$2738,$F259)="","",INDEX(選手一覧!$H$7:$H$2738,$F259))</f>
        <v>0.00294351851851852</v>
      </c>
      <c r="J259" s="12" t="n">
        <f aca="false">IF(INDEX(選手一覧!$I$7:$I$2738,$F259)="","",INDEX(選手一覧!$I$7:$I$2738,$F259))</f>
        <v>1214</v>
      </c>
    </row>
    <row r="260" customFormat="false" ht="15" hidden="false" customHeight="false" outlineLevel="0" collapsed="false">
      <c r="A260" s="12" t="n">
        <v>256</v>
      </c>
      <c r="B260" s="10" t="s">
        <v>197</v>
      </c>
      <c r="C260" s="10" t="s">
        <v>72</v>
      </c>
      <c r="D260" s="11" t="n">
        <v>0.010396412037037</v>
      </c>
      <c r="E260" s="18" t="n">
        <f aca="false">ROUND((D260-$D$5)*86400,2)</f>
        <v>108.51</v>
      </c>
      <c r="F260" s="12" t="n">
        <v>100</v>
      </c>
      <c r="G260" s="11" t="n">
        <f aca="false">IF(INDEX(選手一覧!$F$7:$F$2738,$F260)="","",INDEX(選手一覧!$F$7:$F$2738,$F260))</f>
        <v>0.00652337962962963</v>
      </c>
      <c r="H260" s="12" t="n">
        <f aca="false">IF(INDEX(選手一覧!$G$7:$G$2738,$F260)="","",INDEX(選手一覧!$G$7:$G$2738,$F260))</f>
        <v>39</v>
      </c>
      <c r="I260" s="11" t="n">
        <f aca="false">IF(INDEX(選手一覧!$H$7:$H$2738,$F260)="","",INDEX(選手一覧!$H$7:$H$2738,$F260))</f>
        <v>0.00278912037037037</v>
      </c>
      <c r="J260" s="12" t="n">
        <f aca="false">IF(INDEX(選手一覧!$I$7:$I$2738,$F260)="","",INDEX(選手一覧!$I$7:$I$2738,$F260))</f>
        <v>237</v>
      </c>
    </row>
    <row r="261" customFormat="false" ht="15" hidden="false" customHeight="false" outlineLevel="0" collapsed="false">
      <c r="A261" s="12" t="n">
        <v>257</v>
      </c>
      <c r="B261" s="10" t="s">
        <v>923</v>
      </c>
      <c r="C261" s="10" t="s">
        <v>25</v>
      </c>
      <c r="D261" s="11" t="n">
        <v>0.0103967592592593</v>
      </c>
      <c r="E261" s="18" t="n">
        <f aca="false">ROUND((D261-$D$5)*86400,2)</f>
        <v>108.54</v>
      </c>
      <c r="F261" s="12" t="n">
        <v>610</v>
      </c>
      <c r="G261" s="11" t="str">
        <f aca="false">IF(INDEX(選手一覧!$F$7:$F$2738,$F261)="","",INDEX(選手一覧!$F$7:$F$2738,$F261))</f>
        <v/>
      </c>
      <c r="H261" s="12" t="str">
        <f aca="false">IF(INDEX(選手一覧!$G$7:$G$2738,$F261)="","",INDEX(選手一覧!$G$7:$G$2738,$F261))</f>
        <v/>
      </c>
      <c r="I261" s="11" t="n">
        <f aca="false">IF(INDEX(選手一覧!$H$7:$H$2738,$F261)="","",INDEX(選手一覧!$H$7:$H$2738,$F261))</f>
        <v>0.00284085648148148</v>
      </c>
      <c r="J261" s="12" t="n">
        <f aca="false">IF(INDEX(選手一覧!$I$7:$I$2738,$F261)="","",INDEX(選手一覧!$I$7:$I$2738,$F261))</f>
        <v>503</v>
      </c>
    </row>
    <row r="262" customFormat="false" ht="15" hidden="false" customHeight="false" outlineLevel="0" collapsed="false">
      <c r="A262" s="12" t="n">
        <v>258</v>
      </c>
      <c r="B262" s="10" t="s">
        <v>925</v>
      </c>
      <c r="C262" s="10" t="s">
        <v>103</v>
      </c>
      <c r="D262" s="11" t="n">
        <v>0.010396875</v>
      </c>
      <c r="E262" s="18" t="n">
        <f aca="false">ROUND((D262-$D$5)*86400,2)</f>
        <v>108.55</v>
      </c>
      <c r="F262" s="12" t="n">
        <v>612</v>
      </c>
      <c r="G262" s="11" t="str">
        <f aca="false">IF(INDEX(選手一覧!$F$7:$F$2738,$F262)="","",INDEX(選手一覧!$F$7:$F$2738,$F262))</f>
        <v/>
      </c>
      <c r="H262" s="12" t="str">
        <f aca="false">IF(INDEX(選手一覧!$G$7:$G$2738,$F262)="","",INDEX(選手一覧!$G$7:$G$2738,$F262))</f>
        <v/>
      </c>
      <c r="I262" s="11" t="n">
        <f aca="false">IF(INDEX(選手一覧!$H$7:$H$2738,$F262)="","",INDEX(選手一覧!$H$7:$H$2738,$F262))</f>
        <v>0.00292951388888889</v>
      </c>
      <c r="J262" s="12" t="n">
        <f aca="false">IF(INDEX(選手一覧!$I$7:$I$2738,$F262)="","",INDEX(選手一覧!$I$7:$I$2738,$F262))</f>
        <v>1171</v>
      </c>
    </row>
    <row r="263" customFormat="false" ht="15" hidden="false" customHeight="false" outlineLevel="0" collapsed="false">
      <c r="A263" s="12" t="n">
        <v>259</v>
      </c>
      <c r="B263" s="10" t="s">
        <v>386</v>
      </c>
      <c r="C263" s="10" t="s">
        <v>387</v>
      </c>
      <c r="D263" s="11" t="n">
        <v>0.0103971064814815</v>
      </c>
      <c r="E263" s="18" t="n">
        <f aca="false">ROUND((D263-$D$5)*86400,2)</f>
        <v>108.57</v>
      </c>
      <c r="F263" s="12" t="n">
        <v>231</v>
      </c>
      <c r="G263" s="11" t="str">
        <f aca="false">IF(INDEX(選手一覧!$F$7:$F$2738,$F263)="","",INDEX(選手一覧!$F$7:$F$2738,$F263))</f>
        <v/>
      </c>
      <c r="H263" s="12" t="str">
        <f aca="false">IF(INDEX(選手一覧!$G$7:$G$2738,$F263)="","",INDEX(選手一覧!$G$7:$G$2738,$F263))</f>
        <v/>
      </c>
      <c r="I263" s="11" t="n">
        <f aca="false">IF(INDEX(選手一覧!$H$7:$H$2738,$F263)="","",INDEX(選手一覧!$H$7:$H$2738,$F263))</f>
        <v>0.00274768518518519</v>
      </c>
      <c r="J263" s="12" t="n">
        <f aca="false">IF(INDEX(選手一覧!$I$7:$I$2738,$F263)="","",INDEX(選手一覧!$I$7:$I$2738,$F263))</f>
        <v>95</v>
      </c>
    </row>
    <row r="264" customFormat="false" ht="15" hidden="false" customHeight="false" outlineLevel="0" collapsed="false">
      <c r="A264" s="12" t="n">
        <v>260</v>
      </c>
      <c r="B264" s="10" t="s">
        <v>932</v>
      </c>
      <c r="C264" s="10" t="s">
        <v>229</v>
      </c>
      <c r="D264" s="11" t="n">
        <v>0.0103972222222222</v>
      </c>
      <c r="E264" s="18" t="n">
        <f aca="false">ROUND((D264-$D$5)*86400,2)</f>
        <v>108.58</v>
      </c>
      <c r="F264" s="12" t="n">
        <v>617</v>
      </c>
      <c r="G264" s="11" t="str">
        <f aca="false">IF(INDEX(選手一覧!$F$7:$F$2738,$F264)="","",INDEX(選手一覧!$F$7:$F$2738,$F264))</f>
        <v/>
      </c>
      <c r="H264" s="12" t="str">
        <f aca="false">IF(INDEX(選手一覧!$G$7:$G$2738,$F264)="","",INDEX(選手一覧!$G$7:$G$2738,$F264))</f>
        <v/>
      </c>
      <c r="I264" s="11" t="n">
        <f aca="false">IF(INDEX(選手一覧!$H$7:$H$2738,$F264)="","",INDEX(選手一覧!$H$7:$H$2738,$F264))</f>
        <v>0.0028130787037037</v>
      </c>
      <c r="J264" s="12" t="n">
        <f aca="false">IF(INDEX(選手一覧!$I$7:$I$2738,$F264)="","",INDEX(選手一覧!$I$7:$I$2738,$F264))</f>
        <v>334</v>
      </c>
    </row>
    <row r="265" customFormat="false" ht="15" hidden="false" customHeight="false" outlineLevel="0" collapsed="false">
      <c r="A265" s="12" t="n">
        <v>261</v>
      </c>
      <c r="B265" s="10" t="s">
        <v>936</v>
      </c>
      <c r="C265" s="10" t="s">
        <v>79</v>
      </c>
      <c r="D265" s="11" t="n">
        <v>0.0103976851851852</v>
      </c>
      <c r="E265" s="18" t="n">
        <f aca="false">ROUND((D265-$D$5)*86400,2)</f>
        <v>108.62</v>
      </c>
      <c r="F265" s="12" t="n">
        <v>621</v>
      </c>
      <c r="G265" s="11" t="str">
        <f aca="false">IF(INDEX(選手一覧!$F$7:$F$2738,$F265)="","",INDEX(選手一覧!$F$7:$F$2738,$F265))</f>
        <v/>
      </c>
      <c r="H265" s="12" t="str">
        <f aca="false">IF(INDEX(選手一覧!$G$7:$G$2738,$F265)="","",INDEX(選手一覧!$G$7:$G$2738,$F265))</f>
        <v/>
      </c>
      <c r="I265" s="11" t="n">
        <f aca="false">IF(INDEX(選手一覧!$H$7:$H$2738,$F265)="","",INDEX(選手一覧!$H$7:$H$2738,$F265))</f>
        <v>0.00282592592592593</v>
      </c>
      <c r="J265" s="12" t="n">
        <f aca="false">IF(INDEX(選手一覧!$I$7:$I$2738,$F265)="","",INDEX(選手一覧!$I$7:$I$2738,$F265))</f>
        <v>398</v>
      </c>
    </row>
    <row r="266" customFormat="false" ht="15" hidden="false" customHeight="false" outlineLevel="0" collapsed="false">
      <c r="A266" s="12" t="n">
        <v>262</v>
      </c>
      <c r="B266" s="10" t="s">
        <v>940</v>
      </c>
      <c r="C266" s="10" t="s">
        <v>171</v>
      </c>
      <c r="D266" s="11" t="n">
        <v>0.0103980324074074</v>
      </c>
      <c r="E266" s="18" t="n">
        <f aca="false">ROUND((D266-$D$5)*86400,2)</f>
        <v>108.65</v>
      </c>
      <c r="F266" s="12" t="n">
        <v>624</v>
      </c>
      <c r="G266" s="11" t="str">
        <f aca="false">IF(INDEX(選手一覧!$F$7:$F$2738,$F266)="","",INDEX(選手一覧!$F$7:$F$2738,$F266))</f>
        <v/>
      </c>
      <c r="H266" s="12" t="str">
        <f aca="false">IF(INDEX(選手一覧!$G$7:$G$2738,$F266)="","",INDEX(選手一覧!$G$7:$G$2738,$F266))</f>
        <v/>
      </c>
      <c r="I266" s="11" t="n">
        <f aca="false">IF(INDEX(選手一覧!$H$7:$H$2738,$F266)="","",INDEX(選手一覧!$H$7:$H$2738,$F266))</f>
        <v>0.00291655092592593</v>
      </c>
      <c r="J266" s="12" t="n">
        <f aca="false">IF(INDEX(選手一覧!$I$7:$I$2738,$F266)="","",INDEX(選手一覧!$I$7:$I$2738,$F266))</f>
        <v>1063</v>
      </c>
    </row>
    <row r="267" customFormat="false" ht="15" hidden="false" customHeight="false" outlineLevel="0" collapsed="false">
      <c r="A267" s="12" t="n">
        <v>263</v>
      </c>
      <c r="B267" s="10" t="s">
        <v>943</v>
      </c>
      <c r="C267" s="10" t="s">
        <v>425</v>
      </c>
      <c r="D267" s="11" t="n">
        <v>0.0103997685185185</v>
      </c>
      <c r="E267" s="18" t="n">
        <f aca="false">ROUND((D267-$D$5)*86400,2)</f>
        <v>108.8</v>
      </c>
      <c r="F267" s="12" t="n">
        <v>627</v>
      </c>
      <c r="G267" s="11" t="str">
        <f aca="false">IF(INDEX(選手一覧!$F$7:$F$2738,$F267)="","",INDEX(選手一覧!$F$7:$F$2738,$F267))</f>
        <v/>
      </c>
      <c r="H267" s="12" t="str">
        <f aca="false">IF(INDEX(選手一覧!$G$7:$G$2738,$F267)="","",INDEX(選手一覧!$G$7:$G$2738,$F267))</f>
        <v/>
      </c>
      <c r="I267" s="11" t="str">
        <f aca="false">IF(INDEX(選手一覧!$H$7:$H$2738,$F267)="","",INDEX(選手一覧!$H$7:$H$2738,$F267))</f>
        <v/>
      </c>
      <c r="J267" s="12" t="str">
        <f aca="false">IF(INDEX(選手一覧!$I$7:$I$2738,$F267)="","",INDEX(選手一覧!$I$7:$I$2738,$F267))</f>
        <v/>
      </c>
    </row>
    <row r="268" customFormat="false" ht="15" hidden="false" customHeight="false" outlineLevel="0" collapsed="false">
      <c r="A268" s="12" t="n">
        <v>264</v>
      </c>
      <c r="B268" s="10" t="s">
        <v>648</v>
      </c>
      <c r="C268" s="10" t="s">
        <v>25</v>
      </c>
      <c r="D268" s="11" t="n">
        <v>0.0104</v>
      </c>
      <c r="E268" s="18" t="n">
        <f aca="false">ROUND((D268-$D$5)*86400,2)</f>
        <v>108.82</v>
      </c>
      <c r="F268" s="12" t="n">
        <v>413</v>
      </c>
      <c r="G268" s="11" t="str">
        <f aca="false">IF(INDEX(選手一覧!$F$7:$F$2738,$F268)="","",INDEX(選手一覧!$F$7:$F$2738,$F268))</f>
        <v/>
      </c>
      <c r="H268" s="12" t="str">
        <f aca="false">IF(INDEX(選手一覧!$G$7:$G$2738,$F268)="","",INDEX(選手一覧!$G$7:$G$2738,$F268))</f>
        <v/>
      </c>
      <c r="I268" s="11" t="n">
        <f aca="false">IF(INDEX(選手一覧!$H$7:$H$2738,$F268)="","",INDEX(選手一覧!$H$7:$H$2738,$F268))</f>
        <v>0.00277476851851852</v>
      </c>
      <c r="J268" s="12" t="n">
        <f aca="false">IF(INDEX(選手一覧!$I$7:$I$2738,$F268)="","",INDEX(選手一覧!$I$7:$I$2738,$F268))</f>
        <v>175</v>
      </c>
    </row>
    <row r="269" customFormat="false" ht="15" hidden="false" customHeight="false" outlineLevel="0" collapsed="false">
      <c r="A269" s="12" t="n">
        <v>265</v>
      </c>
      <c r="B269" s="10" t="s">
        <v>950</v>
      </c>
      <c r="C269" s="10" t="s">
        <v>213</v>
      </c>
      <c r="D269" s="11" t="n">
        <v>0.0104001157407407</v>
      </c>
      <c r="E269" s="18" t="n">
        <f aca="false">ROUND((D269-$D$5)*86400,2)</f>
        <v>108.83</v>
      </c>
      <c r="F269" s="12" t="n">
        <v>631</v>
      </c>
      <c r="G269" s="11" t="str">
        <f aca="false">IF(INDEX(選手一覧!$F$7:$F$2738,$F269)="","",INDEX(選手一覧!$F$7:$F$2738,$F269))</f>
        <v/>
      </c>
      <c r="H269" s="12" t="str">
        <f aca="false">IF(INDEX(選手一覧!$G$7:$G$2738,$F269)="","",INDEX(選手一覧!$G$7:$G$2738,$F269))</f>
        <v/>
      </c>
      <c r="I269" s="11" t="str">
        <f aca="false">IF(INDEX(選手一覧!$H$7:$H$2738,$F269)="","",INDEX(選手一覧!$H$7:$H$2738,$F269))</f>
        <v/>
      </c>
      <c r="J269" s="12" t="str">
        <f aca="false">IF(INDEX(選手一覧!$I$7:$I$2738,$F269)="","",INDEX(選手一覧!$I$7:$I$2738,$F269))</f>
        <v/>
      </c>
    </row>
    <row r="270" customFormat="false" ht="15" hidden="false" customHeight="false" outlineLevel="0" collapsed="false">
      <c r="A270" s="12" t="n">
        <v>266</v>
      </c>
      <c r="B270" s="10" t="s">
        <v>955</v>
      </c>
      <c r="C270" s="10" t="s">
        <v>884</v>
      </c>
      <c r="D270" s="11" t="n">
        <v>0.0104003472222222</v>
      </c>
      <c r="E270" s="18" t="n">
        <f aca="false">ROUND((D270-$D$5)*86400,2)</f>
        <v>108.85</v>
      </c>
      <c r="F270" s="12" t="n">
        <v>634</v>
      </c>
      <c r="G270" s="11" t="str">
        <f aca="false">IF(INDEX(選手一覧!$F$7:$F$2738,$F270)="","",INDEX(選手一覧!$F$7:$F$2738,$F270))</f>
        <v/>
      </c>
      <c r="H270" s="12" t="str">
        <f aca="false">IF(INDEX(選手一覧!$G$7:$G$2738,$F270)="","",INDEX(選手一覧!$G$7:$G$2738,$F270))</f>
        <v/>
      </c>
      <c r="I270" s="11" t="n">
        <f aca="false">IF(INDEX(選手一覧!$H$7:$H$2738,$F270)="","",INDEX(選手一覧!$H$7:$H$2738,$F270))</f>
        <v>0.00294560185185185</v>
      </c>
      <c r="J270" s="12" t="n">
        <f aca="false">IF(INDEX(選手一覧!$I$7:$I$2738,$F270)="","",INDEX(選手一覧!$I$7:$I$2738,$F270))</f>
        <v>1218</v>
      </c>
    </row>
    <row r="271" customFormat="false" ht="15" hidden="false" customHeight="false" outlineLevel="0" collapsed="false">
      <c r="A271" s="12" t="n">
        <v>267</v>
      </c>
      <c r="B271" s="10" t="s">
        <v>475</v>
      </c>
      <c r="C271" s="10" t="s">
        <v>229</v>
      </c>
      <c r="D271" s="11" t="n">
        <v>0.0104005787037037</v>
      </c>
      <c r="E271" s="18" t="n">
        <f aca="false">ROUND((D271-$D$5)*86400,2)</f>
        <v>108.87</v>
      </c>
      <c r="F271" s="12" t="n">
        <v>294</v>
      </c>
      <c r="G271" s="11" t="n">
        <f aca="false">IF(INDEX(選手一覧!$F$7:$F$2738,$F271)="","",INDEX(選手一覧!$F$7:$F$2738,$F271))</f>
        <v>0.00673564814814815</v>
      </c>
      <c r="H271" s="12" t="n">
        <f aca="false">IF(INDEX(選手一覧!$G$7:$G$2738,$F271)="","",INDEX(選手一覧!$G$7:$G$2738,$F271))</f>
        <v>122</v>
      </c>
      <c r="I271" s="11" t="n">
        <f aca="false">IF(INDEX(選手一覧!$H$7:$H$2738,$F271)="","",INDEX(選手一覧!$H$7:$H$2738,$F271))</f>
        <v>0.00283460648148148</v>
      </c>
      <c r="J271" s="12" t="n">
        <f aca="false">IF(INDEX(選手一覧!$I$7:$I$2738,$F271)="","",INDEX(選手一覧!$I$7:$I$2738,$F271))</f>
        <v>456</v>
      </c>
    </row>
    <row r="272" customFormat="false" ht="15" hidden="false" customHeight="false" outlineLevel="0" collapsed="false">
      <c r="A272" s="12" t="n">
        <v>268</v>
      </c>
      <c r="B272" s="10" t="s">
        <v>328</v>
      </c>
      <c r="C272" s="10" t="s">
        <v>23</v>
      </c>
      <c r="D272" s="11" t="n">
        <v>0.0104017361111111</v>
      </c>
      <c r="E272" s="18" t="n">
        <f aca="false">ROUND((D272-$D$5)*86400,2)</f>
        <v>108.97</v>
      </c>
      <c r="F272" s="12" t="n">
        <v>189</v>
      </c>
      <c r="G272" s="11" t="n">
        <f aca="false">IF(INDEX(選手一覧!$F$7:$F$2738,$F272)="","",INDEX(選手一覧!$F$7:$F$2738,$F272))</f>
        <v>0.00663773148148148</v>
      </c>
      <c r="H272" s="12" t="n">
        <f aca="false">IF(INDEX(選手一覧!$G$7:$G$2738,$F272)="","",INDEX(選手一覧!$G$7:$G$2738,$F272))</f>
        <v>77</v>
      </c>
      <c r="I272" s="11" t="str">
        <f aca="false">IF(INDEX(選手一覧!$H$7:$H$2738,$F272)="","",INDEX(選手一覧!$H$7:$H$2738,$F272))</f>
        <v/>
      </c>
      <c r="J272" s="12" t="str">
        <f aca="false">IF(INDEX(選手一覧!$I$7:$I$2738,$F272)="","",INDEX(選手一覧!$I$7:$I$2738,$F272))</f>
        <v/>
      </c>
    </row>
    <row r="273" customFormat="false" ht="15" hidden="false" customHeight="false" outlineLevel="0" collapsed="false">
      <c r="A273" s="12" t="n">
        <v>269</v>
      </c>
      <c r="B273" s="10" t="s">
        <v>959</v>
      </c>
      <c r="C273" s="10" t="s">
        <v>105</v>
      </c>
      <c r="D273" s="11" t="n">
        <v>0.0104037037037037</v>
      </c>
      <c r="E273" s="18" t="n">
        <f aca="false">ROUND((D273-$D$5)*86400,2)</f>
        <v>109.14</v>
      </c>
      <c r="F273" s="12" t="n">
        <v>638</v>
      </c>
      <c r="G273" s="11" t="str">
        <f aca="false">IF(INDEX(選手一覧!$F$7:$F$2738,$F273)="","",INDEX(選手一覧!$F$7:$F$2738,$F273))</f>
        <v/>
      </c>
      <c r="H273" s="12" t="str">
        <f aca="false">IF(INDEX(選手一覧!$G$7:$G$2738,$F273)="","",INDEX(選手一覧!$G$7:$G$2738,$F273))</f>
        <v/>
      </c>
      <c r="I273" s="11" t="n">
        <f aca="false">IF(INDEX(選手一覧!$H$7:$H$2738,$F273)="","",INDEX(選手一覧!$H$7:$H$2738,$F273))</f>
        <v>0.002796875</v>
      </c>
      <c r="J273" s="12" t="n">
        <f aca="false">IF(INDEX(選手一覧!$I$7:$I$2738,$F273)="","",INDEX(選手一覧!$I$7:$I$2738,$F273))</f>
        <v>269</v>
      </c>
    </row>
    <row r="274" customFormat="false" ht="15" hidden="false" customHeight="false" outlineLevel="0" collapsed="false">
      <c r="A274" s="12" t="n">
        <v>270</v>
      </c>
      <c r="B274" s="10" t="s">
        <v>775</v>
      </c>
      <c r="C274" s="10" t="s">
        <v>27</v>
      </c>
      <c r="D274" s="11" t="n">
        <v>0.01040625</v>
      </c>
      <c r="E274" s="18" t="n">
        <f aca="false">ROUND((D274-$D$5)*86400,2)</f>
        <v>109.36</v>
      </c>
      <c r="F274" s="12" t="n">
        <v>502</v>
      </c>
      <c r="G274" s="11" t="n">
        <f aca="false">IF(INDEX(選手一覧!$F$7:$F$2738,$F274)="","",INDEX(選手一覧!$F$7:$F$2738,$F274))</f>
        <v>0.00686087962962963</v>
      </c>
      <c r="H274" s="12" t="n">
        <f aca="false">IF(INDEX(選手一覧!$G$7:$G$2738,$F274)="","",INDEX(選手一覧!$G$7:$G$2738,$F274))</f>
        <v>211</v>
      </c>
      <c r="I274" s="11" t="n">
        <f aca="false">IF(INDEX(選手一覧!$H$7:$H$2738,$F274)="","",INDEX(選手一覧!$H$7:$H$2738,$F274))</f>
        <v>0.00291875</v>
      </c>
      <c r="J274" s="12" t="n">
        <f aca="false">IF(INDEX(選手一覧!$I$7:$I$2738,$F274)="","",INDEX(選手一覧!$I$7:$I$2738,$F274))</f>
        <v>1080</v>
      </c>
    </row>
    <row r="275" customFormat="false" ht="15" hidden="false" customHeight="false" outlineLevel="0" collapsed="false">
      <c r="A275" s="12" t="n">
        <v>271</v>
      </c>
      <c r="B275" s="10" t="s">
        <v>964</v>
      </c>
      <c r="C275" s="10" t="s">
        <v>302</v>
      </c>
      <c r="D275" s="11" t="n">
        <v>0.0104074074074074</v>
      </c>
      <c r="E275" s="18" t="n">
        <f aca="false">ROUND((D275-$D$5)*86400,2)</f>
        <v>109.46</v>
      </c>
      <c r="F275" s="12" t="n">
        <v>642</v>
      </c>
      <c r="G275" s="11" t="str">
        <f aca="false">IF(INDEX(選手一覧!$F$7:$F$2738,$F275)="","",INDEX(選手一覧!$F$7:$F$2738,$F275))</f>
        <v/>
      </c>
      <c r="H275" s="12" t="str">
        <f aca="false">IF(INDEX(選手一覧!$G$7:$G$2738,$F275)="","",INDEX(選手一覧!$G$7:$G$2738,$F275))</f>
        <v/>
      </c>
      <c r="I275" s="11" t="n">
        <f aca="false">IF(INDEX(選手一覧!$H$7:$H$2738,$F275)="","",INDEX(選手一覧!$H$7:$H$2738,$F275))</f>
        <v>0.00280208333333333</v>
      </c>
      <c r="J275" s="12" t="n">
        <f aca="false">IF(INDEX(選手一覧!$I$7:$I$2738,$F275)="","",INDEX(選手一覧!$I$7:$I$2738,$F275))</f>
        <v>290</v>
      </c>
    </row>
    <row r="276" customFormat="false" ht="15" hidden="false" customHeight="false" outlineLevel="0" collapsed="false">
      <c r="A276" s="12" t="n">
        <v>272</v>
      </c>
      <c r="B276" s="10" t="s">
        <v>553</v>
      </c>
      <c r="C276" s="10" t="s">
        <v>83</v>
      </c>
      <c r="D276" s="11" t="n">
        <v>0.0104083333333333</v>
      </c>
      <c r="E276" s="18" t="n">
        <f aca="false">ROUND((D276-$D$5)*86400,2)</f>
        <v>109.54</v>
      </c>
      <c r="F276" s="12" t="n">
        <v>345</v>
      </c>
      <c r="G276" s="11" t="str">
        <f aca="false">IF(INDEX(選手一覧!$F$7:$F$2738,$F276)="","",INDEX(選手一覧!$F$7:$F$2738,$F276))</f>
        <v/>
      </c>
      <c r="H276" s="12" t="str">
        <f aca="false">IF(INDEX(選手一覧!$G$7:$G$2738,$F276)="","",INDEX(選手一覧!$G$7:$G$2738,$F276))</f>
        <v/>
      </c>
      <c r="I276" s="11" t="n">
        <f aca="false">IF(INDEX(選手一覧!$H$7:$H$2738,$F276)="","",INDEX(選手一覧!$H$7:$H$2738,$F276))</f>
        <v>0.00276331018518519</v>
      </c>
      <c r="J276" s="12" t="n">
        <f aca="false">IF(INDEX(選手一覧!$I$7:$I$2738,$F276)="","",INDEX(選手一覧!$I$7:$I$2738,$F276))</f>
        <v>144</v>
      </c>
    </row>
    <row r="277" customFormat="false" ht="15" hidden="false" customHeight="false" outlineLevel="0" collapsed="false">
      <c r="A277" s="12" t="n">
        <v>273</v>
      </c>
      <c r="B277" s="10" t="s">
        <v>766</v>
      </c>
      <c r="C277" s="10" t="s">
        <v>120</v>
      </c>
      <c r="D277" s="11" t="n">
        <v>0.0104087962962963</v>
      </c>
      <c r="E277" s="18" t="n">
        <f aca="false">ROUND((D277-$D$5)*86400,2)</f>
        <v>109.58</v>
      </c>
      <c r="F277" s="12" t="n">
        <v>495</v>
      </c>
      <c r="G277" s="11" t="str">
        <f aca="false">IF(INDEX(選手一覧!$F$7:$F$2738,$F277)="","",INDEX(選手一覧!$F$7:$F$2738,$F277))</f>
        <v/>
      </c>
      <c r="H277" s="12" t="str">
        <f aca="false">IF(INDEX(選手一覧!$G$7:$G$2738,$F277)="","",INDEX(選手一覧!$G$7:$G$2738,$F277))</f>
        <v/>
      </c>
      <c r="I277" s="11" t="n">
        <f aca="false">IF(INDEX(選手一覧!$H$7:$H$2738,$F277)="","",INDEX(選手一覧!$H$7:$H$2738,$F277))</f>
        <v>0.00278125</v>
      </c>
      <c r="J277" s="12" t="n">
        <f aca="false">IF(INDEX(選手一覧!$I$7:$I$2738,$F277)="","",INDEX(選手一覧!$I$7:$I$2738,$F277))</f>
        <v>208</v>
      </c>
    </row>
    <row r="278" customFormat="false" ht="15" hidden="false" customHeight="false" outlineLevel="0" collapsed="false">
      <c r="A278" s="12" t="n">
        <v>274</v>
      </c>
      <c r="B278" s="10" t="s">
        <v>972</v>
      </c>
      <c r="C278" s="10" t="s">
        <v>57</v>
      </c>
      <c r="D278" s="11" t="n">
        <v>0.010409375</v>
      </c>
      <c r="E278" s="18" t="n">
        <f aca="false">ROUND((D278-$D$5)*86400,2)</f>
        <v>109.63</v>
      </c>
      <c r="F278" s="12" t="n">
        <v>648</v>
      </c>
      <c r="G278" s="11" t="str">
        <f aca="false">IF(INDEX(選手一覧!$F$7:$F$2738,$F278)="","",INDEX(選手一覧!$F$7:$F$2738,$F278))</f>
        <v/>
      </c>
      <c r="H278" s="12" t="str">
        <f aca="false">IF(INDEX(選手一覧!$G$7:$G$2738,$F278)="","",INDEX(選手一覧!$G$7:$G$2738,$F278))</f>
        <v/>
      </c>
      <c r="I278" s="11" t="n">
        <f aca="false">IF(INDEX(選手一覧!$H$7:$H$2738,$F278)="","",INDEX(選手一覧!$H$7:$H$2738,$F278))</f>
        <v>0.0028974537037037</v>
      </c>
      <c r="J278" s="12" t="n">
        <f aca="false">IF(INDEX(選手一覧!$I$7:$I$2738,$F278)="","",INDEX(選手一覧!$I$7:$I$2738,$F278))</f>
        <v>932</v>
      </c>
    </row>
    <row r="279" customFormat="false" ht="15" hidden="false" customHeight="false" outlineLevel="0" collapsed="false">
      <c r="A279" s="12" t="n">
        <v>275</v>
      </c>
      <c r="B279" s="10" t="s">
        <v>559</v>
      </c>
      <c r="C279" s="10" t="s">
        <v>175</v>
      </c>
      <c r="D279" s="11" t="n">
        <v>0.0104099537037037</v>
      </c>
      <c r="E279" s="18" t="n">
        <f aca="false">ROUND((D279-$D$5)*86400,2)</f>
        <v>109.68</v>
      </c>
      <c r="F279" s="12" t="n">
        <v>349</v>
      </c>
      <c r="G279" s="11" t="str">
        <f aca="false">IF(INDEX(選手一覧!$F$7:$F$2738,$F279)="","",INDEX(選手一覧!$F$7:$F$2738,$F279))</f>
        <v/>
      </c>
      <c r="H279" s="12" t="str">
        <f aca="false">IF(INDEX(選手一覧!$G$7:$G$2738,$F279)="","",INDEX(選手一覧!$G$7:$G$2738,$F279))</f>
        <v/>
      </c>
      <c r="I279" s="11" t="n">
        <f aca="false">IF(INDEX(選手一覧!$H$7:$H$2738,$F279)="","",INDEX(選手一覧!$H$7:$H$2738,$F279))</f>
        <v>0.00276446759259259</v>
      </c>
      <c r="J279" s="12" t="n">
        <f aca="false">IF(INDEX(選手一覧!$I$7:$I$2738,$F279)="","",INDEX(選手一覧!$I$7:$I$2738,$F279))</f>
        <v>146</v>
      </c>
    </row>
    <row r="280" customFormat="false" ht="15" hidden="false" customHeight="false" outlineLevel="0" collapsed="false">
      <c r="A280" s="12" t="n">
        <v>276</v>
      </c>
      <c r="B280" s="10" t="s">
        <v>977</v>
      </c>
      <c r="C280" s="10" t="s">
        <v>874</v>
      </c>
      <c r="D280" s="11" t="n">
        <v>0.0104104166666667</v>
      </c>
      <c r="E280" s="18" t="n">
        <f aca="false">ROUND((D280-$D$5)*86400,2)</f>
        <v>109.72</v>
      </c>
      <c r="F280" s="12" t="n">
        <v>652</v>
      </c>
      <c r="G280" s="11" t="str">
        <f aca="false">IF(INDEX(選手一覧!$F$7:$F$2738,$F280)="","",INDEX(選手一覧!$F$7:$F$2738,$F280))</f>
        <v/>
      </c>
      <c r="H280" s="12" t="str">
        <f aca="false">IF(INDEX(選手一覧!$G$7:$G$2738,$F280)="","",INDEX(選手一覧!$G$7:$G$2738,$F280))</f>
        <v/>
      </c>
      <c r="I280" s="11" t="n">
        <f aca="false">IF(INDEX(選手一覧!$H$7:$H$2738,$F280)="","",INDEX(選手一覧!$H$7:$H$2738,$F280))</f>
        <v>0.00286875</v>
      </c>
      <c r="J280" s="12" t="n">
        <f aca="false">IF(INDEX(選手一覧!$I$7:$I$2738,$F280)="","",INDEX(選手一覧!$I$7:$I$2738,$F280))</f>
        <v>685</v>
      </c>
    </row>
    <row r="281" customFormat="false" ht="15" hidden="false" customHeight="false" outlineLevel="0" collapsed="false">
      <c r="A281" s="12" t="n">
        <v>277</v>
      </c>
      <c r="B281" s="10" t="s">
        <v>979</v>
      </c>
      <c r="C281" s="10" t="s">
        <v>166</v>
      </c>
      <c r="D281" s="11" t="n">
        <v>0.0104115740740741</v>
      </c>
      <c r="E281" s="18" t="n">
        <f aca="false">ROUND((D281-$D$5)*86400,2)</f>
        <v>109.82</v>
      </c>
      <c r="F281" s="12" t="n">
        <v>654</v>
      </c>
      <c r="G281" s="11" t="str">
        <f aca="false">IF(INDEX(選手一覧!$F$7:$F$2738,$F281)="","",INDEX(選手一覧!$F$7:$F$2738,$F281))</f>
        <v/>
      </c>
      <c r="H281" s="12" t="str">
        <f aca="false">IF(INDEX(選手一覧!$G$7:$G$2738,$F281)="","",INDEX(選手一覧!$G$7:$G$2738,$F281))</f>
        <v/>
      </c>
      <c r="I281" s="11" t="str">
        <f aca="false">IF(INDEX(選手一覧!$H$7:$H$2738,$F281)="","",INDEX(選手一覧!$H$7:$H$2738,$F281))</f>
        <v/>
      </c>
      <c r="J281" s="12" t="str">
        <f aca="false">IF(INDEX(選手一覧!$I$7:$I$2738,$F281)="","",INDEX(選手一覧!$I$7:$I$2738,$F281))</f>
        <v/>
      </c>
    </row>
    <row r="282" customFormat="false" ht="15" hidden="false" customHeight="false" outlineLevel="0" collapsed="false">
      <c r="A282" s="12" t="n">
        <v>278</v>
      </c>
      <c r="B282" s="10" t="s">
        <v>533</v>
      </c>
      <c r="C282" s="10" t="s">
        <v>534</v>
      </c>
      <c r="D282" s="11" t="n">
        <v>0.0104116898148148</v>
      </c>
      <c r="E282" s="18" t="n">
        <f aca="false">ROUND((D282-$D$5)*86400,2)</f>
        <v>109.83</v>
      </c>
      <c r="F282" s="12" t="n">
        <v>333</v>
      </c>
      <c r="G282" s="11" t="str">
        <f aca="false">IF(INDEX(選手一覧!$F$7:$F$2738,$F282)="","",INDEX(選手一覧!$F$7:$F$2738,$F282))</f>
        <v/>
      </c>
      <c r="H282" s="12" t="str">
        <f aca="false">IF(INDEX(選手一覧!$G$7:$G$2738,$F282)="","",INDEX(選手一覧!$G$7:$G$2738,$F282))</f>
        <v/>
      </c>
      <c r="I282" s="11" t="n">
        <f aca="false">IF(INDEX(選手一覧!$H$7:$H$2738,$F282)="","",INDEX(選手一覧!$H$7:$H$2738,$F282))</f>
        <v>0.00276064814814815</v>
      </c>
      <c r="J282" s="12" t="n">
        <f aca="false">IF(INDEX(選手一覧!$I$7:$I$2738,$F282)="","",INDEX(選手一覧!$I$7:$I$2738,$F282))</f>
        <v>138</v>
      </c>
    </row>
    <row r="283" customFormat="false" ht="15" hidden="false" customHeight="false" outlineLevel="0" collapsed="false">
      <c r="A283" s="12" t="n">
        <v>279</v>
      </c>
      <c r="B283" s="10" t="s">
        <v>192</v>
      </c>
      <c r="C283" s="10" t="s">
        <v>193</v>
      </c>
      <c r="D283" s="11" t="n">
        <v>0.0104118055555556</v>
      </c>
      <c r="E283" s="18" t="n">
        <f aca="false">ROUND((D283-$D$5)*86400,2)</f>
        <v>109.84</v>
      </c>
      <c r="F283" s="12" t="n">
        <v>97</v>
      </c>
      <c r="G283" s="11" t="n">
        <f aca="false">IF(INDEX(選手一覧!$F$7:$F$2738,$F283)="","",INDEX(選手一覧!$F$7:$F$2738,$F283))</f>
        <v>0.00650740740740741</v>
      </c>
      <c r="H283" s="12" t="n">
        <f aca="false">IF(INDEX(選手一覧!$G$7:$G$2738,$F283)="","",INDEX(選手一覧!$G$7:$G$2738,$F283))</f>
        <v>38</v>
      </c>
      <c r="I283" s="11" t="n">
        <f aca="false">IF(INDEX(選手一覧!$H$7:$H$2738,$F283)="","",INDEX(選手一覧!$H$7:$H$2738,$F283))</f>
        <v>0.00278425925925926</v>
      </c>
      <c r="J283" s="12" t="n">
        <f aca="false">IF(INDEX(選手一覧!$I$7:$I$2738,$F283)="","",INDEX(選手一覧!$I$7:$I$2738,$F283))</f>
        <v>217</v>
      </c>
    </row>
    <row r="284" customFormat="false" ht="15" hidden="false" customHeight="false" outlineLevel="0" collapsed="false">
      <c r="A284" s="12" t="n">
        <v>280</v>
      </c>
      <c r="B284" s="10" t="s">
        <v>985</v>
      </c>
      <c r="C284" s="10" t="s">
        <v>986</v>
      </c>
      <c r="D284" s="11" t="n">
        <v>0.0104148148148148</v>
      </c>
      <c r="E284" s="18" t="n">
        <f aca="false">ROUND((D284-$D$5)*86400,2)</f>
        <v>110.1</v>
      </c>
      <c r="F284" s="12" t="n">
        <v>658</v>
      </c>
      <c r="G284" s="11" t="str">
        <f aca="false">IF(INDEX(選手一覧!$F$7:$F$2738,$F284)="","",INDEX(選手一覧!$F$7:$F$2738,$F284))</f>
        <v/>
      </c>
      <c r="H284" s="12" t="str">
        <f aca="false">IF(INDEX(選手一覧!$G$7:$G$2738,$F284)="","",INDEX(選手一覧!$G$7:$G$2738,$F284))</f>
        <v/>
      </c>
      <c r="I284" s="11" t="n">
        <f aca="false">IF(INDEX(選手一覧!$H$7:$H$2738,$F284)="","",INDEX(選手一覧!$H$7:$H$2738,$F284))</f>
        <v>0.00282395833333333</v>
      </c>
      <c r="J284" s="12" t="n">
        <f aca="false">IF(INDEX(選手一覧!$I$7:$I$2738,$F284)="","",INDEX(選手一覧!$I$7:$I$2738,$F284))</f>
        <v>387</v>
      </c>
    </row>
    <row r="285" customFormat="false" ht="15" hidden="false" customHeight="false" outlineLevel="0" collapsed="false">
      <c r="A285" s="12" t="n">
        <v>281</v>
      </c>
      <c r="B285" s="10" t="s">
        <v>838</v>
      </c>
      <c r="C285" s="10" t="s">
        <v>263</v>
      </c>
      <c r="D285" s="11" t="n">
        <v>0.0104148148148148</v>
      </c>
      <c r="E285" s="18" t="n">
        <f aca="false">ROUND((D285-$D$5)*86400,2)</f>
        <v>110.1</v>
      </c>
      <c r="F285" s="12" t="n">
        <v>547</v>
      </c>
      <c r="G285" s="11" t="n">
        <f aca="false">IF(INDEX(選手一覧!$F$7:$F$2738,$F285)="","",INDEX(選手一覧!$F$7:$F$2738,$F285))</f>
        <v>0.00688854166666667</v>
      </c>
      <c r="H285" s="12" t="n">
        <f aca="false">IF(INDEX(選手一覧!$G$7:$G$2738,$F285)="","",INDEX(選手一覧!$G$7:$G$2738,$F285))</f>
        <v>230</v>
      </c>
      <c r="I285" s="11" t="n">
        <f aca="false">IF(INDEX(選手一覧!$H$7:$H$2738,$F285)="","",INDEX(選手一覧!$H$7:$H$2738,$F285))</f>
        <v>0.00287662037037037</v>
      </c>
      <c r="J285" s="12" t="n">
        <f aca="false">IF(INDEX(選手一覧!$I$7:$I$2738,$F285)="","",INDEX(選手一覧!$I$7:$I$2738,$F285))</f>
        <v>743</v>
      </c>
    </row>
    <row r="286" customFormat="false" ht="15" hidden="false" customHeight="false" outlineLevel="0" collapsed="false">
      <c r="A286" s="12" t="n">
        <v>282</v>
      </c>
      <c r="B286" s="10" t="s">
        <v>993</v>
      </c>
      <c r="C286" s="10" t="s">
        <v>261</v>
      </c>
      <c r="D286" s="11" t="n">
        <v>0.010418287037037</v>
      </c>
      <c r="E286" s="18" t="n">
        <f aca="false">ROUND((D286-$D$5)*86400,2)</f>
        <v>110.4</v>
      </c>
      <c r="F286" s="12" t="n">
        <v>663</v>
      </c>
      <c r="G286" s="11" t="str">
        <f aca="false">IF(INDEX(選手一覧!$F$7:$F$2738,$F286)="","",INDEX(選手一覧!$F$7:$F$2738,$F286))</f>
        <v/>
      </c>
      <c r="H286" s="12" t="str">
        <f aca="false">IF(INDEX(選手一覧!$G$7:$G$2738,$F286)="","",INDEX(選手一覧!$G$7:$G$2738,$F286))</f>
        <v/>
      </c>
      <c r="I286" s="11" t="n">
        <f aca="false">IF(INDEX(選手一覧!$H$7:$H$2738,$F286)="","",INDEX(選手一覧!$H$7:$H$2738,$F286))</f>
        <v>0.0028650462962963</v>
      </c>
      <c r="J286" s="12" t="n">
        <f aca="false">IF(INDEX(選手一覧!$I$7:$I$2738,$F286)="","",INDEX(選手一覧!$I$7:$I$2738,$F286))</f>
        <v>666</v>
      </c>
    </row>
    <row r="287" customFormat="false" ht="15" hidden="false" customHeight="false" outlineLevel="0" collapsed="false">
      <c r="A287" s="12" t="n">
        <v>283</v>
      </c>
      <c r="B287" s="10" t="s">
        <v>331</v>
      </c>
      <c r="C287" s="10" t="s">
        <v>208</v>
      </c>
      <c r="D287" s="11" t="n">
        <v>0.0104184027777778</v>
      </c>
      <c r="E287" s="18" t="n">
        <f aca="false">ROUND((D287-$D$5)*86400,2)</f>
        <v>110.41</v>
      </c>
      <c r="F287" s="12" t="n">
        <v>192</v>
      </c>
      <c r="G287" s="11" t="n">
        <f aca="false">IF(INDEX(選手一覧!$F$7:$F$2738,$F287)="","",INDEX(選手一覧!$F$7:$F$2738,$F287))</f>
        <v>0.00663900462962963</v>
      </c>
      <c r="H287" s="12" t="n">
        <f aca="false">IF(INDEX(選手一覧!$G$7:$G$2738,$F287)="","",INDEX(選手一覧!$G$7:$G$2738,$F287))</f>
        <v>78</v>
      </c>
      <c r="I287" s="11" t="n">
        <f aca="false">IF(INDEX(選手一覧!$H$7:$H$2738,$F287)="","",INDEX(選手一覧!$H$7:$H$2738,$F287))</f>
        <v>0.00285671296296296</v>
      </c>
      <c r="J287" s="12" t="n">
        <f aca="false">IF(INDEX(選手一覧!$I$7:$I$2738,$F287)="","",INDEX(選手一覧!$I$7:$I$2738,$F287))</f>
        <v>612</v>
      </c>
    </row>
    <row r="288" customFormat="false" ht="15" hidden="false" customHeight="false" outlineLevel="0" collapsed="false">
      <c r="A288" s="12" t="n">
        <v>284</v>
      </c>
      <c r="B288" s="10" t="s">
        <v>743</v>
      </c>
      <c r="C288" s="10" t="s">
        <v>744</v>
      </c>
      <c r="D288" s="11" t="n">
        <v>0.0104189814814815</v>
      </c>
      <c r="E288" s="18" t="n">
        <f aca="false">ROUND((D288-$D$5)*86400,2)</f>
        <v>110.46</v>
      </c>
      <c r="F288" s="12" t="n">
        <v>480</v>
      </c>
      <c r="G288" s="11" t="str">
        <f aca="false">IF(INDEX(選手一覧!$F$7:$F$2738,$F288)="","",INDEX(選手一覧!$F$7:$F$2738,$F288))</f>
        <v/>
      </c>
      <c r="H288" s="12" t="str">
        <f aca="false">IF(INDEX(選手一覧!$G$7:$G$2738,$F288)="","",INDEX(選手一覧!$G$7:$G$2738,$F288))</f>
        <v/>
      </c>
      <c r="I288" s="11" t="n">
        <f aca="false">IF(INDEX(選手一覧!$H$7:$H$2738,$F288)="","",INDEX(選手一覧!$H$7:$H$2738,$F288))</f>
        <v>0.00278032407407407</v>
      </c>
      <c r="J288" s="12" t="n">
        <f aca="false">IF(INDEX(選手一覧!$I$7:$I$2738,$F288)="","",INDEX(選手一覧!$I$7:$I$2738,$F288))</f>
        <v>202</v>
      </c>
    </row>
    <row r="289" customFormat="false" ht="15" hidden="false" customHeight="false" outlineLevel="0" collapsed="false">
      <c r="A289" s="12" t="n">
        <v>285</v>
      </c>
      <c r="B289" s="10" t="s">
        <v>1002</v>
      </c>
      <c r="C289" s="10" t="s">
        <v>36</v>
      </c>
      <c r="D289" s="11" t="n">
        <v>0.0104209490740741</v>
      </c>
      <c r="E289" s="18" t="n">
        <f aca="false">ROUND((D289-$D$5)*86400,2)</f>
        <v>110.63</v>
      </c>
      <c r="F289" s="12" t="n">
        <v>669</v>
      </c>
      <c r="G289" s="11" t="str">
        <f aca="false">IF(INDEX(選手一覧!$F$7:$F$2738,$F289)="","",INDEX(選手一覧!$F$7:$F$2738,$F289))</f>
        <v/>
      </c>
      <c r="H289" s="12" t="str">
        <f aca="false">IF(INDEX(選手一覧!$G$7:$G$2738,$F289)="","",INDEX(選手一覧!$G$7:$G$2738,$F289))</f>
        <v/>
      </c>
      <c r="I289" s="11" t="n">
        <f aca="false">IF(INDEX(選手一覧!$H$7:$H$2738,$F289)="","",INDEX(選手一覧!$H$7:$H$2738,$F289))</f>
        <v>0.00282280092592593</v>
      </c>
      <c r="J289" s="12" t="n">
        <f aca="false">IF(INDEX(選手一覧!$I$7:$I$2738,$F289)="","",INDEX(選手一覧!$I$7:$I$2738,$F289))</f>
        <v>381</v>
      </c>
    </row>
    <row r="290" customFormat="false" ht="15" hidden="false" customHeight="false" outlineLevel="0" collapsed="false">
      <c r="A290" s="12" t="n">
        <v>286</v>
      </c>
      <c r="B290" s="10" t="s">
        <v>153</v>
      </c>
      <c r="C290" s="10" t="s">
        <v>154</v>
      </c>
      <c r="D290" s="11" t="n">
        <v>0.0104215277777778</v>
      </c>
      <c r="E290" s="18" t="n">
        <f aca="false">ROUND((D290-$D$5)*86400,2)</f>
        <v>110.68</v>
      </c>
      <c r="F290" s="12" t="n">
        <v>75</v>
      </c>
      <c r="G290" s="11" t="str">
        <f aca="false">IF(INDEX(選手一覧!$F$7:$F$2738,$F290)="","",INDEX(選手一覧!$F$7:$F$2738,$F290))</f>
        <v/>
      </c>
      <c r="H290" s="12" t="str">
        <f aca="false">IF(INDEX(選手一覧!$G$7:$G$2738,$F290)="","",INDEX(選手一覧!$G$7:$G$2738,$F290))</f>
        <v/>
      </c>
      <c r="I290" s="11" t="n">
        <f aca="false">IF(INDEX(選手一覧!$H$7:$H$2738,$F290)="","",INDEX(選手一覧!$H$7:$H$2738,$F290))</f>
        <v>0.00270625</v>
      </c>
      <c r="J290" s="12" t="n">
        <f aca="false">IF(INDEX(選手一覧!$I$7:$I$2738,$F290)="","",INDEX(選手一覧!$I$7:$I$2738,$F290))</f>
        <v>30</v>
      </c>
    </row>
    <row r="291" customFormat="false" ht="15" hidden="false" customHeight="false" outlineLevel="0" collapsed="false">
      <c r="A291" s="12" t="n">
        <v>287</v>
      </c>
      <c r="B291" s="10" t="s">
        <v>1010</v>
      </c>
      <c r="C291" s="10" t="s">
        <v>277</v>
      </c>
      <c r="D291" s="11" t="n">
        <v>0.0104221064814815</v>
      </c>
      <c r="E291" s="18" t="n">
        <f aca="false">ROUND((D291-$D$5)*86400,2)</f>
        <v>110.73</v>
      </c>
      <c r="F291" s="12" t="n">
        <v>675</v>
      </c>
      <c r="G291" s="11" t="str">
        <f aca="false">IF(INDEX(選手一覧!$F$7:$F$2738,$F291)="","",INDEX(選手一覧!$F$7:$F$2738,$F291))</f>
        <v/>
      </c>
      <c r="H291" s="12" t="str">
        <f aca="false">IF(INDEX(選手一覧!$G$7:$G$2738,$F291)="","",INDEX(選手一覧!$G$7:$G$2738,$F291))</f>
        <v/>
      </c>
      <c r="I291" s="11" t="n">
        <f aca="false">IF(INDEX(選手一覧!$H$7:$H$2738,$F291)="","",INDEX(選手一覧!$H$7:$H$2738,$F291))</f>
        <v>0.00280300925925926</v>
      </c>
      <c r="J291" s="12" t="n">
        <f aca="false">IF(INDEX(選手一覧!$I$7:$I$2738,$F291)="","",INDEX(選手一覧!$I$7:$I$2738,$F291))</f>
        <v>295</v>
      </c>
    </row>
    <row r="292" customFormat="false" ht="15" hidden="false" customHeight="false" outlineLevel="0" collapsed="false">
      <c r="A292" s="12" t="n">
        <v>288</v>
      </c>
      <c r="B292" s="10" t="s">
        <v>1013</v>
      </c>
      <c r="C292" s="10" t="s">
        <v>103</v>
      </c>
      <c r="D292" s="11" t="n">
        <v>0.0104231481481482</v>
      </c>
      <c r="E292" s="18" t="n">
        <f aca="false">ROUND((D292-$D$5)*86400,2)</f>
        <v>110.82</v>
      </c>
      <c r="F292" s="12" t="n">
        <v>678</v>
      </c>
      <c r="G292" s="11" t="str">
        <f aca="false">IF(INDEX(選手一覧!$F$7:$F$2738,$F292)="","",INDEX(選手一覧!$F$7:$F$2738,$F292))</f>
        <v/>
      </c>
      <c r="H292" s="12" t="str">
        <f aca="false">IF(INDEX(選手一覧!$G$7:$G$2738,$F292)="","",INDEX(選手一覧!$G$7:$G$2738,$F292))</f>
        <v/>
      </c>
      <c r="I292" s="11" t="n">
        <f aca="false">IF(INDEX(選手一覧!$H$7:$H$2738,$F292)="","",INDEX(選手一覧!$H$7:$H$2738,$F292))</f>
        <v>0.00292418981481482</v>
      </c>
      <c r="J292" s="12" t="n">
        <f aca="false">IF(INDEX(選手一覧!$I$7:$I$2738,$F292)="","",INDEX(選手一覧!$I$7:$I$2738,$F292))</f>
        <v>1138</v>
      </c>
    </row>
    <row r="293" customFormat="false" ht="15" hidden="false" customHeight="false" outlineLevel="0" collapsed="false">
      <c r="A293" s="12" t="n">
        <v>289</v>
      </c>
      <c r="B293" s="10" t="s">
        <v>1016</v>
      </c>
      <c r="C293" s="10" t="s">
        <v>116</v>
      </c>
      <c r="D293" s="11" t="n">
        <v>0.0104248842592593</v>
      </c>
      <c r="E293" s="18" t="n">
        <f aca="false">ROUND((D293-$D$5)*86400,2)</f>
        <v>110.97</v>
      </c>
      <c r="F293" s="12" t="n">
        <v>681</v>
      </c>
      <c r="G293" s="11" t="str">
        <f aca="false">IF(INDEX(選手一覧!$F$7:$F$2738,$F293)="","",INDEX(選手一覧!$F$7:$F$2738,$F293))</f>
        <v/>
      </c>
      <c r="H293" s="12" t="str">
        <f aca="false">IF(INDEX(選手一覧!$G$7:$G$2738,$F293)="","",INDEX(選手一覧!$G$7:$G$2738,$F293))</f>
        <v/>
      </c>
      <c r="I293" s="11" t="n">
        <f aca="false">IF(INDEX(選手一覧!$H$7:$H$2738,$F293)="","",INDEX(選手一覧!$H$7:$H$2738,$F293))</f>
        <v>0.0029224537037037</v>
      </c>
      <c r="J293" s="12" t="n">
        <f aca="false">IF(INDEX(選手一覧!$I$7:$I$2738,$F293)="","",INDEX(選手一覧!$I$7:$I$2738,$F293))</f>
        <v>1119</v>
      </c>
    </row>
    <row r="294" customFormat="false" ht="15" hidden="false" customHeight="false" outlineLevel="0" collapsed="false">
      <c r="A294" s="12" t="n">
        <v>290</v>
      </c>
      <c r="B294" s="10" t="s">
        <v>1019</v>
      </c>
      <c r="C294" s="10" t="s">
        <v>1020</v>
      </c>
      <c r="D294" s="11" t="n">
        <v>0.0104258101851852</v>
      </c>
      <c r="E294" s="18" t="n">
        <f aca="false">ROUND((D294-$D$5)*86400,2)</f>
        <v>111.05</v>
      </c>
      <c r="F294" s="12" t="n">
        <v>683</v>
      </c>
      <c r="G294" s="11" t="str">
        <f aca="false">IF(INDEX(選手一覧!$F$7:$F$2738,$F294)="","",INDEX(選手一覧!$F$7:$F$2738,$F294))</f>
        <v/>
      </c>
      <c r="H294" s="12" t="str">
        <f aca="false">IF(INDEX(選手一覧!$G$7:$G$2738,$F294)="","",INDEX(選手一覧!$G$7:$G$2738,$F294))</f>
        <v/>
      </c>
      <c r="I294" s="11" t="str">
        <f aca="false">IF(INDEX(選手一覧!$H$7:$H$2738,$F294)="","",INDEX(選手一覧!$H$7:$H$2738,$F294))</f>
        <v/>
      </c>
      <c r="J294" s="12" t="str">
        <f aca="false">IF(INDEX(選手一覧!$I$7:$I$2738,$F294)="","",INDEX(選手一覧!$I$7:$I$2738,$F294))</f>
        <v/>
      </c>
    </row>
    <row r="295" customFormat="false" ht="15" hidden="false" customHeight="false" outlineLevel="0" collapsed="false">
      <c r="A295" s="12" t="n">
        <v>291</v>
      </c>
      <c r="B295" s="10" t="s">
        <v>594</v>
      </c>
      <c r="C295" s="10" t="s">
        <v>277</v>
      </c>
      <c r="D295" s="11" t="n">
        <v>0.0104261574074074</v>
      </c>
      <c r="E295" s="18" t="n">
        <f aca="false">ROUND((D295-$D$5)*86400,2)</f>
        <v>111.08</v>
      </c>
      <c r="F295" s="12" t="n">
        <v>375</v>
      </c>
      <c r="G295" s="11" t="str">
        <f aca="false">IF(INDEX(選手一覧!$F$7:$F$2738,$F295)="","",INDEX(選手一覧!$F$7:$F$2738,$F295))</f>
        <v/>
      </c>
      <c r="H295" s="12" t="str">
        <f aca="false">IF(INDEX(選手一覧!$G$7:$G$2738,$F295)="","",INDEX(選手一覧!$G$7:$G$2738,$F295))</f>
        <v/>
      </c>
      <c r="I295" s="11" t="n">
        <f aca="false">IF(INDEX(選手一覧!$H$7:$H$2738,$F295)="","",INDEX(選手一覧!$H$7:$H$2738,$F295))</f>
        <v>0.00276944444444445</v>
      </c>
      <c r="J295" s="12" t="n">
        <f aca="false">IF(INDEX(選手一覧!$I$7:$I$2738,$F295)="","",INDEX(選手一覧!$I$7:$I$2738,$F295))</f>
        <v>159</v>
      </c>
    </row>
    <row r="296" customFormat="false" ht="15" hidden="false" customHeight="false" outlineLevel="0" collapsed="false">
      <c r="A296" s="12" t="n">
        <v>292</v>
      </c>
      <c r="B296" s="10" t="s">
        <v>584</v>
      </c>
      <c r="C296" s="10" t="s">
        <v>585</v>
      </c>
      <c r="D296" s="11" t="n">
        <v>0.0104265046296296</v>
      </c>
      <c r="E296" s="18" t="n">
        <f aca="false">ROUND((D296-$D$5)*86400,2)</f>
        <v>111.11</v>
      </c>
      <c r="F296" s="12" t="n">
        <v>369</v>
      </c>
      <c r="G296" s="11" t="str">
        <f aca="false">IF(INDEX(選手一覧!$F$7:$F$2738,$F296)="","",INDEX(選手一覧!$F$7:$F$2738,$F296))</f>
        <v/>
      </c>
      <c r="H296" s="12" t="str">
        <f aca="false">IF(INDEX(選手一覧!$G$7:$G$2738,$F296)="","",INDEX(選手一覧!$G$7:$G$2738,$F296))</f>
        <v/>
      </c>
      <c r="I296" s="11" t="n">
        <f aca="false">IF(INDEX(選手一覧!$H$7:$H$2738,$F296)="","",INDEX(選手一覧!$H$7:$H$2738,$F296))</f>
        <v>0.00276736111111111</v>
      </c>
      <c r="J296" s="12" t="n">
        <f aca="false">IF(INDEX(選手一覧!$I$7:$I$2738,$F296)="","",INDEX(選手一覧!$I$7:$I$2738,$F296))</f>
        <v>156</v>
      </c>
    </row>
    <row r="297" customFormat="false" ht="15" hidden="false" customHeight="false" outlineLevel="0" collapsed="false">
      <c r="A297" s="12" t="n">
        <v>293</v>
      </c>
      <c r="B297" s="10" t="s">
        <v>1026</v>
      </c>
      <c r="C297" s="10" t="s">
        <v>1027</v>
      </c>
      <c r="D297" s="11" t="n">
        <v>0.0104300925925926</v>
      </c>
      <c r="E297" s="18" t="n">
        <f aca="false">ROUND((D297-$D$5)*86400,2)</f>
        <v>111.42</v>
      </c>
      <c r="F297" s="12" t="n">
        <v>688</v>
      </c>
      <c r="G297" s="11" t="str">
        <f aca="false">IF(INDEX(選手一覧!$F$7:$F$2738,$F297)="","",INDEX(選手一覧!$F$7:$F$2738,$F297))</f>
        <v/>
      </c>
      <c r="H297" s="12" t="str">
        <f aca="false">IF(INDEX(選手一覧!$G$7:$G$2738,$F297)="","",INDEX(選手一覧!$G$7:$G$2738,$F297))</f>
        <v/>
      </c>
      <c r="I297" s="11" t="n">
        <f aca="false">IF(INDEX(選手一覧!$H$7:$H$2738,$F297)="","",INDEX(選手一覧!$H$7:$H$2738,$F297))</f>
        <v>0.00291111111111111</v>
      </c>
      <c r="J297" s="12" t="n">
        <f aca="false">IF(INDEX(選手一覧!$I$7:$I$2738,$F297)="","",INDEX(選手一覧!$I$7:$I$2738,$F297))</f>
        <v>1029</v>
      </c>
    </row>
    <row r="298" customFormat="false" ht="15" hidden="false" customHeight="false" outlineLevel="0" collapsed="false">
      <c r="A298" s="12" t="n">
        <v>294</v>
      </c>
      <c r="B298" s="10" t="s">
        <v>318</v>
      </c>
      <c r="C298" s="10" t="s">
        <v>185</v>
      </c>
      <c r="D298" s="11" t="n">
        <v>0.0104302083333333</v>
      </c>
      <c r="E298" s="18" t="n">
        <f aca="false">ROUND((D298-$D$5)*86400,2)</f>
        <v>111.43</v>
      </c>
      <c r="F298" s="12" t="n">
        <v>181</v>
      </c>
      <c r="G298" s="11" t="str">
        <f aca="false">IF(INDEX(選手一覧!$F$7:$F$2738,$F298)="","",INDEX(選手一覧!$F$7:$F$2738,$F298))</f>
        <v/>
      </c>
      <c r="H298" s="12" t="str">
        <f aca="false">IF(INDEX(選手一覧!$G$7:$G$2738,$F298)="","",INDEX(選手一覧!$G$7:$G$2738,$F298))</f>
        <v/>
      </c>
      <c r="I298" s="11" t="n">
        <f aca="false">IF(INDEX(選手一覧!$H$7:$H$2738,$F298)="","",INDEX(選手一覧!$H$7:$H$2738,$F298))</f>
        <v>0.00273530092592593</v>
      </c>
      <c r="J298" s="12" t="n">
        <f aca="false">IF(INDEX(選手一覧!$I$7:$I$2738,$F298)="","",INDEX(選手一覧!$I$7:$I$2738,$F298))</f>
        <v>73</v>
      </c>
    </row>
    <row r="299" customFormat="false" ht="15" hidden="false" customHeight="false" outlineLevel="0" collapsed="false">
      <c r="A299" s="12" t="n">
        <v>295</v>
      </c>
      <c r="B299" s="10" t="s">
        <v>182</v>
      </c>
      <c r="C299" s="10" t="s">
        <v>183</v>
      </c>
      <c r="D299" s="11" t="n">
        <v>0.0104319444444445</v>
      </c>
      <c r="E299" s="18" t="n">
        <f aca="false">ROUND((D299-$D$5)*86400,2)</f>
        <v>111.58</v>
      </c>
      <c r="F299" s="12" t="n">
        <v>91</v>
      </c>
      <c r="G299" s="11" t="n">
        <f aca="false">IF(INDEX(選手一覧!$F$7:$F$2738,$F299)="","",INDEX(選手一覧!$F$7:$F$2738,$F299))</f>
        <v>0.00650046296296296</v>
      </c>
      <c r="H299" s="12" t="n">
        <f aca="false">IF(INDEX(選手一覧!$G$7:$G$2738,$F299)="","",INDEX(選手一覧!$G$7:$G$2738,$F299))</f>
        <v>36</v>
      </c>
      <c r="I299" s="11" t="n">
        <f aca="false">IF(INDEX(選手一覧!$H$7:$H$2738,$F299)="","",INDEX(選手一覧!$H$7:$H$2738,$F299))</f>
        <v>0.00285821759259259</v>
      </c>
      <c r="J299" s="12" t="n">
        <f aca="false">IF(INDEX(選手一覧!$I$7:$I$2738,$F299)="","",INDEX(選手一覧!$I$7:$I$2738,$F299))</f>
        <v>623</v>
      </c>
    </row>
    <row r="300" customFormat="false" ht="15" hidden="false" customHeight="false" outlineLevel="0" collapsed="false">
      <c r="A300" s="12" t="n">
        <v>296</v>
      </c>
      <c r="B300" s="10" t="s">
        <v>774</v>
      </c>
      <c r="C300" s="10" t="s">
        <v>124</v>
      </c>
      <c r="D300" s="11" t="n">
        <v>0.0104322916666667</v>
      </c>
      <c r="E300" s="18" t="n">
        <f aca="false">ROUND((D300-$D$5)*86400,2)</f>
        <v>111.61</v>
      </c>
      <c r="F300" s="12" t="n">
        <v>501</v>
      </c>
      <c r="G300" s="11" t="str">
        <f aca="false">IF(INDEX(選手一覧!$F$7:$F$2738,$F300)="","",INDEX(選手一覧!$F$7:$F$2738,$F300))</f>
        <v/>
      </c>
      <c r="H300" s="12" t="str">
        <f aca="false">IF(INDEX(選手一覧!$G$7:$G$2738,$F300)="","",INDEX(選手一覧!$G$7:$G$2738,$F300))</f>
        <v/>
      </c>
      <c r="I300" s="11" t="n">
        <f aca="false">IF(INDEX(選手一覧!$H$7:$H$2738,$F300)="","",INDEX(選手一覧!$H$7:$H$2738,$F300))</f>
        <v>0.00278194444444445</v>
      </c>
      <c r="J300" s="12" t="n">
        <f aca="false">IF(INDEX(選手一覧!$I$7:$I$2738,$F300)="","",INDEX(選手一覧!$I$7:$I$2738,$F300))</f>
        <v>210</v>
      </c>
    </row>
    <row r="301" customFormat="false" ht="15" hidden="false" customHeight="false" outlineLevel="0" collapsed="false">
      <c r="A301" s="12" t="n">
        <v>297</v>
      </c>
      <c r="B301" s="10" t="s">
        <v>1034</v>
      </c>
      <c r="C301" s="10" t="s">
        <v>1035</v>
      </c>
      <c r="D301" s="11" t="n">
        <v>0.0104341435185185</v>
      </c>
      <c r="E301" s="18" t="n">
        <f aca="false">ROUND((D301-$D$5)*86400,2)</f>
        <v>111.77</v>
      </c>
      <c r="F301" s="12" t="n">
        <v>694</v>
      </c>
      <c r="G301" s="11" t="str">
        <f aca="false">IF(INDEX(選手一覧!$F$7:$F$2738,$F301)="","",INDEX(選手一覧!$F$7:$F$2738,$F301))</f>
        <v/>
      </c>
      <c r="H301" s="12" t="str">
        <f aca="false">IF(INDEX(選手一覧!$G$7:$G$2738,$F301)="","",INDEX(選手一覧!$G$7:$G$2738,$F301))</f>
        <v/>
      </c>
      <c r="I301" s="11" t="str">
        <f aca="false">IF(INDEX(選手一覧!$H$7:$H$2738,$F301)="","",INDEX(選手一覧!$H$7:$H$2738,$F301))</f>
        <v/>
      </c>
      <c r="J301" s="12" t="str">
        <f aca="false">IF(INDEX(選手一覧!$I$7:$I$2738,$F301)="","",INDEX(選手一覧!$I$7:$I$2738,$F301))</f>
        <v/>
      </c>
    </row>
    <row r="302" customFormat="false" ht="15" hidden="false" customHeight="false" outlineLevel="0" collapsed="false">
      <c r="A302" s="12" t="n">
        <v>298</v>
      </c>
      <c r="B302" s="10" t="s">
        <v>1036</v>
      </c>
      <c r="C302" s="10" t="s">
        <v>440</v>
      </c>
      <c r="D302" s="11" t="n">
        <v>0.0104372685185185</v>
      </c>
      <c r="E302" s="18" t="n">
        <f aca="false">ROUND((D302-$D$5)*86400,2)</f>
        <v>112.04</v>
      </c>
      <c r="F302" s="12" t="n">
        <v>695</v>
      </c>
      <c r="G302" s="11" t="str">
        <f aca="false">IF(INDEX(選手一覧!$F$7:$F$2738,$F302)="","",INDEX(選手一覧!$F$7:$F$2738,$F302))</f>
        <v/>
      </c>
      <c r="H302" s="12" t="str">
        <f aca="false">IF(INDEX(選手一覧!$G$7:$G$2738,$F302)="","",INDEX(選手一覧!$G$7:$G$2738,$F302))</f>
        <v/>
      </c>
      <c r="I302" s="11" t="n">
        <f aca="false">IF(INDEX(選手一覧!$H$7:$H$2738,$F302)="","",INDEX(選手一覧!$H$7:$H$2738,$F302))</f>
        <v>0.00284768518518519</v>
      </c>
      <c r="J302" s="12" t="n">
        <f aca="false">IF(INDEX(選手一覧!$I$7:$I$2738,$F302)="","",INDEX(選手一覧!$I$7:$I$2738,$F302))</f>
        <v>555</v>
      </c>
    </row>
    <row r="303" customFormat="false" ht="15" hidden="false" customHeight="false" outlineLevel="0" collapsed="false">
      <c r="A303" s="12" t="n">
        <v>299</v>
      </c>
      <c r="B303" s="10" t="s">
        <v>651</v>
      </c>
      <c r="C303" s="10" t="s">
        <v>652</v>
      </c>
      <c r="D303" s="11" t="n">
        <v>0.010437962962963</v>
      </c>
      <c r="E303" s="18" t="n">
        <f aca="false">ROUND((D303-$D$5)*86400,2)</f>
        <v>112.1</v>
      </c>
      <c r="F303" s="12" t="n">
        <v>415</v>
      </c>
      <c r="G303" s="11" t="str">
        <f aca="false">IF(INDEX(選手一覧!$F$7:$F$2738,$F303)="","",INDEX(選手一覧!$F$7:$F$2738,$F303))</f>
        <v/>
      </c>
      <c r="H303" s="12" t="str">
        <f aca="false">IF(INDEX(選手一覧!$G$7:$G$2738,$F303)="","",INDEX(選手一覧!$G$7:$G$2738,$F303))</f>
        <v/>
      </c>
      <c r="I303" s="11" t="n">
        <f aca="false">IF(INDEX(選手一覧!$H$7:$H$2738,$F303)="","",INDEX(選手一覧!$H$7:$H$2738,$F303))</f>
        <v>0.0027755787037037</v>
      </c>
      <c r="J303" s="12" t="n">
        <f aca="false">IF(INDEX(選手一覧!$I$7:$I$2738,$F303)="","",INDEX(選手一覧!$I$7:$I$2738,$F303))</f>
        <v>176</v>
      </c>
    </row>
    <row r="304" customFormat="false" ht="15" hidden="false" customHeight="false" outlineLevel="0" collapsed="false">
      <c r="A304" s="12" t="n">
        <v>300</v>
      </c>
      <c r="B304" s="10" t="s">
        <v>1044</v>
      </c>
      <c r="C304" s="10" t="s">
        <v>254</v>
      </c>
      <c r="D304" s="11" t="n">
        <v>0.0104451388888889</v>
      </c>
      <c r="E304" s="18" t="n">
        <f aca="false">ROUND((D304-$D$5)*86400,2)</f>
        <v>112.72</v>
      </c>
      <c r="F304" s="12" t="n">
        <v>699</v>
      </c>
      <c r="G304" s="11" t="str">
        <f aca="false">IF(INDEX(選手一覧!$F$7:$F$2738,$F304)="","",INDEX(選手一覧!$F$7:$F$2738,$F304))</f>
        <v/>
      </c>
      <c r="H304" s="12" t="str">
        <f aca="false">IF(INDEX(選手一覧!$G$7:$G$2738,$F304)="","",INDEX(選手一覧!$G$7:$G$2738,$F304))</f>
        <v/>
      </c>
      <c r="I304" s="11" t="n">
        <f aca="false">IF(INDEX(選手一覧!$H$7:$H$2738,$F304)="","",INDEX(選手一覧!$H$7:$H$2738,$F304))</f>
        <v>0.00283518518518519</v>
      </c>
      <c r="J304" s="12" t="n">
        <f aca="false">IF(INDEX(選手一覧!$I$7:$I$2738,$F304)="","",INDEX(選手一覧!$I$7:$I$2738,$F304))</f>
        <v>462</v>
      </c>
    </row>
    <row r="305" customFormat="false" ht="15" hidden="false" customHeight="false" outlineLevel="0" collapsed="false">
      <c r="A305" s="12" t="n">
        <v>301</v>
      </c>
      <c r="B305" s="10" t="s">
        <v>268</v>
      </c>
      <c r="C305" s="10" t="s">
        <v>122</v>
      </c>
      <c r="D305" s="11" t="n">
        <v>0.0104480324074074</v>
      </c>
      <c r="E305" s="18" t="n">
        <f aca="false">ROUND((D305-$D$5)*86400,2)</f>
        <v>112.97</v>
      </c>
      <c r="F305" s="12" t="n">
        <v>147</v>
      </c>
      <c r="G305" s="11" t="n">
        <f aca="false">IF(INDEX(選手一覧!$F$7:$F$2738,$F305)="","",INDEX(選手一覧!$F$7:$F$2738,$F305))</f>
        <v>0.00657083333333333</v>
      </c>
      <c r="H305" s="12" t="n">
        <f aca="false">IF(INDEX(選手一覧!$G$7:$G$2738,$F305)="","",INDEX(選手一覧!$G$7:$G$2738,$F305))</f>
        <v>59</v>
      </c>
      <c r="I305" s="11" t="n">
        <f aca="false">IF(INDEX(選手一覧!$H$7:$H$2738,$F305)="","",INDEX(選手一覧!$H$7:$H$2738,$F305))</f>
        <v>0.00284861111111111</v>
      </c>
      <c r="J305" s="12" t="n">
        <f aca="false">IF(INDEX(選手一覧!$I$7:$I$2738,$F305)="","",INDEX(選手一覧!$I$7:$I$2738,$F305))</f>
        <v>559</v>
      </c>
    </row>
    <row r="306" customFormat="false" ht="15" hidden="false" customHeight="false" outlineLevel="0" collapsed="false">
      <c r="A306" s="12" t="n">
        <v>302</v>
      </c>
      <c r="B306" s="10" t="s">
        <v>1049</v>
      </c>
      <c r="C306" s="10" t="s">
        <v>437</v>
      </c>
      <c r="D306" s="11" t="n">
        <v>0.0104483796296296</v>
      </c>
      <c r="E306" s="18" t="n">
        <f aca="false">ROUND((D306-$D$5)*86400,2)</f>
        <v>113</v>
      </c>
      <c r="F306" s="12" t="n">
        <v>703</v>
      </c>
      <c r="G306" s="11" t="n">
        <f aca="false">IF(INDEX(選手一覧!$F$7:$F$2738,$F306)="","",INDEX(選手一覧!$F$7:$F$2738,$F306))</f>
        <v>0.00723009259259259</v>
      </c>
      <c r="H306" s="12" t="n">
        <f aca="false">IF(INDEX(選手一覧!$G$7:$G$2738,$F306)="","",INDEX(選手一覧!$G$7:$G$2738,$F306))</f>
        <v>574</v>
      </c>
      <c r="I306" s="11" t="n">
        <f aca="false">IF(INDEX(選手一覧!$H$7:$H$2738,$F306)="","",INDEX(選手一覧!$H$7:$H$2738,$F306))</f>
        <v>0.00286956018518519</v>
      </c>
      <c r="J306" s="12" t="n">
        <f aca="false">IF(INDEX(選手一覧!$I$7:$I$2738,$F306)="","",INDEX(選手一覧!$I$7:$I$2738,$F306))</f>
        <v>691</v>
      </c>
    </row>
    <row r="307" customFormat="false" ht="15" hidden="false" customHeight="false" outlineLevel="0" collapsed="false">
      <c r="A307" s="12" t="n">
        <v>303</v>
      </c>
      <c r="B307" s="10" t="s">
        <v>1053</v>
      </c>
      <c r="C307" s="10" t="s">
        <v>484</v>
      </c>
      <c r="D307" s="11" t="n">
        <v>0.0104486111111111</v>
      </c>
      <c r="E307" s="18" t="n">
        <f aca="false">ROUND((D307-$D$5)*86400,2)</f>
        <v>113.02</v>
      </c>
      <c r="F307" s="12" t="n">
        <v>706</v>
      </c>
      <c r="G307" s="11" t="n">
        <f aca="false">IF(INDEX(選手一覧!$F$7:$F$2738,$F307)="","",INDEX(選手一覧!$F$7:$F$2738,$F307))</f>
        <v>0.00772731481481481</v>
      </c>
      <c r="H307" s="12" t="n">
        <f aca="false">IF(INDEX(選手一覧!$G$7:$G$2738,$F307)="","",INDEX(選手一覧!$G$7:$G$2738,$F307))</f>
        <v>1094</v>
      </c>
      <c r="I307" s="11" t="n">
        <f aca="false">IF(INDEX(選手一覧!$H$7:$H$2738,$F307)="","",INDEX(選手一覧!$H$7:$H$2738,$F307))</f>
        <v>0.00287083333333333</v>
      </c>
      <c r="J307" s="12" t="n">
        <f aca="false">IF(INDEX(選手一覧!$I$7:$I$2738,$F307)="","",INDEX(選手一覧!$I$7:$I$2738,$F307))</f>
        <v>703</v>
      </c>
    </row>
    <row r="308" customFormat="false" ht="15" hidden="false" customHeight="false" outlineLevel="0" collapsed="false">
      <c r="A308" s="12" t="n">
        <v>304</v>
      </c>
      <c r="B308" s="10" t="s">
        <v>243</v>
      </c>
      <c r="C308" s="10" t="s">
        <v>244</v>
      </c>
      <c r="D308" s="11" t="n">
        <v>0.0104509259259259</v>
      </c>
      <c r="E308" s="18" t="n">
        <f aca="false">ROUND((D308-$D$5)*86400,2)</f>
        <v>113.22</v>
      </c>
      <c r="F308" s="12" t="n">
        <v>131</v>
      </c>
      <c r="G308" s="11" t="str">
        <f aca="false">IF(INDEX(選手一覧!$F$7:$F$2738,$F308)="","",INDEX(選手一覧!$F$7:$F$2738,$F308))</f>
        <v/>
      </c>
      <c r="H308" s="12" t="str">
        <f aca="false">IF(INDEX(選手一覧!$G$7:$G$2738,$F308)="","",INDEX(選手一覧!$G$7:$G$2738,$F308))</f>
        <v/>
      </c>
      <c r="I308" s="11" t="n">
        <f aca="false">IF(INDEX(選手一覧!$H$7:$H$2738,$F308)="","",INDEX(選手一覧!$H$7:$H$2738,$F308))</f>
        <v>0.00272256944444444</v>
      </c>
      <c r="J308" s="12" t="n">
        <f aca="false">IF(INDEX(選手一覧!$I$7:$I$2738,$F308)="","",INDEX(選手一覧!$I$7:$I$2738,$F308))</f>
        <v>52</v>
      </c>
    </row>
    <row r="309" customFormat="false" ht="15" hidden="false" customHeight="false" outlineLevel="0" collapsed="false">
      <c r="A309" s="12" t="n">
        <v>305</v>
      </c>
      <c r="B309" s="10" t="s">
        <v>1000</v>
      </c>
      <c r="C309" s="10" t="s">
        <v>206</v>
      </c>
      <c r="D309" s="11" t="n">
        <v>0.0104532407407407</v>
      </c>
      <c r="E309" s="18" t="n">
        <f aca="false">ROUND((D309-$D$5)*86400,2)</f>
        <v>113.42</v>
      </c>
      <c r="F309" s="12" t="n">
        <v>667</v>
      </c>
      <c r="G309" s="11" t="str">
        <f aca="false">IF(INDEX(選手一覧!$F$7:$F$2738,$F309)="","",INDEX(選手一覧!$F$7:$F$2738,$F309))</f>
        <v/>
      </c>
      <c r="H309" s="12" t="str">
        <f aca="false">IF(INDEX(選手一覧!$G$7:$G$2738,$F309)="","",INDEX(選手一覧!$G$7:$G$2738,$F309))</f>
        <v/>
      </c>
      <c r="I309" s="11" t="n">
        <f aca="false">IF(INDEX(選手一覧!$H$7:$H$2738,$F309)="","",INDEX(選手一覧!$H$7:$H$2738,$F309))</f>
        <v>0.00279988425925926</v>
      </c>
      <c r="J309" s="12" t="n">
        <f aca="false">IF(INDEX(選手一覧!$I$7:$I$2738,$F309)="","",INDEX(選手一覧!$I$7:$I$2738,$F309))</f>
        <v>284</v>
      </c>
    </row>
    <row r="310" customFormat="false" ht="15" hidden="false" customHeight="false" outlineLevel="0" collapsed="false">
      <c r="A310" s="12" t="n">
        <v>306</v>
      </c>
      <c r="B310" s="10" t="s">
        <v>1061</v>
      </c>
      <c r="C310" s="10" t="s">
        <v>1062</v>
      </c>
      <c r="D310" s="11" t="n">
        <v>0.0104540509259259</v>
      </c>
      <c r="E310" s="18" t="n">
        <f aca="false">ROUND((D310-$D$5)*86400,2)</f>
        <v>113.49</v>
      </c>
      <c r="F310" s="12" t="n">
        <v>712</v>
      </c>
      <c r="G310" s="11" t="str">
        <f aca="false">IF(INDEX(選手一覧!$F$7:$F$2738,$F310)="","",INDEX(選手一覧!$F$7:$F$2738,$F310))</f>
        <v/>
      </c>
      <c r="H310" s="12" t="str">
        <f aca="false">IF(INDEX(選手一覧!$G$7:$G$2738,$F310)="","",INDEX(選手一覧!$G$7:$G$2738,$F310))</f>
        <v/>
      </c>
      <c r="I310" s="11" t="n">
        <f aca="false">IF(INDEX(選手一覧!$H$7:$H$2738,$F310)="","",INDEX(選手一覧!$H$7:$H$2738,$F310))</f>
        <v>0.002840625</v>
      </c>
      <c r="J310" s="12" t="n">
        <f aca="false">IF(INDEX(選手一覧!$I$7:$I$2738,$F310)="","",INDEX(選手一覧!$I$7:$I$2738,$F310))</f>
        <v>501</v>
      </c>
    </row>
    <row r="311" customFormat="false" ht="15" hidden="false" customHeight="false" outlineLevel="0" collapsed="false">
      <c r="A311" s="12" t="n">
        <v>307</v>
      </c>
      <c r="B311" s="10" t="s">
        <v>1064</v>
      </c>
      <c r="C311" s="10" t="s">
        <v>1065</v>
      </c>
      <c r="D311" s="11" t="n">
        <v>0.0104564814814815</v>
      </c>
      <c r="E311" s="18" t="n">
        <f aca="false">ROUND((D311-$D$5)*86400,2)</f>
        <v>113.7</v>
      </c>
      <c r="F311" s="12" t="n">
        <v>714</v>
      </c>
      <c r="G311" s="11" t="str">
        <f aca="false">IF(INDEX(選手一覧!$F$7:$F$2738,$F311)="","",INDEX(選手一覧!$F$7:$F$2738,$F311))</f>
        <v/>
      </c>
      <c r="H311" s="12" t="str">
        <f aca="false">IF(INDEX(選手一覧!$G$7:$G$2738,$F311)="","",INDEX(選手一覧!$G$7:$G$2738,$F311))</f>
        <v/>
      </c>
      <c r="I311" s="11" t="n">
        <f aca="false">IF(INDEX(選手一覧!$H$7:$H$2738,$F311)="","",INDEX(選手一覧!$H$7:$H$2738,$F311))</f>
        <v>0.00282835648148148</v>
      </c>
      <c r="J311" s="12" t="n">
        <f aca="false">IF(INDEX(選手一覧!$I$7:$I$2738,$F311)="","",INDEX(選手一覧!$I$7:$I$2738,$F311))</f>
        <v>414</v>
      </c>
    </row>
    <row r="312" customFormat="false" ht="15" hidden="false" customHeight="false" outlineLevel="0" collapsed="false">
      <c r="A312" s="12" t="n">
        <v>308</v>
      </c>
      <c r="B312" s="10" t="s">
        <v>390</v>
      </c>
      <c r="C312" s="10" t="s">
        <v>391</v>
      </c>
      <c r="D312" s="11" t="n">
        <v>0.0104578703703704</v>
      </c>
      <c r="E312" s="18" t="n">
        <f aca="false">ROUND((D312-$D$5)*86400,2)</f>
        <v>113.82</v>
      </c>
      <c r="F312" s="12" t="n">
        <v>234</v>
      </c>
      <c r="G312" s="11" t="str">
        <f aca="false">IF(INDEX(選手一覧!$F$7:$F$2738,$F312)="","",INDEX(選手一覧!$F$7:$F$2738,$F312))</f>
        <v/>
      </c>
      <c r="H312" s="12" t="str">
        <f aca="false">IF(INDEX(選手一覧!$G$7:$G$2738,$F312)="","",INDEX(選手一覧!$G$7:$G$2738,$F312))</f>
        <v/>
      </c>
      <c r="I312" s="11" t="n">
        <f aca="false">IF(INDEX(選手一覧!$H$7:$H$2738,$F312)="","",INDEX(選手一覧!$H$7:$H$2738,$F312))</f>
        <v>0.00274791666666667</v>
      </c>
      <c r="J312" s="12" t="n">
        <f aca="false">IF(INDEX(選手一覧!$I$7:$I$2738,$F312)="","",INDEX(選手一覧!$I$7:$I$2738,$F312))</f>
        <v>96</v>
      </c>
    </row>
    <row r="313" customFormat="false" ht="15" hidden="false" customHeight="false" outlineLevel="0" collapsed="false">
      <c r="A313" s="12" t="n">
        <v>309</v>
      </c>
      <c r="B313" s="10" t="s">
        <v>1071</v>
      </c>
      <c r="C313" s="10" t="s">
        <v>105</v>
      </c>
      <c r="D313" s="11" t="n">
        <v>0.0104579861111111</v>
      </c>
      <c r="E313" s="18" t="n">
        <f aca="false">ROUND((D313-$D$5)*86400,2)</f>
        <v>113.83</v>
      </c>
      <c r="F313" s="12" t="n">
        <v>718</v>
      </c>
      <c r="G313" s="11" t="str">
        <f aca="false">IF(INDEX(選手一覧!$F$7:$F$2738,$F313)="","",INDEX(選手一覧!$F$7:$F$2738,$F313))</f>
        <v/>
      </c>
      <c r="H313" s="12" t="str">
        <f aca="false">IF(INDEX(選手一覧!$G$7:$G$2738,$F313)="","",INDEX(選手一覧!$G$7:$G$2738,$F313))</f>
        <v/>
      </c>
      <c r="I313" s="11" t="str">
        <f aca="false">IF(INDEX(選手一覧!$H$7:$H$2738,$F313)="","",INDEX(選手一覧!$H$7:$H$2738,$F313))</f>
        <v/>
      </c>
      <c r="J313" s="12" t="str">
        <f aca="false">IF(INDEX(選手一覧!$I$7:$I$2738,$F313)="","",INDEX(選手一覧!$I$7:$I$2738,$F313))</f>
        <v/>
      </c>
    </row>
    <row r="314" customFormat="false" ht="15" hidden="false" customHeight="false" outlineLevel="0" collapsed="false">
      <c r="A314" s="12" t="n">
        <v>310</v>
      </c>
      <c r="B314" s="10" t="s">
        <v>1075</v>
      </c>
      <c r="C314" s="10" t="s">
        <v>95</v>
      </c>
      <c r="D314" s="11" t="n">
        <v>0.010459375</v>
      </c>
      <c r="E314" s="18" t="n">
        <f aca="false">ROUND((D314-$D$5)*86400,2)</f>
        <v>113.95</v>
      </c>
      <c r="F314" s="12" t="n">
        <v>721</v>
      </c>
      <c r="G314" s="11" t="str">
        <f aca="false">IF(INDEX(選手一覧!$F$7:$F$2738,$F314)="","",INDEX(選手一覧!$F$7:$F$2738,$F314))</f>
        <v/>
      </c>
      <c r="H314" s="12" t="str">
        <f aca="false">IF(INDEX(選手一覧!$G$7:$G$2738,$F314)="","",INDEX(選手一覧!$G$7:$G$2738,$F314))</f>
        <v/>
      </c>
      <c r="I314" s="11" t="str">
        <f aca="false">IF(INDEX(選手一覧!$H$7:$H$2738,$F314)="","",INDEX(選手一覧!$H$7:$H$2738,$F314))</f>
        <v/>
      </c>
      <c r="J314" s="12" t="str">
        <f aca="false">IF(INDEX(選手一覧!$I$7:$I$2738,$F314)="","",INDEX(選手一覧!$I$7:$I$2738,$F314))</f>
        <v/>
      </c>
    </row>
    <row r="315" customFormat="false" ht="15" hidden="false" customHeight="false" outlineLevel="0" collapsed="false">
      <c r="A315" s="12" t="n">
        <v>311</v>
      </c>
      <c r="B315" s="10" t="s">
        <v>1077</v>
      </c>
      <c r="C315" s="10" t="s">
        <v>124</v>
      </c>
      <c r="D315" s="11" t="n">
        <v>0.0104604166666667</v>
      </c>
      <c r="E315" s="18" t="n">
        <f aca="false">ROUND((D315-$D$5)*86400,2)</f>
        <v>114.04</v>
      </c>
      <c r="F315" s="12" t="n">
        <v>723</v>
      </c>
      <c r="G315" s="11" t="str">
        <f aca="false">IF(INDEX(選手一覧!$F$7:$F$2738,$F315)="","",INDEX(選手一覧!$F$7:$F$2738,$F315))</f>
        <v/>
      </c>
      <c r="H315" s="12" t="str">
        <f aca="false">IF(INDEX(選手一覧!$G$7:$G$2738,$F315)="","",INDEX(選手一覧!$G$7:$G$2738,$F315))</f>
        <v/>
      </c>
      <c r="I315" s="11" t="n">
        <f aca="false">IF(INDEX(選手一覧!$H$7:$H$2738,$F315)="","",INDEX(選手一覧!$H$7:$H$2738,$F315))</f>
        <v>0.00297962962962963</v>
      </c>
      <c r="J315" s="12" t="n">
        <f aca="false">IF(INDEX(選手一覧!$I$7:$I$2738,$F315)="","",INDEX(選手一覧!$I$7:$I$2738,$F315))</f>
        <v>1350</v>
      </c>
    </row>
    <row r="316" customFormat="false" ht="15" hidden="false" customHeight="false" outlineLevel="0" collapsed="false">
      <c r="A316" s="12" t="n">
        <v>312</v>
      </c>
      <c r="B316" s="10" t="s">
        <v>1081</v>
      </c>
      <c r="C316" s="10" t="s">
        <v>64</v>
      </c>
      <c r="D316" s="11" t="n">
        <v>0.0104619212962963</v>
      </c>
      <c r="E316" s="18" t="n">
        <f aca="false">ROUND((D316-$D$5)*86400,2)</f>
        <v>114.17</v>
      </c>
      <c r="F316" s="12" t="n">
        <v>726</v>
      </c>
      <c r="G316" s="11" t="str">
        <f aca="false">IF(INDEX(選手一覧!$F$7:$F$2738,$F316)="","",INDEX(選手一覧!$F$7:$F$2738,$F316))</f>
        <v/>
      </c>
      <c r="H316" s="12" t="str">
        <f aca="false">IF(INDEX(選手一覧!$G$7:$G$2738,$F316)="","",INDEX(選手一覧!$G$7:$G$2738,$F316))</f>
        <v/>
      </c>
      <c r="I316" s="11" t="n">
        <f aca="false">IF(INDEX(選手一覧!$H$7:$H$2738,$F316)="","",INDEX(選手一覧!$H$7:$H$2738,$F316))</f>
        <v>0.00289143518518519</v>
      </c>
      <c r="J316" s="12" t="n">
        <f aca="false">IF(INDEX(選手一覧!$I$7:$I$2738,$F316)="","",INDEX(選手一覧!$I$7:$I$2738,$F316))</f>
        <v>881</v>
      </c>
    </row>
    <row r="317" customFormat="false" ht="15" hidden="false" customHeight="false" outlineLevel="0" collapsed="false">
      <c r="A317" s="12" t="n">
        <v>313</v>
      </c>
      <c r="B317" s="10" t="s">
        <v>1083</v>
      </c>
      <c r="C317" s="10" t="s">
        <v>72</v>
      </c>
      <c r="D317" s="11" t="n">
        <v>0.010462962962963</v>
      </c>
      <c r="E317" s="18" t="n">
        <f aca="false">ROUND((D317-$D$5)*86400,2)</f>
        <v>114.26</v>
      </c>
      <c r="F317" s="12" t="n">
        <v>728</v>
      </c>
      <c r="G317" s="11" t="str">
        <f aca="false">IF(INDEX(選手一覧!$F$7:$F$2738,$F317)="","",INDEX(選手一覧!$F$7:$F$2738,$F317))</f>
        <v/>
      </c>
      <c r="H317" s="12" t="str">
        <f aca="false">IF(INDEX(選手一覧!$G$7:$G$2738,$F317)="","",INDEX(選手一覧!$G$7:$G$2738,$F317))</f>
        <v/>
      </c>
      <c r="I317" s="11" t="n">
        <f aca="false">IF(INDEX(選手一覧!$H$7:$H$2738,$F317)="","",INDEX(選手一覧!$H$7:$H$2738,$F317))</f>
        <v>0.00291898148148148</v>
      </c>
      <c r="J317" s="12" t="n">
        <f aca="false">IF(INDEX(選手一覧!$I$7:$I$2738,$F317)="","",INDEX(選手一覧!$I$7:$I$2738,$F317))</f>
        <v>1083</v>
      </c>
    </row>
    <row r="318" customFormat="false" ht="15" hidden="false" customHeight="false" outlineLevel="0" collapsed="false">
      <c r="A318" s="12" t="n">
        <v>314</v>
      </c>
      <c r="B318" s="10" t="s">
        <v>1086</v>
      </c>
      <c r="C318" s="10" t="s">
        <v>680</v>
      </c>
      <c r="D318" s="11" t="n">
        <v>0.0104634259259259</v>
      </c>
      <c r="E318" s="18" t="n">
        <f aca="false">ROUND((D318-$D$5)*86400,2)</f>
        <v>114.3</v>
      </c>
      <c r="F318" s="12" t="n">
        <v>731</v>
      </c>
      <c r="G318" s="11" t="str">
        <f aca="false">IF(INDEX(選手一覧!$F$7:$F$2738,$F318)="","",INDEX(選手一覧!$F$7:$F$2738,$F318))</f>
        <v/>
      </c>
      <c r="H318" s="12" t="str">
        <f aca="false">IF(INDEX(選手一覧!$G$7:$G$2738,$F318)="","",INDEX(選手一覧!$G$7:$G$2738,$F318))</f>
        <v/>
      </c>
      <c r="I318" s="11" t="str">
        <f aca="false">IF(INDEX(選手一覧!$H$7:$H$2738,$F318)="","",INDEX(選手一覧!$H$7:$H$2738,$F318))</f>
        <v/>
      </c>
      <c r="J318" s="12" t="str">
        <f aca="false">IF(INDEX(選手一覧!$I$7:$I$2738,$F318)="","",INDEX(選手一覧!$I$7:$I$2738,$F318))</f>
        <v/>
      </c>
    </row>
    <row r="319" customFormat="false" ht="15" hidden="false" customHeight="false" outlineLevel="0" collapsed="false">
      <c r="A319" s="12" t="n">
        <v>315</v>
      </c>
      <c r="B319" s="10" t="s">
        <v>344</v>
      </c>
      <c r="C319" s="10" t="s">
        <v>206</v>
      </c>
      <c r="D319" s="11" t="n">
        <v>0.010465162037037</v>
      </c>
      <c r="E319" s="18" t="n">
        <f aca="false">ROUND((D319-$D$5)*86400,2)</f>
        <v>114.45</v>
      </c>
      <c r="F319" s="12" t="n">
        <v>202</v>
      </c>
      <c r="G319" s="11" t="n">
        <f aca="false">IF(INDEX(選手一覧!$F$7:$F$2738,$F319)="","",INDEX(選手一覧!$F$7:$F$2738,$F319))</f>
        <v>0.00664930555555556</v>
      </c>
      <c r="H319" s="12" t="n">
        <f aca="false">IF(INDEX(選手一覧!$G$7:$G$2738,$F319)="","",INDEX(選手一覧!$G$7:$G$2738,$F319))</f>
        <v>82</v>
      </c>
      <c r="I319" s="11" t="n">
        <f aca="false">IF(INDEX(選手一覧!$H$7:$H$2738,$F319)="","",INDEX(選手一覧!$H$7:$H$2738,$F319))</f>
        <v>0.00282824074074074</v>
      </c>
      <c r="J319" s="12" t="n">
        <f aca="false">IF(INDEX(選手一覧!$I$7:$I$2738,$F319)="","",INDEX(選手一覧!$I$7:$I$2738,$F319))</f>
        <v>413</v>
      </c>
    </row>
    <row r="320" customFormat="false" ht="15" hidden="false" customHeight="false" outlineLevel="0" collapsed="false">
      <c r="A320" s="12" t="n">
        <v>316</v>
      </c>
      <c r="B320" s="10" t="s">
        <v>464</v>
      </c>
      <c r="C320" s="10" t="s">
        <v>465</v>
      </c>
      <c r="D320" s="11" t="n">
        <v>0.0104655092592593</v>
      </c>
      <c r="E320" s="18" t="n">
        <f aca="false">ROUND((D320-$D$5)*86400,2)</f>
        <v>114.48</v>
      </c>
      <c r="F320" s="12" t="n">
        <v>288</v>
      </c>
      <c r="G320" s="11" t="n">
        <f aca="false">IF(INDEX(選手一覧!$F$7:$F$2738,$F320)="","",INDEX(選手一覧!$F$7:$F$2738,$F320))</f>
        <v>0.00672824074074074</v>
      </c>
      <c r="H320" s="12" t="n">
        <f aca="false">IF(INDEX(選手一覧!$G$7:$G$2738,$F320)="","",INDEX(選手一覧!$G$7:$G$2738,$F320))</f>
        <v>119</v>
      </c>
      <c r="I320" s="11" t="n">
        <f aca="false">IF(INDEX(選手一覧!$H$7:$H$2738,$F320)="","",INDEX(選手一覧!$H$7:$H$2738,$F320))</f>
        <v>0.00280833333333333</v>
      </c>
      <c r="J320" s="12" t="n">
        <f aca="false">IF(INDEX(選手一覧!$I$7:$I$2738,$F320)="","",INDEX(選手一覧!$I$7:$I$2738,$F320))</f>
        <v>318</v>
      </c>
    </row>
    <row r="321" customFormat="false" ht="15" hidden="false" customHeight="false" outlineLevel="0" collapsed="false">
      <c r="A321" s="12" t="n">
        <v>317</v>
      </c>
      <c r="B321" s="10" t="s">
        <v>1094</v>
      </c>
      <c r="C321" s="10" t="s">
        <v>181</v>
      </c>
      <c r="D321" s="11" t="n">
        <v>0.0104688657407407</v>
      </c>
      <c r="E321" s="18" t="n">
        <f aca="false">ROUND((D321-$D$5)*86400,2)</f>
        <v>114.77</v>
      </c>
      <c r="F321" s="12" t="n">
        <v>736</v>
      </c>
      <c r="G321" s="11" t="str">
        <f aca="false">IF(INDEX(選手一覧!$F$7:$F$2738,$F321)="","",INDEX(選手一覧!$F$7:$F$2738,$F321))</f>
        <v/>
      </c>
      <c r="H321" s="12" t="str">
        <f aca="false">IF(INDEX(選手一覧!$G$7:$G$2738,$F321)="","",INDEX(選手一覧!$G$7:$G$2738,$F321))</f>
        <v/>
      </c>
      <c r="I321" s="11" t="n">
        <f aca="false">IF(INDEX(選手一覧!$H$7:$H$2738,$F321)="","",INDEX(選手一覧!$H$7:$H$2738,$F321))</f>
        <v>0.00282638888888889</v>
      </c>
      <c r="J321" s="12" t="n">
        <f aca="false">IF(INDEX(選手一覧!$I$7:$I$2738,$F321)="","",INDEX(選手一覧!$I$7:$I$2738,$F321))</f>
        <v>401</v>
      </c>
    </row>
    <row r="322" customFormat="false" ht="15" hidden="false" customHeight="false" outlineLevel="0" collapsed="false">
      <c r="A322" s="12" t="n">
        <v>318</v>
      </c>
      <c r="B322" s="10" t="s">
        <v>262</v>
      </c>
      <c r="C322" s="10" t="s">
        <v>263</v>
      </c>
      <c r="D322" s="11" t="n">
        <v>0.0104730324074074</v>
      </c>
      <c r="E322" s="18" t="n">
        <f aca="false">ROUND((D322-$D$5)*86400,2)</f>
        <v>115.13</v>
      </c>
      <c r="F322" s="12" t="n">
        <v>143</v>
      </c>
      <c r="G322" s="11" t="n">
        <f aca="false">IF(INDEX(選手一覧!$F$7:$F$2738,$F322)="","",INDEX(選手一覧!$F$7:$F$2738,$F322))</f>
        <v>0.00656898148148148</v>
      </c>
      <c r="H322" s="12" t="n">
        <f aca="false">IF(INDEX(選手一覧!$G$7:$G$2738,$F322)="","",INDEX(選手一覧!$G$7:$G$2738,$F322))</f>
        <v>57</v>
      </c>
      <c r="I322" s="11" t="n">
        <f aca="false">IF(INDEX(選手一覧!$H$7:$H$2738,$F322)="","",INDEX(選手一覧!$H$7:$H$2738,$F322))</f>
        <v>0.00279351851851852</v>
      </c>
      <c r="J322" s="12" t="n">
        <f aca="false">IF(INDEX(選手一覧!$I$7:$I$2738,$F322)="","",INDEX(選手一覧!$I$7:$I$2738,$F322))</f>
        <v>251</v>
      </c>
    </row>
    <row r="323" customFormat="false" ht="15" hidden="false" customHeight="false" outlineLevel="0" collapsed="false">
      <c r="A323" s="12" t="n">
        <v>319</v>
      </c>
      <c r="B323" s="10" t="s">
        <v>412</v>
      </c>
      <c r="C323" s="10" t="s">
        <v>69</v>
      </c>
      <c r="D323" s="11" t="n">
        <v>0.0104733796296296</v>
      </c>
      <c r="E323" s="18" t="n">
        <f aca="false">ROUND((D323-$D$5)*86400,2)</f>
        <v>115.16</v>
      </c>
      <c r="F323" s="12" t="n">
        <v>249</v>
      </c>
      <c r="G323" s="11" t="str">
        <f aca="false">IF(INDEX(選手一覧!$F$7:$F$2738,$F323)="","",INDEX(選手一覧!$F$7:$F$2738,$F323))</f>
        <v/>
      </c>
      <c r="H323" s="12" t="str">
        <f aca="false">IF(INDEX(選手一覧!$G$7:$G$2738,$F323)="","",INDEX(選手一覧!$G$7:$G$2738,$F323))</f>
        <v/>
      </c>
      <c r="I323" s="11" t="n">
        <f aca="false">IF(INDEX(選手一覧!$H$7:$H$2738,$F323)="","",INDEX(選手一覧!$H$7:$H$2738,$F323))</f>
        <v>0.00274976851851852</v>
      </c>
      <c r="J323" s="12" t="n">
        <f aca="false">IF(INDEX(選手一覧!$I$7:$I$2738,$F323)="","",INDEX(選手一覧!$I$7:$I$2738,$F323))</f>
        <v>103</v>
      </c>
    </row>
    <row r="324" customFormat="false" ht="15" hidden="false" customHeight="false" outlineLevel="0" collapsed="false">
      <c r="A324" s="12" t="n">
        <v>320</v>
      </c>
      <c r="B324" s="10" t="s">
        <v>170</v>
      </c>
      <c r="C324" s="10" t="s">
        <v>171</v>
      </c>
      <c r="D324" s="11" t="n">
        <v>0.0104740740740741</v>
      </c>
      <c r="E324" s="18" t="n">
        <f aca="false">ROUND((D324-$D$5)*86400,2)</f>
        <v>115.22</v>
      </c>
      <c r="F324" s="12" t="n">
        <v>85</v>
      </c>
      <c r="G324" s="11" t="str">
        <f aca="false">IF(INDEX(選手一覧!$F$7:$F$2738,$F324)="","",INDEX(選手一覧!$F$7:$F$2738,$F324))</f>
        <v/>
      </c>
      <c r="H324" s="12" t="str">
        <f aca="false">IF(INDEX(選手一覧!$G$7:$G$2738,$F324)="","",INDEX(選手一覧!$G$7:$G$2738,$F324))</f>
        <v/>
      </c>
      <c r="I324" s="11" t="n">
        <f aca="false">IF(INDEX(選手一覧!$H$7:$H$2738,$F324)="","",INDEX(選手一覧!$H$7:$H$2738,$F324))</f>
        <v>0.00270844907407407</v>
      </c>
      <c r="J324" s="12" t="n">
        <f aca="false">IF(INDEX(選手一覧!$I$7:$I$2738,$F324)="","",INDEX(選手一覧!$I$7:$I$2738,$F324))</f>
        <v>33</v>
      </c>
    </row>
    <row r="325" customFormat="false" ht="15" hidden="false" customHeight="false" outlineLevel="0" collapsed="false">
      <c r="A325" s="12" t="n">
        <v>321</v>
      </c>
      <c r="B325" s="10" t="s">
        <v>113</v>
      </c>
      <c r="C325" s="10" t="s">
        <v>114</v>
      </c>
      <c r="D325" s="11" t="n">
        <v>0.0104758101851852</v>
      </c>
      <c r="E325" s="18" t="n">
        <f aca="false">ROUND((D325-$D$5)*86400,2)</f>
        <v>115.37</v>
      </c>
      <c r="F325" s="12" t="n">
        <v>52</v>
      </c>
      <c r="G325" s="11" t="n">
        <f aca="false">IF(INDEX(選手一覧!$F$7:$F$2738,$F325)="","",INDEX(選手一覧!$F$7:$F$2738,$F325))</f>
        <v>0.0064306712962963</v>
      </c>
      <c r="H325" s="12" t="n">
        <f aca="false">IF(INDEX(選手一覧!$G$7:$G$2738,$F325)="","",INDEX(選手一覧!$G$7:$G$2738,$F325))</f>
        <v>21</v>
      </c>
      <c r="I325" s="11" t="n">
        <f aca="false">IF(INDEX(選手一覧!$H$7:$H$2738,$F325)="","",INDEX(選手一覧!$H$7:$H$2738,$F325))</f>
        <v>0.00282106481481482</v>
      </c>
      <c r="J325" s="12" t="n">
        <f aca="false">IF(INDEX(選手一覧!$I$7:$I$2738,$F325)="","",INDEX(選手一覧!$I$7:$I$2738,$F325))</f>
        <v>369</v>
      </c>
    </row>
    <row r="326" customFormat="false" ht="15" hidden="false" customHeight="false" outlineLevel="0" collapsed="false">
      <c r="A326" s="12" t="n">
        <v>322</v>
      </c>
      <c r="B326" s="10" t="s">
        <v>1104</v>
      </c>
      <c r="C326" s="10" t="s">
        <v>460</v>
      </c>
      <c r="D326" s="11" t="n">
        <v>0.0104766203703704</v>
      </c>
      <c r="E326" s="18" t="n">
        <f aca="false">ROUND((D326-$D$5)*86400,2)</f>
        <v>115.44</v>
      </c>
      <c r="F326" s="12" t="n">
        <v>744</v>
      </c>
      <c r="G326" s="11" t="str">
        <f aca="false">IF(INDEX(選手一覧!$F$7:$F$2738,$F326)="","",INDEX(選手一覧!$F$7:$F$2738,$F326))</f>
        <v/>
      </c>
      <c r="H326" s="12" t="str">
        <f aca="false">IF(INDEX(選手一覧!$G$7:$G$2738,$F326)="","",INDEX(選手一覧!$G$7:$G$2738,$F326))</f>
        <v/>
      </c>
      <c r="I326" s="11" t="n">
        <f aca="false">IF(INDEX(選手一覧!$H$7:$H$2738,$F326)="","",INDEX(選手一覧!$H$7:$H$2738,$F326))</f>
        <v>0.00297835648148148</v>
      </c>
      <c r="J326" s="12" t="n">
        <f aca="false">IF(INDEX(選手一覧!$I$7:$I$2738,$F326)="","",INDEX(選手一覧!$I$7:$I$2738,$F326))</f>
        <v>1346</v>
      </c>
    </row>
    <row r="327" customFormat="false" ht="15" hidden="false" customHeight="false" outlineLevel="0" collapsed="false">
      <c r="A327" s="12" t="n">
        <v>323</v>
      </c>
      <c r="B327" s="10" t="s">
        <v>200</v>
      </c>
      <c r="C327" s="10" t="s">
        <v>201</v>
      </c>
      <c r="D327" s="11" t="n">
        <v>0.0104782407407407</v>
      </c>
      <c r="E327" s="18" t="n">
        <f aca="false">ROUND((D327-$D$5)*86400,2)</f>
        <v>115.58</v>
      </c>
      <c r="F327" s="12" t="n">
        <v>103</v>
      </c>
      <c r="G327" s="11" t="n">
        <f aca="false">IF(INDEX(選手一覧!$F$7:$F$2738,$F327)="","",INDEX(選手一覧!$F$7:$F$2738,$F327))</f>
        <v>0.00652893518518519</v>
      </c>
      <c r="H327" s="12" t="n">
        <f aca="false">IF(INDEX(選手一覧!$G$7:$G$2738,$F327)="","",INDEX(選手一覧!$G$7:$G$2738,$F327))</f>
        <v>40</v>
      </c>
      <c r="I327" s="11" t="str">
        <f aca="false">IF(INDEX(選手一覧!$H$7:$H$2738,$F327)="","",INDEX(選手一覧!$H$7:$H$2738,$F327))</f>
        <v/>
      </c>
      <c r="J327" s="12" t="str">
        <f aca="false">IF(INDEX(選手一覧!$I$7:$I$2738,$F327)="","",INDEX(選手一覧!$I$7:$I$2738,$F327))</f>
        <v/>
      </c>
    </row>
    <row r="328" customFormat="false" ht="15" hidden="false" customHeight="false" outlineLevel="0" collapsed="false">
      <c r="A328" s="12" t="n">
        <v>324</v>
      </c>
      <c r="B328" s="10" t="s">
        <v>1057</v>
      </c>
      <c r="C328" s="10" t="s">
        <v>95</v>
      </c>
      <c r="D328" s="11" t="n">
        <v>0.0104804398148148</v>
      </c>
      <c r="E328" s="18" t="n">
        <f aca="false">ROUND((D328-$D$5)*86400,2)</f>
        <v>115.77</v>
      </c>
      <c r="F328" s="12" t="n">
        <v>709</v>
      </c>
      <c r="G328" s="11" t="str">
        <f aca="false">IF(INDEX(選手一覧!$F$7:$F$2738,$F328)="","",INDEX(選手一覧!$F$7:$F$2738,$F328))</f>
        <v/>
      </c>
      <c r="H328" s="12" t="str">
        <f aca="false">IF(INDEX(選手一覧!$G$7:$G$2738,$F328)="","",INDEX(選手一覧!$G$7:$G$2738,$F328))</f>
        <v/>
      </c>
      <c r="I328" s="11" t="n">
        <f aca="false">IF(INDEX(選手一覧!$H$7:$H$2738,$F328)="","",INDEX(選手一覧!$H$7:$H$2738,$F328))</f>
        <v>0.00280532407407407</v>
      </c>
      <c r="J328" s="12" t="n">
        <f aca="false">IF(INDEX(選手一覧!$I$7:$I$2738,$F328)="","",INDEX(選手一覧!$I$7:$I$2738,$F328))</f>
        <v>304</v>
      </c>
    </row>
    <row r="329" customFormat="false" ht="15" hidden="false" customHeight="false" outlineLevel="0" collapsed="false">
      <c r="A329" s="12" t="n">
        <v>325</v>
      </c>
      <c r="B329" s="10" t="s">
        <v>1111</v>
      </c>
      <c r="C329" s="10" t="s">
        <v>25</v>
      </c>
      <c r="D329" s="11" t="n">
        <v>0.01048125</v>
      </c>
      <c r="E329" s="18" t="n">
        <f aca="false">ROUND((D329-$D$5)*86400,2)</f>
        <v>115.84</v>
      </c>
      <c r="F329" s="12" t="n">
        <v>749</v>
      </c>
      <c r="G329" s="11" t="str">
        <f aca="false">IF(INDEX(選手一覧!$F$7:$F$2738,$F329)="","",INDEX(選手一覧!$F$7:$F$2738,$F329))</f>
        <v/>
      </c>
      <c r="H329" s="12" t="str">
        <f aca="false">IF(INDEX(選手一覧!$G$7:$G$2738,$F329)="","",INDEX(選手一覧!$G$7:$G$2738,$F329))</f>
        <v/>
      </c>
      <c r="I329" s="11" t="n">
        <f aca="false">IF(INDEX(選手一覧!$H$7:$H$2738,$F329)="","",INDEX(選手一覧!$H$7:$H$2738,$F329))</f>
        <v>0.00284537037037037</v>
      </c>
      <c r="J329" s="12" t="n">
        <f aca="false">IF(INDEX(選手一覧!$I$7:$I$2738,$F329)="","",INDEX(選手一覧!$I$7:$I$2738,$F329))</f>
        <v>539</v>
      </c>
    </row>
    <row r="330" customFormat="false" ht="15" hidden="false" customHeight="false" outlineLevel="0" collapsed="false">
      <c r="A330" s="12" t="n">
        <v>326</v>
      </c>
      <c r="B330" s="10" t="s">
        <v>88</v>
      </c>
      <c r="C330" s="10" t="s">
        <v>49</v>
      </c>
      <c r="D330" s="11" t="n">
        <v>0.0104841435185185</v>
      </c>
      <c r="E330" s="18" t="n">
        <f aca="false">ROUND((D330-$D$5)*86400,2)</f>
        <v>116.09</v>
      </c>
      <c r="F330" s="12" t="n">
        <v>37</v>
      </c>
      <c r="G330" s="11" t="n">
        <f aca="false">IF(INDEX(選手一覧!$F$7:$F$2738,$F330)="","",INDEX(選手一覧!$F$7:$F$2738,$F330))</f>
        <v>0.00640497685185185</v>
      </c>
      <c r="H330" s="12" t="n">
        <f aca="false">IF(INDEX(選手一覧!$G$7:$G$2738,$F330)="","",INDEX(選手一覧!$G$7:$G$2738,$F330))</f>
        <v>15</v>
      </c>
      <c r="I330" s="11" t="str">
        <f aca="false">IF(INDEX(選手一覧!$H$7:$H$2738,$F330)="","",INDEX(選手一覧!$H$7:$H$2738,$F330))</f>
        <v/>
      </c>
      <c r="J330" s="12" t="str">
        <f aca="false">IF(INDEX(選手一覧!$I$7:$I$2738,$F330)="","",INDEX(選手一覧!$I$7:$I$2738,$F330))</f>
        <v/>
      </c>
    </row>
    <row r="331" customFormat="false" ht="15" hidden="false" customHeight="false" outlineLevel="0" collapsed="false">
      <c r="A331" s="12" t="n">
        <v>327</v>
      </c>
      <c r="B331" s="10" t="s">
        <v>976</v>
      </c>
      <c r="C331" s="10" t="s">
        <v>206</v>
      </c>
      <c r="D331" s="11" t="n">
        <v>0.0104842592592593</v>
      </c>
      <c r="E331" s="18" t="n">
        <f aca="false">ROUND((D331-$D$5)*86400,2)</f>
        <v>116.1</v>
      </c>
      <c r="F331" s="12" t="n">
        <v>651</v>
      </c>
      <c r="G331" s="11" t="str">
        <f aca="false">IF(INDEX(選手一覧!$F$7:$F$2738,$F331)="","",INDEX(選手一覧!$F$7:$F$2738,$F331))</f>
        <v/>
      </c>
      <c r="H331" s="12" t="str">
        <f aca="false">IF(INDEX(選手一覧!$G$7:$G$2738,$F331)="","",INDEX(選手一覧!$G$7:$G$2738,$F331))</f>
        <v/>
      </c>
      <c r="I331" s="11" t="n">
        <f aca="false">IF(INDEX(選手一覧!$H$7:$H$2738,$F331)="","",INDEX(選手一覧!$H$7:$H$2738,$F331))</f>
        <v>0.00279872685185185</v>
      </c>
      <c r="J331" s="12" t="n">
        <f aca="false">IF(INDEX(選手一覧!$I$7:$I$2738,$F331)="","",INDEX(選手一覧!$I$7:$I$2738,$F331))</f>
        <v>276</v>
      </c>
    </row>
    <row r="332" customFormat="false" ht="15" hidden="false" customHeight="false" outlineLevel="0" collapsed="false">
      <c r="A332" s="12" t="n">
        <v>328</v>
      </c>
      <c r="B332" s="10" t="s">
        <v>172</v>
      </c>
      <c r="C332" s="10" t="s">
        <v>173</v>
      </c>
      <c r="D332" s="11" t="n">
        <v>0.0104847222222222</v>
      </c>
      <c r="E332" s="18" t="n">
        <f aca="false">ROUND((D332-$D$5)*86400,2)</f>
        <v>116.14</v>
      </c>
      <c r="F332" s="12" t="n">
        <v>86</v>
      </c>
      <c r="G332" s="11" t="n">
        <f aca="false">IF(INDEX(選手一覧!$F$7:$F$2738,$F332)="","",INDEX(選手一覧!$F$7:$F$2738,$F332))</f>
        <v>0.00649502314814815</v>
      </c>
      <c r="H332" s="12" t="n">
        <f aca="false">IF(INDEX(選手一覧!$G$7:$G$2738,$F332)="","",INDEX(選手一覧!$G$7:$G$2738,$F332))</f>
        <v>34</v>
      </c>
      <c r="I332" s="11" t="n">
        <f aca="false">IF(INDEX(選手一覧!$H$7:$H$2738,$F332)="","",INDEX(選手一覧!$H$7:$H$2738,$F332))</f>
        <v>0.00281458333333333</v>
      </c>
      <c r="J332" s="12" t="n">
        <f aca="false">IF(INDEX(選手一覧!$I$7:$I$2738,$F332)="","",INDEX(選手一覧!$I$7:$I$2738,$F332))</f>
        <v>342</v>
      </c>
    </row>
    <row r="333" customFormat="false" ht="15" hidden="false" customHeight="false" outlineLevel="0" collapsed="false">
      <c r="A333" s="12" t="n">
        <v>329</v>
      </c>
      <c r="B333" s="10" t="s">
        <v>1123</v>
      </c>
      <c r="C333" s="10" t="s">
        <v>171</v>
      </c>
      <c r="D333" s="11" t="n">
        <v>0.0104857638888889</v>
      </c>
      <c r="E333" s="18" t="n">
        <f aca="false">ROUND((D333-$D$5)*86400,2)</f>
        <v>116.23</v>
      </c>
      <c r="F333" s="12" t="n">
        <v>758</v>
      </c>
      <c r="G333" s="11" t="n">
        <f aca="false">IF(INDEX(選手一覧!$F$7:$F$2738,$F333)="","",INDEX(選手一覧!$F$7:$F$2738,$F333))</f>
        <v>0.00780393518518519</v>
      </c>
      <c r="H333" s="12" t="n">
        <f aca="false">IF(INDEX(選手一覧!$G$7:$G$2738,$F333)="","",INDEX(選手一覧!$G$7:$G$2738,$F333))</f>
        <v>1136</v>
      </c>
      <c r="I333" s="11" t="str">
        <f aca="false">IF(INDEX(選手一覧!$H$7:$H$2738,$F333)="","",INDEX(選手一覧!$H$7:$H$2738,$F333))</f>
        <v/>
      </c>
      <c r="J333" s="12" t="str">
        <f aca="false">IF(INDEX(選手一覧!$I$7:$I$2738,$F333)="","",INDEX(選手一覧!$I$7:$I$2738,$F333))</f>
        <v/>
      </c>
    </row>
    <row r="334" customFormat="false" ht="15" hidden="false" customHeight="false" outlineLevel="0" collapsed="false">
      <c r="A334" s="12" t="n">
        <v>330</v>
      </c>
      <c r="B334" s="10" t="s">
        <v>1128</v>
      </c>
      <c r="C334" s="10" t="s">
        <v>242</v>
      </c>
      <c r="D334" s="11" t="n">
        <v>0.0104890046296296</v>
      </c>
      <c r="E334" s="18" t="n">
        <f aca="false">ROUND((D334-$D$5)*86400,2)</f>
        <v>116.51</v>
      </c>
      <c r="F334" s="12" t="n">
        <v>761</v>
      </c>
      <c r="G334" s="11" t="str">
        <f aca="false">IF(INDEX(選手一覧!$F$7:$F$2738,$F334)="","",INDEX(選手一覧!$F$7:$F$2738,$F334))</f>
        <v/>
      </c>
      <c r="H334" s="12" t="str">
        <f aca="false">IF(INDEX(選手一覧!$G$7:$G$2738,$F334)="","",INDEX(選手一覧!$G$7:$G$2738,$F334))</f>
        <v/>
      </c>
      <c r="I334" s="11" t="n">
        <f aca="false">IF(INDEX(選手一覧!$H$7:$H$2738,$F334)="","",INDEX(選手一覧!$H$7:$H$2738,$F334))</f>
        <v>0.00284398148148148</v>
      </c>
      <c r="J334" s="12" t="n">
        <f aca="false">IF(INDEX(選手一覧!$I$7:$I$2738,$F334)="","",INDEX(選手一覧!$I$7:$I$2738,$F334))</f>
        <v>526</v>
      </c>
    </row>
    <row r="335" customFormat="false" ht="15" hidden="false" customHeight="false" outlineLevel="0" collapsed="false">
      <c r="A335" s="12" t="n">
        <v>331</v>
      </c>
      <c r="B335" s="10" t="s">
        <v>991</v>
      </c>
      <c r="C335" s="10" t="s">
        <v>992</v>
      </c>
      <c r="D335" s="11" t="n">
        <v>0.0104891203703704</v>
      </c>
      <c r="E335" s="18" t="n">
        <f aca="false">ROUND((D335-$D$5)*86400,2)</f>
        <v>116.52</v>
      </c>
      <c r="F335" s="12" t="n">
        <v>662</v>
      </c>
      <c r="G335" s="11" t="str">
        <f aca="false">IF(INDEX(選手一覧!$F$7:$F$2738,$F335)="","",INDEX(選手一覧!$F$7:$F$2738,$F335))</f>
        <v/>
      </c>
      <c r="H335" s="12" t="str">
        <f aca="false">IF(INDEX(選手一覧!$G$7:$G$2738,$F335)="","",INDEX(選手一覧!$G$7:$G$2738,$F335))</f>
        <v/>
      </c>
      <c r="I335" s="11" t="n">
        <f aca="false">IF(INDEX(選手一覧!$H$7:$H$2738,$F335)="","",INDEX(選手一覧!$H$7:$H$2738,$F335))</f>
        <v>0.00279965277777778</v>
      </c>
      <c r="J335" s="12" t="n">
        <f aca="false">IF(INDEX(選手一覧!$I$7:$I$2738,$F335)="","",INDEX(選手一覧!$I$7:$I$2738,$F335))</f>
        <v>282</v>
      </c>
    </row>
    <row r="336" customFormat="false" ht="15" hidden="false" customHeight="false" outlineLevel="0" collapsed="false">
      <c r="A336" s="12" t="n">
        <v>332</v>
      </c>
      <c r="B336" s="10" t="s">
        <v>1136</v>
      </c>
      <c r="C336" s="10" t="s">
        <v>1137</v>
      </c>
      <c r="D336" s="11" t="n">
        <v>0.0104902777777778</v>
      </c>
      <c r="E336" s="18" t="n">
        <f aca="false">ROUND((D336-$D$5)*86400,2)</f>
        <v>116.62</v>
      </c>
      <c r="F336" s="12" t="n">
        <v>767</v>
      </c>
      <c r="G336" s="11" t="str">
        <f aca="false">IF(INDEX(選手一覧!$F$7:$F$2738,$F336)="","",INDEX(選手一覧!$F$7:$F$2738,$F336))</f>
        <v/>
      </c>
      <c r="H336" s="12" t="str">
        <f aca="false">IF(INDEX(選手一覧!$G$7:$G$2738,$F336)="","",INDEX(選手一覧!$G$7:$G$2738,$F336))</f>
        <v/>
      </c>
      <c r="I336" s="11" t="str">
        <f aca="false">IF(INDEX(選手一覧!$H$7:$H$2738,$F336)="","",INDEX(選手一覧!$H$7:$H$2738,$F336))</f>
        <v/>
      </c>
      <c r="J336" s="12" t="str">
        <f aca="false">IF(INDEX(選手一覧!$I$7:$I$2738,$F336)="","",INDEX(選手一覧!$I$7:$I$2738,$F336))</f>
        <v/>
      </c>
    </row>
    <row r="337" customFormat="false" ht="15" hidden="false" customHeight="false" outlineLevel="0" collapsed="false">
      <c r="A337" s="12" t="n">
        <v>333</v>
      </c>
      <c r="B337" s="10" t="s">
        <v>436</v>
      </c>
      <c r="C337" s="10" t="s">
        <v>437</v>
      </c>
      <c r="D337" s="11" t="n">
        <v>0.0104903935185185</v>
      </c>
      <c r="E337" s="18" t="n">
        <f aca="false">ROUND((D337-$D$5)*86400,2)</f>
        <v>116.63</v>
      </c>
      <c r="F337" s="12" t="n">
        <v>268</v>
      </c>
      <c r="G337" s="11" t="n">
        <f aca="false">IF(INDEX(選手一覧!$F$7:$F$2738,$F337)="","",INDEX(選手一覧!$F$7:$F$2738,$F337))</f>
        <v>0.00670543981481482</v>
      </c>
      <c r="H337" s="12" t="n">
        <f aca="false">IF(INDEX(選手一覧!$G$7:$G$2738,$F337)="","",INDEX(選手一覧!$G$7:$G$2738,$F337))</f>
        <v>111</v>
      </c>
      <c r="I337" s="11" t="n">
        <f aca="false">IF(INDEX(選手一覧!$H$7:$H$2738,$F337)="","",INDEX(選手一覧!$H$7:$H$2738,$F337))</f>
        <v>0.00282905092592593</v>
      </c>
      <c r="J337" s="12" t="n">
        <f aca="false">IF(INDEX(選手一覧!$I$7:$I$2738,$F337)="","",INDEX(選手一覧!$I$7:$I$2738,$F337))</f>
        <v>419</v>
      </c>
    </row>
    <row r="338" customFormat="false" ht="15" hidden="false" customHeight="false" outlineLevel="0" collapsed="false">
      <c r="A338" s="12" t="n">
        <v>334</v>
      </c>
      <c r="B338" s="10" t="s">
        <v>886</v>
      </c>
      <c r="C338" s="10" t="s">
        <v>114</v>
      </c>
      <c r="D338" s="11" t="n">
        <v>0.0104907407407407</v>
      </c>
      <c r="E338" s="18" t="n">
        <f aca="false">ROUND((D338-$D$5)*86400,2)</f>
        <v>116.66</v>
      </c>
      <c r="F338" s="12" t="n">
        <v>582</v>
      </c>
      <c r="G338" s="11" t="n">
        <f aca="false">IF(INDEX(選手一覧!$F$7:$F$2738,$F338)="","",INDEX(選手一覧!$F$7:$F$2738,$F338))</f>
        <v>0.00690219907407407</v>
      </c>
      <c r="H338" s="12" t="n">
        <f aca="false">IF(INDEX(選手一覧!$G$7:$G$2738,$F338)="","",INDEX(選手一覧!$G$7:$G$2738,$F338))</f>
        <v>245</v>
      </c>
      <c r="I338" s="11" t="n">
        <f aca="false">IF(INDEX(選手一覧!$H$7:$H$2738,$F338)="","",INDEX(選手一覧!$H$7:$H$2738,$F338))</f>
        <v>0.00289733796296296</v>
      </c>
      <c r="J338" s="12" t="n">
        <f aca="false">IF(INDEX(選手一覧!$I$7:$I$2738,$F338)="","",INDEX(選手一覧!$I$7:$I$2738,$F338))</f>
        <v>928</v>
      </c>
    </row>
    <row r="339" customFormat="false" ht="15" hidden="false" customHeight="false" outlineLevel="0" collapsed="false">
      <c r="A339" s="12" t="n">
        <v>335</v>
      </c>
      <c r="B339" s="10" t="s">
        <v>1142</v>
      </c>
      <c r="C339" s="10" t="s">
        <v>555</v>
      </c>
      <c r="D339" s="11" t="n">
        <v>0.0104908564814815</v>
      </c>
      <c r="E339" s="18" t="n">
        <f aca="false">ROUND((D339-$D$5)*86400,2)</f>
        <v>116.67</v>
      </c>
      <c r="F339" s="12" t="n">
        <v>771</v>
      </c>
      <c r="G339" s="11" t="str">
        <f aca="false">IF(INDEX(選手一覧!$F$7:$F$2738,$F339)="","",INDEX(選手一覧!$F$7:$F$2738,$F339))</f>
        <v/>
      </c>
      <c r="H339" s="12" t="str">
        <f aca="false">IF(INDEX(選手一覧!$G$7:$G$2738,$F339)="","",INDEX(選手一覧!$G$7:$G$2738,$F339))</f>
        <v/>
      </c>
      <c r="I339" s="11" t="n">
        <f aca="false">IF(INDEX(選手一覧!$H$7:$H$2738,$F339)="","",INDEX(選手一覧!$H$7:$H$2738,$F339))</f>
        <v>0.00284085648148148</v>
      </c>
      <c r="J339" s="12" t="n">
        <f aca="false">IF(INDEX(選手一覧!$I$7:$I$2738,$F339)="","",INDEX(選手一覧!$I$7:$I$2738,$F339))</f>
        <v>505</v>
      </c>
    </row>
    <row r="340" customFormat="false" ht="15" hidden="false" customHeight="false" outlineLevel="0" collapsed="false">
      <c r="A340" s="12" t="n">
        <v>336</v>
      </c>
      <c r="B340" s="10" t="s">
        <v>707</v>
      </c>
      <c r="C340" s="10" t="s">
        <v>229</v>
      </c>
      <c r="D340" s="11" t="n">
        <v>0.0104916666666667</v>
      </c>
      <c r="E340" s="18" t="n">
        <f aca="false">ROUND((D340-$D$5)*86400,2)</f>
        <v>116.74</v>
      </c>
      <c r="F340" s="12" t="n">
        <v>453</v>
      </c>
      <c r="G340" s="11" t="str">
        <f aca="false">IF(INDEX(選手一覧!$F$7:$F$2738,$F340)="","",INDEX(選手一覧!$F$7:$F$2738,$F340))</f>
        <v/>
      </c>
      <c r="H340" s="12" t="str">
        <f aca="false">IF(INDEX(選手一覧!$G$7:$G$2738,$F340)="","",INDEX(選手一覧!$G$7:$G$2738,$F340))</f>
        <v/>
      </c>
      <c r="I340" s="11" t="n">
        <f aca="false">IF(INDEX(選手一覧!$H$7:$H$2738,$F340)="","",INDEX(選手一覧!$H$7:$H$2738,$F340))</f>
        <v>0.002778125</v>
      </c>
      <c r="J340" s="12" t="n">
        <f aca="false">IF(INDEX(選手一覧!$I$7:$I$2738,$F340)="","",INDEX(選手一覧!$I$7:$I$2738,$F340))</f>
        <v>191</v>
      </c>
    </row>
    <row r="341" customFormat="false" ht="15" hidden="false" customHeight="false" outlineLevel="0" collapsed="false">
      <c r="A341" s="12" t="n">
        <v>337</v>
      </c>
      <c r="B341" s="10" t="s">
        <v>935</v>
      </c>
      <c r="C341" s="10" t="s">
        <v>309</v>
      </c>
      <c r="D341" s="11" t="n">
        <v>0.0104947916666667</v>
      </c>
      <c r="E341" s="18" t="n">
        <f aca="false">ROUND((D341-$D$5)*86400,2)</f>
        <v>117.01</v>
      </c>
      <c r="F341" s="12" t="n">
        <v>620</v>
      </c>
      <c r="G341" s="11" t="str">
        <f aca="false">IF(INDEX(選手一覧!$F$7:$F$2738,$F341)="","",INDEX(選手一覧!$F$7:$F$2738,$F341))</f>
        <v/>
      </c>
      <c r="H341" s="12" t="str">
        <f aca="false">IF(INDEX(選手一覧!$G$7:$G$2738,$F341)="","",INDEX(選手一覧!$G$7:$G$2738,$F341))</f>
        <v/>
      </c>
      <c r="I341" s="11" t="n">
        <f aca="false">IF(INDEX(選手一覧!$H$7:$H$2738,$F341)="","",INDEX(選手一覧!$H$7:$H$2738,$F341))</f>
        <v>0.00279537037037037</v>
      </c>
      <c r="J341" s="12" t="n">
        <f aca="false">IF(INDEX(選手一覧!$I$7:$I$2738,$F341)="","",INDEX(選手一覧!$I$7:$I$2738,$F341))</f>
        <v>261</v>
      </c>
    </row>
    <row r="342" customFormat="false" ht="15" hidden="false" customHeight="false" outlineLevel="0" collapsed="false">
      <c r="A342" s="12" t="n">
        <v>338</v>
      </c>
      <c r="B342" s="10" t="s">
        <v>324</v>
      </c>
      <c r="C342" s="10" t="s">
        <v>72</v>
      </c>
      <c r="D342" s="11" t="n">
        <v>0.0104962962962963</v>
      </c>
      <c r="E342" s="18" t="n">
        <f aca="false">ROUND((D342-$D$5)*86400,2)</f>
        <v>117.14</v>
      </c>
      <c r="F342" s="12" t="n">
        <v>186</v>
      </c>
      <c r="G342" s="11" t="n">
        <f aca="false">IF(INDEX(選手一覧!$F$7:$F$2738,$F342)="","",INDEX(選手一覧!$F$7:$F$2738,$F342))</f>
        <v>0.00663680555555556</v>
      </c>
      <c r="H342" s="12" t="n">
        <f aca="false">IF(INDEX(選手一覧!$G$7:$G$2738,$F342)="","",INDEX(選手一覧!$G$7:$G$2738,$F342))</f>
        <v>76</v>
      </c>
      <c r="I342" s="11" t="n">
        <f aca="false">IF(INDEX(選手一覧!$H$7:$H$2738,$F342)="","",INDEX(選手一覧!$H$7:$H$2738,$F342))</f>
        <v>0.00287071759259259</v>
      </c>
      <c r="J342" s="12" t="n">
        <f aca="false">IF(INDEX(選手一覧!$I$7:$I$2738,$F342)="","",INDEX(選手一覧!$I$7:$I$2738,$F342))</f>
        <v>701</v>
      </c>
    </row>
    <row r="343" customFormat="false" ht="15" hidden="false" customHeight="false" outlineLevel="0" collapsed="false">
      <c r="A343" s="12" t="n">
        <v>339</v>
      </c>
      <c r="B343" s="10" t="s">
        <v>1153</v>
      </c>
      <c r="C343" s="10" t="s">
        <v>254</v>
      </c>
      <c r="D343" s="11" t="n">
        <v>0.0104969907407407</v>
      </c>
      <c r="E343" s="18" t="n">
        <f aca="false">ROUND((D343-$D$5)*86400,2)</f>
        <v>117.2</v>
      </c>
      <c r="F343" s="12" t="n">
        <v>780</v>
      </c>
      <c r="G343" s="11" t="str">
        <f aca="false">IF(INDEX(選手一覧!$F$7:$F$2738,$F343)="","",INDEX(選手一覧!$F$7:$F$2738,$F343))</f>
        <v/>
      </c>
      <c r="H343" s="12" t="str">
        <f aca="false">IF(INDEX(選手一覧!$G$7:$G$2738,$F343)="","",INDEX(選手一覧!$G$7:$G$2738,$F343))</f>
        <v/>
      </c>
      <c r="I343" s="11" t="n">
        <f aca="false">IF(INDEX(選手一覧!$H$7:$H$2738,$F343)="","",INDEX(選手一覧!$H$7:$H$2738,$F343))</f>
        <v>0.00287488425925926</v>
      </c>
      <c r="J343" s="12" t="n">
        <f aca="false">IF(INDEX(選手一覧!$I$7:$I$2738,$F343)="","",INDEX(選手一覧!$I$7:$I$2738,$F343))</f>
        <v>734</v>
      </c>
    </row>
    <row r="344" customFormat="false" ht="15" hidden="false" customHeight="false" outlineLevel="0" collapsed="false">
      <c r="A344" s="12" t="n">
        <v>340</v>
      </c>
      <c r="B344" s="10" t="s">
        <v>1158</v>
      </c>
      <c r="C344" s="10" t="s">
        <v>317</v>
      </c>
      <c r="D344" s="11" t="n">
        <v>0.010499537037037</v>
      </c>
      <c r="E344" s="18" t="n">
        <f aca="false">ROUND((D344-$D$5)*86400,2)</f>
        <v>117.42</v>
      </c>
      <c r="F344" s="12" t="n">
        <v>783</v>
      </c>
      <c r="G344" s="11" t="n">
        <f aca="false">IF(INDEX(選手一覧!$F$7:$F$2738,$F344)="","",INDEX(選手一覧!$F$7:$F$2738,$F344))</f>
        <v>0.00748032407407407</v>
      </c>
      <c r="H344" s="12" t="n">
        <f aca="false">IF(INDEX(選手一覧!$G$7:$G$2738,$F344)="","",INDEX(選手一覧!$G$7:$G$2738,$F344))</f>
        <v>869</v>
      </c>
      <c r="I344" s="11" t="n">
        <f aca="false">IF(INDEX(選手一覧!$H$7:$H$2738,$F344)="","",INDEX(選手一覧!$H$7:$H$2738,$F344))</f>
        <v>0.00282233796296296</v>
      </c>
      <c r="J344" s="12" t="n">
        <f aca="false">IF(INDEX(選手一覧!$I$7:$I$2738,$F344)="","",INDEX(選手一覧!$I$7:$I$2738,$F344))</f>
        <v>378</v>
      </c>
    </row>
    <row r="345" customFormat="false" ht="15" hidden="false" customHeight="false" outlineLevel="0" collapsed="false">
      <c r="A345" s="12" t="n">
        <v>341</v>
      </c>
      <c r="B345" s="10" t="s">
        <v>1060</v>
      </c>
      <c r="C345" s="10" t="s">
        <v>712</v>
      </c>
      <c r="D345" s="11" t="n">
        <v>0.010500462962963</v>
      </c>
      <c r="E345" s="18" t="n">
        <f aca="false">ROUND((D345-$D$5)*86400,2)</f>
        <v>117.5</v>
      </c>
      <c r="F345" s="12" t="n">
        <v>711</v>
      </c>
      <c r="G345" s="11" t="n">
        <f aca="false">IF(INDEX(選手一覧!$F$7:$F$2738,$F345)="","",INDEX(選手一覧!$F$7:$F$2738,$F345))</f>
        <v>0.00697106481481481</v>
      </c>
      <c r="H345" s="12" t="n">
        <f aca="false">IF(INDEX(選手一覧!$G$7:$G$2738,$F345)="","",INDEX(選手一覧!$G$7:$G$2738,$F345))</f>
        <v>306</v>
      </c>
      <c r="I345" s="11" t="str">
        <f aca="false">IF(INDEX(選手一覧!$H$7:$H$2738,$F345)="","",INDEX(選手一覧!$H$7:$H$2738,$F345))</f>
        <v/>
      </c>
      <c r="J345" s="12" t="str">
        <f aca="false">IF(INDEX(選手一覧!$I$7:$I$2738,$F345)="","",INDEX(選手一覧!$I$7:$I$2738,$F345))</f>
        <v/>
      </c>
    </row>
    <row r="346" customFormat="false" ht="15" hidden="false" customHeight="false" outlineLevel="0" collapsed="false">
      <c r="A346" s="12" t="n">
        <v>342</v>
      </c>
      <c r="B346" s="10" t="s">
        <v>1162</v>
      </c>
      <c r="C346" s="10" t="s">
        <v>462</v>
      </c>
      <c r="D346" s="11" t="n">
        <v>0.0105012731481482</v>
      </c>
      <c r="E346" s="18" t="n">
        <f aca="false">ROUND((D346-$D$5)*86400,2)</f>
        <v>117.57</v>
      </c>
      <c r="F346" s="12" t="n">
        <v>787</v>
      </c>
      <c r="G346" s="11" t="str">
        <f aca="false">IF(INDEX(選手一覧!$F$7:$F$2738,$F346)="","",INDEX(選手一覧!$F$7:$F$2738,$F346))</f>
        <v/>
      </c>
      <c r="H346" s="12" t="str">
        <f aca="false">IF(INDEX(選手一覧!$G$7:$G$2738,$F346)="","",INDEX(選手一覧!$G$7:$G$2738,$F346))</f>
        <v/>
      </c>
      <c r="I346" s="11" t="str">
        <f aca="false">IF(INDEX(選手一覧!$H$7:$H$2738,$F346)="","",INDEX(選手一覧!$H$7:$H$2738,$F346))</f>
        <v/>
      </c>
      <c r="J346" s="12" t="str">
        <f aca="false">IF(INDEX(選手一覧!$I$7:$I$2738,$F346)="","",INDEX(選手一覧!$I$7:$I$2738,$F346))</f>
        <v/>
      </c>
    </row>
    <row r="347" customFormat="false" ht="15" hidden="false" customHeight="false" outlineLevel="0" collapsed="false">
      <c r="A347" s="12" t="n">
        <v>343</v>
      </c>
      <c r="B347" s="10" t="s">
        <v>530</v>
      </c>
      <c r="C347" s="10" t="s">
        <v>257</v>
      </c>
      <c r="D347" s="11" t="n">
        <v>0.0105037037037037</v>
      </c>
      <c r="E347" s="18" t="n">
        <f aca="false">ROUND((D347-$D$5)*86400,2)</f>
        <v>117.78</v>
      </c>
      <c r="F347" s="12" t="n">
        <v>330</v>
      </c>
      <c r="G347" s="11" t="n">
        <f aca="false">IF(INDEX(選手一覧!$F$7:$F$2738,$F347)="","",INDEX(選手一覧!$F$7:$F$2738,$F347))</f>
        <v>0.00676122685185185</v>
      </c>
      <c r="H347" s="12" t="n">
        <f aca="false">IF(INDEX(選手一覧!$G$7:$G$2738,$F347)="","",INDEX(選手一覧!$G$7:$G$2738,$F347))</f>
        <v>137</v>
      </c>
      <c r="I347" s="11" t="n">
        <f aca="false">IF(INDEX(選手一覧!$H$7:$H$2738,$F347)="","",INDEX(選手一覧!$H$7:$H$2738,$F347))</f>
        <v>0.00281898148148148</v>
      </c>
      <c r="J347" s="12" t="n">
        <f aca="false">IF(INDEX(選手一覧!$I$7:$I$2738,$F347)="","",INDEX(選手一覧!$I$7:$I$2738,$F347))</f>
        <v>359</v>
      </c>
    </row>
    <row r="348" customFormat="false" ht="15" hidden="false" customHeight="false" outlineLevel="0" collapsed="false">
      <c r="A348" s="12" t="n">
        <v>344</v>
      </c>
      <c r="B348" s="10" t="s">
        <v>1167</v>
      </c>
      <c r="C348" s="10" t="s">
        <v>29</v>
      </c>
      <c r="D348" s="11" t="n">
        <v>0.0105041666666667</v>
      </c>
      <c r="E348" s="18" t="n">
        <f aca="false">ROUND((D348-$D$5)*86400,2)</f>
        <v>117.82</v>
      </c>
      <c r="F348" s="12" t="n">
        <v>791</v>
      </c>
      <c r="G348" s="11" t="str">
        <f aca="false">IF(INDEX(選手一覧!$F$7:$F$2738,$F348)="","",INDEX(選手一覧!$F$7:$F$2738,$F348))</f>
        <v/>
      </c>
      <c r="H348" s="12" t="str">
        <f aca="false">IF(INDEX(選手一覧!$G$7:$G$2738,$F348)="","",INDEX(選手一覧!$G$7:$G$2738,$F348))</f>
        <v/>
      </c>
      <c r="I348" s="11" t="n">
        <f aca="false">IF(INDEX(選手一覧!$H$7:$H$2738,$F348)="","",INDEX(選手一覧!$H$7:$H$2738,$F348))</f>
        <v>0.00281712962962963</v>
      </c>
      <c r="J348" s="12" t="n">
        <f aca="false">IF(INDEX(選手一覧!$I$7:$I$2738,$F348)="","",INDEX(選手一覧!$I$7:$I$2738,$F348))</f>
        <v>351</v>
      </c>
    </row>
    <row r="349" customFormat="false" ht="15" hidden="false" customHeight="false" outlineLevel="0" collapsed="false">
      <c r="A349" s="12" t="n">
        <v>345</v>
      </c>
      <c r="B349" s="10" t="s">
        <v>1172</v>
      </c>
      <c r="C349" s="10" t="s">
        <v>460</v>
      </c>
      <c r="D349" s="11" t="n">
        <v>0.0105046296296296</v>
      </c>
      <c r="E349" s="18" t="n">
        <f aca="false">ROUND((D349-$D$5)*86400,2)</f>
        <v>117.86</v>
      </c>
      <c r="F349" s="12" t="n">
        <v>795</v>
      </c>
      <c r="G349" s="11" t="str">
        <f aca="false">IF(INDEX(選手一覧!$F$7:$F$2738,$F349)="","",INDEX(選手一覧!$F$7:$F$2738,$F349))</f>
        <v/>
      </c>
      <c r="H349" s="12" t="str">
        <f aca="false">IF(INDEX(選手一覧!$G$7:$G$2738,$F349)="","",INDEX(選手一覧!$G$7:$G$2738,$F349))</f>
        <v/>
      </c>
      <c r="I349" s="11" t="n">
        <f aca="false">IF(INDEX(選手一覧!$H$7:$H$2738,$F349)="","",INDEX(選手一覧!$H$7:$H$2738,$F349))</f>
        <v>0.002940625</v>
      </c>
      <c r="J349" s="12" t="n">
        <f aca="false">IF(INDEX(選手一覧!$I$7:$I$2738,$F349)="","",INDEX(選手一覧!$I$7:$I$2738,$F349))</f>
        <v>1201</v>
      </c>
    </row>
    <row r="350" customFormat="false" ht="15" hidden="false" customHeight="false" outlineLevel="0" collapsed="false">
      <c r="A350" s="12" t="n">
        <v>346</v>
      </c>
      <c r="B350" s="10" t="s">
        <v>1175</v>
      </c>
      <c r="C350" s="10" t="s">
        <v>179</v>
      </c>
      <c r="D350" s="11" t="n">
        <v>0.0105052083333333</v>
      </c>
      <c r="E350" s="18" t="n">
        <f aca="false">ROUND((D350-$D$5)*86400,2)</f>
        <v>117.91</v>
      </c>
      <c r="F350" s="12" t="n">
        <v>797</v>
      </c>
      <c r="G350" s="11" t="str">
        <f aca="false">IF(INDEX(選手一覧!$F$7:$F$2738,$F350)="","",INDEX(選手一覧!$F$7:$F$2738,$F350))</f>
        <v/>
      </c>
      <c r="H350" s="12" t="str">
        <f aca="false">IF(INDEX(選手一覧!$G$7:$G$2738,$F350)="","",INDEX(選手一覧!$G$7:$G$2738,$F350))</f>
        <v/>
      </c>
      <c r="I350" s="11" t="str">
        <f aca="false">IF(INDEX(選手一覧!$H$7:$H$2738,$F350)="","",INDEX(選手一覧!$H$7:$H$2738,$F350))</f>
        <v/>
      </c>
      <c r="J350" s="12" t="str">
        <f aca="false">IF(INDEX(選手一覧!$I$7:$I$2738,$F350)="","",INDEX(選手一覧!$I$7:$I$2738,$F350))</f>
        <v/>
      </c>
    </row>
    <row r="351" customFormat="false" ht="15" hidden="false" customHeight="false" outlineLevel="0" collapsed="false">
      <c r="A351" s="12" t="n">
        <v>347</v>
      </c>
      <c r="B351" s="10" t="s">
        <v>1178</v>
      </c>
      <c r="C351" s="10" t="s">
        <v>523</v>
      </c>
      <c r="D351" s="11" t="n">
        <v>0.010505787037037</v>
      </c>
      <c r="E351" s="18" t="n">
        <f aca="false">ROUND((D351-$D$5)*86400,2)</f>
        <v>117.96</v>
      </c>
      <c r="F351" s="12" t="n">
        <v>799</v>
      </c>
      <c r="G351" s="11" t="str">
        <f aca="false">IF(INDEX(選手一覧!$F$7:$F$2738,$F351)="","",INDEX(選手一覧!$F$7:$F$2738,$F351))</f>
        <v/>
      </c>
      <c r="H351" s="12" t="str">
        <f aca="false">IF(INDEX(選手一覧!$G$7:$G$2738,$F351)="","",INDEX(選手一覧!$G$7:$G$2738,$F351))</f>
        <v/>
      </c>
      <c r="I351" s="11" t="str">
        <f aca="false">IF(INDEX(選手一覧!$H$7:$H$2738,$F351)="","",INDEX(選手一覧!$H$7:$H$2738,$F351))</f>
        <v/>
      </c>
      <c r="J351" s="12" t="str">
        <f aca="false">IF(INDEX(選手一覧!$I$7:$I$2738,$F351)="","",INDEX(選手一覧!$I$7:$I$2738,$F351))</f>
        <v/>
      </c>
    </row>
    <row r="352" customFormat="false" ht="15" hidden="false" customHeight="false" outlineLevel="0" collapsed="false">
      <c r="A352" s="12" t="n">
        <v>348</v>
      </c>
      <c r="B352" s="10" t="s">
        <v>957</v>
      </c>
      <c r="C352" s="10" t="s">
        <v>358</v>
      </c>
      <c r="D352" s="11" t="n">
        <v>0.0105081018518519</v>
      </c>
      <c r="E352" s="18" t="n">
        <f aca="false">ROUND((D352-$D$5)*86400,2)</f>
        <v>118.16</v>
      </c>
      <c r="F352" s="12" t="n">
        <v>636</v>
      </c>
      <c r="G352" s="11" t="str">
        <f aca="false">IF(INDEX(選手一覧!$F$7:$F$2738,$F352)="","",INDEX(選手一覧!$F$7:$F$2738,$F352))</f>
        <v/>
      </c>
      <c r="H352" s="12" t="str">
        <f aca="false">IF(INDEX(選手一覧!$G$7:$G$2738,$F352)="","",INDEX(選手一覧!$G$7:$G$2738,$F352))</f>
        <v/>
      </c>
      <c r="I352" s="11" t="n">
        <f aca="false">IF(INDEX(選手一覧!$H$7:$H$2738,$F352)="","",INDEX(選手一覧!$H$7:$H$2738,$F352))</f>
        <v>0.00279618055555556</v>
      </c>
      <c r="J352" s="12" t="n">
        <f aca="false">IF(INDEX(選手一覧!$I$7:$I$2738,$F352)="","",INDEX(選手一覧!$I$7:$I$2738,$F352))</f>
        <v>267</v>
      </c>
    </row>
    <row r="353" customFormat="false" ht="15" hidden="false" customHeight="false" outlineLevel="0" collapsed="false">
      <c r="A353" s="12" t="n">
        <v>349</v>
      </c>
      <c r="B353" s="10" t="s">
        <v>1184</v>
      </c>
      <c r="C353" s="10" t="s">
        <v>1065</v>
      </c>
      <c r="D353" s="11" t="n">
        <v>0.0105109953703704</v>
      </c>
      <c r="E353" s="18" t="n">
        <f aca="false">ROUND((D353-$D$5)*86400,2)</f>
        <v>118.41</v>
      </c>
      <c r="F353" s="12" t="n">
        <v>803</v>
      </c>
      <c r="G353" s="11" t="str">
        <f aca="false">IF(INDEX(選手一覧!$F$7:$F$2738,$F353)="","",INDEX(選手一覧!$F$7:$F$2738,$F353))</f>
        <v/>
      </c>
      <c r="H353" s="12" t="str">
        <f aca="false">IF(INDEX(選手一覧!$G$7:$G$2738,$F353)="","",INDEX(選手一覧!$G$7:$G$2738,$F353))</f>
        <v/>
      </c>
      <c r="I353" s="11" t="n">
        <f aca="false">IF(INDEX(選手一覧!$H$7:$H$2738,$F353)="","",INDEX(選手一覧!$H$7:$H$2738,$F353))</f>
        <v>0.00290497685185185</v>
      </c>
      <c r="J353" s="12" t="n">
        <f aca="false">IF(INDEX(選手一覧!$I$7:$I$2738,$F353)="","",INDEX(選手一覧!$I$7:$I$2738,$F353))</f>
        <v>983</v>
      </c>
    </row>
    <row r="354" customFormat="false" ht="15" hidden="false" customHeight="false" outlineLevel="0" collapsed="false">
      <c r="A354" s="12" t="n">
        <v>350</v>
      </c>
      <c r="B354" s="10" t="s">
        <v>1189</v>
      </c>
      <c r="C354" s="10" t="s">
        <v>156</v>
      </c>
      <c r="D354" s="11" t="n">
        <v>0.0105109953703704</v>
      </c>
      <c r="E354" s="18" t="n">
        <f aca="false">ROUND((D354-$D$5)*86400,2)</f>
        <v>118.41</v>
      </c>
      <c r="F354" s="12" t="n">
        <v>806</v>
      </c>
      <c r="G354" s="11" t="n">
        <f aca="false">IF(INDEX(選手一覧!$F$7:$F$2738,$F354)="","",INDEX(選手一覧!$F$7:$F$2738,$F354))</f>
        <v>0.00703599537037037</v>
      </c>
      <c r="H354" s="12" t="n">
        <f aca="false">IF(INDEX(選手一覧!$G$7:$G$2738,$F354)="","",INDEX(選手一覧!$G$7:$G$2738,$F354))</f>
        <v>367</v>
      </c>
      <c r="I354" s="11" t="str">
        <f aca="false">IF(INDEX(選手一覧!$H$7:$H$2738,$F354)="","",INDEX(選手一覧!$H$7:$H$2738,$F354))</f>
        <v/>
      </c>
      <c r="J354" s="12" t="str">
        <f aca="false">IF(INDEX(選手一覧!$I$7:$I$2738,$F354)="","",INDEX(選手一覧!$I$7:$I$2738,$F354))</f>
        <v/>
      </c>
    </row>
    <row r="355" customFormat="false" ht="15" hidden="false" customHeight="false" outlineLevel="0" collapsed="false">
      <c r="A355" s="12" t="n">
        <v>351</v>
      </c>
      <c r="B355" s="10" t="s">
        <v>230</v>
      </c>
      <c r="C355" s="10" t="s">
        <v>64</v>
      </c>
      <c r="D355" s="11" t="n">
        <v>0.0105115740740741</v>
      </c>
      <c r="E355" s="18" t="n">
        <f aca="false">ROUND((D355-$D$5)*86400,2)</f>
        <v>118.46</v>
      </c>
      <c r="F355" s="12" t="n">
        <v>122</v>
      </c>
      <c r="G355" s="11" t="n">
        <f aca="false">IF(INDEX(選手一覧!$F$7:$F$2738,$F355)="","",INDEX(選手一覧!$F$7:$F$2738,$F355))</f>
        <v>0.006559375</v>
      </c>
      <c r="H355" s="12" t="n">
        <f aca="false">IF(INDEX(選手一覧!$G$7:$G$2738,$F355)="","",INDEX(選手一覧!$G$7:$G$2738,$F355))</f>
        <v>47</v>
      </c>
      <c r="I355" s="11" t="n">
        <f aca="false">IF(INDEX(選手一覧!$H$7:$H$2738,$F355)="","",INDEX(選手一覧!$H$7:$H$2738,$F355))</f>
        <v>0.00293391203703704</v>
      </c>
      <c r="J355" s="12" t="n">
        <f aca="false">IF(INDEX(選手一覧!$I$7:$I$2738,$F355)="","",INDEX(選手一覧!$I$7:$I$2738,$F355))</f>
        <v>1182</v>
      </c>
    </row>
    <row r="356" customFormat="false" ht="15" hidden="false" customHeight="false" outlineLevel="0" collapsed="false">
      <c r="A356" s="12" t="n">
        <v>352</v>
      </c>
      <c r="B356" s="10" t="s">
        <v>228</v>
      </c>
      <c r="C356" s="10" t="s">
        <v>229</v>
      </c>
      <c r="D356" s="11" t="n">
        <v>0.0105116898148148</v>
      </c>
      <c r="E356" s="18" t="n">
        <f aca="false">ROUND((D356-$D$5)*86400,2)</f>
        <v>118.47</v>
      </c>
      <c r="F356" s="12" t="n">
        <v>121</v>
      </c>
      <c r="G356" s="11" t="n">
        <f aca="false">IF(INDEX(選手一覧!$F$7:$F$2738,$F356)="","",INDEX(選手一覧!$F$7:$F$2738,$F356))</f>
        <v>0.00655925925925926</v>
      </c>
      <c r="H356" s="12" t="n">
        <f aca="false">IF(INDEX(選手一覧!$G$7:$G$2738,$F356)="","",INDEX(選手一覧!$G$7:$G$2738,$F356))</f>
        <v>46</v>
      </c>
      <c r="I356" s="11" t="n">
        <f aca="false">IF(INDEX(選手一覧!$H$7:$H$2738,$F356)="","",INDEX(選手一覧!$H$7:$H$2738,$F356))</f>
        <v>0.00283414351851852</v>
      </c>
      <c r="J356" s="12" t="n">
        <f aca="false">IF(INDEX(選手一覧!$I$7:$I$2738,$F356)="","",INDEX(選手一覧!$I$7:$I$2738,$F356))</f>
        <v>451</v>
      </c>
    </row>
    <row r="357" customFormat="false" ht="15" hidden="false" customHeight="false" outlineLevel="0" collapsed="false">
      <c r="A357" s="12" t="n">
        <v>353</v>
      </c>
      <c r="B357" s="10" t="s">
        <v>882</v>
      </c>
      <c r="C357" s="10" t="s">
        <v>616</v>
      </c>
      <c r="D357" s="11" t="n">
        <v>0.0105118055555556</v>
      </c>
      <c r="E357" s="18" t="n">
        <f aca="false">ROUND((D357-$D$5)*86400,2)</f>
        <v>118.48</v>
      </c>
      <c r="F357" s="12" t="n">
        <v>579</v>
      </c>
      <c r="G357" s="11" t="str">
        <f aca="false">IF(INDEX(選手一覧!$F$7:$F$2738,$F357)="","",INDEX(選手一覧!$F$7:$F$2738,$F357))</f>
        <v/>
      </c>
      <c r="H357" s="12" t="str">
        <f aca="false">IF(INDEX(選手一覧!$G$7:$G$2738,$F357)="","",INDEX(選手一覧!$G$7:$G$2738,$F357))</f>
        <v/>
      </c>
      <c r="I357" s="11" t="n">
        <f aca="false">IF(INDEX(選手一覧!$H$7:$H$2738,$F357)="","",INDEX(選手一覧!$H$7:$H$2738,$F357))</f>
        <v>0.00279097222222222</v>
      </c>
      <c r="J357" s="12" t="n">
        <f aca="false">IF(INDEX(選手一覧!$I$7:$I$2738,$F357)="","",INDEX(選手一覧!$I$7:$I$2738,$F357))</f>
        <v>244</v>
      </c>
    </row>
    <row r="358" customFormat="false" ht="15" hidden="false" customHeight="false" outlineLevel="0" collapsed="false">
      <c r="A358" s="12" t="n">
        <v>354</v>
      </c>
      <c r="B358" s="10" t="s">
        <v>732</v>
      </c>
      <c r="C358" s="10" t="s">
        <v>733</v>
      </c>
      <c r="D358" s="11" t="n">
        <v>0.0105118055555556</v>
      </c>
      <c r="E358" s="18" t="n">
        <f aca="false">ROUND((D358-$D$5)*86400,2)</f>
        <v>118.48</v>
      </c>
      <c r="F358" s="12" t="n">
        <v>472</v>
      </c>
      <c r="G358" s="11" t="str">
        <f aca="false">IF(INDEX(選手一覧!$F$7:$F$2738,$F358)="","",INDEX(選手一覧!$F$7:$F$2738,$F358))</f>
        <v/>
      </c>
      <c r="H358" s="12" t="str">
        <f aca="false">IF(INDEX(選手一覧!$G$7:$G$2738,$F358)="","",INDEX(選手一覧!$G$7:$G$2738,$F358))</f>
        <v/>
      </c>
      <c r="I358" s="11" t="n">
        <f aca="false">IF(INDEX(選手一覧!$H$7:$H$2738,$F358)="","",INDEX(選手一覧!$H$7:$H$2738,$F358))</f>
        <v>0.00277939814814815</v>
      </c>
      <c r="J358" s="12" t="n">
        <f aca="false">IF(INDEX(選手一覧!$I$7:$I$2738,$F358)="","",INDEX(選手一覧!$I$7:$I$2738,$F358))</f>
        <v>198</v>
      </c>
    </row>
    <row r="359" customFormat="false" ht="15" hidden="false" customHeight="false" outlineLevel="0" collapsed="false">
      <c r="A359" s="12" t="n">
        <v>355</v>
      </c>
      <c r="B359" s="10" t="s">
        <v>430</v>
      </c>
      <c r="C359" s="10" t="s">
        <v>195</v>
      </c>
      <c r="D359" s="11" t="n">
        <v>0.0105134259259259</v>
      </c>
      <c r="E359" s="18" t="n">
        <f aca="false">ROUND((D359-$D$5)*86400,2)</f>
        <v>118.62</v>
      </c>
      <c r="F359" s="12" t="n">
        <v>263</v>
      </c>
      <c r="G359" s="11" t="str">
        <f aca="false">IF(INDEX(選手一覧!$F$7:$F$2738,$F359)="","",INDEX(選手一覧!$F$7:$F$2738,$F359))</f>
        <v/>
      </c>
      <c r="H359" s="12" t="str">
        <f aca="false">IF(INDEX(選手一覧!$G$7:$G$2738,$F359)="","",INDEX(選手一覧!$G$7:$G$2738,$F359))</f>
        <v/>
      </c>
      <c r="I359" s="11" t="n">
        <f aca="false">IF(INDEX(選手一覧!$H$7:$H$2738,$F359)="","",INDEX(選手一覧!$H$7:$H$2738,$F359))</f>
        <v>0.00275243055555556</v>
      </c>
      <c r="J359" s="12" t="n">
        <f aca="false">IF(INDEX(選手一覧!$I$7:$I$2738,$F359)="","",INDEX(選手一覧!$I$7:$I$2738,$F359))</f>
        <v>109</v>
      </c>
    </row>
    <row r="360" customFormat="false" ht="15" hidden="false" customHeight="false" outlineLevel="0" collapsed="false">
      <c r="A360" s="12" t="n">
        <v>356</v>
      </c>
      <c r="B360" s="10" t="s">
        <v>1201</v>
      </c>
      <c r="C360" s="10" t="s">
        <v>179</v>
      </c>
      <c r="D360" s="11" t="n">
        <v>0.0105146990740741</v>
      </c>
      <c r="E360" s="18" t="n">
        <f aca="false">ROUND((D360-$D$5)*86400,2)</f>
        <v>118.73</v>
      </c>
      <c r="F360" s="12" t="n">
        <v>815</v>
      </c>
      <c r="G360" s="11" t="str">
        <f aca="false">IF(INDEX(選手一覧!$F$7:$F$2738,$F360)="","",INDEX(選手一覧!$F$7:$F$2738,$F360))</f>
        <v/>
      </c>
      <c r="H360" s="12" t="str">
        <f aca="false">IF(INDEX(選手一覧!$G$7:$G$2738,$F360)="","",INDEX(選手一覧!$G$7:$G$2738,$F360))</f>
        <v/>
      </c>
      <c r="I360" s="11" t="str">
        <f aca="false">IF(INDEX(選手一覧!$H$7:$H$2738,$F360)="","",INDEX(選手一覧!$H$7:$H$2738,$F360))</f>
        <v/>
      </c>
      <c r="J360" s="12" t="str">
        <f aca="false">IF(INDEX(選手一覧!$I$7:$I$2738,$F360)="","",INDEX(選手一覧!$I$7:$I$2738,$F360))</f>
        <v/>
      </c>
    </row>
    <row r="361" customFormat="false" ht="15" hidden="false" customHeight="false" outlineLevel="0" collapsed="false">
      <c r="A361" s="12" t="n">
        <v>357</v>
      </c>
      <c r="B361" s="10" t="s">
        <v>1146</v>
      </c>
      <c r="C361" s="10" t="s">
        <v>103</v>
      </c>
      <c r="D361" s="11" t="n">
        <v>0.010515162037037</v>
      </c>
      <c r="E361" s="18" t="n">
        <f aca="false">ROUND((D361-$D$5)*86400,2)</f>
        <v>118.77</v>
      </c>
      <c r="F361" s="12" t="n">
        <v>774</v>
      </c>
      <c r="G361" s="11" t="str">
        <f aca="false">IF(INDEX(選手一覧!$F$7:$F$2738,$F361)="","",INDEX(選手一覧!$F$7:$F$2738,$F361))</f>
        <v/>
      </c>
      <c r="H361" s="12" t="str">
        <f aca="false">IF(INDEX(選手一覧!$G$7:$G$2738,$F361)="","",INDEX(選手一覧!$G$7:$G$2738,$F361))</f>
        <v/>
      </c>
      <c r="I361" s="11" t="n">
        <f aca="false">IF(INDEX(選手一覧!$H$7:$H$2738,$F361)="","",INDEX(選手一覧!$H$7:$H$2738,$F361))</f>
        <v>0.00281331018518519</v>
      </c>
      <c r="J361" s="12" t="n">
        <f aca="false">IF(INDEX(選手一覧!$I$7:$I$2738,$F361)="","",INDEX(選手一覧!$I$7:$I$2738,$F361))</f>
        <v>336</v>
      </c>
    </row>
    <row r="362" customFormat="false" ht="15" hidden="false" customHeight="false" outlineLevel="0" collapsed="false">
      <c r="A362" s="12" t="n">
        <v>358</v>
      </c>
      <c r="B362" s="10" t="s">
        <v>1116</v>
      </c>
      <c r="C362" s="10" t="s">
        <v>147</v>
      </c>
      <c r="D362" s="11" t="n">
        <v>0.0105153935185185</v>
      </c>
      <c r="E362" s="18" t="n">
        <f aca="false">ROUND((D362-$D$5)*86400,2)</f>
        <v>118.79</v>
      </c>
      <c r="F362" s="12" t="n">
        <v>753</v>
      </c>
      <c r="G362" s="11" t="str">
        <f aca="false">IF(INDEX(選手一覧!$F$7:$F$2738,$F362)="","",INDEX(選手一覧!$F$7:$F$2738,$F362))</f>
        <v/>
      </c>
      <c r="H362" s="12" t="str">
        <f aca="false">IF(INDEX(選手一覧!$G$7:$G$2738,$F362)="","",INDEX(選手一覧!$G$7:$G$2738,$F362))</f>
        <v/>
      </c>
      <c r="I362" s="11" t="n">
        <f aca="false">IF(INDEX(選手一覧!$H$7:$H$2738,$F362)="","",INDEX(選手一覧!$H$7:$H$2738,$F362))</f>
        <v>0.00281076388888889</v>
      </c>
      <c r="J362" s="12" t="n">
        <f aca="false">IF(INDEX(選手一覧!$I$7:$I$2738,$F362)="","",INDEX(選手一覧!$I$7:$I$2738,$F362))</f>
        <v>326</v>
      </c>
    </row>
    <row r="363" customFormat="false" ht="15" hidden="false" customHeight="false" outlineLevel="0" collapsed="false">
      <c r="A363" s="12" t="n">
        <v>359</v>
      </c>
      <c r="B363" s="10" t="s">
        <v>1213</v>
      </c>
      <c r="C363" s="10" t="s">
        <v>175</v>
      </c>
      <c r="D363" s="11" t="n">
        <v>0.0105157407407407</v>
      </c>
      <c r="E363" s="18" t="n">
        <f aca="false">ROUND((D363-$D$5)*86400,2)</f>
        <v>118.82</v>
      </c>
      <c r="F363" s="12" t="n">
        <v>822</v>
      </c>
      <c r="G363" s="11" t="n">
        <f aca="false">IF(INDEX(選手一覧!$F$7:$F$2738,$F363)="","",INDEX(選手一覧!$F$7:$F$2738,$F363))</f>
        <v>0.00706319444444444</v>
      </c>
      <c r="H363" s="12" t="n">
        <f aca="false">IF(INDEX(選手一覧!$G$7:$G$2738,$F363)="","",INDEX(選手一覧!$G$7:$G$2738,$F363))</f>
        <v>404</v>
      </c>
      <c r="I363" s="11" t="str">
        <f aca="false">IF(INDEX(選手一覧!$H$7:$H$2738,$F363)="","",INDEX(選手一覧!$H$7:$H$2738,$F363))</f>
        <v/>
      </c>
      <c r="J363" s="12" t="str">
        <f aca="false">IF(INDEX(選手一覧!$I$7:$I$2738,$F363)="","",INDEX(選手一覧!$I$7:$I$2738,$F363))</f>
        <v/>
      </c>
    </row>
    <row r="364" customFormat="false" ht="15" hidden="false" customHeight="false" outlineLevel="0" collapsed="false">
      <c r="A364" s="12" t="n">
        <v>360</v>
      </c>
      <c r="B364" s="10" t="s">
        <v>439</v>
      </c>
      <c r="C364" s="10" t="s">
        <v>440</v>
      </c>
      <c r="D364" s="11" t="n">
        <v>0.0105166666666667</v>
      </c>
      <c r="E364" s="18" t="n">
        <f aca="false">ROUND((D364-$D$5)*86400,2)</f>
        <v>118.9</v>
      </c>
      <c r="F364" s="12" t="n">
        <v>270</v>
      </c>
      <c r="G364" s="11" t="n">
        <f aca="false">IF(INDEX(選手一覧!$F$7:$F$2738,$F364)="","",INDEX(選手一覧!$F$7:$F$2738,$F364))</f>
        <v>0.00671261574074074</v>
      </c>
      <c r="H364" s="12" t="n">
        <f aca="false">IF(INDEX(選手一覧!$G$7:$G$2738,$F364)="","",INDEX(選手一覧!$G$7:$G$2738,$F364))</f>
        <v>112</v>
      </c>
      <c r="I364" s="11" t="n">
        <f aca="false">IF(INDEX(選手一覧!$H$7:$H$2738,$F364)="","",INDEX(選手一覧!$H$7:$H$2738,$F364))</f>
        <v>0.00284456018518519</v>
      </c>
      <c r="J364" s="12" t="n">
        <f aca="false">IF(INDEX(選手一覧!$I$7:$I$2738,$F364)="","",INDEX(選手一覧!$I$7:$I$2738,$F364))</f>
        <v>531</v>
      </c>
    </row>
    <row r="365" customFormat="false" ht="15" hidden="false" customHeight="false" outlineLevel="0" collapsed="false">
      <c r="A365" s="12" t="n">
        <v>361</v>
      </c>
      <c r="B365" s="10" t="s">
        <v>1030</v>
      </c>
      <c r="C365" s="10" t="s">
        <v>577</v>
      </c>
      <c r="D365" s="11" t="n">
        <v>0.0105166666666667</v>
      </c>
      <c r="E365" s="18" t="n">
        <f aca="false">ROUND((D365-$D$5)*86400,2)</f>
        <v>118.9</v>
      </c>
      <c r="F365" s="12" t="n">
        <v>691</v>
      </c>
      <c r="G365" s="11" t="str">
        <f aca="false">IF(INDEX(選手一覧!$F$7:$F$2738,$F365)="","",INDEX(選手一覧!$F$7:$F$2738,$F365))</f>
        <v/>
      </c>
      <c r="H365" s="12" t="str">
        <f aca="false">IF(INDEX(選手一覧!$G$7:$G$2738,$F365)="","",INDEX(選手一覧!$G$7:$G$2738,$F365))</f>
        <v/>
      </c>
      <c r="I365" s="11" t="n">
        <f aca="false">IF(INDEX(選手一覧!$H$7:$H$2738,$F365)="","",INDEX(選手一覧!$H$7:$H$2738,$F365))</f>
        <v>0.002803125</v>
      </c>
      <c r="J365" s="12" t="n">
        <f aca="false">IF(INDEX(選手一覧!$I$7:$I$2738,$F365)="","",INDEX(選手一覧!$I$7:$I$2738,$F365))</f>
        <v>296</v>
      </c>
    </row>
    <row r="366" customFormat="false" ht="15" hidden="false" customHeight="false" outlineLevel="0" collapsed="false">
      <c r="A366" s="12" t="n">
        <v>362</v>
      </c>
      <c r="B366" s="10" t="s">
        <v>579</v>
      </c>
      <c r="C366" s="10" t="s">
        <v>25</v>
      </c>
      <c r="D366" s="11" t="n">
        <v>0.0105172453703704</v>
      </c>
      <c r="E366" s="18" t="n">
        <f aca="false">ROUND((D366-$D$5)*86400,2)</f>
        <v>118.95</v>
      </c>
      <c r="F366" s="12" t="n">
        <v>365</v>
      </c>
      <c r="G366" s="11" t="str">
        <f aca="false">IF(INDEX(選手一覧!$F$7:$F$2738,$F366)="","",INDEX(選手一覧!$F$7:$F$2738,$F366))</f>
        <v/>
      </c>
      <c r="H366" s="12" t="str">
        <f aca="false">IF(INDEX(選手一覧!$G$7:$G$2738,$F366)="","",INDEX(選手一覧!$G$7:$G$2738,$F366))</f>
        <v/>
      </c>
      <c r="I366" s="11" t="n">
        <f aca="false">IF(INDEX(選手一覧!$H$7:$H$2738,$F366)="","",INDEX(選手一覧!$H$7:$H$2738,$F366))</f>
        <v>0.00276666666666667</v>
      </c>
      <c r="J366" s="12" t="n">
        <f aca="false">IF(INDEX(選手一覧!$I$7:$I$2738,$F366)="","",INDEX(選手一覧!$I$7:$I$2738,$F366))</f>
        <v>154</v>
      </c>
    </row>
    <row r="367" customFormat="false" ht="15" hidden="false" customHeight="false" outlineLevel="0" collapsed="false">
      <c r="A367" s="12" t="n">
        <v>363</v>
      </c>
      <c r="B367" s="10" t="s">
        <v>361</v>
      </c>
      <c r="C367" s="10" t="s">
        <v>107</v>
      </c>
      <c r="D367" s="11" t="n">
        <v>0.0105200231481482</v>
      </c>
      <c r="E367" s="18" t="n">
        <f aca="false">ROUND((D367-$D$5)*86400,2)</f>
        <v>119.19</v>
      </c>
      <c r="F367" s="12" t="n">
        <v>214</v>
      </c>
      <c r="G367" s="11" t="n">
        <f aca="false">IF(INDEX(選手一覧!$F$7:$F$2738,$F367)="","",INDEX(選手一覧!$F$7:$F$2738,$F367))</f>
        <v>0.00666423611111111</v>
      </c>
      <c r="H367" s="12" t="n">
        <f aca="false">IF(INDEX(選手一覧!$G$7:$G$2738,$F367)="","",INDEX(選手一覧!$G$7:$G$2738,$F367))</f>
        <v>89</v>
      </c>
      <c r="I367" s="11" t="n">
        <f aca="false">IF(INDEX(選手一覧!$H$7:$H$2738,$F367)="","",INDEX(選手一覧!$H$7:$H$2738,$F367))</f>
        <v>0.00283993055555556</v>
      </c>
      <c r="J367" s="12" t="n">
        <f aca="false">IF(INDEX(選手一覧!$I$7:$I$2738,$F367)="","",INDEX(選手一覧!$I$7:$I$2738,$F367))</f>
        <v>496</v>
      </c>
    </row>
    <row r="368" customFormat="false" ht="15" hidden="false" customHeight="false" outlineLevel="0" collapsed="false">
      <c r="A368" s="12" t="n">
        <v>364</v>
      </c>
      <c r="B368" s="10" t="s">
        <v>891</v>
      </c>
      <c r="C368" s="10" t="s">
        <v>277</v>
      </c>
      <c r="D368" s="11" t="n">
        <v>0.0105216435185185</v>
      </c>
      <c r="E368" s="18" t="n">
        <f aca="false">ROUND((D368-$D$5)*86400,2)</f>
        <v>119.33</v>
      </c>
      <c r="F368" s="12" t="n">
        <v>587</v>
      </c>
      <c r="G368" s="11" t="n">
        <f aca="false">IF(INDEX(選手一覧!$F$7:$F$2738,$F368)="","",INDEX(選手一覧!$F$7:$F$2738,$F368))</f>
        <v>0.00690613425925926</v>
      </c>
      <c r="H368" s="12" t="n">
        <f aca="false">IF(INDEX(選手一覧!$G$7:$G$2738,$F368)="","",INDEX(選手一覧!$G$7:$G$2738,$F368))</f>
        <v>247</v>
      </c>
      <c r="I368" s="11" t="n">
        <f aca="false">IF(INDEX(選手一覧!$H$7:$H$2738,$F368)="","",INDEX(選手一覧!$H$7:$H$2738,$F368))</f>
        <v>0.00287407407407407</v>
      </c>
      <c r="J368" s="12" t="n">
        <f aca="false">IF(INDEX(選手一覧!$I$7:$I$2738,$F368)="","",INDEX(選手一覧!$I$7:$I$2738,$F368))</f>
        <v>728</v>
      </c>
    </row>
    <row r="369" customFormat="false" ht="15" hidden="false" customHeight="false" outlineLevel="0" collapsed="false">
      <c r="A369" s="12" t="n">
        <v>365</v>
      </c>
      <c r="B369" s="10" t="s">
        <v>892</v>
      </c>
      <c r="C369" s="10" t="s">
        <v>49</v>
      </c>
      <c r="D369" s="11" t="n">
        <v>0.0105248842592593</v>
      </c>
      <c r="E369" s="18" t="n">
        <f aca="false">ROUND((D369-$D$5)*86400,2)</f>
        <v>119.61</v>
      </c>
      <c r="F369" s="12" t="n">
        <v>588</v>
      </c>
      <c r="G369" s="11" t="str">
        <f aca="false">IF(INDEX(選手一覧!$F$7:$F$2738,$F369)="","",INDEX(選手一覧!$F$7:$F$2738,$F369))</f>
        <v/>
      </c>
      <c r="H369" s="12" t="str">
        <f aca="false">IF(INDEX(選手一覧!$G$7:$G$2738,$F369)="","",INDEX(選手一覧!$G$7:$G$2738,$F369))</f>
        <v/>
      </c>
      <c r="I369" s="11" t="n">
        <f aca="false">IF(INDEX(選手一覧!$H$7:$H$2738,$F369)="","",INDEX(選手一覧!$H$7:$H$2738,$F369))</f>
        <v>0.00279178240740741</v>
      </c>
      <c r="J369" s="12" t="n">
        <f aca="false">IF(INDEX(選手一覧!$I$7:$I$2738,$F369)="","",INDEX(選手一覧!$I$7:$I$2738,$F369))</f>
        <v>247</v>
      </c>
    </row>
    <row r="370" customFormat="false" ht="15" hidden="false" customHeight="false" outlineLevel="0" collapsed="false">
      <c r="A370" s="12" t="n">
        <v>366</v>
      </c>
      <c r="B370" s="10" t="s">
        <v>1226</v>
      </c>
      <c r="C370" s="10" t="s">
        <v>1020</v>
      </c>
      <c r="D370" s="11" t="n">
        <v>0.0105252314814815</v>
      </c>
      <c r="E370" s="18" t="n">
        <f aca="false">ROUND((D370-$D$5)*86400,2)</f>
        <v>119.64</v>
      </c>
      <c r="F370" s="12" t="n">
        <v>831</v>
      </c>
      <c r="G370" s="11" t="n">
        <f aca="false">IF(INDEX(選手一覧!$F$7:$F$2738,$F370)="","",INDEX(選手一覧!$F$7:$F$2738,$F370))</f>
        <v>0.00732141203703704</v>
      </c>
      <c r="H370" s="12" t="n">
        <f aca="false">IF(INDEX(選手一覧!$G$7:$G$2738,$F370)="","",INDEX(選手一覧!$G$7:$G$2738,$F370))</f>
        <v>671</v>
      </c>
      <c r="I370" s="11" t="n">
        <f aca="false">IF(INDEX(選手一覧!$H$7:$H$2738,$F370)="","",INDEX(選手一覧!$H$7:$H$2738,$F370))</f>
        <v>0.00289467592592593</v>
      </c>
      <c r="J370" s="12" t="n">
        <f aca="false">IF(INDEX(選手一覧!$I$7:$I$2738,$F370)="","",INDEX(選手一覧!$I$7:$I$2738,$F370))</f>
        <v>910</v>
      </c>
    </row>
    <row r="371" customFormat="false" ht="15" hidden="false" customHeight="false" outlineLevel="0" collapsed="false">
      <c r="A371" s="12" t="n">
        <v>367</v>
      </c>
      <c r="B371" s="10" t="s">
        <v>1230</v>
      </c>
      <c r="C371" s="10" t="s">
        <v>1231</v>
      </c>
      <c r="D371" s="11" t="n">
        <v>0.010525462962963</v>
      </c>
      <c r="E371" s="18" t="n">
        <f aca="false">ROUND((D371-$D$5)*86400,2)</f>
        <v>119.66</v>
      </c>
      <c r="F371" s="12" t="n">
        <v>834</v>
      </c>
      <c r="G371" s="11" t="str">
        <f aca="false">IF(INDEX(選手一覧!$F$7:$F$2738,$F371)="","",INDEX(選手一覧!$F$7:$F$2738,$F371))</f>
        <v/>
      </c>
      <c r="H371" s="12" t="str">
        <f aca="false">IF(INDEX(選手一覧!$G$7:$G$2738,$F371)="","",INDEX(選手一覧!$G$7:$G$2738,$F371))</f>
        <v/>
      </c>
      <c r="I371" s="11" t="n">
        <f aca="false">IF(INDEX(選手一覧!$H$7:$H$2738,$F371)="","",INDEX(選手一覧!$H$7:$H$2738,$F371))</f>
        <v>0.00284733796296296</v>
      </c>
      <c r="J371" s="12" t="n">
        <f aca="false">IF(INDEX(選手一覧!$I$7:$I$2738,$F371)="","",INDEX(選手一覧!$I$7:$I$2738,$F371))</f>
        <v>554</v>
      </c>
    </row>
    <row r="372" customFormat="false" ht="15" hidden="false" customHeight="false" outlineLevel="0" collapsed="false">
      <c r="A372" s="12" t="n">
        <v>368</v>
      </c>
      <c r="B372" s="10" t="s">
        <v>1233</v>
      </c>
      <c r="C372" s="10" t="s">
        <v>312</v>
      </c>
      <c r="D372" s="11" t="n">
        <v>0.0105259259259259</v>
      </c>
      <c r="E372" s="18" t="n">
        <f aca="false">ROUND((D372-$D$5)*86400,2)</f>
        <v>119.7</v>
      </c>
      <c r="F372" s="12" t="n">
        <v>836</v>
      </c>
      <c r="G372" s="11" t="str">
        <f aca="false">IF(INDEX(選手一覧!$F$7:$F$2738,$F372)="","",INDEX(選手一覧!$F$7:$F$2738,$F372))</f>
        <v/>
      </c>
      <c r="H372" s="12" t="str">
        <f aca="false">IF(INDEX(選手一覧!$G$7:$G$2738,$F372)="","",INDEX(選手一覧!$G$7:$G$2738,$F372))</f>
        <v/>
      </c>
      <c r="I372" s="11" t="n">
        <f aca="false">IF(INDEX(選手一覧!$H$7:$H$2738,$F372)="","",INDEX(選手一覧!$H$7:$H$2738,$F372))</f>
        <v>0.00289212962962963</v>
      </c>
      <c r="J372" s="12" t="n">
        <f aca="false">IF(INDEX(選手一覧!$I$7:$I$2738,$F372)="","",INDEX(選手一覧!$I$7:$I$2738,$F372))</f>
        <v>891</v>
      </c>
    </row>
    <row r="373" customFormat="false" ht="15" hidden="false" customHeight="false" outlineLevel="0" collapsed="false">
      <c r="A373" s="12" t="n">
        <v>369</v>
      </c>
      <c r="B373" s="10" t="s">
        <v>110</v>
      </c>
      <c r="C373" s="10" t="s">
        <v>25</v>
      </c>
      <c r="D373" s="11" t="n">
        <v>0.0105289351851852</v>
      </c>
      <c r="E373" s="18" t="n">
        <f aca="false">ROUND((D373-$D$5)*86400,2)</f>
        <v>119.96</v>
      </c>
      <c r="F373" s="12" t="n">
        <v>50</v>
      </c>
      <c r="G373" s="11" t="n">
        <f aca="false">IF(INDEX(選手一覧!$F$7:$F$2738,$F373)="","",INDEX(選手一覧!$F$7:$F$2738,$F373))</f>
        <v>0.00642326388888889</v>
      </c>
      <c r="H373" s="12" t="n">
        <f aca="false">IF(INDEX(選手一覧!$G$7:$G$2738,$F373)="","",INDEX(選手一覧!$G$7:$G$2738,$F373))</f>
        <v>20</v>
      </c>
      <c r="I373" s="11" t="str">
        <f aca="false">IF(INDEX(選手一覧!$H$7:$H$2738,$F373)="","",INDEX(選手一覧!$H$7:$H$2738,$F373))</f>
        <v/>
      </c>
      <c r="J373" s="12" t="str">
        <f aca="false">IF(INDEX(選手一覧!$I$7:$I$2738,$F373)="","",INDEX(選手一覧!$I$7:$I$2738,$F373))</f>
        <v/>
      </c>
    </row>
    <row r="374" customFormat="false" ht="15" hidden="false" customHeight="false" outlineLevel="0" collapsed="false">
      <c r="A374" s="12" t="n">
        <v>370</v>
      </c>
      <c r="B374" s="10" t="s">
        <v>636</v>
      </c>
      <c r="C374" s="10" t="s">
        <v>523</v>
      </c>
      <c r="D374" s="11" t="n">
        <v>0.0105296296296296</v>
      </c>
      <c r="E374" s="18" t="n">
        <f aca="false">ROUND((D374-$D$5)*86400,2)</f>
        <v>120.02</v>
      </c>
      <c r="F374" s="12" t="n">
        <v>403</v>
      </c>
      <c r="G374" s="11" t="n">
        <f aca="false">IF(INDEX(選手一覧!$F$7:$F$2738,$F374)="","",INDEX(選手一覧!$F$7:$F$2738,$F374))</f>
        <v>0.0068</v>
      </c>
      <c r="H374" s="12" t="n">
        <f aca="false">IF(INDEX(選手一覧!$G$7:$G$2738,$F374)="","",INDEX(選手一覧!$G$7:$G$2738,$F374))</f>
        <v>171</v>
      </c>
      <c r="I374" s="11" t="str">
        <f aca="false">IF(INDEX(選手一覧!$H$7:$H$2738,$F374)="","",INDEX(選手一覧!$H$7:$H$2738,$F374))</f>
        <v/>
      </c>
      <c r="J374" s="12" t="str">
        <f aca="false">IF(INDEX(選手一覧!$I$7:$I$2738,$F374)="","",INDEX(選手一覧!$I$7:$I$2738,$F374))</f>
        <v/>
      </c>
    </row>
    <row r="375" customFormat="false" ht="15" hidden="false" customHeight="false" outlineLevel="0" collapsed="false">
      <c r="A375" s="12" t="n">
        <v>371</v>
      </c>
      <c r="B375" s="10" t="s">
        <v>843</v>
      </c>
      <c r="C375" s="10" t="s">
        <v>844</v>
      </c>
      <c r="D375" s="11" t="n">
        <v>0.0105298611111111</v>
      </c>
      <c r="E375" s="18" t="n">
        <f aca="false">ROUND((D375-$D$5)*86400,2)</f>
        <v>120.04</v>
      </c>
      <c r="F375" s="12" t="n">
        <v>551</v>
      </c>
      <c r="G375" s="11" t="str">
        <f aca="false">IF(INDEX(選手一覧!$F$7:$F$2738,$F375)="","",INDEX(選手一覧!$F$7:$F$2738,$F375))</f>
        <v/>
      </c>
      <c r="H375" s="12" t="str">
        <f aca="false">IF(INDEX(選手一覧!$G$7:$G$2738,$F375)="","",INDEX(選手一覧!$G$7:$G$2738,$F375))</f>
        <v/>
      </c>
      <c r="I375" s="11" t="n">
        <f aca="false">IF(INDEX(選手一覧!$H$7:$H$2738,$F375)="","",INDEX(選手一覧!$H$7:$H$2738,$F375))</f>
        <v>0.00278726851851852</v>
      </c>
      <c r="J375" s="12" t="n">
        <f aca="false">IF(INDEX(選手一覧!$I$7:$I$2738,$F375)="","",INDEX(選手一覧!$I$7:$I$2738,$F375))</f>
        <v>231</v>
      </c>
    </row>
    <row r="376" customFormat="false" ht="15" hidden="false" customHeight="false" outlineLevel="0" collapsed="false">
      <c r="A376" s="12" t="n">
        <v>372</v>
      </c>
      <c r="B376" s="10" t="s">
        <v>778</v>
      </c>
      <c r="C376" s="10" t="s">
        <v>226</v>
      </c>
      <c r="D376" s="11" t="n">
        <v>0.0105300925925926</v>
      </c>
      <c r="E376" s="18" t="n">
        <f aca="false">ROUND((D376-$D$5)*86400,2)</f>
        <v>120.06</v>
      </c>
      <c r="F376" s="12" t="n">
        <v>505</v>
      </c>
      <c r="G376" s="11" t="n">
        <f aca="false">IF(INDEX(選手一覧!$F$7:$F$2738,$F376)="","",INDEX(選手一覧!$F$7:$F$2738,$F376))</f>
        <v>0.0068619212962963</v>
      </c>
      <c r="H376" s="12" t="n">
        <f aca="false">IF(INDEX(選手一覧!$G$7:$G$2738,$F376)="","",INDEX(選手一覧!$G$7:$G$2738,$F376))</f>
        <v>212</v>
      </c>
      <c r="I376" s="11" t="n">
        <f aca="false">IF(INDEX(選手一覧!$H$7:$H$2738,$F376)="","",INDEX(選手一覧!$H$7:$H$2738,$F376))</f>
        <v>0.00280393518518519</v>
      </c>
      <c r="J376" s="12" t="n">
        <f aca="false">IF(INDEX(選手一覧!$I$7:$I$2738,$F376)="","",INDEX(選手一覧!$I$7:$I$2738,$F376))</f>
        <v>299</v>
      </c>
    </row>
    <row r="377" customFormat="false" ht="15" hidden="false" customHeight="false" outlineLevel="0" collapsed="false">
      <c r="A377" s="12" t="n">
        <v>373</v>
      </c>
      <c r="B377" s="10" t="s">
        <v>681</v>
      </c>
      <c r="C377" s="10" t="s">
        <v>91</v>
      </c>
      <c r="D377" s="11" t="n">
        <v>0.0105304398148148</v>
      </c>
      <c r="E377" s="18" t="n">
        <f aca="false">ROUND((D377-$D$5)*86400,2)</f>
        <v>120.09</v>
      </c>
      <c r="F377" s="12" t="n">
        <v>435</v>
      </c>
      <c r="G377" s="11" t="str">
        <f aca="false">IF(INDEX(選手一覧!$F$7:$F$2738,$F377)="","",INDEX(選手一覧!$F$7:$F$2738,$F377))</f>
        <v/>
      </c>
      <c r="H377" s="12" t="str">
        <f aca="false">IF(INDEX(選手一覧!$G$7:$G$2738,$F377)="","",INDEX(選手一覧!$G$7:$G$2738,$F377))</f>
        <v/>
      </c>
      <c r="I377" s="11" t="n">
        <f aca="false">IF(INDEX(選手一覧!$H$7:$H$2738,$F377)="","",INDEX(選手一覧!$H$7:$H$2738,$F377))</f>
        <v>0.00277627314814815</v>
      </c>
      <c r="J377" s="12" t="n">
        <f aca="false">IF(INDEX(選手一覧!$I$7:$I$2738,$F377)="","",INDEX(選手一覧!$I$7:$I$2738,$F377))</f>
        <v>183</v>
      </c>
    </row>
    <row r="378" customFormat="false" ht="15" hidden="false" customHeight="false" outlineLevel="0" collapsed="false">
      <c r="A378" s="12" t="n">
        <v>374</v>
      </c>
      <c r="B378" s="10" t="s">
        <v>1241</v>
      </c>
      <c r="C378" s="10" t="s">
        <v>69</v>
      </c>
      <c r="D378" s="11" t="n">
        <v>0.0105324074074074</v>
      </c>
      <c r="E378" s="18" t="n">
        <f aca="false">ROUND((D378-$D$5)*86400,2)</f>
        <v>120.26</v>
      </c>
      <c r="F378" s="12" t="n">
        <v>843</v>
      </c>
      <c r="G378" s="11" t="str">
        <f aca="false">IF(INDEX(選手一覧!$F$7:$F$2738,$F378)="","",INDEX(選手一覧!$F$7:$F$2738,$F378))</f>
        <v/>
      </c>
      <c r="H378" s="12" t="str">
        <f aca="false">IF(INDEX(選手一覧!$G$7:$G$2738,$F378)="","",INDEX(選手一覧!$G$7:$G$2738,$F378))</f>
        <v/>
      </c>
      <c r="I378" s="11" t="str">
        <f aca="false">IF(INDEX(選手一覧!$H$7:$H$2738,$F378)="","",INDEX(選手一覧!$H$7:$H$2738,$F378))</f>
        <v/>
      </c>
      <c r="J378" s="12" t="str">
        <f aca="false">IF(INDEX(選手一覧!$I$7:$I$2738,$F378)="","",INDEX(選手一覧!$I$7:$I$2738,$F378))</f>
        <v/>
      </c>
    </row>
    <row r="379" customFormat="false" ht="15" hidden="false" customHeight="false" outlineLevel="0" collapsed="false">
      <c r="A379" s="12" t="n">
        <v>375</v>
      </c>
      <c r="B379" s="10" t="s">
        <v>989</v>
      </c>
      <c r="C379" s="10" t="s">
        <v>312</v>
      </c>
      <c r="D379" s="11" t="n">
        <v>0.0105329861111111</v>
      </c>
      <c r="E379" s="18" t="n">
        <f aca="false">ROUND((D379-$D$5)*86400,2)</f>
        <v>120.31</v>
      </c>
      <c r="F379" s="12" t="n">
        <v>660</v>
      </c>
      <c r="G379" s="11" t="str">
        <f aca="false">IF(INDEX(選手一覧!$F$7:$F$2738,$F379)="","",INDEX(選手一覧!$F$7:$F$2738,$F379))</f>
        <v/>
      </c>
      <c r="H379" s="12" t="str">
        <f aca="false">IF(INDEX(選手一覧!$G$7:$G$2738,$F379)="","",INDEX(選手一覧!$G$7:$G$2738,$F379))</f>
        <v/>
      </c>
      <c r="I379" s="11" t="n">
        <f aca="false">IF(INDEX(選手一覧!$H$7:$H$2738,$F379)="","",INDEX(選手一覧!$H$7:$H$2738,$F379))</f>
        <v>0.00279965277777778</v>
      </c>
      <c r="J379" s="12" t="n">
        <f aca="false">IF(INDEX(選手一覧!$I$7:$I$2738,$F379)="","",INDEX(選手一覧!$I$7:$I$2738,$F379))</f>
        <v>281</v>
      </c>
    </row>
    <row r="380" customFormat="false" ht="15" hidden="false" customHeight="false" outlineLevel="0" collapsed="false">
      <c r="A380" s="12" t="n">
        <v>376</v>
      </c>
      <c r="B380" s="10" t="s">
        <v>1247</v>
      </c>
      <c r="C380" s="10" t="s">
        <v>263</v>
      </c>
      <c r="D380" s="11" t="n">
        <v>0.0105346064814815</v>
      </c>
      <c r="E380" s="18" t="n">
        <f aca="false">ROUND((D380-$D$5)*86400,2)</f>
        <v>120.45</v>
      </c>
      <c r="F380" s="12" t="n">
        <v>847</v>
      </c>
      <c r="G380" s="11" t="n">
        <f aca="false">IF(INDEX(選手一覧!$F$7:$F$2738,$F380)="","",INDEX(選手一覧!$F$7:$F$2738,$F380))</f>
        <v>0.00715509259259259</v>
      </c>
      <c r="H380" s="12" t="n">
        <f aca="false">IF(INDEX(選手一覧!$G$7:$G$2738,$F380)="","",INDEX(選手一覧!$G$7:$G$2738,$F380))</f>
        <v>491</v>
      </c>
      <c r="I380" s="11" t="n">
        <f aca="false">IF(INDEX(選手一覧!$H$7:$H$2738,$F380)="","",INDEX(選手一覧!$H$7:$H$2738,$F380))</f>
        <v>0.00291921296296296</v>
      </c>
      <c r="J380" s="12" t="n">
        <f aca="false">IF(INDEX(選手一覧!$I$7:$I$2738,$F380)="","",INDEX(選手一覧!$I$7:$I$2738,$F380))</f>
        <v>1085</v>
      </c>
    </row>
    <row r="381" customFormat="false" ht="15" hidden="false" customHeight="false" outlineLevel="0" collapsed="false">
      <c r="A381" s="12" t="n">
        <v>377</v>
      </c>
      <c r="B381" s="10" t="s">
        <v>1168</v>
      </c>
      <c r="C381" s="10" t="s">
        <v>208</v>
      </c>
      <c r="D381" s="11" t="n">
        <v>0.0105350694444444</v>
      </c>
      <c r="E381" s="18" t="n">
        <f aca="false">ROUND((D381-$D$5)*86400,2)</f>
        <v>120.49</v>
      </c>
      <c r="F381" s="12" t="n">
        <v>792</v>
      </c>
      <c r="G381" s="11" t="str">
        <f aca="false">IF(INDEX(選手一覧!$F$7:$F$2738,$F381)="","",INDEX(選手一覧!$F$7:$F$2738,$F381))</f>
        <v/>
      </c>
      <c r="H381" s="12" t="str">
        <f aca="false">IF(INDEX(選手一覧!$G$7:$G$2738,$F381)="","",INDEX(選手一覧!$G$7:$G$2738,$F381))</f>
        <v/>
      </c>
      <c r="I381" s="11" t="n">
        <f aca="false">IF(INDEX(選手一覧!$H$7:$H$2738,$F381)="","",INDEX(選手一覧!$H$7:$H$2738,$F381))</f>
        <v>0.00281574074074074</v>
      </c>
      <c r="J381" s="12" t="n">
        <f aca="false">IF(INDEX(選手一覧!$I$7:$I$2738,$F381)="","",INDEX(選手一覧!$I$7:$I$2738,$F381))</f>
        <v>344</v>
      </c>
    </row>
    <row r="382" customFormat="false" ht="15" hidden="false" customHeight="false" outlineLevel="0" collapsed="false">
      <c r="A382" s="12" t="n">
        <v>378</v>
      </c>
      <c r="B382" s="10" t="s">
        <v>1252</v>
      </c>
      <c r="C382" s="10" t="s">
        <v>385</v>
      </c>
      <c r="D382" s="11" t="n">
        <v>0.0105351851851852</v>
      </c>
      <c r="E382" s="18" t="n">
        <f aca="false">ROUND((D382-$D$5)*86400,2)</f>
        <v>120.5</v>
      </c>
      <c r="F382" s="12" t="n">
        <v>852</v>
      </c>
      <c r="G382" s="11" t="str">
        <f aca="false">IF(INDEX(選手一覧!$F$7:$F$2738,$F382)="","",INDEX(選手一覧!$F$7:$F$2738,$F382))</f>
        <v/>
      </c>
      <c r="H382" s="12" t="str">
        <f aca="false">IF(INDEX(選手一覧!$G$7:$G$2738,$F382)="","",INDEX(選手一覧!$G$7:$G$2738,$F382))</f>
        <v/>
      </c>
      <c r="I382" s="11" t="n">
        <f aca="false">IF(INDEX(選手一覧!$H$7:$H$2738,$F382)="","",INDEX(選手一覧!$H$7:$H$2738,$F382))</f>
        <v>0.00287175925925926</v>
      </c>
      <c r="J382" s="12" t="n">
        <f aca="false">IF(INDEX(選手一覧!$I$7:$I$2738,$F382)="","",INDEX(選手一覧!$I$7:$I$2738,$F382))</f>
        <v>715</v>
      </c>
    </row>
    <row r="383" customFormat="false" ht="15" hidden="false" customHeight="false" outlineLevel="0" collapsed="false">
      <c r="A383" s="12" t="n">
        <v>379</v>
      </c>
      <c r="B383" s="10" t="s">
        <v>1253</v>
      </c>
      <c r="C383" s="10" t="s">
        <v>134</v>
      </c>
      <c r="D383" s="11" t="n">
        <v>0.0105353009259259</v>
      </c>
      <c r="E383" s="18" t="n">
        <f aca="false">ROUND((D383-$D$5)*86400,2)</f>
        <v>120.51</v>
      </c>
      <c r="F383" s="12" t="n">
        <v>853</v>
      </c>
      <c r="G383" s="11" t="str">
        <f aca="false">IF(INDEX(選手一覧!$F$7:$F$2738,$F383)="","",INDEX(選手一覧!$F$7:$F$2738,$F383))</f>
        <v/>
      </c>
      <c r="H383" s="12" t="str">
        <f aca="false">IF(INDEX(選手一覧!$G$7:$G$2738,$F383)="","",INDEX(選手一覧!$G$7:$G$2738,$F383))</f>
        <v/>
      </c>
      <c r="I383" s="11" t="n">
        <f aca="false">IF(INDEX(選手一覧!$H$7:$H$2738,$F383)="","",INDEX(選手一覧!$H$7:$H$2738,$F383))</f>
        <v>0.00283449074074074</v>
      </c>
      <c r="J383" s="12" t="n">
        <f aca="false">IF(INDEX(選手一覧!$I$7:$I$2738,$F383)="","",INDEX(選手一覧!$I$7:$I$2738,$F383))</f>
        <v>453</v>
      </c>
    </row>
    <row r="384" customFormat="false" ht="15" hidden="false" customHeight="false" outlineLevel="0" collapsed="false">
      <c r="A384" s="12" t="n">
        <v>380</v>
      </c>
      <c r="B384" s="10" t="s">
        <v>809</v>
      </c>
      <c r="C384" s="10" t="s">
        <v>810</v>
      </c>
      <c r="D384" s="11" t="n">
        <v>0.0105354166666667</v>
      </c>
      <c r="E384" s="18" t="n">
        <f aca="false">ROUND((D384-$D$5)*86400,2)</f>
        <v>120.52</v>
      </c>
      <c r="F384" s="12" t="n">
        <v>529</v>
      </c>
      <c r="G384" s="11" t="str">
        <f aca="false">IF(INDEX(選手一覧!$F$7:$F$2738,$F384)="","",INDEX(選手一覧!$F$7:$F$2738,$F384))</f>
        <v/>
      </c>
      <c r="H384" s="12" t="str">
        <f aca="false">IF(INDEX(選手一覧!$G$7:$G$2738,$F384)="","",INDEX(選手一覧!$G$7:$G$2738,$F384))</f>
        <v/>
      </c>
      <c r="I384" s="11" t="n">
        <f aca="false">IF(INDEX(選手一覧!$H$7:$H$2738,$F384)="","",INDEX(選手一覧!$H$7:$H$2738,$F384))</f>
        <v>0.00278622685185185</v>
      </c>
      <c r="J384" s="12" t="n">
        <f aca="false">IF(INDEX(選手一覧!$I$7:$I$2738,$F384)="","",INDEX(選手一覧!$I$7:$I$2738,$F384))</f>
        <v>222</v>
      </c>
    </row>
    <row r="385" customFormat="false" ht="15" hidden="false" customHeight="false" outlineLevel="0" collapsed="false">
      <c r="A385" s="12" t="n">
        <v>381</v>
      </c>
      <c r="B385" s="10" t="s">
        <v>1259</v>
      </c>
      <c r="C385" s="10" t="s">
        <v>1260</v>
      </c>
      <c r="D385" s="11" t="n">
        <v>0.0105368055555556</v>
      </c>
      <c r="E385" s="18" t="n">
        <f aca="false">ROUND((D385-$D$5)*86400,2)</f>
        <v>120.64</v>
      </c>
      <c r="F385" s="12" t="n">
        <v>857</v>
      </c>
      <c r="G385" s="11" t="str">
        <f aca="false">IF(INDEX(選手一覧!$F$7:$F$2738,$F385)="","",INDEX(選手一覧!$F$7:$F$2738,$F385))</f>
        <v/>
      </c>
      <c r="H385" s="12" t="str">
        <f aca="false">IF(INDEX(選手一覧!$G$7:$G$2738,$F385)="","",INDEX(選手一覧!$G$7:$G$2738,$F385))</f>
        <v/>
      </c>
      <c r="I385" s="11" t="n">
        <f aca="false">IF(INDEX(選手一覧!$H$7:$H$2738,$F385)="","",INDEX(選手一覧!$H$7:$H$2738,$F385))</f>
        <v>0.00284155092592593</v>
      </c>
      <c r="J385" s="12" t="n">
        <f aca="false">IF(INDEX(選手一覧!$I$7:$I$2738,$F385)="","",INDEX(選手一覧!$I$7:$I$2738,$F385))</f>
        <v>511</v>
      </c>
    </row>
    <row r="386" customFormat="false" ht="15" hidden="false" customHeight="false" outlineLevel="0" collapsed="false">
      <c r="A386" s="12" t="n">
        <v>382</v>
      </c>
      <c r="B386" s="10" t="s">
        <v>895</v>
      </c>
      <c r="C386" s="10" t="s">
        <v>382</v>
      </c>
      <c r="D386" s="11" t="n">
        <v>0.0105369212962963</v>
      </c>
      <c r="E386" s="18" t="n">
        <f aca="false">ROUND((D386-$D$5)*86400,2)</f>
        <v>120.65</v>
      </c>
      <c r="F386" s="12" t="n">
        <v>591</v>
      </c>
      <c r="G386" s="11" t="str">
        <f aca="false">IF(INDEX(選手一覧!$F$7:$F$2738,$F386)="","",INDEX(選手一覧!$F$7:$F$2738,$F386))</f>
        <v/>
      </c>
      <c r="H386" s="12" t="str">
        <f aca="false">IF(INDEX(選手一覧!$G$7:$G$2738,$F386)="","",INDEX(選手一覧!$G$7:$G$2738,$F386))</f>
        <v/>
      </c>
      <c r="I386" s="11" t="n">
        <f aca="false">IF(INDEX(選手一覧!$H$7:$H$2738,$F386)="","",INDEX(選手一覧!$H$7:$H$2738,$F386))</f>
        <v>0.00279189814814815</v>
      </c>
      <c r="J386" s="12" t="n">
        <f aca="false">IF(INDEX(選手一覧!$I$7:$I$2738,$F386)="","",INDEX(選手一覧!$I$7:$I$2738,$F386))</f>
        <v>248</v>
      </c>
    </row>
    <row r="387" customFormat="false" ht="15" hidden="false" customHeight="false" outlineLevel="0" collapsed="false">
      <c r="A387" s="12" t="n">
        <v>383</v>
      </c>
      <c r="B387" s="10" t="s">
        <v>1266</v>
      </c>
      <c r="C387" s="10" t="s">
        <v>149</v>
      </c>
      <c r="D387" s="11" t="n">
        <v>0.0105378472222222</v>
      </c>
      <c r="E387" s="18" t="n">
        <f aca="false">ROUND((D387-$D$5)*86400,2)</f>
        <v>120.73</v>
      </c>
      <c r="F387" s="12" t="n">
        <v>861</v>
      </c>
      <c r="G387" s="11" t="str">
        <f aca="false">IF(INDEX(選手一覧!$F$7:$F$2738,$F387)="","",INDEX(選手一覧!$F$7:$F$2738,$F387))</f>
        <v/>
      </c>
      <c r="H387" s="12" t="str">
        <f aca="false">IF(INDEX(選手一覧!$G$7:$G$2738,$F387)="","",INDEX(選手一覧!$G$7:$G$2738,$F387))</f>
        <v/>
      </c>
      <c r="I387" s="11" t="str">
        <f aca="false">IF(INDEX(選手一覧!$H$7:$H$2738,$F387)="","",INDEX(選手一覧!$H$7:$H$2738,$F387))</f>
        <v/>
      </c>
      <c r="J387" s="12" t="str">
        <f aca="false">IF(INDEX(選手一覧!$I$7:$I$2738,$F387)="","",INDEX(選手一覧!$I$7:$I$2738,$F387))</f>
        <v/>
      </c>
    </row>
    <row r="388" customFormat="false" ht="15" hidden="false" customHeight="false" outlineLevel="0" collapsed="false">
      <c r="A388" s="12" t="n">
        <v>384</v>
      </c>
      <c r="B388" s="10" t="s">
        <v>1269</v>
      </c>
      <c r="C388" s="10" t="s">
        <v>380</v>
      </c>
      <c r="D388" s="11" t="n">
        <v>0.0105391203703704</v>
      </c>
      <c r="E388" s="18" t="n">
        <f aca="false">ROUND((D388-$D$5)*86400,2)</f>
        <v>120.84</v>
      </c>
      <c r="F388" s="12" t="n">
        <v>863</v>
      </c>
      <c r="G388" s="11" t="str">
        <f aca="false">IF(INDEX(選手一覧!$F$7:$F$2738,$F388)="","",INDEX(選手一覧!$F$7:$F$2738,$F388))</f>
        <v/>
      </c>
      <c r="H388" s="12" t="str">
        <f aca="false">IF(INDEX(選手一覧!$G$7:$G$2738,$F388)="","",INDEX(選手一覧!$G$7:$G$2738,$F388))</f>
        <v/>
      </c>
      <c r="I388" s="11" t="n">
        <f aca="false">IF(INDEX(選手一覧!$H$7:$H$2738,$F388)="","",INDEX(選手一覧!$H$7:$H$2738,$F388))</f>
        <v>0.00288923611111111</v>
      </c>
      <c r="J388" s="12" t="n">
        <f aca="false">IF(INDEX(選手一覧!$I$7:$I$2738,$F388)="","",INDEX(選手一覧!$I$7:$I$2738,$F388))</f>
        <v>858</v>
      </c>
    </row>
    <row r="389" customFormat="false" ht="15" hidden="false" customHeight="false" outlineLevel="0" collapsed="false">
      <c r="A389" s="12" t="n">
        <v>385</v>
      </c>
      <c r="B389" s="10" t="s">
        <v>80</v>
      </c>
      <c r="C389" s="10" t="s">
        <v>81</v>
      </c>
      <c r="D389" s="11" t="n">
        <v>0.0105398148148148</v>
      </c>
      <c r="E389" s="18" t="n">
        <f aca="false">ROUND((D389-$D$5)*86400,2)</f>
        <v>120.9</v>
      </c>
      <c r="F389" s="12" t="n">
        <v>33</v>
      </c>
      <c r="G389" s="11" t="n">
        <f aca="false">IF(INDEX(選手一覧!$F$7:$F$2738,$F389)="","",INDEX(選手一覧!$F$7:$F$2738,$F389))</f>
        <v>0.00639525462962963</v>
      </c>
      <c r="H389" s="12" t="n">
        <f aca="false">IF(INDEX(選手一覧!$G$7:$G$2738,$F389)="","",INDEX(選手一覧!$G$7:$G$2738,$F389))</f>
        <v>14</v>
      </c>
      <c r="I389" s="11" t="n">
        <f aca="false">IF(INDEX(選手一覧!$H$7:$H$2738,$F389)="","",INDEX(選手一覧!$H$7:$H$2738,$F389))</f>
        <v>0.00272905092592593</v>
      </c>
      <c r="J389" s="12" t="n">
        <f aca="false">IF(INDEX(選手一覧!$I$7:$I$2738,$F389)="","",INDEX(選手一覧!$I$7:$I$2738,$F389))</f>
        <v>63</v>
      </c>
    </row>
    <row r="390" customFormat="false" ht="15" hidden="false" customHeight="false" outlineLevel="0" collapsed="false">
      <c r="A390" s="12" t="n">
        <v>386</v>
      </c>
      <c r="B390" s="10" t="s">
        <v>1277</v>
      </c>
      <c r="C390" s="10" t="s">
        <v>39</v>
      </c>
      <c r="D390" s="11" t="n">
        <v>0.010540162037037</v>
      </c>
      <c r="E390" s="18" t="n">
        <f aca="false">ROUND((D390-$D$5)*86400,2)</f>
        <v>120.93</v>
      </c>
      <c r="F390" s="12" t="n">
        <v>869</v>
      </c>
      <c r="G390" s="11" t="str">
        <f aca="false">IF(INDEX(選手一覧!$F$7:$F$2738,$F390)="","",INDEX(選手一覧!$F$7:$F$2738,$F390))</f>
        <v/>
      </c>
      <c r="H390" s="12" t="str">
        <f aca="false">IF(INDEX(選手一覧!$G$7:$G$2738,$F390)="","",INDEX(選手一覧!$G$7:$G$2738,$F390))</f>
        <v/>
      </c>
      <c r="I390" s="11" t="str">
        <f aca="false">IF(INDEX(選手一覧!$H$7:$H$2738,$F390)="","",INDEX(選手一覧!$H$7:$H$2738,$F390))</f>
        <v/>
      </c>
      <c r="J390" s="12" t="str">
        <f aca="false">IF(INDEX(選手一覧!$I$7:$I$2738,$F390)="","",INDEX(選手一覧!$I$7:$I$2738,$F390))</f>
        <v/>
      </c>
    </row>
    <row r="391" customFormat="false" ht="15" hidden="false" customHeight="false" outlineLevel="0" collapsed="false">
      <c r="A391" s="12" t="n">
        <v>387</v>
      </c>
      <c r="B391" s="10" t="s">
        <v>1080</v>
      </c>
      <c r="C391" s="10" t="s">
        <v>261</v>
      </c>
      <c r="D391" s="11" t="n">
        <v>0.0105403935185185</v>
      </c>
      <c r="E391" s="18" t="n">
        <f aca="false">ROUND((D391-$D$5)*86400,2)</f>
        <v>120.95</v>
      </c>
      <c r="F391" s="12" t="n">
        <v>725</v>
      </c>
      <c r="G391" s="11" t="str">
        <f aca="false">IF(INDEX(選手一覧!$F$7:$F$2738,$F391)="","",INDEX(選手一覧!$F$7:$F$2738,$F391))</f>
        <v/>
      </c>
      <c r="H391" s="12" t="str">
        <f aca="false">IF(INDEX(選手一覧!$G$7:$G$2738,$F391)="","",INDEX(選手一覧!$G$7:$G$2738,$F391))</f>
        <v/>
      </c>
      <c r="I391" s="11" t="n">
        <f aca="false">IF(INDEX(選手一覧!$H$7:$H$2738,$F391)="","",INDEX(選手一覧!$H$7:$H$2738,$F391))</f>
        <v>0.00280694444444444</v>
      </c>
      <c r="J391" s="12" t="n">
        <f aca="false">IF(INDEX(選手一覧!$I$7:$I$2738,$F391)="","",INDEX(選手一覧!$I$7:$I$2738,$F391))</f>
        <v>312</v>
      </c>
    </row>
    <row r="392" customFormat="false" ht="15" hidden="false" customHeight="false" outlineLevel="0" collapsed="false">
      <c r="A392" s="12" t="n">
        <v>388</v>
      </c>
      <c r="B392" s="10" t="s">
        <v>1281</v>
      </c>
      <c r="C392" s="10" t="s">
        <v>130</v>
      </c>
      <c r="D392" s="11" t="n">
        <v>0.0105407407407407</v>
      </c>
      <c r="E392" s="18" t="n">
        <f aca="false">ROUND((D392-$D$5)*86400,2)</f>
        <v>120.98</v>
      </c>
      <c r="F392" s="12" t="n">
        <v>872</v>
      </c>
      <c r="G392" s="11" t="str">
        <f aca="false">IF(INDEX(選手一覧!$F$7:$F$2738,$F392)="","",INDEX(選手一覧!$F$7:$F$2738,$F392))</f>
        <v/>
      </c>
      <c r="H392" s="12" t="str">
        <f aca="false">IF(INDEX(選手一覧!$G$7:$G$2738,$F392)="","",INDEX(選手一覧!$G$7:$G$2738,$F392))</f>
        <v/>
      </c>
      <c r="I392" s="11" t="str">
        <f aca="false">IF(INDEX(選手一覧!$H$7:$H$2738,$F392)="","",INDEX(選手一覧!$H$7:$H$2738,$F392))</f>
        <v/>
      </c>
      <c r="J392" s="12" t="str">
        <f aca="false">IF(INDEX(選手一覧!$I$7:$I$2738,$F392)="","",INDEX(選手一覧!$I$7:$I$2738,$F392))</f>
        <v/>
      </c>
    </row>
    <row r="393" customFormat="false" ht="15" hidden="false" customHeight="false" outlineLevel="0" collapsed="false">
      <c r="A393" s="12" t="n">
        <v>389</v>
      </c>
      <c r="B393" s="10" t="s">
        <v>396</v>
      </c>
      <c r="C393" s="10" t="s">
        <v>397</v>
      </c>
      <c r="D393" s="11" t="n">
        <v>0.0105414351851852</v>
      </c>
      <c r="E393" s="18" t="n">
        <f aca="false">ROUND((D393-$D$5)*86400,2)</f>
        <v>121.04</v>
      </c>
      <c r="F393" s="12" t="n">
        <v>238</v>
      </c>
      <c r="G393" s="11" t="str">
        <f aca="false">IF(INDEX(選手一覧!$F$7:$F$2738,$F393)="","",INDEX(選手一覧!$F$7:$F$2738,$F393))</f>
        <v/>
      </c>
      <c r="H393" s="12" t="str">
        <f aca="false">IF(INDEX(選手一覧!$G$7:$G$2738,$F393)="","",INDEX(選手一覧!$G$7:$G$2738,$F393))</f>
        <v/>
      </c>
      <c r="I393" s="11" t="n">
        <f aca="false">IF(INDEX(選手一覧!$H$7:$H$2738,$F393)="","",INDEX(選手一覧!$H$7:$H$2738,$F393))</f>
        <v>0.00274861111111111</v>
      </c>
      <c r="J393" s="12" t="n">
        <f aca="false">IF(INDEX(選手一覧!$I$7:$I$2738,$F393)="","",INDEX(選手一覧!$I$7:$I$2738,$F393))</f>
        <v>98</v>
      </c>
    </row>
    <row r="394" customFormat="false" ht="15" hidden="false" customHeight="false" outlineLevel="0" collapsed="false">
      <c r="A394" s="12" t="n">
        <v>390</v>
      </c>
      <c r="B394" s="10" t="s">
        <v>1289</v>
      </c>
      <c r="C394" s="10" t="s">
        <v>47</v>
      </c>
      <c r="D394" s="11" t="n">
        <v>0.0105425925925926</v>
      </c>
      <c r="E394" s="18" t="n">
        <f aca="false">ROUND((D394-$D$5)*86400,2)</f>
        <v>121.14</v>
      </c>
      <c r="F394" s="12" t="n">
        <v>877</v>
      </c>
      <c r="G394" s="11" t="str">
        <f aca="false">IF(INDEX(選手一覧!$F$7:$F$2738,$F394)="","",INDEX(選手一覧!$F$7:$F$2738,$F394))</f>
        <v/>
      </c>
      <c r="H394" s="12" t="str">
        <f aca="false">IF(INDEX(選手一覧!$G$7:$G$2738,$F394)="","",INDEX(選手一覧!$G$7:$G$2738,$F394))</f>
        <v/>
      </c>
      <c r="I394" s="11" t="str">
        <f aca="false">IF(INDEX(選手一覧!$H$7:$H$2738,$F394)="","",INDEX(選手一覧!$H$7:$H$2738,$F394))</f>
        <v/>
      </c>
      <c r="J394" s="12" t="str">
        <f aca="false">IF(INDEX(選手一覧!$I$7:$I$2738,$F394)="","",INDEX(選手一覧!$I$7:$I$2738,$F394))</f>
        <v/>
      </c>
    </row>
    <row r="395" customFormat="false" ht="15" hidden="false" customHeight="false" outlineLevel="0" collapsed="false">
      <c r="A395" s="12" t="n">
        <v>391</v>
      </c>
      <c r="B395" s="10" t="s">
        <v>441</v>
      </c>
      <c r="C395" s="10" t="s">
        <v>49</v>
      </c>
      <c r="D395" s="11" t="n">
        <v>0.0105428240740741</v>
      </c>
      <c r="E395" s="18" t="n">
        <f aca="false">ROUND((D395-$D$5)*86400,2)</f>
        <v>121.16</v>
      </c>
      <c r="F395" s="12" t="n">
        <v>271</v>
      </c>
      <c r="G395" s="11" t="str">
        <f aca="false">IF(INDEX(選手一覧!$F$7:$F$2738,$F395)="","",INDEX(選手一覧!$F$7:$F$2738,$F395))</f>
        <v/>
      </c>
      <c r="H395" s="12" t="str">
        <f aca="false">IF(INDEX(選手一覧!$G$7:$G$2738,$F395)="","",INDEX(選手一覧!$G$7:$G$2738,$F395))</f>
        <v/>
      </c>
      <c r="I395" s="11" t="n">
        <f aca="false">IF(INDEX(選手一覧!$H$7:$H$2738,$F395)="","",INDEX(選手一覧!$H$7:$H$2738,$F395))</f>
        <v>0.0027537037037037</v>
      </c>
      <c r="J395" s="12" t="n">
        <f aca="false">IF(INDEX(選手一覧!$I$7:$I$2738,$F395)="","",INDEX(選手一覧!$I$7:$I$2738,$F395))</f>
        <v>112</v>
      </c>
    </row>
    <row r="396" customFormat="false" ht="15" hidden="false" customHeight="false" outlineLevel="0" collapsed="false">
      <c r="A396" s="12" t="n">
        <v>392</v>
      </c>
      <c r="B396" s="10" t="s">
        <v>1292</v>
      </c>
      <c r="C396" s="10" t="s">
        <v>326</v>
      </c>
      <c r="D396" s="11" t="n">
        <v>0.010544212962963</v>
      </c>
      <c r="E396" s="18" t="n">
        <f aca="false">ROUND((D396-$D$5)*86400,2)</f>
        <v>121.28</v>
      </c>
      <c r="F396" s="12" t="n">
        <v>880</v>
      </c>
      <c r="G396" s="11" t="str">
        <f aca="false">IF(INDEX(選手一覧!$F$7:$F$2738,$F396)="","",INDEX(選手一覧!$F$7:$F$2738,$F396))</f>
        <v/>
      </c>
      <c r="H396" s="12" t="str">
        <f aca="false">IF(INDEX(選手一覧!$G$7:$G$2738,$F396)="","",INDEX(選手一覧!$G$7:$G$2738,$F396))</f>
        <v/>
      </c>
      <c r="I396" s="11" t="n">
        <f aca="false">IF(INDEX(選手一覧!$H$7:$H$2738,$F396)="","",INDEX(選手一覧!$H$7:$H$2738,$F396))</f>
        <v>0.00284861111111111</v>
      </c>
      <c r="J396" s="12" t="n">
        <f aca="false">IF(INDEX(選手一覧!$I$7:$I$2738,$F396)="","",INDEX(選手一覧!$I$7:$I$2738,$F396))</f>
        <v>560</v>
      </c>
    </row>
    <row r="397" customFormat="false" ht="15" hidden="false" customHeight="false" outlineLevel="0" collapsed="false">
      <c r="A397" s="12" t="n">
        <v>393</v>
      </c>
      <c r="B397" s="10" t="s">
        <v>1300</v>
      </c>
      <c r="C397" s="10" t="s">
        <v>1301</v>
      </c>
      <c r="D397" s="11" t="n">
        <v>0.0105469907407407</v>
      </c>
      <c r="E397" s="18" t="n">
        <f aca="false">ROUND((D397-$D$5)*86400,2)</f>
        <v>121.52</v>
      </c>
      <c r="F397" s="12" t="n">
        <v>885</v>
      </c>
      <c r="G397" s="11" t="str">
        <f aca="false">IF(INDEX(選手一覧!$F$7:$F$2738,$F397)="","",INDEX(選手一覧!$F$7:$F$2738,$F397))</f>
        <v/>
      </c>
      <c r="H397" s="12" t="str">
        <f aca="false">IF(INDEX(選手一覧!$G$7:$G$2738,$F397)="","",INDEX(選手一覧!$G$7:$G$2738,$F397))</f>
        <v/>
      </c>
      <c r="I397" s="11" t="str">
        <f aca="false">IF(INDEX(選手一覧!$H$7:$H$2738,$F397)="","",INDEX(選手一覧!$H$7:$H$2738,$F397))</f>
        <v/>
      </c>
      <c r="J397" s="12" t="str">
        <f aca="false">IF(INDEX(選手一覧!$I$7:$I$2738,$F397)="","",INDEX(選手一覧!$I$7:$I$2738,$F397))</f>
        <v/>
      </c>
    </row>
    <row r="398" customFormat="false" ht="15" hidden="false" customHeight="false" outlineLevel="0" collapsed="false">
      <c r="A398" s="12" t="n">
        <v>394</v>
      </c>
      <c r="B398" s="10" t="s">
        <v>1302</v>
      </c>
      <c r="C398" s="10" t="s">
        <v>126</v>
      </c>
      <c r="D398" s="11" t="n">
        <v>0.0105475694444444</v>
      </c>
      <c r="E398" s="18" t="n">
        <f aca="false">ROUND((D398-$D$5)*86400,2)</f>
        <v>121.57</v>
      </c>
      <c r="F398" s="12" t="n">
        <v>886</v>
      </c>
      <c r="G398" s="11" t="str">
        <f aca="false">IF(INDEX(選手一覧!$F$7:$F$2738,$F398)="","",INDEX(選手一覧!$F$7:$F$2738,$F398))</f>
        <v/>
      </c>
      <c r="H398" s="12" t="str">
        <f aca="false">IF(INDEX(選手一覧!$G$7:$G$2738,$F398)="","",INDEX(選手一覧!$G$7:$G$2738,$F398))</f>
        <v/>
      </c>
      <c r="I398" s="11" t="n">
        <f aca="false">IF(INDEX(選手一覧!$H$7:$H$2738,$F398)="","",INDEX(選手一覧!$H$7:$H$2738,$F398))</f>
        <v>0.00288657407407407</v>
      </c>
      <c r="J398" s="12" t="n">
        <f aca="false">IF(INDEX(選手一覧!$I$7:$I$2738,$F398)="","",INDEX(選手一覧!$I$7:$I$2738,$F398))</f>
        <v>829</v>
      </c>
    </row>
    <row r="399" customFormat="false" ht="15" hidden="false" customHeight="false" outlineLevel="0" collapsed="false">
      <c r="A399" s="12" t="n">
        <v>395</v>
      </c>
      <c r="B399" s="10" t="s">
        <v>1138</v>
      </c>
      <c r="C399" s="10" t="s">
        <v>1020</v>
      </c>
      <c r="D399" s="11" t="n">
        <v>0.0105478009259259</v>
      </c>
      <c r="E399" s="18" t="n">
        <f aca="false">ROUND((D399-$D$5)*86400,2)</f>
        <v>121.59</v>
      </c>
      <c r="F399" s="12" t="n">
        <v>768</v>
      </c>
      <c r="G399" s="11" t="n">
        <f aca="false">IF(INDEX(選手一覧!$F$7:$F$2738,$F399)="","",INDEX(選手一覧!$F$7:$F$2738,$F399))</f>
        <v>0.00705462962962963</v>
      </c>
      <c r="H399" s="12" t="n">
        <f aca="false">IF(INDEX(選手一覧!$G$7:$G$2738,$F399)="","",INDEX(選手一覧!$G$7:$G$2738,$F399))</f>
        <v>394</v>
      </c>
      <c r="I399" s="11" t="n">
        <f aca="false">IF(INDEX(選手一覧!$H$7:$H$2738,$F399)="","",INDEX(選手一覧!$H$7:$H$2738,$F399))</f>
        <v>0.00281296296296296</v>
      </c>
      <c r="J399" s="12" t="n">
        <f aca="false">IF(INDEX(選手一覧!$I$7:$I$2738,$F399)="","",INDEX(選手一覧!$I$7:$I$2738,$F399))</f>
        <v>333</v>
      </c>
    </row>
    <row r="400" customFormat="false" ht="15" hidden="false" customHeight="false" outlineLevel="0" collapsed="false">
      <c r="A400" s="12" t="n">
        <v>396</v>
      </c>
      <c r="B400" s="10" t="s">
        <v>1102</v>
      </c>
      <c r="C400" s="10" t="s">
        <v>720</v>
      </c>
      <c r="D400" s="11" t="n">
        <v>0.0105479166666667</v>
      </c>
      <c r="E400" s="18" t="n">
        <f aca="false">ROUND((D400-$D$5)*86400,2)</f>
        <v>121.6</v>
      </c>
      <c r="F400" s="12" t="n">
        <v>742</v>
      </c>
      <c r="G400" s="11" t="str">
        <f aca="false">IF(INDEX(選手一覧!$F$7:$F$2738,$F400)="","",INDEX(選手一覧!$F$7:$F$2738,$F400))</f>
        <v/>
      </c>
      <c r="H400" s="12" t="str">
        <f aca="false">IF(INDEX(選手一覧!$G$7:$G$2738,$F400)="","",INDEX(選手一覧!$G$7:$G$2738,$F400))</f>
        <v/>
      </c>
      <c r="I400" s="11" t="n">
        <f aca="false">IF(INDEX(選手一覧!$H$7:$H$2738,$F400)="","",INDEX(選手一覧!$H$7:$H$2738,$F400))</f>
        <v>0.0028087962962963</v>
      </c>
      <c r="J400" s="12" t="n">
        <f aca="false">IF(INDEX(選手一覧!$I$7:$I$2738,$F400)="","",INDEX(選手一覧!$I$7:$I$2738,$F400))</f>
        <v>321</v>
      </c>
    </row>
    <row r="401" customFormat="false" ht="15" hidden="false" customHeight="false" outlineLevel="0" collapsed="false">
      <c r="A401" s="12" t="n">
        <v>397</v>
      </c>
      <c r="B401" s="10" t="s">
        <v>837</v>
      </c>
      <c r="C401" s="10" t="s">
        <v>49</v>
      </c>
      <c r="D401" s="11" t="n">
        <v>0.0105482638888889</v>
      </c>
      <c r="E401" s="18" t="n">
        <f aca="false">ROUND((D401-$D$5)*86400,2)</f>
        <v>121.63</v>
      </c>
      <c r="F401" s="12" t="n">
        <v>546</v>
      </c>
      <c r="G401" s="11" t="n">
        <f aca="false">IF(INDEX(選手一覧!$F$7:$F$2738,$F401)="","",INDEX(選手一覧!$F$7:$F$2738,$F401))</f>
        <v>0.00688796296296296</v>
      </c>
      <c r="H401" s="12" t="n">
        <f aca="false">IF(INDEX(選手一覧!$G$7:$G$2738,$F401)="","",INDEX(選手一覧!$G$7:$G$2738,$F401))</f>
        <v>229</v>
      </c>
      <c r="I401" s="11" t="str">
        <f aca="false">IF(INDEX(選手一覧!$H$7:$H$2738,$F401)="","",INDEX(選手一覧!$H$7:$H$2738,$F401))</f>
        <v/>
      </c>
      <c r="J401" s="12" t="str">
        <f aca="false">IF(INDEX(選手一覧!$I$7:$I$2738,$F401)="","",INDEX(選手一覧!$I$7:$I$2738,$F401))</f>
        <v/>
      </c>
    </row>
    <row r="402" customFormat="false" ht="15" hidden="false" customHeight="false" outlineLevel="0" collapsed="false">
      <c r="A402" s="12" t="n">
        <v>398</v>
      </c>
      <c r="B402" s="10" t="s">
        <v>296</v>
      </c>
      <c r="C402" s="10" t="s">
        <v>39</v>
      </c>
      <c r="D402" s="11" t="n">
        <v>0.0105496527777778</v>
      </c>
      <c r="E402" s="18" t="n">
        <f aca="false">ROUND((D402-$D$5)*86400,2)</f>
        <v>121.75</v>
      </c>
      <c r="F402" s="12" t="n">
        <v>167</v>
      </c>
      <c r="G402" s="11" t="n">
        <f aca="false">IF(INDEX(選手一覧!$F$7:$F$2738,$F402)="","",INDEX(選手一覧!$F$7:$F$2738,$F402))</f>
        <v>0.00659895833333333</v>
      </c>
      <c r="H402" s="12" t="n">
        <f aca="false">IF(INDEX(選手一覧!$G$7:$G$2738,$F402)="","",INDEX(選手一覧!$G$7:$G$2738,$F402))</f>
        <v>68</v>
      </c>
      <c r="I402" s="11" t="n">
        <f aca="false">IF(INDEX(選手一覧!$H$7:$H$2738,$F402)="","",INDEX(選手一覧!$H$7:$H$2738,$F402))</f>
        <v>0.00293402777777778</v>
      </c>
      <c r="J402" s="12" t="n">
        <f aca="false">IF(INDEX(選手一覧!$I$7:$I$2738,$F402)="","",INDEX(選手一覧!$I$7:$I$2738,$F402))</f>
        <v>1183</v>
      </c>
    </row>
    <row r="403" customFormat="false" ht="15" hidden="false" customHeight="false" outlineLevel="0" collapsed="false">
      <c r="A403" s="12" t="n">
        <v>399</v>
      </c>
      <c r="B403" s="10" t="s">
        <v>140</v>
      </c>
      <c r="C403" s="10" t="s">
        <v>141</v>
      </c>
      <c r="D403" s="11" t="n">
        <v>0.0105503472222222</v>
      </c>
      <c r="E403" s="18" t="n">
        <f aca="false">ROUND((D403-$D$5)*86400,2)</f>
        <v>121.81</v>
      </c>
      <c r="F403" s="12" t="n">
        <v>66</v>
      </c>
      <c r="G403" s="11" t="n">
        <f aca="false">IF(INDEX(選手一覧!$F$7:$F$2738,$F403)="","",INDEX(選手一覧!$F$7:$F$2738,$F403))</f>
        <v>0.00646284722222222</v>
      </c>
      <c r="H403" s="12" t="n">
        <f aca="false">IF(INDEX(選手一覧!$G$7:$G$2738,$F403)="","",INDEX(選手一覧!$G$7:$G$2738,$F403))</f>
        <v>27</v>
      </c>
      <c r="I403" s="11" t="n">
        <f aca="false">IF(INDEX(選手一覧!$H$7:$H$2738,$F403)="","",INDEX(選手一覧!$H$7:$H$2738,$F403))</f>
        <v>0.00287256944444445</v>
      </c>
      <c r="J403" s="12" t="n">
        <f aca="false">IF(INDEX(選手一覧!$I$7:$I$2738,$F403)="","",INDEX(選手一覧!$I$7:$I$2738,$F403))</f>
        <v>719</v>
      </c>
    </row>
    <row r="404" customFormat="false" ht="15" hidden="false" customHeight="false" outlineLevel="0" collapsed="false">
      <c r="A404" s="12" t="n">
        <v>400</v>
      </c>
      <c r="B404" s="10" t="s">
        <v>1316</v>
      </c>
      <c r="C404" s="10" t="s">
        <v>425</v>
      </c>
      <c r="D404" s="11" t="n">
        <v>0.0105509259259259</v>
      </c>
      <c r="E404" s="18" t="n">
        <f aca="false">ROUND((D404-$D$5)*86400,2)</f>
        <v>121.86</v>
      </c>
      <c r="F404" s="12" t="n">
        <v>895</v>
      </c>
      <c r="G404" s="11" t="n">
        <f aca="false">IF(INDEX(選手一覧!$F$7:$F$2738,$F404)="","",INDEX(選手一覧!$F$7:$F$2738,$F404))</f>
        <v>0.0071125</v>
      </c>
      <c r="H404" s="12" t="n">
        <f aca="false">IF(INDEX(選手一覧!$G$7:$G$2738,$F404)="","",INDEX(選手一覧!$G$7:$G$2738,$F404))</f>
        <v>457</v>
      </c>
      <c r="I404" s="11" t="str">
        <f aca="false">IF(INDEX(選手一覧!$H$7:$H$2738,$F404)="","",INDEX(選手一覧!$H$7:$H$2738,$F404))</f>
        <v/>
      </c>
      <c r="J404" s="12" t="str">
        <f aca="false">IF(INDEX(選手一覧!$I$7:$I$2738,$F404)="","",INDEX(選手一覧!$I$7:$I$2738,$F404))</f>
        <v/>
      </c>
    </row>
    <row r="405" customFormat="false" ht="15" hidden="false" customHeight="false" outlineLevel="0" collapsed="false">
      <c r="A405" s="12" t="n">
        <v>401</v>
      </c>
      <c r="B405" s="10" t="s">
        <v>1319</v>
      </c>
      <c r="C405" s="10" t="s">
        <v>1320</v>
      </c>
      <c r="D405" s="11" t="n">
        <v>0.0105509259259259</v>
      </c>
      <c r="E405" s="18" t="n">
        <f aca="false">ROUND((D405-$D$5)*86400,2)</f>
        <v>121.86</v>
      </c>
      <c r="F405" s="12" t="n">
        <v>898</v>
      </c>
      <c r="G405" s="11" t="str">
        <f aca="false">IF(INDEX(選手一覧!$F$7:$F$2738,$F405)="","",INDEX(選手一覧!$F$7:$F$2738,$F405))</f>
        <v/>
      </c>
      <c r="H405" s="12" t="str">
        <f aca="false">IF(INDEX(選手一覧!$G$7:$G$2738,$F405)="","",INDEX(選手一覧!$G$7:$G$2738,$F405))</f>
        <v/>
      </c>
      <c r="I405" s="11" t="str">
        <f aca="false">IF(INDEX(選手一覧!$H$7:$H$2738,$F405)="","",INDEX(選手一覧!$H$7:$H$2738,$F405))</f>
        <v/>
      </c>
      <c r="J405" s="12" t="str">
        <f aca="false">IF(INDEX(選手一覧!$I$7:$I$2738,$F405)="","",INDEX(選手一覧!$I$7:$I$2738,$F405))</f>
        <v/>
      </c>
    </row>
    <row r="406" customFormat="false" ht="15" hidden="false" customHeight="false" outlineLevel="0" collapsed="false">
      <c r="A406" s="12" t="n">
        <v>402</v>
      </c>
      <c r="B406" s="10" t="s">
        <v>1323</v>
      </c>
      <c r="C406" s="10" t="s">
        <v>302</v>
      </c>
      <c r="D406" s="11" t="n">
        <v>0.0105515046296296</v>
      </c>
      <c r="E406" s="18" t="n">
        <f aca="false">ROUND((D406-$D$5)*86400,2)</f>
        <v>121.91</v>
      </c>
      <c r="F406" s="12" t="n">
        <v>900</v>
      </c>
      <c r="G406" s="11" t="str">
        <f aca="false">IF(INDEX(選手一覧!$F$7:$F$2738,$F406)="","",INDEX(選手一覧!$F$7:$F$2738,$F406))</f>
        <v/>
      </c>
      <c r="H406" s="12" t="str">
        <f aca="false">IF(INDEX(選手一覧!$G$7:$G$2738,$F406)="","",INDEX(選手一覧!$G$7:$G$2738,$F406))</f>
        <v/>
      </c>
      <c r="I406" s="11" t="n">
        <f aca="false">IF(INDEX(選手一覧!$H$7:$H$2738,$F406)="","",INDEX(選手一覧!$H$7:$H$2738,$F406))</f>
        <v>0.00283819444444444</v>
      </c>
      <c r="J406" s="12" t="n">
        <f aca="false">IF(INDEX(選手一覧!$I$7:$I$2738,$F406)="","",INDEX(選手一覧!$I$7:$I$2738,$F406))</f>
        <v>485</v>
      </c>
    </row>
    <row r="407" customFormat="false" ht="15" hidden="false" customHeight="false" outlineLevel="0" collapsed="false">
      <c r="A407" s="12" t="n">
        <v>403</v>
      </c>
      <c r="B407" s="10" t="s">
        <v>1327</v>
      </c>
      <c r="C407" s="10" t="s">
        <v>425</v>
      </c>
      <c r="D407" s="11" t="n">
        <v>0.0105524305555556</v>
      </c>
      <c r="E407" s="18" t="n">
        <f aca="false">ROUND((D407-$D$5)*86400,2)</f>
        <v>121.99</v>
      </c>
      <c r="F407" s="12" t="n">
        <v>903</v>
      </c>
      <c r="G407" s="11" t="str">
        <f aca="false">IF(INDEX(選手一覧!$F$7:$F$2738,$F407)="","",INDEX(選手一覧!$F$7:$F$2738,$F407))</f>
        <v/>
      </c>
      <c r="H407" s="12" t="str">
        <f aca="false">IF(INDEX(選手一覧!$G$7:$G$2738,$F407)="","",INDEX(選手一覧!$G$7:$G$2738,$F407))</f>
        <v/>
      </c>
      <c r="I407" s="11" t="str">
        <f aca="false">IF(INDEX(選手一覧!$H$7:$H$2738,$F407)="","",INDEX(選手一覧!$H$7:$H$2738,$F407))</f>
        <v/>
      </c>
      <c r="J407" s="12" t="str">
        <f aca="false">IF(INDEX(選手一覧!$I$7:$I$2738,$F407)="","",INDEX(選手一覧!$I$7:$I$2738,$F407))</f>
        <v/>
      </c>
    </row>
    <row r="408" customFormat="false" ht="15" hidden="false" customHeight="false" outlineLevel="0" collapsed="false">
      <c r="A408" s="12" t="n">
        <v>404</v>
      </c>
      <c r="B408" s="10" t="s">
        <v>255</v>
      </c>
      <c r="C408" s="10" t="s">
        <v>53</v>
      </c>
      <c r="D408" s="11" t="n">
        <v>0.0105528935185185</v>
      </c>
      <c r="E408" s="18" t="n">
        <f aca="false">ROUND((D408-$D$5)*86400,2)</f>
        <v>122.03</v>
      </c>
      <c r="F408" s="12" t="n">
        <v>139</v>
      </c>
      <c r="G408" s="11" t="n">
        <f aca="false">IF(INDEX(選手一覧!$F$7:$F$2738,$F408)="","",INDEX(選手一覧!$F$7:$F$2738,$F408))</f>
        <v>0.00656655092592593</v>
      </c>
      <c r="H408" s="12" t="n">
        <f aca="false">IF(INDEX(選手一覧!$G$7:$G$2738,$F408)="","",INDEX(選手一覧!$G$7:$G$2738,$F408))</f>
        <v>55</v>
      </c>
      <c r="I408" s="11" t="n">
        <f aca="false">IF(INDEX(選手一覧!$H$7:$H$2738,$F408)="","",INDEX(選手一覧!$H$7:$H$2738,$F408))</f>
        <v>0.00294768518518519</v>
      </c>
      <c r="J408" s="12" t="n">
        <f aca="false">IF(INDEX(選手一覧!$I$7:$I$2738,$F408)="","",INDEX(選手一覧!$I$7:$I$2738,$F408))</f>
        <v>1225</v>
      </c>
    </row>
    <row r="409" customFormat="false" ht="15" hidden="false" customHeight="false" outlineLevel="0" collapsed="false">
      <c r="A409" s="12" t="n">
        <v>405</v>
      </c>
      <c r="B409" s="10" t="s">
        <v>1332</v>
      </c>
      <c r="C409" s="10" t="s">
        <v>422</v>
      </c>
      <c r="D409" s="11" t="n">
        <v>0.0105543981481482</v>
      </c>
      <c r="E409" s="18" t="n">
        <f aca="false">ROUND((D409-$D$5)*86400,2)</f>
        <v>122.16</v>
      </c>
      <c r="F409" s="12" t="n">
        <v>906</v>
      </c>
      <c r="G409" s="11" t="str">
        <f aca="false">IF(INDEX(選手一覧!$F$7:$F$2738,$F409)="","",INDEX(選手一覧!$F$7:$F$2738,$F409))</f>
        <v/>
      </c>
      <c r="H409" s="12" t="str">
        <f aca="false">IF(INDEX(選手一覧!$G$7:$G$2738,$F409)="","",INDEX(選手一覧!$G$7:$G$2738,$F409))</f>
        <v/>
      </c>
      <c r="I409" s="11" t="n">
        <f aca="false">IF(INDEX(選手一覧!$H$7:$H$2738,$F409)="","",INDEX(選手一覧!$H$7:$H$2738,$F409))</f>
        <v>0.00285266203703704</v>
      </c>
      <c r="J409" s="12" t="n">
        <f aca="false">IF(INDEX(選手一覧!$I$7:$I$2738,$F409)="","",INDEX(選手一覧!$I$7:$I$2738,$F409))</f>
        <v>584</v>
      </c>
    </row>
    <row r="410" customFormat="false" ht="15" hidden="false" customHeight="false" outlineLevel="0" collapsed="false">
      <c r="A410" s="12" t="n">
        <v>406</v>
      </c>
      <c r="B410" s="10" t="s">
        <v>1338</v>
      </c>
      <c r="C410" s="10" t="s">
        <v>36</v>
      </c>
      <c r="D410" s="11" t="n">
        <v>0.0105568287037037</v>
      </c>
      <c r="E410" s="18" t="n">
        <f aca="false">ROUND((D410-$D$5)*86400,2)</f>
        <v>122.37</v>
      </c>
      <c r="F410" s="12" t="n">
        <v>910</v>
      </c>
      <c r="G410" s="11" t="str">
        <f aca="false">IF(INDEX(選手一覧!$F$7:$F$2738,$F410)="","",INDEX(選手一覧!$F$7:$F$2738,$F410))</f>
        <v/>
      </c>
      <c r="H410" s="12" t="str">
        <f aca="false">IF(INDEX(選手一覧!$G$7:$G$2738,$F410)="","",INDEX(選手一覧!$G$7:$G$2738,$F410))</f>
        <v/>
      </c>
      <c r="I410" s="11" t="n">
        <f aca="false">IF(INDEX(選手一覧!$H$7:$H$2738,$F410)="","",INDEX(選手一覧!$H$7:$H$2738,$F410))</f>
        <v>0.00292060185185185</v>
      </c>
      <c r="J410" s="12" t="n">
        <f aca="false">IF(INDEX(選手一覧!$I$7:$I$2738,$F410)="","",INDEX(選手一覧!$I$7:$I$2738,$F410))</f>
        <v>1105</v>
      </c>
    </row>
    <row r="411" customFormat="false" ht="15" hidden="false" customHeight="false" outlineLevel="0" collapsed="false">
      <c r="A411" s="12" t="n">
        <v>407</v>
      </c>
      <c r="B411" s="10" t="s">
        <v>620</v>
      </c>
      <c r="C411" s="10" t="s">
        <v>4008</v>
      </c>
      <c r="D411" s="11" t="n">
        <v>0.0105568287037037</v>
      </c>
      <c r="E411" s="18" t="n">
        <f aca="false">ROUND((D411-$D$5)*86400,2)</f>
        <v>122.37</v>
      </c>
      <c r="F411" s="12" t="n">
        <v>392</v>
      </c>
      <c r="G411" s="11" t="str">
        <f aca="false">IF(INDEX(選手一覧!$F$7:$F$2738,$F411)="","",INDEX(選手一覧!$F$7:$F$2738,$F411))</f>
        <v/>
      </c>
      <c r="H411" s="12" t="str">
        <f aca="false">IF(INDEX(選手一覧!$G$7:$G$2738,$F411)="","",INDEX(選手一覧!$G$7:$G$2738,$F411))</f>
        <v/>
      </c>
      <c r="I411" s="11" t="n">
        <f aca="false">IF(INDEX(選手一覧!$H$7:$H$2738,$F411)="","",INDEX(選手一覧!$H$7:$H$2738,$F411))</f>
        <v>0.00277222222222222</v>
      </c>
      <c r="J411" s="12" t="n">
        <f aca="false">IF(INDEX(選手一覧!$I$7:$I$2738,$F411)="","",INDEX(選手一覧!$I$7:$I$2738,$F411))</f>
        <v>166</v>
      </c>
    </row>
    <row r="412" customFormat="false" ht="15" hidden="false" customHeight="false" outlineLevel="0" collapsed="false">
      <c r="A412" s="12" t="n">
        <v>408</v>
      </c>
      <c r="B412" s="10" t="s">
        <v>451</v>
      </c>
      <c r="C412" s="10" t="s">
        <v>237</v>
      </c>
      <c r="D412" s="11" t="n">
        <v>0.010559375</v>
      </c>
      <c r="E412" s="18" t="n">
        <f aca="false">ROUND((D412-$D$5)*86400,2)</f>
        <v>122.59</v>
      </c>
      <c r="F412" s="12" t="n">
        <v>278</v>
      </c>
      <c r="G412" s="11" t="n">
        <f aca="false">IF(INDEX(選手一覧!$F$7:$F$2738,$F412)="","",INDEX(選手一覧!$F$7:$F$2738,$F412))</f>
        <v>0.006721875</v>
      </c>
      <c r="H412" s="12" t="n">
        <f aca="false">IF(INDEX(選手一覧!$G$7:$G$2738,$F412)="","",INDEX(選手一覧!$G$7:$G$2738,$F412))</f>
        <v>115</v>
      </c>
      <c r="I412" s="11" t="n">
        <f aca="false">IF(INDEX(選手一覧!$H$7:$H$2738,$F412)="","",INDEX(選手一覧!$H$7:$H$2738,$F412))</f>
        <v>0.00281990740740741</v>
      </c>
      <c r="J412" s="12" t="n">
        <f aca="false">IF(INDEX(選手一覧!$I$7:$I$2738,$F412)="","",INDEX(選手一覧!$I$7:$I$2738,$F412))</f>
        <v>362</v>
      </c>
    </row>
    <row r="413" customFormat="false" ht="15" hidden="false" customHeight="false" outlineLevel="0" collapsed="false">
      <c r="A413" s="12" t="n">
        <v>409</v>
      </c>
      <c r="B413" s="10" t="s">
        <v>1346</v>
      </c>
      <c r="C413" s="10" t="s">
        <v>49</v>
      </c>
      <c r="D413" s="11" t="n">
        <v>0.0105594907407407</v>
      </c>
      <c r="E413" s="18" t="n">
        <f aca="false">ROUND((D413-$D$5)*86400,2)</f>
        <v>122.6</v>
      </c>
      <c r="F413" s="12" t="n">
        <v>916</v>
      </c>
      <c r="G413" s="11" t="str">
        <f aca="false">IF(INDEX(選手一覧!$F$7:$F$2738,$F413)="","",INDEX(選手一覧!$F$7:$F$2738,$F413))</f>
        <v/>
      </c>
      <c r="H413" s="12" t="str">
        <f aca="false">IF(INDEX(選手一覧!$G$7:$G$2738,$F413)="","",INDEX(選手一覧!$G$7:$G$2738,$F413))</f>
        <v/>
      </c>
      <c r="I413" s="11" t="str">
        <f aca="false">IF(INDEX(選手一覧!$H$7:$H$2738,$F413)="","",INDEX(選手一覧!$H$7:$H$2738,$F413))</f>
        <v/>
      </c>
      <c r="J413" s="12" t="str">
        <f aca="false">IF(INDEX(選手一覧!$I$7:$I$2738,$F413)="","",INDEX(選手一覧!$I$7:$I$2738,$F413))</f>
        <v/>
      </c>
    </row>
    <row r="414" customFormat="false" ht="15" hidden="false" customHeight="false" outlineLevel="0" collapsed="false">
      <c r="A414" s="12" t="n">
        <v>410</v>
      </c>
      <c r="B414" s="10" t="s">
        <v>362</v>
      </c>
      <c r="C414" s="10" t="s">
        <v>363</v>
      </c>
      <c r="D414" s="11" t="n">
        <v>0.0105601851851852</v>
      </c>
      <c r="E414" s="18" t="n">
        <f aca="false">ROUND((D414-$D$5)*86400,2)</f>
        <v>122.66</v>
      </c>
      <c r="F414" s="12" t="n">
        <v>215</v>
      </c>
      <c r="G414" s="11" t="str">
        <f aca="false">IF(INDEX(選手一覧!$F$7:$F$2738,$F414)="","",INDEX(選手一覧!$F$7:$F$2738,$F414))</f>
        <v/>
      </c>
      <c r="H414" s="12" t="str">
        <f aca="false">IF(INDEX(選手一覧!$G$7:$G$2738,$F414)="","",INDEX(選手一覧!$G$7:$G$2738,$F414))</f>
        <v/>
      </c>
      <c r="I414" s="11" t="n">
        <f aca="false">IF(INDEX(選手一覧!$H$7:$H$2738,$F414)="","",INDEX(選手一覧!$H$7:$H$2738,$F414))</f>
        <v>0.00274479166666667</v>
      </c>
      <c r="J414" s="12" t="n">
        <f aca="false">IF(INDEX(選手一覧!$I$7:$I$2738,$F414)="","",INDEX(選手一覧!$I$7:$I$2738,$F414))</f>
        <v>89</v>
      </c>
    </row>
    <row r="415" customFormat="false" ht="15" hidden="false" customHeight="false" outlineLevel="0" collapsed="false">
      <c r="A415" s="12" t="n">
        <v>411</v>
      </c>
      <c r="B415" s="10" t="s">
        <v>251</v>
      </c>
      <c r="C415" s="10" t="s">
        <v>242</v>
      </c>
      <c r="D415" s="11" t="n">
        <v>0.0105601851851852</v>
      </c>
      <c r="E415" s="18" t="n">
        <f aca="false">ROUND((D415-$D$5)*86400,2)</f>
        <v>122.66</v>
      </c>
      <c r="F415" s="12" t="n">
        <v>136</v>
      </c>
      <c r="G415" s="11" t="n">
        <f aca="false">IF(INDEX(選手一覧!$F$7:$F$2738,$F415)="","",INDEX(選手一覧!$F$7:$F$2738,$F415))</f>
        <v>0.00656631944444445</v>
      </c>
      <c r="H415" s="12" t="n">
        <f aca="false">IF(INDEX(選手一覧!$G$7:$G$2738,$F415)="","",INDEX(選手一覧!$G$7:$G$2738,$F415))</f>
        <v>54</v>
      </c>
      <c r="I415" s="11" t="n">
        <f aca="false">IF(INDEX(選手一覧!$H$7:$H$2738,$F415)="","",INDEX(選手一覧!$H$7:$H$2738,$F415))</f>
        <v>0.00290775462962963</v>
      </c>
      <c r="J415" s="12" t="n">
        <f aca="false">IF(INDEX(選手一覧!$I$7:$I$2738,$F415)="","",INDEX(選手一覧!$I$7:$I$2738,$F415))</f>
        <v>999</v>
      </c>
    </row>
    <row r="416" customFormat="false" ht="15" hidden="false" customHeight="false" outlineLevel="0" collapsed="false">
      <c r="A416" s="12" t="n">
        <v>412</v>
      </c>
      <c r="B416" s="10" t="s">
        <v>1354</v>
      </c>
      <c r="C416" s="10" t="s">
        <v>915</v>
      </c>
      <c r="D416" s="11" t="n">
        <v>0.0105601851851852</v>
      </c>
      <c r="E416" s="18" t="n">
        <f aca="false">ROUND((D416-$D$5)*86400,2)</f>
        <v>122.66</v>
      </c>
      <c r="F416" s="12" t="n">
        <v>921</v>
      </c>
      <c r="G416" s="11" t="str">
        <f aca="false">IF(INDEX(選手一覧!$F$7:$F$2738,$F416)="","",INDEX(選手一覧!$F$7:$F$2738,$F416))</f>
        <v/>
      </c>
      <c r="H416" s="12" t="str">
        <f aca="false">IF(INDEX(選手一覧!$G$7:$G$2738,$F416)="","",INDEX(選手一覧!$G$7:$G$2738,$F416))</f>
        <v/>
      </c>
      <c r="I416" s="11" t="n">
        <f aca="false">IF(INDEX(選手一覧!$H$7:$H$2738,$F416)="","",INDEX(選手一覧!$H$7:$H$2738,$F416))</f>
        <v>0.00284988425925926</v>
      </c>
      <c r="J416" s="12" t="n">
        <f aca="false">IF(INDEX(選手一覧!$I$7:$I$2738,$F416)="","",INDEX(選手一覧!$I$7:$I$2738,$F416))</f>
        <v>570</v>
      </c>
    </row>
    <row r="417" customFormat="false" ht="15" hidden="false" customHeight="false" outlineLevel="0" collapsed="false">
      <c r="A417" s="12" t="n">
        <v>413</v>
      </c>
      <c r="B417" s="10" t="s">
        <v>1358</v>
      </c>
      <c r="C417" s="10" t="s">
        <v>462</v>
      </c>
      <c r="D417" s="11" t="n">
        <v>0.0105621527777778</v>
      </c>
      <c r="E417" s="18" t="n">
        <f aca="false">ROUND((D417-$D$5)*86400,2)</f>
        <v>122.83</v>
      </c>
      <c r="F417" s="12" t="n">
        <v>924</v>
      </c>
      <c r="G417" s="11" t="str">
        <f aca="false">IF(INDEX(選手一覧!$F$7:$F$2738,$F417)="","",INDEX(選手一覧!$F$7:$F$2738,$F417))</f>
        <v/>
      </c>
      <c r="H417" s="12" t="str">
        <f aca="false">IF(INDEX(選手一覧!$G$7:$G$2738,$F417)="","",INDEX(選手一覧!$G$7:$G$2738,$F417))</f>
        <v/>
      </c>
      <c r="I417" s="11" t="n">
        <f aca="false">IF(INDEX(選手一覧!$H$7:$H$2738,$F417)="","",INDEX(選手一覧!$H$7:$H$2738,$F417))</f>
        <v>0.00289606481481482</v>
      </c>
      <c r="J417" s="12" t="n">
        <f aca="false">IF(INDEX(選手一覧!$I$7:$I$2738,$F417)="","",INDEX(選手一覧!$I$7:$I$2738,$F417))</f>
        <v>922</v>
      </c>
    </row>
    <row r="418" customFormat="false" ht="15" hidden="false" customHeight="false" outlineLevel="0" collapsed="false">
      <c r="A418" s="12" t="n">
        <v>414</v>
      </c>
      <c r="B418" s="10" t="s">
        <v>483</v>
      </c>
      <c r="C418" s="10" t="s">
        <v>484</v>
      </c>
      <c r="D418" s="11" t="n">
        <v>0.010562962962963</v>
      </c>
      <c r="E418" s="18" t="n">
        <f aca="false">ROUND((D418-$D$5)*86400,2)</f>
        <v>122.9</v>
      </c>
      <c r="F418" s="12" t="n">
        <v>300</v>
      </c>
      <c r="G418" s="11" t="str">
        <f aca="false">IF(INDEX(選手一覧!$F$7:$F$2738,$F418)="","",INDEX(選手一覧!$F$7:$F$2738,$F418))</f>
        <v/>
      </c>
      <c r="H418" s="12" t="str">
        <f aca="false">IF(INDEX(選手一覧!$G$7:$G$2738,$F418)="","",INDEX(選手一覧!$G$7:$G$2738,$F418))</f>
        <v/>
      </c>
      <c r="I418" s="11" t="n">
        <f aca="false">IF(INDEX(選手一覧!$H$7:$H$2738,$F418)="","",INDEX(選手一覧!$H$7:$H$2738,$F418))</f>
        <v>0.00275613425925926</v>
      </c>
      <c r="J418" s="12" t="n">
        <f aca="false">IF(INDEX(選手一覧!$I$7:$I$2738,$F418)="","",INDEX(選手一覧!$I$7:$I$2738,$F418))</f>
        <v>124</v>
      </c>
    </row>
    <row r="419" customFormat="false" ht="15" hidden="false" customHeight="false" outlineLevel="0" collapsed="false">
      <c r="A419" s="12" t="n">
        <v>415</v>
      </c>
      <c r="B419" s="10" t="s">
        <v>273</v>
      </c>
      <c r="C419" s="10" t="s">
        <v>124</v>
      </c>
      <c r="D419" s="11" t="n">
        <v>0.0105637731481482</v>
      </c>
      <c r="E419" s="18" t="n">
        <f aca="false">ROUND((D419-$D$5)*86400,2)</f>
        <v>122.97</v>
      </c>
      <c r="F419" s="12" t="n">
        <v>151</v>
      </c>
      <c r="G419" s="11" t="n">
        <f aca="false">IF(INDEX(選手一覧!$F$7:$F$2738,$F419)="","",INDEX(選手一覧!$F$7:$F$2738,$F419))</f>
        <v>0.00657152777777778</v>
      </c>
      <c r="H419" s="12" t="n">
        <f aca="false">IF(INDEX(選手一覧!$G$7:$G$2738,$F419)="","",INDEX(選手一覧!$G$7:$G$2738,$F419))</f>
        <v>60</v>
      </c>
      <c r="I419" s="11" t="str">
        <f aca="false">IF(INDEX(選手一覧!$H$7:$H$2738,$F419)="","",INDEX(選手一覧!$H$7:$H$2738,$F419))</f>
        <v/>
      </c>
      <c r="J419" s="12" t="str">
        <f aca="false">IF(INDEX(選手一覧!$I$7:$I$2738,$F419)="","",INDEX(選手一覧!$I$7:$I$2738,$F419))</f>
        <v/>
      </c>
    </row>
    <row r="420" customFormat="false" ht="15" hidden="false" customHeight="false" outlineLevel="0" collapsed="false">
      <c r="A420" s="12" t="n">
        <v>416</v>
      </c>
      <c r="B420" s="10" t="s">
        <v>1367</v>
      </c>
      <c r="C420" s="10" t="s">
        <v>1368</v>
      </c>
      <c r="D420" s="11" t="n">
        <v>0.0105638888888889</v>
      </c>
      <c r="E420" s="18" t="n">
        <f aca="false">ROUND((D420-$D$5)*86400,2)</f>
        <v>122.98</v>
      </c>
      <c r="F420" s="12" t="n">
        <v>930</v>
      </c>
      <c r="G420" s="11" t="str">
        <f aca="false">IF(INDEX(選手一覧!$F$7:$F$2738,$F420)="","",INDEX(選手一覧!$F$7:$F$2738,$F420))</f>
        <v/>
      </c>
      <c r="H420" s="12" t="str">
        <f aca="false">IF(INDEX(選手一覧!$G$7:$G$2738,$F420)="","",INDEX(選手一覧!$G$7:$G$2738,$F420))</f>
        <v/>
      </c>
      <c r="I420" s="11" t="n">
        <f aca="false">IF(INDEX(選手一覧!$H$7:$H$2738,$F420)="","",INDEX(選手一覧!$H$7:$H$2738,$F420))</f>
        <v>0.00291550925925926</v>
      </c>
      <c r="J420" s="12" t="n">
        <f aca="false">IF(INDEX(選手一覧!$I$7:$I$2738,$F420)="","",INDEX(選手一覧!$I$7:$I$2738,$F420))</f>
        <v>1056</v>
      </c>
    </row>
    <row r="421" customFormat="false" ht="15" hidden="false" customHeight="false" outlineLevel="0" collapsed="false">
      <c r="A421" s="12" t="n">
        <v>417</v>
      </c>
      <c r="B421" s="10" t="s">
        <v>503</v>
      </c>
      <c r="C421" s="10" t="s">
        <v>134</v>
      </c>
      <c r="D421" s="11" t="n">
        <v>0.0105644675925926</v>
      </c>
      <c r="E421" s="18" t="n">
        <f aca="false">ROUND((D421-$D$5)*86400,2)</f>
        <v>123.03</v>
      </c>
      <c r="F421" s="12" t="n">
        <v>313</v>
      </c>
      <c r="G421" s="11" t="str">
        <f aca="false">IF(INDEX(選手一覧!$F$7:$F$2738,$F421)="","",INDEX(選手一覧!$F$7:$F$2738,$F421))</f>
        <v/>
      </c>
      <c r="H421" s="12" t="str">
        <f aca="false">IF(INDEX(選手一覧!$G$7:$G$2738,$F421)="","",INDEX(選手一覧!$G$7:$G$2738,$F421))</f>
        <v/>
      </c>
      <c r="I421" s="11" t="n">
        <f aca="false">IF(INDEX(選手一覧!$H$7:$H$2738,$F421)="","",INDEX(選手一覧!$H$7:$H$2738,$F421))</f>
        <v>0.00275775462962963</v>
      </c>
      <c r="J421" s="12" t="n">
        <f aca="false">IF(INDEX(選手一覧!$I$7:$I$2738,$F421)="","",INDEX(選手一覧!$I$7:$I$2738,$F421))</f>
        <v>129</v>
      </c>
    </row>
    <row r="422" customFormat="false" ht="15" hidden="false" customHeight="false" outlineLevel="0" collapsed="false">
      <c r="A422" s="12" t="n">
        <v>418</v>
      </c>
      <c r="B422" s="10" t="s">
        <v>1374</v>
      </c>
      <c r="C422" s="10" t="s">
        <v>445</v>
      </c>
      <c r="D422" s="11" t="n">
        <v>0.0105646990740741</v>
      </c>
      <c r="E422" s="18" t="n">
        <f aca="false">ROUND((D422-$D$5)*86400,2)</f>
        <v>123.05</v>
      </c>
      <c r="F422" s="12" t="n">
        <v>934</v>
      </c>
      <c r="G422" s="11" t="n">
        <f aca="false">IF(INDEX(選手一覧!$F$7:$F$2738,$F422)="","",INDEX(選手一覧!$F$7:$F$2738,$F422))</f>
        <v>0.00742060185185185</v>
      </c>
      <c r="H422" s="12" t="n">
        <f aca="false">IF(INDEX(選手一覧!$G$7:$G$2738,$F422)="","",INDEX(選手一覧!$G$7:$G$2738,$F422))</f>
        <v>795</v>
      </c>
      <c r="I422" s="11" t="str">
        <f aca="false">IF(INDEX(選手一覧!$H$7:$H$2738,$F422)="","",INDEX(選手一覧!$H$7:$H$2738,$F422))</f>
        <v/>
      </c>
      <c r="J422" s="12" t="str">
        <f aca="false">IF(INDEX(選手一覧!$I$7:$I$2738,$F422)="","",INDEX(選手一覧!$I$7:$I$2738,$F422))</f>
        <v/>
      </c>
    </row>
    <row r="423" customFormat="false" ht="15" hidden="false" customHeight="false" outlineLevel="0" collapsed="false">
      <c r="A423" s="12" t="n">
        <v>419</v>
      </c>
      <c r="B423" s="10" t="s">
        <v>1376</v>
      </c>
      <c r="C423" s="10" t="s">
        <v>181</v>
      </c>
      <c r="D423" s="11" t="n">
        <v>0.0105650462962963</v>
      </c>
      <c r="E423" s="18" t="n">
        <f aca="false">ROUND((D423-$D$5)*86400,2)</f>
        <v>123.08</v>
      </c>
      <c r="F423" s="12" t="n">
        <v>936</v>
      </c>
      <c r="G423" s="11" t="str">
        <f aca="false">IF(INDEX(選手一覧!$F$7:$F$2738,$F423)="","",INDEX(選手一覧!$F$7:$F$2738,$F423))</f>
        <v/>
      </c>
      <c r="H423" s="12" t="str">
        <f aca="false">IF(INDEX(選手一覧!$G$7:$G$2738,$F423)="","",INDEX(選手一覧!$G$7:$G$2738,$F423))</f>
        <v/>
      </c>
      <c r="I423" s="11" t="str">
        <f aca="false">IF(INDEX(選手一覧!$H$7:$H$2738,$F423)="","",INDEX(選手一覧!$H$7:$H$2738,$F423))</f>
        <v/>
      </c>
      <c r="J423" s="12" t="str">
        <f aca="false">IF(INDEX(選手一覧!$I$7:$I$2738,$F423)="","",INDEX(選手一覧!$I$7:$I$2738,$F423))</f>
        <v/>
      </c>
    </row>
    <row r="424" customFormat="false" ht="15" hidden="false" customHeight="false" outlineLevel="0" collapsed="false">
      <c r="A424" s="12" t="n">
        <v>420</v>
      </c>
      <c r="B424" s="10" t="s">
        <v>1379</v>
      </c>
      <c r="C424" s="10" t="s">
        <v>49</v>
      </c>
      <c r="D424" s="11" t="n">
        <v>0.0105658564814815</v>
      </c>
      <c r="E424" s="18" t="n">
        <f aca="false">ROUND((D424-$D$5)*86400,2)</f>
        <v>123.15</v>
      </c>
      <c r="F424" s="12" t="n">
        <v>939</v>
      </c>
      <c r="G424" s="11" t="str">
        <f aca="false">IF(INDEX(選手一覧!$F$7:$F$2738,$F424)="","",INDEX(選手一覧!$F$7:$F$2738,$F424))</f>
        <v/>
      </c>
      <c r="H424" s="12" t="str">
        <f aca="false">IF(INDEX(選手一覧!$G$7:$G$2738,$F424)="","",INDEX(選手一覧!$G$7:$G$2738,$F424))</f>
        <v/>
      </c>
      <c r="I424" s="11" t="n">
        <f aca="false">IF(INDEX(選手一覧!$H$7:$H$2738,$F424)="","",INDEX(選手一覧!$H$7:$H$2738,$F424))</f>
        <v>0.00283171296296296</v>
      </c>
      <c r="J424" s="12" t="n">
        <f aca="false">IF(INDEX(選手一覧!$I$7:$I$2738,$F424)="","",INDEX(選手一覧!$I$7:$I$2738,$F424))</f>
        <v>436</v>
      </c>
    </row>
    <row r="425" customFormat="false" ht="15" hidden="false" customHeight="false" outlineLevel="0" collapsed="false">
      <c r="A425" s="12" t="n">
        <v>421</v>
      </c>
      <c r="B425" s="10" t="s">
        <v>1380</v>
      </c>
      <c r="C425" s="10" t="s">
        <v>1381</v>
      </c>
      <c r="D425" s="11" t="n">
        <v>0.0105694444444445</v>
      </c>
      <c r="E425" s="18" t="n">
        <f aca="false">ROUND((D425-$D$5)*86400,2)</f>
        <v>123.46</v>
      </c>
      <c r="F425" s="12" t="n">
        <v>940</v>
      </c>
      <c r="G425" s="11" t="str">
        <f aca="false">IF(INDEX(選手一覧!$F$7:$F$2738,$F425)="","",INDEX(選手一覧!$F$7:$F$2738,$F425))</f>
        <v/>
      </c>
      <c r="H425" s="12" t="str">
        <f aca="false">IF(INDEX(選手一覧!$G$7:$G$2738,$F425)="","",INDEX(選手一覧!$G$7:$G$2738,$F425))</f>
        <v/>
      </c>
      <c r="I425" s="11" t="n">
        <f aca="false">IF(INDEX(選手一覧!$H$7:$H$2738,$F425)="","",INDEX(選手一覧!$H$7:$H$2738,$F425))</f>
        <v>0.00289583333333333</v>
      </c>
      <c r="J425" s="12" t="n">
        <f aca="false">IF(INDEX(選手一覧!$I$7:$I$2738,$F425)="","",INDEX(選手一覧!$I$7:$I$2738,$F425))</f>
        <v>920</v>
      </c>
    </row>
    <row r="426" customFormat="false" ht="15" hidden="false" customHeight="false" outlineLevel="0" collapsed="false">
      <c r="A426" s="12" t="n">
        <v>422</v>
      </c>
      <c r="B426" s="10" t="s">
        <v>1031</v>
      </c>
      <c r="C426" s="10" t="s">
        <v>179</v>
      </c>
      <c r="D426" s="11" t="n">
        <v>0.0105697916666667</v>
      </c>
      <c r="E426" s="18" t="n">
        <f aca="false">ROUND((D426-$D$5)*86400,2)</f>
        <v>123.49</v>
      </c>
      <c r="F426" s="12" t="n">
        <v>692</v>
      </c>
      <c r="G426" s="11" t="n">
        <f aca="false">IF(INDEX(選手一覧!$F$7:$F$2738,$F426)="","",INDEX(選手一覧!$F$7:$F$2738,$F426))</f>
        <v>0.00696284722222222</v>
      </c>
      <c r="H426" s="12" t="n">
        <f aca="false">IF(INDEX(選手一覧!$G$7:$G$2738,$F426)="","",INDEX(選手一覧!$G$7:$G$2738,$F426))</f>
        <v>296</v>
      </c>
      <c r="I426" s="11" t="str">
        <f aca="false">IF(INDEX(選手一覧!$H$7:$H$2738,$F426)="","",INDEX(選手一覧!$H$7:$H$2738,$F426))</f>
        <v/>
      </c>
      <c r="J426" s="12" t="str">
        <f aca="false">IF(INDEX(選手一覧!$I$7:$I$2738,$F426)="","",INDEX(選手一覧!$I$7:$I$2738,$F426))</f>
        <v/>
      </c>
    </row>
    <row r="427" customFormat="false" ht="15" hidden="false" customHeight="false" outlineLevel="0" collapsed="false">
      <c r="A427" s="12" t="n">
        <v>423</v>
      </c>
      <c r="B427" s="10" t="s">
        <v>1388</v>
      </c>
      <c r="C427" s="10" t="s">
        <v>49</v>
      </c>
      <c r="D427" s="11" t="n">
        <v>0.0105699074074074</v>
      </c>
      <c r="E427" s="18" t="n">
        <f aca="false">ROUND((D427-$D$5)*86400,2)</f>
        <v>123.5</v>
      </c>
      <c r="F427" s="12" t="n">
        <v>945</v>
      </c>
      <c r="G427" s="11" t="str">
        <f aca="false">IF(INDEX(選手一覧!$F$7:$F$2738,$F427)="","",INDEX(選手一覧!$F$7:$F$2738,$F427))</f>
        <v/>
      </c>
      <c r="H427" s="12" t="str">
        <f aca="false">IF(INDEX(選手一覧!$G$7:$G$2738,$F427)="","",INDEX(選手一覧!$G$7:$G$2738,$F427))</f>
        <v/>
      </c>
      <c r="I427" s="11" t="str">
        <f aca="false">IF(INDEX(選手一覧!$H$7:$H$2738,$F427)="","",INDEX(選手一覧!$H$7:$H$2738,$F427))</f>
        <v/>
      </c>
      <c r="J427" s="12" t="str">
        <f aca="false">IF(INDEX(選手一覧!$I$7:$I$2738,$F427)="","",INDEX(選手一覧!$I$7:$I$2738,$F427))</f>
        <v/>
      </c>
    </row>
    <row r="428" customFormat="false" ht="15" hidden="false" customHeight="false" outlineLevel="0" collapsed="false">
      <c r="A428" s="12" t="n">
        <v>424</v>
      </c>
      <c r="B428" s="10" t="s">
        <v>1391</v>
      </c>
      <c r="C428" s="10" t="s">
        <v>471</v>
      </c>
      <c r="D428" s="11" t="n">
        <v>0.0105699074074074</v>
      </c>
      <c r="E428" s="18" t="n">
        <f aca="false">ROUND((D428-$D$5)*86400,2)</f>
        <v>123.5</v>
      </c>
      <c r="F428" s="12" t="n">
        <v>947</v>
      </c>
      <c r="G428" s="11" t="n">
        <f aca="false">IF(INDEX(選手一覧!$F$7:$F$2738,$F428)="","",INDEX(選手一覧!$F$7:$F$2738,$F428))</f>
        <v>0.00740578703703704</v>
      </c>
      <c r="H428" s="12" t="n">
        <f aca="false">IF(INDEX(選手一覧!$G$7:$G$2738,$F428)="","",INDEX(選手一覧!$G$7:$G$2738,$F428))</f>
        <v>781</v>
      </c>
      <c r="I428" s="11" t="str">
        <f aca="false">IF(INDEX(選手一覧!$H$7:$H$2738,$F428)="","",INDEX(選手一覧!$H$7:$H$2738,$F428))</f>
        <v/>
      </c>
      <c r="J428" s="12" t="str">
        <f aca="false">IF(INDEX(選手一覧!$I$7:$I$2738,$F428)="","",INDEX(選手一覧!$I$7:$I$2738,$F428))</f>
        <v/>
      </c>
    </row>
    <row r="429" customFormat="false" ht="15" hidden="false" customHeight="false" outlineLevel="0" collapsed="false">
      <c r="A429" s="12" t="n">
        <v>425</v>
      </c>
      <c r="B429" s="10" t="s">
        <v>359</v>
      </c>
      <c r="C429" s="10" t="s">
        <v>53</v>
      </c>
      <c r="D429" s="11" t="n">
        <v>0.0105715277777778</v>
      </c>
      <c r="E429" s="18" t="n">
        <f aca="false">ROUND((D429-$D$5)*86400,2)</f>
        <v>123.64</v>
      </c>
      <c r="F429" s="12" t="n">
        <v>212</v>
      </c>
      <c r="G429" s="11" t="n">
        <f aca="false">IF(INDEX(選手一覧!$F$7:$F$2738,$F429)="","",INDEX(選手一覧!$F$7:$F$2738,$F429))</f>
        <v>0.00665925925925926</v>
      </c>
      <c r="H429" s="12" t="n">
        <f aca="false">IF(INDEX(選手一覧!$G$7:$G$2738,$F429)="","",INDEX(選手一覧!$G$7:$G$2738,$F429))</f>
        <v>87</v>
      </c>
      <c r="I429" s="11" t="str">
        <f aca="false">IF(INDEX(選手一覧!$H$7:$H$2738,$F429)="","",INDEX(選手一覧!$H$7:$H$2738,$F429))</f>
        <v/>
      </c>
      <c r="J429" s="12" t="str">
        <f aca="false">IF(INDEX(選手一覧!$I$7:$I$2738,$F429)="","",INDEX(選手一覧!$I$7:$I$2738,$F429))</f>
        <v/>
      </c>
    </row>
    <row r="430" customFormat="false" ht="15" hidden="false" customHeight="false" outlineLevel="0" collapsed="false">
      <c r="A430" s="12" t="n">
        <v>426</v>
      </c>
      <c r="B430" s="10" t="s">
        <v>1021</v>
      </c>
      <c r="C430" s="10" t="s">
        <v>23</v>
      </c>
      <c r="D430" s="11" t="n">
        <v>0.010571875</v>
      </c>
      <c r="E430" s="18" t="n">
        <f aca="false">ROUND((D430-$D$5)*86400,2)</f>
        <v>123.67</v>
      </c>
      <c r="F430" s="12" t="n">
        <v>684</v>
      </c>
      <c r="G430" s="11" t="str">
        <f aca="false">IF(INDEX(選手一覧!$F$7:$F$2738,$F430)="","",INDEX(選手一覧!$F$7:$F$2738,$F430))</f>
        <v/>
      </c>
      <c r="H430" s="12" t="str">
        <f aca="false">IF(INDEX(選手一覧!$G$7:$G$2738,$F430)="","",INDEX(選手一覧!$G$7:$G$2738,$F430))</f>
        <v/>
      </c>
      <c r="I430" s="11" t="n">
        <f aca="false">IF(INDEX(選手一覧!$H$7:$H$2738,$F430)="","",INDEX(選手一覧!$H$7:$H$2738,$F430))</f>
        <v>0.00280208333333333</v>
      </c>
      <c r="J430" s="12" t="n">
        <f aca="false">IF(INDEX(選手一覧!$I$7:$I$2738,$F430)="","",INDEX(選手一覧!$I$7:$I$2738,$F430))</f>
        <v>291</v>
      </c>
    </row>
    <row r="431" customFormat="false" ht="15" hidden="false" customHeight="false" outlineLevel="0" collapsed="false">
      <c r="A431" s="12" t="n">
        <v>427</v>
      </c>
      <c r="B431" s="10" t="s">
        <v>1401</v>
      </c>
      <c r="C431" s="10" t="s">
        <v>91</v>
      </c>
      <c r="D431" s="11" t="n">
        <v>0.0105721064814815</v>
      </c>
      <c r="E431" s="18" t="n">
        <f aca="false">ROUND((D431-$D$5)*86400,2)</f>
        <v>123.69</v>
      </c>
      <c r="F431" s="12" t="n">
        <v>955</v>
      </c>
      <c r="G431" s="11" t="str">
        <f aca="false">IF(INDEX(選手一覧!$F$7:$F$2738,$F431)="","",INDEX(選手一覧!$F$7:$F$2738,$F431))</f>
        <v/>
      </c>
      <c r="H431" s="12" t="str">
        <f aca="false">IF(INDEX(選手一覧!$G$7:$G$2738,$F431)="","",INDEX(選手一覧!$G$7:$G$2738,$F431))</f>
        <v/>
      </c>
      <c r="I431" s="11" t="n">
        <f aca="false">IF(INDEX(選手一覧!$H$7:$H$2738,$F431)="","",INDEX(選手一覧!$H$7:$H$2738,$F431))</f>
        <v>0.00289594907407407</v>
      </c>
      <c r="J431" s="12" t="n">
        <f aca="false">IF(INDEX(選手一覧!$I$7:$I$2738,$F431)="","",INDEX(選手一覧!$I$7:$I$2738,$F431))</f>
        <v>921</v>
      </c>
    </row>
    <row r="432" customFormat="false" ht="15" hidden="false" customHeight="false" outlineLevel="0" collapsed="false">
      <c r="A432" s="12" t="n">
        <v>428</v>
      </c>
      <c r="B432" s="10" t="s">
        <v>1402</v>
      </c>
      <c r="C432" s="10" t="s">
        <v>1336</v>
      </c>
      <c r="D432" s="11" t="n">
        <v>0.0105734953703704</v>
      </c>
      <c r="E432" s="18" t="n">
        <f aca="false">ROUND((D432-$D$5)*86400,2)</f>
        <v>123.81</v>
      </c>
      <c r="F432" s="12" t="n">
        <v>956</v>
      </c>
      <c r="G432" s="11" t="str">
        <f aca="false">IF(INDEX(選手一覧!$F$7:$F$2738,$F432)="","",INDEX(選手一覧!$F$7:$F$2738,$F432))</f>
        <v/>
      </c>
      <c r="H432" s="12" t="str">
        <f aca="false">IF(INDEX(選手一覧!$G$7:$G$2738,$F432)="","",INDEX(選手一覧!$G$7:$G$2738,$F432))</f>
        <v/>
      </c>
      <c r="I432" s="11" t="n">
        <f aca="false">IF(INDEX(選手一覧!$H$7:$H$2738,$F432)="","",INDEX(選手一覧!$H$7:$H$2738,$F432))</f>
        <v>0.00283784722222222</v>
      </c>
      <c r="J432" s="12" t="n">
        <f aca="false">IF(INDEX(選手一覧!$I$7:$I$2738,$F432)="","",INDEX(選手一覧!$I$7:$I$2738,$F432))</f>
        <v>482</v>
      </c>
    </row>
    <row r="433" customFormat="false" ht="15" hidden="false" customHeight="false" outlineLevel="0" collapsed="false">
      <c r="A433" s="12" t="n">
        <v>429</v>
      </c>
      <c r="B433" s="10" t="s">
        <v>1406</v>
      </c>
      <c r="C433" s="10" t="s">
        <v>577</v>
      </c>
      <c r="D433" s="11" t="n">
        <v>0.0105737268518519</v>
      </c>
      <c r="E433" s="18" t="n">
        <f aca="false">ROUND((D433-$D$5)*86400,2)</f>
        <v>123.83</v>
      </c>
      <c r="F433" s="12" t="n">
        <v>959</v>
      </c>
      <c r="G433" s="11" t="str">
        <f aca="false">IF(INDEX(選手一覧!$F$7:$F$2738,$F433)="","",INDEX(選手一覧!$F$7:$F$2738,$F433))</f>
        <v/>
      </c>
      <c r="H433" s="12" t="str">
        <f aca="false">IF(INDEX(選手一覧!$G$7:$G$2738,$F433)="","",INDEX(選手一覧!$G$7:$G$2738,$F433))</f>
        <v/>
      </c>
      <c r="I433" s="11" t="str">
        <f aca="false">IF(INDEX(選手一覧!$H$7:$H$2738,$F433)="","",INDEX(選手一覧!$H$7:$H$2738,$F433))</f>
        <v/>
      </c>
      <c r="J433" s="12" t="str">
        <f aca="false">IF(INDEX(選手一覧!$I$7:$I$2738,$F433)="","",INDEX(選手一覧!$I$7:$I$2738,$F433))</f>
        <v/>
      </c>
    </row>
    <row r="434" customFormat="false" ht="15" hidden="false" customHeight="false" outlineLevel="0" collapsed="false">
      <c r="A434" s="12" t="n">
        <v>430</v>
      </c>
      <c r="B434" s="10" t="s">
        <v>1409</v>
      </c>
      <c r="C434" s="10" t="s">
        <v>350</v>
      </c>
      <c r="D434" s="11" t="n">
        <v>0.0105752314814815</v>
      </c>
      <c r="E434" s="18" t="n">
        <f aca="false">ROUND((D434-$D$5)*86400,2)</f>
        <v>123.96</v>
      </c>
      <c r="F434" s="12" t="n">
        <v>962</v>
      </c>
      <c r="G434" s="11" t="str">
        <f aca="false">IF(INDEX(選手一覧!$F$7:$F$2738,$F434)="","",INDEX(選手一覧!$F$7:$F$2738,$F434))</f>
        <v/>
      </c>
      <c r="H434" s="12" t="str">
        <f aca="false">IF(INDEX(選手一覧!$G$7:$G$2738,$F434)="","",INDEX(選手一覧!$G$7:$G$2738,$F434))</f>
        <v/>
      </c>
      <c r="I434" s="11" t="str">
        <f aca="false">IF(INDEX(選手一覧!$H$7:$H$2738,$F434)="","",INDEX(選手一覧!$H$7:$H$2738,$F434))</f>
        <v/>
      </c>
      <c r="J434" s="12" t="str">
        <f aca="false">IF(INDEX(選手一覧!$I$7:$I$2738,$F434)="","",INDEX(選手一覧!$I$7:$I$2738,$F434))</f>
        <v/>
      </c>
    </row>
    <row r="435" customFormat="false" ht="15" hidden="false" customHeight="false" outlineLevel="0" collapsed="false">
      <c r="A435" s="12" t="n">
        <v>431</v>
      </c>
      <c r="B435" s="10" t="s">
        <v>424</v>
      </c>
      <c r="C435" s="10" t="s">
        <v>425</v>
      </c>
      <c r="D435" s="11" t="n">
        <v>0.0105753472222222</v>
      </c>
      <c r="E435" s="18" t="n">
        <f aca="false">ROUND((D435-$D$5)*86400,2)</f>
        <v>123.97</v>
      </c>
      <c r="F435" s="12" t="n">
        <v>258</v>
      </c>
      <c r="G435" s="11" t="str">
        <f aca="false">IF(INDEX(選手一覧!$F$7:$F$2738,$F435)="","",INDEX(選手一覧!$F$7:$F$2738,$F435))</f>
        <v/>
      </c>
      <c r="H435" s="12" t="str">
        <f aca="false">IF(INDEX(選手一覧!$G$7:$G$2738,$F435)="","",INDEX(選手一覧!$G$7:$G$2738,$F435))</f>
        <v/>
      </c>
      <c r="I435" s="11" t="n">
        <f aca="false">IF(INDEX(選手一覧!$H$7:$H$2738,$F435)="","",INDEX(選手一覧!$H$7:$H$2738,$F435))</f>
        <v>0.00275185185185185</v>
      </c>
      <c r="J435" s="12" t="n">
        <f aca="false">IF(INDEX(選手一覧!$I$7:$I$2738,$F435)="","",INDEX(選手一覧!$I$7:$I$2738,$F435))</f>
        <v>107</v>
      </c>
    </row>
    <row r="436" customFormat="false" ht="15" hidden="false" customHeight="false" outlineLevel="0" collapsed="false">
      <c r="A436" s="12" t="n">
        <v>432</v>
      </c>
      <c r="B436" s="10" t="s">
        <v>1415</v>
      </c>
      <c r="C436" s="10" t="s">
        <v>210</v>
      </c>
      <c r="D436" s="11" t="n">
        <v>0.0105770833333333</v>
      </c>
      <c r="E436" s="18" t="n">
        <f aca="false">ROUND((D436-$D$5)*86400,2)</f>
        <v>124.12</v>
      </c>
      <c r="F436" s="12" t="n">
        <v>966</v>
      </c>
      <c r="G436" s="11" t="str">
        <f aca="false">IF(INDEX(選手一覧!$F$7:$F$2738,$F436)="","",INDEX(選手一覧!$F$7:$F$2738,$F436))</f>
        <v/>
      </c>
      <c r="H436" s="12" t="str">
        <f aca="false">IF(INDEX(選手一覧!$G$7:$G$2738,$F436)="","",INDEX(選手一覧!$G$7:$G$2738,$F436))</f>
        <v/>
      </c>
      <c r="I436" s="11" t="n">
        <f aca="false">IF(INDEX(選手一覧!$H$7:$H$2738,$F436)="","",INDEX(選手一覧!$H$7:$H$2738,$F436))</f>
        <v>0.00285173611111111</v>
      </c>
      <c r="J436" s="12" t="n">
        <f aca="false">IF(INDEX(選手一覧!$I$7:$I$2738,$F436)="","",INDEX(選手一覧!$I$7:$I$2738,$F436))</f>
        <v>579</v>
      </c>
    </row>
    <row r="437" customFormat="false" ht="15" hidden="false" customHeight="false" outlineLevel="0" collapsed="false">
      <c r="A437" s="12" t="n">
        <v>433</v>
      </c>
      <c r="B437" s="10" t="s">
        <v>247</v>
      </c>
      <c r="C437" s="10" t="s">
        <v>237</v>
      </c>
      <c r="D437" s="11" t="n">
        <v>0.0105804398148148</v>
      </c>
      <c r="E437" s="18" t="n">
        <f aca="false">ROUND((D437-$D$5)*86400,2)</f>
        <v>124.41</v>
      </c>
      <c r="F437" s="12" t="n">
        <v>133</v>
      </c>
      <c r="G437" s="11" t="n">
        <f aca="false">IF(INDEX(選手一覧!$F$7:$F$2738,$F437)="","",INDEX(選手一覧!$F$7:$F$2738,$F437))</f>
        <v>0.00656412037037037</v>
      </c>
      <c r="H437" s="12" t="n">
        <f aca="false">IF(INDEX(選手一覧!$G$7:$G$2738,$F437)="","",INDEX(選手一覧!$G$7:$G$2738,$F437))</f>
        <v>53</v>
      </c>
      <c r="I437" s="11" t="n">
        <f aca="false">IF(INDEX(選手一覧!$H$7:$H$2738,$F437)="","",INDEX(選手一覧!$H$7:$H$2738,$F437))</f>
        <v>0.00287986111111111</v>
      </c>
      <c r="J437" s="12" t="n">
        <f aca="false">IF(INDEX(選手一覧!$I$7:$I$2738,$F437)="","",INDEX(選手一覧!$I$7:$I$2738,$F437))</f>
        <v>769</v>
      </c>
    </row>
    <row r="438" customFormat="false" ht="15" hidden="false" customHeight="false" outlineLevel="0" collapsed="false">
      <c r="A438" s="12" t="n">
        <v>434</v>
      </c>
      <c r="B438" s="10" t="s">
        <v>1419</v>
      </c>
      <c r="C438" s="10" t="s">
        <v>445</v>
      </c>
      <c r="D438" s="11" t="n">
        <v>0.010580787037037</v>
      </c>
      <c r="E438" s="18" t="n">
        <f aca="false">ROUND((D438-$D$5)*86400,2)</f>
        <v>124.44</v>
      </c>
      <c r="F438" s="12" t="n">
        <v>969</v>
      </c>
      <c r="G438" s="11" t="str">
        <f aca="false">IF(INDEX(選手一覧!$F$7:$F$2738,$F438)="","",INDEX(選手一覧!$F$7:$F$2738,$F438))</f>
        <v/>
      </c>
      <c r="H438" s="12" t="str">
        <f aca="false">IF(INDEX(選手一覧!$G$7:$G$2738,$F438)="","",INDEX(選手一覧!$G$7:$G$2738,$F438))</f>
        <v/>
      </c>
      <c r="I438" s="11" t="n">
        <f aca="false">IF(INDEX(選手一覧!$H$7:$H$2738,$F438)="","",INDEX(選手一覧!$H$7:$H$2738,$F438))</f>
        <v>0.00290289351851852</v>
      </c>
      <c r="J438" s="12" t="n">
        <f aca="false">IF(INDEX(選手一覧!$I$7:$I$2738,$F438)="","",INDEX(選手一覧!$I$7:$I$2738,$F438))</f>
        <v>970</v>
      </c>
    </row>
    <row r="439" customFormat="false" ht="15" hidden="false" customHeight="false" outlineLevel="0" collapsed="false">
      <c r="A439" s="12" t="n">
        <v>435</v>
      </c>
      <c r="B439" s="10" t="s">
        <v>1422</v>
      </c>
      <c r="C439" s="10" t="s">
        <v>1423</v>
      </c>
      <c r="D439" s="11" t="n">
        <v>0.0105814814814815</v>
      </c>
      <c r="E439" s="18" t="n">
        <f aca="false">ROUND((D439-$D$5)*86400,2)</f>
        <v>124.5</v>
      </c>
      <c r="F439" s="12" t="n">
        <v>972</v>
      </c>
      <c r="G439" s="11" t="str">
        <f aca="false">IF(INDEX(選手一覧!$F$7:$F$2738,$F439)="","",INDEX(選手一覧!$F$7:$F$2738,$F439))</f>
        <v/>
      </c>
      <c r="H439" s="12" t="str">
        <f aca="false">IF(INDEX(選手一覧!$G$7:$G$2738,$F439)="","",INDEX(選手一覧!$G$7:$G$2738,$F439))</f>
        <v/>
      </c>
      <c r="I439" s="11" t="n">
        <f aca="false">IF(INDEX(選手一覧!$H$7:$H$2738,$F439)="","",INDEX(選手一覧!$H$7:$H$2738,$F439))</f>
        <v>0.00287847222222222</v>
      </c>
      <c r="J439" s="12" t="n">
        <f aca="false">IF(INDEX(選手一覧!$I$7:$I$2738,$F439)="","",INDEX(選手一覧!$I$7:$I$2738,$F439))</f>
        <v>757</v>
      </c>
    </row>
    <row r="440" customFormat="false" ht="15" hidden="false" customHeight="false" outlineLevel="0" collapsed="false">
      <c r="A440" s="12" t="n">
        <v>436</v>
      </c>
      <c r="B440" s="10" t="s">
        <v>1427</v>
      </c>
      <c r="C440" s="10" t="s">
        <v>857</v>
      </c>
      <c r="D440" s="11" t="n">
        <v>0.0105820601851852</v>
      </c>
      <c r="E440" s="18" t="n">
        <f aca="false">ROUND((D440-$D$5)*86400,2)</f>
        <v>124.55</v>
      </c>
      <c r="F440" s="12" t="n">
        <v>975</v>
      </c>
      <c r="G440" s="11" t="str">
        <f aca="false">IF(INDEX(選手一覧!$F$7:$F$2738,$F440)="","",INDEX(選手一覧!$F$7:$F$2738,$F440))</f>
        <v/>
      </c>
      <c r="H440" s="12" t="str">
        <f aca="false">IF(INDEX(選手一覧!$G$7:$G$2738,$F440)="","",INDEX(選手一覧!$G$7:$G$2738,$F440))</f>
        <v/>
      </c>
      <c r="I440" s="11" t="n">
        <f aca="false">IF(INDEX(選手一覧!$H$7:$H$2738,$F440)="","",INDEX(選手一覧!$H$7:$H$2738,$F440))</f>
        <v>0.00288854166666667</v>
      </c>
      <c r="J440" s="12" t="n">
        <f aca="false">IF(INDEX(選手一覧!$I$7:$I$2738,$F440)="","",INDEX(選手一覧!$I$7:$I$2738,$F440))</f>
        <v>853</v>
      </c>
    </row>
    <row r="441" customFormat="false" ht="15" hidden="false" customHeight="false" outlineLevel="0" collapsed="false">
      <c r="A441" s="12" t="n">
        <v>437</v>
      </c>
      <c r="B441" s="10" t="s">
        <v>1101</v>
      </c>
      <c r="C441" s="10" t="s">
        <v>302</v>
      </c>
      <c r="D441" s="11" t="n">
        <v>0.0105821759259259</v>
      </c>
      <c r="E441" s="18" t="n">
        <f aca="false">ROUND((D441-$D$5)*86400,2)</f>
        <v>124.56</v>
      </c>
      <c r="F441" s="12" t="n">
        <v>741</v>
      </c>
      <c r="G441" s="11" t="n">
        <f aca="false">IF(INDEX(選手一覧!$F$7:$F$2738,$F441)="","",INDEX(選手一覧!$F$7:$F$2738,$F441))</f>
        <v>0.00698576388888889</v>
      </c>
      <c r="H441" s="12" t="n">
        <f aca="false">IF(INDEX(選手一覧!$G$7:$G$2738,$F441)="","",INDEX(選手一覧!$G$7:$G$2738,$F441))</f>
        <v>320</v>
      </c>
      <c r="I441" s="11" t="n">
        <f aca="false">IF(INDEX(選手一覧!$H$7:$H$2738,$F441)="","",INDEX(選手一覧!$H$7:$H$2738,$F441))</f>
        <v>0.00285243055555556</v>
      </c>
      <c r="J441" s="12" t="n">
        <f aca="false">IF(INDEX(選手一覧!$I$7:$I$2738,$F441)="","",INDEX(選手一覧!$I$7:$I$2738,$F441))</f>
        <v>582</v>
      </c>
    </row>
    <row r="442" customFormat="false" ht="15" hidden="false" customHeight="false" outlineLevel="0" collapsed="false">
      <c r="A442" s="12" t="n">
        <v>438</v>
      </c>
      <c r="B442" s="10" t="s">
        <v>1430</v>
      </c>
      <c r="C442" s="10" t="s">
        <v>179</v>
      </c>
      <c r="D442" s="11" t="n">
        <v>0.0105828703703704</v>
      </c>
      <c r="E442" s="18" t="n">
        <f aca="false">ROUND((D442-$D$5)*86400,2)</f>
        <v>124.62</v>
      </c>
      <c r="F442" s="12" t="n">
        <v>978</v>
      </c>
      <c r="G442" s="11" t="str">
        <f aca="false">IF(INDEX(選手一覧!$F$7:$F$2738,$F442)="","",INDEX(選手一覧!$F$7:$F$2738,$F442))</f>
        <v/>
      </c>
      <c r="H442" s="12" t="str">
        <f aca="false">IF(INDEX(選手一覧!$G$7:$G$2738,$F442)="","",INDEX(選手一覧!$G$7:$G$2738,$F442))</f>
        <v/>
      </c>
      <c r="I442" s="11" t="n">
        <f aca="false">IF(INDEX(選手一覧!$H$7:$H$2738,$F442)="","",INDEX(選手一覧!$H$7:$H$2738,$F442))</f>
        <v>0.00292581018518519</v>
      </c>
      <c r="J442" s="12" t="n">
        <f aca="false">IF(INDEX(選手一覧!$I$7:$I$2738,$F442)="","",INDEX(選手一覧!$I$7:$I$2738,$F442))</f>
        <v>1156</v>
      </c>
    </row>
    <row r="443" customFormat="false" ht="15" hidden="false" customHeight="false" outlineLevel="0" collapsed="false">
      <c r="A443" s="12" t="n">
        <v>439</v>
      </c>
      <c r="B443" s="10" t="s">
        <v>908</v>
      </c>
      <c r="C443" s="10" t="s">
        <v>254</v>
      </c>
      <c r="D443" s="11" t="n">
        <v>0.0105828703703704</v>
      </c>
      <c r="E443" s="18" t="n">
        <f aca="false">ROUND((D443-$D$5)*86400,2)</f>
        <v>124.62</v>
      </c>
      <c r="F443" s="12" t="n">
        <v>599</v>
      </c>
      <c r="G443" s="11" t="str">
        <f aca="false">IF(INDEX(選手一覧!$F$7:$F$2738,$F443)="","",INDEX(選手一覧!$F$7:$F$2738,$F443))</f>
        <v/>
      </c>
      <c r="H443" s="12" t="str">
        <f aca="false">IF(INDEX(選手一覧!$G$7:$G$2738,$F443)="","",INDEX(選手一覧!$G$7:$G$2738,$F443))</f>
        <v/>
      </c>
      <c r="I443" s="11" t="n">
        <f aca="false">IF(INDEX(選手一覧!$H$7:$H$2738,$F443)="","",INDEX(選手一覧!$H$7:$H$2738,$F443))</f>
        <v>0.00279398148148148</v>
      </c>
      <c r="J443" s="12" t="n">
        <f aca="false">IF(INDEX(選手一覧!$I$7:$I$2738,$F443)="","",INDEX(選手一覧!$I$7:$I$2738,$F443))</f>
        <v>253</v>
      </c>
    </row>
    <row r="444" customFormat="false" ht="15" hidden="false" customHeight="false" outlineLevel="0" collapsed="false">
      <c r="A444" s="12" t="n">
        <v>440</v>
      </c>
      <c r="B444" s="10" t="s">
        <v>1363</v>
      </c>
      <c r="C444" s="10" t="s">
        <v>1364</v>
      </c>
      <c r="D444" s="11" t="n">
        <v>0.0105834490740741</v>
      </c>
      <c r="E444" s="18" t="n">
        <f aca="false">ROUND((D444-$D$5)*86400,2)</f>
        <v>124.67</v>
      </c>
      <c r="F444" s="12" t="n">
        <v>928</v>
      </c>
      <c r="G444" s="11" t="str">
        <f aca="false">IF(INDEX(選手一覧!$F$7:$F$2738,$F444)="","",INDEX(選手一覧!$F$7:$F$2738,$F444))</f>
        <v/>
      </c>
      <c r="H444" s="12" t="str">
        <f aca="false">IF(INDEX(選手一覧!$G$7:$G$2738,$F444)="","",INDEX(選手一覧!$G$7:$G$2738,$F444))</f>
        <v/>
      </c>
      <c r="I444" s="11" t="n">
        <f aca="false">IF(INDEX(選手一覧!$H$7:$H$2738,$F444)="","",INDEX(選手一覧!$H$7:$H$2738,$F444))</f>
        <v>0.0028287037037037</v>
      </c>
      <c r="J444" s="12" t="n">
        <f aca="false">IF(INDEX(選手一覧!$I$7:$I$2738,$F444)="","",INDEX(選手一覧!$I$7:$I$2738,$F444))</f>
        <v>416</v>
      </c>
    </row>
    <row r="445" customFormat="false" ht="15" hidden="false" customHeight="false" outlineLevel="0" collapsed="false">
      <c r="A445" s="12" t="n">
        <v>441</v>
      </c>
      <c r="B445" s="10" t="s">
        <v>1439</v>
      </c>
      <c r="C445" s="10" t="s">
        <v>1440</v>
      </c>
      <c r="D445" s="11" t="n">
        <v>0.0105841435185185</v>
      </c>
      <c r="E445" s="18" t="n">
        <f aca="false">ROUND((D445-$D$5)*86400,2)</f>
        <v>124.73</v>
      </c>
      <c r="F445" s="12" t="n">
        <v>985</v>
      </c>
      <c r="G445" s="11" t="str">
        <f aca="false">IF(INDEX(選手一覧!$F$7:$F$2738,$F445)="","",INDEX(選手一覧!$F$7:$F$2738,$F445))</f>
        <v/>
      </c>
      <c r="H445" s="12" t="str">
        <f aca="false">IF(INDEX(選手一覧!$G$7:$G$2738,$F445)="","",INDEX(選手一覧!$G$7:$G$2738,$F445))</f>
        <v/>
      </c>
      <c r="I445" s="11" t="n">
        <f aca="false">IF(INDEX(選手一覧!$H$7:$H$2738,$F445)="","",INDEX(選手一覧!$H$7:$H$2738,$F445))</f>
        <v>0.00286226851851852</v>
      </c>
      <c r="J445" s="12" t="n">
        <f aca="false">IF(INDEX(選手一覧!$I$7:$I$2738,$F445)="","",INDEX(選手一覧!$I$7:$I$2738,$F445))</f>
        <v>648</v>
      </c>
    </row>
    <row r="446" customFormat="false" ht="15" hidden="false" customHeight="false" outlineLevel="0" collapsed="false">
      <c r="A446" s="12" t="n">
        <v>442</v>
      </c>
      <c r="B446" s="10" t="s">
        <v>1445</v>
      </c>
      <c r="C446" s="10" t="s">
        <v>1314</v>
      </c>
      <c r="D446" s="11" t="n">
        <v>0.010584375</v>
      </c>
      <c r="E446" s="18" t="n">
        <f aca="false">ROUND((D446-$D$5)*86400,2)</f>
        <v>124.75</v>
      </c>
      <c r="F446" s="12" t="n">
        <v>989</v>
      </c>
      <c r="G446" s="11" t="str">
        <f aca="false">IF(INDEX(選手一覧!$F$7:$F$2738,$F446)="","",INDEX(選手一覧!$F$7:$F$2738,$F446))</f>
        <v/>
      </c>
      <c r="H446" s="12" t="str">
        <f aca="false">IF(INDEX(選手一覧!$G$7:$G$2738,$F446)="","",INDEX(選手一覧!$G$7:$G$2738,$F446))</f>
        <v/>
      </c>
      <c r="I446" s="11" t="str">
        <f aca="false">IF(INDEX(選手一覧!$H$7:$H$2738,$F446)="","",INDEX(選手一覧!$H$7:$H$2738,$F446))</f>
        <v/>
      </c>
      <c r="J446" s="12" t="str">
        <f aca="false">IF(INDEX(選手一覧!$I$7:$I$2738,$F446)="","",INDEX(選手一覧!$I$7:$I$2738,$F446))</f>
        <v/>
      </c>
    </row>
    <row r="447" customFormat="false" ht="15" hidden="false" customHeight="false" outlineLevel="0" collapsed="false">
      <c r="A447" s="12" t="n">
        <v>443</v>
      </c>
      <c r="B447" s="10" t="s">
        <v>1446</v>
      </c>
      <c r="C447" s="10" t="s">
        <v>680</v>
      </c>
      <c r="D447" s="11" t="n">
        <v>0.0105847222222222</v>
      </c>
      <c r="E447" s="18" t="n">
        <f aca="false">ROUND((D447-$D$5)*86400,2)</f>
        <v>124.78</v>
      </c>
      <c r="F447" s="12" t="n">
        <v>990</v>
      </c>
      <c r="G447" s="11" t="n">
        <f aca="false">IF(INDEX(選手一覧!$F$7:$F$2738,$F447)="","",INDEX(選手一覧!$F$7:$F$2738,$F447))</f>
        <v>0.00725046296296296</v>
      </c>
      <c r="H447" s="12" t="n">
        <f aca="false">IF(INDEX(選手一覧!$G$7:$G$2738,$F447)="","",INDEX(選手一覧!$G$7:$G$2738,$F447))</f>
        <v>597</v>
      </c>
      <c r="I447" s="11" t="n">
        <f aca="false">IF(INDEX(選手一覧!$H$7:$H$2738,$F447)="","",INDEX(選手一覧!$H$7:$H$2738,$F447))</f>
        <v>0.00297615740740741</v>
      </c>
      <c r="J447" s="12" t="n">
        <f aca="false">IF(INDEX(選手一覧!$I$7:$I$2738,$F447)="","",INDEX(選手一覧!$I$7:$I$2738,$F447))</f>
        <v>1335</v>
      </c>
    </row>
    <row r="448" customFormat="false" ht="15" hidden="false" customHeight="false" outlineLevel="0" collapsed="false">
      <c r="A448" s="12" t="n">
        <v>444</v>
      </c>
      <c r="B448" s="10" t="s">
        <v>1200</v>
      </c>
      <c r="C448" s="10" t="s">
        <v>465</v>
      </c>
      <c r="D448" s="11" t="n">
        <v>0.0105849537037037</v>
      </c>
      <c r="E448" s="18" t="n">
        <f aca="false">ROUND((D448-$D$5)*86400,2)</f>
        <v>124.8</v>
      </c>
      <c r="F448" s="12" t="n">
        <v>814</v>
      </c>
      <c r="G448" s="11" t="str">
        <f aca="false">IF(INDEX(選手一覧!$F$7:$F$2738,$F448)="","",INDEX(選手一覧!$F$7:$F$2738,$F448))</f>
        <v/>
      </c>
      <c r="H448" s="12" t="str">
        <f aca="false">IF(INDEX(選手一覧!$G$7:$G$2738,$F448)="","",INDEX(選手一覧!$G$7:$G$2738,$F448))</f>
        <v/>
      </c>
      <c r="I448" s="11" t="n">
        <f aca="false">IF(INDEX(選手一覧!$H$7:$H$2738,$F448)="","",INDEX(選手一覧!$H$7:$H$2738,$F448))</f>
        <v>0.00281782407407407</v>
      </c>
      <c r="J448" s="12" t="n">
        <f aca="false">IF(INDEX(選手一覧!$I$7:$I$2738,$F448)="","",INDEX(選手一覧!$I$7:$I$2738,$F448))</f>
        <v>354</v>
      </c>
    </row>
    <row r="449" customFormat="false" ht="15" hidden="false" customHeight="false" outlineLevel="0" collapsed="false">
      <c r="A449" s="12" t="n">
        <v>445</v>
      </c>
      <c r="B449" s="10" t="s">
        <v>1450</v>
      </c>
      <c r="C449" s="10" t="s">
        <v>570</v>
      </c>
      <c r="D449" s="11" t="n">
        <v>0.0105850694444444</v>
      </c>
      <c r="E449" s="18" t="n">
        <f aca="false">ROUND((D449-$D$5)*86400,2)</f>
        <v>124.81</v>
      </c>
      <c r="F449" s="12" t="n">
        <v>994</v>
      </c>
      <c r="G449" s="11" t="str">
        <f aca="false">IF(INDEX(選手一覧!$F$7:$F$2738,$F449)="","",INDEX(選手一覧!$F$7:$F$2738,$F449))</f>
        <v/>
      </c>
      <c r="H449" s="12" t="str">
        <f aca="false">IF(INDEX(選手一覧!$G$7:$G$2738,$F449)="","",INDEX(選手一覧!$G$7:$G$2738,$F449))</f>
        <v/>
      </c>
      <c r="I449" s="11" t="str">
        <f aca="false">IF(INDEX(選手一覧!$H$7:$H$2738,$F449)="","",INDEX(選手一覧!$H$7:$H$2738,$F449))</f>
        <v/>
      </c>
      <c r="J449" s="12" t="str">
        <f aca="false">IF(INDEX(選手一覧!$I$7:$I$2738,$F449)="","",INDEX(選手一覧!$I$7:$I$2738,$F449))</f>
        <v/>
      </c>
    </row>
    <row r="450" customFormat="false" ht="15" hidden="false" customHeight="false" outlineLevel="0" collapsed="false">
      <c r="A450" s="12" t="n">
        <v>446</v>
      </c>
      <c r="B450" s="10" t="s">
        <v>1454</v>
      </c>
      <c r="C450" s="10" t="s">
        <v>457</v>
      </c>
      <c r="D450" s="11" t="n">
        <v>0.0105856481481482</v>
      </c>
      <c r="E450" s="18" t="n">
        <f aca="false">ROUND((D450-$D$5)*86400,2)</f>
        <v>124.86</v>
      </c>
      <c r="F450" s="12" t="n">
        <v>997</v>
      </c>
      <c r="G450" s="11" t="str">
        <f aca="false">IF(INDEX(選手一覧!$F$7:$F$2738,$F450)="","",INDEX(選手一覧!$F$7:$F$2738,$F450))</f>
        <v/>
      </c>
      <c r="H450" s="12" t="str">
        <f aca="false">IF(INDEX(選手一覧!$G$7:$G$2738,$F450)="","",INDEX(選手一覧!$G$7:$G$2738,$F450))</f>
        <v/>
      </c>
      <c r="I450" s="11" t="str">
        <f aca="false">IF(INDEX(選手一覧!$H$7:$H$2738,$F450)="","",INDEX(選手一覧!$H$7:$H$2738,$F450))</f>
        <v/>
      </c>
      <c r="J450" s="12" t="str">
        <f aca="false">IF(INDEX(選手一覧!$I$7:$I$2738,$F450)="","",INDEX(選手一覧!$I$7:$I$2738,$F450))</f>
        <v/>
      </c>
    </row>
    <row r="451" customFormat="false" ht="15" hidden="false" customHeight="false" outlineLevel="0" collapsed="false">
      <c r="A451" s="12" t="n">
        <v>447</v>
      </c>
      <c r="B451" s="10" t="s">
        <v>450</v>
      </c>
      <c r="C451" s="10" t="s">
        <v>109</v>
      </c>
      <c r="D451" s="11" t="n">
        <v>0.0105856481481482</v>
      </c>
      <c r="E451" s="18" t="n">
        <f aca="false">ROUND((D451-$D$5)*86400,2)</f>
        <v>124.86</v>
      </c>
      <c r="F451" s="12" t="n">
        <v>277</v>
      </c>
      <c r="G451" s="11" t="n">
        <f aca="false">IF(INDEX(選手一覧!$F$7:$F$2738,$F451)="","",INDEX(選手一覧!$F$7:$F$2738,$F451))</f>
        <v>0.00672800925925926</v>
      </c>
      <c r="H451" s="12" t="n">
        <f aca="false">IF(INDEX(選手一覧!$G$7:$G$2738,$F451)="","",INDEX(選手一覧!$G$7:$G$2738,$F451))</f>
        <v>118</v>
      </c>
      <c r="I451" s="11" t="n">
        <f aca="false">IF(INDEX(選手一覧!$H$7:$H$2738,$F451)="","",INDEX(選手一覧!$H$7:$H$2738,$F451))</f>
        <v>0.00275428240740741</v>
      </c>
      <c r="J451" s="12" t="n">
        <f aca="false">IF(INDEX(選手一覧!$I$7:$I$2738,$F451)="","",INDEX(選手一覧!$I$7:$I$2738,$F451))</f>
        <v>115</v>
      </c>
    </row>
    <row r="452" customFormat="false" ht="15" hidden="false" customHeight="false" outlineLevel="0" collapsed="false">
      <c r="A452" s="12" t="n">
        <v>448</v>
      </c>
      <c r="B452" s="10" t="s">
        <v>1459</v>
      </c>
      <c r="C452" s="10" t="s">
        <v>473</v>
      </c>
      <c r="D452" s="11" t="n">
        <v>0.0105861111111111</v>
      </c>
      <c r="E452" s="18" t="n">
        <f aca="false">ROUND((D452-$D$5)*86400,2)</f>
        <v>124.9</v>
      </c>
      <c r="F452" s="12" t="n">
        <v>1000</v>
      </c>
      <c r="G452" s="11" t="str">
        <f aca="false">IF(INDEX(選手一覧!$F$7:$F$2738,$F452)="","",INDEX(選手一覧!$F$7:$F$2738,$F452))</f>
        <v/>
      </c>
      <c r="H452" s="12" t="str">
        <f aca="false">IF(INDEX(選手一覧!$G$7:$G$2738,$F452)="","",INDEX(選手一覧!$G$7:$G$2738,$F452))</f>
        <v/>
      </c>
      <c r="I452" s="11" t="n">
        <f aca="false">IF(INDEX(選手一覧!$H$7:$H$2738,$F452)="","",INDEX(選手一覧!$H$7:$H$2738,$F452))</f>
        <v>0.00292476851851852</v>
      </c>
      <c r="J452" s="12" t="n">
        <f aca="false">IF(INDEX(選手一覧!$I$7:$I$2738,$F452)="","",INDEX(選手一覧!$I$7:$I$2738,$F452))</f>
        <v>1143</v>
      </c>
    </row>
    <row r="453" customFormat="false" ht="15" hidden="false" customHeight="false" outlineLevel="0" collapsed="false">
      <c r="A453" s="12" t="n">
        <v>449</v>
      </c>
      <c r="B453" s="10" t="s">
        <v>1462</v>
      </c>
      <c r="C453" s="10" t="s">
        <v>1463</v>
      </c>
      <c r="D453" s="11" t="n">
        <v>0.0105868055555556</v>
      </c>
      <c r="E453" s="18" t="n">
        <f aca="false">ROUND((D453-$D$5)*86400,2)</f>
        <v>124.96</v>
      </c>
      <c r="F453" s="12" t="n">
        <v>1003</v>
      </c>
      <c r="G453" s="11" t="str">
        <f aca="false">IF(INDEX(選手一覧!$F$7:$F$2738,$F453)="","",INDEX(選手一覧!$F$7:$F$2738,$F453))</f>
        <v/>
      </c>
      <c r="H453" s="12" t="str">
        <f aca="false">IF(INDEX(選手一覧!$G$7:$G$2738,$F453)="","",INDEX(選手一覧!$G$7:$G$2738,$F453))</f>
        <v/>
      </c>
      <c r="I453" s="11" t="str">
        <f aca="false">IF(INDEX(選手一覧!$H$7:$H$2738,$F453)="","",INDEX(選手一覧!$H$7:$H$2738,$F453))</f>
        <v/>
      </c>
      <c r="J453" s="12" t="str">
        <f aca="false">IF(INDEX(選手一覧!$I$7:$I$2738,$F453)="","",INDEX(選手一覧!$I$7:$I$2738,$F453))</f>
        <v/>
      </c>
    </row>
    <row r="454" customFormat="false" ht="15" hidden="false" customHeight="false" outlineLevel="0" collapsed="false">
      <c r="A454" s="12" t="n">
        <v>450</v>
      </c>
      <c r="B454" s="10" t="s">
        <v>1003</v>
      </c>
      <c r="C454" s="10" t="s">
        <v>91</v>
      </c>
      <c r="D454" s="11" t="n">
        <v>0.0105872685185185</v>
      </c>
      <c r="E454" s="18" t="n">
        <f aca="false">ROUND((D454-$D$5)*86400,2)</f>
        <v>125</v>
      </c>
      <c r="F454" s="12" t="n">
        <v>670</v>
      </c>
      <c r="G454" s="11" t="str">
        <f aca="false">IF(INDEX(選手一覧!$F$7:$F$2738,$F454)="","",INDEX(選手一覧!$F$7:$F$2738,$F454))</f>
        <v/>
      </c>
      <c r="H454" s="12" t="str">
        <f aca="false">IF(INDEX(選手一覧!$G$7:$G$2738,$F454)="","",INDEX(選手一覧!$G$7:$G$2738,$F454))</f>
        <v/>
      </c>
      <c r="I454" s="11" t="n">
        <f aca="false">IF(INDEX(選手一覧!$H$7:$H$2738,$F454)="","",INDEX(選手一覧!$H$7:$H$2738,$F454))</f>
        <v>0.0028005787037037</v>
      </c>
      <c r="J454" s="12" t="n">
        <f aca="false">IF(INDEX(選手一覧!$I$7:$I$2738,$F454)="","",INDEX(選手一覧!$I$7:$I$2738,$F454))</f>
        <v>285</v>
      </c>
    </row>
    <row r="455" customFormat="false" ht="15" hidden="false" customHeight="false" outlineLevel="0" collapsed="false">
      <c r="A455" s="12" t="n">
        <v>451</v>
      </c>
      <c r="B455" s="10" t="s">
        <v>100</v>
      </c>
      <c r="C455" s="10" t="s">
        <v>101</v>
      </c>
      <c r="D455" s="11" t="n">
        <v>0.0105877314814815</v>
      </c>
      <c r="E455" s="18" t="n">
        <f aca="false">ROUND((D455-$D$5)*86400,2)</f>
        <v>125.04</v>
      </c>
      <c r="F455" s="12" t="n">
        <v>45</v>
      </c>
      <c r="G455" s="11" t="n">
        <f aca="false">IF(INDEX(選手一覧!$F$7:$F$2738,$F455)="","",INDEX(選手一覧!$F$7:$F$2738,$F455))</f>
        <v>0.00641585648148148</v>
      </c>
      <c r="H455" s="12" t="n">
        <f aca="false">IF(INDEX(選手一覧!$G$7:$G$2738,$F455)="","",INDEX(選手一覧!$G$7:$G$2738,$F455))</f>
        <v>18</v>
      </c>
      <c r="I455" s="11" t="n">
        <f aca="false">IF(INDEX(選手一覧!$H$7:$H$2738,$F455)="","",INDEX(選手一覧!$H$7:$H$2738,$F455))</f>
        <v>0.00284467592592593</v>
      </c>
      <c r="J455" s="12" t="n">
        <f aca="false">IF(INDEX(選手一覧!$I$7:$I$2738,$F455)="","",INDEX(選手一覧!$I$7:$I$2738,$F455))</f>
        <v>532</v>
      </c>
    </row>
    <row r="456" customFormat="false" ht="15" hidden="false" customHeight="false" outlineLevel="0" collapsed="false">
      <c r="A456" s="12" t="n">
        <v>452</v>
      </c>
      <c r="B456" s="10" t="s">
        <v>1471</v>
      </c>
      <c r="C456" s="10" t="s">
        <v>124</v>
      </c>
      <c r="D456" s="11" t="n">
        <v>0.0105880787037037</v>
      </c>
      <c r="E456" s="18" t="n">
        <f aca="false">ROUND((D456-$D$5)*86400,2)</f>
        <v>125.07</v>
      </c>
      <c r="F456" s="12" t="n">
        <v>1009</v>
      </c>
      <c r="G456" s="11" t="str">
        <f aca="false">IF(INDEX(選手一覧!$F$7:$F$2738,$F456)="","",INDEX(選手一覧!$F$7:$F$2738,$F456))</f>
        <v/>
      </c>
      <c r="H456" s="12" t="str">
        <f aca="false">IF(INDEX(選手一覧!$G$7:$G$2738,$F456)="","",INDEX(選手一覧!$G$7:$G$2738,$F456))</f>
        <v/>
      </c>
      <c r="I456" s="11" t="n">
        <f aca="false">IF(INDEX(選手一覧!$H$7:$H$2738,$F456)="","",INDEX(選手一覧!$H$7:$H$2738,$F456))</f>
        <v>0.00292222222222222</v>
      </c>
      <c r="J456" s="12" t="n">
        <f aca="false">IF(INDEX(選手一覧!$I$7:$I$2738,$F456)="","",INDEX(選手一覧!$I$7:$I$2738,$F456))</f>
        <v>1116</v>
      </c>
    </row>
    <row r="457" customFormat="false" ht="15" hidden="false" customHeight="false" outlineLevel="0" collapsed="false">
      <c r="A457" s="12" t="n">
        <v>453</v>
      </c>
      <c r="B457" s="10" t="s">
        <v>692</v>
      </c>
      <c r="C457" s="10" t="s">
        <v>201</v>
      </c>
      <c r="D457" s="11" t="n">
        <v>0.0105891203703704</v>
      </c>
      <c r="E457" s="18" t="n">
        <f aca="false">ROUND((D457-$D$5)*86400,2)</f>
        <v>125.16</v>
      </c>
      <c r="F457" s="12" t="n">
        <v>443</v>
      </c>
      <c r="G457" s="11" t="str">
        <f aca="false">IF(INDEX(選手一覧!$F$7:$F$2738,$F457)="","",INDEX(選手一覧!$F$7:$F$2738,$F457))</f>
        <v/>
      </c>
      <c r="H457" s="12" t="str">
        <f aca="false">IF(INDEX(選手一覧!$G$7:$G$2738,$F457)="","",INDEX(選手一覧!$G$7:$G$2738,$F457))</f>
        <v/>
      </c>
      <c r="I457" s="11" t="n">
        <f aca="false">IF(INDEX(選手一覧!$H$7:$H$2738,$F457)="","",INDEX(選手一覧!$H$7:$H$2738,$F457))</f>
        <v>0.00277696759259259</v>
      </c>
      <c r="J457" s="12" t="n">
        <f aca="false">IF(INDEX(選手一覧!$I$7:$I$2738,$F457)="","",INDEX(選手一覧!$I$7:$I$2738,$F457))</f>
        <v>186</v>
      </c>
    </row>
    <row r="458" customFormat="false" ht="15" hidden="false" customHeight="false" outlineLevel="0" collapsed="false">
      <c r="A458" s="12" t="n">
        <v>454</v>
      </c>
      <c r="B458" s="10" t="s">
        <v>1476</v>
      </c>
      <c r="C458" s="10" t="s">
        <v>49</v>
      </c>
      <c r="D458" s="11" t="n">
        <v>0.0105902777777778</v>
      </c>
      <c r="E458" s="18" t="n">
        <f aca="false">ROUND((D458-$D$5)*86400,2)</f>
        <v>125.26</v>
      </c>
      <c r="F458" s="12" t="n">
        <v>1013</v>
      </c>
      <c r="G458" s="11" t="str">
        <f aca="false">IF(INDEX(選手一覧!$F$7:$F$2738,$F458)="","",INDEX(選手一覧!$F$7:$F$2738,$F458))</f>
        <v/>
      </c>
      <c r="H458" s="12" t="str">
        <f aca="false">IF(INDEX(選手一覧!$G$7:$G$2738,$F458)="","",INDEX(選手一覧!$G$7:$G$2738,$F458))</f>
        <v/>
      </c>
      <c r="I458" s="11" t="str">
        <f aca="false">IF(INDEX(選手一覧!$H$7:$H$2738,$F458)="","",INDEX(選手一覧!$H$7:$H$2738,$F458))</f>
        <v/>
      </c>
      <c r="J458" s="12" t="str">
        <f aca="false">IF(INDEX(選手一覧!$I$7:$I$2738,$F458)="","",INDEX(選手一覧!$I$7:$I$2738,$F458))</f>
        <v/>
      </c>
    </row>
    <row r="459" customFormat="false" ht="15" hidden="false" customHeight="false" outlineLevel="0" collapsed="false">
      <c r="A459" s="12" t="n">
        <v>455</v>
      </c>
      <c r="B459" s="10" t="s">
        <v>1478</v>
      </c>
      <c r="C459" s="10" t="s">
        <v>107</v>
      </c>
      <c r="D459" s="11" t="n">
        <v>0.010590625</v>
      </c>
      <c r="E459" s="18" t="n">
        <f aca="false">ROUND((D459-$D$5)*86400,2)</f>
        <v>125.29</v>
      </c>
      <c r="F459" s="12" t="n">
        <v>1015</v>
      </c>
      <c r="G459" s="11" t="str">
        <f aca="false">IF(INDEX(選手一覧!$F$7:$F$2738,$F459)="","",INDEX(選手一覧!$F$7:$F$2738,$F459))</f>
        <v/>
      </c>
      <c r="H459" s="12" t="str">
        <f aca="false">IF(INDEX(選手一覧!$G$7:$G$2738,$F459)="","",INDEX(選手一覧!$G$7:$G$2738,$F459))</f>
        <v/>
      </c>
      <c r="I459" s="11" t="n">
        <f aca="false">IF(INDEX(選手一覧!$H$7:$H$2738,$F459)="","",INDEX(選手一覧!$H$7:$H$2738,$F459))</f>
        <v>0.00289444444444445</v>
      </c>
      <c r="J459" s="12" t="n">
        <f aca="false">IF(INDEX(選手一覧!$I$7:$I$2738,$F459)="","",INDEX(選手一覧!$I$7:$I$2738,$F459))</f>
        <v>906</v>
      </c>
    </row>
    <row r="460" customFormat="false" ht="15" hidden="false" customHeight="false" outlineLevel="0" collapsed="false">
      <c r="A460" s="12" t="n">
        <v>456</v>
      </c>
      <c r="B460" s="10" t="s">
        <v>1482</v>
      </c>
      <c r="C460" s="10" t="s">
        <v>986</v>
      </c>
      <c r="D460" s="11" t="n">
        <v>0.0105909722222222</v>
      </c>
      <c r="E460" s="18" t="n">
        <f aca="false">ROUND((D460-$D$5)*86400,2)</f>
        <v>125.32</v>
      </c>
      <c r="F460" s="12" t="n">
        <v>1018</v>
      </c>
      <c r="G460" s="11" t="str">
        <f aca="false">IF(INDEX(選手一覧!$F$7:$F$2738,$F460)="","",INDEX(選手一覧!$F$7:$F$2738,$F460))</f>
        <v/>
      </c>
      <c r="H460" s="12" t="str">
        <f aca="false">IF(INDEX(選手一覧!$G$7:$G$2738,$F460)="","",INDEX(選手一覧!$G$7:$G$2738,$F460))</f>
        <v/>
      </c>
      <c r="I460" s="11" t="n">
        <f aca="false">IF(INDEX(選手一覧!$H$7:$H$2738,$F460)="","",INDEX(選手一覧!$H$7:$H$2738,$F460))</f>
        <v>0.00286006944444445</v>
      </c>
      <c r="J460" s="12" t="n">
        <f aca="false">IF(INDEX(選手一覧!$I$7:$I$2738,$F460)="","",INDEX(選手一覧!$I$7:$I$2738,$F460))</f>
        <v>635</v>
      </c>
    </row>
    <row r="461" customFormat="false" ht="15" hidden="false" customHeight="false" outlineLevel="0" collapsed="false">
      <c r="A461" s="12" t="n">
        <v>457</v>
      </c>
      <c r="B461" s="10" t="s">
        <v>841</v>
      </c>
      <c r="C461" s="10" t="s">
        <v>714</v>
      </c>
      <c r="D461" s="11" t="n">
        <v>0.0105912037037037</v>
      </c>
      <c r="E461" s="18" t="n">
        <f aca="false">ROUND((D461-$D$5)*86400,2)</f>
        <v>125.34</v>
      </c>
      <c r="F461" s="12" t="n">
        <v>549</v>
      </c>
      <c r="G461" s="11" t="str">
        <f aca="false">IF(INDEX(選手一覧!$F$7:$F$2738,$F461)="","",INDEX(選手一覧!$F$7:$F$2738,$F461))</f>
        <v/>
      </c>
      <c r="H461" s="12" t="str">
        <f aca="false">IF(INDEX(選手一覧!$G$7:$G$2738,$F461)="","",INDEX(選手一覧!$G$7:$G$2738,$F461))</f>
        <v/>
      </c>
      <c r="I461" s="11" t="n">
        <f aca="false">IF(INDEX(選手一覧!$H$7:$H$2738,$F461)="","",INDEX(選手一覧!$H$7:$H$2738,$F461))</f>
        <v>0.00278680555555556</v>
      </c>
      <c r="J461" s="12" t="n">
        <f aca="false">IF(INDEX(選手一覧!$I$7:$I$2738,$F461)="","",INDEX(選手一覧!$I$7:$I$2738,$F461))</f>
        <v>230</v>
      </c>
    </row>
    <row r="462" customFormat="false" ht="15" hidden="false" customHeight="false" outlineLevel="0" collapsed="false">
      <c r="A462" s="12" t="n">
        <v>458</v>
      </c>
      <c r="B462" s="10" t="s">
        <v>301</v>
      </c>
      <c r="C462" s="10" t="s">
        <v>302</v>
      </c>
      <c r="D462" s="11" t="n">
        <v>0.0105918981481482</v>
      </c>
      <c r="E462" s="18" t="n">
        <f aca="false">ROUND((D462-$D$5)*86400,2)</f>
        <v>125.4</v>
      </c>
      <c r="F462" s="12" t="n">
        <v>170</v>
      </c>
      <c r="G462" s="11" t="str">
        <f aca="false">IF(INDEX(選手一覧!$F$7:$F$2738,$F462)="","",INDEX(選手一覧!$F$7:$F$2738,$F462))</f>
        <v/>
      </c>
      <c r="H462" s="12" t="str">
        <f aca="false">IF(INDEX(選手一覧!$G$7:$G$2738,$F462)="","",INDEX(選手一覧!$G$7:$G$2738,$F462))</f>
        <v/>
      </c>
      <c r="I462" s="11" t="n">
        <f aca="false">IF(INDEX(選手一覧!$H$7:$H$2738,$F462)="","",INDEX(選手一覧!$H$7:$H$2738,$F462))</f>
        <v>0.00273240740740741</v>
      </c>
      <c r="J462" s="12" t="n">
        <f aca="false">IF(INDEX(選手一覧!$I$7:$I$2738,$F462)="","",INDEX(選手一覧!$I$7:$I$2738,$F462))</f>
        <v>69</v>
      </c>
    </row>
    <row r="463" customFormat="false" ht="15" hidden="false" customHeight="false" outlineLevel="0" collapsed="false">
      <c r="A463" s="12" t="n">
        <v>459</v>
      </c>
      <c r="B463" s="10" t="s">
        <v>1489</v>
      </c>
      <c r="C463" s="10" t="s">
        <v>23</v>
      </c>
      <c r="D463" s="11" t="n">
        <v>0.0105923611111111</v>
      </c>
      <c r="E463" s="18" t="n">
        <f aca="false">ROUND((D463-$D$5)*86400,2)</f>
        <v>125.44</v>
      </c>
      <c r="F463" s="12" t="n">
        <v>1023</v>
      </c>
      <c r="G463" s="11" t="str">
        <f aca="false">IF(INDEX(選手一覧!$F$7:$F$2738,$F463)="","",INDEX(選手一覧!$F$7:$F$2738,$F463))</f>
        <v/>
      </c>
      <c r="H463" s="12" t="str">
        <f aca="false">IF(INDEX(選手一覧!$G$7:$G$2738,$F463)="","",INDEX(選手一覧!$G$7:$G$2738,$F463))</f>
        <v/>
      </c>
      <c r="I463" s="11" t="n">
        <f aca="false">IF(INDEX(選手一覧!$H$7:$H$2738,$F463)="","",INDEX(選手一覧!$H$7:$H$2738,$F463))</f>
        <v>0.00290636574074074</v>
      </c>
      <c r="J463" s="12" t="n">
        <f aca="false">IF(INDEX(選手一覧!$I$7:$I$2738,$F463)="","",INDEX(選手一覧!$I$7:$I$2738,$F463))</f>
        <v>992</v>
      </c>
    </row>
    <row r="464" customFormat="false" ht="15" hidden="false" customHeight="false" outlineLevel="0" collapsed="false">
      <c r="A464" s="12" t="n">
        <v>460</v>
      </c>
      <c r="B464" s="10" t="s">
        <v>1493</v>
      </c>
      <c r="C464" s="10" t="s">
        <v>55</v>
      </c>
      <c r="D464" s="11" t="n">
        <v>0.0105972222222222</v>
      </c>
      <c r="E464" s="18" t="n">
        <f aca="false">ROUND((D464-$D$5)*86400,2)</f>
        <v>125.86</v>
      </c>
      <c r="F464" s="12" t="n">
        <v>1026</v>
      </c>
      <c r="G464" s="11" t="str">
        <f aca="false">IF(INDEX(選手一覧!$F$7:$F$2738,$F464)="","",INDEX(選手一覧!$F$7:$F$2738,$F464))</f>
        <v/>
      </c>
      <c r="H464" s="12" t="str">
        <f aca="false">IF(INDEX(選手一覧!$G$7:$G$2738,$F464)="","",INDEX(選手一覧!$G$7:$G$2738,$F464))</f>
        <v/>
      </c>
      <c r="I464" s="11" t="n">
        <f aca="false">IF(INDEX(選手一覧!$H$7:$H$2738,$F464)="","",INDEX(選手一覧!$H$7:$H$2738,$F464))</f>
        <v>0.0028568287037037</v>
      </c>
      <c r="J464" s="12" t="n">
        <f aca="false">IF(INDEX(選手一覧!$I$7:$I$2738,$F464)="","",INDEX(選手一覧!$I$7:$I$2738,$F464))</f>
        <v>614</v>
      </c>
    </row>
    <row r="465" customFormat="false" ht="15" hidden="false" customHeight="false" outlineLevel="0" collapsed="false">
      <c r="A465" s="12" t="n">
        <v>461</v>
      </c>
      <c r="B465" s="10" t="s">
        <v>180</v>
      </c>
      <c r="C465" s="10" t="s">
        <v>181</v>
      </c>
      <c r="D465" s="11" t="n">
        <v>0.0105988425925926</v>
      </c>
      <c r="E465" s="18" t="n">
        <f aca="false">ROUND((D465-$D$5)*86400,2)</f>
        <v>126</v>
      </c>
      <c r="F465" s="12" t="n">
        <v>90</v>
      </c>
      <c r="G465" s="11" t="str">
        <f aca="false">IF(INDEX(選手一覧!$F$7:$F$2738,$F465)="","",INDEX(選手一覧!$F$7:$F$2738,$F465))</f>
        <v/>
      </c>
      <c r="H465" s="12" t="str">
        <f aca="false">IF(INDEX(選手一覧!$G$7:$G$2738,$F465)="","",INDEX(選手一覧!$G$7:$G$2738,$F465))</f>
        <v/>
      </c>
      <c r="I465" s="11" t="n">
        <f aca="false">IF(INDEX(選手一覧!$H$7:$H$2738,$F465)="","",INDEX(選手一覧!$H$7:$H$2738,$F465))</f>
        <v>0.00270983796296296</v>
      </c>
      <c r="J465" s="12" t="n">
        <f aca="false">IF(INDEX(選手一覧!$I$7:$I$2738,$F465)="","",INDEX(選手一覧!$I$7:$I$2738,$F465))</f>
        <v>35</v>
      </c>
    </row>
    <row r="466" customFormat="false" ht="15" hidden="false" customHeight="false" outlineLevel="0" collapsed="false">
      <c r="A466" s="12" t="n">
        <v>462</v>
      </c>
      <c r="B466" s="10" t="s">
        <v>794</v>
      </c>
      <c r="C466" s="10" t="s">
        <v>795</v>
      </c>
      <c r="D466" s="11" t="n">
        <v>0.0105994212962963</v>
      </c>
      <c r="E466" s="18" t="n">
        <f aca="false">ROUND((D466-$D$5)*86400,2)</f>
        <v>126.05</v>
      </c>
      <c r="F466" s="12" t="n">
        <v>518</v>
      </c>
      <c r="G466" s="11" t="str">
        <f aca="false">IF(INDEX(選手一覧!$F$7:$F$2738,$F466)="","",INDEX(選手一覧!$F$7:$F$2738,$F466))</f>
        <v/>
      </c>
      <c r="H466" s="12" t="str">
        <f aca="false">IF(INDEX(選手一覧!$G$7:$G$2738,$F466)="","",INDEX(選手一覧!$G$7:$G$2738,$F466))</f>
        <v/>
      </c>
      <c r="I466" s="11" t="n">
        <f aca="false">IF(INDEX(選手一覧!$H$7:$H$2738,$F466)="","",INDEX(選手一覧!$H$7:$H$2738,$F466))</f>
        <v>0.0027849537037037</v>
      </c>
      <c r="J466" s="12" t="n">
        <f aca="false">IF(INDEX(選手一覧!$I$7:$I$2738,$F466)="","",INDEX(選手一覧!$I$7:$I$2738,$F466))</f>
        <v>218</v>
      </c>
    </row>
    <row r="467" customFormat="false" ht="15" hidden="false" customHeight="false" outlineLevel="0" collapsed="false">
      <c r="A467" s="12" t="n">
        <v>463</v>
      </c>
      <c r="B467" s="10" t="s">
        <v>1126</v>
      </c>
      <c r="C467" s="10" t="s">
        <v>1127</v>
      </c>
      <c r="D467" s="11" t="n">
        <v>0.0105996527777778</v>
      </c>
      <c r="E467" s="18" t="n">
        <f aca="false">ROUND((D467-$D$5)*86400,2)</f>
        <v>126.07</v>
      </c>
      <c r="F467" s="12" t="n">
        <v>760</v>
      </c>
      <c r="G467" s="11" t="str">
        <f aca="false">IF(INDEX(選手一覧!$F$7:$F$2738,$F467)="","",INDEX(選手一覧!$F$7:$F$2738,$F467))</f>
        <v/>
      </c>
      <c r="H467" s="12" t="str">
        <f aca="false">IF(INDEX(選手一覧!$G$7:$G$2738,$F467)="","",INDEX(選手一覧!$G$7:$G$2738,$F467))</f>
        <v/>
      </c>
      <c r="I467" s="11" t="n">
        <f aca="false">IF(INDEX(選手一覧!$H$7:$H$2738,$F467)="","",INDEX(選手一覧!$H$7:$H$2738,$F467))</f>
        <v>0.0028119212962963</v>
      </c>
      <c r="J467" s="12" t="n">
        <f aca="false">IF(INDEX(選手一覧!$I$7:$I$2738,$F467)="","",INDEX(選手一覧!$I$7:$I$2738,$F467))</f>
        <v>330</v>
      </c>
    </row>
    <row r="468" customFormat="false" ht="15" hidden="false" customHeight="false" outlineLevel="0" collapsed="false">
      <c r="A468" s="12" t="n">
        <v>464</v>
      </c>
      <c r="B468" s="10" t="s">
        <v>1500</v>
      </c>
      <c r="C468" s="10" t="s">
        <v>1501</v>
      </c>
      <c r="D468" s="11" t="n">
        <v>0.010600462962963</v>
      </c>
      <c r="E468" s="18" t="n">
        <f aca="false">ROUND((D468-$D$5)*86400,2)</f>
        <v>126.14</v>
      </c>
      <c r="F468" s="12" t="n">
        <v>1031</v>
      </c>
      <c r="G468" s="11" t="n">
        <f aca="false">IF(INDEX(選手一覧!$F$7:$F$2738,$F468)="","",INDEX(選手一覧!$F$7:$F$2738,$F468))</f>
        <v>0.00713217592592593</v>
      </c>
      <c r="H468" s="12" t="n">
        <f aca="false">IF(INDEX(選手一覧!$G$7:$G$2738,$F468)="","",INDEX(選手一覧!$G$7:$G$2738,$F468))</f>
        <v>475</v>
      </c>
      <c r="I468" s="11" t="n">
        <f aca="false">IF(INDEX(選手一覧!$H$7:$H$2738,$F468)="","",INDEX(選手一覧!$H$7:$H$2738,$F468))</f>
        <v>0.00287071759259259</v>
      </c>
      <c r="J468" s="12" t="n">
        <f aca="false">IF(INDEX(選手一覧!$I$7:$I$2738,$F468)="","",INDEX(選手一覧!$I$7:$I$2738,$F468))</f>
        <v>702</v>
      </c>
    </row>
    <row r="469" customFormat="false" ht="15" hidden="false" customHeight="false" outlineLevel="0" collapsed="false">
      <c r="A469" s="12" t="n">
        <v>465</v>
      </c>
      <c r="B469" s="10" t="s">
        <v>1505</v>
      </c>
      <c r="C469" s="10" t="s">
        <v>1314</v>
      </c>
      <c r="D469" s="11" t="n">
        <v>0.0106020833333333</v>
      </c>
      <c r="E469" s="18" t="n">
        <f aca="false">ROUND((D469-$D$5)*86400,2)</f>
        <v>126.28</v>
      </c>
      <c r="F469" s="12" t="n">
        <v>1034</v>
      </c>
      <c r="G469" s="11" t="str">
        <f aca="false">IF(INDEX(選手一覧!$F$7:$F$2738,$F469)="","",INDEX(選手一覧!$F$7:$F$2738,$F469))</f>
        <v/>
      </c>
      <c r="H469" s="12" t="str">
        <f aca="false">IF(INDEX(選手一覧!$G$7:$G$2738,$F469)="","",INDEX(選手一覧!$G$7:$G$2738,$F469))</f>
        <v/>
      </c>
      <c r="I469" s="11" t="str">
        <f aca="false">IF(INDEX(選手一覧!$H$7:$H$2738,$F469)="","",INDEX(選手一覧!$H$7:$H$2738,$F469))</f>
        <v/>
      </c>
      <c r="J469" s="12" t="str">
        <f aca="false">IF(INDEX(選手一覧!$I$7:$I$2738,$F469)="","",INDEX(選手一覧!$I$7:$I$2738,$F469))</f>
        <v/>
      </c>
    </row>
    <row r="470" customFormat="false" ht="15" hidden="false" customHeight="false" outlineLevel="0" collapsed="false">
      <c r="A470" s="12" t="n">
        <v>466</v>
      </c>
      <c r="B470" s="10" t="s">
        <v>613</v>
      </c>
      <c r="C470" s="10" t="s">
        <v>614</v>
      </c>
      <c r="D470" s="11" t="n">
        <v>0.0106023148148148</v>
      </c>
      <c r="E470" s="18" t="n">
        <f aca="false">ROUND((D470-$D$5)*86400,2)</f>
        <v>126.3</v>
      </c>
      <c r="F470" s="12" t="n">
        <v>388</v>
      </c>
      <c r="G470" s="11" t="str">
        <f aca="false">IF(INDEX(選手一覧!$F$7:$F$2738,$F470)="","",INDEX(選手一覧!$F$7:$F$2738,$F470))</f>
        <v/>
      </c>
      <c r="H470" s="12" t="str">
        <f aca="false">IF(INDEX(選手一覧!$G$7:$G$2738,$F470)="","",INDEX(選手一覧!$G$7:$G$2738,$F470))</f>
        <v/>
      </c>
      <c r="I470" s="11" t="n">
        <f aca="false">IF(INDEX(選手一覧!$H$7:$H$2738,$F470)="","",INDEX(選手一覧!$H$7:$H$2738,$F470))</f>
        <v>0.00277002314814815</v>
      </c>
      <c r="J470" s="12" t="n">
        <f aca="false">IF(INDEX(選手一覧!$I$7:$I$2738,$F470)="","",INDEX(選手一覧!$I$7:$I$2738,$F470))</f>
        <v>164</v>
      </c>
    </row>
    <row r="471" customFormat="false" ht="15" hidden="false" customHeight="false" outlineLevel="0" collapsed="false">
      <c r="A471" s="12" t="n">
        <v>467</v>
      </c>
      <c r="B471" s="10" t="s">
        <v>1447</v>
      </c>
      <c r="C471" s="10" t="s">
        <v>460</v>
      </c>
      <c r="D471" s="11" t="n">
        <v>0.0106041666666667</v>
      </c>
      <c r="E471" s="18" t="n">
        <f aca="false">ROUND((D471-$D$5)*86400,2)</f>
        <v>126.46</v>
      </c>
      <c r="F471" s="12" t="n">
        <v>991</v>
      </c>
      <c r="G471" s="11" t="str">
        <f aca="false">IF(INDEX(選手一覧!$F$7:$F$2738,$F471)="","",INDEX(選手一覧!$F$7:$F$2738,$F471))</f>
        <v/>
      </c>
      <c r="H471" s="12" t="str">
        <f aca="false">IF(INDEX(選手一覧!$G$7:$G$2738,$F471)="","",INDEX(選手一覧!$G$7:$G$2738,$F471))</f>
        <v/>
      </c>
      <c r="I471" s="11" t="n">
        <f aca="false">IF(INDEX(選手一覧!$H$7:$H$2738,$F471)="","",INDEX(選手一覧!$H$7:$H$2738,$F471))</f>
        <v>0.00283263888888889</v>
      </c>
      <c r="J471" s="12" t="n">
        <f aca="false">IF(INDEX(選手一覧!$I$7:$I$2738,$F471)="","",INDEX(選手一覧!$I$7:$I$2738,$F471))</f>
        <v>443</v>
      </c>
    </row>
    <row r="472" customFormat="false" ht="15" hidden="false" customHeight="false" outlineLevel="0" collapsed="false">
      <c r="A472" s="12" t="n">
        <v>468</v>
      </c>
      <c r="B472" s="10" t="s">
        <v>293</v>
      </c>
      <c r="C472" s="10" t="s">
        <v>87</v>
      </c>
      <c r="D472" s="11" t="n">
        <v>0.0106052083333333</v>
      </c>
      <c r="E472" s="18" t="n">
        <f aca="false">ROUND((D472-$D$5)*86400,2)</f>
        <v>126.55</v>
      </c>
      <c r="F472" s="12" t="n">
        <v>165</v>
      </c>
      <c r="G472" s="11" t="n">
        <f aca="false">IF(INDEX(選手一覧!$F$7:$F$2738,$F472)="","",INDEX(選手一覧!$F$7:$F$2738,$F472))</f>
        <v>0.00659479166666667</v>
      </c>
      <c r="H472" s="12" t="n">
        <f aca="false">IF(INDEX(選手一覧!$G$7:$G$2738,$F472)="","",INDEX(選手一覧!$G$7:$G$2738,$F472))</f>
        <v>67</v>
      </c>
      <c r="I472" s="11" t="n">
        <f aca="false">IF(INDEX(選手一覧!$H$7:$H$2738,$F472)="","",INDEX(選手一覧!$H$7:$H$2738,$F472))</f>
        <v>0.0027806712962963</v>
      </c>
      <c r="J472" s="12" t="n">
        <f aca="false">IF(INDEX(選手一覧!$I$7:$I$2738,$F472)="","",INDEX(選手一覧!$I$7:$I$2738,$F472))</f>
        <v>205</v>
      </c>
    </row>
    <row r="473" customFormat="false" ht="15" hidden="false" customHeight="false" outlineLevel="0" collapsed="false">
      <c r="A473" s="12" t="n">
        <v>469</v>
      </c>
      <c r="B473" s="10" t="s">
        <v>1518</v>
      </c>
      <c r="C473" s="10" t="s">
        <v>183</v>
      </c>
      <c r="D473" s="11" t="n">
        <v>0.0106054398148148</v>
      </c>
      <c r="E473" s="18" t="n">
        <f aca="false">ROUND((D473-$D$5)*86400,2)</f>
        <v>126.57</v>
      </c>
      <c r="F473" s="12" t="n">
        <v>1042</v>
      </c>
      <c r="G473" s="11" t="str">
        <f aca="false">IF(INDEX(選手一覧!$F$7:$F$2738,$F473)="","",INDEX(選手一覧!$F$7:$F$2738,$F473))</f>
        <v/>
      </c>
      <c r="H473" s="12" t="str">
        <f aca="false">IF(INDEX(選手一覧!$G$7:$G$2738,$F473)="","",INDEX(選手一覧!$G$7:$G$2738,$F473))</f>
        <v/>
      </c>
      <c r="I473" s="11" t="n">
        <f aca="false">IF(INDEX(選手一覧!$H$7:$H$2738,$F473)="","",INDEX(選手一覧!$H$7:$H$2738,$F473))</f>
        <v>0.00286805555555556</v>
      </c>
      <c r="J473" s="12" t="n">
        <f aca="false">IF(INDEX(選手一覧!$I$7:$I$2738,$F473)="","",INDEX(選手一覧!$I$7:$I$2738,$F473))</f>
        <v>680</v>
      </c>
    </row>
    <row r="474" customFormat="false" ht="15" hidden="false" customHeight="false" outlineLevel="0" collapsed="false">
      <c r="A474" s="12" t="n">
        <v>470</v>
      </c>
      <c r="B474" s="10" t="s">
        <v>1521</v>
      </c>
      <c r="C474" s="10" t="s">
        <v>1522</v>
      </c>
      <c r="D474" s="11" t="n">
        <v>0.01060625</v>
      </c>
      <c r="E474" s="18" t="n">
        <f aca="false">ROUND((D474-$D$5)*86400,2)</f>
        <v>126.64</v>
      </c>
      <c r="F474" s="12" t="n">
        <v>1044</v>
      </c>
      <c r="G474" s="11" t="str">
        <f aca="false">IF(INDEX(選手一覧!$F$7:$F$2738,$F474)="","",INDEX(選手一覧!$F$7:$F$2738,$F474))</f>
        <v/>
      </c>
      <c r="H474" s="12" t="str">
        <f aca="false">IF(INDEX(選手一覧!$G$7:$G$2738,$F474)="","",INDEX(選手一覧!$G$7:$G$2738,$F474))</f>
        <v/>
      </c>
      <c r="I474" s="11" t="n">
        <f aca="false">IF(INDEX(選手一覧!$H$7:$H$2738,$F474)="","",INDEX(選手一覧!$H$7:$H$2738,$F474))</f>
        <v>0.00284606481481482</v>
      </c>
      <c r="J474" s="12" t="n">
        <f aca="false">IF(INDEX(選手一覧!$I$7:$I$2738,$F474)="","",INDEX(選手一覧!$I$7:$I$2738,$F474))</f>
        <v>543</v>
      </c>
    </row>
    <row r="475" customFormat="false" ht="15" hidden="false" customHeight="false" outlineLevel="0" collapsed="false">
      <c r="A475" s="12" t="n">
        <v>471</v>
      </c>
      <c r="B475" s="10" t="s">
        <v>1526</v>
      </c>
      <c r="C475" s="10" t="s">
        <v>183</v>
      </c>
      <c r="D475" s="11" t="n">
        <v>0.0106065972222222</v>
      </c>
      <c r="E475" s="18" t="n">
        <f aca="false">ROUND((D475-$D$5)*86400,2)</f>
        <v>126.67</v>
      </c>
      <c r="F475" s="12" t="n">
        <v>1048</v>
      </c>
      <c r="G475" s="11" t="str">
        <f aca="false">IF(INDEX(選手一覧!$F$7:$F$2738,$F475)="","",INDEX(選手一覧!$F$7:$F$2738,$F475))</f>
        <v/>
      </c>
      <c r="H475" s="12" t="str">
        <f aca="false">IF(INDEX(選手一覧!$G$7:$G$2738,$F475)="","",INDEX(選手一覧!$G$7:$G$2738,$F475))</f>
        <v/>
      </c>
      <c r="I475" s="11" t="n">
        <f aca="false">IF(INDEX(選手一覧!$H$7:$H$2738,$F475)="","",INDEX(選手一覧!$H$7:$H$2738,$F475))</f>
        <v>0.00285358796296296</v>
      </c>
      <c r="J475" s="12" t="n">
        <f aca="false">IF(INDEX(選手一覧!$I$7:$I$2738,$F475)="","",INDEX(選手一覧!$I$7:$I$2738,$F475))</f>
        <v>589</v>
      </c>
    </row>
    <row r="476" customFormat="false" ht="15" hidden="false" customHeight="false" outlineLevel="0" collapsed="false">
      <c r="A476" s="12" t="n">
        <v>472</v>
      </c>
      <c r="B476" s="10" t="s">
        <v>1529</v>
      </c>
      <c r="C476" s="10" t="s">
        <v>91</v>
      </c>
      <c r="D476" s="11" t="n">
        <v>0.0106076388888889</v>
      </c>
      <c r="E476" s="18" t="n">
        <f aca="false">ROUND((D476-$D$5)*86400,2)</f>
        <v>126.76</v>
      </c>
      <c r="F476" s="12" t="n">
        <v>1051</v>
      </c>
      <c r="G476" s="11" t="str">
        <f aca="false">IF(INDEX(選手一覧!$F$7:$F$2738,$F476)="","",INDEX(選手一覧!$F$7:$F$2738,$F476))</f>
        <v/>
      </c>
      <c r="H476" s="12" t="str">
        <f aca="false">IF(INDEX(選手一覧!$G$7:$G$2738,$F476)="","",INDEX(選手一覧!$G$7:$G$2738,$F476))</f>
        <v/>
      </c>
      <c r="I476" s="11" t="str">
        <f aca="false">IF(INDEX(選手一覧!$H$7:$H$2738,$F476)="","",INDEX(選手一覧!$H$7:$H$2738,$F476))</f>
        <v/>
      </c>
      <c r="J476" s="12" t="str">
        <f aca="false">IF(INDEX(選手一覧!$I$7:$I$2738,$F476)="","",INDEX(選手一覧!$I$7:$I$2738,$F476))</f>
        <v/>
      </c>
    </row>
    <row r="477" customFormat="false" ht="15" hidden="false" customHeight="false" outlineLevel="0" collapsed="false">
      <c r="A477" s="12" t="n">
        <v>473</v>
      </c>
      <c r="B477" s="10" t="s">
        <v>1532</v>
      </c>
      <c r="C477" s="10" t="s">
        <v>91</v>
      </c>
      <c r="D477" s="11" t="n">
        <v>0.0106081018518519</v>
      </c>
      <c r="E477" s="18" t="n">
        <f aca="false">ROUND((D477-$D$5)*86400,2)</f>
        <v>126.8</v>
      </c>
      <c r="F477" s="12" t="n">
        <v>1054</v>
      </c>
      <c r="G477" s="11" t="str">
        <f aca="false">IF(INDEX(選手一覧!$F$7:$F$2738,$F477)="","",INDEX(選手一覧!$F$7:$F$2738,$F477))</f>
        <v/>
      </c>
      <c r="H477" s="12" t="str">
        <f aca="false">IF(INDEX(選手一覧!$G$7:$G$2738,$F477)="","",INDEX(選手一覧!$G$7:$G$2738,$F477))</f>
        <v/>
      </c>
      <c r="I477" s="11" t="str">
        <f aca="false">IF(INDEX(選手一覧!$H$7:$H$2738,$F477)="","",INDEX(選手一覧!$H$7:$H$2738,$F477))</f>
        <v/>
      </c>
      <c r="J477" s="12" t="str">
        <f aca="false">IF(INDEX(選手一覧!$I$7:$I$2738,$F477)="","",INDEX(選手一覧!$I$7:$I$2738,$F477))</f>
        <v/>
      </c>
    </row>
    <row r="478" customFormat="false" ht="15" hidden="false" customHeight="false" outlineLevel="0" collapsed="false">
      <c r="A478" s="12" t="n">
        <v>474</v>
      </c>
      <c r="B478" s="10" t="s">
        <v>967</v>
      </c>
      <c r="C478" s="10" t="s">
        <v>109</v>
      </c>
      <c r="D478" s="11" t="n">
        <v>0.0106086805555556</v>
      </c>
      <c r="E478" s="18" t="n">
        <f aca="false">ROUND((D478-$D$5)*86400,2)</f>
        <v>126.85</v>
      </c>
      <c r="F478" s="12" t="n">
        <v>644</v>
      </c>
      <c r="G478" s="11" t="n">
        <f aca="false">IF(INDEX(選手一覧!$F$7:$F$2738,$F478)="","",INDEX(選手一覧!$F$7:$F$2738,$F478))</f>
        <v>0.00698622685185185</v>
      </c>
      <c r="H478" s="12" t="n">
        <f aca="false">IF(INDEX(選手一覧!$G$7:$G$2738,$F478)="","",INDEX(選手一覧!$G$7:$G$2738,$F478))</f>
        <v>321</v>
      </c>
      <c r="I478" s="11" t="n">
        <f aca="false">IF(INDEX(選手一覧!$H$7:$H$2738,$F478)="","",INDEX(選手一覧!$H$7:$H$2738,$F478))</f>
        <v>0.00279756944444445</v>
      </c>
      <c r="J478" s="12" t="n">
        <f aca="false">IF(INDEX(選手一覧!$I$7:$I$2738,$F478)="","",INDEX(選手一覧!$I$7:$I$2738,$F478))</f>
        <v>272</v>
      </c>
    </row>
    <row r="479" customFormat="false" ht="15" hidden="false" customHeight="false" outlineLevel="0" collapsed="false">
      <c r="A479" s="12" t="n">
        <v>475</v>
      </c>
      <c r="B479" s="10" t="s">
        <v>800</v>
      </c>
      <c r="C479" s="10" t="s">
        <v>523</v>
      </c>
      <c r="D479" s="11" t="n">
        <v>0.0106106481481482</v>
      </c>
      <c r="E479" s="18" t="n">
        <f aca="false">ROUND((D479-$D$5)*86400,2)</f>
        <v>127.02</v>
      </c>
      <c r="F479" s="12" t="n">
        <v>522</v>
      </c>
      <c r="G479" s="11" t="n">
        <f aca="false">IF(INDEX(選手一覧!$F$7:$F$2738,$F479)="","",INDEX(選手一覧!$F$7:$F$2738,$F479))</f>
        <v>0.0068724537037037</v>
      </c>
      <c r="H479" s="12" t="n">
        <f aca="false">IF(INDEX(選手一覧!$G$7:$G$2738,$F479)="","",INDEX(選手一覧!$G$7:$G$2738,$F479))</f>
        <v>219</v>
      </c>
      <c r="I479" s="11" t="str">
        <f aca="false">IF(INDEX(選手一覧!$H$7:$H$2738,$F479)="","",INDEX(選手一覧!$H$7:$H$2738,$F479))</f>
        <v/>
      </c>
      <c r="J479" s="12" t="str">
        <f aca="false">IF(INDEX(選手一覧!$I$7:$I$2738,$F479)="","",INDEX(選手一覧!$I$7:$I$2738,$F479))</f>
        <v/>
      </c>
    </row>
    <row r="480" customFormat="false" ht="15" hidden="false" customHeight="false" outlineLevel="0" collapsed="false">
      <c r="A480" s="12" t="n">
        <v>476</v>
      </c>
      <c r="B480" s="10" t="s">
        <v>1148</v>
      </c>
      <c r="C480" s="10" t="s">
        <v>43</v>
      </c>
      <c r="D480" s="11" t="n">
        <v>0.0106106481481482</v>
      </c>
      <c r="E480" s="18" t="n">
        <f aca="false">ROUND((D480-$D$5)*86400,2)</f>
        <v>127.02</v>
      </c>
      <c r="F480" s="12" t="n">
        <v>776</v>
      </c>
      <c r="G480" s="11" t="str">
        <f aca="false">IF(INDEX(選手一覧!$F$7:$F$2738,$F480)="","",INDEX(選手一覧!$F$7:$F$2738,$F480))</f>
        <v/>
      </c>
      <c r="H480" s="12" t="str">
        <f aca="false">IF(INDEX(選手一覧!$G$7:$G$2738,$F480)="","",INDEX(選手一覧!$G$7:$G$2738,$F480))</f>
        <v/>
      </c>
      <c r="I480" s="11" t="n">
        <f aca="false">IF(INDEX(選手一覧!$H$7:$H$2738,$F480)="","",INDEX(選手一覧!$H$7:$H$2738,$F480))</f>
        <v>0.00281331018518519</v>
      </c>
      <c r="J480" s="12" t="n">
        <f aca="false">IF(INDEX(選手一覧!$I$7:$I$2738,$F480)="","",INDEX(選手一覧!$I$7:$I$2738,$F480))</f>
        <v>337</v>
      </c>
    </row>
    <row r="481" customFormat="false" ht="15" hidden="false" customHeight="false" outlineLevel="0" collapsed="false">
      <c r="A481" s="12" t="n">
        <v>477</v>
      </c>
      <c r="B481" s="10" t="s">
        <v>388</v>
      </c>
      <c r="C481" s="10" t="s">
        <v>83</v>
      </c>
      <c r="D481" s="11" t="n">
        <v>0.0106108796296296</v>
      </c>
      <c r="E481" s="18" t="n">
        <f aca="false">ROUND((D481-$D$5)*86400,2)</f>
        <v>127.04</v>
      </c>
      <c r="F481" s="12" t="n">
        <v>232</v>
      </c>
      <c r="G481" s="11" t="n">
        <f aca="false">IF(INDEX(選手一覧!$F$7:$F$2738,$F481)="","",INDEX(選手一覧!$F$7:$F$2738,$F481))</f>
        <v>0.00667673611111111</v>
      </c>
      <c r="H481" s="12" t="n">
        <f aca="false">IF(INDEX(選手一覧!$G$7:$G$2738,$F481)="","",INDEX(選手一覧!$G$7:$G$2738,$F481))</f>
        <v>96</v>
      </c>
      <c r="I481" s="11" t="n">
        <f aca="false">IF(INDEX(選手一覧!$H$7:$H$2738,$F481)="","",INDEX(選手一覧!$H$7:$H$2738,$F481))</f>
        <v>0.00289733796296296</v>
      </c>
      <c r="J481" s="12" t="n">
        <f aca="false">IF(INDEX(選手一覧!$I$7:$I$2738,$F481)="","",INDEX(選手一覧!$I$7:$I$2738,$F481))</f>
        <v>929</v>
      </c>
    </row>
    <row r="482" customFormat="false" ht="15" hidden="false" customHeight="false" outlineLevel="0" collapsed="false">
      <c r="A482" s="12" t="n">
        <v>478</v>
      </c>
      <c r="B482" s="10" t="s">
        <v>1542</v>
      </c>
      <c r="C482" s="10" t="s">
        <v>422</v>
      </c>
      <c r="D482" s="11" t="n">
        <v>0.0106114583333333</v>
      </c>
      <c r="E482" s="18" t="n">
        <f aca="false">ROUND((D482-$D$5)*86400,2)</f>
        <v>127.09</v>
      </c>
      <c r="F482" s="12" t="n">
        <v>1062</v>
      </c>
      <c r="G482" s="11" t="str">
        <f aca="false">IF(INDEX(選手一覧!$F$7:$F$2738,$F482)="","",INDEX(選手一覧!$F$7:$F$2738,$F482))</f>
        <v/>
      </c>
      <c r="H482" s="12" t="str">
        <f aca="false">IF(INDEX(選手一覧!$G$7:$G$2738,$F482)="","",INDEX(選手一覧!$G$7:$G$2738,$F482))</f>
        <v/>
      </c>
      <c r="I482" s="11" t="n">
        <f aca="false">IF(INDEX(選手一覧!$H$7:$H$2738,$F482)="","",INDEX(選手一覧!$H$7:$H$2738,$F482))</f>
        <v>0.00285543981481482</v>
      </c>
      <c r="J482" s="12" t="n">
        <f aca="false">IF(INDEX(選手一覧!$I$7:$I$2738,$F482)="","",INDEX(選手一覧!$I$7:$I$2738,$F482))</f>
        <v>599</v>
      </c>
    </row>
    <row r="483" customFormat="false" ht="15" hidden="false" customHeight="false" outlineLevel="0" collapsed="false">
      <c r="A483" s="12" t="n">
        <v>479</v>
      </c>
      <c r="B483" s="10" t="s">
        <v>862</v>
      </c>
      <c r="C483" s="10" t="s">
        <v>124</v>
      </c>
      <c r="D483" s="11" t="n">
        <v>0.0106119212962963</v>
      </c>
      <c r="E483" s="18" t="n">
        <f aca="false">ROUND((D483-$D$5)*86400,2)</f>
        <v>127.13</v>
      </c>
      <c r="F483" s="12" t="n">
        <v>563</v>
      </c>
      <c r="G483" s="11" t="n">
        <f aca="false">IF(INDEX(選手一覧!$F$7:$F$2738,$F483)="","",INDEX(選手一覧!$F$7:$F$2738,$F483))</f>
        <v>0.00689525462962963</v>
      </c>
      <c r="H483" s="12" t="n">
        <f aca="false">IF(INDEX(選手一覧!$G$7:$G$2738,$F483)="","",INDEX(選手一覧!$G$7:$G$2738,$F483))</f>
        <v>236</v>
      </c>
      <c r="I483" s="11" t="str">
        <f aca="false">IF(INDEX(選手一覧!$H$7:$H$2738,$F483)="","",INDEX(選手一覧!$H$7:$H$2738,$F483))</f>
        <v/>
      </c>
      <c r="J483" s="12" t="str">
        <f aca="false">IF(INDEX(選手一覧!$I$7:$I$2738,$F483)="","",INDEX(選手一覧!$I$7:$I$2738,$F483))</f>
        <v/>
      </c>
    </row>
    <row r="484" customFormat="false" ht="15" hidden="false" customHeight="false" outlineLevel="0" collapsed="false">
      <c r="A484" s="12" t="n">
        <v>480</v>
      </c>
      <c r="B484" s="10" t="s">
        <v>313</v>
      </c>
      <c r="C484" s="10" t="s">
        <v>242</v>
      </c>
      <c r="D484" s="11" t="n">
        <v>0.0106119212962963</v>
      </c>
      <c r="E484" s="18" t="n">
        <f aca="false">ROUND((D484-$D$5)*86400,2)</f>
        <v>127.13</v>
      </c>
      <c r="F484" s="12" t="n">
        <v>178</v>
      </c>
      <c r="G484" s="11" t="str">
        <f aca="false">IF(INDEX(選手一覧!$F$7:$F$2738,$F484)="","",INDEX(選手一覧!$F$7:$F$2738,$F484))</f>
        <v/>
      </c>
      <c r="H484" s="12" t="str">
        <f aca="false">IF(INDEX(選手一覧!$G$7:$G$2738,$F484)="","",INDEX(選手一覧!$G$7:$G$2738,$F484))</f>
        <v/>
      </c>
      <c r="I484" s="11" t="n">
        <f aca="false">IF(INDEX(選手一覧!$H$7:$H$2738,$F484)="","",INDEX(選手一覧!$H$7:$H$2738,$F484))</f>
        <v>0.00273506944444444</v>
      </c>
      <c r="J484" s="12" t="n">
        <f aca="false">IF(INDEX(選手一覧!$I$7:$I$2738,$F484)="","",INDEX(選手一覧!$I$7:$I$2738,$F484))</f>
        <v>72</v>
      </c>
    </row>
    <row r="485" customFormat="false" ht="15" hidden="false" customHeight="false" outlineLevel="0" collapsed="false">
      <c r="A485" s="12" t="n">
        <v>481</v>
      </c>
      <c r="B485" s="10" t="s">
        <v>1549</v>
      </c>
      <c r="C485" s="10" t="s">
        <v>758</v>
      </c>
      <c r="D485" s="11" t="n">
        <v>0.0106123842592593</v>
      </c>
      <c r="E485" s="18" t="n">
        <f aca="false">ROUND((D485-$D$5)*86400,2)</f>
        <v>127.17</v>
      </c>
      <c r="F485" s="12" t="n">
        <v>1067</v>
      </c>
      <c r="G485" s="11" t="str">
        <f aca="false">IF(INDEX(選手一覧!$F$7:$F$2738,$F485)="","",INDEX(選手一覧!$F$7:$F$2738,$F485))</f>
        <v/>
      </c>
      <c r="H485" s="12" t="str">
        <f aca="false">IF(INDEX(選手一覧!$G$7:$G$2738,$F485)="","",INDEX(選手一覧!$G$7:$G$2738,$F485))</f>
        <v/>
      </c>
      <c r="I485" s="11" t="n">
        <f aca="false">IF(INDEX(選手一覧!$H$7:$H$2738,$F485)="","",INDEX(選手一覧!$H$7:$H$2738,$F485))</f>
        <v>0.00296493055555556</v>
      </c>
      <c r="J485" s="12" t="n">
        <f aca="false">IF(INDEX(選手一覧!$I$7:$I$2738,$F485)="","",INDEX(選手一覧!$I$7:$I$2738,$F485))</f>
        <v>1289</v>
      </c>
    </row>
    <row r="486" customFormat="false" ht="15" hidden="false" customHeight="false" outlineLevel="0" collapsed="false">
      <c r="A486" s="12" t="n">
        <v>482</v>
      </c>
      <c r="B486" s="10" t="s">
        <v>1160</v>
      </c>
      <c r="C486" s="10" t="s">
        <v>549</v>
      </c>
      <c r="D486" s="11" t="n">
        <v>0.0106128472222222</v>
      </c>
      <c r="E486" s="18" t="n">
        <f aca="false">ROUND((D486-$D$5)*86400,2)</f>
        <v>127.21</v>
      </c>
      <c r="F486" s="12" t="n">
        <v>785</v>
      </c>
      <c r="G486" s="11" t="n">
        <f aca="false">IF(INDEX(選手一覧!$F$7:$F$2738,$F486)="","",INDEX(選手一覧!$F$7:$F$2738,$F486))</f>
        <v>0.00723171296296296</v>
      </c>
      <c r="H486" s="12" t="n">
        <f aca="false">IF(INDEX(選手一覧!$G$7:$G$2738,$F486)="","",INDEX(選手一覧!$G$7:$G$2738,$F486))</f>
        <v>576</v>
      </c>
      <c r="I486" s="11" t="n">
        <f aca="false">IF(INDEX(選手一覧!$H$7:$H$2738,$F486)="","",INDEX(選手一覧!$H$7:$H$2738,$F486))</f>
        <v>0.00281458333333333</v>
      </c>
      <c r="J486" s="12" t="n">
        <f aca="false">IF(INDEX(選手一覧!$I$7:$I$2738,$F486)="","",INDEX(選手一覧!$I$7:$I$2738,$F486))</f>
        <v>341</v>
      </c>
    </row>
    <row r="487" customFormat="false" ht="15" hidden="false" customHeight="false" outlineLevel="0" collapsed="false">
      <c r="A487" s="12" t="n">
        <v>483</v>
      </c>
      <c r="B487" s="10" t="s">
        <v>1400</v>
      </c>
      <c r="C487" s="10" t="s">
        <v>695</v>
      </c>
      <c r="D487" s="11" t="n">
        <v>0.0106130787037037</v>
      </c>
      <c r="E487" s="18" t="n">
        <f aca="false">ROUND((D487-$D$5)*86400,2)</f>
        <v>127.23</v>
      </c>
      <c r="F487" s="12" t="n">
        <v>954</v>
      </c>
      <c r="G487" s="11" t="str">
        <f aca="false">IF(INDEX(選手一覧!$F$7:$F$2738,$F487)="","",INDEX(選手一覧!$F$7:$F$2738,$F487))</f>
        <v/>
      </c>
      <c r="H487" s="12" t="str">
        <f aca="false">IF(INDEX(選手一覧!$G$7:$G$2738,$F487)="","",INDEX(選手一覧!$G$7:$G$2738,$F487))</f>
        <v/>
      </c>
      <c r="I487" s="11" t="n">
        <f aca="false">IF(INDEX(選手一覧!$H$7:$H$2738,$F487)="","",INDEX(選手一覧!$H$7:$H$2738,$F487))</f>
        <v>0.00282997685185185</v>
      </c>
      <c r="J487" s="12" t="n">
        <f aca="false">IF(INDEX(選手一覧!$I$7:$I$2738,$F487)="","",INDEX(選手一覧!$I$7:$I$2738,$F487))</f>
        <v>427</v>
      </c>
    </row>
    <row r="488" customFormat="false" ht="15" hidden="false" customHeight="false" outlineLevel="0" collapsed="false">
      <c r="A488" s="12" t="n">
        <v>484</v>
      </c>
      <c r="B488" s="10" t="s">
        <v>1557</v>
      </c>
      <c r="C488" s="10" t="s">
        <v>695</v>
      </c>
      <c r="D488" s="11" t="n">
        <v>0.0106134259259259</v>
      </c>
      <c r="E488" s="18" t="n">
        <f aca="false">ROUND((D488-$D$5)*86400,2)</f>
        <v>127.26</v>
      </c>
      <c r="F488" s="12" t="n">
        <v>1072</v>
      </c>
      <c r="G488" s="11" t="str">
        <f aca="false">IF(INDEX(選手一覧!$F$7:$F$2738,$F488)="","",INDEX(選手一覧!$F$7:$F$2738,$F488))</f>
        <v/>
      </c>
      <c r="H488" s="12" t="str">
        <f aca="false">IF(INDEX(選手一覧!$G$7:$G$2738,$F488)="","",INDEX(選手一覧!$G$7:$G$2738,$F488))</f>
        <v/>
      </c>
      <c r="I488" s="11" t="n">
        <f aca="false">IF(INDEX(選手一覧!$H$7:$H$2738,$F488)="","",INDEX(選手一覧!$H$7:$H$2738,$F488))</f>
        <v>0.00290416666666667</v>
      </c>
      <c r="J488" s="12" t="n">
        <f aca="false">IF(INDEX(選手一覧!$I$7:$I$2738,$F488)="","",INDEX(選手一覧!$I$7:$I$2738,$F488))</f>
        <v>980</v>
      </c>
    </row>
    <row r="489" customFormat="false" ht="15" hidden="false" customHeight="false" outlineLevel="0" collapsed="false">
      <c r="A489" s="12" t="n">
        <v>485</v>
      </c>
      <c r="B489" s="10" t="s">
        <v>1410</v>
      </c>
      <c r="C489" s="10" t="s">
        <v>1411</v>
      </c>
      <c r="D489" s="11" t="n">
        <v>0.0106138888888889</v>
      </c>
      <c r="E489" s="18" t="n">
        <f aca="false">ROUND((D489-$D$5)*86400,2)</f>
        <v>127.3</v>
      </c>
      <c r="F489" s="12" t="n">
        <v>963</v>
      </c>
      <c r="G489" s="11" t="str">
        <f aca="false">IF(INDEX(選手一覧!$F$7:$F$2738,$F489)="","",INDEX(選手一覧!$F$7:$F$2738,$F489))</f>
        <v/>
      </c>
      <c r="H489" s="12" t="str">
        <f aca="false">IF(INDEX(選手一覧!$G$7:$G$2738,$F489)="","",INDEX(選手一覧!$G$7:$G$2738,$F489))</f>
        <v/>
      </c>
      <c r="I489" s="11" t="n">
        <f aca="false">IF(INDEX(選手一覧!$H$7:$H$2738,$F489)="","",INDEX(選手一覧!$H$7:$H$2738,$F489))</f>
        <v>0.0028306712962963</v>
      </c>
      <c r="J489" s="12" t="n">
        <f aca="false">IF(INDEX(選手一覧!$I$7:$I$2738,$F489)="","",INDEX(選手一覧!$I$7:$I$2738,$F489))</f>
        <v>431</v>
      </c>
    </row>
    <row r="490" customFormat="false" ht="15" hidden="false" customHeight="false" outlineLevel="0" collapsed="false">
      <c r="A490" s="12" t="n">
        <v>486</v>
      </c>
      <c r="B490" s="10" t="s">
        <v>869</v>
      </c>
      <c r="C490" s="10" t="s">
        <v>195</v>
      </c>
      <c r="D490" s="11" t="n">
        <v>0.010615625</v>
      </c>
      <c r="E490" s="18" t="n">
        <f aca="false">ROUND((D490-$D$5)*86400,2)</f>
        <v>127.45</v>
      </c>
      <c r="F490" s="12" t="n">
        <v>569</v>
      </c>
      <c r="G490" s="11" t="str">
        <f aca="false">IF(INDEX(選手一覧!$F$7:$F$2738,$F490)="","",INDEX(選手一覧!$F$7:$F$2738,$F490))</f>
        <v/>
      </c>
      <c r="H490" s="12" t="str">
        <f aca="false">IF(INDEX(選手一覧!$G$7:$G$2738,$F490)="","",INDEX(選手一覧!$G$7:$G$2738,$F490))</f>
        <v/>
      </c>
      <c r="I490" s="11" t="n">
        <f aca="false">IF(INDEX(選手一覧!$H$7:$H$2738,$F490)="","",INDEX(選手一覧!$H$7:$H$2738,$F490))</f>
        <v>0.00279027777777778</v>
      </c>
      <c r="J490" s="12" t="n">
        <f aca="false">IF(INDEX(選手一覧!$I$7:$I$2738,$F490)="","",INDEX(選手一覧!$I$7:$I$2738,$F490))</f>
        <v>239</v>
      </c>
    </row>
    <row r="491" customFormat="false" ht="15" hidden="false" customHeight="false" outlineLevel="0" collapsed="false">
      <c r="A491" s="12" t="n">
        <v>487</v>
      </c>
      <c r="B491" s="10" t="s">
        <v>125</v>
      </c>
      <c r="C491" s="10" t="s">
        <v>126</v>
      </c>
      <c r="D491" s="11" t="n">
        <v>0.0106157407407407</v>
      </c>
      <c r="E491" s="18" t="n">
        <f aca="false">ROUND((D491-$D$5)*86400,2)</f>
        <v>127.46</v>
      </c>
      <c r="F491" s="12" t="n">
        <v>58</v>
      </c>
      <c r="G491" s="11" t="n">
        <f aca="false">IF(INDEX(選手一覧!$F$7:$F$2738,$F491)="","",INDEX(選手一覧!$F$7:$F$2738,$F491))</f>
        <v>0.00645543981481482</v>
      </c>
      <c r="H491" s="12" t="n">
        <f aca="false">IF(INDEX(選手一覧!$G$7:$G$2738,$F491)="","",INDEX(選手一覧!$G$7:$G$2738,$F491))</f>
        <v>23</v>
      </c>
      <c r="I491" s="11" t="n">
        <f aca="false">IF(INDEX(選手一覧!$H$7:$H$2738,$F491)="","",INDEX(選手一覧!$H$7:$H$2738,$F491))</f>
        <v>0.00290162037037037</v>
      </c>
      <c r="J491" s="12" t="n">
        <f aca="false">IF(INDEX(選手一覧!$I$7:$I$2738,$F491)="","",INDEX(選手一覧!$I$7:$I$2738,$F491))</f>
        <v>960</v>
      </c>
    </row>
    <row r="492" customFormat="false" ht="15" hidden="false" customHeight="false" outlineLevel="0" collapsed="false">
      <c r="A492" s="12" t="n">
        <v>488</v>
      </c>
      <c r="B492" s="10" t="s">
        <v>1324</v>
      </c>
      <c r="C492" s="10" t="s">
        <v>437</v>
      </c>
      <c r="D492" s="11" t="n">
        <v>0.010616087962963</v>
      </c>
      <c r="E492" s="18" t="n">
        <f aca="false">ROUND((D492-$D$5)*86400,2)</f>
        <v>127.49</v>
      </c>
      <c r="F492" s="12" t="n">
        <v>901</v>
      </c>
      <c r="G492" s="11" t="str">
        <f aca="false">IF(INDEX(選手一覧!$F$7:$F$2738,$F492)="","",INDEX(選手一覧!$F$7:$F$2738,$F492))</f>
        <v/>
      </c>
      <c r="H492" s="12" t="str">
        <f aca="false">IF(INDEX(選手一覧!$G$7:$G$2738,$F492)="","",INDEX(選手一覧!$G$7:$G$2738,$F492))</f>
        <v/>
      </c>
      <c r="I492" s="11" t="n">
        <f aca="false">IF(INDEX(選手一覧!$H$7:$H$2738,$F492)="","",INDEX(選手一覧!$H$7:$H$2738,$F492))</f>
        <v>0.00282650462962963</v>
      </c>
      <c r="J492" s="12" t="n">
        <f aca="false">IF(INDEX(選手一覧!$I$7:$I$2738,$F492)="","",INDEX(選手一覧!$I$7:$I$2738,$F492))</f>
        <v>402</v>
      </c>
    </row>
    <row r="493" customFormat="false" ht="15" hidden="false" customHeight="false" outlineLevel="0" collapsed="false">
      <c r="A493" s="12" t="n">
        <v>489</v>
      </c>
      <c r="B493" s="10" t="s">
        <v>239</v>
      </c>
      <c r="C493" s="10" t="s">
        <v>240</v>
      </c>
      <c r="D493" s="11" t="n">
        <v>0.0106162037037037</v>
      </c>
      <c r="E493" s="18" t="n">
        <f aca="false">ROUND((D493-$D$5)*86400,2)</f>
        <v>127.5</v>
      </c>
      <c r="F493" s="12" t="n">
        <v>129</v>
      </c>
      <c r="G493" s="11" t="n">
        <f aca="false">IF(INDEX(選手一覧!$F$7:$F$2738,$F493)="","",INDEX(選手一覧!$F$7:$F$2738,$F493))</f>
        <v>0.00656377314814815</v>
      </c>
      <c r="H493" s="12" t="n">
        <f aca="false">IF(INDEX(選手一覧!$G$7:$G$2738,$F493)="","",INDEX(選手一覧!$G$7:$G$2738,$F493))</f>
        <v>51</v>
      </c>
      <c r="I493" s="11" t="n">
        <f aca="false">IF(INDEX(選手一覧!$H$7:$H$2738,$F493)="","",INDEX(選手一覧!$H$7:$H$2738,$F493))</f>
        <v>0.00284421296296296</v>
      </c>
      <c r="J493" s="12" t="n">
        <f aca="false">IF(INDEX(選手一覧!$I$7:$I$2738,$F493)="","",INDEX(選手一覧!$I$7:$I$2738,$F493))</f>
        <v>528</v>
      </c>
    </row>
    <row r="494" customFormat="false" ht="15" hidden="false" customHeight="false" outlineLevel="0" collapsed="false">
      <c r="A494" s="12" t="n">
        <v>490</v>
      </c>
      <c r="B494" s="10" t="s">
        <v>1571</v>
      </c>
      <c r="C494" s="10" t="s">
        <v>1474</v>
      </c>
      <c r="D494" s="11" t="n">
        <v>0.0106164351851852</v>
      </c>
      <c r="E494" s="18" t="n">
        <f aca="false">ROUND((D494-$D$5)*86400,2)</f>
        <v>127.52</v>
      </c>
      <c r="F494" s="12" t="n">
        <v>1083</v>
      </c>
      <c r="G494" s="11" t="n">
        <f aca="false">IF(INDEX(選手一覧!$F$7:$F$2738,$F494)="","",INDEX(選手一覧!$F$7:$F$2738,$F494))</f>
        <v>0.00720949074074074</v>
      </c>
      <c r="H494" s="12" t="n">
        <f aca="false">IF(INDEX(選手一覧!$G$7:$G$2738,$F494)="","",INDEX(選手一覧!$G$7:$G$2738,$F494))</f>
        <v>546</v>
      </c>
      <c r="I494" s="11" t="n">
        <f aca="false">IF(INDEX(選手一覧!$H$7:$H$2738,$F494)="","",INDEX(選手一覧!$H$7:$H$2738,$F494))</f>
        <v>0.00291678240740741</v>
      </c>
      <c r="J494" s="12" t="n">
        <f aca="false">IF(INDEX(選手一覧!$I$7:$I$2738,$F494)="","",INDEX(選手一覧!$I$7:$I$2738,$F494))</f>
        <v>1064</v>
      </c>
    </row>
    <row r="495" customFormat="false" ht="15" hidden="false" customHeight="false" outlineLevel="0" collapsed="false">
      <c r="A495" s="12" t="n">
        <v>491</v>
      </c>
      <c r="B495" s="10" t="s">
        <v>310</v>
      </c>
      <c r="C495" s="10" t="s">
        <v>79</v>
      </c>
      <c r="D495" s="11" t="n">
        <v>0.0106170138888889</v>
      </c>
      <c r="E495" s="18" t="n">
        <f aca="false">ROUND((D495-$D$5)*86400,2)</f>
        <v>127.57</v>
      </c>
      <c r="F495" s="12" t="n">
        <v>176</v>
      </c>
      <c r="G495" s="11" t="str">
        <f aca="false">IF(INDEX(選手一覧!$F$7:$F$2738,$F495)="","",INDEX(選手一覧!$F$7:$F$2738,$F495))</f>
        <v/>
      </c>
      <c r="H495" s="12" t="str">
        <f aca="false">IF(INDEX(選手一覧!$G$7:$G$2738,$F495)="","",INDEX(選手一覧!$G$7:$G$2738,$F495))</f>
        <v/>
      </c>
      <c r="I495" s="11" t="n">
        <f aca="false">IF(INDEX(選手一覧!$H$7:$H$2738,$F495)="","",INDEX(選手一覧!$H$7:$H$2738,$F495))</f>
        <v>0.00273449074074074</v>
      </c>
      <c r="J495" s="12" t="n">
        <f aca="false">IF(INDEX(選手一覧!$I$7:$I$2738,$F495)="","",INDEX(選手一覧!$I$7:$I$2738,$F495))</f>
        <v>71</v>
      </c>
    </row>
    <row r="496" customFormat="false" ht="15" hidden="false" customHeight="false" outlineLevel="0" collapsed="false">
      <c r="A496" s="12" t="n">
        <v>492</v>
      </c>
      <c r="B496" s="10" t="s">
        <v>1576</v>
      </c>
      <c r="C496" s="10" t="s">
        <v>179</v>
      </c>
      <c r="D496" s="11" t="n">
        <v>0.0106173611111111</v>
      </c>
      <c r="E496" s="18" t="n">
        <f aca="false">ROUND((D496-$D$5)*86400,2)</f>
        <v>127.6</v>
      </c>
      <c r="F496" s="12" t="n">
        <v>1086</v>
      </c>
      <c r="G496" s="11" t="str">
        <f aca="false">IF(INDEX(選手一覧!$F$7:$F$2738,$F496)="","",INDEX(選手一覧!$F$7:$F$2738,$F496))</f>
        <v/>
      </c>
      <c r="H496" s="12" t="str">
        <f aca="false">IF(INDEX(選手一覧!$G$7:$G$2738,$F496)="","",INDEX(選手一覧!$G$7:$G$2738,$F496))</f>
        <v/>
      </c>
      <c r="I496" s="11" t="n">
        <f aca="false">IF(INDEX(選手一覧!$H$7:$H$2738,$F496)="","",INDEX(選手一覧!$H$7:$H$2738,$F496))</f>
        <v>0.00284305555555556</v>
      </c>
      <c r="J496" s="12" t="n">
        <f aca="false">IF(INDEX(選手一覧!$I$7:$I$2738,$F496)="","",INDEX(選手一覧!$I$7:$I$2738,$F496))</f>
        <v>516</v>
      </c>
    </row>
    <row r="497" customFormat="false" ht="15" hidden="false" customHeight="false" outlineLevel="0" collapsed="false">
      <c r="A497" s="12" t="n">
        <v>493</v>
      </c>
      <c r="B497" s="10" t="s">
        <v>1580</v>
      </c>
      <c r="C497" s="10" t="s">
        <v>592</v>
      </c>
      <c r="D497" s="11" t="n">
        <v>0.0106174768518519</v>
      </c>
      <c r="E497" s="18" t="n">
        <f aca="false">ROUND((D497-$D$5)*86400,2)</f>
        <v>127.61</v>
      </c>
      <c r="F497" s="12" t="n">
        <v>1089</v>
      </c>
      <c r="G497" s="11" t="str">
        <f aca="false">IF(INDEX(選手一覧!$F$7:$F$2738,$F497)="","",INDEX(選手一覧!$F$7:$F$2738,$F497))</f>
        <v/>
      </c>
      <c r="H497" s="12" t="str">
        <f aca="false">IF(INDEX(選手一覧!$G$7:$G$2738,$F497)="","",INDEX(選手一覧!$G$7:$G$2738,$F497))</f>
        <v/>
      </c>
      <c r="I497" s="11" t="str">
        <f aca="false">IF(INDEX(選手一覧!$H$7:$H$2738,$F497)="","",INDEX(選手一覧!$H$7:$H$2738,$F497))</f>
        <v/>
      </c>
      <c r="J497" s="12" t="str">
        <f aca="false">IF(INDEX(選手一覧!$I$7:$I$2738,$F497)="","",INDEX(選手一覧!$I$7:$I$2738,$F497))</f>
        <v/>
      </c>
    </row>
    <row r="498" customFormat="false" ht="15" hidden="false" customHeight="false" outlineLevel="0" collapsed="false">
      <c r="A498" s="12" t="n">
        <v>494</v>
      </c>
      <c r="B498" s="10" t="s">
        <v>1584</v>
      </c>
      <c r="C498" s="10" t="s">
        <v>43</v>
      </c>
      <c r="D498" s="11" t="n">
        <v>0.0106181712962963</v>
      </c>
      <c r="E498" s="18" t="n">
        <f aca="false">ROUND((D498-$D$5)*86400,2)</f>
        <v>127.67</v>
      </c>
      <c r="F498" s="12" t="n">
        <v>1092</v>
      </c>
      <c r="G498" s="11" t="str">
        <f aca="false">IF(INDEX(選手一覧!$F$7:$F$2738,$F498)="","",INDEX(選手一覧!$F$7:$F$2738,$F498))</f>
        <v/>
      </c>
      <c r="H498" s="12" t="str">
        <f aca="false">IF(INDEX(選手一覧!$G$7:$G$2738,$F498)="","",INDEX(選手一覧!$G$7:$G$2738,$F498))</f>
        <v/>
      </c>
      <c r="I498" s="11" t="n">
        <f aca="false">IF(INDEX(選手一覧!$H$7:$H$2738,$F498)="","",INDEX(選手一覧!$H$7:$H$2738,$F498))</f>
        <v>0.00287581018518519</v>
      </c>
      <c r="J498" s="12" t="n">
        <f aca="false">IF(INDEX(選手一覧!$I$7:$I$2738,$F498)="","",INDEX(選手一覧!$I$7:$I$2738,$F498))</f>
        <v>738</v>
      </c>
    </row>
    <row r="499" customFormat="false" ht="15" hidden="false" customHeight="false" outlineLevel="0" collapsed="false">
      <c r="A499" s="12" t="n">
        <v>495</v>
      </c>
      <c r="B499" s="10" t="s">
        <v>167</v>
      </c>
      <c r="C499" s="10" t="s">
        <v>168</v>
      </c>
      <c r="D499" s="11" t="n">
        <v>0.0106184027777778</v>
      </c>
      <c r="E499" s="18" t="n">
        <f aca="false">ROUND((D499-$D$5)*86400,2)</f>
        <v>127.69</v>
      </c>
      <c r="F499" s="12" t="n">
        <v>83</v>
      </c>
      <c r="G499" s="11" t="n">
        <f aca="false">IF(INDEX(選手一覧!$F$7:$F$2738,$F499)="","",INDEX(選手一覧!$F$7:$F$2738,$F499))</f>
        <v>0.00649166666666667</v>
      </c>
      <c r="H499" s="12" t="n">
        <f aca="false">IF(INDEX(選手一覧!$G$7:$G$2738,$F499)="","",INDEX(選手一覧!$G$7:$G$2738,$F499))</f>
        <v>33</v>
      </c>
      <c r="I499" s="11" t="n">
        <f aca="false">IF(INDEX(選手一覧!$H$7:$H$2738,$F499)="","",INDEX(選手一覧!$H$7:$H$2738,$F499))</f>
        <v>0.0028912037037037</v>
      </c>
      <c r="J499" s="12" t="n">
        <f aca="false">IF(INDEX(選手一覧!$I$7:$I$2738,$F499)="","",INDEX(選手一覧!$I$7:$I$2738,$F499))</f>
        <v>878</v>
      </c>
    </row>
    <row r="500" customFormat="false" ht="15" hidden="false" customHeight="false" outlineLevel="0" collapsed="false">
      <c r="A500" s="12" t="n">
        <v>496</v>
      </c>
      <c r="B500" s="10" t="s">
        <v>1562</v>
      </c>
      <c r="C500" s="10" t="s">
        <v>546</v>
      </c>
      <c r="D500" s="11" t="n">
        <v>0.0106185185185185</v>
      </c>
      <c r="E500" s="18" t="n">
        <f aca="false">ROUND((D500-$D$5)*86400,2)</f>
        <v>127.7</v>
      </c>
      <c r="F500" s="12" t="n">
        <v>1076</v>
      </c>
      <c r="G500" s="11" t="str">
        <f aca="false">IF(INDEX(選手一覧!$F$7:$F$2738,$F500)="","",INDEX(選手一覧!$F$7:$F$2738,$F500))</f>
        <v/>
      </c>
      <c r="H500" s="12" t="str">
        <f aca="false">IF(INDEX(選手一覧!$G$7:$G$2738,$F500)="","",INDEX(選手一覧!$G$7:$G$2738,$F500))</f>
        <v/>
      </c>
      <c r="I500" s="11" t="n">
        <f aca="false">IF(INDEX(選手一覧!$H$7:$H$2738,$F500)="","",INDEX(選手一覧!$H$7:$H$2738,$F500))</f>
        <v>0.00283831018518519</v>
      </c>
      <c r="J500" s="12" t="n">
        <f aca="false">IF(INDEX(選手一覧!$I$7:$I$2738,$F500)="","",INDEX(選手一覧!$I$7:$I$2738,$F500))</f>
        <v>486</v>
      </c>
    </row>
    <row r="501" customFormat="false" ht="15" hidden="false" customHeight="false" outlineLevel="0" collapsed="false">
      <c r="A501" s="12" t="n">
        <v>497</v>
      </c>
      <c r="B501" s="10" t="s">
        <v>1592</v>
      </c>
      <c r="C501" s="10" t="s">
        <v>1038</v>
      </c>
      <c r="D501" s="11" t="n">
        <v>0.0106197916666667</v>
      </c>
      <c r="E501" s="18" t="n">
        <f aca="false">ROUND((D501-$D$5)*86400,2)</f>
        <v>127.81</v>
      </c>
      <c r="F501" s="12" t="n">
        <v>1099</v>
      </c>
      <c r="G501" s="11" t="str">
        <f aca="false">IF(INDEX(選手一覧!$F$7:$F$2738,$F501)="","",INDEX(選手一覧!$F$7:$F$2738,$F501))</f>
        <v/>
      </c>
      <c r="H501" s="12" t="str">
        <f aca="false">IF(INDEX(選手一覧!$G$7:$G$2738,$F501)="","",INDEX(選手一覧!$G$7:$G$2738,$F501))</f>
        <v/>
      </c>
      <c r="I501" s="11" t="str">
        <f aca="false">IF(INDEX(選手一覧!$H$7:$H$2738,$F501)="","",INDEX(選手一覧!$H$7:$H$2738,$F501))</f>
        <v/>
      </c>
      <c r="J501" s="12" t="str">
        <f aca="false">IF(INDEX(選手一覧!$I$7:$I$2738,$F501)="","",INDEX(選手一覧!$I$7:$I$2738,$F501))</f>
        <v/>
      </c>
    </row>
    <row r="502" customFormat="false" ht="15" hidden="false" customHeight="false" outlineLevel="0" collapsed="false">
      <c r="A502" s="12" t="n">
        <v>498</v>
      </c>
      <c r="B502" s="10" t="s">
        <v>1448</v>
      </c>
      <c r="C502" s="10" t="s">
        <v>112</v>
      </c>
      <c r="D502" s="11" t="n">
        <v>0.0106210648148148</v>
      </c>
      <c r="E502" s="18" t="n">
        <f aca="false">ROUND((D502-$D$5)*86400,2)</f>
        <v>127.92</v>
      </c>
      <c r="F502" s="12" t="n">
        <v>992</v>
      </c>
      <c r="G502" s="11" t="str">
        <f aca="false">IF(INDEX(選手一覧!$F$7:$F$2738,$F502)="","",INDEX(選手一覧!$F$7:$F$2738,$F502))</f>
        <v/>
      </c>
      <c r="H502" s="12" t="str">
        <f aca="false">IF(INDEX(選手一覧!$G$7:$G$2738,$F502)="","",INDEX(選手一覧!$G$7:$G$2738,$F502))</f>
        <v/>
      </c>
      <c r="I502" s="11" t="n">
        <f aca="false">IF(INDEX(選手一覧!$H$7:$H$2738,$F502)="","",INDEX(選手一覧!$H$7:$H$2738,$F502))</f>
        <v>0.00283263888888889</v>
      </c>
      <c r="J502" s="12" t="n">
        <f aca="false">IF(INDEX(選手一覧!$I$7:$I$2738,$F502)="","",INDEX(選手一覧!$I$7:$I$2738,$F502))</f>
        <v>444</v>
      </c>
    </row>
    <row r="503" customFormat="false" ht="15" hidden="false" customHeight="false" outlineLevel="0" collapsed="false">
      <c r="A503" s="12" t="n">
        <v>499</v>
      </c>
      <c r="B503" s="10" t="s">
        <v>1597</v>
      </c>
      <c r="C503" s="10" t="s">
        <v>397</v>
      </c>
      <c r="D503" s="11" t="n">
        <v>0.010621412037037</v>
      </c>
      <c r="E503" s="18" t="n">
        <f aca="false">ROUND((D503-$D$5)*86400,2)</f>
        <v>127.95</v>
      </c>
      <c r="F503" s="12" t="n">
        <v>1103</v>
      </c>
      <c r="G503" s="11" t="str">
        <f aca="false">IF(INDEX(選手一覧!$F$7:$F$2738,$F503)="","",INDEX(選手一覧!$F$7:$F$2738,$F503))</f>
        <v/>
      </c>
      <c r="H503" s="12" t="str">
        <f aca="false">IF(INDEX(選手一覧!$G$7:$G$2738,$F503)="","",INDEX(選手一覧!$G$7:$G$2738,$F503))</f>
        <v/>
      </c>
      <c r="I503" s="11" t="str">
        <f aca="false">IF(INDEX(選手一覧!$H$7:$H$2738,$F503)="","",INDEX(選手一覧!$H$7:$H$2738,$F503))</f>
        <v/>
      </c>
      <c r="J503" s="12" t="str">
        <f aca="false">IF(INDEX(選手一覧!$I$7:$I$2738,$F503)="","",INDEX(選手一覧!$I$7:$I$2738,$F503))</f>
        <v/>
      </c>
    </row>
    <row r="504" customFormat="false" ht="15" hidden="false" customHeight="false" outlineLevel="0" collapsed="false">
      <c r="A504" s="12" t="n">
        <v>500</v>
      </c>
      <c r="B504" s="10" t="s">
        <v>1601</v>
      </c>
      <c r="C504" s="10" t="s">
        <v>1602</v>
      </c>
      <c r="D504" s="11" t="n">
        <v>0.0106226851851852</v>
      </c>
      <c r="E504" s="18" t="n">
        <f aca="false">ROUND((D504-$D$5)*86400,2)</f>
        <v>128.06</v>
      </c>
      <c r="F504" s="12" t="n">
        <v>1106</v>
      </c>
      <c r="G504" s="11" t="str">
        <f aca="false">IF(INDEX(選手一覧!$F$7:$F$2738,$F504)="","",INDEX(選手一覧!$F$7:$F$2738,$F504))</f>
        <v/>
      </c>
      <c r="H504" s="12" t="str">
        <f aca="false">IF(INDEX(選手一覧!$G$7:$G$2738,$F504)="","",INDEX(選手一覧!$G$7:$G$2738,$F504))</f>
        <v/>
      </c>
      <c r="I504" s="11" t="str">
        <f aca="false">IF(INDEX(選手一覧!$H$7:$H$2738,$F504)="","",INDEX(選手一覧!$H$7:$H$2738,$F504))</f>
        <v/>
      </c>
      <c r="J504" s="12" t="str">
        <f aca="false">IF(INDEX(選手一覧!$I$7:$I$2738,$F504)="","",INDEX(選手一覧!$I$7:$I$2738,$F504))</f>
        <v/>
      </c>
    </row>
    <row r="505" customFormat="false" ht="15" hidden="false" customHeight="false" outlineLevel="0" collapsed="false">
      <c r="A505" s="12" t="n">
        <v>501</v>
      </c>
      <c r="B505" s="10" t="s">
        <v>1605</v>
      </c>
      <c r="C505" s="10" t="s">
        <v>688</v>
      </c>
      <c r="D505" s="11" t="n">
        <v>0.0106230324074074</v>
      </c>
      <c r="E505" s="18" t="n">
        <f aca="false">ROUND((D505-$D$5)*86400,2)</f>
        <v>128.09</v>
      </c>
      <c r="F505" s="12" t="n">
        <v>1108</v>
      </c>
      <c r="G505" s="11" t="str">
        <f aca="false">IF(INDEX(選手一覧!$F$7:$F$2738,$F505)="","",INDEX(選手一覧!$F$7:$F$2738,$F505))</f>
        <v/>
      </c>
      <c r="H505" s="12" t="str">
        <f aca="false">IF(INDEX(選手一覧!$G$7:$G$2738,$F505)="","",INDEX(選手一覧!$G$7:$G$2738,$F505))</f>
        <v/>
      </c>
      <c r="I505" s="11" t="n">
        <f aca="false">IF(INDEX(選手一覧!$H$7:$H$2738,$F505)="","",INDEX(選手一覧!$H$7:$H$2738,$F505))</f>
        <v>0.00297962962962963</v>
      </c>
      <c r="J505" s="12" t="n">
        <f aca="false">IF(INDEX(選手一覧!$I$7:$I$2738,$F505)="","",INDEX(選手一覧!$I$7:$I$2738,$F505))</f>
        <v>1351</v>
      </c>
    </row>
    <row r="506" customFormat="false" ht="15" hidden="false" customHeight="false" outlineLevel="0" collapsed="false">
      <c r="A506" s="12" t="n">
        <v>502</v>
      </c>
      <c r="B506" s="10" t="s">
        <v>232</v>
      </c>
      <c r="C506" s="10" t="s">
        <v>76</v>
      </c>
      <c r="D506" s="11" t="n">
        <v>0.0106239583333333</v>
      </c>
      <c r="E506" s="18" t="n">
        <f aca="false">ROUND((D506-$D$5)*86400,2)</f>
        <v>128.17</v>
      </c>
      <c r="F506" s="12" t="n">
        <v>124</v>
      </c>
      <c r="G506" s="11" t="n">
        <f aca="false">IF(INDEX(選手一覧!$F$7:$F$2738,$F506)="","",INDEX(選手一覧!$F$7:$F$2738,$F506))</f>
        <v>0.00656226851851852</v>
      </c>
      <c r="H506" s="12" t="n">
        <f aca="false">IF(INDEX(選手一覧!$G$7:$G$2738,$F506)="","",INDEX(選手一覧!$G$7:$G$2738,$F506))</f>
        <v>48</v>
      </c>
      <c r="I506" s="11" t="n">
        <f aca="false">IF(INDEX(選手一覧!$H$7:$H$2738,$F506)="","",INDEX(選手一覧!$H$7:$H$2738,$F506))</f>
        <v>0.00275960648148148</v>
      </c>
      <c r="J506" s="12" t="n">
        <f aca="false">IF(INDEX(選手一覧!$I$7:$I$2738,$F506)="","",INDEX(選手一覧!$I$7:$I$2738,$F506))</f>
        <v>135</v>
      </c>
    </row>
    <row r="507" customFormat="false" ht="15" hidden="false" customHeight="false" outlineLevel="0" collapsed="false">
      <c r="A507" s="12" t="n">
        <v>503</v>
      </c>
      <c r="B507" s="10" t="s">
        <v>1609</v>
      </c>
      <c r="C507" s="10" t="s">
        <v>471</v>
      </c>
      <c r="D507" s="11" t="n">
        <v>0.0106248842592593</v>
      </c>
      <c r="E507" s="18" t="n">
        <f aca="false">ROUND((D507-$D$5)*86400,2)</f>
        <v>128.25</v>
      </c>
      <c r="F507" s="12" t="n">
        <v>1111</v>
      </c>
      <c r="G507" s="11" t="str">
        <f aca="false">IF(INDEX(選手一覧!$F$7:$F$2738,$F507)="","",INDEX(選手一覧!$F$7:$F$2738,$F507))</f>
        <v/>
      </c>
      <c r="H507" s="12" t="str">
        <f aca="false">IF(INDEX(選手一覧!$G$7:$G$2738,$F507)="","",INDEX(選手一覧!$G$7:$G$2738,$F507))</f>
        <v/>
      </c>
      <c r="I507" s="11" t="n">
        <f aca="false">IF(INDEX(選手一覧!$H$7:$H$2738,$F507)="","",INDEX(選手一覧!$H$7:$H$2738,$F507))</f>
        <v>0.00290821759259259</v>
      </c>
      <c r="J507" s="12" t="n">
        <f aca="false">IF(INDEX(選手一覧!$I$7:$I$2738,$F507)="","",INDEX(選手一覧!$I$7:$I$2738,$F507))</f>
        <v>1003</v>
      </c>
    </row>
    <row r="508" customFormat="false" ht="15" hidden="false" customHeight="false" outlineLevel="0" collapsed="false">
      <c r="A508" s="12" t="n">
        <v>504</v>
      </c>
      <c r="B508" s="10" t="s">
        <v>542</v>
      </c>
      <c r="C508" s="10" t="s">
        <v>543</v>
      </c>
      <c r="D508" s="11" t="n">
        <v>0.0106296296296296</v>
      </c>
      <c r="E508" s="18" t="n">
        <f aca="false">ROUND((D508-$D$5)*86400,2)</f>
        <v>128.66</v>
      </c>
      <c r="F508" s="12" t="n">
        <v>339</v>
      </c>
      <c r="G508" s="11" t="str">
        <f aca="false">IF(INDEX(選手一覧!$F$7:$F$2738,$F508)="","",INDEX(選手一覧!$F$7:$F$2738,$F508))</f>
        <v/>
      </c>
      <c r="H508" s="12" t="str">
        <f aca="false">IF(INDEX(選手一覧!$G$7:$G$2738,$F508)="","",INDEX(選手一覧!$G$7:$G$2738,$F508))</f>
        <v/>
      </c>
      <c r="I508" s="11" t="n">
        <f aca="false">IF(INDEX(選手一覧!$H$7:$H$2738,$F508)="","",INDEX(選手一覧!$H$7:$H$2738,$F508))</f>
        <v>0.00276284722222222</v>
      </c>
      <c r="J508" s="12" t="n">
        <f aca="false">IF(INDEX(選手一覧!$I$7:$I$2738,$F508)="","",INDEX(選手一覧!$I$7:$I$2738,$F508))</f>
        <v>141</v>
      </c>
    </row>
    <row r="509" customFormat="false" ht="15" hidden="false" customHeight="false" outlineLevel="0" collapsed="false">
      <c r="A509" s="12" t="n">
        <v>505</v>
      </c>
      <c r="B509" s="10" t="s">
        <v>805</v>
      </c>
      <c r="C509" s="10" t="s">
        <v>806</v>
      </c>
      <c r="D509" s="11" t="n">
        <v>0.01063125</v>
      </c>
      <c r="E509" s="18" t="n">
        <f aca="false">ROUND((D509-$D$5)*86400,2)</f>
        <v>128.8</v>
      </c>
      <c r="F509" s="12" t="n">
        <v>526</v>
      </c>
      <c r="G509" s="11" t="n">
        <f aca="false">IF(INDEX(選手一覧!$F$7:$F$2738,$F509)="","",INDEX(選手一覧!$F$7:$F$2738,$F509))</f>
        <v>0.00687268518518519</v>
      </c>
      <c r="H509" s="12" t="n">
        <f aca="false">IF(INDEX(選手一覧!$G$7:$G$2738,$F509)="","",INDEX(選手一覧!$G$7:$G$2738,$F509))</f>
        <v>221</v>
      </c>
      <c r="I509" s="11" t="n">
        <f aca="false">IF(INDEX(選手一覧!$H$7:$H$2738,$F509)="","",INDEX(選手一覧!$H$7:$H$2738,$F509))</f>
        <v>0.00285983796296296</v>
      </c>
      <c r="J509" s="12" t="n">
        <f aca="false">IF(INDEX(選手一覧!$I$7:$I$2738,$F509)="","",INDEX(選手一覧!$I$7:$I$2738,$F509))</f>
        <v>633</v>
      </c>
    </row>
    <row r="510" customFormat="false" ht="15" hidden="false" customHeight="false" outlineLevel="0" collapsed="false">
      <c r="A510" s="12" t="n">
        <v>506</v>
      </c>
      <c r="B510" s="10" t="s">
        <v>1181</v>
      </c>
      <c r="C510" s="10" t="s">
        <v>29</v>
      </c>
      <c r="D510" s="11" t="n">
        <v>0.0106325231481482</v>
      </c>
      <c r="E510" s="18" t="n">
        <f aca="false">ROUND((D510-$D$5)*86400,2)</f>
        <v>128.91</v>
      </c>
      <c r="F510" s="12" t="n">
        <v>801</v>
      </c>
      <c r="G510" s="11" t="str">
        <f aca="false">IF(INDEX(選手一覧!$F$7:$F$2738,$F510)="","",INDEX(選手一覧!$F$7:$F$2738,$F510))</f>
        <v/>
      </c>
      <c r="H510" s="12" t="str">
        <f aca="false">IF(INDEX(選手一覧!$G$7:$G$2738,$F510)="","",INDEX(選手一覧!$G$7:$G$2738,$F510))</f>
        <v/>
      </c>
      <c r="I510" s="11" t="n">
        <f aca="false">IF(INDEX(選手一覧!$H$7:$H$2738,$F510)="","",INDEX(選手一覧!$H$7:$H$2738,$F510))</f>
        <v>0.00281655092592593</v>
      </c>
      <c r="J510" s="12" t="n">
        <f aca="false">IF(INDEX(選手一覧!$I$7:$I$2738,$F510)="","",INDEX(選手一覧!$I$7:$I$2738,$F510))</f>
        <v>348</v>
      </c>
    </row>
    <row r="511" customFormat="false" ht="15" hidden="false" customHeight="false" outlineLevel="0" collapsed="false">
      <c r="A511" s="12" t="n">
        <v>507</v>
      </c>
      <c r="B511" s="10" t="s">
        <v>1619</v>
      </c>
      <c r="C511" s="10" t="s">
        <v>915</v>
      </c>
      <c r="D511" s="11" t="n">
        <v>0.0106331018518519</v>
      </c>
      <c r="E511" s="18" t="n">
        <f aca="false">ROUND((D511-$D$5)*86400,2)</f>
        <v>128.96</v>
      </c>
      <c r="F511" s="12" t="n">
        <v>1117</v>
      </c>
      <c r="G511" s="11" t="str">
        <f aca="false">IF(INDEX(選手一覧!$F$7:$F$2738,$F511)="","",INDEX(選手一覧!$F$7:$F$2738,$F511))</f>
        <v/>
      </c>
      <c r="H511" s="12" t="str">
        <f aca="false">IF(INDEX(選手一覧!$G$7:$G$2738,$F511)="","",INDEX(選手一覧!$G$7:$G$2738,$F511))</f>
        <v/>
      </c>
      <c r="I511" s="11" t="n">
        <f aca="false">IF(INDEX(選手一覧!$H$7:$H$2738,$F511)="","",INDEX(選手一覧!$H$7:$H$2738,$F511))</f>
        <v>0.00285717592592593</v>
      </c>
      <c r="J511" s="12" t="n">
        <f aca="false">IF(INDEX(選手一覧!$I$7:$I$2738,$F511)="","",INDEX(選手一覧!$I$7:$I$2738,$F511))</f>
        <v>616</v>
      </c>
    </row>
    <row r="512" customFormat="false" ht="15" hidden="false" customHeight="false" outlineLevel="0" collapsed="false">
      <c r="A512" s="12" t="n">
        <v>508</v>
      </c>
      <c r="B512" s="10" t="s">
        <v>1623</v>
      </c>
      <c r="C512" s="10" t="s">
        <v>338</v>
      </c>
      <c r="D512" s="11" t="n">
        <v>0.0106396990740741</v>
      </c>
      <c r="E512" s="18" t="n">
        <f aca="false">ROUND((D512-$D$5)*86400,2)</f>
        <v>129.53</v>
      </c>
      <c r="F512" s="12" t="n">
        <v>1120</v>
      </c>
      <c r="G512" s="11" t="str">
        <f aca="false">IF(INDEX(選手一覧!$F$7:$F$2738,$F512)="","",INDEX(選手一覧!$F$7:$F$2738,$F512))</f>
        <v/>
      </c>
      <c r="H512" s="12" t="str">
        <f aca="false">IF(INDEX(選手一覧!$G$7:$G$2738,$F512)="","",INDEX(選手一覧!$G$7:$G$2738,$F512))</f>
        <v/>
      </c>
      <c r="I512" s="11" t="n">
        <f aca="false">IF(INDEX(選手一覧!$H$7:$H$2738,$F512)="","",INDEX(選手一覧!$H$7:$H$2738,$F512))</f>
        <v>0.00288888888888889</v>
      </c>
      <c r="J512" s="12" t="n">
        <f aca="false">IF(INDEX(選手一覧!$I$7:$I$2738,$F512)="","",INDEX(選手一覧!$I$7:$I$2738,$F512))</f>
        <v>854</v>
      </c>
    </row>
    <row r="513" customFormat="false" ht="15" hidden="false" customHeight="false" outlineLevel="0" collapsed="false">
      <c r="A513" s="12" t="n">
        <v>509</v>
      </c>
      <c r="B513" s="10" t="s">
        <v>308</v>
      </c>
      <c r="C513" s="10" t="s">
        <v>309</v>
      </c>
      <c r="D513" s="11" t="n">
        <v>0.0106396990740741</v>
      </c>
      <c r="E513" s="18" t="n">
        <f aca="false">ROUND((D513-$D$5)*86400,2)</f>
        <v>129.53</v>
      </c>
      <c r="F513" s="12" t="n">
        <v>175</v>
      </c>
      <c r="G513" s="11" t="n">
        <f aca="false">IF(INDEX(選手一覧!$F$7:$F$2738,$F513)="","",INDEX(選手一覧!$F$7:$F$2738,$F513))</f>
        <v>0.00661840277777778</v>
      </c>
      <c r="H513" s="12" t="n">
        <f aca="false">IF(INDEX(選手一覧!$G$7:$G$2738,$F513)="","",INDEX(選手一覧!$G$7:$G$2738,$F513))</f>
        <v>71</v>
      </c>
      <c r="I513" s="11" t="n">
        <f aca="false">IF(INDEX(選手一覧!$H$7:$H$2738,$F513)="","",INDEX(選手一覧!$H$7:$H$2738,$F513))</f>
        <v>0.002884375</v>
      </c>
      <c r="J513" s="12" t="n">
        <f aca="false">IF(INDEX(選手一覧!$I$7:$I$2738,$F513)="","",INDEX(選手一覧!$I$7:$I$2738,$F513))</f>
        <v>811</v>
      </c>
    </row>
    <row r="514" customFormat="false" ht="15" hidden="false" customHeight="false" outlineLevel="0" collapsed="false">
      <c r="A514" s="12" t="n">
        <v>510</v>
      </c>
      <c r="B514" s="10" t="s">
        <v>1232</v>
      </c>
      <c r="C514" s="10" t="s">
        <v>206</v>
      </c>
      <c r="D514" s="11" t="n">
        <v>0.0106398148148148</v>
      </c>
      <c r="E514" s="18" t="n">
        <f aca="false">ROUND((D514-$D$5)*86400,2)</f>
        <v>129.54</v>
      </c>
      <c r="F514" s="12" t="n">
        <v>835</v>
      </c>
      <c r="G514" s="11" t="n">
        <f aca="false">IF(INDEX(選手一覧!$F$7:$F$2738,$F514)="","",INDEX(選手一覧!$F$7:$F$2738,$F514))</f>
        <v>0.00703703703703704</v>
      </c>
      <c r="H514" s="12" t="n">
        <f aca="false">IF(INDEX(選手一覧!$G$7:$G$2738,$F514)="","",INDEX(選手一覧!$G$7:$G$2738,$F514))</f>
        <v>368</v>
      </c>
      <c r="I514" s="11" t="n">
        <f aca="false">IF(INDEX(選手一覧!$H$7:$H$2738,$F514)="","",INDEX(選手一覧!$H$7:$H$2738,$F514))</f>
        <v>0.00286574074074074</v>
      </c>
      <c r="J514" s="12" t="n">
        <f aca="false">IF(INDEX(選手一覧!$I$7:$I$2738,$F514)="","",INDEX(選手一覧!$I$7:$I$2738,$F514))</f>
        <v>669</v>
      </c>
    </row>
    <row r="515" customFormat="false" ht="15" hidden="false" customHeight="false" outlineLevel="0" collapsed="false">
      <c r="A515" s="12" t="n">
        <v>511</v>
      </c>
      <c r="B515" s="10" t="s">
        <v>491</v>
      </c>
      <c r="C515" s="10" t="s">
        <v>492</v>
      </c>
      <c r="D515" s="11" t="n">
        <v>0.0106412037037037</v>
      </c>
      <c r="E515" s="18" t="n">
        <f aca="false">ROUND((D515-$D$5)*86400,2)</f>
        <v>129.66</v>
      </c>
      <c r="F515" s="12" t="n">
        <v>305</v>
      </c>
      <c r="G515" s="11" t="n">
        <f aca="false">IF(INDEX(選手一覧!$F$7:$F$2738,$F515)="","",INDEX(選手一覧!$F$7:$F$2738,$F515))</f>
        <v>0.00674803240740741</v>
      </c>
      <c r="H515" s="12" t="n">
        <f aca="false">IF(INDEX(選手一覧!$G$7:$G$2738,$F515)="","",INDEX(選手一覧!$G$7:$G$2738,$F515))</f>
        <v>126</v>
      </c>
      <c r="I515" s="11" t="n">
        <f aca="false">IF(INDEX(選手一覧!$H$7:$H$2738,$F515)="","",INDEX(選手一覧!$H$7:$H$2738,$F515))</f>
        <v>0.00282048611111111</v>
      </c>
      <c r="J515" s="12" t="n">
        <f aca="false">IF(INDEX(選手一覧!$I$7:$I$2738,$F515)="","",INDEX(選手一覧!$I$7:$I$2738,$F515))</f>
        <v>364</v>
      </c>
    </row>
    <row r="516" customFormat="false" ht="15" hidden="false" customHeight="false" outlineLevel="0" collapsed="false">
      <c r="A516" s="12" t="n">
        <v>512</v>
      </c>
      <c r="B516" s="10" t="s">
        <v>1638</v>
      </c>
      <c r="C516" s="10" t="s">
        <v>523</v>
      </c>
      <c r="D516" s="11" t="n">
        <v>0.0106413194444444</v>
      </c>
      <c r="E516" s="18" t="n">
        <f aca="false">ROUND((D516-$D$5)*86400,2)</f>
        <v>129.67</v>
      </c>
      <c r="F516" s="12" t="n">
        <v>1130</v>
      </c>
      <c r="G516" s="11" t="str">
        <f aca="false">IF(INDEX(選手一覧!$F$7:$F$2738,$F516)="","",INDEX(選手一覧!$F$7:$F$2738,$F516))</f>
        <v/>
      </c>
      <c r="H516" s="12" t="str">
        <f aca="false">IF(INDEX(選手一覧!$G$7:$G$2738,$F516)="","",INDEX(選手一覧!$G$7:$G$2738,$F516))</f>
        <v/>
      </c>
      <c r="I516" s="11" t="str">
        <f aca="false">IF(INDEX(選手一覧!$H$7:$H$2738,$F516)="","",INDEX(選手一覧!$H$7:$H$2738,$F516))</f>
        <v/>
      </c>
      <c r="J516" s="12" t="str">
        <f aca="false">IF(INDEX(選手一覧!$I$7:$I$2738,$F516)="","",INDEX(選手一覧!$I$7:$I$2738,$F516))</f>
        <v/>
      </c>
    </row>
    <row r="517" customFormat="false" ht="15" hidden="false" customHeight="false" outlineLevel="0" collapsed="false">
      <c r="A517" s="12" t="n">
        <v>513</v>
      </c>
      <c r="B517" s="10" t="s">
        <v>1640</v>
      </c>
      <c r="C517" s="10" t="s">
        <v>60</v>
      </c>
      <c r="D517" s="11" t="n">
        <v>0.0106417824074074</v>
      </c>
      <c r="E517" s="18" t="n">
        <f aca="false">ROUND((D517-$D$5)*86400,2)</f>
        <v>129.71</v>
      </c>
      <c r="F517" s="12" t="n">
        <v>1132</v>
      </c>
      <c r="G517" s="11" t="str">
        <f aca="false">IF(INDEX(選手一覧!$F$7:$F$2738,$F517)="","",INDEX(選手一覧!$F$7:$F$2738,$F517))</f>
        <v/>
      </c>
      <c r="H517" s="12" t="str">
        <f aca="false">IF(INDEX(選手一覧!$G$7:$G$2738,$F517)="","",INDEX(選手一覧!$G$7:$G$2738,$F517))</f>
        <v/>
      </c>
      <c r="I517" s="11" t="str">
        <f aca="false">IF(INDEX(選手一覧!$H$7:$H$2738,$F517)="","",INDEX(選手一覧!$H$7:$H$2738,$F517))</f>
        <v/>
      </c>
      <c r="J517" s="12" t="str">
        <f aca="false">IF(INDEX(選手一覧!$I$7:$I$2738,$F517)="","",INDEX(選手一覧!$I$7:$I$2738,$F517))</f>
        <v/>
      </c>
    </row>
    <row r="518" customFormat="false" ht="15" hidden="false" customHeight="false" outlineLevel="0" collapsed="false">
      <c r="A518" s="12" t="n">
        <v>514</v>
      </c>
      <c r="B518" s="10" t="s">
        <v>624</v>
      </c>
      <c r="C518" s="10" t="s">
        <v>625</v>
      </c>
      <c r="D518" s="11" t="n">
        <v>0.0106417824074074</v>
      </c>
      <c r="E518" s="18" t="n">
        <f aca="false">ROUND((D518-$D$5)*86400,2)</f>
        <v>129.71</v>
      </c>
      <c r="F518" s="12" t="n">
        <v>394</v>
      </c>
      <c r="G518" s="11" t="n">
        <f aca="false">IF(INDEX(選手一覧!$F$7:$F$2738,$F518)="","",INDEX(選手一覧!$F$7:$F$2738,$F518))</f>
        <v>0.00679351851851852</v>
      </c>
      <c r="H518" s="12" t="n">
        <f aca="false">IF(INDEX(選手一覧!$G$7:$G$2738,$F518)="","",INDEX(選手一覧!$G$7:$G$2738,$F518))</f>
        <v>166</v>
      </c>
      <c r="I518" s="11" t="str">
        <f aca="false">IF(INDEX(選手一覧!$H$7:$H$2738,$F518)="","",INDEX(選手一覧!$H$7:$H$2738,$F518))</f>
        <v/>
      </c>
      <c r="J518" s="12" t="str">
        <f aca="false">IF(INDEX(選手一覧!$I$7:$I$2738,$F518)="","",INDEX(選手一覧!$I$7:$I$2738,$F518))</f>
        <v/>
      </c>
    </row>
    <row r="519" customFormat="false" ht="15" hidden="false" customHeight="false" outlineLevel="0" collapsed="false">
      <c r="A519" s="12" t="n">
        <v>515</v>
      </c>
      <c r="B519" s="10" t="s">
        <v>1541</v>
      </c>
      <c r="C519" s="10" t="s">
        <v>210</v>
      </c>
      <c r="D519" s="11" t="n">
        <v>0.0106431712962963</v>
      </c>
      <c r="E519" s="18" t="n">
        <f aca="false">ROUND((D519-$D$5)*86400,2)</f>
        <v>129.83</v>
      </c>
      <c r="F519" s="12" t="n">
        <v>1061</v>
      </c>
      <c r="G519" s="11" t="str">
        <f aca="false">IF(INDEX(選手一覧!$F$7:$F$2738,$F519)="","",INDEX(選手一覧!$F$7:$F$2738,$F519))</f>
        <v/>
      </c>
      <c r="H519" s="12" t="str">
        <f aca="false">IF(INDEX(選手一覧!$G$7:$G$2738,$F519)="","",INDEX(選手一覧!$G$7:$G$2738,$F519))</f>
        <v/>
      </c>
      <c r="I519" s="11" t="n">
        <f aca="false">IF(INDEX(選手一覧!$H$7:$H$2738,$F519)="","",INDEX(選手一覧!$H$7:$H$2738,$F519))</f>
        <v>0.0028369212962963</v>
      </c>
      <c r="J519" s="12" t="n">
        <f aca="false">IF(INDEX(選手一覧!$I$7:$I$2738,$F519)="","",INDEX(選手一覧!$I$7:$I$2738,$F519))</f>
        <v>478</v>
      </c>
    </row>
    <row r="520" customFormat="false" ht="15" hidden="false" customHeight="false" outlineLevel="0" collapsed="false">
      <c r="A520" s="12" t="n">
        <v>516</v>
      </c>
      <c r="B520" s="10" t="s">
        <v>1477</v>
      </c>
      <c r="C520" s="10" t="s">
        <v>625</v>
      </c>
      <c r="D520" s="11" t="n">
        <v>0.0106438657407407</v>
      </c>
      <c r="E520" s="18" t="n">
        <f aca="false">ROUND((D520-$D$5)*86400,2)</f>
        <v>129.89</v>
      </c>
      <c r="F520" s="12" t="n">
        <v>1014</v>
      </c>
      <c r="G520" s="11" t="str">
        <f aca="false">IF(INDEX(選手一覧!$F$7:$F$2738,$F520)="","",INDEX(選手一覧!$F$7:$F$2738,$F520))</f>
        <v/>
      </c>
      <c r="H520" s="12" t="str">
        <f aca="false">IF(INDEX(選手一覧!$G$7:$G$2738,$F520)="","",INDEX(選手一覧!$G$7:$G$2738,$F520))</f>
        <v/>
      </c>
      <c r="I520" s="11" t="n">
        <f aca="false">IF(INDEX(選手一覧!$H$7:$H$2738,$F520)="","",INDEX(選手一覧!$H$7:$H$2738,$F520))</f>
        <v>0.00283460648148148</v>
      </c>
      <c r="J520" s="12" t="n">
        <f aca="false">IF(INDEX(選手一覧!$I$7:$I$2738,$F520)="","",INDEX(選手一覧!$I$7:$I$2738,$F520))</f>
        <v>455</v>
      </c>
    </row>
    <row r="521" customFormat="false" ht="15" hidden="false" customHeight="false" outlineLevel="0" collapsed="false">
      <c r="A521" s="12" t="n">
        <v>517</v>
      </c>
      <c r="B521" s="10" t="s">
        <v>566</v>
      </c>
      <c r="C521" s="10" t="s">
        <v>567</v>
      </c>
      <c r="D521" s="11" t="n">
        <v>0.0106440972222222</v>
      </c>
      <c r="E521" s="18" t="n">
        <f aca="false">ROUND((D521-$D$5)*86400,2)</f>
        <v>129.91</v>
      </c>
      <c r="F521" s="12" t="n">
        <v>355</v>
      </c>
      <c r="G521" s="11" t="n">
        <f aca="false">IF(INDEX(選手一覧!$F$7:$F$2738,$F521)="","",INDEX(選手一覧!$F$7:$F$2738,$F521))</f>
        <v>0.00677175925925926</v>
      </c>
      <c r="H521" s="12" t="n">
        <f aca="false">IF(INDEX(選手一覧!$G$7:$G$2738,$F521)="","",INDEX(選手一覧!$G$7:$G$2738,$F521))</f>
        <v>149</v>
      </c>
      <c r="I521" s="11" t="str">
        <f aca="false">IF(INDEX(選手一覧!$H$7:$H$2738,$F521)="","",INDEX(選手一覧!$H$7:$H$2738,$F521))</f>
        <v/>
      </c>
      <c r="J521" s="12" t="str">
        <f aca="false">IF(INDEX(選手一覧!$I$7:$I$2738,$F521)="","",INDEX(選手一覧!$I$7:$I$2738,$F521))</f>
        <v/>
      </c>
    </row>
    <row r="522" customFormat="false" ht="15" hidden="false" customHeight="false" outlineLevel="0" collapsed="false">
      <c r="A522" s="12" t="n">
        <v>518</v>
      </c>
      <c r="B522" s="10" t="s">
        <v>780</v>
      </c>
      <c r="C522" s="10" t="s">
        <v>771</v>
      </c>
      <c r="D522" s="11" t="n">
        <v>0.0106444444444444</v>
      </c>
      <c r="E522" s="18" t="n">
        <f aca="false">ROUND((D522-$D$5)*86400,2)</f>
        <v>129.94</v>
      </c>
      <c r="F522" s="12" t="n">
        <v>507</v>
      </c>
      <c r="G522" s="11" t="n">
        <f aca="false">IF(INDEX(選手一覧!$F$7:$F$2738,$F522)="","",INDEX(選手一覧!$F$7:$F$2738,$F522))</f>
        <v>0.00697905092592593</v>
      </c>
      <c r="H522" s="12" t="n">
        <f aca="false">IF(INDEX(選手一覧!$G$7:$G$2738,$F522)="","",INDEX(選手一覧!$G$7:$G$2738,$F522))</f>
        <v>311</v>
      </c>
      <c r="I522" s="11" t="n">
        <f aca="false">IF(INDEX(選手一覧!$H$7:$H$2738,$F522)="","",INDEX(選手一覧!$H$7:$H$2738,$F522))</f>
        <v>0.00278333333333333</v>
      </c>
      <c r="J522" s="12" t="n">
        <f aca="false">IF(INDEX(選手一覧!$I$7:$I$2738,$F522)="","",INDEX(選手一覧!$I$7:$I$2738,$F522))</f>
        <v>213</v>
      </c>
    </row>
    <row r="523" customFormat="false" ht="15" hidden="false" customHeight="false" outlineLevel="0" collapsed="false">
      <c r="A523" s="12" t="n">
        <v>519</v>
      </c>
      <c r="B523" s="10" t="s">
        <v>351</v>
      </c>
      <c r="C523" s="10" t="s">
        <v>352</v>
      </c>
      <c r="D523" s="11" t="n">
        <v>0.010646875</v>
      </c>
      <c r="E523" s="18" t="n">
        <f aca="false">ROUND((D523-$D$5)*86400,2)</f>
        <v>130.15</v>
      </c>
      <c r="F523" s="12" t="n">
        <v>206</v>
      </c>
      <c r="G523" s="11" t="n">
        <f aca="false">IF(INDEX(選手一覧!$F$7:$F$2738,$F523)="","",INDEX(選手一覧!$F$7:$F$2738,$F523))</f>
        <v>0.00665532407407407</v>
      </c>
      <c r="H523" s="12" t="n">
        <f aca="false">IF(INDEX(選手一覧!$G$7:$G$2738,$F523)="","",INDEX(選手一覧!$G$7:$G$2738,$F523))</f>
        <v>85</v>
      </c>
      <c r="I523" s="11" t="n">
        <f aca="false">IF(INDEX(選手一覧!$H$7:$H$2738,$F523)="","",INDEX(選手一覧!$H$7:$H$2738,$F523))</f>
        <v>0.00282071759259259</v>
      </c>
      <c r="J523" s="12" t="n">
        <f aca="false">IF(INDEX(選手一覧!$I$7:$I$2738,$F523)="","",INDEX(選手一覧!$I$7:$I$2738,$F523))</f>
        <v>365</v>
      </c>
    </row>
    <row r="524" customFormat="false" ht="15" hidden="false" customHeight="false" outlineLevel="0" collapsed="false">
      <c r="A524" s="12" t="n">
        <v>520</v>
      </c>
      <c r="B524" s="10" t="s">
        <v>1373</v>
      </c>
      <c r="C524" s="10" t="s">
        <v>309</v>
      </c>
      <c r="D524" s="11" t="n">
        <v>0.0106479166666667</v>
      </c>
      <c r="E524" s="18" t="n">
        <f aca="false">ROUND((D524-$D$5)*86400,2)</f>
        <v>130.24</v>
      </c>
      <c r="F524" s="12" t="n">
        <v>933</v>
      </c>
      <c r="G524" s="11" t="str">
        <f aca="false">IF(INDEX(選手一覧!$F$7:$F$2738,$F524)="","",INDEX(選手一覧!$F$7:$F$2738,$F524))</f>
        <v/>
      </c>
      <c r="H524" s="12" t="str">
        <f aca="false">IF(INDEX(選手一覧!$G$7:$G$2738,$F524)="","",INDEX(選手一覧!$G$7:$G$2738,$F524))</f>
        <v/>
      </c>
      <c r="I524" s="11" t="n">
        <f aca="false">IF(INDEX(選手一覧!$H$7:$H$2738,$F524)="","",INDEX(選手一覧!$H$7:$H$2738,$F524))</f>
        <v>0.00282881944444445</v>
      </c>
      <c r="J524" s="12" t="n">
        <f aca="false">IF(INDEX(選手一覧!$I$7:$I$2738,$F524)="","",INDEX(選手一覧!$I$7:$I$2738,$F524))</f>
        <v>418</v>
      </c>
    </row>
    <row r="525" customFormat="false" ht="15" hidden="false" customHeight="false" outlineLevel="0" collapsed="false">
      <c r="A525" s="12" t="n">
        <v>521</v>
      </c>
      <c r="B525" s="10" t="s">
        <v>1657</v>
      </c>
      <c r="C525" s="10" t="s">
        <v>1658</v>
      </c>
      <c r="D525" s="11" t="n">
        <v>0.0106481481481482</v>
      </c>
      <c r="E525" s="18" t="n">
        <f aca="false">ROUND((D525-$D$5)*86400,2)</f>
        <v>130.26</v>
      </c>
      <c r="F525" s="12" t="n">
        <v>1143</v>
      </c>
      <c r="G525" s="11" t="str">
        <f aca="false">IF(INDEX(選手一覧!$F$7:$F$2738,$F525)="","",INDEX(選手一覧!$F$7:$F$2738,$F525))</f>
        <v/>
      </c>
      <c r="H525" s="12" t="str">
        <f aca="false">IF(INDEX(選手一覧!$G$7:$G$2738,$F525)="","",INDEX(選手一覧!$G$7:$G$2738,$F525))</f>
        <v/>
      </c>
      <c r="I525" s="11" t="n">
        <f aca="false">IF(INDEX(選手一覧!$H$7:$H$2738,$F525)="","",INDEX(選手一覧!$H$7:$H$2738,$F525))</f>
        <v>0.00289027777777778</v>
      </c>
      <c r="J525" s="12" t="n">
        <f aca="false">IF(INDEX(選手一覧!$I$7:$I$2738,$F525)="","",INDEX(選手一覧!$I$7:$I$2738,$F525))</f>
        <v>868</v>
      </c>
    </row>
    <row r="526" customFormat="false" ht="15" hidden="false" customHeight="false" outlineLevel="0" collapsed="false">
      <c r="A526" s="12" t="n">
        <v>522</v>
      </c>
      <c r="B526" s="10" t="s">
        <v>657</v>
      </c>
      <c r="C526" s="10" t="s">
        <v>658</v>
      </c>
      <c r="D526" s="11" t="n">
        <v>0.0106484953703704</v>
      </c>
      <c r="E526" s="18" t="n">
        <f aca="false">ROUND((D526-$D$5)*86400,2)</f>
        <v>130.29</v>
      </c>
      <c r="F526" s="12" t="n">
        <v>418</v>
      </c>
      <c r="G526" s="11" t="str">
        <f aca="false">IF(INDEX(選手一覧!$F$7:$F$2738,$F526)="","",INDEX(選手一覧!$F$7:$F$2738,$F526))</f>
        <v/>
      </c>
      <c r="H526" s="12" t="str">
        <f aca="false">IF(INDEX(選手一覧!$G$7:$G$2738,$F526)="","",INDEX(選手一覧!$G$7:$G$2738,$F526))</f>
        <v/>
      </c>
      <c r="I526" s="11" t="n">
        <f aca="false">IF(INDEX(選手一覧!$H$7:$H$2738,$F526)="","",INDEX(選手一覧!$H$7:$H$2738,$F526))</f>
        <v>0.00277569444444444</v>
      </c>
      <c r="J526" s="12" t="n">
        <f aca="false">IF(INDEX(選手一覧!$I$7:$I$2738,$F526)="","",INDEX(選手一覧!$I$7:$I$2738,$F526))</f>
        <v>177</v>
      </c>
    </row>
    <row r="527" customFormat="false" ht="15" hidden="false" customHeight="false" outlineLevel="0" collapsed="false">
      <c r="A527" s="12" t="n">
        <v>523</v>
      </c>
      <c r="B527" s="10" t="s">
        <v>1666</v>
      </c>
      <c r="C527" s="10" t="s">
        <v>473</v>
      </c>
      <c r="D527" s="11" t="n">
        <v>0.0106486111111111</v>
      </c>
      <c r="E527" s="18" t="n">
        <f aca="false">ROUND((D527-$D$5)*86400,2)</f>
        <v>130.3</v>
      </c>
      <c r="F527" s="12" t="n">
        <v>1148</v>
      </c>
      <c r="G527" s="11" t="str">
        <f aca="false">IF(INDEX(選手一覧!$F$7:$F$2738,$F527)="","",INDEX(選手一覧!$F$7:$F$2738,$F527))</f>
        <v/>
      </c>
      <c r="H527" s="12" t="str">
        <f aca="false">IF(INDEX(選手一覧!$G$7:$G$2738,$F527)="","",INDEX(選手一覧!$G$7:$G$2738,$F527))</f>
        <v/>
      </c>
      <c r="I527" s="11" t="n">
        <f aca="false">IF(INDEX(選手一覧!$H$7:$H$2738,$F527)="","",INDEX(選手一覧!$H$7:$H$2738,$F527))</f>
        <v>0.00290081018518519</v>
      </c>
      <c r="J527" s="12" t="n">
        <f aca="false">IF(INDEX(選手一覧!$I$7:$I$2738,$F527)="","",INDEX(選手一覧!$I$7:$I$2738,$F527))</f>
        <v>954</v>
      </c>
    </row>
    <row r="528" customFormat="false" ht="15" hidden="false" customHeight="false" outlineLevel="0" collapsed="false">
      <c r="A528" s="12" t="n">
        <v>524</v>
      </c>
      <c r="B528" s="10" t="s">
        <v>1671</v>
      </c>
      <c r="C528" s="10" t="s">
        <v>120</v>
      </c>
      <c r="D528" s="11" t="n">
        <v>0.0106496527777778</v>
      </c>
      <c r="E528" s="18" t="n">
        <f aca="false">ROUND((D528-$D$5)*86400,2)</f>
        <v>130.39</v>
      </c>
      <c r="F528" s="12" t="n">
        <v>1151</v>
      </c>
      <c r="G528" s="11" t="str">
        <f aca="false">IF(INDEX(選手一覧!$F$7:$F$2738,$F528)="","",INDEX(選手一覧!$F$7:$F$2738,$F528))</f>
        <v/>
      </c>
      <c r="H528" s="12" t="str">
        <f aca="false">IF(INDEX(選手一覧!$G$7:$G$2738,$F528)="","",INDEX(選手一覧!$G$7:$G$2738,$F528))</f>
        <v/>
      </c>
      <c r="I528" s="11" t="str">
        <f aca="false">IF(INDEX(選手一覧!$H$7:$H$2738,$F528)="","",INDEX(選手一覧!$H$7:$H$2738,$F528))</f>
        <v/>
      </c>
      <c r="J528" s="12" t="str">
        <f aca="false">IF(INDEX(選手一覧!$I$7:$I$2738,$F528)="","",INDEX(選手一覧!$I$7:$I$2738,$F528))</f>
        <v/>
      </c>
    </row>
    <row r="529" customFormat="false" ht="15" hidden="false" customHeight="false" outlineLevel="0" collapsed="false">
      <c r="A529" s="12" t="n">
        <v>525</v>
      </c>
      <c r="B529" s="10" t="s">
        <v>725</v>
      </c>
      <c r="C529" s="10" t="s">
        <v>254</v>
      </c>
      <c r="D529" s="11" t="n">
        <v>0.0106498842592593</v>
      </c>
      <c r="E529" s="18" t="n">
        <f aca="false">ROUND((D529-$D$5)*86400,2)</f>
        <v>130.41</v>
      </c>
      <c r="F529" s="12" t="n">
        <v>466</v>
      </c>
      <c r="G529" s="11" t="n">
        <f aca="false">IF(INDEX(選手一覧!$F$7:$F$2738,$F529)="","",INDEX(選手一覧!$F$7:$F$2738,$F529))</f>
        <v>0.006834375</v>
      </c>
      <c r="H529" s="12" t="n">
        <f aca="false">IF(INDEX(選手一覧!$G$7:$G$2738,$F529)="","",INDEX(選手一覧!$G$7:$G$2738,$F529))</f>
        <v>196</v>
      </c>
      <c r="I529" s="11" t="n">
        <f aca="false">IF(INDEX(選手一覧!$H$7:$H$2738,$F529)="","",INDEX(選手一覧!$H$7:$H$2738,$F529))</f>
        <v>0.00289097222222222</v>
      </c>
      <c r="J529" s="12" t="n">
        <f aca="false">IF(INDEX(選手一覧!$I$7:$I$2738,$F529)="","",INDEX(選手一覧!$I$7:$I$2738,$F529))</f>
        <v>875</v>
      </c>
    </row>
    <row r="530" customFormat="false" ht="15" hidden="false" customHeight="false" outlineLevel="0" collapsed="false">
      <c r="A530" s="12" t="n">
        <v>526</v>
      </c>
      <c r="B530" s="10" t="s">
        <v>1676</v>
      </c>
      <c r="C530" s="10" t="s">
        <v>440</v>
      </c>
      <c r="D530" s="11" t="n">
        <v>0.0106502314814815</v>
      </c>
      <c r="E530" s="18" t="n">
        <f aca="false">ROUND((D530-$D$5)*86400,2)</f>
        <v>130.44</v>
      </c>
      <c r="F530" s="12" t="n">
        <v>1154</v>
      </c>
      <c r="G530" s="11" t="str">
        <f aca="false">IF(INDEX(選手一覧!$F$7:$F$2738,$F530)="","",INDEX(選手一覧!$F$7:$F$2738,$F530))</f>
        <v/>
      </c>
      <c r="H530" s="12" t="str">
        <f aca="false">IF(INDEX(選手一覧!$G$7:$G$2738,$F530)="","",INDEX(選手一覧!$G$7:$G$2738,$F530))</f>
        <v/>
      </c>
      <c r="I530" s="11" t="n">
        <f aca="false">IF(INDEX(選手一覧!$H$7:$H$2738,$F530)="","",INDEX(選手一覧!$H$7:$H$2738,$F530))</f>
        <v>0.00286354166666667</v>
      </c>
      <c r="J530" s="12" t="n">
        <f aca="false">IF(INDEX(選手一覧!$I$7:$I$2738,$F530)="","",INDEX(選手一覧!$I$7:$I$2738,$F530))</f>
        <v>658</v>
      </c>
    </row>
    <row r="531" customFormat="false" ht="15" hidden="false" customHeight="false" outlineLevel="0" collapsed="false">
      <c r="A531" s="12" t="n">
        <v>527</v>
      </c>
      <c r="B531" s="10" t="s">
        <v>1206</v>
      </c>
      <c r="C531" s="10" t="s">
        <v>87</v>
      </c>
      <c r="D531" s="11" t="n">
        <v>0.0106516203703704</v>
      </c>
      <c r="E531" s="18" t="n">
        <f aca="false">ROUND((D531-$D$5)*86400,2)</f>
        <v>130.56</v>
      </c>
      <c r="F531" s="12" t="n">
        <v>818</v>
      </c>
      <c r="G531" s="11" t="str">
        <f aca="false">IF(INDEX(選手一覧!$F$7:$F$2738,$F531)="","",INDEX(選手一覧!$F$7:$F$2738,$F531))</f>
        <v/>
      </c>
      <c r="H531" s="12" t="str">
        <f aca="false">IF(INDEX(選手一覧!$G$7:$G$2738,$F531)="","",INDEX(選手一覧!$G$7:$G$2738,$F531))</f>
        <v/>
      </c>
      <c r="I531" s="11" t="n">
        <f aca="false">IF(INDEX(選手一覧!$H$7:$H$2738,$F531)="","",INDEX(選手一覧!$H$7:$H$2738,$F531))</f>
        <v>0.00281875</v>
      </c>
      <c r="J531" s="12" t="n">
        <f aca="false">IF(INDEX(選手一覧!$I$7:$I$2738,$F531)="","",INDEX(選手一覧!$I$7:$I$2738,$F531))</f>
        <v>357</v>
      </c>
    </row>
    <row r="532" customFormat="false" ht="15" hidden="false" customHeight="false" outlineLevel="0" collapsed="false">
      <c r="A532" s="12" t="n">
        <v>528</v>
      </c>
      <c r="B532" s="10" t="s">
        <v>1639</v>
      </c>
      <c r="C532" s="10" t="s">
        <v>36</v>
      </c>
      <c r="D532" s="11" t="n">
        <v>0.0106527777777778</v>
      </c>
      <c r="E532" s="18" t="n">
        <f aca="false">ROUND((D532-$D$5)*86400,2)</f>
        <v>130.66</v>
      </c>
      <c r="F532" s="12" t="n">
        <v>1131</v>
      </c>
      <c r="G532" s="11" t="str">
        <f aca="false">IF(INDEX(選手一覧!$F$7:$F$2738,$F532)="","",INDEX(選手一覧!$F$7:$F$2738,$F532))</f>
        <v/>
      </c>
      <c r="H532" s="12" t="str">
        <f aca="false">IF(INDEX(選手一覧!$G$7:$G$2738,$F532)="","",INDEX(選手一覧!$G$7:$G$2738,$F532))</f>
        <v/>
      </c>
      <c r="I532" s="11" t="n">
        <f aca="false">IF(INDEX(選手一覧!$H$7:$H$2738,$F532)="","",INDEX(選手一覧!$H$7:$H$2738,$F532))</f>
        <v>0.00284259259259259</v>
      </c>
      <c r="J532" s="12" t="n">
        <f aca="false">IF(INDEX(選手一覧!$I$7:$I$2738,$F532)="","",INDEX(選手一覧!$I$7:$I$2738,$F532))</f>
        <v>513</v>
      </c>
    </row>
    <row r="533" customFormat="false" ht="15" hidden="false" customHeight="false" outlineLevel="0" collapsed="false">
      <c r="A533" s="12" t="n">
        <v>529</v>
      </c>
      <c r="B533" s="10" t="s">
        <v>1681</v>
      </c>
      <c r="C533" s="10" t="s">
        <v>422</v>
      </c>
      <c r="D533" s="11" t="n">
        <v>0.0106528935185185</v>
      </c>
      <c r="E533" s="18" t="n">
        <f aca="false">ROUND((D533-$D$5)*86400,2)</f>
        <v>130.67</v>
      </c>
      <c r="F533" s="12" t="n">
        <v>1158</v>
      </c>
      <c r="G533" s="11" t="str">
        <f aca="false">IF(INDEX(選手一覧!$F$7:$F$2738,$F533)="","",INDEX(選手一覧!$F$7:$F$2738,$F533))</f>
        <v/>
      </c>
      <c r="H533" s="12" t="str">
        <f aca="false">IF(INDEX(選手一覧!$G$7:$G$2738,$F533)="","",INDEX(選手一覧!$G$7:$G$2738,$F533))</f>
        <v/>
      </c>
      <c r="I533" s="11" t="n">
        <f aca="false">IF(INDEX(選手一覧!$H$7:$H$2738,$F533)="","",INDEX(選手一覧!$H$7:$H$2738,$F533))</f>
        <v>0.00286041666666667</v>
      </c>
      <c r="J533" s="12" t="n">
        <f aca="false">IF(INDEX(選手一覧!$I$7:$I$2738,$F533)="","",INDEX(選手一覧!$I$7:$I$2738,$F533))</f>
        <v>637</v>
      </c>
    </row>
    <row r="534" customFormat="false" ht="15" hidden="false" customHeight="false" outlineLevel="0" collapsed="false">
      <c r="A534" s="12" t="n">
        <v>530</v>
      </c>
      <c r="B534" s="10" t="s">
        <v>1682</v>
      </c>
      <c r="C534" s="10" t="s">
        <v>25</v>
      </c>
      <c r="D534" s="11" t="n">
        <v>0.010653125</v>
      </c>
      <c r="E534" s="18" t="n">
        <f aca="false">ROUND((D534-$D$5)*86400,2)</f>
        <v>130.69</v>
      </c>
      <c r="F534" s="12" t="n">
        <v>1159</v>
      </c>
      <c r="G534" s="11" t="str">
        <f aca="false">IF(INDEX(選手一覧!$F$7:$F$2738,$F534)="","",INDEX(選手一覧!$F$7:$F$2738,$F534))</f>
        <v/>
      </c>
      <c r="H534" s="12" t="str">
        <f aca="false">IF(INDEX(選手一覧!$G$7:$G$2738,$F534)="","",INDEX(選手一覧!$G$7:$G$2738,$F534))</f>
        <v/>
      </c>
      <c r="I534" s="11" t="n">
        <f aca="false">IF(INDEX(選手一覧!$H$7:$H$2738,$F534)="","",INDEX(選手一覧!$H$7:$H$2738,$F534))</f>
        <v>0.00289328703703704</v>
      </c>
      <c r="J534" s="12" t="n">
        <f aca="false">IF(INDEX(選手一覧!$I$7:$I$2738,$F534)="","",INDEX(選手一覧!$I$7:$I$2738,$F534))</f>
        <v>899</v>
      </c>
    </row>
    <row r="535" customFormat="false" ht="15" hidden="false" customHeight="false" outlineLevel="0" collapsed="false">
      <c r="A535" s="12" t="n">
        <v>531</v>
      </c>
      <c r="B535" s="10" t="s">
        <v>629</v>
      </c>
      <c r="C535" s="10" t="s">
        <v>630</v>
      </c>
      <c r="D535" s="11" t="n">
        <v>0.0106542824074074</v>
      </c>
      <c r="E535" s="18" t="n">
        <f aca="false">ROUND((D535-$D$5)*86400,2)</f>
        <v>130.79</v>
      </c>
      <c r="F535" s="12" t="n">
        <v>397</v>
      </c>
      <c r="G535" s="11" t="n">
        <f aca="false">IF(INDEX(選手一覧!$F$7:$F$2738,$F535)="","",INDEX(選手一覧!$F$7:$F$2738,$F535))</f>
        <v>0.00679710648148148</v>
      </c>
      <c r="H535" s="12" t="n">
        <f aca="false">IF(INDEX(選手一覧!$G$7:$G$2738,$F535)="","",INDEX(選手一覧!$G$7:$G$2738,$F535))</f>
        <v>168</v>
      </c>
      <c r="I535" s="11" t="n">
        <f aca="false">IF(INDEX(選手一覧!$H$7:$H$2738,$F535)="","",INDEX(選手一覧!$H$7:$H$2738,$F535))</f>
        <v>0.0028880787037037</v>
      </c>
      <c r="J535" s="12" t="n">
        <f aca="false">IF(INDEX(選手一覧!$I$7:$I$2738,$F535)="","",INDEX(選手一覧!$I$7:$I$2738,$F535))</f>
        <v>848</v>
      </c>
    </row>
    <row r="536" customFormat="false" ht="15" hidden="false" customHeight="false" outlineLevel="0" collapsed="false">
      <c r="A536" s="12" t="n">
        <v>532</v>
      </c>
      <c r="B536" s="10" t="s">
        <v>1688</v>
      </c>
      <c r="C536" s="10" t="s">
        <v>399</v>
      </c>
      <c r="D536" s="11" t="n">
        <v>0.0106579861111111</v>
      </c>
      <c r="E536" s="18" t="n">
        <f aca="false">ROUND((D536-$D$5)*86400,2)</f>
        <v>131.11</v>
      </c>
      <c r="F536" s="12" t="n">
        <v>1163</v>
      </c>
      <c r="G536" s="11" t="str">
        <f aca="false">IF(INDEX(選手一覧!$F$7:$F$2738,$F536)="","",INDEX(選手一覧!$F$7:$F$2738,$F536))</f>
        <v/>
      </c>
      <c r="H536" s="12" t="str">
        <f aca="false">IF(INDEX(選手一覧!$G$7:$G$2738,$F536)="","",INDEX(選手一覧!$G$7:$G$2738,$F536))</f>
        <v/>
      </c>
      <c r="I536" s="11" t="n">
        <f aca="false">IF(INDEX(選手一覧!$H$7:$H$2738,$F536)="","",INDEX(選手一覧!$H$7:$H$2738,$F536))</f>
        <v>0.00285520833333333</v>
      </c>
      <c r="J536" s="12" t="n">
        <f aca="false">IF(INDEX(選手一覧!$I$7:$I$2738,$F536)="","",INDEX(選手一覧!$I$7:$I$2738,$F536))</f>
        <v>597</v>
      </c>
    </row>
    <row r="537" customFormat="false" ht="15" hidden="false" customHeight="false" outlineLevel="0" collapsed="false">
      <c r="A537" s="12" t="n">
        <v>533</v>
      </c>
      <c r="B537" s="10" t="s">
        <v>1691</v>
      </c>
      <c r="C537" s="10" t="s">
        <v>4009</v>
      </c>
      <c r="D537" s="11" t="n">
        <v>0.0106582175925926</v>
      </c>
      <c r="E537" s="18" t="n">
        <f aca="false">ROUND((D537-$D$5)*86400,2)</f>
        <v>131.13</v>
      </c>
      <c r="F537" s="12" t="n">
        <v>1165</v>
      </c>
      <c r="G537" s="11" t="str">
        <f aca="false">IF(INDEX(選手一覧!$F$7:$F$2738,$F537)="","",INDEX(選手一覧!$F$7:$F$2738,$F537))</f>
        <v/>
      </c>
      <c r="H537" s="12" t="str">
        <f aca="false">IF(INDEX(選手一覧!$G$7:$G$2738,$F537)="","",INDEX(選手一覧!$G$7:$G$2738,$F537))</f>
        <v/>
      </c>
      <c r="I537" s="11" t="n">
        <f aca="false">IF(INDEX(選手一覧!$H$7:$H$2738,$F537)="","",INDEX(選手一覧!$H$7:$H$2738,$F537))</f>
        <v>0.00288715277777778</v>
      </c>
      <c r="J537" s="12" t="n">
        <f aca="false">IF(INDEX(選手一覧!$I$7:$I$2738,$F537)="","",INDEX(選手一覧!$I$7:$I$2738,$F537))</f>
        <v>837</v>
      </c>
    </row>
    <row r="538" customFormat="false" ht="15" hidden="false" customHeight="false" outlineLevel="0" collapsed="false">
      <c r="A538" s="12" t="n">
        <v>534</v>
      </c>
      <c r="B538" s="10" t="s">
        <v>429</v>
      </c>
      <c r="C538" s="10" t="s">
        <v>420</v>
      </c>
      <c r="D538" s="11" t="n">
        <v>0.0106591435185185</v>
      </c>
      <c r="E538" s="18" t="n">
        <f aca="false">ROUND((D538-$D$5)*86400,2)</f>
        <v>131.21</v>
      </c>
      <c r="F538" s="12" t="n">
        <v>262</v>
      </c>
      <c r="G538" s="11" t="n">
        <f aca="false">IF(INDEX(選手一覧!$F$7:$F$2738,$F538)="","",INDEX(選手一覧!$F$7:$F$2738,$F538))</f>
        <v>0.00670185185185185</v>
      </c>
      <c r="H538" s="12" t="n">
        <f aca="false">IF(INDEX(選手一覧!$G$7:$G$2738,$F538)="","",INDEX(選手一覧!$G$7:$G$2738,$F538))</f>
        <v>109</v>
      </c>
      <c r="I538" s="11" t="n">
        <f aca="false">IF(INDEX(選手一覧!$H$7:$H$2738,$F538)="","",INDEX(選手一覧!$H$7:$H$2738,$F538))</f>
        <v>0.00288518518518519</v>
      </c>
      <c r="J538" s="12" t="n">
        <f aca="false">IF(INDEX(選手一覧!$I$7:$I$2738,$F538)="","",INDEX(選手一覧!$I$7:$I$2738,$F538))</f>
        <v>820</v>
      </c>
    </row>
    <row r="539" customFormat="false" ht="15" hidden="false" customHeight="false" outlineLevel="0" collapsed="false">
      <c r="A539" s="12" t="n">
        <v>535</v>
      </c>
      <c r="B539" s="10" t="s">
        <v>1698</v>
      </c>
      <c r="C539" s="10" t="s">
        <v>226</v>
      </c>
      <c r="D539" s="11" t="n">
        <v>0.0106601851851852</v>
      </c>
      <c r="E539" s="18" t="n">
        <f aca="false">ROUND((D539-$D$5)*86400,2)</f>
        <v>131.3</v>
      </c>
      <c r="F539" s="12" t="n">
        <v>1169</v>
      </c>
      <c r="G539" s="11" t="str">
        <f aca="false">IF(INDEX(選手一覧!$F$7:$F$2738,$F539)="","",INDEX(選手一覧!$F$7:$F$2738,$F539))</f>
        <v/>
      </c>
      <c r="H539" s="12" t="str">
        <f aca="false">IF(INDEX(選手一覧!$G$7:$G$2738,$F539)="","",INDEX(選手一覧!$G$7:$G$2738,$F539))</f>
        <v/>
      </c>
      <c r="I539" s="11" t="n">
        <f aca="false">IF(INDEX(選手一覧!$H$7:$H$2738,$F539)="","",INDEX(選手一覧!$H$7:$H$2738,$F539))</f>
        <v>0.00286793981481482</v>
      </c>
      <c r="J539" s="12" t="n">
        <f aca="false">IF(INDEX(選手一覧!$I$7:$I$2738,$F539)="","",INDEX(選手一覧!$I$7:$I$2738,$F539))</f>
        <v>679</v>
      </c>
    </row>
    <row r="540" customFormat="false" ht="15" hidden="false" customHeight="false" outlineLevel="0" collapsed="false">
      <c r="A540" s="12" t="n">
        <v>536</v>
      </c>
      <c r="B540" s="10" t="s">
        <v>1700</v>
      </c>
      <c r="C540" s="10" t="s">
        <v>1130</v>
      </c>
      <c r="D540" s="11" t="n">
        <v>0.0106615740740741</v>
      </c>
      <c r="E540" s="18" t="n">
        <f aca="false">ROUND((D540-$D$5)*86400,2)</f>
        <v>131.42</v>
      </c>
      <c r="F540" s="12" t="n">
        <v>1171</v>
      </c>
      <c r="G540" s="11" t="str">
        <f aca="false">IF(INDEX(選手一覧!$F$7:$F$2738,$F540)="","",INDEX(選手一覧!$F$7:$F$2738,$F540))</f>
        <v/>
      </c>
      <c r="H540" s="12" t="str">
        <f aca="false">IF(INDEX(選手一覧!$G$7:$G$2738,$F540)="","",INDEX(選手一覧!$G$7:$G$2738,$F540))</f>
        <v/>
      </c>
      <c r="I540" s="11" t="n">
        <f aca="false">IF(INDEX(選手一覧!$H$7:$H$2738,$F540)="","",INDEX(選手一覧!$H$7:$H$2738,$F540))</f>
        <v>0.00294699074074074</v>
      </c>
      <c r="J540" s="12" t="n">
        <f aca="false">IF(INDEX(選手一覧!$I$7:$I$2738,$F540)="","",INDEX(選手一覧!$I$7:$I$2738,$F540))</f>
        <v>1223</v>
      </c>
    </row>
    <row r="541" customFormat="false" ht="15" hidden="false" customHeight="false" outlineLevel="0" collapsed="false">
      <c r="A541" s="12" t="n">
        <v>537</v>
      </c>
      <c r="B541" s="10" t="s">
        <v>291</v>
      </c>
      <c r="C541" s="10" t="s">
        <v>120</v>
      </c>
      <c r="D541" s="11" t="n">
        <v>0.0106621527777778</v>
      </c>
      <c r="E541" s="18" t="n">
        <f aca="false">ROUND((D541-$D$5)*86400,2)</f>
        <v>131.47</v>
      </c>
      <c r="F541" s="12" t="n">
        <v>163</v>
      </c>
      <c r="G541" s="11" t="n">
        <f aca="false">IF(INDEX(選手一覧!$F$7:$F$2738,$F541)="","",INDEX(選手一覧!$F$7:$F$2738,$F541))</f>
        <v>0.00659155092592593</v>
      </c>
      <c r="H541" s="12" t="n">
        <f aca="false">IF(INDEX(選手一覧!$G$7:$G$2738,$F541)="","",INDEX(選手一覧!$G$7:$G$2738,$F541))</f>
        <v>66</v>
      </c>
      <c r="I541" s="11" t="str">
        <f aca="false">IF(INDEX(選手一覧!$H$7:$H$2738,$F541)="","",INDEX(選手一覧!$H$7:$H$2738,$F541))</f>
        <v/>
      </c>
      <c r="J541" s="12" t="str">
        <f aca="false">IF(INDEX(選手一覧!$I$7:$I$2738,$F541)="","",INDEX(選手一覧!$I$7:$I$2738,$F541))</f>
        <v/>
      </c>
    </row>
    <row r="542" customFormat="false" ht="15" hidden="false" customHeight="false" outlineLevel="0" collapsed="false">
      <c r="A542" s="12" t="n">
        <v>538</v>
      </c>
      <c r="B542" s="10" t="s">
        <v>1707</v>
      </c>
      <c r="C542" s="10" t="s">
        <v>371</v>
      </c>
      <c r="D542" s="11" t="n">
        <v>0.0106627314814815</v>
      </c>
      <c r="E542" s="18" t="n">
        <f aca="false">ROUND((D542-$D$5)*86400,2)</f>
        <v>131.52</v>
      </c>
      <c r="F542" s="12" t="n">
        <v>1177</v>
      </c>
      <c r="G542" s="11" t="str">
        <f aca="false">IF(INDEX(選手一覧!$F$7:$F$2738,$F542)="","",INDEX(選手一覧!$F$7:$F$2738,$F542))</f>
        <v/>
      </c>
      <c r="H542" s="12" t="str">
        <f aca="false">IF(INDEX(選手一覧!$G$7:$G$2738,$F542)="","",INDEX(選手一覧!$G$7:$G$2738,$F542))</f>
        <v/>
      </c>
      <c r="I542" s="11" t="str">
        <f aca="false">IF(INDEX(選手一覧!$H$7:$H$2738,$F542)="","",INDEX(選手一覧!$H$7:$H$2738,$F542))</f>
        <v/>
      </c>
      <c r="J542" s="12" t="str">
        <f aca="false">IF(INDEX(選手一覧!$I$7:$I$2738,$F542)="","",INDEX(選手一覧!$I$7:$I$2738,$F542))</f>
        <v/>
      </c>
    </row>
    <row r="543" customFormat="false" ht="15" hidden="false" customHeight="false" outlineLevel="0" collapsed="false">
      <c r="A543" s="12" t="n">
        <v>539</v>
      </c>
      <c r="B543" s="10" t="s">
        <v>715</v>
      </c>
      <c r="C543" s="10" t="s">
        <v>462</v>
      </c>
      <c r="D543" s="11" t="n">
        <v>0.010665162037037</v>
      </c>
      <c r="E543" s="18" t="n">
        <f aca="false">ROUND((D543-$D$5)*86400,2)</f>
        <v>131.73</v>
      </c>
      <c r="F543" s="12" t="n">
        <v>459</v>
      </c>
      <c r="G543" s="11" t="str">
        <f aca="false">IF(INDEX(選手一覧!$F$7:$F$2738,$F543)="","",INDEX(選手一覧!$F$7:$F$2738,$F543))</f>
        <v/>
      </c>
      <c r="H543" s="12" t="str">
        <f aca="false">IF(INDEX(選手一覧!$G$7:$G$2738,$F543)="","",INDEX(選手一覧!$G$7:$G$2738,$F543))</f>
        <v/>
      </c>
      <c r="I543" s="11" t="n">
        <f aca="false">IF(INDEX(選手一覧!$H$7:$H$2738,$F543)="","",INDEX(選手一覧!$H$7:$H$2738,$F543))</f>
        <v>0.00277835648148148</v>
      </c>
      <c r="J543" s="12" t="n">
        <f aca="false">IF(INDEX(選手一覧!$I$7:$I$2738,$F543)="","",INDEX(選手一覧!$I$7:$I$2738,$F543))</f>
        <v>193</v>
      </c>
    </row>
    <row r="544" customFormat="false" ht="15" hidden="false" customHeight="false" outlineLevel="0" collapsed="false">
      <c r="A544" s="12" t="n">
        <v>540</v>
      </c>
      <c r="B544" s="10" t="s">
        <v>1349</v>
      </c>
      <c r="C544" s="10" t="s">
        <v>105</v>
      </c>
      <c r="D544" s="11" t="n">
        <v>0.0106653935185185</v>
      </c>
      <c r="E544" s="18" t="n">
        <f aca="false">ROUND((D544-$D$5)*86400,2)</f>
        <v>131.75</v>
      </c>
      <c r="F544" s="12" t="n">
        <v>918</v>
      </c>
      <c r="G544" s="11" t="n">
        <f aca="false">IF(INDEX(選手一覧!$F$7:$F$2738,$F544)="","",INDEX(選手一覧!$F$7:$F$2738,$F544))</f>
        <v>0.00706574074074074</v>
      </c>
      <c r="H544" s="12" t="n">
        <f aca="false">IF(INDEX(選手一覧!$G$7:$G$2738,$F544)="","",INDEX(選手一覧!$G$7:$G$2738,$F544))</f>
        <v>410</v>
      </c>
      <c r="I544" s="11" t="str">
        <f aca="false">IF(INDEX(選手一覧!$H$7:$H$2738,$F544)="","",INDEX(選手一覧!$H$7:$H$2738,$F544))</f>
        <v/>
      </c>
      <c r="J544" s="12" t="str">
        <f aca="false">IF(INDEX(選手一覧!$I$7:$I$2738,$F544)="","",INDEX(選手一覧!$I$7:$I$2738,$F544))</f>
        <v/>
      </c>
    </row>
    <row r="545" customFormat="false" ht="15" hidden="false" customHeight="false" outlineLevel="0" collapsed="false">
      <c r="A545" s="12" t="n">
        <v>541</v>
      </c>
      <c r="B545" s="10" t="s">
        <v>1713</v>
      </c>
      <c r="C545" s="10" t="s">
        <v>300</v>
      </c>
      <c r="D545" s="11" t="n">
        <v>0.010666087962963</v>
      </c>
      <c r="E545" s="18" t="n">
        <f aca="false">ROUND((D545-$D$5)*86400,2)</f>
        <v>131.81</v>
      </c>
      <c r="F545" s="12" t="n">
        <v>1181</v>
      </c>
      <c r="G545" s="11" t="str">
        <f aca="false">IF(INDEX(選手一覧!$F$7:$F$2738,$F545)="","",INDEX(選手一覧!$F$7:$F$2738,$F545))</f>
        <v/>
      </c>
      <c r="H545" s="12" t="str">
        <f aca="false">IF(INDEX(選手一覧!$G$7:$G$2738,$F545)="","",INDEX(選手一覧!$G$7:$G$2738,$F545))</f>
        <v/>
      </c>
      <c r="I545" s="11" t="str">
        <f aca="false">IF(INDEX(選手一覧!$H$7:$H$2738,$F545)="","",INDEX(選手一覧!$H$7:$H$2738,$F545))</f>
        <v/>
      </c>
      <c r="J545" s="12" t="str">
        <f aca="false">IF(INDEX(選手一覧!$I$7:$I$2738,$F545)="","",INDEX(選手一覧!$I$7:$I$2738,$F545))</f>
        <v/>
      </c>
    </row>
    <row r="546" customFormat="false" ht="15" hidden="false" customHeight="false" outlineLevel="0" collapsed="false">
      <c r="A546" s="12" t="n">
        <v>542</v>
      </c>
      <c r="B546" s="10" t="s">
        <v>1718</v>
      </c>
      <c r="C546" s="10" t="s">
        <v>1005</v>
      </c>
      <c r="D546" s="11" t="n">
        <v>0.0106663194444445</v>
      </c>
      <c r="E546" s="18" t="n">
        <f aca="false">ROUND((D546-$D$5)*86400,2)</f>
        <v>131.83</v>
      </c>
      <c r="F546" s="12" t="n">
        <v>1184</v>
      </c>
      <c r="G546" s="11" t="str">
        <f aca="false">IF(INDEX(選手一覧!$F$7:$F$2738,$F546)="","",INDEX(選手一覧!$F$7:$F$2738,$F546))</f>
        <v/>
      </c>
      <c r="H546" s="12" t="str">
        <f aca="false">IF(INDEX(選手一覧!$G$7:$G$2738,$F546)="","",INDEX(選手一覧!$G$7:$G$2738,$F546))</f>
        <v/>
      </c>
      <c r="I546" s="11" t="n">
        <f aca="false">IF(INDEX(選手一覧!$H$7:$H$2738,$F546)="","",INDEX(選手一覧!$H$7:$H$2738,$F546))</f>
        <v>0.00288101851851852</v>
      </c>
      <c r="J546" s="12" t="n">
        <f aca="false">IF(INDEX(選手一覧!$I$7:$I$2738,$F546)="","",INDEX(選手一覧!$I$7:$I$2738,$F546))</f>
        <v>777</v>
      </c>
    </row>
    <row r="547" customFormat="false" ht="15" hidden="false" customHeight="false" outlineLevel="0" collapsed="false">
      <c r="A547" s="12" t="n">
        <v>543</v>
      </c>
      <c r="B547" s="10" t="s">
        <v>365</v>
      </c>
      <c r="C547" s="10" t="s">
        <v>366</v>
      </c>
      <c r="D547" s="11" t="n">
        <v>0.0106671296296296</v>
      </c>
      <c r="E547" s="18" t="n">
        <f aca="false">ROUND((D547-$D$5)*86400,2)</f>
        <v>131.9</v>
      </c>
      <c r="F547" s="12" t="n">
        <v>217</v>
      </c>
      <c r="G547" s="11" t="n">
        <f aca="false">IF(INDEX(選手一覧!$F$7:$F$2738,$F547)="","",INDEX(選手一覧!$F$7:$F$2738,$F547))</f>
        <v>0.00666493055555556</v>
      </c>
      <c r="H547" s="12" t="n">
        <f aca="false">IF(INDEX(選手一覧!$G$7:$G$2738,$F547)="","",INDEX(選手一覧!$G$7:$G$2738,$F547))</f>
        <v>90</v>
      </c>
      <c r="I547" s="11" t="str">
        <f aca="false">IF(INDEX(選手一覧!$H$7:$H$2738,$F547)="","",INDEX(選手一覧!$H$7:$H$2738,$F547))</f>
        <v/>
      </c>
      <c r="J547" s="12" t="str">
        <f aca="false">IF(INDEX(選手一覧!$I$7:$I$2738,$F547)="","",INDEX(選手一覧!$I$7:$I$2738,$F547))</f>
        <v/>
      </c>
    </row>
    <row r="548" customFormat="false" ht="15" hidden="false" customHeight="false" outlineLevel="0" collapsed="false">
      <c r="A548" s="12" t="n">
        <v>544</v>
      </c>
      <c r="B548" s="10" t="s">
        <v>161</v>
      </c>
      <c r="C548" s="10" t="s">
        <v>162</v>
      </c>
      <c r="D548" s="11" t="n">
        <v>0.0106686342592593</v>
      </c>
      <c r="E548" s="18" t="n">
        <f aca="false">ROUND((D548-$D$5)*86400,2)</f>
        <v>132.03</v>
      </c>
      <c r="F548" s="12" t="n">
        <v>80</v>
      </c>
      <c r="G548" s="11" t="n">
        <f aca="false">IF(INDEX(選手一覧!$F$7:$F$2738,$F548)="","",INDEX(選手一覧!$F$7:$F$2738,$F548))</f>
        <v>0.00648645833333333</v>
      </c>
      <c r="H548" s="12" t="n">
        <f aca="false">IF(INDEX(選手一覧!$G$7:$G$2738,$F548)="","",INDEX(選手一覧!$G$7:$G$2738,$F548))</f>
        <v>32</v>
      </c>
      <c r="I548" s="11" t="n">
        <f aca="false">IF(INDEX(選手一覧!$H$7:$H$2738,$F548)="","",INDEX(選手一覧!$H$7:$H$2738,$F548))</f>
        <v>0.00273206018518519</v>
      </c>
      <c r="J548" s="12" t="n">
        <f aca="false">IF(INDEX(選手一覧!$I$7:$I$2738,$F548)="","",INDEX(選手一覧!$I$7:$I$2738,$F548))</f>
        <v>68</v>
      </c>
    </row>
    <row r="549" customFormat="false" ht="15" hidden="false" customHeight="false" outlineLevel="0" collapsed="false">
      <c r="A549" s="12" t="n">
        <v>545</v>
      </c>
      <c r="B549" s="10" t="s">
        <v>784</v>
      </c>
      <c r="C549" s="10" t="s">
        <v>744</v>
      </c>
      <c r="D549" s="11" t="n">
        <v>0.0106689814814815</v>
      </c>
      <c r="E549" s="18" t="n">
        <f aca="false">ROUND((D549-$D$5)*86400,2)</f>
        <v>132.06</v>
      </c>
      <c r="F549" s="12" t="n">
        <v>510</v>
      </c>
      <c r="G549" s="11" t="n">
        <f aca="false">IF(INDEX(選手一覧!$F$7:$F$2738,$F549)="","",INDEX(選手一覧!$F$7:$F$2738,$F549))</f>
        <v>0.0068630787037037</v>
      </c>
      <c r="H549" s="12" t="n">
        <f aca="false">IF(INDEX(選手一覧!$G$7:$G$2738,$F549)="","",INDEX(選手一覧!$G$7:$G$2738,$F549))</f>
        <v>214</v>
      </c>
      <c r="I549" s="11" t="n">
        <f aca="false">IF(INDEX(選手一覧!$H$7:$H$2738,$F549)="","",INDEX(選手一覧!$H$7:$H$2738,$F549))</f>
        <v>0.0028525462962963</v>
      </c>
      <c r="J549" s="12" t="n">
        <f aca="false">IF(INDEX(選手一覧!$I$7:$I$2738,$F549)="","",INDEX(選手一覧!$I$7:$I$2738,$F549))</f>
        <v>583</v>
      </c>
    </row>
    <row r="550" customFormat="false" ht="15" hidden="false" customHeight="false" outlineLevel="0" collapsed="false">
      <c r="A550" s="12" t="n">
        <v>546</v>
      </c>
      <c r="B550" s="10" t="s">
        <v>1726</v>
      </c>
      <c r="C550" s="10" t="s">
        <v>87</v>
      </c>
      <c r="D550" s="11" t="n">
        <v>0.0106693287037037</v>
      </c>
      <c r="E550" s="18" t="n">
        <f aca="false">ROUND((D550-$D$5)*86400,2)</f>
        <v>132.09</v>
      </c>
      <c r="F550" s="12" t="n">
        <v>1190</v>
      </c>
      <c r="G550" s="11" t="str">
        <f aca="false">IF(INDEX(選手一覧!$F$7:$F$2738,$F550)="","",INDEX(選手一覧!$F$7:$F$2738,$F550))</f>
        <v/>
      </c>
      <c r="H550" s="12" t="str">
        <f aca="false">IF(INDEX(選手一覧!$G$7:$G$2738,$F550)="","",INDEX(選手一覧!$G$7:$G$2738,$F550))</f>
        <v/>
      </c>
      <c r="I550" s="11" t="str">
        <f aca="false">IF(INDEX(選手一覧!$H$7:$H$2738,$F550)="","",INDEX(選手一覧!$H$7:$H$2738,$F550))</f>
        <v/>
      </c>
      <c r="J550" s="12" t="str">
        <f aca="false">IF(INDEX(選手一覧!$I$7:$I$2738,$F550)="","",INDEX(選手一覧!$I$7:$I$2738,$F550))</f>
        <v/>
      </c>
    </row>
    <row r="551" customFormat="false" ht="15" hidden="false" customHeight="false" outlineLevel="0" collapsed="false">
      <c r="A551" s="12" t="n">
        <v>547</v>
      </c>
      <c r="B551" s="10" t="s">
        <v>1727</v>
      </c>
      <c r="C551" s="10" t="s">
        <v>130</v>
      </c>
      <c r="D551" s="11" t="n">
        <v>0.0106693287037037</v>
      </c>
      <c r="E551" s="18" t="n">
        <f aca="false">ROUND((D551-$D$5)*86400,2)</f>
        <v>132.09</v>
      </c>
      <c r="F551" s="12" t="n">
        <v>1191</v>
      </c>
      <c r="G551" s="11" t="str">
        <f aca="false">IF(INDEX(選手一覧!$F$7:$F$2738,$F551)="","",INDEX(選手一覧!$F$7:$F$2738,$F551))</f>
        <v/>
      </c>
      <c r="H551" s="12" t="str">
        <f aca="false">IF(INDEX(選手一覧!$G$7:$G$2738,$F551)="","",INDEX(選手一覧!$G$7:$G$2738,$F551))</f>
        <v/>
      </c>
      <c r="I551" s="11" t="str">
        <f aca="false">IF(INDEX(選手一覧!$H$7:$H$2738,$F551)="","",INDEX(選手一覧!$H$7:$H$2738,$F551))</f>
        <v/>
      </c>
      <c r="J551" s="12" t="str">
        <f aca="false">IF(INDEX(選手一覧!$I$7:$I$2738,$F551)="","",INDEX(選手一覧!$I$7:$I$2738,$F551))</f>
        <v/>
      </c>
    </row>
    <row r="552" customFormat="false" ht="15" hidden="false" customHeight="false" outlineLevel="0" collapsed="false">
      <c r="A552" s="12" t="n">
        <v>548</v>
      </c>
      <c r="B552" s="10" t="s">
        <v>202</v>
      </c>
      <c r="C552" s="10" t="s">
        <v>60</v>
      </c>
      <c r="D552" s="11" t="n">
        <v>0.0106701388888889</v>
      </c>
      <c r="E552" s="18" t="n">
        <f aca="false">ROUND((D552-$D$5)*86400,2)</f>
        <v>132.16</v>
      </c>
      <c r="F552" s="12" t="n">
        <v>104</v>
      </c>
      <c r="G552" s="11" t="str">
        <f aca="false">IF(INDEX(選手一覧!$F$7:$F$2738,$F552)="","",INDEX(選手一覧!$F$7:$F$2738,$F552))</f>
        <v/>
      </c>
      <c r="H552" s="12" t="str">
        <f aca="false">IF(INDEX(選手一覧!$G$7:$G$2738,$F552)="","",INDEX(選手一覧!$G$7:$G$2738,$F552))</f>
        <v/>
      </c>
      <c r="I552" s="11" t="n">
        <f aca="false">IF(INDEX(選手一覧!$H$7:$H$2738,$F552)="","",INDEX(選手一覧!$H$7:$H$2738,$F552))</f>
        <v>0.0027130787037037</v>
      </c>
      <c r="J552" s="12" t="n">
        <f aca="false">IF(INDEX(選手一覧!$I$7:$I$2738,$F552)="","",INDEX(選手一覧!$I$7:$I$2738,$F552))</f>
        <v>40</v>
      </c>
    </row>
    <row r="553" customFormat="false" ht="15" hidden="false" customHeight="false" outlineLevel="0" collapsed="false">
      <c r="A553" s="12" t="n">
        <v>549</v>
      </c>
      <c r="B553" s="10" t="s">
        <v>1734</v>
      </c>
      <c r="C553" s="10" t="s">
        <v>103</v>
      </c>
      <c r="D553" s="11" t="n">
        <v>0.0106704861111111</v>
      </c>
      <c r="E553" s="18" t="n">
        <f aca="false">ROUND((D553-$D$5)*86400,2)</f>
        <v>132.19</v>
      </c>
      <c r="F553" s="12" t="n">
        <v>1196</v>
      </c>
      <c r="G553" s="11" t="n">
        <f aca="false">IF(INDEX(選手一覧!$F$7:$F$2738,$F553)="","",INDEX(選手一覧!$F$7:$F$2738,$F553))</f>
        <v>0.00736342592592593</v>
      </c>
      <c r="H553" s="12" t="n">
        <f aca="false">IF(INDEX(選手一覧!$G$7:$G$2738,$F553)="","",INDEX(選手一覧!$G$7:$G$2738,$F553))</f>
        <v>725</v>
      </c>
      <c r="I553" s="11" t="n">
        <f aca="false">IF(INDEX(選手一覧!$H$7:$H$2738,$F553)="","",INDEX(選手一覧!$H$7:$H$2738,$F553))</f>
        <v>0.00291284722222222</v>
      </c>
      <c r="J553" s="12" t="n">
        <f aca="false">IF(INDEX(選手一覧!$I$7:$I$2738,$F553)="","",INDEX(選手一覧!$I$7:$I$2738,$F553))</f>
        <v>1042</v>
      </c>
    </row>
    <row r="554" customFormat="false" ht="15" hidden="false" customHeight="false" outlineLevel="0" collapsed="false">
      <c r="A554" s="12" t="n">
        <v>550</v>
      </c>
      <c r="B554" s="10" t="s">
        <v>238</v>
      </c>
      <c r="C554" s="10" t="s">
        <v>120</v>
      </c>
      <c r="D554" s="11" t="n">
        <v>0.010671412037037</v>
      </c>
      <c r="E554" s="18" t="n">
        <f aca="false">ROUND((D554-$D$5)*86400,2)</f>
        <v>132.27</v>
      </c>
      <c r="F554" s="12" t="n">
        <v>128</v>
      </c>
      <c r="G554" s="11" t="str">
        <f aca="false">IF(INDEX(選手一覧!$F$7:$F$2738,$F554)="","",INDEX(選手一覧!$F$7:$F$2738,$F554))</f>
        <v/>
      </c>
      <c r="H554" s="12" t="str">
        <f aca="false">IF(INDEX(選手一覧!$G$7:$G$2738,$F554)="","",INDEX(選手一覧!$G$7:$G$2738,$F554))</f>
        <v/>
      </c>
      <c r="I554" s="11" t="n">
        <f aca="false">IF(INDEX(選手一覧!$H$7:$H$2738,$F554)="","",INDEX(選手一覧!$H$7:$H$2738,$F554))</f>
        <v>0.00272175925925926</v>
      </c>
      <c r="J554" s="12" t="n">
        <f aca="false">IF(INDEX(選手一覧!$I$7:$I$2738,$F554)="","",INDEX(選手一覧!$I$7:$I$2738,$F554))</f>
        <v>50</v>
      </c>
    </row>
    <row r="555" customFormat="false" ht="15" hidden="false" customHeight="false" outlineLevel="0" collapsed="false">
      <c r="A555" s="12" t="n">
        <v>551</v>
      </c>
      <c r="B555" s="10" t="s">
        <v>1068</v>
      </c>
      <c r="C555" s="10" t="s">
        <v>1069</v>
      </c>
      <c r="D555" s="11" t="n">
        <v>0.010672337962963</v>
      </c>
      <c r="E555" s="18" t="n">
        <f aca="false">ROUND((D555-$D$5)*86400,2)</f>
        <v>132.35</v>
      </c>
      <c r="F555" s="12" t="n">
        <v>716</v>
      </c>
      <c r="G555" s="11" t="str">
        <f aca="false">IF(INDEX(選手一覧!$F$7:$F$2738,$F555)="","",INDEX(選手一覧!$F$7:$F$2738,$F555))</f>
        <v/>
      </c>
      <c r="H555" s="12" t="str">
        <f aca="false">IF(INDEX(選手一覧!$G$7:$G$2738,$F555)="","",INDEX(選手一覧!$G$7:$G$2738,$F555))</f>
        <v/>
      </c>
      <c r="I555" s="11" t="n">
        <f aca="false">IF(INDEX(選手一覧!$H$7:$H$2738,$F555)="","",INDEX(選手一覧!$H$7:$H$2738,$F555))</f>
        <v>0.00280625</v>
      </c>
      <c r="J555" s="12" t="n">
        <f aca="false">IF(INDEX(選手一覧!$I$7:$I$2738,$F555)="","",INDEX(選手一覧!$I$7:$I$2738,$F555))</f>
        <v>307</v>
      </c>
    </row>
    <row r="556" customFormat="false" ht="15" hidden="false" customHeight="false" outlineLevel="0" collapsed="false">
      <c r="A556" s="12" t="n">
        <v>552</v>
      </c>
      <c r="B556" s="10" t="s">
        <v>355</v>
      </c>
      <c r="C556" s="10" t="s">
        <v>179</v>
      </c>
      <c r="D556" s="11" t="n">
        <v>0.0106728009259259</v>
      </c>
      <c r="E556" s="18" t="n">
        <f aca="false">ROUND((D556-$D$5)*86400,2)</f>
        <v>132.39</v>
      </c>
      <c r="F556" s="12" t="n">
        <v>209</v>
      </c>
      <c r="G556" s="11" t="n">
        <f aca="false">IF(INDEX(選手一覧!$F$7:$F$2738,$F556)="","",INDEX(選手一覧!$F$7:$F$2738,$F556))</f>
        <v>0.00665798611111111</v>
      </c>
      <c r="H556" s="12" t="n">
        <f aca="false">IF(INDEX(選手一覧!$G$7:$G$2738,$F556)="","",INDEX(選手一覧!$G$7:$G$2738,$F556))</f>
        <v>86</v>
      </c>
      <c r="I556" s="11" t="n">
        <f aca="false">IF(INDEX(選手一覧!$H$7:$H$2738,$F556)="","",INDEX(選手一覧!$H$7:$H$2738,$F556))</f>
        <v>0.00286006944444445</v>
      </c>
      <c r="J556" s="12" t="n">
        <f aca="false">IF(INDEX(選手一覧!$I$7:$I$2738,$F556)="","",INDEX(選手一覧!$I$7:$I$2738,$F556))</f>
        <v>636</v>
      </c>
    </row>
    <row r="557" customFormat="false" ht="15" hidden="false" customHeight="false" outlineLevel="0" collapsed="false">
      <c r="A557" s="12" t="n">
        <v>553</v>
      </c>
      <c r="B557" s="10" t="s">
        <v>144</v>
      </c>
      <c r="C557" s="10" t="s">
        <v>145</v>
      </c>
      <c r="D557" s="11" t="n">
        <v>0.0106737268518519</v>
      </c>
      <c r="E557" s="18" t="n">
        <f aca="false">ROUND((D557-$D$5)*86400,2)</f>
        <v>132.47</v>
      </c>
      <c r="F557" s="12" t="n">
        <v>69</v>
      </c>
      <c r="G557" s="11" t="n">
        <f aca="false">IF(INDEX(選手一覧!$F$7:$F$2738,$F557)="","",INDEX(選手一覧!$F$7:$F$2738,$F557))</f>
        <v>0.00646342592592593</v>
      </c>
      <c r="H557" s="12" t="n">
        <f aca="false">IF(INDEX(選手一覧!$G$7:$G$2738,$F557)="","",INDEX(選手一覧!$G$7:$G$2738,$F557))</f>
        <v>28</v>
      </c>
      <c r="I557" s="11" t="n">
        <f aca="false">IF(INDEX(選手一覧!$H$7:$H$2738,$F557)="","",INDEX(選手一覧!$H$7:$H$2738,$F557))</f>
        <v>0.00288541666666667</v>
      </c>
      <c r="J557" s="12" t="n">
        <f aca="false">IF(INDEX(選手一覧!$I$7:$I$2738,$F557)="","",INDEX(選手一覧!$I$7:$I$2738,$F557))</f>
        <v>821</v>
      </c>
    </row>
    <row r="558" customFormat="false" ht="15" hidden="false" customHeight="false" outlineLevel="0" collapsed="false">
      <c r="A558" s="12" t="n">
        <v>554</v>
      </c>
      <c r="B558" s="10" t="s">
        <v>1725</v>
      </c>
      <c r="C558" s="10" t="s">
        <v>302</v>
      </c>
      <c r="D558" s="11" t="n">
        <v>0.0106741898148148</v>
      </c>
      <c r="E558" s="18" t="n">
        <f aca="false">ROUND((D558-$D$5)*86400,2)</f>
        <v>132.51</v>
      </c>
      <c r="F558" s="12" t="n">
        <v>1189</v>
      </c>
      <c r="G558" s="11" t="str">
        <f aca="false">IF(INDEX(選手一覧!$F$7:$F$2738,$F558)="","",INDEX(選手一覧!$F$7:$F$2738,$F558))</f>
        <v/>
      </c>
      <c r="H558" s="12" t="str">
        <f aca="false">IF(INDEX(選手一覧!$G$7:$G$2738,$F558)="","",INDEX(選手一覧!$G$7:$G$2738,$F558))</f>
        <v/>
      </c>
      <c r="I558" s="11" t="n">
        <f aca="false">IF(INDEX(選手一覧!$H$7:$H$2738,$F558)="","",INDEX(選手一覧!$H$7:$H$2738,$F558))</f>
        <v>0.0028462962962963</v>
      </c>
      <c r="J558" s="12" t="n">
        <f aca="false">IF(INDEX(選手一覧!$I$7:$I$2738,$F558)="","",INDEX(選手一覧!$I$7:$I$2738,$F558))</f>
        <v>546</v>
      </c>
    </row>
    <row r="559" customFormat="false" ht="15" hidden="false" customHeight="false" outlineLevel="0" collapsed="false">
      <c r="A559" s="12" t="n">
        <v>555</v>
      </c>
      <c r="B559" s="10" t="s">
        <v>1050</v>
      </c>
      <c r="C559" s="10" t="s">
        <v>1051</v>
      </c>
      <c r="D559" s="11" t="n">
        <v>0.0106767361111111</v>
      </c>
      <c r="E559" s="18" t="n">
        <f aca="false">ROUND((D559-$D$5)*86400,2)</f>
        <v>132.73</v>
      </c>
      <c r="F559" s="12" t="n">
        <v>704</v>
      </c>
      <c r="G559" s="11" t="str">
        <f aca="false">IF(INDEX(選手一覧!$F$7:$F$2738,$F559)="","",INDEX(選手一覧!$F$7:$F$2738,$F559))</f>
        <v/>
      </c>
      <c r="H559" s="12" t="str">
        <f aca="false">IF(INDEX(選手一覧!$G$7:$G$2738,$F559)="","",INDEX(選手一覧!$G$7:$G$2738,$F559))</f>
        <v/>
      </c>
      <c r="I559" s="11" t="n">
        <f aca="false">IF(INDEX(選手一覧!$H$7:$H$2738,$F559)="","",INDEX(選手一覧!$H$7:$H$2738,$F559))</f>
        <v>0.00280497685185185</v>
      </c>
      <c r="J559" s="12" t="n">
        <f aca="false">IF(INDEX(選手一覧!$I$7:$I$2738,$F559)="","",INDEX(選手一覧!$I$7:$I$2738,$F559))</f>
        <v>302</v>
      </c>
    </row>
    <row r="560" customFormat="false" ht="15" hidden="false" customHeight="false" outlineLevel="0" collapsed="false">
      <c r="A560" s="12" t="n">
        <v>556</v>
      </c>
      <c r="B560" s="10" t="s">
        <v>1754</v>
      </c>
      <c r="C560" s="10" t="s">
        <v>107</v>
      </c>
      <c r="D560" s="11" t="n">
        <v>0.0106774305555556</v>
      </c>
      <c r="E560" s="18" t="n">
        <f aca="false">ROUND((D560-$D$5)*86400,2)</f>
        <v>132.79</v>
      </c>
      <c r="F560" s="12" t="n">
        <v>1207</v>
      </c>
      <c r="G560" s="11" t="str">
        <f aca="false">IF(INDEX(選手一覧!$F$7:$F$2738,$F560)="","",INDEX(選手一覧!$F$7:$F$2738,$F560))</f>
        <v/>
      </c>
      <c r="H560" s="12" t="str">
        <f aca="false">IF(INDEX(選手一覧!$G$7:$G$2738,$F560)="","",INDEX(選手一覧!$G$7:$G$2738,$F560))</f>
        <v/>
      </c>
      <c r="I560" s="11" t="str">
        <f aca="false">IF(INDEX(選手一覧!$H$7:$H$2738,$F560)="","",INDEX(選手一覧!$H$7:$H$2738,$F560))</f>
        <v/>
      </c>
      <c r="J560" s="12" t="str">
        <f aca="false">IF(INDEX(選手一覧!$I$7:$I$2738,$F560)="","",INDEX(選手一覧!$I$7:$I$2738,$F560))</f>
        <v/>
      </c>
    </row>
    <row r="561" customFormat="false" ht="15" hidden="false" customHeight="false" outlineLevel="0" collapsed="false">
      <c r="A561" s="12" t="n">
        <v>557</v>
      </c>
      <c r="B561" s="10" t="s">
        <v>1761</v>
      </c>
      <c r="C561" s="10" t="s">
        <v>55</v>
      </c>
      <c r="D561" s="11" t="n">
        <v>0.0106783564814815</v>
      </c>
      <c r="E561" s="18" t="n">
        <f aca="false">ROUND((D561-$D$5)*86400,2)</f>
        <v>132.87</v>
      </c>
      <c r="F561" s="12" t="n">
        <v>1212</v>
      </c>
      <c r="G561" s="11" t="str">
        <f aca="false">IF(INDEX(選手一覧!$F$7:$F$2738,$F561)="","",INDEX(選手一覧!$F$7:$F$2738,$F561))</f>
        <v/>
      </c>
      <c r="H561" s="12" t="str">
        <f aca="false">IF(INDEX(選手一覧!$G$7:$G$2738,$F561)="","",INDEX(選手一覧!$G$7:$G$2738,$F561))</f>
        <v/>
      </c>
      <c r="I561" s="11" t="str">
        <f aca="false">IF(INDEX(選手一覧!$H$7:$H$2738,$F561)="","",INDEX(選手一覧!$H$7:$H$2738,$F561))</f>
        <v/>
      </c>
      <c r="J561" s="12" t="str">
        <f aca="false">IF(INDEX(選手一覧!$I$7:$I$2738,$F561)="","",INDEX(選手一覧!$I$7:$I$2738,$F561))</f>
        <v/>
      </c>
    </row>
    <row r="562" customFormat="false" ht="15" hidden="false" customHeight="false" outlineLevel="0" collapsed="false">
      <c r="A562" s="12" t="n">
        <v>558</v>
      </c>
      <c r="B562" s="10" t="s">
        <v>1762</v>
      </c>
      <c r="C562" s="10" t="s">
        <v>680</v>
      </c>
      <c r="D562" s="11" t="n">
        <v>0.0106811342592593</v>
      </c>
      <c r="E562" s="18" t="n">
        <f aca="false">ROUND((D562-$D$5)*86400,2)</f>
        <v>133.11</v>
      </c>
      <c r="F562" s="12" t="n">
        <v>1213</v>
      </c>
      <c r="G562" s="11" t="str">
        <f aca="false">IF(INDEX(選手一覧!$F$7:$F$2738,$F562)="","",INDEX(選手一覧!$F$7:$F$2738,$F562))</f>
        <v/>
      </c>
      <c r="H562" s="12" t="str">
        <f aca="false">IF(INDEX(選手一覧!$G$7:$G$2738,$F562)="","",INDEX(選手一覧!$G$7:$G$2738,$F562))</f>
        <v/>
      </c>
      <c r="I562" s="11" t="str">
        <f aca="false">IF(INDEX(選手一覧!$H$7:$H$2738,$F562)="","",INDEX(選手一覧!$H$7:$H$2738,$F562))</f>
        <v/>
      </c>
      <c r="J562" s="12" t="str">
        <f aca="false">IF(INDEX(選手一覧!$I$7:$I$2738,$F562)="","",INDEX(選手一覧!$I$7:$I$2738,$F562))</f>
        <v/>
      </c>
    </row>
    <row r="563" customFormat="false" ht="15" hidden="false" customHeight="false" outlineLevel="0" collapsed="false">
      <c r="A563" s="12" t="n">
        <v>559</v>
      </c>
      <c r="B563" s="10" t="s">
        <v>1488</v>
      </c>
      <c r="C563" s="10" t="s">
        <v>188</v>
      </c>
      <c r="D563" s="11" t="n">
        <v>0.0106834490740741</v>
      </c>
      <c r="E563" s="18" t="n">
        <f aca="false">ROUND((D563-$D$5)*86400,2)</f>
        <v>133.31</v>
      </c>
      <c r="F563" s="12" t="n">
        <v>1022</v>
      </c>
      <c r="G563" s="11" t="str">
        <f aca="false">IF(INDEX(選手一覧!$F$7:$F$2738,$F563)="","",INDEX(選手一覧!$F$7:$F$2738,$F563))</f>
        <v/>
      </c>
      <c r="H563" s="12" t="str">
        <f aca="false">IF(INDEX(選手一覧!$G$7:$G$2738,$F563)="","",INDEX(選手一覧!$G$7:$G$2738,$F563))</f>
        <v/>
      </c>
      <c r="I563" s="11" t="n">
        <f aca="false">IF(INDEX(選手一覧!$H$7:$H$2738,$F563)="","",INDEX(選手一覧!$H$7:$H$2738,$F563))</f>
        <v>0.00283483796296296</v>
      </c>
      <c r="J563" s="12" t="n">
        <f aca="false">IF(INDEX(選手一覧!$I$7:$I$2738,$F563)="","",INDEX(選手一覧!$I$7:$I$2738,$F563))</f>
        <v>459</v>
      </c>
    </row>
    <row r="564" customFormat="false" ht="15" hidden="false" customHeight="false" outlineLevel="0" collapsed="false">
      <c r="A564" s="12" t="n">
        <v>560</v>
      </c>
      <c r="B564" s="10" t="s">
        <v>1070</v>
      </c>
      <c r="C564" s="10" t="s">
        <v>41</v>
      </c>
      <c r="D564" s="11" t="n">
        <v>0.0106862268518519</v>
      </c>
      <c r="E564" s="18" t="n">
        <f aca="false">ROUND((D564-$D$5)*86400,2)</f>
        <v>133.55</v>
      </c>
      <c r="F564" s="12" t="n">
        <v>717</v>
      </c>
      <c r="G564" s="11" t="str">
        <f aca="false">IF(INDEX(選手一覧!$F$7:$F$2738,$F564)="","",INDEX(選手一覧!$F$7:$F$2738,$F564))</f>
        <v/>
      </c>
      <c r="H564" s="12" t="str">
        <f aca="false">IF(INDEX(選手一覧!$G$7:$G$2738,$F564)="","",INDEX(選手一覧!$G$7:$G$2738,$F564))</f>
        <v/>
      </c>
      <c r="I564" s="11" t="n">
        <f aca="false">IF(INDEX(選手一覧!$H$7:$H$2738,$F564)="","",INDEX(選手一覧!$H$7:$H$2738,$F564))</f>
        <v>0.00280636574074074</v>
      </c>
      <c r="J564" s="12" t="n">
        <f aca="false">IF(INDEX(選手一覧!$I$7:$I$2738,$F564)="","",INDEX(選手一覧!$I$7:$I$2738,$F564))</f>
        <v>309</v>
      </c>
    </row>
    <row r="565" customFormat="false" ht="15" hidden="false" customHeight="false" outlineLevel="0" collapsed="false">
      <c r="A565" s="12" t="n">
        <v>561</v>
      </c>
      <c r="B565" s="10" t="s">
        <v>1770</v>
      </c>
      <c r="C565" s="10" t="s">
        <v>467</v>
      </c>
      <c r="D565" s="11" t="n">
        <v>0.0106862268518519</v>
      </c>
      <c r="E565" s="18" t="n">
        <f aca="false">ROUND((D565-$D$5)*86400,2)</f>
        <v>133.55</v>
      </c>
      <c r="F565" s="12" t="n">
        <v>1219</v>
      </c>
      <c r="G565" s="11" t="str">
        <f aca="false">IF(INDEX(選手一覧!$F$7:$F$2738,$F565)="","",INDEX(選手一覧!$F$7:$F$2738,$F565))</f>
        <v/>
      </c>
      <c r="H565" s="12" t="str">
        <f aca="false">IF(INDEX(選手一覧!$G$7:$G$2738,$F565)="","",INDEX(選手一覧!$G$7:$G$2738,$F565))</f>
        <v/>
      </c>
      <c r="I565" s="11" t="str">
        <f aca="false">IF(INDEX(選手一覧!$H$7:$H$2738,$F565)="","",INDEX(選手一覧!$H$7:$H$2738,$F565))</f>
        <v/>
      </c>
      <c r="J565" s="12" t="str">
        <f aca="false">IF(INDEX(選手一覧!$I$7:$I$2738,$F565)="","",INDEX(選手一覧!$I$7:$I$2738,$F565))</f>
        <v/>
      </c>
    </row>
    <row r="566" customFormat="false" ht="15" hidden="false" customHeight="false" outlineLevel="0" collapsed="false">
      <c r="A566" s="12" t="n">
        <v>562</v>
      </c>
      <c r="B566" s="10" t="s">
        <v>1771</v>
      </c>
      <c r="C566" s="10" t="s">
        <v>1772</v>
      </c>
      <c r="D566" s="11" t="n">
        <v>0.0106869212962963</v>
      </c>
      <c r="E566" s="18" t="n">
        <f aca="false">ROUND((D566-$D$5)*86400,2)</f>
        <v>133.61</v>
      </c>
      <c r="F566" s="12" t="n">
        <v>1220</v>
      </c>
      <c r="G566" s="11" t="str">
        <f aca="false">IF(INDEX(選手一覧!$F$7:$F$2738,$F566)="","",INDEX(選手一覧!$F$7:$F$2738,$F566))</f>
        <v/>
      </c>
      <c r="H566" s="12" t="str">
        <f aca="false">IF(INDEX(選手一覧!$G$7:$G$2738,$F566)="","",INDEX(選手一覧!$G$7:$G$2738,$F566))</f>
        <v/>
      </c>
      <c r="I566" s="11" t="n">
        <f aca="false">IF(INDEX(選手一覧!$H$7:$H$2738,$F566)="","",INDEX(選手一覧!$H$7:$H$2738,$F566))</f>
        <v>0.00291319444444444</v>
      </c>
      <c r="J566" s="12" t="n">
        <f aca="false">IF(INDEX(選手一覧!$I$7:$I$2738,$F566)="","",INDEX(選手一覧!$I$7:$I$2738,$F566))</f>
        <v>1043</v>
      </c>
    </row>
    <row r="567" customFormat="false" ht="15" hidden="false" customHeight="false" outlineLevel="0" collapsed="false">
      <c r="A567" s="12" t="n">
        <v>563</v>
      </c>
      <c r="B567" s="10" t="s">
        <v>1776</v>
      </c>
      <c r="C567" s="10" t="s">
        <v>1777</v>
      </c>
      <c r="D567" s="11" t="n">
        <v>0.0106871527777778</v>
      </c>
      <c r="E567" s="18" t="n">
        <f aca="false">ROUND((D567-$D$5)*86400,2)</f>
        <v>133.63</v>
      </c>
      <c r="F567" s="12" t="n">
        <v>1223</v>
      </c>
      <c r="G567" s="11" t="str">
        <f aca="false">IF(INDEX(選手一覧!$F$7:$F$2738,$F567)="","",INDEX(選手一覧!$F$7:$F$2738,$F567))</f>
        <v/>
      </c>
      <c r="H567" s="12" t="str">
        <f aca="false">IF(INDEX(選手一覧!$G$7:$G$2738,$F567)="","",INDEX(選手一覧!$G$7:$G$2738,$F567))</f>
        <v/>
      </c>
      <c r="I567" s="11" t="str">
        <f aca="false">IF(INDEX(選手一覧!$H$7:$H$2738,$F567)="","",INDEX(選手一覧!$H$7:$H$2738,$F567))</f>
        <v/>
      </c>
      <c r="J567" s="12" t="str">
        <f aca="false">IF(INDEX(選手一覧!$I$7:$I$2738,$F567)="","",INDEX(選手一覧!$I$7:$I$2738,$F567))</f>
        <v/>
      </c>
    </row>
    <row r="568" customFormat="false" ht="15" hidden="false" customHeight="false" outlineLevel="0" collapsed="false">
      <c r="A568" s="12" t="n">
        <v>564</v>
      </c>
      <c r="B568" s="10" t="s">
        <v>1782</v>
      </c>
      <c r="C568" s="10" t="s">
        <v>1783</v>
      </c>
      <c r="D568" s="11" t="n">
        <v>0.0106871527777778</v>
      </c>
      <c r="E568" s="18" t="n">
        <f aca="false">ROUND((D568-$D$5)*86400,2)</f>
        <v>133.63</v>
      </c>
      <c r="F568" s="12" t="n">
        <v>1226</v>
      </c>
      <c r="G568" s="11" t="n">
        <f aca="false">IF(INDEX(選手一覧!$F$7:$F$2738,$F568)="","",INDEX(選手一覧!$F$7:$F$2738,$F568))</f>
        <v>0.00728587962962963</v>
      </c>
      <c r="H568" s="12" t="n">
        <f aca="false">IF(INDEX(選手一覧!$G$7:$G$2738,$F568)="","",INDEX(選手一覧!$G$7:$G$2738,$F568))</f>
        <v>628</v>
      </c>
      <c r="I568" s="11" t="n">
        <f aca="false">IF(INDEX(選手一覧!$H$7:$H$2738,$F568)="","",INDEX(選手一覧!$H$7:$H$2738,$F568))</f>
        <v>0.00288969907407407</v>
      </c>
      <c r="J568" s="12" t="n">
        <f aca="false">IF(INDEX(選手一覧!$I$7:$I$2738,$F568)="","",INDEX(選手一覧!$I$7:$I$2738,$F568))</f>
        <v>862</v>
      </c>
    </row>
    <row r="569" customFormat="false" ht="15" hidden="false" customHeight="false" outlineLevel="0" collapsed="false">
      <c r="A569" s="12" t="n">
        <v>565</v>
      </c>
      <c r="B569" s="10" t="s">
        <v>1236</v>
      </c>
      <c r="C569" s="10" t="s">
        <v>382</v>
      </c>
      <c r="D569" s="11" t="n">
        <v>0.0106880787037037</v>
      </c>
      <c r="E569" s="18" t="n">
        <f aca="false">ROUND((D569-$D$5)*86400,2)</f>
        <v>133.71</v>
      </c>
      <c r="F569" s="12" t="n">
        <v>839</v>
      </c>
      <c r="G569" s="11" t="n">
        <f aca="false">IF(INDEX(選手一覧!$F$7:$F$2738,$F569)="","",INDEX(選手一覧!$F$7:$F$2738,$F569))</f>
        <v>0.00703842592592593</v>
      </c>
      <c r="H569" s="12" t="n">
        <f aca="false">IF(INDEX(選手一覧!$G$7:$G$2738,$F569)="","",INDEX(選手一覧!$G$7:$G$2738,$F569))</f>
        <v>371</v>
      </c>
      <c r="I569" s="11" t="n">
        <f aca="false">IF(INDEX(選手一覧!$H$7:$H$2738,$F569)="","",INDEX(選手一覧!$H$7:$H$2738,$F569))</f>
        <v>0.00291388888888889</v>
      </c>
      <c r="J569" s="12" t="n">
        <f aca="false">IF(INDEX(選手一覧!$I$7:$I$2738,$F569)="","",INDEX(選手一覧!$I$7:$I$2738,$F569))</f>
        <v>1050</v>
      </c>
    </row>
    <row r="570" customFormat="false" ht="15" hidden="false" customHeight="false" outlineLevel="0" collapsed="false">
      <c r="A570" s="12" t="n">
        <v>566</v>
      </c>
      <c r="B570" s="10" t="s">
        <v>1307</v>
      </c>
      <c r="C570" s="10" t="s">
        <v>43</v>
      </c>
      <c r="D570" s="11" t="n">
        <v>0.0106886574074074</v>
      </c>
      <c r="E570" s="18" t="n">
        <f aca="false">ROUND((D570-$D$5)*86400,2)</f>
        <v>133.76</v>
      </c>
      <c r="F570" s="12" t="n">
        <v>889</v>
      </c>
      <c r="G570" s="11" t="n">
        <f aca="false">IF(INDEX(選手一覧!$F$7:$F$2738,$F570)="","",INDEX(選手一覧!$F$7:$F$2738,$F570))</f>
        <v>0.00705543981481482</v>
      </c>
      <c r="H570" s="12" t="n">
        <f aca="false">IF(INDEX(選手一覧!$G$7:$G$2738,$F570)="","",INDEX(選手一覧!$G$7:$G$2738,$F570))</f>
        <v>396</v>
      </c>
      <c r="I570" s="11" t="str">
        <f aca="false">IF(INDEX(選手一覧!$H$7:$H$2738,$F570)="","",INDEX(選手一覧!$H$7:$H$2738,$F570))</f>
        <v/>
      </c>
      <c r="J570" s="12" t="str">
        <f aca="false">IF(INDEX(選手一覧!$I$7:$I$2738,$F570)="","",INDEX(選手一覧!$I$7:$I$2738,$F570))</f>
        <v/>
      </c>
    </row>
    <row r="571" customFormat="false" ht="15" hidden="false" customHeight="false" outlineLevel="0" collapsed="false">
      <c r="A571" s="12" t="n">
        <v>567</v>
      </c>
      <c r="B571" s="10" t="s">
        <v>1793</v>
      </c>
      <c r="C571" s="10" t="s">
        <v>1137</v>
      </c>
      <c r="D571" s="11" t="n">
        <v>0.0106908564814815</v>
      </c>
      <c r="E571" s="18" t="n">
        <f aca="false">ROUND((D571-$D$5)*86400,2)</f>
        <v>133.95</v>
      </c>
      <c r="F571" s="12" t="n">
        <v>1234</v>
      </c>
      <c r="G571" s="11" t="str">
        <f aca="false">IF(INDEX(選手一覧!$F$7:$F$2738,$F571)="","",INDEX(選手一覧!$F$7:$F$2738,$F571))</f>
        <v/>
      </c>
      <c r="H571" s="12" t="str">
        <f aca="false">IF(INDEX(選手一覧!$G$7:$G$2738,$F571)="","",INDEX(選手一覧!$G$7:$G$2738,$F571))</f>
        <v/>
      </c>
      <c r="I571" s="11" t="str">
        <f aca="false">IF(INDEX(選手一覧!$H$7:$H$2738,$F571)="","",INDEX(選手一覧!$H$7:$H$2738,$F571))</f>
        <v/>
      </c>
      <c r="J571" s="12" t="str">
        <f aca="false">IF(INDEX(選手一覧!$I$7:$I$2738,$F571)="","",INDEX(選手一覧!$I$7:$I$2738,$F571))</f>
        <v/>
      </c>
    </row>
    <row r="572" customFormat="false" ht="15" hidden="false" customHeight="false" outlineLevel="0" collapsed="false">
      <c r="A572" s="12" t="n">
        <v>568</v>
      </c>
      <c r="B572" s="10" t="s">
        <v>1795</v>
      </c>
      <c r="C572" s="10" t="s">
        <v>621</v>
      </c>
      <c r="D572" s="11" t="n">
        <v>0.01069375</v>
      </c>
      <c r="E572" s="18" t="n">
        <f aca="false">ROUND((D572-$D$5)*86400,2)</f>
        <v>134.2</v>
      </c>
      <c r="F572" s="12" t="n">
        <v>1236</v>
      </c>
      <c r="G572" s="11" t="str">
        <f aca="false">IF(INDEX(選手一覧!$F$7:$F$2738,$F572)="","",INDEX(選手一覧!$F$7:$F$2738,$F572))</f>
        <v/>
      </c>
      <c r="H572" s="12" t="str">
        <f aca="false">IF(INDEX(選手一覧!$G$7:$G$2738,$F572)="","",INDEX(選手一覧!$G$7:$G$2738,$F572))</f>
        <v/>
      </c>
      <c r="I572" s="11" t="n">
        <f aca="false">IF(INDEX(選手一覧!$H$7:$H$2738,$F572)="","",INDEX(選手一覧!$H$7:$H$2738,$F572))</f>
        <v>0.00289143518518519</v>
      </c>
      <c r="J572" s="12" t="n">
        <f aca="false">IF(INDEX(選手一覧!$I$7:$I$2738,$F572)="","",INDEX(選手一覧!$I$7:$I$2738,$F572))</f>
        <v>883</v>
      </c>
    </row>
    <row r="573" customFormat="false" ht="15" hidden="false" customHeight="false" outlineLevel="0" collapsed="false">
      <c r="A573" s="12" t="n">
        <v>569</v>
      </c>
      <c r="B573" s="10" t="s">
        <v>1797</v>
      </c>
      <c r="C573" s="10" t="s">
        <v>605</v>
      </c>
      <c r="D573" s="11" t="n">
        <v>0.0106940972222222</v>
      </c>
      <c r="E573" s="18" t="n">
        <f aca="false">ROUND((D573-$D$5)*86400,2)</f>
        <v>134.23</v>
      </c>
      <c r="F573" s="12" t="n">
        <v>1238</v>
      </c>
      <c r="G573" s="11" t="str">
        <f aca="false">IF(INDEX(選手一覧!$F$7:$F$2738,$F573)="","",INDEX(選手一覧!$F$7:$F$2738,$F573))</f>
        <v/>
      </c>
      <c r="H573" s="12" t="str">
        <f aca="false">IF(INDEX(選手一覧!$G$7:$G$2738,$F573)="","",INDEX(選手一覧!$G$7:$G$2738,$F573))</f>
        <v/>
      </c>
      <c r="I573" s="11" t="str">
        <f aca="false">IF(INDEX(選手一覧!$H$7:$H$2738,$F573)="","",INDEX(選手一覧!$H$7:$H$2738,$F573))</f>
        <v/>
      </c>
      <c r="J573" s="12" t="str">
        <f aca="false">IF(INDEX(選手一覧!$I$7:$I$2738,$F573)="","",INDEX(選手一覧!$I$7:$I$2738,$F573))</f>
        <v/>
      </c>
    </row>
    <row r="574" customFormat="false" ht="15" hidden="false" customHeight="false" outlineLevel="0" collapsed="false">
      <c r="A574" s="12" t="n">
        <v>570</v>
      </c>
      <c r="B574" s="10" t="s">
        <v>1117</v>
      </c>
      <c r="C574" s="10" t="s">
        <v>680</v>
      </c>
      <c r="D574" s="11" t="n">
        <v>0.0106944444444444</v>
      </c>
      <c r="E574" s="18" t="n">
        <f aca="false">ROUND((D574-$D$5)*86400,2)</f>
        <v>134.26</v>
      </c>
      <c r="F574" s="12" t="n">
        <v>754</v>
      </c>
      <c r="G574" s="11" t="str">
        <f aca="false">IF(INDEX(選手一覧!$F$7:$F$2738,$F574)="","",INDEX(選手一覧!$F$7:$F$2738,$F574))</f>
        <v/>
      </c>
      <c r="H574" s="12" t="str">
        <f aca="false">IF(INDEX(選手一覧!$G$7:$G$2738,$F574)="","",INDEX(選手一覧!$G$7:$G$2738,$F574))</f>
        <v/>
      </c>
      <c r="I574" s="11" t="n">
        <f aca="false">IF(INDEX(選手一覧!$H$7:$H$2738,$F574)="","",INDEX(選手一覧!$H$7:$H$2738,$F574))</f>
        <v>0.00281087962962963</v>
      </c>
      <c r="J574" s="12" t="n">
        <f aca="false">IF(INDEX(選手一覧!$I$7:$I$2738,$F574)="","",INDEX(選手一覧!$I$7:$I$2738,$F574))</f>
        <v>327</v>
      </c>
    </row>
    <row r="575" customFormat="false" ht="15" hidden="false" customHeight="false" outlineLevel="0" collapsed="false">
      <c r="A575" s="12" t="n">
        <v>571</v>
      </c>
      <c r="B575" s="10" t="s">
        <v>1802</v>
      </c>
      <c r="C575" s="10" t="s">
        <v>460</v>
      </c>
      <c r="D575" s="11" t="n">
        <v>0.0106947916666667</v>
      </c>
      <c r="E575" s="18" t="n">
        <f aca="false">ROUND((D575-$D$5)*86400,2)</f>
        <v>134.29</v>
      </c>
      <c r="F575" s="12" t="n">
        <v>1241</v>
      </c>
      <c r="G575" s="11" t="str">
        <f aca="false">IF(INDEX(選手一覧!$F$7:$F$2738,$F575)="","",INDEX(選手一覧!$F$7:$F$2738,$F575))</f>
        <v/>
      </c>
      <c r="H575" s="12" t="str">
        <f aca="false">IF(INDEX(選手一覧!$G$7:$G$2738,$F575)="","",INDEX(選手一覧!$G$7:$G$2738,$F575))</f>
        <v/>
      </c>
      <c r="I575" s="11" t="str">
        <f aca="false">IF(INDEX(選手一覧!$H$7:$H$2738,$F575)="","",INDEX(選手一覧!$H$7:$H$2738,$F575))</f>
        <v/>
      </c>
      <c r="J575" s="12" t="str">
        <f aca="false">IF(INDEX(選手一覧!$I$7:$I$2738,$F575)="","",INDEX(選手一覧!$I$7:$I$2738,$F575))</f>
        <v/>
      </c>
    </row>
    <row r="576" customFormat="false" ht="15" hidden="false" customHeight="false" outlineLevel="0" collapsed="false">
      <c r="A576" s="12" t="n">
        <v>572</v>
      </c>
      <c r="B576" s="10" t="s">
        <v>727</v>
      </c>
      <c r="C576" s="10" t="s">
        <v>120</v>
      </c>
      <c r="D576" s="11" t="n">
        <v>0.0106954861111111</v>
      </c>
      <c r="E576" s="18" t="n">
        <f aca="false">ROUND((D576-$D$5)*86400,2)</f>
        <v>134.35</v>
      </c>
      <c r="F576" s="12" t="n">
        <v>468</v>
      </c>
      <c r="G576" s="11" t="n">
        <f aca="false">IF(INDEX(選手一覧!$F$7:$F$2738,$F576)="","",INDEX(選手一覧!$F$7:$F$2738,$F576))</f>
        <v>0.00684027777777778</v>
      </c>
      <c r="H576" s="12" t="n">
        <f aca="false">IF(INDEX(選手一覧!$G$7:$G$2738,$F576)="","",INDEX(選手一覧!$G$7:$G$2738,$F576))</f>
        <v>197</v>
      </c>
      <c r="I576" s="11" t="str">
        <f aca="false">IF(INDEX(選手一覧!$H$7:$H$2738,$F576)="","",INDEX(選手一覧!$H$7:$H$2738,$F576))</f>
        <v/>
      </c>
      <c r="J576" s="12" t="str">
        <f aca="false">IF(INDEX(選手一覧!$I$7:$I$2738,$F576)="","",INDEX(選手一覧!$I$7:$I$2738,$F576))</f>
        <v/>
      </c>
    </row>
    <row r="577" customFormat="false" ht="15" hidden="false" customHeight="false" outlineLevel="0" collapsed="false">
      <c r="A577" s="12" t="n">
        <v>573</v>
      </c>
      <c r="B577" s="10" t="s">
        <v>90</v>
      </c>
      <c r="C577" s="10" t="s">
        <v>91</v>
      </c>
      <c r="D577" s="11" t="n">
        <v>0.0106957175925926</v>
      </c>
      <c r="E577" s="18" t="n">
        <f aca="false">ROUND((D577-$D$5)*86400,2)</f>
        <v>134.37</v>
      </c>
      <c r="F577" s="12" t="n">
        <v>39</v>
      </c>
      <c r="G577" s="11" t="n">
        <f aca="false">IF(INDEX(選手一覧!$F$7:$F$2738,$F577)="","",INDEX(選手一覧!$F$7:$F$2738,$F577))</f>
        <v>0.0064099537037037</v>
      </c>
      <c r="H577" s="12" t="n">
        <f aca="false">IF(INDEX(選手一覧!$G$7:$G$2738,$F577)="","",INDEX(選手一覧!$G$7:$G$2738,$F577))</f>
        <v>16</v>
      </c>
      <c r="I577" s="11" t="n">
        <f aca="false">IF(INDEX(選手一覧!$H$7:$H$2738,$F577)="","",INDEX(選手一覧!$H$7:$H$2738,$F577))</f>
        <v>0.00277777777777778</v>
      </c>
      <c r="J577" s="12" t="n">
        <f aca="false">IF(INDEX(選手一覧!$I$7:$I$2738,$F577)="","",INDEX(選手一覧!$I$7:$I$2738,$F577))</f>
        <v>189</v>
      </c>
    </row>
    <row r="578" customFormat="false" ht="15" hidden="false" customHeight="false" outlineLevel="0" collapsed="false">
      <c r="A578" s="12" t="n">
        <v>574</v>
      </c>
      <c r="B578" s="10" t="s">
        <v>518</v>
      </c>
      <c r="C578" s="10" t="s">
        <v>519</v>
      </c>
      <c r="D578" s="11" t="n">
        <v>0.0106959490740741</v>
      </c>
      <c r="E578" s="18" t="n">
        <f aca="false">ROUND((D578-$D$5)*86400,2)</f>
        <v>134.39</v>
      </c>
      <c r="F578" s="12" t="n">
        <v>322</v>
      </c>
      <c r="G578" s="11" t="n">
        <f aca="false">IF(INDEX(選手一覧!$F$7:$F$2738,$F578)="","",INDEX(選手一覧!$F$7:$F$2738,$F578))</f>
        <v>0.00675868055555556</v>
      </c>
      <c r="H578" s="12" t="n">
        <f aca="false">IF(INDEX(選手一覧!$G$7:$G$2738,$F578)="","",INDEX(選手一覧!$G$7:$G$2738,$F578))</f>
        <v>134</v>
      </c>
      <c r="I578" s="11" t="n">
        <f aca="false">IF(INDEX(選手一覧!$H$7:$H$2738,$F578)="","",INDEX(選手一覧!$H$7:$H$2738,$F578))</f>
        <v>0.00285069444444445</v>
      </c>
      <c r="J578" s="12" t="n">
        <f aca="false">IF(INDEX(選手一覧!$I$7:$I$2738,$F578)="","",INDEX(選手一覧!$I$7:$I$2738,$F578))</f>
        <v>574</v>
      </c>
    </row>
    <row r="579" customFormat="false" ht="15" hidden="false" customHeight="false" outlineLevel="0" collapsed="false">
      <c r="A579" s="12" t="n">
        <v>575</v>
      </c>
      <c r="B579" s="10" t="s">
        <v>875</v>
      </c>
      <c r="C579" s="10" t="s">
        <v>49</v>
      </c>
      <c r="D579" s="11" t="n">
        <v>0.0106959490740741</v>
      </c>
      <c r="E579" s="18" t="n">
        <f aca="false">ROUND((D579-$D$5)*86400,2)</f>
        <v>134.39</v>
      </c>
      <c r="F579" s="12" t="n">
        <v>573</v>
      </c>
      <c r="G579" s="11" t="n">
        <f aca="false">IF(INDEX(選手一覧!$F$7:$F$2738,$F579)="","",INDEX(選手一覧!$F$7:$F$2738,$F579))</f>
        <v>0.00690034722222222</v>
      </c>
      <c r="H579" s="12" t="n">
        <f aca="false">IF(INDEX(選手一覧!$G$7:$G$2738,$F579)="","",INDEX(選手一覧!$G$7:$G$2738,$F579))</f>
        <v>241</v>
      </c>
      <c r="I579" s="11" t="str">
        <f aca="false">IF(INDEX(選手一覧!$H$7:$H$2738,$F579)="","",INDEX(選手一覧!$H$7:$H$2738,$F579))</f>
        <v/>
      </c>
      <c r="J579" s="12" t="str">
        <f aca="false">IF(INDEX(選手一覧!$I$7:$I$2738,$F579)="","",INDEX(選手一覧!$I$7:$I$2738,$F579))</f>
        <v/>
      </c>
    </row>
    <row r="580" customFormat="false" ht="15" hidden="false" customHeight="false" outlineLevel="0" collapsed="false">
      <c r="A580" s="12" t="n">
        <v>576</v>
      </c>
      <c r="B580" s="10" t="s">
        <v>1815</v>
      </c>
      <c r="C580" s="10" t="s">
        <v>616</v>
      </c>
      <c r="D580" s="11" t="n">
        <v>0.0106959490740741</v>
      </c>
      <c r="E580" s="18" t="n">
        <f aca="false">ROUND((D580-$D$5)*86400,2)</f>
        <v>134.39</v>
      </c>
      <c r="F580" s="12" t="n">
        <v>1250</v>
      </c>
      <c r="G580" s="11" t="str">
        <f aca="false">IF(INDEX(選手一覧!$F$7:$F$2738,$F580)="","",INDEX(選手一覧!$F$7:$F$2738,$F580))</f>
        <v/>
      </c>
      <c r="H580" s="12" t="str">
        <f aca="false">IF(INDEX(選手一覧!$G$7:$G$2738,$F580)="","",INDEX(選手一覧!$G$7:$G$2738,$F580))</f>
        <v/>
      </c>
      <c r="I580" s="11" t="str">
        <f aca="false">IF(INDEX(選手一覧!$H$7:$H$2738,$F580)="","",INDEX(選手一覧!$H$7:$H$2738,$F580))</f>
        <v/>
      </c>
      <c r="J580" s="12" t="str">
        <f aca="false">IF(INDEX(選手一覧!$I$7:$I$2738,$F580)="","",INDEX(選手一覧!$I$7:$I$2738,$F580))</f>
        <v/>
      </c>
    </row>
    <row r="581" customFormat="false" ht="15" hidden="false" customHeight="false" outlineLevel="0" collapsed="false">
      <c r="A581" s="12" t="n">
        <v>577</v>
      </c>
      <c r="B581" s="10" t="s">
        <v>1816</v>
      </c>
      <c r="C581" s="10" t="s">
        <v>302</v>
      </c>
      <c r="D581" s="11" t="n">
        <v>0.0106961805555556</v>
      </c>
      <c r="E581" s="18" t="n">
        <f aca="false">ROUND((D581-$D$5)*86400,2)</f>
        <v>134.41</v>
      </c>
      <c r="F581" s="12" t="n">
        <v>1251</v>
      </c>
      <c r="G581" s="11" t="str">
        <f aca="false">IF(INDEX(選手一覧!$F$7:$F$2738,$F581)="","",INDEX(選手一覧!$F$7:$F$2738,$F581))</f>
        <v/>
      </c>
      <c r="H581" s="12" t="str">
        <f aca="false">IF(INDEX(選手一覧!$G$7:$G$2738,$F581)="","",INDEX(選手一覧!$G$7:$G$2738,$F581))</f>
        <v/>
      </c>
      <c r="I581" s="11" t="n">
        <f aca="false">IF(INDEX(選手一覧!$H$7:$H$2738,$F581)="","",INDEX(選手一覧!$H$7:$H$2738,$F581))</f>
        <v>0.00287222222222222</v>
      </c>
      <c r="J581" s="12" t="n">
        <f aca="false">IF(INDEX(選手一覧!$I$7:$I$2738,$F581)="","",INDEX(選手一覧!$I$7:$I$2738,$F581))</f>
        <v>717</v>
      </c>
    </row>
    <row r="582" customFormat="false" ht="15" hidden="false" customHeight="false" outlineLevel="0" collapsed="false">
      <c r="A582" s="12" t="n">
        <v>578</v>
      </c>
      <c r="B582" s="10" t="s">
        <v>253</v>
      </c>
      <c r="C582" s="10" t="s">
        <v>254</v>
      </c>
      <c r="D582" s="11" t="n">
        <v>0.0106987268518519</v>
      </c>
      <c r="E582" s="18" t="n">
        <f aca="false">ROUND((D582-$D$5)*86400,2)</f>
        <v>134.63</v>
      </c>
      <c r="F582" s="12" t="n">
        <v>138</v>
      </c>
      <c r="G582" s="11" t="str">
        <f aca="false">IF(INDEX(選手一覧!$F$7:$F$2738,$F582)="","",INDEX(選手一覧!$F$7:$F$2738,$F582))</f>
        <v/>
      </c>
      <c r="H582" s="12" t="str">
        <f aca="false">IF(INDEX(選手一覧!$G$7:$G$2738,$F582)="","",INDEX(選手一覧!$G$7:$G$2738,$F582))</f>
        <v/>
      </c>
      <c r="I582" s="11" t="n">
        <f aca="false">IF(INDEX(選手一覧!$H$7:$H$2738,$F582)="","",INDEX(選手一覧!$H$7:$H$2738,$F582))</f>
        <v>0.00272337962962963</v>
      </c>
      <c r="J582" s="12" t="n">
        <f aca="false">IF(INDEX(選手一覧!$I$7:$I$2738,$F582)="","",INDEX(選手一覧!$I$7:$I$2738,$F582))</f>
        <v>54</v>
      </c>
    </row>
    <row r="583" customFormat="false" ht="15" hidden="false" customHeight="false" outlineLevel="0" collapsed="false">
      <c r="A583" s="12" t="n">
        <v>579</v>
      </c>
      <c r="B583" s="10" t="s">
        <v>662</v>
      </c>
      <c r="C583" s="10" t="s">
        <v>91</v>
      </c>
      <c r="D583" s="11" t="n">
        <v>0.0106987268518519</v>
      </c>
      <c r="E583" s="18" t="n">
        <f aca="false">ROUND((D583-$D$5)*86400,2)</f>
        <v>134.63</v>
      </c>
      <c r="F583" s="12" t="n">
        <v>421</v>
      </c>
      <c r="G583" s="11" t="n">
        <f aca="false">IF(INDEX(選手一覧!$F$7:$F$2738,$F583)="","",INDEX(選手一覧!$F$7:$F$2738,$F583))</f>
        <v>0.00680717592592593</v>
      </c>
      <c r="H583" s="12" t="n">
        <f aca="false">IF(INDEX(選手一覧!$G$7:$G$2738,$F583)="","",INDEX(選手一覧!$G$7:$G$2738,$F583))</f>
        <v>178</v>
      </c>
      <c r="I583" s="11" t="n">
        <f aca="false">IF(INDEX(選手一覧!$H$7:$H$2738,$F583)="","",INDEX(選手一覧!$H$7:$H$2738,$F583))</f>
        <v>0.00288356481481481</v>
      </c>
      <c r="J583" s="12" t="n">
        <f aca="false">IF(INDEX(選手一覧!$I$7:$I$2738,$F583)="","",INDEX(選手一覧!$I$7:$I$2738,$F583))</f>
        <v>803</v>
      </c>
    </row>
    <row r="584" customFormat="false" ht="15" hidden="false" customHeight="false" outlineLevel="0" collapsed="false">
      <c r="A584" s="12" t="n">
        <v>580</v>
      </c>
      <c r="B584" s="10" t="s">
        <v>1823</v>
      </c>
      <c r="C584" s="10" t="s">
        <v>114</v>
      </c>
      <c r="D584" s="11" t="n">
        <v>0.0106989583333333</v>
      </c>
      <c r="E584" s="18" t="n">
        <f aca="false">ROUND((D584-$D$5)*86400,2)</f>
        <v>134.65</v>
      </c>
      <c r="F584" s="12" t="n">
        <v>1256</v>
      </c>
      <c r="G584" s="11" t="str">
        <f aca="false">IF(INDEX(選手一覧!$F$7:$F$2738,$F584)="","",INDEX(選手一覧!$F$7:$F$2738,$F584))</f>
        <v/>
      </c>
      <c r="H584" s="12" t="str">
        <f aca="false">IF(INDEX(選手一覧!$G$7:$G$2738,$F584)="","",INDEX(選手一覧!$G$7:$G$2738,$F584))</f>
        <v/>
      </c>
      <c r="I584" s="11" t="str">
        <f aca="false">IF(INDEX(選手一覧!$H$7:$H$2738,$F584)="","",INDEX(選手一覧!$H$7:$H$2738,$F584))</f>
        <v/>
      </c>
      <c r="J584" s="12" t="str">
        <f aca="false">IF(INDEX(選手一覧!$I$7:$I$2738,$F584)="","",INDEX(選手一覧!$I$7:$I$2738,$F584))</f>
        <v/>
      </c>
    </row>
    <row r="585" customFormat="false" ht="15" hidden="false" customHeight="false" outlineLevel="0" collapsed="false">
      <c r="A585" s="12" t="n">
        <v>581</v>
      </c>
      <c r="B585" s="10" t="s">
        <v>269</v>
      </c>
      <c r="C585" s="10" t="s">
        <v>270</v>
      </c>
      <c r="D585" s="11" t="n">
        <v>0.0106994212962963</v>
      </c>
      <c r="E585" s="18" t="n">
        <f aca="false">ROUND((D585-$D$5)*86400,2)</f>
        <v>134.69</v>
      </c>
      <c r="F585" s="12" t="n">
        <v>148</v>
      </c>
      <c r="G585" s="11" t="str">
        <f aca="false">IF(INDEX(選手一覧!$F$7:$F$2738,$F585)="","",INDEX(選手一覧!$F$7:$F$2738,$F585))</f>
        <v/>
      </c>
      <c r="H585" s="12" t="str">
        <f aca="false">IF(INDEX(選手一覧!$G$7:$G$2738,$F585)="","",INDEX(選手一覧!$G$7:$G$2738,$F585))</f>
        <v/>
      </c>
      <c r="I585" s="11" t="n">
        <f aca="false">IF(INDEX(選手一覧!$H$7:$H$2738,$F585)="","",INDEX(選手一覧!$H$7:$H$2738,$F585))</f>
        <v>0.00272546296296296</v>
      </c>
      <c r="J585" s="12" t="n">
        <f aca="false">IF(INDEX(選手一覧!$I$7:$I$2738,$F585)="","",INDEX(選手一覧!$I$7:$I$2738,$F585))</f>
        <v>59</v>
      </c>
    </row>
    <row r="586" customFormat="false" ht="15" hidden="false" customHeight="false" outlineLevel="0" collapsed="false">
      <c r="A586" s="12" t="n">
        <v>582</v>
      </c>
      <c r="B586" s="10" t="s">
        <v>1829</v>
      </c>
      <c r="C586" s="10" t="s">
        <v>1830</v>
      </c>
      <c r="D586" s="11" t="n">
        <v>0.010699537037037</v>
      </c>
      <c r="E586" s="18" t="n">
        <f aca="false">ROUND((D586-$D$5)*86400,2)</f>
        <v>134.7</v>
      </c>
      <c r="F586" s="12" t="n">
        <v>1260</v>
      </c>
      <c r="G586" s="11" t="str">
        <f aca="false">IF(INDEX(選手一覧!$F$7:$F$2738,$F586)="","",INDEX(選手一覧!$F$7:$F$2738,$F586))</f>
        <v/>
      </c>
      <c r="H586" s="12" t="str">
        <f aca="false">IF(INDEX(選手一覧!$G$7:$G$2738,$F586)="","",INDEX(選手一覧!$G$7:$G$2738,$F586))</f>
        <v/>
      </c>
      <c r="I586" s="11" t="str">
        <f aca="false">IF(INDEX(選手一覧!$H$7:$H$2738,$F586)="","",INDEX(選手一覧!$H$7:$H$2738,$F586))</f>
        <v/>
      </c>
      <c r="J586" s="12" t="str">
        <f aca="false">IF(INDEX(選手一覧!$I$7:$I$2738,$F586)="","",INDEX(選手一覧!$I$7:$I$2738,$F586))</f>
        <v/>
      </c>
    </row>
    <row r="587" customFormat="false" ht="15" hidden="false" customHeight="false" outlineLevel="0" collapsed="false">
      <c r="A587" s="12" t="n">
        <v>583</v>
      </c>
      <c r="B587" s="10" t="s">
        <v>1832</v>
      </c>
      <c r="C587" s="10" t="s">
        <v>425</v>
      </c>
      <c r="D587" s="11" t="n">
        <v>0.0107001157407407</v>
      </c>
      <c r="E587" s="18" t="n">
        <f aca="false">ROUND((D587-$D$5)*86400,2)</f>
        <v>134.75</v>
      </c>
      <c r="F587" s="12" t="n">
        <v>1262</v>
      </c>
      <c r="G587" s="11" t="str">
        <f aca="false">IF(INDEX(選手一覧!$F$7:$F$2738,$F587)="","",INDEX(選手一覧!$F$7:$F$2738,$F587))</f>
        <v/>
      </c>
      <c r="H587" s="12" t="str">
        <f aca="false">IF(INDEX(選手一覧!$G$7:$G$2738,$F587)="","",INDEX(選手一覧!$G$7:$G$2738,$F587))</f>
        <v/>
      </c>
      <c r="I587" s="11" t="str">
        <f aca="false">IF(INDEX(選手一覧!$H$7:$H$2738,$F587)="","",INDEX(選手一覧!$H$7:$H$2738,$F587))</f>
        <v/>
      </c>
      <c r="J587" s="12" t="str">
        <f aca="false">IF(INDEX(選手一覧!$I$7:$I$2738,$F587)="","",INDEX(選手一覧!$I$7:$I$2738,$F587))</f>
        <v/>
      </c>
    </row>
    <row r="588" customFormat="false" ht="15" hidden="false" customHeight="false" outlineLevel="0" collapsed="false">
      <c r="A588" s="12" t="n">
        <v>584</v>
      </c>
      <c r="B588" s="10" t="s">
        <v>1835</v>
      </c>
      <c r="C588" s="10" t="s">
        <v>36</v>
      </c>
      <c r="D588" s="11" t="n">
        <v>0.0107001157407407</v>
      </c>
      <c r="E588" s="18" t="n">
        <f aca="false">ROUND((D588-$D$5)*86400,2)</f>
        <v>134.75</v>
      </c>
      <c r="F588" s="12" t="n">
        <v>1264</v>
      </c>
      <c r="G588" s="11" t="str">
        <f aca="false">IF(INDEX(選手一覧!$F$7:$F$2738,$F588)="","",INDEX(選手一覧!$F$7:$F$2738,$F588))</f>
        <v/>
      </c>
      <c r="H588" s="12" t="str">
        <f aca="false">IF(INDEX(選手一覧!$G$7:$G$2738,$F588)="","",INDEX(選手一覧!$G$7:$G$2738,$F588))</f>
        <v/>
      </c>
      <c r="I588" s="11" t="n">
        <f aca="false">IF(INDEX(選手一覧!$H$7:$H$2738,$F588)="","",INDEX(選手一覧!$H$7:$H$2738,$F588))</f>
        <v>0.00289814814814815</v>
      </c>
      <c r="J588" s="12" t="n">
        <f aca="false">IF(INDEX(選手一覧!$I$7:$I$2738,$F588)="","",INDEX(選手一覧!$I$7:$I$2738,$F588))</f>
        <v>934</v>
      </c>
    </row>
    <row r="589" customFormat="false" ht="15" hidden="false" customHeight="false" outlineLevel="0" collapsed="false">
      <c r="A589" s="12" t="n">
        <v>585</v>
      </c>
      <c r="B589" s="10" t="s">
        <v>1525</v>
      </c>
      <c r="C589" s="10" t="s">
        <v>443</v>
      </c>
      <c r="D589" s="11" t="n">
        <v>0.0107009259259259</v>
      </c>
      <c r="E589" s="18" t="n">
        <f aca="false">ROUND((D589-$D$5)*86400,2)</f>
        <v>134.82</v>
      </c>
      <c r="F589" s="12" t="n">
        <v>1047</v>
      </c>
      <c r="G589" s="11" t="str">
        <f aca="false">IF(INDEX(選手一覧!$F$7:$F$2738,$F589)="","",INDEX(選手一覧!$F$7:$F$2738,$F589))</f>
        <v/>
      </c>
      <c r="H589" s="12" t="str">
        <f aca="false">IF(INDEX(選手一覧!$G$7:$G$2738,$F589)="","",INDEX(選手一覧!$G$7:$G$2738,$F589))</f>
        <v/>
      </c>
      <c r="I589" s="11" t="n">
        <f aca="false">IF(INDEX(選手一覧!$H$7:$H$2738,$F589)="","",INDEX(選手一覧!$H$7:$H$2738,$F589))</f>
        <v>0.00283611111111111</v>
      </c>
      <c r="J589" s="12" t="n">
        <f aca="false">IF(INDEX(選手一覧!$I$7:$I$2738,$F589)="","",INDEX(選手一覧!$I$7:$I$2738,$F589))</f>
        <v>471</v>
      </c>
    </row>
    <row r="590" customFormat="false" ht="15" hidden="false" customHeight="false" outlineLevel="0" collapsed="false">
      <c r="A590" s="12" t="n">
        <v>586</v>
      </c>
      <c r="B590" s="10" t="s">
        <v>1845</v>
      </c>
      <c r="C590" s="10" t="s">
        <v>166</v>
      </c>
      <c r="D590" s="11" t="n">
        <v>0.0107012731481482</v>
      </c>
      <c r="E590" s="18" t="n">
        <f aca="false">ROUND((D590-$D$5)*86400,2)</f>
        <v>134.85</v>
      </c>
      <c r="F590" s="12" t="n">
        <v>1270</v>
      </c>
      <c r="G590" s="11" t="str">
        <f aca="false">IF(INDEX(選手一覧!$F$7:$F$2738,$F590)="","",INDEX(選手一覧!$F$7:$F$2738,$F590))</f>
        <v/>
      </c>
      <c r="H590" s="12" t="str">
        <f aca="false">IF(INDEX(選手一覧!$G$7:$G$2738,$F590)="","",INDEX(選手一覧!$G$7:$G$2738,$F590))</f>
        <v/>
      </c>
      <c r="I590" s="11" t="str">
        <f aca="false">IF(INDEX(選手一覧!$H$7:$H$2738,$F590)="","",INDEX(選手一覧!$H$7:$H$2738,$F590))</f>
        <v/>
      </c>
      <c r="J590" s="12" t="str">
        <f aca="false">IF(INDEX(選手一覧!$I$7:$I$2738,$F590)="","",INDEX(選手一覧!$I$7:$I$2738,$F590))</f>
        <v/>
      </c>
    </row>
    <row r="591" customFormat="false" ht="15" hidden="false" customHeight="false" outlineLevel="0" collapsed="false">
      <c r="A591" s="12" t="n">
        <v>587</v>
      </c>
      <c r="B591" s="10" t="s">
        <v>575</v>
      </c>
      <c r="C591" s="10" t="s">
        <v>95</v>
      </c>
      <c r="D591" s="11" t="n">
        <v>0.0107016203703704</v>
      </c>
      <c r="E591" s="18" t="n">
        <f aca="false">ROUND((D591-$D$5)*86400,2)</f>
        <v>134.88</v>
      </c>
      <c r="F591" s="12" t="n">
        <v>362</v>
      </c>
      <c r="G591" s="11" t="n">
        <f aca="false">IF(INDEX(選手一覧!$F$7:$F$2738,$F591)="","",INDEX(選手一覧!$F$7:$F$2738,$F591))</f>
        <v>0.00677569444444444</v>
      </c>
      <c r="H591" s="12" t="n">
        <f aca="false">IF(INDEX(選手一覧!$G$7:$G$2738,$F591)="","",INDEX(選手一覧!$G$7:$G$2738,$F591))</f>
        <v>152</v>
      </c>
      <c r="I591" s="11" t="n">
        <f aca="false">IF(INDEX(選手一覧!$H$7:$H$2738,$F591)="","",INDEX(選手一覧!$H$7:$H$2738,$F591))</f>
        <v>0.00289988425925926</v>
      </c>
      <c r="J591" s="12" t="n">
        <f aca="false">IF(INDEX(選手一覧!$I$7:$I$2738,$F591)="","",INDEX(選手一覧!$I$7:$I$2738,$F591))</f>
        <v>946</v>
      </c>
    </row>
    <row r="592" customFormat="false" ht="15" hidden="false" customHeight="false" outlineLevel="0" collapsed="false">
      <c r="A592" s="12" t="n">
        <v>588</v>
      </c>
      <c r="B592" s="10" t="s">
        <v>1847</v>
      </c>
      <c r="C592" s="10" t="s">
        <v>91</v>
      </c>
      <c r="D592" s="11" t="n">
        <v>0.0107028935185185</v>
      </c>
      <c r="E592" s="18" t="n">
        <f aca="false">ROUND((D592-$D$5)*86400,2)</f>
        <v>134.99</v>
      </c>
      <c r="F592" s="12" t="n">
        <v>1272</v>
      </c>
      <c r="G592" s="11" t="str">
        <f aca="false">IF(INDEX(選手一覧!$F$7:$F$2738,$F592)="","",INDEX(選手一覧!$F$7:$F$2738,$F592))</f>
        <v/>
      </c>
      <c r="H592" s="12" t="str">
        <f aca="false">IF(INDEX(選手一覧!$G$7:$G$2738,$F592)="","",INDEX(選手一覧!$G$7:$G$2738,$F592))</f>
        <v/>
      </c>
      <c r="I592" s="11" t="str">
        <f aca="false">IF(INDEX(選手一覧!$H$7:$H$2738,$F592)="","",INDEX(選手一覧!$H$7:$H$2738,$F592))</f>
        <v/>
      </c>
      <c r="J592" s="12" t="str">
        <f aca="false">IF(INDEX(選手一覧!$I$7:$I$2738,$F592)="","",INDEX(選手一覧!$I$7:$I$2738,$F592))</f>
        <v/>
      </c>
    </row>
    <row r="593" customFormat="false" ht="15" hidden="false" customHeight="false" outlineLevel="0" collapsed="false">
      <c r="A593" s="12" t="n">
        <v>589</v>
      </c>
      <c r="B593" s="10" t="s">
        <v>444</v>
      </c>
      <c r="C593" s="10" t="s">
        <v>445</v>
      </c>
      <c r="D593" s="11" t="n">
        <v>0.010703587962963</v>
      </c>
      <c r="E593" s="18" t="n">
        <f aca="false">ROUND((D593-$D$5)*86400,2)</f>
        <v>135.05</v>
      </c>
      <c r="F593" s="12" t="n">
        <v>273</v>
      </c>
      <c r="G593" s="11" t="n">
        <f aca="false">IF(INDEX(選手一覧!$F$7:$F$2738,$F593)="","",INDEX(選手一覧!$F$7:$F$2738,$F593))</f>
        <v>0.00671666666666667</v>
      </c>
      <c r="H593" s="12" t="n">
        <f aca="false">IF(INDEX(選手一覧!$G$7:$G$2738,$F593)="","",INDEX(選手一覧!$G$7:$G$2738,$F593))</f>
        <v>113</v>
      </c>
      <c r="I593" s="11" t="str">
        <f aca="false">IF(INDEX(選手一覧!$H$7:$H$2738,$F593)="","",INDEX(選手一覧!$H$7:$H$2738,$F593))</f>
        <v/>
      </c>
      <c r="J593" s="12" t="str">
        <f aca="false">IF(INDEX(選手一覧!$I$7:$I$2738,$F593)="","",INDEX(選手一覧!$I$7:$I$2738,$F593))</f>
        <v/>
      </c>
    </row>
    <row r="594" customFormat="false" ht="15" hidden="false" customHeight="false" outlineLevel="0" collapsed="false">
      <c r="A594" s="12" t="n">
        <v>590</v>
      </c>
      <c r="B594" s="10" t="s">
        <v>573</v>
      </c>
      <c r="C594" s="10" t="s">
        <v>112</v>
      </c>
      <c r="D594" s="11" t="n">
        <v>0.01070625</v>
      </c>
      <c r="E594" s="18" t="n">
        <f aca="false">ROUND((D594-$D$5)*86400,2)</f>
        <v>135.28</v>
      </c>
      <c r="F594" s="12" t="n">
        <v>360</v>
      </c>
      <c r="G594" s="11" t="str">
        <f aca="false">IF(INDEX(選手一覧!$F$7:$F$2738,$F594)="","",INDEX(選手一覧!$F$7:$F$2738,$F594))</f>
        <v/>
      </c>
      <c r="H594" s="12" t="str">
        <f aca="false">IF(INDEX(選手一覧!$G$7:$G$2738,$F594)="","",INDEX(選手一覧!$G$7:$G$2738,$F594))</f>
        <v/>
      </c>
      <c r="I594" s="11" t="n">
        <f aca="false">IF(INDEX(選手一覧!$H$7:$H$2738,$F594)="","",INDEX(選手一覧!$H$7:$H$2738,$F594))</f>
        <v>0.00276585648148148</v>
      </c>
      <c r="J594" s="12" t="n">
        <f aca="false">IF(INDEX(選手一覧!$I$7:$I$2738,$F594)="","",INDEX(選手一覧!$I$7:$I$2738,$F594))</f>
        <v>151</v>
      </c>
    </row>
    <row r="595" customFormat="false" ht="15" hidden="false" customHeight="false" outlineLevel="0" collapsed="false">
      <c r="A595" s="12" t="n">
        <v>591</v>
      </c>
      <c r="B595" s="10" t="s">
        <v>1853</v>
      </c>
      <c r="C595" s="10" t="s">
        <v>185</v>
      </c>
      <c r="D595" s="11" t="n">
        <v>0.01070625</v>
      </c>
      <c r="E595" s="18" t="n">
        <f aca="false">ROUND((D595-$D$5)*86400,2)</f>
        <v>135.28</v>
      </c>
      <c r="F595" s="12" t="n">
        <v>1276</v>
      </c>
      <c r="G595" s="11" t="str">
        <f aca="false">IF(INDEX(選手一覧!$F$7:$F$2738,$F595)="","",INDEX(選手一覧!$F$7:$F$2738,$F595))</f>
        <v/>
      </c>
      <c r="H595" s="12" t="str">
        <f aca="false">IF(INDEX(選手一覧!$G$7:$G$2738,$F595)="","",INDEX(選手一覧!$G$7:$G$2738,$F595))</f>
        <v/>
      </c>
      <c r="I595" s="11" t="str">
        <f aca="false">IF(INDEX(選手一覧!$H$7:$H$2738,$F595)="","",INDEX(選手一覧!$H$7:$H$2738,$F595))</f>
        <v/>
      </c>
      <c r="J595" s="12" t="str">
        <f aca="false">IF(INDEX(選手一覧!$I$7:$I$2738,$F595)="","",INDEX(選手一覧!$I$7:$I$2738,$F595))</f>
        <v/>
      </c>
    </row>
    <row r="596" customFormat="false" ht="15" hidden="false" customHeight="false" outlineLevel="0" collapsed="false">
      <c r="A596" s="12" t="n">
        <v>592</v>
      </c>
      <c r="B596" s="10" t="s">
        <v>1396</v>
      </c>
      <c r="C596" s="10" t="s">
        <v>261</v>
      </c>
      <c r="D596" s="11" t="n">
        <v>0.0107072916666667</v>
      </c>
      <c r="E596" s="18" t="n">
        <f aca="false">ROUND((D596-$D$5)*86400,2)</f>
        <v>135.37</v>
      </c>
      <c r="F596" s="12" t="n">
        <v>951</v>
      </c>
      <c r="G596" s="11" t="n">
        <f aca="false">IF(INDEX(選手一覧!$F$7:$F$2738,$F596)="","",INDEX(選手一覧!$F$7:$F$2738,$F596))</f>
        <v>0.0071912037037037</v>
      </c>
      <c r="H596" s="12" t="n">
        <f aca="false">IF(INDEX(選手一覧!$G$7:$G$2738,$F596)="","",INDEX(選手一覧!$G$7:$G$2738,$F596))</f>
        <v>529</v>
      </c>
      <c r="I596" s="11" t="n">
        <f aca="false">IF(INDEX(選手一覧!$H$7:$H$2738,$F596)="","",INDEX(選手一覧!$H$7:$H$2738,$F596))</f>
        <v>0.00282974537037037</v>
      </c>
      <c r="J596" s="12" t="n">
        <f aca="false">IF(INDEX(選手一覧!$I$7:$I$2738,$F596)="","",INDEX(選手一覧!$I$7:$I$2738,$F596))</f>
        <v>426</v>
      </c>
    </row>
    <row r="597" customFormat="false" ht="15" hidden="false" customHeight="false" outlineLevel="0" collapsed="false">
      <c r="A597" s="12" t="n">
        <v>593</v>
      </c>
      <c r="B597" s="10" t="s">
        <v>718</v>
      </c>
      <c r="C597" s="10" t="s">
        <v>103</v>
      </c>
      <c r="D597" s="11" t="n">
        <v>0.0107074074074074</v>
      </c>
      <c r="E597" s="18" t="n">
        <f aca="false">ROUND((D597-$D$5)*86400,2)</f>
        <v>135.38</v>
      </c>
      <c r="F597" s="12" t="n">
        <v>461</v>
      </c>
      <c r="G597" s="11" t="n">
        <f aca="false">IF(INDEX(選手一覧!$F$7:$F$2738,$F597)="","",INDEX(選手一覧!$F$7:$F$2738,$F597))</f>
        <v>0.00683229166666667</v>
      </c>
      <c r="H597" s="12" t="n">
        <f aca="false">IF(INDEX(選手一覧!$G$7:$G$2738,$F597)="","",INDEX(選手一覧!$G$7:$G$2738,$F597))</f>
        <v>194</v>
      </c>
      <c r="I597" s="11" t="str">
        <f aca="false">IF(INDEX(選手一覧!$H$7:$H$2738,$F597)="","",INDEX(選手一覧!$H$7:$H$2738,$F597))</f>
        <v/>
      </c>
      <c r="J597" s="12" t="str">
        <f aca="false">IF(INDEX(選手一覧!$I$7:$I$2738,$F597)="","",INDEX(選手一覧!$I$7:$I$2738,$F597))</f>
        <v/>
      </c>
    </row>
    <row r="598" customFormat="false" ht="15" hidden="false" customHeight="false" outlineLevel="0" collapsed="false">
      <c r="A598" s="12" t="n">
        <v>594</v>
      </c>
      <c r="B598" s="10" t="s">
        <v>1171</v>
      </c>
      <c r="C598" s="10" t="s">
        <v>79</v>
      </c>
      <c r="D598" s="11" t="n">
        <v>0.0107076388888889</v>
      </c>
      <c r="E598" s="18" t="n">
        <f aca="false">ROUND((D598-$D$5)*86400,2)</f>
        <v>135.4</v>
      </c>
      <c r="F598" s="12" t="n">
        <v>794</v>
      </c>
      <c r="G598" s="11" t="n">
        <f aca="false">IF(INDEX(選手一覧!$F$7:$F$2738,$F598)="","",INDEX(選手一覧!$F$7:$F$2738,$F598))</f>
        <v>0.00700706018518519</v>
      </c>
      <c r="H598" s="12" t="n">
        <f aca="false">IF(INDEX(選手一覧!$G$7:$G$2738,$F598)="","",INDEX(選手一覧!$G$7:$G$2738,$F598))</f>
        <v>345</v>
      </c>
      <c r="I598" s="11" t="n">
        <f aca="false">IF(INDEX(選手一覧!$H$7:$H$2738,$F598)="","",INDEX(選手一覧!$H$7:$H$2738,$F598))</f>
        <v>0.00293472222222222</v>
      </c>
      <c r="J598" s="12" t="n">
        <f aca="false">IF(INDEX(選手一覧!$I$7:$I$2738,$F598)="","",INDEX(選手一覧!$I$7:$I$2738,$F598))</f>
        <v>1185</v>
      </c>
    </row>
    <row r="599" customFormat="false" ht="15" hidden="false" customHeight="false" outlineLevel="0" collapsed="false">
      <c r="A599" s="12" t="n">
        <v>595</v>
      </c>
      <c r="B599" s="10" t="s">
        <v>1814</v>
      </c>
      <c r="C599" s="10" t="s">
        <v>309</v>
      </c>
      <c r="D599" s="11" t="n">
        <v>0.0107081018518519</v>
      </c>
      <c r="E599" s="18" t="n">
        <f aca="false">ROUND((D599-$D$5)*86400,2)</f>
        <v>135.44</v>
      </c>
      <c r="F599" s="12" t="n">
        <v>1249</v>
      </c>
      <c r="G599" s="11" t="str">
        <f aca="false">IF(INDEX(選手一覧!$F$7:$F$2738,$F599)="","",INDEX(選手一覧!$F$7:$F$2738,$F599))</f>
        <v/>
      </c>
      <c r="H599" s="12" t="str">
        <f aca="false">IF(INDEX(選手一覧!$G$7:$G$2738,$F599)="","",INDEX(選手一覧!$G$7:$G$2738,$F599))</f>
        <v/>
      </c>
      <c r="I599" s="11" t="n">
        <f aca="false">IF(INDEX(選手一覧!$H$7:$H$2738,$F599)="","",INDEX(選手一覧!$H$7:$H$2738,$F599))</f>
        <v>0.00285115740740741</v>
      </c>
      <c r="J599" s="12" t="n">
        <f aca="false">IF(INDEX(選手一覧!$I$7:$I$2738,$F599)="","",INDEX(選手一覧!$I$7:$I$2738,$F599))</f>
        <v>576</v>
      </c>
    </row>
    <row r="600" customFormat="false" ht="15" hidden="false" customHeight="false" outlineLevel="0" collapsed="false">
      <c r="A600" s="12" t="n">
        <v>596</v>
      </c>
      <c r="B600" s="10" t="s">
        <v>1867</v>
      </c>
      <c r="C600" s="10" t="s">
        <v>1868</v>
      </c>
      <c r="D600" s="11" t="n">
        <v>0.0107082175925926</v>
      </c>
      <c r="E600" s="18" t="n">
        <f aca="false">ROUND((D600-$D$5)*86400,2)</f>
        <v>135.45</v>
      </c>
      <c r="F600" s="12" t="n">
        <v>1285</v>
      </c>
      <c r="G600" s="11" t="str">
        <f aca="false">IF(INDEX(選手一覧!$F$7:$F$2738,$F600)="","",INDEX(選手一覧!$F$7:$F$2738,$F600))</f>
        <v/>
      </c>
      <c r="H600" s="12" t="str">
        <f aca="false">IF(INDEX(選手一覧!$G$7:$G$2738,$F600)="","",INDEX(選手一覧!$G$7:$G$2738,$F600))</f>
        <v/>
      </c>
      <c r="I600" s="11" t="str">
        <f aca="false">IF(INDEX(選手一覧!$H$7:$H$2738,$F600)="","",INDEX(選手一覧!$H$7:$H$2738,$F600))</f>
        <v/>
      </c>
      <c r="J600" s="12" t="str">
        <f aca="false">IF(INDEX(選手一覧!$I$7:$I$2738,$F600)="","",INDEX(選手一覧!$I$7:$I$2738,$F600))</f>
        <v/>
      </c>
    </row>
    <row r="601" customFormat="false" ht="15" hidden="false" customHeight="false" outlineLevel="0" collapsed="false">
      <c r="A601" s="12" t="n">
        <v>597</v>
      </c>
      <c r="B601" s="10" t="s">
        <v>329</v>
      </c>
      <c r="C601" s="10" t="s">
        <v>193</v>
      </c>
      <c r="D601" s="11" t="n">
        <v>0.0107082175925926</v>
      </c>
      <c r="E601" s="18" t="n">
        <f aca="false">ROUND((D601-$D$5)*86400,2)</f>
        <v>135.45</v>
      </c>
      <c r="F601" s="12" t="n">
        <v>190</v>
      </c>
      <c r="G601" s="11" t="str">
        <f aca="false">IF(INDEX(選手一覧!$F$7:$F$2738,$F601)="","",INDEX(選手一覧!$F$7:$F$2738,$F601))</f>
        <v/>
      </c>
      <c r="H601" s="12" t="str">
        <f aca="false">IF(INDEX(選手一覧!$G$7:$G$2738,$F601)="","",INDEX(選手一覧!$G$7:$G$2738,$F601))</f>
        <v/>
      </c>
      <c r="I601" s="11" t="n">
        <f aca="false">IF(INDEX(選手一覧!$H$7:$H$2738,$F601)="","",INDEX(選手一覧!$H$7:$H$2738,$F601))</f>
        <v>0.00273611111111111</v>
      </c>
      <c r="J601" s="12" t="n">
        <f aca="false">IF(INDEX(選手一覧!$I$7:$I$2738,$F601)="","",INDEX(選手一覧!$I$7:$I$2738,$F601))</f>
        <v>77</v>
      </c>
    </row>
    <row r="602" customFormat="false" ht="15" hidden="false" customHeight="false" outlineLevel="0" collapsed="false">
      <c r="A602" s="12" t="n">
        <v>598</v>
      </c>
      <c r="B602" s="10" t="s">
        <v>1869</v>
      </c>
      <c r="C602" s="10" t="s">
        <v>616</v>
      </c>
      <c r="D602" s="11" t="n">
        <v>0.010708912037037</v>
      </c>
      <c r="E602" s="18" t="n">
        <f aca="false">ROUND((D602-$D$5)*86400,2)</f>
        <v>135.51</v>
      </c>
      <c r="F602" s="12" t="n">
        <v>1286</v>
      </c>
      <c r="G602" s="11" t="str">
        <f aca="false">IF(INDEX(選手一覧!$F$7:$F$2738,$F602)="","",INDEX(選手一覧!$F$7:$F$2738,$F602))</f>
        <v/>
      </c>
      <c r="H602" s="12" t="str">
        <f aca="false">IF(INDEX(選手一覧!$G$7:$G$2738,$F602)="","",INDEX(選手一覧!$G$7:$G$2738,$F602))</f>
        <v/>
      </c>
      <c r="I602" s="11" t="n">
        <f aca="false">IF(INDEX(選手一覧!$H$7:$H$2738,$F602)="","",INDEX(選手一覧!$H$7:$H$2738,$F602))</f>
        <v>0.00287673611111111</v>
      </c>
      <c r="J602" s="12" t="n">
        <f aca="false">IF(INDEX(選手一覧!$I$7:$I$2738,$F602)="","",INDEX(選手一覧!$I$7:$I$2738,$F602))</f>
        <v>745</v>
      </c>
    </row>
    <row r="603" customFormat="false" ht="15" hidden="false" customHeight="false" outlineLevel="0" collapsed="false">
      <c r="A603" s="12" t="n">
        <v>599</v>
      </c>
      <c r="B603" s="10" t="s">
        <v>369</v>
      </c>
      <c r="C603" s="10" t="s">
        <v>51</v>
      </c>
      <c r="D603" s="11" t="n">
        <v>0.0107099537037037</v>
      </c>
      <c r="E603" s="18" t="n">
        <f aca="false">ROUND((D603-$D$5)*86400,2)</f>
        <v>135.6</v>
      </c>
      <c r="F603" s="12" t="n">
        <v>220</v>
      </c>
      <c r="G603" s="11" t="str">
        <f aca="false">IF(INDEX(選手一覧!$F$7:$F$2738,$F603)="","",INDEX(選手一覧!$F$7:$F$2738,$F603))</f>
        <v/>
      </c>
      <c r="H603" s="12" t="str">
        <f aca="false">IF(INDEX(選手一覧!$G$7:$G$2738,$F603)="","",INDEX(選手一覧!$G$7:$G$2738,$F603))</f>
        <v/>
      </c>
      <c r="I603" s="11" t="n">
        <f aca="false">IF(INDEX(選手一覧!$H$7:$H$2738,$F603)="","",INDEX(選手一覧!$H$7:$H$2738,$F603))</f>
        <v>0.00274537037037037</v>
      </c>
      <c r="J603" s="12" t="n">
        <f aca="false">IF(INDEX(選手一覧!$I$7:$I$2738,$F603)="","",INDEX(選手一覧!$I$7:$I$2738,$F603))</f>
        <v>91</v>
      </c>
    </row>
    <row r="604" customFormat="false" ht="15" hidden="false" customHeight="false" outlineLevel="0" collapsed="false">
      <c r="A604" s="12" t="n">
        <v>600</v>
      </c>
      <c r="B604" s="10" t="s">
        <v>1517</v>
      </c>
      <c r="C604" s="10" t="s">
        <v>350</v>
      </c>
      <c r="D604" s="11" t="n">
        <v>0.0107121527777778</v>
      </c>
      <c r="E604" s="18" t="n">
        <f aca="false">ROUND((D604-$D$5)*86400,2)</f>
        <v>135.79</v>
      </c>
      <c r="F604" s="12" t="n">
        <v>1041</v>
      </c>
      <c r="G604" s="11" t="str">
        <f aca="false">IF(INDEX(選手一覧!$F$7:$F$2738,$F604)="","",INDEX(選手一覧!$F$7:$F$2738,$F604))</f>
        <v/>
      </c>
      <c r="H604" s="12" t="str">
        <f aca="false">IF(INDEX(選手一覧!$G$7:$G$2738,$F604)="","",INDEX(選手一覧!$G$7:$G$2738,$F604))</f>
        <v/>
      </c>
      <c r="I604" s="11" t="n">
        <f aca="false">IF(INDEX(選手一覧!$H$7:$H$2738,$F604)="","",INDEX(選手一覧!$H$7:$H$2738,$F604))</f>
        <v>0.00283576388888889</v>
      </c>
      <c r="J604" s="12" t="n">
        <f aca="false">IF(INDEX(選手一覧!$I$7:$I$2738,$F604)="","",INDEX(選手一覧!$I$7:$I$2738,$F604))</f>
        <v>469</v>
      </c>
    </row>
    <row r="605" customFormat="false" ht="15" hidden="false" customHeight="false" outlineLevel="0" collapsed="false">
      <c r="A605" s="12" t="n">
        <v>601</v>
      </c>
      <c r="B605" s="10" t="s">
        <v>1877</v>
      </c>
      <c r="C605" s="10" t="s">
        <v>1878</v>
      </c>
      <c r="D605" s="11" t="n">
        <v>0.0107128472222222</v>
      </c>
      <c r="E605" s="18" t="n">
        <f aca="false">ROUND((D605-$D$5)*86400,2)</f>
        <v>135.85</v>
      </c>
      <c r="F605" s="12" t="n">
        <v>1291</v>
      </c>
      <c r="G605" s="11" t="str">
        <f aca="false">IF(INDEX(選手一覧!$F$7:$F$2738,$F605)="","",INDEX(選手一覧!$F$7:$F$2738,$F605))</f>
        <v/>
      </c>
      <c r="H605" s="12" t="str">
        <f aca="false">IF(INDEX(選手一覧!$G$7:$G$2738,$F605)="","",INDEX(選手一覧!$G$7:$G$2738,$F605))</f>
        <v/>
      </c>
      <c r="I605" s="11" t="n">
        <f aca="false">IF(INDEX(選手一覧!$H$7:$H$2738,$F605)="","",INDEX(選手一覧!$H$7:$H$2738,$F605))</f>
        <v>0.00289988425925926</v>
      </c>
      <c r="J605" s="12" t="n">
        <f aca="false">IF(INDEX(選手一覧!$I$7:$I$2738,$F605)="","",INDEX(選手一覧!$I$7:$I$2738,$F605))</f>
        <v>944</v>
      </c>
    </row>
    <row r="606" customFormat="false" ht="15" hidden="false" customHeight="false" outlineLevel="0" collapsed="false">
      <c r="A606" s="12" t="n">
        <v>602</v>
      </c>
      <c r="B606" s="10" t="s">
        <v>1881</v>
      </c>
      <c r="C606" s="10" t="s">
        <v>154</v>
      </c>
      <c r="D606" s="11" t="n">
        <v>0.0107133101851852</v>
      </c>
      <c r="E606" s="18" t="n">
        <f aca="false">ROUND((D606-$D$5)*86400,2)</f>
        <v>135.89</v>
      </c>
      <c r="F606" s="12" t="n">
        <v>1294</v>
      </c>
      <c r="G606" s="11" t="str">
        <f aca="false">IF(INDEX(選手一覧!$F$7:$F$2738,$F606)="","",INDEX(選手一覧!$F$7:$F$2738,$F606))</f>
        <v/>
      </c>
      <c r="H606" s="12" t="str">
        <f aca="false">IF(INDEX(選手一覧!$G$7:$G$2738,$F606)="","",INDEX(選手一覧!$G$7:$G$2738,$F606))</f>
        <v/>
      </c>
      <c r="I606" s="11" t="str">
        <f aca="false">IF(INDEX(選手一覧!$H$7:$H$2738,$F606)="","",INDEX(選手一覧!$H$7:$H$2738,$F606))</f>
        <v/>
      </c>
      <c r="J606" s="12" t="str">
        <f aca="false">IF(INDEX(選手一覧!$I$7:$I$2738,$F606)="","",INDEX(選手一覧!$I$7:$I$2738,$F606))</f>
        <v/>
      </c>
    </row>
    <row r="607" customFormat="false" ht="15" hidden="false" customHeight="false" outlineLevel="0" collapsed="false">
      <c r="A607" s="12" t="n">
        <v>603</v>
      </c>
      <c r="B607" s="10" t="s">
        <v>1151</v>
      </c>
      <c r="C607" s="10" t="s">
        <v>91</v>
      </c>
      <c r="D607" s="11" t="n">
        <v>0.0107142361111111</v>
      </c>
      <c r="E607" s="18" t="n">
        <f aca="false">ROUND((D607-$D$5)*86400,2)</f>
        <v>135.97</v>
      </c>
      <c r="F607" s="12" t="n">
        <v>778</v>
      </c>
      <c r="G607" s="11" t="n">
        <f aca="false">IF(INDEX(選手一覧!$F$7:$F$2738,$F607)="","",INDEX(選手一覧!$F$7:$F$2738,$F607))</f>
        <v>0.00700081018518519</v>
      </c>
      <c r="H607" s="12" t="n">
        <f aca="false">IF(INDEX(選手一覧!$G$7:$G$2738,$F607)="","",INDEX(選手一覧!$G$7:$G$2738,$F607))</f>
        <v>338</v>
      </c>
      <c r="I607" s="11" t="n">
        <f aca="false">IF(INDEX(選手一覧!$H$7:$H$2738,$F607)="","",INDEX(選手一覧!$H$7:$H$2738,$F607))</f>
        <v>0.00286875</v>
      </c>
      <c r="J607" s="12" t="n">
        <f aca="false">IF(INDEX(選手一覧!$I$7:$I$2738,$F607)="","",INDEX(選手一覧!$I$7:$I$2738,$F607))</f>
        <v>686</v>
      </c>
    </row>
    <row r="608" customFormat="false" ht="15" hidden="false" customHeight="false" outlineLevel="0" collapsed="false">
      <c r="A608" s="12" t="n">
        <v>604</v>
      </c>
      <c r="B608" s="10" t="s">
        <v>1074</v>
      </c>
      <c r="C608" s="10" t="s">
        <v>107</v>
      </c>
      <c r="D608" s="11" t="n">
        <v>0.0107144675925926</v>
      </c>
      <c r="E608" s="18" t="n">
        <f aca="false">ROUND((D608-$D$5)*86400,2)</f>
        <v>135.99</v>
      </c>
      <c r="F608" s="12" t="n">
        <v>720</v>
      </c>
      <c r="G608" s="11" t="str">
        <f aca="false">IF(INDEX(選手一覧!$F$7:$F$2738,$F608)="","",INDEX(選手一覧!$F$7:$F$2738,$F608))</f>
        <v/>
      </c>
      <c r="H608" s="12" t="str">
        <f aca="false">IF(INDEX(選手一覧!$G$7:$G$2738,$F608)="","",INDEX(選手一覧!$G$7:$G$2738,$F608))</f>
        <v/>
      </c>
      <c r="I608" s="11" t="n">
        <f aca="false">IF(INDEX(選手一覧!$H$7:$H$2738,$F608)="","",INDEX(選手一覧!$H$7:$H$2738,$F608))</f>
        <v>0.00280671296296296</v>
      </c>
      <c r="J608" s="12" t="n">
        <f aca="false">IF(INDEX(選手一覧!$I$7:$I$2738,$F608)="","",INDEX(選手一覧!$I$7:$I$2738,$F608))</f>
        <v>310</v>
      </c>
    </row>
    <row r="609" customFormat="false" ht="15" hidden="false" customHeight="false" outlineLevel="0" collapsed="false">
      <c r="A609" s="12" t="n">
        <v>605</v>
      </c>
      <c r="B609" s="10" t="s">
        <v>1890</v>
      </c>
      <c r="C609" s="10" t="s">
        <v>34</v>
      </c>
      <c r="D609" s="11" t="n">
        <v>0.0107153935185185</v>
      </c>
      <c r="E609" s="18" t="n">
        <f aca="false">ROUND((D609-$D$5)*86400,2)</f>
        <v>136.07</v>
      </c>
      <c r="F609" s="12" t="n">
        <v>1300</v>
      </c>
      <c r="G609" s="11" t="str">
        <f aca="false">IF(INDEX(選手一覧!$F$7:$F$2738,$F609)="","",INDEX(選手一覧!$F$7:$F$2738,$F609))</f>
        <v/>
      </c>
      <c r="H609" s="12" t="str">
        <f aca="false">IF(INDEX(選手一覧!$G$7:$G$2738,$F609)="","",INDEX(選手一覧!$G$7:$G$2738,$F609))</f>
        <v/>
      </c>
      <c r="I609" s="11" t="n">
        <f aca="false">IF(INDEX(選手一覧!$H$7:$H$2738,$F609)="","",INDEX(選手一覧!$H$7:$H$2738,$F609))</f>
        <v>0.00294710648148148</v>
      </c>
      <c r="J609" s="12" t="n">
        <f aca="false">IF(INDEX(選手一覧!$I$7:$I$2738,$F609)="","",INDEX(選手一覧!$I$7:$I$2738,$F609))</f>
        <v>1224</v>
      </c>
    </row>
    <row r="610" customFormat="false" ht="15" hidden="false" customHeight="false" outlineLevel="0" collapsed="false">
      <c r="A610" s="12" t="n">
        <v>606</v>
      </c>
      <c r="B610" s="10" t="s">
        <v>1893</v>
      </c>
      <c r="C610" s="10" t="s">
        <v>712</v>
      </c>
      <c r="D610" s="11" t="n">
        <v>0.0107155092592593</v>
      </c>
      <c r="E610" s="18" t="n">
        <f aca="false">ROUND((D610-$D$5)*86400,2)</f>
        <v>136.08</v>
      </c>
      <c r="F610" s="12" t="n">
        <v>1302</v>
      </c>
      <c r="G610" s="11" t="str">
        <f aca="false">IF(INDEX(選手一覧!$F$7:$F$2738,$F610)="","",INDEX(選手一覧!$F$7:$F$2738,$F610))</f>
        <v/>
      </c>
      <c r="H610" s="12" t="str">
        <f aca="false">IF(INDEX(選手一覧!$G$7:$G$2738,$F610)="","",INDEX(選手一覧!$G$7:$G$2738,$F610))</f>
        <v/>
      </c>
      <c r="I610" s="11" t="str">
        <f aca="false">IF(INDEX(選手一覧!$H$7:$H$2738,$F610)="","",INDEX(選手一覧!$H$7:$H$2738,$F610))</f>
        <v/>
      </c>
      <c r="J610" s="12" t="str">
        <f aca="false">IF(INDEX(選手一覧!$I$7:$I$2738,$F610)="","",INDEX(選手一覧!$I$7:$I$2738,$F610))</f>
        <v/>
      </c>
    </row>
    <row r="611" customFormat="false" ht="15" hidden="false" customHeight="false" outlineLevel="0" collapsed="false">
      <c r="A611" s="12" t="n">
        <v>607</v>
      </c>
      <c r="B611" s="10" t="s">
        <v>476</v>
      </c>
      <c r="C611" s="10" t="s">
        <v>122</v>
      </c>
      <c r="D611" s="11" t="n">
        <v>0.0107158564814815</v>
      </c>
      <c r="E611" s="18" t="n">
        <f aca="false">ROUND((D611-$D$5)*86400,2)</f>
        <v>136.11</v>
      </c>
      <c r="F611" s="12" t="n">
        <v>295</v>
      </c>
      <c r="G611" s="11" t="str">
        <f aca="false">IF(INDEX(選手一覧!$F$7:$F$2738,$F611)="","",INDEX(選手一覧!$F$7:$F$2738,$F611))</f>
        <v/>
      </c>
      <c r="H611" s="12" t="str">
        <f aca="false">IF(INDEX(選手一覧!$G$7:$G$2738,$F611)="","",INDEX(選手一覧!$G$7:$G$2738,$F611))</f>
        <v/>
      </c>
      <c r="I611" s="11" t="n">
        <f aca="false">IF(INDEX(選手一覧!$H$7:$H$2738,$F611)="","",INDEX(選手一覧!$H$7:$H$2738,$F611))</f>
        <v>0.0027556712962963</v>
      </c>
      <c r="J611" s="12" t="n">
        <f aca="false">IF(INDEX(選手一覧!$I$7:$I$2738,$F611)="","",INDEX(選手一覧!$I$7:$I$2738,$F611))</f>
        <v>122</v>
      </c>
    </row>
    <row r="612" customFormat="false" ht="15" hidden="false" customHeight="false" outlineLevel="0" collapsed="false">
      <c r="A612" s="12" t="n">
        <v>608</v>
      </c>
      <c r="B612" s="10" t="s">
        <v>61</v>
      </c>
      <c r="C612" s="10" t="s">
        <v>62</v>
      </c>
      <c r="D612" s="11" t="n">
        <v>0.010716087962963</v>
      </c>
      <c r="E612" s="18" t="n">
        <f aca="false">ROUND((D612-$D$5)*86400,2)</f>
        <v>136.13</v>
      </c>
      <c r="F612" s="12" t="n">
        <v>21</v>
      </c>
      <c r="G612" s="11" t="n">
        <f aca="false">IF(INDEX(選手一覧!$F$7:$F$2738,$F612)="","",INDEX(選手一覧!$F$7:$F$2738,$F612))</f>
        <v>0.00634525462962963</v>
      </c>
      <c r="H612" s="12" t="n">
        <f aca="false">IF(INDEX(選手一覧!$G$7:$G$2738,$F612)="","",INDEX(選手一覧!$G$7:$G$2738,$F612))</f>
        <v>9</v>
      </c>
      <c r="I612" s="11" t="n">
        <f aca="false">IF(INDEX(選手一覧!$H$7:$H$2738,$F612)="","",INDEX(選手一覧!$H$7:$H$2738,$F612))</f>
        <v>0.00277592592592593</v>
      </c>
      <c r="J612" s="12" t="n">
        <f aca="false">IF(INDEX(選手一覧!$I$7:$I$2738,$F612)="","",INDEX(選手一覧!$I$7:$I$2738,$F612))</f>
        <v>180</v>
      </c>
    </row>
    <row r="613" customFormat="false" ht="15" hidden="false" customHeight="false" outlineLevel="0" collapsed="false">
      <c r="A613" s="12" t="n">
        <v>609</v>
      </c>
      <c r="B613" s="10" t="s">
        <v>1901</v>
      </c>
      <c r="C613" s="10" t="s">
        <v>460</v>
      </c>
      <c r="D613" s="11" t="n">
        <v>0.0107168981481482</v>
      </c>
      <c r="E613" s="18" t="n">
        <f aca="false">ROUND((D613-$D$5)*86400,2)</f>
        <v>136.2</v>
      </c>
      <c r="F613" s="12" t="n">
        <v>1308</v>
      </c>
      <c r="G613" s="11" t="str">
        <f aca="false">IF(INDEX(選手一覧!$F$7:$F$2738,$F613)="","",INDEX(選手一覧!$F$7:$F$2738,$F613))</f>
        <v/>
      </c>
      <c r="H613" s="12" t="str">
        <f aca="false">IF(INDEX(選手一覧!$G$7:$G$2738,$F613)="","",INDEX(選手一覧!$G$7:$G$2738,$F613))</f>
        <v/>
      </c>
      <c r="I613" s="11" t="str">
        <f aca="false">IF(INDEX(選手一覧!$H$7:$H$2738,$F613)="","",INDEX(選手一覧!$H$7:$H$2738,$F613))</f>
        <v/>
      </c>
      <c r="J613" s="12" t="str">
        <f aca="false">IF(INDEX(選手一覧!$I$7:$I$2738,$F613)="","",INDEX(選手一覧!$I$7:$I$2738,$F613))</f>
        <v/>
      </c>
    </row>
    <row r="614" customFormat="false" ht="15" hidden="false" customHeight="false" outlineLevel="0" collapsed="false">
      <c r="A614" s="12" t="n">
        <v>610</v>
      </c>
      <c r="B614" s="10" t="s">
        <v>1085</v>
      </c>
      <c r="C614" s="10" t="s">
        <v>844</v>
      </c>
      <c r="D614" s="11" t="n">
        <v>0.0107172453703704</v>
      </c>
      <c r="E614" s="18" t="n">
        <f aca="false">ROUND((D614-$D$5)*86400,2)</f>
        <v>136.23</v>
      </c>
      <c r="F614" s="12" t="n">
        <v>730</v>
      </c>
      <c r="G614" s="11" t="n">
        <f aca="false">IF(INDEX(選手一覧!$F$7:$F$2738,$F614)="","",INDEX(選手一覧!$F$7:$F$2738,$F614))</f>
        <v>0.00698078703703704</v>
      </c>
      <c r="H614" s="12" t="n">
        <f aca="false">IF(INDEX(選手一覧!$G$7:$G$2738,$F614)="","",INDEX(選手一覧!$G$7:$G$2738,$F614))</f>
        <v>314</v>
      </c>
      <c r="I614" s="11" t="str">
        <f aca="false">IF(INDEX(選手一覧!$H$7:$H$2738,$F614)="","",INDEX(選手一覧!$H$7:$H$2738,$F614))</f>
        <v/>
      </c>
      <c r="J614" s="12" t="str">
        <f aca="false">IF(INDEX(選手一覧!$I$7:$I$2738,$F614)="","",INDEX(選手一覧!$I$7:$I$2738,$F614))</f>
        <v/>
      </c>
    </row>
    <row r="615" customFormat="false" ht="15" hidden="false" customHeight="false" outlineLevel="0" collapsed="false">
      <c r="A615" s="12" t="n">
        <v>611</v>
      </c>
      <c r="B615" s="10" t="s">
        <v>1908</v>
      </c>
      <c r="C615" s="10" t="s">
        <v>154</v>
      </c>
      <c r="D615" s="11" t="n">
        <v>0.0107178240740741</v>
      </c>
      <c r="E615" s="18" t="n">
        <f aca="false">ROUND((D615-$D$5)*86400,2)</f>
        <v>136.28</v>
      </c>
      <c r="F615" s="12" t="n">
        <v>1312</v>
      </c>
      <c r="G615" s="11" t="str">
        <f aca="false">IF(INDEX(選手一覧!$F$7:$F$2738,$F615)="","",INDEX(選手一覧!$F$7:$F$2738,$F615))</f>
        <v/>
      </c>
      <c r="H615" s="12" t="str">
        <f aca="false">IF(INDEX(選手一覧!$G$7:$G$2738,$F615)="","",INDEX(選手一覧!$G$7:$G$2738,$F615))</f>
        <v/>
      </c>
      <c r="I615" s="11" t="str">
        <f aca="false">IF(INDEX(選手一覧!$H$7:$H$2738,$F615)="","",INDEX(選手一覧!$H$7:$H$2738,$F615))</f>
        <v/>
      </c>
      <c r="J615" s="12" t="str">
        <f aca="false">IF(INDEX(選手一覧!$I$7:$I$2738,$F615)="","",INDEX(選手一覧!$I$7:$I$2738,$F615))</f>
        <v/>
      </c>
    </row>
    <row r="616" customFormat="false" ht="15" hidden="false" customHeight="false" outlineLevel="0" collapsed="false">
      <c r="A616" s="12" t="n">
        <v>612</v>
      </c>
      <c r="B616" s="10" t="s">
        <v>1911</v>
      </c>
      <c r="C616" s="10" t="s">
        <v>1912</v>
      </c>
      <c r="D616" s="11" t="n">
        <v>0.010719212962963</v>
      </c>
      <c r="E616" s="18" t="n">
        <f aca="false">ROUND((D616-$D$5)*86400,2)</f>
        <v>136.4</v>
      </c>
      <c r="F616" s="12" t="n">
        <v>1314</v>
      </c>
      <c r="G616" s="11" t="str">
        <f aca="false">IF(INDEX(選手一覧!$F$7:$F$2738,$F616)="","",INDEX(選手一覧!$F$7:$F$2738,$F616))</f>
        <v/>
      </c>
      <c r="H616" s="12" t="str">
        <f aca="false">IF(INDEX(選手一覧!$G$7:$G$2738,$F616)="","",INDEX(選手一覧!$G$7:$G$2738,$F616))</f>
        <v/>
      </c>
      <c r="I616" s="11" t="n">
        <f aca="false">IF(INDEX(選手一覧!$H$7:$H$2738,$F616)="","",INDEX(選手一覧!$H$7:$H$2738,$F616))</f>
        <v>0.00290347222222222</v>
      </c>
      <c r="J616" s="12" t="n">
        <f aca="false">IF(INDEX(選手一覧!$I$7:$I$2738,$F616)="","",INDEX(選手一覧!$I$7:$I$2738,$F616))</f>
        <v>975</v>
      </c>
    </row>
    <row r="617" customFormat="false" ht="15" hidden="false" customHeight="false" outlineLevel="0" collapsed="false">
      <c r="A617" s="12" t="n">
        <v>613</v>
      </c>
      <c r="B617" s="10" t="s">
        <v>493</v>
      </c>
      <c r="C617" s="10" t="s">
        <v>494</v>
      </c>
      <c r="D617" s="11" t="n">
        <v>0.0107209490740741</v>
      </c>
      <c r="E617" s="18" t="n">
        <f aca="false">ROUND((D617-$D$5)*86400,2)</f>
        <v>136.55</v>
      </c>
      <c r="F617" s="12" t="n">
        <v>306</v>
      </c>
      <c r="G617" s="11" t="str">
        <f aca="false">IF(INDEX(選手一覧!$F$7:$F$2738,$F617)="","",INDEX(選手一覧!$F$7:$F$2738,$F617))</f>
        <v/>
      </c>
      <c r="H617" s="12" t="str">
        <f aca="false">IF(INDEX(選手一覧!$G$7:$G$2738,$F617)="","",INDEX(選手一覧!$G$7:$G$2738,$F617))</f>
        <v/>
      </c>
      <c r="I617" s="11" t="n">
        <f aca="false">IF(INDEX(選手一覧!$H$7:$H$2738,$F617)="","",INDEX(選手一覧!$H$7:$H$2738,$F617))</f>
        <v>0.0027568287037037</v>
      </c>
      <c r="J617" s="12" t="n">
        <f aca="false">IF(INDEX(選手一覧!$I$7:$I$2738,$F617)="","",INDEX(選手一覧!$I$7:$I$2738,$F617))</f>
        <v>126</v>
      </c>
    </row>
    <row r="618" customFormat="false" ht="15" hidden="false" customHeight="false" outlineLevel="0" collapsed="false">
      <c r="A618" s="12" t="n">
        <v>614</v>
      </c>
      <c r="B618" s="10" t="s">
        <v>1918</v>
      </c>
      <c r="C618" s="10" t="s">
        <v>1051</v>
      </c>
      <c r="D618" s="11" t="n">
        <v>0.0107211805555556</v>
      </c>
      <c r="E618" s="18" t="n">
        <f aca="false">ROUND((D618-$D$5)*86400,2)</f>
        <v>136.57</v>
      </c>
      <c r="F618" s="12" t="n">
        <v>1318</v>
      </c>
      <c r="G618" s="11" t="str">
        <f aca="false">IF(INDEX(選手一覧!$F$7:$F$2738,$F618)="","",INDEX(選手一覧!$F$7:$F$2738,$F618))</f>
        <v/>
      </c>
      <c r="H618" s="12" t="str">
        <f aca="false">IF(INDEX(選手一覧!$G$7:$G$2738,$F618)="","",INDEX(選手一覧!$G$7:$G$2738,$F618))</f>
        <v/>
      </c>
      <c r="I618" s="11" t="str">
        <f aca="false">IF(INDEX(選手一覧!$H$7:$H$2738,$F618)="","",INDEX(選手一覧!$H$7:$H$2738,$F618))</f>
        <v/>
      </c>
      <c r="J618" s="12" t="str">
        <f aca="false">IF(INDEX(選手一覧!$I$7:$I$2738,$F618)="","",INDEX(選手一覧!$I$7:$I$2738,$F618))</f>
        <v/>
      </c>
    </row>
    <row r="619" customFormat="false" ht="15" hidden="false" customHeight="false" outlineLevel="0" collapsed="false">
      <c r="A619" s="12" t="n">
        <v>615</v>
      </c>
      <c r="B619" s="10" t="s">
        <v>375</v>
      </c>
      <c r="C619" s="10" t="s">
        <v>57</v>
      </c>
      <c r="D619" s="11" t="n">
        <v>0.0107228009259259</v>
      </c>
      <c r="E619" s="18" t="n">
        <f aca="false">ROUND((D619-$D$5)*86400,2)</f>
        <v>136.71</v>
      </c>
      <c r="F619" s="12" t="n">
        <v>224</v>
      </c>
      <c r="G619" s="11" t="n">
        <f aca="false">IF(INDEX(選手一覧!$F$7:$F$2738,$F619)="","",INDEX(選手一覧!$F$7:$F$2738,$F619))</f>
        <v>0.00667372685185185</v>
      </c>
      <c r="H619" s="12" t="n">
        <f aca="false">IF(INDEX(選手一覧!$G$7:$G$2738,$F619)="","",INDEX(選手一覧!$G$7:$G$2738,$F619))</f>
        <v>93</v>
      </c>
      <c r="I619" s="11" t="n">
        <f aca="false">IF(INDEX(選手一覧!$H$7:$H$2738,$F619)="","",INDEX(選手一覧!$H$7:$H$2738,$F619))</f>
        <v>0.00285810185185185</v>
      </c>
      <c r="J619" s="12" t="n">
        <f aca="false">IF(INDEX(選手一覧!$I$7:$I$2738,$F619)="","",INDEX(選手一覧!$I$7:$I$2738,$F619))</f>
        <v>622</v>
      </c>
    </row>
    <row r="620" customFormat="false" ht="15" hidden="false" customHeight="false" outlineLevel="0" collapsed="false">
      <c r="A620" s="12" t="n">
        <v>616</v>
      </c>
      <c r="B620" s="10" t="s">
        <v>668</v>
      </c>
      <c r="C620" s="10" t="s">
        <v>263</v>
      </c>
      <c r="D620" s="11" t="n">
        <v>0.0107228009259259</v>
      </c>
      <c r="E620" s="18" t="n">
        <f aca="false">ROUND((D620-$D$5)*86400,2)</f>
        <v>136.71</v>
      </c>
      <c r="F620" s="12" t="n">
        <v>425</v>
      </c>
      <c r="G620" s="11" t="n">
        <f aca="false">IF(INDEX(選手一覧!$F$7:$F$2738,$F620)="","",INDEX(選手一覧!$F$7:$F$2738,$F620))</f>
        <v>0.00680914351851852</v>
      </c>
      <c r="H620" s="12" t="n">
        <f aca="false">IF(INDEX(選手一覧!$G$7:$G$2738,$F620)="","",INDEX(選手一覧!$G$7:$G$2738,$F620))</f>
        <v>179</v>
      </c>
      <c r="I620" s="11" t="n">
        <f aca="false">IF(INDEX(選手一覧!$H$7:$H$2738,$F620)="","",INDEX(選手一覧!$H$7:$H$2738,$F620))</f>
        <v>0.00292210648148148</v>
      </c>
      <c r="J620" s="12" t="n">
        <f aca="false">IF(INDEX(選手一覧!$I$7:$I$2738,$F620)="","",INDEX(選手一覧!$I$7:$I$2738,$F620))</f>
        <v>1115</v>
      </c>
    </row>
    <row r="621" customFormat="false" ht="15" hidden="false" customHeight="false" outlineLevel="0" collapsed="false">
      <c r="A621" s="12" t="n">
        <v>617</v>
      </c>
      <c r="B621" s="10" t="s">
        <v>368</v>
      </c>
      <c r="C621" s="10" t="s">
        <v>69</v>
      </c>
      <c r="D621" s="11" t="n">
        <v>0.0107229166666667</v>
      </c>
      <c r="E621" s="18" t="n">
        <f aca="false">ROUND((D621-$D$5)*86400,2)</f>
        <v>136.72</v>
      </c>
      <c r="F621" s="12" t="n">
        <v>219</v>
      </c>
      <c r="G621" s="11" t="n">
        <f aca="false">IF(INDEX(選手一覧!$F$7:$F$2738,$F621)="","",INDEX(選手一覧!$F$7:$F$2738,$F621))</f>
        <v>0.00666805555555556</v>
      </c>
      <c r="H621" s="12" t="n">
        <f aca="false">IF(INDEX(選手一覧!$G$7:$G$2738,$F621)="","",INDEX(選手一覧!$G$7:$G$2738,$F621))</f>
        <v>91</v>
      </c>
      <c r="I621" s="11" t="n">
        <f aca="false">IF(INDEX(選手一覧!$H$7:$H$2738,$F621)="","",INDEX(選手一覧!$H$7:$H$2738,$F621))</f>
        <v>0.00291608796296296</v>
      </c>
      <c r="J621" s="12" t="n">
        <f aca="false">IF(INDEX(選手一覧!$I$7:$I$2738,$F621)="","",INDEX(選手一覧!$I$7:$I$2738,$F621))</f>
        <v>1059</v>
      </c>
    </row>
    <row r="622" customFormat="false" ht="15" hidden="false" customHeight="false" outlineLevel="0" collapsed="false">
      <c r="A622" s="12" t="n">
        <v>618</v>
      </c>
      <c r="B622" s="10" t="s">
        <v>1927</v>
      </c>
      <c r="C622" s="10" t="s">
        <v>616</v>
      </c>
      <c r="D622" s="11" t="n">
        <v>0.0107231481481482</v>
      </c>
      <c r="E622" s="18" t="n">
        <f aca="false">ROUND((D622-$D$5)*86400,2)</f>
        <v>136.74</v>
      </c>
      <c r="F622" s="12" t="n">
        <v>1324</v>
      </c>
      <c r="G622" s="11" t="n">
        <f aca="false">IF(INDEX(選手一覧!$F$7:$F$2738,$F622)="","",INDEX(選手一覧!$F$7:$F$2738,$F622))</f>
        <v>0.00752777777777778</v>
      </c>
      <c r="H622" s="12" t="n">
        <f aca="false">IF(INDEX(選手一覧!$G$7:$G$2738,$F622)="","",INDEX(選手一覧!$G$7:$G$2738,$F622))</f>
        <v>928</v>
      </c>
      <c r="I622" s="11" t="n">
        <f aca="false">IF(INDEX(選手一覧!$H$7:$H$2738,$F622)="","",INDEX(選手一覧!$H$7:$H$2738,$F622))</f>
        <v>0.0029162037037037</v>
      </c>
      <c r="J622" s="12" t="n">
        <f aca="false">IF(INDEX(選手一覧!$I$7:$I$2738,$F622)="","",INDEX(選手一覧!$I$7:$I$2738,$F622))</f>
        <v>1060</v>
      </c>
    </row>
    <row r="623" customFormat="false" ht="15" hidden="false" customHeight="false" outlineLevel="0" collapsed="false">
      <c r="A623" s="12" t="n">
        <v>619</v>
      </c>
      <c r="B623" s="10" t="s">
        <v>568</v>
      </c>
      <c r="C623" s="10" t="s">
        <v>47</v>
      </c>
      <c r="D623" s="11" t="n">
        <v>0.0107232638888889</v>
      </c>
      <c r="E623" s="18" t="n">
        <f aca="false">ROUND((D623-$D$5)*86400,2)</f>
        <v>136.75</v>
      </c>
      <c r="F623" s="12" t="n">
        <v>356</v>
      </c>
      <c r="G623" s="11" t="n">
        <f aca="false">IF(INDEX(選手一覧!$F$7:$F$2738,$F623)="","",INDEX(選手一覧!$F$7:$F$2738,$F623))</f>
        <v>0.00677303240740741</v>
      </c>
      <c r="H623" s="12" t="n">
        <f aca="false">IF(INDEX(選手一覧!$G$7:$G$2738,$F623)="","",INDEX(選手一覧!$G$7:$G$2738,$F623))</f>
        <v>150</v>
      </c>
      <c r="I623" s="11" t="n">
        <f aca="false">IF(INDEX(選手一覧!$H$7:$H$2738,$F623)="","",INDEX(選手一覧!$H$7:$H$2738,$F623))</f>
        <v>0.00282118055555556</v>
      </c>
      <c r="J623" s="12" t="n">
        <f aca="false">IF(INDEX(選手一覧!$I$7:$I$2738,$F623)="","",INDEX(選手一覧!$I$7:$I$2738,$F623))</f>
        <v>370</v>
      </c>
    </row>
    <row r="624" customFormat="false" ht="15" hidden="false" customHeight="false" outlineLevel="0" collapsed="false">
      <c r="A624" s="12" t="n">
        <v>620</v>
      </c>
      <c r="B624" s="10" t="s">
        <v>495</v>
      </c>
      <c r="C624" s="10" t="s">
        <v>185</v>
      </c>
      <c r="D624" s="11" t="n">
        <v>0.0107236111111111</v>
      </c>
      <c r="E624" s="18" t="n">
        <f aca="false">ROUND((D624-$D$5)*86400,2)</f>
        <v>136.78</v>
      </c>
      <c r="F624" s="12" t="n">
        <v>307</v>
      </c>
      <c r="G624" s="11" t="n">
        <f aca="false">IF(INDEX(選手一覧!$F$7:$F$2738,$F624)="","",INDEX(選手一覧!$F$7:$F$2738,$F624))</f>
        <v>0.00674884259259259</v>
      </c>
      <c r="H624" s="12" t="n">
        <f aca="false">IF(INDEX(選手一覧!$G$7:$G$2738,$F624)="","",INDEX(選手一覧!$G$7:$G$2738,$F624))</f>
        <v>127</v>
      </c>
      <c r="I624" s="11" t="n">
        <f aca="false">IF(INDEX(選手一覧!$H$7:$H$2738,$F624)="","",INDEX(選手一覧!$H$7:$H$2738,$F624))</f>
        <v>0.00295983796296296</v>
      </c>
      <c r="J624" s="12" t="n">
        <f aca="false">IF(INDEX(選手一覧!$I$7:$I$2738,$F624)="","",INDEX(選手一覧!$I$7:$I$2738,$F624))</f>
        <v>1271</v>
      </c>
    </row>
    <row r="625" customFormat="false" ht="15" hidden="false" customHeight="false" outlineLevel="0" collapsed="false">
      <c r="A625" s="12" t="n">
        <v>621</v>
      </c>
      <c r="B625" s="10" t="s">
        <v>474</v>
      </c>
      <c r="C625" s="10" t="s">
        <v>23</v>
      </c>
      <c r="D625" s="11" t="n">
        <v>0.0107247685185185</v>
      </c>
      <c r="E625" s="18" t="n">
        <f aca="false">ROUND((D625-$D$5)*86400,2)</f>
        <v>136.88</v>
      </c>
      <c r="F625" s="12" t="n">
        <v>293</v>
      </c>
      <c r="G625" s="11" t="n">
        <f aca="false">IF(INDEX(選手一覧!$F$7:$F$2738,$F625)="","",INDEX(選手一覧!$F$7:$F$2738,$F625))</f>
        <v>0.00673368055555556</v>
      </c>
      <c r="H625" s="12" t="n">
        <f aca="false">IF(INDEX(選手一覧!$G$7:$G$2738,$F625)="","",INDEX(選手一覧!$G$7:$G$2738,$F625))</f>
        <v>121</v>
      </c>
      <c r="I625" s="11" t="str">
        <f aca="false">IF(INDEX(選手一覧!$H$7:$H$2738,$F625)="","",INDEX(選手一覧!$H$7:$H$2738,$F625))</f>
        <v/>
      </c>
      <c r="J625" s="12" t="str">
        <f aca="false">IF(INDEX(選手一覧!$I$7:$I$2738,$F625)="","",INDEX(選手一覧!$I$7:$I$2738,$F625))</f>
        <v/>
      </c>
    </row>
    <row r="626" customFormat="false" ht="15" hidden="false" customHeight="false" outlineLevel="0" collapsed="false">
      <c r="A626" s="12" t="n">
        <v>622</v>
      </c>
      <c r="B626" s="10" t="s">
        <v>1938</v>
      </c>
      <c r="C626" s="10" t="s">
        <v>213</v>
      </c>
      <c r="D626" s="11" t="n">
        <v>0.0107248842592593</v>
      </c>
      <c r="E626" s="18" t="n">
        <f aca="false">ROUND((D626-$D$5)*86400,2)</f>
        <v>136.89</v>
      </c>
      <c r="F626" s="12" t="n">
        <v>1331</v>
      </c>
      <c r="G626" s="11" t="str">
        <f aca="false">IF(INDEX(選手一覧!$F$7:$F$2738,$F626)="","",INDEX(選手一覧!$F$7:$F$2738,$F626))</f>
        <v/>
      </c>
      <c r="H626" s="12" t="str">
        <f aca="false">IF(INDEX(選手一覧!$G$7:$G$2738,$F626)="","",INDEX(選手一覧!$G$7:$G$2738,$F626))</f>
        <v/>
      </c>
      <c r="I626" s="11" t="n">
        <f aca="false">IF(INDEX(選手一覧!$H$7:$H$2738,$F626)="","",INDEX(選手一覧!$H$7:$H$2738,$F626))</f>
        <v>0.00297673611111111</v>
      </c>
      <c r="J626" s="12" t="n">
        <f aca="false">IF(INDEX(選手一覧!$I$7:$I$2738,$F626)="","",INDEX(選手一覧!$I$7:$I$2738,$F626))</f>
        <v>1339</v>
      </c>
    </row>
    <row r="627" customFormat="false" ht="15" hidden="false" customHeight="false" outlineLevel="0" collapsed="false">
      <c r="A627" s="12" t="n">
        <v>623</v>
      </c>
      <c r="B627" s="10" t="s">
        <v>1941</v>
      </c>
      <c r="C627" s="10" t="s">
        <v>1942</v>
      </c>
      <c r="D627" s="11" t="n">
        <v>0.0107252314814815</v>
      </c>
      <c r="E627" s="18" t="n">
        <f aca="false">ROUND((D627-$D$5)*86400,2)</f>
        <v>136.92</v>
      </c>
      <c r="F627" s="12" t="n">
        <v>1334</v>
      </c>
      <c r="G627" s="11" t="str">
        <f aca="false">IF(INDEX(選手一覧!$F$7:$F$2738,$F627)="","",INDEX(選手一覧!$F$7:$F$2738,$F627))</f>
        <v/>
      </c>
      <c r="H627" s="12" t="str">
        <f aca="false">IF(INDEX(選手一覧!$G$7:$G$2738,$F627)="","",INDEX(選手一覧!$G$7:$G$2738,$F627))</f>
        <v/>
      </c>
      <c r="I627" s="11" t="str">
        <f aca="false">IF(INDEX(選手一覧!$H$7:$H$2738,$F627)="","",INDEX(選手一覧!$H$7:$H$2738,$F627))</f>
        <v/>
      </c>
      <c r="J627" s="12" t="str">
        <f aca="false">IF(INDEX(選手一覧!$I$7:$I$2738,$F627)="","",INDEX(選手一覧!$I$7:$I$2738,$F627))</f>
        <v/>
      </c>
    </row>
    <row r="628" customFormat="false" ht="15" hidden="false" customHeight="false" outlineLevel="0" collapsed="false">
      <c r="A628" s="12" t="n">
        <v>624</v>
      </c>
      <c r="B628" s="10" t="s">
        <v>1943</v>
      </c>
      <c r="C628" s="10" t="s">
        <v>298</v>
      </c>
      <c r="D628" s="11" t="n">
        <v>0.0107270833333333</v>
      </c>
      <c r="E628" s="18" t="n">
        <f aca="false">ROUND((D628-$D$5)*86400,2)</f>
        <v>137.08</v>
      </c>
      <c r="F628" s="12" t="n">
        <v>1335</v>
      </c>
      <c r="G628" s="11" t="str">
        <f aca="false">IF(INDEX(選手一覧!$F$7:$F$2738,$F628)="","",INDEX(選手一覧!$F$7:$F$2738,$F628))</f>
        <v/>
      </c>
      <c r="H628" s="12" t="str">
        <f aca="false">IF(INDEX(選手一覧!$G$7:$G$2738,$F628)="","",INDEX(選手一覧!$G$7:$G$2738,$F628))</f>
        <v/>
      </c>
      <c r="I628" s="11" t="n">
        <f aca="false">IF(INDEX(選手一覧!$H$7:$H$2738,$F628)="","",INDEX(選手一覧!$H$7:$H$2738,$F628))</f>
        <v>0.00292291666666667</v>
      </c>
      <c r="J628" s="12" t="n">
        <f aca="false">IF(INDEX(選手一覧!$I$7:$I$2738,$F628)="","",INDEX(選手一覧!$I$7:$I$2738,$F628))</f>
        <v>1124</v>
      </c>
    </row>
    <row r="629" customFormat="false" ht="15" hidden="false" customHeight="false" outlineLevel="0" collapsed="false">
      <c r="A629" s="12" t="n">
        <v>625</v>
      </c>
      <c r="B629" s="10" t="s">
        <v>961</v>
      </c>
      <c r="C629" s="10" t="s">
        <v>302</v>
      </c>
      <c r="D629" s="11" t="n">
        <v>0.0107273148148148</v>
      </c>
      <c r="E629" s="18" t="n">
        <f aca="false">ROUND((D629-$D$5)*86400,2)</f>
        <v>137.1</v>
      </c>
      <c r="F629" s="12" t="n">
        <v>640</v>
      </c>
      <c r="G629" s="11" t="str">
        <f aca="false">IF(INDEX(選手一覧!$F$7:$F$2738,$F629)="","",INDEX(選手一覧!$F$7:$F$2738,$F629))</f>
        <v/>
      </c>
      <c r="H629" s="12" t="str">
        <f aca="false">IF(INDEX(選手一覧!$G$7:$G$2738,$F629)="","",INDEX(選手一覧!$G$7:$G$2738,$F629))</f>
        <v/>
      </c>
      <c r="I629" s="11" t="n">
        <f aca="false">IF(INDEX(選手一覧!$H$7:$H$2738,$F629)="","",INDEX(選手一覧!$H$7:$H$2738,$F629))</f>
        <v>0.00279710648148148</v>
      </c>
      <c r="J629" s="12" t="n">
        <f aca="false">IF(INDEX(選手一覧!$I$7:$I$2738,$F629)="","",INDEX(選手一覧!$I$7:$I$2738,$F629))</f>
        <v>270</v>
      </c>
    </row>
    <row r="630" customFormat="false" ht="15" hidden="false" customHeight="false" outlineLevel="0" collapsed="false">
      <c r="A630" s="12" t="n">
        <v>626</v>
      </c>
      <c r="B630" s="10" t="s">
        <v>485</v>
      </c>
      <c r="C630" s="10" t="s">
        <v>486</v>
      </c>
      <c r="D630" s="11" t="n">
        <v>0.0107274305555556</v>
      </c>
      <c r="E630" s="18" t="n">
        <f aca="false">ROUND((D630-$D$5)*86400,2)</f>
        <v>137.11</v>
      </c>
      <c r="F630" s="12" t="n">
        <v>301</v>
      </c>
      <c r="G630" s="11" t="n">
        <f aca="false">IF(INDEX(選手一覧!$F$7:$F$2738,$F630)="","",INDEX(選手一覧!$F$7:$F$2738,$F630))</f>
        <v>0.00674560185185185</v>
      </c>
      <c r="H630" s="12" t="n">
        <f aca="false">IF(INDEX(選手一覧!$G$7:$G$2738,$F630)="","",INDEX(選手一覧!$G$7:$G$2738,$F630))</f>
        <v>124</v>
      </c>
      <c r="I630" s="11" t="str">
        <f aca="false">IF(INDEX(選手一覧!$H$7:$H$2738,$F630)="","",INDEX(選手一覧!$H$7:$H$2738,$F630))</f>
        <v/>
      </c>
      <c r="J630" s="12" t="str">
        <f aca="false">IF(INDEX(選手一覧!$I$7:$I$2738,$F630)="","",INDEX(選手一覧!$I$7:$I$2738,$F630))</f>
        <v/>
      </c>
    </row>
    <row r="631" customFormat="false" ht="15" hidden="false" customHeight="false" outlineLevel="0" collapsed="false">
      <c r="A631" s="12" t="n">
        <v>627</v>
      </c>
      <c r="B631" s="10" t="s">
        <v>1716</v>
      </c>
      <c r="C631" s="10" t="s">
        <v>1717</v>
      </c>
      <c r="D631" s="11" t="n">
        <v>0.0107275462962963</v>
      </c>
      <c r="E631" s="18" t="n">
        <f aca="false">ROUND((D631-$D$5)*86400,2)</f>
        <v>137.12</v>
      </c>
      <c r="F631" s="12" t="n">
        <v>1183</v>
      </c>
      <c r="G631" s="11" t="str">
        <f aca="false">IF(INDEX(選手一覧!$F$7:$F$2738,$F631)="","",INDEX(選手一覧!$F$7:$F$2738,$F631))</f>
        <v/>
      </c>
      <c r="H631" s="12" t="str">
        <f aca="false">IF(INDEX(選手一覧!$G$7:$G$2738,$F631)="","",INDEX(選手一覧!$G$7:$G$2738,$F631))</f>
        <v/>
      </c>
      <c r="I631" s="11" t="n">
        <f aca="false">IF(INDEX(選手一覧!$H$7:$H$2738,$F631)="","",INDEX(選手一覧!$H$7:$H$2738,$F631))</f>
        <v>0.00284606481481482</v>
      </c>
      <c r="J631" s="12" t="n">
        <f aca="false">IF(INDEX(選手一覧!$I$7:$I$2738,$F631)="","",INDEX(選手一覧!$I$7:$I$2738,$F631))</f>
        <v>542</v>
      </c>
    </row>
    <row r="632" customFormat="false" ht="15" hidden="false" customHeight="false" outlineLevel="0" collapsed="false">
      <c r="A632" s="12" t="n">
        <v>628</v>
      </c>
      <c r="B632" s="10" t="s">
        <v>1484</v>
      </c>
      <c r="C632" s="10" t="s">
        <v>1485</v>
      </c>
      <c r="D632" s="11" t="n">
        <v>0.0107280092592593</v>
      </c>
      <c r="E632" s="18" t="n">
        <f aca="false">ROUND((D632-$D$5)*86400,2)</f>
        <v>137.16</v>
      </c>
      <c r="F632" s="12" t="n">
        <v>1020</v>
      </c>
      <c r="G632" s="11" t="str">
        <f aca="false">IF(INDEX(選手一覧!$F$7:$F$2738,$F632)="","",INDEX(選手一覧!$F$7:$F$2738,$F632))</f>
        <v/>
      </c>
      <c r="H632" s="12" t="str">
        <f aca="false">IF(INDEX(選手一覧!$G$7:$G$2738,$F632)="","",INDEX(選手一覧!$G$7:$G$2738,$F632))</f>
        <v/>
      </c>
      <c r="I632" s="11" t="n">
        <f aca="false">IF(INDEX(選手一覧!$H$7:$H$2738,$F632)="","",INDEX(選手一覧!$H$7:$H$2738,$F632))</f>
        <v>0.00283472222222222</v>
      </c>
      <c r="J632" s="12" t="n">
        <f aca="false">IF(INDEX(選手一覧!$I$7:$I$2738,$F632)="","",INDEX(選手一覧!$I$7:$I$2738,$F632))</f>
        <v>458</v>
      </c>
    </row>
    <row r="633" customFormat="false" ht="15" hidden="false" customHeight="false" outlineLevel="0" collapsed="false">
      <c r="A633" s="12" t="n">
        <v>629</v>
      </c>
      <c r="B633" s="10" t="s">
        <v>1953</v>
      </c>
      <c r="C633" s="10" t="s">
        <v>215</v>
      </c>
      <c r="D633" s="11" t="n">
        <v>0.0107282407407407</v>
      </c>
      <c r="E633" s="18" t="n">
        <f aca="false">ROUND((D633-$D$5)*86400,2)</f>
        <v>137.18</v>
      </c>
      <c r="F633" s="12" t="n">
        <v>1344</v>
      </c>
      <c r="G633" s="11" t="str">
        <f aca="false">IF(INDEX(選手一覧!$F$7:$F$2738,$F633)="","",INDEX(選手一覧!$F$7:$F$2738,$F633))</f>
        <v/>
      </c>
      <c r="H633" s="12" t="str">
        <f aca="false">IF(INDEX(選手一覧!$G$7:$G$2738,$F633)="","",INDEX(選手一覧!$G$7:$G$2738,$F633))</f>
        <v/>
      </c>
      <c r="I633" s="11" t="str">
        <f aca="false">IF(INDEX(選手一覧!$H$7:$H$2738,$F633)="","",INDEX(選手一覧!$H$7:$H$2738,$F633))</f>
        <v/>
      </c>
      <c r="J633" s="12" t="str">
        <f aca="false">IF(INDEX(選手一覧!$I$7:$I$2738,$F633)="","",INDEX(選手一覧!$I$7:$I$2738,$F633))</f>
        <v/>
      </c>
    </row>
    <row r="634" customFormat="false" ht="15" hidden="false" customHeight="false" outlineLevel="0" collapsed="false">
      <c r="A634" s="12" t="n">
        <v>630</v>
      </c>
      <c r="B634" s="10" t="s">
        <v>212</v>
      </c>
      <c r="C634" s="10" t="s">
        <v>213</v>
      </c>
      <c r="D634" s="11" t="n">
        <v>0.0107283564814815</v>
      </c>
      <c r="E634" s="18" t="n">
        <f aca="false">ROUND((D634-$D$5)*86400,2)</f>
        <v>137.19</v>
      </c>
      <c r="F634" s="12" t="n">
        <v>111</v>
      </c>
      <c r="G634" s="11" t="n">
        <f aca="false">IF(INDEX(選手一覧!$F$7:$F$2738,$F634)="","",INDEX(選手一覧!$F$7:$F$2738,$F634))</f>
        <v>0.00653715277777778</v>
      </c>
      <c r="H634" s="12" t="n">
        <f aca="false">IF(INDEX(選手一覧!$G$7:$G$2738,$F634)="","",INDEX(選手一覧!$G$7:$G$2738,$F634))</f>
        <v>42</v>
      </c>
      <c r="I634" s="11" t="str">
        <f aca="false">IF(INDEX(選手一覧!$H$7:$H$2738,$F634)="","",INDEX(選手一覧!$H$7:$H$2738,$F634))</f>
        <v/>
      </c>
      <c r="J634" s="12" t="str">
        <f aca="false">IF(INDEX(選手一覧!$I$7:$I$2738,$F634)="","",INDEX(選手一覧!$I$7:$I$2738,$F634))</f>
        <v/>
      </c>
    </row>
    <row r="635" customFormat="false" ht="15" hidden="false" customHeight="false" outlineLevel="0" collapsed="false">
      <c r="A635" s="12" t="n">
        <v>631</v>
      </c>
      <c r="B635" s="10" t="s">
        <v>1959</v>
      </c>
      <c r="C635" s="10" t="s">
        <v>1130</v>
      </c>
      <c r="D635" s="11" t="n">
        <v>0.0107291666666667</v>
      </c>
      <c r="E635" s="18" t="n">
        <f aca="false">ROUND((D635-$D$5)*86400,2)</f>
        <v>137.26</v>
      </c>
      <c r="F635" s="12" t="n">
        <v>1349</v>
      </c>
      <c r="G635" s="11" t="str">
        <f aca="false">IF(INDEX(選手一覧!$F$7:$F$2738,$F635)="","",INDEX(選手一覧!$F$7:$F$2738,$F635))</f>
        <v/>
      </c>
      <c r="H635" s="12" t="str">
        <f aca="false">IF(INDEX(選手一覧!$G$7:$G$2738,$F635)="","",INDEX(選手一覧!$G$7:$G$2738,$F635))</f>
        <v/>
      </c>
      <c r="I635" s="11" t="n">
        <f aca="false">IF(INDEX(選手一覧!$H$7:$H$2738,$F635)="","",INDEX(選手一覧!$H$7:$H$2738,$F635))</f>
        <v>0.0029412037037037</v>
      </c>
      <c r="J635" s="12" t="n">
        <f aca="false">IF(INDEX(選手一覧!$I$7:$I$2738,$F635)="","",INDEX(選手一覧!$I$7:$I$2738,$F635))</f>
        <v>1203</v>
      </c>
    </row>
    <row r="636" customFormat="false" ht="15" hidden="false" customHeight="false" outlineLevel="0" collapsed="false">
      <c r="A636" s="12" t="n">
        <v>632</v>
      </c>
      <c r="B636" s="10" t="s">
        <v>1091</v>
      </c>
      <c r="C636" s="10" t="s">
        <v>226</v>
      </c>
      <c r="D636" s="11" t="n">
        <v>0.0107303240740741</v>
      </c>
      <c r="E636" s="18" t="n">
        <f aca="false">ROUND((D636-$D$5)*86400,2)</f>
        <v>137.36</v>
      </c>
      <c r="F636" s="12" t="n">
        <v>734</v>
      </c>
      <c r="G636" s="11" t="str">
        <f aca="false">IF(INDEX(選手一覧!$F$7:$F$2738,$F636)="","",INDEX(選手一覧!$F$7:$F$2738,$F636))</f>
        <v/>
      </c>
      <c r="H636" s="12" t="str">
        <f aca="false">IF(INDEX(選手一覧!$G$7:$G$2738,$F636)="","",INDEX(選手一覧!$G$7:$G$2738,$F636))</f>
        <v/>
      </c>
      <c r="I636" s="11" t="n">
        <f aca="false">IF(INDEX(選手一覧!$H$7:$H$2738,$F636)="","",INDEX(選手一覧!$H$7:$H$2738,$F636))</f>
        <v>0.00280740740740741</v>
      </c>
      <c r="J636" s="12" t="n">
        <f aca="false">IF(INDEX(選手一覧!$I$7:$I$2738,$F636)="","",INDEX(選手一覧!$I$7:$I$2738,$F636))</f>
        <v>316</v>
      </c>
    </row>
    <row r="637" customFormat="false" ht="15" hidden="false" customHeight="false" outlineLevel="0" collapsed="false">
      <c r="A637" s="12" t="n">
        <v>633</v>
      </c>
      <c r="B637" s="10" t="s">
        <v>68</v>
      </c>
      <c r="C637" s="10" t="s">
        <v>69</v>
      </c>
      <c r="D637" s="11" t="n">
        <v>0.0107309027777778</v>
      </c>
      <c r="E637" s="18" t="n">
        <f aca="false">ROUND((D637-$D$5)*86400,2)</f>
        <v>137.41</v>
      </c>
      <c r="F637" s="12" t="n">
        <v>26</v>
      </c>
      <c r="G637" s="11" t="str">
        <f aca="false">IF(INDEX(選手一覧!$F$7:$F$2738,$F637)="","",INDEX(選手一覧!$F$7:$F$2738,$F637))</f>
        <v/>
      </c>
      <c r="H637" s="12" t="str">
        <f aca="false">IF(INDEX(選手一覧!$G$7:$G$2738,$F637)="","",INDEX(選手一覧!$G$7:$G$2738,$F637))</f>
        <v/>
      </c>
      <c r="I637" s="11" t="n">
        <f aca="false">IF(INDEX(選手一覧!$H$7:$H$2738,$F637)="","",INDEX(選手一覧!$H$7:$H$2738,$F637))</f>
        <v>0.00267708333333333</v>
      </c>
      <c r="J637" s="12" t="n">
        <f aca="false">IF(INDEX(選手一覧!$I$7:$I$2738,$F637)="","",INDEX(選手一覧!$I$7:$I$2738,$F637))</f>
        <v>10</v>
      </c>
    </row>
    <row r="638" customFormat="false" ht="15" hidden="false" customHeight="false" outlineLevel="0" collapsed="false">
      <c r="A638" s="12" t="n">
        <v>634</v>
      </c>
      <c r="B638" s="10" t="s">
        <v>1237</v>
      </c>
      <c r="C638" s="10" t="s">
        <v>523</v>
      </c>
      <c r="D638" s="11" t="n">
        <v>0.0107315972222222</v>
      </c>
      <c r="E638" s="18" t="n">
        <f aca="false">ROUND((D638-$D$5)*86400,2)</f>
        <v>137.47</v>
      </c>
      <c r="F638" s="12" t="n">
        <v>840</v>
      </c>
      <c r="G638" s="11" t="str">
        <f aca="false">IF(INDEX(選手一覧!$F$7:$F$2738,$F638)="","",INDEX(選手一覧!$F$7:$F$2738,$F638))</f>
        <v/>
      </c>
      <c r="H638" s="12" t="str">
        <f aca="false">IF(INDEX(選手一覧!$G$7:$G$2738,$F638)="","",INDEX(選手一覧!$G$7:$G$2738,$F638))</f>
        <v/>
      </c>
      <c r="I638" s="11" t="n">
        <f aca="false">IF(INDEX(選手一覧!$H$7:$H$2738,$F638)="","",INDEX(選手一覧!$H$7:$H$2738,$F638))</f>
        <v>0.00282118055555556</v>
      </c>
      <c r="J638" s="12" t="n">
        <f aca="false">IF(INDEX(選手一覧!$I$7:$I$2738,$F638)="","",INDEX(選手一覧!$I$7:$I$2738,$F638))</f>
        <v>371</v>
      </c>
    </row>
    <row r="639" customFormat="false" ht="15" hidden="false" customHeight="false" outlineLevel="0" collapsed="false">
      <c r="A639" s="12" t="n">
        <v>635</v>
      </c>
      <c r="B639" s="10" t="s">
        <v>515</v>
      </c>
      <c r="C639" s="10" t="s">
        <v>185</v>
      </c>
      <c r="D639" s="11" t="n">
        <v>0.010731712962963</v>
      </c>
      <c r="E639" s="18" t="n">
        <f aca="false">ROUND((D639-$D$5)*86400,2)</f>
        <v>137.48</v>
      </c>
      <c r="F639" s="12" t="n">
        <v>319</v>
      </c>
      <c r="G639" s="11" t="n">
        <f aca="false">IF(INDEX(選手一覧!$F$7:$F$2738,$F639)="","",INDEX(選手一覧!$F$7:$F$2738,$F639))</f>
        <v>0.00675474537037037</v>
      </c>
      <c r="H639" s="12" t="n">
        <f aca="false">IF(INDEX(選手一覧!$G$7:$G$2738,$F639)="","",INDEX(選手一覧!$G$7:$G$2738,$F639))</f>
        <v>132</v>
      </c>
      <c r="I639" s="11" t="n">
        <f aca="false">IF(INDEX(選手一覧!$H$7:$H$2738,$F639)="","",INDEX(選手一覧!$H$7:$H$2738,$F639))</f>
        <v>0.00289351851851852</v>
      </c>
      <c r="J639" s="12" t="n">
        <f aca="false">IF(INDEX(選手一覧!$I$7:$I$2738,$F639)="","",INDEX(選手一覧!$I$7:$I$2738,$F639))</f>
        <v>901</v>
      </c>
    </row>
    <row r="640" customFormat="false" ht="15" hidden="false" customHeight="false" outlineLevel="0" collapsed="false">
      <c r="A640" s="12" t="n">
        <v>636</v>
      </c>
      <c r="B640" s="10" t="s">
        <v>204</v>
      </c>
      <c r="C640" s="10" t="s">
        <v>64</v>
      </c>
      <c r="D640" s="11" t="n">
        <v>0.0107318287037037</v>
      </c>
      <c r="E640" s="18" t="n">
        <f aca="false">ROUND((D640-$D$5)*86400,2)</f>
        <v>137.49</v>
      </c>
      <c r="F640" s="12" t="n">
        <v>106</v>
      </c>
      <c r="G640" s="11" t="n">
        <f aca="false">IF(INDEX(選手一覧!$F$7:$F$2738,$F640)="","",INDEX(選手一覧!$F$7:$F$2738,$F640))</f>
        <v>0.00653611111111111</v>
      </c>
      <c r="H640" s="12" t="n">
        <f aca="false">IF(INDEX(選手一覧!$G$7:$G$2738,$F640)="","",INDEX(選手一覧!$G$7:$G$2738,$F640))</f>
        <v>41</v>
      </c>
      <c r="I640" s="11" t="n">
        <f aca="false">IF(INDEX(選手一覧!$H$7:$H$2738,$F640)="","",INDEX(選手一覧!$H$7:$H$2738,$F640))</f>
        <v>0.00287986111111111</v>
      </c>
      <c r="J640" s="12" t="n">
        <f aca="false">IF(INDEX(選手一覧!$I$7:$I$2738,$F640)="","",INDEX(選手一覧!$I$7:$I$2738,$F640))</f>
        <v>770</v>
      </c>
    </row>
    <row r="641" customFormat="false" ht="15" hidden="false" customHeight="false" outlineLevel="0" collapsed="false">
      <c r="A641" s="12" t="n">
        <v>637</v>
      </c>
      <c r="B641" s="10" t="s">
        <v>1161</v>
      </c>
      <c r="C641" s="10" t="s">
        <v>25</v>
      </c>
      <c r="D641" s="11" t="n">
        <v>0.0107318287037037</v>
      </c>
      <c r="E641" s="18" t="n">
        <f aca="false">ROUND((D641-$D$5)*86400,2)</f>
        <v>137.49</v>
      </c>
      <c r="F641" s="12" t="n">
        <v>786</v>
      </c>
      <c r="G641" s="11" t="n">
        <f aca="false">IF(INDEX(選手一覧!$F$7:$F$2738,$F641)="","",INDEX(選手一覧!$F$7:$F$2738,$F641))</f>
        <v>0.00700451388888889</v>
      </c>
      <c r="H641" s="12" t="n">
        <f aca="false">IF(INDEX(選手一覧!$G$7:$G$2738,$F641)="","",INDEX(選手一覧!$G$7:$G$2738,$F641))</f>
        <v>341</v>
      </c>
      <c r="I641" s="11" t="n">
        <f aca="false">IF(INDEX(選手一覧!$H$7:$H$2738,$F641)="","",INDEX(選手一覧!$H$7:$H$2738,$F641))</f>
        <v>0.00283530092592593</v>
      </c>
      <c r="J641" s="12" t="n">
        <f aca="false">IF(INDEX(選手一覧!$I$7:$I$2738,$F641)="","",INDEX(選手一覧!$I$7:$I$2738,$F641))</f>
        <v>464</v>
      </c>
    </row>
    <row r="642" customFormat="false" ht="15" hidden="false" customHeight="false" outlineLevel="0" collapsed="false">
      <c r="A642" s="12" t="n">
        <v>638</v>
      </c>
      <c r="B642" s="10" t="s">
        <v>1971</v>
      </c>
      <c r="C642" s="10" t="s">
        <v>1972</v>
      </c>
      <c r="D642" s="11" t="n">
        <v>0.0107325231481482</v>
      </c>
      <c r="E642" s="18" t="n">
        <f aca="false">ROUND((D642-$D$5)*86400,2)</f>
        <v>137.55</v>
      </c>
      <c r="F642" s="12" t="n">
        <v>1358</v>
      </c>
      <c r="G642" s="11" t="str">
        <f aca="false">IF(INDEX(選手一覧!$F$7:$F$2738,$F642)="","",INDEX(選手一覧!$F$7:$F$2738,$F642))</f>
        <v/>
      </c>
      <c r="H642" s="12" t="str">
        <f aca="false">IF(INDEX(選手一覧!$G$7:$G$2738,$F642)="","",INDEX(選手一覧!$G$7:$G$2738,$F642))</f>
        <v/>
      </c>
      <c r="I642" s="11" t="str">
        <f aca="false">IF(INDEX(選手一覧!$H$7:$H$2738,$F642)="","",INDEX(選手一覧!$H$7:$H$2738,$F642))</f>
        <v/>
      </c>
      <c r="J642" s="12" t="str">
        <f aca="false">IF(INDEX(選手一覧!$I$7:$I$2738,$F642)="","",INDEX(選手一覧!$I$7:$I$2738,$F642))</f>
        <v/>
      </c>
    </row>
    <row r="643" customFormat="false" ht="15" hidden="false" customHeight="false" outlineLevel="0" collapsed="false">
      <c r="A643" s="12" t="n">
        <v>639</v>
      </c>
      <c r="B643" s="10" t="s">
        <v>1143</v>
      </c>
      <c r="C643" s="10" t="s">
        <v>425</v>
      </c>
      <c r="D643" s="11" t="n">
        <v>0.0107329861111111</v>
      </c>
      <c r="E643" s="18" t="n">
        <f aca="false">ROUND((D643-$D$5)*86400,2)</f>
        <v>137.59</v>
      </c>
      <c r="F643" s="12" t="n">
        <v>772</v>
      </c>
      <c r="G643" s="11" t="str">
        <f aca="false">IF(INDEX(選手一覧!$F$7:$F$2738,$F643)="","",INDEX(選手一覧!$F$7:$F$2738,$F643))</f>
        <v/>
      </c>
      <c r="H643" s="12" t="str">
        <f aca="false">IF(INDEX(選手一覧!$G$7:$G$2738,$F643)="","",INDEX(選手一覧!$G$7:$G$2738,$F643))</f>
        <v/>
      </c>
      <c r="I643" s="11" t="n">
        <f aca="false">IF(INDEX(選手一覧!$H$7:$H$2738,$F643)="","",INDEX(選手一覧!$H$7:$H$2738,$F643))</f>
        <v>0.00281319444444445</v>
      </c>
      <c r="J643" s="12" t="n">
        <f aca="false">IF(INDEX(選手一覧!$I$7:$I$2738,$F643)="","",INDEX(選手一覧!$I$7:$I$2738,$F643))</f>
        <v>335</v>
      </c>
    </row>
    <row r="644" customFormat="false" ht="15" hidden="false" customHeight="false" outlineLevel="0" collapsed="false">
      <c r="A644" s="12" t="n">
        <v>640</v>
      </c>
      <c r="B644" s="10" t="s">
        <v>547</v>
      </c>
      <c r="C644" s="10" t="s">
        <v>371</v>
      </c>
      <c r="D644" s="11" t="n">
        <v>0.0107333333333333</v>
      </c>
      <c r="E644" s="18" t="n">
        <f aca="false">ROUND((D644-$D$5)*86400,2)</f>
        <v>137.62</v>
      </c>
      <c r="F644" s="12" t="n">
        <v>341</v>
      </c>
      <c r="G644" s="11" t="n">
        <f aca="false">IF(INDEX(選手一覧!$F$7:$F$2738,$F644)="","",INDEX(選手一覧!$F$7:$F$2738,$F644))</f>
        <v>0.00676458333333333</v>
      </c>
      <c r="H644" s="12" t="n">
        <f aca="false">IF(INDEX(選手一覧!$G$7:$G$2738,$F644)="","",INDEX(選手一覧!$G$7:$G$2738,$F644))</f>
        <v>142</v>
      </c>
      <c r="I644" s="11" t="str">
        <f aca="false">IF(INDEX(選手一覧!$H$7:$H$2738,$F644)="","",INDEX(選手一覧!$H$7:$H$2738,$F644))</f>
        <v/>
      </c>
      <c r="J644" s="12" t="str">
        <f aca="false">IF(INDEX(選手一覧!$I$7:$I$2738,$F644)="","",INDEX(選手一覧!$I$7:$I$2738,$F644))</f>
        <v/>
      </c>
    </row>
    <row r="645" customFormat="false" ht="15" hidden="false" customHeight="false" outlineLevel="0" collapsed="false">
      <c r="A645" s="12" t="n">
        <v>641</v>
      </c>
      <c r="B645" s="10" t="s">
        <v>1152</v>
      </c>
      <c r="C645" s="10" t="s">
        <v>103</v>
      </c>
      <c r="D645" s="11" t="n">
        <v>0.0107349537037037</v>
      </c>
      <c r="E645" s="18" t="n">
        <f aca="false">ROUND((D645-$D$5)*86400,2)</f>
        <v>137.76</v>
      </c>
      <c r="F645" s="12" t="n">
        <v>779</v>
      </c>
      <c r="G645" s="11" t="str">
        <f aca="false">IF(INDEX(選手一覧!$F$7:$F$2738,$F645)="","",INDEX(選手一覧!$F$7:$F$2738,$F645))</f>
        <v/>
      </c>
      <c r="H645" s="12" t="str">
        <f aca="false">IF(INDEX(選手一覧!$G$7:$G$2738,$F645)="","",INDEX(選手一覧!$G$7:$G$2738,$F645))</f>
        <v/>
      </c>
      <c r="I645" s="11" t="n">
        <f aca="false">IF(INDEX(選手一覧!$H$7:$H$2738,$F645)="","",INDEX(選手一覧!$H$7:$H$2738,$F645))</f>
        <v>0.00281354166666667</v>
      </c>
      <c r="J645" s="12" t="n">
        <f aca="false">IF(INDEX(選手一覧!$I$7:$I$2738,$F645)="","",INDEX(選手一覧!$I$7:$I$2738,$F645))</f>
        <v>338</v>
      </c>
    </row>
    <row r="646" customFormat="false" ht="15" hidden="false" customHeight="false" outlineLevel="0" collapsed="false">
      <c r="A646" s="12" t="n">
        <v>642</v>
      </c>
      <c r="B646" s="10" t="s">
        <v>1134</v>
      </c>
      <c r="C646" s="10" t="s">
        <v>114</v>
      </c>
      <c r="D646" s="11" t="n">
        <v>0.0107350694444444</v>
      </c>
      <c r="E646" s="18" t="n">
        <f aca="false">ROUND((D646-$D$5)*86400,2)</f>
        <v>137.77</v>
      </c>
      <c r="F646" s="12" t="n">
        <v>765</v>
      </c>
      <c r="G646" s="11" t="str">
        <f aca="false">IF(INDEX(選手一覧!$F$7:$F$2738,$F646)="","",INDEX(選手一覧!$F$7:$F$2738,$F646))</f>
        <v/>
      </c>
      <c r="H646" s="12" t="str">
        <f aca="false">IF(INDEX(選手一覧!$G$7:$G$2738,$F646)="","",INDEX(選手一覧!$G$7:$G$2738,$F646))</f>
        <v/>
      </c>
      <c r="I646" s="11" t="n">
        <f aca="false">IF(INDEX(選手一覧!$H$7:$H$2738,$F646)="","",INDEX(選手一覧!$H$7:$H$2738,$F646))</f>
        <v>0.00281284722222222</v>
      </c>
      <c r="J646" s="12" t="n">
        <f aca="false">IF(INDEX(選手一覧!$I$7:$I$2738,$F646)="","",INDEX(選手一覧!$I$7:$I$2738,$F646))</f>
        <v>332</v>
      </c>
    </row>
    <row r="647" customFormat="false" ht="15" hidden="false" customHeight="false" outlineLevel="0" collapsed="false">
      <c r="A647" s="12" t="n">
        <v>643</v>
      </c>
      <c r="B647" s="10" t="s">
        <v>562</v>
      </c>
      <c r="C647" s="10" t="s">
        <v>53</v>
      </c>
      <c r="D647" s="11" t="n">
        <v>0.0107357638888889</v>
      </c>
      <c r="E647" s="18" t="n">
        <f aca="false">ROUND((D647-$D$5)*86400,2)</f>
        <v>137.83</v>
      </c>
      <c r="F647" s="12" t="n">
        <v>352</v>
      </c>
      <c r="G647" s="11" t="str">
        <f aca="false">IF(INDEX(選手一覧!$F$7:$F$2738,$F647)="","",INDEX(選手一覧!$F$7:$F$2738,$F647))</f>
        <v/>
      </c>
      <c r="H647" s="12" t="str">
        <f aca="false">IF(INDEX(選手一覧!$G$7:$G$2738,$F647)="","",INDEX(選手一覧!$G$7:$G$2738,$F647))</f>
        <v/>
      </c>
      <c r="I647" s="11" t="n">
        <f aca="false">IF(INDEX(選手一覧!$H$7:$H$2738,$F647)="","",INDEX(選手一覧!$H$7:$H$2738,$F647))</f>
        <v>0.00276481481481482</v>
      </c>
      <c r="J647" s="12" t="n">
        <f aca="false">IF(INDEX(選手一覧!$I$7:$I$2738,$F647)="","",INDEX(選手一覧!$I$7:$I$2738,$F647))</f>
        <v>148</v>
      </c>
    </row>
    <row r="648" customFormat="false" ht="15" hidden="false" customHeight="false" outlineLevel="0" collapsed="false">
      <c r="A648" s="12" t="n">
        <v>644</v>
      </c>
      <c r="B648" s="10" t="s">
        <v>1988</v>
      </c>
      <c r="C648" s="10" t="s">
        <v>234</v>
      </c>
      <c r="D648" s="11" t="n">
        <v>0.0107358796296296</v>
      </c>
      <c r="E648" s="18" t="n">
        <f aca="false">ROUND((D648-$D$5)*86400,2)</f>
        <v>137.84</v>
      </c>
      <c r="F648" s="12" t="n">
        <v>1370</v>
      </c>
      <c r="G648" s="11" t="str">
        <f aca="false">IF(INDEX(選手一覧!$F$7:$F$2738,$F648)="","",INDEX(選手一覧!$F$7:$F$2738,$F648))</f>
        <v/>
      </c>
      <c r="H648" s="12" t="str">
        <f aca="false">IF(INDEX(選手一覧!$G$7:$G$2738,$F648)="","",INDEX(選手一覧!$G$7:$G$2738,$F648))</f>
        <v/>
      </c>
      <c r="I648" s="11" t="n">
        <f aca="false">IF(INDEX(選手一覧!$H$7:$H$2738,$F648)="","",INDEX(選手一覧!$H$7:$H$2738,$F648))</f>
        <v>0.00289490740740741</v>
      </c>
      <c r="J648" s="12" t="n">
        <f aca="false">IF(INDEX(選手一覧!$I$7:$I$2738,$F648)="","",INDEX(選手一覧!$I$7:$I$2738,$F648))</f>
        <v>912</v>
      </c>
    </row>
    <row r="649" customFormat="false" ht="15" hidden="false" customHeight="false" outlineLevel="0" collapsed="false">
      <c r="A649" s="12" t="n">
        <v>645</v>
      </c>
      <c r="B649" s="10" t="s">
        <v>1991</v>
      </c>
      <c r="C649" s="10" t="s">
        <v>1837</v>
      </c>
      <c r="D649" s="11" t="n">
        <v>0.0107362268518519</v>
      </c>
      <c r="E649" s="18" t="n">
        <f aca="false">ROUND((D649-$D$5)*86400,2)</f>
        <v>137.87</v>
      </c>
      <c r="F649" s="12" t="n">
        <v>1372</v>
      </c>
      <c r="G649" s="11" t="str">
        <f aca="false">IF(INDEX(選手一覧!$F$7:$F$2738,$F649)="","",INDEX(選手一覧!$F$7:$F$2738,$F649))</f>
        <v/>
      </c>
      <c r="H649" s="12" t="str">
        <f aca="false">IF(INDEX(選手一覧!$G$7:$G$2738,$F649)="","",INDEX(選手一覧!$G$7:$G$2738,$F649))</f>
        <v/>
      </c>
      <c r="I649" s="11" t="n">
        <f aca="false">IF(INDEX(選手一覧!$H$7:$H$2738,$F649)="","",INDEX(選手一覧!$H$7:$H$2738,$F649))</f>
        <v>0.00291956018518519</v>
      </c>
      <c r="J649" s="12" t="n">
        <f aca="false">IF(INDEX(選手一覧!$I$7:$I$2738,$F649)="","",INDEX(選手一覧!$I$7:$I$2738,$F649))</f>
        <v>1091</v>
      </c>
    </row>
    <row r="650" customFormat="false" ht="15" hidden="false" customHeight="false" outlineLevel="0" collapsed="false">
      <c r="A650" s="12" t="n">
        <v>646</v>
      </c>
      <c r="B650" s="10" t="s">
        <v>1996</v>
      </c>
      <c r="C650" s="10" t="s">
        <v>917</v>
      </c>
      <c r="D650" s="11" t="n">
        <v>0.0107369212962963</v>
      </c>
      <c r="E650" s="18" t="n">
        <f aca="false">ROUND((D650-$D$5)*86400,2)</f>
        <v>137.93</v>
      </c>
      <c r="F650" s="12" t="n">
        <v>1376</v>
      </c>
      <c r="G650" s="11" t="str">
        <f aca="false">IF(INDEX(選手一覧!$F$7:$F$2738,$F650)="","",INDEX(選手一覧!$F$7:$F$2738,$F650))</f>
        <v/>
      </c>
      <c r="H650" s="12" t="str">
        <f aca="false">IF(INDEX(選手一覧!$G$7:$G$2738,$F650)="","",INDEX(選手一覧!$G$7:$G$2738,$F650))</f>
        <v/>
      </c>
      <c r="I650" s="11" t="str">
        <f aca="false">IF(INDEX(選手一覧!$H$7:$H$2738,$F650)="","",INDEX(選手一覧!$H$7:$H$2738,$F650))</f>
        <v/>
      </c>
      <c r="J650" s="12" t="str">
        <f aca="false">IF(INDEX(選手一覧!$I$7:$I$2738,$F650)="","",INDEX(選手一覧!$I$7:$I$2738,$F650))</f>
        <v/>
      </c>
    </row>
    <row r="651" customFormat="false" ht="15" hidden="false" customHeight="false" outlineLevel="0" collapsed="false">
      <c r="A651" s="12" t="n">
        <v>647</v>
      </c>
      <c r="B651" s="10" t="s">
        <v>1667</v>
      </c>
      <c r="C651" s="10" t="s">
        <v>1668</v>
      </c>
      <c r="D651" s="11" t="n">
        <v>0.0107369212962963</v>
      </c>
      <c r="E651" s="18" t="n">
        <f aca="false">ROUND((D651-$D$5)*86400,2)</f>
        <v>137.93</v>
      </c>
      <c r="F651" s="12" t="n">
        <v>1149</v>
      </c>
      <c r="G651" s="11" t="str">
        <f aca="false">IF(INDEX(選手一覧!$F$7:$F$2738,$F651)="","",INDEX(選手一覧!$F$7:$F$2738,$F651))</f>
        <v/>
      </c>
      <c r="H651" s="12" t="str">
        <f aca="false">IF(INDEX(選手一覧!$G$7:$G$2738,$F651)="","",INDEX(選手一覧!$G$7:$G$2738,$F651))</f>
        <v/>
      </c>
      <c r="I651" s="11" t="n">
        <f aca="false">IF(INDEX(選手一覧!$H$7:$H$2738,$F651)="","",INDEX(選手一覧!$H$7:$H$2738,$F651))</f>
        <v>0.00284386574074074</v>
      </c>
      <c r="J651" s="12" t="n">
        <f aca="false">IF(INDEX(選手一覧!$I$7:$I$2738,$F651)="","",INDEX(選手一覧!$I$7:$I$2738,$F651))</f>
        <v>524</v>
      </c>
    </row>
    <row r="652" customFormat="false" ht="15" hidden="false" customHeight="false" outlineLevel="0" collapsed="false">
      <c r="A652" s="12" t="n">
        <v>648</v>
      </c>
      <c r="B652" s="10" t="s">
        <v>618</v>
      </c>
      <c r="C652" s="10" t="s">
        <v>616</v>
      </c>
      <c r="D652" s="11" t="n">
        <v>0.0107372685185185</v>
      </c>
      <c r="E652" s="18" t="n">
        <f aca="false">ROUND((D652-$D$5)*86400,2)</f>
        <v>137.96</v>
      </c>
      <c r="F652" s="12" t="n">
        <v>390</v>
      </c>
      <c r="G652" s="11" t="str">
        <f aca="false">IF(INDEX(選手一覧!$F$7:$F$2738,$F652)="","",INDEX(選手一覧!$F$7:$F$2738,$F652))</f>
        <v/>
      </c>
      <c r="H652" s="12" t="str">
        <f aca="false">IF(INDEX(選手一覧!$G$7:$G$2738,$F652)="","",INDEX(選手一覧!$G$7:$G$2738,$F652))</f>
        <v/>
      </c>
      <c r="I652" s="11" t="n">
        <f aca="false">IF(INDEX(選手一覧!$H$7:$H$2738,$F652)="","",INDEX(選手一覧!$H$7:$H$2738,$F652))</f>
        <v>0.002771875</v>
      </c>
      <c r="J652" s="12" t="n">
        <f aca="false">IF(INDEX(選手一覧!$I$7:$I$2738,$F652)="","",INDEX(選手一覧!$I$7:$I$2738,$F652))</f>
        <v>165</v>
      </c>
    </row>
    <row r="653" customFormat="false" ht="15" hidden="false" customHeight="false" outlineLevel="0" collapsed="false">
      <c r="A653" s="12" t="n">
        <v>649</v>
      </c>
      <c r="B653" s="10" t="s">
        <v>414</v>
      </c>
      <c r="C653" s="10" t="s">
        <v>226</v>
      </c>
      <c r="D653" s="11" t="n">
        <v>0.0107376157407407</v>
      </c>
      <c r="E653" s="18" t="n">
        <f aca="false">ROUND((D653-$D$5)*86400,2)</f>
        <v>137.99</v>
      </c>
      <c r="F653" s="12" t="n">
        <v>251</v>
      </c>
      <c r="G653" s="11" t="n">
        <f aca="false">IF(INDEX(選手一覧!$F$7:$F$2738,$F653)="","",INDEX(選手一覧!$F$7:$F$2738,$F653))</f>
        <v>0.00668634259259259</v>
      </c>
      <c r="H653" s="12" t="n">
        <f aca="false">IF(INDEX(選手一覧!$G$7:$G$2738,$F653)="","",INDEX(選手一覧!$G$7:$G$2738,$F653))</f>
        <v>104</v>
      </c>
      <c r="I653" s="11" t="str">
        <f aca="false">IF(INDEX(選手一覧!$H$7:$H$2738,$F653)="","",INDEX(選手一覧!$H$7:$H$2738,$F653))</f>
        <v/>
      </c>
      <c r="J653" s="12" t="str">
        <f aca="false">IF(INDEX(選手一覧!$I$7:$I$2738,$F653)="","",INDEX(選手一覧!$I$7:$I$2738,$F653))</f>
        <v/>
      </c>
    </row>
    <row r="654" customFormat="false" ht="15" hidden="false" customHeight="false" outlineLevel="0" collapsed="false">
      <c r="A654" s="12" t="n">
        <v>650</v>
      </c>
      <c r="B654" s="10" t="s">
        <v>679</v>
      </c>
      <c r="C654" s="10" t="s">
        <v>680</v>
      </c>
      <c r="D654" s="11" t="n">
        <v>0.0107380787037037</v>
      </c>
      <c r="E654" s="18" t="n">
        <f aca="false">ROUND((D654-$D$5)*86400,2)</f>
        <v>138.03</v>
      </c>
      <c r="F654" s="12" t="n">
        <v>434</v>
      </c>
      <c r="G654" s="11" t="n">
        <f aca="false">IF(INDEX(選手一覧!$F$7:$F$2738,$F654)="","",INDEX(選手一覧!$F$7:$F$2738,$F654))</f>
        <v>0.00681689814814815</v>
      </c>
      <c r="H654" s="12" t="n">
        <f aca="false">IF(INDEX(選手一覧!$G$7:$G$2738,$F654)="","",INDEX(選手一覧!$G$7:$G$2738,$F654))</f>
        <v>183</v>
      </c>
      <c r="I654" s="11" t="n">
        <f aca="false">IF(INDEX(選手一覧!$H$7:$H$2738,$F654)="","",INDEX(選手一覧!$H$7:$H$2738,$F654))</f>
        <v>0.00282615740740741</v>
      </c>
      <c r="J654" s="12" t="n">
        <f aca="false">IF(INDEX(選手一覧!$I$7:$I$2738,$F654)="","",INDEX(選手一覧!$I$7:$I$2738,$F654))</f>
        <v>399</v>
      </c>
    </row>
    <row r="655" customFormat="false" ht="15" hidden="false" customHeight="false" outlineLevel="0" collapsed="false">
      <c r="A655" s="12" t="n">
        <v>651</v>
      </c>
      <c r="B655" s="10" t="s">
        <v>827</v>
      </c>
      <c r="C655" s="10" t="s">
        <v>695</v>
      </c>
      <c r="D655" s="11" t="n">
        <v>0.0107394675925926</v>
      </c>
      <c r="E655" s="18" t="n">
        <f aca="false">ROUND((D655-$D$5)*86400,2)</f>
        <v>138.15</v>
      </c>
      <c r="F655" s="12" t="n">
        <v>540</v>
      </c>
      <c r="G655" s="11" t="n">
        <f aca="false">IF(INDEX(選手一覧!$F$7:$F$2738,$F655)="","",INDEX(選手一覧!$F$7:$F$2738,$F655))</f>
        <v>0.00688576388888889</v>
      </c>
      <c r="H655" s="12" t="n">
        <f aca="false">IF(INDEX(選手一覧!$G$7:$G$2738,$F655)="","",INDEX(選手一覧!$G$7:$G$2738,$F655))</f>
        <v>226</v>
      </c>
      <c r="I655" s="11" t="n">
        <f aca="false">IF(INDEX(選手一覧!$H$7:$H$2738,$F655)="","",INDEX(選手一覧!$H$7:$H$2738,$F655))</f>
        <v>0.00286828703703704</v>
      </c>
      <c r="J655" s="12" t="n">
        <f aca="false">IF(INDEX(選手一覧!$I$7:$I$2738,$F655)="","",INDEX(選手一覧!$I$7:$I$2738,$F655))</f>
        <v>684</v>
      </c>
    </row>
    <row r="656" customFormat="false" ht="15" hidden="false" customHeight="false" outlineLevel="0" collapsed="false">
      <c r="A656" s="12" t="n">
        <v>652</v>
      </c>
      <c r="B656" s="10" t="s">
        <v>1025</v>
      </c>
      <c r="C656" s="10" t="s">
        <v>149</v>
      </c>
      <c r="D656" s="11" t="n">
        <v>0.0107398148148148</v>
      </c>
      <c r="E656" s="18" t="n">
        <f aca="false">ROUND((D656-$D$5)*86400,2)</f>
        <v>138.18</v>
      </c>
      <c r="F656" s="12" t="n">
        <v>687</v>
      </c>
      <c r="G656" s="11" t="n">
        <f aca="false">IF(INDEX(選手一覧!$F$7:$F$2738,$F656)="","",INDEX(選手一覧!$F$7:$F$2738,$F656))</f>
        <v>0.00695972222222222</v>
      </c>
      <c r="H656" s="12" t="n">
        <f aca="false">IF(INDEX(選手一覧!$G$7:$G$2738,$F656)="","",INDEX(選手一覧!$G$7:$G$2738,$F656))</f>
        <v>293</v>
      </c>
      <c r="I656" s="11" t="n">
        <f aca="false">IF(INDEX(選手一覧!$H$7:$H$2738,$F656)="","",INDEX(選手一覧!$H$7:$H$2738,$F656))</f>
        <v>0.00288784722222222</v>
      </c>
      <c r="J656" s="12" t="n">
        <f aca="false">IF(INDEX(選手一覧!$I$7:$I$2738,$F656)="","",INDEX(選手一覧!$I$7:$I$2738,$F656))</f>
        <v>845</v>
      </c>
    </row>
    <row r="657" customFormat="false" ht="15" hidden="false" customHeight="false" outlineLevel="0" collapsed="false">
      <c r="A657" s="12" t="n">
        <v>653</v>
      </c>
      <c r="B657" s="10" t="s">
        <v>2011</v>
      </c>
      <c r="C657" s="10" t="s">
        <v>215</v>
      </c>
      <c r="D657" s="11" t="n">
        <v>0.010740625</v>
      </c>
      <c r="E657" s="18" t="n">
        <f aca="false">ROUND((D657-$D$5)*86400,2)</f>
        <v>138.25</v>
      </c>
      <c r="F657" s="12" t="n">
        <v>1388</v>
      </c>
      <c r="G657" s="11" t="str">
        <f aca="false">IF(INDEX(選手一覧!$F$7:$F$2738,$F657)="","",INDEX(選手一覧!$F$7:$F$2738,$F657))</f>
        <v/>
      </c>
      <c r="H657" s="12" t="str">
        <f aca="false">IF(INDEX(選手一覧!$G$7:$G$2738,$F657)="","",INDEX(選手一覧!$G$7:$G$2738,$F657))</f>
        <v/>
      </c>
      <c r="I657" s="11" t="n">
        <f aca="false">IF(INDEX(選手一覧!$H$7:$H$2738,$F657)="","",INDEX(選手一覧!$H$7:$H$2738,$F657))</f>
        <v>0.00290787037037037</v>
      </c>
      <c r="J657" s="12" t="n">
        <f aca="false">IF(INDEX(選手一覧!$I$7:$I$2738,$F657)="","",INDEX(選手一覧!$I$7:$I$2738,$F657))</f>
        <v>1000</v>
      </c>
    </row>
    <row r="658" customFormat="false" ht="15" hidden="false" customHeight="false" outlineLevel="0" collapsed="false">
      <c r="A658" s="12" t="n">
        <v>654</v>
      </c>
      <c r="B658" s="10" t="s">
        <v>2013</v>
      </c>
      <c r="C658" s="10" t="s">
        <v>752</v>
      </c>
      <c r="D658" s="11" t="n">
        <v>0.010740625</v>
      </c>
      <c r="E658" s="18" t="n">
        <f aca="false">ROUND((D658-$D$5)*86400,2)</f>
        <v>138.25</v>
      </c>
      <c r="F658" s="12" t="n">
        <v>1390</v>
      </c>
      <c r="G658" s="11" t="str">
        <f aca="false">IF(INDEX(選手一覧!$F$7:$F$2738,$F658)="","",INDEX(選手一覧!$F$7:$F$2738,$F658))</f>
        <v/>
      </c>
      <c r="H658" s="12" t="str">
        <f aca="false">IF(INDEX(選手一覧!$G$7:$G$2738,$F658)="","",INDEX(選手一覧!$G$7:$G$2738,$F658))</f>
        <v/>
      </c>
      <c r="I658" s="11" t="n">
        <f aca="false">IF(INDEX(選手一覧!$H$7:$H$2738,$F658)="","",INDEX(選手一覧!$H$7:$H$2738,$F658))</f>
        <v>0.00286643518518519</v>
      </c>
      <c r="J658" s="12" t="n">
        <f aca="false">IF(INDEX(選手一覧!$I$7:$I$2738,$F658)="","",INDEX(選手一覧!$I$7:$I$2738,$F658))</f>
        <v>673</v>
      </c>
    </row>
    <row r="659" customFormat="false" ht="15" hidden="false" customHeight="false" outlineLevel="0" collapsed="false">
      <c r="A659" s="12" t="n">
        <v>655</v>
      </c>
      <c r="B659" s="10" t="s">
        <v>942</v>
      </c>
      <c r="C659" s="10" t="s">
        <v>931</v>
      </c>
      <c r="D659" s="11" t="n">
        <v>0.0107415509259259</v>
      </c>
      <c r="E659" s="18" t="n">
        <f aca="false">ROUND((D659-$D$5)*86400,2)</f>
        <v>138.33</v>
      </c>
      <c r="F659" s="12" t="n">
        <v>626</v>
      </c>
      <c r="G659" s="11" t="str">
        <f aca="false">IF(INDEX(選手一覧!$F$7:$F$2738,$F659)="","",INDEX(選手一覧!$F$7:$F$2738,$F659))</f>
        <v/>
      </c>
      <c r="H659" s="12" t="str">
        <f aca="false">IF(INDEX(選手一覧!$G$7:$G$2738,$F659)="","",INDEX(選手一覧!$G$7:$G$2738,$F659))</f>
        <v/>
      </c>
      <c r="I659" s="11" t="n">
        <f aca="false">IF(INDEX(選手一覧!$H$7:$H$2738,$F659)="","",INDEX(選手一覧!$H$7:$H$2738,$F659))</f>
        <v>0.00279560185185185</v>
      </c>
      <c r="J659" s="12" t="n">
        <f aca="false">IF(INDEX(選手一覧!$I$7:$I$2738,$F659)="","",INDEX(選手一覧!$I$7:$I$2738,$F659))</f>
        <v>263</v>
      </c>
    </row>
    <row r="660" customFormat="false" ht="15" hidden="false" customHeight="false" outlineLevel="0" collapsed="false">
      <c r="A660" s="12" t="n">
        <v>656</v>
      </c>
      <c r="B660" s="10" t="s">
        <v>2018</v>
      </c>
      <c r="C660" s="10" t="s">
        <v>103</v>
      </c>
      <c r="D660" s="11" t="n">
        <v>0.0107417824074074</v>
      </c>
      <c r="E660" s="18" t="n">
        <f aca="false">ROUND((D660-$D$5)*86400,2)</f>
        <v>138.35</v>
      </c>
      <c r="F660" s="12" t="n">
        <v>1393</v>
      </c>
      <c r="G660" s="11" t="str">
        <f aca="false">IF(INDEX(選手一覧!$F$7:$F$2738,$F660)="","",INDEX(選手一覧!$F$7:$F$2738,$F660))</f>
        <v/>
      </c>
      <c r="H660" s="12" t="str">
        <f aca="false">IF(INDEX(選手一覧!$G$7:$G$2738,$F660)="","",INDEX(選手一覧!$G$7:$G$2738,$F660))</f>
        <v/>
      </c>
      <c r="I660" s="11" t="str">
        <f aca="false">IF(INDEX(選手一覧!$H$7:$H$2738,$F660)="","",INDEX(選手一覧!$H$7:$H$2738,$F660))</f>
        <v/>
      </c>
      <c r="J660" s="12" t="str">
        <f aca="false">IF(INDEX(選手一覧!$I$7:$I$2738,$F660)="","",INDEX(選手一覧!$I$7:$I$2738,$F660))</f>
        <v/>
      </c>
    </row>
    <row r="661" customFormat="false" ht="15" hidden="false" customHeight="false" outlineLevel="0" collapsed="false">
      <c r="A661" s="12" t="n">
        <v>657</v>
      </c>
      <c r="B661" s="10" t="s">
        <v>235</v>
      </c>
      <c r="C661" s="10" t="s">
        <v>210</v>
      </c>
      <c r="D661" s="11" t="n">
        <v>0.0107427083333333</v>
      </c>
      <c r="E661" s="18" t="n">
        <f aca="false">ROUND((D661-$D$5)*86400,2)</f>
        <v>138.43</v>
      </c>
      <c r="F661" s="12" t="n">
        <v>126</v>
      </c>
      <c r="G661" s="11" t="n">
        <f aca="false">IF(INDEX(選手一覧!$F$7:$F$2738,$F661)="","",INDEX(選手一覧!$F$7:$F$2738,$F661))</f>
        <v>0.00656342592592593</v>
      </c>
      <c r="H661" s="12" t="n">
        <f aca="false">IF(INDEX(選手一覧!$G$7:$G$2738,$F661)="","",INDEX(選手一覧!$G$7:$G$2738,$F661))</f>
        <v>49</v>
      </c>
      <c r="I661" s="11" t="n">
        <f aca="false">IF(INDEX(選手一覧!$H$7:$H$2738,$F661)="","",INDEX(選手一覧!$H$7:$H$2738,$F661))</f>
        <v>0.00286423611111111</v>
      </c>
      <c r="J661" s="12" t="n">
        <f aca="false">IF(INDEX(選手一覧!$I$7:$I$2738,$F661)="","",INDEX(選手一覧!$I$7:$I$2738,$F661))</f>
        <v>661</v>
      </c>
    </row>
    <row r="662" customFormat="false" ht="15" hidden="false" customHeight="false" outlineLevel="0" collapsed="false">
      <c r="A662" s="12" t="n">
        <v>658</v>
      </c>
      <c r="B662" s="10" t="s">
        <v>2023</v>
      </c>
      <c r="C662" s="10" t="s">
        <v>2024</v>
      </c>
      <c r="D662" s="11" t="n">
        <v>0.0107445601851852</v>
      </c>
      <c r="E662" s="18" t="n">
        <f aca="false">ROUND((D662-$D$5)*86400,2)</f>
        <v>138.59</v>
      </c>
      <c r="F662" s="12" t="n">
        <v>1397</v>
      </c>
      <c r="G662" s="11" t="str">
        <f aca="false">IF(INDEX(選手一覧!$F$7:$F$2738,$F662)="","",INDEX(選手一覧!$F$7:$F$2738,$F662))</f>
        <v/>
      </c>
      <c r="H662" s="12" t="str">
        <f aca="false">IF(INDEX(選手一覧!$G$7:$G$2738,$F662)="","",INDEX(選手一覧!$G$7:$G$2738,$F662))</f>
        <v/>
      </c>
      <c r="I662" s="11" t="n">
        <f aca="false">IF(INDEX(選手一覧!$H$7:$H$2738,$F662)="","",INDEX(選手一覧!$H$7:$H$2738,$F662))</f>
        <v>0.00292465277777778</v>
      </c>
      <c r="J662" s="12" t="n">
        <f aca="false">IF(INDEX(選手一覧!$I$7:$I$2738,$F662)="","",INDEX(選手一覧!$I$7:$I$2738,$F662))</f>
        <v>1140</v>
      </c>
    </row>
    <row r="663" customFormat="false" ht="15" hidden="false" customHeight="false" outlineLevel="0" collapsed="false">
      <c r="A663" s="12" t="n">
        <v>659</v>
      </c>
      <c r="B663" s="10" t="s">
        <v>2027</v>
      </c>
      <c r="C663" s="10" t="s">
        <v>95</v>
      </c>
      <c r="D663" s="11" t="n">
        <v>0.0107447916666667</v>
      </c>
      <c r="E663" s="18" t="n">
        <f aca="false">ROUND((D663-$D$5)*86400,2)</f>
        <v>138.61</v>
      </c>
      <c r="F663" s="12" t="n">
        <v>1400</v>
      </c>
      <c r="G663" s="11" t="str">
        <f aca="false">IF(INDEX(選手一覧!$F$7:$F$2738,$F663)="","",INDEX(選手一覧!$F$7:$F$2738,$F663))</f>
        <v/>
      </c>
      <c r="H663" s="12" t="str">
        <f aca="false">IF(INDEX(選手一覧!$G$7:$G$2738,$F663)="","",INDEX(選手一覧!$G$7:$G$2738,$F663))</f>
        <v/>
      </c>
      <c r="I663" s="11" t="str">
        <f aca="false">IF(INDEX(選手一覧!$H$7:$H$2738,$F663)="","",INDEX(選手一覧!$H$7:$H$2738,$F663))</f>
        <v/>
      </c>
      <c r="J663" s="12" t="str">
        <f aca="false">IF(INDEX(選手一覧!$I$7:$I$2738,$F663)="","",INDEX(選手一覧!$I$7:$I$2738,$F663))</f>
        <v/>
      </c>
    </row>
    <row r="664" customFormat="false" ht="15" hidden="false" customHeight="false" outlineLevel="0" collapsed="false">
      <c r="A664" s="12" t="n">
        <v>660</v>
      </c>
      <c r="B664" s="10" t="s">
        <v>2005</v>
      </c>
      <c r="C664" s="10" t="s">
        <v>27</v>
      </c>
      <c r="D664" s="11" t="n">
        <v>0.0107447916666667</v>
      </c>
      <c r="E664" s="18" t="n">
        <f aca="false">ROUND((D664-$D$5)*86400,2)</f>
        <v>138.61</v>
      </c>
      <c r="F664" s="12" t="n">
        <v>1383</v>
      </c>
      <c r="G664" s="11" t="n">
        <f aca="false">IF(INDEX(選手一覧!$F$7:$F$2738,$F664)="","",INDEX(選手一覧!$F$7:$F$2738,$F664))</f>
        <v>0.00730231481481481</v>
      </c>
      <c r="H664" s="12" t="n">
        <f aca="false">IF(INDEX(選手一覧!$G$7:$G$2738,$F664)="","",INDEX(選手一覧!$G$7:$G$2738,$F664))</f>
        <v>650</v>
      </c>
      <c r="I664" s="11" t="str">
        <f aca="false">IF(INDEX(選手一覧!$H$7:$H$2738,$F664)="","",INDEX(選手一覧!$H$7:$H$2738,$F664))</f>
        <v/>
      </c>
      <c r="J664" s="12" t="str">
        <f aca="false">IF(INDEX(選手一覧!$I$7:$I$2738,$F664)="","",INDEX(選手一覧!$I$7:$I$2738,$F664))</f>
        <v/>
      </c>
    </row>
    <row r="665" customFormat="false" ht="15" hidden="false" customHeight="false" outlineLevel="0" collapsed="false">
      <c r="A665" s="12" t="n">
        <v>661</v>
      </c>
      <c r="B665" s="10" t="s">
        <v>2033</v>
      </c>
      <c r="C665" s="10" t="s">
        <v>494</v>
      </c>
      <c r="D665" s="11" t="n">
        <v>0.0107453703703704</v>
      </c>
      <c r="E665" s="18" t="n">
        <f aca="false">ROUND((D665-$D$5)*86400,2)</f>
        <v>138.66</v>
      </c>
      <c r="F665" s="12" t="n">
        <v>1405</v>
      </c>
      <c r="G665" s="11" t="str">
        <f aca="false">IF(INDEX(選手一覧!$F$7:$F$2738,$F665)="","",INDEX(選手一覧!$F$7:$F$2738,$F665))</f>
        <v/>
      </c>
      <c r="H665" s="12" t="str">
        <f aca="false">IF(INDEX(選手一覧!$G$7:$G$2738,$F665)="","",INDEX(選手一覧!$G$7:$G$2738,$F665))</f>
        <v/>
      </c>
      <c r="I665" s="11" t="str">
        <f aca="false">IF(INDEX(選手一覧!$H$7:$H$2738,$F665)="","",INDEX(選手一覧!$H$7:$H$2738,$F665))</f>
        <v/>
      </c>
      <c r="J665" s="12" t="str">
        <f aca="false">IF(INDEX(選手一覧!$I$7:$I$2738,$F665)="","",INDEX(選手一覧!$I$7:$I$2738,$F665))</f>
        <v/>
      </c>
    </row>
    <row r="666" customFormat="false" ht="15" hidden="false" customHeight="false" outlineLevel="0" collapsed="false">
      <c r="A666" s="12" t="n">
        <v>662</v>
      </c>
      <c r="B666" s="10" t="s">
        <v>383</v>
      </c>
      <c r="C666" s="10" t="s">
        <v>124</v>
      </c>
      <c r="D666" s="11" t="n">
        <v>0.0107457175925926</v>
      </c>
      <c r="E666" s="18" t="n">
        <f aca="false">ROUND((D666-$D$5)*86400,2)</f>
        <v>138.69</v>
      </c>
      <c r="F666" s="12" t="n">
        <v>229</v>
      </c>
      <c r="G666" s="11" t="n">
        <f aca="false">IF(INDEX(選手一覧!$F$7:$F$2738,$F666)="","",INDEX(選手一覧!$F$7:$F$2738,$F666))</f>
        <v>0.0066755787037037</v>
      </c>
      <c r="H666" s="12" t="n">
        <f aca="false">IF(INDEX(選手一覧!$G$7:$G$2738,$F666)="","",INDEX(選手一覧!$G$7:$G$2738,$F666))</f>
        <v>94</v>
      </c>
      <c r="I666" s="11" t="str">
        <f aca="false">IF(INDEX(選手一覧!$H$7:$H$2738,$F666)="","",INDEX(選手一覧!$H$7:$H$2738,$F666))</f>
        <v/>
      </c>
      <c r="J666" s="12" t="str">
        <f aca="false">IF(INDEX(選手一覧!$I$7:$I$2738,$F666)="","",INDEX(選手一覧!$I$7:$I$2738,$F666))</f>
        <v/>
      </c>
    </row>
    <row r="667" customFormat="false" ht="15" hidden="false" customHeight="false" outlineLevel="0" collapsed="false">
      <c r="A667" s="12" t="n">
        <v>663</v>
      </c>
      <c r="B667" s="10" t="s">
        <v>2037</v>
      </c>
      <c r="C667" s="10" t="s">
        <v>2038</v>
      </c>
      <c r="D667" s="11" t="n">
        <v>0.010746412037037</v>
      </c>
      <c r="E667" s="18" t="n">
        <f aca="false">ROUND((D667-$D$5)*86400,2)</f>
        <v>138.75</v>
      </c>
      <c r="F667" s="12" t="n">
        <v>1408</v>
      </c>
      <c r="G667" s="11" t="str">
        <f aca="false">IF(INDEX(選手一覧!$F$7:$F$2738,$F667)="","",INDEX(選手一覧!$F$7:$F$2738,$F667))</f>
        <v/>
      </c>
      <c r="H667" s="12" t="str">
        <f aca="false">IF(INDEX(選手一覧!$G$7:$G$2738,$F667)="","",INDEX(選手一覧!$G$7:$G$2738,$F667))</f>
        <v/>
      </c>
      <c r="I667" s="11" t="str">
        <f aca="false">IF(INDEX(選手一覧!$H$7:$H$2738,$F667)="","",INDEX(選手一覧!$H$7:$H$2738,$F667))</f>
        <v/>
      </c>
      <c r="J667" s="12" t="str">
        <f aca="false">IF(INDEX(選手一覧!$I$7:$I$2738,$F667)="","",INDEX(選手一覧!$I$7:$I$2738,$F667))</f>
        <v/>
      </c>
    </row>
    <row r="668" customFormat="false" ht="15" hidden="false" customHeight="false" outlineLevel="0" collapsed="false">
      <c r="A668" s="12" t="n">
        <v>664</v>
      </c>
      <c r="B668" s="10" t="s">
        <v>411</v>
      </c>
      <c r="C668" s="10" t="s">
        <v>363</v>
      </c>
      <c r="D668" s="11" t="n">
        <v>0.0107466435185185</v>
      </c>
      <c r="E668" s="18" t="n">
        <f aca="false">ROUND((D668-$D$5)*86400,2)</f>
        <v>138.77</v>
      </c>
      <c r="F668" s="12" t="n">
        <v>248</v>
      </c>
      <c r="G668" s="11" t="str">
        <f aca="false">IF(INDEX(選手一覧!$F$7:$F$2738,$F668)="","",INDEX(選手一覧!$F$7:$F$2738,$F668))</f>
        <v/>
      </c>
      <c r="H668" s="12" t="str">
        <f aca="false">IF(INDEX(選手一覧!$G$7:$G$2738,$F668)="","",INDEX(選手一覧!$G$7:$G$2738,$F668))</f>
        <v/>
      </c>
      <c r="I668" s="11" t="n">
        <f aca="false">IF(INDEX(選手一覧!$H$7:$H$2738,$F668)="","",INDEX(選手一覧!$H$7:$H$2738,$F668))</f>
        <v>0.00274930555555556</v>
      </c>
      <c r="J668" s="12" t="n">
        <f aca="false">IF(INDEX(選手一覧!$I$7:$I$2738,$F668)="","",INDEX(選手一覧!$I$7:$I$2738,$F668))</f>
        <v>102</v>
      </c>
    </row>
    <row r="669" customFormat="false" ht="15" hidden="false" customHeight="false" outlineLevel="0" collapsed="false">
      <c r="A669" s="12" t="n">
        <v>665</v>
      </c>
      <c r="B669" s="10" t="s">
        <v>520</v>
      </c>
      <c r="C669" s="10" t="s">
        <v>521</v>
      </c>
      <c r="D669" s="11" t="n">
        <v>0.0107475694444445</v>
      </c>
      <c r="E669" s="18" t="n">
        <f aca="false">ROUND((D669-$D$5)*86400,2)</f>
        <v>138.85</v>
      </c>
      <c r="F669" s="12" t="n">
        <v>323</v>
      </c>
      <c r="G669" s="11" t="str">
        <f aca="false">IF(INDEX(選手一覧!$F$7:$F$2738,$F669)="","",INDEX(選手一覧!$F$7:$F$2738,$F669))</f>
        <v/>
      </c>
      <c r="H669" s="12" t="str">
        <f aca="false">IF(INDEX(選手一覧!$G$7:$G$2738,$F669)="","",INDEX(選手一覧!$G$7:$G$2738,$F669))</f>
        <v/>
      </c>
      <c r="I669" s="11" t="n">
        <f aca="false">IF(INDEX(選手一覧!$H$7:$H$2738,$F669)="","",INDEX(選手一覧!$H$7:$H$2738,$F669))</f>
        <v>0.00275949074074074</v>
      </c>
      <c r="J669" s="12" t="n">
        <f aca="false">IF(INDEX(選手一覧!$I$7:$I$2738,$F669)="","",INDEX(選手一覧!$I$7:$I$2738,$F669))</f>
        <v>134</v>
      </c>
    </row>
    <row r="670" customFormat="false" ht="15" hidden="false" customHeight="false" outlineLevel="0" collapsed="false">
      <c r="A670" s="12" t="n">
        <v>666</v>
      </c>
      <c r="B670" s="10" t="s">
        <v>245</v>
      </c>
      <c r="C670" s="10" t="s">
        <v>246</v>
      </c>
      <c r="D670" s="11" t="n">
        <v>0.0107493055555556</v>
      </c>
      <c r="E670" s="18" t="n">
        <f aca="false">ROUND((D670-$D$5)*86400,2)</f>
        <v>139</v>
      </c>
      <c r="F670" s="12" t="n">
        <v>132</v>
      </c>
      <c r="G670" s="11" t="n">
        <f aca="false">IF(INDEX(選手一覧!$F$7:$F$2738,$F670)="","",INDEX(選手一覧!$F$7:$F$2738,$F670))</f>
        <v>0.00656388888888889</v>
      </c>
      <c r="H670" s="12" t="n">
        <f aca="false">IF(INDEX(選手一覧!$G$7:$G$2738,$F670)="","",INDEX(選手一覧!$G$7:$G$2738,$F670))</f>
        <v>52</v>
      </c>
      <c r="I670" s="11" t="str">
        <f aca="false">IF(INDEX(選手一覧!$H$7:$H$2738,$F670)="","",INDEX(選手一覧!$H$7:$H$2738,$F670))</f>
        <v/>
      </c>
      <c r="J670" s="12" t="str">
        <f aca="false">IF(INDEX(選手一覧!$I$7:$I$2738,$F670)="","",INDEX(選手一覧!$I$7:$I$2738,$F670))</f>
        <v/>
      </c>
    </row>
    <row r="671" customFormat="false" ht="15" hidden="false" customHeight="false" outlineLevel="0" collapsed="false">
      <c r="A671" s="12" t="n">
        <v>667</v>
      </c>
      <c r="B671" s="10" t="s">
        <v>698</v>
      </c>
      <c r="C671" s="10" t="s">
        <v>699</v>
      </c>
      <c r="D671" s="11" t="n">
        <v>0.0107502314814815</v>
      </c>
      <c r="E671" s="18" t="n">
        <f aca="false">ROUND((D671-$D$5)*86400,2)</f>
        <v>139.08</v>
      </c>
      <c r="F671" s="12" t="n">
        <v>447</v>
      </c>
      <c r="G671" s="11" t="str">
        <f aca="false">IF(INDEX(選手一覧!$F$7:$F$2738,$F671)="","",INDEX(選手一覧!$F$7:$F$2738,$F671))</f>
        <v/>
      </c>
      <c r="H671" s="12" t="str">
        <f aca="false">IF(INDEX(選手一覧!$G$7:$G$2738,$F671)="","",INDEX(選手一覧!$G$7:$G$2738,$F671))</f>
        <v/>
      </c>
      <c r="I671" s="11" t="n">
        <f aca="false">IF(INDEX(選手一覧!$H$7:$H$2738,$F671)="","",INDEX(選手一覧!$H$7:$H$2738,$F671))</f>
        <v>0.00277743055555556</v>
      </c>
      <c r="J671" s="12" t="n">
        <f aca="false">IF(INDEX(選手一覧!$I$7:$I$2738,$F671)="","",INDEX(選手一覧!$I$7:$I$2738,$F671))</f>
        <v>188</v>
      </c>
    </row>
    <row r="672" customFormat="false" ht="15" hidden="false" customHeight="false" outlineLevel="0" collapsed="false">
      <c r="A672" s="12" t="n">
        <v>668</v>
      </c>
      <c r="B672" s="10" t="s">
        <v>1503</v>
      </c>
      <c r="C672" s="10" t="s">
        <v>1504</v>
      </c>
      <c r="D672" s="11" t="n">
        <v>0.0107510416666667</v>
      </c>
      <c r="E672" s="18" t="n">
        <f aca="false">ROUND((D672-$D$5)*86400,2)</f>
        <v>139.15</v>
      </c>
      <c r="F672" s="12" t="n">
        <v>1033</v>
      </c>
      <c r="G672" s="11" t="n">
        <f aca="false">IF(INDEX(選手一覧!$F$7:$F$2738,$F672)="","",INDEX(選手一覧!$F$7:$F$2738,$F672))</f>
        <v>0.00711990740740741</v>
      </c>
      <c r="H672" s="12" t="n">
        <f aca="false">IF(INDEX(選手一覧!$G$7:$G$2738,$F672)="","",INDEX(選手一覧!$G$7:$G$2738,$F672))</f>
        <v>465</v>
      </c>
      <c r="I672" s="11" t="n">
        <f aca="false">IF(INDEX(選手一覧!$H$7:$H$2738,$F672)="","",INDEX(選手一覧!$H$7:$H$2738,$F672))</f>
        <v>0.00285555555555556</v>
      </c>
      <c r="J672" s="12" t="n">
        <f aca="false">IF(INDEX(選手一覧!$I$7:$I$2738,$F672)="","",INDEX(選手一覧!$I$7:$I$2738,$F672))</f>
        <v>600</v>
      </c>
    </row>
    <row r="673" customFormat="false" ht="15" hidden="false" customHeight="false" outlineLevel="0" collapsed="false">
      <c r="A673" s="12" t="n">
        <v>669</v>
      </c>
      <c r="B673" s="10" t="s">
        <v>2051</v>
      </c>
      <c r="C673" s="10" t="s">
        <v>27</v>
      </c>
      <c r="D673" s="11" t="n">
        <v>0.0107510416666667</v>
      </c>
      <c r="E673" s="18" t="n">
        <f aca="false">ROUND((D673-$D$5)*86400,2)</f>
        <v>139.15</v>
      </c>
      <c r="F673" s="12" t="n">
        <v>1417</v>
      </c>
      <c r="G673" s="11" t="str">
        <f aca="false">IF(INDEX(選手一覧!$F$7:$F$2738,$F673)="","",INDEX(選手一覧!$F$7:$F$2738,$F673))</f>
        <v/>
      </c>
      <c r="H673" s="12" t="str">
        <f aca="false">IF(INDEX(選手一覧!$G$7:$G$2738,$F673)="","",INDEX(選手一覧!$G$7:$G$2738,$F673))</f>
        <v/>
      </c>
      <c r="I673" s="11" t="n">
        <f aca="false">IF(INDEX(選手一覧!$H$7:$H$2738,$F673)="","",INDEX(選手一覧!$H$7:$H$2738,$F673))</f>
        <v>0.00297569444444445</v>
      </c>
      <c r="J673" s="12" t="n">
        <f aca="false">IF(INDEX(選手一覧!$I$7:$I$2738,$F673)="","",INDEX(選手一覧!$I$7:$I$2738,$F673))</f>
        <v>1330</v>
      </c>
    </row>
    <row r="674" customFormat="false" ht="15" hidden="false" customHeight="false" outlineLevel="0" collapsed="false">
      <c r="A674" s="12" t="n">
        <v>670</v>
      </c>
      <c r="B674" s="10" t="s">
        <v>419</v>
      </c>
      <c r="C674" s="10" t="s">
        <v>420</v>
      </c>
      <c r="D674" s="11" t="n">
        <v>0.0107515046296296</v>
      </c>
      <c r="E674" s="18" t="n">
        <f aca="false">ROUND((D674-$D$5)*86400,2)</f>
        <v>139.19</v>
      </c>
      <c r="F674" s="12" t="n">
        <v>255</v>
      </c>
      <c r="G674" s="11" t="str">
        <f aca="false">IF(INDEX(選手一覧!$F$7:$F$2738,$F674)="","",INDEX(選手一覧!$F$7:$F$2738,$F674))</f>
        <v/>
      </c>
      <c r="H674" s="12" t="str">
        <f aca="false">IF(INDEX(選手一覧!$G$7:$G$2738,$F674)="","",INDEX(選手一覧!$G$7:$G$2738,$F674))</f>
        <v/>
      </c>
      <c r="I674" s="11" t="n">
        <f aca="false">IF(INDEX(選手一覧!$H$7:$H$2738,$F674)="","",INDEX(選手一覧!$H$7:$H$2738,$F674))</f>
        <v>0.00275115740740741</v>
      </c>
      <c r="J674" s="12" t="n">
        <f aca="false">IF(INDEX(選手一覧!$I$7:$I$2738,$F674)="","",INDEX(選手一覧!$I$7:$I$2738,$F674))</f>
        <v>106</v>
      </c>
    </row>
    <row r="675" customFormat="false" ht="15" hidden="false" customHeight="false" outlineLevel="0" collapsed="false">
      <c r="A675" s="12" t="n">
        <v>671</v>
      </c>
      <c r="B675" s="10" t="s">
        <v>1596</v>
      </c>
      <c r="C675" s="10" t="s">
        <v>1413</v>
      </c>
      <c r="D675" s="11" t="n">
        <v>0.010752662037037</v>
      </c>
      <c r="E675" s="18" t="n">
        <f aca="false">ROUND((D675-$D$5)*86400,2)</f>
        <v>139.29</v>
      </c>
      <c r="F675" s="12" t="n">
        <v>1102</v>
      </c>
      <c r="G675" s="11" t="str">
        <f aca="false">IF(INDEX(選手一覧!$F$7:$F$2738,$F675)="","",INDEX(選手一覧!$F$7:$F$2738,$F675))</f>
        <v/>
      </c>
      <c r="H675" s="12" t="str">
        <f aca="false">IF(INDEX(選手一覧!$G$7:$G$2738,$F675)="","",INDEX(選手一覧!$G$7:$G$2738,$F675))</f>
        <v/>
      </c>
      <c r="I675" s="11" t="n">
        <f aca="false">IF(INDEX(選手一覧!$H$7:$H$2738,$F675)="","",INDEX(選手一覧!$H$7:$H$2738,$F675))</f>
        <v>0.00284027777777778</v>
      </c>
      <c r="J675" s="12" t="n">
        <f aca="false">IF(INDEX(選手一覧!$I$7:$I$2738,$F675)="","",INDEX(選手一覧!$I$7:$I$2738,$F675))</f>
        <v>499</v>
      </c>
    </row>
    <row r="676" customFormat="false" ht="15" hidden="false" customHeight="false" outlineLevel="0" collapsed="false">
      <c r="A676" s="12" t="n">
        <v>672</v>
      </c>
      <c r="B676" s="10" t="s">
        <v>2055</v>
      </c>
      <c r="C676" s="10" t="s">
        <v>210</v>
      </c>
      <c r="D676" s="11" t="n">
        <v>0.010753125</v>
      </c>
      <c r="E676" s="18" t="n">
        <f aca="false">ROUND((D676-$D$5)*86400,2)</f>
        <v>139.33</v>
      </c>
      <c r="F676" s="12" t="n">
        <v>1420</v>
      </c>
      <c r="G676" s="11" t="n">
        <f aca="false">IF(INDEX(選手一覧!$F$7:$F$2738,$F676)="","",INDEX(選手一覧!$F$7:$F$2738,$F676))</f>
        <v>0.00746712962962963</v>
      </c>
      <c r="H676" s="12" t="n">
        <f aca="false">IF(INDEX(選手一覧!$G$7:$G$2738,$F676)="","",INDEX(選手一覧!$G$7:$G$2738,$F676))</f>
        <v>857</v>
      </c>
      <c r="I676" s="11" t="n">
        <f aca="false">IF(INDEX(選手一覧!$H$7:$H$2738,$F676)="","",INDEX(選手一覧!$H$7:$H$2738,$F676))</f>
        <v>0.00291041666666667</v>
      </c>
      <c r="J676" s="12" t="n">
        <f aca="false">IF(INDEX(選手一覧!$I$7:$I$2738,$F676)="","",INDEX(選手一覧!$I$7:$I$2738,$F676))</f>
        <v>1024</v>
      </c>
    </row>
    <row r="677" customFormat="false" ht="15" hidden="false" customHeight="false" outlineLevel="0" collapsed="false">
      <c r="A677" s="12" t="n">
        <v>673</v>
      </c>
      <c r="B677" s="10" t="s">
        <v>1956</v>
      </c>
      <c r="C677" s="10" t="s">
        <v>534</v>
      </c>
      <c r="D677" s="11" t="n">
        <v>0.0107538194444444</v>
      </c>
      <c r="E677" s="18" t="n">
        <f aca="false">ROUND((D677-$D$5)*86400,2)</f>
        <v>139.39</v>
      </c>
      <c r="F677" s="12" t="n">
        <v>1347</v>
      </c>
      <c r="G677" s="11" t="n">
        <f aca="false">IF(INDEX(選手一覧!$F$7:$F$2738,$F677)="","",INDEX(選手一覧!$F$7:$F$2738,$F677))</f>
        <v>0.007290625</v>
      </c>
      <c r="H677" s="12" t="n">
        <f aca="false">IF(INDEX(選手一覧!$G$7:$G$2738,$F677)="","",INDEX(選手一覧!$G$7:$G$2738,$F677))</f>
        <v>630</v>
      </c>
      <c r="I677" s="11" t="str">
        <f aca="false">IF(INDEX(選手一覧!$H$7:$H$2738,$F677)="","",INDEX(選手一覧!$H$7:$H$2738,$F677))</f>
        <v/>
      </c>
      <c r="J677" s="12" t="str">
        <f aca="false">IF(INDEX(選手一覧!$I$7:$I$2738,$F677)="","",INDEX(選手一覧!$I$7:$I$2738,$F677))</f>
        <v/>
      </c>
    </row>
    <row r="678" customFormat="false" ht="15" hidden="false" customHeight="false" outlineLevel="0" collapsed="false">
      <c r="A678" s="12" t="n">
        <v>674</v>
      </c>
      <c r="B678" s="10" t="s">
        <v>2060</v>
      </c>
      <c r="C678" s="10" t="s">
        <v>812</v>
      </c>
      <c r="D678" s="11" t="n">
        <v>0.0107541666666667</v>
      </c>
      <c r="E678" s="18" t="n">
        <f aca="false">ROUND((D678-$D$5)*86400,2)</f>
        <v>139.42</v>
      </c>
      <c r="F678" s="12" t="n">
        <v>1424</v>
      </c>
      <c r="G678" s="11" t="str">
        <f aca="false">IF(INDEX(選手一覧!$F$7:$F$2738,$F678)="","",INDEX(選手一覧!$F$7:$F$2738,$F678))</f>
        <v/>
      </c>
      <c r="H678" s="12" t="str">
        <f aca="false">IF(INDEX(選手一覧!$G$7:$G$2738,$F678)="","",INDEX(選手一覧!$G$7:$G$2738,$F678))</f>
        <v/>
      </c>
      <c r="I678" s="11" t="str">
        <f aca="false">IF(INDEX(選手一覧!$H$7:$H$2738,$F678)="","",INDEX(選手一覧!$H$7:$H$2738,$F678))</f>
        <v/>
      </c>
      <c r="J678" s="12" t="str">
        <f aca="false">IF(INDEX(選手一覧!$I$7:$I$2738,$F678)="","",INDEX(選手一覧!$I$7:$I$2738,$F678))</f>
        <v/>
      </c>
    </row>
    <row r="679" customFormat="false" ht="15" hidden="false" customHeight="false" outlineLevel="0" collapsed="false">
      <c r="A679" s="12" t="n">
        <v>675</v>
      </c>
      <c r="B679" s="10" t="s">
        <v>2064</v>
      </c>
      <c r="C679" s="10" t="s">
        <v>1020</v>
      </c>
      <c r="D679" s="11" t="n">
        <v>0.0107555555555556</v>
      </c>
      <c r="E679" s="18" t="n">
        <f aca="false">ROUND((D679-$D$5)*86400,2)</f>
        <v>139.54</v>
      </c>
      <c r="F679" s="12" t="n">
        <v>1427</v>
      </c>
      <c r="G679" s="11" t="str">
        <f aca="false">IF(INDEX(選手一覧!$F$7:$F$2738,$F679)="","",INDEX(選手一覧!$F$7:$F$2738,$F679))</f>
        <v/>
      </c>
      <c r="H679" s="12" t="str">
        <f aca="false">IF(INDEX(選手一覧!$G$7:$G$2738,$F679)="","",INDEX(選手一覧!$G$7:$G$2738,$F679))</f>
        <v/>
      </c>
      <c r="I679" s="11" t="str">
        <f aca="false">IF(INDEX(選手一覧!$H$7:$H$2738,$F679)="","",INDEX(選手一覧!$H$7:$H$2738,$F679))</f>
        <v/>
      </c>
      <c r="J679" s="12" t="str">
        <f aca="false">IF(INDEX(選手一覧!$I$7:$I$2738,$F679)="","",INDEX(選手一覧!$I$7:$I$2738,$F679))</f>
        <v/>
      </c>
    </row>
    <row r="680" customFormat="false" ht="15" hidden="false" customHeight="false" outlineLevel="0" collapsed="false">
      <c r="A680" s="12" t="n">
        <v>676</v>
      </c>
      <c r="B680" s="10" t="s">
        <v>2070</v>
      </c>
      <c r="C680" s="10" t="s">
        <v>538</v>
      </c>
      <c r="D680" s="11" t="n">
        <v>0.0107561342592593</v>
      </c>
      <c r="E680" s="18" t="n">
        <f aca="false">ROUND((D680-$D$5)*86400,2)</f>
        <v>139.59</v>
      </c>
      <c r="F680" s="12" t="n">
        <v>1431</v>
      </c>
      <c r="G680" s="11" t="str">
        <f aca="false">IF(INDEX(選手一覧!$F$7:$F$2738,$F680)="","",INDEX(選手一覧!$F$7:$F$2738,$F680))</f>
        <v/>
      </c>
      <c r="H680" s="12" t="str">
        <f aca="false">IF(INDEX(選手一覧!$G$7:$G$2738,$F680)="","",INDEX(選手一覧!$G$7:$G$2738,$F680))</f>
        <v/>
      </c>
      <c r="I680" s="11" t="n">
        <f aca="false">IF(INDEX(選手一覧!$H$7:$H$2738,$F680)="","",INDEX(選手一覧!$H$7:$H$2738,$F680))</f>
        <v>0.00289131944444445</v>
      </c>
      <c r="J680" s="12" t="n">
        <f aca="false">IF(INDEX(選手一覧!$I$7:$I$2738,$F680)="","",INDEX(選手一覧!$I$7:$I$2738,$F680))</f>
        <v>879</v>
      </c>
    </row>
    <row r="681" customFormat="false" ht="15" hidden="false" customHeight="false" outlineLevel="0" collapsed="false">
      <c r="A681" s="12" t="n">
        <v>677</v>
      </c>
      <c r="B681" s="10" t="s">
        <v>320</v>
      </c>
      <c r="C681" s="10" t="s">
        <v>261</v>
      </c>
      <c r="D681" s="11" t="n">
        <v>0.01075625</v>
      </c>
      <c r="E681" s="18" t="n">
        <f aca="false">ROUND((D681-$D$5)*86400,2)</f>
        <v>139.6</v>
      </c>
      <c r="F681" s="12" t="n">
        <v>183</v>
      </c>
      <c r="G681" s="11" t="n">
        <f aca="false">IF(INDEX(選手一覧!$F$7:$F$2738,$F681)="","",INDEX(選手一覧!$F$7:$F$2738,$F681))</f>
        <v>0.00663287037037037</v>
      </c>
      <c r="H681" s="12" t="n">
        <f aca="false">IF(INDEX(選手一覧!$G$7:$G$2738,$F681)="","",INDEX(選手一覧!$G$7:$G$2738,$F681))</f>
        <v>74</v>
      </c>
      <c r="I681" s="11" t="str">
        <f aca="false">IF(INDEX(選手一覧!$H$7:$H$2738,$F681)="","",INDEX(選手一覧!$H$7:$H$2738,$F681))</f>
        <v/>
      </c>
      <c r="J681" s="12" t="str">
        <f aca="false">IF(INDEX(選手一覧!$I$7:$I$2738,$F681)="","",INDEX(選手一覧!$I$7:$I$2738,$F681))</f>
        <v/>
      </c>
    </row>
    <row r="682" customFormat="false" ht="15" hidden="false" customHeight="false" outlineLevel="0" collapsed="false">
      <c r="A682" s="12" t="n">
        <v>678</v>
      </c>
      <c r="B682" s="10" t="s">
        <v>1759</v>
      </c>
      <c r="C682" s="10" t="s">
        <v>1760</v>
      </c>
      <c r="D682" s="11" t="n">
        <v>0.0107594907407407</v>
      </c>
      <c r="E682" s="18" t="n">
        <f aca="false">ROUND((D682-$D$5)*86400,2)</f>
        <v>139.88</v>
      </c>
      <c r="F682" s="12" t="n">
        <v>1211</v>
      </c>
      <c r="G682" s="11" t="str">
        <f aca="false">IF(INDEX(選手一覧!$F$7:$F$2738,$F682)="","",INDEX(選手一覧!$F$7:$F$2738,$F682))</f>
        <v/>
      </c>
      <c r="H682" s="12" t="str">
        <f aca="false">IF(INDEX(選手一覧!$G$7:$G$2738,$F682)="","",INDEX(選手一覧!$G$7:$G$2738,$F682))</f>
        <v/>
      </c>
      <c r="I682" s="11" t="n">
        <f aca="false">IF(INDEX(選手一覧!$H$7:$H$2738,$F682)="","",INDEX(選手一覧!$H$7:$H$2738,$F682))</f>
        <v>0.00284837962962963</v>
      </c>
      <c r="J682" s="12" t="n">
        <f aca="false">IF(INDEX(選手一覧!$I$7:$I$2738,$F682)="","",INDEX(選手一覧!$I$7:$I$2738,$F682))</f>
        <v>557</v>
      </c>
    </row>
    <row r="683" customFormat="false" ht="15" hidden="false" customHeight="false" outlineLevel="0" collapsed="false">
      <c r="A683" s="12" t="n">
        <v>679</v>
      </c>
      <c r="B683" s="10" t="s">
        <v>392</v>
      </c>
      <c r="C683" s="10" t="s">
        <v>393</v>
      </c>
      <c r="D683" s="11" t="n">
        <v>0.0107601851851852</v>
      </c>
      <c r="E683" s="18" t="n">
        <f aca="false">ROUND((D683-$D$5)*86400,2)</f>
        <v>139.94</v>
      </c>
      <c r="F683" s="12" t="n">
        <v>235</v>
      </c>
      <c r="G683" s="11" t="n">
        <f aca="false">IF(INDEX(選手一覧!$F$7:$F$2738,$F683)="","",INDEX(選手一覧!$F$7:$F$2738,$F683))</f>
        <v>0.00667858796296296</v>
      </c>
      <c r="H683" s="12" t="n">
        <f aca="false">IF(INDEX(選手一覧!$G$7:$G$2738,$F683)="","",INDEX(選手一覧!$G$7:$G$2738,$F683))</f>
        <v>97</v>
      </c>
      <c r="I683" s="11" t="n">
        <f aca="false">IF(INDEX(選手一覧!$H$7:$H$2738,$F683)="","",INDEX(選手一覧!$H$7:$H$2738,$F683))</f>
        <v>0.00279768518518519</v>
      </c>
      <c r="J683" s="12" t="n">
        <f aca="false">IF(INDEX(選手一覧!$I$7:$I$2738,$F683)="","",INDEX(選手一覧!$I$7:$I$2738,$F683))</f>
        <v>273</v>
      </c>
    </row>
    <row r="684" customFormat="false" ht="15" hidden="false" customHeight="false" outlineLevel="0" collapsed="false">
      <c r="A684" s="12" t="n">
        <v>680</v>
      </c>
      <c r="B684" s="10" t="s">
        <v>2081</v>
      </c>
      <c r="C684" s="10" t="s">
        <v>2082</v>
      </c>
      <c r="D684" s="11" t="n">
        <v>0.0107605324074074</v>
      </c>
      <c r="E684" s="18" t="n">
        <f aca="false">ROUND((D684-$D$5)*86400,2)</f>
        <v>139.97</v>
      </c>
      <c r="F684" s="12" t="n">
        <v>1438</v>
      </c>
      <c r="G684" s="11" t="str">
        <f aca="false">IF(INDEX(選手一覧!$F$7:$F$2738,$F684)="","",INDEX(選手一覧!$F$7:$F$2738,$F684))</f>
        <v/>
      </c>
      <c r="H684" s="12" t="str">
        <f aca="false">IF(INDEX(選手一覧!$G$7:$G$2738,$F684)="","",INDEX(選手一覧!$G$7:$G$2738,$F684))</f>
        <v/>
      </c>
      <c r="I684" s="11" t="str">
        <f aca="false">IF(INDEX(選手一覧!$H$7:$H$2738,$F684)="","",INDEX(選手一覧!$H$7:$H$2738,$F684))</f>
        <v/>
      </c>
      <c r="J684" s="12" t="str">
        <f aca="false">IF(INDEX(選手一覧!$I$7:$I$2738,$F684)="","",INDEX(選手一覧!$I$7:$I$2738,$F684))</f>
        <v/>
      </c>
    </row>
    <row r="685" customFormat="false" ht="15" hidden="false" customHeight="false" outlineLevel="0" collapsed="false">
      <c r="A685" s="12" t="n">
        <v>681</v>
      </c>
      <c r="B685" s="10" t="s">
        <v>2084</v>
      </c>
      <c r="C685" s="10" t="s">
        <v>1912</v>
      </c>
      <c r="D685" s="11" t="n">
        <v>0.0107609953703704</v>
      </c>
      <c r="E685" s="18" t="n">
        <f aca="false">ROUND((D685-$D$5)*86400,2)</f>
        <v>140.01</v>
      </c>
      <c r="F685" s="12" t="n">
        <v>1440</v>
      </c>
      <c r="G685" s="11" t="str">
        <f aca="false">IF(INDEX(選手一覧!$F$7:$F$2738,$F685)="","",INDEX(選手一覧!$F$7:$F$2738,$F685))</f>
        <v/>
      </c>
      <c r="H685" s="12" t="str">
        <f aca="false">IF(INDEX(選手一覧!$G$7:$G$2738,$F685)="","",INDEX(選手一覧!$G$7:$G$2738,$F685))</f>
        <v/>
      </c>
      <c r="I685" s="11" t="n">
        <f aca="false">IF(INDEX(選手一覧!$H$7:$H$2738,$F685)="","",INDEX(選手一覧!$H$7:$H$2738,$F685))</f>
        <v>0.00288842592592593</v>
      </c>
      <c r="J685" s="12" t="n">
        <f aca="false">IF(INDEX(選手一覧!$I$7:$I$2738,$F685)="","",INDEX(選手一覧!$I$7:$I$2738,$F685))</f>
        <v>851</v>
      </c>
    </row>
    <row r="686" customFormat="false" ht="15" hidden="false" customHeight="false" outlineLevel="0" collapsed="false">
      <c r="A686" s="12" t="n">
        <v>682</v>
      </c>
      <c r="B686" s="10" t="s">
        <v>2089</v>
      </c>
      <c r="C686" s="10" t="s">
        <v>2090</v>
      </c>
      <c r="D686" s="11" t="n">
        <v>0.0107611111111111</v>
      </c>
      <c r="E686" s="18" t="n">
        <f aca="false">ROUND((D686-$D$5)*86400,2)</f>
        <v>140.02</v>
      </c>
      <c r="F686" s="12" t="n">
        <v>1444</v>
      </c>
      <c r="G686" s="11" t="str">
        <f aca="false">IF(INDEX(選手一覧!$F$7:$F$2738,$F686)="","",INDEX(選手一覧!$F$7:$F$2738,$F686))</f>
        <v/>
      </c>
      <c r="H686" s="12" t="str">
        <f aca="false">IF(INDEX(選手一覧!$G$7:$G$2738,$F686)="","",INDEX(選手一覧!$G$7:$G$2738,$F686))</f>
        <v/>
      </c>
      <c r="I686" s="11" t="n">
        <f aca="false">IF(INDEX(選手一覧!$H$7:$H$2738,$F686)="","",INDEX(選手一覧!$H$7:$H$2738,$F686))</f>
        <v>0.00288472222222222</v>
      </c>
      <c r="J686" s="12" t="n">
        <f aca="false">IF(INDEX(選手一覧!$I$7:$I$2738,$F686)="","",INDEX(選手一覧!$I$7:$I$2738,$F686))</f>
        <v>814</v>
      </c>
    </row>
    <row r="687" customFormat="false" ht="15" hidden="false" customHeight="false" outlineLevel="0" collapsed="false">
      <c r="A687" s="12" t="n">
        <v>683</v>
      </c>
      <c r="B687" s="10" t="s">
        <v>1593</v>
      </c>
      <c r="C687" s="10" t="s">
        <v>614</v>
      </c>
      <c r="D687" s="11" t="n">
        <v>0.0107611111111111</v>
      </c>
      <c r="E687" s="18" t="n">
        <f aca="false">ROUND((D687-$D$5)*86400,2)</f>
        <v>140.02</v>
      </c>
      <c r="F687" s="12" t="n">
        <v>1100</v>
      </c>
      <c r="G687" s="11" t="n">
        <f aca="false">IF(INDEX(選手一覧!$F$7:$F$2738,$F687)="","",INDEX(選手一覧!$F$7:$F$2738,$F687))</f>
        <v>0.00724259259259259</v>
      </c>
      <c r="H687" s="12" t="n">
        <f aca="false">IF(INDEX(選手一覧!$G$7:$G$2738,$F687)="","",INDEX(選手一覧!$G$7:$G$2738,$F687))</f>
        <v>588</v>
      </c>
      <c r="I687" s="11" t="n">
        <f aca="false">IF(INDEX(選手一覧!$H$7:$H$2738,$F687)="","",INDEX(選手一覧!$H$7:$H$2738,$F687))</f>
        <v>0.00284027777777778</v>
      </c>
      <c r="J687" s="12" t="n">
        <f aca="false">IF(INDEX(選手一覧!$I$7:$I$2738,$F687)="","",INDEX(選手一覧!$I$7:$I$2738,$F687))</f>
        <v>498</v>
      </c>
    </row>
    <row r="688" customFormat="false" ht="15" hidden="false" customHeight="false" outlineLevel="0" collapsed="false">
      <c r="A688" s="12" t="n">
        <v>684</v>
      </c>
      <c r="B688" s="10" t="s">
        <v>1492</v>
      </c>
      <c r="C688" s="10" t="s">
        <v>603</v>
      </c>
      <c r="D688" s="11" t="n">
        <v>0.0107622685185185</v>
      </c>
      <c r="E688" s="18" t="n">
        <f aca="false">ROUND((D688-$D$5)*86400,2)</f>
        <v>140.12</v>
      </c>
      <c r="F688" s="12" t="n">
        <v>1025</v>
      </c>
      <c r="G688" s="11" t="n">
        <f aca="false">IF(INDEX(選手一覧!$F$7:$F$2738,$F688)="","",INDEX(選手一覧!$F$7:$F$2738,$F688))</f>
        <v>0.00711643518518519</v>
      </c>
      <c r="H688" s="12" t="n">
        <f aca="false">IF(INDEX(選手一覧!$G$7:$G$2738,$F688)="","",INDEX(選手一覧!$G$7:$G$2738,$F688))</f>
        <v>460</v>
      </c>
      <c r="I688" s="11" t="n">
        <f aca="false">IF(INDEX(選手一覧!$H$7:$H$2738,$F688)="","",INDEX(選手一覧!$H$7:$H$2738,$F688))</f>
        <v>0.00296215277777778</v>
      </c>
      <c r="J688" s="12" t="n">
        <f aca="false">IF(INDEX(選手一覧!$I$7:$I$2738,$F688)="","",INDEX(選手一覧!$I$7:$I$2738,$F688))</f>
        <v>1278</v>
      </c>
    </row>
    <row r="689" customFormat="false" ht="15" hidden="false" customHeight="false" outlineLevel="0" collapsed="false">
      <c r="A689" s="12" t="n">
        <v>685</v>
      </c>
      <c r="B689" s="10" t="s">
        <v>292</v>
      </c>
      <c r="C689" s="10" t="s">
        <v>53</v>
      </c>
      <c r="D689" s="11" t="n">
        <v>0.0107623842592593</v>
      </c>
      <c r="E689" s="18" t="n">
        <f aca="false">ROUND((D689-$D$5)*86400,2)</f>
        <v>140.13</v>
      </c>
      <c r="F689" s="12" t="n">
        <v>164</v>
      </c>
      <c r="G689" s="11" t="str">
        <f aca="false">IF(INDEX(選手一覧!$F$7:$F$2738,$F689)="","",INDEX(選手一覧!$F$7:$F$2738,$F689))</f>
        <v/>
      </c>
      <c r="H689" s="12" t="str">
        <f aca="false">IF(INDEX(選手一覧!$G$7:$G$2738,$F689)="","",INDEX(選手一覧!$G$7:$G$2738,$F689))</f>
        <v/>
      </c>
      <c r="I689" s="11" t="n">
        <f aca="false">IF(INDEX(選手一覧!$H$7:$H$2738,$F689)="","",INDEX(選手一覧!$H$7:$H$2738,$F689))</f>
        <v>0.00273078703703704</v>
      </c>
      <c r="J689" s="12" t="n">
        <f aca="false">IF(INDEX(選手一覧!$I$7:$I$2738,$F689)="","",INDEX(選手一覧!$I$7:$I$2738,$F689))</f>
        <v>66</v>
      </c>
    </row>
    <row r="690" customFormat="false" ht="15" hidden="false" customHeight="false" outlineLevel="0" collapsed="false">
      <c r="A690" s="12" t="n">
        <v>686</v>
      </c>
      <c r="B690" s="10" t="s">
        <v>764</v>
      </c>
      <c r="C690" s="10" t="s">
        <v>69</v>
      </c>
      <c r="D690" s="11" t="n">
        <v>0.0107627314814815</v>
      </c>
      <c r="E690" s="18" t="n">
        <f aca="false">ROUND((D690-$D$5)*86400,2)</f>
        <v>140.16</v>
      </c>
      <c r="F690" s="12" t="n">
        <v>493</v>
      </c>
      <c r="G690" s="11" t="str">
        <f aca="false">IF(INDEX(選手一覧!$F$7:$F$2738,$F690)="","",INDEX(選手一覧!$F$7:$F$2738,$F690))</f>
        <v/>
      </c>
      <c r="H690" s="12" t="str">
        <f aca="false">IF(INDEX(選手一覧!$G$7:$G$2738,$F690)="","",INDEX(選手一覧!$G$7:$G$2738,$F690))</f>
        <v/>
      </c>
      <c r="I690" s="11" t="n">
        <f aca="false">IF(INDEX(選手一覧!$H$7:$H$2738,$F690)="","",INDEX(選手一覧!$H$7:$H$2738,$F690))</f>
        <v>0.00278125</v>
      </c>
      <c r="J690" s="12" t="n">
        <f aca="false">IF(INDEX(選手一覧!$I$7:$I$2738,$F690)="","",INDEX(選手一覧!$I$7:$I$2738,$F690))</f>
        <v>207</v>
      </c>
    </row>
    <row r="691" customFormat="false" ht="15" hidden="false" customHeight="false" outlineLevel="0" collapsed="false">
      <c r="A691" s="12" t="n">
        <v>687</v>
      </c>
      <c r="B691" s="10" t="s">
        <v>1452</v>
      </c>
      <c r="C691" s="10" t="s">
        <v>1453</v>
      </c>
      <c r="D691" s="11" t="n">
        <v>0.0107634259259259</v>
      </c>
      <c r="E691" s="18" t="n">
        <f aca="false">ROUND((D691-$D$5)*86400,2)</f>
        <v>140.22</v>
      </c>
      <c r="F691" s="12" t="n">
        <v>996</v>
      </c>
      <c r="G691" s="11" t="str">
        <f aca="false">IF(INDEX(選手一覧!$F$7:$F$2738,$F691)="","",INDEX(選手一覧!$F$7:$F$2738,$F691))</f>
        <v/>
      </c>
      <c r="H691" s="12" t="str">
        <f aca="false">IF(INDEX(選手一覧!$G$7:$G$2738,$F691)="","",INDEX(選手一覧!$G$7:$G$2738,$F691))</f>
        <v/>
      </c>
      <c r="I691" s="11" t="n">
        <f aca="false">IF(INDEX(選手一覧!$H$7:$H$2738,$F691)="","",INDEX(選手一覧!$H$7:$H$2738,$F691))</f>
        <v>0.00283310185185185</v>
      </c>
      <c r="J691" s="12" t="n">
        <f aca="false">IF(INDEX(選手一覧!$I$7:$I$2738,$F691)="","",INDEX(選手一覧!$I$7:$I$2738,$F691))</f>
        <v>446</v>
      </c>
    </row>
    <row r="692" customFormat="false" ht="15" hidden="false" customHeight="false" outlineLevel="0" collapsed="false">
      <c r="A692" s="12" t="n">
        <v>688</v>
      </c>
      <c r="B692" s="10" t="s">
        <v>2101</v>
      </c>
      <c r="C692" s="10" t="s">
        <v>380</v>
      </c>
      <c r="D692" s="11" t="n">
        <v>0.0107644675925926</v>
      </c>
      <c r="E692" s="18" t="n">
        <f aca="false">ROUND((D692-$D$5)*86400,2)</f>
        <v>140.31</v>
      </c>
      <c r="F692" s="12" t="n">
        <v>1452</v>
      </c>
      <c r="G692" s="11" t="str">
        <f aca="false">IF(INDEX(選手一覧!$F$7:$F$2738,$F692)="","",INDEX(選手一覧!$F$7:$F$2738,$F692))</f>
        <v/>
      </c>
      <c r="H692" s="12" t="str">
        <f aca="false">IF(INDEX(選手一覧!$G$7:$G$2738,$F692)="","",INDEX(選手一覧!$G$7:$G$2738,$F692))</f>
        <v/>
      </c>
      <c r="I692" s="11" t="str">
        <f aca="false">IF(INDEX(選手一覧!$H$7:$H$2738,$F692)="","",INDEX(選手一覧!$H$7:$H$2738,$F692))</f>
        <v/>
      </c>
      <c r="J692" s="12" t="str">
        <f aca="false">IF(INDEX(選手一覧!$I$7:$I$2738,$F692)="","",INDEX(選手一覧!$I$7:$I$2738,$F692))</f>
        <v/>
      </c>
    </row>
    <row r="693" customFormat="false" ht="15" hidden="false" customHeight="false" outlineLevel="0" collapsed="false">
      <c r="A693" s="12" t="n">
        <v>689</v>
      </c>
      <c r="B693" s="10" t="s">
        <v>2104</v>
      </c>
      <c r="C693" s="10" t="s">
        <v>55</v>
      </c>
      <c r="D693" s="11" t="n">
        <v>0.0107644675925926</v>
      </c>
      <c r="E693" s="18" t="n">
        <f aca="false">ROUND((D693-$D$5)*86400,2)</f>
        <v>140.31</v>
      </c>
      <c r="F693" s="12" t="n">
        <v>1454</v>
      </c>
      <c r="G693" s="11" t="str">
        <f aca="false">IF(INDEX(選手一覧!$F$7:$F$2738,$F693)="","",INDEX(選手一覧!$F$7:$F$2738,$F693))</f>
        <v/>
      </c>
      <c r="H693" s="12" t="str">
        <f aca="false">IF(INDEX(選手一覧!$G$7:$G$2738,$F693)="","",INDEX(選手一覧!$G$7:$G$2738,$F693))</f>
        <v/>
      </c>
      <c r="I693" s="11" t="n">
        <f aca="false">IF(INDEX(選手一覧!$H$7:$H$2738,$F693)="","",INDEX(選手一覧!$H$7:$H$2738,$F693))</f>
        <v>0.00291087962962963</v>
      </c>
      <c r="J693" s="12" t="n">
        <f aca="false">IF(INDEX(選手一覧!$I$7:$I$2738,$F693)="","",INDEX(選手一覧!$I$7:$I$2738,$F693))</f>
        <v>1027</v>
      </c>
    </row>
    <row r="694" customFormat="false" ht="15" hidden="false" customHeight="false" outlineLevel="0" collapsed="false">
      <c r="A694" s="12" t="n">
        <v>690</v>
      </c>
      <c r="B694" s="10" t="s">
        <v>2109</v>
      </c>
      <c r="C694" s="10" t="s">
        <v>399</v>
      </c>
      <c r="D694" s="11" t="n">
        <v>0.0107650462962963</v>
      </c>
      <c r="E694" s="18" t="n">
        <f aca="false">ROUND((D694-$D$5)*86400,2)</f>
        <v>140.36</v>
      </c>
      <c r="F694" s="12" t="n">
        <v>1458</v>
      </c>
      <c r="G694" s="11" t="str">
        <f aca="false">IF(INDEX(選手一覧!$F$7:$F$2738,$F694)="","",INDEX(選手一覧!$F$7:$F$2738,$F694))</f>
        <v/>
      </c>
      <c r="H694" s="12" t="str">
        <f aca="false">IF(INDEX(選手一覧!$G$7:$G$2738,$F694)="","",INDEX(選手一覧!$G$7:$G$2738,$F694))</f>
        <v/>
      </c>
      <c r="I694" s="11" t="str">
        <f aca="false">IF(INDEX(選手一覧!$H$7:$H$2738,$F694)="","",INDEX(選手一覧!$H$7:$H$2738,$F694))</f>
        <v/>
      </c>
      <c r="J694" s="12" t="str">
        <f aca="false">IF(INDEX(選手一覧!$I$7:$I$2738,$F694)="","",INDEX(選手一覧!$I$7:$I$2738,$F694))</f>
        <v/>
      </c>
    </row>
    <row r="695" customFormat="false" ht="15" hidden="false" customHeight="false" outlineLevel="0" collapsed="false">
      <c r="A695" s="12" t="n">
        <v>691</v>
      </c>
      <c r="B695" s="10" t="s">
        <v>1248</v>
      </c>
      <c r="C695" s="10" t="s">
        <v>754</v>
      </c>
      <c r="D695" s="11" t="n">
        <v>0.010765162037037</v>
      </c>
      <c r="E695" s="18" t="n">
        <f aca="false">ROUND((D695-$D$5)*86400,2)</f>
        <v>140.37</v>
      </c>
      <c r="F695" s="12" t="n">
        <v>848</v>
      </c>
      <c r="G695" s="11" t="str">
        <f aca="false">IF(INDEX(選手一覧!$F$7:$F$2738,$F695)="","",INDEX(選手一覧!$F$7:$F$2738,$F695))</f>
        <v/>
      </c>
      <c r="H695" s="12" t="str">
        <f aca="false">IF(INDEX(選手一覧!$G$7:$G$2738,$F695)="","",INDEX(選手一覧!$G$7:$G$2738,$F695))</f>
        <v/>
      </c>
      <c r="I695" s="11" t="n">
        <f aca="false">IF(INDEX(選手一覧!$H$7:$H$2738,$F695)="","",INDEX(選手一覧!$H$7:$H$2738,$F695))</f>
        <v>0.00282233796296296</v>
      </c>
      <c r="J695" s="12" t="n">
        <f aca="false">IF(INDEX(選手一覧!$I$7:$I$2738,$F695)="","",INDEX(選手一覧!$I$7:$I$2738,$F695))</f>
        <v>376</v>
      </c>
    </row>
    <row r="696" customFormat="false" ht="15" hidden="false" customHeight="false" outlineLevel="0" collapsed="false">
      <c r="A696" s="12" t="n">
        <v>692</v>
      </c>
      <c r="B696" s="10" t="s">
        <v>408</v>
      </c>
      <c r="C696" s="10" t="s">
        <v>134</v>
      </c>
      <c r="D696" s="11" t="n">
        <v>0.0107659722222222</v>
      </c>
      <c r="E696" s="18" t="n">
        <f aca="false">ROUND((D696-$D$5)*86400,2)</f>
        <v>140.44</v>
      </c>
      <c r="F696" s="12" t="n">
        <v>245</v>
      </c>
      <c r="G696" s="11" t="n">
        <f aca="false">IF(INDEX(選手一覧!$F$7:$F$2738,$F696)="","",INDEX(選手一覧!$F$7:$F$2738,$F696))</f>
        <v>0.00668391203703704</v>
      </c>
      <c r="H696" s="12" t="n">
        <f aca="false">IF(INDEX(選手一覧!$G$7:$G$2738,$F696)="","",INDEX(選手一覧!$G$7:$G$2738,$F696))</f>
        <v>101</v>
      </c>
      <c r="I696" s="11" t="n">
        <f aca="false">IF(INDEX(選手一覧!$H$7:$H$2738,$F696)="","",INDEX(選手一覧!$H$7:$H$2738,$F696))</f>
        <v>0.00280405092592593</v>
      </c>
      <c r="J696" s="12" t="n">
        <f aca="false">IF(INDEX(選手一覧!$I$7:$I$2738,$F696)="","",INDEX(選手一覧!$I$7:$I$2738,$F696))</f>
        <v>300</v>
      </c>
    </row>
    <row r="697" customFormat="false" ht="15" hidden="false" customHeight="false" outlineLevel="0" collapsed="false">
      <c r="A697" s="12" t="n">
        <v>693</v>
      </c>
      <c r="B697" s="10" t="s">
        <v>2115</v>
      </c>
      <c r="C697" s="10" t="s">
        <v>130</v>
      </c>
      <c r="D697" s="11" t="n">
        <v>0.010766087962963</v>
      </c>
      <c r="E697" s="18" t="n">
        <f aca="false">ROUND((D697-$D$5)*86400,2)</f>
        <v>140.45</v>
      </c>
      <c r="F697" s="12" t="n">
        <v>1462</v>
      </c>
      <c r="G697" s="11" t="str">
        <f aca="false">IF(INDEX(選手一覧!$F$7:$F$2738,$F697)="","",INDEX(選手一覧!$F$7:$F$2738,$F697))</f>
        <v/>
      </c>
      <c r="H697" s="12" t="str">
        <f aca="false">IF(INDEX(選手一覧!$G$7:$G$2738,$F697)="","",INDEX(選手一覧!$G$7:$G$2738,$F697))</f>
        <v/>
      </c>
      <c r="I697" s="11" t="str">
        <f aca="false">IF(INDEX(選手一覧!$H$7:$H$2738,$F697)="","",INDEX(選手一覧!$H$7:$H$2738,$F697))</f>
        <v/>
      </c>
      <c r="J697" s="12" t="str">
        <f aca="false">IF(INDEX(選手一覧!$I$7:$I$2738,$F697)="","",INDEX(選手一覧!$I$7:$I$2738,$F697))</f>
        <v/>
      </c>
    </row>
    <row r="698" customFormat="false" ht="15" hidden="false" customHeight="false" outlineLevel="0" collapsed="false">
      <c r="A698" s="12" t="n">
        <v>694</v>
      </c>
      <c r="B698" s="10" t="s">
        <v>2119</v>
      </c>
      <c r="C698" s="10" t="s">
        <v>577</v>
      </c>
      <c r="D698" s="11" t="n">
        <v>0.0107679398148148</v>
      </c>
      <c r="E698" s="18" t="n">
        <f aca="false">ROUND((D698-$D$5)*86400,2)</f>
        <v>140.61</v>
      </c>
      <c r="F698" s="12" t="n">
        <v>1465</v>
      </c>
      <c r="G698" s="11" t="str">
        <f aca="false">IF(INDEX(選手一覧!$F$7:$F$2738,$F698)="","",INDEX(選手一覧!$F$7:$F$2738,$F698))</f>
        <v/>
      </c>
      <c r="H698" s="12" t="str">
        <f aca="false">IF(INDEX(選手一覧!$G$7:$G$2738,$F698)="","",INDEX(選手一覧!$G$7:$G$2738,$F698))</f>
        <v/>
      </c>
      <c r="I698" s="11" t="str">
        <f aca="false">IF(INDEX(選手一覧!$H$7:$H$2738,$F698)="","",INDEX(選手一覧!$H$7:$H$2738,$F698))</f>
        <v/>
      </c>
      <c r="J698" s="12" t="str">
        <f aca="false">IF(INDEX(選手一覧!$I$7:$I$2738,$F698)="","",INDEX(選手一覧!$I$7:$I$2738,$F698))</f>
        <v/>
      </c>
    </row>
    <row r="699" customFormat="false" ht="15" hidden="false" customHeight="false" outlineLevel="0" collapsed="false">
      <c r="A699" s="12" t="n">
        <v>695</v>
      </c>
      <c r="B699" s="10" t="s">
        <v>2121</v>
      </c>
      <c r="C699" s="10" t="s">
        <v>467</v>
      </c>
      <c r="D699" s="11" t="n">
        <v>0.0107696759259259</v>
      </c>
      <c r="E699" s="18" t="n">
        <f aca="false">ROUND((D699-$D$5)*86400,2)</f>
        <v>140.76</v>
      </c>
      <c r="F699" s="12" t="n">
        <v>1467</v>
      </c>
      <c r="G699" s="11" t="str">
        <f aca="false">IF(INDEX(選手一覧!$F$7:$F$2738,$F699)="","",INDEX(選手一覧!$F$7:$F$2738,$F699))</f>
        <v/>
      </c>
      <c r="H699" s="12" t="str">
        <f aca="false">IF(INDEX(選手一覧!$G$7:$G$2738,$F699)="","",INDEX(選手一覧!$G$7:$G$2738,$F699))</f>
        <v/>
      </c>
      <c r="I699" s="11" t="n">
        <f aca="false">IF(INDEX(選手一覧!$H$7:$H$2738,$F699)="","",INDEX(選手一覧!$H$7:$H$2738,$F699))</f>
        <v>0.00287800925925926</v>
      </c>
      <c r="J699" s="12" t="n">
        <f aca="false">IF(INDEX(選手一覧!$I$7:$I$2738,$F699)="","",INDEX(選手一覧!$I$7:$I$2738,$F699))</f>
        <v>753</v>
      </c>
    </row>
    <row r="700" customFormat="false" ht="15" hidden="false" customHeight="false" outlineLevel="0" collapsed="false">
      <c r="A700" s="12" t="n">
        <v>696</v>
      </c>
      <c r="B700" s="10" t="s">
        <v>2124</v>
      </c>
      <c r="C700" s="10" t="s">
        <v>302</v>
      </c>
      <c r="D700" s="11" t="n">
        <v>0.0107704861111111</v>
      </c>
      <c r="E700" s="18" t="n">
        <f aca="false">ROUND((D700-$D$5)*86400,2)</f>
        <v>140.83</v>
      </c>
      <c r="F700" s="12" t="n">
        <v>1469</v>
      </c>
      <c r="G700" s="11" t="n">
        <f aca="false">IF(INDEX(選手一覧!$F$7:$F$2738,$F700)="","",INDEX(選手一覧!$F$7:$F$2738,$F700))</f>
        <v>0.008159375</v>
      </c>
      <c r="H700" s="12" t="n">
        <f aca="false">IF(INDEX(選手一覧!$G$7:$G$2738,$F700)="","",INDEX(選手一覧!$G$7:$G$2738,$F700))</f>
        <v>1223</v>
      </c>
      <c r="I700" s="11" t="n">
        <f aca="false">IF(INDEX(選手一覧!$H$7:$H$2738,$F700)="","",INDEX(選手一覧!$H$7:$H$2738,$F700))</f>
        <v>0.00288263888888889</v>
      </c>
      <c r="J700" s="12" t="n">
        <f aca="false">IF(INDEX(選手一覧!$I$7:$I$2738,$F700)="","",INDEX(選手一覧!$I$7:$I$2738,$F700))</f>
        <v>797</v>
      </c>
    </row>
    <row r="701" customFormat="false" ht="15" hidden="false" customHeight="false" outlineLevel="0" collapsed="false">
      <c r="A701" s="12" t="n">
        <v>697</v>
      </c>
      <c r="B701" s="10" t="s">
        <v>582</v>
      </c>
      <c r="C701" s="10" t="s">
        <v>534</v>
      </c>
      <c r="D701" s="11" t="n">
        <v>0.0107707175925926</v>
      </c>
      <c r="E701" s="18" t="n">
        <f aca="false">ROUND((D701-$D$5)*86400,2)</f>
        <v>140.85</v>
      </c>
      <c r="F701" s="12" t="n">
        <v>367</v>
      </c>
      <c r="G701" s="11" t="str">
        <f aca="false">IF(INDEX(選手一覧!$F$7:$F$2738,$F701)="","",INDEX(選手一覧!$F$7:$F$2738,$F701))</f>
        <v/>
      </c>
      <c r="H701" s="12" t="str">
        <f aca="false">IF(INDEX(選手一覧!$G$7:$G$2738,$F701)="","",INDEX(選手一覧!$G$7:$G$2738,$F701))</f>
        <v/>
      </c>
      <c r="I701" s="11" t="n">
        <f aca="false">IF(INDEX(選手一覧!$H$7:$H$2738,$F701)="","",INDEX(選手一覧!$H$7:$H$2738,$F701))</f>
        <v>0.00276678240740741</v>
      </c>
      <c r="J701" s="12" t="n">
        <f aca="false">IF(INDEX(選手一覧!$I$7:$I$2738,$F701)="","",INDEX(選手一覧!$I$7:$I$2738,$F701))</f>
        <v>155</v>
      </c>
    </row>
    <row r="702" customFormat="false" ht="15" hidden="false" customHeight="false" outlineLevel="0" collapsed="false">
      <c r="A702" s="12" t="n">
        <v>698</v>
      </c>
      <c r="B702" s="10" t="s">
        <v>2131</v>
      </c>
      <c r="C702" s="10" t="s">
        <v>2132</v>
      </c>
      <c r="D702" s="11" t="n">
        <v>0.010771412037037</v>
      </c>
      <c r="E702" s="18" t="n">
        <f aca="false">ROUND((D702-$D$5)*86400,2)</f>
        <v>140.91</v>
      </c>
      <c r="F702" s="12" t="n">
        <v>1474</v>
      </c>
      <c r="G702" s="11" t="str">
        <f aca="false">IF(INDEX(選手一覧!$F$7:$F$2738,$F702)="","",INDEX(選手一覧!$F$7:$F$2738,$F702))</f>
        <v/>
      </c>
      <c r="H702" s="12" t="str">
        <f aca="false">IF(INDEX(選手一覧!$G$7:$G$2738,$F702)="","",INDEX(選手一覧!$G$7:$G$2738,$F702))</f>
        <v/>
      </c>
      <c r="I702" s="11" t="str">
        <f aca="false">IF(INDEX(選手一覧!$H$7:$H$2738,$F702)="","",INDEX(選手一覧!$H$7:$H$2738,$F702))</f>
        <v/>
      </c>
      <c r="J702" s="12" t="str">
        <f aca="false">IF(INDEX(選手一覧!$I$7:$I$2738,$F702)="","",INDEX(選手一覧!$I$7:$I$2738,$F702))</f>
        <v/>
      </c>
    </row>
    <row r="703" customFormat="false" ht="15" hidden="false" customHeight="false" outlineLevel="0" collapsed="false">
      <c r="A703" s="12" t="n">
        <v>699</v>
      </c>
      <c r="B703" s="10" t="s">
        <v>1108</v>
      </c>
      <c r="C703" s="10" t="s">
        <v>317</v>
      </c>
      <c r="D703" s="11" t="n">
        <v>0.0107715277777778</v>
      </c>
      <c r="E703" s="18" t="n">
        <f aca="false">ROUND((D703-$D$5)*86400,2)</f>
        <v>140.92</v>
      </c>
      <c r="F703" s="12" t="n">
        <v>747</v>
      </c>
      <c r="G703" s="11" t="str">
        <f aca="false">IF(INDEX(選手一覧!$F$7:$F$2738,$F703)="","",INDEX(選手一覧!$F$7:$F$2738,$F703))</f>
        <v/>
      </c>
      <c r="H703" s="12" t="str">
        <f aca="false">IF(INDEX(選手一覧!$G$7:$G$2738,$F703)="","",INDEX(選手一覧!$G$7:$G$2738,$F703))</f>
        <v/>
      </c>
      <c r="I703" s="11" t="n">
        <f aca="false">IF(INDEX(選手一覧!$H$7:$H$2738,$F703)="","",INDEX(選手一覧!$H$7:$H$2738,$F703))</f>
        <v>0.00280983796296296</v>
      </c>
      <c r="J703" s="12" t="n">
        <f aca="false">IF(INDEX(選手一覧!$I$7:$I$2738,$F703)="","",INDEX(選手一覧!$I$7:$I$2738,$F703))</f>
        <v>324</v>
      </c>
    </row>
    <row r="704" customFormat="false" ht="15" hidden="false" customHeight="false" outlineLevel="0" collapsed="false">
      <c r="A704" s="12" t="n">
        <v>700</v>
      </c>
      <c r="B704" s="10" t="s">
        <v>1112</v>
      </c>
      <c r="C704" s="10" t="s">
        <v>1113</v>
      </c>
      <c r="D704" s="11" t="n">
        <v>0.0107717592592593</v>
      </c>
      <c r="E704" s="18" t="n">
        <f aca="false">ROUND((D704-$D$5)*86400,2)</f>
        <v>140.94</v>
      </c>
      <c r="F704" s="12" t="n">
        <v>750</v>
      </c>
      <c r="G704" s="11" t="str">
        <f aca="false">IF(INDEX(選手一覧!$F$7:$F$2738,$F704)="","",INDEX(選手一覧!$F$7:$F$2738,$F704))</f>
        <v/>
      </c>
      <c r="H704" s="12" t="str">
        <f aca="false">IF(INDEX(選手一覧!$G$7:$G$2738,$F704)="","",INDEX(選手一覧!$G$7:$G$2738,$F704))</f>
        <v/>
      </c>
      <c r="I704" s="11" t="n">
        <f aca="false">IF(INDEX(選手一覧!$H$7:$H$2738,$F704)="","",INDEX(選手一覧!$H$7:$H$2738,$F704))</f>
        <v>0.00281064814814815</v>
      </c>
      <c r="J704" s="12" t="n">
        <f aca="false">IF(INDEX(選手一覧!$I$7:$I$2738,$F704)="","",INDEX(選手一覧!$I$7:$I$2738,$F704))</f>
        <v>325</v>
      </c>
    </row>
    <row r="705" customFormat="false" ht="15" hidden="false" customHeight="false" outlineLevel="0" collapsed="false">
      <c r="A705" s="12" t="n">
        <v>701</v>
      </c>
      <c r="B705" s="10" t="s">
        <v>1844</v>
      </c>
      <c r="C705" s="10" t="s">
        <v>126</v>
      </c>
      <c r="D705" s="11" t="n">
        <v>0.010772337962963</v>
      </c>
      <c r="E705" s="18" t="n">
        <f aca="false">ROUND((D705-$D$5)*86400,2)</f>
        <v>140.99</v>
      </c>
      <c r="F705" s="12" t="n">
        <v>1269</v>
      </c>
      <c r="G705" s="11" t="str">
        <f aca="false">IF(INDEX(選手一覧!$F$7:$F$2738,$F705)="","",INDEX(選手一覧!$F$7:$F$2738,$F705))</f>
        <v/>
      </c>
      <c r="H705" s="12" t="str">
        <f aca="false">IF(INDEX(選手一覧!$G$7:$G$2738,$F705)="","",INDEX(選手一覧!$G$7:$G$2738,$F705))</f>
        <v/>
      </c>
      <c r="I705" s="11" t="n">
        <f aca="false">IF(INDEX(選手一覧!$H$7:$H$2738,$F705)="","",INDEX(選手一覧!$H$7:$H$2738,$F705))</f>
        <v>0.00285300925925926</v>
      </c>
      <c r="J705" s="12" t="n">
        <f aca="false">IF(INDEX(選手一覧!$I$7:$I$2738,$F705)="","",INDEX(選手一覧!$I$7:$I$2738,$F705))</f>
        <v>586</v>
      </c>
    </row>
    <row r="706" customFormat="false" ht="15" hidden="false" customHeight="false" outlineLevel="0" collapsed="false">
      <c r="A706" s="12" t="n">
        <v>702</v>
      </c>
      <c r="B706" s="10" t="s">
        <v>2141</v>
      </c>
      <c r="C706" s="10" t="s">
        <v>1883</v>
      </c>
      <c r="D706" s="11" t="n">
        <v>0.0107753472222222</v>
      </c>
      <c r="E706" s="18" t="n">
        <f aca="false">ROUND((D706-$D$5)*86400,2)</f>
        <v>141.25</v>
      </c>
      <c r="F706" s="12" t="n">
        <v>1479</v>
      </c>
      <c r="G706" s="11" t="str">
        <f aca="false">IF(INDEX(選手一覧!$F$7:$F$2738,$F706)="","",INDEX(選手一覧!$F$7:$F$2738,$F706))</f>
        <v/>
      </c>
      <c r="H706" s="12" t="str">
        <f aca="false">IF(INDEX(選手一覧!$G$7:$G$2738,$F706)="","",INDEX(選手一覧!$G$7:$G$2738,$F706))</f>
        <v/>
      </c>
      <c r="I706" s="11" t="n">
        <f aca="false">IF(INDEX(選手一覧!$H$7:$H$2738,$F706)="","",INDEX(選手一覧!$H$7:$H$2738,$F706))</f>
        <v>0.00291145833333333</v>
      </c>
      <c r="J706" s="12" t="n">
        <f aca="false">IF(INDEX(選手一覧!$I$7:$I$2738,$F706)="","",INDEX(選手一覧!$I$7:$I$2738,$F706))</f>
        <v>1033</v>
      </c>
    </row>
    <row r="707" customFormat="false" ht="15" hidden="false" customHeight="false" outlineLevel="0" collapsed="false">
      <c r="A707" s="12" t="n">
        <v>703</v>
      </c>
      <c r="B707" s="10" t="s">
        <v>2144</v>
      </c>
      <c r="C707" s="10" t="s">
        <v>1413</v>
      </c>
      <c r="D707" s="11" t="n">
        <v>0.0107763888888889</v>
      </c>
      <c r="E707" s="18" t="n">
        <f aca="false">ROUND((D707-$D$5)*86400,2)</f>
        <v>141.34</v>
      </c>
      <c r="F707" s="12" t="n">
        <v>1482</v>
      </c>
      <c r="G707" s="11" t="str">
        <f aca="false">IF(INDEX(選手一覧!$F$7:$F$2738,$F707)="","",INDEX(選手一覧!$F$7:$F$2738,$F707))</f>
        <v/>
      </c>
      <c r="H707" s="12" t="str">
        <f aca="false">IF(INDEX(選手一覧!$G$7:$G$2738,$F707)="","",INDEX(選手一覧!$G$7:$G$2738,$F707))</f>
        <v/>
      </c>
      <c r="I707" s="11" t="str">
        <f aca="false">IF(INDEX(選手一覧!$H$7:$H$2738,$F707)="","",INDEX(選手一覧!$H$7:$H$2738,$F707))</f>
        <v/>
      </c>
      <c r="J707" s="12" t="str">
        <f aca="false">IF(INDEX(選手一覧!$I$7:$I$2738,$F707)="","",INDEX(選手一覧!$I$7:$I$2738,$F707))</f>
        <v/>
      </c>
    </row>
    <row r="708" customFormat="false" ht="15" hidden="false" customHeight="false" outlineLevel="0" collapsed="false">
      <c r="A708" s="12" t="n">
        <v>704</v>
      </c>
      <c r="B708" s="10" t="s">
        <v>479</v>
      </c>
      <c r="C708" s="10" t="s">
        <v>480</v>
      </c>
      <c r="D708" s="11" t="n">
        <v>0.0107768518518519</v>
      </c>
      <c r="E708" s="18" t="n">
        <f aca="false">ROUND((D708-$D$5)*86400,2)</f>
        <v>141.38</v>
      </c>
      <c r="F708" s="12" t="n">
        <v>298</v>
      </c>
      <c r="G708" s="11" t="str">
        <f aca="false">IF(INDEX(選手一覧!$F$7:$F$2738,$F708)="","",INDEX(選手一覧!$F$7:$F$2738,$F708))</f>
        <v/>
      </c>
      <c r="H708" s="12" t="str">
        <f aca="false">IF(INDEX(選手一覧!$G$7:$G$2738,$F708)="","",INDEX(選手一覧!$G$7:$G$2738,$F708))</f>
        <v/>
      </c>
      <c r="I708" s="11" t="n">
        <f aca="false">IF(INDEX(選手一覧!$H$7:$H$2738,$F708)="","",INDEX(選手一覧!$H$7:$H$2738,$F708))</f>
        <v>0.00275601851851852</v>
      </c>
      <c r="J708" s="12" t="n">
        <f aca="false">IF(INDEX(選手一覧!$I$7:$I$2738,$F708)="","",INDEX(選手一覧!$I$7:$I$2738,$F708))</f>
        <v>123</v>
      </c>
    </row>
    <row r="709" customFormat="false" ht="15" hidden="false" customHeight="false" outlineLevel="0" collapsed="false">
      <c r="A709" s="12" t="n">
        <v>705</v>
      </c>
      <c r="B709" s="10" t="s">
        <v>316</v>
      </c>
      <c r="C709" s="10" t="s">
        <v>317</v>
      </c>
      <c r="D709" s="11" t="n">
        <v>0.0107778935185185</v>
      </c>
      <c r="E709" s="18" t="n">
        <f aca="false">ROUND((D709-$D$5)*86400,2)</f>
        <v>141.47</v>
      </c>
      <c r="F709" s="12" t="n">
        <v>180</v>
      </c>
      <c r="G709" s="11" t="n">
        <f aca="false">IF(INDEX(選手一覧!$F$7:$F$2738,$F709)="","",INDEX(選手一覧!$F$7:$F$2738,$F709))</f>
        <v>0.0066275462962963</v>
      </c>
      <c r="H709" s="12" t="n">
        <f aca="false">IF(INDEX(選手一覧!$G$7:$G$2738,$F709)="","",INDEX(選手一覧!$G$7:$G$2738,$F709))</f>
        <v>73</v>
      </c>
      <c r="I709" s="11" t="n">
        <f aca="false">IF(INDEX(選手一覧!$H$7:$H$2738,$F709)="","",INDEX(選手一覧!$H$7:$H$2738,$F709))</f>
        <v>0.00289895833333333</v>
      </c>
      <c r="J709" s="12" t="n">
        <f aca="false">IF(INDEX(選手一覧!$I$7:$I$2738,$F709)="","",INDEX(選手一覧!$I$7:$I$2738,$F709))</f>
        <v>938</v>
      </c>
    </row>
    <row r="710" customFormat="false" ht="15" hidden="false" customHeight="false" outlineLevel="0" collapsed="false">
      <c r="A710" s="12" t="n">
        <v>706</v>
      </c>
      <c r="B710" s="10" t="s">
        <v>740</v>
      </c>
      <c r="C710" s="10" t="s">
        <v>741</v>
      </c>
      <c r="D710" s="11" t="n">
        <v>0.0107795138888889</v>
      </c>
      <c r="E710" s="18" t="n">
        <f aca="false">ROUND((D710-$D$5)*86400,2)</f>
        <v>141.61</v>
      </c>
      <c r="F710" s="12" t="n">
        <v>478</v>
      </c>
      <c r="G710" s="11" t="n">
        <f aca="false">IF(INDEX(選手一覧!$F$7:$F$2738,$F710)="","",INDEX(選手一覧!$F$7:$F$2738,$F710))</f>
        <v>0.00684710648148148</v>
      </c>
      <c r="H710" s="12" t="n">
        <f aca="false">IF(INDEX(選手一覧!$G$7:$G$2738,$F710)="","",INDEX(選手一覧!$G$7:$G$2738,$F710))</f>
        <v>201</v>
      </c>
      <c r="I710" s="11" t="n">
        <f aca="false">IF(INDEX(選手一覧!$H$7:$H$2738,$F710)="","",INDEX(選手一覧!$H$7:$H$2738,$F710))</f>
        <v>0.00284722222222222</v>
      </c>
      <c r="J710" s="12" t="n">
        <f aca="false">IF(INDEX(選手一覧!$I$7:$I$2738,$F710)="","",INDEX(選手一覧!$I$7:$I$2738,$F710))</f>
        <v>552</v>
      </c>
    </row>
    <row r="711" customFormat="false" ht="15" hidden="false" customHeight="false" outlineLevel="0" collapsed="false">
      <c r="A711" s="12" t="n">
        <v>707</v>
      </c>
      <c r="B711" s="10" t="s">
        <v>982</v>
      </c>
      <c r="C711" s="10" t="s">
        <v>983</v>
      </c>
      <c r="D711" s="11" t="n">
        <v>0.0107804398148148</v>
      </c>
      <c r="E711" s="18" t="n">
        <f aca="false">ROUND((D711-$D$5)*86400,2)</f>
        <v>141.69</v>
      </c>
      <c r="F711" s="12" t="n">
        <v>656</v>
      </c>
      <c r="G711" s="11" t="str">
        <f aca="false">IF(INDEX(選手一覧!$F$7:$F$2738,$F711)="","",INDEX(選手一覧!$F$7:$F$2738,$F711))</f>
        <v/>
      </c>
      <c r="H711" s="12" t="str">
        <f aca="false">IF(INDEX(選手一覧!$G$7:$G$2738,$F711)="","",INDEX(選手一覧!$G$7:$G$2738,$F711))</f>
        <v/>
      </c>
      <c r="I711" s="11" t="n">
        <f aca="false">IF(INDEX(選手一覧!$H$7:$H$2738,$F711)="","",INDEX(選手一覧!$H$7:$H$2738,$F711))</f>
        <v>0.00279907407407407</v>
      </c>
      <c r="J711" s="12" t="n">
        <f aca="false">IF(INDEX(選手一覧!$I$7:$I$2738,$F711)="","",INDEX(選手一覧!$I$7:$I$2738,$F711))</f>
        <v>278</v>
      </c>
    </row>
    <row r="712" customFormat="false" ht="15" hidden="false" customHeight="false" outlineLevel="0" collapsed="false">
      <c r="A712" s="12" t="n">
        <v>708</v>
      </c>
      <c r="B712" s="10" t="s">
        <v>939</v>
      </c>
      <c r="C712" s="10" t="s">
        <v>836</v>
      </c>
      <c r="D712" s="11" t="n">
        <v>0.0107810185185185</v>
      </c>
      <c r="E712" s="18" t="n">
        <f aca="false">ROUND((D712-$D$5)*86400,2)</f>
        <v>141.74</v>
      </c>
      <c r="F712" s="12" t="n">
        <v>623</v>
      </c>
      <c r="G712" s="11" t="str">
        <f aca="false">IF(INDEX(選手一覧!$F$7:$F$2738,$F712)="","",INDEX(選手一覧!$F$7:$F$2738,$F712))</f>
        <v/>
      </c>
      <c r="H712" s="12" t="str">
        <f aca="false">IF(INDEX(選手一覧!$G$7:$G$2738,$F712)="","",INDEX(選手一覧!$G$7:$G$2738,$F712))</f>
        <v/>
      </c>
      <c r="I712" s="11" t="n">
        <f aca="false">IF(INDEX(選手一覧!$H$7:$H$2738,$F712)="","",INDEX(選手一覧!$H$7:$H$2738,$F712))</f>
        <v>0.00279560185185185</v>
      </c>
      <c r="J712" s="12" t="n">
        <f aca="false">IF(INDEX(選手一覧!$I$7:$I$2738,$F712)="","",INDEX(選手一覧!$I$7:$I$2738,$F712))</f>
        <v>262</v>
      </c>
    </row>
    <row r="713" customFormat="false" ht="15" hidden="false" customHeight="false" outlineLevel="0" collapsed="false">
      <c r="A713" s="12" t="n">
        <v>709</v>
      </c>
      <c r="B713" s="10" t="s">
        <v>1590</v>
      </c>
      <c r="C713" s="10" t="s">
        <v>380</v>
      </c>
      <c r="D713" s="11" t="n">
        <v>0.0107821759259259</v>
      </c>
      <c r="E713" s="18" t="n">
        <f aca="false">ROUND((D713-$D$5)*86400,2)</f>
        <v>141.84</v>
      </c>
      <c r="F713" s="12" t="n">
        <v>1097</v>
      </c>
      <c r="G713" s="11" t="str">
        <f aca="false">IF(INDEX(選手一覧!$F$7:$F$2738,$F713)="","",INDEX(選手一覧!$F$7:$F$2738,$F713))</f>
        <v/>
      </c>
      <c r="H713" s="12" t="str">
        <f aca="false">IF(INDEX(選手一覧!$G$7:$G$2738,$F713)="","",INDEX(選手一覧!$G$7:$G$2738,$F713))</f>
        <v/>
      </c>
      <c r="I713" s="11" t="n">
        <f aca="false">IF(INDEX(選手一覧!$H$7:$H$2738,$F713)="","",INDEX(選手一覧!$H$7:$H$2738,$F713))</f>
        <v>0.0028400462962963</v>
      </c>
      <c r="J713" s="12" t="n">
        <f aca="false">IF(INDEX(選手一覧!$I$7:$I$2738,$F713)="","",INDEX(選手一覧!$I$7:$I$2738,$F713))</f>
        <v>497</v>
      </c>
    </row>
    <row r="714" customFormat="false" ht="15" hidden="false" customHeight="false" outlineLevel="0" collapsed="false">
      <c r="A714" s="12" t="n">
        <v>710</v>
      </c>
      <c r="B714" s="10" t="s">
        <v>1631</v>
      </c>
      <c r="C714" s="10" t="s">
        <v>118</v>
      </c>
      <c r="D714" s="11" t="n">
        <v>0.0107835648148148</v>
      </c>
      <c r="E714" s="18" t="n">
        <f aca="false">ROUND((D714-$D$5)*86400,2)</f>
        <v>141.96</v>
      </c>
      <c r="F714" s="12" t="n">
        <v>1125</v>
      </c>
      <c r="G714" s="11" t="n">
        <f aca="false">IF(INDEX(選手一覧!$F$7:$F$2738,$F714)="","",INDEX(選手一覧!$F$7:$F$2738,$F714))</f>
        <v>0.00717002314814815</v>
      </c>
      <c r="H714" s="12" t="n">
        <f aca="false">IF(INDEX(選手一覧!$G$7:$G$2738,$F714)="","",INDEX(選手一覧!$G$7:$G$2738,$F714))</f>
        <v>510</v>
      </c>
      <c r="I714" s="11" t="str">
        <f aca="false">IF(INDEX(選手一覧!$H$7:$H$2738,$F714)="","",INDEX(選手一覧!$H$7:$H$2738,$F714))</f>
        <v/>
      </c>
      <c r="J714" s="12" t="str">
        <f aca="false">IF(INDEX(選手一覧!$I$7:$I$2738,$F714)="","",INDEX(選手一覧!$I$7:$I$2738,$F714))</f>
        <v/>
      </c>
    </row>
    <row r="715" customFormat="false" ht="15" hidden="false" customHeight="false" outlineLevel="0" collapsed="false">
      <c r="A715" s="12" t="n">
        <v>711</v>
      </c>
      <c r="B715" s="10" t="s">
        <v>1950</v>
      </c>
      <c r="C715" s="10" t="s">
        <v>1653</v>
      </c>
      <c r="D715" s="11" t="n">
        <v>0.010783912037037</v>
      </c>
      <c r="E715" s="18" t="n">
        <f aca="false">ROUND((D715-$D$5)*86400,2)</f>
        <v>141.99</v>
      </c>
      <c r="F715" s="12" t="n">
        <v>1341</v>
      </c>
      <c r="G715" s="11" t="str">
        <f aca="false">IF(INDEX(選手一覧!$F$7:$F$2738,$F715)="","",INDEX(選手一覧!$F$7:$F$2738,$F715))</f>
        <v/>
      </c>
      <c r="H715" s="12" t="str">
        <f aca="false">IF(INDEX(選手一覧!$G$7:$G$2738,$F715)="","",INDEX(選手一覧!$G$7:$G$2738,$F715))</f>
        <v/>
      </c>
      <c r="I715" s="11" t="n">
        <f aca="false">IF(INDEX(選手一覧!$H$7:$H$2738,$F715)="","",INDEX(選手一覧!$H$7:$H$2738,$F715))</f>
        <v>0.0028587962962963</v>
      </c>
      <c r="J715" s="12" t="n">
        <f aca="false">IF(INDEX(選手一覧!$I$7:$I$2738,$F715)="","",INDEX(選手一覧!$I$7:$I$2738,$F715))</f>
        <v>627</v>
      </c>
    </row>
    <row r="716" customFormat="false" ht="15" hidden="false" customHeight="false" outlineLevel="0" collapsed="false">
      <c r="A716" s="12" t="n">
        <v>712</v>
      </c>
      <c r="B716" s="10" t="s">
        <v>1995</v>
      </c>
      <c r="C716" s="10" t="s">
        <v>64</v>
      </c>
      <c r="D716" s="11" t="n">
        <v>0.0107847222222222</v>
      </c>
      <c r="E716" s="18" t="n">
        <f aca="false">ROUND((D716-$D$5)*86400,2)</f>
        <v>142.06</v>
      </c>
      <c r="F716" s="12" t="n">
        <v>1375</v>
      </c>
      <c r="G716" s="11" t="n">
        <f aca="false">IF(INDEX(選手一覧!$F$7:$F$2738,$F716)="","",INDEX(選手一覧!$F$7:$F$2738,$F716))</f>
        <v>0.0072994212962963</v>
      </c>
      <c r="H716" s="12" t="n">
        <f aca="false">IF(INDEX(選手一覧!$G$7:$G$2738,$F716)="","",INDEX(選手一覧!$G$7:$G$2738,$F716))</f>
        <v>646</v>
      </c>
      <c r="I716" s="11" t="n">
        <f aca="false">IF(INDEX(選手一覧!$H$7:$H$2738,$F716)="","",INDEX(選手一覧!$H$7:$H$2738,$F716))</f>
        <v>0.00289733796296296</v>
      </c>
      <c r="J716" s="12" t="n">
        <f aca="false">IF(INDEX(選手一覧!$I$7:$I$2738,$F716)="","",INDEX(選手一覧!$I$7:$I$2738,$F716))</f>
        <v>927</v>
      </c>
    </row>
    <row r="717" customFormat="false" ht="15" hidden="false" customHeight="false" outlineLevel="0" collapsed="false">
      <c r="A717" s="12" t="n">
        <v>713</v>
      </c>
      <c r="B717" s="10" t="s">
        <v>2170</v>
      </c>
      <c r="C717" s="10" t="s">
        <v>2171</v>
      </c>
      <c r="D717" s="11" t="n">
        <v>0.0107855324074074</v>
      </c>
      <c r="E717" s="18" t="n">
        <f aca="false">ROUND((D717-$D$5)*86400,2)</f>
        <v>142.13</v>
      </c>
      <c r="F717" s="12" t="n">
        <v>1501</v>
      </c>
      <c r="G717" s="11" t="n">
        <f aca="false">IF(INDEX(選手一覧!$F$7:$F$2738,$F717)="","",INDEX(選手一覧!$F$7:$F$2738,$F717))</f>
        <v>0.007771875</v>
      </c>
      <c r="H717" s="12" t="n">
        <f aca="false">IF(INDEX(選手一覧!$G$7:$G$2738,$F717)="","",INDEX(選手一覧!$G$7:$G$2738,$F717))</f>
        <v>1127</v>
      </c>
      <c r="I717" s="11" t="str">
        <f aca="false">IF(INDEX(選手一覧!$H$7:$H$2738,$F717)="","",INDEX(選手一覧!$H$7:$H$2738,$F717))</f>
        <v/>
      </c>
      <c r="J717" s="12" t="str">
        <f aca="false">IF(INDEX(選手一覧!$I$7:$I$2738,$F717)="","",INDEX(選手一覧!$I$7:$I$2738,$F717))</f>
        <v/>
      </c>
    </row>
    <row r="718" customFormat="false" ht="15" hidden="false" customHeight="false" outlineLevel="0" collapsed="false">
      <c r="A718" s="12" t="n">
        <v>714</v>
      </c>
      <c r="B718" s="10" t="s">
        <v>571</v>
      </c>
      <c r="C718" s="10" t="s">
        <v>312</v>
      </c>
      <c r="D718" s="11" t="n">
        <v>0.0107869212962963</v>
      </c>
      <c r="E718" s="18" t="n">
        <f aca="false">ROUND((D718-$D$5)*86400,2)</f>
        <v>142.25</v>
      </c>
      <c r="F718" s="12" t="n">
        <v>358</v>
      </c>
      <c r="G718" s="11" t="str">
        <f aca="false">IF(INDEX(選手一覧!$F$7:$F$2738,$F718)="","",INDEX(選手一覧!$F$7:$F$2738,$F718))</f>
        <v/>
      </c>
      <c r="H718" s="12" t="str">
        <f aca="false">IF(INDEX(選手一覧!$G$7:$G$2738,$F718)="","",INDEX(選手一覧!$G$7:$G$2738,$F718))</f>
        <v/>
      </c>
      <c r="I718" s="11" t="n">
        <f aca="false">IF(INDEX(選手一覧!$H$7:$H$2738,$F718)="","",INDEX(選手一覧!$H$7:$H$2738,$F718))</f>
        <v>0.00276516203703704</v>
      </c>
      <c r="J718" s="12" t="n">
        <f aca="false">IF(INDEX(選手一覧!$I$7:$I$2738,$F718)="","",INDEX(選手一覧!$I$7:$I$2738,$F718))</f>
        <v>150</v>
      </c>
    </row>
    <row r="719" customFormat="false" ht="15" hidden="false" customHeight="false" outlineLevel="0" collapsed="false">
      <c r="A719" s="12" t="n">
        <v>715</v>
      </c>
      <c r="B719" s="10" t="s">
        <v>2176</v>
      </c>
      <c r="C719" s="10" t="s">
        <v>215</v>
      </c>
      <c r="D719" s="11" t="n">
        <v>0.0107873842592593</v>
      </c>
      <c r="E719" s="18" t="n">
        <f aca="false">ROUND((D719-$D$5)*86400,2)</f>
        <v>142.29</v>
      </c>
      <c r="F719" s="12" t="n">
        <v>1505</v>
      </c>
      <c r="G719" s="11" t="str">
        <f aca="false">IF(INDEX(選手一覧!$F$7:$F$2738,$F719)="","",INDEX(選手一覧!$F$7:$F$2738,$F719))</f>
        <v/>
      </c>
      <c r="H719" s="12" t="str">
        <f aca="false">IF(INDEX(選手一覧!$G$7:$G$2738,$F719)="","",INDEX(選手一覧!$G$7:$G$2738,$F719))</f>
        <v/>
      </c>
      <c r="I719" s="11" t="n">
        <f aca="false">IF(INDEX(選手一覧!$H$7:$H$2738,$F719)="","",INDEX(選手一覧!$H$7:$H$2738,$F719))</f>
        <v>0.00291689814814815</v>
      </c>
      <c r="J719" s="12" t="n">
        <f aca="false">IF(INDEX(選手一覧!$I$7:$I$2738,$F719)="","",INDEX(選手一覧!$I$7:$I$2738,$F719))</f>
        <v>1066</v>
      </c>
    </row>
    <row r="720" customFormat="false" ht="15" hidden="false" customHeight="false" outlineLevel="0" collapsed="false">
      <c r="A720" s="12" t="n">
        <v>716</v>
      </c>
      <c r="B720" s="10" t="s">
        <v>2177</v>
      </c>
      <c r="C720" s="10" t="s">
        <v>1381</v>
      </c>
      <c r="D720" s="11" t="n">
        <v>0.0107875</v>
      </c>
      <c r="E720" s="18" t="n">
        <f aca="false">ROUND((D720-$D$5)*86400,2)</f>
        <v>142.3</v>
      </c>
      <c r="F720" s="12" t="n">
        <v>1506</v>
      </c>
      <c r="G720" s="11" t="str">
        <f aca="false">IF(INDEX(選手一覧!$F$7:$F$2738,$F720)="","",INDEX(選手一覧!$F$7:$F$2738,$F720))</f>
        <v/>
      </c>
      <c r="H720" s="12" t="str">
        <f aca="false">IF(INDEX(選手一覧!$G$7:$G$2738,$F720)="","",INDEX(選手一覧!$G$7:$G$2738,$F720))</f>
        <v/>
      </c>
      <c r="I720" s="11" t="n">
        <f aca="false">IF(INDEX(選手一覧!$H$7:$H$2738,$F720)="","",INDEX(選手一覧!$H$7:$H$2738,$F720))</f>
        <v>0.00288703703703704</v>
      </c>
      <c r="J720" s="12" t="n">
        <f aca="false">IF(INDEX(選手一覧!$I$7:$I$2738,$F720)="","",INDEX(選手一覧!$I$7:$I$2738,$F720))</f>
        <v>835</v>
      </c>
    </row>
    <row r="721" customFormat="false" ht="15" hidden="false" customHeight="false" outlineLevel="0" collapsed="false">
      <c r="A721" s="12" t="n">
        <v>717</v>
      </c>
      <c r="B721" s="10" t="s">
        <v>1652</v>
      </c>
      <c r="C721" s="10" t="s">
        <v>1653</v>
      </c>
      <c r="D721" s="11" t="n">
        <v>0.0107876157407407</v>
      </c>
      <c r="E721" s="18" t="n">
        <f aca="false">ROUND((D721-$D$5)*86400,2)</f>
        <v>142.31</v>
      </c>
      <c r="F721" s="12" t="n">
        <v>1140</v>
      </c>
      <c r="G721" s="11" t="str">
        <f aca="false">IF(INDEX(選手一覧!$F$7:$F$2738,$F721)="","",INDEX(選手一覧!$F$7:$F$2738,$F721))</f>
        <v/>
      </c>
      <c r="H721" s="12" t="str">
        <f aca="false">IF(INDEX(選手一覧!$G$7:$G$2738,$F721)="","",INDEX(選手一覧!$G$7:$G$2738,$F721))</f>
        <v/>
      </c>
      <c r="I721" s="11" t="n">
        <f aca="false">IF(INDEX(選手一覧!$H$7:$H$2738,$F721)="","",INDEX(選手一覧!$H$7:$H$2738,$F721))</f>
        <v>0.00284340277777778</v>
      </c>
      <c r="J721" s="12" t="n">
        <f aca="false">IF(INDEX(選手一覧!$I$7:$I$2738,$F721)="","",INDEX(選手一覧!$I$7:$I$2738,$F721))</f>
        <v>519</v>
      </c>
    </row>
    <row r="722" customFormat="false" ht="15" hidden="false" customHeight="false" outlineLevel="0" collapsed="false">
      <c r="A722" s="12" t="n">
        <v>718</v>
      </c>
      <c r="B722" s="10" t="s">
        <v>785</v>
      </c>
      <c r="C722" s="10" t="s">
        <v>555</v>
      </c>
      <c r="D722" s="11" t="n">
        <v>0.0107881944444444</v>
      </c>
      <c r="E722" s="18" t="n">
        <f aca="false">ROUND((D722-$D$5)*86400,2)</f>
        <v>142.36</v>
      </c>
      <c r="F722" s="12" t="n">
        <v>511</v>
      </c>
      <c r="G722" s="11" t="n">
        <f aca="false">IF(INDEX(選手一覧!$F$7:$F$2738,$F722)="","",INDEX(選手一覧!$F$7:$F$2738,$F722))</f>
        <v>0.00738912037037037</v>
      </c>
      <c r="H722" s="12" t="n">
        <f aca="false">IF(INDEX(選手一覧!$G$7:$G$2738,$F722)="","",INDEX(選手一覧!$G$7:$G$2738,$F722))</f>
        <v>760</v>
      </c>
      <c r="I722" s="11" t="n">
        <f aca="false">IF(INDEX(選手一覧!$H$7:$H$2738,$F722)="","",INDEX(選手一覧!$H$7:$H$2738,$F722))</f>
        <v>0.00278356481481482</v>
      </c>
      <c r="J722" s="12" t="n">
        <f aca="false">IF(INDEX(選手一覧!$I$7:$I$2738,$F722)="","",INDEX(選手一覧!$I$7:$I$2738,$F722))</f>
        <v>214</v>
      </c>
    </row>
    <row r="723" customFormat="false" ht="15" hidden="false" customHeight="false" outlineLevel="0" collapsed="false">
      <c r="A723" s="12" t="n">
        <v>719</v>
      </c>
      <c r="B723" s="10" t="s">
        <v>488</v>
      </c>
      <c r="C723" s="10" t="s">
        <v>175</v>
      </c>
      <c r="D723" s="11" t="n">
        <v>0.0107890046296296</v>
      </c>
      <c r="E723" s="18" t="n">
        <f aca="false">ROUND((D723-$D$5)*86400,2)</f>
        <v>142.43</v>
      </c>
      <c r="F723" s="12" t="n">
        <v>303</v>
      </c>
      <c r="G723" s="11" t="str">
        <f aca="false">IF(INDEX(選手一覧!$F$7:$F$2738,$F723)="","",INDEX(選手一覧!$F$7:$F$2738,$F723))</f>
        <v/>
      </c>
      <c r="H723" s="12" t="str">
        <f aca="false">IF(INDEX(選手一覧!$G$7:$G$2738,$F723)="","",INDEX(選手一覧!$G$7:$G$2738,$F723))</f>
        <v/>
      </c>
      <c r="I723" s="11" t="n">
        <f aca="false">IF(INDEX(選手一覧!$H$7:$H$2738,$F723)="","",INDEX(選手一覧!$H$7:$H$2738,$F723))</f>
        <v>0.00275671296296296</v>
      </c>
      <c r="J723" s="12" t="n">
        <f aca="false">IF(INDEX(選手一覧!$I$7:$I$2738,$F723)="","",INDEX(選手一覧!$I$7:$I$2738,$F723))</f>
        <v>125</v>
      </c>
    </row>
    <row r="724" customFormat="false" ht="15" hidden="false" customHeight="false" outlineLevel="0" collapsed="false">
      <c r="A724" s="12" t="n">
        <v>720</v>
      </c>
      <c r="B724" s="10" t="s">
        <v>1523</v>
      </c>
      <c r="C724" s="10" t="s">
        <v>1311</v>
      </c>
      <c r="D724" s="11" t="n">
        <v>0.0107890046296296</v>
      </c>
      <c r="E724" s="18" t="n">
        <f aca="false">ROUND((D724-$D$5)*86400,2)</f>
        <v>142.43</v>
      </c>
      <c r="F724" s="12" t="n">
        <v>1045</v>
      </c>
      <c r="G724" s="11" t="str">
        <f aca="false">IF(INDEX(選手一覧!$F$7:$F$2738,$F724)="","",INDEX(選手一覧!$F$7:$F$2738,$F724))</f>
        <v/>
      </c>
      <c r="H724" s="12" t="str">
        <f aca="false">IF(INDEX(選手一覧!$G$7:$G$2738,$F724)="","",INDEX(選手一覧!$G$7:$G$2738,$F724))</f>
        <v/>
      </c>
      <c r="I724" s="11" t="n">
        <f aca="false">IF(INDEX(選手一覧!$H$7:$H$2738,$F724)="","",INDEX(選手一覧!$H$7:$H$2738,$F724))</f>
        <v>0.00283587962962963</v>
      </c>
      <c r="J724" s="12" t="n">
        <f aca="false">IF(INDEX(選手一覧!$I$7:$I$2738,$F724)="","",INDEX(選手一覧!$I$7:$I$2738,$F724))</f>
        <v>470</v>
      </c>
    </row>
    <row r="725" customFormat="false" ht="15" hidden="false" customHeight="false" outlineLevel="0" collapsed="false">
      <c r="A725" s="12" t="n">
        <v>721</v>
      </c>
      <c r="B725" s="10" t="s">
        <v>2188</v>
      </c>
      <c r="C725" s="10" t="s">
        <v>1496</v>
      </c>
      <c r="D725" s="11" t="n">
        <v>0.0107894675925926</v>
      </c>
      <c r="E725" s="18" t="n">
        <f aca="false">ROUND((D725-$D$5)*86400,2)</f>
        <v>142.47</v>
      </c>
      <c r="F725" s="12" t="n">
        <v>1514</v>
      </c>
      <c r="G725" s="11" t="str">
        <f aca="false">IF(INDEX(選手一覧!$F$7:$F$2738,$F725)="","",INDEX(選手一覧!$F$7:$F$2738,$F725))</f>
        <v/>
      </c>
      <c r="H725" s="12" t="str">
        <f aca="false">IF(INDEX(選手一覧!$G$7:$G$2738,$F725)="","",INDEX(選手一覧!$G$7:$G$2738,$F725))</f>
        <v/>
      </c>
      <c r="I725" s="11" t="n">
        <f aca="false">IF(INDEX(選手一覧!$H$7:$H$2738,$F725)="","",INDEX(選手一覧!$H$7:$H$2738,$F725))</f>
        <v>0.00289259259259259</v>
      </c>
      <c r="J725" s="12" t="n">
        <f aca="false">IF(INDEX(選手一覧!$I$7:$I$2738,$F725)="","",INDEX(選手一覧!$I$7:$I$2738,$F725))</f>
        <v>895</v>
      </c>
    </row>
    <row r="726" customFormat="false" ht="15" hidden="false" customHeight="false" outlineLevel="0" collapsed="false">
      <c r="A726" s="12" t="n">
        <v>722</v>
      </c>
      <c r="B726" s="10" t="s">
        <v>2190</v>
      </c>
      <c r="C726" s="10" t="s">
        <v>263</v>
      </c>
      <c r="D726" s="11" t="n">
        <v>0.0107895833333333</v>
      </c>
      <c r="E726" s="18" t="n">
        <f aca="false">ROUND((D726-$D$5)*86400,2)</f>
        <v>142.48</v>
      </c>
      <c r="F726" s="12" t="n">
        <v>1516</v>
      </c>
      <c r="G726" s="11" t="str">
        <f aca="false">IF(INDEX(選手一覧!$F$7:$F$2738,$F726)="","",INDEX(選手一覧!$F$7:$F$2738,$F726))</f>
        <v/>
      </c>
      <c r="H726" s="12" t="str">
        <f aca="false">IF(INDEX(選手一覧!$G$7:$G$2738,$F726)="","",INDEX(選手一覧!$G$7:$G$2738,$F726))</f>
        <v/>
      </c>
      <c r="I726" s="11" t="n">
        <f aca="false">IF(INDEX(選手一覧!$H$7:$H$2738,$F726)="","",INDEX(選手一覧!$H$7:$H$2738,$F726))</f>
        <v>0.00290972222222222</v>
      </c>
      <c r="J726" s="12" t="n">
        <f aca="false">IF(INDEX(選手一覧!$I$7:$I$2738,$F726)="","",INDEX(選手一覧!$I$7:$I$2738,$F726))</f>
        <v>1015</v>
      </c>
    </row>
    <row r="727" customFormat="false" ht="15" hidden="false" customHeight="false" outlineLevel="0" collapsed="false">
      <c r="A727" s="12" t="n">
        <v>723</v>
      </c>
      <c r="B727" s="10" t="s">
        <v>2194</v>
      </c>
      <c r="C727" s="10" t="s">
        <v>234</v>
      </c>
      <c r="D727" s="11" t="n">
        <v>0.0107907407407407</v>
      </c>
      <c r="E727" s="18" t="n">
        <f aca="false">ROUND((D727-$D$5)*86400,2)</f>
        <v>142.58</v>
      </c>
      <c r="F727" s="12" t="n">
        <v>1519</v>
      </c>
      <c r="G727" s="11" t="str">
        <f aca="false">IF(INDEX(選手一覧!$F$7:$F$2738,$F727)="","",INDEX(選手一覧!$F$7:$F$2738,$F727))</f>
        <v/>
      </c>
      <c r="H727" s="12" t="str">
        <f aca="false">IF(INDEX(選手一覧!$G$7:$G$2738,$F727)="","",INDEX(選手一覧!$G$7:$G$2738,$F727))</f>
        <v/>
      </c>
      <c r="I727" s="11" t="n">
        <f aca="false">IF(INDEX(選手一覧!$H$7:$H$2738,$F727)="","",INDEX(選手一覧!$H$7:$H$2738,$F727))</f>
        <v>0.00290555555555556</v>
      </c>
      <c r="J727" s="12" t="n">
        <f aca="false">IF(INDEX(選手一覧!$I$7:$I$2738,$F727)="","",INDEX(選手一覧!$I$7:$I$2738,$F727))</f>
        <v>988</v>
      </c>
    </row>
    <row r="728" customFormat="false" ht="15" hidden="false" customHeight="false" outlineLevel="0" collapsed="false">
      <c r="A728" s="12" t="n">
        <v>724</v>
      </c>
      <c r="B728" s="10" t="s">
        <v>2198</v>
      </c>
      <c r="C728" s="10" t="s">
        <v>1046</v>
      </c>
      <c r="D728" s="11" t="n">
        <v>0.0107907407407407</v>
      </c>
      <c r="E728" s="18" t="n">
        <f aca="false">ROUND((D728-$D$5)*86400,2)</f>
        <v>142.58</v>
      </c>
      <c r="F728" s="12" t="n">
        <v>1522</v>
      </c>
      <c r="G728" s="11" t="str">
        <f aca="false">IF(INDEX(選手一覧!$F$7:$F$2738,$F728)="","",INDEX(選手一覧!$F$7:$F$2738,$F728))</f>
        <v/>
      </c>
      <c r="H728" s="12" t="str">
        <f aca="false">IF(INDEX(選手一覧!$G$7:$G$2738,$F728)="","",INDEX(選手一覧!$G$7:$G$2738,$F728))</f>
        <v/>
      </c>
      <c r="I728" s="11" t="n">
        <f aca="false">IF(INDEX(選手一覧!$H$7:$H$2738,$F728)="","",INDEX(選手一覧!$H$7:$H$2738,$F728))</f>
        <v>0.00287835648148148</v>
      </c>
      <c r="J728" s="12" t="n">
        <f aca="false">IF(INDEX(選手一覧!$I$7:$I$2738,$F728)="","",INDEX(選手一覧!$I$7:$I$2738,$F728))</f>
        <v>756</v>
      </c>
    </row>
    <row r="729" customFormat="false" ht="15" hidden="false" customHeight="false" outlineLevel="0" collapsed="false">
      <c r="A729" s="12" t="n">
        <v>725</v>
      </c>
      <c r="B729" s="10" t="s">
        <v>1480</v>
      </c>
      <c r="C729" s="10" t="s">
        <v>1481</v>
      </c>
      <c r="D729" s="11" t="n">
        <v>0.0107909722222222</v>
      </c>
      <c r="E729" s="18" t="n">
        <f aca="false">ROUND((D729-$D$5)*86400,2)</f>
        <v>142.6</v>
      </c>
      <c r="F729" s="12" t="n">
        <v>1017</v>
      </c>
      <c r="G729" s="11" t="n">
        <f aca="false">IF(INDEX(選手一覧!$F$7:$F$2738,$F729)="","",INDEX(選手一覧!$F$7:$F$2738,$F729))</f>
        <v>0.00711053240740741</v>
      </c>
      <c r="H729" s="12" t="n">
        <f aca="false">IF(INDEX(選手一覧!$G$7:$G$2738,$F729)="","",INDEX(選手一覧!$G$7:$G$2738,$F729))</f>
        <v>456</v>
      </c>
      <c r="I729" s="11" t="n">
        <f aca="false">IF(INDEX(選手一覧!$H$7:$H$2738,$F729)="","",INDEX(選手一覧!$H$7:$H$2738,$F729))</f>
        <v>0.00284861111111111</v>
      </c>
      <c r="J729" s="12" t="n">
        <f aca="false">IF(INDEX(選手一覧!$I$7:$I$2738,$F729)="","",INDEX(選手一覧!$I$7:$I$2738,$F729))</f>
        <v>558</v>
      </c>
    </row>
    <row r="730" customFormat="false" ht="15" hidden="false" customHeight="false" outlineLevel="0" collapsed="false">
      <c r="A730" s="12" t="n">
        <v>726</v>
      </c>
      <c r="B730" s="10" t="s">
        <v>1915</v>
      </c>
      <c r="C730" s="10" t="s">
        <v>1916</v>
      </c>
      <c r="D730" s="11" t="n">
        <v>0.0107912037037037</v>
      </c>
      <c r="E730" s="18" t="n">
        <f aca="false">ROUND((D730-$D$5)*86400,2)</f>
        <v>142.62</v>
      </c>
      <c r="F730" s="12" t="n">
        <v>1316</v>
      </c>
      <c r="G730" s="11" t="str">
        <f aca="false">IF(INDEX(選手一覧!$F$7:$F$2738,$F730)="","",INDEX(選手一覧!$F$7:$F$2738,$F730))</f>
        <v/>
      </c>
      <c r="H730" s="12" t="str">
        <f aca="false">IF(INDEX(選手一覧!$G$7:$G$2738,$F730)="","",INDEX(選手一覧!$G$7:$G$2738,$F730))</f>
        <v/>
      </c>
      <c r="I730" s="11" t="n">
        <f aca="false">IF(INDEX(選手一覧!$H$7:$H$2738,$F730)="","",INDEX(選手一覧!$H$7:$H$2738,$F730))</f>
        <v>0.00285671296296296</v>
      </c>
      <c r="J730" s="12" t="n">
        <f aca="false">IF(INDEX(選手一覧!$I$7:$I$2738,$F730)="","",INDEX(選手一覧!$I$7:$I$2738,$F730))</f>
        <v>613</v>
      </c>
    </row>
    <row r="731" customFormat="false" ht="15" hidden="false" customHeight="false" outlineLevel="0" collapsed="false">
      <c r="A731" s="12" t="n">
        <v>727</v>
      </c>
      <c r="B731" s="10" t="s">
        <v>2208</v>
      </c>
      <c r="C731" s="10" t="s">
        <v>625</v>
      </c>
      <c r="D731" s="11" t="n">
        <v>0.0107913194444444</v>
      </c>
      <c r="E731" s="18" t="n">
        <f aca="false">ROUND((D731-$D$5)*86400,2)</f>
        <v>142.63</v>
      </c>
      <c r="F731" s="12" t="n">
        <v>1529</v>
      </c>
      <c r="G731" s="11" t="str">
        <f aca="false">IF(INDEX(選手一覧!$F$7:$F$2738,$F731)="","",INDEX(選手一覧!$F$7:$F$2738,$F731))</f>
        <v/>
      </c>
      <c r="H731" s="12" t="str">
        <f aca="false">IF(INDEX(選手一覧!$G$7:$G$2738,$F731)="","",INDEX(選手一覧!$G$7:$G$2738,$F731))</f>
        <v/>
      </c>
      <c r="I731" s="11" t="str">
        <f aca="false">IF(INDEX(選手一覧!$H$7:$H$2738,$F731)="","",INDEX(選手一覧!$H$7:$H$2738,$F731))</f>
        <v/>
      </c>
      <c r="J731" s="12" t="str">
        <f aca="false">IF(INDEX(選手一覧!$I$7:$I$2738,$F731)="","",INDEX(選手一覧!$I$7:$I$2738,$F731))</f>
        <v/>
      </c>
    </row>
    <row r="732" customFormat="false" ht="15" hidden="false" customHeight="false" outlineLevel="0" collapsed="false">
      <c r="A732" s="12" t="n">
        <v>728</v>
      </c>
      <c r="B732" s="10" t="s">
        <v>1768</v>
      </c>
      <c r="C732" s="10" t="s">
        <v>494</v>
      </c>
      <c r="D732" s="11" t="n">
        <v>0.0107917824074074</v>
      </c>
      <c r="E732" s="18" t="n">
        <f aca="false">ROUND((D732-$D$5)*86400,2)</f>
        <v>142.67</v>
      </c>
      <c r="F732" s="12" t="n">
        <v>1217</v>
      </c>
      <c r="G732" s="11" t="str">
        <f aca="false">IF(INDEX(選手一覧!$F$7:$F$2738,$F732)="","",INDEX(選手一覧!$F$7:$F$2738,$F732))</f>
        <v/>
      </c>
      <c r="H732" s="12" t="str">
        <f aca="false">IF(INDEX(選手一覧!$G$7:$G$2738,$F732)="","",INDEX(選手一覧!$G$7:$G$2738,$F732))</f>
        <v/>
      </c>
      <c r="I732" s="11" t="n">
        <f aca="false">IF(INDEX(選手一覧!$H$7:$H$2738,$F732)="","",INDEX(選手一覧!$H$7:$H$2738,$F732))</f>
        <v>0.00284884259259259</v>
      </c>
      <c r="J732" s="12" t="n">
        <f aca="false">IF(INDEX(選手一覧!$I$7:$I$2738,$F732)="","",INDEX(選手一覧!$I$7:$I$2738,$F732))</f>
        <v>561</v>
      </c>
    </row>
    <row r="733" customFormat="false" ht="15" hidden="false" customHeight="false" outlineLevel="0" collapsed="false">
      <c r="A733" s="12" t="n">
        <v>729</v>
      </c>
      <c r="B733" s="10" t="s">
        <v>332</v>
      </c>
      <c r="C733" s="10" t="s">
        <v>333</v>
      </c>
      <c r="D733" s="11" t="n">
        <v>0.0107920138888889</v>
      </c>
      <c r="E733" s="18" t="n">
        <f aca="false">ROUND((D733-$D$5)*86400,2)</f>
        <v>142.69</v>
      </c>
      <c r="F733" s="12" t="n">
        <v>193</v>
      </c>
      <c r="G733" s="11" t="str">
        <f aca="false">IF(INDEX(選手一覧!$F$7:$F$2738,$F733)="","",INDEX(選手一覧!$F$7:$F$2738,$F733))</f>
        <v/>
      </c>
      <c r="H733" s="12" t="str">
        <f aca="false">IF(INDEX(選手一覧!$G$7:$G$2738,$F733)="","",INDEX(選手一覧!$G$7:$G$2738,$F733))</f>
        <v/>
      </c>
      <c r="I733" s="11" t="n">
        <f aca="false">IF(INDEX(選手一覧!$H$7:$H$2738,$F733)="","",INDEX(選手一覧!$H$7:$H$2738,$F733))</f>
        <v>0.00273657407407407</v>
      </c>
      <c r="J733" s="12" t="n">
        <f aca="false">IF(INDEX(選手一覧!$I$7:$I$2738,$F733)="","",INDEX(選手一覧!$I$7:$I$2738,$F733))</f>
        <v>78</v>
      </c>
    </row>
    <row r="734" customFormat="false" ht="15" hidden="false" customHeight="false" outlineLevel="0" collapsed="false">
      <c r="A734" s="12" t="n">
        <v>730</v>
      </c>
      <c r="B734" s="10" t="s">
        <v>1250</v>
      </c>
      <c r="C734" s="10" t="s">
        <v>302</v>
      </c>
      <c r="D734" s="11" t="n">
        <v>0.0107921296296296</v>
      </c>
      <c r="E734" s="18" t="n">
        <f aca="false">ROUND((D734-$D$5)*86400,2)</f>
        <v>142.7</v>
      </c>
      <c r="F734" s="12" t="n">
        <v>850</v>
      </c>
      <c r="G734" s="11" t="n">
        <f aca="false">IF(INDEX(選手一覧!$F$7:$F$2738,$F734)="","",INDEX(選手一覧!$F$7:$F$2738,$F734))</f>
        <v>0.00704074074074074</v>
      </c>
      <c r="H734" s="12" t="n">
        <f aca="false">IF(INDEX(選手一覧!$G$7:$G$2738,$F734)="","",INDEX(選手一覧!$G$7:$G$2738,$F734))</f>
        <v>377</v>
      </c>
      <c r="I734" s="11" t="n">
        <f aca="false">IF(INDEX(選手一覧!$H$7:$H$2738,$F734)="","",INDEX(選手一覧!$H$7:$H$2738,$F734))</f>
        <v>0.00287094907407407</v>
      </c>
      <c r="J734" s="12" t="n">
        <f aca="false">IF(INDEX(選手一覧!$I$7:$I$2738,$F734)="","",INDEX(選手一覧!$I$7:$I$2738,$F734))</f>
        <v>704</v>
      </c>
    </row>
    <row r="735" customFormat="false" ht="15" hidden="false" customHeight="false" outlineLevel="0" collapsed="false">
      <c r="A735" s="12" t="n">
        <v>731</v>
      </c>
      <c r="B735" s="10" t="s">
        <v>2218</v>
      </c>
      <c r="C735" s="10" t="s">
        <v>2219</v>
      </c>
      <c r="D735" s="11" t="n">
        <v>0.0107928240740741</v>
      </c>
      <c r="E735" s="18" t="n">
        <f aca="false">ROUND((D735-$D$5)*86400,2)</f>
        <v>142.76</v>
      </c>
      <c r="F735" s="12" t="n">
        <v>1535</v>
      </c>
      <c r="G735" s="11" t="str">
        <f aca="false">IF(INDEX(選手一覧!$F$7:$F$2738,$F735)="","",INDEX(選手一覧!$F$7:$F$2738,$F735))</f>
        <v/>
      </c>
      <c r="H735" s="12" t="str">
        <f aca="false">IF(INDEX(選手一覧!$G$7:$G$2738,$F735)="","",INDEX(選手一覧!$G$7:$G$2738,$F735))</f>
        <v/>
      </c>
      <c r="I735" s="11" t="str">
        <f aca="false">IF(INDEX(選手一覧!$H$7:$H$2738,$F735)="","",INDEX(選手一覧!$H$7:$H$2738,$F735))</f>
        <v/>
      </c>
      <c r="J735" s="12" t="str">
        <f aca="false">IF(INDEX(選手一覧!$I$7:$I$2738,$F735)="","",INDEX(選手一覧!$I$7:$I$2738,$F735))</f>
        <v/>
      </c>
    </row>
    <row r="736" customFormat="false" ht="15" hidden="false" customHeight="false" outlineLevel="0" collapsed="false">
      <c r="A736" s="12" t="n">
        <v>732</v>
      </c>
      <c r="B736" s="10" t="s">
        <v>1337</v>
      </c>
      <c r="C736" s="10" t="s">
        <v>823</v>
      </c>
      <c r="D736" s="11" t="n">
        <v>0.0107929398148148</v>
      </c>
      <c r="E736" s="18" t="n">
        <f aca="false">ROUND((D736-$D$5)*86400,2)</f>
        <v>142.77</v>
      </c>
      <c r="F736" s="12" t="n">
        <v>909</v>
      </c>
      <c r="G736" s="11" t="n">
        <f aca="false">IF(INDEX(選手一覧!$F$7:$F$2738,$F736)="","",INDEX(選手一覧!$F$7:$F$2738,$F736))</f>
        <v>0.00706365740740741</v>
      </c>
      <c r="H736" s="12" t="n">
        <f aca="false">IF(INDEX(選手一覧!$G$7:$G$2738,$F736)="","",INDEX(選手一覧!$G$7:$G$2738,$F736))</f>
        <v>406</v>
      </c>
      <c r="I736" s="11" t="n">
        <f aca="false">IF(INDEX(選手一覧!$H$7:$H$2738,$F736)="","",INDEX(選手一覧!$H$7:$H$2738,$F736))</f>
        <v>0.00288356481481481</v>
      </c>
      <c r="J736" s="12" t="n">
        <f aca="false">IF(INDEX(選手一覧!$I$7:$I$2738,$F736)="","",INDEX(選手一覧!$I$7:$I$2738,$F736))</f>
        <v>804</v>
      </c>
    </row>
    <row r="737" customFormat="false" ht="15" hidden="false" customHeight="false" outlineLevel="0" collapsed="false">
      <c r="A737" s="12" t="n">
        <v>733</v>
      </c>
      <c r="B737" s="10" t="s">
        <v>278</v>
      </c>
      <c r="C737" s="10" t="s">
        <v>279</v>
      </c>
      <c r="D737" s="11" t="n">
        <v>0.010794212962963</v>
      </c>
      <c r="E737" s="18" t="n">
        <f aca="false">ROUND((D737-$D$5)*86400,2)</f>
        <v>142.88</v>
      </c>
      <c r="F737" s="12" t="n">
        <v>155</v>
      </c>
      <c r="G737" s="11" t="n">
        <f aca="false">IF(INDEX(選手一覧!$F$7:$F$2738,$F737)="","",INDEX(選手一覧!$F$7:$F$2738,$F737))</f>
        <v>0.00658078703703704</v>
      </c>
      <c r="H737" s="12" t="n">
        <f aca="false">IF(INDEX(選手一覧!$G$7:$G$2738,$F737)="","",INDEX(選手一覧!$G$7:$G$2738,$F737))</f>
        <v>62</v>
      </c>
      <c r="I737" s="11" t="n">
        <f aca="false">IF(INDEX(選手一覧!$H$7:$H$2738,$F737)="","",INDEX(選手一覧!$H$7:$H$2738,$F737))</f>
        <v>0.00291354166666667</v>
      </c>
      <c r="J737" s="12" t="n">
        <f aca="false">IF(INDEX(選手一覧!$I$7:$I$2738,$F737)="","",INDEX(選手一覧!$I$7:$I$2738,$F737))</f>
        <v>1046</v>
      </c>
    </row>
    <row r="738" customFormat="false" ht="15" hidden="false" customHeight="false" outlineLevel="0" collapsed="false">
      <c r="A738" s="12" t="n">
        <v>734</v>
      </c>
      <c r="B738" s="10" t="s">
        <v>1787</v>
      </c>
      <c r="C738" s="10" t="s">
        <v>494</v>
      </c>
      <c r="D738" s="11" t="n">
        <v>0.0107952546296296</v>
      </c>
      <c r="E738" s="18" t="n">
        <f aca="false">ROUND((D738-$D$5)*86400,2)</f>
        <v>142.97</v>
      </c>
      <c r="F738" s="12" t="n">
        <v>1229</v>
      </c>
      <c r="G738" s="11" t="n">
        <f aca="false">IF(INDEX(選手一覧!$F$7:$F$2738,$F738)="","",INDEX(選手一覧!$F$7:$F$2738,$F738))</f>
        <v>0.00722488425925926</v>
      </c>
      <c r="H738" s="12" t="n">
        <f aca="false">IF(INDEX(選手一覧!$G$7:$G$2738,$F738)="","",INDEX(選手一覧!$G$7:$G$2738,$F738))</f>
        <v>565</v>
      </c>
      <c r="I738" s="11" t="n">
        <f aca="false">IF(INDEX(選手一覧!$H$7:$H$2738,$F738)="","",INDEX(選手一覧!$H$7:$H$2738,$F738))</f>
        <v>0.00296493055555556</v>
      </c>
      <c r="J738" s="12" t="n">
        <f aca="false">IF(INDEX(選手一覧!$I$7:$I$2738,$F738)="","",INDEX(選手一覧!$I$7:$I$2738,$F738))</f>
        <v>1290</v>
      </c>
    </row>
    <row r="739" customFormat="false" ht="15" hidden="false" customHeight="false" outlineLevel="0" collapsed="false">
      <c r="A739" s="12" t="n">
        <v>735</v>
      </c>
      <c r="B739" s="10" t="s">
        <v>78</v>
      </c>
      <c r="C739" s="10" t="s">
        <v>79</v>
      </c>
      <c r="D739" s="11" t="n">
        <v>0.0107954861111111</v>
      </c>
      <c r="E739" s="18" t="n">
        <f aca="false">ROUND((D739-$D$5)*86400,2)</f>
        <v>142.99</v>
      </c>
      <c r="F739" s="12" t="n">
        <v>32</v>
      </c>
      <c r="G739" s="11" t="n">
        <f aca="false">IF(INDEX(選手一覧!$F$7:$F$2738,$F739)="","",INDEX(選手一覧!$F$7:$F$2738,$F739))</f>
        <v>0.00638576388888889</v>
      </c>
      <c r="H739" s="12" t="n">
        <f aca="false">IF(INDEX(選手一覧!$G$7:$G$2738,$F739)="","",INDEX(選手一覧!$G$7:$G$2738,$F739))</f>
        <v>13</v>
      </c>
      <c r="I739" s="11" t="n">
        <f aca="false">IF(INDEX(選手一覧!$H$7:$H$2738,$F739)="","",INDEX(選手一覧!$H$7:$H$2738,$F739))</f>
        <v>0.00290115740740741</v>
      </c>
      <c r="J739" s="12" t="n">
        <f aca="false">IF(INDEX(選手一覧!$I$7:$I$2738,$F739)="","",INDEX(選手一覧!$I$7:$I$2738,$F739))</f>
        <v>956</v>
      </c>
    </row>
    <row r="740" customFormat="false" ht="15" hidden="false" customHeight="false" outlineLevel="0" collapsed="false">
      <c r="A740" s="12" t="n">
        <v>736</v>
      </c>
      <c r="B740" s="10" t="s">
        <v>1952</v>
      </c>
      <c r="C740" s="10" t="s">
        <v>309</v>
      </c>
      <c r="D740" s="11" t="n">
        <v>0.010796875</v>
      </c>
      <c r="E740" s="18" t="n">
        <f aca="false">ROUND((D740-$D$5)*86400,2)</f>
        <v>143.11</v>
      </c>
      <c r="F740" s="12" t="n">
        <v>1343</v>
      </c>
      <c r="G740" s="11" t="str">
        <f aca="false">IF(INDEX(選手一覧!$F$7:$F$2738,$F740)="","",INDEX(選手一覧!$F$7:$F$2738,$F740))</f>
        <v/>
      </c>
      <c r="H740" s="12" t="str">
        <f aca="false">IF(INDEX(選手一覧!$G$7:$G$2738,$F740)="","",INDEX(選手一覧!$G$7:$G$2738,$F740))</f>
        <v/>
      </c>
      <c r="I740" s="11" t="n">
        <f aca="false">IF(INDEX(選手一覧!$H$7:$H$2738,$F740)="","",INDEX(選手一覧!$H$7:$H$2738,$F740))</f>
        <v>0.0028587962962963</v>
      </c>
      <c r="J740" s="12" t="n">
        <f aca="false">IF(INDEX(選手一覧!$I$7:$I$2738,$F740)="","",INDEX(選手一覧!$I$7:$I$2738,$F740))</f>
        <v>628</v>
      </c>
    </row>
    <row r="741" customFormat="false" ht="15" hidden="false" customHeight="false" outlineLevel="0" collapsed="false">
      <c r="A741" s="12" t="n">
        <v>737</v>
      </c>
      <c r="B741" s="10" t="s">
        <v>2232</v>
      </c>
      <c r="C741" s="10" t="s">
        <v>2233</v>
      </c>
      <c r="D741" s="11" t="n">
        <v>0.0107971064814815</v>
      </c>
      <c r="E741" s="18" t="n">
        <f aca="false">ROUND((D741-$D$5)*86400,2)</f>
        <v>143.13</v>
      </c>
      <c r="F741" s="12" t="n">
        <v>1546</v>
      </c>
      <c r="G741" s="11" t="str">
        <f aca="false">IF(INDEX(選手一覧!$F$7:$F$2738,$F741)="","",INDEX(選手一覧!$F$7:$F$2738,$F741))</f>
        <v/>
      </c>
      <c r="H741" s="12" t="str">
        <f aca="false">IF(INDEX(選手一覧!$G$7:$G$2738,$F741)="","",INDEX(選手一覧!$G$7:$G$2738,$F741))</f>
        <v/>
      </c>
      <c r="I741" s="11" t="str">
        <f aca="false">IF(INDEX(選手一覧!$H$7:$H$2738,$F741)="","",INDEX(選手一覧!$H$7:$H$2738,$F741))</f>
        <v/>
      </c>
      <c r="J741" s="12" t="str">
        <f aca="false">IF(INDEX(選手一覧!$I$7:$I$2738,$F741)="","",INDEX(選手一覧!$I$7:$I$2738,$F741))</f>
        <v/>
      </c>
    </row>
    <row r="742" customFormat="false" ht="15" hidden="false" customHeight="false" outlineLevel="0" collapsed="false">
      <c r="A742" s="12" t="n">
        <v>738</v>
      </c>
      <c r="B742" s="10" t="s">
        <v>346</v>
      </c>
      <c r="C742" s="10" t="s">
        <v>166</v>
      </c>
      <c r="D742" s="11" t="n">
        <v>0.0107975694444444</v>
      </c>
      <c r="E742" s="18" t="n">
        <f aca="false">ROUND((D742-$D$5)*86400,2)</f>
        <v>143.17</v>
      </c>
      <c r="F742" s="12" t="n">
        <v>203</v>
      </c>
      <c r="G742" s="11" t="n">
        <f aca="false">IF(INDEX(選手一覧!$F$7:$F$2738,$F742)="","",INDEX(選手一覧!$F$7:$F$2738,$F742))</f>
        <v>0.00665</v>
      </c>
      <c r="H742" s="12" t="n">
        <f aca="false">IF(INDEX(選手一覧!$G$7:$G$2738,$F742)="","",INDEX(選手一覧!$G$7:$G$2738,$F742))</f>
        <v>83</v>
      </c>
      <c r="I742" s="11" t="n">
        <f aca="false">IF(INDEX(選手一覧!$H$7:$H$2738,$F742)="","",INDEX(選手一覧!$H$7:$H$2738,$F742))</f>
        <v>0.00279027777777778</v>
      </c>
      <c r="J742" s="12" t="n">
        <f aca="false">IF(INDEX(選手一覧!$I$7:$I$2738,$F742)="","",INDEX(選手一覧!$I$7:$I$2738,$F742))</f>
        <v>241</v>
      </c>
    </row>
    <row r="743" customFormat="false" ht="15" hidden="false" customHeight="false" outlineLevel="0" collapsed="false">
      <c r="A743" s="12" t="n">
        <v>739</v>
      </c>
      <c r="B743" s="10" t="s">
        <v>469</v>
      </c>
      <c r="C743" s="10" t="s">
        <v>166</v>
      </c>
      <c r="D743" s="11" t="n">
        <v>0.0107994212962963</v>
      </c>
      <c r="E743" s="18" t="n">
        <f aca="false">ROUND((D743-$D$5)*86400,2)</f>
        <v>143.33</v>
      </c>
      <c r="F743" s="12" t="n">
        <v>290</v>
      </c>
      <c r="G743" s="11" t="n">
        <f aca="false">IF(INDEX(選手一覧!$F$7:$F$2738,$F743)="","",INDEX(選手一覧!$F$7:$F$2738,$F743))</f>
        <v>0.00673020833333333</v>
      </c>
      <c r="H743" s="12" t="n">
        <f aca="false">IF(INDEX(選手一覧!$G$7:$G$2738,$F743)="","",INDEX(選手一覧!$G$7:$G$2738,$F743))</f>
        <v>120</v>
      </c>
      <c r="I743" s="11" t="n">
        <f aca="false">IF(INDEX(選手一覧!$H$7:$H$2738,$F743)="","",INDEX(選手一覧!$H$7:$H$2738,$F743))</f>
        <v>0.00282962962962963</v>
      </c>
      <c r="J743" s="12" t="n">
        <f aca="false">IF(INDEX(選手一覧!$I$7:$I$2738,$F743)="","",INDEX(選手一覧!$I$7:$I$2738,$F743))</f>
        <v>424</v>
      </c>
    </row>
    <row r="744" customFormat="false" ht="15" hidden="false" customHeight="false" outlineLevel="0" collapsed="false">
      <c r="A744" s="12" t="n">
        <v>740</v>
      </c>
      <c r="B744" s="10" t="s">
        <v>2241</v>
      </c>
      <c r="C744" s="10" t="s">
        <v>1046</v>
      </c>
      <c r="D744" s="11" t="n">
        <v>0.0108002314814815</v>
      </c>
      <c r="E744" s="18" t="n">
        <f aca="false">ROUND((D744-$D$5)*86400,2)</f>
        <v>143.4</v>
      </c>
      <c r="F744" s="12" t="n">
        <v>1551</v>
      </c>
      <c r="G744" s="11" t="str">
        <f aca="false">IF(INDEX(選手一覧!$F$7:$F$2738,$F744)="","",INDEX(選手一覧!$F$7:$F$2738,$F744))</f>
        <v/>
      </c>
      <c r="H744" s="12" t="str">
        <f aca="false">IF(INDEX(選手一覧!$G$7:$G$2738,$F744)="","",INDEX(選手一覧!$G$7:$G$2738,$F744))</f>
        <v/>
      </c>
      <c r="I744" s="11" t="n">
        <f aca="false">IF(INDEX(選手一覧!$H$7:$H$2738,$F744)="","",INDEX(選手一覧!$H$7:$H$2738,$F744))</f>
        <v>0.00288263888888889</v>
      </c>
      <c r="J744" s="12" t="n">
        <f aca="false">IF(INDEX(選手一覧!$I$7:$I$2738,$F744)="","",INDEX(選手一覧!$I$7:$I$2738,$F744))</f>
        <v>799</v>
      </c>
    </row>
    <row r="745" customFormat="false" ht="15" hidden="false" customHeight="false" outlineLevel="0" collapsed="false">
      <c r="A745" s="12" t="n">
        <v>741</v>
      </c>
      <c r="B745" s="10" t="s">
        <v>2246</v>
      </c>
      <c r="C745" s="10" t="s">
        <v>226</v>
      </c>
      <c r="D745" s="11" t="n">
        <v>0.0108009259259259</v>
      </c>
      <c r="E745" s="18" t="n">
        <f aca="false">ROUND((D745-$D$5)*86400,2)</f>
        <v>143.46</v>
      </c>
      <c r="F745" s="12" t="n">
        <v>1554</v>
      </c>
      <c r="G745" s="11" t="str">
        <f aca="false">IF(INDEX(選手一覧!$F$7:$F$2738,$F745)="","",INDEX(選手一覧!$F$7:$F$2738,$F745))</f>
        <v/>
      </c>
      <c r="H745" s="12" t="str">
        <f aca="false">IF(INDEX(選手一覧!$G$7:$G$2738,$F745)="","",INDEX(選手一覧!$G$7:$G$2738,$F745))</f>
        <v/>
      </c>
      <c r="I745" s="11" t="n">
        <f aca="false">IF(INDEX(選手一覧!$H$7:$H$2738,$F745)="","",INDEX(選手一覧!$H$7:$H$2738,$F745))</f>
        <v>0.00291377314814815</v>
      </c>
      <c r="J745" s="12" t="n">
        <f aca="false">IF(INDEX(選手一覧!$I$7:$I$2738,$F745)="","",INDEX(選手一覧!$I$7:$I$2738,$F745))</f>
        <v>1049</v>
      </c>
    </row>
    <row r="746" customFormat="false" ht="15" hidden="false" customHeight="false" outlineLevel="0" collapsed="false">
      <c r="A746" s="12" t="n">
        <v>742</v>
      </c>
      <c r="B746" s="10" t="s">
        <v>2248</v>
      </c>
      <c r="C746" s="16" t="s">
        <v>2249</v>
      </c>
      <c r="D746" s="11" t="n">
        <v>0.0108009259259259</v>
      </c>
      <c r="E746" s="18" t="n">
        <f aca="false">ROUND((D746-$D$5)*86400,2)</f>
        <v>143.46</v>
      </c>
      <c r="F746" s="12" t="n">
        <v>1556</v>
      </c>
      <c r="G746" s="11" t="str">
        <f aca="false">IF(INDEX(選手一覧!$F$7:$F$2738,$F746)="","",INDEX(選手一覧!$F$7:$F$2738,$F746))</f>
        <v/>
      </c>
      <c r="H746" s="12" t="str">
        <f aca="false">IF(INDEX(選手一覧!$G$7:$G$2738,$F746)="","",INDEX(選手一覧!$G$7:$G$2738,$F746))</f>
        <v/>
      </c>
      <c r="I746" s="11" t="str">
        <f aca="false">IF(INDEX(選手一覧!$H$7:$H$2738,$F746)="","",INDEX(選手一覧!$H$7:$H$2738,$F746))</f>
        <v/>
      </c>
      <c r="J746" s="12" t="str">
        <f aca="false">IF(INDEX(選手一覧!$I$7:$I$2738,$F746)="","",INDEX(選手一覧!$I$7:$I$2738,$F746))</f>
        <v/>
      </c>
    </row>
    <row r="747" customFormat="false" ht="15" hidden="false" customHeight="false" outlineLevel="0" collapsed="false">
      <c r="A747" s="12" t="n">
        <v>743</v>
      </c>
      <c r="B747" s="10" t="s">
        <v>2255</v>
      </c>
      <c r="C747" s="10" t="s">
        <v>897</v>
      </c>
      <c r="D747" s="11" t="n">
        <v>0.0108010416666667</v>
      </c>
      <c r="E747" s="18" t="n">
        <f aca="false">ROUND((D747-$D$5)*86400,2)</f>
        <v>143.47</v>
      </c>
      <c r="F747" s="12" t="n">
        <v>1560</v>
      </c>
      <c r="G747" s="11" t="str">
        <f aca="false">IF(INDEX(選手一覧!$F$7:$F$2738,$F747)="","",INDEX(選手一覧!$F$7:$F$2738,$F747))</f>
        <v/>
      </c>
      <c r="H747" s="12" t="str">
        <f aca="false">IF(INDEX(選手一覧!$G$7:$G$2738,$F747)="","",INDEX(選手一覧!$G$7:$G$2738,$F747))</f>
        <v/>
      </c>
      <c r="I747" s="11" t="n">
        <f aca="false">IF(INDEX(選手一覧!$H$7:$H$2738,$F747)="","",INDEX(選手一覧!$H$7:$H$2738,$F747))</f>
        <v>0.00291041666666667</v>
      </c>
      <c r="J747" s="12" t="n">
        <f aca="false">IF(INDEX(選手一覧!$I$7:$I$2738,$F747)="","",INDEX(選手一覧!$I$7:$I$2738,$F747))</f>
        <v>1025</v>
      </c>
    </row>
    <row r="748" customFormat="false" ht="15" hidden="false" customHeight="false" outlineLevel="0" collapsed="false">
      <c r="A748" s="12" t="n">
        <v>744</v>
      </c>
      <c r="B748" s="10" t="s">
        <v>2256</v>
      </c>
      <c r="C748" s="10" t="s">
        <v>36</v>
      </c>
      <c r="D748" s="11" t="n">
        <v>0.0108013888888889</v>
      </c>
      <c r="E748" s="18" t="n">
        <f aca="false">ROUND((D748-$D$5)*86400,2)</f>
        <v>143.5</v>
      </c>
      <c r="F748" s="12" t="n">
        <v>1561</v>
      </c>
      <c r="G748" s="11" t="str">
        <f aca="false">IF(INDEX(選手一覧!$F$7:$F$2738,$F748)="","",INDEX(選手一覧!$F$7:$F$2738,$F748))</f>
        <v/>
      </c>
      <c r="H748" s="12" t="str">
        <f aca="false">IF(INDEX(選手一覧!$G$7:$G$2738,$F748)="","",INDEX(選手一覧!$G$7:$G$2738,$F748))</f>
        <v/>
      </c>
      <c r="I748" s="11" t="str">
        <f aca="false">IF(INDEX(選手一覧!$H$7:$H$2738,$F748)="","",INDEX(選手一覧!$H$7:$H$2738,$F748))</f>
        <v/>
      </c>
      <c r="J748" s="12" t="str">
        <f aca="false">IF(INDEX(選手一覧!$I$7:$I$2738,$F748)="","",INDEX(選手一覧!$I$7:$I$2738,$F748))</f>
        <v/>
      </c>
    </row>
    <row r="749" customFormat="false" ht="15" hidden="false" customHeight="false" outlineLevel="0" collapsed="false">
      <c r="A749" s="12" t="n">
        <v>745</v>
      </c>
      <c r="B749" s="10" t="s">
        <v>2048</v>
      </c>
      <c r="C749" s="10" t="s">
        <v>2261</v>
      </c>
      <c r="D749" s="11" t="n">
        <v>0.0108016203703704</v>
      </c>
      <c r="E749" s="18" t="n">
        <f aca="false">ROUND((D749-$D$5)*86400,2)</f>
        <v>143.52</v>
      </c>
      <c r="F749" s="12" t="n">
        <v>1564</v>
      </c>
      <c r="G749" s="11" t="str">
        <f aca="false">IF(INDEX(選手一覧!$F$7:$F$2738,$F749)="","",INDEX(選手一覧!$F$7:$F$2738,$F749))</f>
        <v/>
      </c>
      <c r="H749" s="12" t="str">
        <f aca="false">IF(INDEX(選手一覧!$G$7:$G$2738,$F749)="","",INDEX(選手一覧!$G$7:$G$2738,$F749))</f>
        <v/>
      </c>
      <c r="I749" s="11" t="str">
        <f aca="false">IF(INDEX(選手一覧!$H$7:$H$2738,$F749)="","",INDEX(選手一覧!$H$7:$H$2738,$F749))</f>
        <v/>
      </c>
      <c r="J749" s="12" t="str">
        <f aca="false">IF(INDEX(選手一覧!$I$7:$I$2738,$F749)="","",INDEX(選手一覧!$I$7:$I$2738,$F749))</f>
        <v/>
      </c>
    </row>
    <row r="750" customFormat="false" ht="15" hidden="false" customHeight="false" outlineLevel="0" collapsed="false">
      <c r="A750" s="12" t="n">
        <v>746</v>
      </c>
      <c r="B750" s="10" t="s">
        <v>2264</v>
      </c>
      <c r="C750" s="10" t="s">
        <v>1777</v>
      </c>
      <c r="D750" s="11" t="n">
        <v>0.0108021990740741</v>
      </c>
      <c r="E750" s="18" t="n">
        <f aca="false">ROUND((D750-$D$5)*86400,2)</f>
        <v>143.57</v>
      </c>
      <c r="F750" s="12" t="n">
        <v>1566</v>
      </c>
      <c r="G750" s="11" t="str">
        <f aca="false">IF(INDEX(選手一覧!$F$7:$F$2738,$F750)="","",INDEX(選手一覧!$F$7:$F$2738,$F750))</f>
        <v/>
      </c>
      <c r="H750" s="12" t="str">
        <f aca="false">IF(INDEX(選手一覧!$G$7:$G$2738,$F750)="","",INDEX(選手一覧!$G$7:$G$2738,$F750))</f>
        <v/>
      </c>
      <c r="I750" s="11" t="n">
        <f aca="false">IF(INDEX(選手一覧!$H$7:$H$2738,$F750)="","",INDEX(選手一覧!$H$7:$H$2738,$F750))</f>
        <v>0.00288425925925926</v>
      </c>
      <c r="J750" s="12" t="n">
        <f aca="false">IF(INDEX(選手一覧!$I$7:$I$2738,$F750)="","",INDEX(選手一覧!$I$7:$I$2738,$F750))</f>
        <v>810</v>
      </c>
    </row>
    <row r="751" customFormat="false" ht="15" hidden="false" customHeight="false" outlineLevel="0" collapsed="false">
      <c r="A751" s="12" t="n">
        <v>747</v>
      </c>
      <c r="B751" s="10" t="s">
        <v>970</v>
      </c>
      <c r="C751" s="10" t="s">
        <v>72</v>
      </c>
      <c r="D751" s="11" t="n">
        <v>0.0108023148148148</v>
      </c>
      <c r="E751" s="18" t="n">
        <f aca="false">ROUND((D751-$D$5)*86400,2)</f>
        <v>143.58</v>
      </c>
      <c r="F751" s="12" t="n">
        <v>646</v>
      </c>
      <c r="G751" s="11" t="n">
        <f aca="false">IF(INDEX(選手一覧!$F$7:$F$2738,$F751)="","",INDEX(選手一覧!$F$7:$F$2738,$F751))</f>
        <v>0.00692986111111111</v>
      </c>
      <c r="H751" s="12" t="n">
        <f aca="false">IF(INDEX(選手一覧!$G$7:$G$2738,$F751)="","",INDEX(選手一覧!$G$7:$G$2738,$F751))</f>
        <v>273</v>
      </c>
      <c r="I751" s="11" t="n">
        <f aca="false">IF(INDEX(選手一覧!$H$7:$H$2738,$F751)="","",INDEX(選手一覧!$H$7:$H$2738,$F751))</f>
        <v>0.00288194444444444</v>
      </c>
      <c r="J751" s="12" t="n">
        <f aca="false">IF(INDEX(選手一覧!$I$7:$I$2738,$F751)="","",INDEX(選手一覧!$I$7:$I$2738,$F751))</f>
        <v>791</v>
      </c>
    </row>
    <row r="752" customFormat="false" ht="15" hidden="false" customHeight="false" outlineLevel="0" collapsed="false">
      <c r="A752" s="12" t="n">
        <v>748</v>
      </c>
      <c r="B752" s="10" t="s">
        <v>2269</v>
      </c>
      <c r="C752" s="10" t="s">
        <v>53</v>
      </c>
      <c r="D752" s="11" t="n">
        <v>0.0108025462962963</v>
      </c>
      <c r="E752" s="18" t="n">
        <f aca="false">ROUND((D752-$D$5)*86400,2)</f>
        <v>143.6</v>
      </c>
      <c r="F752" s="12" t="n">
        <v>1570</v>
      </c>
      <c r="G752" s="11" t="str">
        <f aca="false">IF(INDEX(選手一覧!$F$7:$F$2738,$F752)="","",INDEX(選手一覧!$F$7:$F$2738,$F752))</f>
        <v/>
      </c>
      <c r="H752" s="12" t="str">
        <f aca="false">IF(INDEX(選手一覧!$G$7:$G$2738,$F752)="","",INDEX(選手一覧!$G$7:$G$2738,$F752))</f>
        <v/>
      </c>
      <c r="I752" s="11" t="str">
        <f aca="false">IF(INDEX(選手一覧!$H$7:$H$2738,$F752)="","",INDEX(選手一覧!$H$7:$H$2738,$F752))</f>
        <v/>
      </c>
      <c r="J752" s="12" t="str">
        <f aca="false">IF(INDEX(選手一覧!$I$7:$I$2738,$F752)="","",INDEX(選手一覧!$I$7:$I$2738,$F752))</f>
        <v/>
      </c>
    </row>
    <row r="753" customFormat="false" ht="15" hidden="false" customHeight="false" outlineLevel="0" collapsed="false">
      <c r="A753" s="12" t="n">
        <v>749</v>
      </c>
      <c r="B753" s="10" t="s">
        <v>946</v>
      </c>
      <c r="C753" s="10" t="s">
        <v>947</v>
      </c>
      <c r="D753" s="11" t="n">
        <v>0.010803125</v>
      </c>
      <c r="E753" s="18" t="n">
        <f aca="false">ROUND((D753-$D$5)*86400,2)</f>
        <v>143.65</v>
      </c>
      <c r="F753" s="12" t="n">
        <v>629</v>
      </c>
      <c r="G753" s="11" t="str">
        <f aca="false">IF(INDEX(選手一覧!$F$7:$F$2738,$F753)="","",INDEX(選手一覧!$F$7:$F$2738,$F753))</f>
        <v/>
      </c>
      <c r="H753" s="12" t="str">
        <f aca="false">IF(INDEX(選手一覧!$G$7:$G$2738,$F753)="","",INDEX(選手一覧!$G$7:$G$2738,$F753))</f>
        <v/>
      </c>
      <c r="I753" s="11" t="n">
        <f aca="false">IF(INDEX(選手一覧!$H$7:$H$2738,$F753)="","",INDEX(選手一覧!$H$7:$H$2738,$F753))</f>
        <v>0.00279560185185185</v>
      </c>
      <c r="J753" s="12" t="n">
        <f aca="false">IF(INDEX(選手一覧!$I$7:$I$2738,$F753)="","",INDEX(選手一覧!$I$7:$I$2738,$F753))</f>
        <v>264</v>
      </c>
    </row>
    <row r="754" customFormat="false" ht="15" hidden="false" customHeight="false" outlineLevel="0" collapsed="false">
      <c r="A754" s="12" t="n">
        <v>750</v>
      </c>
      <c r="B754" s="10" t="s">
        <v>1880</v>
      </c>
      <c r="C754" s="10" t="s">
        <v>64</v>
      </c>
      <c r="D754" s="11" t="n">
        <v>0.0108045138888889</v>
      </c>
      <c r="E754" s="18" t="n">
        <f aca="false">ROUND((D754-$D$5)*86400,2)</f>
        <v>143.77</v>
      </c>
      <c r="F754" s="12" t="n">
        <v>1293</v>
      </c>
      <c r="G754" s="11" t="str">
        <f aca="false">IF(INDEX(選手一覧!$F$7:$F$2738,$F754)="","",INDEX(選手一覧!$F$7:$F$2738,$F754))</f>
        <v/>
      </c>
      <c r="H754" s="12" t="str">
        <f aca="false">IF(INDEX(選手一覧!$G$7:$G$2738,$F754)="","",INDEX(選手一覧!$G$7:$G$2738,$F754))</f>
        <v/>
      </c>
      <c r="I754" s="11" t="n">
        <f aca="false">IF(INDEX(選手一覧!$H$7:$H$2738,$F754)="","",INDEX(選手一覧!$H$7:$H$2738,$F754))</f>
        <v>0.0028556712962963</v>
      </c>
      <c r="J754" s="12" t="n">
        <f aca="false">IF(INDEX(選手一覧!$I$7:$I$2738,$F754)="","",INDEX(選手一覧!$I$7:$I$2738,$F754))</f>
        <v>602</v>
      </c>
    </row>
    <row r="755" customFormat="false" ht="15" hidden="false" customHeight="false" outlineLevel="0" collapsed="false">
      <c r="A755" s="12" t="n">
        <v>751</v>
      </c>
      <c r="B755" s="10" t="s">
        <v>96</v>
      </c>
      <c r="C755" s="10" t="s">
        <v>97</v>
      </c>
      <c r="D755" s="11" t="n">
        <v>0.0108052083333333</v>
      </c>
      <c r="E755" s="18" t="n">
        <f aca="false">ROUND((D755-$D$5)*86400,2)</f>
        <v>143.83</v>
      </c>
      <c r="F755" s="12" t="n">
        <v>42</v>
      </c>
      <c r="G755" s="11" t="n">
        <f aca="false">IF(INDEX(選手一覧!$F$7:$F$2738,$F755)="","",INDEX(選手一覧!$F$7:$F$2738,$F755))</f>
        <v>0.00641087962962963</v>
      </c>
      <c r="H755" s="12" t="n">
        <f aca="false">IF(INDEX(選手一覧!$G$7:$G$2738,$F755)="","",INDEX(選手一覧!$G$7:$G$2738,$F755))</f>
        <v>17</v>
      </c>
      <c r="I755" s="11" t="n">
        <f aca="false">IF(INDEX(選手一覧!$H$7:$H$2738,$F755)="","",INDEX(選手一覧!$H$7:$H$2738,$F755))</f>
        <v>0.00279456018518519</v>
      </c>
      <c r="J755" s="12" t="n">
        <f aca="false">IF(INDEX(選手一覧!$I$7:$I$2738,$F755)="","",INDEX(選手一覧!$I$7:$I$2738,$F755))</f>
        <v>257</v>
      </c>
    </row>
    <row r="756" customFormat="false" ht="15" hidden="false" customHeight="false" outlineLevel="0" collapsed="false">
      <c r="A756" s="12" t="n">
        <v>752</v>
      </c>
      <c r="B756" s="10" t="s">
        <v>2150</v>
      </c>
      <c r="C756" s="10" t="s">
        <v>2151</v>
      </c>
      <c r="D756" s="11" t="n">
        <v>0.0108053240740741</v>
      </c>
      <c r="E756" s="18" t="n">
        <f aca="false">ROUND((D756-$D$5)*86400,2)</f>
        <v>143.84</v>
      </c>
      <c r="F756" s="12" t="n">
        <v>1487</v>
      </c>
      <c r="G756" s="11" t="str">
        <f aca="false">IF(INDEX(選手一覧!$F$7:$F$2738,$F756)="","",INDEX(選手一覧!$F$7:$F$2738,$F756))</f>
        <v/>
      </c>
      <c r="H756" s="12" t="str">
        <f aca="false">IF(INDEX(選手一覧!$G$7:$G$2738,$F756)="","",INDEX(選手一覧!$G$7:$G$2738,$F756))</f>
        <v/>
      </c>
      <c r="I756" s="11" t="n">
        <f aca="false">IF(INDEX(選手一覧!$H$7:$H$2738,$F756)="","",INDEX(選手一覧!$H$7:$H$2738,$F756))</f>
        <v>0.00287106481481482</v>
      </c>
      <c r="J756" s="12" t="n">
        <f aca="false">IF(INDEX(選手一覧!$I$7:$I$2738,$F756)="","",INDEX(選手一覧!$I$7:$I$2738,$F756))</f>
        <v>706</v>
      </c>
    </row>
    <row r="757" customFormat="false" ht="15" hidden="false" customHeight="false" outlineLevel="0" collapsed="false">
      <c r="A757" s="12" t="n">
        <v>753</v>
      </c>
      <c r="B757" s="10" t="s">
        <v>2286</v>
      </c>
      <c r="C757" s="10" t="s">
        <v>179</v>
      </c>
      <c r="D757" s="11" t="n">
        <v>0.0108053240740741</v>
      </c>
      <c r="E757" s="18" t="n">
        <f aca="false">ROUND((D757-$D$5)*86400,2)</f>
        <v>143.84</v>
      </c>
      <c r="F757" s="12" t="n">
        <v>1580</v>
      </c>
      <c r="G757" s="11" t="str">
        <f aca="false">IF(INDEX(選手一覧!$F$7:$F$2738,$F757)="","",INDEX(選手一覧!$F$7:$F$2738,$F757))</f>
        <v/>
      </c>
      <c r="H757" s="12" t="str">
        <f aca="false">IF(INDEX(選手一覧!$G$7:$G$2738,$F757)="","",INDEX(選手一覧!$G$7:$G$2738,$F757))</f>
        <v/>
      </c>
      <c r="I757" s="11" t="str">
        <f aca="false">IF(INDEX(選手一覧!$H$7:$H$2738,$F757)="","",INDEX(選手一覧!$H$7:$H$2738,$F757))</f>
        <v/>
      </c>
      <c r="J757" s="12" t="str">
        <f aca="false">IF(INDEX(選手一覧!$I$7:$I$2738,$F757)="","",INDEX(選手一覧!$I$7:$I$2738,$F757))</f>
        <v/>
      </c>
    </row>
    <row r="758" customFormat="false" ht="15" hidden="false" customHeight="false" outlineLevel="0" collapsed="false">
      <c r="A758" s="12" t="n">
        <v>754</v>
      </c>
      <c r="B758" s="10" t="s">
        <v>2289</v>
      </c>
      <c r="C758" s="10" t="s">
        <v>1383</v>
      </c>
      <c r="D758" s="11" t="n">
        <v>0.0108061342592593</v>
      </c>
      <c r="E758" s="18" t="n">
        <f aca="false">ROUND((D758-$D$5)*86400,2)</f>
        <v>143.91</v>
      </c>
      <c r="F758" s="12" t="n">
        <v>1582</v>
      </c>
      <c r="G758" s="11" t="str">
        <f aca="false">IF(INDEX(選手一覧!$F$7:$F$2738,$F758)="","",INDEX(選手一覧!$F$7:$F$2738,$F758))</f>
        <v/>
      </c>
      <c r="H758" s="12" t="str">
        <f aca="false">IF(INDEX(選手一覧!$G$7:$G$2738,$F758)="","",INDEX(選手一覧!$G$7:$G$2738,$F758))</f>
        <v/>
      </c>
      <c r="I758" s="11" t="n">
        <f aca="false">IF(INDEX(選手一覧!$H$7:$H$2738,$F758)="","",INDEX(選手一覧!$H$7:$H$2738,$F758))</f>
        <v>0.00294814814814815</v>
      </c>
      <c r="J758" s="12" t="n">
        <f aca="false">IF(INDEX(選手一覧!$I$7:$I$2738,$F758)="","",INDEX(選手一覧!$I$7:$I$2738,$F758))</f>
        <v>1228</v>
      </c>
    </row>
    <row r="759" customFormat="false" ht="15" hidden="false" customHeight="false" outlineLevel="0" collapsed="false">
      <c r="A759" s="12" t="n">
        <v>755</v>
      </c>
      <c r="B759" s="10" t="s">
        <v>2294</v>
      </c>
      <c r="C759" s="10" t="s">
        <v>577</v>
      </c>
      <c r="D759" s="11" t="n">
        <v>0.0108063657407407</v>
      </c>
      <c r="E759" s="18" t="n">
        <f aca="false">ROUND((D759-$D$5)*86400,2)</f>
        <v>143.93</v>
      </c>
      <c r="F759" s="12" t="n">
        <v>1585</v>
      </c>
      <c r="G759" s="11" t="str">
        <f aca="false">IF(INDEX(選手一覧!$F$7:$F$2738,$F759)="","",INDEX(選手一覧!$F$7:$F$2738,$F759))</f>
        <v/>
      </c>
      <c r="H759" s="12" t="str">
        <f aca="false">IF(INDEX(選手一覧!$G$7:$G$2738,$F759)="","",INDEX(選手一覧!$G$7:$G$2738,$F759))</f>
        <v/>
      </c>
      <c r="I759" s="11" t="str">
        <f aca="false">IF(INDEX(選手一覧!$H$7:$H$2738,$F759)="","",INDEX(選手一覧!$H$7:$H$2738,$F759))</f>
        <v/>
      </c>
      <c r="J759" s="12" t="str">
        <f aca="false">IF(INDEX(選手一覧!$I$7:$I$2738,$F759)="","",INDEX(選手一覧!$I$7:$I$2738,$F759))</f>
        <v/>
      </c>
    </row>
    <row r="760" customFormat="false" ht="15" hidden="false" customHeight="false" outlineLevel="0" collapsed="false">
      <c r="A760" s="12" t="n">
        <v>756</v>
      </c>
      <c r="B760" s="10" t="s">
        <v>749</v>
      </c>
      <c r="C760" s="10" t="s">
        <v>72</v>
      </c>
      <c r="D760" s="11" t="n">
        <v>0.0108065972222222</v>
      </c>
      <c r="E760" s="18" t="n">
        <f aca="false">ROUND((D760-$D$5)*86400,2)</f>
        <v>143.95</v>
      </c>
      <c r="F760" s="12" t="n">
        <v>483</v>
      </c>
      <c r="G760" s="11" t="str">
        <f aca="false">IF(INDEX(選手一覧!$F$7:$F$2738,$F760)="","",INDEX(選手一覧!$F$7:$F$2738,$F760))</f>
        <v/>
      </c>
      <c r="H760" s="12" t="str">
        <f aca="false">IF(INDEX(選手一覧!$G$7:$G$2738,$F760)="","",INDEX(選手一覧!$G$7:$G$2738,$F760))</f>
        <v/>
      </c>
      <c r="I760" s="11" t="n">
        <f aca="false">IF(INDEX(選手一覧!$H$7:$H$2738,$F760)="","",INDEX(選手一覧!$H$7:$H$2738,$F760))</f>
        <v>0.00278055555555556</v>
      </c>
      <c r="J760" s="12" t="n">
        <f aca="false">IF(INDEX(選手一覧!$I$7:$I$2738,$F760)="","",INDEX(選手一覧!$I$7:$I$2738,$F760))</f>
        <v>203</v>
      </c>
    </row>
    <row r="761" customFormat="false" ht="15" hidden="false" customHeight="false" outlineLevel="0" collapsed="false">
      <c r="A761" s="12" t="n">
        <v>757</v>
      </c>
      <c r="B761" s="10" t="s">
        <v>973</v>
      </c>
      <c r="C761" s="10" t="s">
        <v>974</v>
      </c>
      <c r="D761" s="11" t="n">
        <v>0.0108070601851852</v>
      </c>
      <c r="E761" s="18" t="n">
        <f aca="false">ROUND((D761-$D$5)*86400,2)</f>
        <v>143.99</v>
      </c>
      <c r="F761" s="12" t="n">
        <v>649</v>
      </c>
      <c r="G761" s="11" t="str">
        <f aca="false">IF(INDEX(選手一覧!$F$7:$F$2738,$F761)="","",INDEX(選手一覧!$F$7:$F$2738,$F761))</f>
        <v/>
      </c>
      <c r="H761" s="12" t="str">
        <f aca="false">IF(INDEX(選手一覧!$G$7:$G$2738,$F761)="","",INDEX(選手一覧!$G$7:$G$2738,$F761))</f>
        <v/>
      </c>
      <c r="I761" s="11" t="n">
        <f aca="false">IF(INDEX(選手一覧!$H$7:$H$2738,$F761)="","",INDEX(選手一覧!$H$7:$H$2738,$F761))</f>
        <v>0.00279814814814815</v>
      </c>
      <c r="J761" s="12" t="n">
        <f aca="false">IF(INDEX(選手一覧!$I$7:$I$2738,$F761)="","",INDEX(選手一覧!$I$7:$I$2738,$F761))</f>
        <v>275</v>
      </c>
    </row>
    <row r="762" customFormat="false" ht="15" hidden="false" customHeight="false" outlineLevel="0" collapsed="false">
      <c r="A762" s="12" t="n">
        <v>758</v>
      </c>
      <c r="B762" s="10" t="s">
        <v>2301</v>
      </c>
      <c r="C762" s="10" t="s">
        <v>307</v>
      </c>
      <c r="D762" s="11" t="n">
        <v>0.0108075231481482</v>
      </c>
      <c r="E762" s="18" t="n">
        <f aca="false">ROUND((D762-$D$5)*86400,2)</f>
        <v>144.03</v>
      </c>
      <c r="F762" s="12" t="n">
        <v>1589</v>
      </c>
      <c r="G762" s="11" t="str">
        <f aca="false">IF(INDEX(選手一覧!$F$7:$F$2738,$F762)="","",INDEX(選手一覧!$F$7:$F$2738,$F762))</f>
        <v/>
      </c>
      <c r="H762" s="12" t="str">
        <f aca="false">IF(INDEX(選手一覧!$G$7:$G$2738,$F762)="","",INDEX(選手一覧!$G$7:$G$2738,$F762))</f>
        <v/>
      </c>
      <c r="I762" s="11" t="str">
        <f aca="false">IF(INDEX(選手一覧!$H$7:$H$2738,$F762)="","",INDEX(選手一覧!$H$7:$H$2738,$F762))</f>
        <v/>
      </c>
      <c r="J762" s="12" t="str">
        <f aca="false">IF(INDEX(選手一覧!$I$7:$I$2738,$F762)="","",INDEX(選手一覧!$I$7:$I$2738,$F762))</f>
        <v/>
      </c>
    </row>
    <row r="763" customFormat="false" ht="15" hidden="false" customHeight="false" outlineLevel="0" collapsed="false">
      <c r="A763" s="12" t="n">
        <v>759</v>
      </c>
      <c r="B763" s="10" t="s">
        <v>2307</v>
      </c>
      <c r="C763" s="10" t="s">
        <v>2082</v>
      </c>
      <c r="D763" s="11" t="n">
        <v>0.0108078703703704</v>
      </c>
      <c r="E763" s="18" t="n">
        <f aca="false">ROUND((D763-$D$5)*86400,2)</f>
        <v>144.06</v>
      </c>
      <c r="F763" s="12" t="n">
        <v>1593</v>
      </c>
      <c r="G763" s="11" t="str">
        <f aca="false">IF(INDEX(選手一覧!$F$7:$F$2738,$F763)="","",INDEX(選手一覧!$F$7:$F$2738,$F763))</f>
        <v/>
      </c>
      <c r="H763" s="12" t="str">
        <f aca="false">IF(INDEX(選手一覧!$G$7:$G$2738,$F763)="","",INDEX(選手一覧!$G$7:$G$2738,$F763))</f>
        <v/>
      </c>
      <c r="I763" s="11" t="str">
        <f aca="false">IF(INDEX(選手一覧!$H$7:$H$2738,$F763)="","",INDEX(選手一覧!$H$7:$H$2738,$F763))</f>
        <v/>
      </c>
      <c r="J763" s="12" t="str">
        <f aca="false">IF(INDEX(選手一覧!$I$7:$I$2738,$F763)="","",INDEX(選手一覧!$I$7:$I$2738,$F763))</f>
        <v/>
      </c>
    </row>
    <row r="764" customFormat="false" ht="15" hidden="false" customHeight="false" outlineLevel="0" collapsed="false">
      <c r="A764" s="12" t="n">
        <v>760</v>
      </c>
      <c r="B764" s="10" t="s">
        <v>535</v>
      </c>
      <c r="C764" s="10" t="s">
        <v>473</v>
      </c>
      <c r="D764" s="11" t="n">
        <v>0.0108078703703704</v>
      </c>
      <c r="E764" s="18" t="n">
        <f aca="false">ROUND((D764-$D$5)*86400,2)</f>
        <v>144.06</v>
      </c>
      <c r="F764" s="12" t="n">
        <v>334</v>
      </c>
      <c r="G764" s="11" t="n">
        <f aca="false">IF(INDEX(選手一覧!$F$7:$F$2738,$F764)="","",INDEX(選手一覧!$F$7:$F$2738,$F764))</f>
        <v>0.00676238425925926</v>
      </c>
      <c r="H764" s="12" t="n">
        <f aca="false">IF(INDEX(選手一覧!$G$7:$G$2738,$F764)="","",INDEX(選手一覧!$G$7:$G$2738,$F764))</f>
        <v>138</v>
      </c>
      <c r="I764" s="11" t="str">
        <f aca="false">IF(INDEX(選手一覧!$H$7:$H$2738,$F764)="","",INDEX(選手一覧!$H$7:$H$2738,$F764))</f>
        <v/>
      </c>
      <c r="J764" s="12" t="str">
        <f aca="false">IF(INDEX(選手一覧!$I$7:$I$2738,$F764)="","",INDEX(選手一覧!$I$7:$I$2738,$F764))</f>
        <v/>
      </c>
    </row>
    <row r="765" customFormat="false" ht="15" hidden="false" customHeight="false" outlineLevel="0" collapsed="false">
      <c r="A765" s="12" t="n">
        <v>761</v>
      </c>
      <c r="B765" s="10" t="s">
        <v>2312</v>
      </c>
      <c r="C765" s="10" t="s">
        <v>2313</v>
      </c>
      <c r="D765" s="11" t="n">
        <v>0.0108081018518519</v>
      </c>
      <c r="E765" s="18" t="n">
        <f aca="false">ROUND((D765-$D$5)*86400,2)</f>
        <v>144.08</v>
      </c>
      <c r="F765" s="12" t="n">
        <v>1596</v>
      </c>
      <c r="G765" s="11" t="str">
        <f aca="false">IF(INDEX(選手一覧!$F$7:$F$2738,$F765)="","",INDEX(選手一覧!$F$7:$F$2738,$F765))</f>
        <v/>
      </c>
      <c r="H765" s="12" t="str">
        <f aca="false">IF(INDEX(選手一覧!$G$7:$G$2738,$F765)="","",INDEX(選手一覧!$G$7:$G$2738,$F765))</f>
        <v/>
      </c>
      <c r="I765" s="11" t="n">
        <f aca="false">IF(INDEX(選手一覧!$H$7:$H$2738,$F765)="","",INDEX(選手一覧!$H$7:$H$2738,$F765))</f>
        <v>0.00289467592592593</v>
      </c>
      <c r="J765" s="12" t="n">
        <f aca="false">IF(INDEX(選手一覧!$I$7:$I$2738,$F765)="","",INDEX(選手一覧!$I$7:$I$2738,$F765))</f>
        <v>908</v>
      </c>
    </row>
    <row r="766" customFormat="false" ht="15" hidden="false" customHeight="false" outlineLevel="0" collapsed="false">
      <c r="A766" s="12" t="n">
        <v>762</v>
      </c>
      <c r="B766" s="10" t="s">
        <v>2317</v>
      </c>
      <c r="C766" s="10" t="s">
        <v>261</v>
      </c>
      <c r="D766" s="11" t="n">
        <v>0.0108086805555556</v>
      </c>
      <c r="E766" s="18" t="n">
        <f aca="false">ROUND((D766-$D$5)*86400,2)</f>
        <v>144.13</v>
      </c>
      <c r="F766" s="12" t="n">
        <v>1600</v>
      </c>
      <c r="G766" s="11" t="str">
        <f aca="false">IF(INDEX(選手一覧!$F$7:$F$2738,$F766)="","",INDEX(選手一覧!$F$7:$F$2738,$F766))</f>
        <v/>
      </c>
      <c r="H766" s="12" t="str">
        <f aca="false">IF(INDEX(選手一覧!$G$7:$G$2738,$F766)="","",INDEX(選手一覧!$G$7:$G$2738,$F766))</f>
        <v/>
      </c>
      <c r="I766" s="11" t="str">
        <f aca="false">IF(INDEX(選手一覧!$H$7:$H$2738,$F766)="","",INDEX(選手一覧!$H$7:$H$2738,$F766))</f>
        <v/>
      </c>
      <c r="J766" s="12" t="str">
        <f aca="false">IF(INDEX(選手一覧!$I$7:$I$2738,$F766)="","",INDEX(選手一覧!$I$7:$I$2738,$F766))</f>
        <v/>
      </c>
    </row>
    <row r="767" customFormat="false" ht="15" hidden="false" customHeight="false" outlineLevel="0" collapsed="false">
      <c r="A767" s="12" t="n">
        <v>763</v>
      </c>
      <c r="B767" s="10" t="s">
        <v>2319</v>
      </c>
      <c r="C767" s="10" t="s">
        <v>1413</v>
      </c>
      <c r="D767" s="11" t="n">
        <v>0.0108096064814815</v>
      </c>
      <c r="E767" s="18" t="n">
        <f aca="false">ROUND((D767-$D$5)*86400,2)</f>
        <v>144.21</v>
      </c>
      <c r="F767" s="12" t="n">
        <v>1602</v>
      </c>
      <c r="G767" s="11" t="str">
        <f aca="false">IF(INDEX(選手一覧!$F$7:$F$2738,$F767)="","",INDEX(選手一覧!$F$7:$F$2738,$F767))</f>
        <v/>
      </c>
      <c r="H767" s="12" t="str">
        <f aca="false">IF(INDEX(選手一覧!$G$7:$G$2738,$F767)="","",INDEX(選手一覧!$G$7:$G$2738,$F767))</f>
        <v/>
      </c>
      <c r="I767" s="11" t="str">
        <f aca="false">IF(INDEX(選手一覧!$H$7:$H$2738,$F767)="","",INDEX(選手一覧!$H$7:$H$2738,$F767))</f>
        <v/>
      </c>
      <c r="J767" s="12" t="str">
        <f aca="false">IF(INDEX(選手一覧!$I$7:$I$2738,$F767)="","",INDEX(選手一覧!$I$7:$I$2738,$F767))</f>
        <v/>
      </c>
    </row>
    <row r="768" customFormat="false" ht="15" hidden="false" customHeight="false" outlineLevel="0" collapsed="false">
      <c r="A768" s="12" t="n">
        <v>764</v>
      </c>
      <c r="B768" s="10" t="s">
        <v>2069</v>
      </c>
      <c r="C768" s="10" t="s">
        <v>1381</v>
      </c>
      <c r="D768" s="11" t="n">
        <v>0.0108100694444445</v>
      </c>
      <c r="E768" s="18" t="n">
        <f aca="false">ROUND((D768-$D$5)*86400,2)</f>
        <v>144.25</v>
      </c>
      <c r="F768" s="12" t="n">
        <v>1430</v>
      </c>
      <c r="G768" s="11" t="str">
        <f aca="false">IF(INDEX(選手一覧!$F$7:$F$2738,$F768)="","",INDEX(選手一覧!$F$7:$F$2738,$F768))</f>
        <v/>
      </c>
      <c r="H768" s="12" t="str">
        <f aca="false">IF(INDEX(選手一覧!$G$7:$G$2738,$F768)="","",INDEX(選手一覧!$G$7:$G$2738,$F768))</f>
        <v/>
      </c>
      <c r="I768" s="11" t="n">
        <f aca="false">IF(INDEX(選手一覧!$H$7:$H$2738,$F768)="","",INDEX(選手一覧!$H$7:$H$2738,$F768))</f>
        <v>0.00286712962962963</v>
      </c>
      <c r="J768" s="12" t="n">
        <f aca="false">IF(INDEX(選手一覧!$I$7:$I$2738,$F768)="","",INDEX(選手一覧!$I$7:$I$2738,$F768))</f>
        <v>676</v>
      </c>
    </row>
    <row r="769" customFormat="false" ht="15" hidden="false" customHeight="false" outlineLevel="0" collapsed="false">
      <c r="A769" s="12" t="n">
        <v>765</v>
      </c>
      <c r="B769" s="10" t="s">
        <v>2325</v>
      </c>
      <c r="C769" s="10" t="s">
        <v>210</v>
      </c>
      <c r="D769" s="11" t="n">
        <v>0.0108108796296296</v>
      </c>
      <c r="E769" s="18" t="n">
        <f aca="false">ROUND((D769-$D$5)*86400,2)</f>
        <v>144.32</v>
      </c>
      <c r="F769" s="12" t="n">
        <v>1607</v>
      </c>
      <c r="G769" s="11" t="str">
        <f aca="false">IF(INDEX(選手一覧!$F$7:$F$2738,$F769)="","",INDEX(選手一覧!$F$7:$F$2738,$F769))</f>
        <v/>
      </c>
      <c r="H769" s="12" t="str">
        <f aca="false">IF(INDEX(選手一覧!$G$7:$G$2738,$F769)="","",INDEX(選手一覧!$G$7:$G$2738,$F769))</f>
        <v/>
      </c>
      <c r="I769" s="11" t="n">
        <f aca="false">IF(INDEX(選手一覧!$H$7:$H$2738,$F769)="","",INDEX(選手一覧!$H$7:$H$2738,$F769))</f>
        <v>0.0029775462962963</v>
      </c>
      <c r="J769" s="12" t="n">
        <f aca="false">IF(INDEX(選手一覧!$I$7:$I$2738,$F769)="","",INDEX(選手一覧!$I$7:$I$2738,$F769))</f>
        <v>1344</v>
      </c>
    </row>
    <row r="770" customFormat="false" ht="15" hidden="false" customHeight="false" outlineLevel="0" collapsed="false">
      <c r="A770" s="12" t="n">
        <v>766</v>
      </c>
      <c r="B770" s="10" t="s">
        <v>2327</v>
      </c>
      <c r="C770" s="10" t="s">
        <v>213</v>
      </c>
      <c r="D770" s="11" t="n">
        <v>0.0108126157407407</v>
      </c>
      <c r="E770" s="18" t="n">
        <f aca="false">ROUND((D770-$D$5)*86400,2)</f>
        <v>144.47</v>
      </c>
      <c r="F770" s="12" t="n">
        <v>1609</v>
      </c>
      <c r="G770" s="11" t="str">
        <f aca="false">IF(INDEX(選手一覧!$F$7:$F$2738,$F770)="","",INDEX(選手一覧!$F$7:$F$2738,$F770))</f>
        <v/>
      </c>
      <c r="H770" s="12" t="str">
        <f aca="false">IF(INDEX(選手一覧!$G$7:$G$2738,$F770)="","",INDEX(選手一覧!$G$7:$G$2738,$F770))</f>
        <v/>
      </c>
      <c r="I770" s="11" t="str">
        <f aca="false">IF(INDEX(選手一覧!$H$7:$H$2738,$F770)="","",INDEX(選手一覧!$H$7:$H$2738,$F770))</f>
        <v/>
      </c>
      <c r="J770" s="12" t="str">
        <f aca="false">IF(INDEX(選手一覧!$I$7:$I$2738,$F770)="","",INDEX(選手一覧!$I$7:$I$2738,$F770))</f>
        <v/>
      </c>
    </row>
    <row r="771" customFormat="false" ht="15" hidden="false" customHeight="false" outlineLevel="0" collapsed="false">
      <c r="A771" s="12" t="n">
        <v>767</v>
      </c>
      <c r="B771" s="10" t="s">
        <v>2331</v>
      </c>
      <c r="C771" s="10" t="s">
        <v>377</v>
      </c>
      <c r="D771" s="11" t="n">
        <v>0.0108128472222222</v>
      </c>
      <c r="E771" s="18" t="n">
        <f aca="false">ROUND((D771-$D$5)*86400,2)</f>
        <v>144.49</v>
      </c>
      <c r="F771" s="12" t="n">
        <v>1612</v>
      </c>
      <c r="G771" s="11" t="str">
        <f aca="false">IF(INDEX(選手一覧!$F$7:$F$2738,$F771)="","",INDEX(選手一覧!$F$7:$F$2738,$F771))</f>
        <v/>
      </c>
      <c r="H771" s="12" t="str">
        <f aca="false">IF(INDEX(選手一覧!$G$7:$G$2738,$F771)="","",INDEX(選手一覧!$G$7:$G$2738,$F771))</f>
        <v/>
      </c>
      <c r="I771" s="11" t="str">
        <f aca="false">IF(INDEX(選手一覧!$H$7:$H$2738,$F771)="","",INDEX(選手一覧!$H$7:$H$2738,$F771))</f>
        <v/>
      </c>
      <c r="J771" s="12" t="str">
        <f aca="false">IF(INDEX(選手一覧!$I$7:$I$2738,$F771)="","",INDEX(選手一覧!$I$7:$I$2738,$F771))</f>
        <v/>
      </c>
    </row>
    <row r="772" customFormat="false" ht="15" hidden="false" customHeight="false" outlineLevel="0" collapsed="false">
      <c r="A772" s="12" t="n">
        <v>768</v>
      </c>
      <c r="B772" s="10" t="s">
        <v>2334</v>
      </c>
      <c r="C772" s="10" t="s">
        <v>1210</v>
      </c>
      <c r="D772" s="11" t="n">
        <v>0.0108137731481482</v>
      </c>
      <c r="E772" s="18" t="n">
        <f aca="false">ROUND((D772-$D$5)*86400,2)</f>
        <v>144.57</v>
      </c>
      <c r="F772" s="12" t="n">
        <v>1615</v>
      </c>
      <c r="G772" s="11" t="str">
        <f aca="false">IF(INDEX(選手一覧!$F$7:$F$2738,$F772)="","",INDEX(選手一覧!$F$7:$F$2738,$F772))</f>
        <v/>
      </c>
      <c r="H772" s="12" t="str">
        <f aca="false">IF(INDEX(選手一覧!$G$7:$G$2738,$F772)="","",INDEX(選手一覧!$G$7:$G$2738,$F772))</f>
        <v/>
      </c>
      <c r="I772" s="11" t="n">
        <f aca="false">IF(INDEX(選手一覧!$H$7:$H$2738,$F772)="","",INDEX(選手一覧!$H$7:$H$2738,$F772))</f>
        <v>0.00292013888888889</v>
      </c>
      <c r="J772" s="12" t="n">
        <f aca="false">IF(INDEX(選手一覧!$I$7:$I$2738,$F772)="","",INDEX(選手一覧!$I$7:$I$2738,$F772))</f>
        <v>1098</v>
      </c>
    </row>
    <row r="773" customFormat="false" ht="15" hidden="false" customHeight="false" outlineLevel="0" collapsed="false">
      <c r="A773" s="12" t="n">
        <v>769</v>
      </c>
      <c r="B773" s="10" t="s">
        <v>2337</v>
      </c>
      <c r="C773" s="10" t="s">
        <v>1216</v>
      </c>
      <c r="D773" s="11" t="n">
        <v>0.0108145833333333</v>
      </c>
      <c r="E773" s="18" t="n">
        <f aca="false">ROUND((D773-$D$5)*86400,2)</f>
        <v>144.64</v>
      </c>
      <c r="F773" s="12" t="n">
        <v>1617</v>
      </c>
      <c r="G773" s="11" t="str">
        <f aca="false">IF(INDEX(選手一覧!$F$7:$F$2738,$F773)="","",INDEX(選手一覧!$F$7:$F$2738,$F773))</f>
        <v/>
      </c>
      <c r="H773" s="12" t="str">
        <f aca="false">IF(INDEX(選手一覧!$G$7:$G$2738,$F773)="","",INDEX(選手一覧!$G$7:$G$2738,$F773))</f>
        <v/>
      </c>
      <c r="I773" s="11" t="str">
        <f aca="false">IF(INDEX(選手一覧!$H$7:$H$2738,$F773)="","",INDEX(選手一覧!$H$7:$H$2738,$F773))</f>
        <v/>
      </c>
      <c r="J773" s="12" t="str">
        <f aca="false">IF(INDEX(選手一覧!$I$7:$I$2738,$F773)="","",INDEX(選手一覧!$I$7:$I$2738,$F773))</f>
        <v/>
      </c>
    </row>
    <row r="774" customFormat="false" ht="15" hidden="false" customHeight="false" outlineLevel="0" collapsed="false">
      <c r="A774" s="12" t="n">
        <v>770</v>
      </c>
      <c r="B774" s="10" t="s">
        <v>1635</v>
      </c>
      <c r="C774" s="10" t="s">
        <v>1440</v>
      </c>
      <c r="D774" s="11" t="n">
        <v>0.0108146990740741</v>
      </c>
      <c r="E774" s="18" t="n">
        <f aca="false">ROUND((D774-$D$5)*86400,2)</f>
        <v>144.65</v>
      </c>
      <c r="F774" s="12" t="n">
        <v>1128</v>
      </c>
      <c r="G774" s="11" t="n">
        <f aca="false">IF(INDEX(選手一覧!$F$7:$F$2738,$F774)="","",INDEX(選手一覧!$F$7:$F$2738,$F774))</f>
        <v>0.00717361111111111</v>
      </c>
      <c r="H774" s="12" t="n">
        <f aca="false">IF(INDEX(選手一覧!$G$7:$G$2738,$F774)="","",INDEX(選手一覧!$G$7:$G$2738,$F774))</f>
        <v>512</v>
      </c>
      <c r="I774" s="11" t="str">
        <f aca="false">IF(INDEX(選手一覧!$H$7:$H$2738,$F774)="","",INDEX(選手一覧!$H$7:$H$2738,$F774))</f>
        <v/>
      </c>
      <c r="J774" s="12" t="str">
        <f aca="false">IF(INDEX(選手一覧!$I$7:$I$2738,$F774)="","",INDEX(選手一覧!$I$7:$I$2738,$F774))</f>
        <v/>
      </c>
    </row>
    <row r="775" customFormat="false" ht="15" hidden="false" customHeight="false" outlineLevel="0" collapsed="false">
      <c r="A775" s="12" t="n">
        <v>771</v>
      </c>
      <c r="B775" s="10" t="s">
        <v>453</v>
      </c>
      <c r="C775" s="10" t="s">
        <v>307</v>
      </c>
      <c r="D775" s="11" t="n">
        <v>0.010816087962963</v>
      </c>
      <c r="E775" s="18" t="n">
        <f aca="false">ROUND((D775-$D$5)*86400,2)</f>
        <v>144.77</v>
      </c>
      <c r="F775" s="12" t="n">
        <v>280</v>
      </c>
      <c r="G775" s="11" t="n">
        <f aca="false">IF(INDEX(選手一覧!$F$7:$F$2738,$F775)="","",INDEX(選手一覧!$F$7:$F$2738,$F775))</f>
        <v>0.00672430555555556</v>
      </c>
      <c r="H775" s="12" t="n">
        <f aca="false">IF(INDEX(選手一覧!$G$7:$G$2738,$F775)="","",INDEX(選手一覧!$G$7:$G$2738,$F775))</f>
        <v>116</v>
      </c>
      <c r="I775" s="11" t="str">
        <f aca="false">IF(INDEX(選手一覧!$H$7:$H$2738,$F775)="","",INDEX(選手一覧!$H$7:$H$2738,$F775))</f>
        <v/>
      </c>
      <c r="J775" s="12" t="str">
        <f aca="false">IF(INDEX(選手一覧!$I$7:$I$2738,$F775)="","",INDEX(選手一覧!$I$7:$I$2738,$F775))</f>
        <v/>
      </c>
    </row>
    <row r="776" customFormat="false" ht="15" hidden="false" customHeight="false" outlineLevel="0" collapsed="false">
      <c r="A776" s="12" t="n">
        <v>772</v>
      </c>
      <c r="B776" s="10" t="s">
        <v>2344</v>
      </c>
      <c r="C776" s="10" t="s">
        <v>154</v>
      </c>
      <c r="D776" s="11" t="n">
        <v>0.010816087962963</v>
      </c>
      <c r="E776" s="18" t="n">
        <f aca="false">ROUND((D776-$D$5)*86400,2)</f>
        <v>144.77</v>
      </c>
      <c r="F776" s="12" t="n">
        <v>1622</v>
      </c>
      <c r="G776" s="11" t="str">
        <f aca="false">IF(INDEX(選手一覧!$F$7:$F$2738,$F776)="","",INDEX(選手一覧!$F$7:$F$2738,$F776))</f>
        <v/>
      </c>
      <c r="H776" s="12" t="str">
        <f aca="false">IF(INDEX(選手一覧!$G$7:$G$2738,$F776)="","",INDEX(選手一覧!$G$7:$G$2738,$F776))</f>
        <v/>
      </c>
      <c r="I776" s="11" t="str">
        <f aca="false">IF(INDEX(選手一覧!$H$7:$H$2738,$F776)="","",INDEX(選手一覧!$H$7:$H$2738,$F776))</f>
        <v/>
      </c>
      <c r="J776" s="12" t="str">
        <f aca="false">IF(INDEX(選手一覧!$I$7:$I$2738,$F776)="","",INDEX(選手一覧!$I$7:$I$2738,$F776))</f>
        <v/>
      </c>
    </row>
    <row r="777" customFormat="false" ht="15" hidden="false" customHeight="false" outlineLevel="0" collapsed="false">
      <c r="A777" s="12" t="n">
        <v>773</v>
      </c>
      <c r="B777" s="10" t="s">
        <v>2348</v>
      </c>
      <c r="C777" s="10" t="s">
        <v>185</v>
      </c>
      <c r="D777" s="11" t="n">
        <v>0.0108164351851852</v>
      </c>
      <c r="E777" s="18" t="n">
        <f aca="false">ROUND((D777-$D$5)*86400,2)</f>
        <v>144.8</v>
      </c>
      <c r="F777" s="12" t="n">
        <v>1626</v>
      </c>
      <c r="G777" s="11" t="str">
        <f aca="false">IF(INDEX(選手一覧!$F$7:$F$2738,$F777)="","",INDEX(選手一覧!$F$7:$F$2738,$F777))</f>
        <v/>
      </c>
      <c r="H777" s="12" t="str">
        <f aca="false">IF(INDEX(選手一覧!$G$7:$G$2738,$F777)="","",INDEX(選手一覧!$G$7:$G$2738,$F777))</f>
        <v/>
      </c>
      <c r="I777" s="11" t="str">
        <f aca="false">IF(INDEX(選手一覧!$H$7:$H$2738,$F777)="","",INDEX(選手一覧!$H$7:$H$2738,$F777))</f>
        <v/>
      </c>
      <c r="J777" s="12" t="str">
        <f aca="false">IF(INDEX(選手一覧!$I$7:$I$2738,$F777)="","",INDEX(選手一覧!$I$7:$I$2738,$F777))</f>
        <v/>
      </c>
    </row>
    <row r="778" customFormat="false" ht="15" hidden="false" customHeight="false" outlineLevel="0" collapsed="false">
      <c r="A778" s="12" t="n">
        <v>774</v>
      </c>
      <c r="B778" s="10" t="s">
        <v>1416</v>
      </c>
      <c r="C778" s="10" t="s">
        <v>1417</v>
      </c>
      <c r="D778" s="11" t="n">
        <v>0.0108181712962963</v>
      </c>
      <c r="E778" s="18" t="n">
        <f aca="false">ROUND((D778-$D$5)*86400,2)</f>
        <v>144.95</v>
      </c>
      <c r="F778" s="12" t="n">
        <v>967</v>
      </c>
      <c r="G778" s="11" t="str">
        <f aca="false">IF(INDEX(選手一覧!$F$7:$F$2738,$F778)="","",INDEX(選手一覧!$F$7:$F$2738,$F778))</f>
        <v/>
      </c>
      <c r="H778" s="12" t="str">
        <f aca="false">IF(INDEX(選手一覧!$G$7:$G$2738,$F778)="","",INDEX(選手一覧!$G$7:$G$2738,$F778))</f>
        <v/>
      </c>
      <c r="I778" s="11" t="n">
        <f aca="false">IF(INDEX(選手一覧!$H$7:$H$2738,$F778)="","",INDEX(選手一覧!$H$7:$H$2738,$F778))</f>
        <v>0.00283078703703704</v>
      </c>
      <c r="J778" s="12" t="n">
        <f aca="false">IF(INDEX(選手一覧!$I$7:$I$2738,$F778)="","",INDEX(選手一覧!$I$7:$I$2738,$F778))</f>
        <v>432</v>
      </c>
    </row>
    <row r="779" customFormat="false" ht="15" hidden="false" customHeight="false" outlineLevel="0" collapsed="false">
      <c r="A779" s="12" t="n">
        <v>775</v>
      </c>
      <c r="B779" s="10" t="s">
        <v>1724</v>
      </c>
      <c r="C779" s="10" t="s">
        <v>758</v>
      </c>
      <c r="D779" s="11" t="n">
        <v>0.01081875</v>
      </c>
      <c r="E779" s="18" t="n">
        <f aca="false">ROUND((D779-$D$5)*86400,2)</f>
        <v>145</v>
      </c>
      <c r="F779" s="12" t="n">
        <v>1188</v>
      </c>
      <c r="G779" s="11" t="str">
        <f aca="false">IF(INDEX(選手一覧!$F$7:$F$2738,$F779)="","",INDEX(選手一覧!$F$7:$F$2738,$F779))</f>
        <v/>
      </c>
      <c r="H779" s="12" t="str">
        <f aca="false">IF(INDEX(選手一覧!$G$7:$G$2738,$F779)="","",INDEX(選手一覧!$G$7:$G$2738,$F779))</f>
        <v/>
      </c>
      <c r="I779" s="11" t="n">
        <f aca="false">IF(INDEX(選手一覧!$H$7:$H$2738,$F779)="","",INDEX(選手一覧!$H$7:$H$2738,$F779))</f>
        <v>0.00284618055555556</v>
      </c>
      <c r="J779" s="12" t="n">
        <f aca="false">IF(INDEX(選手一覧!$I$7:$I$2738,$F779)="","",INDEX(選手一覧!$I$7:$I$2738,$F779))</f>
        <v>545</v>
      </c>
    </row>
    <row r="780" customFormat="false" ht="15" hidden="false" customHeight="false" outlineLevel="0" collapsed="false">
      <c r="A780" s="12" t="n">
        <v>776</v>
      </c>
      <c r="B780" s="10" t="s">
        <v>1345</v>
      </c>
      <c r="C780" s="10" t="s">
        <v>486</v>
      </c>
      <c r="D780" s="11" t="n">
        <v>0.01081875</v>
      </c>
      <c r="E780" s="18" t="n">
        <f aca="false">ROUND((D780-$D$5)*86400,2)</f>
        <v>145</v>
      </c>
      <c r="F780" s="12" t="n">
        <v>915</v>
      </c>
      <c r="G780" s="11" t="str">
        <f aca="false">IF(INDEX(選手一覧!$F$7:$F$2738,$F780)="","",INDEX(選手一覧!$F$7:$F$2738,$F780))</f>
        <v/>
      </c>
      <c r="H780" s="12" t="str">
        <f aca="false">IF(INDEX(選手一覧!$G$7:$G$2738,$F780)="","",INDEX(選手一覧!$G$7:$G$2738,$F780))</f>
        <v/>
      </c>
      <c r="I780" s="11" t="n">
        <f aca="false">IF(INDEX(選手一覧!$H$7:$H$2738,$F780)="","",INDEX(選手一覧!$H$7:$H$2738,$F780))</f>
        <v>0.00282800925925926</v>
      </c>
      <c r="J780" s="12" t="n">
        <f aca="false">IF(INDEX(選手一覧!$I$7:$I$2738,$F780)="","",INDEX(選手一覧!$I$7:$I$2738,$F780))</f>
        <v>409</v>
      </c>
    </row>
    <row r="781" customFormat="false" ht="15" hidden="false" customHeight="false" outlineLevel="0" collapsed="false">
      <c r="A781" s="12" t="n">
        <v>777</v>
      </c>
      <c r="B781" s="10" t="s">
        <v>2359</v>
      </c>
      <c r="C781" s="10" t="s">
        <v>105</v>
      </c>
      <c r="D781" s="11" t="n">
        <v>0.010819212962963</v>
      </c>
      <c r="E781" s="18" t="n">
        <f aca="false">ROUND((D781-$D$5)*86400,2)</f>
        <v>145.04</v>
      </c>
      <c r="F781" s="12" t="n">
        <v>1634</v>
      </c>
      <c r="G781" s="11" t="str">
        <f aca="false">IF(INDEX(選手一覧!$F$7:$F$2738,$F781)="","",INDEX(選手一覧!$F$7:$F$2738,$F781))</f>
        <v/>
      </c>
      <c r="H781" s="12" t="str">
        <f aca="false">IF(INDEX(選手一覧!$G$7:$G$2738,$F781)="","",INDEX(選手一覧!$G$7:$G$2738,$F781))</f>
        <v/>
      </c>
      <c r="I781" s="11" t="str">
        <f aca="false">IF(INDEX(選手一覧!$H$7:$H$2738,$F781)="","",INDEX(選手一覧!$H$7:$H$2738,$F781))</f>
        <v/>
      </c>
      <c r="J781" s="12" t="str">
        <f aca="false">IF(INDEX(選手一覧!$I$7:$I$2738,$F781)="","",INDEX(選手一覧!$I$7:$I$2738,$F781))</f>
        <v/>
      </c>
    </row>
    <row r="782" customFormat="false" ht="15" hidden="false" customHeight="false" outlineLevel="0" collapsed="false">
      <c r="A782" s="12" t="n">
        <v>778</v>
      </c>
      <c r="B782" s="10" t="s">
        <v>2360</v>
      </c>
      <c r="C782" s="10" t="s">
        <v>208</v>
      </c>
      <c r="D782" s="11" t="n">
        <v>0.0108200231481482</v>
      </c>
      <c r="E782" s="18" t="n">
        <f aca="false">ROUND((D782-$D$5)*86400,2)</f>
        <v>145.11</v>
      </c>
      <c r="F782" s="12" t="n">
        <v>1635</v>
      </c>
      <c r="G782" s="11" t="str">
        <f aca="false">IF(INDEX(選手一覧!$F$7:$F$2738,$F782)="","",INDEX(選手一覧!$F$7:$F$2738,$F782))</f>
        <v/>
      </c>
      <c r="H782" s="12" t="str">
        <f aca="false">IF(INDEX(選手一覧!$G$7:$G$2738,$F782)="","",INDEX(選手一覧!$G$7:$G$2738,$F782))</f>
        <v/>
      </c>
      <c r="I782" s="11" t="str">
        <f aca="false">IF(INDEX(選手一覧!$H$7:$H$2738,$F782)="","",INDEX(選手一覧!$H$7:$H$2738,$F782))</f>
        <v/>
      </c>
      <c r="J782" s="12" t="str">
        <f aca="false">IF(INDEX(選手一覧!$I$7:$I$2738,$F782)="","",INDEX(選手一覧!$I$7:$I$2738,$F782))</f>
        <v/>
      </c>
    </row>
    <row r="783" customFormat="false" ht="15" hidden="false" customHeight="false" outlineLevel="0" collapsed="false">
      <c r="A783" s="12" t="n">
        <v>779</v>
      </c>
      <c r="B783" s="10" t="s">
        <v>1029</v>
      </c>
      <c r="C783" s="10" t="s">
        <v>380</v>
      </c>
      <c r="D783" s="11" t="n">
        <v>0.0108225694444445</v>
      </c>
      <c r="E783" s="18" t="n">
        <f aca="false">ROUND((D783-$D$5)*86400,2)</f>
        <v>145.33</v>
      </c>
      <c r="F783" s="12" t="n">
        <v>690</v>
      </c>
      <c r="G783" s="11" t="n">
        <f aca="false">IF(INDEX(選手一覧!$F$7:$F$2738,$F783)="","",INDEX(選手一覧!$F$7:$F$2738,$F783))</f>
        <v>0.00696180555555556</v>
      </c>
      <c r="H783" s="12" t="n">
        <f aca="false">IF(INDEX(選手一覧!$G$7:$G$2738,$F783)="","",INDEX(選手一覧!$G$7:$G$2738,$F783))</f>
        <v>295</v>
      </c>
      <c r="I783" s="11" t="str">
        <f aca="false">IF(INDEX(選手一覧!$H$7:$H$2738,$F783)="","",INDEX(選手一覧!$H$7:$H$2738,$F783))</f>
        <v/>
      </c>
      <c r="J783" s="12" t="str">
        <f aca="false">IF(INDEX(選手一覧!$I$7:$I$2738,$F783)="","",INDEX(選手一覧!$I$7:$I$2738,$F783))</f>
        <v/>
      </c>
    </row>
    <row r="784" customFormat="false" ht="15" hidden="false" customHeight="false" outlineLevel="0" collapsed="false">
      <c r="A784" s="12" t="n">
        <v>780</v>
      </c>
      <c r="B784" s="10" t="s">
        <v>2365</v>
      </c>
      <c r="C784" s="10" t="s">
        <v>49</v>
      </c>
      <c r="D784" s="11" t="n">
        <v>0.0108225694444445</v>
      </c>
      <c r="E784" s="18" t="n">
        <f aca="false">ROUND((D784-$D$5)*86400,2)</f>
        <v>145.33</v>
      </c>
      <c r="F784" s="12" t="n">
        <v>1639</v>
      </c>
      <c r="G784" s="11" t="str">
        <f aca="false">IF(INDEX(選手一覧!$F$7:$F$2738,$F784)="","",INDEX(選手一覧!$F$7:$F$2738,$F784))</f>
        <v/>
      </c>
      <c r="H784" s="12" t="str">
        <f aca="false">IF(INDEX(選手一覧!$G$7:$G$2738,$F784)="","",INDEX(選手一覧!$G$7:$G$2738,$F784))</f>
        <v/>
      </c>
      <c r="I784" s="11" t="str">
        <f aca="false">IF(INDEX(選手一覧!$H$7:$H$2738,$F784)="","",INDEX(選手一覧!$H$7:$H$2738,$F784))</f>
        <v/>
      </c>
      <c r="J784" s="12" t="str">
        <f aca="false">IF(INDEX(選手一覧!$I$7:$I$2738,$F784)="","",INDEX(選手一覧!$I$7:$I$2738,$F784))</f>
        <v/>
      </c>
    </row>
    <row r="785" customFormat="false" ht="15" hidden="false" customHeight="false" outlineLevel="0" collapsed="false">
      <c r="A785" s="12" t="n">
        <v>781</v>
      </c>
      <c r="B785" s="10" t="s">
        <v>2368</v>
      </c>
      <c r="C785" s="10" t="s">
        <v>41</v>
      </c>
      <c r="D785" s="11" t="n">
        <v>0.0108229166666667</v>
      </c>
      <c r="E785" s="18" t="n">
        <f aca="false">ROUND((D785-$D$5)*86400,2)</f>
        <v>145.36</v>
      </c>
      <c r="F785" s="12" t="n">
        <v>1642</v>
      </c>
      <c r="G785" s="11" t="str">
        <f aca="false">IF(INDEX(選手一覧!$F$7:$F$2738,$F785)="","",INDEX(選手一覧!$F$7:$F$2738,$F785))</f>
        <v/>
      </c>
      <c r="H785" s="12" t="str">
        <f aca="false">IF(INDEX(選手一覧!$G$7:$G$2738,$F785)="","",INDEX(選手一覧!$G$7:$G$2738,$F785))</f>
        <v/>
      </c>
      <c r="I785" s="11" t="n">
        <f aca="false">IF(INDEX(選手一覧!$H$7:$H$2738,$F785)="","",INDEX(選手一覧!$H$7:$H$2738,$F785))</f>
        <v>0.0028974537037037</v>
      </c>
      <c r="J785" s="12" t="n">
        <f aca="false">IF(INDEX(選手一覧!$I$7:$I$2738,$F785)="","",INDEX(選手一覧!$I$7:$I$2738,$F785))</f>
        <v>931</v>
      </c>
    </row>
    <row r="786" customFormat="false" ht="15" hidden="false" customHeight="false" outlineLevel="0" collapsed="false">
      <c r="A786" s="12" t="n">
        <v>782</v>
      </c>
      <c r="B786" s="10" t="s">
        <v>2130</v>
      </c>
      <c r="C786" s="10" t="s">
        <v>55</v>
      </c>
      <c r="D786" s="11" t="n">
        <v>0.0108236111111111</v>
      </c>
      <c r="E786" s="18" t="n">
        <f aca="false">ROUND((D786-$D$5)*86400,2)</f>
        <v>145.42</v>
      </c>
      <c r="F786" s="12" t="n">
        <v>1473</v>
      </c>
      <c r="G786" s="11" t="str">
        <f aca="false">IF(INDEX(選手一覧!$F$7:$F$2738,$F786)="","",INDEX(選手一覧!$F$7:$F$2738,$F786))</f>
        <v/>
      </c>
      <c r="H786" s="12" t="str">
        <f aca="false">IF(INDEX(選手一覧!$G$7:$G$2738,$F786)="","",INDEX(選手一覧!$G$7:$G$2738,$F786))</f>
        <v/>
      </c>
      <c r="I786" s="11" t="n">
        <f aca="false">IF(INDEX(選手一覧!$H$7:$H$2738,$F786)="","",INDEX(選手一覧!$H$7:$H$2738,$F786))</f>
        <v>0.00287025462962963</v>
      </c>
      <c r="J786" s="12" t="n">
        <f aca="false">IF(INDEX(選手一覧!$I$7:$I$2738,$F786)="","",INDEX(選手一覧!$I$7:$I$2738,$F786))</f>
        <v>698</v>
      </c>
    </row>
    <row r="787" customFormat="false" ht="15" hidden="false" customHeight="false" outlineLevel="0" collapsed="false">
      <c r="A787" s="12" t="n">
        <v>783</v>
      </c>
      <c r="B787" s="10" t="s">
        <v>2371</v>
      </c>
      <c r="C787" s="10" t="s">
        <v>425</v>
      </c>
      <c r="D787" s="11" t="n">
        <v>0.010825</v>
      </c>
      <c r="E787" s="18" t="n">
        <f aca="false">ROUND((D787-$D$5)*86400,2)</f>
        <v>145.54</v>
      </c>
      <c r="F787" s="12" t="n">
        <v>1645</v>
      </c>
      <c r="G787" s="11" t="str">
        <f aca="false">IF(INDEX(選手一覧!$F$7:$F$2738,$F787)="","",INDEX(選手一覧!$F$7:$F$2738,$F787))</f>
        <v/>
      </c>
      <c r="H787" s="12" t="str">
        <f aca="false">IF(INDEX(選手一覧!$G$7:$G$2738,$F787)="","",INDEX(選手一覧!$G$7:$G$2738,$F787))</f>
        <v/>
      </c>
      <c r="I787" s="11" t="str">
        <f aca="false">IF(INDEX(選手一覧!$H$7:$H$2738,$F787)="","",INDEX(選手一覧!$H$7:$H$2738,$F787))</f>
        <v/>
      </c>
      <c r="J787" s="12" t="str">
        <f aca="false">IF(INDEX(選手一覧!$I$7:$I$2738,$F787)="","",INDEX(選手一覧!$I$7:$I$2738,$F787))</f>
        <v/>
      </c>
    </row>
    <row r="788" customFormat="false" ht="15" hidden="false" customHeight="false" outlineLevel="0" collapsed="false">
      <c r="A788" s="12" t="n">
        <v>784</v>
      </c>
      <c r="B788" s="10" t="s">
        <v>42</v>
      </c>
      <c r="C788" s="10" t="s">
        <v>43</v>
      </c>
      <c r="D788" s="11" t="n">
        <v>0.0108256944444445</v>
      </c>
      <c r="E788" s="18" t="n">
        <f aca="false">ROUND((D788-$D$5)*86400,2)</f>
        <v>145.6</v>
      </c>
      <c r="F788" s="12" t="n">
        <v>12</v>
      </c>
      <c r="G788" s="11" t="str">
        <f aca="false">IF(INDEX(選手一覧!$F$7:$F$2738,$F788)="","",INDEX(選手一覧!$F$7:$F$2738,$F788))</f>
        <v/>
      </c>
      <c r="H788" s="12" t="str">
        <f aca="false">IF(INDEX(選手一覧!$G$7:$G$2738,$F788)="","",INDEX(選手一覧!$G$7:$G$2738,$F788))</f>
        <v/>
      </c>
      <c r="I788" s="11" t="n">
        <f aca="false">IF(INDEX(選手一覧!$H$7:$H$2738,$F788)="","",INDEX(選手一覧!$H$7:$H$2738,$F788))</f>
        <v>0.00266215277777778</v>
      </c>
      <c r="J788" s="12" t="n">
        <f aca="false">IF(INDEX(選手一覧!$I$7:$I$2738,$F788)="","",INDEX(選手一覧!$I$7:$I$2738,$F788))</f>
        <v>5</v>
      </c>
    </row>
    <row r="789" customFormat="false" ht="15" hidden="false" customHeight="false" outlineLevel="0" collapsed="false">
      <c r="A789" s="12" t="n">
        <v>785</v>
      </c>
      <c r="B789" s="10" t="s">
        <v>2375</v>
      </c>
      <c r="C789" s="10" t="s">
        <v>25</v>
      </c>
      <c r="D789" s="11" t="n">
        <v>0.0108256944444445</v>
      </c>
      <c r="E789" s="18" t="n">
        <f aca="false">ROUND((D789-$D$5)*86400,2)</f>
        <v>145.6</v>
      </c>
      <c r="F789" s="12" t="n">
        <v>1648</v>
      </c>
      <c r="G789" s="11" t="str">
        <f aca="false">IF(INDEX(選手一覧!$F$7:$F$2738,$F789)="","",INDEX(選手一覧!$F$7:$F$2738,$F789))</f>
        <v/>
      </c>
      <c r="H789" s="12" t="str">
        <f aca="false">IF(INDEX(選手一覧!$G$7:$G$2738,$F789)="","",INDEX(選手一覧!$G$7:$G$2738,$F789))</f>
        <v/>
      </c>
      <c r="I789" s="11" t="n">
        <f aca="false">IF(INDEX(選手一覧!$H$7:$H$2738,$F789)="","",INDEX(選手一覧!$H$7:$H$2738,$F789))</f>
        <v>0.00292303240740741</v>
      </c>
      <c r="J789" s="12" t="n">
        <f aca="false">IF(INDEX(選手一覧!$I$7:$I$2738,$F789)="","",INDEX(選手一覧!$I$7:$I$2738,$F789))</f>
        <v>1126</v>
      </c>
    </row>
    <row r="790" customFormat="false" ht="15" hidden="false" customHeight="false" outlineLevel="0" collapsed="false">
      <c r="A790" s="12" t="n">
        <v>786</v>
      </c>
      <c r="B790" s="10" t="s">
        <v>1585</v>
      </c>
      <c r="C790" s="10" t="s">
        <v>69</v>
      </c>
      <c r="D790" s="11" t="n">
        <v>0.0108262731481482</v>
      </c>
      <c r="E790" s="18" t="n">
        <f aca="false">ROUND((D790-$D$5)*86400,2)</f>
        <v>145.65</v>
      </c>
      <c r="F790" s="12" t="n">
        <v>1093</v>
      </c>
      <c r="G790" s="11" t="str">
        <f aca="false">IF(INDEX(選手一覧!$F$7:$F$2738,$F790)="","",INDEX(選手一覧!$F$7:$F$2738,$F790))</f>
        <v/>
      </c>
      <c r="H790" s="12" t="str">
        <f aca="false">IF(INDEX(選手一覧!$G$7:$G$2738,$F790)="","",INDEX(選手一覧!$G$7:$G$2738,$F790))</f>
        <v/>
      </c>
      <c r="I790" s="11" t="n">
        <f aca="false">IF(INDEX(選手一覧!$H$7:$H$2738,$F790)="","",INDEX(選手一覧!$H$7:$H$2738,$F790))</f>
        <v>0.00283958333333333</v>
      </c>
      <c r="J790" s="12" t="n">
        <f aca="false">IF(INDEX(選手一覧!$I$7:$I$2738,$F790)="","",INDEX(選手一覧!$I$7:$I$2738,$F790))</f>
        <v>494</v>
      </c>
    </row>
    <row r="791" customFormat="false" ht="15" hidden="false" customHeight="false" outlineLevel="0" collapsed="false">
      <c r="A791" s="12" t="n">
        <v>787</v>
      </c>
      <c r="B791" s="10" t="s">
        <v>2378</v>
      </c>
      <c r="C791" s="10" t="s">
        <v>482</v>
      </c>
      <c r="D791" s="11" t="n">
        <v>0.0108275462962963</v>
      </c>
      <c r="E791" s="18" t="n">
        <f aca="false">ROUND((D791-$D$5)*86400,2)</f>
        <v>145.76</v>
      </c>
      <c r="F791" s="12" t="n">
        <v>1651</v>
      </c>
      <c r="G791" s="11" t="str">
        <f aca="false">IF(INDEX(選手一覧!$F$7:$F$2738,$F791)="","",INDEX(選手一覧!$F$7:$F$2738,$F791))</f>
        <v/>
      </c>
      <c r="H791" s="12" t="str">
        <f aca="false">IF(INDEX(選手一覧!$G$7:$G$2738,$F791)="","",INDEX(選手一覧!$G$7:$G$2738,$F791))</f>
        <v/>
      </c>
      <c r="I791" s="11" t="str">
        <f aca="false">IF(INDEX(選手一覧!$H$7:$H$2738,$F791)="","",INDEX(選手一覧!$H$7:$H$2738,$F791))</f>
        <v/>
      </c>
      <c r="J791" s="12" t="str">
        <f aca="false">IF(INDEX(選手一覧!$I$7:$I$2738,$F791)="","",INDEX(選手一覧!$I$7:$I$2738,$F791))</f>
        <v/>
      </c>
    </row>
    <row r="792" customFormat="false" ht="15" hidden="false" customHeight="false" outlineLevel="0" collapsed="false">
      <c r="A792" s="12" t="n">
        <v>788</v>
      </c>
      <c r="B792" s="10" t="s">
        <v>1403</v>
      </c>
      <c r="C792" s="10" t="s">
        <v>440</v>
      </c>
      <c r="D792" s="11" t="n">
        <v>0.0108291666666667</v>
      </c>
      <c r="E792" s="18" t="n">
        <f aca="false">ROUND((D792-$D$5)*86400,2)</f>
        <v>145.9</v>
      </c>
      <c r="F792" s="12" t="n">
        <v>957</v>
      </c>
      <c r="G792" s="11" t="str">
        <f aca="false">IF(INDEX(選手一覧!$F$7:$F$2738,$F792)="","",INDEX(選手一覧!$F$7:$F$2738,$F792))</f>
        <v/>
      </c>
      <c r="H792" s="12" t="str">
        <f aca="false">IF(INDEX(選手一覧!$G$7:$G$2738,$F792)="","",INDEX(選手一覧!$G$7:$G$2738,$F792))</f>
        <v/>
      </c>
      <c r="I792" s="11" t="n">
        <f aca="false">IF(INDEX(選手一覧!$H$7:$H$2738,$F792)="","",INDEX(選手一覧!$H$7:$H$2738,$F792))</f>
        <v>0.00283009259259259</v>
      </c>
      <c r="J792" s="12" t="n">
        <f aca="false">IF(INDEX(選手一覧!$I$7:$I$2738,$F792)="","",INDEX(選手一覧!$I$7:$I$2738,$F792))</f>
        <v>428</v>
      </c>
    </row>
    <row r="793" customFormat="false" ht="15" hidden="false" customHeight="false" outlineLevel="0" collapsed="false">
      <c r="A793" s="12" t="n">
        <v>789</v>
      </c>
      <c r="B793" s="10" t="s">
        <v>1642</v>
      </c>
      <c r="C793" s="10" t="s">
        <v>1436</v>
      </c>
      <c r="D793" s="11" t="n">
        <v>0.0108291666666667</v>
      </c>
      <c r="E793" s="18" t="n">
        <f aca="false">ROUND((D793-$D$5)*86400,2)</f>
        <v>145.9</v>
      </c>
      <c r="F793" s="12" t="n">
        <v>1134</v>
      </c>
      <c r="G793" s="11" t="str">
        <f aca="false">IF(INDEX(選手一覧!$F$7:$F$2738,$F793)="","",INDEX(選手一覧!$F$7:$F$2738,$F793))</f>
        <v/>
      </c>
      <c r="H793" s="12" t="str">
        <f aca="false">IF(INDEX(選手一覧!$G$7:$G$2738,$F793)="","",INDEX(選手一覧!$G$7:$G$2738,$F793))</f>
        <v/>
      </c>
      <c r="I793" s="11" t="n">
        <f aca="false">IF(INDEX(選手一覧!$H$7:$H$2738,$F793)="","",INDEX(選手一覧!$H$7:$H$2738,$F793))</f>
        <v>0.00284259259259259</v>
      </c>
      <c r="J793" s="12" t="n">
        <f aca="false">IF(INDEX(選手一覧!$I$7:$I$2738,$F793)="","",INDEX(選手一覧!$I$7:$I$2738,$F793))</f>
        <v>514</v>
      </c>
    </row>
    <row r="794" customFormat="false" ht="15" hidden="false" customHeight="false" outlineLevel="0" collapsed="false">
      <c r="A794" s="12" t="n">
        <v>790</v>
      </c>
      <c r="B794" s="10" t="s">
        <v>2384</v>
      </c>
      <c r="C794" s="10" t="s">
        <v>1260</v>
      </c>
      <c r="D794" s="11" t="n">
        <v>0.0108306712962963</v>
      </c>
      <c r="E794" s="18" t="n">
        <f aca="false">ROUND((D794-$D$5)*86400,2)</f>
        <v>146.03</v>
      </c>
      <c r="F794" s="12" t="n">
        <v>1656</v>
      </c>
      <c r="G794" s="11" t="str">
        <f aca="false">IF(INDEX(選手一覧!$F$7:$F$2738,$F794)="","",INDEX(選手一覧!$F$7:$F$2738,$F794))</f>
        <v/>
      </c>
      <c r="H794" s="12" t="str">
        <f aca="false">IF(INDEX(選手一覧!$G$7:$G$2738,$F794)="","",INDEX(選手一覧!$G$7:$G$2738,$F794))</f>
        <v/>
      </c>
      <c r="I794" s="11" t="n">
        <f aca="false">IF(INDEX(選手一覧!$H$7:$H$2738,$F794)="","",INDEX(選手一覧!$H$7:$H$2738,$F794))</f>
        <v>0.00288206018518519</v>
      </c>
      <c r="J794" s="12" t="n">
        <f aca="false">IF(INDEX(選手一覧!$I$7:$I$2738,$F794)="","",INDEX(選手一覧!$I$7:$I$2738,$F794))</f>
        <v>793</v>
      </c>
    </row>
    <row r="795" customFormat="false" ht="15" hidden="false" customHeight="false" outlineLevel="0" collapsed="false">
      <c r="A795" s="12" t="n">
        <v>791</v>
      </c>
      <c r="B795" s="10" t="s">
        <v>2387</v>
      </c>
      <c r="C795" s="10" t="s">
        <v>473</v>
      </c>
      <c r="D795" s="11" t="n">
        <v>0.0108310185185185</v>
      </c>
      <c r="E795" s="18" t="n">
        <f aca="false">ROUND((D795-$D$5)*86400,2)</f>
        <v>146.06</v>
      </c>
      <c r="F795" s="12" t="n">
        <v>1658</v>
      </c>
      <c r="G795" s="11" t="str">
        <f aca="false">IF(INDEX(選手一覧!$F$7:$F$2738,$F795)="","",INDEX(選手一覧!$F$7:$F$2738,$F795))</f>
        <v/>
      </c>
      <c r="H795" s="12" t="str">
        <f aca="false">IF(INDEX(選手一覧!$G$7:$G$2738,$F795)="","",INDEX(選手一覧!$G$7:$G$2738,$F795))</f>
        <v/>
      </c>
      <c r="I795" s="11" t="str">
        <f aca="false">IF(INDEX(選手一覧!$H$7:$H$2738,$F795)="","",INDEX(選手一覧!$H$7:$H$2738,$F795))</f>
        <v/>
      </c>
      <c r="J795" s="12" t="str">
        <f aca="false">IF(INDEX(選手一覧!$I$7:$I$2738,$F795)="","",INDEX(選手一覧!$I$7:$I$2738,$F795))</f>
        <v/>
      </c>
    </row>
    <row r="796" customFormat="false" ht="15" hidden="false" customHeight="false" outlineLevel="0" collapsed="false">
      <c r="A796" s="12" t="n">
        <v>792</v>
      </c>
      <c r="B796" s="10" t="s">
        <v>751</v>
      </c>
      <c r="C796" s="10" t="s">
        <v>752</v>
      </c>
      <c r="D796" s="11" t="n">
        <v>0.0108310185185185</v>
      </c>
      <c r="E796" s="18" t="n">
        <f aca="false">ROUND((D796-$D$5)*86400,2)</f>
        <v>146.06</v>
      </c>
      <c r="F796" s="12" t="n">
        <v>485</v>
      </c>
      <c r="G796" s="11" t="str">
        <f aca="false">IF(INDEX(選手一覧!$F$7:$F$2738,$F796)="","",INDEX(選手一覧!$F$7:$F$2738,$F796))</f>
        <v/>
      </c>
      <c r="H796" s="12" t="str">
        <f aca="false">IF(INDEX(選手一覧!$G$7:$G$2738,$F796)="","",INDEX(選手一覧!$G$7:$G$2738,$F796))</f>
        <v/>
      </c>
      <c r="I796" s="11" t="n">
        <f aca="false">IF(INDEX(選手一覧!$H$7:$H$2738,$F796)="","",INDEX(選手一覧!$H$7:$H$2738,$F796))</f>
        <v>0.00278055555555556</v>
      </c>
      <c r="J796" s="12" t="n">
        <f aca="false">IF(INDEX(選手一覧!$I$7:$I$2738,$F796)="","",INDEX(選手一覧!$I$7:$I$2738,$F796))</f>
        <v>204</v>
      </c>
    </row>
    <row r="797" customFormat="false" ht="15" hidden="false" customHeight="false" outlineLevel="0" collapsed="false">
      <c r="A797" s="12" t="n">
        <v>793</v>
      </c>
      <c r="B797" s="10" t="s">
        <v>2391</v>
      </c>
      <c r="C797" s="10" t="s">
        <v>286</v>
      </c>
      <c r="D797" s="11" t="n">
        <v>0.0108313657407407</v>
      </c>
      <c r="E797" s="18" t="n">
        <f aca="false">ROUND((D797-$D$5)*86400,2)</f>
        <v>146.09</v>
      </c>
      <c r="F797" s="12" t="n">
        <v>1662</v>
      </c>
      <c r="G797" s="11" t="str">
        <f aca="false">IF(INDEX(選手一覧!$F$7:$F$2738,$F797)="","",INDEX(選手一覧!$F$7:$F$2738,$F797))</f>
        <v/>
      </c>
      <c r="H797" s="12" t="str">
        <f aca="false">IF(INDEX(選手一覧!$G$7:$G$2738,$F797)="","",INDEX(選手一覧!$G$7:$G$2738,$F797))</f>
        <v/>
      </c>
      <c r="I797" s="11" t="str">
        <f aca="false">IF(INDEX(選手一覧!$H$7:$H$2738,$F797)="","",INDEX(選手一覧!$H$7:$H$2738,$F797))</f>
        <v/>
      </c>
      <c r="J797" s="12" t="str">
        <f aca="false">IF(INDEX(選手一覧!$I$7:$I$2738,$F797)="","",INDEX(選手一覧!$I$7:$I$2738,$F797))</f>
        <v/>
      </c>
    </row>
    <row r="798" customFormat="false" ht="15" hidden="false" customHeight="false" outlineLevel="0" collapsed="false">
      <c r="A798" s="12" t="n">
        <v>794</v>
      </c>
      <c r="B798" s="10" t="s">
        <v>217</v>
      </c>
      <c r="C798" s="10" t="s">
        <v>218</v>
      </c>
      <c r="D798" s="11" t="n">
        <v>0.0108314814814815</v>
      </c>
      <c r="E798" s="18" t="n">
        <f aca="false">ROUND((D798-$D$5)*86400,2)</f>
        <v>146.1</v>
      </c>
      <c r="F798" s="12" t="n">
        <v>114</v>
      </c>
      <c r="G798" s="11" t="str">
        <f aca="false">IF(INDEX(選手一覧!$F$7:$F$2738,$F798)="","",INDEX(選手一覧!$F$7:$F$2738,$F798))</f>
        <v/>
      </c>
      <c r="H798" s="12" t="str">
        <f aca="false">IF(INDEX(選手一覧!$G$7:$G$2738,$F798)="","",INDEX(選手一覧!$G$7:$G$2738,$F798))</f>
        <v/>
      </c>
      <c r="I798" s="11" t="n">
        <f aca="false">IF(INDEX(選手一覧!$H$7:$H$2738,$F798)="","",INDEX(選手一覧!$H$7:$H$2738,$F798))</f>
        <v>0.00271527777777778</v>
      </c>
      <c r="J798" s="12" t="n">
        <f aca="false">IF(INDEX(選手一覧!$I$7:$I$2738,$F798)="","",INDEX(選手一覧!$I$7:$I$2738,$F798))</f>
        <v>43</v>
      </c>
    </row>
    <row r="799" customFormat="false" ht="15" hidden="false" customHeight="false" outlineLevel="0" collapsed="false">
      <c r="A799" s="12" t="n">
        <v>795</v>
      </c>
      <c r="B799" s="10" t="s">
        <v>2010</v>
      </c>
      <c r="C799" s="10" t="s">
        <v>577</v>
      </c>
      <c r="D799" s="11" t="n">
        <v>0.0108318287037037</v>
      </c>
      <c r="E799" s="18" t="n">
        <f aca="false">ROUND((D799-$D$5)*86400,2)</f>
        <v>146.13</v>
      </c>
      <c r="F799" s="12" t="n">
        <v>1387</v>
      </c>
      <c r="G799" s="11" t="str">
        <f aca="false">IF(INDEX(選手一覧!$F$7:$F$2738,$F799)="","",INDEX(選手一覧!$F$7:$F$2738,$F799))</f>
        <v/>
      </c>
      <c r="H799" s="12" t="str">
        <f aca="false">IF(INDEX(選手一覧!$G$7:$G$2738,$F799)="","",INDEX(選手一覧!$G$7:$G$2738,$F799))</f>
        <v/>
      </c>
      <c r="I799" s="11" t="n">
        <f aca="false">IF(INDEX(選手一覧!$H$7:$H$2738,$F799)="","",INDEX(選手一覧!$H$7:$H$2738,$F799))</f>
        <v>0.00286261574074074</v>
      </c>
      <c r="J799" s="12" t="n">
        <f aca="false">IF(INDEX(選手一覧!$I$7:$I$2738,$F799)="","",INDEX(選手一覧!$I$7:$I$2738,$F799))</f>
        <v>652</v>
      </c>
    </row>
    <row r="800" customFormat="false" ht="15" hidden="false" customHeight="false" outlineLevel="0" collapsed="false">
      <c r="A800" s="12" t="n">
        <v>796</v>
      </c>
      <c r="B800" s="10" t="s">
        <v>1987</v>
      </c>
      <c r="C800" s="10" t="s">
        <v>254</v>
      </c>
      <c r="D800" s="11" t="n">
        <v>0.0108318287037037</v>
      </c>
      <c r="E800" s="18" t="n">
        <f aca="false">ROUND((D800-$D$5)*86400,2)</f>
        <v>146.13</v>
      </c>
      <c r="F800" s="12" t="n">
        <v>1369</v>
      </c>
      <c r="G800" s="11" t="str">
        <f aca="false">IF(INDEX(選手一覧!$F$7:$F$2738,$F800)="","",INDEX(選手一覧!$F$7:$F$2738,$F800))</f>
        <v/>
      </c>
      <c r="H800" s="12" t="str">
        <f aca="false">IF(INDEX(選手一覧!$G$7:$G$2738,$F800)="","",INDEX(選手一覧!$G$7:$G$2738,$F800))</f>
        <v/>
      </c>
      <c r="I800" s="11" t="n">
        <f aca="false">IF(INDEX(選手一覧!$H$7:$H$2738,$F800)="","",INDEX(選手一覧!$H$7:$H$2738,$F800))</f>
        <v>0.00286180555555556</v>
      </c>
      <c r="J800" s="12" t="n">
        <f aca="false">IF(INDEX(選手一覧!$I$7:$I$2738,$F800)="","",INDEX(選手一覧!$I$7:$I$2738,$F800))</f>
        <v>644</v>
      </c>
    </row>
    <row r="801" customFormat="false" ht="15" hidden="false" customHeight="false" outlineLevel="0" collapsed="false">
      <c r="A801" s="12" t="n">
        <v>797</v>
      </c>
      <c r="B801" s="10" t="s">
        <v>2401</v>
      </c>
      <c r="C801" s="10" t="s">
        <v>2402</v>
      </c>
      <c r="D801" s="11" t="n">
        <v>0.0108321759259259</v>
      </c>
      <c r="E801" s="18" t="n">
        <f aca="false">ROUND((D801-$D$5)*86400,2)</f>
        <v>146.16</v>
      </c>
      <c r="F801" s="12" t="n">
        <v>1669</v>
      </c>
      <c r="G801" s="11" t="str">
        <f aca="false">IF(INDEX(選手一覧!$F$7:$F$2738,$F801)="","",INDEX(選手一覧!$F$7:$F$2738,$F801))</f>
        <v/>
      </c>
      <c r="H801" s="12" t="str">
        <f aca="false">IF(INDEX(選手一覧!$G$7:$G$2738,$F801)="","",INDEX(選手一覧!$G$7:$G$2738,$F801))</f>
        <v/>
      </c>
      <c r="I801" s="11" t="str">
        <f aca="false">IF(INDEX(選手一覧!$H$7:$H$2738,$F801)="","",INDEX(選手一覧!$H$7:$H$2738,$F801))</f>
        <v/>
      </c>
      <c r="J801" s="12" t="str">
        <f aca="false">IF(INDEX(選手一覧!$I$7:$I$2738,$F801)="","",INDEX(選手一覧!$I$7:$I$2738,$F801))</f>
        <v/>
      </c>
    </row>
    <row r="802" customFormat="false" ht="15" hidden="false" customHeight="false" outlineLevel="0" collapsed="false">
      <c r="A802" s="12" t="n">
        <v>798</v>
      </c>
      <c r="B802" s="10" t="s">
        <v>2403</v>
      </c>
      <c r="C802" s="10" t="s">
        <v>307</v>
      </c>
      <c r="D802" s="11" t="n">
        <v>0.0108325231481482</v>
      </c>
      <c r="E802" s="18" t="n">
        <f aca="false">ROUND((D802-$D$5)*86400,2)</f>
        <v>146.19</v>
      </c>
      <c r="F802" s="12" t="n">
        <v>1670</v>
      </c>
      <c r="G802" s="11" t="str">
        <f aca="false">IF(INDEX(選手一覧!$F$7:$F$2738,$F802)="","",INDEX(選手一覧!$F$7:$F$2738,$F802))</f>
        <v/>
      </c>
      <c r="H802" s="12" t="str">
        <f aca="false">IF(INDEX(選手一覧!$G$7:$G$2738,$F802)="","",INDEX(選手一覧!$G$7:$G$2738,$F802))</f>
        <v/>
      </c>
      <c r="I802" s="11" t="str">
        <f aca="false">IF(INDEX(選手一覧!$H$7:$H$2738,$F802)="","",INDEX(選手一覧!$H$7:$H$2738,$F802))</f>
        <v/>
      </c>
      <c r="J802" s="12" t="str">
        <f aca="false">IF(INDEX(選手一覧!$I$7:$I$2738,$F802)="","",INDEX(選手一覧!$I$7:$I$2738,$F802))</f>
        <v/>
      </c>
    </row>
    <row r="803" customFormat="false" ht="15" hidden="false" customHeight="false" outlineLevel="0" collapsed="false">
      <c r="A803" s="12" t="n">
        <v>799</v>
      </c>
      <c r="B803" s="10" t="s">
        <v>591</v>
      </c>
      <c r="C803" s="10" t="s">
        <v>592</v>
      </c>
      <c r="D803" s="11" t="n">
        <v>0.0108329861111111</v>
      </c>
      <c r="E803" s="18" t="n">
        <f aca="false">ROUND((D803-$D$5)*86400,2)</f>
        <v>146.23</v>
      </c>
      <c r="F803" s="12" t="n">
        <v>373</v>
      </c>
      <c r="G803" s="11" t="n">
        <f aca="false">IF(INDEX(選手一覧!$F$7:$F$2738,$F803)="","",INDEX(選手一覧!$F$7:$F$2738,$F803))</f>
        <v>0.00678356481481482</v>
      </c>
      <c r="H803" s="12" t="n">
        <f aca="false">IF(INDEX(選手一覧!$G$7:$G$2738,$F803)="","",INDEX(選手一覧!$G$7:$G$2738,$F803))</f>
        <v>158</v>
      </c>
      <c r="I803" s="11" t="n">
        <f aca="false">IF(INDEX(選手一覧!$H$7:$H$2738,$F803)="","",INDEX(選手一覧!$H$7:$H$2738,$F803))</f>
        <v>0.00286273148148148</v>
      </c>
      <c r="J803" s="12" t="n">
        <f aca="false">IF(INDEX(選手一覧!$I$7:$I$2738,$F803)="","",INDEX(選手一覧!$I$7:$I$2738,$F803))</f>
        <v>655</v>
      </c>
    </row>
    <row r="804" customFormat="false" ht="15" hidden="false" customHeight="false" outlineLevel="0" collapsed="false">
      <c r="A804" s="12" t="n">
        <v>800</v>
      </c>
      <c r="B804" s="10" t="s">
        <v>2407</v>
      </c>
      <c r="C804" s="10" t="s">
        <v>2038</v>
      </c>
      <c r="D804" s="11" t="n">
        <v>0.0108332175925926</v>
      </c>
      <c r="E804" s="18" t="n">
        <f aca="false">ROUND((D804-$D$5)*86400,2)</f>
        <v>146.25</v>
      </c>
      <c r="F804" s="12" t="n">
        <v>1674</v>
      </c>
      <c r="G804" s="11" t="str">
        <f aca="false">IF(INDEX(選手一覧!$F$7:$F$2738,$F804)="","",INDEX(選手一覧!$F$7:$F$2738,$F804))</f>
        <v/>
      </c>
      <c r="H804" s="12" t="str">
        <f aca="false">IF(INDEX(選手一覧!$G$7:$G$2738,$F804)="","",INDEX(選手一覧!$G$7:$G$2738,$F804))</f>
        <v/>
      </c>
      <c r="I804" s="11" t="str">
        <f aca="false">IF(INDEX(選手一覧!$H$7:$H$2738,$F804)="","",INDEX(選手一覧!$H$7:$H$2738,$F804))</f>
        <v/>
      </c>
      <c r="J804" s="12" t="str">
        <f aca="false">IF(INDEX(選手一覧!$I$7:$I$2738,$F804)="","",INDEX(選手一覧!$I$7:$I$2738,$F804))</f>
        <v/>
      </c>
    </row>
    <row r="805" customFormat="false" ht="15" hidden="false" customHeight="false" outlineLevel="0" collapsed="false">
      <c r="A805" s="12" t="n">
        <v>801</v>
      </c>
      <c r="B805" s="10" t="s">
        <v>2412</v>
      </c>
      <c r="C805" s="10" t="s">
        <v>55</v>
      </c>
      <c r="D805" s="11" t="n">
        <v>0.0108334490740741</v>
      </c>
      <c r="E805" s="18" t="n">
        <f aca="false">ROUND((D805-$D$5)*86400,2)</f>
        <v>146.27</v>
      </c>
      <c r="F805" s="12" t="n">
        <v>1678</v>
      </c>
      <c r="G805" s="11" t="str">
        <f aca="false">IF(INDEX(選手一覧!$F$7:$F$2738,$F805)="","",INDEX(選手一覧!$F$7:$F$2738,$F805))</f>
        <v/>
      </c>
      <c r="H805" s="12" t="str">
        <f aca="false">IF(INDEX(選手一覧!$G$7:$G$2738,$F805)="","",INDEX(選手一覧!$G$7:$G$2738,$F805))</f>
        <v/>
      </c>
      <c r="I805" s="11" t="n">
        <f aca="false">IF(INDEX(選手一覧!$H$7:$H$2738,$F805)="","",INDEX(選手一覧!$H$7:$H$2738,$F805))</f>
        <v>0.00292476851851852</v>
      </c>
      <c r="J805" s="12" t="n">
        <f aca="false">IF(INDEX(選手一覧!$I$7:$I$2738,$F805)="","",INDEX(選手一覧!$I$7:$I$2738,$F805))</f>
        <v>1144</v>
      </c>
    </row>
    <row r="806" customFormat="false" ht="15" hidden="false" customHeight="false" outlineLevel="0" collapsed="false">
      <c r="A806" s="12" t="n">
        <v>802</v>
      </c>
      <c r="B806" s="10" t="s">
        <v>2415</v>
      </c>
      <c r="C806" s="10" t="s">
        <v>549</v>
      </c>
      <c r="D806" s="11" t="n">
        <v>0.0108364583333333</v>
      </c>
      <c r="E806" s="18" t="n">
        <f aca="false">ROUND((D806-$D$5)*86400,2)</f>
        <v>146.53</v>
      </c>
      <c r="F806" s="12" t="n">
        <v>1680</v>
      </c>
      <c r="G806" s="11" t="str">
        <f aca="false">IF(INDEX(選手一覧!$F$7:$F$2738,$F806)="","",INDEX(選手一覧!$F$7:$F$2738,$F806))</f>
        <v/>
      </c>
      <c r="H806" s="12" t="str">
        <f aca="false">IF(INDEX(選手一覧!$G$7:$G$2738,$F806)="","",INDEX(選手一覧!$G$7:$G$2738,$F806))</f>
        <v/>
      </c>
      <c r="I806" s="11" t="str">
        <f aca="false">IF(INDEX(選手一覧!$H$7:$H$2738,$F806)="","",INDEX(選手一覧!$H$7:$H$2738,$F806))</f>
        <v/>
      </c>
      <c r="J806" s="12" t="str">
        <f aca="false">IF(INDEX(選手一覧!$I$7:$I$2738,$F806)="","",INDEX(選手一覧!$I$7:$I$2738,$F806))</f>
        <v/>
      </c>
    </row>
    <row r="807" customFormat="false" ht="15" hidden="false" customHeight="false" outlineLevel="0" collapsed="false">
      <c r="A807" s="12" t="n">
        <v>803</v>
      </c>
      <c r="B807" s="10" t="s">
        <v>684</v>
      </c>
      <c r="C807" s="10" t="s">
        <v>685</v>
      </c>
      <c r="D807" s="11" t="n">
        <v>0.0108366898148148</v>
      </c>
      <c r="E807" s="18" t="n">
        <f aca="false">ROUND((D807-$D$5)*86400,2)</f>
        <v>146.55</v>
      </c>
      <c r="F807" s="12" t="n">
        <v>438</v>
      </c>
      <c r="G807" s="11" t="n">
        <f aca="false">IF(INDEX(選手一覧!$F$7:$F$2738,$F807)="","",INDEX(選手一覧!$F$7:$F$2738,$F807))</f>
        <v>0.00681701388888889</v>
      </c>
      <c r="H807" s="12" t="n">
        <f aca="false">IF(INDEX(選手一覧!$G$7:$G$2738,$F807)="","",INDEX(選手一覧!$G$7:$G$2738,$F807))</f>
        <v>184</v>
      </c>
      <c r="I807" s="11" t="str">
        <f aca="false">IF(INDEX(選手一覧!$H$7:$H$2738,$F807)="","",INDEX(選手一覧!$H$7:$H$2738,$F807))</f>
        <v/>
      </c>
      <c r="J807" s="12" t="str">
        <f aca="false">IF(INDEX(選手一覧!$I$7:$I$2738,$F807)="","",INDEX(選手一覧!$I$7:$I$2738,$F807))</f>
        <v/>
      </c>
    </row>
    <row r="808" customFormat="false" ht="15" hidden="false" customHeight="false" outlineLevel="0" collapsed="false">
      <c r="A808" s="12" t="n">
        <v>804</v>
      </c>
      <c r="B808" s="10" t="s">
        <v>580</v>
      </c>
      <c r="C808" s="10" t="s">
        <v>581</v>
      </c>
      <c r="D808" s="11" t="n">
        <v>0.0108369212962963</v>
      </c>
      <c r="E808" s="18" t="n">
        <f aca="false">ROUND((D808-$D$5)*86400,2)</f>
        <v>146.57</v>
      </c>
      <c r="F808" s="12" t="n">
        <v>366</v>
      </c>
      <c r="G808" s="11" t="n">
        <f aca="false">IF(INDEX(選手一覧!$F$7:$F$2738,$F808)="","",INDEX(選手一覧!$F$7:$F$2738,$F808))</f>
        <v>0.00677928240740741</v>
      </c>
      <c r="H808" s="12" t="n">
        <f aca="false">IF(INDEX(選手一覧!$G$7:$G$2738,$F808)="","",INDEX(選手一覧!$G$7:$G$2738,$F808))</f>
        <v>154</v>
      </c>
      <c r="I808" s="11" t="str">
        <f aca="false">IF(INDEX(選手一覧!$H$7:$H$2738,$F808)="","",INDEX(選手一覧!$H$7:$H$2738,$F808))</f>
        <v/>
      </c>
      <c r="J808" s="12" t="str">
        <f aca="false">IF(INDEX(選手一覧!$I$7:$I$2738,$F808)="","",INDEX(選手一覧!$I$7:$I$2738,$F808))</f>
        <v/>
      </c>
    </row>
    <row r="809" customFormat="false" ht="15" hidden="false" customHeight="false" outlineLevel="0" collapsed="false">
      <c r="A809" s="12" t="n">
        <v>805</v>
      </c>
      <c r="B809" s="10" t="s">
        <v>1502</v>
      </c>
      <c r="C809" s="10" t="s">
        <v>588</v>
      </c>
      <c r="D809" s="11" t="n">
        <v>0.0108373842592593</v>
      </c>
      <c r="E809" s="18" t="n">
        <f aca="false">ROUND((D809-$D$5)*86400,2)</f>
        <v>146.61</v>
      </c>
      <c r="F809" s="12" t="n">
        <v>1032</v>
      </c>
      <c r="G809" s="11" t="n">
        <f aca="false">IF(INDEX(選手一覧!$F$7:$F$2738,$F809)="","",INDEX(選手一覧!$F$7:$F$2738,$F809))</f>
        <v>0.00711782407407407</v>
      </c>
      <c r="H809" s="12" t="n">
        <f aca="false">IF(INDEX(選手一覧!$G$7:$G$2738,$F809)="","",INDEX(選手一覧!$G$7:$G$2738,$F809))</f>
        <v>464</v>
      </c>
      <c r="I809" s="11" t="n">
        <f aca="false">IF(INDEX(選手一覧!$H$7:$H$2738,$F809)="","",INDEX(選手一覧!$H$7:$H$2738,$F809))</f>
        <v>0.002925</v>
      </c>
      <c r="J809" s="12" t="n">
        <f aca="false">IF(INDEX(選手一覧!$I$7:$I$2738,$F809)="","",INDEX(選手一覧!$I$7:$I$2738,$F809))</f>
        <v>1149</v>
      </c>
    </row>
    <row r="810" customFormat="false" ht="15" hidden="false" customHeight="false" outlineLevel="0" collapsed="false">
      <c r="A810" s="12" t="n">
        <v>806</v>
      </c>
      <c r="B810" s="10" t="s">
        <v>2421</v>
      </c>
      <c r="C810" s="10" t="s">
        <v>440</v>
      </c>
      <c r="D810" s="11" t="n">
        <v>0.0108377314814815</v>
      </c>
      <c r="E810" s="18" t="n">
        <f aca="false">ROUND((D810-$D$5)*86400,2)</f>
        <v>146.64</v>
      </c>
      <c r="F810" s="12" t="n">
        <v>1685</v>
      </c>
      <c r="G810" s="11" t="str">
        <f aca="false">IF(INDEX(選手一覧!$F$7:$F$2738,$F810)="","",INDEX(選手一覧!$F$7:$F$2738,$F810))</f>
        <v/>
      </c>
      <c r="H810" s="12" t="str">
        <f aca="false">IF(INDEX(選手一覧!$G$7:$G$2738,$F810)="","",INDEX(選手一覧!$G$7:$G$2738,$F810))</f>
        <v/>
      </c>
      <c r="I810" s="11" t="n">
        <f aca="false">IF(INDEX(選手一覧!$H$7:$H$2738,$F810)="","",INDEX(選手一覧!$H$7:$H$2738,$F810))</f>
        <v>0.00297685185185185</v>
      </c>
      <c r="J810" s="12" t="n">
        <f aca="false">IF(INDEX(選手一覧!$I$7:$I$2738,$F810)="","",INDEX(選手一覧!$I$7:$I$2738,$F810))</f>
        <v>1340</v>
      </c>
    </row>
    <row r="811" customFormat="false" ht="15" hidden="false" customHeight="false" outlineLevel="0" collapsed="false">
      <c r="A811" s="12" t="n">
        <v>807</v>
      </c>
      <c r="B811" s="10" t="s">
        <v>2425</v>
      </c>
      <c r="C811" s="10" t="s">
        <v>254</v>
      </c>
      <c r="D811" s="11" t="n">
        <v>0.0108380787037037</v>
      </c>
      <c r="E811" s="18" t="n">
        <f aca="false">ROUND((D811-$D$5)*86400,2)</f>
        <v>146.67</v>
      </c>
      <c r="F811" s="12" t="n">
        <v>1688</v>
      </c>
      <c r="G811" s="11" t="str">
        <f aca="false">IF(INDEX(選手一覧!$F$7:$F$2738,$F811)="","",INDEX(選手一覧!$F$7:$F$2738,$F811))</f>
        <v/>
      </c>
      <c r="H811" s="12" t="str">
        <f aca="false">IF(INDEX(選手一覧!$G$7:$G$2738,$F811)="","",INDEX(選手一覧!$G$7:$G$2738,$F811))</f>
        <v/>
      </c>
      <c r="I811" s="11" t="str">
        <f aca="false">IF(INDEX(選手一覧!$H$7:$H$2738,$F811)="","",INDEX(選手一覧!$H$7:$H$2738,$F811))</f>
        <v/>
      </c>
      <c r="J811" s="12" t="str">
        <f aca="false">IF(INDEX(選手一覧!$I$7:$I$2738,$F811)="","",INDEX(選手一覧!$I$7:$I$2738,$F811))</f>
        <v/>
      </c>
    </row>
    <row r="812" customFormat="false" ht="15" hidden="false" customHeight="false" outlineLevel="0" collapsed="false">
      <c r="A812" s="12" t="n">
        <v>808</v>
      </c>
      <c r="B812" s="10" t="s">
        <v>1339</v>
      </c>
      <c r="C812" s="10" t="s">
        <v>1283</v>
      </c>
      <c r="D812" s="11" t="n">
        <v>0.0108384259259259</v>
      </c>
      <c r="E812" s="18" t="n">
        <f aca="false">ROUND((D812-$D$5)*86400,2)</f>
        <v>146.7</v>
      </c>
      <c r="F812" s="12" t="n">
        <v>911</v>
      </c>
      <c r="G812" s="11" t="n">
        <f aca="false">IF(INDEX(選手一覧!$F$7:$F$2738,$F812)="","",INDEX(選手一覧!$F$7:$F$2738,$F812))</f>
        <v>0.00706446759259259</v>
      </c>
      <c r="H812" s="12" t="n">
        <f aca="false">IF(INDEX(選手一覧!$G$7:$G$2738,$F812)="","",INDEX(選手一覧!$G$7:$G$2738,$F812))</f>
        <v>407</v>
      </c>
      <c r="I812" s="11" t="n">
        <f aca="false">IF(INDEX(選手一覧!$H$7:$H$2738,$F812)="","",INDEX(選手一覧!$H$7:$H$2738,$F812))</f>
        <v>0.00285393518518519</v>
      </c>
      <c r="J812" s="12" t="n">
        <f aca="false">IF(INDEX(選手一覧!$I$7:$I$2738,$F812)="","",INDEX(選手一覧!$I$7:$I$2738,$F812))</f>
        <v>592</v>
      </c>
    </row>
    <row r="813" customFormat="false" ht="15" hidden="false" customHeight="false" outlineLevel="0" collapsed="false">
      <c r="A813" s="12" t="n">
        <v>809</v>
      </c>
      <c r="B813" s="10" t="s">
        <v>2432</v>
      </c>
      <c r="C813" s="10" t="s">
        <v>577</v>
      </c>
      <c r="D813" s="11" t="n">
        <v>0.0108385416666667</v>
      </c>
      <c r="E813" s="18" t="n">
        <f aca="false">ROUND((D813-$D$5)*86400,2)</f>
        <v>146.71</v>
      </c>
      <c r="F813" s="12" t="n">
        <v>1693</v>
      </c>
      <c r="G813" s="11" t="str">
        <f aca="false">IF(INDEX(選手一覧!$F$7:$F$2738,$F813)="","",INDEX(選手一覧!$F$7:$F$2738,$F813))</f>
        <v/>
      </c>
      <c r="H813" s="12" t="str">
        <f aca="false">IF(INDEX(選手一覧!$G$7:$G$2738,$F813)="","",INDEX(選手一覧!$G$7:$G$2738,$F813))</f>
        <v/>
      </c>
      <c r="I813" s="11" t="str">
        <f aca="false">IF(INDEX(選手一覧!$H$7:$H$2738,$F813)="","",INDEX(選手一覧!$H$7:$H$2738,$F813))</f>
        <v/>
      </c>
      <c r="J813" s="12" t="str">
        <f aca="false">IF(INDEX(選手一覧!$I$7:$I$2738,$F813)="","",INDEX(選手一覧!$I$7:$I$2738,$F813))</f>
        <v/>
      </c>
    </row>
    <row r="814" customFormat="false" ht="15" hidden="false" customHeight="false" outlineLevel="0" collapsed="false">
      <c r="A814" s="12" t="n">
        <v>810</v>
      </c>
      <c r="B814" s="10" t="s">
        <v>1308</v>
      </c>
      <c r="C814" s="10" t="s">
        <v>1309</v>
      </c>
      <c r="D814" s="11" t="n">
        <v>0.0108386574074074</v>
      </c>
      <c r="E814" s="18" t="n">
        <f aca="false">ROUND((D814-$D$5)*86400,2)</f>
        <v>146.72</v>
      </c>
      <c r="F814" s="12" t="n">
        <v>890</v>
      </c>
      <c r="G814" s="11" t="str">
        <f aca="false">IF(INDEX(選手一覧!$F$7:$F$2738,$F814)="","",INDEX(選手一覧!$F$7:$F$2738,$F814))</f>
        <v/>
      </c>
      <c r="H814" s="12" t="str">
        <f aca="false">IF(INDEX(選手一覧!$G$7:$G$2738,$F814)="","",INDEX(選手一覧!$G$7:$G$2738,$F814))</f>
        <v/>
      </c>
      <c r="I814" s="11" t="n">
        <f aca="false">IF(INDEX(選手一覧!$H$7:$H$2738,$F814)="","",INDEX(選手一覧!$H$7:$H$2738,$F814))</f>
        <v>0.00282546296296296</v>
      </c>
      <c r="J814" s="12" t="n">
        <f aca="false">IF(INDEX(選手一覧!$I$7:$I$2738,$F814)="","",INDEX(選手一覧!$I$7:$I$2738,$F814))</f>
        <v>396</v>
      </c>
    </row>
    <row r="815" customFormat="false" ht="15" hidden="false" customHeight="false" outlineLevel="0" collapsed="false">
      <c r="A815" s="12" t="n">
        <v>811</v>
      </c>
      <c r="B815" s="10" t="s">
        <v>2006</v>
      </c>
      <c r="C815" s="10" t="s">
        <v>490</v>
      </c>
      <c r="D815" s="11" t="n">
        <v>0.0108391203703704</v>
      </c>
      <c r="E815" s="18" t="n">
        <f aca="false">ROUND((D815-$D$5)*86400,2)</f>
        <v>146.76</v>
      </c>
      <c r="F815" s="12" t="n">
        <v>1384</v>
      </c>
      <c r="G815" s="11" t="str">
        <f aca="false">IF(INDEX(選手一覧!$F$7:$F$2738,$F815)="","",INDEX(選手一覧!$F$7:$F$2738,$F815))</f>
        <v/>
      </c>
      <c r="H815" s="12" t="str">
        <f aca="false">IF(INDEX(選手一覧!$G$7:$G$2738,$F815)="","",INDEX(選手一覧!$G$7:$G$2738,$F815))</f>
        <v/>
      </c>
      <c r="I815" s="11" t="n">
        <f aca="false">IF(INDEX(選手一覧!$H$7:$H$2738,$F815)="","",INDEX(選手一覧!$H$7:$H$2738,$F815))</f>
        <v>0.0028625</v>
      </c>
      <c r="J815" s="12" t="n">
        <f aca="false">IF(INDEX(選手一覧!$I$7:$I$2738,$F815)="","",INDEX(選手一覧!$I$7:$I$2738,$F815))</f>
        <v>651</v>
      </c>
    </row>
    <row r="816" customFormat="false" ht="15" hidden="false" customHeight="false" outlineLevel="0" collapsed="false">
      <c r="A816" s="12" t="n">
        <v>812</v>
      </c>
      <c r="B816" s="10" t="s">
        <v>1378</v>
      </c>
      <c r="C816" s="10" t="s">
        <v>564</v>
      </c>
      <c r="D816" s="11" t="n">
        <v>0.0108391203703704</v>
      </c>
      <c r="E816" s="18" t="n">
        <f aca="false">ROUND((D816-$D$5)*86400,2)</f>
        <v>146.76</v>
      </c>
      <c r="F816" s="12" t="n">
        <v>938</v>
      </c>
      <c r="G816" s="11" t="n">
        <f aca="false">IF(INDEX(選手一覧!$F$7:$F$2738,$F816)="","",INDEX(選手一覧!$F$7:$F$2738,$F816))</f>
        <v>0.00707430555555556</v>
      </c>
      <c r="H816" s="12" t="n">
        <f aca="false">IF(INDEX(選手一覧!$G$7:$G$2738,$F816)="","",INDEX(選手一覧!$G$7:$G$2738,$F816))</f>
        <v>420</v>
      </c>
      <c r="I816" s="11" t="n">
        <f aca="false">IF(INDEX(選手一覧!$H$7:$H$2738,$F816)="","",INDEX(選手一覧!$H$7:$H$2738,$F816))</f>
        <v>0.00292395833333333</v>
      </c>
      <c r="J816" s="12" t="n">
        <f aca="false">IF(INDEX(選手一覧!$I$7:$I$2738,$F816)="","",INDEX(選手一覧!$I$7:$I$2738,$F816))</f>
        <v>1136</v>
      </c>
    </row>
    <row r="817" customFormat="false" ht="15" hidden="false" customHeight="false" outlineLevel="0" collapsed="false">
      <c r="A817" s="12" t="n">
        <v>813</v>
      </c>
      <c r="B817" s="10" t="s">
        <v>2400</v>
      </c>
      <c r="C817" s="10" t="s">
        <v>1166</v>
      </c>
      <c r="D817" s="11" t="n">
        <v>0.0108391203703704</v>
      </c>
      <c r="E817" s="18" t="n">
        <f aca="false">ROUND((D817-$D$5)*86400,2)</f>
        <v>146.76</v>
      </c>
      <c r="F817" s="12" t="n">
        <v>1668</v>
      </c>
      <c r="G817" s="11" t="n">
        <f aca="false">IF(INDEX(選手一覧!$F$7:$F$2738,$F817)="","",INDEX(選手一覧!$F$7:$F$2738,$F817))</f>
        <v>0.00742210648148148</v>
      </c>
      <c r="H817" s="12" t="n">
        <f aca="false">IF(INDEX(選手一覧!$G$7:$G$2738,$F817)="","",INDEX(選手一覧!$G$7:$G$2738,$F817))</f>
        <v>797</v>
      </c>
      <c r="I817" s="11" t="str">
        <f aca="false">IF(INDEX(選手一覧!$H$7:$H$2738,$F817)="","",INDEX(選手一覧!$H$7:$H$2738,$F817))</f>
        <v/>
      </c>
      <c r="J817" s="12" t="str">
        <f aca="false">IF(INDEX(選手一覧!$I$7:$I$2738,$F817)="","",INDEX(選手一覧!$I$7:$I$2738,$F817))</f>
        <v/>
      </c>
    </row>
    <row r="818" customFormat="false" ht="15" hidden="false" customHeight="false" outlineLevel="0" collapsed="false">
      <c r="A818" s="12" t="n">
        <v>814</v>
      </c>
      <c r="B818" s="10" t="s">
        <v>1980</v>
      </c>
      <c r="C818" s="10" t="s">
        <v>848</v>
      </c>
      <c r="D818" s="11" t="n">
        <v>0.0108413194444445</v>
      </c>
      <c r="E818" s="18" t="n">
        <f aca="false">ROUND((D818-$D$5)*86400,2)</f>
        <v>146.95</v>
      </c>
      <c r="F818" s="12" t="n">
        <v>1364</v>
      </c>
      <c r="G818" s="11" t="str">
        <f aca="false">IF(INDEX(選手一覧!$F$7:$F$2738,$F818)="","",INDEX(選手一覧!$F$7:$F$2738,$F818))</f>
        <v/>
      </c>
      <c r="H818" s="12" t="str">
        <f aca="false">IF(INDEX(選手一覧!$G$7:$G$2738,$F818)="","",INDEX(選手一覧!$G$7:$G$2738,$F818))</f>
        <v/>
      </c>
      <c r="I818" s="11" t="n">
        <f aca="false">IF(INDEX(選手一覧!$H$7:$H$2738,$F818)="","",INDEX(選手一覧!$H$7:$H$2738,$F818))</f>
        <v>0.00286111111111111</v>
      </c>
      <c r="J818" s="12" t="n">
        <f aca="false">IF(INDEX(選手一覧!$I$7:$I$2738,$F818)="","",INDEX(選手一覧!$I$7:$I$2738,$F818))</f>
        <v>641</v>
      </c>
    </row>
    <row r="819" customFormat="false" ht="15" hidden="false" customHeight="false" outlineLevel="0" collapsed="false">
      <c r="A819" s="12" t="n">
        <v>815</v>
      </c>
      <c r="B819" s="10" t="s">
        <v>1141</v>
      </c>
      <c r="C819" s="10" t="s">
        <v>79</v>
      </c>
      <c r="D819" s="11" t="n">
        <v>0.0108413194444445</v>
      </c>
      <c r="E819" s="18" t="n">
        <f aca="false">ROUND((D819-$D$5)*86400,2)</f>
        <v>146.95</v>
      </c>
      <c r="F819" s="12" t="n">
        <v>770</v>
      </c>
      <c r="G819" s="11" t="n">
        <f aca="false">IF(INDEX(選手一覧!$F$7:$F$2738,$F819)="","",INDEX(選手一覧!$F$7:$F$2738,$F819))</f>
        <v>0.00699918981481482</v>
      </c>
      <c r="H819" s="12" t="n">
        <f aca="false">IF(INDEX(選手一覧!$G$7:$G$2738,$F819)="","",INDEX(選手一覧!$G$7:$G$2738,$F819))</f>
        <v>334</v>
      </c>
      <c r="I819" s="11" t="n">
        <f aca="false">IF(INDEX(選手一覧!$H$7:$H$2738,$F819)="","",INDEX(選手一覧!$H$7:$H$2738,$F819))</f>
        <v>0.002828125</v>
      </c>
      <c r="J819" s="12" t="n">
        <f aca="false">IF(INDEX(選手一覧!$I$7:$I$2738,$F819)="","",INDEX(選手一覧!$I$7:$I$2738,$F819))</f>
        <v>412</v>
      </c>
    </row>
    <row r="820" customFormat="false" ht="15" hidden="false" customHeight="false" outlineLevel="0" collapsed="false">
      <c r="A820" s="12" t="n">
        <v>816</v>
      </c>
      <c r="B820" s="10" t="s">
        <v>2450</v>
      </c>
      <c r="C820" s="10" t="s">
        <v>254</v>
      </c>
      <c r="D820" s="11" t="n">
        <v>0.0108416666666667</v>
      </c>
      <c r="E820" s="18" t="n">
        <f aca="false">ROUND((D820-$D$5)*86400,2)</f>
        <v>146.98</v>
      </c>
      <c r="F820" s="12" t="n">
        <v>1704</v>
      </c>
      <c r="G820" s="11" t="str">
        <f aca="false">IF(INDEX(選手一覧!$F$7:$F$2738,$F820)="","",INDEX(選手一覧!$F$7:$F$2738,$F820))</f>
        <v/>
      </c>
      <c r="H820" s="12" t="str">
        <f aca="false">IF(INDEX(選手一覧!$G$7:$G$2738,$F820)="","",INDEX(選手一覧!$G$7:$G$2738,$F820))</f>
        <v/>
      </c>
      <c r="I820" s="11" t="n">
        <f aca="false">IF(INDEX(選手一覧!$H$7:$H$2738,$F820)="","",INDEX(選手一覧!$H$7:$H$2738,$F820))</f>
        <v>0.00289988425925926</v>
      </c>
      <c r="J820" s="12" t="n">
        <f aca="false">IF(INDEX(選手一覧!$I$7:$I$2738,$F820)="","",INDEX(選手一覧!$I$7:$I$2738,$F820))</f>
        <v>947</v>
      </c>
    </row>
    <row r="821" customFormat="false" ht="15" hidden="false" customHeight="false" outlineLevel="0" collapsed="false">
      <c r="A821" s="12" t="n">
        <v>817</v>
      </c>
      <c r="B821" s="10" t="s">
        <v>2454</v>
      </c>
      <c r="C821" s="10" t="s">
        <v>712</v>
      </c>
      <c r="D821" s="11" t="n">
        <v>0.0108423611111111</v>
      </c>
      <c r="E821" s="18" t="n">
        <f aca="false">ROUND((D821-$D$5)*86400,2)</f>
        <v>147.04</v>
      </c>
      <c r="F821" s="12" t="n">
        <v>1708</v>
      </c>
      <c r="G821" s="11" t="str">
        <f aca="false">IF(INDEX(選手一覧!$F$7:$F$2738,$F821)="","",INDEX(選手一覧!$F$7:$F$2738,$F821))</f>
        <v/>
      </c>
      <c r="H821" s="12" t="str">
        <f aca="false">IF(INDEX(選手一覧!$G$7:$G$2738,$F821)="","",INDEX(選手一覧!$G$7:$G$2738,$F821))</f>
        <v/>
      </c>
      <c r="I821" s="11" t="str">
        <f aca="false">IF(INDEX(選手一覧!$H$7:$H$2738,$F821)="","",INDEX(選手一覧!$H$7:$H$2738,$F821))</f>
        <v/>
      </c>
      <c r="J821" s="12" t="str">
        <f aca="false">IF(INDEX(選手一覧!$I$7:$I$2738,$F821)="","",INDEX(選手一覧!$I$7:$I$2738,$F821))</f>
        <v/>
      </c>
    </row>
    <row r="822" customFormat="false" ht="15" hidden="false" customHeight="false" outlineLevel="0" collapsed="false">
      <c r="A822" s="12" t="n">
        <v>818</v>
      </c>
      <c r="B822" s="10" t="s">
        <v>1333</v>
      </c>
      <c r="C822" s="10" t="s">
        <v>1334</v>
      </c>
      <c r="D822" s="11" t="n">
        <v>0.0108424768518519</v>
      </c>
      <c r="E822" s="18" t="n">
        <f aca="false">ROUND((D822-$D$5)*86400,2)</f>
        <v>147.05</v>
      </c>
      <c r="F822" s="12" t="n">
        <v>907</v>
      </c>
      <c r="G822" s="11" t="str">
        <f aca="false">IF(INDEX(選手一覧!$F$7:$F$2738,$F822)="","",INDEX(選手一覧!$F$7:$F$2738,$F822))</f>
        <v/>
      </c>
      <c r="H822" s="12" t="str">
        <f aca="false">IF(INDEX(選手一覧!$G$7:$G$2738,$F822)="","",INDEX(選手一覧!$G$7:$G$2738,$F822))</f>
        <v/>
      </c>
      <c r="I822" s="11" t="n">
        <f aca="false">IF(INDEX(選手一覧!$H$7:$H$2738,$F822)="","",INDEX(選手一覧!$H$7:$H$2738,$F822))</f>
        <v>0.00282708333333333</v>
      </c>
      <c r="J822" s="12" t="n">
        <f aca="false">IF(INDEX(選手一覧!$I$7:$I$2738,$F822)="","",INDEX(選手一覧!$I$7:$I$2738,$F822))</f>
        <v>405</v>
      </c>
    </row>
    <row r="823" customFormat="false" ht="15" hidden="false" customHeight="false" outlineLevel="0" collapsed="false">
      <c r="A823" s="12" t="n">
        <v>819</v>
      </c>
      <c r="B823" s="10" t="s">
        <v>2459</v>
      </c>
      <c r="C823" s="10" t="s">
        <v>29</v>
      </c>
      <c r="D823" s="11" t="n">
        <v>0.0108434027777778</v>
      </c>
      <c r="E823" s="18" t="n">
        <f aca="false">ROUND((D823-$D$5)*86400,2)</f>
        <v>147.13</v>
      </c>
      <c r="F823" s="12" t="n">
        <v>1712</v>
      </c>
      <c r="G823" s="11" t="str">
        <f aca="false">IF(INDEX(選手一覧!$F$7:$F$2738,$F823)="","",INDEX(選手一覧!$F$7:$F$2738,$F823))</f>
        <v/>
      </c>
      <c r="H823" s="12" t="str">
        <f aca="false">IF(INDEX(選手一覧!$G$7:$G$2738,$F823)="","",INDEX(選手一覧!$G$7:$G$2738,$F823))</f>
        <v/>
      </c>
      <c r="I823" s="11" t="str">
        <f aca="false">IF(INDEX(選手一覧!$H$7:$H$2738,$F823)="","",INDEX(選手一覧!$H$7:$H$2738,$F823))</f>
        <v/>
      </c>
      <c r="J823" s="12" t="str">
        <f aca="false">IF(INDEX(選手一覧!$I$7:$I$2738,$F823)="","",INDEX(選手一覧!$I$7:$I$2738,$F823))</f>
        <v/>
      </c>
    </row>
    <row r="824" customFormat="false" ht="15" hidden="false" customHeight="false" outlineLevel="0" collapsed="false">
      <c r="A824" s="12" t="n">
        <v>820</v>
      </c>
      <c r="B824" s="10" t="s">
        <v>2462</v>
      </c>
      <c r="C824" s="10" t="s">
        <v>2463</v>
      </c>
      <c r="D824" s="11" t="n">
        <v>0.0108435185185185</v>
      </c>
      <c r="E824" s="18" t="n">
        <f aca="false">ROUND((D824-$D$5)*86400,2)</f>
        <v>147.14</v>
      </c>
      <c r="F824" s="12" t="n">
        <v>1714</v>
      </c>
      <c r="G824" s="11" t="str">
        <f aca="false">IF(INDEX(選手一覧!$F$7:$F$2738,$F824)="","",INDEX(選手一覧!$F$7:$F$2738,$F824))</f>
        <v/>
      </c>
      <c r="H824" s="12" t="str">
        <f aca="false">IF(INDEX(選手一覧!$G$7:$G$2738,$F824)="","",INDEX(選手一覧!$G$7:$G$2738,$F824))</f>
        <v/>
      </c>
      <c r="I824" s="11" t="n">
        <f aca="false">IF(INDEX(選手一覧!$H$7:$H$2738,$F824)="","",INDEX(選手一覧!$H$7:$H$2738,$F824))</f>
        <v>0.00290208333333333</v>
      </c>
      <c r="J824" s="12" t="n">
        <f aca="false">IF(INDEX(選手一覧!$I$7:$I$2738,$F824)="","",INDEX(選手一覧!$I$7:$I$2738,$F824))</f>
        <v>965</v>
      </c>
    </row>
    <row r="825" customFormat="false" ht="15" hidden="false" customHeight="false" outlineLevel="0" collapsed="false">
      <c r="A825" s="12" t="n">
        <v>821</v>
      </c>
      <c r="B825" s="10" t="s">
        <v>1665</v>
      </c>
      <c r="C825" s="10" t="s">
        <v>523</v>
      </c>
      <c r="D825" s="11" t="n">
        <v>0.0108438657407407</v>
      </c>
      <c r="E825" s="18" t="n">
        <f aca="false">ROUND((D825-$D$5)*86400,2)</f>
        <v>147.17</v>
      </c>
      <c r="F825" s="12" t="n">
        <v>1147</v>
      </c>
      <c r="G825" s="11" t="n">
        <f aca="false">IF(INDEX(選手一覧!$F$7:$F$2738,$F825)="","",INDEX(選手一覧!$F$7:$F$2738,$F825))</f>
        <v>0.00718460648148148</v>
      </c>
      <c r="H825" s="12" t="n">
        <f aca="false">IF(INDEX(選手一覧!$G$7:$G$2738,$F825)="","",INDEX(選手一覧!$G$7:$G$2738,$F825))</f>
        <v>523</v>
      </c>
      <c r="I825" s="11" t="str">
        <f aca="false">IF(INDEX(選手一覧!$H$7:$H$2738,$F825)="","",INDEX(選手一覧!$H$7:$H$2738,$F825))</f>
        <v/>
      </c>
      <c r="J825" s="12" t="str">
        <f aca="false">IF(INDEX(選手一覧!$I$7:$I$2738,$F825)="","",INDEX(選手一覧!$I$7:$I$2738,$F825))</f>
        <v/>
      </c>
    </row>
    <row r="826" customFormat="false" ht="15" hidden="false" customHeight="false" outlineLevel="0" collapsed="false">
      <c r="A826" s="12" t="n">
        <v>822</v>
      </c>
      <c r="B826" s="10" t="s">
        <v>2466</v>
      </c>
      <c r="C826" s="10" t="s">
        <v>861</v>
      </c>
      <c r="D826" s="11" t="n">
        <v>0.0108439814814815</v>
      </c>
      <c r="E826" s="18" t="n">
        <f aca="false">ROUND((D826-$D$5)*86400,2)</f>
        <v>147.18</v>
      </c>
      <c r="F826" s="12" t="n">
        <v>1717</v>
      </c>
      <c r="G826" s="11" t="str">
        <f aca="false">IF(INDEX(選手一覧!$F$7:$F$2738,$F826)="","",INDEX(選手一覧!$F$7:$F$2738,$F826))</f>
        <v/>
      </c>
      <c r="H826" s="12" t="str">
        <f aca="false">IF(INDEX(選手一覧!$G$7:$G$2738,$F826)="","",INDEX(選手一覧!$G$7:$G$2738,$F826))</f>
        <v/>
      </c>
      <c r="I826" s="11" t="str">
        <f aca="false">IF(INDEX(選手一覧!$H$7:$H$2738,$F826)="","",INDEX(選手一覧!$H$7:$H$2738,$F826))</f>
        <v/>
      </c>
      <c r="J826" s="12" t="str">
        <f aca="false">IF(INDEX(選手一覧!$I$7:$I$2738,$F826)="","",INDEX(選手一覧!$I$7:$I$2738,$F826))</f>
        <v/>
      </c>
    </row>
    <row r="827" customFormat="false" ht="15" hidden="false" customHeight="false" outlineLevel="0" collapsed="false">
      <c r="A827" s="12" t="n">
        <v>823</v>
      </c>
      <c r="B827" s="10" t="s">
        <v>772</v>
      </c>
      <c r="C827" s="10" t="s">
        <v>652</v>
      </c>
      <c r="D827" s="11" t="n">
        <v>0.0108439814814815</v>
      </c>
      <c r="E827" s="18" t="n">
        <f aca="false">ROUND((D827-$D$5)*86400,2)</f>
        <v>147.18</v>
      </c>
      <c r="F827" s="12" t="n">
        <v>499</v>
      </c>
      <c r="G827" s="11" t="n">
        <f aca="false">IF(INDEX(選手一覧!$F$7:$F$2738,$F827)="","",INDEX(選手一覧!$F$7:$F$2738,$F827))</f>
        <v>0.00686076388888889</v>
      </c>
      <c r="H827" s="12" t="n">
        <f aca="false">IF(INDEX(選手一覧!$G$7:$G$2738,$F827)="","",INDEX(選手一覧!$G$7:$G$2738,$F827))</f>
        <v>210</v>
      </c>
      <c r="I827" s="11" t="n">
        <f aca="false">IF(INDEX(選手一覧!$H$7:$H$2738,$F827)="","",INDEX(選手一覧!$H$7:$H$2738,$F827))</f>
        <v>0.00279305555555556</v>
      </c>
      <c r="J827" s="12" t="n">
        <f aca="false">IF(INDEX(選手一覧!$I$7:$I$2738,$F827)="","",INDEX(選手一覧!$I$7:$I$2738,$F827))</f>
        <v>250</v>
      </c>
    </row>
    <row r="828" customFormat="false" ht="15" hidden="false" customHeight="false" outlineLevel="0" collapsed="false">
      <c r="A828" s="12" t="n">
        <v>824</v>
      </c>
      <c r="B828" s="10" t="s">
        <v>2472</v>
      </c>
      <c r="C828" s="10" t="s">
        <v>1628</v>
      </c>
      <c r="D828" s="11" t="n">
        <v>0.0108440972222222</v>
      </c>
      <c r="E828" s="18" t="n">
        <f aca="false">ROUND((D828-$D$5)*86400,2)</f>
        <v>147.19</v>
      </c>
      <c r="F828" s="12" t="n">
        <v>1722</v>
      </c>
      <c r="G828" s="11" t="str">
        <f aca="false">IF(INDEX(選手一覧!$F$7:$F$2738,$F828)="","",INDEX(選手一覧!$F$7:$F$2738,$F828))</f>
        <v/>
      </c>
      <c r="H828" s="12" t="str">
        <f aca="false">IF(INDEX(選手一覧!$G$7:$G$2738,$F828)="","",INDEX(選手一覧!$G$7:$G$2738,$F828))</f>
        <v/>
      </c>
      <c r="I828" s="11" t="n">
        <f aca="false">IF(INDEX(選手一覧!$H$7:$H$2738,$F828)="","",INDEX(選手一覧!$H$7:$H$2738,$F828))</f>
        <v>0.00291481481481482</v>
      </c>
      <c r="J828" s="12" t="n">
        <f aca="false">IF(INDEX(選手一覧!$I$7:$I$2738,$F828)="","",INDEX(選手一覧!$I$7:$I$2738,$F828))</f>
        <v>1053</v>
      </c>
    </row>
    <row r="829" customFormat="false" ht="15" hidden="false" customHeight="false" outlineLevel="0" collapsed="false">
      <c r="A829" s="12" t="n">
        <v>825</v>
      </c>
      <c r="B829" s="10" t="s">
        <v>2474</v>
      </c>
      <c r="C829" s="10" t="s">
        <v>884</v>
      </c>
      <c r="D829" s="11" t="n">
        <v>0.0108446759259259</v>
      </c>
      <c r="E829" s="18" t="n">
        <f aca="false">ROUND((D829-$D$5)*86400,2)</f>
        <v>147.24</v>
      </c>
      <c r="F829" s="12" t="n">
        <v>1724</v>
      </c>
      <c r="G829" s="11" t="str">
        <f aca="false">IF(INDEX(選手一覧!$F$7:$F$2738,$F829)="","",INDEX(選手一覧!$F$7:$F$2738,$F829))</f>
        <v/>
      </c>
      <c r="H829" s="12" t="str">
        <f aca="false">IF(INDEX(選手一覧!$G$7:$G$2738,$F829)="","",INDEX(選手一覧!$G$7:$G$2738,$F829))</f>
        <v/>
      </c>
      <c r="I829" s="11" t="str">
        <f aca="false">IF(INDEX(選手一覧!$H$7:$H$2738,$F829)="","",INDEX(選手一覧!$H$7:$H$2738,$F829))</f>
        <v/>
      </c>
      <c r="J829" s="12" t="str">
        <f aca="false">IF(INDEX(選手一覧!$I$7:$I$2738,$F829)="","",INDEX(選手一覧!$I$7:$I$2738,$F829))</f>
        <v/>
      </c>
    </row>
    <row r="830" customFormat="false" ht="15" hidden="false" customHeight="false" outlineLevel="0" collapsed="false">
      <c r="A830" s="12" t="n">
        <v>826</v>
      </c>
      <c r="B830" s="10" t="s">
        <v>1572</v>
      </c>
      <c r="C830" s="10" t="s">
        <v>1573</v>
      </c>
      <c r="D830" s="11" t="n">
        <v>0.0108450231481482</v>
      </c>
      <c r="E830" s="18" t="n">
        <f aca="false">ROUND((D830-$D$5)*86400,2)</f>
        <v>147.27</v>
      </c>
      <c r="F830" s="12" t="n">
        <v>1084</v>
      </c>
      <c r="G830" s="11" t="str">
        <f aca="false">IF(INDEX(選手一覧!$F$7:$F$2738,$F830)="","",INDEX(選手一覧!$F$7:$F$2738,$F830))</f>
        <v/>
      </c>
      <c r="H830" s="12" t="str">
        <f aca="false">IF(INDEX(選手一覧!$G$7:$G$2738,$F830)="","",INDEX(選手一覧!$G$7:$G$2738,$F830))</f>
        <v/>
      </c>
      <c r="I830" s="11" t="n">
        <f aca="false">IF(INDEX(選手一覧!$H$7:$H$2738,$F830)="","",INDEX(選手一覧!$H$7:$H$2738,$F830))</f>
        <v>0.00283935185185185</v>
      </c>
      <c r="J830" s="12" t="n">
        <f aca="false">IF(INDEX(選手一覧!$I$7:$I$2738,$F830)="","",INDEX(選手一覧!$I$7:$I$2738,$F830))</f>
        <v>490</v>
      </c>
    </row>
    <row r="831" customFormat="false" ht="15" hidden="false" customHeight="false" outlineLevel="0" collapsed="false">
      <c r="A831" s="12" t="n">
        <v>827</v>
      </c>
      <c r="B831" s="10" t="s">
        <v>299</v>
      </c>
      <c r="C831" s="10" t="s">
        <v>300</v>
      </c>
      <c r="D831" s="11" t="n">
        <v>0.010846412037037</v>
      </c>
      <c r="E831" s="18" t="n">
        <f aca="false">ROUND((D831-$D$5)*86400,2)</f>
        <v>147.39</v>
      </c>
      <c r="F831" s="12" t="n">
        <v>169</v>
      </c>
      <c r="G831" s="11" t="n">
        <f aca="false">IF(INDEX(選手一覧!$F$7:$F$2738,$F831)="","",INDEX(選手一覧!$F$7:$F$2738,$F831))</f>
        <v>0.0066087962962963</v>
      </c>
      <c r="H831" s="12" t="n">
        <f aca="false">IF(INDEX(選手一覧!$G$7:$G$2738,$F831)="","",INDEX(選手一覧!$G$7:$G$2738,$F831))</f>
        <v>69</v>
      </c>
      <c r="I831" s="11" t="n">
        <f aca="false">IF(INDEX(選手一覧!$H$7:$H$2738,$F831)="","",INDEX(選手一覧!$H$7:$H$2738,$F831))</f>
        <v>0.00290763888888889</v>
      </c>
      <c r="J831" s="12" t="n">
        <f aca="false">IF(INDEX(選手一覧!$I$7:$I$2738,$F831)="","",INDEX(選手一覧!$I$7:$I$2738,$F831))</f>
        <v>997</v>
      </c>
    </row>
    <row r="832" customFormat="false" ht="15" hidden="false" customHeight="false" outlineLevel="0" collapsed="false">
      <c r="A832" s="12" t="n">
        <v>828</v>
      </c>
      <c r="B832" s="10" t="s">
        <v>2484</v>
      </c>
      <c r="C832" s="10" t="s">
        <v>132</v>
      </c>
      <c r="D832" s="11" t="n">
        <v>0.0108469907407407</v>
      </c>
      <c r="E832" s="18" t="n">
        <f aca="false">ROUND((D832-$D$5)*86400,2)</f>
        <v>147.44</v>
      </c>
      <c r="F832" s="12" t="n">
        <v>1732</v>
      </c>
      <c r="G832" s="11" t="str">
        <f aca="false">IF(INDEX(選手一覧!$F$7:$F$2738,$F832)="","",INDEX(選手一覧!$F$7:$F$2738,$F832))</f>
        <v/>
      </c>
      <c r="H832" s="12" t="str">
        <f aca="false">IF(INDEX(選手一覧!$G$7:$G$2738,$F832)="","",INDEX(選手一覧!$G$7:$G$2738,$F832))</f>
        <v/>
      </c>
      <c r="I832" s="11" t="str">
        <f aca="false">IF(INDEX(選手一覧!$H$7:$H$2738,$F832)="","",INDEX(選手一覧!$H$7:$H$2738,$F832))</f>
        <v/>
      </c>
      <c r="J832" s="12" t="str">
        <f aca="false">IF(INDEX(選手一覧!$I$7:$I$2738,$F832)="","",INDEX(選手一覧!$I$7:$I$2738,$F832))</f>
        <v/>
      </c>
    </row>
    <row r="833" customFormat="false" ht="15" hidden="false" customHeight="false" outlineLevel="0" collapsed="false">
      <c r="A833" s="12" t="n">
        <v>829</v>
      </c>
      <c r="B833" s="10" t="s">
        <v>2485</v>
      </c>
      <c r="C833" s="10" t="s">
        <v>237</v>
      </c>
      <c r="D833" s="11" t="n">
        <v>0.0108478009259259</v>
      </c>
      <c r="E833" s="18" t="n">
        <f aca="false">ROUND((D833-$D$5)*86400,2)</f>
        <v>147.51</v>
      </c>
      <c r="F833" s="12" t="n">
        <v>1733</v>
      </c>
      <c r="G833" s="11" t="str">
        <f aca="false">IF(INDEX(選手一覧!$F$7:$F$2738,$F833)="","",INDEX(選手一覧!$F$7:$F$2738,$F833))</f>
        <v/>
      </c>
      <c r="H833" s="12" t="str">
        <f aca="false">IF(INDEX(選手一覧!$G$7:$G$2738,$F833)="","",INDEX(選手一覧!$G$7:$G$2738,$F833))</f>
        <v/>
      </c>
      <c r="I833" s="11" t="n">
        <f aca="false">IF(INDEX(選手一覧!$H$7:$H$2738,$F833)="","",INDEX(選手一覧!$H$7:$H$2738,$F833))</f>
        <v>0.00288935185185185</v>
      </c>
      <c r="J833" s="12" t="n">
        <f aca="false">IF(INDEX(選手一覧!$I$7:$I$2738,$F833)="","",INDEX(選手一覧!$I$7:$I$2738,$F833))</f>
        <v>859</v>
      </c>
    </row>
    <row r="834" customFormat="false" ht="15" hidden="false" customHeight="false" outlineLevel="0" collapsed="false">
      <c r="A834" s="12" t="n">
        <v>830</v>
      </c>
      <c r="B834" s="10" t="s">
        <v>759</v>
      </c>
      <c r="C834" s="10" t="s">
        <v>312</v>
      </c>
      <c r="D834" s="11" t="n">
        <v>0.0108479166666667</v>
      </c>
      <c r="E834" s="18" t="n">
        <f aca="false">ROUND((D834-$D$5)*86400,2)</f>
        <v>147.52</v>
      </c>
      <c r="F834" s="12" t="n">
        <v>489</v>
      </c>
      <c r="G834" s="11" t="n">
        <f aca="false">IF(INDEX(選手一覧!$F$7:$F$2738,$F834)="","",INDEX(選手一覧!$F$7:$F$2738,$F834))</f>
        <v>0.00685613425925926</v>
      </c>
      <c r="H834" s="12" t="n">
        <f aca="false">IF(INDEX(選手一覧!$G$7:$G$2738,$F834)="","",INDEX(選手一覧!$G$7:$G$2738,$F834))</f>
        <v>206</v>
      </c>
      <c r="I834" s="11" t="n">
        <f aca="false">IF(INDEX(選手一覧!$H$7:$H$2738,$F834)="","",INDEX(選手一覧!$H$7:$H$2738,$F834))</f>
        <v>0.00282800925925926</v>
      </c>
      <c r="J834" s="12" t="n">
        <f aca="false">IF(INDEX(選手一覧!$I$7:$I$2738,$F834)="","",INDEX(選手一覧!$I$7:$I$2738,$F834))</f>
        <v>410</v>
      </c>
    </row>
    <row r="835" customFormat="false" ht="15" hidden="false" customHeight="false" outlineLevel="0" collapsed="false">
      <c r="A835" s="12" t="n">
        <v>831</v>
      </c>
      <c r="B835" s="10" t="s">
        <v>1999</v>
      </c>
      <c r="C835" s="10" t="s">
        <v>486</v>
      </c>
      <c r="D835" s="11" t="n">
        <v>0.0108479166666667</v>
      </c>
      <c r="E835" s="18" t="n">
        <f aca="false">ROUND((D835-$D$5)*86400,2)</f>
        <v>147.52</v>
      </c>
      <c r="F835" s="12" t="n">
        <v>1378</v>
      </c>
      <c r="G835" s="11" t="str">
        <f aca="false">IF(INDEX(選手一覧!$F$7:$F$2738,$F835)="","",INDEX(選手一覧!$F$7:$F$2738,$F835))</f>
        <v/>
      </c>
      <c r="H835" s="12" t="str">
        <f aca="false">IF(INDEX(選手一覧!$G$7:$G$2738,$F835)="","",INDEX(選手一覧!$G$7:$G$2738,$F835))</f>
        <v/>
      </c>
      <c r="I835" s="11" t="n">
        <f aca="false">IF(INDEX(選手一覧!$H$7:$H$2738,$F835)="","",INDEX(選手一覧!$H$7:$H$2738,$F835))</f>
        <v>0.00286215277777778</v>
      </c>
      <c r="J835" s="12" t="n">
        <f aca="false">IF(INDEX(選手一覧!$I$7:$I$2738,$F835)="","",INDEX(選手一覧!$I$7:$I$2738,$F835))</f>
        <v>647</v>
      </c>
    </row>
    <row r="836" customFormat="false" ht="15" hidden="false" customHeight="false" outlineLevel="0" collapsed="false">
      <c r="A836" s="12" t="n">
        <v>832</v>
      </c>
      <c r="B836" s="10" t="s">
        <v>2494</v>
      </c>
      <c r="C836" s="10" t="s">
        <v>1334</v>
      </c>
      <c r="D836" s="11" t="n">
        <v>0.0108481481481482</v>
      </c>
      <c r="E836" s="18" t="n">
        <f aca="false">ROUND((D836-$D$5)*86400,2)</f>
        <v>147.54</v>
      </c>
      <c r="F836" s="12" t="n">
        <v>1739</v>
      </c>
      <c r="G836" s="11" t="str">
        <f aca="false">IF(INDEX(選手一覧!$F$7:$F$2738,$F836)="","",INDEX(選手一覧!$F$7:$F$2738,$F836))</f>
        <v/>
      </c>
      <c r="H836" s="12" t="str">
        <f aca="false">IF(INDEX(選手一覧!$G$7:$G$2738,$F836)="","",INDEX(選手一覧!$G$7:$G$2738,$F836))</f>
        <v/>
      </c>
      <c r="I836" s="11" t="str">
        <f aca="false">IF(INDEX(選手一覧!$H$7:$H$2738,$F836)="","",INDEX(選手一覧!$H$7:$H$2738,$F836))</f>
        <v/>
      </c>
      <c r="J836" s="12" t="str">
        <f aca="false">IF(INDEX(選手一覧!$I$7:$I$2738,$F836)="","",INDEX(選手一覧!$I$7:$I$2738,$F836))</f>
        <v/>
      </c>
    </row>
    <row r="837" customFormat="false" ht="15" hidden="false" customHeight="false" outlineLevel="0" collapsed="false">
      <c r="A837" s="12" t="n">
        <v>833</v>
      </c>
      <c r="B837" s="10" t="s">
        <v>2498</v>
      </c>
      <c r="C837" s="10" t="s">
        <v>546</v>
      </c>
      <c r="D837" s="11" t="n">
        <v>0.0108482638888889</v>
      </c>
      <c r="E837" s="18" t="n">
        <f aca="false">ROUND((D837-$D$5)*86400,2)</f>
        <v>147.55</v>
      </c>
      <c r="F837" s="12" t="n">
        <v>1742</v>
      </c>
      <c r="G837" s="11" t="str">
        <f aca="false">IF(INDEX(選手一覧!$F$7:$F$2738,$F837)="","",INDEX(選手一覧!$F$7:$F$2738,$F837))</f>
        <v/>
      </c>
      <c r="H837" s="12" t="str">
        <f aca="false">IF(INDEX(選手一覧!$G$7:$G$2738,$F837)="","",INDEX(選手一覧!$G$7:$G$2738,$F837))</f>
        <v/>
      </c>
      <c r="I837" s="11" t="str">
        <f aca="false">IF(INDEX(選手一覧!$H$7:$H$2738,$F837)="","",INDEX(選手一覧!$H$7:$H$2738,$F837))</f>
        <v/>
      </c>
      <c r="J837" s="12" t="str">
        <f aca="false">IF(INDEX(選手一覧!$I$7:$I$2738,$F837)="","",INDEX(選手一覧!$I$7:$I$2738,$F837))</f>
        <v/>
      </c>
    </row>
    <row r="838" customFormat="false" ht="15" hidden="false" customHeight="false" outlineLevel="0" collapsed="false">
      <c r="A838" s="12" t="n">
        <v>834</v>
      </c>
      <c r="B838" s="10" t="s">
        <v>384</v>
      </c>
      <c r="C838" s="10" t="s">
        <v>385</v>
      </c>
      <c r="D838" s="11" t="n">
        <v>0.0108484953703704</v>
      </c>
      <c r="E838" s="18" t="n">
        <f aca="false">ROUND((D838-$D$5)*86400,2)</f>
        <v>147.57</v>
      </c>
      <c r="F838" s="12" t="n">
        <v>230</v>
      </c>
      <c r="G838" s="11" t="n">
        <f aca="false">IF(INDEX(選手一覧!$F$7:$F$2738,$F838)="","",INDEX(選手一覧!$F$7:$F$2738,$F838))</f>
        <v>0.00667592592592593</v>
      </c>
      <c r="H838" s="12" t="n">
        <f aca="false">IF(INDEX(選手一覧!$G$7:$G$2738,$F838)="","",INDEX(選手一覧!$G$7:$G$2738,$F838))</f>
        <v>95</v>
      </c>
      <c r="I838" s="11" t="n">
        <f aca="false">IF(INDEX(選手一覧!$H$7:$H$2738,$F838)="","",INDEX(選手一覧!$H$7:$H$2738,$F838))</f>
        <v>0.00277916666666667</v>
      </c>
      <c r="J838" s="12" t="n">
        <f aca="false">IF(INDEX(選手一覧!$I$7:$I$2738,$F838)="","",INDEX(選手一覧!$I$7:$I$2738,$F838))</f>
        <v>196</v>
      </c>
    </row>
    <row r="839" customFormat="false" ht="15" hidden="false" customHeight="false" outlineLevel="0" collapsed="false">
      <c r="A839" s="12" t="n">
        <v>835</v>
      </c>
      <c r="B839" s="10" t="s">
        <v>2443</v>
      </c>
      <c r="C839" s="10" t="s">
        <v>103</v>
      </c>
      <c r="D839" s="11" t="n">
        <v>0.0108489583333333</v>
      </c>
      <c r="E839" s="18" t="n">
        <f aca="false">ROUND((D839-$D$5)*86400,2)</f>
        <v>147.61</v>
      </c>
      <c r="F839" s="12" t="n">
        <v>1746</v>
      </c>
      <c r="G839" s="11" t="str">
        <f aca="false">IF(INDEX(選手一覧!$F$7:$F$2738,$F839)="","",INDEX(選手一覧!$F$7:$F$2738,$F839))</f>
        <v/>
      </c>
      <c r="H839" s="12" t="str">
        <f aca="false">IF(INDEX(選手一覧!$G$7:$G$2738,$F839)="","",INDEX(選手一覧!$G$7:$G$2738,$F839))</f>
        <v/>
      </c>
      <c r="I839" s="11" t="str">
        <f aca="false">IF(INDEX(選手一覧!$H$7:$H$2738,$F839)="","",INDEX(選手一覧!$H$7:$H$2738,$F839))</f>
        <v/>
      </c>
      <c r="J839" s="12" t="str">
        <f aca="false">IF(INDEX(選手一覧!$I$7:$I$2738,$F839)="","",INDEX(選手一覧!$I$7:$I$2738,$F839))</f>
        <v/>
      </c>
    </row>
    <row r="840" customFormat="false" ht="15" hidden="false" customHeight="false" outlineLevel="0" collapsed="false">
      <c r="A840" s="12" t="n">
        <v>836</v>
      </c>
      <c r="B840" s="10" t="s">
        <v>2505</v>
      </c>
      <c r="C840" s="10" t="s">
        <v>1411</v>
      </c>
      <c r="D840" s="11" t="n">
        <v>0.0108496527777778</v>
      </c>
      <c r="E840" s="18" t="n">
        <f aca="false">ROUND((D840-$D$5)*86400,2)</f>
        <v>147.67</v>
      </c>
      <c r="F840" s="12" t="n">
        <v>1748</v>
      </c>
      <c r="G840" s="11" t="str">
        <f aca="false">IF(INDEX(選手一覧!$F$7:$F$2738,$F840)="","",INDEX(選手一覧!$F$7:$F$2738,$F840))</f>
        <v/>
      </c>
      <c r="H840" s="12" t="str">
        <f aca="false">IF(INDEX(選手一覧!$G$7:$G$2738,$F840)="","",INDEX(選手一覧!$G$7:$G$2738,$F840))</f>
        <v/>
      </c>
      <c r="I840" s="11" t="str">
        <f aca="false">IF(INDEX(選手一覧!$H$7:$H$2738,$F840)="","",INDEX(選手一覧!$H$7:$H$2738,$F840))</f>
        <v/>
      </c>
      <c r="J840" s="12" t="str">
        <f aca="false">IF(INDEX(選手一覧!$I$7:$I$2738,$F840)="","",INDEX(選手一覧!$I$7:$I$2738,$F840))</f>
        <v/>
      </c>
    </row>
    <row r="841" customFormat="false" ht="15" hidden="false" customHeight="false" outlineLevel="0" collapsed="false">
      <c r="A841" s="12" t="n">
        <v>837</v>
      </c>
      <c r="B841" s="10" t="s">
        <v>249</v>
      </c>
      <c r="C841" s="10" t="s">
        <v>250</v>
      </c>
      <c r="D841" s="11" t="n">
        <v>0.0108503472222222</v>
      </c>
      <c r="E841" s="18" t="n">
        <f aca="false">ROUND((D841-$D$5)*86400,2)</f>
        <v>147.73</v>
      </c>
      <c r="F841" s="12" t="n">
        <v>135</v>
      </c>
      <c r="G841" s="11" t="str">
        <f aca="false">IF(INDEX(選手一覧!$F$7:$F$2738,$F841)="","",INDEX(選手一覧!$F$7:$F$2738,$F841))</f>
        <v/>
      </c>
      <c r="H841" s="12" t="str">
        <f aca="false">IF(INDEX(選手一覧!$G$7:$G$2738,$F841)="","",INDEX(選手一覧!$G$7:$G$2738,$F841))</f>
        <v/>
      </c>
      <c r="I841" s="11" t="n">
        <f aca="false">IF(INDEX(選手一覧!$H$7:$H$2738,$F841)="","",INDEX(選手一覧!$H$7:$H$2738,$F841))</f>
        <v>0.00272280092592593</v>
      </c>
      <c r="J841" s="12" t="n">
        <f aca="false">IF(INDEX(選手一覧!$I$7:$I$2738,$F841)="","",INDEX(選手一覧!$I$7:$I$2738,$F841))</f>
        <v>53</v>
      </c>
    </row>
    <row r="842" customFormat="false" ht="15" hidden="false" customHeight="false" outlineLevel="0" collapsed="false">
      <c r="A842" s="12" t="n">
        <v>838</v>
      </c>
      <c r="B842" s="10" t="s">
        <v>1508</v>
      </c>
      <c r="C842" s="10" t="s">
        <v>997</v>
      </c>
      <c r="D842" s="11" t="n">
        <v>0.010850462962963</v>
      </c>
      <c r="E842" s="18" t="n">
        <f aca="false">ROUND((D842-$D$5)*86400,2)</f>
        <v>147.74</v>
      </c>
      <c r="F842" s="12" t="n">
        <v>1036</v>
      </c>
      <c r="G842" s="11" t="str">
        <f aca="false">IF(INDEX(選手一覧!$F$7:$F$2738,$F842)="","",INDEX(選手一覧!$F$7:$F$2738,$F842))</f>
        <v/>
      </c>
      <c r="H842" s="12" t="str">
        <f aca="false">IF(INDEX(選手一覧!$G$7:$G$2738,$F842)="","",INDEX(選手一覧!$G$7:$G$2738,$F842))</f>
        <v/>
      </c>
      <c r="I842" s="11" t="n">
        <f aca="false">IF(INDEX(選手一覧!$H$7:$H$2738,$F842)="","",INDEX(選手一覧!$H$7:$H$2738,$F842))</f>
        <v>0.00283553240740741</v>
      </c>
      <c r="J842" s="12" t="n">
        <f aca="false">IF(INDEX(選手一覧!$I$7:$I$2738,$F842)="","",INDEX(選手一覧!$I$7:$I$2738,$F842))</f>
        <v>466</v>
      </c>
    </row>
    <row r="843" customFormat="false" ht="15" hidden="false" customHeight="false" outlineLevel="0" collapsed="false">
      <c r="A843" s="12" t="n">
        <v>839</v>
      </c>
      <c r="B843" s="10" t="s">
        <v>2515</v>
      </c>
      <c r="C843" s="10" t="s">
        <v>577</v>
      </c>
      <c r="D843" s="11" t="n">
        <v>0.0108505787037037</v>
      </c>
      <c r="E843" s="18" t="n">
        <f aca="false">ROUND((D843-$D$5)*86400,2)</f>
        <v>147.75</v>
      </c>
      <c r="F843" s="12" t="n">
        <v>1755</v>
      </c>
      <c r="G843" s="11" t="str">
        <f aca="false">IF(INDEX(選手一覧!$F$7:$F$2738,$F843)="","",INDEX(選手一覧!$F$7:$F$2738,$F843))</f>
        <v/>
      </c>
      <c r="H843" s="12" t="str">
        <f aca="false">IF(INDEX(選手一覧!$G$7:$G$2738,$F843)="","",INDEX(選手一覧!$G$7:$G$2738,$F843))</f>
        <v/>
      </c>
      <c r="I843" s="11" t="str">
        <f aca="false">IF(INDEX(選手一覧!$H$7:$H$2738,$F843)="","",INDEX(選手一覧!$H$7:$H$2738,$F843))</f>
        <v/>
      </c>
      <c r="J843" s="12" t="str">
        <f aca="false">IF(INDEX(選手一覧!$I$7:$I$2738,$F843)="","",INDEX(選手一覧!$I$7:$I$2738,$F843))</f>
        <v/>
      </c>
    </row>
    <row r="844" customFormat="false" ht="15" hidden="false" customHeight="false" outlineLevel="0" collapsed="false">
      <c r="A844" s="12" t="n">
        <v>840</v>
      </c>
      <c r="B844" s="10" t="s">
        <v>1114</v>
      </c>
      <c r="C844" s="10" t="s">
        <v>83</v>
      </c>
      <c r="D844" s="11" t="n">
        <v>0.0108520833333333</v>
      </c>
      <c r="E844" s="18" t="n">
        <f aca="false">ROUND((D844-$D$5)*86400,2)</f>
        <v>147.88</v>
      </c>
      <c r="F844" s="12" t="n">
        <v>751</v>
      </c>
      <c r="G844" s="11" t="n">
        <f aca="false">IF(INDEX(選手一覧!$F$7:$F$2738,$F844)="","",INDEX(選手一覧!$F$7:$F$2738,$F844))</f>
        <v>0.00699039351851852</v>
      </c>
      <c r="H844" s="12" t="n">
        <f aca="false">IF(INDEX(選手一覧!$G$7:$G$2738,$F844)="","",INDEX(選手一覧!$G$7:$G$2738,$F844))</f>
        <v>325</v>
      </c>
      <c r="I844" s="11" t="str">
        <f aca="false">IF(INDEX(選手一覧!$H$7:$H$2738,$F844)="","",INDEX(選手一覧!$H$7:$H$2738,$F844))</f>
        <v/>
      </c>
      <c r="J844" s="12" t="str">
        <f aca="false">IF(INDEX(選手一覧!$I$7:$I$2738,$F844)="","",INDEX(選手一覧!$I$7:$I$2738,$F844))</f>
        <v/>
      </c>
    </row>
    <row r="845" customFormat="false" ht="15" hidden="false" customHeight="false" outlineLevel="0" collapsed="false">
      <c r="A845" s="12" t="n">
        <v>841</v>
      </c>
      <c r="B845" s="10" t="s">
        <v>2521</v>
      </c>
      <c r="C845" s="10" t="s">
        <v>190</v>
      </c>
      <c r="D845" s="11" t="n">
        <v>0.0108525462962963</v>
      </c>
      <c r="E845" s="18" t="n">
        <f aca="false">ROUND((D845-$D$5)*86400,2)</f>
        <v>147.92</v>
      </c>
      <c r="F845" s="12" t="n">
        <v>1760</v>
      </c>
      <c r="G845" s="11" t="str">
        <f aca="false">IF(INDEX(選手一覧!$F$7:$F$2738,$F845)="","",INDEX(選手一覧!$F$7:$F$2738,$F845))</f>
        <v/>
      </c>
      <c r="H845" s="12" t="str">
        <f aca="false">IF(INDEX(選手一覧!$G$7:$G$2738,$F845)="","",INDEX(選手一覧!$G$7:$G$2738,$F845))</f>
        <v/>
      </c>
      <c r="I845" s="11" t="str">
        <f aca="false">IF(INDEX(選手一覧!$H$7:$H$2738,$F845)="","",INDEX(選手一覧!$H$7:$H$2738,$F845))</f>
        <v/>
      </c>
      <c r="J845" s="12" t="str">
        <f aca="false">IF(INDEX(選手一覧!$I$7:$I$2738,$F845)="","",INDEX(選手一覧!$I$7:$I$2738,$F845))</f>
        <v/>
      </c>
    </row>
    <row r="846" customFormat="false" ht="15" hidden="false" customHeight="false" outlineLevel="0" collapsed="false">
      <c r="A846" s="12" t="n">
        <v>842</v>
      </c>
      <c r="B846" s="10" t="s">
        <v>635</v>
      </c>
      <c r="C846" s="10" t="s">
        <v>34</v>
      </c>
      <c r="D846" s="11" t="n">
        <v>0.0108527777777778</v>
      </c>
      <c r="E846" s="18" t="n">
        <f aca="false">ROUND((D846-$D$5)*86400,2)</f>
        <v>147.94</v>
      </c>
      <c r="F846" s="12" t="n">
        <v>402</v>
      </c>
      <c r="G846" s="11" t="n">
        <f aca="false">IF(INDEX(選手一覧!$F$7:$F$2738,$F846)="","",INDEX(選手一覧!$F$7:$F$2738,$F846))</f>
        <v>0.0068</v>
      </c>
      <c r="H846" s="12" t="n">
        <f aca="false">IF(INDEX(選手一覧!$G$7:$G$2738,$F846)="","",INDEX(選手一覧!$G$7:$G$2738,$F846))</f>
        <v>170</v>
      </c>
      <c r="I846" s="11" t="str">
        <f aca="false">IF(INDEX(選手一覧!$H$7:$H$2738,$F846)="","",INDEX(選手一覧!$H$7:$H$2738,$F846))</f>
        <v/>
      </c>
      <c r="J846" s="12" t="str">
        <f aca="false">IF(INDEX(選手一覧!$I$7:$I$2738,$F846)="","",INDEX(選手一覧!$I$7:$I$2738,$F846))</f>
        <v/>
      </c>
    </row>
    <row r="847" customFormat="false" ht="15" hidden="false" customHeight="false" outlineLevel="0" collapsed="false">
      <c r="A847" s="12" t="n">
        <v>843</v>
      </c>
      <c r="B847" s="10" t="s">
        <v>2525</v>
      </c>
      <c r="C847" s="10" t="s">
        <v>660</v>
      </c>
      <c r="D847" s="11" t="n">
        <v>0.0108545138888889</v>
      </c>
      <c r="E847" s="18" t="n">
        <f aca="false">ROUND((D847-$D$5)*86400,2)</f>
        <v>148.09</v>
      </c>
      <c r="F847" s="12" t="n">
        <v>1763</v>
      </c>
      <c r="G847" s="11" t="str">
        <f aca="false">IF(INDEX(選手一覧!$F$7:$F$2738,$F847)="","",INDEX(選手一覧!$F$7:$F$2738,$F847))</f>
        <v/>
      </c>
      <c r="H847" s="12" t="str">
        <f aca="false">IF(INDEX(選手一覧!$G$7:$G$2738,$F847)="","",INDEX(選手一覧!$G$7:$G$2738,$F847))</f>
        <v/>
      </c>
      <c r="I847" s="11" t="n">
        <f aca="false">IF(INDEX(選手一覧!$H$7:$H$2738,$F847)="","",INDEX(選手一覧!$H$7:$H$2738,$F847))</f>
        <v>0.00297523148148148</v>
      </c>
      <c r="J847" s="12" t="n">
        <f aca="false">IF(INDEX(選手一覧!$I$7:$I$2738,$F847)="","",INDEX(選手一覧!$I$7:$I$2738,$F847))</f>
        <v>1328</v>
      </c>
    </row>
    <row r="848" customFormat="false" ht="15" hidden="false" customHeight="false" outlineLevel="0" collapsed="false">
      <c r="A848" s="12" t="n">
        <v>844</v>
      </c>
      <c r="B848" s="10" t="s">
        <v>266</v>
      </c>
      <c r="C848" s="10" t="s">
        <v>267</v>
      </c>
      <c r="D848" s="11" t="n">
        <v>0.01085625</v>
      </c>
      <c r="E848" s="18" t="n">
        <f aca="false">ROUND((D848-$D$5)*86400,2)</f>
        <v>148.24</v>
      </c>
      <c r="F848" s="12" t="n">
        <v>146</v>
      </c>
      <c r="G848" s="11" t="n">
        <f aca="false">IF(INDEX(選手一覧!$F$7:$F$2738,$F848)="","",INDEX(選手一覧!$F$7:$F$2738,$F848))</f>
        <v>0.00656909722222222</v>
      </c>
      <c r="H848" s="12" t="n">
        <f aca="false">IF(INDEX(選手一覧!$G$7:$G$2738,$F848)="","",INDEX(選手一覧!$G$7:$G$2738,$F848))</f>
        <v>58</v>
      </c>
      <c r="I848" s="11" t="n">
        <f aca="false">IF(INDEX(選手一覧!$H$7:$H$2738,$F848)="","",INDEX(選手一覧!$H$7:$H$2738,$F848))</f>
        <v>0.00284525462962963</v>
      </c>
      <c r="J848" s="12" t="n">
        <f aca="false">IF(INDEX(選手一覧!$I$7:$I$2738,$F848)="","",INDEX(選手一覧!$I$7:$I$2738,$F848))</f>
        <v>538</v>
      </c>
    </row>
    <row r="849" customFormat="false" ht="15" hidden="false" customHeight="false" outlineLevel="0" collapsed="false">
      <c r="A849" s="12" t="n">
        <v>845</v>
      </c>
      <c r="B849" s="10" t="s">
        <v>537</v>
      </c>
      <c r="C849" s="10" t="s">
        <v>538</v>
      </c>
      <c r="D849" s="11" t="n">
        <v>0.0108568287037037</v>
      </c>
      <c r="E849" s="18" t="n">
        <f aca="false">ROUND((D849-$D$5)*86400,2)</f>
        <v>148.29</v>
      </c>
      <c r="F849" s="12" t="n">
        <v>336</v>
      </c>
      <c r="G849" s="11" t="n">
        <f aca="false">IF(INDEX(選手一覧!$F$7:$F$2738,$F849)="","",INDEX(選手一覧!$F$7:$F$2738,$F849))</f>
        <v>0.00676296296296296</v>
      </c>
      <c r="H849" s="12" t="n">
        <f aca="false">IF(INDEX(選手一覧!$G$7:$G$2738,$F849)="","",INDEX(選手一覧!$G$7:$G$2738,$F849))</f>
        <v>139</v>
      </c>
      <c r="I849" s="11" t="str">
        <f aca="false">IF(INDEX(選手一覧!$H$7:$H$2738,$F849)="","",INDEX(選手一覧!$H$7:$H$2738,$F849))</f>
        <v/>
      </c>
      <c r="J849" s="12" t="str">
        <f aca="false">IF(INDEX(選手一覧!$I$7:$I$2738,$F849)="","",INDEX(選手一覧!$I$7:$I$2738,$F849))</f>
        <v/>
      </c>
    </row>
    <row r="850" customFormat="false" ht="15" hidden="false" customHeight="false" outlineLevel="0" collapsed="false">
      <c r="A850" s="12" t="n">
        <v>846</v>
      </c>
      <c r="B850" s="10" t="s">
        <v>2533</v>
      </c>
      <c r="C850" s="10" t="s">
        <v>2534</v>
      </c>
      <c r="D850" s="11" t="n">
        <v>0.0108591435185185</v>
      </c>
      <c r="E850" s="18" t="n">
        <f aca="false">ROUND((D850-$D$5)*86400,2)</f>
        <v>148.49</v>
      </c>
      <c r="F850" s="12" t="n">
        <v>1769</v>
      </c>
      <c r="G850" s="11" t="str">
        <f aca="false">IF(INDEX(選手一覧!$F$7:$F$2738,$F850)="","",INDEX(選手一覧!$F$7:$F$2738,$F850))</f>
        <v/>
      </c>
      <c r="H850" s="12" t="str">
        <f aca="false">IF(INDEX(選手一覧!$G$7:$G$2738,$F850)="","",INDEX(選手一覧!$G$7:$G$2738,$F850))</f>
        <v/>
      </c>
      <c r="I850" s="11" t="str">
        <f aca="false">IF(INDEX(選手一覧!$H$7:$H$2738,$F850)="","",INDEX(選手一覧!$H$7:$H$2738,$F850))</f>
        <v/>
      </c>
      <c r="J850" s="12" t="str">
        <f aca="false">IF(INDEX(選手一覧!$I$7:$I$2738,$F850)="","",INDEX(選手一覧!$I$7:$I$2738,$F850))</f>
        <v/>
      </c>
    </row>
    <row r="851" customFormat="false" ht="15" hidden="false" customHeight="false" outlineLevel="0" collapsed="false">
      <c r="A851" s="12" t="n">
        <v>847</v>
      </c>
      <c r="B851" s="10" t="s">
        <v>737</v>
      </c>
      <c r="C851" s="10" t="s">
        <v>738</v>
      </c>
      <c r="D851" s="11" t="n">
        <v>0.0108596064814815</v>
      </c>
      <c r="E851" s="18" t="n">
        <f aca="false">ROUND((D851-$D$5)*86400,2)</f>
        <v>148.53</v>
      </c>
      <c r="F851" s="12" t="n">
        <v>476</v>
      </c>
      <c r="G851" s="11" t="n">
        <f aca="false">IF(INDEX(選手一覧!$F$7:$F$2738,$F851)="","",INDEX(選手一覧!$F$7:$F$2738,$F851))</f>
        <v>0.00684479166666667</v>
      </c>
      <c r="H851" s="12" t="n">
        <f aca="false">IF(INDEX(選手一覧!$G$7:$G$2738,$F851)="","",INDEX(選手一覧!$G$7:$G$2738,$F851))</f>
        <v>200</v>
      </c>
      <c r="I851" s="11" t="n">
        <f aca="false">IF(INDEX(選手一覧!$H$7:$H$2738,$F851)="","",INDEX(選手一覧!$H$7:$H$2738,$F851))</f>
        <v>0.00286238425925926</v>
      </c>
      <c r="J851" s="12" t="n">
        <f aca="false">IF(INDEX(選手一覧!$I$7:$I$2738,$F851)="","",INDEX(選手一覧!$I$7:$I$2738,$F851))</f>
        <v>650</v>
      </c>
    </row>
    <row r="852" customFormat="false" ht="15" hidden="false" customHeight="false" outlineLevel="0" collapsed="false">
      <c r="A852" s="12" t="n">
        <v>848</v>
      </c>
      <c r="B852" s="10" t="s">
        <v>2540</v>
      </c>
      <c r="C852" s="10" t="s">
        <v>36</v>
      </c>
      <c r="D852" s="11" t="n">
        <v>0.0108597222222222</v>
      </c>
      <c r="E852" s="18" t="n">
        <f aca="false">ROUND((D852-$D$5)*86400,2)</f>
        <v>148.54</v>
      </c>
      <c r="F852" s="12" t="n">
        <v>1774</v>
      </c>
      <c r="G852" s="11" t="str">
        <f aca="false">IF(INDEX(選手一覧!$F$7:$F$2738,$F852)="","",INDEX(選手一覧!$F$7:$F$2738,$F852))</f>
        <v/>
      </c>
      <c r="H852" s="12" t="str">
        <f aca="false">IF(INDEX(選手一覧!$G$7:$G$2738,$F852)="","",INDEX(選手一覧!$G$7:$G$2738,$F852))</f>
        <v/>
      </c>
      <c r="I852" s="11" t="str">
        <f aca="false">IF(INDEX(選手一覧!$H$7:$H$2738,$F852)="","",INDEX(選手一覧!$H$7:$H$2738,$F852))</f>
        <v/>
      </c>
      <c r="J852" s="12" t="str">
        <f aca="false">IF(INDEX(選手一覧!$I$7:$I$2738,$F852)="","",INDEX(選手一覧!$I$7:$I$2738,$F852))</f>
        <v/>
      </c>
    </row>
    <row r="853" customFormat="false" ht="15" hidden="false" customHeight="false" outlineLevel="0" collapsed="false">
      <c r="A853" s="12" t="n">
        <v>849</v>
      </c>
      <c r="B853" s="10" t="s">
        <v>2543</v>
      </c>
      <c r="C853" s="10" t="s">
        <v>242</v>
      </c>
      <c r="D853" s="11" t="n">
        <v>0.0108604166666667</v>
      </c>
      <c r="E853" s="18" t="n">
        <f aca="false">ROUND((D853-$D$5)*86400,2)</f>
        <v>148.6</v>
      </c>
      <c r="F853" s="12" t="n">
        <v>1776</v>
      </c>
      <c r="G853" s="11" t="str">
        <f aca="false">IF(INDEX(選手一覧!$F$7:$F$2738,$F853)="","",INDEX(選手一覧!$F$7:$F$2738,$F853))</f>
        <v/>
      </c>
      <c r="H853" s="12" t="str">
        <f aca="false">IF(INDEX(選手一覧!$G$7:$G$2738,$F853)="","",INDEX(選手一覧!$G$7:$G$2738,$F853))</f>
        <v/>
      </c>
      <c r="I853" s="11" t="n">
        <f aca="false">IF(INDEX(選手一覧!$H$7:$H$2738,$F853)="","",INDEX(選手一覧!$H$7:$H$2738,$F853))</f>
        <v>0.0029125</v>
      </c>
      <c r="J853" s="12" t="n">
        <f aca="false">IF(INDEX(選手一覧!$I$7:$I$2738,$F853)="","",INDEX(選手一覧!$I$7:$I$2738,$F853))</f>
        <v>1040</v>
      </c>
    </row>
    <row r="854" customFormat="false" ht="15" hidden="false" customHeight="false" outlineLevel="0" collapsed="false">
      <c r="A854" s="12" t="n">
        <v>850</v>
      </c>
      <c r="B854" s="10" t="s">
        <v>2547</v>
      </c>
      <c r="C854" s="10" t="s">
        <v>72</v>
      </c>
      <c r="D854" s="11" t="n">
        <v>0.0108605324074074</v>
      </c>
      <c r="E854" s="18" t="n">
        <f aca="false">ROUND((D854-$D$5)*86400,2)</f>
        <v>148.61</v>
      </c>
      <c r="F854" s="12" t="n">
        <v>1779</v>
      </c>
      <c r="G854" s="11" t="str">
        <f aca="false">IF(INDEX(選手一覧!$F$7:$F$2738,$F854)="","",INDEX(選手一覧!$F$7:$F$2738,$F854))</f>
        <v/>
      </c>
      <c r="H854" s="12" t="str">
        <f aca="false">IF(INDEX(選手一覧!$G$7:$G$2738,$F854)="","",INDEX(選手一覧!$G$7:$G$2738,$F854))</f>
        <v/>
      </c>
      <c r="I854" s="11" t="str">
        <f aca="false">IF(INDEX(選手一覧!$H$7:$H$2738,$F854)="","",INDEX(選手一覧!$H$7:$H$2738,$F854))</f>
        <v/>
      </c>
      <c r="J854" s="12" t="str">
        <f aca="false">IF(INDEX(選手一覧!$I$7:$I$2738,$F854)="","",INDEX(選手一覧!$I$7:$I$2738,$F854))</f>
        <v/>
      </c>
    </row>
    <row r="855" customFormat="false" ht="15" hidden="false" customHeight="false" outlineLevel="0" collapsed="false">
      <c r="A855" s="12" t="n">
        <v>851</v>
      </c>
      <c r="B855" s="10" t="s">
        <v>2551</v>
      </c>
      <c r="C855" s="10" t="s">
        <v>523</v>
      </c>
      <c r="D855" s="11" t="n">
        <v>0.0108612268518519</v>
      </c>
      <c r="E855" s="18" t="n">
        <f aca="false">ROUND((D855-$D$5)*86400,2)</f>
        <v>148.67</v>
      </c>
      <c r="F855" s="12" t="n">
        <v>1782</v>
      </c>
      <c r="G855" s="11" t="str">
        <f aca="false">IF(INDEX(選手一覧!$F$7:$F$2738,$F855)="","",INDEX(選手一覧!$F$7:$F$2738,$F855))</f>
        <v/>
      </c>
      <c r="H855" s="12" t="str">
        <f aca="false">IF(INDEX(選手一覧!$G$7:$G$2738,$F855)="","",INDEX(選手一覧!$G$7:$G$2738,$F855))</f>
        <v/>
      </c>
      <c r="I855" s="11" t="n">
        <f aca="false">IF(INDEX(選手一覧!$H$7:$H$2738,$F855)="","",INDEX(選手一覧!$H$7:$H$2738,$F855))</f>
        <v>0.0029275462962963</v>
      </c>
      <c r="J855" s="12" t="n">
        <f aca="false">IF(INDEX(選手一覧!$I$7:$I$2738,$F855)="","",INDEX(選手一覧!$I$7:$I$2738,$F855))</f>
        <v>1166</v>
      </c>
    </row>
    <row r="856" customFormat="false" ht="15" hidden="false" customHeight="false" outlineLevel="0" collapsed="false">
      <c r="A856" s="12" t="n">
        <v>852</v>
      </c>
      <c r="B856" s="10" t="s">
        <v>1315</v>
      </c>
      <c r="C856" s="10" t="s">
        <v>81</v>
      </c>
      <c r="D856" s="11" t="n">
        <v>0.0108613425925926</v>
      </c>
      <c r="E856" s="18" t="n">
        <f aca="false">ROUND((D856-$D$5)*86400,2)</f>
        <v>148.68</v>
      </c>
      <c r="F856" s="12" t="n">
        <v>894</v>
      </c>
      <c r="G856" s="11" t="n">
        <f aca="false">IF(INDEX(選手一覧!$F$7:$F$2738,$F856)="","",INDEX(選手一覧!$F$7:$F$2738,$F856))</f>
        <v>0.00705833333333333</v>
      </c>
      <c r="H856" s="12" t="n">
        <f aca="false">IF(INDEX(選手一覧!$G$7:$G$2738,$F856)="","",INDEX(選手一覧!$G$7:$G$2738,$F856))</f>
        <v>399</v>
      </c>
      <c r="I856" s="11" t="n">
        <f aca="false">IF(INDEX(選手一覧!$H$7:$H$2738,$F856)="","",INDEX(選手一覧!$H$7:$H$2738,$F856))</f>
        <v>0.00287476851851852</v>
      </c>
      <c r="J856" s="12" t="n">
        <f aca="false">IF(INDEX(選手一覧!$I$7:$I$2738,$F856)="","",INDEX(選手一覧!$I$7:$I$2738,$F856))</f>
        <v>733</v>
      </c>
    </row>
    <row r="857" customFormat="false" ht="15" hidden="false" customHeight="false" outlineLevel="0" collapsed="false">
      <c r="A857" s="12" t="n">
        <v>853</v>
      </c>
      <c r="B857" s="10" t="s">
        <v>765</v>
      </c>
      <c r="C857" s="10" t="s">
        <v>154</v>
      </c>
      <c r="D857" s="11" t="n">
        <v>0.0108614583333333</v>
      </c>
      <c r="E857" s="18" t="n">
        <f aca="false">ROUND((D857-$D$5)*86400,2)</f>
        <v>148.69</v>
      </c>
      <c r="F857" s="12" t="n">
        <v>494</v>
      </c>
      <c r="G857" s="11" t="n">
        <f aca="false">IF(INDEX(選手一覧!$F$7:$F$2738,$F857)="","",INDEX(選手一覧!$F$7:$F$2738,$F857))</f>
        <v>0.00685671296296296</v>
      </c>
      <c r="H857" s="12" t="n">
        <f aca="false">IF(INDEX(選手一覧!$G$7:$G$2738,$F857)="","",INDEX(選手一覧!$G$7:$G$2738,$F857))</f>
        <v>207</v>
      </c>
      <c r="I857" s="11" t="str">
        <f aca="false">IF(INDEX(選手一覧!$H$7:$H$2738,$F857)="","",INDEX(選手一覧!$H$7:$H$2738,$F857))</f>
        <v/>
      </c>
      <c r="J857" s="12" t="str">
        <f aca="false">IF(INDEX(選手一覧!$I$7:$I$2738,$F857)="","",INDEX(選手一覧!$I$7:$I$2738,$F857))</f>
        <v/>
      </c>
    </row>
    <row r="858" customFormat="false" ht="15" hidden="false" customHeight="false" outlineLevel="0" collapsed="false">
      <c r="A858" s="12" t="n">
        <v>854</v>
      </c>
      <c r="B858" s="10" t="s">
        <v>2558</v>
      </c>
      <c r="C858" s="10" t="s">
        <v>1458</v>
      </c>
      <c r="D858" s="11" t="n">
        <v>0.0108618055555556</v>
      </c>
      <c r="E858" s="18" t="n">
        <f aca="false">ROUND((D858-$D$5)*86400,2)</f>
        <v>148.72</v>
      </c>
      <c r="F858" s="12" t="n">
        <v>1786</v>
      </c>
      <c r="G858" s="11" t="str">
        <f aca="false">IF(INDEX(選手一覧!$F$7:$F$2738,$F858)="","",INDEX(選手一覧!$F$7:$F$2738,$F858))</f>
        <v/>
      </c>
      <c r="H858" s="12" t="str">
        <f aca="false">IF(INDEX(選手一覧!$G$7:$G$2738,$F858)="","",INDEX(選手一覧!$G$7:$G$2738,$F858))</f>
        <v/>
      </c>
      <c r="I858" s="11" t="str">
        <f aca="false">IF(INDEX(選手一覧!$H$7:$H$2738,$F858)="","",INDEX(選手一覧!$H$7:$H$2738,$F858))</f>
        <v/>
      </c>
      <c r="J858" s="12" t="str">
        <f aca="false">IF(INDEX(選手一覧!$I$7:$I$2738,$F858)="","",INDEX(選手一覧!$I$7:$I$2738,$F858))</f>
        <v/>
      </c>
    </row>
    <row r="859" customFormat="false" ht="15" hidden="false" customHeight="false" outlineLevel="0" collapsed="false">
      <c r="A859" s="12" t="n">
        <v>855</v>
      </c>
      <c r="B859" s="10" t="s">
        <v>1429</v>
      </c>
      <c r="C859" s="10" t="s">
        <v>377</v>
      </c>
      <c r="D859" s="11" t="n">
        <v>0.0108622685185185</v>
      </c>
      <c r="E859" s="18" t="n">
        <f aca="false">ROUND((D859-$D$5)*86400,2)</f>
        <v>148.76</v>
      </c>
      <c r="F859" s="12" t="n">
        <v>977</v>
      </c>
      <c r="G859" s="11" t="str">
        <f aca="false">IF(INDEX(選手一覧!$F$7:$F$2738,$F859)="","",INDEX(選手一覧!$F$7:$F$2738,$F859))</f>
        <v/>
      </c>
      <c r="H859" s="12" t="str">
        <f aca="false">IF(INDEX(選手一覧!$G$7:$G$2738,$F859)="","",INDEX(選手一覧!$G$7:$G$2738,$F859))</f>
        <v/>
      </c>
      <c r="I859" s="11" t="n">
        <f aca="false">IF(INDEX(選手一覧!$H$7:$H$2738,$F859)="","",INDEX(選手一覧!$H$7:$H$2738,$F859))</f>
        <v>0.00283171296296296</v>
      </c>
      <c r="J859" s="12" t="n">
        <f aca="false">IF(INDEX(選手一覧!$I$7:$I$2738,$F859)="","",INDEX(選手一覧!$I$7:$I$2738,$F859))</f>
        <v>437</v>
      </c>
    </row>
    <row r="860" customFormat="false" ht="15" hidden="false" customHeight="false" outlineLevel="0" collapsed="false">
      <c r="A860" s="12" t="n">
        <v>856</v>
      </c>
      <c r="B860" s="10" t="s">
        <v>2562</v>
      </c>
      <c r="C860" s="10" t="s">
        <v>1438</v>
      </c>
      <c r="D860" s="11" t="n">
        <v>0.0108628472222222</v>
      </c>
      <c r="E860" s="18" t="n">
        <f aca="false">ROUND((D860-$D$5)*86400,2)</f>
        <v>148.81</v>
      </c>
      <c r="F860" s="12" t="n">
        <v>1789</v>
      </c>
      <c r="G860" s="11" t="str">
        <f aca="false">IF(INDEX(選手一覧!$F$7:$F$2738,$F860)="","",INDEX(選手一覧!$F$7:$F$2738,$F860))</f>
        <v/>
      </c>
      <c r="H860" s="12" t="str">
        <f aca="false">IF(INDEX(選手一覧!$G$7:$G$2738,$F860)="","",INDEX(選手一覧!$G$7:$G$2738,$F860))</f>
        <v/>
      </c>
      <c r="I860" s="11" t="str">
        <f aca="false">IF(INDEX(選手一覧!$H$7:$H$2738,$F860)="","",INDEX(選手一覧!$H$7:$H$2738,$F860))</f>
        <v/>
      </c>
      <c r="J860" s="12" t="str">
        <f aca="false">IF(INDEX(選手一覧!$I$7:$I$2738,$F860)="","",INDEX(選手一覧!$I$7:$I$2738,$F860))</f>
        <v/>
      </c>
    </row>
    <row r="861" customFormat="false" ht="15" hidden="false" customHeight="false" outlineLevel="0" collapsed="false">
      <c r="A861" s="12" t="n">
        <v>857</v>
      </c>
      <c r="B861" s="10" t="s">
        <v>2566</v>
      </c>
      <c r="C861" s="10" t="s">
        <v>494</v>
      </c>
      <c r="D861" s="11" t="n">
        <v>0.0108631944444444</v>
      </c>
      <c r="E861" s="18" t="n">
        <f aca="false">ROUND((D861-$D$5)*86400,2)</f>
        <v>148.84</v>
      </c>
      <c r="F861" s="12" t="n">
        <v>1792</v>
      </c>
      <c r="G861" s="11" t="str">
        <f aca="false">IF(INDEX(選手一覧!$F$7:$F$2738,$F861)="","",INDEX(選手一覧!$F$7:$F$2738,$F861))</f>
        <v/>
      </c>
      <c r="H861" s="12" t="str">
        <f aca="false">IF(INDEX(選手一覧!$G$7:$G$2738,$F861)="","",INDEX(選手一覧!$G$7:$G$2738,$F861))</f>
        <v/>
      </c>
      <c r="I861" s="11" t="n">
        <f aca="false">IF(INDEX(選手一覧!$H$7:$H$2738,$F861)="","",INDEX(選手一覧!$H$7:$H$2738,$F861))</f>
        <v>0.00289189814814815</v>
      </c>
      <c r="J861" s="12" t="n">
        <f aca="false">IF(INDEX(選手一覧!$I$7:$I$2738,$F861)="","",INDEX(選手一覧!$I$7:$I$2738,$F861))</f>
        <v>886</v>
      </c>
    </row>
    <row r="862" customFormat="false" ht="15" hidden="false" customHeight="false" outlineLevel="0" collapsed="false">
      <c r="A862" s="12" t="n">
        <v>858</v>
      </c>
      <c r="B862" s="10" t="s">
        <v>2567</v>
      </c>
      <c r="C862" s="10" t="s">
        <v>1680</v>
      </c>
      <c r="D862" s="11" t="n">
        <v>0.0108633101851852</v>
      </c>
      <c r="E862" s="18" t="n">
        <f aca="false">ROUND((D862-$D$5)*86400,2)</f>
        <v>148.85</v>
      </c>
      <c r="F862" s="12" t="n">
        <v>1793</v>
      </c>
      <c r="G862" s="11" t="str">
        <f aca="false">IF(INDEX(選手一覧!$F$7:$F$2738,$F862)="","",INDEX(選手一覧!$F$7:$F$2738,$F862))</f>
        <v/>
      </c>
      <c r="H862" s="12" t="str">
        <f aca="false">IF(INDEX(選手一覧!$G$7:$G$2738,$F862)="","",INDEX(選手一覧!$G$7:$G$2738,$F862))</f>
        <v/>
      </c>
      <c r="I862" s="11" t="n">
        <f aca="false">IF(INDEX(選手一覧!$H$7:$H$2738,$F862)="","",INDEX(選手一覧!$H$7:$H$2738,$F862))</f>
        <v>0.00289016203703704</v>
      </c>
      <c r="J862" s="12" t="n">
        <f aca="false">IF(INDEX(選手一覧!$I$7:$I$2738,$F862)="","",INDEX(選手一覧!$I$7:$I$2738,$F862))</f>
        <v>866</v>
      </c>
    </row>
    <row r="863" customFormat="false" ht="15" hidden="false" customHeight="false" outlineLevel="0" collapsed="false">
      <c r="A863" s="12" t="n">
        <v>859</v>
      </c>
      <c r="B863" s="10" t="s">
        <v>1884</v>
      </c>
      <c r="C863" s="10" t="s">
        <v>1885</v>
      </c>
      <c r="D863" s="11" t="n">
        <v>0.0108643518518519</v>
      </c>
      <c r="E863" s="18" t="n">
        <f aca="false">ROUND((D863-$D$5)*86400,2)</f>
        <v>148.94</v>
      </c>
      <c r="F863" s="12" t="n">
        <v>1296</v>
      </c>
      <c r="G863" s="11" t="n">
        <f aca="false">IF(INDEX(選手一覧!$F$7:$F$2738,$F863)="","",INDEX(選手一覧!$F$7:$F$2738,$F863))</f>
        <v>0.00756539351851852</v>
      </c>
      <c r="H863" s="12" t="n">
        <f aca="false">IF(INDEX(選手一覧!$G$7:$G$2738,$F863)="","",INDEX(選手一覧!$G$7:$G$2738,$F863))</f>
        <v>971</v>
      </c>
      <c r="I863" s="11" t="n">
        <f aca="false">IF(INDEX(選手一覧!$H$7:$H$2738,$F863)="","",INDEX(選手一覧!$H$7:$H$2738,$F863))</f>
        <v>0.0028556712962963</v>
      </c>
      <c r="J863" s="12" t="n">
        <f aca="false">IF(INDEX(選手一覧!$I$7:$I$2738,$F863)="","",INDEX(選手一覧!$I$7:$I$2738,$F863))</f>
        <v>603</v>
      </c>
    </row>
    <row r="864" customFormat="false" ht="15" hidden="false" customHeight="false" outlineLevel="0" collapsed="false">
      <c r="A864" s="12" t="n">
        <v>860</v>
      </c>
      <c r="B864" s="10" t="s">
        <v>747</v>
      </c>
      <c r="C864" s="10" t="s">
        <v>748</v>
      </c>
      <c r="D864" s="11" t="n">
        <v>0.0108645833333333</v>
      </c>
      <c r="E864" s="18" t="n">
        <f aca="false">ROUND((D864-$D$5)*86400,2)</f>
        <v>148.96</v>
      </c>
      <c r="F864" s="12" t="n">
        <v>482</v>
      </c>
      <c r="G864" s="11" t="n">
        <f aca="false">IF(INDEX(選手一覧!$F$7:$F$2738,$F864)="","",INDEX(選手一覧!$F$7:$F$2738,$F864))</f>
        <v>0.00684953703703704</v>
      </c>
      <c r="H864" s="12" t="n">
        <f aca="false">IF(INDEX(選手一覧!$G$7:$G$2738,$F864)="","",INDEX(選手一覧!$G$7:$G$2738,$F864))</f>
        <v>203</v>
      </c>
      <c r="I864" s="11" t="n">
        <f aca="false">IF(INDEX(選手一覧!$H$7:$H$2738,$F864)="","",INDEX(選手一覧!$H$7:$H$2738,$F864))</f>
        <v>0.00284097222222222</v>
      </c>
      <c r="J864" s="12" t="n">
        <f aca="false">IF(INDEX(選手一覧!$I$7:$I$2738,$F864)="","",INDEX(選手一覧!$I$7:$I$2738,$F864))</f>
        <v>506</v>
      </c>
    </row>
    <row r="865" customFormat="false" ht="15" hidden="false" customHeight="false" outlineLevel="0" collapsed="false">
      <c r="A865" s="12" t="n">
        <v>861</v>
      </c>
      <c r="B865" s="10" t="s">
        <v>2572</v>
      </c>
      <c r="C865" s="10" t="s">
        <v>1436</v>
      </c>
      <c r="D865" s="11" t="n">
        <v>0.0108646990740741</v>
      </c>
      <c r="E865" s="18" t="n">
        <f aca="false">ROUND((D865-$D$5)*86400,2)</f>
        <v>148.97</v>
      </c>
      <c r="F865" s="12" t="n">
        <v>1798</v>
      </c>
      <c r="G865" s="11" t="str">
        <f aca="false">IF(INDEX(選手一覧!$F$7:$F$2738,$F865)="","",INDEX(選手一覧!$F$7:$F$2738,$F865))</f>
        <v/>
      </c>
      <c r="H865" s="12" t="str">
        <f aca="false">IF(INDEX(選手一覧!$G$7:$G$2738,$F865)="","",INDEX(選手一覧!$G$7:$G$2738,$F865))</f>
        <v/>
      </c>
      <c r="I865" s="11" t="str">
        <f aca="false">IF(INDEX(選手一覧!$H$7:$H$2738,$F865)="","",INDEX(選手一覧!$H$7:$H$2738,$F865))</f>
        <v/>
      </c>
      <c r="J865" s="12" t="str">
        <f aca="false">IF(INDEX(選手一覧!$I$7:$I$2738,$F865)="","",INDEX(選手一覧!$I$7:$I$2738,$F865))</f>
        <v/>
      </c>
    </row>
    <row r="866" customFormat="false" ht="15" hidden="false" customHeight="false" outlineLevel="0" collapsed="false">
      <c r="A866" s="12" t="n">
        <v>862</v>
      </c>
      <c r="B866" s="10" t="s">
        <v>2575</v>
      </c>
      <c r="C866" s="10" t="s">
        <v>118</v>
      </c>
      <c r="D866" s="11" t="n">
        <v>0.0108652777777778</v>
      </c>
      <c r="E866" s="18" t="n">
        <f aca="false">ROUND((D866-$D$5)*86400,2)</f>
        <v>149.02</v>
      </c>
      <c r="F866" s="12" t="n">
        <v>1801</v>
      </c>
      <c r="G866" s="11" t="str">
        <f aca="false">IF(INDEX(選手一覧!$F$7:$F$2738,$F866)="","",INDEX(選手一覧!$F$7:$F$2738,$F866))</f>
        <v/>
      </c>
      <c r="H866" s="12" t="str">
        <f aca="false">IF(INDEX(選手一覧!$G$7:$G$2738,$F866)="","",INDEX(選手一覧!$G$7:$G$2738,$F866))</f>
        <v/>
      </c>
      <c r="I866" s="11" t="str">
        <f aca="false">IF(INDEX(選手一覧!$H$7:$H$2738,$F866)="","",INDEX(選手一覧!$H$7:$H$2738,$F866))</f>
        <v/>
      </c>
      <c r="J866" s="12" t="str">
        <f aca="false">IF(INDEX(選手一覧!$I$7:$I$2738,$F866)="","",INDEX(選手一覧!$I$7:$I$2738,$F866))</f>
        <v/>
      </c>
    </row>
    <row r="867" customFormat="false" ht="15" hidden="false" customHeight="false" outlineLevel="0" collapsed="false">
      <c r="A867" s="12" t="n">
        <v>863</v>
      </c>
      <c r="B867" s="10" t="s">
        <v>1470</v>
      </c>
      <c r="C867" s="10" t="s">
        <v>814</v>
      </c>
      <c r="D867" s="11" t="n">
        <v>0.0108665509259259</v>
      </c>
      <c r="E867" s="18" t="n">
        <f aca="false">ROUND((D867-$D$5)*86400,2)</f>
        <v>149.13</v>
      </c>
      <c r="F867" s="12" t="n">
        <v>1008</v>
      </c>
      <c r="G867" s="11" t="str">
        <f aca="false">IF(INDEX(選手一覧!$F$7:$F$2738,$F867)="","",INDEX(選手一覧!$F$7:$F$2738,$F867))</f>
        <v/>
      </c>
      <c r="H867" s="12" t="str">
        <f aca="false">IF(INDEX(選手一覧!$G$7:$G$2738,$F867)="","",INDEX(選手一覧!$G$7:$G$2738,$F867))</f>
        <v/>
      </c>
      <c r="I867" s="11" t="n">
        <f aca="false">IF(INDEX(選手一覧!$H$7:$H$2738,$F867)="","",INDEX(選手一覧!$H$7:$H$2738,$F867))</f>
        <v>0.002834375</v>
      </c>
      <c r="J867" s="12" t="n">
        <f aca="false">IF(INDEX(選手一覧!$I$7:$I$2738,$F867)="","",INDEX(選手一覧!$I$7:$I$2738,$F867))</f>
        <v>452</v>
      </c>
    </row>
    <row r="868" customFormat="false" ht="15" hidden="false" customHeight="false" outlineLevel="0" collapsed="false">
      <c r="A868" s="12" t="n">
        <v>864</v>
      </c>
      <c r="B868" s="10" t="s">
        <v>2580</v>
      </c>
      <c r="C868" s="10" t="s">
        <v>53</v>
      </c>
      <c r="D868" s="11" t="n">
        <v>0.0108673611111111</v>
      </c>
      <c r="E868" s="18" t="n">
        <f aca="false">ROUND((D868-$D$5)*86400,2)</f>
        <v>149.2</v>
      </c>
      <c r="F868" s="12" t="n">
        <v>1805</v>
      </c>
      <c r="G868" s="11" t="str">
        <f aca="false">IF(INDEX(選手一覧!$F$7:$F$2738,$F868)="","",INDEX(選手一覧!$F$7:$F$2738,$F868))</f>
        <v/>
      </c>
      <c r="H868" s="12" t="str">
        <f aca="false">IF(INDEX(選手一覧!$G$7:$G$2738,$F868)="","",INDEX(選手一覧!$G$7:$G$2738,$F868))</f>
        <v/>
      </c>
      <c r="I868" s="11" t="str">
        <f aca="false">IF(INDEX(選手一覧!$H$7:$H$2738,$F868)="","",INDEX(選手一覧!$H$7:$H$2738,$F868))</f>
        <v/>
      </c>
      <c r="J868" s="12" t="str">
        <f aca="false">IF(INDEX(選手一覧!$I$7:$I$2738,$F868)="","",INDEX(選手一覧!$I$7:$I$2738,$F868))</f>
        <v/>
      </c>
    </row>
    <row r="869" customFormat="false" ht="15" hidden="false" customHeight="false" outlineLevel="0" collapsed="false">
      <c r="A869" s="12" t="n">
        <v>865</v>
      </c>
      <c r="B869" s="10" t="s">
        <v>2582</v>
      </c>
      <c r="C869" s="10" t="s">
        <v>49</v>
      </c>
      <c r="D869" s="11" t="n">
        <v>0.0108675925925926</v>
      </c>
      <c r="E869" s="18" t="n">
        <f aca="false">ROUND((D869-$D$5)*86400,2)</f>
        <v>149.22</v>
      </c>
      <c r="F869" s="12" t="n">
        <v>1807</v>
      </c>
      <c r="G869" s="11" t="str">
        <f aca="false">IF(INDEX(選手一覧!$F$7:$F$2738,$F869)="","",INDEX(選手一覧!$F$7:$F$2738,$F869))</f>
        <v/>
      </c>
      <c r="H869" s="12" t="str">
        <f aca="false">IF(INDEX(選手一覧!$G$7:$G$2738,$F869)="","",INDEX(選手一覧!$G$7:$G$2738,$F869))</f>
        <v/>
      </c>
      <c r="I869" s="11" t="n">
        <f aca="false">IF(INDEX(選手一覧!$H$7:$H$2738,$F869)="","",INDEX(選手一覧!$H$7:$H$2738,$F869))</f>
        <v>0.00290486111111111</v>
      </c>
      <c r="J869" s="12" t="n">
        <f aca="false">IF(INDEX(選手一覧!$I$7:$I$2738,$F869)="","",INDEX(選手一覧!$I$7:$I$2738,$F869))</f>
        <v>982</v>
      </c>
    </row>
    <row r="870" customFormat="false" ht="15" hidden="false" customHeight="false" outlineLevel="0" collapsed="false">
      <c r="A870" s="12" t="n">
        <v>866</v>
      </c>
      <c r="B870" s="10" t="s">
        <v>815</v>
      </c>
      <c r="C870" s="10" t="s">
        <v>816</v>
      </c>
      <c r="D870" s="11" t="n">
        <v>0.0108675925925926</v>
      </c>
      <c r="E870" s="18" t="n">
        <f aca="false">ROUND((D870-$D$5)*86400,2)</f>
        <v>149.22</v>
      </c>
      <c r="F870" s="12" t="n">
        <v>532</v>
      </c>
      <c r="G870" s="11" t="str">
        <f aca="false">IF(INDEX(選手一覧!$F$7:$F$2738,$F870)="","",INDEX(選手一覧!$F$7:$F$2738,$F870))</f>
        <v/>
      </c>
      <c r="H870" s="12" t="str">
        <f aca="false">IF(INDEX(選手一覧!$G$7:$G$2738,$F870)="","",INDEX(選手一覧!$G$7:$G$2738,$F870))</f>
        <v/>
      </c>
      <c r="I870" s="11" t="n">
        <f aca="false">IF(INDEX(選手一覧!$H$7:$H$2738,$F870)="","",INDEX(選手一覧!$H$7:$H$2738,$F870))</f>
        <v>0.00278645833333333</v>
      </c>
      <c r="J870" s="12" t="n">
        <f aca="false">IF(INDEX(選手一覧!$I$7:$I$2738,$F870)="","",INDEX(選手一覧!$I$7:$I$2738,$F870))</f>
        <v>223</v>
      </c>
    </row>
    <row r="871" customFormat="false" ht="15" hidden="false" customHeight="false" outlineLevel="0" collapsed="false">
      <c r="A871" s="12" t="n">
        <v>867</v>
      </c>
      <c r="B871" s="10" t="s">
        <v>2172</v>
      </c>
      <c r="C871" s="10" t="s">
        <v>2173</v>
      </c>
      <c r="D871" s="11" t="n">
        <v>0.0108677083333333</v>
      </c>
      <c r="E871" s="18" t="n">
        <f aca="false">ROUND((D871-$D$5)*86400,2)</f>
        <v>149.23</v>
      </c>
      <c r="F871" s="12" t="n">
        <v>1502</v>
      </c>
      <c r="G871" s="11" t="n">
        <f aca="false">IF(INDEX(選手一覧!$F$7:$F$2738,$F871)="","",INDEX(選手一覧!$F$7:$F$2738,$F871))</f>
        <v>0.00735300925925926</v>
      </c>
      <c r="H871" s="12" t="n">
        <f aca="false">IF(INDEX(選手一覧!$G$7:$G$2738,$F871)="","",INDEX(選手一覧!$G$7:$G$2738,$F871))</f>
        <v>714</v>
      </c>
      <c r="I871" s="11" t="n">
        <f aca="false">IF(INDEX(選手一覧!$H$7:$H$2738,$F871)="","",INDEX(選手一覧!$H$7:$H$2738,$F871))</f>
        <v>0.00290034722222222</v>
      </c>
      <c r="J871" s="12" t="n">
        <f aca="false">IF(INDEX(選手一覧!$I$7:$I$2738,$F871)="","",INDEX(選手一覧!$I$7:$I$2738,$F871))</f>
        <v>950</v>
      </c>
    </row>
    <row r="872" customFormat="false" ht="15" hidden="false" customHeight="false" outlineLevel="0" collapsed="false">
      <c r="A872" s="12" t="n">
        <v>868</v>
      </c>
      <c r="B872" s="10" t="s">
        <v>626</v>
      </c>
      <c r="C872" s="10" t="s">
        <v>627</v>
      </c>
      <c r="D872" s="11" t="n">
        <v>0.0108678240740741</v>
      </c>
      <c r="E872" s="18" t="n">
        <f aca="false">ROUND((D872-$D$5)*86400,2)</f>
        <v>149.24</v>
      </c>
      <c r="F872" s="12" t="n">
        <v>395</v>
      </c>
      <c r="G872" s="11" t="n">
        <f aca="false">IF(INDEX(選手一覧!$F$7:$F$2738,$F872)="","",INDEX(選手一覧!$F$7:$F$2738,$F872))</f>
        <v>0.00679560185185185</v>
      </c>
      <c r="H872" s="12" t="n">
        <f aca="false">IF(INDEX(選手一覧!$G$7:$G$2738,$F872)="","",INDEX(選手一覧!$G$7:$G$2738,$F872))</f>
        <v>167</v>
      </c>
      <c r="I872" s="11" t="str">
        <f aca="false">IF(INDEX(選手一覧!$H$7:$H$2738,$F872)="","",INDEX(選手一覧!$H$7:$H$2738,$F872))</f>
        <v/>
      </c>
      <c r="J872" s="12" t="str">
        <f aca="false">IF(INDEX(選手一覧!$I$7:$I$2738,$F872)="","",INDEX(選手一覧!$I$7:$I$2738,$F872))</f>
        <v/>
      </c>
    </row>
    <row r="873" customFormat="false" ht="15" hidden="false" customHeight="false" outlineLevel="0" collapsed="false">
      <c r="A873" s="12" t="n">
        <v>869</v>
      </c>
      <c r="B873" s="10" t="s">
        <v>540</v>
      </c>
      <c r="C873" s="10" t="s">
        <v>541</v>
      </c>
      <c r="D873" s="11" t="n">
        <v>0.0108684027777778</v>
      </c>
      <c r="E873" s="18" t="n">
        <f aca="false">ROUND((D873-$D$5)*86400,2)</f>
        <v>149.29</v>
      </c>
      <c r="F873" s="12" t="n">
        <v>338</v>
      </c>
      <c r="G873" s="11" t="n">
        <f aca="false">IF(INDEX(選手一覧!$F$7:$F$2738,$F873)="","",INDEX(選手一覧!$F$7:$F$2738,$F873))</f>
        <v>0.00676365740740741</v>
      </c>
      <c r="H873" s="12" t="n">
        <f aca="false">IF(INDEX(選手一覧!$G$7:$G$2738,$F873)="","",INDEX(選手一覧!$G$7:$G$2738,$F873))</f>
        <v>140</v>
      </c>
      <c r="I873" s="11" t="str">
        <f aca="false">IF(INDEX(選手一覧!$H$7:$H$2738,$F873)="","",INDEX(選手一覧!$H$7:$H$2738,$F873))</f>
        <v/>
      </c>
      <c r="J873" s="12" t="str">
        <f aca="false">IF(INDEX(選手一覧!$I$7:$I$2738,$F873)="","",INDEX(選手一覧!$I$7:$I$2738,$F873))</f>
        <v/>
      </c>
    </row>
    <row r="874" customFormat="false" ht="15" hidden="false" customHeight="false" outlineLevel="0" collapsed="false">
      <c r="A874" s="12" t="n">
        <v>870</v>
      </c>
      <c r="B874" s="10" t="s">
        <v>2593</v>
      </c>
      <c r="C874" s="10" t="s">
        <v>220</v>
      </c>
      <c r="D874" s="11" t="n">
        <v>0.0108693287037037</v>
      </c>
      <c r="E874" s="18" t="n">
        <f aca="false">ROUND((D874-$D$5)*86400,2)</f>
        <v>149.37</v>
      </c>
      <c r="F874" s="12" t="n">
        <v>1815</v>
      </c>
      <c r="G874" s="11" t="str">
        <f aca="false">IF(INDEX(選手一覧!$F$7:$F$2738,$F874)="","",INDEX(選手一覧!$F$7:$F$2738,$F874))</f>
        <v/>
      </c>
      <c r="H874" s="12" t="str">
        <f aca="false">IF(INDEX(選手一覧!$G$7:$G$2738,$F874)="","",INDEX(選手一覧!$G$7:$G$2738,$F874))</f>
        <v/>
      </c>
      <c r="I874" s="11" t="n">
        <f aca="false">IF(INDEX(選手一覧!$H$7:$H$2738,$F874)="","",INDEX(選手一覧!$H$7:$H$2738,$F874))</f>
        <v>0.00290625</v>
      </c>
      <c r="J874" s="12" t="n">
        <f aca="false">IF(INDEX(選手一覧!$I$7:$I$2738,$F874)="","",INDEX(選手一覧!$I$7:$I$2738,$F874))</f>
        <v>991</v>
      </c>
    </row>
    <row r="875" customFormat="false" ht="15" hidden="false" customHeight="false" outlineLevel="0" collapsed="false">
      <c r="A875" s="12" t="n">
        <v>871</v>
      </c>
      <c r="B875" s="10" t="s">
        <v>2165</v>
      </c>
      <c r="C875" s="10" t="s">
        <v>546</v>
      </c>
      <c r="D875" s="11" t="n">
        <v>0.0108703703703704</v>
      </c>
      <c r="E875" s="18" t="n">
        <f aca="false">ROUND((D875-$D$5)*86400,2)</f>
        <v>149.46</v>
      </c>
      <c r="F875" s="12" t="n">
        <v>1497</v>
      </c>
      <c r="G875" s="11" t="str">
        <f aca="false">IF(INDEX(選手一覧!$F$7:$F$2738,$F875)="","",INDEX(選手一覧!$F$7:$F$2738,$F875))</f>
        <v/>
      </c>
      <c r="H875" s="12" t="str">
        <f aca="false">IF(INDEX(選手一覧!$G$7:$G$2738,$F875)="","",INDEX(選手一覧!$G$7:$G$2738,$F875))</f>
        <v/>
      </c>
      <c r="I875" s="11" t="n">
        <f aca="false">IF(INDEX(選手一覧!$H$7:$H$2738,$F875)="","",INDEX(選手一覧!$H$7:$H$2738,$F875))</f>
        <v>0.00287152777777778</v>
      </c>
      <c r="J875" s="12" t="n">
        <f aca="false">IF(INDEX(選手一覧!$I$7:$I$2738,$F875)="","",INDEX(選手一覧!$I$7:$I$2738,$F875))</f>
        <v>712</v>
      </c>
    </row>
    <row r="876" customFormat="false" ht="15" hidden="false" customHeight="false" outlineLevel="0" collapsed="false">
      <c r="A876" s="12" t="n">
        <v>872</v>
      </c>
      <c r="B876" s="10" t="s">
        <v>2599</v>
      </c>
      <c r="C876" s="10" t="s">
        <v>538</v>
      </c>
      <c r="D876" s="11" t="n">
        <v>0.0108721064814815</v>
      </c>
      <c r="E876" s="18" t="n">
        <f aca="false">ROUND((D876-$D$5)*86400,2)</f>
        <v>149.61</v>
      </c>
      <c r="F876" s="12" t="n">
        <v>1819</v>
      </c>
      <c r="G876" s="11" t="str">
        <f aca="false">IF(INDEX(選手一覧!$F$7:$F$2738,$F876)="","",INDEX(選手一覧!$F$7:$F$2738,$F876))</f>
        <v/>
      </c>
      <c r="H876" s="12" t="str">
        <f aca="false">IF(INDEX(選手一覧!$G$7:$G$2738,$F876)="","",INDEX(選手一覧!$G$7:$G$2738,$F876))</f>
        <v/>
      </c>
      <c r="I876" s="11" t="str">
        <f aca="false">IF(INDEX(選手一覧!$H$7:$H$2738,$F876)="","",INDEX(選手一覧!$H$7:$H$2738,$F876))</f>
        <v/>
      </c>
      <c r="J876" s="12" t="str">
        <f aca="false">IF(INDEX(選手一覧!$I$7:$I$2738,$F876)="","",INDEX(選手一覧!$I$7:$I$2738,$F876))</f>
        <v/>
      </c>
    </row>
    <row r="877" customFormat="false" ht="15" hidden="false" customHeight="false" outlineLevel="0" collapsed="false">
      <c r="A877" s="12" t="n">
        <v>873</v>
      </c>
      <c r="B877" s="10" t="s">
        <v>2471</v>
      </c>
      <c r="C877" s="10" t="s">
        <v>570</v>
      </c>
      <c r="D877" s="11" t="n">
        <v>0.0108726851851852</v>
      </c>
      <c r="E877" s="18" t="n">
        <f aca="false">ROUND((D877-$D$5)*86400,2)</f>
        <v>149.66</v>
      </c>
      <c r="F877" s="12" t="n">
        <v>1721</v>
      </c>
      <c r="G877" s="11" t="str">
        <f aca="false">IF(INDEX(選手一覧!$F$7:$F$2738,$F877)="","",INDEX(選手一覧!$F$7:$F$2738,$F877))</f>
        <v/>
      </c>
      <c r="H877" s="12" t="str">
        <f aca="false">IF(INDEX(選手一覧!$G$7:$G$2738,$F877)="","",INDEX(選手一覧!$G$7:$G$2738,$F877))</f>
        <v/>
      </c>
      <c r="I877" s="11" t="n">
        <f aca="false">IF(INDEX(選手一覧!$H$7:$H$2738,$F877)="","",INDEX(選手一覧!$H$7:$H$2738,$F877))</f>
        <v>0.00288599537037037</v>
      </c>
      <c r="J877" s="12" t="n">
        <f aca="false">IF(INDEX(選手一覧!$I$7:$I$2738,$F877)="","",INDEX(選手一覧!$I$7:$I$2738,$F877))</f>
        <v>824</v>
      </c>
    </row>
    <row r="878" customFormat="false" ht="15" hidden="false" customHeight="false" outlineLevel="0" collapsed="false">
      <c r="A878" s="12" t="n">
        <v>874</v>
      </c>
      <c r="B878" s="10" t="s">
        <v>2169</v>
      </c>
      <c r="C878" s="10" t="s">
        <v>1166</v>
      </c>
      <c r="D878" s="11" t="n">
        <v>0.0108729166666667</v>
      </c>
      <c r="E878" s="18" t="n">
        <f aca="false">ROUND((D878-$D$5)*86400,2)</f>
        <v>149.68</v>
      </c>
      <c r="F878" s="12" t="n">
        <v>1500</v>
      </c>
      <c r="G878" s="11" t="str">
        <f aca="false">IF(INDEX(選手一覧!$F$7:$F$2738,$F878)="","",INDEX(選手一覧!$F$7:$F$2738,$F878))</f>
        <v/>
      </c>
      <c r="H878" s="12" t="str">
        <f aca="false">IF(INDEX(選手一覧!$G$7:$G$2738,$F878)="","",INDEX(選手一覧!$G$7:$G$2738,$F878))</f>
        <v/>
      </c>
      <c r="I878" s="11" t="n">
        <f aca="false">IF(INDEX(選手一覧!$H$7:$H$2738,$F878)="","",INDEX(選手一覧!$H$7:$H$2738,$F878))</f>
        <v>0.00287164351851852</v>
      </c>
      <c r="J878" s="12" t="n">
        <f aca="false">IF(INDEX(選手一覧!$I$7:$I$2738,$F878)="","",INDEX(選手一覧!$I$7:$I$2738,$F878))</f>
        <v>713</v>
      </c>
    </row>
    <row r="879" customFormat="false" ht="15" hidden="false" customHeight="false" outlineLevel="0" collapsed="false">
      <c r="A879" s="12" t="n">
        <v>875</v>
      </c>
      <c r="B879" s="10" t="s">
        <v>2608</v>
      </c>
      <c r="C879" s="10" t="s">
        <v>34</v>
      </c>
      <c r="D879" s="11" t="n">
        <v>0.0108732638888889</v>
      </c>
      <c r="E879" s="18" t="n">
        <f aca="false">ROUND((D879-$D$5)*86400,2)</f>
        <v>149.71</v>
      </c>
      <c r="F879" s="12" t="n">
        <v>1825</v>
      </c>
      <c r="G879" s="11" t="str">
        <f aca="false">IF(INDEX(選手一覧!$F$7:$F$2738,$F879)="","",INDEX(選手一覧!$F$7:$F$2738,$F879))</f>
        <v/>
      </c>
      <c r="H879" s="12" t="str">
        <f aca="false">IF(INDEX(選手一覧!$G$7:$G$2738,$F879)="","",INDEX(選手一覧!$G$7:$G$2738,$F879))</f>
        <v/>
      </c>
      <c r="I879" s="11" t="str">
        <f aca="false">IF(INDEX(選手一覧!$H$7:$H$2738,$F879)="","",INDEX(選手一覧!$H$7:$H$2738,$F879))</f>
        <v/>
      </c>
      <c r="J879" s="12" t="str">
        <f aca="false">IF(INDEX(選手一覧!$I$7:$I$2738,$F879)="","",INDEX(選手一覧!$I$7:$I$2738,$F879))</f>
        <v/>
      </c>
    </row>
    <row r="880" customFormat="false" ht="15" hidden="false" customHeight="false" outlineLevel="0" collapsed="false">
      <c r="A880" s="12" t="n">
        <v>876</v>
      </c>
      <c r="B880" s="10" t="s">
        <v>2611</v>
      </c>
      <c r="C880" s="10" t="s">
        <v>229</v>
      </c>
      <c r="D880" s="11" t="n">
        <v>0.0108732638888889</v>
      </c>
      <c r="E880" s="18" t="n">
        <f aca="false">ROUND((D880-$D$5)*86400,2)</f>
        <v>149.71</v>
      </c>
      <c r="F880" s="12" t="n">
        <v>1827</v>
      </c>
      <c r="G880" s="11" t="str">
        <f aca="false">IF(INDEX(選手一覧!$F$7:$F$2738,$F880)="","",INDEX(選手一覧!$F$7:$F$2738,$F880))</f>
        <v/>
      </c>
      <c r="H880" s="12" t="str">
        <f aca="false">IF(INDEX(選手一覧!$G$7:$G$2738,$F880)="","",INDEX(選手一覧!$G$7:$G$2738,$F880))</f>
        <v/>
      </c>
      <c r="I880" s="11" t="n">
        <f aca="false">IF(INDEX(選手一覧!$H$7:$H$2738,$F880)="","",INDEX(選手一覧!$H$7:$H$2738,$F880))</f>
        <v>0.00290752314814815</v>
      </c>
      <c r="J880" s="12" t="n">
        <f aca="false">IF(INDEX(選手一覧!$I$7:$I$2738,$F880)="","",INDEX(選手一覧!$I$7:$I$2738,$F880))</f>
        <v>996</v>
      </c>
    </row>
    <row r="881" customFormat="false" ht="15" hidden="false" customHeight="false" outlineLevel="0" collapsed="false">
      <c r="A881" s="12" t="n">
        <v>877</v>
      </c>
      <c r="B881" s="10" t="s">
        <v>2446</v>
      </c>
      <c r="C881" s="10" t="s">
        <v>2447</v>
      </c>
      <c r="D881" s="11" t="n">
        <v>0.0108736111111111</v>
      </c>
      <c r="E881" s="18" t="n">
        <f aca="false">ROUND((D881-$D$5)*86400,2)</f>
        <v>149.74</v>
      </c>
      <c r="F881" s="12" t="n">
        <v>1702</v>
      </c>
      <c r="G881" s="11" t="str">
        <f aca="false">IF(INDEX(選手一覧!$F$7:$F$2738,$F881)="","",INDEX(選手一覧!$F$7:$F$2738,$F881))</f>
        <v/>
      </c>
      <c r="H881" s="12" t="str">
        <f aca="false">IF(INDEX(選手一覧!$G$7:$G$2738,$F881)="","",INDEX(選手一覧!$G$7:$G$2738,$F881))</f>
        <v/>
      </c>
      <c r="I881" s="11" t="n">
        <f aca="false">IF(INDEX(選手一覧!$H$7:$H$2738,$F881)="","",INDEX(選手一覧!$H$7:$H$2738,$F881))</f>
        <v>0.00288483796296296</v>
      </c>
      <c r="J881" s="12" t="n">
        <f aca="false">IF(INDEX(選手一覧!$I$7:$I$2738,$F881)="","",INDEX(選手一覧!$I$7:$I$2738,$F881))</f>
        <v>815</v>
      </c>
    </row>
    <row r="882" customFormat="false" ht="15" hidden="false" customHeight="false" outlineLevel="0" collapsed="false">
      <c r="A882" s="12" t="n">
        <v>878</v>
      </c>
      <c r="B882" s="10" t="s">
        <v>325</v>
      </c>
      <c r="C882" s="10" t="s">
        <v>326</v>
      </c>
      <c r="D882" s="11" t="n">
        <v>0.0108737268518519</v>
      </c>
      <c r="E882" s="18" t="n">
        <f aca="false">ROUND((D882-$D$5)*86400,2)</f>
        <v>149.75</v>
      </c>
      <c r="F882" s="12" t="n">
        <v>187</v>
      </c>
      <c r="G882" s="11" t="str">
        <f aca="false">IF(INDEX(選手一覧!$F$7:$F$2738,$F882)="","",INDEX(選手一覧!$F$7:$F$2738,$F882))</f>
        <v/>
      </c>
      <c r="H882" s="12" t="str">
        <f aca="false">IF(INDEX(選手一覧!$G$7:$G$2738,$F882)="","",INDEX(選手一覧!$G$7:$G$2738,$F882))</f>
        <v/>
      </c>
      <c r="I882" s="11" t="n">
        <f aca="false">IF(INDEX(選手一覧!$H$7:$H$2738,$F882)="","",INDEX(選手一覧!$H$7:$H$2738,$F882))</f>
        <v>0.00273611111111111</v>
      </c>
      <c r="J882" s="12" t="n">
        <f aca="false">IF(INDEX(選手一覧!$I$7:$I$2738,$F882)="","",INDEX(選手一覧!$I$7:$I$2738,$F882))</f>
        <v>76</v>
      </c>
    </row>
    <row r="883" customFormat="false" ht="15" hidden="false" customHeight="false" outlineLevel="0" collapsed="false">
      <c r="A883" s="12" t="n">
        <v>879</v>
      </c>
      <c r="B883" s="10" t="s">
        <v>2622</v>
      </c>
      <c r="C883" s="10" t="s">
        <v>1458</v>
      </c>
      <c r="D883" s="11" t="n">
        <v>0.0108739583333333</v>
      </c>
      <c r="E883" s="18" t="n">
        <f aca="false">ROUND((D883-$D$5)*86400,2)</f>
        <v>149.77</v>
      </c>
      <c r="F883" s="12" t="n">
        <v>1833</v>
      </c>
      <c r="G883" s="11" t="str">
        <f aca="false">IF(INDEX(選手一覧!$F$7:$F$2738,$F883)="","",INDEX(選手一覧!$F$7:$F$2738,$F883))</f>
        <v/>
      </c>
      <c r="H883" s="12" t="str">
        <f aca="false">IF(INDEX(選手一覧!$G$7:$G$2738,$F883)="","",INDEX(選手一覧!$G$7:$G$2738,$F883))</f>
        <v/>
      </c>
      <c r="I883" s="11" t="str">
        <f aca="false">IF(INDEX(選手一覧!$H$7:$H$2738,$F883)="","",INDEX(選手一覧!$H$7:$H$2738,$F883))</f>
        <v/>
      </c>
      <c r="J883" s="12" t="str">
        <f aca="false">IF(INDEX(選手一覧!$I$7:$I$2738,$F883)="","",INDEX(選手一覧!$I$7:$I$2738,$F883))</f>
        <v/>
      </c>
    </row>
    <row r="884" customFormat="false" ht="15" hidden="false" customHeight="false" outlineLevel="0" collapsed="false">
      <c r="A884" s="12" t="n">
        <v>880</v>
      </c>
      <c r="B884" s="10" t="s">
        <v>2624</v>
      </c>
      <c r="C884" s="10" t="s">
        <v>1357</v>
      </c>
      <c r="D884" s="11" t="n">
        <v>0.0108746527777778</v>
      </c>
      <c r="E884" s="18" t="n">
        <f aca="false">ROUND((D884-$D$5)*86400,2)</f>
        <v>149.83</v>
      </c>
      <c r="F884" s="12" t="n">
        <v>1835</v>
      </c>
      <c r="G884" s="11" t="str">
        <f aca="false">IF(INDEX(選手一覧!$F$7:$F$2738,$F884)="","",INDEX(選手一覧!$F$7:$F$2738,$F884))</f>
        <v/>
      </c>
      <c r="H884" s="12" t="str">
        <f aca="false">IF(INDEX(選手一覧!$G$7:$G$2738,$F884)="","",INDEX(選手一覧!$G$7:$G$2738,$F884))</f>
        <v/>
      </c>
      <c r="I884" s="11" t="n">
        <f aca="false">IF(INDEX(選手一覧!$H$7:$H$2738,$F884)="","",INDEX(選手一覧!$H$7:$H$2738,$F884))</f>
        <v>0.00290520833333333</v>
      </c>
      <c r="J884" s="12" t="n">
        <f aca="false">IF(INDEX(選手一覧!$I$7:$I$2738,$F884)="","",INDEX(選手一覧!$I$7:$I$2738,$F884))</f>
        <v>985</v>
      </c>
    </row>
    <row r="885" customFormat="false" ht="15" hidden="false" customHeight="false" outlineLevel="0" collapsed="false">
      <c r="A885" s="12" t="n">
        <v>881</v>
      </c>
      <c r="B885" s="10" t="s">
        <v>2627</v>
      </c>
      <c r="C885" s="10" t="s">
        <v>2628</v>
      </c>
      <c r="D885" s="11" t="n">
        <v>0.0108752314814815</v>
      </c>
      <c r="E885" s="18" t="n">
        <f aca="false">ROUND((D885-$D$5)*86400,2)</f>
        <v>149.88</v>
      </c>
      <c r="F885" s="12" t="n">
        <v>1837</v>
      </c>
      <c r="G885" s="11" t="str">
        <f aca="false">IF(INDEX(選手一覧!$F$7:$F$2738,$F885)="","",INDEX(選手一覧!$F$7:$F$2738,$F885))</f>
        <v/>
      </c>
      <c r="H885" s="12" t="str">
        <f aca="false">IF(INDEX(選手一覧!$G$7:$G$2738,$F885)="","",INDEX(選手一覧!$G$7:$G$2738,$F885))</f>
        <v/>
      </c>
      <c r="I885" s="11" t="str">
        <f aca="false">IF(INDEX(選手一覧!$H$7:$H$2738,$F885)="","",INDEX(選手一覧!$H$7:$H$2738,$F885))</f>
        <v/>
      </c>
      <c r="J885" s="12" t="str">
        <f aca="false">IF(INDEX(選手一覧!$I$7:$I$2738,$F885)="","",INDEX(選手一覧!$I$7:$I$2738,$F885))</f>
        <v/>
      </c>
    </row>
    <row r="886" customFormat="false" ht="15" hidden="false" customHeight="false" outlineLevel="0" collapsed="false">
      <c r="A886" s="12" t="n">
        <v>882</v>
      </c>
      <c r="B886" s="10" t="s">
        <v>666</v>
      </c>
      <c r="C886" s="10" t="s">
        <v>667</v>
      </c>
      <c r="D886" s="11" t="n">
        <v>0.010875462962963</v>
      </c>
      <c r="E886" s="18" t="n">
        <f aca="false">ROUND((D886-$D$5)*86400,2)</f>
        <v>149.9</v>
      </c>
      <c r="F886" s="12" t="n">
        <v>424</v>
      </c>
      <c r="G886" s="11" t="n">
        <f aca="false">IF(INDEX(選手一覧!$F$7:$F$2738,$F886)="","",INDEX(選手一覧!$F$7:$F$2738,$F886))</f>
        <v>0.00731689814814815</v>
      </c>
      <c r="H886" s="12" t="n">
        <f aca="false">IF(INDEX(選手一覧!$G$7:$G$2738,$F886)="","",INDEX(選手一覧!$G$7:$G$2738,$F886))</f>
        <v>664</v>
      </c>
      <c r="I886" s="11" t="n">
        <f aca="false">IF(INDEX(選手一覧!$H$7:$H$2738,$F886)="","",INDEX(選手一覧!$H$7:$H$2738,$F886))</f>
        <v>0.00277581018518519</v>
      </c>
      <c r="J886" s="12" t="n">
        <f aca="false">IF(INDEX(選手一覧!$I$7:$I$2738,$F886)="","",INDEX(選手一覧!$I$7:$I$2738,$F886))</f>
        <v>179</v>
      </c>
    </row>
    <row r="887" customFormat="false" ht="15" hidden="false" customHeight="false" outlineLevel="0" collapsed="false">
      <c r="A887" s="12" t="n">
        <v>883</v>
      </c>
      <c r="B887" s="10" t="s">
        <v>2633</v>
      </c>
      <c r="C887" s="10" t="s">
        <v>36</v>
      </c>
      <c r="D887" s="11" t="n">
        <v>0.0108778935185185</v>
      </c>
      <c r="E887" s="18" t="n">
        <f aca="false">ROUND((D887-$D$5)*86400,2)</f>
        <v>150.11</v>
      </c>
      <c r="F887" s="12" t="n">
        <v>1841</v>
      </c>
      <c r="G887" s="11" t="str">
        <f aca="false">IF(INDEX(選手一覧!$F$7:$F$2738,$F887)="","",INDEX(選手一覧!$F$7:$F$2738,$F887))</f>
        <v/>
      </c>
      <c r="H887" s="12" t="str">
        <f aca="false">IF(INDEX(選手一覧!$G$7:$G$2738,$F887)="","",INDEX(選手一覧!$G$7:$G$2738,$F887))</f>
        <v/>
      </c>
      <c r="I887" s="11" t="str">
        <f aca="false">IF(INDEX(選手一覧!$H$7:$H$2738,$F887)="","",INDEX(選手一覧!$H$7:$H$2738,$F887))</f>
        <v/>
      </c>
      <c r="J887" s="12" t="str">
        <f aca="false">IF(INDEX(選手一覧!$I$7:$I$2738,$F887)="","",INDEX(選手一覧!$I$7:$I$2738,$F887))</f>
        <v/>
      </c>
    </row>
    <row r="888" customFormat="false" ht="15" hidden="false" customHeight="false" outlineLevel="0" collapsed="false">
      <c r="A888" s="12" t="n">
        <v>884</v>
      </c>
      <c r="B888" s="10" t="s">
        <v>2635</v>
      </c>
      <c r="C888" s="10" t="s">
        <v>818</v>
      </c>
      <c r="D888" s="11" t="n">
        <v>0.0108778935185185</v>
      </c>
      <c r="E888" s="18" t="n">
        <f aca="false">ROUND((D888-$D$5)*86400,2)</f>
        <v>150.11</v>
      </c>
      <c r="F888" s="12" t="n">
        <v>1843</v>
      </c>
      <c r="G888" s="11" t="str">
        <f aca="false">IF(INDEX(選手一覧!$F$7:$F$2738,$F888)="","",INDEX(選手一覧!$F$7:$F$2738,$F888))</f>
        <v/>
      </c>
      <c r="H888" s="12" t="str">
        <f aca="false">IF(INDEX(選手一覧!$G$7:$G$2738,$F888)="","",INDEX(選手一覧!$G$7:$G$2738,$F888))</f>
        <v/>
      </c>
      <c r="I888" s="11" t="str">
        <f aca="false">IF(INDEX(選手一覧!$H$7:$H$2738,$F888)="","",INDEX(選手一覧!$H$7:$H$2738,$F888))</f>
        <v/>
      </c>
      <c r="J888" s="12" t="str">
        <f aca="false">IF(INDEX(選手一覧!$I$7:$I$2738,$F888)="","",INDEX(選手一覧!$I$7:$I$2738,$F888))</f>
        <v/>
      </c>
    </row>
    <row r="889" customFormat="false" ht="15" hidden="false" customHeight="false" outlineLevel="0" collapsed="false">
      <c r="A889" s="12" t="n">
        <v>885</v>
      </c>
      <c r="B889" s="10" t="s">
        <v>2162</v>
      </c>
      <c r="C889" s="10" t="s">
        <v>457</v>
      </c>
      <c r="D889" s="11" t="n">
        <v>0.0108788194444444</v>
      </c>
      <c r="E889" s="18" t="n">
        <f aca="false">ROUND((D889-$D$5)*86400,2)</f>
        <v>150.19</v>
      </c>
      <c r="F889" s="12" t="n">
        <v>1495</v>
      </c>
      <c r="G889" s="11" t="str">
        <f aca="false">IF(INDEX(選手一覧!$F$7:$F$2738,$F889)="","",INDEX(選手一覧!$F$7:$F$2738,$F889))</f>
        <v/>
      </c>
      <c r="H889" s="12" t="str">
        <f aca="false">IF(INDEX(選手一覧!$G$7:$G$2738,$F889)="","",INDEX(選手一覧!$G$7:$G$2738,$F889))</f>
        <v/>
      </c>
      <c r="I889" s="11" t="n">
        <f aca="false">IF(INDEX(選手一覧!$H$7:$H$2738,$F889)="","",INDEX(選手一覧!$H$7:$H$2738,$F889))</f>
        <v>0.00287141203703704</v>
      </c>
      <c r="J889" s="12" t="n">
        <f aca="false">IF(INDEX(選手一覧!$I$7:$I$2738,$F889)="","",INDEX(選手一覧!$I$7:$I$2738,$F889))</f>
        <v>711</v>
      </c>
    </row>
    <row r="890" customFormat="false" ht="15" hidden="false" customHeight="false" outlineLevel="0" collapsed="false">
      <c r="A890" s="12" t="n">
        <v>886</v>
      </c>
      <c r="B890" s="10" t="s">
        <v>2341</v>
      </c>
      <c r="C890" s="10" t="s">
        <v>2342</v>
      </c>
      <c r="D890" s="11" t="n">
        <v>0.0108791666666667</v>
      </c>
      <c r="E890" s="18" t="n">
        <f aca="false">ROUND((D890-$D$5)*86400,2)</f>
        <v>150.22</v>
      </c>
      <c r="F890" s="12" t="n">
        <v>1620</v>
      </c>
      <c r="G890" s="11" t="str">
        <f aca="false">IF(INDEX(選手一覧!$F$7:$F$2738,$F890)="","",INDEX(選手一覧!$F$7:$F$2738,$F890))</f>
        <v/>
      </c>
      <c r="H890" s="12" t="str">
        <f aca="false">IF(INDEX(選手一覧!$G$7:$G$2738,$F890)="","",INDEX(選手一覧!$G$7:$G$2738,$F890))</f>
        <v/>
      </c>
      <c r="I890" s="11" t="n">
        <f aca="false">IF(INDEX(選手一覧!$H$7:$H$2738,$F890)="","",INDEX(選手一覧!$H$7:$H$2738,$F890))</f>
        <v>0.00287986111111111</v>
      </c>
      <c r="J890" s="12" t="n">
        <f aca="false">IF(INDEX(選手一覧!$I$7:$I$2738,$F890)="","",INDEX(選手一覧!$I$7:$I$2738,$F890))</f>
        <v>771</v>
      </c>
    </row>
    <row r="891" customFormat="false" ht="15" hidden="false" customHeight="false" outlineLevel="0" collapsed="false">
      <c r="A891" s="12" t="n">
        <v>887</v>
      </c>
      <c r="B891" s="10" t="s">
        <v>1285</v>
      </c>
      <c r="C891" s="10" t="s">
        <v>1286</v>
      </c>
      <c r="D891" s="11" t="n">
        <v>0.0108793981481482</v>
      </c>
      <c r="E891" s="18" t="n">
        <f aca="false">ROUND((D891-$D$5)*86400,2)</f>
        <v>150.24</v>
      </c>
      <c r="F891" s="12" t="n">
        <v>875</v>
      </c>
      <c r="G891" s="11" t="n">
        <f aca="false">IF(INDEX(選手一覧!$F$7:$F$2738,$F891)="","",INDEX(選手一覧!$F$7:$F$2738,$F891))</f>
        <v>0.00704988425925926</v>
      </c>
      <c r="H891" s="12" t="n">
        <f aca="false">IF(INDEX(選手一覧!$G$7:$G$2738,$F891)="","",INDEX(選手一覧!$G$7:$G$2738,$F891))</f>
        <v>389</v>
      </c>
      <c r="I891" s="11" t="str">
        <f aca="false">IF(INDEX(選手一覧!$H$7:$H$2738,$F891)="","",INDEX(選手一覧!$H$7:$H$2738,$F891))</f>
        <v/>
      </c>
      <c r="J891" s="12" t="str">
        <f aca="false">IF(INDEX(選手一覧!$I$7:$I$2738,$F891)="","",INDEX(選手一覧!$I$7:$I$2738,$F891))</f>
        <v/>
      </c>
    </row>
    <row r="892" customFormat="false" ht="15" hidden="false" customHeight="false" outlineLevel="0" collapsed="false">
      <c r="A892" s="12" t="n">
        <v>888</v>
      </c>
      <c r="B892" s="10" t="s">
        <v>2644</v>
      </c>
      <c r="C892" s="10" t="s">
        <v>2041</v>
      </c>
      <c r="D892" s="11" t="n">
        <v>0.0108798611111111</v>
      </c>
      <c r="E892" s="18" t="n">
        <f aca="false">ROUND((D892-$D$5)*86400,2)</f>
        <v>150.28</v>
      </c>
      <c r="F892" s="12" t="n">
        <v>1850</v>
      </c>
      <c r="G892" s="11" t="str">
        <f aca="false">IF(INDEX(選手一覧!$F$7:$F$2738,$F892)="","",INDEX(選手一覧!$F$7:$F$2738,$F892))</f>
        <v/>
      </c>
      <c r="H892" s="12" t="str">
        <f aca="false">IF(INDEX(選手一覧!$G$7:$G$2738,$F892)="","",INDEX(選手一覧!$G$7:$G$2738,$F892))</f>
        <v/>
      </c>
      <c r="I892" s="11" t="str">
        <f aca="false">IF(INDEX(選手一覧!$H$7:$H$2738,$F892)="","",INDEX(選手一覧!$H$7:$H$2738,$F892))</f>
        <v/>
      </c>
      <c r="J892" s="12" t="str">
        <f aca="false">IF(INDEX(選手一覧!$I$7:$I$2738,$F892)="","",INDEX(選手一覧!$I$7:$I$2738,$F892))</f>
        <v/>
      </c>
    </row>
    <row r="893" customFormat="false" ht="15" hidden="false" customHeight="false" outlineLevel="0" collapsed="false">
      <c r="A893" s="12" t="n">
        <v>889</v>
      </c>
      <c r="B893" s="10" t="s">
        <v>2647</v>
      </c>
      <c r="C893" s="10" t="s">
        <v>317</v>
      </c>
      <c r="D893" s="11" t="n">
        <v>0.0108800925925926</v>
      </c>
      <c r="E893" s="18" t="n">
        <f aca="false">ROUND((D893-$D$5)*86400,2)</f>
        <v>150.3</v>
      </c>
      <c r="F893" s="12" t="n">
        <v>1853</v>
      </c>
      <c r="G893" s="11" t="str">
        <f aca="false">IF(INDEX(選手一覧!$F$7:$F$2738,$F893)="","",INDEX(選手一覧!$F$7:$F$2738,$F893))</f>
        <v/>
      </c>
      <c r="H893" s="12" t="str">
        <f aca="false">IF(INDEX(選手一覧!$G$7:$G$2738,$F893)="","",INDEX(選手一覧!$G$7:$G$2738,$F893))</f>
        <v/>
      </c>
      <c r="I893" s="11" t="str">
        <f aca="false">IF(INDEX(選手一覧!$H$7:$H$2738,$F893)="","",INDEX(選手一覧!$H$7:$H$2738,$F893))</f>
        <v/>
      </c>
      <c r="J893" s="12" t="str">
        <f aca="false">IF(INDEX(選手一覧!$I$7:$I$2738,$F893)="","",INDEX(選手一覧!$I$7:$I$2738,$F893))</f>
        <v/>
      </c>
    </row>
    <row r="894" customFormat="false" ht="15" hidden="false" customHeight="false" outlineLevel="0" collapsed="false">
      <c r="A894" s="12" t="n">
        <v>890</v>
      </c>
      <c r="B894" s="10" t="s">
        <v>2652</v>
      </c>
      <c r="C894" s="10" t="s">
        <v>242</v>
      </c>
      <c r="D894" s="11" t="n">
        <v>0.0108803240740741</v>
      </c>
      <c r="E894" s="18" t="n">
        <f aca="false">ROUND((D894-$D$5)*86400,2)</f>
        <v>150.32</v>
      </c>
      <c r="F894" s="12" t="n">
        <v>1857</v>
      </c>
      <c r="G894" s="11" t="str">
        <f aca="false">IF(INDEX(選手一覧!$F$7:$F$2738,$F894)="","",INDEX(選手一覧!$F$7:$F$2738,$F894))</f>
        <v/>
      </c>
      <c r="H894" s="12" t="str">
        <f aca="false">IF(INDEX(選手一覧!$G$7:$G$2738,$F894)="","",INDEX(選手一覧!$G$7:$G$2738,$F894))</f>
        <v/>
      </c>
      <c r="I894" s="11" t="str">
        <f aca="false">IF(INDEX(選手一覧!$H$7:$H$2738,$F894)="","",INDEX(選手一覧!$H$7:$H$2738,$F894))</f>
        <v/>
      </c>
      <c r="J894" s="12" t="str">
        <f aca="false">IF(INDEX(選手一覧!$I$7:$I$2738,$F894)="","",INDEX(選手一覧!$I$7:$I$2738,$F894))</f>
        <v/>
      </c>
    </row>
    <row r="895" customFormat="false" ht="15" hidden="false" customHeight="false" outlineLevel="0" collapsed="false">
      <c r="A895" s="12" t="n">
        <v>891</v>
      </c>
      <c r="B895" s="10" t="s">
        <v>1483</v>
      </c>
      <c r="C895" s="10" t="s">
        <v>988</v>
      </c>
      <c r="D895" s="11" t="n">
        <v>0.0108811342592593</v>
      </c>
      <c r="E895" s="18" t="n">
        <f aca="false">ROUND((D895-$D$5)*86400,2)</f>
        <v>150.39</v>
      </c>
      <c r="F895" s="12" t="n">
        <v>1019</v>
      </c>
      <c r="G895" s="11" t="str">
        <f aca="false">IF(INDEX(選手一覧!$F$7:$F$2738,$F895)="","",INDEX(選手一覧!$F$7:$F$2738,$F895))</f>
        <v/>
      </c>
      <c r="H895" s="12" t="str">
        <f aca="false">IF(INDEX(選手一覧!$G$7:$G$2738,$F895)="","",INDEX(選手一覧!$G$7:$G$2738,$F895))</f>
        <v/>
      </c>
      <c r="I895" s="11" t="n">
        <f aca="false">IF(INDEX(選手一覧!$H$7:$H$2738,$F895)="","",INDEX(選手一覧!$H$7:$H$2738,$F895))</f>
        <v>0.00283472222222222</v>
      </c>
      <c r="J895" s="12" t="n">
        <f aca="false">IF(INDEX(選手一覧!$I$7:$I$2738,$F895)="","",INDEX(選手一覧!$I$7:$I$2738,$F895))</f>
        <v>457</v>
      </c>
    </row>
    <row r="896" customFormat="false" ht="15" hidden="false" customHeight="false" outlineLevel="0" collapsed="false">
      <c r="A896" s="12" t="n">
        <v>892</v>
      </c>
      <c r="B896" s="10" t="s">
        <v>2656</v>
      </c>
      <c r="C896" s="10" t="s">
        <v>109</v>
      </c>
      <c r="D896" s="11" t="n">
        <v>0.01088125</v>
      </c>
      <c r="E896" s="18" t="n">
        <f aca="false">ROUND((D896-$D$5)*86400,2)</f>
        <v>150.4</v>
      </c>
      <c r="F896" s="12" t="n">
        <v>1860</v>
      </c>
      <c r="G896" s="11" t="str">
        <f aca="false">IF(INDEX(選手一覧!$F$7:$F$2738,$F896)="","",INDEX(選手一覧!$F$7:$F$2738,$F896))</f>
        <v/>
      </c>
      <c r="H896" s="12" t="str">
        <f aca="false">IF(INDEX(選手一覧!$G$7:$G$2738,$F896)="","",INDEX(選手一覧!$G$7:$G$2738,$F896))</f>
        <v/>
      </c>
      <c r="I896" s="11" t="n">
        <f aca="false">IF(INDEX(選手一覧!$H$7:$H$2738,$F896)="","",INDEX(選手一覧!$H$7:$H$2738,$F896))</f>
        <v>0.00290358796296296</v>
      </c>
      <c r="J896" s="12" t="n">
        <f aca="false">IF(INDEX(選手一覧!$I$7:$I$2738,$F896)="","",INDEX(選手一覧!$I$7:$I$2738,$F896))</f>
        <v>976</v>
      </c>
    </row>
    <row r="897" customFormat="false" ht="15" hidden="false" customHeight="false" outlineLevel="0" collapsed="false">
      <c r="A897" s="12" t="n">
        <v>893</v>
      </c>
      <c r="B897" s="10" t="s">
        <v>2658</v>
      </c>
      <c r="C897" s="10" t="s">
        <v>2171</v>
      </c>
      <c r="D897" s="11" t="n">
        <v>0.0108825231481482</v>
      </c>
      <c r="E897" s="18" t="n">
        <f aca="false">ROUND((D897-$D$5)*86400,2)</f>
        <v>150.51</v>
      </c>
      <c r="F897" s="12" t="n">
        <v>1862</v>
      </c>
      <c r="G897" s="11" t="str">
        <f aca="false">IF(INDEX(選手一覧!$F$7:$F$2738,$F897)="","",INDEX(選手一覧!$F$7:$F$2738,$F897))</f>
        <v/>
      </c>
      <c r="H897" s="12" t="str">
        <f aca="false">IF(INDEX(選手一覧!$G$7:$G$2738,$F897)="","",INDEX(選手一覧!$G$7:$G$2738,$F897))</f>
        <v/>
      </c>
      <c r="I897" s="11" t="str">
        <f aca="false">IF(INDEX(選手一覧!$H$7:$H$2738,$F897)="","",INDEX(選手一覧!$H$7:$H$2738,$F897))</f>
        <v/>
      </c>
      <c r="J897" s="12" t="str">
        <f aca="false">IF(INDEX(選手一覧!$I$7:$I$2738,$F897)="","",INDEX(選手一覧!$I$7:$I$2738,$F897))</f>
        <v/>
      </c>
    </row>
    <row r="898" customFormat="false" ht="15" hidden="false" customHeight="false" outlineLevel="0" collapsed="false">
      <c r="A898" s="12" t="n">
        <v>894</v>
      </c>
      <c r="B898" s="10" t="s">
        <v>1600</v>
      </c>
      <c r="C898" s="10" t="s">
        <v>36</v>
      </c>
      <c r="D898" s="11" t="n">
        <v>0.0108827546296296</v>
      </c>
      <c r="E898" s="18" t="n">
        <f aca="false">ROUND((D898-$D$5)*86400,2)</f>
        <v>150.53</v>
      </c>
      <c r="F898" s="12" t="n">
        <v>1105</v>
      </c>
      <c r="G898" s="11" t="str">
        <f aca="false">IF(INDEX(選手一覧!$F$7:$F$2738,$F898)="","",INDEX(選手一覧!$F$7:$F$2738,$F898))</f>
        <v/>
      </c>
      <c r="H898" s="12" t="str">
        <f aca="false">IF(INDEX(選手一覧!$G$7:$G$2738,$F898)="","",INDEX(選手一覧!$G$7:$G$2738,$F898))</f>
        <v/>
      </c>
      <c r="I898" s="11" t="n">
        <f aca="false">IF(INDEX(選手一覧!$H$7:$H$2738,$F898)="","",INDEX(選手一覧!$H$7:$H$2738,$F898))</f>
        <v>0.00284027777777778</v>
      </c>
      <c r="J898" s="12" t="n">
        <f aca="false">IF(INDEX(選手一覧!$I$7:$I$2738,$F898)="","",INDEX(選手一覧!$I$7:$I$2738,$F898))</f>
        <v>500</v>
      </c>
    </row>
    <row r="899" customFormat="false" ht="15" hidden="false" customHeight="false" outlineLevel="0" collapsed="false">
      <c r="A899" s="12" t="n">
        <v>895</v>
      </c>
      <c r="B899" s="10" t="s">
        <v>2664</v>
      </c>
      <c r="C899" s="10" t="s">
        <v>171</v>
      </c>
      <c r="D899" s="11" t="n">
        <v>0.0108827546296296</v>
      </c>
      <c r="E899" s="18" t="n">
        <f aca="false">ROUND((D899-$D$5)*86400,2)</f>
        <v>150.53</v>
      </c>
      <c r="F899" s="12" t="n">
        <v>1866</v>
      </c>
      <c r="G899" s="11" t="str">
        <f aca="false">IF(INDEX(選手一覧!$F$7:$F$2738,$F899)="","",INDEX(選手一覧!$F$7:$F$2738,$F899))</f>
        <v/>
      </c>
      <c r="H899" s="12" t="str">
        <f aca="false">IF(INDEX(選手一覧!$G$7:$G$2738,$F899)="","",INDEX(選手一覧!$G$7:$G$2738,$F899))</f>
        <v/>
      </c>
      <c r="I899" s="11" t="str">
        <f aca="false">IF(INDEX(選手一覧!$H$7:$H$2738,$F899)="","",INDEX(選手一覧!$H$7:$H$2738,$F899))</f>
        <v/>
      </c>
      <c r="J899" s="12" t="str">
        <f aca="false">IF(INDEX(選手一覧!$I$7:$I$2738,$F899)="","",INDEX(選手一覧!$I$7:$I$2738,$F899))</f>
        <v/>
      </c>
    </row>
    <row r="900" customFormat="false" ht="15" hidden="false" customHeight="false" outlineLevel="0" collapsed="false">
      <c r="A900" s="12" t="n">
        <v>896</v>
      </c>
      <c r="B900" s="10" t="s">
        <v>2667</v>
      </c>
      <c r="C900" s="10" t="s">
        <v>286</v>
      </c>
      <c r="D900" s="11" t="n">
        <v>0.0108831018518519</v>
      </c>
      <c r="E900" s="18" t="n">
        <f aca="false">ROUND((D900-$D$5)*86400,2)</f>
        <v>150.56</v>
      </c>
      <c r="F900" s="12" t="n">
        <v>1868</v>
      </c>
      <c r="G900" s="11" t="str">
        <f aca="false">IF(INDEX(選手一覧!$F$7:$F$2738,$F900)="","",INDEX(選手一覧!$F$7:$F$2738,$F900))</f>
        <v/>
      </c>
      <c r="H900" s="12" t="str">
        <f aca="false">IF(INDEX(選手一覧!$G$7:$G$2738,$F900)="","",INDEX(選手一覧!$G$7:$G$2738,$F900))</f>
        <v/>
      </c>
      <c r="I900" s="11" t="n">
        <f aca="false">IF(INDEX(選手一覧!$H$7:$H$2738,$F900)="","",INDEX(選手一覧!$H$7:$H$2738,$F900))</f>
        <v>0.0029318287037037</v>
      </c>
      <c r="J900" s="12" t="n">
        <f aca="false">IF(INDEX(選手一覧!$I$7:$I$2738,$F900)="","",INDEX(選手一覧!$I$7:$I$2738,$F900))</f>
        <v>1178</v>
      </c>
    </row>
    <row r="901" customFormat="false" ht="15" hidden="false" customHeight="false" outlineLevel="0" collapsed="false">
      <c r="A901" s="12" t="n">
        <v>897</v>
      </c>
      <c r="B901" s="10" t="s">
        <v>2481</v>
      </c>
      <c r="C901" s="10" t="s">
        <v>405</v>
      </c>
      <c r="D901" s="11" t="n">
        <v>0.0108834490740741</v>
      </c>
      <c r="E901" s="18" t="n">
        <f aca="false">ROUND((D901-$D$5)*86400,2)</f>
        <v>150.59</v>
      </c>
      <c r="F901" s="12" t="n">
        <v>1730</v>
      </c>
      <c r="G901" s="11" t="str">
        <f aca="false">IF(INDEX(選手一覧!$F$7:$F$2738,$F901)="","",INDEX(選手一覧!$F$7:$F$2738,$F901))</f>
        <v/>
      </c>
      <c r="H901" s="12" t="str">
        <f aca="false">IF(INDEX(選手一覧!$G$7:$G$2738,$F901)="","",INDEX(選手一覧!$G$7:$G$2738,$F901))</f>
        <v/>
      </c>
      <c r="I901" s="11" t="n">
        <f aca="false">IF(INDEX(選手一覧!$H$7:$H$2738,$F901)="","",INDEX(選手一覧!$H$7:$H$2738,$F901))</f>
        <v>0.00288657407407407</v>
      </c>
      <c r="J901" s="12" t="n">
        <f aca="false">IF(INDEX(選手一覧!$I$7:$I$2738,$F901)="","",INDEX(選手一覧!$I$7:$I$2738,$F901))</f>
        <v>828</v>
      </c>
    </row>
    <row r="902" customFormat="false" ht="15" hidden="false" customHeight="false" outlineLevel="0" collapsed="false">
      <c r="A902" s="12" t="n">
        <v>898</v>
      </c>
      <c r="B902" s="10" t="s">
        <v>2672</v>
      </c>
      <c r="C902" s="10" t="s">
        <v>425</v>
      </c>
      <c r="D902" s="11" t="n">
        <v>0.0108835648148148</v>
      </c>
      <c r="E902" s="18" t="n">
        <f aca="false">ROUND((D902-$D$5)*86400,2)</f>
        <v>150.6</v>
      </c>
      <c r="F902" s="12" t="n">
        <v>1872</v>
      </c>
      <c r="G902" s="11" t="str">
        <f aca="false">IF(INDEX(選手一覧!$F$7:$F$2738,$F902)="","",INDEX(選手一覧!$F$7:$F$2738,$F902))</f>
        <v/>
      </c>
      <c r="H902" s="12" t="str">
        <f aca="false">IF(INDEX(選手一覧!$G$7:$G$2738,$F902)="","",INDEX(選手一覧!$G$7:$G$2738,$F902))</f>
        <v/>
      </c>
      <c r="I902" s="11" t="str">
        <f aca="false">IF(INDEX(選手一覧!$H$7:$H$2738,$F902)="","",INDEX(選手一覧!$H$7:$H$2738,$F902))</f>
        <v/>
      </c>
      <c r="J902" s="12" t="str">
        <f aca="false">IF(INDEX(選手一覧!$I$7:$I$2738,$F902)="","",INDEX(選手一覧!$I$7:$I$2738,$F902))</f>
        <v/>
      </c>
    </row>
    <row r="903" customFormat="false" ht="15" hidden="false" customHeight="false" outlineLevel="0" collapsed="false">
      <c r="A903" s="12" t="n">
        <v>899</v>
      </c>
      <c r="B903" s="10" t="s">
        <v>1414</v>
      </c>
      <c r="C903" s="10" t="s">
        <v>179</v>
      </c>
      <c r="D903" s="11" t="n">
        <v>0.0108835648148148</v>
      </c>
      <c r="E903" s="18" t="n">
        <f aca="false">ROUND((D903-$D$5)*86400,2)</f>
        <v>150.6</v>
      </c>
      <c r="F903" s="12" t="n">
        <v>965</v>
      </c>
      <c r="G903" s="11" t="n">
        <f aca="false">IF(INDEX(選手一覧!$F$7:$F$2738,$F903)="","",INDEX(選手一覧!$F$7:$F$2738,$F903))</f>
        <v>0.00708460648148148</v>
      </c>
      <c r="H903" s="12" t="n">
        <f aca="false">IF(INDEX(選手一覧!$G$7:$G$2738,$F903)="","",INDEX(選手一覧!$G$7:$G$2738,$F903))</f>
        <v>432</v>
      </c>
      <c r="I903" s="11" t="n">
        <f aca="false">IF(INDEX(選手一覧!$H$7:$H$2738,$F903)="","",INDEX(選手一覧!$H$7:$H$2738,$F903))</f>
        <v>0.00284363425925926</v>
      </c>
      <c r="J903" s="12" t="n">
        <f aca="false">IF(INDEX(選手一覧!$I$7:$I$2738,$F903)="","",INDEX(選手一覧!$I$7:$I$2738,$F903))</f>
        <v>521</v>
      </c>
    </row>
    <row r="904" customFormat="false" ht="15" hidden="false" customHeight="false" outlineLevel="0" collapsed="false">
      <c r="A904" s="12" t="n">
        <v>900</v>
      </c>
      <c r="B904" s="10" t="s">
        <v>801</v>
      </c>
      <c r="C904" s="10" t="s">
        <v>513</v>
      </c>
      <c r="D904" s="11" t="n">
        <v>0.0108844907407407</v>
      </c>
      <c r="E904" s="18" t="n">
        <f aca="false">ROUND((D904-$D$5)*86400,2)</f>
        <v>150.68</v>
      </c>
      <c r="F904" s="12" t="n">
        <v>523</v>
      </c>
      <c r="G904" s="11" t="str">
        <f aca="false">IF(INDEX(選手一覧!$F$7:$F$2738,$F904)="","",INDEX(選手一覧!$F$7:$F$2738,$F904))</f>
        <v/>
      </c>
      <c r="H904" s="12" t="str">
        <f aca="false">IF(INDEX(選手一覧!$G$7:$G$2738,$F904)="","",INDEX(選手一覧!$G$7:$G$2738,$F904))</f>
        <v/>
      </c>
      <c r="I904" s="11" t="n">
        <f aca="false">IF(INDEX(選手一覧!$H$7:$H$2738,$F904)="","",INDEX(選手一覧!$H$7:$H$2738,$F904))</f>
        <v>0.00278506944444444</v>
      </c>
      <c r="J904" s="12" t="n">
        <f aca="false">IF(INDEX(選手一覧!$I$7:$I$2738,$F904)="","",INDEX(選手一覧!$I$7:$I$2738,$F904))</f>
        <v>219</v>
      </c>
    </row>
    <row r="905" customFormat="false" ht="15" hidden="false" customHeight="false" outlineLevel="0" collapsed="false">
      <c r="A905" s="12" t="n">
        <v>901</v>
      </c>
      <c r="B905" s="10" t="s">
        <v>2680</v>
      </c>
      <c r="C905" s="10" t="s">
        <v>126</v>
      </c>
      <c r="D905" s="11" t="n">
        <v>0.0108858796296296</v>
      </c>
      <c r="E905" s="18" t="n">
        <f aca="false">ROUND((D905-$D$5)*86400,2)</f>
        <v>150.8</v>
      </c>
      <c r="F905" s="12" t="n">
        <v>1877</v>
      </c>
      <c r="G905" s="11" t="str">
        <f aca="false">IF(INDEX(選手一覧!$F$7:$F$2738,$F905)="","",INDEX(選手一覧!$F$7:$F$2738,$F905))</f>
        <v/>
      </c>
      <c r="H905" s="12" t="str">
        <f aca="false">IF(INDEX(選手一覧!$G$7:$G$2738,$F905)="","",INDEX(選手一覧!$G$7:$G$2738,$F905))</f>
        <v/>
      </c>
      <c r="I905" s="11" t="str">
        <f aca="false">IF(INDEX(選手一覧!$H$7:$H$2738,$F905)="","",INDEX(選手一覧!$H$7:$H$2738,$F905))</f>
        <v/>
      </c>
      <c r="J905" s="12" t="str">
        <f aca="false">IF(INDEX(選手一覧!$I$7:$I$2738,$F905)="","",INDEX(選手一覧!$I$7:$I$2738,$F905))</f>
        <v/>
      </c>
    </row>
    <row r="906" customFormat="false" ht="15" hidden="false" customHeight="false" outlineLevel="0" collapsed="false">
      <c r="A906" s="12" t="n">
        <v>902</v>
      </c>
      <c r="B906" s="10" t="s">
        <v>1612</v>
      </c>
      <c r="C906" s="10" t="s">
        <v>126</v>
      </c>
      <c r="D906" s="11" t="n">
        <v>0.0108868055555556</v>
      </c>
      <c r="E906" s="18" t="n">
        <f aca="false">ROUND((D906-$D$5)*86400,2)</f>
        <v>150.88</v>
      </c>
      <c r="F906" s="12" t="n">
        <v>1113</v>
      </c>
      <c r="G906" s="11" t="str">
        <f aca="false">IF(INDEX(選手一覧!$F$7:$F$2738,$F906)="","",INDEX(選手一覧!$F$7:$F$2738,$F906))</f>
        <v/>
      </c>
      <c r="H906" s="12" t="str">
        <f aca="false">IF(INDEX(選手一覧!$G$7:$G$2738,$F906)="","",INDEX(選手一覧!$G$7:$G$2738,$F906))</f>
        <v/>
      </c>
      <c r="I906" s="11" t="n">
        <f aca="false">IF(INDEX(選手一覧!$H$7:$H$2738,$F906)="","",INDEX(選手一覧!$H$7:$H$2738,$F906))</f>
        <v>0.00284085648148148</v>
      </c>
      <c r="J906" s="12" t="n">
        <f aca="false">IF(INDEX(選手一覧!$I$7:$I$2738,$F906)="","",INDEX(選手一覧!$I$7:$I$2738,$F906))</f>
        <v>504</v>
      </c>
    </row>
    <row r="907" customFormat="false" ht="15" hidden="false" customHeight="false" outlineLevel="0" collapsed="false">
      <c r="A907" s="12" t="n">
        <v>903</v>
      </c>
      <c r="B907" s="10" t="s">
        <v>2686</v>
      </c>
      <c r="C907" s="10" t="s">
        <v>242</v>
      </c>
      <c r="D907" s="11" t="n">
        <v>0.0108875</v>
      </c>
      <c r="E907" s="18" t="n">
        <f aca="false">ROUND((D907-$D$5)*86400,2)</f>
        <v>150.94</v>
      </c>
      <c r="F907" s="12" t="n">
        <v>1881</v>
      </c>
      <c r="G907" s="11" t="str">
        <f aca="false">IF(INDEX(選手一覧!$F$7:$F$2738,$F907)="","",INDEX(選手一覧!$F$7:$F$2738,$F907))</f>
        <v/>
      </c>
      <c r="H907" s="12" t="str">
        <f aca="false">IF(INDEX(選手一覧!$G$7:$G$2738,$F907)="","",INDEX(選手一覧!$G$7:$G$2738,$F907))</f>
        <v/>
      </c>
      <c r="I907" s="11" t="str">
        <f aca="false">IF(INDEX(選手一覧!$H$7:$H$2738,$F907)="","",INDEX(選手一覧!$H$7:$H$2738,$F907))</f>
        <v/>
      </c>
      <c r="J907" s="12" t="str">
        <f aca="false">IF(INDEX(選手一覧!$I$7:$I$2738,$F907)="","",INDEX(選手一覧!$I$7:$I$2738,$F907))</f>
        <v/>
      </c>
    </row>
    <row r="908" customFormat="false" ht="15" hidden="false" customHeight="false" outlineLevel="0" collapsed="false">
      <c r="A908" s="12" t="n">
        <v>904</v>
      </c>
      <c r="B908" s="10" t="s">
        <v>1120</v>
      </c>
      <c r="C908" s="10" t="s">
        <v>87</v>
      </c>
      <c r="D908" s="11" t="n">
        <v>0.0108903935185185</v>
      </c>
      <c r="E908" s="18" t="n">
        <f aca="false">ROUND((D908-$D$5)*86400,2)</f>
        <v>151.19</v>
      </c>
      <c r="F908" s="12" t="n">
        <v>756</v>
      </c>
      <c r="G908" s="11" t="str">
        <f aca="false">IF(INDEX(選手一覧!$F$7:$F$2738,$F908)="","",INDEX(選手一覧!$F$7:$F$2738,$F908))</f>
        <v/>
      </c>
      <c r="H908" s="12" t="str">
        <f aca="false">IF(INDEX(選手一覧!$G$7:$G$2738,$F908)="","",INDEX(選手一覧!$G$7:$G$2738,$F908))</f>
        <v/>
      </c>
      <c r="I908" s="11" t="n">
        <f aca="false">IF(INDEX(選手一覧!$H$7:$H$2738,$F908)="","",INDEX(選手一覧!$H$7:$H$2738,$F908))</f>
        <v>0.0028119212962963</v>
      </c>
      <c r="J908" s="12" t="n">
        <f aca="false">IF(INDEX(選手一覧!$I$7:$I$2738,$F908)="","",INDEX(選手一覧!$I$7:$I$2738,$F908))</f>
        <v>328</v>
      </c>
    </row>
    <row r="909" customFormat="false" ht="15" hidden="false" customHeight="false" outlineLevel="0" collapsed="false">
      <c r="A909" s="12" t="n">
        <v>905</v>
      </c>
      <c r="B909" s="10" t="s">
        <v>2694</v>
      </c>
      <c r="C909" s="10" t="s">
        <v>134</v>
      </c>
      <c r="D909" s="11" t="n">
        <v>0.0108908564814815</v>
      </c>
      <c r="E909" s="18" t="n">
        <f aca="false">ROUND((D909-$D$5)*86400,2)</f>
        <v>151.23</v>
      </c>
      <c r="F909" s="12" t="n">
        <v>1886</v>
      </c>
      <c r="G909" s="11" t="str">
        <f aca="false">IF(INDEX(選手一覧!$F$7:$F$2738,$F909)="","",INDEX(選手一覧!$F$7:$F$2738,$F909))</f>
        <v/>
      </c>
      <c r="H909" s="12" t="str">
        <f aca="false">IF(INDEX(選手一覧!$G$7:$G$2738,$F909)="","",INDEX(選手一覧!$G$7:$G$2738,$F909))</f>
        <v/>
      </c>
      <c r="I909" s="11" t="n">
        <f aca="false">IF(INDEX(選手一覧!$H$7:$H$2738,$F909)="","",INDEX(選手一覧!$H$7:$H$2738,$F909))</f>
        <v>0.00297569444444445</v>
      </c>
      <c r="J909" s="12" t="n">
        <f aca="false">IF(INDEX(選手一覧!$I$7:$I$2738,$F909)="","",INDEX(選手一覧!$I$7:$I$2738,$F909))</f>
        <v>1332</v>
      </c>
    </row>
    <row r="910" customFormat="false" ht="15" hidden="false" customHeight="false" outlineLevel="0" collapsed="false">
      <c r="A910" s="12" t="n">
        <v>906</v>
      </c>
      <c r="B910" s="10" t="s">
        <v>1494</v>
      </c>
      <c r="C910" s="10" t="s">
        <v>1127</v>
      </c>
      <c r="D910" s="11" t="n">
        <v>0.0108916666666667</v>
      </c>
      <c r="E910" s="18" t="n">
        <f aca="false">ROUND((D910-$D$5)*86400,2)</f>
        <v>151.3</v>
      </c>
      <c r="F910" s="12" t="n">
        <v>1027</v>
      </c>
      <c r="G910" s="11" t="str">
        <f aca="false">IF(INDEX(選手一覧!$F$7:$F$2738,$F910)="","",INDEX(選手一覧!$F$7:$F$2738,$F910))</f>
        <v/>
      </c>
      <c r="H910" s="12" t="str">
        <f aca="false">IF(INDEX(選手一覧!$G$7:$G$2738,$F910)="","",INDEX(選手一覧!$G$7:$G$2738,$F910))</f>
        <v/>
      </c>
      <c r="I910" s="11" t="n">
        <f aca="false">IF(INDEX(選手一覧!$H$7:$H$2738,$F910)="","",INDEX(選手一覧!$H$7:$H$2738,$F910))</f>
        <v>0.0028349537037037</v>
      </c>
      <c r="J910" s="12" t="n">
        <f aca="false">IF(INDEX(選手一覧!$I$7:$I$2738,$F910)="","",INDEX(選手一覧!$I$7:$I$2738,$F910))</f>
        <v>460</v>
      </c>
    </row>
    <row r="911" customFormat="false" ht="15" hidden="false" customHeight="false" outlineLevel="0" collapsed="false">
      <c r="A911" s="12" t="n">
        <v>907</v>
      </c>
      <c r="B911" s="10" t="s">
        <v>138</v>
      </c>
      <c r="C911" s="10" t="s">
        <v>139</v>
      </c>
      <c r="D911" s="11" t="n">
        <v>0.0108923611111111</v>
      </c>
      <c r="E911" s="18" t="n">
        <f aca="false">ROUND((D911-$D$5)*86400,2)</f>
        <v>151.36</v>
      </c>
      <c r="F911" s="12" t="n">
        <v>65</v>
      </c>
      <c r="G911" s="11" t="str">
        <f aca="false">IF(INDEX(選手一覧!$F$7:$F$2738,$F911)="","",INDEX(選手一覧!$F$7:$F$2738,$F911))</f>
        <v/>
      </c>
      <c r="H911" s="12" t="str">
        <f aca="false">IF(INDEX(選手一覧!$G$7:$G$2738,$F911)="","",INDEX(選手一覧!$G$7:$G$2738,$F911))</f>
        <v/>
      </c>
      <c r="I911" s="11" t="n">
        <f aca="false">IF(INDEX(選手一覧!$H$7:$H$2738,$F911)="","",INDEX(選手一覧!$H$7:$H$2738,$F911))</f>
        <v>0.00270081018518519</v>
      </c>
      <c r="J911" s="12" t="n">
        <f aca="false">IF(INDEX(選手一覧!$I$7:$I$2738,$F911)="","",INDEX(選手一覧!$I$7:$I$2738,$F911))</f>
        <v>26</v>
      </c>
    </row>
    <row r="912" customFormat="false" ht="15" hidden="false" customHeight="false" outlineLevel="0" collapsed="false">
      <c r="A912" s="12" t="n">
        <v>908</v>
      </c>
      <c r="B912" s="10" t="s">
        <v>148</v>
      </c>
      <c r="C912" s="10" t="s">
        <v>149</v>
      </c>
      <c r="D912" s="11" t="n">
        <v>0.010893287037037</v>
      </c>
      <c r="E912" s="18" t="n">
        <f aca="false">ROUND((D912-$D$5)*86400,2)</f>
        <v>151.44</v>
      </c>
      <c r="F912" s="12" t="n">
        <v>71</v>
      </c>
      <c r="G912" s="11" t="str">
        <f aca="false">IF(INDEX(選手一覧!$F$7:$F$2738,$F912)="","",INDEX(選手一覧!$F$7:$F$2738,$F912))</f>
        <v/>
      </c>
      <c r="H912" s="12" t="str">
        <f aca="false">IF(INDEX(選手一覧!$G$7:$G$2738,$F912)="","",INDEX(選手一覧!$G$7:$G$2738,$F912))</f>
        <v/>
      </c>
      <c r="I912" s="11" t="n">
        <f aca="false">IF(INDEX(選手一覧!$H$7:$H$2738,$F912)="","",INDEX(選手一覧!$H$7:$H$2738,$F912))</f>
        <v>0.00270462962962963</v>
      </c>
      <c r="J912" s="12" t="n">
        <f aca="false">IF(INDEX(選手一覧!$I$7:$I$2738,$F912)="","",INDEX(選手一覧!$I$7:$I$2738,$F912))</f>
        <v>28</v>
      </c>
    </row>
    <row r="913" customFormat="false" ht="15" hidden="false" customHeight="false" outlineLevel="0" collapsed="false">
      <c r="A913" s="12" t="n">
        <v>909</v>
      </c>
      <c r="B913" s="10" t="s">
        <v>322</v>
      </c>
      <c r="C913" s="10" t="s">
        <v>323</v>
      </c>
      <c r="D913" s="11" t="n">
        <v>0.0108936342592593</v>
      </c>
      <c r="E913" s="18" t="n">
        <f aca="false">ROUND((D913-$D$5)*86400,2)</f>
        <v>151.47</v>
      </c>
      <c r="F913" s="12" t="n">
        <v>185</v>
      </c>
      <c r="G913" s="11" t="n">
        <f aca="false">IF(INDEX(選手一覧!$F$7:$F$2738,$F913)="","",INDEX(選手一覧!$F$7:$F$2738,$F913))</f>
        <v>0.0066337962962963</v>
      </c>
      <c r="H913" s="12" t="n">
        <f aca="false">IF(INDEX(選手一覧!$G$7:$G$2738,$F913)="","",INDEX(選手一覧!$G$7:$G$2738,$F913))</f>
        <v>75</v>
      </c>
      <c r="I913" s="11" t="str">
        <f aca="false">IF(INDEX(選手一覧!$H$7:$H$2738,$F913)="","",INDEX(選手一覧!$H$7:$H$2738,$F913))</f>
        <v/>
      </c>
      <c r="J913" s="12" t="str">
        <f aca="false">IF(INDEX(選手一覧!$I$7:$I$2738,$F913)="","",INDEX(選手一覧!$I$7:$I$2738,$F913))</f>
        <v/>
      </c>
    </row>
    <row r="914" customFormat="false" ht="15" hidden="false" customHeight="false" outlineLevel="0" collapsed="false">
      <c r="A914" s="12" t="n">
        <v>910</v>
      </c>
      <c r="B914" s="10" t="s">
        <v>2706</v>
      </c>
      <c r="C914" s="10" t="s">
        <v>2707</v>
      </c>
      <c r="D914" s="11" t="n">
        <v>0.0108947916666667</v>
      </c>
      <c r="E914" s="18" t="n">
        <f aca="false">ROUND((D914-$D$5)*86400,2)</f>
        <v>151.57</v>
      </c>
      <c r="F914" s="12" t="n">
        <v>1894</v>
      </c>
      <c r="G914" s="11" t="str">
        <f aca="false">IF(INDEX(選手一覧!$F$7:$F$2738,$F914)="","",INDEX(選手一覧!$F$7:$F$2738,$F914))</f>
        <v/>
      </c>
      <c r="H914" s="12" t="str">
        <f aca="false">IF(INDEX(選手一覧!$G$7:$G$2738,$F914)="","",INDEX(選手一覧!$G$7:$G$2738,$F914))</f>
        <v/>
      </c>
      <c r="I914" s="11" t="str">
        <f aca="false">IF(INDEX(選手一覧!$H$7:$H$2738,$F914)="","",INDEX(選手一覧!$H$7:$H$2738,$F914))</f>
        <v/>
      </c>
      <c r="J914" s="12" t="str">
        <f aca="false">IF(INDEX(選手一覧!$I$7:$I$2738,$F914)="","",INDEX(選手一覧!$I$7:$I$2738,$F914))</f>
        <v/>
      </c>
    </row>
    <row r="915" customFormat="false" ht="15" hidden="false" customHeight="false" outlineLevel="0" collapsed="false">
      <c r="A915" s="12" t="n">
        <v>911</v>
      </c>
      <c r="B915" s="10" t="s">
        <v>2642</v>
      </c>
      <c r="C915" s="10" t="s">
        <v>917</v>
      </c>
      <c r="D915" s="11" t="n">
        <v>0.0108950231481482</v>
      </c>
      <c r="E915" s="18" t="n">
        <f aca="false">ROUND((D915-$D$5)*86400,2)</f>
        <v>151.59</v>
      </c>
      <c r="F915" s="12" t="n">
        <v>1848</v>
      </c>
      <c r="G915" s="11" t="str">
        <f aca="false">IF(INDEX(選手一覧!$F$7:$F$2738,$F915)="","",INDEX(選手一覧!$F$7:$F$2738,$F915))</f>
        <v/>
      </c>
      <c r="H915" s="12" t="str">
        <f aca="false">IF(INDEX(選手一覧!$G$7:$G$2738,$F915)="","",INDEX(選手一覧!$G$7:$G$2738,$F915))</f>
        <v/>
      </c>
      <c r="I915" s="11" t="n">
        <f aca="false">IF(INDEX(選手一覧!$H$7:$H$2738,$F915)="","",INDEX(選手一覧!$H$7:$H$2738,$F915))</f>
        <v>0.00289201388888889</v>
      </c>
      <c r="J915" s="12" t="n">
        <f aca="false">IF(INDEX(選手一覧!$I$7:$I$2738,$F915)="","",INDEX(選手一覧!$I$7:$I$2738,$F915))</f>
        <v>887</v>
      </c>
    </row>
    <row r="916" customFormat="false" ht="15" hidden="false" customHeight="false" outlineLevel="0" collapsed="false">
      <c r="A916" s="12" t="n">
        <v>912</v>
      </c>
      <c r="B916" s="10" t="s">
        <v>2711</v>
      </c>
      <c r="C916" s="10" t="s">
        <v>425</v>
      </c>
      <c r="D916" s="11" t="n">
        <v>0.0108951388888889</v>
      </c>
      <c r="E916" s="18" t="n">
        <f aca="false">ROUND((D916-$D$5)*86400,2)</f>
        <v>151.6</v>
      </c>
      <c r="F916" s="12" t="n">
        <v>1898</v>
      </c>
      <c r="G916" s="11" t="n">
        <f aca="false">IF(INDEX(選手一覧!$F$7:$F$2738,$F916)="","",INDEX(選手一覧!$F$7:$F$2738,$F916))</f>
        <v>0.007521875</v>
      </c>
      <c r="H916" s="12" t="n">
        <f aca="false">IF(INDEX(選手一覧!$G$7:$G$2738,$F916)="","",INDEX(選手一覧!$G$7:$G$2738,$F916))</f>
        <v>923</v>
      </c>
      <c r="I916" s="11" t="str">
        <f aca="false">IF(INDEX(選手一覧!$H$7:$H$2738,$F916)="","",INDEX(選手一覧!$H$7:$H$2738,$F916))</f>
        <v/>
      </c>
      <c r="J916" s="12" t="str">
        <f aca="false">IF(INDEX(選手一覧!$I$7:$I$2738,$F916)="","",INDEX(選手一覧!$I$7:$I$2738,$F916))</f>
        <v/>
      </c>
    </row>
    <row r="917" customFormat="false" ht="15" hidden="false" customHeight="false" outlineLevel="0" collapsed="false">
      <c r="A917" s="12" t="n">
        <v>913</v>
      </c>
      <c r="B917" s="10" t="s">
        <v>1579</v>
      </c>
      <c r="C917" s="10" t="s">
        <v>697</v>
      </c>
      <c r="D917" s="11" t="n">
        <v>0.0108951388888889</v>
      </c>
      <c r="E917" s="18" t="n">
        <f aca="false">ROUND((D917-$D$5)*86400,2)</f>
        <v>151.6</v>
      </c>
      <c r="F917" s="12" t="n">
        <v>1088</v>
      </c>
      <c r="G917" s="11" t="str">
        <f aca="false">IF(INDEX(選手一覧!$F$7:$F$2738,$F917)="","",INDEX(選手一覧!$F$7:$F$2738,$F917))</f>
        <v/>
      </c>
      <c r="H917" s="12" t="str">
        <f aca="false">IF(INDEX(選手一覧!$G$7:$G$2738,$F917)="","",INDEX(選手一覧!$G$7:$G$2738,$F917))</f>
        <v/>
      </c>
      <c r="I917" s="11" t="n">
        <f aca="false">IF(INDEX(選手一覧!$H$7:$H$2738,$F917)="","",INDEX(選手一覧!$H$7:$H$2738,$F917))</f>
        <v>0.00283946759259259</v>
      </c>
      <c r="J917" s="12" t="n">
        <f aca="false">IF(INDEX(選手一覧!$I$7:$I$2738,$F917)="","",INDEX(選手一覧!$I$7:$I$2738,$F917))</f>
        <v>493</v>
      </c>
    </row>
    <row r="918" customFormat="false" ht="15" hidden="false" customHeight="false" outlineLevel="0" collapsed="false">
      <c r="A918" s="12" t="n">
        <v>914</v>
      </c>
      <c r="B918" s="10" t="s">
        <v>2716</v>
      </c>
      <c r="C918" s="10" t="s">
        <v>118</v>
      </c>
      <c r="D918" s="11" t="n">
        <v>0.0108954861111111</v>
      </c>
      <c r="E918" s="18" t="n">
        <f aca="false">ROUND((D918-$D$5)*86400,2)</f>
        <v>151.63</v>
      </c>
      <c r="F918" s="12" t="n">
        <v>1901</v>
      </c>
      <c r="G918" s="11" t="str">
        <f aca="false">IF(INDEX(選手一覧!$F$7:$F$2738,$F918)="","",INDEX(選手一覧!$F$7:$F$2738,$F918))</f>
        <v/>
      </c>
      <c r="H918" s="12" t="str">
        <f aca="false">IF(INDEX(選手一覧!$G$7:$G$2738,$F918)="","",INDEX(選手一覧!$G$7:$G$2738,$F918))</f>
        <v/>
      </c>
      <c r="I918" s="11" t="str">
        <f aca="false">IF(INDEX(選手一覧!$H$7:$H$2738,$F918)="","",INDEX(選手一覧!$H$7:$H$2738,$F918))</f>
        <v/>
      </c>
      <c r="J918" s="12" t="str">
        <f aca="false">IF(INDEX(選手一覧!$I$7:$I$2738,$F918)="","",INDEX(選手一覧!$I$7:$I$2738,$F918))</f>
        <v/>
      </c>
    </row>
    <row r="919" customFormat="false" ht="15" hidden="false" customHeight="false" outlineLevel="0" collapsed="false">
      <c r="A919" s="12" t="n">
        <v>915</v>
      </c>
      <c r="B919" s="10" t="s">
        <v>340</v>
      </c>
      <c r="C919" s="10" t="s">
        <v>341</v>
      </c>
      <c r="D919" s="11" t="n">
        <v>0.0108959490740741</v>
      </c>
      <c r="E919" s="18" t="n">
        <f aca="false">ROUND((D919-$D$5)*86400,2)</f>
        <v>151.67</v>
      </c>
      <c r="F919" s="12" t="n">
        <v>199</v>
      </c>
      <c r="G919" s="11" t="n">
        <f aca="false">IF(INDEX(選手一覧!$F$7:$F$2738,$F919)="","",INDEX(選手一覧!$F$7:$F$2738,$F919))</f>
        <v>0.0066474537037037</v>
      </c>
      <c r="H919" s="12" t="n">
        <f aca="false">IF(INDEX(選手一覧!$G$7:$G$2738,$F919)="","",INDEX(選手一覧!$G$7:$G$2738,$F919))</f>
        <v>81</v>
      </c>
      <c r="I919" s="11" t="n">
        <f aca="false">IF(INDEX(選手一覧!$H$7:$H$2738,$F919)="","",INDEX(選手一覧!$H$7:$H$2738,$F919))</f>
        <v>0.00277650462962963</v>
      </c>
      <c r="J919" s="12" t="n">
        <f aca="false">IF(INDEX(選手一覧!$I$7:$I$2738,$F919)="","",INDEX(選手一覧!$I$7:$I$2738,$F919))</f>
        <v>184</v>
      </c>
    </row>
    <row r="920" customFormat="false" ht="15" hidden="false" customHeight="false" outlineLevel="0" collapsed="false">
      <c r="A920" s="12" t="n">
        <v>916</v>
      </c>
      <c r="B920" s="10" t="s">
        <v>2722</v>
      </c>
      <c r="C920" s="10" t="s">
        <v>1069</v>
      </c>
      <c r="D920" s="11" t="n">
        <v>0.0108966435185185</v>
      </c>
      <c r="E920" s="18" t="n">
        <f aca="false">ROUND((D920-$D$5)*86400,2)</f>
        <v>151.73</v>
      </c>
      <c r="F920" s="12" t="n">
        <v>1906</v>
      </c>
      <c r="G920" s="11" t="str">
        <f aca="false">IF(INDEX(選手一覧!$F$7:$F$2738,$F920)="","",INDEX(選手一覧!$F$7:$F$2738,$F920))</f>
        <v/>
      </c>
      <c r="H920" s="12" t="str">
        <f aca="false">IF(INDEX(選手一覧!$G$7:$G$2738,$F920)="","",INDEX(選手一覧!$G$7:$G$2738,$F920))</f>
        <v/>
      </c>
      <c r="I920" s="11" t="str">
        <f aca="false">IF(INDEX(選手一覧!$H$7:$H$2738,$F920)="","",INDEX(選手一覧!$H$7:$H$2738,$F920))</f>
        <v/>
      </c>
      <c r="J920" s="12" t="str">
        <f aca="false">IF(INDEX(選手一覧!$I$7:$I$2738,$F920)="","",INDEX(選手一覧!$I$7:$I$2738,$F920))</f>
        <v/>
      </c>
    </row>
    <row r="921" customFormat="false" ht="15" hidden="false" customHeight="false" outlineLevel="0" collapsed="false">
      <c r="A921" s="12" t="n">
        <v>917</v>
      </c>
      <c r="B921" s="10" t="s">
        <v>912</v>
      </c>
      <c r="C921" s="10" t="s">
        <v>534</v>
      </c>
      <c r="D921" s="11" t="n">
        <v>0.010896875</v>
      </c>
      <c r="E921" s="18" t="n">
        <f aca="false">ROUND((D921-$D$5)*86400,2)</f>
        <v>151.75</v>
      </c>
      <c r="F921" s="12" t="n">
        <v>602</v>
      </c>
      <c r="G921" s="11" t="n">
        <f aca="false">IF(INDEX(選手一覧!$F$7:$F$2738,$F921)="","",INDEX(選手一覧!$F$7:$F$2738,$F921))</f>
        <v>0.00691886574074074</v>
      </c>
      <c r="H921" s="12" t="n">
        <f aca="false">IF(INDEX(選手一覧!$G$7:$G$2738,$F921)="","",INDEX(選手一覧!$G$7:$G$2738,$F921))</f>
        <v>254</v>
      </c>
      <c r="I921" s="11" t="str">
        <f aca="false">IF(INDEX(選手一覧!$H$7:$H$2738,$F921)="","",INDEX(選手一覧!$H$7:$H$2738,$F921))</f>
        <v/>
      </c>
      <c r="J921" s="12" t="str">
        <f aca="false">IF(INDEX(選手一覧!$I$7:$I$2738,$F921)="","",INDEX(選手一覧!$I$7:$I$2738,$F921))</f>
        <v/>
      </c>
    </row>
    <row r="922" customFormat="false" ht="15" hidden="false" customHeight="false" outlineLevel="0" collapsed="false">
      <c r="A922" s="12" t="n">
        <v>918</v>
      </c>
      <c r="B922" s="10" t="s">
        <v>1792</v>
      </c>
      <c r="C922" s="10" t="s">
        <v>195</v>
      </c>
      <c r="D922" s="11" t="n">
        <v>0.0108980324074074</v>
      </c>
      <c r="E922" s="18" t="n">
        <f aca="false">ROUND((D922-$D$5)*86400,2)</f>
        <v>151.85</v>
      </c>
      <c r="F922" s="12" t="n">
        <v>1233</v>
      </c>
      <c r="G922" s="11" t="str">
        <f aca="false">IF(INDEX(選手一覧!$F$7:$F$2738,$F922)="","",INDEX(選手一覧!$F$7:$F$2738,$F922))</f>
        <v/>
      </c>
      <c r="H922" s="12" t="str">
        <f aca="false">IF(INDEX(選手一覧!$G$7:$G$2738,$F922)="","",INDEX(選手一覧!$G$7:$G$2738,$F922))</f>
        <v/>
      </c>
      <c r="I922" s="11" t="n">
        <f aca="false">IF(INDEX(選手一覧!$H$7:$H$2738,$F922)="","",INDEX(選手一覧!$H$7:$H$2738,$F922))</f>
        <v>0.00284930555555556</v>
      </c>
      <c r="J922" s="12" t="n">
        <f aca="false">IF(INDEX(選手一覧!$I$7:$I$2738,$F922)="","",INDEX(選手一覧!$I$7:$I$2738,$F922))</f>
        <v>567</v>
      </c>
    </row>
    <row r="923" customFormat="false" ht="15" hidden="false" customHeight="false" outlineLevel="0" collapsed="false">
      <c r="A923" s="12" t="n">
        <v>919</v>
      </c>
      <c r="B923" s="10" t="s">
        <v>2453</v>
      </c>
      <c r="C923" s="10" t="s">
        <v>505</v>
      </c>
      <c r="D923" s="11" t="n">
        <v>0.0108982638888889</v>
      </c>
      <c r="E923" s="18" t="n">
        <f aca="false">ROUND((D923-$D$5)*86400,2)</f>
        <v>151.87</v>
      </c>
      <c r="F923" s="12" t="n">
        <v>1707</v>
      </c>
      <c r="G923" s="11" t="str">
        <f aca="false">IF(INDEX(選手一覧!$F$7:$F$2738,$F923)="","",INDEX(選手一覧!$F$7:$F$2738,$F923))</f>
        <v/>
      </c>
      <c r="H923" s="12" t="str">
        <f aca="false">IF(INDEX(選手一覧!$G$7:$G$2738,$F923)="","",INDEX(選手一覧!$G$7:$G$2738,$F923))</f>
        <v/>
      </c>
      <c r="I923" s="11" t="n">
        <f aca="false">IF(INDEX(選手一覧!$H$7:$H$2738,$F923)="","",INDEX(選手一覧!$H$7:$H$2738,$F923))</f>
        <v>0.00288506944444444</v>
      </c>
      <c r="J923" s="12" t="n">
        <f aca="false">IF(INDEX(選手一覧!$I$7:$I$2738,$F923)="","",INDEX(選手一覧!$I$7:$I$2738,$F923))</f>
        <v>817</v>
      </c>
    </row>
    <row r="924" customFormat="false" ht="15" hidden="false" customHeight="false" outlineLevel="0" collapsed="false">
      <c r="A924" s="12" t="n">
        <v>920</v>
      </c>
      <c r="B924" s="10" t="s">
        <v>2731</v>
      </c>
      <c r="C924" s="10" t="s">
        <v>2732</v>
      </c>
      <c r="D924" s="11" t="n">
        <v>0.0108994212962963</v>
      </c>
      <c r="E924" s="18" t="n">
        <f aca="false">ROUND((D924-$D$5)*86400,2)</f>
        <v>151.97</v>
      </c>
      <c r="F924" s="12" t="n">
        <v>1913</v>
      </c>
      <c r="G924" s="11" t="str">
        <f aca="false">IF(INDEX(選手一覧!$F$7:$F$2738,$F924)="","",INDEX(選手一覧!$F$7:$F$2738,$F924))</f>
        <v/>
      </c>
      <c r="H924" s="12" t="str">
        <f aca="false">IF(INDEX(選手一覧!$G$7:$G$2738,$F924)="","",INDEX(選手一覧!$G$7:$G$2738,$F924))</f>
        <v/>
      </c>
      <c r="I924" s="11" t="str">
        <f aca="false">IF(INDEX(選手一覧!$H$7:$H$2738,$F924)="","",INDEX(選手一覧!$H$7:$H$2738,$F924))</f>
        <v/>
      </c>
      <c r="J924" s="12" t="str">
        <f aca="false">IF(INDEX(選手一覧!$I$7:$I$2738,$F924)="","",INDEX(選手一覧!$I$7:$I$2738,$F924))</f>
        <v/>
      </c>
    </row>
    <row r="925" customFormat="false" ht="15" hidden="false" customHeight="false" outlineLevel="0" collapsed="false">
      <c r="A925" s="12" t="n">
        <v>921</v>
      </c>
      <c r="B925" s="10" t="s">
        <v>830</v>
      </c>
      <c r="C925" s="10" t="s">
        <v>831</v>
      </c>
      <c r="D925" s="11" t="n">
        <v>0.0108997685185185</v>
      </c>
      <c r="E925" s="18" t="n">
        <f aca="false">ROUND((D925-$D$5)*86400,2)</f>
        <v>152</v>
      </c>
      <c r="F925" s="12" t="n">
        <v>542</v>
      </c>
      <c r="G925" s="11" t="n">
        <f aca="false">IF(INDEX(選手一覧!$F$7:$F$2738,$F925)="","",INDEX(選手一覧!$F$7:$F$2738,$F925))</f>
        <v>0.00688599537037037</v>
      </c>
      <c r="H925" s="12" t="n">
        <f aca="false">IF(INDEX(選手一覧!$G$7:$G$2738,$F925)="","",INDEX(選手一覧!$G$7:$G$2738,$F925))</f>
        <v>227</v>
      </c>
      <c r="I925" s="11" t="str">
        <f aca="false">IF(INDEX(選手一覧!$H$7:$H$2738,$F925)="","",INDEX(選手一覧!$H$7:$H$2738,$F925))</f>
        <v/>
      </c>
      <c r="J925" s="12" t="str">
        <f aca="false">IF(INDEX(選手一覧!$I$7:$I$2738,$F925)="","",INDEX(選手一覧!$I$7:$I$2738,$F925))</f>
        <v/>
      </c>
    </row>
    <row r="926" customFormat="false" ht="15" hidden="false" customHeight="false" outlineLevel="0" collapsed="false">
      <c r="A926" s="12" t="n">
        <v>922</v>
      </c>
      <c r="B926" s="10" t="s">
        <v>1937</v>
      </c>
      <c r="C926" s="10" t="s">
        <v>680</v>
      </c>
      <c r="D926" s="11" t="n">
        <v>0.0109021990740741</v>
      </c>
      <c r="E926" s="18" t="n">
        <f aca="false">ROUND((D926-$D$5)*86400,2)</f>
        <v>152.21</v>
      </c>
      <c r="F926" s="12" t="n">
        <v>1330</v>
      </c>
      <c r="G926" s="11" t="n">
        <f aca="false">IF(INDEX(選手一覧!$F$7:$F$2738,$F926)="","",INDEX(選手一覧!$F$7:$F$2738,$F926))</f>
        <v>0.00728148148148148</v>
      </c>
      <c r="H926" s="12" t="n">
        <f aca="false">IF(INDEX(選手一覧!$G$7:$G$2738,$F926)="","",INDEX(選手一覧!$G$7:$G$2738,$F926))</f>
        <v>621</v>
      </c>
      <c r="I926" s="11" t="str">
        <f aca="false">IF(INDEX(選手一覧!$H$7:$H$2738,$F926)="","",INDEX(選手一覧!$H$7:$H$2738,$F926))</f>
        <v/>
      </c>
      <c r="J926" s="12" t="str">
        <f aca="false">IF(INDEX(選手一覧!$I$7:$I$2738,$F926)="","",INDEX(選手一覧!$I$7:$I$2738,$F926))</f>
        <v/>
      </c>
    </row>
    <row r="927" customFormat="false" ht="15" hidden="false" customHeight="false" outlineLevel="0" collapsed="false">
      <c r="A927" s="12" t="n">
        <v>923</v>
      </c>
      <c r="B927" s="10" t="s">
        <v>2739</v>
      </c>
      <c r="C927" s="10" t="s">
        <v>1130</v>
      </c>
      <c r="D927" s="11" t="n">
        <v>0.010902662037037</v>
      </c>
      <c r="E927" s="18" t="n">
        <f aca="false">ROUND((D927-$D$5)*86400,2)</f>
        <v>152.25</v>
      </c>
      <c r="F927" s="12" t="n">
        <v>1917</v>
      </c>
      <c r="G927" s="11" t="str">
        <f aca="false">IF(INDEX(選手一覧!$F$7:$F$2738,$F927)="","",INDEX(選手一覧!$F$7:$F$2738,$F927))</f>
        <v/>
      </c>
      <c r="H927" s="12" t="str">
        <f aca="false">IF(INDEX(選手一覧!$G$7:$G$2738,$F927)="","",INDEX(選手一覧!$G$7:$G$2738,$F927))</f>
        <v/>
      </c>
      <c r="I927" s="11" t="str">
        <f aca="false">IF(INDEX(選手一覧!$H$7:$H$2738,$F927)="","",INDEX(選手一覧!$H$7:$H$2738,$F927))</f>
        <v/>
      </c>
      <c r="J927" s="12" t="str">
        <f aca="false">IF(INDEX(選手一覧!$I$7:$I$2738,$F927)="","",INDEX(選手一覧!$I$7:$I$2738,$F927))</f>
        <v/>
      </c>
    </row>
    <row r="928" customFormat="false" ht="15" hidden="false" customHeight="false" outlineLevel="0" collapsed="false">
      <c r="A928" s="12" t="n">
        <v>924</v>
      </c>
      <c r="B928" s="10" t="s">
        <v>971</v>
      </c>
      <c r="C928" s="10" t="s">
        <v>457</v>
      </c>
      <c r="D928" s="11" t="n">
        <v>0.0109027777777778</v>
      </c>
      <c r="E928" s="18" t="n">
        <f aca="false">ROUND((D928-$D$5)*86400,2)</f>
        <v>152.26</v>
      </c>
      <c r="F928" s="12" t="n">
        <v>647</v>
      </c>
      <c r="G928" s="11" t="str">
        <f aca="false">IF(INDEX(選手一覧!$F$7:$F$2738,$F928)="","",INDEX(選手一覧!$F$7:$F$2738,$F928))</f>
        <v/>
      </c>
      <c r="H928" s="12" t="str">
        <f aca="false">IF(INDEX(選手一覧!$G$7:$G$2738,$F928)="","",INDEX(選手一覧!$G$7:$G$2738,$F928))</f>
        <v/>
      </c>
      <c r="I928" s="11" t="n">
        <f aca="false">IF(INDEX(選手一覧!$H$7:$H$2738,$F928)="","",INDEX(選手一覧!$H$7:$H$2738,$F928))</f>
        <v>0.00279780092592593</v>
      </c>
      <c r="J928" s="12" t="n">
        <f aca="false">IF(INDEX(選手一覧!$I$7:$I$2738,$F928)="","",INDEX(選手一覧!$I$7:$I$2738,$F928))</f>
        <v>274</v>
      </c>
    </row>
    <row r="929" customFormat="false" ht="15" hidden="false" customHeight="false" outlineLevel="0" collapsed="false">
      <c r="A929" s="12" t="n">
        <v>925</v>
      </c>
      <c r="B929" s="10" t="s">
        <v>2745</v>
      </c>
      <c r="C929" s="10" t="s">
        <v>208</v>
      </c>
      <c r="D929" s="11" t="n">
        <v>0.0109028935185185</v>
      </c>
      <c r="E929" s="18" t="n">
        <f aca="false">ROUND((D929-$D$5)*86400,2)</f>
        <v>152.27</v>
      </c>
      <c r="F929" s="12" t="n">
        <v>1922</v>
      </c>
      <c r="G929" s="11" t="str">
        <f aca="false">IF(INDEX(選手一覧!$F$7:$F$2738,$F929)="","",INDEX(選手一覧!$F$7:$F$2738,$F929))</f>
        <v/>
      </c>
      <c r="H929" s="12" t="str">
        <f aca="false">IF(INDEX(選手一覧!$G$7:$G$2738,$F929)="","",INDEX(選手一覧!$G$7:$G$2738,$F929))</f>
        <v/>
      </c>
      <c r="I929" s="11" t="str">
        <f aca="false">IF(INDEX(選手一覧!$H$7:$H$2738,$F929)="","",INDEX(選手一覧!$H$7:$H$2738,$F929))</f>
        <v/>
      </c>
      <c r="J929" s="12" t="str">
        <f aca="false">IF(INDEX(選手一覧!$I$7:$I$2738,$F929)="","",INDEX(選手一覧!$I$7:$I$2738,$F929))</f>
        <v/>
      </c>
    </row>
    <row r="930" customFormat="false" ht="15" hidden="false" customHeight="false" outlineLevel="0" collapsed="false">
      <c r="A930" s="12" t="n">
        <v>926</v>
      </c>
      <c r="B930" s="10" t="s">
        <v>1045</v>
      </c>
      <c r="C930" s="10" t="s">
        <v>1046</v>
      </c>
      <c r="D930" s="11" t="n">
        <v>0.0109041666666667</v>
      </c>
      <c r="E930" s="18" t="n">
        <f aca="false">ROUND((D930-$D$5)*86400,2)</f>
        <v>152.38</v>
      </c>
      <c r="F930" s="12" t="n">
        <v>700</v>
      </c>
      <c r="G930" s="11" t="n">
        <f aca="false">IF(INDEX(選手一覧!$F$7:$F$2738,$F930)="","",INDEX(選手一覧!$F$7:$F$2738,$F930))</f>
        <v>0.00696736111111111</v>
      </c>
      <c r="H930" s="12" t="n">
        <f aca="false">IF(INDEX(選手一覧!$G$7:$G$2738,$F930)="","",INDEX(選手一覧!$G$7:$G$2738,$F930))</f>
        <v>300</v>
      </c>
      <c r="I930" s="11" t="str">
        <f aca="false">IF(INDEX(選手一覧!$H$7:$H$2738,$F930)="","",INDEX(選手一覧!$H$7:$H$2738,$F930))</f>
        <v/>
      </c>
      <c r="J930" s="12" t="str">
        <f aca="false">IF(INDEX(選手一覧!$I$7:$I$2738,$F930)="","",INDEX(選手一覧!$I$7:$I$2738,$F930))</f>
        <v/>
      </c>
    </row>
    <row r="931" customFormat="false" ht="15" hidden="false" customHeight="false" outlineLevel="0" collapsed="false">
      <c r="A931" s="12" t="n">
        <v>927</v>
      </c>
      <c r="B931" s="10" t="s">
        <v>1303</v>
      </c>
      <c r="C931" s="10" t="s">
        <v>4010</v>
      </c>
      <c r="D931" s="11" t="n">
        <v>0.0109045138888889</v>
      </c>
      <c r="E931" s="18" t="n">
        <f aca="false">ROUND((D931-$D$5)*86400,2)</f>
        <v>152.41</v>
      </c>
      <c r="F931" s="12" t="n">
        <v>887</v>
      </c>
      <c r="G931" s="11" t="str">
        <f aca="false">IF(INDEX(選手一覧!$F$7:$F$2738,$F931)="","",INDEX(選手一覧!$F$7:$F$2738,$F931))</f>
        <v/>
      </c>
      <c r="H931" s="12" t="str">
        <f aca="false">IF(INDEX(選手一覧!$G$7:$G$2738,$F931)="","",INDEX(選手一覧!$G$7:$G$2738,$F931))</f>
        <v/>
      </c>
      <c r="I931" s="11" t="n">
        <f aca="false">IF(INDEX(選手一覧!$H$7:$H$2738,$F931)="","",INDEX(選手一覧!$H$7:$H$2738,$F931))</f>
        <v>0.00282511574074074</v>
      </c>
      <c r="J931" s="12" t="n">
        <f aca="false">IF(INDEX(選手一覧!$I$7:$I$2738,$F931)="","",INDEX(選手一覧!$I$7:$I$2738,$F931))</f>
        <v>394</v>
      </c>
    </row>
    <row r="932" customFormat="false" ht="15" hidden="false" customHeight="false" outlineLevel="0" collapsed="false">
      <c r="A932" s="12" t="n">
        <v>928</v>
      </c>
      <c r="B932" s="10" t="s">
        <v>1382</v>
      </c>
      <c r="C932" s="10" t="s">
        <v>1383</v>
      </c>
      <c r="D932" s="11" t="n">
        <v>0.0109045138888889</v>
      </c>
      <c r="E932" s="18" t="n">
        <f aca="false">ROUND((D932-$D$5)*86400,2)</f>
        <v>152.41</v>
      </c>
      <c r="F932" s="12" t="n">
        <v>941</v>
      </c>
      <c r="G932" s="11" t="n">
        <f aca="false">IF(INDEX(選手一覧!$F$7:$F$2738,$F932)="","",INDEX(選手一覧!$F$7:$F$2738,$F932))</f>
        <v>0.00707465277777778</v>
      </c>
      <c r="H932" s="12" t="n">
        <f aca="false">IF(INDEX(選手一覧!$G$7:$G$2738,$F932)="","",INDEX(選手一覧!$G$7:$G$2738,$F932))</f>
        <v>421</v>
      </c>
      <c r="I932" s="11" t="str">
        <f aca="false">IF(INDEX(選手一覧!$H$7:$H$2738,$F932)="","",INDEX(選手一覧!$H$7:$H$2738,$F932))</f>
        <v/>
      </c>
      <c r="J932" s="12" t="str">
        <f aca="false">IF(INDEX(選手一覧!$I$7:$I$2738,$F932)="","",INDEX(選手一覧!$I$7:$I$2738,$F932))</f>
        <v/>
      </c>
    </row>
    <row r="933" customFormat="false" ht="15" hidden="false" customHeight="false" outlineLevel="0" collapsed="false">
      <c r="A933" s="12" t="n">
        <v>929</v>
      </c>
      <c r="B933" s="10" t="s">
        <v>2752</v>
      </c>
      <c r="C933" s="10" t="s">
        <v>2555</v>
      </c>
      <c r="D933" s="11" t="n">
        <v>0.0109052083333333</v>
      </c>
      <c r="E933" s="18" t="n">
        <f aca="false">ROUND((D933-$D$5)*86400,2)</f>
        <v>152.47</v>
      </c>
      <c r="F933" s="12" t="n">
        <v>1927</v>
      </c>
      <c r="G933" s="11" t="str">
        <f aca="false">IF(INDEX(選手一覧!$F$7:$F$2738,$F933)="","",INDEX(選手一覧!$F$7:$F$2738,$F933))</f>
        <v/>
      </c>
      <c r="H933" s="12" t="str">
        <f aca="false">IF(INDEX(選手一覧!$G$7:$G$2738,$F933)="","",INDEX(選手一覧!$G$7:$G$2738,$F933))</f>
        <v/>
      </c>
      <c r="I933" s="11" t="n">
        <f aca="false">IF(INDEX(選手一覧!$H$7:$H$2738,$F933)="","",INDEX(選手一覧!$H$7:$H$2738,$F933))</f>
        <v>0.00290416666666667</v>
      </c>
      <c r="J933" s="12" t="n">
        <f aca="false">IF(INDEX(選手一覧!$I$7:$I$2738,$F933)="","",INDEX(選手一覧!$I$7:$I$2738,$F933))</f>
        <v>981</v>
      </c>
    </row>
    <row r="934" customFormat="false" ht="15" hidden="false" customHeight="false" outlineLevel="0" collapsed="false">
      <c r="A934" s="12" t="n">
        <v>930</v>
      </c>
      <c r="B934" s="10" t="s">
        <v>808</v>
      </c>
      <c r="C934" s="10" t="s">
        <v>538</v>
      </c>
      <c r="D934" s="11" t="n">
        <v>0.0109063657407407</v>
      </c>
      <c r="E934" s="18" t="n">
        <f aca="false">ROUND((D934-$D$5)*86400,2)</f>
        <v>152.57</v>
      </c>
      <c r="F934" s="12" t="n">
        <v>528</v>
      </c>
      <c r="G934" s="11" t="str">
        <f aca="false">IF(INDEX(選手一覧!$F$7:$F$2738,$F934)="","",INDEX(選手一覧!$F$7:$F$2738,$F934))</f>
        <v/>
      </c>
      <c r="H934" s="12" t="str">
        <f aca="false">IF(INDEX(選手一覧!$G$7:$G$2738,$F934)="","",INDEX(選手一覧!$G$7:$G$2738,$F934))</f>
        <v/>
      </c>
      <c r="I934" s="11" t="n">
        <f aca="false">IF(INDEX(選手一覧!$H$7:$H$2738,$F934)="","",INDEX(選手一覧!$H$7:$H$2738,$F934))</f>
        <v>0.00278599537037037</v>
      </c>
      <c r="J934" s="12" t="n">
        <f aca="false">IF(INDEX(選手一覧!$I$7:$I$2738,$F934)="","",INDEX(選手一覧!$I$7:$I$2738,$F934))</f>
        <v>221</v>
      </c>
    </row>
    <row r="935" customFormat="false" ht="15" hidden="false" customHeight="false" outlineLevel="0" collapsed="false">
      <c r="A935" s="12" t="n">
        <v>931</v>
      </c>
      <c r="B935" s="10" t="s">
        <v>770</v>
      </c>
      <c r="C935" s="10" t="s">
        <v>771</v>
      </c>
      <c r="D935" s="11" t="n">
        <v>0.0109069444444444</v>
      </c>
      <c r="E935" s="18" t="n">
        <f aca="false">ROUND((D935-$D$5)*86400,2)</f>
        <v>152.62</v>
      </c>
      <c r="F935" s="12" t="n">
        <v>498</v>
      </c>
      <c r="G935" s="11" t="n">
        <f aca="false">IF(INDEX(選手一覧!$F$7:$F$2738,$F935)="","",INDEX(選手一覧!$F$7:$F$2738,$F935))</f>
        <v>0.00685810185185185</v>
      </c>
      <c r="H935" s="12" t="n">
        <f aca="false">IF(INDEX(選手一覧!$G$7:$G$2738,$F935)="","",INDEX(選手一覧!$G$7:$G$2738,$F935))</f>
        <v>209</v>
      </c>
      <c r="I935" s="11" t="n">
        <f aca="false">IF(INDEX(選手一覧!$H$7:$H$2738,$F935)="","",INDEX(選手一覧!$H$7:$H$2738,$F935))</f>
        <v>0.00278680555555556</v>
      </c>
      <c r="J935" s="12" t="n">
        <f aca="false">IF(INDEX(選手一覧!$I$7:$I$2738,$F935)="","",INDEX(選手一覧!$I$7:$I$2738,$F935))</f>
        <v>229</v>
      </c>
    </row>
    <row r="936" customFormat="false" ht="15" hidden="false" customHeight="false" outlineLevel="0" collapsed="false">
      <c r="A936" s="12" t="n">
        <v>932</v>
      </c>
      <c r="B936" s="10" t="s">
        <v>2758</v>
      </c>
      <c r="C936" s="10" t="s">
        <v>2024</v>
      </c>
      <c r="D936" s="11" t="n">
        <v>0.0109074074074074</v>
      </c>
      <c r="E936" s="18" t="n">
        <f aca="false">ROUND((D936-$D$5)*86400,2)</f>
        <v>152.66</v>
      </c>
      <c r="F936" s="12" t="n">
        <v>1932</v>
      </c>
      <c r="G936" s="11" t="n">
        <f aca="false">IF(INDEX(選手一覧!$F$7:$F$2738,$F936)="","",INDEX(選手一覧!$F$7:$F$2738,$F936))</f>
        <v>0.0076775462962963</v>
      </c>
      <c r="H936" s="12" t="n">
        <f aca="false">IF(INDEX(選手一覧!$G$7:$G$2738,$F936)="","",INDEX(選手一覧!$G$7:$G$2738,$F936))</f>
        <v>1056</v>
      </c>
      <c r="I936" s="11" t="n">
        <f aca="false">IF(INDEX(選手一覧!$H$7:$H$2738,$F936)="","",INDEX(選手一覧!$H$7:$H$2738,$F936))</f>
        <v>0.00297268518518519</v>
      </c>
      <c r="J936" s="12" t="n">
        <f aca="false">IF(INDEX(選手一覧!$I$7:$I$2738,$F936)="","",INDEX(選手一覧!$I$7:$I$2738,$F936))</f>
        <v>1320</v>
      </c>
    </row>
    <row r="937" customFormat="false" ht="15" hidden="false" customHeight="false" outlineLevel="0" collapsed="false">
      <c r="A937" s="12" t="n">
        <v>933</v>
      </c>
      <c r="B937" s="10" t="s">
        <v>1264</v>
      </c>
      <c r="C937" s="10" t="s">
        <v>1265</v>
      </c>
      <c r="D937" s="11" t="n">
        <v>0.0109077546296296</v>
      </c>
      <c r="E937" s="18" t="n">
        <f aca="false">ROUND((D937-$D$5)*86400,2)</f>
        <v>152.69</v>
      </c>
      <c r="F937" s="12" t="n">
        <v>860</v>
      </c>
      <c r="G937" s="11" t="n">
        <f aca="false">IF(INDEX(選手一覧!$F$7:$F$2738,$F937)="","",INDEX(選手一覧!$F$7:$F$2738,$F937))</f>
        <v>0.00704351851851852</v>
      </c>
      <c r="H937" s="12" t="n">
        <f aca="false">IF(INDEX(選手一覧!$G$7:$G$2738,$F937)="","",INDEX(選手一覧!$G$7:$G$2738,$F937))</f>
        <v>383</v>
      </c>
      <c r="I937" s="11" t="str">
        <f aca="false">IF(INDEX(選手一覧!$H$7:$H$2738,$F937)="","",INDEX(選手一覧!$H$7:$H$2738,$F937))</f>
        <v/>
      </c>
      <c r="J937" s="12" t="str">
        <f aca="false">IF(INDEX(選手一覧!$I$7:$I$2738,$F937)="","",INDEX(選手一覧!$I$7:$I$2738,$F937))</f>
        <v/>
      </c>
    </row>
    <row r="938" customFormat="false" ht="15" hidden="false" customHeight="false" outlineLevel="0" collapsed="false">
      <c r="A938" s="12" t="n">
        <v>934</v>
      </c>
      <c r="B938" s="10" t="s">
        <v>418</v>
      </c>
      <c r="C938" s="10" t="s">
        <v>267</v>
      </c>
      <c r="D938" s="11" t="n">
        <v>0.0109083333333333</v>
      </c>
      <c r="E938" s="18" t="n">
        <f aca="false">ROUND((D938-$D$5)*86400,2)</f>
        <v>152.74</v>
      </c>
      <c r="F938" s="12" t="n">
        <v>254</v>
      </c>
      <c r="G938" s="11" t="str">
        <f aca="false">IF(INDEX(選手一覧!$F$7:$F$2738,$F938)="","",INDEX(選手一覧!$F$7:$F$2738,$F938))</f>
        <v/>
      </c>
      <c r="H938" s="12" t="str">
        <f aca="false">IF(INDEX(選手一覧!$G$7:$G$2738,$F938)="","",INDEX(選手一覧!$G$7:$G$2738,$F938))</f>
        <v/>
      </c>
      <c r="I938" s="11" t="n">
        <f aca="false">IF(INDEX(選手一覧!$H$7:$H$2738,$F938)="","",INDEX(選手一覧!$H$7:$H$2738,$F938))</f>
        <v>0.00275104166666667</v>
      </c>
      <c r="J938" s="12" t="n">
        <f aca="false">IF(INDEX(選手一覧!$I$7:$I$2738,$F938)="","",INDEX(選手一覧!$I$7:$I$2738,$F938))</f>
        <v>105</v>
      </c>
    </row>
    <row r="939" customFormat="false" ht="15" hidden="false" customHeight="false" outlineLevel="0" collapsed="false">
      <c r="A939" s="12" t="n">
        <v>935</v>
      </c>
      <c r="B939" s="10" t="s">
        <v>2767</v>
      </c>
      <c r="C939" s="10" t="s">
        <v>79</v>
      </c>
      <c r="D939" s="11" t="n">
        <v>0.0109083333333333</v>
      </c>
      <c r="E939" s="18" t="n">
        <f aca="false">ROUND((D939-$D$5)*86400,2)</f>
        <v>152.74</v>
      </c>
      <c r="F939" s="12" t="n">
        <v>1937</v>
      </c>
      <c r="G939" s="11" t="str">
        <f aca="false">IF(INDEX(選手一覧!$F$7:$F$2738,$F939)="","",INDEX(選手一覧!$F$7:$F$2738,$F939))</f>
        <v/>
      </c>
      <c r="H939" s="12" t="str">
        <f aca="false">IF(INDEX(選手一覧!$G$7:$G$2738,$F939)="","",INDEX(選手一覧!$G$7:$G$2738,$F939))</f>
        <v/>
      </c>
      <c r="I939" s="11" t="str">
        <f aca="false">IF(INDEX(選手一覧!$H$7:$H$2738,$F939)="","",INDEX(選手一覧!$H$7:$H$2738,$F939))</f>
        <v/>
      </c>
      <c r="J939" s="12" t="str">
        <f aca="false">IF(INDEX(選手一覧!$I$7:$I$2738,$F939)="","",INDEX(選手一覧!$I$7:$I$2738,$F939))</f>
        <v/>
      </c>
    </row>
    <row r="940" customFormat="false" ht="15" hidden="false" customHeight="false" outlineLevel="0" collapsed="false">
      <c r="A940" s="12" t="n">
        <v>936</v>
      </c>
      <c r="B940" s="10" t="s">
        <v>2199</v>
      </c>
      <c r="C940" s="10" t="s">
        <v>62</v>
      </c>
      <c r="D940" s="11" t="n">
        <v>0.0109087962962963</v>
      </c>
      <c r="E940" s="18" t="n">
        <f aca="false">ROUND((D940-$D$5)*86400,2)</f>
        <v>152.78</v>
      </c>
      <c r="F940" s="12" t="n">
        <v>1523</v>
      </c>
      <c r="G940" s="11" t="str">
        <f aca="false">IF(INDEX(選手一覧!$F$7:$F$2738,$F940)="","",INDEX(選手一覧!$F$7:$F$2738,$F940))</f>
        <v/>
      </c>
      <c r="H940" s="12" t="str">
        <f aca="false">IF(INDEX(選手一覧!$G$7:$G$2738,$F940)="","",INDEX(選手一覧!$G$7:$G$2738,$F940))</f>
        <v/>
      </c>
      <c r="I940" s="11" t="n">
        <f aca="false">IF(INDEX(選手一覧!$H$7:$H$2738,$F940)="","",INDEX(選手一覧!$H$7:$H$2738,$F940))</f>
        <v>0.00287349537037037</v>
      </c>
      <c r="J940" s="12" t="n">
        <f aca="false">IF(INDEX(選手一覧!$I$7:$I$2738,$F940)="","",INDEX(選手一覧!$I$7:$I$2738,$F940))</f>
        <v>724</v>
      </c>
    </row>
    <row r="941" customFormat="false" ht="15" hidden="false" customHeight="false" outlineLevel="0" collapsed="false">
      <c r="A941" s="12" t="n">
        <v>937</v>
      </c>
      <c r="B941" s="10" t="s">
        <v>929</v>
      </c>
      <c r="C941" s="10" t="s">
        <v>190</v>
      </c>
      <c r="D941" s="11" t="n">
        <v>0.0109090277777778</v>
      </c>
      <c r="E941" s="18" t="n">
        <f aca="false">ROUND((D941-$D$5)*86400,2)</f>
        <v>152.8</v>
      </c>
      <c r="F941" s="12" t="n">
        <v>615</v>
      </c>
      <c r="G941" s="11" t="n">
        <f aca="false">IF(INDEX(選手一覧!$F$7:$F$2738,$F941)="","",INDEX(選手一覧!$F$7:$F$2738,$F941))</f>
        <v>0.0069212962962963</v>
      </c>
      <c r="H941" s="12" t="n">
        <f aca="false">IF(INDEX(選手一覧!$G$7:$G$2738,$F941)="","",INDEX(選手一覧!$G$7:$G$2738,$F941))</f>
        <v>259</v>
      </c>
      <c r="I941" s="11" t="n">
        <f aca="false">IF(INDEX(選手一覧!$H$7:$H$2738,$F941)="","",INDEX(選手一覧!$H$7:$H$2738,$F941))</f>
        <v>0.00285833333333333</v>
      </c>
      <c r="J941" s="12" t="n">
        <f aca="false">IF(INDEX(選手一覧!$I$7:$I$2738,$F941)="","",INDEX(選手一覧!$I$7:$I$2738,$F941))</f>
        <v>624</v>
      </c>
    </row>
    <row r="942" customFormat="false" ht="15" hidden="false" customHeight="false" outlineLevel="0" collapsed="false">
      <c r="A942" s="12" t="n">
        <v>938</v>
      </c>
      <c r="B942" s="10" t="s">
        <v>802</v>
      </c>
      <c r="C942" s="10" t="s">
        <v>803</v>
      </c>
      <c r="D942" s="11" t="n">
        <v>0.0109100694444444</v>
      </c>
      <c r="E942" s="18" t="n">
        <f aca="false">ROUND((D942-$D$5)*86400,2)</f>
        <v>152.89</v>
      </c>
      <c r="F942" s="12" t="n">
        <v>524</v>
      </c>
      <c r="G942" s="11" t="n">
        <f aca="false">IF(INDEX(選手一覧!$F$7:$F$2738,$F942)="","",INDEX(選手一覧!$F$7:$F$2738,$F942))</f>
        <v>0.00687256944444444</v>
      </c>
      <c r="H942" s="12" t="n">
        <f aca="false">IF(INDEX(選手一覧!$G$7:$G$2738,$F942)="","",INDEX(選手一覧!$G$7:$G$2738,$F942))</f>
        <v>220</v>
      </c>
      <c r="I942" s="11" t="n">
        <f aca="false">IF(INDEX(選手一覧!$H$7:$H$2738,$F942)="","",INDEX(選手一覧!$H$7:$H$2738,$F942))</f>
        <v>0.00297164351851852</v>
      </c>
      <c r="J942" s="12" t="n">
        <f aca="false">IF(INDEX(選手一覧!$I$7:$I$2738,$F942)="","",INDEX(選手一覧!$I$7:$I$2738,$F942))</f>
        <v>1316</v>
      </c>
    </row>
    <row r="943" customFormat="false" ht="15" hidden="false" customHeight="false" outlineLevel="0" collapsed="false">
      <c r="A943" s="12" t="n">
        <v>939</v>
      </c>
      <c r="B943" s="10" t="s">
        <v>2305</v>
      </c>
      <c r="C943" s="10" t="s">
        <v>2306</v>
      </c>
      <c r="D943" s="11" t="n">
        <v>0.0109113425925926</v>
      </c>
      <c r="E943" s="18" t="n">
        <f aca="false">ROUND((D943-$D$5)*86400,2)</f>
        <v>153</v>
      </c>
      <c r="F943" s="12" t="n">
        <v>1592</v>
      </c>
      <c r="G943" s="11" t="str">
        <f aca="false">IF(INDEX(選手一覧!$F$7:$F$2738,$F943)="","",INDEX(選手一覧!$F$7:$F$2738,$F943))</f>
        <v/>
      </c>
      <c r="H943" s="12" t="str">
        <f aca="false">IF(INDEX(選手一覧!$G$7:$G$2738,$F943)="","",INDEX(選手一覧!$G$7:$G$2738,$F943))</f>
        <v/>
      </c>
      <c r="I943" s="11" t="n">
        <f aca="false">IF(INDEX(選手一覧!$H$7:$H$2738,$F943)="","",INDEX(選手一覧!$H$7:$H$2738,$F943))</f>
        <v>0.00287858796296296</v>
      </c>
      <c r="J943" s="12" t="n">
        <f aca="false">IF(INDEX(選手一覧!$I$7:$I$2738,$F943)="","",INDEX(選手一覧!$I$7:$I$2738,$F943))</f>
        <v>759</v>
      </c>
    </row>
    <row r="944" customFormat="false" ht="15" hidden="false" customHeight="false" outlineLevel="0" collapsed="false">
      <c r="A944" s="12" t="n">
        <v>940</v>
      </c>
      <c r="B944" s="10" t="s">
        <v>956</v>
      </c>
      <c r="C944" s="10" t="s">
        <v>541</v>
      </c>
      <c r="D944" s="11" t="n">
        <v>0.0109114583333333</v>
      </c>
      <c r="E944" s="18" t="n">
        <f aca="false">ROUND((D944-$D$5)*86400,2)</f>
        <v>153.01</v>
      </c>
      <c r="F944" s="12" t="n">
        <v>635</v>
      </c>
      <c r="G944" s="11" t="n">
        <f aca="false">IF(INDEX(選手一覧!$F$7:$F$2738,$F944)="","",INDEX(選手一覧!$F$7:$F$2738,$F944))</f>
        <v>0.00692696759259259</v>
      </c>
      <c r="H944" s="12" t="n">
        <f aca="false">IF(INDEX(選手一覧!$G$7:$G$2738,$F944)="","",INDEX(選手一覧!$G$7:$G$2738,$F944))</f>
        <v>267</v>
      </c>
      <c r="I944" s="11" t="n">
        <f aca="false">IF(INDEX(選手一覧!$H$7:$H$2738,$F944)="","",INDEX(選手一覧!$H$7:$H$2738,$F944))</f>
        <v>0.00289166666666667</v>
      </c>
      <c r="J944" s="12" t="n">
        <f aca="false">IF(INDEX(選手一覧!$I$7:$I$2738,$F944)="","",INDEX(選手一覧!$I$7:$I$2738,$F944))</f>
        <v>884</v>
      </c>
    </row>
    <row r="945" customFormat="false" ht="15" hidden="false" customHeight="false" outlineLevel="0" collapsed="false">
      <c r="A945" s="12" t="n">
        <v>941</v>
      </c>
      <c r="B945" s="10" t="s">
        <v>2781</v>
      </c>
      <c r="C945" s="10" t="s">
        <v>166</v>
      </c>
      <c r="D945" s="11" t="n">
        <v>0.0109116898148148</v>
      </c>
      <c r="E945" s="18" t="n">
        <f aca="false">ROUND((D945-$D$5)*86400,2)</f>
        <v>153.03</v>
      </c>
      <c r="F945" s="12" t="n">
        <v>1947</v>
      </c>
      <c r="G945" s="11" t="str">
        <f aca="false">IF(INDEX(選手一覧!$F$7:$F$2738,$F945)="","",INDEX(選手一覧!$F$7:$F$2738,$F945))</f>
        <v/>
      </c>
      <c r="H945" s="12" t="str">
        <f aca="false">IF(INDEX(選手一覧!$G$7:$G$2738,$F945)="","",INDEX(選手一覧!$G$7:$G$2738,$F945))</f>
        <v/>
      </c>
      <c r="I945" s="11" t="str">
        <f aca="false">IF(INDEX(選手一覧!$H$7:$H$2738,$F945)="","",INDEX(選手一覧!$H$7:$H$2738,$F945))</f>
        <v/>
      </c>
      <c r="J945" s="12" t="str">
        <f aca="false">IF(INDEX(選手一覧!$I$7:$I$2738,$F945)="","",INDEX(選手一覧!$I$7:$I$2738,$F945))</f>
        <v/>
      </c>
    </row>
    <row r="946" customFormat="false" ht="15" hidden="false" customHeight="false" outlineLevel="0" collapsed="false">
      <c r="A946" s="12" t="n">
        <v>942</v>
      </c>
      <c r="B946" s="10" t="s">
        <v>610</v>
      </c>
      <c r="C946" s="10" t="s">
        <v>72</v>
      </c>
      <c r="D946" s="11" t="n">
        <v>0.0109127314814815</v>
      </c>
      <c r="E946" s="18" t="n">
        <f aca="false">ROUND((D946-$D$5)*86400,2)</f>
        <v>153.12</v>
      </c>
      <c r="F946" s="12" t="n">
        <v>386</v>
      </c>
      <c r="G946" s="11" t="n">
        <f aca="false">IF(INDEX(選手一覧!$F$7:$F$2738,$F946)="","",INDEX(選手一覧!$F$7:$F$2738,$F946))</f>
        <v>0.00679247685185185</v>
      </c>
      <c r="H946" s="12" t="n">
        <f aca="false">IF(INDEX(選手一覧!$G$7:$G$2738,$F946)="","",INDEX(選手一覧!$G$7:$G$2738,$F946))</f>
        <v>164</v>
      </c>
      <c r="I946" s="11" t="n">
        <f aca="false">IF(INDEX(選手一覧!$H$7:$H$2738,$F946)="","",INDEX(選手一覧!$H$7:$H$2738,$F946))</f>
        <v>0.00288148148148148</v>
      </c>
      <c r="J946" s="12" t="n">
        <f aca="false">IF(INDEX(選手一覧!$I$7:$I$2738,$F946)="","",INDEX(選手一覧!$I$7:$I$2738,$F946))</f>
        <v>783</v>
      </c>
    </row>
    <row r="947" customFormat="false" ht="15" hidden="false" customHeight="false" outlineLevel="0" collapsed="false">
      <c r="A947" s="12" t="n">
        <v>943</v>
      </c>
      <c r="B947" s="10" t="s">
        <v>2789</v>
      </c>
      <c r="C947" s="10" t="s">
        <v>393</v>
      </c>
      <c r="D947" s="11" t="n">
        <v>0.0109130787037037</v>
      </c>
      <c r="E947" s="18" t="n">
        <f aca="false">ROUND((D947-$D$5)*86400,2)</f>
        <v>153.15</v>
      </c>
      <c r="F947" s="12" t="n">
        <v>1951</v>
      </c>
      <c r="G947" s="11" t="str">
        <f aca="false">IF(INDEX(選手一覧!$F$7:$F$2738,$F947)="","",INDEX(選手一覧!$F$7:$F$2738,$F947))</f>
        <v/>
      </c>
      <c r="H947" s="12" t="str">
        <f aca="false">IF(INDEX(選手一覧!$G$7:$G$2738,$F947)="","",INDEX(選手一覧!$G$7:$G$2738,$F947))</f>
        <v/>
      </c>
      <c r="I947" s="11" t="str">
        <f aca="false">IF(INDEX(選手一覧!$H$7:$H$2738,$F947)="","",INDEX(選手一覧!$H$7:$H$2738,$F947))</f>
        <v/>
      </c>
      <c r="J947" s="12" t="str">
        <f aca="false">IF(INDEX(選手一覧!$I$7:$I$2738,$F947)="","",INDEX(選手一覧!$I$7:$I$2738,$F947))</f>
        <v/>
      </c>
    </row>
    <row r="948" customFormat="false" ht="15" hidden="false" customHeight="false" outlineLevel="0" collapsed="false">
      <c r="A948" s="12" t="n">
        <v>944</v>
      </c>
      <c r="B948" s="10" t="s">
        <v>996</v>
      </c>
      <c r="C948" s="10" t="s">
        <v>997</v>
      </c>
      <c r="D948" s="11" t="n">
        <v>0.0109134259259259</v>
      </c>
      <c r="E948" s="18" t="n">
        <f aca="false">ROUND((D948-$D$5)*86400,2)</f>
        <v>153.18</v>
      </c>
      <c r="F948" s="12" t="n">
        <v>665</v>
      </c>
      <c r="G948" s="11" t="str">
        <f aca="false">IF(INDEX(選手一覧!$F$7:$F$2738,$F948)="","",INDEX(選手一覧!$F$7:$F$2738,$F948))</f>
        <v/>
      </c>
      <c r="H948" s="12" t="str">
        <f aca="false">IF(INDEX(選手一覧!$G$7:$G$2738,$F948)="","",INDEX(選手一覧!$G$7:$G$2738,$F948))</f>
        <v/>
      </c>
      <c r="I948" s="11" t="n">
        <f aca="false">IF(INDEX(選手一覧!$H$7:$H$2738,$F948)="","",INDEX(選手一覧!$H$7:$H$2738,$F948))</f>
        <v>0.00279988425925926</v>
      </c>
      <c r="J948" s="12" t="n">
        <f aca="false">IF(INDEX(選手一覧!$I$7:$I$2738,$F948)="","",INDEX(選手一覧!$I$7:$I$2738,$F948))</f>
        <v>283</v>
      </c>
    </row>
    <row r="949" customFormat="false" ht="15" hidden="false" customHeight="false" outlineLevel="0" collapsed="false">
      <c r="A949" s="12" t="n">
        <v>945</v>
      </c>
      <c r="B949" s="10" t="s">
        <v>2519</v>
      </c>
      <c r="C949" s="10" t="s">
        <v>79</v>
      </c>
      <c r="D949" s="11" t="n">
        <v>0.0109134259259259</v>
      </c>
      <c r="E949" s="18" t="n">
        <f aca="false">ROUND((D949-$D$5)*86400,2)</f>
        <v>153.18</v>
      </c>
      <c r="F949" s="12" t="n">
        <v>1758</v>
      </c>
      <c r="G949" s="11" t="n">
        <f aca="false">IF(INDEX(選手一覧!$F$7:$F$2738,$F949)="","",INDEX(選手一覧!$F$7:$F$2738,$F949))</f>
        <v>0.00745625</v>
      </c>
      <c r="H949" s="12" t="n">
        <f aca="false">IF(INDEX(選手一覧!$G$7:$G$2738,$F949)="","",INDEX(選手一覧!$G$7:$G$2738,$F949))</f>
        <v>841</v>
      </c>
      <c r="I949" s="11" t="str">
        <f aca="false">IF(INDEX(選手一覧!$H$7:$H$2738,$F949)="","",INDEX(選手一覧!$H$7:$H$2738,$F949))</f>
        <v/>
      </c>
      <c r="J949" s="12" t="str">
        <f aca="false">IF(INDEX(選手一覧!$I$7:$I$2738,$F949)="","",INDEX(選手一覧!$I$7:$I$2738,$F949))</f>
        <v/>
      </c>
    </row>
    <row r="950" customFormat="false" ht="15" hidden="false" customHeight="false" outlineLevel="0" collapsed="false">
      <c r="A950" s="12" t="n">
        <v>946</v>
      </c>
      <c r="B950" s="10" t="s">
        <v>1296</v>
      </c>
      <c r="C950" s="10" t="s">
        <v>1297</v>
      </c>
      <c r="D950" s="11" t="n">
        <v>0.0109144675925926</v>
      </c>
      <c r="E950" s="18" t="n">
        <f aca="false">ROUND((D950-$D$5)*86400,2)</f>
        <v>153.27</v>
      </c>
      <c r="F950" s="12" t="n">
        <v>883</v>
      </c>
      <c r="G950" s="11" t="str">
        <f aca="false">IF(INDEX(選手一覧!$F$7:$F$2738,$F950)="","",INDEX(選手一覧!$F$7:$F$2738,$F950))</f>
        <v/>
      </c>
      <c r="H950" s="12" t="str">
        <f aca="false">IF(INDEX(選手一覧!$G$7:$G$2738,$F950)="","",INDEX(選手一覧!$G$7:$G$2738,$F950))</f>
        <v/>
      </c>
      <c r="I950" s="11" t="n">
        <f aca="false">IF(INDEX(選手一覧!$H$7:$H$2738,$F950)="","",INDEX(選手一覧!$H$7:$H$2738,$F950))</f>
        <v>0.00282488425925926</v>
      </c>
      <c r="J950" s="12" t="n">
        <f aca="false">IF(INDEX(選手一覧!$I$7:$I$2738,$F950)="","",INDEX(選手一覧!$I$7:$I$2738,$F950))</f>
        <v>393</v>
      </c>
    </row>
    <row r="951" customFormat="false" ht="15" hidden="false" customHeight="false" outlineLevel="0" collapsed="false">
      <c r="A951" s="12" t="n">
        <v>947</v>
      </c>
      <c r="B951" s="10" t="s">
        <v>1586</v>
      </c>
      <c r="C951" s="10" t="s">
        <v>279</v>
      </c>
      <c r="D951" s="11" t="n">
        <v>0.0109165509259259</v>
      </c>
      <c r="E951" s="18" t="n">
        <f aca="false">ROUND((D951-$D$5)*86400,2)</f>
        <v>153.45</v>
      </c>
      <c r="F951" s="12" t="n">
        <v>1094</v>
      </c>
      <c r="G951" s="11" t="n">
        <f aca="false">IF(INDEX(選手一覧!$F$7:$F$2738,$F951)="","",INDEX(選手一覧!$F$7:$F$2738,$F951))</f>
        <v>0.00716053240740741</v>
      </c>
      <c r="H951" s="12" t="n">
        <f aca="false">IF(INDEX(選手一覧!$G$7:$G$2738,$F951)="","",INDEX(選手一覧!$G$7:$G$2738,$F951))</f>
        <v>495</v>
      </c>
      <c r="I951" s="11" t="n">
        <f aca="false">IF(INDEX(選手一覧!$H$7:$H$2738,$F951)="","",INDEX(選手一覧!$H$7:$H$2738,$F951))</f>
        <v>0.00290625</v>
      </c>
      <c r="J951" s="12" t="n">
        <f aca="false">IF(INDEX(選手一覧!$I$7:$I$2738,$F951)="","",INDEX(選手一覧!$I$7:$I$2738,$F951))</f>
        <v>990</v>
      </c>
    </row>
    <row r="952" customFormat="false" ht="15" hidden="false" customHeight="false" outlineLevel="0" collapsed="false">
      <c r="A952" s="12" t="n">
        <v>948</v>
      </c>
      <c r="B952" s="10" t="s">
        <v>2801</v>
      </c>
      <c r="C952" s="10" t="s">
        <v>756</v>
      </c>
      <c r="D952" s="11" t="n">
        <v>0.0109170138888889</v>
      </c>
      <c r="E952" s="18" t="n">
        <f aca="false">ROUND((D952-$D$5)*86400,2)</f>
        <v>153.49</v>
      </c>
      <c r="F952" s="12" t="n">
        <v>1959</v>
      </c>
      <c r="G952" s="11" t="str">
        <f aca="false">IF(INDEX(選手一覧!$F$7:$F$2738,$F952)="","",INDEX(選手一覧!$F$7:$F$2738,$F952))</f>
        <v/>
      </c>
      <c r="H952" s="12" t="str">
        <f aca="false">IF(INDEX(選手一覧!$G$7:$G$2738,$F952)="","",INDEX(選手一覧!$G$7:$G$2738,$F952))</f>
        <v/>
      </c>
      <c r="I952" s="11" t="str">
        <f aca="false">IF(INDEX(選手一覧!$H$7:$H$2738,$F952)="","",INDEX(選手一覧!$H$7:$H$2738,$F952))</f>
        <v/>
      </c>
      <c r="J952" s="12" t="str">
        <f aca="false">IF(INDEX(選手一覧!$I$7:$I$2738,$F952)="","",INDEX(選手一覧!$I$7:$I$2738,$F952))</f>
        <v/>
      </c>
    </row>
    <row r="953" customFormat="false" ht="15" hidden="false" customHeight="false" outlineLevel="0" collapsed="false">
      <c r="A953" s="12" t="n">
        <v>949</v>
      </c>
      <c r="B953" s="10" t="s">
        <v>2803</v>
      </c>
      <c r="C953" s="10" t="s">
        <v>1595</v>
      </c>
      <c r="D953" s="11" t="n">
        <v>0.0109172453703704</v>
      </c>
      <c r="E953" s="18" t="n">
        <f aca="false">ROUND((D953-$D$5)*86400,2)</f>
        <v>153.51</v>
      </c>
      <c r="F953" s="12" t="n">
        <v>1961</v>
      </c>
      <c r="G953" s="11" t="str">
        <f aca="false">IF(INDEX(選手一覧!$F$7:$F$2738,$F953)="","",INDEX(選手一覧!$F$7:$F$2738,$F953))</f>
        <v/>
      </c>
      <c r="H953" s="12" t="str">
        <f aca="false">IF(INDEX(選手一覧!$G$7:$G$2738,$F953)="","",INDEX(選手一覧!$G$7:$G$2738,$F953))</f>
        <v/>
      </c>
      <c r="I953" s="11" t="n">
        <f aca="false">IF(INDEX(選手一覧!$H$7:$H$2738,$F953)="","",INDEX(選手一覧!$H$7:$H$2738,$F953))</f>
        <v>0.00295023148148148</v>
      </c>
      <c r="J953" s="12" t="n">
        <f aca="false">IF(INDEX(選手一覧!$I$7:$I$2738,$F953)="","",INDEX(選手一覧!$I$7:$I$2738,$F953))</f>
        <v>1239</v>
      </c>
    </row>
    <row r="954" customFormat="false" ht="15" hidden="false" customHeight="false" outlineLevel="0" collapsed="false">
      <c r="A954" s="12" t="n">
        <v>950</v>
      </c>
      <c r="B954" s="10" t="s">
        <v>2514</v>
      </c>
      <c r="C954" s="10" t="s">
        <v>47</v>
      </c>
      <c r="D954" s="11" t="n">
        <v>0.0109190972222222</v>
      </c>
      <c r="E954" s="18" t="n">
        <f aca="false">ROUND((D954-$D$5)*86400,2)</f>
        <v>153.67</v>
      </c>
      <c r="F954" s="12" t="n">
        <v>1754</v>
      </c>
      <c r="G954" s="11" t="str">
        <f aca="false">IF(INDEX(選手一覧!$F$7:$F$2738,$F954)="","",INDEX(選手一覧!$F$7:$F$2738,$F954))</f>
        <v/>
      </c>
      <c r="H954" s="12" t="str">
        <f aca="false">IF(INDEX(選手一覧!$G$7:$G$2738,$F954)="","",INDEX(選手一覧!$G$7:$G$2738,$F954))</f>
        <v/>
      </c>
      <c r="I954" s="11" t="n">
        <f aca="false">IF(INDEX(選手一覧!$H$7:$H$2738,$F954)="","",INDEX(選手一覧!$H$7:$H$2738,$F954))</f>
        <v>0.0028875</v>
      </c>
      <c r="J954" s="12" t="n">
        <f aca="false">IF(INDEX(選手一覧!$I$7:$I$2738,$F954)="","",INDEX(選手一覧!$I$7:$I$2738,$F954))</f>
        <v>839</v>
      </c>
    </row>
    <row r="955" customFormat="false" ht="15" hidden="false" customHeight="false" outlineLevel="0" collapsed="false">
      <c r="A955" s="12" t="n">
        <v>951</v>
      </c>
      <c r="B955" s="10" t="s">
        <v>1479</v>
      </c>
      <c r="C955" s="10" t="s">
        <v>387</v>
      </c>
      <c r="D955" s="11" t="n">
        <v>0.0109208333333333</v>
      </c>
      <c r="E955" s="18" t="n">
        <f aca="false">ROUND((D955-$D$5)*86400,2)</f>
        <v>153.82</v>
      </c>
      <c r="F955" s="12" t="n">
        <v>1016</v>
      </c>
      <c r="G955" s="11" t="n">
        <f aca="false">IF(INDEX(選手一覧!$F$7:$F$2738,$F955)="","",INDEX(選手一覧!$F$7:$F$2738,$F955))</f>
        <v>0.00710694444444444</v>
      </c>
      <c r="H955" s="12" t="n">
        <f aca="false">IF(INDEX(選手一覧!$G$7:$G$2738,$F955)="","",INDEX(選手一覧!$G$7:$G$2738,$F955))</f>
        <v>455</v>
      </c>
      <c r="I955" s="11" t="str">
        <f aca="false">IF(INDEX(選手一覧!$H$7:$H$2738,$F955)="","",INDEX(選手一覧!$H$7:$H$2738,$F955))</f>
        <v/>
      </c>
      <c r="J955" s="12" t="str">
        <f aca="false">IF(INDEX(選手一覧!$I$7:$I$2738,$F955)="","",INDEX(選手一覧!$I$7:$I$2738,$F955))</f>
        <v/>
      </c>
    </row>
    <row r="956" customFormat="false" ht="15" hidden="false" customHeight="false" outlineLevel="0" collapsed="false">
      <c r="A956" s="12" t="n">
        <v>952</v>
      </c>
      <c r="B956" s="10" t="s">
        <v>1012</v>
      </c>
      <c r="C956" s="10" t="s">
        <v>437</v>
      </c>
      <c r="D956" s="11" t="n">
        <v>0.0109219907407407</v>
      </c>
      <c r="E956" s="18" t="n">
        <f aca="false">ROUND((D956-$D$5)*86400,2)</f>
        <v>153.92</v>
      </c>
      <c r="F956" s="12" t="n">
        <v>677</v>
      </c>
      <c r="G956" s="11" t="n">
        <f aca="false">IF(INDEX(選手一覧!$F$7:$F$2738,$F956)="","",INDEX(選手一覧!$F$7:$F$2738,$F956))</f>
        <v>0.00695462962962963</v>
      </c>
      <c r="H956" s="12" t="n">
        <f aca="false">IF(INDEX(選手一覧!$G$7:$G$2738,$F956)="","",INDEX(選手一覧!$G$7:$G$2738,$F956))</f>
        <v>288</v>
      </c>
      <c r="I956" s="11" t="n">
        <f aca="false">IF(INDEX(選手一覧!$H$7:$H$2738,$F956)="","",INDEX(選手一覧!$H$7:$H$2738,$F956))</f>
        <v>0.00287835648148148</v>
      </c>
      <c r="J956" s="12" t="n">
        <f aca="false">IF(INDEX(選手一覧!$I$7:$I$2738,$F956)="","",INDEX(選手一覧!$I$7:$I$2738,$F956))</f>
        <v>755</v>
      </c>
    </row>
    <row r="957" customFormat="false" ht="15" hidden="false" customHeight="false" outlineLevel="0" collapsed="false">
      <c r="A957" s="12" t="n">
        <v>953</v>
      </c>
      <c r="B957" s="10" t="s">
        <v>1887</v>
      </c>
      <c r="C957" s="10" t="s">
        <v>1888</v>
      </c>
      <c r="D957" s="11" t="n">
        <v>0.0109225694444444</v>
      </c>
      <c r="E957" s="18" t="n">
        <f aca="false">ROUND((D957-$D$5)*86400,2)</f>
        <v>153.97</v>
      </c>
      <c r="F957" s="12" t="n">
        <v>1298</v>
      </c>
      <c r="G957" s="11" t="str">
        <f aca="false">IF(INDEX(選手一覧!$F$7:$F$2738,$F957)="","",INDEX(選手一覧!$F$7:$F$2738,$F957))</f>
        <v/>
      </c>
      <c r="H957" s="12" t="str">
        <f aca="false">IF(INDEX(選手一覧!$G$7:$G$2738,$F957)="","",INDEX(選手一覧!$G$7:$G$2738,$F957))</f>
        <v/>
      </c>
      <c r="I957" s="11" t="n">
        <f aca="false">IF(INDEX(選手一覧!$H$7:$H$2738,$F957)="","",INDEX(選手一覧!$H$7:$H$2738,$F957))</f>
        <v>0.00285578703703704</v>
      </c>
      <c r="J957" s="12" t="n">
        <f aca="false">IF(INDEX(選手一覧!$I$7:$I$2738,$F957)="","",INDEX(選手一覧!$I$7:$I$2738,$F957))</f>
        <v>604</v>
      </c>
    </row>
    <row r="958" customFormat="false" ht="15" hidden="false" customHeight="false" outlineLevel="0" collapsed="false">
      <c r="A958" s="12" t="n">
        <v>954</v>
      </c>
      <c r="B958" s="10" t="s">
        <v>2133</v>
      </c>
      <c r="C958" s="10" t="s">
        <v>2134</v>
      </c>
      <c r="D958" s="11" t="n">
        <v>0.0109225694444444</v>
      </c>
      <c r="E958" s="18" t="n">
        <f aca="false">ROUND((D958-$D$5)*86400,2)</f>
        <v>153.97</v>
      </c>
      <c r="F958" s="12" t="n">
        <v>1475</v>
      </c>
      <c r="G958" s="11" t="n">
        <f aca="false">IF(INDEX(選手一覧!$F$7:$F$2738,$F958)="","",INDEX(選手一覧!$F$7:$F$2738,$F958))</f>
        <v>0.00734189814814815</v>
      </c>
      <c r="H958" s="12" t="n">
        <f aca="false">IF(INDEX(選手一覧!$G$7:$G$2738,$F958)="","",INDEX(選手一覧!$G$7:$G$2738,$F958))</f>
        <v>699</v>
      </c>
      <c r="I958" s="11" t="n">
        <f aca="false">IF(INDEX(選手一覧!$H$7:$H$2738,$F958)="","",INDEX(選手一覧!$H$7:$H$2738,$F958))</f>
        <v>0.00295</v>
      </c>
      <c r="J958" s="12" t="n">
        <f aca="false">IF(INDEX(選手一覧!$I$7:$I$2738,$F958)="","",INDEX(選手一覧!$I$7:$I$2738,$F958))</f>
        <v>1237</v>
      </c>
    </row>
    <row r="959" customFormat="false" ht="15" hidden="false" customHeight="false" outlineLevel="0" collapsed="false">
      <c r="A959" s="12" t="n">
        <v>955</v>
      </c>
      <c r="B959" s="10" t="s">
        <v>1197</v>
      </c>
      <c r="C959" s="10" t="s">
        <v>39</v>
      </c>
      <c r="D959" s="11" t="n">
        <v>0.0109229166666667</v>
      </c>
      <c r="E959" s="18" t="n">
        <f aca="false">ROUND((D959-$D$5)*86400,2)</f>
        <v>154</v>
      </c>
      <c r="F959" s="12" t="n">
        <v>812</v>
      </c>
      <c r="G959" s="11" t="n">
        <f aca="false">IF(INDEX(選手一覧!$F$7:$F$2738,$F959)="","",INDEX(選手一覧!$F$7:$F$2738,$F959))</f>
        <v>0.00720891203703704</v>
      </c>
      <c r="H959" s="12" t="n">
        <f aca="false">IF(INDEX(選手一覧!$G$7:$G$2738,$F959)="","",INDEX(選手一覧!$G$7:$G$2738,$F959))</f>
        <v>545</v>
      </c>
      <c r="I959" s="11" t="n">
        <f aca="false">IF(INDEX(選手一覧!$H$7:$H$2738,$F959)="","",INDEX(選手一覧!$H$7:$H$2738,$F959))</f>
        <v>0.00281759259259259</v>
      </c>
      <c r="J959" s="12" t="n">
        <f aca="false">IF(INDEX(選手一覧!$I$7:$I$2738,$F959)="","",INDEX(選手一覧!$I$7:$I$2738,$F959))</f>
        <v>353</v>
      </c>
    </row>
    <row r="960" customFormat="false" ht="15" hidden="false" customHeight="false" outlineLevel="0" collapsed="false">
      <c r="A960" s="12" t="n">
        <v>956</v>
      </c>
      <c r="B960" s="10" t="s">
        <v>2819</v>
      </c>
      <c r="C960" s="10" t="s">
        <v>577</v>
      </c>
      <c r="D960" s="11" t="n">
        <v>0.0109230324074074</v>
      </c>
      <c r="E960" s="18" t="n">
        <f aca="false">ROUND((D960-$D$5)*86400,2)</f>
        <v>154.01</v>
      </c>
      <c r="F960" s="12" t="n">
        <v>1974</v>
      </c>
      <c r="G960" s="11" t="str">
        <f aca="false">IF(INDEX(選手一覧!$F$7:$F$2738,$F960)="","",INDEX(選手一覧!$F$7:$F$2738,$F960))</f>
        <v/>
      </c>
      <c r="H960" s="12" t="str">
        <f aca="false">IF(INDEX(選手一覧!$G$7:$G$2738,$F960)="","",INDEX(選手一覧!$G$7:$G$2738,$F960))</f>
        <v/>
      </c>
      <c r="I960" s="11" t="str">
        <f aca="false">IF(INDEX(選手一覧!$H$7:$H$2738,$F960)="","",INDEX(選手一覧!$H$7:$H$2738,$F960))</f>
        <v/>
      </c>
      <c r="J960" s="12" t="str">
        <f aca="false">IF(INDEX(選手一覧!$I$7:$I$2738,$F960)="","",INDEX(選手一覧!$I$7:$I$2738,$F960))</f>
        <v/>
      </c>
    </row>
    <row r="961" customFormat="false" ht="15" hidden="false" customHeight="false" outlineLevel="0" collapsed="false">
      <c r="A961" s="12" t="n">
        <v>957</v>
      </c>
      <c r="B961" s="10" t="s">
        <v>2823</v>
      </c>
      <c r="C961" s="10" t="s">
        <v>114</v>
      </c>
      <c r="D961" s="11" t="n">
        <v>0.0109230324074074</v>
      </c>
      <c r="E961" s="18" t="n">
        <f aca="false">ROUND((D961-$D$5)*86400,2)</f>
        <v>154.01</v>
      </c>
      <c r="F961" s="12" t="n">
        <v>1977</v>
      </c>
      <c r="G961" s="11" t="str">
        <f aca="false">IF(INDEX(選手一覧!$F$7:$F$2738,$F961)="","",INDEX(選手一覧!$F$7:$F$2738,$F961))</f>
        <v/>
      </c>
      <c r="H961" s="12" t="str">
        <f aca="false">IF(INDEX(選手一覧!$G$7:$G$2738,$F961)="","",INDEX(選手一覧!$G$7:$G$2738,$F961))</f>
        <v/>
      </c>
      <c r="I961" s="11" t="n">
        <f aca="false">IF(INDEX(選手一覧!$H$7:$H$2738,$F961)="","",INDEX(選手一覧!$H$7:$H$2738,$F961))</f>
        <v>0.00293958333333333</v>
      </c>
      <c r="J961" s="12" t="n">
        <f aca="false">IF(INDEX(選手一覧!$I$7:$I$2738,$F961)="","",INDEX(選手一覧!$I$7:$I$2738,$F961))</f>
        <v>1199</v>
      </c>
    </row>
    <row r="962" customFormat="false" ht="15" hidden="false" customHeight="false" outlineLevel="0" collapsed="false">
      <c r="A962" s="12" t="n">
        <v>958</v>
      </c>
      <c r="B962" s="10" t="s">
        <v>2825</v>
      </c>
      <c r="C962" s="10" t="s">
        <v>1005</v>
      </c>
      <c r="D962" s="11" t="n">
        <v>0.0109230324074074</v>
      </c>
      <c r="E962" s="18" t="n">
        <f aca="false">ROUND((D962-$D$5)*86400,2)</f>
        <v>154.01</v>
      </c>
      <c r="F962" s="12" t="n">
        <v>1979</v>
      </c>
      <c r="G962" s="11" t="str">
        <f aca="false">IF(INDEX(選手一覧!$F$7:$F$2738,$F962)="","",INDEX(選手一覧!$F$7:$F$2738,$F962))</f>
        <v/>
      </c>
      <c r="H962" s="12" t="str">
        <f aca="false">IF(INDEX(選手一覧!$G$7:$G$2738,$F962)="","",INDEX(選手一覧!$G$7:$G$2738,$F962))</f>
        <v/>
      </c>
      <c r="I962" s="11" t="n">
        <f aca="false">IF(INDEX(選手一覧!$H$7:$H$2738,$F962)="","",INDEX(選手一覧!$H$7:$H$2738,$F962))</f>
        <v>0.00297407407407407</v>
      </c>
      <c r="J962" s="12" t="n">
        <f aca="false">IF(INDEX(選手一覧!$I$7:$I$2738,$F962)="","",INDEX(選手一覧!$I$7:$I$2738,$F962))</f>
        <v>1323</v>
      </c>
    </row>
    <row r="963" customFormat="false" ht="15" hidden="false" customHeight="false" outlineLevel="0" collapsed="false">
      <c r="A963" s="12" t="n">
        <v>959</v>
      </c>
      <c r="B963" s="10" t="s">
        <v>2828</v>
      </c>
      <c r="C963" s="10" t="s">
        <v>141</v>
      </c>
      <c r="D963" s="11" t="n">
        <v>0.0109282407407407</v>
      </c>
      <c r="E963" s="18" t="n">
        <f aca="false">ROUND((D963-$D$5)*86400,2)</f>
        <v>154.46</v>
      </c>
      <c r="F963" s="12" t="n">
        <v>1981</v>
      </c>
      <c r="G963" s="11" t="str">
        <f aca="false">IF(INDEX(選手一覧!$F$7:$F$2738,$F963)="","",INDEX(選手一覧!$F$7:$F$2738,$F963))</f>
        <v/>
      </c>
      <c r="H963" s="12" t="str">
        <f aca="false">IF(INDEX(選手一覧!$G$7:$G$2738,$F963)="","",INDEX(選手一覧!$G$7:$G$2738,$F963))</f>
        <v/>
      </c>
      <c r="I963" s="11" t="str">
        <f aca="false">IF(INDEX(選手一覧!$H$7:$H$2738,$F963)="","",INDEX(選手一覧!$H$7:$H$2738,$F963))</f>
        <v/>
      </c>
      <c r="J963" s="12" t="str">
        <f aca="false">IF(INDEX(選手一覧!$I$7:$I$2738,$F963)="","",INDEX(選手一覧!$I$7:$I$2738,$F963))</f>
        <v/>
      </c>
    </row>
    <row r="964" customFormat="false" ht="15" hidden="false" customHeight="false" outlineLevel="0" collapsed="false">
      <c r="A964" s="12" t="n">
        <v>960</v>
      </c>
      <c r="B964" s="10" t="s">
        <v>2832</v>
      </c>
      <c r="C964" s="10" t="s">
        <v>2833</v>
      </c>
      <c r="D964" s="11" t="n">
        <v>0.0109263888888889</v>
      </c>
      <c r="E964" s="18" t="n">
        <f aca="false">ROUND((D964-$D$5)*86400,2)</f>
        <v>154.3</v>
      </c>
      <c r="F964" s="12" t="n">
        <v>1984</v>
      </c>
      <c r="G964" s="11" t="str">
        <f aca="false">IF(INDEX(選手一覧!$F$7:$F$2738,$F964)="","",INDEX(選手一覧!$F$7:$F$2738,$F964))</f>
        <v/>
      </c>
      <c r="H964" s="12" t="str">
        <f aca="false">IF(INDEX(選手一覧!$G$7:$G$2738,$F964)="","",INDEX(選手一覧!$G$7:$G$2738,$F964))</f>
        <v/>
      </c>
      <c r="I964" s="11" t="str">
        <f aca="false">IF(INDEX(選手一覧!$H$7:$H$2738,$F964)="","",INDEX(選手一覧!$H$7:$H$2738,$F964))</f>
        <v/>
      </c>
      <c r="J964" s="12" t="str">
        <f aca="false">IF(INDEX(選手一覧!$I$7:$I$2738,$F964)="","",INDEX(選手一覧!$I$7:$I$2738,$F964))</f>
        <v/>
      </c>
    </row>
    <row r="965" customFormat="false" ht="15" hidden="false" customHeight="false" outlineLevel="0" collapsed="false">
      <c r="A965" s="12" t="n">
        <v>961</v>
      </c>
      <c r="B965" s="10" t="s">
        <v>2813</v>
      </c>
      <c r="C965" s="10" t="s">
        <v>2100</v>
      </c>
      <c r="D965" s="11" t="n">
        <v>0.0109266203703704</v>
      </c>
      <c r="E965" s="18" t="n">
        <f aca="false">ROUND((D965-$D$5)*86400,2)</f>
        <v>154.32</v>
      </c>
      <c r="F965" s="12" t="n">
        <v>1969</v>
      </c>
      <c r="G965" s="11" t="str">
        <f aca="false">IF(INDEX(選手一覧!$F$7:$F$2738,$F965)="","",INDEX(選手一覧!$F$7:$F$2738,$F965))</f>
        <v/>
      </c>
      <c r="H965" s="12" t="str">
        <f aca="false">IF(INDEX(選手一覧!$G$7:$G$2738,$F965)="","",INDEX(選手一覧!$G$7:$G$2738,$F965))</f>
        <v/>
      </c>
      <c r="I965" s="11" t="n">
        <f aca="false">IF(INDEX(選手一覧!$H$7:$H$2738,$F965)="","",INDEX(選手一覧!$H$7:$H$2738,$F965))</f>
        <v>0.00290069444444444</v>
      </c>
      <c r="J965" s="12" t="n">
        <f aca="false">IF(INDEX(選手一覧!$I$7:$I$2738,$F965)="","",INDEX(選手一覧!$I$7:$I$2738,$F965))</f>
        <v>953</v>
      </c>
    </row>
    <row r="966" customFormat="false" ht="15" hidden="false" customHeight="false" outlineLevel="0" collapsed="false">
      <c r="A966" s="12" t="n">
        <v>962</v>
      </c>
      <c r="B966" s="10" t="s">
        <v>1159</v>
      </c>
      <c r="C966" s="10" t="s">
        <v>124</v>
      </c>
      <c r="D966" s="11" t="n">
        <v>0.0109270833333333</v>
      </c>
      <c r="E966" s="18" t="n">
        <f aca="false">ROUND((D966-$D$5)*86400,2)</f>
        <v>154.36</v>
      </c>
      <c r="F966" s="12" t="n">
        <v>784</v>
      </c>
      <c r="G966" s="11" t="n">
        <f aca="false">IF(INDEX(選手一覧!$F$7:$F$2738,$F966)="","",INDEX(選手一覧!$F$7:$F$2738,$F966))</f>
        <v>0.00700451388888889</v>
      </c>
      <c r="H966" s="12" t="n">
        <f aca="false">IF(INDEX(選手一覧!$G$7:$G$2738,$F966)="","",INDEX(選手一覧!$G$7:$G$2738,$F966))</f>
        <v>340</v>
      </c>
      <c r="I966" s="11" t="str">
        <f aca="false">IF(INDEX(選手一覧!$H$7:$H$2738,$F966)="","",INDEX(選手一覧!$H$7:$H$2738,$F966))</f>
        <v/>
      </c>
      <c r="J966" s="12" t="str">
        <f aca="false">IF(INDEX(選手一覧!$I$7:$I$2738,$F966)="","",INDEX(選手一覧!$I$7:$I$2738,$F966))</f>
        <v/>
      </c>
    </row>
    <row r="967" customFormat="false" ht="15" hidden="false" customHeight="false" outlineLevel="0" collapsed="false">
      <c r="A967" s="12" t="n">
        <v>963</v>
      </c>
      <c r="B967" s="10" t="s">
        <v>2838</v>
      </c>
      <c r="C967" s="10" t="s">
        <v>118</v>
      </c>
      <c r="D967" s="11" t="n">
        <v>0.0109284722222222</v>
      </c>
      <c r="E967" s="18" t="n">
        <f aca="false">ROUND((D967-$D$5)*86400,2)</f>
        <v>154.48</v>
      </c>
      <c r="F967" s="12" t="n">
        <v>1988</v>
      </c>
      <c r="G967" s="11" t="str">
        <f aca="false">IF(INDEX(選手一覧!$F$7:$F$2738,$F967)="","",INDEX(選手一覧!$F$7:$F$2738,$F967))</f>
        <v/>
      </c>
      <c r="H967" s="12" t="str">
        <f aca="false">IF(INDEX(選手一覧!$G$7:$G$2738,$F967)="","",INDEX(選手一覧!$G$7:$G$2738,$F967))</f>
        <v/>
      </c>
      <c r="I967" s="11" t="str">
        <f aca="false">IF(INDEX(選手一覧!$H$7:$H$2738,$F967)="","",INDEX(選手一覧!$H$7:$H$2738,$F967))</f>
        <v/>
      </c>
      <c r="J967" s="12" t="str">
        <f aca="false">IF(INDEX(選手一覧!$I$7:$I$2738,$F967)="","",INDEX(選手一覧!$I$7:$I$2738,$F967))</f>
        <v/>
      </c>
    </row>
    <row r="968" customFormat="false" ht="15" hidden="false" customHeight="false" outlineLevel="0" collapsed="false">
      <c r="A968" s="12" t="n">
        <v>964</v>
      </c>
      <c r="B968" s="10" t="s">
        <v>2747</v>
      </c>
      <c r="C968" s="10" t="s">
        <v>2748</v>
      </c>
      <c r="D968" s="11" t="n">
        <v>0.0109287037037037</v>
      </c>
      <c r="E968" s="18" t="n">
        <f aca="false">ROUND((D968-$D$5)*86400,2)</f>
        <v>154.5</v>
      </c>
      <c r="F968" s="12" t="n">
        <v>1924</v>
      </c>
      <c r="G968" s="11" t="str">
        <f aca="false">IF(INDEX(選手一覧!$F$7:$F$2738,$F968)="","",INDEX(選手一覧!$F$7:$F$2738,$F968))</f>
        <v/>
      </c>
      <c r="H968" s="12" t="str">
        <f aca="false">IF(INDEX(選手一覧!$G$7:$G$2738,$F968)="","",INDEX(選手一覧!$G$7:$G$2738,$F968))</f>
        <v/>
      </c>
      <c r="I968" s="11" t="n">
        <f aca="false">IF(INDEX(選手一覧!$H$7:$H$2738,$F968)="","",INDEX(選手一覧!$H$7:$H$2738,$F968))</f>
        <v>0.00289722222222222</v>
      </c>
      <c r="J968" s="12" t="n">
        <f aca="false">IF(INDEX(選手一覧!$I$7:$I$2738,$F968)="","",INDEX(選手一覧!$I$7:$I$2738,$F968))</f>
        <v>926</v>
      </c>
    </row>
    <row r="969" customFormat="false" ht="15" hidden="false" customHeight="false" outlineLevel="0" collapsed="false">
      <c r="A969" s="12" t="n">
        <v>965</v>
      </c>
      <c r="B969" s="10" t="s">
        <v>2845</v>
      </c>
      <c r="C969" s="10" t="s">
        <v>2846</v>
      </c>
      <c r="D969" s="11" t="n">
        <v>0.0109290509259259</v>
      </c>
      <c r="E969" s="18" t="n">
        <f aca="false">ROUND((D969-$D$5)*86400,2)</f>
        <v>154.53</v>
      </c>
      <c r="F969" s="12" t="n">
        <v>1992</v>
      </c>
      <c r="G969" s="11" t="str">
        <f aca="false">IF(INDEX(選手一覧!$F$7:$F$2738,$F969)="","",INDEX(選手一覧!$F$7:$F$2738,$F969))</f>
        <v/>
      </c>
      <c r="H969" s="12" t="str">
        <f aca="false">IF(INDEX(選手一覧!$G$7:$G$2738,$F969)="","",INDEX(選手一覧!$G$7:$G$2738,$F969))</f>
        <v/>
      </c>
      <c r="I969" s="11" t="n">
        <f aca="false">IF(INDEX(選手一覧!$H$7:$H$2738,$F969)="","",INDEX(選手一覧!$H$7:$H$2738,$F969))</f>
        <v>0.002915625</v>
      </c>
      <c r="J969" s="12" t="n">
        <f aca="false">IF(INDEX(選手一覧!$I$7:$I$2738,$F969)="","",INDEX(選手一覧!$I$7:$I$2738,$F969))</f>
        <v>1057</v>
      </c>
    </row>
    <row r="970" customFormat="false" ht="15" hidden="false" customHeight="false" outlineLevel="0" collapsed="false">
      <c r="A970" s="12" t="n">
        <v>966</v>
      </c>
      <c r="B970" s="10" t="s">
        <v>867</v>
      </c>
      <c r="C970" s="10" t="s">
        <v>302</v>
      </c>
      <c r="D970" s="11" t="n">
        <v>0.0109295138888889</v>
      </c>
      <c r="E970" s="18" t="n">
        <f aca="false">ROUND((D970-$D$5)*86400,2)</f>
        <v>154.57</v>
      </c>
      <c r="F970" s="12" t="n">
        <v>567</v>
      </c>
      <c r="G970" s="11" t="n">
        <f aca="false">IF(INDEX(選手一覧!$F$7:$F$2738,$F970)="","",INDEX(選手一覧!$F$7:$F$2738,$F970))</f>
        <v>0.00689884259259259</v>
      </c>
      <c r="H970" s="12" t="n">
        <f aca="false">IF(INDEX(選手一覧!$G$7:$G$2738,$F970)="","",INDEX(選手一覧!$G$7:$G$2738,$F970))</f>
        <v>239</v>
      </c>
      <c r="I970" s="11" t="n">
        <f aca="false">IF(INDEX(選手一覧!$H$7:$H$2738,$F970)="","",INDEX(選手一覧!$H$7:$H$2738,$F970))</f>
        <v>0.00297673611111111</v>
      </c>
      <c r="J970" s="12" t="n">
        <f aca="false">IF(INDEX(選手一覧!$I$7:$I$2738,$F970)="","",INDEX(選手一覧!$I$7:$I$2738,$F970))</f>
        <v>1337</v>
      </c>
    </row>
    <row r="971" customFormat="false" ht="15" hidden="false" customHeight="false" outlineLevel="0" collapsed="false">
      <c r="A971" s="12" t="n">
        <v>967</v>
      </c>
      <c r="B971" s="10" t="s">
        <v>1743</v>
      </c>
      <c r="C971" s="10" t="s">
        <v>1744</v>
      </c>
      <c r="D971" s="11" t="n">
        <v>0.0109299768518519</v>
      </c>
      <c r="E971" s="18" t="n">
        <f aca="false">ROUND((D971-$D$5)*86400,2)</f>
        <v>154.61</v>
      </c>
      <c r="F971" s="12" t="n">
        <v>1201</v>
      </c>
      <c r="G971" s="11" t="str">
        <f aca="false">IF(INDEX(選手一覧!$F$7:$F$2738,$F971)="","",INDEX(選手一覧!$F$7:$F$2738,$F971))</f>
        <v/>
      </c>
      <c r="H971" s="12" t="str">
        <f aca="false">IF(INDEX(選手一覧!$G$7:$G$2738,$F971)="","",INDEX(選手一覧!$G$7:$G$2738,$F971))</f>
        <v/>
      </c>
      <c r="I971" s="11" t="n">
        <f aca="false">IF(INDEX(選手一覧!$H$7:$H$2738,$F971)="","",INDEX(選手一覧!$H$7:$H$2738,$F971))</f>
        <v>0.002846875</v>
      </c>
      <c r="J971" s="12" t="n">
        <f aca="false">IF(INDEX(選手一覧!$I$7:$I$2738,$F971)="","",INDEX(選手一覧!$I$7:$I$2738,$F971))</f>
        <v>551</v>
      </c>
    </row>
    <row r="972" customFormat="false" ht="15" hidden="false" customHeight="false" outlineLevel="0" collapsed="false">
      <c r="A972" s="12" t="n">
        <v>968</v>
      </c>
      <c r="B972" s="10" t="s">
        <v>2853</v>
      </c>
      <c r="C972" s="10" t="s">
        <v>688</v>
      </c>
      <c r="D972" s="11" t="n">
        <v>0.0109311342592593</v>
      </c>
      <c r="E972" s="18" t="n">
        <f aca="false">ROUND((D972-$D$5)*86400,2)</f>
        <v>154.71</v>
      </c>
      <c r="F972" s="12" t="n">
        <v>1997</v>
      </c>
      <c r="G972" s="11" t="str">
        <f aca="false">IF(INDEX(選手一覧!$F$7:$F$2738,$F972)="","",INDEX(選手一覧!$F$7:$F$2738,$F972))</f>
        <v/>
      </c>
      <c r="H972" s="12" t="str">
        <f aca="false">IF(INDEX(選手一覧!$G$7:$G$2738,$F972)="","",INDEX(選手一覧!$G$7:$G$2738,$F972))</f>
        <v/>
      </c>
      <c r="I972" s="11" t="str">
        <f aca="false">IF(INDEX(選手一覧!$H$7:$H$2738,$F972)="","",INDEX(選手一覧!$H$7:$H$2738,$F972))</f>
        <v/>
      </c>
      <c r="J972" s="12" t="str">
        <f aca="false">IF(INDEX(選手一覧!$I$7:$I$2738,$F972)="","",INDEX(選手一覧!$I$7:$I$2738,$F972))</f>
        <v/>
      </c>
    </row>
    <row r="973" customFormat="false" ht="15" hidden="false" customHeight="false" outlineLevel="0" collapsed="false">
      <c r="A973" s="12" t="n">
        <v>969</v>
      </c>
      <c r="B973" s="10" t="s">
        <v>1591</v>
      </c>
      <c r="C973" s="10" t="s">
        <v>1381</v>
      </c>
      <c r="D973" s="11" t="n">
        <v>0.0109320601851852</v>
      </c>
      <c r="E973" s="18" t="n">
        <f aca="false">ROUND((D973-$D$5)*86400,2)</f>
        <v>154.79</v>
      </c>
      <c r="F973" s="12" t="n">
        <v>1098</v>
      </c>
      <c r="G973" s="11" t="n">
        <f aca="false">IF(INDEX(選手一覧!$F$7:$F$2738,$F973)="","",INDEX(選手一覧!$F$7:$F$2738,$F973))</f>
        <v>0.00716076388888889</v>
      </c>
      <c r="H973" s="12" t="n">
        <f aca="false">IF(INDEX(選手一覧!$G$7:$G$2738,$F973)="","",INDEX(選手一覧!$G$7:$G$2738,$F973))</f>
        <v>497</v>
      </c>
      <c r="I973" s="11" t="str">
        <f aca="false">IF(INDEX(選手一覧!$H$7:$H$2738,$F973)="","",INDEX(選手一覧!$H$7:$H$2738,$F973))</f>
        <v/>
      </c>
      <c r="J973" s="12" t="str">
        <f aca="false">IF(INDEX(選手一覧!$I$7:$I$2738,$F973)="","",INDEX(選手一覧!$I$7:$I$2738,$F973))</f>
        <v/>
      </c>
    </row>
    <row r="974" customFormat="false" ht="15" hidden="false" customHeight="false" outlineLevel="0" collapsed="false">
      <c r="A974" s="12" t="n">
        <v>970</v>
      </c>
      <c r="B974" s="10" t="s">
        <v>2861</v>
      </c>
      <c r="C974" s="10" t="s">
        <v>2862</v>
      </c>
      <c r="D974" s="11" t="n">
        <v>0.0109322916666667</v>
      </c>
      <c r="E974" s="18" t="n">
        <f aca="false">ROUND((D974-$D$5)*86400,2)</f>
        <v>154.81</v>
      </c>
      <c r="F974" s="12" t="n">
        <v>2002</v>
      </c>
      <c r="G974" s="11" t="str">
        <f aca="false">IF(INDEX(選手一覧!$F$7:$F$2738,$F974)="","",INDEX(選手一覧!$F$7:$F$2738,$F974))</f>
        <v/>
      </c>
      <c r="H974" s="12" t="str">
        <f aca="false">IF(INDEX(選手一覧!$G$7:$G$2738,$F974)="","",INDEX(選手一覧!$G$7:$G$2738,$F974))</f>
        <v/>
      </c>
      <c r="I974" s="11" t="n">
        <f aca="false">IF(INDEX(選手一覧!$H$7:$H$2738,$F974)="","",INDEX(選手一覧!$H$7:$H$2738,$F974))</f>
        <v>0.00292060185185185</v>
      </c>
      <c r="J974" s="12" t="n">
        <f aca="false">IF(INDEX(選手一覧!$I$7:$I$2738,$F974)="","",INDEX(選手一覧!$I$7:$I$2738,$F974))</f>
        <v>1106</v>
      </c>
    </row>
    <row r="975" customFormat="false" ht="15" hidden="false" customHeight="false" outlineLevel="0" collapsed="false">
      <c r="A975" s="12" t="n">
        <v>971</v>
      </c>
      <c r="B975" s="10" t="s">
        <v>558</v>
      </c>
      <c r="C975" s="10" t="s">
        <v>298</v>
      </c>
      <c r="D975" s="11" t="n">
        <v>0.0109322916666667</v>
      </c>
      <c r="E975" s="18" t="n">
        <f aca="false">ROUND((D975-$D$5)*86400,2)</f>
        <v>154.81</v>
      </c>
      <c r="F975" s="12" t="n">
        <v>348</v>
      </c>
      <c r="G975" s="11" t="n">
        <f aca="false">IF(INDEX(選手一覧!$F$7:$F$2738,$F975)="","",INDEX(選手一覧!$F$7:$F$2738,$F975))</f>
        <v>0.00676782407407408</v>
      </c>
      <c r="H975" s="12" t="n">
        <f aca="false">IF(INDEX(選手一覧!$G$7:$G$2738,$F975)="","",INDEX(選手一覧!$G$7:$G$2738,$F975))</f>
        <v>146</v>
      </c>
      <c r="I975" s="11" t="n">
        <f aca="false">IF(INDEX(選手一覧!$H$7:$H$2738,$F975)="","",INDEX(選手一覧!$H$7:$H$2738,$F975))</f>
        <v>0.0028806712962963</v>
      </c>
      <c r="J975" s="12" t="n">
        <f aca="false">IF(INDEX(選手一覧!$I$7:$I$2738,$F975)="","",INDEX(選手一覧!$I$7:$I$2738,$F975))</f>
        <v>775</v>
      </c>
    </row>
    <row r="976" customFormat="false" ht="15" hidden="false" customHeight="false" outlineLevel="0" collapsed="false">
      <c r="A976" s="12" t="n">
        <v>972</v>
      </c>
      <c r="B976" s="10" t="s">
        <v>2866</v>
      </c>
      <c r="C976" s="10" t="s">
        <v>2196</v>
      </c>
      <c r="D976" s="11" t="n">
        <v>0.0109325231481482</v>
      </c>
      <c r="E976" s="18" t="n">
        <f aca="false">ROUND((D976-$D$5)*86400,2)</f>
        <v>154.83</v>
      </c>
      <c r="F976" s="12" t="n">
        <v>2005</v>
      </c>
      <c r="G976" s="11" t="str">
        <f aca="false">IF(INDEX(選手一覧!$F$7:$F$2738,$F976)="","",INDEX(選手一覧!$F$7:$F$2738,$F976))</f>
        <v/>
      </c>
      <c r="H976" s="12" t="str">
        <f aca="false">IF(INDEX(選手一覧!$G$7:$G$2738,$F976)="","",INDEX(選手一覧!$G$7:$G$2738,$F976))</f>
        <v/>
      </c>
      <c r="I976" s="11" t="n">
        <f aca="false">IF(INDEX(選手一覧!$H$7:$H$2738,$F976)="","",INDEX(選手一覧!$H$7:$H$2738,$F976))</f>
        <v>0.00291712962962963</v>
      </c>
      <c r="J976" s="12" t="n">
        <f aca="false">IF(INDEX(選手一覧!$I$7:$I$2738,$F976)="","",INDEX(選手一覧!$I$7:$I$2738,$F976))</f>
        <v>1068</v>
      </c>
    </row>
    <row r="977" customFormat="false" ht="15" hidden="false" customHeight="false" outlineLevel="0" collapsed="false">
      <c r="A977" s="12" t="n">
        <v>973</v>
      </c>
      <c r="B977" s="10" t="s">
        <v>2869</v>
      </c>
      <c r="C977" s="10" t="s">
        <v>874</v>
      </c>
      <c r="D977" s="11" t="n">
        <v>0.0109334490740741</v>
      </c>
      <c r="E977" s="18" t="n">
        <f aca="false">ROUND((D977-$D$5)*86400,2)</f>
        <v>154.91</v>
      </c>
      <c r="F977" s="12" t="n">
        <v>2008</v>
      </c>
      <c r="G977" s="11" t="str">
        <f aca="false">IF(INDEX(選手一覧!$F$7:$F$2738,$F977)="","",INDEX(選手一覧!$F$7:$F$2738,$F977))</f>
        <v/>
      </c>
      <c r="H977" s="12" t="str">
        <f aca="false">IF(INDEX(選手一覧!$G$7:$G$2738,$F977)="","",INDEX(選手一覧!$G$7:$G$2738,$F977))</f>
        <v/>
      </c>
      <c r="I977" s="11" t="n">
        <f aca="false">IF(INDEX(選手一覧!$H$7:$H$2738,$F977)="","",INDEX(選手一覧!$H$7:$H$2738,$F977))</f>
        <v>0.00297222222222222</v>
      </c>
      <c r="J977" s="12" t="n">
        <f aca="false">IF(INDEX(選手一覧!$I$7:$I$2738,$F977)="","",INDEX(選手一覧!$I$7:$I$2738,$F977))</f>
        <v>1319</v>
      </c>
    </row>
    <row r="978" customFormat="false" ht="15" hidden="false" customHeight="false" outlineLevel="0" collapsed="false">
      <c r="A978" s="12" t="n">
        <v>974</v>
      </c>
      <c r="B978" s="10" t="s">
        <v>2872</v>
      </c>
      <c r="C978" s="10" t="s">
        <v>1383</v>
      </c>
      <c r="D978" s="11" t="n">
        <v>0.0109337962962963</v>
      </c>
      <c r="E978" s="18" t="n">
        <f aca="false">ROUND((D978-$D$5)*86400,2)</f>
        <v>154.94</v>
      </c>
      <c r="F978" s="12" t="n">
        <v>2011</v>
      </c>
      <c r="G978" s="11" t="str">
        <f aca="false">IF(INDEX(選手一覧!$F$7:$F$2738,$F978)="","",INDEX(選手一覧!$F$7:$F$2738,$F978))</f>
        <v/>
      </c>
      <c r="H978" s="12" t="str">
        <f aca="false">IF(INDEX(選手一覧!$G$7:$G$2738,$F978)="","",INDEX(選手一覧!$G$7:$G$2738,$F978))</f>
        <v/>
      </c>
      <c r="I978" s="11" t="n">
        <f aca="false">IF(INDEX(選手一覧!$H$7:$H$2738,$F978)="","",INDEX(選手一覧!$H$7:$H$2738,$F978))</f>
        <v>0.00295972222222222</v>
      </c>
      <c r="J978" s="12" t="n">
        <f aca="false">IF(INDEX(選手一覧!$I$7:$I$2738,$F978)="","",INDEX(選手一覧!$I$7:$I$2738,$F978))</f>
        <v>1270</v>
      </c>
    </row>
    <row r="979" customFormat="false" ht="15" hidden="false" customHeight="false" outlineLevel="0" collapsed="false">
      <c r="A979" s="12" t="n">
        <v>975</v>
      </c>
      <c r="B979" s="10" t="s">
        <v>2875</v>
      </c>
      <c r="C979" s="10" t="s">
        <v>1897</v>
      </c>
      <c r="D979" s="11" t="n">
        <v>0.0109340277777778</v>
      </c>
      <c r="E979" s="18" t="n">
        <f aca="false">ROUND((D979-$D$5)*86400,2)</f>
        <v>154.96</v>
      </c>
      <c r="F979" s="12" t="n">
        <v>2014</v>
      </c>
      <c r="G979" s="11" t="str">
        <f aca="false">IF(INDEX(選手一覧!$F$7:$F$2738,$F979)="","",INDEX(選手一覧!$F$7:$F$2738,$F979))</f>
        <v/>
      </c>
      <c r="H979" s="12" t="str">
        <f aca="false">IF(INDEX(選手一覧!$G$7:$G$2738,$F979)="","",INDEX(選手一覧!$G$7:$G$2738,$F979))</f>
        <v/>
      </c>
      <c r="I979" s="11" t="str">
        <f aca="false">IF(INDEX(選手一覧!$H$7:$H$2738,$F979)="","",INDEX(選手一覧!$H$7:$H$2738,$F979))</f>
        <v/>
      </c>
      <c r="J979" s="12" t="str">
        <f aca="false">IF(INDEX(選手一覧!$I$7:$I$2738,$F979)="","",INDEX(選手一覧!$I$7:$I$2738,$F979))</f>
        <v/>
      </c>
    </row>
    <row r="980" customFormat="false" ht="15" hidden="false" customHeight="false" outlineLevel="0" collapsed="false">
      <c r="A980" s="12" t="n">
        <v>976</v>
      </c>
      <c r="B980" s="10" t="s">
        <v>671</v>
      </c>
      <c r="C980" s="10" t="s">
        <v>195</v>
      </c>
      <c r="D980" s="11" t="n">
        <v>0.0109353009259259</v>
      </c>
      <c r="E980" s="18" t="n">
        <f aca="false">ROUND((D980-$D$5)*86400,2)</f>
        <v>155.07</v>
      </c>
      <c r="F980" s="12" t="n">
        <v>428</v>
      </c>
      <c r="G980" s="11" t="n">
        <f aca="false">IF(INDEX(選手一覧!$F$7:$F$2738,$F980)="","",INDEX(選手一覧!$F$7:$F$2738,$F980))</f>
        <v>0.00680972222222222</v>
      </c>
      <c r="H980" s="12" t="n">
        <f aca="false">IF(INDEX(選手一覧!$G$7:$G$2738,$F980)="","",INDEX(選手一覧!$G$7:$G$2738,$F980))</f>
        <v>180</v>
      </c>
      <c r="I980" s="11" t="n">
        <f aca="false">IF(INDEX(選手一覧!$H$7:$H$2738,$F980)="","",INDEX(選手一覧!$H$7:$H$2738,$F980))</f>
        <v>0.00288136574074074</v>
      </c>
      <c r="J980" s="12" t="n">
        <f aca="false">IF(INDEX(選手一覧!$I$7:$I$2738,$F980)="","",INDEX(選手一覧!$I$7:$I$2738,$F980))</f>
        <v>781</v>
      </c>
    </row>
    <row r="981" customFormat="false" ht="15" hidden="false" customHeight="false" outlineLevel="0" collapsed="false">
      <c r="A981" s="12" t="n">
        <v>977</v>
      </c>
      <c r="B981" s="10" t="s">
        <v>2878</v>
      </c>
      <c r="C981" s="10" t="s">
        <v>2774</v>
      </c>
      <c r="D981" s="11" t="n">
        <v>0.0109361111111111</v>
      </c>
      <c r="E981" s="18" t="n">
        <f aca="false">ROUND((D981-$D$5)*86400,2)</f>
        <v>155.14</v>
      </c>
      <c r="F981" s="12" t="n">
        <v>2017</v>
      </c>
      <c r="G981" s="11" t="str">
        <f aca="false">IF(INDEX(選手一覧!$F$7:$F$2738,$F981)="","",INDEX(選手一覧!$F$7:$F$2738,$F981))</f>
        <v/>
      </c>
      <c r="H981" s="12" t="str">
        <f aca="false">IF(INDEX(選手一覧!$G$7:$G$2738,$F981)="","",INDEX(選手一覧!$G$7:$G$2738,$F981))</f>
        <v/>
      </c>
      <c r="I981" s="11" t="str">
        <f aca="false">IF(INDEX(選手一覧!$H$7:$H$2738,$F981)="","",INDEX(選手一覧!$H$7:$H$2738,$F981))</f>
        <v/>
      </c>
      <c r="J981" s="12" t="str">
        <f aca="false">IF(INDEX(選手一覧!$I$7:$I$2738,$F981)="","",INDEX(選手一覧!$I$7:$I$2738,$F981))</f>
        <v/>
      </c>
    </row>
    <row r="982" customFormat="false" ht="15" hidden="false" customHeight="false" outlineLevel="0" collapsed="false">
      <c r="A982" s="12" t="n">
        <v>978</v>
      </c>
      <c r="B982" s="10" t="s">
        <v>1441</v>
      </c>
      <c r="C982" s="10" t="s">
        <v>64</v>
      </c>
      <c r="D982" s="11" t="n">
        <v>0.0109368055555556</v>
      </c>
      <c r="E982" s="18" t="n">
        <f aca="false">ROUND((D982-$D$5)*86400,2)</f>
        <v>155.2</v>
      </c>
      <c r="F982" s="12" t="n">
        <v>986</v>
      </c>
      <c r="G982" s="11" t="str">
        <f aca="false">IF(INDEX(選手一覧!$F$7:$F$2738,$F982)="","",INDEX(選手一覧!$F$7:$F$2738,$F982))</f>
        <v/>
      </c>
      <c r="H982" s="12" t="str">
        <f aca="false">IF(INDEX(選手一覧!$G$7:$G$2738,$F982)="","",INDEX(選手一覧!$G$7:$G$2738,$F982))</f>
        <v/>
      </c>
      <c r="I982" s="11" t="n">
        <f aca="false">IF(INDEX(選手一覧!$H$7:$H$2738,$F982)="","",INDEX(選手一覧!$H$7:$H$2738,$F982))</f>
        <v>0.00283229166666667</v>
      </c>
      <c r="J982" s="12" t="n">
        <f aca="false">IF(INDEX(選手一覧!$I$7:$I$2738,$F982)="","",INDEX(選手一覧!$I$7:$I$2738,$F982))</f>
        <v>441</v>
      </c>
    </row>
    <row r="983" customFormat="false" ht="15" hidden="false" customHeight="false" outlineLevel="0" collapsed="false">
      <c r="A983" s="12" t="n">
        <v>979</v>
      </c>
      <c r="B983" s="10" t="s">
        <v>2441</v>
      </c>
      <c r="C983" s="10" t="s">
        <v>2442</v>
      </c>
      <c r="D983" s="11" t="n">
        <v>0.0109369212962963</v>
      </c>
      <c r="E983" s="18" t="n">
        <f aca="false">ROUND((D983-$D$5)*86400,2)</f>
        <v>155.21</v>
      </c>
      <c r="F983" s="12" t="n">
        <v>1699</v>
      </c>
      <c r="G983" s="11" t="str">
        <f aca="false">IF(INDEX(選手一覧!$F$7:$F$2738,$F983)="","",INDEX(選手一覧!$F$7:$F$2738,$F983))</f>
        <v/>
      </c>
      <c r="H983" s="12" t="str">
        <f aca="false">IF(INDEX(選手一覧!$G$7:$G$2738,$F983)="","",INDEX(選手一覧!$G$7:$G$2738,$F983))</f>
        <v/>
      </c>
      <c r="I983" s="11" t="n">
        <f aca="false">IF(INDEX(選手一覧!$H$7:$H$2738,$F983)="","",INDEX(選手一覧!$H$7:$H$2738,$F983))</f>
        <v>0.00288472222222222</v>
      </c>
      <c r="J983" s="12" t="n">
        <f aca="false">IF(INDEX(選手一覧!$I$7:$I$2738,$F983)="","",INDEX(選手一覧!$I$7:$I$2738,$F983))</f>
        <v>813</v>
      </c>
    </row>
    <row r="984" customFormat="false" ht="15" hidden="false" customHeight="false" outlineLevel="0" collapsed="false">
      <c r="A984" s="12" t="n">
        <v>980</v>
      </c>
      <c r="B984" s="10" t="s">
        <v>516</v>
      </c>
      <c r="C984" s="10" t="s">
        <v>473</v>
      </c>
      <c r="D984" s="11" t="n">
        <v>0.0109390046296296</v>
      </c>
      <c r="E984" s="18" t="n">
        <f aca="false">ROUND((D984-$D$5)*86400,2)</f>
        <v>155.39</v>
      </c>
      <c r="F984" s="12" t="n">
        <v>320</v>
      </c>
      <c r="G984" s="11" t="n">
        <f aca="false">IF(INDEX(選手一覧!$F$7:$F$2738,$F984)="","",INDEX(選手一覧!$F$7:$F$2738,$F984))</f>
        <v>0.0067556712962963</v>
      </c>
      <c r="H984" s="12" t="n">
        <f aca="false">IF(INDEX(選手一覧!$G$7:$G$2738,$F984)="","",INDEX(選手一覧!$G$7:$G$2738,$F984))</f>
        <v>133</v>
      </c>
      <c r="I984" s="11" t="n">
        <f aca="false">IF(INDEX(選手一覧!$H$7:$H$2738,$F984)="","",INDEX(選手一覧!$H$7:$H$2738,$F984))</f>
        <v>0.00283229166666667</v>
      </c>
      <c r="J984" s="12" t="n">
        <f aca="false">IF(INDEX(選手一覧!$I$7:$I$2738,$F984)="","",INDEX(選手一覧!$I$7:$I$2738,$F984))</f>
        <v>442</v>
      </c>
    </row>
    <row r="985" customFormat="false" ht="15" hidden="false" customHeight="false" outlineLevel="0" collapsed="false">
      <c r="A985" s="12" t="n">
        <v>981</v>
      </c>
      <c r="B985" s="10" t="s">
        <v>2008</v>
      </c>
      <c r="C985" s="10" t="s">
        <v>2009</v>
      </c>
      <c r="D985" s="11" t="n">
        <v>0.0109394675925926</v>
      </c>
      <c r="E985" s="18" t="n">
        <f aca="false">ROUND((D985-$D$5)*86400,2)</f>
        <v>155.43</v>
      </c>
      <c r="F985" s="12" t="n">
        <v>1386</v>
      </c>
      <c r="G985" s="11" t="n">
        <f aca="false">IF(INDEX(選手一覧!$F$7:$F$2738,$F985)="","",INDEX(選手一覧!$F$7:$F$2738,$F985))</f>
        <v>0.00730428240740741</v>
      </c>
      <c r="H985" s="12" t="n">
        <f aca="false">IF(INDEX(選手一覧!$G$7:$G$2738,$F985)="","",INDEX(選手一覧!$G$7:$G$2738,$F985))</f>
        <v>652</v>
      </c>
      <c r="I985" s="11" t="n">
        <f aca="false">IF(INDEX(選手一覧!$H$7:$H$2738,$F985)="","",INDEX(選手一覧!$H$7:$H$2738,$F985))</f>
        <v>0.00287407407407407</v>
      </c>
      <c r="J985" s="12" t="n">
        <f aca="false">IF(INDEX(選手一覧!$I$7:$I$2738,$F985)="","",INDEX(選手一覧!$I$7:$I$2738,$F985))</f>
        <v>727</v>
      </c>
    </row>
    <row r="986" customFormat="false" ht="15" hidden="false" customHeight="false" outlineLevel="0" collapsed="false">
      <c r="A986" s="12" t="n">
        <v>982</v>
      </c>
      <c r="B986" s="10" t="s">
        <v>1287</v>
      </c>
      <c r="C986" s="10" t="s">
        <v>1288</v>
      </c>
      <c r="D986" s="11" t="n">
        <v>0.0109412037037037</v>
      </c>
      <c r="E986" s="18" t="n">
        <f aca="false">ROUND((D986-$D$5)*86400,2)</f>
        <v>155.58</v>
      </c>
      <c r="F986" s="12" t="n">
        <v>876</v>
      </c>
      <c r="G986" s="11" t="str">
        <f aca="false">IF(INDEX(選手一覧!$F$7:$F$2738,$F986)="","",INDEX(選手一覧!$F$7:$F$2738,$F986))</f>
        <v/>
      </c>
      <c r="H986" s="12" t="str">
        <f aca="false">IF(INDEX(選手一覧!$G$7:$G$2738,$F986)="","",INDEX(選手一覧!$G$7:$G$2738,$F986))</f>
        <v/>
      </c>
      <c r="I986" s="11" t="n">
        <f aca="false">IF(INDEX(選手一覧!$H$7:$H$2738,$F986)="","",INDEX(選手一覧!$H$7:$H$2738,$F986))</f>
        <v>0.00282465277777778</v>
      </c>
      <c r="J986" s="12" t="n">
        <f aca="false">IF(INDEX(選手一覧!$I$7:$I$2738,$F986)="","",INDEX(選手一覧!$I$7:$I$2738,$F986))</f>
        <v>390</v>
      </c>
    </row>
    <row r="987" customFormat="false" ht="15" hidden="false" customHeight="false" outlineLevel="0" collapsed="false">
      <c r="A987" s="12" t="n">
        <v>983</v>
      </c>
      <c r="B987" s="10" t="s">
        <v>2891</v>
      </c>
      <c r="C987" s="10" t="s">
        <v>263</v>
      </c>
      <c r="D987" s="11" t="n">
        <v>0.0109417824074074</v>
      </c>
      <c r="E987" s="18" t="n">
        <f aca="false">ROUND((D987-$D$5)*86400,2)</f>
        <v>155.63</v>
      </c>
      <c r="F987" s="12" t="n">
        <v>2027</v>
      </c>
      <c r="G987" s="11" t="str">
        <f aca="false">IF(INDEX(選手一覧!$F$7:$F$2738,$F987)="","",INDEX(選手一覧!$F$7:$F$2738,$F987))</f>
        <v/>
      </c>
      <c r="H987" s="12" t="str">
        <f aca="false">IF(INDEX(選手一覧!$G$7:$G$2738,$F987)="","",INDEX(選手一覧!$G$7:$G$2738,$F987))</f>
        <v/>
      </c>
      <c r="I987" s="11" t="str">
        <f aca="false">IF(INDEX(選手一覧!$H$7:$H$2738,$F987)="","",INDEX(選手一覧!$H$7:$H$2738,$F987))</f>
        <v/>
      </c>
      <c r="J987" s="12" t="str">
        <f aca="false">IF(INDEX(選手一覧!$I$7:$I$2738,$F987)="","",INDEX(選手一覧!$I$7:$I$2738,$F987))</f>
        <v/>
      </c>
    </row>
    <row r="988" customFormat="false" ht="15" hidden="false" customHeight="false" outlineLevel="0" collapsed="false">
      <c r="A988" s="12" t="n">
        <v>984</v>
      </c>
      <c r="B988" s="10" t="s">
        <v>2175</v>
      </c>
      <c r="C988" s="10" t="s">
        <v>377</v>
      </c>
      <c r="D988" s="11" t="n">
        <v>0.0109420138888889</v>
      </c>
      <c r="E988" s="18" t="n">
        <f aca="false">ROUND((D988-$D$5)*86400,2)</f>
        <v>155.65</v>
      </c>
      <c r="F988" s="12" t="n">
        <v>1504</v>
      </c>
      <c r="G988" s="11" t="n">
        <f aca="false">IF(INDEX(選手一覧!$F$7:$F$2738,$F988)="","",INDEX(選手一覧!$F$7:$F$2738,$F988))</f>
        <v>0.00735509259259259</v>
      </c>
      <c r="H988" s="12" t="n">
        <f aca="false">IF(INDEX(選手一覧!$G$7:$G$2738,$F988)="","",INDEX(選手一覧!$G$7:$G$2738,$F988))</f>
        <v>715</v>
      </c>
      <c r="I988" s="11" t="str">
        <f aca="false">IF(INDEX(選手一覧!$H$7:$H$2738,$F988)="","",INDEX(選手一覧!$H$7:$H$2738,$F988))</f>
        <v/>
      </c>
      <c r="J988" s="12" t="str">
        <f aca="false">IF(INDEX(選手一覧!$I$7:$I$2738,$F988)="","",INDEX(選手一覧!$I$7:$I$2738,$F988))</f>
        <v/>
      </c>
    </row>
    <row r="989" customFormat="false" ht="15" hidden="false" customHeight="false" outlineLevel="0" collapsed="false">
      <c r="A989" s="12" t="n">
        <v>985</v>
      </c>
      <c r="B989" s="10" t="s">
        <v>2895</v>
      </c>
      <c r="C989" s="10" t="s">
        <v>857</v>
      </c>
      <c r="D989" s="11" t="n">
        <v>0.0109422453703704</v>
      </c>
      <c r="E989" s="18" t="n">
        <f aca="false">ROUND((D989-$D$5)*86400,2)</f>
        <v>155.67</v>
      </c>
      <c r="F989" s="12" t="n">
        <v>2030</v>
      </c>
      <c r="G989" s="11" t="str">
        <f aca="false">IF(INDEX(選手一覧!$F$7:$F$2738,$F989)="","",INDEX(選手一覧!$F$7:$F$2738,$F989))</f>
        <v/>
      </c>
      <c r="H989" s="12" t="str">
        <f aca="false">IF(INDEX(選手一覧!$G$7:$G$2738,$F989)="","",INDEX(選手一覧!$G$7:$G$2738,$F989))</f>
        <v/>
      </c>
      <c r="I989" s="11" t="str">
        <f aca="false">IF(INDEX(選手一覧!$H$7:$H$2738,$F989)="","",INDEX(選手一覧!$H$7:$H$2738,$F989))</f>
        <v/>
      </c>
      <c r="J989" s="12" t="str">
        <f aca="false">IF(INDEX(選手一覧!$I$7:$I$2738,$F989)="","",INDEX(選手一覧!$I$7:$I$2738,$F989))</f>
        <v/>
      </c>
    </row>
    <row r="990" customFormat="false" ht="15" hidden="false" customHeight="false" outlineLevel="0" collapsed="false">
      <c r="A990" s="12" t="n">
        <v>986</v>
      </c>
      <c r="B990" s="10" t="s">
        <v>2897</v>
      </c>
      <c r="C990" s="10" t="s">
        <v>445</v>
      </c>
      <c r="D990" s="11" t="n">
        <v>0.0109422453703704</v>
      </c>
      <c r="E990" s="18" t="n">
        <f aca="false">ROUND((D990-$D$5)*86400,2)</f>
        <v>155.67</v>
      </c>
      <c r="F990" s="12" t="n">
        <v>2032</v>
      </c>
      <c r="G990" s="11" t="str">
        <f aca="false">IF(INDEX(選手一覧!$F$7:$F$2738,$F990)="","",INDEX(選手一覧!$F$7:$F$2738,$F990))</f>
        <v/>
      </c>
      <c r="H990" s="12" t="str">
        <f aca="false">IF(INDEX(選手一覧!$G$7:$G$2738,$F990)="","",INDEX(選手一覧!$G$7:$G$2738,$F990))</f>
        <v/>
      </c>
      <c r="I990" s="11" t="str">
        <f aca="false">IF(INDEX(選手一覧!$H$7:$H$2738,$F990)="","",INDEX(選手一覧!$H$7:$H$2738,$F990))</f>
        <v/>
      </c>
      <c r="J990" s="12" t="str">
        <f aca="false">IF(INDEX(選手一覧!$I$7:$I$2738,$F990)="","",INDEX(選手一覧!$I$7:$I$2738,$F990))</f>
        <v/>
      </c>
    </row>
    <row r="991" customFormat="false" ht="15" hidden="false" customHeight="false" outlineLevel="0" collapsed="false">
      <c r="A991" s="12" t="n">
        <v>987</v>
      </c>
      <c r="B991" s="10" t="s">
        <v>2899</v>
      </c>
      <c r="C991" s="10" t="s">
        <v>422</v>
      </c>
      <c r="D991" s="11" t="n">
        <v>0.0109427083333333</v>
      </c>
      <c r="E991" s="18" t="n">
        <f aca="false">ROUND((D991-$D$5)*86400,2)</f>
        <v>155.71</v>
      </c>
      <c r="F991" s="12" t="n">
        <v>2034</v>
      </c>
      <c r="G991" s="11" t="str">
        <f aca="false">IF(INDEX(選手一覧!$F$7:$F$2738,$F991)="","",INDEX(選手一覧!$F$7:$F$2738,$F991))</f>
        <v/>
      </c>
      <c r="H991" s="12" t="str">
        <f aca="false">IF(INDEX(選手一覧!$G$7:$G$2738,$F991)="","",INDEX(選手一覧!$G$7:$G$2738,$F991))</f>
        <v/>
      </c>
      <c r="I991" s="11" t="n">
        <f aca="false">IF(INDEX(選手一覧!$H$7:$H$2738,$F991)="","",INDEX(選手一覧!$H$7:$H$2738,$F991))</f>
        <v>0.00295613425925926</v>
      </c>
      <c r="J991" s="12" t="n">
        <f aca="false">IF(INDEX(選手一覧!$I$7:$I$2738,$F991)="","",INDEX(選手一覧!$I$7:$I$2738,$F991))</f>
        <v>1258</v>
      </c>
    </row>
    <row r="992" customFormat="false" ht="15" hidden="false" customHeight="false" outlineLevel="0" collapsed="false">
      <c r="A992" s="12" t="n">
        <v>988</v>
      </c>
      <c r="B992" s="10" t="s">
        <v>563</v>
      </c>
      <c r="C992" s="10" t="s">
        <v>564</v>
      </c>
      <c r="D992" s="11" t="n">
        <v>0.0109428240740741</v>
      </c>
      <c r="E992" s="18" t="n">
        <f aca="false">ROUND((D992-$D$5)*86400,2)</f>
        <v>155.72</v>
      </c>
      <c r="F992" s="12" t="n">
        <v>353</v>
      </c>
      <c r="G992" s="11" t="n">
        <f aca="false">IF(INDEX(選手一覧!$F$7:$F$2738,$F992)="","",INDEX(選手一覧!$F$7:$F$2738,$F992))</f>
        <v>0.00677060185185185</v>
      </c>
      <c r="H992" s="12" t="n">
        <f aca="false">IF(INDEX(選手一覧!$G$7:$G$2738,$F992)="","",INDEX(選手一覧!$G$7:$G$2738,$F992))</f>
        <v>148</v>
      </c>
      <c r="I992" s="11" t="str">
        <f aca="false">IF(INDEX(選手一覧!$H$7:$H$2738,$F992)="","",INDEX(選手一覧!$H$7:$H$2738,$F992))</f>
        <v/>
      </c>
      <c r="J992" s="12" t="str">
        <f aca="false">IF(INDEX(選手一覧!$I$7:$I$2738,$F992)="","",INDEX(選手一覧!$I$7:$I$2738,$F992))</f>
        <v/>
      </c>
    </row>
    <row r="993" customFormat="false" ht="15" hidden="false" customHeight="false" outlineLevel="0" collapsed="false">
      <c r="A993" s="12" t="n">
        <v>989</v>
      </c>
      <c r="B993" s="10" t="s">
        <v>2904</v>
      </c>
      <c r="C993" s="10" t="s">
        <v>603</v>
      </c>
      <c r="D993" s="11" t="n">
        <v>0.0109439814814815</v>
      </c>
      <c r="E993" s="18" t="n">
        <f aca="false">ROUND((D993-$D$5)*86400,2)</f>
        <v>155.82</v>
      </c>
      <c r="F993" s="12" t="n">
        <v>2038</v>
      </c>
      <c r="G993" s="11" t="str">
        <f aca="false">IF(INDEX(選手一覧!$F$7:$F$2738,$F993)="","",INDEX(選手一覧!$F$7:$F$2738,$F993))</f>
        <v/>
      </c>
      <c r="H993" s="12" t="str">
        <f aca="false">IF(INDEX(選手一覧!$G$7:$G$2738,$F993)="","",INDEX(選手一覧!$G$7:$G$2738,$F993))</f>
        <v/>
      </c>
      <c r="I993" s="11" t="n">
        <f aca="false">IF(INDEX(選手一覧!$H$7:$H$2738,$F993)="","",INDEX(選手一覧!$H$7:$H$2738,$F993))</f>
        <v>0.00294479166666667</v>
      </c>
      <c r="J993" s="12" t="n">
        <f aca="false">IF(INDEX(選手一覧!$I$7:$I$2738,$F993)="","",INDEX(選手一覧!$I$7:$I$2738,$F993))</f>
        <v>1216</v>
      </c>
    </row>
    <row r="994" customFormat="false" ht="15" hidden="false" customHeight="false" outlineLevel="0" collapsed="false">
      <c r="A994" s="12" t="n">
        <v>990</v>
      </c>
      <c r="B994" s="10" t="s">
        <v>2909</v>
      </c>
      <c r="C994" s="10" t="s">
        <v>64</v>
      </c>
      <c r="D994" s="11" t="n">
        <v>0.0109440972222222</v>
      </c>
      <c r="E994" s="18" t="n">
        <f aca="false">ROUND((D994-$D$5)*86400,2)</f>
        <v>155.83</v>
      </c>
      <c r="F994" s="12" t="n">
        <v>2041</v>
      </c>
      <c r="G994" s="11" t="str">
        <f aca="false">IF(INDEX(選手一覧!$F$7:$F$2738,$F994)="","",INDEX(選手一覧!$F$7:$F$2738,$F994))</f>
        <v/>
      </c>
      <c r="H994" s="12" t="str">
        <f aca="false">IF(INDEX(選手一覧!$G$7:$G$2738,$F994)="","",INDEX(選手一覧!$G$7:$G$2738,$F994))</f>
        <v/>
      </c>
      <c r="I994" s="11" t="str">
        <f aca="false">IF(INDEX(選手一覧!$H$7:$H$2738,$F994)="","",INDEX(選手一覧!$H$7:$H$2738,$F994))</f>
        <v/>
      </c>
      <c r="J994" s="12" t="str">
        <f aca="false">IF(INDEX(選手一覧!$I$7:$I$2738,$F994)="","",INDEX(選手一覧!$I$7:$I$2738,$F994))</f>
        <v/>
      </c>
    </row>
    <row r="995" customFormat="false" ht="15" hidden="false" customHeight="false" outlineLevel="0" collapsed="false">
      <c r="A995" s="12" t="n">
        <v>991</v>
      </c>
      <c r="B995" s="10" t="s">
        <v>2912</v>
      </c>
      <c r="C995" s="10" t="s">
        <v>567</v>
      </c>
      <c r="D995" s="11" t="n">
        <v>0.0109445601851852</v>
      </c>
      <c r="E995" s="18" t="n">
        <f aca="false">ROUND((D995-$D$5)*86400,2)</f>
        <v>155.87</v>
      </c>
      <c r="F995" s="12" t="n">
        <v>2043</v>
      </c>
      <c r="G995" s="11" t="str">
        <f aca="false">IF(INDEX(選手一覧!$F$7:$F$2738,$F995)="","",INDEX(選手一覧!$F$7:$F$2738,$F995))</f>
        <v/>
      </c>
      <c r="H995" s="12" t="str">
        <f aca="false">IF(INDEX(選手一覧!$G$7:$G$2738,$F995)="","",INDEX(選手一覧!$G$7:$G$2738,$F995))</f>
        <v/>
      </c>
      <c r="I995" s="11" t="str">
        <f aca="false">IF(INDEX(選手一覧!$H$7:$H$2738,$F995)="","",INDEX(選手一覧!$H$7:$H$2738,$F995))</f>
        <v/>
      </c>
      <c r="J995" s="12" t="str">
        <f aca="false">IF(INDEX(選手一覧!$I$7:$I$2738,$F995)="","",INDEX(選手一覧!$I$7:$I$2738,$F995))</f>
        <v/>
      </c>
    </row>
    <row r="996" customFormat="false" ht="15" hidden="false" customHeight="false" outlineLevel="0" collapsed="false">
      <c r="A996" s="12" t="n">
        <v>992</v>
      </c>
      <c r="B996" s="10" t="s">
        <v>2915</v>
      </c>
      <c r="C996" s="10" t="s">
        <v>141</v>
      </c>
      <c r="D996" s="11" t="n">
        <v>0.0109471064814815</v>
      </c>
      <c r="E996" s="18" t="n">
        <f aca="false">ROUND((D996-$D$5)*86400,2)</f>
        <v>156.09</v>
      </c>
      <c r="F996" s="12" t="n">
        <v>2045</v>
      </c>
      <c r="G996" s="11" t="str">
        <f aca="false">IF(INDEX(選手一覧!$F$7:$F$2738,$F996)="","",INDEX(選手一覧!$F$7:$F$2738,$F996))</f>
        <v/>
      </c>
      <c r="H996" s="12" t="str">
        <f aca="false">IF(INDEX(選手一覧!$G$7:$G$2738,$F996)="","",INDEX(選手一覧!$G$7:$G$2738,$F996))</f>
        <v/>
      </c>
      <c r="I996" s="11" t="str">
        <f aca="false">IF(INDEX(選手一覧!$H$7:$H$2738,$F996)="","",INDEX(選手一覧!$H$7:$H$2738,$F996))</f>
        <v/>
      </c>
      <c r="J996" s="12" t="str">
        <f aca="false">IF(INDEX(選手一覧!$I$7:$I$2738,$F996)="","",INDEX(選手一覧!$I$7:$I$2738,$F996))</f>
        <v/>
      </c>
    </row>
    <row r="997" customFormat="false" ht="15" hidden="false" customHeight="false" outlineLevel="0" collapsed="false">
      <c r="A997" s="12" t="n">
        <v>993</v>
      </c>
      <c r="B997" s="10" t="s">
        <v>615</v>
      </c>
      <c r="C997" s="10" t="s">
        <v>616</v>
      </c>
      <c r="D997" s="11" t="n">
        <v>0.0109480324074074</v>
      </c>
      <c r="E997" s="18" t="n">
        <f aca="false">ROUND((D997-$D$5)*86400,2)</f>
        <v>156.17</v>
      </c>
      <c r="F997" s="12" t="n">
        <v>389</v>
      </c>
      <c r="G997" s="11" t="n">
        <f aca="false">IF(INDEX(選手一覧!$F$7:$F$2738,$F997)="","",INDEX(選手一覧!$F$7:$F$2738,$F997))</f>
        <v>0.00679340277777778</v>
      </c>
      <c r="H997" s="12" t="n">
        <f aca="false">IF(INDEX(選手一覧!$G$7:$G$2738,$F997)="","",INDEX(選手一覧!$G$7:$G$2738,$F997))</f>
        <v>165</v>
      </c>
      <c r="I997" s="11" t="n">
        <f aca="false">IF(INDEX(選手一覧!$H$7:$H$2738,$F997)="","",INDEX(選手一覧!$H$7:$H$2738,$F997))</f>
        <v>0.00291875</v>
      </c>
      <c r="J997" s="12" t="n">
        <f aca="false">IF(INDEX(選手一覧!$I$7:$I$2738,$F997)="","",INDEX(選手一覧!$I$7:$I$2738,$F997))</f>
        <v>1081</v>
      </c>
    </row>
    <row r="998" customFormat="false" ht="15" hidden="false" customHeight="false" outlineLevel="0" collapsed="false">
      <c r="A998" s="12" t="n">
        <v>994</v>
      </c>
      <c r="B998" s="10" t="s">
        <v>1475</v>
      </c>
      <c r="C998" s="10" t="s">
        <v>195</v>
      </c>
      <c r="D998" s="11" t="n">
        <v>0.0109481481481482</v>
      </c>
      <c r="E998" s="18" t="n">
        <f aca="false">ROUND((D998-$D$5)*86400,2)</f>
        <v>156.18</v>
      </c>
      <c r="F998" s="12" t="n">
        <v>1012</v>
      </c>
      <c r="G998" s="11" t="n">
        <f aca="false">IF(INDEX(選手一覧!$F$7:$F$2738,$F998)="","",INDEX(選手一覧!$F$7:$F$2738,$F998))</f>
        <v>0.00710578703703704</v>
      </c>
      <c r="H998" s="12" t="n">
        <f aca="false">IF(INDEX(選手一覧!$G$7:$G$2738,$F998)="","",INDEX(選手一覧!$G$7:$G$2738,$F998))</f>
        <v>454</v>
      </c>
      <c r="I998" s="11" t="str">
        <f aca="false">IF(INDEX(選手一覧!$H$7:$H$2738,$F998)="","",INDEX(選手一覧!$H$7:$H$2738,$F998))</f>
        <v/>
      </c>
      <c r="J998" s="12" t="str">
        <f aca="false">IF(INDEX(選手一覧!$I$7:$I$2738,$F998)="","",INDEX(選手一覧!$I$7:$I$2738,$F998))</f>
        <v/>
      </c>
    </row>
    <row r="999" customFormat="false" ht="15" hidden="false" customHeight="false" outlineLevel="0" collapsed="false">
      <c r="A999" s="12" t="n">
        <v>995</v>
      </c>
      <c r="B999" s="10" t="s">
        <v>1004</v>
      </c>
      <c r="C999" s="10" t="s">
        <v>1005</v>
      </c>
      <c r="D999" s="11" t="n">
        <v>0.0109489583333333</v>
      </c>
      <c r="E999" s="18" t="n">
        <f aca="false">ROUND((D999-$D$5)*86400,2)</f>
        <v>156.25</v>
      </c>
      <c r="F999" s="12" t="n">
        <v>671</v>
      </c>
      <c r="G999" s="11" t="n">
        <f aca="false">IF(INDEX(選手一覧!$F$7:$F$2738,$F999)="","",INDEX(選手一覧!$F$7:$F$2738,$F999))</f>
        <v>0.00695023148148148</v>
      </c>
      <c r="H999" s="12" t="n">
        <f aca="false">IF(INDEX(選手一覧!$G$7:$G$2738,$F999)="","",INDEX(選手一覧!$G$7:$G$2738,$F999))</f>
        <v>285</v>
      </c>
      <c r="I999" s="11" t="str">
        <f aca="false">IF(INDEX(選手一覧!$H$7:$H$2738,$F999)="","",INDEX(選手一覧!$H$7:$H$2738,$F999))</f>
        <v/>
      </c>
      <c r="J999" s="12" t="str">
        <f aca="false">IF(INDEX(選手一覧!$I$7:$I$2738,$F999)="","",INDEX(選手一覧!$I$7:$I$2738,$F999))</f>
        <v/>
      </c>
    </row>
    <row r="1000" customFormat="false" ht="15" hidden="false" customHeight="false" outlineLevel="0" collapsed="false">
      <c r="A1000" s="12" t="n">
        <v>996</v>
      </c>
      <c r="B1000" s="10" t="s">
        <v>131</v>
      </c>
      <c r="C1000" s="10" t="s">
        <v>132</v>
      </c>
      <c r="D1000" s="11" t="n">
        <v>0.0109490740740741</v>
      </c>
      <c r="E1000" s="18" t="n">
        <f aca="false">ROUND((D1000-$D$5)*86400,2)</f>
        <v>156.26</v>
      </c>
      <c r="F1000" s="12" t="n">
        <v>61</v>
      </c>
      <c r="G1000" s="11" t="n">
        <f aca="false">IF(INDEX(選手一覧!$F$7:$F$2738,$F1000)="","",INDEX(選手一覧!$F$7:$F$2738,$F1000))</f>
        <v>0.00645844907407407</v>
      </c>
      <c r="H1000" s="12" t="n">
        <f aca="false">IF(INDEX(選手一覧!$G$7:$G$2738,$F1000)="","",INDEX(選手一覧!$G$7:$G$2738,$F1000))</f>
        <v>24</v>
      </c>
      <c r="I1000" s="11" t="n">
        <f aca="false">IF(INDEX(選手一覧!$H$7:$H$2738,$F1000)="","",INDEX(選手一覧!$H$7:$H$2738,$F1000))</f>
        <v>0.00285740740740741</v>
      </c>
      <c r="J1000" s="12" t="n">
        <f aca="false">IF(INDEX(選手一覧!$I$7:$I$2738,$F1000)="","",INDEX(選手一覧!$I$7:$I$2738,$F1000))</f>
        <v>618</v>
      </c>
    </row>
    <row r="1001" customFormat="false" ht="15" hidden="false" customHeight="false" outlineLevel="0" collapsed="false">
      <c r="A1001" s="12" t="n">
        <v>997</v>
      </c>
      <c r="B1001" s="10" t="s">
        <v>2927</v>
      </c>
      <c r="C1001" s="10" t="s">
        <v>105</v>
      </c>
      <c r="D1001" s="11" t="n">
        <v>0.0109490740740741</v>
      </c>
      <c r="E1001" s="18" t="n">
        <f aca="false">ROUND((D1001-$D$5)*86400,2)</f>
        <v>156.26</v>
      </c>
      <c r="F1001" s="12" t="n">
        <v>2052</v>
      </c>
      <c r="G1001" s="11" t="str">
        <f aca="false">IF(INDEX(選手一覧!$F$7:$F$2738,$F1001)="","",INDEX(選手一覧!$F$7:$F$2738,$F1001))</f>
        <v/>
      </c>
      <c r="H1001" s="12" t="str">
        <f aca="false">IF(INDEX(選手一覧!$G$7:$G$2738,$F1001)="","",INDEX(選手一覧!$G$7:$G$2738,$F1001))</f>
        <v/>
      </c>
      <c r="I1001" s="11" t="str">
        <f aca="false">IF(INDEX(選手一覧!$H$7:$H$2738,$F1001)="","",INDEX(選手一覧!$H$7:$H$2738,$F1001))</f>
        <v/>
      </c>
      <c r="J1001" s="12" t="str">
        <f aca="false">IF(INDEX(選手一覧!$I$7:$I$2738,$F1001)="","",INDEX(選手一覧!$I$7:$I$2738,$F1001))</f>
        <v/>
      </c>
    </row>
    <row r="1002" customFormat="false" ht="15" hidden="false" customHeight="false" outlineLevel="0" collapsed="false">
      <c r="A1002" s="12" t="n">
        <v>998</v>
      </c>
      <c r="B1002" s="10" t="s">
        <v>2931</v>
      </c>
      <c r="C1002" s="10" t="s">
        <v>95</v>
      </c>
      <c r="D1002" s="11" t="n">
        <v>0.0109494212962963</v>
      </c>
      <c r="E1002" s="18" t="n">
        <f aca="false">ROUND((D1002-$D$5)*86400,2)</f>
        <v>156.29</v>
      </c>
      <c r="F1002" s="12" t="n">
        <v>2055</v>
      </c>
      <c r="G1002" s="11" t="str">
        <f aca="false">IF(INDEX(選手一覧!$F$7:$F$2738,$F1002)="","",INDEX(選手一覧!$F$7:$F$2738,$F1002))</f>
        <v/>
      </c>
      <c r="H1002" s="12" t="str">
        <f aca="false">IF(INDEX(選手一覧!$G$7:$G$2738,$F1002)="","",INDEX(選手一覧!$G$7:$G$2738,$F1002))</f>
        <v/>
      </c>
      <c r="I1002" s="11" t="str">
        <f aca="false">IF(INDEX(選手一覧!$H$7:$H$2738,$F1002)="","",INDEX(選手一覧!$H$7:$H$2738,$F1002))</f>
        <v/>
      </c>
      <c r="J1002" s="12" t="str">
        <f aca="false">IF(INDEX(選手一覧!$I$7:$I$2738,$F1002)="","",INDEX(選手一覧!$I$7:$I$2738,$F1002))</f>
        <v/>
      </c>
    </row>
    <row r="1003" customFormat="false" ht="15" hidden="false" customHeight="false" outlineLevel="0" collapsed="false">
      <c r="A1003" s="12" t="n">
        <v>999</v>
      </c>
      <c r="B1003" s="10" t="s">
        <v>2529</v>
      </c>
      <c r="C1003" s="10" t="s">
        <v>1660</v>
      </c>
      <c r="D1003" s="11" t="n">
        <v>0.0109497685185185</v>
      </c>
      <c r="E1003" s="18" t="n">
        <f aca="false">ROUND((D1003-$D$5)*86400,2)</f>
        <v>156.32</v>
      </c>
      <c r="F1003" s="12" t="n">
        <v>1766</v>
      </c>
      <c r="G1003" s="11" t="str">
        <f aca="false">IF(INDEX(選手一覧!$F$7:$F$2738,$F1003)="","",INDEX(選手一覧!$F$7:$F$2738,$F1003))</f>
        <v/>
      </c>
      <c r="H1003" s="12" t="str">
        <f aca="false">IF(INDEX(選手一覧!$G$7:$G$2738,$F1003)="","",INDEX(選手一覧!$G$7:$G$2738,$F1003))</f>
        <v/>
      </c>
      <c r="I1003" s="11" t="n">
        <f aca="false">IF(INDEX(選手一覧!$H$7:$H$2738,$F1003)="","",INDEX(選手一覧!$H$7:$H$2738,$F1003))</f>
        <v>0.00288784722222222</v>
      </c>
      <c r="J1003" s="12" t="n">
        <f aca="false">IF(INDEX(選手一覧!$I$7:$I$2738,$F1003)="","",INDEX(選手一覧!$I$7:$I$2738,$F1003))</f>
        <v>844</v>
      </c>
    </row>
    <row r="1004" customFormat="false" ht="15" hidden="false" customHeight="false" outlineLevel="0" collapsed="false">
      <c r="A1004" s="12" t="n">
        <v>1000</v>
      </c>
      <c r="B1004" s="10" t="s">
        <v>2934</v>
      </c>
      <c r="C1004" s="10" t="s">
        <v>103</v>
      </c>
      <c r="D1004" s="11" t="n">
        <v>0.0109497685185185</v>
      </c>
      <c r="E1004" s="18" t="n">
        <f aca="false">ROUND((D1004-$D$5)*86400,2)</f>
        <v>156.32</v>
      </c>
      <c r="F1004" s="12" t="n">
        <v>2058</v>
      </c>
      <c r="G1004" s="11" t="str">
        <f aca="false">IF(INDEX(選手一覧!$F$7:$F$2738,$F1004)="","",INDEX(選手一覧!$F$7:$F$2738,$F1004))</f>
        <v/>
      </c>
      <c r="H1004" s="12" t="str">
        <f aca="false">IF(INDEX(選手一覧!$G$7:$G$2738,$F1004)="","",INDEX(選手一覧!$G$7:$G$2738,$F1004))</f>
        <v/>
      </c>
      <c r="I1004" s="11" t="str">
        <f aca="false">IF(INDEX(選手一覧!$H$7:$H$2738,$F1004)="","",INDEX(選手一覧!$H$7:$H$2738,$F1004))</f>
        <v/>
      </c>
      <c r="J1004" s="12" t="str">
        <f aca="false">IF(INDEX(選手一覧!$I$7:$I$2738,$F1004)="","",INDEX(選手一覧!$I$7:$I$2738,$F1004))</f>
        <v/>
      </c>
    </row>
    <row r="1005" customFormat="false" ht="15" hidden="false" customHeight="false" outlineLevel="0" collapsed="false">
      <c r="A1005" s="12" t="n">
        <v>1001</v>
      </c>
      <c r="B1005" s="10" t="s">
        <v>2936</v>
      </c>
      <c r="C1005" s="10" t="s">
        <v>2937</v>
      </c>
      <c r="D1005" s="11" t="n">
        <v>0.010950462962963</v>
      </c>
      <c r="E1005" s="18" t="n">
        <f aca="false">ROUND((D1005-$D$5)*86400,2)</f>
        <v>156.38</v>
      </c>
      <c r="F1005" s="12" t="n">
        <v>2060</v>
      </c>
      <c r="G1005" s="11" t="str">
        <f aca="false">IF(INDEX(選手一覧!$F$7:$F$2738,$F1005)="","",INDEX(選手一覧!$F$7:$F$2738,$F1005))</f>
        <v/>
      </c>
      <c r="H1005" s="12" t="str">
        <f aca="false">IF(INDEX(選手一覧!$G$7:$G$2738,$F1005)="","",INDEX(選手一覧!$G$7:$G$2738,$F1005))</f>
        <v/>
      </c>
      <c r="I1005" s="11" t="str">
        <f aca="false">IF(INDEX(選手一覧!$H$7:$H$2738,$F1005)="","",INDEX(選手一覧!$H$7:$H$2738,$F1005))</f>
        <v/>
      </c>
      <c r="J1005" s="12" t="str">
        <f aca="false">IF(INDEX(選手一覧!$I$7:$I$2738,$F1005)="","",INDEX(選手一覧!$I$7:$I$2738,$F1005))</f>
        <v/>
      </c>
    </row>
    <row r="1006" customFormat="false" ht="15" hidden="false" customHeight="false" outlineLevel="0" collapsed="false">
      <c r="A1006" s="12" t="n">
        <v>1002</v>
      </c>
      <c r="B1006" s="10" t="s">
        <v>2941</v>
      </c>
      <c r="C1006" s="10" t="s">
        <v>2942</v>
      </c>
      <c r="D1006" s="11" t="n">
        <v>0.0109510416666667</v>
      </c>
      <c r="E1006" s="18" t="n">
        <f aca="false">ROUND((D1006-$D$5)*86400,2)</f>
        <v>156.43</v>
      </c>
      <c r="F1006" s="12" t="n">
        <v>2063</v>
      </c>
      <c r="G1006" s="11" t="str">
        <f aca="false">IF(INDEX(選手一覧!$F$7:$F$2738,$F1006)="","",INDEX(選手一覧!$F$7:$F$2738,$F1006))</f>
        <v/>
      </c>
      <c r="H1006" s="12" t="str">
        <f aca="false">IF(INDEX(選手一覧!$G$7:$G$2738,$F1006)="","",INDEX(選手一覧!$G$7:$G$2738,$F1006))</f>
        <v/>
      </c>
      <c r="I1006" s="11" t="str">
        <f aca="false">IF(INDEX(選手一覧!$H$7:$H$2738,$F1006)="","",INDEX(選手一覧!$H$7:$H$2738,$F1006))</f>
        <v/>
      </c>
      <c r="J1006" s="12" t="str">
        <f aca="false">IF(INDEX(選手一覧!$I$7:$I$2738,$F1006)="","",INDEX(選手一覧!$I$7:$I$2738,$F1006))</f>
        <v/>
      </c>
    </row>
    <row r="1007" customFormat="false" ht="15" hidden="false" customHeight="false" outlineLevel="0" collapsed="false">
      <c r="A1007" s="12" t="n">
        <v>1003</v>
      </c>
      <c r="B1007" s="10" t="s">
        <v>659</v>
      </c>
      <c r="C1007" s="10" t="s">
        <v>660</v>
      </c>
      <c r="D1007" s="11" t="n">
        <v>0.0109517361111111</v>
      </c>
      <c r="E1007" s="18" t="n">
        <f aca="false">ROUND((D1007-$D$5)*86400,2)</f>
        <v>156.49</v>
      </c>
      <c r="F1007" s="12" t="n">
        <v>419</v>
      </c>
      <c r="G1007" s="11" t="n">
        <f aca="false">IF(INDEX(選手一覧!$F$7:$F$2738,$F1007)="","",INDEX(選手一覧!$F$7:$F$2738,$F1007))</f>
        <v>0.00680671296296296</v>
      </c>
      <c r="H1007" s="12" t="n">
        <f aca="false">IF(INDEX(選手一覧!$G$7:$G$2738,$F1007)="","",INDEX(選手一覧!$G$7:$G$2738,$F1007))</f>
        <v>177</v>
      </c>
      <c r="I1007" s="11" t="str">
        <f aca="false">IF(INDEX(選手一覧!$H$7:$H$2738,$F1007)="","",INDEX(選手一覧!$H$7:$H$2738,$F1007))</f>
        <v/>
      </c>
      <c r="J1007" s="12" t="str">
        <f aca="false">IF(INDEX(選手一覧!$I$7:$I$2738,$F1007)="","",INDEX(選手一覧!$I$7:$I$2738,$F1007))</f>
        <v/>
      </c>
    </row>
    <row r="1008" customFormat="false" ht="15" hidden="false" customHeight="false" outlineLevel="0" collapsed="false">
      <c r="A1008" s="12" t="n">
        <v>1004</v>
      </c>
      <c r="B1008" s="10" t="s">
        <v>2946</v>
      </c>
      <c r="C1008" s="10" t="s">
        <v>457</v>
      </c>
      <c r="D1008" s="11" t="n">
        <v>0.0109524305555556</v>
      </c>
      <c r="E1008" s="18" t="n">
        <f aca="false">ROUND((D1008-$D$5)*86400,2)</f>
        <v>156.55</v>
      </c>
      <c r="F1008" s="12" t="n">
        <v>2067</v>
      </c>
      <c r="G1008" s="11" t="str">
        <f aca="false">IF(INDEX(選手一覧!$F$7:$F$2738,$F1008)="","",INDEX(選手一覧!$F$7:$F$2738,$F1008))</f>
        <v/>
      </c>
      <c r="H1008" s="12" t="str">
        <f aca="false">IF(INDEX(選手一覧!$G$7:$G$2738,$F1008)="","",INDEX(選手一覧!$G$7:$G$2738,$F1008))</f>
        <v/>
      </c>
      <c r="I1008" s="11" t="str">
        <f aca="false">IF(INDEX(選手一覧!$H$7:$H$2738,$F1008)="","",INDEX(選手一覧!$H$7:$H$2738,$F1008))</f>
        <v/>
      </c>
      <c r="J1008" s="12" t="str">
        <f aca="false">IF(INDEX(選手一覧!$I$7:$I$2738,$F1008)="","",INDEX(選手一覧!$I$7:$I$2738,$F1008))</f>
        <v/>
      </c>
    </row>
    <row r="1009" customFormat="false" ht="15" hidden="false" customHeight="false" outlineLevel="0" collapsed="false">
      <c r="A1009" s="12" t="n">
        <v>1005</v>
      </c>
      <c r="B1009" s="10" t="s">
        <v>2808</v>
      </c>
      <c r="C1009" s="10" t="s">
        <v>467</v>
      </c>
      <c r="D1009" s="11" t="n">
        <v>0.0109524305555556</v>
      </c>
      <c r="E1009" s="18" t="n">
        <f aca="false">ROUND((D1009-$D$5)*86400,2)</f>
        <v>156.55</v>
      </c>
      <c r="F1009" s="12" t="n">
        <v>1965</v>
      </c>
      <c r="G1009" s="11" t="str">
        <f aca="false">IF(INDEX(選手一覧!$F$7:$F$2738,$F1009)="","",INDEX(選手一覧!$F$7:$F$2738,$F1009))</f>
        <v/>
      </c>
      <c r="H1009" s="12" t="str">
        <f aca="false">IF(INDEX(選手一覧!$G$7:$G$2738,$F1009)="","",INDEX(選手一覧!$G$7:$G$2738,$F1009))</f>
        <v/>
      </c>
      <c r="I1009" s="11" t="n">
        <f aca="false">IF(INDEX(選手一覧!$H$7:$H$2738,$F1009)="","",INDEX(選手一覧!$H$7:$H$2738,$F1009))</f>
        <v>0.0029005787037037</v>
      </c>
      <c r="J1009" s="12" t="n">
        <f aca="false">IF(INDEX(選手一覧!$I$7:$I$2738,$F1009)="","",INDEX(選手一覧!$I$7:$I$2738,$F1009))</f>
        <v>951</v>
      </c>
    </row>
    <row r="1010" customFormat="false" ht="15" hidden="false" customHeight="false" outlineLevel="0" collapsed="false">
      <c r="A1010" s="12" t="n">
        <v>1006</v>
      </c>
      <c r="B1010" s="10" t="s">
        <v>447</v>
      </c>
      <c r="C1010" s="10" t="s">
        <v>279</v>
      </c>
      <c r="D1010" s="11" t="n">
        <v>0.0109527777777778</v>
      </c>
      <c r="E1010" s="18" t="n">
        <f aca="false">ROUND((D1010-$D$5)*86400,2)</f>
        <v>156.58</v>
      </c>
      <c r="F1010" s="12" t="n">
        <v>275</v>
      </c>
      <c r="G1010" s="11" t="str">
        <f aca="false">IF(INDEX(選手一覧!$F$7:$F$2738,$F1010)="","",INDEX(選手一覧!$F$7:$F$2738,$F1010))</f>
        <v/>
      </c>
      <c r="H1010" s="12" t="str">
        <f aca="false">IF(INDEX(選手一覧!$G$7:$G$2738,$F1010)="","",INDEX(選手一覧!$G$7:$G$2738,$F1010))</f>
        <v/>
      </c>
      <c r="I1010" s="11" t="n">
        <f aca="false">IF(INDEX(選手一覧!$H$7:$H$2738,$F1010)="","",INDEX(選手一覧!$H$7:$H$2738,$F1010))</f>
        <v>0.00275393518518519</v>
      </c>
      <c r="J1010" s="12" t="n">
        <f aca="false">IF(INDEX(選手一覧!$I$7:$I$2738,$F1010)="","",INDEX(選手一覧!$I$7:$I$2738,$F1010))</f>
        <v>114</v>
      </c>
    </row>
    <row r="1011" customFormat="false" ht="15" hidden="false" customHeight="false" outlineLevel="0" collapsed="false">
      <c r="A1011" s="12" t="n">
        <v>1007</v>
      </c>
      <c r="B1011" s="10" t="s">
        <v>586</v>
      </c>
      <c r="C1011" s="10" t="s">
        <v>57</v>
      </c>
      <c r="D1011" s="11" t="n">
        <v>0.0109530092592593</v>
      </c>
      <c r="E1011" s="18" t="n">
        <f aca="false">ROUND((D1011-$D$5)*86400,2)</f>
        <v>156.6</v>
      </c>
      <c r="F1011" s="12" t="n">
        <v>370</v>
      </c>
      <c r="G1011" s="11" t="n">
        <f aca="false">IF(INDEX(選手一覧!$F$7:$F$2738,$F1011)="","",INDEX(選手一覧!$F$7:$F$2738,$F1011))</f>
        <v>0.00678148148148148</v>
      </c>
      <c r="H1011" s="12" t="n">
        <f aca="false">IF(INDEX(選手一覧!$G$7:$G$2738,$F1011)="","",INDEX(選手一覧!$G$7:$G$2738,$F1011))</f>
        <v>156</v>
      </c>
      <c r="I1011" s="11" t="str">
        <f aca="false">IF(INDEX(選手一覧!$H$7:$H$2738,$F1011)="","",INDEX(選手一覧!$H$7:$H$2738,$F1011))</f>
        <v/>
      </c>
      <c r="J1011" s="12" t="str">
        <f aca="false">IF(INDEX(選手一覧!$I$7:$I$2738,$F1011)="","",INDEX(選手一覧!$I$7:$I$2738,$F1011))</f>
        <v/>
      </c>
    </row>
    <row r="1012" customFormat="false" ht="15" hidden="false" customHeight="false" outlineLevel="0" collapsed="false">
      <c r="A1012" s="12" t="n">
        <v>1008</v>
      </c>
      <c r="B1012" s="10" t="s">
        <v>2957</v>
      </c>
      <c r="C1012" s="10" t="s">
        <v>2031</v>
      </c>
      <c r="D1012" s="11" t="n">
        <v>0.0109533564814815</v>
      </c>
      <c r="E1012" s="18" t="n">
        <f aca="false">ROUND((D1012-$D$5)*86400,2)</f>
        <v>156.63</v>
      </c>
      <c r="F1012" s="12" t="n">
        <v>2075</v>
      </c>
      <c r="G1012" s="11" t="str">
        <f aca="false">IF(INDEX(選手一覧!$F$7:$F$2738,$F1012)="","",INDEX(選手一覧!$F$7:$F$2738,$F1012))</f>
        <v/>
      </c>
      <c r="H1012" s="12" t="str">
        <f aca="false">IF(INDEX(選手一覧!$G$7:$G$2738,$F1012)="","",INDEX(選手一覧!$G$7:$G$2738,$F1012))</f>
        <v/>
      </c>
      <c r="I1012" s="11" t="str">
        <f aca="false">IF(INDEX(選手一覧!$H$7:$H$2738,$F1012)="","",INDEX(選手一覧!$H$7:$H$2738,$F1012))</f>
        <v/>
      </c>
      <c r="J1012" s="12" t="str">
        <f aca="false">IF(INDEX(選手一覧!$I$7:$I$2738,$F1012)="","",INDEX(選手一覧!$I$7:$I$2738,$F1012))</f>
        <v/>
      </c>
    </row>
    <row r="1013" customFormat="false" ht="15" hidden="false" customHeight="false" outlineLevel="0" collapsed="false">
      <c r="A1013" s="12" t="n">
        <v>1009</v>
      </c>
      <c r="B1013" s="10" t="s">
        <v>2929</v>
      </c>
      <c r="C1013" s="10" t="s">
        <v>2930</v>
      </c>
      <c r="D1013" s="11" t="n">
        <v>0.0109534722222222</v>
      </c>
      <c r="E1013" s="18" t="n">
        <f aca="false">ROUND((D1013-$D$5)*86400,2)</f>
        <v>156.64</v>
      </c>
      <c r="F1013" s="12" t="n">
        <v>2054</v>
      </c>
      <c r="G1013" s="11" t="str">
        <f aca="false">IF(INDEX(選手一覧!$F$7:$F$2738,$F1013)="","",INDEX(選手一覧!$F$7:$F$2738,$F1013))</f>
        <v/>
      </c>
      <c r="H1013" s="12" t="str">
        <f aca="false">IF(INDEX(選手一覧!$G$7:$G$2738,$F1013)="","",INDEX(選手一覧!$G$7:$G$2738,$F1013))</f>
        <v/>
      </c>
      <c r="I1013" s="11" t="n">
        <f aca="false">IF(INDEX(選手一覧!$H$7:$H$2738,$F1013)="","",INDEX(選手一覧!$H$7:$H$2738,$F1013))</f>
        <v>0.00290775462962963</v>
      </c>
      <c r="J1013" s="12" t="n">
        <f aca="false">IF(INDEX(選手一覧!$I$7:$I$2738,$F1013)="","",INDEX(選手一覧!$I$7:$I$2738,$F1013))</f>
        <v>998</v>
      </c>
    </row>
    <row r="1014" customFormat="false" ht="15" hidden="false" customHeight="false" outlineLevel="0" collapsed="false">
      <c r="A1014" s="12" t="n">
        <v>1010</v>
      </c>
      <c r="B1014" s="10" t="s">
        <v>222</v>
      </c>
      <c r="C1014" s="10" t="s">
        <v>223</v>
      </c>
      <c r="D1014" s="11" t="n">
        <v>0.0109534722222222</v>
      </c>
      <c r="E1014" s="18" t="n">
        <f aca="false">ROUND((D1014-$D$5)*86400,2)</f>
        <v>156.64</v>
      </c>
      <c r="F1014" s="12" t="n">
        <v>117</v>
      </c>
      <c r="G1014" s="11" t="n">
        <f aca="false">IF(INDEX(選手一覧!$F$7:$F$2738,$F1014)="","",INDEX(選手一覧!$F$7:$F$2738,$F1014))</f>
        <v>0.00654305555555556</v>
      </c>
      <c r="H1014" s="12" t="n">
        <f aca="false">IF(INDEX(選手一覧!$G$7:$G$2738,$F1014)="","",INDEX(選手一覧!$G$7:$G$2738,$F1014))</f>
        <v>44</v>
      </c>
      <c r="I1014" s="11" t="str">
        <f aca="false">IF(INDEX(選手一覧!$H$7:$H$2738,$F1014)="","",INDEX(選手一覧!$H$7:$H$2738,$F1014))</f>
        <v/>
      </c>
      <c r="J1014" s="12" t="str">
        <f aca="false">IF(INDEX(選手一覧!$I$7:$I$2738,$F1014)="","",INDEX(選手一覧!$I$7:$I$2738,$F1014))</f>
        <v/>
      </c>
    </row>
    <row r="1015" customFormat="false" ht="15" hidden="false" customHeight="false" outlineLevel="0" collapsed="false">
      <c r="A1015" s="12" t="n">
        <v>1011</v>
      </c>
      <c r="B1015" s="10" t="s">
        <v>2964</v>
      </c>
      <c r="C1015" s="10" t="s">
        <v>118</v>
      </c>
      <c r="D1015" s="11" t="n">
        <v>0.0109539351851852</v>
      </c>
      <c r="E1015" s="18" t="n">
        <f aca="false">ROUND((D1015-$D$5)*86400,2)</f>
        <v>156.68</v>
      </c>
      <c r="F1015" s="12" t="n">
        <v>2081</v>
      </c>
      <c r="G1015" s="11" t="str">
        <f aca="false">IF(INDEX(選手一覧!$F$7:$F$2738,$F1015)="","",INDEX(選手一覧!$F$7:$F$2738,$F1015))</f>
        <v/>
      </c>
      <c r="H1015" s="12" t="str">
        <f aca="false">IF(INDEX(選手一覧!$G$7:$G$2738,$F1015)="","",INDEX(選手一覧!$G$7:$G$2738,$F1015))</f>
        <v/>
      </c>
      <c r="I1015" s="11" t="str">
        <f aca="false">IF(INDEX(選手一覧!$H$7:$H$2738,$F1015)="","",INDEX(選手一覧!$H$7:$H$2738,$F1015))</f>
        <v/>
      </c>
      <c r="J1015" s="12" t="str">
        <f aca="false">IF(INDEX(選手一覧!$I$7:$I$2738,$F1015)="","",INDEX(選手一覧!$I$7:$I$2738,$F1015))</f>
        <v/>
      </c>
    </row>
    <row r="1016" customFormat="false" ht="15" hidden="false" customHeight="false" outlineLevel="0" collapsed="false">
      <c r="A1016" s="12" t="n">
        <v>1012</v>
      </c>
      <c r="B1016" s="10" t="s">
        <v>907</v>
      </c>
      <c r="C1016" s="10" t="s">
        <v>181</v>
      </c>
      <c r="D1016" s="11" t="n">
        <v>0.0109541666666667</v>
      </c>
      <c r="E1016" s="18" t="n">
        <f aca="false">ROUND((D1016-$D$5)*86400,2)</f>
        <v>156.7</v>
      </c>
      <c r="F1016" s="12" t="n">
        <v>598</v>
      </c>
      <c r="G1016" s="11" t="n">
        <f aca="false">IF(INDEX(選手一覧!$F$7:$F$2738,$F1016)="","",INDEX(選手一覧!$F$7:$F$2738,$F1016))</f>
        <v>0.0069162037037037</v>
      </c>
      <c r="H1016" s="12" t="n">
        <f aca="false">IF(INDEX(選手一覧!$G$7:$G$2738,$F1016)="","",INDEX(選手一覧!$G$7:$G$2738,$F1016))</f>
        <v>252</v>
      </c>
      <c r="I1016" s="11" t="n">
        <f aca="false">IF(INDEX(選手一覧!$H$7:$H$2738,$F1016)="","",INDEX(選手一覧!$H$7:$H$2738,$F1016))</f>
        <v>0.00285138888888889</v>
      </c>
      <c r="J1016" s="12" t="n">
        <f aca="false">IF(INDEX(選手一覧!$I$7:$I$2738,$F1016)="","",INDEX(選手一覧!$I$7:$I$2738,$F1016))</f>
        <v>578</v>
      </c>
    </row>
    <row r="1017" customFormat="false" ht="15" hidden="false" customHeight="false" outlineLevel="0" collapsed="false">
      <c r="A1017" s="12" t="n">
        <v>1013</v>
      </c>
      <c r="B1017" s="10" t="s">
        <v>2971</v>
      </c>
      <c r="C1017" s="10" t="s">
        <v>754</v>
      </c>
      <c r="D1017" s="11" t="n">
        <v>0.0109548611111111</v>
      </c>
      <c r="E1017" s="18" t="n">
        <f aca="false">ROUND((D1017-$D$5)*86400,2)</f>
        <v>156.76</v>
      </c>
      <c r="F1017" s="12" t="n">
        <v>2086</v>
      </c>
      <c r="G1017" s="11" t="str">
        <f aca="false">IF(INDEX(選手一覧!$F$7:$F$2738,$F1017)="","",INDEX(選手一覧!$F$7:$F$2738,$F1017))</f>
        <v/>
      </c>
      <c r="H1017" s="12" t="str">
        <f aca="false">IF(INDEX(選手一覧!$G$7:$G$2738,$F1017)="","",INDEX(選手一覧!$G$7:$G$2738,$F1017))</f>
        <v/>
      </c>
      <c r="I1017" s="11" t="n">
        <f aca="false">IF(INDEX(選手一覧!$H$7:$H$2738,$F1017)="","",INDEX(選手一覧!$H$7:$H$2738,$F1017))</f>
        <v>0.00297916666666667</v>
      </c>
      <c r="J1017" s="12" t="n">
        <f aca="false">IF(INDEX(選手一覧!$I$7:$I$2738,$F1017)="","",INDEX(選手一覧!$I$7:$I$2738,$F1017))</f>
        <v>1349</v>
      </c>
    </row>
    <row r="1018" customFormat="false" ht="15" hidden="false" customHeight="false" outlineLevel="0" collapsed="false">
      <c r="A1018" s="12" t="n">
        <v>1014</v>
      </c>
      <c r="B1018" s="10" t="s">
        <v>2973</v>
      </c>
      <c r="C1018" s="10" t="s">
        <v>2974</v>
      </c>
      <c r="D1018" s="11" t="n">
        <v>0.0109555555555556</v>
      </c>
      <c r="E1018" s="18" t="n">
        <f aca="false">ROUND((D1018-$D$5)*86400,2)</f>
        <v>156.82</v>
      </c>
      <c r="F1018" s="12" t="n">
        <v>2088</v>
      </c>
      <c r="G1018" s="11" t="str">
        <f aca="false">IF(INDEX(選手一覧!$F$7:$F$2738,$F1018)="","",INDEX(選手一覧!$F$7:$F$2738,$F1018))</f>
        <v/>
      </c>
      <c r="H1018" s="12" t="str">
        <f aca="false">IF(INDEX(選手一覧!$G$7:$G$2738,$F1018)="","",INDEX(選手一覧!$G$7:$G$2738,$F1018))</f>
        <v/>
      </c>
      <c r="I1018" s="11" t="str">
        <f aca="false">IF(INDEX(選手一覧!$H$7:$H$2738,$F1018)="","",INDEX(選手一覧!$H$7:$H$2738,$F1018))</f>
        <v/>
      </c>
      <c r="J1018" s="12" t="str">
        <f aca="false">IF(INDEX(選手一覧!$I$7:$I$2738,$F1018)="","",INDEX(選手一覧!$I$7:$I$2738,$F1018))</f>
        <v/>
      </c>
    </row>
    <row r="1019" customFormat="false" ht="15" hidden="false" customHeight="false" outlineLevel="0" collapsed="false">
      <c r="A1019" s="12" t="n">
        <v>1015</v>
      </c>
      <c r="B1019" s="10" t="s">
        <v>2978</v>
      </c>
      <c r="C1019" s="10" t="s">
        <v>437</v>
      </c>
      <c r="D1019" s="11" t="n">
        <v>0.0109561342592593</v>
      </c>
      <c r="E1019" s="18" t="n">
        <f aca="false">ROUND((D1019-$D$5)*86400,2)</f>
        <v>156.87</v>
      </c>
      <c r="F1019" s="12" t="n">
        <v>2091</v>
      </c>
      <c r="G1019" s="11" t="str">
        <f aca="false">IF(INDEX(選手一覧!$F$7:$F$2738,$F1019)="","",INDEX(選手一覧!$F$7:$F$2738,$F1019))</f>
        <v/>
      </c>
      <c r="H1019" s="12" t="str">
        <f aca="false">IF(INDEX(選手一覧!$G$7:$G$2738,$F1019)="","",INDEX(選手一覧!$G$7:$G$2738,$F1019))</f>
        <v/>
      </c>
      <c r="I1019" s="11" t="str">
        <f aca="false">IF(INDEX(選手一覧!$H$7:$H$2738,$F1019)="","",INDEX(選手一覧!$H$7:$H$2738,$F1019))</f>
        <v/>
      </c>
      <c r="J1019" s="12" t="str">
        <f aca="false">IF(INDEX(選手一覧!$I$7:$I$2738,$F1019)="","",INDEX(選手一覧!$I$7:$I$2738,$F1019))</f>
        <v/>
      </c>
    </row>
    <row r="1020" customFormat="false" ht="15" hidden="false" customHeight="false" outlineLevel="0" collapsed="false">
      <c r="A1020" s="12" t="n">
        <v>1016</v>
      </c>
      <c r="B1020" s="10" t="s">
        <v>2980</v>
      </c>
      <c r="C1020" s="10" t="s">
        <v>1630</v>
      </c>
      <c r="D1020" s="11" t="n">
        <v>0.0109570601851852</v>
      </c>
      <c r="E1020" s="18" t="n">
        <f aca="false">ROUND((D1020-$D$5)*86400,2)</f>
        <v>156.95</v>
      </c>
      <c r="F1020" s="12" t="n">
        <v>2093</v>
      </c>
      <c r="G1020" s="11" t="str">
        <f aca="false">IF(INDEX(選手一覧!$F$7:$F$2738,$F1020)="","",INDEX(選手一覧!$F$7:$F$2738,$F1020))</f>
        <v/>
      </c>
      <c r="H1020" s="12" t="str">
        <f aca="false">IF(INDEX(選手一覧!$G$7:$G$2738,$F1020)="","",INDEX(選手一覧!$G$7:$G$2738,$F1020))</f>
        <v/>
      </c>
      <c r="I1020" s="11" t="str">
        <f aca="false">IF(INDEX(選手一覧!$H$7:$H$2738,$F1020)="","",INDEX(選手一覧!$H$7:$H$2738,$F1020))</f>
        <v/>
      </c>
      <c r="J1020" s="12" t="str">
        <f aca="false">IF(INDEX(選手一覧!$I$7:$I$2738,$F1020)="","",INDEX(選手一覧!$I$7:$I$2738,$F1020))</f>
        <v/>
      </c>
    </row>
    <row r="1021" customFormat="false" ht="15" hidden="false" customHeight="false" outlineLevel="0" collapsed="false">
      <c r="A1021" s="12" t="n">
        <v>1017</v>
      </c>
      <c r="B1021" s="10" t="s">
        <v>1209</v>
      </c>
      <c r="C1021" s="10" t="s">
        <v>1210</v>
      </c>
      <c r="D1021" s="11" t="n">
        <v>0.0109570601851852</v>
      </c>
      <c r="E1021" s="18" t="n">
        <f aca="false">ROUND((D1021-$D$5)*86400,2)</f>
        <v>156.95</v>
      </c>
      <c r="F1021" s="12" t="n">
        <v>820</v>
      </c>
      <c r="G1021" s="11" t="str">
        <f aca="false">IF(INDEX(選手一覧!$F$7:$F$2738,$F1021)="","",INDEX(選手一覧!$F$7:$F$2738,$F1021))</f>
        <v/>
      </c>
      <c r="H1021" s="12" t="str">
        <f aca="false">IF(INDEX(選手一覧!$G$7:$G$2738,$F1021)="","",INDEX(選手一覧!$G$7:$G$2738,$F1021))</f>
        <v/>
      </c>
      <c r="I1021" s="11" t="n">
        <f aca="false">IF(INDEX(選手一覧!$H$7:$H$2738,$F1021)="","",INDEX(選手一覧!$H$7:$H$2738,$F1021))</f>
        <v>0.00281886574074074</v>
      </c>
      <c r="J1021" s="12" t="n">
        <f aca="false">IF(INDEX(選手一覧!$I$7:$I$2738,$F1021)="","",INDEX(選手一覧!$I$7:$I$2738,$F1021))</f>
        <v>358</v>
      </c>
    </row>
    <row r="1022" customFormat="false" ht="15" hidden="false" customHeight="false" outlineLevel="0" collapsed="false">
      <c r="A1022" s="12" t="n">
        <v>1018</v>
      </c>
      <c r="B1022" s="10" t="s">
        <v>2108</v>
      </c>
      <c r="C1022" s="10" t="s">
        <v>917</v>
      </c>
      <c r="D1022" s="11" t="n">
        <v>0.0109578703703704</v>
      </c>
      <c r="E1022" s="18" t="n">
        <f aca="false">ROUND((D1022-$D$5)*86400,2)</f>
        <v>157.02</v>
      </c>
      <c r="F1022" s="12" t="n">
        <v>1457</v>
      </c>
      <c r="G1022" s="11" t="n">
        <f aca="false">IF(INDEX(選手一覧!$F$7:$F$2738,$F1022)="","",INDEX(選手一覧!$F$7:$F$2738,$F1022))</f>
        <v>0.00733819444444444</v>
      </c>
      <c r="H1022" s="12" t="n">
        <f aca="false">IF(INDEX(選手一覧!$G$7:$G$2738,$F1022)="","",INDEX(選手一覧!$G$7:$G$2738,$F1022))</f>
        <v>690</v>
      </c>
      <c r="I1022" s="11" t="str">
        <f aca="false">IF(INDEX(選手一覧!$H$7:$H$2738,$F1022)="","",INDEX(選手一覧!$H$7:$H$2738,$F1022))</f>
        <v/>
      </c>
      <c r="J1022" s="12" t="str">
        <f aca="false">IF(INDEX(選手一覧!$I$7:$I$2738,$F1022)="","",INDEX(選手一覧!$I$7:$I$2738,$F1022))</f>
        <v/>
      </c>
    </row>
    <row r="1023" customFormat="false" ht="15" hidden="false" customHeight="false" outlineLevel="0" collapsed="false">
      <c r="A1023" s="12" t="n">
        <v>1019</v>
      </c>
      <c r="B1023" s="10" t="s">
        <v>2088</v>
      </c>
      <c r="C1023" s="10" t="s">
        <v>494</v>
      </c>
      <c r="D1023" s="11" t="n">
        <v>0.0109579861111111</v>
      </c>
      <c r="E1023" s="18" t="n">
        <f aca="false">ROUND((D1023-$D$5)*86400,2)</f>
        <v>157.03</v>
      </c>
      <c r="F1023" s="12" t="n">
        <v>1443</v>
      </c>
      <c r="G1023" s="11" t="n">
        <f aca="false">IF(INDEX(選手一覧!$F$7:$F$2738,$F1023)="","",INDEX(選手一覧!$F$7:$F$2738,$F1023))</f>
        <v>0.00743009259259259</v>
      </c>
      <c r="H1023" s="12" t="n">
        <f aca="false">IF(INDEX(選手一覧!$G$7:$G$2738,$F1023)="","",INDEX(選手一覧!$G$7:$G$2738,$F1023))</f>
        <v>805</v>
      </c>
      <c r="I1023" s="11" t="n">
        <f aca="false">IF(INDEX(選手一覧!$H$7:$H$2738,$F1023)="","",INDEX(選手一覧!$H$7:$H$2738,$F1023))</f>
        <v>0.0028681712962963</v>
      </c>
      <c r="J1023" s="12" t="n">
        <f aca="false">IF(INDEX(選手一覧!$I$7:$I$2738,$F1023)="","",INDEX(選手一覧!$I$7:$I$2738,$F1023))</f>
        <v>682</v>
      </c>
    </row>
    <row r="1024" customFormat="false" ht="15" hidden="false" customHeight="false" outlineLevel="0" collapsed="false">
      <c r="A1024" s="12" t="n">
        <v>1020</v>
      </c>
      <c r="B1024" s="10" t="s">
        <v>2085</v>
      </c>
      <c r="C1024" s="10" t="s">
        <v>103</v>
      </c>
      <c r="D1024" s="11" t="n">
        <v>0.0109596064814815</v>
      </c>
      <c r="E1024" s="18" t="n">
        <f aca="false">ROUND((D1024-$D$5)*86400,2)</f>
        <v>157.17</v>
      </c>
      <c r="F1024" s="12" t="n">
        <v>1441</v>
      </c>
      <c r="G1024" s="11" t="n">
        <f aca="false">IF(INDEX(選手一覧!$F$7:$F$2738,$F1024)="","",INDEX(選手一覧!$F$7:$F$2738,$F1024))</f>
        <v>0.00732905092592593</v>
      </c>
      <c r="H1024" s="12" t="n">
        <f aca="false">IF(INDEX(選手一覧!$G$7:$G$2738,$F1024)="","",INDEX(選手一覧!$G$7:$G$2738,$F1024))</f>
        <v>681</v>
      </c>
      <c r="I1024" s="11" t="str">
        <f aca="false">IF(INDEX(選手一覧!$H$7:$H$2738,$F1024)="","",INDEX(選手一覧!$H$7:$H$2738,$F1024))</f>
        <v/>
      </c>
      <c r="J1024" s="12" t="str">
        <f aca="false">IF(INDEX(選手一覧!$I$7:$I$2738,$F1024)="","",INDEX(選手一覧!$I$7:$I$2738,$F1024))</f>
        <v/>
      </c>
    </row>
    <row r="1025" customFormat="false" ht="15" hidden="false" customHeight="false" outlineLevel="0" collapsed="false">
      <c r="A1025" s="12" t="n">
        <v>1021</v>
      </c>
      <c r="B1025" s="10" t="s">
        <v>448</v>
      </c>
      <c r="C1025" s="10" t="s">
        <v>449</v>
      </c>
      <c r="D1025" s="11" t="n">
        <v>0.0109608796296296</v>
      </c>
      <c r="E1025" s="18" t="n">
        <f aca="false">ROUND((D1025-$D$5)*86400,2)</f>
        <v>157.28</v>
      </c>
      <c r="F1025" s="12" t="n">
        <v>276</v>
      </c>
      <c r="G1025" s="11" t="n">
        <f aca="false">IF(INDEX(選手一覧!$F$7:$F$2738,$F1025)="","",INDEX(選手一覧!$F$7:$F$2738,$F1025))</f>
        <v>0.00672141203703704</v>
      </c>
      <c r="H1025" s="12" t="n">
        <f aca="false">IF(INDEX(選手一覧!$G$7:$G$2738,$F1025)="","",INDEX(選手一覧!$G$7:$G$2738,$F1025))</f>
        <v>114</v>
      </c>
      <c r="I1025" s="11" t="str">
        <f aca="false">IF(INDEX(選手一覧!$H$7:$H$2738,$F1025)="","",INDEX(選手一覧!$H$7:$H$2738,$F1025))</f>
        <v/>
      </c>
      <c r="J1025" s="12" t="str">
        <f aca="false">IF(INDEX(選手一覧!$I$7:$I$2738,$F1025)="","",INDEX(選手一覧!$I$7:$I$2738,$F1025))</f>
        <v/>
      </c>
    </row>
    <row r="1026" customFormat="false" ht="15" hidden="false" customHeight="false" outlineLevel="0" collapsed="false">
      <c r="A1026" s="12" t="n">
        <v>1022</v>
      </c>
      <c r="B1026" s="10" t="s">
        <v>2254</v>
      </c>
      <c r="C1026" s="10" t="s">
        <v>1413</v>
      </c>
      <c r="D1026" s="11" t="n">
        <v>0.0109625</v>
      </c>
      <c r="E1026" s="18" t="n">
        <f aca="false">ROUND((D1026-$D$5)*86400,2)</f>
        <v>157.42</v>
      </c>
      <c r="F1026" s="12" t="n">
        <v>1559</v>
      </c>
      <c r="G1026" s="11" t="n">
        <f aca="false">IF(INDEX(選手一覧!$F$7:$F$2738,$F1026)="","",INDEX(選手一覧!$F$7:$F$2738,$F1026))</f>
        <v>0.00737592592592593</v>
      </c>
      <c r="H1026" s="12" t="n">
        <f aca="false">IF(INDEX(選手一覧!$G$7:$G$2738,$F1026)="","",INDEX(選手一覧!$G$7:$G$2738,$F1026))</f>
        <v>743</v>
      </c>
      <c r="I1026" s="11" t="str">
        <f aca="false">IF(INDEX(選手一覧!$H$7:$H$2738,$F1026)="","",INDEX(選手一覧!$H$7:$H$2738,$F1026))</f>
        <v/>
      </c>
      <c r="J1026" s="12" t="str">
        <f aca="false">IF(INDEX(選手一覧!$I$7:$I$2738,$F1026)="","",INDEX(選手一覧!$I$7:$I$2738,$F1026))</f>
        <v/>
      </c>
    </row>
    <row r="1027" customFormat="false" ht="15" hidden="false" customHeight="false" outlineLevel="0" collapsed="false">
      <c r="A1027" s="12" t="n">
        <v>1023</v>
      </c>
      <c r="B1027" s="10" t="s">
        <v>2537</v>
      </c>
      <c r="C1027" s="10" t="s">
        <v>2238</v>
      </c>
      <c r="D1027" s="11" t="n">
        <v>0.0109631944444445</v>
      </c>
      <c r="E1027" s="18" t="n">
        <f aca="false">ROUND((D1027-$D$5)*86400,2)</f>
        <v>157.48</v>
      </c>
      <c r="F1027" s="12" t="n">
        <v>1772</v>
      </c>
      <c r="G1027" s="11" t="str">
        <f aca="false">IF(INDEX(選手一覧!$F$7:$F$2738,$F1027)="","",INDEX(選手一覧!$F$7:$F$2738,$F1027))</f>
        <v/>
      </c>
      <c r="H1027" s="12" t="str">
        <f aca="false">IF(INDEX(選手一覧!$G$7:$G$2738,$F1027)="","",INDEX(選手一覧!$G$7:$G$2738,$F1027))</f>
        <v/>
      </c>
      <c r="I1027" s="11" t="n">
        <f aca="false">IF(INDEX(選手一覧!$H$7:$H$2738,$F1027)="","",INDEX(選手一覧!$H$7:$H$2738,$F1027))</f>
        <v>0.00288796296296296</v>
      </c>
      <c r="J1027" s="12" t="n">
        <f aca="false">IF(INDEX(選手一覧!$I$7:$I$2738,$F1027)="","",INDEX(選手一覧!$I$7:$I$2738,$F1027))</f>
        <v>847</v>
      </c>
    </row>
    <row r="1028" customFormat="false" ht="15" hidden="false" customHeight="false" outlineLevel="0" collapsed="false">
      <c r="A1028" s="12" t="n">
        <v>1024</v>
      </c>
      <c r="B1028" s="10" t="s">
        <v>2112</v>
      </c>
      <c r="C1028" s="10" t="s">
        <v>1504</v>
      </c>
      <c r="D1028" s="11" t="n">
        <v>0.0109635416666667</v>
      </c>
      <c r="E1028" s="18" t="n">
        <f aca="false">ROUND((D1028-$D$5)*86400,2)</f>
        <v>157.51</v>
      </c>
      <c r="F1028" s="12" t="n">
        <v>1460</v>
      </c>
      <c r="G1028" s="11" t="n">
        <f aca="false">IF(INDEX(選手一覧!$F$7:$F$2738,$F1028)="","",INDEX(選手一覧!$F$7:$F$2738,$F1028))</f>
        <v>0.00733854166666667</v>
      </c>
      <c r="H1028" s="12" t="n">
        <f aca="false">IF(INDEX(選手一覧!$G$7:$G$2738,$F1028)="","",INDEX(選手一覧!$G$7:$G$2738,$F1028))</f>
        <v>692</v>
      </c>
      <c r="I1028" s="11" t="n">
        <f aca="false">IF(INDEX(選手一覧!$H$7:$H$2738,$F1028)="","",INDEX(選手一覧!$H$7:$H$2738,$F1028))</f>
        <v>0.00294328703703704</v>
      </c>
      <c r="J1028" s="12" t="n">
        <f aca="false">IF(INDEX(選手一覧!$I$7:$I$2738,$F1028)="","",INDEX(選手一覧!$I$7:$I$2738,$F1028))</f>
        <v>1213</v>
      </c>
    </row>
    <row r="1029" customFormat="false" ht="15" hidden="false" customHeight="false" outlineLevel="0" collapsed="false">
      <c r="A1029" s="12" t="n">
        <v>1025</v>
      </c>
      <c r="B1029" s="10" t="s">
        <v>3007</v>
      </c>
      <c r="C1029" s="10" t="s">
        <v>3008</v>
      </c>
      <c r="D1029" s="11" t="n">
        <v>0.0109638888888889</v>
      </c>
      <c r="E1029" s="18" t="n">
        <f aca="false">ROUND((D1029-$D$5)*86400,2)</f>
        <v>157.54</v>
      </c>
      <c r="F1029" s="12" t="n">
        <v>2109</v>
      </c>
      <c r="G1029" s="11" t="str">
        <f aca="false">IF(INDEX(選手一覧!$F$7:$F$2738,$F1029)="","",INDEX(選手一覧!$F$7:$F$2738,$F1029))</f>
        <v/>
      </c>
      <c r="H1029" s="12" t="str">
        <f aca="false">IF(INDEX(選手一覧!$G$7:$G$2738,$F1029)="","",INDEX(選手一覧!$G$7:$G$2738,$F1029))</f>
        <v/>
      </c>
      <c r="I1029" s="11" t="str">
        <f aca="false">IF(INDEX(選手一覧!$H$7:$H$2738,$F1029)="","",INDEX(選手一覧!$H$7:$H$2738,$F1029))</f>
        <v/>
      </c>
      <c r="J1029" s="12" t="str">
        <f aca="false">IF(INDEX(選手一覧!$I$7:$I$2738,$F1029)="","",INDEX(選手一覧!$I$7:$I$2738,$F1029))</f>
        <v/>
      </c>
    </row>
    <row r="1030" customFormat="false" ht="15" hidden="false" customHeight="false" outlineLevel="0" collapsed="false">
      <c r="A1030" s="12" t="n">
        <v>1026</v>
      </c>
      <c r="B1030" s="10" t="s">
        <v>3011</v>
      </c>
      <c r="C1030" s="10" t="s">
        <v>425</v>
      </c>
      <c r="D1030" s="11" t="n">
        <v>0.0109643518518519</v>
      </c>
      <c r="E1030" s="18" t="n">
        <f aca="false">ROUND((D1030-$D$5)*86400,2)</f>
        <v>157.58</v>
      </c>
      <c r="F1030" s="12" t="n">
        <v>2112</v>
      </c>
      <c r="G1030" s="11" t="str">
        <f aca="false">IF(INDEX(選手一覧!$F$7:$F$2738,$F1030)="","",INDEX(選手一覧!$F$7:$F$2738,$F1030))</f>
        <v/>
      </c>
      <c r="H1030" s="12" t="str">
        <f aca="false">IF(INDEX(選手一覧!$G$7:$G$2738,$F1030)="","",INDEX(選手一覧!$G$7:$G$2738,$F1030))</f>
        <v/>
      </c>
      <c r="I1030" s="11" t="str">
        <f aca="false">IF(INDEX(選手一覧!$H$7:$H$2738,$F1030)="","",INDEX(選手一覧!$H$7:$H$2738,$F1030))</f>
        <v/>
      </c>
      <c r="J1030" s="12" t="str">
        <f aca="false">IF(INDEX(選手一覧!$I$7:$I$2738,$F1030)="","",INDEX(選手一覧!$I$7:$I$2738,$F1030))</f>
        <v/>
      </c>
    </row>
    <row r="1031" customFormat="false" ht="15" hidden="false" customHeight="false" outlineLevel="0" collapsed="false">
      <c r="A1031" s="12" t="n">
        <v>1027</v>
      </c>
      <c r="B1031" s="10" t="s">
        <v>3014</v>
      </c>
      <c r="C1031" s="10" t="s">
        <v>3015</v>
      </c>
      <c r="D1031" s="11" t="n">
        <v>0.0109652777777778</v>
      </c>
      <c r="E1031" s="18" t="n">
        <f aca="false">ROUND((D1031-$D$5)*86400,2)</f>
        <v>157.66</v>
      </c>
      <c r="F1031" s="12" t="n">
        <v>2114</v>
      </c>
      <c r="G1031" s="11" t="str">
        <f aca="false">IF(INDEX(選手一覧!$F$7:$F$2738,$F1031)="","",INDEX(選手一覧!$F$7:$F$2738,$F1031))</f>
        <v/>
      </c>
      <c r="H1031" s="12" t="str">
        <f aca="false">IF(INDEX(選手一覧!$G$7:$G$2738,$F1031)="","",INDEX(選手一覧!$G$7:$G$2738,$F1031))</f>
        <v/>
      </c>
      <c r="I1031" s="11" t="str">
        <f aca="false">IF(INDEX(選手一覧!$H$7:$H$2738,$F1031)="","",INDEX(選手一覧!$H$7:$H$2738,$F1031))</f>
        <v/>
      </c>
      <c r="J1031" s="12" t="str">
        <f aca="false">IF(INDEX(選手一覧!$I$7:$I$2738,$F1031)="","",INDEX(選手一覧!$I$7:$I$2738,$F1031))</f>
        <v/>
      </c>
    </row>
    <row r="1032" customFormat="false" ht="15" hidden="false" customHeight="false" outlineLevel="0" collapsed="false">
      <c r="A1032" s="12" t="n">
        <v>1028</v>
      </c>
      <c r="B1032" s="10" t="s">
        <v>639</v>
      </c>
      <c r="C1032" s="10" t="s">
        <v>226</v>
      </c>
      <c r="D1032" s="11" t="n">
        <v>0.0109670138888889</v>
      </c>
      <c r="E1032" s="18" t="n">
        <f aca="false">ROUND((D1032-$D$5)*86400,2)</f>
        <v>157.81</v>
      </c>
      <c r="F1032" s="12" t="n">
        <v>406</v>
      </c>
      <c r="G1032" s="11" t="n">
        <f aca="false">IF(INDEX(選手一覧!$F$7:$F$2738,$F1032)="","",INDEX(選手一覧!$F$7:$F$2738,$F1032))</f>
        <v>0.00680034722222222</v>
      </c>
      <c r="H1032" s="12" t="n">
        <f aca="false">IF(INDEX(選手一覧!$G$7:$G$2738,$F1032)="","",INDEX(選手一覧!$G$7:$G$2738,$F1032))</f>
        <v>172</v>
      </c>
      <c r="I1032" s="11" t="str">
        <f aca="false">IF(INDEX(選手一覧!$H$7:$H$2738,$F1032)="","",INDEX(選手一覧!$H$7:$H$2738,$F1032))</f>
        <v/>
      </c>
      <c r="J1032" s="12" t="str">
        <f aca="false">IF(INDEX(選手一覧!$I$7:$I$2738,$F1032)="","",INDEX(選手一覧!$I$7:$I$2738,$F1032))</f>
        <v/>
      </c>
    </row>
    <row r="1033" customFormat="false" ht="15" hidden="false" customHeight="false" outlineLevel="0" collapsed="false">
      <c r="A1033" s="12" t="n">
        <v>1029</v>
      </c>
      <c r="B1033" s="10" t="s">
        <v>4011</v>
      </c>
      <c r="C1033" s="10" t="s">
        <v>505</v>
      </c>
      <c r="D1033" s="11" t="n">
        <v>0.0109672453703704</v>
      </c>
      <c r="E1033" s="18" t="n">
        <f aca="false">ROUND((D1033-$D$5)*86400,2)</f>
        <v>157.83</v>
      </c>
      <c r="F1033" s="12" t="n">
        <v>314</v>
      </c>
      <c r="G1033" s="11" t="n">
        <f aca="false">IF(INDEX(選手一覧!$F$7:$F$2738,$F1033)="","",INDEX(選手一覧!$F$7:$F$2738,$F1033))</f>
        <v>0.00675219907407407</v>
      </c>
      <c r="H1033" s="12" t="n">
        <f aca="false">IF(INDEX(選手一覧!$G$7:$G$2738,$F1033)="","",INDEX(選手一覧!$G$7:$G$2738,$F1033))</f>
        <v>130</v>
      </c>
      <c r="I1033" s="11" t="n">
        <f aca="false">IF(INDEX(選手一覧!$H$7:$H$2738,$F1033)="","",INDEX(選手一覧!$H$7:$H$2738,$F1033))</f>
        <v>0.0029099537037037</v>
      </c>
      <c r="J1033" s="12" t="n">
        <f aca="false">IF(INDEX(選手一覧!$I$7:$I$2738,$F1033)="","",INDEX(選手一覧!$I$7:$I$2738,$F1033))</f>
        <v>1019</v>
      </c>
    </row>
    <row r="1034" customFormat="false" ht="15" hidden="false" customHeight="false" outlineLevel="0" collapsed="false">
      <c r="A1034" s="12" t="n">
        <v>1030</v>
      </c>
      <c r="B1034" s="10" t="s">
        <v>722</v>
      </c>
      <c r="C1034" s="10" t="s">
        <v>425</v>
      </c>
      <c r="D1034" s="11" t="n">
        <v>0.0109677083333333</v>
      </c>
      <c r="E1034" s="18" t="n">
        <f aca="false">ROUND((D1034-$D$5)*86400,2)</f>
        <v>157.87</v>
      </c>
      <c r="F1034" s="12" t="n">
        <v>464</v>
      </c>
      <c r="G1034" s="11" t="n">
        <f aca="false">IF(INDEX(選手一覧!$F$7:$F$2738,$F1034)="","",INDEX(選手一覧!$F$7:$F$2738,$F1034))</f>
        <v>0.0068337962962963</v>
      </c>
      <c r="H1034" s="12" t="n">
        <f aca="false">IF(INDEX(選手一覧!$G$7:$G$2738,$F1034)="","",INDEX(選手一覧!$G$7:$G$2738,$F1034))</f>
        <v>195</v>
      </c>
      <c r="I1034" s="11" t="str">
        <f aca="false">IF(INDEX(選手一覧!$H$7:$H$2738,$F1034)="","",INDEX(選手一覧!$H$7:$H$2738,$F1034))</f>
        <v/>
      </c>
      <c r="J1034" s="12" t="str">
        <f aca="false">IF(INDEX(選手一覧!$I$7:$I$2738,$F1034)="","",INDEX(選手一覧!$I$7:$I$2738,$F1034))</f>
        <v/>
      </c>
    </row>
    <row r="1035" customFormat="false" ht="15" hidden="false" customHeight="false" outlineLevel="0" collapsed="false">
      <c r="A1035" s="12" t="n">
        <v>1031</v>
      </c>
      <c r="B1035" s="10" t="s">
        <v>3023</v>
      </c>
      <c r="C1035" s="10" t="s">
        <v>1504</v>
      </c>
      <c r="D1035" s="11" t="n">
        <v>0.0109677083333333</v>
      </c>
      <c r="E1035" s="18" t="n">
        <f aca="false">ROUND((D1035-$D$5)*86400,2)</f>
        <v>157.87</v>
      </c>
      <c r="F1035" s="12" t="n">
        <v>2119</v>
      </c>
      <c r="G1035" s="11" t="n">
        <f aca="false">IF(INDEX(選手一覧!$F$7:$F$2738,$F1035)="","",INDEX(選手一覧!$F$7:$F$2738,$F1035))</f>
        <v>0.00840659722222222</v>
      </c>
      <c r="H1035" s="12" t="n">
        <f aca="false">IF(INDEX(選手一覧!$G$7:$G$2738,$F1035)="","",INDEX(選手一覧!$G$7:$G$2738,$F1035))</f>
        <v>1282</v>
      </c>
      <c r="I1035" s="11" t="str">
        <f aca="false">IF(INDEX(選手一覧!$H$7:$H$2738,$F1035)="","",INDEX(選手一覧!$H$7:$H$2738,$F1035))</f>
        <v/>
      </c>
      <c r="J1035" s="12" t="str">
        <f aca="false">IF(INDEX(選手一覧!$I$7:$I$2738,$F1035)="","",INDEX(選手一覧!$I$7:$I$2738,$F1035))</f>
        <v/>
      </c>
    </row>
    <row r="1036" customFormat="false" ht="15" hidden="false" customHeight="false" outlineLevel="0" collapsed="false">
      <c r="A1036" s="12" t="n">
        <v>1032</v>
      </c>
      <c r="B1036" s="10" t="s">
        <v>1273</v>
      </c>
      <c r="C1036" s="10" t="s">
        <v>181</v>
      </c>
      <c r="D1036" s="11" t="n">
        <v>0.0109680555555556</v>
      </c>
      <c r="E1036" s="18" t="n">
        <f aca="false">ROUND((D1036-$D$5)*86400,2)</f>
        <v>157.9</v>
      </c>
      <c r="F1036" s="12" t="n">
        <v>866</v>
      </c>
      <c r="G1036" s="11" t="str">
        <f aca="false">IF(INDEX(選手一覧!$F$7:$F$2738,$F1036)="","",INDEX(選手一覧!$F$7:$F$2738,$F1036))</f>
        <v/>
      </c>
      <c r="H1036" s="12" t="str">
        <f aca="false">IF(INDEX(選手一覧!$G$7:$G$2738,$F1036)="","",INDEX(選手一覧!$G$7:$G$2738,$F1036))</f>
        <v/>
      </c>
      <c r="I1036" s="11" t="n">
        <f aca="false">IF(INDEX(選手一覧!$H$7:$H$2738,$F1036)="","",INDEX(選手一覧!$H$7:$H$2738,$F1036))</f>
        <v>0.00282372685185185</v>
      </c>
      <c r="J1036" s="12" t="n">
        <f aca="false">IF(INDEX(選手一覧!$I$7:$I$2738,$F1036)="","",INDEX(選手一覧!$I$7:$I$2738,$F1036))</f>
        <v>385</v>
      </c>
    </row>
    <row r="1037" customFormat="false" ht="15" hidden="false" customHeight="false" outlineLevel="0" collapsed="false">
      <c r="A1037" s="12" t="n">
        <v>1033</v>
      </c>
      <c r="B1037" s="10" t="s">
        <v>1827</v>
      </c>
      <c r="C1037" s="10" t="s">
        <v>1828</v>
      </c>
      <c r="D1037" s="11" t="n">
        <v>0.0109680555555556</v>
      </c>
      <c r="E1037" s="18" t="n">
        <f aca="false">ROUND((D1037-$D$5)*86400,2)</f>
        <v>157.9</v>
      </c>
      <c r="F1037" s="12" t="n">
        <v>1259</v>
      </c>
      <c r="G1037" s="11" t="n">
        <f aca="false">IF(INDEX(選手一覧!$F$7:$F$2738,$F1037)="","",INDEX(選手一覧!$F$7:$F$2738,$F1037))</f>
        <v>0.00723611111111111</v>
      </c>
      <c r="H1037" s="12" t="n">
        <f aca="false">IF(INDEX(選手一覧!$G$7:$G$2738,$F1037)="","",INDEX(選手一覧!$G$7:$G$2738,$F1037))</f>
        <v>581</v>
      </c>
      <c r="I1037" s="11" t="n">
        <f aca="false">IF(INDEX(選手一覧!$H$7:$H$2738,$F1037)="","",INDEX(選手一覧!$H$7:$H$2738,$F1037))</f>
        <v>0.00288900462962963</v>
      </c>
      <c r="J1037" s="12" t="n">
        <f aca="false">IF(INDEX(選手一覧!$I$7:$I$2738,$F1037)="","",INDEX(選手一覧!$I$7:$I$2738,$F1037))</f>
        <v>855</v>
      </c>
    </row>
    <row r="1038" customFormat="false" ht="15" hidden="false" customHeight="false" outlineLevel="0" collapsed="false">
      <c r="A1038" s="12" t="n">
        <v>1034</v>
      </c>
      <c r="B1038" s="10" t="s">
        <v>3033</v>
      </c>
      <c r="C1038" s="10" t="s">
        <v>2398</v>
      </c>
      <c r="D1038" s="11" t="n">
        <v>0.0109681712962963</v>
      </c>
      <c r="E1038" s="18" t="n">
        <f aca="false">ROUND((D1038-$D$5)*86400,2)</f>
        <v>157.91</v>
      </c>
      <c r="F1038" s="12" t="n">
        <v>2125</v>
      </c>
      <c r="G1038" s="11" t="str">
        <f aca="false">IF(INDEX(選手一覧!$F$7:$F$2738,$F1038)="","",INDEX(選手一覧!$F$7:$F$2738,$F1038))</f>
        <v/>
      </c>
      <c r="H1038" s="12" t="str">
        <f aca="false">IF(INDEX(選手一覧!$G$7:$G$2738,$F1038)="","",INDEX(選手一覧!$G$7:$G$2738,$F1038))</f>
        <v/>
      </c>
      <c r="I1038" s="11" t="str">
        <f aca="false">IF(INDEX(選手一覧!$H$7:$H$2738,$F1038)="","",INDEX(選手一覧!$H$7:$H$2738,$F1038))</f>
        <v/>
      </c>
      <c r="J1038" s="12" t="str">
        <f aca="false">IF(INDEX(選手一覧!$I$7:$I$2738,$F1038)="","",INDEX(選手一覧!$I$7:$I$2738,$F1038))</f>
        <v/>
      </c>
    </row>
    <row r="1039" customFormat="false" ht="15" hidden="false" customHeight="false" outlineLevel="0" collapsed="false">
      <c r="A1039" s="12" t="n">
        <v>1035</v>
      </c>
      <c r="B1039" s="10" t="s">
        <v>3038</v>
      </c>
      <c r="C1039" s="10" t="s">
        <v>242</v>
      </c>
      <c r="D1039" s="11" t="n">
        <v>0.010968287037037</v>
      </c>
      <c r="E1039" s="18" t="n">
        <f aca="false">ROUND((D1039-$D$5)*86400,2)</f>
        <v>157.92</v>
      </c>
      <c r="F1039" s="12" t="n">
        <v>2128</v>
      </c>
      <c r="G1039" s="11" t="str">
        <f aca="false">IF(INDEX(選手一覧!$F$7:$F$2738,$F1039)="","",INDEX(選手一覧!$F$7:$F$2738,$F1039))</f>
        <v/>
      </c>
      <c r="H1039" s="12" t="str">
        <f aca="false">IF(INDEX(選手一覧!$G$7:$G$2738,$F1039)="","",INDEX(選手一覧!$G$7:$G$2738,$F1039))</f>
        <v/>
      </c>
      <c r="I1039" s="11" t="str">
        <f aca="false">IF(INDEX(選手一覧!$H$7:$H$2738,$F1039)="","",INDEX(選手一覧!$H$7:$H$2738,$F1039))</f>
        <v/>
      </c>
      <c r="J1039" s="12" t="str">
        <f aca="false">IF(INDEX(選手一覧!$I$7:$I$2738,$F1039)="","",INDEX(選手一覧!$I$7:$I$2738,$F1039))</f>
        <v/>
      </c>
    </row>
    <row r="1040" customFormat="false" ht="15" hidden="false" customHeight="false" outlineLevel="0" collapsed="false">
      <c r="A1040" s="12" t="n">
        <v>1036</v>
      </c>
      <c r="B1040" s="10" t="s">
        <v>3041</v>
      </c>
      <c r="C1040" s="10" t="s">
        <v>482</v>
      </c>
      <c r="D1040" s="11" t="n">
        <v>0.0109695601851852</v>
      </c>
      <c r="E1040" s="18" t="n">
        <f aca="false">ROUND((D1040-$D$5)*86400,2)</f>
        <v>158.03</v>
      </c>
      <c r="F1040" s="12" t="n">
        <v>2131</v>
      </c>
      <c r="G1040" s="11" t="str">
        <f aca="false">IF(INDEX(選手一覧!$F$7:$F$2738,$F1040)="","",INDEX(選手一覧!$F$7:$F$2738,$F1040))</f>
        <v/>
      </c>
      <c r="H1040" s="12" t="str">
        <f aca="false">IF(INDEX(選手一覧!$G$7:$G$2738,$F1040)="","",INDEX(選手一覧!$G$7:$G$2738,$F1040))</f>
        <v/>
      </c>
      <c r="I1040" s="11" t="str">
        <f aca="false">IF(INDEX(選手一覧!$H$7:$H$2738,$F1040)="","",INDEX(選手一覧!$H$7:$H$2738,$F1040))</f>
        <v/>
      </c>
      <c r="J1040" s="12" t="str">
        <f aca="false">IF(INDEX(選手一覧!$I$7:$I$2738,$F1040)="","",INDEX(選手一覧!$I$7:$I$2738,$F1040))</f>
        <v/>
      </c>
    </row>
    <row r="1041" customFormat="false" ht="15" hidden="false" customHeight="false" outlineLevel="0" collapsed="false">
      <c r="A1041" s="12" t="n">
        <v>1037</v>
      </c>
      <c r="B1041" s="10" t="s">
        <v>2003</v>
      </c>
      <c r="C1041" s="10" t="s">
        <v>688</v>
      </c>
      <c r="D1041" s="11" t="n">
        <v>0.0109695601851852</v>
      </c>
      <c r="E1041" s="18" t="n">
        <f aca="false">ROUND((D1041-$D$5)*86400,2)</f>
        <v>158.03</v>
      </c>
      <c r="F1041" s="12" t="n">
        <v>1381</v>
      </c>
      <c r="G1041" s="11" t="str">
        <f aca="false">IF(INDEX(選手一覧!$F$7:$F$2738,$F1041)="","",INDEX(選手一覧!$F$7:$F$2738,$F1041))</f>
        <v/>
      </c>
      <c r="H1041" s="12" t="str">
        <f aca="false">IF(INDEX(選手一覧!$G$7:$G$2738,$F1041)="","",INDEX(選手一覧!$G$7:$G$2738,$F1041))</f>
        <v/>
      </c>
      <c r="I1041" s="11" t="n">
        <f aca="false">IF(INDEX(選手一覧!$H$7:$H$2738,$F1041)="","",INDEX(選手一覧!$H$7:$H$2738,$F1041))</f>
        <v>0.00286226851851852</v>
      </c>
      <c r="J1041" s="12" t="n">
        <f aca="false">IF(INDEX(選手一覧!$I$7:$I$2738,$F1041)="","",INDEX(選手一覧!$I$7:$I$2738,$F1041))</f>
        <v>649</v>
      </c>
    </row>
    <row r="1042" customFormat="false" ht="15" hidden="false" customHeight="false" outlineLevel="0" collapsed="false">
      <c r="A1042" s="12" t="n">
        <v>1038</v>
      </c>
      <c r="B1042" s="10" t="s">
        <v>1899</v>
      </c>
      <c r="C1042" s="10" t="s">
        <v>1900</v>
      </c>
      <c r="D1042" s="11" t="n">
        <v>0.0109695601851852</v>
      </c>
      <c r="E1042" s="18" t="n">
        <f aca="false">ROUND((D1042-$D$5)*86400,2)</f>
        <v>158.03</v>
      </c>
      <c r="F1042" s="12" t="n">
        <v>1307</v>
      </c>
      <c r="G1042" s="11" t="str">
        <f aca="false">IF(INDEX(選手一覧!$F$7:$F$2738,$F1042)="","",INDEX(選手一覧!$F$7:$F$2738,$F1042))</f>
        <v/>
      </c>
      <c r="H1042" s="12" t="str">
        <f aca="false">IF(INDEX(選手一覧!$G$7:$G$2738,$F1042)="","",INDEX(選手一覧!$G$7:$G$2738,$F1042))</f>
        <v/>
      </c>
      <c r="I1042" s="11" t="n">
        <f aca="false">IF(INDEX(選手一覧!$H$7:$H$2738,$F1042)="","",INDEX(選手一覧!$H$7:$H$2738,$F1042))</f>
        <v>0.00285625</v>
      </c>
      <c r="J1042" s="12" t="n">
        <f aca="false">IF(INDEX(選手一覧!$I$7:$I$2738,$F1042)="","",INDEX(選手一覧!$I$7:$I$2738,$F1042))</f>
        <v>609</v>
      </c>
    </row>
    <row r="1043" customFormat="false" ht="15" hidden="false" customHeight="false" outlineLevel="0" collapsed="false">
      <c r="A1043" s="12" t="n">
        <v>1039</v>
      </c>
      <c r="B1043" s="10" t="s">
        <v>3048</v>
      </c>
      <c r="C1043" s="10" t="s">
        <v>2393</v>
      </c>
      <c r="D1043" s="11" t="n">
        <v>0.0109696759259259</v>
      </c>
      <c r="E1043" s="18" t="n">
        <f aca="false">ROUND((D1043-$D$5)*86400,2)</f>
        <v>158.04</v>
      </c>
      <c r="F1043" s="12" t="n">
        <v>2137</v>
      </c>
      <c r="G1043" s="11" t="str">
        <f aca="false">IF(INDEX(選手一覧!$F$7:$F$2738,$F1043)="","",INDEX(選手一覧!$F$7:$F$2738,$F1043))</f>
        <v/>
      </c>
      <c r="H1043" s="12" t="str">
        <f aca="false">IF(INDEX(選手一覧!$G$7:$G$2738,$F1043)="","",INDEX(選手一覧!$G$7:$G$2738,$F1043))</f>
        <v/>
      </c>
      <c r="I1043" s="11" t="n">
        <f aca="false">IF(INDEX(選手一覧!$H$7:$H$2738,$F1043)="","",INDEX(選手一覧!$H$7:$H$2738,$F1043))</f>
        <v>0.00291712962962963</v>
      </c>
      <c r="J1043" s="12" t="n">
        <f aca="false">IF(INDEX(選手一覧!$I$7:$I$2738,$F1043)="","",INDEX(選手一覧!$I$7:$I$2738,$F1043))</f>
        <v>1067</v>
      </c>
    </row>
    <row r="1044" customFormat="false" ht="15" hidden="false" customHeight="false" outlineLevel="0" collapsed="false">
      <c r="A1044" s="12" t="n">
        <v>1040</v>
      </c>
      <c r="B1044" s="10" t="s">
        <v>337</v>
      </c>
      <c r="C1044" s="10" t="s">
        <v>338</v>
      </c>
      <c r="D1044" s="11" t="n">
        <v>0.0109703703703704</v>
      </c>
      <c r="E1044" s="18" t="n">
        <f aca="false">ROUND((D1044-$D$5)*86400,2)</f>
        <v>158.1</v>
      </c>
      <c r="F1044" s="12" t="n">
        <v>197</v>
      </c>
      <c r="G1044" s="11" t="n">
        <f aca="false">IF(INDEX(選手一覧!$F$7:$F$2738,$F1044)="","",INDEX(選手一覧!$F$7:$F$2738,$F1044))</f>
        <v>0.00664293981481482</v>
      </c>
      <c r="H1044" s="12" t="n">
        <f aca="false">IF(INDEX(選手一覧!$G$7:$G$2738,$F1044)="","",INDEX(選手一覧!$G$7:$G$2738,$F1044))</f>
        <v>80</v>
      </c>
      <c r="I1044" s="11" t="n">
        <f aca="false">IF(INDEX(選手一覧!$H$7:$H$2738,$F1044)="","",INDEX(選手一覧!$H$7:$H$2738,$F1044))</f>
        <v>0.00283680555555556</v>
      </c>
      <c r="J1044" s="12" t="n">
        <f aca="false">IF(INDEX(選手一覧!$I$7:$I$2738,$F1044)="","",INDEX(選手一覧!$I$7:$I$2738,$F1044))</f>
        <v>476</v>
      </c>
    </row>
    <row r="1045" customFormat="false" ht="15" hidden="false" customHeight="false" outlineLevel="0" collapsed="false">
      <c r="A1045" s="12" t="n">
        <v>1041</v>
      </c>
      <c r="B1045" s="10" t="s">
        <v>274</v>
      </c>
      <c r="C1045" s="10" t="s">
        <v>171</v>
      </c>
      <c r="D1045" s="11" t="n">
        <v>0.0109706018518519</v>
      </c>
      <c r="E1045" s="18" t="n">
        <f aca="false">ROUND((D1045-$D$5)*86400,2)</f>
        <v>158.12</v>
      </c>
      <c r="F1045" s="12" t="n">
        <v>152</v>
      </c>
      <c r="G1045" s="11" t="str">
        <f aca="false">IF(INDEX(選手一覧!$F$7:$F$2738,$F1045)="","",INDEX(選手一覧!$F$7:$F$2738,$F1045))</f>
        <v/>
      </c>
      <c r="H1045" s="12" t="str">
        <f aca="false">IF(INDEX(選手一覧!$G$7:$G$2738,$F1045)="","",INDEX(選手一覧!$G$7:$G$2738,$F1045))</f>
        <v/>
      </c>
      <c r="I1045" s="11" t="n">
        <f aca="false">IF(INDEX(選手一覧!$H$7:$H$2738,$F1045)="","",INDEX(選手一覧!$H$7:$H$2738,$F1045))</f>
        <v>0.00272881944444445</v>
      </c>
      <c r="J1045" s="12" t="n">
        <f aca="false">IF(INDEX(選手一覧!$I$7:$I$2738,$F1045)="","",INDEX(選手一覧!$I$7:$I$2738,$F1045))</f>
        <v>61</v>
      </c>
    </row>
    <row r="1046" customFormat="false" ht="15" hidden="false" customHeight="false" outlineLevel="0" collapsed="false">
      <c r="A1046" s="12" t="n">
        <v>1042</v>
      </c>
      <c r="B1046" s="10" t="s">
        <v>3056</v>
      </c>
      <c r="C1046" s="10" t="s">
        <v>1993</v>
      </c>
      <c r="D1046" s="11" t="n">
        <v>0.0109711805555556</v>
      </c>
      <c r="E1046" s="18" t="n">
        <f aca="false">ROUND((D1046-$D$5)*86400,2)</f>
        <v>158.17</v>
      </c>
      <c r="F1046" s="12" t="n">
        <v>2143</v>
      </c>
      <c r="G1046" s="11" t="str">
        <f aca="false">IF(INDEX(選手一覧!$F$7:$F$2738,$F1046)="","",INDEX(選手一覧!$F$7:$F$2738,$F1046))</f>
        <v/>
      </c>
      <c r="H1046" s="12" t="str">
        <f aca="false">IF(INDEX(選手一覧!$G$7:$G$2738,$F1046)="","",INDEX(選手一覧!$G$7:$G$2738,$F1046))</f>
        <v/>
      </c>
      <c r="I1046" s="11" t="str">
        <f aca="false">IF(INDEX(選手一覧!$H$7:$H$2738,$F1046)="","",INDEX(選手一覧!$H$7:$H$2738,$F1046))</f>
        <v/>
      </c>
      <c r="J1046" s="12" t="str">
        <f aca="false">IF(INDEX(選手一覧!$I$7:$I$2738,$F1046)="","",INDEX(選手一覧!$I$7:$I$2738,$F1046))</f>
        <v/>
      </c>
    </row>
    <row r="1047" customFormat="false" ht="15" hidden="false" customHeight="false" outlineLevel="0" collapsed="false">
      <c r="A1047" s="12" t="n">
        <v>1043</v>
      </c>
      <c r="B1047" s="10" t="s">
        <v>3059</v>
      </c>
      <c r="C1047" s="10" t="s">
        <v>49</v>
      </c>
      <c r="D1047" s="11" t="n">
        <v>0.0109712962962963</v>
      </c>
      <c r="E1047" s="18" t="n">
        <f aca="false">ROUND((D1047-$D$5)*86400,2)</f>
        <v>158.18</v>
      </c>
      <c r="F1047" s="12" t="n">
        <v>2145</v>
      </c>
      <c r="G1047" s="11" t="str">
        <f aca="false">IF(INDEX(選手一覧!$F$7:$F$2738,$F1047)="","",INDEX(選手一覧!$F$7:$F$2738,$F1047))</f>
        <v/>
      </c>
      <c r="H1047" s="12" t="str">
        <f aca="false">IF(INDEX(選手一覧!$G$7:$G$2738,$F1047)="","",INDEX(選手一覧!$G$7:$G$2738,$F1047))</f>
        <v/>
      </c>
      <c r="I1047" s="11" t="str">
        <f aca="false">IF(INDEX(選手一覧!$H$7:$H$2738,$F1047)="","",INDEX(選手一覧!$H$7:$H$2738,$F1047))</f>
        <v/>
      </c>
      <c r="J1047" s="12" t="str">
        <f aca="false">IF(INDEX(選手一覧!$I$7:$I$2738,$F1047)="","",INDEX(選手一覧!$I$7:$I$2738,$F1047))</f>
        <v/>
      </c>
    </row>
    <row r="1048" customFormat="false" ht="15" hidden="false" customHeight="false" outlineLevel="0" collapsed="false">
      <c r="A1048" s="12" t="n">
        <v>1044</v>
      </c>
      <c r="B1048" s="10" t="s">
        <v>2026</v>
      </c>
      <c r="C1048" s="10" t="s">
        <v>945</v>
      </c>
      <c r="D1048" s="11" t="n">
        <v>0.0109716435185185</v>
      </c>
      <c r="E1048" s="18" t="n">
        <f aca="false">ROUND((D1048-$D$5)*86400,2)</f>
        <v>158.21</v>
      </c>
      <c r="F1048" s="12" t="n">
        <v>1399</v>
      </c>
      <c r="G1048" s="11" t="str">
        <f aca="false">IF(INDEX(選手一覧!$F$7:$F$2738,$F1048)="","",INDEX(選手一覧!$F$7:$F$2738,$F1048))</f>
        <v/>
      </c>
      <c r="H1048" s="12" t="str">
        <f aca="false">IF(INDEX(選手一覧!$G$7:$G$2738,$F1048)="","",INDEX(選手一覧!$G$7:$G$2738,$F1048))</f>
        <v/>
      </c>
      <c r="I1048" s="11" t="n">
        <f aca="false">IF(INDEX(選手一覧!$H$7:$H$2738,$F1048)="","",INDEX(選手一覧!$H$7:$H$2738,$F1048))</f>
        <v>0.00286377314814815</v>
      </c>
      <c r="J1048" s="12" t="n">
        <f aca="false">IF(INDEX(選手一覧!$I$7:$I$2738,$F1048)="","",INDEX(選手一覧!$I$7:$I$2738,$F1048))</f>
        <v>659</v>
      </c>
    </row>
    <row r="1049" customFormat="false" ht="15" hidden="false" customHeight="false" outlineLevel="0" collapsed="false">
      <c r="A1049" s="12" t="n">
        <v>1045</v>
      </c>
      <c r="B1049" s="10" t="s">
        <v>3063</v>
      </c>
      <c r="C1049" s="10" t="s">
        <v>3064</v>
      </c>
      <c r="D1049" s="11" t="n">
        <v>0.0109722222222222</v>
      </c>
      <c r="E1049" s="18" t="n">
        <f aca="false">ROUND((D1049-$D$5)*86400,2)</f>
        <v>158.26</v>
      </c>
      <c r="F1049" s="12" t="n">
        <v>2149</v>
      </c>
      <c r="G1049" s="11" t="str">
        <f aca="false">IF(INDEX(選手一覧!$F$7:$F$2738,$F1049)="","",INDEX(選手一覧!$F$7:$F$2738,$F1049))</f>
        <v/>
      </c>
      <c r="H1049" s="12" t="str">
        <f aca="false">IF(INDEX(選手一覧!$G$7:$G$2738,$F1049)="","",INDEX(選手一覧!$G$7:$G$2738,$F1049))</f>
        <v/>
      </c>
      <c r="I1049" s="11" t="str">
        <f aca="false">IF(INDEX(選手一覧!$H$7:$H$2738,$F1049)="","",INDEX(選手一覧!$H$7:$H$2738,$F1049))</f>
        <v/>
      </c>
      <c r="J1049" s="12" t="str">
        <f aca="false">IF(INDEX(選手一覧!$I$7:$I$2738,$F1049)="","",INDEX(選手一覧!$I$7:$I$2738,$F1049))</f>
        <v/>
      </c>
    </row>
    <row r="1050" customFormat="false" ht="15" hidden="false" customHeight="false" outlineLevel="0" collapsed="false">
      <c r="A1050" s="12" t="n">
        <v>1046</v>
      </c>
      <c r="B1050" s="10" t="s">
        <v>3067</v>
      </c>
      <c r="C1050" s="10" t="s">
        <v>118</v>
      </c>
      <c r="D1050" s="11" t="n">
        <v>0.0109732638888889</v>
      </c>
      <c r="E1050" s="18" t="n">
        <f aca="false">ROUND((D1050-$D$5)*86400,2)</f>
        <v>158.35</v>
      </c>
      <c r="F1050" s="12" t="n">
        <v>2152</v>
      </c>
      <c r="G1050" s="11" t="n">
        <f aca="false">IF(INDEX(選手一覧!$F$7:$F$2738,$F1050)="","",INDEX(選手一覧!$F$7:$F$2738,$F1050))</f>
        <v>0.00769664351851852</v>
      </c>
      <c r="H1050" s="12" t="n">
        <f aca="false">IF(INDEX(選手一覧!$G$7:$G$2738,$F1050)="","",INDEX(選手一覧!$G$7:$G$2738,$F1050))</f>
        <v>1064</v>
      </c>
      <c r="I1050" s="11" t="str">
        <f aca="false">IF(INDEX(選手一覧!$H$7:$H$2738,$F1050)="","",INDEX(選手一覧!$H$7:$H$2738,$F1050))</f>
        <v/>
      </c>
      <c r="J1050" s="12" t="str">
        <f aca="false">IF(INDEX(選手一覧!$I$7:$I$2738,$F1050)="","",INDEX(選手一覧!$I$7:$I$2738,$F1050))</f>
        <v/>
      </c>
    </row>
    <row r="1051" customFormat="false" ht="15" hidden="false" customHeight="false" outlineLevel="0" collapsed="false">
      <c r="A1051" s="12" t="n">
        <v>1047</v>
      </c>
      <c r="B1051" s="10" t="s">
        <v>1154</v>
      </c>
      <c r="C1051" s="10" t="s">
        <v>1155</v>
      </c>
      <c r="D1051" s="11" t="n">
        <v>0.0109736111111111</v>
      </c>
      <c r="E1051" s="18" t="n">
        <f aca="false">ROUND((D1051-$D$5)*86400,2)</f>
        <v>158.38</v>
      </c>
      <c r="F1051" s="12" t="n">
        <v>781</v>
      </c>
      <c r="G1051" s="11" t="str">
        <f aca="false">IF(INDEX(選手一覧!$F$7:$F$2738,$F1051)="","",INDEX(選手一覧!$F$7:$F$2738,$F1051))</f>
        <v/>
      </c>
      <c r="H1051" s="12" t="str">
        <f aca="false">IF(INDEX(選手一覧!$G$7:$G$2738,$F1051)="","",INDEX(選手一覧!$G$7:$G$2738,$F1051))</f>
        <v/>
      </c>
      <c r="I1051" s="11" t="n">
        <f aca="false">IF(INDEX(選手一覧!$H$7:$H$2738,$F1051)="","",INDEX(選手一覧!$H$7:$H$2738,$F1051))</f>
        <v>0.00281388888888889</v>
      </c>
      <c r="J1051" s="12" t="n">
        <f aca="false">IF(INDEX(選手一覧!$I$7:$I$2738,$F1051)="","",INDEX(選手一覧!$I$7:$I$2738,$F1051))</f>
        <v>339</v>
      </c>
    </row>
    <row r="1052" customFormat="false" ht="15" hidden="false" customHeight="false" outlineLevel="0" collapsed="false">
      <c r="A1052" s="12" t="n">
        <v>1048</v>
      </c>
      <c r="B1052" s="10" t="s">
        <v>3073</v>
      </c>
      <c r="C1052" s="10" t="s">
        <v>1020</v>
      </c>
      <c r="D1052" s="11" t="n">
        <v>0.0109739583333333</v>
      </c>
      <c r="E1052" s="18" t="n">
        <f aca="false">ROUND((D1052-$D$5)*86400,2)</f>
        <v>158.41</v>
      </c>
      <c r="F1052" s="12" t="n">
        <v>2156</v>
      </c>
      <c r="G1052" s="11" t="str">
        <f aca="false">IF(INDEX(選手一覧!$F$7:$F$2738,$F1052)="","",INDEX(選手一覧!$F$7:$F$2738,$F1052))</f>
        <v/>
      </c>
      <c r="H1052" s="12" t="str">
        <f aca="false">IF(INDEX(選手一覧!$G$7:$G$2738,$F1052)="","",INDEX(選手一覧!$G$7:$G$2738,$F1052))</f>
        <v/>
      </c>
      <c r="I1052" s="11" t="str">
        <f aca="false">IF(INDEX(選手一覧!$H$7:$H$2738,$F1052)="","",INDEX(選手一覧!$H$7:$H$2738,$F1052))</f>
        <v/>
      </c>
      <c r="J1052" s="12" t="str">
        <f aca="false">IF(INDEX(選手一覧!$I$7:$I$2738,$F1052)="","",INDEX(選手一覧!$I$7:$I$2738,$F1052))</f>
        <v/>
      </c>
    </row>
    <row r="1053" customFormat="false" ht="15" hidden="false" customHeight="false" outlineLevel="0" collapsed="false">
      <c r="A1053" s="12" t="n">
        <v>1049</v>
      </c>
      <c r="B1053" s="10" t="s">
        <v>3075</v>
      </c>
      <c r="C1053" s="10" t="s">
        <v>3076</v>
      </c>
      <c r="D1053" s="11" t="n">
        <v>0.0109747685185185</v>
      </c>
      <c r="E1053" s="18" t="n">
        <f aca="false">ROUND((D1053-$D$5)*86400,2)</f>
        <v>158.48</v>
      </c>
      <c r="F1053" s="12" t="n">
        <v>2158</v>
      </c>
      <c r="G1053" s="11" t="str">
        <f aca="false">IF(INDEX(選手一覧!$F$7:$F$2738,$F1053)="","",INDEX(選手一覧!$F$7:$F$2738,$F1053))</f>
        <v/>
      </c>
      <c r="H1053" s="12" t="str">
        <f aca="false">IF(INDEX(選手一覧!$G$7:$G$2738,$F1053)="","",INDEX(選手一覧!$G$7:$G$2738,$F1053))</f>
        <v/>
      </c>
      <c r="I1053" s="11" t="n">
        <f aca="false">IF(INDEX(選手一覧!$H$7:$H$2738,$F1053)="","",INDEX(選手一覧!$H$7:$H$2738,$F1053))</f>
        <v>0.00292638888888889</v>
      </c>
      <c r="J1053" s="12" t="n">
        <f aca="false">IF(INDEX(選手一覧!$I$7:$I$2738,$F1053)="","",INDEX(選手一覧!$I$7:$I$2738,$F1053))</f>
        <v>1162</v>
      </c>
    </row>
    <row r="1054" customFormat="false" ht="15" hidden="false" customHeight="false" outlineLevel="0" collapsed="false">
      <c r="A1054" s="12" t="n">
        <v>1050</v>
      </c>
      <c r="B1054" s="10" t="s">
        <v>2779</v>
      </c>
      <c r="C1054" s="10" t="s">
        <v>371</v>
      </c>
      <c r="D1054" s="11" t="n">
        <v>0.0109751157407407</v>
      </c>
      <c r="E1054" s="18" t="n">
        <f aca="false">ROUND((D1054-$D$5)*86400,2)</f>
        <v>158.51</v>
      </c>
      <c r="F1054" s="12" t="n">
        <v>1945</v>
      </c>
      <c r="G1054" s="11" t="n">
        <f aca="false">IF(INDEX(選手一覧!$F$7:$F$2738,$F1054)="","",INDEX(選手一覧!$F$7:$F$2738,$F1054))</f>
        <v>0.00753622685185185</v>
      </c>
      <c r="H1054" s="12" t="n">
        <f aca="false">IF(INDEX(選手一覧!$G$7:$G$2738,$F1054)="","",INDEX(選手一覧!$G$7:$G$2738,$F1054))</f>
        <v>940</v>
      </c>
      <c r="I1054" s="11" t="str">
        <f aca="false">IF(INDEX(選手一覧!$H$7:$H$2738,$F1054)="","",INDEX(選手一覧!$H$7:$H$2738,$F1054))</f>
        <v/>
      </c>
      <c r="J1054" s="12" t="str">
        <f aca="false">IF(INDEX(選手一覧!$I$7:$I$2738,$F1054)="","",INDEX(選手一覧!$I$7:$I$2738,$F1054))</f>
        <v/>
      </c>
    </row>
    <row r="1055" customFormat="false" ht="15" hidden="false" customHeight="false" outlineLevel="0" collapsed="false">
      <c r="A1055" s="12" t="n">
        <v>1051</v>
      </c>
      <c r="B1055" s="10" t="s">
        <v>3080</v>
      </c>
      <c r="C1055" s="10" t="s">
        <v>3081</v>
      </c>
      <c r="D1055" s="11" t="n">
        <v>0.0109778935185185</v>
      </c>
      <c r="E1055" s="18" t="n">
        <f aca="false">ROUND((D1055-$D$5)*86400,2)</f>
        <v>158.75</v>
      </c>
      <c r="F1055" s="12" t="n">
        <v>2161</v>
      </c>
      <c r="G1055" s="11" t="str">
        <f aca="false">IF(INDEX(選手一覧!$F$7:$F$2738,$F1055)="","",INDEX(選手一覧!$F$7:$F$2738,$F1055))</f>
        <v/>
      </c>
      <c r="H1055" s="12" t="str">
        <f aca="false">IF(INDEX(選手一覧!$G$7:$G$2738,$F1055)="","",INDEX(選手一覧!$G$7:$G$2738,$F1055))</f>
        <v/>
      </c>
      <c r="I1055" s="11" t="str">
        <f aca="false">IF(INDEX(選手一覧!$H$7:$H$2738,$F1055)="","",INDEX(選手一覧!$H$7:$H$2738,$F1055))</f>
        <v/>
      </c>
      <c r="J1055" s="12" t="str">
        <f aca="false">IF(INDEX(選手一覧!$I$7:$I$2738,$F1055)="","",INDEX(選手一覧!$I$7:$I$2738,$F1055))</f>
        <v/>
      </c>
    </row>
    <row r="1056" customFormat="false" ht="15" hidden="false" customHeight="false" outlineLevel="0" collapsed="false">
      <c r="A1056" s="12" t="n">
        <v>1052</v>
      </c>
      <c r="B1056" s="10" t="s">
        <v>3084</v>
      </c>
      <c r="C1056" s="10" t="s">
        <v>1839</v>
      </c>
      <c r="D1056" s="11" t="n">
        <v>0.0109778935185185</v>
      </c>
      <c r="E1056" s="18" t="n">
        <f aca="false">ROUND((D1056-$D$5)*86400,2)</f>
        <v>158.75</v>
      </c>
      <c r="F1056" s="12" t="n">
        <v>2163</v>
      </c>
      <c r="G1056" s="11" t="str">
        <f aca="false">IF(INDEX(選手一覧!$F$7:$F$2738,$F1056)="","",INDEX(選手一覧!$F$7:$F$2738,$F1056))</f>
        <v/>
      </c>
      <c r="H1056" s="12" t="str">
        <f aca="false">IF(INDEX(選手一覧!$G$7:$G$2738,$F1056)="","",INDEX(選手一覧!$G$7:$G$2738,$F1056))</f>
        <v/>
      </c>
      <c r="I1056" s="11" t="n">
        <f aca="false">IF(INDEX(選手一覧!$H$7:$H$2738,$F1056)="","",INDEX(選手一覧!$H$7:$H$2738,$F1056))</f>
        <v>0.00297152777777778</v>
      </c>
      <c r="J1056" s="12" t="n">
        <f aca="false">IF(INDEX(選手一覧!$I$7:$I$2738,$F1056)="","",INDEX(選手一覧!$I$7:$I$2738,$F1056))</f>
        <v>1313</v>
      </c>
    </row>
    <row r="1057" customFormat="false" ht="15" hidden="false" customHeight="false" outlineLevel="0" collapsed="false">
      <c r="A1057" s="12" t="n">
        <v>1053</v>
      </c>
      <c r="B1057" s="10" t="s">
        <v>1198</v>
      </c>
      <c r="C1057" s="10" t="s">
        <v>1199</v>
      </c>
      <c r="D1057" s="11" t="n">
        <v>0.010978587962963</v>
      </c>
      <c r="E1057" s="18" t="n">
        <f aca="false">ROUND((D1057-$D$5)*86400,2)</f>
        <v>158.81</v>
      </c>
      <c r="F1057" s="12" t="n">
        <v>813</v>
      </c>
      <c r="G1057" s="11" t="n">
        <f aca="false">IF(INDEX(選手一覧!$F$7:$F$2738,$F1057)="","",INDEX(選手一覧!$F$7:$F$2738,$F1057))</f>
        <v>0.00701643518518519</v>
      </c>
      <c r="H1057" s="12" t="n">
        <f aca="false">IF(INDEX(選手一覧!$G$7:$G$2738,$F1057)="","",INDEX(選手一覧!$G$7:$G$2738,$F1057))</f>
        <v>353</v>
      </c>
      <c r="I1057" s="11" t="str">
        <f aca="false">IF(INDEX(選手一覧!$H$7:$H$2738,$F1057)="","",INDEX(選手一覧!$H$7:$H$2738,$F1057))</f>
        <v/>
      </c>
      <c r="J1057" s="12" t="str">
        <f aca="false">IF(INDEX(選手一覧!$I$7:$I$2738,$F1057)="","",INDEX(選手一覧!$I$7:$I$2738,$F1057))</f>
        <v/>
      </c>
    </row>
    <row r="1058" customFormat="false" ht="15" hidden="false" customHeight="false" outlineLevel="0" collapsed="false">
      <c r="A1058" s="12" t="n">
        <v>1054</v>
      </c>
      <c r="B1058" s="10" t="s">
        <v>1473</v>
      </c>
      <c r="C1058" s="10" t="s">
        <v>1474</v>
      </c>
      <c r="D1058" s="11" t="n">
        <v>0.0109790509259259</v>
      </c>
      <c r="E1058" s="18" t="n">
        <f aca="false">ROUND((D1058-$D$5)*86400,2)</f>
        <v>158.85</v>
      </c>
      <c r="F1058" s="12" t="n">
        <v>1011</v>
      </c>
      <c r="G1058" s="11" t="n">
        <f aca="false">IF(INDEX(選手一覧!$F$7:$F$2738,$F1058)="","",INDEX(選手一覧!$F$7:$F$2738,$F1058))</f>
        <v>0.00710462962962963</v>
      </c>
      <c r="H1058" s="12" t="n">
        <f aca="false">IF(INDEX(選手一覧!$G$7:$G$2738,$F1058)="","",INDEX(選手一覧!$G$7:$G$2738,$F1058))</f>
        <v>453</v>
      </c>
      <c r="I1058" s="11" t="str">
        <f aca="false">IF(INDEX(選手一覧!$H$7:$H$2738,$F1058)="","",INDEX(選手一覧!$H$7:$H$2738,$F1058))</f>
        <v/>
      </c>
      <c r="J1058" s="12" t="str">
        <f aca="false">IF(INDEX(選手一覧!$I$7:$I$2738,$F1058)="","",INDEX(選手一覧!$I$7:$I$2738,$F1058))</f>
        <v/>
      </c>
    </row>
    <row r="1059" customFormat="false" ht="15" hidden="false" customHeight="false" outlineLevel="0" collapsed="false">
      <c r="A1059" s="12" t="n">
        <v>1055</v>
      </c>
      <c r="B1059" s="10" t="s">
        <v>1424</v>
      </c>
      <c r="C1059" s="10" t="s">
        <v>1425</v>
      </c>
      <c r="D1059" s="11" t="n">
        <v>0.0109792824074074</v>
      </c>
      <c r="E1059" s="18" t="n">
        <f aca="false">ROUND((D1059-$D$5)*86400,2)</f>
        <v>158.87</v>
      </c>
      <c r="F1059" s="12" t="n">
        <v>973</v>
      </c>
      <c r="G1059" s="11" t="n">
        <f aca="false">IF(INDEX(選手一覧!$F$7:$F$2738,$F1059)="","",INDEX(選手一覧!$F$7:$F$2738,$F1059))</f>
        <v>0.00708622685185185</v>
      </c>
      <c r="H1059" s="12" t="n">
        <f aca="false">IF(INDEX(選手一覧!$G$7:$G$2738,$F1059)="","",INDEX(選手一覧!$G$7:$G$2738,$F1059))</f>
        <v>435</v>
      </c>
      <c r="I1059" s="11" t="str">
        <f aca="false">IF(INDEX(選手一覧!$H$7:$H$2738,$F1059)="","",INDEX(選手一覧!$H$7:$H$2738,$F1059))</f>
        <v/>
      </c>
      <c r="J1059" s="12" t="str">
        <f aca="false">IF(INDEX(選手一覧!$I$7:$I$2738,$F1059)="","",INDEX(選手一覧!$I$7:$I$2738,$F1059))</f>
        <v/>
      </c>
    </row>
    <row r="1060" customFormat="false" ht="15" hidden="false" customHeight="false" outlineLevel="0" collapsed="false">
      <c r="A1060" s="12" t="n">
        <v>1056</v>
      </c>
      <c r="B1060" s="10" t="s">
        <v>3093</v>
      </c>
      <c r="C1060" s="10" t="s">
        <v>758</v>
      </c>
      <c r="D1060" s="11" t="n">
        <v>0.0109800925925926</v>
      </c>
      <c r="E1060" s="18" t="n">
        <f aca="false">ROUND((D1060-$D$5)*86400,2)</f>
        <v>158.94</v>
      </c>
      <c r="F1060" s="12" t="n">
        <v>2170</v>
      </c>
      <c r="G1060" s="11" t="str">
        <f aca="false">IF(INDEX(選手一覧!$F$7:$F$2738,$F1060)="","",INDEX(選手一覧!$F$7:$F$2738,$F1060))</f>
        <v/>
      </c>
      <c r="H1060" s="12" t="str">
        <f aca="false">IF(INDEX(選手一覧!$G$7:$G$2738,$F1060)="","",INDEX(選手一覧!$G$7:$G$2738,$F1060))</f>
        <v/>
      </c>
      <c r="I1060" s="11" t="n">
        <f aca="false">IF(INDEX(選手一覧!$H$7:$H$2738,$F1060)="","",INDEX(選手一覧!$H$7:$H$2738,$F1060))</f>
        <v>0.00293715277777778</v>
      </c>
      <c r="J1060" s="12" t="n">
        <f aca="false">IF(INDEX(選手一覧!$I$7:$I$2738,$F1060)="","",INDEX(選手一覧!$I$7:$I$2738,$F1060))</f>
        <v>1195</v>
      </c>
    </row>
    <row r="1061" customFormat="false" ht="15" hidden="false" customHeight="false" outlineLevel="0" collapsed="false">
      <c r="A1061" s="12" t="n">
        <v>1057</v>
      </c>
      <c r="B1061" s="10" t="s">
        <v>2691</v>
      </c>
      <c r="C1061" s="10" t="s">
        <v>445</v>
      </c>
      <c r="D1061" s="11" t="n">
        <v>0.010980787037037</v>
      </c>
      <c r="E1061" s="18" t="n">
        <f aca="false">ROUND((D1061-$D$5)*86400,2)</f>
        <v>159</v>
      </c>
      <c r="F1061" s="12" t="n">
        <v>1884</v>
      </c>
      <c r="G1061" s="11" t="str">
        <f aca="false">IF(INDEX(選手一覧!$F$7:$F$2738,$F1061)="","",INDEX(選手一覧!$F$7:$F$2738,$F1061))</f>
        <v/>
      </c>
      <c r="H1061" s="12" t="str">
        <f aca="false">IF(INDEX(選手一覧!$G$7:$G$2738,$F1061)="","",INDEX(選手一覧!$G$7:$G$2738,$F1061))</f>
        <v/>
      </c>
      <c r="I1061" s="11" t="n">
        <f aca="false">IF(INDEX(選手一覧!$H$7:$H$2738,$F1061)="","",INDEX(選手一覧!$H$7:$H$2738,$F1061))</f>
        <v>0.00289398148148148</v>
      </c>
      <c r="J1061" s="12" t="n">
        <f aca="false">IF(INDEX(選手一覧!$I$7:$I$2738,$F1061)="","",INDEX(選手一覧!$I$7:$I$2738,$F1061))</f>
        <v>904</v>
      </c>
    </row>
    <row r="1062" customFormat="false" ht="15" hidden="false" customHeight="false" outlineLevel="0" collapsed="false">
      <c r="A1062" s="12" t="n">
        <v>1058</v>
      </c>
      <c r="B1062" s="10" t="s">
        <v>896</v>
      </c>
      <c r="C1062" s="10" t="s">
        <v>897</v>
      </c>
      <c r="D1062" s="11" t="n">
        <v>0.0109810185185185</v>
      </c>
      <c r="E1062" s="18" t="n">
        <f aca="false">ROUND((D1062-$D$5)*86400,2)</f>
        <v>159.02</v>
      </c>
      <c r="F1062" s="12" t="n">
        <v>592</v>
      </c>
      <c r="G1062" s="11" t="n">
        <f aca="false">IF(INDEX(選手一覧!$F$7:$F$2738,$F1062)="","",INDEX(選手一覧!$F$7:$F$2738,$F1062))</f>
        <v>0.00690625</v>
      </c>
      <c r="H1062" s="12" t="n">
        <f aca="false">IF(INDEX(選手一覧!$G$7:$G$2738,$F1062)="","",INDEX(選手一覧!$G$7:$G$2738,$F1062))</f>
        <v>248</v>
      </c>
      <c r="I1062" s="11" t="str">
        <f aca="false">IF(INDEX(選手一覧!$H$7:$H$2738,$F1062)="","",INDEX(選手一覧!$H$7:$H$2738,$F1062))</f>
        <v/>
      </c>
      <c r="J1062" s="12" t="str">
        <f aca="false">IF(INDEX(選手一覧!$I$7:$I$2738,$F1062)="","",INDEX(選手一覧!$I$7:$I$2738,$F1062))</f>
        <v/>
      </c>
    </row>
    <row r="1063" customFormat="false" ht="15" hidden="false" customHeight="false" outlineLevel="0" collapsed="false">
      <c r="A1063" s="12" t="n">
        <v>1059</v>
      </c>
      <c r="B1063" s="10" t="s">
        <v>1531</v>
      </c>
      <c r="C1063" s="10" t="s">
        <v>660</v>
      </c>
      <c r="D1063" s="11" t="n">
        <v>0.0109811342592593</v>
      </c>
      <c r="E1063" s="18" t="n">
        <f aca="false">ROUND((D1063-$D$5)*86400,2)</f>
        <v>159.03</v>
      </c>
      <c r="F1063" s="12" t="n">
        <v>1053</v>
      </c>
      <c r="G1063" s="11" t="n">
        <f aca="false">IF(INDEX(選手一覧!$F$7:$F$2738,$F1063)="","",INDEX(選手一覧!$F$7:$F$2738,$F1063))</f>
        <v>0.00712893518518519</v>
      </c>
      <c r="H1063" s="12" t="n">
        <f aca="false">IF(INDEX(選手一覧!$G$7:$G$2738,$F1063)="","",INDEX(選手一覧!$G$7:$G$2738,$F1063))</f>
        <v>473</v>
      </c>
      <c r="I1063" s="11" t="str">
        <f aca="false">IF(INDEX(選手一覧!$H$7:$H$2738,$F1063)="","",INDEX(選手一覧!$H$7:$H$2738,$F1063))</f>
        <v/>
      </c>
      <c r="J1063" s="12" t="str">
        <f aca="false">IF(INDEX(選手一覧!$I$7:$I$2738,$F1063)="","",INDEX(選手一覧!$I$7:$I$2738,$F1063))</f>
        <v/>
      </c>
    </row>
    <row r="1064" customFormat="false" ht="15" hidden="false" customHeight="false" outlineLevel="0" collapsed="false">
      <c r="A1064" s="12" t="n">
        <v>1060</v>
      </c>
      <c r="B1064" s="10" t="s">
        <v>1058</v>
      </c>
      <c r="C1064" s="10" t="s">
        <v>1059</v>
      </c>
      <c r="D1064" s="11" t="n">
        <v>0.01098125</v>
      </c>
      <c r="E1064" s="18" t="n">
        <f aca="false">ROUND((D1064-$D$5)*86400,2)</f>
        <v>159.04</v>
      </c>
      <c r="F1064" s="12" t="n">
        <v>710</v>
      </c>
      <c r="G1064" s="11" t="n">
        <f aca="false">IF(INDEX(選手一覧!$F$7:$F$2738,$F1064)="","",INDEX(選手一覧!$F$7:$F$2738,$F1064))</f>
        <v>0.00697002314814815</v>
      </c>
      <c r="H1064" s="12" t="n">
        <f aca="false">IF(INDEX(選手一覧!$G$7:$G$2738,$F1064)="","",INDEX(選手一覧!$G$7:$G$2738,$F1064))</f>
        <v>305</v>
      </c>
      <c r="I1064" s="11" t="n">
        <f aca="false">IF(INDEX(選手一覧!$H$7:$H$2738,$F1064)="","",INDEX(選手一覧!$H$7:$H$2738,$F1064))</f>
        <v>0.00291550925925926</v>
      </c>
      <c r="J1064" s="12" t="n">
        <f aca="false">IF(INDEX(選手一覧!$I$7:$I$2738,$F1064)="","",INDEX(選手一覧!$I$7:$I$2738,$F1064))</f>
        <v>1055</v>
      </c>
    </row>
    <row r="1065" customFormat="false" ht="15" hidden="false" customHeight="false" outlineLevel="0" collapsed="false">
      <c r="A1065" s="12" t="n">
        <v>1061</v>
      </c>
      <c r="B1065" s="10" t="s">
        <v>3100</v>
      </c>
      <c r="C1065" s="10" t="s">
        <v>79</v>
      </c>
      <c r="D1065" s="11" t="n">
        <v>0.0109813657407407</v>
      </c>
      <c r="E1065" s="18" t="n">
        <f aca="false">ROUND((D1065-$D$5)*86400,2)</f>
        <v>159.05</v>
      </c>
      <c r="F1065" s="12" t="n">
        <v>2176</v>
      </c>
      <c r="G1065" s="11" t="n">
        <f aca="false">IF(INDEX(選手一覧!$F$7:$F$2738,$F1065)="","",INDEX(選手一覧!$F$7:$F$2738,$F1065))</f>
        <v>0.00770127314814815</v>
      </c>
      <c r="H1065" s="12" t="n">
        <f aca="false">IF(INDEX(選手一覧!$G$7:$G$2738,$F1065)="","",INDEX(選手一覧!$G$7:$G$2738,$F1065))</f>
        <v>1068</v>
      </c>
      <c r="I1065" s="11" t="n">
        <f aca="false">IF(INDEX(選手一覧!$H$7:$H$2738,$F1065)="","",INDEX(選手一覧!$H$7:$H$2738,$F1065))</f>
        <v>0.00293321759259259</v>
      </c>
      <c r="J1065" s="12" t="n">
        <f aca="false">IF(INDEX(選手一覧!$I$7:$I$2738,$F1065)="","",INDEX(選手一覧!$I$7:$I$2738,$F1065))</f>
        <v>1181</v>
      </c>
    </row>
    <row r="1066" customFormat="false" ht="15" hidden="false" customHeight="false" outlineLevel="0" collapsed="false">
      <c r="A1066" s="12" t="n">
        <v>1062</v>
      </c>
      <c r="B1066" s="10" t="s">
        <v>1015</v>
      </c>
      <c r="C1066" s="10" t="s">
        <v>480</v>
      </c>
      <c r="D1066" s="11" t="n">
        <v>0.0109819444444445</v>
      </c>
      <c r="E1066" s="18" t="n">
        <f aca="false">ROUND((D1066-$D$5)*86400,2)</f>
        <v>159.1</v>
      </c>
      <c r="F1066" s="12" t="n">
        <v>680</v>
      </c>
      <c r="G1066" s="11" t="n">
        <f aca="false">IF(INDEX(選手一覧!$F$7:$F$2738,$F1066)="","",INDEX(選手一覧!$F$7:$F$2738,$F1066))</f>
        <v>0.00695462962962963</v>
      </c>
      <c r="H1066" s="12" t="n">
        <f aca="false">IF(INDEX(選手一覧!$G$7:$G$2738,$F1066)="","",INDEX(選手一覧!$G$7:$G$2738,$F1066))</f>
        <v>289</v>
      </c>
      <c r="I1066" s="11" t="n">
        <f aca="false">IF(INDEX(選手一覧!$H$7:$H$2738,$F1066)="","",INDEX(選手一覧!$H$7:$H$2738,$F1066))</f>
        <v>0.00284421296296296</v>
      </c>
      <c r="J1066" s="12" t="n">
        <f aca="false">IF(INDEX(選手一覧!$I$7:$I$2738,$F1066)="","",INDEX(選手一覧!$I$7:$I$2738,$F1066))</f>
        <v>527</v>
      </c>
    </row>
    <row r="1067" customFormat="false" ht="15" hidden="false" customHeight="false" outlineLevel="0" collapsed="false">
      <c r="A1067" s="12" t="n">
        <v>1063</v>
      </c>
      <c r="B1067" s="10" t="s">
        <v>3106</v>
      </c>
      <c r="C1067" s="10" t="s">
        <v>697</v>
      </c>
      <c r="D1067" s="11" t="n">
        <v>0.0109833333333333</v>
      </c>
      <c r="E1067" s="18" t="n">
        <f aca="false">ROUND((D1067-$D$5)*86400,2)</f>
        <v>159.22</v>
      </c>
      <c r="F1067" s="12" t="n">
        <v>2181</v>
      </c>
      <c r="G1067" s="11" t="str">
        <f aca="false">IF(INDEX(選手一覧!$F$7:$F$2738,$F1067)="","",INDEX(選手一覧!$F$7:$F$2738,$F1067))</f>
        <v/>
      </c>
      <c r="H1067" s="12" t="str">
        <f aca="false">IF(INDEX(選手一覧!$G$7:$G$2738,$F1067)="","",INDEX(選手一覧!$G$7:$G$2738,$F1067))</f>
        <v/>
      </c>
      <c r="I1067" s="11" t="str">
        <f aca="false">IF(INDEX(選手一覧!$H$7:$H$2738,$F1067)="","",INDEX(選手一覧!$H$7:$H$2738,$F1067))</f>
        <v/>
      </c>
      <c r="J1067" s="12" t="str">
        <f aca="false">IF(INDEX(選手一覧!$I$7:$I$2738,$F1067)="","",INDEX(選手一覧!$I$7:$I$2738,$F1067))</f>
        <v/>
      </c>
    </row>
    <row r="1068" customFormat="false" ht="15" hidden="false" customHeight="false" outlineLevel="0" collapsed="false">
      <c r="A1068" s="12" t="n">
        <v>1064</v>
      </c>
      <c r="B1068" s="10" t="s">
        <v>1121</v>
      </c>
      <c r="C1068" s="10" t="s">
        <v>1122</v>
      </c>
      <c r="D1068" s="11" t="n">
        <v>0.0109837962962963</v>
      </c>
      <c r="E1068" s="18" t="n">
        <f aca="false">ROUND((D1068-$D$5)*86400,2)</f>
        <v>159.26</v>
      </c>
      <c r="F1068" s="12" t="n">
        <v>757</v>
      </c>
      <c r="G1068" s="11" t="n">
        <f aca="false">IF(INDEX(選手一覧!$F$7:$F$2738,$F1068)="","",INDEX(選手一覧!$F$7:$F$2738,$F1068))</f>
        <v>0.00699490740740741</v>
      </c>
      <c r="H1068" s="12" t="n">
        <f aca="false">IF(INDEX(選手一覧!$G$7:$G$2738,$F1068)="","",INDEX(選手一覧!$G$7:$G$2738,$F1068))</f>
        <v>328</v>
      </c>
      <c r="I1068" s="11" t="str">
        <f aca="false">IF(INDEX(選手一覧!$H$7:$H$2738,$F1068)="","",INDEX(選手一覧!$H$7:$H$2738,$F1068))</f>
        <v/>
      </c>
      <c r="J1068" s="12" t="str">
        <f aca="false">IF(INDEX(選手一覧!$I$7:$I$2738,$F1068)="","",INDEX(選手一覧!$I$7:$I$2738,$F1068))</f>
        <v/>
      </c>
    </row>
    <row r="1069" customFormat="false" ht="15" hidden="false" customHeight="false" outlineLevel="0" collapsed="false">
      <c r="A1069" s="12" t="n">
        <v>1065</v>
      </c>
      <c r="B1069" s="10" t="s">
        <v>499</v>
      </c>
      <c r="C1069" s="10" t="s">
        <v>500</v>
      </c>
      <c r="D1069" s="11" t="n">
        <v>0.0109840277777778</v>
      </c>
      <c r="E1069" s="18" t="n">
        <f aca="false">ROUND((D1069-$D$5)*86400,2)</f>
        <v>159.28</v>
      </c>
      <c r="F1069" s="12" t="n">
        <v>311</v>
      </c>
      <c r="G1069" s="11" t="n">
        <f aca="false">IF(INDEX(選手一覧!$F$7:$F$2738,$F1069)="","",INDEX(選手一覧!$F$7:$F$2738,$F1069))</f>
        <v>0.00675092592592593</v>
      </c>
      <c r="H1069" s="12" t="n">
        <f aca="false">IF(INDEX(選手一覧!$G$7:$G$2738,$F1069)="","",INDEX(選手一覧!$G$7:$G$2738,$F1069))</f>
        <v>129</v>
      </c>
      <c r="I1069" s="11" t="n">
        <f aca="false">IF(INDEX(選手一覧!$H$7:$H$2738,$F1069)="","",INDEX(選手一覧!$H$7:$H$2738,$F1069))</f>
        <v>0.00298101851851852</v>
      </c>
      <c r="J1069" s="12" t="n">
        <f aca="false">IF(INDEX(選手一覧!$I$7:$I$2738,$F1069)="","",INDEX(選手一覧!$I$7:$I$2738,$F1069))</f>
        <v>1356</v>
      </c>
    </row>
    <row r="1070" customFormat="false" ht="15" hidden="false" customHeight="false" outlineLevel="0" collapsed="false">
      <c r="A1070" s="12" t="n">
        <v>1066</v>
      </c>
      <c r="B1070" s="10" t="s">
        <v>711</v>
      </c>
      <c r="C1070" s="10" t="s">
        <v>712</v>
      </c>
      <c r="D1070" s="11" t="n">
        <v>0.0109842592592593</v>
      </c>
      <c r="E1070" s="18" t="n">
        <f aca="false">ROUND((D1070-$D$5)*86400,2)</f>
        <v>159.3</v>
      </c>
      <c r="F1070" s="12" t="n">
        <v>457</v>
      </c>
      <c r="G1070" s="11" t="n">
        <f aca="false">IF(INDEX(選手一覧!$F$7:$F$2738,$F1070)="","",INDEX(選手一覧!$F$7:$F$2738,$F1070))</f>
        <v>0.006828125</v>
      </c>
      <c r="H1070" s="12" t="n">
        <f aca="false">IF(INDEX(選手一覧!$G$7:$G$2738,$F1070)="","",INDEX(選手一覧!$G$7:$G$2738,$F1070))</f>
        <v>192</v>
      </c>
      <c r="I1070" s="11" t="str">
        <f aca="false">IF(INDEX(選手一覧!$H$7:$H$2738,$F1070)="","",INDEX(選手一覧!$H$7:$H$2738,$F1070))</f>
        <v/>
      </c>
      <c r="J1070" s="12" t="str">
        <f aca="false">IF(INDEX(選手一覧!$I$7:$I$2738,$F1070)="","",INDEX(選手一覧!$I$7:$I$2738,$F1070))</f>
        <v/>
      </c>
    </row>
    <row r="1071" customFormat="false" ht="15" hidden="false" customHeight="false" outlineLevel="0" collapsed="false">
      <c r="A1071" s="12" t="n">
        <v>1067</v>
      </c>
      <c r="B1071" s="10" t="s">
        <v>3112</v>
      </c>
      <c r="C1071" s="10" t="s">
        <v>986</v>
      </c>
      <c r="D1071" s="11" t="n">
        <v>0.010984837962963</v>
      </c>
      <c r="E1071" s="18" t="n">
        <f aca="false">ROUND((D1071-$D$5)*86400,2)</f>
        <v>159.35</v>
      </c>
      <c r="F1071" s="12" t="n">
        <v>2186</v>
      </c>
      <c r="G1071" s="11" t="str">
        <f aca="false">IF(INDEX(選手一覧!$F$7:$F$2738,$F1071)="","",INDEX(選手一覧!$F$7:$F$2738,$F1071))</f>
        <v/>
      </c>
      <c r="H1071" s="12" t="str">
        <f aca="false">IF(INDEX(選手一覧!$G$7:$G$2738,$F1071)="","",INDEX(選手一覧!$G$7:$G$2738,$F1071))</f>
        <v/>
      </c>
      <c r="I1071" s="11" t="str">
        <f aca="false">IF(INDEX(選手一覧!$H$7:$H$2738,$F1071)="","",INDEX(選手一覧!$H$7:$H$2738,$F1071))</f>
        <v/>
      </c>
      <c r="J1071" s="12" t="str">
        <f aca="false">IF(INDEX(選手一覧!$I$7:$I$2738,$F1071)="","",INDEX(選手一覧!$I$7:$I$2738,$F1071))</f>
        <v/>
      </c>
    </row>
    <row r="1072" customFormat="false" ht="15" hidden="false" customHeight="false" outlineLevel="0" collapsed="false">
      <c r="A1072" s="12" t="n">
        <v>1068</v>
      </c>
      <c r="B1072" s="10" t="s">
        <v>3115</v>
      </c>
      <c r="C1072" s="10" t="s">
        <v>25</v>
      </c>
      <c r="D1072" s="11" t="n">
        <v>0.0109853009259259</v>
      </c>
      <c r="E1072" s="18" t="n">
        <f aca="false">ROUND((D1072-$D$5)*86400,2)</f>
        <v>159.39</v>
      </c>
      <c r="F1072" s="12" t="n">
        <v>2188</v>
      </c>
      <c r="G1072" s="11" t="str">
        <f aca="false">IF(INDEX(選手一覧!$F$7:$F$2738,$F1072)="","",INDEX(選手一覧!$F$7:$F$2738,$F1072))</f>
        <v/>
      </c>
      <c r="H1072" s="12" t="str">
        <f aca="false">IF(INDEX(選手一覧!$G$7:$G$2738,$F1072)="","",INDEX(選手一覧!$G$7:$G$2738,$F1072))</f>
        <v/>
      </c>
      <c r="I1072" s="11" t="n">
        <f aca="false">IF(INDEX(選手一覧!$H$7:$H$2738,$F1072)="","",INDEX(選手一覧!$H$7:$H$2738,$F1072))</f>
        <v>0.00291886574074074</v>
      </c>
      <c r="J1072" s="12" t="n">
        <f aca="false">IF(INDEX(選手一覧!$I$7:$I$2738,$F1072)="","",INDEX(選手一覧!$I$7:$I$2738,$F1072))</f>
        <v>1082</v>
      </c>
    </row>
    <row r="1073" customFormat="false" ht="15" hidden="false" customHeight="false" outlineLevel="0" collapsed="false">
      <c r="A1073" s="12" t="n">
        <v>1069</v>
      </c>
      <c r="B1073" s="10" t="s">
        <v>1875</v>
      </c>
      <c r="C1073" s="10" t="s">
        <v>1876</v>
      </c>
      <c r="D1073" s="11" t="n">
        <v>0.0109855324074074</v>
      </c>
      <c r="E1073" s="18" t="n">
        <f aca="false">ROUND((D1073-$D$5)*86400,2)</f>
        <v>159.41</v>
      </c>
      <c r="F1073" s="12" t="n">
        <v>1290</v>
      </c>
      <c r="G1073" s="11" t="n">
        <f aca="false">IF(INDEX(選手一覧!$F$7:$F$2738,$F1073)="","",INDEX(選手一覧!$F$7:$F$2738,$F1073))</f>
        <v>0.00734363425925926</v>
      </c>
      <c r="H1073" s="12" t="n">
        <f aca="false">IF(INDEX(選手一覧!$G$7:$G$2738,$F1073)="","",INDEX(選手一覧!$G$7:$G$2738,$F1073))</f>
        <v>700</v>
      </c>
      <c r="I1073" s="11" t="n">
        <f aca="false">IF(INDEX(選手一覧!$H$7:$H$2738,$F1073)="","",INDEX(選手一覧!$H$7:$H$2738,$F1073))</f>
        <v>0.0028556712962963</v>
      </c>
      <c r="J1073" s="12" t="n">
        <f aca="false">IF(INDEX(選手一覧!$I$7:$I$2738,$F1073)="","",INDEX(選手一覧!$I$7:$I$2738,$F1073))</f>
        <v>601</v>
      </c>
    </row>
    <row r="1074" customFormat="false" ht="15" hidden="false" customHeight="false" outlineLevel="0" collapsed="false">
      <c r="A1074" s="12" t="n">
        <v>1070</v>
      </c>
      <c r="B1074" s="10" t="s">
        <v>561</v>
      </c>
      <c r="C1074" s="10" t="s">
        <v>393</v>
      </c>
      <c r="D1074" s="11" t="n">
        <v>0.0109861111111111</v>
      </c>
      <c r="E1074" s="18" t="n">
        <f aca="false">ROUND((D1074-$D$5)*86400,2)</f>
        <v>159.46</v>
      </c>
      <c r="F1074" s="12" t="n">
        <v>351</v>
      </c>
      <c r="G1074" s="11" t="n">
        <f aca="false">IF(INDEX(選手一覧!$F$7:$F$2738,$F1074)="","",INDEX(選手一覧!$F$7:$F$2738,$F1074))</f>
        <v>0.00677037037037037</v>
      </c>
      <c r="H1074" s="12" t="n">
        <f aca="false">IF(INDEX(選手一覧!$G$7:$G$2738,$F1074)="","",INDEX(選手一覧!$G$7:$G$2738,$F1074))</f>
        <v>147</v>
      </c>
      <c r="I1074" s="11" t="str">
        <f aca="false">IF(INDEX(選手一覧!$H$7:$H$2738,$F1074)="","",INDEX(選手一覧!$H$7:$H$2738,$F1074))</f>
        <v/>
      </c>
      <c r="J1074" s="12" t="str">
        <f aca="false">IF(INDEX(選手一覧!$I$7:$I$2738,$F1074)="","",INDEX(選手一覧!$I$7:$I$2738,$F1074))</f>
        <v/>
      </c>
    </row>
    <row r="1075" customFormat="false" ht="15" hidden="false" customHeight="false" outlineLevel="0" collapsed="false">
      <c r="A1075" s="12" t="n">
        <v>1071</v>
      </c>
      <c r="B1075" s="10" t="s">
        <v>3121</v>
      </c>
      <c r="C1075" s="10" t="s">
        <v>3122</v>
      </c>
      <c r="D1075" s="11" t="n">
        <v>0.0109863425925926</v>
      </c>
      <c r="E1075" s="18" t="n">
        <f aca="false">ROUND((D1075-$D$5)*86400,2)</f>
        <v>159.48</v>
      </c>
      <c r="F1075" s="12" t="n">
        <v>2192</v>
      </c>
      <c r="G1075" s="11" t="str">
        <f aca="false">IF(INDEX(選手一覧!$F$7:$F$2738,$F1075)="","",INDEX(選手一覧!$F$7:$F$2738,$F1075))</f>
        <v/>
      </c>
      <c r="H1075" s="12" t="str">
        <f aca="false">IF(INDEX(選手一覧!$G$7:$G$2738,$F1075)="","",INDEX(選手一覧!$G$7:$G$2738,$F1075))</f>
        <v/>
      </c>
      <c r="I1075" s="11" t="str">
        <f aca="false">IF(INDEX(選手一覧!$H$7:$H$2738,$F1075)="","",INDEX(選手一覧!$H$7:$H$2738,$F1075))</f>
        <v/>
      </c>
      <c r="J1075" s="12" t="str">
        <f aca="false">IF(INDEX(選手一覧!$I$7:$I$2738,$F1075)="","",INDEX(選手一覧!$I$7:$I$2738,$F1075))</f>
        <v/>
      </c>
    </row>
    <row r="1076" customFormat="false" ht="15" hidden="false" customHeight="false" outlineLevel="0" collapsed="false">
      <c r="A1076" s="12" t="n">
        <v>1072</v>
      </c>
      <c r="B1076" s="10" t="s">
        <v>1620</v>
      </c>
      <c r="C1076" s="10" t="s">
        <v>1621</v>
      </c>
      <c r="D1076" s="11" t="n">
        <v>0.0109864583333333</v>
      </c>
      <c r="E1076" s="18" t="n">
        <f aca="false">ROUND((D1076-$D$5)*86400,2)</f>
        <v>159.49</v>
      </c>
      <c r="F1076" s="12" t="n">
        <v>1118</v>
      </c>
      <c r="G1076" s="11" t="str">
        <f aca="false">IF(INDEX(選手一覧!$F$7:$F$2738,$F1076)="","",INDEX(選手一覧!$F$7:$F$2738,$F1076))</f>
        <v/>
      </c>
      <c r="H1076" s="12" t="str">
        <f aca="false">IF(INDEX(選手一覧!$G$7:$G$2738,$F1076)="","",INDEX(選手一覧!$G$7:$G$2738,$F1076))</f>
        <v/>
      </c>
      <c r="I1076" s="11" t="n">
        <f aca="false">IF(INDEX(選手一覧!$H$7:$H$2738,$F1076)="","",INDEX(選手一覧!$H$7:$H$2738,$F1076))</f>
        <v>0.00284097222222222</v>
      </c>
      <c r="J1076" s="12" t="n">
        <f aca="false">IF(INDEX(選手一覧!$I$7:$I$2738,$F1076)="","",INDEX(選手一覧!$I$7:$I$2738,$F1076))</f>
        <v>507</v>
      </c>
    </row>
    <row r="1077" customFormat="false" ht="15" hidden="false" customHeight="false" outlineLevel="0" collapsed="false">
      <c r="A1077" s="12" t="n">
        <v>1073</v>
      </c>
      <c r="B1077" s="10" t="s">
        <v>304</v>
      </c>
      <c r="C1077" s="10" t="s">
        <v>109</v>
      </c>
      <c r="D1077" s="11" t="n">
        <v>0.0109865740740741</v>
      </c>
      <c r="E1077" s="18" t="n">
        <f aca="false">ROUND((D1077-$D$5)*86400,2)</f>
        <v>159.5</v>
      </c>
      <c r="F1077" s="12" t="n">
        <v>172</v>
      </c>
      <c r="G1077" s="11" t="n">
        <f aca="false">IF(INDEX(選手一覧!$F$7:$F$2738,$F1077)="","",INDEX(選手一覧!$F$7:$F$2738,$F1077))</f>
        <v>0.00661006944444444</v>
      </c>
      <c r="H1077" s="12" t="n">
        <f aca="false">IF(INDEX(選手一覧!$G$7:$G$2738,$F1077)="","",INDEX(選手一覧!$G$7:$G$2738,$F1077))</f>
        <v>70</v>
      </c>
      <c r="I1077" s="11" t="n">
        <f aca="false">IF(INDEX(選手一覧!$H$7:$H$2738,$F1077)="","",INDEX(選手一覧!$H$7:$H$2738,$F1077))</f>
        <v>0.00288993055555556</v>
      </c>
      <c r="J1077" s="12" t="n">
        <f aca="false">IF(INDEX(選手一覧!$I$7:$I$2738,$F1077)="","",INDEX(選手一覧!$I$7:$I$2738,$F1077))</f>
        <v>864</v>
      </c>
    </row>
    <row r="1078" customFormat="false" ht="15" hidden="false" customHeight="false" outlineLevel="0" collapsed="false">
      <c r="A1078" s="12" t="n">
        <v>1074</v>
      </c>
      <c r="B1078" s="10" t="s">
        <v>1810</v>
      </c>
      <c r="C1078" s="10" t="s">
        <v>1811</v>
      </c>
      <c r="D1078" s="11" t="n">
        <v>0.0109866898148148</v>
      </c>
      <c r="E1078" s="18" t="n">
        <f aca="false">ROUND((D1078-$D$5)*86400,2)</f>
        <v>159.51</v>
      </c>
      <c r="F1078" s="12" t="n">
        <v>1247</v>
      </c>
      <c r="G1078" s="11" t="n">
        <f aca="false">IF(INDEX(選手一覧!$F$7:$F$2738,$F1078)="","",INDEX(選手一覧!$F$7:$F$2738,$F1078))</f>
        <v>0.00723148148148148</v>
      </c>
      <c r="H1078" s="12" t="n">
        <f aca="false">IF(INDEX(選手一覧!$G$7:$G$2738,$F1078)="","",INDEX(選手一覧!$G$7:$G$2738,$F1078))</f>
        <v>575</v>
      </c>
      <c r="I1078" s="11" t="n">
        <f aca="false">IF(INDEX(選手一覧!$H$7:$H$2738,$F1078)="","",INDEX(選手一覧!$H$7:$H$2738,$F1078))</f>
        <v>0.00285983796296296</v>
      </c>
      <c r="J1078" s="12" t="n">
        <f aca="false">IF(INDEX(選手一覧!$I$7:$I$2738,$F1078)="","",INDEX(選手一覧!$I$7:$I$2738,$F1078))</f>
        <v>632</v>
      </c>
    </row>
    <row r="1079" customFormat="false" ht="15" hidden="false" customHeight="false" outlineLevel="0" collapsed="false">
      <c r="A1079" s="12" t="n">
        <v>1075</v>
      </c>
      <c r="B1079" s="10" t="s">
        <v>3133</v>
      </c>
      <c r="C1079" s="10" t="s">
        <v>1855</v>
      </c>
      <c r="D1079" s="11" t="n">
        <v>0.0109871527777778</v>
      </c>
      <c r="E1079" s="18" t="n">
        <f aca="false">ROUND((D1079-$D$5)*86400,2)</f>
        <v>159.55</v>
      </c>
      <c r="F1079" s="12" t="n">
        <v>2200</v>
      </c>
      <c r="G1079" s="11" t="str">
        <f aca="false">IF(INDEX(選手一覧!$F$7:$F$2738,$F1079)="","",INDEX(選手一覧!$F$7:$F$2738,$F1079))</f>
        <v/>
      </c>
      <c r="H1079" s="12" t="str">
        <f aca="false">IF(INDEX(選手一覧!$G$7:$G$2738,$F1079)="","",INDEX(選手一覧!$G$7:$G$2738,$F1079))</f>
        <v/>
      </c>
      <c r="I1079" s="11" t="str">
        <f aca="false">IF(INDEX(選手一覧!$H$7:$H$2738,$F1079)="","",INDEX(選手一覧!$H$7:$H$2738,$F1079))</f>
        <v/>
      </c>
      <c r="J1079" s="12" t="str">
        <f aca="false">IF(INDEX(選手一覧!$I$7:$I$2738,$F1079)="","",INDEX(選手一覧!$I$7:$I$2738,$F1079))</f>
        <v/>
      </c>
    </row>
    <row r="1080" customFormat="false" ht="15" hidden="false" customHeight="false" outlineLevel="0" collapsed="false">
      <c r="A1080" s="12" t="n">
        <v>1076</v>
      </c>
      <c r="B1080" s="10" t="s">
        <v>2358</v>
      </c>
      <c r="C1080" s="10" t="s">
        <v>277</v>
      </c>
      <c r="D1080" s="11" t="n">
        <v>0.0109872685185185</v>
      </c>
      <c r="E1080" s="18" t="n">
        <f aca="false">ROUND((D1080-$D$5)*86400,2)</f>
        <v>159.56</v>
      </c>
      <c r="F1080" s="12" t="n">
        <v>1633</v>
      </c>
      <c r="G1080" s="11" t="n">
        <f aca="false">IF(INDEX(選手一覧!$F$7:$F$2738,$F1080)="","",INDEX(選手一覧!$F$7:$F$2738,$F1080))</f>
        <v>0.00740451388888889</v>
      </c>
      <c r="H1080" s="12" t="n">
        <f aca="false">IF(INDEX(選手一覧!$G$7:$G$2738,$F1080)="","",INDEX(選手一覧!$G$7:$G$2738,$F1080))</f>
        <v>777</v>
      </c>
      <c r="I1080" s="11" t="n">
        <f aca="false">IF(INDEX(選手一覧!$H$7:$H$2738,$F1080)="","",INDEX(選手一覧!$H$7:$H$2738,$F1080))</f>
        <v>0.00289212962962963</v>
      </c>
      <c r="J1080" s="12" t="n">
        <f aca="false">IF(INDEX(選手一覧!$I$7:$I$2738,$F1080)="","",INDEX(選手一覧!$I$7:$I$2738,$F1080))</f>
        <v>892</v>
      </c>
    </row>
    <row r="1081" customFormat="false" ht="15" hidden="false" customHeight="false" outlineLevel="0" collapsed="false">
      <c r="A1081" s="12" t="n">
        <v>1077</v>
      </c>
      <c r="B1081" s="10" t="s">
        <v>3139</v>
      </c>
      <c r="C1081" s="10" t="s">
        <v>213</v>
      </c>
      <c r="D1081" s="11" t="n">
        <v>0.0109878472222222</v>
      </c>
      <c r="E1081" s="18" t="n">
        <f aca="false">ROUND((D1081-$D$5)*86400,2)</f>
        <v>159.61</v>
      </c>
      <c r="F1081" s="12" t="n">
        <v>2204</v>
      </c>
      <c r="G1081" s="11" t="str">
        <f aca="false">IF(INDEX(選手一覧!$F$7:$F$2738,$F1081)="","",INDEX(選手一覧!$F$7:$F$2738,$F1081))</f>
        <v/>
      </c>
      <c r="H1081" s="12" t="str">
        <f aca="false">IF(INDEX(選手一覧!$G$7:$G$2738,$F1081)="","",INDEX(選手一覧!$G$7:$G$2738,$F1081))</f>
        <v/>
      </c>
      <c r="I1081" s="11" t="str">
        <f aca="false">IF(INDEX(選手一覧!$H$7:$H$2738,$F1081)="","",INDEX(選手一覧!$H$7:$H$2738,$F1081))</f>
        <v/>
      </c>
      <c r="J1081" s="12" t="str">
        <f aca="false">IF(INDEX(選手一覧!$I$7:$I$2738,$F1081)="","",INDEX(選手一覧!$I$7:$I$2738,$F1081))</f>
        <v/>
      </c>
    </row>
    <row r="1082" customFormat="false" ht="15" hidden="false" customHeight="false" outlineLevel="0" collapsed="false">
      <c r="A1082" s="12" t="n">
        <v>1078</v>
      </c>
      <c r="B1082" s="10" t="s">
        <v>2411</v>
      </c>
      <c r="C1082" s="10" t="s">
        <v>64</v>
      </c>
      <c r="D1082" s="11" t="n">
        <v>0.0109891203703704</v>
      </c>
      <c r="E1082" s="18" t="n">
        <f aca="false">ROUND((D1082-$D$5)*86400,2)</f>
        <v>159.72</v>
      </c>
      <c r="F1082" s="12" t="n">
        <v>1677</v>
      </c>
      <c r="G1082" s="11" t="str">
        <f aca="false">IF(INDEX(選手一覧!$F$7:$F$2738,$F1082)="","",INDEX(選手一覧!$F$7:$F$2738,$F1082))</f>
        <v/>
      </c>
      <c r="H1082" s="12" t="str">
        <f aca="false">IF(INDEX(選手一覧!$G$7:$G$2738,$F1082)="","",INDEX(選手一覧!$G$7:$G$2738,$F1082))</f>
        <v/>
      </c>
      <c r="I1082" s="11" t="n">
        <f aca="false">IF(INDEX(選手一覧!$H$7:$H$2738,$F1082)="","",INDEX(選手一覧!$H$7:$H$2738,$F1082))</f>
        <v>0.00288287037037037</v>
      </c>
      <c r="J1082" s="12" t="n">
        <f aca="false">IF(INDEX(選手一覧!$I$7:$I$2738,$F1082)="","",INDEX(選手一覧!$I$7:$I$2738,$F1082))</f>
        <v>801</v>
      </c>
    </row>
    <row r="1083" customFormat="false" ht="15" hidden="false" customHeight="false" outlineLevel="0" collapsed="false">
      <c r="A1083" s="12" t="n">
        <v>1079</v>
      </c>
      <c r="B1083" s="10" t="s">
        <v>1028</v>
      </c>
      <c r="C1083" s="10" t="s">
        <v>541</v>
      </c>
      <c r="D1083" s="11" t="n">
        <v>0.0109903935185185</v>
      </c>
      <c r="E1083" s="18" t="n">
        <f aca="false">ROUND((D1083-$D$5)*86400,2)</f>
        <v>159.83</v>
      </c>
      <c r="F1083" s="12" t="n">
        <v>689</v>
      </c>
      <c r="G1083" s="11" t="str">
        <f aca="false">IF(INDEX(選手一覧!$F$7:$F$2738,$F1083)="","",INDEX(選手一覧!$F$7:$F$2738,$F1083))</f>
        <v/>
      </c>
      <c r="H1083" s="12" t="str">
        <f aca="false">IF(INDEX(選手一覧!$G$7:$G$2738,$F1083)="","",INDEX(選手一覧!$G$7:$G$2738,$F1083))</f>
        <v/>
      </c>
      <c r="I1083" s="11" t="n">
        <f aca="false">IF(INDEX(選手一覧!$H$7:$H$2738,$F1083)="","",INDEX(選手一覧!$H$7:$H$2738,$F1083))</f>
        <v>0.00280266203703704</v>
      </c>
      <c r="J1083" s="12" t="n">
        <f aca="false">IF(INDEX(選手一覧!$I$7:$I$2738,$F1083)="","",INDEX(選手一覧!$I$7:$I$2738,$F1083))</f>
        <v>293</v>
      </c>
    </row>
    <row r="1084" customFormat="false" ht="15" hidden="false" customHeight="false" outlineLevel="0" collapsed="false">
      <c r="A1084" s="12" t="n">
        <v>1080</v>
      </c>
      <c r="B1084" s="10" t="s">
        <v>2105</v>
      </c>
      <c r="C1084" s="10" t="s">
        <v>2106</v>
      </c>
      <c r="D1084" s="11" t="n">
        <v>0.0109907407407407</v>
      </c>
      <c r="E1084" s="18" t="n">
        <f aca="false">ROUND((D1084-$D$5)*86400,2)</f>
        <v>159.86</v>
      </c>
      <c r="F1084" s="12" t="n">
        <v>1455</v>
      </c>
      <c r="G1084" s="11" t="str">
        <f aca="false">IF(INDEX(選手一覧!$F$7:$F$2738,$F1084)="","",INDEX(選手一覧!$F$7:$F$2738,$F1084))</f>
        <v/>
      </c>
      <c r="H1084" s="12" t="str">
        <f aca="false">IF(INDEX(選手一覧!$G$7:$G$2738,$F1084)="","",INDEX(選手一覧!$G$7:$G$2738,$F1084))</f>
        <v/>
      </c>
      <c r="I1084" s="11" t="n">
        <f aca="false">IF(INDEX(選手一覧!$H$7:$H$2738,$F1084)="","",INDEX(選手一覧!$H$7:$H$2738,$F1084))</f>
        <v>0.0028693287037037</v>
      </c>
      <c r="J1084" s="12" t="n">
        <f aca="false">IF(INDEX(選手一覧!$I$7:$I$2738,$F1084)="","",INDEX(選手一覧!$I$7:$I$2738,$F1084))</f>
        <v>689</v>
      </c>
    </row>
    <row r="1085" customFormat="false" ht="15" hidden="false" customHeight="false" outlineLevel="0" collapsed="false">
      <c r="A1085" s="12" t="n">
        <v>1081</v>
      </c>
      <c r="B1085" s="10" t="s">
        <v>1739</v>
      </c>
      <c r="C1085" s="10" t="s">
        <v>1740</v>
      </c>
      <c r="D1085" s="11" t="n">
        <v>0.0109909722222222</v>
      </c>
      <c r="E1085" s="18" t="n">
        <f aca="false">ROUND((D1085-$D$5)*86400,2)</f>
        <v>159.88</v>
      </c>
      <c r="F1085" s="12" t="n">
        <v>1199</v>
      </c>
      <c r="G1085" s="11" t="n">
        <f aca="false">IF(INDEX(選手一覧!$F$7:$F$2738,$F1085)="","",INDEX(選手一覧!$F$7:$F$2738,$F1085))</f>
        <v>0.00721296296296296</v>
      </c>
      <c r="H1085" s="12" t="n">
        <f aca="false">IF(INDEX(選手一覧!$G$7:$G$2738,$F1085)="","",INDEX(選手一覧!$G$7:$G$2738,$F1085))</f>
        <v>550</v>
      </c>
      <c r="I1085" s="11" t="str">
        <f aca="false">IF(INDEX(選手一覧!$H$7:$H$2738,$F1085)="","",INDEX(選手一覧!$H$7:$H$2738,$F1085))</f>
        <v/>
      </c>
      <c r="J1085" s="12" t="str">
        <f aca="false">IF(INDEX(選手一覧!$I$7:$I$2738,$F1085)="","",INDEX(選手一覧!$I$7:$I$2738,$F1085))</f>
        <v/>
      </c>
    </row>
    <row r="1086" customFormat="false" ht="15" hidden="false" customHeight="false" outlineLevel="0" collapsed="false">
      <c r="A1086" s="12" t="n">
        <v>1082</v>
      </c>
      <c r="B1086" s="10" t="s">
        <v>871</v>
      </c>
      <c r="C1086" s="10" t="s">
        <v>872</v>
      </c>
      <c r="D1086" s="11" t="n">
        <v>0.0109918981481482</v>
      </c>
      <c r="E1086" s="18" t="n">
        <f aca="false">ROUND((D1086-$D$5)*86400,2)</f>
        <v>159.96</v>
      </c>
      <c r="F1086" s="12" t="n">
        <v>571</v>
      </c>
      <c r="G1086" s="11" t="n">
        <f aca="false">IF(INDEX(選手一覧!$F$7:$F$2738,$F1086)="","",INDEX(選手一覧!$F$7:$F$2738,$F1086))</f>
        <v>0.00689988425925926</v>
      </c>
      <c r="H1086" s="12" t="n">
        <f aca="false">IF(INDEX(選手一覧!$G$7:$G$2738,$F1086)="","",INDEX(選手一覧!$G$7:$G$2738,$F1086))</f>
        <v>240</v>
      </c>
      <c r="I1086" s="11" t="str">
        <f aca="false">IF(INDEX(選手一覧!$H$7:$H$2738,$F1086)="","",INDEX(選手一覧!$H$7:$H$2738,$F1086))</f>
        <v/>
      </c>
      <c r="J1086" s="12" t="str">
        <f aca="false">IF(INDEX(選手一覧!$I$7:$I$2738,$F1086)="","",INDEX(選手一覧!$I$7:$I$2738,$F1086))</f>
        <v/>
      </c>
    </row>
    <row r="1087" customFormat="false" ht="15" hidden="false" customHeight="false" outlineLevel="0" collapsed="false">
      <c r="A1087" s="12" t="n">
        <v>1083</v>
      </c>
      <c r="B1087" s="10" t="s">
        <v>3150</v>
      </c>
      <c r="C1087" s="10" t="s">
        <v>397</v>
      </c>
      <c r="D1087" s="11" t="n">
        <v>0.0109921296296296</v>
      </c>
      <c r="E1087" s="18" t="n">
        <f aca="false">ROUND((D1087-$D$5)*86400,2)</f>
        <v>159.98</v>
      </c>
      <c r="F1087" s="12" t="n">
        <v>2213</v>
      </c>
      <c r="G1087" s="11" t="str">
        <f aca="false">IF(INDEX(選手一覧!$F$7:$F$2738,$F1087)="","",INDEX(選手一覧!$F$7:$F$2738,$F1087))</f>
        <v/>
      </c>
      <c r="H1087" s="12" t="str">
        <f aca="false">IF(INDEX(選手一覧!$G$7:$G$2738,$F1087)="","",INDEX(選手一覧!$G$7:$G$2738,$F1087))</f>
        <v/>
      </c>
      <c r="I1087" s="11" t="str">
        <f aca="false">IF(INDEX(選手一覧!$H$7:$H$2738,$F1087)="","",INDEX(選手一覧!$H$7:$H$2738,$F1087))</f>
        <v/>
      </c>
      <c r="J1087" s="12" t="str">
        <f aca="false">IF(INDEX(選手一覧!$I$7:$I$2738,$F1087)="","",INDEX(選手一覧!$I$7:$I$2738,$F1087))</f>
        <v/>
      </c>
    </row>
    <row r="1088" customFormat="false" ht="15" hidden="false" customHeight="false" outlineLevel="0" collapsed="false">
      <c r="A1088" s="12" t="n">
        <v>1084</v>
      </c>
      <c r="B1088" s="10" t="s">
        <v>1115</v>
      </c>
      <c r="C1088" s="10" t="s">
        <v>494</v>
      </c>
      <c r="D1088" s="11" t="n">
        <v>0.0109925925925926</v>
      </c>
      <c r="E1088" s="18" t="n">
        <f aca="false">ROUND((D1088-$D$5)*86400,2)</f>
        <v>160.02</v>
      </c>
      <c r="F1088" s="12" t="n">
        <v>752</v>
      </c>
      <c r="G1088" s="11" t="n">
        <f aca="false">IF(INDEX(選手一覧!$F$7:$F$2738,$F1088)="","",INDEX(選手一覧!$F$7:$F$2738,$F1088))</f>
        <v>0.00699201388888889</v>
      </c>
      <c r="H1088" s="12" t="n">
        <f aca="false">IF(INDEX(選手一覧!$G$7:$G$2738,$F1088)="","",INDEX(選手一覧!$G$7:$G$2738,$F1088))</f>
        <v>326</v>
      </c>
      <c r="I1088" s="11" t="n">
        <f aca="false">IF(INDEX(選手一覧!$H$7:$H$2738,$F1088)="","",INDEX(選手一覧!$H$7:$H$2738,$F1088))</f>
        <v>0.00289224537037037</v>
      </c>
      <c r="J1088" s="12" t="n">
        <f aca="false">IF(INDEX(選手一覧!$I$7:$I$2738,$F1088)="","",INDEX(選手一覧!$I$7:$I$2738,$F1088))</f>
        <v>893</v>
      </c>
    </row>
    <row r="1089" customFormat="false" ht="15" hidden="false" customHeight="false" outlineLevel="0" collapsed="false">
      <c r="A1089" s="12" t="n">
        <v>1085</v>
      </c>
      <c r="B1089" s="10" t="s">
        <v>757</v>
      </c>
      <c r="C1089" s="10" t="s">
        <v>758</v>
      </c>
      <c r="D1089" s="11" t="n">
        <v>0.0109927083333333</v>
      </c>
      <c r="E1089" s="18" t="n">
        <f aca="false">ROUND((D1089-$D$5)*86400,2)</f>
        <v>160.03</v>
      </c>
      <c r="F1089" s="12" t="n">
        <v>488</v>
      </c>
      <c r="G1089" s="11" t="n">
        <f aca="false">IF(INDEX(選手一覧!$F$7:$F$2738,$F1089)="","",INDEX(選手一覧!$F$7:$F$2738,$F1089))</f>
        <v>0.0068556712962963</v>
      </c>
      <c r="H1089" s="12" t="n">
        <f aca="false">IF(INDEX(選手一覧!$G$7:$G$2738,$F1089)="","",INDEX(選手一覧!$G$7:$G$2738,$F1089))</f>
        <v>205</v>
      </c>
      <c r="I1089" s="11" t="str">
        <f aca="false">IF(INDEX(選手一覧!$H$7:$H$2738,$F1089)="","",INDEX(選手一覧!$H$7:$H$2738,$F1089))</f>
        <v/>
      </c>
      <c r="J1089" s="12" t="str">
        <f aca="false">IF(INDEX(選手一覧!$I$7:$I$2738,$F1089)="","",INDEX(選手一覧!$I$7:$I$2738,$F1089))</f>
        <v/>
      </c>
    </row>
    <row r="1090" customFormat="false" ht="15" hidden="false" customHeight="false" outlineLevel="0" collapsed="false">
      <c r="A1090" s="12" t="n">
        <v>1086</v>
      </c>
      <c r="B1090" s="10" t="s">
        <v>176</v>
      </c>
      <c r="C1090" s="10" t="s">
        <v>177</v>
      </c>
      <c r="D1090" s="11" t="n">
        <v>0.0109936342592593</v>
      </c>
      <c r="E1090" s="18" t="n">
        <f aca="false">ROUND((D1090-$D$5)*86400,2)</f>
        <v>160.11</v>
      </c>
      <c r="F1090" s="12" t="n">
        <v>88</v>
      </c>
      <c r="G1090" s="11" t="n">
        <f aca="false">IF(INDEX(選手一覧!$F$7:$F$2738,$F1090)="","",INDEX(選手一覧!$F$7:$F$2738,$F1090))</f>
        <v>0.00649803240740741</v>
      </c>
      <c r="H1090" s="12" t="n">
        <f aca="false">IF(INDEX(選手一覧!$G$7:$G$2738,$F1090)="","",INDEX(選手一覧!$G$7:$G$2738,$F1090))</f>
        <v>35</v>
      </c>
      <c r="I1090" s="11" t="n">
        <f aca="false">IF(INDEX(選手一覧!$H$7:$H$2738,$F1090)="","",INDEX(選手一覧!$H$7:$H$2738,$F1090))</f>
        <v>0.00290150462962963</v>
      </c>
      <c r="J1090" s="12" t="n">
        <f aca="false">IF(INDEX(選手一覧!$I$7:$I$2738,$F1090)="","",INDEX(選手一覧!$I$7:$I$2738,$F1090))</f>
        <v>958</v>
      </c>
    </row>
    <row r="1091" customFormat="false" ht="15" hidden="false" customHeight="false" outlineLevel="0" collapsed="false">
      <c r="A1091" s="12" t="n">
        <v>1087</v>
      </c>
      <c r="B1091" s="10" t="s">
        <v>3157</v>
      </c>
      <c r="C1091" s="10" t="s">
        <v>350</v>
      </c>
      <c r="D1091" s="11" t="n">
        <v>0.0109949074074074</v>
      </c>
      <c r="E1091" s="18" t="n">
        <f aca="false">ROUND((D1091-$D$5)*86400,2)</f>
        <v>160.22</v>
      </c>
      <c r="F1091" s="12" t="n">
        <v>2219</v>
      </c>
      <c r="G1091" s="11" t="str">
        <f aca="false">IF(INDEX(選手一覧!$F$7:$F$2738,$F1091)="","",INDEX(選手一覧!$F$7:$F$2738,$F1091))</f>
        <v/>
      </c>
      <c r="H1091" s="12" t="str">
        <f aca="false">IF(INDEX(選手一覧!$G$7:$G$2738,$F1091)="","",INDEX(選手一覧!$G$7:$G$2738,$F1091))</f>
        <v/>
      </c>
      <c r="I1091" s="11" t="str">
        <f aca="false">IF(INDEX(選手一覧!$H$7:$H$2738,$F1091)="","",INDEX(選手一覧!$H$7:$H$2738,$F1091))</f>
        <v/>
      </c>
      <c r="J1091" s="12" t="str">
        <f aca="false">IF(INDEX(選手一覧!$I$7:$I$2738,$F1091)="","",INDEX(選手一覧!$I$7:$I$2738,$F1091))</f>
        <v/>
      </c>
    </row>
    <row r="1092" customFormat="false" ht="15" hidden="false" customHeight="false" outlineLevel="0" collapsed="false">
      <c r="A1092" s="12" t="n">
        <v>1088</v>
      </c>
      <c r="B1092" s="10" t="s">
        <v>1235</v>
      </c>
      <c r="C1092" s="10" t="s">
        <v>974</v>
      </c>
      <c r="D1092" s="11" t="n">
        <v>0.0109949074074074</v>
      </c>
      <c r="E1092" s="18" t="n">
        <f aca="false">ROUND((D1092-$D$5)*86400,2)</f>
        <v>160.22</v>
      </c>
      <c r="F1092" s="12" t="n">
        <v>838</v>
      </c>
      <c r="G1092" s="11" t="n">
        <f aca="false">IF(INDEX(選手一覧!$F$7:$F$2738,$F1092)="","",INDEX(選手一覧!$F$7:$F$2738,$F1092))</f>
        <v>0.00703831018518519</v>
      </c>
      <c r="H1092" s="12" t="n">
        <f aca="false">IF(INDEX(選手一覧!$G$7:$G$2738,$F1092)="","",INDEX(選手一覧!$G$7:$G$2738,$F1092))</f>
        <v>370</v>
      </c>
      <c r="I1092" s="11" t="n">
        <f aca="false">IF(INDEX(選手一覧!$H$7:$H$2738,$F1092)="","",INDEX(選手一覧!$H$7:$H$2738,$F1092))</f>
        <v>0.00291365740740741</v>
      </c>
      <c r="J1092" s="12" t="n">
        <f aca="false">IF(INDEX(選手一覧!$I$7:$I$2738,$F1092)="","",INDEX(選手一覧!$I$7:$I$2738,$F1092))</f>
        <v>1048</v>
      </c>
    </row>
    <row r="1093" customFormat="false" ht="15" hidden="false" customHeight="false" outlineLevel="0" collapsed="false">
      <c r="A1093" s="12" t="n">
        <v>1089</v>
      </c>
      <c r="B1093" s="10" t="s">
        <v>2007</v>
      </c>
      <c r="C1093" s="10" t="s">
        <v>374</v>
      </c>
      <c r="D1093" s="11" t="n">
        <v>0.0109954861111111</v>
      </c>
      <c r="E1093" s="18" t="n">
        <f aca="false">ROUND((D1093-$D$5)*86400,2)</f>
        <v>160.27</v>
      </c>
      <c r="F1093" s="12" t="n">
        <v>1385</v>
      </c>
      <c r="G1093" s="11" t="n">
        <f aca="false">IF(INDEX(選手一覧!$F$7:$F$2738,$F1093)="","",INDEX(選手一覧!$F$7:$F$2738,$F1093))</f>
        <v>0.00730405092592593</v>
      </c>
      <c r="H1093" s="12" t="n">
        <f aca="false">IF(INDEX(選手一覧!$G$7:$G$2738,$F1093)="","",INDEX(選手一覧!$G$7:$G$2738,$F1093))</f>
        <v>651</v>
      </c>
      <c r="I1093" s="11" t="str">
        <f aca="false">IF(INDEX(選手一覧!$H$7:$H$2738,$F1093)="","",INDEX(選手一覧!$H$7:$H$2738,$F1093))</f>
        <v/>
      </c>
      <c r="J1093" s="12" t="str">
        <f aca="false">IF(INDEX(選手一覧!$I$7:$I$2738,$F1093)="","",INDEX(選手一覧!$I$7:$I$2738,$F1093))</f>
        <v/>
      </c>
    </row>
    <row r="1094" customFormat="false" ht="15" hidden="false" customHeight="false" outlineLevel="0" collapsed="false">
      <c r="A1094" s="12" t="n">
        <v>1090</v>
      </c>
      <c r="B1094" s="10" t="s">
        <v>3167</v>
      </c>
      <c r="C1094" s="10" t="s">
        <v>95</v>
      </c>
      <c r="D1094" s="11" t="n">
        <v>0.0109961805555556</v>
      </c>
      <c r="E1094" s="18" t="n">
        <f aca="false">ROUND((D1094-$D$5)*86400,2)</f>
        <v>160.33</v>
      </c>
      <c r="F1094" s="12" t="n">
        <v>2226</v>
      </c>
      <c r="G1094" s="11" t="str">
        <f aca="false">IF(INDEX(選手一覧!$F$7:$F$2738,$F1094)="","",INDEX(選手一覧!$F$7:$F$2738,$F1094))</f>
        <v/>
      </c>
      <c r="H1094" s="12" t="str">
        <f aca="false">IF(INDEX(選手一覧!$G$7:$G$2738,$F1094)="","",INDEX(選手一覧!$G$7:$G$2738,$F1094))</f>
        <v/>
      </c>
      <c r="I1094" s="11" t="str">
        <f aca="false">IF(INDEX(選手一覧!$H$7:$H$2738,$F1094)="","",INDEX(選手一覧!$H$7:$H$2738,$F1094))</f>
        <v/>
      </c>
      <c r="J1094" s="12" t="str">
        <f aca="false">IF(INDEX(選手一覧!$I$7:$I$2738,$F1094)="","",INDEX(選手一覧!$I$7:$I$2738,$F1094))</f>
        <v/>
      </c>
    </row>
    <row r="1095" customFormat="false" ht="15" hidden="false" customHeight="false" outlineLevel="0" collapsed="false">
      <c r="A1095" s="12" t="n">
        <v>1091</v>
      </c>
      <c r="B1095" s="10" t="s">
        <v>3171</v>
      </c>
      <c r="C1095" s="10" t="s">
        <v>126</v>
      </c>
      <c r="D1095" s="11" t="n">
        <v>0.0109961805555556</v>
      </c>
      <c r="E1095" s="18" t="n">
        <f aca="false">ROUND((D1095-$D$5)*86400,2)</f>
        <v>160.33</v>
      </c>
      <c r="F1095" s="12" t="n">
        <v>2229</v>
      </c>
      <c r="G1095" s="11" t="str">
        <f aca="false">IF(INDEX(選手一覧!$F$7:$F$2738,$F1095)="","",INDEX(選手一覧!$F$7:$F$2738,$F1095))</f>
        <v/>
      </c>
      <c r="H1095" s="12" t="str">
        <f aca="false">IF(INDEX(選手一覧!$G$7:$G$2738,$F1095)="","",INDEX(選手一覧!$G$7:$G$2738,$F1095))</f>
        <v/>
      </c>
      <c r="I1095" s="11" t="str">
        <f aca="false">IF(INDEX(選手一覧!$H$7:$H$2738,$F1095)="","",INDEX(選手一覧!$H$7:$H$2738,$F1095))</f>
        <v/>
      </c>
      <c r="J1095" s="12" t="str">
        <f aca="false">IF(INDEX(選手一覧!$I$7:$I$2738,$F1095)="","",INDEX(選手一覧!$I$7:$I$2738,$F1095))</f>
        <v/>
      </c>
    </row>
    <row r="1096" customFormat="false" ht="15" hidden="false" customHeight="false" outlineLevel="0" collapsed="false">
      <c r="A1096" s="12" t="n">
        <v>1092</v>
      </c>
      <c r="B1096" s="10" t="s">
        <v>3172</v>
      </c>
      <c r="C1096" s="10" t="s">
        <v>1608</v>
      </c>
      <c r="D1096" s="11" t="n">
        <v>0.0109965277777778</v>
      </c>
      <c r="E1096" s="18" t="n">
        <f aca="false">ROUND((D1096-$D$5)*86400,2)</f>
        <v>160.36</v>
      </c>
      <c r="F1096" s="12" t="n">
        <v>2230</v>
      </c>
      <c r="G1096" s="11" t="str">
        <f aca="false">IF(INDEX(選手一覧!$F$7:$F$2738,$F1096)="","",INDEX(選手一覧!$F$7:$F$2738,$F1096))</f>
        <v/>
      </c>
      <c r="H1096" s="12" t="str">
        <f aca="false">IF(INDEX(選手一覧!$G$7:$G$2738,$F1096)="","",INDEX(選手一覧!$G$7:$G$2738,$F1096))</f>
        <v/>
      </c>
      <c r="I1096" s="11" t="str">
        <f aca="false">IF(INDEX(選手一覧!$H$7:$H$2738,$F1096)="","",INDEX(選手一覧!$H$7:$H$2738,$F1096))</f>
        <v/>
      </c>
      <c r="J1096" s="12" t="str">
        <f aca="false">IF(INDEX(選手一覧!$I$7:$I$2738,$F1096)="","",INDEX(選手一覧!$I$7:$I$2738,$F1096))</f>
        <v/>
      </c>
    </row>
    <row r="1097" customFormat="false" ht="15" hidden="false" customHeight="false" outlineLevel="0" collapsed="false">
      <c r="A1097" s="12" t="n">
        <v>1093</v>
      </c>
      <c r="B1097" s="10" t="s">
        <v>1275</v>
      </c>
      <c r="C1097" s="10" t="s">
        <v>1276</v>
      </c>
      <c r="D1097" s="11" t="n">
        <v>0.0109971064814815</v>
      </c>
      <c r="E1097" s="18" t="n">
        <f aca="false">ROUND((D1097-$D$5)*86400,2)</f>
        <v>160.41</v>
      </c>
      <c r="F1097" s="12" t="n">
        <v>868</v>
      </c>
      <c r="G1097" s="11" t="str">
        <f aca="false">IF(INDEX(選手一覧!$F$7:$F$2738,$F1097)="","",INDEX(選手一覧!$F$7:$F$2738,$F1097))</f>
        <v/>
      </c>
      <c r="H1097" s="12" t="str">
        <f aca="false">IF(INDEX(選手一覧!$G$7:$G$2738,$F1097)="","",INDEX(選手一覧!$G$7:$G$2738,$F1097))</f>
        <v/>
      </c>
      <c r="I1097" s="11" t="n">
        <f aca="false">IF(INDEX(選手一覧!$H$7:$H$2738,$F1097)="","",INDEX(選手一覧!$H$7:$H$2738,$F1097))</f>
        <v>0.00282384259259259</v>
      </c>
      <c r="J1097" s="12" t="n">
        <f aca="false">IF(INDEX(選手一覧!$I$7:$I$2738,$F1097)="","",INDEX(選手一覧!$I$7:$I$2738,$F1097))</f>
        <v>386</v>
      </c>
    </row>
    <row r="1098" customFormat="false" ht="15" hidden="false" customHeight="false" outlineLevel="0" collapsed="false">
      <c r="A1098" s="12" t="n">
        <v>1094</v>
      </c>
      <c r="B1098" s="10" t="s">
        <v>3179</v>
      </c>
      <c r="C1098" s="10" t="s">
        <v>83</v>
      </c>
      <c r="D1098" s="11" t="n">
        <v>0.0109979166666667</v>
      </c>
      <c r="E1098" s="18" t="n">
        <f aca="false">ROUND((D1098-$D$5)*86400,2)</f>
        <v>160.48</v>
      </c>
      <c r="F1098" s="12" t="n">
        <v>2235</v>
      </c>
      <c r="G1098" s="11" t="str">
        <f aca="false">IF(INDEX(選手一覧!$F$7:$F$2738,$F1098)="","",INDEX(選手一覧!$F$7:$F$2738,$F1098))</f>
        <v/>
      </c>
      <c r="H1098" s="12" t="str">
        <f aca="false">IF(INDEX(選手一覧!$G$7:$G$2738,$F1098)="","",INDEX(選手一覧!$G$7:$G$2738,$F1098))</f>
        <v/>
      </c>
      <c r="I1098" s="11" t="str">
        <f aca="false">IF(INDEX(選手一覧!$H$7:$H$2738,$F1098)="","",INDEX(選手一覧!$H$7:$H$2738,$F1098))</f>
        <v/>
      </c>
      <c r="J1098" s="12" t="str">
        <f aca="false">IF(INDEX(選手一覧!$I$7:$I$2738,$F1098)="","",INDEX(選手一覧!$I$7:$I$2738,$F1098))</f>
        <v/>
      </c>
    </row>
    <row r="1099" customFormat="false" ht="15" hidden="false" customHeight="false" outlineLevel="0" collapsed="false">
      <c r="A1099" s="12" t="n">
        <v>1095</v>
      </c>
      <c r="B1099" s="10" t="s">
        <v>3181</v>
      </c>
      <c r="C1099" s="10" t="s">
        <v>1322</v>
      </c>
      <c r="D1099" s="11" t="n">
        <v>0.0109983796296296</v>
      </c>
      <c r="E1099" s="18" t="n">
        <f aca="false">ROUND((D1099-$D$5)*86400,2)</f>
        <v>160.52</v>
      </c>
      <c r="F1099" s="12" t="n">
        <v>2237</v>
      </c>
      <c r="G1099" s="11" t="str">
        <f aca="false">IF(INDEX(選手一覧!$F$7:$F$2738,$F1099)="","",INDEX(選手一覧!$F$7:$F$2738,$F1099))</f>
        <v/>
      </c>
      <c r="H1099" s="12" t="str">
        <f aca="false">IF(INDEX(選手一覧!$G$7:$G$2738,$F1099)="","",INDEX(選手一覧!$G$7:$G$2738,$F1099))</f>
        <v/>
      </c>
      <c r="I1099" s="11" t="str">
        <f aca="false">IF(INDEX(選手一覧!$H$7:$H$2738,$F1099)="","",INDEX(選手一覧!$H$7:$H$2738,$F1099))</f>
        <v/>
      </c>
      <c r="J1099" s="12" t="str">
        <f aca="false">IF(INDEX(選手一覧!$I$7:$I$2738,$F1099)="","",INDEX(選手一覧!$I$7:$I$2738,$F1099))</f>
        <v/>
      </c>
    </row>
    <row r="1100" customFormat="false" ht="15" hidden="false" customHeight="false" outlineLevel="0" collapsed="false">
      <c r="A1100" s="12" t="n">
        <v>1096</v>
      </c>
      <c r="B1100" s="10" t="s">
        <v>598</v>
      </c>
      <c r="C1100" s="10" t="s">
        <v>599</v>
      </c>
      <c r="D1100" s="11" t="n">
        <v>0.010999537037037</v>
      </c>
      <c r="E1100" s="18" t="n">
        <f aca="false">ROUND((D1100-$D$5)*86400,2)</f>
        <v>160.62</v>
      </c>
      <c r="F1100" s="12" t="n">
        <v>378</v>
      </c>
      <c r="G1100" s="11" t="n">
        <f aca="false">IF(INDEX(選手一覧!$F$7:$F$2738,$F1100)="","",INDEX(選手一覧!$F$7:$F$2738,$F1100))</f>
        <v>0.006784375</v>
      </c>
      <c r="H1100" s="12" t="n">
        <f aca="false">IF(INDEX(選手一覧!$G$7:$G$2738,$F1100)="","",INDEX(選手一覧!$G$7:$G$2738,$F1100))</f>
        <v>160</v>
      </c>
      <c r="I1100" s="11" t="str">
        <f aca="false">IF(INDEX(選手一覧!$H$7:$H$2738,$F1100)="","",INDEX(選手一覧!$H$7:$H$2738,$F1100))</f>
        <v/>
      </c>
      <c r="J1100" s="12" t="str">
        <f aca="false">IF(INDEX(選手一覧!$I$7:$I$2738,$F1100)="","",INDEX(選手一覧!$I$7:$I$2738,$F1100))</f>
        <v/>
      </c>
    </row>
    <row r="1101" customFormat="false" ht="15" hidden="false" customHeight="false" outlineLevel="0" collapsed="false">
      <c r="A1101" s="12" t="n">
        <v>1097</v>
      </c>
      <c r="B1101" s="10" t="s">
        <v>1457</v>
      </c>
      <c r="C1101" s="10" t="s">
        <v>1458</v>
      </c>
      <c r="D1101" s="11" t="n">
        <v>0.0110001157407407</v>
      </c>
      <c r="E1101" s="18" t="n">
        <f aca="false">ROUND((D1101-$D$5)*86400,2)</f>
        <v>160.67</v>
      </c>
      <c r="F1101" s="12" t="n">
        <v>999</v>
      </c>
      <c r="G1101" s="11" t="n">
        <f aca="false">IF(INDEX(選手一覧!$F$7:$F$2738,$F1101)="","",INDEX(選手一覧!$F$7:$F$2738,$F1101))</f>
        <v>0.00709780092592593</v>
      </c>
      <c r="H1101" s="12" t="n">
        <f aca="false">IF(INDEX(選手一覧!$G$7:$G$2738,$F1101)="","",INDEX(選手一覧!$G$7:$G$2738,$F1101))</f>
        <v>447</v>
      </c>
      <c r="I1101" s="11" t="str">
        <f aca="false">IF(INDEX(選手一覧!$H$7:$H$2738,$F1101)="","",INDEX(選手一覧!$H$7:$H$2738,$F1101))</f>
        <v/>
      </c>
      <c r="J1101" s="12" t="str">
        <f aca="false">IF(INDEX(選手一覧!$I$7:$I$2738,$F1101)="","",INDEX(選手一覧!$I$7:$I$2738,$F1101))</f>
        <v/>
      </c>
    </row>
    <row r="1102" customFormat="false" ht="15" hidden="false" customHeight="false" outlineLevel="0" collapsed="false">
      <c r="A1102" s="12" t="n">
        <v>1098</v>
      </c>
      <c r="B1102" s="10" t="s">
        <v>858</v>
      </c>
      <c r="C1102" s="10" t="s">
        <v>242</v>
      </c>
      <c r="D1102" s="11" t="n">
        <v>0.0110020833333333</v>
      </c>
      <c r="E1102" s="18" t="n">
        <f aca="false">ROUND((D1102-$D$5)*86400,2)</f>
        <v>160.84</v>
      </c>
      <c r="F1102" s="12" t="n">
        <v>560</v>
      </c>
      <c r="G1102" s="11" t="n">
        <f aca="false">IF(INDEX(選手一覧!$F$7:$F$2738,$F1102)="","",INDEX(選手一覧!$F$7:$F$2738,$F1102))</f>
        <v>0.00689513888888889</v>
      </c>
      <c r="H1102" s="12" t="n">
        <f aca="false">IF(INDEX(選手一覧!$G$7:$G$2738,$F1102)="","",INDEX(選手一覧!$G$7:$G$2738,$F1102))</f>
        <v>235</v>
      </c>
      <c r="I1102" s="11" t="n">
        <f aca="false">IF(INDEX(選手一覧!$H$7:$H$2738,$F1102)="","",INDEX(選手一覧!$H$7:$H$2738,$F1102))</f>
        <v>0.00285775462962963</v>
      </c>
      <c r="J1102" s="12" t="n">
        <f aca="false">IF(INDEX(選手一覧!$I$7:$I$2738,$F1102)="","",INDEX(選手一覧!$I$7:$I$2738,$F1102))</f>
        <v>621</v>
      </c>
    </row>
    <row r="1103" customFormat="false" ht="15" hidden="false" customHeight="false" outlineLevel="0" collapsed="false">
      <c r="A1103" s="12" t="n">
        <v>1099</v>
      </c>
      <c r="B1103" s="10" t="s">
        <v>3010</v>
      </c>
      <c r="C1103" s="10" t="s">
        <v>2283</v>
      </c>
      <c r="D1103" s="11" t="n">
        <v>0.0110024305555556</v>
      </c>
      <c r="E1103" s="18" t="n">
        <f aca="false">ROUND((D1103-$D$5)*86400,2)</f>
        <v>160.87</v>
      </c>
      <c r="F1103" s="12" t="n">
        <v>2111</v>
      </c>
      <c r="G1103" s="11" t="str">
        <f aca="false">IF(INDEX(選手一覧!$F$7:$F$2738,$F1103)="","",INDEX(選手一覧!$F$7:$F$2738,$F1103))</f>
        <v/>
      </c>
      <c r="H1103" s="12" t="str">
        <f aca="false">IF(INDEX(選手一覧!$G$7:$G$2738,$F1103)="","",INDEX(選手一覧!$G$7:$G$2738,$F1103))</f>
        <v/>
      </c>
      <c r="I1103" s="11" t="n">
        <f aca="false">IF(INDEX(選手一覧!$H$7:$H$2738,$F1103)="","",INDEX(選手一覧!$H$7:$H$2738,$F1103))</f>
        <v>0.00291053240740741</v>
      </c>
      <c r="J1103" s="12" t="n">
        <f aca="false">IF(INDEX(選手一覧!$I$7:$I$2738,$F1103)="","",INDEX(選手一覧!$I$7:$I$2738,$F1103))</f>
        <v>1026</v>
      </c>
    </row>
    <row r="1104" customFormat="false" ht="15" hidden="false" customHeight="false" outlineLevel="0" collapsed="false">
      <c r="A1104" s="12" t="n">
        <v>1100</v>
      </c>
      <c r="B1104" s="10" t="s">
        <v>3194</v>
      </c>
      <c r="C1104" s="10" t="s">
        <v>3195</v>
      </c>
      <c r="D1104" s="11" t="n">
        <v>0.0110045138888889</v>
      </c>
      <c r="E1104" s="18" t="n">
        <f aca="false">ROUND((D1104-$D$5)*86400,2)</f>
        <v>161.05</v>
      </c>
      <c r="F1104" s="12" t="n">
        <v>2246</v>
      </c>
      <c r="G1104" s="11" t="str">
        <f aca="false">IF(INDEX(選手一覧!$F$7:$F$2738,$F1104)="","",INDEX(選手一覧!$F$7:$F$2738,$F1104))</f>
        <v/>
      </c>
      <c r="H1104" s="12" t="str">
        <f aca="false">IF(INDEX(選手一覧!$G$7:$G$2738,$F1104)="","",INDEX(選手一覧!$G$7:$G$2738,$F1104))</f>
        <v/>
      </c>
      <c r="I1104" s="11" t="str">
        <f aca="false">IF(INDEX(選手一覧!$H$7:$H$2738,$F1104)="","",INDEX(選手一覧!$H$7:$H$2738,$F1104))</f>
        <v/>
      </c>
      <c r="J1104" s="12" t="str">
        <f aca="false">IF(INDEX(選手一覧!$I$7:$I$2738,$F1104)="","",INDEX(選手一覧!$I$7:$I$2738,$F1104))</f>
        <v/>
      </c>
    </row>
    <row r="1105" customFormat="false" ht="15" hidden="false" customHeight="false" outlineLevel="0" collapsed="false">
      <c r="A1105" s="12" t="n">
        <v>1101</v>
      </c>
      <c r="B1105" s="10" t="s">
        <v>1964</v>
      </c>
      <c r="C1105" s="10" t="s">
        <v>1897</v>
      </c>
      <c r="D1105" s="11" t="n">
        <v>0.0110046296296296</v>
      </c>
      <c r="E1105" s="18" t="n">
        <f aca="false">ROUND((D1105-$D$5)*86400,2)</f>
        <v>161.06</v>
      </c>
      <c r="F1105" s="12" t="n">
        <v>1353</v>
      </c>
      <c r="G1105" s="11" t="str">
        <f aca="false">IF(INDEX(選手一覧!$F$7:$F$2738,$F1105)="","",INDEX(選手一覧!$F$7:$F$2738,$F1105))</f>
        <v/>
      </c>
      <c r="H1105" s="12" t="str">
        <f aca="false">IF(INDEX(選手一覧!$G$7:$G$2738,$F1105)="","",INDEX(選手一覧!$G$7:$G$2738,$F1105))</f>
        <v/>
      </c>
      <c r="I1105" s="11" t="n">
        <f aca="false">IF(INDEX(選手一覧!$H$7:$H$2738,$F1105)="","",INDEX(選手一覧!$H$7:$H$2738,$F1105))</f>
        <v>0.0028599537037037</v>
      </c>
      <c r="J1105" s="12" t="n">
        <f aca="false">IF(INDEX(選手一覧!$I$7:$I$2738,$F1105)="","",INDEX(選手一覧!$I$7:$I$2738,$F1105))</f>
        <v>634</v>
      </c>
    </row>
    <row r="1106" customFormat="false" ht="15" hidden="false" customHeight="false" outlineLevel="0" collapsed="false">
      <c r="A1106" s="12" t="n">
        <v>1102</v>
      </c>
      <c r="B1106" s="10" t="s">
        <v>3199</v>
      </c>
      <c r="C1106" s="10" t="s">
        <v>3200</v>
      </c>
      <c r="D1106" s="11" t="n">
        <v>0.0110052083333333</v>
      </c>
      <c r="E1106" s="18" t="n">
        <f aca="false">ROUND((D1106-$D$5)*86400,2)</f>
        <v>161.11</v>
      </c>
      <c r="F1106" s="12" t="n">
        <v>2250</v>
      </c>
      <c r="G1106" s="11" t="str">
        <f aca="false">IF(INDEX(選手一覧!$F$7:$F$2738,$F1106)="","",INDEX(選手一覧!$F$7:$F$2738,$F1106))</f>
        <v/>
      </c>
      <c r="H1106" s="12" t="str">
        <f aca="false">IF(INDEX(選手一覧!$G$7:$G$2738,$F1106)="","",INDEX(選手一覧!$G$7:$G$2738,$F1106))</f>
        <v/>
      </c>
      <c r="I1106" s="11" t="n">
        <f aca="false">IF(INDEX(選手一覧!$H$7:$H$2738,$F1106)="","",INDEX(選手一覧!$H$7:$H$2738,$F1106))</f>
        <v>0.00296041666666667</v>
      </c>
      <c r="J1106" s="12" t="n">
        <f aca="false">IF(INDEX(選手一覧!$I$7:$I$2738,$F1106)="","",INDEX(選手一覧!$I$7:$I$2738,$F1106))</f>
        <v>1274</v>
      </c>
    </row>
    <row r="1107" customFormat="false" ht="15" hidden="false" customHeight="false" outlineLevel="0" collapsed="false">
      <c r="A1107" s="12" t="n">
        <v>1103</v>
      </c>
      <c r="B1107" s="10" t="s">
        <v>2117</v>
      </c>
      <c r="C1107" s="10" t="s">
        <v>2118</v>
      </c>
      <c r="D1107" s="11" t="n">
        <v>0.01100625</v>
      </c>
      <c r="E1107" s="18" t="n">
        <f aca="false">ROUND((D1107-$D$5)*86400,2)</f>
        <v>161.2</v>
      </c>
      <c r="F1107" s="12" t="n">
        <v>1464</v>
      </c>
      <c r="G1107" s="11" t="str">
        <f aca="false">IF(INDEX(選手一覧!$F$7:$F$2738,$F1107)="","",INDEX(選手一覧!$F$7:$F$2738,$F1107))</f>
        <v/>
      </c>
      <c r="H1107" s="12" t="str">
        <f aca="false">IF(INDEX(選手一覧!$G$7:$G$2738,$F1107)="","",INDEX(選手一覧!$G$7:$G$2738,$F1107))</f>
        <v/>
      </c>
      <c r="I1107" s="11" t="n">
        <f aca="false">IF(INDEX(選手一覧!$H$7:$H$2738,$F1107)="","",INDEX(選手一覧!$H$7:$H$2738,$F1107))</f>
        <v>0.00286990740740741</v>
      </c>
      <c r="J1107" s="12" t="n">
        <f aca="false">IF(INDEX(選手一覧!$I$7:$I$2738,$F1107)="","",INDEX(選手一覧!$I$7:$I$2738,$F1107))</f>
        <v>694</v>
      </c>
    </row>
    <row r="1108" customFormat="false" ht="15" hidden="false" customHeight="false" outlineLevel="0" collapsed="false">
      <c r="A1108" s="12" t="n">
        <v>1104</v>
      </c>
      <c r="B1108" s="10" t="s">
        <v>1214</v>
      </c>
      <c r="C1108" s="10" t="s">
        <v>577</v>
      </c>
      <c r="D1108" s="11" t="n">
        <v>0.011006712962963</v>
      </c>
      <c r="E1108" s="18" t="n">
        <f aca="false">ROUND((D1108-$D$5)*86400,2)</f>
        <v>161.24</v>
      </c>
      <c r="F1108" s="12" t="n">
        <v>823</v>
      </c>
      <c r="G1108" s="11" t="n">
        <f aca="false">IF(INDEX(選手一覧!$F$7:$F$2738,$F1108)="","",INDEX(選手一覧!$F$7:$F$2738,$F1108))</f>
        <v>0.00702592592592593</v>
      </c>
      <c r="H1108" s="12" t="n">
        <f aca="false">IF(INDEX(選手一覧!$G$7:$G$2738,$F1108)="","",INDEX(選手一覧!$G$7:$G$2738,$F1108))</f>
        <v>359</v>
      </c>
      <c r="I1108" s="11" t="str">
        <f aca="false">IF(INDEX(選手一覧!$H$7:$H$2738,$F1108)="","",INDEX(選手一覧!$H$7:$H$2738,$F1108))</f>
        <v/>
      </c>
      <c r="J1108" s="12" t="str">
        <f aca="false">IF(INDEX(選手一覧!$I$7:$I$2738,$F1108)="","",INDEX(選手一覧!$I$7:$I$2738,$F1108))</f>
        <v/>
      </c>
    </row>
    <row r="1109" customFormat="false" ht="15" hidden="false" customHeight="false" outlineLevel="0" collapsed="false">
      <c r="A1109" s="12" t="n">
        <v>1105</v>
      </c>
      <c r="B1109" s="10" t="s">
        <v>3208</v>
      </c>
      <c r="C1109" s="10" t="s">
        <v>612</v>
      </c>
      <c r="D1109" s="11" t="n">
        <v>0.0110074074074074</v>
      </c>
      <c r="E1109" s="18" t="n">
        <f aca="false">ROUND((D1109-$D$5)*86400,2)</f>
        <v>161.3</v>
      </c>
      <c r="F1109" s="12" t="n">
        <v>2256</v>
      </c>
      <c r="G1109" s="11" t="str">
        <f aca="false">IF(INDEX(選手一覧!$F$7:$F$2738,$F1109)="","",INDEX(選手一覧!$F$7:$F$2738,$F1109))</f>
        <v/>
      </c>
      <c r="H1109" s="12" t="str">
        <f aca="false">IF(INDEX(選手一覧!$G$7:$G$2738,$F1109)="","",INDEX(選手一覧!$G$7:$G$2738,$F1109))</f>
        <v/>
      </c>
      <c r="I1109" s="11" t="str">
        <f aca="false">IF(INDEX(選手一覧!$H$7:$H$2738,$F1109)="","",INDEX(選手一覧!$H$7:$H$2738,$F1109))</f>
        <v/>
      </c>
      <c r="J1109" s="12" t="str">
        <f aca="false">IF(INDEX(選手一覧!$I$7:$I$2738,$F1109)="","",INDEX(選手一覧!$I$7:$I$2738,$F1109))</f>
        <v/>
      </c>
    </row>
    <row r="1110" customFormat="false" ht="15" hidden="false" customHeight="false" outlineLevel="0" collapsed="false">
      <c r="A1110" s="12" t="n">
        <v>1106</v>
      </c>
      <c r="B1110" s="10" t="s">
        <v>3210</v>
      </c>
      <c r="C1110" s="10" t="s">
        <v>188</v>
      </c>
      <c r="D1110" s="11" t="n">
        <v>0.0110075231481482</v>
      </c>
      <c r="E1110" s="18" t="n">
        <f aca="false">ROUND((D1110-$D$5)*86400,2)</f>
        <v>161.31</v>
      </c>
      <c r="F1110" s="12" t="n">
        <v>2258</v>
      </c>
      <c r="G1110" s="11" t="str">
        <f aca="false">IF(INDEX(選手一覧!$F$7:$F$2738,$F1110)="","",INDEX(選手一覧!$F$7:$F$2738,$F1110))</f>
        <v/>
      </c>
      <c r="H1110" s="12" t="str">
        <f aca="false">IF(INDEX(選手一覧!$G$7:$G$2738,$F1110)="","",INDEX(選手一覧!$G$7:$G$2738,$F1110))</f>
        <v/>
      </c>
      <c r="I1110" s="11" t="str">
        <f aca="false">IF(INDEX(選手一覧!$H$7:$H$2738,$F1110)="","",INDEX(選手一覧!$H$7:$H$2738,$F1110))</f>
        <v/>
      </c>
      <c r="J1110" s="12" t="str">
        <f aca="false">IF(INDEX(選手一覧!$I$7:$I$2738,$F1110)="","",INDEX(選手一覧!$I$7:$I$2738,$F1110))</f>
        <v/>
      </c>
    </row>
    <row r="1111" customFormat="false" ht="15" hidden="false" customHeight="false" outlineLevel="0" collapsed="false">
      <c r="A1111" s="12" t="n">
        <v>1107</v>
      </c>
      <c r="B1111" s="10" t="s">
        <v>3212</v>
      </c>
      <c r="C1111" s="10" t="s">
        <v>445</v>
      </c>
      <c r="D1111" s="11" t="n">
        <v>0.0110081018518519</v>
      </c>
      <c r="E1111" s="18" t="n">
        <f aca="false">ROUND((D1111-$D$5)*86400,2)</f>
        <v>161.36</v>
      </c>
      <c r="F1111" s="12" t="n">
        <v>2260</v>
      </c>
      <c r="G1111" s="11" t="str">
        <f aca="false">IF(INDEX(選手一覧!$F$7:$F$2738,$F1111)="","",INDEX(選手一覧!$F$7:$F$2738,$F1111))</f>
        <v/>
      </c>
      <c r="H1111" s="12" t="str">
        <f aca="false">IF(INDEX(選手一覧!$G$7:$G$2738,$F1111)="","",INDEX(選手一覧!$G$7:$G$2738,$F1111))</f>
        <v/>
      </c>
      <c r="I1111" s="11" t="str">
        <f aca="false">IF(INDEX(選手一覧!$H$7:$H$2738,$F1111)="","",INDEX(選手一覧!$H$7:$H$2738,$F1111))</f>
        <v/>
      </c>
      <c r="J1111" s="12" t="str">
        <f aca="false">IF(INDEX(選手一覧!$I$7:$I$2738,$F1111)="","",INDEX(選手一覧!$I$7:$I$2738,$F1111))</f>
        <v/>
      </c>
    </row>
    <row r="1112" customFormat="false" ht="15" hidden="false" customHeight="false" outlineLevel="0" collapsed="false">
      <c r="A1112" s="12" t="n">
        <v>1108</v>
      </c>
      <c r="B1112" s="10" t="s">
        <v>3166</v>
      </c>
      <c r="C1112" s="10" t="s">
        <v>603</v>
      </c>
      <c r="D1112" s="11" t="n">
        <v>0.0110085648148148</v>
      </c>
      <c r="E1112" s="18" t="n">
        <f aca="false">ROUND((D1112-$D$5)*86400,2)</f>
        <v>161.4</v>
      </c>
      <c r="F1112" s="12" t="n">
        <v>2225</v>
      </c>
      <c r="G1112" s="11" t="str">
        <f aca="false">IF(INDEX(選手一覧!$F$7:$F$2738,$F1112)="","",INDEX(選手一覧!$F$7:$F$2738,$F1112))</f>
        <v/>
      </c>
      <c r="H1112" s="12" t="str">
        <f aca="false">IF(INDEX(選手一覧!$G$7:$G$2738,$F1112)="","",INDEX(選手一覧!$G$7:$G$2738,$F1112))</f>
        <v/>
      </c>
      <c r="I1112" s="11" t="n">
        <f aca="false">IF(INDEX(選手一覧!$H$7:$H$2738,$F1112)="","",INDEX(選手一覧!$H$7:$H$2738,$F1112))</f>
        <v>0.00291956018518519</v>
      </c>
      <c r="J1112" s="12" t="n">
        <f aca="false">IF(INDEX(選手一覧!$I$7:$I$2738,$F1112)="","",INDEX(選手一覧!$I$7:$I$2738,$F1112))</f>
        <v>1090</v>
      </c>
    </row>
    <row r="1113" customFormat="false" ht="15" hidden="false" customHeight="false" outlineLevel="0" collapsed="false">
      <c r="A1113" s="12" t="n">
        <v>1109</v>
      </c>
      <c r="B1113" s="10" t="s">
        <v>3219</v>
      </c>
      <c r="C1113" s="10" t="s">
        <v>277</v>
      </c>
      <c r="D1113" s="11" t="n">
        <v>0.0110094907407407</v>
      </c>
      <c r="E1113" s="18" t="n">
        <f aca="false">ROUND((D1113-$D$5)*86400,2)</f>
        <v>161.48</v>
      </c>
      <c r="F1113" s="12" t="n">
        <v>2264</v>
      </c>
      <c r="G1113" s="11" t="str">
        <f aca="false">IF(INDEX(選手一覧!$F$7:$F$2738,$F1113)="","",INDEX(選手一覧!$F$7:$F$2738,$F1113))</f>
        <v/>
      </c>
      <c r="H1113" s="12" t="str">
        <f aca="false">IF(INDEX(選手一覧!$G$7:$G$2738,$F1113)="","",INDEX(選手一覧!$G$7:$G$2738,$F1113))</f>
        <v/>
      </c>
      <c r="I1113" s="11" t="str">
        <f aca="false">IF(INDEX(選手一覧!$H$7:$H$2738,$F1113)="","",INDEX(選手一覧!$H$7:$H$2738,$F1113))</f>
        <v/>
      </c>
      <c r="J1113" s="12" t="str">
        <f aca="false">IF(INDEX(選手一覧!$I$7:$I$2738,$F1113)="","",INDEX(選手一覧!$I$7:$I$2738,$F1113))</f>
        <v/>
      </c>
    </row>
    <row r="1114" customFormat="false" ht="15" hidden="false" customHeight="false" outlineLevel="0" collapsed="false">
      <c r="A1114" s="12" t="n">
        <v>1110</v>
      </c>
      <c r="B1114" s="10" t="s">
        <v>607</v>
      </c>
      <c r="C1114" s="10" t="s">
        <v>348</v>
      </c>
      <c r="D1114" s="11" t="n">
        <v>0.0110097222222222</v>
      </c>
      <c r="E1114" s="18" t="n">
        <f aca="false">ROUND((D1114-$D$5)*86400,2)</f>
        <v>161.5</v>
      </c>
      <c r="F1114" s="12" t="n">
        <v>384</v>
      </c>
      <c r="G1114" s="11" t="n">
        <f aca="false">IF(INDEX(選手一覧!$F$7:$F$2738,$F1114)="","",INDEX(選手一覧!$F$7:$F$2738,$F1114))</f>
        <v>0.00679131944444444</v>
      </c>
      <c r="H1114" s="12" t="n">
        <f aca="false">IF(INDEX(選手一覧!$G$7:$G$2738,$F1114)="","",INDEX(選手一覧!$G$7:$G$2738,$F1114))</f>
        <v>163</v>
      </c>
      <c r="I1114" s="11" t="str">
        <f aca="false">IF(INDEX(選手一覧!$H$7:$H$2738,$F1114)="","",INDEX(選手一覧!$H$7:$H$2738,$F1114))</f>
        <v/>
      </c>
      <c r="J1114" s="12" t="str">
        <f aca="false">IF(INDEX(選手一覧!$I$7:$I$2738,$F1114)="","",INDEX(選手一覧!$I$7:$I$2738,$F1114))</f>
        <v/>
      </c>
    </row>
    <row r="1115" customFormat="false" ht="15" hidden="false" customHeight="false" outlineLevel="0" collapsed="false">
      <c r="A1115" s="12" t="n">
        <v>1111</v>
      </c>
      <c r="B1115" s="10" t="s">
        <v>3226</v>
      </c>
      <c r="C1115" s="10" t="s">
        <v>2833</v>
      </c>
      <c r="D1115" s="11" t="n">
        <v>0.0110106481481482</v>
      </c>
      <c r="E1115" s="18" t="n">
        <f aca="false">ROUND((D1115-$D$5)*86400,2)</f>
        <v>161.58</v>
      </c>
      <c r="F1115" s="12" t="n">
        <v>2270</v>
      </c>
      <c r="G1115" s="11" t="str">
        <f aca="false">IF(INDEX(選手一覧!$F$7:$F$2738,$F1115)="","",INDEX(選手一覧!$F$7:$F$2738,$F1115))</f>
        <v/>
      </c>
      <c r="H1115" s="12" t="str">
        <f aca="false">IF(INDEX(選手一覧!$G$7:$G$2738,$F1115)="","",INDEX(選手一覧!$G$7:$G$2738,$F1115))</f>
        <v/>
      </c>
      <c r="I1115" s="11" t="str">
        <f aca="false">IF(INDEX(選手一覧!$H$7:$H$2738,$F1115)="","",INDEX(選手一覧!$H$7:$H$2738,$F1115))</f>
        <v/>
      </c>
      <c r="J1115" s="12" t="str">
        <f aca="false">IF(INDEX(選手一覧!$I$7:$I$2738,$F1115)="","",INDEX(選手一覧!$I$7:$I$2738,$F1115))</f>
        <v/>
      </c>
    </row>
    <row r="1116" customFormat="false" ht="15" hidden="false" customHeight="false" outlineLevel="0" collapsed="false">
      <c r="A1116" s="12" t="n">
        <v>1112</v>
      </c>
      <c r="B1116" s="10" t="s">
        <v>1356</v>
      </c>
      <c r="C1116" s="10" t="s">
        <v>1357</v>
      </c>
      <c r="D1116" s="11" t="n">
        <v>0.0110112268518519</v>
      </c>
      <c r="E1116" s="18" t="n">
        <f aca="false">ROUND((D1116-$D$5)*86400,2)</f>
        <v>161.63</v>
      </c>
      <c r="F1116" s="12" t="n">
        <v>923</v>
      </c>
      <c r="G1116" s="11" t="n">
        <f aca="false">IF(INDEX(選手一覧!$F$7:$F$2738,$F1116)="","",INDEX(選手一覧!$F$7:$F$2738,$F1116))</f>
        <v>0.00706909722222222</v>
      </c>
      <c r="H1116" s="12" t="n">
        <f aca="false">IF(INDEX(選手一覧!$G$7:$G$2738,$F1116)="","",INDEX(選手一覧!$G$7:$G$2738,$F1116))</f>
        <v>413</v>
      </c>
      <c r="I1116" s="11" t="n">
        <f aca="false">IF(INDEX(選手一覧!$H$7:$H$2738,$F1116)="","",INDEX(選手一覧!$H$7:$H$2738,$F1116))</f>
        <v>0.00289837962962963</v>
      </c>
      <c r="J1116" s="12" t="n">
        <f aca="false">IF(INDEX(選手一覧!$I$7:$I$2738,$F1116)="","",INDEX(選手一覧!$I$7:$I$2738,$F1116))</f>
        <v>935</v>
      </c>
    </row>
    <row r="1117" customFormat="false" ht="15" hidden="false" customHeight="false" outlineLevel="0" collapsed="false">
      <c r="A1117" s="12" t="n">
        <v>1113</v>
      </c>
      <c r="B1117" s="10" t="s">
        <v>2231</v>
      </c>
      <c r="C1117" s="10" t="s">
        <v>195</v>
      </c>
      <c r="D1117" s="11" t="n">
        <v>0.0110116898148148</v>
      </c>
      <c r="E1117" s="18" t="n">
        <f aca="false">ROUND((D1117-$D$5)*86400,2)</f>
        <v>161.67</v>
      </c>
      <c r="F1117" s="12" t="n">
        <v>1545</v>
      </c>
      <c r="G1117" s="11" t="n">
        <f aca="false">IF(INDEX(選手一覧!$F$7:$F$2738,$F1117)="","",INDEX(選手一覧!$F$7:$F$2738,$F1117))</f>
        <v>0.0073724537037037</v>
      </c>
      <c r="H1117" s="12" t="n">
        <f aca="false">IF(INDEX(選手一覧!$G$7:$G$2738,$F1117)="","",INDEX(選手一覧!$G$7:$G$2738,$F1117))</f>
        <v>737</v>
      </c>
      <c r="I1117" s="11" t="n">
        <f aca="false">IF(INDEX(選手一覧!$H$7:$H$2738,$F1117)="","",INDEX(選手一覧!$H$7:$H$2738,$F1117))</f>
        <v>0.00294918981481482</v>
      </c>
      <c r="J1117" s="12" t="n">
        <f aca="false">IF(INDEX(選手一覧!$I$7:$I$2738,$F1117)="","",INDEX(選手一覧!$I$7:$I$2738,$F1117))</f>
        <v>1234</v>
      </c>
    </row>
    <row r="1118" customFormat="false" ht="15" hidden="false" customHeight="false" outlineLevel="0" collapsed="false">
      <c r="A1118" s="12" t="n">
        <v>1114</v>
      </c>
      <c r="B1118" s="10" t="s">
        <v>3231</v>
      </c>
      <c r="C1118" s="10" t="s">
        <v>3232</v>
      </c>
      <c r="D1118" s="11" t="n">
        <v>0.0110125</v>
      </c>
      <c r="E1118" s="18" t="n">
        <f aca="false">ROUND((D1118-$D$5)*86400,2)</f>
        <v>161.74</v>
      </c>
      <c r="F1118" s="12" t="n">
        <v>2275</v>
      </c>
      <c r="G1118" s="11" t="str">
        <f aca="false">IF(INDEX(選手一覧!$F$7:$F$2738,$F1118)="","",INDEX(選手一覧!$F$7:$F$2738,$F1118))</f>
        <v/>
      </c>
      <c r="H1118" s="12" t="str">
        <f aca="false">IF(INDEX(選手一覧!$G$7:$G$2738,$F1118)="","",INDEX(選手一覧!$G$7:$G$2738,$F1118))</f>
        <v/>
      </c>
      <c r="I1118" s="11" t="str">
        <f aca="false">IF(INDEX(選手一覧!$H$7:$H$2738,$F1118)="","",INDEX(選手一覧!$H$7:$H$2738,$F1118))</f>
        <v/>
      </c>
      <c r="J1118" s="12" t="str">
        <f aca="false">IF(INDEX(選手一覧!$I$7:$I$2738,$F1118)="","",INDEX(選手一覧!$I$7:$I$2738,$F1118))</f>
        <v/>
      </c>
    </row>
    <row r="1119" customFormat="false" ht="15" hidden="false" customHeight="false" outlineLevel="0" collapsed="false">
      <c r="A1119" s="12" t="n">
        <v>1115</v>
      </c>
      <c r="B1119" s="10" t="s">
        <v>3234</v>
      </c>
      <c r="C1119" s="10" t="s">
        <v>1386</v>
      </c>
      <c r="D1119" s="11" t="n">
        <v>0.0110135416666667</v>
      </c>
      <c r="E1119" s="18" t="n">
        <f aca="false">ROUND((D1119-$D$5)*86400,2)</f>
        <v>161.83</v>
      </c>
      <c r="F1119" s="12" t="n">
        <v>2277</v>
      </c>
      <c r="G1119" s="11" t="str">
        <f aca="false">IF(INDEX(選手一覧!$F$7:$F$2738,$F1119)="","",INDEX(選手一覧!$F$7:$F$2738,$F1119))</f>
        <v/>
      </c>
      <c r="H1119" s="12" t="str">
        <f aca="false">IF(INDEX(選手一覧!$G$7:$G$2738,$F1119)="","",INDEX(選手一覧!$G$7:$G$2738,$F1119))</f>
        <v/>
      </c>
      <c r="I1119" s="11" t="str">
        <f aca="false">IF(INDEX(選手一覧!$H$7:$H$2738,$F1119)="","",INDEX(選手一覧!$H$7:$H$2738,$F1119))</f>
        <v/>
      </c>
      <c r="J1119" s="12" t="str">
        <f aca="false">IF(INDEX(選手一覧!$I$7:$I$2738,$F1119)="","",INDEX(選手一覧!$I$7:$I$2738,$F1119))</f>
        <v/>
      </c>
    </row>
    <row r="1120" customFormat="false" ht="15" hidden="false" customHeight="false" outlineLevel="0" collapsed="false">
      <c r="A1120" s="12" t="n">
        <v>1116</v>
      </c>
      <c r="B1120" s="10" t="s">
        <v>3237</v>
      </c>
      <c r="C1120" s="10" t="s">
        <v>218</v>
      </c>
      <c r="D1120" s="11" t="n">
        <v>0.0110138888888889</v>
      </c>
      <c r="E1120" s="18" t="n">
        <f aca="false">ROUND((D1120-$D$5)*86400,2)</f>
        <v>161.86</v>
      </c>
      <c r="F1120" s="12" t="n">
        <v>2279</v>
      </c>
      <c r="G1120" s="11" t="str">
        <f aca="false">IF(INDEX(選手一覧!$F$7:$F$2738,$F1120)="","",INDEX(選手一覧!$F$7:$F$2738,$F1120))</f>
        <v/>
      </c>
      <c r="H1120" s="12" t="str">
        <f aca="false">IF(INDEX(選手一覧!$G$7:$G$2738,$F1120)="","",INDEX(選手一覧!$G$7:$G$2738,$F1120))</f>
        <v/>
      </c>
      <c r="I1120" s="11" t="str">
        <f aca="false">IF(INDEX(選手一覧!$H$7:$H$2738,$F1120)="","",INDEX(選手一覧!$H$7:$H$2738,$F1120))</f>
        <v/>
      </c>
      <c r="J1120" s="12" t="str">
        <f aca="false">IF(INDEX(選手一覧!$I$7:$I$2738,$F1120)="","",INDEX(選手一覧!$I$7:$I$2738,$F1120))</f>
        <v/>
      </c>
    </row>
    <row r="1121" customFormat="false" ht="15" hidden="false" customHeight="false" outlineLevel="0" collapsed="false">
      <c r="A1121" s="12" t="n">
        <v>1117</v>
      </c>
      <c r="B1121" s="10" t="s">
        <v>641</v>
      </c>
      <c r="C1121" s="10" t="s">
        <v>642</v>
      </c>
      <c r="D1121" s="11" t="n">
        <v>0.0110141203703704</v>
      </c>
      <c r="E1121" s="18" t="n">
        <f aca="false">ROUND((D1121-$D$5)*86400,2)</f>
        <v>161.88</v>
      </c>
      <c r="F1121" s="12" t="n">
        <v>408</v>
      </c>
      <c r="G1121" s="11" t="n">
        <f aca="false">IF(INDEX(選手一覧!$F$7:$F$2738,$F1121)="","",INDEX(選手一覧!$F$7:$F$2738,$F1121))</f>
        <v>0.00680150462962963</v>
      </c>
      <c r="H1121" s="12" t="n">
        <f aca="false">IF(INDEX(選手一覧!$G$7:$G$2738,$F1121)="","",INDEX(選手一覧!$G$7:$G$2738,$F1121))</f>
        <v>173</v>
      </c>
      <c r="I1121" s="11" t="str">
        <f aca="false">IF(INDEX(選手一覧!$H$7:$H$2738,$F1121)="","",INDEX(選手一覧!$H$7:$H$2738,$F1121))</f>
        <v/>
      </c>
      <c r="J1121" s="12" t="str">
        <f aca="false">IF(INDEX(選手一覧!$I$7:$I$2738,$F1121)="","",INDEX(選手一覧!$I$7:$I$2738,$F1121))</f>
        <v/>
      </c>
    </row>
    <row r="1122" customFormat="false" ht="15" hidden="false" customHeight="false" outlineLevel="0" collapsed="false">
      <c r="A1122" s="12" t="n">
        <v>1118</v>
      </c>
      <c r="B1122" s="10" t="s">
        <v>1279</v>
      </c>
      <c r="C1122" s="10" t="s">
        <v>1280</v>
      </c>
      <c r="D1122" s="11" t="n">
        <v>0.011015162037037</v>
      </c>
      <c r="E1122" s="18" t="n">
        <f aca="false">ROUND((D1122-$D$5)*86400,2)</f>
        <v>161.97</v>
      </c>
      <c r="F1122" s="12" t="n">
        <v>871</v>
      </c>
      <c r="G1122" s="11" t="n">
        <f aca="false">IF(INDEX(選手一覧!$F$7:$F$2738,$F1122)="","",INDEX(選手一覧!$F$7:$F$2738,$F1122))</f>
        <v>0.00704675925925926</v>
      </c>
      <c r="H1122" s="12" t="n">
        <f aca="false">IF(INDEX(選手一覧!$G$7:$G$2738,$F1122)="","",INDEX(選手一覧!$G$7:$G$2738,$F1122))</f>
        <v>387</v>
      </c>
      <c r="I1122" s="11" t="n">
        <f aca="false">IF(INDEX(選手一覧!$H$7:$H$2738,$F1122)="","",INDEX(選手一覧!$H$7:$H$2738,$F1122))</f>
        <v>0.00292349537037037</v>
      </c>
      <c r="J1122" s="12" t="n">
        <f aca="false">IF(INDEX(選手一覧!$I$7:$I$2738,$F1122)="","",INDEX(選手一覧!$I$7:$I$2738,$F1122))</f>
        <v>1133</v>
      </c>
    </row>
    <row r="1123" customFormat="false" ht="15" hidden="false" customHeight="false" outlineLevel="0" collapsed="false">
      <c r="A1123" s="12" t="n">
        <v>1119</v>
      </c>
      <c r="B1123" s="10" t="s">
        <v>1215</v>
      </c>
      <c r="C1123" s="10" t="s">
        <v>1216</v>
      </c>
      <c r="D1123" s="11" t="n">
        <v>0.0110159722222222</v>
      </c>
      <c r="E1123" s="18" t="n">
        <f aca="false">ROUND((D1123-$D$5)*86400,2)</f>
        <v>162.04</v>
      </c>
      <c r="F1123" s="12" t="n">
        <v>824</v>
      </c>
      <c r="G1123" s="11" t="str">
        <f aca="false">IF(INDEX(選手一覧!$F$7:$F$2738,$F1123)="","",INDEX(選手一覧!$F$7:$F$2738,$F1123))</f>
        <v/>
      </c>
      <c r="H1123" s="12" t="str">
        <f aca="false">IF(INDEX(選手一覧!$G$7:$G$2738,$F1123)="","",INDEX(選手一覧!$G$7:$G$2738,$F1123))</f>
        <v/>
      </c>
      <c r="I1123" s="11" t="n">
        <f aca="false">IF(INDEX(選手一覧!$H$7:$H$2738,$F1123)="","",INDEX(選手一覧!$H$7:$H$2738,$F1123))</f>
        <v>0.00281956018518519</v>
      </c>
      <c r="J1123" s="12" t="n">
        <f aca="false">IF(INDEX(選手一覧!$I$7:$I$2738,$F1123)="","",INDEX(選手一覧!$I$7:$I$2738,$F1123))</f>
        <v>361</v>
      </c>
    </row>
    <row r="1124" customFormat="false" ht="15" hidden="false" customHeight="false" outlineLevel="0" collapsed="false">
      <c r="A1124" s="12" t="n">
        <v>1120</v>
      </c>
      <c r="B1124" s="10" t="s">
        <v>2821</v>
      </c>
      <c r="C1124" s="10" t="s">
        <v>2822</v>
      </c>
      <c r="D1124" s="11" t="n">
        <v>0.0110162037037037</v>
      </c>
      <c r="E1124" s="18" t="n">
        <f aca="false">ROUND((D1124-$D$5)*86400,2)</f>
        <v>162.06</v>
      </c>
      <c r="F1124" s="12" t="n">
        <v>1976</v>
      </c>
      <c r="G1124" s="11" t="n">
        <f aca="false">IF(INDEX(選手一覧!$F$7:$F$2738,$F1124)="","",INDEX(選手一覧!$F$7:$F$2738,$F1124))</f>
        <v>0.00754918981481482</v>
      </c>
      <c r="H1124" s="12" t="n">
        <f aca="false">IF(INDEX(選手一覧!$G$7:$G$2738,$F1124)="","",INDEX(選手一覧!$G$7:$G$2738,$F1124))</f>
        <v>957</v>
      </c>
      <c r="I1124" s="11" t="str">
        <f aca="false">IF(INDEX(選手一覧!$H$7:$H$2738,$F1124)="","",INDEX(選手一覧!$H$7:$H$2738,$F1124))</f>
        <v/>
      </c>
      <c r="J1124" s="12" t="str">
        <f aca="false">IF(INDEX(選手一覧!$I$7:$I$2738,$F1124)="","",INDEX(選手一覧!$I$7:$I$2738,$F1124))</f>
        <v/>
      </c>
    </row>
    <row r="1125" customFormat="false" ht="15" hidden="false" customHeight="false" outlineLevel="0" collapsed="false">
      <c r="A1125" s="12" t="n">
        <v>1121</v>
      </c>
      <c r="B1125" s="10" t="s">
        <v>435</v>
      </c>
      <c r="C1125" s="10" t="s">
        <v>317</v>
      </c>
      <c r="D1125" s="11" t="n">
        <v>0.0110163194444444</v>
      </c>
      <c r="E1125" s="18" t="n">
        <f aca="false">ROUND((D1125-$D$5)*86400,2)</f>
        <v>162.07</v>
      </c>
      <c r="F1125" s="12" t="n">
        <v>267</v>
      </c>
      <c r="G1125" s="11" t="str">
        <f aca="false">IF(INDEX(選手一覧!$F$7:$F$2738,$F1125)="","",INDEX(選手一覧!$F$7:$F$2738,$F1125))</f>
        <v/>
      </c>
      <c r="H1125" s="12" t="str">
        <f aca="false">IF(INDEX(選手一覧!$G$7:$G$2738,$F1125)="","",INDEX(選手一覧!$G$7:$G$2738,$F1125))</f>
        <v/>
      </c>
      <c r="I1125" s="11" t="n">
        <f aca="false">IF(INDEX(選手一覧!$H$7:$H$2738,$F1125)="","",INDEX(選手一覧!$H$7:$H$2738,$F1125))</f>
        <v>0.00275289351851852</v>
      </c>
      <c r="J1125" s="12" t="n">
        <f aca="false">IF(INDEX(選手一覧!$I$7:$I$2738,$F1125)="","",INDEX(選手一覧!$I$7:$I$2738,$F1125))</f>
        <v>110</v>
      </c>
    </row>
    <row r="1126" customFormat="false" ht="15" hidden="false" customHeight="false" outlineLevel="0" collapsed="false">
      <c r="A1126" s="12" t="n">
        <v>1122</v>
      </c>
      <c r="B1126" s="10" t="s">
        <v>1444</v>
      </c>
      <c r="C1126" s="10" t="s">
        <v>107</v>
      </c>
      <c r="D1126" s="11" t="n">
        <v>0.0110171296296296</v>
      </c>
      <c r="E1126" s="18" t="n">
        <f aca="false">ROUND((D1126-$D$5)*86400,2)</f>
        <v>162.14</v>
      </c>
      <c r="F1126" s="12" t="n">
        <v>988</v>
      </c>
      <c r="G1126" s="11" t="n">
        <f aca="false">IF(INDEX(選手一覧!$F$7:$F$2738,$F1126)="","",INDEX(選手一覧!$F$7:$F$2738,$F1126))</f>
        <v>0.00709490740740741</v>
      </c>
      <c r="H1126" s="12" t="n">
        <f aca="false">IF(INDEX(選手一覧!$G$7:$G$2738,$F1126)="","",INDEX(選手一覧!$G$7:$G$2738,$F1126))</f>
        <v>442</v>
      </c>
      <c r="I1126" s="11" t="n">
        <f aca="false">IF(INDEX(選手一覧!$H$7:$H$2738,$F1126)="","",INDEX(選手一覧!$H$7:$H$2738,$F1126))</f>
        <v>0.00297152777777778</v>
      </c>
      <c r="J1126" s="12" t="n">
        <f aca="false">IF(INDEX(選手一覧!$I$7:$I$2738,$F1126)="","",INDEX(選手一覧!$I$7:$I$2738,$F1126))</f>
        <v>1315</v>
      </c>
    </row>
    <row r="1127" customFormat="false" ht="15" hidden="false" customHeight="false" outlineLevel="0" collapsed="false">
      <c r="A1127" s="12" t="n">
        <v>1123</v>
      </c>
      <c r="B1127" s="10" t="s">
        <v>3257</v>
      </c>
      <c r="C1127" s="10" t="s">
        <v>546</v>
      </c>
      <c r="D1127" s="11" t="n">
        <v>0.0110174768518519</v>
      </c>
      <c r="E1127" s="18" t="n">
        <f aca="false">ROUND((D1127-$D$5)*86400,2)</f>
        <v>162.17</v>
      </c>
      <c r="F1127" s="12" t="n">
        <v>2292</v>
      </c>
      <c r="G1127" s="11" t="str">
        <f aca="false">IF(INDEX(選手一覧!$F$7:$F$2738,$F1127)="","",INDEX(選手一覧!$F$7:$F$2738,$F1127))</f>
        <v/>
      </c>
      <c r="H1127" s="12" t="str">
        <f aca="false">IF(INDEX(選手一覧!$G$7:$G$2738,$F1127)="","",INDEX(選手一覧!$G$7:$G$2738,$F1127))</f>
        <v/>
      </c>
      <c r="I1127" s="11" t="n">
        <f aca="false">IF(INDEX(選手一覧!$H$7:$H$2738,$F1127)="","",INDEX(選手一覧!$H$7:$H$2738,$F1127))</f>
        <v>0.00293009259259259</v>
      </c>
      <c r="J1127" s="12" t="n">
        <f aca="false">IF(INDEX(選手一覧!$I$7:$I$2738,$F1127)="","",INDEX(選手一覧!$I$7:$I$2738,$F1127))</f>
        <v>1174</v>
      </c>
    </row>
    <row r="1128" customFormat="false" ht="15" hidden="false" customHeight="false" outlineLevel="0" collapsed="false">
      <c r="A1128" s="12" t="n">
        <v>1124</v>
      </c>
      <c r="B1128" s="10" t="s">
        <v>1663</v>
      </c>
      <c r="C1128" s="10" t="s">
        <v>1664</v>
      </c>
      <c r="D1128" s="11" t="n">
        <v>0.0110175925925926</v>
      </c>
      <c r="E1128" s="18" t="n">
        <f aca="false">ROUND((D1128-$D$5)*86400,2)</f>
        <v>162.18</v>
      </c>
      <c r="F1128" s="12" t="n">
        <v>1146</v>
      </c>
      <c r="G1128" s="11" t="n">
        <f aca="false">IF(INDEX(選手一覧!$F$7:$F$2738,$F1128)="","",INDEX(選手一覧!$F$7:$F$2738,$F1128))</f>
        <v>0.00741400462962963</v>
      </c>
      <c r="H1128" s="12" t="n">
        <f aca="false">IF(INDEX(選手一覧!$G$7:$G$2738,$F1128)="","",INDEX(選手一覧!$G$7:$G$2738,$F1128))</f>
        <v>786</v>
      </c>
      <c r="I1128" s="11" t="n">
        <f aca="false">IF(INDEX(選手一覧!$H$7:$H$2738,$F1128)="","",INDEX(選手一覧!$H$7:$H$2738,$F1128))</f>
        <v>0.00284386574074074</v>
      </c>
      <c r="J1128" s="12" t="n">
        <f aca="false">IF(INDEX(選手一覧!$I$7:$I$2738,$F1128)="","",INDEX(選手一覧!$I$7:$I$2738,$F1128))</f>
        <v>523</v>
      </c>
    </row>
    <row r="1129" customFormat="false" ht="15" hidden="false" customHeight="false" outlineLevel="0" collapsed="false">
      <c r="A1129" s="12" t="n">
        <v>1125</v>
      </c>
      <c r="B1129" s="10" t="s">
        <v>1686</v>
      </c>
      <c r="C1129" s="10" t="s">
        <v>443</v>
      </c>
      <c r="D1129" s="11" t="n">
        <v>0.0110180555555556</v>
      </c>
      <c r="E1129" s="18" t="n">
        <f aca="false">ROUND((D1129-$D$5)*86400,2)</f>
        <v>162.22</v>
      </c>
      <c r="F1129" s="12" t="n">
        <v>1162</v>
      </c>
      <c r="G1129" s="11" t="n">
        <f aca="false">IF(INDEX(選手一覧!$F$7:$F$2738,$F1129)="","",INDEX(選手一覧!$F$7:$F$2738,$F1129))</f>
        <v>0.00719201388888889</v>
      </c>
      <c r="H1129" s="12" t="n">
        <f aca="false">IF(INDEX(選手一覧!$G$7:$G$2738,$F1129)="","",INDEX(選手一覧!$G$7:$G$2738,$F1129))</f>
        <v>531</v>
      </c>
      <c r="I1129" s="11" t="str">
        <f aca="false">IF(INDEX(選手一覧!$H$7:$H$2738,$F1129)="","",INDEX(選手一覧!$H$7:$H$2738,$F1129))</f>
        <v/>
      </c>
      <c r="J1129" s="12" t="str">
        <f aca="false">IF(INDEX(選手一覧!$I$7:$I$2738,$F1129)="","",INDEX(選手一覧!$I$7:$I$2738,$F1129))</f>
        <v/>
      </c>
    </row>
    <row r="1130" customFormat="false" ht="15" hidden="false" customHeight="false" outlineLevel="0" collapsed="false">
      <c r="A1130" s="12" t="n">
        <v>1126</v>
      </c>
      <c r="B1130" s="10" t="s">
        <v>576</v>
      </c>
      <c r="C1130" s="10" t="s">
        <v>577</v>
      </c>
      <c r="D1130" s="11" t="n">
        <v>0.011018287037037</v>
      </c>
      <c r="E1130" s="18" t="n">
        <f aca="false">ROUND((D1130-$D$5)*86400,2)</f>
        <v>162.24</v>
      </c>
      <c r="F1130" s="12" t="n">
        <v>363</v>
      </c>
      <c r="G1130" s="11" t="n">
        <f aca="false">IF(INDEX(選手一覧!$F$7:$F$2738,$F1130)="","",INDEX(選手一覧!$F$7:$F$2738,$F1130))</f>
        <v>0.00677627314814815</v>
      </c>
      <c r="H1130" s="12" t="n">
        <f aca="false">IF(INDEX(選手一覧!$G$7:$G$2738,$F1130)="","",INDEX(選手一覧!$G$7:$G$2738,$F1130))</f>
        <v>153</v>
      </c>
      <c r="I1130" s="11" t="str">
        <f aca="false">IF(INDEX(選手一覧!$H$7:$H$2738,$F1130)="","",INDEX(選手一覧!$H$7:$H$2738,$F1130))</f>
        <v/>
      </c>
      <c r="J1130" s="12" t="str">
        <f aca="false">IF(INDEX(選手一覧!$I$7:$I$2738,$F1130)="","",INDEX(選手一覧!$I$7:$I$2738,$F1130))</f>
        <v/>
      </c>
    </row>
    <row r="1131" customFormat="false" ht="15" hidden="false" customHeight="false" outlineLevel="0" collapsed="false">
      <c r="A1131" s="12" t="n">
        <v>1127</v>
      </c>
      <c r="B1131" s="10" t="s">
        <v>2185</v>
      </c>
      <c r="C1131" s="10" t="s">
        <v>2186</v>
      </c>
      <c r="D1131" s="11" t="n">
        <v>0.01101875</v>
      </c>
      <c r="E1131" s="18" t="n">
        <f aca="false">ROUND((D1131-$D$5)*86400,2)</f>
        <v>162.28</v>
      </c>
      <c r="F1131" s="12" t="n">
        <v>1512</v>
      </c>
      <c r="G1131" s="11" t="str">
        <f aca="false">IF(INDEX(選手一覧!$F$7:$F$2738,$F1131)="","",INDEX(選手一覧!$F$7:$F$2738,$F1131))</f>
        <v/>
      </c>
      <c r="H1131" s="12" t="str">
        <f aca="false">IF(INDEX(選手一覧!$G$7:$G$2738,$F1131)="","",INDEX(選手一覧!$G$7:$G$2738,$F1131))</f>
        <v/>
      </c>
      <c r="I1131" s="11" t="n">
        <f aca="false">IF(INDEX(選手一覧!$H$7:$H$2738,$F1131)="","",INDEX(選手一覧!$H$7:$H$2738,$F1131))</f>
        <v>0.00287280092592593</v>
      </c>
      <c r="J1131" s="12" t="n">
        <f aca="false">IF(INDEX(選手一覧!$I$7:$I$2738,$F1131)="","",INDEX(選手一覧!$I$7:$I$2738,$F1131))</f>
        <v>720</v>
      </c>
    </row>
    <row r="1132" customFormat="false" ht="15" hidden="false" customHeight="false" outlineLevel="0" collapsed="false">
      <c r="A1132" s="12" t="n">
        <v>1128</v>
      </c>
      <c r="B1132" s="10" t="s">
        <v>2496</v>
      </c>
      <c r="C1132" s="10" t="s">
        <v>2497</v>
      </c>
      <c r="D1132" s="11" t="n">
        <v>0.0110190972222222</v>
      </c>
      <c r="E1132" s="18" t="n">
        <f aca="false">ROUND((D1132-$D$5)*86400,2)</f>
        <v>162.31</v>
      </c>
      <c r="F1132" s="12" t="n">
        <v>1741</v>
      </c>
      <c r="G1132" s="11" t="str">
        <f aca="false">IF(INDEX(選手一覧!$F$7:$F$2738,$F1132)="","",INDEX(選手一覧!$F$7:$F$2738,$F1132))</f>
        <v/>
      </c>
      <c r="H1132" s="12" t="str">
        <f aca="false">IF(INDEX(選手一覧!$G$7:$G$2738,$F1132)="","",INDEX(選手一覧!$G$7:$G$2738,$F1132))</f>
        <v/>
      </c>
      <c r="I1132" s="11" t="n">
        <f aca="false">IF(INDEX(選手一覧!$H$7:$H$2738,$F1132)="","",INDEX(選手一覧!$H$7:$H$2738,$F1132))</f>
        <v>0.0028869212962963</v>
      </c>
      <c r="J1132" s="12" t="n">
        <f aca="false">IF(INDEX(選手一覧!$I$7:$I$2738,$F1132)="","",INDEX(選手一覧!$I$7:$I$2738,$F1132))</f>
        <v>833</v>
      </c>
    </row>
    <row r="1133" customFormat="false" ht="15" hidden="false" customHeight="false" outlineLevel="0" collapsed="false">
      <c r="A1133" s="12" t="n">
        <v>1129</v>
      </c>
      <c r="B1133" s="10" t="s">
        <v>3270</v>
      </c>
      <c r="C1133" s="10" t="s">
        <v>577</v>
      </c>
      <c r="D1133" s="11" t="n">
        <v>0.0110193287037037</v>
      </c>
      <c r="E1133" s="18" t="n">
        <f aca="false">ROUND((D1133-$D$5)*86400,2)</f>
        <v>162.33</v>
      </c>
      <c r="F1133" s="12" t="n">
        <v>2302</v>
      </c>
      <c r="G1133" s="11" t="str">
        <f aca="false">IF(INDEX(選手一覧!$F$7:$F$2738,$F1133)="","",INDEX(選手一覧!$F$7:$F$2738,$F1133))</f>
        <v/>
      </c>
      <c r="H1133" s="12" t="str">
        <f aca="false">IF(INDEX(選手一覧!$G$7:$G$2738,$F1133)="","",INDEX(選手一覧!$G$7:$G$2738,$F1133))</f>
        <v/>
      </c>
      <c r="I1133" s="11" t="str">
        <f aca="false">IF(INDEX(選手一覧!$H$7:$H$2738,$F1133)="","",INDEX(選手一覧!$H$7:$H$2738,$F1133))</f>
        <v/>
      </c>
      <c r="J1133" s="12" t="str">
        <f aca="false">IF(INDEX(選手一覧!$I$7:$I$2738,$F1133)="","",INDEX(選手一覧!$I$7:$I$2738,$F1133))</f>
        <v/>
      </c>
    </row>
    <row r="1134" customFormat="false" ht="15" hidden="false" customHeight="false" outlineLevel="0" collapsed="false">
      <c r="A1134" s="12" t="n">
        <v>1130</v>
      </c>
      <c r="B1134" s="10" t="s">
        <v>3273</v>
      </c>
      <c r="C1134" s="10" t="s">
        <v>471</v>
      </c>
      <c r="D1134" s="11" t="n">
        <v>0.0110204861111111</v>
      </c>
      <c r="E1134" s="18" t="n">
        <f aca="false">ROUND((D1134-$D$5)*86400,2)</f>
        <v>162.43</v>
      </c>
      <c r="F1134" s="12" t="n">
        <v>2304</v>
      </c>
      <c r="G1134" s="11" t="str">
        <f aca="false">IF(INDEX(選手一覧!$F$7:$F$2738,$F1134)="","",INDEX(選手一覧!$F$7:$F$2738,$F1134))</f>
        <v/>
      </c>
      <c r="H1134" s="12" t="str">
        <f aca="false">IF(INDEX(選手一覧!$G$7:$G$2738,$F1134)="","",INDEX(選手一覧!$G$7:$G$2738,$F1134))</f>
        <v/>
      </c>
      <c r="I1134" s="11" t="str">
        <f aca="false">IF(INDEX(選手一覧!$H$7:$H$2738,$F1134)="","",INDEX(選手一覧!$H$7:$H$2738,$F1134))</f>
        <v/>
      </c>
      <c r="J1134" s="12" t="str">
        <f aca="false">IF(INDEX(選手一覧!$I$7:$I$2738,$F1134)="","",INDEX(選手一覧!$I$7:$I$2738,$F1134))</f>
        <v/>
      </c>
    </row>
    <row r="1135" customFormat="false" ht="15" hidden="false" customHeight="false" outlineLevel="0" collapsed="false">
      <c r="A1135" s="12" t="n">
        <v>1131</v>
      </c>
      <c r="B1135" s="10" t="s">
        <v>1103</v>
      </c>
      <c r="C1135" s="10" t="s">
        <v>114</v>
      </c>
      <c r="D1135" s="11" t="n">
        <v>0.0110209490740741</v>
      </c>
      <c r="E1135" s="18" t="n">
        <f aca="false">ROUND((D1135-$D$5)*86400,2)</f>
        <v>162.47</v>
      </c>
      <c r="F1135" s="12" t="n">
        <v>743</v>
      </c>
      <c r="G1135" s="11" t="n">
        <f aca="false">IF(INDEX(選手一覧!$F$7:$F$2738,$F1135)="","",INDEX(選手一覧!$F$7:$F$2738,$F1135))</f>
        <v>0.00698761574074074</v>
      </c>
      <c r="H1135" s="12" t="n">
        <f aca="false">IF(INDEX(選手一覧!$G$7:$G$2738,$F1135)="","",INDEX(選手一覧!$G$7:$G$2738,$F1135))</f>
        <v>322</v>
      </c>
      <c r="I1135" s="11" t="n">
        <f aca="false">IF(INDEX(選手一覧!$H$7:$H$2738,$F1135)="","",INDEX(選手一覧!$H$7:$H$2738,$F1135))</f>
        <v>0.00286261574074074</v>
      </c>
      <c r="J1135" s="12" t="n">
        <f aca="false">IF(INDEX(選手一覧!$I$7:$I$2738,$F1135)="","",INDEX(選手一覧!$I$7:$I$2738,$F1135))</f>
        <v>653</v>
      </c>
    </row>
    <row r="1136" customFormat="false" ht="15" hidden="false" customHeight="false" outlineLevel="0" collapsed="false">
      <c r="A1136" s="12" t="n">
        <v>1132</v>
      </c>
      <c r="B1136" s="10" t="s">
        <v>1375</v>
      </c>
      <c r="C1136" s="10" t="s">
        <v>549</v>
      </c>
      <c r="D1136" s="11" t="n">
        <v>0.0110216435185185</v>
      </c>
      <c r="E1136" s="18" t="n">
        <f aca="false">ROUND((D1136-$D$5)*86400,2)</f>
        <v>162.53</v>
      </c>
      <c r="F1136" s="12" t="n">
        <v>935</v>
      </c>
      <c r="G1136" s="11" t="n">
        <f aca="false">IF(INDEX(選手一覧!$F$7:$F$2738,$F1136)="","",INDEX(選手一覧!$F$7:$F$2738,$F1136))</f>
        <v>0.00707256944444445</v>
      </c>
      <c r="H1136" s="12" t="n">
        <f aca="false">IF(INDEX(選手一覧!$G$7:$G$2738,$F1136)="","",INDEX(選手一覧!$G$7:$G$2738,$F1136))</f>
        <v>418</v>
      </c>
      <c r="I1136" s="11" t="str">
        <f aca="false">IF(INDEX(選手一覧!$H$7:$H$2738,$F1136)="","",INDEX(選手一覧!$H$7:$H$2738,$F1136))</f>
        <v/>
      </c>
      <c r="J1136" s="12" t="str">
        <f aca="false">IF(INDEX(選手一覧!$I$7:$I$2738,$F1136)="","",INDEX(選手一覧!$I$7:$I$2738,$F1136))</f>
        <v/>
      </c>
    </row>
    <row r="1137" customFormat="false" ht="15" hidden="false" customHeight="false" outlineLevel="0" collapsed="false">
      <c r="A1137" s="12" t="n">
        <v>1133</v>
      </c>
      <c r="B1137" s="10" t="s">
        <v>3283</v>
      </c>
      <c r="C1137" s="10" t="s">
        <v>2196</v>
      </c>
      <c r="D1137" s="11" t="n">
        <v>0.011021875</v>
      </c>
      <c r="E1137" s="18" t="n">
        <f aca="false">ROUND((D1137-$D$5)*86400,2)</f>
        <v>162.55</v>
      </c>
      <c r="F1137" s="12" t="n">
        <v>2311</v>
      </c>
      <c r="G1137" s="11" t="str">
        <f aca="false">IF(INDEX(選手一覧!$F$7:$F$2738,$F1137)="","",INDEX(選手一覧!$F$7:$F$2738,$F1137))</f>
        <v/>
      </c>
      <c r="H1137" s="12" t="str">
        <f aca="false">IF(INDEX(選手一覧!$G$7:$G$2738,$F1137)="","",INDEX(選手一覧!$G$7:$G$2738,$F1137))</f>
        <v/>
      </c>
      <c r="I1137" s="11" t="str">
        <f aca="false">IF(INDEX(選手一覧!$H$7:$H$2738,$F1137)="","",INDEX(選手一覧!$H$7:$H$2738,$F1137))</f>
        <v/>
      </c>
      <c r="J1137" s="12" t="str">
        <f aca="false">IF(INDEX(選手一覧!$I$7:$I$2738,$F1137)="","",INDEX(選手一覧!$I$7:$I$2738,$F1137))</f>
        <v/>
      </c>
    </row>
    <row r="1138" customFormat="false" ht="15" hidden="false" customHeight="false" outlineLevel="0" collapsed="false">
      <c r="A1138" s="12" t="n">
        <v>1134</v>
      </c>
      <c r="B1138" s="10" t="s">
        <v>1906</v>
      </c>
      <c r="C1138" s="10" t="s">
        <v>1907</v>
      </c>
      <c r="D1138" s="11" t="n">
        <v>0.0110221064814815</v>
      </c>
      <c r="E1138" s="18" t="n">
        <f aca="false">ROUND((D1138-$D$5)*86400,2)</f>
        <v>162.57</v>
      </c>
      <c r="F1138" s="12" t="n">
        <v>1311</v>
      </c>
      <c r="G1138" s="11" t="str">
        <f aca="false">IF(INDEX(選手一覧!$F$7:$F$2738,$F1138)="","",INDEX(選手一覧!$F$7:$F$2738,$F1138))</f>
        <v/>
      </c>
      <c r="H1138" s="12" t="str">
        <f aca="false">IF(INDEX(選手一覧!$G$7:$G$2738,$F1138)="","",INDEX(選手一覧!$G$7:$G$2738,$F1138))</f>
        <v/>
      </c>
      <c r="I1138" s="11" t="n">
        <f aca="false">IF(INDEX(選手一覧!$H$7:$H$2738,$F1138)="","",INDEX(選手一覧!$H$7:$H$2738,$F1138))</f>
        <v>0.00285625</v>
      </c>
      <c r="J1138" s="12" t="n">
        <f aca="false">IF(INDEX(選手一覧!$I$7:$I$2738,$F1138)="","",INDEX(選手一覧!$I$7:$I$2738,$F1138))</f>
        <v>611</v>
      </c>
    </row>
    <row r="1139" customFormat="false" ht="15" hidden="false" customHeight="false" outlineLevel="0" collapsed="false">
      <c r="A1139" s="12" t="n">
        <v>1135</v>
      </c>
      <c r="B1139" s="10" t="s">
        <v>3288</v>
      </c>
      <c r="C1139" s="10" t="s">
        <v>1322</v>
      </c>
      <c r="D1139" s="11" t="n">
        <v>0.0110225694444444</v>
      </c>
      <c r="E1139" s="18" t="n">
        <f aca="false">ROUND((D1139-$D$5)*86400,2)</f>
        <v>162.61</v>
      </c>
      <c r="F1139" s="12" t="n">
        <v>2314</v>
      </c>
      <c r="G1139" s="11" t="str">
        <f aca="false">IF(INDEX(選手一覧!$F$7:$F$2738,$F1139)="","",INDEX(選手一覧!$F$7:$F$2738,$F1139))</f>
        <v/>
      </c>
      <c r="H1139" s="12" t="str">
        <f aca="false">IF(INDEX(選手一覧!$G$7:$G$2738,$F1139)="","",INDEX(選手一覧!$G$7:$G$2738,$F1139))</f>
        <v/>
      </c>
      <c r="I1139" s="11" t="str">
        <f aca="false">IF(INDEX(選手一覧!$H$7:$H$2738,$F1139)="","",INDEX(選手一覧!$H$7:$H$2738,$F1139))</f>
        <v/>
      </c>
      <c r="J1139" s="12" t="str">
        <f aca="false">IF(INDEX(選手一覧!$I$7:$I$2738,$F1139)="","",INDEX(選手一覧!$I$7:$I$2738,$F1139))</f>
        <v/>
      </c>
    </row>
    <row r="1140" customFormat="false" ht="15" hidden="false" customHeight="false" outlineLevel="0" collapsed="false">
      <c r="A1140" s="12" t="n">
        <v>1136</v>
      </c>
      <c r="B1140" s="10" t="s">
        <v>2279</v>
      </c>
      <c r="C1140" s="10" t="s">
        <v>1038</v>
      </c>
      <c r="D1140" s="11" t="n">
        <v>0.0110234953703704</v>
      </c>
      <c r="E1140" s="18" t="n">
        <f aca="false">ROUND((D1140-$D$5)*86400,2)</f>
        <v>162.69</v>
      </c>
      <c r="F1140" s="12" t="n">
        <v>1576</v>
      </c>
      <c r="G1140" s="11" t="str">
        <f aca="false">IF(INDEX(選手一覧!$F$7:$F$2738,$F1140)="","",INDEX(選手一覧!$F$7:$F$2738,$F1140))</f>
        <v/>
      </c>
      <c r="H1140" s="12" t="str">
        <f aca="false">IF(INDEX(選手一覧!$G$7:$G$2738,$F1140)="","",INDEX(選手一覧!$G$7:$G$2738,$F1140))</f>
        <v/>
      </c>
      <c r="I1140" s="11" t="n">
        <f aca="false">IF(INDEX(選手一覧!$H$7:$H$2738,$F1140)="","",INDEX(選手一覧!$H$7:$H$2738,$F1140))</f>
        <v>0.00287777777777778</v>
      </c>
      <c r="J1140" s="12" t="n">
        <f aca="false">IF(INDEX(選手一覧!$I$7:$I$2738,$F1140)="","",INDEX(選手一覧!$I$7:$I$2738,$F1140))</f>
        <v>751</v>
      </c>
    </row>
    <row r="1141" customFormat="false" ht="15" hidden="false" customHeight="false" outlineLevel="0" collapsed="false">
      <c r="A1141" s="12" t="n">
        <v>1137</v>
      </c>
      <c r="B1141" s="10" t="s">
        <v>1107</v>
      </c>
      <c r="C1141" s="10" t="s">
        <v>963</v>
      </c>
      <c r="D1141" s="11" t="n">
        <v>0.011025</v>
      </c>
      <c r="E1141" s="18" t="n">
        <f aca="false">ROUND((D1141-$D$5)*86400,2)</f>
        <v>162.82</v>
      </c>
      <c r="F1141" s="12" t="n">
        <v>746</v>
      </c>
      <c r="G1141" s="11" t="str">
        <f aca="false">IF(INDEX(選手一覧!$F$7:$F$2738,$F1141)="","",INDEX(選手一覧!$F$7:$F$2738,$F1141))</f>
        <v/>
      </c>
      <c r="H1141" s="12" t="str">
        <f aca="false">IF(INDEX(選手一覧!$G$7:$G$2738,$F1141)="","",INDEX(選手一覧!$G$7:$G$2738,$F1141))</f>
        <v/>
      </c>
      <c r="I1141" s="11" t="n">
        <f aca="false">IF(INDEX(選手一覧!$H$7:$H$2738,$F1141)="","",INDEX(選手一覧!$H$7:$H$2738,$F1141))</f>
        <v>0.00280960648148148</v>
      </c>
      <c r="J1141" s="12" t="n">
        <f aca="false">IF(INDEX(選手一覧!$I$7:$I$2738,$F1141)="","",INDEX(選手一覧!$I$7:$I$2738,$F1141))</f>
        <v>323</v>
      </c>
    </row>
    <row r="1142" customFormat="false" ht="15" hidden="false" customHeight="false" outlineLevel="0" collapsed="false">
      <c r="A1142" s="12" t="n">
        <v>1138</v>
      </c>
      <c r="B1142" s="10" t="s">
        <v>3297</v>
      </c>
      <c r="C1142" s="10" t="s">
        <v>49</v>
      </c>
      <c r="D1142" s="11" t="n">
        <v>0.0110253472222222</v>
      </c>
      <c r="E1142" s="18" t="n">
        <f aca="false">ROUND((D1142-$D$5)*86400,2)</f>
        <v>162.85</v>
      </c>
      <c r="F1142" s="12" t="n">
        <v>2319</v>
      </c>
      <c r="G1142" s="11" t="str">
        <f aca="false">IF(INDEX(選手一覧!$F$7:$F$2738,$F1142)="","",INDEX(選手一覧!$F$7:$F$2738,$F1142))</f>
        <v/>
      </c>
      <c r="H1142" s="12" t="str">
        <f aca="false">IF(INDEX(選手一覧!$G$7:$G$2738,$F1142)="","",INDEX(選手一覧!$G$7:$G$2738,$F1142))</f>
        <v/>
      </c>
      <c r="I1142" s="11" t="str">
        <f aca="false">IF(INDEX(選手一覧!$H$7:$H$2738,$F1142)="","",INDEX(選手一覧!$H$7:$H$2738,$F1142))</f>
        <v/>
      </c>
      <c r="J1142" s="12" t="str">
        <f aca="false">IF(INDEX(選手一覧!$I$7:$I$2738,$F1142)="","",INDEX(選手一覧!$I$7:$I$2738,$F1142))</f>
        <v/>
      </c>
    </row>
    <row r="1143" customFormat="false" ht="15" hidden="false" customHeight="false" outlineLevel="0" collapsed="false">
      <c r="A1143" s="12" t="n">
        <v>1139</v>
      </c>
      <c r="B1143" s="10" t="s">
        <v>3300</v>
      </c>
      <c r="C1143" s="10" t="s">
        <v>175</v>
      </c>
      <c r="D1143" s="11" t="n">
        <v>0.0110255787037037</v>
      </c>
      <c r="E1143" s="18" t="n">
        <f aca="false">ROUND((D1143-$D$5)*86400,2)</f>
        <v>162.87</v>
      </c>
      <c r="F1143" s="12" t="n">
        <v>2321</v>
      </c>
      <c r="G1143" s="11" t="str">
        <f aca="false">IF(INDEX(選手一覧!$F$7:$F$2738,$F1143)="","",INDEX(選手一覧!$F$7:$F$2738,$F1143))</f>
        <v/>
      </c>
      <c r="H1143" s="12" t="str">
        <f aca="false">IF(INDEX(選手一覧!$G$7:$G$2738,$F1143)="","",INDEX(選手一覧!$G$7:$G$2738,$F1143))</f>
        <v/>
      </c>
      <c r="I1143" s="11" t="str">
        <f aca="false">IF(INDEX(選手一覧!$H$7:$H$2738,$F1143)="","",INDEX(選手一覧!$H$7:$H$2738,$F1143))</f>
        <v/>
      </c>
      <c r="J1143" s="12" t="str">
        <f aca="false">IF(INDEX(選手一覧!$I$7:$I$2738,$F1143)="","",INDEX(選手一覧!$I$7:$I$2738,$F1143))</f>
        <v/>
      </c>
    </row>
    <row r="1144" customFormat="false" ht="15" hidden="false" customHeight="false" outlineLevel="0" collapsed="false">
      <c r="A1144" s="12" t="n">
        <v>1140</v>
      </c>
      <c r="B1144" s="10" t="s">
        <v>1009</v>
      </c>
      <c r="C1144" s="10" t="s">
        <v>81</v>
      </c>
      <c r="D1144" s="11" t="n">
        <v>0.0110256944444444</v>
      </c>
      <c r="E1144" s="18" t="n">
        <f aca="false">ROUND((D1144-$D$5)*86400,2)</f>
        <v>162.88</v>
      </c>
      <c r="F1144" s="12" t="n">
        <v>674</v>
      </c>
      <c r="G1144" s="11" t="n">
        <f aca="false">IF(INDEX(選手一覧!$F$7:$F$2738,$F1144)="","",INDEX(選手一覧!$F$7:$F$2738,$F1144))</f>
        <v>0.00750810185185185</v>
      </c>
      <c r="H1144" s="12" t="n">
        <f aca="false">IF(INDEX(選手一覧!$G$7:$G$2738,$F1144)="","",INDEX(選手一覧!$G$7:$G$2738,$F1144))</f>
        <v>897</v>
      </c>
      <c r="I1144" s="11" t="n">
        <f aca="false">IF(INDEX(選手一覧!$H$7:$H$2738,$F1144)="","",INDEX(選手一覧!$H$7:$H$2738,$F1144))</f>
        <v>0.00280104166666667</v>
      </c>
      <c r="J1144" s="12" t="n">
        <f aca="false">IF(INDEX(選手一覧!$I$7:$I$2738,$F1144)="","",INDEX(選手一覧!$I$7:$I$2738,$F1144))</f>
        <v>287</v>
      </c>
    </row>
    <row r="1145" customFormat="false" ht="15" hidden="false" customHeight="false" outlineLevel="0" collapsed="false">
      <c r="A1145" s="12" t="n">
        <v>1141</v>
      </c>
      <c r="B1145" s="10" t="s">
        <v>924</v>
      </c>
      <c r="C1145" s="10" t="s">
        <v>145</v>
      </c>
      <c r="D1145" s="11" t="n">
        <v>0.0110261574074074</v>
      </c>
      <c r="E1145" s="18" t="n">
        <f aca="false">ROUND((D1145-$D$5)*86400,2)</f>
        <v>162.92</v>
      </c>
      <c r="F1145" s="12" t="n">
        <v>611</v>
      </c>
      <c r="G1145" s="11" t="n">
        <f aca="false">IF(INDEX(選手一覧!$F$7:$F$2738,$F1145)="","",INDEX(選手一覧!$F$7:$F$2738,$F1145))</f>
        <v>0.00692083333333333</v>
      </c>
      <c r="H1145" s="12" t="n">
        <f aca="false">IF(INDEX(選手一覧!$G$7:$G$2738,$F1145)="","",INDEX(選手一覧!$G$7:$G$2738,$F1145))</f>
        <v>257</v>
      </c>
      <c r="I1145" s="11" t="str">
        <f aca="false">IF(INDEX(選手一覧!$H$7:$H$2738,$F1145)="","",INDEX(選手一覧!$H$7:$H$2738,$F1145))</f>
        <v/>
      </c>
      <c r="J1145" s="12" t="str">
        <f aca="false">IF(INDEX(選手一覧!$I$7:$I$2738,$F1145)="","",INDEX(選手一覧!$I$7:$I$2738,$F1145))</f>
        <v/>
      </c>
    </row>
    <row r="1146" customFormat="false" ht="15" hidden="false" customHeight="false" outlineLevel="0" collapsed="false">
      <c r="A1146" s="12" t="n">
        <v>1142</v>
      </c>
      <c r="B1146" s="10" t="s">
        <v>2969</v>
      </c>
      <c r="C1146" s="10" t="s">
        <v>2970</v>
      </c>
      <c r="D1146" s="11" t="n">
        <v>0.0110261574074074</v>
      </c>
      <c r="E1146" s="18" t="n">
        <f aca="false">ROUND((D1146-$D$5)*86400,2)</f>
        <v>162.92</v>
      </c>
      <c r="F1146" s="12" t="n">
        <v>2085</v>
      </c>
      <c r="G1146" s="11" t="str">
        <f aca="false">IF(INDEX(選手一覧!$F$7:$F$2738,$F1146)="","",INDEX(選手一覧!$F$7:$F$2738,$F1146))</f>
        <v/>
      </c>
      <c r="H1146" s="12" t="str">
        <f aca="false">IF(INDEX(選手一覧!$G$7:$G$2738,$F1146)="","",INDEX(選手一覧!$G$7:$G$2738,$F1146))</f>
        <v/>
      </c>
      <c r="I1146" s="11" t="n">
        <f aca="false">IF(INDEX(選手一覧!$H$7:$H$2738,$F1146)="","",INDEX(選手一覧!$H$7:$H$2738,$F1146))</f>
        <v>0.00290949074074074</v>
      </c>
      <c r="J1146" s="12" t="n">
        <f aca="false">IF(INDEX(選手一覧!$I$7:$I$2738,$F1146)="","",INDEX(選手一覧!$I$7:$I$2738,$F1146))</f>
        <v>1013</v>
      </c>
    </row>
    <row r="1147" customFormat="false" ht="15" hidden="false" customHeight="false" outlineLevel="0" collapsed="false">
      <c r="A1147" s="12" t="n">
        <v>1143</v>
      </c>
      <c r="B1147" s="10" t="s">
        <v>1399</v>
      </c>
      <c r="C1147" s="10" t="s">
        <v>541</v>
      </c>
      <c r="D1147" s="11" t="n">
        <v>0.0110262731481482</v>
      </c>
      <c r="E1147" s="18" t="n">
        <f aca="false">ROUND((D1147-$D$5)*86400,2)</f>
        <v>162.93</v>
      </c>
      <c r="F1147" s="12" t="n">
        <v>953</v>
      </c>
      <c r="G1147" s="11" t="n">
        <f aca="false">IF(INDEX(選手一覧!$F$7:$F$2738,$F1147)="","",INDEX(選手一覧!$F$7:$F$2738,$F1147))</f>
        <v>0.00707962962962963</v>
      </c>
      <c r="H1147" s="12" t="n">
        <f aca="false">IF(INDEX(選手一覧!$G$7:$G$2738,$F1147)="","",INDEX(選手一覧!$G$7:$G$2738,$F1147))</f>
        <v>427</v>
      </c>
      <c r="I1147" s="11" t="n">
        <f aca="false">IF(INDEX(選手一覧!$H$7:$H$2738,$F1147)="","",INDEX(選手一覧!$H$7:$H$2738,$F1147))</f>
        <v>0.00292569444444444</v>
      </c>
      <c r="J1147" s="12" t="n">
        <f aca="false">IF(INDEX(選手一覧!$I$7:$I$2738,$F1147)="","",INDEX(選手一覧!$I$7:$I$2738,$F1147))</f>
        <v>1155</v>
      </c>
    </row>
    <row r="1148" customFormat="false" ht="15" hidden="false" customHeight="false" outlineLevel="0" collapsed="false">
      <c r="A1148" s="12" t="n">
        <v>1144</v>
      </c>
      <c r="B1148" s="10" t="s">
        <v>1426</v>
      </c>
      <c r="C1148" s="10" t="s">
        <v>234</v>
      </c>
      <c r="D1148" s="11" t="n">
        <v>0.0110269675925926</v>
      </c>
      <c r="E1148" s="18" t="n">
        <f aca="false">ROUND((D1148-$D$5)*86400,2)</f>
        <v>162.99</v>
      </c>
      <c r="F1148" s="12" t="n">
        <v>974</v>
      </c>
      <c r="G1148" s="11" t="str">
        <f aca="false">IF(INDEX(選手一覧!$F$7:$F$2738,$F1148)="","",INDEX(選手一覧!$F$7:$F$2738,$F1148))</f>
        <v/>
      </c>
      <c r="H1148" s="12" t="str">
        <f aca="false">IF(INDEX(選手一覧!$G$7:$G$2738,$F1148)="","",INDEX(選手一覧!$G$7:$G$2738,$F1148))</f>
        <v/>
      </c>
      <c r="I1148" s="11" t="n">
        <f aca="false">IF(INDEX(選手一覧!$H$7:$H$2738,$F1148)="","",INDEX(選手一覧!$H$7:$H$2738,$F1148))</f>
        <v>0.00283159722222222</v>
      </c>
      <c r="J1148" s="12" t="n">
        <f aca="false">IF(INDEX(選手一覧!$I$7:$I$2738,$F1148)="","",INDEX(選手一覧!$I$7:$I$2738,$F1148))</f>
        <v>435</v>
      </c>
    </row>
    <row r="1149" customFormat="false" ht="15" hidden="false" customHeight="false" outlineLevel="0" collapsed="false">
      <c r="A1149" s="12" t="n">
        <v>1145</v>
      </c>
      <c r="B1149" s="10" t="s">
        <v>1528</v>
      </c>
      <c r="C1149" s="10" t="s">
        <v>590</v>
      </c>
      <c r="D1149" s="11" t="n">
        <v>0.0110271990740741</v>
      </c>
      <c r="E1149" s="18" t="n">
        <f aca="false">ROUND((D1149-$D$5)*86400,2)</f>
        <v>163.01</v>
      </c>
      <c r="F1149" s="12" t="n">
        <v>1050</v>
      </c>
      <c r="G1149" s="11" t="str">
        <f aca="false">IF(INDEX(選手一覧!$F$7:$F$2738,$F1149)="","",INDEX(選手一覧!$F$7:$F$2738,$F1149))</f>
        <v/>
      </c>
      <c r="H1149" s="12" t="str">
        <f aca="false">IF(INDEX(選手一覧!$G$7:$G$2738,$F1149)="","",INDEX(選手一覧!$G$7:$G$2738,$F1149))</f>
        <v/>
      </c>
      <c r="I1149" s="11" t="n">
        <f aca="false">IF(INDEX(選手一覧!$H$7:$H$2738,$F1149)="","",INDEX(選手一覧!$H$7:$H$2738,$F1149))</f>
        <v>0.00283611111111111</v>
      </c>
      <c r="J1149" s="12" t="n">
        <f aca="false">IF(INDEX(選手一覧!$I$7:$I$2738,$F1149)="","",INDEX(選手一覧!$I$7:$I$2738,$F1149))</f>
        <v>472</v>
      </c>
    </row>
    <row r="1150" customFormat="false" ht="15" hidden="false" customHeight="false" outlineLevel="0" collapsed="false">
      <c r="A1150" s="12" t="n">
        <v>1146</v>
      </c>
      <c r="B1150" s="10" t="s">
        <v>1851</v>
      </c>
      <c r="C1150" s="10" t="s">
        <v>1852</v>
      </c>
      <c r="D1150" s="11" t="n">
        <v>0.0110280092592593</v>
      </c>
      <c r="E1150" s="18" t="n">
        <f aca="false">ROUND((D1150-$D$5)*86400,2)</f>
        <v>163.08</v>
      </c>
      <c r="F1150" s="12" t="n">
        <v>1275</v>
      </c>
      <c r="G1150" s="11" t="str">
        <f aca="false">IF(INDEX(選手一覧!$F$7:$F$2738,$F1150)="","",INDEX(選手一覧!$F$7:$F$2738,$F1150))</f>
        <v/>
      </c>
      <c r="H1150" s="12" t="str">
        <f aca="false">IF(INDEX(選手一覧!$G$7:$G$2738,$F1150)="","",INDEX(選手一覧!$G$7:$G$2738,$F1150))</f>
        <v/>
      </c>
      <c r="I1150" s="11" t="n">
        <f aca="false">IF(INDEX(選手一覧!$H$7:$H$2738,$F1150)="","",INDEX(選手一覧!$H$7:$H$2738,$F1150))</f>
        <v>0.00285358796296296</v>
      </c>
      <c r="J1150" s="12" t="n">
        <f aca="false">IF(INDEX(選手一覧!$I$7:$I$2738,$F1150)="","",INDEX(選手一覧!$I$7:$I$2738,$F1150))</f>
        <v>591</v>
      </c>
    </row>
    <row r="1151" customFormat="false" ht="15" hidden="false" customHeight="false" outlineLevel="0" collapsed="false">
      <c r="A1151" s="12" t="n">
        <v>1147</v>
      </c>
      <c r="B1151" s="10" t="s">
        <v>3225</v>
      </c>
      <c r="C1151" s="10" t="s">
        <v>2155</v>
      </c>
      <c r="D1151" s="11" t="n">
        <v>0.0110283564814815</v>
      </c>
      <c r="E1151" s="18" t="n">
        <f aca="false">ROUND((D1151-$D$5)*86400,2)</f>
        <v>163.11</v>
      </c>
      <c r="F1151" s="12" t="n">
        <v>2269</v>
      </c>
      <c r="G1151" s="11" t="str">
        <f aca="false">IF(INDEX(選手一覧!$F$7:$F$2738,$F1151)="","",INDEX(選手一覧!$F$7:$F$2738,$F1151))</f>
        <v/>
      </c>
      <c r="H1151" s="12" t="str">
        <f aca="false">IF(INDEX(選手一覧!$G$7:$G$2738,$F1151)="","",INDEX(選手一覧!$G$7:$G$2738,$F1151))</f>
        <v/>
      </c>
      <c r="I1151" s="11" t="n">
        <f aca="false">IF(INDEX(選手一覧!$H$7:$H$2738,$F1151)="","",INDEX(選手一覧!$H$7:$H$2738,$F1151))</f>
        <v>0.00292141203703704</v>
      </c>
      <c r="J1151" s="12" t="n">
        <f aca="false">IF(INDEX(選手一覧!$I$7:$I$2738,$F1151)="","",INDEX(選手一覧!$I$7:$I$2738,$F1151))</f>
        <v>1111</v>
      </c>
    </row>
    <row r="1152" customFormat="false" ht="15" hidden="false" customHeight="false" outlineLevel="0" collapsed="false">
      <c r="A1152" s="12" t="n">
        <v>1148</v>
      </c>
      <c r="B1152" s="10" t="s">
        <v>1220</v>
      </c>
      <c r="C1152" s="10" t="s">
        <v>445</v>
      </c>
      <c r="D1152" s="11" t="n">
        <v>0.0110284722222222</v>
      </c>
      <c r="E1152" s="18" t="n">
        <f aca="false">ROUND((D1152-$D$5)*86400,2)</f>
        <v>163.12</v>
      </c>
      <c r="F1152" s="12" t="n">
        <v>827</v>
      </c>
      <c r="G1152" s="11" t="n">
        <f aca="false">IF(INDEX(選手一覧!$F$7:$F$2738,$F1152)="","",INDEX(選手一覧!$F$7:$F$2738,$F1152))</f>
        <v>0.00709537037037037</v>
      </c>
      <c r="H1152" s="12" t="n">
        <f aca="false">IF(INDEX(選手一覧!$G$7:$G$2738,$F1152)="","",INDEX(選手一覧!$G$7:$G$2738,$F1152))</f>
        <v>443</v>
      </c>
      <c r="I1152" s="11" t="n">
        <f aca="false">IF(INDEX(選手一覧!$H$7:$H$2738,$F1152)="","",INDEX(選手一覧!$H$7:$H$2738,$F1152))</f>
        <v>0.00282037037037037</v>
      </c>
      <c r="J1152" s="12" t="n">
        <f aca="false">IF(INDEX(選手一覧!$I$7:$I$2738,$F1152)="","",INDEX(選手一覧!$I$7:$I$2738,$F1152))</f>
        <v>363</v>
      </c>
    </row>
    <row r="1153" customFormat="false" ht="15" hidden="false" customHeight="false" outlineLevel="0" collapsed="false">
      <c r="A1153" s="12" t="n">
        <v>1149</v>
      </c>
      <c r="B1153" s="10" t="s">
        <v>3320</v>
      </c>
      <c r="C1153" s="10" t="s">
        <v>103</v>
      </c>
      <c r="D1153" s="11" t="n">
        <v>0.0110288194444444</v>
      </c>
      <c r="E1153" s="18" t="n">
        <f aca="false">ROUND((D1153-$D$5)*86400,2)</f>
        <v>163.15</v>
      </c>
      <c r="F1153" s="12" t="n">
        <v>2335</v>
      </c>
      <c r="G1153" s="11" t="str">
        <f aca="false">IF(INDEX(選手一覧!$F$7:$F$2738,$F1153)="","",INDEX(選手一覧!$F$7:$F$2738,$F1153))</f>
        <v/>
      </c>
      <c r="H1153" s="12" t="str">
        <f aca="false">IF(INDEX(選手一覧!$G$7:$G$2738,$F1153)="","",INDEX(選手一覧!$G$7:$G$2738,$F1153))</f>
        <v/>
      </c>
      <c r="I1153" s="11" t="str">
        <f aca="false">IF(INDEX(選手一覧!$H$7:$H$2738,$F1153)="","",INDEX(選手一覧!$H$7:$H$2738,$F1153))</f>
        <v/>
      </c>
      <c r="J1153" s="12" t="str">
        <f aca="false">IF(INDEX(選手一覧!$I$7:$I$2738,$F1153)="","",INDEX(選手一覧!$I$7:$I$2738,$F1153))</f>
        <v/>
      </c>
    </row>
    <row r="1154" customFormat="false" ht="15" hidden="false" customHeight="false" outlineLevel="0" collapsed="false">
      <c r="A1154" s="12" t="n">
        <v>1150</v>
      </c>
      <c r="B1154" s="10" t="s">
        <v>3322</v>
      </c>
      <c r="C1154" s="10" t="s">
        <v>36</v>
      </c>
      <c r="D1154" s="11" t="n">
        <v>0.0110297453703704</v>
      </c>
      <c r="E1154" s="18" t="n">
        <f aca="false">ROUND((D1154-$D$5)*86400,2)</f>
        <v>163.23</v>
      </c>
      <c r="F1154" s="12" t="n">
        <v>2337</v>
      </c>
      <c r="G1154" s="11" t="str">
        <f aca="false">IF(INDEX(選手一覧!$F$7:$F$2738,$F1154)="","",INDEX(選手一覧!$F$7:$F$2738,$F1154))</f>
        <v/>
      </c>
      <c r="H1154" s="12" t="str">
        <f aca="false">IF(INDEX(選手一覧!$G$7:$G$2738,$F1154)="","",INDEX(選手一覧!$G$7:$G$2738,$F1154))</f>
        <v/>
      </c>
      <c r="I1154" s="11" t="str">
        <f aca="false">IF(INDEX(選手一覧!$H$7:$H$2738,$F1154)="","",INDEX(選手一覧!$H$7:$H$2738,$F1154))</f>
        <v/>
      </c>
      <c r="J1154" s="12" t="str">
        <f aca="false">IF(INDEX(選手一覧!$I$7:$I$2738,$F1154)="","",INDEX(選手一覧!$I$7:$I$2738,$F1154))</f>
        <v/>
      </c>
    </row>
    <row r="1155" customFormat="false" ht="15" hidden="false" customHeight="false" outlineLevel="0" collapsed="false">
      <c r="A1155" s="12" t="n">
        <v>1151</v>
      </c>
      <c r="B1155" s="10" t="s">
        <v>1842</v>
      </c>
      <c r="C1155" s="10" t="s">
        <v>1843</v>
      </c>
      <c r="D1155" s="11" t="n">
        <v>0.0110297453703704</v>
      </c>
      <c r="E1155" s="18" t="n">
        <f aca="false">ROUND((D1155-$D$5)*86400,2)</f>
        <v>163.23</v>
      </c>
      <c r="F1155" s="12" t="n">
        <v>1268</v>
      </c>
      <c r="G1155" s="11" t="n">
        <f aca="false">IF(INDEX(選手一覧!$F$7:$F$2738,$F1155)="","",INDEX(選手一覧!$F$7:$F$2738,$F1155))</f>
        <v>0.00723888888888889</v>
      </c>
      <c r="H1155" s="12" t="n">
        <f aca="false">IF(INDEX(選手一覧!$G$7:$G$2738,$F1155)="","",INDEX(選手一覧!$G$7:$G$2738,$F1155))</f>
        <v>586</v>
      </c>
      <c r="I1155" s="11" t="n">
        <f aca="false">IF(INDEX(選手一覧!$H$7:$H$2738,$F1155)="","",INDEX(選手一覧!$H$7:$H$2738,$F1155))</f>
        <v>0.00292025462962963</v>
      </c>
      <c r="J1155" s="12" t="n">
        <f aca="false">IF(INDEX(選手一覧!$I$7:$I$2738,$F1155)="","",INDEX(選手一覧!$I$7:$I$2738,$F1155))</f>
        <v>1100</v>
      </c>
    </row>
    <row r="1156" customFormat="false" ht="15" hidden="false" customHeight="false" outlineLevel="0" collapsed="false">
      <c r="A1156" s="12" t="n">
        <v>1152</v>
      </c>
      <c r="B1156" s="10" t="s">
        <v>2347</v>
      </c>
      <c r="C1156" s="10" t="s">
        <v>279</v>
      </c>
      <c r="D1156" s="11" t="n">
        <v>0.011030787037037</v>
      </c>
      <c r="E1156" s="18" t="n">
        <f aca="false">ROUND((D1156-$D$5)*86400,2)</f>
        <v>163.32</v>
      </c>
      <c r="F1156" s="12" t="n">
        <v>1625</v>
      </c>
      <c r="G1156" s="11" t="n">
        <f aca="false">IF(INDEX(選手一覧!$F$7:$F$2738,$F1156)="","",INDEX(選手一覧!$F$7:$F$2738,$F1156))</f>
        <v>0.00740162037037037</v>
      </c>
      <c r="H1156" s="12" t="n">
        <f aca="false">IF(INDEX(選手一覧!$G$7:$G$2738,$F1156)="","",INDEX(選手一覧!$G$7:$G$2738,$F1156))</f>
        <v>773</v>
      </c>
      <c r="I1156" s="11" t="str">
        <f aca="false">IF(INDEX(選手一覧!$H$7:$H$2738,$F1156)="","",INDEX(選手一覧!$H$7:$H$2738,$F1156))</f>
        <v/>
      </c>
      <c r="J1156" s="12" t="str">
        <f aca="false">IF(INDEX(選手一覧!$I$7:$I$2738,$F1156)="","",INDEX(選手一覧!$I$7:$I$2738,$F1156))</f>
        <v/>
      </c>
    </row>
    <row r="1157" customFormat="false" ht="15" hidden="false" customHeight="false" outlineLevel="0" collapsed="false">
      <c r="A1157" s="12" t="n">
        <v>1153</v>
      </c>
      <c r="B1157" s="10" t="s">
        <v>3331</v>
      </c>
      <c r="C1157" s="10" t="s">
        <v>2205</v>
      </c>
      <c r="D1157" s="11" t="n">
        <v>0.011030787037037</v>
      </c>
      <c r="E1157" s="18" t="n">
        <f aca="false">ROUND((D1157-$D$5)*86400,2)</f>
        <v>163.32</v>
      </c>
      <c r="F1157" s="12" t="n">
        <v>2345</v>
      </c>
      <c r="G1157" s="11" t="str">
        <f aca="false">IF(INDEX(選手一覧!$F$7:$F$2738,$F1157)="","",INDEX(選手一覧!$F$7:$F$2738,$F1157))</f>
        <v/>
      </c>
      <c r="H1157" s="12" t="str">
        <f aca="false">IF(INDEX(選手一覧!$G$7:$G$2738,$F1157)="","",INDEX(選手一覧!$G$7:$G$2738,$F1157))</f>
        <v/>
      </c>
      <c r="I1157" s="11" t="str">
        <f aca="false">IF(INDEX(選手一覧!$H$7:$H$2738,$F1157)="","",INDEX(選手一覧!$H$7:$H$2738,$F1157))</f>
        <v/>
      </c>
      <c r="J1157" s="12" t="str">
        <f aca="false">IF(INDEX(選手一覧!$I$7:$I$2738,$F1157)="","",INDEX(選手一覧!$I$7:$I$2738,$F1157))</f>
        <v/>
      </c>
    </row>
    <row r="1158" customFormat="false" ht="15" hidden="false" customHeight="false" outlineLevel="0" collapsed="false">
      <c r="A1158" s="12" t="n">
        <v>1154</v>
      </c>
      <c r="B1158" s="10" t="s">
        <v>1627</v>
      </c>
      <c r="C1158" s="10" t="s">
        <v>1628</v>
      </c>
      <c r="D1158" s="11" t="n">
        <v>0.0110311342592593</v>
      </c>
      <c r="E1158" s="18" t="n">
        <f aca="false">ROUND((D1158-$D$5)*86400,2)</f>
        <v>163.35</v>
      </c>
      <c r="F1158" s="12" t="n">
        <v>1123</v>
      </c>
      <c r="G1158" s="11" t="n">
        <f aca="false">IF(INDEX(選手一覧!$F$7:$F$2738,$F1158)="","",INDEX(選手一覧!$F$7:$F$2738,$F1158))</f>
        <v>0.00716990740740741</v>
      </c>
      <c r="H1158" s="12" t="n">
        <f aca="false">IF(INDEX(選手一覧!$G$7:$G$2738,$F1158)="","",INDEX(選手一覧!$G$7:$G$2738,$F1158))</f>
        <v>509</v>
      </c>
      <c r="I1158" s="11" t="str">
        <f aca="false">IF(INDEX(選手一覧!$H$7:$H$2738,$F1158)="","",INDEX(選手一覧!$H$7:$H$2738,$F1158))</f>
        <v/>
      </c>
      <c r="J1158" s="12" t="str">
        <f aca="false">IF(INDEX(選手一覧!$I$7:$I$2738,$F1158)="","",INDEX(選手一覧!$I$7:$I$2738,$F1158))</f>
        <v/>
      </c>
    </row>
    <row r="1159" customFormat="false" ht="15" hidden="false" customHeight="false" outlineLevel="0" collapsed="false">
      <c r="A1159" s="12" t="n">
        <v>1155</v>
      </c>
      <c r="B1159" s="10" t="s">
        <v>849</v>
      </c>
      <c r="C1159" s="10" t="s">
        <v>850</v>
      </c>
      <c r="D1159" s="11" t="n">
        <v>0.0110318287037037</v>
      </c>
      <c r="E1159" s="18" t="n">
        <f aca="false">ROUND((D1159-$D$5)*86400,2)</f>
        <v>163.41</v>
      </c>
      <c r="F1159" s="12" t="n">
        <v>554</v>
      </c>
      <c r="G1159" s="11" t="str">
        <f aca="false">IF(INDEX(選手一覧!$F$7:$F$2738,$F1159)="","",INDEX(選手一覧!$F$7:$F$2738,$F1159))</f>
        <v/>
      </c>
      <c r="H1159" s="12" t="str">
        <f aca="false">IF(INDEX(選手一覧!$G$7:$G$2738,$F1159)="","",INDEX(選手一覧!$G$7:$G$2738,$F1159))</f>
        <v/>
      </c>
      <c r="I1159" s="11" t="n">
        <f aca="false">IF(INDEX(選手一覧!$H$7:$H$2738,$F1159)="","",INDEX(選手一覧!$H$7:$H$2738,$F1159))</f>
        <v>0.0027875</v>
      </c>
      <c r="J1159" s="12" t="n">
        <f aca="false">IF(INDEX(選手一覧!$I$7:$I$2738,$F1159)="","",INDEX(選手一覧!$I$7:$I$2738,$F1159))</f>
        <v>232</v>
      </c>
    </row>
    <row r="1160" customFormat="false" ht="15" hidden="false" customHeight="false" outlineLevel="0" collapsed="false">
      <c r="A1160" s="12" t="n">
        <v>1156</v>
      </c>
      <c r="B1160" s="10" t="s">
        <v>1014</v>
      </c>
      <c r="C1160" s="10" t="s">
        <v>288</v>
      </c>
      <c r="D1160" s="11" t="n">
        <v>0.0110321759259259</v>
      </c>
      <c r="E1160" s="18" t="n">
        <f aca="false">ROUND((D1160-$D$5)*86400,2)</f>
        <v>163.44</v>
      </c>
      <c r="F1160" s="12" t="n">
        <v>679</v>
      </c>
      <c r="G1160" s="11" t="str">
        <f aca="false">IF(INDEX(選手一覧!$F$7:$F$2738,$F1160)="","",INDEX(選手一覧!$F$7:$F$2738,$F1160))</f>
        <v/>
      </c>
      <c r="H1160" s="12" t="str">
        <f aca="false">IF(INDEX(選手一覧!$G$7:$G$2738,$F1160)="","",INDEX(選手一覧!$G$7:$G$2738,$F1160))</f>
        <v/>
      </c>
      <c r="I1160" s="11" t="n">
        <f aca="false">IF(INDEX(選手一覧!$H$7:$H$2738,$F1160)="","",INDEX(選手一覧!$H$7:$H$2738,$F1160))</f>
        <v>0.00280162037037037</v>
      </c>
      <c r="J1160" s="12" t="n">
        <f aca="false">IF(INDEX(選手一覧!$I$7:$I$2738,$F1160)="","",INDEX(選手一覧!$I$7:$I$2738,$F1160))</f>
        <v>288</v>
      </c>
    </row>
    <row r="1161" customFormat="false" ht="15" hidden="false" customHeight="false" outlineLevel="0" collapsed="false">
      <c r="A1161" s="12" t="n">
        <v>1157</v>
      </c>
      <c r="B1161" s="10" t="s">
        <v>404</v>
      </c>
      <c r="C1161" s="10" t="s">
        <v>405</v>
      </c>
      <c r="D1161" s="11" t="n">
        <v>0.0110321759259259</v>
      </c>
      <c r="E1161" s="18" t="n">
        <f aca="false">ROUND((D1161-$D$5)*86400,2)</f>
        <v>163.44</v>
      </c>
      <c r="F1161" s="12" t="n">
        <v>242</v>
      </c>
      <c r="G1161" s="11" t="n">
        <f aca="false">IF(INDEX(選手一覧!$F$7:$F$2738,$F1161)="","",INDEX(選手一覧!$F$7:$F$2738,$F1161))</f>
        <v>0.00668368055555556</v>
      </c>
      <c r="H1161" s="12" t="n">
        <f aca="false">IF(INDEX(選手一覧!$G$7:$G$2738,$F1161)="","",INDEX(選手一覧!$G$7:$G$2738,$F1161))</f>
        <v>100</v>
      </c>
      <c r="I1161" s="11" t="str">
        <f aca="false">IF(INDEX(選手一覧!$H$7:$H$2738,$F1161)="","",INDEX(選手一覧!$H$7:$H$2738,$F1161))</f>
        <v/>
      </c>
      <c r="J1161" s="12" t="str">
        <f aca="false">IF(INDEX(選手一覧!$I$7:$I$2738,$F1161)="","",INDEX(選手一覧!$I$7:$I$2738,$F1161))</f>
        <v/>
      </c>
    </row>
    <row r="1162" customFormat="false" ht="15" hidden="false" customHeight="false" outlineLevel="0" collapsed="false">
      <c r="A1162" s="12" t="n">
        <v>1158</v>
      </c>
      <c r="B1162" s="10" t="s">
        <v>2166</v>
      </c>
      <c r="C1162" s="10" t="s">
        <v>810</v>
      </c>
      <c r="D1162" s="11" t="n">
        <v>0.0110333333333333</v>
      </c>
      <c r="E1162" s="18" t="n">
        <f aca="false">ROUND((D1162-$D$5)*86400,2)</f>
        <v>163.54</v>
      </c>
      <c r="F1162" s="12" t="n">
        <v>2353</v>
      </c>
      <c r="G1162" s="11" t="str">
        <f aca="false">IF(INDEX(選手一覧!$F$7:$F$2738,$F1162)="","",INDEX(選手一覧!$F$7:$F$2738,$F1162))</f>
        <v/>
      </c>
      <c r="H1162" s="12" t="str">
        <f aca="false">IF(INDEX(選手一覧!$G$7:$G$2738,$F1162)="","",INDEX(選手一覧!$G$7:$G$2738,$F1162))</f>
        <v/>
      </c>
      <c r="I1162" s="11" t="str">
        <f aca="false">IF(INDEX(選手一覧!$H$7:$H$2738,$F1162)="","",INDEX(選手一覧!$H$7:$H$2738,$F1162))</f>
        <v/>
      </c>
      <c r="J1162" s="12" t="str">
        <f aca="false">IF(INDEX(選手一覧!$I$7:$I$2738,$F1162)="","",INDEX(選手一覧!$I$7:$I$2738,$F1162))</f>
        <v/>
      </c>
    </row>
    <row r="1163" customFormat="false" ht="15" hidden="false" customHeight="false" outlineLevel="0" collapsed="false">
      <c r="A1163" s="12" t="n">
        <v>1159</v>
      </c>
      <c r="B1163" s="10" t="s">
        <v>3346</v>
      </c>
      <c r="C1163" s="10" t="s">
        <v>62</v>
      </c>
      <c r="D1163" s="11" t="n">
        <v>0.0110337962962963</v>
      </c>
      <c r="E1163" s="18" t="n">
        <f aca="false">ROUND((D1163-$D$5)*86400,2)</f>
        <v>163.58</v>
      </c>
      <c r="F1163" s="12" t="n">
        <v>2355</v>
      </c>
      <c r="G1163" s="11" t="str">
        <f aca="false">IF(INDEX(選手一覧!$F$7:$F$2738,$F1163)="","",INDEX(選手一覧!$F$7:$F$2738,$F1163))</f>
        <v/>
      </c>
      <c r="H1163" s="12" t="str">
        <f aca="false">IF(INDEX(選手一覧!$G$7:$G$2738,$F1163)="","",INDEX(選手一覧!$G$7:$G$2738,$F1163))</f>
        <v/>
      </c>
      <c r="I1163" s="11" t="str">
        <f aca="false">IF(INDEX(選手一覧!$H$7:$H$2738,$F1163)="","",INDEX(選手一覧!$H$7:$H$2738,$F1163))</f>
        <v/>
      </c>
      <c r="J1163" s="12" t="str">
        <f aca="false">IF(INDEX(選手一覧!$I$7:$I$2738,$F1163)="","",INDEX(選手一覧!$I$7:$I$2738,$F1163))</f>
        <v/>
      </c>
    </row>
    <row r="1164" customFormat="false" ht="15" hidden="false" customHeight="false" outlineLevel="0" collapsed="false">
      <c r="A1164" s="12" t="n">
        <v>1160</v>
      </c>
      <c r="B1164" s="10" t="s">
        <v>2314</v>
      </c>
      <c r="C1164" s="10" t="s">
        <v>49</v>
      </c>
      <c r="D1164" s="11" t="n">
        <v>0.0110341435185185</v>
      </c>
      <c r="E1164" s="18" t="n">
        <f aca="false">ROUND((D1164-$D$5)*86400,2)</f>
        <v>163.61</v>
      </c>
      <c r="F1164" s="12" t="n">
        <v>1597</v>
      </c>
      <c r="G1164" s="11" t="str">
        <f aca="false">IF(INDEX(選手一覧!$F$7:$F$2738,$F1164)="","",INDEX(選手一覧!$F$7:$F$2738,$F1164))</f>
        <v/>
      </c>
      <c r="H1164" s="12" t="str">
        <f aca="false">IF(INDEX(選手一覧!$G$7:$G$2738,$F1164)="","",INDEX(選手一覧!$G$7:$G$2738,$F1164))</f>
        <v/>
      </c>
      <c r="I1164" s="11" t="n">
        <f aca="false">IF(INDEX(選手一覧!$H$7:$H$2738,$F1164)="","",INDEX(選手一覧!$H$7:$H$2738,$F1164))</f>
        <v>0.00287893518518519</v>
      </c>
      <c r="J1164" s="12" t="n">
        <f aca="false">IF(INDEX(選手一覧!$I$7:$I$2738,$F1164)="","",INDEX(選手一覧!$I$7:$I$2738,$F1164))</f>
        <v>761</v>
      </c>
    </row>
    <row r="1165" customFormat="false" ht="15" hidden="false" customHeight="false" outlineLevel="0" collapsed="false">
      <c r="A1165" s="12" t="n">
        <v>1161</v>
      </c>
      <c r="B1165" s="10" t="s">
        <v>3353</v>
      </c>
      <c r="C1165" s="10" t="s">
        <v>3354</v>
      </c>
      <c r="D1165" s="11" t="n">
        <v>0.011034837962963</v>
      </c>
      <c r="E1165" s="18" t="n">
        <f aca="false">ROUND((D1165-$D$5)*86400,2)</f>
        <v>163.67</v>
      </c>
      <c r="F1165" s="12" t="n">
        <v>2360</v>
      </c>
      <c r="G1165" s="11" t="str">
        <f aca="false">IF(INDEX(選手一覧!$F$7:$F$2738,$F1165)="","",INDEX(選手一覧!$F$7:$F$2738,$F1165))</f>
        <v/>
      </c>
      <c r="H1165" s="12" t="str">
        <f aca="false">IF(INDEX(選手一覧!$G$7:$G$2738,$F1165)="","",INDEX(選手一覧!$G$7:$G$2738,$F1165))</f>
        <v/>
      </c>
      <c r="I1165" s="11" t="str">
        <f aca="false">IF(INDEX(選手一覧!$H$7:$H$2738,$F1165)="","",INDEX(選手一覧!$H$7:$H$2738,$F1165))</f>
        <v/>
      </c>
      <c r="J1165" s="12" t="str">
        <f aca="false">IF(INDEX(選手一覧!$I$7:$I$2738,$F1165)="","",INDEX(選手一覧!$I$7:$I$2738,$F1165))</f>
        <v/>
      </c>
    </row>
    <row r="1166" customFormat="false" ht="15" hidden="false" customHeight="false" outlineLevel="0" collapsed="false">
      <c r="A1166" s="12" t="n">
        <v>1162</v>
      </c>
      <c r="B1166" s="10" t="s">
        <v>3360</v>
      </c>
      <c r="C1166" s="10" t="s">
        <v>103</v>
      </c>
      <c r="D1166" s="11" t="n">
        <v>0.0110350694444444</v>
      </c>
      <c r="E1166" s="18" t="n">
        <f aca="false">ROUND((D1166-$D$5)*86400,2)</f>
        <v>163.69</v>
      </c>
      <c r="F1166" s="12" t="n">
        <v>2364</v>
      </c>
      <c r="G1166" s="11" t="str">
        <f aca="false">IF(INDEX(選手一覧!$F$7:$F$2738,$F1166)="","",INDEX(選手一覧!$F$7:$F$2738,$F1166))</f>
        <v/>
      </c>
      <c r="H1166" s="12" t="str">
        <f aca="false">IF(INDEX(選手一覧!$G$7:$G$2738,$F1166)="","",INDEX(選手一覧!$G$7:$G$2738,$F1166))</f>
        <v/>
      </c>
      <c r="I1166" s="11" t="str">
        <f aca="false">IF(INDEX(選手一覧!$H$7:$H$2738,$F1166)="","",INDEX(選手一覧!$H$7:$H$2738,$F1166))</f>
        <v/>
      </c>
      <c r="J1166" s="12" t="str">
        <f aca="false">IF(INDEX(選手一覧!$I$7:$I$2738,$F1166)="","",INDEX(選手一覧!$I$7:$I$2738,$F1166))</f>
        <v/>
      </c>
    </row>
    <row r="1167" customFormat="false" ht="15" hidden="false" customHeight="false" outlineLevel="0" collapsed="false">
      <c r="A1167" s="12" t="n">
        <v>1163</v>
      </c>
      <c r="B1167" s="10" t="s">
        <v>3361</v>
      </c>
      <c r="C1167" s="10" t="s">
        <v>107</v>
      </c>
      <c r="D1167" s="11" t="n">
        <v>0.0110351851851852</v>
      </c>
      <c r="E1167" s="18" t="n">
        <f aca="false">ROUND((D1167-$D$5)*86400,2)</f>
        <v>163.7</v>
      </c>
      <c r="F1167" s="12" t="n">
        <v>2365</v>
      </c>
      <c r="G1167" s="11" t="str">
        <f aca="false">IF(INDEX(選手一覧!$F$7:$F$2738,$F1167)="","",INDEX(選手一覧!$F$7:$F$2738,$F1167))</f>
        <v/>
      </c>
      <c r="H1167" s="12" t="str">
        <f aca="false">IF(INDEX(選手一覧!$G$7:$G$2738,$F1167)="","",INDEX(選手一覧!$G$7:$G$2738,$F1167))</f>
        <v/>
      </c>
      <c r="I1167" s="11" t="n">
        <f aca="false">IF(INDEX(選手一覧!$H$7:$H$2738,$F1167)="","",INDEX(選手一覧!$H$7:$H$2738,$F1167))</f>
        <v>0.00295104166666667</v>
      </c>
      <c r="J1167" s="12" t="n">
        <f aca="false">IF(INDEX(選手一覧!$I$7:$I$2738,$F1167)="","",INDEX(選手一覧!$I$7:$I$2738,$F1167))</f>
        <v>1244</v>
      </c>
    </row>
    <row r="1168" customFormat="false" ht="15" hidden="false" customHeight="false" outlineLevel="0" collapsed="false">
      <c r="A1168" s="12" t="n">
        <v>1164</v>
      </c>
      <c r="B1168" s="10" t="s">
        <v>1534</v>
      </c>
      <c r="C1168" s="10" t="s">
        <v>541</v>
      </c>
      <c r="D1168" s="11" t="n">
        <v>0.0110353009259259</v>
      </c>
      <c r="E1168" s="18" t="n">
        <f aca="false">ROUND((D1168-$D$5)*86400,2)</f>
        <v>163.71</v>
      </c>
      <c r="F1168" s="12" t="n">
        <v>1056</v>
      </c>
      <c r="G1168" s="11" t="str">
        <f aca="false">IF(INDEX(選手一覧!$F$7:$F$2738,$F1168)="","",INDEX(選手一覧!$F$7:$F$2738,$F1168))</f>
        <v/>
      </c>
      <c r="H1168" s="12" t="str">
        <f aca="false">IF(INDEX(選手一覧!$G$7:$G$2738,$F1168)="","",INDEX(選手一覧!$G$7:$G$2738,$F1168))</f>
        <v/>
      </c>
      <c r="I1168" s="11" t="n">
        <f aca="false">IF(INDEX(選手一覧!$H$7:$H$2738,$F1168)="","",INDEX(選手一覧!$H$7:$H$2738,$F1168))</f>
        <v>0.00283645833333333</v>
      </c>
      <c r="J1168" s="12" t="n">
        <f aca="false">IF(INDEX(選手一覧!$I$7:$I$2738,$F1168)="","",INDEX(選手一覧!$I$7:$I$2738,$F1168))</f>
        <v>474</v>
      </c>
    </row>
    <row r="1169" customFormat="false" ht="15" hidden="false" customHeight="false" outlineLevel="0" collapsed="false">
      <c r="A1169" s="12" t="n">
        <v>1165</v>
      </c>
      <c r="B1169" s="10" t="s">
        <v>3367</v>
      </c>
      <c r="C1169" s="10" t="s">
        <v>3368</v>
      </c>
      <c r="D1169" s="11" t="n">
        <v>0.0110355324074074</v>
      </c>
      <c r="E1169" s="18" t="n">
        <f aca="false">ROUND((D1169-$D$5)*86400,2)</f>
        <v>163.73</v>
      </c>
      <c r="F1169" s="12" t="n">
        <v>2370</v>
      </c>
      <c r="G1169" s="11" t="str">
        <f aca="false">IF(INDEX(選手一覧!$F$7:$F$2738,$F1169)="","",INDEX(選手一覧!$F$7:$F$2738,$F1169))</f>
        <v/>
      </c>
      <c r="H1169" s="12" t="str">
        <f aca="false">IF(INDEX(選手一覧!$G$7:$G$2738,$F1169)="","",INDEX(選手一覧!$G$7:$G$2738,$F1169))</f>
        <v/>
      </c>
      <c r="I1169" s="11" t="str">
        <f aca="false">IF(INDEX(選手一覧!$H$7:$H$2738,$F1169)="","",INDEX(選手一覧!$H$7:$H$2738,$F1169))</f>
        <v/>
      </c>
      <c r="J1169" s="12" t="str">
        <f aca="false">IF(INDEX(選手一覧!$I$7:$I$2738,$F1169)="","",INDEX(選手一覧!$I$7:$I$2738,$F1169))</f>
        <v/>
      </c>
    </row>
    <row r="1170" customFormat="false" ht="15" hidden="false" customHeight="false" outlineLevel="0" collapsed="false">
      <c r="A1170" s="12" t="n">
        <v>1166</v>
      </c>
      <c r="B1170" s="10" t="s">
        <v>3372</v>
      </c>
      <c r="C1170" s="10" t="s">
        <v>107</v>
      </c>
      <c r="D1170" s="11" t="n">
        <v>0.0110356481481482</v>
      </c>
      <c r="E1170" s="18" t="n">
        <f aca="false">ROUND((D1170-$D$5)*86400,2)</f>
        <v>163.74</v>
      </c>
      <c r="F1170" s="12" t="n">
        <v>2373</v>
      </c>
      <c r="G1170" s="11" t="str">
        <f aca="false">IF(INDEX(選手一覧!$F$7:$F$2738,$F1170)="","",INDEX(選手一覧!$F$7:$F$2738,$F1170))</f>
        <v/>
      </c>
      <c r="H1170" s="12" t="str">
        <f aca="false">IF(INDEX(選手一覧!$G$7:$G$2738,$F1170)="","",INDEX(選手一覧!$G$7:$G$2738,$F1170))</f>
        <v/>
      </c>
      <c r="I1170" s="11" t="str">
        <f aca="false">IF(INDEX(選手一覧!$H$7:$H$2738,$F1170)="","",INDEX(選手一覧!$H$7:$H$2738,$F1170))</f>
        <v/>
      </c>
      <c r="J1170" s="12" t="str">
        <f aca="false">IF(INDEX(選手一覧!$I$7:$I$2738,$F1170)="","",INDEX(選手一覧!$I$7:$I$2738,$F1170))</f>
        <v/>
      </c>
    </row>
    <row r="1171" customFormat="false" ht="15" hidden="false" customHeight="false" outlineLevel="0" collapsed="false">
      <c r="A1171" s="12" t="n">
        <v>1167</v>
      </c>
      <c r="B1171" s="10" t="s">
        <v>3374</v>
      </c>
      <c r="C1171" s="10" t="s">
        <v>1618</v>
      </c>
      <c r="D1171" s="11" t="n">
        <v>0.0110357638888889</v>
      </c>
      <c r="E1171" s="18" t="n">
        <f aca="false">ROUND((D1171-$D$5)*86400,2)</f>
        <v>163.75</v>
      </c>
      <c r="F1171" s="12" t="n">
        <v>2375</v>
      </c>
      <c r="G1171" s="11" t="str">
        <f aca="false">IF(INDEX(選手一覧!$F$7:$F$2738,$F1171)="","",INDEX(選手一覧!$F$7:$F$2738,$F1171))</f>
        <v/>
      </c>
      <c r="H1171" s="12" t="str">
        <f aca="false">IF(INDEX(選手一覧!$G$7:$G$2738,$F1171)="","",INDEX(選手一覧!$G$7:$G$2738,$F1171))</f>
        <v/>
      </c>
      <c r="I1171" s="11" t="str">
        <f aca="false">IF(INDEX(選手一覧!$H$7:$H$2738,$F1171)="","",INDEX(選手一覧!$H$7:$H$2738,$F1171))</f>
        <v/>
      </c>
      <c r="J1171" s="12" t="str">
        <f aca="false">IF(INDEX(選手一覧!$I$7:$I$2738,$F1171)="","",INDEX(選手一覧!$I$7:$I$2738,$F1171))</f>
        <v/>
      </c>
    </row>
    <row r="1172" customFormat="false" ht="15" hidden="false" customHeight="false" outlineLevel="0" collapsed="false">
      <c r="A1172" s="12" t="n">
        <v>1168</v>
      </c>
      <c r="B1172" s="10" t="s">
        <v>3379</v>
      </c>
      <c r="C1172" s="10" t="s">
        <v>3380</v>
      </c>
      <c r="D1172" s="11" t="n">
        <v>0.0110362268518519</v>
      </c>
      <c r="E1172" s="18" t="n">
        <f aca="false">ROUND((D1172-$D$5)*86400,2)</f>
        <v>163.79</v>
      </c>
      <c r="F1172" s="12" t="n">
        <v>2378</v>
      </c>
      <c r="G1172" s="11" t="str">
        <f aca="false">IF(INDEX(選手一覧!$F$7:$F$2738,$F1172)="","",INDEX(選手一覧!$F$7:$F$2738,$F1172))</f>
        <v/>
      </c>
      <c r="H1172" s="12" t="str">
        <f aca="false">IF(INDEX(選手一覧!$G$7:$G$2738,$F1172)="","",INDEX(選手一覧!$G$7:$G$2738,$F1172))</f>
        <v/>
      </c>
      <c r="I1172" s="11" t="str">
        <f aca="false">IF(INDEX(選手一覧!$H$7:$H$2738,$F1172)="","",INDEX(選手一覧!$H$7:$H$2738,$F1172))</f>
        <v/>
      </c>
      <c r="J1172" s="12" t="str">
        <f aca="false">IF(INDEX(選手一覧!$I$7:$I$2738,$F1172)="","",INDEX(選手一覧!$I$7:$I$2738,$F1172))</f>
        <v/>
      </c>
    </row>
    <row r="1173" customFormat="false" ht="15" hidden="false" customHeight="false" outlineLevel="0" collapsed="false">
      <c r="A1173" s="12" t="n">
        <v>1169</v>
      </c>
      <c r="B1173" s="10" t="s">
        <v>3383</v>
      </c>
      <c r="C1173" s="10" t="s">
        <v>720</v>
      </c>
      <c r="D1173" s="11" t="n">
        <v>0.0110368055555556</v>
      </c>
      <c r="E1173" s="18" t="n">
        <f aca="false">ROUND((D1173-$D$5)*86400,2)</f>
        <v>163.84</v>
      </c>
      <c r="F1173" s="12" t="n">
        <v>2380</v>
      </c>
      <c r="G1173" s="11" t="str">
        <f aca="false">IF(INDEX(選手一覧!$F$7:$F$2738,$F1173)="","",INDEX(選手一覧!$F$7:$F$2738,$F1173))</f>
        <v/>
      </c>
      <c r="H1173" s="12" t="str">
        <f aca="false">IF(INDEX(選手一覧!$G$7:$G$2738,$F1173)="","",INDEX(選手一覧!$G$7:$G$2738,$F1173))</f>
        <v/>
      </c>
      <c r="I1173" s="11" t="str">
        <f aca="false">IF(INDEX(選手一覧!$H$7:$H$2738,$F1173)="","",INDEX(選手一覧!$H$7:$H$2738,$F1173))</f>
        <v/>
      </c>
      <c r="J1173" s="12" t="str">
        <f aca="false">IF(INDEX(選手一覧!$I$7:$I$2738,$F1173)="","",INDEX(選手一覧!$I$7:$I$2738,$F1173))</f>
        <v/>
      </c>
    </row>
    <row r="1174" customFormat="false" ht="15" hidden="false" customHeight="false" outlineLevel="0" collapsed="false">
      <c r="A1174" s="12" t="n">
        <v>1170</v>
      </c>
      <c r="B1174" s="10" t="s">
        <v>3387</v>
      </c>
      <c r="C1174" s="10" t="s">
        <v>36</v>
      </c>
      <c r="D1174" s="11" t="n">
        <v>0.011037037037037</v>
      </c>
      <c r="E1174" s="18" t="n">
        <f aca="false">ROUND((D1174-$D$5)*86400,2)</f>
        <v>163.86</v>
      </c>
      <c r="F1174" s="12" t="n">
        <v>2383</v>
      </c>
      <c r="G1174" s="11" t="str">
        <f aca="false">IF(INDEX(選手一覧!$F$7:$F$2738,$F1174)="","",INDEX(選手一覧!$F$7:$F$2738,$F1174))</f>
        <v/>
      </c>
      <c r="H1174" s="12" t="str">
        <f aca="false">IF(INDEX(選手一覧!$G$7:$G$2738,$F1174)="","",INDEX(選手一覧!$G$7:$G$2738,$F1174))</f>
        <v/>
      </c>
      <c r="I1174" s="11" t="str">
        <f aca="false">IF(INDEX(選手一覧!$H$7:$H$2738,$F1174)="","",INDEX(選手一覧!$H$7:$H$2738,$F1174))</f>
        <v/>
      </c>
      <c r="J1174" s="12" t="str">
        <f aca="false">IF(INDEX(選手一覧!$I$7:$I$2738,$F1174)="","",INDEX(選手一覧!$I$7:$I$2738,$F1174))</f>
        <v/>
      </c>
    </row>
    <row r="1175" customFormat="false" ht="15" hidden="false" customHeight="false" outlineLevel="0" collapsed="false">
      <c r="A1175" s="12" t="n">
        <v>1171</v>
      </c>
      <c r="B1175" s="10" t="s">
        <v>1757</v>
      </c>
      <c r="C1175" s="10" t="s">
        <v>1758</v>
      </c>
      <c r="D1175" s="11" t="n">
        <v>0.0110373842592593</v>
      </c>
      <c r="E1175" s="18" t="n">
        <f aca="false">ROUND((D1175-$D$5)*86400,2)</f>
        <v>163.89</v>
      </c>
      <c r="F1175" s="12" t="n">
        <v>1210</v>
      </c>
      <c r="G1175" s="11" t="n">
        <f aca="false">IF(INDEX(選手一覧!$F$7:$F$2738,$F1175)="","",INDEX(選手一覧!$F$7:$F$2738,$F1175))</f>
        <v>0.00721666666666667</v>
      </c>
      <c r="H1175" s="12" t="n">
        <f aca="false">IF(INDEX(選手一覧!$G$7:$G$2738,$F1175)="","",INDEX(選手一覧!$G$7:$G$2738,$F1175))</f>
        <v>557</v>
      </c>
      <c r="I1175" s="11" t="n">
        <f aca="false">IF(INDEX(選手一覧!$H$7:$H$2738,$F1175)="","",INDEX(選手一覧!$H$7:$H$2738,$F1175))</f>
        <v>0.00294166666666667</v>
      </c>
      <c r="J1175" s="12" t="n">
        <f aca="false">IF(INDEX(選手一覧!$I$7:$I$2738,$F1175)="","",INDEX(選手一覧!$I$7:$I$2738,$F1175))</f>
        <v>1206</v>
      </c>
    </row>
    <row r="1176" customFormat="false" ht="15" hidden="false" customHeight="false" outlineLevel="0" collapsed="false">
      <c r="A1176" s="12" t="n">
        <v>1172</v>
      </c>
      <c r="B1176" s="10" t="s">
        <v>3391</v>
      </c>
      <c r="C1176" s="10" t="s">
        <v>1740</v>
      </c>
      <c r="D1176" s="11" t="n">
        <v>0.0110377314814815</v>
      </c>
      <c r="E1176" s="18" t="n">
        <f aca="false">ROUND((D1176-$D$5)*86400,2)</f>
        <v>163.92</v>
      </c>
      <c r="F1176" s="12" t="n">
        <v>2386</v>
      </c>
      <c r="G1176" s="11" t="str">
        <f aca="false">IF(INDEX(選手一覧!$F$7:$F$2738,$F1176)="","",INDEX(選手一覧!$F$7:$F$2738,$F1176))</f>
        <v/>
      </c>
      <c r="H1176" s="12" t="str">
        <f aca="false">IF(INDEX(選手一覧!$G$7:$G$2738,$F1176)="","",INDEX(選手一覧!$G$7:$G$2738,$F1176))</f>
        <v/>
      </c>
      <c r="I1176" s="11" t="str">
        <f aca="false">IF(INDEX(選手一覧!$H$7:$H$2738,$F1176)="","",INDEX(選手一覧!$H$7:$H$2738,$F1176))</f>
        <v/>
      </c>
      <c r="J1176" s="12" t="str">
        <f aca="false">IF(INDEX(選手一覧!$I$7:$I$2738,$F1176)="","",INDEX(選手一覧!$I$7:$I$2738,$F1176))</f>
        <v/>
      </c>
    </row>
    <row r="1177" customFormat="false" ht="15" hidden="false" customHeight="false" outlineLevel="0" collapsed="false">
      <c r="A1177" s="12" t="n">
        <v>1173</v>
      </c>
      <c r="B1177" s="10" t="s">
        <v>883</v>
      </c>
      <c r="C1177" s="10" t="s">
        <v>884</v>
      </c>
      <c r="D1177" s="11" t="n">
        <v>0.0110377314814815</v>
      </c>
      <c r="E1177" s="18" t="n">
        <f aca="false">ROUND((D1177-$D$5)*86400,2)</f>
        <v>163.92</v>
      </c>
      <c r="F1177" s="12" t="n">
        <v>580</v>
      </c>
      <c r="G1177" s="11" t="n">
        <f aca="false">IF(INDEX(選手一覧!$F$7:$F$2738,$F1177)="","",INDEX(選手一覧!$F$7:$F$2738,$F1177))</f>
        <v>0.00690173611111111</v>
      </c>
      <c r="H1177" s="12" t="n">
        <f aca="false">IF(INDEX(選手一覧!$G$7:$G$2738,$F1177)="","",INDEX(選手一覧!$G$7:$G$2738,$F1177))</f>
        <v>244</v>
      </c>
      <c r="I1177" s="11" t="str">
        <f aca="false">IF(INDEX(選手一覧!$H$7:$H$2738,$F1177)="","",INDEX(選手一覧!$H$7:$H$2738,$F1177))</f>
        <v/>
      </c>
      <c r="J1177" s="12" t="str">
        <f aca="false">IF(INDEX(選手一覧!$I$7:$I$2738,$F1177)="","",INDEX(選手一覧!$I$7:$I$2738,$F1177))</f>
        <v/>
      </c>
    </row>
    <row r="1178" customFormat="false" ht="15" hidden="false" customHeight="false" outlineLevel="0" collapsed="false">
      <c r="A1178" s="12" t="n">
        <v>1174</v>
      </c>
      <c r="B1178" s="10" t="s">
        <v>1408</v>
      </c>
      <c r="C1178" s="10" t="s">
        <v>154</v>
      </c>
      <c r="D1178" s="11" t="n">
        <v>0.0110377314814815</v>
      </c>
      <c r="E1178" s="18" t="n">
        <f aca="false">ROUND((D1178-$D$5)*86400,2)</f>
        <v>163.92</v>
      </c>
      <c r="F1178" s="12" t="n">
        <v>961</v>
      </c>
      <c r="G1178" s="11" t="n">
        <f aca="false">IF(INDEX(選手一覧!$F$7:$F$2738,$F1178)="","",INDEX(選手一覧!$F$7:$F$2738,$F1178))</f>
        <v>0.00708252314814815</v>
      </c>
      <c r="H1178" s="12" t="n">
        <f aca="false">IF(INDEX(選手一覧!$G$7:$G$2738,$F1178)="","",INDEX(選手一覧!$G$7:$G$2738,$F1178))</f>
        <v>430</v>
      </c>
      <c r="I1178" s="11" t="str">
        <f aca="false">IF(INDEX(選手一覧!$H$7:$H$2738,$F1178)="","",INDEX(選手一覧!$H$7:$H$2738,$F1178))</f>
        <v/>
      </c>
      <c r="J1178" s="12" t="str">
        <f aca="false">IF(INDEX(選手一覧!$I$7:$I$2738,$F1178)="","",INDEX(選手一覧!$I$7:$I$2738,$F1178))</f>
        <v/>
      </c>
    </row>
    <row r="1179" customFormat="false" ht="15" hidden="false" customHeight="false" outlineLevel="0" collapsed="false">
      <c r="A1179" s="12" t="n">
        <v>1175</v>
      </c>
      <c r="B1179" s="10" t="s">
        <v>633</v>
      </c>
      <c r="C1179" s="10" t="s">
        <v>326</v>
      </c>
      <c r="D1179" s="11" t="n">
        <v>0.0110388888888889</v>
      </c>
      <c r="E1179" s="18" t="n">
        <f aca="false">ROUND((D1179-$D$5)*86400,2)</f>
        <v>164.02</v>
      </c>
      <c r="F1179" s="12" t="n">
        <v>400</v>
      </c>
      <c r="G1179" s="11" t="n">
        <f aca="false">IF(INDEX(選手一覧!$F$7:$F$2738,$F1179)="","",INDEX(選手一覧!$F$7:$F$2738,$F1179))</f>
        <v>0.00679861111111111</v>
      </c>
      <c r="H1179" s="12" t="n">
        <f aca="false">IF(INDEX(選手一覧!$G$7:$G$2738,$F1179)="","",INDEX(選手一覧!$G$7:$G$2738,$F1179))</f>
        <v>169</v>
      </c>
      <c r="I1179" s="11" t="str">
        <f aca="false">IF(INDEX(選手一覧!$H$7:$H$2738,$F1179)="","",INDEX(選手一覧!$H$7:$H$2738,$F1179))</f>
        <v/>
      </c>
      <c r="J1179" s="12" t="str">
        <f aca="false">IF(INDEX(選手一覧!$I$7:$I$2738,$F1179)="","",INDEX(選手一覧!$I$7:$I$2738,$F1179))</f>
        <v/>
      </c>
    </row>
    <row r="1180" customFormat="false" ht="15" hidden="false" customHeight="false" outlineLevel="0" collapsed="false">
      <c r="A1180" s="12" t="n">
        <v>1176</v>
      </c>
      <c r="B1180" s="10" t="s">
        <v>3028</v>
      </c>
      <c r="C1180" s="10" t="s">
        <v>3029</v>
      </c>
      <c r="D1180" s="11" t="n">
        <v>0.0110391203703704</v>
      </c>
      <c r="E1180" s="18" t="n">
        <f aca="false">ROUND((D1180-$D$5)*86400,2)</f>
        <v>164.04</v>
      </c>
      <c r="F1180" s="12" t="n">
        <v>2122</v>
      </c>
      <c r="G1180" s="11" t="str">
        <f aca="false">IF(INDEX(選手一覧!$F$7:$F$2738,$F1180)="","",INDEX(選手一覧!$F$7:$F$2738,$F1180))</f>
        <v/>
      </c>
      <c r="H1180" s="12" t="str">
        <f aca="false">IF(INDEX(選手一覧!$G$7:$G$2738,$F1180)="","",INDEX(選手一覧!$G$7:$G$2738,$F1180))</f>
        <v/>
      </c>
      <c r="I1180" s="11" t="n">
        <f aca="false">IF(INDEX(選手一覧!$H$7:$H$2738,$F1180)="","",INDEX(選手一覧!$H$7:$H$2738,$F1180))</f>
        <v>0.00291145833333333</v>
      </c>
      <c r="J1180" s="12" t="n">
        <f aca="false">IF(INDEX(選手一覧!$I$7:$I$2738,$F1180)="","",INDEX(選手一覧!$I$7:$I$2738,$F1180))</f>
        <v>1032</v>
      </c>
    </row>
    <row r="1181" customFormat="false" ht="15" hidden="false" customHeight="false" outlineLevel="0" collapsed="false">
      <c r="A1181" s="12" t="n">
        <v>1177</v>
      </c>
      <c r="B1181" s="10" t="s">
        <v>1245</v>
      </c>
      <c r="C1181" s="10" t="s">
        <v>1246</v>
      </c>
      <c r="D1181" s="11" t="n">
        <v>0.0110396990740741</v>
      </c>
      <c r="E1181" s="18" t="n">
        <f aca="false">ROUND((D1181-$D$5)*86400,2)</f>
        <v>164.09</v>
      </c>
      <c r="F1181" s="12" t="n">
        <v>846</v>
      </c>
      <c r="G1181" s="11" t="n">
        <f aca="false">IF(INDEX(選手一覧!$F$7:$F$2738,$F1181)="","",INDEX(選手一覧!$F$7:$F$2738,$F1181))</f>
        <v>0.00704016203703704</v>
      </c>
      <c r="H1181" s="12" t="n">
        <f aca="false">IF(INDEX(選手一覧!$G$7:$G$2738,$F1181)="","",INDEX(選手一覧!$G$7:$G$2738,$F1181))</f>
        <v>375</v>
      </c>
      <c r="I1181" s="11" t="n">
        <f aca="false">IF(INDEX(選手一覧!$H$7:$H$2738,$F1181)="","",INDEX(選手一覧!$H$7:$H$2738,$F1181))</f>
        <v>0.00289143518518519</v>
      </c>
      <c r="J1181" s="12" t="n">
        <f aca="false">IF(INDEX(選手一覧!$I$7:$I$2738,$F1181)="","",INDEX(選手一覧!$I$7:$I$2738,$F1181))</f>
        <v>880</v>
      </c>
    </row>
    <row r="1182" customFormat="false" ht="15" hidden="false" customHeight="false" outlineLevel="0" collapsed="false">
      <c r="A1182" s="12" t="n">
        <v>1178</v>
      </c>
      <c r="B1182" s="10" t="s">
        <v>1838</v>
      </c>
      <c r="C1182" s="10" t="s">
        <v>1839</v>
      </c>
      <c r="D1182" s="11" t="n">
        <v>0.0110403935185185</v>
      </c>
      <c r="E1182" s="18" t="n">
        <f aca="false">ROUND((D1182-$D$5)*86400,2)</f>
        <v>164.15</v>
      </c>
      <c r="F1182" s="12" t="n">
        <v>1266</v>
      </c>
      <c r="G1182" s="11" t="str">
        <f aca="false">IF(INDEX(選手一覧!$F$7:$F$2738,$F1182)="","",INDEX(選手一覧!$F$7:$F$2738,$F1182))</f>
        <v/>
      </c>
      <c r="H1182" s="12" t="str">
        <f aca="false">IF(INDEX(選手一覧!$G$7:$G$2738,$F1182)="","",INDEX(選手一覧!$G$7:$G$2738,$F1182))</f>
        <v/>
      </c>
      <c r="I1182" s="11" t="n">
        <f aca="false">IF(INDEX(選手一覧!$H$7:$H$2738,$F1182)="","",INDEX(選手一覧!$H$7:$H$2738,$F1182))</f>
        <v>0.00285289351851852</v>
      </c>
      <c r="J1182" s="12" t="n">
        <f aca="false">IF(INDEX(選手一覧!$I$7:$I$2738,$F1182)="","",INDEX(選手一覧!$I$7:$I$2738,$F1182))</f>
        <v>585</v>
      </c>
    </row>
    <row r="1183" customFormat="false" ht="15" hidden="false" customHeight="false" outlineLevel="0" collapsed="false">
      <c r="A1183" s="12" t="n">
        <v>1179</v>
      </c>
      <c r="B1183" s="10" t="s">
        <v>3401</v>
      </c>
      <c r="C1183" s="10" t="s">
        <v>91</v>
      </c>
      <c r="D1183" s="11" t="n">
        <v>0.0110405092592593</v>
      </c>
      <c r="E1183" s="18" t="n">
        <f aca="false">ROUND((D1183-$D$5)*86400,2)</f>
        <v>164.16</v>
      </c>
      <c r="F1183" s="12" t="n">
        <v>2395</v>
      </c>
      <c r="G1183" s="11" t="str">
        <f aca="false">IF(INDEX(選手一覧!$F$7:$F$2738,$F1183)="","",INDEX(選手一覧!$F$7:$F$2738,$F1183))</f>
        <v/>
      </c>
      <c r="H1183" s="12" t="str">
        <f aca="false">IF(INDEX(選手一覧!$G$7:$G$2738,$F1183)="","",INDEX(選手一覧!$G$7:$G$2738,$F1183))</f>
        <v/>
      </c>
      <c r="I1183" s="11" t="str">
        <f aca="false">IF(INDEX(選手一覧!$H$7:$H$2738,$F1183)="","",INDEX(選手一覧!$H$7:$H$2738,$F1183))</f>
        <v/>
      </c>
      <c r="J1183" s="12" t="str">
        <f aca="false">IF(INDEX(選手一覧!$I$7:$I$2738,$F1183)="","",INDEX(選手一覧!$I$7:$I$2738,$F1183))</f>
        <v/>
      </c>
    </row>
    <row r="1184" customFormat="false" ht="15" hidden="false" customHeight="false" outlineLevel="0" collapsed="false">
      <c r="A1184" s="12" t="n">
        <v>1180</v>
      </c>
      <c r="B1184" s="10" t="s">
        <v>1934</v>
      </c>
      <c r="C1184" s="10" t="s">
        <v>603</v>
      </c>
      <c r="D1184" s="11" t="n">
        <v>0.0110408564814815</v>
      </c>
      <c r="E1184" s="18" t="n">
        <f aca="false">ROUND((D1184-$D$5)*86400,2)</f>
        <v>164.19</v>
      </c>
      <c r="F1184" s="12" t="n">
        <v>1328</v>
      </c>
      <c r="G1184" s="11" t="str">
        <f aca="false">IF(INDEX(選手一覧!$F$7:$F$2738,$F1184)="","",INDEX(選手一覧!$F$7:$F$2738,$F1184))</f>
        <v/>
      </c>
      <c r="H1184" s="12" t="str">
        <f aca="false">IF(INDEX(選手一覧!$G$7:$G$2738,$F1184)="","",INDEX(選手一覧!$G$7:$G$2738,$F1184))</f>
        <v/>
      </c>
      <c r="I1184" s="11" t="n">
        <f aca="false">IF(INDEX(選手一覧!$H$7:$H$2738,$F1184)="","",INDEX(選手一覧!$H$7:$H$2738,$F1184))</f>
        <v>0.00285763888888889</v>
      </c>
      <c r="J1184" s="12" t="n">
        <f aca="false">IF(INDEX(選手一覧!$I$7:$I$2738,$F1184)="","",INDEX(選手一覧!$I$7:$I$2738,$F1184))</f>
        <v>620</v>
      </c>
    </row>
    <row r="1185" customFormat="false" ht="15" hidden="false" customHeight="false" outlineLevel="0" collapsed="false">
      <c r="A1185" s="12" t="n">
        <v>1181</v>
      </c>
      <c r="B1185" s="10" t="s">
        <v>1056</v>
      </c>
      <c r="C1185" s="10" t="s">
        <v>652</v>
      </c>
      <c r="D1185" s="11" t="n">
        <v>0.011041087962963</v>
      </c>
      <c r="E1185" s="18" t="n">
        <f aca="false">ROUND((D1185-$D$5)*86400,2)</f>
        <v>164.21</v>
      </c>
      <c r="F1185" s="12" t="n">
        <v>708</v>
      </c>
      <c r="G1185" s="11" t="n">
        <f aca="false">IF(INDEX(選手一覧!$F$7:$F$2738,$F1185)="","",INDEX(選手一覧!$F$7:$F$2738,$F1185))</f>
        <v>0.00696898148148148</v>
      </c>
      <c r="H1185" s="12" t="n">
        <f aca="false">IF(INDEX(選手一覧!$G$7:$G$2738,$F1185)="","",INDEX(選手一覧!$G$7:$G$2738,$F1185))</f>
        <v>304</v>
      </c>
      <c r="I1185" s="11" t="n">
        <f aca="false">IF(INDEX(選手一覧!$H$7:$H$2738,$F1185)="","",INDEX(選手一覧!$H$7:$H$2738,$F1185))</f>
        <v>0.00283356481481482</v>
      </c>
      <c r="J1185" s="12" t="n">
        <f aca="false">IF(INDEX(選手一覧!$I$7:$I$2738,$F1185)="","",INDEX(選手一覧!$I$7:$I$2738,$F1185))</f>
        <v>447</v>
      </c>
    </row>
    <row r="1186" customFormat="false" ht="15" hidden="false" customHeight="false" outlineLevel="0" collapsed="false">
      <c r="A1186" s="12" t="n">
        <v>1182</v>
      </c>
      <c r="B1186" s="10" t="s">
        <v>3409</v>
      </c>
      <c r="C1186" s="10" t="s">
        <v>695</v>
      </c>
      <c r="D1186" s="11" t="n">
        <v>0.0110421296296296</v>
      </c>
      <c r="E1186" s="18" t="n">
        <f aca="false">ROUND((D1186-$D$5)*86400,2)</f>
        <v>164.3</v>
      </c>
      <c r="F1186" s="12" t="n">
        <v>2401</v>
      </c>
      <c r="G1186" s="11" t="str">
        <f aca="false">IF(INDEX(選手一覧!$F$7:$F$2738,$F1186)="","",INDEX(選手一覧!$F$7:$F$2738,$F1186))</f>
        <v/>
      </c>
      <c r="H1186" s="12" t="str">
        <f aca="false">IF(INDEX(選手一覧!$G$7:$G$2738,$F1186)="","",INDEX(選手一覧!$G$7:$G$2738,$F1186))</f>
        <v/>
      </c>
      <c r="I1186" s="11" t="str">
        <f aca="false">IF(INDEX(選手一覧!$H$7:$H$2738,$F1186)="","",INDEX(選手一覧!$H$7:$H$2738,$F1186))</f>
        <v/>
      </c>
      <c r="J1186" s="12" t="str">
        <f aca="false">IF(INDEX(選手一覧!$I$7:$I$2738,$F1186)="","",INDEX(選手一覧!$I$7:$I$2738,$F1186))</f>
        <v/>
      </c>
    </row>
    <row r="1187" customFormat="false" ht="15" hidden="false" customHeight="false" outlineLevel="0" collapsed="false">
      <c r="A1187" s="12" t="n">
        <v>1183</v>
      </c>
      <c r="B1187" s="10" t="s">
        <v>3412</v>
      </c>
      <c r="C1187" s="10" t="s">
        <v>181</v>
      </c>
      <c r="D1187" s="11" t="n">
        <v>0.0110434027777778</v>
      </c>
      <c r="E1187" s="18" t="n">
        <f aca="false">ROUND((D1187-$D$5)*86400,2)</f>
        <v>164.41</v>
      </c>
      <c r="F1187" s="12" t="n">
        <v>2403</v>
      </c>
      <c r="G1187" s="11" t="str">
        <f aca="false">IF(INDEX(選手一覧!$F$7:$F$2738,$F1187)="","",INDEX(選手一覧!$F$7:$F$2738,$F1187))</f>
        <v/>
      </c>
      <c r="H1187" s="12" t="str">
        <f aca="false">IF(INDEX(選手一覧!$G$7:$G$2738,$F1187)="","",INDEX(選手一覧!$G$7:$G$2738,$F1187))</f>
        <v/>
      </c>
      <c r="I1187" s="11" t="str">
        <f aca="false">IF(INDEX(選手一覧!$H$7:$H$2738,$F1187)="","",INDEX(選手一覧!$H$7:$H$2738,$F1187))</f>
        <v/>
      </c>
      <c r="J1187" s="12" t="str">
        <f aca="false">IF(INDEX(選手一覧!$I$7:$I$2738,$F1187)="","",INDEX(選手一覧!$I$7:$I$2738,$F1187))</f>
        <v/>
      </c>
    </row>
    <row r="1188" customFormat="false" ht="15" hidden="false" customHeight="false" outlineLevel="0" collapsed="false">
      <c r="A1188" s="12" t="n">
        <v>1184</v>
      </c>
      <c r="B1188" s="10" t="s">
        <v>3415</v>
      </c>
      <c r="C1188" s="10" t="s">
        <v>2219</v>
      </c>
      <c r="D1188" s="11" t="n">
        <v>0.0110434027777778</v>
      </c>
      <c r="E1188" s="18" t="n">
        <f aca="false">ROUND((D1188-$D$5)*86400,2)</f>
        <v>164.41</v>
      </c>
      <c r="F1188" s="12" t="n">
        <v>2405</v>
      </c>
      <c r="G1188" s="11" t="str">
        <f aca="false">IF(INDEX(選手一覧!$F$7:$F$2738,$F1188)="","",INDEX(選手一覧!$F$7:$F$2738,$F1188))</f>
        <v/>
      </c>
      <c r="H1188" s="12" t="str">
        <f aca="false">IF(INDEX(選手一覧!$G$7:$G$2738,$F1188)="","",INDEX(選手一覧!$G$7:$G$2738,$F1188))</f>
        <v/>
      </c>
      <c r="I1188" s="11" t="str">
        <f aca="false">IF(INDEX(選手一覧!$H$7:$H$2738,$F1188)="","",INDEX(選手一覧!$H$7:$H$2738,$F1188))</f>
        <v/>
      </c>
      <c r="J1188" s="12" t="str">
        <f aca="false">IF(INDEX(選手一覧!$I$7:$I$2738,$F1188)="","",INDEX(選手一覧!$I$7:$I$2738,$F1188))</f>
        <v/>
      </c>
    </row>
    <row r="1189" customFormat="false" ht="15" hidden="false" customHeight="false" outlineLevel="0" collapsed="false">
      <c r="A1189" s="12" t="n">
        <v>1185</v>
      </c>
      <c r="B1189" s="10" t="s">
        <v>933</v>
      </c>
      <c r="C1189" s="10" t="s">
        <v>277</v>
      </c>
      <c r="D1189" s="11" t="n">
        <v>0.01104375</v>
      </c>
      <c r="E1189" s="18" t="n">
        <f aca="false">ROUND((D1189-$D$5)*86400,2)</f>
        <v>164.44</v>
      </c>
      <c r="F1189" s="12" t="n">
        <v>618</v>
      </c>
      <c r="G1189" s="11" t="str">
        <f aca="false">IF(INDEX(選手一覧!$F$7:$F$2738,$F1189)="","",INDEX(選手一覧!$F$7:$F$2738,$F1189))</f>
        <v/>
      </c>
      <c r="H1189" s="12" t="str">
        <f aca="false">IF(INDEX(選手一覧!$G$7:$G$2738,$F1189)="","",INDEX(選手一覧!$G$7:$G$2738,$F1189))</f>
        <v/>
      </c>
      <c r="I1189" s="11" t="n">
        <f aca="false">IF(INDEX(選手一覧!$H$7:$H$2738,$F1189)="","",INDEX(選手一覧!$H$7:$H$2738,$F1189))</f>
        <v>0.00279525462962963</v>
      </c>
      <c r="J1189" s="12" t="n">
        <f aca="false">IF(INDEX(選手一覧!$I$7:$I$2738,$F1189)="","",INDEX(選手一覧!$I$7:$I$2738,$F1189))</f>
        <v>260</v>
      </c>
    </row>
    <row r="1190" customFormat="false" ht="15" hidden="false" customHeight="false" outlineLevel="0" collapsed="false">
      <c r="A1190" s="12" t="n">
        <v>1186</v>
      </c>
      <c r="B1190" s="10" t="s">
        <v>275</v>
      </c>
      <c r="C1190" s="10" t="s">
        <v>193</v>
      </c>
      <c r="D1190" s="11" t="n">
        <v>0.0110438657407407</v>
      </c>
      <c r="E1190" s="18" t="n">
        <f aca="false">ROUND((D1190-$D$5)*86400,2)</f>
        <v>164.45</v>
      </c>
      <c r="F1190" s="12" t="n">
        <v>153</v>
      </c>
      <c r="G1190" s="11" t="n">
        <f aca="false">IF(INDEX(選手一覧!$F$7:$F$2738,$F1190)="","",INDEX(選手一覧!$F$7:$F$2738,$F1190))</f>
        <v>0.006571875</v>
      </c>
      <c r="H1190" s="12" t="n">
        <f aca="false">IF(INDEX(選手一覧!$G$7:$G$2738,$F1190)="","",INDEX(選手一覧!$G$7:$G$2738,$F1190))</f>
        <v>61</v>
      </c>
      <c r="I1190" s="11" t="str">
        <f aca="false">IF(INDEX(選手一覧!$H$7:$H$2738,$F1190)="","",INDEX(選手一覧!$H$7:$H$2738,$F1190))</f>
        <v/>
      </c>
      <c r="J1190" s="12" t="str">
        <f aca="false">IF(INDEX(選手一覧!$I$7:$I$2738,$F1190)="","",INDEX(選手一覧!$I$7:$I$2738,$F1190))</f>
        <v/>
      </c>
    </row>
    <row r="1191" customFormat="false" ht="15" hidden="false" customHeight="false" outlineLevel="0" collapsed="false">
      <c r="A1191" s="12" t="n">
        <v>1187</v>
      </c>
      <c r="B1191" s="10" t="s">
        <v>1088</v>
      </c>
      <c r="C1191" s="10" t="s">
        <v>549</v>
      </c>
      <c r="D1191" s="11" t="n">
        <v>0.0110439814814815</v>
      </c>
      <c r="E1191" s="18" t="n">
        <f aca="false">ROUND((D1191-$D$5)*86400,2)</f>
        <v>164.46</v>
      </c>
      <c r="F1191" s="12" t="n">
        <v>732</v>
      </c>
      <c r="G1191" s="11" t="n">
        <f aca="false">IF(INDEX(選手一覧!$F$7:$F$2738,$F1191)="","",INDEX(選手一覧!$F$7:$F$2738,$F1191))</f>
        <v>0.00698113425925926</v>
      </c>
      <c r="H1191" s="12" t="n">
        <f aca="false">IF(INDEX(選手一覧!$G$7:$G$2738,$F1191)="","",INDEX(選手一覧!$G$7:$G$2738,$F1191))</f>
        <v>315</v>
      </c>
      <c r="I1191" s="11" t="str">
        <f aca="false">IF(INDEX(選手一覧!$H$7:$H$2738,$F1191)="","",INDEX(選手一覧!$H$7:$H$2738,$F1191))</f>
        <v/>
      </c>
      <c r="J1191" s="12" t="str">
        <f aca="false">IF(INDEX(選手一覧!$I$7:$I$2738,$F1191)="","",INDEX(選手一覧!$I$7:$I$2738,$F1191))</f>
        <v/>
      </c>
    </row>
    <row r="1192" customFormat="false" ht="15" hidden="false" customHeight="false" outlineLevel="0" collapsed="false">
      <c r="A1192" s="12" t="n">
        <v>1188</v>
      </c>
      <c r="B1192" s="10" t="s">
        <v>3425</v>
      </c>
      <c r="C1192" s="10" t="s">
        <v>51</v>
      </c>
      <c r="D1192" s="11" t="n">
        <v>0.0110440972222222</v>
      </c>
      <c r="E1192" s="18" t="n">
        <f aca="false">ROUND((D1192-$D$5)*86400,2)</f>
        <v>164.47</v>
      </c>
      <c r="F1192" s="12" t="n">
        <v>2413</v>
      </c>
      <c r="G1192" s="11" t="str">
        <f aca="false">IF(INDEX(選手一覧!$F$7:$F$2738,$F1192)="","",INDEX(選手一覧!$F$7:$F$2738,$F1192))</f>
        <v/>
      </c>
      <c r="H1192" s="12" t="str">
        <f aca="false">IF(INDEX(選手一覧!$G$7:$G$2738,$F1192)="","",INDEX(選手一覧!$G$7:$G$2738,$F1192))</f>
        <v/>
      </c>
      <c r="I1192" s="11" t="n">
        <f aca="false">IF(INDEX(選手一覧!$H$7:$H$2738,$F1192)="","",INDEX(選手一覧!$H$7:$H$2738,$F1192))</f>
        <v>0.00296585648148148</v>
      </c>
      <c r="J1192" s="12" t="n">
        <f aca="false">IF(INDEX(選手一覧!$I$7:$I$2738,$F1192)="","",INDEX(選手一覧!$I$7:$I$2738,$F1192))</f>
        <v>1294</v>
      </c>
    </row>
    <row r="1193" customFormat="false" ht="15" hidden="false" customHeight="false" outlineLevel="0" collapsed="false">
      <c r="A1193" s="12" t="n">
        <v>1189</v>
      </c>
      <c r="B1193" s="10" t="s">
        <v>3430</v>
      </c>
      <c r="C1193" s="10" t="s">
        <v>3431</v>
      </c>
      <c r="D1193" s="11" t="n">
        <v>0.0110452546296296</v>
      </c>
      <c r="E1193" s="18" t="n">
        <f aca="false">ROUND((D1193-$D$5)*86400,2)</f>
        <v>164.57</v>
      </c>
      <c r="F1193" s="12" t="n">
        <v>2416</v>
      </c>
      <c r="G1193" s="11" t="str">
        <f aca="false">IF(INDEX(選手一覧!$F$7:$F$2738,$F1193)="","",INDEX(選手一覧!$F$7:$F$2738,$F1193))</f>
        <v/>
      </c>
      <c r="H1193" s="12" t="str">
        <f aca="false">IF(INDEX(選手一覧!$G$7:$G$2738,$F1193)="","",INDEX(選手一覧!$G$7:$G$2738,$F1193))</f>
        <v/>
      </c>
      <c r="I1193" s="11" t="str">
        <f aca="false">IF(INDEX(選手一覧!$H$7:$H$2738,$F1193)="","",INDEX(選手一覧!$H$7:$H$2738,$F1193))</f>
        <v/>
      </c>
      <c r="J1193" s="12" t="str">
        <f aca="false">IF(INDEX(選手一覧!$I$7:$I$2738,$F1193)="","",INDEX(選手一覧!$I$7:$I$2738,$F1193))</f>
        <v/>
      </c>
    </row>
    <row r="1194" customFormat="false" ht="15" hidden="false" customHeight="false" outlineLevel="0" collapsed="false">
      <c r="A1194" s="12" t="n">
        <v>1190</v>
      </c>
      <c r="B1194" s="10" t="s">
        <v>2520</v>
      </c>
      <c r="C1194" s="10" t="s">
        <v>1975</v>
      </c>
      <c r="D1194" s="11" t="n">
        <v>0.0110453703703704</v>
      </c>
      <c r="E1194" s="18" t="n">
        <f aca="false">ROUND((D1194-$D$5)*86400,2)</f>
        <v>164.58</v>
      </c>
      <c r="F1194" s="12" t="n">
        <v>1759</v>
      </c>
      <c r="G1194" s="11" t="str">
        <f aca="false">IF(INDEX(選手一覧!$F$7:$F$2738,$F1194)="","",INDEX(選手一覧!$F$7:$F$2738,$F1194))</f>
        <v/>
      </c>
      <c r="H1194" s="12" t="str">
        <f aca="false">IF(INDEX(選手一覧!$G$7:$G$2738,$F1194)="","",INDEX(選手一覧!$G$7:$G$2738,$F1194))</f>
        <v/>
      </c>
      <c r="I1194" s="11" t="n">
        <f aca="false">IF(INDEX(選手一覧!$H$7:$H$2738,$F1194)="","",INDEX(選手一覧!$H$7:$H$2738,$F1194))</f>
        <v>0.00288773148148148</v>
      </c>
      <c r="J1194" s="12" t="n">
        <f aca="false">IF(INDEX(選手一覧!$I$7:$I$2738,$F1194)="","",INDEX(選手一覧!$I$7:$I$2738,$F1194))</f>
        <v>841</v>
      </c>
    </row>
    <row r="1195" customFormat="false" ht="15" hidden="false" customHeight="false" outlineLevel="0" collapsed="false">
      <c r="A1195" s="12" t="n">
        <v>1191</v>
      </c>
      <c r="B1195" s="10" t="s">
        <v>3437</v>
      </c>
      <c r="C1195" s="10" t="s">
        <v>2038</v>
      </c>
      <c r="D1195" s="11" t="n">
        <v>0.0110453703703704</v>
      </c>
      <c r="E1195" s="18" t="n">
        <f aca="false">ROUND((D1195-$D$5)*86400,2)</f>
        <v>164.58</v>
      </c>
      <c r="F1195" s="12" t="n">
        <v>2421</v>
      </c>
      <c r="G1195" s="11" t="str">
        <f aca="false">IF(INDEX(選手一覧!$F$7:$F$2738,$F1195)="","",INDEX(選手一覧!$F$7:$F$2738,$F1195))</f>
        <v/>
      </c>
      <c r="H1195" s="12" t="str">
        <f aca="false">IF(INDEX(選手一覧!$G$7:$G$2738,$F1195)="","",INDEX(選手一覧!$G$7:$G$2738,$F1195))</f>
        <v/>
      </c>
      <c r="I1195" s="11" t="str">
        <f aca="false">IF(INDEX(選手一覧!$H$7:$H$2738,$F1195)="","",INDEX(選手一覧!$H$7:$H$2738,$F1195))</f>
        <v/>
      </c>
      <c r="J1195" s="12" t="str">
        <f aca="false">IF(INDEX(選手一覧!$I$7:$I$2738,$F1195)="","",INDEX(選手一覧!$I$7:$I$2738,$F1195))</f>
        <v/>
      </c>
    </row>
    <row r="1196" customFormat="false" ht="15" hidden="false" customHeight="false" outlineLevel="0" collapsed="false">
      <c r="A1196" s="12" t="n">
        <v>1192</v>
      </c>
      <c r="B1196" s="10" t="s">
        <v>1147</v>
      </c>
      <c r="C1196" s="10" t="s">
        <v>29</v>
      </c>
      <c r="D1196" s="11" t="n">
        <v>0.0110459490740741</v>
      </c>
      <c r="E1196" s="18" t="n">
        <f aca="false">ROUND((D1196-$D$5)*86400,2)</f>
        <v>164.63</v>
      </c>
      <c r="F1196" s="12" t="n">
        <v>775</v>
      </c>
      <c r="G1196" s="11" t="n">
        <f aca="false">IF(INDEX(選手一覧!$F$7:$F$2738,$F1196)="","",INDEX(選手一覧!$F$7:$F$2738,$F1196))</f>
        <v>0.007</v>
      </c>
      <c r="H1196" s="12" t="n">
        <f aca="false">IF(INDEX(選手一覧!$G$7:$G$2738,$F1196)="","",INDEX(選手一覧!$G$7:$G$2738,$F1196))</f>
        <v>336</v>
      </c>
      <c r="I1196" s="11" t="str">
        <f aca="false">IF(INDEX(選手一覧!$H$7:$H$2738,$F1196)="","",INDEX(選手一覧!$H$7:$H$2738,$F1196))</f>
        <v/>
      </c>
      <c r="J1196" s="12" t="str">
        <f aca="false">IF(INDEX(選手一覧!$I$7:$I$2738,$F1196)="","",INDEX(選手一覧!$I$7:$I$2738,$F1196))</f>
        <v/>
      </c>
    </row>
    <row r="1197" customFormat="false" ht="15" hidden="false" customHeight="false" outlineLevel="0" collapsed="false">
      <c r="A1197" s="12" t="n">
        <v>1193</v>
      </c>
      <c r="B1197" s="10" t="s">
        <v>3443</v>
      </c>
      <c r="C1197" s="10" t="s">
        <v>1675</v>
      </c>
      <c r="D1197" s="11" t="n">
        <v>0.0110465277777778</v>
      </c>
      <c r="E1197" s="18" t="n">
        <f aca="false">ROUND((D1197-$D$5)*86400,2)</f>
        <v>164.68</v>
      </c>
      <c r="F1197" s="12" t="n">
        <v>2426</v>
      </c>
      <c r="G1197" s="11" t="str">
        <f aca="false">IF(INDEX(選手一覧!$F$7:$F$2738,$F1197)="","",INDEX(選手一覧!$F$7:$F$2738,$F1197))</f>
        <v/>
      </c>
      <c r="H1197" s="12" t="str">
        <f aca="false">IF(INDEX(選手一覧!$G$7:$G$2738,$F1197)="","",INDEX(選手一覧!$G$7:$G$2738,$F1197))</f>
        <v/>
      </c>
      <c r="I1197" s="11" t="n">
        <f aca="false">IF(INDEX(選手一覧!$H$7:$H$2738,$F1197)="","",INDEX(選手一覧!$H$7:$H$2738,$F1197))</f>
        <v>0.00296238425925926</v>
      </c>
      <c r="J1197" s="12" t="n">
        <f aca="false">IF(INDEX(選手一覧!$I$7:$I$2738,$F1197)="","",INDEX(選手一覧!$I$7:$I$2738,$F1197))</f>
        <v>1280</v>
      </c>
    </row>
    <row r="1198" customFormat="false" ht="15" hidden="false" customHeight="false" outlineLevel="0" collapsed="false">
      <c r="A1198" s="12" t="n">
        <v>1194</v>
      </c>
      <c r="B1198" s="10" t="s">
        <v>1805</v>
      </c>
      <c r="C1198" s="10" t="s">
        <v>1155</v>
      </c>
      <c r="D1198" s="11" t="n">
        <v>0.011046875</v>
      </c>
      <c r="E1198" s="18" t="n">
        <f aca="false">ROUND((D1198-$D$5)*86400,2)</f>
        <v>164.71</v>
      </c>
      <c r="F1198" s="12" t="n">
        <v>1243</v>
      </c>
      <c r="G1198" s="11" t="str">
        <f aca="false">IF(INDEX(選手一覧!$F$7:$F$2738,$F1198)="","",INDEX(選手一覧!$F$7:$F$2738,$F1198))</f>
        <v/>
      </c>
      <c r="H1198" s="12" t="str">
        <f aca="false">IF(INDEX(選手一覧!$G$7:$G$2738,$F1198)="","",INDEX(選手一覧!$G$7:$G$2738,$F1198))</f>
        <v/>
      </c>
      <c r="I1198" s="11" t="n">
        <f aca="false">IF(INDEX(選手一覧!$H$7:$H$2738,$F1198)="","",INDEX(選手一覧!$H$7:$H$2738,$F1198))</f>
        <v>0.0028505787037037</v>
      </c>
      <c r="J1198" s="12" t="n">
        <f aca="false">IF(INDEX(選手一覧!$I$7:$I$2738,$F1198)="","",INDEX(選手一覧!$I$7:$I$2738,$F1198))</f>
        <v>572</v>
      </c>
    </row>
    <row r="1199" customFormat="false" ht="15" hidden="false" customHeight="false" outlineLevel="0" collapsed="false">
      <c r="A1199" s="12" t="n">
        <v>1195</v>
      </c>
      <c r="B1199" s="10" t="s">
        <v>3450</v>
      </c>
      <c r="C1199" s="10" t="s">
        <v>307</v>
      </c>
      <c r="D1199" s="11" t="n">
        <v>0.0110471064814815</v>
      </c>
      <c r="E1199" s="18" t="n">
        <f aca="false">ROUND((D1199-$D$5)*86400,2)</f>
        <v>164.73</v>
      </c>
      <c r="F1199" s="12" t="n">
        <v>2431</v>
      </c>
      <c r="G1199" s="11" t="str">
        <f aca="false">IF(INDEX(選手一覧!$F$7:$F$2738,$F1199)="","",INDEX(選手一覧!$F$7:$F$2738,$F1199))</f>
        <v/>
      </c>
      <c r="H1199" s="12" t="str">
        <f aca="false">IF(INDEX(選手一覧!$G$7:$G$2738,$F1199)="","",INDEX(選手一覧!$G$7:$G$2738,$F1199))</f>
        <v/>
      </c>
      <c r="I1199" s="11" t="str">
        <f aca="false">IF(INDEX(選手一覧!$H$7:$H$2738,$F1199)="","",INDEX(選手一覧!$H$7:$H$2738,$F1199))</f>
        <v/>
      </c>
      <c r="J1199" s="12" t="str">
        <f aca="false">IF(INDEX(選手一覧!$I$7:$I$2738,$F1199)="","",INDEX(選手一覧!$I$7:$I$2738,$F1199))</f>
        <v/>
      </c>
    </row>
    <row r="1200" customFormat="false" ht="15" hidden="false" customHeight="false" outlineLevel="0" collapsed="false">
      <c r="A1200" s="12" t="n">
        <v>1196</v>
      </c>
      <c r="B1200" s="10" t="s">
        <v>3451</v>
      </c>
      <c r="C1200" s="10" t="s">
        <v>695</v>
      </c>
      <c r="D1200" s="11" t="n">
        <v>0.0110478009259259</v>
      </c>
      <c r="E1200" s="18" t="n">
        <f aca="false">ROUND((D1200-$D$5)*86400,2)</f>
        <v>164.79</v>
      </c>
      <c r="F1200" s="12" t="n">
        <v>2432</v>
      </c>
      <c r="G1200" s="11" t="str">
        <f aca="false">IF(INDEX(選手一覧!$F$7:$F$2738,$F1200)="","",INDEX(選手一覧!$F$7:$F$2738,$F1200))</f>
        <v/>
      </c>
      <c r="H1200" s="12" t="str">
        <f aca="false">IF(INDEX(選手一覧!$G$7:$G$2738,$F1200)="","",INDEX(選手一覧!$G$7:$G$2738,$F1200))</f>
        <v/>
      </c>
      <c r="I1200" s="11" t="str">
        <f aca="false">IF(INDEX(選手一覧!$H$7:$H$2738,$F1200)="","",INDEX(選手一覧!$H$7:$H$2738,$F1200))</f>
        <v/>
      </c>
      <c r="J1200" s="12" t="str">
        <f aca="false">IF(INDEX(選手一覧!$I$7:$I$2738,$F1200)="","",INDEX(選手一覧!$I$7:$I$2738,$F1200))</f>
        <v/>
      </c>
    </row>
    <row r="1201" customFormat="false" ht="15" hidden="false" customHeight="false" outlineLevel="0" collapsed="false">
      <c r="A1201" s="12" t="n">
        <v>1197</v>
      </c>
      <c r="B1201" s="10" t="s">
        <v>3456</v>
      </c>
      <c r="C1201" s="10" t="s">
        <v>3457</v>
      </c>
      <c r="D1201" s="11" t="n">
        <v>0.0110483796296296</v>
      </c>
      <c r="E1201" s="18" t="n">
        <f aca="false">ROUND((D1201-$D$5)*86400,2)</f>
        <v>164.84</v>
      </c>
      <c r="F1201" s="12" t="n">
        <v>2435</v>
      </c>
      <c r="G1201" s="11" t="str">
        <f aca="false">IF(INDEX(選手一覧!$F$7:$F$2738,$F1201)="","",INDEX(選手一覧!$F$7:$F$2738,$F1201))</f>
        <v/>
      </c>
      <c r="H1201" s="12" t="str">
        <f aca="false">IF(INDEX(選手一覧!$G$7:$G$2738,$F1201)="","",INDEX(選手一覧!$G$7:$G$2738,$F1201))</f>
        <v/>
      </c>
      <c r="I1201" s="11" t="str">
        <f aca="false">IF(INDEX(選手一覧!$H$7:$H$2738,$F1201)="","",INDEX(選手一覧!$H$7:$H$2738,$F1201))</f>
        <v/>
      </c>
      <c r="J1201" s="12" t="str">
        <f aca="false">IF(INDEX(選手一覧!$I$7:$I$2738,$F1201)="","",INDEX(選手一覧!$I$7:$I$2738,$F1201))</f>
        <v/>
      </c>
    </row>
    <row r="1202" customFormat="false" ht="15" hidden="false" customHeight="false" outlineLevel="0" collapsed="false">
      <c r="A1202" s="12" t="n">
        <v>1198</v>
      </c>
      <c r="B1202" s="10" t="s">
        <v>3459</v>
      </c>
      <c r="C1202" s="10" t="s">
        <v>577</v>
      </c>
      <c r="D1202" s="11" t="n">
        <v>0.011050462962963</v>
      </c>
      <c r="E1202" s="18" t="n">
        <f aca="false">ROUND((D1202-$D$5)*86400,2)</f>
        <v>165.02</v>
      </c>
      <c r="F1202" s="12" t="n">
        <v>2437</v>
      </c>
      <c r="G1202" s="11" t="str">
        <f aca="false">IF(INDEX(選手一覧!$F$7:$F$2738,$F1202)="","",INDEX(選手一覧!$F$7:$F$2738,$F1202))</f>
        <v/>
      </c>
      <c r="H1202" s="12" t="str">
        <f aca="false">IF(INDEX(選手一覧!$G$7:$G$2738,$F1202)="","",INDEX(選手一覧!$G$7:$G$2738,$F1202))</f>
        <v/>
      </c>
      <c r="I1202" s="11" t="n">
        <f aca="false">IF(INDEX(選手一覧!$H$7:$H$2738,$F1202)="","",INDEX(選手一覧!$H$7:$H$2738,$F1202))</f>
        <v>0.00297430555555556</v>
      </c>
      <c r="J1202" s="12" t="n">
        <f aca="false">IF(INDEX(選手一覧!$I$7:$I$2738,$F1202)="","",INDEX(選手一覧!$I$7:$I$2738,$F1202))</f>
        <v>1324</v>
      </c>
    </row>
    <row r="1203" customFormat="false" ht="15" hidden="false" customHeight="false" outlineLevel="0" collapsed="false">
      <c r="A1203" s="12" t="n">
        <v>1199</v>
      </c>
      <c r="B1203" s="10" t="s">
        <v>2744</v>
      </c>
      <c r="C1203" s="10" t="s">
        <v>122</v>
      </c>
      <c r="D1203" s="11" t="n">
        <v>0.0110515046296296</v>
      </c>
      <c r="E1203" s="18" t="n">
        <f aca="false">ROUND((D1203-$D$5)*86400,2)</f>
        <v>165.11</v>
      </c>
      <c r="F1203" s="12" t="n">
        <v>1921</v>
      </c>
      <c r="G1203" s="11" t="n">
        <f aca="false">IF(INDEX(選手一覧!$F$7:$F$2738,$F1203)="","",INDEX(選手一覧!$F$7:$F$2738,$F1203))</f>
        <v>0.00752384259259259</v>
      </c>
      <c r="H1203" s="12" t="n">
        <f aca="false">IF(INDEX(選手一覧!$G$7:$G$2738,$F1203)="","",INDEX(選手一覧!$G$7:$G$2738,$F1203))</f>
        <v>925</v>
      </c>
      <c r="I1203" s="11" t="str">
        <f aca="false">IF(INDEX(選手一覧!$H$7:$H$2738,$F1203)="","",INDEX(選手一覧!$H$7:$H$2738,$F1203))</f>
        <v/>
      </c>
      <c r="J1203" s="12" t="str">
        <f aca="false">IF(INDEX(選手一覧!$I$7:$I$2738,$F1203)="","",INDEX(選手一覧!$I$7:$I$2738,$F1203))</f>
        <v/>
      </c>
    </row>
    <row r="1204" customFormat="false" ht="15" hidden="false" customHeight="false" outlineLevel="0" collapsed="false">
      <c r="A1204" s="12" t="n">
        <v>1200</v>
      </c>
      <c r="B1204" s="10" t="s">
        <v>2149</v>
      </c>
      <c r="C1204" s="10" t="s">
        <v>1608</v>
      </c>
      <c r="D1204" s="11" t="n">
        <v>0.0110517361111111</v>
      </c>
      <c r="E1204" s="18" t="n">
        <f aca="false">ROUND((D1204-$D$5)*86400,2)</f>
        <v>165.13</v>
      </c>
      <c r="F1204" s="12" t="n">
        <v>1486</v>
      </c>
      <c r="G1204" s="11" t="n">
        <f aca="false">IF(INDEX(選手一覧!$F$7:$F$2738,$F1204)="","",INDEX(選手一覧!$F$7:$F$2738,$F1204))</f>
        <v>0.00734594907407408</v>
      </c>
      <c r="H1204" s="12" t="n">
        <f aca="false">IF(INDEX(選手一覧!$G$7:$G$2738,$F1204)="","",INDEX(選手一覧!$G$7:$G$2738,$F1204))</f>
        <v>706</v>
      </c>
      <c r="I1204" s="11" t="n">
        <f aca="false">IF(INDEX(選手一覧!$H$7:$H$2738,$F1204)="","",INDEX(選手一覧!$H$7:$H$2738,$F1204))</f>
        <v>0.00288194444444444</v>
      </c>
      <c r="J1204" s="12" t="n">
        <f aca="false">IF(INDEX(選手一覧!$I$7:$I$2738,$F1204)="","",INDEX(選手一覧!$I$7:$I$2738,$F1204))</f>
        <v>790</v>
      </c>
    </row>
    <row r="1205" customFormat="false" ht="15" hidden="false" customHeight="false" outlineLevel="0" collapsed="false">
      <c r="A1205" s="12" t="n">
        <v>1201</v>
      </c>
      <c r="B1205" s="10" t="s">
        <v>3463</v>
      </c>
      <c r="C1205" s="10" t="s">
        <v>1246</v>
      </c>
      <c r="D1205" s="11" t="n">
        <v>0.0110520833333333</v>
      </c>
      <c r="E1205" s="18" t="n">
        <f aca="false">ROUND((D1205-$D$5)*86400,2)</f>
        <v>165.16</v>
      </c>
      <c r="F1205" s="12" t="n">
        <v>2441</v>
      </c>
      <c r="G1205" s="11" t="str">
        <f aca="false">IF(INDEX(選手一覧!$F$7:$F$2738,$F1205)="","",INDEX(選手一覧!$F$7:$F$2738,$F1205))</f>
        <v/>
      </c>
      <c r="H1205" s="12" t="str">
        <f aca="false">IF(INDEX(選手一覧!$G$7:$G$2738,$F1205)="","",INDEX(選手一覧!$G$7:$G$2738,$F1205))</f>
        <v/>
      </c>
      <c r="I1205" s="11" t="n">
        <f aca="false">IF(INDEX(選手一覧!$H$7:$H$2738,$F1205)="","",INDEX(選手一覧!$H$7:$H$2738,$F1205))</f>
        <v>0.00295844907407407</v>
      </c>
      <c r="J1205" s="12" t="n">
        <f aca="false">IF(INDEX(選手一覧!$I$7:$I$2738,$F1205)="","",INDEX(選手一覧!$I$7:$I$2738,$F1205))</f>
        <v>1263</v>
      </c>
    </row>
    <row r="1206" customFormat="false" ht="15" hidden="false" customHeight="false" outlineLevel="0" collapsed="false">
      <c r="A1206" s="12" t="n">
        <v>1202</v>
      </c>
      <c r="B1206" s="10" t="s">
        <v>526</v>
      </c>
      <c r="C1206" s="10" t="s">
        <v>363</v>
      </c>
      <c r="D1206" s="11" t="n">
        <v>0.0110524305555556</v>
      </c>
      <c r="E1206" s="18" t="n">
        <f aca="false">ROUND((D1206-$D$5)*86400,2)</f>
        <v>165.19</v>
      </c>
      <c r="F1206" s="12" t="n">
        <v>327</v>
      </c>
      <c r="G1206" s="11" t="n">
        <f aca="false">IF(INDEX(選手一覧!$F$7:$F$2738,$F1206)="","",INDEX(選手一覧!$F$7:$F$2738,$F1206))</f>
        <v>0.00676064814814815</v>
      </c>
      <c r="H1206" s="12" t="n">
        <f aca="false">IF(INDEX(選手一覧!$G$7:$G$2738,$F1206)="","",INDEX(選手一覧!$G$7:$G$2738,$F1206))</f>
        <v>136</v>
      </c>
      <c r="I1206" s="11" t="n">
        <f aca="false">IF(INDEX(選手一覧!$H$7:$H$2738,$F1206)="","",INDEX(選手一覧!$H$7:$H$2738,$F1206))</f>
        <v>0.00297037037037037</v>
      </c>
      <c r="J1206" s="12" t="n">
        <f aca="false">IF(INDEX(選手一覧!$I$7:$I$2738,$F1206)="","",INDEX(選手一覧!$I$7:$I$2738,$F1206))</f>
        <v>1311</v>
      </c>
    </row>
    <row r="1207" customFormat="false" ht="15" hidden="false" customHeight="false" outlineLevel="0" collapsed="false">
      <c r="A1207" s="12" t="n">
        <v>1203</v>
      </c>
      <c r="B1207" s="10" t="s">
        <v>1583</v>
      </c>
      <c r="C1207" s="10" t="s">
        <v>1020</v>
      </c>
      <c r="D1207" s="11" t="n">
        <v>0.0110524305555556</v>
      </c>
      <c r="E1207" s="18" t="n">
        <f aca="false">ROUND((D1207-$D$5)*86400,2)</f>
        <v>165.19</v>
      </c>
      <c r="F1207" s="12" t="n">
        <v>1091</v>
      </c>
      <c r="G1207" s="11" t="n">
        <f aca="false">IF(INDEX(選手一覧!$F$7:$F$2738,$F1207)="","",INDEX(選手一覧!$F$7:$F$2738,$F1207))</f>
        <v>0.00715798611111111</v>
      </c>
      <c r="H1207" s="12" t="n">
        <f aca="false">IF(INDEX(選手一覧!$G$7:$G$2738,$F1207)="","",INDEX(選手一覧!$G$7:$G$2738,$F1207))</f>
        <v>494</v>
      </c>
      <c r="I1207" s="11" t="n">
        <f aca="false">IF(INDEX(選手一覧!$H$7:$H$2738,$F1207)="","",INDEX(選手一覧!$H$7:$H$2738,$F1207))</f>
        <v>0.00292071759259259</v>
      </c>
      <c r="J1207" s="12" t="n">
        <f aca="false">IF(INDEX(選手一覧!$I$7:$I$2738,$F1207)="","",INDEX(選手一覧!$I$7:$I$2738,$F1207))</f>
        <v>1107</v>
      </c>
    </row>
    <row r="1208" customFormat="false" ht="15" hidden="false" customHeight="false" outlineLevel="0" collapsed="false">
      <c r="A1208" s="12" t="n">
        <v>1204</v>
      </c>
      <c r="B1208" s="10" t="s">
        <v>3468</v>
      </c>
      <c r="C1208" s="10" t="s">
        <v>210</v>
      </c>
      <c r="D1208" s="11" t="n">
        <v>0.011053125</v>
      </c>
      <c r="E1208" s="18" t="n">
        <f aca="false">ROUND((D1208-$D$5)*86400,2)</f>
        <v>165.25</v>
      </c>
      <c r="F1208" s="12" t="n">
        <v>2446</v>
      </c>
      <c r="G1208" s="11" t="str">
        <f aca="false">IF(INDEX(選手一覧!$F$7:$F$2738,$F1208)="","",INDEX(選手一覧!$F$7:$F$2738,$F1208))</f>
        <v/>
      </c>
      <c r="H1208" s="12" t="str">
        <f aca="false">IF(INDEX(選手一覧!$G$7:$G$2738,$F1208)="","",INDEX(選手一覧!$G$7:$G$2738,$F1208))</f>
        <v/>
      </c>
      <c r="I1208" s="11" t="str">
        <f aca="false">IF(INDEX(選手一覧!$H$7:$H$2738,$F1208)="","",INDEX(選手一覧!$H$7:$H$2738,$F1208))</f>
        <v/>
      </c>
      <c r="J1208" s="12" t="str">
        <f aca="false">IF(INDEX(選手一覧!$I$7:$I$2738,$F1208)="","",INDEX(選手一覧!$I$7:$I$2738,$F1208))</f>
        <v/>
      </c>
    </row>
    <row r="1209" customFormat="false" ht="15" hidden="false" customHeight="false" outlineLevel="0" collapsed="false">
      <c r="A1209" s="12" t="n">
        <v>1205</v>
      </c>
      <c r="B1209" s="10" t="s">
        <v>3471</v>
      </c>
      <c r="C1209" s="10" t="s">
        <v>1804</v>
      </c>
      <c r="D1209" s="11" t="n">
        <v>0.0110533564814815</v>
      </c>
      <c r="E1209" s="18" t="n">
        <f aca="false">ROUND((D1209-$D$5)*86400,2)</f>
        <v>165.27</v>
      </c>
      <c r="F1209" s="12" t="n">
        <v>2448</v>
      </c>
      <c r="G1209" s="11" t="str">
        <f aca="false">IF(INDEX(選手一覧!$F$7:$F$2738,$F1209)="","",INDEX(選手一覧!$F$7:$F$2738,$F1209))</f>
        <v/>
      </c>
      <c r="H1209" s="12" t="str">
        <f aca="false">IF(INDEX(選手一覧!$G$7:$G$2738,$F1209)="","",INDEX(選手一覧!$G$7:$G$2738,$F1209))</f>
        <v/>
      </c>
      <c r="I1209" s="11" t="str">
        <f aca="false">IF(INDEX(選手一覧!$H$7:$H$2738,$F1209)="","",INDEX(選手一覧!$H$7:$H$2738,$F1209))</f>
        <v/>
      </c>
      <c r="J1209" s="12" t="str">
        <f aca="false">IF(INDEX(選手一覧!$I$7:$I$2738,$F1209)="","",INDEX(選手一覧!$I$7:$I$2738,$F1209))</f>
        <v/>
      </c>
    </row>
    <row r="1210" customFormat="false" ht="15" hidden="false" customHeight="false" outlineLevel="0" collapsed="false">
      <c r="A1210" s="12" t="n">
        <v>1206</v>
      </c>
      <c r="B1210" s="10" t="s">
        <v>796</v>
      </c>
      <c r="C1210" s="10" t="s">
        <v>797</v>
      </c>
      <c r="D1210" s="11" t="n">
        <v>0.0110537037037037</v>
      </c>
      <c r="E1210" s="18" t="n">
        <f aca="false">ROUND((D1210-$D$5)*86400,2)</f>
        <v>165.3</v>
      </c>
      <c r="F1210" s="12" t="n">
        <v>519</v>
      </c>
      <c r="G1210" s="11" t="n">
        <f aca="false">IF(INDEX(選手一覧!$F$7:$F$2738,$F1210)="","",INDEX(選手一覧!$F$7:$F$2738,$F1210))</f>
        <v>0.00686990740740741</v>
      </c>
      <c r="H1210" s="12" t="n">
        <f aca="false">IF(INDEX(選手一覧!$G$7:$G$2738,$F1210)="","",INDEX(選手一覧!$G$7:$G$2738,$F1210))</f>
        <v>218</v>
      </c>
      <c r="I1210" s="11" t="str">
        <f aca="false">IF(INDEX(選手一覧!$H$7:$H$2738,$F1210)="","",INDEX(選手一覧!$H$7:$H$2738,$F1210))</f>
        <v/>
      </c>
      <c r="J1210" s="12" t="str">
        <f aca="false">IF(INDEX(選手一覧!$I$7:$I$2738,$F1210)="","",INDEX(選手一覧!$I$7:$I$2738,$F1210))</f>
        <v/>
      </c>
    </row>
    <row r="1211" customFormat="false" ht="15" hidden="false" customHeight="false" outlineLevel="0" collapsed="false">
      <c r="A1211" s="12" t="n">
        <v>1207</v>
      </c>
      <c r="B1211" s="10" t="s">
        <v>2143</v>
      </c>
      <c r="C1211" s="10" t="s">
        <v>1789</v>
      </c>
      <c r="D1211" s="11" t="n">
        <v>0.0110538194444444</v>
      </c>
      <c r="E1211" s="18" t="n">
        <f aca="false">ROUND((D1211-$D$5)*86400,2)</f>
        <v>165.31</v>
      </c>
      <c r="F1211" s="12" t="n">
        <v>1481</v>
      </c>
      <c r="G1211" s="11" t="n">
        <f aca="false">IF(INDEX(選手一覧!$F$7:$F$2738,$F1211)="","",INDEX(選手一覧!$F$7:$F$2738,$F1211))</f>
        <v>0.00734479166666667</v>
      </c>
      <c r="H1211" s="12" t="n">
        <f aca="false">IF(INDEX(選手一覧!$G$7:$G$2738,$F1211)="","",INDEX(選手一覧!$G$7:$G$2738,$F1211))</f>
        <v>703</v>
      </c>
      <c r="I1211" s="11" t="str">
        <f aca="false">IF(INDEX(選手一覧!$H$7:$H$2738,$F1211)="","",INDEX(選手一覧!$H$7:$H$2738,$F1211))</f>
        <v/>
      </c>
      <c r="J1211" s="12" t="str">
        <f aca="false">IF(INDEX(選手一覧!$I$7:$I$2738,$F1211)="","",INDEX(選手一覧!$I$7:$I$2738,$F1211))</f>
        <v/>
      </c>
    </row>
    <row r="1212" customFormat="false" ht="15" hidden="false" customHeight="false" outlineLevel="0" collapsed="false">
      <c r="A1212" s="12" t="n">
        <v>1208</v>
      </c>
      <c r="B1212" s="10" t="s">
        <v>3328</v>
      </c>
      <c r="C1212" s="10" t="s">
        <v>261</v>
      </c>
      <c r="D1212" s="11" t="n">
        <v>0.0110539351851852</v>
      </c>
      <c r="E1212" s="18" t="n">
        <f aca="false">ROUND((D1212-$D$5)*86400,2)</f>
        <v>165.32</v>
      </c>
      <c r="F1212" s="12" t="n">
        <v>2342</v>
      </c>
      <c r="G1212" s="11" t="str">
        <f aca="false">IF(INDEX(選手一覧!$F$7:$F$2738,$F1212)="","",INDEX(選手一覧!$F$7:$F$2738,$F1212))</f>
        <v/>
      </c>
      <c r="H1212" s="12" t="str">
        <f aca="false">IF(INDEX(選手一覧!$G$7:$G$2738,$F1212)="","",INDEX(選手一覧!$G$7:$G$2738,$F1212))</f>
        <v/>
      </c>
      <c r="I1212" s="11" t="n">
        <f aca="false">IF(INDEX(選手一覧!$H$7:$H$2738,$F1212)="","",INDEX(選手一覧!$H$7:$H$2738,$F1212))</f>
        <v>0.00292546296296296</v>
      </c>
      <c r="J1212" s="12" t="n">
        <f aca="false">IF(INDEX(選手一覧!$I$7:$I$2738,$F1212)="","",INDEX(選手一覧!$I$7:$I$2738,$F1212))</f>
        <v>1152</v>
      </c>
    </row>
    <row r="1213" customFormat="false" ht="15" hidden="false" customHeight="false" outlineLevel="0" collapsed="false">
      <c r="A1213" s="12" t="n">
        <v>1209</v>
      </c>
      <c r="B1213" s="10" t="s">
        <v>926</v>
      </c>
      <c r="C1213" s="10" t="s">
        <v>927</v>
      </c>
      <c r="D1213" s="11" t="n">
        <v>0.0110541666666667</v>
      </c>
      <c r="E1213" s="18" t="n">
        <f aca="false">ROUND((D1213-$D$5)*86400,2)</f>
        <v>165.34</v>
      </c>
      <c r="F1213" s="12" t="n">
        <v>613</v>
      </c>
      <c r="G1213" s="11" t="str">
        <f aca="false">IF(INDEX(選手一覧!$F$7:$F$2738,$F1213)="","",INDEX(選手一覧!$F$7:$F$2738,$F1213))</f>
        <v/>
      </c>
      <c r="H1213" s="12" t="str">
        <f aca="false">IF(INDEX(選手一覧!$G$7:$G$2738,$F1213)="","",INDEX(選手一覧!$G$7:$G$2738,$F1213))</f>
        <v/>
      </c>
      <c r="I1213" s="11" t="n">
        <f aca="false">IF(INDEX(選手一覧!$H$7:$H$2738,$F1213)="","",INDEX(選手一覧!$H$7:$H$2738,$F1213))</f>
        <v>0.00279490740740741</v>
      </c>
      <c r="J1213" s="12" t="n">
        <f aca="false">IF(INDEX(選手一覧!$I$7:$I$2738,$F1213)="","",INDEX(選手一覧!$I$7:$I$2738,$F1213))</f>
        <v>258</v>
      </c>
    </row>
    <row r="1214" customFormat="false" ht="15" hidden="false" customHeight="false" outlineLevel="0" collapsed="false">
      <c r="A1214" s="12" t="n">
        <v>1210</v>
      </c>
      <c r="B1214" s="10" t="s">
        <v>3228</v>
      </c>
      <c r="C1214" s="10" t="s">
        <v>1843</v>
      </c>
      <c r="D1214" s="11" t="n">
        <v>0.0110561342592593</v>
      </c>
      <c r="E1214" s="18" t="n">
        <f aca="false">ROUND((D1214-$D$5)*86400,2)</f>
        <v>165.51</v>
      </c>
      <c r="F1214" s="12" t="n">
        <v>2272</v>
      </c>
      <c r="G1214" s="11" t="str">
        <f aca="false">IF(INDEX(選手一覧!$F$7:$F$2738,$F1214)="","",INDEX(選手一覧!$F$7:$F$2738,$F1214))</f>
        <v/>
      </c>
      <c r="H1214" s="12" t="str">
        <f aca="false">IF(INDEX(選手一覧!$G$7:$G$2738,$F1214)="","",INDEX(選手一覧!$G$7:$G$2738,$F1214))</f>
        <v/>
      </c>
      <c r="I1214" s="11" t="n">
        <f aca="false">IF(INDEX(選手一覧!$H$7:$H$2738,$F1214)="","",INDEX(選手一覧!$H$7:$H$2738,$F1214))</f>
        <v>0.00292199074074074</v>
      </c>
      <c r="J1214" s="12" t="n">
        <f aca="false">IF(INDEX(選手一覧!$I$7:$I$2738,$F1214)="","",INDEX(選手一覧!$I$7:$I$2738,$F1214))</f>
        <v>1112</v>
      </c>
    </row>
    <row r="1215" customFormat="false" ht="15" hidden="false" customHeight="false" outlineLevel="0" collapsed="false">
      <c r="A1215" s="12" t="n">
        <v>1211</v>
      </c>
      <c r="B1215" s="10" t="s">
        <v>3485</v>
      </c>
      <c r="C1215" s="10" t="s">
        <v>3486</v>
      </c>
      <c r="D1215" s="11" t="n">
        <v>0.0110569444444445</v>
      </c>
      <c r="E1215" s="18" t="n">
        <f aca="false">ROUND((D1215-$D$5)*86400,2)</f>
        <v>165.58</v>
      </c>
      <c r="F1215" s="12" t="n">
        <v>2458</v>
      </c>
      <c r="G1215" s="11" t="str">
        <f aca="false">IF(INDEX(選手一覧!$F$7:$F$2738,$F1215)="","",INDEX(選手一覧!$F$7:$F$2738,$F1215))</f>
        <v/>
      </c>
      <c r="H1215" s="12" t="str">
        <f aca="false">IF(INDEX(選手一覧!$G$7:$G$2738,$F1215)="","",INDEX(選手一覧!$G$7:$G$2738,$F1215))</f>
        <v/>
      </c>
      <c r="I1215" s="11" t="str">
        <f aca="false">IF(INDEX(選手一覧!$H$7:$H$2738,$F1215)="","",INDEX(選手一覧!$H$7:$H$2738,$F1215))</f>
        <v/>
      </c>
      <c r="J1215" s="12" t="str">
        <f aca="false">IF(INDEX(選手一覧!$I$7:$I$2738,$F1215)="","",INDEX(選手一覧!$I$7:$I$2738,$F1215))</f>
        <v/>
      </c>
    </row>
    <row r="1216" customFormat="false" ht="15" hidden="false" customHeight="false" outlineLevel="0" collapsed="false">
      <c r="A1216" s="12" t="n">
        <v>1212</v>
      </c>
      <c r="B1216" s="10" t="s">
        <v>3358</v>
      </c>
      <c r="C1216" s="10" t="s">
        <v>3359</v>
      </c>
      <c r="D1216" s="11" t="n">
        <v>0.0110578703703704</v>
      </c>
      <c r="E1216" s="18" t="n">
        <f aca="false">ROUND((D1216-$D$5)*86400,2)</f>
        <v>165.66</v>
      </c>
      <c r="F1216" s="12" t="n">
        <v>2363</v>
      </c>
      <c r="G1216" s="11" t="n">
        <f aca="false">IF(INDEX(選手一覧!$F$7:$F$2738,$F1216)="","",INDEX(選手一覧!$F$7:$F$2738,$F1216))</f>
        <v>0.007896875</v>
      </c>
      <c r="H1216" s="12" t="n">
        <f aca="false">IF(INDEX(選手一覧!$G$7:$G$2738,$F1216)="","",INDEX(選手一覧!$G$7:$G$2738,$F1216))</f>
        <v>1162</v>
      </c>
      <c r="I1216" s="11" t="str">
        <f aca="false">IF(INDEX(選手一覧!$H$7:$H$2738,$F1216)="","",INDEX(選手一覧!$H$7:$H$2738,$F1216))</f>
        <v/>
      </c>
      <c r="J1216" s="12" t="str">
        <f aca="false">IF(INDEX(選手一覧!$I$7:$I$2738,$F1216)="","",INDEX(選手一覧!$I$7:$I$2738,$F1216))</f>
        <v/>
      </c>
    </row>
    <row r="1217" customFormat="false" ht="15" hidden="false" customHeight="false" outlineLevel="0" collapsed="false">
      <c r="A1217" s="12" t="n">
        <v>1213</v>
      </c>
      <c r="B1217" s="10" t="s">
        <v>787</v>
      </c>
      <c r="C1217" s="10" t="s">
        <v>695</v>
      </c>
      <c r="D1217" s="11" t="n">
        <v>0.0110579861111111</v>
      </c>
      <c r="E1217" s="18" t="n">
        <f aca="false">ROUND((D1217-$D$5)*86400,2)</f>
        <v>165.67</v>
      </c>
      <c r="F1217" s="12" t="n">
        <v>513</v>
      </c>
      <c r="G1217" s="11" t="n">
        <f aca="false">IF(INDEX(選手一覧!$F$7:$F$2738,$F1217)="","",INDEX(選手一覧!$F$7:$F$2738,$F1217))</f>
        <v>0.00686655092592593</v>
      </c>
      <c r="H1217" s="12" t="n">
        <f aca="false">IF(INDEX(選手一覧!$G$7:$G$2738,$F1217)="","",INDEX(選手一覧!$G$7:$G$2738,$F1217))</f>
        <v>215</v>
      </c>
      <c r="I1217" s="11" t="str">
        <f aca="false">IF(INDEX(選手一覧!$H$7:$H$2738,$F1217)="","",INDEX(選手一覧!$H$7:$H$2738,$F1217))</f>
        <v/>
      </c>
      <c r="J1217" s="12" t="str">
        <f aca="false">IF(INDEX(選手一覧!$I$7:$I$2738,$F1217)="","",INDEX(選手一覧!$I$7:$I$2738,$F1217))</f>
        <v/>
      </c>
    </row>
    <row r="1218" customFormat="false" ht="15" hidden="false" customHeight="false" outlineLevel="0" collapsed="false">
      <c r="A1218" s="12" t="n">
        <v>1214</v>
      </c>
      <c r="B1218" s="10" t="s">
        <v>3493</v>
      </c>
      <c r="C1218" s="10" t="s">
        <v>541</v>
      </c>
      <c r="D1218" s="11" t="n">
        <v>0.0110586805555556</v>
      </c>
      <c r="E1218" s="18" t="n">
        <f aca="false">ROUND((D1218-$D$5)*86400,2)</f>
        <v>165.73</v>
      </c>
      <c r="F1218" s="12" t="n">
        <v>2464</v>
      </c>
      <c r="G1218" s="11" t="str">
        <f aca="false">IF(INDEX(選手一覧!$F$7:$F$2738,$F1218)="","",INDEX(選手一覧!$F$7:$F$2738,$F1218))</f>
        <v/>
      </c>
      <c r="H1218" s="12" t="str">
        <f aca="false">IF(INDEX(選手一覧!$G$7:$G$2738,$F1218)="","",INDEX(選手一覧!$G$7:$G$2738,$F1218))</f>
        <v/>
      </c>
      <c r="I1218" s="11" t="str">
        <f aca="false">IF(INDEX(選手一覧!$H$7:$H$2738,$F1218)="","",INDEX(選手一覧!$H$7:$H$2738,$F1218))</f>
        <v/>
      </c>
      <c r="J1218" s="12" t="str">
        <f aca="false">IF(INDEX(選手一覧!$I$7:$I$2738,$F1218)="","",INDEX(選手一覧!$I$7:$I$2738,$F1218))</f>
        <v/>
      </c>
    </row>
    <row r="1219" customFormat="false" ht="15" hidden="false" customHeight="false" outlineLevel="0" collapsed="false">
      <c r="A1219" s="12" t="n">
        <v>1215</v>
      </c>
      <c r="B1219" s="10" t="s">
        <v>3170</v>
      </c>
      <c r="C1219" s="10" t="s">
        <v>3122</v>
      </c>
      <c r="D1219" s="11" t="n">
        <v>0.0110605324074074</v>
      </c>
      <c r="E1219" s="18" t="n">
        <f aca="false">ROUND((D1219-$D$5)*86400,2)</f>
        <v>165.89</v>
      </c>
      <c r="F1219" s="12" t="n">
        <v>2228</v>
      </c>
      <c r="G1219" s="11" t="n">
        <f aca="false">IF(INDEX(選手一覧!$F$7:$F$2738,$F1219)="","",INDEX(選手一覧!$F$7:$F$2738,$F1219))</f>
        <v>0.00772546296296296</v>
      </c>
      <c r="H1219" s="12" t="n">
        <f aca="false">IF(INDEX(選手一覧!$G$7:$G$2738,$F1219)="","",INDEX(選手一覧!$G$7:$G$2738,$F1219))</f>
        <v>1091</v>
      </c>
      <c r="I1219" s="11" t="str">
        <f aca="false">IF(INDEX(選手一覧!$H$7:$H$2738,$F1219)="","",INDEX(選手一覧!$H$7:$H$2738,$F1219))</f>
        <v/>
      </c>
      <c r="J1219" s="12" t="str">
        <f aca="false">IF(INDEX(選手一覧!$I$7:$I$2738,$F1219)="","",INDEX(選手一覧!$I$7:$I$2738,$F1219))</f>
        <v/>
      </c>
    </row>
    <row r="1220" customFormat="false" ht="15" hidden="false" customHeight="false" outlineLevel="0" collapsed="false">
      <c r="A1220" s="12" t="n">
        <v>1216</v>
      </c>
      <c r="B1220" s="10" t="s">
        <v>1683</v>
      </c>
      <c r="C1220" s="10" t="s">
        <v>1684</v>
      </c>
      <c r="D1220" s="11" t="n">
        <v>0.0110606481481482</v>
      </c>
      <c r="E1220" s="18" t="n">
        <f aca="false">ROUND((D1220-$D$5)*86400,2)</f>
        <v>165.9</v>
      </c>
      <c r="F1220" s="12" t="n">
        <v>1160</v>
      </c>
      <c r="G1220" s="11" t="str">
        <f aca="false">IF(INDEX(選手一覧!$F$7:$F$2738,$F1220)="","",INDEX(選手一覧!$F$7:$F$2738,$F1220))</f>
        <v/>
      </c>
      <c r="H1220" s="12" t="str">
        <f aca="false">IF(INDEX(選手一覧!$G$7:$G$2738,$F1220)="","",INDEX(選手一覧!$G$7:$G$2738,$F1220))</f>
        <v/>
      </c>
      <c r="I1220" s="11" t="n">
        <f aca="false">IF(INDEX(選手一覧!$H$7:$H$2738,$F1220)="","",INDEX(選手一覧!$H$7:$H$2738,$F1220))</f>
        <v>0.00284444444444444</v>
      </c>
      <c r="J1220" s="12" t="n">
        <f aca="false">IF(INDEX(選手一覧!$I$7:$I$2738,$F1220)="","",INDEX(選手一覧!$I$7:$I$2738,$F1220))</f>
        <v>530</v>
      </c>
    </row>
    <row r="1221" customFormat="false" ht="15" hidden="false" customHeight="false" outlineLevel="0" collapsed="false">
      <c r="A1221" s="12" t="n">
        <v>1217</v>
      </c>
      <c r="B1221" s="10" t="s">
        <v>708</v>
      </c>
      <c r="C1221" s="10" t="s">
        <v>546</v>
      </c>
      <c r="D1221" s="11" t="n">
        <v>0.0110608796296296</v>
      </c>
      <c r="E1221" s="18" t="n">
        <f aca="false">ROUND((D1221-$D$5)*86400,2)</f>
        <v>165.92</v>
      </c>
      <c r="F1221" s="12" t="n">
        <v>454</v>
      </c>
      <c r="G1221" s="11" t="n">
        <f aca="false">IF(INDEX(選手一覧!$F$7:$F$2738,$F1221)="","",INDEX(選手一覧!$F$7:$F$2738,$F1221))</f>
        <v>0.00682800925925926</v>
      </c>
      <c r="H1221" s="12" t="n">
        <f aca="false">IF(INDEX(選手一覧!$G$7:$G$2738,$F1221)="","",INDEX(選手一覧!$G$7:$G$2738,$F1221))</f>
        <v>191</v>
      </c>
      <c r="I1221" s="11" t="str">
        <f aca="false">IF(INDEX(選手一覧!$H$7:$H$2738,$F1221)="","",INDEX(選手一覧!$H$7:$H$2738,$F1221))</f>
        <v/>
      </c>
      <c r="J1221" s="12" t="str">
        <f aca="false">IF(INDEX(選手一覧!$I$7:$I$2738,$F1221)="","",INDEX(選手一覧!$I$7:$I$2738,$F1221))</f>
        <v/>
      </c>
    </row>
    <row r="1222" customFormat="false" ht="15" hidden="false" customHeight="false" outlineLevel="0" collapsed="false">
      <c r="A1222" s="12" t="n">
        <v>1218</v>
      </c>
      <c r="B1222" s="10" t="s">
        <v>1047</v>
      </c>
      <c r="C1222" s="10" t="s">
        <v>32</v>
      </c>
      <c r="D1222" s="11" t="n">
        <v>0.0110609953703704</v>
      </c>
      <c r="E1222" s="18" t="n">
        <f aca="false">ROUND((D1222-$D$5)*86400,2)</f>
        <v>165.93</v>
      </c>
      <c r="F1222" s="12" t="n">
        <v>701</v>
      </c>
      <c r="G1222" s="11" t="str">
        <f aca="false">IF(INDEX(選手一覧!$F$7:$F$2738,$F1222)="","",INDEX(選手一覧!$F$7:$F$2738,$F1222))</f>
        <v/>
      </c>
      <c r="H1222" s="12" t="str">
        <f aca="false">IF(INDEX(選手一覧!$G$7:$G$2738,$F1222)="","",INDEX(選手一覧!$G$7:$G$2738,$F1222))</f>
        <v/>
      </c>
      <c r="I1222" s="11" t="n">
        <f aca="false">IF(INDEX(選手一覧!$H$7:$H$2738,$F1222)="","",INDEX(選手一覧!$H$7:$H$2738,$F1222))</f>
        <v>0.00280462962962963</v>
      </c>
      <c r="J1222" s="12" t="n">
        <f aca="false">IF(INDEX(選手一覧!$I$7:$I$2738,$F1222)="","",INDEX(選手一覧!$I$7:$I$2738,$F1222))</f>
        <v>301</v>
      </c>
    </row>
    <row r="1223" customFormat="false" ht="15" hidden="false" customHeight="false" outlineLevel="0" collapsed="false">
      <c r="A1223" s="12" t="n">
        <v>1219</v>
      </c>
      <c r="B1223" s="10" t="s">
        <v>3504</v>
      </c>
      <c r="C1223" s="10" t="s">
        <v>3290</v>
      </c>
      <c r="D1223" s="11" t="n">
        <v>0.0110611111111111</v>
      </c>
      <c r="E1223" s="18" t="n">
        <f aca="false">ROUND((D1223-$D$5)*86400,2)</f>
        <v>165.94</v>
      </c>
      <c r="F1223" s="12" t="n">
        <v>2474</v>
      </c>
      <c r="G1223" s="11" t="str">
        <f aca="false">IF(INDEX(選手一覧!$F$7:$F$2738,$F1223)="","",INDEX(選手一覧!$F$7:$F$2738,$F1223))</f>
        <v/>
      </c>
      <c r="H1223" s="12" t="str">
        <f aca="false">IF(INDEX(選手一覧!$G$7:$G$2738,$F1223)="","",INDEX(選手一覧!$G$7:$G$2738,$F1223))</f>
        <v/>
      </c>
      <c r="I1223" s="11" t="str">
        <f aca="false">IF(INDEX(選手一覧!$H$7:$H$2738,$F1223)="","",INDEX(選手一覧!$H$7:$H$2738,$F1223))</f>
        <v/>
      </c>
      <c r="J1223" s="12" t="str">
        <f aca="false">IF(INDEX(選手一覧!$I$7:$I$2738,$F1223)="","",INDEX(選手一覧!$I$7:$I$2738,$F1223))</f>
        <v/>
      </c>
    </row>
    <row r="1224" customFormat="false" ht="15" hidden="false" customHeight="false" outlineLevel="0" collapsed="false">
      <c r="A1224" s="12" t="n">
        <v>1220</v>
      </c>
      <c r="B1224" s="10" t="s">
        <v>853</v>
      </c>
      <c r="C1224" s="10" t="s">
        <v>854</v>
      </c>
      <c r="D1224" s="11" t="n">
        <v>0.0110612268518519</v>
      </c>
      <c r="E1224" s="18" t="n">
        <f aca="false">ROUND((D1224-$D$5)*86400,2)</f>
        <v>165.95</v>
      </c>
      <c r="F1224" s="12" t="n">
        <v>557</v>
      </c>
      <c r="G1224" s="11" t="n">
        <f aca="false">IF(INDEX(選手一覧!$F$7:$F$2738,$F1224)="","",INDEX(選手一覧!$F$7:$F$2738,$F1224))</f>
        <v>0.00689340277777778</v>
      </c>
      <c r="H1224" s="12" t="n">
        <f aca="false">IF(INDEX(選手一覧!$G$7:$G$2738,$F1224)="","",INDEX(選手一覧!$G$7:$G$2738,$F1224))</f>
        <v>234</v>
      </c>
      <c r="I1224" s="11" t="n">
        <f aca="false">IF(INDEX(選手一覧!$H$7:$H$2738,$F1224)="","",INDEX(選手一覧!$H$7:$H$2738,$F1224))</f>
        <v>0.00296643518518519</v>
      </c>
      <c r="J1224" s="12" t="n">
        <f aca="false">IF(INDEX(選手一覧!$I$7:$I$2738,$F1224)="","",INDEX(選手一覧!$I$7:$I$2738,$F1224))</f>
        <v>1298</v>
      </c>
    </row>
    <row r="1225" customFormat="false" ht="15" hidden="false" customHeight="false" outlineLevel="0" collapsed="false">
      <c r="A1225" s="12" t="n">
        <v>1221</v>
      </c>
      <c r="B1225" s="10" t="s">
        <v>2020</v>
      </c>
      <c r="C1225" s="10" t="s">
        <v>2021</v>
      </c>
      <c r="D1225" s="11" t="n">
        <v>0.0110622685185185</v>
      </c>
      <c r="E1225" s="18" t="n">
        <f aca="false">ROUND((D1225-$D$5)*86400,2)</f>
        <v>166.04</v>
      </c>
      <c r="F1225" s="12" t="n">
        <v>1395</v>
      </c>
      <c r="G1225" s="11" t="n">
        <f aca="false">IF(INDEX(選手一覧!$F$7:$F$2738,$F1225)="","",INDEX(選手一覧!$F$7:$F$2738,$F1225))</f>
        <v>0.00730798611111111</v>
      </c>
      <c r="H1225" s="12" t="n">
        <f aca="false">IF(INDEX(選手一覧!$G$7:$G$2738,$F1225)="","",INDEX(選手一覧!$G$7:$G$2738,$F1225))</f>
        <v>657</v>
      </c>
      <c r="I1225" s="11" t="str">
        <f aca="false">IF(INDEX(選手一覧!$H$7:$H$2738,$F1225)="","",INDEX(選手一覧!$H$7:$H$2738,$F1225))</f>
        <v/>
      </c>
      <c r="J1225" s="12" t="str">
        <f aca="false">IF(INDEX(選手一覧!$I$7:$I$2738,$F1225)="","",INDEX(選手一覧!$I$7:$I$2738,$F1225))</f>
        <v/>
      </c>
    </row>
    <row r="1226" customFormat="false" ht="15" hidden="false" customHeight="false" outlineLevel="0" collapsed="false">
      <c r="A1226" s="12" t="n">
        <v>1222</v>
      </c>
      <c r="B1226" s="10" t="s">
        <v>3510</v>
      </c>
      <c r="C1226" s="10" t="s">
        <v>91</v>
      </c>
      <c r="D1226" s="11" t="n">
        <v>0.0110628472222222</v>
      </c>
      <c r="E1226" s="18" t="n">
        <f aca="false">ROUND((D1226-$D$5)*86400,2)</f>
        <v>166.09</v>
      </c>
      <c r="F1226" s="12" t="n">
        <v>2479</v>
      </c>
      <c r="G1226" s="11" t="str">
        <f aca="false">IF(INDEX(選手一覧!$F$7:$F$2738,$F1226)="","",INDEX(選手一覧!$F$7:$F$2738,$F1226))</f>
        <v/>
      </c>
      <c r="H1226" s="12" t="str">
        <f aca="false">IF(INDEX(選手一覧!$G$7:$G$2738,$F1226)="","",INDEX(選手一覧!$G$7:$G$2738,$F1226))</f>
        <v/>
      </c>
      <c r="I1226" s="11" t="str">
        <f aca="false">IF(INDEX(選手一覧!$H$7:$H$2738,$F1226)="","",INDEX(選手一覧!$H$7:$H$2738,$F1226))</f>
        <v/>
      </c>
      <c r="J1226" s="12" t="str">
        <f aca="false">IF(INDEX(選手一覧!$I$7:$I$2738,$F1226)="","",INDEX(選手一覧!$I$7:$I$2738,$F1226))</f>
        <v/>
      </c>
    </row>
    <row r="1227" customFormat="false" ht="15" hidden="false" customHeight="false" outlineLevel="0" collapsed="false">
      <c r="A1227" s="12" t="n">
        <v>1223</v>
      </c>
      <c r="B1227" s="10" t="s">
        <v>3514</v>
      </c>
      <c r="C1227" s="10" t="s">
        <v>445</v>
      </c>
      <c r="D1227" s="11" t="n">
        <v>0.0110631944444444</v>
      </c>
      <c r="E1227" s="18" t="n">
        <f aca="false">ROUND((D1227-$D$5)*86400,2)</f>
        <v>166.12</v>
      </c>
      <c r="F1227" s="12" t="n">
        <v>2482</v>
      </c>
      <c r="G1227" s="11" t="str">
        <f aca="false">IF(INDEX(選手一覧!$F$7:$F$2738,$F1227)="","",INDEX(選手一覧!$F$7:$F$2738,$F1227))</f>
        <v/>
      </c>
      <c r="H1227" s="12" t="str">
        <f aca="false">IF(INDEX(選手一覧!$G$7:$G$2738,$F1227)="","",INDEX(選手一覧!$G$7:$G$2738,$F1227))</f>
        <v/>
      </c>
      <c r="I1227" s="11" t="str">
        <f aca="false">IF(INDEX(選手一覧!$H$7:$H$2738,$F1227)="","",INDEX(選手一覧!$H$7:$H$2738,$F1227))</f>
        <v/>
      </c>
      <c r="J1227" s="12" t="str">
        <f aca="false">IF(INDEX(選手一覧!$I$7:$I$2738,$F1227)="","",INDEX(選手一覧!$I$7:$I$2738,$F1227))</f>
        <v/>
      </c>
    </row>
    <row r="1228" customFormat="false" ht="15" hidden="false" customHeight="false" outlineLevel="0" collapsed="false">
      <c r="A1228" s="12" t="n">
        <v>1224</v>
      </c>
      <c r="B1228" s="10" t="s">
        <v>3515</v>
      </c>
      <c r="C1228" s="10" t="s">
        <v>95</v>
      </c>
      <c r="D1228" s="11" t="n">
        <v>0.0110635416666667</v>
      </c>
      <c r="E1228" s="18" t="n">
        <f aca="false">ROUND((D1228-$D$5)*86400,2)</f>
        <v>166.15</v>
      </c>
      <c r="F1228" s="12" t="n">
        <v>2483</v>
      </c>
      <c r="G1228" s="11" t="str">
        <f aca="false">IF(INDEX(選手一覧!$F$7:$F$2738,$F1228)="","",INDEX(選手一覧!$F$7:$F$2738,$F1228))</f>
        <v/>
      </c>
      <c r="H1228" s="12" t="str">
        <f aca="false">IF(INDEX(選手一覧!$G$7:$G$2738,$F1228)="","",INDEX(選手一覧!$G$7:$G$2738,$F1228))</f>
        <v/>
      </c>
      <c r="I1228" s="11" t="str">
        <f aca="false">IF(INDEX(選手一覧!$H$7:$H$2738,$F1228)="","",INDEX(選手一覧!$H$7:$H$2738,$F1228))</f>
        <v/>
      </c>
      <c r="J1228" s="12" t="str">
        <f aca="false">IF(INDEX(選手一覧!$I$7:$I$2738,$F1228)="","",INDEX(選手一覧!$I$7:$I$2738,$F1228))</f>
        <v/>
      </c>
    </row>
    <row r="1229" customFormat="false" ht="15" hidden="false" customHeight="false" outlineLevel="0" collapsed="false">
      <c r="A1229" s="12" t="n">
        <v>1225</v>
      </c>
      <c r="B1229" s="10" t="s">
        <v>3517</v>
      </c>
      <c r="C1229" s="10" t="s">
        <v>2954</v>
      </c>
      <c r="D1229" s="11" t="n">
        <v>0.011065162037037</v>
      </c>
      <c r="E1229" s="18" t="n">
        <f aca="false">ROUND((D1229-$D$5)*86400,2)</f>
        <v>166.29</v>
      </c>
      <c r="F1229" s="12" t="n">
        <v>2485</v>
      </c>
      <c r="G1229" s="11" t="str">
        <f aca="false">IF(INDEX(選手一覧!$F$7:$F$2738,$F1229)="","",INDEX(選手一覧!$F$7:$F$2738,$F1229))</f>
        <v/>
      </c>
      <c r="H1229" s="12" t="str">
        <f aca="false">IF(INDEX(選手一覧!$G$7:$G$2738,$F1229)="","",INDEX(選手一覧!$G$7:$G$2738,$F1229))</f>
        <v/>
      </c>
      <c r="I1229" s="11" t="str">
        <f aca="false">IF(INDEX(選手一覧!$H$7:$H$2738,$F1229)="","",INDEX(選手一覧!$H$7:$H$2738,$F1229))</f>
        <v/>
      </c>
      <c r="J1229" s="12" t="str">
        <f aca="false">IF(INDEX(選手一覧!$I$7:$I$2738,$F1229)="","",INDEX(選手一覧!$I$7:$I$2738,$F1229))</f>
        <v/>
      </c>
    </row>
    <row r="1230" customFormat="false" ht="15" hidden="false" customHeight="false" outlineLevel="0" collapsed="false">
      <c r="A1230" s="12" t="n">
        <v>1226</v>
      </c>
      <c r="B1230" s="10" t="s">
        <v>3519</v>
      </c>
      <c r="C1230" s="10" t="s">
        <v>564</v>
      </c>
      <c r="D1230" s="11" t="n">
        <v>0.0110658564814815</v>
      </c>
      <c r="E1230" s="18" t="n">
        <f aca="false">ROUND((D1230-$D$5)*86400,2)</f>
        <v>166.35</v>
      </c>
      <c r="F1230" s="12" t="n">
        <v>2487</v>
      </c>
      <c r="G1230" s="11" t="str">
        <f aca="false">IF(INDEX(選手一覧!$F$7:$F$2738,$F1230)="","",INDEX(選手一覧!$F$7:$F$2738,$F1230))</f>
        <v/>
      </c>
      <c r="H1230" s="12" t="str">
        <f aca="false">IF(INDEX(選手一覧!$G$7:$G$2738,$F1230)="","",INDEX(選手一覧!$G$7:$G$2738,$F1230))</f>
        <v/>
      </c>
      <c r="I1230" s="11" t="str">
        <f aca="false">IF(INDEX(選手一覧!$H$7:$H$2738,$F1230)="","",INDEX(選手一覧!$H$7:$H$2738,$F1230))</f>
        <v/>
      </c>
      <c r="J1230" s="12" t="str">
        <f aca="false">IF(INDEX(選手一覧!$I$7:$I$2738,$F1230)="","",INDEX(選手一覧!$I$7:$I$2738,$F1230))</f>
        <v/>
      </c>
    </row>
    <row r="1231" customFormat="false" ht="15" hidden="false" customHeight="false" outlineLevel="0" collapsed="false">
      <c r="A1231" s="12" t="n">
        <v>1227</v>
      </c>
      <c r="B1231" s="10" t="s">
        <v>1011</v>
      </c>
      <c r="C1231" s="10" t="s">
        <v>457</v>
      </c>
      <c r="D1231" s="11" t="n">
        <v>0.011066087962963</v>
      </c>
      <c r="E1231" s="18" t="n">
        <f aca="false">ROUND((D1231-$D$5)*86400,2)</f>
        <v>166.37</v>
      </c>
      <c r="F1231" s="12" t="n">
        <v>676</v>
      </c>
      <c r="G1231" s="11" t="n">
        <f aca="false">IF(INDEX(選手一覧!$F$7:$F$2738,$F1231)="","",INDEX(選手一覧!$F$7:$F$2738,$F1231))</f>
        <v>0.0069525462962963</v>
      </c>
      <c r="H1231" s="12" t="n">
        <f aca="false">IF(INDEX(選手一覧!$G$7:$G$2738,$F1231)="","",INDEX(選手一覧!$G$7:$G$2738,$F1231))</f>
        <v>287</v>
      </c>
      <c r="I1231" s="11" t="str">
        <f aca="false">IF(INDEX(選手一覧!$H$7:$H$2738,$F1231)="","",INDEX(選手一覧!$H$7:$H$2738,$F1231))</f>
        <v/>
      </c>
      <c r="J1231" s="12" t="str">
        <f aca="false">IF(INDEX(選手一覧!$I$7:$I$2738,$F1231)="","",INDEX(選手一覧!$I$7:$I$2738,$F1231))</f>
        <v/>
      </c>
    </row>
    <row r="1232" customFormat="false" ht="15" hidden="false" customHeight="false" outlineLevel="0" collapsed="false">
      <c r="A1232" s="12" t="n">
        <v>1228</v>
      </c>
      <c r="B1232" s="10" t="s">
        <v>1695</v>
      </c>
      <c r="C1232" s="10" t="s">
        <v>1696</v>
      </c>
      <c r="D1232" s="11" t="n">
        <v>0.0110662037037037</v>
      </c>
      <c r="E1232" s="18" t="n">
        <f aca="false">ROUND((D1232-$D$5)*86400,2)</f>
        <v>166.38</v>
      </c>
      <c r="F1232" s="12" t="n">
        <v>1167</v>
      </c>
      <c r="G1232" s="11" t="str">
        <f aca="false">IF(INDEX(選手一覧!$F$7:$F$2738,$F1232)="","",INDEX(選手一覧!$F$7:$F$2738,$F1232))</f>
        <v/>
      </c>
      <c r="H1232" s="12" t="str">
        <f aca="false">IF(INDEX(選手一覧!$G$7:$G$2738,$F1232)="","",INDEX(選手一覧!$G$7:$G$2738,$F1232))</f>
        <v/>
      </c>
      <c r="I1232" s="11" t="n">
        <f aca="false">IF(INDEX(選手一覧!$H$7:$H$2738,$F1232)="","",INDEX(選手一覧!$H$7:$H$2738,$F1232))</f>
        <v>0.00284479166666667</v>
      </c>
      <c r="J1232" s="12" t="n">
        <f aca="false">IF(INDEX(選手一覧!$I$7:$I$2738,$F1232)="","",INDEX(選手一覧!$I$7:$I$2738,$F1232))</f>
        <v>534</v>
      </c>
    </row>
    <row r="1233" customFormat="false" ht="15" hidden="false" customHeight="false" outlineLevel="0" collapsed="false">
      <c r="A1233" s="12" t="n">
        <v>1229</v>
      </c>
      <c r="B1233" s="10" t="s">
        <v>3526</v>
      </c>
      <c r="C1233" s="10" t="s">
        <v>79</v>
      </c>
      <c r="D1233" s="11" t="n">
        <v>0.0110665509259259</v>
      </c>
      <c r="E1233" s="18" t="n">
        <f aca="false">ROUND((D1233-$D$5)*86400,2)</f>
        <v>166.41</v>
      </c>
      <c r="F1233" s="12" t="n">
        <v>2493</v>
      </c>
      <c r="G1233" s="11" t="str">
        <f aca="false">IF(INDEX(選手一覧!$F$7:$F$2738,$F1233)="","",INDEX(選手一覧!$F$7:$F$2738,$F1233))</f>
        <v/>
      </c>
      <c r="H1233" s="12" t="str">
        <f aca="false">IF(INDEX(選手一覧!$G$7:$G$2738,$F1233)="","",INDEX(選手一覧!$G$7:$G$2738,$F1233))</f>
        <v/>
      </c>
      <c r="I1233" s="11" t="str">
        <f aca="false">IF(INDEX(選手一覧!$H$7:$H$2738,$F1233)="","",INDEX(選手一覧!$H$7:$H$2738,$F1233))</f>
        <v/>
      </c>
      <c r="J1233" s="12" t="str">
        <f aca="false">IF(INDEX(選手一覧!$I$7:$I$2738,$F1233)="","",INDEX(選手一覧!$I$7:$I$2738,$F1233))</f>
        <v/>
      </c>
    </row>
    <row r="1234" customFormat="false" ht="15" hidden="false" customHeight="false" outlineLevel="0" collapsed="false">
      <c r="A1234" s="12" t="n">
        <v>1230</v>
      </c>
      <c r="B1234" s="10" t="s">
        <v>3531</v>
      </c>
      <c r="C1234" s="10" t="s">
        <v>1548</v>
      </c>
      <c r="D1234" s="11" t="n">
        <v>0.0110668981481482</v>
      </c>
      <c r="E1234" s="18" t="n">
        <f aca="false">ROUND((D1234-$D$5)*86400,2)</f>
        <v>166.44</v>
      </c>
      <c r="F1234" s="12" t="n">
        <v>2496</v>
      </c>
      <c r="G1234" s="11" t="str">
        <f aca="false">IF(INDEX(選手一覧!$F$7:$F$2738,$F1234)="","",INDEX(選手一覧!$F$7:$F$2738,$F1234))</f>
        <v/>
      </c>
      <c r="H1234" s="12" t="str">
        <f aca="false">IF(INDEX(選手一覧!$G$7:$G$2738,$F1234)="","",INDEX(選手一覧!$G$7:$G$2738,$F1234))</f>
        <v/>
      </c>
      <c r="I1234" s="11" t="str">
        <f aca="false">IF(INDEX(選手一覧!$H$7:$H$2738,$F1234)="","",INDEX(選手一覧!$H$7:$H$2738,$F1234))</f>
        <v/>
      </c>
      <c r="J1234" s="12" t="str">
        <f aca="false">IF(INDEX(選手一覧!$I$7:$I$2738,$F1234)="","",INDEX(選手一覧!$I$7:$I$2738,$F1234))</f>
        <v/>
      </c>
    </row>
    <row r="1235" customFormat="false" ht="15" hidden="false" customHeight="false" outlineLevel="0" collapsed="false">
      <c r="A1235" s="12" t="n">
        <v>1231</v>
      </c>
      <c r="B1235" s="10" t="s">
        <v>3534</v>
      </c>
      <c r="C1235" s="10" t="s">
        <v>523</v>
      </c>
      <c r="D1235" s="11" t="n">
        <v>0.0110670138888889</v>
      </c>
      <c r="E1235" s="18" t="n">
        <f aca="false">ROUND((D1235-$D$5)*86400,2)</f>
        <v>166.45</v>
      </c>
      <c r="F1235" s="12" t="n">
        <v>2499</v>
      </c>
      <c r="G1235" s="11" t="str">
        <f aca="false">IF(INDEX(選手一覧!$F$7:$F$2738,$F1235)="","",INDEX(選手一覧!$F$7:$F$2738,$F1235))</f>
        <v/>
      </c>
      <c r="H1235" s="12" t="str">
        <f aca="false">IF(INDEX(選手一覧!$G$7:$G$2738,$F1235)="","",INDEX(選手一覧!$G$7:$G$2738,$F1235))</f>
        <v/>
      </c>
      <c r="I1235" s="11" t="str">
        <f aca="false">IF(INDEX(選手一覧!$H$7:$H$2738,$F1235)="","",INDEX(選手一覧!$H$7:$H$2738,$F1235))</f>
        <v/>
      </c>
      <c r="J1235" s="12" t="str">
        <f aca="false">IF(INDEX(選手一覧!$I$7:$I$2738,$F1235)="","",INDEX(選手一覧!$I$7:$I$2738,$F1235))</f>
        <v/>
      </c>
    </row>
    <row r="1236" customFormat="false" ht="15" hidden="false" customHeight="false" outlineLevel="0" collapsed="false">
      <c r="A1236" s="12" t="n">
        <v>1232</v>
      </c>
      <c r="B1236" s="10" t="s">
        <v>1784</v>
      </c>
      <c r="C1236" s="10" t="s">
        <v>616</v>
      </c>
      <c r="D1236" s="11" t="n">
        <v>0.0110673611111111</v>
      </c>
      <c r="E1236" s="18" t="n">
        <f aca="false">ROUND((D1236-$D$5)*86400,2)</f>
        <v>166.48</v>
      </c>
      <c r="F1236" s="12" t="n">
        <v>1227</v>
      </c>
      <c r="G1236" s="11" t="str">
        <f aca="false">IF(INDEX(選手一覧!$F$7:$F$2738,$F1236)="","",INDEX(選手一覧!$F$7:$F$2738,$F1236))</f>
        <v/>
      </c>
      <c r="H1236" s="12" t="str">
        <f aca="false">IF(INDEX(選手一覧!$G$7:$G$2738,$F1236)="","",INDEX(選手一覧!$G$7:$G$2738,$F1236))</f>
        <v/>
      </c>
      <c r="I1236" s="11" t="n">
        <f aca="false">IF(INDEX(選手一覧!$H$7:$H$2738,$F1236)="","",INDEX(選手一覧!$H$7:$H$2738,$F1236))</f>
        <v>0.00284895833333333</v>
      </c>
      <c r="J1236" s="12" t="n">
        <f aca="false">IF(INDEX(選手一覧!$I$7:$I$2738,$F1236)="","",INDEX(選手一覧!$I$7:$I$2738,$F1236))</f>
        <v>564</v>
      </c>
    </row>
    <row r="1237" customFormat="false" ht="15" hidden="false" customHeight="false" outlineLevel="0" collapsed="false">
      <c r="A1237" s="12" t="n">
        <v>1233</v>
      </c>
      <c r="B1237" s="10" t="s">
        <v>3541</v>
      </c>
      <c r="C1237" s="10" t="s">
        <v>3542</v>
      </c>
      <c r="D1237" s="11" t="n">
        <v>0.0110694444444444</v>
      </c>
      <c r="E1237" s="18" t="n">
        <f aca="false">ROUND((D1237-$D$5)*86400,2)</f>
        <v>166.66</v>
      </c>
      <c r="F1237" s="12" t="n">
        <v>2504</v>
      </c>
      <c r="G1237" s="11" t="str">
        <f aca="false">IF(INDEX(選手一覧!$F$7:$F$2738,$F1237)="","",INDEX(選手一覧!$F$7:$F$2738,$F1237))</f>
        <v/>
      </c>
      <c r="H1237" s="12" t="str">
        <f aca="false">IF(INDEX(選手一覧!$G$7:$G$2738,$F1237)="","",INDEX(選手一覧!$G$7:$G$2738,$F1237))</f>
        <v/>
      </c>
      <c r="I1237" s="11" t="str">
        <f aca="false">IF(INDEX(選手一覧!$H$7:$H$2738,$F1237)="","",INDEX(選手一覧!$H$7:$H$2738,$F1237))</f>
        <v/>
      </c>
      <c r="J1237" s="12" t="str">
        <f aca="false">IF(INDEX(選手一覧!$I$7:$I$2738,$F1237)="","",INDEX(選手一覧!$I$7:$I$2738,$F1237))</f>
        <v/>
      </c>
    </row>
    <row r="1238" customFormat="false" ht="15" hidden="false" customHeight="false" outlineLevel="0" collapsed="false">
      <c r="A1238" s="12" t="n">
        <v>1234</v>
      </c>
      <c r="B1238" s="10" t="s">
        <v>3545</v>
      </c>
      <c r="C1238" s="10" t="s">
        <v>1458</v>
      </c>
      <c r="D1238" s="11" t="n">
        <v>0.0110696759259259</v>
      </c>
      <c r="E1238" s="18" t="n">
        <f aca="false">ROUND((D1238-$D$5)*86400,2)</f>
        <v>166.68</v>
      </c>
      <c r="F1238" s="12" t="n">
        <v>2507</v>
      </c>
      <c r="G1238" s="11" t="str">
        <f aca="false">IF(INDEX(選手一覧!$F$7:$F$2738,$F1238)="","",INDEX(選手一覧!$F$7:$F$2738,$F1238))</f>
        <v/>
      </c>
      <c r="H1238" s="12" t="str">
        <f aca="false">IF(INDEX(選手一覧!$G$7:$G$2738,$F1238)="","",INDEX(選手一覧!$G$7:$G$2738,$F1238))</f>
        <v/>
      </c>
      <c r="I1238" s="11" t="str">
        <f aca="false">IF(INDEX(選手一覧!$H$7:$H$2738,$F1238)="","",INDEX(選手一覧!$H$7:$H$2738,$F1238))</f>
        <v/>
      </c>
      <c r="J1238" s="12" t="str">
        <f aca="false">IF(INDEX(選手一覧!$I$7:$I$2738,$F1238)="","",INDEX(選手一覧!$I$7:$I$2738,$F1238))</f>
        <v/>
      </c>
    </row>
    <row r="1239" customFormat="false" ht="15" hidden="false" customHeight="false" outlineLevel="0" collapsed="false">
      <c r="A1239" s="12" t="n">
        <v>1235</v>
      </c>
      <c r="B1239" s="10" t="s">
        <v>3548</v>
      </c>
      <c r="C1239" s="10" t="s">
        <v>1849</v>
      </c>
      <c r="D1239" s="11" t="n">
        <v>0.0110702546296296</v>
      </c>
      <c r="E1239" s="18" t="n">
        <f aca="false">ROUND((D1239-$D$5)*86400,2)</f>
        <v>166.73</v>
      </c>
      <c r="F1239" s="12" t="n">
        <v>2509</v>
      </c>
      <c r="G1239" s="11" t="str">
        <f aca="false">IF(INDEX(選手一覧!$F$7:$F$2738,$F1239)="","",INDEX(選手一覧!$F$7:$F$2738,$F1239))</f>
        <v/>
      </c>
      <c r="H1239" s="12" t="str">
        <f aca="false">IF(INDEX(選手一覧!$G$7:$G$2738,$F1239)="","",INDEX(選手一覧!$G$7:$G$2738,$F1239))</f>
        <v/>
      </c>
      <c r="I1239" s="11" t="str">
        <f aca="false">IF(INDEX(選手一覧!$H$7:$H$2738,$F1239)="","",INDEX(選手一覧!$H$7:$H$2738,$F1239))</f>
        <v/>
      </c>
      <c r="J1239" s="12" t="str">
        <f aca="false">IF(INDEX(選手一覧!$I$7:$I$2738,$F1239)="","",INDEX(選手一覧!$I$7:$I$2738,$F1239))</f>
        <v/>
      </c>
    </row>
    <row r="1240" customFormat="false" ht="15" hidden="false" customHeight="false" outlineLevel="0" collapsed="false">
      <c r="A1240" s="12" t="n">
        <v>1236</v>
      </c>
      <c r="B1240" s="10" t="s">
        <v>2651</v>
      </c>
      <c r="C1240" s="10" t="s">
        <v>1496</v>
      </c>
      <c r="D1240" s="11" t="n">
        <v>0.0110709490740741</v>
      </c>
      <c r="E1240" s="18" t="n">
        <f aca="false">ROUND((D1240-$D$5)*86400,2)</f>
        <v>166.79</v>
      </c>
      <c r="F1240" s="12" t="n">
        <v>1856</v>
      </c>
      <c r="G1240" s="11" t="str">
        <f aca="false">IF(INDEX(選手一覧!$F$7:$F$2738,$F1240)="","",INDEX(選手一覧!$F$7:$F$2738,$F1240))</f>
        <v/>
      </c>
      <c r="H1240" s="12" t="str">
        <f aca="false">IF(INDEX(選手一覧!$G$7:$G$2738,$F1240)="","",INDEX(選手一覧!$G$7:$G$2738,$F1240))</f>
        <v/>
      </c>
      <c r="I1240" s="11" t="n">
        <f aca="false">IF(INDEX(選手一覧!$H$7:$H$2738,$F1240)="","",INDEX(選手一覧!$H$7:$H$2738,$F1240))</f>
        <v>0.00289212962962963</v>
      </c>
      <c r="J1240" s="12" t="n">
        <f aca="false">IF(INDEX(選手一覧!$I$7:$I$2738,$F1240)="","",INDEX(選手一覧!$I$7:$I$2738,$F1240))</f>
        <v>890</v>
      </c>
    </row>
    <row r="1241" customFormat="false" ht="15" hidden="false" customHeight="false" outlineLevel="0" collapsed="false">
      <c r="A1241" s="12" t="n">
        <v>1237</v>
      </c>
      <c r="B1241" s="10" t="s">
        <v>2784</v>
      </c>
      <c r="C1241" s="10" t="s">
        <v>2785</v>
      </c>
      <c r="D1241" s="11" t="n">
        <v>0.0110717592592593</v>
      </c>
      <c r="E1241" s="18" t="n">
        <f aca="false">ROUND((D1241-$D$5)*86400,2)</f>
        <v>166.86</v>
      </c>
      <c r="F1241" s="12" t="n">
        <v>1949</v>
      </c>
      <c r="G1241" s="11" t="str">
        <f aca="false">IF(INDEX(選手一覧!$F$7:$F$2738,$F1241)="","",INDEX(選手一覧!$F$7:$F$2738,$F1241))</f>
        <v/>
      </c>
      <c r="H1241" s="12" t="str">
        <f aca="false">IF(INDEX(選手一覧!$G$7:$G$2738,$F1241)="","",INDEX(選手一覧!$G$7:$G$2738,$F1241))</f>
        <v/>
      </c>
      <c r="I1241" s="11" t="n">
        <f aca="false">IF(INDEX(選手一覧!$H$7:$H$2738,$F1241)="","",INDEX(選手一覧!$H$7:$H$2738,$F1241))</f>
        <v>0.00289965277777778</v>
      </c>
      <c r="J1241" s="12" t="n">
        <f aca="false">IF(INDEX(選手一覧!$I$7:$I$2738,$F1241)="","",INDEX(選手一覧!$I$7:$I$2738,$F1241))</f>
        <v>942</v>
      </c>
    </row>
    <row r="1242" customFormat="false" ht="15" hidden="false" customHeight="false" outlineLevel="0" collapsed="false">
      <c r="A1242" s="12" t="n">
        <v>1238</v>
      </c>
      <c r="B1242" s="10" t="s">
        <v>3557</v>
      </c>
      <c r="C1242" s="10" t="s">
        <v>120</v>
      </c>
      <c r="D1242" s="11" t="n">
        <v>0.0110721064814815</v>
      </c>
      <c r="E1242" s="18" t="n">
        <f aca="false">ROUND((D1242-$D$5)*86400,2)</f>
        <v>166.89</v>
      </c>
      <c r="F1242" s="12" t="n">
        <v>2515</v>
      </c>
      <c r="G1242" s="11" t="str">
        <f aca="false">IF(INDEX(選手一覧!$F$7:$F$2738,$F1242)="","",INDEX(選手一覧!$F$7:$F$2738,$F1242))</f>
        <v/>
      </c>
      <c r="H1242" s="12" t="str">
        <f aca="false">IF(INDEX(選手一覧!$G$7:$G$2738,$F1242)="","",INDEX(選手一覧!$G$7:$G$2738,$F1242))</f>
        <v/>
      </c>
      <c r="I1242" s="11" t="str">
        <f aca="false">IF(INDEX(選手一覧!$H$7:$H$2738,$F1242)="","",INDEX(選手一覧!$H$7:$H$2738,$F1242))</f>
        <v/>
      </c>
      <c r="J1242" s="12" t="str">
        <f aca="false">IF(INDEX(選手一覧!$I$7:$I$2738,$F1242)="","",INDEX(選手一覧!$I$7:$I$2738,$F1242))</f>
        <v/>
      </c>
    </row>
    <row r="1243" customFormat="false" ht="15" hidden="false" customHeight="false" outlineLevel="0" collapsed="false">
      <c r="A1243" s="12" t="n">
        <v>1239</v>
      </c>
      <c r="B1243" s="10" t="s">
        <v>1940</v>
      </c>
      <c r="C1243" s="10" t="s">
        <v>201</v>
      </c>
      <c r="D1243" s="11" t="n">
        <v>0.0110722222222222</v>
      </c>
      <c r="E1243" s="18" t="n">
        <f aca="false">ROUND((D1243-$D$5)*86400,2)</f>
        <v>166.9</v>
      </c>
      <c r="F1243" s="12" t="n">
        <v>1333</v>
      </c>
      <c r="G1243" s="11" t="n">
        <f aca="false">IF(INDEX(選手一覧!$F$7:$F$2738,$F1243)="","",INDEX(選手一覧!$F$7:$F$2738,$F1243))</f>
        <v>0.00728298611111111</v>
      </c>
      <c r="H1243" s="12" t="n">
        <f aca="false">IF(INDEX(選手一覧!$G$7:$G$2738,$F1243)="","",INDEX(選手一覧!$G$7:$G$2738,$F1243))</f>
        <v>623</v>
      </c>
      <c r="I1243" s="11" t="str">
        <f aca="false">IF(INDEX(選手一覧!$H$7:$H$2738,$F1243)="","",INDEX(選手一覧!$H$7:$H$2738,$F1243))</f>
        <v/>
      </c>
      <c r="J1243" s="12" t="str">
        <f aca="false">IF(INDEX(選手一覧!$I$7:$I$2738,$F1243)="","",INDEX(選手一覧!$I$7:$I$2738,$F1243))</f>
        <v/>
      </c>
    </row>
    <row r="1244" customFormat="false" ht="15" hidden="false" customHeight="false" outlineLevel="0" collapsed="false">
      <c r="A1244" s="12" t="n">
        <v>1240</v>
      </c>
      <c r="B1244" s="10" t="s">
        <v>3330</v>
      </c>
      <c r="C1244" s="10" t="s">
        <v>1660</v>
      </c>
      <c r="D1244" s="11" t="n">
        <v>0.011072337962963</v>
      </c>
      <c r="E1244" s="18" t="n">
        <f aca="false">ROUND((D1244-$D$5)*86400,2)</f>
        <v>166.91</v>
      </c>
      <c r="F1244" s="12" t="n">
        <v>2344</v>
      </c>
      <c r="G1244" s="11" t="str">
        <f aca="false">IF(INDEX(選手一覧!$F$7:$F$2738,$F1244)="","",INDEX(選手一覧!$F$7:$F$2738,$F1244))</f>
        <v/>
      </c>
      <c r="H1244" s="12" t="str">
        <f aca="false">IF(INDEX(選手一覧!$G$7:$G$2738,$F1244)="","",INDEX(選手一覧!$G$7:$G$2738,$F1244))</f>
        <v/>
      </c>
      <c r="I1244" s="11" t="n">
        <f aca="false">IF(INDEX(選手一覧!$H$7:$H$2738,$F1244)="","",INDEX(選手一覧!$H$7:$H$2738,$F1244))</f>
        <v>0.00292546296296296</v>
      </c>
      <c r="J1244" s="12" t="n">
        <f aca="false">IF(INDEX(選手一覧!$I$7:$I$2738,$F1244)="","",INDEX(選手一覧!$I$7:$I$2738,$F1244))</f>
        <v>1153</v>
      </c>
    </row>
    <row r="1245" customFormat="false" ht="15" hidden="false" customHeight="false" outlineLevel="0" collapsed="false">
      <c r="A1245" s="12" t="n">
        <v>1241</v>
      </c>
      <c r="B1245" s="10" t="s">
        <v>1587</v>
      </c>
      <c r="C1245" s="10" t="s">
        <v>286</v>
      </c>
      <c r="D1245" s="11" t="n">
        <v>0.0110730324074074</v>
      </c>
      <c r="E1245" s="18" t="n">
        <f aca="false">ROUND((D1245-$D$5)*86400,2)</f>
        <v>166.97</v>
      </c>
      <c r="F1245" s="12" t="n">
        <v>1095</v>
      </c>
      <c r="G1245" s="11" t="str">
        <f aca="false">IF(INDEX(選手一覧!$F$7:$F$2738,$F1245)="","",INDEX(選手一覧!$F$7:$F$2738,$F1245))</f>
        <v/>
      </c>
      <c r="H1245" s="12" t="str">
        <f aca="false">IF(INDEX(選手一覧!$G$7:$G$2738,$F1245)="","",INDEX(選手一覧!$G$7:$G$2738,$F1245))</f>
        <v/>
      </c>
      <c r="I1245" s="11" t="n">
        <f aca="false">IF(INDEX(選手一覧!$H$7:$H$2738,$F1245)="","",INDEX(選手一覧!$H$7:$H$2738,$F1245))</f>
        <v>0.00283981481481482</v>
      </c>
      <c r="J1245" s="12" t="n">
        <f aca="false">IF(INDEX(選手一覧!$I$7:$I$2738,$F1245)="","",INDEX(選手一覧!$I$7:$I$2738,$F1245))</f>
        <v>495</v>
      </c>
    </row>
    <row r="1246" customFormat="false" ht="15" hidden="false" customHeight="false" outlineLevel="0" collapsed="false">
      <c r="A1246" s="12" t="n">
        <v>1242</v>
      </c>
      <c r="B1246" s="10" t="s">
        <v>1084</v>
      </c>
      <c r="C1246" s="10" t="s">
        <v>122</v>
      </c>
      <c r="D1246" s="11" t="n">
        <v>0.0110730324074074</v>
      </c>
      <c r="E1246" s="18" t="n">
        <f aca="false">ROUND((D1246-$D$5)*86400,2)</f>
        <v>166.97</v>
      </c>
      <c r="F1246" s="12" t="n">
        <v>729</v>
      </c>
      <c r="G1246" s="11" t="n">
        <f aca="false">IF(INDEX(選手一覧!$F$7:$F$2738,$F1246)="","",INDEX(選手一覧!$F$7:$F$2738,$F1246))</f>
        <v>0.00698055555555556</v>
      </c>
      <c r="H1246" s="12" t="n">
        <f aca="false">IF(INDEX(選手一覧!$G$7:$G$2738,$F1246)="","",INDEX(選手一覧!$G$7:$G$2738,$F1246))</f>
        <v>313</v>
      </c>
      <c r="I1246" s="11" t="str">
        <f aca="false">IF(INDEX(選手一覧!$H$7:$H$2738,$F1246)="","",INDEX(選手一覧!$H$7:$H$2738,$F1246))</f>
        <v/>
      </c>
      <c r="J1246" s="12" t="str">
        <f aca="false">IF(INDEX(選手一覧!$I$7:$I$2738,$F1246)="","",INDEX(選手一覧!$I$7:$I$2738,$F1246))</f>
        <v/>
      </c>
    </row>
    <row r="1247" customFormat="false" ht="15" hidden="false" customHeight="false" outlineLevel="0" collapsed="false">
      <c r="A1247" s="12" t="n">
        <v>1243</v>
      </c>
      <c r="B1247" s="10" t="s">
        <v>3572</v>
      </c>
      <c r="C1247" s="10" t="s">
        <v>2024</v>
      </c>
      <c r="D1247" s="11" t="n">
        <v>0.0110730324074074</v>
      </c>
      <c r="E1247" s="18" t="n">
        <f aca="false">ROUND((D1247-$D$5)*86400,2)</f>
        <v>166.97</v>
      </c>
      <c r="F1247" s="12" t="n">
        <v>2525</v>
      </c>
      <c r="G1247" s="11" t="str">
        <f aca="false">IF(INDEX(選手一覧!$F$7:$F$2738,$F1247)="","",INDEX(選手一覧!$F$7:$F$2738,$F1247))</f>
        <v/>
      </c>
      <c r="H1247" s="12" t="str">
        <f aca="false">IF(INDEX(選手一覧!$G$7:$G$2738,$F1247)="","",INDEX(選手一覧!$G$7:$G$2738,$F1247))</f>
        <v/>
      </c>
      <c r="I1247" s="11" t="str">
        <f aca="false">IF(INDEX(選手一覧!$H$7:$H$2738,$F1247)="","",INDEX(選手一覧!$H$7:$H$2738,$F1247))</f>
        <v/>
      </c>
      <c r="J1247" s="12" t="str">
        <f aca="false">IF(INDEX(選手一覧!$I$7:$I$2738,$F1247)="","",INDEX(選手一覧!$I$7:$I$2738,$F1247))</f>
        <v/>
      </c>
    </row>
    <row r="1248" customFormat="false" ht="15" hidden="false" customHeight="false" outlineLevel="0" collapsed="false">
      <c r="A1248" s="12" t="n">
        <v>1244</v>
      </c>
      <c r="B1248" s="10" t="s">
        <v>3574</v>
      </c>
      <c r="C1248" s="10" t="s">
        <v>1912</v>
      </c>
      <c r="D1248" s="11" t="n">
        <v>0.0110767361111111</v>
      </c>
      <c r="E1248" s="18" t="n">
        <f aca="false">ROUND((D1248-$D$5)*86400,2)</f>
        <v>167.29</v>
      </c>
      <c r="F1248" s="12" t="n">
        <v>2527</v>
      </c>
      <c r="G1248" s="11" t="str">
        <f aca="false">IF(INDEX(選手一覧!$F$7:$F$2738,$F1248)="","",INDEX(選手一覧!$F$7:$F$2738,$F1248))</f>
        <v/>
      </c>
      <c r="H1248" s="12" t="str">
        <f aca="false">IF(INDEX(選手一覧!$G$7:$G$2738,$F1248)="","",INDEX(選手一覧!$G$7:$G$2738,$F1248))</f>
        <v/>
      </c>
      <c r="I1248" s="11" t="str">
        <f aca="false">IF(INDEX(選手一覧!$H$7:$H$2738,$F1248)="","",INDEX(選手一覧!$H$7:$H$2738,$F1248))</f>
        <v/>
      </c>
      <c r="J1248" s="12" t="str">
        <f aca="false">IF(INDEX(選手一覧!$I$7:$I$2738,$F1248)="","",INDEX(選手一覧!$I$7:$I$2738,$F1248))</f>
        <v/>
      </c>
    </row>
    <row r="1249" customFormat="false" ht="15" hidden="false" customHeight="false" outlineLevel="0" collapsed="false">
      <c r="A1249" s="12" t="n">
        <v>1245</v>
      </c>
      <c r="B1249" s="10" t="s">
        <v>1054</v>
      </c>
      <c r="C1249" s="10" t="s">
        <v>1055</v>
      </c>
      <c r="D1249" s="11" t="n">
        <v>0.0110770833333333</v>
      </c>
      <c r="E1249" s="18" t="n">
        <f aca="false">ROUND((D1249-$D$5)*86400,2)</f>
        <v>167.32</v>
      </c>
      <c r="F1249" s="12" t="n">
        <v>707</v>
      </c>
      <c r="G1249" s="11" t="n">
        <f aca="false">IF(INDEX(選手一覧!$F$7:$F$2738,$F1249)="","",INDEX(選手一覧!$F$7:$F$2738,$F1249))</f>
        <v>0.00696886574074074</v>
      </c>
      <c r="H1249" s="12" t="n">
        <f aca="false">IF(INDEX(選手一覧!$G$7:$G$2738,$F1249)="","",INDEX(選手一覧!$G$7:$G$2738,$F1249))</f>
        <v>303</v>
      </c>
      <c r="I1249" s="11" t="n">
        <f aca="false">IF(INDEX(選手一覧!$H$7:$H$2738,$F1249)="","",INDEX(選手一覧!$H$7:$H$2738,$F1249))</f>
        <v>0.0028494212962963</v>
      </c>
      <c r="J1249" s="12" t="n">
        <f aca="false">IF(INDEX(選手一覧!$I$7:$I$2738,$F1249)="","",INDEX(選手一覧!$I$7:$I$2738,$F1249))</f>
        <v>568</v>
      </c>
    </row>
    <row r="1250" customFormat="false" ht="15" hidden="false" customHeight="false" outlineLevel="0" collapsed="false">
      <c r="A1250" s="12" t="n">
        <v>1246</v>
      </c>
      <c r="B1250" s="10" t="s">
        <v>2888</v>
      </c>
      <c r="C1250" s="10" t="s">
        <v>2889</v>
      </c>
      <c r="D1250" s="11" t="n">
        <v>0.011078125</v>
      </c>
      <c r="E1250" s="18" t="n">
        <f aca="false">ROUND((D1250-$D$5)*86400,2)</f>
        <v>167.41</v>
      </c>
      <c r="F1250" s="12" t="n">
        <v>2025</v>
      </c>
      <c r="G1250" s="11" t="n">
        <f aca="false">IF(INDEX(選手一覧!$F$7:$F$2738,$F1250)="","",INDEX(選手一覧!$F$7:$F$2738,$F1250))</f>
        <v>0.00757974537037037</v>
      </c>
      <c r="H1250" s="12" t="n">
        <f aca="false">IF(INDEX(選手一覧!$G$7:$G$2738,$F1250)="","",INDEX(選手一覧!$G$7:$G$2738,$F1250))</f>
        <v>981</v>
      </c>
      <c r="I1250" s="11" t="str">
        <f aca="false">IF(INDEX(選手一覧!$H$7:$H$2738,$F1250)="","",INDEX(選手一覧!$H$7:$H$2738,$F1250))</f>
        <v/>
      </c>
      <c r="J1250" s="12" t="str">
        <f aca="false">IF(INDEX(選手一覧!$I$7:$I$2738,$F1250)="","",INDEX(選手一覧!$I$7:$I$2738,$F1250))</f>
        <v/>
      </c>
    </row>
    <row r="1251" customFormat="false" ht="15" hidden="false" customHeight="false" outlineLevel="0" collapsed="false">
      <c r="A1251" s="12" t="n">
        <v>1247</v>
      </c>
      <c r="B1251" s="10" t="s">
        <v>1629</v>
      </c>
      <c r="C1251" s="10" t="s">
        <v>1630</v>
      </c>
      <c r="D1251" s="11" t="n">
        <v>0.0110782407407407</v>
      </c>
      <c r="E1251" s="18" t="n">
        <f aca="false">ROUND((D1251-$D$5)*86400,2)</f>
        <v>167.42</v>
      </c>
      <c r="F1251" s="12" t="n">
        <v>1124</v>
      </c>
      <c r="G1251" s="11" t="str">
        <f aca="false">IF(INDEX(選手一覧!$F$7:$F$2738,$F1251)="","",INDEX(選手一覧!$F$7:$F$2738,$F1251))</f>
        <v/>
      </c>
      <c r="H1251" s="12" t="str">
        <f aca="false">IF(INDEX(選手一覧!$G$7:$G$2738,$F1251)="","",INDEX(選手一覧!$G$7:$G$2738,$F1251))</f>
        <v/>
      </c>
      <c r="I1251" s="11" t="n">
        <f aca="false">IF(INDEX(選手一覧!$H$7:$H$2738,$F1251)="","",INDEX(選手一覧!$H$7:$H$2738,$F1251))</f>
        <v>0.00284108796296296</v>
      </c>
      <c r="J1251" s="12" t="n">
        <f aca="false">IF(INDEX(選手一覧!$I$7:$I$2738,$F1251)="","",INDEX(選手一覧!$I$7:$I$2738,$F1251))</f>
        <v>509</v>
      </c>
    </row>
    <row r="1252" customFormat="false" ht="15" hidden="false" customHeight="false" outlineLevel="0" collapsed="false">
      <c r="A1252" s="12" t="n">
        <v>1248</v>
      </c>
      <c r="B1252" s="10" t="s">
        <v>3583</v>
      </c>
      <c r="C1252" s="10" t="s">
        <v>915</v>
      </c>
      <c r="D1252" s="11" t="n">
        <v>0.0110784722222222</v>
      </c>
      <c r="E1252" s="18" t="n">
        <f aca="false">ROUND((D1252-$D$5)*86400,2)</f>
        <v>167.44</v>
      </c>
      <c r="F1252" s="12" t="n">
        <v>2534</v>
      </c>
      <c r="G1252" s="11" t="str">
        <f aca="false">IF(INDEX(選手一覧!$F$7:$F$2738,$F1252)="","",INDEX(選手一覧!$F$7:$F$2738,$F1252))</f>
        <v/>
      </c>
      <c r="H1252" s="12" t="str">
        <f aca="false">IF(INDEX(選手一覧!$G$7:$G$2738,$F1252)="","",INDEX(選手一覧!$G$7:$G$2738,$F1252))</f>
        <v/>
      </c>
      <c r="I1252" s="11" t="str">
        <f aca="false">IF(INDEX(選手一覧!$H$7:$H$2738,$F1252)="","",INDEX(選手一覧!$H$7:$H$2738,$F1252))</f>
        <v/>
      </c>
      <c r="J1252" s="12" t="str">
        <f aca="false">IF(INDEX(選手一覧!$I$7:$I$2738,$F1252)="","",INDEX(選手一覧!$I$7:$I$2738,$F1252))</f>
        <v/>
      </c>
    </row>
    <row r="1253" customFormat="false" ht="15" hidden="false" customHeight="false" outlineLevel="0" collapsed="false">
      <c r="A1253" s="12" t="n">
        <v>1249</v>
      </c>
      <c r="B1253" s="10" t="s">
        <v>525</v>
      </c>
      <c r="C1253" s="10" t="s">
        <v>312</v>
      </c>
      <c r="D1253" s="11" t="n">
        <v>0.0110791666666667</v>
      </c>
      <c r="E1253" s="18" t="n">
        <f aca="false">ROUND((D1253-$D$5)*86400,2)</f>
        <v>167.5</v>
      </c>
      <c r="F1253" s="12" t="n">
        <v>326</v>
      </c>
      <c r="G1253" s="11" t="n">
        <f aca="false">IF(INDEX(選手一覧!$F$7:$F$2738,$F1253)="","",INDEX(選手一覧!$F$7:$F$2738,$F1253))</f>
        <v>0.00676053240740741</v>
      </c>
      <c r="H1253" s="12" t="n">
        <f aca="false">IF(INDEX(選手一覧!$G$7:$G$2738,$F1253)="","",INDEX(選手一覧!$G$7:$G$2738,$F1253))</f>
        <v>135</v>
      </c>
      <c r="I1253" s="11" t="n">
        <f aca="false">IF(INDEX(選手一覧!$H$7:$H$2738,$F1253)="","",INDEX(選手一覧!$H$7:$H$2738,$F1253))</f>
        <v>0.00285729166666667</v>
      </c>
      <c r="J1253" s="12" t="n">
        <f aca="false">IF(INDEX(選手一覧!$I$7:$I$2738,$F1253)="","",INDEX(選手一覧!$I$7:$I$2738,$F1253))</f>
        <v>617</v>
      </c>
    </row>
    <row r="1254" customFormat="false" ht="15" hidden="false" customHeight="false" outlineLevel="0" collapsed="false">
      <c r="A1254" s="12" t="n">
        <v>1250</v>
      </c>
      <c r="B1254" s="10" t="s">
        <v>3502</v>
      </c>
      <c r="C1254" s="10" t="s">
        <v>585</v>
      </c>
      <c r="D1254" s="11" t="n">
        <v>0.0110797453703704</v>
      </c>
      <c r="E1254" s="18" t="n">
        <f aca="false">ROUND((D1254-$D$5)*86400,2)</f>
        <v>167.55</v>
      </c>
      <c r="F1254" s="12" t="n">
        <v>2472</v>
      </c>
      <c r="G1254" s="11" t="n">
        <f aca="false">IF(INDEX(選手一覧!$F$7:$F$2738,$F1254)="","",INDEX(選手一覧!$F$7:$F$2738,$F1254))</f>
        <v>0.00815219907407407</v>
      </c>
      <c r="H1254" s="12" t="n">
        <f aca="false">IF(INDEX(選手一覧!$G$7:$G$2738,$F1254)="","",INDEX(選手一覧!$G$7:$G$2738,$F1254))</f>
        <v>1219</v>
      </c>
      <c r="I1254" s="11" t="str">
        <f aca="false">IF(INDEX(選手一覧!$H$7:$H$2738,$F1254)="","",INDEX(選手一覧!$H$7:$H$2738,$F1254))</f>
        <v/>
      </c>
      <c r="J1254" s="12" t="str">
        <f aca="false">IF(INDEX(選手一覧!$I$7:$I$2738,$F1254)="","",INDEX(選手一覧!$I$7:$I$2738,$F1254))</f>
        <v/>
      </c>
    </row>
    <row r="1255" customFormat="false" ht="15" hidden="false" customHeight="false" outlineLevel="0" collapsed="false">
      <c r="A1255" s="12" t="n">
        <v>1251</v>
      </c>
      <c r="B1255" s="10" t="s">
        <v>1032</v>
      </c>
      <c r="C1255" s="10" t="s">
        <v>1033</v>
      </c>
      <c r="D1255" s="11" t="n">
        <v>0.0110798611111111</v>
      </c>
      <c r="E1255" s="18" t="n">
        <f aca="false">ROUND((D1255-$D$5)*86400,2)</f>
        <v>167.56</v>
      </c>
      <c r="F1255" s="12" t="n">
        <v>693</v>
      </c>
      <c r="G1255" s="11" t="n">
        <f aca="false">IF(INDEX(選手一覧!$F$7:$F$2738,$F1255)="","",INDEX(選手一覧!$F$7:$F$2738,$F1255))</f>
        <v>0.00696331018518519</v>
      </c>
      <c r="H1255" s="12" t="n">
        <f aca="false">IF(INDEX(選手一覧!$G$7:$G$2738,$F1255)="","",INDEX(選手一覧!$G$7:$G$2738,$F1255))</f>
        <v>297</v>
      </c>
      <c r="I1255" s="11" t="n">
        <f aca="false">IF(INDEX(選手一覧!$H$7:$H$2738,$F1255)="","",INDEX(選手一覧!$H$7:$H$2738,$F1255))</f>
        <v>0.00297743055555556</v>
      </c>
      <c r="J1255" s="12" t="n">
        <f aca="false">IF(INDEX(選手一覧!$I$7:$I$2738,$F1255)="","",INDEX(選手一覧!$I$7:$I$2738,$F1255))</f>
        <v>1343</v>
      </c>
    </row>
    <row r="1256" customFormat="false" ht="15" hidden="false" customHeight="false" outlineLevel="0" collapsed="false">
      <c r="A1256" s="12" t="n">
        <v>1252</v>
      </c>
      <c r="B1256" s="10" t="s">
        <v>2265</v>
      </c>
      <c r="C1256" s="10" t="s">
        <v>358</v>
      </c>
      <c r="D1256" s="11" t="n">
        <v>0.011080787037037</v>
      </c>
      <c r="E1256" s="18" t="n">
        <f aca="false">ROUND((D1256-$D$5)*86400,2)</f>
        <v>167.64</v>
      </c>
      <c r="F1256" s="12" t="n">
        <v>1567</v>
      </c>
      <c r="G1256" s="11" t="str">
        <f aca="false">IF(INDEX(選手一覧!$F$7:$F$2738,$F1256)="","",INDEX(選手一覧!$F$7:$F$2738,$F1256))</f>
        <v/>
      </c>
      <c r="H1256" s="12" t="str">
        <f aca="false">IF(INDEX(選手一覧!$G$7:$G$2738,$F1256)="","",INDEX(選手一覧!$G$7:$G$2738,$F1256))</f>
        <v/>
      </c>
      <c r="I1256" s="11" t="n">
        <f aca="false">IF(INDEX(選手一覧!$H$7:$H$2738,$F1256)="","",INDEX(選手一覧!$H$7:$H$2738,$F1256))</f>
        <v>0.00287696759259259</v>
      </c>
      <c r="J1256" s="12" t="n">
        <f aca="false">IF(INDEX(選手一覧!$I$7:$I$2738,$F1256)="","",INDEX(選手一覧!$I$7:$I$2738,$F1256))</f>
        <v>746</v>
      </c>
    </row>
    <row r="1257" customFormat="false" ht="15" hidden="false" customHeight="false" outlineLevel="0" collapsed="false">
      <c r="A1257" s="12" t="n">
        <v>1253</v>
      </c>
      <c r="B1257" s="10" t="s">
        <v>3594</v>
      </c>
      <c r="C1257" s="10" t="s">
        <v>422</v>
      </c>
      <c r="D1257" s="11" t="n">
        <v>0.011080787037037</v>
      </c>
      <c r="E1257" s="18" t="n">
        <f aca="false">ROUND((D1257-$D$5)*86400,2)</f>
        <v>167.64</v>
      </c>
      <c r="F1257" s="12" t="n">
        <v>2542</v>
      </c>
      <c r="G1257" s="11" t="str">
        <f aca="false">IF(INDEX(選手一覧!$F$7:$F$2738,$F1257)="","",INDEX(選手一覧!$F$7:$F$2738,$F1257))</f>
        <v/>
      </c>
      <c r="H1257" s="12" t="str">
        <f aca="false">IF(INDEX(選手一覧!$G$7:$G$2738,$F1257)="","",INDEX(選手一覧!$G$7:$G$2738,$F1257))</f>
        <v/>
      </c>
      <c r="I1257" s="11" t="str">
        <f aca="false">IF(INDEX(選手一覧!$H$7:$H$2738,$F1257)="","",INDEX(選手一覧!$H$7:$H$2738,$F1257))</f>
        <v/>
      </c>
      <c r="J1257" s="12" t="str">
        <f aca="false">IF(INDEX(選手一覧!$I$7:$I$2738,$F1257)="","",INDEX(選手一覧!$I$7:$I$2738,$F1257))</f>
        <v/>
      </c>
    </row>
    <row r="1258" customFormat="false" ht="15" hidden="false" customHeight="false" outlineLevel="0" collapsed="false">
      <c r="A1258" s="12" t="n">
        <v>1254</v>
      </c>
      <c r="B1258" s="10" t="s">
        <v>3404</v>
      </c>
      <c r="C1258" s="10" t="s">
        <v>2615</v>
      </c>
      <c r="D1258" s="11" t="n">
        <v>0.0110809027777778</v>
      </c>
      <c r="E1258" s="18" t="n">
        <f aca="false">ROUND((D1258-$D$5)*86400,2)</f>
        <v>167.65</v>
      </c>
      <c r="F1258" s="12" t="n">
        <v>2398</v>
      </c>
      <c r="G1258" s="11" t="str">
        <f aca="false">IF(INDEX(選手一覧!$F$7:$F$2738,$F1258)="","",INDEX(選手一覧!$F$7:$F$2738,$F1258))</f>
        <v/>
      </c>
      <c r="H1258" s="12" t="str">
        <f aca="false">IF(INDEX(選手一覧!$G$7:$G$2738,$F1258)="","",INDEX(選手一覧!$G$7:$G$2738,$F1258))</f>
        <v/>
      </c>
      <c r="I1258" s="11" t="n">
        <f aca="false">IF(INDEX(選手一覧!$H$7:$H$2738,$F1258)="","",INDEX(選手一覧!$H$7:$H$2738,$F1258))</f>
        <v>0.00293252314814815</v>
      </c>
      <c r="J1258" s="12" t="n">
        <f aca="false">IF(INDEX(選手一覧!$I$7:$I$2738,$F1258)="","",INDEX(選手一覧!$I$7:$I$2738,$F1258))</f>
        <v>1180</v>
      </c>
    </row>
    <row r="1259" customFormat="false" ht="15" hidden="false" customHeight="false" outlineLevel="0" collapsed="false">
      <c r="A1259" s="12" t="n">
        <v>1255</v>
      </c>
      <c r="B1259" s="10" t="s">
        <v>587</v>
      </c>
      <c r="C1259" s="10" t="s">
        <v>588</v>
      </c>
      <c r="D1259" s="11" t="n">
        <v>0.0110810185185185</v>
      </c>
      <c r="E1259" s="18" t="n">
        <f aca="false">ROUND((D1259-$D$5)*86400,2)</f>
        <v>167.66</v>
      </c>
      <c r="F1259" s="12" t="n">
        <v>371</v>
      </c>
      <c r="G1259" s="11" t="n">
        <f aca="false">IF(INDEX(選手一覧!$F$7:$F$2738,$F1259)="","",INDEX(選手一覧!$F$7:$F$2738,$F1259))</f>
        <v>0.00678206018518519</v>
      </c>
      <c r="H1259" s="12" t="n">
        <f aca="false">IF(INDEX(選手一覧!$G$7:$G$2738,$F1259)="","",INDEX(選手一覧!$G$7:$G$2738,$F1259))</f>
        <v>157</v>
      </c>
      <c r="I1259" s="11" t="n">
        <f aca="false">IF(INDEX(選手一覧!$H$7:$H$2738,$F1259)="","",INDEX(選手一覧!$H$7:$H$2738,$F1259))</f>
        <v>0.00290636574074074</v>
      </c>
      <c r="J1259" s="12" t="n">
        <f aca="false">IF(INDEX(選手一覧!$I$7:$I$2738,$F1259)="","",INDEX(選手一覧!$I$7:$I$2738,$F1259))</f>
        <v>993</v>
      </c>
    </row>
    <row r="1260" customFormat="false" ht="15" hidden="false" customHeight="false" outlineLevel="0" collapsed="false">
      <c r="A1260" s="12" t="n">
        <v>1256</v>
      </c>
      <c r="B1260" s="10" t="s">
        <v>3602</v>
      </c>
      <c r="C1260" s="10" t="s">
        <v>437</v>
      </c>
      <c r="D1260" s="11" t="n">
        <v>0.0110813657407407</v>
      </c>
      <c r="E1260" s="18" t="n">
        <f aca="false">ROUND((D1260-$D$5)*86400,2)</f>
        <v>167.69</v>
      </c>
      <c r="F1260" s="12" t="n">
        <v>2548</v>
      </c>
      <c r="G1260" s="11" t="str">
        <f aca="false">IF(INDEX(選手一覧!$F$7:$F$2738,$F1260)="","",INDEX(選手一覧!$F$7:$F$2738,$F1260))</f>
        <v/>
      </c>
      <c r="H1260" s="12" t="str">
        <f aca="false">IF(INDEX(選手一覧!$G$7:$G$2738,$F1260)="","",INDEX(選手一覧!$G$7:$G$2738,$F1260))</f>
        <v/>
      </c>
      <c r="I1260" s="11" t="str">
        <f aca="false">IF(INDEX(選手一覧!$H$7:$H$2738,$F1260)="","",INDEX(選手一覧!$H$7:$H$2738,$F1260))</f>
        <v/>
      </c>
      <c r="J1260" s="12" t="str">
        <f aca="false">IF(INDEX(選手一覧!$I$7:$I$2738,$F1260)="","",INDEX(選手一覧!$I$7:$I$2738,$F1260))</f>
        <v/>
      </c>
    </row>
    <row r="1261" customFormat="false" ht="15" hidden="false" customHeight="false" outlineLevel="0" collapsed="false">
      <c r="A1261" s="12" t="n">
        <v>1257</v>
      </c>
      <c r="B1261" s="10" t="s">
        <v>512</v>
      </c>
      <c r="C1261" s="10" t="s">
        <v>513</v>
      </c>
      <c r="D1261" s="11" t="n">
        <v>0.0110846064814815</v>
      </c>
      <c r="E1261" s="18" t="n">
        <f aca="false">ROUND((D1261-$D$5)*86400,2)</f>
        <v>167.97</v>
      </c>
      <c r="F1261" s="12" t="n">
        <v>317</v>
      </c>
      <c r="G1261" s="11" t="str">
        <f aca="false">IF(INDEX(選手一覧!$F$7:$F$2738,$F1261)="","",INDEX(選手一覧!$F$7:$F$2738,$F1261))</f>
        <v/>
      </c>
      <c r="H1261" s="12" t="str">
        <f aca="false">IF(INDEX(選手一覧!$G$7:$G$2738,$F1261)="","",INDEX(選手一覧!$G$7:$G$2738,$F1261))</f>
        <v/>
      </c>
      <c r="I1261" s="11" t="n">
        <f aca="false">IF(INDEX(選手一覧!$H$7:$H$2738,$F1261)="","",INDEX(選手一覧!$H$7:$H$2738,$F1261))</f>
        <v>0.00275856481481482</v>
      </c>
      <c r="J1261" s="12" t="n">
        <f aca="false">IF(INDEX(選手一覧!$I$7:$I$2738,$F1261)="","",INDEX(選手一覧!$I$7:$I$2738,$F1261))</f>
        <v>131</v>
      </c>
    </row>
    <row r="1262" customFormat="false" ht="15" hidden="false" customHeight="false" outlineLevel="0" collapsed="false">
      <c r="A1262" s="12" t="n">
        <v>1258</v>
      </c>
      <c r="B1262" s="10" t="s">
        <v>3606</v>
      </c>
      <c r="C1262" s="10" t="s">
        <v>494</v>
      </c>
      <c r="D1262" s="11" t="n">
        <v>0.0110859953703704</v>
      </c>
      <c r="E1262" s="18" t="n">
        <f aca="false">ROUND((D1262-$D$5)*86400,2)</f>
        <v>168.09</v>
      </c>
      <c r="F1262" s="12" t="n">
        <v>2552</v>
      </c>
      <c r="G1262" s="11" t="str">
        <f aca="false">IF(INDEX(選手一覧!$F$7:$F$2738,$F1262)="","",INDEX(選手一覧!$F$7:$F$2738,$F1262))</f>
        <v/>
      </c>
      <c r="H1262" s="12" t="str">
        <f aca="false">IF(INDEX(選手一覧!$G$7:$G$2738,$F1262)="","",INDEX(選手一覧!$G$7:$G$2738,$F1262))</f>
        <v/>
      </c>
      <c r="I1262" s="11" t="n">
        <f aca="false">IF(INDEX(選手一覧!$H$7:$H$2738,$F1262)="","",INDEX(選手一覧!$H$7:$H$2738,$F1262))</f>
        <v>0.00296331018518519</v>
      </c>
      <c r="J1262" s="12" t="n">
        <f aca="false">IF(INDEX(選手一覧!$I$7:$I$2738,$F1262)="","",INDEX(選手一覧!$I$7:$I$2738,$F1262))</f>
        <v>1283</v>
      </c>
    </row>
    <row r="1263" customFormat="false" ht="15" hidden="false" customHeight="false" outlineLevel="0" collapsed="false">
      <c r="A1263" s="12" t="n">
        <v>1259</v>
      </c>
      <c r="B1263" s="10" t="s">
        <v>3609</v>
      </c>
      <c r="C1263" s="10" t="s">
        <v>3610</v>
      </c>
      <c r="D1263" s="11" t="n">
        <v>0.0110873842592593</v>
      </c>
      <c r="E1263" s="18" t="n">
        <f aca="false">ROUND((D1263-$D$5)*86400,2)</f>
        <v>168.21</v>
      </c>
      <c r="F1263" s="12" t="n">
        <v>2554</v>
      </c>
      <c r="G1263" s="11" t="str">
        <f aca="false">IF(INDEX(選手一覧!$F$7:$F$2738,$F1263)="","",INDEX(選手一覧!$F$7:$F$2738,$F1263))</f>
        <v/>
      </c>
      <c r="H1263" s="12" t="str">
        <f aca="false">IF(INDEX(選手一覧!$G$7:$G$2738,$F1263)="","",INDEX(選手一覧!$G$7:$G$2738,$F1263))</f>
        <v/>
      </c>
      <c r="I1263" s="11" t="str">
        <f aca="false">IF(INDEX(選手一覧!$H$7:$H$2738,$F1263)="","",INDEX(選手一覧!$H$7:$H$2738,$F1263))</f>
        <v/>
      </c>
      <c r="J1263" s="12" t="str">
        <f aca="false">IF(INDEX(選手一覧!$I$7:$I$2738,$F1263)="","",INDEX(選手一覧!$I$7:$I$2738,$F1263))</f>
        <v/>
      </c>
    </row>
    <row r="1264" customFormat="false" ht="15" hidden="false" customHeight="false" outlineLevel="0" collapsed="false">
      <c r="A1264" s="12" t="n">
        <v>1260</v>
      </c>
      <c r="B1264" s="10" t="s">
        <v>3612</v>
      </c>
      <c r="C1264" s="10" t="s">
        <v>350</v>
      </c>
      <c r="D1264" s="11" t="n">
        <v>0.0110885416666667</v>
      </c>
      <c r="E1264" s="18" t="n">
        <f aca="false">ROUND((D1264-$D$5)*86400,2)</f>
        <v>168.31</v>
      </c>
      <c r="F1264" s="12" t="n">
        <v>2556</v>
      </c>
      <c r="G1264" s="11" t="str">
        <f aca="false">IF(INDEX(選手一覧!$F$7:$F$2738,$F1264)="","",INDEX(選手一覧!$F$7:$F$2738,$F1264))</f>
        <v/>
      </c>
      <c r="H1264" s="12" t="str">
        <f aca="false">IF(INDEX(選手一覧!$G$7:$G$2738,$F1264)="","",INDEX(選手一覧!$G$7:$G$2738,$F1264))</f>
        <v/>
      </c>
      <c r="I1264" s="11" t="str">
        <f aca="false">IF(INDEX(選手一覧!$H$7:$H$2738,$F1264)="","",INDEX(選手一覧!$H$7:$H$2738,$F1264))</f>
        <v/>
      </c>
      <c r="J1264" s="12" t="str">
        <f aca="false">IF(INDEX(選手一覧!$I$7:$I$2738,$F1264)="","",INDEX(選手一覧!$I$7:$I$2738,$F1264))</f>
        <v/>
      </c>
    </row>
    <row r="1265" customFormat="false" ht="15" hidden="false" customHeight="false" outlineLevel="0" collapsed="false">
      <c r="A1265" s="12" t="n">
        <v>1261</v>
      </c>
      <c r="B1265" s="10" t="s">
        <v>3615</v>
      </c>
      <c r="C1265" s="10" t="s">
        <v>41</v>
      </c>
      <c r="D1265" s="11" t="n">
        <v>0.0110905092592593</v>
      </c>
      <c r="E1265" s="18" t="n">
        <f aca="false">ROUND((D1265-$D$5)*86400,2)</f>
        <v>168.48</v>
      </c>
      <c r="F1265" s="12" t="n">
        <v>2559</v>
      </c>
      <c r="G1265" s="11" t="str">
        <f aca="false">IF(INDEX(選手一覧!$F$7:$F$2738,$F1265)="","",INDEX(選手一覧!$F$7:$F$2738,$F1265))</f>
        <v/>
      </c>
      <c r="H1265" s="12" t="str">
        <f aca="false">IF(INDEX(選手一覧!$G$7:$G$2738,$F1265)="","",INDEX(選手一覧!$G$7:$G$2738,$F1265))</f>
        <v/>
      </c>
      <c r="I1265" s="11" t="str">
        <f aca="false">IF(INDEX(選手一覧!$H$7:$H$2738,$F1265)="","",INDEX(選手一覧!$H$7:$H$2738,$F1265))</f>
        <v/>
      </c>
      <c r="J1265" s="12" t="str">
        <f aca="false">IF(INDEX(選手一覧!$I$7:$I$2738,$F1265)="","",INDEX(選手一覧!$I$7:$I$2738,$F1265))</f>
        <v/>
      </c>
    </row>
    <row r="1266" customFormat="false" ht="15" hidden="false" customHeight="false" outlineLevel="0" collapsed="false">
      <c r="A1266" s="12" t="n">
        <v>1262</v>
      </c>
      <c r="B1266" s="10" t="s">
        <v>2178</v>
      </c>
      <c r="C1266" s="10" t="s">
        <v>302</v>
      </c>
      <c r="D1266" s="11" t="n">
        <v>0.0110917824074074</v>
      </c>
      <c r="E1266" s="18" t="n">
        <f aca="false">ROUND((D1266-$D$5)*86400,2)</f>
        <v>168.59</v>
      </c>
      <c r="F1266" s="12" t="n">
        <v>1507</v>
      </c>
      <c r="G1266" s="11" t="n">
        <f aca="false">IF(INDEX(選手一覧!$F$7:$F$2738,$F1266)="","",INDEX(選手一覧!$F$7:$F$2738,$F1266))</f>
        <v>0.0073556712962963</v>
      </c>
      <c r="H1266" s="12" t="n">
        <f aca="false">IF(INDEX(選手一覧!$G$7:$G$2738,$F1266)="","",INDEX(選手一覧!$G$7:$G$2738,$F1266))</f>
        <v>716</v>
      </c>
      <c r="I1266" s="11" t="str">
        <f aca="false">IF(INDEX(選手一覧!$H$7:$H$2738,$F1266)="","",INDEX(選手一覧!$H$7:$H$2738,$F1266))</f>
        <v/>
      </c>
      <c r="J1266" s="12" t="str">
        <f aca="false">IF(INDEX(選手一覧!$I$7:$I$2738,$F1266)="","",INDEX(選手一覧!$I$7:$I$2738,$F1266))</f>
        <v/>
      </c>
    </row>
    <row r="1267" customFormat="false" ht="15" hidden="false" customHeight="false" outlineLevel="0" collapsed="false">
      <c r="A1267" s="12" t="n">
        <v>1263</v>
      </c>
      <c r="B1267" s="10" t="s">
        <v>3620</v>
      </c>
      <c r="C1267" s="10" t="s">
        <v>1231</v>
      </c>
      <c r="D1267" s="11" t="n">
        <v>0.0110930555555556</v>
      </c>
      <c r="E1267" s="18" t="n">
        <f aca="false">ROUND((D1267-$D$5)*86400,2)</f>
        <v>168.7</v>
      </c>
      <c r="F1267" s="12" t="n">
        <v>2563</v>
      </c>
      <c r="G1267" s="11" t="str">
        <f aca="false">IF(INDEX(選手一覧!$F$7:$F$2738,$F1267)="","",INDEX(選手一覧!$F$7:$F$2738,$F1267))</f>
        <v/>
      </c>
      <c r="H1267" s="12" t="str">
        <f aca="false">IF(INDEX(選手一覧!$G$7:$G$2738,$F1267)="","",INDEX(選手一覧!$G$7:$G$2738,$F1267))</f>
        <v/>
      </c>
      <c r="I1267" s="11" t="str">
        <f aca="false">IF(INDEX(選手一覧!$H$7:$H$2738,$F1267)="","",INDEX(選手一覧!$H$7:$H$2738,$F1267))</f>
        <v/>
      </c>
      <c r="J1267" s="12" t="str">
        <f aca="false">IF(INDEX(選手一覧!$I$7:$I$2738,$F1267)="","",INDEX(選手一覧!$I$7:$I$2738,$F1267))</f>
        <v/>
      </c>
    </row>
    <row r="1268" customFormat="false" ht="15" hidden="false" customHeight="false" outlineLevel="0" collapsed="false">
      <c r="A1268" s="12" t="n">
        <v>1264</v>
      </c>
      <c r="B1268" s="10" t="s">
        <v>3503</v>
      </c>
      <c r="C1268" s="10" t="s">
        <v>312</v>
      </c>
      <c r="D1268" s="11" t="n">
        <v>0.0110935185185185</v>
      </c>
      <c r="E1268" s="18" t="n">
        <f aca="false">ROUND((D1268-$D$5)*86400,2)</f>
        <v>168.74</v>
      </c>
      <c r="F1268" s="12" t="n">
        <v>2473</v>
      </c>
      <c r="G1268" s="11" t="str">
        <f aca="false">IF(INDEX(選手一覧!$F$7:$F$2738,$F1268)="","",INDEX(選手一覧!$F$7:$F$2738,$F1268))</f>
        <v/>
      </c>
      <c r="H1268" s="12" t="str">
        <f aca="false">IF(INDEX(選手一覧!$G$7:$G$2738,$F1268)="","",INDEX(選手一覧!$G$7:$G$2738,$F1268))</f>
        <v/>
      </c>
      <c r="I1268" s="11" t="n">
        <f aca="false">IF(INDEX(選手一覧!$H$7:$H$2738,$F1268)="","",INDEX(選手一覧!$H$7:$H$2738,$F1268))</f>
        <v>0.00294571759259259</v>
      </c>
      <c r="J1268" s="12" t="n">
        <f aca="false">IF(INDEX(選手一覧!$I$7:$I$2738,$F1268)="","",INDEX(選手一覧!$I$7:$I$2738,$F1268))</f>
        <v>1219</v>
      </c>
    </row>
    <row r="1269" customFormat="false" ht="15" hidden="false" customHeight="false" outlineLevel="0" collapsed="false">
      <c r="A1269" s="12" t="n">
        <v>1265</v>
      </c>
      <c r="B1269" s="10" t="s">
        <v>3624</v>
      </c>
      <c r="C1269" s="10" t="s">
        <v>377</v>
      </c>
      <c r="D1269" s="11" t="n">
        <v>0.0110959490740741</v>
      </c>
      <c r="E1269" s="18" t="n">
        <f aca="false">ROUND((D1269-$D$5)*86400,2)</f>
        <v>168.95</v>
      </c>
      <c r="F1269" s="12" t="n">
        <v>2566</v>
      </c>
      <c r="G1269" s="11" t="str">
        <f aca="false">IF(INDEX(選手一覧!$F$7:$F$2738,$F1269)="","",INDEX(選手一覧!$F$7:$F$2738,$F1269))</f>
        <v/>
      </c>
      <c r="H1269" s="12" t="str">
        <f aca="false">IF(INDEX(選手一覧!$G$7:$G$2738,$F1269)="","",INDEX(選手一覧!$G$7:$G$2738,$F1269))</f>
        <v/>
      </c>
      <c r="I1269" s="11" t="str">
        <f aca="false">IF(INDEX(選手一覧!$H$7:$H$2738,$F1269)="","",INDEX(選手一覧!$H$7:$H$2738,$F1269))</f>
        <v/>
      </c>
      <c r="J1269" s="12" t="str">
        <f aca="false">IF(INDEX(選手一覧!$I$7:$I$2738,$F1269)="","",INDEX(選手一覧!$I$7:$I$2738,$F1269))</f>
        <v/>
      </c>
    </row>
    <row r="1270" customFormat="false" ht="15" hidden="false" customHeight="false" outlineLevel="0" collapsed="false">
      <c r="A1270" s="12" t="n">
        <v>1266</v>
      </c>
      <c r="B1270" s="10" t="s">
        <v>3627</v>
      </c>
      <c r="C1270" s="10" t="s">
        <v>462</v>
      </c>
      <c r="D1270" s="11" t="n">
        <v>0.0110967592592593</v>
      </c>
      <c r="E1270" s="18" t="n">
        <f aca="false">ROUND((D1270-$D$5)*86400,2)</f>
        <v>169.02</v>
      </c>
      <c r="F1270" s="12" t="n">
        <v>2569</v>
      </c>
      <c r="G1270" s="11" t="str">
        <f aca="false">IF(INDEX(選手一覧!$F$7:$F$2738,$F1270)="","",INDEX(選手一覧!$F$7:$F$2738,$F1270))</f>
        <v/>
      </c>
      <c r="H1270" s="12" t="str">
        <f aca="false">IF(INDEX(選手一覧!$G$7:$G$2738,$F1270)="","",INDEX(選手一覧!$G$7:$G$2738,$F1270))</f>
        <v/>
      </c>
      <c r="I1270" s="11" t="str">
        <f aca="false">IF(INDEX(選手一覧!$H$7:$H$2738,$F1270)="","",INDEX(選手一覧!$H$7:$H$2738,$F1270))</f>
        <v/>
      </c>
      <c r="J1270" s="12" t="str">
        <f aca="false">IF(INDEX(選手一覧!$I$7:$I$2738,$F1270)="","",INDEX(選手一覧!$I$7:$I$2738,$F1270))</f>
        <v/>
      </c>
    </row>
    <row r="1271" customFormat="false" ht="15" hidden="false" customHeight="false" outlineLevel="0" collapsed="false">
      <c r="A1271" s="12" t="n">
        <v>1267</v>
      </c>
      <c r="B1271" s="10" t="s">
        <v>3630</v>
      </c>
      <c r="C1271" s="10" t="s">
        <v>141</v>
      </c>
      <c r="D1271" s="11" t="n">
        <v>0.0110979166666667</v>
      </c>
      <c r="E1271" s="18" t="n">
        <f aca="false">ROUND((D1271-$D$5)*86400,2)</f>
        <v>169.12</v>
      </c>
      <c r="F1271" s="12" t="n">
        <v>2571</v>
      </c>
      <c r="G1271" s="11" t="str">
        <f aca="false">IF(INDEX(選手一覧!$F$7:$F$2738,$F1271)="","",INDEX(選手一覧!$F$7:$F$2738,$F1271))</f>
        <v/>
      </c>
      <c r="H1271" s="12" t="str">
        <f aca="false">IF(INDEX(選手一覧!$G$7:$G$2738,$F1271)="","",INDEX(選手一覧!$G$7:$G$2738,$F1271))</f>
        <v/>
      </c>
      <c r="I1271" s="11" t="str">
        <f aca="false">IF(INDEX(選手一覧!$H$7:$H$2738,$F1271)="","",INDEX(選手一覧!$H$7:$H$2738,$F1271))</f>
        <v/>
      </c>
      <c r="J1271" s="12" t="str">
        <f aca="false">IF(INDEX(選手一覧!$I$7:$I$2738,$F1271)="","",INDEX(選手一覧!$I$7:$I$2738,$F1271))</f>
        <v/>
      </c>
    </row>
    <row r="1272" customFormat="false" ht="15" hidden="false" customHeight="false" outlineLevel="0" collapsed="false">
      <c r="A1272" s="12" t="n">
        <v>1268</v>
      </c>
      <c r="B1272" s="10" t="s">
        <v>2419</v>
      </c>
      <c r="C1272" s="10" t="s">
        <v>195</v>
      </c>
      <c r="D1272" s="11" t="n">
        <v>0.0110979166666667</v>
      </c>
      <c r="E1272" s="18" t="n">
        <f aca="false">ROUND((D1272-$D$5)*86400,2)</f>
        <v>169.12</v>
      </c>
      <c r="F1272" s="12" t="n">
        <v>1683</v>
      </c>
      <c r="G1272" s="11" t="n">
        <f aca="false">IF(INDEX(選手一覧!$F$7:$F$2738,$F1272)="","",INDEX(選手一覧!$F$7:$F$2738,$F1272))</f>
        <v>0.00742951388888889</v>
      </c>
      <c r="H1272" s="12" t="n">
        <f aca="false">IF(INDEX(選手一覧!$G$7:$G$2738,$F1272)="","",INDEX(選手一覧!$G$7:$G$2738,$F1272))</f>
        <v>804</v>
      </c>
      <c r="I1272" s="11" t="n">
        <f aca="false">IF(INDEX(選手一覧!$H$7:$H$2738,$F1272)="","",INDEX(選手一覧!$H$7:$H$2738,$F1272))</f>
        <v>0.00291412037037037</v>
      </c>
      <c r="J1272" s="12" t="n">
        <f aca="false">IF(INDEX(選手一覧!$I$7:$I$2738,$F1272)="","",INDEX(選手一覧!$I$7:$I$2738,$F1272))</f>
        <v>1051</v>
      </c>
    </row>
    <row r="1273" customFormat="false" ht="15" hidden="false" customHeight="false" outlineLevel="0" collapsed="false">
      <c r="A1273" s="12" t="n">
        <v>1269</v>
      </c>
      <c r="B1273" s="10" t="s">
        <v>3637</v>
      </c>
      <c r="C1273" s="10" t="s">
        <v>179</v>
      </c>
      <c r="D1273" s="11" t="n">
        <v>0.0110981481481482</v>
      </c>
      <c r="E1273" s="18" t="n">
        <f aca="false">ROUND((D1273-$D$5)*86400,2)</f>
        <v>169.14</v>
      </c>
      <c r="F1273" s="12" t="n">
        <v>2576</v>
      </c>
      <c r="G1273" s="11" t="str">
        <f aca="false">IF(INDEX(選手一覧!$F$7:$F$2738,$F1273)="","",INDEX(選手一覧!$F$7:$F$2738,$F1273))</f>
        <v/>
      </c>
      <c r="H1273" s="12" t="str">
        <f aca="false">IF(INDEX(選手一覧!$G$7:$G$2738,$F1273)="","",INDEX(選手一覧!$G$7:$G$2738,$F1273))</f>
        <v/>
      </c>
      <c r="I1273" s="11" t="str">
        <f aca="false">IF(INDEX(選手一覧!$H$7:$H$2738,$F1273)="","",INDEX(選手一覧!$H$7:$H$2738,$F1273))</f>
        <v/>
      </c>
      <c r="J1273" s="12" t="str">
        <f aca="false">IF(INDEX(選手一覧!$I$7:$I$2738,$F1273)="","",INDEX(選手一覧!$I$7:$I$2738,$F1273))</f>
        <v/>
      </c>
    </row>
    <row r="1274" customFormat="false" ht="15" hidden="false" customHeight="false" outlineLevel="0" collapsed="false">
      <c r="A1274" s="12" t="n">
        <v>1270</v>
      </c>
      <c r="B1274" s="10" t="s">
        <v>2179</v>
      </c>
      <c r="C1274" s="10" t="s">
        <v>2024</v>
      </c>
      <c r="D1274" s="11" t="n">
        <v>0.0110993055555556</v>
      </c>
      <c r="E1274" s="18" t="n">
        <f aca="false">ROUND((D1274-$D$5)*86400,2)</f>
        <v>169.24</v>
      </c>
      <c r="F1274" s="12" t="n">
        <v>1508</v>
      </c>
      <c r="G1274" s="11" t="str">
        <f aca="false">IF(INDEX(選手一覧!$F$7:$F$2738,$F1274)="","",INDEX(選手一覧!$F$7:$F$2738,$F1274))</f>
        <v/>
      </c>
      <c r="H1274" s="12" t="str">
        <f aca="false">IF(INDEX(選手一覧!$G$7:$G$2738,$F1274)="","",INDEX(選手一覧!$G$7:$G$2738,$F1274))</f>
        <v/>
      </c>
      <c r="I1274" s="11" t="n">
        <f aca="false">IF(INDEX(選手一覧!$H$7:$H$2738,$F1274)="","",INDEX(選手一覧!$H$7:$H$2738,$F1274))</f>
        <v>0.002871875</v>
      </c>
      <c r="J1274" s="12" t="n">
        <f aca="false">IF(INDEX(選手一覧!$I$7:$I$2738,$F1274)="","",INDEX(選手一覧!$I$7:$I$2738,$F1274))</f>
        <v>716</v>
      </c>
    </row>
    <row r="1275" customFormat="false" ht="15" hidden="false" customHeight="false" outlineLevel="0" collapsed="false">
      <c r="A1275" s="12" t="n">
        <v>1271</v>
      </c>
      <c r="B1275" s="10" t="s">
        <v>3258</v>
      </c>
      <c r="C1275" s="10" t="s">
        <v>2041</v>
      </c>
      <c r="D1275" s="11" t="n">
        <v>0.0111005787037037</v>
      </c>
      <c r="E1275" s="18" t="n">
        <f aca="false">ROUND((D1275-$D$5)*86400,2)</f>
        <v>169.35</v>
      </c>
      <c r="F1275" s="12" t="n">
        <v>2293</v>
      </c>
      <c r="G1275" s="11" t="str">
        <f aca="false">IF(INDEX(選手一覧!$F$7:$F$2738,$F1275)="","",INDEX(選手一覧!$F$7:$F$2738,$F1275))</f>
        <v/>
      </c>
      <c r="H1275" s="12" t="str">
        <f aca="false">IF(INDEX(選手一覧!$G$7:$G$2738,$F1275)="","",INDEX(選手一覧!$G$7:$G$2738,$F1275))</f>
        <v/>
      </c>
      <c r="I1275" s="11" t="n">
        <f aca="false">IF(INDEX(選手一覧!$H$7:$H$2738,$F1275)="","",INDEX(選手一覧!$H$7:$H$2738,$F1275))</f>
        <v>0.00292291666666667</v>
      </c>
      <c r="J1275" s="12" t="n">
        <f aca="false">IF(INDEX(選手一覧!$I$7:$I$2738,$F1275)="","",INDEX(選手一覧!$I$7:$I$2738,$F1275))</f>
        <v>1123</v>
      </c>
    </row>
    <row r="1276" customFormat="false" ht="15" hidden="false" customHeight="false" outlineLevel="0" collapsed="false">
      <c r="A1276" s="12" t="n">
        <v>1272</v>
      </c>
      <c r="B1276" s="10" t="s">
        <v>3642</v>
      </c>
      <c r="C1276" s="10" t="s">
        <v>257</v>
      </c>
      <c r="D1276" s="11" t="n">
        <v>0.0111009259259259</v>
      </c>
      <c r="E1276" s="18" t="n">
        <f aca="false">ROUND((D1276-$D$5)*86400,2)</f>
        <v>169.38</v>
      </c>
      <c r="F1276" s="12" t="n">
        <v>2581</v>
      </c>
      <c r="G1276" s="11" t="str">
        <f aca="false">IF(INDEX(選手一覧!$F$7:$F$2738,$F1276)="","",INDEX(選手一覧!$F$7:$F$2738,$F1276))</f>
        <v/>
      </c>
      <c r="H1276" s="12" t="str">
        <f aca="false">IF(INDEX(選手一覧!$G$7:$G$2738,$F1276)="","",INDEX(選手一覧!$G$7:$G$2738,$F1276))</f>
        <v/>
      </c>
      <c r="I1276" s="11" t="str">
        <f aca="false">IF(INDEX(選手一覧!$H$7:$H$2738,$F1276)="","",INDEX(選手一覧!$H$7:$H$2738,$F1276))</f>
        <v/>
      </c>
      <c r="J1276" s="12" t="str">
        <f aca="false">IF(INDEX(選手一覧!$I$7:$I$2738,$F1276)="","",INDEX(選手一覧!$I$7:$I$2738,$F1276))</f>
        <v/>
      </c>
    </row>
    <row r="1277" customFormat="false" ht="15" hidden="false" customHeight="false" outlineLevel="0" collapsed="false">
      <c r="A1277" s="12" t="n">
        <v>1273</v>
      </c>
      <c r="B1277" s="10" t="s">
        <v>3646</v>
      </c>
      <c r="C1277" s="10" t="s">
        <v>107</v>
      </c>
      <c r="D1277" s="11" t="n">
        <v>0.0111009259259259</v>
      </c>
      <c r="E1277" s="18" t="n">
        <f aca="false">ROUND((D1277-$D$5)*86400,2)</f>
        <v>169.38</v>
      </c>
      <c r="F1277" s="12" t="n">
        <v>2584</v>
      </c>
      <c r="G1277" s="11" t="str">
        <f aca="false">IF(INDEX(選手一覧!$F$7:$F$2738,$F1277)="","",INDEX(選手一覧!$F$7:$F$2738,$F1277))</f>
        <v/>
      </c>
      <c r="H1277" s="12" t="str">
        <f aca="false">IF(INDEX(選手一覧!$G$7:$G$2738,$F1277)="","",INDEX(選手一覧!$G$7:$G$2738,$F1277))</f>
        <v/>
      </c>
      <c r="I1277" s="11" t="str">
        <f aca="false">IF(INDEX(選手一覧!$H$7:$H$2738,$F1277)="","",INDEX(選手一覧!$H$7:$H$2738,$F1277))</f>
        <v/>
      </c>
      <c r="J1277" s="12" t="str">
        <f aca="false">IF(INDEX(選手一覧!$I$7:$I$2738,$F1277)="","",INDEX(選手一覧!$I$7:$I$2738,$F1277))</f>
        <v/>
      </c>
    </row>
    <row r="1278" customFormat="false" ht="15" hidden="false" customHeight="false" outlineLevel="0" collapsed="false">
      <c r="A1278" s="12" t="n">
        <v>1274</v>
      </c>
      <c r="B1278" s="10" t="s">
        <v>3648</v>
      </c>
      <c r="C1278" s="10" t="s">
        <v>857</v>
      </c>
      <c r="D1278" s="11" t="n">
        <v>0.0111020833333333</v>
      </c>
      <c r="E1278" s="18" t="n">
        <f aca="false">ROUND((D1278-$D$5)*86400,2)</f>
        <v>169.48</v>
      </c>
      <c r="F1278" s="12" t="n">
        <v>2586</v>
      </c>
      <c r="G1278" s="11" t="str">
        <f aca="false">IF(INDEX(選手一覧!$F$7:$F$2738,$F1278)="","",INDEX(選手一覧!$F$7:$F$2738,$F1278))</f>
        <v/>
      </c>
      <c r="H1278" s="12" t="str">
        <f aca="false">IF(INDEX(選手一覧!$G$7:$G$2738,$F1278)="","",INDEX(選手一覧!$G$7:$G$2738,$F1278))</f>
        <v/>
      </c>
      <c r="I1278" s="11" t="str">
        <f aca="false">IF(INDEX(選手一覧!$H$7:$H$2738,$F1278)="","",INDEX(選手一覧!$H$7:$H$2738,$F1278))</f>
        <v/>
      </c>
      <c r="J1278" s="12" t="str">
        <f aca="false">IF(INDEX(選手一覧!$I$7:$I$2738,$F1278)="","",INDEX(選手一覧!$I$7:$I$2738,$F1278))</f>
        <v/>
      </c>
    </row>
    <row r="1279" customFormat="false" ht="15" hidden="false" customHeight="false" outlineLevel="0" collapsed="false">
      <c r="A1279" s="12" t="n">
        <v>1275</v>
      </c>
      <c r="B1279" s="10" t="s">
        <v>3651</v>
      </c>
      <c r="C1279" s="10" t="s">
        <v>460</v>
      </c>
      <c r="D1279" s="11" t="n">
        <v>0.011102662037037</v>
      </c>
      <c r="E1279" s="18" t="n">
        <f aca="false">ROUND((D1279-$D$5)*86400,2)</f>
        <v>169.53</v>
      </c>
      <c r="F1279" s="12" t="n">
        <v>2588</v>
      </c>
      <c r="G1279" s="11" t="str">
        <f aca="false">IF(INDEX(選手一覧!$F$7:$F$2738,$F1279)="","",INDEX(選手一覧!$F$7:$F$2738,$F1279))</f>
        <v/>
      </c>
      <c r="H1279" s="12" t="str">
        <f aca="false">IF(INDEX(選手一覧!$G$7:$G$2738,$F1279)="","",INDEX(選手一覧!$G$7:$G$2738,$F1279))</f>
        <v/>
      </c>
      <c r="I1279" s="11" t="str">
        <f aca="false">IF(INDEX(選手一覧!$H$7:$H$2738,$F1279)="","",INDEX(選手一覧!$H$7:$H$2738,$F1279))</f>
        <v/>
      </c>
      <c r="J1279" s="12" t="str">
        <f aca="false">IF(INDEX(選手一覧!$I$7:$I$2738,$F1279)="","",INDEX(選手一覧!$I$7:$I$2738,$F1279))</f>
        <v/>
      </c>
    </row>
    <row r="1280" customFormat="false" ht="15" hidden="false" customHeight="false" outlineLevel="0" collapsed="false">
      <c r="A1280" s="12" t="n">
        <v>1276</v>
      </c>
      <c r="B1280" s="10" t="s">
        <v>285</v>
      </c>
      <c r="C1280" s="10" t="s">
        <v>286</v>
      </c>
      <c r="D1280" s="11" t="n">
        <v>0.0111055555555556</v>
      </c>
      <c r="E1280" s="18" t="n">
        <f aca="false">ROUND((D1280-$D$5)*86400,2)</f>
        <v>169.78</v>
      </c>
      <c r="F1280" s="12" t="n">
        <v>160</v>
      </c>
      <c r="G1280" s="11" t="str">
        <f aca="false">IF(INDEX(選手一覧!$F$7:$F$2738,$F1280)="","",INDEX(選手一覧!$F$7:$F$2738,$F1280))</f>
        <v/>
      </c>
      <c r="H1280" s="12" t="str">
        <f aca="false">IF(INDEX(選手一覧!$G$7:$G$2738,$F1280)="","",INDEX(選手一覧!$G$7:$G$2738,$F1280))</f>
        <v/>
      </c>
      <c r="I1280" s="11" t="n">
        <f aca="false">IF(INDEX(選手一覧!$H$7:$H$2738,$F1280)="","",INDEX(選手一覧!$H$7:$H$2738,$F1280))</f>
        <v>0.00272905092592593</v>
      </c>
      <c r="J1280" s="12" t="n">
        <f aca="false">IF(INDEX(選手一覧!$I$7:$I$2738,$F1280)="","",INDEX(選手一覧!$I$7:$I$2738,$F1280))</f>
        <v>64</v>
      </c>
    </row>
    <row r="1281" customFormat="false" ht="15" hidden="false" customHeight="false" outlineLevel="0" collapsed="false">
      <c r="A1281" s="12" t="n">
        <v>1277</v>
      </c>
      <c r="B1281" s="10" t="s">
        <v>421</v>
      </c>
      <c r="C1281" s="10" t="s">
        <v>422</v>
      </c>
      <c r="D1281" s="11" t="n">
        <v>0.0111061342592593</v>
      </c>
      <c r="E1281" s="18" t="n">
        <f aca="false">ROUND((D1281-$D$5)*86400,2)</f>
        <v>169.83</v>
      </c>
      <c r="F1281" s="12" t="n">
        <v>256</v>
      </c>
      <c r="G1281" s="11" t="n">
        <f aca="false">IF(INDEX(選手一覧!$F$7:$F$2738,$F1281)="","",INDEX(選手一覧!$F$7:$F$2738,$F1281))</f>
        <v>0.00669803240740741</v>
      </c>
      <c r="H1281" s="12" t="n">
        <f aca="false">IF(INDEX(選手一覧!$G$7:$G$2738,$F1281)="","",INDEX(選手一覧!$G$7:$G$2738,$F1281))</f>
        <v>106</v>
      </c>
      <c r="I1281" s="11" t="str">
        <f aca="false">IF(INDEX(選手一覧!$H$7:$H$2738,$F1281)="","",INDEX(選手一覧!$H$7:$H$2738,$F1281))</f>
        <v/>
      </c>
      <c r="J1281" s="12" t="str">
        <f aca="false">IF(INDEX(選手一覧!$I$7:$I$2738,$F1281)="","",INDEX(選手一覧!$I$7:$I$2738,$F1281))</f>
        <v/>
      </c>
    </row>
    <row r="1282" customFormat="false" ht="15" hidden="false" customHeight="false" outlineLevel="0" collapsed="false">
      <c r="A1282" s="12" t="n">
        <v>1278</v>
      </c>
      <c r="B1282" s="10" t="s">
        <v>1129</v>
      </c>
      <c r="C1282" s="10" t="s">
        <v>1130</v>
      </c>
      <c r="D1282" s="11" t="n">
        <v>0.0111101851851852</v>
      </c>
      <c r="E1282" s="18" t="n">
        <f aca="false">ROUND((D1282-$D$5)*86400,2)</f>
        <v>170.18</v>
      </c>
      <c r="F1282" s="12" t="n">
        <v>762</v>
      </c>
      <c r="G1282" s="11" t="n">
        <f aca="false">IF(INDEX(選手一覧!$F$7:$F$2738,$F1282)="","",INDEX(選手一覧!$F$7:$F$2738,$F1282))</f>
        <v>0.00699606481481482</v>
      </c>
      <c r="H1282" s="12" t="n">
        <f aca="false">IF(INDEX(選手一覧!$G$7:$G$2738,$F1282)="","",INDEX(選手一覧!$G$7:$G$2738,$F1282))</f>
        <v>330</v>
      </c>
      <c r="I1282" s="11" t="str">
        <f aca="false">IF(INDEX(選手一覧!$H$7:$H$2738,$F1282)="","",INDEX(選手一覧!$H$7:$H$2738,$F1282))</f>
        <v/>
      </c>
      <c r="J1282" s="12" t="str">
        <f aca="false">IF(INDEX(選手一覧!$I$7:$I$2738,$F1282)="","",INDEX(選手一覧!$I$7:$I$2738,$F1282))</f>
        <v/>
      </c>
    </row>
    <row r="1283" customFormat="false" ht="15" hidden="false" customHeight="false" outlineLevel="0" collapsed="false">
      <c r="A1283" s="12" t="n">
        <v>1279</v>
      </c>
      <c r="B1283" s="10" t="s">
        <v>2040</v>
      </c>
      <c r="C1283" s="10" t="s">
        <v>2041</v>
      </c>
      <c r="D1283" s="11" t="n">
        <v>0.0111123842592593</v>
      </c>
      <c r="E1283" s="18" t="n">
        <f aca="false">ROUND((D1283-$D$5)*86400,2)</f>
        <v>170.37</v>
      </c>
      <c r="F1283" s="12" t="n">
        <v>1410</v>
      </c>
      <c r="G1283" s="11" t="str">
        <f aca="false">IF(INDEX(選手一覧!$F$7:$F$2738,$F1283)="","",INDEX(選手一覧!$F$7:$F$2738,$F1283))</f>
        <v/>
      </c>
      <c r="H1283" s="12" t="str">
        <f aca="false">IF(INDEX(選手一覧!$G$7:$G$2738,$F1283)="","",INDEX(選手一覧!$G$7:$G$2738,$F1283))</f>
        <v/>
      </c>
      <c r="I1283" s="11" t="n">
        <f aca="false">IF(INDEX(選手一覧!$H$7:$H$2738,$F1283)="","",INDEX(選手一覧!$H$7:$H$2738,$F1283))</f>
        <v>0.00286469907407407</v>
      </c>
      <c r="J1283" s="12" t="n">
        <f aca="false">IF(INDEX(選手一覧!$I$7:$I$2738,$F1283)="","",INDEX(選手一覧!$I$7:$I$2738,$F1283))</f>
        <v>664</v>
      </c>
    </row>
    <row r="1284" customFormat="false" ht="15" hidden="false" customHeight="false" outlineLevel="0" collapsed="false">
      <c r="A1284" s="12" t="n">
        <v>1280</v>
      </c>
      <c r="B1284" s="10" t="s">
        <v>2431</v>
      </c>
      <c r="C1284" s="10" t="s">
        <v>823</v>
      </c>
      <c r="D1284" s="11" t="n">
        <v>0.0111150462962963</v>
      </c>
      <c r="E1284" s="18" t="n">
        <f aca="false">ROUND((D1284-$D$5)*86400,2)</f>
        <v>170.6</v>
      </c>
      <c r="F1284" s="12" t="n">
        <v>1692</v>
      </c>
      <c r="G1284" s="11" t="str">
        <f aca="false">IF(INDEX(選手一覧!$F$7:$F$2738,$F1284)="","",INDEX(選手一覧!$F$7:$F$2738,$F1284))</f>
        <v/>
      </c>
      <c r="H1284" s="12" t="str">
        <f aca="false">IF(INDEX(選手一覧!$G$7:$G$2738,$F1284)="","",INDEX(選手一覧!$G$7:$G$2738,$F1284))</f>
        <v/>
      </c>
      <c r="I1284" s="11" t="n">
        <f aca="false">IF(INDEX(選手一覧!$H$7:$H$2738,$F1284)="","",INDEX(選手一覧!$H$7:$H$2738,$F1284))</f>
        <v>0.00288425925925926</v>
      </c>
      <c r="J1284" s="12" t="n">
        <f aca="false">IF(INDEX(選手一覧!$I$7:$I$2738,$F1284)="","",INDEX(選手一覧!$I$7:$I$2738,$F1284))</f>
        <v>809</v>
      </c>
    </row>
    <row r="1285" customFormat="false" ht="15" hidden="false" customHeight="false" outlineLevel="0" collapsed="false">
      <c r="A1285" s="12" t="n">
        <v>1281</v>
      </c>
      <c r="B1285" s="10" t="s">
        <v>3665</v>
      </c>
      <c r="C1285" s="10" t="s">
        <v>3352</v>
      </c>
      <c r="D1285" s="11" t="n">
        <v>0.0111152777777778</v>
      </c>
      <c r="E1285" s="18" t="n">
        <f aca="false">ROUND((D1285-$D$5)*86400,2)</f>
        <v>170.62</v>
      </c>
      <c r="F1285" s="12" t="n">
        <v>2598</v>
      </c>
      <c r="G1285" s="11" t="str">
        <f aca="false">IF(INDEX(選手一覧!$F$7:$F$2738,$F1285)="","",INDEX(選手一覧!$F$7:$F$2738,$F1285))</f>
        <v/>
      </c>
      <c r="H1285" s="12" t="str">
        <f aca="false">IF(INDEX(選手一覧!$G$7:$G$2738,$F1285)="","",INDEX(選手一覧!$G$7:$G$2738,$F1285))</f>
        <v/>
      </c>
      <c r="I1285" s="11" t="n">
        <f aca="false">IF(INDEX(選手一覧!$H$7:$H$2738,$F1285)="","",INDEX(選手一覧!$H$7:$H$2738,$F1285))</f>
        <v>0.00296331018518519</v>
      </c>
      <c r="J1285" s="12" t="n">
        <f aca="false">IF(INDEX(選手一覧!$I$7:$I$2738,$F1285)="","",INDEX(選手一覧!$I$7:$I$2738,$F1285))</f>
        <v>1284</v>
      </c>
    </row>
    <row r="1286" customFormat="false" ht="15" hidden="false" customHeight="false" outlineLevel="0" collapsed="false">
      <c r="A1286" s="12" t="n">
        <v>1282</v>
      </c>
      <c r="B1286" s="10" t="s">
        <v>1310</v>
      </c>
      <c r="C1286" s="10" t="s">
        <v>1311</v>
      </c>
      <c r="D1286" s="11" t="n">
        <v>0.0111162037037037</v>
      </c>
      <c r="E1286" s="18" t="n">
        <f aca="false">ROUND((D1286-$D$5)*86400,2)</f>
        <v>170.7</v>
      </c>
      <c r="F1286" s="12" t="n">
        <v>891</v>
      </c>
      <c r="G1286" s="11" t="n">
        <f aca="false">IF(INDEX(選手一覧!$F$7:$F$2738,$F1286)="","",INDEX(選手一覧!$F$7:$F$2738,$F1286))</f>
        <v>0.00705625</v>
      </c>
      <c r="H1286" s="12" t="n">
        <f aca="false">IF(INDEX(選手一覧!$G$7:$G$2738,$F1286)="","",INDEX(選手一覧!$G$7:$G$2738,$F1286))</f>
        <v>397</v>
      </c>
      <c r="I1286" s="11" t="str">
        <f aca="false">IF(INDEX(選手一覧!$H$7:$H$2738,$F1286)="","",INDEX(選手一覧!$H$7:$H$2738,$F1286))</f>
        <v/>
      </c>
      <c r="J1286" s="12" t="str">
        <f aca="false">IF(INDEX(選手一覧!$I$7:$I$2738,$F1286)="","",INDEX(選手一覧!$I$7:$I$2738,$F1286))</f>
        <v/>
      </c>
    </row>
    <row r="1287" customFormat="false" ht="15" hidden="false" customHeight="false" outlineLevel="0" collapsed="false">
      <c r="A1287" s="12" t="n">
        <v>1283</v>
      </c>
      <c r="B1287" s="10" t="s">
        <v>3314</v>
      </c>
      <c r="C1287" s="10" t="s">
        <v>567</v>
      </c>
      <c r="D1287" s="11" t="n">
        <v>0.0111163194444444</v>
      </c>
      <c r="E1287" s="18" t="n">
        <f aca="false">ROUND((D1287-$D$5)*86400,2)</f>
        <v>170.71</v>
      </c>
      <c r="F1287" s="12" t="n">
        <v>2331</v>
      </c>
      <c r="G1287" s="11" t="str">
        <f aca="false">IF(INDEX(選手一覧!$F$7:$F$2738,$F1287)="","",INDEX(選手一覧!$F$7:$F$2738,$F1287))</f>
        <v/>
      </c>
      <c r="H1287" s="12" t="str">
        <f aca="false">IF(INDEX(選手一覧!$G$7:$G$2738,$F1287)="","",INDEX(選手一覧!$G$7:$G$2738,$F1287))</f>
        <v/>
      </c>
      <c r="I1287" s="11" t="n">
        <f aca="false">IF(INDEX(選手一覧!$H$7:$H$2738,$F1287)="","",INDEX(選手一覧!$H$7:$H$2738,$F1287))</f>
        <v>0.00292488425925926</v>
      </c>
      <c r="J1287" s="12" t="n">
        <f aca="false">IF(INDEX(選手一覧!$I$7:$I$2738,$F1287)="","",INDEX(選手一覧!$I$7:$I$2738,$F1287))</f>
        <v>1147</v>
      </c>
    </row>
    <row r="1288" customFormat="false" ht="15" hidden="false" customHeight="false" outlineLevel="0" collapsed="false">
      <c r="A1288" s="12" t="n">
        <v>1284</v>
      </c>
      <c r="B1288" s="10" t="s">
        <v>1499</v>
      </c>
      <c r="C1288" s="10" t="s">
        <v>25</v>
      </c>
      <c r="D1288" s="11" t="n">
        <v>0.0111173611111111</v>
      </c>
      <c r="E1288" s="18" t="n">
        <f aca="false">ROUND((D1288-$D$5)*86400,2)</f>
        <v>170.8</v>
      </c>
      <c r="F1288" s="12" t="n">
        <v>1030</v>
      </c>
      <c r="G1288" s="11" t="str">
        <f aca="false">IF(INDEX(選手一覧!$F$7:$F$2738,$F1288)="","",INDEX(選手一覧!$F$7:$F$2738,$F1288))</f>
        <v/>
      </c>
      <c r="H1288" s="12" t="str">
        <f aca="false">IF(INDEX(選手一覧!$G$7:$G$2738,$F1288)="","",INDEX(選手一覧!$G$7:$G$2738,$F1288))</f>
        <v/>
      </c>
      <c r="I1288" s="11" t="n">
        <f aca="false">IF(INDEX(選手一覧!$H$7:$H$2738,$F1288)="","",INDEX(選手一覧!$H$7:$H$2738,$F1288))</f>
        <v>0.00283518518518519</v>
      </c>
      <c r="J1288" s="12" t="n">
        <f aca="false">IF(INDEX(選手一覧!$I$7:$I$2738,$F1288)="","",INDEX(選手一覧!$I$7:$I$2738,$F1288))</f>
        <v>463</v>
      </c>
    </row>
    <row r="1289" customFormat="false" ht="15" hidden="false" customHeight="false" outlineLevel="0" collapsed="false">
      <c r="A1289" s="12" t="n">
        <v>1285</v>
      </c>
      <c r="B1289" s="10" t="s">
        <v>1624</v>
      </c>
      <c r="C1289" s="10" t="s">
        <v>87</v>
      </c>
      <c r="D1289" s="11" t="n">
        <v>0.0111184027777778</v>
      </c>
      <c r="E1289" s="18" t="n">
        <f aca="false">ROUND((D1289-$D$5)*86400,2)</f>
        <v>170.89</v>
      </c>
      <c r="F1289" s="12" t="n">
        <v>1121</v>
      </c>
      <c r="G1289" s="11" t="str">
        <f aca="false">IF(INDEX(選手一覧!$F$7:$F$2738,$F1289)="","",INDEX(選手一覧!$F$7:$F$2738,$F1289))</f>
        <v/>
      </c>
      <c r="H1289" s="12" t="str">
        <f aca="false">IF(INDEX(選手一覧!$G$7:$G$2738,$F1289)="","",INDEX(選手一覧!$G$7:$G$2738,$F1289))</f>
        <v/>
      </c>
      <c r="I1289" s="11" t="n">
        <f aca="false">IF(INDEX(選手一覧!$H$7:$H$2738,$F1289)="","",INDEX(選手一覧!$H$7:$H$2738,$F1289))</f>
        <v>0.00284097222222222</v>
      </c>
      <c r="J1289" s="12" t="n">
        <f aca="false">IF(INDEX(選手一覧!$I$7:$I$2738,$F1289)="","",INDEX(選手一覧!$I$7:$I$2738,$F1289))</f>
        <v>508</v>
      </c>
    </row>
    <row r="1290" customFormat="false" ht="15" hidden="false" customHeight="false" outlineLevel="0" collapsed="false">
      <c r="A1290" s="12" t="n">
        <v>1286</v>
      </c>
      <c r="B1290" s="10" t="s">
        <v>2518</v>
      </c>
      <c r="C1290" s="10" t="s">
        <v>1504</v>
      </c>
      <c r="D1290" s="11" t="n">
        <v>0.0111196759259259</v>
      </c>
      <c r="E1290" s="18" t="n">
        <f aca="false">ROUND((D1290-$D$5)*86400,2)</f>
        <v>171</v>
      </c>
      <c r="F1290" s="12" t="n">
        <v>1757</v>
      </c>
      <c r="G1290" s="11" t="n">
        <f aca="false">IF(INDEX(選手一覧!$F$7:$F$2738,$F1290)="","",INDEX(選手一覧!$F$7:$F$2738,$F1290))</f>
        <v>0.00745601851851852</v>
      </c>
      <c r="H1290" s="12" t="n">
        <f aca="false">IF(INDEX(選手一覧!$G$7:$G$2738,$F1290)="","",INDEX(選手一覧!$G$7:$G$2738,$F1290))</f>
        <v>840</v>
      </c>
      <c r="I1290" s="11" t="str">
        <f aca="false">IF(INDEX(選手一覧!$H$7:$H$2738,$F1290)="","",INDEX(選手一覧!$H$7:$H$2738,$F1290))</f>
        <v/>
      </c>
      <c r="J1290" s="12" t="str">
        <f aca="false">IF(INDEX(選手一覧!$I$7:$I$2738,$F1290)="","",INDEX(選手一覧!$I$7:$I$2738,$F1290))</f>
        <v/>
      </c>
    </row>
    <row r="1291" customFormat="false" ht="15" hidden="false" customHeight="false" outlineLevel="0" collapsed="false">
      <c r="A1291" s="12" t="n">
        <v>1287</v>
      </c>
      <c r="B1291" s="10" t="s">
        <v>3675</v>
      </c>
      <c r="C1291" s="10" t="s">
        <v>1892</v>
      </c>
      <c r="D1291" s="11" t="n">
        <v>0.0111204861111111</v>
      </c>
      <c r="E1291" s="18" t="n">
        <f aca="false">ROUND((D1291-$D$5)*86400,2)</f>
        <v>171.07</v>
      </c>
      <c r="F1291" s="12" t="n">
        <v>2606</v>
      </c>
      <c r="G1291" s="11" t="str">
        <f aca="false">IF(INDEX(選手一覧!$F$7:$F$2738,$F1291)="","",INDEX(選手一覧!$F$7:$F$2738,$F1291))</f>
        <v/>
      </c>
      <c r="H1291" s="12" t="str">
        <f aca="false">IF(INDEX(選手一覧!$G$7:$G$2738,$F1291)="","",INDEX(選手一覧!$G$7:$G$2738,$F1291))</f>
        <v/>
      </c>
      <c r="I1291" s="11" t="str">
        <f aca="false">IF(INDEX(選手一覧!$H$7:$H$2738,$F1291)="","",INDEX(選手一覧!$H$7:$H$2738,$F1291))</f>
        <v/>
      </c>
      <c r="J1291" s="12" t="str">
        <f aca="false">IF(INDEX(選手一覧!$I$7:$I$2738,$F1291)="","",INDEX(選手一覧!$I$7:$I$2738,$F1291))</f>
        <v/>
      </c>
    </row>
    <row r="1292" customFormat="false" ht="15" hidden="false" customHeight="false" outlineLevel="0" collapsed="false">
      <c r="A1292" s="12" t="n">
        <v>1288</v>
      </c>
      <c r="B1292" s="10" t="s">
        <v>673</v>
      </c>
      <c r="C1292" s="10" t="s">
        <v>674</v>
      </c>
      <c r="D1292" s="11" t="n">
        <v>0.0111204861111111</v>
      </c>
      <c r="E1292" s="18" t="n">
        <f aca="false">ROUND((D1292-$D$5)*86400,2)</f>
        <v>171.07</v>
      </c>
      <c r="F1292" s="12" t="n">
        <v>430</v>
      </c>
      <c r="G1292" s="11" t="n">
        <f aca="false">IF(INDEX(選手一覧!$F$7:$F$2738,$F1292)="","",INDEX(選手一覧!$F$7:$F$2738,$F1292))</f>
        <v>0.00681215277777778</v>
      </c>
      <c r="H1292" s="12" t="n">
        <f aca="false">IF(INDEX(選手一覧!$G$7:$G$2738,$F1292)="","",INDEX(選手一覧!$G$7:$G$2738,$F1292))</f>
        <v>181</v>
      </c>
      <c r="I1292" s="11" t="str">
        <f aca="false">IF(INDEX(選手一覧!$H$7:$H$2738,$F1292)="","",INDEX(選手一覧!$H$7:$H$2738,$F1292))</f>
        <v/>
      </c>
      <c r="J1292" s="12" t="str">
        <f aca="false">IF(INDEX(選手一覧!$I$7:$I$2738,$F1292)="","",INDEX(選手一覧!$I$7:$I$2738,$F1292))</f>
        <v/>
      </c>
    </row>
    <row r="1293" customFormat="false" ht="15" hidden="false" customHeight="false" outlineLevel="0" collapsed="false">
      <c r="A1293" s="12" t="n">
        <v>1289</v>
      </c>
      <c r="B1293" s="10" t="s">
        <v>3681</v>
      </c>
      <c r="C1293" s="10" t="s">
        <v>2974</v>
      </c>
      <c r="D1293" s="11" t="n">
        <v>0.0111210648148148</v>
      </c>
      <c r="E1293" s="18" t="n">
        <f aca="false">ROUND((D1293-$D$5)*86400,2)</f>
        <v>171.12</v>
      </c>
      <c r="F1293" s="12" t="n">
        <v>2611</v>
      </c>
      <c r="G1293" s="11" t="str">
        <f aca="false">IF(INDEX(選手一覧!$F$7:$F$2738,$F1293)="","",INDEX(選手一覧!$F$7:$F$2738,$F1293))</f>
        <v/>
      </c>
      <c r="H1293" s="12" t="str">
        <f aca="false">IF(INDEX(選手一覧!$G$7:$G$2738,$F1293)="","",INDEX(選手一覧!$G$7:$G$2738,$F1293))</f>
        <v/>
      </c>
      <c r="I1293" s="11" t="str">
        <f aca="false">IF(INDEX(選手一覧!$H$7:$H$2738,$F1293)="","",INDEX(選手一覧!$H$7:$H$2738,$F1293))</f>
        <v/>
      </c>
      <c r="J1293" s="12" t="str">
        <f aca="false">IF(INDEX(選手一覧!$I$7:$I$2738,$F1293)="","",INDEX(選手一覧!$I$7:$I$2738,$F1293))</f>
        <v/>
      </c>
    </row>
    <row r="1294" customFormat="false" ht="15" hidden="false" customHeight="false" outlineLevel="0" collapsed="false">
      <c r="A1294" s="12" t="n">
        <v>1290</v>
      </c>
      <c r="B1294" s="10" t="s">
        <v>2469</v>
      </c>
      <c r="C1294" s="10" t="s">
        <v>460</v>
      </c>
      <c r="D1294" s="11" t="n">
        <v>0.0111222222222222</v>
      </c>
      <c r="E1294" s="18" t="n">
        <f aca="false">ROUND((D1294-$D$5)*86400,2)</f>
        <v>171.22</v>
      </c>
      <c r="F1294" s="12" t="n">
        <v>1719</v>
      </c>
      <c r="G1294" s="11" t="str">
        <f aca="false">IF(INDEX(選手一覧!$F$7:$F$2738,$F1294)="","",INDEX(選手一覧!$F$7:$F$2738,$F1294))</f>
        <v/>
      </c>
      <c r="H1294" s="12" t="str">
        <f aca="false">IF(INDEX(選手一覧!$G$7:$G$2738,$F1294)="","",INDEX(選手一覧!$G$7:$G$2738,$F1294))</f>
        <v/>
      </c>
      <c r="I1294" s="11" t="n">
        <f aca="false">IF(INDEX(選手一覧!$H$7:$H$2738,$F1294)="","",INDEX(選手一覧!$H$7:$H$2738,$F1294))</f>
        <v>0.00288576388888889</v>
      </c>
      <c r="J1294" s="12" t="n">
        <f aca="false">IF(INDEX(選手一覧!$I$7:$I$2738,$F1294)="","",INDEX(選手一覧!$I$7:$I$2738,$F1294))</f>
        <v>823</v>
      </c>
    </row>
    <row r="1295" customFormat="false" ht="15" hidden="false" customHeight="false" outlineLevel="0" collapsed="false">
      <c r="A1295" s="12" t="n">
        <v>1291</v>
      </c>
      <c r="B1295" s="10" t="s">
        <v>459</v>
      </c>
      <c r="C1295" s="10" t="s">
        <v>460</v>
      </c>
      <c r="D1295" s="11" t="n">
        <v>0.0111229166666667</v>
      </c>
      <c r="E1295" s="18" t="n">
        <f aca="false">ROUND((D1295-$D$5)*86400,2)</f>
        <v>171.28</v>
      </c>
      <c r="F1295" s="12" t="n">
        <v>285</v>
      </c>
      <c r="G1295" s="11" t="str">
        <f aca="false">IF(INDEX(選手一覧!$F$7:$F$2738,$F1295)="","",INDEX(選手一覧!$F$7:$F$2738,$F1295))</f>
        <v/>
      </c>
      <c r="H1295" s="12" t="str">
        <f aca="false">IF(INDEX(選手一覧!$G$7:$G$2738,$F1295)="","",INDEX(選手一覧!$G$7:$G$2738,$F1295))</f>
        <v/>
      </c>
      <c r="I1295" s="11" t="n">
        <f aca="false">IF(INDEX(選手一覧!$H$7:$H$2738,$F1295)="","",INDEX(選手一覧!$H$7:$H$2738,$F1295))</f>
        <v>0.00275451388888889</v>
      </c>
      <c r="J1295" s="12" t="n">
        <f aca="false">IF(INDEX(選手一覧!$I$7:$I$2738,$F1295)="","",INDEX(選手一覧!$I$7:$I$2738,$F1295))</f>
        <v>117</v>
      </c>
    </row>
  </sheetData>
  <autoFilter ref="A4:J1295"/>
  <conditionalFormatting sqref="A5:A1295 H5:H1295 J5:J1295">
    <cfRule type="cellIs" priority="2" operator="lessThanOrEqual" aboveAverage="0" equalAverage="0" bottom="0" percent="0" rank="0" text="" dxfId="7">
      <formula>10</formula>
    </cfRule>
    <cfRule type="cellIs" priority="3" operator="lessThanOrEqual" aboveAverage="0" equalAverage="0" bottom="0" percent="0" rank="0" text="" dxfId="8">
      <formula>50</formula>
    </cfRule>
    <cfRule type="cellIs" priority="4" operator="lessThanOrEqual" aboveAverage="0" equalAverage="0" bottom="0" percent="0" rank="0" text="" dxfId="9">
      <formula>100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8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8"/>
  </cols>
  <sheetData>
    <row r="1" customFormat="false" ht="19.4" hidden="false" customHeight="false" outlineLevel="0" collapsed="false">
      <c r="A1" s="1" t="s">
        <v>4012</v>
      </c>
    </row>
    <row r="2" customFormat="false" ht="15" hidden="false" customHeight="false" outlineLevel="0" collapsed="false">
      <c r="A2" s="2" t="s">
        <v>4013</v>
      </c>
    </row>
    <row r="4" customFormat="false" ht="33.75" hidden="false" customHeight="true" outlineLevel="0" collapsed="false">
      <c r="A4" s="8" t="s">
        <v>4004</v>
      </c>
      <c r="B4" s="8" t="s">
        <v>8</v>
      </c>
      <c r="C4" s="8" t="s">
        <v>9</v>
      </c>
      <c r="D4" s="8" t="s">
        <v>4005</v>
      </c>
      <c r="E4" s="8" t="s">
        <v>4006</v>
      </c>
      <c r="F4" s="7" t="s">
        <v>7</v>
      </c>
      <c r="G4" s="7" t="s">
        <v>10</v>
      </c>
      <c r="H4" s="7" t="s">
        <v>11</v>
      </c>
      <c r="I4" s="7" t="s">
        <v>14</v>
      </c>
      <c r="J4" s="7" t="s">
        <v>15</v>
      </c>
    </row>
    <row r="5" customFormat="false" ht="15" hidden="false" customHeight="false" outlineLevel="0" collapsed="false">
      <c r="A5" s="12" t="n">
        <v>1</v>
      </c>
      <c r="B5" s="10" t="s">
        <v>24</v>
      </c>
      <c r="C5" s="10" t="s">
        <v>25</v>
      </c>
      <c r="D5" s="11" t="n">
        <v>0.00623865740740741</v>
      </c>
      <c r="E5" s="18" t="n">
        <f aca="false">ROUND((D5-$D$5)*86400,2)</f>
        <v>0</v>
      </c>
      <c r="F5" s="12" t="n">
        <v>2</v>
      </c>
      <c r="G5" s="11" t="n">
        <f aca="false">IF(INDEX(選手一覧!$D$7:$D$2738,$F5)="","",INDEX(選手一覧!$D$7:$D$2738,$F5))</f>
        <v>0.0102148148148148</v>
      </c>
      <c r="H5" s="12" t="n">
        <f aca="false">IF(INDEX(選手一覧!$E$7:$E$2738,$F5)="","",INDEX(選手一覧!$E$7:$E$2738,$F5))</f>
        <v>104</v>
      </c>
      <c r="I5" s="11" t="n">
        <f aca="false">IF(INDEX(選手一覧!$H$7:$H$2738,$F5)="","",INDEX(選手一覧!$H$7:$H$2738,$F5))</f>
        <v>0.00286273148148148</v>
      </c>
      <c r="J5" s="12" t="n">
        <f aca="false">IF(INDEX(選手一覧!$I$7:$I$2738,$F5)="","",INDEX(選手一覧!$I$7:$I$2738,$F5))</f>
        <v>654</v>
      </c>
    </row>
    <row r="6" customFormat="false" ht="15" hidden="false" customHeight="false" outlineLevel="0" collapsed="false">
      <c r="A6" s="12" t="n">
        <v>2</v>
      </c>
      <c r="B6" s="10" t="s">
        <v>28</v>
      </c>
      <c r="C6" s="10" t="s">
        <v>29</v>
      </c>
      <c r="D6" s="11" t="n">
        <v>0.00626909722222222</v>
      </c>
      <c r="E6" s="18" t="n">
        <f aca="false">ROUND((D6-$D$5)*86400,2)</f>
        <v>2.63</v>
      </c>
      <c r="F6" s="12" t="n">
        <v>4</v>
      </c>
      <c r="G6" s="11" t="n">
        <f aca="false">IF(INDEX(選手一覧!$D$7:$D$2738,$F6)="","",INDEX(選手一覧!$D$7:$D$2738,$F6))</f>
        <v>0.00975914351851852</v>
      </c>
      <c r="H6" s="12" t="n">
        <f aca="false">IF(INDEX(選手一覧!$E$7:$E$2738,$F6)="","",INDEX(選手一覧!$E$7:$E$2738,$F6))</f>
        <v>6</v>
      </c>
      <c r="I6" s="11" t="n">
        <f aca="false">IF(INDEX(選手一覧!$H$7:$H$2738,$F6)="","",INDEX(選手一覧!$H$7:$H$2738,$F6))</f>
        <v>0.00278136574074074</v>
      </c>
      <c r="J6" s="12" t="n">
        <f aca="false">IF(INDEX(選手一覧!$I$7:$I$2738,$F6)="","",INDEX(選手一覧!$I$7:$I$2738,$F6))</f>
        <v>209</v>
      </c>
    </row>
    <row r="7" customFormat="false" ht="15" hidden="false" customHeight="false" outlineLevel="0" collapsed="false">
      <c r="A7" s="12" t="n">
        <v>3</v>
      </c>
      <c r="B7" s="10" t="s">
        <v>31</v>
      </c>
      <c r="C7" s="10" t="s">
        <v>32</v>
      </c>
      <c r="D7" s="11" t="n">
        <v>0.00627025462962963</v>
      </c>
      <c r="E7" s="18" t="n">
        <f aca="false">ROUND((D7-$D$5)*86400,2)</f>
        <v>2.73</v>
      </c>
      <c r="F7" s="12" t="n">
        <v>6</v>
      </c>
      <c r="G7" s="11" t="n">
        <f aca="false">IF(INDEX(選手一覧!$D$7:$D$2738,$F7)="","",INDEX(選手一覧!$D$7:$D$2738,$F7))</f>
        <v>0.0102784722222222</v>
      </c>
      <c r="H7" s="12" t="n">
        <f aca="false">IF(INDEX(選手一覧!$E$7:$E$2738,$F7)="","",INDEX(選手一覧!$E$7:$E$2738,$F7))</f>
        <v>146</v>
      </c>
      <c r="I7" s="11" t="n">
        <f aca="false">IF(INDEX(選手一覧!$H$7:$H$2738,$F7)="","",INDEX(選手一覧!$H$7:$H$2738,$F7))</f>
        <v>0.0029193287037037</v>
      </c>
      <c r="J7" s="12" t="n">
        <f aca="false">IF(INDEX(選手一覧!$I$7:$I$2738,$F7)="","",INDEX(選手一覧!$I$7:$I$2738,$F7))</f>
        <v>1088</v>
      </c>
    </row>
    <row r="8" customFormat="false" ht="15" hidden="false" customHeight="false" outlineLevel="0" collapsed="false">
      <c r="A8" s="12" t="n">
        <v>4</v>
      </c>
      <c r="B8" s="10" t="s">
        <v>33</v>
      </c>
      <c r="C8" s="10" t="s">
        <v>34</v>
      </c>
      <c r="D8" s="11" t="n">
        <v>0.00630729166666667</v>
      </c>
      <c r="E8" s="18" t="n">
        <f aca="false">ROUND((D8-$D$5)*86400,2)</f>
        <v>5.93</v>
      </c>
      <c r="F8" s="12" t="n">
        <v>7</v>
      </c>
      <c r="G8" s="11" t="n">
        <f aca="false">IF(INDEX(選手一覧!$D$7:$D$2738,$F8)="","",INDEX(選手一覧!$D$7:$D$2738,$F8))</f>
        <v>0.0103481481481482</v>
      </c>
      <c r="H8" s="12" t="n">
        <f aca="false">IF(INDEX(選手一覧!$E$7:$E$2738,$F8)="","",INDEX(選手一覧!$E$7:$E$2738,$F8))</f>
        <v>201</v>
      </c>
      <c r="I8" s="11" t="n">
        <f aca="false">IF(INDEX(選手一覧!$H$7:$H$2738,$F8)="","",INDEX(選手一覧!$H$7:$H$2738,$F8))</f>
        <v>0.00273877314814815</v>
      </c>
      <c r="J8" s="12" t="n">
        <f aca="false">IF(INDEX(選手一覧!$I$7:$I$2738,$F8)="","",INDEX(選手一覧!$I$7:$I$2738,$F8))</f>
        <v>82</v>
      </c>
    </row>
    <row r="9" customFormat="false" ht="15" hidden="false" customHeight="false" outlineLevel="0" collapsed="false">
      <c r="A9" s="12" t="n">
        <v>5</v>
      </c>
      <c r="B9" s="10" t="s">
        <v>38</v>
      </c>
      <c r="C9" s="10" t="s">
        <v>39</v>
      </c>
      <c r="D9" s="11" t="n">
        <v>0.00632650462962963</v>
      </c>
      <c r="E9" s="18" t="n">
        <f aca="false">ROUND((D9-$D$5)*86400,2)</f>
        <v>7.59</v>
      </c>
      <c r="F9" s="12" t="n">
        <v>10</v>
      </c>
      <c r="G9" s="11" t="n">
        <f aca="false">IF(INDEX(選手一覧!$D$7:$D$2738,$F9)="","",INDEX(選手一覧!$D$7:$D$2738,$F9))</f>
        <v>0.0102916666666667</v>
      </c>
      <c r="H9" s="12" t="n">
        <f aca="false">IF(INDEX(選手一覧!$E$7:$E$2738,$F9)="","",INDEX(選手一覧!$E$7:$E$2738,$F9))</f>
        <v>155</v>
      </c>
      <c r="I9" s="11" t="n">
        <f aca="false">IF(INDEX(選手一覧!$H$7:$H$2738,$F9)="","",INDEX(選手一覧!$H$7:$H$2738,$F9))</f>
        <v>0.00284988425925926</v>
      </c>
      <c r="J9" s="12" t="n">
        <f aca="false">IF(INDEX(選手一覧!$I$7:$I$2738,$F9)="","",INDEX(選手一覧!$I$7:$I$2738,$F9))</f>
        <v>569</v>
      </c>
    </row>
    <row r="10" customFormat="false" ht="15" hidden="false" customHeight="false" outlineLevel="0" collapsed="false">
      <c r="A10" s="12" t="n">
        <v>6</v>
      </c>
      <c r="B10" s="10" t="s">
        <v>44</v>
      </c>
      <c r="C10" s="10" t="s">
        <v>45</v>
      </c>
      <c r="D10" s="11" t="n">
        <v>0.00633553240740741</v>
      </c>
      <c r="E10" s="18" t="n">
        <f aca="false">ROUND((D10-$D$5)*86400,2)</f>
        <v>8.37</v>
      </c>
      <c r="F10" s="12" t="n">
        <v>13</v>
      </c>
      <c r="G10" s="11" t="n">
        <f aca="false">IF(INDEX(選手一覧!$D$7:$D$2738,$F10)="","",INDEX(選手一覧!$D$7:$D$2738,$F10))</f>
        <v>0.0102140046296296</v>
      </c>
      <c r="H10" s="12" t="n">
        <f aca="false">IF(INDEX(選手一覧!$E$7:$E$2738,$F10)="","",INDEX(選手一覧!$E$7:$E$2738,$F10))</f>
        <v>102</v>
      </c>
      <c r="I10" s="11" t="n">
        <f aca="false">IF(INDEX(選手一覧!$H$7:$H$2738,$F10)="","",INDEX(選手一覧!$H$7:$H$2738,$F10))</f>
        <v>0.00285925925925926</v>
      </c>
      <c r="J10" s="12" t="n">
        <f aca="false">IF(INDEX(選手一覧!$I$7:$I$2738,$F10)="","",INDEX(選手一覧!$I$7:$I$2738,$F10))</f>
        <v>630</v>
      </c>
    </row>
    <row r="11" customFormat="false" ht="15" hidden="false" customHeight="false" outlineLevel="0" collapsed="false">
      <c r="A11" s="12" t="n">
        <v>7</v>
      </c>
      <c r="B11" s="10" t="s">
        <v>48</v>
      </c>
      <c r="C11" s="10" t="s">
        <v>49</v>
      </c>
      <c r="D11" s="11" t="n">
        <v>0.00634039351851852</v>
      </c>
      <c r="E11" s="18" t="n">
        <f aca="false">ROUND((D11-$D$5)*86400,2)</f>
        <v>8.79</v>
      </c>
      <c r="F11" s="12" t="n">
        <v>15</v>
      </c>
      <c r="G11" s="11" t="n">
        <f aca="false">IF(INDEX(選手一覧!$D$7:$D$2738,$F11)="","",INDEX(選手一覧!$D$7:$D$2738,$F11))</f>
        <v>0.0101377314814815</v>
      </c>
      <c r="H11" s="12" t="n">
        <f aca="false">IF(INDEX(選手一覧!$E$7:$E$2738,$F11)="","",INDEX(選手一覧!$E$7:$E$2738,$F11))</f>
        <v>67</v>
      </c>
      <c r="I11" s="11" t="n">
        <f aca="false">IF(INDEX(選手一覧!$H$7:$H$2738,$F11)="","",INDEX(選手一覧!$H$7:$H$2738,$F11))</f>
        <v>0.0028818287037037</v>
      </c>
      <c r="J11" s="12" t="n">
        <f aca="false">IF(INDEX(選手一覧!$I$7:$I$2738,$F11)="","",INDEX(選手一覧!$I$7:$I$2738,$F11))</f>
        <v>787</v>
      </c>
    </row>
    <row r="12" customFormat="false" ht="15" hidden="false" customHeight="false" outlineLevel="0" collapsed="false">
      <c r="A12" s="12" t="n">
        <v>8</v>
      </c>
      <c r="B12" s="10" t="s">
        <v>59</v>
      </c>
      <c r="C12" s="10" t="s">
        <v>60</v>
      </c>
      <c r="D12" s="11" t="n">
        <v>0.00634456018518519</v>
      </c>
      <c r="E12" s="18" t="n">
        <f aca="false">ROUND((D12-$D$5)*86400,2)</f>
        <v>9.15</v>
      </c>
      <c r="F12" s="12" t="n">
        <v>20</v>
      </c>
      <c r="G12" s="11" t="n">
        <f aca="false">IF(INDEX(選手一覧!$D$7:$D$2738,$F12)="","",INDEX(選手一覧!$D$7:$D$2738,$F12))</f>
        <v>0.0103640046296296</v>
      </c>
      <c r="H12" s="12" t="n">
        <f aca="false">IF(INDEX(選手一覧!$E$7:$E$2738,$F12)="","",INDEX(選手一覧!$E$7:$E$2738,$F12))</f>
        <v>220</v>
      </c>
      <c r="I12" s="11" t="str">
        <f aca="false">IF(INDEX(選手一覧!$H$7:$H$2738,$F12)="","",INDEX(選手一覧!$H$7:$H$2738,$F12))</f>
        <v/>
      </c>
      <c r="J12" s="12" t="str">
        <f aca="false">IF(INDEX(選手一覧!$I$7:$I$2738,$F12)="","",INDEX(選手一覧!$I$7:$I$2738,$F12))</f>
        <v/>
      </c>
    </row>
    <row r="13" customFormat="false" ht="15" hidden="false" customHeight="false" outlineLevel="0" collapsed="false">
      <c r="A13" s="12" t="n">
        <v>9</v>
      </c>
      <c r="B13" s="10" t="s">
        <v>61</v>
      </c>
      <c r="C13" s="10" t="s">
        <v>62</v>
      </c>
      <c r="D13" s="11" t="n">
        <v>0.00634525462962963</v>
      </c>
      <c r="E13" s="18" t="n">
        <f aca="false">ROUND((D13-$D$5)*86400,2)</f>
        <v>9.21</v>
      </c>
      <c r="F13" s="12" t="n">
        <v>21</v>
      </c>
      <c r="G13" s="11" t="n">
        <f aca="false">IF(INDEX(選手一覧!$D$7:$D$2738,$F13)="","",INDEX(選手一覧!$D$7:$D$2738,$F13))</f>
        <v>0.010716087962963</v>
      </c>
      <c r="H13" s="12" t="n">
        <f aca="false">IF(INDEX(選手一覧!$E$7:$E$2738,$F13)="","",INDEX(選手一覧!$E$7:$E$2738,$F13))</f>
        <v>608</v>
      </c>
      <c r="I13" s="11" t="n">
        <f aca="false">IF(INDEX(選手一覧!$H$7:$H$2738,$F13)="","",INDEX(選手一覧!$H$7:$H$2738,$F13))</f>
        <v>0.00277592592592593</v>
      </c>
      <c r="J13" s="12" t="n">
        <f aca="false">IF(INDEX(選手一覧!$I$7:$I$2738,$F13)="","",INDEX(選手一覧!$I$7:$I$2738,$F13))</f>
        <v>180</v>
      </c>
    </row>
    <row r="14" customFormat="false" ht="15" hidden="false" customHeight="false" outlineLevel="0" collapsed="false">
      <c r="A14" s="12" t="n">
        <v>10</v>
      </c>
      <c r="B14" s="10" t="s">
        <v>66</v>
      </c>
      <c r="C14" s="10" t="s">
        <v>23</v>
      </c>
      <c r="D14" s="11" t="n">
        <v>0.00635891203703704</v>
      </c>
      <c r="E14" s="18" t="n">
        <f aca="false">ROUND((D14-$D$5)*86400,2)</f>
        <v>10.39</v>
      </c>
      <c r="F14" s="12" t="n">
        <v>24</v>
      </c>
      <c r="G14" s="11" t="n">
        <f aca="false">IF(INDEX(選手一覧!$D$7:$D$2738,$F14)="","",INDEX(選手一覧!$D$7:$D$2738,$F14))</f>
        <v>0.0101787037037037</v>
      </c>
      <c r="H14" s="12" t="n">
        <f aca="false">IF(INDEX(選手一覧!$E$7:$E$2738,$F14)="","",INDEX(選手一覧!$E$7:$E$2738,$F14))</f>
        <v>84</v>
      </c>
      <c r="I14" s="11" t="str">
        <f aca="false">IF(INDEX(選手一覧!$H$7:$H$2738,$F14)="","",INDEX(選手一覧!$H$7:$H$2738,$F14))</f>
        <v/>
      </c>
      <c r="J14" s="12" t="str">
        <f aca="false">IF(INDEX(選手一覧!$I$7:$I$2738,$F14)="","",INDEX(選手一覧!$I$7:$I$2738,$F14))</f>
        <v/>
      </c>
    </row>
    <row r="15" customFormat="false" ht="15" hidden="false" customHeight="false" outlineLevel="0" collapsed="false">
      <c r="A15" s="12" t="n">
        <v>11</v>
      </c>
      <c r="B15" s="10" t="s">
        <v>70</v>
      </c>
      <c r="C15" s="10" t="s">
        <v>29</v>
      </c>
      <c r="D15" s="11" t="n">
        <v>0.00636747685185185</v>
      </c>
      <c r="E15" s="18" t="n">
        <f aca="false">ROUND((D15-$D$5)*86400,2)</f>
        <v>11.13</v>
      </c>
      <c r="F15" s="12" t="n">
        <v>27</v>
      </c>
      <c r="G15" s="11" t="n">
        <f aca="false">IF(INDEX(選手一覧!$D$7:$D$2738,$F15)="","",INDEX(選手一覧!$D$7:$D$2738,$F15))</f>
        <v>0.0100170138888889</v>
      </c>
      <c r="H15" s="12" t="n">
        <f aca="false">IF(INDEX(選手一覧!$E$7:$E$2738,$F15)="","",INDEX(選手一覧!$E$7:$E$2738,$F15))</f>
        <v>24</v>
      </c>
      <c r="I15" s="11" t="n">
        <f aca="false">IF(INDEX(選手一覧!$H$7:$H$2738,$F15)="","",INDEX(選手一覧!$H$7:$H$2738,$F15))</f>
        <v>0.00280856481481482</v>
      </c>
      <c r="J15" s="12" t="n">
        <f aca="false">IF(INDEX(選手一覧!$I$7:$I$2738,$F15)="","",INDEX(選手一覧!$I$7:$I$2738,$F15))</f>
        <v>320</v>
      </c>
    </row>
    <row r="16" customFormat="false" ht="15" hidden="false" customHeight="false" outlineLevel="0" collapsed="false">
      <c r="A16" s="12" t="n">
        <v>12</v>
      </c>
      <c r="B16" s="10" t="s">
        <v>74</v>
      </c>
      <c r="C16" s="10" t="s">
        <v>55</v>
      </c>
      <c r="D16" s="11" t="n">
        <v>0.00638402777777778</v>
      </c>
      <c r="E16" s="18" t="n">
        <f aca="false">ROUND((D16-$D$5)*86400,2)</f>
        <v>12.56</v>
      </c>
      <c r="F16" s="12" t="n">
        <v>30</v>
      </c>
      <c r="G16" s="11" t="n">
        <f aca="false">IF(INDEX(選手一覧!$D$7:$D$2738,$F16)="","",INDEX(選手一覧!$D$7:$D$2738,$F16))</f>
        <v>0.0102784722222222</v>
      </c>
      <c r="H16" s="12" t="n">
        <f aca="false">IF(INDEX(選手一覧!$E$7:$E$2738,$F16)="","",INDEX(選手一覧!$E$7:$E$2738,$F16))</f>
        <v>147</v>
      </c>
      <c r="I16" s="11" t="n">
        <f aca="false">IF(INDEX(選手一覧!$H$7:$H$2738,$F16)="","",INDEX(選手一覧!$H$7:$H$2738,$F16))</f>
        <v>0.0027630787037037</v>
      </c>
      <c r="J16" s="12" t="n">
        <f aca="false">IF(INDEX(選手一覧!$I$7:$I$2738,$F16)="","",INDEX(選手一覧!$I$7:$I$2738,$F16))</f>
        <v>142</v>
      </c>
    </row>
    <row r="17" customFormat="false" ht="15" hidden="false" customHeight="false" outlineLevel="0" collapsed="false">
      <c r="A17" s="12" t="n">
        <v>13</v>
      </c>
      <c r="B17" s="10" t="s">
        <v>78</v>
      </c>
      <c r="C17" s="10" t="s">
        <v>79</v>
      </c>
      <c r="D17" s="11" t="n">
        <v>0.00638576388888889</v>
      </c>
      <c r="E17" s="18" t="n">
        <f aca="false">ROUND((D17-$D$5)*86400,2)</f>
        <v>12.71</v>
      </c>
      <c r="F17" s="12" t="n">
        <v>32</v>
      </c>
      <c r="G17" s="11" t="n">
        <f aca="false">IF(INDEX(選手一覧!$D$7:$D$2738,$F17)="","",INDEX(選手一覧!$D$7:$D$2738,$F17))</f>
        <v>0.0107954861111111</v>
      </c>
      <c r="H17" s="12" t="n">
        <f aca="false">IF(INDEX(選手一覧!$E$7:$E$2738,$F17)="","",INDEX(選手一覧!$E$7:$E$2738,$F17))</f>
        <v>735</v>
      </c>
      <c r="I17" s="11" t="n">
        <f aca="false">IF(INDEX(選手一覧!$H$7:$H$2738,$F17)="","",INDEX(選手一覧!$H$7:$H$2738,$F17))</f>
        <v>0.00290115740740741</v>
      </c>
      <c r="J17" s="12" t="n">
        <f aca="false">IF(INDEX(選手一覧!$I$7:$I$2738,$F17)="","",INDEX(選手一覧!$I$7:$I$2738,$F17))</f>
        <v>956</v>
      </c>
    </row>
    <row r="18" customFormat="false" ht="15" hidden="false" customHeight="false" outlineLevel="0" collapsed="false">
      <c r="A18" s="12" t="n">
        <v>14</v>
      </c>
      <c r="B18" s="10" t="s">
        <v>80</v>
      </c>
      <c r="C18" s="10" t="s">
        <v>81</v>
      </c>
      <c r="D18" s="11" t="n">
        <v>0.00639525462962963</v>
      </c>
      <c r="E18" s="18" t="n">
        <f aca="false">ROUND((D18-$D$5)*86400,2)</f>
        <v>13.53</v>
      </c>
      <c r="F18" s="12" t="n">
        <v>33</v>
      </c>
      <c r="G18" s="11" t="n">
        <f aca="false">IF(INDEX(選手一覧!$D$7:$D$2738,$F18)="","",INDEX(選手一覧!$D$7:$D$2738,$F18))</f>
        <v>0.0105398148148148</v>
      </c>
      <c r="H18" s="12" t="n">
        <f aca="false">IF(INDEX(選手一覧!$E$7:$E$2738,$F18)="","",INDEX(選手一覧!$E$7:$E$2738,$F18))</f>
        <v>385</v>
      </c>
      <c r="I18" s="11" t="n">
        <f aca="false">IF(INDEX(選手一覧!$H$7:$H$2738,$F18)="","",INDEX(選手一覧!$H$7:$H$2738,$F18))</f>
        <v>0.00272905092592593</v>
      </c>
      <c r="J18" s="12" t="n">
        <f aca="false">IF(INDEX(選手一覧!$I$7:$I$2738,$F18)="","",INDEX(選手一覧!$I$7:$I$2738,$F18))</f>
        <v>63</v>
      </c>
    </row>
    <row r="19" customFormat="false" ht="15" hidden="false" customHeight="false" outlineLevel="0" collapsed="false">
      <c r="A19" s="12" t="n">
        <v>15</v>
      </c>
      <c r="B19" s="10" t="s">
        <v>88</v>
      </c>
      <c r="C19" s="10" t="s">
        <v>49</v>
      </c>
      <c r="D19" s="11" t="n">
        <v>0.00640497685185185</v>
      </c>
      <c r="E19" s="18" t="n">
        <f aca="false">ROUND((D19-$D$5)*86400,2)</f>
        <v>14.37</v>
      </c>
      <c r="F19" s="12" t="n">
        <v>37</v>
      </c>
      <c r="G19" s="11" t="n">
        <f aca="false">IF(INDEX(選手一覧!$D$7:$D$2738,$F19)="","",INDEX(選手一覧!$D$7:$D$2738,$F19))</f>
        <v>0.0104841435185185</v>
      </c>
      <c r="H19" s="12" t="n">
        <f aca="false">IF(INDEX(選手一覧!$E$7:$E$2738,$F19)="","",INDEX(選手一覧!$E$7:$E$2738,$F19))</f>
        <v>326</v>
      </c>
      <c r="I19" s="11" t="str">
        <f aca="false">IF(INDEX(選手一覧!$H$7:$H$2738,$F19)="","",INDEX(選手一覧!$H$7:$H$2738,$F19))</f>
        <v/>
      </c>
      <c r="J19" s="12" t="str">
        <f aca="false">IF(INDEX(選手一覧!$I$7:$I$2738,$F19)="","",INDEX(選手一覧!$I$7:$I$2738,$F19))</f>
        <v/>
      </c>
    </row>
    <row r="20" customFormat="false" ht="15" hidden="false" customHeight="false" outlineLevel="0" collapsed="false">
      <c r="A20" s="12" t="n">
        <v>16</v>
      </c>
      <c r="B20" s="10" t="s">
        <v>90</v>
      </c>
      <c r="C20" s="10" t="s">
        <v>91</v>
      </c>
      <c r="D20" s="11" t="n">
        <v>0.0064099537037037</v>
      </c>
      <c r="E20" s="18" t="n">
        <f aca="false">ROUND((D20-$D$5)*86400,2)</f>
        <v>14.8</v>
      </c>
      <c r="F20" s="12" t="n">
        <v>39</v>
      </c>
      <c r="G20" s="11" t="n">
        <f aca="false">IF(INDEX(選手一覧!$D$7:$D$2738,$F20)="","",INDEX(選手一覧!$D$7:$D$2738,$F20))</f>
        <v>0.0106957175925926</v>
      </c>
      <c r="H20" s="12" t="n">
        <f aca="false">IF(INDEX(選手一覧!$E$7:$E$2738,$F20)="","",INDEX(選手一覧!$E$7:$E$2738,$F20))</f>
        <v>573</v>
      </c>
      <c r="I20" s="11" t="n">
        <f aca="false">IF(INDEX(選手一覧!$H$7:$H$2738,$F20)="","",INDEX(選手一覧!$H$7:$H$2738,$F20))</f>
        <v>0.00277777777777778</v>
      </c>
      <c r="J20" s="12" t="n">
        <f aca="false">IF(INDEX(選手一覧!$I$7:$I$2738,$F20)="","",INDEX(選手一覧!$I$7:$I$2738,$F20))</f>
        <v>189</v>
      </c>
    </row>
    <row r="21" customFormat="false" ht="15" hidden="false" customHeight="false" outlineLevel="0" collapsed="false">
      <c r="A21" s="12" t="n">
        <v>17</v>
      </c>
      <c r="B21" s="10" t="s">
        <v>96</v>
      </c>
      <c r="C21" s="10" t="s">
        <v>97</v>
      </c>
      <c r="D21" s="11" t="n">
        <v>0.00641087962962963</v>
      </c>
      <c r="E21" s="18" t="n">
        <f aca="false">ROUND((D21-$D$5)*86400,2)</f>
        <v>14.88</v>
      </c>
      <c r="F21" s="12" t="n">
        <v>42</v>
      </c>
      <c r="G21" s="11" t="n">
        <f aca="false">IF(INDEX(選手一覧!$D$7:$D$2738,$F21)="","",INDEX(選手一覧!$D$7:$D$2738,$F21))</f>
        <v>0.0108052083333333</v>
      </c>
      <c r="H21" s="12" t="n">
        <f aca="false">IF(INDEX(選手一覧!$E$7:$E$2738,$F21)="","",INDEX(選手一覧!$E$7:$E$2738,$F21))</f>
        <v>751</v>
      </c>
      <c r="I21" s="11" t="n">
        <f aca="false">IF(INDEX(選手一覧!$H$7:$H$2738,$F21)="","",INDEX(選手一覧!$H$7:$H$2738,$F21))</f>
        <v>0.00279456018518519</v>
      </c>
      <c r="J21" s="12" t="n">
        <f aca="false">IF(INDEX(選手一覧!$I$7:$I$2738,$F21)="","",INDEX(選手一覧!$I$7:$I$2738,$F21))</f>
        <v>257</v>
      </c>
    </row>
    <row r="22" customFormat="false" ht="15" hidden="false" customHeight="false" outlineLevel="0" collapsed="false">
      <c r="A22" s="12" t="n">
        <v>18</v>
      </c>
      <c r="B22" s="10" t="s">
        <v>100</v>
      </c>
      <c r="C22" s="10" t="s">
        <v>101</v>
      </c>
      <c r="D22" s="11" t="n">
        <v>0.00641585648148148</v>
      </c>
      <c r="E22" s="18" t="n">
        <f aca="false">ROUND((D22-$D$5)*86400,2)</f>
        <v>15.31</v>
      </c>
      <c r="F22" s="12" t="n">
        <v>45</v>
      </c>
      <c r="G22" s="11" t="n">
        <f aca="false">IF(INDEX(選手一覧!$D$7:$D$2738,$F22)="","",INDEX(選手一覧!$D$7:$D$2738,$F22))</f>
        <v>0.0105877314814815</v>
      </c>
      <c r="H22" s="12" t="n">
        <f aca="false">IF(INDEX(選手一覧!$E$7:$E$2738,$F22)="","",INDEX(選手一覧!$E$7:$E$2738,$F22))</f>
        <v>451</v>
      </c>
      <c r="I22" s="11" t="n">
        <f aca="false">IF(INDEX(選手一覧!$H$7:$H$2738,$F22)="","",INDEX(選手一覧!$H$7:$H$2738,$F22))</f>
        <v>0.00284467592592593</v>
      </c>
      <c r="J22" s="12" t="n">
        <f aca="false">IF(INDEX(選手一覧!$I$7:$I$2738,$F22)="","",INDEX(選手一覧!$I$7:$I$2738,$F22))</f>
        <v>532</v>
      </c>
    </row>
    <row r="23" customFormat="false" ht="15" hidden="false" customHeight="false" outlineLevel="0" collapsed="false">
      <c r="A23" s="12" t="n">
        <v>19</v>
      </c>
      <c r="B23" s="10" t="s">
        <v>22</v>
      </c>
      <c r="C23" s="10" t="s">
        <v>23</v>
      </c>
      <c r="D23" s="11" t="n">
        <v>0.00642048611111111</v>
      </c>
      <c r="E23" s="18" t="n">
        <f aca="false">ROUND((D23-$D$5)*86400,2)</f>
        <v>15.71</v>
      </c>
      <c r="F23" s="12" t="n">
        <v>1</v>
      </c>
      <c r="G23" s="11" t="n">
        <f aca="false">IF(INDEX(選手一覧!$D$7:$D$2738,$F23)="","",INDEX(選手一覧!$D$7:$D$2738,$F23))</f>
        <v>0.00964340277777778</v>
      </c>
      <c r="H23" s="12" t="n">
        <f aca="false">IF(INDEX(選手一覧!$E$7:$E$2738,$F23)="","",INDEX(選手一覧!$E$7:$E$2738,$F23))</f>
        <v>2</v>
      </c>
      <c r="I23" s="11" t="n">
        <f aca="false">IF(INDEX(選手一覧!$H$7:$H$2738,$F23)="","",INDEX(選手一覧!$H$7:$H$2738,$F23))</f>
        <v>0.00260451388888889</v>
      </c>
      <c r="J23" s="12" t="n">
        <f aca="false">IF(INDEX(選手一覧!$I$7:$I$2738,$F23)="","",INDEX(選手一覧!$I$7:$I$2738,$F23))</f>
        <v>1</v>
      </c>
    </row>
    <row r="24" customFormat="false" ht="15" hidden="false" customHeight="false" outlineLevel="0" collapsed="false">
      <c r="A24" s="12" t="n">
        <v>20</v>
      </c>
      <c r="B24" s="10" t="s">
        <v>110</v>
      </c>
      <c r="C24" s="10" t="s">
        <v>25</v>
      </c>
      <c r="D24" s="11" t="n">
        <v>0.00642326388888889</v>
      </c>
      <c r="E24" s="18" t="n">
        <f aca="false">ROUND((D24-$D$5)*86400,2)</f>
        <v>15.95</v>
      </c>
      <c r="F24" s="12" t="n">
        <v>50</v>
      </c>
      <c r="G24" s="11" t="n">
        <f aca="false">IF(INDEX(選手一覧!$D$7:$D$2738,$F24)="","",INDEX(選手一覧!$D$7:$D$2738,$F24))</f>
        <v>0.0105289351851852</v>
      </c>
      <c r="H24" s="12" t="n">
        <f aca="false">IF(INDEX(選手一覧!$E$7:$E$2738,$F24)="","",INDEX(選手一覧!$E$7:$E$2738,$F24))</f>
        <v>369</v>
      </c>
      <c r="I24" s="11" t="str">
        <f aca="false">IF(INDEX(選手一覧!$H$7:$H$2738,$F24)="","",INDEX(選手一覧!$H$7:$H$2738,$F24))</f>
        <v/>
      </c>
      <c r="J24" s="12" t="str">
        <f aca="false">IF(INDEX(選手一覧!$I$7:$I$2738,$F24)="","",INDEX(選手一覧!$I$7:$I$2738,$F24))</f>
        <v/>
      </c>
    </row>
    <row r="25" customFormat="false" ht="15" hidden="false" customHeight="false" outlineLevel="0" collapsed="false">
      <c r="A25" s="12" t="n">
        <v>21</v>
      </c>
      <c r="B25" s="10" t="s">
        <v>113</v>
      </c>
      <c r="C25" s="10" t="s">
        <v>114</v>
      </c>
      <c r="D25" s="11" t="n">
        <v>0.0064306712962963</v>
      </c>
      <c r="E25" s="18" t="n">
        <f aca="false">ROUND((D25-$D$5)*86400,2)</f>
        <v>16.59</v>
      </c>
      <c r="F25" s="12" t="n">
        <v>52</v>
      </c>
      <c r="G25" s="11" t="n">
        <f aca="false">IF(INDEX(選手一覧!$D$7:$D$2738,$F25)="","",INDEX(選手一覧!$D$7:$D$2738,$F25))</f>
        <v>0.0104758101851852</v>
      </c>
      <c r="H25" s="12" t="n">
        <f aca="false">IF(INDEX(選手一覧!$E$7:$E$2738,$F25)="","",INDEX(選手一覧!$E$7:$E$2738,$F25))</f>
        <v>321</v>
      </c>
      <c r="I25" s="11" t="n">
        <f aca="false">IF(INDEX(選手一覧!$H$7:$H$2738,$F25)="","",INDEX(選手一覧!$H$7:$H$2738,$F25))</f>
        <v>0.00282106481481482</v>
      </c>
      <c r="J25" s="12" t="n">
        <f aca="false">IF(INDEX(選手一覧!$I$7:$I$2738,$F25)="","",INDEX(選手一覧!$I$7:$I$2738,$F25))</f>
        <v>369</v>
      </c>
    </row>
    <row r="26" customFormat="false" ht="15" hidden="false" customHeight="false" outlineLevel="0" collapsed="false">
      <c r="A26" s="12" t="n">
        <v>22</v>
      </c>
      <c r="B26" s="10" t="s">
        <v>119</v>
      </c>
      <c r="C26" s="10" t="s">
        <v>120</v>
      </c>
      <c r="D26" s="11" t="n">
        <v>0.00644189814814815</v>
      </c>
      <c r="E26" s="18" t="n">
        <f aca="false">ROUND((D26-$D$5)*86400,2)</f>
        <v>17.56</v>
      </c>
      <c r="F26" s="12" t="n">
        <v>55</v>
      </c>
      <c r="G26" s="11" t="n">
        <f aca="false">IF(INDEX(選手一覧!$D$7:$D$2738,$F26)="","",INDEX(選手一覧!$D$7:$D$2738,$F26))</f>
        <v>0.0102828703703704</v>
      </c>
      <c r="H26" s="12" t="n">
        <f aca="false">IF(INDEX(選手一覧!$E$7:$E$2738,$F26)="","",INDEX(選手一覧!$E$7:$E$2738,$F26))</f>
        <v>152</v>
      </c>
      <c r="I26" s="11" t="n">
        <f aca="false">IF(INDEX(選手一覧!$H$7:$H$2738,$F26)="","",INDEX(選手一覧!$H$7:$H$2738,$F26))</f>
        <v>0.00278020833333333</v>
      </c>
      <c r="J26" s="12" t="n">
        <f aca="false">IF(INDEX(選手一覧!$I$7:$I$2738,$F26)="","",INDEX(選手一覧!$I$7:$I$2738,$F26))</f>
        <v>201</v>
      </c>
    </row>
    <row r="27" customFormat="false" ht="15" hidden="false" customHeight="false" outlineLevel="0" collapsed="false">
      <c r="A27" s="12" t="n">
        <v>23</v>
      </c>
      <c r="B27" s="10" t="s">
        <v>125</v>
      </c>
      <c r="C27" s="10" t="s">
        <v>126</v>
      </c>
      <c r="D27" s="11" t="n">
        <v>0.00645543981481482</v>
      </c>
      <c r="E27" s="18" t="n">
        <f aca="false">ROUND((D27-$D$5)*86400,2)</f>
        <v>18.73</v>
      </c>
      <c r="F27" s="12" t="n">
        <v>58</v>
      </c>
      <c r="G27" s="11" t="n">
        <f aca="false">IF(INDEX(選手一覧!$D$7:$D$2738,$F27)="","",INDEX(選手一覧!$D$7:$D$2738,$F27))</f>
        <v>0.0106157407407407</v>
      </c>
      <c r="H27" s="12" t="n">
        <f aca="false">IF(INDEX(選手一覧!$E$7:$E$2738,$F27)="","",INDEX(選手一覧!$E$7:$E$2738,$F27))</f>
        <v>487</v>
      </c>
      <c r="I27" s="11" t="n">
        <f aca="false">IF(INDEX(選手一覧!$H$7:$H$2738,$F27)="","",INDEX(選手一覧!$H$7:$H$2738,$F27))</f>
        <v>0.00290162037037037</v>
      </c>
      <c r="J27" s="12" t="n">
        <f aca="false">IF(INDEX(選手一覧!$I$7:$I$2738,$F27)="","",INDEX(選手一覧!$I$7:$I$2738,$F27))</f>
        <v>960</v>
      </c>
    </row>
    <row r="28" customFormat="false" ht="15" hidden="false" customHeight="false" outlineLevel="0" collapsed="false">
      <c r="A28" s="12" t="n">
        <v>24</v>
      </c>
      <c r="B28" s="10" t="s">
        <v>131</v>
      </c>
      <c r="C28" s="10" t="s">
        <v>132</v>
      </c>
      <c r="D28" s="11" t="n">
        <v>0.00645844907407407</v>
      </c>
      <c r="E28" s="18" t="n">
        <f aca="false">ROUND((D28-$D$5)*86400,2)</f>
        <v>18.99</v>
      </c>
      <c r="F28" s="12" t="n">
        <v>61</v>
      </c>
      <c r="G28" s="11" t="n">
        <f aca="false">IF(INDEX(選手一覧!$D$7:$D$2738,$F28)="","",INDEX(選手一覧!$D$7:$D$2738,$F28))</f>
        <v>0.0109490740740741</v>
      </c>
      <c r="H28" s="12" t="n">
        <f aca="false">IF(INDEX(選手一覧!$E$7:$E$2738,$F28)="","",INDEX(選手一覧!$E$7:$E$2738,$F28))</f>
        <v>996</v>
      </c>
      <c r="I28" s="11" t="n">
        <f aca="false">IF(INDEX(選手一覧!$H$7:$H$2738,$F28)="","",INDEX(選手一覧!$H$7:$H$2738,$F28))</f>
        <v>0.00285740740740741</v>
      </c>
      <c r="J28" s="12" t="n">
        <f aca="false">IF(INDEX(選手一覧!$I$7:$I$2738,$F28)="","",INDEX(選手一覧!$I$7:$I$2738,$F28))</f>
        <v>618</v>
      </c>
    </row>
    <row r="29" customFormat="false" ht="15" hidden="false" customHeight="false" outlineLevel="0" collapsed="false">
      <c r="A29" s="12" t="n">
        <v>25</v>
      </c>
      <c r="B29" s="10" t="s">
        <v>135</v>
      </c>
      <c r="C29" s="10" t="s">
        <v>136</v>
      </c>
      <c r="D29" s="11" t="n">
        <v>0.00646053240740741</v>
      </c>
      <c r="E29" s="18" t="n">
        <f aca="false">ROUND((D29-$D$5)*86400,2)</f>
        <v>19.17</v>
      </c>
      <c r="F29" s="12" t="n">
        <v>63</v>
      </c>
      <c r="G29" s="11" t="n">
        <f aca="false">IF(INDEX(選手一覧!$D$7:$D$2738,$F29)="","",INDEX(選手一覧!$D$7:$D$2738,$F29))</f>
        <v>0.0103917824074074</v>
      </c>
      <c r="H29" s="12" t="n">
        <f aca="false">IF(INDEX(選手一覧!$E$7:$E$2738,$F29)="","",INDEX(選手一覧!$E$7:$E$2738,$F29))</f>
        <v>252</v>
      </c>
      <c r="I29" s="11" t="n">
        <f aca="false">IF(INDEX(選手一覧!$H$7:$H$2738,$F29)="","",INDEX(選手一覧!$H$7:$H$2738,$F29))</f>
        <v>0.00286458333333333</v>
      </c>
      <c r="J29" s="12" t="n">
        <f aca="false">IF(INDEX(選手一覧!$I$7:$I$2738,$F29)="","",INDEX(選手一覧!$I$7:$I$2738,$F29))</f>
        <v>663</v>
      </c>
    </row>
    <row r="30" customFormat="false" ht="15" hidden="false" customHeight="false" outlineLevel="0" collapsed="false">
      <c r="A30" s="12" t="n">
        <v>26</v>
      </c>
      <c r="B30" s="10" t="s">
        <v>137</v>
      </c>
      <c r="C30" s="10" t="s">
        <v>87</v>
      </c>
      <c r="D30" s="11" t="n">
        <v>0.0064625</v>
      </c>
      <c r="E30" s="18" t="n">
        <f aca="false">ROUND((D30-$D$5)*86400,2)</f>
        <v>19.34</v>
      </c>
      <c r="F30" s="12" t="n">
        <v>64</v>
      </c>
      <c r="G30" s="11" t="n">
        <f aca="false">IF(INDEX(選手一覧!$D$7:$D$2738,$F30)="","",INDEX(選手一覧!$D$7:$D$2738,$F30))</f>
        <v>0.0103675925925926</v>
      </c>
      <c r="H30" s="12" t="n">
        <f aca="false">IF(INDEX(選手一覧!$E$7:$E$2738,$F30)="","",INDEX(選手一覧!$E$7:$E$2738,$F30))</f>
        <v>222</v>
      </c>
      <c r="I30" s="11" t="n">
        <f aca="false">IF(INDEX(選手一覧!$H$7:$H$2738,$F30)="","",INDEX(選手一覧!$H$7:$H$2738,$F30))</f>
        <v>0.00275833333333333</v>
      </c>
      <c r="J30" s="12" t="n">
        <f aca="false">IF(INDEX(選手一覧!$I$7:$I$2738,$F30)="","",INDEX(選手一覧!$I$7:$I$2738,$F30))</f>
        <v>130</v>
      </c>
    </row>
    <row r="31" customFormat="false" ht="15" hidden="false" customHeight="false" outlineLevel="0" collapsed="false">
      <c r="A31" s="12" t="n">
        <v>27</v>
      </c>
      <c r="B31" s="10" t="s">
        <v>140</v>
      </c>
      <c r="C31" s="10" t="s">
        <v>141</v>
      </c>
      <c r="D31" s="11" t="n">
        <v>0.00646284722222222</v>
      </c>
      <c r="E31" s="18" t="n">
        <f aca="false">ROUND((D31-$D$5)*86400,2)</f>
        <v>19.37</v>
      </c>
      <c r="F31" s="12" t="n">
        <v>66</v>
      </c>
      <c r="G31" s="11" t="n">
        <f aca="false">IF(INDEX(選手一覧!$D$7:$D$2738,$F31)="","",INDEX(選手一覧!$D$7:$D$2738,$F31))</f>
        <v>0.0105503472222222</v>
      </c>
      <c r="H31" s="12" t="n">
        <f aca="false">IF(INDEX(選手一覧!$E$7:$E$2738,$F31)="","",INDEX(選手一覧!$E$7:$E$2738,$F31))</f>
        <v>399</v>
      </c>
      <c r="I31" s="11" t="n">
        <f aca="false">IF(INDEX(選手一覧!$H$7:$H$2738,$F31)="","",INDEX(選手一覧!$H$7:$H$2738,$F31))</f>
        <v>0.00287256944444445</v>
      </c>
      <c r="J31" s="12" t="n">
        <f aca="false">IF(INDEX(選手一覧!$I$7:$I$2738,$F31)="","",INDEX(選手一覧!$I$7:$I$2738,$F31))</f>
        <v>719</v>
      </c>
    </row>
    <row r="32" customFormat="false" ht="15" hidden="false" customHeight="false" outlineLevel="0" collapsed="false">
      <c r="A32" s="12" t="n">
        <v>28</v>
      </c>
      <c r="B32" s="10" t="s">
        <v>144</v>
      </c>
      <c r="C32" s="10" t="s">
        <v>145</v>
      </c>
      <c r="D32" s="11" t="n">
        <v>0.00646342592592593</v>
      </c>
      <c r="E32" s="18" t="n">
        <f aca="false">ROUND((D32-$D$5)*86400,2)</f>
        <v>19.42</v>
      </c>
      <c r="F32" s="12" t="n">
        <v>69</v>
      </c>
      <c r="G32" s="11" t="n">
        <f aca="false">IF(INDEX(選手一覧!$D$7:$D$2738,$F32)="","",INDEX(選手一覧!$D$7:$D$2738,$F32))</f>
        <v>0.0106737268518519</v>
      </c>
      <c r="H32" s="12" t="n">
        <f aca="false">IF(INDEX(選手一覧!$E$7:$E$2738,$F32)="","",INDEX(選手一覧!$E$7:$E$2738,$F32))</f>
        <v>553</v>
      </c>
      <c r="I32" s="11" t="n">
        <f aca="false">IF(INDEX(選手一覧!$H$7:$H$2738,$F32)="","",INDEX(選手一覧!$H$7:$H$2738,$F32))</f>
        <v>0.00288541666666667</v>
      </c>
      <c r="J32" s="12" t="n">
        <f aca="false">IF(INDEX(選手一覧!$I$7:$I$2738,$F32)="","",INDEX(選手一覧!$I$7:$I$2738,$F32))</f>
        <v>821</v>
      </c>
    </row>
    <row r="33" customFormat="false" ht="15" hidden="false" customHeight="false" outlineLevel="0" collapsed="false">
      <c r="A33" s="12" t="n">
        <v>29</v>
      </c>
      <c r="B33" s="10" t="s">
        <v>151</v>
      </c>
      <c r="C33" s="10" t="s">
        <v>105</v>
      </c>
      <c r="D33" s="11" t="n">
        <v>0.00647060185185185</v>
      </c>
      <c r="E33" s="18" t="n">
        <f aca="false">ROUND((D33-$D$5)*86400,2)</f>
        <v>20.04</v>
      </c>
      <c r="F33" s="12" t="n">
        <v>73</v>
      </c>
      <c r="G33" s="11" t="n">
        <f aca="false">IF(INDEX(選手一覧!$D$7:$D$2738,$F33)="","",INDEX(選手一覧!$D$7:$D$2738,$F33))</f>
        <v>0.0101585648148148</v>
      </c>
      <c r="H33" s="12" t="n">
        <f aca="false">IF(INDEX(選手一覧!$E$7:$E$2738,$F33)="","",INDEX(選手一覧!$E$7:$E$2738,$F33))</f>
        <v>74</v>
      </c>
      <c r="I33" s="11" t="str">
        <f aca="false">IF(INDEX(選手一覧!$H$7:$H$2738,$F33)="","",INDEX(選手一覧!$H$7:$H$2738,$F33))</f>
        <v/>
      </c>
      <c r="J33" s="12" t="str">
        <f aca="false">IF(INDEX(選手一覧!$I$7:$I$2738,$F33)="","",INDEX(選手一覧!$I$7:$I$2738,$F33))</f>
        <v/>
      </c>
    </row>
    <row r="34" customFormat="false" ht="15" hidden="false" customHeight="false" outlineLevel="0" collapsed="false">
      <c r="A34" s="12" t="n">
        <v>30</v>
      </c>
      <c r="B34" s="10" t="s">
        <v>152</v>
      </c>
      <c r="C34" s="10" t="s">
        <v>39</v>
      </c>
      <c r="D34" s="11" t="n">
        <v>0.00648136574074074</v>
      </c>
      <c r="E34" s="18" t="n">
        <f aca="false">ROUND((D34-$D$5)*86400,2)</f>
        <v>20.97</v>
      </c>
      <c r="F34" s="12" t="n">
        <v>74</v>
      </c>
      <c r="G34" s="11" t="n">
        <f aca="false">IF(INDEX(選手一覧!$D$7:$D$2738,$F34)="","",INDEX(選手一覧!$D$7:$D$2738,$F34))</f>
        <v>0.0103246527777778</v>
      </c>
      <c r="H34" s="12" t="n">
        <f aca="false">IF(INDEX(選手一覧!$E$7:$E$2738,$F34)="","",INDEX(選手一覧!$E$7:$E$2738,$F34))</f>
        <v>175</v>
      </c>
      <c r="I34" s="11" t="n">
        <f aca="false">IF(INDEX(選手一覧!$H$7:$H$2738,$F34)="","",INDEX(選手一覧!$H$7:$H$2738,$F34))</f>
        <v>0.00279930555555556</v>
      </c>
      <c r="J34" s="12" t="n">
        <f aca="false">IF(INDEX(選手一覧!$I$7:$I$2738,$F34)="","",INDEX(選手一覧!$I$7:$I$2738,$F34))</f>
        <v>279</v>
      </c>
    </row>
    <row r="35" customFormat="false" ht="15" hidden="false" customHeight="false" outlineLevel="0" collapsed="false">
      <c r="A35" s="12" t="n">
        <v>31</v>
      </c>
      <c r="B35" s="10" t="s">
        <v>157</v>
      </c>
      <c r="C35" s="10" t="s">
        <v>158</v>
      </c>
      <c r="D35" s="11" t="n">
        <v>0.00648483796296296</v>
      </c>
      <c r="E35" s="18" t="n">
        <f aca="false">ROUND((D35-$D$5)*86400,2)</f>
        <v>21.27</v>
      </c>
      <c r="F35" s="12" t="n">
        <v>77</v>
      </c>
      <c r="G35" s="11" t="n">
        <f aca="false">IF(INDEX(選手一覧!$D$7:$D$2738,$F35)="","",INDEX(選手一覧!$D$7:$D$2738,$F35))</f>
        <v>0.0102012731481482</v>
      </c>
      <c r="H35" s="12" t="n">
        <f aca="false">IF(INDEX(選手一覧!$E$7:$E$2738,$F35)="","",INDEX(選手一覧!$E$7:$E$2738,$F35))</f>
        <v>97</v>
      </c>
      <c r="I35" s="11" t="n">
        <f aca="false">IF(INDEX(選手一覧!$H$7:$H$2738,$F35)="","",INDEX(選手一覧!$H$7:$H$2738,$F35))</f>
        <v>0.00275451388888889</v>
      </c>
      <c r="J35" s="12" t="n">
        <f aca="false">IF(INDEX(選手一覧!$I$7:$I$2738,$F35)="","",INDEX(選手一覧!$I$7:$I$2738,$F35))</f>
        <v>120</v>
      </c>
    </row>
    <row r="36" customFormat="false" ht="15" hidden="false" customHeight="false" outlineLevel="0" collapsed="false">
      <c r="A36" s="12" t="n">
        <v>32</v>
      </c>
      <c r="B36" s="10" t="s">
        <v>161</v>
      </c>
      <c r="C36" s="10" t="s">
        <v>162</v>
      </c>
      <c r="D36" s="11" t="n">
        <v>0.00648645833333333</v>
      </c>
      <c r="E36" s="18" t="n">
        <f aca="false">ROUND((D36-$D$5)*86400,2)</f>
        <v>21.41</v>
      </c>
      <c r="F36" s="12" t="n">
        <v>80</v>
      </c>
      <c r="G36" s="11" t="n">
        <f aca="false">IF(INDEX(選手一覧!$D$7:$D$2738,$F36)="","",INDEX(選手一覧!$D$7:$D$2738,$F36))</f>
        <v>0.0106686342592593</v>
      </c>
      <c r="H36" s="12" t="n">
        <f aca="false">IF(INDEX(選手一覧!$E$7:$E$2738,$F36)="","",INDEX(選手一覧!$E$7:$E$2738,$F36))</f>
        <v>544</v>
      </c>
      <c r="I36" s="11" t="n">
        <f aca="false">IF(INDEX(選手一覧!$H$7:$H$2738,$F36)="","",INDEX(選手一覧!$H$7:$H$2738,$F36))</f>
        <v>0.00273206018518519</v>
      </c>
      <c r="J36" s="12" t="n">
        <f aca="false">IF(INDEX(選手一覧!$I$7:$I$2738,$F36)="","",INDEX(選手一覧!$I$7:$I$2738,$F36))</f>
        <v>68</v>
      </c>
    </row>
    <row r="37" customFormat="false" ht="15" hidden="false" customHeight="false" outlineLevel="0" collapsed="false">
      <c r="A37" s="12" t="n">
        <v>33</v>
      </c>
      <c r="B37" s="10" t="s">
        <v>167</v>
      </c>
      <c r="C37" s="10" t="s">
        <v>168</v>
      </c>
      <c r="D37" s="11" t="n">
        <v>0.00649166666666667</v>
      </c>
      <c r="E37" s="18" t="n">
        <f aca="false">ROUND((D37-$D$5)*86400,2)</f>
        <v>21.86</v>
      </c>
      <c r="F37" s="12" t="n">
        <v>83</v>
      </c>
      <c r="G37" s="11" t="n">
        <f aca="false">IF(INDEX(選手一覧!$D$7:$D$2738,$F37)="","",INDEX(選手一覧!$D$7:$D$2738,$F37))</f>
        <v>0.0106184027777778</v>
      </c>
      <c r="H37" s="12" t="n">
        <f aca="false">IF(INDEX(選手一覧!$E$7:$E$2738,$F37)="","",INDEX(選手一覧!$E$7:$E$2738,$F37))</f>
        <v>495</v>
      </c>
      <c r="I37" s="11" t="n">
        <f aca="false">IF(INDEX(選手一覧!$H$7:$H$2738,$F37)="","",INDEX(選手一覧!$H$7:$H$2738,$F37))</f>
        <v>0.0028912037037037</v>
      </c>
      <c r="J37" s="12" t="n">
        <f aca="false">IF(INDEX(選手一覧!$I$7:$I$2738,$F37)="","",INDEX(選手一覧!$I$7:$I$2738,$F37))</f>
        <v>878</v>
      </c>
    </row>
    <row r="38" customFormat="false" ht="15" hidden="false" customHeight="false" outlineLevel="0" collapsed="false">
      <c r="A38" s="12" t="n">
        <v>34</v>
      </c>
      <c r="B38" s="10" t="s">
        <v>172</v>
      </c>
      <c r="C38" s="10" t="s">
        <v>173</v>
      </c>
      <c r="D38" s="11" t="n">
        <v>0.00649502314814815</v>
      </c>
      <c r="E38" s="18" t="n">
        <f aca="false">ROUND((D38-$D$5)*86400,2)</f>
        <v>22.15</v>
      </c>
      <c r="F38" s="12" t="n">
        <v>86</v>
      </c>
      <c r="G38" s="11" t="n">
        <f aca="false">IF(INDEX(選手一覧!$D$7:$D$2738,$F38)="","",INDEX(選手一覧!$D$7:$D$2738,$F38))</f>
        <v>0.0104847222222222</v>
      </c>
      <c r="H38" s="12" t="n">
        <f aca="false">IF(INDEX(選手一覧!$E$7:$E$2738,$F38)="","",INDEX(選手一覧!$E$7:$E$2738,$F38))</f>
        <v>328</v>
      </c>
      <c r="I38" s="11" t="n">
        <f aca="false">IF(INDEX(選手一覧!$H$7:$H$2738,$F38)="","",INDEX(選手一覧!$H$7:$H$2738,$F38))</f>
        <v>0.00281458333333333</v>
      </c>
      <c r="J38" s="12" t="n">
        <f aca="false">IF(INDEX(選手一覧!$I$7:$I$2738,$F38)="","",INDEX(選手一覧!$I$7:$I$2738,$F38))</f>
        <v>342</v>
      </c>
    </row>
    <row r="39" customFormat="false" ht="15" hidden="false" customHeight="false" outlineLevel="0" collapsed="false">
      <c r="A39" s="12" t="n">
        <v>35</v>
      </c>
      <c r="B39" s="10" t="s">
        <v>176</v>
      </c>
      <c r="C39" s="10" t="s">
        <v>177</v>
      </c>
      <c r="D39" s="11" t="n">
        <v>0.00649803240740741</v>
      </c>
      <c r="E39" s="18" t="n">
        <f aca="false">ROUND((D39-$D$5)*86400,2)</f>
        <v>22.41</v>
      </c>
      <c r="F39" s="12" t="n">
        <v>88</v>
      </c>
      <c r="G39" s="11" t="n">
        <f aca="false">IF(INDEX(選手一覧!$D$7:$D$2738,$F39)="","",INDEX(選手一覧!$D$7:$D$2738,$F39))</f>
        <v>0.0109936342592593</v>
      </c>
      <c r="H39" s="12" t="n">
        <f aca="false">IF(INDEX(選手一覧!$E$7:$E$2738,$F39)="","",INDEX(選手一覧!$E$7:$E$2738,$F39))</f>
        <v>1086</v>
      </c>
      <c r="I39" s="11" t="n">
        <f aca="false">IF(INDEX(選手一覧!$H$7:$H$2738,$F39)="","",INDEX(選手一覧!$H$7:$H$2738,$F39))</f>
        <v>0.00290150462962963</v>
      </c>
      <c r="J39" s="12" t="n">
        <f aca="false">IF(INDEX(選手一覧!$I$7:$I$2738,$F39)="","",INDEX(選手一覧!$I$7:$I$2738,$F39))</f>
        <v>958</v>
      </c>
    </row>
    <row r="40" customFormat="false" ht="15" hidden="false" customHeight="false" outlineLevel="0" collapsed="false">
      <c r="A40" s="12" t="n">
        <v>36</v>
      </c>
      <c r="B40" s="10" t="s">
        <v>182</v>
      </c>
      <c r="C40" s="10" t="s">
        <v>183</v>
      </c>
      <c r="D40" s="11" t="n">
        <v>0.00650046296296296</v>
      </c>
      <c r="E40" s="18" t="n">
        <f aca="false">ROUND((D40-$D$5)*86400,2)</f>
        <v>22.62</v>
      </c>
      <c r="F40" s="12" t="n">
        <v>91</v>
      </c>
      <c r="G40" s="11" t="n">
        <f aca="false">IF(INDEX(選手一覧!$D$7:$D$2738,$F40)="","",INDEX(選手一覧!$D$7:$D$2738,$F40))</f>
        <v>0.0104319444444445</v>
      </c>
      <c r="H40" s="12" t="n">
        <f aca="false">IF(INDEX(選手一覧!$E$7:$E$2738,$F40)="","",INDEX(選手一覧!$E$7:$E$2738,$F40))</f>
        <v>295</v>
      </c>
      <c r="I40" s="11" t="n">
        <f aca="false">IF(INDEX(選手一覧!$H$7:$H$2738,$F40)="","",INDEX(選手一覧!$H$7:$H$2738,$F40))</f>
        <v>0.00285821759259259</v>
      </c>
      <c r="J40" s="12" t="n">
        <f aca="false">IF(INDEX(選手一覧!$I$7:$I$2738,$F40)="","",INDEX(選手一覧!$I$7:$I$2738,$F40))</f>
        <v>623</v>
      </c>
    </row>
    <row r="41" customFormat="false" ht="15" hidden="false" customHeight="false" outlineLevel="0" collapsed="false">
      <c r="A41" s="12" t="n">
        <v>37</v>
      </c>
      <c r="B41" s="10" t="s">
        <v>187</v>
      </c>
      <c r="C41" s="10" t="s">
        <v>188</v>
      </c>
      <c r="D41" s="11" t="n">
        <v>0.00650520833333333</v>
      </c>
      <c r="E41" s="18" t="n">
        <f aca="false">ROUND((D41-$D$5)*86400,2)</f>
        <v>23.03</v>
      </c>
      <c r="F41" s="12" t="n">
        <v>94</v>
      </c>
      <c r="G41" s="11" t="n">
        <f aca="false">IF(INDEX(選手一覧!$D$7:$D$2738,$F41)="","",INDEX(選手一覧!$D$7:$D$2738,$F41))</f>
        <v>0.0103741898148148</v>
      </c>
      <c r="H41" s="12" t="n">
        <f aca="false">IF(INDEX(選手一覧!$E$7:$E$2738,$F41)="","",INDEX(選手一覧!$E$7:$E$2738,$F41))</f>
        <v>229</v>
      </c>
      <c r="I41" s="11" t="n">
        <f aca="false">IF(INDEX(選手一覧!$H$7:$H$2738,$F41)="","",INDEX(選手一覧!$H$7:$H$2738,$F41))</f>
        <v>0.00288148148148148</v>
      </c>
      <c r="J41" s="12" t="n">
        <f aca="false">IF(INDEX(選手一覧!$I$7:$I$2738,$F41)="","",INDEX(選手一覧!$I$7:$I$2738,$F41))</f>
        <v>784</v>
      </c>
    </row>
    <row r="42" customFormat="false" ht="15" hidden="false" customHeight="false" outlineLevel="0" collapsed="false">
      <c r="A42" s="12" t="n">
        <v>38</v>
      </c>
      <c r="B42" s="10" t="s">
        <v>192</v>
      </c>
      <c r="C42" s="10" t="s">
        <v>193</v>
      </c>
      <c r="D42" s="11" t="n">
        <v>0.00650740740740741</v>
      </c>
      <c r="E42" s="18" t="n">
        <f aca="false">ROUND((D42-$D$5)*86400,2)</f>
        <v>23.22</v>
      </c>
      <c r="F42" s="12" t="n">
        <v>97</v>
      </c>
      <c r="G42" s="11" t="n">
        <f aca="false">IF(INDEX(選手一覧!$D$7:$D$2738,$F42)="","",INDEX(選手一覧!$D$7:$D$2738,$F42))</f>
        <v>0.0104118055555556</v>
      </c>
      <c r="H42" s="12" t="n">
        <f aca="false">IF(INDEX(選手一覧!$E$7:$E$2738,$F42)="","",INDEX(選手一覧!$E$7:$E$2738,$F42))</f>
        <v>279</v>
      </c>
      <c r="I42" s="11" t="n">
        <f aca="false">IF(INDEX(選手一覧!$H$7:$H$2738,$F42)="","",INDEX(選手一覧!$H$7:$H$2738,$F42))</f>
        <v>0.00278425925925926</v>
      </c>
      <c r="J42" s="12" t="n">
        <f aca="false">IF(INDEX(選手一覧!$I$7:$I$2738,$F42)="","",INDEX(選手一覧!$I$7:$I$2738,$F42))</f>
        <v>217</v>
      </c>
    </row>
    <row r="43" customFormat="false" ht="15" hidden="false" customHeight="false" outlineLevel="0" collapsed="false">
      <c r="A43" s="12" t="n">
        <v>39</v>
      </c>
      <c r="B43" s="10" t="s">
        <v>197</v>
      </c>
      <c r="C43" s="10" t="s">
        <v>72</v>
      </c>
      <c r="D43" s="11" t="n">
        <v>0.00652337962962963</v>
      </c>
      <c r="E43" s="18" t="n">
        <f aca="false">ROUND((D43-$D$5)*86400,2)</f>
        <v>24.6</v>
      </c>
      <c r="F43" s="12" t="n">
        <v>100</v>
      </c>
      <c r="G43" s="11" t="n">
        <f aca="false">IF(INDEX(選手一覧!$D$7:$D$2738,$F43)="","",INDEX(選手一覧!$D$7:$D$2738,$F43))</f>
        <v>0.010396412037037</v>
      </c>
      <c r="H43" s="12" t="n">
        <f aca="false">IF(INDEX(選手一覧!$E$7:$E$2738,$F43)="","",INDEX(選手一覧!$E$7:$E$2738,$F43))</f>
        <v>256</v>
      </c>
      <c r="I43" s="11" t="n">
        <f aca="false">IF(INDEX(選手一覧!$H$7:$H$2738,$F43)="","",INDEX(選手一覧!$H$7:$H$2738,$F43))</f>
        <v>0.00278912037037037</v>
      </c>
      <c r="J43" s="12" t="n">
        <f aca="false">IF(INDEX(選手一覧!$I$7:$I$2738,$F43)="","",INDEX(選手一覧!$I$7:$I$2738,$F43))</f>
        <v>237</v>
      </c>
    </row>
    <row r="44" customFormat="false" ht="15" hidden="false" customHeight="false" outlineLevel="0" collapsed="false">
      <c r="A44" s="12" t="n">
        <v>40</v>
      </c>
      <c r="B44" s="10" t="s">
        <v>200</v>
      </c>
      <c r="C44" s="10" t="s">
        <v>201</v>
      </c>
      <c r="D44" s="11" t="n">
        <v>0.00652893518518519</v>
      </c>
      <c r="E44" s="18" t="n">
        <f aca="false">ROUND((D44-$D$5)*86400,2)</f>
        <v>25.08</v>
      </c>
      <c r="F44" s="12" t="n">
        <v>103</v>
      </c>
      <c r="G44" s="11" t="n">
        <f aca="false">IF(INDEX(選手一覧!$D$7:$D$2738,$F44)="","",INDEX(選手一覧!$D$7:$D$2738,$F44))</f>
        <v>0.0104782407407407</v>
      </c>
      <c r="H44" s="12" t="n">
        <f aca="false">IF(INDEX(選手一覧!$E$7:$E$2738,$F44)="","",INDEX(選手一覧!$E$7:$E$2738,$F44))</f>
        <v>323</v>
      </c>
      <c r="I44" s="11" t="str">
        <f aca="false">IF(INDEX(選手一覧!$H$7:$H$2738,$F44)="","",INDEX(選手一覧!$H$7:$H$2738,$F44))</f>
        <v/>
      </c>
      <c r="J44" s="12" t="str">
        <f aca="false">IF(INDEX(選手一覧!$I$7:$I$2738,$F44)="","",INDEX(選手一覧!$I$7:$I$2738,$F44))</f>
        <v/>
      </c>
    </row>
    <row r="45" customFormat="false" ht="15" hidden="false" customHeight="false" outlineLevel="0" collapsed="false">
      <c r="A45" s="12" t="n">
        <v>41</v>
      </c>
      <c r="B45" s="10" t="s">
        <v>204</v>
      </c>
      <c r="C45" s="10" t="s">
        <v>64</v>
      </c>
      <c r="D45" s="11" t="n">
        <v>0.00653611111111111</v>
      </c>
      <c r="E45" s="18" t="n">
        <f aca="false">ROUND((D45-$D$5)*86400,2)</f>
        <v>25.7</v>
      </c>
      <c r="F45" s="12" t="n">
        <v>106</v>
      </c>
      <c r="G45" s="11" t="n">
        <f aca="false">IF(INDEX(選手一覧!$D$7:$D$2738,$F45)="","",INDEX(選手一覧!$D$7:$D$2738,$F45))</f>
        <v>0.0107318287037037</v>
      </c>
      <c r="H45" s="12" t="n">
        <f aca="false">IF(INDEX(選手一覧!$E$7:$E$2738,$F45)="","",INDEX(選手一覧!$E$7:$E$2738,$F45))</f>
        <v>636</v>
      </c>
      <c r="I45" s="11" t="n">
        <f aca="false">IF(INDEX(選手一覧!$H$7:$H$2738,$F45)="","",INDEX(選手一覧!$H$7:$H$2738,$F45))</f>
        <v>0.00287986111111111</v>
      </c>
      <c r="J45" s="12" t="n">
        <f aca="false">IF(INDEX(選手一覧!$I$7:$I$2738,$F45)="","",INDEX(選手一覧!$I$7:$I$2738,$F45))</f>
        <v>770</v>
      </c>
    </row>
    <row r="46" customFormat="false" ht="15" hidden="false" customHeight="false" outlineLevel="0" collapsed="false">
      <c r="A46" s="12" t="n">
        <v>42</v>
      </c>
      <c r="B46" s="10" t="s">
        <v>212</v>
      </c>
      <c r="C46" s="10" t="s">
        <v>213</v>
      </c>
      <c r="D46" s="11" t="n">
        <v>0.00653715277777778</v>
      </c>
      <c r="E46" s="18" t="n">
        <f aca="false">ROUND((D46-$D$5)*86400,2)</f>
        <v>25.79</v>
      </c>
      <c r="F46" s="12" t="n">
        <v>111</v>
      </c>
      <c r="G46" s="11" t="n">
        <f aca="false">IF(INDEX(選手一覧!$D$7:$D$2738,$F46)="","",INDEX(選手一覧!$D$7:$D$2738,$F46))</f>
        <v>0.0107283564814815</v>
      </c>
      <c r="H46" s="12" t="n">
        <f aca="false">IF(INDEX(選手一覧!$E$7:$E$2738,$F46)="","",INDEX(選手一覧!$E$7:$E$2738,$F46))</f>
        <v>630</v>
      </c>
      <c r="I46" s="11" t="str">
        <f aca="false">IF(INDEX(選手一覧!$H$7:$H$2738,$F46)="","",INDEX(選手一覧!$H$7:$H$2738,$F46))</f>
        <v/>
      </c>
      <c r="J46" s="12" t="str">
        <f aca="false">IF(INDEX(選手一覧!$I$7:$I$2738,$F46)="","",INDEX(選手一覧!$I$7:$I$2738,$F46))</f>
        <v/>
      </c>
    </row>
    <row r="47" customFormat="false" ht="15" hidden="false" customHeight="false" outlineLevel="0" collapsed="false">
      <c r="A47" s="12" t="n">
        <v>43</v>
      </c>
      <c r="B47" s="10" t="s">
        <v>214</v>
      </c>
      <c r="C47" s="10" t="s">
        <v>215</v>
      </c>
      <c r="D47" s="11" t="n">
        <v>0.006540625</v>
      </c>
      <c r="E47" s="18" t="n">
        <f aca="false">ROUND((D47-$D$5)*86400,2)</f>
        <v>26.09</v>
      </c>
      <c r="F47" s="12" t="n">
        <v>112</v>
      </c>
      <c r="G47" s="11" t="n">
        <f aca="false">IF(INDEX(選手一覧!$D$7:$D$2738,$F47)="","",INDEX(選手一覧!$D$7:$D$2738,$F47))</f>
        <v>0.0103181712962963</v>
      </c>
      <c r="H47" s="12" t="n">
        <f aca="false">IF(INDEX(選手一覧!$E$7:$E$2738,$F47)="","",INDEX(選手一覧!$E$7:$E$2738,$F47))</f>
        <v>172</v>
      </c>
      <c r="I47" s="11" t="n">
        <f aca="false">IF(INDEX(選手一覧!$H$7:$H$2738,$F47)="","",INDEX(選手一覧!$H$7:$H$2738,$F47))</f>
        <v>0.00277326388888889</v>
      </c>
      <c r="J47" s="12" t="n">
        <f aca="false">IF(INDEX(選手一覧!$I$7:$I$2738,$F47)="","",INDEX(選手一覧!$I$7:$I$2738,$F47))</f>
        <v>168</v>
      </c>
    </row>
    <row r="48" customFormat="false" ht="15" hidden="false" customHeight="false" outlineLevel="0" collapsed="false">
      <c r="A48" s="12" t="n">
        <v>44</v>
      </c>
      <c r="B48" s="10" t="s">
        <v>222</v>
      </c>
      <c r="C48" s="10" t="s">
        <v>223</v>
      </c>
      <c r="D48" s="11" t="n">
        <v>0.00654305555555556</v>
      </c>
      <c r="E48" s="18" t="n">
        <f aca="false">ROUND((D48-$D$5)*86400,2)</f>
        <v>26.3</v>
      </c>
      <c r="F48" s="12" t="n">
        <v>117</v>
      </c>
      <c r="G48" s="11" t="n">
        <f aca="false">IF(INDEX(選手一覧!$D$7:$D$2738,$F48)="","",INDEX(選手一覧!$D$7:$D$2738,$F48))</f>
        <v>0.0109534722222222</v>
      </c>
      <c r="H48" s="12" t="n">
        <f aca="false">IF(INDEX(選手一覧!$E$7:$E$2738,$F48)="","",INDEX(選手一覧!$E$7:$E$2738,$F48))</f>
        <v>1010</v>
      </c>
      <c r="I48" s="11" t="str">
        <f aca="false">IF(INDEX(選手一覧!$H$7:$H$2738,$F48)="","",INDEX(選手一覧!$H$7:$H$2738,$F48))</f>
        <v/>
      </c>
      <c r="J48" s="12" t="str">
        <f aca="false">IF(INDEX(選手一覧!$I$7:$I$2738,$F48)="","",INDEX(選手一覧!$I$7:$I$2738,$F48))</f>
        <v/>
      </c>
    </row>
    <row r="49" customFormat="false" ht="15" hidden="false" customHeight="false" outlineLevel="0" collapsed="false">
      <c r="A49" s="12" t="n">
        <v>45</v>
      </c>
      <c r="B49" s="10" t="s">
        <v>224</v>
      </c>
      <c r="C49" s="10" t="s">
        <v>210</v>
      </c>
      <c r="D49" s="11" t="n">
        <v>0.00654826388888889</v>
      </c>
      <c r="E49" s="18" t="n">
        <f aca="false">ROUND((D49-$D$5)*86400,2)</f>
        <v>26.75</v>
      </c>
      <c r="F49" s="12" t="n">
        <v>118</v>
      </c>
      <c r="G49" s="11" t="n">
        <f aca="false">IF(INDEX(選手一覧!$D$7:$D$2738,$F49)="","",INDEX(選手一覧!$D$7:$D$2738,$F49))</f>
        <v>0.0103172453703704</v>
      </c>
      <c r="H49" s="12" t="n">
        <f aca="false">IF(INDEX(選手一覧!$E$7:$E$2738,$F49)="","",INDEX(選手一覧!$E$7:$E$2738,$F49))</f>
        <v>170</v>
      </c>
      <c r="I49" s="11" t="n">
        <f aca="false">IF(INDEX(選手一覧!$H$7:$H$2738,$F49)="","",INDEX(選手一覧!$H$7:$H$2738,$F49))</f>
        <v>0.00278391203703704</v>
      </c>
      <c r="J49" s="12" t="n">
        <f aca="false">IF(INDEX(選手一覧!$I$7:$I$2738,$F49)="","",INDEX(選手一覧!$I$7:$I$2738,$F49))</f>
        <v>216</v>
      </c>
    </row>
    <row r="50" customFormat="false" ht="15" hidden="false" customHeight="false" outlineLevel="0" collapsed="false">
      <c r="A50" s="12" t="n">
        <v>46</v>
      </c>
      <c r="B50" s="10" t="s">
        <v>228</v>
      </c>
      <c r="C50" s="10" t="s">
        <v>229</v>
      </c>
      <c r="D50" s="11" t="n">
        <v>0.00655925925925926</v>
      </c>
      <c r="E50" s="18" t="n">
        <f aca="false">ROUND((D50-$D$5)*86400,2)</f>
        <v>27.7</v>
      </c>
      <c r="F50" s="12" t="n">
        <v>121</v>
      </c>
      <c r="G50" s="11" t="n">
        <f aca="false">IF(INDEX(選手一覧!$D$7:$D$2738,$F50)="","",INDEX(選手一覧!$D$7:$D$2738,$F50))</f>
        <v>0.0105116898148148</v>
      </c>
      <c r="H50" s="12" t="n">
        <f aca="false">IF(INDEX(選手一覧!$E$7:$E$2738,$F50)="","",INDEX(選手一覧!$E$7:$E$2738,$F50))</f>
        <v>352</v>
      </c>
      <c r="I50" s="11" t="n">
        <f aca="false">IF(INDEX(選手一覧!$H$7:$H$2738,$F50)="","",INDEX(選手一覧!$H$7:$H$2738,$F50))</f>
        <v>0.00283414351851852</v>
      </c>
      <c r="J50" s="12" t="n">
        <f aca="false">IF(INDEX(選手一覧!$I$7:$I$2738,$F50)="","",INDEX(選手一覧!$I$7:$I$2738,$F50))</f>
        <v>451</v>
      </c>
    </row>
    <row r="51" customFormat="false" ht="15" hidden="false" customHeight="false" outlineLevel="0" collapsed="false">
      <c r="A51" s="12" t="n">
        <v>47</v>
      </c>
      <c r="B51" s="10" t="s">
        <v>230</v>
      </c>
      <c r="C51" s="10" t="s">
        <v>64</v>
      </c>
      <c r="D51" s="11" t="n">
        <v>0.006559375</v>
      </c>
      <c r="E51" s="18" t="n">
        <f aca="false">ROUND((D51-$D$5)*86400,2)</f>
        <v>27.71</v>
      </c>
      <c r="F51" s="12" t="n">
        <v>122</v>
      </c>
      <c r="G51" s="11" t="n">
        <f aca="false">IF(INDEX(選手一覧!$D$7:$D$2738,$F51)="","",INDEX(選手一覧!$D$7:$D$2738,$F51))</f>
        <v>0.0105115740740741</v>
      </c>
      <c r="H51" s="12" t="n">
        <f aca="false">IF(INDEX(選手一覧!$E$7:$E$2738,$F51)="","",INDEX(選手一覧!$E$7:$E$2738,$F51))</f>
        <v>351</v>
      </c>
      <c r="I51" s="11" t="n">
        <f aca="false">IF(INDEX(選手一覧!$H$7:$H$2738,$F51)="","",INDEX(選手一覧!$H$7:$H$2738,$F51))</f>
        <v>0.00293391203703704</v>
      </c>
      <c r="J51" s="12" t="n">
        <f aca="false">IF(INDEX(選手一覧!$I$7:$I$2738,$F51)="","",INDEX(選手一覧!$I$7:$I$2738,$F51))</f>
        <v>1182</v>
      </c>
    </row>
    <row r="52" customFormat="false" ht="15" hidden="false" customHeight="false" outlineLevel="0" collapsed="false">
      <c r="A52" s="12" t="n">
        <v>48</v>
      </c>
      <c r="B52" s="10" t="s">
        <v>232</v>
      </c>
      <c r="C52" s="10" t="s">
        <v>76</v>
      </c>
      <c r="D52" s="11" t="n">
        <v>0.00656226851851852</v>
      </c>
      <c r="E52" s="18" t="n">
        <f aca="false">ROUND((D52-$D$5)*86400,2)</f>
        <v>27.96</v>
      </c>
      <c r="F52" s="12" t="n">
        <v>124</v>
      </c>
      <c r="G52" s="11" t="n">
        <f aca="false">IF(INDEX(選手一覧!$D$7:$D$2738,$F52)="","",INDEX(選手一覧!$D$7:$D$2738,$F52))</f>
        <v>0.0106239583333333</v>
      </c>
      <c r="H52" s="12" t="n">
        <f aca="false">IF(INDEX(選手一覧!$E$7:$E$2738,$F52)="","",INDEX(選手一覧!$E$7:$E$2738,$F52))</f>
        <v>502</v>
      </c>
      <c r="I52" s="11" t="n">
        <f aca="false">IF(INDEX(選手一覧!$H$7:$H$2738,$F52)="","",INDEX(選手一覧!$H$7:$H$2738,$F52))</f>
        <v>0.00275960648148148</v>
      </c>
      <c r="J52" s="12" t="n">
        <f aca="false">IF(INDEX(選手一覧!$I$7:$I$2738,$F52)="","",INDEX(選手一覧!$I$7:$I$2738,$F52))</f>
        <v>135</v>
      </c>
    </row>
    <row r="53" customFormat="false" ht="15" hidden="false" customHeight="false" outlineLevel="0" collapsed="false">
      <c r="A53" s="12" t="n">
        <v>49</v>
      </c>
      <c r="B53" s="10" t="s">
        <v>235</v>
      </c>
      <c r="C53" s="10" t="s">
        <v>210</v>
      </c>
      <c r="D53" s="11" t="n">
        <v>0.00656342592592593</v>
      </c>
      <c r="E53" s="18" t="n">
        <f aca="false">ROUND((D53-$D$5)*86400,2)</f>
        <v>28.06</v>
      </c>
      <c r="F53" s="12" t="n">
        <v>126</v>
      </c>
      <c r="G53" s="11" t="n">
        <f aca="false">IF(INDEX(選手一覧!$D$7:$D$2738,$F53)="","",INDEX(選手一覧!$D$7:$D$2738,$F53))</f>
        <v>0.0107427083333333</v>
      </c>
      <c r="H53" s="12" t="n">
        <f aca="false">IF(INDEX(選手一覧!$E$7:$E$2738,$F53)="","",INDEX(選手一覧!$E$7:$E$2738,$F53))</f>
        <v>657</v>
      </c>
      <c r="I53" s="11" t="n">
        <f aca="false">IF(INDEX(選手一覧!$H$7:$H$2738,$F53)="","",INDEX(選手一覧!$H$7:$H$2738,$F53))</f>
        <v>0.00286423611111111</v>
      </c>
      <c r="J53" s="12" t="n">
        <f aca="false">IF(INDEX(選手一覧!$I$7:$I$2738,$F53)="","",INDEX(選手一覧!$I$7:$I$2738,$F53))</f>
        <v>661</v>
      </c>
    </row>
    <row r="54" customFormat="false" ht="15" hidden="false" customHeight="false" outlineLevel="0" collapsed="false">
      <c r="A54" s="12" t="n">
        <v>50</v>
      </c>
      <c r="B54" s="10" t="s">
        <v>133</v>
      </c>
      <c r="C54" s="10" t="s">
        <v>134</v>
      </c>
      <c r="D54" s="11" t="n">
        <v>0.00656354166666667</v>
      </c>
      <c r="E54" s="18" t="n">
        <f aca="false">ROUND((D54-$D$5)*86400,2)</f>
        <v>28.07</v>
      </c>
      <c r="F54" s="12" t="n">
        <v>62</v>
      </c>
      <c r="G54" s="11" t="n">
        <f aca="false">IF(INDEX(選手一覧!$D$7:$D$2738,$F54)="","",INDEX(選手一覧!$D$7:$D$2738,$F54))</f>
        <v>0.0102357638888889</v>
      </c>
      <c r="H54" s="12" t="n">
        <f aca="false">IF(INDEX(選手一覧!$E$7:$E$2738,$F54)="","",INDEX(選手一覧!$E$7:$E$2738,$F54))</f>
        <v>114</v>
      </c>
      <c r="I54" s="11" t="n">
        <f aca="false">IF(INDEX(選手一覧!$H$7:$H$2738,$F54)="","",INDEX(選手一覧!$H$7:$H$2738,$F54))</f>
        <v>0.00269826388888889</v>
      </c>
      <c r="J54" s="12" t="n">
        <f aca="false">IF(INDEX(選手一覧!$I$7:$I$2738,$F54)="","",INDEX(選手一覧!$I$7:$I$2738,$F54))</f>
        <v>25</v>
      </c>
    </row>
    <row r="55" customFormat="false" ht="15" hidden="false" customHeight="false" outlineLevel="0" collapsed="false">
      <c r="A55" s="12" t="n">
        <v>51</v>
      </c>
      <c r="B55" s="10" t="s">
        <v>239</v>
      </c>
      <c r="C55" s="10" t="s">
        <v>240</v>
      </c>
      <c r="D55" s="11" t="n">
        <v>0.00656377314814815</v>
      </c>
      <c r="E55" s="18" t="n">
        <f aca="false">ROUND((D55-$D$5)*86400,2)</f>
        <v>28.09</v>
      </c>
      <c r="F55" s="12" t="n">
        <v>129</v>
      </c>
      <c r="G55" s="11" t="n">
        <f aca="false">IF(INDEX(選手一覧!$D$7:$D$2738,$F55)="","",INDEX(選手一覧!$D$7:$D$2738,$F55))</f>
        <v>0.0106162037037037</v>
      </c>
      <c r="H55" s="12" t="n">
        <f aca="false">IF(INDEX(選手一覧!$E$7:$E$2738,$F55)="","",INDEX(選手一覧!$E$7:$E$2738,$F55))</f>
        <v>489</v>
      </c>
      <c r="I55" s="11" t="n">
        <f aca="false">IF(INDEX(選手一覧!$H$7:$H$2738,$F55)="","",INDEX(選手一覧!$H$7:$H$2738,$F55))</f>
        <v>0.00284421296296296</v>
      </c>
      <c r="J55" s="12" t="n">
        <f aca="false">IF(INDEX(選手一覧!$I$7:$I$2738,$F55)="","",INDEX(選手一覧!$I$7:$I$2738,$F55))</f>
        <v>528</v>
      </c>
    </row>
    <row r="56" customFormat="false" ht="15" hidden="false" customHeight="false" outlineLevel="0" collapsed="false">
      <c r="A56" s="12" t="n">
        <v>52</v>
      </c>
      <c r="B56" s="10" t="s">
        <v>245</v>
      </c>
      <c r="C56" s="10" t="s">
        <v>246</v>
      </c>
      <c r="D56" s="11" t="n">
        <v>0.00656388888888889</v>
      </c>
      <c r="E56" s="18" t="n">
        <f aca="false">ROUND((D56-$D$5)*86400,2)</f>
        <v>28.1</v>
      </c>
      <c r="F56" s="12" t="n">
        <v>132</v>
      </c>
      <c r="G56" s="11" t="n">
        <f aca="false">IF(INDEX(選手一覧!$D$7:$D$2738,$F56)="","",INDEX(選手一覧!$D$7:$D$2738,$F56))</f>
        <v>0.0107493055555556</v>
      </c>
      <c r="H56" s="12" t="n">
        <f aca="false">IF(INDEX(選手一覧!$E$7:$E$2738,$F56)="","",INDEX(選手一覧!$E$7:$E$2738,$F56))</f>
        <v>666</v>
      </c>
      <c r="I56" s="11" t="str">
        <f aca="false">IF(INDEX(選手一覧!$H$7:$H$2738,$F56)="","",INDEX(選手一覧!$H$7:$H$2738,$F56))</f>
        <v/>
      </c>
      <c r="J56" s="12" t="str">
        <f aca="false">IF(INDEX(選手一覧!$I$7:$I$2738,$F56)="","",INDEX(選手一覧!$I$7:$I$2738,$F56))</f>
        <v/>
      </c>
    </row>
    <row r="57" customFormat="false" ht="15" hidden="false" customHeight="false" outlineLevel="0" collapsed="false">
      <c r="A57" s="12" t="n">
        <v>53</v>
      </c>
      <c r="B57" s="10" t="s">
        <v>247</v>
      </c>
      <c r="C57" s="10" t="s">
        <v>237</v>
      </c>
      <c r="D57" s="11" t="n">
        <v>0.00656412037037037</v>
      </c>
      <c r="E57" s="18" t="n">
        <f aca="false">ROUND((D57-$D$5)*86400,2)</f>
        <v>28.12</v>
      </c>
      <c r="F57" s="12" t="n">
        <v>133</v>
      </c>
      <c r="G57" s="11" t="n">
        <f aca="false">IF(INDEX(選手一覧!$D$7:$D$2738,$F57)="","",INDEX(選手一覧!$D$7:$D$2738,$F57))</f>
        <v>0.0105804398148148</v>
      </c>
      <c r="H57" s="12" t="n">
        <f aca="false">IF(INDEX(選手一覧!$E$7:$E$2738,$F57)="","",INDEX(選手一覧!$E$7:$E$2738,$F57))</f>
        <v>433</v>
      </c>
      <c r="I57" s="11" t="n">
        <f aca="false">IF(INDEX(選手一覧!$H$7:$H$2738,$F57)="","",INDEX(選手一覧!$H$7:$H$2738,$F57))</f>
        <v>0.00287986111111111</v>
      </c>
      <c r="J57" s="12" t="n">
        <f aca="false">IF(INDEX(選手一覧!$I$7:$I$2738,$F57)="","",INDEX(選手一覧!$I$7:$I$2738,$F57))</f>
        <v>769</v>
      </c>
    </row>
    <row r="58" customFormat="false" ht="15" hidden="false" customHeight="false" outlineLevel="0" collapsed="false">
      <c r="A58" s="12" t="n">
        <v>54</v>
      </c>
      <c r="B58" s="10" t="s">
        <v>251</v>
      </c>
      <c r="C58" s="10" t="s">
        <v>242</v>
      </c>
      <c r="D58" s="11" t="n">
        <v>0.00656631944444445</v>
      </c>
      <c r="E58" s="18" t="n">
        <f aca="false">ROUND((D58-$D$5)*86400,2)</f>
        <v>28.31</v>
      </c>
      <c r="F58" s="12" t="n">
        <v>136</v>
      </c>
      <c r="G58" s="11" t="n">
        <f aca="false">IF(INDEX(選手一覧!$D$7:$D$2738,$F58)="","",INDEX(選手一覧!$D$7:$D$2738,$F58))</f>
        <v>0.0105601851851852</v>
      </c>
      <c r="H58" s="12" t="n">
        <f aca="false">IF(INDEX(選手一覧!$E$7:$E$2738,$F58)="","",INDEX(選手一覧!$E$7:$E$2738,$F58))</f>
        <v>411</v>
      </c>
      <c r="I58" s="11" t="n">
        <f aca="false">IF(INDEX(選手一覧!$H$7:$H$2738,$F58)="","",INDEX(選手一覧!$H$7:$H$2738,$F58))</f>
        <v>0.00290775462962963</v>
      </c>
      <c r="J58" s="12" t="n">
        <f aca="false">IF(INDEX(選手一覧!$I$7:$I$2738,$F58)="","",INDEX(選手一覧!$I$7:$I$2738,$F58))</f>
        <v>999</v>
      </c>
    </row>
    <row r="59" customFormat="false" ht="15" hidden="false" customHeight="false" outlineLevel="0" collapsed="false">
      <c r="A59" s="12" t="n">
        <v>55</v>
      </c>
      <c r="B59" s="10" t="s">
        <v>255</v>
      </c>
      <c r="C59" s="10" t="s">
        <v>53</v>
      </c>
      <c r="D59" s="11" t="n">
        <v>0.00656655092592593</v>
      </c>
      <c r="E59" s="18" t="n">
        <f aca="false">ROUND((D59-$D$5)*86400,2)</f>
        <v>28.33</v>
      </c>
      <c r="F59" s="12" t="n">
        <v>139</v>
      </c>
      <c r="G59" s="11" t="n">
        <f aca="false">IF(INDEX(選手一覧!$D$7:$D$2738,$F59)="","",INDEX(選手一覧!$D$7:$D$2738,$F59))</f>
        <v>0.0105528935185185</v>
      </c>
      <c r="H59" s="12" t="n">
        <f aca="false">IF(INDEX(選手一覧!$E$7:$E$2738,$F59)="","",INDEX(選手一覧!$E$7:$E$2738,$F59))</f>
        <v>404</v>
      </c>
      <c r="I59" s="11" t="n">
        <f aca="false">IF(INDEX(選手一覧!$H$7:$H$2738,$F59)="","",INDEX(選手一覧!$H$7:$H$2738,$F59))</f>
        <v>0.00294768518518519</v>
      </c>
      <c r="J59" s="12" t="n">
        <f aca="false">IF(INDEX(選手一覧!$I$7:$I$2738,$F59)="","",INDEX(選手一覧!$I$7:$I$2738,$F59))</f>
        <v>1225</v>
      </c>
    </row>
    <row r="60" customFormat="false" ht="15" hidden="false" customHeight="false" outlineLevel="0" collapsed="false">
      <c r="A60" s="12" t="n">
        <v>56</v>
      </c>
      <c r="B60" s="10" t="s">
        <v>258</v>
      </c>
      <c r="C60" s="10" t="s">
        <v>259</v>
      </c>
      <c r="D60" s="11" t="n">
        <v>0.00656701388888889</v>
      </c>
      <c r="E60" s="18" t="n">
        <f aca="false">ROUND((D60-$D$5)*86400,2)</f>
        <v>28.37</v>
      </c>
      <c r="F60" s="12" t="n">
        <v>141</v>
      </c>
      <c r="G60" s="11" t="str">
        <f aca="false">IF(INDEX(選手一覧!$D$7:$D$2738,$F60)="","",INDEX(選手一覧!$D$7:$D$2738,$F60))</f>
        <v/>
      </c>
      <c r="H60" s="12" t="str">
        <f aca="false">IF(INDEX(選手一覧!$E$7:$E$2738,$F60)="","",INDEX(選手一覧!$E$7:$E$2738,$F60))</f>
        <v/>
      </c>
      <c r="I60" s="11" t="n">
        <f aca="false">IF(INDEX(選手一覧!$H$7:$H$2738,$F60)="","",INDEX(選手一覧!$H$7:$H$2738,$F60))</f>
        <v>0.0028380787037037</v>
      </c>
      <c r="J60" s="12" t="n">
        <f aca="false">IF(INDEX(選手一覧!$I$7:$I$2738,$F60)="","",INDEX(選手一覧!$I$7:$I$2738,$F60))</f>
        <v>483</v>
      </c>
    </row>
    <row r="61" customFormat="false" ht="15" hidden="false" customHeight="false" outlineLevel="0" collapsed="false">
      <c r="A61" s="12" t="n">
        <v>57</v>
      </c>
      <c r="B61" s="10" t="s">
        <v>262</v>
      </c>
      <c r="C61" s="10" t="s">
        <v>263</v>
      </c>
      <c r="D61" s="11" t="n">
        <v>0.00656898148148148</v>
      </c>
      <c r="E61" s="18" t="n">
        <f aca="false">ROUND((D61-$D$5)*86400,2)</f>
        <v>28.54</v>
      </c>
      <c r="F61" s="12" t="n">
        <v>143</v>
      </c>
      <c r="G61" s="11" t="n">
        <f aca="false">IF(INDEX(選手一覧!$D$7:$D$2738,$F61)="","",INDEX(選手一覧!$D$7:$D$2738,$F61))</f>
        <v>0.0104730324074074</v>
      </c>
      <c r="H61" s="12" t="n">
        <f aca="false">IF(INDEX(選手一覧!$E$7:$E$2738,$F61)="","",INDEX(選手一覧!$E$7:$E$2738,$F61))</f>
        <v>318</v>
      </c>
      <c r="I61" s="11" t="n">
        <f aca="false">IF(INDEX(選手一覧!$H$7:$H$2738,$F61)="","",INDEX(選手一覧!$H$7:$H$2738,$F61))</f>
        <v>0.00279351851851852</v>
      </c>
      <c r="J61" s="12" t="n">
        <f aca="false">IF(INDEX(選手一覧!$I$7:$I$2738,$F61)="","",INDEX(選手一覧!$I$7:$I$2738,$F61))</f>
        <v>251</v>
      </c>
    </row>
    <row r="62" customFormat="false" ht="15" hidden="false" customHeight="false" outlineLevel="0" collapsed="false">
      <c r="A62" s="12" t="n">
        <v>58</v>
      </c>
      <c r="B62" s="10" t="s">
        <v>266</v>
      </c>
      <c r="C62" s="10" t="s">
        <v>267</v>
      </c>
      <c r="D62" s="11" t="n">
        <v>0.00656909722222222</v>
      </c>
      <c r="E62" s="18" t="n">
        <f aca="false">ROUND((D62-$D$5)*86400,2)</f>
        <v>28.55</v>
      </c>
      <c r="F62" s="12" t="n">
        <v>146</v>
      </c>
      <c r="G62" s="11" t="n">
        <f aca="false">IF(INDEX(選手一覧!$D$7:$D$2738,$F62)="","",INDEX(選手一覧!$D$7:$D$2738,$F62))</f>
        <v>0.01085625</v>
      </c>
      <c r="H62" s="12" t="n">
        <f aca="false">IF(INDEX(選手一覧!$E$7:$E$2738,$F62)="","",INDEX(選手一覧!$E$7:$E$2738,$F62))</f>
        <v>844</v>
      </c>
      <c r="I62" s="11" t="n">
        <f aca="false">IF(INDEX(選手一覧!$H$7:$H$2738,$F62)="","",INDEX(選手一覧!$H$7:$H$2738,$F62))</f>
        <v>0.00284525462962963</v>
      </c>
      <c r="J62" s="12" t="n">
        <f aca="false">IF(INDEX(選手一覧!$I$7:$I$2738,$F62)="","",INDEX(選手一覧!$I$7:$I$2738,$F62))</f>
        <v>538</v>
      </c>
    </row>
    <row r="63" customFormat="false" ht="15" hidden="false" customHeight="false" outlineLevel="0" collapsed="false">
      <c r="A63" s="12" t="n">
        <v>59</v>
      </c>
      <c r="B63" s="10" t="s">
        <v>268</v>
      </c>
      <c r="C63" s="10" t="s">
        <v>122</v>
      </c>
      <c r="D63" s="11" t="n">
        <v>0.00657083333333333</v>
      </c>
      <c r="E63" s="18" t="n">
        <f aca="false">ROUND((D63-$D$5)*86400,2)</f>
        <v>28.7</v>
      </c>
      <c r="F63" s="12" t="n">
        <v>147</v>
      </c>
      <c r="G63" s="11" t="n">
        <f aca="false">IF(INDEX(選手一覧!$D$7:$D$2738,$F63)="","",INDEX(選手一覧!$D$7:$D$2738,$F63))</f>
        <v>0.0104480324074074</v>
      </c>
      <c r="H63" s="12" t="n">
        <f aca="false">IF(INDEX(選手一覧!$E$7:$E$2738,$F63)="","",INDEX(選手一覧!$E$7:$E$2738,$F63))</f>
        <v>301</v>
      </c>
      <c r="I63" s="11" t="n">
        <f aca="false">IF(INDEX(選手一覧!$H$7:$H$2738,$F63)="","",INDEX(選手一覧!$H$7:$H$2738,$F63))</f>
        <v>0.00284861111111111</v>
      </c>
      <c r="J63" s="12" t="n">
        <f aca="false">IF(INDEX(選手一覧!$I$7:$I$2738,$F63)="","",INDEX(選手一覧!$I$7:$I$2738,$F63))</f>
        <v>559</v>
      </c>
    </row>
    <row r="64" customFormat="false" ht="15" hidden="false" customHeight="false" outlineLevel="0" collapsed="false">
      <c r="A64" s="12" t="n">
        <v>60</v>
      </c>
      <c r="B64" s="10" t="s">
        <v>273</v>
      </c>
      <c r="C64" s="10" t="s">
        <v>124</v>
      </c>
      <c r="D64" s="11" t="n">
        <v>0.00657152777777778</v>
      </c>
      <c r="E64" s="18" t="n">
        <f aca="false">ROUND((D64-$D$5)*86400,2)</f>
        <v>28.76</v>
      </c>
      <c r="F64" s="12" t="n">
        <v>151</v>
      </c>
      <c r="G64" s="11" t="n">
        <f aca="false">IF(INDEX(選手一覧!$D$7:$D$2738,$F64)="","",INDEX(選手一覧!$D$7:$D$2738,$F64))</f>
        <v>0.0105637731481482</v>
      </c>
      <c r="H64" s="12" t="n">
        <f aca="false">IF(INDEX(選手一覧!$E$7:$E$2738,$F64)="","",INDEX(選手一覧!$E$7:$E$2738,$F64))</f>
        <v>415</v>
      </c>
      <c r="I64" s="11" t="str">
        <f aca="false">IF(INDEX(選手一覧!$H$7:$H$2738,$F64)="","",INDEX(選手一覧!$H$7:$H$2738,$F64))</f>
        <v/>
      </c>
      <c r="J64" s="12" t="str">
        <f aca="false">IF(INDEX(選手一覧!$I$7:$I$2738,$F64)="","",INDEX(選手一覧!$I$7:$I$2738,$F64))</f>
        <v/>
      </c>
    </row>
    <row r="65" customFormat="false" ht="15" hidden="false" customHeight="false" outlineLevel="0" collapsed="false">
      <c r="A65" s="12" t="n">
        <v>61</v>
      </c>
      <c r="B65" s="10" t="s">
        <v>275</v>
      </c>
      <c r="C65" s="10" t="s">
        <v>193</v>
      </c>
      <c r="D65" s="11" t="n">
        <v>0.006571875</v>
      </c>
      <c r="E65" s="18" t="n">
        <f aca="false">ROUND((D65-$D$5)*86400,2)</f>
        <v>28.79</v>
      </c>
      <c r="F65" s="12" t="n">
        <v>153</v>
      </c>
      <c r="G65" s="11" t="n">
        <f aca="false">IF(INDEX(選手一覧!$D$7:$D$2738,$F65)="","",INDEX(選手一覧!$D$7:$D$2738,$F65))</f>
        <v>0.0110438657407407</v>
      </c>
      <c r="H65" s="12" t="n">
        <f aca="false">IF(INDEX(選手一覧!$E$7:$E$2738,$F65)="","",INDEX(選手一覧!$E$7:$E$2738,$F65))</f>
        <v>1186</v>
      </c>
      <c r="I65" s="11" t="str">
        <f aca="false">IF(INDEX(選手一覧!$H$7:$H$2738,$F65)="","",INDEX(選手一覧!$H$7:$H$2738,$F65))</f>
        <v/>
      </c>
      <c r="J65" s="12" t="str">
        <f aca="false">IF(INDEX(選手一覧!$I$7:$I$2738,$F65)="","",INDEX(選手一覧!$I$7:$I$2738,$F65))</f>
        <v/>
      </c>
    </row>
    <row r="66" customFormat="false" ht="15" hidden="false" customHeight="false" outlineLevel="0" collapsed="false">
      <c r="A66" s="12" t="n">
        <v>62</v>
      </c>
      <c r="B66" s="10" t="s">
        <v>278</v>
      </c>
      <c r="C66" s="10" t="s">
        <v>279</v>
      </c>
      <c r="D66" s="11" t="n">
        <v>0.00658078703703704</v>
      </c>
      <c r="E66" s="18" t="n">
        <f aca="false">ROUND((D66-$D$5)*86400,2)</f>
        <v>29.56</v>
      </c>
      <c r="F66" s="12" t="n">
        <v>155</v>
      </c>
      <c r="G66" s="11" t="n">
        <f aca="false">IF(INDEX(選手一覧!$D$7:$D$2738,$F66)="","",INDEX(選手一覧!$D$7:$D$2738,$F66))</f>
        <v>0.010794212962963</v>
      </c>
      <c r="H66" s="12" t="n">
        <f aca="false">IF(INDEX(選手一覧!$E$7:$E$2738,$F66)="","",INDEX(選手一覧!$E$7:$E$2738,$F66))</f>
        <v>733</v>
      </c>
      <c r="I66" s="11" t="n">
        <f aca="false">IF(INDEX(選手一覧!$H$7:$H$2738,$F66)="","",INDEX(選手一覧!$H$7:$H$2738,$F66))</f>
        <v>0.00291354166666667</v>
      </c>
      <c r="J66" s="12" t="n">
        <f aca="false">IF(INDEX(選手一覧!$I$7:$I$2738,$F66)="","",INDEX(選手一覧!$I$7:$I$2738,$F66))</f>
        <v>1046</v>
      </c>
    </row>
    <row r="67" customFormat="false" ht="15" hidden="false" customHeight="false" outlineLevel="0" collapsed="false">
      <c r="A67" s="12" t="n">
        <v>63</v>
      </c>
      <c r="B67" s="10" t="s">
        <v>281</v>
      </c>
      <c r="C67" s="10" t="s">
        <v>282</v>
      </c>
      <c r="D67" s="11" t="n">
        <v>0.00658125</v>
      </c>
      <c r="E67" s="18" t="n">
        <f aca="false">ROUND((D67-$D$5)*86400,2)</f>
        <v>29.6</v>
      </c>
      <c r="F67" s="12" t="n">
        <v>157</v>
      </c>
      <c r="G67" s="11" t="str">
        <f aca="false">IF(INDEX(選手一覧!$D$7:$D$2738,$F67)="","",INDEX(選手一覧!$D$7:$D$2738,$F67))</f>
        <v/>
      </c>
      <c r="H67" s="12" t="str">
        <f aca="false">IF(INDEX(選手一覧!$E$7:$E$2738,$F67)="","",INDEX(選手一覧!$E$7:$E$2738,$F67))</f>
        <v/>
      </c>
      <c r="I67" s="11" t="n">
        <f aca="false">IF(INDEX(選手一覧!$H$7:$H$2738,$F67)="","",INDEX(選手一覧!$H$7:$H$2738,$F67))</f>
        <v>0.00282916666666667</v>
      </c>
      <c r="J67" s="12" t="n">
        <f aca="false">IF(INDEX(選手一覧!$I$7:$I$2738,$F67)="","",INDEX(選手一覧!$I$7:$I$2738,$F67))</f>
        <v>421</v>
      </c>
    </row>
    <row r="68" customFormat="false" ht="15" hidden="false" customHeight="false" outlineLevel="0" collapsed="false">
      <c r="A68" s="12" t="n">
        <v>64</v>
      </c>
      <c r="B68" s="10" t="s">
        <v>287</v>
      </c>
      <c r="C68" s="10" t="s">
        <v>288</v>
      </c>
      <c r="D68" s="11" t="n">
        <v>0.00658298611111111</v>
      </c>
      <c r="E68" s="18" t="n">
        <f aca="false">ROUND((D68-$D$5)*86400,2)</f>
        <v>29.75</v>
      </c>
      <c r="F68" s="12" t="n">
        <v>161</v>
      </c>
      <c r="G68" s="11" t="str">
        <f aca="false">IF(INDEX(選手一覧!$D$7:$D$2738,$F68)="","",INDEX(選手一覧!$D$7:$D$2738,$F68))</f>
        <v/>
      </c>
      <c r="H68" s="12" t="str">
        <f aca="false">IF(INDEX(選手一覧!$E$7:$E$2738,$F68)="","",INDEX(選手一覧!$E$7:$E$2738,$F68))</f>
        <v/>
      </c>
      <c r="I68" s="11" t="str">
        <f aca="false">IF(INDEX(選手一覧!$H$7:$H$2738,$F68)="","",INDEX(選手一覧!$H$7:$H$2738,$F68))</f>
        <v/>
      </c>
      <c r="J68" s="12" t="str">
        <f aca="false">IF(INDEX(選手一覧!$I$7:$I$2738,$F68)="","",INDEX(選手一覧!$I$7:$I$2738,$F68))</f>
        <v/>
      </c>
    </row>
    <row r="69" customFormat="false" ht="15" hidden="false" customHeight="false" outlineLevel="0" collapsed="false">
      <c r="A69" s="12" t="n">
        <v>65</v>
      </c>
      <c r="B69" s="10" t="s">
        <v>289</v>
      </c>
      <c r="C69" s="10" t="s">
        <v>290</v>
      </c>
      <c r="D69" s="11" t="n">
        <v>0.00658587962962963</v>
      </c>
      <c r="E69" s="18" t="n">
        <f aca="false">ROUND((D69-$D$5)*86400,2)</f>
        <v>30</v>
      </c>
      <c r="F69" s="12" t="n">
        <v>162</v>
      </c>
      <c r="G69" s="11" t="str">
        <f aca="false">IF(INDEX(選手一覧!$D$7:$D$2738,$F69)="","",INDEX(選手一覧!$D$7:$D$2738,$F69))</f>
        <v/>
      </c>
      <c r="H69" s="12" t="str">
        <f aca="false">IF(INDEX(選手一覧!$E$7:$E$2738,$F69)="","",INDEX(選手一覧!$E$7:$E$2738,$F69))</f>
        <v/>
      </c>
      <c r="I69" s="11" t="str">
        <f aca="false">IF(INDEX(選手一覧!$H$7:$H$2738,$F69)="","",INDEX(選手一覧!$H$7:$H$2738,$F69))</f>
        <v/>
      </c>
      <c r="J69" s="12" t="str">
        <f aca="false">IF(INDEX(選手一覧!$I$7:$I$2738,$F69)="","",INDEX(選手一覧!$I$7:$I$2738,$F69))</f>
        <v/>
      </c>
    </row>
    <row r="70" customFormat="false" ht="15" hidden="false" customHeight="false" outlineLevel="0" collapsed="false">
      <c r="A70" s="12" t="n">
        <v>66</v>
      </c>
      <c r="B70" s="10" t="s">
        <v>291</v>
      </c>
      <c r="C70" s="10" t="s">
        <v>120</v>
      </c>
      <c r="D70" s="11" t="n">
        <v>0.00659155092592593</v>
      </c>
      <c r="E70" s="18" t="n">
        <f aca="false">ROUND((D70-$D$5)*86400,2)</f>
        <v>30.49</v>
      </c>
      <c r="F70" s="12" t="n">
        <v>163</v>
      </c>
      <c r="G70" s="11" t="n">
        <f aca="false">IF(INDEX(選手一覧!$D$7:$D$2738,$F70)="","",INDEX(選手一覧!$D$7:$D$2738,$F70))</f>
        <v>0.0106621527777778</v>
      </c>
      <c r="H70" s="12" t="n">
        <f aca="false">IF(INDEX(選手一覧!$E$7:$E$2738,$F70)="","",INDEX(選手一覧!$E$7:$E$2738,$F70))</f>
        <v>537</v>
      </c>
      <c r="I70" s="11" t="str">
        <f aca="false">IF(INDEX(選手一覧!$H$7:$H$2738,$F70)="","",INDEX(選手一覧!$H$7:$H$2738,$F70))</f>
        <v/>
      </c>
      <c r="J70" s="12" t="str">
        <f aca="false">IF(INDEX(選手一覧!$I$7:$I$2738,$F70)="","",INDEX(選手一覧!$I$7:$I$2738,$F70))</f>
        <v/>
      </c>
    </row>
    <row r="71" customFormat="false" ht="15" hidden="false" customHeight="false" outlineLevel="0" collapsed="false">
      <c r="A71" s="12" t="n">
        <v>67</v>
      </c>
      <c r="B71" s="10" t="s">
        <v>293</v>
      </c>
      <c r="C71" s="10" t="s">
        <v>87</v>
      </c>
      <c r="D71" s="11" t="n">
        <v>0.00659479166666667</v>
      </c>
      <c r="E71" s="18" t="n">
        <f aca="false">ROUND((D71-$D$5)*86400,2)</f>
        <v>30.77</v>
      </c>
      <c r="F71" s="12" t="n">
        <v>165</v>
      </c>
      <c r="G71" s="11" t="n">
        <f aca="false">IF(INDEX(選手一覧!$D$7:$D$2738,$F71)="","",INDEX(選手一覧!$D$7:$D$2738,$F71))</f>
        <v>0.0106052083333333</v>
      </c>
      <c r="H71" s="12" t="n">
        <f aca="false">IF(INDEX(選手一覧!$E$7:$E$2738,$F71)="","",INDEX(選手一覧!$E$7:$E$2738,$F71))</f>
        <v>468</v>
      </c>
      <c r="I71" s="11" t="n">
        <f aca="false">IF(INDEX(選手一覧!$H$7:$H$2738,$F71)="","",INDEX(選手一覧!$H$7:$H$2738,$F71))</f>
        <v>0.0027806712962963</v>
      </c>
      <c r="J71" s="12" t="n">
        <f aca="false">IF(INDEX(選手一覧!$I$7:$I$2738,$F71)="","",INDEX(選手一覧!$I$7:$I$2738,$F71))</f>
        <v>205</v>
      </c>
    </row>
    <row r="72" customFormat="false" ht="15" hidden="false" customHeight="false" outlineLevel="0" collapsed="false">
      <c r="A72" s="12" t="n">
        <v>68</v>
      </c>
      <c r="B72" s="10" t="s">
        <v>296</v>
      </c>
      <c r="C72" s="10" t="s">
        <v>39</v>
      </c>
      <c r="D72" s="11" t="n">
        <v>0.00659895833333333</v>
      </c>
      <c r="E72" s="18" t="n">
        <f aca="false">ROUND((D72-$D$5)*86400,2)</f>
        <v>31.13</v>
      </c>
      <c r="F72" s="12" t="n">
        <v>167</v>
      </c>
      <c r="G72" s="11" t="n">
        <f aca="false">IF(INDEX(選手一覧!$D$7:$D$2738,$F72)="","",INDEX(選手一覧!$D$7:$D$2738,$F72))</f>
        <v>0.0105496527777778</v>
      </c>
      <c r="H72" s="12" t="n">
        <f aca="false">IF(INDEX(選手一覧!$E$7:$E$2738,$F72)="","",INDEX(選手一覧!$E$7:$E$2738,$F72))</f>
        <v>398</v>
      </c>
      <c r="I72" s="11" t="n">
        <f aca="false">IF(INDEX(選手一覧!$H$7:$H$2738,$F72)="","",INDEX(選手一覧!$H$7:$H$2738,$F72))</f>
        <v>0.00293402777777778</v>
      </c>
      <c r="J72" s="12" t="n">
        <f aca="false">IF(INDEX(選手一覧!$I$7:$I$2738,$F72)="","",INDEX(選手一覧!$I$7:$I$2738,$F72))</f>
        <v>1183</v>
      </c>
    </row>
    <row r="73" customFormat="false" ht="15" hidden="false" customHeight="false" outlineLevel="0" collapsed="false">
      <c r="A73" s="12" t="n">
        <v>69</v>
      </c>
      <c r="B73" s="10" t="s">
        <v>299</v>
      </c>
      <c r="C73" s="10" t="s">
        <v>300</v>
      </c>
      <c r="D73" s="11" t="n">
        <v>0.0066087962962963</v>
      </c>
      <c r="E73" s="18" t="n">
        <f aca="false">ROUND((D73-$D$5)*86400,2)</f>
        <v>31.98</v>
      </c>
      <c r="F73" s="12" t="n">
        <v>169</v>
      </c>
      <c r="G73" s="11" t="n">
        <f aca="false">IF(INDEX(選手一覧!$D$7:$D$2738,$F73)="","",INDEX(選手一覧!$D$7:$D$2738,$F73))</f>
        <v>0.010846412037037</v>
      </c>
      <c r="H73" s="12" t="n">
        <f aca="false">IF(INDEX(選手一覧!$E$7:$E$2738,$F73)="","",INDEX(選手一覧!$E$7:$E$2738,$F73))</f>
        <v>827</v>
      </c>
      <c r="I73" s="11" t="n">
        <f aca="false">IF(INDEX(選手一覧!$H$7:$H$2738,$F73)="","",INDEX(選手一覧!$H$7:$H$2738,$F73))</f>
        <v>0.00290763888888889</v>
      </c>
      <c r="J73" s="12" t="n">
        <f aca="false">IF(INDEX(選手一覧!$I$7:$I$2738,$F73)="","",INDEX(選手一覧!$I$7:$I$2738,$F73))</f>
        <v>997</v>
      </c>
    </row>
    <row r="74" customFormat="false" ht="15" hidden="false" customHeight="false" outlineLevel="0" collapsed="false">
      <c r="A74" s="12" t="n">
        <v>70</v>
      </c>
      <c r="B74" s="10" t="s">
        <v>304</v>
      </c>
      <c r="C74" s="10" t="s">
        <v>109</v>
      </c>
      <c r="D74" s="11" t="n">
        <v>0.00661006944444444</v>
      </c>
      <c r="E74" s="18" t="n">
        <f aca="false">ROUND((D74-$D$5)*86400,2)</f>
        <v>32.09</v>
      </c>
      <c r="F74" s="12" t="n">
        <v>172</v>
      </c>
      <c r="G74" s="11" t="n">
        <f aca="false">IF(INDEX(選手一覧!$D$7:$D$2738,$F74)="","",INDEX(選手一覧!$D$7:$D$2738,$F74))</f>
        <v>0.0109865740740741</v>
      </c>
      <c r="H74" s="12" t="n">
        <f aca="false">IF(INDEX(選手一覧!$E$7:$E$2738,$F74)="","",INDEX(選手一覧!$E$7:$E$2738,$F74))</f>
        <v>1073</v>
      </c>
      <c r="I74" s="11" t="n">
        <f aca="false">IF(INDEX(選手一覧!$H$7:$H$2738,$F74)="","",INDEX(選手一覧!$H$7:$H$2738,$F74))</f>
        <v>0.00288993055555556</v>
      </c>
      <c r="J74" s="12" t="n">
        <f aca="false">IF(INDEX(選手一覧!$I$7:$I$2738,$F74)="","",INDEX(選手一覧!$I$7:$I$2738,$F74))</f>
        <v>864</v>
      </c>
    </row>
    <row r="75" customFormat="false" ht="15" hidden="false" customHeight="false" outlineLevel="0" collapsed="false">
      <c r="A75" s="12" t="n">
        <v>71</v>
      </c>
      <c r="B75" s="10" t="s">
        <v>308</v>
      </c>
      <c r="C75" s="10" t="s">
        <v>309</v>
      </c>
      <c r="D75" s="11" t="n">
        <v>0.00661840277777778</v>
      </c>
      <c r="E75" s="18" t="n">
        <f aca="false">ROUND((D75-$D$5)*86400,2)</f>
        <v>32.81</v>
      </c>
      <c r="F75" s="12" t="n">
        <v>175</v>
      </c>
      <c r="G75" s="11" t="n">
        <f aca="false">IF(INDEX(選手一覧!$D$7:$D$2738,$F75)="","",INDEX(選手一覧!$D$7:$D$2738,$F75))</f>
        <v>0.0106396990740741</v>
      </c>
      <c r="H75" s="12" t="n">
        <f aca="false">IF(INDEX(選手一覧!$E$7:$E$2738,$F75)="","",INDEX(選手一覧!$E$7:$E$2738,$F75))</f>
        <v>509</v>
      </c>
      <c r="I75" s="11" t="n">
        <f aca="false">IF(INDEX(選手一覧!$H$7:$H$2738,$F75)="","",INDEX(選手一覧!$H$7:$H$2738,$F75))</f>
        <v>0.002884375</v>
      </c>
      <c r="J75" s="12" t="n">
        <f aca="false">IF(INDEX(選手一覧!$I$7:$I$2738,$F75)="","",INDEX(選手一覧!$I$7:$I$2738,$F75))</f>
        <v>811</v>
      </c>
    </row>
    <row r="76" customFormat="false" ht="15" hidden="false" customHeight="false" outlineLevel="0" collapsed="false">
      <c r="A76" s="12" t="n">
        <v>72</v>
      </c>
      <c r="B76" s="10" t="s">
        <v>314</v>
      </c>
      <c r="C76" s="10" t="s">
        <v>315</v>
      </c>
      <c r="D76" s="11" t="n">
        <v>0.00662453703703704</v>
      </c>
      <c r="E76" s="18" t="n">
        <f aca="false">ROUND((D76-$D$5)*86400,2)</f>
        <v>33.34</v>
      </c>
      <c r="F76" s="12" t="n">
        <v>179</v>
      </c>
      <c r="G76" s="11" t="str">
        <f aca="false">IF(INDEX(選手一覧!$D$7:$D$2738,$F76)="","",INDEX(選手一覧!$D$7:$D$2738,$F76))</f>
        <v/>
      </c>
      <c r="H76" s="12" t="str">
        <f aca="false">IF(INDEX(選手一覧!$E$7:$E$2738,$F76)="","",INDEX(選手一覧!$E$7:$E$2738,$F76))</f>
        <v/>
      </c>
      <c r="I76" s="11" t="str">
        <f aca="false">IF(INDEX(選手一覧!$H$7:$H$2738,$F76)="","",INDEX(選手一覧!$H$7:$H$2738,$F76))</f>
        <v/>
      </c>
      <c r="J76" s="12" t="str">
        <f aca="false">IF(INDEX(選手一覧!$I$7:$I$2738,$F76)="","",INDEX(選手一覧!$I$7:$I$2738,$F76))</f>
        <v/>
      </c>
    </row>
    <row r="77" customFormat="false" ht="15" hidden="false" customHeight="false" outlineLevel="0" collapsed="false">
      <c r="A77" s="12" t="n">
        <v>73</v>
      </c>
      <c r="B77" s="10" t="s">
        <v>316</v>
      </c>
      <c r="C77" s="10" t="s">
        <v>317</v>
      </c>
      <c r="D77" s="11" t="n">
        <v>0.0066275462962963</v>
      </c>
      <c r="E77" s="18" t="n">
        <f aca="false">ROUND((D77-$D$5)*86400,2)</f>
        <v>33.6</v>
      </c>
      <c r="F77" s="12" t="n">
        <v>180</v>
      </c>
      <c r="G77" s="11" t="n">
        <f aca="false">IF(INDEX(選手一覧!$D$7:$D$2738,$F77)="","",INDEX(選手一覧!$D$7:$D$2738,$F77))</f>
        <v>0.0107778935185185</v>
      </c>
      <c r="H77" s="12" t="n">
        <f aca="false">IF(INDEX(選手一覧!$E$7:$E$2738,$F77)="","",INDEX(選手一覧!$E$7:$E$2738,$F77))</f>
        <v>705</v>
      </c>
      <c r="I77" s="11" t="n">
        <f aca="false">IF(INDEX(選手一覧!$H$7:$H$2738,$F77)="","",INDEX(選手一覧!$H$7:$H$2738,$F77))</f>
        <v>0.00289895833333333</v>
      </c>
      <c r="J77" s="12" t="n">
        <f aca="false">IF(INDEX(選手一覧!$I$7:$I$2738,$F77)="","",INDEX(選手一覧!$I$7:$I$2738,$F77))</f>
        <v>938</v>
      </c>
    </row>
    <row r="78" customFormat="false" ht="15" hidden="false" customHeight="false" outlineLevel="0" collapsed="false">
      <c r="A78" s="12" t="n">
        <v>74</v>
      </c>
      <c r="B78" s="10" t="s">
        <v>320</v>
      </c>
      <c r="C78" s="10" t="s">
        <v>261</v>
      </c>
      <c r="D78" s="11" t="n">
        <v>0.00663287037037037</v>
      </c>
      <c r="E78" s="18" t="n">
        <f aca="false">ROUND((D78-$D$5)*86400,2)</f>
        <v>34.06</v>
      </c>
      <c r="F78" s="12" t="n">
        <v>183</v>
      </c>
      <c r="G78" s="11" t="n">
        <f aca="false">IF(INDEX(選手一覧!$D$7:$D$2738,$F78)="","",INDEX(選手一覧!$D$7:$D$2738,$F78))</f>
        <v>0.01075625</v>
      </c>
      <c r="H78" s="12" t="n">
        <f aca="false">IF(INDEX(選手一覧!$E$7:$E$2738,$F78)="","",INDEX(選手一覧!$E$7:$E$2738,$F78))</f>
        <v>677</v>
      </c>
      <c r="I78" s="11" t="str">
        <f aca="false">IF(INDEX(選手一覧!$H$7:$H$2738,$F78)="","",INDEX(選手一覧!$H$7:$H$2738,$F78))</f>
        <v/>
      </c>
      <c r="J78" s="12" t="str">
        <f aca="false">IF(INDEX(選手一覧!$I$7:$I$2738,$F78)="","",INDEX(選手一覧!$I$7:$I$2738,$F78))</f>
        <v/>
      </c>
    </row>
    <row r="79" customFormat="false" ht="15" hidden="false" customHeight="false" outlineLevel="0" collapsed="false">
      <c r="A79" s="12" t="n">
        <v>75</v>
      </c>
      <c r="B79" s="10" t="s">
        <v>322</v>
      </c>
      <c r="C79" s="10" t="s">
        <v>323</v>
      </c>
      <c r="D79" s="11" t="n">
        <v>0.0066337962962963</v>
      </c>
      <c r="E79" s="18" t="n">
        <f aca="false">ROUND((D79-$D$5)*86400,2)</f>
        <v>34.14</v>
      </c>
      <c r="F79" s="12" t="n">
        <v>185</v>
      </c>
      <c r="G79" s="11" t="n">
        <f aca="false">IF(INDEX(選手一覧!$D$7:$D$2738,$F79)="","",INDEX(選手一覧!$D$7:$D$2738,$F79))</f>
        <v>0.0108936342592593</v>
      </c>
      <c r="H79" s="12" t="n">
        <f aca="false">IF(INDEX(選手一覧!$E$7:$E$2738,$F79)="","",INDEX(選手一覧!$E$7:$E$2738,$F79))</f>
        <v>909</v>
      </c>
      <c r="I79" s="11" t="str">
        <f aca="false">IF(INDEX(選手一覧!$H$7:$H$2738,$F79)="","",INDEX(選手一覧!$H$7:$H$2738,$F79))</f>
        <v/>
      </c>
      <c r="J79" s="12" t="str">
        <f aca="false">IF(INDEX(選手一覧!$I$7:$I$2738,$F79)="","",INDEX(選手一覧!$I$7:$I$2738,$F79))</f>
        <v/>
      </c>
    </row>
    <row r="80" customFormat="false" ht="15" hidden="false" customHeight="false" outlineLevel="0" collapsed="false">
      <c r="A80" s="12" t="n">
        <v>76</v>
      </c>
      <c r="B80" s="10" t="s">
        <v>324</v>
      </c>
      <c r="C80" s="10" t="s">
        <v>72</v>
      </c>
      <c r="D80" s="11" t="n">
        <v>0.00663680555555556</v>
      </c>
      <c r="E80" s="18" t="n">
        <f aca="false">ROUND((D80-$D$5)*86400,2)</f>
        <v>34.4</v>
      </c>
      <c r="F80" s="12" t="n">
        <v>186</v>
      </c>
      <c r="G80" s="11" t="n">
        <f aca="false">IF(INDEX(選手一覧!$D$7:$D$2738,$F80)="","",INDEX(選手一覧!$D$7:$D$2738,$F80))</f>
        <v>0.0104962962962963</v>
      </c>
      <c r="H80" s="12" t="n">
        <f aca="false">IF(INDEX(選手一覧!$E$7:$E$2738,$F80)="","",INDEX(選手一覧!$E$7:$E$2738,$F80))</f>
        <v>338</v>
      </c>
      <c r="I80" s="11" t="n">
        <f aca="false">IF(INDEX(選手一覧!$H$7:$H$2738,$F80)="","",INDEX(選手一覧!$H$7:$H$2738,$F80))</f>
        <v>0.00287071759259259</v>
      </c>
      <c r="J80" s="12" t="n">
        <f aca="false">IF(INDEX(選手一覧!$I$7:$I$2738,$F80)="","",INDEX(選手一覧!$I$7:$I$2738,$F80))</f>
        <v>701</v>
      </c>
    </row>
    <row r="81" customFormat="false" ht="15" hidden="false" customHeight="false" outlineLevel="0" collapsed="false">
      <c r="A81" s="12" t="n">
        <v>77</v>
      </c>
      <c r="B81" s="10" t="s">
        <v>328</v>
      </c>
      <c r="C81" s="10" t="s">
        <v>23</v>
      </c>
      <c r="D81" s="11" t="n">
        <v>0.00663773148148148</v>
      </c>
      <c r="E81" s="18" t="n">
        <f aca="false">ROUND((D81-$D$5)*86400,2)</f>
        <v>34.48</v>
      </c>
      <c r="F81" s="12" t="n">
        <v>189</v>
      </c>
      <c r="G81" s="11" t="n">
        <f aca="false">IF(INDEX(選手一覧!$D$7:$D$2738,$F81)="","",INDEX(選手一覧!$D$7:$D$2738,$F81))</f>
        <v>0.0104017361111111</v>
      </c>
      <c r="H81" s="12" t="n">
        <f aca="false">IF(INDEX(選手一覧!$E$7:$E$2738,$F81)="","",INDEX(選手一覧!$E$7:$E$2738,$F81))</f>
        <v>268</v>
      </c>
      <c r="I81" s="11" t="str">
        <f aca="false">IF(INDEX(選手一覧!$H$7:$H$2738,$F81)="","",INDEX(選手一覧!$H$7:$H$2738,$F81))</f>
        <v/>
      </c>
      <c r="J81" s="12" t="str">
        <f aca="false">IF(INDEX(選手一覧!$I$7:$I$2738,$F81)="","",INDEX(選手一覧!$I$7:$I$2738,$F81))</f>
        <v/>
      </c>
    </row>
    <row r="82" customFormat="false" ht="15" hidden="false" customHeight="false" outlineLevel="0" collapsed="false">
      <c r="A82" s="12" t="n">
        <v>78</v>
      </c>
      <c r="B82" s="10" t="s">
        <v>331</v>
      </c>
      <c r="C82" s="10" t="s">
        <v>208</v>
      </c>
      <c r="D82" s="11" t="n">
        <v>0.00663900462962963</v>
      </c>
      <c r="E82" s="18" t="n">
        <f aca="false">ROUND((D82-$D$5)*86400,2)</f>
        <v>34.59</v>
      </c>
      <c r="F82" s="12" t="n">
        <v>192</v>
      </c>
      <c r="G82" s="11" t="n">
        <f aca="false">IF(INDEX(選手一覧!$D$7:$D$2738,$F82)="","",INDEX(選手一覧!$D$7:$D$2738,$F82))</f>
        <v>0.0104184027777778</v>
      </c>
      <c r="H82" s="12" t="n">
        <f aca="false">IF(INDEX(選手一覧!$E$7:$E$2738,$F82)="","",INDEX(選手一覧!$E$7:$E$2738,$F82))</f>
        <v>283</v>
      </c>
      <c r="I82" s="11" t="n">
        <f aca="false">IF(INDEX(選手一覧!$H$7:$H$2738,$F82)="","",INDEX(選手一覧!$H$7:$H$2738,$F82))</f>
        <v>0.00285671296296296</v>
      </c>
      <c r="J82" s="12" t="n">
        <f aca="false">IF(INDEX(選手一覧!$I$7:$I$2738,$F82)="","",INDEX(選手一覧!$I$7:$I$2738,$F82))</f>
        <v>612</v>
      </c>
    </row>
    <row r="83" customFormat="false" ht="15" hidden="false" customHeight="false" outlineLevel="0" collapsed="false">
      <c r="A83" s="12" t="n">
        <v>79</v>
      </c>
      <c r="B83" s="10" t="s">
        <v>335</v>
      </c>
      <c r="C83" s="10" t="s">
        <v>154</v>
      </c>
      <c r="D83" s="11" t="n">
        <v>0.0066412037037037</v>
      </c>
      <c r="E83" s="18" t="n">
        <f aca="false">ROUND((D83-$D$5)*86400,2)</f>
        <v>34.78</v>
      </c>
      <c r="F83" s="12" t="n">
        <v>195</v>
      </c>
      <c r="G83" s="11" t="n">
        <f aca="false">IF(INDEX(選手一覧!$D$7:$D$2738,$F83)="","",INDEX(選手一覧!$D$7:$D$2738,$F83))</f>
        <v>0.0103547453703704</v>
      </c>
      <c r="H83" s="12" t="n">
        <f aca="false">IF(INDEX(選手一覧!$E$7:$E$2738,$F83)="","",INDEX(選手一覧!$E$7:$E$2738,$F83))</f>
        <v>209</v>
      </c>
      <c r="I83" s="11" t="n">
        <f aca="false">IF(INDEX(選手一覧!$H$7:$H$2738,$F83)="","",INDEX(選手一覧!$H$7:$H$2738,$F83))</f>
        <v>0.00275543981481482</v>
      </c>
      <c r="J83" s="12" t="n">
        <f aca="false">IF(INDEX(選手一覧!$I$7:$I$2738,$F83)="","",INDEX(選手一覧!$I$7:$I$2738,$F83))</f>
        <v>121</v>
      </c>
    </row>
    <row r="84" customFormat="false" ht="15" hidden="false" customHeight="false" outlineLevel="0" collapsed="false">
      <c r="A84" s="12" t="n">
        <v>80</v>
      </c>
      <c r="B84" s="10" t="s">
        <v>337</v>
      </c>
      <c r="C84" s="10" t="s">
        <v>338</v>
      </c>
      <c r="D84" s="11" t="n">
        <v>0.00664293981481482</v>
      </c>
      <c r="E84" s="18" t="n">
        <f aca="false">ROUND((D84-$D$5)*86400,2)</f>
        <v>34.93</v>
      </c>
      <c r="F84" s="12" t="n">
        <v>197</v>
      </c>
      <c r="G84" s="11" t="n">
        <f aca="false">IF(INDEX(選手一覧!$D$7:$D$2738,$F84)="","",INDEX(選手一覧!$D$7:$D$2738,$F84))</f>
        <v>0.0109703703703704</v>
      </c>
      <c r="H84" s="12" t="n">
        <f aca="false">IF(INDEX(選手一覧!$E$7:$E$2738,$F84)="","",INDEX(選手一覧!$E$7:$E$2738,$F84))</f>
        <v>1040</v>
      </c>
      <c r="I84" s="11" t="n">
        <f aca="false">IF(INDEX(選手一覧!$H$7:$H$2738,$F84)="","",INDEX(選手一覧!$H$7:$H$2738,$F84))</f>
        <v>0.00283680555555556</v>
      </c>
      <c r="J84" s="12" t="n">
        <f aca="false">IF(INDEX(選手一覧!$I$7:$I$2738,$F84)="","",INDEX(選手一覧!$I$7:$I$2738,$F84))</f>
        <v>476</v>
      </c>
    </row>
    <row r="85" customFormat="false" ht="15" hidden="false" customHeight="false" outlineLevel="0" collapsed="false">
      <c r="A85" s="12" t="n">
        <v>81</v>
      </c>
      <c r="B85" s="10" t="s">
        <v>340</v>
      </c>
      <c r="C85" s="10" t="s">
        <v>341</v>
      </c>
      <c r="D85" s="11" t="n">
        <v>0.0066474537037037</v>
      </c>
      <c r="E85" s="18" t="n">
        <f aca="false">ROUND((D85-$D$5)*86400,2)</f>
        <v>35.32</v>
      </c>
      <c r="F85" s="12" t="n">
        <v>199</v>
      </c>
      <c r="G85" s="11" t="n">
        <f aca="false">IF(INDEX(選手一覧!$D$7:$D$2738,$F85)="","",INDEX(選手一覧!$D$7:$D$2738,$F85))</f>
        <v>0.0108959490740741</v>
      </c>
      <c r="H85" s="12" t="n">
        <f aca="false">IF(INDEX(選手一覧!$E$7:$E$2738,$F85)="","",INDEX(選手一覧!$E$7:$E$2738,$F85))</f>
        <v>915</v>
      </c>
      <c r="I85" s="11" t="n">
        <f aca="false">IF(INDEX(選手一覧!$H$7:$H$2738,$F85)="","",INDEX(選手一覧!$H$7:$H$2738,$F85))</f>
        <v>0.00277650462962963</v>
      </c>
      <c r="J85" s="12" t="n">
        <f aca="false">IF(INDEX(選手一覧!$I$7:$I$2738,$F85)="","",INDEX(選手一覧!$I$7:$I$2738,$F85))</f>
        <v>184</v>
      </c>
    </row>
    <row r="86" customFormat="false" ht="15" hidden="false" customHeight="false" outlineLevel="0" collapsed="false">
      <c r="A86" s="12" t="n">
        <v>82</v>
      </c>
      <c r="B86" s="10" t="s">
        <v>344</v>
      </c>
      <c r="C86" s="10" t="s">
        <v>4014</v>
      </c>
      <c r="D86" s="11" t="n">
        <v>0.00664930555555556</v>
      </c>
      <c r="E86" s="18" t="n">
        <f aca="false">ROUND((D86-$D$5)*86400,2)</f>
        <v>35.48</v>
      </c>
      <c r="F86" s="12" t="n">
        <v>202</v>
      </c>
      <c r="G86" s="11" t="n">
        <f aca="false">IF(INDEX(選手一覧!$D$7:$D$2738,$F86)="","",INDEX(選手一覧!$D$7:$D$2738,$F86))</f>
        <v>0.010465162037037</v>
      </c>
      <c r="H86" s="12" t="n">
        <f aca="false">IF(INDEX(選手一覧!$E$7:$E$2738,$F86)="","",INDEX(選手一覧!$E$7:$E$2738,$F86))</f>
        <v>315</v>
      </c>
      <c r="I86" s="11" t="n">
        <f aca="false">IF(INDEX(選手一覧!$H$7:$H$2738,$F86)="","",INDEX(選手一覧!$H$7:$H$2738,$F86))</f>
        <v>0.00282824074074074</v>
      </c>
      <c r="J86" s="12" t="n">
        <f aca="false">IF(INDEX(選手一覧!$I$7:$I$2738,$F86)="","",INDEX(選手一覧!$I$7:$I$2738,$F86))</f>
        <v>413</v>
      </c>
    </row>
    <row r="87" customFormat="false" ht="15" hidden="false" customHeight="false" outlineLevel="0" collapsed="false">
      <c r="A87" s="12" t="n">
        <v>83</v>
      </c>
      <c r="B87" s="10" t="s">
        <v>346</v>
      </c>
      <c r="C87" s="10" t="s">
        <v>166</v>
      </c>
      <c r="D87" s="11" t="n">
        <v>0.00665</v>
      </c>
      <c r="E87" s="18" t="n">
        <f aca="false">ROUND((D87-$D$5)*86400,2)</f>
        <v>35.54</v>
      </c>
      <c r="F87" s="12" t="n">
        <v>203</v>
      </c>
      <c r="G87" s="11" t="n">
        <f aca="false">IF(INDEX(選手一覧!$D$7:$D$2738,$F87)="","",INDEX(選手一覧!$D$7:$D$2738,$F87))</f>
        <v>0.0107975694444444</v>
      </c>
      <c r="H87" s="12" t="n">
        <f aca="false">IF(INDEX(選手一覧!$E$7:$E$2738,$F87)="","",INDEX(選手一覧!$E$7:$E$2738,$F87))</f>
        <v>738</v>
      </c>
      <c r="I87" s="11" t="n">
        <f aca="false">IF(INDEX(選手一覧!$H$7:$H$2738,$F87)="","",INDEX(選手一覧!$H$7:$H$2738,$F87))</f>
        <v>0.00279027777777778</v>
      </c>
      <c r="J87" s="12" t="n">
        <f aca="false">IF(INDEX(選手一覧!$I$7:$I$2738,$F87)="","",INDEX(選手一覧!$I$7:$I$2738,$F87))</f>
        <v>241</v>
      </c>
    </row>
    <row r="88" customFormat="false" ht="15" hidden="false" customHeight="false" outlineLevel="0" collapsed="false">
      <c r="A88" s="12" t="n">
        <v>84</v>
      </c>
      <c r="B88" s="10" t="s">
        <v>349</v>
      </c>
      <c r="C88" s="10" t="s">
        <v>350</v>
      </c>
      <c r="D88" s="11" t="n">
        <v>0.00665277777777778</v>
      </c>
      <c r="E88" s="18" t="n">
        <f aca="false">ROUND((D88-$D$5)*86400,2)</f>
        <v>35.78</v>
      </c>
      <c r="F88" s="12" t="n">
        <v>205</v>
      </c>
      <c r="G88" s="11" t="n">
        <f aca="false">IF(INDEX(選手一覧!$D$7:$D$2738,$F88)="","",INDEX(選手一覧!$D$7:$D$2738,$F88))</f>
        <v>0.0101881944444444</v>
      </c>
      <c r="H88" s="12" t="n">
        <f aca="false">IF(INDEX(選手一覧!$E$7:$E$2738,$F88)="","",INDEX(選手一覧!$E$7:$E$2738,$F88))</f>
        <v>91</v>
      </c>
      <c r="I88" s="11" t="n">
        <f aca="false">IF(INDEX(選手一覧!$H$7:$H$2738,$F88)="","",INDEX(選手一覧!$H$7:$H$2738,$F88))</f>
        <v>0.00280810185185185</v>
      </c>
      <c r="J88" s="12" t="n">
        <f aca="false">IF(INDEX(選手一覧!$I$7:$I$2738,$F88)="","",INDEX(選手一覧!$I$7:$I$2738,$F88))</f>
        <v>317</v>
      </c>
    </row>
    <row r="89" customFormat="false" ht="15" hidden="false" customHeight="false" outlineLevel="0" collapsed="false">
      <c r="A89" s="12" t="n">
        <v>85</v>
      </c>
      <c r="B89" s="10" t="s">
        <v>351</v>
      </c>
      <c r="C89" s="10" t="s">
        <v>352</v>
      </c>
      <c r="D89" s="11" t="n">
        <v>0.00665532407407407</v>
      </c>
      <c r="E89" s="18" t="n">
        <f aca="false">ROUND((D89-$D$5)*86400,2)</f>
        <v>36</v>
      </c>
      <c r="F89" s="12" t="n">
        <v>206</v>
      </c>
      <c r="G89" s="11" t="n">
        <f aca="false">IF(INDEX(選手一覧!$D$7:$D$2738,$F89)="","",INDEX(選手一覧!$D$7:$D$2738,$F89))</f>
        <v>0.010646875</v>
      </c>
      <c r="H89" s="12" t="n">
        <f aca="false">IF(INDEX(選手一覧!$E$7:$E$2738,$F89)="","",INDEX(選手一覧!$E$7:$E$2738,$F89))</f>
        <v>519</v>
      </c>
      <c r="I89" s="11" t="n">
        <f aca="false">IF(INDEX(選手一覧!$H$7:$H$2738,$F89)="","",INDEX(選手一覧!$H$7:$H$2738,$F89))</f>
        <v>0.00282071759259259</v>
      </c>
      <c r="J89" s="12" t="n">
        <f aca="false">IF(INDEX(選手一覧!$I$7:$I$2738,$F89)="","",INDEX(選手一覧!$I$7:$I$2738,$F89))</f>
        <v>365</v>
      </c>
    </row>
    <row r="90" customFormat="false" ht="15" hidden="false" customHeight="false" outlineLevel="0" collapsed="false">
      <c r="A90" s="12" t="n">
        <v>86</v>
      </c>
      <c r="B90" s="10" t="s">
        <v>355</v>
      </c>
      <c r="C90" s="10" t="s">
        <v>179</v>
      </c>
      <c r="D90" s="11" t="n">
        <v>0.00665798611111111</v>
      </c>
      <c r="E90" s="18" t="n">
        <f aca="false">ROUND((D90-$D$5)*86400,2)</f>
        <v>36.23</v>
      </c>
      <c r="F90" s="12" t="n">
        <v>209</v>
      </c>
      <c r="G90" s="11" t="n">
        <f aca="false">IF(INDEX(選手一覧!$D$7:$D$2738,$F90)="","",INDEX(選手一覧!$D$7:$D$2738,$F90))</f>
        <v>0.0106728009259259</v>
      </c>
      <c r="H90" s="12" t="n">
        <f aca="false">IF(INDEX(選手一覧!$E$7:$E$2738,$F90)="","",INDEX(選手一覧!$E$7:$E$2738,$F90))</f>
        <v>552</v>
      </c>
      <c r="I90" s="11" t="n">
        <f aca="false">IF(INDEX(選手一覧!$H$7:$H$2738,$F90)="","",INDEX(選手一覧!$H$7:$H$2738,$F90))</f>
        <v>0.00286006944444445</v>
      </c>
      <c r="J90" s="12" t="n">
        <f aca="false">IF(INDEX(選手一覧!$I$7:$I$2738,$F90)="","",INDEX(選手一覧!$I$7:$I$2738,$F90))</f>
        <v>636</v>
      </c>
    </row>
    <row r="91" customFormat="false" ht="15" hidden="false" customHeight="false" outlineLevel="0" collapsed="false">
      <c r="A91" s="12" t="n">
        <v>87</v>
      </c>
      <c r="B91" s="10" t="s">
        <v>359</v>
      </c>
      <c r="C91" s="10" t="s">
        <v>53</v>
      </c>
      <c r="D91" s="11" t="n">
        <v>0.00665925925925926</v>
      </c>
      <c r="E91" s="18" t="n">
        <f aca="false">ROUND((D91-$D$5)*86400,2)</f>
        <v>36.34</v>
      </c>
      <c r="F91" s="12" t="n">
        <v>212</v>
      </c>
      <c r="G91" s="11" t="n">
        <f aca="false">IF(INDEX(選手一覧!$D$7:$D$2738,$F91)="","",INDEX(選手一覧!$D$7:$D$2738,$F91))</f>
        <v>0.0105715277777778</v>
      </c>
      <c r="H91" s="12" t="n">
        <f aca="false">IF(INDEX(選手一覧!$E$7:$E$2738,$F91)="","",INDEX(選手一覧!$E$7:$E$2738,$F91))</f>
        <v>425</v>
      </c>
      <c r="I91" s="11" t="str">
        <f aca="false">IF(INDEX(選手一覧!$H$7:$H$2738,$F91)="","",INDEX(選手一覧!$H$7:$H$2738,$F91))</f>
        <v/>
      </c>
      <c r="J91" s="12" t="str">
        <f aca="false">IF(INDEX(選手一覧!$I$7:$I$2738,$F91)="","",INDEX(選手一覧!$I$7:$I$2738,$F91))</f>
        <v/>
      </c>
    </row>
    <row r="92" customFormat="false" ht="15" hidden="false" customHeight="false" outlineLevel="0" collapsed="false">
      <c r="A92" s="12" t="n">
        <v>88</v>
      </c>
      <c r="B92" s="10" t="s">
        <v>360</v>
      </c>
      <c r="C92" s="10" t="s">
        <v>242</v>
      </c>
      <c r="D92" s="11" t="n">
        <v>0.006659375</v>
      </c>
      <c r="E92" s="18" t="n">
        <f aca="false">ROUND((D92-$D$5)*86400,2)</f>
        <v>36.35</v>
      </c>
      <c r="F92" s="12" t="n">
        <v>213</v>
      </c>
      <c r="G92" s="11" t="n">
        <f aca="false">IF(INDEX(選手一覧!$D$7:$D$2738,$F92)="","",INDEX(選手一覧!$D$7:$D$2738,$F92))</f>
        <v>0.0103774305555556</v>
      </c>
      <c r="H92" s="12" t="n">
        <f aca="false">IF(INDEX(選手一覧!$E$7:$E$2738,$F92)="","",INDEX(選手一覧!$E$7:$E$2738,$F92))</f>
        <v>238</v>
      </c>
      <c r="I92" s="11" t="n">
        <f aca="false">IF(INDEX(選手一覧!$H$7:$H$2738,$F92)="","",INDEX(選手一覧!$H$7:$H$2738,$F92))</f>
        <v>0.00296747685185185</v>
      </c>
      <c r="J92" s="12" t="n">
        <f aca="false">IF(INDEX(選手一覧!$I$7:$I$2738,$F92)="","",INDEX(選手一覧!$I$7:$I$2738,$F92))</f>
        <v>1300</v>
      </c>
    </row>
    <row r="93" customFormat="false" ht="15" hidden="false" customHeight="false" outlineLevel="0" collapsed="false">
      <c r="A93" s="12" t="n">
        <v>89</v>
      </c>
      <c r="B93" s="10" t="s">
        <v>361</v>
      </c>
      <c r="C93" s="10" t="s">
        <v>107</v>
      </c>
      <c r="D93" s="11" t="n">
        <v>0.00666423611111111</v>
      </c>
      <c r="E93" s="18" t="n">
        <f aca="false">ROUND((D93-$D$5)*86400,2)</f>
        <v>36.77</v>
      </c>
      <c r="F93" s="12" t="n">
        <v>214</v>
      </c>
      <c r="G93" s="11" t="n">
        <f aca="false">IF(INDEX(選手一覧!$D$7:$D$2738,$F93)="","",INDEX(選手一覧!$D$7:$D$2738,$F93))</f>
        <v>0.0105200231481482</v>
      </c>
      <c r="H93" s="12" t="n">
        <f aca="false">IF(INDEX(選手一覧!$E$7:$E$2738,$F93)="","",INDEX(選手一覧!$E$7:$E$2738,$F93))</f>
        <v>363</v>
      </c>
      <c r="I93" s="11" t="n">
        <f aca="false">IF(INDEX(選手一覧!$H$7:$H$2738,$F93)="","",INDEX(選手一覧!$H$7:$H$2738,$F93))</f>
        <v>0.00283993055555556</v>
      </c>
      <c r="J93" s="12" t="n">
        <f aca="false">IF(INDEX(選手一覧!$I$7:$I$2738,$F93)="","",INDEX(選手一覧!$I$7:$I$2738,$F93))</f>
        <v>496</v>
      </c>
    </row>
    <row r="94" customFormat="false" ht="15" hidden="false" customHeight="false" outlineLevel="0" collapsed="false">
      <c r="A94" s="12" t="n">
        <v>90</v>
      </c>
      <c r="B94" s="10" t="s">
        <v>365</v>
      </c>
      <c r="C94" s="10" t="s">
        <v>366</v>
      </c>
      <c r="D94" s="11" t="n">
        <v>0.00666493055555556</v>
      </c>
      <c r="E94" s="18" t="n">
        <f aca="false">ROUND((D94-$D$5)*86400,2)</f>
        <v>36.83</v>
      </c>
      <c r="F94" s="12" t="n">
        <v>217</v>
      </c>
      <c r="G94" s="11" t="n">
        <f aca="false">IF(INDEX(選手一覧!$D$7:$D$2738,$F94)="","",INDEX(選手一覧!$D$7:$D$2738,$F94))</f>
        <v>0.0106671296296296</v>
      </c>
      <c r="H94" s="12" t="n">
        <f aca="false">IF(INDEX(選手一覧!$E$7:$E$2738,$F94)="","",INDEX(選手一覧!$E$7:$E$2738,$F94))</f>
        <v>543</v>
      </c>
      <c r="I94" s="11" t="str">
        <f aca="false">IF(INDEX(選手一覧!$H$7:$H$2738,$F94)="","",INDEX(選手一覧!$H$7:$H$2738,$F94))</f>
        <v/>
      </c>
      <c r="J94" s="12" t="str">
        <f aca="false">IF(INDEX(選手一覧!$I$7:$I$2738,$F94)="","",INDEX(選手一覧!$I$7:$I$2738,$F94))</f>
        <v/>
      </c>
    </row>
    <row r="95" customFormat="false" ht="15" hidden="false" customHeight="false" outlineLevel="0" collapsed="false">
      <c r="A95" s="12" t="n">
        <v>91</v>
      </c>
      <c r="B95" s="10" t="s">
        <v>368</v>
      </c>
      <c r="C95" s="10" t="s">
        <v>69</v>
      </c>
      <c r="D95" s="11" t="n">
        <v>0.00666805555555556</v>
      </c>
      <c r="E95" s="18" t="n">
        <f aca="false">ROUND((D95-$D$5)*86400,2)</f>
        <v>37.1</v>
      </c>
      <c r="F95" s="12" t="n">
        <v>219</v>
      </c>
      <c r="G95" s="11" t="n">
        <f aca="false">IF(INDEX(選手一覧!$D$7:$D$2738,$F95)="","",INDEX(選手一覧!$D$7:$D$2738,$F95))</f>
        <v>0.0107229166666667</v>
      </c>
      <c r="H95" s="12" t="n">
        <f aca="false">IF(INDEX(選手一覧!$E$7:$E$2738,$F95)="","",INDEX(選手一覧!$E$7:$E$2738,$F95))</f>
        <v>617</v>
      </c>
      <c r="I95" s="11" t="n">
        <f aca="false">IF(INDEX(選手一覧!$H$7:$H$2738,$F95)="","",INDEX(選手一覧!$H$7:$H$2738,$F95))</f>
        <v>0.00291608796296296</v>
      </c>
      <c r="J95" s="12" t="n">
        <f aca="false">IF(INDEX(選手一覧!$I$7:$I$2738,$F95)="","",INDEX(選手一覧!$I$7:$I$2738,$F95))</f>
        <v>1059</v>
      </c>
    </row>
    <row r="96" customFormat="false" ht="15" hidden="false" customHeight="false" outlineLevel="0" collapsed="false">
      <c r="A96" s="12" t="n">
        <v>92</v>
      </c>
      <c r="B96" s="10" t="s">
        <v>370</v>
      </c>
      <c r="C96" s="10" t="s">
        <v>371</v>
      </c>
      <c r="D96" s="11" t="n">
        <v>0.00667303240740741</v>
      </c>
      <c r="E96" s="18" t="n">
        <f aca="false">ROUND((D96-$D$5)*86400,2)</f>
        <v>37.53</v>
      </c>
      <c r="F96" s="12" t="n">
        <v>221</v>
      </c>
      <c r="G96" s="11" t="n">
        <f aca="false">IF(INDEX(選手一覧!$D$7:$D$2738,$F96)="","",INDEX(選手一覧!$D$7:$D$2738,$F96))</f>
        <v>0.0102929398148148</v>
      </c>
      <c r="H96" s="12" t="n">
        <f aca="false">IF(INDEX(選手一覧!$E$7:$E$2738,$F96)="","",INDEX(選手一覧!$E$7:$E$2738,$F96))</f>
        <v>156</v>
      </c>
      <c r="I96" s="11" t="n">
        <f aca="false">IF(INDEX(選手一覧!$H$7:$H$2738,$F96)="","",INDEX(選手一覧!$H$7:$H$2738,$F96))</f>
        <v>0.00289953703703704</v>
      </c>
      <c r="J96" s="12" t="n">
        <f aca="false">IF(INDEX(選手一覧!$I$7:$I$2738,$F96)="","",INDEX(選手一覧!$I$7:$I$2738,$F96))</f>
        <v>941</v>
      </c>
    </row>
    <row r="97" customFormat="false" ht="15" hidden="false" customHeight="false" outlineLevel="0" collapsed="false">
      <c r="A97" s="12" t="n">
        <v>93</v>
      </c>
      <c r="B97" s="10" t="s">
        <v>375</v>
      </c>
      <c r="C97" s="10" t="s">
        <v>57</v>
      </c>
      <c r="D97" s="11" t="n">
        <v>0.00667372685185185</v>
      </c>
      <c r="E97" s="18" t="n">
        <f aca="false">ROUND((D97-$D$5)*86400,2)</f>
        <v>37.59</v>
      </c>
      <c r="F97" s="12" t="n">
        <v>224</v>
      </c>
      <c r="G97" s="11" t="n">
        <f aca="false">IF(INDEX(選手一覧!$D$7:$D$2738,$F97)="","",INDEX(選手一覧!$D$7:$D$2738,$F97))</f>
        <v>0.0107228009259259</v>
      </c>
      <c r="H97" s="12" t="n">
        <f aca="false">IF(INDEX(選手一覧!$E$7:$E$2738,$F97)="","",INDEX(選手一覧!$E$7:$E$2738,$F97))</f>
        <v>615</v>
      </c>
      <c r="I97" s="11" t="n">
        <f aca="false">IF(INDEX(選手一覧!$H$7:$H$2738,$F97)="","",INDEX(選手一覧!$H$7:$H$2738,$F97))</f>
        <v>0.00285810185185185</v>
      </c>
      <c r="J97" s="12" t="n">
        <f aca="false">IF(INDEX(選手一覧!$I$7:$I$2738,$F97)="","",INDEX(選手一覧!$I$7:$I$2738,$F97))</f>
        <v>622</v>
      </c>
    </row>
    <row r="98" customFormat="false" ht="15" hidden="false" customHeight="false" outlineLevel="0" collapsed="false">
      <c r="A98" s="12" t="n">
        <v>94</v>
      </c>
      <c r="B98" s="10" t="s">
        <v>383</v>
      </c>
      <c r="C98" s="10" t="s">
        <v>124</v>
      </c>
      <c r="D98" s="11" t="n">
        <v>0.0066755787037037</v>
      </c>
      <c r="E98" s="18" t="n">
        <f aca="false">ROUND((D98-$D$5)*86400,2)</f>
        <v>37.75</v>
      </c>
      <c r="F98" s="12" t="n">
        <v>229</v>
      </c>
      <c r="G98" s="11" t="n">
        <f aca="false">IF(INDEX(選手一覧!$D$7:$D$2738,$F98)="","",INDEX(選手一覧!$D$7:$D$2738,$F98))</f>
        <v>0.0107457175925926</v>
      </c>
      <c r="H98" s="12" t="n">
        <f aca="false">IF(INDEX(選手一覧!$E$7:$E$2738,$F98)="","",INDEX(選手一覧!$E$7:$E$2738,$F98))</f>
        <v>662</v>
      </c>
      <c r="I98" s="11" t="str">
        <f aca="false">IF(INDEX(選手一覧!$H$7:$H$2738,$F98)="","",INDEX(選手一覧!$H$7:$H$2738,$F98))</f>
        <v/>
      </c>
      <c r="J98" s="12" t="str">
        <f aca="false">IF(INDEX(選手一覧!$I$7:$I$2738,$F98)="","",INDEX(選手一覧!$I$7:$I$2738,$F98))</f>
        <v/>
      </c>
    </row>
    <row r="99" customFormat="false" ht="15" hidden="false" customHeight="false" outlineLevel="0" collapsed="false">
      <c r="A99" s="12" t="n">
        <v>95</v>
      </c>
      <c r="B99" s="10" t="s">
        <v>384</v>
      </c>
      <c r="C99" s="10" t="s">
        <v>385</v>
      </c>
      <c r="D99" s="11" t="n">
        <v>0.00667592592592593</v>
      </c>
      <c r="E99" s="18" t="n">
        <f aca="false">ROUND((D99-$D$5)*86400,2)</f>
        <v>37.78</v>
      </c>
      <c r="F99" s="12" t="n">
        <v>230</v>
      </c>
      <c r="G99" s="11" t="n">
        <f aca="false">IF(INDEX(選手一覧!$D$7:$D$2738,$F99)="","",INDEX(選手一覧!$D$7:$D$2738,$F99))</f>
        <v>0.0108484953703704</v>
      </c>
      <c r="H99" s="12" t="n">
        <f aca="false">IF(INDEX(選手一覧!$E$7:$E$2738,$F99)="","",INDEX(選手一覧!$E$7:$E$2738,$F99))</f>
        <v>834</v>
      </c>
      <c r="I99" s="11" t="n">
        <f aca="false">IF(INDEX(選手一覧!$H$7:$H$2738,$F99)="","",INDEX(選手一覧!$H$7:$H$2738,$F99))</f>
        <v>0.00277916666666667</v>
      </c>
      <c r="J99" s="12" t="n">
        <f aca="false">IF(INDEX(選手一覧!$I$7:$I$2738,$F99)="","",INDEX(選手一覧!$I$7:$I$2738,$F99))</f>
        <v>196</v>
      </c>
    </row>
    <row r="100" customFormat="false" ht="15" hidden="false" customHeight="false" outlineLevel="0" collapsed="false">
      <c r="A100" s="12" t="n">
        <v>96</v>
      </c>
      <c r="B100" s="10" t="s">
        <v>388</v>
      </c>
      <c r="C100" s="10" t="s">
        <v>83</v>
      </c>
      <c r="D100" s="11" t="n">
        <v>0.00667673611111111</v>
      </c>
      <c r="E100" s="18" t="n">
        <f aca="false">ROUND((D100-$D$5)*86400,2)</f>
        <v>37.85</v>
      </c>
      <c r="F100" s="12" t="n">
        <v>232</v>
      </c>
      <c r="G100" s="11" t="n">
        <f aca="false">IF(INDEX(選手一覧!$D$7:$D$2738,$F100)="","",INDEX(選手一覧!$D$7:$D$2738,$F100))</f>
        <v>0.0106108796296296</v>
      </c>
      <c r="H100" s="12" t="n">
        <f aca="false">IF(INDEX(選手一覧!$E$7:$E$2738,$F100)="","",INDEX(選手一覧!$E$7:$E$2738,$F100))</f>
        <v>477</v>
      </c>
      <c r="I100" s="11" t="n">
        <f aca="false">IF(INDEX(選手一覧!$H$7:$H$2738,$F100)="","",INDEX(選手一覧!$H$7:$H$2738,$F100))</f>
        <v>0.00289733796296296</v>
      </c>
      <c r="J100" s="12" t="n">
        <f aca="false">IF(INDEX(選手一覧!$I$7:$I$2738,$F100)="","",INDEX(選手一覧!$I$7:$I$2738,$F100))</f>
        <v>929</v>
      </c>
    </row>
    <row r="101" customFormat="false" ht="15" hidden="false" customHeight="false" outlineLevel="0" collapsed="false">
      <c r="A101" s="12" t="n">
        <v>97</v>
      </c>
      <c r="B101" s="10" t="s">
        <v>392</v>
      </c>
      <c r="C101" s="10" t="s">
        <v>393</v>
      </c>
      <c r="D101" s="11" t="n">
        <v>0.00667858796296296</v>
      </c>
      <c r="E101" s="18" t="n">
        <f aca="false">ROUND((D101-$D$5)*86400,2)</f>
        <v>38.01</v>
      </c>
      <c r="F101" s="12" t="n">
        <v>235</v>
      </c>
      <c r="G101" s="11" t="n">
        <f aca="false">IF(INDEX(選手一覧!$D$7:$D$2738,$F101)="","",INDEX(選手一覧!$D$7:$D$2738,$F101))</f>
        <v>0.0107601851851852</v>
      </c>
      <c r="H101" s="12" t="n">
        <f aca="false">IF(INDEX(選手一覧!$E$7:$E$2738,$F101)="","",INDEX(選手一覧!$E$7:$E$2738,$F101))</f>
        <v>679</v>
      </c>
      <c r="I101" s="11" t="n">
        <f aca="false">IF(INDEX(選手一覧!$H$7:$H$2738,$F101)="","",INDEX(選手一覧!$H$7:$H$2738,$F101))</f>
        <v>0.00279768518518519</v>
      </c>
      <c r="J101" s="12" t="n">
        <f aca="false">IF(INDEX(選手一覧!$I$7:$I$2738,$F101)="","",INDEX(選手一覧!$I$7:$I$2738,$F101))</f>
        <v>273</v>
      </c>
    </row>
    <row r="102" customFormat="false" ht="15" hidden="false" customHeight="false" outlineLevel="0" collapsed="false">
      <c r="A102" s="12" t="n">
        <v>98</v>
      </c>
      <c r="B102" s="10" t="s">
        <v>395</v>
      </c>
      <c r="C102" s="10" t="s">
        <v>350</v>
      </c>
      <c r="D102" s="11" t="n">
        <v>0.00668009259259259</v>
      </c>
      <c r="E102" s="18" t="n">
        <f aca="false">ROUND((D102-$D$5)*86400,2)</f>
        <v>38.14</v>
      </c>
      <c r="F102" s="12" t="n">
        <v>237</v>
      </c>
      <c r="G102" s="11" t="n">
        <f aca="false">IF(INDEX(選手一覧!$D$7:$D$2738,$F102)="","",INDEX(選手一覧!$D$7:$D$2738,$F102))</f>
        <v>0.0102157407407407</v>
      </c>
      <c r="H102" s="12" t="n">
        <f aca="false">IF(INDEX(選手一覧!$E$7:$E$2738,$F102)="","",INDEX(選手一覧!$E$7:$E$2738,$F102))</f>
        <v>106</v>
      </c>
      <c r="I102" s="11" t="str">
        <f aca="false">IF(INDEX(選手一覧!$H$7:$H$2738,$F102)="","",INDEX(選手一覧!$H$7:$H$2738,$F102))</f>
        <v/>
      </c>
      <c r="J102" s="12" t="str">
        <f aca="false">IF(INDEX(選手一覧!$I$7:$I$2738,$F102)="","",INDEX(選手一覧!$I$7:$I$2738,$F102))</f>
        <v/>
      </c>
    </row>
    <row r="103" customFormat="false" ht="15" hidden="false" customHeight="false" outlineLevel="0" collapsed="false">
      <c r="A103" s="12" t="n">
        <v>99</v>
      </c>
      <c r="B103" s="10" t="s">
        <v>400</v>
      </c>
      <c r="C103" s="10" t="s">
        <v>401</v>
      </c>
      <c r="D103" s="11" t="n">
        <v>0.00668229166666667</v>
      </c>
      <c r="E103" s="18" t="n">
        <f aca="false">ROUND((D103-$D$5)*86400,2)</f>
        <v>38.33</v>
      </c>
      <c r="F103" s="12" t="n">
        <v>240</v>
      </c>
      <c r="G103" s="11" t="str">
        <f aca="false">IF(INDEX(選手一覧!$D$7:$D$2738,$F103)="","",INDEX(選手一覧!$D$7:$D$2738,$F103))</f>
        <v/>
      </c>
      <c r="H103" s="12" t="str">
        <f aca="false">IF(INDEX(選手一覧!$E$7:$E$2738,$F103)="","",INDEX(選手一覧!$E$7:$E$2738,$F103))</f>
        <v/>
      </c>
      <c r="I103" s="11" t="n">
        <f aca="false">IF(INDEX(選手一覧!$H$7:$H$2738,$F103)="","",INDEX(選手一覧!$H$7:$H$2738,$F103))</f>
        <v>0.00280578703703704</v>
      </c>
      <c r="J103" s="12" t="n">
        <f aca="false">IF(INDEX(選手一覧!$I$7:$I$2738,$F103)="","",INDEX(選手一覧!$I$7:$I$2738,$F103))</f>
        <v>305</v>
      </c>
    </row>
    <row r="104" customFormat="false" ht="15" hidden="false" customHeight="false" outlineLevel="0" collapsed="false">
      <c r="A104" s="12" t="n">
        <v>100</v>
      </c>
      <c r="B104" s="10" t="s">
        <v>404</v>
      </c>
      <c r="C104" s="10" t="s">
        <v>405</v>
      </c>
      <c r="D104" s="11" t="n">
        <v>0.00668368055555556</v>
      </c>
      <c r="E104" s="18" t="n">
        <f aca="false">ROUND((D104-$D$5)*86400,2)</f>
        <v>38.45</v>
      </c>
      <c r="F104" s="12" t="n">
        <v>242</v>
      </c>
      <c r="G104" s="11" t="n">
        <f aca="false">IF(INDEX(選手一覧!$D$7:$D$2738,$F104)="","",INDEX(選手一覧!$D$7:$D$2738,$F104))</f>
        <v>0.0110321759259259</v>
      </c>
      <c r="H104" s="12" t="n">
        <f aca="false">IF(INDEX(選手一覧!$E$7:$E$2738,$F104)="","",INDEX(選手一覧!$E$7:$E$2738,$F104))</f>
        <v>1157</v>
      </c>
      <c r="I104" s="11" t="str">
        <f aca="false">IF(INDEX(選手一覧!$H$7:$H$2738,$F104)="","",INDEX(選手一覧!$H$7:$H$2738,$F104))</f>
        <v/>
      </c>
      <c r="J104" s="12" t="str">
        <f aca="false">IF(INDEX(選手一覧!$I$7:$I$2738,$F104)="","",INDEX(選手一覧!$I$7:$I$2738,$F104))</f>
        <v/>
      </c>
    </row>
    <row r="105" customFormat="false" ht="15" hidden="false" customHeight="false" outlineLevel="0" collapsed="false">
      <c r="A105" s="12" t="n">
        <v>101</v>
      </c>
      <c r="B105" s="10" t="s">
        <v>408</v>
      </c>
      <c r="C105" s="10" t="s">
        <v>134</v>
      </c>
      <c r="D105" s="11" t="n">
        <v>0.00668391203703704</v>
      </c>
      <c r="E105" s="18" t="n">
        <f aca="false">ROUND((D105-$D$5)*86400,2)</f>
        <v>38.47</v>
      </c>
      <c r="F105" s="12" t="n">
        <v>245</v>
      </c>
      <c r="G105" s="11" t="n">
        <f aca="false">IF(INDEX(選手一覧!$D$7:$D$2738,$F105)="","",INDEX(選手一覧!$D$7:$D$2738,$F105))</f>
        <v>0.0107659722222222</v>
      </c>
      <c r="H105" s="12" t="n">
        <f aca="false">IF(INDEX(選手一覧!$E$7:$E$2738,$F105)="","",INDEX(選手一覧!$E$7:$E$2738,$F105))</f>
        <v>692</v>
      </c>
      <c r="I105" s="11" t="n">
        <f aca="false">IF(INDEX(選手一覧!$H$7:$H$2738,$F105)="","",INDEX(選手一覧!$H$7:$H$2738,$F105))</f>
        <v>0.00280405092592593</v>
      </c>
      <c r="J105" s="12" t="n">
        <f aca="false">IF(INDEX(選手一覧!$I$7:$I$2738,$F105)="","",INDEX(選手一覧!$I$7:$I$2738,$F105))</f>
        <v>300</v>
      </c>
    </row>
    <row r="106" customFormat="false" ht="15" hidden="false" customHeight="false" outlineLevel="0" collapsed="false">
      <c r="A106" s="12" t="n">
        <v>102</v>
      </c>
      <c r="B106" s="10" t="s">
        <v>284</v>
      </c>
      <c r="C106" s="10" t="s">
        <v>166</v>
      </c>
      <c r="D106" s="11" t="n">
        <v>0.00668483796296296</v>
      </c>
      <c r="E106" s="18" t="n">
        <f aca="false">ROUND((D106-$D$5)*86400,2)</f>
        <v>38.55</v>
      </c>
      <c r="F106" s="12" t="n">
        <v>159</v>
      </c>
      <c r="G106" s="11" t="n">
        <f aca="false">IF(INDEX(選手一覧!$D$7:$D$2738,$F106)="","",INDEX(選手一覧!$D$7:$D$2738,$F106))</f>
        <v>0.0101362268518519</v>
      </c>
      <c r="H106" s="12" t="n">
        <f aca="false">IF(INDEX(選手一覧!$E$7:$E$2738,$F106)="","",INDEX(選手一覧!$E$7:$E$2738,$F106))</f>
        <v>64</v>
      </c>
      <c r="I106" s="11" t="n">
        <f aca="false">IF(INDEX(選手一覧!$H$7:$H$2738,$F106)="","",INDEX(選手一覧!$H$7:$H$2738,$F106))</f>
        <v>0.0028724537037037</v>
      </c>
      <c r="J106" s="12" t="n">
        <f aca="false">IF(INDEX(選手一覧!$I$7:$I$2738,$F106)="","",INDEX(選手一覧!$I$7:$I$2738,$F106))</f>
        <v>718</v>
      </c>
    </row>
    <row r="107" customFormat="false" ht="15" hidden="false" customHeight="false" outlineLevel="0" collapsed="false">
      <c r="A107" s="12" t="n">
        <v>103</v>
      </c>
      <c r="B107" s="10" t="s">
        <v>327</v>
      </c>
      <c r="C107" s="10" t="s">
        <v>27</v>
      </c>
      <c r="D107" s="11" t="n">
        <v>0.00668576388888889</v>
      </c>
      <c r="E107" s="18" t="n">
        <f aca="false">ROUND((D107-$D$5)*86400,2)</f>
        <v>38.63</v>
      </c>
      <c r="F107" s="12" t="n">
        <v>188</v>
      </c>
      <c r="G107" s="11" t="n">
        <f aca="false">IF(INDEX(選手一覧!$D$7:$D$2738,$F107)="","",INDEX(選手一覧!$D$7:$D$2738,$F107))</f>
        <v>0.0101636574074074</v>
      </c>
      <c r="H107" s="12" t="n">
        <f aca="false">IF(INDEX(選手一覧!$E$7:$E$2738,$F107)="","",INDEX(選手一覧!$E$7:$E$2738,$F107))</f>
        <v>77</v>
      </c>
      <c r="I107" s="11" t="n">
        <f aca="false">IF(INDEX(選手一覧!$H$7:$H$2738,$F107)="","",INDEX(選手一覧!$H$7:$H$2738,$F107))</f>
        <v>0.00296979166666667</v>
      </c>
      <c r="J107" s="12" t="n">
        <f aca="false">IF(INDEX(選手一覧!$I$7:$I$2738,$F107)="","",INDEX(選手一覧!$I$7:$I$2738,$F107))</f>
        <v>1310</v>
      </c>
    </row>
    <row r="108" customFormat="false" ht="15" hidden="false" customHeight="false" outlineLevel="0" collapsed="false">
      <c r="A108" s="12" t="n">
        <v>104</v>
      </c>
      <c r="B108" s="10" t="s">
        <v>414</v>
      </c>
      <c r="C108" s="10" t="s">
        <v>226</v>
      </c>
      <c r="D108" s="11" t="n">
        <v>0.00668634259259259</v>
      </c>
      <c r="E108" s="18" t="n">
        <f aca="false">ROUND((D108-$D$5)*86400,2)</f>
        <v>38.68</v>
      </c>
      <c r="F108" s="12" t="n">
        <v>251</v>
      </c>
      <c r="G108" s="11" t="n">
        <f aca="false">IF(INDEX(選手一覧!$D$7:$D$2738,$F108)="","",INDEX(選手一覧!$D$7:$D$2738,$F108))</f>
        <v>0.0107376157407407</v>
      </c>
      <c r="H108" s="12" t="n">
        <f aca="false">IF(INDEX(選手一覧!$E$7:$E$2738,$F108)="","",INDEX(選手一覧!$E$7:$E$2738,$F108))</f>
        <v>649</v>
      </c>
      <c r="I108" s="11" t="str">
        <f aca="false">IF(INDEX(選手一覧!$H$7:$H$2738,$F108)="","",INDEX(選手一覧!$H$7:$H$2738,$F108))</f>
        <v/>
      </c>
      <c r="J108" s="12" t="str">
        <f aca="false">IF(INDEX(選手一覧!$I$7:$I$2738,$F108)="","",INDEX(選手一覧!$I$7:$I$2738,$F108))</f>
        <v/>
      </c>
    </row>
    <row r="109" customFormat="false" ht="15" hidden="false" customHeight="false" outlineLevel="0" collapsed="false">
      <c r="A109" s="12" t="n">
        <v>105</v>
      </c>
      <c r="B109" s="10" t="s">
        <v>415</v>
      </c>
      <c r="C109" s="10" t="s">
        <v>416</v>
      </c>
      <c r="D109" s="11" t="n">
        <v>0.00669270833333333</v>
      </c>
      <c r="E109" s="18" t="n">
        <f aca="false">ROUND((D109-$D$5)*86400,2)</f>
        <v>39.23</v>
      </c>
      <c r="F109" s="12" t="n">
        <v>252</v>
      </c>
      <c r="G109" s="11" t="str">
        <f aca="false">IF(INDEX(選手一覧!$D$7:$D$2738,$F109)="","",INDEX(選手一覧!$D$7:$D$2738,$F109))</f>
        <v/>
      </c>
      <c r="H109" s="12" t="str">
        <f aca="false">IF(INDEX(選手一覧!$E$7:$E$2738,$F109)="","",INDEX(選手一覧!$E$7:$E$2738,$F109))</f>
        <v/>
      </c>
      <c r="I109" s="11" t="n">
        <f aca="false">IF(INDEX(選手一覧!$H$7:$H$2738,$F109)="","",INDEX(選手一覧!$H$7:$H$2738,$F109))</f>
        <v>0.00284722222222222</v>
      </c>
      <c r="J109" s="12" t="n">
        <f aca="false">IF(INDEX(選手一覧!$I$7:$I$2738,$F109)="","",INDEX(選手一覧!$I$7:$I$2738,$F109))</f>
        <v>553</v>
      </c>
    </row>
    <row r="110" customFormat="false" ht="15" hidden="false" customHeight="false" outlineLevel="0" collapsed="false">
      <c r="A110" s="12" t="n">
        <v>106</v>
      </c>
      <c r="B110" s="10" t="s">
        <v>421</v>
      </c>
      <c r="C110" s="10" t="s">
        <v>422</v>
      </c>
      <c r="D110" s="11" t="n">
        <v>0.00669803240740741</v>
      </c>
      <c r="E110" s="18" t="n">
        <f aca="false">ROUND((D110-$D$5)*86400,2)</f>
        <v>39.69</v>
      </c>
      <c r="F110" s="12" t="n">
        <v>256</v>
      </c>
      <c r="G110" s="11" t="n">
        <f aca="false">IF(INDEX(選手一覧!$D$7:$D$2738,$F110)="","",INDEX(選手一覧!$D$7:$D$2738,$F110))</f>
        <v>0.0111061342592593</v>
      </c>
      <c r="H110" s="12" t="n">
        <f aca="false">IF(INDEX(選手一覧!$E$7:$E$2738,$F110)="","",INDEX(選手一覧!$E$7:$E$2738,$F110))</f>
        <v>1277</v>
      </c>
      <c r="I110" s="11" t="str">
        <f aca="false">IF(INDEX(選手一覧!$H$7:$H$2738,$F110)="","",INDEX(選手一覧!$H$7:$H$2738,$F110))</f>
        <v/>
      </c>
      <c r="J110" s="12" t="str">
        <f aca="false">IF(INDEX(選手一覧!$I$7:$I$2738,$F110)="","",INDEX(選手一覧!$I$7:$I$2738,$F110))</f>
        <v/>
      </c>
    </row>
    <row r="111" customFormat="false" ht="15" hidden="false" customHeight="false" outlineLevel="0" collapsed="false">
      <c r="A111" s="12" t="n">
        <v>107</v>
      </c>
      <c r="B111" s="10" t="s">
        <v>423</v>
      </c>
      <c r="C111" s="10" t="s">
        <v>91</v>
      </c>
      <c r="D111" s="11" t="n">
        <v>0.00669953703703704</v>
      </c>
      <c r="E111" s="18" t="n">
        <f aca="false">ROUND((D111-$D$5)*86400,2)</f>
        <v>39.82</v>
      </c>
      <c r="F111" s="12" t="n">
        <v>257</v>
      </c>
      <c r="G111" s="11" t="n">
        <f aca="false">IF(INDEX(選手一覧!$D$7:$D$2738,$F111)="","",INDEX(選手一覧!$D$7:$D$2738,$F111))</f>
        <v>0.0103505787037037</v>
      </c>
      <c r="H111" s="12" t="n">
        <f aca="false">IF(INDEX(選手一覧!$E$7:$E$2738,$F111)="","",INDEX(選手一覧!$E$7:$E$2738,$F111))</f>
        <v>203</v>
      </c>
      <c r="I111" s="11" t="n">
        <f aca="false">IF(INDEX(選手一覧!$H$7:$H$2738,$F111)="","",INDEX(選手一覧!$H$7:$H$2738,$F111))</f>
        <v>0.00276481481481482</v>
      </c>
      <c r="J111" s="12" t="n">
        <f aca="false">IF(INDEX(選手一覧!$I$7:$I$2738,$F111)="","",INDEX(選手一覧!$I$7:$I$2738,$F111))</f>
        <v>149</v>
      </c>
    </row>
    <row r="112" customFormat="false" ht="15" hidden="false" customHeight="false" outlineLevel="0" collapsed="false">
      <c r="A112" s="12" t="n">
        <v>108</v>
      </c>
      <c r="B112" s="10" t="s">
        <v>428</v>
      </c>
      <c r="C112" s="10" t="s">
        <v>23</v>
      </c>
      <c r="D112" s="11" t="n">
        <v>0.00669976851851852</v>
      </c>
      <c r="E112" s="18" t="n">
        <f aca="false">ROUND((D112-$D$5)*86400,2)</f>
        <v>39.84</v>
      </c>
      <c r="F112" s="12" t="n">
        <v>261</v>
      </c>
      <c r="G112" s="11" t="str">
        <f aca="false">IF(INDEX(選手一覧!$D$7:$D$2738,$F112)="","",INDEX(選手一覧!$D$7:$D$2738,$F112))</f>
        <v/>
      </c>
      <c r="H112" s="12" t="str">
        <f aca="false">IF(INDEX(選手一覧!$E$7:$E$2738,$F112)="","",INDEX(選手一覧!$E$7:$E$2738,$F112))</f>
        <v/>
      </c>
      <c r="I112" s="11" t="str">
        <f aca="false">IF(INDEX(選手一覧!$H$7:$H$2738,$F112)="","",INDEX(選手一覧!$H$7:$H$2738,$F112))</f>
        <v/>
      </c>
      <c r="J112" s="12" t="str">
        <f aca="false">IF(INDEX(選手一覧!$I$7:$I$2738,$F112)="","",INDEX(選手一覧!$I$7:$I$2738,$F112))</f>
        <v/>
      </c>
    </row>
    <row r="113" customFormat="false" ht="15" hidden="false" customHeight="false" outlineLevel="0" collapsed="false">
      <c r="A113" s="12" t="n">
        <v>109</v>
      </c>
      <c r="B113" s="10" t="s">
        <v>429</v>
      </c>
      <c r="C113" s="10" t="s">
        <v>420</v>
      </c>
      <c r="D113" s="11" t="n">
        <v>0.00670185185185185</v>
      </c>
      <c r="E113" s="18" t="n">
        <f aca="false">ROUND((D113-$D$5)*86400,2)</f>
        <v>40.02</v>
      </c>
      <c r="F113" s="12" t="n">
        <v>262</v>
      </c>
      <c r="G113" s="11" t="n">
        <f aca="false">IF(INDEX(選手一覧!$D$7:$D$2738,$F113)="","",INDEX(選手一覧!$D$7:$D$2738,$F113))</f>
        <v>0.0106591435185185</v>
      </c>
      <c r="H113" s="12" t="n">
        <f aca="false">IF(INDEX(選手一覧!$E$7:$E$2738,$F113)="","",INDEX(選手一覧!$E$7:$E$2738,$F113))</f>
        <v>534</v>
      </c>
      <c r="I113" s="11" t="n">
        <f aca="false">IF(INDEX(選手一覧!$H$7:$H$2738,$F113)="","",INDEX(選手一覧!$H$7:$H$2738,$F113))</f>
        <v>0.00288518518518519</v>
      </c>
      <c r="J113" s="12" t="n">
        <f aca="false">IF(INDEX(選手一覧!$I$7:$I$2738,$F113)="","",INDEX(選手一覧!$I$7:$I$2738,$F113))</f>
        <v>820</v>
      </c>
    </row>
    <row r="114" customFormat="false" ht="15" hidden="false" customHeight="false" outlineLevel="0" collapsed="false">
      <c r="A114" s="12" t="n">
        <v>110</v>
      </c>
      <c r="B114" s="10" t="s">
        <v>433</v>
      </c>
      <c r="C114" s="10" t="s">
        <v>434</v>
      </c>
      <c r="D114" s="11" t="n">
        <v>0.00670486111111111</v>
      </c>
      <c r="E114" s="18" t="n">
        <f aca="false">ROUND((D114-$D$5)*86400,2)</f>
        <v>40.28</v>
      </c>
      <c r="F114" s="12" t="n">
        <v>266</v>
      </c>
      <c r="G114" s="11" t="str">
        <f aca="false">IF(INDEX(選手一覧!$D$7:$D$2738,$F114)="","",INDEX(選手一覧!$D$7:$D$2738,$F114))</f>
        <v/>
      </c>
      <c r="H114" s="12" t="str">
        <f aca="false">IF(INDEX(選手一覧!$E$7:$E$2738,$F114)="","",INDEX(選手一覧!$E$7:$E$2738,$F114))</f>
        <v/>
      </c>
      <c r="I114" s="11" t="n">
        <f aca="false">IF(INDEX(選手一覧!$H$7:$H$2738,$F114)="","",INDEX(選手一覧!$H$7:$H$2738,$F114))</f>
        <v>0.00292025462962963</v>
      </c>
      <c r="J114" s="12" t="n">
        <f aca="false">IF(INDEX(選手一覧!$I$7:$I$2738,$F114)="","",INDEX(選手一覧!$I$7:$I$2738,$F114))</f>
        <v>1102</v>
      </c>
    </row>
    <row r="115" customFormat="false" ht="15" hidden="false" customHeight="false" outlineLevel="0" collapsed="false">
      <c r="A115" s="12" t="n">
        <v>111</v>
      </c>
      <c r="B115" s="10" t="s">
        <v>436</v>
      </c>
      <c r="C115" s="10" t="s">
        <v>437</v>
      </c>
      <c r="D115" s="11" t="n">
        <v>0.00670543981481482</v>
      </c>
      <c r="E115" s="18" t="n">
        <f aca="false">ROUND((D115-$D$5)*86400,2)</f>
        <v>40.33</v>
      </c>
      <c r="F115" s="12" t="n">
        <v>268</v>
      </c>
      <c r="G115" s="11" t="n">
        <f aca="false">IF(INDEX(選手一覧!$D$7:$D$2738,$F115)="","",INDEX(選手一覧!$D$7:$D$2738,$F115))</f>
        <v>0.0104903935185185</v>
      </c>
      <c r="H115" s="12" t="n">
        <f aca="false">IF(INDEX(選手一覧!$E$7:$E$2738,$F115)="","",INDEX(選手一覧!$E$7:$E$2738,$F115))</f>
        <v>333</v>
      </c>
      <c r="I115" s="11" t="n">
        <f aca="false">IF(INDEX(選手一覧!$H$7:$H$2738,$F115)="","",INDEX(選手一覧!$H$7:$H$2738,$F115))</f>
        <v>0.00282905092592593</v>
      </c>
      <c r="J115" s="12" t="n">
        <f aca="false">IF(INDEX(選手一覧!$I$7:$I$2738,$F115)="","",INDEX(選手一覧!$I$7:$I$2738,$F115))</f>
        <v>419</v>
      </c>
    </row>
    <row r="116" customFormat="false" ht="15" hidden="false" customHeight="false" outlineLevel="0" collapsed="false">
      <c r="A116" s="12" t="n">
        <v>112</v>
      </c>
      <c r="B116" s="10" t="s">
        <v>439</v>
      </c>
      <c r="C116" s="10" t="s">
        <v>440</v>
      </c>
      <c r="D116" s="11" t="n">
        <v>0.00671261574074074</v>
      </c>
      <c r="E116" s="18" t="n">
        <f aca="false">ROUND((D116-$D$5)*86400,2)</f>
        <v>40.95</v>
      </c>
      <c r="F116" s="12" t="n">
        <v>270</v>
      </c>
      <c r="G116" s="11" t="n">
        <f aca="false">IF(INDEX(選手一覧!$D$7:$D$2738,$F116)="","",INDEX(選手一覧!$D$7:$D$2738,$F116))</f>
        <v>0.0105166666666667</v>
      </c>
      <c r="H116" s="12" t="n">
        <f aca="false">IF(INDEX(選手一覧!$E$7:$E$2738,$F116)="","",INDEX(選手一覧!$E$7:$E$2738,$F116))</f>
        <v>360</v>
      </c>
      <c r="I116" s="11" t="n">
        <f aca="false">IF(INDEX(選手一覧!$H$7:$H$2738,$F116)="","",INDEX(選手一覧!$H$7:$H$2738,$F116))</f>
        <v>0.00284456018518519</v>
      </c>
      <c r="J116" s="12" t="n">
        <f aca="false">IF(INDEX(選手一覧!$I$7:$I$2738,$F116)="","",INDEX(選手一覧!$I$7:$I$2738,$F116))</f>
        <v>531</v>
      </c>
    </row>
    <row r="117" customFormat="false" ht="15" hidden="false" customHeight="false" outlineLevel="0" collapsed="false">
      <c r="A117" s="12" t="n">
        <v>113</v>
      </c>
      <c r="B117" s="10" t="s">
        <v>444</v>
      </c>
      <c r="C117" s="10" t="s">
        <v>445</v>
      </c>
      <c r="D117" s="11" t="n">
        <v>0.00671666666666667</v>
      </c>
      <c r="E117" s="18" t="n">
        <f aca="false">ROUND((D117-$D$5)*86400,2)</f>
        <v>41.3</v>
      </c>
      <c r="F117" s="12" t="n">
        <v>273</v>
      </c>
      <c r="G117" s="11" t="n">
        <f aca="false">IF(INDEX(選手一覧!$D$7:$D$2738,$F117)="","",INDEX(選手一覧!$D$7:$D$2738,$F117))</f>
        <v>0.010703587962963</v>
      </c>
      <c r="H117" s="12" t="n">
        <f aca="false">IF(INDEX(選手一覧!$E$7:$E$2738,$F117)="","",INDEX(選手一覧!$E$7:$E$2738,$F117))</f>
        <v>589</v>
      </c>
      <c r="I117" s="11" t="str">
        <f aca="false">IF(INDEX(選手一覧!$H$7:$H$2738,$F117)="","",INDEX(選手一覧!$H$7:$H$2738,$F117))</f>
        <v/>
      </c>
      <c r="J117" s="12" t="str">
        <f aca="false">IF(INDEX(選手一覧!$I$7:$I$2738,$F117)="","",INDEX(選手一覧!$I$7:$I$2738,$F117))</f>
        <v/>
      </c>
    </row>
    <row r="118" customFormat="false" ht="15" hidden="false" customHeight="false" outlineLevel="0" collapsed="false">
      <c r="A118" s="12" t="n">
        <v>114</v>
      </c>
      <c r="B118" s="10" t="s">
        <v>448</v>
      </c>
      <c r="C118" s="10" t="s">
        <v>449</v>
      </c>
      <c r="D118" s="11" t="n">
        <v>0.00672141203703704</v>
      </c>
      <c r="E118" s="18" t="n">
        <f aca="false">ROUND((D118-$D$5)*86400,2)</f>
        <v>41.71</v>
      </c>
      <c r="F118" s="12" t="n">
        <v>276</v>
      </c>
      <c r="G118" s="11" t="n">
        <f aca="false">IF(INDEX(選手一覧!$D$7:$D$2738,$F118)="","",INDEX(選手一覧!$D$7:$D$2738,$F118))</f>
        <v>0.0109608796296296</v>
      </c>
      <c r="H118" s="12" t="n">
        <f aca="false">IF(INDEX(選手一覧!$E$7:$E$2738,$F118)="","",INDEX(選手一覧!$E$7:$E$2738,$F118))</f>
        <v>1021</v>
      </c>
      <c r="I118" s="11" t="str">
        <f aca="false">IF(INDEX(選手一覧!$H$7:$H$2738,$F118)="","",INDEX(選手一覧!$H$7:$H$2738,$F118))</f>
        <v/>
      </c>
      <c r="J118" s="12" t="str">
        <f aca="false">IF(INDEX(選手一覧!$I$7:$I$2738,$F118)="","",INDEX(選手一覧!$I$7:$I$2738,$F118))</f>
        <v/>
      </c>
    </row>
    <row r="119" customFormat="false" ht="15" hidden="false" customHeight="false" outlineLevel="0" collapsed="false">
      <c r="A119" s="12" t="n">
        <v>115</v>
      </c>
      <c r="B119" s="10" t="s">
        <v>451</v>
      </c>
      <c r="C119" s="10" t="s">
        <v>237</v>
      </c>
      <c r="D119" s="11" t="n">
        <v>0.006721875</v>
      </c>
      <c r="E119" s="18" t="n">
        <f aca="false">ROUND((D119-$D$5)*86400,2)</f>
        <v>41.75</v>
      </c>
      <c r="F119" s="12" t="n">
        <v>278</v>
      </c>
      <c r="G119" s="11" t="n">
        <f aca="false">IF(INDEX(選手一覧!$D$7:$D$2738,$F119)="","",INDEX(選手一覧!$D$7:$D$2738,$F119))</f>
        <v>0.010559375</v>
      </c>
      <c r="H119" s="12" t="n">
        <f aca="false">IF(INDEX(選手一覧!$E$7:$E$2738,$F119)="","",INDEX(選手一覧!$E$7:$E$2738,$F119))</f>
        <v>408</v>
      </c>
      <c r="I119" s="11" t="n">
        <f aca="false">IF(INDEX(選手一覧!$H$7:$H$2738,$F119)="","",INDEX(選手一覧!$H$7:$H$2738,$F119))</f>
        <v>0.00281990740740741</v>
      </c>
      <c r="J119" s="12" t="n">
        <f aca="false">IF(INDEX(選手一覧!$I$7:$I$2738,$F119)="","",INDEX(選手一覧!$I$7:$I$2738,$F119))</f>
        <v>362</v>
      </c>
    </row>
    <row r="120" customFormat="false" ht="15" hidden="false" customHeight="false" outlineLevel="0" collapsed="false">
      <c r="A120" s="12" t="n">
        <v>116</v>
      </c>
      <c r="B120" s="10" t="s">
        <v>453</v>
      </c>
      <c r="C120" s="10" t="s">
        <v>307</v>
      </c>
      <c r="D120" s="11" t="n">
        <v>0.00672430555555556</v>
      </c>
      <c r="E120" s="18" t="n">
        <f aca="false">ROUND((D120-$D$5)*86400,2)</f>
        <v>41.96</v>
      </c>
      <c r="F120" s="12" t="n">
        <v>280</v>
      </c>
      <c r="G120" s="11" t="n">
        <f aca="false">IF(INDEX(選手一覧!$D$7:$D$2738,$F120)="","",INDEX(選手一覧!$D$7:$D$2738,$F120))</f>
        <v>0.010816087962963</v>
      </c>
      <c r="H120" s="12" t="n">
        <f aca="false">IF(INDEX(選手一覧!$E$7:$E$2738,$F120)="","",INDEX(選手一覧!$E$7:$E$2738,$F120))</f>
        <v>771</v>
      </c>
      <c r="I120" s="11" t="str">
        <f aca="false">IF(INDEX(選手一覧!$H$7:$H$2738,$F120)="","",INDEX(選手一覧!$H$7:$H$2738,$F120))</f>
        <v/>
      </c>
      <c r="J120" s="12" t="str">
        <f aca="false">IF(INDEX(選手一覧!$I$7:$I$2738,$F120)="","",INDEX(選手一覧!$I$7:$I$2738,$F120))</f>
        <v/>
      </c>
    </row>
    <row r="121" customFormat="false" ht="15" hidden="false" customHeight="false" outlineLevel="0" collapsed="false">
      <c r="A121" s="12" t="n">
        <v>117</v>
      </c>
      <c r="B121" s="10" t="s">
        <v>456</v>
      </c>
      <c r="C121" s="10" t="s">
        <v>457</v>
      </c>
      <c r="D121" s="11" t="n">
        <v>0.00672592592592593</v>
      </c>
      <c r="E121" s="18" t="n">
        <f aca="false">ROUND((D121-$D$5)*86400,2)</f>
        <v>42.1</v>
      </c>
      <c r="F121" s="12" t="n">
        <v>283</v>
      </c>
      <c r="G121" s="11" t="str">
        <f aca="false">IF(INDEX(選手一覧!$D$7:$D$2738,$F121)="","",INDEX(選手一覧!$D$7:$D$2738,$F121))</f>
        <v/>
      </c>
      <c r="H121" s="12" t="str">
        <f aca="false">IF(INDEX(選手一覧!$E$7:$E$2738,$F121)="","",INDEX(選手一覧!$E$7:$E$2738,$F121))</f>
        <v/>
      </c>
      <c r="I121" s="11" t="n">
        <f aca="false">IF(INDEX(選手一覧!$H$7:$H$2738,$F121)="","",INDEX(選手一覧!$H$7:$H$2738,$F121))</f>
        <v>0.00285335648148148</v>
      </c>
      <c r="J121" s="12" t="n">
        <f aca="false">IF(INDEX(選手一覧!$I$7:$I$2738,$F121)="","",INDEX(選手一覧!$I$7:$I$2738,$F121))</f>
        <v>587</v>
      </c>
    </row>
    <row r="122" customFormat="false" ht="15" hidden="false" customHeight="false" outlineLevel="0" collapsed="false">
      <c r="A122" s="12" t="n">
        <v>118</v>
      </c>
      <c r="B122" s="10" t="s">
        <v>450</v>
      </c>
      <c r="C122" s="10" t="s">
        <v>109</v>
      </c>
      <c r="D122" s="11" t="n">
        <v>0.00672800925925926</v>
      </c>
      <c r="E122" s="18" t="n">
        <f aca="false">ROUND((D122-$D$5)*86400,2)</f>
        <v>42.28</v>
      </c>
      <c r="F122" s="12" t="n">
        <v>277</v>
      </c>
      <c r="G122" s="11" t="n">
        <f aca="false">IF(INDEX(選手一覧!$D$7:$D$2738,$F122)="","",INDEX(選手一覧!$D$7:$D$2738,$F122))</f>
        <v>0.0105856481481482</v>
      </c>
      <c r="H122" s="12" t="n">
        <f aca="false">IF(INDEX(選手一覧!$E$7:$E$2738,$F122)="","",INDEX(選手一覧!$E$7:$E$2738,$F122))</f>
        <v>447</v>
      </c>
      <c r="I122" s="11" t="n">
        <f aca="false">IF(INDEX(選手一覧!$H$7:$H$2738,$F122)="","",INDEX(選手一覧!$H$7:$H$2738,$F122))</f>
        <v>0.00275428240740741</v>
      </c>
      <c r="J122" s="12" t="n">
        <f aca="false">IF(INDEX(選手一覧!$I$7:$I$2738,$F122)="","",INDEX(選手一覧!$I$7:$I$2738,$F122))</f>
        <v>115</v>
      </c>
    </row>
    <row r="123" customFormat="false" ht="15" hidden="false" customHeight="false" outlineLevel="0" collapsed="false">
      <c r="A123" s="12" t="n">
        <v>119</v>
      </c>
      <c r="B123" s="10" t="s">
        <v>464</v>
      </c>
      <c r="C123" s="10" t="s">
        <v>465</v>
      </c>
      <c r="D123" s="11" t="n">
        <v>0.00672824074074074</v>
      </c>
      <c r="E123" s="18" t="n">
        <f aca="false">ROUND((D123-$D$5)*86400,2)</f>
        <v>42.3</v>
      </c>
      <c r="F123" s="12" t="n">
        <v>288</v>
      </c>
      <c r="G123" s="11" t="n">
        <f aca="false">IF(INDEX(選手一覧!$D$7:$D$2738,$F123)="","",INDEX(選手一覧!$D$7:$D$2738,$F123))</f>
        <v>0.0104655092592593</v>
      </c>
      <c r="H123" s="12" t="n">
        <f aca="false">IF(INDEX(選手一覧!$E$7:$E$2738,$F123)="","",INDEX(選手一覧!$E$7:$E$2738,$F123))</f>
        <v>316</v>
      </c>
      <c r="I123" s="11" t="n">
        <f aca="false">IF(INDEX(選手一覧!$H$7:$H$2738,$F123)="","",INDEX(選手一覧!$H$7:$H$2738,$F123))</f>
        <v>0.00280833333333333</v>
      </c>
      <c r="J123" s="12" t="n">
        <f aca="false">IF(INDEX(選手一覧!$I$7:$I$2738,$F123)="","",INDEX(選手一覧!$I$7:$I$2738,$F123))</f>
        <v>318</v>
      </c>
    </row>
    <row r="124" customFormat="false" ht="15" hidden="false" customHeight="false" outlineLevel="0" collapsed="false">
      <c r="A124" s="12" t="n">
        <v>120</v>
      </c>
      <c r="B124" s="10" t="s">
        <v>469</v>
      </c>
      <c r="C124" s="10" t="s">
        <v>166</v>
      </c>
      <c r="D124" s="11" t="n">
        <v>0.00673020833333333</v>
      </c>
      <c r="E124" s="18" t="n">
        <f aca="false">ROUND((D124-$D$5)*86400,2)</f>
        <v>42.47</v>
      </c>
      <c r="F124" s="12" t="n">
        <v>290</v>
      </c>
      <c r="G124" s="11" t="n">
        <f aca="false">IF(INDEX(選手一覧!$D$7:$D$2738,$F124)="","",INDEX(選手一覧!$D$7:$D$2738,$F124))</f>
        <v>0.0107994212962963</v>
      </c>
      <c r="H124" s="12" t="n">
        <f aca="false">IF(INDEX(選手一覧!$E$7:$E$2738,$F124)="","",INDEX(選手一覧!$E$7:$E$2738,$F124))</f>
        <v>739</v>
      </c>
      <c r="I124" s="11" t="n">
        <f aca="false">IF(INDEX(選手一覧!$H$7:$H$2738,$F124)="","",INDEX(選手一覧!$H$7:$H$2738,$F124))</f>
        <v>0.00282962962962963</v>
      </c>
      <c r="J124" s="12" t="n">
        <f aca="false">IF(INDEX(選手一覧!$I$7:$I$2738,$F124)="","",INDEX(選手一覧!$I$7:$I$2738,$F124))</f>
        <v>424</v>
      </c>
    </row>
    <row r="125" customFormat="false" ht="15" hidden="false" customHeight="false" outlineLevel="0" collapsed="false">
      <c r="A125" s="12" t="n">
        <v>121</v>
      </c>
      <c r="B125" s="10" t="s">
        <v>474</v>
      </c>
      <c r="C125" s="10" t="s">
        <v>23</v>
      </c>
      <c r="D125" s="11" t="n">
        <v>0.00673368055555556</v>
      </c>
      <c r="E125" s="18" t="n">
        <f aca="false">ROUND((D125-$D$5)*86400,2)</f>
        <v>42.77</v>
      </c>
      <c r="F125" s="12" t="n">
        <v>293</v>
      </c>
      <c r="G125" s="11" t="n">
        <f aca="false">IF(INDEX(選手一覧!$D$7:$D$2738,$F125)="","",INDEX(選手一覧!$D$7:$D$2738,$F125))</f>
        <v>0.0107247685185185</v>
      </c>
      <c r="H125" s="12" t="n">
        <f aca="false">IF(INDEX(選手一覧!$E$7:$E$2738,$F125)="","",INDEX(選手一覧!$E$7:$E$2738,$F125))</f>
        <v>621</v>
      </c>
      <c r="I125" s="11" t="str">
        <f aca="false">IF(INDEX(選手一覧!$H$7:$H$2738,$F125)="","",INDEX(選手一覧!$H$7:$H$2738,$F125))</f>
        <v/>
      </c>
      <c r="J125" s="12" t="str">
        <f aca="false">IF(INDEX(選手一覧!$I$7:$I$2738,$F125)="","",INDEX(選手一覧!$I$7:$I$2738,$F125))</f>
        <v/>
      </c>
    </row>
    <row r="126" customFormat="false" ht="15" hidden="false" customHeight="false" outlineLevel="0" collapsed="false">
      <c r="A126" s="12" t="n">
        <v>122</v>
      </c>
      <c r="B126" s="10" t="s">
        <v>475</v>
      </c>
      <c r="C126" s="10" t="s">
        <v>229</v>
      </c>
      <c r="D126" s="11" t="n">
        <v>0.00673564814814815</v>
      </c>
      <c r="E126" s="18" t="n">
        <f aca="false">ROUND((D126-$D$5)*86400,2)</f>
        <v>42.94</v>
      </c>
      <c r="F126" s="12" t="n">
        <v>294</v>
      </c>
      <c r="G126" s="11" t="n">
        <f aca="false">IF(INDEX(選手一覧!$D$7:$D$2738,$F126)="","",INDEX(選手一覧!$D$7:$D$2738,$F126))</f>
        <v>0.0104005787037037</v>
      </c>
      <c r="H126" s="12" t="n">
        <f aca="false">IF(INDEX(選手一覧!$E$7:$E$2738,$F126)="","",INDEX(選手一覧!$E$7:$E$2738,$F126))</f>
        <v>267</v>
      </c>
      <c r="I126" s="11" t="n">
        <f aca="false">IF(INDEX(選手一覧!$H$7:$H$2738,$F126)="","",INDEX(選手一覧!$H$7:$H$2738,$F126))</f>
        <v>0.00283460648148148</v>
      </c>
      <c r="J126" s="12" t="n">
        <f aca="false">IF(INDEX(選手一覧!$I$7:$I$2738,$F126)="","",INDEX(選手一覧!$I$7:$I$2738,$F126))</f>
        <v>456</v>
      </c>
    </row>
    <row r="127" customFormat="false" ht="15" hidden="false" customHeight="false" outlineLevel="0" collapsed="false">
      <c r="A127" s="12" t="n">
        <v>123</v>
      </c>
      <c r="B127" s="10" t="s">
        <v>478</v>
      </c>
      <c r="C127" s="10" t="s">
        <v>72</v>
      </c>
      <c r="D127" s="11" t="n">
        <v>0.00674305555555556</v>
      </c>
      <c r="E127" s="18" t="n">
        <f aca="false">ROUND((D127-$D$5)*86400,2)</f>
        <v>43.58</v>
      </c>
      <c r="F127" s="12" t="n">
        <v>297</v>
      </c>
      <c r="G127" s="11" t="n">
        <f aca="false">IF(INDEX(選手一覧!$D$7:$D$2738,$F127)="","",INDEX(選手一覧!$D$7:$D$2738,$F127))</f>
        <v>0.0103144675925926</v>
      </c>
      <c r="H127" s="12" t="n">
        <f aca="false">IF(INDEX(選手一覧!$E$7:$E$2738,$F127)="","",INDEX(選手一覧!$E$7:$E$2738,$F127))</f>
        <v>167</v>
      </c>
      <c r="I127" s="11" t="n">
        <f aca="false">IF(INDEX(選手一覧!$H$7:$H$2738,$F127)="","",INDEX(選手一覧!$H$7:$H$2738,$F127))</f>
        <v>0.00277951388888889</v>
      </c>
      <c r="J127" s="12" t="n">
        <f aca="false">IF(INDEX(選手一覧!$I$7:$I$2738,$F127)="","",INDEX(選手一覧!$I$7:$I$2738,$F127))</f>
        <v>199</v>
      </c>
    </row>
    <row r="128" customFormat="false" ht="15" hidden="false" customHeight="false" outlineLevel="0" collapsed="false">
      <c r="A128" s="12" t="n">
        <v>124</v>
      </c>
      <c r="B128" s="10" t="s">
        <v>485</v>
      </c>
      <c r="C128" s="10" t="s">
        <v>486</v>
      </c>
      <c r="D128" s="11" t="n">
        <v>0.00674560185185185</v>
      </c>
      <c r="E128" s="18" t="n">
        <f aca="false">ROUND((D128-$D$5)*86400,2)</f>
        <v>43.8</v>
      </c>
      <c r="F128" s="12" t="n">
        <v>301</v>
      </c>
      <c r="G128" s="11" t="n">
        <f aca="false">IF(INDEX(選手一覧!$D$7:$D$2738,$F128)="","",INDEX(選手一覧!$D$7:$D$2738,$F128))</f>
        <v>0.0107274305555556</v>
      </c>
      <c r="H128" s="12" t="n">
        <f aca="false">IF(INDEX(選手一覧!$E$7:$E$2738,$F128)="","",INDEX(選手一覧!$E$7:$E$2738,$F128))</f>
        <v>626</v>
      </c>
      <c r="I128" s="11" t="str">
        <f aca="false">IF(INDEX(選手一覧!$H$7:$H$2738,$F128)="","",INDEX(選手一覧!$H$7:$H$2738,$F128))</f>
        <v/>
      </c>
      <c r="J128" s="12" t="str">
        <f aca="false">IF(INDEX(選手一覧!$I$7:$I$2738,$F128)="","",INDEX(選手一覧!$I$7:$I$2738,$F128))</f>
        <v/>
      </c>
    </row>
    <row r="129" customFormat="false" ht="15" hidden="false" customHeight="false" outlineLevel="0" collapsed="false">
      <c r="A129" s="12" t="n">
        <v>125</v>
      </c>
      <c r="B129" s="10" t="s">
        <v>489</v>
      </c>
      <c r="C129" s="10" t="s">
        <v>490</v>
      </c>
      <c r="D129" s="11" t="n">
        <v>0.00674641203703704</v>
      </c>
      <c r="E129" s="18" t="n">
        <f aca="false">ROUND((D129-$D$5)*86400,2)</f>
        <v>43.87</v>
      </c>
      <c r="F129" s="12" t="n">
        <v>304</v>
      </c>
      <c r="G129" s="11" t="str">
        <f aca="false">IF(INDEX(選手一覧!$D$7:$D$2738,$F129)="","",INDEX(選手一覧!$D$7:$D$2738,$F129))</f>
        <v/>
      </c>
      <c r="H129" s="12" t="str">
        <f aca="false">IF(INDEX(選手一覧!$E$7:$E$2738,$F129)="","",INDEX(選手一覧!$E$7:$E$2738,$F129))</f>
        <v/>
      </c>
      <c r="I129" s="11" t="n">
        <f aca="false">IF(INDEX(選手一覧!$H$7:$H$2738,$F129)="","",INDEX(選手一覧!$H$7:$H$2738,$F129))</f>
        <v>0.00295428240740741</v>
      </c>
      <c r="J129" s="12" t="n">
        <f aca="false">IF(INDEX(選手一覧!$I$7:$I$2738,$F129)="","",INDEX(選手一覧!$I$7:$I$2738,$F129))</f>
        <v>1251</v>
      </c>
    </row>
    <row r="130" customFormat="false" ht="15" hidden="false" customHeight="false" outlineLevel="0" collapsed="false">
      <c r="A130" s="12" t="n">
        <v>126</v>
      </c>
      <c r="B130" s="10" t="s">
        <v>491</v>
      </c>
      <c r="C130" s="10" t="s">
        <v>492</v>
      </c>
      <c r="D130" s="11" t="n">
        <v>0.00674803240740741</v>
      </c>
      <c r="E130" s="18" t="n">
        <f aca="false">ROUND((D130-$D$5)*86400,2)</f>
        <v>44.01</v>
      </c>
      <c r="F130" s="12" t="n">
        <v>305</v>
      </c>
      <c r="G130" s="11" t="n">
        <f aca="false">IF(INDEX(選手一覧!$D$7:$D$2738,$F130)="","",INDEX(選手一覧!$D$7:$D$2738,$F130))</f>
        <v>0.0106412037037037</v>
      </c>
      <c r="H130" s="12" t="n">
        <f aca="false">IF(INDEX(選手一覧!$E$7:$E$2738,$F130)="","",INDEX(選手一覧!$E$7:$E$2738,$F130))</f>
        <v>511</v>
      </c>
      <c r="I130" s="11" t="n">
        <f aca="false">IF(INDEX(選手一覧!$H$7:$H$2738,$F130)="","",INDEX(選手一覧!$H$7:$H$2738,$F130))</f>
        <v>0.00282048611111111</v>
      </c>
      <c r="J130" s="12" t="n">
        <f aca="false">IF(INDEX(選手一覧!$I$7:$I$2738,$F130)="","",INDEX(選手一覧!$I$7:$I$2738,$F130))</f>
        <v>364</v>
      </c>
    </row>
    <row r="131" customFormat="false" ht="15" hidden="false" customHeight="false" outlineLevel="0" collapsed="false">
      <c r="A131" s="12" t="n">
        <v>127</v>
      </c>
      <c r="B131" s="10" t="s">
        <v>495</v>
      </c>
      <c r="C131" s="10" t="s">
        <v>185</v>
      </c>
      <c r="D131" s="11" t="n">
        <v>0.00674884259259259</v>
      </c>
      <c r="E131" s="18" t="n">
        <f aca="false">ROUND((D131-$D$5)*86400,2)</f>
        <v>44.08</v>
      </c>
      <c r="F131" s="12" t="n">
        <v>307</v>
      </c>
      <c r="G131" s="11" t="n">
        <f aca="false">IF(INDEX(選手一覧!$D$7:$D$2738,$F131)="","",INDEX(選手一覧!$D$7:$D$2738,$F131))</f>
        <v>0.0107236111111111</v>
      </c>
      <c r="H131" s="12" t="n">
        <f aca="false">IF(INDEX(選手一覧!$E$7:$E$2738,$F131)="","",INDEX(選手一覧!$E$7:$E$2738,$F131))</f>
        <v>620</v>
      </c>
      <c r="I131" s="11" t="n">
        <f aca="false">IF(INDEX(選手一覧!$H$7:$H$2738,$F131)="","",INDEX(選手一覧!$H$7:$H$2738,$F131))</f>
        <v>0.00295983796296296</v>
      </c>
      <c r="J131" s="12" t="n">
        <f aca="false">IF(INDEX(選手一覧!$I$7:$I$2738,$F131)="","",INDEX(選手一覧!$I$7:$I$2738,$F131))</f>
        <v>1271</v>
      </c>
    </row>
    <row r="132" customFormat="false" ht="15" hidden="false" customHeight="false" outlineLevel="0" collapsed="false">
      <c r="A132" s="12" t="n">
        <v>128</v>
      </c>
      <c r="B132" s="10" t="s">
        <v>498</v>
      </c>
      <c r="C132" s="10" t="s">
        <v>484</v>
      </c>
      <c r="D132" s="11" t="n">
        <v>0.00674988425925926</v>
      </c>
      <c r="E132" s="18" t="n">
        <f aca="false">ROUND((D132-$D$5)*86400,2)</f>
        <v>44.17</v>
      </c>
      <c r="F132" s="12" t="n">
        <v>310</v>
      </c>
      <c r="G132" s="11" t="str">
        <f aca="false">IF(INDEX(選手一覧!$D$7:$D$2738,$F132)="","",INDEX(選手一覧!$D$7:$D$2738,$F132))</f>
        <v/>
      </c>
      <c r="H132" s="12" t="str">
        <f aca="false">IF(INDEX(選手一覧!$E$7:$E$2738,$F132)="","",INDEX(選手一覧!$E$7:$E$2738,$F132))</f>
        <v/>
      </c>
      <c r="I132" s="11" t="str">
        <f aca="false">IF(INDEX(選手一覧!$H$7:$H$2738,$F132)="","",INDEX(選手一覧!$H$7:$H$2738,$F132))</f>
        <v/>
      </c>
      <c r="J132" s="12" t="str">
        <f aca="false">IF(INDEX(選手一覧!$I$7:$I$2738,$F132)="","",INDEX(選手一覧!$I$7:$I$2738,$F132))</f>
        <v/>
      </c>
    </row>
    <row r="133" customFormat="false" ht="15" hidden="false" customHeight="false" outlineLevel="0" collapsed="false">
      <c r="A133" s="12" t="n">
        <v>129</v>
      </c>
      <c r="B133" s="10" t="s">
        <v>499</v>
      </c>
      <c r="C133" s="10" t="s">
        <v>500</v>
      </c>
      <c r="D133" s="11" t="n">
        <v>0.00675092592592593</v>
      </c>
      <c r="E133" s="18" t="n">
        <f aca="false">ROUND((D133-$D$5)*86400,2)</f>
        <v>44.26</v>
      </c>
      <c r="F133" s="12" t="n">
        <v>311</v>
      </c>
      <c r="G133" s="11" t="n">
        <f aca="false">IF(INDEX(選手一覧!$D$7:$D$2738,$F133)="","",INDEX(選手一覧!$D$7:$D$2738,$F133))</f>
        <v>0.0109840277777778</v>
      </c>
      <c r="H133" s="12" t="n">
        <f aca="false">IF(INDEX(選手一覧!$E$7:$E$2738,$F133)="","",INDEX(選手一覧!$E$7:$E$2738,$F133))</f>
        <v>1065</v>
      </c>
      <c r="I133" s="11" t="n">
        <f aca="false">IF(INDEX(選手一覧!$H$7:$H$2738,$F133)="","",INDEX(選手一覧!$H$7:$H$2738,$F133))</f>
        <v>0.00298101851851852</v>
      </c>
      <c r="J133" s="12" t="n">
        <f aca="false">IF(INDEX(選手一覧!$I$7:$I$2738,$F133)="","",INDEX(選手一覧!$I$7:$I$2738,$F133))</f>
        <v>1356</v>
      </c>
    </row>
    <row r="134" customFormat="false" ht="15" hidden="false" customHeight="false" outlineLevel="0" collapsed="false">
      <c r="A134" s="12" t="n">
        <v>130</v>
      </c>
      <c r="B134" s="10" t="s">
        <v>504</v>
      </c>
      <c r="C134" s="10" t="s">
        <v>505</v>
      </c>
      <c r="D134" s="11" t="n">
        <v>0.00675219907407407</v>
      </c>
      <c r="E134" s="18" t="n">
        <f aca="false">ROUND((D134-$D$5)*86400,2)</f>
        <v>44.37</v>
      </c>
      <c r="F134" s="12" t="n">
        <v>314</v>
      </c>
      <c r="G134" s="11" t="n">
        <f aca="false">IF(INDEX(選手一覧!$D$7:$D$2738,$F134)="","",INDEX(選手一覧!$D$7:$D$2738,$F134))</f>
        <v>0.0109672453703704</v>
      </c>
      <c r="H134" s="12" t="n">
        <f aca="false">IF(INDEX(選手一覧!$E$7:$E$2738,$F134)="","",INDEX(選手一覧!$E$7:$E$2738,$F134))</f>
        <v>1029</v>
      </c>
      <c r="I134" s="11" t="n">
        <f aca="false">IF(INDEX(選手一覧!$H$7:$H$2738,$F134)="","",INDEX(選手一覧!$H$7:$H$2738,$F134))</f>
        <v>0.0029099537037037</v>
      </c>
      <c r="J134" s="12" t="n">
        <f aca="false">IF(INDEX(選手一覧!$I$7:$I$2738,$F134)="","",INDEX(選手一覧!$I$7:$I$2738,$F134))</f>
        <v>1019</v>
      </c>
    </row>
    <row r="135" customFormat="false" ht="15" hidden="false" customHeight="false" outlineLevel="0" collapsed="false">
      <c r="A135" s="12" t="n">
        <v>131</v>
      </c>
      <c r="B135" s="10" t="s">
        <v>510</v>
      </c>
      <c r="C135" s="10" t="s">
        <v>511</v>
      </c>
      <c r="D135" s="11" t="n">
        <v>0.00675428240740741</v>
      </c>
      <c r="E135" s="18" t="n">
        <f aca="false">ROUND((D135-$D$5)*86400,2)</f>
        <v>44.55</v>
      </c>
      <c r="F135" s="12" t="n">
        <v>316</v>
      </c>
      <c r="G135" s="11" t="str">
        <f aca="false">IF(INDEX(選手一覧!$D$7:$D$2738,$F135)="","",INDEX(選手一覧!$D$7:$D$2738,$F135))</f>
        <v/>
      </c>
      <c r="H135" s="12" t="str">
        <f aca="false">IF(INDEX(選手一覧!$E$7:$E$2738,$F135)="","",INDEX(選手一覧!$E$7:$E$2738,$F135))</f>
        <v/>
      </c>
      <c r="I135" s="11" t="n">
        <f aca="false">IF(INDEX(選手一覧!$H$7:$H$2738,$F135)="","",INDEX(選手一覧!$H$7:$H$2738,$F135))</f>
        <v>0.0028306712962963</v>
      </c>
      <c r="J135" s="12" t="n">
        <f aca="false">IF(INDEX(選手一覧!$I$7:$I$2738,$F135)="","",INDEX(選手一覧!$I$7:$I$2738,$F135))</f>
        <v>430</v>
      </c>
    </row>
    <row r="136" customFormat="false" ht="15" hidden="false" customHeight="false" outlineLevel="0" collapsed="false">
      <c r="A136" s="12" t="n">
        <v>132</v>
      </c>
      <c r="B136" s="10" t="s">
        <v>515</v>
      </c>
      <c r="C136" s="10" t="s">
        <v>185</v>
      </c>
      <c r="D136" s="11" t="n">
        <v>0.00675474537037037</v>
      </c>
      <c r="E136" s="18" t="n">
        <f aca="false">ROUND((D136-$D$5)*86400,2)</f>
        <v>44.59</v>
      </c>
      <c r="F136" s="12" t="n">
        <v>319</v>
      </c>
      <c r="G136" s="11" t="n">
        <f aca="false">IF(INDEX(選手一覧!$D$7:$D$2738,$F136)="","",INDEX(選手一覧!$D$7:$D$2738,$F136))</f>
        <v>0.010731712962963</v>
      </c>
      <c r="H136" s="12" t="n">
        <f aca="false">IF(INDEX(選手一覧!$E$7:$E$2738,$F136)="","",INDEX(選手一覧!$E$7:$E$2738,$F136))</f>
        <v>635</v>
      </c>
      <c r="I136" s="11" t="n">
        <f aca="false">IF(INDEX(選手一覧!$H$7:$H$2738,$F136)="","",INDEX(選手一覧!$H$7:$H$2738,$F136))</f>
        <v>0.00289351851851852</v>
      </c>
      <c r="J136" s="12" t="n">
        <f aca="false">IF(INDEX(選手一覧!$I$7:$I$2738,$F136)="","",INDEX(選手一覧!$I$7:$I$2738,$F136))</f>
        <v>901</v>
      </c>
    </row>
    <row r="137" customFormat="false" ht="15" hidden="false" customHeight="false" outlineLevel="0" collapsed="false">
      <c r="A137" s="12" t="n">
        <v>133</v>
      </c>
      <c r="B137" s="10" t="s">
        <v>516</v>
      </c>
      <c r="C137" s="10" t="s">
        <v>473</v>
      </c>
      <c r="D137" s="11" t="n">
        <v>0.0067556712962963</v>
      </c>
      <c r="E137" s="18" t="n">
        <f aca="false">ROUND((D137-$D$5)*86400,2)</f>
        <v>44.67</v>
      </c>
      <c r="F137" s="12" t="n">
        <v>320</v>
      </c>
      <c r="G137" s="11" t="n">
        <f aca="false">IF(INDEX(選手一覧!$D$7:$D$2738,$F137)="","",INDEX(選手一覧!$D$7:$D$2738,$F137))</f>
        <v>0.0109390046296296</v>
      </c>
      <c r="H137" s="12" t="n">
        <f aca="false">IF(INDEX(選手一覧!$E$7:$E$2738,$F137)="","",INDEX(選手一覧!$E$7:$E$2738,$F137))</f>
        <v>980</v>
      </c>
      <c r="I137" s="11" t="n">
        <f aca="false">IF(INDEX(選手一覧!$H$7:$H$2738,$F137)="","",INDEX(選手一覧!$H$7:$H$2738,$F137))</f>
        <v>0.00283229166666667</v>
      </c>
      <c r="J137" s="12" t="n">
        <f aca="false">IF(INDEX(選手一覧!$I$7:$I$2738,$F137)="","",INDEX(選手一覧!$I$7:$I$2738,$F137))</f>
        <v>442</v>
      </c>
    </row>
    <row r="138" customFormat="false" ht="15" hidden="false" customHeight="false" outlineLevel="0" collapsed="false">
      <c r="A138" s="12" t="n">
        <v>134</v>
      </c>
      <c r="B138" s="10" t="s">
        <v>518</v>
      </c>
      <c r="C138" s="10" t="s">
        <v>519</v>
      </c>
      <c r="D138" s="11" t="n">
        <v>0.00675868055555556</v>
      </c>
      <c r="E138" s="18" t="n">
        <f aca="false">ROUND((D138-$D$5)*86400,2)</f>
        <v>44.93</v>
      </c>
      <c r="F138" s="12" t="n">
        <v>322</v>
      </c>
      <c r="G138" s="11" t="n">
        <f aca="false">IF(INDEX(選手一覧!$D$7:$D$2738,$F138)="","",INDEX(選手一覧!$D$7:$D$2738,$F138))</f>
        <v>0.0106959490740741</v>
      </c>
      <c r="H138" s="12" t="n">
        <f aca="false">IF(INDEX(選手一覧!$E$7:$E$2738,$F138)="","",INDEX(選手一覧!$E$7:$E$2738,$F138))</f>
        <v>574</v>
      </c>
      <c r="I138" s="11" t="n">
        <f aca="false">IF(INDEX(選手一覧!$H$7:$H$2738,$F138)="","",INDEX(選手一覧!$H$7:$H$2738,$F138))</f>
        <v>0.00285069444444445</v>
      </c>
      <c r="J138" s="12" t="n">
        <f aca="false">IF(INDEX(選手一覧!$I$7:$I$2738,$F138)="","",INDEX(選手一覧!$I$7:$I$2738,$F138))</f>
        <v>574</v>
      </c>
    </row>
    <row r="139" customFormat="false" ht="15" hidden="false" customHeight="false" outlineLevel="0" collapsed="false">
      <c r="A139" s="12" t="n">
        <v>135</v>
      </c>
      <c r="B139" s="10" t="s">
        <v>525</v>
      </c>
      <c r="C139" s="10" t="s">
        <v>312</v>
      </c>
      <c r="D139" s="11" t="n">
        <v>0.00676053240740741</v>
      </c>
      <c r="E139" s="18" t="n">
        <f aca="false">ROUND((D139-$D$5)*86400,2)</f>
        <v>45.09</v>
      </c>
      <c r="F139" s="12" t="n">
        <v>326</v>
      </c>
      <c r="G139" s="11" t="n">
        <f aca="false">IF(INDEX(選手一覧!$D$7:$D$2738,$F139)="","",INDEX(選手一覧!$D$7:$D$2738,$F139))</f>
        <v>0.0110791666666667</v>
      </c>
      <c r="H139" s="12" t="n">
        <f aca="false">IF(INDEX(選手一覧!$E$7:$E$2738,$F139)="","",INDEX(選手一覧!$E$7:$E$2738,$F139))</f>
        <v>1249</v>
      </c>
      <c r="I139" s="11" t="n">
        <f aca="false">IF(INDEX(選手一覧!$H$7:$H$2738,$F139)="","",INDEX(選手一覧!$H$7:$H$2738,$F139))</f>
        <v>0.00285729166666667</v>
      </c>
      <c r="J139" s="12" t="n">
        <f aca="false">IF(INDEX(選手一覧!$I$7:$I$2738,$F139)="","",INDEX(選手一覧!$I$7:$I$2738,$F139))</f>
        <v>617</v>
      </c>
    </row>
    <row r="140" customFormat="false" ht="15" hidden="false" customHeight="false" outlineLevel="0" collapsed="false">
      <c r="A140" s="12" t="n">
        <v>136</v>
      </c>
      <c r="B140" s="10" t="s">
        <v>526</v>
      </c>
      <c r="C140" s="10" t="s">
        <v>363</v>
      </c>
      <c r="D140" s="11" t="n">
        <v>0.00676064814814815</v>
      </c>
      <c r="E140" s="18" t="n">
        <f aca="false">ROUND((D140-$D$5)*86400,2)</f>
        <v>45.1</v>
      </c>
      <c r="F140" s="12" t="n">
        <v>327</v>
      </c>
      <c r="G140" s="11" t="n">
        <f aca="false">IF(INDEX(選手一覧!$D$7:$D$2738,$F140)="","",INDEX(選手一覧!$D$7:$D$2738,$F140))</f>
        <v>0.0110524305555556</v>
      </c>
      <c r="H140" s="12" t="n">
        <f aca="false">IF(INDEX(選手一覧!$E$7:$E$2738,$F140)="","",INDEX(選手一覧!$E$7:$E$2738,$F140))</f>
        <v>1202</v>
      </c>
      <c r="I140" s="11" t="n">
        <f aca="false">IF(INDEX(選手一覧!$H$7:$H$2738,$F140)="","",INDEX(選手一覧!$H$7:$H$2738,$F140))</f>
        <v>0.00297037037037037</v>
      </c>
      <c r="J140" s="12" t="n">
        <f aca="false">IF(INDEX(選手一覧!$I$7:$I$2738,$F140)="","",INDEX(選手一覧!$I$7:$I$2738,$F140))</f>
        <v>1311</v>
      </c>
    </row>
    <row r="141" customFormat="false" ht="15" hidden="false" customHeight="false" outlineLevel="0" collapsed="false">
      <c r="A141" s="12" t="n">
        <v>137</v>
      </c>
      <c r="B141" s="10" t="s">
        <v>530</v>
      </c>
      <c r="C141" s="10" t="s">
        <v>257</v>
      </c>
      <c r="D141" s="11" t="n">
        <v>0.00676122685185185</v>
      </c>
      <c r="E141" s="18" t="n">
        <f aca="false">ROUND((D141-$D$5)*86400,2)</f>
        <v>45.15</v>
      </c>
      <c r="F141" s="12" t="n">
        <v>330</v>
      </c>
      <c r="G141" s="11" t="n">
        <f aca="false">IF(INDEX(選手一覧!$D$7:$D$2738,$F141)="","",INDEX(選手一覧!$D$7:$D$2738,$F141))</f>
        <v>0.0105037037037037</v>
      </c>
      <c r="H141" s="12" t="n">
        <f aca="false">IF(INDEX(選手一覧!$E$7:$E$2738,$F141)="","",INDEX(選手一覧!$E$7:$E$2738,$F141))</f>
        <v>343</v>
      </c>
      <c r="I141" s="11" t="n">
        <f aca="false">IF(INDEX(選手一覧!$H$7:$H$2738,$F141)="","",INDEX(選手一覧!$H$7:$H$2738,$F141))</f>
        <v>0.00281898148148148</v>
      </c>
      <c r="J141" s="12" t="n">
        <f aca="false">IF(INDEX(選手一覧!$I$7:$I$2738,$F141)="","",INDEX(選手一覧!$I$7:$I$2738,$F141))</f>
        <v>359</v>
      </c>
    </row>
    <row r="142" customFormat="false" ht="15" hidden="false" customHeight="false" outlineLevel="0" collapsed="false">
      <c r="A142" s="12" t="n">
        <v>138</v>
      </c>
      <c r="B142" s="10" t="s">
        <v>535</v>
      </c>
      <c r="C142" s="10" t="s">
        <v>473</v>
      </c>
      <c r="D142" s="11" t="n">
        <v>0.00676238425925926</v>
      </c>
      <c r="E142" s="18" t="n">
        <f aca="false">ROUND((D142-$D$5)*86400,2)</f>
        <v>45.25</v>
      </c>
      <c r="F142" s="12" t="n">
        <v>334</v>
      </c>
      <c r="G142" s="11" t="n">
        <f aca="false">IF(INDEX(選手一覧!$D$7:$D$2738,$F142)="","",INDEX(選手一覧!$D$7:$D$2738,$F142))</f>
        <v>0.0108078703703704</v>
      </c>
      <c r="H142" s="12" t="n">
        <f aca="false">IF(INDEX(選手一覧!$E$7:$E$2738,$F142)="","",INDEX(選手一覧!$E$7:$E$2738,$F142))</f>
        <v>760</v>
      </c>
      <c r="I142" s="11" t="str">
        <f aca="false">IF(INDEX(選手一覧!$H$7:$H$2738,$F142)="","",INDEX(選手一覧!$H$7:$H$2738,$F142))</f>
        <v/>
      </c>
      <c r="J142" s="12" t="str">
        <f aca="false">IF(INDEX(選手一覧!$I$7:$I$2738,$F142)="","",INDEX(選手一覧!$I$7:$I$2738,$F142))</f>
        <v/>
      </c>
    </row>
    <row r="143" customFormat="false" ht="15" hidden="false" customHeight="false" outlineLevel="0" collapsed="false">
      <c r="A143" s="12" t="n">
        <v>139</v>
      </c>
      <c r="B143" s="10" t="s">
        <v>537</v>
      </c>
      <c r="C143" s="10" t="s">
        <v>538</v>
      </c>
      <c r="D143" s="11" t="n">
        <v>0.00676296296296296</v>
      </c>
      <c r="E143" s="18" t="n">
        <f aca="false">ROUND((D143-$D$5)*86400,2)</f>
        <v>45.3</v>
      </c>
      <c r="F143" s="12" t="n">
        <v>336</v>
      </c>
      <c r="G143" s="11" t="n">
        <f aca="false">IF(INDEX(選手一覧!$D$7:$D$2738,$F143)="","",INDEX(選手一覧!$D$7:$D$2738,$F143))</f>
        <v>0.0108568287037037</v>
      </c>
      <c r="H143" s="12" t="n">
        <f aca="false">IF(INDEX(選手一覧!$E$7:$E$2738,$F143)="","",INDEX(選手一覧!$E$7:$E$2738,$F143))</f>
        <v>845</v>
      </c>
      <c r="I143" s="11" t="str">
        <f aca="false">IF(INDEX(選手一覧!$H$7:$H$2738,$F143)="","",INDEX(選手一覧!$H$7:$H$2738,$F143))</f>
        <v/>
      </c>
      <c r="J143" s="12" t="str">
        <f aca="false">IF(INDEX(選手一覧!$I$7:$I$2738,$F143)="","",INDEX(選手一覧!$I$7:$I$2738,$F143))</f>
        <v/>
      </c>
    </row>
    <row r="144" customFormat="false" ht="15" hidden="false" customHeight="false" outlineLevel="0" collapsed="false">
      <c r="A144" s="12" t="n">
        <v>140</v>
      </c>
      <c r="B144" s="10" t="s">
        <v>540</v>
      </c>
      <c r="C144" s="10" t="s">
        <v>541</v>
      </c>
      <c r="D144" s="11" t="n">
        <v>0.00676365740740741</v>
      </c>
      <c r="E144" s="18" t="n">
        <f aca="false">ROUND((D144-$D$5)*86400,2)</f>
        <v>45.36</v>
      </c>
      <c r="F144" s="12" t="n">
        <v>338</v>
      </c>
      <c r="G144" s="11" t="n">
        <f aca="false">IF(INDEX(選手一覧!$D$7:$D$2738,$F144)="","",INDEX(選手一覧!$D$7:$D$2738,$F144))</f>
        <v>0.0108684027777778</v>
      </c>
      <c r="H144" s="12" t="n">
        <f aca="false">IF(INDEX(選手一覧!$E$7:$E$2738,$F144)="","",INDEX(選手一覧!$E$7:$E$2738,$F144))</f>
        <v>869</v>
      </c>
      <c r="I144" s="11" t="str">
        <f aca="false">IF(INDEX(選手一覧!$H$7:$H$2738,$F144)="","",INDEX(選手一覧!$H$7:$H$2738,$F144))</f>
        <v/>
      </c>
      <c r="J144" s="12" t="str">
        <f aca="false">IF(INDEX(選手一覧!$I$7:$I$2738,$F144)="","",INDEX(選手一覧!$I$7:$I$2738,$F144))</f>
        <v/>
      </c>
    </row>
    <row r="145" customFormat="false" ht="15" hidden="false" customHeight="false" outlineLevel="0" collapsed="false">
      <c r="A145" s="12" t="n">
        <v>141</v>
      </c>
      <c r="B145" s="10" t="s">
        <v>334</v>
      </c>
      <c r="C145" s="10" t="s">
        <v>141</v>
      </c>
      <c r="D145" s="11" t="n">
        <v>0.00676458333333333</v>
      </c>
      <c r="E145" s="18" t="n">
        <f aca="false">ROUND((D145-$D$5)*86400,2)</f>
        <v>45.44</v>
      </c>
      <c r="F145" s="12" t="n">
        <v>194</v>
      </c>
      <c r="G145" s="11" t="n">
        <f aca="false">IF(INDEX(選手一覧!$D$7:$D$2738,$F145)="","",INDEX(選手一覧!$D$7:$D$2738,$F145))</f>
        <v>0.0102657407407407</v>
      </c>
      <c r="H145" s="12" t="n">
        <f aca="false">IF(INDEX(選手一覧!$E$7:$E$2738,$F145)="","",INDEX(選手一覧!$E$7:$E$2738,$F145))</f>
        <v>132</v>
      </c>
      <c r="I145" s="11" t="n">
        <f aca="false">IF(INDEX(選手一覧!$H$7:$H$2738,$F145)="","",INDEX(選手一覧!$H$7:$H$2738,$F145))</f>
        <v>0.00273703703703704</v>
      </c>
      <c r="J145" s="12" t="n">
        <f aca="false">IF(INDEX(選手一覧!$I$7:$I$2738,$F145)="","",INDEX(選手一覧!$I$7:$I$2738,$F145))</f>
        <v>79</v>
      </c>
    </row>
    <row r="146" customFormat="false" ht="15" hidden="false" customHeight="false" outlineLevel="0" collapsed="false">
      <c r="A146" s="12" t="n">
        <v>142</v>
      </c>
      <c r="B146" s="10" t="s">
        <v>547</v>
      </c>
      <c r="C146" s="10" t="s">
        <v>371</v>
      </c>
      <c r="D146" s="11" t="n">
        <v>0.00676458333333333</v>
      </c>
      <c r="E146" s="18" t="n">
        <f aca="false">ROUND((D146-$D$5)*86400,2)</f>
        <v>45.44</v>
      </c>
      <c r="F146" s="12" t="n">
        <v>341</v>
      </c>
      <c r="G146" s="11" t="n">
        <f aca="false">IF(INDEX(選手一覧!$D$7:$D$2738,$F146)="","",INDEX(選手一覧!$D$7:$D$2738,$F146))</f>
        <v>0.0107333333333333</v>
      </c>
      <c r="H146" s="12" t="n">
        <f aca="false">IF(INDEX(選手一覧!$E$7:$E$2738,$F146)="","",INDEX(選手一覧!$E$7:$E$2738,$F146))</f>
        <v>640</v>
      </c>
      <c r="I146" s="11" t="str">
        <f aca="false">IF(INDEX(選手一覧!$H$7:$H$2738,$F146)="","",INDEX(選手一覧!$H$7:$H$2738,$F146))</f>
        <v/>
      </c>
      <c r="J146" s="12" t="str">
        <f aca="false">IF(INDEX(選手一覧!$I$7:$I$2738,$F146)="","",INDEX(選手一覧!$I$7:$I$2738,$F146))</f>
        <v/>
      </c>
    </row>
    <row r="147" customFormat="false" ht="15" hidden="false" customHeight="false" outlineLevel="0" collapsed="false">
      <c r="A147" s="12" t="n">
        <v>143</v>
      </c>
      <c r="B147" s="10" t="s">
        <v>550</v>
      </c>
      <c r="C147" s="10" t="s">
        <v>551</v>
      </c>
      <c r="D147" s="11" t="n">
        <v>0.00676597222222222</v>
      </c>
      <c r="E147" s="18" t="n">
        <f aca="false">ROUND((D147-$D$5)*86400,2)</f>
        <v>45.56</v>
      </c>
      <c r="F147" s="12" t="n">
        <v>343</v>
      </c>
      <c r="G147" s="11" t="str">
        <f aca="false">IF(INDEX(選手一覧!$D$7:$D$2738,$F147)="","",INDEX(選手一覧!$D$7:$D$2738,$F147))</f>
        <v/>
      </c>
      <c r="H147" s="12" t="str">
        <f aca="false">IF(INDEX(選手一覧!$E$7:$E$2738,$F147)="","",INDEX(選手一覧!$E$7:$E$2738,$F147))</f>
        <v/>
      </c>
      <c r="I147" s="11" t="n">
        <f aca="false">IF(INDEX(選手一覧!$H$7:$H$2738,$F147)="","",INDEX(選手一覧!$H$7:$H$2738,$F147))</f>
        <v>0.00289074074074074</v>
      </c>
      <c r="J147" s="12" t="n">
        <f aca="false">IF(INDEX(選手一覧!$I$7:$I$2738,$F147)="","",INDEX(選手一覧!$I$7:$I$2738,$F147))</f>
        <v>872</v>
      </c>
    </row>
    <row r="148" customFormat="false" ht="15" hidden="false" customHeight="false" outlineLevel="0" collapsed="false">
      <c r="A148" s="12" t="n">
        <v>144</v>
      </c>
      <c r="B148" s="10" t="s">
        <v>4011</v>
      </c>
      <c r="C148" s="10" t="s">
        <v>505</v>
      </c>
      <c r="D148" s="11" t="n">
        <v>0.00676724537037037</v>
      </c>
      <c r="E148" s="18" t="n">
        <f aca="false">ROUND((D148-$D$5)*86400,2)</f>
        <v>45.67</v>
      </c>
      <c r="F148" s="12" t="n">
        <v>314</v>
      </c>
      <c r="G148" s="11" t="n">
        <f aca="false">IF(INDEX(選手一覧!$D$7:$D$2738,$F148)="","",INDEX(選手一覧!$D$7:$D$2738,$F148))</f>
        <v>0.0109672453703704</v>
      </c>
      <c r="H148" s="12" t="n">
        <f aca="false">IF(INDEX(選手一覧!$E$7:$E$2738,$F148)="","",INDEX(選手一覧!$E$7:$E$2738,$F148))</f>
        <v>1029</v>
      </c>
      <c r="I148" s="11" t="n">
        <f aca="false">IF(INDEX(選手一覧!$H$7:$H$2738,$F148)="","",INDEX(選手一覧!$H$7:$H$2738,$F148))</f>
        <v>0.0029099537037037</v>
      </c>
      <c r="J148" s="12" t="n">
        <f aca="false">IF(INDEX(選手一覧!$I$7:$I$2738,$F148)="","",INDEX(選手一覧!$I$7:$I$2738,$F148))</f>
        <v>1019</v>
      </c>
    </row>
    <row r="149" customFormat="false" ht="15" hidden="false" customHeight="false" outlineLevel="0" collapsed="false">
      <c r="A149" s="12" t="n">
        <v>145</v>
      </c>
      <c r="B149" s="10" t="s">
        <v>557</v>
      </c>
      <c r="C149" s="10" t="s">
        <v>440</v>
      </c>
      <c r="D149" s="11" t="n">
        <v>0.00676759259259259</v>
      </c>
      <c r="E149" s="18" t="n">
        <f aca="false">ROUND((D149-$D$5)*86400,2)</f>
        <v>45.7</v>
      </c>
      <c r="F149" s="12" t="n">
        <v>347</v>
      </c>
      <c r="G149" s="11" t="str">
        <f aca="false">IF(INDEX(選手一覧!$D$7:$D$2738,$F149)="","",INDEX(選手一覧!$D$7:$D$2738,$F149))</f>
        <v/>
      </c>
      <c r="H149" s="12" t="str">
        <f aca="false">IF(INDEX(選手一覧!$E$7:$E$2738,$F149)="","",INDEX(選手一覧!$E$7:$E$2738,$F149))</f>
        <v/>
      </c>
      <c r="I149" s="11" t="str">
        <f aca="false">IF(INDEX(選手一覧!$H$7:$H$2738,$F149)="","",INDEX(選手一覧!$H$7:$H$2738,$F149))</f>
        <v/>
      </c>
      <c r="J149" s="12" t="str">
        <f aca="false">IF(INDEX(選手一覧!$I$7:$I$2738,$F149)="","",INDEX(選手一覧!$I$7:$I$2738,$F149))</f>
        <v/>
      </c>
    </row>
    <row r="150" customFormat="false" ht="15" hidden="false" customHeight="false" outlineLevel="0" collapsed="false">
      <c r="A150" s="12" t="n">
        <v>146</v>
      </c>
      <c r="B150" s="10" t="s">
        <v>558</v>
      </c>
      <c r="C150" s="10" t="s">
        <v>298</v>
      </c>
      <c r="D150" s="11" t="n">
        <v>0.00676782407407408</v>
      </c>
      <c r="E150" s="18" t="n">
        <f aca="false">ROUND((D150-$D$5)*86400,2)</f>
        <v>45.72</v>
      </c>
      <c r="F150" s="12" t="n">
        <v>348</v>
      </c>
      <c r="G150" s="11" t="n">
        <f aca="false">IF(INDEX(選手一覧!$D$7:$D$2738,$F150)="","",INDEX(選手一覧!$D$7:$D$2738,$F150))</f>
        <v>0.0109322916666667</v>
      </c>
      <c r="H150" s="12" t="n">
        <f aca="false">IF(INDEX(選手一覧!$E$7:$E$2738,$F150)="","",INDEX(選手一覧!$E$7:$E$2738,$F150))</f>
        <v>971</v>
      </c>
      <c r="I150" s="11" t="n">
        <f aca="false">IF(INDEX(選手一覧!$H$7:$H$2738,$F150)="","",INDEX(選手一覧!$H$7:$H$2738,$F150))</f>
        <v>0.0028806712962963</v>
      </c>
      <c r="J150" s="12" t="n">
        <f aca="false">IF(INDEX(選手一覧!$I$7:$I$2738,$F150)="","",INDEX(選手一覧!$I$7:$I$2738,$F150))</f>
        <v>775</v>
      </c>
    </row>
    <row r="151" customFormat="false" ht="15" hidden="false" customHeight="false" outlineLevel="0" collapsed="false">
      <c r="A151" s="12" t="n">
        <v>147</v>
      </c>
      <c r="B151" s="10" t="s">
        <v>561</v>
      </c>
      <c r="C151" s="10" t="s">
        <v>393</v>
      </c>
      <c r="D151" s="11" t="n">
        <v>0.00677037037037037</v>
      </c>
      <c r="E151" s="18" t="n">
        <f aca="false">ROUND((D151-$D$5)*86400,2)</f>
        <v>45.94</v>
      </c>
      <c r="F151" s="12" t="n">
        <v>351</v>
      </c>
      <c r="G151" s="11" t="n">
        <f aca="false">IF(INDEX(選手一覧!$D$7:$D$2738,$F151)="","",INDEX(選手一覧!$D$7:$D$2738,$F151))</f>
        <v>0.0109861111111111</v>
      </c>
      <c r="H151" s="12" t="n">
        <f aca="false">IF(INDEX(選手一覧!$E$7:$E$2738,$F151)="","",INDEX(選手一覧!$E$7:$E$2738,$F151))</f>
        <v>1070</v>
      </c>
      <c r="I151" s="11" t="str">
        <f aca="false">IF(INDEX(選手一覧!$H$7:$H$2738,$F151)="","",INDEX(選手一覧!$H$7:$H$2738,$F151))</f>
        <v/>
      </c>
      <c r="J151" s="12" t="str">
        <f aca="false">IF(INDEX(選手一覧!$I$7:$I$2738,$F151)="","",INDEX(選手一覧!$I$7:$I$2738,$F151))</f>
        <v/>
      </c>
    </row>
    <row r="152" customFormat="false" ht="15" hidden="false" customHeight="false" outlineLevel="0" collapsed="false">
      <c r="A152" s="12" t="n">
        <v>148</v>
      </c>
      <c r="B152" s="10" t="s">
        <v>563</v>
      </c>
      <c r="C152" s="10" t="s">
        <v>564</v>
      </c>
      <c r="D152" s="11" t="n">
        <v>0.00677060185185185</v>
      </c>
      <c r="E152" s="18" t="n">
        <f aca="false">ROUND((D152-$D$5)*86400,2)</f>
        <v>45.96</v>
      </c>
      <c r="F152" s="12" t="n">
        <v>353</v>
      </c>
      <c r="G152" s="11" t="n">
        <f aca="false">IF(INDEX(選手一覧!$D$7:$D$2738,$F152)="","",INDEX(選手一覧!$D$7:$D$2738,$F152))</f>
        <v>0.0109428240740741</v>
      </c>
      <c r="H152" s="12" t="n">
        <f aca="false">IF(INDEX(選手一覧!$E$7:$E$2738,$F152)="","",INDEX(選手一覧!$E$7:$E$2738,$F152))</f>
        <v>988</v>
      </c>
      <c r="I152" s="11" t="str">
        <f aca="false">IF(INDEX(選手一覧!$H$7:$H$2738,$F152)="","",INDEX(選手一覧!$H$7:$H$2738,$F152))</f>
        <v/>
      </c>
      <c r="J152" s="12" t="str">
        <f aca="false">IF(INDEX(選手一覧!$I$7:$I$2738,$F152)="","",INDEX(選手一覧!$I$7:$I$2738,$F152))</f>
        <v/>
      </c>
    </row>
    <row r="153" customFormat="false" ht="15" hidden="false" customHeight="false" outlineLevel="0" collapsed="false">
      <c r="A153" s="12" t="n">
        <v>149</v>
      </c>
      <c r="B153" s="10" t="s">
        <v>566</v>
      </c>
      <c r="C153" s="10" t="s">
        <v>567</v>
      </c>
      <c r="D153" s="11" t="n">
        <v>0.00677175925925926</v>
      </c>
      <c r="E153" s="18" t="n">
        <f aca="false">ROUND((D153-$D$5)*86400,2)</f>
        <v>46.06</v>
      </c>
      <c r="F153" s="12" t="n">
        <v>355</v>
      </c>
      <c r="G153" s="11" t="n">
        <f aca="false">IF(INDEX(選手一覧!$D$7:$D$2738,$F153)="","",INDEX(選手一覧!$D$7:$D$2738,$F153))</f>
        <v>0.0106440972222222</v>
      </c>
      <c r="H153" s="12" t="n">
        <f aca="false">IF(INDEX(選手一覧!$E$7:$E$2738,$F153)="","",INDEX(選手一覧!$E$7:$E$2738,$F153))</f>
        <v>517</v>
      </c>
      <c r="I153" s="11" t="str">
        <f aca="false">IF(INDEX(選手一覧!$H$7:$H$2738,$F153)="","",INDEX(選手一覧!$H$7:$H$2738,$F153))</f>
        <v/>
      </c>
      <c r="J153" s="12" t="str">
        <f aca="false">IF(INDEX(選手一覧!$I$7:$I$2738,$F153)="","",INDEX(選手一覧!$I$7:$I$2738,$F153))</f>
        <v/>
      </c>
    </row>
    <row r="154" customFormat="false" ht="15" hidden="false" customHeight="false" outlineLevel="0" collapsed="false">
      <c r="A154" s="12" t="n">
        <v>150</v>
      </c>
      <c r="B154" s="10" t="s">
        <v>568</v>
      </c>
      <c r="C154" s="10" t="s">
        <v>47</v>
      </c>
      <c r="D154" s="11" t="n">
        <v>0.00677303240740741</v>
      </c>
      <c r="E154" s="18" t="n">
        <f aca="false">ROUND((D154-$D$5)*86400,2)</f>
        <v>46.17</v>
      </c>
      <c r="F154" s="12" t="n">
        <v>356</v>
      </c>
      <c r="G154" s="11" t="n">
        <f aca="false">IF(INDEX(選手一覧!$D$7:$D$2738,$F154)="","",INDEX(選手一覧!$D$7:$D$2738,$F154))</f>
        <v>0.0107232638888889</v>
      </c>
      <c r="H154" s="12" t="n">
        <f aca="false">IF(INDEX(選手一覧!$E$7:$E$2738,$F154)="","",INDEX(選手一覧!$E$7:$E$2738,$F154))</f>
        <v>619</v>
      </c>
      <c r="I154" s="11" t="n">
        <f aca="false">IF(INDEX(選手一覧!$H$7:$H$2738,$F154)="","",INDEX(選手一覧!$H$7:$H$2738,$F154))</f>
        <v>0.00282118055555556</v>
      </c>
      <c r="J154" s="12" t="n">
        <f aca="false">IF(INDEX(選手一覧!$I$7:$I$2738,$F154)="","",INDEX(選手一覧!$I$7:$I$2738,$F154))</f>
        <v>370</v>
      </c>
    </row>
    <row r="155" customFormat="false" ht="15" hidden="false" customHeight="false" outlineLevel="0" collapsed="false">
      <c r="A155" s="12" t="n">
        <v>151</v>
      </c>
      <c r="B155" s="10" t="s">
        <v>574</v>
      </c>
      <c r="C155" s="10" t="s">
        <v>397</v>
      </c>
      <c r="D155" s="11" t="n">
        <v>0.00677511574074074</v>
      </c>
      <c r="E155" s="18" t="n">
        <f aca="false">ROUND((D155-$D$5)*86400,2)</f>
        <v>46.35</v>
      </c>
      <c r="F155" s="12" t="n">
        <v>361</v>
      </c>
      <c r="G155" s="11" t="str">
        <f aca="false">IF(INDEX(選手一覧!$D$7:$D$2738,$F155)="","",INDEX(選手一覧!$D$7:$D$2738,$F155))</f>
        <v/>
      </c>
      <c r="H155" s="12" t="str">
        <f aca="false">IF(INDEX(選手一覧!$E$7:$E$2738,$F155)="","",INDEX(選手一覧!$E$7:$E$2738,$F155))</f>
        <v/>
      </c>
      <c r="I155" s="11" t="str">
        <f aca="false">IF(INDEX(選手一覧!$H$7:$H$2738,$F155)="","",INDEX(選手一覧!$H$7:$H$2738,$F155))</f>
        <v/>
      </c>
      <c r="J155" s="12" t="str">
        <f aca="false">IF(INDEX(選手一覧!$I$7:$I$2738,$F155)="","",INDEX(選手一覧!$I$7:$I$2738,$F155))</f>
        <v/>
      </c>
    </row>
    <row r="156" customFormat="false" ht="15" hidden="false" customHeight="false" outlineLevel="0" collapsed="false">
      <c r="A156" s="12" t="n">
        <v>152</v>
      </c>
      <c r="B156" s="10" t="s">
        <v>575</v>
      </c>
      <c r="C156" s="10" t="s">
        <v>95</v>
      </c>
      <c r="D156" s="11" t="n">
        <v>0.00677569444444444</v>
      </c>
      <c r="E156" s="18" t="n">
        <f aca="false">ROUND((D156-$D$5)*86400,2)</f>
        <v>46.4</v>
      </c>
      <c r="F156" s="12" t="n">
        <v>362</v>
      </c>
      <c r="G156" s="11" t="n">
        <f aca="false">IF(INDEX(選手一覧!$D$7:$D$2738,$F156)="","",INDEX(選手一覧!$D$7:$D$2738,$F156))</f>
        <v>0.0107016203703704</v>
      </c>
      <c r="H156" s="12" t="n">
        <f aca="false">IF(INDEX(選手一覧!$E$7:$E$2738,$F156)="","",INDEX(選手一覧!$E$7:$E$2738,$F156))</f>
        <v>587</v>
      </c>
      <c r="I156" s="11" t="n">
        <f aca="false">IF(INDEX(選手一覧!$H$7:$H$2738,$F156)="","",INDEX(選手一覧!$H$7:$H$2738,$F156))</f>
        <v>0.00289988425925926</v>
      </c>
      <c r="J156" s="12" t="n">
        <f aca="false">IF(INDEX(選手一覧!$I$7:$I$2738,$F156)="","",INDEX(選手一覧!$I$7:$I$2738,$F156))</f>
        <v>946</v>
      </c>
    </row>
    <row r="157" customFormat="false" ht="15" hidden="false" customHeight="false" outlineLevel="0" collapsed="false">
      <c r="A157" s="12" t="n">
        <v>153</v>
      </c>
      <c r="B157" s="10" t="s">
        <v>576</v>
      </c>
      <c r="C157" s="10" t="s">
        <v>577</v>
      </c>
      <c r="D157" s="11" t="n">
        <v>0.00677627314814815</v>
      </c>
      <c r="E157" s="18" t="n">
        <f aca="false">ROUND((D157-$D$5)*86400,2)</f>
        <v>46.45</v>
      </c>
      <c r="F157" s="12" t="n">
        <v>363</v>
      </c>
      <c r="G157" s="11" t="n">
        <f aca="false">IF(INDEX(選手一覧!$D$7:$D$2738,$F157)="","",INDEX(選手一覧!$D$7:$D$2738,$F157))</f>
        <v>0.011018287037037</v>
      </c>
      <c r="H157" s="12" t="n">
        <f aca="false">IF(INDEX(選手一覧!$E$7:$E$2738,$F157)="","",INDEX(選手一覧!$E$7:$E$2738,$F157))</f>
        <v>1126</v>
      </c>
      <c r="I157" s="11" t="str">
        <f aca="false">IF(INDEX(選手一覧!$H$7:$H$2738,$F157)="","",INDEX(選手一覧!$H$7:$H$2738,$F157))</f>
        <v/>
      </c>
      <c r="J157" s="12" t="str">
        <f aca="false">IF(INDEX(選手一覧!$I$7:$I$2738,$F157)="","",INDEX(選手一覧!$I$7:$I$2738,$F157))</f>
        <v/>
      </c>
    </row>
    <row r="158" customFormat="false" ht="15" hidden="false" customHeight="false" outlineLevel="0" collapsed="false">
      <c r="A158" s="12" t="n">
        <v>154</v>
      </c>
      <c r="B158" s="10" t="s">
        <v>580</v>
      </c>
      <c r="C158" s="10" t="s">
        <v>581</v>
      </c>
      <c r="D158" s="11" t="n">
        <v>0.00677928240740741</v>
      </c>
      <c r="E158" s="18" t="n">
        <f aca="false">ROUND((D158-$D$5)*86400,2)</f>
        <v>46.71</v>
      </c>
      <c r="F158" s="12" t="n">
        <v>366</v>
      </c>
      <c r="G158" s="11" t="n">
        <f aca="false">IF(INDEX(選手一覧!$D$7:$D$2738,$F158)="","",INDEX(選手一覧!$D$7:$D$2738,$F158))</f>
        <v>0.0108369212962963</v>
      </c>
      <c r="H158" s="12" t="n">
        <f aca="false">IF(INDEX(選手一覧!$E$7:$E$2738,$F158)="","",INDEX(選手一覧!$E$7:$E$2738,$F158))</f>
        <v>804</v>
      </c>
      <c r="I158" s="11" t="str">
        <f aca="false">IF(INDEX(選手一覧!$H$7:$H$2738,$F158)="","",INDEX(選手一覧!$H$7:$H$2738,$F158))</f>
        <v/>
      </c>
      <c r="J158" s="12" t="str">
        <f aca="false">IF(INDEX(選手一覧!$I$7:$I$2738,$F158)="","",INDEX(選手一覧!$I$7:$I$2738,$F158))</f>
        <v/>
      </c>
    </row>
    <row r="159" customFormat="false" ht="15" hidden="false" customHeight="false" outlineLevel="0" collapsed="false">
      <c r="A159" s="12" t="n">
        <v>155</v>
      </c>
      <c r="B159" s="10" t="s">
        <v>583</v>
      </c>
      <c r="C159" s="10" t="s">
        <v>162</v>
      </c>
      <c r="D159" s="11" t="n">
        <v>0.00677997685185185</v>
      </c>
      <c r="E159" s="18" t="n">
        <f aca="false">ROUND((D159-$D$5)*86400,2)</f>
        <v>46.77</v>
      </c>
      <c r="F159" s="12" t="n">
        <v>368</v>
      </c>
      <c r="G159" s="11" t="str">
        <f aca="false">IF(INDEX(選手一覧!$D$7:$D$2738,$F159)="","",INDEX(選手一覧!$D$7:$D$2738,$F159))</f>
        <v/>
      </c>
      <c r="H159" s="12" t="str">
        <f aca="false">IF(INDEX(選手一覧!$E$7:$E$2738,$F159)="","",INDEX(選手一覧!$E$7:$E$2738,$F159))</f>
        <v/>
      </c>
      <c r="I159" s="11" t="n">
        <f aca="false">IF(INDEX(選手一覧!$H$7:$H$2738,$F159)="","",INDEX(選手一覧!$H$7:$H$2738,$F159))</f>
        <v>0.00287476851851852</v>
      </c>
      <c r="J159" s="12" t="n">
        <f aca="false">IF(INDEX(選手一覧!$I$7:$I$2738,$F159)="","",INDEX(選手一覧!$I$7:$I$2738,$F159))</f>
        <v>732</v>
      </c>
    </row>
    <row r="160" customFormat="false" ht="15" hidden="false" customHeight="false" outlineLevel="0" collapsed="false">
      <c r="A160" s="12" t="n">
        <v>156</v>
      </c>
      <c r="B160" s="10" t="s">
        <v>586</v>
      </c>
      <c r="C160" s="10" t="s">
        <v>57</v>
      </c>
      <c r="D160" s="11" t="n">
        <v>0.00678148148148148</v>
      </c>
      <c r="E160" s="18" t="n">
        <f aca="false">ROUND((D160-$D$5)*86400,2)</f>
        <v>46.9</v>
      </c>
      <c r="F160" s="12" t="n">
        <v>370</v>
      </c>
      <c r="G160" s="11" t="n">
        <f aca="false">IF(INDEX(選手一覧!$D$7:$D$2738,$F160)="","",INDEX(選手一覧!$D$7:$D$2738,$F160))</f>
        <v>0.0109530092592593</v>
      </c>
      <c r="H160" s="12" t="n">
        <f aca="false">IF(INDEX(選手一覧!$E$7:$E$2738,$F160)="","",INDEX(選手一覧!$E$7:$E$2738,$F160))</f>
        <v>1007</v>
      </c>
      <c r="I160" s="11" t="str">
        <f aca="false">IF(INDEX(選手一覧!$H$7:$H$2738,$F160)="","",INDEX(選手一覧!$H$7:$H$2738,$F160))</f>
        <v/>
      </c>
      <c r="J160" s="12" t="str">
        <f aca="false">IF(INDEX(選手一覧!$I$7:$I$2738,$F160)="","",INDEX(選手一覧!$I$7:$I$2738,$F160))</f>
        <v/>
      </c>
    </row>
    <row r="161" customFormat="false" ht="15" hidden="false" customHeight="false" outlineLevel="0" collapsed="false">
      <c r="A161" s="12" t="n">
        <v>157</v>
      </c>
      <c r="B161" s="10" t="s">
        <v>587</v>
      </c>
      <c r="C161" s="10" t="s">
        <v>588</v>
      </c>
      <c r="D161" s="11" t="n">
        <v>0.00678206018518519</v>
      </c>
      <c r="E161" s="18" t="n">
        <f aca="false">ROUND((D161-$D$5)*86400,2)</f>
        <v>46.95</v>
      </c>
      <c r="F161" s="12" t="n">
        <v>371</v>
      </c>
      <c r="G161" s="11" t="n">
        <f aca="false">IF(INDEX(選手一覧!$D$7:$D$2738,$F161)="","",INDEX(選手一覧!$D$7:$D$2738,$F161))</f>
        <v>0.0110810185185185</v>
      </c>
      <c r="H161" s="12" t="n">
        <f aca="false">IF(INDEX(選手一覧!$E$7:$E$2738,$F161)="","",INDEX(選手一覧!$E$7:$E$2738,$F161))</f>
        <v>1255</v>
      </c>
      <c r="I161" s="11" t="n">
        <f aca="false">IF(INDEX(選手一覧!$H$7:$H$2738,$F161)="","",INDEX(選手一覧!$H$7:$H$2738,$F161))</f>
        <v>0.00290636574074074</v>
      </c>
      <c r="J161" s="12" t="n">
        <f aca="false">IF(INDEX(選手一覧!$I$7:$I$2738,$F161)="","",INDEX(選手一覧!$I$7:$I$2738,$F161))</f>
        <v>993</v>
      </c>
    </row>
    <row r="162" customFormat="false" ht="15" hidden="false" customHeight="false" outlineLevel="0" collapsed="false">
      <c r="A162" s="12" t="n">
        <v>158</v>
      </c>
      <c r="B162" s="10" t="s">
        <v>591</v>
      </c>
      <c r="C162" s="10" t="s">
        <v>592</v>
      </c>
      <c r="D162" s="11" t="n">
        <v>0.00678356481481482</v>
      </c>
      <c r="E162" s="18" t="n">
        <f aca="false">ROUND((D162-$D$5)*86400,2)</f>
        <v>47.08</v>
      </c>
      <c r="F162" s="12" t="n">
        <v>373</v>
      </c>
      <c r="G162" s="11" t="n">
        <f aca="false">IF(INDEX(選手一覧!$D$7:$D$2738,$F162)="","",INDEX(選手一覧!$D$7:$D$2738,$F162))</f>
        <v>0.0108329861111111</v>
      </c>
      <c r="H162" s="12" t="n">
        <f aca="false">IF(INDEX(選手一覧!$E$7:$E$2738,$F162)="","",INDEX(選手一覧!$E$7:$E$2738,$F162))</f>
        <v>799</v>
      </c>
      <c r="I162" s="11" t="n">
        <f aca="false">IF(INDEX(選手一覧!$H$7:$H$2738,$F162)="","",INDEX(選手一覧!$H$7:$H$2738,$F162))</f>
        <v>0.00286273148148148</v>
      </c>
      <c r="J162" s="12" t="n">
        <f aca="false">IF(INDEX(選手一覧!$I$7:$I$2738,$F162)="","",INDEX(選手一覧!$I$7:$I$2738,$F162))</f>
        <v>655</v>
      </c>
    </row>
    <row r="163" customFormat="false" ht="15" hidden="false" customHeight="false" outlineLevel="0" collapsed="false">
      <c r="A163" s="12" t="n">
        <v>159</v>
      </c>
      <c r="B163" s="10" t="s">
        <v>595</v>
      </c>
      <c r="C163" s="10" t="s">
        <v>596</v>
      </c>
      <c r="D163" s="11" t="n">
        <v>0.00678368055555556</v>
      </c>
      <c r="E163" s="18" t="n">
        <f aca="false">ROUND((D163-$D$5)*86400,2)</f>
        <v>47.09</v>
      </c>
      <c r="F163" s="12" t="n">
        <v>376</v>
      </c>
      <c r="G163" s="11" t="str">
        <f aca="false">IF(INDEX(選手一覧!$D$7:$D$2738,$F163)="","",INDEX(選手一覧!$D$7:$D$2738,$F163))</f>
        <v/>
      </c>
      <c r="H163" s="12" t="str">
        <f aca="false">IF(INDEX(選手一覧!$E$7:$E$2738,$F163)="","",INDEX(選手一覧!$E$7:$E$2738,$F163))</f>
        <v/>
      </c>
      <c r="I163" s="11" t="n">
        <f aca="false">IF(INDEX(選手一覧!$H$7:$H$2738,$F163)="","",INDEX(選手一覧!$H$7:$H$2738,$F163))</f>
        <v>0.00281643518518519</v>
      </c>
      <c r="J163" s="12" t="n">
        <f aca="false">IF(INDEX(選手一覧!$I$7:$I$2738,$F163)="","",INDEX(選手一覧!$I$7:$I$2738,$F163))</f>
        <v>347</v>
      </c>
    </row>
    <row r="164" customFormat="false" ht="15" hidden="false" customHeight="false" outlineLevel="0" collapsed="false">
      <c r="A164" s="12" t="n">
        <v>160</v>
      </c>
      <c r="B164" s="10" t="s">
        <v>598</v>
      </c>
      <c r="C164" s="10" t="s">
        <v>599</v>
      </c>
      <c r="D164" s="11" t="n">
        <v>0.006784375</v>
      </c>
      <c r="E164" s="18" t="n">
        <f aca="false">ROUND((D164-$D$5)*86400,2)</f>
        <v>47.15</v>
      </c>
      <c r="F164" s="12" t="n">
        <v>378</v>
      </c>
      <c r="G164" s="11" t="n">
        <f aca="false">IF(INDEX(選手一覧!$D$7:$D$2738,$F164)="","",INDEX(選手一覧!$D$7:$D$2738,$F164))</f>
        <v>0.010999537037037</v>
      </c>
      <c r="H164" s="12" t="n">
        <f aca="false">IF(INDEX(選手一覧!$E$7:$E$2738,$F164)="","",INDEX(選手一覧!$E$7:$E$2738,$F164))</f>
        <v>1096</v>
      </c>
      <c r="I164" s="11" t="str">
        <f aca="false">IF(INDEX(選手一覧!$H$7:$H$2738,$F164)="","",INDEX(選手一覧!$H$7:$H$2738,$F164))</f>
        <v/>
      </c>
      <c r="J164" s="12" t="str">
        <f aca="false">IF(INDEX(選手一覧!$I$7:$I$2738,$F164)="","",INDEX(選手一覧!$I$7:$I$2738,$F164))</f>
        <v/>
      </c>
    </row>
    <row r="165" customFormat="false" ht="15" hidden="false" customHeight="false" outlineLevel="0" collapsed="false">
      <c r="A165" s="12" t="n">
        <v>161</v>
      </c>
      <c r="B165" s="10" t="s">
        <v>601</v>
      </c>
      <c r="C165" s="10" t="s">
        <v>555</v>
      </c>
      <c r="D165" s="11" t="n">
        <v>0.00678472222222222</v>
      </c>
      <c r="E165" s="18" t="n">
        <f aca="false">ROUND((D165-$D$5)*86400,2)</f>
        <v>47.18</v>
      </c>
      <c r="F165" s="12" t="n">
        <v>380</v>
      </c>
      <c r="G165" s="11" t="str">
        <f aca="false">IF(INDEX(選手一覧!$D$7:$D$2738,$F165)="","",INDEX(選手一覧!$D$7:$D$2738,$F165))</f>
        <v/>
      </c>
      <c r="H165" s="12" t="str">
        <f aca="false">IF(INDEX(選手一覧!$E$7:$E$2738,$F165)="","",INDEX(選手一覧!$E$7:$E$2738,$F165))</f>
        <v/>
      </c>
      <c r="I165" s="11" t="n">
        <f aca="false">IF(INDEX(選手一覧!$H$7:$H$2738,$F165)="","",INDEX(選手一覧!$H$7:$H$2738,$F165))</f>
        <v>0.00283680555555556</v>
      </c>
      <c r="J165" s="12" t="n">
        <f aca="false">IF(INDEX(選手一覧!$I$7:$I$2738,$F165)="","",INDEX(選手一覧!$I$7:$I$2738,$F165))</f>
        <v>475</v>
      </c>
    </row>
    <row r="166" customFormat="false" ht="15" hidden="false" customHeight="false" outlineLevel="0" collapsed="false">
      <c r="A166" s="12" t="n">
        <v>162</v>
      </c>
      <c r="B166" s="10" t="s">
        <v>602</v>
      </c>
      <c r="C166" s="10" t="s">
        <v>603</v>
      </c>
      <c r="D166" s="11" t="n">
        <v>0.00678715277777778</v>
      </c>
      <c r="E166" s="18" t="n">
        <f aca="false">ROUND((D166-$D$5)*86400,2)</f>
        <v>47.39</v>
      </c>
      <c r="F166" s="12" t="n">
        <v>381</v>
      </c>
      <c r="G166" s="11" t="str">
        <f aca="false">IF(INDEX(選手一覧!$D$7:$D$2738,$F166)="","",INDEX(選手一覧!$D$7:$D$2738,$F166))</f>
        <v/>
      </c>
      <c r="H166" s="12" t="str">
        <f aca="false">IF(INDEX(選手一覧!$E$7:$E$2738,$F166)="","",INDEX(選手一覧!$E$7:$E$2738,$F166))</f>
        <v/>
      </c>
      <c r="I166" s="11" t="str">
        <f aca="false">IF(INDEX(選手一覧!$H$7:$H$2738,$F166)="","",INDEX(選手一覧!$H$7:$H$2738,$F166))</f>
        <v/>
      </c>
      <c r="J166" s="12" t="str">
        <f aca="false">IF(INDEX(選手一覧!$I$7:$I$2738,$F166)="","",INDEX(選手一覧!$I$7:$I$2738,$F166))</f>
        <v/>
      </c>
    </row>
    <row r="167" customFormat="false" ht="15" hidden="false" customHeight="false" outlineLevel="0" collapsed="false">
      <c r="A167" s="12" t="n">
        <v>163</v>
      </c>
      <c r="B167" s="10" t="s">
        <v>607</v>
      </c>
      <c r="C167" s="10" t="s">
        <v>348</v>
      </c>
      <c r="D167" s="11" t="n">
        <v>0.00679131944444444</v>
      </c>
      <c r="E167" s="18" t="n">
        <f aca="false">ROUND((D167-$D$5)*86400,2)</f>
        <v>47.75</v>
      </c>
      <c r="F167" s="12" t="n">
        <v>384</v>
      </c>
      <c r="G167" s="11" t="n">
        <f aca="false">IF(INDEX(選手一覧!$D$7:$D$2738,$F167)="","",INDEX(選手一覧!$D$7:$D$2738,$F167))</f>
        <v>0.0110097222222222</v>
      </c>
      <c r="H167" s="12" t="n">
        <f aca="false">IF(INDEX(選手一覧!$E$7:$E$2738,$F167)="","",INDEX(選手一覧!$E$7:$E$2738,$F167))</f>
        <v>1110</v>
      </c>
      <c r="I167" s="11" t="str">
        <f aca="false">IF(INDEX(選手一覧!$H$7:$H$2738,$F167)="","",INDEX(選手一覧!$H$7:$H$2738,$F167))</f>
        <v/>
      </c>
      <c r="J167" s="12" t="str">
        <f aca="false">IF(INDEX(選手一覧!$I$7:$I$2738,$F167)="","",INDEX(選手一覧!$I$7:$I$2738,$F167))</f>
        <v/>
      </c>
    </row>
    <row r="168" customFormat="false" ht="15" hidden="false" customHeight="false" outlineLevel="0" collapsed="false">
      <c r="A168" s="12" t="n">
        <v>164</v>
      </c>
      <c r="B168" s="10" t="s">
        <v>610</v>
      </c>
      <c r="C168" s="10" t="s">
        <v>72</v>
      </c>
      <c r="D168" s="11" t="n">
        <v>0.00679247685185185</v>
      </c>
      <c r="E168" s="18" t="n">
        <f aca="false">ROUND((D168-$D$5)*86400,2)</f>
        <v>47.85</v>
      </c>
      <c r="F168" s="12" t="n">
        <v>386</v>
      </c>
      <c r="G168" s="11" t="n">
        <f aca="false">IF(INDEX(選手一覧!$D$7:$D$2738,$F168)="","",INDEX(選手一覧!$D$7:$D$2738,$F168))</f>
        <v>0.0109127314814815</v>
      </c>
      <c r="H168" s="12" t="n">
        <f aca="false">IF(INDEX(選手一覧!$E$7:$E$2738,$F168)="","",INDEX(選手一覧!$E$7:$E$2738,$F168))</f>
        <v>942</v>
      </c>
      <c r="I168" s="11" t="n">
        <f aca="false">IF(INDEX(選手一覧!$H$7:$H$2738,$F168)="","",INDEX(選手一覧!$H$7:$H$2738,$F168))</f>
        <v>0.00288148148148148</v>
      </c>
      <c r="J168" s="12" t="n">
        <f aca="false">IF(INDEX(選手一覧!$I$7:$I$2738,$F168)="","",INDEX(選手一覧!$I$7:$I$2738,$F168))</f>
        <v>783</v>
      </c>
    </row>
    <row r="169" customFormat="false" ht="15" hidden="false" customHeight="false" outlineLevel="0" collapsed="false">
      <c r="A169" s="12" t="n">
        <v>165</v>
      </c>
      <c r="B169" s="10" t="s">
        <v>615</v>
      </c>
      <c r="C169" s="10" t="s">
        <v>4015</v>
      </c>
      <c r="D169" s="11" t="n">
        <v>0.00679340277777778</v>
      </c>
      <c r="E169" s="18" t="n">
        <f aca="false">ROUND((D169-$D$5)*86400,2)</f>
        <v>47.93</v>
      </c>
      <c r="F169" s="12" t="n">
        <v>389</v>
      </c>
      <c r="G169" s="11" t="n">
        <f aca="false">IF(INDEX(選手一覧!$D$7:$D$2738,$F169)="","",INDEX(選手一覧!$D$7:$D$2738,$F169))</f>
        <v>0.0109480324074074</v>
      </c>
      <c r="H169" s="12" t="n">
        <f aca="false">IF(INDEX(選手一覧!$E$7:$E$2738,$F169)="","",INDEX(選手一覧!$E$7:$E$2738,$F169))</f>
        <v>993</v>
      </c>
      <c r="I169" s="11" t="n">
        <f aca="false">IF(INDEX(選手一覧!$H$7:$H$2738,$F169)="","",INDEX(選手一覧!$H$7:$H$2738,$F169))</f>
        <v>0.00291875</v>
      </c>
      <c r="J169" s="12" t="n">
        <f aca="false">IF(INDEX(選手一覧!$I$7:$I$2738,$F169)="","",INDEX(選手一覧!$I$7:$I$2738,$F169))</f>
        <v>1081</v>
      </c>
    </row>
    <row r="170" customFormat="false" ht="15" hidden="false" customHeight="false" outlineLevel="0" collapsed="false">
      <c r="A170" s="12" t="n">
        <v>166</v>
      </c>
      <c r="B170" s="10" t="s">
        <v>624</v>
      </c>
      <c r="C170" s="10" t="s">
        <v>625</v>
      </c>
      <c r="D170" s="11" t="n">
        <v>0.00679351851851852</v>
      </c>
      <c r="E170" s="18" t="n">
        <f aca="false">ROUND((D170-$D$5)*86400,2)</f>
        <v>47.94</v>
      </c>
      <c r="F170" s="12" t="n">
        <v>394</v>
      </c>
      <c r="G170" s="11" t="n">
        <f aca="false">IF(INDEX(選手一覧!$D$7:$D$2738,$F170)="","",INDEX(選手一覧!$D$7:$D$2738,$F170))</f>
        <v>0.0106417824074074</v>
      </c>
      <c r="H170" s="12" t="n">
        <f aca="false">IF(INDEX(選手一覧!$E$7:$E$2738,$F170)="","",INDEX(選手一覧!$E$7:$E$2738,$F170))</f>
        <v>514</v>
      </c>
      <c r="I170" s="11" t="str">
        <f aca="false">IF(INDEX(選手一覧!$H$7:$H$2738,$F170)="","",INDEX(選手一覧!$H$7:$H$2738,$F170))</f>
        <v/>
      </c>
      <c r="J170" s="12" t="str">
        <f aca="false">IF(INDEX(選手一覧!$I$7:$I$2738,$F170)="","",INDEX(選手一覧!$I$7:$I$2738,$F170))</f>
        <v/>
      </c>
    </row>
    <row r="171" customFormat="false" ht="15" hidden="false" customHeight="false" outlineLevel="0" collapsed="false">
      <c r="A171" s="12" t="n">
        <v>167</v>
      </c>
      <c r="B171" s="10" t="s">
        <v>626</v>
      </c>
      <c r="C171" s="10" t="s">
        <v>627</v>
      </c>
      <c r="D171" s="11" t="n">
        <v>0.00679560185185185</v>
      </c>
      <c r="E171" s="18" t="n">
        <f aca="false">ROUND((D171-$D$5)*86400,2)</f>
        <v>48.12</v>
      </c>
      <c r="F171" s="12" t="n">
        <v>395</v>
      </c>
      <c r="G171" s="11" t="n">
        <f aca="false">IF(INDEX(選手一覧!$D$7:$D$2738,$F171)="","",INDEX(選手一覧!$D$7:$D$2738,$F171))</f>
        <v>0.0108678240740741</v>
      </c>
      <c r="H171" s="12" t="n">
        <f aca="false">IF(INDEX(選手一覧!$E$7:$E$2738,$F171)="","",INDEX(選手一覧!$E$7:$E$2738,$F171))</f>
        <v>868</v>
      </c>
      <c r="I171" s="11" t="str">
        <f aca="false">IF(INDEX(選手一覧!$H$7:$H$2738,$F171)="","",INDEX(選手一覧!$H$7:$H$2738,$F171))</f>
        <v/>
      </c>
      <c r="J171" s="12" t="str">
        <f aca="false">IF(INDEX(選手一覧!$I$7:$I$2738,$F171)="","",INDEX(選手一覧!$I$7:$I$2738,$F171))</f>
        <v/>
      </c>
    </row>
    <row r="172" customFormat="false" ht="15" hidden="false" customHeight="false" outlineLevel="0" collapsed="false">
      <c r="A172" s="12" t="n">
        <v>168</v>
      </c>
      <c r="B172" s="10" t="s">
        <v>629</v>
      </c>
      <c r="C172" s="10" t="s">
        <v>630</v>
      </c>
      <c r="D172" s="11" t="n">
        <v>0.00679710648148148</v>
      </c>
      <c r="E172" s="18" t="n">
        <f aca="false">ROUND((D172-$D$5)*86400,2)</f>
        <v>48.25</v>
      </c>
      <c r="F172" s="12" t="n">
        <v>397</v>
      </c>
      <c r="G172" s="11" t="n">
        <f aca="false">IF(INDEX(選手一覧!$D$7:$D$2738,$F172)="","",INDEX(選手一覧!$D$7:$D$2738,$F172))</f>
        <v>0.0106542824074074</v>
      </c>
      <c r="H172" s="12" t="n">
        <f aca="false">IF(INDEX(選手一覧!$E$7:$E$2738,$F172)="","",INDEX(選手一覧!$E$7:$E$2738,$F172))</f>
        <v>531</v>
      </c>
      <c r="I172" s="11" t="n">
        <f aca="false">IF(INDEX(選手一覧!$H$7:$H$2738,$F172)="","",INDEX(選手一覧!$H$7:$H$2738,$F172))</f>
        <v>0.0028880787037037</v>
      </c>
      <c r="J172" s="12" t="n">
        <f aca="false">IF(INDEX(選手一覧!$I$7:$I$2738,$F172)="","",INDEX(選手一覧!$I$7:$I$2738,$F172))</f>
        <v>848</v>
      </c>
    </row>
    <row r="173" customFormat="false" ht="15" hidden="false" customHeight="false" outlineLevel="0" collapsed="false">
      <c r="A173" s="12" t="n">
        <v>169</v>
      </c>
      <c r="B173" s="10" t="s">
        <v>633</v>
      </c>
      <c r="C173" s="10" t="s">
        <v>326</v>
      </c>
      <c r="D173" s="11" t="n">
        <v>0.00679861111111111</v>
      </c>
      <c r="E173" s="18" t="n">
        <f aca="false">ROUND((D173-$D$5)*86400,2)</f>
        <v>48.38</v>
      </c>
      <c r="F173" s="12" t="n">
        <v>400</v>
      </c>
      <c r="G173" s="11" t="n">
        <f aca="false">IF(INDEX(選手一覧!$D$7:$D$2738,$F173)="","",INDEX(選手一覧!$D$7:$D$2738,$F173))</f>
        <v>0.0110388888888889</v>
      </c>
      <c r="H173" s="12" t="n">
        <f aca="false">IF(INDEX(選手一覧!$E$7:$E$2738,$F173)="","",INDEX(選手一覧!$E$7:$E$2738,$F173))</f>
        <v>1175</v>
      </c>
      <c r="I173" s="11" t="str">
        <f aca="false">IF(INDEX(選手一覧!$H$7:$H$2738,$F173)="","",INDEX(選手一覧!$H$7:$H$2738,$F173))</f>
        <v/>
      </c>
      <c r="J173" s="12" t="str">
        <f aca="false">IF(INDEX(選手一覧!$I$7:$I$2738,$F173)="","",INDEX(選手一覧!$I$7:$I$2738,$F173))</f>
        <v/>
      </c>
    </row>
    <row r="174" customFormat="false" ht="15" hidden="false" customHeight="false" outlineLevel="0" collapsed="false">
      <c r="A174" s="12" t="n">
        <v>170</v>
      </c>
      <c r="B174" s="10" t="s">
        <v>635</v>
      </c>
      <c r="C174" s="10" t="s">
        <v>34</v>
      </c>
      <c r="D174" s="11" t="n">
        <v>0.0068</v>
      </c>
      <c r="E174" s="18" t="n">
        <f aca="false">ROUND((D174-$D$5)*86400,2)</f>
        <v>48.5</v>
      </c>
      <c r="F174" s="12" t="n">
        <v>402</v>
      </c>
      <c r="G174" s="11" t="n">
        <f aca="false">IF(INDEX(選手一覧!$D$7:$D$2738,$F174)="","",INDEX(選手一覧!$D$7:$D$2738,$F174))</f>
        <v>0.0108527777777778</v>
      </c>
      <c r="H174" s="12" t="n">
        <f aca="false">IF(INDEX(選手一覧!$E$7:$E$2738,$F174)="","",INDEX(選手一覧!$E$7:$E$2738,$F174))</f>
        <v>842</v>
      </c>
      <c r="I174" s="11" t="str">
        <f aca="false">IF(INDEX(選手一覧!$H$7:$H$2738,$F174)="","",INDEX(選手一覧!$H$7:$H$2738,$F174))</f>
        <v/>
      </c>
      <c r="J174" s="12" t="str">
        <f aca="false">IF(INDEX(選手一覧!$I$7:$I$2738,$F174)="","",INDEX(選手一覧!$I$7:$I$2738,$F174))</f>
        <v/>
      </c>
    </row>
    <row r="175" customFormat="false" ht="15" hidden="false" customHeight="false" outlineLevel="0" collapsed="false">
      <c r="A175" s="12" t="n">
        <v>171</v>
      </c>
      <c r="B175" s="10" t="s">
        <v>636</v>
      </c>
      <c r="C175" s="10" t="s">
        <v>523</v>
      </c>
      <c r="D175" s="11" t="n">
        <v>0.0068</v>
      </c>
      <c r="E175" s="18" t="n">
        <f aca="false">ROUND((D175-$D$5)*86400,2)</f>
        <v>48.5</v>
      </c>
      <c r="F175" s="12" t="n">
        <v>403</v>
      </c>
      <c r="G175" s="11" t="n">
        <f aca="false">IF(INDEX(選手一覧!$D$7:$D$2738,$F175)="","",INDEX(選手一覧!$D$7:$D$2738,$F175))</f>
        <v>0.0105296296296296</v>
      </c>
      <c r="H175" s="12" t="n">
        <f aca="false">IF(INDEX(選手一覧!$E$7:$E$2738,$F175)="","",INDEX(選手一覧!$E$7:$E$2738,$F175))</f>
        <v>370</v>
      </c>
      <c r="I175" s="11" t="str">
        <f aca="false">IF(INDEX(選手一覧!$H$7:$H$2738,$F175)="","",INDEX(選手一覧!$H$7:$H$2738,$F175))</f>
        <v/>
      </c>
      <c r="J175" s="12" t="str">
        <f aca="false">IF(INDEX(選手一覧!$I$7:$I$2738,$F175)="","",INDEX(選手一覧!$I$7:$I$2738,$F175))</f>
        <v/>
      </c>
    </row>
    <row r="176" customFormat="false" ht="15" hidden="false" customHeight="false" outlineLevel="0" collapsed="false">
      <c r="A176" s="12" t="n">
        <v>172</v>
      </c>
      <c r="B176" s="10" t="s">
        <v>639</v>
      </c>
      <c r="C176" s="10" t="s">
        <v>226</v>
      </c>
      <c r="D176" s="11" t="n">
        <v>0.00680034722222222</v>
      </c>
      <c r="E176" s="18" t="n">
        <f aca="false">ROUND((D176-$D$5)*86400,2)</f>
        <v>48.53</v>
      </c>
      <c r="F176" s="12" t="n">
        <v>406</v>
      </c>
      <c r="G176" s="11" t="n">
        <f aca="false">IF(INDEX(選手一覧!$D$7:$D$2738,$F176)="","",INDEX(選手一覧!$D$7:$D$2738,$F176))</f>
        <v>0.0109670138888889</v>
      </c>
      <c r="H176" s="12" t="n">
        <f aca="false">IF(INDEX(選手一覧!$E$7:$E$2738,$F176)="","",INDEX(選手一覧!$E$7:$E$2738,$F176))</f>
        <v>1028</v>
      </c>
      <c r="I176" s="11" t="str">
        <f aca="false">IF(INDEX(選手一覧!$H$7:$H$2738,$F176)="","",INDEX(選手一覧!$H$7:$H$2738,$F176))</f>
        <v/>
      </c>
      <c r="J176" s="12" t="str">
        <f aca="false">IF(INDEX(選手一覧!$I$7:$I$2738,$F176)="","",INDEX(選手一覧!$I$7:$I$2738,$F176))</f>
        <v/>
      </c>
    </row>
    <row r="177" customFormat="false" ht="15" hidden="false" customHeight="false" outlineLevel="0" collapsed="false">
      <c r="A177" s="12" t="n">
        <v>173</v>
      </c>
      <c r="B177" s="10" t="s">
        <v>641</v>
      </c>
      <c r="C177" s="10" t="s">
        <v>642</v>
      </c>
      <c r="D177" s="11" t="n">
        <v>0.00680150462962963</v>
      </c>
      <c r="E177" s="18" t="n">
        <f aca="false">ROUND((D177-$D$5)*86400,2)</f>
        <v>48.63</v>
      </c>
      <c r="F177" s="12" t="n">
        <v>408</v>
      </c>
      <c r="G177" s="11" t="n">
        <f aca="false">IF(INDEX(選手一覧!$D$7:$D$2738,$F177)="","",INDEX(選手一覧!$D$7:$D$2738,$F177))</f>
        <v>0.0110141203703704</v>
      </c>
      <c r="H177" s="12" t="n">
        <f aca="false">IF(INDEX(選手一覧!$E$7:$E$2738,$F177)="","",INDEX(選手一覧!$E$7:$E$2738,$F177))</f>
        <v>1117</v>
      </c>
      <c r="I177" s="11" t="str">
        <f aca="false">IF(INDEX(選手一覧!$H$7:$H$2738,$F177)="","",INDEX(選手一覧!$H$7:$H$2738,$F177))</f>
        <v/>
      </c>
      <c r="J177" s="12" t="str">
        <f aca="false">IF(INDEX(選手一覧!$I$7:$I$2738,$F177)="","",INDEX(選手一覧!$I$7:$I$2738,$F177))</f>
        <v/>
      </c>
    </row>
    <row r="178" customFormat="false" ht="15" hidden="false" customHeight="false" outlineLevel="0" collapsed="false">
      <c r="A178" s="12" t="n">
        <v>174</v>
      </c>
      <c r="B178" s="10" t="s">
        <v>644</v>
      </c>
      <c r="C178" s="10" t="s">
        <v>645</v>
      </c>
      <c r="D178" s="11" t="n">
        <v>0.00680185185185185</v>
      </c>
      <c r="E178" s="18" t="n">
        <f aca="false">ROUND((D178-$D$5)*86400,2)</f>
        <v>48.66</v>
      </c>
      <c r="F178" s="12" t="n">
        <v>410</v>
      </c>
      <c r="G178" s="11" t="str">
        <f aca="false">IF(INDEX(選手一覧!$D$7:$D$2738,$F178)="","",INDEX(選手一覧!$D$7:$D$2738,$F178))</f>
        <v/>
      </c>
      <c r="H178" s="12" t="str">
        <f aca="false">IF(INDEX(選手一覧!$E$7:$E$2738,$F178)="","",INDEX(選手一覧!$E$7:$E$2738,$F178))</f>
        <v/>
      </c>
      <c r="I178" s="11" t="n">
        <f aca="false">IF(INDEX(選手一覧!$H$7:$H$2738,$F178)="","",INDEX(選手一覧!$H$7:$H$2738,$F178))</f>
        <v>0.0029025462962963</v>
      </c>
      <c r="J178" s="12" t="n">
        <f aca="false">IF(INDEX(選手一覧!$I$7:$I$2738,$F178)="","",INDEX(選手一覧!$I$7:$I$2738,$F178))</f>
        <v>967</v>
      </c>
    </row>
    <row r="179" customFormat="false" ht="15" hidden="false" customHeight="false" outlineLevel="0" collapsed="false">
      <c r="A179" s="12" t="n">
        <v>175</v>
      </c>
      <c r="B179" s="10" t="s">
        <v>649</v>
      </c>
      <c r="C179" s="10" t="s">
        <v>650</v>
      </c>
      <c r="D179" s="11" t="n">
        <v>0.00680416666666667</v>
      </c>
      <c r="E179" s="18" t="n">
        <f aca="false">ROUND((D179-$D$5)*86400,2)</f>
        <v>48.86</v>
      </c>
      <c r="F179" s="12" t="n">
        <v>414</v>
      </c>
      <c r="G179" s="11" t="str">
        <f aca="false">IF(INDEX(選手一覧!$D$7:$D$2738,$F179)="","",INDEX(選手一覧!$D$7:$D$2738,$F179))</f>
        <v/>
      </c>
      <c r="H179" s="12" t="str">
        <f aca="false">IF(INDEX(選手一覧!$E$7:$E$2738,$F179)="","",INDEX(選手一覧!$E$7:$E$2738,$F179))</f>
        <v/>
      </c>
      <c r="I179" s="11" t="n">
        <f aca="false">IF(INDEX(選手一覧!$H$7:$H$2738,$F179)="","",INDEX(選手一覧!$H$7:$H$2738,$F179))</f>
        <v>0.00291759259259259</v>
      </c>
      <c r="J179" s="12" t="n">
        <f aca="false">IF(INDEX(選手一覧!$I$7:$I$2738,$F179)="","",INDEX(選手一覧!$I$7:$I$2738,$F179))</f>
        <v>1071</v>
      </c>
    </row>
    <row r="180" customFormat="false" ht="15" hidden="false" customHeight="false" outlineLevel="0" collapsed="false">
      <c r="A180" s="12" t="n">
        <v>176</v>
      </c>
      <c r="B180" s="10" t="s">
        <v>655</v>
      </c>
      <c r="C180" s="10" t="s">
        <v>656</v>
      </c>
      <c r="D180" s="11" t="n">
        <v>0.00680648148148148</v>
      </c>
      <c r="E180" s="18" t="n">
        <f aca="false">ROUND((D180-$D$5)*86400,2)</f>
        <v>49.06</v>
      </c>
      <c r="F180" s="12" t="n">
        <v>417</v>
      </c>
      <c r="G180" s="11" t="str">
        <f aca="false">IF(INDEX(選手一覧!$D$7:$D$2738,$F180)="","",INDEX(選手一覧!$D$7:$D$2738,$F180))</f>
        <v/>
      </c>
      <c r="H180" s="12" t="str">
        <f aca="false">IF(INDEX(選手一覧!$E$7:$E$2738,$F180)="","",INDEX(選手一覧!$E$7:$E$2738,$F180))</f>
        <v/>
      </c>
      <c r="I180" s="11" t="str">
        <f aca="false">IF(INDEX(選手一覧!$H$7:$H$2738,$F180)="","",INDEX(選手一覧!$H$7:$H$2738,$F180))</f>
        <v/>
      </c>
      <c r="J180" s="12" t="str">
        <f aca="false">IF(INDEX(選手一覧!$I$7:$I$2738,$F180)="","",INDEX(選手一覧!$I$7:$I$2738,$F180))</f>
        <v/>
      </c>
    </row>
    <row r="181" customFormat="false" ht="15" hidden="false" customHeight="false" outlineLevel="0" collapsed="false">
      <c r="A181" s="12" t="n">
        <v>177</v>
      </c>
      <c r="B181" s="10" t="s">
        <v>659</v>
      </c>
      <c r="C181" s="10" t="s">
        <v>660</v>
      </c>
      <c r="D181" s="11" t="n">
        <v>0.00680671296296296</v>
      </c>
      <c r="E181" s="18" t="n">
        <f aca="false">ROUND((D181-$D$5)*86400,2)</f>
        <v>49.08</v>
      </c>
      <c r="F181" s="12" t="n">
        <v>419</v>
      </c>
      <c r="G181" s="11" t="n">
        <f aca="false">IF(INDEX(選手一覧!$D$7:$D$2738,$F181)="","",INDEX(選手一覧!$D$7:$D$2738,$F181))</f>
        <v>0.0109517361111111</v>
      </c>
      <c r="H181" s="12" t="n">
        <f aca="false">IF(INDEX(選手一覧!$E$7:$E$2738,$F181)="","",INDEX(選手一覧!$E$7:$E$2738,$F181))</f>
        <v>1003</v>
      </c>
      <c r="I181" s="11" t="str">
        <f aca="false">IF(INDEX(選手一覧!$H$7:$H$2738,$F181)="","",INDEX(選手一覧!$H$7:$H$2738,$F181))</f>
        <v/>
      </c>
      <c r="J181" s="12" t="str">
        <f aca="false">IF(INDEX(選手一覧!$I$7:$I$2738,$F181)="","",INDEX(選手一覧!$I$7:$I$2738,$F181))</f>
        <v/>
      </c>
    </row>
    <row r="182" customFormat="false" ht="15" hidden="false" customHeight="false" outlineLevel="0" collapsed="false">
      <c r="A182" s="12" t="n">
        <v>178</v>
      </c>
      <c r="B182" s="10" t="s">
        <v>662</v>
      </c>
      <c r="C182" s="10" t="s">
        <v>4016</v>
      </c>
      <c r="D182" s="11" t="n">
        <v>0.00680717592592593</v>
      </c>
      <c r="E182" s="18" t="n">
        <f aca="false">ROUND((D182-$D$5)*86400,2)</f>
        <v>49.12</v>
      </c>
      <c r="F182" s="12" t="n">
        <v>421</v>
      </c>
      <c r="G182" s="11" t="n">
        <f aca="false">IF(INDEX(選手一覧!$D$7:$D$2738,$F182)="","",INDEX(選手一覧!$D$7:$D$2738,$F182))</f>
        <v>0.0106987268518519</v>
      </c>
      <c r="H182" s="12" t="n">
        <f aca="false">IF(INDEX(選手一覧!$E$7:$E$2738,$F182)="","",INDEX(選手一覧!$E$7:$E$2738,$F182))</f>
        <v>579</v>
      </c>
      <c r="I182" s="11" t="n">
        <f aca="false">IF(INDEX(選手一覧!$H$7:$H$2738,$F182)="","",INDEX(選手一覧!$H$7:$H$2738,$F182))</f>
        <v>0.00288356481481481</v>
      </c>
      <c r="J182" s="12" t="n">
        <f aca="false">IF(INDEX(選手一覧!$I$7:$I$2738,$F182)="","",INDEX(選手一覧!$I$7:$I$2738,$F182))</f>
        <v>803</v>
      </c>
    </row>
    <row r="183" customFormat="false" ht="15" hidden="false" customHeight="false" outlineLevel="0" collapsed="false">
      <c r="A183" s="12" t="n">
        <v>179</v>
      </c>
      <c r="B183" s="10" t="s">
        <v>668</v>
      </c>
      <c r="C183" s="10" t="s">
        <v>263</v>
      </c>
      <c r="D183" s="11" t="n">
        <v>0.00680914351851852</v>
      </c>
      <c r="E183" s="18" t="n">
        <f aca="false">ROUND((D183-$D$5)*86400,2)</f>
        <v>49.29</v>
      </c>
      <c r="F183" s="12" t="n">
        <v>425</v>
      </c>
      <c r="G183" s="11" t="n">
        <f aca="false">IF(INDEX(選手一覧!$D$7:$D$2738,$F183)="","",INDEX(選手一覧!$D$7:$D$2738,$F183))</f>
        <v>0.0107228009259259</v>
      </c>
      <c r="H183" s="12" t="n">
        <f aca="false">IF(INDEX(選手一覧!$E$7:$E$2738,$F183)="","",INDEX(選手一覧!$E$7:$E$2738,$F183))</f>
        <v>616</v>
      </c>
      <c r="I183" s="11" t="n">
        <f aca="false">IF(INDEX(選手一覧!$H$7:$H$2738,$F183)="","",INDEX(選手一覧!$H$7:$H$2738,$F183))</f>
        <v>0.00292210648148148</v>
      </c>
      <c r="J183" s="12" t="n">
        <f aca="false">IF(INDEX(選手一覧!$I$7:$I$2738,$F183)="","",INDEX(選手一覧!$I$7:$I$2738,$F183))</f>
        <v>1115</v>
      </c>
    </row>
    <row r="184" customFormat="false" ht="15" hidden="false" customHeight="false" outlineLevel="0" collapsed="false">
      <c r="A184" s="12" t="n">
        <v>180</v>
      </c>
      <c r="B184" s="10" t="s">
        <v>671</v>
      </c>
      <c r="C184" s="10" t="s">
        <v>195</v>
      </c>
      <c r="D184" s="11" t="n">
        <v>0.00680972222222222</v>
      </c>
      <c r="E184" s="18" t="n">
        <f aca="false">ROUND((D184-$D$5)*86400,2)</f>
        <v>49.34</v>
      </c>
      <c r="F184" s="12" t="n">
        <v>428</v>
      </c>
      <c r="G184" s="11" t="n">
        <f aca="false">IF(INDEX(選手一覧!$D$7:$D$2738,$F184)="","",INDEX(選手一覧!$D$7:$D$2738,$F184))</f>
        <v>0.0109353009259259</v>
      </c>
      <c r="H184" s="12" t="n">
        <f aca="false">IF(INDEX(選手一覧!$E$7:$E$2738,$F184)="","",INDEX(選手一覧!$E$7:$E$2738,$F184))</f>
        <v>976</v>
      </c>
      <c r="I184" s="11" t="n">
        <f aca="false">IF(INDEX(選手一覧!$H$7:$H$2738,$F184)="","",INDEX(選手一覧!$H$7:$H$2738,$F184))</f>
        <v>0.00288136574074074</v>
      </c>
      <c r="J184" s="12" t="n">
        <f aca="false">IF(INDEX(選手一覧!$I$7:$I$2738,$F184)="","",INDEX(選手一覧!$I$7:$I$2738,$F184))</f>
        <v>781</v>
      </c>
    </row>
    <row r="185" customFormat="false" ht="15" hidden="false" customHeight="false" outlineLevel="0" collapsed="false">
      <c r="A185" s="12" t="n">
        <v>181</v>
      </c>
      <c r="B185" s="10" t="s">
        <v>673</v>
      </c>
      <c r="C185" s="10" t="s">
        <v>674</v>
      </c>
      <c r="D185" s="11" t="n">
        <v>0.00681215277777778</v>
      </c>
      <c r="E185" s="18" t="n">
        <f aca="false">ROUND((D185-$D$5)*86400,2)</f>
        <v>49.55</v>
      </c>
      <c r="F185" s="12" t="n">
        <v>430</v>
      </c>
      <c r="G185" s="11" t="n">
        <f aca="false">IF(INDEX(選手一覧!$D$7:$D$2738,$F185)="","",INDEX(選手一覧!$D$7:$D$2738,$F185))</f>
        <v>0.0111204861111111</v>
      </c>
      <c r="H185" s="12" t="n">
        <f aca="false">IF(INDEX(選手一覧!$E$7:$E$2738,$F185)="","",INDEX(選手一覧!$E$7:$E$2738,$F185))</f>
        <v>1288</v>
      </c>
      <c r="I185" s="11" t="str">
        <f aca="false">IF(INDEX(選手一覧!$H$7:$H$2738,$F185)="","",INDEX(選手一覧!$H$7:$H$2738,$F185))</f>
        <v/>
      </c>
      <c r="J185" s="12" t="str">
        <f aca="false">IF(INDEX(選手一覧!$I$7:$I$2738,$F185)="","",INDEX(選手一覧!$I$7:$I$2738,$F185))</f>
        <v/>
      </c>
    </row>
    <row r="186" customFormat="false" ht="15" hidden="false" customHeight="false" outlineLevel="0" collapsed="false">
      <c r="A186" s="12" t="n">
        <v>182</v>
      </c>
      <c r="B186" s="10" t="s">
        <v>677</v>
      </c>
      <c r="C186" s="10" t="s">
        <v>678</v>
      </c>
      <c r="D186" s="11" t="n">
        <v>0.0068150462962963</v>
      </c>
      <c r="E186" s="18" t="n">
        <f aca="false">ROUND((D186-$D$5)*86400,2)</f>
        <v>49.8</v>
      </c>
      <c r="F186" s="12" t="n">
        <v>433</v>
      </c>
      <c r="G186" s="11" t="str">
        <f aca="false">IF(INDEX(選手一覧!$D$7:$D$2738,$F186)="","",INDEX(選手一覧!$D$7:$D$2738,$F186))</f>
        <v/>
      </c>
      <c r="H186" s="12" t="str">
        <f aca="false">IF(INDEX(選手一覧!$E$7:$E$2738,$F186)="","",INDEX(選手一覧!$E$7:$E$2738,$F186))</f>
        <v/>
      </c>
      <c r="I186" s="11" t="n">
        <f aca="false">IF(INDEX(選手一覧!$H$7:$H$2738,$F186)="","",INDEX(選手一覧!$H$7:$H$2738,$F186))</f>
        <v>0.00288391203703704</v>
      </c>
      <c r="J186" s="12" t="n">
        <f aca="false">IF(INDEX(選手一覧!$I$7:$I$2738,$F186)="","",INDEX(選手一覧!$I$7:$I$2738,$F186))</f>
        <v>808</v>
      </c>
    </row>
    <row r="187" customFormat="false" ht="15" hidden="false" customHeight="false" outlineLevel="0" collapsed="false">
      <c r="A187" s="12" t="n">
        <v>183</v>
      </c>
      <c r="B187" s="10" t="s">
        <v>679</v>
      </c>
      <c r="C187" s="10" t="s">
        <v>680</v>
      </c>
      <c r="D187" s="11" t="n">
        <v>0.00681689814814815</v>
      </c>
      <c r="E187" s="18" t="n">
        <f aca="false">ROUND((D187-$D$5)*86400,2)</f>
        <v>49.96</v>
      </c>
      <c r="F187" s="12" t="n">
        <v>434</v>
      </c>
      <c r="G187" s="11" t="n">
        <f aca="false">IF(INDEX(選手一覧!$D$7:$D$2738,$F187)="","",INDEX(選手一覧!$D$7:$D$2738,$F187))</f>
        <v>0.0107380787037037</v>
      </c>
      <c r="H187" s="12" t="n">
        <f aca="false">IF(INDEX(選手一覧!$E$7:$E$2738,$F187)="","",INDEX(選手一覧!$E$7:$E$2738,$F187))</f>
        <v>650</v>
      </c>
      <c r="I187" s="11" t="n">
        <f aca="false">IF(INDEX(選手一覧!$H$7:$H$2738,$F187)="","",INDEX(選手一覧!$H$7:$H$2738,$F187))</f>
        <v>0.00282615740740741</v>
      </c>
      <c r="J187" s="12" t="n">
        <f aca="false">IF(INDEX(選手一覧!$I$7:$I$2738,$F187)="","",INDEX(選手一覧!$I$7:$I$2738,$F187))</f>
        <v>399</v>
      </c>
    </row>
    <row r="188" customFormat="false" ht="15" hidden="false" customHeight="false" outlineLevel="0" collapsed="false">
      <c r="A188" s="12" t="n">
        <v>184</v>
      </c>
      <c r="B188" s="10" t="s">
        <v>684</v>
      </c>
      <c r="C188" s="10" t="s">
        <v>685</v>
      </c>
      <c r="D188" s="11" t="n">
        <v>0.00681701388888889</v>
      </c>
      <c r="E188" s="18" t="n">
        <f aca="false">ROUND((D188-$D$5)*86400,2)</f>
        <v>49.97</v>
      </c>
      <c r="F188" s="12" t="n">
        <v>438</v>
      </c>
      <c r="G188" s="11" t="n">
        <f aca="false">IF(INDEX(選手一覧!$D$7:$D$2738,$F188)="","",INDEX(選手一覧!$D$7:$D$2738,$F188))</f>
        <v>0.0108366898148148</v>
      </c>
      <c r="H188" s="12" t="n">
        <f aca="false">IF(INDEX(選手一覧!$E$7:$E$2738,$F188)="","",INDEX(選手一覧!$E$7:$E$2738,$F188))</f>
        <v>803</v>
      </c>
      <c r="I188" s="11" t="str">
        <f aca="false">IF(INDEX(選手一覧!$H$7:$H$2738,$F188)="","",INDEX(選手一覧!$H$7:$H$2738,$F188))</f>
        <v/>
      </c>
      <c r="J188" s="12" t="str">
        <f aca="false">IF(INDEX(選手一覧!$I$7:$I$2738,$F188)="","",INDEX(選手一覧!$I$7:$I$2738,$F188))</f>
        <v/>
      </c>
    </row>
    <row r="189" customFormat="false" ht="15" hidden="false" customHeight="false" outlineLevel="0" collapsed="false">
      <c r="A189" s="12" t="n">
        <v>185</v>
      </c>
      <c r="B189" s="10" t="s">
        <v>689</v>
      </c>
      <c r="C189" s="10" t="s">
        <v>484</v>
      </c>
      <c r="D189" s="11" t="n">
        <v>0.00681712962962963</v>
      </c>
      <c r="E189" s="18" t="n">
        <f aca="false">ROUND((D189-$D$5)*86400,2)</f>
        <v>49.98</v>
      </c>
      <c r="F189" s="12" t="n">
        <v>441</v>
      </c>
      <c r="G189" s="11" t="str">
        <f aca="false">IF(INDEX(選手一覧!$D$7:$D$2738,$F189)="","",INDEX(選手一覧!$D$7:$D$2738,$F189))</f>
        <v/>
      </c>
      <c r="H189" s="12" t="str">
        <f aca="false">IF(INDEX(選手一覧!$E$7:$E$2738,$F189)="","",INDEX(選手一覧!$E$7:$E$2738,$F189))</f>
        <v/>
      </c>
      <c r="I189" s="11" t="str">
        <f aca="false">IF(INDEX(選手一覧!$H$7:$H$2738,$F189)="","",INDEX(選手一覧!$H$7:$H$2738,$F189))</f>
        <v/>
      </c>
      <c r="J189" s="12" t="str">
        <f aca="false">IF(INDEX(選手一覧!$I$7:$I$2738,$F189)="","",INDEX(選手一覧!$I$7:$I$2738,$F189))</f>
        <v/>
      </c>
    </row>
    <row r="190" customFormat="false" ht="15" hidden="false" customHeight="false" outlineLevel="0" collapsed="false">
      <c r="A190" s="12" t="n">
        <v>186</v>
      </c>
      <c r="B190" s="10" t="s">
        <v>693</v>
      </c>
      <c r="C190" s="10" t="s">
        <v>387</v>
      </c>
      <c r="D190" s="11" t="n">
        <v>0.00681759259259259</v>
      </c>
      <c r="E190" s="18" t="n">
        <f aca="false">ROUND((D190-$D$5)*86400,2)</f>
        <v>50.02</v>
      </c>
      <c r="F190" s="12" t="n">
        <v>444</v>
      </c>
      <c r="G190" s="11" t="str">
        <f aca="false">IF(INDEX(選手一覧!$D$7:$D$2738,$F190)="","",INDEX(選手一覧!$D$7:$D$2738,$F190))</f>
        <v/>
      </c>
      <c r="H190" s="12" t="str">
        <f aca="false">IF(INDEX(選手一覧!$E$7:$E$2738,$F190)="","",INDEX(選手一覧!$E$7:$E$2738,$F190))</f>
        <v/>
      </c>
      <c r="I190" s="11" t="str">
        <f aca="false">IF(INDEX(選手一覧!$H$7:$H$2738,$F190)="","",INDEX(選手一覧!$H$7:$H$2738,$F190))</f>
        <v/>
      </c>
      <c r="J190" s="12" t="str">
        <f aca="false">IF(INDEX(選手一覧!$I$7:$I$2738,$F190)="","",INDEX(選手一覧!$I$7:$I$2738,$F190))</f>
        <v/>
      </c>
    </row>
    <row r="191" customFormat="false" ht="15" hidden="false" customHeight="false" outlineLevel="0" collapsed="false">
      <c r="A191" s="12" t="n">
        <v>187</v>
      </c>
      <c r="B191" s="10" t="s">
        <v>696</v>
      </c>
      <c r="C191" s="10" t="s">
        <v>697</v>
      </c>
      <c r="D191" s="11" t="n">
        <v>0.00682222222222222</v>
      </c>
      <c r="E191" s="18" t="n">
        <f aca="false">ROUND((D191-$D$5)*86400,2)</f>
        <v>50.42</v>
      </c>
      <c r="F191" s="12" t="n">
        <v>446</v>
      </c>
      <c r="G191" s="11" t="str">
        <f aca="false">IF(INDEX(選手一覧!$D$7:$D$2738,$F191)="","",INDEX(選手一覧!$D$7:$D$2738,$F191))</f>
        <v/>
      </c>
      <c r="H191" s="12" t="str">
        <f aca="false">IF(INDEX(選手一覧!$E$7:$E$2738,$F191)="","",INDEX(選手一覧!$E$7:$E$2738,$F191))</f>
        <v/>
      </c>
      <c r="I191" s="11" t="str">
        <f aca="false">IF(INDEX(選手一覧!$H$7:$H$2738,$F191)="","",INDEX(選手一覧!$H$7:$H$2738,$F191))</f>
        <v/>
      </c>
      <c r="J191" s="12" t="str">
        <f aca="false">IF(INDEX(選手一覧!$I$7:$I$2738,$F191)="","",INDEX(選手一覧!$I$7:$I$2738,$F191))</f>
        <v/>
      </c>
    </row>
    <row r="192" customFormat="false" ht="15" hidden="false" customHeight="false" outlineLevel="0" collapsed="false">
      <c r="A192" s="12" t="n">
        <v>188</v>
      </c>
      <c r="B192" s="10" t="s">
        <v>701</v>
      </c>
      <c r="C192" s="10" t="s">
        <v>702</v>
      </c>
      <c r="D192" s="11" t="n">
        <v>0.00682488425925926</v>
      </c>
      <c r="E192" s="18" t="n">
        <f aca="false">ROUND((D192-$D$5)*86400,2)</f>
        <v>50.65</v>
      </c>
      <c r="F192" s="12" t="n">
        <v>449</v>
      </c>
      <c r="G192" s="11" t="str">
        <f aca="false">IF(INDEX(選手一覧!$D$7:$D$2738,$F192)="","",INDEX(選手一覧!$D$7:$D$2738,$F192))</f>
        <v/>
      </c>
      <c r="H192" s="12" t="str">
        <f aca="false">IF(INDEX(選手一覧!$E$7:$E$2738,$F192)="","",INDEX(選手一覧!$E$7:$E$2738,$F192))</f>
        <v/>
      </c>
      <c r="I192" s="11" t="str">
        <f aca="false">IF(INDEX(選手一覧!$H$7:$H$2738,$F192)="","",INDEX(選手一覧!$H$7:$H$2738,$F192))</f>
        <v/>
      </c>
      <c r="J192" s="12" t="str">
        <f aca="false">IF(INDEX(選手一覧!$I$7:$I$2738,$F192)="","",INDEX(選手一覧!$I$7:$I$2738,$F192))</f>
        <v/>
      </c>
    </row>
    <row r="193" customFormat="false" ht="15" hidden="false" customHeight="false" outlineLevel="0" collapsed="false">
      <c r="A193" s="12" t="n">
        <v>189</v>
      </c>
      <c r="B193" s="10" t="s">
        <v>704</v>
      </c>
      <c r="C193" s="10" t="s">
        <v>705</v>
      </c>
      <c r="D193" s="11" t="n">
        <v>0.00682673611111111</v>
      </c>
      <c r="E193" s="18" t="n">
        <f aca="false">ROUND((D193-$D$5)*86400,2)</f>
        <v>50.81</v>
      </c>
      <c r="F193" s="12" t="n">
        <v>451</v>
      </c>
      <c r="G193" s="11" t="str">
        <f aca="false">IF(INDEX(選手一覧!$D$7:$D$2738,$F193)="","",INDEX(選手一覧!$D$7:$D$2738,$F193))</f>
        <v/>
      </c>
      <c r="H193" s="12" t="str">
        <f aca="false">IF(INDEX(選手一覧!$E$7:$E$2738,$F193)="","",INDEX(選手一覧!$E$7:$E$2738,$F193))</f>
        <v/>
      </c>
      <c r="I193" s="11" t="n">
        <f aca="false">IF(INDEX(選手一覧!$H$7:$H$2738,$F193)="","",INDEX(選手一覧!$H$7:$H$2738,$F193))</f>
        <v>0.00289930555555556</v>
      </c>
      <c r="J193" s="12" t="n">
        <f aca="false">IF(INDEX(選手一覧!$I$7:$I$2738,$F193)="","",INDEX(選手一覧!$I$7:$I$2738,$F193))</f>
        <v>939</v>
      </c>
    </row>
    <row r="194" customFormat="false" ht="15" hidden="false" customHeight="false" outlineLevel="0" collapsed="false">
      <c r="A194" s="12" t="n">
        <v>190</v>
      </c>
      <c r="B194" s="10" t="s">
        <v>706</v>
      </c>
      <c r="C194" s="10" t="s">
        <v>185</v>
      </c>
      <c r="D194" s="11" t="n">
        <v>0.00682673611111111</v>
      </c>
      <c r="E194" s="18" t="n">
        <f aca="false">ROUND((D194-$D$5)*86400,2)</f>
        <v>50.81</v>
      </c>
      <c r="F194" s="12" t="n">
        <v>452</v>
      </c>
      <c r="G194" s="11" t="n">
        <f aca="false">IF(INDEX(選手一覧!$D$7:$D$2738,$F194)="","",INDEX(選手一覧!$D$7:$D$2738,$F194))</f>
        <v>0.0103393518518519</v>
      </c>
      <c r="H194" s="12" t="n">
        <f aca="false">IF(INDEX(選手一覧!$E$7:$E$2738,$F194)="","",INDEX(選手一覧!$E$7:$E$2738,$F194))</f>
        <v>190</v>
      </c>
      <c r="I194" s="11" t="n">
        <f aca="false">IF(INDEX(選手一覧!$H$7:$H$2738,$F194)="","",INDEX(選手一覧!$H$7:$H$2738,$F194))</f>
        <v>0.0028119212962963</v>
      </c>
      <c r="J194" s="12" t="n">
        <f aca="false">IF(INDEX(選手一覧!$I$7:$I$2738,$F194)="","",INDEX(選手一覧!$I$7:$I$2738,$F194))</f>
        <v>329</v>
      </c>
    </row>
    <row r="195" customFormat="false" ht="15" hidden="false" customHeight="false" outlineLevel="0" collapsed="false">
      <c r="A195" s="12" t="n">
        <v>191</v>
      </c>
      <c r="B195" s="10" t="s">
        <v>708</v>
      </c>
      <c r="C195" s="10" t="s">
        <v>546</v>
      </c>
      <c r="D195" s="11" t="n">
        <v>0.00682800925925926</v>
      </c>
      <c r="E195" s="18" t="n">
        <f aca="false">ROUND((D195-$D$5)*86400,2)</f>
        <v>50.92</v>
      </c>
      <c r="F195" s="12" t="n">
        <v>454</v>
      </c>
      <c r="G195" s="11" t="n">
        <f aca="false">IF(INDEX(選手一覧!$D$7:$D$2738,$F195)="","",INDEX(選手一覧!$D$7:$D$2738,$F195))</f>
        <v>0.0110608796296296</v>
      </c>
      <c r="H195" s="12" t="n">
        <f aca="false">IF(INDEX(選手一覧!$E$7:$E$2738,$F195)="","",INDEX(選手一覧!$E$7:$E$2738,$F195))</f>
        <v>1217</v>
      </c>
      <c r="I195" s="11" t="str">
        <f aca="false">IF(INDEX(選手一覧!$H$7:$H$2738,$F195)="","",INDEX(選手一覧!$H$7:$H$2738,$F195))</f>
        <v/>
      </c>
      <c r="J195" s="12" t="str">
        <f aca="false">IF(INDEX(選手一覧!$I$7:$I$2738,$F195)="","",INDEX(選手一覧!$I$7:$I$2738,$F195))</f>
        <v/>
      </c>
    </row>
    <row r="196" customFormat="false" ht="15" hidden="false" customHeight="false" outlineLevel="0" collapsed="false">
      <c r="A196" s="12" t="n">
        <v>192</v>
      </c>
      <c r="B196" s="10" t="s">
        <v>711</v>
      </c>
      <c r="C196" s="10" t="s">
        <v>712</v>
      </c>
      <c r="D196" s="11" t="n">
        <v>0.006828125</v>
      </c>
      <c r="E196" s="18" t="n">
        <f aca="false">ROUND((D196-$D$5)*86400,2)</f>
        <v>50.93</v>
      </c>
      <c r="F196" s="12" t="n">
        <v>457</v>
      </c>
      <c r="G196" s="11" t="n">
        <f aca="false">IF(INDEX(選手一覧!$D$7:$D$2738,$F196)="","",INDEX(選手一覧!$D$7:$D$2738,$F196))</f>
        <v>0.0109842592592593</v>
      </c>
      <c r="H196" s="12" t="n">
        <f aca="false">IF(INDEX(選手一覧!$E$7:$E$2738,$F196)="","",INDEX(選手一覧!$E$7:$E$2738,$F196))</f>
        <v>1066</v>
      </c>
      <c r="I196" s="11" t="str">
        <f aca="false">IF(INDEX(選手一覧!$H$7:$H$2738,$F196)="","",INDEX(選手一覧!$H$7:$H$2738,$F196))</f>
        <v/>
      </c>
      <c r="J196" s="12" t="str">
        <f aca="false">IF(INDEX(選手一覧!$I$7:$I$2738,$F196)="","",INDEX(選手一覧!$I$7:$I$2738,$F196))</f>
        <v/>
      </c>
    </row>
    <row r="197" customFormat="false" ht="15" hidden="false" customHeight="false" outlineLevel="0" collapsed="false">
      <c r="A197" s="12" t="n">
        <v>193</v>
      </c>
      <c r="B197" s="10" t="s">
        <v>716</v>
      </c>
      <c r="C197" s="10" t="s">
        <v>717</v>
      </c>
      <c r="D197" s="11" t="n">
        <v>0.00682905092592593</v>
      </c>
      <c r="E197" s="18" t="n">
        <f aca="false">ROUND((D197-$D$5)*86400,2)</f>
        <v>51.01</v>
      </c>
      <c r="F197" s="12" t="n">
        <v>460</v>
      </c>
      <c r="G197" s="11" t="str">
        <f aca="false">IF(INDEX(選手一覧!$D$7:$D$2738,$F197)="","",INDEX(選手一覧!$D$7:$D$2738,$F197))</f>
        <v/>
      </c>
      <c r="H197" s="12" t="str">
        <f aca="false">IF(INDEX(選手一覧!$E$7:$E$2738,$F197)="","",INDEX(選手一覧!$E$7:$E$2738,$F197))</f>
        <v/>
      </c>
      <c r="I197" s="11" t="n">
        <f aca="false">IF(INDEX(選手一覧!$H$7:$H$2738,$F197)="","",INDEX(選手一覧!$H$7:$H$2738,$F197))</f>
        <v>0.00291747685185185</v>
      </c>
      <c r="J197" s="12" t="n">
        <f aca="false">IF(INDEX(選手一覧!$I$7:$I$2738,$F197)="","",INDEX(選手一覧!$I$7:$I$2738,$F197))</f>
        <v>1070</v>
      </c>
    </row>
    <row r="198" customFormat="false" ht="15" hidden="false" customHeight="false" outlineLevel="0" collapsed="false">
      <c r="A198" s="12" t="n">
        <v>194</v>
      </c>
      <c r="B198" s="10" t="s">
        <v>718</v>
      </c>
      <c r="C198" s="10" t="s">
        <v>103</v>
      </c>
      <c r="D198" s="11" t="n">
        <v>0.00683229166666667</v>
      </c>
      <c r="E198" s="18" t="n">
        <f aca="false">ROUND((D198-$D$5)*86400,2)</f>
        <v>51.29</v>
      </c>
      <c r="F198" s="12" t="n">
        <v>461</v>
      </c>
      <c r="G198" s="11" t="n">
        <f aca="false">IF(INDEX(選手一覧!$D$7:$D$2738,$F198)="","",INDEX(選手一覧!$D$7:$D$2738,$F198))</f>
        <v>0.0107074074074074</v>
      </c>
      <c r="H198" s="12" t="n">
        <f aca="false">IF(INDEX(選手一覧!$E$7:$E$2738,$F198)="","",INDEX(選手一覧!$E$7:$E$2738,$F198))</f>
        <v>593</v>
      </c>
      <c r="I198" s="11" t="str">
        <f aca="false">IF(INDEX(選手一覧!$H$7:$H$2738,$F198)="","",INDEX(選手一覧!$H$7:$H$2738,$F198))</f>
        <v/>
      </c>
      <c r="J198" s="12" t="str">
        <f aca="false">IF(INDEX(選手一覧!$I$7:$I$2738,$F198)="","",INDEX(選手一覧!$I$7:$I$2738,$F198))</f>
        <v/>
      </c>
    </row>
    <row r="199" customFormat="false" ht="15" hidden="false" customHeight="false" outlineLevel="0" collapsed="false">
      <c r="A199" s="12" t="n">
        <v>195</v>
      </c>
      <c r="B199" s="10" t="s">
        <v>722</v>
      </c>
      <c r="C199" s="10" t="s">
        <v>425</v>
      </c>
      <c r="D199" s="11" t="n">
        <v>0.0068337962962963</v>
      </c>
      <c r="E199" s="18" t="n">
        <f aca="false">ROUND((D199-$D$5)*86400,2)</f>
        <v>51.42</v>
      </c>
      <c r="F199" s="12" t="n">
        <v>464</v>
      </c>
      <c r="G199" s="11" t="n">
        <f aca="false">IF(INDEX(選手一覧!$D$7:$D$2738,$F199)="","",INDEX(選手一覧!$D$7:$D$2738,$F199))</f>
        <v>0.0109677083333333</v>
      </c>
      <c r="H199" s="12" t="n">
        <f aca="false">IF(INDEX(選手一覧!$E$7:$E$2738,$F199)="","",INDEX(選手一覧!$E$7:$E$2738,$F199))</f>
        <v>1030</v>
      </c>
      <c r="I199" s="11" t="str">
        <f aca="false">IF(INDEX(選手一覧!$H$7:$H$2738,$F199)="","",INDEX(選手一覧!$H$7:$H$2738,$F199))</f>
        <v/>
      </c>
      <c r="J199" s="12" t="str">
        <f aca="false">IF(INDEX(選手一覧!$I$7:$I$2738,$F199)="","",INDEX(選手一覧!$I$7:$I$2738,$F199))</f>
        <v/>
      </c>
    </row>
    <row r="200" customFormat="false" ht="15" hidden="false" customHeight="false" outlineLevel="0" collapsed="false">
      <c r="A200" s="12" t="n">
        <v>196</v>
      </c>
      <c r="B200" s="10" t="s">
        <v>725</v>
      </c>
      <c r="C200" s="10" t="s">
        <v>254</v>
      </c>
      <c r="D200" s="11" t="n">
        <v>0.006834375</v>
      </c>
      <c r="E200" s="18" t="n">
        <f aca="false">ROUND((D200-$D$5)*86400,2)</f>
        <v>51.47</v>
      </c>
      <c r="F200" s="12" t="n">
        <v>466</v>
      </c>
      <c r="G200" s="11" t="n">
        <f aca="false">IF(INDEX(選手一覧!$D$7:$D$2738,$F200)="","",INDEX(選手一覧!$D$7:$D$2738,$F200))</f>
        <v>0.0106498842592593</v>
      </c>
      <c r="H200" s="12" t="n">
        <f aca="false">IF(INDEX(選手一覧!$E$7:$E$2738,$F200)="","",INDEX(選手一覧!$E$7:$E$2738,$F200))</f>
        <v>525</v>
      </c>
      <c r="I200" s="11" t="n">
        <f aca="false">IF(INDEX(選手一覧!$H$7:$H$2738,$F200)="","",INDEX(選手一覧!$H$7:$H$2738,$F200))</f>
        <v>0.00289097222222222</v>
      </c>
      <c r="J200" s="12" t="n">
        <f aca="false">IF(INDEX(選手一覧!$I$7:$I$2738,$F200)="","",INDEX(選手一覧!$I$7:$I$2738,$F200))</f>
        <v>875</v>
      </c>
    </row>
    <row r="201" customFormat="false" ht="15" hidden="false" customHeight="false" outlineLevel="0" collapsed="false">
      <c r="A201" s="12" t="n">
        <v>197</v>
      </c>
      <c r="B201" s="10" t="s">
        <v>727</v>
      </c>
      <c r="C201" s="10" t="s">
        <v>120</v>
      </c>
      <c r="D201" s="11" t="n">
        <v>0.00684027777777778</v>
      </c>
      <c r="E201" s="18" t="n">
        <f aca="false">ROUND((D201-$D$5)*86400,2)</f>
        <v>51.98</v>
      </c>
      <c r="F201" s="12" t="n">
        <v>468</v>
      </c>
      <c r="G201" s="11" t="n">
        <f aca="false">IF(INDEX(選手一覧!$D$7:$D$2738,$F201)="","",INDEX(選手一覧!$D$7:$D$2738,$F201))</f>
        <v>0.0106954861111111</v>
      </c>
      <c r="H201" s="12" t="n">
        <f aca="false">IF(INDEX(選手一覧!$E$7:$E$2738,$F201)="","",INDEX(選手一覧!$E$7:$E$2738,$F201))</f>
        <v>572</v>
      </c>
      <c r="I201" s="11" t="str">
        <f aca="false">IF(INDEX(選手一覧!$H$7:$H$2738,$F201)="","",INDEX(選手一覧!$H$7:$H$2738,$F201))</f>
        <v/>
      </c>
      <c r="J201" s="12" t="str">
        <f aca="false">IF(INDEX(選手一覧!$I$7:$I$2738,$F201)="","",INDEX(選手一覧!$I$7:$I$2738,$F201))</f>
        <v/>
      </c>
    </row>
    <row r="202" customFormat="false" ht="15" hidden="false" customHeight="false" outlineLevel="0" collapsed="false">
      <c r="A202" s="12" t="n">
        <v>198</v>
      </c>
      <c r="B202" s="10" t="s">
        <v>734</v>
      </c>
      <c r="C202" s="10" t="s">
        <v>484</v>
      </c>
      <c r="D202" s="11" t="n">
        <v>0.00684363425925926</v>
      </c>
      <c r="E202" s="18" t="n">
        <f aca="false">ROUND((D202-$D$5)*86400,2)</f>
        <v>52.27</v>
      </c>
      <c r="F202" s="12" t="n">
        <v>473</v>
      </c>
      <c r="G202" s="11" t="str">
        <f aca="false">IF(INDEX(選手一覧!$D$7:$D$2738,$F202)="","",INDEX(選手一覧!$D$7:$D$2738,$F202))</f>
        <v/>
      </c>
      <c r="H202" s="12" t="str">
        <f aca="false">IF(INDEX(選手一覧!$E$7:$E$2738,$F202)="","",INDEX(選手一覧!$E$7:$E$2738,$F202))</f>
        <v/>
      </c>
      <c r="I202" s="11" t="str">
        <f aca="false">IF(INDEX(選手一覧!$H$7:$H$2738,$F202)="","",INDEX(選手一覧!$H$7:$H$2738,$F202))</f>
        <v/>
      </c>
      <c r="J202" s="12" t="str">
        <f aca="false">IF(INDEX(選手一覧!$I$7:$I$2738,$F202)="","",INDEX(選手一覧!$I$7:$I$2738,$F202))</f>
        <v/>
      </c>
    </row>
    <row r="203" customFormat="false" ht="15" hidden="false" customHeight="false" outlineLevel="0" collapsed="false">
      <c r="A203" s="12" t="n">
        <v>199</v>
      </c>
      <c r="B203" s="10" t="s">
        <v>736</v>
      </c>
      <c r="C203" s="10" t="s">
        <v>60</v>
      </c>
      <c r="D203" s="11" t="n">
        <v>0.00684398148148148</v>
      </c>
      <c r="E203" s="18" t="n">
        <f aca="false">ROUND((D203-$D$5)*86400,2)</f>
        <v>52.3</v>
      </c>
      <c r="F203" s="12" t="n">
        <v>475</v>
      </c>
      <c r="G203" s="11" t="str">
        <f aca="false">IF(INDEX(選手一覧!$D$7:$D$2738,$F203)="","",INDEX(選手一覧!$D$7:$D$2738,$F203))</f>
        <v/>
      </c>
      <c r="H203" s="12" t="str">
        <f aca="false">IF(INDEX(選手一覧!$E$7:$E$2738,$F203)="","",INDEX(選手一覧!$E$7:$E$2738,$F203))</f>
        <v/>
      </c>
      <c r="I203" s="11" t="str">
        <f aca="false">IF(INDEX(選手一覧!$H$7:$H$2738,$F203)="","",INDEX(選手一覧!$H$7:$H$2738,$F203))</f>
        <v/>
      </c>
      <c r="J203" s="12" t="str">
        <f aca="false">IF(INDEX(選手一覧!$I$7:$I$2738,$F203)="","",INDEX(選手一覧!$I$7:$I$2738,$F203))</f>
        <v/>
      </c>
    </row>
    <row r="204" customFormat="false" ht="15" hidden="false" customHeight="false" outlineLevel="0" collapsed="false">
      <c r="A204" s="12" t="n">
        <v>200</v>
      </c>
      <c r="B204" s="10" t="s">
        <v>737</v>
      </c>
      <c r="C204" s="10" t="s">
        <v>738</v>
      </c>
      <c r="D204" s="11" t="n">
        <v>0.00684479166666667</v>
      </c>
      <c r="E204" s="18" t="n">
        <f aca="false">ROUND((D204-$D$5)*86400,2)</f>
        <v>52.37</v>
      </c>
      <c r="F204" s="12" t="n">
        <v>476</v>
      </c>
      <c r="G204" s="11" t="n">
        <f aca="false">IF(INDEX(選手一覧!$D$7:$D$2738,$F204)="","",INDEX(選手一覧!$D$7:$D$2738,$F204))</f>
        <v>0.0108596064814815</v>
      </c>
      <c r="H204" s="12" t="n">
        <f aca="false">IF(INDEX(選手一覧!$E$7:$E$2738,$F204)="","",INDEX(選手一覧!$E$7:$E$2738,$F204))</f>
        <v>847</v>
      </c>
      <c r="I204" s="11" t="n">
        <f aca="false">IF(INDEX(選手一覧!$H$7:$H$2738,$F204)="","",INDEX(選手一覧!$H$7:$H$2738,$F204))</f>
        <v>0.00286238425925926</v>
      </c>
      <c r="J204" s="12" t="n">
        <f aca="false">IF(INDEX(選手一覧!$I$7:$I$2738,$F204)="","",INDEX(選手一覧!$I$7:$I$2738,$F204))</f>
        <v>650</v>
      </c>
    </row>
    <row r="205" customFormat="false" ht="15" hidden="false" customHeight="false" outlineLevel="0" collapsed="false">
      <c r="A205" s="12" t="n">
        <v>201</v>
      </c>
      <c r="B205" s="10" t="s">
        <v>740</v>
      </c>
      <c r="C205" s="10" t="s">
        <v>741</v>
      </c>
      <c r="D205" s="11" t="n">
        <v>0.00684710648148148</v>
      </c>
      <c r="E205" s="18" t="n">
        <f aca="false">ROUND((D205-$D$5)*86400,2)</f>
        <v>52.57</v>
      </c>
      <c r="F205" s="12" t="n">
        <v>478</v>
      </c>
      <c r="G205" s="11" t="n">
        <f aca="false">IF(INDEX(選手一覧!$D$7:$D$2738,$F205)="","",INDEX(選手一覧!$D$7:$D$2738,$F205))</f>
        <v>0.0107795138888889</v>
      </c>
      <c r="H205" s="12" t="n">
        <f aca="false">IF(INDEX(選手一覧!$E$7:$E$2738,$F205)="","",INDEX(選手一覧!$E$7:$E$2738,$F205))</f>
        <v>706</v>
      </c>
      <c r="I205" s="11" t="n">
        <f aca="false">IF(INDEX(選手一覧!$H$7:$H$2738,$F205)="","",INDEX(選手一覧!$H$7:$H$2738,$F205))</f>
        <v>0.00284722222222222</v>
      </c>
      <c r="J205" s="12" t="n">
        <f aca="false">IF(INDEX(選手一覧!$I$7:$I$2738,$F205)="","",INDEX(選手一覧!$I$7:$I$2738,$F205))</f>
        <v>552</v>
      </c>
    </row>
    <row r="206" customFormat="false" ht="15" hidden="false" customHeight="false" outlineLevel="0" collapsed="false">
      <c r="A206" s="12" t="n">
        <v>202</v>
      </c>
      <c r="B206" s="10" t="s">
        <v>745</v>
      </c>
      <c r="C206" s="10" t="s">
        <v>746</v>
      </c>
      <c r="D206" s="11" t="n">
        <v>0.00684768518518519</v>
      </c>
      <c r="E206" s="18" t="n">
        <f aca="false">ROUND((D206-$D$5)*86400,2)</f>
        <v>52.62</v>
      </c>
      <c r="F206" s="12" t="n">
        <v>481</v>
      </c>
      <c r="G206" s="11" t="str">
        <f aca="false">IF(INDEX(選手一覧!$D$7:$D$2738,$F206)="","",INDEX(選手一覧!$D$7:$D$2738,$F206))</f>
        <v/>
      </c>
      <c r="H206" s="12" t="str">
        <f aca="false">IF(INDEX(選手一覧!$E$7:$E$2738,$F206)="","",INDEX(選手一覧!$E$7:$E$2738,$F206))</f>
        <v/>
      </c>
      <c r="I206" s="11" t="str">
        <f aca="false">IF(INDEX(選手一覧!$H$7:$H$2738,$F206)="","",INDEX(選手一覧!$H$7:$H$2738,$F206))</f>
        <v/>
      </c>
      <c r="J206" s="12" t="str">
        <f aca="false">IF(INDEX(選手一覧!$I$7:$I$2738,$F206)="","",INDEX(選手一覧!$I$7:$I$2738,$F206))</f>
        <v/>
      </c>
    </row>
    <row r="207" customFormat="false" ht="15" hidden="false" customHeight="false" outlineLevel="0" collapsed="false">
      <c r="A207" s="12" t="n">
        <v>203</v>
      </c>
      <c r="B207" s="10" t="s">
        <v>747</v>
      </c>
      <c r="C207" s="10" t="s">
        <v>748</v>
      </c>
      <c r="D207" s="11" t="n">
        <v>0.00684953703703704</v>
      </c>
      <c r="E207" s="18" t="n">
        <f aca="false">ROUND((D207-$D$5)*86400,2)</f>
        <v>52.78</v>
      </c>
      <c r="F207" s="12" t="n">
        <v>482</v>
      </c>
      <c r="G207" s="11" t="n">
        <f aca="false">IF(INDEX(選手一覧!$D$7:$D$2738,$F207)="","",INDEX(選手一覧!$D$7:$D$2738,$F207))</f>
        <v>0.0108645833333333</v>
      </c>
      <c r="H207" s="12" t="n">
        <f aca="false">IF(INDEX(選手一覧!$E$7:$E$2738,$F207)="","",INDEX(選手一覧!$E$7:$E$2738,$F207))</f>
        <v>860</v>
      </c>
      <c r="I207" s="11" t="n">
        <f aca="false">IF(INDEX(選手一覧!$H$7:$H$2738,$F207)="","",INDEX(選手一覧!$H$7:$H$2738,$F207))</f>
        <v>0.00284097222222222</v>
      </c>
      <c r="J207" s="12" t="n">
        <f aca="false">IF(INDEX(選手一覧!$I$7:$I$2738,$F207)="","",INDEX(選手一覧!$I$7:$I$2738,$F207))</f>
        <v>506</v>
      </c>
    </row>
    <row r="208" customFormat="false" ht="15" hidden="false" customHeight="false" outlineLevel="0" collapsed="false">
      <c r="A208" s="12" t="n">
        <v>204</v>
      </c>
      <c r="B208" s="10" t="s">
        <v>753</v>
      </c>
      <c r="C208" s="10" t="s">
        <v>754</v>
      </c>
      <c r="D208" s="11" t="n">
        <v>0.00685393518518518</v>
      </c>
      <c r="E208" s="18" t="n">
        <f aca="false">ROUND((D208-$D$5)*86400,2)</f>
        <v>53.16</v>
      </c>
      <c r="F208" s="12" t="n">
        <v>486</v>
      </c>
      <c r="G208" s="11" t="str">
        <f aca="false">IF(INDEX(選手一覧!$D$7:$D$2738,$F208)="","",INDEX(選手一覧!$D$7:$D$2738,$F208))</f>
        <v/>
      </c>
      <c r="H208" s="12" t="str">
        <f aca="false">IF(INDEX(選手一覧!$E$7:$E$2738,$F208)="","",INDEX(選手一覧!$E$7:$E$2738,$F208))</f>
        <v/>
      </c>
      <c r="I208" s="11" t="str">
        <f aca="false">IF(INDEX(選手一覧!$H$7:$H$2738,$F208)="","",INDEX(選手一覧!$H$7:$H$2738,$F208))</f>
        <v/>
      </c>
      <c r="J208" s="12" t="str">
        <f aca="false">IF(INDEX(選手一覧!$I$7:$I$2738,$F208)="","",INDEX(選手一覧!$I$7:$I$2738,$F208))</f>
        <v/>
      </c>
    </row>
    <row r="209" customFormat="false" ht="15" hidden="false" customHeight="false" outlineLevel="0" collapsed="false">
      <c r="A209" s="12" t="n">
        <v>205</v>
      </c>
      <c r="B209" s="10" t="s">
        <v>757</v>
      </c>
      <c r="C209" s="10" t="s">
        <v>758</v>
      </c>
      <c r="D209" s="11" t="n">
        <v>0.0068556712962963</v>
      </c>
      <c r="E209" s="18" t="n">
        <f aca="false">ROUND((D209-$D$5)*86400,2)</f>
        <v>53.31</v>
      </c>
      <c r="F209" s="12" t="n">
        <v>488</v>
      </c>
      <c r="G209" s="11" t="n">
        <f aca="false">IF(INDEX(選手一覧!$D$7:$D$2738,$F209)="","",INDEX(選手一覧!$D$7:$D$2738,$F209))</f>
        <v>0.0109927083333333</v>
      </c>
      <c r="H209" s="12" t="n">
        <f aca="false">IF(INDEX(選手一覧!$E$7:$E$2738,$F209)="","",INDEX(選手一覧!$E$7:$E$2738,$F209))</f>
        <v>1085</v>
      </c>
      <c r="I209" s="11" t="str">
        <f aca="false">IF(INDEX(選手一覧!$H$7:$H$2738,$F209)="","",INDEX(選手一覧!$H$7:$H$2738,$F209))</f>
        <v/>
      </c>
      <c r="J209" s="12" t="str">
        <f aca="false">IF(INDEX(選手一覧!$I$7:$I$2738,$F209)="","",INDEX(選手一覧!$I$7:$I$2738,$F209))</f>
        <v/>
      </c>
    </row>
    <row r="210" customFormat="false" ht="15" hidden="false" customHeight="false" outlineLevel="0" collapsed="false">
      <c r="A210" s="12" t="n">
        <v>206</v>
      </c>
      <c r="B210" s="10" t="s">
        <v>759</v>
      </c>
      <c r="C210" s="10" t="s">
        <v>312</v>
      </c>
      <c r="D210" s="11" t="n">
        <v>0.00685613425925926</v>
      </c>
      <c r="E210" s="18" t="n">
        <f aca="false">ROUND((D210-$D$5)*86400,2)</f>
        <v>53.35</v>
      </c>
      <c r="F210" s="12" t="n">
        <v>489</v>
      </c>
      <c r="G210" s="11" t="n">
        <f aca="false">IF(INDEX(選手一覧!$D$7:$D$2738,$F210)="","",INDEX(選手一覧!$D$7:$D$2738,$F210))</f>
        <v>0.0108479166666667</v>
      </c>
      <c r="H210" s="12" t="n">
        <f aca="false">IF(INDEX(選手一覧!$E$7:$E$2738,$F210)="","",INDEX(選手一覧!$E$7:$E$2738,$F210))</f>
        <v>830</v>
      </c>
      <c r="I210" s="11" t="n">
        <f aca="false">IF(INDEX(選手一覧!$H$7:$H$2738,$F210)="","",INDEX(選手一覧!$H$7:$H$2738,$F210))</f>
        <v>0.00282800925925926</v>
      </c>
      <c r="J210" s="12" t="n">
        <f aca="false">IF(INDEX(選手一覧!$I$7:$I$2738,$F210)="","",INDEX(選手一覧!$I$7:$I$2738,$F210))</f>
        <v>410</v>
      </c>
    </row>
    <row r="211" customFormat="false" ht="15" hidden="false" customHeight="false" outlineLevel="0" collapsed="false">
      <c r="A211" s="12" t="n">
        <v>207</v>
      </c>
      <c r="B211" s="10" t="s">
        <v>765</v>
      </c>
      <c r="C211" s="10" t="s">
        <v>154</v>
      </c>
      <c r="D211" s="11" t="n">
        <v>0.00685671296296296</v>
      </c>
      <c r="E211" s="18" t="n">
        <f aca="false">ROUND((D211-$D$5)*86400,2)</f>
        <v>53.4</v>
      </c>
      <c r="F211" s="12" t="n">
        <v>494</v>
      </c>
      <c r="G211" s="11" t="n">
        <f aca="false">IF(INDEX(選手一覧!$D$7:$D$2738,$F211)="","",INDEX(選手一覧!$D$7:$D$2738,$F211))</f>
        <v>0.0108614583333333</v>
      </c>
      <c r="H211" s="12" t="n">
        <f aca="false">IF(INDEX(選手一覧!$E$7:$E$2738,$F211)="","",INDEX(選手一覧!$E$7:$E$2738,$F211))</f>
        <v>853</v>
      </c>
      <c r="I211" s="11" t="str">
        <f aca="false">IF(INDEX(選手一覧!$H$7:$H$2738,$F211)="","",INDEX(選手一覧!$H$7:$H$2738,$F211))</f>
        <v/>
      </c>
      <c r="J211" s="12" t="str">
        <f aca="false">IF(INDEX(選手一覧!$I$7:$I$2738,$F211)="","",INDEX(選手一覧!$I$7:$I$2738,$F211))</f>
        <v/>
      </c>
    </row>
    <row r="212" customFormat="false" ht="15" hidden="false" customHeight="false" outlineLevel="0" collapsed="false">
      <c r="A212" s="12" t="n">
        <v>208</v>
      </c>
      <c r="B212" s="10" t="s">
        <v>768</v>
      </c>
      <c r="C212" s="10" t="s">
        <v>769</v>
      </c>
      <c r="D212" s="11" t="n">
        <v>0.00685810185185185</v>
      </c>
      <c r="E212" s="18" t="n">
        <f aca="false">ROUND((D212-$D$5)*86400,2)</f>
        <v>53.52</v>
      </c>
      <c r="F212" s="12" t="n">
        <v>497</v>
      </c>
      <c r="G212" s="11" t="str">
        <f aca="false">IF(INDEX(選手一覧!$D$7:$D$2738,$F212)="","",INDEX(選手一覧!$D$7:$D$2738,$F212))</f>
        <v/>
      </c>
      <c r="H212" s="12" t="str">
        <f aca="false">IF(INDEX(選手一覧!$E$7:$E$2738,$F212)="","",INDEX(選手一覧!$E$7:$E$2738,$F212))</f>
        <v/>
      </c>
      <c r="I212" s="11" t="str">
        <f aca="false">IF(INDEX(選手一覧!$H$7:$H$2738,$F212)="","",INDEX(選手一覧!$H$7:$H$2738,$F212))</f>
        <v/>
      </c>
      <c r="J212" s="12" t="str">
        <f aca="false">IF(INDEX(選手一覧!$I$7:$I$2738,$F212)="","",INDEX(選手一覧!$I$7:$I$2738,$F212))</f>
        <v/>
      </c>
    </row>
    <row r="213" customFormat="false" ht="15" hidden="false" customHeight="false" outlineLevel="0" collapsed="false">
      <c r="A213" s="12" t="n">
        <v>209</v>
      </c>
      <c r="B213" s="10" t="s">
        <v>770</v>
      </c>
      <c r="C213" s="10" t="s">
        <v>771</v>
      </c>
      <c r="D213" s="11" t="n">
        <v>0.00685810185185185</v>
      </c>
      <c r="E213" s="18" t="n">
        <f aca="false">ROUND((D213-$D$5)*86400,2)</f>
        <v>53.52</v>
      </c>
      <c r="F213" s="12" t="n">
        <v>498</v>
      </c>
      <c r="G213" s="11" t="n">
        <f aca="false">IF(INDEX(選手一覧!$D$7:$D$2738,$F213)="","",INDEX(選手一覧!$D$7:$D$2738,$F213))</f>
        <v>0.0109069444444444</v>
      </c>
      <c r="H213" s="12" t="n">
        <f aca="false">IF(INDEX(選手一覧!$E$7:$E$2738,$F213)="","",INDEX(選手一覧!$E$7:$E$2738,$F213))</f>
        <v>931</v>
      </c>
      <c r="I213" s="11" t="n">
        <f aca="false">IF(INDEX(選手一覧!$H$7:$H$2738,$F213)="","",INDEX(選手一覧!$H$7:$H$2738,$F213))</f>
        <v>0.00278680555555556</v>
      </c>
      <c r="J213" s="12" t="n">
        <f aca="false">IF(INDEX(選手一覧!$I$7:$I$2738,$F213)="","",INDEX(選手一覧!$I$7:$I$2738,$F213))</f>
        <v>229</v>
      </c>
    </row>
    <row r="214" customFormat="false" ht="15" hidden="false" customHeight="false" outlineLevel="0" collapsed="false">
      <c r="A214" s="12" t="n">
        <v>210</v>
      </c>
      <c r="B214" s="10" t="s">
        <v>772</v>
      </c>
      <c r="C214" s="10" t="s">
        <v>652</v>
      </c>
      <c r="D214" s="11" t="n">
        <v>0.00686076388888889</v>
      </c>
      <c r="E214" s="18" t="n">
        <f aca="false">ROUND((D214-$D$5)*86400,2)</f>
        <v>53.75</v>
      </c>
      <c r="F214" s="12" t="n">
        <v>499</v>
      </c>
      <c r="G214" s="11" t="n">
        <f aca="false">IF(INDEX(選手一覧!$D$7:$D$2738,$F214)="","",INDEX(選手一覧!$D$7:$D$2738,$F214))</f>
        <v>0.0108439814814815</v>
      </c>
      <c r="H214" s="12" t="n">
        <f aca="false">IF(INDEX(選手一覧!$E$7:$E$2738,$F214)="","",INDEX(選手一覧!$E$7:$E$2738,$F214))</f>
        <v>823</v>
      </c>
      <c r="I214" s="11" t="n">
        <f aca="false">IF(INDEX(選手一覧!$H$7:$H$2738,$F214)="","",INDEX(選手一覧!$H$7:$H$2738,$F214))</f>
        <v>0.00279305555555556</v>
      </c>
      <c r="J214" s="12" t="n">
        <f aca="false">IF(INDEX(選手一覧!$I$7:$I$2738,$F214)="","",INDEX(選手一覧!$I$7:$I$2738,$F214))</f>
        <v>250</v>
      </c>
    </row>
    <row r="215" customFormat="false" ht="15" hidden="false" customHeight="false" outlineLevel="0" collapsed="false">
      <c r="A215" s="12" t="n">
        <v>211</v>
      </c>
      <c r="B215" s="10" t="s">
        <v>775</v>
      </c>
      <c r="C215" s="10" t="s">
        <v>27</v>
      </c>
      <c r="D215" s="11" t="n">
        <v>0.00686087962962963</v>
      </c>
      <c r="E215" s="18" t="n">
        <f aca="false">ROUND((D215-$D$5)*86400,2)</f>
        <v>53.76</v>
      </c>
      <c r="F215" s="12" t="n">
        <v>502</v>
      </c>
      <c r="G215" s="11" t="n">
        <f aca="false">IF(INDEX(選手一覧!$D$7:$D$2738,$F215)="","",INDEX(選手一覧!$D$7:$D$2738,$F215))</f>
        <v>0.01040625</v>
      </c>
      <c r="H215" s="12" t="n">
        <f aca="false">IF(INDEX(選手一覧!$E$7:$E$2738,$F215)="","",INDEX(選手一覧!$E$7:$E$2738,$F215))</f>
        <v>270</v>
      </c>
      <c r="I215" s="11" t="n">
        <f aca="false">IF(INDEX(選手一覧!$H$7:$H$2738,$F215)="","",INDEX(選手一覧!$H$7:$H$2738,$F215))</f>
        <v>0.00291875</v>
      </c>
      <c r="J215" s="12" t="n">
        <f aca="false">IF(INDEX(選手一覧!$I$7:$I$2738,$F215)="","",INDEX(選手一覧!$I$7:$I$2738,$F215))</f>
        <v>1080</v>
      </c>
    </row>
    <row r="216" customFormat="false" ht="15" hidden="false" customHeight="false" outlineLevel="0" collapsed="false">
      <c r="A216" s="12" t="n">
        <v>212</v>
      </c>
      <c r="B216" s="10" t="s">
        <v>778</v>
      </c>
      <c r="C216" s="10" t="s">
        <v>226</v>
      </c>
      <c r="D216" s="11" t="n">
        <v>0.0068619212962963</v>
      </c>
      <c r="E216" s="18" t="n">
        <f aca="false">ROUND((D216-$D$5)*86400,2)</f>
        <v>53.85</v>
      </c>
      <c r="F216" s="12" t="n">
        <v>505</v>
      </c>
      <c r="G216" s="11" t="n">
        <f aca="false">IF(INDEX(選手一覧!$D$7:$D$2738,$F216)="","",INDEX(選手一覧!$D$7:$D$2738,$F216))</f>
        <v>0.0105300925925926</v>
      </c>
      <c r="H216" s="12" t="n">
        <f aca="false">IF(INDEX(選手一覧!$E$7:$E$2738,$F216)="","",INDEX(選手一覧!$E$7:$E$2738,$F216))</f>
        <v>372</v>
      </c>
      <c r="I216" s="11" t="n">
        <f aca="false">IF(INDEX(選手一覧!$H$7:$H$2738,$F216)="","",INDEX(選手一覧!$H$7:$H$2738,$F216))</f>
        <v>0.00280393518518519</v>
      </c>
      <c r="J216" s="12" t="n">
        <f aca="false">IF(INDEX(選手一覧!$I$7:$I$2738,$F216)="","",INDEX(選手一覧!$I$7:$I$2738,$F216))</f>
        <v>299</v>
      </c>
    </row>
    <row r="217" customFormat="false" ht="15" hidden="false" customHeight="false" outlineLevel="0" collapsed="false">
      <c r="A217" s="12" t="n">
        <v>213</v>
      </c>
      <c r="B217" s="10" t="s">
        <v>782</v>
      </c>
      <c r="C217" s="10" t="s">
        <v>783</v>
      </c>
      <c r="D217" s="11" t="n">
        <v>0.00686296296296296</v>
      </c>
      <c r="E217" s="18" t="n">
        <f aca="false">ROUND((D217-$D$5)*86400,2)</f>
        <v>53.94</v>
      </c>
      <c r="F217" s="12" t="n">
        <v>509</v>
      </c>
      <c r="G217" s="11" t="str">
        <f aca="false">IF(INDEX(選手一覧!$D$7:$D$2738,$F217)="","",INDEX(選手一覧!$D$7:$D$2738,$F217))</f>
        <v/>
      </c>
      <c r="H217" s="12" t="str">
        <f aca="false">IF(INDEX(選手一覧!$E$7:$E$2738,$F217)="","",INDEX(選手一覧!$E$7:$E$2738,$F217))</f>
        <v/>
      </c>
      <c r="I217" s="11" t="str">
        <f aca="false">IF(INDEX(選手一覧!$H$7:$H$2738,$F217)="","",INDEX(選手一覧!$H$7:$H$2738,$F217))</f>
        <v/>
      </c>
      <c r="J217" s="12" t="str">
        <f aca="false">IF(INDEX(選手一覧!$I$7:$I$2738,$F217)="","",INDEX(選手一覧!$I$7:$I$2738,$F217))</f>
        <v/>
      </c>
    </row>
    <row r="218" customFormat="false" ht="15" hidden="false" customHeight="false" outlineLevel="0" collapsed="false">
      <c r="A218" s="12" t="n">
        <v>214</v>
      </c>
      <c r="B218" s="10" t="s">
        <v>784</v>
      </c>
      <c r="C218" s="10" t="s">
        <v>744</v>
      </c>
      <c r="D218" s="11" t="n">
        <v>0.0068630787037037</v>
      </c>
      <c r="E218" s="18" t="n">
        <f aca="false">ROUND((D218-$D$5)*86400,2)</f>
        <v>53.95</v>
      </c>
      <c r="F218" s="12" t="n">
        <v>510</v>
      </c>
      <c r="G218" s="11" t="n">
        <f aca="false">IF(INDEX(選手一覧!$D$7:$D$2738,$F218)="","",INDEX(選手一覧!$D$7:$D$2738,$F218))</f>
        <v>0.0106689814814815</v>
      </c>
      <c r="H218" s="12" t="n">
        <f aca="false">IF(INDEX(選手一覧!$E$7:$E$2738,$F218)="","",INDEX(選手一覧!$E$7:$E$2738,$F218))</f>
        <v>545</v>
      </c>
      <c r="I218" s="11" t="n">
        <f aca="false">IF(INDEX(選手一覧!$H$7:$H$2738,$F218)="","",INDEX(選手一覧!$H$7:$H$2738,$F218))</f>
        <v>0.0028525462962963</v>
      </c>
      <c r="J218" s="12" t="n">
        <f aca="false">IF(INDEX(選手一覧!$I$7:$I$2738,$F218)="","",INDEX(選手一覧!$I$7:$I$2738,$F218))</f>
        <v>583</v>
      </c>
    </row>
    <row r="219" customFormat="false" ht="15" hidden="false" customHeight="false" outlineLevel="0" collapsed="false">
      <c r="A219" s="12" t="n">
        <v>215</v>
      </c>
      <c r="B219" s="10" t="s">
        <v>787</v>
      </c>
      <c r="C219" s="10" t="s">
        <v>695</v>
      </c>
      <c r="D219" s="11" t="n">
        <v>0.00686655092592593</v>
      </c>
      <c r="E219" s="18" t="n">
        <f aca="false">ROUND((D219-$D$5)*86400,2)</f>
        <v>54.25</v>
      </c>
      <c r="F219" s="12" t="n">
        <v>513</v>
      </c>
      <c r="G219" s="11" t="n">
        <f aca="false">IF(INDEX(選手一覧!$D$7:$D$2738,$F219)="","",INDEX(選手一覧!$D$7:$D$2738,$F219))</f>
        <v>0.0110579861111111</v>
      </c>
      <c r="H219" s="12" t="n">
        <f aca="false">IF(INDEX(選手一覧!$E$7:$E$2738,$F219)="","",INDEX(選手一覧!$E$7:$E$2738,$F219))</f>
        <v>1213</v>
      </c>
      <c r="I219" s="11" t="str">
        <f aca="false">IF(INDEX(選手一覧!$H$7:$H$2738,$F219)="","",INDEX(選手一覧!$H$7:$H$2738,$F219))</f>
        <v/>
      </c>
      <c r="J219" s="12" t="str">
        <f aca="false">IF(INDEX(選手一覧!$I$7:$I$2738,$F219)="","",INDEX(選手一覧!$I$7:$I$2738,$F219))</f>
        <v/>
      </c>
    </row>
    <row r="220" customFormat="false" ht="15" hidden="false" customHeight="false" outlineLevel="0" collapsed="false">
      <c r="A220" s="12" t="n">
        <v>216</v>
      </c>
      <c r="B220" s="10" t="s">
        <v>790</v>
      </c>
      <c r="C220" s="10" t="s">
        <v>791</v>
      </c>
      <c r="D220" s="11" t="n">
        <v>0.00686701388888889</v>
      </c>
      <c r="E220" s="18" t="n">
        <f aca="false">ROUND((D220-$D$5)*86400,2)</f>
        <v>54.29</v>
      </c>
      <c r="F220" s="12" t="n">
        <v>516</v>
      </c>
      <c r="G220" s="11" t="str">
        <f aca="false">IF(INDEX(選手一覧!$D$7:$D$2738,$F220)="","",INDEX(選手一覧!$D$7:$D$2738,$F220))</f>
        <v/>
      </c>
      <c r="H220" s="12" t="str">
        <f aca="false">IF(INDEX(選手一覧!$E$7:$E$2738,$F220)="","",INDEX(選手一覧!$E$7:$E$2738,$F220))</f>
        <v/>
      </c>
      <c r="I220" s="11" t="str">
        <f aca="false">IF(INDEX(選手一覧!$H$7:$H$2738,$F220)="","",INDEX(選手一覧!$H$7:$H$2738,$F220))</f>
        <v/>
      </c>
      <c r="J220" s="12" t="str">
        <f aca="false">IF(INDEX(選手一覧!$I$7:$I$2738,$F220)="","",INDEX(選手一覧!$I$7:$I$2738,$F220))</f>
        <v/>
      </c>
    </row>
    <row r="221" customFormat="false" ht="15" hidden="false" customHeight="false" outlineLevel="0" collapsed="false">
      <c r="A221" s="12" t="n">
        <v>217</v>
      </c>
      <c r="B221" s="10" t="s">
        <v>792</v>
      </c>
      <c r="C221" s="10" t="s">
        <v>793</v>
      </c>
      <c r="D221" s="11" t="n">
        <v>0.00686840277777778</v>
      </c>
      <c r="E221" s="18" t="n">
        <f aca="false">ROUND((D221-$D$5)*86400,2)</f>
        <v>54.41</v>
      </c>
      <c r="F221" s="12" t="n">
        <v>517</v>
      </c>
      <c r="G221" s="11" t="str">
        <f aca="false">IF(INDEX(選手一覧!$D$7:$D$2738,$F221)="","",INDEX(選手一覧!$D$7:$D$2738,$F221))</f>
        <v/>
      </c>
      <c r="H221" s="12" t="str">
        <f aca="false">IF(INDEX(選手一覧!$E$7:$E$2738,$F221)="","",INDEX(選手一覧!$E$7:$E$2738,$F221))</f>
        <v/>
      </c>
      <c r="I221" s="11" t="str">
        <f aca="false">IF(INDEX(選手一覧!$H$7:$H$2738,$F221)="","",INDEX(選手一覧!$H$7:$H$2738,$F221))</f>
        <v/>
      </c>
      <c r="J221" s="12" t="str">
        <f aca="false">IF(INDEX(選手一覧!$I$7:$I$2738,$F221)="","",INDEX(選手一覧!$I$7:$I$2738,$F221))</f>
        <v/>
      </c>
    </row>
    <row r="222" customFormat="false" ht="15" hidden="false" customHeight="false" outlineLevel="0" collapsed="false">
      <c r="A222" s="12" t="n">
        <v>218</v>
      </c>
      <c r="B222" s="10" t="s">
        <v>796</v>
      </c>
      <c r="C222" s="10" t="s">
        <v>797</v>
      </c>
      <c r="D222" s="11" t="n">
        <v>0.00686990740740741</v>
      </c>
      <c r="E222" s="18" t="n">
        <f aca="false">ROUND((D222-$D$5)*86400,2)</f>
        <v>54.54</v>
      </c>
      <c r="F222" s="12" t="n">
        <v>519</v>
      </c>
      <c r="G222" s="11" t="n">
        <f aca="false">IF(INDEX(選手一覧!$D$7:$D$2738,$F222)="","",INDEX(選手一覧!$D$7:$D$2738,$F222))</f>
        <v>0.0110537037037037</v>
      </c>
      <c r="H222" s="12" t="n">
        <f aca="false">IF(INDEX(選手一覧!$E$7:$E$2738,$F222)="","",INDEX(選手一覧!$E$7:$E$2738,$F222))</f>
        <v>1206</v>
      </c>
      <c r="I222" s="11" t="str">
        <f aca="false">IF(INDEX(選手一覧!$H$7:$H$2738,$F222)="","",INDEX(選手一覧!$H$7:$H$2738,$F222))</f>
        <v/>
      </c>
      <c r="J222" s="12" t="str">
        <f aca="false">IF(INDEX(選手一覧!$I$7:$I$2738,$F222)="","",INDEX(選手一覧!$I$7:$I$2738,$F222))</f>
        <v/>
      </c>
    </row>
    <row r="223" customFormat="false" ht="15" hidden="false" customHeight="false" outlineLevel="0" collapsed="false">
      <c r="A223" s="12" t="n">
        <v>219</v>
      </c>
      <c r="B223" s="10" t="s">
        <v>800</v>
      </c>
      <c r="C223" s="10" t="s">
        <v>523</v>
      </c>
      <c r="D223" s="11" t="n">
        <v>0.0068724537037037</v>
      </c>
      <c r="E223" s="18" t="n">
        <f aca="false">ROUND((D223-$D$5)*86400,2)</f>
        <v>54.76</v>
      </c>
      <c r="F223" s="12" t="n">
        <v>522</v>
      </c>
      <c r="G223" s="11" t="n">
        <f aca="false">IF(INDEX(選手一覧!$D$7:$D$2738,$F223)="","",INDEX(選手一覧!$D$7:$D$2738,$F223))</f>
        <v>0.0106106481481482</v>
      </c>
      <c r="H223" s="12" t="n">
        <f aca="false">IF(INDEX(選手一覧!$E$7:$E$2738,$F223)="","",INDEX(選手一覧!$E$7:$E$2738,$F223))</f>
        <v>475</v>
      </c>
      <c r="I223" s="11" t="str">
        <f aca="false">IF(INDEX(選手一覧!$H$7:$H$2738,$F223)="","",INDEX(選手一覧!$H$7:$H$2738,$F223))</f>
        <v/>
      </c>
      <c r="J223" s="12" t="str">
        <f aca="false">IF(INDEX(選手一覧!$I$7:$I$2738,$F223)="","",INDEX(選手一覧!$I$7:$I$2738,$F223))</f>
        <v/>
      </c>
    </row>
    <row r="224" customFormat="false" ht="15" hidden="false" customHeight="false" outlineLevel="0" collapsed="false">
      <c r="A224" s="12" t="n">
        <v>220</v>
      </c>
      <c r="B224" s="10" t="s">
        <v>802</v>
      </c>
      <c r="C224" s="10" t="s">
        <v>803</v>
      </c>
      <c r="D224" s="11" t="n">
        <v>0.00687256944444444</v>
      </c>
      <c r="E224" s="18" t="n">
        <f aca="false">ROUND((D224-$D$5)*86400,2)</f>
        <v>54.77</v>
      </c>
      <c r="F224" s="12" t="n">
        <v>524</v>
      </c>
      <c r="G224" s="11" t="n">
        <f aca="false">IF(INDEX(選手一覧!$D$7:$D$2738,$F224)="","",INDEX(選手一覧!$D$7:$D$2738,$F224))</f>
        <v>0.0109100694444444</v>
      </c>
      <c r="H224" s="12" t="n">
        <f aca="false">IF(INDEX(選手一覧!$E$7:$E$2738,$F224)="","",INDEX(選手一覧!$E$7:$E$2738,$F224))</f>
        <v>938</v>
      </c>
      <c r="I224" s="11" t="n">
        <f aca="false">IF(INDEX(選手一覧!$H$7:$H$2738,$F224)="","",INDEX(選手一覧!$H$7:$H$2738,$F224))</f>
        <v>0.00297164351851852</v>
      </c>
      <c r="J224" s="12" t="n">
        <f aca="false">IF(INDEX(選手一覧!$I$7:$I$2738,$F224)="","",INDEX(選手一覧!$I$7:$I$2738,$F224))</f>
        <v>1316</v>
      </c>
    </row>
    <row r="225" customFormat="false" ht="15" hidden="false" customHeight="false" outlineLevel="0" collapsed="false">
      <c r="A225" s="12" t="n">
        <v>221</v>
      </c>
      <c r="B225" s="10" t="s">
        <v>805</v>
      </c>
      <c r="C225" s="10" t="s">
        <v>806</v>
      </c>
      <c r="D225" s="11" t="n">
        <v>0.00687268518518519</v>
      </c>
      <c r="E225" s="18" t="n">
        <f aca="false">ROUND((D225-$D$5)*86400,2)</f>
        <v>54.78</v>
      </c>
      <c r="F225" s="12" t="n">
        <v>526</v>
      </c>
      <c r="G225" s="11" t="n">
        <f aca="false">IF(INDEX(選手一覧!$D$7:$D$2738,$F225)="","",INDEX(選手一覧!$D$7:$D$2738,$F225))</f>
        <v>0.01063125</v>
      </c>
      <c r="H225" s="12" t="n">
        <f aca="false">IF(INDEX(選手一覧!$E$7:$E$2738,$F225)="","",INDEX(選手一覧!$E$7:$E$2738,$F225))</f>
        <v>505</v>
      </c>
      <c r="I225" s="11" t="n">
        <f aca="false">IF(INDEX(選手一覧!$H$7:$H$2738,$F225)="","",INDEX(選手一覧!$H$7:$H$2738,$F225))</f>
        <v>0.00285983796296296</v>
      </c>
      <c r="J225" s="12" t="n">
        <f aca="false">IF(INDEX(選手一覧!$I$7:$I$2738,$F225)="","",INDEX(選手一覧!$I$7:$I$2738,$F225))</f>
        <v>633</v>
      </c>
    </row>
    <row r="226" customFormat="false" ht="15" hidden="false" customHeight="false" outlineLevel="0" collapsed="false">
      <c r="A226" s="12" t="n">
        <v>222</v>
      </c>
      <c r="B226" s="10" t="s">
        <v>811</v>
      </c>
      <c r="C226" s="10" t="s">
        <v>812</v>
      </c>
      <c r="D226" s="11" t="n">
        <v>0.00687916666666667</v>
      </c>
      <c r="E226" s="18" t="n">
        <f aca="false">ROUND((D226-$D$5)*86400,2)</f>
        <v>55.34</v>
      </c>
      <c r="F226" s="12" t="n">
        <v>530</v>
      </c>
      <c r="G226" s="11" t="str">
        <f aca="false">IF(INDEX(選手一覧!$D$7:$D$2738,$F226)="","",INDEX(選手一覧!$D$7:$D$2738,$F226))</f>
        <v/>
      </c>
      <c r="H226" s="12" t="str">
        <f aca="false">IF(INDEX(選手一覧!$E$7:$E$2738,$F226)="","",INDEX(選手一覧!$E$7:$E$2738,$F226))</f>
        <v/>
      </c>
      <c r="I226" s="11" t="n">
        <f aca="false">IF(INDEX(選手一覧!$H$7:$H$2738,$F226)="","",INDEX(選手一覧!$H$7:$H$2738,$F226))</f>
        <v>0.00286956018518519</v>
      </c>
      <c r="J226" s="12" t="n">
        <f aca="false">IF(INDEX(選手一覧!$I$7:$I$2738,$F226)="","",INDEX(選手一覧!$I$7:$I$2738,$F226))</f>
        <v>692</v>
      </c>
    </row>
    <row r="227" customFormat="false" ht="15" hidden="false" customHeight="false" outlineLevel="0" collapsed="false">
      <c r="A227" s="12" t="n">
        <v>223</v>
      </c>
      <c r="B227" s="10" t="s">
        <v>817</v>
      </c>
      <c r="C227" s="10" t="s">
        <v>818</v>
      </c>
      <c r="D227" s="11" t="n">
        <v>0.00688032407407407</v>
      </c>
      <c r="E227" s="18" t="n">
        <f aca="false">ROUND((D227-$D$5)*86400,2)</f>
        <v>55.44</v>
      </c>
      <c r="F227" s="12" t="n">
        <v>533</v>
      </c>
      <c r="G227" s="11" t="str">
        <f aca="false">IF(INDEX(選手一覧!$D$7:$D$2738,$F227)="","",INDEX(選手一覧!$D$7:$D$2738,$F227))</f>
        <v/>
      </c>
      <c r="H227" s="12" t="str">
        <f aca="false">IF(INDEX(選手一覧!$E$7:$E$2738,$F227)="","",INDEX(選手一覧!$E$7:$E$2738,$F227))</f>
        <v/>
      </c>
      <c r="I227" s="11" t="n">
        <f aca="false">IF(INDEX(選手一覧!$H$7:$H$2738,$F227)="","",INDEX(選手一覧!$H$7:$H$2738,$F227))</f>
        <v>0.00295289351851852</v>
      </c>
      <c r="J227" s="12" t="n">
        <f aca="false">IF(INDEX(選手一覧!$I$7:$I$2738,$F227)="","",INDEX(選手一覧!$I$7:$I$2738,$F227))</f>
        <v>1248</v>
      </c>
    </row>
    <row r="228" customFormat="false" ht="15" hidden="false" customHeight="false" outlineLevel="0" collapsed="false">
      <c r="A228" s="12" t="n">
        <v>224</v>
      </c>
      <c r="B228" s="10" t="s">
        <v>820</v>
      </c>
      <c r="C228" s="10" t="s">
        <v>821</v>
      </c>
      <c r="D228" s="11" t="n">
        <v>0.00688159722222222</v>
      </c>
      <c r="E228" s="18" t="n">
        <f aca="false">ROUND((D228-$D$5)*86400,2)</f>
        <v>55.55</v>
      </c>
      <c r="F228" s="12" t="n">
        <v>535</v>
      </c>
      <c r="G228" s="11" t="str">
        <f aca="false">IF(INDEX(選手一覧!$D$7:$D$2738,$F228)="","",INDEX(選手一覧!$D$7:$D$2738,$F228))</f>
        <v/>
      </c>
      <c r="H228" s="12" t="str">
        <f aca="false">IF(INDEX(選手一覧!$E$7:$E$2738,$F228)="","",INDEX(選手一覧!$E$7:$E$2738,$F228))</f>
        <v/>
      </c>
      <c r="I228" s="11" t="n">
        <f aca="false">IF(INDEX(選手一覧!$H$7:$H$2738,$F228)="","",INDEX(選手一覧!$H$7:$H$2738,$F228))</f>
        <v>0.00295532407407407</v>
      </c>
      <c r="J228" s="12" t="n">
        <f aca="false">IF(INDEX(選手一覧!$I$7:$I$2738,$F228)="","",INDEX(選手一覧!$I$7:$I$2738,$F228))</f>
        <v>1254</v>
      </c>
    </row>
    <row r="229" customFormat="false" ht="15" hidden="false" customHeight="false" outlineLevel="0" collapsed="false">
      <c r="A229" s="12" t="n">
        <v>225</v>
      </c>
      <c r="B229" s="10" t="s">
        <v>826</v>
      </c>
      <c r="C229" s="10" t="s">
        <v>810</v>
      </c>
      <c r="D229" s="11" t="n">
        <v>0.00688541666666667</v>
      </c>
      <c r="E229" s="18" t="n">
        <f aca="false">ROUND((D229-$D$5)*86400,2)</f>
        <v>55.88</v>
      </c>
      <c r="F229" s="12" t="n">
        <v>539</v>
      </c>
      <c r="G229" s="11" t="str">
        <f aca="false">IF(INDEX(選手一覧!$D$7:$D$2738,$F229)="","",INDEX(選手一覧!$D$7:$D$2738,$F229))</f>
        <v/>
      </c>
      <c r="H229" s="12" t="str">
        <f aca="false">IF(INDEX(選手一覧!$E$7:$E$2738,$F229)="","",INDEX(選手一覧!$E$7:$E$2738,$F229))</f>
        <v/>
      </c>
      <c r="I229" s="11" t="str">
        <f aca="false">IF(INDEX(選手一覧!$H$7:$H$2738,$F229)="","",INDEX(選手一覧!$H$7:$H$2738,$F229))</f>
        <v/>
      </c>
      <c r="J229" s="12" t="str">
        <f aca="false">IF(INDEX(選手一覧!$I$7:$I$2738,$F229)="","",INDEX(選手一覧!$I$7:$I$2738,$F229))</f>
        <v/>
      </c>
    </row>
    <row r="230" customFormat="false" ht="15" hidden="false" customHeight="false" outlineLevel="0" collapsed="false">
      <c r="A230" s="12" t="n">
        <v>226</v>
      </c>
      <c r="B230" s="10" t="s">
        <v>827</v>
      </c>
      <c r="C230" s="10" t="s">
        <v>695</v>
      </c>
      <c r="D230" s="11" t="n">
        <v>0.00688576388888889</v>
      </c>
      <c r="E230" s="18" t="n">
        <f aca="false">ROUND((D230-$D$5)*86400,2)</f>
        <v>55.91</v>
      </c>
      <c r="F230" s="12" t="n">
        <v>540</v>
      </c>
      <c r="G230" s="11" t="n">
        <f aca="false">IF(INDEX(選手一覧!$D$7:$D$2738,$F230)="","",INDEX(選手一覧!$D$7:$D$2738,$F230))</f>
        <v>0.0107394675925926</v>
      </c>
      <c r="H230" s="12" t="n">
        <f aca="false">IF(INDEX(選手一覧!$E$7:$E$2738,$F230)="","",INDEX(選手一覧!$E$7:$E$2738,$F230))</f>
        <v>651</v>
      </c>
      <c r="I230" s="11" t="n">
        <f aca="false">IF(INDEX(選手一覧!$H$7:$H$2738,$F230)="","",INDEX(選手一覧!$H$7:$H$2738,$F230))</f>
        <v>0.00286828703703704</v>
      </c>
      <c r="J230" s="12" t="n">
        <f aca="false">IF(INDEX(選手一覧!$I$7:$I$2738,$F230)="","",INDEX(選手一覧!$I$7:$I$2738,$F230))</f>
        <v>684</v>
      </c>
    </row>
    <row r="231" customFormat="false" ht="15" hidden="false" customHeight="false" outlineLevel="0" collapsed="false">
      <c r="A231" s="12" t="n">
        <v>227</v>
      </c>
      <c r="B231" s="10" t="s">
        <v>830</v>
      </c>
      <c r="C231" s="10" t="s">
        <v>831</v>
      </c>
      <c r="D231" s="11" t="n">
        <v>0.00688599537037037</v>
      </c>
      <c r="E231" s="18" t="n">
        <f aca="false">ROUND((D231-$D$5)*86400,2)</f>
        <v>55.93</v>
      </c>
      <c r="F231" s="12" t="n">
        <v>542</v>
      </c>
      <c r="G231" s="11" t="n">
        <f aca="false">IF(INDEX(選手一覧!$D$7:$D$2738,$F231)="","",INDEX(選手一覧!$D$7:$D$2738,$F231))</f>
        <v>0.0108997685185185</v>
      </c>
      <c r="H231" s="12" t="n">
        <f aca="false">IF(INDEX(選手一覧!$E$7:$E$2738,$F231)="","",INDEX(選手一覧!$E$7:$E$2738,$F231))</f>
        <v>921</v>
      </c>
      <c r="I231" s="11" t="str">
        <f aca="false">IF(INDEX(選手一覧!$H$7:$H$2738,$F231)="","",INDEX(選手一覧!$H$7:$H$2738,$F231))</f>
        <v/>
      </c>
      <c r="J231" s="12" t="str">
        <f aca="false">IF(INDEX(選手一覧!$I$7:$I$2738,$F231)="","",INDEX(選手一覧!$I$7:$I$2738,$F231))</f>
        <v/>
      </c>
    </row>
    <row r="232" customFormat="false" ht="15" hidden="false" customHeight="false" outlineLevel="0" collapsed="false">
      <c r="A232" s="12" t="n">
        <v>228</v>
      </c>
      <c r="B232" s="10" t="s">
        <v>835</v>
      </c>
      <c r="C232" s="10" t="s">
        <v>836</v>
      </c>
      <c r="D232" s="11" t="n">
        <v>0.00688715277777778</v>
      </c>
      <c r="E232" s="18" t="n">
        <f aca="false">ROUND((D232-$D$5)*86400,2)</f>
        <v>56.03</v>
      </c>
      <c r="F232" s="12" t="n">
        <v>545</v>
      </c>
      <c r="G232" s="11" t="str">
        <f aca="false">IF(INDEX(選手一覧!$D$7:$D$2738,$F232)="","",INDEX(選手一覧!$D$7:$D$2738,$F232))</f>
        <v/>
      </c>
      <c r="H232" s="12" t="str">
        <f aca="false">IF(INDEX(選手一覧!$E$7:$E$2738,$F232)="","",INDEX(選手一覧!$E$7:$E$2738,$F232))</f>
        <v/>
      </c>
      <c r="I232" s="11" t="str">
        <f aca="false">IF(INDEX(選手一覧!$H$7:$H$2738,$F232)="","",INDEX(選手一覧!$H$7:$H$2738,$F232))</f>
        <v/>
      </c>
      <c r="J232" s="12" t="str">
        <f aca="false">IF(INDEX(選手一覧!$I$7:$I$2738,$F232)="","",INDEX(選手一覧!$I$7:$I$2738,$F232))</f>
        <v/>
      </c>
    </row>
    <row r="233" customFormat="false" ht="15" hidden="false" customHeight="false" outlineLevel="0" collapsed="false">
      <c r="A233" s="12" t="n">
        <v>229</v>
      </c>
      <c r="B233" s="10" t="s">
        <v>837</v>
      </c>
      <c r="C233" s="10" t="s">
        <v>49</v>
      </c>
      <c r="D233" s="11" t="n">
        <v>0.00688796296296296</v>
      </c>
      <c r="E233" s="18" t="n">
        <f aca="false">ROUND((D233-$D$5)*86400,2)</f>
        <v>56.1</v>
      </c>
      <c r="F233" s="12" t="n">
        <v>546</v>
      </c>
      <c r="G233" s="11" t="n">
        <f aca="false">IF(INDEX(選手一覧!$D$7:$D$2738,$F233)="","",INDEX(選手一覧!$D$7:$D$2738,$F233))</f>
        <v>0.0105482638888889</v>
      </c>
      <c r="H233" s="12" t="n">
        <f aca="false">IF(INDEX(選手一覧!$E$7:$E$2738,$F233)="","",INDEX(選手一覧!$E$7:$E$2738,$F233))</f>
        <v>397</v>
      </c>
      <c r="I233" s="11" t="str">
        <f aca="false">IF(INDEX(選手一覧!$H$7:$H$2738,$F233)="","",INDEX(選手一覧!$H$7:$H$2738,$F233))</f>
        <v/>
      </c>
      <c r="J233" s="12" t="str">
        <f aca="false">IF(INDEX(選手一覧!$I$7:$I$2738,$F233)="","",INDEX(選手一覧!$I$7:$I$2738,$F233))</f>
        <v/>
      </c>
    </row>
    <row r="234" customFormat="false" ht="15" hidden="false" customHeight="false" outlineLevel="0" collapsed="false">
      <c r="A234" s="12" t="n">
        <v>230</v>
      </c>
      <c r="B234" s="10" t="s">
        <v>838</v>
      </c>
      <c r="C234" s="10" t="s">
        <v>263</v>
      </c>
      <c r="D234" s="11" t="n">
        <v>0.00688854166666667</v>
      </c>
      <c r="E234" s="18" t="n">
        <f aca="false">ROUND((D234-$D$5)*86400,2)</f>
        <v>56.15</v>
      </c>
      <c r="F234" s="12" t="n">
        <v>547</v>
      </c>
      <c r="G234" s="11" t="n">
        <f aca="false">IF(INDEX(選手一覧!$D$7:$D$2738,$F234)="","",INDEX(選手一覧!$D$7:$D$2738,$F234))</f>
        <v>0.0104148148148148</v>
      </c>
      <c r="H234" s="12" t="n">
        <f aca="false">IF(INDEX(選手一覧!$E$7:$E$2738,$F234)="","",INDEX(選手一覧!$E$7:$E$2738,$F234))</f>
        <v>281</v>
      </c>
      <c r="I234" s="11" t="n">
        <f aca="false">IF(INDEX(選手一覧!$H$7:$H$2738,$F234)="","",INDEX(選手一覧!$H$7:$H$2738,$F234))</f>
        <v>0.00287662037037037</v>
      </c>
      <c r="J234" s="12" t="n">
        <f aca="false">IF(INDEX(選手一覧!$I$7:$I$2738,$F234)="","",INDEX(選手一覧!$I$7:$I$2738,$F234))</f>
        <v>743</v>
      </c>
    </row>
    <row r="235" customFormat="false" ht="15" hidden="false" customHeight="false" outlineLevel="0" collapsed="false">
      <c r="A235" s="12" t="n">
        <v>231</v>
      </c>
      <c r="B235" s="10" t="s">
        <v>845</v>
      </c>
      <c r="C235" s="10" t="s">
        <v>846</v>
      </c>
      <c r="D235" s="11" t="n">
        <v>0.00689131944444444</v>
      </c>
      <c r="E235" s="18" t="n">
        <f aca="false">ROUND((D235-$D$5)*86400,2)</f>
        <v>56.39</v>
      </c>
      <c r="F235" s="12" t="n">
        <v>552</v>
      </c>
      <c r="G235" s="11" t="str">
        <f aca="false">IF(INDEX(選手一覧!$D$7:$D$2738,$F235)="","",INDEX(選手一覧!$D$7:$D$2738,$F235))</f>
        <v/>
      </c>
      <c r="H235" s="12" t="str">
        <f aca="false">IF(INDEX(選手一覧!$E$7:$E$2738,$F235)="","",INDEX(選手一覧!$E$7:$E$2738,$F235))</f>
        <v/>
      </c>
      <c r="I235" s="11" t="n">
        <f aca="false">IF(INDEX(選手一覧!$H$7:$H$2738,$F235)="","",INDEX(選手一覧!$H$7:$H$2738,$F235))</f>
        <v>0.00291990740740741</v>
      </c>
      <c r="J235" s="12" t="n">
        <f aca="false">IF(INDEX(選手一覧!$I$7:$I$2738,$F235)="","",INDEX(選手一覧!$I$7:$I$2738,$F235))</f>
        <v>1095</v>
      </c>
    </row>
    <row r="236" customFormat="false" ht="15" hidden="false" customHeight="false" outlineLevel="0" collapsed="false">
      <c r="A236" s="12" t="n">
        <v>232</v>
      </c>
      <c r="B236" s="10" t="s">
        <v>851</v>
      </c>
      <c r="C236" s="10" t="s">
        <v>387</v>
      </c>
      <c r="D236" s="11" t="n">
        <v>0.00689178240740741</v>
      </c>
      <c r="E236" s="18" t="n">
        <f aca="false">ROUND((D236-$D$5)*86400,2)</f>
        <v>56.43</v>
      </c>
      <c r="F236" s="12" t="n">
        <v>555</v>
      </c>
      <c r="G236" s="11" t="str">
        <f aca="false">IF(INDEX(選手一覧!$D$7:$D$2738,$F236)="","",INDEX(選手一覧!$D$7:$D$2738,$F236))</f>
        <v/>
      </c>
      <c r="H236" s="12" t="str">
        <f aca="false">IF(INDEX(選手一覧!$E$7:$E$2738,$F236)="","",INDEX(選手一覧!$E$7:$E$2738,$F236))</f>
        <v/>
      </c>
      <c r="I236" s="11" t="str">
        <f aca="false">IF(INDEX(選手一覧!$H$7:$H$2738,$F236)="","",INDEX(選手一覧!$H$7:$H$2738,$F236))</f>
        <v/>
      </c>
      <c r="J236" s="12" t="str">
        <f aca="false">IF(INDEX(選手一覧!$I$7:$I$2738,$F236)="","",INDEX(選手一覧!$I$7:$I$2738,$F236))</f>
        <v/>
      </c>
    </row>
    <row r="237" customFormat="false" ht="15" hidden="false" customHeight="false" outlineLevel="0" collapsed="false">
      <c r="A237" s="12" t="n">
        <v>233</v>
      </c>
      <c r="B237" s="10" t="s">
        <v>852</v>
      </c>
      <c r="C237" s="10" t="s">
        <v>363</v>
      </c>
      <c r="D237" s="11" t="n">
        <v>0.00689236111111111</v>
      </c>
      <c r="E237" s="18" t="n">
        <f aca="false">ROUND((D237-$D$5)*86400,2)</f>
        <v>56.48</v>
      </c>
      <c r="F237" s="12" t="n">
        <v>556</v>
      </c>
      <c r="G237" s="11" t="str">
        <f aca="false">IF(INDEX(選手一覧!$D$7:$D$2738,$F237)="","",INDEX(選手一覧!$D$7:$D$2738,$F237))</f>
        <v/>
      </c>
      <c r="H237" s="12" t="str">
        <f aca="false">IF(INDEX(選手一覧!$E$7:$E$2738,$F237)="","",INDEX(選手一覧!$E$7:$E$2738,$F237))</f>
        <v/>
      </c>
      <c r="I237" s="11" t="n">
        <f aca="false">IF(INDEX(選手一覧!$H$7:$H$2738,$F237)="","",INDEX(選手一覧!$H$7:$H$2738,$F237))</f>
        <v>0.0029693287037037</v>
      </c>
      <c r="J237" s="12" t="n">
        <f aca="false">IF(INDEX(選手一覧!$I$7:$I$2738,$F237)="","",INDEX(選手一覧!$I$7:$I$2738,$F237))</f>
        <v>1307</v>
      </c>
    </row>
    <row r="238" customFormat="false" ht="15" hidden="false" customHeight="false" outlineLevel="0" collapsed="false">
      <c r="A238" s="12" t="n">
        <v>234</v>
      </c>
      <c r="B238" s="10" t="s">
        <v>853</v>
      </c>
      <c r="C238" s="10" t="s">
        <v>854</v>
      </c>
      <c r="D238" s="11" t="n">
        <v>0.00689340277777778</v>
      </c>
      <c r="E238" s="18" t="n">
        <f aca="false">ROUND((D238-$D$5)*86400,2)</f>
        <v>56.57</v>
      </c>
      <c r="F238" s="12" t="n">
        <v>557</v>
      </c>
      <c r="G238" s="11" t="n">
        <f aca="false">IF(INDEX(選手一覧!$D$7:$D$2738,$F238)="","",INDEX(選手一覧!$D$7:$D$2738,$F238))</f>
        <v>0.0110612268518519</v>
      </c>
      <c r="H238" s="12" t="n">
        <f aca="false">IF(INDEX(選手一覧!$E$7:$E$2738,$F238)="","",INDEX(選手一覧!$E$7:$E$2738,$F238))</f>
        <v>1220</v>
      </c>
      <c r="I238" s="11" t="n">
        <f aca="false">IF(INDEX(選手一覧!$H$7:$H$2738,$F238)="","",INDEX(選手一覧!$H$7:$H$2738,$F238))</f>
        <v>0.00296643518518519</v>
      </c>
      <c r="J238" s="12" t="n">
        <f aca="false">IF(INDEX(選手一覧!$I$7:$I$2738,$F238)="","",INDEX(選手一覧!$I$7:$I$2738,$F238))</f>
        <v>1298</v>
      </c>
    </row>
    <row r="239" customFormat="false" ht="15" hidden="false" customHeight="false" outlineLevel="0" collapsed="false">
      <c r="A239" s="12" t="n">
        <v>235</v>
      </c>
      <c r="B239" s="10" t="s">
        <v>858</v>
      </c>
      <c r="C239" s="10" t="s">
        <v>242</v>
      </c>
      <c r="D239" s="11" t="n">
        <v>0.00689513888888889</v>
      </c>
      <c r="E239" s="18" t="n">
        <f aca="false">ROUND((D239-$D$5)*86400,2)</f>
        <v>56.72</v>
      </c>
      <c r="F239" s="12" t="n">
        <v>560</v>
      </c>
      <c r="G239" s="11" t="n">
        <f aca="false">IF(INDEX(選手一覧!$D$7:$D$2738,$F239)="","",INDEX(選手一覧!$D$7:$D$2738,$F239))</f>
        <v>0.0110020833333333</v>
      </c>
      <c r="H239" s="12" t="n">
        <f aca="false">IF(INDEX(選手一覧!$E$7:$E$2738,$F239)="","",INDEX(選手一覧!$E$7:$E$2738,$F239))</f>
        <v>1098</v>
      </c>
      <c r="I239" s="11" t="n">
        <f aca="false">IF(INDEX(選手一覧!$H$7:$H$2738,$F239)="","",INDEX(選手一覧!$H$7:$H$2738,$F239))</f>
        <v>0.00285775462962963</v>
      </c>
      <c r="J239" s="12" t="n">
        <f aca="false">IF(INDEX(選手一覧!$I$7:$I$2738,$F239)="","",INDEX(選手一覧!$I$7:$I$2738,$F239))</f>
        <v>621</v>
      </c>
    </row>
    <row r="240" customFormat="false" ht="15" hidden="false" customHeight="false" outlineLevel="0" collapsed="false">
      <c r="A240" s="12" t="n">
        <v>236</v>
      </c>
      <c r="B240" s="10" t="s">
        <v>862</v>
      </c>
      <c r="C240" s="10" t="s">
        <v>124</v>
      </c>
      <c r="D240" s="11" t="n">
        <v>0.00689525462962963</v>
      </c>
      <c r="E240" s="18" t="n">
        <f aca="false">ROUND((D240-$D$5)*86400,2)</f>
        <v>56.73</v>
      </c>
      <c r="F240" s="12" t="n">
        <v>563</v>
      </c>
      <c r="G240" s="11" t="n">
        <f aca="false">IF(INDEX(選手一覧!$D$7:$D$2738,$F240)="","",INDEX(選手一覧!$D$7:$D$2738,$F240))</f>
        <v>0.0106119212962963</v>
      </c>
      <c r="H240" s="12" t="n">
        <f aca="false">IF(INDEX(選手一覧!$E$7:$E$2738,$F240)="","",INDEX(選手一覧!$E$7:$E$2738,$F240))</f>
        <v>479</v>
      </c>
      <c r="I240" s="11" t="str">
        <f aca="false">IF(INDEX(選手一覧!$H$7:$H$2738,$F240)="","",INDEX(選手一覧!$H$7:$H$2738,$F240))</f>
        <v/>
      </c>
      <c r="J240" s="12" t="str">
        <f aca="false">IF(INDEX(選手一覧!$I$7:$I$2738,$F240)="","",INDEX(選手一覧!$I$7:$I$2738,$F240))</f>
        <v/>
      </c>
    </row>
    <row r="241" customFormat="false" ht="15" hidden="false" customHeight="false" outlineLevel="0" collapsed="false">
      <c r="A241" s="12" t="n">
        <v>237</v>
      </c>
      <c r="B241" s="10" t="s">
        <v>863</v>
      </c>
      <c r="C241" s="10" t="s">
        <v>85</v>
      </c>
      <c r="D241" s="11" t="n">
        <v>0.00689525462962963</v>
      </c>
      <c r="E241" s="18" t="n">
        <f aca="false">ROUND((D241-$D$5)*86400,2)</f>
        <v>56.73</v>
      </c>
      <c r="F241" s="12" t="n">
        <v>564</v>
      </c>
      <c r="G241" s="11" t="str">
        <f aca="false">IF(INDEX(選手一覧!$D$7:$D$2738,$F241)="","",INDEX(選手一覧!$D$7:$D$2738,$F241))</f>
        <v/>
      </c>
      <c r="H241" s="12" t="str">
        <f aca="false">IF(INDEX(選手一覧!$E$7:$E$2738,$F241)="","",INDEX(選手一覧!$E$7:$E$2738,$F241))</f>
        <v/>
      </c>
      <c r="I241" s="11" t="str">
        <f aca="false">IF(INDEX(選手一覧!$H$7:$H$2738,$F241)="","",INDEX(選手一覧!$H$7:$H$2738,$F241))</f>
        <v/>
      </c>
      <c r="J241" s="12" t="str">
        <f aca="false">IF(INDEX(選手一覧!$I$7:$I$2738,$F241)="","",INDEX(選手一覧!$I$7:$I$2738,$F241))</f>
        <v/>
      </c>
    </row>
    <row r="242" customFormat="false" ht="15" hidden="false" customHeight="false" outlineLevel="0" collapsed="false">
      <c r="A242" s="12" t="n">
        <v>238</v>
      </c>
      <c r="B242" s="10" t="s">
        <v>864</v>
      </c>
      <c r="C242" s="10" t="s">
        <v>865</v>
      </c>
      <c r="D242" s="11" t="n">
        <v>0.00689710648148148</v>
      </c>
      <c r="E242" s="18" t="n">
        <f aca="false">ROUND((D242-$D$5)*86400,2)</f>
        <v>56.89</v>
      </c>
      <c r="F242" s="12" t="n">
        <v>565</v>
      </c>
      <c r="G242" s="11" t="str">
        <f aca="false">IF(INDEX(選手一覧!$D$7:$D$2738,$F242)="","",INDEX(選手一覧!$D$7:$D$2738,$F242))</f>
        <v/>
      </c>
      <c r="H242" s="12" t="str">
        <f aca="false">IF(INDEX(選手一覧!$E$7:$E$2738,$F242)="","",INDEX(選手一覧!$E$7:$E$2738,$F242))</f>
        <v/>
      </c>
      <c r="I242" s="11" t="n">
        <f aca="false">IF(INDEX(選手一覧!$H$7:$H$2738,$F242)="","",INDEX(選手一覧!$H$7:$H$2738,$F242))</f>
        <v>0.00291215277777778</v>
      </c>
      <c r="J242" s="12" t="n">
        <f aca="false">IF(INDEX(選手一覧!$I$7:$I$2738,$F242)="","",INDEX(選手一覧!$I$7:$I$2738,$F242))</f>
        <v>1038</v>
      </c>
    </row>
    <row r="243" customFormat="false" ht="15" hidden="false" customHeight="false" outlineLevel="0" collapsed="false">
      <c r="A243" s="12" t="n">
        <v>239</v>
      </c>
      <c r="B243" s="10" t="s">
        <v>867</v>
      </c>
      <c r="C243" s="10" t="s">
        <v>302</v>
      </c>
      <c r="D243" s="11" t="n">
        <v>0.00689884259259259</v>
      </c>
      <c r="E243" s="18" t="n">
        <f aca="false">ROUND((D243-$D$5)*86400,2)</f>
        <v>57.04</v>
      </c>
      <c r="F243" s="12" t="n">
        <v>567</v>
      </c>
      <c r="G243" s="11" t="n">
        <f aca="false">IF(INDEX(選手一覧!$D$7:$D$2738,$F243)="","",INDEX(選手一覧!$D$7:$D$2738,$F243))</f>
        <v>0.0109295138888889</v>
      </c>
      <c r="H243" s="12" t="n">
        <f aca="false">IF(INDEX(選手一覧!$E$7:$E$2738,$F243)="","",INDEX(選手一覧!$E$7:$E$2738,$F243))</f>
        <v>966</v>
      </c>
      <c r="I243" s="11" t="n">
        <f aca="false">IF(INDEX(選手一覧!$H$7:$H$2738,$F243)="","",INDEX(選手一覧!$H$7:$H$2738,$F243))</f>
        <v>0.00297673611111111</v>
      </c>
      <c r="J243" s="12" t="n">
        <f aca="false">IF(INDEX(選手一覧!$I$7:$I$2738,$F243)="","",INDEX(選手一覧!$I$7:$I$2738,$F243))</f>
        <v>1337</v>
      </c>
    </row>
    <row r="244" customFormat="false" ht="15" hidden="false" customHeight="false" outlineLevel="0" collapsed="false">
      <c r="A244" s="12" t="n">
        <v>240</v>
      </c>
      <c r="B244" s="10" t="s">
        <v>871</v>
      </c>
      <c r="C244" s="10" t="s">
        <v>872</v>
      </c>
      <c r="D244" s="11" t="n">
        <v>0.00689988425925926</v>
      </c>
      <c r="E244" s="18" t="n">
        <f aca="false">ROUND((D244-$D$5)*86400,2)</f>
        <v>57.13</v>
      </c>
      <c r="F244" s="12" t="n">
        <v>571</v>
      </c>
      <c r="G244" s="11" t="n">
        <f aca="false">IF(INDEX(選手一覧!$D$7:$D$2738,$F244)="","",INDEX(選手一覧!$D$7:$D$2738,$F244))</f>
        <v>0.0109918981481482</v>
      </c>
      <c r="H244" s="12" t="n">
        <f aca="false">IF(INDEX(選手一覧!$E$7:$E$2738,$F244)="","",INDEX(選手一覧!$E$7:$E$2738,$F244))</f>
        <v>1082</v>
      </c>
      <c r="I244" s="11" t="str">
        <f aca="false">IF(INDEX(選手一覧!$H$7:$H$2738,$F244)="","",INDEX(選手一覧!$H$7:$H$2738,$F244))</f>
        <v/>
      </c>
      <c r="J244" s="12" t="str">
        <f aca="false">IF(INDEX(選手一覧!$I$7:$I$2738,$F244)="","",INDEX(選手一覧!$I$7:$I$2738,$F244))</f>
        <v/>
      </c>
    </row>
    <row r="245" customFormat="false" ht="15" hidden="false" customHeight="false" outlineLevel="0" collapsed="false">
      <c r="A245" s="12" t="n">
        <v>241</v>
      </c>
      <c r="B245" s="10" t="s">
        <v>875</v>
      </c>
      <c r="C245" s="10" t="s">
        <v>49</v>
      </c>
      <c r="D245" s="11" t="n">
        <v>0.00690034722222222</v>
      </c>
      <c r="E245" s="18" t="n">
        <f aca="false">ROUND((D245-$D$5)*86400,2)</f>
        <v>57.17</v>
      </c>
      <c r="F245" s="12" t="n">
        <v>573</v>
      </c>
      <c r="G245" s="11" t="n">
        <f aca="false">IF(INDEX(選手一覧!$D$7:$D$2738,$F245)="","",INDEX(選手一覧!$D$7:$D$2738,$F245))</f>
        <v>0.0106959490740741</v>
      </c>
      <c r="H245" s="12" t="n">
        <f aca="false">IF(INDEX(選手一覧!$E$7:$E$2738,$F245)="","",INDEX(選手一覧!$E$7:$E$2738,$F245))</f>
        <v>575</v>
      </c>
      <c r="I245" s="11" t="str">
        <f aca="false">IF(INDEX(選手一覧!$H$7:$H$2738,$F245)="","",INDEX(選手一覧!$H$7:$H$2738,$F245))</f>
        <v/>
      </c>
      <c r="J245" s="12" t="str">
        <f aca="false">IF(INDEX(選手一覧!$I$7:$I$2738,$F245)="","",INDEX(選手一覧!$I$7:$I$2738,$F245))</f>
        <v/>
      </c>
    </row>
    <row r="246" customFormat="false" ht="15" hidden="false" customHeight="false" outlineLevel="0" collapsed="false">
      <c r="A246" s="12" t="n">
        <v>242</v>
      </c>
      <c r="B246" s="10" t="s">
        <v>877</v>
      </c>
      <c r="C246" s="10" t="s">
        <v>720</v>
      </c>
      <c r="D246" s="11" t="n">
        <v>0.00690069444444445</v>
      </c>
      <c r="E246" s="18" t="n">
        <f aca="false">ROUND((D246-$D$5)*86400,2)</f>
        <v>57.2</v>
      </c>
      <c r="F246" s="12" t="n">
        <v>575</v>
      </c>
      <c r="G246" s="11" t="str">
        <f aca="false">IF(INDEX(選手一覧!$D$7:$D$2738,$F246)="","",INDEX(選手一覧!$D$7:$D$2738,$F246))</f>
        <v/>
      </c>
      <c r="H246" s="12" t="str">
        <f aca="false">IF(INDEX(選手一覧!$E$7:$E$2738,$F246)="","",INDEX(選手一覧!$E$7:$E$2738,$F246))</f>
        <v/>
      </c>
      <c r="I246" s="11" t="str">
        <f aca="false">IF(INDEX(選手一覧!$H$7:$H$2738,$F246)="","",INDEX(選手一覧!$H$7:$H$2738,$F246))</f>
        <v/>
      </c>
      <c r="J246" s="12" t="str">
        <f aca="false">IF(INDEX(選手一覧!$I$7:$I$2738,$F246)="","",INDEX(選手一覧!$I$7:$I$2738,$F246))</f>
        <v/>
      </c>
    </row>
    <row r="247" customFormat="false" ht="15" hidden="false" customHeight="false" outlineLevel="0" collapsed="false">
      <c r="A247" s="12" t="n">
        <v>243</v>
      </c>
      <c r="B247" s="10" t="s">
        <v>880</v>
      </c>
      <c r="C247" s="10" t="s">
        <v>881</v>
      </c>
      <c r="D247" s="11" t="n">
        <v>0.00690162037037037</v>
      </c>
      <c r="E247" s="18" t="n">
        <f aca="false">ROUND((D247-$D$5)*86400,2)</f>
        <v>57.28</v>
      </c>
      <c r="F247" s="12" t="n">
        <v>578</v>
      </c>
      <c r="G247" s="11" t="str">
        <f aca="false">IF(INDEX(選手一覧!$D$7:$D$2738,$F247)="","",INDEX(選手一覧!$D$7:$D$2738,$F247))</f>
        <v/>
      </c>
      <c r="H247" s="12" t="str">
        <f aca="false">IF(INDEX(選手一覧!$E$7:$E$2738,$F247)="","",INDEX(選手一覧!$E$7:$E$2738,$F247))</f>
        <v/>
      </c>
      <c r="I247" s="11" t="str">
        <f aca="false">IF(INDEX(選手一覧!$H$7:$H$2738,$F247)="","",INDEX(選手一覧!$H$7:$H$2738,$F247))</f>
        <v/>
      </c>
      <c r="J247" s="12" t="str">
        <f aca="false">IF(INDEX(選手一覧!$I$7:$I$2738,$F247)="","",INDEX(選手一覧!$I$7:$I$2738,$F247))</f>
        <v/>
      </c>
    </row>
    <row r="248" customFormat="false" ht="15" hidden="false" customHeight="false" outlineLevel="0" collapsed="false">
      <c r="A248" s="12" t="n">
        <v>244</v>
      </c>
      <c r="B248" s="10" t="s">
        <v>883</v>
      </c>
      <c r="C248" s="10" t="s">
        <v>884</v>
      </c>
      <c r="D248" s="11" t="n">
        <v>0.00690173611111111</v>
      </c>
      <c r="E248" s="18" t="n">
        <f aca="false">ROUND((D248-$D$5)*86400,2)</f>
        <v>57.29</v>
      </c>
      <c r="F248" s="12" t="n">
        <v>580</v>
      </c>
      <c r="G248" s="11" t="n">
        <f aca="false">IF(INDEX(選手一覧!$D$7:$D$2738,$F248)="","",INDEX(選手一覧!$D$7:$D$2738,$F248))</f>
        <v>0.0110377314814815</v>
      </c>
      <c r="H248" s="12" t="n">
        <f aca="false">IF(INDEX(選手一覧!$E$7:$E$2738,$F248)="","",INDEX(選手一覧!$E$7:$E$2738,$F248))</f>
        <v>1173</v>
      </c>
      <c r="I248" s="11" t="str">
        <f aca="false">IF(INDEX(選手一覧!$H$7:$H$2738,$F248)="","",INDEX(選手一覧!$H$7:$H$2738,$F248))</f>
        <v/>
      </c>
      <c r="J248" s="12" t="str">
        <f aca="false">IF(INDEX(選手一覧!$I$7:$I$2738,$F248)="","",INDEX(選手一覧!$I$7:$I$2738,$F248))</f>
        <v/>
      </c>
    </row>
    <row r="249" customFormat="false" ht="15" hidden="false" customHeight="false" outlineLevel="0" collapsed="false">
      <c r="A249" s="12" t="n">
        <v>245</v>
      </c>
      <c r="B249" s="10" t="s">
        <v>886</v>
      </c>
      <c r="C249" s="10" t="s">
        <v>114</v>
      </c>
      <c r="D249" s="11" t="n">
        <v>0.00690219907407407</v>
      </c>
      <c r="E249" s="18" t="n">
        <f aca="false">ROUND((D249-$D$5)*86400,2)</f>
        <v>57.33</v>
      </c>
      <c r="F249" s="12" t="n">
        <v>582</v>
      </c>
      <c r="G249" s="11" t="n">
        <f aca="false">IF(INDEX(選手一覧!$D$7:$D$2738,$F249)="","",INDEX(選手一覧!$D$7:$D$2738,$F249))</f>
        <v>0.0104907407407407</v>
      </c>
      <c r="H249" s="12" t="n">
        <f aca="false">IF(INDEX(選手一覧!$E$7:$E$2738,$F249)="","",INDEX(選手一覧!$E$7:$E$2738,$F249))</f>
        <v>334</v>
      </c>
      <c r="I249" s="11" t="n">
        <f aca="false">IF(INDEX(選手一覧!$H$7:$H$2738,$F249)="","",INDEX(選手一覧!$H$7:$H$2738,$F249))</f>
        <v>0.00289733796296296</v>
      </c>
      <c r="J249" s="12" t="n">
        <f aca="false">IF(INDEX(選手一覧!$I$7:$I$2738,$F249)="","",INDEX(選手一覧!$I$7:$I$2738,$F249))</f>
        <v>928</v>
      </c>
    </row>
    <row r="250" customFormat="false" ht="15" hidden="false" customHeight="false" outlineLevel="0" collapsed="false">
      <c r="A250" s="12" t="n">
        <v>246</v>
      </c>
      <c r="B250" s="10" t="s">
        <v>890</v>
      </c>
      <c r="C250" s="10" t="s">
        <v>717</v>
      </c>
      <c r="D250" s="11" t="n">
        <v>0.00690555555555556</v>
      </c>
      <c r="E250" s="18" t="n">
        <f aca="false">ROUND((D250-$D$5)*86400,2)</f>
        <v>57.62</v>
      </c>
      <c r="F250" s="12" t="n">
        <v>586</v>
      </c>
      <c r="G250" s="11" t="str">
        <f aca="false">IF(INDEX(選手一覧!$D$7:$D$2738,$F250)="","",INDEX(選手一覧!$D$7:$D$2738,$F250))</f>
        <v/>
      </c>
      <c r="H250" s="12" t="str">
        <f aca="false">IF(INDEX(選手一覧!$E$7:$E$2738,$F250)="","",INDEX(選手一覧!$E$7:$E$2738,$F250))</f>
        <v/>
      </c>
      <c r="I250" s="11" t="str">
        <f aca="false">IF(INDEX(選手一覧!$H$7:$H$2738,$F250)="","",INDEX(選手一覧!$H$7:$H$2738,$F250))</f>
        <v/>
      </c>
      <c r="J250" s="12" t="str">
        <f aca="false">IF(INDEX(選手一覧!$I$7:$I$2738,$F250)="","",INDEX(選手一覧!$I$7:$I$2738,$F250))</f>
        <v/>
      </c>
    </row>
    <row r="251" customFormat="false" ht="15" hidden="false" customHeight="false" outlineLevel="0" collapsed="false">
      <c r="A251" s="12" t="n">
        <v>247</v>
      </c>
      <c r="B251" s="10" t="s">
        <v>891</v>
      </c>
      <c r="C251" s="10" t="s">
        <v>277</v>
      </c>
      <c r="D251" s="11" t="n">
        <v>0.00690613425925926</v>
      </c>
      <c r="E251" s="18" t="n">
        <f aca="false">ROUND((D251-$D$5)*86400,2)</f>
        <v>57.67</v>
      </c>
      <c r="F251" s="12" t="n">
        <v>587</v>
      </c>
      <c r="G251" s="11" t="n">
        <f aca="false">IF(INDEX(選手一覧!$D$7:$D$2738,$F251)="","",INDEX(選手一覧!$D$7:$D$2738,$F251))</f>
        <v>0.0105216435185185</v>
      </c>
      <c r="H251" s="12" t="n">
        <f aca="false">IF(INDEX(選手一覧!$E$7:$E$2738,$F251)="","",INDEX(選手一覧!$E$7:$E$2738,$F251))</f>
        <v>364</v>
      </c>
      <c r="I251" s="11" t="n">
        <f aca="false">IF(INDEX(選手一覧!$H$7:$H$2738,$F251)="","",INDEX(選手一覧!$H$7:$H$2738,$F251))</f>
        <v>0.00287407407407407</v>
      </c>
      <c r="J251" s="12" t="n">
        <f aca="false">IF(INDEX(選手一覧!$I$7:$I$2738,$F251)="","",INDEX(選手一覧!$I$7:$I$2738,$F251))</f>
        <v>728</v>
      </c>
    </row>
    <row r="252" customFormat="false" ht="15" hidden="false" customHeight="false" outlineLevel="0" collapsed="false">
      <c r="A252" s="12" t="n">
        <v>248</v>
      </c>
      <c r="B252" s="10" t="s">
        <v>896</v>
      </c>
      <c r="C252" s="10" t="s">
        <v>897</v>
      </c>
      <c r="D252" s="11" t="n">
        <v>0.00690625</v>
      </c>
      <c r="E252" s="18" t="n">
        <f aca="false">ROUND((D252-$D$5)*86400,2)</f>
        <v>57.68</v>
      </c>
      <c r="F252" s="12" t="n">
        <v>592</v>
      </c>
      <c r="G252" s="11" t="n">
        <f aca="false">IF(INDEX(選手一覧!$D$7:$D$2738,$F252)="","",INDEX(選手一覧!$D$7:$D$2738,$F252))</f>
        <v>0.0109810185185185</v>
      </c>
      <c r="H252" s="12" t="n">
        <f aca="false">IF(INDEX(選手一覧!$E$7:$E$2738,$F252)="","",INDEX(選手一覧!$E$7:$E$2738,$F252))</f>
        <v>1058</v>
      </c>
      <c r="I252" s="11" t="str">
        <f aca="false">IF(INDEX(選手一覧!$H$7:$H$2738,$F252)="","",INDEX(選手一覧!$H$7:$H$2738,$F252))</f>
        <v/>
      </c>
      <c r="J252" s="12" t="str">
        <f aca="false">IF(INDEX(選手一覧!$I$7:$I$2738,$F252)="","",INDEX(選手一覧!$I$7:$I$2738,$F252))</f>
        <v/>
      </c>
    </row>
    <row r="253" customFormat="false" ht="15" hidden="false" customHeight="false" outlineLevel="0" collapsed="false">
      <c r="A253" s="12" t="n">
        <v>249</v>
      </c>
      <c r="B253" s="10" t="s">
        <v>898</v>
      </c>
      <c r="C253" s="10" t="s">
        <v>899</v>
      </c>
      <c r="D253" s="11" t="n">
        <v>0.00690659722222222</v>
      </c>
      <c r="E253" s="18" t="n">
        <f aca="false">ROUND((D253-$D$5)*86400,2)</f>
        <v>57.71</v>
      </c>
      <c r="F253" s="12" t="n">
        <v>593</v>
      </c>
      <c r="G253" s="11" t="str">
        <f aca="false">IF(INDEX(選手一覧!$D$7:$D$2738,$F253)="","",INDEX(選手一覧!$D$7:$D$2738,$F253))</f>
        <v/>
      </c>
      <c r="H253" s="12" t="str">
        <f aca="false">IF(INDEX(選手一覧!$E$7:$E$2738,$F253)="","",INDEX(選手一覧!$E$7:$E$2738,$F253))</f>
        <v/>
      </c>
      <c r="I253" s="11" t="n">
        <f aca="false">IF(INDEX(選手一覧!$H$7:$H$2738,$F253)="","",INDEX(選手一覧!$H$7:$H$2738,$F253))</f>
        <v>0.00287303240740741</v>
      </c>
      <c r="J253" s="12" t="n">
        <f aca="false">IF(INDEX(選手一覧!$I$7:$I$2738,$F253)="","",INDEX(選手一覧!$I$7:$I$2738,$F253))</f>
        <v>721</v>
      </c>
    </row>
    <row r="254" customFormat="false" ht="15" hidden="false" customHeight="false" outlineLevel="0" collapsed="false">
      <c r="A254" s="12" t="n">
        <v>250</v>
      </c>
      <c r="B254" s="10" t="s">
        <v>903</v>
      </c>
      <c r="C254" s="10" t="s">
        <v>904</v>
      </c>
      <c r="D254" s="11" t="n">
        <v>0.00691018518518519</v>
      </c>
      <c r="E254" s="18" t="n">
        <f aca="false">ROUND((D254-$D$5)*86400,2)</f>
        <v>58.02</v>
      </c>
      <c r="F254" s="12" t="n">
        <v>596</v>
      </c>
      <c r="G254" s="11" t="str">
        <f aca="false">IF(INDEX(選手一覧!$D$7:$D$2738,$F254)="","",INDEX(選手一覧!$D$7:$D$2738,$F254))</f>
        <v/>
      </c>
      <c r="H254" s="12" t="str">
        <f aca="false">IF(INDEX(選手一覧!$E$7:$E$2738,$F254)="","",INDEX(選手一覧!$E$7:$E$2738,$F254))</f>
        <v/>
      </c>
      <c r="I254" s="11" t="str">
        <f aca="false">IF(INDEX(選手一覧!$H$7:$H$2738,$F254)="","",INDEX(選手一覧!$H$7:$H$2738,$F254))</f>
        <v/>
      </c>
      <c r="J254" s="12" t="str">
        <f aca="false">IF(INDEX(選手一覧!$I$7:$I$2738,$F254)="","",INDEX(選手一覧!$I$7:$I$2738,$F254))</f>
        <v/>
      </c>
    </row>
    <row r="255" customFormat="false" ht="15" hidden="false" customHeight="false" outlineLevel="0" collapsed="false">
      <c r="A255" s="12" t="n">
        <v>251</v>
      </c>
      <c r="B255" s="10" t="s">
        <v>832</v>
      </c>
      <c r="C255" s="10" t="s">
        <v>833</v>
      </c>
      <c r="D255" s="11" t="n">
        <v>0.006915625</v>
      </c>
      <c r="E255" s="18" t="n">
        <f aca="false">ROUND((D255-$D$5)*86400,2)</f>
        <v>58.49</v>
      </c>
      <c r="F255" s="12" t="n">
        <v>543</v>
      </c>
      <c r="G255" s="11" t="str">
        <f aca="false">IF(INDEX(選手一覧!$D$7:$D$2738,$F255)="","",INDEX(選手一覧!$D$7:$D$2738,$F255))</f>
        <v/>
      </c>
      <c r="H255" s="12" t="str">
        <f aca="false">IF(INDEX(選手一覧!$E$7:$E$2738,$F255)="","",INDEX(選手一覧!$E$7:$E$2738,$F255))</f>
        <v/>
      </c>
      <c r="I255" s="11" t="n">
        <f aca="false">IF(INDEX(選手一覧!$H$7:$H$2738,$F255)="","",INDEX(選手一覧!$H$7:$H$2738,$F255))</f>
        <v>0.00278680555555556</v>
      </c>
      <c r="J255" s="12" t="n">
        <f aca="false">IF(INDEX(選手一覧!$I$7:$I$2738,$F255)="","",INDEX(選手一覧!$I$7:$I$2738,$F255))</f>
        <v>228</v>
      </c>
    </row>
    <row r="256" customFormat="false" ht="15" hidden="false" customHeight="false" outlineLevel="0" collapsed="false">
      <c r="A256" s="12" t="n">
        <v>252</v>
      </c>
      <c r="B256" s="10" t="s">
        <v>907</v>
      </c>
      <c r="C256" s="10" t="s">
        <v>181</v>
      </c>
      <c r="D256" s="11" t="n">
        <v>0.0069162037037037</v>
      </c>
      <c r="E256" s="18" t="n">
        <f aca="false">ROUND((D256-$D$5)*86400,2)</f>
        <v>58.54</v>
      </c>
      <c r="F256" s="12" t="n">
        <v>598</v>
      </c>
      <c r="G256" s="11" t="n">
        <f aca="false">IF(INDEX(選手一覧!$D$7:$D$2738,$F256)="","",INDEX(選手一覧!$D$7:$D$2738,$F256))</f>
        <v>0.0109541666666667</v>
      </c>
      <c r="H256" s="12" t="n">
        <f aca="false">IF(INDEX(選手一覧!$E$7:$E$2738,$F256)="","",INDEX(選手一覧!$E$7:$E$2738,$F256))</f>
        <v>1012</v>
      </c>
      <c r="I256" s="11" t="n">
        <f aca="false">IF(INDEX(選手一覧!$H$7:$H$2738,$F256)="","",INDEX(選手一覧!$H$7:$H$2738,$F256))</f>
        <v>0.00285138888888889</v>
      </c>
      <c r="J256" s="12" t="n">
        <f aca="false">IF(INDEX(選手一覧!$I$7:$I$2738,$F256)="","",INDEX(選手一覧!$I$7:$I$2738,$F256))</f>
        <v>578</v>
      </c>
    </row>
    <row r="257" customFormat="false" ht="15" hidden="false" customHeight="false" outlineLevel="0" collapsed="false">
      <c r="A257" s="12" t="n">
        <v>253</v>
      </c>
      <c r="B257" s="10" t="s">
        <v>909</v>
      </c>
      <c r="C257" s="10" t="s">
        <v>910</v>
      </c>
      <c r="D257" s="11" t="n">
        <v>0.00691747685185185</v>
      </c>
      <c r="E257" s="18" t="n">
        <f aca="false">ROUND((D257-$D$5)*86400,2)</f>
        <v>58.65</v>
      </c>
      <c r="F257" s="12" t="n">
        <v>600</v>
      </c>
      <c r="G257" s="11" t="str">
        <f aca="false">IF(INDEX(選手一覧!$D$7:$D$2738,$F257)="","",INDEX(選手一覧!$D$7:$D$2738,$F257))</f>
        <v/>
      </c>
      <c r="H257" s="12" t="str">
        <f aca="false">IF(INDEX(選手一覧!$E$7:$E$2738,$F257)="","",INDEX(選手一覧!$E$7:$E$2738,$F257))</f>
        <v/>
      </c>
      <c r="I257" s="11" t="n">
        <f aca="false">IF(INDEX(選手一覧!$H$7:$H$2738,$F257)="","",INDEX(選手一覧!$H$7:$H$2738,$F257))</f>
        <v>0.00288518518518519</v>
      </c>
      <c r="J257" s="12" t="n">
        <f aca="false">IF(INDEX(選手一覧!$I$7:$I$2738,$F257)="","",INDEX(選手一覧!$I$7:$I$2738,$F257))</f>
        <v>819</v>
      </c>
    </row>
    <row r="258" customFormat="false" ht="15" hidden="false" customHeight="false" outlineLevel="0" collapsed="false">
      <c r="A258" s="12" t="n">
        <v>254</v>
      </c>
      <c r="B258" s="10" t="s">
        <v>912</v>
      </c>
      <c r="C258" s="10" t="s">
        <v>534</v>
      </c>
      <c r="D258" s="11" t="n">
        <v>0.00691886574074074</v>
      </c>
      <c r="E258" s="18" t="n">
        <f aca="false">ROUND((D258-$D$5)*86400,2)</f>
        <v>58.77</v>
      </c>
      <c r="F258" s="12" t="n">
        <v>602</v>
      </c>
      <c r="G258" s="11" t="n">
        <f aca="false">IF(INDEX(選手一覧!$D$7:$D$2738,$F258)="","",INDEX(選手一覧!$D$7:$D$2738,$F258))</f>
        <v>0.010896875</v>
      </c>
      <c r="H258" s="12" t="n">
        <f aca="false">IF(INDEX(選手一覧!$E$7:$E$2738,$F258)="","",INDEX(選手一覧!$E$7:$E$2738,$F258))</f>
        <v>917</v>
      </c>
      <c r="I258" s="11" t="str">
        <f aca="false">IF(INDEX(選手一覧!$H$7:$H$2738,$F258)="","",INDEX(選手一覧!$H$7:$H$2738,$F258))</f>
        <v/>
      </c>
      <c r="J258" s="12" t="str">
        <f aca="false">IF(INDEX(選手一覧!$I$7:$I$2738,$F258)="","",INDEX(選手一覧!$I$7:$I$2738,$F258))</f>
        <v/>
      </c>
    </row>
    <row r="259" customFormat="false" ht="15" hidden="false" customHeight="false" outlineLevel="0" collapsed="false">
      <c r="A259" s="12" t="n">
        <v>255</v>
      </c>
      <c r="B259" s="10" t="s">
        <v>916</v>
      </c>
      <c r="C259" s="10" t="s">
        <v>917</v>
      </c>
      <c r="D259" s="11" t="n">
        <v>0.0069193287037037</v>
      </c>
      <c r="E259" s="18" t="n">
        <f aca="false">ROUND((D259-$D$5)*86400,2)</f>
        <v>58.81</v>
      </c>
      <c r="F259" s="12" t="n">
        <v>605</v>
      </c>
      <c r="G259" s="11" t="str">
        <f aca="false">IF(INDEX(選手一覧!$D$7:$D$2738,$F259)="","",INDEX(選手一覧!$D$7:$D$2738,$F259))</f>
        <v/>
      </c>
      <c r="H259" s="12" t="str">
        <f aca="false">IF(INDEX(選手一覧!$E$7:$E$2738,$F259)="","",INDEX(選手一覧!$E$7:$E$2738,$F259))</f>
        <v/>
      </c>
      <c r="I259" s="11" t="n">
        <f aca="false">IF(INDEX(選手一覧!$H$7:$H$2738,$F259)="","",INDEX(選手一覧!$H$7:$H$2738,$F259))</f>
        <v>0.0028662037037037</v>
      </c>
      <c r="J259" s="12" t="n">
        <f aca="false">IF(INDEX(選手一覧!$I$7:$I$2738,$F259)="","",INDEX(選手一覧!$I$7:$I$2738,$F259))</f>
        <v>671</v>
      </c>
    </row>
    <row r="260" customFormat="false" ht="15" hidden="false" customHeight="false" outlineLevel="0" collapsed="false">
      <c r="A260" s="12" t="n">
        <v>256</v>
      </c>
      <c r="B260" s="10" t="s">
        <v>920</v>
      </c>
      <c r="C260" s="10" t="s">
        <v>921</v>
      </c>
      <c r="D260" s="11" t="n">
        <v>0.00692048611111111</v>
      </c>
      <c r="E260" s="18" t="n">
        <f aca="false">ROUND((D260-$D$5)*86400,2)</f>
        <v>58.91</v>
      </c>
      <c r="F260" s="12" t="n">
        <v>608</v>
      </c>
      <c r="G260" s="11" t="str">
        <f aca="false">IF(INDEX(選手一覧!$D$7:$D$2738,$F260)="","",INDEX(選手一覧!$D$7:$D$2738,$F260))</f>
        <v/>
      </c>
      <c r="H260" s="12" t="str">
        <f aca="false">IF(INDEX(選手一覧!$E$7:$E$2738,$F260)="","",INDEX(選手一覧!$E$7:$E$2738,$F260))</f>
        <v/>
      </c>
      <c r="I260" s="11" t="str">
        <f aca="false">IF(INDEX(選手一覧!$H$7:$H$2738,$F260)="","",INDEX(選手一覧!$H$7:$H$2738,$F260))</f>
        <v/>
      </c>
      <c r="J260" s="12" t="str">
        <f aca="false">IF(INDEX(選手一覧!$I$7:$I$2738,$F260)="","",INDEX(選手一覧!$I$7:$I$2738,$F260))</f>
        <v/>
      </c>
    </row>
    <row r="261" customFormat="false" ht="15" hidden="false" customHeight="false" outlineLevel="0" collapsed="false">
      <c r="A261" s="12" t="n">
        <v>257</v>
      </c>
      <c r="B261" s="10" t="s">
        <v>924</v>
      </c>
      <c r="C261" s="10" t="s">
        <v>145</v>
      </c>
      <c r="D261" s="11" t="n">
        <v>0.00692083333333333</v>
      </c>
      <c r="E261" s="18" t="n">
        <f aca="false">ROUND((D261-$D$5)*86400,2)</f>
        <v>58.94</v>
      </c>
      <c r="F261" s="12" t="n">
        <v>611</v>
      </c>
      <c r="G261" s="11" t="n">
        <f aca="false">IF(INDEX(選手一覧!$D$7:$D$2738,$F261)="","",INDEX(選手一覧!$D$7:$D$2738,$F261))</f>
        <v>0.0110261574074074</v>
      </c>
      <c r="H261" s="12" t="n">
        <f aca="false">IF(INDEX(選手一覧!$E$7:$E$2738,$F261)="","",INDEX(選手一覧!$E$7:$E$2738,$F261))</f>
        <v>1141</v>
      </c>
      <c r="I261" s="11" t="str">
        <f aca="false">IF(INDEX(選手一覧!$H$7:$H$2738,$F261)="","",INDEX(選手一覧!$H$7:$H$2738,$F261))</f>
        <v/>
      </c>
      <c r="J261" s="12" t="str">
        <f aca="false">IF(INDEX(選手一覧!$I$7:$I$2738,$F261)="","",INDEX(選手一覧!$I$7:$I$2738,$F261))</f>
        <v/>
      </c>
    </row>
    <row r="262" customFormat="false" ht="15" hidden="false" customHeight="false" outlineLevel="0" collapsed="false">
      <c r="A262" s="12" t="n">
        <v>258</v>
      </c>
      <c r="B262" s="10" t="s">
        <v>928</v>
      </c>
      <c r="C262" s="10" t="s">
        <v>724</v>
      </c>
      <c r="D262" s="11" t="n">
        <v>0.00692094907407407</v>
      </c>
      <c r="E262" s="18" t="n">
        <f aca="false">ROUND((D262-$D$5)*86400,2)</f>
        <v>58.95</v>
      </c>
      <c r="F262" s="12" t="n">
        <v>614</v>
      </c>
      <c r="G262" s="11" t="str">
        <f aca="false">IF(INDEX(選手一覧!$D$7:$D$2738,$F262)="","",INDEX(選手一覧!$D$7:$D$2738,$F262))</f>
        <v/>
      </c>
      <c r="H262" s="12" t="str">
        <f aca="false">IF(INDEX(選手一覧!$E$7:$E$2738,$F262)="","",INDEX(選手一覧!$E$7:$E$2738,$F262))</f>
        <v/>
      </c>
      <c r="I262" s="11" t="str">
        <f aca="false">IF(INDEX(選手一覧!$H$7:$H$2738,$F262)="","",INDEX(選手一覧!$H$7:$H$2738,$F262))</f>
        <v/>
      </c>
      <c r="J262" s="12" t="str">
        <f aca="false">IF(INDEX(選手一覧!$I$7:$I$2738,$F262)="","",INDEX(選手一覧!$I$7:$I$2738,$F262))</f>
        <v/>
      </c>
    </row>
    <row r="263" customFormat="false" ht="15" hidden="false" customHeight="false" outlineLevel="0" collapsed="false">
      <c r="A263" s="12" t="n">
        <v>259</v>
      </c>
      <c r="B263" s="10" t="s">
        <v>929</v>
      </c>
      <c r="C263" s="10" t="s">
        <v>190</v>
      </c>
      <c r="D263" s="11" t="n">
        <v>0.0069212962962963</v>
      </c>
      <c r="E263" s="18" t="n">
        <f aca="false">ROUND((D263-$D$5)*86400,2)</f>
        <v>58.98</v>
      </c>
      <c r="F263" s="12" t="n">
        <v>615</v>
      </c>
      <c r="G263" s="11" t="n">
        <f aca="false">IF(INDEX(選手一覧!$D$7:$D$2738,$F263)="","",INDEX(選手一覧!$D$7:$D$2738,$F263))</f>
        <v>0.0109090277777778</v>
      </c>
      <c r="H263" s="12" t="n">
        <f aca="false">IF(INDEX(選手一覧!$E$7:$E$2738,$F263)="","",INDEX(選手一覧!$E$7:$E$2738,$F263))</f>
        <v>937</v>
      </c>
      <c r="I263" s="11" t="n">
        <f aca="false">IF(INDEX(選手一覧!$H$7:$H$2738,$F263)="","",INDEX(選手一覧!$H$7:$H$2738,$F263))</f>
        <v>0.00285833333333333</v>
      </c>
      <c r="J263" s="12" t="n">
        <f aca="false">IF(INDEX(選手一覧!$I$7:$I$2738,$F263)="","",INDEX(選手一覧!$I$7:$I$2738,$F263))</f>
        <v>624</v>
      </c>
    </row>
    <row r="264" customFormat="false" ht="15" hidden="false" customHeight="false" outlineLevel="0" collapsed="false">
      <c r="A264" s="12" t="n">
        <v>260</v>
      </c>
      <c r="B264" s="10" t="s">
        <v>934</v>
      </c>
      <c r="C264" s="10" t="s">
        <v>295</v>
      </c>
      <c r="D264" s="11" t="n">
        <v>0.00692233796296296</v>
      </c>
      <c r="E264" s="18" t="n">
        <f aca="false">ROUND((D264-$D$5)*86400,2)</f>
        <v>59.07</v>
      </c>
      <c r="F264" s="12" t="n">
        <v>619</v>
      </c>
      <c r="G264" s="11" t="str">
        <f aca="false">IF(INDEX(選手一覧!$D$7:$D$2738,$F264)="","",INDEX(選手一覧!$D$7:$D$2738,$F264))</f>
        <v/>
      </c>
      <c r="H264" s="12" t="str">
        <f aca="false">IF(INDEX(選手一覧!$E$7:$E$2738,$F264)="","",INDEX(選手一覧!$E$7:$E$2738,$F264))</f>
        <v/>
      </c>
      <c r="I264" s="11" t="str">
        <f aca="false">IF(INDEX(選手一覧!$H$7:$H$2738,$F264)="","",INDEX(選手一覧!$H$7:$H$2738,$F264))</f>
        <v/>
      </c>
      <c r="J264" s="12" t="str">
        <f aca="false">IF(INDEX(選手一覧!$I$7:$I$2738,$F264)="","",INDEX(選手一覧!$I$7:$I$2738,$F264))</f>
        <v/>
      </c>
    </row>
    <row r="265" customFormat="false" ht="15" hidden="false" customHeight="false" outlineLevel="0" collapsed="false">
      <c r="A265" s="12" t="n">
        <v>261</v>
      </c>
      <c r="B265" s="10" t="s">
        <v>937</v>
      </c>
      <c r="C265" s="10" t="s">
        <v>938</v>
      </c>
      <c r="D265" s="11" t="n">
        <v>0.00692268518518519</v>
      </c>
      <c r="E265" s="18" t="n">
        <f aca="false">ROUND((D265-$D$5)*86400,2)</f>
        <v>59.1</v>
      </c>
      <c r="F265" s="12" t="n">
        <v>622</v>
      </c>
      <c r="G265" s="11" t="str">
        <f aca="false">IF(INDEX(選手一覧!$D$7:$D$2738,$F265)="","",INDEX(選手一覧!$D$7:$D$2738,$F265))</f>
        <v/>
      </c>
      <c r="H265" s="12" t="str">
        <f aca="false">IF(INDEX(選手一覧!$E$7:$E$2738,$F265)="","",INDEX(選手一覧!$E$7:$E$2738,$F265))</f>
        <v/>
      </c>
      <c r="I265" s="11" t="n">
        <f aca="false">IF(INDEX(選手一覧!$H$7:$H$2738,$F265)="","",INDEX(選手一覧!$H$7:$H$2738,$F265))</f>
        <v>0.00291805555555556</v>
      </c>
      <c r="J265" s="12" t="n">
        <f aca="false">IF(INDEX(選手一覧!$I$7:$I$2738,$F265)="","",INDEX(選手一覧!$I$7:$I$2738,$F265))</f>
        <v>1076</v>
      </c>
    </row>
    <row r="266" customFormat="false" ht="15" hidden="false" customHeight="false" outlineLevel="0" collapsed="false">
      <c r="A266" s="12" t="n">
        <v>262</v>
      </c>
      <c r="B266" s="10" t="s">
        <v>941</v>
      </c>
      <c r="C266" s="10" t="s">
        <v>564</v>
      </c>
      <c r="D266" s="11" t="n">
        <v>0.00692280092592593</v>
      </c>
      <c r="E266" s="18" t="n">
        <f aca="false">ROUND((D266-$D$5)*86400,2)</f>
        <v>59.11</v>
      </c>
      <c r="F266" s="12" t="n">
        <v>625</v>
      </c>
      <c r="G266" s="11" t="str">
        <f aca="false">IF(INDEX(選手一覧!$D$7:$D$2738,$F266)="","",INDEX(選手一覧!$D$7:$D$2738,$F266))</f>
        <v/>
      </c>
      <c r="H266" s="12" t="str">
        <f aca="false">IF(INDEX(選手一覧!$E$7:$E$2738,$F266)="","",INDEX(選手一覧!$E$7:$E$2738,$F266))</f>
        <v/>
      </c>
      <c r="I266" s="11" t="str">
        <f aca="false">IF(INDEX(選手一覧!$H$7:$H$2738,$F266)="","",INDEX(選手一覧!$H$7:$H$2738,$F266))</f>
        <v/>
      </c>
      <c r="J266" s="12" t="str">
        <f aca="false">IF(INDEX(選手一覧!$I$7:$I$2738,$F266)="","",INDEX(選手一覧!$I$7:$I$2738,$F266))</f>
        <v/>
      </c>
    </row>
    <row r="267" customFormat="false" ht="15" hidden="false" customHeight="false" outlineLevel="0" collapsed="false">
      <c r="A267" s="12" t="n">
        <v>263</v>
      </c>
      <c r="B267" s="10" t="s">
        <v>944</v>
      </c>
      <c r="C267" s="10" t="s">
        <v>945</v>
      </c>
      <c r="D267" s="11" t="n">
        <v>0.00692361111111111</v>
      </c>
      <c r="E267" s="18" t="n">
        <f aca="false">ROUND((D267-$D$5)*86400,2)</f>
        <v>59.18</v>
      </c>
      <c r="F267" s="12" t="n">
        <v>628</v>
      </c>
      <c r="G267" s="11" t="str">
        <f aca="false">IF(INDEX(選手一覧!$D$7:$D$2738,$F267)="","",INDEX(選手一覧!$D$7:$D$2738,$F267))</f>
        <v/>
      </c>
      <c r="H267" s="12" t="str">
        <f aca="false">IF(INDEX(選手一覧!$E$7:$E$2738,$F267)="","",INDEX(選手一覧!$E$7:$E$2738,$F267))</f>
        <v/>
      </c>
      <c r="I267" s="11" t="str">
        <f aca="false">IF(INDEX(選手一覧!$H$7:$H$2738,$F267)="","",INDEX(選手一覧!$H$7:$H$2738,$F267))</f>
        <v/>
      </c>
      <c r="J267" s="12" t="str">
        <f aca="false">IF(INDEX(選手一覧!$I$7:$I$2738,$F267)="","",INDEX(選手一覧!$I$7:$I$2738,$F267))</f>
        <v/>
      </c>
    </row>
    <row r="268" customFormat="false" ht="15" hidden="false" customHeight="false" outlineLevel="0" collapsed="false">
      <c r="A268" s="12" t="n">
        <v>264</v>
      </c>
      <c r="B268" s="10" t="s">
        <v>948</v>
      </c>
      <c r="C268" s="10" t="s">
        <v>949</v>
      </c>
      <c r="D268" s="11" t="n">
        <v>0.00692488425925926</v>
      </c>
      <c r="E268" s="18" t="n">
        <f aca="false">ROUND((D268-$D$5)*86400,2)</f>
        <v>59.29</v>
      </c>
      <c r="F268" s="12" t="n">
        <v>630</v>
      </c>
      <c r="G268" s="11" t="str">
        <f aca="false">IF(INDEX(選手一覧!$D$7:$D$2738,$F268)="","",INDEX(選手一覧!$D$7:$D$2738,$F268))</f>
        <v/>
      </c>
      <c r="H268" s="12" t="str">
        <f aca="false">IF(INDEX(選手一覧!$E$7:$E$2738,$F268)="","",INDEX(選手一覧!$E$7:$E$2738,$F268))</f>
        <v/>
      </c>
      <c r="I268" s="11" t="str">
        <f aca="false">IF(INDEX(選手一覧!$H$7:$H$2738,$F268)="","",INDEX(選手一覧!$H$7:$H$2738,$F268))</f>
        <v/>
      </c>
      <c r="J268" s="12" t="str">
        <f aca="false">IF(INDEX(選手一覧!$I$7:$I$2738,$F268)="","",INDEX(選手一覧!$I$7:$I$2738,$F268))</f>
        <v/>
      </c>
    </row>
    <row r="269" customFormat="false" ht="15" hidden="false" customHeight="false" outlineLevel="0" collapsed="false">
      <c r="A269" s="12" t="n">
        <v>265</v>
      </c>
      <c r="B269" s="10" t="s">
        <v>951</v>
      </c>
      <c r="C269" s="10" t="s">
        <v>952</v>
      </c>
      <c r="D269" s="11" t="n">
        <v>0.00692604166666667</v>
      </c>
      <c r="E269" s="18" t="n">
        <f aca="false">ROUND((D269-$D$5)*86400,2)</f>
        <v>59.39</v>
      </c>
      <c r="F269" s="12" t="n">
        <v>632</v>
      </c>
      <c r="G269" s="11" t="str">
        <f aca="false">IF(INDEX(選手一覧!$D$7:$D$2738,$F269)="","",INDEX(選手一覧!$D$7:$D$2738,$F269))</f>
        <v/>
      </c>
      <c r="H269" s="12" t="str">
        <f aca="false">IF(INDEX(選手一覧!$E$7:$E$2738,$F269)="","",INDEX(選手一覧!$E$7:$E$2738,$F269))</f>
        <v/>
      </c>
      <c r="I269" s="11" t="str">
        <f aca="false">IF(INDEX(選手一覧!$H$7:$H$2738,$F269)="","",INDEX(選手一覧!$H$7:$H$2738,$F269))</f>
        <v/>
      </c>
      <c r="J269" s="12" t="str">
        <f aca="false">IF(INDEX(選手一覧!$I$7:$I$2738,$F269)="","",INDEX(選手一覧!$I$7:$I$2738,$F269))</f>
        <v/>
      </c>
    </row>
    <row r="270" customFormat="false" ht="15" hidden="false" customHeight="false" outlineLevel="0" collapsed="false">
      <c r="A270" s="12" t="n">
        <v>266</v>
      </c>
      <c r="B270" s="10" t="s">
        <v>670</v>
      </c>
      <c r="C270" s="10" t="s">
        <v>64</v>
      </c>
      <c r="D270" s="11" t="n">
        <v>0.00692604166666667</v>
      </c>
      <c r="E270" s="18" t="n">
        <f aca="false">ROUND((D270-$D$5)*86400,2)</f>
        <v>59.39</v>
      </c>
      <c r="F270" s="12" t="n">
        <v>427</v>
      </c>
      <c r="G270" s="11" t="n">
        <f aca="false">IF(INDEX(選手一覧!$D$7:$D$2738,$F270)="","",INDEX(選手一覧!$D$7:$D$2738,$F270))</f>
        <v>0.0103270833333333</v>
      </c>
      <c r="H270" s="12" t="n">
        <f aca="false">IF(INDEX(選手一覧!$E$7:$E$2738,$F270)="","",INDEX(選手一覧!$E$7:$E$2738,$F270))</f>
        <v>180</v>
      </c>
      <c r="I270" s="11" t="n">
        <f aca="false">IF(INDEX(選手一覧!$H$7:$H$2738,$F270)="","",INDEX(選手一覧!$H$7:$H$2738,$F270))</f>
        <v>0.00286608796296296</v>
      </c>
      <c r="J270" s="12" t="n">
        <f aca="false">IF(INDEX(選手一覧!$I$7:$I$2738,$F270)="","",INDEX(選手一覧!$I$7:$I$2738,$F270))</f>
        <v>670</v>
      </c>
    </row>
    <row r="271" customFormat="false" ht="15" hidden="false" customHeight="false" outlineLevel="0" collapsed="false">
      <c r="A271" s="12" t="n">
        <v>267</v>
      </c>
      <c r="B271" s="10" t="s">
        <v>956</v>
      </c>
      <c r="C271" s="10" t="s">
        <v>541</v>
      </c>
      <c r="D271" s="11" t="n">
        <v>0.00692696759259259</v>
      </c>
      <c r="E271" s="18" t="n">
        <f aca="false">ROUND((D271-$D$5)*86400,2)</f>
        <v>59.47</v>
      </c>
      <c r="F271" s="12" t="n">
        <v>635</v>
      </c>
      <c r="G271" s="11" t="n">
        <f aca="false">IF(INDEX(選手一覧!$D$7:$D$2738,$F271)="","",INDEX(選手一覧!$D$7:$D$2738,$F271))</f>
        <v>0.0109114583333333</v>
      </c>
      <c r="H271" s="12" t="n">
        <f aca="false">IF(INDEX(選手一覧!$E$7:$E$2738,$F271)="","",INDEX(選手一覧!$E$7:$E$2738,$F271))</f>
        <v>940</v>
      </c>
      <c r="I271" s="11" t="n">
        <f aca="false">IF(INDEX(選手一覧!$H$7:$H$2738,$F271)="","",INDEX(選手一覧!$H$7:$H$2738,$F271))</f>
        <v>0.00289166666666667</v>
      </c>
      <c r="J271" s="12" t="n">
        <f aca="false">IF(INDEX(選手一覧!$I$7:$I$2738,$F271)="","",INDEX(選手一覧!$I$7:$I$2738,$F271))</f>
        <v>884</v>
      </c>
    </row>
    <row r="272" customFormat="false" ht="15" hidden="false" customHeight="false" outlineLevel="0" collapsed="false">
      <c r="A272" s="12" t="n">
        <v>268</v>
      </c>
      <c r="B272" s="10" t="s">
        <v>958</v>
      </c>
      <c r="C272" s="10" t="s">
        <v>350</v>
      </c>
      <c r="D272" s="11" t="n">
        <v>0.0069275462962963</v>
      </c>
      <c r="E272" s="18" t="n">
        <f aca="false">ROUND((D272-$D$5)*86400,2)</f>
        <v>59.52</v>
      </c>
      <c r="F272" s="12" t="n">
        <v>637</v>
      </c>
      <c r="G272" s="11" t="str">
        <f aca="false">IF(INDEX(選手一覧!$D$7:$D$2738,$F272)="","",INDEX(選手一覧!$D$7:$D$2738,$F272))</f>
        <v/>
      </c>
      <c r="H272" s="12" t="str">
        <f aca="false">IF(INDEX(選手一覧!$E$7:$E$2738,$F272)="","",INDEX(選手一覧!$E$7:$E$2738,$F272))</f>
        <v/>
      </c>
      <c r="I272" s="11" t="str">
        <f aca="false">IF(INDEX(選手一覧!$H$7:$H$2738,$F272)="","",INDEX(選手一覧!$H$7:$H$2738,$F272))</f>
        <v/>
      </c>
      <c r="J272" s="12" t="str">
        <f aca="false">IF(INDEX(選手一覧!$I$7:$I$2738,$F272)="","",INDEX(選手一覧!$I$7:$I$2738,$F272))</f>
        <v/>
      </c>
    </row>
    <row r="273" customFormat="false" ht="15" hidden="false" customHeight="false" outlineLevel="0" collapsed="false">
      <c r="A273" s="12" t="n">
        <v>269</v>
      </c>
      <c r="B273" s="10" t="s">
        <v>960</v>
      </c>
      <c r="C273" s="10" t="s">
        <v>658</v>
      </c>
      <c r="D273" s="11" t="n">
        <v>0.0069287037037037</v>
      </c>
      <c r="E273" s="18" t="n">
        <f aca="false">ROUND((D273-$D$5)*86400,2)</f>
        <v>59.62</v>
      </c>
      <c r="F273" s="12" t="n">
        <v>639</v>
      </c>
      <c r="G273" s="11" t="str">
        <f aca="false">IF(INDEX(選手一覧!$D$7:$D$2738,$F273)="","",INDEX(選手一覧!$D$7:$D$2738,$F273))</f>
        <v/>
      </c>
      <c r="H273" s="12" t="str">
        <f aca="false">IF(INDEX(選手一覧!$E$7:$E$2738,$F273)="","",INDEX(選手一覧!$E$7:$E$2738,$F273))</f>
        <v/>
      </c>
      <c r="I273" s="11" t="str">
        <f aca="false">IF(INDEX(選手一覧!$H$7:$H$2738,$F273)="","",INDEX(選手一覧!$H$7:$H$2738,$F273))</f>
        <v/>
      </c>
      <c r="J273" s="12" t="str">
        <f aca="false">IF(INDEX(選手一覧!$I$7:$I$2738,$F273)="","",INDEX(選手一覧!$I$7:$I$2738,$F273))</f>
        <v/>
      </c>
    </row>
    <row r="274" customFormat="false" ht="15" hidden="false" customHeight="false" outlineLevel="0" collapsed="false">
      <c r="A274" s="12" t="n">
        <v>270</v>
      </c>
      <c r="B274" s="10" t="s">
        <v>962</v>
      </c>
      <c r="C274" s="10" t="s">
        <v>963</v>
      </c>
      <c r="D274" s="11" t="n">
        <v>0.00692916666666667</v>
      </c>
      <c r="E274" s="18" t="n">
        <f aca="false">ROUND((D274-$D$5)*86400,2)</f>
        <v>59.66</v>
      </c>
      <c r="F274" s="12" t="n">
        <v>641</v>
      </c>
      <c r="G274" s="11" t="str">
        <f aca="false">IF(INDEX(選手一覧!$D$7:$D$2738,$F274)="","",INDEX(選手一覧!$D$7:$D$2738,$F274))</f>
        <v/>
      </c>
      <c r="H274" s="12" t="str">
        <f aca="false">IF(INDEX(選手一覧!$E$7:$E$2738,$F274)="","",INDEX(選手一覧!$E$7:$E$2738,$F274))</f>
        <v/>
      </c>
      <c r="I274" s="11" t="str">
        <f aca="false">IF(INDEX(選手一覧!$H$7:$H$2738,$F274)="","",INDEX(選手一覧!$H$7:$H$2738,$F274))</f>
        <v/>
      </c>
      <c r="J274" s="12" t="str">
        <f aca="false">IF(INDEX(選手一覧!$I$7:$I$2738,$F274)="","",INDEX(選手一覧!$I$7:$I$2738,$F274))</f>
        <v/>
      </c>
    </row>
    <row r="275" customFormat="false" ht="15" hidden="false" customHeight="false" outlineLevel="0" collapsed="false">
      <c r="A275" s="12" t="n">
        <v>271</v>
      </c>
      <c r="B275" s="10" t="s">
        <v>804</v>
      </c>
      <c r="C275" s="10" t="s">
        <v>341</v>
      </c>
      <c r="D275" s="11" t="n">
        <v>0.00692916666666667</v>
      </c>
      <c r="E275" s="18" t="n">
        <f aca="false">ROUND((D275-$D$5)*86400,2)</f>
        <v>59.66</v>
      </c>
      <c r="F275" s="12" t="n">
        <v>525</v>
      </c>
      <c r="G275" s="11" t="str">
        <f aca="false">IF(INDEX(選手一覧!$D$7:$D$2738,$F275)="","",INDEX(選手一覧!$D$7:$D$2738,$F275))</f>
        <v/>
      </c>
      <c r="H275" s="12" t="str">
        <f aca="false">IF(INDEX(選手一覧!$E$7:$E$2738,$F275)="","",INDEX(選手一覧!$E$7:$E$2738,$F275))</f>
        <v/>
      </c>
      <c r="I275" s="11" t="n">
        <f aca="false">IF(INDEX(選手一覧!$H$7:$H$2738,$F275)="","",INDEX(選手一覧!$H$7:$H$2738,$F275))</f>
        <v>0.00278564814814815</v>
      </c>
      <c r="J275" s="12" t="n">
        <f aca="false">IF(INDEX(選手一覧!$I$7:$I$2738,$F275)="","",INDEX(選手一覧!$I$7:$I$2738,$F275))</f>
        <v>220</v>
      </c>
    </row>
    <row r="276" customFormat="false" ht="15" hidden="false" customHeight="false" outlineLevel="0" collapsed="false">
      <c r="A276" s="12" t="n">
        <v>272</v>
      </c>
      <c r="B276" s="10" t="s">
        <v>968</v>
      </c>
      <c r="C276" s="10" t="s">
        <v>969</v>
      </c>
      <c r="D276" s="11" t="n">
        <v>0.00692986111111111</v>
      </c>
      <c r="E276" s="18" t="n">
        <f aca="false">ROUND((D276-$D$5)*86400,2)</f>
        <v>59.72</v>
      </c>
      <c r="F276" s="12" t="n">
        <v>645</v>
      </c>
      <c r="G276" s="11" t="str">
        <f aca="false">IF(INDEX(選手一覧!$D$7:$D$2738,$F276)="","",INDEX(選手一覧!$D$7:$D$2738,$F276))</f>
        <v/>
      </c>
      <c r="H276" s="12" t="str">
        <f aca="false">IF(INDEX(選手一覧!$E$7:$E$2738,$F276)="","",INDEX(選手一覧!$E$7:$E$2738,$F276))</f>
        <v/>
      </c>
      <c r="I276" s="11" t="str">
        <f aca="false">IF(INDEX(選手一覧!$H$7:$H$2738,$F276)="","",INDEX(選手一覧!$H$7:$H$2738,$F276))</f>
        <v/>
      </c>
      <c r="J276" s="12" t="str">
        <f aca="false">IF(INDEX(選手一覧!$I$7:$I$2738,$F276)="","",INDEX(選手一覧!$I$7:$I$2738,$F276))</f>
        <v/>
      </c>
    </row>
    <row r="277" customFormat="false" ht="15" hidden="false" customHeight="false" outlineLevel="0" collapsed="false">
      <c r="A277" s="12" t="n">
        <v>273</v>
      </c>
      <c r="B277" s="10" t="s">
        <v>970</v>
      </c>
      <c r="C277" s="10" t="s">
        <v>72</v>
      </c>
      <c r="D277" s="11" t="n">
        <v>0.00692986111111111</v>
      </c>
      <c r="E277" s="18" t="n">
        <f aca="false">ROUND((D277-$D$5)*86400,2)</f>
        <v>59.72</v>
      </c>
      <c r="F277" s="12" t="n">
        <v>646</v>
      </c>
      <c r="G277" s="11" t="n">
        <f aca="false">IF(INDEX(選手一覧!$D$7:$D$2738,$F277)="","",INDEX(選手一覧!$D$7:$D$2738,$F277))</f>
        <v>0.0108023148148148</v>
      </c>
      <c r="H277" s="12" t="n">
        <f aca="false">IF(INDEX(選手一覧!$E$7:$E$2738,$F277)="","",INDEX(選手一覧!$E$7:$E$2738,$F277))</f>
        <v>747</v>
      </c>
      <c r="I277" s="11" t="n">
        <f aca="false">IF(INDEX(選手一覧!$H$7:$H$2738,$F277)="","",INDEX(選手一覧!$H$7:$H$2738,$F277))</f>
        <v>0.00288194444444444</v>
      </c>
      <c r="J277" s="12" t="n">
        <f aca="false">IF(INDEX(選手一覧!$I$7:$I$2738,$F277)="","",INDEX(選手一覧!$I$7:$I$2738,$F277))</f>
        <v>791</v>
      </c>
    </row>
    <row r="278" customFormat="false" ht="15" hidden="false" customHeight="false" outlineLevel="0" collapsed="false">
      <c r="A278" s="12" t="n">
        <v>274</v>
      </c>
      <c r="B278" s="10" t="s">
        <v>694</v>
      </c>
      <c r="C278" s="10" t="s">
        <v>695</v>
      </c>
      <c r="D278" s="11" t="n">
        <v>0.00693090277777778</v>
      </c>
      <c r="E278" s="18" t="n">
        <f aca="false">ROUND((D278-$D$5)*86400,2)</f>
        <v>59.81</v>
      </c>
      <c r="F278" s="12" t="n">
        <v>445</v>
      </c>
      <c r="G278" s="11" t="n">
        <f aca="false">IF(INDEX(選手一覧!$D$7:$D$2738,$F278)="","",INDEX(選手一覧!$D$7:$D$2738,$F278))</f>
        <v>0.0103375</v>
      </c>
      <c r="H278" s="12" t="n">
        <f aca="false">IF(INDEX(選手一覧!$E$7:$E$2738,$F278)="","",INDEX(選手一覧!$E$7:$E$2738,$F278))</f>
        <v>187</v>
      </c>
      <c r="I278" s="11" t="n">
        <f aca="false">IF(INDEX(選手一覧!$H$7:$H$2738,$F278)="","",INDEX(選手一覧!$H$7:$H$2738,$F278))</f>
        <v>0.00290196759259259</v>
      </c>
      <c r="J278" s="12" t="n">
        <f aca="false">IF(INDEX(選手一覧!$I$7:$I$2738,$F278)="","",INDEX(選手一覧!$I$7:$I$2738,$F278))</f>
        <v>964</v>
      </c>
    </row>
    <row r="279" customFormat="false" ht="15" hidden="false" customHeight="false" outlineLevel="0" collapsed="false">
      <c r="A279" s="12" t="n">
        <v>275</v>
      </c>
      <c r="B279" s="10" t="s">
        <v>975</v>
      </c>
      <c r="C279" s="10" t="s">
        <v>605</v>
      </c>
      <c r="D279" s="11" t="n">
        <v>0.00693159722222222</v>
      </c>
      <c r="E279" s="18" t="n">
        <f aca="false">ROUND((D279-$D$5)*86400,2)</f>
        <v>59.87</v>
      </c>
      <c r="F279" s="12" t="n">
        <v>650</v>
      </c>
      <c r="G279" s="11" t="str">
        <f aca="false">IF(INDEX(選手一覧!$D$7:$D$2738,$F279)="","",INDEX(選手一覧!$D$7:$D$2738,$F279))</f>
        <v/>
      </c>
      <c r="H279" s="12" t="str">
        <f aca="false">IF(INDEX(選手一覧!$E$7:$E$2738,$F279)="","",INDEX(選手一覧!$E$7:$E$2738,$F279))</f>
        <v/>
      </c>
      <c r="I279" s="11" t="str">
        <f aca="false">IF(INDEX(選手一覧!$H$7:$H$2738,$F279)="","",INDEX(選手一覧!$H$7:$H$2738,$F279))</f>
        <v/>
      </c>
      <c r="J279" s="12" t="str">
        <f aca="false">IF(INDEX(選手一覧!$I$7:$I$2738,$F279)="","",INDEX(選手一覧!$I$7:$I$2738,$F279))</f>
        <v/>
      </c>
    </row>
    <row r="280" customFormat="false" ht="15" hidden="false" customHeight="false" outlineLevel="0" collapsed="false">
      <c r="A280" s="12" t="n">
        <v>276</v>
      </c>
      <c r="B280" s="10" t="s">
        <v>978</v>
      </c>
      <c r="C280" s="10" t="s">
        <v>521</v>
      </c>
      <c r="D280" s="11" t="n">
        <v>0.00693333333333333</v>
      </c>
      <c r="E280" s="18" t="n">
        <f aca="false">ROUND((D280-$D$5)*86400,2)</f>
        <v>60.02</v>
      </c>
      <c r="F280" s="12" t="n">
        <v>653</v>
      </c>
      <c r="G280" s="11" t="str">
        <f aca="false">IF(INDEX(選手一覧!$D$7:$D$2738,$F280)="","",INDEX(選手一覧!$D$7:$D$2738,$F280))</f>
        <v/>
      </c>
      <c r="H280" s="12" t="str">
        <f aca="false">IF(INDEX(選手一覧!$E$7:$E$2738,$F280)="","",INDEX(選手一覧!$E$7:$E$2738,$F280))</f>
        <v/>
      </c>
      <c r="I280" s="11" t="str">
        <f aca="false">IF(INDEX(選手一覧!$H$7:$H$2738,$F280)="","",INDEX(選手一覧!$H$7:$H$2738,$F280))</f>
        <v/>
      </c>
      <c r="J280" s="12" t="str">
        <f aca="false">IF(INDEX(選手一覧!$I$7:$I$2738,$F280)="","",INDEX(選手一覧!$I$7:$I$2738,$F280))</f>
        <v/>
      </c>
    </row>
    <row r="281" customFormat="false" ht="15" hidden="false" customHeight="false" outlineLevel="0" collapsed="false">
      <c r="A281" s="12" t="n">
        <v>277</v>
      </c>
      <c r="B281" s="10" t="s">
        <v>980</v>
      </c>
      <c r="C281" s="10" t="s">
        <v>981</v>
      </c>
      <c r="D281" s="11" t="n">
        <v>0.00693425925925926</v>
      </c>
      <c r="E281" s="18" t="n">
        <f aca="false">ROUND((D281-$D$5)*86400,2)</f>
        <v>60.1</v>
      </c>
      <c r="F281" s="12" t="n">
        <v>655</v>
      </c>
      <c r="G281" s="11" t="str">
        <f aca="false">IF(INDEX(選手一覧!$D$7:$D$2738,$F281)="","",INDEX(選手一覧!$D$7:$D$2738,$F281))</f>
        <v/>
      </c>
      <c r="H281" s="12" t="str">
        <f aca="false">IF(INDEX(選手一覧!$E$7:$E$2738,$F281)="","",INDEX(選手一覧!$E$7:$E$2738,$F281))</f>
        <v/>
      </c>
      <c r="I281" s="11" t="str">
        <f aca="false">IF(INDEX(選手一覧!$H$7:$H$2738,$F281)="","",INDEX(選手一覧!$H$7:$H$2738,$F281))</f>
        <v/>
      </c>
      <c r="J281" s="12" t="str">
        <f aca="false">IF(INDEX(選手一覧!$I$7:$I$2738,$F281)="","",INDEX(選手一覧!$I$7:$I$2738,$F281))</f>
        <v/>
      </c>
    </row>
    <row r="282" customFormat="false" ht="15" hidden="false" customHeight="false" outlineLevel="0" collapsed="false">
      <c r="A282" s="12" t="n">
        <v>278</v>
      </c>
      <c r="B282" s="10" t="s">
        <v>606</v>
      </c>
      <c r="C282" s="10" t="s">
        <v>312</v>
      </c>
      <c r="D282" s="11" t="n">
        <v>0.00693576388888889</v>
      </c>
      <c r="E282" s="18" t="n">
        <f aca="false">ROUND((D282-$D$5)*86400,2)</f>
        <v>60.23</v>
      </c>
      <c r="F282" s="12" t="n">
        <v>383</v>
      </c>
      <c r="G282" s="11" t="n">
        <f aca="false">IF(INDEX(選手一覧!$D$7:$D$2738,$F282)="","",INDEX(選手一覧!$D$7:$D$2738,$F282))</f>
        <v>0.0103019675925926</v>
      </c>
      <c r="H282" s="12" t="n">
        <f aca="false">IF(INDEX(選手一覧!$E$7:$E$2738,$F282)="","",INDEX(選手一覧!$E$7:$E$2738,$F282))</f>
        <v>163</v>
      </c>
      <c r="I282" s="11" t="n">
        <f aca="false">IF(INDEX(選手一覧!$H$7:$H$2738,$F282)="","",INDEX(選手一覧!$H$7:$H$2738,$F282))</f>
        <v>0.00278275462962963</v>
      </c>
      <c r="J282" s="12" t="n">
        <f aca="false">IF(INDEX(選手一覧!$I$7:$I$2738,$F282)="","",INDEX(選手一覧!$I$7:$I$2738,$F282))</f>
        <v>212</v>
      </c>
    </row>
    <row r="283" customFormat="false" ht="15" hidden="false" customHeight="false" outlineLevel="0" collapsed="false">
      <c r="A283" s="12" t="n">
        <v>279</v>
      </c>
      <c r="B283" s="10" t="s">
        <v>984</v>
      </c>
      <c r="C283" s="10" t="s">
        <v>440</v>
      </c>
      <c r="D283" s="11" t="n">
        <v>0.00693668981481482</v>
      </c>
      <c r="E283" s="18" t="n">
        <f aca="false">ROUND((D283-$D$5)*86400,2)</f>
        <v>60.31</v>
      </c>
      <c r="F283" s="12" t="n">
        <v>657</v>
      </c>
      <c r="G283" s="11" t="str">
        <f aca="false">IF(INDEX(選手一覧!$D$7:$D$2738,$F283)="","",INDEX(選手一覧!$D$7:$D$2738,$F283))</f>
        <v/>
      </c>
      <c r="H283" s="12" t="str">
        <f aca="false">IF(INDEX(選手一覧!$E$7:$E$2738,$F283)="","",INDEX(選手一覧!$E$7:$E$2738,$F283))</f>
        <v/>
      </c>
      <c r="I283" s="11" t="str">
        <f aca="false">IF(INDEX(選手一覧!$H$7:$H$2738,$F283)="","",INDEX(選手一覧!$H$7:$H$2738,$F283))</f>
        <v/>
      </c>
      <c r="J283" s="12" t="str">
        <f aca="false">IF(INDEX(選手一覧!$I$7:$I$2738,$F283)="","",INDEX(選手一覧!$I$7:$I$2738,$F283))</f>
        <v/>
      </c>
    </row>
    <row r="284" customFormat="false" ht="15" hidden="false" customHeight="false" outlineLevel="0" collapsed="false">
      <c r="A284" s="12" t="n">
        <v>280</v>
      </c>
      <c r="B284" s="10" t="s">
        <v>565</v>
      </c>
      <c r="C284" s="10" t="s">
        <v>380</v>
      </c>
      <c r="D284" s="11" t="n">
        <v>0.00693680555555556</v>
      </c>
      <c r="E284" s="18" t="n">
        <f aca="false">ROUND((D284-$D$5)*86400,2)</f>
        <v>60.32</v>
      </c>
      <c r="F284" s="12" t="n">
        <v>354</v>
      </c>
      <c r="G284" s="11" t="n">
        <f aca="false">IF(INDEX(選手一覧!$D$7:$D$2738,$F284)="","",INDEX(選手一覧!$D$7:$D$2738,$F284))</f>
        <v>0.0102820601851852</v>
      </c>
      <c r="H284" s="12" t="n">
        <f aca="false">IF(INDEX(選手一覧!$E$7:$E$2738,$F284)="","",INDEX(選手一覧!$E$7:$E$2738,$F284))</f>
        <v>149</v>
      </c>
      <c r="I284" s="11" t="n">
        <f aca="false">IF(INDEX(選手一覧!$H$7:$H$2738,$F284)="","",INDEX(選手一覧!$H$7:$H$2738,$F284))</f>
        <v>0.00288113425925926</v>
      </c>
      <c r="J284" s="12" t="n">
        <f aca="false">IF(INDEX(選手一覧!$I$7:$I$2738,$F284)="","",INDEX(選手一覧!$I$7:$I$2738,$F284))</f>
        <v>778</v>
      </c>
    </row>
    <row r="285" customFormat="false" ht="15" hidden="false" customHeight="false" outlineLevel="0" collapsed="false">
      <c r="A285" s="12" t="n">
        <v>281</v>
      </c>
      <c r="B285" s="10" t="s">
        <v>990</v>
      </c>
      <c r="C285" s="10" t="s">
        <v>51</v>
      </c>
      <c r="D285" s="11" t="n">
        <v>0.00693865740740741</v>
      </c>
      <c r="E285" s="18" t="n">
        <f aca="false">ROUND((D285-$D$5)*86400,2)</f>
        <v>60.48</v>
      </c>
      <c r="F285" s="12" t="n">
        <v>661</v>
      </c>
      <c r="G285" s="11" t="str">
        <f aca="false">IF(INDEX(選手一覧!$D$7:$D$2738,$F285)="","",INDEX(選手一覧!$D$7:$D$2738,$F285))</f>
        <v/>
      </c>
      <c r="H285" s="12" t="str">
        <f aca="false">IF(INDEX(選手一覧!$E$7:$E$2738,$F285)="","",INDEX(選手一覧!$E$7:$E$2738,$F285))</f>
        <v/>
      </c>
      <c r="I285" s="11" t="n">
        <f aca="false">IF(INDEX(選手一覧!$H$7:$H$2738,$F285)="","",INDEX(選手一覧!$H$7:$H$2738,$F285))</f>
        <v>0.00288761574074074</v>
      </c>
      <c r="J285" s="12" t="n">
        <f aca="false">IF(INDEX(選手一覧!$I$7:$I$2738,$F285)="","",INDEX(選手一覧!$I$7:$I$2738,$F285))</f>
        <v>840</v>
      </c>
    </row>
    <row r="286" customFormat="false" ht="15" hidden="false" customHeight="false" outlineLevel="0" collapsed="false">
      <c r="A286" s="12" t="n">
        <v>282</v>
      </c>
      <c r="B286" s="10" t="s">
        <v>994</v>
      </c>
      <c r="C286" s="10" t="s">
        <v>995</v>
      </c>
      <c r="D286" s="11" t="n">
        <v>0.00693888888888889</v>
      </c>
      <c r="E286" s="18" t="n">
        <f aca="false">ROUND((D286-$D$5)*86400,2)</f>
        <v>60.5</v>
      </c>
      <c r="F286" s="12" t="n">
        <v>664</v>
      </c>
      <c r="G286" s="11" t="str">
        <f aca="false">IF(INDEX(選手一覧!$D$7:$D$2738,$F286)="","",INDEX(選手一覧!$D$7:$D$2738,$F286))</f>
        <v/>
      </c>
      <c r="H286" s="12" t="str">
        <f aca="false">IF(INDEX(選手一覧!$E$7:$E$2738,$F286)="","",INDEX(選手一覧!$E$7:$E$2738,$F286))</f>
        <v/>
      </c>
      <c r="I286" s="11" t="n">
        <f aca="false">IF(INDEX(選手一覧!$H$7:$H$2738,$F286)="","",INDEX(選手一覧!$H$7:$H$2738,$F286))</f>
        <v>0.00292488425925926</v>
      </c>
      <c r="J286" s="12" t="n">
        <f aca="false">IF(INDEX(選手一覧!$I$7:$I$2738,$F286)="","",INDEX(選手一覧!$I$7:$I$2738,$F286))</f>
        <v>1146</v>
      </c>
    </row>
    <row r="287" customFormat="false" ht="15" hidden="false" customHeight="false" outlineLevel="0" collapsed="false">
      <c r="A287" s="12" t="n">
        <v>283</v>
      </c>
      <c r="B287" s="10" t="s">
        <v>998</v>
      </c>
      <c r="C287" s="10" t="s">
        <v>999</v>
      </c>
      <c r="D287" s="11" t="n">
        <v>0.00694189814814815</v>
      </c>
      <c r="E287" s="18" t="n">
        <f aca="false">ROUND((D287-$D$5)*86400,2)</f>
        <v>60.76</v>
      </c>
      <c r="F287" s="12" t="n">
        <v>666</v>
      </c>
      <c r="G287" s="11" t="str">
        <f aca="false">IF(INDEX(選手一覧!$D$7:$D$2738,$F287)="","",INDEX(選手一覧!$D$7:$D$2738,$F287))</f>
        <v/>
      </c>
      <c r="H287" s="12" t="str">
        <f aca="false">IF(INDEX(選手一覧!$E$7:$E$2738,$F287)="","",INDEX(選手一覧!$E$7:$E$2738,$F287))</f>
        <v/>
      </c>
      <c r="I287" s="11" t="str">
        <f aca="false">IF(INDEX(選手一覧!$H$7:$H$2738,$F287)="","",INDEX(選手一覧!$H$7:$H$2738,$F287))</f>
        <v/>
      </c>
      <c r="J287" s="12" t="str">
        <f aca="false">IF(INDEX(選手一覧!$I$7:$I$2738,$F287)="","",INDEX(選手一覧!$I$7:$I$2738,$F287))</f>
        <v/>
      </c>
    </row>
    <row r="288" customFormat="false" ht="15" hidden="false" customHeight="false" outlineLevel="0" collapsed="false">
      <c r="A288" s="12" t="n">
        <v>284</v>
      </c>
      <c r="B288" s="10" t="s">
        <v>1001</v>
      </c>
      <c r="C288" s="10" t="s">
        <v>190</v>
      </c>
      <c r="D288" s="11" t="n">
        <v>0.00694768518518519</v>
      </c>
      <c r="E288" s="18" t="n">
        <f aca="false">ROUND((D288-$D$5)*86400,2)</f>
        <v>61.26</v>
      </c>
      <c r="F288" s="12" t="n">
        <v>668</v>
      </c>
      <c r="G288" s="11" t="str">
        <f aca="false">IF(INDEX(選手一覧!$D$7:$D$2738,$F288)="","",INDEX(選手一覧!$D$7:$D$2738,$F288))</f>
        <v/>
      </c>
      <c r="H288" s="12" t="str">
        <f aca="false">IF(INDEX(選手一覧!$E$7:$E$2738,$F288)="","",INDEX(選手一覧!$E$7:$E$2738,$F288))</f>
        <v/>
      </c>
      <c r="I288" s="11" t="str">
        <f aca="false">IF(INDEX(選手一覧!$H$7:$H$2738,$F288)="","",INDEX(選手一覧!$H$7:$H$2738,$F288))</f>
        <v/>
      </c>
      <c r="J288" s="12" t="str">
        <f aca="false">IF(INDEX(選手一覧!$I$7:$I$2738,$F288)="","",INDEX(選手一覧!$I$7:$I$2738,$F288))</f>
        <v/>
      </c>
    </row>
    <row r="289" customFormat="false" ht="15" hidden="false" customHeight="false" outlineLevel="0" collapsed="false">
      <c r="A289" s="12" t="n">
        <v>285</v>
      </c>
      <c r="B289" s="10" t="s">
        <v>1004</v>
      </c>
      <c r="C289" s="10" t="s">
        <v>1005</v>
      </c>
      <c r="D289" s="11" t="n">
        <v>0.00695023148148148</v>
      </c>
      <c r="E289" s="18" t="n">
        <f aca="false">ROUND((D289-$D$5)*86400,2)</f>
        <v>61.48</v>
      </c>
      <c r="F289" s="12" t="n">
        <v>671</v>
      </c>
      <c r="G289" s="11" t="n">
        <f aca="false">IF(INDEX(選手一覧!$D$7:$D$2738,$F289)="","",INDEX(選手一覧!$D$7:$D$2738,$F289))</f>
        <v>0.0109489583333333</v>
      </c>
      <c r="H289" s="12" t="n">
        <f aca="false">IF(INDEX(選手一覧!$E$7:$E$2738,$F289)="","",INDEX(選手一覧!$E$7:$E$2738,$F289))</f>
        <v>995</v>
      </c>
      <c r="I289" s="11" t="str">
        <f aca="false">IF(INDEX(選手一覧!$H$7:$H$2738,$F289)="","",INDEX(選手一覧!$H$7:$H$2738,$F289))</f>
        <v/>
      </c>
      <c r="J289" s="12" t="str">
        <f aca="false">IF(INDEX(選手一覧!$I$7:$I$2738,$F289)="","",INDEX(選手一覧!$I$7:$I$2738,$F289))</f>
        <v/>
      </c>
    </row>
    <row r="290" customFormat="false" ht="15" hidden="false" customHeight="false" outlineLevel="0" collapsed="false">
      <c r="A290" s="12" t="n">
        <v>286</v>
      </c>
      <c r="B290" s="10" t="s">
        <v>1006</v>
      </c>
      <c r="C290" s="10" t="s">
        <v>1007</v>
      </c>
      <c r="D290" s="11" t="n">
        <v>0.00695127314814815</v>
      </c>
      <c r="E290" s="18" t="n">
        <f aca="false">ROUND((D290-$D$5)*86400,2)</f>
        <v>61.57</v>
      </c>
      <c r="F290" s="12" t="n">
        <v>672</v>
      </c>
      <c r="G290" s="11" t="str">
        <f aca="false">IF(INDEX(選手一覧!$D$7:$D$2738,$F290)="","",INDEX(選手一覧!$D$7:$D$2738,$F290))</f>
        <v/>
      </c>
      <c r="H290" s="12" t="str">
        <f aca="false">IF(INDEX(選手一覧!$E$7:$E$2738,$F290)="","",INDEX(選手一覧!$E$7:$E$2738,$F290))</f>
        <v/>
      </c>
      <c r="I290" s="11" t="n">
        <f aca="false">IF(INDEX(選手一覧!$H$7:$H$2738,$F290)="","",INDEX(選手一覧!$H$7:$H$2738,$F290))</f>
        <v>0.00286909722222222</v>
      </c>
      <c r="J290" s="12" t="n">
        <f aca="false">IF(INDEX(選手一覧!$I$7:$I$2738,$F290)="","",INDEX(選手一覧!$I$7:$I$2738,$F290))</f>
        <v>688</v>
      </c>
    </row>
    <row r="291" customFormat="false" ht="15" hidden="false" customHeight="false" outlineLevel="0" collapsed="false">
      <c r="A291" s="12" t="n">
        <v>287</v>
      </c>
      <c r="B291" s="10" t="s">
        <v>1011</v>
      </c>
      <c r="C291" s="10" t="s">
        <v>457</v>
      </c>
      <c r="D291" s="11" t="n">
        <v>0.0069525462962963</v>
      </c>
      <c r="E291" s="18" t="n">
        <f aca="false">ROUND((D291-$D$5)*86400,2)</f>
        <v>61.68</v>
      </c>
      <c r="F291" s="12" t="n">
        <v>676</v>
      </c>
      <c r="G291" s="11" t="n">
        <f aca="false">IF(INDEX(選手一覧!$D$7:$D$2738,$F291)="","",INDEX(選手一覧!$D$7:$D$2738,$F291))</f>
        <v>0.011066087962963</v>
      </c>
      <c r="H291" s="12" t="n">
        <f aca="false">IF(INDEX(選手一覧!$E$7:$E$2738,$F291)="","",INDEX(選手一覧!$E$7:$E$2738,$F291))</f>
        <v>1227</v>
      </c>
      <c r="I291" s="11" t="str">
        <f aca="false">IF(INDEX(選手一覧!$H$7:$H$2738,$F291)="","",INDEX(選手一覧!$H$7:$H$2738,$F291))</f>
        <v/>
      </c>
      <c r="J291" s="12" t="str">
        <f aca="false">IF(INDEX(選手一覧!$I$7:$I$2738,$F291)="","",INDEX(選手一覧!$I$7:$I$2738,$F291))</f>
        <v/>
      </c>
    </row>
    <row r="292" customFormat="false" ht="15" hidden="false" customHeight="false" outlineLevel="0" collapsed="false">
      <c r="A292" s="12" t="n">
        <v>288</v>
      </c>
      <c r="B292" s="10" t="s">
        <v>1012</v>
      </c>
      <c r="C292" s="10" t="s">
        <v>437</v>
      </c>
      <c r="D292" s="11" t="n">
        <v>0.00695462962962963</v>
      </c>
      <c r="E292" s="18" t="n">
        <f aca="false">ROUND((D292-$D$5)*86400,2)</f>
        <v>61.86</v>
      </c>
      <c r="F292" s="12" t="n">
        <v>677</v>
      </c>
      <c r="G292" s="11" t="n">
        <f aca="false">IF(INDEX(選手一覧!$D$7:$D$2738,$F292)="","",INDEX(選手一覧!$D$7:$D$2738,$F292))</f>
        <v>0.0109219907407407</v>
      </c>
      <c r="H292" s="12" t="n">
        <f aca="false">IF(INDEX(選手一覧!$E$7:$E$2738,$F292)="","",INDEX(選手一覧!$E$7:$E$2738,$F292))</f>
        <v>952</v>
      </c>
      <c r="I292" s="11" t="n">
        <f aca="false">IF(INDEX(選手一覧!$H$7:$H$2738,$F292)="","",INDEX(選手一覧!$H$7:$H$2738,$F292))</f>
        <v>0.00287835648148148</v>
      </c>
      <c r="J292" s="12" t="n">
        <f aca="false">IF(INDEX(選手一覧!$I$7:$I$2738,$F292)="","",INDEX(選手一覧!$I$7:$I$2738,$F292))</f>
        <v>755</v>
      </c>
    </row>
    <row r="293" customFormat="false" ht="15" hidden="false" customHeight="false" outlineLevel="0" collapsed="false">
      <c r="A293" s="12" t="n">
        <v>289</v>
      </c>
      <c r="B293" s="10" t="s">
        <v>1015</v>
      </c>
      <c r="C293" s="10" t="s">
        <v>480</v>
      </c>
      <c r="D293" s="11" t="n">
        <v>0.00695462962962963</v>
      </c>
      <c r="E293" s="18" t="n">
        <f aca="false">ROUND((D293-$D$5)*86400,2)</f>
        <v>61.86</v>
      </c>
      <c r="F293" s="12" t="n">
        <v>680</v>
      </c>
      <c r="G293" s="11" t="n">
        <f aca="false">IF(INDEX(選手一覧!$D$7:$D$2738,$F293)="","",INDEX(選手一覧!$D$7:$D$2738,$F293))</f>
        <v>0.0109819444444445</v>
      </c>
      <c r="H293" s="12" t="n">
        <f aca="false">IF(INDEX(選手一覧!$E$7:$E$2738,$F293)="","",INDEX(選手一覧!$E$7:$E$2738,$F293))</f>
        <v>1062</v>
      </c>
      <c r="I293" s="11" t="n">
        <f aca="false">IF(INDEX(選手一覧!$H$7:$H$2738,$F293)="","",INDEX(選手一覧!$H$7:$H$2738,$F293))</f>
        <v>0.00284421296296296</v>
      </c>
      <c r="J293" s="12" t="n">
        <f aca="false">IF(INDEX(選手一覧!$I$7:$I$2738,$F293)="","",INDEX(選手一覧!$I$7:$I$2738,$F293))</f>
        <v>527</v>
      </c>
    </row>
    <row r="294" customFormat="false" ht="15" hidden="false" customHeight="false" outlineLevel="0" collapsed="false">
      <c r="A294" s="12" t="n">
        <v>290</v>
      </c>
      <c r="B294" s="10" t="s">
        <v>1017</v>
      </c>
      <c r="C294" s="10" t="s">
        <v>1018</v>
      </c>
      <c r="D294" s="11" t="n">
        <v>0.00695752314814815</v>
      </c>
      <c r="E294" s="18" t="n">
        <f aca="false">ROUND((D294-$D$5)*86400,2)</f>
        <v>62.11</v>
      </c>
      <c r="F294" s="12" t="n">
        <v>682</v>
      </c>
      <c r="G294" s="11" t="str">
        <f aca="false">IF(INDEX(選手一覧!$D$7:$D$2738,$F294)="","",INDEX(選手一覧!$D$7:$D$2738,$F294))</f>
        <v/>
      </c>
      <c r="H294" s="12" t="str">
        <f aca="false">IF(INDEX(選手一覧!$E$7:$E$2738,$F294)="","",INDEX(選手一覧!$E$7:$E$2738,$F294))</f>
        <v/>
      </c>
      <c r="I294" s="11" t="n">
        <f aca="false">IF(INDEX(選手一覧!$H$7:$H$2738,$F294)="","",INDEX(選手一覧!$H$7:$H$2738,$F294))</f>
        <v>0.00296608796296296</v>
      </c>
      <c r="J294" s="12" t="n">
        <f aca="false">IF(INDEX(選手一覧!$I$7:$I$2738,$F294)="","",INDEX(選手一覧!$I$7:$I$2738,$F294))</f>
        <v>1295</v>
      </c>
    </row>
    <row r="295" customFormat="false" ht="15" hidden="false" customHeight="false" outlineLevel="0" collapsed="false">
      <c r="A295" s="12" t="n">
        <v>291</v>
      </c>
      <c r="B295" s="10" t="s">
        <v>855</v>
      </c>
      <c r="C295" s="10" t="s">
        <v>363</v>
      </c>
      <c r="D295" s="11" t="n">
        <v>0.00695833333333333</v>
      </c>
      <c r="E295" s="18" t="n">
        <f aca="false">ROUND((D295-$D$5)*86400,2)</f>
        <v>62.18</v>
      </c>
      <c r="F295" s="12" t="n">
        <v>558</v>
      </c>
      <c r="G295" s="11" t="str">
        <f aca="false">IF(INDEX(選手一覧!$D$7:$D$2738,$F295)="","",INDEX(選手一覧!$D$7:$D$2738,$F295))</f>
        <v/>
      </c>
      <c r="H295" s="12" t="str">
        <f aca="false">IF(INDEX(選手一覧!$E$7:$E$2738,$F295)="","",INDEX(選手一覧!$E$7:$E$2738,$F295))</f>
        <v/>
      </c>
      <c r="I295" s="11" t="n">
        <f aca="false">IF(INDEX(選手一覧!$H$7:$H$2738,$F295)="","",INDEX(選手一覧!$H$7:$H$2738,$F295))</f>
        <v>0.00278819444444445</v>
      </c>
      <c r="J295" s="12" t="n">
        <f aca="false">IF(INDEX(選手一覧!$I$7:$I$2738,$F295)="","",INDEX(選手一覧!$I$7:$I$2738,$F295))</f>
        <v>234</v>
      </c>
    </row>
    <row r="296" customFormat="false" ht="15" hidden="false" customHeight="false" outlineLevel="0" collapsed="false">
      <c r="A296" s="12" t="n">
        <v>292</v>
      </c>
      <c r="B296" s="10" t="s">
        <v>1022</v>
      </c>
      <c r="C296" s="10" t="s">
        <v>1023</v>
      </c>
      <c r="D296" s="11" t="n">
        <v>0.00695972222222222</v>
      </c>
      <c r="E296" s="18" t="n">
        <f aca="false">ROUND((D296-$D$5)*86400,2)</f>
        <v>62.3</v>
      </c>
      <c r="F296" s="12" t="n">
        <v>685</v>
      </c>
      <c r="G296" s="11" t="str">
        <f aca="false">IF(INDEX(選手一覧!$D$7:$D$2738,$F296)="","",INDEX(選手一覧!$D$7:$D$2738,$F296))</f>
        <v/>
      </c>
      <c r="H296" s="12" t="str">
        <f aca="false">IF(INDEX(選手一覧!$E$7:$E$2738,$F296)="","",INDEX(選手一覧!$E$7:$E$2738,$F296))</f>
        <v/>
      </c>
      <c r="I296" s="11" t="str">
        <f aca="false">IF(INDEX(選手一覧!$H$7:$H$2738,$F296)="","",INDEX(選手一覧!$H$7:$H$2738,$F296))</f>
        <v/>
      </c>
      <c r="J296" s="12" t="str">
        <f aca="false">IF(INDEX(選手一覧!$I$7:$I$2738,$F296)="","",INDEX(選手一覧!$I$7:$I$2738,$F296))</f>
        <v/>
      </c>
    </row>
    <row r="297" customFormat="false" ht="15" hidden="false" customHeight="false" outlineLevel="0" collapsed="false">
      <c r="A297" s="12" t="n">
        <v>293</v>
      </c>
      <c r="B297" s="10" t="s">
        <v>1025</v>
      </c>
      <c r="C297" s="10" t="s">
        <v>149</v>
      </c>
      <c r="D297" s="11" t="n">
        <v>0.00695972222222222</v>
      </c>
      <c r="E297" s="18" t="n">
        <f aca="false">ROUND((D297-$D$5)*86400,2)</f>
        <v>62.3</v>
      </c>
      <c r="F297" s="12" t="n">
        <v>687</v>
      </c>
      <c r="G297" s="11" t="n">
        <f aca="false">IF(INDEX(選手一覧!$D$7:$D$2738,$F297)="","",INDEX(選手一覧!$D$7:$D$2738,$F297))</f>
        <v>0.0107398148148148</v>
      </c>
      <c r="H297" s="12" t="n">
        <f aca="false">IF(INDEX(選手一覧!$E$7:$E$2738,$F297)="","",INDEX(選手一覧!$E$7:$E$2738,$F297))</f>
        <v>652</v>
      </c>
      <c r="I297" s="11" t="n">
        <f aca="false">IF(INDEX(選手一覧!$H$7:$H$2738,$F297)="","",INDEX(選手一覧!$H$7:$H$2738,$F297))</f>
        <v>0.00288784722222222</v>
      </c>
      <c r="J297" s="12" t="n">
        <f aca="false">IF(INDEX(選手一覧!$I$7:$I$2738,$F297)="","",INDEX(選手一覧!$I$7:$I$2738,$F297))</f>
        <v>845</v>
      </c>
    </row>
    <row r="298" customFormat="false" ht="15" hidden="false" customHeight="false" outlineLevel="0" collapsed="false">
      <c r="A298" s="12" t="n">
        <v>294</v>
      </c>
      <c r="B298" s="10" t="s">
        <v>894</v>
      </c>
      <c r="C298" s="10" t="s">
        <v>45</v>
      </c>
      <c r="D298" s="11" t="n">
        <v>0.00696041666666667</v>
      </c>
      <c r="E298" s="18" t="n">
        <f aca="false">ROUND((D298-$D$5)*86400,2)</f>
        <v>62.36</v>
      </c>
      <c r="F298" s="12" t="n">
        <v>590</v>
      </c>
      <c r="G298" s="11" t="n">
        <f aca="false">IF(INDEX(選手一覧!$D$7:$D$2738,$F298)="","",INDEX(選手一覧!$D$7:$D$2738,$F298))</f>
        <v>0.010387962962963</v>
      </c>
      <c r="H298" s="12" t="n">
        <f aca="false">IF(INDEX(選手一覧!$E$7:$E$2738,$F298)="","",INDEX(選手一覧!$E$7:$E$2738,$F298))</f>
        <v>248</v>
      </c>
      <c r="I298" s="11" t="n">
        <f aca="false">IF(INDEX(選手一覧!$H$7:$H$2738,$F298)="","",INDEX(選手一覧!$H$7:$H$2738,$F298))</f>
        <v>0.00292326388888889</v>
      </c>
      <c r="J298" s="12" t="n">
        <f aca="false">IF(INDEX(選手一覧!$I$7:$I$2738,$F298)="","",INDEX(選手一覧!$I$7:$I$2738,$F298))</f>
        <v>1129</v>
      </c>
    </row>
    <row r="299" customFormat="false" ht="15" hidden="false" customHeight="false" outlineLevel="0" collapsed="false">
      <c r="A299" s="12" t="n">
        <v>295</v>
      </c>
      <c r="B299" s="10" t="s">
        <v>1029</v>
      </c>
      <c r="C299" s="10" t="s">
        <v>380</v>
      </c>
      <c r="D299" s="11" t="n">
        <v>0.00696180555555556</v>
      </c>
      <c r="E299" s="18" t="n">
        <f aca="false">ROUND((D299-$D$5)*86400,2)</f>
        <v>62.48</v>
      </c>
      <c r="F299" s="12" t="n">
        <v>690</v>
      </c>
      <c r="G299" s="11" t="n">
        <f aca="false">IF(INDEX(選手一覧!$D$7:$D$2738,$F299)="","",INDEX(選手一覧!$D$7:$D$2738,$F299))</f>
        <v>0.0108225694444445</v>
      </c>
      <c r="H299" s="12" t="n">
        <f aca="false">IF(INDEX(選手一覧!$E$7:$E$2738,$F299)="","",INDEX(選手一覧!$E$7:$E$2738,$F299))</f>
        <v>779</v>
      </c>
      <c r="I299" s="11" t="str">
        <f aca="false">IF(INDEX(選手一覧!$H$7:$H$2738,$F299)="","",INDEX(選手一覧!$H$7:$H$2738,$F299))</f>
        <v/>
      </c>
      <c r="J299" s="12" t="str">
        <f aca="false">IF(INDEX(選手一覧!$I$7:$I$2738,$F299)="","",INDEX(選手一覧!$I$7:$I$2738,$F299))</f>
        <v/>
      </c>
    </row>
    <row r="300" customFormat="false" ht="15" hidden="false" customHeight="false" outlineLevel="0" collapsed="false">
      <c r="A300" s="12" t="n">
        <v>296</v>
      </c>
      <c r="B300" s="10" t="s">
        <v>1031</v>
      </c>
      <c r="C300" s="10" t="s">
        <v>179</v>
      </c>
      <c r="D300" s="11" t="n">
        <v>0.00696284722222222</v>
      </c>
      <c r="E300" s="18" t="n">
        <f aca="false">ROUND((D300-$D$5)*86400,2)</f>
        <v>62.57</v>
      </c>
      <c r="F300" s="12" t="n">
        <v>692</v>
      </c>
      <c r="G300" s="11" t="n">
        <f aca="false">IF(INDEX(選手一覧!$D$7:$D$2738,$F300)="","",INDEX(選手一覧!$D$7:$D$2738,$F300))</f>
        <v>0.0105697916666667</v>
      </c>
      <c r="H300" s="12" t="n">
        <f aca="false">IF(INDEX(選手一覧!$E$7:$E$2738,$F300)="","",INDEX(選手一覧!$E$7:$E$2738,$F300))</f>
        <v>422</v>
      </c>
      <c r="I300" s="11" t="str">
        <f aca="false">IF(INDEX(選手一覧!$H$7:$H$2738,$F300)="","",INDEX(選手一覧!$H$7:$H$2738,$F300))</f>
        <v/>
      </c>
      <c r="J300" s="12" t="str">
        <f aca="false">IF(INDEX(選手一覧!$I$7:$I$2738,$F300)="","",INDEX(選手一覧!$I$7:$I$2738,$F300))</f>
        <v/>
      </c>
    </row>
    <row r="301" customFormat="false" ht="15" hidden="false" customHeight="false" outlineLevel="0" collapsed="false">
      <c r="A301" s="12" t="n">
        <v>297</v>
      </c>
      <c r="B301" s="10" t="s">
        <v>1032</v>
      </c>
      <c r="C301" s="10" t="s">
        <v>1033</v>
      </c>
      <c r="D301" s="11" t="n">
        <v>0.00696331018518519</v>
      </c>
      <c r="E301" s="18" t="n">
        <f aca="false">ROUND((D301-$D$5)*86400,2)</f>
        <v>62.61</v>
      </c>
      <c r="F301" s="12" t="n">
        <v>693</v>
      </c>
      <c r="G301" s="11" t="n">
        <f aca="false">IF(INDEX(選手一覧!$D$7:$D$2738,$F301)="","",INDEX(選手一覧!$D$7:$D$2738,$F301))</f>
        <v>0.0110798611111111</v>
      </c>
      <c r="H301" s="12" t="n">
        <f aca="false">IF(INDEX(選手一覧!$E$7:$E$2738,$F301)="","",INDEX(選手一覧!$E$7:$E$2738,$F301))</f>
        <v>1251</v>
      </c>
      <c r="I301" s="11" t="n">
        <f aca="false">IF(INDEX(選手一覧!$H$7:$H$2738,$F301)="","",INDEX(選手一覧!$H$7:$H$2738,$F301))</f>
        <v>0.00297743055555556</v>
      </c>
      <c r="J301" s="12" t="n">
        <f aca="false">IF(INDEX(選手一覧!$I$7:$I$2738,$F301)="","",INDEX(選手一覧!$I$7:$I$2738,$F301))</f>
        <v>1343</v>
      </c>
    </row>
    <row r="302" customFormat="false" ht="15" hidden="false" customHeight="false" outlineLevel="0" collapsed="false">
      <c r="A302" s="12" t="n">
        <v>298</v>
      </c>
      <c r="B302" s="10" t="s">
        <v>1037</v>
      </c>
      <c r="C302" s="10" t="s">
        <v>1038</v>
      </c>
      <c r="D302" s="11" t="n">
        <v>0.00696608796296296</v>
      </c>
      <c r="E302" s="18" t="n">
        <f aca="false">ROUND((D302-$D$5)*86400,2)</f>
        <v>62.85</v>
      </c>
      <c r="F302" s="12" t="n">
        <v>696</v>
      </c>
      <c r="G302" s="11" t="str">
        <f aca="false">IF(INDEX(選手一覧!$D$7:$D$2738,$F302)="","",INDEX(選手一覧!$D$7:$D$2738,$F302))</f>
        <v/>
      </c>
      <c r="H302" s="12" t="str">
        <f aca="false">IF(INDEX(選手一覧!$E$7:$E$2738,$F302)="","",INDEX(選手一覧!$E$7:$E$2738,$F302))</f>
        <v/>
      </c>
      <c r="I302" s="11" t="str">
        <f aca="false">IF(INDEX(選手一覧!$H$7:$H$2738,$F302)="","",INDEX(選手一覧!$H$7:$H$2738,$F302))</f>
        <v/>
      </c>
      <c r="J302" s="12" t="str">
        <f aca="false">IF(INDEX(選手一覧!$I$7:$I$2738,$F302)="","",INDEX(選手一覧!$I$7:$I$2738,$F302))</f>
        <v/>
      </c>
    </row>
    <row r="303" customFormat="false" ht="15" hidden="false" customHeight="false" outlineLevel="0" collapsed="false">
      <c r="A303" s="12" t="n">
        <v>299</v>
      </c>
      <c r="B303" s="10" t="s">
        <v>1041</v>
      </c>
      <c r="C303" s="10" t="s">
        <v>699</v>
      </c>
      <c r="D303" s="11" t="n">
        <v>0.00696678240740741</v>
      </c>
      <c r="E303" s="18" t="n">
        <f aca="false">ROUND((D303-$D$5)*86400,2)</f>
        <v>62.91</v>
      </c>
      <c r="F303" s="12" t="n">
        <v>698</v>
      </c>
      <c r="G303" s="11" t="str">
        <f aca="false">IF(INDEX(選手一覧!$D$7:$D$2738,$F303)="","",INDEX(選手一覧!$D$7:$D$2738,$F303))</f>
        <v/>
      </c>
      <c r="H303" s="12" t="str">
        <f aca="false">IF(INDEX(選手一覧!$E$7:$E$2738,$F303)="","",INDEX(選手一覧!$E$7:$E$2738,$F303))</f>
        <v/>
      </c>
      <c r="I303" s="11" t="n">
        <f aca="false">IF(INDEX(選手一覧!$H$7:$H$2738,$F303)="","",INDEX(選手一覧!$H$7:$H$2738,$F303))</f>
        <v>0.00283912037037037</v>
      </c>
      <c r="J303" s="12" t="n">
        <f aca="false">IF(INDEX(選手一覧!$I$7:$I$2738,$F303)="","",INDEX(選手一覧!$I$7:$I$2738,$F303))</f>
        <v>488</v>
      </c>
    </row>
    <row r="304" customFormat="false" ht="15" hidden="false" customHeight="false" outlineLevel="0" collapsed="false">
      <c r="A304" s="12" t="n">
        <v>300</v>
      </c>
      <c r="B304" s="10" t="s">
        <v>1045</v>
      </c>
      <c r="C304" s="10" t="s">
        <v>1046</v>
      </c>
      <c r="D304" s="11" t="n">
        <v>0.00696736111111111</v>
      </c>
      <c r="E304" s="18" t="n">
        <f aca="false">ROUND((D304-$D$5)*86400,2)</f>
        <v>62.96</v>
      </c>
      <c r="F304" s="12" t="n">
        <v>700</v>
      </c>
      <c r="G304" s="11" t="n">
        <f aca="false">IF(INDEX(選手一覧!$D$7:$D$2738,$F304)="","",INDEX(選手一覧!$D$7:$D$2738,$F304))</f>
        <v>0.0109041666666667</v>
      </c>
      <c r="H304" s="12" t="n">
        <f aca="false">IF(INDEX(選手一覧!$E$7:$E$2738,$F304)="","",INDEX(選手一覧!$E$7:$E$2738,$F304))</f>
        <v>926</v>
      </c>
      <c r="I304" s="11" t="str">
        <f aca="false">IF(INDEX(選手一覧!$H$7:$H$2738,$F304)="","",INDEX(選手一覧!$H$7:$H$2738,$F304))</f>
        <v/>
      </c>
      <c r="J304" s="12" t="str">
        <f aca="false">IF(INDEX(選手一覧!$I$7:$I$2738,$F304)="","",INDEX(選手一覧!$I$7:$I$2738,$F304))</f>
        <v/>
      </c>
    </row>
    <row r="305" customFormat="false" ht="15" hidden="false" customHeight="false" outlineLevel="0" collapsed="false">
      <c r="A305" s="12" t="n">
        <v>301</v>
      </c>
      <c r="B305" s="10" t="s">
        <v>1048</v>
      </c>
      <c r="C305" s="10" t="s">
        <v>128</v>
      </c>
      <c r="D305" s="11" t="n">
        <v>0.00696840277777778</v>
      </c>
      <c r="E305" s="18" t="n">
        <f aca="false">ROUND((D305-$D$5)*86400,2)</f>
        <v>63.05</v>
      </c>
      <c r="F305" s="12" t="n">
        <v>702</v>
      </c>
      <c r="G305" s="11" t="str">
        <f aca="false">IF(INDEX(選手一覧!$D$7:$D$2738,$F305)="","",INDEX(選手一覧!$D$7:$D$2738,$F305))</f>
        <v/>
      </c>
      <c r="H305" s="12" t="str">
        <f aca="false">IF(INDEX(選手一覧!$E$7:$E$2738,$F305)="","",INDEX(選手一覧!$E$7:$E$2738,$F305))</f>
        <v/>
      </c>
      <c r="I305" s="11" t="str">
        <f aca="false">IF(INDEX(選手一覧!$H$7:$H$2738,$F305)="","",INDEX(選手一覧!$H$7:$H$2738,$F305))</f>
        <v/>
      </c>
      <c r="J305" s="12" t="str">
        <f aca="false">IF(INDEX(選手一覧!$I$7:$I$2738,$F305)="","",INDEX(選手一覧!$I$7:$I$2738,$F305))</f>
        <v/>
      </c>
    </row>
    <row r="306" customFormat="false" ht="15" hidden="false" customHeight="false" outlineLevel="0" collapsed="false">
      <c r="A306" s="12" t="n">
        <v>302</v>
      </c>
      <c r="B306" s="10" t="s">
        <v>1052</v>
      </c>
      <c r="C306" s="10" t="s">
        <v>564</v>
      </c>
      <c r="D306" s="11" t="n">
        <v>0.00696851851851852</v>
      </c>
      <c r="E306" s="18" t="n">
        <f aca="false">ROUND((D306-$D$5)*86400,2)</f>
        <v>63.06</v>
      </c>
      <c r="F306" s="12" t="n">
        <v>705</v>
      </c>
      <c r="G306" s="11" t="str">
        <f aca="false">IF(INDEX(選手一覧!$D$7:$D$2738,$F306)="","",INDEX(選手一覧!$D$7:$D$2738,$F306))</f>
        <v/>
      </c>
      <c r="H306" s="12" t="str">
        <f aca="false">IF(INDEX(選手一覧!$E$7:$E$2738,$F306)="","",INDEX(選手一覧!$E$7:$E$2738,$F306))</f>
        <v/>
      </c>
      <c r="I306" s="11" t="str">
        <f aca="false">IF(INDEX(選手一覧!$H$7:$H$2738,$F306)="","",INDEX(選手一覧!$H$7:$H$2738,$F306))</f>
        <v/>
      </c>
      <c r="J306" s="12" t="str">
        <f aca="false">IF(INDEX(選手一覧!$I$7:$I$2738,$F306)="","",INDEX(選手一覧!$I$7:$I$2738,$F306))</f>
        <v/>
      </c>
    </row>
    <row r="307" customFormat="false" ht="15" hidden="false" customHeight="false" outlineLevel="0" collapsed="false">
      <c r="A307" s="12" t="n">
        <v>303</v>
      </c>
      <c r="B307" s="10" t="s">
        <v>1054</v>
      </c>
      <c r="C307" s="10" t="s">
        <v>1055</v>
      </c>
      <c r="D307" s="11" t="n">
        <v>0.00696886574074074</v>
      </c>
      <c r="E307" s="18" t="n">
        <f aca="false">ROUND((D307-$D$5)*86400,2)</f>
        <v>63.09</v>
      </c>
      <c r="F307" s="12" t="n">
        <v>707</v>
      </c>
      <c r="G307" s="11" t="n">
        <f aca="false">IF(INDEX(選手一覧!$D$7:$D$2738,$F307)="","",INDEX(選手一覧!$D$7:$D$2738,$F307))</f>
        <v>0.0110770833333333</v>
      </c>
      <c r="H307" s="12" t="n">
        <f aca="false">IF(INDEX(選手一覧!$E$7:$E$2738,$F307)="","",INDEX(選手一覧!$E$7:$E$2738,$F307))</f>
        <v>1245</v>
      </c>
      <c r="I307" s="11" t="n">
        <f aca="false">IF(INDEX(選手一覧!$H$7:$H$2738,$F307)="","",INDEX(選手一覧!$H$7:$H$2738,$F307))</f>
        <v>0.0028494212962963</v>
      </c>
      <c r="J307" s="12" t="n">
        <f aca="false">IF(INDEX(選手一覧!$I$7:$I$2738,$F307)="","",INDEX(選手一覧!$I$7:$I$2738,$F307))</f>
        <v>568</v>
      </c>
    </row>
    <row r="308" customFormat="false" ht="15" hidden="false" customHeight="false" outlineLevel="0" collapsed="false">
      <c r="A308" s="12" t="n">
        <v>304</v>
      </c>
      <c r="B308" s="10" t="s">
        <v>1056</v>
      </c>
      <c r="C308" s="10" t="s">
        <v>652</v>
      </c>
      <c r="D308" s="11" t="n">
        <v>0.00696898148148148</v>
      </c>
      <c r="E308" s="18" t="n">
        <f aca="false">ROUND((D308-$D$5)*86400,2)</f>
        <v>63.1</v>
      </c>
      <c r="F308" s="12" t="n">
        <v>708</v>
      </c>
      <c r="G308" s="11" t="n">
        <f aca="false">IF(INDEX(選手一覧!$D$7:$D$2738,$F308)="","",INDEX(選手一覧!$D$7:$D$2738,$F308))</f>
        <v>0.011041087962963</v>
      </c>
      <c r="H308" s="12" t="n">
        <f aca="false">IF(INDEX(選手一覧!$E$7:$E$2738,$F308)="","",INDEX(選手一覧!$E$7:$E$2738,$F308))</f>
        <v>1181</v>
      </c>
      <c r="I308" s="11" t="n">
        <f aca="false">IF(INDEX(選手一覧!$H$7:$H$2738,$F308)="","",INDEX(選手一覧!$H$7:$H$2738,$F308))</f>
        <v>0.00283356481481482</v>
      </c>
      <c r="J308" s="12" t="n">
        <f aca="false">IF(INDEX(選手一覧!$I$7:$I$2738,$F308)="","",INDEX(選手一覧!$I$7:$I$2738,$F308))</f>
        <v>447</v>
      </c>
    </row>
    <row r="309" customFormat="false" ht="15" hidden="false" customHeight="false" outlineLevel="0" collapsed="false">
      <c r="A309" s="12" t="n">
        <v>305</v>
      </c>
      <c r="B309" s="10" t="s">
        <v>1058</v>
      </c>
      <c r="C309" s="10" t="s">
        <v>1059</v>
      </c>
      <c r="D309" s="11" t="n">
        <v>0.00697002314814815</v>
      </c>
      <c r="E309" s="18" t="n">
        <f aca="false">ROUND((D309-$D$5)*86400,2)</f>
        <v>63.19</v>
      </c>
      <c r="F309" s="12" t="n">
        <v>710</v>
      </c>
      <c r="G309" s="11" t="n">
        <f aca="false">IF(INDEX(選手一覧!$D$7:$D$2738,$F309)="","",INDEX(選手一覧!$D$7:$D$2738,$F309))</f>
        <v>0.01098125</v>
      </c>
      <c r="H309" s="12" t="n">
        <f aca="false">IF(INDEX(選手一覧!$E$7:$E$2738,$F309)="","",INDEX(選手一覧!$E$7:$E$2738,$F309))</f>
        <v>1060</v>
      </c>
      <c r="I309" s="11" t="n">
        <f aca="false">IF(INDEX(選手一覧!$H$7:$H$2738,$F309)="","",INDEX(選手一覧!$H$7:$H$2738,$F309))</f>
        <v>0.00291550925925926</v>
      </c>
      <c r="J309" s="12" t="n">
        <f aca="false">IF(INDEX(選手一覧!$I$7:$I$2738,$F309)="","",INDEX(選手一覧!$I$7:$I$2738,$F309))</f>
        <v>1055</v>
      </c>
    </row>
    <row r="310" customFormat="false" ht="15" hidden="false" customHeight="false" outlineLevel="0" collapsed="false">
      <c r="A310" s="12" t="n">
        <v>306</v>
      </c>
      <c r="B310" s="10" t="s">
        <v>1060</v>
      </c>
      <c r="C310" s="10" t="s">
        <v>712</v>
      </c>
      <c r="D310" s="11" t="n">
        <v>0.00697106481481481</v>
      </c>
      <c r="E310" s="18" t="n">
        <f aca="false">ROUND((D310-$D$5)*86400,2)</f>
        <v>63.28</v>
      </c>
      <c r="F310" s="12" t="n">
        <v>711</v>
      </c>
      <c r="G310" s="11" t="n">
        <f aca="false">IF(INDEX(選手一覧!$D$7:$D$2738,$F310)="","",INDEX(選手一覧!$D$7:$D$2738,$F310))</f>
        <v>0.010500462962963</v>
      </c>
      <c r="H310" s="12" t="n">
        <f aca="false">IF(INDEX(選手一覧!$E$7:$E$2738,$F310)="","",INDEX(選手一覧!$E$7:$E$2738,$F310))</f>
        <v>341</v>
      </c>
      <c r="I310" s="11" t="str">
        <f aca="false">IF(INDEX(選手一覧!$H$7:$H$2738,$F310)="","",INDEX(選手一覧!$H$7:$H$2738,$F310))</f>
        <v/>
      </c>
      <c r="J310" s="12" t="str">
        <f aca="false">IF(INDEX(選手一覧!$I$7:$I$2738,$F310)="","",INDEX(選手一覧!$I$7:$I$2738,$F310))</f>
        <v/>
      </c>
    </row>
    <row r="311" customFormat="false" ht="15" hidden="false" customHeight="false" outlineLevel="0" collapsed="false">
      <c r="A311" s="12" t="n">
        <v>307</v>
      </c>
      <c r="B311" s="10" t="s">
        <v>1066</v>
      </c>
      <c r="C311" s="10" t="s">
        <v>1067</v>
      </c>
      <c r="D311" s="11" t="n">
        <v>0.0069712962962963</v>
      </c>
      <c r="E311" s="18" t="n">
        <f aca="false">ROUND((D311-$D$5)*86400,2)</f>
        <v>63.3</v>
      </c>
      <c r="F311" s="12" t="n">
        <v>715</v>
      </c>
      <c r="G311" s="11" t="str">
        <f aca="false">IF(INDEX(選手一覧!$D$7:$D$2738,$F311)="","",INDEX(選手一覧!$D$7:$D$2738,$F311))</f>
        <v/>
      </c>
      <c r="H311" s="12" t="str">
        <f aca="false">IF(INDEX(選手一覧!$E$7:$E$2738,$F311)="","",INDEX(選手一覧!$E$7:$E$2738,$F311))</f>
        <v/>
      </c>
      <c r="I311" s="11" t="n">
        <f aca="false">IF(INDEX(選手一覧!$H$7:$H$2738,$F311)="","",INDEX(選手一覧!$H$7:$H$2738,$F311))</f>
        <v>0.002840625</v>
      </c>
      <c r="J311" s="12" t="n">
        <f aca="false">IF(INDEX(選手一覧!$I$7:$I$2738,$F311)="","",INDEX(選手一覧!$I$7:$I$2738,$F311))</f>
        <v>502</v>
      </c>
    </row>
    <row r="312" customFormat="false" ht="15" hidden="false" customHeight="false" outlineLevel="0" collapsed="false">
      <c r="A312" s="12" t="n">
        <v>308</v>
      </c>
      <c r="B312" s="10" t="s">
        <v>524</v>
      </c>
      <c r="C312" s="10" t="s">
        <v>257</v>
      </c>
      <c r="D312" s="11" t="n">
        <v>0.00697407407407407</v>
      </c>
      <c r="E312" s="18" t="n">
        <f aca="false">ROUND((D312-$D$5)*86400,2)</f>
        <v>63.54</v>
      </c>
      <c r="F312" s="12" t="n">
        <v>325</v>
      </c>
      <c r="G312" s="11" t="n">
        <f aca="false">IF(INDEX(選手一覧!$D$7:$D$2738,$F312)="","",INDEX(選手一覧!$D$7:$D$2738,$F312))</f>
        <v>0.0102670138888889</v>
      </c>
      <c r="H312" s="12" t="n">
        <f aca="false">IF(INDEX(選手一覧!$E$7:$E$2738,$F312)="","",INDEX(選手一覧!$E$7:$E$2738,$F312))</f>
        <v>135</v>
      </c>
      <c r="I312" s="11" t="n">
        <f aca="false">IF(INDEX(選手一覧!$H$7:$H$2738,$F312)="","",INDEX(選手一覧!$H$7:$H$2738,$F312))</f>
        <v>0.00291087962962963</v>
      </c>
      <c r="J312" s="12" t="n">
        <f aca="false">IF(INDEX(選手一覧!$I$7:$I$2738,$F312)="","",INDEX(選手一覧!$I$7:$I$2738,$F312))</f>
        <v>1028</v>
      </c>
    </row>
    <row r="313" customFormat="false" ht="15" hidden="false" customHeight="false" outlineLevel="0" collapsed="false">
      <c r="A313" s="12" t="n">
        <v>309</v>
      </c>
      <c r="B313" s="10" t="s">
        <v>1072</v>
      </c>
      <c r="C313" s="10" t="s">
        <v>1073</v>
      </c>
      <c r="D313" s="11" t="n">
        <v>0.00697789351851852</v>
      </c>
      <c r="E313" s="18" t="n">
        <f aca="false">ROUND((D313-$D$5)*86400,2)</f>
        <v>63.87</v>
      </c>
      <c r="F313" s="12" t="n">
        <v>719</v>
      </c>
      <c r="G313" s="11" t="str">
        <f aca="false">IF(INDEX(選手一覧!$D$7:$D$2738,$F313)="","",INDEX(選手一覧!$D$7:$D$2738,$F313))</f>
        <v/>
      </c>
      <c r="H313" s="12" t="str">
        <f aca="false">IF(INDEX(選手一覧!$E$7:$E$2738,$F313)="","",INDEX(選手一覧!$E$7:$E$2738,$F313))</f>
        <v/>
      </c>
      <c r="I313" s="11" t="str">
        <f aca="false">IF(INDEX(選手一覧!$H$7:$H$2738,$F313)="","",INDEX(選手一覧!$H$7:$H$2738,$F313))</f>
        <v/>
      </c>
      <c r="J313" s="12" t="str">
        <f aca="false">IF(INDEX(選手一覧!$I$7:$I$2738,$F313)="","",INDEX(選手一覧!$I$7:$I$2738,$F313))</f>
        <v/>
      </c>
    </row>
    <row r="314" customFormat="false" ht="15" hidden="false" customHeight="false" outlineLevel="0" collapsed="false">
      <c r="A314" s="12" t="n">
        <v>310</v>
      </c>
      <c r="B314" s="10" t="s">
        <v>1076</v>
      </c>
      <c r="C314" s="10" t="s">
        <v>175</v>
      </c>
      <c r="D314" s="11" t="n">
        <v>0.00697835648148148</v>
      </c>
      <c r="E314" s="18" t="n">
        <f aca="false">ROUND((D314-$D$5)*86400,2)</f>
        <v>63.91</v>
      </c>
      <c r="F314" s="12" t="n">
        <v>722</v>
      </c>
      <c r="G314" s="11" t="str">
        <f aca="false">IF(INDEX(選手一覧!$D$7:$D$2738,$F314)="","",INDEX(選手一覧!$D$7:$D$2738,$F314))</f>
        <v/>
      </c>
      <c r="H314" s="12" t="str">
        <f aca="false">IF(INDEX(選手一覧!$E$7:$E$2738,$F314)="","",INDEX(選手一覧!$E$7:$E$2738,$F314))</f>
        <v/>
      </c>
      <c r="I314" s="11" t="str">
        <f aca="false">IF(INDEX(選手一覧!$H$7:$H$2738,$F314)="","",INDEX(選手一覧!$H$7:$H$2738,$F314))</f>
        <v/>
      </c>
      <c r="J314" s="12" t="str">
        <f aca="false">IF(INDEX(選手一覧!$I$7:$I$2738,$F314)="","",INDEX(選手一覧!$I$7:$I$2738,$F314))</f>
        <v/>
      </c>
    </row>
    <row r="315" customFormat="false" ht="15" hidden="false" customHeight="false" outlineLevel="0" collapsed="false">
      <c r="A315" s="12" t="n">
        <v>311</v>
      </c>
      <c r="B315" s="10" t="s">
        <v>780</v>
      </c>
      <c r="C315" s="10" t="s">
        <v>771</v>
      </c>
      <c r="D315" s="11" t="n">
        <v>0.00697905092592593</v>
      </c>
      <c r="E315" s="18" t="n">
        <f aca="false">ROUND((D315-$D$5)*86400,2)</f>
        <v>63.97</v>
      </c>
      <c r="F315" s="12" t="n">
        <v>507</v>
      </c>
      <c r="G315" s="11" t="n">
        <f aca="false">IF(INDEX(選手一覧!$D$7:$D$2738,$F315)="","",INDEX(選手一覧!$D$7:$D$2738,$F315))</f>
        <v>0.0106444444444444</v>
      </c>
      <c r="H315" s="12" t="n">
        <f aca="false">IF(INDEX(選手一覧!$E$7:$E$2738,$F315)="","",INDEX(選手一覧!$E$7:$E$2738,$F315))</f>
        <v>518</v>
      </c>
      <c r="I315" s="11" t="n">
        <f aca="false">IF(INDEX(選手一覧!$H$7:$H$2738,$F315)="","",INDEX(選手一覧!$H$7:$H$2738,$F315))</f>
        <v>0.00278333333333333</v>
      </c>
      <c r="J315" s="12" t="n">
        <f aca="false">IF(INDEX(選手一覧!$I$7:$I$2738,$F315)="","",INDEX(選手一覧!$I$7:$I$2738,$F315))</f>
        <v>213</v>
      </c>
    </row>
    <row r="316" customFormat="false" ht="15" hidden="false" customHeight="false" outlineLevel="0" collapsed="false">
      <c r="A316" s="12" t="n">
        <v>312</v>
      </c>
      <c r="B316" s="10" t="s">
        <v>1082</v>
      </c>
      <c r="C316" s="10" t="s">
        <v>358</v>
      </c>
      <c r="D316" s="11" t="n">
        <v>0.00697939814814815</v>
      </c>
      <c r="E316" s="18" t="n">
        <f aca="false">ROUND((D316-$D$5)*86400,2)</f>
        <v>64</v>
      </c>
      <c r="F316" s="12" t="n">
        <v>727</v>
      </c>
      <c r="G316" s="11" t="str">
        <f aca="false">IF(INDEX(選手一覧!$D$7:$D$2738,$F316)="","",INDEX(選手一覧!$D$7:$D$2738,$F316))</f>
        <v/>
      </c>
      <c r="H316" s="12" t="str">
        <f aca="false">IF(INDEX(選手一覧!$E$7:$E$2738,$F316)="","",INDEX(選手一覧!$E$7:$E$2738,$F316))</f>
        <v/>
      </c>
      <c r="I316" s="11" t="str">
        <f aca="false">IF(INDEX(選手一覧!$H$7:$H$2738,$F316)="","",INDEX(選手一覧!$H$7:$H$2738,$F316))</f>
        <v/>
      </c>
      <c r="J316" s="12" t="str">
        <f aca="false">IF(INDEX(選手一覧!$I$7:$I$2738,$F316)="","",INDEX(選手一覧!$I$7:$I$2738,$F316))</f>
        <v/>
      </c>
    </row>
    <row r="317" customFormat="false" ht="15" hidden="false" customHeight="false" outlineLevel="0" collapsed="false">
      <c r="A317" s="12" t="n">
        <v>313</v>
      </c>
      <c r="B317" s="10" t="s">
        <v>1084</v>
      </c>
      <c r="C317" s="10" t="s">
        <v>122</v>
      </c>
      <c r="D317" s="11" t="n">
        <v>0.00698055555555556</v>
      </c>
      <c r="E317" s="18" t="n">
        <f aca="false">ROUND((D317-$D$5)*86400,2)</f>
        <v>64.1</v>
      </c>
      <c r="F317" s="12" t="n">
        <v>729</v>
      </c>
      <c r="G317" s="11" t="n">
        <f aca="false">IF(INDEX(選手一覧!$D$7:$D$2738,$F317)="","",INDEX(選手一覧!$D$7:$D$2738,$F317))</f>
        <v>0.0110730324074074</v>
      </c>
      <c r="H317" s="12" t="n">
        <f aca="false">IF(INDEX(選手一覧!$E$7:$E$2738,$F317)="","",INDEX(選手一覧!$E$7:$E$2738,$F317))</f>
        <v>1242</v>
      </c>
      <c r="I317" s="11" t="str">
        <f aca="false">IF(INDEX(選手一覧!$H$7:$H$2738,$F317)="","",INDEX(選手一覧!$H$7:$H$2738,$F317))</f>
        <v/>
      </c>
      <c r="J317" s="12" t="str">
        <f aca="false">IF(INDEX(選手一覧!$I$7:$I$2738,$F317)="","",INDEX(選手一覧!$I$7:$I$2738,$F317))</f>
        <v/>
      </c>
    </row>
    <row r="318" customFormat="false" ht="15" hidden="false" customHeight="false" outlineLevel="0" collapsed="false">
      <c r="A318" s="12" t="n">
        <v>314</v>
      </c>
      <c r="B318" s="10" t="s">
        <v>1085</v>
      </c>
      <c r="C318" s="10" t="s">
        <v>844</v>
      </c>
      <c r="D318" s="11" t="n">
        <v>0.00698078703703704</v>
      </c>
      <c r="E318" s="18" t="n">
        <f aca="false">ROUND((D318-$D$5)*86400,2)</f>
        <v>64.12</v>
      </c>
      <c r="F318" s="12" t="n">
        <v>730</v>
      </c>
      <c r="G318" s="11" t="n">
        <f aca="false">IF(INDEX(選手一覧!$D$7:$D$2738,$F318)="","",INDEX(選手一覧!$D$7:$D$2738,$F318))</f>
        <v>0.0107172453703704</v>
      </c>
      <c r="H318" s="12" t="n">
        <f aca="false">IF(INDEX(選手一覧!$E$7:$E$2738,$F318)="","",INDEX(選手一覧!$E$7:$E$2738,$F318))</f>
        <v>610</v>
      </c>
      <c r="I318" s="11" t="str">
        <f aca="false">IF(INDEX(選手一覧!$H$7:$H$2738,$F318)="","",INDEX(選手一覧!$H$7:$H$2738,$F318))</f>
        <v/>
      </c>
      <c r="J318" s="12" t="str">
        <f aca="false">IF(INDEX(選手一覧!$I$7:$I$2738,$F318)="","",INDEX(選手一覧!$I$7:$I$2738,$F318))</f>
        <v/>
      </c>
    </row>
    <row r="319" customFormat="false" ht="15" hidden="false" customHeight="false" outlineLevel="0" collapsed="false">
      <c r="A319" s="12" t="n">
        <v>315</v>
      </c>
      <c r="B319" s="10" t="s">
        <v>1088</v>
      </c>
      <c r="C319" s="10" t="s">
        <v>549</v>
      </c>
      <c r="D319" s="11" t="n">
        <v>0.00698113425925926</v>
      </c>
      <c r="E319" s="18" t="n">
        <f aca="false">ROUND((D319-$D$5)*86400,2)</f>
        <v>64.15</v>
      </c>
      <c r="F319" s="12" t="n">
        <v>732</v>
      </c>
      <c r="G319" s="11" t="n">
        <f aca="false">IF(INDEX(選手一覧!$D$7:$D$2738,$F319)="","",INDEX(選手一覧!$D$7:$D$2738,$F319))</f>
        <v>0.0110439814814815</v>
      </c>
      <c r="H319" s="12" t="n">
        <f aca="false">IF(INDEX(選手一覧!$E$7:$E$2738,$F319)="","",INDEX(選手一覧!$E$7:$E$2738,$F319))</f>
        <v>1187</v>
      </c>
      <c r="I319" s="11" t="str">
        <f aca="false">IF(INDEX(選手一覧!$H$7:$H$2738,$F319)="","",INDEX(選手一覧!$H$7:$H$2738,$F319))</f>
        <v/>
      </c>
      <c r="J319" s="12" t="str">
        <f aca="false">IF(INDEX(選手一覧!$I$7:$I$2738,$F319)="","",INDEX(選手一覧!$I$7:$I$2738,$F319))</f>
        <v/>
      </c>
    </row>
    <row r="320" customFormat="false" ht="15" hidden="false" customHeight="false" outlineLevel="0" collapsed="false">
      <c r="A320" s="12" t="n">
        <v>316</v>
      </c>
      <c r="B320" s="10" t="s">
        <v>1092</v>
      </c>
      <c r="C320" s="10" t="s">
        <v>1093</v>
      </c>
      <c r="D320" s="11" t="n">
        <v>0.00698125</v>
      </c>
      <c r="E320" s="18" t="n">
        <f aca="false">ROUND((D320-$D$5)*86400,2)</f>
        <v>64.16</v>
      </c>
      <c r="F320" s="12" t="n">
        <v>735</v>
      </c>
      <c r="G320" s="11" t="str">
        <f aca="false">IF(INDEX(選手一覧!$D$7:$D$2738,$F320)="","",INDEX(選手一覧!$D$7:$D$2738,$F320))</f>
        <v/>
      </c>
      <c r="H320" s="12" t="str">
        <f aca="false">IF(INDEX(選手一覧!$E$7:$E$2738,$F320)="","",INDEX(選手一覧!$E$7:$E$2738,$F320))</f>
        <v/>
      </c>
      <c r="I320" s="11" t="str">
        <f aca="false">IF(INDEX(選手一覧!$H$7:$H$2738,$F320)="","",INDEX(選手一覧!$H$7:$H$2738,$F320))</f>
        <v/>
      </c>
      <c r="J320" s="12" t="str">
        <f aca="false">IF(INDEX(選手一覧!$I$7:$I$2738,$F320)="","",INDEX(選手一覧!$I$7:$I$2738,$F320))</f>
        <v/>
      </c>
    </row>
    <row r="321" customFormat="false" ht="15" hidden="false" customHeight="false" outlineLevel="0" collapsed="false">
      <c r="A321" s="12" t="n">
        <v>317</v>
      </c>
      <c r="B321" s="10" t="s">
        <v>1095</v>
      </c>
      <c r="C321" s="10" t="s">
        <v>1096</v>
      </c>
      <c r="D321" s="11" t="n">
        <v>0.00698229166666667</v>
      </c>
      <c r="E321" s="18" t="n">
        <f aca="false">ROUND((D321-$D$5)*86400,2)</f>
        <v>64.25</v>
      </c>
      <c r="F321" s="12" t="n">
        <v>737</v>
      </c>
      <c r="G321" s="11" t="str">
        <f aca="false">IF(INDEX(選手一覧!$D$7:$D$2738,$F321)="","",INDEX(選手一覧!$D$7:$D$2738,$F321))</f>
        <v/>
      </c>
      <c r="H321" s="12" t="str">
        <f aca="false">IF(INDEX(選手一覧!$E$7:$E$2738,$F321)="","",INDEX(選手一覧!$E$7:$E$2738,$F321))</f>
        <v/>
      </c>
      <c r="I321" s="11" t="str">
        <f aca="false">IF(INDEX(選手一覧!$H$7:$H$2738,$F321)="","",INDEX(選手一覧!$H$7:$H$2738,$F321))</f>
        <v/>
      </c>
      <c r="J321" s="12" t="str">
        <f aca="false">IF(INDEX(選手一覧!$I$7:$I$2738,$F321)="","",INDEX(選手一覧!$I$7:$I$2738,$F321))</f>
        <v/>
      </c>
    </row>
    <row r="322" customFormat="false" ht="15" hidden="false" customHeight="false" outlineLevel="0" collapsed="false">
      <c r="A322" s="12" t="n">
        <v>318</v>
      </c>
      <c r="B322" s="10" t="s">
        <v>1097</v>
      </c>
      <c r="C322" s="10" t="s">
        <v>1098</v>
      </c>
      <c r="D322" s="11" t="n">
        <v>0.00698252314814815</v>
      </c>
      <c r="E322" s="18" t="n">
        <f aca="false">ROUND((D322-$D$5)*86400,2)</f>
        <v>64.27</v>
      </c>
      <c r="F322" s="12" t="n">
        <v>738</v>
      </c>
      <c r="G322" s="11" t="str">
        <f aca="false">IF(INDEX(選手一覧!$D$7:$D$2738,$F322)="","",INDEX(選手一覧!$D$7:$D$2738,$F322))</f>
        <v/>
      </c>
      <c r="H322" s="12" t="str">
        <f aca="false">IF(INDEX(選手一覧!$E$7:$E$2738,$F322)="","",INDEX(選手一覧!$E$7:$E$2738,$F322))</f>
        <v/>
      </c>
      <c r="I322" s="11" t="str">
        <f aca="false">IF(INDEX(選手一覧!$H$7:$H$2738,$F322)="","",INDEX(選手一覧!$H$7:$H$2738,$F322))</f>
        <v/>
      </c>
      <c r="J322" s="12" t="str">
        <f aca="false">IF(INDEX(選手一覧!$I$7:$I$2738,$F322)="","",INDEX(選手一覧!$I$7:$I$2738,$F322))</f>
        <v/>
      </c>
    </row>
    <row r="323" customFormat="false" ht="15" hidden="false" customHeight="false" outlineLevel="0" collapsed="false">
      <c r="A323" s="12" t="n">
        <v>319</v>
      </c>
      <c r="B323" s="10" t="s">
        <v>1099</v>
      </c>
      <c r="C323" s="10" t="s">
        <v>298</v>
      </c>
      <c r="D323" s="11" t="n">
        <v>0.00698356481481482</v>
      </c>
      <c r="E323" s="18" t="n">
        <f aca="false">ROUND((D323-$D$5)*86400,2)</f>
        <v>64.36</v>
      </c>
      <c r="F323" s="12" t="n">
        <v>739</v>
      </c>
      <c r="G323" s="11" t="str">
        <f aca="false">IF(INDEX(選手一覧!$D$7:$D$2738,$F323)="","",INDEX(選手一覧!$D$7:$D$2738,$F323))</f>
        <v/>
      </c>
      <c r="H323" s="12" t="str">
        <f aca="false">IF(INDEX(選手一覧!$E$7:$E$2738,$F323)="","",INDEX(選手一覧!$E$7:$E$2738,$F323))</f>
        <v/>
      </c>
      <c r="I323" s="11" t="n">
        <f aca="false">IF(INDEX(選手一覧!$H$7:$H$2738,$F323)="","",INDEX(選手一覧!$H$7:$H$2738,$F323))</f>
        <v>0.00283460648148148</v>
      </c>
      <c r="J323" s="12" t="n">
        <f aca="false">IF(INDEX(選手一覧!$I$7:$I$2738,$F323)="","",INDEX(選手一覧!$I$7:$I$2738,$F323))</f>
        <v>454</v>
      </c>
    </row>
    <row r="324" customFormat="false" ht="15" hidden="false" customHeight="false" outlineLevel="0" collapsed="false">
      <c r="A324" s="12" t="n">
        <v>320</v>
      </c>
      <c r="B324" s="10" t="s">
        <v>1101</v>
      </c>
      <c r="C324" s="10" t="s">
        <v>302</v>
      </c>
      <c r="D324" s="11" t="n">
        <v>0.00698576388888889</v>
      </c>
      <c r="E324" s="18" t="n">
        <f aca="false">ROUND((D324-$D$5)*86400,2)</f>
        <v>64.55</v>
      </c>
      <c r="F324" s="12" t="n">
        <v>741</v>
      </c>
      <c r="G324" s="11" t="n">
        <f aca="false">IF(INDEX(選手一覧!$D$7:$D$2738,$F324)="","",INDEX(選手一覧!$D$7:$D$2738,$F324))</f>
        <v>0.0105821759259259</v>
      </c>
      <c r="H324" s="12" t="n">
        <f aca="false">IF(INDEX(選手一覧!$E$7:$E$2738,$F324)="","",INDEX(選手一覧!$E$7:$E$2738,$F324))</f>
        <v>437</v>
      </c>
      <c r="I324" s="11" t="n">
        <f aca="false">IF(INDEX(選手一覧!$H$7:$H$2738,$F324)="","",INDEX(選手一覧!$H$7:$H$2738,$F324))</f>
        <v>0.00285243055555556</v>
      </c>
      <c r="J324" s="12" t="n">
        <f aca="false">IF(INDEX(選手一覧!$I$7:$I$2738,$F324)="","",INDEX(選手一覧!$I$7:$I$2738,$F324))</f>
        <v>582</v>
      </c>
    </row>
    <row r="325" customFormat="false" ht="15" hidden="false" customHeight="false" outlineLevel="0" collapsed="false">
      <c r="A325" s="12" t="n">
        <v>321</v>
      </c>
      <c r="B325" s="10" t="s">
        <v>967</v>
      </c>
      <c r="C325" s="10" t="s">
        <v>109</v>
      </c>
      <c r="D325" s="11" t="n">
        <v>0.00698622685185185</v>
      </c>
      <c r="E325" s="18" t="n">
        <f aca="false">ROUND((D325-$D$5)*86400,2)</f>
        <v>64.59</v>
      </c>
      <c r="F325" s="12" t="n">
        <v>644</v>
      </c>
      <c r="G325" s="11" t="n">
        <f aca="false">IF(INDEX(選手一覧!$D$7:$D$2738,$F325)="","",INDEX(選手一覧!$D$7:$D$2738,$F325))</f>
        <v>0.0106086805555556</v>
      </c>
      <c r="H325" s="12" t="n">
        <f aca="false">IF(INDEX(選手一覧!$E$7:$E$2738,$F325)="","",INDEX(選手一覧!$E$7:$E$2738,$F325))</f>
        <v>474</v>
      </c>
      <c r="I325" s="11" t="n">
        <f aca="false">IF(INDEX(選手一覧!$H$7:$H$2738,$F325)="","",INDEX(選手一覧!$H$7:$H$2738,$F325))</f>
        <v>0.00279756944444445</v>
      </c>
      <c r="J325" s="12" t="n">
        <f aca="false">IF(INDEX(選手一覧!$I$7:$I$2738,$F325)="","",INDEX(選手一覧!$I$7:$I$2738,$F325))</f>
        <v>272</v>
      </c>
    </row>
    <row r="326" customFormat="false" ht="15" hidden="false" customHeight="false" outlineLevel="0" collapsed="false">
      <c r="A326" s="12" t="n">
        <v>322</v>
      </c>
      <c r="B326" s="10" t="s">
        <v>1103</v>
      </c>
      <c r="C326" s="10" t="s">
        <v>114</v>
      </c>
      <c r="D326" s="11" t="n">
        <v>0.00698761574074074</v>
      </c>
      <c r="E326" s="18" t="n">
        <f aca="false">ROUND((D326-$D$5)*86400,2)</f>
        <v>64.71</v>
      </c>
      <c r="F326" s="12" t="n">
        <v>743</v>
      </c>
      <c r="G326" s="11" t="n">
        <f aca="false">IF(INDEX(選手一覧!$D$7:$D$2738,$F326)="","",INDEX(選手一覧!$D$7:$D$2738,$F326))</f>
        <v>0.0110209490740741</v>
      </c>
      <c r="H326" s="12" t="n">
        <f aca="false">IF(INDEX(選手一覧!$E$7:$E$2738,$F326)="","",INDEX(選手一覧!$E$7:$E$2738,$F326))</f>
        <v>1131</v>
      </c>
      <c r="I326" s="11" t="n">
        <f aca="false">IF(INDEX(選手一覧!$H$7:$H$2738,$F326)="","",INDEX(選手一覧!$H$7:$H$2738,$F326))</f>
        <v>0.00286261574074074</v>
      </c>
      <c r="J326" s="12" t="n">
        <f aca="false">IF(INDEX(選手一覧!$I$7:$I$2738,$F326)="","",INDEX(選手一覧!$I$7:$I$2738,$F326))</f>
        <v>653</v>
      </c>
    </row>
    <row r="327" customFormat="false" ht="15" hidden="false" customHeight="false" outlineLevel="0" collapsed="false">
      <c r="A327" s="12" t="n">
        <v>323</v>
      </c>
      <c r="B327" s="10" t="s">
        <v>306</v>
      </c>
      <c r="C327" s="10" t="s">
        <v>307</v>
      </c>
      <c r="D327" s="11" t="n">
        <v>0.00698865740740741</v>
      </c>
      <c r="E327" s="18" t="n">
        <f aca="false">ROUND((D327-$D$5)*86400,2)</f>
        <v>64.8</v>
      </c>
      <c r="F327" s="12" t="n">
        <v>174</v>
      </c>
      <c r="G327" s="11" t="n">
        <f aca="false">IF(INDEX(選手一覧!$D$7:$D$2738,$F327)="","",INDEX(選手一覧!$D$7:$D$2738,$F327))</f>
        <v>0.0101478009259259</v>
      </c>
      <c r="H327" s="12" t="n">
        <f aca="false">IF(INDEX(選手一覧!$E$7:$E$2738,$F327)="","",INDEX(選手一覧!$E$7:$E$2738,$F327))</f>
        <v>71</v>
      </c>
      <c r="I327" s="11" t="n">
        <f aca="false">IF(INDEX(選手一覧!$H$7:$H$2738,$F327)="","",INDEX(選手一覧!$H$7:$H$2738,$F327))</f>
        <v>0.00275729166666667</v>
      </c>
      <c r="J327" s="12" t="n">
        <f aca="false">IF(INDEX(選手一覧!$I$7:$I$2738,$F327)="","",INDEX(選手一覧!$I$7:$I$2738,$F327))</f>
        <v>128</v>
      </c>
    </row>
    <row r="328" customFormat="false" ht="15" hidden="false" customHeight="false" outlineLevel="0" collapsed="false">
      <c r="A328" s="12" t="n">
        <v>324</v>
      </c>
      <c r="B328" s="10" t="s">
        <v>1109</v>
      </c>
      <c r="C328" s="10" t="s">
        <v>1110</v>
      </c>
      <c r="D328" s="11" t="n">
        <v>0.00699039351851852</v>
      </c>
      <c r="E328" s="18" t="n">
        <f aca="false">ROUND((D328-$D$5)*86400,2)</f>
        <v>64.95</v>
      </c>
      <c r="F328" s="12" t="n">
        <v>748</v>
      </c>
      <c r="G328" s="11" t="str">
        <f aca="false">IF(INDEX(選手一覧!$D$7:$D$2738,$F328)="","",INDEX(選手一覧!$D$7:$D$2738,$F328))</f>
        <v/>
      </c>
      <c r="H328" s="12" t="str">
        <f aca="false">IF(INDEX(選手一覧!$E$7:$E$2738,$F328)="","",INDEX(選手一覧!$E$7:$E$2738,$F328))</f>
        <v/>
      </c>
      <c r="I328" s="11" t="str">
        <f aca="false">IF(INDEX(選手一覧!$H$7:$H$2738,$F328)="","",INDEX(選手一覧!$H$7:$H$2738,$F328))</f>
        <v/>
      </c>
      <c r="J328" s="12" t="str">
        <f aca="false">IF(INDEX(選手一覧!$I$7:$I$2738,$F328)="","",INDEX(選手一覧!$I$7:$I$2738,$F328))</f>
        <v/>
      </c>
    </row>
    <row r="329" customFormat="false" ht="15" hidden="false" customHeight="false" outlineLevel="0" collapsed="false">
      <c r="A329" s="12" t="n">
        <v>325</v>
      </c>
      <c r="B329" s="10" t="s">
        <v>1114</v>
      </c>
      <c r="C329" s="10" t="s">
        <v>83</v>
      </c>
      <c r="D329" s="11" t="n">
        <v>0.00699039351851852</v>
      </c>
      <c r="E329" s="18" t="n">
        <f aca="false">ROUND((D329-$D$5)*86400,2)</f>
        <v>64.95</v>
      </c>
      <c r="F329" s="12" t="n">
        <v>751</v>
      </c>
      <c r="G329" s="11" t="n">
        <f aca="false">IF(INDEX(選手一覧!$D$7:$D$2738,$F329)="","",INDEX(選手一覧!$D$7:$D$2738,$F329))</f>
        <v>0.0108520833333333</v>
      </c>
      <c r="H329" s="12" t="n">
        <f aca="false">IF(INDEX(選手一覧!$E$7:$E$2738,$F329)="","",INDEX(選手一覧!$E$7:$E$2738,$F329))</f>
        <v>840</v>
      </c>
      <c r="I329" s="11" t="str">
        <f aca="false">IF(INDEX(選手一覧!$H$7:$H$2738,$F329)="","",INDEX(選手一覧!$H$7:$H$2738,$F329))</f>
        <v/>
      </c>
      <c r="J329" s="12" t="str">
        <f aca="false">IF(INDEX(選手一覧!$I$7:$I$2738,$F329)="","",INDEX(選手一覧!$I$7:$I$2738,$F329))</f>
        <v/>
      </c>
    </row>
    <row r="330" customFormat="false" ht="15" hidden="false" customHeight="false" outlineLevel="0" collapsed="false">
      <c r="A330" s="12" t="n">
        <v>326</v>
      </c>
      <c r="B330" s="10" t="s">
        <v>1115</v>
      </c>
      <c r="C330" s="10" t="s">
        <v>494</v>
      </c>
      <c r="D330" s="11" t="n">
        <v>0.00699201388888889</v>
      </c>
      <c r="E330" s="18" t="n">
        <f aca="false">ROUND((D330-$D$5)*86400,2)</f>
        <v>65.09</v>
      </c>
      <c r="F330" s="12" t="n">
        <v>752</v>
      </c>
      <c r="G330" s="11" t="n">
        <f aca="false">IF(INDEX(選手一覧!$D$7:$D$2738,$F330)="","",INDEX(選手一覧!$D$7:$D$2738,$F330))</f>
        <v>0.0109925925925926</v>
      </c>
      <c r="H330" s="12" t="n">
        <f aca="false">IF(INDEX(選手一覧!$E$7:$E$2738,$F330)="","",INDEX(選手一覧!$E$7:$E$2738,$F330))</f>
        <v>1084</v>
      </c>
      <c r="I330" s="11" t="n">
        <f aca="false">IF(INDEX(選手一覧!$H$7:$H$2738,$F330)="","",INDEX(選手一覧!$H$7:$H$2738,$F330))</f>
        <v>0.00289224537037037</v>
      </c>
      <c r="J330" s="12" t="n">
        <f aca="false">IF(INDEX(選手一覧!$I$7:$I$2738,$F330)="","",INDEX(選手一覧!$I$7:$I$2738,$F330))</f>
        <v>893</v>
      </c>
    </row>
    <row r="331" customFormat="false" ht="15" hidden="false" customHeight="false" outlineLevel="0" collapsed="false">
      <c r="A331" s="12" t="n">
        <v>327</v>
      </c>
      <c r="B331" s="10" t="s">
        <v>1118</v>
      </c>
      <c r="C331" s="10" t="s">
        <v>1119</v>
      </c>
      <c r="D331" s="11" t="n">
        <v>0.00699490740740741</v>
      </c>
      <c r="E331" s="18" t="n">
        <f aca="false">ROUND((D331-$D$5)*86400,2)</f>
        <v>65.34</v>
      </c>
      <c r="F331" s="12" t="n">
        <v>755</v>
      </c>
      <c r="G331" s="11" t="str">
        <f aca="false">IF(INDEX(選手一覧!$D$7:$D$2738,$F331)="","",INDEX(選手一覧!$D$7:$D$2738,$F331))</f>
        <v/>
      </c>
      <c r="H331" s="12" t="str">
        <f aca="false">IF(INDEX(選手一覧!$E$7:$E$2738,$F331)="","",INDEX(選手一覧!$E$7:$E$2738,$F331))</f>
        <v/>
      </c>
      <c r="I331" s="11" t="str">
        <f aca="false">IF(INDEX(選手一覧!$H$7:$H$2738,$F331)="","",INDEX(選手一覧!$H$7:$H$2738,$F331))</f>
        <v/>
      </c>
      <c r="J331" s="12" t="str">
        <f aca="false">IF(INDEX(選手一覧!$I$7:$I$2738,$F331)="","",INDEX(選手一覧!$I$7:$I$2738,$F331))</f>
        <v/>
      </c>
    </row>
    <row r="332" customFormat="false" ht="15" hidden="false" customHeight="false" outlineLevel="0" collapsed="false">
      <c r="A332" s="12" t="n">
        <v>328</v>
      </c>
      <c r="B332" s="10" t="s">
        <v>1121</v>
      </c>
      <c r="C332" s="10" t="s">
        <v>1122</v>
      </c>
      <c r="D332" s="11" t="n">
        <v>0.00699490740740741</v>
      </c>
      <c r="E332" s="18" t="n">
        <f aca="false">ROUND((D332-$D$5)*86400,2)</f>
        <v>65.34</v>
      </c>
      <c r="F332" s="12" t="n">
        <v>757</v>
      </c>
      <c r="G332" s="11" t="n">
        <f aca="false">IF(INDEX(選手一覧!$D$7:$D$2738,$F332)="","",INDEX(選手一覧!$D$7:$D$2738,$F332))</f>
        <v>0.0109837962962963</v>
      </c>
      <c r="H332" s="12" t="n">
        <f aca="false">IF(INDEX(選手一覧!$E$7:$E$2738,$F332)="","",INDEX(選手一覧!$E$7:$E$2738,$F332))</f>
        <v>1064</v>
      </c>
      <c r="I332" s="11" t="str">
        <f aca="false">IF(INDEX(選手一覧!$H$7:$H$2738,$F332)="","",INDEX(選手一覧!$H$7:$H$2738,$F332))</f>
        <v/>
      </c>
      <c r="J332" s="12" t="str">
        <f aca="false">IF(INDEX(選手一覧!$I$7:$I$2738,$F332)="","",INDEX(選手一覧!$I$7:$I$2738,$F332))</f>
        <v/>
      </c>
    </row>
    <row r="333" customFormat="false" ht="15" hidden="false" customHeight="false" outlineLevel="0" collapsed="false">
      <c r="A333" s="12" t="n">
        <v>329</v>
      </c>
      <c r="B333" s="10" t="s">
        <v>1124</v>
      </c>
      <c r="C333" s="10" t="s">
        <v>1125</v>
      </c>
      <c r="D333" s="11" t="n">
        <v>0.00699513888888889</v>
      </c>
      <c r="E333" s="18" t="n">
        <f aca="false">ROUND((D333-$D$5)*86400,2)</f>
        <v>65.36</v>
      </c>
      <c r="F333" s="12" t="n">
        <v>759</v>
      </c>
      <c r="G333" s="11" t="str">
        <f aca="false">IF(INDEX(選手一覧!$D$7:$D$2738,$F333)="","",INDEX(選手一覧!$D$7:$D$2738,$F333))</f>
        <v/>
      </c>
      <c r="H333" s="12" t="str">
        <f aca="false">IF(INDEX(選手一覧!$E$7:$E$2738,$F333)="","",INDEX(選手一覧!$E$7:$E$2738,$F333))</f>
        <v/>
      </c>
      <c r="I333" s="11" t="str">
        <f aca="false">IF(INDEX(選手一覧!$H$7:$H$2738,$F333)="","",INDEX(選手一覧!$H$7:$H$2738,$F333))</f>
        <v/>
      </c>
      <c r="J333" s="12" t="str">
        <f aca="false">IF(INDEX(選手一覧!$I$7:$I$2738,$F333)="","",INDEX(選手一覧!$I$7:$I$2738,$F333))</f>
        <v/>
      </c>
    </row>
    <row r="334" customFormat="false" ht="15" hidden="false" customHeight="false" outlineLevel="0" collapsed="false">
      <c r="A334" s="12" t="n">
        <v>330</v>
      </c>
      <c r="B334" s="10" t="s">
        <v>1129</v>
      </c>
      <c r="C334" s="10" t="s">
        <v>1130</v>
      </c>
      <c r="D334" s="11" t="n">
        <v>0.00699606481481482</v>
      </c>
      <c r="E334" s="18" t="n">
        <f aca="false">ROUND((D334-$D$5)*86400,2)</f>
        <v>65.44</v>
      </c>
      <c r="F334" s="12" t="n">
        <v>762</v>
      </c>
      <c r="G334" s="11" t="n">
        <f aca="false">IF(INDEX(選手一覧!$D$7:$D$2738,$F334)="","",INDEX(選手一覧!$D$7:$D$2738,$F334))</f>
        <v>0.0111101851851852</v>
      </c>
      <c r="H334" s="12" t="n">
        <f aca="false">IF(INDEX(選手一覧!$E$7:$E$2738,$F334)="","",INDEX(選手一覧!$E$7:$E$2738,$F334))</f>
        <v>1278</v>
      </c>
      <c r="I334" s="11" t="str">
        <f aca="false">IF(INDEX(選手一覧!$H$7:$H$2738,$F334)="","",INDEX(選手一覧!$H$7:$H$2738,$F334))</f>
        <v/>
      </c>
      <c r="J334" s="12" t="str">
        <f aca="false">IF(INDEX(選手一覧!$I$7:$I$2738,$F334)="","",INDEX(選手一覧!$I$7:$I$2738,$F334))</f>
        <v/>
      </c>
    </row>
    <row r="335" customFormat="false" ht="15" hidden="false" customHeight="false" outlineLevel="0" collapsed="false">
      <c r="A335" s="12" t="n">
        <v>331</v>
      </c>
      <c r="B335" s="10" t="s">
        <v>1131</v>
      </c>
      <c r="C335" s="10" t="s">
        <v>1132</v>
      </c>
      <c r="D335" s="11" t="n">
        <v>0.00699652777777778</v>
      </c>
      <c r="E335" s="18" t="n">
        <f aca="false">ROUND((D335-$D$5)*86400,2)</f>
        <v>65.48</v>
      </c>
      <c r="F335" s="12" t="n">
        <v>763</v>
      </c>
      <c r="G335" s="11" t="str">
        <f aca="false">IF(INDEX(選手一覧!$D$7:$D$2738,$F335)="","",INDEX(選手一覧!$D$7:$D$2738,$F335))</f>
        <v/>
      </c>
      <c r="H335" s="12" t="str">
        <f aca="false">IF(INDEX(選手一覧!$E$7:$E$2738,$F335)="","",INDEX(選手一覧!$E$7:$E$2738,$F335))</f>
        <v/>
      </c>
      <c r="I335" s="11" t="str">
        <f aca="false">IF(INDEX(選手一覧!$H$7:$H$2738,$F335)="","",INDEX(選手一覧!$H$7:$H$2738,$F335))</f>
        <v/>
      </c>
      <c r="J335" s="12" t="str">
        <f aca="false">IF(INDEX(選手一覧!$I$7:$I$2738,$F335)="","",INDEX(選手一覧!$I$7:$I$2738,$F335))</f>
        <v/>
      </c>
    </row>
    <row r="336" customFormat="false" ht="15" hidden="false" customHeight="false" outlineLevel="0" collapsed="false">
      <c r="A336" s="12" t="n">
        <v>332</v>
      </c>
      <c r="B336" s="10" t="s">
        <v>1135</v>
      </c>
      <c r="C336" s="10" t="s">
        <v>486</v>
      </c>
      <c r="D336" s="11" t="n">
        <v>0.00699675925925926</v>
      </c>
      <c r="E336" s="18" t="n">
        <f aca="false">ROUND((D336-$D$5)*86400,2)</f>
        <v>65.5</v>
      </c>
      <c r="F336" s="12" t="n">
        <v>766</v>
      </c>
      <c r="G336" s="11" t="str">
        <f aca="false">IF(INDEX(選手一覧!$D$7:$D$2738,$F336)="","",INDEX(選手一覧!$D$7:$D$2738,$F336))</f>
        <v/>
      </c>
      <c r="H336" s="12" t="str">
        <f aca="false">IF(INDEX(選手一覧!$E$7:$E$2738,$F336)="","",INDEX(選手一覧!$E$7:$E$2738,$F336))</f>
        <v/>
      </c>
      <c r="I336" s="11" t="n">
        <f aca="false">IF(INDEX(選手一覧!$H$7:$H$2738,$F336)="","",INDEX(選手一覧!$H$7:$H$2738,$F336))</f>
        <v>0.00294293981481482</v>
      </c>
      <c r="J336" s="12" t="n">
        <f aca="false">IF(INDEX(選手一覧!$I$7:$I$2738,$F336)="","",INDEX(選手一覧!$I$7:$I$2738,$F336))</f>
        <v>1210</v>
      </c>
    </row>
    <row r="337" customFormat="false" ht="15" hidden="false" customHeight="false" outlineLevel="0" collapsed="false">
      <c r="A337" s="12" t="n">
        <v>333</v>
      </c>
      <c r="B337" s="10" t="s">
        <v>1139</v>
      </c>
      <c r="C337" s="10" t="s">
        <v>1140</v>
      </c>
      <c r="D337" s="11" t="n">
        <v>0.00699722222222222</v>
      </c>
      <c r="E337" s="18" t="n">
        <f aca="false">ROUND((D337-$D$5)*86400,2)</f>
        <v>65.54</v>
      </c>
      <c r="F337" s="12" t="n">
        <v>769</v>
      </c>
      <c r="G337" s="11" t="str">
        <f aca="false">IF(INDEX(選手一覧!$D$7:$D$2738,$F337)="","",INDEX(選手一覧!$D$7:$D$2738,$F337))</f>
        <v/>
      </c>
      <c r="H337" s="12" t="str">
        <f aca="false">IF(INDEX(選手一覧!$E$7:$E$2738,$F337)="","",INDEX(選手一覧!$E$7:$E$2738,$F337))</f>
        <v/>
      </c>
      <c r="I337" s="11" t="n">
        <f aca="false">IF(INDEX(選手一覧!$H$7:$H$2738,$F337)="","",INDEX(選手一覧!$H$7:$H$2738,$F337))</f>
        <v>0.00292199074074074</v>
      </c>
      <c r="J337" s="12" t="n">
        <f aca="false">IF(INDEX(選手一覧!$I$7:$I$2738,$F337)="","",INDEX(選手一覧!$I$7:$I$2738,$F337))</f>
        <v>1113</v>
      </c>
    </row>
    <row r="338" customFormat="false" ht="15" hidden="false" customHeight="false" outlineLevel="0" collapsed="false">
      <c r="A338" s="12" t="n">
        <v>334</v>
      </c>
      <c r="B338" s="10" t="s">
        <v>1141</v>
      </c>
      <c r="C338" s="10" t="s">
        <v>79</v>
      </c>
      <c r="D338" s="11" t="n">
        <v>0.00699918981481482</v>
      </c>
      <c r="E338" s="18" t="n">
        <f aca="false">ROUND((D338-$D$5)*86400,2)</f>
        <v>65.71</v>
      </c>
      <c r="F338" s="12" t="n">
        <v>770</v>
      </c>
      <c r="G338" s="11" t="n">
        <f aca="false">IF(INDEX(選手一覧!$D$7:$D$2738,$F338)="","",INDEX(選手一覧!$D$7:$D$2738,$F338))</f>
        <v>0.0108413194444445</v>
      </c>
      <c r="H338" s="12" t="n">
        <f aca="false">IF(INDEX(選手一覧!$E$7:$E$2738,$F338)="","",INDEX(選手一覧!$E$7:$E$2738,$F338))</f>
        <v>815</v>
      </c>
      <c r="I338" s="11" t="n">
        <f aca="false">IF(INDEX(選手一覧!$H$7:$H$2738,$F338)="","",INDEX(選手一覧!$H$7:$H$2738,$F338))</f>
        <v>0.002828125</v>
      </c>
      <c r="J338" s="12" t="n">
        <f aca="false">IF(INDEX(選手一覧!$I$7:$I$2738,$F338)="","",INDEX(選手一覧!$I$7:$I$2738,$F338))</f>
        <v>412</v>
      </c>
    </row>
    <row r="339" customFormat="false" ht="15" hidden="false" customHeight="false" outlineLevel="0" collapsed="false">
      <c r="A339" s="12" t="n">
        <v>335</v>
      </c>
      <c r="B339" s="10" t="s">
        <v>1144</v>
      </c>
      <c r="C339" s="10" t="s">
        <v>1145</v>
      </c>
      <c r="D339" s="11" t="n">
        <v>0.00699965277777778</v>
      </c>
      <c r="E339" s="18" t="n">
        <f aca="false">ROUND((D339-$D$5)*86400,2)</f>
        <v>65.75</v>
      </c>
      <c r="F339" s="12" t="n">
        <v>773</v>
      </c>
      <c r="G339" s="11" t="str">
        <f aca="false">IF(INDEX(選手一覧!$D$7:$D$2738,$F339)="","",INDEX(選手一覧!$D$7:$D$2738,$F339))</f>
        <v/>
      </c>
      <c r="H339" s="12" t="str">
        <f aca="false">IF(INDEX(選手一覧!$E$7:$E$2738,$F339)="","",INDEX(選手一覧!$E$7:$E$2738,$F339))</f>
        <v/>
      </c>
      <c r="I339" s="11" t="str">
        <f aca="false">IF(INDEX(選手一覧!$H$7:$H$2738,$F339)="","",INDEX(選手一覧!$H$7:$H$2738,$F339))</f>
        <v/>
      </c>
      <c r="J339" s="12" t="str">
        <f aca="false">IF(INDEX(選手一覧!$I$7:$I$2738,$F339)="","",INDEX(選手一覧!$I$7:$I$2738,$F339))</f>
        <v/>
      </c>
    </row>
    <row r="340" customFormat="false" ht="15" hidden="false" customHeight="false" outlineLevel="0" collapsed="false">
      <c r="A340" s="12" t="n">
        <v>336</v>
      </c>
      <c r="B340" s="10" t="s">
        <v>1147</v>
      </c>
      <c r="C340" s="10" t="s">
        <v>29</v>
      </c>
      <c r="D340" s="11" t="n">
        <v>0.007</v>
      </c>
      <c r="E340" s="18" t="n">
        <f aca="false">ROUND((D340-$D$5)*86400,2)</f>
        <v>65.78</v>
      </c>
      <c r="F340" s="12" t="n">
        <v>775</v>
      </c>
      <c r="G340" s="11" t="n">
        <f aca="false">IF(INDEX(選手一覧!$D$7:$D$2738,$F340)="","",INDEX(選手一覧!$D$7:$D$2738,$F340))</f>
        <v>0.0110459490740741</v>
      </c>
      <c r="H340" s="12" t="n">
        <f aca="false">IF(INDEX(選手一覧!$E$7:$E$2738,$F340)="","",INDEX(選手一覧!$E$7:$E$2738,$F340))</f>
        <v>1192</v>
      </c>
      <c r="I340" s="11" t="str">
        <f aca="false">IF(INDEX(選手一覧!$H$7:$H$2738,$F340)="","",INDEX(選手一覧!$H$7:$H$2738,$F340))</f>
        <v/>
      </c>
      <c r="J340" s="12" t="str">
        <f aca="false">IF(INDEX(選手一覧!$I$7:$I$2738,$F340)="","",INDEX(選手一覧!$I$7:$I$2738,$F340))</f>
        <v/>
      </c>
    </row>
    <row r="341" customFormat="false" ht="15" hidden="false" customHeight="false" outlineLevel="0" collapsed="false">
      <c r="A341" s="12" t="n">
        <v>337</v>
      </c>
      <c r="B341" s="10" t="s">
        <v>1149</v>
      </c>
      <c r="C341" s="10" t="s">
        <v>1150</v>
      </c>
      <c r="D341" s="11" t="n">
        <v>0.00700046296296296</v>
      </c>
      <c r="E341" s="18" t="n">
        <f aca="false">ROUND((D341-$D$5)*86400,2)</f>
        <v>65.82</v>
      </c>
      <c r="F341" s="12" t="n">
        <v>777</v>
      </c>
      <c r="G341" s="11" t="str">
        <f aca="false">IF(INDEX(選手一覧!$D$7:$D$2738,$F341)="","",INDEX(選手一覧!$D$7:$D$2738,$F341))</f>
        <v/>
      </c>
      <c r="H341" s="12" t="str">
        <f aca="false">IF(INDEX(選手一覧!$E$7:$E$2738,$F341)="","",INDEX(選手一覧!$E$7:$E$2738,$F341))</f>
        <v/>
      </c>
      <c r="I341" s="11" t="str">
        <f aca="false">IF(INDEX(選手一覧!$H$7:$H$2738,$F341)="","",INDEX(選手一覧!$H$7:$H$2738,$F341))</f>
        <v/>
      </c>
      <c r="J341" s="12" t="str">
        <f aca="false">IF(INDEX(選手一覧!$I$7:$I$2738,$F341)="","",INDEX(選手一覧!$I$7:$I$2738,$F341))</f>
        <v/>
      </c>
    </row>
    <row r="342" customFormat="false" ht="15" hidden="false" customHeight="false" outlineLevel="0" collapsed="false">
      <c r="A342" s="12" t="n">
        <v>338</v>
      </c>
      <c r="B342" s="10" t="s">
        <v>1151</v>
      </c>
      <c r="C342" s="10" t="s">
        <v>4016</v>
      </c>
      <c r="D342" s="11" t="n">
        <v>0.00700081018518519</v>
      </c>
      <c r="E342" s="18" t="n">
        <f aca="false">ROUND((D342-$D$5)*86400,2)</f>
        <v>65.85</v>
      </c>
      <c r="F342" s="12" t="n">
        <v>778</v>
      </c>
      <c r="G342" s="11" t="n">
        <f aca="false">IF(INDEX(選手一覧!$D$7:$D$2738,$F342)="","",INDEX(選手一覧!$D$7:$D$2738,$F342))</f>
        <v>0.0107142361111111</v>
      </c>
      <c r="H342" s="12" t="n">
        <f aca="false">IF(INDEX(選手一覧!$E$7:$E$2738,$F342)="","",INDEX(選手一覧!$E$7:$E$2738,$F342))</f>
        <v>603</v>
      </c>
      <c r="I342" s="11" t="n">
        <f aca="false">IF(INDEX(選手一覧!$H$7:$H$2738,$F342)="","",INDEX(選手一覧!$H$7:$H$2738,$F342))</f>
        <v>0.00286875</v>
      </c>
      <c r="J342" s="12" t="n">
        <f aca="false">IF(INDEX(選手一覧!$I$7:$I$2738,$F342)="","",INDEX(選手一覧!$I$7:$I$2738,$F342))</f>
        <v>686</v>
      </c>
    </row>
    <row r="343" customFormat="false" ht="15" hidden="false" customHeight="false" outlineLevel="0" collapsed="false">
      <c r="A343" s="12" t="n">
        <v>339</v>
      </c>
      <c r="B343" s="10" t="s">
        <v>1156</v>
      </c>
      <c r="C343" s="10" t="s">
        <v>1157</v>
      </c>
      <c r="D343" s="11" t="n">
        <v>0.00700324074074074</v>
      </c>
      <c r="E343" s="18" t="n">
        <f aca="false">ROUND((D343-$D$5)*86400,2)</f>
        <v>66.06</v>
      </c>
      <c r="F343" s="12" t="n">
        <v>782</v>
      </c>
      <c r="G343" s="11" t="str">
        <f aca="false">IF(INDEX(選手一覧!$D$7:$D$2738,$F343)="","",INDEX(選手一覧!$D$7:$D$2738,$F343))</f>
        <v/>
      </c>
      <c r="H343" s="12" t="str">
        <f aca="false">IF(INDEX(選手一覧!$E$7:$E$2738,$F343)="","",INDEX(選手一覧!$E$7:$E$2738,$F343))</f>
        <v/>
      </c>
      <c r="I343" s="11" t="str">
        <f aca="false">IF(INDEX(選手一覧!$H$7:$H$2738,$F343)="","",INDEX(選手一覧!$H$7:$H$2738,$F343))</f>
        <v/>
      </c>
      <c r="J343" s="12" t="str">
        <f aca="false">IF(INDEX(選手一覧!$I$7:$I$2738,$F343)="","",INDEX(選手一覧!$I$7:$I$2738,$F343))</f>
        <v/>
      </c>
    </row>
    <row r="344" customFormat="false" ht="15" hidden="false" customHeight="false" outlineLevel="0" collapsed="false">
      <c r="A344" s="12" t="n">
        <v>340</v>
      </c>
      <c r="B344" s="10" t="s">
        <v>1159</v>
      </c>
      <c r="C344" s="10" t="s">
        <v>124</v>
      </c>
      <c r="D344" s="11" t="n">
        <v>0.00700451388888889</v>
      </c>
      <c r="E344" s="18" t="n">
        <f aca="false">ROUND((D344-$D$5)*86400,2)</f>
        <v>66.17</v>
      </c>
      <c r="F344" s="12" t="n">
        <v>784</v>
      </c>
      <c r="G344" s="11" t="n">
        <f aca="false">IF(INDEX(選手一覧!$D$7:$D$2738,$F344)="","",INDEX(選手一覧!$D$7:$D$2738,$F344))</f>
        <v>0.0109270833333333</v>
      </c>
      <c r="H344" s="12" t="n">
        <f aca="false">IF(INDEX(選手一覧!$E$7:$E$2738,$F344)="","",INDEX(選手一覧!$E$7:$E$2738,$F344))</f>
        <v>962</v>
      </c>
      <c r="I344" s="11" t="str">
        <f aca="false">IF(INDEX(選手一覧!$H$7:$H$2738,$F344)="","",INDEX(選手一覧!$H$7:$H$2738,$F344))</f>
        <v/>
      </c>
      <c r="J344" s="12" t="str">
        <f aca="false">IF(INDEX(選手一覧!$I$7:$I$2738,$F344)="","",INDEX(選手一覧!$I$7:$I$2738,$F344))</f>
        <v/>
      </c>
    </row>
    <row r="345" customFormat="false" ht="15" hidden="false" customHeight="false" outlineLevel="0" collapsed="false">
      <c r="A345" s="12" t="n">
        <v>341</v>
      </c>
      <c r="B345" s="10" t="s">
        <v>1161</v>
      </c>
      <c r="C345" s="10" t="s">
        <v>25</v>
      </c>
      <c r="D345" s="11" t="n">
        <v>0.00700451388888889</v>
      </c>
      <c r="E345" s="18" t="n">
        <f aca="false">ROUND((D345-$D$5)*86400,2)</f>
        <v>66.17</v>
      </c>
      <c r="F345" s="12" t="n">
        <v>786</v>
      </c>
      <c r="G345" s="11" t="n">
        <f aca="false">IF(INDEX(選手一覧!$D$7:$D$2738,$F345)="","",INDEX(選手一覧!$D$7:$D$2738,$F345))</f>
        <v>0.0107318287037037</v>
      </c>
      <c r="H345" s="12" t="n">
        <f aca="false">IF(INDEX(選手一覧!$E$7:$E$2738,$F345)="","",INDEX(選手一覧!$E$7:$E$2738,$F345))</f>
        <v>637</v>
      </c>
      <c r="I345" s="11" t="n">
        <f aca="false">IF(INDEX(選手一覧!$H$7:$H$2738,$F345)="","",INDEX(選手一覧!$H$7:$H$2738,$F345))</f>
        <v>0.00283530092592593</v>
      </c>
      <c r="J345" s="12" t="n">
        <f aca="false">IF(INDEX(選手一覧!$I$7:$I$2738,$F345)="","",INDEX(選手一覧!$I$7:$I$2738,$F345))</f>
        <v>464</v>
      </c>
    </row>
    <row r="346" customFormat="false" ht="15" hidden="false" customHeight="false" outlineLevel="0" collapsed="false">
      <c r="A346" s="12" t="n">
        <v>342</v>
      </c>
      <c r="B346" s="10" t="s">
        <v>1163</v>
      </c>
      <c r="C346" s="10" t="s">
        <v>377</v>
      </c>
      <c r="D346" s="11" t="n">
        <v>0.00700497685185185</v>
      </c>
      <c r="E346" s="18" t="n">
        <f aca="false">ROUND((D346-$D$5)*86400,2)</f>
        <v>66.21</v>
      </c>
      <c r="F346" s="12" t="n">
        <v>788</v>
      </c>
      <c r="G346" s="11" t="str">
        <f aca="false">IF(INDEX(選手一覧!$D$7:$D$2738,$F346)="","",INDEX(選手一覧!$D$7:$D$2738,$F346))</f>
        <v/>
      </c>
      <c r="H346" s="12" t="str">
        <f aca="false">IF(INDEX(選手一覧!$E$7:$E$2738,$F346)="","",INDEX(選手一覧!$E$7:$E$2738,$F346))</f>
        <v/>
      </c>
      <c r="I346" s="11" t="str">
        <f aca="false">IF(INDEX(選手一覧!$H$7:$H$2738,$F346)="","",INDEX(選手一覧!$H$7:$H$2738,$F346))</f>
        <v/>
      </c>
      <c r="J346" s="12" t="str">
        <f aca="false">IF(INDEX(選手一覧!$I$7:$I$2738,$F346)="","",INDEX(選手一覧!$I$7:$I$2738,$F346))</f>
        <v/>
      </c>
    </row>
    <row r="347" customFormat="false" ht="15" hidden="false" customHeight="false" outlineLevel="0" collapsed="false">
      <c r="A347" s="12" t="n">
        <v>343</v>
      </c>
      <c r="B347" s="10" t="s">
        <v>1165</v>
      </c>
      <c r="C347" s="10" t="s">
        <v>1166</v>
      </c>
      <c r="D347" s="11" t="n">
        <v>0.00700509259259259</v>
      </c>
      <c r="E347" s="18" t="n">
        <f aca="false">ROUND((D347-$D$5)*86400,2)</f>
        <v>66.22</v>
      </c>
      <c r="F347" s="12" t="n">
        <v>790</v>
      </c>
      <c r="G347" s="11" t="str">
        <f aca="false">IF(INDEX(選手一覧!$D$7:$D$2738,$F347)="","",INDEX(選手一覧!$D$7:$D$2738,$F347))</f>
        <v/>
      </c>
      <c r="H347" s="12" t="str">
        <f aca="false">IF(INDEX(選手一覧!$E$7:$E$2738,$F347)="","",INDEX(選手一覧!$E$7:$E$2738,$F347))</f>
        <v/>
      </c>
      <c r="I347" s="11" t="str">
        <f aca="false">IF(INDEX(選手一覧!$H$7:$H$2738,$F347)="","",INDEX(選手一覧!$H$7:$H$2738,$F347))</f>
        <v/>
      </c>
      <c r="J347" s="12" t="str">
        <f aca="false">IF(INDEX(選手一覧!$I$7:$I$2738,$F347)="","",INDEX(選手一覧!$I$7:$I$2738,$F347))</f>
        <v/>
      </c>
    </row>
    <row r="348" customFormat="false" ht="15" hidden="false" customHeight="false" outlineLevel="0" collapsed="false">
      <c r="A348" s="12" t="n">
        <v>344</v>
      </c>
      <c r="B348" s="10" t="s">
        <v>1169</v>
      </c>
      <c r="C348" s="10" t="s">
        <v>1170</v>
      </c>
      <c r="D348" s="11" t="n">
        <v>0.00700601851851852</v>
      </c>
      <c r="E348" s="18" t="n">
        <f aca="false">ROUND((D348-$D$5)*86400,2)</f>
        <v>66.3</v>
      </c>
      <c r="F348" s="12" t="n">
        <v>793</v>
      </c>
      <c r="G348" s="11" t="str">
        <f aca="false">IF(INDEX(選手一覧!$D$7:$D$2738,$F348)="","",INDEX(選手一覧!$D$7:$D$2738,$F348))</f>
        <v/>
      </c>
      <c r="H348" s="12" t="str">
        <f aca="false">IF(INDEX(選手一覧!$E$7:$E$2738,$F348)="","",INDEX(選手一覧!$E$7:$E$2738,$F348))</f>
        <v/>
      </c>
      <c r="I348" s="11" t="str">
        <f aca="false">IF(INDEX(選手一覧!$H$7:$H$2738,$F348)="","",INDEX(選手一覧!$H$7:$H$2738,$F348))</f>
        <v/>
      </c>
      <c r="J348" s="12" t="str">
        <f aca="false">IF(INDEX(選手一覧!$I$7:$I$2738,$F348)="","",INDEX(選手一覧!$I$7:$I$2738,$F348))</f>
        <v/>
      </c>
    </row>
    <row r="349" customFormat="false" ht="15" hidden="false" customHeight="false" outlineLevel="0" collapsed="false">
      <c r="A349" s="12" t="n">
        <v>345</v>
      </c>
      <c r="B349" s="10" t="s">
        <v>1171</v>
      </c>
      <c r="C349" s="10" t="s">
        <v>79</v>
      </c>
      <c r="D349" s="11" t="n">
        <v>0.00700706018518519</v>
      </c>
      <c r="E349" s="18" t="n">
        <f aca="false">ROUND((D349-$D$5)*86400,2)</f>
        <v>66.39</v>
      </c>
      <c r="F349" s="12" t="n">
        <v>794</v>
      </c>
      <c r="G349" s="11" t="n">
        <f aca="false">IF(INDEX(選手一覧!$D$7:$D$2738,$F349)="","",INDEX(選手一覧!$D$7:$D$2738,$F349))</f>
        <v>0.0107076388888889</v>
      </c>
      <c r="H349" s="12" t="n">
        <f aca="false">IF(INDEX(選手一覧!$E$7:$E$2738,$F349)="","",INDEX(選手一覧!$E$7:$E$2738,$F349))</f>
        <v>594</v>
      </c>
      <c r="I349" s="11" t="n">
        <f aca="false">IF(INDEX(選手一覧!$H$7:$H$2738,$F349)="","",INDEX(選手一覧!$H$7:$H$2738,$F349))</f>
        <v>0.00293472222222222</v>
      </c>
      <c r="J349" s="12" t="n">
        <f aca="false">IF(INDEX(選手一覧!$I$7:$I$2738,$F349)="","",INDEX(選手一覧!$I$7:$I$2738,$F349))</f>
        <v>1185</v>
      </c>
    </row>
    <row r="350" customFormat="false" ht="15" hidden="false" customHeight="false" outlineLevel="0" collapsed="false">
      <c r="A350" s="12" t="n">
        <v>346</v>
      </c>
      <c r="B350" s="10" t="s">
        <v>1176</v>
      </c>
      <c r="C350" s="10" t="s">
        <v>1177</v>
      </c>
      <c r="D350" s="11" t="n">
        <v>0.00700949074074074</v>
      </c>
      <c r="E350" s="18" t="n">
        <f aca="false">ROUND((D350-$D$5)*86400,2)</f>
        <v>66.6</v>
      </c>
      <c r="F350" s="12" t="n">
        <v>798</v>
      </c>
      <c r="G350" s="11" t="str">
        <f aca="false">IF(INDEX(選手一覧!$D$7:$D$2738,$F350)="","",INDEX(選手一覧!$D$7:$D$2738,$F350))</f>
        <v/>
      </c>
      <c r="H350" s="12" t="str">
        <f aca="false">IF(INDEX(選手一覧!$E$7:$E$2738,$F350)="","",INDEX(選手一覧!$E$7:$E$2738,$F350))</f>
        <v/>
      </c>
      <c r="I350" s="11" t="str">
        <f aca="false">IF(INDEX(選手一覧!$H$7:$H$2738,$F350)="","",INDEX(選手一覧!$H$7:$H$2738,$F350))</f>
        <v/>
      </c>
      <c r="J350" s="12" t="str">
        <f aca="false">IF(INDEX(選手一覧!$I$7:$I$2738,$F350)="","",INDEX(選手一覧!$I$7:$I$2738,$F350))</f>
        <v/>
      </c>
    </row>
    <row r="351" customFormat="false" ht="15" hidden="false" customHeight="false" outlineLevel="0" collapsed="false">
      <c r="A351" s="12" t="n">
        <v>347</v>
      </c>
      <c r="B351" s="10" t="s">
        <v>1179</v>
      </c>
      <c r="C351" s="10" t="s">
        <v>1180</v>
      </c>
      <c r="D351" s="11" t="n">
        <v>0.00701053240740741</v>
      </c>
      <c r="E351" s="18" t="n">
        <f aca="false">ROUND((D351-$D$5)*86400,2)</f>
        <v>66.69</v>
      </c>
      <c r="F351" s="12" t="n">
        <v>800</v>
      </c>
      <c r="G351" s="11" t="str">
        <f aca="false">IF(INDEX(選手一覧!$D$7:$D$2738,$F351)="","",INDEX(選手一覧!$D$7:$D$2738,$F351))</f>
        <v/>
      </c>
      <c r="H351" s="12" t="str">
        <f aca="false">IF(INDEX(選手一覧!$E$7:$E$2738,$F351)="","",INDEX(選手一覧!$E$7:$E$2738,$F351))</f>
        <v/>
      </c>
      <c r="I351" s="11" t="str">
        <f aca="false">IF(INDEX(選手一覧!$H$7:$H$2738,$F351)="","",INDEX(選手一覧!$H$7:$H$2738,$F351))</f>
        <v/>
      </c>
      <c r="J351" s="12" t="str">
        <f aca="false">IF(INDEX(選手一覧!$I$7:$I$2738,$F351)="","",INDEX(選手一覧!$I$7:$I$2738,$F351))</f>
        <v/>
      </c>
    </row>
    <row r="352" customFormat="false" ht="15" hidden="false" customHeight="false" outlineLevel="0" collapsed="false">
      <c r="A352" s="12" t="n">
        <v>348</v>
      </c>
      <c r="B352" s="10" t="s">
        <v>1182</v>
      </c>
      <c r="C352" s="10" t="s">
        <v>1183</v>
      </c>
      <c r="D352" s="11" t="n">
        <v>0.00701053240740741</v>
      </c>
      <c r="E352" s="18" t="n">
        <f aca="false">ROUND((D352-$D$5)*86400,2)</f>
        <v>66.69</v>
      </c>
      <c r="F352" s="12" t="n">
        <v>802</v>
      </c>
      <c r="G352" s="11" t="str">
        <f aca="false">IF(INDEX(選手一覧!$D$7:$D$2738,$F352)="","",INDEX(選手一覧!$D$7:$D$2738,$F352))</f>
        <v/>
      </c>
      <c r="H352" s="12" t="str">
        <f aca="false">IF(INDEX(選手一覧!$E$7:$E$2738,$F352)="","",INDEX(選手一覧!$E$7:$E$2738,$F352))</f>
        <v/>
      </c>
      <c r="I352" s="11" t="str">
        <f aca="false">IF(INDEX(選手一覧!$H$7:$H$2738,$F352)="","",INDEX(選手一覧!$H$7:$H$2738,$F352))</f>
        <v/>
      </c>
      <c r="J352" s="12" t="str">
        <f aca="false">IF(INDEX(選手一覧!$I$7:$I$2738,$F352)="","",INDEX(選手一覧!$I$7:$I$2738,$F352))</f>
        <v/>
      </c>
    </row>
    <row r="353" customFormat="false" ht="15" hidden="false" customHeight="false" outlineLevel="0" collapsed="false">
      <c r="A353" s="12" t="n">
        <v>349</v>
      </c>
      <c r="B353" s="10" t="s">
        <v>1185</v>
      </c>
      <c r="C353" s="10" t="s">
        <v>1186</v>
      </c>
      <c r="D353" s="11" t="n">
        <v>0.00701215277777778</v>
      </c>
      <c r="E353" s="18" t="n">
        <f aca="false">ROUND((D353-$D$5)*86400,2)</f>
        <v>66.83</v>
      </c>
      <c r="F353" s="12" t="n">
        <v>804</v>
      </c>
      <c r="G353" s="11" t="str">
        <f aca="false">IF(INDEX(選手一覧!$D$7:$D$2738,$F353)="","",INDEX(選手一覧!$D$7:$D$2738,$F353))</f>
        <v/>
      </c>
      <c r="H353" s="12" t="str">
        <f aca="false">IF(INDEX(選手一覧!$E$7:$E$2738,$F353)="","",INDEX(選手一覧!$E$7:$E$2738,$F353))</f>
        <v/>
      </c>
      <c r="I353" s="11" t="str">
        <f aca="false">IF(INDEX(選手一覧!$H$7:$H$2738,$F353)="","",INDEX(選手一覧!$H$7:$H$2738,$F353))</f>
        <v/>
      </c>
      <c r="J353" s="12" t="str">
        <f aca="false">IF(INDEX(選手一覧!$I$7:$I$2738,$F353)="","",INDEX(選手一覧!$I$7:$I$2738,$F353))</f>
        <v/>
      </c>
    </row>
    <row r="354" customFormat="false" ht="15" hidden="false" customHeight="false" outlineLevel="0" collapsed="false">
      <c r="A354" s="12" t="n">
        <v>350</v>
      </c>
      <c r="B354" s="10" t="s">
        <v>1190</v>
      </c>
      <c r="C354" s="10" t="s">
        <v>1191</v>
      </c>
      <c r="D354" s="11" t="n">
        <v>0.00701273148148148</v>
      </c>
      <c r="E354" s="18" t="n">
        <f aca="false">ROUND((D354-$D$5)*86400,2)</f>
        <v>66.88</v>
      </c>
      <c r="F354" s="12" t="n">
        <v>807</v>
      </c>
      <c r="G354" s="11" t="str">
        <f aca="false">IF(INDEX(選手一覧!$D$7:$D$2738,$F354)="","",INDEX(選手一覧!$D$7:$D$2738,$F354))</f>
        <v/>
      </c>
      <c r="H354" s="12" t="str">
        <f aca="false">IF(INDEX(選手一覧!$E$7:$E$2738,$F354)="","",INDEX(選手一覧!$E$7:$E$2738,$F354))</f>
        <v/>
      </c>
      <c r="I354" s="11" t="str">
        <f aca="false">IF(INDEX(選手一覧!$H$7:$H$2738,$F354)="","",INDEX(選手一覧!$H$7:$H$2738,$F354))</f>
        <v/>
      </c>
      <c r="J354" s="12" t="str">
        <f aca="false">IF(INDEX(選手一覧!$I$7:$I$2738,$F354)="","",INDEX(選手一覧!$I$7:$I$2738,$F354))</f>
        <v/>
      </c>
    </row>
    <row r="355" customFormat="false" ht="15" hidden="false" customHeight="false" outlineLevel="0" collapsed="false">
      <c r="A355" s="12" t="n">
        <v>351</v>
      </c>
      <c r="B355" s="10" t="s">
        <v>1193</v>
      </c>
      <c r="C355" s="10" t="s">
        <v>1194</v>
      </c>
      <c r="D355" s="11" t="n">
        <v>0.00701516203703704</v>
      </c>
      <c r="E355" s="18" t="n">
        <f aca="false">ROUND((D355-$D$5)*86400,2)</f>
        <v>67.09</v>
      </c>
      <c r="F355" s="12" t="n">
        <v>809</v>
      </c>
      <c r="G355" s="11" t="str">
        <f aca="false">IF(INDEX(選手一覧!$D$7:$D$2738,$F355)="","",INDEX(選手一覧!$D$7:$D$2738,$F355))</f>
        <v/>
      </c>
      <c r="H355" s="12" t="str">
        <f aca="false">IF(INDEX(選手一覧!$E$7:$E$2738,$F355)="","",INDEX(選手一覧!$E$7:$E$2738,$F355))</f>
        <v/>
      </c>
      <c r="I355" s="11" t="str">
        <f aca="false">IF(INDEX(選手一覧!$H$7:$H$2738,$F355)="","",INDEX(選手一覧!$H$7:$H$2738,$F355))</f>
        <v/>
      </c>
      <c r="J355" s="12" t="str">
        <f aca="false">IF(INDEX(選手一覧!$I$7:$I$2738,$F355)="","",INDEX(選手一覧!$I$7:$I$2738,$F355))</f>
        <v/>
      </c>
    </row>
    <row r="356" customFormat="false" ht="15" hidden="false" customHeight="false" outlineLevel="0" collapsed="false">
      <c r="A356" s="12" t="n">
        <v>352</v>
      </c>
      <c r="B356" s="10" t="s">
        <v>1195</v>
      </c>
      <c r="C356" s="10" t="s">
        <v>521</v>
      </c>
      <c r="D356" s="11" t="n">
        <v>0.00701574074074074</v>
      </c>
      <c r="E356" s="18" t="n">
        <f aca="false">ROUND((D356-$D$5)*86400,2)</f>
        <v>67.14</v>
      </c>
      <c r="F356" s="12" t="n">
        <v>810</v>
      </c>
      <c r="G356" s="11" t="str">
        <f aca="false">IF(INDEX(選手一覧!$D$7:$D$2738,$F356)="","",INDEX(選手一覧!$D$7:$D$2738,$F356))</f>
        <v/>
      </c>
      <c r="H356" s="12" t="str">
        <f aca="false">IF(INDEX(選手一覧!$E$7:$E$2738,$F356)="","",INDEX(選手一覧!$E$7:$E$2738,$F356))</f>
        <v/>
      </c>
      <c r="I356" s="11" t="str">
        <f aca="false">IF(INDEX(選手一覧!$H$7:$H$2738,$F356)="","",INDEX(選手一覧!$H$7:$H$2738,$F356))</f>
        <v/>
      </c>
      <c r="J356" s="12" t="str">
        <f aca="false">IF(INDEX(選手一覧!$I$7:$I$2738,$F356)="","",INDEX(選手一覧!$I$7:$I$2738,$F356))</f>
        <v/>
      </c>
    </row>
    <row r="357" customFormat="false" ht="15" hidden="false" customHeight="false" outlineLevel="0" collapsed="false">
      <c r="A357" s="12" t="n">
        <v>353</v>
      </c>
      <c r="B357" s="10" t="s">
        <v>1198</v>
      </c>
      <c r="C357" s="10" t="s">
        <v>1199</v>
      </c>
      <c r="D357" s="11" t="n">
        <v>0.00701643518518519</v>
      </c>
      <c r="E357" s="18" t="n">
        <f aca="false">ROUND((D357-$D$5)*86400,2)</f>
        <v>67.2</v>
      </c>
      <c r="F357" s="12" t="n">
        <v>813</v>
      </c>
      <c r="G357" s="11" t="n">
        <f aca="false">IF(INDEX(選手一覧!$D$7:$D$2738,$F357)="","",INDEX(選手一覧!$D$7:$D$2738,$F357))</f>
        <v>0.010978587962963</v>
      </c>
      <c r="H357" s="12" t="n">
        <f aca="false">IF(INDEX(選手一覧!$E$7:$E$2738,$F357)="","",INDEX(選手一覧!$E$7:$E$2738,$F357))</f>
        <v>1053</v>
      </c>
      <c r="I357" s="11" t="str">
        <f aca="false">IF(INDEX(選手一覧!$H$7:$H$2738,$F357)="","",INDEX(選手一覧!$H$7:$H$2738,$F357))</f>
        <v/>
      </c>
      <c r="J357" s="12" t="str">
        <f aca="false">IF(INDEX(選手一覧!$I$7:$I$2738,$F357)="","",INDEX(選手一覧!$I$7:$I$2738,$F357))</f>
        <v/>
      </c>
    </row>
    <row r="358" customFormat="false" ht="15" hidden="false" customHeight="false" outlineLevel="0" collapsed="false">
      <c r="A358" s="12" t="n">
        <v>354</v>
      </c>
      <c r="B358" s="10" t="s">
        <v>597</v>
      </c>
      <c r="C358" s="10" t="s">
        <v>229</v>
      </c>
      <c r="D358" s="11" t="n">
        <v>0.00701736111111111</v>
      </c>
      <c r="E358" s="18" t="n">
        <f aca="false">ROUND((D358-$D$5)*86400,2)</f>
        <v>67.28</v>
      </c>
      <c r="F358" s="12" t="n">
        <v>377</v>
      </c>
      <c r="G358" s="11" t="n">
        <f aca="false">IF(INDEX(選手一覧!$D$7:$D$2738,$F358)="","",INDEX(選手一覧!$D$7:$D$2738,$F358))</f>
        <v>0.0103002314814815</v>
      </c>
      <c r="H358" s="12" t="n">
        <f aca="false">IF(INDEX(選手一覧!$E$7:$E$2738,$F358)="","",INDEX(選手一覧!$E$7:$E$2738,$F358))</f>
        <v>160</v>
      </c>
      <c r="I358" s="11" t="n">
        <f aca="false">IF(INDEX(選手一覧!$H$7:$H$2738,$F358)="","",INDEX(選手一覧!$H$7:$H$2738,$F358))</f>
        <v>0.0028443287037037</v>
      </c>
      <c r="J358" s="12" t="n">
        <f aca="false">IF(INDEX(選手一覧!$I$7:$I$2738,$F358)="","",INDEX(選手一覧!$I$7:$I$2738,$F358))</f>
        <v>529</v>
      </c>
    </row>
    <row r="359" customFormat="false" ht="15" hidden="false" customHeight="false" outlineLevel="0" collapsed="false">
      <c r="A359" s="12" t="n">
        <v>355</v>
      </c>
      <c r="B359" s="10" t="s">
        <v>150</v>
      </c>
      <c r="C359" s="10" t="s">
        <v>64</v>
      </c>
      <c r="D359" s="11" t="n">
        <v>0.00702037037037037</v>
      </c>
      <c r="E359" s="18" t="n">
        <f aca="false">ROUND((D359-$D$5)*86400,2)</f>
        <v>67.54</v>
      </c>
      <c r="F359" s="12" t="n">
        <v>72</v>
      </c>
      <c r="G359" s="11" t="n">
        <f aca="false">IF(INDEX(選手一覧!$D$7:$D$2738,$F359)="","",INDEX(選手一覧!$D$7:$D$2738,$F359))</f>
        <v>0.0100400462962963</v>
      </c>
      <c r="H359" s="12" t="n">
        <f aca="false">IF(INDEX(選手一覧!$E$7:$E$2738,$F359)="","",INDEX(選手一覧!$E$7:$E$2738,$F359))</f>
        <v>29</v>
      </c>
      <c r="I359" s="11" t="n">
        <f aca="false">IF(INDEX(選手一覧!$H$7:$H$2738,$F359)="","",INDEX(選手一覧!$H$7:$H$2738,$F359))</f>
        <v>0.00270590277777778</v>
      </c>
      <c r="J359" s="12" t="n">
        <f aca="false">IF(INDEX(選手一覧!$I$7:$I$2738,$F359)="","",INDEX(選手一覧!$I$7:$I$2738,$F359))</f>
        <v>29</v>
      </c>
    </row>
    <row r="360" customFormat="false" ht="15" hidden="false" customHeight="false" outlineLevel="0" collapsed="false">
      <c r="A360" s="12" t="n">
        <v>356</v>
      </c>
      <c r="B360" s="10" t="s">
        <v>1202</v>
      </c>
      <c r="C360" s="10" t="s">
        <v>1203</v>
      </c>
      <c r="D360" s="11" t="n">
        <v>0.0070224537037037</v>
      </c>
      <c r="E360" s="18" t="n">
        <f aca="false">ROUND((D360-$D$5)*86400,2)</f>
        <v>67.72</v>
      </c>
      <c r="F360" s="12" t="n">
        <v>816</v>
      </c>
      <c r="G360" s="11" t="str">
        <f aca="false">IF(INDEX(選手一覧!$D$7:$D$2738,$F360)="","",INDEX(選手一覧!$D$7:$D$2738,$F360))</f>
        <v/>
      </c>
      <c r="H360" s="12" t="str">
        <f aca="false">IF(INDEX(選手一覧!$E$7:$E$2738,$F360)="","",INDEX(選手一覧!$E$7:$E$2738,$F360))</f>
        <v/>
      </c>
      <c r="I360" s="11" t="str">
        <f aca="false">IF(INDEX(選手一覧!$H$7:$H$2738,$F360)="","",INDEX(選手一覧!$H$7:$H$2738,$F360))</f>
        <v/>
      </c>
      <c r="J360" s="12" t="str">
        <f aca="false">IF(INDEX(選手一覧!$I$7:$I$2738,$F360)="","",INDEX(選手一覧!$I$7:$I$2738,$F360))</f>
        <v/>
      </c>
    </row>
    <row r="361" customFormat="false" ht="15" hidden="false" customHeight="false" outlineLevel="0" collapsed="false">
      <c r="A361" s="12" t="n">
        <v>357</v>
      </c>
      <c r="B361" s="10" t="s">
        <v>1207</v>
      </c>
      <c r="C361" s="10" t="s">
        <v>1208</v>
      </c>
      <c r="D361" s="11" t="n">
        <v>0.00702291666666667</v>
      </c>
      <c r="E361" s="18" t="n">
        <f aca="false">ROUND((D361-$D$5)*86400,2)</f>
        <v>67.76</v>
      </c>
      <c r="F361" s="12" t="n">
        <v>819</v>
      </c>
      <c r="G361" s="11" t="str">
        <f aca="false">IF(INDEX(選手一覧!$D$7:$D$2738,$F361)="","",INDEX(選手一覧!$D$7:$D$2738,$F361))</f>
        <v/>
      </c>
      <c r="H361" s="12" t="str">
        <f aca="false">IF(INDEX(選手一覧!$E$7:$E$2738,$F361)="","",INDEX(選手一覧!$E$7:$E$2738,$F361))</f>
        <v/>
      </c>
      <c r="I361" s="11" t="str">
        <f aca="false">IF(INDEX(選手一覧!$H$7:$H$2738,$F361)="","",INDEX(選手一覧!$H$7:$H$2738,$F361))</f>
        <v/>
      </c>
      <c r="J361" s="12" t="str">
        <f aca="false">IF(INDEX(選手一覧!$I$7:$I$2738,$F361)="","",INDEX(選手一覧!$I$7:$I$2738,$F361))</f>
        <v/>
      </c>
    </row>
    <row r="362" customFormat="false" ht="15" hidden="false" customHeight="false" outlineLevel="0" collapsed="false">
      <c r="A362" s="12" t="n">
        <v>358</v>
      </c>
      <c r="B362" s="10" t="s">
        <v>1211</v>
      </c>
      <c r="C362" s="10" t="s">
        <v>1212</v>
      </c>
      <c r="D362" s="11" t="n">
        <v>0.00702291666666667</v>
      </c>
      <c r="E362" s="18" t="n">
        <f aca="false">ROUND((D362-$D$5)*86400,2)</f>
        <v>67.76</v>
      </c>
      <c r="F362" s="12" t="n">
        <v>821</v>
      </c>
      <c r="G362" s="11" t="str">
        <f aca="false">IF(INDEX(選手一覧!$D$7:$D$2738,$F362)="","",INDEX(選手一覧!$D$7:$D$2738,$F362))</f>
        <v/>
      </c>
      <c r="H362" s="12" t="str">
        <f aca="false">IF(INDEX(選手一覧!$E$7:$E$2738,$F362)="","",INDEX(選手一覧!$E$7:$E$2738,$F362))</f>
        <v/>
      </c>
      <c r="I362" s="11" t="str">
        <f aca="false">IF(INDEX(選手一覧!$H$7:$H$2738,$F362)="","",INDEX(選手一覧!$H$7:$H$2738,$F362))</f>
        <v/>
      </c>
      <c r="J362" s="12" t="str">
        <f aca="false">IF(INDEX(選手一覧!$I$7:$I$2738,$F362)="","",INDEX(選手一覧!$I$7:$I$2738,$F362))</f>
        <v/>
      </c>
    </row>
    <row r="363" customFormat="false" ht="15" hidden="false" customHeight="false" outlineLevel="0" collapsed="false">
      <c r="A363" s="12" t="n">
        <v>359</v>
      </c>
      <c r="B363" s="10" t="s">
        <v>1214</v>
      </c>
      <c r="C363" s="10" t="s">
        <v>577</v>
      </c>
      <c r="D363" s="11" t="n">
        <v>0.00702592592592593</v>
      </c>
      <c r="E363" s="18" t="n">
        <f aca="false">ROUND((D363-$D$5)*86400,2)</f>
        <v>68.02</v>
      </c>
      <c r="F363" s="12" t="n">
        <v>823</v>
      </c>
      <c r="G363" s="11" t="n">
        <f aca="false">IF(INDEX(選手一覧!$D$7:$D$2738,$F363)="","",INDEX(選手一覧!$D$7:$D$2738,$F363))</f>
        <v>0.011006712962963</v>
      </c>
      <c r="H363" s="12" t="n">
        <f aca="false">IF(INDEX(選手一覧!$E$7:$E$2738,$F363)="","",INDEX(選手一覧!$E$7:$E$2738,$F363))</f>
        <v>1104</v>
      </c>
      <c r="I363" s="11" t="str">
        <f aca="false">IF(INDEX(選手一覧!$H$7:$H$2738,$F363)="","",INDEX(選手一覧!$H$7:$H$2738,$F363))</f>
        <v/>
      </c>
      <c r="J363" s="12" t="str">
        <f aca="false">IF(INDEX(選手一覧!$I$7:$I$2738,$F363)="","",INDEX(選手一覧!$I$7:$I$2738,$F363))</f>
        <v/>
      </c>
    </row>
    <row r="364" customFormat="false" ht="15" hidden="false" customHeight="false" outlineLevel="0" collapsed="false">
      <c r="A364" s="12" t="n">
        <v>360</v>
      </c>
      <c r="B364" s="10" t="s">
        <v>330</v>
      </c>
      <c r="C364" s="10" t="s">
        <v>29</v>
      </c>
      <c r="D364" s="11" t="n">
        <v>0.00702662037037037</v>
      </c>
      <c r="E364" s="18" t="n">
        <f aca="false">ROUND((D364-$D$5)*86400,2)</f>
        <v>68.08</v>
      </c>
      <c r="F364" s="12" t="n">
        <v>191</v>
      </c>
      <c r="G364" s="11" t="n">
        <f aca="false">IF(INDEX(選手一覧!$D$7:$D$2738,$F364)="","",INDEX(選手一覧!$D$7:$D$2738,$F364))</f>
        <v>0.0101642361111111</v>
      </c>
      <c r="H364" s="12" t="n">
        <f aca="false">IF(INDEX(選手一覧!$E$7:$E$2738,$F364)="","",INDEX(選手一覧!$E$7:$E$2738,$F364))</f>
        <v>78</v>
      </c>
      <c r="I364" s="11" t="n">
        <f aca="false">IF(INDEX(選手一覧!$H$7:$H$2738,$F364)="","",INDEX(選手一覧!$H$7:$H$2738,$F364))</f>
        <v>0.00284363425925926</v>
      </c>
      <c r="J364" s="12" t="n">
        <f aca="false">IF(INDEX(選手一覧!$I$7:$I$2738,$F364)="","",INDEX(選手一覧!$I$7:$I$2738,$F364))</f>
        <v>522</v>
      </c>
    </row>
    <row r="365" customFormat="false" ht="15" hidden="false" customHeight="false" outlineLevel="0" collapsed="false">
      <c r="A365" s="12" t="n">
        <v>361</v>
      </c>
      <c r="B365" s="10" t="s">
        <v>1217</v>
      </c>
      <c r="C365" s="10" t="s">
        <v>570</v>
      </c>
      <c r="D365" s="11" t="n">
        <v>0.00702662037037037</v>
      </c>
      <c r="E365" s="18" t="n">
        <f aca="false">ROUND((D365-$D$5)*86400,2)</f>
        <v>68.08</v>
      </c>
      <c r="F365" s="12" t="n">
        <v>825</v>
      </c>
      <c r="G365" s="11" t="str">
        <f aca="false">IF(INDEX(選手一覧!$D$7:$D$2738,$F365)="","",INDEX(選手一覧!$D$7:$D$2738,$F365))</f>
        <v/>
      </c>
      <c r="H365" s="12" t="str">
        <f aca="false">IF(INDEX(選手一覧!$E$7:$E$2738,$F365)="","",INDEX(選手一覧!$E$7:$E$2738,$F365))</f>
        <v/>
      </c>
      <c r="I365" s="11" t="str">
        <f aca="false">IF(INDEX(選手一覧!$H$7:$H$2738,$F365)="","",INDEX(選手一覧!$H$7:$H$2738,$F365))</f>
        <v/>
      </c>
      <c r="J365" s="12" t="str">
        <f aca="false">IF(INDEX(選手一覧!$I$7:$I$2738,$F365)="","",INDEX(選手一覧!$I$7:$I$2738,$F365))</f>
        <v/>
      </c>
    </row>
    <row r="366" customFormat="false" ht="15" hidden="false" customHeight="false" outlineLevel="0" collapsed="false">
      <c r="A366" s="12" t="n">
        <v>362</v>
      </c>
      <c r="B366" s="10" t="s">
        <v>1218</v>
      </c>
      <c r="C366" s="10" t="s">
        <v>1219</v>
      </c>
      <c r="D366" s="11" t="n">
        <v>0.00702708333333333</v>
      </c>
      <c r="E366" s="18" t="n">
        <f aca="false">ROUND((D366-$D$5)*86400,2)</f>
        <v>68.12</v>
      </c>
      <c r="F366" s="12" t="n">
        <v>826</v>
      </c>
      <c r="G366" s="11" t="str">
        <f aca="false">IF(INDEX(選手一覧!$D$7:$D$2738,$F366)="","",INDEX(選手一覧!$D$7:$D$2738,$F366))</f>
        <v/>
      </c>
      <c r="H366" s="12" t="str">
        <f aca="false">IF(INDEX(選手一覧!$E$7:$E$2738,$F366)="","",INDEX(選手一覧!$E$7:$E$2738,$F366))</f>
        <v/>
      </c>
      <c r="I366" s="11" t="n">
        <f aca="false">IF(INDEX(選手一覧!$H$7:$H$2738,$F366)="","",INDEX(選手一覧!$H$7:$H$2738,$F366))</f>
        <v>0.00290983796296296</v>
      </c>
      <c r="J366" s="12" t="n">
        <f aca="false">IF(INDEX(選手一覧!$I$7:$I$2738,$F366)="","",INDEX(選手一覧!$I$7:$I$2738,$F366))</f>
        <v>1018</v>
      </c>
    </row>
    <row r="367" customFormat="false" ht="15" hidden="false" customHeight="false" outlineLevel="0" collapsed="false">
      <c r="A367" s="12" t="n">
        <v>363</v>
      </c>
      <c r="B367" s="10" t="s">
        <v>1221</v>
      </c>
      <c r="C367" s="10" t="s">
        <v>947</v>
      </c>
      <c r="D367" s="11" t="n">
        <v>0.00702962962962963</v>
      </c>
      <c r="E367" s="18" t="n">
        <f aca="false">ROUND((D367-$D$5)*86400,2)</f>
        <v>68.34</v>
      </c>
      <c r="F367" s="12" t="n">
        <v>828</v>
      </c>
      <c r="G367" s="11" t="str">
        <f aca="false">IF(INDEX(選手一覧!$D$7:$D$2738,$F367)="","",INDEX(選手一覧!$D$7:$D$2738,$F367))</f>
        <v/>
      </c>
      <c r="H367" s="12" t="str">
        <f aca="false">IF(INDEX(選手一覧!$E$7:$E$2738,$F367)="","",INDEX(選手一覧!$E$7:$E$2738,$F367))</f>
        <v/>
      </c>
      <c r="I367" s="11" t="str">
        <f aca="false">IF(INDEX(選手一覧!$H$7:$H$2738,$F367)="","",INDEX(選手一覧!$H$7:$H$2738,$F367))</f>
        <v/>
      </c>
      <c r="J367" s="12" t="str">
        <f aca="false">IF(INDEX(選手一覧!$I$7:$I$2738,$F367)="","",INDEX(選手一覧!$I$7:$I$2738,$F367))</f>
        <v/>
      </c>
    </row>
    <row r="368" customFormat="false" ht="15" hidden="false" customHeight="false" outlineLevel="0" collapsed="false">
      <c r="A368" s="12" t="n">
        <v>364</v>
      </c>
      <c r="B368" s="10" t="s">
        <v>1222</v>
      </c>
      <c r="C368" s="10" t="s">
        <v>1223</v>
      </c>
      <c r="D368" s="11" t="n">
        <v>0.00703206018518519</v>
      </c>
      <c r="E368" s="18" t="n">
        <f aca="false">ROUND((D368-$D$5)*86400,2)</f>
        <v>68.55</v>
      </c>
      <c r="F368" s="12" t="n">
        <v>829</v>
      </c>
      <c r="G368" s="11" t="str">
        <f aca="false">IF(INDEX(選手一覧!$D$7:$D$2738,$F368)="","",INDEX(選手一覧!$D$7:$D$2738,$F368))</f>
        <v/>
      </c>
      <c r="H368" s="12" t="str">
        <f aca="false">IF(INDEX(選手一覧!$E$7:$E$2738,$F368)="","",INDEX(選手一覧!$E$7:$E$2738,$F368))</f>
        <v/>
      </c>
      <c r="I368" s="11" t="str">
        <f aca="false">IF(INDEX(選手一覧!$H$7:$H$2738,$F368)="","",INDEX(選手一覧!$H$7:$H$2738,$F368))</f>
        <v/>
      </c>
      <c r="J368" s="12" t="str">
        <f aca="false">IF(INDEX(選手一覧!$I$7:$I$2738,$F368)="","",INDEX(選手一覧!$I$7:$I$2738,$F368))</f>
        <v/>
      </c>
    </row>
    <row r="369" customFormat="false" ht="15" hidden="false" customHeight="false" outlineLevel="0" collapsed="false">
      <c r="A369" s="12" t="n">
        <v>365</v>
      </c>
      <c r="B369" s="10" t="s">
        <v>1224</v>
      </c>
      <c r="C369" s="10" t="s">
        <v>1225</v>
      </c>
      <c r="D369" s="11" t="n">
        <v>0.00703449074074074</v>
      </c>
      <c r="E369" s="18" t="n">
        <f aca="false">ROUND((D369-$D$5)*86400,2)</f>
        <v>68.76</v>
      </c>
      <c r="F369" s="12" t="n">
        <v>830</v>
      </c>
      <c r="G369" s="11" t="str">
        <f aca="false">IF(INDEX(選手一覧!$D$7:$D$2738,$F369)="","",INDEX(選手一覧!$D$7:$D$2738,$F369))</f>
        <v/>
      </c>
      <c r="H369" s="12" t="str">
        <f aca="false">IF(INDEX(選手一覧!$E$7:$E$2738,$F369)="","",INDEX(選手一覧!$E$7:$E$2738,$F369))</f>
        <v/>
      </c>
      <c r="I369" s="11" t="str">
        <f aca="false">IF(INDEX(選手一覧!$H$7:$H$2738,$F369)="","",INDEX(選手一覧!$H$7:$H$2738,$F369))</f>
        <v/>
      </c>
      <c r="J369" s="12" t="str">
        <f aca="false">IF(INDEX(選手一覧!$I$7:$I$2738,$F369)="","",INDEX(選手一覧!$I$7:$I$2738,$F369))</f>
        <v/>
      </c>
    </row>
    <row r="370" customFormat="false" ht="15" hidden="false" customHeight="false" outlineLevel="0" collapsed="false">
      <c r="A370" s="12" t="n">
        <v>366</v>
      </c>
      <c r="B370" s="10" t="s">
        <v>1227</v>
      </c>
      <c r="C370" s="10" t="s">
        <v>462</v>
      </c>
      <c r="D370" s="11" t="n">
        <v>0.00703483796296296</v>
      </c>
      <c r="E370" s="18" t="n">
        <f aca="false">ROUND((D370-$D$5)*86400,2)</f>
        <v>68.79</v>
      </c>
      <c r="F370" s="12" t="n">
        <v>832</v>
      </c>
      <c r="G370" s="11" t="str">
        <f aca="false">IF(INDEX(選手一覧!$D$7:$D$2738,$F370)="","",INDEX(選手一覧!$D$7:$D$2738,$F370))</f>
        <v/>
      </c>
      <c r="H370" s="12" t="str">
        <f aca="false">IF(INDEX(選手一覧!$E$7:$E$2738,$F370)="","",INDEX(選手一覧!$E$7:$E$2738,$F370))</f>
        <v/>
      </c>
      <c r="I370" s="11" t="str">
        <f aca="false">IF(INDEX(選手一覧!$H$7:$H$2738,$F370)="","",INDEX(選手一覧!$H$7:$H$2738,$F370))</f>
        <v/>
      </c>
      <c r="J370" s="12" t="str">
        <f aca="false">IF(INDEX(選手一覧!$I$7:$I$2738,$F370)="","",INDEX(選手一覧!$I$7:$I$2738,$F370))</f>
        <v/>
      </c>
    </row>
    <row r="371" customFormat="false" ht="15" hidden="false" customHeight="false" outlineLevel="0" collapsed="false">
      <c r="A371" s="12" t="n">
        <v>367</v>
      </c>
      <c r="B371" s="10" t="s">
        <v>1189</v>
      </c>
      <c r="C371" s="10" t="s">
        <v>156</v>
      </c>
      <c r="D371" s="11" t="n">
        <v>0.00703599537037037</v>
      </c>
      <c r="E371" s="18" t="n">
        <f aca="false">ROUND((D371-$D$5)*86400,2)</f>
        <v>68.89</v>
      </c>
      <c r="F371" s="12" t="n">
        <v>806</v>
      </c>
      <c r="G371" s="11" t="n">
        <f aca="false">IF(INDEX(選手一覧!$D$7:$D$2738,$F371)="","",INDEX(選手一覧!$D$7:$D$2738,$F371))</f>
        <v>0.0105109953703704</v>
      </c>
      <c r="H371" s="12" t="n">
        <f aca="false">IF(INDEX(選手一覧!$E$7:$E$2738,$F371)="","",INDEX(選手一覧!$E$7:$E$2738,$F371))</f>
        <v>350</v>
      </c>
      <c r="I371" s="11" t="str">
        <f aca="false">IF(INDEX(選手一覧!$H$7:$H$2738,$F371)="","",INDEX(選手一覧!$H$7:$H$2738,$F371))</f>
        <v/>
      </c>
      <c r="J371" s="12" t="str">
        <f aca="false">IF(INDEX(選手一覧!$I$7:$I$2738,$F371)="","",INDEX(選手一覧!$I$7:$I$2738,$F371))</f>
        <v/>
      </c>
    </row>
    <row r="372" customFormat="false" ht="15" hidden="false" customHeight="false" outlineLevel="0" collapsed="false">
      <c r="A372" s="12" t="n">
        <v>368</v>
      </c>
      <c r="B372" s="10" t="s">
        <v>1232</v>
      </c>
      <c r="C372" s="10" t="s">
        <v>4014</v>
      </c>
      <c r="D372" s="11" t="n">
        <v>0.00703703703703704</v>
      </c>
      <c r="E372" s="18" t="n">
        <f aca="false">ROUND((D372-$D$5)*86400,2)</f>
        <v>68.98</v>
      </c>
      <c r="F372" s="12" t="n">
        <v>835</v>
      </c>
      <c r="G372" s="11" t="n">
        <f aca="false">IF(INDEX(選手一覧!$D$7:$D$2738,$F372)="","",INDEX(選手一覧!$D$7:$D$2738,$F372))</f>
        <v>0.0106398148148148</v>
      </c>
      <c r="H372" s="12" t="n">
        <f aca="false">IF(INDEX(選手一覧!$E$7:$E$2738,$F372)="","",INDEX(選手一覧!$E$7:$E$2738,$F372))</f>
        <v>510</v>
      </c>
      <c r="I372" s="11" t="n">
        <f aca="false">IF(INDEX(選手一覧!$H$7:$H$2738,$F372)="","",INDEX(選手一覧!$H$7:$H$2738,$F372))</f>
        <v>0.00286574074074074</v>
      </c>
      <c r="J372" s="12" t="n">
        <f aca="false">IF(INDEX(選手一覧!$I$7:$I$2738,$F372)="","",INDEX(選手一覧!$I$7:$I$2738,$F372))</f>
        <v>669</v>
      </c>
    </row>
    <row r="373" customFormat="false" ht="15" hidden="false" customHeight="false" outlineLevel="0" collapsed="false">
      <c r="A373" s="12" t="n">
        <v>369</v>
      </c>
      <c r="B373" s="10" t="s">
        <v>1234</v>
      </c>
      <c r="C373" s="10" t="s">
        <v>116</v>
      </c>
      <c r="D373" s="11" t="n">
        <v>0.00703738425925926</v>
      </c>
      <c r="E373" s="18" t="n">
        <f aca="false">ROUND((D373-$D$5)*86400,2)</f>
        <v>69.01</v>
      </c>
      <c r="F373" s="12" t="n">
        <v>837</v>
      </c>
      <c r="G373" s="11" t="str">
        <f aca="false">IF(INDEX(選手一覧!$D$7:$D$2738,$F373)="","",INDEX(選手一覧!$D$7:$D$2738,$F373))</f>
        <v/>
      </c>
      <c r="H373" s="12" t="str">
        <f aca="false">IF(INDEX(選手一覧!$E$7:$E$2738,$F373)="","",INDEX(選手一覧!$E$7:$E$2738,$F373))</f>
        <v/>
      </c>
      <c r="I373" s="11" t="n">
        <f aca="false">IF(INDEX(選手一覧!$H$7:$H$2738,$F373)="","",INDEX(選手一覧!$H$7:$H$2738,$F373))</f>
        <v>0.00290023148148148</v>
      </c>
      <c r="J373" s="12" t="n">
        <f aca="false">IF(INDEX(選手一覧!$I$7:$I$2738,$F373)="","",INDEX(選手一覧!$I$7:$I$2738,$F373))</f>
        <v>948</v>
      </c>
    </row>
    <row r="374" customFormat="false" ht="15" hidden="false" customHeight="false" outlineLevel="0" collapsed="false">
      <c r="A374" s="12" t="n">
        <v>370</v>
      </c>
      <c r="B374" s="10" t="s">
        <v>1235</v>
      </c>
      <c r="C374" s="10" t="s">
        <v>974</v>
      </c>
      <c r="D374" s="11" t="n">
        <v>0.00703831018518519</v>
      </c>
      <c r="E374" s="18" t="n">
        <f aca="false">ROUND((D374-$D$5)*86400,2)</f>
        <v>69.09</v>
      </c>
      <c r="F374" s="12" t="n">
        <v>838</v>
      </c>
      <c r="G374" s="11" t="n">
        <f aca="false">IF(INDEX(選手一覧!$D$7:$D$2738,$F374)="","",INDEX(選手一覧!$D$7:$D$2738,$F374))</f>
        <v>0.0109949074074074</v>
      </c>
      <c r="H374" s="12" t="n">
        <f aca="false">IF(INDEX(選手一覧!$E$7:$E$2738,$F374)="","",INDEX(選手一覧!$E$7:$E$2738,$F374))</f>
        <v>1088</v>
      </c>
      <c r="I374" s="11" t="n">
        <f aca="false">IF(INDEX(選手一覧!$H$7:$H$2738,$F374)="","",INDEX(選手一覧!$H$7:$H$2738,$F374))</f>
        <v>0.00291365740740741</v>
      </c>
      <c r="J374" s="12" t="n">
        <f aca="false">IF(INDEX(選手一覧!$I$7:$I$2738,$F374)="","",INDEX(選手一覧!$I$7:$I$2738,$F374))</f>
        <v>1048</v>
      </c>
    </row>
    <row r="375" customFormat="false" ht="15" hidden="false" customHeight="false" outlineLevel="0" collapsed="false">
      <c r="A375" s="12" t="n">
        <v>371</v>
      </c>
      <c r="B375" s="10" t="s">
        <v>1236</v>
      </c>
      <c r="C375" s="10" t="s">
        <v>382</v>
      </c>
      <c r="D375" s="11" t="n">
        <v>0.00703842592592593</v>
      </c>
      <c r="E375" s="18" t="n">
        <f aca="false">ROUND((D375-$D$5)*86400,2)</f>
        <v>69.1</v>
      </c>
      <c r="F375" s="12" t="n">
        <v>839</v>
      </c>
      <c r="G375" s="11" t="n">
        <f aca="false">IF(INDEX(選手一覧!$D$7:$D$2738,$F375)="","",INDEX(選手一覧!$D$7:$D$2738,$F375))</f>
        <v>0.0106880787037037</v>
      </c>
      <c r="H375" s="12" t="n">
        <f aca="false">IF(INDEX(選手一覧!$E$7:$E$2738,$F375)="","",INDEX(選手一覧!$E$7:$E$2738,$F375))</f>
        <v>565</v>
      </c>
      <c r="I375" s="11" t="n">
        <f aca="false">IF(INDEX(選手一覧!$H$7:$H$2738,$F375)="","",INDEX(選手一覧!$H$7:$H$2738,$F375))</f>
        <v>0.00291388888888889</v>
      </c>
      <c r="J375" s="12" t="n">
        <f aca="false">IF(INDEX(選手一覧!$I$7:$I$2738,$F375)="","",INDEX(選手一覧!$I$7:$I$2738,$F375))</f>
        <v>1050</v>
      </c>
    </row>
    <row r="376" customFormat="false" ht="15" hidden="false" customHeight="false" outlineLevel="0" collapsed="false">
      <c r="A376" s="12" t="n">
        <v>372</v>
      </c>
      <c r="B376" s="10" t="s">
        <v>1238</v>
      </c>
      <c r="C376" s="10" t="s">
        <v>1239</v>
      </c>
      <c r="D376" s="11" t="n">
        <v>0.00703854166666667</v>
      </c>
      <c r="E376" s="18" t="n">
        <f aca="false">ROUND((D376-$D$5)*86400,2)</f>
        <v>69.11</v>
      </c>
      <c r="F376" s="12" t="n">
        <v>841</v>
      </c>
      <c r="G376" s="11" t="str">
        <f aca="false">IF(INDEX(選手一覧!$D$7:$D$2738,$F376)="","",INDEX(選手一覧!$D$7:$D$2738,$F376))</f>
        <v/>
      </c>
      <c r="H376" s="12" t="str">
        <f aca="false">IF(INDEX(選手一覧!$E$7:$E$2738,$F376)="","",INDEX(選手一覧!$E$7:$E$2738,$F376))</f>
        <v/>
      </c>
      <c r="I376" s="11" t="str">
        <f aca="false">IF(INDEX(選手一覧!$H$7:$H$2738,$F376)="","",INDEX(選手一覧!$H$7:$H$2738,$F376))</f>
        <v/>
      </c>
      <c r="J376" s="12" t="str">
        <f aca="false">IF(INDEX(選手一覧!$I$7:$I$2738,$F376)="","",INDEX(選手一覧!$I$7:$I$2738,$F376))</f>
        <v/>
      </c>
    </row>
    <row r="377" customFormat="false" ht="15" hidden="false" customHeight="false" outlineLevel="0" collapsed="false">
      <c r="A377" s="12" t="n">
        <v>373</v>
      </c>
      <c r="B377" s="10" t="s">
        <v>1240</v>
      </c>
      <c r="C377" s="10" t="s">
        <v>1155</v>
      </c>
      <c r="D377" s="11" t="n">
        <v>0.00703935185185185</v>
      </c>
      <c r="E377" s="18" t="n">
        <f aca="false">ROUND((D377-$D$5)*86400,2)</f>
        <v>69.18</v>
      </c>
      <c r="F377" s="12" t="n">
        <v>842</v>
      </c>
      <c r="G377" s="11" t="str">
        <f aca="false">IF(INDEX(選手一覧!$D$7:$D$2738,$F377)="","",INDEX(選手一覧!$D$7:$D$2738,$F377))</f>
        <v/>
      </c>
      <c r="H377" s="12" t="str">
        <f aca="false">IF(INDEX(選手一覧!$E$7:$E$2738,$F377)="","",INDEX(選手一覧!$E$7:$E$2738,$F377))</f>
        <v/>
      </c>
      <c r="I377" s="11" t="n">
        <f aca="false">IF(INDEX(選手一覧!$H$7:$H$2738,$F377)="","",INDEX(選手一覧!$H$7:$H$2738,$F377))</f>
        <v>0.00291840277777778</v>
      </c>
      <c r="J377" s="12" t="n">
        <f aca="false">IF(INDEX(選手一覧!$I$7:$I$2738,$F377)="","",INDEX(選手一覧!$I$7:$I$2738,$F377))</f>
        <v>1078</v>
      </c>
    </row>
    <row r="378" customFormat="false" ht="15" hidden="false" customHeight="false" outlineLevel="0" collapsed="false">
      <c r="A378" s="12" t="n">
        <v>374</v>
      </c>
      <c r="B378" s="10" t="s">
        <v>1242</v>
      </c>
      <c r="C378" s="10" t="s">
        <v>1243</v>
      </c>
      <c r="D378" s="11" t="n">
        <v>0.00703935185185185</v>
      </c>
      <c r="E378" s="18" t="n">
        <f aca="false">ROUND((D378-$D$5)*86400,2)</f>
        <v>69.18</v>
      </c>
      <c r="F378" s="12" t="n">
        <v>844</v>
      </c>
      <c r="G378" s="11" t="str">
        <f aca="false">IF(INDEX(選手一覧!$D$7:$D$2738,$F378)="","",INDEX(選手一覧!$D$7:$D$2738,$F378))</f>
        <v/>
      </c>
      <c r="H378" s="12" t="str">
        <f aca="false">IF(INDEX(選手一覧!$E$7:$E$2738,$F378)="","",INDEX(選手一覧!$E$7:$E$2738,$F378))</f>
        <v/>
      </c>
      <c r="I378" s="11" t="str">
        <f aca="false">IF(INDEX(選手一覧!$H$7:$H$2738,$F378)="","",INDEX(選手一覧!$H$7:$H$2738,$F378))</f>
        <v/>
      </c>
      <c r="J378" s="12" t="str">
        <f aca="false">IF(INDEX(選手一覧!$I$7:$I$2738,$F378)="","",INDEX(選手一覧!$I$7:$I$2738,$F378))</f>
        <v/>
      </c>
    </row>
    <row r="379" customFormat="false" ht="15" hidden="false" customHeight="false" outlineLevel="0" collapsed="false">
      <c r="A379" s="12" t="n">
        <v>375</v>
      </c>
      <c r="B379" s="10" t="s">
        <v>1245</v>
      </c>
      <c r="C379" s="10" t="s">
        <v>1246</v>
      </c>
      <c r="D379" s="11" t="n">
        <v>0.00704016203703704</v>
      </c>
      <c r="E379" s="18" t="n">
        <f aca="false">ROUND((D379-$D$5)*86400,2)</f>
        <v>69.25</v>
      </c>
      <c r="F379" s="12" t="n">
        <v>846</v>
      </c>
      <c r="G379" s="11" t="n">
        <f aca="false">IF(INDEX(選手一覧!$D$7:$D$2738,$F379)="","",INDEX(選手一覧!$D$7:$D$2738,$F379))</f>
        <v>0.0110396990740741</v>
      </c>
      <c r="H379" s="12" t="n">
        <f aca="false">IF(INDEX(選手一覧!$E$7:$E$2738,$F379)="","",INDEX(選手一覧!$E$7:$E$2738,$F379))</f>
        <v>1177</v>
      </c>
      <c r="I379" s="11" t="n">
        <f aca="false">IF(INDEX(選手一覧!$H$7:$H$2738,$F379)="","",INDEX(選手一覧!$H$7:$H$2738,$F379))</f>
        <v>0.00289143518518519</v>
      </c>
      <c r="J379" s="12" t="n">
        <f aca="false">IF(INDEX(選手一覧!$I$7:$I$2738,$F379)="","",INDEX(選手一覧!$I$7:$I$2738,$F379))</f>
        <v>880</v>
      </c>
    </row>
    <row r="380" customFormat="false" ht="15" hidden="false" customHeight="false" outlineLevel="0" collapsed="false">
      <c r="A380" s="12" t="n">
        <v>376</v>
      </c>
      <c r="B380" s="10" t="s">
        <v>1249</v>
      </c>
      <c r="C380" s="10" t="s">
        <v>348</v>
      </c>
      <c r="D380" s="11" t="n">
        <v>0.00704027777777778</v>
      </c>
      <c r="E380" s="18" t="n">
        <f aca="false">ROUND((D380-$D$5)*86400,2)</f>
        <v>69.26</v>
      </c>
      <c r="F380" s="12" t="n">
        <v>849</v>
      </c>
      <c r="G380" s="11" t="str">
        <f aca="false">IF(INDEX(選手一覧!$D$7:$D$2738,$F380)="","",INDEX(選手一覧!$D$7:$D$2738,$F380))</f>
        <v/>
      </c>
      <c r="H380" s="12" t="str">
        <f aca="false">IF(INDEX(選手一覧!$E$7:$E$2738,$F380)="","",INDEX(選手一覧!$E$7:$E$2738,$F380))</f>
        <v/>
      </c>
      <c r="I380" s="11" t="str">
        <f aca="false">IF(INDEX(選手一覧!$H$7:$H$2738,$F380)="","",INDEX(選手一覧!$H$7:$H$2738,$F380))</f>
        <v/>
      </c>
      <c r="J380" s="12" t="str">
        <f aca="false">IF(INDEX(選手一覧!$I$7:$I$2738,$F380)="","",INDEX(選手一覧!$I$7:$I$2738,$F380))</f>
        <v/>
      </c>
    </row>
    <row r="381" customFormat="false" ht="15" hidden="false" customHeight="false" outlineLevel="0" collapsed="false">
      <c r="A381" s="12" t="n">
        <v>377</v>
      </c>
      <c r="B381" s="10" t="s">
        <v>1250</v>
      </c>
      <c r="C381" s="10" t="s">
        <v>302</v>
      </c>
      <c r="D381" s="11" t="n">
        <v>0.00704074074074074</v>
      </c>
      <c r="E381" s="18" t="n">
        <f aca="false">ROUND((D381-$D$5)*86400,2)</f>
        <v>69.3</v>
      </c>
      <c r="F381" s="12" t="n">
        <v>850</v>
      </c>
      <c r="G381" s="11" t="n">
        <f aca="false">IF(INDEX(選手一覧!$D$7:$D$2738,$F381)="","",INDEX(選手一覧!$D$7:$D$2738,$F381))</f>
        <v>0.0107921296296296</v>
      </c>
      <c r="H381" s="12" t="n">
        <f aca="false">IF(INDEX(選手一覧!$E$7:$E$2738,$F381)="","",INDEX(選手一覧!$E$7:$E$2738,$F381))</f>
        <v>730</v>
      </c>
      <c r="I381" s="11" t="n">
        <f aca="false">IF(INDEX(選手一覧!$H$7:$H$2738,$F381)="","",INDEX(選手一覧!$H$7:$H$2738,$F381))</f>
        <v>0.00287094907407407</v>
      </c>
      <c r="J381" s="12" t="n">
        <f aca="false">IF(INDEX(選手一覧!$I$7:$I$2738,$F381)="","",INDEX(選手一覧!$I$7:$I$2738,$F381))</f>
        <v>704</v>
      </c>
    </row>
    <row r="382" customFormat="false" ht="15" hidden="false" customHeight="false" outlineLevel="0" collapsed="false">
      <c r="A382" s="12" t="n">
        <v>378</v>
      </c>
      <c r="B382" s="10" t="s">
        <v>676</v>
      </c>
      <c r="C382" s="10" t="s">
        <v>387</v>
      </c>
      <c r="D382" s="11" t="n">
        <v>0.00704131944444445</v>
      </c>
      <c r="E382" s="18" t="n">
        <f aca="false">ROUND((D382-$D$5)*86400,2)</f>
        <v>69.35</v>
      </c>
      <c r="F382" s="12" t="n">
        <v>432</v>
      </c>
      <c r="G382" s="11" t="n">
        <f aca="false">IF(INDEX(選手一覧!$D$7:$D$2738,$F382)="","",INDEX(選手一覧!$D$7:$D$2738,$F382))</f>
        <v>0.0103303240740741</v>
      </c>
      <c r="H382" s="12" t="n">
        <f aca="false">IF(INDEX(選手一覧!$E$7:$E$2738,$F382)="","",INDEX(選手一覧!$E$7:$E$2738,$F382))</f>
        <v>182</v>
      </c>
      <c r="I382" s="11" t="n">
        <f aca="false">IF(INDEX(選手一覧!$H$7:$H$2738,$F382)="","",INDEX(選手一覧!$H$7:$H$2738,$F382))</f>
        <v>0.00277731481481482</v>
      </c>
      <c r="J382" s="12" t="n">
        <f aca="false">IF(INDEX(選手一覧!$I$7:$I$2738,$F382)="","",INDEX(選手一覧!$I$7:$I$2738,$F382))</f>
        <v>187</v>
      </c>
    </row>
    <row r="383" customFormat="false" ht="15" hidden="false" customHeight="false" outlineLevel="0" collapsed="false">
      <c r="A383" s="12" t="n">
        <v>379</v>
      </c>
      <c r="B383" s="10" t="s">
        <v>1254</v>
      </c>
      <c r="C383" s="10" t="s">
        <v>1255</v>
      </c>
      <c r="D383" s="11" t="n">
        <v>0.00704143518518519</v>
      </c>
      <c r="E383" s="18" t="n">
        <f aca="false">ROUND((D383-$D$5)*86400,2)</f>
        <v>69.36</v>
      </c>
      <c r="F383" s="12" t="n">
        <v>854</v>
      </c>
      <c r="G383" s="11" t="str">
        <f aca="false">IF(INDEX(選手一覧!$D$7:$D$2738,$F383)="","",INDEX(選手一覧!$D$7:$D$2738,$F383))</f>
        <v/>
      </c>
      <c r="H383" s="12" t="str">
        <f aca="false">IF(INDEX(選手一覧!$E$7:$E$2738,$F383)="","",INDEX(選手一覧!$E$7:$E$2738,$F383))</f>
        <v/>
      </c>
      <c r="I383" s="11" t="n">
        <f aca="false">IF(INDEX(選手一覧!$H$7:$H$2738,$F383)="","",INDEX(選手一覧!$H$7:$H$2738,$F383))</f>
        <v>0.0029400462962963</v>
      </c>
      <c r="J383" s="12" t="n">
        <f aca="false">IF(INDEX(選手一覧!$I$7:$I$2738,$F383)="","",INDEX(選手一覧!$I$7:$I$2738,$F383))</f>
        <v>1200</v>
      </c>
    </row>
    <row r="384" customFormat="false" ht="15" hidden="false" customHeight="false" outlineLevel="0" collapsed="false">
      <c r="A384" s="12" t="n">
        <v>380</v>
      </c>
      <c r="B384" s="10" t="s">
        <v>1256</v>
      </c>
      <c r="C384" s="10" t="s">
        <v>1257</v>
      </c>
      <c r="D384" s="11" t="n">
        <v>0.00704282407407407</v>
      </c>
      <c r="E384" s="18" t="n">
        <f aca="false">ROUND((D384-$D$5)*86400,2)</f>
        <v>69.48</v>
      </c>
      <c r="F384" s="12" t="n">
        <v>855</v>
      </c>
      <c r="G384" s="11" t="str">
        <f aca="false">IF(INDEX(選手一覧!$D$7:$D$2738,$F384)="","",INDEX(選手一覧!$D$7:$D$2738,$F384))</f>
        <v/>
      </c>
      <c r="H384" s="12" t="str">
        <f aca="false">IF(INDEX(選手一覧!$E$7:$E$2738,$F384)="","",INDEX(選手一覧!$E$7:$E$2738,$F384))</f>
        <v/>
      </c>
      <c r="I384" s="11" t="str">
        <f aca="false">IF(INDEX(選手一覧!$H$7:$H$2738,$F384)="","",INDEX(選手一覧!$H$7:$H$2738,$F384))</f>
        <v/>
      </c>
      <c r="J384" s="12" t="str">
        <f aca="false">IF(INDEX(選手一覧!$I$7:$I$2738,$F384)="","",INDEX(選手一覧!$I$7:$I$2738,$F384))</f>
        <v/>
      </c>
    </row>
    <row r="385" customFormat="false" ht="15" hidden="false" customHeight="false" outlineLevel="0" collapsed="false">
      <c r="A385" s="12" t="n">
        <v>381</v>
      </c>
      <c r="B385" s="10" t="s">
        <v>1261</v>
      </c>
      <c r="C385" s="10" t="s">
        <v>1033</v>
      </c>
      <c r="D385" s="11" t="n">
        <v>0.00704282407407407</v>
      </c>
      <c r="E385" s="18" t="n">
        <f aca="false">ROUND((D385-$D$5)*86400,2)</f>
        <v>69.48</v>
      </c>
      <c r="F385" s="12" t="n">
        <v>858</v>
      </c>
      <c r="G385" s="11" t="str">
        <f aca="false">IF(INDEX(選手一覧!$D$7:$D$2738,$F385)="","",INDEX(選手一覧!$D$7:$D$2738,$F385))</f>
        <v/>
      </c>
      <c r="H385" s="12" t="str">
        <f aca="false">IF(INDEX(選手一覧!$E$7:$E$2738,$F385)="","",INDEX(選手一覧!$E$7:$E$2738,$F385))</f>
        <v/>
      </c>
      <c r="I385" s="11" t="str">
        <f aca="false">IF(INDEX(選手一覧!$H$7:$H$2738,$F385)="","",INDEX(選手一覧!$H$7:$H$2738,$F385))</f>
        <v/>
      </c>
      <c r="J385" s="12" t="str">
        <f aca="false">IF(INDEX(選手一覧!$I$7:$I$2738,$F385)="","",INDEX(選手一覧!$I$7:$I$2738,$F385))</f>
        <v/>
      </c>
    </row>
    <row r="386" customFormat="false" ht="15" hidden="false" customHeight="false" outlineLevel="0" collapsed="false">
      <c r="A386" s="12" t="n">
        <v>382</v>
      </c>
      <c r="B386" s="10" t="s">
        <v>1262</v>
      </c>
      <c r="C386" s="10" t="s">
        <v>1263</v>
      </c>
      <c r="D386" s="11" t="n">
        <v>0.00704305555555556</v>
      </c>
      <c r="E386" s="18" t="n">
        <f aca="false">ROUND((D386-$D$5)*86400,2)</f>
        <v>69.5</v>
      </c>
      <c r="F386" s="12" t="n">
        <v>859</v>
      </c>
      <c r="G386" s="11" t="str">
        <f aca="false">IF(INDEX(選手一覧!$D$7:$D$2738,$F386)="","",INDEX(選手一覧!$D$7:$D$2738,$F386))</f>
        <v/>
      </c>
      <c r="H386" s="12" t="str">
        <f aca="false">IF(INDEX(選手一覧!$E$7:$E$2738,$F386)="","",INDEX(選手一覧!$E$7:$E$2738,$F386))</f>
        <v/>
      </c>
      <c r="I386" s="11" t="str">
        <f aca="false">IF(INDEX(選手一覧!$H$7:$H$2738,$F386)="","",INDEX(選手一覧!$H$7:$H$2738,$F386))</f>
        <v/>
      </c>
      <c r="J386" s="12" t="str">
        <f aca="false">IF(INDEX(選手一覧!$I$7:$I$2738,$F386)="","",INDEX(選手一覧!$I$7:$I$2738,$F386))</f>
        <v/>
      </c>
    </row>
    <row r="387" customFormat="false" ht="15" hidden="false" customHeight="false" outlineLevel="0" collapsed="false">
      <c r="A387" s="12" t="n">
        <v>383</v>
      </c>
      <c r="B387" s="10" t="s">
        <v>1264</v>
      </c>
      <c r="C387" s="10" t="s">
        <v>1265</v>
      </c>
      <c r="D387" s="11" t="n">
        <v>0.00704351851851852</v>
      </c>
      <c r="E387" s="18" t="n">
        <f aca="false">ROUND((D387-$D$5)*86400,2)</f>
        <v>69.54</v>
      </c>
      <c r="F387" s="12" t="n">
        <v>860</v>
      </c>
      <c r="G387" s="11" t="n">
        <f aca="false">IF(INDEX(選手一覧!$D$7:$D$2738,$F387)="","",INDEX(選手一覧!$D$7:$D$2738,$F387))</f>
        <v>0.0109077546296296</v>
      </c>
      <c r="H387" s="12" t="n">
        <f aca="false">IF(INDEX(選手一覧!$E$7:$E$2738,$F387)="","",INDEX(選手一覧!$E$7:$E$2738,$F387))</f>
        <v>933</v>
      </c>
      <c r="I387" s="11" t="str">
        <f aca="false">IF(INDEX(選手一覧!$H$7:$H$2738,$F387)="","",INDEX(選手一覧!$H$7:$H$2738,$F387))</f>
        <v/>
      </c>
      <c r="J387" s="12" t="str">
        <f aca="false">IF(INDEX(選手一覧!$I$7:$I$2738,$F387)="","",INDEX(選手一覧!$I$7:$I$2738,$F387))</f>
        <v/>
      </c>
    </row>
    <row r="388" customFormat="false" ht="15" hidden="false" customHeight="false" outlineLevel="0" collapsed="false">
      <c r="A388" s="12" t="n">
        <v>384</v>
      </c>
      <c r="B388" s="10" t="s">
        <v>1270</v>
      </c>
      <c r="C388" s="10" t="s">
        <v>1271</v>
      </c>
      <c r="D388" s="11" t="n">
        <v>0.00704444444444444</v>
      </c>
      <c r="E388" s="18" t="n">
        <f aca="false">ROUND((D388-$D$5)*86400,2)</f>
        <v>69.62</v>
      </c>
      <c r="F388" s="12" t="n">
        <v>864</v>
      </c>
      <c r="G388" s="11" t="str">
        <f aca="false">IF(INDEX(選手一覧!$D$7:$D$2738,$F388)="","",INDEX(選手一覧!$D$7:$D$2738,$F388))</f>
        <v/>
      </c>
      <c r="H388" s="12" t="str">
        <f aca="false">IF(INDEX(選手一覧!$E$7:$E$2738,$F388)="","",INDEX(選手一覧!$E$7:$E$2738,$F388))</f>
        <v/>
      </c>
      <c r="I388" s="11" t="str">
        <f aca="false">IF(INDEX(選手一覧!$H$7:$H$2738,$F388)="","",INDEX(選手一覧!$H$7:$H$2738,$F388))</f>
        <v/>
      </c>
      <c r="J388" s="12" t="str">
        <f aca="false">IF(INDEX(選手一覧!$I$7:$I$2738,$F388)="","",INDEX(選手一覧!$I$7:$I$2738,$F388))</f>
        <v/>
      </c>
    </row>
    <row r="389" customFormat="false" ht="15" hidden="false" customHeight="false" outlineLevel="0" collapsed="false">
      <c r="A389" s="12" t="n">
        <v>385</v>
      </c>
      <c r="B389" s="10" t="s">
        <v>1274</v>
      </c>
      <c r="C389" s="10" t="s">
        <v>861</v>
      </c>
      <c r="D389" s="11" t="n">
        <v>0.00704467592592593</v>
      </c>
      <c r="E389" s="18" t="n">
        <f aca="false">ROUND((D389-$D$5)*86400,2)</f>
        <v>69.64</v>
      </c>
      <c r="F389" s="12" t="n">
        <v>867</v>
      </c>
      <c r="G389" s="11" t="str">
        <f aca="false">IF(INDEX(選手一覧!$D$7:$D$2738,$F389)="","",INDEX(選手一覧!$D$7:$D$2738,$F389))</f>
        <v/>
      </c>
      <c r="H389" s="12" t="str">
        <f aca="false">IF(INDEX(選手一覧!$E$7:$E$2738,$F389)="","",INDEX(選手一覧!$E$7:$E$2738,$F389))</f>
        <v/>
      </c>
      <c r="I389" s="11" t="str">
        <f aca="false">IF(INDEX(選手一覧!$H$7:$H$2738,$F389)="","",INDEX(選手一覧!$H$7:$H$2738,$F389))</f>
        <v/>
      </c>
      <c r="J389" s="12" t="str">
        <f aca="false">IF(INDEX(選手一覧!$I$7:$I$2738,$F389)="","",INDEX(選手一覧!$I$7:$I$2738,$F389))</f>
        <v/>
      </c>
    </row>
    <row r="390" customFormat="false" ht="15" hidden="false" customHeight="false" outlineLevel="0" collapsed="false">
      <c r="A390" s="12" t="n">
        <v>386</v>
      </c>
      <c r="B390" s="10" t="s">
        <v>1278</v>
      </c>
      <c r="C390" s="10" t="s">
        <v>567</v>
      </c>
      <c r="D390" s="11" t="n">
        <v>0.00704675925925926</v>
      </c>
      <c r="E390" s="18" t="n">
        <f aca="false">ROUND((D390-$D$5)*86400,2)</f>
        <v>69.82</v>
      </c>
      <c r="F390" s="12" t="n">
        <v>870</v>
      </c>
      <c r="G390" s="11" t="str">
        <f aca="false">IF(INDEX(選手一覧!$D$7:$D$2738,$F390)="","",INDEX(選手一覧!$D$7:$D$2738,$F390))</f>
        <v/>
      </c>
      <c r="H390" s="12" t="str">
        <f aca="false">IF(INDEX(選手一覧!$E$7:$E$2738,$F390)="","",INDEX(選手一覧!$E$7:$E$2738,$F390))</f>
        <v/>
      </c>
      <c r="I390" s="11" t="str">
        <f aca="false">IF(INDEX(選手一覧!$H$7:$H$2738,$F390)="","",INDEX(選手一覧!$H$7:$H$2738,$F390))</f>
        <v/>
      </c>
      <c r="J390" s="12" t="str">
        <f aca="false">IF(INDEX(選手一覧!$I$7:$I$2738,$F390)="","",INDEX(選手一覧!$I$7:$I$2738,$F390))</f>
        <v/>
      </c>
    </row>
    <row r="391" customFormat="false" ht="15" hidden="false" customHeight="false" outlineLevel="0" collapsed="false">
      <c r="A391" s="12" t="n">
        <v>387</v>
      </c>
      <c r="B391" s="10" t="s">
        <v>1279</v>
      </c>
      <c r="C391" s="10" t="s">
        <v>1280</v>
      </c>
      <c r="D391" s="11" t="n">
        <v>0.00704675925925926</v>
      </c>
      <c r="E391" s="18" t="n">
        <f aca="false">ROUND((D391-$D$5)*86400,2)</f>
        <v>69.82</v>
      </c>
      <c r="F391" s="12" t="n">
        <v>871</v>
      </c>
      <c r="G391" s="11" t="n">
        <f aca="false">IF(INDEX(選手一覧!$D$7:$D$2738,$F391)="","",INDEX(選手一覧!$D$7:$D$2738,$F391))</f>
        <v>0.011015162037037</v>
      </c>
      <c r="H391" s="12" t="n">
        <f aca="false">IF(INDEX(選手一覧!$E$7:$E$2738,$F391)="","",INDEX(選手一覧!$E$7:$E$2738,$F391))</f>
        <v>1118</v>
      </c>
      <c r="I391" s="11" t="n">
        <f aca="false">IF(INDEX(選手一覧!$H$7:$H$2738,$F391)="","",INDEX(選手一覧!$H$7:$H$2738,$F391))</f>
        <v>0.00292349537037037</v>
      </c>
      <c r="J391" s="12" t="n">
        <f aca="false">IF(INDEX(選手一覧!$I$7:$I$2738,$F391)="","",INDEX(選手一覧!$I$7:$I$2738,$F391))</f>
        <v>1133</v>
      </c>
    </row>
    <row r="392" customFormat="false" ht="15" hidden="false" customHeight="false" outlineLevel="0" collapsed="false">
      <c r="A392" s="12" t="n">
        <v>388</v>
      </c>
      <c r="B392" s="10" t="s">
        <v>1282</v>
      </c>
      <c r="C392" s="10" t="s">
        <v>1283</v>
      </c>
      <c r="D392" s="11" t="n">
        <v>0.00704699074074074</v>
      </c>
      <c r="E392" s="18" t="n">
        <f aca="false">ROUND((D392-$D$5)*86400,2)</f>
        <v>69.84</v>
      </c>
      <c r="F392" s="12" t="n">
        <v>873</v>
      </c>
      <c r="G392" s="11" t="str">
        <f aca="false">IF(INDEX(選手一覧!$D$7:$D$2738,$F392)="","",INDEX(選手一覧!$D$7:$D$2738,$F392))</f>
        <v/>
      </c>
      <c r="H392" s="12" t="str">
        <f aca="false">IF(INDEX(選手一覧!$E$7:$E$2738,$F392)="","",INDEX(選手一覧!$E$7:$E$2738,$F392))</f>
        <v/>
      </c>
      <c r="I392" s="11" t="str">
        <f aca="false">IF(INDEX(選手一覧!$H$7:$H$2738,$F392)="","",INDEX(選手一覧!$H$7:$H$2738,$F392))</f>
        <v/>
      </c>
      <c r="J392" s="12" t="str">
        <f aca="false">IF(INDEX(選手一覧!$I$7:$I$2738,$F392)="","",INDEX(選手一覧!$I$7:$I$2738,$F392))</f>
        <v/>
      </c>
    </row>
    <row r="393" customFormat="false" ht="15" hidden="false" customHeight="false" outlineLevel="0" collapsed="false">
      <c r="A393" s="12" t="n">
        <v>389</v>
      </c>
      <c r="B393" s="10" t="s">
        <v>1285</v>
      </c>
      <c r="C393" s="10" t="s">
        <v>1286</v>
      </c>
      <c r="D393" s="11" t="n">
        <v>0.00704988425925926</v>
      </c>
      <c r="E393" s="18" t="n">
        <f aca="false">ROUND((D393-$D$5)*86400,2)</f>
        <v>70.09</v>
      </c>
      <c r="F393" s="12" t="n">
        <v>875</v>
      </c>
      <c r="G393" s="11" t="n">
        <f aca="false">IF(INDEX(選手一覧!$D$7:$D$2738,$F393)="","",INDEX(選手一覧!$D$7:$D$2738,$F393))</f>
        <v>0.0108793981481482</v>
      </c>
      <c r="H393" s="12" t="n">
        <f aca="false">IF(INDEX(選手一覧!$E$7:$E$2738,$F393)="","",INDEX(選手一覧!$E$7:$E$2738,$F393))</f>
        <v>887</v>
      </c>
      <c r="I393" s="11" t="str">
        <f aca="false">IF(INDEX(選手一覧!$H$7:$H$2738,$F393)="","",INDEX(選手一覧!$H$7:$H$2738,$F393))</f>
        <v/>
      </c>
      <c r="J393" s="12" t="str">
        <f aca="false">IF(INDEX(選手一覧!$I$7:$I$2738,$F393)="","",INDEX(選手一覧!$I$7:$I$2738,$F393))</f>
        <v/>
      </c>
    </row>
    <row r="394" customFormat="false" ht="15" hidden="false" customHeight="false" outlineLevel="0" collapsed="false">
      <c r="A394" s="12" t="n">
        <v>390</v>
      </c>
      <c r="B394" s="10" t="s">
        <v>1290</v>
      </c>
      <c r="C394" s="10" t="s">
        <v>377</v>
      </c>
      <c r="D394" s="11" t="n">
        <v>0.00705023148148148</v>
      </c>
      <c r="E394" s="18" t="n">
        <f aca="false">ROUND((D394-$D$5)*86400,2)</f>
        <v>70.12</v>
      </c>
      <c r="F394" s="12" t="n">
        <v>878</v>
      </c>
      <c r="G394" s="11" t="str">
        <f aca="false">IF(INDEX(選手一覧!$D$7:$D$2738,$F394)="","",INDEX(選手一覧!$D$7:$D$2738,$F394))</f>
        <v/>
      </c>
      <c r="H394" s="12" t="str">
        <f aca="false">IF(INDEX(選手一覧!$E$7:$E$2738,$F394)="","",INDEX(選手一覧!$E$7:$E$2738,$F394))</f>
        <v/>
      </c>
      <c r="I394" s="11" t="str">
        <f aca="false">IF(INDEX(選手一覧!$H$7:$H$2738,$F394)="","",INDEX(選手一覧!$H$7:$H$2738,$F394))</f>
        <v/>
      </c>
      <c r="J394" s="12" t="str">
        <f aca="false">IF(INDEX(選手一覧!$I$7:$I$2738,$F394)="","",INDEX(選手一覧!$I$7:$I$2738,$F394))</f>
        <v/>
      </c>
    </row>
    <row r="395" customFormat="false" ht="15" hidden="false" customHeight="false" outlineLevel="0" collapsed="false">
      <c r="A395" s="12" t="n">
        <v>391</v>
      </c>
      <c r="B395" s="10" t="s">
        <v>1291</v>
      </c>
      <c r="C395" s="10" t="s">
        <v>171</v>
      </c>
      <c r="D395" s="11" t="n">
        <v>0.00705046296296296</v>
      </c>
      <c r="E395" s="18" t="n">
        <f aca="false">ROUND((D395-$D$5)*86400,2)</f>
        <v>70.14</v>
      </c>
      <c r="F395" s="12" t="n">
        <v>879</v>
      </c>
      <c r="G395" s="11" t="str">
        <f aca="false">IF(INDEX(選手一覧!$D$7:$D$2738,$F395)="","",INDEX(選手一覧!$D$7:$D$2738,$F395))</f>
        <v/>
      </c>
      <c r="H395" s="12" t="str">
        <f aca="false">IF(INDEX(選手一覧!$E$7:$E$2738,$F395)="","",INDEX(選手一覧!$E$7:$E$2738,$F395))</f>
        <v/>
      </c>
      <c r="I395" s="11" t="str">
        <f aca="false">IF(INDEX(選手一覧!$H$7:$H$2738,$F395)="","",INDEX(選手一覧!$H$7:$H$2738,$F395))</f>
        <v/>
      </c>
      <c r="J395" s="12" t="str">
        <f aca="false">IF(INDEX(選手一覧!$I$7:$I$2738,$F395)="","",INDEX(選手一覧!$I$7:$I$2738,$F395))</f>
        <v/>
      </c>
    </row>
    <row r="396" customFormat="false" ht="15" hidden="false" customHeight="false" outlineLevel="0" collapsed="false">
      <c r="A396" s="12" t="n">
        <v>392</v>
      </c>
      <c r="B396" s="10" t="s">
        <v>1293</v>
      </c>
      <c r="C396" s="10" t="s">
        <v>795</v>
      </c>
      <c r="D396" s="11" t="n">
        <v>0.00705092592592593</v>
      </c>
      <c r="E396" s="18" t="n">
        <f aca="false">ROUND((D396-$D$5)*86400,2)</f>
        <v>70.18</v>
      </c>
      <c r="F396" s="12" t="n">
        <v>881</v>
      </c>
      <c r="G396" s="11" t="str">
        <f aca="false">IF(INDEX(選手一覧!$D$7:$D$2738,$F396)="","",INDEX(選手一覧!$D$7:$D$2738,$F396))</f>
        <v/>
      </c>
      <c r="H396" s="12" t="str">
        <f aca="false">IF(INDEX(選手一覧!$E$7:$E$2738,$F396)="","",INDEX(選手一覧!$E$7:$E$2738,$F396))</f>
        <v/>
      </c>
      <c r="I396" s="11" t="str">
        <f aca="false">IF(INDEX(選手一覧!$H$7:$H$2738,$F396)="","",INDEX(選手一覧!$H$7:$H$2738,$F396))</f>
        <v/>
      </c>
      <c r="J396" s="12" t="str">
        <f aca="false">IF(INDEX(選手一覧!$I$7:$I$2738,$F396)="","",INDEX(選手一覧!$I$7:$I$2738,$F396))</f>
        <v/>
      </c>
    </row>
    <row r="397" customFormat="false" ht="15" hidden="false" customHeight="false" outlineLevel="0" collapsed="false">
      <c r="A397" s="12" t="n">
        <v>393</v>
      </c>
      <c r="B397" s="10" t="s">
        <v>1298</v>
      </c>
      <c r="C397" s="10" t="s">
        <v>1299</v>
      </c>
      <c r="D397" s="11" t="n">
        <v>0.00705416666666667</v>
      </c>
      <c r="E397" s="18" t="n">
        <f aca="false">ROUND((D397-$D$5)*86400,2)</f>
        <v>70.46</v>
      </c>
      <c r="F397" s="12" t="n">
        <v>884</v>
      </c>
      <c r="G397" s="11" t="str">
        <f aca="false">IF(INDEX(選手一覧!$D$7:$D$2738,$F397)="","",INDEX(選手一覧!$D$7:$D$2738,$F397))</f>
        <v/>
      </c>
      <c r="H397" s="12" t="str">
        <f aca="false">IF(INDEX(選手一覧!$E$7:$E$2738,$F397)="","",INDEX(選手一覧!$E$7:$E$2738,$F397))</f>
        <v/>
      </c>
      <c r="I397" s="11" t="n">
        <f aca="false">IF(INDEX(選手一覧!$H$7:$H$2738,$F397)="","",INDEX(選手一覧!$H$7:$H$2738,$F397))</f>
        <v>0.00295925925925926</v>
      </c>
      <c r="J397" s="12" t="n">
        <f aca="false">IF(INDEX(選手一覧!$I$7:$I$2738,$F397)="","",INDEX(選手一覧!$I$7:$I$2738,$F397))</f>
        <v>1266</v>
      </c>
    </row>
    <row r="398" customFormat="false" ht="15" hidden="false" customHeight="false" outlineLevel="0" collapsed="false">
      <c r="A398" s="12" t="n">
        <v>394</v>
      </c>
      <c r="B398" s="10" t="s">
        <v>1138</v>
      </c>
      <c r="C398" s="10" t="s">
        <v>1020</v>
      </c>
      <c r="D398" s="11" t="n">
        <v>0.00705462962962963</v>
      </c>
      <c r="E398" s="18" t="n">
        <f aca="false">ROUND((D398-$D$5)*86400,2)</f>
        <v>70.5</v>
      </c>
      <c r="F398" s="12" t="n">
        <v>768</v>
      </c>
      <c r="G398" s="11" t="n">
        <f aca="false">IF(INDEX(選手一覧!$D$7:$D$2738,$F398)="","",INDEX(選手一覧!$D$7:$D$2738,$F398))</f>
        <v>0.0105478009259259</v>
      </c>
      <c r="H398" s="12" t="n">
        <f aca="false">IF(INDEX(選手一覧!$E$7:$E$2738,$F398)="","",INDEX(選手一覧!$E$7:$E$2738,$F398))</f>
        <v>395</v>
      </c>
      <c r="I398" s="11" t="n">
        <f aca="false">IF(INDEX(選手一覧!$H$7:$H$2738,$F398)="","",INDEX(選手一覧!$H$7:$H$2738,$F398))</f>
        <v>0.00281296296296296</v>
      </c>
      <c r="J398" s="12" t="n">
        <f aca="false">IF(INDEX(選手一覧!$I$7:$I$2738,$F398)="","",INDEX(選手一覧!$I$7:$I$2738,$F398))</f>
        <v>333</v>
      </c>
    </row>
    <row r="399" customFormat="false" ht="15" hidden="false" customHeight="false" outlineLevel="0" collapsed="false">
      <c r="A399" s="12" t="n">
        <v>395</v>
      </c>
      <c r="B399" s="10" t="s">
        <v>1306</v>
      </c>
      <c r="C399" s="10" t="s">
        <v>492</v>
      </c>
      <c r="D399" s="11" t="n">
        <v>0.00705462962962963</v>
      </c>
      <c r="E399" s="18" t="n">
        <f aca="false">ROUND((D399-$D$5)*86400,2)</f>
        <v>70.5</v>
      </c>
      <c r="F399" s="12" t="n">
        <v>888</v>
      </c>
      <c r="G399" s="11" t="str">
        <f aca="false">IF(INDEX(選手一覧!$D$7:$D$2738,$F399)="","",INDEX(選手一覧!$D$7:$D$2738,$F399))</f>
        <v/>
      </c>
      <c r="H399" s="12" t="str">
        <f aca="false">IF(INDEX(選手一覧!$E$7:$E$2738,$F399)="","",INDEX(選手一覧!$E$7:$E$2738,$F399))</f>
        <v/>
      </c>
      <c r="I399" s="11" t="str">
        <f aca="false">IF(INDEX(選手一覧!$H$7:$H$2738,$F399)="","",INDEX(選手一覧!$H$7:$H$2738,$F399))</f>
        <v/>
      </c>
      <c r="J399" s="12" t="str">
        <f aca="false">IF(INDEX(選手一覧!$I$7:$I$2738,$F399)="","",INDEX(選手一覧!$I$7:$I$2738,$F399))</f>
        <v/>
      </c>
    </row>
    <row r="400" customFormat="false" ht="15" hidden="false" customHeight="false" outlineLevel="0" collapsed="false">
      <c r="A400" s="12" t="n">
        <v>396</v>
      </c>
      <c r="B400" s="10" t="s">
        <v>1307</v>
      </c>
      <c r="C400" s="10" t="s">
        <v>43</v>
      </c>
      <c r="D400" s="11" t="n">
        <v>0.00705543981481482</v>
      </c>
      <c r="E400" s="18" t="n">
        <f aca="false">ROUND((D400-$D$5)*86400,2)</f>
        <v>70.57</v>
      </c>
      <c r="F400" s="12" t="n">
        <v>889</v>
      </c>
      <c r="G400" s="11" t="n">
        <f aca="false">IF(INDEX(選手一覧!$D$7:$D$2738,$F400)="","",INDEX(選手一覧!$D$7:$D$2738,$F400))</f>
        <v>0.0106886574074074</v>
      </c>
      <c r="H400" s="12" t="n">
        <f aca="false">IF(INDEX(選手一覧!$E$7:$E$2738,$F400)="","",INDEX(選手一覧!$E$7:$E$2738,$F400))</f>
        <v>566</v>
      </c>
      <c r="I400" s="11" t="str">
        <f aca="false">IF(INDEX(選手一覧!$H$7:$H$2738,$F400)="","",INDEX(選手一覧!$H$7:$H$2738,$F400))</f>
        <v/>
      </c>
      <c r="J400" s="12" t="str">
        <f aca="false">IF(INDEX(選手一覧!$I$7:$I$2738,$F400)="","",INDEX(選手一覧!$I$7:$I$2738,$F400))</f>
        <v/>
      </c>
    </row>
    <row r="401" customFormat="false" ht="15" hidden="false" customHeight="false" outlineLevel="0" collapsed="false">
      <c r="A401" s="12" t="n">
        <v>397</v>
      </c>
      <c r="B401" s="10" t="s">
        <v>1310</v>
      </c>
      <c r="C401" s="10" t="s">
        <v>1311</v>
      </c>
      <c r="D401" s="11" t="n">
        <v>0.00705625</v>
      </c>
      <c r="E401" s="18" t="n">
        <f aca="false">ROUND((D401-$D$5)*86400,2)</f>
        <v>70.64</v>
      </c>
      <c r="F401" s="12" t="n">
        <v>891</v>
      </c>
      <c r="G401" s="11" t="n">
        <f aca="false">IF(INDEX(選手一覧!$D$7:$D$2738,$F401)="","",INDEX(選手一覧!$D$7:$D$2738,$F401))</f>
        <v>0.0111162037037037</v>
      </c>
      <c r="H401" s="12" t="n">
        <f aca="false">IF(INDEX(選手一覧!$E$7:$E$2738,$F401)="","",INDEX(選手一覧!$E$7:$E$2738,$F401))</f>
        <v>1282</v>
      </c>
      <c r="I401" s="11" t="str">
        <f aca="false">IF(INDEX(選手一覧!$H$7:$H$2738,$F401)="","",INDEX(選手一覧!$H$7:$H$2738,$F401))</f>
        <v/>
      </c>
      <c r="J401" s="12" t="str">
        <f aca="false">IF(INDEX(選手一覧!$I$7:$I$2738,$F401)="","",INDEX(選手一覧!$I$7:$I$2738,$F401))</f>
        <v/>
      </c>
    </row>
    <row r="402" customFormat="false" ht="15" hidden="false" customHeight="false" outlineLevel="0" collapsed="false">
      <c r="A402" s="12" t="n">
        <v>398</v>
      </c>
      <c r="B402" s="10" t="s">
        <v>1313</v>
      </c>
      <c r="C402" s="10" t="s">
        <v>1314</v>
      </c>
      <c r="D402" s="11" t="n">
        <v>0.00705648148148148</v>
      </c>
      <c r="E402" s="18" t="n">
        <f aca="false">ROUND((D402-$D$5)*86400,2)</f>
        <v>70.66</v>
      </c>
      <c r="F402" s="12" t="n">
        <v>893</v>
      </c>
      <c r="G402" s="11" t="str">
        <f aca="false">IF(INDEX(選手一覧!$D$7:$D$2738,$F402)="","",INDEX(選手一覧!$D$7:$D$2738,$F402))</f>
        <v/>
      </c>
      <c r="H402" s="12" t="str">
        <f aca="false">IF(INDEX(選手一覧!$E$7:$E$2738,$F402)="","",INDEX(選手一覧!$E$7:$E$2738,$F402))</f>
        <v/>
      </c>
      <c r="I402" s="11" t="str">
        <f aca="false">IF(INDEX(選手一覧!$H$7:$H$2738,$F402)="","",INDEX(選手一覧!$H$7:$H$2738,$F402))</f>
        <v/>
      </c>
      <c r="J402" s="12" t="str">
        <f aca="false">IF(INDEX(選手一覧!$I$7:$I$2738,$F402)="","",INDEX(選手一覧!$I$7:$I$2738,$F402))</f>
        <v/>
      </c>
    </row>
    <row r="403" customFormat="false" ht="15" hidden="false" customHeight="false" outlineLevel="0" collapsed="false">
      <c r="A403" s="12" t="n">
        <v>399</v>
      </c>
      <c r="B403" s="10" t="s">
        <v>1315</v>
      </c>
      <c r="C403" s="10" t="s">
        <v>81</v>
      </c>
      <c r="D403" s="11" t="n">
        <v>0.00705833333333333</v>
      </c>
      <c r="E403" s="18" t="n">
        <f aca="false">ROUND((D403-$D$5)*86400,2)</f>
        <v>70.82</v>
      </c>
      <c r="F403" s="12" t="n">
        <v>894</v>
      </c>
      <c r="G403" s="11" t="n">
        <f aca="false">IF(INDEX(選手一覧!$D$7:$D$2738,$F403)="","",INDEX(選手一覧!$D$7:$D$2738,$F403))</f>
        <v>0.0108613425925926</v>
      </c>
      <c r="H403" s="12" t="n">
        <f aca="false">IF(INDEX(選手一覧!$E$7:$E$2738,$F403)="","",INDEX(選手一覧!$E$7:$E$2738,$F403))</f>
        <v>852</v>
      </c>
      <c r="I403" s="11" t="n">
        <f aca="false">IF(INDEX(選手一覧!$H$7:$H$2738,$F403)="","",INDEX(選手一覧!$H$7:$H$2738,$F403))</f>
        <v>0.00287476851851852</v>
      </c>
      <c r="J403" s="12" t="n">
        <f aca="false">IF(INDEX(選手一覧!$I$7:$I$2738,$F403)="","",INDEX(選手一覧!$I$7:$I$2738,$F403))</f>
        <v>733</v>
      </c>
    </row>
    <row r="404" customFormat="false" ht="15" hidden="false" customHeight="false" outlineLevel="0" collapsed="false">
      <c r="A404" s="12" t="n">
        <v>400</v>
      </c>
      <c r="B404" s="10" t="s">
        <v>1317</v>
      </c>
      <c r="C404" s="10" t="s">
        <v>1059</v>
      </c>
      <c r="D404" s="11" t="n">
        <v>0.00705925925925926</v>
      </c>
      <c r="E404" s="18" t="n">
        <f aca="false">ROUND((D404-$D$5)*86400,2)</f>
        <v>70.9</v>
      </c>
      <c r="F404" s="12" t="n">
        <v>896</v>
      </c>
      <c r="G404" s="11" t="str">
        <f aca="false">IF(INDEX(選手一覧!$D$7:$D$2738,$F404)="","",INDEX(選手一覧!$D$7:$D$2738,$F404))</f>
        <v/>
      </c>
      <c r="H404" s="12" t="str">
        <f aca="false">IF(INDEX(選手一覧!$E$7:$E$2738,$F404)="","",INDEX(選手一覧!$E$7:$E$2738,$F404))</f>
        <v/>
      </c>
      <c r="I404" s="11" t="n">
        <f aca="false">IF(INDEX(選手一覧!$H$7:$H$2738,$F404)="","",INDEX(選手一覧!$H$7:$H$2738,$F404))</f>
        <v>0.00286956018518519</v>
      </c>
      <c r="J404" s="12" t="n">
        <f aca="false">IF(INDEX(選手一覧!$I$7:$I$2738,$F404)="","",INDEX(選手一覧!$I$7:$I$2738,$F404))</f>
        <v>690</v>
      </c>
    </row>
    <row r="405" customFormat="false" ht="15" hidden="false" customHeight="false" outlineLevel="0" collapsed="false">
      <c r="A405" s="12" t="n">
        <v>401</v>
      </c>
      <c r="B405" s="10" t="s">
        <v>1321</v>
      </c>
      <c r="C405" s="10" t="s">
        <v>1322</v>
      </c>
      <c r="D405" s="11" t="n">
        <v>0.00705949074074074</v>
      </c>
      <c r="E405" s="18" t="n">
        <f aca="false">ROUND((D405-$D$5)*86400,2)</f>
        <v>70.92</v>
      </c>
      <c r="F405" s="12" t="n">
        <v>899</v>
      </c>
      <c r="G405" s="11" t="str">
        <f aca="false">IF(INDEX(選手一覧!$D$7:$D$2738,$F405)="","",INDEX(選手一覧!$D$7:$D$2738,$F405))</f>
        <v/>
      </c>
      <c r="H405" s="12" t="str">
        <f aca="false">IF(INDEX(選手一覧!$E$7:$E$2738,$F405)="","",INDEX(選手一覧!$E$7:$E$2738,$F405))</f>
        <v/>
      </c>
      <c r="I405" s="11" t="str">
        <f aca="false">IF(INDEX(選手一覧!$H$7:$H$2738,$F405)="","",INDEX(選手一覧!$H$7:$H$2738,$F405))</f>
        <v/>
      </c>
      <c r="J405" s="12" t="str">
        <f aca="false">IF(INDEX(選手一覧!$I$7:$I$2738,$F405)="","",INDEX(選手一覧!$I$7:$I$2738,$F405))</f>
        <v/>
      </c>
    </row>
    <row r="406" customFormat="false" ht="15" hidden="false" customHeight="false" outlineLevel="0" collapsed="false">
      <c r="A406" s="12" t="n">
        <v>402</v>
      </c>
      <c r="B406" s="10" t="s">
        <v>1325</v>
      </c>
      <c r="C406" s="10" t="s">
        <v>1326</v>
      </c>
      <c r="D406" s="11" t="n">
        <v>0.00706284722222222</v>
      </c>
      <c r="E406" s="18" t="n">
        <f aca="false">ROUND((D406-$D$5)*86400,2)</f>
        <v>71.21</v>
      </c>
      <c r="F406" s="12" t="n">
        <v>902</v>
      </c>
      <c r="G406" s="11" t="str">
        <f aca="false">IF(INDEX(選手一覧!$D$7:$D$2738,$F406)="","",INDEX(選手一覧!$D$7:$D$2738,$F406))</f>
        <v/>
      </c>
      <c r="H406" s="12" t="str">
        <f aca="false">IF(INDEX(選手一覧!$E$7:$E$2738,$F406)="","",INDEX(選手一覧!$E$7:$E$2738,$F406))</f>
        <v/>
      </c>
      <c r="I406" s="11" t="n">
        <f aca="false">IF(INDEX(選手一覧!$H$7:$H$2738,$F406)="","",INDEX(選手一覧!$H$7:$H$2738,$F406))</f>
        <v>0.00284606481481482</v>
      </c>
      <c r="J406" s="12" t="n">
        <f aca="false">IF(INDEX(選手一覧!$I$7:$I$2738,$F406)="","",INDEX(選手一覧!$I$7:$I$2738,$F406))</f>
        <v>544</v>
      </c>
    </row>
    <row r="407" customFormat="false" ht="15" hidden="false" customHeight="false" outlineLevel="0" collapsed="false">
      <c r="A407" s="12" t="n">
        <v>403</v>
      </c>
      <c r="B407" s="10" t="s">
        <v>1328</v>
      </c>
      <c r="C407" s="10" t="s">
        <v>1329</v>
      </c>
      <c r="D407" s="11" t="n">
        <v>0.0070630787037037</v>
      </c>
      <c r="E407" s="18" t="n">
        <f aca="false">ROUND((D407-$D$5)*86400,2)</f>
        <v>71.23</v>
      </c>
      <c r="F407" s="12" t="n">
        <v>904</v>
      </c>
      <c r="G407" s="11" t="str">
        <f aca="false">IF(INDEX(選手一覧!$D$7:$D$2738,$F407)="","",INDEX(選手一覧!$D$7:$D$2738,$F407))</f>
        <v/>
      </c>
      <c r="H407" s="12" t="str">
        <f aca="false">IF(INDEX(選手一覧!$E$7:$E$2738,$F407)="","",INDEX(選手一覧!$E$7:$E$2738,$F407))</f>
        <v/>
      </c>
      <c r="I407" s="11" t="str">
        <f aca="false">IF(INDEX(選手一覧!$H$7:$H$2738,$F407)="","",INDEX(選手一覧!$H$7:$H$2738,$F407))</f>
        <v/>
      </c>
      <c r="J407" s="12" t="str">
        <f aca="false">IF(INDEX(選手一覧!$I$7:$I$2738,$F407)="","",INDEX(選手一覧!$I$7:$I$2738,$F407))</f>
        <v/>
      </c>
    </row>
    <row r="408" customFormat="false" ht="15" hidden="false" customHeight="false" outlineLevel="0" collapsed="false">
      <c r="A408" s="12" t="n">
        <v>404</v>
      </c>
      <c r="B408" s="10" t="s">
        <v>1213</v>
      </c>
      <c r="C408" s="10" t="s">
        <v>175</v>
      </c>
      <c r="D408" s="11" t="n">
        <v>0.00706319444444444</v>
      </c>
      <c r="E408" s="18" t="n">
        <f aca="false">ROUND((D408-$D$5)*86400,2)</f>
        <v>71.24</v>
      </c>
      <c r="F408" s="12" t="n">
        <v>822</v>
      </c>
      <c r="G408" s="11" t="n">
        <f aca="false">IF(INDEX(選手一覧!$D$7:$D$2738,$F408)="","",INDEX(選手一覧!$D$7:$D$2738,$F408))</f>
        <v>0.0105157407407407</v>
      </c>
      <c r="H408" s="12" t="n">
        <f aca="false">IF(INDEX(選手一覧!$E$7:$E$2738,$F408)="","",INDEX(選手一覧!$E$7:$E$2738,$F408))</f>
        <v>359</v>
      </c>
      <c r="I408" s="11" t="str">
        <f aca="false">IF(INDEX(選手一覧!$H$7:$H$2738,$F408)="","",INDEX(選手一覧!$H$7:$H$2738,$F408))</f>
        <v/>
      </c>
      <c r="J408" s="12" t="str">
        <f aca="false">IF(INDEX(選手一覧!$I$7:$I$2738,$F408)="","",INDEX(選手一覧!$I$7:$I$2738,$F408))</f>
        <v/>
      </c>
    </row>
    <row r="409" customFormat="false" ht="15" hidden="false" customHeight="false" outlineLevel="0" collapsed="false">
      <c r="A409" s="12" t="n">
        <v>405</v>
      </c>
      <c r="B409" s="10" t="s">
        <v>1335</v>
      </c>
      <c r="C409" s="10" t="s">
        <v>1336</v>
      </c>
      <c r="D409" s="11" t="n">
        <v>0.00706331018518519</v>
      </c>
      <c r="E409" s="18" t="n">
        <f aca="false">ROUND((D409-$D$5)*86400,2)</f>
        <v>71.25</v>
      </c>
      <c r="F409" s="12" t="n">
        <v>908</v>
      </c>
      <c r="G409" s="11" t="str">
        <f aca="false">IF(INDEX(選手一覧!$D$7:$D$2738,$F409)="","",INDEX(選手一覧!$D$7:$D$2738,$F409))</f>
        <v/>
      </c>
      <c r="H409" s="12" t="str">
        <f aca="false">IF(INDEX(選手一覧!$E$7:$E$2738,$F409)="","",INDEX(選手一覧!$E$7:$E$2738,$F409))</f>
        <v/>
      </c>
      <c r="I409" s="11" t="str">
        <f aca="false">IF(INDEX(選手一覧!$H$7:$H$2738,$F409)="","",INDEX(選手一覧!$H$7:$H$2738,$F409))</f>
        <v/>
      </c>
      <c r="J409" s="12" t="str">
        <f aca="false">IF(INDEX(選手一覧!$I$7:$I$2738,$F409)="","",INDEX(選手一覧!$I$7:$I$2738,$F409))</f>
        <v/>
      </c>
    </row>
    <row r="410" customFormat="false" ht="15" hidden="false" customHeight="false" outlineLevel="0" collapsed="false">
      <c r="A410" s="12" t="n">
        <v>406</v>
      </c>
      <c r="B410" s="10" t="s">
        <v>1337</v>
      </c>
      <c r="C410" s="10" t="s">
        <v>823</v>
      </c>
      <c r="D410" s="11" t="n">
        <v>0.00706365740740741</v>
      </c>
      <c r="E410" s="18" t="n">
        <f aca="false">ROUND((D410-$D$5)*86400,2)</f>
        <v>71.28</v>
      </c>
      <c r="F410" s="12" t="n">
        <v>909</v>
      </c>
      <c r="G410" s="11" t="n">
        <f aca="false">IF(INDEX(選手一覧!$D$7:$D$2738,$F410)="","",INDEX(選手一覧!$D$7:$D$2738,$F410))</f>
        <v>0.0107929398148148</v>
      </c>
      <c r="H410" s="12" t="n">
        <f aca="false">IF(INDEX(選手一覧!$E$7:$E$2738,$F410)="","",INDEX(選手一覧!$E$7:$E$2738,$F410))</f>
        <v>732</v>
      </c>
      <c r="I410" s="11" t="n">
        <f aca="false">IF(INDEX(選手一覧!$H$7:$H$2738,$F410)="","",INDEX(選手一覧!$H$7:$H$2738,$F410))</f>
        <v>0.00288356481481481</v>
      </c>
      <c r="J410" s="12" t="n">
        <f aca="false">IF(INDEX(選手一覧!$I$7:$I$2738,$F410)="","",INDEX(選手一覧!$I$7:$I$2738,$F410))</f>
        <v>804</v>
      </c>
    </row>
    <row r="411" customFormat="false" ht="15" hidden="false" customHeight="false" outlineLevel="0" collapsed="false">
      <c r="A411" s="12" t="n">
        <v>407</v>
      </c>
      <c r="B411" s="10" t="s">
        <v>1339</v>
      </c>
      <c r="C411" s="10" t="s">
        <v>1283</v>
      </c>
      <c r="D411" s="11" t="n">
        <v>0.00706446759259259</v>
      </c>
      <c r="E411" s="18" t="n">
        <f aca="false">ROUND((D411-$D$5)*86400,2)</f>
        <v>71.35</v>
      </c>
      <c r="F411" s="12" t="n">
        <v>911</v>
      </c>
      <c r="G411" s="11" t="n">
        <f aca="false">IF(INDEX(選手一覧!$D$7:$D$2738,$F411)="","",INDEX(選手一覧!$D$7:$D$2738,$F411))</f>
        <v>0.0108384259259259</v>
      </c>
      <c r="H411" s="12" t="n">
        <f aca="false">IF(INDEX(選手一覧!$E$7:$E$2738,$F411)="","",INDEX(選手一覧!$E$7:$E$2738,$F411))</f>
        <v>808</v>
      </c>
      <c r="I411" s="11" t="n">
        <f aca="false">IF(INDEX(選手一覧!$H$7:$H$2738,$F411)="","",INDEX(選手一覧!$H$7:$H$2738,$F411))</f>
        <v>0.00285393518518519</v>
      </c>
      <c r="J411" s="12" t="n">
        <f aca="false">IF(INDEX(選手一覧!$I$7:$I$2738,$F411)="","",INDEX(選手一覧!$I$7:$I$2738,$F411))</f>
        <v>592</v>
      </c>
    </row>
    <row r="412" customFormat="false" ht="15" hidden="false" customHeight="false" outlineLevel="0" collapsed="false">
      <c r="A412" s="12" t="n">
        <v>408</v>
      </c>
      <c r="B412" s="10" t="s">
        <v>1342</v>
      </c>
      <c r="C412" s="10" t="s">
        <v>32</v>
      </c>
      <c r="D412" s="11" t="n">
        <v>0.0070650462962963</v>
      </c>
      <c r="E412" s="18" t="n">
        <f aca="false">ROUND((D412-$D$5)*86400,2)</f>
        <v>71.4</v>
      </c>
      <c r="F412" s="12" t="n">
        <v>913</v>
      </c>
      <c r="G412" s="11" t="str">
        <f aca="false">IF(INDEX(選手一覧!$D$7:$D$2738,$F412)="","",INDEX(選手一覧!$D$7:$D$2738,$F412))</f>
        <v/>
      </c>
      <c r="H412" s="12" t="str">
        <f aca="false">IF(INDEX(選手一覧!$E$7:$E$2738,$F412)="","",INDEX(選手一覧!$E$7:$E$2738,$F412))</f>
        <v/>
      </c>
      <c r="I412" s="11" t="str">
        <f aca="false">IF(INDEX(選手一覧!$H$7:$H$2738,$F412)="","",INDEX(選手一覧!$H$7:$H$2738,$F412))</f>
        <v/>
      </c>
      <c r="J412" s="12" t="str">
        <f aca="false">IF(INDEX(選手一覧!$I$7:$I$2738,$F412)="","",INDEX(選手一覧!$I$7:$I$2738,$F412))</f>
        <v/>
      </c>
    </row>
    <row r="413" customFormat="false" ht="15" hidden="false" customHeight="false" outlineLevel="0" collapsed="false">
      <c r="A413" s="12" t="n">
        <v>409</v>
      </c>
      <c r="B413" s="10" t="s">
        <v>1347</v>
      </c>
      <c r="C413" s="10" t="s">
        <v>1348</v>
      </c>
      <c r="D413" s="11" t="n">
        <v>0.00706539351851852</v>
      </c>
      <c r="E413" s="18" t="n">
        <f aca="false">ROUND((D413-$D$5)*86400,2)</f>
        <v>71.43</v>
      </c>
      <c r="F413" s="12" t="n">
        <v>917</v>
      </c>
      <c r="G413" s="11" t="str">
        <f aca="false">IF(INDEX(選手一覧!$D$7:$D$2738,$F413)="","",INDEX(選手一覧!$D$7:$D$2738,$F413))</f>
        <v/>
      </c>
      <c r="H413" s="12" t="str">
        <f aca="false">IF(INDEX(選手一覧!$E$7:$E$2738,$F413)="","",INDEX(選手一覧!$E$7:$E$2738,$F413))</f>
        <v/>
      </c>
      <c r="I413" s="11" t="str">
        <f aca="false">IF(INDEX(選手一覧!$H$7:$H$2738,$F413)="","",INDEX(選手一覧!$H$7:$H$2738,$F413))</f>
        <v/>
      </c>
      <c r="J413" s="12" t="str">
        <f aca="false">IF(INDEX(選手一覧!$I$7:$I$2738,$F413)="","",INDEX(選手一覧!$I$7:$I$2738,$F413))</f>
        <v/>
      </c>
    </row>
    <row r="414" customFormat="false" ht="15" hidden="false" customHeight="false" outlineLevel="0" collapsed="false">
      <c r="A414" s="12" t="n">
        <v>410</v>
      </c>
      <c r="B414" s="10" t="s">
        <v>1349</v>
      </c>
      <c r="C414" s="10" t="s">
        <v>105</v>
      </c>
      <c r="D414" s="11" t="n">
        <v>0.00706574074074074</v>
      </c>
      <c r="E414" s="18" t="n">
        <f aca="false">ROUND((D414-$D$5)*86400,2)</f>
        <v>71.46</v>
      </c>
      <c r="F414" s="12" t="n">
        <v>918</v>
      </c>
      <c r="G414" s="11" t="n">
        <f aca="false">IF(INDEX(選手一覧!$D$7:$D$2738,$F414)="","",INDEX(選手一覧!$D$7:$D$2738,$F414))</f>
        <v>0.0106653935185185</v>
      </c>
      <c r="H414" s="12" t="n">
        <f aca="false">IF(INDEX(選手一覧!$E$7:$E$2738,$F414)="","",INDEX(選手一覧!$E$7:$E$2738,$F414))</f>
        <v>540</v>
      </c>
      <c r="I414" s="11" t="str">
        <f aca="false">IF(INDEX(選手一覧!$H$7:$H$2738,$F414)="","",INDEX(選手一覧!$H$7:$H$2738,$F414))</f>
        <v/>
      </c>
      <c r="J414" s="12" t="str">
        <f aca="false">IF(INDEX(選手一覧!$I$7:$I$2738,$F414)="","",INDEX(選手一覧!$I$7:$I$2738,$F414))</f>
        <v/>
      </c>
    </row>
    <row r="415" customFormat="false" ht="15" hidden="false" customHeight="false" outlineLevel="0" collapsed="false">
      <c r="A415" s="12" t="n">
        <v>411</v>
      </c>
      <c r="B415" s="10" t="s">
        <v>1350</v>
      </c>
      <c r="C415" s="10" t="s">
        <v>1351</v>
      </c>
      <c r="D415" s="11" t="n">
        <v>0.00706574074074074</v>
      </c>
      <c r="E415" s="18" t="n">
        <f aca="false">ROUND((D415-$D$5)*86400,2)</f>
        <v>71.46</v>
      </c>
      <c r="F415" s="12" t="n">
        <v>919</v>
      </c>
      <c r="G415" s="11" t="str">
        <f aca="false">IF(INDEX(選手一覧!$D$7:$D$2738,$F415)="","",INDEX(選手一覧!$D$7:$D$2738,$F415))</f>
        <v/>
      </c>
      <c r="H415" s="12" t="str">
        <f aca="false">IF(INDEX(選手一覧!$E$7:$E$2738,$F415)="","",INDEX(選手一覧!$E$7:$E$2738,$F415))</f>
        <v/>
      </c>
      <c r="I415" s="11" t="str">
        <f aca="false">IF(INDEX(選手一覧!$H$7:$H$2738,$F415)="","",INDEX(選手一覧!$H$7:$H$2738,$F415))</f>
        <v/>
      </c>
      <c r="J415" s="12" t="str">
        <f aca="false">IF(INDEX(選手一覧!$I$7:$I$2738,$F415)="","",INDEX(選手一覧!$I$7:$I$2738,$F415))</f>
        <v/>
      </c>
    </row>
    <row r="416" customFormat="false" ht="15" hidden="false" customHeight="false" outlineLevel="0" collapsed="false">
      <c r="A416" s="12" t="n">
        <v>412</v>
      </c>
      <c r="B416" s="10" t="s">
        <v>1355</v>
      </c>
      <c r="C416" s="10" t="s">
        <v>286</v>
      </c>
      <c r="D416" s="11" t="n">
        <v>0.00706863425925926</v>
      </c>
      <c r="E416" s="18" t="n">
        <f aca="false">ROUND((D416-$D$5)*86400,2)</f>
        <v>71.71</v>
      </c>
      <c r="F416" s="12" t="n">
        <v>922</v>
      </c>
      <c r="G416" s="11" t="str">
        <f aca="false">IF(INDEX(選手一覧!$D$7:$D$2738,$F416)="","",INDEX(選手一覧!$D$7:$D$2738,$F416))</f>
        <v/>
      </c>
      <c r="H416" s="12" t="str">
        <f aca="false">IF(INDEX(選手一覧!$E$7:$E$2738,$F416)="","",INDEX(選手一覧!$E$7:$E$2738,$F416))</f>
        <v/>
      </c>
      <c r="I416" s="11" t="str">
        <f aca="false">IF(INDEX(選手一覧!$H$7:$H$2738,$F416)="","",INDEX(選手一覧!$H$7:$H$2738,$F416))</f>
        <v/>
      </c>
      <c r="J416" s="12" t="str">
        <f aca="false">IF(INDEX(選手一覧!$I$7:$I$2738,$F416)="","",INDEX(選手一覧!$I$7:$I$2738,$F416))</f>
        <v/>
      </c>
    </row>
    <row r="417" customFormat="false" ht="15" hidden="false" customHeight="false" outlineLevel="0" collapsed="false">
      <c r="A417" s="12" t="n">
        <v>413</v>
      </c>
      <c r="B417" s="10" t="s">
        <v>1356</v>
      </c>
      <c r="C417" s="10" t="s">
        <v>1357</v>
      </c>
      <c r="D417" s="11" t="n">
        <v>0.00706909722222222</v>
      </c>
      <c r="E417" s="18" t="n">
        <f aca="false">ROUND((D417-$D$5)*86400,2)</f>
        <v>71.75</v>
      </c>
      <c r="F417" s="12" t="n">
        <v>923</v>
      </c>
      <c r="G417" s="11" t="n">
        <f aca="false">IF(INDEX(選手一覧!$D$7:$D$2738,$F417)="","",INDEX(選手一覧!$D$7:$D$2738,$F417))</f>
        <v>0.0110112268518519</v>
      </c>
      <c r="H417" s="12" t="n">
        <f aca="false">IF(INDEX(選手一覧!$E$7:$E$2738,$F417)="","",INDEX(選手一覧!$E$7:$E$2738,$F417))</f>
        <v>1112</v>
      </c>
      <c r="I417" s="11" t="n">
        <f aca="false">IF(INDEX(選手一覧!$H$7:$H$2738,$F417)="","",INDEX(選手一覧!$H$7:$H$2738,$F417))</f>
        <v>0.00289837962962963</v>
      </c>
      <c r="J417" s="12" t="n">
        <f aca="false">IF(INDEX(選手一覧!$I$7:$I$2738,$F417)="","",INDEX(選手一覧!$I$7:$I$2738,$F417))</f>
        <v>935</v>
      </c>
    </row>
    <row r="418" customFormat="false" ht="15" hidden="false" customHeight="false" outlineLevel="0" collapsed="false">
      <c r="A418" s="12" t="n">
        <v>414</v>
      </c>
      <c r="B418" s="10" t="s">
        <v>1359</v>
      </c>
      <c r="C418" s="10" t="s">
        <v>988</v>
      </c>
      <c r="D418" s="11" t="n">
        <v>0.00706967592592593</v>
      </c>
      <c r="E418" s="18" t="n">
        <f aca="false">ROUND((D418-$D$5)*86400,2)</f>
        <v>71.8</v>
      </c>
      <c r="F418" s="12" t="n">
        <v>925</v>
      </c>
      <c r="G418" s="11" t="str">
        <f aca="false">IF(INDEX(選手一覧!$D$7:$D$2738,$F418)="","",INDEX(選手一覧!$D$7:$D$2738,$F418))</f>
        <v/>
      </c>
      <c r="H418" s="12" t="str">
        <f aca="false">IF(INDEX(選手一覧!$E$7:$E$2738,$F418)="","",INDEX(選手一覧!$E$7:$E$2738,$F418))</f>
        <v/>
      </c>
      <c r="I418" s="11" t="str">
        <f aca="false">IF(INDEX(選手一覧!$H$7:$H$2738,$F418)="","",INDEX(選手一覧!$H$7:$H$2738,$F418))</f>
        <v/>
      </c>
      <c r="J418" s="12" t="str">
        <f aca="false">IF(INDEX(選手一覧!$I$7:$I$2738,$F418)="","",INDEX(選手一覧!$I$7:$I$2738,$F418))</f>
        <v/>
      </c>
    </row>
    <row r="419" customFormat="false" ht="15" hidden="false" customHeight="false" outlineLevel="0" collapsed="false">
      <c r="A419" s="12" t="n">
        <v>415</v>
      </c>
      <c r="B419" s="10" t="s">
        <v>1360</v>
      </c>
      <c r="C419" s="10" t="s">
        <v>1225</v>
      </c>
      <c r="D419" s="11" t="n">
        <v>0.00707071759259259</v>
      </c>
      <c r="E419" s="18" t="n">
        <f aca="false">ROUND((D419-$D$5)*86400,2)</f>
        <v>71.89</v>
      </c>
      <c r="F419" s="12" t="n">
        <v>926</v>
      </c>
      <c r="G419" s="11" t="str">
        <f aca="false">IF(INDEX(選手一覧!$D$7:$D$2738,$F419)="","",INDEX(選手一覧!$D$7:$D$2738,$F419))</f>
        <v/>
      </c>
      <c r="H419" s="12" t="str">
        <f aca="false">IF(INDEX(選手一覧!$E$7:$E$2738,$F419)="","",INDEX(選手一覧!$E$7:$E$2738,$F419))</f>
        <v/>
      </c>
      <c r="I419" s="11" t="str">
        <f aca="false">IF(INDEX(選手一覧!$H$7:$H$2738,$F419)="","",INDEX(選手一覧!$H$7:$H$2738,$F419))</f>
        <v/>
      </c>
      <c r="J419" s="12" t="str">
        <f aca="false">IF(INDEX(選手一覧!$I$7:$I$2738,$F419)="","",INDEX(選手一覧!$I$7:$I$2738,$F419))</f>
        <v/>
      </c>
    </row>
    <row r="420" customFormat="false" ht="15" hidden="false" customHeight="false" outlineLevel="0" collapsed="false">
      <c r="A420" s="12" t="n">
        <v>416</v>
      </c>
      <c r="B420" s="10" t="s">
        <v>1365</v>
      </c>
      <c r="C420" s="10" t="s">
        <v>1366</v>
      </c>
      <c r="D420" s="11" t="n">
        <v>0.00707083333333333</v>
      </c>
      <c r="E420" s="18" t="n">
        <f aca="false">ROUND((D420-$D$5)*86400,2)</f>
        <v>71.9</v>
      </c>
      <c r="F420" s="12" t="n">
        <v>929</v>
      </c>
      <c r="G420" s="11" t="str">
        <f aca="false">IF(INDEX(選手一覧!$D$7:$D$2738,$F420)="","",INDEX(選手一覧!$D$7:$D$2738,$F420))</f>
        <v/>
      </c>
      <c r="H420" s="12" t="str">
        <f aca="false">IF(INDEX(選手一覧!$E$7:$E$2738,$F420)="","",INDEX(選手一覧!$E$7:$E$2738,$F420))</f>
        <v/>
      </c>
      <c r="I420" s="11" t="n">
        <f aca="false">IF(INDEX(選手一覧!$H$7:$H$2738,$F420)="","",INDEX(選手一覧!$H$7:$H$2738,$F420))</f>
        <v>0.00288923611111111</v>
      </c>
      <c r="J420" s="12" t="n">
        <f aca="false">IF(INDEX(選手一覧!$I$7:$I$2738,$F420)="","",INDEX(選手一覧!$I$7:$I$2738,$F420))</f>
        <v>857</v>
      </c>
    </row>
    <row r="421" customFormat="false" ht="15" hidden="false" customHeight="false" outlineLevel="0" collapsed="false">
      <c r="A421" s="12" t="n">
        <v>417</v>
      </c>
      <c r="B421" s="10" t="s">
        <v>1369</v>
      </c>
      <c r="C421" s="10" t="s">
        <v>1370</v>
      </c>
      <c r="D421" s="11" t="n">
        <v>0.00707233796296296</v>
      </c>
      <c r="E421" s="18" t="n">
        <f aca="false">ROUND((D421-$D$5)*86400,2)</f>
        <v>72.03</v>
      </c>
      <c r="F421" s="12" t="n">
        <v>931</v>
      </c>
      <c r="G421" s="11" t="str">
        <f aca="false">IF(INDEX(選手一覧!$D$7:$D$2738,$F421)="","",INDEX(選手一覧!$D$7:$D$2738,$F421))</f>
        <v/>
      </c>
      <c r="H421" s="12" t="str">
        <f aca="false">IF(INDEX(選手一覧!$E$7:$E$2738,$F421)="","",INDEX(選手一覧!$E$7:$E$2738,$F421))</f>
        <v/>
      </c>
      <c r="I421" s="11" t="str">
        <f aca="false">IF(INDEX(選手一覧!$H$7:$H$2738,$F421)="","",INDEX(選手一覧!$H$7:$H$2738,$F421))</f>
        <v/>
      </c>
      <c r="J421" s="12" t="str">
        <f aca="false">IF(INDEX(選手一覧!$I$7:$I$2738,$F421)="","",INDEX(選手一覧!$I$7:$I$2738,$F421))</f>
        <v/>
      </c>
    </row>
    <row r="422" customFormat="false" ht="15" hidden="false" customHeight="false" outlineLevel="0" collapsed="false">
      <c r="A422" s="12" t="n">
        <v>418</v>
      </c>
      <c r="B422" s="10" t="s">
        <v>1375</v>
      </c>
      <c r="C422" s="10" t="s">
        <v>549</v>
      </c>
      <c r="D422" s="11" t="n">
        <v>0.00707256944444445</v>
      </c>
      <c r="E422" s="18" t="n">
        <f aca="false">ROUND((D422-$D$5)*86400,2)</f>
        <v>72.05</v>
      </c>
      <c r="F422" s="12" t="n">
        <v>935</v>
      </c>
      <c r="G422" s="11" t="n">
        <f aca="false">IF(INDEX(選手一覧!$D$7:$D$2738,$F422)="","",INDEX(選手一覧!$D$7:$D$2738,$F422))</f>
        <v>0.0110216435185185</v>
      </c>
      <c r="H422" s="12" t="n">
        <f aca="false">IF(INDEX(選手一覧!$E$7:$E$2738,$F422)="","",INDEX(選手一覧!$E$7:$E$2738,$F422))</f>
        <v>1132</v>
      </c>
      <c r="I422" s="11" t="str">
        <f aca="false">IF(INDEX(選手一覧!$H$7:$H$2738,$F422)="","",INDEX(選手一覧!$H$7:$H$2738,$F422))</f>
        <v/>
      </c>
      <c r="J422" s="12" t="str">
        <f aca="false">IF(INDEX(選手一覧!$I$7:$I$2738,$F422)="","",INDEX(選手一覧!$I$7:$I$2738,$F422))</f>
        <v/>
      </c>
    </row>
    <row r="423" customFormat="false" ht="15" hidden="false" customHeight="false" outlineLevel="0" collapsed="false">
      <c r="A423" s="12" t="n">
        <v>419</v>
      </c>
      <c r="B423" s="10" t="s">
        <v>1377</v>
      </c>
      <c r="C423" s="10" t="s">
        <v>567</v>
      </c>
      <c r="D423" s="11" t="n">
        <v>0.00707407407407408</v>
      </c>
      <c r="E423" s="18" t="n">
        <f aca="false">ROUND((D423-$D$5)*86400,2)</f>
        <v>72.18</v>
      </c>
      <c r="F423" s="12" t="n">
        <v>937</v>
      </c>
      <c r="G423" s="11" t="str">
        <f aca="false">IF(INDEX(選手一覧!$D$7:$D$2738,$F423)="","",INDEX(選手一覧!$D$7:$D$2738,$F423))</f>
        <v/>
      </c>
      <c r="H423" s="12" t="str">
        <f aca="false">IF(INDEX(選手一覧!$E$7:$E$2738,$F423)="","",INDEX(選手一覧!$E$7:$E$2738,$F423))</f>
        <v/>
      </c>
      <c r="I423" s="11" t="str">
        <f aca="false">IF(INDEX(選手一覧!$H$7:$H$2738,$F423)="","",INDEX(選手一覧!$H$7:$H$2738,$F423))</f>
        <v/>
      </c>
      <c r="J423" s="12" t="str">
        <f aca="false">IF(INDEX(選手一覧!$I$7:$I$2738,$F423)="","",INDEX(選手一覧!$I$7:$I$2738,$F423))</f>
        <v/>
      </c>
    </row>
    <row r="424" customFormat="false" ht="15" hidden="false" customHeight="false" outlineLevel="0" collapsed="false">
      <c r="A424" s="12" t="n">
        <v>420</v>
      </c>
      <c r="B424" s="10" t="s">
        <v>1378</v>
      </c>
      <c r="C424" s="10" t="s">
        <v>564</v>
      </c>
      <c r="D424" s="11" t="n">
        <v>0.00707430555555556</v>
      </c>
      <c r="E424" s="18" t="n">
        <f aca="false">ROUND((D424-$D$5)*86400,2)</f>
        <v>72.2</v>
      </c>
      <c r="F424" s="12" t="n">
        <v>938</v>
      </c>
      <c r="G424" s="11" t="n">
        <f aca="false">IF(INDEX(選手一覧!$D$7:$D$2738,$F424)="","",INDEX(選手一覧!$D$7:$D$2738,$F424))</f>
        <v>0.0108391203703704</v>
      </c>
      <c r="H424" s="12" t="n">
        <f aca="false">IF(INDEX(選手一覧!$E$7:$E$2738,$F424)="","",INDEX(選手一覧!$E$7:$E$2738,$F424))</f>
        <v>812</v>
      </c>
      <c r="I424" s="11" t="n">
        <f aca="false">IF(INDEX(選手一覧!$H$7:$H$2738,$F424)="","",INDEX(選手一覧!$H$7:$H$2738,$F424))</f>
        <v>0.00292395833333333</v>
      </c>
      <c r="J424" s="12" t="n">
        <f aca="false">IF(INDEX(選手一覧!$I$7:$I$2738,$F424)="","",INDEX(選手一覧!$I$7:$I$2738,$F424))</f>
        <v>1136</v>
      </c>
    </row>
    <row r="425" customFormat="false" ht="15" hidden="false" customHeight="false" outlineLevel="0" collapsed="false">
      <c r="A425" s="12" t="n">
        <v>421</v>
      </c>
      <c r="B425" s="10" t="s">
        <v>1382</v>
      </c>
      <c r="C425" s="10" t="s">
        <v>1383</v>
      </c>
      <c r="D425" s="11" t="n">
        <v>0.00707465277777778</v>
      </c>
      <c r="E425" s="18" t="n">
        <f aca="false">ROUND((D425-$D$5)*86400,2)</f>
        <v>72.23</v>
      </c>
      <c r="F425" s="12" t="n">
        <v>941</v>
      </c>
      <c r="G425" s="11" t="n">
        <f aca="false">IF(INDEX(選手一覧!$D$7:$D$2738,$F425)="","",INDEX(選手一覧!$D$7:$D$2738,$F425))</f>
        <v>0.0109045138888889</v>
      </c>
      <c r="H425" s="12" t="n">
        <f aca="false">IF(INDEX(選手一覧!$E$7:$E$2738,$F425)="","",INDEX(選手一覧!$E$7:$E$2738,$F425))</f>
        <v>928</v>
      </c>
      <c r="I425" s="11" t="str">
        <f aca="false">IF(INDEX(選手一覧!$H$7:$H$2738,$F425)="","",INDEX(選手一覧!$H$7:$H$2738,$F425))</f>
        <v/>
      </c>
      <c r="J425" s="12" t="str">
        <f aca="false">IF(INDEX(選手一覧!$I$7:$I$2738,$F425)="","",INDEX(選手一覧!$I$7:$I$2738,$F425))</f>
        <v/>
      </c>
    </row>
    <row r="426" customFormat="false" ht="15" hidden="false" customHeight="false" outlineLevel="0" collapsed="false">
      <c r="A426" s="12" t="n">
        <v>422</v>
      </c>
      <c r="B426" s="10" t="s">
        <v>1384</v>
      </c>
      <c r="C426" s="10" t="s">
        <v>425</v>
      </c>
      <c r="D426" s="11" t="n">
        <v>0.00707604166666667</v>
      </c>
      <c r="E426" s="18" t="n">
        <f aca="false">ROUND((D426-$D$5)*86400,2)</f>
        <v>72.35</v>
      </c>
      <c r="F426" s="12" t="n">
        <v>942</v>
      </c>
      <c r="G426" s="11" t="str">
        <f aca="false">IF(INDEX(選手一覧!$D$7:$D$2738,$F426)="","",INDEX(選手一覧!$D$7:$D$2738,$F426))</f>
        <v/>
      </c>
      <c r="H426" s="12" t="str">
        <f aca="false">IF(INDEX(選手一覧!$E$7:$E$2738,$F426)="","",INDEX(選手一覧!$E$7:$E$2738,$F426))</f>
        <v/>
      </c>
      <c r="I426" s="11" t="str">
        <f aca="false">IF(INDEX(選手一覧!$H$7:$H$2738,$F426)="","",INDEX(選手一覧!$H$7:$H$2738,$F426))</f>
        <v/>
      </c>
      <c r="J426" s="12" t="str">
        <f aca="false">IF(INDEX(選手一覧!$I$7:$I$2738,$F426)="","",INDEX(選手一覧!$I$7:$I$2738,$F426))</f>
        <v/>
      </c>
    </row>
    <row r="427" customFormat="false" ht="15" hidden="false" customHeight="false" outlineLevel="0" collapsed="false">
      <c r="A427" s="12" t="n">
        <v>423</v>
      </c>
      <c r="B427" s="10" t="s">
        <v>1389</v>
      </c>
      <c r="C427" s="10" t="s">
        <v>1390</v>
      </c>
      <c r="D427" s="11" t="n">
        <v>0.00707673611111111</v>
      </c>
      <c r="E427" s="18" t="n">
        <f aca="false">ROUND((D427-$D$5)*86400,2)</f>
        <v>72.41</v>
      </c>
      <c r="F427" s="12" t="n">
        <v>946</v>
      </c>
      <c r="G427" s="11" t="str">
        <f aca="false">IF(INDEX(選手一覧!$D$7:$D$2738,$F427)="","",INDEX(選手一覧!$D$7:$D$2738,$F427))</f>
        <v/>
      </c>
      <c r="H427" s="12" t="str">
        <f aca="false">IF(INDEX(選手一覧!$E$7:$E$2738,$F427)="","",INDEX(選手一覧!$E$7:$E$2738,$F427))</f>
        <v/>
      </c>
      <c r="I427" s="11" t="str">
        <f aca="false">IF(INDEX(選手一覧!$H$7:$H$2738,$F427)="","",INDEX(選手一覧!$H$7:$H$2738,$F427))</f>
        <v/>
      </c>
      <c r="J427" s="12" t="str">
        <f aca="false">IF(INDEX(選手一覧!$I$7:$I$2738,$F427)="","",INDEX(選手一覧!$I$7:$I$2738,$F427))</f>
        <v/>
      </c>
    </row>
    <row r="428" customFormat="false" ht="15" hidden="false" customHeight="false" outlineLevel="0" collapsed="false">
      <c r="A428" s="12" t="n">
        <v>424</v>
      </c>
      <c r="B428" s="10" t="s">
        <v>1392</v>
      </c>
      <c r="C428" s="10" t="s">
        <v>195</v>
      </c>
      <c r="D428" s="11" t="n">
        <v>0.00707731481481482</v>
      </c>
      <c r="E428" s="18" t="n">
        <f aca="false">ROUND((D428-$D$5)*86400,2)</f>
        <v>72.46</v>
      </c>
      <c r="F428" s="12" t="n">
        <v>948</v>
      </c>
      <c r="G428" s="11" t="str">
        <f aca="false">IF(INDEX(選手一覧!$D$7:$D$2738,$F428)="","",INDEX(選手一覧!$D$7:$D$2738,$F428))</f>
        <v/>
      </c>
      <c r="H428" s="12" t="str">
        <f aca="false">IF(INDEX(選手一覧!$E$7:$E$2738,$F428)="","",INDEX(選手一覧!$E$7:$E$2738,$F428))</f>
        <v/>
      </c>
      <c r="I428" s="11" t="str">
        <f aca="false">IF(INDEX(選手一覧!$H$7:$H$2738,$F428)="","",INDEX(選手一覧!$H$7:$H$2738,$F428))</f>
        <v/>
      </c>
      <c r="J428" s="12" t="str">
        <f aca="false">IF(INDEX(選手一覧!$I$7:$I$2738,$F428)="","",INDEX(選手一覧!$I$7:$I$2738,$F428))</f>
        <v/>
      </c>
    </row>
    <row r="429" customFormat="false" ht="15" hidden="false" customHeight="false" outlineLevel="0" collapsed="false">
      <c r="A429" s="12" t="n">
        <v>425</v>
      </c>
      <c r="B429" s="10" t="s">
        <v>1393</v>
      </c>
      <c r="C429" s="10" t="s">
        <v>116</v>
      </c>
      <c r="D429" s="11" t="n">
        <v>0.00707777777777778</v>
      </c>
      <c r="E429" s="18" t="n">
        <f aca="false">ROUND((D429-$D$5)*86400,2)</f>
        <v>72.5</v>
      </c>
      <c r="F429" s="12" t="n">
        <v>949</v>
      </c>
      <c r="G429" s="11" t="str">
        <f aca="false">IF(INDEX(選手一覧!$D$7:$D$2738,$F429)="","",INDEX(選手一覧!$D$7:$D$2738,$F429))</f>
        <v/>
      </c>
      <c r="H429" s="12" t="str">
        <f aca="false">IF(INDEX(選手一覧!$E$7:$E$2738,$F429)="","",INDEX(選手一覧!$E$7:$E$2738,$F429))</f>
        <v/>
      </c>
      <c r="I429" s="11" t="n">
        <f aca="false">IF(INDEX(選手一覧!$H$7:$H$2738,$F429)="","",INDEX(選手一覧!$H$7:$H$2738,$F429))</f>
        <v>0.00283368055555556</v>
      </c>
      <c r="J429" s="12" t="n">
        <f aca="false">IF(INDEX(選手一覧!$I$7:$I$2738,$F429)="","",INDEX(選手一覧!$I$7:$I$2738,$F429))</f>
        <v>448</v>
      </c>
    </row>
    <row r="430" customFormat="false" ht="15" hidden="false" customHeight="false" outlineLevel="0" collapsed="false">
      <c r="A430" s="12" t="n">
        <v>426</v>
      </c>
      <c r="B430" s="10" t="s">
        <v>1397</v>
      </c>
      <c r="C430" s="10" t="s">
        <v>1398</v>
      </c>
      <c r="D430" s="11" t="n">
        <v>0.00707916666666667</v>
      </c>
      <c r="E430" s="18" t="n">
        <f aca="false">ROUND((D430-$D$5)*86400,2)</f>
        <v>72.62</v>
      </c>
      <c r="F430" s="12" t="n">
        <v>952</v>
      </c>
      <c r="G430" s="11" t="str">
        <f aca="false">IF(INDEX(選手一覧!$D$7:$D$2738,$F430)="","",INDEX(選手一覧!$D$7:$D$2738,$F430))</f>
        <v/>
      </c>
      <c r="H430" s="12" t="str">
        <f aca="false">IF(INDEX(選手一覧!$E$7:$E$2738,$F430)="","",INDEX(選手一覧!$E$7:$E$2738,$F430))</f>
        <v/>
      </c>
      <c r="I430" s="11" t="str">
        <f aca="false">IF(INDEX(選手一覧!$H$7:$H$2738,$F430)="","",INDEX(選手一覧!$H$7:$H$2738,$F430))</f>
        <v/>
      </c>
      <c r="J430" s="12" t="str">
        <f aca="false">IF(INDEX(選手一覧!$I$7:$I$2738,$F430)="","",INDEX(選手一覧!$I$7:$I$2738,$F430))</f>
        <v/>
      </c>
    </row>
    <row r="431" customFormat="false" ht="15" hidden="false" customHeight="false" outlineLevel="0" collapsed="false">
      <c r="A431" s="12" t="n">
        <v>427</v>
      </c>
      <c r="B431" s="10" t="s">
        <v>1399</v>
      </c>
      <c r="C431" s="10" t="s">
        <v>541</v>
      </c>
      <c r="D431" s="11" t="n">
        <v>0.00707962962962963</v>
      </c>
      <c r="E431" s="18" t="n">
        <f aca="false">ROUND((D431-$D$5)*86400,2)</f>
        <v>72.66</v>
      </c>
      <c r="F431" s="12" t="n">
        <v>953</v>
      </c>
      <c r="G431" s="11" t="n">
        <f aca="false">IF(INDEX(選手一覧!$D$7:$D$2738,$F431)="","",INDEX(選手一覧!$D$7:$D$2738,$F431))</f>
        <v>0.0110262731481482</v>
      </c>
      <c r="H431" s="12" t="n">
        <f aca="false">IF(INDEX(選手一覧!$E$7:$E$2738,$F431)="","",INDEX(選手一覧!$E$7:$E$2738,$F431))</f>
        <v>1143</v>
      </c>
      <c r="I431" s="11" t="n">
        <f aca="false">IF(INDEX(選手一覧!$H$7:$H$2738,$F431)="","",INDEX(選手一覧!$H$7:$H$2738,$F431))</f>
        <v>0.00292569444444444</v>
      </c>
      <c r="J431" s="12" t="n">
        <f aca="false">IF(INDEX(選手一覧!$I$7:$I$2738,$F431)="","",INDEX(選手一覧!$I$7:$I$2738,$F431))</f>
        <v>1155</v>
      </c>
    </row>
    <row r="432" customFormat="false" ht="15" hidden="false" customHeight="false" outlineLevel="0" collapsed="false">
      <c r="A432" s="12" t="n">
        <v>428</v>
      </c>
      <c r="B432" s="10" t="s">
        <v>1404</v>
      </c>
      <c r="C432" s="10" t="s">
        <v>1405</v>
      </c>
      <c r="D432" s="11" t="n">
        <v>0.00708009259259259</v>
      </c>
      <c r="E432" s="18" t="n">
        <f aca="false">ROUND((D432-$D$5)*86400,2)</f>
        <v>72.7</v>
      </c>
      <c r="F432" s="12" t="n">
        <v>958</v>
      </c>
      <c r="G432" s="11" t="str">
        <f aca="false">IF(INDEX(選手一覧!$D$7:$D$2738,$F432)="","",INDEX(選手一覧!$D$7:$D$2738,$F432))</f>
        <v/>
      </c>
      <c r="H432" s="12" t="str">
        <f aca="false">IF(INDEX(選手一覧!$E$7:$E$2738,$F432)="","",INDEX(選手一覧!$E$7:$E$2738,$F432))</f>
        <v/>
      </c>
      <c r="I432" s="11" t="str">
        <f aca="false">IF(INDEX(選手一覧!$H$7:$H$2738,$F432)="","",INDEX(選手一覧!$H$7:$H$2738,$F432))</f>
        <v/>
      </c>
      <c r="J432" s="12" t="str">
        <f aca="false">IF(INDEX(選手一覧!$I$7:$I$2738,$F432)="","",INDEX(選手一覧!$I$7:$I$2738,$F432))</f>
        <v/>
      </c>
    </row>
    <row r="433" customFormat="false" ht="15" hidden="false" customHeight="false" outlineLevel="0" collapsed="false">
      <c r="A433" s="12" t="n">
        <v>429</v>
      </c>
      <c r="B433" s="10" t="s">
        <v>1407</v>
      </c>
      <c r="C433" s="10" t="s">
        <v>363</v>
      </c>
      <c r="D433" s="11" t="n">
        <v>0.00708217592592593</v>
      </c>
      <c r="E433" s="18" t="n">
        <f aca="false">ROUND((D433-$D$5)*86400,2)</f>
        <v>72.88</v>
      </c>
      <c r="F433" s="12" t="n">
        <v>960</v>
      </c>
      <c r="G433" s="11" t="str">
        <f aca="false">IF(INDEX(選手一覧!$D$7:$D$2738,$F433)="","",INDEX(選手一覧!$D$7:$D$2738,$F433))</f>
        <v/>
      </c>
      <c r="H433" s="12" t="str">
        <f aca="false">IF(INDEX(選手一覧!$E$7:$E$2738,$F433)="","",INDEX(選手一覧!$E$7:$E$2738,$F433))</f>
        <v/>
      </c>
      <c r="I433" s="11" t="str">
        <f aca="false">IF(INDEX(選手一覧!$H$7:$H$2738,$F433)="","",INDEX(選手一覧!$H$7:$H$2738,$F433))</f>
        <v/>
      </c>
      <c r="J433" s="12" t="str">
        <f aca="false">IF(INDEX(選手一覧!$I$7:$I$2738,$F433)="","",INDEX(選手一覧!$I$7:$I$2738,$F433))</f>
        <v/>
      </c>
    </row>
    <row r="434" customFormat="false" ht="15" hidden="false" customHeight="false" outlineLevel="0" collapsed="false">
      <c r="A434" s="12" t="n">
        <v>430</v>
      </c>
      <c r="B434" s="10" t="s">
        <v>1408</v>
      </c>
      <c r="C434" s="10" t="s">
        <v>154</v>
      </c>
      <c r="D434" s="11" t="n">
        <v>0.00708252314814815</v>
      </c>
      <c r="E434" s="18" t="n">
        <f aca="false">ROUND((D434-$D$5)*86400,2)</f>
        <v>72.91</v>
      </c>
      <c r="F434" s="12" t="n">
        <v>961</v>
      </c>
      <c r="G434" s="11" t="n">
        <f aca="false">IF(INDEX(選手一覧!$D$7:$D$2738,$F434)="","",INDEX(選手一覧!$D$7:$D$2738,$F434))</f>
        <v>0.0110377314814815</v>
      </c>
      <c r="H434" s="12" t="n">
        <f aca="false">IF(INDEX(選手一覧!$E$7:$E$2738,$F434)="","",INDEX(選手一覧!$E$7:$E$2738,$F434))</f>
        <v>1174</v>
      </c>
      <c r="I434" s="11" t="str">
        <f aca="false">IF(INDEX(選手一覧!$H$7:$H$2738,$F434)="","",INDEX(選手一覧!$H$7:$H$2738,$F434))</f>
        <v/>
      </c>
      <c r="J434" s="12" t="str">
        <f aca="false">IF(INDEX(選手一覧!$I$7:$I$2738,$F434)="","",INDEX(選手一覧!$I$7:$I$2738,$F434))</f>
        <v/>
      </c>
    </row>
    <row r="435" customFormat="false" ht="15" hidden="false" customHeight="false" outlineLevel="0" collapsed="false">
      <c r="A435" s="12" t="n">
        <v>431</v>
      </c>
      <c r="B435" s="10" t="s">
        <v>1412</v>
      </c>
      <c r="C435" s="10" t="s">
        <v>1413</v>
      </c>
      <c r="D435" s="11" t="n">
        <v>0.00708263888888889</v>
      </c>
      <c r="E435" s="18" t="n">
        <f aca="false">ROUND((D435-$D$5)*86400,2)</f>
        <v>72.92</v>
      </c>
      <c r="F435" s="12" t="n">
        <v>964</v>
      </c>
      <c r="G435" s="11" t="str">
        <f aca="false">IF(INDEX(選手一覧!$D$7:$D$2738,$F435)="","",INDEX(選手一覧!$D$7:$D$2738,$F435))</f>
        <v/>
      </c>
      <c r="H435" s="12" t="str">
        <f aca="false">IF(INDEX(選手一覧!$E$7:$E$2738,$F435)="","",INDEX(選手一覧!$E$7:$E$2738,$F435))</f>
        <v/>
      </c>
      <c r="I435" s="11" t="str">
        <f aca="false">IF(INDEX(選手一覧!$H$7:$H$2738,$F435)="","",INDEX(選手一覧!$H$7:$H$2738,$F435))</f>
        <v/>
      </c>
      <c r="J435" s="12" t="str">
        <f aca="false">IF(INDEX(選手一覧!$I$7:$I$2738,$F435)="","",INDEX(選手一覧!$I$7:$I$2738,$F435))</f>
        <v/>
      </c>
    </row>
    <row r="436" customFormat="false" ht="15" hidden="false" customHeight="false" outlineLevel="0" collapsed="false">
      <c r="A436" s="12" t="n">
        <v>432</v>
      </c>
      <c r="B436" s="10" t="s">
        <v>1414</v>
      </c>
      <c r="C436" s="10" t="s">
        <v>179</v>
      </c>
      <c r="D436" s="11" t="n">
        <v>0.00708460648148148</v>
      </c>
      <c r="E436" s="18" t="n">
        <f aca="false">ROUND((D436-$D$5)*86400,2)</f>
        <v>73.09</v>
      </c>
      <c r="F436" s="12" t="n">
        <v>965</v>
      </c>
      <c r="G436" s="11" t="n">
        <f aca="false">IF(INDEX(選手一覧!$D$7:$D$2738,$F436)="","",INDEX(選手一覧!$D$7:$D$2738,$F436))</f>
        <v>0.0108835648148148</v>
      </c>
      <c r="H436" s="12" t="n">
        <f aca="false">IF(INDEX(選手一覧!$E$7:$E$2738,$F436)="","",INDEX(選手一覧!$E$7:$E$2738,$F436))</f>
        <v>899</v>
      </c>
      <c r="I436" s="11" t="n">
        <f aca="false">IF(INDEX(選手一覧!$H$7:$H$2738,$F436)="","",INDEX(選手一覧!$H$7:$H$2738,$F436))</f>
        <v>0.00284363425925926</v>
      </c>
      <c r="J436" s="12" t="n">
        <f aca="false">IF(INDEX(選手一覧!$I$7:$I$2738,$F436)="","",INDEX(選手一覧!$I$7:$I$2738,$F436))</f>
        <v>521</v>
      </c>
    </row>
    <row r="437" customFormat="false" ht="15" hidden="false" customHeight="false" outlineLevel="0" collapsed="false">
      <c r="A437" s="12" t="n">
        <v>433</v>
      </c>
      <c r="B437" s="10" t="s">
        <v>686</v>
      </c>
      <c r="C437" s="10" t="s">
        <v>382</v>
      </c>
      <c r="D437" s="11" t="n">
        <v>0.00708506944444444</v>
      </c>
      <c r="E437" s="18" t="n">
        <f aca="false">ROUND((D437-$D$5)*86400,2)</f>
        <v>73.13</v>
      </c>
      <c r="F437" s="12" t="n">
        <v>439</v>
      </c>
      <c r="G437" s="11" t="str">
        <f aca="false">IF(INDEX(選手一覧!$D$7:$D$2738,$F437)="","",INDEX(選手一覧!$D$7:$D$2738,$F437))</f>
        <v/>
      </c>
      <c r="H437" s="12" t="str">
        <f aca="false">IF(INDEX(選手一覧!$E$7:$E$2738,$F437)="","",INDEX(選手一覧!$E$7:$E$2738,$F437))</f>
        <v/>
      </c>
      <c r="I437" s="11" t="n">
        <f aca="false">IF(INDEX(選手一覧!$H$7:$H$2738,$F437)="","",INDEX(選手一覧!$H$7:$H$2738,$F437))</f>
        <v>0.00277673611111111</v>
      </c>
      <c r="J437" s="12" t="n">
        <f aca="false">IF(INDEX(選手一覧!$I$7:$I$2738,$F437)="","",INDEX(選手一覧!$I$7:$I$2738,$F437))</f>
        <v>185</v>
      </c>
    </row>
    <row r="438" customFormat="false" ht="15" hidden="false" customHeight="false" outlineLevel="0" collapsed="false">
      <c r="A438" s="12" t="n">
        <v>434</v>
      </c>
      <c r="B438" s="10" t="s">
        <v>1420</v>
      </c>
      <c r="C438" s="10" t="s">
        <v>405</v>
      </c>
      <c r="D438" s="11" t="n">
        <v>0.00708622685185185</v>
      </c>
      <c r="E438" s="18" t="n">
        <f aca="false">ROUND((D438-$D$5)*86400,2)</f>
        <v>73.23</v>
      </c>
      <c r="F438" s="12" t="n">
        <v>970</v>
      </c>
      <c r="G438" s="11" t="str">
        <f aca="false">IF(INDEX(選手一覧!$D$7:$D$2738,$F438)="","",INDEX(選手一覧!$D$7:$D$2738,$F438))</f>
        <v/>
      </c>
      <c r="H438" s="12" t="str">
        <f aca="false">IF(INDEX(選手一覧!$E$7:$E$2738,$F438)="","",INDEX(選手一覧!$E$7:$E$2738,$F438))</f>
        <v/>
      </c>
      <c r="I438" s="11" t="str">
        <f aca="false">IF(INDEX(選手一覧!$H$7:$H$2738,$F438)="","",INDEX(選手一覧!$H$7:$H$2738,$F438))</f>
        <v/>
      </c>
      <c r="J438" s="12" t="str">
        <f aca="false">IF(INDEX(選手一覧!$I$7:$I$2738,$F438)="","",INDEX(選手一覧!$I$7:$I$2738,$F438))</f>
        <v/>
      </c>
    </row>
    <row r="439" customFormat="false" ht="15" hidden="false" customHeight="false" outlineLevel="0" collapsed="false">
      <c r="A439" s="12" t="n">
        <v>435</v>
      </c>
      <c r="B439" s="10" t="s">
        <v>1424</v>
      </c>
      <c r="C439" s="10" t="s">
        <v>1425</v>
      </c>
      <c r="D439" s="11" t="n">
        <v>0.00708622685185185</v>
      </c>
      <c r="E439" s="18" t="n">
        <f aca="false">ROUND((D439-$D$5)*86400,2)</f>
        <v>73.23</v>
      </c>
      <c r="F439" s="12" t="n">
        <v>973</v>
      </c>
      <c r="G439" s="11" t="n">
        <f aca="false">IF(INDEX(選手一覧!$D$7:$D$2738,$F439)="","",INDEX(選手一覧!$D$7:$D$2738,$F439))</f>
        <v>0.0109792824074074</v>
      </c>
      <c r="H439" s="12" t="n">
        <f aca="false">IF(INDEX(選手一覧!$E$7:$E$2738,$F439)="","",INDEX(選手一覧!$E$7:$E$2738,$F439))</f>
        <v>1055</v>
      </c>
      <c r="I439" s="11" t="str">
        <f aca="false">IF(INDEX(選手一覧!$H$7:$H$2738,$F439)="","",INDEX(選手一覧!$H$7:$H$2738,$F439))</f>
        <v/>
      </c>
      <c r="J439" s="12" t="str">
        <f aca="false">IF(INDEX(選手一覧!$I$7:$I$2738,$F439)="","",INDEX(選手一覧!$I$7:$I$2738,$F439))</f>
        <v/>
      </c>
    </row>
    <row r="440" customFormat="false" ht="15" hidden="false" customHeight="false" outlineLevel="0" collapsed="false">
      <c r="A440" s="12" t="n">
        <v>436</v>
      </c>
      <c r="B440" s="10" t="s">
        <v>1428</v>
      </c>
      <c r="C440" s="10" t="s">
        <v>43</v>
      </c>
      <c r="D440" s="11" t="n">
        <v>0.0070869212962963</v>
      </c>
      <c r="E440" s="18" t="n">
        <f aca="false">ROUND((D440-$D$5)*86400,2)</f>
        <v>73.29</v>
      </c>
      <c r="F440" s="12" t="n">
        <v>976</v>
      </c>
      <c r="G440" s="11" t="str">
        <f aca="false">IF(INDEX(選手一覧!$D$7:$D$2738,$F440)="","",INDEX(選手一覧!$D$7:$D$2738,$F440))</f>
        <v/>
      </c>
      <c r="H440" s="12" t="str">
        <f aca="false">IF(INDEX(選手一覧!$E$7:$E$2738,$F440)="","",INDEX(選手一覧!$E$7:$E$2738,$F440))</f>
        <v/>
      </c>
      <c r="I440" s="11" t="str">
        <f aca="false">IF(INDEX(選手一覧!$H$7:$H$2738,$F440)="","",INDEX(選手一覧!$H$7:$H$2738,$F440))</f>
        <v/>
      </c>
      <c r="J440" s="12" t="str">
        <f aca="false">IF(INDEX(選手一覧!$I$7:$I$2738,$F440)="","",INDEX(選手一覧!$I$7:$I$2738,$F440))</f>
        <v/>
      </c>
    </row>
    <row r="441" customFormat="false" ht="15" hidden="false" customHeight="false" outlineLevel="0" collapsed="false">
      <c r="A441" s="12" t="n">
        <v>437</v>
      </c>
      <c r="B441" s="10" t="s">
        <v>442</v>
      </c>
      <c r="C441" s="10" t="s">
        <v>443</v>
      </c>
      <c r="D441" s="11" t="n">
        <v>0.0070880787037037</v>
      </c>
      <c r="E441" s="18" t="n">
        <f aca="false">ROUND((D441-$D$5)*86400,2)</f>
        <v>73.39</v>
      </c>
      <c r="F441" s="12" t="n">
        <v>272</v>
      </c>
      <c r="G441" s="11" t="n">
        <f aca="false">IF(INDEX(選手一覧!$D$7:$D$2738,$F441)="","",INDEX(選手一覧!$D$7:$D$2738,$F441))</f>
        <v>0.0103003472222222</v>
      </c>
      <c r="H441" s="12" t="n">
        <f aca="false">IF(INDEX(選手一覧!$E$7:$E$2738,$F441)="","",INDEX(選手一覧!$E$7:$E$2738,$F441))</f>
        <v>161</v>
      </c>
      <c r="I441" s="11" t="n">
        <f aca="false">IF(INDEX(選手一覧!$H$7:$H$2738,$F441)="","",INDEX(選手一覧!$H$7:$H$2738,$F441))</f>
        <v>0.00275381944444445</v>
      </c>
      <c r="J441" s="12" t="n">
        <f aca="false">IF(INDEX(選手一覧!$I$7:$I$2738,$F441)="","",INDEX(選手一覧!$I$7:$I$2738,$F441))</f>
        <v>113</v>
      </c>
    </row>
    <row r="442" customFormat="false" ht="15" hidden="false" customHeight="false" outlineLevel="0" collapsed="false">
      <c r="A442" s="12" t="n">
        <v>438</v>
      </c>
      <c r="B442" s="10" t="s">
        <v>1431</v>
      </c>
      <c r="C442" s="10" t="s">
        <v>462</v>
      </c>
      <c r="D442" s="11" t="n">
        <v>0.00709085648148148</v>
      </c>
      <c r="E442" s="18" t="n">
        <f aca="false">ROUND((D442-$D$5)*86400,2)</f>
        <v>73.63</v>
      </c>
      <c r="F442" s="12" t="n">
        <v>979</v>
      </c>
      <c r="G442" s="11" t="str">
        <f aca="false">IF(INDEX(選手一覧!$D$7:$D$2738,$F442)="","",INDEX(選手一覧!$D$7:$D$2738,$F442))</f>
        <v/>
      </c>
      <c r="H442" s="12" t="str">
        <f aca="false">IF(INDEX(選手一覧!$E$7:$E$2738,$F442)="","",INDEX(選手一覧!$E$7:$E$2738,$F442))</f>
        <v/>
      </c>
      <c r="I442" s="11" t="str">
        <f aca="false">IF(INDEX(選手一覧!$H$7:$H$2738,$F442)="","",INDEX(選手一覧!$H$7:$H$2738,$F442))</f>
        <v/>
      </c>
      <c r="J442" s="12" t="str">
        <f aca="false">IF(INDEX(選手一覧!$I$7:$I$2738,$F442)="","",INDEX(選手一覧!$I$7:$I$2738,$F442))</f>
        <v/>
      </c>
    </row>
    <row r="443" customFormat="false" ht="15" hidden="false" customHeight="false" outlineLevel="0" collapsed="false">
      <c r="A443" s="12" t="n">
        <v>439</v>
      </c>
      <c r="B443" s="10" t="s">
        <v>1433</v>
      </c>
      <c r="C443" s="10" t="s">
        <v>1309</v>
      </c>
      <c r="D443" s="11" t="n">
        <v>0.00709201388888889</v>
      </c>
      <c r="E443" s="18" t="n">
        <f aca="false">ROUND((D443-$D$5)*86400,2)</f>
        <v>73.73</v>
      </c>
      <c r="F443" s="12" t="n">
        <v>981</v>
      </c>
      <c r="G443" s="11" t="str">
        <f aca="false">IF(INDEX(選手一覧!$D$7:$D$2738,$F443)="","",INDEX(選手一覧!$D$7:$D$2738,$F443))</f>
        <v/>
      </c>
      <c r="H443" s="12" t="str">
        <f aca="false">IF(INDEX(選手一覧!$E$7:$E$2738,$F443)="","",INDEX(選手一覧!$E$7:$E$2738,$F443))</f>
        <v/>
      </c>
      <c r="I443" s="11" t="str">
        <f aca="false">IF(INDEX(選手一覧!$H$7:$H$2738,$F443)="","",INDEX(選手一覧!$H$7:$H$2738,$F443))</f>
        <v/>
      </c>
      <c r="J443" s="12" t="str">
        <f aca="false">IF(INDEX(選手一覧!$I$7:$I$2738,$F443)="","",INDEX(選手一覧!$I$7:$I$2738,$F443))</f>
        <v/>
      </c>
    </row>
    <row r="444" customFormat="false" ht="15" hidden="false" customHeight="false" outlineLevel="0" collapsed="false">
      <c r="A444" s="12" t="n">
        <v>440</v>
      </c>
      <c r="B444" s="10" t="s">
        <v>1435</v>
      </c>
      <c r="C444" s="10" t="s">
        <v>1436</v>
      </c>
      <c r="D444" s="11" t="n">
        <v>0.00709409722222222</v>
      </c>
      <c r="E444" s="18" t="n">
        <f aca="false">ROUND((D444-$D$5)*86400,2)</f>
        <v>73.91</v>
      </c>
      <c r="F444" s="12" t="n">
        <v>983</v>
      </c>
      <c r="G444" s="11" t="str">
        <f aca="false">IF(INDEX(選手一覧!$D$7:$D$2738,$F444)="","",INDEX(選手一覧!$D$7:$D$2738,$F444))</f>
        <v/>
      </c>
      <c r="H444" s="12" t="str">
        <f aca="false">IF(INDEX(選手一覧!$E$7:$E$2738,$F444)="","",INDEX(選手一覧!$E$7:$E$2738,$F444))</f>
        <v/>
      </c>
      <c r="I444" s="11" t="str">
        <f aca="false">IF(INDEX(選手一覧!$H$7:$H$2738,$F444)="","",INDEX(選手一覧!$H$7:$H$2738,$F444))</f>
        <v/>
      </c>
      <c r="J444" s="12" t="str">
        <f aca="false">IF(INDEX(選手一覧!$I$7:$I$2738,$F444)="","",INDEX(選手一覧!$I$7:$I$2738,$F444))</f>
        <v/>
      </c>
    </row>
    <row r="445" customFormat="false" ht="15" hidden="false" customHeight="false" outlineLevel="0" collapsed="false">
      <c r="A445" s="12" t="n">
        <v>441</v>
      </c>
      <c r="B445" s="10" t="s">
        <v>1442</v>
      </c>
      <c r="C445" s="10" t="s">
        <v>1443</v>
      </c>
      <c r="D445" s="11" t="n">
        <v>0.0070943287037037</v>
      </c>
      <c r="E445" s="18" t="n">
        <f aca="false">ROUND((D445-$D$5)*86400,2)</f>
        <v>73.93</v>
      </c>
      <c r="F445" s="12" t="n">
        <v>987</v>
      </c>
      <c r="G445" s="11" t="str">
        <f aca="false">IF(INDEX(選手一覧!$D$7:$D$2738,$F445)="","",INDEX(選手一覧!$D$7:$D$2738,$F445))</f>
        <v/>
      </c>
      <c r="H445" s="12" t="str">
        <f aca="false">IF(INDEX(選手一覧!$E$7:$E$2738,$F445)="","",INDEX(選手一覧!$E$7:$E$2738,$F445))</f>
        <v/>
      </c>
      <c r="I445" s="11" t="str">
        <f aca="false">IF(INDEX(選手一覧!$H$7:$H$2738,$F445)="","",INDEX(選手一覧!$H$7:$H$2738,$F445))</f>
        <v/>
      </c>
      <c r="J445" s="12" t="str">
        <f aca="false">IF(INDEX(選手一覧!$I$7:$I$2738,$F445)="","",INDEX(選手一覧!$I$7:$I$2738,$F445))</f>
        <v/>
      </c>
    </row>
    <row r="446" customFormat="false" ht="15" hidden="false" customHeight="false" outlineLevel="0" collapsed="false">
      <c r="A446" s="12" t="n">
        <v>442</v>
      </c>
      <c r="B446" s="10" t="s">
        <v>1444</v>
      </c>
      <c r="C446" s="10" t="s">
        <v>107</v>
      </c>
      <c r="D446" s="11" t="n">
        <v>0.00709490740740741</v>
      </c>
      <c r="E446" s="18" t="n">
        <f aca="false">ROUND((D446-$D$5)*86400,2)</f>
        <v>73.98</v>
      </c>
      <c r="F446" s="12" t="n">
        <v>988</v>
      </c>
      <c r="G446" s="11" t="n">
        <f aca="false">IF(INDEX(選手一覧!$D$7:$D$2738,$F446)="","",INDEX(選手一覧!$D$7:$D$2738,$F446))</f>
        <v>0.0110171296296296</v>
      </c>
      <c r="H446" s="12" t="n">
        <f aca="false">IF(INDEX(選手一覧!$E$7:$E$2738,$F446)="","",INDEX(選手一覧!$E$7:$E$2738,$F446))</f>
        <v>1122</v>
      </c>
      <c r="I446" s="11" t="n">
        <f aca="false">IF(INDEX(選手一覧!$H$7:$H$2738,$F446)="","",INDEX(選手一覧!$H$7:$H$2738,$F446))</f>
        <v>0.00297152777777778</v>
      </c>
      <c r="J446" s="12" t="n">
        <f aca="false">IF(INDEX(選手一覧!$I$7:$I$2738,$F446)="","",INDEX(選手一覧!$I$7:$I$2738,$F446))</f>
        <v>1315</v>
      </c>
    </row>
    <row r="447" customFormat="false" ht="15" hidden="false" customHeight="false" outlineLevel="0" collapsed="false">
      <c r="A447" s="12" t="n">
        <v>443</v>
      </c>
      <c r="B447" s="10" t="s">
        <v>1220</v>
      </c>
      <c r="C447" s="10" t="s">
        <v>445</v>
      </c>
      <c r="D447" s="11" t="n">
        <v>0.00709537037037037</v>
      </c>
      <c r="E447" s="18" t="n">
        <f aca="false">ROUND((D447-$D$5)*86400,2)</f>
        <v>74.02</v>
      </c>
      <c r="F447" s="12" t="n">
        <v>827</v>
      </c>
      <c r="G447" s="11" t="n">
        <f aca="false">IF(INDEX(選手一覧!$D$7:$D$2738,$F447)="","",INDEX(選手一覧!$D$7:$D$2738,$F447))</f>
        <v>0.0110284722222222</v>
      </c>
      <c r="H447" s="12" t="n">
        <f aca="false">IF(INDEX(選手一覧!$E$7:$E$2738,$F447)="","",INDEX(選手一覧!$E$7:$E$2738,$F447))</f>
        <v>1148</v>
      </c>
      <c r="I447" s="11" t="n">
        <f aca="false">IF(INDEX(選手一覧!$H$7:$H$2738,$F447)="","",INDEX(選手一覧!$H$7:$H$2738,$F447))</f>
        <v>0.00282037037037037</v>
      </c>
      <c r="J447" s="12" t="n">
        <f aca="false">IF(INDEX(選手一覧!$I$7:$I$2738,$F447)="","",INDEX(選手一覧!$I$7:$I$2738,$F447))</f>
        <v>363</v>
      </c>
    </row>
    <row r="448" customFormat="false" ht="15" hidden="false" customHeight="false" outlineLevel="0" collapsed="false">
      <c r="A448" s="12" t="n">
        <v>444</v>
      </c>
      <c r="B448" s="10" t="s">
        <v>742</v>
      </c>
      <c r="C448" s="10" t="s">
        <v>36</v>
      </c>
      <c r="D448" s="11" t="n">
        <v>0.00709699074074074</v>
      </c>
      <c r="E448" s="18" t="n">
        <f aca="false">ROUND((D448-$D$5)*86400,2)</f>
        <v>74.16</v>
      </c>
      <c r="F448" s="12" t="n">
        <v>479</v>
      </c>
      <c r="G448" s="11" t="n">
        <f aca="false">IF(INDEX(選手一覧!$D$7:$D$2738,$F448)="","",INDEX(選手一覧!$D$7:$D$2738,$F448))</f>
        <v>0.0103487268518519</v>
      </c>
      <c r="H448" s="12" t="n">
        <f aca="false">IF(INDEX(選手一覧!$E$7:$E$2738,$F448)="","",INDEX(選手一覧!$E$7:$E$2738,$F448))</f>
        <v>202</v>
      </c>
      <c r="I448" s="11" t="n">
        <f aca="false">IF(INDEX(選手一覧!$H$7:$H$2738,$F448)="","",INDEX(選手一覧!$H$7:$H$2738,$F448))</f>
        <v>0.0028431712962963</v>
      </c>
      <c r="J448" s="12" t="n">
        <f aca="false">IF(INDEX(選手一覧!$I$7:$I$2738,$F448)="","",INDEX(選手一覧!$I$7:$I$2738,$F448))</f>
        <v>518</v>
      </c>
    </row>
    <row r="449" customFormat="false" ht="15" hidden="false" customHeight="false" outlineLevel="0" collapsed="false">
      <c r="A449" s="12" t="n">
        <v>445</v>
      </c>
      <c r="B449" s="10" t="s">
        <v>1449</v>
      </c>
      <c r="C449" s="10" t="s">
        <v>25</v>
      </c>
      <c r="D449" s="11" t="n">
        <v>0.00709722222222222</v>
      </c>
      <c r="E449" s="18" t="n">
        <f aca="false">ROUND((D449-$D$5)*86400,2)</f>
        <v>74.18</v>
      </c>
      <c r="F449" s="12" t="n">
        <v>993</v>
      </c>
      <c r="G449" s="11" t="str">
        <f aca="false">IF(INDEX(選手一覧!$D$7:$D$2738,$F449)="","",INDEX(選手一覧!$D$7:$D$2738,$F449))</f>
        <v/>
      </c>
      <c r="H449" s="12" t="str">
        <f aca="false">IF(INDEX(選手一覧!$E$7:$E$2738,$F449)="","",INDEX(選手一覧!$E$7:$E$2738,$F449))</f>
        <v/>
      </c>
      <c r="I449" s="11" t="n">
        <f aca="false">IF(INDEX(選手一覧!$H$7:$H$2738,$F449)="","",INDEX(選手一覧!$H$7:$H$2738,$F449))</f>
        <v>0.00292361111111111</v>
      </c>
      <c r="J449" s="12" t="n">
        <f aca="false">IF(INDEX(選手一覧!$I$7:$I$2738,$F449)="","",INDEX(選手一覧!$I$7:$I$2738,$F449))</f>
        <v>1134</v>
      </c>
    </row>
    <row r="450" customFormat="false" ht="15" hidden="false" customHeight="false" outlineLevel="0" collapsed="false">
      <c r="A450" s="12" t="n">
        <v>446</v>
      </c>
      <c r="B450" s="10" t="s">
        <v>1455</v>
      </c>
      <c r="C450" s="10" t="s">
        <v>1456</v>
      </c>
      <c r="D450" s="11" t="n">
        <v>0.00709733796296296</v>
      </c>
      <c r="E450" s="18" t="n">
        <f aca="false">ROUND((D450-$D$5)*86400,2)</f>
        <v>74.19</v>
      </c>
      <c r="F450" s="12" t="n">
        <v>998</v>
      </c>
      <c r="G450" s="11" t="str">
        <f aca="false">IF(INDEX(選手一覧!$D$7:$D$2738,$F450)="","",INDEX(選手一覧!$D$7:$D$2738,$F450))</f>
        <v/>
      </c>
      <c r="H450" s="12" t="str">
        <f aca="false">IF(INDEX(選手一覧!$E$7:$E$2738,$F450)="","",INDEX(選手一覧!$E$7:$E$2738,$F450))</f>
        <v/>
      </c>
      <c r="I450" s="11" t="str">
        <f aca="false">IF(INDEX(選手一覧!$H$7:$H$2738,$F450)="","",INDEX(選手一覧!$H$7:$H$2738,$F450))</f>
        <v/>
      </c>
      <c r="J450" s="12" t="str">
        <f aca="false">IF(INDEX(選手一覧!$I$7:$I$2738,$F450)="","",INDEX(選手一覧!$I$7:$I$2738,$F450))</f>
        <v/>
      </c>
    </row>
    <row r="451" customFormat="false" ht="15" hidden="false" customHeight="false" outlineLevel="0" collapsed="false">
      <c r="A451" s="12" t="n">
        <v>447</v>
      </c>
      <c r="B451" s="10" t="s">
        <v>1457</v>
      </c>
      <c r="C451" s="10" t="s">
        <v>1458</v>
      </c>
      <c r="D451" s="11" t="n">
        <v>0.00709780092592593</v>
      </c>
      <c r="E451" s="18" t="n">
        <f aca="false">ROUND((D451-$D$5)*86400,2)</f>
        <v>74.23</v>
      </c>
      <c r="F451" s="12" t="n">
        <v>999</v>
      </c>
      <c r="G451" s="11" t="n">
        <f aca="false">IF(INDEX(選手一覧!$D$7:$D$2738,$F451)="","",INDEX(選手一覧!$D$7:$D$2738,$F451))</f>
        <v>0.0110001157407407</v>
      </c>
      <c r="H451" s="12" t="n">
        <f aca="false">IF(INDEX(選手一覧!$E$7:$E$2738,$F451)="","",INDEX(選手一覧!$E$7:$E$2738,$F451))</f>
        <v>1097</v>
      </c>
      <c r="I451" s="11" t="str">
        <f aca="false">IF(INDEX(選手一覧!$H$7:$H$2738,$F451)="","",INDEX(選手一覧!$H$7:$H$2738,$F451))</f>
        <v/>
      </c>
      <c r="J451" s="12" t="str">
        <f aca="false">IF(INDEX(選手一覧!$I$7:$I$2738,$F451)="","",INDEX(選手一覧!$I$7:$I$2738,$F451))</f>
        <v/>
      </c>
    </row>
    <row r="452" customFormat="false" ht="15" hidden="false" customHeight="false" outlineLevel="0" collapsed="false">
      <c r="A452" s="12" t="n">
        <v>448</v>
      </c>
      <c r="B452" s="10" t="s">
        <v>1460</v>
      </c>
      <c r="C452" s="10" t="s">
        <v>279</v>
      </c>
      <c r="D452" s="11" t="n">
        <v>0.00709780092592593</v>
      </c>
      <c r="E452" s="18" t="n">
        <f aca="false">ROUND((D452-$D$5)*86400,2)</f>
        <v>74.23</v>
      </c>
      <c r="F452" s="12" t="n">
        <v>1001</v>
      </c>
      <c r="G452" s="11" t="str">
        <f aca="false">IF(INDEX(選手一覧!$D$7:$D$2738,$F452)="","",INDEX(選手一覧!$D$7:$D$2738,$F452))</f>
        <v/>
      </c>
      <c r="H452" s="12" t="str">
        <f aca="false">IF(INDEX(選手一覧!$E$7:$E$2738,$F452)="","",INDEX(選手一覧!$E$7:$E$2738,$F452))</f>
        <v/>
      </c>
      <c r="I452" s="11" t="str">
        <f aca="false">IF(INDEX(選手一覧!$H$7:$H$2738,$F452)="","",INDEX(選手一覧!$H$7:$H$2738,$F452))</f>
        <v/>
      </c>
      <c r="J452" s="12" t="str">
        <f aca="false">IF(INDEX(選手一覧!$I$7:$I$2738,$F452)="","",INDEX(選手一覧!$I$7:$I$2738,$F452))</f>
        <v/>
      </c>
    </row>
    <row r="453" customFormat="false" ht="15" hidden="false" customHeight="false" outlineLevel="0" collapsed="false">
      <c r="A453" s="12" t="n">
        <v>449</v>
      </c>
      <c r="B453" s="10" t="s">
        <v>1461</v>
      </c>
      <c r="C453" s="10" t="s">
        <v>724</v>
      </c>
      <c r="D453" s="11" t="n">
        <v>0.00709849537037037</v>
      </c>
      <c r="E453" s="18" t="n">
        <f aca="false">ROUND((D453-$D$5)*86400,2)</f>
        <v>74.29</v>
      </c>
      <c r="F453" s="12" t="n">
        <v>1002</v>
      </c>
      <c r="G453" s="11" t="str">
        <f aca="false">IF(INDEX(選手一覧!$D$7:$D$2738,$F453)="","",INDEX(選手一覧!$D$7:$D$2738,$F453))</f>
        <v/>
      </c>
      <c r="H453" s="12" t="str">
        <f aca="false">IF(INDEX(選手一覧!$E$7:$E$2738,$F453)="","",INDEX(選手一覧!$E$7:$E$2738,$F453))</f>
        <v/>
      </c>
      <c r="I453" s="11" t="n">
        <f aca="false">IF(INDEX(選手一覧!$H$7:$H$2738,$F453)="","",INDEX(選手一覧!$H$7:$H$2738,$F453))</f>
        <v>0.00295694444444444</v>
      </c>
      <c r="J453" s="12" t="n">
        <f aca="false">IF(INDEX(選手一覧!$I$7:$I$2738,$F453)="","",INDEX(選手一覧!$I$7:$I$2738,$F453))</f>
        <v>1259</v>
      </c>
    </row>
    <row r="454" customFormat="false" ht="15" hidden="false" customHeight="false" outlineLevel="0" collapsed="false">
      <c r="A454" s="12" t="n">
        <v>450</v>
      </c>
      <c r="B454" s="10" t="s">
        <v>1465</v>
      </c>
      <c r="C454" s="10" t="s">
        <v>246</v>
      </c>
      <c r="D454" s="11" t="n">
        <v>0.00709872685185185</v>
      </c>
      <c r="E454" s="18" t="n">
        <f aca="false">ROUND((D454-$D$5)*86400,2)</f>
        <v>74.31</v>
      </c>
      <c r="F454" s="12" t="n">
        <v>1005</v>
      </c>
      <c r="G454" s="11" t="str">
        <f aca="false">IF(INDEX(選手一覧!$D$7:$D$2738,$F454)="","",INDEX(選手一覧!$D$7:$D$2738,$F454))</f>
        <v/>
      </c>
      <c r="H454" s="12" t="str">
        <f aca="false">IF(INDEX(選手一覧!$E$7:$E$2738,$F454)="","",INDEX(選手一覧!$E$7:$E$2738,$F454))</f>
        <v/>
      </c>
      <c r="I454" s="11" t="str">
        <f aca="false">IF(INDEX(選手一覧!$H$7:$H$2738,$F454)="","",INDEX(選手一覧!$H$7:$H$2738,$F454))</f>
        <v/>
      </c>
      <c r="J454" s="12" t="str">
        <f aca="false">IF(INDEX(選手一覧!$I$7:$I$2738,$F454)="","",INDEX(選手一覧!$I$7:$I$2738,$F454))</f>
        <v/>
      </c>
    </row>
    <row r="455" customFormat="false" ht="15" hidden="false" customHeight="false" outlineLevel="0" collapsed="false">
      <c r="A455" s="12" t="n">
        <v>451</v>
      </c>
      <c r="B455" s="10" t="s">
        <v>1467</v>
      </c>
      <c r="C455" s="10" t="s">
        <v>4017</v>
      </c>
      <c r="D455" s="11" t="n">
        <v>0.00710266203703704</v>
      </c>
      <c r="E455" s="18" t="n">
        <f aca="false">ROUND((D455-$D$5)*86400,2)</f>
        <v>74.65</v>
      </c>
      <c r="F455" s="12" t="n">
        <v>1007</v>
      </c>
      <c r="G455" s="11" t="str">
        <f aca="false">IF(INDEX(選手一覧!$D$7:$D$2738,$F455)="","",INDEX(選手一覧!$D$7:$D$2738,$F455))</f>
        <v/>
      </c>
      <c r="H455" s="12" t="str">
        <f aca="false">IF(INDEX(選手一覧!$E$7:$E$2738,$F455)="","",INDEX(選手一覧!$E$7:$E$2738,$F455))</f>
        <v/>
      </c>
      <c r="I455" s="11" t="n">
        <f aca="false">IF(INDEX(選手一覧!$H$7:$H$2738,$F455)="","",INDEX(選手一覧!$H$7:$H$2738,$F455))</f>
        <v>0.00288206018518519</v>
      </c>
      <c r="J455" s="12" t="n">
        <f aca="false">IF(INDEX(選手一覧!$I$7:$I$2738,$F455)="","",INDEX(選手一覧!$I$7:$I$2738,$F455))</f>
        <v>794</v>
      </c>
    </row>
    <row r="456" customFormat="false" ht="15" hidden="false" customHeight="false" outlineLevel="0" collapsed="false">
      <c r="A456" s="12" t="n">
        <v>452</v>
      </c>
      <c r="B456" s="10" t="s">
        <v>1472</v>
      </c>
      <c r="C456" s="10" t="s">
        <v>523</v>
      </c>
      <c r="D456" s="11" t="n">
        <v>0.00710428240740741</v>
      </c>
      <c r="E456" s="18" t="n">
        <f aca="false">ROUND((D456-$D$5)*86400,2)</f>
        <v>74.79</v>
      </c>
      <c r="F456" s="12" t="n">
        <v>1010</v>
      </c>
      <c r="G456" s="11" t="str">
        <f aca="false">IF(INDEX(選手一覧!$D$7:$D$2738,$F456)="","",INDEX(選手一覧!$D$7:$D$2738,$F456))</f>
        <v/>
      </c>
      <c r="H456" s="12" t="str">
        <f aca="false">IF(INDEX(選手一覧!$E$7:$E$2738,$F456)="","",INDEX(選手一覧!$E$7:$E$2738,$F456))</f>
        <v/>
      </c>
      <c r="I456" s="11" t="str">
        <f aca="false">IF(INDEX(選手一覧!$H$7:$H$2738,$F456)="","",INDEX(選手一覧!$H$7:$H$2738,$F456))</f>
        <v/>
      </c>
      <c r="J456" s="12" t="str">
        <f aca="false">IF(INDEX(選手一覧!$I$7:$I$2738,$F456)="","",INDEX(選手一覧!$I$7:$I$2738,$F456))</f>
        <v/>
      </c>
    </row>
    <row r="457" customFormat="false" ht="15" hidden="false" customHeight="false" outlineLevel="0" collapsed="false">
      <c r="A457" s="12" t="n">
        <v>453</v>
      </c>
      <c r="B457" s="10" t="s">
        <v>1473</v>
      </c>
      <c r="C457" s="10" t="s">
        <v>1474</v>
      </c>
      <c r="D457" s="11" t="n">
        <v>0.00710462962962963</v>
      </c>
      <c r="E457" s="18" t="n">
        <f aca="false">ROUND((D457-$D$5)*86400,2)</f>
        <v>74.82</v>
      </c>
      <c r="F457" s="12" t="n">
        <v>1011</v>
      </c>
      <c r="G457" s="11" t="n">
        <f aca="false">IF(INDEX(選手一覧!$D$7:$D$2738,$F457)="","",INDEX(選手一覧!$D$7:$D$2738,$F457))</f>
        <v>0.0109790509259259</v>
      </c>
      <c r="H457" s="12" t="n">
        <f aca="false">IF(INDEX(選手一覧!$E$7:$E$2738,$F457)="","",INDEX(選手一覧!$E$7:$E$2738,$F457))</f>
        <v>1054</v>
      </c>
      <c r="I457" s="11" t="str">
        <f aca="false">IF(INDEX(選手一覧!$H$7:$H$2738,$F457)="","",INDEX(選手一覧!$H$7:$H$2738,$F457))</f>
        <v/>
      </c>
      <c r="J457" s="12" t="str">
        <f aca="false">IF(INDEX(選手一覧!$I$7:$I$2738,$F457)="","",INDEX(選手一覧!$I$7:$I$2738,$F457))</f>
        <v/>
      </c>
    </row>
    <row r="458" customFormat="false" ht="15" hidden="false" customHeight="false" outlineLevel="0" collapsed="false">
      <c r="A458" s="12" t="n">
        <v>454</v>
      </c>
      <c r="B458" s="10" t="s">
        <v>1475</v>
      </c>
      <c r="C458" s="10" t="s">
        <v>195</v>
      </c>
      <c r="D458" s="11" t="n">
        <v>0.00710578703703704</v>
      </c>
      <c r="E458" s="18" t="n">
        <f aca="false">ROUND((D458-$D$5)*86400,2)</f>
        <v>74.92</v>
      </c>
      <c r="F458" s="12" t="n">
        <v>1012</v>
      </c>
      <c r="G458" s="11" t="n">
        <f aca="false">IF(INDEX(選手一覧!$D$7:$D$2738,$F458)="","",INDEX(選手一覧!$D$7:$D$2738,$F458))</f>
        <v>0.0109481481481482</v>
      </c>
      <c r="H458" s="12" t="n">
        <f aca="false">IF(INDEX(選手一覧!$E$7:$E$2738,$F458)="","",INDEX(選手一覧!$E$7:$E$2738,$F458))</f>
        <v>994</v>
      </c>
      <c r="I458" s="11" t="str">
        <f aca="false">IF(INDEX(選手一覧!$H$7:$H$2738,$F458)="","",INDEX(選手一覧!$H$7:$H$2738,$F458))</f>
        <v/>
      </c>
      <c r="J458" s="12" t="str">
        <f aca="false">IF(INDEX(選手一覧!$I$7:$I$2738,$F458)="","",INDEX(選手一覧!$I$7:$I$2738,$F458))</f>
        <v/>
      </c>
    </row>
    <row r="459" customFormat="false" ht="15" hidden="false" customHeight="false" outlineLevel="0" collapsed="false">
      <c r="A459" s="12" t="n">
        <v>455</v>
      </c>
      <c r="B459" s="10" t="s">
        <v>1479</v>
      </c>
      <c r="C459" s="10" t="s">
        <v>387</v>
      </c>
      <c r="D459" s="11" t="n">
        <v>0.00710694444444444</v>
      </c>
      <c r="E459" s="18" t="n">
        <f aca="false">ROUND((D459-$D$5)*86400,2)</f>
        <v>75.02</v>
      </c>
      <c r="F459" s="12" t="n">
        <v>1016</v>
      </c>
      <c r="G459" s="11" t="n">
        <f aca="false">IF(INDEX(選手一覧!$D$7:$D$2738,$F459)="","",INDEX(選手一覧!$D$7:$D$2738,$F459))</f>
        <v>0.0109208333333333</v>
      </c>
      <c r="H459" s="12" t="n">
        <f aca="false">IF(INDEX(選手一覧!$E$7:$E$2738,$F459)="","",INDEX(選手一覧!$E$7:$E$2738,$F459))</f>
        <v>951</v>
      </c>
      <c r="I459" s="11" t="str">
        <f aca="false">IF(INDEX(選手一覧!$H$7:$H$2738,$F459)="","",INDEX(選手一覧!$H$7:$H$2738,$F459))</f>
        <v/>
      </c>
      <c r="J459" s="12" t="str">
        <f aca="false">IF(INDEX(選手一覧!$I$7:$I$2738,$F459)="","",INDEX(選手一覧!$I$7:$I$2738,$F459))</f>
        <v/>
      </c>
    </row>
    <row r="460" customFormat="false" ht="15" hidden="false" customHeight="false" outlineLevel="0" collapsed="false">
      <c r="A460" s="12" t="n">
        <v>456</v>
      </c>
      <c r="B460" s="10" t="s">
        <v>1480</v>
      </c>
      <c r="C460" s="10" t="s">
        <v>1481</v>
      </c>
      <c r="D460" s="11" t="n">
        <v>0.00711053240740741</v>
      </c>
      <c r="E460" s="18" t="n">
        <f aca="false">ROUND((D460-$D$5)*86400,2)</f>
        <v>75.33</v>
      </c>
      <c r="F460" s="12" t="n">
        <v>1017</v>
      </c>
      <c r="G460" s="11" t="n">
        <f aca="false">IF(INDEX(選手一覧!$D$7:$D$2738,$F460)="","",INDEX(選手一覧!$D$7:$D$2738,$F460))</f>
        <v>0.0107909722222222</v>
      </c>
      <c r="H460" s="12" t="n">
        <f aca="false">IF(INDEX(選手一覧!$E$7:$E$2738,$F460)="","",INDEX(選手一覧!$E$7:$E$2738,$F460))</f>
        <v>725</v>
      </c>
      <c r="I460" s="11" t="n">
        <f aca="false">IF(INDEX(選手一覧!$H$7:$H$2738,$F460)="","",INDEX(選手一覧!$H$7:$H$2738,$F460))</f>
        <v>0.00284861111111111</v>
      </c>
      <c r="J460" s="12" t="n">
        <f aca="false">IF(INDEX(選手一覧!$I$7:$I$2738,$F460)="","",INDEX(選手一覧!$I$7:$I$2738,$F460))</f>
        <v>558</v>
      </c>
    </row>
    <row r="461" customFormat="false" ht="15" hidden="false" customHeight="false" outlineLevel="0" collapsed="false">
      <c r="A461" s="12" t="n">
        <v>457</v>
      </c>
      <c r="B461" s="10" t="s">
        <v>1316</v>
      </c>
      <c r="C461" s="10" t="s">
        <v>425</v>
      </c>
      <c r="D461" s="11" t="n">
        <v>0.0071125</v>
      </c>
      <c r="E461" s="18" t="n">
        <f aca="false">ROUND((D461-$D$5)*86400,2)</f>
        <v>75.5</v>
      </c>
      <c r="F461" s="12" t="n">
        <v>895</v>
      </c>
      <c r="G461" s="11" t="n">
        <f aca="false">IF(INDEX(選手一覧!$D$7:$D$2738,$F461)="","",INDEX(選手一覧!$D$7:$D$2738,$F461))</f>
        <v>0.0105509259259259</v>
      </c>
      <c r="H461" s="12" t="n">
        <f aca="false">IF(INDEX(選手一覧!$E$7:$E$2738,$F461)="","",INDEX(選手一覧!$E$7:$E$2738,$F461))</f>
        <v>400</v>
      </c>
      <c r="I461" s="11" t="str">
        <f aca="false">IF(INDEX(選手一覧!$H$7:$H$2738,$F461)="","",INDEX(選手一覧!$H$7:$H$2738,$F461))</f>
        <v/>
      </c>
      <c r="J461" s="12" t="str">
        <f aca="false">IF(INDEX(選手一覧!$I$7:$I$2738,$F461)="","",INDEX(選手一覧!$I$7:$I$2738,$F461))</f>
        <v/>
      </c>
    </row>
    <row r="462" customFormat="false" ht="15" hidden="false" customHeight="false" outlineLevel="0" collapsed="false">
      <c r="A462" s="12" t="n">
        <v>458</v>
      </c>
      <c r="B462" s="10" t="s">
        <v>1486</v>
      </c>
      <c r="C462" s="10" t="s">
        <v>1487</v>
      </c>
      <c r="D462" s="11" t="n">
        <v>0.00711354166666667</v>
      </c>
      <c r="E462" s="18" t="n">
        <f aca="false">ROUND((D462-$D$5)*86400,2)</f>
        <v>75.59</v>
      </c>
      <c r="F462" s="12" t="n">
        <v>1021</v>
      </c>
      <c r="G462" s="11" t="str">
        <f aca="false">IF(INDEX(選手一覧!$D$7:$D$2738,$F462)="","",INDEX(選手一覧!$D$7:$D$2738,$F462))</f>
        <v/>
      </c>
      <c r="H462" s="12" t="str">
        <f aca="false">IF(INDEX(選手一覧!$E$7:$E$2738,$F462)="","",INDEX(選手一覧!$E$7:$E$2738,$F462))</f>
        <v/>
      </c>
      <c r="I462" s="11" t="str">
        <f aca="false">IF(INDEX(選手一覧!$H$7:$H$2738,$F462)="","",INDEX(選手一覧!$H$7:$H$2738,$F462))</f>
        <v/>
      </c>
      <c r="J462" s="12" t="str">
        <f aca="false">IF(INDEX(選手一覧!$I$7:$I$2738,$F462)="","",INDEX(選手一覧!$I$7:$I$2738,$F462))</f>
        <v/>
      </c>
    </row>
    <row r="463" customFormat="false" ht="15" hidden="false" customHeight="false" outlineLevel="0" collapsed="false">
      <c r="A463" s="12" t="n">
        <v>459</v>
      </c>
      <c r="B463" s="10" t="s">
        <v>1490</v>
      </c>
      <c r="C463" s="10" t="s">
        <v>1491</v>
      </c>
      <c r="D463" s="11" t="n">
        <v>0.00711597222222222</v>
      </c>
      <c r="E463" s="18" t="n">
        <f aca="false">ROUND((D463-$D$5)*86400,2)</f>
        <v>75.8</v>
      </c>
      <c r="F463" s="12" t="n">
        <v>1024</v>
      </c>
      <c r="G463" s="11" t="str">
        <f aca="false">IF(INDEX(選手一覧!$D$7:$D$2738,$F463)="","",INDEX(選手一覧!$D$7:$D$2738,$F463))</f>
        <v/>
      </c>
      <c r="H463" s="12" t="str">
        <f aca="false">IF(INDEX(選手一覧!$E$7:$E$2738,$F463)="","",INDEX(選手一覧!$E$7:$E$2738,$F463))</f>
        <v/>
      </c>
      <c r="I463" s="11" t="str">
        <f aca="false">IF(INDEX(選手一覧!$H$7:$H$2738,$F463)="","",INDEX(選手一覧!$H$7:$H$2738,$F463))</f>
        <v/>
      </c>
      <c r="J463" s="12" t="str">
        <f aca="false">IF(INDEX(選手一覧!$I$7:$I$2738,$F463)="","",INDEX(選手一覧!$I$7:$I$2738,$F463))</f>
        <v/>
      </c>
    </row>
    <row r="464" customFormat="false" ht="15" hidden="false" customHeight="false" outlineLevel="0" collapsed="false">
      <c r="A464" s="12" t="n">
        <v>460</v>
      </c>
      <c r="B464" s="10" t="s">
        <v>1492</v>
      </c>
      <c r="C464" s="10" t="s">
        <v>603</v>
      </c>
      <c r="D464" s="11" t="n">
        <v>0.00711643518518519</v>
      </c>
      <c r="E464" s="18" t="n">
        <f aca="false">ROUND((D464-$D$5)*86400,2)</f>
        <v>75.84</v>
      </c>
      <c r="F464" s="12" t="n">
        <v>1025</v>
      </c>
      <c r="G464" s="11" t="n">
        <f aca="false">IF(INDEX(選手一覧!$D$7:$D$2738,$F464)="","",INDEX(選手一覧!$D$7:$D$2738,$F464))</f>
        <v>0.0107622685185185</v>
      </c>
      <c r="H464" s="12" t="n">
        <f aca="false">IF(INDEX(選手一覧!$E$7:$E$2738,$F464)="","",INDEX(選手一覧!$E$7:$E$2738,$F464))</f>
        <v>684</v>
      </c>
      <c r="I464" s="11" t="n">
        <f aca="false">IF(INDEX(選手一覧!$H$7:$H$2738,$F464)="","",INDEX(選手一覧!$H$7:$H$2738,$F464))</f>
        <v>0.00296215277777778</v>
      </c>
      <c r="J464" s="12" t="n">
        <f aca="false">IF(INDEX(選手一覧!$I$7:$I$2738,$F464)="","",INDEX(選手一覧!$I$7:$I$2738,$F464))</f>
        <v>1278</v>
      </c>
    </row>
    <row r="465" customFormat="false" ht="15" hidden="false" customHeight="false" outlineLevel="0" collapsed="false">
      <c r="A465" s="12" t="n">
        <v>461</v>
      </c>
      <c r="B465" s="10" t="s">
        <v>1495</v>
      </c>
      <c r="C465" s="10" t="s">
        <v>1496</v>
      </c>
      <c r="D465" s="11" t="n">
        <v>0.00711643518518519</v>
      </c>
      <c r="E465" s="18" t="n">
        <f aca="false">ROUND((D465-$D$5)*86400,2)</f>
        <v>75.84</v>
      </c>
      <c r="F465" s="12" t="n">
        <v>1028</v>
      </c>
      <c r="G465" s="11" t="str">
        <f aca="false">IF(INDEX(選手一覧!$D$7:$D$2738,$F465)="","",INDEX(選手一覧!$D$7:$D$2738,$F465))</f>
        <v/>
      </c>
      <c r="H465" s="12" t="str">
        <f aca="false">IF(INDEX(選手一覧!$E$7:$E$2738,$F465)="","",INDEX(選手一覧!$E$7:$E$2738,$F465))</f>
        <v/>
      </c>
      <c r="I465" s="11" t="n">
        <f aca="false">IF(INDEX(選手一覧!$H$7:$H$2738,$F465)="","",INDEX(選手一覧!$H$7:$H$2738,$F465))</f>
        <v>0.00290520833333333</v>
      </c>
      <c r="J465" s="12" t="n">
        <f aca="false">IF(INDEX(選手一覧!$I$7:$I$2738,$F465)="","",INDEX(選手一覧!$I$7:$I$2738,$F465))</f>
        <v>984</v>
      </c>
    </row>
    <row r="466" customFormat="false" ht="15" hidden="false" customHeight="false" outlineLevel="0" collapsed="false">
      <c r="A466" s="12" t="n">
        <v>462</v>
      </c>
      <c r="B466" s="10" t="s">
        <v>1497</v>
      </c>
      <c r="C466" s="10" t="s">
        <v>1498</v>
      </c>
      <c r="D466" s="11" t="n">
        <v>0.00711678240740741</v>
      </c>
      <c r="E466" s="18" t="n">
        <f aca="false">ROUND((D466-$D$5)*86400,2)</f>
        <v>75.87</v>
      </c>
      <c r="F466" s="12" t="n">
        <v>1029</v>
      </c>
      <c r="G466" s="11" t="str">
        <f aca="false">IF(INDEX(選手一覧!$D$7:$D$2738,$F466)="","",INDEX(選手一覧!$D$7:$D$2738,$F466))</f>
        <v/>
      </c>
      <c r="H466" s="12" t="str">
        <f aca="false">IF(INDEX(選手一覧!$E$7:$E$2738,$F466)="","",INDEX(選手一覧!$E$7:$E$2738,$F466))</f>
        <v/>
      </c>
      <c r="I466" s="11" t="str">
        <f aca="false">IF(INDEX(選手一覧!$H$7:$H$2738,$F466)="","",INDEX(選手一覧!$H$7:$H$2738,$F466))</f>
        <v/>
      </c>
      <c r="J466" s="12" t="str">
        <f aca="false">IF(INDEX(選手一覧!$I$7:$I$2738,$F466)="","",INDEX(選手一覧!$I$7:$I$2738,$F466))</f>
        <v/>
      </c>
    </row>
    <row r="467" customFormat="false" ht="15" hidden="false" customHeight="false" outlineLevel="0" collapsed="false">
      <c r="A467" s="12" t="n">
        <v>463</v>
      </c>
      <c r="B467" s="10" t="s">
        <v>1164</v>
      </c>
      <c r="C467" s="10" t="s">
        <v>120</v>
      </c>
      <c r="D467" s="11" t="n">
        <v>0.00711736111111111</v>
      </c>
      <c r="E467" s="18" t="n">
        <f aca="false">ROUND((D467-$D$5)*86400,2)</f>
        <v>75.92</v>
      </c>
      <c r="F467" s="12" t="n">
        <v>789</v>
      </c>
      <c r="G467" s="11" t="str">
        <f aca="false">IF(INDEX(選手一覧!$D$7:$D$2738,$F467)="","",INDEX(選手一覧!$D$7:$D$2738,$F467))</f>
        <v/>
      </c>
      <c r="H467" s="12" t="str">
        <f aca="false">IF(INDEX(選手一覧!$E$7:$E$2738,$F467)="","",INDEX(選手一覧!$E$7:$E$2738,$F467))</f>
        <v/>
      </c>
      <c r="I467" s="11" t="n">
        <f aca="false">IF(INDEX(選手一覧!$H$7:$H$2738,$F467)="","",INDEX(選手一覧!$H$7:$H$2738,$F467))</f>
        <v>0.00281493055555556</v>
      </c>
      <c r="J467" s="12" t="n">
        <f aca="false">IF(INDEX(選手一覧!$I$7:$I$2738,$F467)="","",INDEX(選手一覧!$I$7:$I$2738,$F467))</f>
        <v>343</v>
      </c>
    </row>
    <row r="468" customFormat="false" ht="15" hidden="false" customHeight="false" outlineLevel="0" collapsed="false">
      <c r="A468" s="12" t="n">
        <v>464</v>
      </c>
      <c r="B468" s="10" t="s">
        <v>1502</v>
      </c>
      <c r="C468" s="10" t="s">
        <v>588</v>
      </c>
      <c r="D468" s="11" t="n">
        <v>0.00711782407407407</v>
      </c>
      <c r="E468" s="18" t="n">
        <f aca="false">ROUND((D468-$D$5)*86400,2)</f>
        <v>75.96</v>
      </c>
      <c r="F468" s="12" t="n">
        <v>1032</v>
      </c>
      <c r="G468" s="11" t="n">
        <f aca="false">IF(INDEX(選手一覧!$D$7:$D$2738,$F468)="","",INDEX(選手一覧!$D$7:$D$2738,$F468))</f>
        <v>0.0108373842592593</v>
      </c>
      <c r="H468" s="12" t="n">
        <f aca="false">IF(INDEX(選手一覧!$E$7:$E$2738,$F468)="","",INDEX(選手一覧!$E$7:$E$2738,$F468))</f>
        <v>805</v>
      </c>
      <c r="I468" s="11" t="n">
        <f aca="false">IF(INDEX(選手一覧!$H$7:$H$2738,$F468)="","",INDEX(選手一覧!$H$7:$H$2738,$F468))</f>
        <v>0.002925</v>
      </c>
      <c r="J468" s="12" t="n">
        <f aca="false">IF(INDEX(選手一覧!$I$7:$I$2738,$F468)="","",INDEX(選手一覧!$I$7:$I$2738,$F468))</f>
        <v>1149</v>
      </c>
    </row>
    <row r="469" customFormat="false" ht="15" hidden="false" customHeight="false" outlineLevel="0" collapsed="false">
      <c r="A469" s="12" t="n">
        <v>465</v>
      </c>
      <c r="B469" s="10" t="s">
        <v>1503</v>
      </c>
      <c r="C469" s="10" t="s">
        <v>1504</v>
      </c>
      <c r="D469" s="11" t="n">
        <v>0.00711990740740741</v>
      </c>
      <c r="E469" s="18" t="n">
        <f aca="false">ROUND((D469-$D$5)*86400,2)</f>
        <v>76.14</v>
      </c>
      <c r="F469" s="12" t="n">
        <v>1033</v>
      </c>
      <c r="G469" s="11" t="n">
        <f aca="false">IF(INDEX(選手一覧!$D$7:$D$2738,$F469)="","",INDEX(選手一覧!$D$7:$D$2738,$F469))</f>
        <v>0.0107510416666667</v>
      </c>
      <c r="H469" s="12" t="n">
        <f aca="false">IF(INDEX(選手一覧!$E$7:$E$2738,$F469)="","",INDEX(選手一覧!$E$7:$E$2738,$F469))</f>
        <v>668</v>
      </c>
      <c r="I469" s="11" t="n">
        <f aca="false">IF(INDEX(選手一覧!$H$7:$H$2738,$F469)="","",INDEX(選手一覧!$H$7:$H$2738,$F469))</f>
        <v>0.00285555555555556</v>
      </c>
      <c r="J469" s="12" t="n">
        <f aca="false">IF(INDEX(選手一覧!$I$7:$I$2738,$F469)="","",INDEX(選手一覧!$I$7:$I$2738,$F469))</f>
        <v>600</v>
      </c>
    </row>
    <row r="470" customFormat="false" ht="15" hidden="false" customHeight="false" outlineLevel="0" collapsed="false">
      <c r="A470" s="12" t="n">
        <v>466</v>
      </c>
      <c r="B470" s="10" t="s">
        <v>1509</v>
      </c>
      <c r="C470" s="10" t="s">
        <v>1510</v>
      </c>
      <c r="D470" s="11" t="n">
        <v>0.00712094907407407</v>
      </c>
      <c r="E470" s="18" t="n">
        <f aca="false">ROUND((D470-$D$5)*86400,2)</f>
        <v>76.23</v>
      </c>
      <c r="F470" s="12" t="n">
        <v>1037</v>
      </c>
      <c r="G470" s="11" t="str">
        <f aca="false">IF(INDEX(選手一覧!$D$7:$D$2738,$F470)="","",INDEX(選手一覧!$D$7:$D$2738,$F470))</f>
        <v/>
      </c>
      <c r="H470" s="12" t="str">
        <f aca="false">IF(INDEX(選手一覧!$E$7:$E$2738,$F470)="","",INDEX(選手一覧!$E$7:$E$2738,$F470))</f>
        <v/>
      </c>
      <c r="I470" s="11" t="str">
        <f aca="false">IF(INDEX(選手一覧!$H$7:$H$2738,$F470)="","",INDEX(選手一覧!$H$7:$H$2738,$F470))</f>
        <v/>
      </c>
      <c r="J470" s="12" t="str">
        <f aca="false">IF(INDEX(選手一覧!$I$7:$I$2738,$F470)="","",INDEX(選手一覧!$I$7:$I$2738,$F470))</f>
        <v/>
      </c>
    </row>
    <row r="471" customFormat="false" ht="15" hidden="false" customHeight="false" outlineLevel="0" collapsed="false">
      <c r="A471" s="12" t="n">
        <v>467</v>
      </c>
      <c r="B471" s="10" t="s">
        <v>1511</v>
      </c>
      <c r="C471" s="10" t="s">
        <v>1512</v>
      </c>
      <c r="D471" s="11" t="n">
        <v>0.0071224537037037</v>
      </c>
      <c r="E471" s="18" t="n">
        <f aca="false">ROUND((D471-$D$5)*86400,2)</f>
        <v>76.36</v>
      </c>
      <c r="F471" s="12" t="n">
        <v>1038</v>
      </c>
      <c r="G471" s="11" t="str">
        <f aca="false">IF(INDEX(選手一覧!$D$7:$D$2738,$F471)="","",INDEX(選手一覧!$D$7:$D$2738,$F471))</f>
        <v/>
      </c>
      <c r="H471" s="12" t="str">
        <f aca="false">IF(INDEX(選手一覧!$E$7:$E$2738,$F471)="","",INDEX(選手一覧!$E$7:$E$2738,$F471))</f>
        <v/>
      </c>
      <c r="I471" s="11" t="str">
        <f aca="false">IF(INDEX(選手一覧!$H$7:$H$2738,$F471)="","",INDEX(選手一覧!$H$7:$H$2738,$F471))</f>
        <v/>
      </c>
      <c r="J471" s="12" t="str">
        <f aca="false">IF(INDEX(選手一覧!$I$7:$I$2738,$F471)="","",INDEX(選手一覧!$I$7:$I$2738,$F471))</f>
        <v/>
      </c>
    </row>
    <row r="472" customFormat="false" ht="15" hidden="false" customHeight="false" outlineLevel="0" collapsed="false">
      <c r="A472" s="12" t="n">
        <v>468</v>
      </c>
      <c r="B472" s="10" t="s">
        <v>1515</v>
      </c>
      <c r="C472" s="10" t="s">
        <v>1516</v>
      </c>
      <c r="D472" s="11" t="n">
        <v>0.00712291666666667</v>
      </c>
      <c r="E472" s="18" t="n">
        <f aca="false">ROUND((D472-$D$5)*86400,2)</f>
        <v>76.4</v>
      </c>
      <c r="F472" s="12" t="n">
        <v>1040</v>
      </c>
      <c r="G472" s="11" t="str">
        <f aca="false">IF(INDEX(選手一覧!$D$7:$D$2738,$F472)="","",INDEX(選手一覧!$D$7:$D$2738,$F472))</f>
        <v/>
      </c>
      <c r="H472" s="12" t="str">
        <f aca="false">IF(INDEX(選手一覧!$E$7:$E$2738,$F472)="","",INDEX(選手一覧!$E$7:$E$2738,$F472))</f>
        <v/>
      </c>
      <c r="I472" s="11" t="str">
        <f aca="false">IF(INDEX(選手一覧!$H$7:$H$2738,$F472)="","",INDEX(選手一覧!$H$7:$H$2738,$F472))</f>
        <v/>
      </c>
      <c r="J472" s="12" t="str">
        <f aca="false">IF(INDEX(選手一覧!$I$7:$I$2738,$F472)="","",INDEX(選手一覧!$I$7:$I$2738,$F472))</f>
        <v/>
      </c>
    </row>
    <row r="473" customFormat="false" ht="15" hidden="false" customHeight="false" outlineLevel="0" collapsed="false">
      <c r="A473" s="12" t="n">
        <v>469</v>
      </c>
      <c r="B473" s="10" t="s">
        <v>1519</v>
      </c>
      <c r="C473" s="10" t="s">
        <v>1520</v>
      </c>
      <c r="D473" s="11" t="n">
        <v>0.007125</v>
      </c>
      <c r="E473" s="18" t="n">
        <f aca="false">ROUND((D473-$D$5)*86400,2)</f>
        <v>76.58</v>
      </c>
      <c r="F473" s="12" t="n">
        <v>1043</v>
      </c>
      <c r="G473" s="11" t="str">
        <f aca="false">IF(INDEX(選手一覧!$D$7:$D$2738,$F473)="","",INDEX(選手一覧!$D$7:$D$2738,$F473))</f>
        <v/>
      </c>
      <c r="H473" s="12" t="str">
        <f aca="false">IF(INDEX(選手一覧!$E$7:$E$2738,$F473)="","",INDEX(選手一覧!$E$7:$E$2738,$F473))</f>
        <v/>
      </c>
      <c r="I473" s="11" t="n">
        <f aca="false">IF(INDEX(選手一覧!$H$7:$H$2738,$F473)="","",INDEX(選手一覧!$H$7:$H$2738,$F473))</f>
        <v>0.00294166666666667</v>
      </c>
      <c r="J473" s="12" t="n">
        <f aca="false">IF(INDEX(選手一覧!$I$7:$I$2738,$F473)="","",INDEX(選手一覧!$I$7:$I$2738,$F473))</f>
        <v>1207</v>
      </c>
    </row>
    <row r="474" customFormat="false" ht="15" hidden="false" customHeight="false" outlineLevel="0" collapsed="false">
      <c r="A474" s="12" t="n">
        <v>470</v>
      </c>
      <c r="B474" s="10" t="s">
        <v>1524</v>
      </c>
      <c r="C474" s="10" t="s">
        <v>592</v>
      </c>
      <c r="D474" s="11" t="n">
        <v>0.00712511574074074</v>
      </c>
      <c r="E474" s="18" t="n">
        <f aca="false">ROUND((D474-$D$5)*86400,2)</f>
        <v>76.59</v>
      </c>
      <c r="F474" s="12" t="n">
        <v>1046</v>
      </c>
      <c r="G474" s="11" t="str">
        <f aca="false">IF(INDEX(選手一覧!$D$7:$D$2738,$F474)="","",INDEX(選手一覧!$D$7:$D$2738,$F474))</f>
        <v/>
      </c>
      <c r="H474" s="12" t="str">
        <f aca="false">IF(INDEX(選手一覧!$E$7:$E$2738,$F474)="","",INDEX(選手一覧!$E$7:$E$2738,$F474))</f>
        <v/>
      </c>
      <c r="I474" s="11" t="str">
        <f aca="false">IF(INDEX(選手一覧!$H$7:$H$2738,$F474)="","",INDEX(選手一覧!$H$7:$H$2738,$F474))</f>
        <v/>
      </c>
      <c r="J474" s="12" t="str">
        <f aca="false">IF(INDEX(選手一覧!$I$7:$I$2738,$F474)="","",INDEX(選手一覧!$I$7:$I$2738,$F474))</f>
        <v/>
      </c>
    </row>
    <row r="475" customFormat="false" ht="15" hidden="false" customHeight="false" outlineLevel="0" collapsed="false">
      <c r="A475" s="12" t="n">
        <v>471</v>
      </c>
      <c r="B475" s="10" t="s">
        <v>1527</v>
      </c>
      <c r="C475" s="10" t="s">
        <v>546</v>
      </c>
      <c r="D475" s="11" t="n">
        <v>0.0071255787037037</v>
      </c>
      <c r="E475" s="18" t="n">
        <f aca="false">ROUND((D475-$D$5)*86400,2)</f>
        <v>76.63</v>
      </c>
      <c r="F475" s="12" t="n">
        <v>1049</v>
      </c>
      <c r="G475" s="11" t="str">
        <f aca="false">IF(INDEX(選手一覧!$D$7:$D$2738,$F475)="","",INDEX(選手一覧!$D$7:$D$2738,$F475))</f>
        <v/>
      </c>
      <c r="H475" s="12" t="str">
        <f aca="false">IF(INDEX(選手一覧!$E$7:$E$2738,$F475)="","",INDEX(選手一覧!$E$7:$E$2738,$F475))</f>
        <v/>
      </c>
      <c r="I475" s="11" t="str">
        <f aca="false">IF(INDEX(選手一覧!$H$7:$H$2738,$F475)="","",INDEX(選手一覧!$H$7:$H$2738,$F475))</f>
        <v/>
      </c>
      <c r="J475" s="12" t="str">
        <f aca="false">IF(INDEX(選手一覧!$I$7:$I$2738,$F475)="","",INDEX(選手一覧!$I$7:$I$2738,$F475))</f>
        <v/>
      </c>
    </row>
    <row r="476" customFormat="false" ht="15" hidden="false" customHeight="false" outlineLevel="0" collapsed="false">
      <c r="A476" s="12" t="n">
        <v>472</v>
      </c>
      <c r="B476" s="10" t="s">
        <v>1530</v>
      </c>
      <c r="C476" s="10" t="s">
        <v>1119</v>
      </c>
      <c r="D476" s="11" t="n">
        <v>0.00712685185185185</v>
      </c>
      <c r="E476" s="18" t="n">
        <f aca="false">ROUND((D476-$D$5)*86400,2)</f>
        <v>76.74</v>
      </c>
      <c r="F476" s="12" t="n">
        <v>1052</v>
      </c>
      <c r="G476" s="11" t="str">
        <f aca="false">IF(INDEX(選手一覧!$D$7:$D$2738,$F476)="","",INDEX(選手一覧!$D$7:$D$2738,$F476))</f>
        <v/>
      </c>
      <c r="H476" s="12" t="str">
        <f aca="false">IF(INDEX(選手一覧!$E$7:$E$2738,$F476)="","",INDEX(選手一覧!$E$7:$E$2738,$F476))</f>
        <v/>
      </c>
      <c r="I476" s="11" t="str">
        <f aca="false">IF(INDEX(選手一覧!$H$7:$H$2738,$F476)="","",INDEX(選手一覧!$H$7:$H$2738,$F476))</f>
        <v/>
      </c>
      <c r="J476" s="12" t="str">
        <f aca="false">IF(INDEX(選手一覧!$I$7:$I$2738,$F476)="","",INDEX(選手一覧!$I$7:$I$2738,$F476))</f>
        <v/>
      </c>
    </row>
    <row r="477" customFormat="false" ht="15" hidden="false" customHeight="false" outlineLevel="0" collapsed="false">
      <c r="A477" s="12" t="n">
        <v>473</v>
      </c>
      <c r="B477" s="10" t="s">
        <v>1531</v>
      </c>
      <c r="C477" s="10" t="s">
        <v>660</v>
      </c>
      <c r="D477" s="11" t="n">
        <v>0.00712893518518519</v>
      </c>
      <c r="E477" s="18" t="n">
        <f aca="false">ROUND((D477-$D$5)*86400,2)</f>
        <v>76.92</v>
      </c>
      <c r="F477" s="12" t="n">
        <v>1053</v>
      </c>
      <c r="G477" s="11" t="n">
        <f aca="false">IF(INDEX(選手一覧!$D$7:$D$2738,$F477)="","",INDEX(選手一覧!$D$7:$D$2738,$F477))</f>
        <v>0.0109811342592593</v>
      </c>
      <c r="H477" s="12" t="n">
        <f aca="false">IF(INDEX(選手一覧!$E$7:$E$2738,$F477)="","",INDEX(選手一覧!$E$7:$E$2738,$F477))</f>
        <v>1059</v>
      </c>
      <c r="I477" s="11" t="str">
        <f aca="false">IF(INDEX(選手一覧!$H$7:$H$2738,$F477)="","",INDEX(選手一覧!$H$7:$H$2738,$F477))</f>
        <v/>
      </c>
      <c r="J477" s="12" t="str">
        <f aca="false">IF(INDEX(選手一覧!$I$7:$I$2738,$F477)="","",INDEX(選手一覧!$I$7:$I$2738,$F477))</f>
        <v/>
      </c>
    </row>
    <row r="478" customFormat="false" ht="15" hidden="false" customHeight="false" outlineLevel="0" collapsed="false">
      <c r="A478" s="12" t="n">
        <v>474</v>
      </c>
      <c r="B478" s="10" t="s">
        <v>1535</v>
      </c>
      <c r="C478" s="10" t="s">
        <v>1536</v>
      </c>
      <c r="D478" s="11" t="n">
        <v>0.00713171296296296</v>
      </c>
      <c r="E478" s="18" t="n">
        <f aca="false">ROUND((D478-$D$5)*86400,2)</f>
        <v>77.16</v>
      </c>
      <c r="F478" s="12" t="n">
        <v>1057</v>
      </c>
      <c r="G478" s="11" t="str">
        <f aca="false">IF(INDEX(選手一覧!$D$7:$D$2738,$F478)="","",INDEX(選手一覧!$D$7:$D$2738,$F478))</f>
        <v/>
      </c>
      <c r="H478" s="12" t="str">
        <f aca="false">IF(INDEX(選手一覧!$E$7:$E$2738,$F478)="","",INDEX(選手一覧!$E$7:$E$2738,$F478))</f>
        <v/>
      </c>
      <c r="I478" s="11" t="str">
        <f aca="false">IF(INDEX(選手一覧!$H$7:$H$2738,$F478)="","",INDEX(選手一覧!$H$7:$H$2738,$F478))</f>
        <v/>
      </c>
      <c r="J478" s="12" t="str">
        <f aca="false">IF(INDEX(選手一覧!$I$7:$I$2738,$F478)="","",INDEX(選手一覧!$I$7:$I$2738,$F478))</f>
        <v/>
      </c>
    </row>
    <row r="479" customFormat="false" ht="15" hidden="false" customHeight="false" outlineLevel="0" collapsed="false">
      <c r="A479" s="12" t="n">
        <v>475</v>
      </c>
      <c r="B479" s="10" t="s">
        <v>1500</v>
      </c>
      <c r="C479" s="10" t="s">
        <v>1501</v>
      </c>
      <c r="D479" s="11" t="n">
        <v>0.00713217592592593</v>
      </c>
      <c r="E479" s="18" t="n">
        <f aca="false">ROUND((D479-$D$5)*86400,2)</f>
        <v>77.2</v>
      </c>
      <c r="F479" s="12" t="n">
        <v>1031</v>
      </c>
      <c r="G479" s="11" t="n">
        <f aca="false">IF(INDEX(選手一覧!$D$7:$D$2738,$F479)="","",INDEX(選手一覧!$D$7:$D$2738,$F479))</f>
        <v>0.010600462962963</v>
      </c>
      <c r="H479" s="12" t="n">
        <f aca="false">IF(INDEX(選手一覧!$E$7:$E$2738,$F479)="","",INDEX(選手一覧!$E$7:$E$2738,$F479))</f>
        <v>464</v>
      </c>
      <c r="I479" s="11" t="n">
        <f aca="false">IF(INDEX(選手一覧!$H$7:$H$2738,$F479)="","",INDEX(選手一覧!$H$7:$H$2738,$F479))</f>
        <v>0.00287071759259259</v>
      </c>
      <c r="J479" s="12" t="n">
        <f aca="false">IF(INDEX(選手一覧!$I$7:$I$2738,$F479)="","",INDEX(選手一覧!$I$7:$I$2738,$F479))</f>
        <v>702</v>
      </c>
    </row>
    <row r="480" customFormat="false" ht="15" hidden="false" customHeight="false" outlineLevel="0" collapsed="false">
      <c r="A480" s="12" t="n">
        <v>476</v>
      </c>
      <c r="B480" s="10" t="s">
        <v>1537</v>
      </c>
      <c r="C480" s="10" t="s">
        <v>1538</v>
      </c>
      <c r="D480" s="11" t="n">
        <v>0.00713472222222222</v>
      </c>
      <c r="E480" s="18" t="n">
        <f aca="false">ROUND((D480-$D$5)*86400,2)</f>
        <v>77.42</v>
      </c>
      <c r="F480" s="12" t="n">
        <v>1058</v>
      </c>
      <c r="G480" s="11" t="str">
        <f aca="false">IF(INDEX(選手一覧!$D$7:$D$2738,$F480)="","",INDEX(選手一覧!$D$7:$D$2738,$F480))</f>
        <v/>
      </c>
      <c r="H480" s="12" t="str">
        <f aca="false">IF(INDEX(選手一覧!$E$7:$E$2738,$F480)="","",INDEX(選手一覧!$E$7:$E$2738,$F480))</f>
        <v/>
      </c>
      <c r="I480" s="11" t="str">
        <f aca="false">IF(INDEX(選手一覧!$H$7:$H$2738,$F480)="","",INDEX(選手一覧!$H$7:$H$2738,$F480))</f>
        <v/>
      </c>
      <c r="J480" s="12" t="str">
        <f aca="false">IF(INDEX(選手一覧!$I$7:$I$2738,$F480)="","",INDEX(選手一覧!$I$7:$I$2738,$F480))</f>
        <v/>
      </c>
    </row>
    <row r="481" customFormat="false" ht="15" hidden="false" customHeight="false" outlineLevel="0" collapsed="false">
      <c r="A481" s="12" t="n">
        <v>477</v>
      </c>
      <c r="B481" s="10" t="s">
        <v>1539</v>
      </c>
      <c r="C481" s="10" t="s">
        <v>915</v>
      </c>
      <c r="D481" s="11" t="n">
        <v>0.00713599537037037</v>
      </c>
      <c r="E481" s="18" t="n">
        <f aca="false">ROUND((D481-$D$5)*86400,2)</f>
        <v>77.53</v>
      </c>
      <c r="F481" s="12" t="n">
        <v>1059</v>
      </c>
      <c r="G481" s="11" t="str">
        <f aca="false">IF(INDEX(選手一覧!$D$7:$D$2738,$F481)="","",INDEX(選手一覧!$D$7:$D$2738,$F481))</f>
        <v/>
      </c>
      <c r="H481" s="12" t="str">
        <f aca="false">IF(INDEX(選手一覧!$E$7:$E$2738,$F481)="","",INDEX(選手一覧!$E$7:$E$2738,$F481))</f>
        <v/>
      </c>
      <c r="I481" s="11" t="str">
        <f aca="false">IF(INDEX(選手一覧!$H$7:$H$2738,$F481)="","",INDEX(選手一覧!$H$7:$H$2738,$F481))</f>
        <v/>
      </c>
      <c r="J481" s="12" t="str">
        <f aca="false">IF(INDEX(選手一覧!$I$7:$I$2738,$F481)="","",INDEX(選手一覧!$I$7:$I$2738,$F481))</f>
        <v/>
      </c>
    </row>
    <row r="482" customFormat="false" ht="15" hidden="false" customHeight="false" outlineLevel="0" collapsed="false">
      <c r="A482" s="12" t="n">
        <v>478</v>
      </c>
      <c r="B482" s="10" t="s">
        <v>1543</v>
      </c>
      <c r="C482" s="10" t="s">
        <v>465</v>
      </c>
      <c r="D482" s="11" t="n">
        <v>0.00713900462962963</v>
      </c>
      <c r="E482" s="18" t="n">
        <f aca="false">ROUND((D482-$D$5)*86400,2)</f>
        <v>77.79</v>
      </c>
      <c r="F482" s="12" t="n">
        <v>1063</v>
      </c>
      <c r="G482" s="11" t="str">
        <f aca="false">IF(INDEX(選手一覧!$D$7:$D$2738,$F482)="","",INDEX(選手一覧!$D$7:$D$2738,$F482))</f>
        <v/>
      </c>
      <c r="H482" s="12" t="str">
        <f aca="false">IF(INDEX(選手一覧!$E$7:$E$2738,$F482)="","",INDEX(選手一覧!$E$7:$E$2738,$F482))</f>
        <v/>
      </c>
      <c r="I482" s="11" t="str">
        <f aca="false">IF(INDEX(選手一覧!$H$7:$H$2738,$F482)="","",INDEX(選手一覧!$H$7:$H$2738,$F482))</f>
        <v/>
      </c>
      <c r="J482" s="12" t="str">
        <f aca="false">IF(INDEX(選手一覧!$I$7:$I$2738,$F482)="","",INDEX(選手一覧!$I$7:$I$2738,$F482))</f>
        <v/>
      </c>
    </row>
    <row r="483" customFormat="false" ht="15" hidden="false" customHeight="false" outlineLevel="0" collapsed="false">
      <c r="A483" s="12" t="n">
        <v>479</v>
      </c>
      <c r="B483" s="10" t="s">
        <v>1544</v>
      </c>
      <c r="C483" s="10" t="s">
        <v>549</v>
      </c>
      <c r="D483" s="11" t="n">
        <v>0.00713900462962963</v>
      </c>
      <c r="E483" s="18" t="n">
        <f aca="false">ROUND((D483-$D$5)*86400,2)</f>
        <v>77.79</v>
      </c>
      <c r="F483" s="12" t="n">
        <v>1064</v>
      </c>
      <c r="G483" s="11" t="str">
        <f aca="false">IF(INDEX(選手一覧!$D$7:$D$2738,$F483)="","",INDEX(選手一覧!$D$7:$D$2738,$F483))</f>
        <v/>
      </c>
      <c r="H483" s="12" t="str">
        <f aca="false">IF(INDEX(選手一覧!$E$7:$E$2738,$F483)="","",INDEX(選手一覧!$E$7:$E$2738,$F483))</f>
        <v/>
      </c>
      <c r="I483" s="11" t="str">
        <f aca="false">IF(INDEX(選手一覧!$H$7:$H$2738,$F483)="","",INDEX(選手一覧!$H$7:$H$2738,$F483))</f>
        <v/>
      </c>
      <c r="J483" s="12" t="str">
        <f aca="false">IF(INDEX(選手一覧!$I$7:$I$2738,$F483)="","",INDEX(選手一覧!$I$7:$I$2738,$F483))</f>
        <v/>
      </c>
    </row>
    <row r="484" customFormat="false" ht="15" hidden="false" customHeight="false" outlineLevel="0" collapsed="false">
      <c r="A484" s="12" t="n">
        <v>480</v>
      </c>
      <c r="B484" s="10" t="s">
        <v>1545</v>
      </c>
      <c r="C484" s="10" t="s">
        <v>1546</v>
      </c>
      <c r="D484" s="11" t="n">
        <v>0.00713969907407407</v>
      </c>
      <c r="E484" s="18" t="n">
        <f aca="false">ROUND((D484-$D$5)*86400,2)</f>
        <v>77.85</v>
      </c>
      <c r="F484" s="12" t="n">
        <v>1065</v>
      </c>
      <c r="G484" s="11" t="str">
        <f aca="false">IF(INDEX(選手一覧!$D$7:$D$2738,$F484)="","",INDEX(選手一覧!$D$7:$D$2738,$F484))</f>
        <v/>
      </c>
      <c r="H484" s="12" t="str">
        <f aca="false">IF(INDEX(選手一覧!$E$7:$E$2738,$F484)="","",INDEX(選手一覧!$E$7:$E$2738,$F484))</f>
        <v/>
      </c>
      <c r="I484" s="11" t="str">
        <f aca="false">IF(INDEX(選手一覧!$H$7:$H$2738,$F484)="","",INDEX(選手一覧!$H$7:$H$2738,$F484))</f>
        <v/>
      </c>
      <c r="J484" s="12" t="str">
        <f aca="false">IF(INDEX(選手一覧!$I$7:$I$2738,$F484)="","",INDEX(選手一覧!$I$7:$I$2738,$F484))</f>
        <v/>
      </c>
    </row>
    <row r="485" customFormat="false" ht="15" hidden="false" customHeight="false" outlineLevel="0" collapsed="false">
      <c r="A485" s="12" t="n">
        <v>481</v>
      </c>
      <c r="B485" s="10" t="s">
        <v>1550</v>
      </c>
      <c r="C485" s="10" t="s">
        <v>1551</v>
      </c>
      <c r="D485" s="11" t="n">
        <v>0.00713993055555556</v>
      </c>
      <c r="E485" s="18" t="n">
        <f aca="false">ROUND((D485-$D$5)*86400,2)</f>
        <v>77.87</v>
      </c>
      <c r="F485" s="12" t="n">
        <v>1068</v>
      </c>
      <c r="G485" s="11" t="str">
        <f aca="false">IF(INDEX(選手一覧!$D$7:$D$2738,$F485)="","",INDEX(選手一覧!$D$7:$D$2738,$F485))</f>
        <v/>
      </c>
      <c r="H485" s="12" t="str">
        <f aca="false">IF(INDEX(選手一覧!$E$7:$E$2738,$F485)="","",INDEX(選手一覧!$E$7:$E$2738,$F485))</f>
        <v/>
      </c>
      <c r="I485" s="11" t="str">
        <f aca="false">IF(INDEX(選手一覧!$H$7:$H$2738,$F485)="","",INDEX(選手一覧!$H$7:$H$2738,$F485))</f>
        <v/>
      </c>
      <c r="J485" s="12" t="str">
        <f aca="false">IF(INDEX(選手一覧!$I$7:$I$2738,$F485)="","",INDEX(選手一覧!$I$7:$I$2738,$F485))</f>
        <v/>
      </c>
    </row>
    <row r="486" customFormat="false" ht="15" hidden="false" customHeight="false" outlineLevel="0" collapsed="false">
      <c r="A486" s="12" t="n">
        <v>482</v>
      </c>
      <c r="B486" s="10" t="s">
        <v>1554</v>
      </c>
      <c r="C486" s="10" t="s">
        <v>358</v>
      </c>
      <c r="D486" s="11" t="n">
        <v>0.00714247685185185</v>
      </c>
      <c r="E486" s="18" t="n">
        <f aca="false">ROUND((D486-$D$5)*86400,2)</f>
        <v>78.09</v>
      </c>
      <c r="F486" s="12" t="n">
        <v>1070</v>
      </c>
      <c r="G486" s="11" t="str">
        <f aca="false">IF(INDEX(選手一覧!$D$7:$D$2738,$F486)="","",INDEX(選手一覧!$D$7:$D$2738,$F486))</f>
        <v/>
      </c>
      <c r="H486" s="12" t="str">
        <f aca="false">IF(INDEX(選手一覧!$E$7:$E$2738,$F486)="","",INDEX(選手一覧!$E$7:$E$2738,$F486))</f>
        <v/>
      </c>
      <c r="I486" s="11" t="str">
        <f aca="false">IF(INDEX(選手一覧!$H$7:$H$2738,$F486)="","",INDEX(選手一覧!$H$7:$H$2738,$F486))</f>
        <v/>
      </c>
      <c r="J486" s="12" t="str">
        <f aca="false">IF(INDEX(選手一覧!$I$7:$I$2738,$F486)="","",INDEX(選手一覧!$I$7:$I$2738,$F486))</f>
        <v/>
      </c>
    </row>
    <row r="487" customFormat="false" ht="15" hidden="false" customHeight="false" outlineLevel="0" collapsed="false">
      <c r="A487" s="12" t="n">
        <v>483</v>
      </c>
      <c r="B487" s="10" t="s">
        <v>1555</v>
      </c>
      <c r="C487" s="10" t="s">
        <v>1556</v>
      </c>
      <c r="D487" s="11" t="n">
        <v>0.00714467592592593</v>
      </c>
      <c r="E487" s="18" t="n">
        <f aca="false">ROUND((D487-$D$5)*86400,2)</f>
        <v>78.28</v>
      </c>
      <c r="F487" s="12" t="n">
        <v>1071</v>
      </c>
      <c r="G487" s="11" t="str">
        <f aca="false">IF(INDEX(選手一覧!$D$7:$D$2738,$F487)="","",INDEX(選手一覧!$D$7:$D$2738,$F487))</f>
        <v/>
      </c>
      <c r="H487" s="12" t="str">
        <f aca="false">IF(INDEX(選手一覧!$E$7:$E$2738,$F487)="","",INDEX(選手一覧!$E$7:$E$2738,$F487))</f>
        <v/>
      </c>
      <c r="I487" s="11" t="str">
        <f aca="false">IF(INDEX(選手一覧!$H$7:$H$2738,$F487)="","",INDEX(選手一覧!$H$7:$H$2738,$F487))</f>
        <v/>
      </c>
      <c r="J487" s="12" t="str">
        <f aca="false">IF(INDEX(選手一覧!$I$7:$I$2738,$F487)="","",INDEX(選手一覧!$I$7:$I$2738,$F487))</f>
        <v/>
      </c>
    </row>
    <row r="488" customFormat="false" ht="15" hidden="false" customHeight="false" outlineLevel="0" collapsed="false">
      <c r="A488" s="12" t="n">
        <v>484</v>
      </c>
      <c r="B488" s="10" t="s">
        <v>1558</v>
      </c>
      <c r="C488" s="10" t="s">
        <v>307</v>
      </c>
      <c r="D488" s="11" t="n">
        <v>0.0071474537037037</v>
      </c>
      <c r="E488" s="18" t="n">
        <f aca="false">ROUND((D488-$D$5)*86400,2)</f>
        <v>78.52</v>
      </c>
      <c r="F488" s="12" t="n">
        <v>1073</v>
      </c>
      <c r="G488" s="11" t="str">
        <f aca="false">IF(INDEX(選手一覧!$D$7:$D$2738,$F488)="","",INDEX(選手一覧!$D$7:$D$2738,$F488))</f>
        <v/>
      </c>
      <c r="H488" s="12" t="str">
        <f aca="false">IF(INDEX(選手一覧!$E$7:$E$2738,$F488)="","",INDEX(選手一覧!$E$7:$E$2738,$F488))</f>
        <v/>
      </c>
      <c r="I488" s="11" t="str">
        <f aca="false">IF(INDEX(選手一覧!$H$7:$H$2738,$F488)="","",INDEX(選手一覧!$H$7:$H$2738,$F488))</f>
        <v/>
      </c>
      <c r="J488" s="12" t="str">
        <f aca="false">IF(INDEX(選手一覧!$I$7:$I$2738,$F488)="","",INDEX(選手一覧!$I$7:$I$2738,$F488))</f>
        <v/>
      </c>
    </row>
    <row r="489" customFormat="false" ht="15" hidden="false" customHeight="false" outlineLevel="0" collapsed="false">
      <c r="A489" s="12" t="n">
        <v>485</v>
      </c>
      <c r="B489" s="10" t="s">
        <v>1561</v>
      </c>
      <c r="C489" s="10" t="s">
        <v>1458</v>
      </c>
      <c r="D489" s="11" t="n">
        <v>0.00714826388888889</v>
      </c>
      <c r="E489" s="18" t="n">
        <f aca="false">ROUND((D489-$D$5)*86400,2)</f>
        <v>78.59</v>
      </c>
      <c r="F489" s="12" t="n">
        <v>1075</v>
      </c>
      <c r="G489" s="11" t="str">
        <f aca="false">IF(INDEX(選手一覧!$D$7:$D$2738,$F489)="","",INDEX(選手一覧!$D$7:$D$2738,$F489))</f>
        <v/>
      </c>
      <c r="H489" s="12" t="str">
        <f aca="false">IF(INDEX(選手一覧!$E$7:$E$2738,$F489)="","",INDEX(選手一覧!$E$7:$E$2738,$F489))</f>
        <v/>
      </c>
      <c r="I489" s="11" t="str">
        <f aca="false">IF(INDEX(選手一覧!$H$7:$H$2738,$F489)="","",INDEX(選手一覧!$H$7:$H$2738,$F489))</f>
        <v/>
      </c>
      <c r="J489" s="12" t="str">
        <f aca="false">IF(INDEX(選手一覧!$I$7:$I$2738,$F489)="","",INDEX(選手一覧!$I$7:$I$2738,$F489))</f>
        <v/>
      </c>
    </row>
    <row r="490" customFormat="false" ht="15" hidden="false" customHeight="false" outlineLevel="0" collapsed="false">
      <c r="A490" s="12" t="n">
        <v>486</v>
      </c>
      <c r="B490" s="10" t="s">
        <v>1563</v>
      </c>
      <c r="C490" s="10" t="s">
        <v>358</v>
      </c>
      <c r="D490" s="11" t="n">
        <v>0.00714861111111111</v>
      </c>
      <c r="E490" s="18" t="n">
        <f aca="false">ROUND((D490-$D$5)*86400,2)</f>
        <v>78.62</v>
      </c>
      <c r="F490" s="12" t="n">
        <v>1077</v>
      </c>
      <c r="G490" s="11" t="str">
        <f aca="false">IF(INDEX(選手一覧!$D$7:$D$2738,$F490)="","",INDEX(選手一覧!$D$7:$D$2738,$F490))</f>
        <v/>
      </c>
      <c r="H490" s="12" t="str">
        <f aca="false">IF(INDEX(選手一覧!$E$7:$E$2738,$F490)="","",INDEX(選手一覧!$E$7:$E$2738,$F490))</f>
        <v/>
      </c>
      <c r="I490" s="11" t="str">
        <f aca="false">IF(INDEX(選手一覧!$H$7:$H$2738,$F490)="","",INDEX(選手一覧!$H$7:$H$2738,$F490))</f>
        <v/>
      </c>
      <c r="J490" s="12" t="str">
        <f aca="false">IF(INDEX(選手一覧!$I$7:$I$2738,$F490)="","",INDEX(選手一覧!$I$7:$I$2738,$F490))</f>
        <v/>
      </c>
    </row>
    <row r="491" customFormat="false" ht="15" hidden="false" customHeight="false" outlineLevel="0" collapsed="false">
      <c r="A491" s="12" t="n">
        <v>487</v>
      </c>
      <c r="B491" s="10" t="s">
        <v>1564</v>
      </c>
      <c r="C491" s="10" t="s">
        <v>502</v>
      </c>
      <c r="D491" s="11" t="n">
        <v>0.00714872685185185</v>
      </c>
      <c r="E491" s="18" t="n">
        <f aca="false">ROUND((D491-$D$5)*86400,2)</f>
        <v>78.63</v>
      </c>
      <c r="F491" s="12" t="n">
        <v>1078</v>
      </c>
      <c r="G491" s="11" t="str">
        <f aca="false">IF(INDEX(選手一覧!$D$7:$D$2738,$F491)="","",INDEX(選手一覧!$D$7:$D$2738,$F491))</f>
        <v/>
      </c>
      <c r="H491" s="12" t="str">
        <f aca="false">IF(INDEX(選手一覧!$E$7:$E$2738,$F491)="","",INDEX(選手一覧!$E$7:$E$2738,$F491))</f>
        <v/>
      </c>
      <c r="I491" s="11" t="str">
        <f aca="false">IF(INDEX(選手一覧!$H$7:$H$2738,$F491)="","",INDEX(選手一覧!$H$7:$H$2738,$F491))</f>
        <v/>
      </c>
      <c r="J491" s="12" t="str">
        <f aca="false">IF(INDEX(選手一覧!$I$7:$I$2738,$F491)="","",INDEX(選手一覧!$I$7:$I$2738,$F491))</f>
        <v/>
      </c>
    </row>
    <row r="492" customFormat="false" ht="15" hidden="false" customHeight="false" outlineLevel="0" collapsed="false">
      <c r="A492" s="12" t="n">
        <v>488</v>
      </c>
      <c r="B492" s="10" t="s">
        <v>1566</v>
      </c>
      <c r="C492" s="10" t="s">
        <v>1567</v>
      </c>
      <c r="D492" s="11" t="n">
        <v>0.00714895833333333</v>
      </c>
      <c r="E492" s="18" t="n">
        <f aca="false">ROUND((D492-$D$5)*86400,2)</f>
        <v>78.65</v>
      </c>
      <c r="F492" s="12" t="n">
        <v>1080</v>
      </c>
      <c r="G492" s="11" t="str">
        <f aca="false">IF(INDEX(選手一覧!$D$7:$D$2738,$F492)="","",INDEX(選手一覧!$D$7:$D$2738,$F492))</f>
        <v/>
      </c>
      <c r="H492" s="12" t="str">
        <f aca="false">IF(INDEX(選手一覧!$E$7:$E$2738,$F492)="","",INDEX(選手一覧!$E$7:$E$2738,$F492))</f>
        <v/>
      </c>
      <c r="I492" s="11" t="str">
        <f aca="false">IF(INDEX(選手一覧!$H$7:$H$2738,$F492)="","",INDEX(選手一覧!$H$7:$H$2738,$F492))</f>
        <v/>
      </c>
      <c r="J492" s="12" t="str">
        <f aca="false">IF(INDEX(選手一覧!$I$7:$I$2738,$F492)="","",INDEX(選手一覧!$I$7:$I$2738,$F492))</f>
        <v/>
      </c>
    </row>
    <row r="493" customFormat="false" ht="15" hidden="false" customHeight="false" outlineLevel="0" collapsed="false">
      <c r="A493" s="12" t="n">
        <v>489</v>
      </c>
      <c r="B493" s="10" t="s">
        <v>1569</v>
      </c>
      <c r="C493" s="10" t="s">
        <v>1570</v>
      </c>
      <c r="D493" s="11" t="n">
        <v>0.00715034722222222</v>
      </c>
      <c r="E493" s="18" t="n">
        <f aca="false">ROUND((D493-$D$5)*86400,2)</f>
        <v>78.77</v>
      </c>
      <c r="F493" s="12" t="n">
        <v>1082</v>
      </c>
      <c r="G493" s="11" t="str">
        <f aca="false">IF(INDEX(選手一覧!$D$7:$D$2738,$F493)="","",INDEX(選手一覧!$D$7:$D$2738,$F493))</f>
        <v/>
      </c>
      <c r="H493" s="12" t="str">
        <f aca="false">IF(INDEX(選手一覧!$E$7:$E$2738,$F493)="","",INDEX(選手一覧!$E$7:$E$2738,$F493))</f>
        <v/>
      </c>
      <c r="I493" s="11" t="str">
        <f aca="false">IF(INDEX(選手一覧!$H$7:$H$2738,$F493)="","",INDEX(選手一覧!$H$7:$H$2738,$F493))</f>
        <v/>
      </c>
      <c r="J493" s="12" t="str">
        <f aca="false">IF(INDEX(選手一覧!$I$7:$I$2738,$F493)="","",INDEX(選手一覧!$I$7:$I$2738,$F493))</f>
        <v/>
      </c>
    </row>
    <row r="494" customFormat="false" ht="15" hidden="false" customHeight="false" outlineLevel="0" collapsed="false">
      <c r="A494" s="12" t="n">
        <v>490</v>
      </c>
      <c r="B494" s="10" t="s">
        <v>1574</v>
      </c>
      <c r="C494" s="10" t="s">
        <v>1575</v>
      </c>
      <c r="D494" s="11" t="n">
        <v>0.00715335648148148</v>
      </c>
      <c r="E494" s="18" t="n">
        <f aca="false">ROUND((D494-$D$5)*86400,2)</f>
        <v>79.03</v>
      </c>
      <c r="F494" s="12" t="n">
        <v>1085</v>
      </c>
      <c r="G494" s="11" t="str">
        <f aca="false">IF(INDEX(選手一覧!$D$7:$D$2738,$F494)="","",INDEX(選手一覧!$D$7:$D$2738,$F494))</f>
        <v/>
      </c>
      <c r="H494" s="12" t="str">
        <f aca="false">IF(INDEX(選手一覧!$E$7:$E$2738,$F494)="","",INDEX(選手一覧!$E$7:$E$2738,$F494))</f>
        <v/>
      </c>
      <c r="I494" s="11" t="str">
        <f aca="false">IF(INDEX(選手一覧!$H$7:$H$2738,$F494)="","",INDEX(選手一覧!$H$7:$H$2738,$F494))</f>
        <v/>
      </c>
      <c r="J494" s="12" t="str">
        <f aca="false">IF(INDEX(選手一覧!$I$7:$I$2738,$F494)="","",INDEX(選手一覧!$I$7:$I$2738,$F494))</f>
        <v/>
      </c>
    </row>
    <row r="495" customFormat="false" ht="15" hidden="false" customHeight="false" outlineLevel="0" collapsed="false">
      <c r="A495" s="12" t="n">
        <v>491</v>
      </c>
      <c r="B495" s="10" t="s">
        <v>1247</v>
      </c>
      <c r="C495" s="10" t="s">
        <v>263</v>
      </c>
      <c r="D495" s="11" t="n">
        <v>0.00715509259259259</v>
      </c>
      <c r="E495" s="18" t="n">
        <f aca="false">ROUND((D495-$D$5)*86400,2)</f>
        <v>79.18</v>
      </c>
      <c r="F495" s="12" t="n">
        <v>847</v>
      </c>
      <c r="G495" s="11" t="n">
        <f aca="false">IF(INDEX(選手一覧!$D$7:$D$2738,$F495)="","",INDEX(選手一覧!$D$7:$D$2738,$F495))</f>
        <v>0.0105346064814815</v>
      </c>
      <c r="H495" s="12" t="n">
        <f aca="false">IF(INDEX(選手一覧!$E$7:$E$2738,$F495)="","",INDEX(選手一覧!$E$7:$E$2738,$F495))</f>
        <v>376</v>
      </c>
      <c r="I495" s="11" t="n">
        <f aca="false">IF(INDEX(選手一覧!$H$7:$H$2738,$F495)="","",INDEX(選手一覧!$H$7:$H$2738,$F495))</f>
        <v>0.00291921296296296</v>
      </c>
      <c r="J495" s="12" t="n">
        <f aca="false">IF(INDEX(選手一覧!$I$7:$I$2738,$F495)="","",INDEX(選手一覧!$I$7:$I$2738,$F495))</f>
        <v>1085</v>
      </c>
    </row>
    <row r="496" customFormat="false" ht="15" hidden="false" customHeight="false" outlineLevel="0" collapsed="false">
      <c r="A496" s="12" t="n">
        <v>492</v>
      </c>
      <c r="B496" s="10" t="s">
        <v>1577</v>
      </c>
      <c r="C496" s="10" t="s">
        <v>1578</v>
      </c>
      <c r="D496" s="11" t="n">
        <v>0.00715613425925926</v>
      </c>
      <c r="E496" s="18" t="n">
        <f aca="false">ROUND((D496-$D$5)*86400,2)</f>
        <v>79.27</v>
      </c>
      <c r="F496" s="12" t="n">
        <v>1087</v>
      </c>
      <c r="G496" s="11" t="str">
        <f aca="false">IF(INDEX(選手一覧!$D$7:$D$2738,$F496)="","",INDEX(選手一覧!$D$7:$D$2738,$F496))</f>
        <v/>
      </c>
      <c r="H496" s="12" t="str">
        <f aca="false">IF(INDEX(選手一覧!$E$7:$E$2738,$F496)="","",INDEX(選手一覧!$E$7:$E$2738,$F496))</f>
        <v/>
      </c>
      <c r="I496" s="11" t="str">
        <f aca="false">IF(INDEX(選手一覧!$H$7:$H$2738,$F496)="","",INDEX(選手一覧!$H$7:$H$2738,$F496))</f>
        <v/>
      </c>
      <c r="J496" s="12" t="str">
        <f aca="false">IF(INDEX(選手一覧!$I$7:$I$2738,$F496)="","",INDEX(選手一覧!$I$7:$I$2738,$F496))</f>
        <v/>
      </c>
    </row>
    <row r="497" customFormat="false" ht="15" hidden="false" customHeight="false" outlineLevel="0" collapsed="false">
      <c r="A497" s="12" t="n">
        <v>493</v>
      </c>
      <c r="B497" s="10" t="s">
        <v>1581</v>
      </c>
      <c r="C497" s="10" t="s">
        <v>1582</v>
      </c>
      <c r="D497" s="11" t="n">
        <v>0.00715671296296296</v>
      </c>
      <c r="E497" s="18" t="n">
        <f aca="false">ROUND((D497-$D$5)*86400,2)</f>
        <v>79.32</v>
      </c>
      <c r="F497" s="12" t="n">
        <v>1090</v>
      </c>
      <c r="G497" s="11" t="str">
        <f aca="false">IF(INDEX(選手一覧!$D$7:$D$2738,$F497)="","",INDEX(選手一覧!$D$7:$D$2738,$F497))</f>
        <v/>
      </c>
      <c r="H497" s="12" t="str">
        <f aca="false">IF(INDEX(選手一覧!$E$7:$E$2738,$F497)="","",INDEX(選手一覧!$E$7:$E$2738,$F497))</f>
        <v/>
      </c>
      <c r="I497" s="11" t="str">
        <f aca="false">IF(INDEX(選手一覧!$H$7:$H$2738,$F497)="","",INDEX(選手一覧!$H$7:$H$2738,$F497))</f>
        <v/>
      </c>
      <c r="J497" s="12" t="str">
        <f aca="false">IF(INDEX(選手一覧!$I$7:$I$2738,$F497)="","",INDEX(選手一覧!$I$7:$I$2738,$F497))</f>
        <v/>
      </c>
    </row>
    <row r="498" customFormat="false" ht="15" hidden="false" customHeight="false" outlineLevel="0" collapsed="false">
      <c r="A498" s="12" t="n">
        <v>494</v>
      </c>
      <c r="B498" s="10" t="s">
        <v>1583</v>
      </c>
      <c r="C498" s="10" t="s">
        <v>1020</v>
      </c>
      <c r="D498" s="11" t="n">
        <v>0.00715798611111111</v>
      </c>
      <c r="E498" s="18" t="n">
        <f aca="false">ROUND((D498-$D$5)*86400,2)</f>
        <v>79.43</v>
      </c>
      <c r="F498" s="12" t="n">
        <v>1091</v>
      </c>
      <c r="G498" s="11" t="n">
        <f aca="false">IF(INDEX(選手一覧!$D$7:$D$2738,$F498)="","",INDEX(選手一覧!$D$7:$D$2738,$F498))</f>
        <v>0.0110524305555556</v>
      </c>
      <c r="H498" s="12" t="n">
        <f aca="false">IF(INDEX(選手一覧!$E$7:$E$2738,$F498)="","",INDEX(選手一覧!$E$7:$E$2738,$F498))</f>
        <v>1203</v>
      </c>
      <c r="I498" s="11" t="n">
        <f aca="false">IF(INDEX(選手一覧!$H$7:$H$2738,$F498)="","",INDEX(選手一覧!$H$7:$H$2738,$F498))</f>
        <v>0.00292071759259259</v>
      </c>
      <c r="J498" s="12" t="n">
        <f aca="false">IF(INDEX(選手一覧!$I$7:$I$2738,$F498)="","",INDEX(選手一覧!$I$7:$I$2738,$F498))</f>
        <v>1107</v>
      </c>
    </row>
    <row r="499" customFormat="false" ht="15" hidden="false" customHeight="false" outlineLevel="0" collapsed="false">
      <c r="A499" s="12" t="n">
        <v>495</v>
      </c>
      <c r="B499" s="10" t="s">
        <v>1586</v>
      </c>
      <c r="C499" s="10" t="s">
        <v>279</v>
      </c>
      <c r="D499" s="11" t="n">
        <v>0.00716053240740741</v>
      </c>
      <c r="E499" s="18" t="n">
        <f aca="false">ROUND((D499-$D$5)*86400,2)</f>
        <v>79.65</v>
      </c>
      <c r="F499" s="12" t="n">
        <v>1094</v>
      </c>
      <c r="G499" s="11" t="n">
        <f aca="false">IF(INDEX(選手一覧!$D$7:$D$2738,$F499)="","",INDEX(選手一覧!$D$7:$D$2738,$F499))</f>
        <v>0.0109165509259259</v>
      </c>
      <c r="H499" s="12" t="n">
        <f aca="false">IF(INDEX(選手一覧!$E$7:$E$2738,$F499)="","",INDEX(選手一覧!$E$7:$E$2738,$F499))</f>
        <v>947</v>
      </c>
      <c r="I499" s="11" t="n">
        <f aca="false">IF(INDEX(選手一覧!$H$7:$H$2738,$F499)="","",INDEX(選手一覧!$H$7:$H$2738,$F499))</f>
        <v>0.00290625</v>
      </c>
      <c r="J499" s="12" t="n">
        <f aca="false">IF(INDEX(選手一覧!$I$7:$I$2738,$F499)="","",INDEX(選手一覧!$I$7:$I$2738,$F499))</f>
        <v>990</v>
      </c>
    </row>
    <row r="500" customFormat="false" ht="15" hidden="false" customHeight="false" outlineLevel="0" collapsed="false">
      <c r="A500" s="12" t="n">
        <v>496</v>
      </c>
      <c r="B500" s="10" t="s">
        <v>1588</v>
      </c>
      <c r="C500" s="10" t="s">
        <v>1589</v>
      </c>
      <c r="D500" s="11" t="n">
        <v>0.00716053240740741</v>
      </c>
      <c r="E500" s="18" t="n">
        <f aca="false">ROUND((D500-$D$5)*86400,2)</f>
        <v>79.65</v>
      </c>
      <c r="F500" s="12" t="n">
        <v>1096</v>
      </c>
      <c r="G500" s="11" t="str">
        <f aca="false">IF(INDEX(選手一覧!$D$7:$D$2738,$F500)="","",INDEX(選手一覧!$D$7:$D$2738,$F500))</f>
        <v/>
      </c>
      <c r="H500" s="12" t="str">
        <f aca="false">IF(INDEX(選手一覧!$E$7:$E$2738,$F500)="","",INDEX(選手一覧!$E$7:$E$2738,$F500))</f>
        <v/>
      </c>
      <c r="I500" s="11" t="str">
        <f aca="false">IF(INDEX(選手一覧!$H$7:$H$2738,$F500)="","",INDEX(選手一覧!$H$7:$H$2738,$F500))</f>
        <v/>
      </c>
      <c r="J500" s="12" t="str">
        <f aca="false">IF(INDEX(選手一覧!$I$7:$I$2738,$F500)="","",INDEX(選手一覧!$I$7:$I$2738,$F500))</f>
        <v/>
      </c>
    </row>
    <row r="501" customFormat="false" ht="15" hidden="false" customHeight="false" outlineLevel="0" collapsed="false">
      <c r="A501" s="12" t="n">
        <v>497</v>
      </c>
      <c r="B501" s="10" t="s">
        <v>1591</v>
      </c>
      <c r="C501" s="10" t="s">
        <v>1381</v>
      </c>
      <c r="D501" s="11" t="n">
        <v>0.00716076388888889</v>
      </c>
      <c r="E501" s="18" t="n">
        <f aca="false">ROUND((D501-$D$5)*86400,2)</f>
        <v>79.67</v>
      </c>
      <c r="F501" s="12" t="n">
        <v>1098</v>
      </c>
      <c r="G501" s="11" t="n">
        <f aca="false">IF(INDEX(選手一覧!$D$7:$D$2738,$F501)="","",INDEX(選手一覧!$D$7:$D$2738,$F501))</f>
        <v>0.0109320601851852</v>
      </c>
      <c r="H501" s="12" t="n">
        <f aca="false">IF(INDEX(選手一覧!$E$7:$E$2738,$F501)="","",INDEX(選手一覧!$E$7:$E$2738,$F501))</f>
        <v>969</v>
      </c>
      <c r="I501" s="11" t="str">
        <f aca="false">IF(INDEX(選手一覧!$H$7:$H$2738,$F501)="","",INDEX(選手一覧!$H$7:$H$2738,$F501))</f>
        <v/>
      </c>
      <c r="J501" s="12" t="str">
        <f aca="false">IF(INDEX(選手一覧!$I$7:$I$2738,$F501)="","",INDEX(選手一覧!$I$7:$I$2738,$F501))</f>
        <v/>
      </c>
    </row>
    <row r="502" customFormat="false" ht="15" hidden="false" customHeight="false" outlineLevel="0" collapsed="false">
      <c r="A502" s="12" t="n">
        <v>498</v>
      </c>
      <c r="B502" s="10" t="s">
        <v>1594</v>
      </c>
      <c r="C502" s="10" t="s">
        <v>1595</v>
      </c>
      <c r="D502" s="11" t="n">
        <v>0.0071630787037037</v>
      </c>
      <c r="E502" s="18" t="n">
        <f aca="false">ROUND((D502-$D$5)*86400,2)</f>
        <v>79.87</v>
      </c>
      <c r="F502" s="12" t="n">
        <v>1101</v>
      </c>
      <c r="G502" s="11" t="str">
        <f aca="false">IF(INDEX(選手一覧!$D$7:$D$2738,$F502)="","",INDEX(選手一覧!$D$7:$D$2738,$F502))</f>
        <v/>
      </c>
      <c r="H502" s="12" t="str">
        <f aca="false">IF(INDEX(選手一覧!$E$7:$E$2738,$F502)="","",INDEX(選手一覧!$E$7:$E$2738,$F502))</f>
        <v/>
      </c>
      <c r="I502" s="11" t="str">
        <f aca="false">IF(INDEX(選手一覧!$H$7:$H$2738,$F502)="","",INDEX(選手一覧!$H$7:$H$2738,$F502))</f>
        <v/>
      </c>
      <c r="J502" s="12" t="str">
        <f aca="false">IF(INDEX(選手一覧!$I$7:$I$2738,$F502)="","",INDEX(選手一覧!$I$7:$I$2738,$F502))</f>
        <v/>
      </c>
    </row>
    <row r="503" customFormat="false" ht="15" hidden="false" customHeight="false" outlineLevel="0" collapsed="false">
      <c r="A503" s="12" t="n">
        <v>499</v>
      </c>
      <c r="B503" s="10" t="s">
        <v>1598</v>
      </c>
      <c r="C503" s="10" t="s">
        <v>1599</v>
      </c>
      <c r="D503" s="11" t="n">
        <v>0.00716331018518519</v>
      </c>
      <c r="E503" s="18" t="n">
        <f aca="false">ROUND((D503-$D$5)*86400,2)</f>
        <v>79.89</v>
      </c>
      <c r="F503" s="12" t="n">
        <v>1104</v>
      </c>
      <c r="G503" s="11" t="str">
        <f aca="false">IF(INDEX(選手一覧!$D$7:$D$2738,$F503)="","",INDEX(選手一覧!$D$7:$D$2738,$F503))</f>
        <v/>
      </c>
      <c r="H503" s="12" t="str">
        <f aca="false">IF(INDEX(選手一覧!$E$7:$E$2738,$F503)="","",INDEX(選手一覧!$E$7:$E$2738,$F503))</f>
        <v/>
      </c>
      <c r="I503" s="11" t="str">
        <f aca="false">IF(INDEX(選手一覧!$H$7:$H$2738,$F503)="","",INDEX(選手一覧!$H$7:$H$2738,$F503))</f>
        <v/>
      </c>
      <c r="J503" s="12" t="str">
        <f aca="false">IF(INDEX(選手一覧!$I$7:$I$2738,$F503)="","",INDEX(選手一覧!$I$7:$I$2738,$F503))</f>
        <v/>
      </c>
    </row>
    <row r="504" customFormat="false" ht="15" hidden="false" customHeight="false" outlineLevel="0" collapsed="false">
      <c r="A504" s="12" t="n">
        <v>500</v>
      </c>
      <c r="B504" s="10" t="s">
        <v>1603</v>
      </c>
      <c r="C504" s="10" t="s">
        <v>1604</v>
      </c>
      <c r="D504" s="11" t="n">
        <v>0.00716354166666667</v>
      </c>
      <c r="E504" s="18" t="n">
        <f aca="false">ROUND((D504-$D$5)*86400,2)</f>
        <v>79.91</v>
      </c>
      <c r="F504" s="12" t="n">
        <v>1107</v>
      </c>
      <c r="G504" s="11" t="str">
        <f aca="false">IF(INDEX(選手一覧!$D$7:$D$2738,$F504)="","",INDEX(選手一覧!$D$7:$D$2738,$F504))</f>
        <v/>
      </c>
      <c r="H504" s="12" t="str">
        <f aca="false">IF(INDEX(選手一覧!$E$7:$E$2738,$F504)="","",INDEX(選手一覧!$E$7:$E$2738,$F504))</f>
        <v/>
      </c>
      <c r="I504" s="11" t="str">
        <f aca="false">IF(INDEX(選手一覧!$H$7:$H$2738,$F504)="","",INDEX(選手一覧!$H$7:$H$2738,$F504))</f>
        <v/>
      </c>
      <c r="J504" s="12" t="str">
        <f aca="false">IF(INDEX(選手一覧!$I$7:$I$2738,$F504)="","",INDEX(選手一覧!$I$7:$I$2738,$F504))</f>
        <v/>
      </c>
    </row>
    <row r="505" customFormat="false" ht="15" hidden="false" customHeight="false" outlineLevel="0" collapsed="false">
      <c r="A505" s="12" t="n">
        <v>501</v>
      </c>
      <c r="B505" s="10" t="s">
        <v>1606</v>
      </c>
      <c r="C505" s="10" t="s">
        <v>139</v>
      </c>
      <c r="D505" s="11" t="n">
        <v>0.00716458333333333</v>
      </c>
      <c r="E505" s="18" t="n">
        <f aca="false">ROUND((D505-$D$5)*86400,2)</f>
        <v>80</v>
      </c>
      <c r="F505" s="12" t="n">
        <v>1109</v>
      </c>
      <c r="G505" s="11" t="str">
        <f aca="false">IF(INDEX(選手一覧!$D$7:$D$2738,$F505)="","",INDEX(選手一覧!$D$7:$D$2738,$F505))</f>
        <v/>
      </c>
      <c r="H505" s="12" t="str">
        <f aca="false">IF(INDEX(選手一覧!$E$7:$E$2738,$F505)="","",INDEX(選手一覧!$E$7:$E$2738,$F505))</f>
        <v/>
      </c>
      <c r="I505" s="11" t="str">
        <f aca="false">IF(INDEX(選手一覧!$H$7:$H$2738,$F505)="","",INDEX(選手一覧!$H$7:$H$2738,$F505))</f>
        <v/>
      </c>
      <c r="J505" s="12" t="str">
        <f aca="false">IF(INDEX(選手一覧!$I$7:$I$2738,$F505)="","",INDEX(選手一覧!$I$7:$I$2738,$F505))</f>
        <v/>
      </c>
    </row>
    <row r="506" customFormat="false" ht="15" hidden="false" customHeight="false" outlineLevel="0" collapsed="false">
      <c r="A506" s="12" t="n">
        <v>502</v>
      </c>
      <c r="B506" s="10" t="s">
        <v>1607</v>
      </c>
      <c r="C506" s="10" t="s">
        <v>1608</v>
      </c>
      <c r="D506" s="11" t="n">
        <v>0.00716724537037037</v>
      </c>
      <c r="E506" s="18" t="n">
        <f aca="false">ROUND((D506-$D$5)*86400,2)</f>
        <v>80.23</v>
      </c>
      <c r="F506" s="12" t="n">
        <v>1110</v>
      </c>
      <c r="G506" s="11" t="str">
        <f aca="false">IF(INDEX(選手一覧!$D$7:$D$2738,$F506)="","",INDEX(選手一覧!$D$7:$D$2738,$F506))</f>
        <v/>
      </c>
      <c r="H506" s="12" t="str">
        <f aca="false">IF(INDEX(選手一覧!$E$7:$E$2738,$F506)="","",INDEX(選手一覧!$E$7:$E$2738,$F506))</f>
        <v/>
      </c>
      <c r="I506" s="11" t="str">
        <f aca="false">IF(INDEX(選手一覧!$H$7:$H$2738,$F506)="","",INDEX(選手一覧!$H$7:$H$2738,$F506))</f>
        <v/>
      </c>
      <c r="J506" s="12" t="str">
        <f aca="false">IF(INDEX(選手一覧!$I$7:$I$2738,$F506)="","",INDEX(選手一覧!$I$7:$I$2738,$F506))</f>
        <v/>
      </c>
    </row>
    <row r="507" customFormat="false" ht="15" hidden="false" customHeight="false" outlineLevel="0" collapsed="false">
      <c r="A507" s="12" t="n">
        <v>503</v>
      </c>
      <c r="B507" s="10" t="s">
        <v>1610</v>
      </c>
      <c r="C507" s="10" t="s">
        <v>1611</v>
      </c>
      <c r="D507" s="11" t="n">
        <v>0.00716736111111111</v>
      </c>
      <c r="E507" s="18" t="n">
        <f aca="false">ROUND((D507-$D$5)*86400,2)</f>
        <v>80.24</v>
      </c>
      <c r="F507" s="12" t="n">
        <v>1112</v>
      </c>
      <c r="G507" s="11" t="str">
        <f aca="false">IF(INDEX(選手一覧!$D$7:$D$2738,$F507)="","",INDEX(選手一覧!$D$7:$D$2738,$F507))</f>
        <v/>
      </c>
      <c r="H507" s="12" t="str">
        <f aca="false">IF(INDEX(選手一覧!$E$7:$E$2738,$F507)="","",INDEX(選手一覧!$E$7:$E$2738,$F507))</f>
        <v/>
      </c>
      <c r="I507" s="11" t="str">
        <f aca="false">IF(INDEX(選手一覧!$H$7:$H$2738,$F507)="","",INDEX(選手一覧!$H$7:$H$2738,$F507))</f>
        <v/>
      </c>
      <c r="J507" s="12" t="str">
        <f aca="false">IF(INDEX(選手一覧!$I$7:$I$2738,$F507)="","",INDEX(選手一覧!$I$7:$I$2738,$F507))</f>
        <v/>
      </c>
    </row>
    <row r="508" customFormat="false" ht="15" hidden="false" customHeight="false" outlineLevel="0" collapsed="false">
      <c r="A508" s="12" t="n">
        <v>504</v>
      </c>
      <c r="B508" s="10" t="s">
        <v>1613</v>
      </c>
      <c r="C508" s="10" t="s">
        <v>1614</v>
      </c>
      <c r="D508" s="11" t="n">
        <v>0.00716782407407407</v>
      </c>
      <c r="E508" s="18" t="n">
        <f aca="false">ROUND((D508-$D$5)*86400,2)</f>
        <v>80.28</v>
      </c>
      <c r="F508" s="12" t="n">
        <v>1114</v>
      </c>
      <c r="G508" s="11" t="str">
        <f aca="false">IF(INDEX(選手一覧!$D$7:$D$2738,$F508)="","",INDEX(選手一覧!$D$7:$D$2738,$F508))</f>
        <v/>
      </c>
      <c r="H508" s="12" t="str">
        <f aca="false">IF(INDEX(選手一覧!$E$7:$E$2738,$F508)="","",INDEX(選手一覧!$E$7:$E$2738,$F508))</f>
        <v/>
      </c>
      <c r="I508" s="11" t="str">
        <f aca="false">IF(INDEX(選手一覧!$H$7:$H$2738,$F508)="","",INDEX(選手一覧!$H$7:$H$2738,$F508))</f>
        <v/>
      </c>
      <c r="J508" s="12" t="str">
        <f aca="false">IF(INDEX(選手一覧!$I$7:$I$2738,$F508)="","",INDEX(選手一覧!$I$7:$I$2738,$F508))</f>
        <v/>
      </c>
    </row>
    <row r="509" customFormat="false" ht="15" hidden="false" customHeight="false" outlineLevel="0" collapsed="false">
      <c r="A509" s="12" t="n">
        <v>505</v>
      </c>
      <c r="B509" s="10" t="s">
        <v>1615</v>
      </c>
      <c r="C509" s="10" t="s">
        <v>1616</v>
      </c>
      <c r="D509" s="11" t="n">
        <v>0.00716782407407407</v>
      </c>
      <c r="E509" s="18" t="n">
        <f aca="false">ROUND((D509-$D$5)*86400,2)</f>
        <v>80.28</v>
      </c>
      <c r="F509" s="12" t="n">
        <v>1115</v>
      </c>
      <c r="G509" s="11" t="str">
        <f aca="false">IF(INDEX(選手一覧!$D$7:$D$2738,$F509)="","",INDEX(選手一覧!$D$7:$D$2738,$F509))</f>
        <v/>
      </c>
      <c r="H509" s="12" t="str">
        <f aca="false">IF(INDEX(選手一覧!$E$7:$E$2738,$F509)="","",INDEX(選手一覧!$E$7:$E$2738,$F509))</f>
        <v/>
      </c>
      <c r="I509" s="11" t="str">
        <f aca="false">IF(INDEX(選手一覧!$H$7:$H$2738,$F509)="","",INDEX(選手一覧!$H$7:$H$2738,$F509))</f>
        <v/>
      </c>
      <c r="J509" s="12" t="str">
        <f aca="false">IF(INDEX(選手一覧!$I$7:$I$2738,$F509)="","",INDEX(選手一覧!$I$7:$I$2738,$F509))</f>
        <v/>
      </c>
    </row>
    <row r="510" customFormat="false" ht="15" hidden="false" customHeight="false" outlineLevel="0" collapsed="false">
      <c r="A510" s="12" t="n">
        <v>506</v>
      </c>
      <c r="B510" s="10" t="s">
        <v>1617</v>
      </c>
      <c r="C510" s="10" t="s">
        <v>1618</v>
      </c>
      <c r="D510" s="11" t="n">
        <v>0.00716886574074074</v>
      </c>
      <c r="E510" s="18" t="n">
        <f aca="false">ROUND((D510-$D$5)*86400,2)</f>
        <v>80.37</v>
      </c>
      <c r="F510" s="12" t="n">
        <v>1116</v>
      </c>
      <c r="G510" s="11" t="str">
        <f aca="false">IF(INDEX(選手一覧!$D$7:$D$2738,$F510)="","",INDEX(選手一覧!$D$7:$D$2738,$F510))</f>
        <v/>
      </c>
      <c r="H510" s="12" t="str">
        <f aca="false">IF(INDEX(選手一覧!$E$7:$E$2738,$F510)="","",INDEX(選手一覧!$E$7:$E$2738,$F510))</f>
        <v/>
      </c>
      <c r="I510" s="11" t="str">
        <f aca="false">IF(INDEX(選手一覧!$H$7:$H$2738,$F510)="","",INDEX(選手一覧!$H$7:$H$2738,$F510))</f>
        <v/>
      </c>
      <c r="J510" s="12" t="str">
        <f aca="false">IF(INDEX(選手一覧!$I$7:$I$2738,$F510)="","",INDEX(選手一覧!$I$7:$I$2738,$F510))</f>
        <v/>
      </c>
    </row>
    <row r="511" customFormat="false" ht="15" hidden="false" customHeight="false" outlineLevel="0" collapsed="false">
      <c r="A511" s="12" t="n">
        <v>507</v>
      </c>
      <c r="B511" s="10" t="s">
        <v>1622</v>
      </c>
      <c r="C511" s="10" t="s">
        <v>112</v>
      </c>
      <c r="D511" s="11" t="n">
        <v>0.00716898148148148</v>
      </c>
      <c r="E511" s="18" t="n">
        <f aca="false">ROUND((D511-$D$5)*86400,2)</f>
        <v>80.38</v>
      </c>
      <c r="F511" s="12" t="n">
        <v>1119</v>
      </c>
      <c r="G511" s="11" t="str">
        <f aca="false">IF(INDEX(選手一覧!$D$7:$D$2738,$F511)="","",INDEX(選手一覧!$D$7:$D$2738,$F511))</f>
        <v/>
      </c>
      <c r="H511" s="12" t="str">
        <f aca="false">IF(INDEX(選手一覧!$E$7:$E$2738,$F511)="","",INDEX(選手一覧!$E$7:$E$2738,$F511))</f>
        <v/>
      </c>
      <c r="I511" s="11" t="str">
        <f aca="false">IF(INDEX(選手一覧!$H$7:$H$2738,$F511)="","",INDEX(選手一覧!$H$7:$H$2738,$F511))</f>
        <v/>
      </c>
      <c r="J511" s="12" t="str">
        <f aca="false">IF(INDEX(選手一覧!$I$7:$I$2738,$F511)="","",INDEX(選手一覧!$I$7:$I$2738,$F511))</f>
        <v/>
      </c>
    </row>
    <row r="512" customFormat="false" ht="15" hidden="false" customHeight="false" outlineLevel="0" collapsed="false">
      <c r="A512" s="12" t="n">
        <v>508</v>
      </c>
      <c r="B512" s="10" t="s">
        <v>1625</v>
      </c>
      <c r="C512" s="10" t="s">
        <v>1626</v>
      </c>
      <c r="D512" s="11" t="n">
        <v>0.00716898148148148</v>
      </c>
      <c r="E512" s="18" t="n">
        <f aca="false">ROUND((D512-$D$5)*86400,2)</f>
        <v>80.38</v>
      </c>
      <c r="F512" s="12" t="n">
        <v>1122</v>
      </c>
      <c r="G512" s="11" t="str">
        <f aca="false">IF(INDEX(選手一覧!$D$7:$D$2738,$F512)="","",INDEX(選手一覧!$D$7:$D$2738,$F512))</f>
        <v/>
      </c>
      <c r="H512" s="12" t="str">
        <f aca="false">IF(INDEX(選手一覧!$E$7:$E$2738,$F512)="","",INDEX(選手一覧!$E$7:$E$2738,$F512))</f>
        <v/>
      </c>
      <c r="I512" s="11" t="str">
        <f aca="false">IF(INDEX(選手一覧!$H$7:$H$2738,$F512)="","",INDEX(選手一覧!$H$7:$H$2738,$F512))</f>
        <v/>
      </c>
      <c r="J512" s="12" t="str">
        <f aca="false">IF(INDEX(選手一覧!$I$7:$I$2738,$F512)="","",INDEX(選手一覧!$I$7:$I$2738,$F512))</f>
        <v/>
      </c>
    </row>
    <row r="513" customFormat="false" ht="15" hidden="false" customHeight="false" outlineLevel="0" collapsed="false">
      <c r="A513" s="12" t="n">
        <v>509</v>
      </c>
      <c r="B513" s="10" t="s">
        <v>1627</v>
      </c>
      <c r="C513" s="10" t="s">
        <v>1628</v>
      </c>
      <c r="D513" s="11" t="n">
        <v>0.00716990740740741</v>
      </c>
      <c r="E513" s="18" t="n">
        <f aca="false">ROUND((D513-$D$5)*86400,2)</f>
        <v>80.46</v>
      </c>
      <c r="F513" s="12" t="n">
        <v>1123</v>
      </c>
      <c r="G513" s="11" t="n">
        <f aca="false">IF(INDEX(選手一覧!$D$7:$D$2738,$F513)="","",INDEX(選手一覧!$D$7:$D$2738,$F513))</f>
        <v>0.0110311342592593</v>
      </c>
      <c r="H513" s="12" t="n">
        <f aca="false">IF(INDEX(選手一覧!$E$7:$E$2738,$F513)="","",INDEX(選手一覧!$E$7:$E$2738,$F513))</f>
        <v>1154</v>
      </c>
      <c r="I513" s="11" t="str">
        <f aca="false">IF(INDEX(選手一覧!$H$7:$H$2738,$F513)="","",INDEX(選手一覧!$H$7:$H$2738,$F513))</f>
        <v/>
      </c>
      <c r="J513" s="12" t="str">
        <f aca="false">IF(INDEX(選手一覧!$I$7:$I$2738,$F513)="","",INDEX(選手一覧!$I$7:$I$2738,$F513))</f>
        <v/>
      </c>
    </row>
    <row r="514" customFormat="false" ht="15" hidden="false" customHeight="false" outlineLevel="0" collapsed="false">
      <c r="A514" s="12" t="n">
        <v>510</v>
      </c>
      <c r="B514" s="10" t="s">
        <v>1631</v>
      </c>
      <c r="C514" s="10" t="s">
        <v>118</v>
      </c>
      <c r="D514" s="11" t="n">
        <v>0.00717002314814815</v>
      </c>
      <c r="E514" s="18" t="n">
        <f aca="false">ROUND((D514-$D$5)*86400,2)</f>
        <v>80.47</v>
      </c>
      <c r="F514" s="12" t="n">
        <v>1125</v>
      </c>
      <c r="G514" s="11" t="n">
        <f aca="false">IF(INDEX(選手一覧!$D$7:$D$2738,$F514)="","",INDEX(選手一覧!$D$7:$D$2738,$F514))</f>
        <v>0.0107835648148148</v>
      </c>
      <c r="H514" s="12" t="n">
        <f aca="false">IF(INDEX(選手一覧!$E$7:$E$2738,$F514)="","",INDEX(選手一覧!$E$7:$E$2738,$F514))</f>
        <v>710</v>
      </c>
      <c r="I514" s="11" t="str">
        <f aca="false">IF(INDEX(選手一覧!$H$7:$H$2738,$F514)="","",INDEX(選手一覧!$H$7:$H$2738,$F514))</f>
        <v/>
      </c>
      <c r="J514" s="12" t="str">
        <f aca="false">IF(INDEX(選手一覧!$I$7:$I$2738,$F514)="","",INDEX(選手一覧!$I$7:$I$2738,$F514))</f>
        <v/>
      </c>
    </row>
    <row r="515" customFormat="false" ht="15" hidden="false" customHeight="false" outlineLevel="0" collapsed="false">
      <c r="A515" s="12" t="n">
        <v>511</v>
      </c>
      <c r="B515" s="10" t="s">
        <v>1633</v>
      </c>
      <c r="C515" s="10" t="s">
        <v>1634</v>
      </c>
      <c r="D515" s="11" t="n">
        <v>0.0071712962962963</v>
      </c>
      <c r="E515" s="18" t="n">
        <f aca="false">ROUND((D515-$D$5)*86400,2)</f>
        <v>80.58</v>
      </c>
      <c r="F515" s="12" t="n">
        <v>1127</v>
      </c>
      <c r="G515" s="11" t="str">
        <f aca="false">IF(INDEX(選手一覧!$D$7:$D$2738,$F515)="","",INDEX(選手一覧!$D$7:$D$2738,$F515))</f>
        <v/>
      </c>
      <c r="H515" s="12" t="str">
        <f aca="false">IF(INDEX(選手一覧!$E$7:$E$2738,$F515)="","",INDEX(選手一覧!$E$7:$E$2738,$F515))</f>
        <v/>
      </c>
      <c r="I515" s="11" t="str">
        <f aca="false">IF(INDEX(選手一覧!$H$7:$H$2738,$F515)="","",INDEX(選手一覧!$H$7:$H$2738,$F515))</f>
        <v/>
      </c>
      <c r="J515" s="12" t="str">
        <f aca="false">IF(INDEX(選手一覧!$I$7:$I$2738,$F515)="","",INDEX(選手一覧!$I$7:$I$2738,$F515))</f>
        <v/>
      </c>
    </row>
    <row r="516" customFormat="false" ht="15" hidden="false" customHeight="false" outlineLevel="0" collapsed="false">
      <c r="A516" s="12" t="n">
        <v>512</v>
      </c>
      <c r="B516" s="10" t="s">
        <v>1635</v>
      </c>
      <c r="C516" s="10" t="s">
        <v>1440</v>
      </c>
      <c r="D516" s="11" t="n">
        <v>0.00717361111111111</v>
      </c>
      <c r="E516" s="18" t="n">
        <f aca="false">ROUND((D516-$D$5)*86400,2)</f>
        <v>80.78</v>
      </c>
      <c r="F516" s="12" t="n">
        <v>1128</v>
      </c>
      <c r="G516" s="11" t="n">
        <f aca="false">IF(INDEX(選手一覧!$D$7:$D$2738,$F516)="","",INDEX(選手一覧!$D$7:$D$2738,$F516))</f>
        <v>0.0108146990740741</v>
      </c>
      <c r="H516" s="12" t="n">
        <f aca="false">IF(INDEX(選手一覧!$E$7:$E$2738,$F516)="","",INDEX(選手一覧!$E$7:$E$2738,$F516))</f>
        <v>770</v>
      </c>
      <c r="I516" s="11" t="str">
        <f aca="false">IF(INDEX(選手一覧!$H$7:$H$2738,$F516)="","",INDEX(選手一覧!$H$7:$H$2738,$F516))</f>
        <v/>
      </c>
      <c r="J516" s="12" t="str">
        <f aca="false">IF(INDEX(選手一覧!$I$7:$I$2738,$F516)="","",INDEX(選手一覧!$I$7:$I$2738,$F516))</f>
        <v/>
      </c>
    </row>
    <row r="517" customFormat="false" ht="15" hidden="false" customHeight="false" outlineLevel="0" collapsed="false">
      <c r="A517" s="12" t="n">
        <v>513</v>
      </c>
      <c r="B517" s="10" t="s">
        <v>1641</v>
      </c>
      <c r="C517" s="10" t="s">
        <v>1309</v>
      </c>
      <c r="D517" s="11" t="n">
        <v>0.00717604166666667</v>
      </c>
      <c r="E517" s="18" t="n">
        <f aca="false">ROUND((D517-$D$5)*86400,2)</f>
        <v>80.99</v>
      </c>
      <c r="F517" s="12" t="n">
        <v>1133</v>
      </c>
      <c r="G517" s="11" t="str">
        <f aca="false">IF(INDEX(選手一覧!$D$7:$D$2738,$F517)="","",INDEX(選手一覧!$D$7:$D$2738,$F517))</f>
        <v/>
      </c>
      <c r="H517" s="12" t="str">
        <f aca="false">IF(INDEX(選手一覧!$E$7:$E$2738,$F517)="","",INDEX(選手一覧!$E$7:$E$2738,$F517))</f>
        <v/>
      </c>
      <c r="I517" s="11" t="str">
        <f aca="false">IF(INDEX(選手一覧!$H$7:$H$2738,$F517)="","",INDEX(選手一覧!$H$7:$H$2738,$F517))</f>
        <v/>
      </c>
      <c r="J517" s="12" t="str">
        <f aca="false">IF(INDEX(選手一覧!$I$7:$I$2738,$F517)="","",INDEX(選手一覧!$I$7:$I$2738,$F517))</f>
        <v/>
      </c>
    </row>
    <row r="518" customFormat="false" ht="15" hidden="false" customHeight="false" outlineLevel="0" collapsed="false">
      <c r="A518" s="12" t="n">
        <v>514</v>
      </c>
      <c r="B518" s="10" t="s">
        <v>1643</v>
      </c>
      <c r="C518" s="10" t="s">
        <v>1644</v>
      </c>
      <c r="D518" s="11" t="n">
        <v>0.0071775462962963</v>
      </c>
      <c r="E518" s="18" t="n">
        <f aca="false">ROUND((D518-$D$5)*86400,2)</f>
        <v>81.12</v>
      </c>
      <c r="F518" s="12" t="n">
        <v>1135</v>
      </c>
      <c r="G518" s="11" t="str">
        <f aca="false">IF(INDEX(選手一覧!$D$7:$D$2738,$F518)="","",INDEX(選手一覧!$D$7:$D$2738,$F518))</f>
        <v/>
      </c>
      <c r="H518" s="12" t="str">
        <f aca="false">IF(INDEX(選手一覧!$E$7:$E$2738,$F518)="","",INDEX(選手一覧!$E$7:$E$2738,$F518))</f>
        <v/>
      </c>
      <c r="I518" s="11" t="str">
        <f aca="false">IF(INDEX(選手一覧!$H$7:$H$2738,$F518)="","",INDEX(選手一覧!$H$7:$H$2738,$F518))</f>
        <v/>
      </c>
      <c r="J518" s="12" t="str">
        <f aca="false">IF(INDEX(選手一覧!$I$7:$I$2738,$F518)="","",INDEX(選手一覧!$I$7:$I$2738,$F518))</f>
        <v/>
      </c>
    </row>
    <row r="519" customFormat="false" ht="15" hidden="false" customHeight="false" outlineLevel="0" collapsed="false">
      <c r="A519" s="12" t="n">
        <v>515</v>
      </c>
      <c r="B519" s="10" t="s">
        <v>1645</v>
      </c>
      <c r="C519" s="10" t="s">
        <v>482</v>
      </c>
      <c r="D519" s="11" t="n">
        <v>0.00717858796296296</v>
      </c>
      <c r="E519" s="18" t="n">
        <f aca="false">ROUND((D519-$D$5)*86400,2)</f>
        <v>81.21</v>
      </c>
      <c r="F519" s="12" t="n">
        <v>1136</v>
      </c>
      <c r="G519" s="11" t="str">
        <f aca="false">IF(INDEX(選手一覧!$D$7:$D$2738,$F519)="","",INDEX(選手一覧!$D$7:$D$2738,$F519))</f>
        <v/>
      </c>
      <c r="H519" s="12" t="str">
        <f aca="false">IF(INDEX(選手一覧!$E$7:$E$2738,$F519)="","",INDEX(選手一覧!$E$7:$E$2738,$F519))</f>
        <v/>
      </c>
      <c r="I519" s="11" t="str">
        <f aca="false">IF(INDEX(選手一覧!$H$7:$H$2738,$F519)="","",INDEX(選手一覧!$H$7:$H$2738,$F519))</f>
        <v/>
      </c>
      <c r="J519" s="12" t="str">
        <f aca="false">IF(INDEX(選手一覧!$I$7:$I$2738,$F519)="","",INDEX(選手一覧!$I$7:$I$2738,$F519))</f>
        <v/>
      </c>
    </row>
    <row r="520" customFormat="false" ht="15" hidden="false" customHeight="false" outlineLevel="0" collapsed="false">
      <c r="A520" s="12" t="n">
        <v>516</v>
      </c>
      <c r="B520" s="10" t="s">
        <v>1646</v>
      </c>
      <c r="C520" s="10" t="s">
        <v>1647</v>
      </c>
      <c r="D520" s="11" t="n">
        <v>0.00717962962962963</v>
      </c>
      <c r="E520" s="18" t="n">
        <f aca="false">ROUND((D520-$D$5)*86400,2)</f>
        <v>81.3</v>
      </c>
      <c r="F520" s="12" t="n">
        <v>1137</v>
      </c>
      <c r="G520" s="11" t="str">
        <f aca="false">IF(INDEX(選手一覧!$D$7:$D$2738,$F520)="","",INDEX(選手一覧!$D$7:$D$2738,$F520))</f>
        <v/>
      </c>
      <c r="H520" s="12" t="str">
        <f aca="false">IF(INDEX(選手一覧!$E$7:$E$2738,$F520)="","",INDEX(選手一覧!$E$7:$E$2738,$F520))</f>
        <v/>
      </c>
      <c r="I520" s="11" t="str">
        <f aca="false">IF(INDEX(選手一覧!$H$7:$H$2738,$F520)="","",INDEX(選手一覧!$H$7:$H$2738,$F520))</f>
        <v/>
      </c>
      <c r="J520" s="12" t="str">
        <f aca="false">IF(INDEX(選手一覧!$I$7:$I$2738,$F520)="","",INDEX(選手一覧!$I$7:$I$2738,$F520))</f>
        <v/>
      </c>
    </row>
    <row r="521" customFormat="false" ht="15" hidden="false" customHeight="false" outlineLevel="0" collapsed="false">
      <c r="A521" s="12" t="n">
        <v>517</v>
      </c>
      <c r="B521" s="10" t="s">
        <v>1648</v>
      </c>
      <c r="C521" s="10" t="s">
        <v>1649</v>
      </c>
      <c r="D521" s="11" t="n">
        <v>0.00717974537037037</v>
      </c>
      <c r="E521" s="18" t="n">
        <f aca="false">ROUND((D521-$D$5)*86400,2)</f>
        <v>81.31</v>
      </c>
      <c r="F521" s="12" t="n">
        <v>1138</v>
      </c>
      <c r="G521" s="11" t="str">
        <f aca="false">IF(INDEX(選手一覧!$D$7:$D$2738,$F521)="","",INDEX(選手一覧!$D$7:$D$2738,$F521))</f>
        <v/>
      </c>
      <c r="H521" s="12" t="str">
        <f aca="false">IF(INDEX(選手一覧!$E$7:$E$2738,$F521)="","",INDEX(選手一覧!$E$7:$E$2738,$F521))</f>
        <v/>
      </c>
      <c r="I521" s="11" t="str">
        <f aca="false">IF(INDEX(選手一覧!$H$7:$H$2738,$F521)="","",INDEX(選手一覧!$H$7:$H$2738,$F521))</f>
        <v/>
      </c>
      <c r="J521" s="12" t="str">
        <f aca="false">IF(INDEX(選手一覧!$I$7:$I$2738,$F521)="","",INDEX(選手一覧!$I$7:$I$2738,$F521))</f>
        <v/>
      </c>
    </row>
    <row r="522" customFormat="false" ht="15" hidden="false" customHeight="false" outlineLevel="0" collapsed="false">
      <c r="A522" s="12" t="n">
        <v>518</v>
      </c>
      <c r="B522" s="10" t="s">
        <v>1650</v>
      </c>
      <c r="C522" s="10" t="s">
        <v>1651</v>
      </c>
      <c r="D522" s="11" t="n">
        <v>0.00718020833333333</v>
      </c>
      <c r="E522" s="18" t="n">
        <f aca="false">ROUND((D522-$D$5)*86400,2)</f>
        <v>81.35</v>
      </c>
      <c r="F522" s="12" t="n">
        <v>1139</v>
      </c>
      <c r="G522" s="11" t="str">
        <f aca="false">IF(INDEX(選手一覧!$D$7:$D$2738,$F522)="","",INDEX(選手一覧!$D$7:$D$2738,$F522))</f>
        <v/>
      </c>
      <c r="H522" s="12" t="str">
        <f aca="false">IF(INDEX(選手一覧!$E$7:$E$2738,$F522)="","",INDEX(選手一覧!$E$7:$E$2738,$F522))</f>
        <v/>
      </c>
      <c r="I522" s="11" t="str">
        <f aca="false">IF(INDEX(選手一覧!$H$7:$H$2738,$F522)="","",INDEX(選手一覧!$H$7:$H$2738,$F522))</f>
        <v/>
      </c>
      <c r="J522" s="12" t="str">
        <f aca="false">IF(INDEX(選手一覧!$I$7:$I$2738,$F522)="","",INDEX(選手一覧!$I$7:$I$2738,$F522))</f>
        <v/>
      </c>
    </row>
    <row r="523" customFormat="false" ht="15" hidden="false" customHeight="false" outlineLevel="0" collapsed="false">
      <c r="A523" s="12" t="n">
        <v>519</v>
      </c>
      <c r="B523" s="10" t="s">
        <v>1654</v>
      </c>
      <c r="C523" s="10" t="s">
        <v>1655</v>
      </c>
      <c r="D523" s="11" t="n">
        <v>0.00718032407407407</v>
      </c>
      <c r="E523" s="18" t="n">
        <f aca="false">ROUND((D523-$D$5)*86400,2)</f>
        <v>81.36</v>
      </c>
      <c r="F523" s="12" t="n">
        <v>1141</v>
      </c>
      <c r="G523" s="11" t="str">
        <f aca="false">IF(INDEX(選手一覧!$D$7:$D$2738,$F523)="","",INDEX(選手一覧!$D$7:$D$2738,$F523))</f>
        <v/>
      </c>
      <c r="H523" s="12" t="str">
        <f aca="false">IF(INDEX(選手一覧!$E$7:$E$2738,$F523)="","",INDEX(選手一覧!$E$7:$E$2738,$F523))</f>
        <v/>
      </c>
      <c r="I523" s="11" t="n">
        <f aca="false">IF(INDEX(選手一覧!$H$7:$H$2738,$F523)="","",INDEX(選手一覧!$H$7:$H$2738,$F523))</f>
        <v>0.00292488425925926</v>
      </c>
      <c r="J523" s="12" t="n">
        <f aca="false">IF(INDEX(選手一覧!$I$7:$I$2738,$F523)="","",INDEX(選手一覧!$I$7:$I$2738,$F523))</f>
        <v>1145</v>
      </c>
    </row>
    <row r="524" customFormat="false" ht="15" hidden="false" customHeight="false" outlineLevel="0" collapsed="false">
      <c r="A524" s="12" t="n">
        <v>520</v>
      </c>
      <c r="B524" s="10" t="s">
        <v>1656</v>
      </c>
      <c r="C524" s="10" t="s">
        <v>1553</v>
      </c>
      <c r="D524" s="11" t="n">
        <v>0.0071806712962963</v>
      </c>
      <c r="E524" s="18" t="n">
        <f aca="false">ROUND((D524-$D$5)*86400,2)</f>
        <v>81.39</v>
      </c>
      <c r="F524" s="12" t="n">
        <v>1142</v>
      </c>
      <c r="G524" s="11" t="str">
        <f aca="false">IF(INDEX(選手一覧!$D$7:$D$2738,$F524)="","",INDEX(選手一覧!$D$7:$D$2738,$F524))</f>
        <v/>
      </c>
      <c r="H524" s="12" t="str">
        <f aca="false">IF(INDEX(選手一覧!$E$7:$E$2738,$F524)="","",INDEX(選手一覧!$E$7:$E$2738,$F524))</f>
        <v/>
      </c>
      <c r="I524" s="11" t="str">
        <f aca="false">IF(INDEX(選手一覧!$H$7:$H$2738,$F524)="","",INDEX(選手一覧!$H$7:$H$2738,$F524))</f>
        <v/>
      </c>
      <c r="J524" s="12" t="str">
        <f aca="false">IF(INDEX(選手一覧!$I$7:$I$2738,$F524)="","",INDEX(選手一覧!$I$7:$I$2738,$F524))</f>
        <v/>
      </c>
    </row>
    <row r="525" customFormat="false" ht="15" hidden="false" customHeight="false" outlineLevel="0" collapsed="false">
      <c r="A525" s="12" t="n">
        <v>521</v>
      </c>
      <c r="B525" s="10" t="s">
        <v>1659</v>
      </c>
      <c r="C525" s="10" t="s">
        <v>1660</v>
      </c>
      <c r="D525" s="11" t="n">
        <v>0.00718287037037037</v>
      </c>
      <c r="E525" s="18" t="n">
        <f aca="false">ROUND((D525-$D$5)*86400,2)</f>
        <v>81.58</v>
      </c>
      <c r="F525" s="12" t="n">
        <v>1144</v>
      </c>
      <c r="G525" s="11" t="str">
        <f aca="false">IF(INDEX(選手一覧!$D$7:$D$2738,$F525)="","",INDEX(選手一覧!$D$7:$D$2738,$F525))</f>
        <v/>
      </c>
      <c r="H525" s="12" t="str">
        <f aca="false">IF(INDEX(選手一覧!$E$7:$E$2738,$F525)="","",INDEX(選手一覧!$E$7:$E$2738,$F525))</f>
        <v/>
      </c>
      <c r="I525" s="11" t="str">
        <f aca="false">IF(INDEX(選手一覧!$H$7:$H$2738,$F525)="","",INDEX(選手一覧!$H$7:$H$2738,$F525))</f>
        <v/>
      </c>
      <c r="J525" s="12" t="str">
        <f aca="false">IF(INDEX(選手一覧!$I$7:$I$2738,$F525)="","",INDEX(選手一覧!$I$7:$I$2738,$F525))</f>
        <v/>
      </c>
    </row>
    <row r="526" customFormat="false" ht="15" hidden="false" customHeight="false" outlineLevel="0" collapsed="false">
      <c r="A526" s="12" t="n">
        <v>522</v>
      </c>
      <c r="B526" s="10" t="s">
        <v>1661</v>
      </c>
      <c r="C526" s="10" t="s">
        <v>1662</v>
      </c>
      <c r="D526" s="11" t="n">
        <v>0.00718333333333333</v>
      </c>
      <c r="E526" s="18" t="n">
        <f aca="false">ROUND((D526-$D$5)*86400,2)</f>
        <v>81.62</v>
      </c>
      <c r="F526" s="12" t="n">
        <v>1145</v>
      </c>
      <c r="G526" s="11" t="str">
        <f aca="false">IF(INDEX(選手一覧!$D$7:$D$2738,$F526)="","",INDEX(選手一覧!$D$7:$D$2738,$F526))</f>
        <v/>
      </c>
      <c r="H526" s="12" t="str">
        <f aca="false">IF(INDEX(選手一覧!$E$7:$E$2738,$F526)="","",INDEX(選手一覧!$E$7:$E$2738,$F526))</f>
        <v/>
      </c>
      <c r="I526" s="11" t="str">
        <f aca="false">IF(INDEX(選手一覧!$H$7:$H$2738,$F526)="","",INDEX(選手一覧!$H$7:$H$2738,$F526))</f>
        <v/>
      </c>
      <c r="J526" s="12" t="str">
        <f aca="false">IF(INDEX(選手一覧!$I$7:$I$2738,$F526)="","",INDEX(選手一覧!$I$7:$I$2738,$F526))</f>
        <v/>
      </c>
    </row>
    <row r="527" customFormat="false" ht="15" hidden="false" customHeight="false" outlineLevel="0" collapsed="false">
      <c r="A527" s="12" t="n">
        <v>523</v>
      </c>
      <c r="B527" s="10" t="s">
        <v>1665</v>
      </c>
      <c r="C527" s="10" t="s">
        <v>523</v>
      </c>
      <c r="D527" s="11" t="n">
        <v>0.00718460648148148</v>
      </c>
      <c r="E527" s="18" t="n">
        <f aca="false">ROUND((D527-$D$5)*86400,2)</f>
        <v>81.73</v>
      </c>
      <c r="F527" s="12" t="n">
        <v>1147</v>
      </c>
      <c r="G527" s="11" t="n">
        <f aca="false">IF(INDEX(選手一覧!$D$7:$D$2738,$F527)="","",INDEX(選手一覧!$D$7:$D$2738,$F527))</f>
        <v>0.0108438657407407</v>
      </c>
      <c r="H527" s="12" t="n">
        <f aca="false">IF(INDEX(選手一覧!$E$7:$E$2738,$F527)="","",INDEX(選手一覧!$E$7:$E$2738,$F527))</f>
        <v>821</v>
      </c>
      <c r="I527" s="11" t="str">
        <f aca="false">IF(INDEX(選手一覧!$H$7:$H$2738,$F527)="","",INDEX(選手一覧!$H$7:$H$2738,$F527))</f>
        <v/>
      </c>
      <c r="J527" s="12" t="str">
        <f aca="false">IF(INDEX(選手一覧!$I$7:$I$2738,$F527)="","",INDEX(選手一覧!$I$7:$I$2738,$F527))</f>
        <v/>
      </c>
    </row>
    <row r="528" customFormat="false" ht="15" hidden="false" customHeight="false" outlineLevel="0" collapsed="false">
      <c r="A528" s="12" t="n">
        <v>524</v>
      </c>
      <c r="B528" s="10" t="s">
        <v>1669</v>
      </c>
      <c r="C528" s="10" t="s">
        <v>1670</v>
      </c>
      <c r="D528" s="11" t="n">
        <v>0.00718472222222222</v>
      </c>
      <c r="E528" s="18" t="n">
        <f aca="false">ROUND((D528-$D$5)*86400,2)</f>
        <v>81.74</v>
      </c>
      <c r="F528" s="12" t="n">
        <v>1150</v>
      </c>
      <c r="G528" s="11" t="str">
        <f aca="false">IF(INDEX(選手一覧!$D$7:$D$2738,$F528)="","",INDEX(選手一覧!$D$7:$D$2738,$F528))</f>
        <v/>
      </c>
      <c r="H528" s="12" t="str">
        <f aca="false">IF(INDEX(選手一覧!$E$7:$E$2738,$F528)="","",INDEX(選手一覧!$E$7:$E$2738,$F528))</f>
        <v/>
      </c>
      <c r="I528" s="11" t="n">
        <f aca="false">IF(INDEX(選手一覧!$H$7:$H$2738,$F528)="","",INDEX(選手一覧!$H$7:$H$2738,$F528))</f>
        <v>0.00292824074074074</v>
      </c>
      <c r="J528" s="12" t="n">
        <f aca="false">IF(INDEX(選手一覧!$I$7:$I$2738,$F528)="","",INDEX(選手一覧!$I$7:$I$2738,$F528))</f>
        <v>1168</v>
      </c>
    </row>
    <row r="529" customFormat="false" ht="15" hidden="false" customHeight="false" outlineLevel="0" collapsed="false">
      <c r="A529" s="12" t="n">
        <v>525</v>
      </c>
      <c r="B529" s="10" t="s">
        <v>1672</v>
      </c>
      <c r="C529" s="10" t="s">
        <v>1673</v>
      </c>
      <c r="D529" s="11" t="n">
        <v>0.00718715277777778</v>
      </c>
      <c r="E529" s="18" t="n">
        <f aca="false">ROUND((D529-$D$5)*86400,2)</f>
        <v>81.95</v>
      </c>
      <c r="F529" s="12" t="n">
        <v>1152</v>
      </c>
      <c r="G529" s="11" t="str">
        <f aca="false">IF(INDEX(選手一覧!$D$7:$D$2738,$F529)="","",INDEX(選手一覧!$D$7:$D$2738,$F529))</f>
        <v/>
      </c>
      <c r="H529" s="12" t="str">
        <f aca="false">IF(INDEX(選手一覧!$E$7:$E$2738,$F529)="","",INDEX(選手一覧!$E$7:$E$2738,$F529))</f>
        <v/>
      </c>
      <c r="I529" s="11" t="str">
        <f aca="false">IF(INDEX(選手一覧!$H$7:$H$2738,$F529)="","",INDEX(選手一覧!$H$7:$H$2738,$F529))</f>
        <v/>
      </c>
      <c r="J529" s="12" t="str">
        <f aca="false">IF(INDEX(選手一覧!$I$7:$I$2738,$F529)="","",INDEX(選手一覧!$I$7:$I$2738,$F529))</f>
        <v/>
      </c>
    </row>
    <row r="530" customFormat="false" ht="15" hidden="false" customHeight="false" outlineLevel="0" collapsed="false">
      <c r="A530" s="12" t="n">
        <v>526</v>
      </c>
      <c r="B530" s="10" t="s">
        <v>1677</v>
      </c>
      <c r="C530" s="10" t="s">
        <v>614</v>
      </c>
      <c r="D530" s="11" t="n">
        <v>0.00718784722222222</v>
      </c>
      <c r="E530" s="18" t="n">
        <f aca="false">ROUND((D530-$D$5)*86400,2)</f>
        <v>82.01</v>
      </c>
      <c r="F530" s="12" t="n">
        <v>1155</v>
      </c>
      <c r="G530" s="11" t="str">
        <f aca="false">IF(INDEX(選手一覧!$D$7:$D$2738,$F530)="","",INDEX(選手一覧!$D$7:$D$2738,$F530))</f>
        <v/>
      </c>
      <c r="H530" s="12" t="str">
        <f aca="false">IF(INDEX(選手一覧!$E$7:$E$2738,$F530)="","",INDEX(選手一覧!$E$7:$E$2738,$F530))</f>
        <v/>
      </c>
      <c r="I530" s="11" t="str">
        <f aca="false">IF(INDEX(選手一覧!$H$7:$H$2738,$F530)="","",INDEX(選手一覧!$H$7:$H$2738,$F530))</f>
        <v/>
      </c>
      <c r="J530" s="12" t="str">
        <f aca="false">IF(INDEX(選手一覧!$I$7:$I$2738,$F530)="","",INDEX(選手一覧!$I$7:$I$2738,$F530))</f>
        <v/>
      </c>
    </row>
    <row r="531" customFormat="false" ht="15" hidden="false" customHeight="false" outlineLevel="0" collapsed="false">
      <c r="A531" s="12" t="n">
        <v>527</v>
      </c>
      <c r="B531" s="10" t="s">
        <v>1678</v>
      </c>
      <c r="C531" s="10" t="s">
        <v>546</v>
      </c>
      <c r="D531" s="11" t="n">
        <v>0.00718831018518519</v>
      </c>
      <c r="E531" s="18" t="n">
        <f aca="false">ROUND((D531-$D$5)*86400,2)</f>
        <v>82.05</v>
      </c>
      <c r="F531" s="12" t="n">
        <v>1156</v>
      </c>
      <c r="G531" s="11" t="str">
        <f aca="false">IF(INDEX(選手一覧!$D$7:$D$2738,$F531)="","",INDEX(選手一覧!$D$7:$D$2738,$F531))</f>
        <v/>
      </c>
      <c r="H531" s="12" t="str">
        <f aca="false">IF(INDEX(選手一覧!$E$7:$E$2738,$F531)="","",INDEX(選手一覧!$E$7:$E$2738,$F531))</f>
        <v/>
      </c>
      <c r="I531" s="11" t="str">
        <f aca="false">IF(INDEX(選手一覧!$H$7:$H$2738,$F531)="","",INDEX(選手一覧!$H$7:$H$2738,$F531))</f>
        <v/>
      </c>
      <c r="J531" s="12" t="str">
        <f aca="false">IF(INDEX(選手一覧!$I$7:$I$2738,$F531)="","",INDEX(選手一覧!$I$7:$I$2738,$F531))</f>
        <v/>
      </c>
    </row>
    <row r="532" customFormat="false" ht="15" hidden="false" customHeight="false" outlineLevel="0" collapsed="false">
      <c r="A532" s="12" t="n">
        <v>528</v>
      </c>
      <c r="B532" s="10" t="s">
        <v>1679</v>
      </c>
      <c r="C532" s="10" t="s">
        <v>1680</v>
      </c>
      <c r="D532" s="11" t="n">
        <v>0.00719085648148148</v>
      </c>
      <c r="E532" s="18" t="n">
        <f aca="false">ROUND((D532-$D$5)*86400,2)</f>
        <v>82.27</v>
      </c>
      <c r="F532" s="12" t="n">
        <v>1157</v>
      </c>
      <c r="G532" s="11" t="str">
        <f aca="false">IF(INDEX(選手一覧!$D$7:$D$2738,$F532)="","",INDEX(選手一覧!$D$7:$D$2738,$F532))</f>
        <v/>
      </c>
      <c r="H532" s="12" t="str">
        <f aca="false">IF(INDEX(選手一覧!$E$7:$E$2738,$F532)="","",INDEX(選手一覧!$E$7:$E$2738,$F532))</f>
        <v/>
      </c>
      <c r="I532" s="11" t="str">
        <f aca="false">IF(INDEX(選手一覧!$H$7:$H$2738,$F532)="","",INDEX(選手一覧!$H$7:$H$2738,$F532))</f>
        <v/>
      </c>
      <c r="J532" s="12" t="str">
        <f aca="false">IF(INDEX(選手一覧!$I$7:$I$2738,$F532)="","",INDEX(選手一覧!$I$7:$I$2738,$F532))</f>
        <v/>
      </c>
    </row>
    <row r="533" customFormat="false" ht="15" hidden="false" customHeight="false" outlineLevel="0" collapsed="false">
      <c r="A533" s="12" t="n">
        <v>529</v>
      </c>
      <c r="B533" s="10" t="s">
        <v>1396</v>
      </c>
      <c r="C533" s="10" t="s">
        <v>261</v>
      </c>
      <c r="D533" s="11" t="n">
        <v>0.0071912037037037</v>
      </c>
      <c r="E533" s="18" t="n">
        <f aca="false">ROUND((D533-$D$5)*86400,2)</f>
        <v>82.3</v>
      </c>
      <c r="F533" s="12" t="n">
        <v>951</v>
      </c>
      <c r="G533" s="11" t="n">
        <f aca="false">IF(INDEX(選手一覧!$D$7:$D$2738,$F533)="","",INDEX(選手一覧!$D$7:$D$2738,$F533))</f>
        <v>0.0107072916666667</v>
      </c>
      <c r="H533" s="12" t="n">
        <f aca="false">IF(INDEX(選手一覧!$E$7:$E$2738,$F533)="","",INDEX(選手一覧!$E$7:$E$2738,$F533))</f>
        <v>592</v>
      </c>
      <c r="I533" s="11" t="n">
        <f aca="false">IF(INDEX(選手一覧!$H$7:$H$2738,$F533)="","",INDEX(選手一覧!$H$7:$H$2738,$F533))</f>
        <v>0.00282974537037037</v>
      </c>
      <c r="J533" s="12" t="n">
        <f aca="false">IF(INDEX(選手一覧!$I$7:$I$2738,$F533)="","",INDEX(選手一覧!$I$7:$I$2738,$F533))</f>
        <v>426</v>
      </c>
    </row>
    <row r="534" customFormat="false" ht="15" hidden="false" customHeight="false" outlineLevel="0" collapsed="false">
      <c r="A534" s="12" t="n">
        <v>530</v>
      </c>
      <c r="B534" s="10" t="s">
        <v>1685</v>
      </c>
      <c r="C534" s="10" t="s">
        <v>377</v>
      </c>
      <c r="D534" s="11" t="n">
        <v>0.00719131944444445</v>
      </c>
      <c r="E534" s="18" t="n">
        <f aca="false">ROUND((D534-$D$5)*86400,2)</f>
        <v>82.31</v>
      </c>
      <c r="F534" s="12" t="n">
        <v>1161</v>
      </c>
      <c r="G534" s="11" t="str">
        <f aca="false">IF(INDEX(選手一覧!$D$7:$D$2738,$F534)="","",INDEX(選手一覧!$D$7:$D$2738,$F534))</f>
        <v/>
      </c>
      <c r="H534" s="12" t="str">
        <f aca="false">IF(INDEX(選手一覧!$E$7:$E$2738,$F534)="","",INDEX(選手一覧!$E$7:$E$2738,$F534))</f>
        <v/>
      </c>
      <c r="I534" s="11" t="str">
        <f aca="false">IF(INDEX(選手一覧!$H$7:$H$2738,$F534)="","",INDEX(選手一覧!$H$7:$H$2738,$F534))</f>
        <v/>
      </c>
      <c r="J534" s="12" t="str">
        <f aca="false">IF(INDEX(選手一覧!$I$7:$I$2738,$F534)="","",INDEX(選手一覧!$I$7:$I$2738,$F534))</f>
        <v/>
      </c>
    </row>
    <row r="535" customFormat="false" ht="15" hidden="false" customHeight="false" outlineLevel="0" collapsed="false">
      <c r="A535" s="12" t="n">
        <v>531</v>
      </c>
      <c r="B535" s="10" t="s">
        <v>1686</v>
      </c>
      <c r="C535" s="10" t="s">
        <v>443</v>
      </c>
      <c r="D535" s="11" t="n">
        <v>0.00719201388888889</v>
      </c>
      <c r="E535" s="18" t="n">
        <f aca="false">ROUND((D535-$D$5)*86400,2)</f>
        <v>82.37</v>
      </c>
      <c r="F535" s="12" t="n">
        <v>1162</v>
      </c>
      <c r="G535" s="11" t="n">
        <f aca="false">IF(INDEX(選手一覧!$D$7:$D$2738,$F535)="","",INDEX(選手一覧!$D$7:$D$2738,$F535))</f>
        <v>0.0110180555555556</v>
      </c>
      <c r="H535" s="12" t="n">
        <f aca="false">IF(INDEX(選手一覧!$E$7:$E$2738,$F535)="","",INDEX(選手一覧!$E$7:$E$2738,$F535))</f>
        <v>1125</v>
      </c>
      <c r="I535" s="11" t="str">
        <f aca="false">IF(INDEX(選手一覧!$H$7:$H$2738,$F535)="","",INDEX(選手一覧!$H$7:$H$2738,$F535))</f>
        <v/>
      </c>
      <c r="J535" s="12" t="str">
        <f aca="false">IF(INDEX(選手一覧!$I$7:$I$2738,$F535)="","",INDEX(選手一覧!$I$7:$I$2738,$F535))</f>
        <v/>
      </c>
    </row>
    <row r="536" customFormat="false" ht="15" hidden="false" customHeight="false" outlineLevel="0" collapsed="false">
      <c r="A536" s="12" t="n">
        <v>532</v>
      </c>
      <c r="B536" s="10" t="s">
        <v>1689</v>
      </c>
      <c r="C536" s="10" t="s">
        <v>1690</v>
      </c>
      <c r="D536" s="11" t="n">
        <v>0.00719386574074074</v>
      </c>
      <c r="E536" s="18" t="n">
        <f aca="false">ROUND((D536-$D$5)*86400,2)</f>
        <v>82.53</v>
      </c>
      <c r="F536" s="12" t="n">
        <v>1164</v>
      </c>
      <c r="G536" s="11" t="str">
        <f aca="false">IF(INDEX(選手一覧!$D$7:$D$2738,$F536)="","",INDEX(選手一覧!$D$7:$D$2738,$F536))</f>
        <v/>
      </c>
      <c r="H536" s="12" t="str">
        <f aca="false">IF(INDEX(選手一覧!$E$7:$E$2738,$F536)="","",INDEX(選手一覧!$E$7:$E$2738,$F536))</f>
        <v/>
      </c>
      <c r="I536" s="11" t="str">
        <f aca="false">IF(INDEX(選手一覧!$H$7:$H$2738,$F536)="","",INDEX(選手一覧!$H$7:$H$2738,$F536))</f>
        <v/>
      </c>
      <c r="J536" s="12" t="str">
        <f aca="false">IF(INDEX(選手一覧!$I$7:$I$2738,$F536)="","",INDEX(選手一覧!$I$7:$I$2738,$F536))</f>
        <v/>
      </c>
    </row>
    <row r="537" customFormat="false" ht="15" hidden="false" customHeight="false" outlineLevel="0" collapsed="false">
      <c r="A537" s="12" t="n">
        <v>533</v>
      </c>
      <c r="B537" s="10" t="s">
        <v>1694</v>
      </c>
      <c r="C537" s="10" t="s">
        <v>831</v>
      </c>
      <c r="D537" s="11" t="n">
        <v>0.00719618055555556</v>
      </c>
      <c r="E537" s="18" t="n">
        <f aca="false">ROUND((D537-$D$5)*86400,2)</f>
        <v>82.73</v>
      </c>
      <c r="F537" s="12" t="n">
        <v>1166</v>
      </c>
      <c r="G537" s="11" t="str">
        <f aca="false">IF(INDEX(選手一覧!$D$7:$D$2738,$F537)="","",INDEX(選手一覧!$D$7:$D$2738,$F537))</f>
        <v/>
      </c>
      <c r="H537" s="12" t="str">
        <f aca="false">IF(INDEX(選手一覧!$E$7:$E$2738,$F537)="","",INDEX(選手一覧!$E$7:$E$2738,$F537))</f>
        <v/>
      </c>
      <c r="I537" s="11" t="str">
        <f aca="false">IF(INDEX(選手一覧!$H$7:$H$2738,$F537)="","",INDEX(選手一覧!$H$7:$H$2738,$F537))</f>
        <v/>
      </c>
      <c r="J537" s="12" t="str">
        <f aca="false">IF(INDEX(選手一覧!$I$7:$I$2738,$F537)="","",INDEX(選手一覧!$I$7:$I$2738,$F537))</f>
        <v/>
      </c>
    </row>
    <row r="538" customFormat="false" ht="15" hidden="false" customHeight="false" outlineLevel="0" collapsed="false">
      <c r="A538" s="12" t="n">
        <v>534</v>
      </c>
      <c r="B538" s="10" t="s">
        <v>1697</v>
      </c>
      <c r="C538" s="10" t="s">
        <v>1411</v>
      </c>
      <c r="D538" s="11" t="n">
        <v>0.00719768518518519</v>
      </c>
      <c r="E538" s="18" t="n">
        <f aca="false">ROUND((D538-$D$5)*86400,2)</f>
        <v>82.86</v>
      </c>
      <c r="F538" s="12" t="n">
        <v>1168</v>
      </c>
      <c r="G538" s="11" t="str">
        <f aca="false">IF(INDEX(選手一覧!$D$7:$D$2738,$F538)="","",INDEX(選手一覧!$D$7:$D$2738,$F538))</f>
        <v/>
      </c>
      <c r="H538" s="12" t="str">
        <f aca="false">IF(INDEX(選手一覧!$E$7:$E$2738,$F538)="","",INDEX(選手一覧!$E$7:$E$2738,$F538))</f>
        <v/>
      </c>
      <c r="I538" s="11" t="str">
        <f aca="false">IF(INDEX(選手一覧!$H$7:$H$2738,$F538)="","",INDEX(選手一覧!$H$7:$H$2738,$F538))</f>
        <v/>
      </c>
      <c r="J538" s="12" t="str">
        <f aca="false">IF(INDEX(選手一覧!$I$7:$I$2738,$F538)="","",INDEX(選手一覧!$I$7:$I$2738,$F538))</f>
        <v/>
      </c>
    </row>
    <row r="539" customFormat="false" ht="15" hidden="false" customHeight="false" outlineLevel="0" collapsed="false">
      <c r="A539" s="12" t="n">
        <v>535</v>
      </c>
      <c r="B539" s="10" t="s">
        <v>1699</v>
      </c>
      <c r="C539" s="10" t="s">
        <v>440</v>
      </c>
      <c r="D539" s="11" t="n">
        <v>0.00719884259259259</v>
      </c>
      <c r="E539" s="18" t="n">
        <f aca="false">ROUND((D539-$D$5)*86400,2)</f>
        <v>82.96</v>
      </c>
      <c r="F539" s="12" t="n">
        <v>1170</v>
      </c>
      <c r="G539" s="11" t="str">
        <f aca="false">IF(INDEX(選手一覧!$D$7:$D$2738,$F539)="","",INDEX(選手一覧!$D$7:$D$2738,$F539))</f>
        <v/>
      </c>
      <c r="H539" s="12" t="str">
        <f aca="false">IF(INDEX(選手一覧!$E$7:$E$2738,$F539)="","",INDEX(選手一覧!$E$7:$E$2738,$F539))</f>
        <v/>
      </c>
      <c r="I539" s="11" t="str">
        <f aca="false">IF(INDEX(選手一覧!$H$7:$H$2738,$F539)="","",INDEX(選手一覧!$H$7:$H$2738,$F539))</f>
        <v/>
      </c>
      <c r="J539" s="12" t="str">
        <f aca="false">IF(INDEX(選手一覧!$I$7:$I$2738,$F539)="","",INDEX(選手一覧!$I$7:$I$2738,$F539))</f>
        <v/>
      </c>
    </row>
    <row r="540" customFormat="false" ht="15" hidden="false" customHeight="false" outlineLevel="0" collapsed="false">
      <c r="A540" s="12" t="n">
        <v>536</v>
      </c>
      <c r="B540" s="10" t="s">
        <v>1701</v>
      </c>
      <c r="C540" s="10" t="s">
        <v>1702</v>
      </c>
      <c r="D540" s="11" t="n">
        <v>0.00719988425925926</v>
      </c>
      <c r="E540" s="18" t="n">
        <f aca="false">ROUND((D540-$D$5)*86400,2)</f>
        <v>83.05</v>
      </c>
      <c r="F540" s="12" t="n">
        <v>1172</v>
      </c>
      <c r="G540" s="11" t="str">
        <f aca="false">IF(INDEX(選手一覧!$D$7:$D$2738,$F540)="","",INDEX(選手一覧!$D$7:$D$2738,$F540))</f>
        <v/>
      </c>
      <c r="H540" s="12" t="str">
        <f aca="false">IF(INDEX(選手一覧!$E$7:$E$2738,$F540)="","",INDEX(選手一覧!$E$7:$E$2738,$F540))</f>
        <v/>
      </c>
      <c r="I540" s="11" t="str">
        <f aca="false">IF(INDEX(選手一覧!$H$7:$H$2738,$F540)="","",INDEX(選手一覧!$H$7:$H$2738,$F540))</f>
        <v/>
      </c>
      <c r="J540" s="12" t="str">
        <f aca="false">IF(INDEX(選手一覧!$I$7:$I$2738,$F540)="","",INDEX(選手一覧!$I$7:$I$2738,$F540))</f>
        <v/>
      </c>
    </row>
    <row r="541" customFormat="false" ht="15" hidden="false" customHeight="false" outlineLevel="0" collapsed="false">
      <c r="A541" s="12" t="n">
        <v>537</v>
      </c>
      <c r="B541" s="10" t="s">
        <v>1704</v>
      </c>
      <c r="C541" s="10" t="s">
        <v>921</v>
      </c>
      <c r="D541" s="11" t="n">
        <v>0.00720092592592593</v>
      </c>
      <c r="E541" s="18" t="n">
        <f aca="false">ROUND((D541-$D$5)*86400,2)</f>
        <v>83.14</v>
      </c>
      <c r="F541" s="12" t="n">
        <v>1174</v>
      </c>
      <c r="G541" s="11" t="str">
        <f aca="false">IF(INDEX(選手一覧!$D$7:$D$2738,$F541)="","",INDEX(選手一覧!$D$7:$D$2738,$F541))</f>
        <v/>
      </c>
      <c r="H541" s="12" t="str">
        <f aca="false">IF(INDEX(選手一覧!$E$7:$E$2738,$F541)="","",INDEX(選手一覧!$E$7:$E$2738,$F541))</f>
        <v/>
      </c>
      <c r="I541" s="11" t="str">
        <f aca="false">IF(INDEX(選手一覧!$H$7:$H$2738,$F541)="","",INDEX(選手一覧!$H$7:$H$2738,$F541))</f>
        <v/>
      </c>
      <c r="J541" s="12" t="str">
        <f aca="false">IF(INDEX(選手一覧!$I$7:$I$2738,$F541)="","",INDEX(選手一覧!$I$7:$I$2738,$F541))</f>
        <v/>
      </c>
    </row>
    <row r="542" customFormat="false" ht="15" hidden="false" customHeight="false" outlineLevel="0" collapsed="false">
      <c r="A542" s="12" t="n">
        <v>538</v>
      </c>
      <c r="B542" s="10" t="s">
        <v>1706</v>
      </c>
      <c r="C542" s="10" t="s">
        <v>254</v>
      </c>
      <c r="D542" s="11" t="n">
        <v>0.00720127314814815</v>
      </c>
      <c r="E542" s="18" t="n">
        <f aca="false">ROUND((D542-$D$5)*86400,2)</f>
        <v>83.17</v>
      </c>
      <c r="F542" s="12" t="n">
        <v>1176</v>
      </c>
      <c r="G542" s="11" t="str">
        <f aca="false">IF(INDEX(選手一覧!$D$7:$D$2738,$F542)="","",INDEX(選手一覧!$D$7:$D$2738,$F542))</f>
        <v/>
      </c>
      <c r="H542" s="12" t="str">
        <f aca="false">IF(INDEX(選手一覧!$E$7:$E$2738,$F542)="","",INDEX(選手一覧!$E$7:$E$2738,$F542))</f>
        <v/>
      </c>
      <c r="I542" s="11" t="n">
        <f aca="false">IF(INDEX(選手一覧!$H$7:$H$2738,$F542)="","",INDEX(選手一覧!$H$7:$H$2738,$F542))</f>
        <v>0.0029755787037037</v>
      </c>
      <c r="J542" s="12" t="n">
        <f aca="false">IF(INDEX(選手一覧!$I$7:$I$2738,$F542)="","",INDEX(選手一覧!$I$7:$I$2738,$F542))</f>
        <v>1329</v>
      </c>
    </row>
    <row r="543" customFormat="false" ht="15" hidden="false" customHeight="false" outlineLevel="0" collapsed="false">
      <c r="A543" s="12" t="n">
        <v>539</v>
      </c>
      <c r="B543" s="10" t="s">
        <v>1708</v>
      </c>
      <c r="C543" s="10" t="s">
        <v>590</v>
      </c>
      <c r="D543" s="11" t="n">
        <v>0.00720127314814815</v>
      </c>
      <c r="E543" s="18" t="n">
        <f aca="false">ROUND((D543-$D$5)*86400,2)</f>
        <v>83.17</v>
      </c>
      <c r="F543" s="12" t="n">
        <v>1178</v>
      </c>
      <c r="G543" s="11" t="str">
        <f aca="false">IF(INDEX(選手一覧!$D$7:$D$2738,$F543)="","",INDEX(選手一覧!$D$7:$D$2738,$F543))</f>
        <v/>
      </c>
      <c r="H543" s="12" t="str">
        <f aca="false">IF(INDEX(選手一覧!$E$7:$E$2738,$F543)="","",INDEX(選手一覧!$E$7:$E$2738,$F543))</f>
        <v/>
      </c>
      <c r="I543" s="11" t="str">
        <f aca="false">IF(INDEX(選手一覧!$H$7:$H$2738,$F543)="","",INDEX(選手一覧!$H$7:$H$2738,$F543))</f>
        <v/>
      </c>
      <c r="J543" s="12" t="str">
        <f aca="false">IF(INDEX(選手一覧!$I$7:$I$2738,$F543)="","",INDEX(選手一覧!$I$7:$I$2738,$F543))</f>
        <v/>
      </c>
    </row>
    <row r="544" customFormat="false" ht="15" hidden="false" customHeight="false" outlineLevel="0" collapsed="false">
      <c r="A544" s="12" t="n">
        <v>540</v>
      </c>
      <c r="B544" s="10" t="s">
        <v>1709</v>
      </c>
      <c r="C544" s="10" t="s">
        <v>1710</v>
      </c>
      <c r="D544" s="11" t="n">
        <v>0.00720138888888889</v>
      </c>
      <c r="E544" s="18" t="n">
        <f aca="false">ROUND((D544-$D$5)*86400,2)</f>
        <v>83.18</v>
      </c>
      <c r="F544" s="12" t="n">
        <v>1179</v>
      </c>
      <c r="G544" s="11" t="str">
        <f aca="false">IF(INDEX(選手一覧!$D$7:$D$2738,$F544)="","",INDEX(選手一覧!$D$7:$D$2738,$F544))</f>
        <v/>
      </c>
      <c r="H544" s="12" t="str">
        <f aca="false">IF(INDEX(選手一覧!$E$7:$E$2738,$F544)="","",INDEX(選手一覧!$E$7:$E$2738,$F544))</f>
        <v/>
      </c>
      <c r="I544" s="11" t="str">
        <f aca="false">IF(INDEX(選手一覧!$H$7:$H$2738,$F544)="","",INDEX(選手一覧!$H$7:$H$2738,$F544))</f>
        <v/>
      </c>
      <c r="J544" s="12" t="str">
        <f aca="false">IF(INDEX(選手一覧!$I$7:$I$2738,$F544)="","",INDEX(選手一覧!$I$7:$I$2738,$F544))</f>
        <v/>
      </c>
    </row>
    <row r="545" customFormat="false" ht="15" hidden="false" customHeight="false" outlineLevel="0" collapsed="false">
      <c r="A545" s="12" t="n">
        <v>541</v>
      </c>
      <c r="B545" s="10" t="s">
        <v>887</v>
      </c>
      <c r="C545" s="10" t="s">
        <v>814</v>
      </c>
      <c r="D545" s="11" t="n">
        <v>0.0072037037037037</v>
      </c>
      <c r="E545" s="18" t="n">
        <f aca="false">ROUND((D545-$D$5)*86400,2)</f>
        <v>83.38</v>
      </c>
      <c r="F545" s="12" t="n">
        <v>583</v>
      </c>
      <c r="G545" s="11" t="n">
        <f aca="false">IF(INDEX(選手一覧!$D$7:$D$2738,$F545)="","",INDEX(選手一覧!$D$7:$D$2738,$F545))</f>
        <v>0.0103844907407407</v>
      </c>
      <c r="H545" s="12" t="n">
        <f aca="false">IF(INDEX(選手一覧!$E$7:$E$2738,$F545)="","",INDEX(選手一覧!$E$7:$E$2738,$F545))</f>
        <v>245</v>
      </c>
      <c r="I545" s="11" t="n">
        <f aca="false">IF(INDEX(選手一覧!$H$7:$H$2738,$F545)="","",INDEX(選手一覧!$H$7:$H$2738,$F545))</f>
        <v>0.00296643518518519</v>
      </c>
      <c r="J545" s="12" t="n">
        <f aca="false">IF(INDEX(選手一覧!$I$7:$I$2738,$F545)="","",INDEX(選手一覧!$I$7:$I$2738,$F545))</f>
        <v>1297</v>
      </c>
    </row>
    <row r="546" customFormat="false" ht="15" hidden="false" customHeight="false" outlineLevel="0" collapsed="false">
      <c r="A546" s="12" t="n">
        <v>542</v>
      </c>
      <c r="B546" s="10" t="s">
        <v>1719</v>
      </c>
      <c r="C546" s="10" t="s">
        <v>505</v>
      </c>
      <c r="D546" s="11" t="n">
        <v>0.00720474537037037</v>
      </c>
      <c r="E546" s="18" t="n">
        <f aca="false">ROUND((D546-$D$5)*86400,2)</f>
        <v>83.47</v>
      </c>
      <c r="F546" s="12" t="n">
        <v>1185</v>
      </c>
      <c r="G546" s="11" t="str">
        <f aca="false">IF(INDEX(選手一覧!$D$7:$D$2738,$F546)="","",INDEX(選手一覧!$D$7:$D$2738,$F546))</f>
        <v/>
      </c>
      <c r="H546" s="12" t="str">
        <f aca="false">IF(INDEX(選手一覧!$E$7:$E$2738,$F546)="","",INDEX(選手一覧!$E$7:$E$2738,$F546))</f>
        <v/>
      </c>
      <c r="I546" s="11" t="n">
        <f aca="false">IF(INDEX(選手一覧!$H$7:$H$2738,$F546)="","",INDEX(選手一覧!$H$7:$H$2738,$F546))</f>
        <v>0.00292210648148148</v>
      </c>
      <c r="J546" s="12" t="n">
        <f aca="false">IF(INDEX(選手一覧!$I$7:$I$2738,$F546)="","",INDEX(選手一覧!$I$7:$I$2738,$F546))</f>
        <v>1114</v>
      </c>
    </row>
    <row r="547" customFormat="false" ht="15" hidden="false" customHeight="false" outlineLevel="0" collapsed="false">
      <c r="A547" s="12" t="n">
        <v>543</v>
      </c>
      <c r="B547" s="10" t="s">
        <v>1720</v>
      </c>
      <c r="C547" s="10" t="s">
        <v>1721</v>
      </c>
      <c r="D547" s="11" t="n">
        <v>0.00720555555555556</v>
      </c>
      <c r="E547" s="18" t="n">
        <f aca="false">ROUND((D547-$D$5)*86400,2)</f>
        <v>83.54</v>
      </c>
      <c r="F547" s="12" t="n">
        <v>1186</v>
      </c>
      <c r="G547" s="11" t="str">
        <f aca="false">IF(INDEX(選手一覧!$D$7:$D$2738,$F547)="","",INDEX(選手一覧!$D$7:$D$2738,$F547))</f>
        <v/>
      </c>
      <c r="H547" s="12" t="str">
        <f aca="false">IF(INDEX(選手一覧!$E$7:$E$2738,$F547)="","",INDEX(選手一覧!$E$7:$E$2738,$F547))</f>
        <v/>
      </c>
      <c r="I547" s="11" t="str">
        <f aca="false">IF(INDEX(選手一覧!$H$7:$H$2738,$F547)="","",INDEX(選手一覧!$H$7:$H$2738,$F547))</f>
        <v/>
      </c>
      <c r="J547" s="12" t="str">
        <f aca="false">IF(INDEX(選手一覧!$I$7:$I$2738,$F547)="","",INDEX(選手一覧!$I$7:$I$2738,$F547))</f>
        <v/>
      </c>
    </row>
    <row r="548" customFormat="false" ht="15" hidden="false" customHeight="false" outlineLevel="0" collapsed="false">
      <c r="A548" s="12" t="n">
        <v>544</v>
      </c>
      <c r="B548" s="10" t="s">
        <v>1722</v>
      </c>
      <c r="C548" s="10" t="s">
        <v>1723</v>
      </c>
      <c r="D548" s="11" t="n">
        <v>0.00720856481481482</v>
      </c>
      <c r="E548" s="18" t="n">
        <f aca="false">ROUND((D548-$D$5)*86400,2)</f>
        <v>83.8</v>
      </c>
      <c r="F548" s="12" t="n">
        <v>1187</v>
      </c>
      <c r="G548" s="11" t="str">
        <f aca="false">IF(INDEX(選手一覧!$D$7:$D$2738,$F548)="","",INDEX(選手一覧!$D$7:$D$2738,$F548))</f>
        <v/>
      </c>
      <c r="H548" s="12" t="str">
        <f aca="false">IF(INDEX(選手一覧!$E$7:$E$2738,$F548)="","",INDEX(選手一覧!$E$7:$E$2738,$F548))</f>
        <v/>
      </c>
      <c r="I548" s="11" t="n">
        <f aca="false">IF(INDEX(選手一覧!$H$7:$H$2738,$F548)="","",INDEX(選手一覧!$H$7:$H$2738,$F548))</f>
        <v>0.00297523148148148</v>
      </c>
      <c r="J548" s="12" t="n">
        <f aca="false">IF(INDEX(選手一覧!$I$7:$I$2738,$F548)="","",INDEX(選手一覧!$I$7:$I$2738,$F548))</f>
        <v>1326</v>
      </c>
    </row>
    <row r="549" customFormat="false" ht="15" hidden="false" customHeight="false" outlineLevel="0" collapsed="false">
      <c r="A549" s="12" t="n">
        <v>545</v>
      </c>
      <c r="B549" s="10" t="s">
        <v>1197</v>
      </c>
      <c r="C549" s="10" t="s">
        <v>39</v>
      </c>
      <c r="D549" s="11" t="n">
        <v>0.00720891203703704</v>
      </c>
      <c r="E549" s="18" t="n">
        <f aca="false">ROUND((D549-$D$5)*86400,2)</f>
        <v>83.83</v>
      </c>
      <c r="F549" s="12" t="n">
        <v>812</v>
      </c>
      <c r="G549" s="11" t="n">
        <f aca="false">IF(INDEX(選手一覧!$D$7:$D$2738,$F549)="","",INDEX(選手一覧!$D$7:$D$2738,$F549))</f>
        <v>0.0109229166666667</v>
      </c>
      <c r="H549" s="12" t="n">
        <f aca="false">IF(INDEX(選手一覧!$E$7:$E$2738,$F549)="","",INDEX(選手一覧!$E$7:$E$2738,$F549))</f>
        <v>955</v>
      </c>
      <c r="I549" s="11" t="n">
        <f aca="false">IF(INDEX(選手一覧!$H$7:$H$2738,$F549)="","",INDEX(選手一覧!$H$7:$H$2738,$F549))</f>
        <v>0.00281759259259259</v>
      </c>
      <c r="J549" s="12" t="n">
        <f aca="false">IF(INDEX(選手一覧!$I$7:$I$2738,$F549)="","",INDEX(選手一覧!$I$7:$I$2738,$F549))</f>
        <v>353</v>
      </c>
    </row>
    <row r="550" customFormat="false" ht="15" hidden="false" customHeight="false" outlineLevel="0" collapsed="false">
      <c r="A550" s="12" t="n">
        <v>546</v>
      </c>
      <c r="B550" s="10" t="s">
        <v>1571</v>
      </c>
      <c r="C550" s="10" t="s">
        <v>1474</v>
      </c>
      <c r="D550" s="11" t="n">
        <v>0.00720949074074074</v>
      </c>
      <c r="E550" s="18" t="n">
        <f aca="false">ROUND((D550-$D$5)*86400,2)</f>
        <v>83.88</v>
      </c>
      <c r="F550" s="12" t="n">
        <v>1083</v>
      </c>
      <c r="G550" s="11" t="n">
        <f aca="false">IF(INDEX(選手一覧!$D$7:$D$2738,$F550)="","",INDEX(選手一覧!$D$7:$D$2738,$F550))</f>
        <v>0.0106164351851852</v>
      </c>
      <c r="H550" s="12" t="n">
        <f aca="false">IF(INDEX(選手一覧!$E$7:$E$2738,$F550)="","",INDEX(選手一覧!$E$7:$E$2738,$F550))</f>
        <v>490</v>
      </c>
      <c r="I550" s="11" t="n">
        <f aca="false">IF(INDEX(選手一覧!$H$7:$H$2738,$F550)="","",INDEX(選手一覧!$H$7:$H$2738,$F550))</f>
        <v>0.00291678240740741</v>
      </c>
      <c r="J550" s="12" t="n">
        <f aca="false">IF(INDEX(選手一覧!$I$7:$I$2738,$F550)="","",INDEX(選手一覧!$I$7:$I$2738,$F550))</f>
        <v>1064</v>
      </c>
    </row>
    <row r="551" customFormat="false" ht="15" hidden="false" customHeight="false" outlineLevel="0" collapsed="false">
      <c r="A551" s="12" t="n">
        <v>547</v>
      </c>
      <c r="B551" s="10" t="s">
        <v>1728</v>
      </c>
      <c r="C551" s="10" t="s">
        <v>1729</v>
      </c>
      <c r="D551" s="11" t="n">
        <v>0.00721018518518519</v>
      </c>
      <c r="E551" s="18" t="n">
        <f aca="false">ROUND((D551-$D$5)*86400,2)</f>
        <v>83.94</v>
      </c>
      <c r="F551" s="12" t="n">
        <v>1192</v>
      </c>
      <c r="G551" s="11" t="str">
        <f aca="false">IF(INDEX(選手一覧!$D$7:$D$2738,$F551)="","",INDEX(選手一覧!$D$7:$D$2738,$F551))</f>
        <v/>
      </c>
      <c r="H551" s="12" t="str">
        <f aca="false">IF(INDEX(選手一覧!$E$7:$E$2738,$F551)="","",INDEX(選手一覧!$E$7:$E$2738,$F551))</f>
        <v/>
      </c>
      <c r="I551" s="11" t="str">
        <f aca="false">IF(INDEX(選手一覧!$H$7:$H$2738,$F551)="","",INDEX(選手一覧!$H$7:$H$2738,$F551))</f>
        <v/>
      </c>
      <c r="J551" s="12" t="str">
        <f aca="false">IF(INDEX(選手一覧!$I$7:$I$2738,$F551)="","",INDEX(選手一覧!$I$7:$I$2738,$F551))</f>
        <v/>
      </c>
    </row>
    <row r="552" customFormat="false" ht="15" hidden="false" customHeight="false" outlineLevel="0" collapsed="false">
      <c r="A552" s="12" t="n">
        <v>548</v>
      </c>
      <c r="B552" s="10" t="s">
        <v>1731</v>
      </c>
      <c r="C552" s="10" t="s">
        <v>112</v>
      </c>
      <c r="D552" s="11" t="n">
        <v>0.00721053240740741</v>
      </c>
      <c r="E552" s="18" t="n">
        <f aca="false">ROUND((D552-$D$5)*86400,2)</f>
        <v>83.97</v>
      </c>
      <c r="F552" s="12" t="n">
        <v>1194</v>
      </c>
      <c r="G552" s="11" t="str">
        <f aca="false">IF(INDEX(選手一覧!$D$7:$D$2738,$F552)="","",INDEX(選手一覧!$D$7:$D$2738,$F552))</f>
        <v/>
      </c>
      <c r="H552" s="12" t="str">
        <f aca="false">IF(INDEX(選手一覧!$E$7:$E$2738,$F552)="","",INDEX(選手一覧!$E$7:$E$2738,$F552))</f>
        <v/>
      </c>
      <c r="I552" s="11" t="str">
        <f aca="false">IF(INDEX(選手一覧!$H$7:$H$2738,$F552)="","",INDEX(選手一覧!$H$7:$H$2738,$F552))</f>
        <v/>
      </c>
      <c r="J552" s="12" t="str">
        <f aca="false">IF(INDEX(選手一覧!$I$7:$I$2738,$F552)="","",INDEX(選手一覧!$I$7:$I$2738,$F552))</f>
        <v/>
      </c>
    </row>
    <row r="553" customFormat="false" ht="15" hidden="false" customHeight="false" outlineLevel="0" collapsed="false">
      <c r="A553" s="12" t="n">
        <v>549</v>
      </c>
      <c r="B553" s="10" t="s">
        <v>1735</v>
      </c>
      <c r="C553" s="10" t="s">
        <v>1736</v>
      </c>
      <c r="D553" s="11" t="n">
        <v>0.00721134259259259</v>
      </c>
      <c r="E553" s="18" t="n">
        <f aca="false">ROUND((D553-$D$5)*86400,2)</f>
        <v>84.04</v>
      </c>
      <c r="F553" s="12" t="n">
        <v>1197</v>
      </c>
      <c r="G553" s="11" t="str">
        <f aca="false">IF(INDEX(選手一覧!$D$7:$D$2738,$F553)="","",INDEX(選手一覧!$D$7:$D$2738,$F553))</f>
        <v/>
      </c>
      <c r="H553" s="12" t="str">
        <f aca="false">IF(INDEX(選手一覧!$E$7:$E$2738,$F553)="","",INDEX(選手一覧!$E$7:$E$2738,$F553))</f>
        <v/>
      </c>
      <c r="I553" s="11" t="str">
        <f aca="false">IF(INDEX(選手一覧!$H$7:$H$2738,$F553)="","",INDEX(選手一覧!$H$7:$H$2738,$F553))</f>
        <v/>
      </c>
      <c r="J553" s="12" t="str">
        <f aca="false">IF(INDEX(選手一覧!$I$7:$I$2738,$F553)="","",INDEX(選手一覧!$I$7:$I$2738,$F553))</f>
        <v/>
      </c>
    </row>
    <row r="554" customFormat="false" ht="15" hidden="false" customHeight="false" outlineLevel="0" collapsed="false">
      <c r="A554" s="12" t="n">
        <v>550</v>
      </c>
      <c r="B554" s="10" t="s">
        <v>1739</v>
      </c>
      <c r="C554" s="10" t="s">
        <v>1740</v>
      </c>
      <c r="D554" s="11" t="n">
        <v>0.00721296296296296</v>
      </c>
      <c r="E554" s="18" t="n">
        <f aca="false">ROUND((D554-$D$5)*86400,2)</f>
        <v>84.18</v>
      </c>
      <c r="F554" s="12" t="n">
        <v>1199</v>
      </c>
      <c r="G554" s="11" t="n">
        <f aca="false">IF(INDEX(選手一覧!$D$7:$D$2738,$F554)="","",INDEX(選手一覧!$D$7:$D$2738,$F554))</f>
        <v>0.0109909722222222</v>
      </c>
      <c r="H554" s="12" t="n">
        <f aca="false">IF(INDEX(選手一覧!$E$7:$E$2738,$F554)="","",INDEX(選手一覧!$E$7:$E$2738,$F554))</f>
        <v>1081</v>
      </c>
      <c r="I554" s="11" t="str">
        <f aca="false">IF(INDEX(選手一覧!$H$7:$H$2738,$F554)="","",INDEX(選手一覧!$H$7:$H$2738,$F554))</f>
        <v/>
      </c>
      <c r="J554" s="12" t="str">
        <f aca="false">IF(INDEX(選手一覧!$I$7:$I$2738,$F554)="","",INDEX(選手一覧!$I$7:$I$2738,$F554))</f>
        <v/>
      </c>
    </row>
    <row r="555" customFormat="false" ht="15" hidden="false" customHeight="false" outlineLevel="0" collapsed="false">
      <c r="A555" s="12" t="n">
        <v>551</v>
      </c>
      <c r="B555" s="10" t="s">
        <v>1745</v>
      </c>
      <c r="C555" s="10" t="s">
        <v>695</v>
      </c>
      <c r="D555" s="11" t="n">
        <v>0.00721342592592593</v>
      </c>
      <c r="E555" s="18" t="n">
        <f aca="false">ROUND((D555-$D$5)*86400,2)</f>
        <v>84.22</v>
      </c>
      <c r="F555" s="12" t="n">
        <v>1202</v>
      </c>
      <c r="G555" s="11" t="str">
        <f aca="false">IF(INDEX(選手一覧!$D$7:$D$2738,$F555)="","",INDEX(選手一覧!$D$7:$D$2738,$F555))</f>
        <v/>
      </c>
      <c r="H555" s="12" t="str">
        <f aca="false">IF(INDEX(選手一覧!$E$7:$E$2738,$F555)="","",INDEX(選手一覧!$E$7:$E$2738,$F555))</f>
        <v/>
      </c>
      <c r="I555" s="11" t="str">
        <f aca="false">IF(INDEX(選手一覧!$H$7:$H$2738,$F555)="","",INDEX(選手一覧!$H$7:$H$2738,$F555))</f>
        <v/>
      </c>
      <c r="J555" s="12" t="str">
        <f aca="false">IF(INDEX(選手一覧!$I$7:$I$2738,$F555)="","",INDEX(選手一覧!$I$7:$I$2738,$F555))</f>
        <v/>
      </c>
    </row>
    <row r="556" customFormat="false" ht="15" hidden="false" customHeight="false" outlineLevel="0" collapsed="false">
      <c r="A556" s="12" t="n">
        <v>552</v>
      </c>
      <c r="B556" s="10" t="s">
        <v>1746</v>
      </c>
      <c r="C556" s="10" t="s">
        <v>1747</v>
      </c>
      <c r="D556" s="11" t="n">
        <v>0.00721365740740741</v>
      </c>
      <c r="E556" s="18" t="n">
        <f aca="false">ROUND((D556-$D$5)*86400,2)</f>
        <v>84.24</v>
      </c>
      <c r="F556" s="12" t="n">
        <v>1203</v>
      </c>
      <c r="G556" s="11" t="str">
        <f aca="false">IF(INDEX(選手一覧!$D$7:$D$2738,$F556)="","",INDEX(選手一覧!$D$7:$D$2738,$F556))</f>
        <v/>
      </c>
      <c r="H556" s="12" t="str">
        <f aca="false">IF(INDEX(選手一覧!$E$7:$E$2738,$F556)="","",INDEX(選手一覧!$E$7:$E$2738,$F556))</f>
        <v/>
      </c>
      <c r="I556" s="11" t="str">
        <f aca="false">IF(INDEX(選手一覧!$H$7:$H$2738,$F556)="","",INDEX(選手一覧!$H$7:$H$2738,$F556))</f>
        <v/>
      </c>
      <c r="J556" s="12" t="str">
        <f aca="false">IF(INDEX(選手一覧!$I$7:$I$2738,$F556)="","",INDEX(選手一覧!$I$7:$I$2738,$F556))</f>
        <v/>
      </c>
    </row>
    <row r="557" customFormat="false" ht="15" hidden="false" customHeight="false" outlineLevel="0" collapsed="false">
      <c r="A557" s="12" t="n">
        <v>553</v>
      </c>
      <c r="B557" s="10" t="s">
        <v>1748</v>
      </c>
      <c r="C557" s="10" t="s">
        <v>1749</v>
      </c>
      <c r="D557" s="11" t="n">
        <v>0.00721435185185185</v>
      </c>
      <c r="E557" s="18" t="n">
        <f aca="false">ROUND((D557-$D$5)*86400,2)</f>
        <v>84.3</v>
      </c>
      <c r="F557" s="12" t="n">
        <v>1204</v>
      </c>
      <c r="G557" s="11" t="str">
        <f aca="false">IF(INDEX(選手一覧!$D$7:$D$2738,$F557)="","",INDEX(選手一覧!$D$7:$D$2738,$F557))</f>
        <v/>
      </c>
      <c r="H557" s="12" t="str">
        <f aca="false">IF(INDEX(選手一覧!$E$7:$E$2738,$F557)="","",INDEX(選手一覧!$E$7:$E$2738,$F557))</f>
        <v/>
      </c>
      <c r="I557" s="11" t="str">
        <f aca="false">IF(INDEX(選手一覧!$H$7:$H$2738,$F557)="","",INDEX(選手一覧!$H$7:$H$2738,$F557))</f>
        <v/>
      </c>
      <c r="J557" s="12" t="str">
        <f aca="false">IF(INDEX(選手一覧!$I$7:$I$2738,$F557)="","",INDEX(選手一覧!$I$7:$I$2738,$F557))</f>
        <v/>
      </c>
    </row>
    <row r="558" customFormat="false" ht="15" hidden="false" customHeight="false" outlineLevel="0" collapsed="false">
      <c r="A558" s="12" t="n">
        <v>554</v>
      </c>
      <c r="B558" s="10" t="s">
        <v>1750</v>
      </c>
      <c r="C558" s="10" t="s">
        <v>1751</v>
      </c>
      <c r="D558" s="11" t="n">
        <v>0.00721539351851852</v>
      </c>
      <c r="E558" s="18" t="n">
        <f aca="false">ROUND((D558-$D$5)*86400,2)</f>
        <v>84.39</v>
      </c>
      <c r="F558" s="12" t="n">
        <v>1205</v>
      </c>
      <c r="G558" s="11" t="str">
        <f aca="false">IF(INDEX(選手一覧!$D$7:$D$2738,$F558)="","",INDEX(選手一覧!$D$7:$D$2738,$F558))</f>
        <v/>
      </c>
      <c r="H558" s="12" t="str">
        <f aca="false">IF(INDEX(選手一覧!$E$7:$E$2738,$F558)="","",INDEX(選手一覧!$E$7:$E$2738,$F558))</f>
        <v/>
      </c>
      <c r="I558" s="11" t="str">
        <f aca="false">IF(INDEX(選手一覧!$H$7:$H$2738,$F558)="","",INDEX(選手一覧!$H$7:$H$2738,$F558))</f>
        <v/>
      </c>
      <c r="J558" s="12" t="str">
        <f aca="false">IF(INDEX(選手一覧!$I$7:$I$2738,$F558)="","",INDEX(選手一覧!$I$7:$I$2738,$F558))</f>
        <v/>
      </c>
    </row>
    <row r="559" customFormat="false" ht="15" hidden="false" customHeight="false" outlineLevel="0" collapsed="false">
      <c r="A559" s="12" t="n">
        <v>555</v>
      </c>
      <c r="B559" s="10" t="s">
        <v>1752</v>
      </c>
      <c r="C559" s="10" t="s">
        <v>1753</v>
      </c>
      <c r="D559" s="11" t="n">
        <v>0.00721608796296296</v>
      </c>
      <c r="E559" s="18" t="n">
        <f aca="false">ROUND((D559-$D$5)*86400,2)</f>
        <v>84.45</v>
      </c>
      <c r="F559" s="12" t="n">
        <v>1206</v>
      </c>
      <c r="G559" s="11" t="str">
        <f aca="false">IF(INDEX(選手一覧!$D$7:$D$2738,$F559)="","",INDEX(選手一覧!$D$7:$D$2738,$F559))</f>
        <v/>
      </c>
      <c r="H559" s="12" t="str">
        <f aca="false">IF(INDEX(選手一覧!$E$7:$E$2738,$F559)="","",INDEX(選手一覧!$E$7:$E$2738,$F559))</f>
        <v/>
      </c>
      <c r="I559" s="11" t="str">
        <f aca="false">IF(INDEX(選手一覧!$H$7:$H$2738,$F559)="","",INDEX(選手一覧!$H$7:$H$2738,$F559))</f>
        <v/>
      </c>
      <c r="J559" s="12" t="str">
        <f aca="false">IF(INDEX(選手一覧!$I$7:$I$2738,$F559)="","",INDEX(選手一覧!$I$7:$I$2738,$F559))</f>
        <v/>
      </c>
    </row>
    <row r="560" customFormat="false" ht="15" hidden="false" customHeight="false" outlineLevel="0" collapsed="false">
      <c r="A560" s="12" t="n">
        <v>556</v>
      </c>
      <c r="B560" s="10" t="s">
        <v>1755</v>
      </c>
      <c r="C560" s="10" t="s">
        <v>1372</v>
      </c>
      <c r="D560" s="11" t="n">
        <v>0.00721655092592593</v>
      </c>
      <c r="E560" s="18" t="n">
        <f aca="false">ROUND((D560-$D$5)*86400,2)</f>
        <v>84.49</v>
      </c>
      <c r="F560" s="12" t="n">
        <v>1208</v>
      </c>
      <c r="G560" s="11" t="str">
        <f aca="false">IF(INDEX(選手一覧!$D$7:$D$2738,$F560)="","",INDEX(選手一覧!$D$7:$D$2738,$F560))</f>
        <v/>
      </c>
      <c r="H560" s="12" t="str">
        <f aca="false">IF(INDEX(選手一覧!$E$7:$E$2738,$F560)="","",INDEX(選手一覧!$E$7:$E$2738,$F560))</f>
        <v/>
      </c>
      <c r="I560" s="11" t="str">
        <f aca="false">IF(INDEX(選手一覧!$H$7:$H$2738,$F560)="","",INDEX(選手一覧!$H$7:$H$2738,$F560))</f>
        <v/>
      </c>
      <c r="J560" s="12" t="str">
        <f aca="false">IF(INDEX(選手一覧!$I$7:$I$2738,$F560)="","",INDEX(選手一覧!$I$7:$I$2738,$F560))</f>
        <v/>
      </c>
    </row>
    <row r="561" customFormat="false" ht="15" hidden="false" customHeight="false" outlineLevel="0" collapsed="false">
      <c r="A561" s="12" t="n">
        <v>557</v>
      </c>
      <c r="B561" s="10" t="s">
        <v>1757</v>
      </c>
      <c r="C561" s="10" t="s">
        <v>1758</v>
      </c>
      <c r="D561" s="11" t="n">
        <v>0.00721666666666667</v>
      </c>
      <c r="E561" s="18" t="n">
        <f aca="false">ROUND((D561-$D$5)*86400,2)</f>
        <v>84.5</v>
      </c>
      <c r="F561" s="12" t="n">
        <v>1210</v>
      </c>
      <c r="G561" s="11" t="n">
        <f aca="false">IF(INDEX(選手一覧!$D$7:$D$2738,$F561)="","",INDEX(選手一覧!$D$7:$D$2738,$F561))</f>
        <v>0.0110373842592593</v>
      </c>
      <c r="H561" s="12" t="n">
        <f aca="false">IF(INDEX(選手一覧!$E$7:$E$2738,$F561)="","",INDEX(選手一覧!$E$7:$E$2738,$F561))</f>
        <v>1171</v>
      </c>
      <c r="I561" s="11" t="n">
        <f aca="false">IF(INDEX(選手一覧!$H$7:$H$2738,$F561)="","",INDEX(選手一覧!$H$7:$H$2738,$F561))</f>
        <v>0.00294166666666667</v>
      </c>
      <c r="J561" s="12" t="n">
        <f aca="false">IF(INDEX(選手一覧!$I$7:$I$2738,$F561)="","",INDEX(選手一覧!$I$7:$I$2738,$F561))</f>
        <v>1206</v>
      </c>
    </row>
    <row r="562" customFormat="false" ht="15" hidden="false" customHeight="false" outlineLevel="0" collapsed="false">
      <c r="A562" s="12" t="n">
        <v>558</v>
      </c>
      <c r="B562" s="10" t="s">
        <v>1763</v>
      </c>
      <c r="C562" s="10" t="s">
        <v>1764</v>
      </c>
      <c r="D562" s="11" t="n">
        <v>0.00721712962962963</v>
      </c>
      <c r="E562" s="18" t="n">
        <f aca="false">ROUND((D562-$D$5)*86400,2)</f>
        <v>84.54</v>
      </c>
      <c r="F562" s="12" t="n">
        <v>1214</v>
      </c>
      <c r="G562" s="11" t="str">
        <f aca="false">IF(INDEX(選手一覧!$D$7:$D$2738,$F562)="","",INDEX(選手一覧!$D$7:$D$2738,$F562))</f>
        <v/>
      </c>
      <c r="H562" s="12" t="str">
        <f aca="false">IF(INDEX(選手一覧!$E$7:$E$2738,$F562)="","",INDEX(選手一覧!$E$7:$E$2738,$F562))</f>
        <v/>
      </c>
      <c r="I562" s="11" t="str">
        <f aca="false">IF(INDEX(選手一覧!$H$7:$H$2738,$F562)="","",INDEX(選手一覧!$H$7:$H$2738,$F562))</f>
        <v/>
      </c>
      <c r="J562" s="12" t="str">
        <f aca="false">IF(INDEX(選手一覧!$I$7:$I$2738,$F562)="","",INDEX(選手一覧!$I$7:$I$2738,$F562))</f>
        <v/>
      </c>
    </row>
    <row r="563" customFormat="false" ht="15" hidden="false" customHeight="false" outlineLevel="0" collapsed="false">
      <c r="A563" s="12" t="n">
        <v>559</v>
      </c>
      <c r="B563" s="10" t="s">
        <v>1765</v>
      </c>
      <c r="C563" s="10" t="s">
        <v>1766</v>
      </c>
      <c r="D563" s="11" t="n">
        <v>0.00722013888888889</v>
      </c>
      <c r="E563" s="18" t="n">
        <f aca="false">ROUND((D563-$D$5)*86400,2)</f>
        <v>84.8</v>
      </c>
      <c r="F563" s="12" t="n">
        <v>1215</v>
      </c>
      <c r="G563" s="11" t="str">
        <f aca="false">IF(INDEX(選手一覧!$D$7:$D$2738,$F563)="","",INDEX(選手一覧!$D$7:$D$2738,$F563))</f>
        <v/>
      </c>
      <c r="H563" s="12" t="str">
        <f aca="false">IF(INDEX(選手一覧!$E$7:$E$2738,$F563)="","",INDEX(選手一覧!$E$7:$E$2738,$F563))</f>
        <v/>
      </c>
      <c r="I563" s="11" t="str">
        <f aca="false">IF(INDEX(選手一覧!$H$7:$H$2738,$F563)="","",INDEX(選手一覧!$H$7:$H$2738,$F563))</f>
        <v/>
      </c>
      <c r="J563" s="12" t="str">
        <f aca="false">IF(INDEX(選手一覧!$I$7:$I$2738,$F563)="","",INDEX(選手一覧!$I$7:$I$2738,$F563))</f>
        <v/>
      </c>
    </row>
    <row r="564" customFormat="false" ht="15" hidden="false" customHeight="false" outlineLevel="0" collapsed="false">
      <c r="A564" s="12" t="n">
        <v>560</v>
      </c>
      <c r="B564" s="10" t="s">
        <v>1767</v>
      </c>
      <c r="C564" s="10" t="s">
        <v>1225</v>
      </c>
      <c r="D564" s="11" t="n">
        <v>0.00722094907407407</v>
      </c>
      <c r="E564" s="18" t="n">
        <f aca="false">ROUND((D564-$D$5)*86400,2)</f>
        <v>84.87</v>
      </c>
      <c r="F564" s="12" t="n">
        <v>1216</v>
      </c>
      <c r="G564" s="11" t="str">
        <f aca="false">IF(INDEX(選手一覧!$D$7:$D$2738,$F564)="","",INDEX(選手一覧!$D$7:$D$2738,$F564))</f>
        <v/>
      </c>
      <c r="H564" s="12" t="str">
        <f aca="false">IF(INDEX(選手一覧!$E$7:$E$2738,$F564)="","",INDEX(選手一覧!$E$7:$E$2738,$F564))</f>
        <v/>
      </c>
      <c r="I564" s="11" t="str">
        <f aca="false">IF(INDEX(選手一覧!$H$7:$H$2738,$F564)="","",INDEX(選手一覧!$H$7:$H$2738,$F564))</f>
        <v/>
      </c>
      <c r="J564" s="12" t="str">
        <f aca="false">IF(INDEX(選手一覧!$I$7:$I$2738,$F564)="","",INDEX(選手一覧!$I$7:$I$2738,$F564))</f>
        <v/>
      </c>
    </row>
    <row r="565" customFormat="false" ht="15" hidden="false" customHeight="false" outlineLevel="0" collapsed="false">
      <c r="A565" s="12" t="n">
        <v>561</v>
      </c>
      <c r="B565" s="10" t="s">
        <v>1769</v>
      </c>
      <c r="C565" s="10" t="s">
        <v>286</v>
      </c>
      <c r="D565" s="11" t="n">
        <v>0.00722106481481482</v>
      </c>
      <c r="E565" s="18" t="n">
        <f aca="false">ROUND((D565-$D$5)*86400,2)</f>
        <v>84.88</v>
      </c>
      <c r="F565" s="12" t="n">
        <v>1218</v>
      </c>
      <c r="G565" s="11" t="str">
        <f aca="false">IF(INDEX(選手一覧!$D$7:$D$2738,$F565)="","",INDEX(選手一覧!$D$7:$D$2738,$F565))</f>
        <v/>
      </c>
      <c r="H565" s="12" t="str">
        <f aca="false">IF(INDEX(選手一覧!$E$7:$E$2738,$F565)="","",INDEX(選手一覧!$E$7:$E$2738,$F565))</f>
        <v/>
      </c>
      <c r="I565" s="11" t="n">
        <f aca="false">IF(INDEX(選手一覧!$H$7:$H$2738,$F565)="","",INDEX(選手一覧!$H$7:$H$2738,$F565))</f>
        <v>0.00289560185185185</v>
      </c>
      <c r="J565" s="12" t="n">
        <f aca="false">IF(INDEX(選手一覧!$I$7:$I$2738,$F565)="","",INDEX(選手一覧!$I$7:$I$2738,$F565))</f>
        <v>916</v>
      </c>
    </row>
    <row r="566" customFormat="false" ht="15" hidden="false" customHeight="false" outlineLevel="0" collapsed="false">
      <c r="A566" s="12" t="n">
        <v>562</v>
      </c>
      <c r="B566" s="10" t="s">
        <v>1773</v>
      </c>
      <c r="C566" s="10" t="s">
        <v>938</v>
      </c>
      <c r="D566" s="11" t="n">
        <v>0.007221875</v>
      </c>
      <c r="E566" s="18" t="n">
        <f aca="false">ROUND((D566-$D$5)*86400,2)</f>
        <v>84.95</v>
      </c>
      <c r="F566" s="12" t="n">
        <v>1221</v>
      </c>
      <c r="G566" s="11" t="str">
        <f aca="false">IF(INDEX(選手一覧!$D$7:$D$2738,$F566)="","",INDEX(選手一覧!$D$7:$D$2738,$F566))</f>
        <v/>
      </c>
      <c r="H566" s="12" t="str">
        <f aca="false">IF(INDEX(選手一覧!$E$7:$E$2738,$F566)="","",INDEX(選手一覧!$E$7:$E$2738,$F566))</f>
        <v/>
      </c>
      <c r="I566" s="11" t="str">
        <f aca="false">IF(INDEX(選手一覧!$H$7:$H$2738,$F566)="","",INDEX(選手一覧!$H$7:$H$2738,$F566))</f>
        <v/>
      </c>
      <c r="J566" s="12" t="str">
        <f aca="false">IF(INDEX(選手一覧!$I$7:$I$2738,$F566)="","",INDEX(選手一覧!$I$7:$I$2738,$F566))</f>
        <v/>
      </c>
    </row>
    <row r="567" customFormat="false" ht="15" hidden="false" customHeight="false" outlineLevel="0" collapsed="false">
      <c r="A567" s="12" t="n">
        <v>563</v>
      </c>
      <c r="B567" s="10" t="s">
        <v>1778</v>
      </c>
      <c r="C567" s="10" t="s">
        <v>1779</v>
      </c>
      <c r="D567" s="11" t="n">
        <v>0.00722326388888889</v>
      </c>
      <c r="E567" s="18" t="n">
        <f aca="false">ROUND((D567-$D$5)*86400,2)</f>
        <v>85.07</v>
      </c>
      <c r="F567" s="12" t="n">
        <v>1224</v>
      </c>
      <c r="G567" s="11" t="str">
        <f aca="false">IF(INDEX(選手一覧!$D$7:$D$2738,$F567)="","",INDEX(選手一覧!$D$7:$D$2738,$F567))</f>
        <v/>
      </c>
      <c r="H567" s="12" t="str">
        <f aca="false">IF(INDEX(選手一覧!$E$7:$E$2738,$F567)="","",INDEX(選手一覧!$E$7:$E$2738,$F567))</f>
        <v/>
      </c>
      <c r="I567" s="11" t="str">
        <f aca="false">IF(INDEX(選手一覧!$H$7:$H$2738,$F567)="","",INDEX(選手一覧!$H$7:$H$2738,$F567))</f>
        <v/>
      </c>
      <c r="J567" s="12" t="str">
        <f aca="false">IF(INDEX(選手一覧!$I$7:$I$2738,$F567)="","",INDEX(選手一覧!$I$7:$I$2738,$F567))</f>
        <v/>
      </c>
    </row>
    <row r="568" customFormat="false" ht="15" hidden="false" customHeight="false" outlineLevel="0" collapsed="false">
      <c r="A568" s="12" t="n">
        <v>564</v>
      </c>
      <c r="B568" s="10" t="s">
        <v>1785</v>
      </c>
      <c r="C568" s="10" t="s">
        <v>1786</v>
      </c>
      <c r="D568" s="11" t="n">
        <v>0.00722395833333333</v>
      </c>
      <c r="E568" s="18" t="n">
        <f aca="false">ROUND((D568-$D$5)*86400,2)</f>
        <v>85.13</v>
      </c>
      <c r="F568" s="12" t="n">
        <v>1228</v>
      </c>
      <c r="G568" s="11" t="str">
        <f aca="false">IF(INDEX(選手一覧!$D$7:$D$2738,$F568)="","",INDEX(選手一覧!$D$7:$D$2738,$F568))</f>
        <v/>
      </c>
      <c r="H568" s="12" t="str">
        <f aca="false">IF(INDEX(選手一覧!$E$7:$E$2738,$F568)="","",INDEX(選手一覧!$E$7:$E$2738,$F568))</f>
        <v/>
      </c>
      <c r="I568" s="11" t="str">
        <f aca="false">IF(INDEX(選手一覧!$H$7:$H$2738,$F568)="","",INDEX(選手一覧!$H$7:$H$2738,$F568))</f>
        <v/>
      </c>
      <c r="J568" s="12" t="str">
        <f aca="false">IF(INDEX(選手一覧!$I$7:$I$2738,$F568)="","",INDEX(選手一覧!$I$7:$I$2738,$F568))</f>
        <v/>
      </c>
    </row>
    <row r="569" customFormat="false" ht="15" hidden="false" customHeight="false" outlineLevel="0" collapsed="false">
      <c r="A569" s="12" t="n">
        <v>565</v>
      </c>
      <c r="B569" s="10" t="s">
        <v>1787</v>
      </c>
      <c r="C569" s="10" t="s">
        <v>494</v>
      </c>
      <c r="D569" s="11" t="n">
        <v>0.00722488425925926</v>
      </c>
      <c r="E569" s="18" t="n">
        <f aca="false">ROUND((D569-$D$5)*86400,2)</f>
        <v>85.21</v>
      </c>
      <c r="F569" s="12" t="n">
        <v>1229</v>
      </c>
      <c r="G569" s="11" t="n">
        <f aca="false">IF(INDEX(選手一覧!$D$7:$D$2738,$F569)="","",INDEX(選手一覧!$D$7:$D$2738,$F569))</f>
        <v>0.0107952546296296</v>
      </c>
      <c r="H569" s="12" t="n">
        <f aca="false">IF(INDEX(選手一覧!$E$7:$E$2738,$F569)="","",INDEX(選手一覧!$E$7:$E$2738,$F569))</f>
        <v>734</v>
      </c>
      <c r="I569" s="11" t="n">
        <f aca="false">IF(INDEX(選手一覧!$H$7:$H$2738,$F569)="","",INDEX(選手一覧!$H$7:$H$2738,$F569))</f>
        <v>0.00296493055555556</v>
      </c>
      <c r="J569" s="12" t="n">
        <f aca="false">IF(INDEX(選手一覧!$I$7:$I$2738,$F569)="","",INDEX(選手一覧!$I$7:$I$2738,$F569))</f>
        <v>1290</v>
      </c>
    </row>
    <row r="570" customFormat="false" ht="15" hidden="false" customHeight="false" outlineLevel="0" collapsed="false">
      <c r="A570" s="12" t="n">
        <v>566</v>
      </c>
      <c r="B570" s="10" t="s">
        <v>1790</v>
      </c>
      <c r="C570" s="10" t="s">
        <v>519</v>
      </c>
      <c r="D570" s="11" t="n">
        <v>0.00722581018518519</v>
      </c>
      <c r="E570" s="18" t="n">
        <f aca="false">ROUND((D570-$D$5)*86400,2)</f>
        <v>85.29</v>
      </c>
      <c r="F570" s="12" t="n">
        <v>1231</v>
      </c>
      <c r="G570" s="11" t="str">
        <f aca="false">IF(INDEX(選手一覧!$D$7:$D$2738,$F570)="","",INDEX(選手一覧!$D$7:$D$2738,$F570))</f>
        <v/>
      </c>
      <c r="H570" s="12" t="str">
        <f aca="false">IF(INDEX(選手一覧!$E$7:$E$2738,$F570)="","",INDEX(選手一覧!$E$7:$E$2738,$F570))</f>
        <v/>
      </c>
      <c r="I570" s="11" t="str">
        <f aca="false">IF(INDEX(選手一覧!$H$7:$H$2738,$F570)="","",INDEX(選手一覧!$H$7:$H$2738,$F570))</f>
        <v/>
      </c>
      <c r="J570" s="12" t="str">
        <f aca="false">IF(INDEX(選手一覧!$I$7:$I$2738,$F570)="","",INDEX(選手一覧!$I$7:$I$2738,$F570))</f>
        <v/>
      </c>
    </row>
    <row r="571" customFormat="false" ht="15" hidden="false" customHeight="false" outlineLevel="0" collapsed="false">
      <c r="A571" s="12" t="n">
        <v>567</v>
      </c>
      <c r="B571" s="10" t="s">
        <v>1794</v>
      </c>
      <c r="C571" s="10" t="s">
        <v>399</v>
      </c>
      <c r="D571" s="11" t="n">
        <v>0.00722604166666667</v>
      </c>
      <c r="E571" s="18" t="n">
        <f aca="false">ROUND((D571-$D$5)*86400,2)</f>
        <v>85.31</v>
      </c>
      <c r="F571" s="12" t="n">
        <v>1235</v>
      </c>
      <c r="G571" s="11" t="str">
        <f aca="false">IF(INDEX(選手一覧!$D$7:$D$2738,$F571)="","",INDEX(選手一覧!$D$7:$D$2738,$F571))</f>
        <v/>
      </c>
      <c r="H571" s="12" t="str">
        <f aca="false">IF(INDEX(選手一覧!$E$7:$E$2738,$F571)="","",INDEX(選手一覧!$E$7:$E$2738,$F571))</f>
        <v/>
      </c>
      <c r="I571" s="11" t="str">
        <f aca="false">IF(INDEX(選手一覧!$H$7:$H$2738,$F571)="","",INDEX(選手一覧!$H$7:$H$2738,$F571))</f>
        <v/>
      </c>
      <c r="J571" s="12" t="str">
        <f aca="false">IF(INDEX(選手一覧!$I$7:$I$2738,$F571)="","",INDEX(選手一覧!$I$7:$I$2738,$F571))</f>
        <v/>
      </c>
    </row>
    <row r="572" customFormat="false" ht="15" hidden="false" customHeight="false" outlineLevel="0" collapsed="false">
      <c r="A572" s="12" t="n">
        <v>568</v>
      </c>
      <c r="B572" s="10" t="s">
        <v>1796</v>
      </c>
      <c r="C572" s="10" t="s">
        <v>341</v>
      </c>
      <c r="D572" s="11" t="n">
        <v>0.00722638888888889</v>
      </c>
      <c r="E572" s="18" t="n">
        <f aca="false">ROUND((D572-$D$5)*86400,2)</f>
        <v>85.34</v>
      </c>
      <c r="F572" s="12" t="n">
        <v>1237</v>
      </c>
      <c r="G572" s="11" t="str">
        <f aca="false">IF(INDEX(選手一覧!$D$7:$D$2738,$F572)="","",INDEX(選手一覧!$D$7:$D$2738,$F572))</f>
        <v/>
      </c>
      <c r="H572" s="12" t="str">
        <f aca="false">IF(INDEX(選手一覧!$E$7:$E$2738,$F572)="","",INDEX(選手一覧!$E$7:$E$2738,$F572))</f>
        <v/>
      </c>
      <c r="I572" s="11" t="str">
        <f aca="false">IF(INDEX(選手一覧!$H$7:$H$2738,$F572)="","",INDEX(選手一覧!$H$7:$H$2738,$F572))</f>
        <v/>
      </c>
      <c r="J572" s="12" t="str">
        <f aca="false">IF(INDEX(選手一覧!$I$7:$I$2738,$F572)="","",INDEX(選手一覧!$I$7:$I$2738,$F572))</f>
        <v/>
      </c>
    </row>
    <row r="573" customFormat="false" ht="15" hidden="false" customHeight="false" outlineLevel="0" collapsed="false">
      <c r="A573" s="12" t="n">
        <v>569</v>
      </c>
      <c r="B573" s="10" t="s">
        <v>1798</v>
      </c>
      <c r="C573" s="10" t="s">
        <v>1799</v>
      </c>
      <c r="D573" s="11" t="n">
        <v>0.00722743055555556</v>
      </c>
      <c r="E573" s="18" t="n">
        <f aca="false">ROUND((D573-$D$5)*86400,2)</f>
        <v>85.43</v>
      </c>
      <c r="F573" s="12" t="n">
        <v>1239</v>
      </c>
      <c r="G573" s="11" t="str">
        <f aca="false">IF(INDEX(選手一覧!$D$7:$D$2738,$F573)="","",INDEX(選手一覧!$D$7:$D$2738,$F573))</f>
        <v/>
      </c>
      <c r="H573" s="12" t="str">
        <f aca="false">IF(INDEX(選手一覧!$E$7:$E$2738,$F573)="","",INDEX(選手一覧!$E$7:$E$2738,$F573))</f>
        <v/>
      </c>
      <c r="I573" s="11" t="str">
        <f aca="false">IF(INDEX(選手一覧!$H$7:$H$2738,$F573)="","",INDEX(選手一覧!$H$7:$H$2738,$F573))</f>
        <v/>
      </c>
      <c r="J573" s="12" t="str">
        <f aca="false">IF(INDEX(選手一覧!$I$7:$I$2738,$F573)="","",INDEX(選手一覧!$I$7:$I$2738,$F573))</f>
        <v/>
      </c>
    </row>
    <row r="574" customFormat="false" ht="15" hidden="false" customHeight="false" outlineLevel="0" collapsed="false">
      <c r="A574" s="12" t="n">
        <v>570</v>
      </c>
      <c r="B574" s="10" t="s">
        <v>1800</v>
      </c>
      <c r="C574" s="10" t="s">
        <v>1801</v>
      </c>
      <c r="D574" s="11" t="n">
        <v>0.00722881944444445</v>
      </c>
      <c r="E574" s="18" t="n">
        <f aca="false">ROUND((D574-$D$5)*86400,2)</f>
        <v>85.55</v>
      </c>
      <c r="F574" s="12" t="n">
        <v>1240</v>
      </c>
      <c r="G574" s="11" t="str">
        <f aca="false">IF(INDEX(選手一覧!$D$7:$D$2738,$F574)="","",INDEX(選手一覧!$D$7:$D$2738,$F574))</f>
        <v/>
      </c>
      <c r="H574" s="12" t="str">
        <f aca="false">IF(INDEX(選手一覧!$E$7:$E$2738,$F574)="","",INDEX(選手一覧!$E$7:$E$2738,$F574))</f>
        <v/>
      </c>
      <c r="I574" s="11" t="str">
        <f aca="false">IF(INDEX(選手一覧!$H$7:$H$2738,$F574)="","",INDEX(選手一覧!$H$7:$H$2738,$F574))</f>
        <v/>
      </c>
      <c r="J574" s="12" t="str">
        <f aca="false">IF(INDEX(選手一覧!$I$7:$I$2738,$F574)="","",INDEX(選手一覧!$I$7:$I$2738,$F574))</f>
        <v/>
      </c>
    </row>
    <row r="575" customFormat="false" ht="15" hidden="false" customHeight="false" outlineLevel="0" collapsed="false">
      <c r="A575" s="12" t="n">
        <v>571</v>
      </c>
      <c r="B575" s="10" t="s">
        <v>1803</v>
      </c>
      <c r="C575" s="10" t="s">
        <v>1804</v>
      </c>
      <c r="D575" s="11" t="n">
        <v>0.00722905092592593</v>
      </c>
      <c r="E575" s="18" t="n">
        <f aca="false">ROUND((D575-$D$5)*86400,2)</f>
        <v>85.57</v>
      </c>
      <c r="F575" s="12" t="n">
        <v>1242</v>
      </c>
      <c r="G575" s="11" t="str">
        <f aca="false">IF(INDEX(選手一覧!$D$7:$D$2738,$F575)="","",INDEX(選手一覧!$D$7:$D$2738,$F575))</f>
        <v/>
      </c>
      <c r="H575" s="12" t="str">
        <f aca="false">IF(INDEX(選手一覧!$E$7:$E$2738,$F575)="","",INDEX(選手一覧!$E$7:$E$2738,$F575))</f>
        <v/>
      </c>
      <c r="I575" s="11" t="str">
        <f aca="false">IF(INDEX(選手一覧!$H$7:$H$2738,$F575)="","",INDEX(選手一覧!$H$7:$H$2738,$F575))</f>
        <v/>
      </c>
      <c r="J575" s="12" t="str">
        <f aca="false">IF(INDEX(選手一覧!$I$7:$I$2738,$F575)="","",INDEX(選手一覧!$I$7:$I$2738,$F575))</f>
        <v/>
      </c>
    </row>
    <row r="576" customFormat="false" ht="15" hidden="false" customHeight="false" outlineLevel="0" collapsed="false">
      <c r="A576" s="12" t="n">
        <v>572</v>
      </c>
      <c r="B576" s="10" t="s">
        <v>1806</v>
      </c>
      <c r="C576" s="10" t="s">
        <v>1807</v>
      </c>
      <c r="D576" s="11" t="n">
        <v>0.00722916666666667</v>
      </c>
      <c r="E576" s="18" t="n">
        <f aca="false">ROUND((D576-$D$5)*86400,2)</f>
        <v>85.58</v>
      </c>
      <c r="F576" s="12" t="n">
        <v>1244</v>
      </c>
      <c r="G576" s="11" t="str">
        <f aca="false">IF(INDEX(選手一覧!$D$7:$D$2738,$F576)="","",INDEX(選手一覧!$D$7:$D$2738,$F576))</f>
        <v/>
      </c>
      <c r="H576" s="12" t="str">
        <f aca="false">IF(INDEX(選手一覧!$E$7:$E$2738,$F576)="","",INDEX(選手一覧!$E$7:$E$2738,$F576))</f>
        <v/>
      </c>
      <c r="I576" s="11" t="str">
        <f aca="false">IF(INDEX(選手一覧!$H$7:$H$2738,$F576)="","",INDEX(選手一覧!$H$7:$H$2738,$F576))</f>
        <v/>
      </c>
      <c r="J576" s="12" t="str">
        <f aca="false">IF(INDEX(選手一覧!$I$7:$I$2738,$F576)="","",INDEX(選手一覧!$I$7:$I$2738,$F576))</f>
        <v/>
      </c>
    </row>
    <row r="577" customFormat="false" ht="15" hidden="false" customHeight="false" outlineLevel="0" collapsed="false">
      <c r="A577" s="12" t="n">
        <v>573</v>
      </c>
      <c r="B577" s="10" t="s">
        <v>1808</v>
      </c>
      <c r="C577" s="10" t="s">
        <v>494</v>
      </c>
      <c r="D577" s="11" t="n">
        <v>0.00722951388888889</v>
      </c>
      <c r="E577" s="18" t="n">
        <f aca="false">ROUND((D577-$D$5)*86400,2)</f>
        <v>85.61</v>
      </c>
      <c r="F577" s="12" t="n">
        <v>1245</v>
      </c>
      <c r="G577" s="11" t="str">
        <f aca="false">IF(INDEX(選手一覧!$D$7:$D$2738,$F577)="","",INDEX(選手一覧!$D$7:$D$2738,$F577))</f>
        <v/>
      </c>
      <c r="H577" s="12" t="str">
        <f aca="false">IF(INDEX(選手一覧!$E$7:$E$2738,$F577)="","",INDEX(選手一覧!$E$7:$E$2738,$F577))</f>
        <v/>
      </c>
      <c r="I577" s="11" t="n">
        <f aca="false">IF(INDEX(選手一覧!$H$7:$H$2738,$F577)="","",INDEX(選手一覧!$H$7:$H$2738,$F577))</f>
        <v>0.00286990740740741</v>
      </c>
      <c r="J577" s="12" t="n">
        <f aca="false">IF(INDEX(選手一覧!$I$7:$I$2738,$F577)="","",INDEX(選手一覧!$I$7:$I$2738,$F577))</f>
        <v>695</v>
      </c>
    </row>
    <row r="578" customFormat="false" ht="15" hidden="false" customHeight="false" outlineLevel="0" collapsed="false">
      <c r="A578" s="12" t="n">
        <v>574</v>
      </c>
      <c r="B578" s="10" t="s">
        <v>1049</v>
      </c>
      <c r="C578" s="10" t="s">
        <v>437</v>
      </c>
      <c r="D578" s="11" t="n">
        <v>0.00723009259259259</v>
      </c>
      <c r="E578" s="18" t="n">
        <f aca="false">ROUND((D578-$D$5)*86400,2)</f>
        <v>85.66</v>
      </c>
      <c r="F578" s="12" t="n">
        <v>703</v>
      </c>
      <c r="G578" s="11" t="n">
        <f aca="false">IF(INDEX(選手一覧!$D$7:$D$2738,$F578)="","",INDEX(選手一覧!$D$7:$D$2738,$F578))</f>
        <v>0.0104483796296296</v>
      </c>
      <c r="H578" s="12" t="n">
        <f aca="false">IF(INDEX(選手一覧!$E$7:$E$2738,$F578)="","",INDEX(選手一覧!$E$7:$E$2738,$F578))</f>
        <v>302</v>
      </c>
      <c r="I578" s="11" t="n">
        <f aca="false">IF(INDEX(選手一覧!$H$7:$H$2738,$F578)="","",INDEX(選手一覧!$H$7:$H$2738,$F578))</f>
        <v>0.00286956018518519</v>
      </c>
      <c r="J578" s="12" t="n">
        <f aca="false">IF(INDEX(選手一覧!$I$7:$I$2738,$F578)="","",INDEX(選手一覧!$I$7:$I$2738,$F578))</f>
        <v>691</v>
      </c>
    </row>
    <row r="579" customFormat="false" ht="15" hidden="false" customHeight="false" outlineLevel="0" collapsed="false">
      <c r="A579" s="12" t="n">
        <v>575</v>
      </c>
      <c r="B579" s="10" t="s">
        <v>1810</v>
      </c>
      <c r="C579" s="10" t="s">
        <v>1811</v>
      </c>
      <c r="D579" s="11" t="n">
        <v>0.00723148148148148</v>
      </c>
      <c r="E579" s="18" t="n">
        <f aca="false">ROUND((D579-$D$5)*86400,2)</f>
        <v>85.78</v>
      </c>
      <c r="F579" s="12" t="n">
        <v>1247</v>
      </c>
      <c r="G579" s="11" t="n">
        <f aca="false">IF(INDEX(選手一覧!$D$7:$D$2738,$F579)="","",INDEX(選手一覧!$D$7:$D$2738,$F579))</f>
        <v>0.0109866898148148</v>
      </c>
      <c r="H579" s="12" t="n">
        <f aca="false">IF(INDEX(選手一覧!$E$7:$E$2738,$F579)="","",INDEX(選手一覧!$E$7:$E$2738,$F579))</f>
        <v>1074</v>
      </c>
      <c r="I579" s="11" t="n">
        <f aca="false">IF(INDEX(選手一覧!$H$7:$H$2738,$F579)="","",INDEX(選手一覧!$H$7:$H$2738,$F579))</f>
        <v>0.00285983796296296</v>
      </c>
      <c r="J579" s="12" t="n">
        <f aca="false">IF(INDEX(選手一覧!$I$7:$I$2738,$F579)="","",INDEX(選手一覧!$I$7:$I$2738,$F579))</f>
        <v>632</v>
      </c>
    </row>
    <row r="580" customFormat="false" ht="15" hidden="false" customHeight="false" outlineLevel="0" collapsed="false">
      <c r="A580" s="12" t="n">
        <v>576</v>
      </c>
      <c r="B580" s="10" t="s">
        <v>1160</v>
      </c>
      <c r="C580" s="10" t="s">
        <v>549</v>
      </c>
      <c r="D580" s="11" t="n">
        <v>0.00723171296296296</v>
      </c>
      <c r="E580" s="18" t="n">
        <f aca="false">ROUND((D580-$D$5)*86400,2)</f>
        <v>85.8</v>
      </c>
      <c r="F580" s="12" t="n">
        <v>785</v>
      </c>
      <c r="G580" s="11" t="n">
        <f aca="false">IF(INDEX(選手一覧!$D$7:$D$2738,$F580)="","",INDEX(選手一覧!$D$7:$D$2738,$F580))</f>
        <v>0.0106128472222222</v>
      </c>
      <c r="H580" s="12" t="n">
        <f aca="false">IF(INDEX(選手一覧!$E$7:$E$2738,$F580)="","",INDEX(選手一覧!$E$7:$E$2738,$F580))</f>
        <v>482</v>
      </c>
      <c r="I580" s="11" t="n">
        <f aca="false">IF(INDEX(選手一覧!$H$7:$H$2738,$F580)="","",INDEX(選手一覧!$H$7:$H$2738,$F580))</f>
        <v>0.00281458333333333</v>
      </c>
      <c r="J580" s="12" t="n">
        <f aca="false">IF(INDEX(選手一覧!$I$7:$I$2738,$F580)="","",INDEX(選手一覧!$I$7:$I$2738,$F580))</f>
        <v>341</v>
      </c>
    </row>
    <row r="581" customFormat="false" ht="15" hidden="false" customHeight="false" outlineLevel="0" collapsed="false">
      <c r="A581" s="12" t="n">
        <v>577</v>
      </c>
      <c r="B581" s="10" t="s">
        <v>1817</v>
      </c>
      <c r="C581" s="10" t="s">
        <v>844</v>
      </c>
      <c r="D581" s="11" t="n">
        <v>0.00723217592592593</v>
      </c>
      <c r="E581" s="18" t="n">
        <f aca="false">ROUND((D581-$D$5)*86400,2)</f>
        <v>85.84</v>
      </c>
      <c r="F581" s="12" t="n">
        <v>1252</v>
      </c>
      <c r="G581" s="11" t="str">
        <f aca="false">IF(INDEX(選手一覧!$D$7:$D$2738,$F581)="","",INDEX(選手一覧!$D$7:$D$2738,$F581))</f>
        <v/>
      </c>
      <c r="H581" s="12" t="str">
        <f aca="false">IF(INDEX(選手一覧!$E$7:$E$2738,$F581)="","",INDEX(選手一覧!$E$7:$E$2738,$F581))</f>
        <v/>
      </c>
      <c r="I581" s="11" t="str">
        <f aca="false">IF(INDEX(選手一覧!$H$7:$H$2738,$F581)="","",INDEX(選手一覧!$H$7:$H$2738,$F581))</f>
        <v/>
      </c>
      <c r="J581" s="12" t="str">
        <f aca="false">IF(INDEX(選手一覧!$I$7:$I$2738,$F581)="","",INDEX(選手一覧!$I$7:$I$2738,$F581))</f>
        <v/>
      </c>
    </row>
    <row r="582" customFormat="false" ht="15" hidden="false" customHeight="false" outlineLevel="0" collapsed="false">
      <c r="A582" s="12" t="n">
        <v>578</v>
      </c>
      <c r="B582" s="10" t="s">
        <v>1820</v>
      </c>
      <c r="C582" s="10" t="s">
        <v>1821</v>
      </c>
      <c r="D582" s="11" t="n">
        <v>0.00723321759259259</v>
      </c>
      <c r="E582" s="18" t="n">
        <f aca="false">ROUND((D582-$D$5)*86400,2)</f>
        <v>85.93</v>
      </c>
      <c r="F582" s="12" t="n">
        <v>1254</v>
      </c>
      <c r="G582" s="11" t="str">
        <f aca="false">IF(INDEX(選手一覧!$D$7:$D$2738,$F582)="","",INDEX(選手一覧!$D$7:$D$2738,$F582))</f>
        <v/>
      </c>
      <c r="H582" s="12" t="str">
        <f aca="false">IF(INDEX(選手一覧!$E$7:$E$2738,$F582)="","",INDEX(選手一覧!$E$7:$E$2738,$F582))</f>
        <v/>
      </c>
      <c r="I582" s="11" t="str">
        <f aca="false">IF(INDEX(選手一覧!$H$7:$H$2738,$F582)="","",INDEX(選手一覧!$H$7:$H$2738,$F582))</f>
        <v/>
      </c>
      <c r="J582" s="12" t="str">
        <f aca="false">IF(INDEX(選手一覧!$I$7:$I$2738,$F582)="","",INDEX(選手一覧!$I$7:$I$2738,$F582))</f>
        <v/>
      </c>
    </row>
    <row r="583" customFormat="false" ht="15" hidden="false" customHeight="false" outlineLevel="0" collapsed="false">
      <c r="A583" s="12" t="n">
        <v>579</v>
      </c>
      <c r="B583" s="10" t="s">
        <v>1822</v>
      </c>
      <c r="C583" s="10" t="s">
        <v>758</v>
      </c>
      <c r="D583" s="11" t="n">
        <v>0.0072337962962963</v>
      </c>
      <c r="E583" s="18" t="n">
        <f aca="false">ROUND((D583-$D$5)*86400,2)</f>
        <v>85.98</v>
      </c>
      <c r="F583" s="12" t="n">
        <v>1255</v>
      </c>
      <c r="G583" s="11" t="str">
        <f aca="false">IF(INDEX(選手一覧!$D$7:$D$2738,$F583)="","",INDEX(選手一覧!$D$7:$D$2738,$F583))</f>
        <v/>
      </c>
      <c r="H583" s="12" t="str">
        <f aca="false">IF(INDEX(選手一覧!$E$7:$E$2738,$F583)="","",INDEX(選手一覧!$E$7:$E$2738,$F583))</f>
        <v/>
      </c>
      <c r="I583" s="11" t="str">
        <f aca="false">IF(INDEX(選手一覧!$H$7:$H$2738,$F583)="","",INDEX(選手一覧!$H$7:$H$2738,$F583))</f>
        <v/>
      </c>
      <c r="J583" s="12" t="str">
        <f aca="false">IF(INDEX(選手一覧!$I$7:$I$2738,$F583)="","",INDEX(選手一覧!$I$7:$I$2738,$F583))</f>
        <v/>
      </c>
    </row>
    <row r="584" customFormat="false" ht="15" hidden="false" customHeight="false" outlineLevel="0" collapsed="false">
      <c r="A584" s="12" t="n">
        <v>580</v>
      </c>
      <c r="B584" s="10" t="s">
        <v>1824</v>
      </c>
      <c r="C584" s="10" t="s">
        <v>1825</v>
      </c>
      <c r="D584" s="11" t="n">
        <v>0.00723460648148148</v>
      </c>
      <c r="E584" s="18" t="n">
        <f aca="false">ROUND((D584-$D$5)*86400,2)</f>
        <v>86.05</v>
      </c>
      <c r="F584" s="12" t="n">
        <v>1257</v>
      </c>
      <c r="G584" s="11" t="str">
        <f aca="false">IF(INDEX(選手一覧!$D$7:$D$2738,$F584)="","",INDEX(選手一覧!$D$7:$D$2738,$F584))</f>
        <v/>
      </c>
      <c r="H584" s="12" t="str">
        <f aca="false">IF(INDEX(選手一覧!$E$7:$E$2738,$F584)="","",INDEX(選手一覧!$E$7:$E$2738,$F584))</f>
        <v/>
      </c>
      <c r="I584" s="11" t="str">
        <f aca="false">IF(INDEX(選手一覧!$H$7:$H$2738,$F584)="","",INDEX(選手一覧!$H$7:$H$2738,$F584))</f>
        <v/>
      </c>
      <c r="J584" s="12" t="str">
        <f aca="false">IF(INDEX(選手一覧!$I$7:$I$2738,$F584)="","",INDEX(選手一覧!$I$7:$I$2738,$F584))</f>
        <v/>
      </c>
    </row>
    <row r="585" customFormat="false" ht="15" hidden="false" customHeight="false" outlineLevel="0" collapsed="false">
      <c r="A585" s="12" t="n">
        <v>581</v>
      </c>
      <c r="B585" s="10" t="s">
        <v>1827</v>
      </c>
      <c r="C585" s="10" t="s">
        <v>1828</v>
      </c>
      <c r="D585" s="11" t="n">
        <v>0.00723611111111111</v>
      </c>
      <c r="E585" s="18" t="n">
        <f aca="false">ROUND((D585-$D$5)*86400,2)</f>
        <v>86.18</v>
      </c>
      <c r="F585" s="12" t="n">
        <v>1259</v>
      </c>
      <c r="G585" s="11" t="n">
        <f aca="false">IF(INDEX(選手一覧!$D$7:$D$2738,$F585)="","",INDEX(選手一覧!$D$7:$D$2738,$F585))</f>
        <v>0.0109680555555556</v>
      </c>
      <c r="H585" s="12" t="n">
        <f aca="false">IF(INDEX(選手一覧!$E$7:$E$2738,$F585)="","",INDEX(選手一覧!$E$7:$E$2738,$F585))</f>
        <v>1033</v>
      </c>
      <c r="I585" s="11" t="n">
        <f aca="false">IF(INDEX(選手一覧!$H$7:$H$2738,$F585)="","",INDEX(選手一覧!$H$7:$H$2738,$F585))</f>
        <v>0.00288900462962963</v>
      </c>
      <c r="J585" s="12" t="n">
        <f aca="false">IF(INDEX(選手一覧!$I$7:$I$2738,$F585)="","",INDEX(選手一覧!$I$7:$I$2738,$F585))</f>
        <v>855</v>
      </c>
    </row>
    <row r="586" customFormat="false" ht="15" hidden="false" customHeight="false" outlineLevel="0" collapsed="false">
      <c r="A586" s="12" t="n">
        <v>582</v>
      </c>
      <c r="B586" s="10" t="s">
        <v>1831</v>
      </c>
      <c r="C586" s="10" t="s">
        <v>603</v>
      </c>
      <c r="D586" s="11" t="n">
        <v>0.00723634259259259</v>
      </c>
      <c r="E586" s="18" t="n">
        <f aca="false">ROUND((D586-$D$5)*86400,2)</f>
        <v>86.2</v>
      </c>
      <c r="F586" s="12" t="n">
        <v>1261</v>
      </c>
      <c r="G586" s="11" t="str">
        <f aca="false">IF(INDEX(選手一覧!$D$7:$D$2738,$F586)="","",INDEX(選手一覧!$D$7:$D$2738,$F586))</f>
        <v/>
      </c>
      <c r="H586" s="12" t="str">
        <f aca="false">IF(INDEX(選手一覧!$E$7:$E$2738,$F586)="","",INDEX(選手一覧!$E$7:$E$2738,$F586))</f>
        <v/>
      </c>
      <c r="I586" s="11" t="str">
        <f aca="false">IF(INDEX(選手一覧!$H$7:$H$2738,$F586)="","",INDEX(選手一覧!$H$7:$H$2738,$F586))</f>
        <v/>
      </c>
      <c r="J586" s="12" t="str">
        <f aca="false">IF(INDEX(選手一覧!$I$7:$I$2738,$F586)="","",INDEX(選手一覧!$I$7:$I$2738,$F586))</f>
        <v/>
      </c>
    </row>
    <row r="587" customFormat="false" ht="15" hidden="false" customHeight="false" outlineLevel="0" collapsed="false">
      <c r="A587" s="12" t="n">
        <v>583</v>
      </c>
      <c r="B587" s="10" t="s">
        <v>1833</v>
      </c>
      <c r="C587" s="10" t="s">
        <v>1834</v>
      </c>
      <c r="D587" s="11" t="n">
        <v>0.00723761574074074</v>
      </c>
      <c r="E587" s="18" t="n">
        <f aca="false">ROUND((D587-$D$5)*86400,2)</f>
        <v>86.31</v>
      </c>
      <c r="F587" s="12" t="n">
        <v>1263</v>
      </c>
      <c r="G587" s="11" t="str">
        <f aca="false">IF(INDEX(選手一覧!$D$7:$D$2738,$F587)="","",INDEX(選手一覧!$D$7:$D$2738,$F587))</f>
        <v/>
      </c>
      <c r="H587" s="12" t="str">
        <f aca="false">IF(INDEX(選手一覧!$E$7:$E$2738,$F587)="","",INDEX(選手一覧!$E$7:$E$2738,$F587))</f>
        <v/>
      </c>
      <c r="I587" s="11" t="str">
        <f aca="false">IF(INDEX(選手一覧!$H$7:$H$2738,$F587)="","",INDEX(選手一覧!$H$7:$H$2738,$F587))</f>
        <v/>
      </c>
      <c r="J587" s="12" t="str">
        <f aca="false">IF(INDEX(選手一覧!$I$7:$I$2738,$F587)="","",INDEX(選手一覧!$I$7:$I$2738,$F587))</f>
        <v/>
      </c>
    </row>
    <row r="588" customFormat="false" ht="15" hidden="false" customHeight="false" outlineLevel="0" collapsed="false">
      <c r="A588" s="12" t="n">
        <v>584</v>
      </c>
      <c r="B588" s="10" t="s">
        <v>1836</v>
      </c>
      <c r="C588" s="10" t="s">
        <v>1837</v>
      </c>
      <c r="D588" s="11" t="n">
        <v>0.0072380787037037</v>
      </c>
      <c r="E588" s="18" t="n">
        <f aca="false">ROUND((D588-$D$5)*86400,2)</f>
        <v>86.35</v>
      </c>
      <c r="F588" s="12" t="n">
        <v>1265</v>
      </c>
      <c r="G588" s="11" t="str">
        <f aca="false">IF(INDEX(選手一覧!$D$7:$D$2738,$F588)="","",INDEX(選手一覧!$D$7:$D$2738,$F588))</f>
        <v/>
      </c>
      <c r="H588" s="12" t="str">
        <f aca="false">IF(INDEX(選手一覧!$E$7:$E$2738,$F588)="","",INDEX(選手一覧!$E$7:$E$2738,$F588))</f>
        <v/>
      </c>
      <c r="I588" s="11" t="str">
        <f aca="false">IF(INDEX(選手一覧!$H$7:$H$2738,$F588)="","",INDEX(選手一覧!$H$7:$H$2738,$F588))</f>
        <v/>
      </c>
      <c r="J588" s="12" t="str">
        <f aca="false">IF(INDEX(選手一覧!$I$7:$I$2738,$F588)="","",INDEX(選手一覧!$I$7:$I$2738,$F588))</f>
        <v/>
      </c>
    </row>
    <row r="589" customFormat="false" ht="15" hidden="false" customHeight="false" outlineLevel="0" collapsed="false">
      <c r="A589" s="12" t="n">
        <v>585</v>
      </c>
      <c r="B589" s="10" t="s">
        <v>1840</v>
      </c>
      <c r="C589" s="10" t="s">
        <v>1841</v>
      </c>
      <c r="D589" s="11" t="n">
        <v>0.00723854166666667</v>
      </c>
      <c r="E589" s="18" t="n">
        <f aca="false">ROUND((D589-$D$5)*86400,2)</f>
        <v>86.39</v>
      </c>
      <c r="F589" s="12" t="n">
        <v>1267</v>
      </c>
      <c r="G589" s="11" t="str">
        <f aca="false">IF(INDEX(選手一覧!$D$7:$D$2738,$F589)="","",INDEX(選手一覧!$D$7:$D$2738,$F589))</f>
        <v/>
      </c>
      <c r="H589" s="12" t="str">
        <f aca="false">IF(INDEX(選手一覧!$E$7:$E$2738,$F589)="","",INDEX(選手一覧!$E$7:$E$2738,$F589))</f>
        <v/>
      </c>
      <c r="I589" s="11" t="str">
        <f aca="false">IF(INDEX(選手一覧!$H$7:$H$2738,$F589)="","",INDEX(選手一覧!$H$7:$H$2738,$F589))</f>
        <v/>
      </c>
      <c r="J589" s="12" t="str">
        <f aca="false">IF(INDEX(選手一覧!$I$7:$I$2738,$F589)="","",INDEX(選手一覧!$I$7:$I$2738,$F589))</f>
        <v/>
      </c>
    </row>
    <row r="590" customFormat="false" ht="15" hidden="false" customHeight="false" outlineLevel="0" collapsed="false">
      <c r="A590" s="12" t="n">
        <v>586</v>
      </c>
      <c r="B590" s="10" t="s">
        <v>1842</v>
      </c>
      <c r="C590" s="10" t="s">
        <v>1843</v>
      </c>
      <c r="D590" s="11" t="n">
        <v>0.00723888888888889</v>
      </c>
      <c r="E590" s="18" t="n">
        <f aca="false">ROUND((D590-$D$5)*86400,2)</f>
        <v>86.42</v>
      </c>
      <c r="F590" s="12" t="n">
        <v>1268</v>
      </c>
      <c r="G590" s="11" t="n">
        <f aca="false">IF(INDEX(選手一覧!$D$7:$D$2738,$F590)="","",INDEX(選手一覧!$D$7:$D$2738,$F590))</f>
        <v>0.0110297453703704</v>
      </c>
      <c r="H590" s="12" t="n">
        <f aca="false">IF(INDEX(選手一覧!$E$7:$E$2738,$F590)="","",INDEX(選手一覧!$E$7:$E$2738,$F590))</f>
        <v>1151</v>
      </c>
      <c r="I590" s="11" t="n">
        <f aca="false">IF(INDEX(選手一覧!$H$7:$H$2738,$F590)="","",INDEX(選手一覧!$H$7:$H$2738,$F590))</f>
        <v>0.00292025462962963</v>
      </c>
      <c r="J590" s="12" t="n">
        <f aca="false">IF(INDEX(選手一覧!$I$7:$I$2738,$F590)="","",INDEX(選手一覧!$I$7:$I$2738,$F590))</f>
        <v>1100</v>
      </c>
    </row>
    <row r="591" customFormat="false" ht="15" hidden="false" customHeight="false" outlineLevel="0" collapsed="false">
      <c r="A591" s="12" t="n">
        <v>587</v>
      </c>
      <c r="B591" s="10" t="s">
        <v>1846</v>
      </c>
      <c r="C591" s="10" t="s">
        <v>874</v>
      </c>
      <c r="D591" s="11" t="n">
        <v>0.00724212962962963</v>
      </c>
      <c r="E591" s="18" t="n">
        <f aca="false">ROUND((D591-$D$5)*86400,2)</f>
        <v>86.7</v>
      </c>
      <c r="F591" s="12" t="n">
        <v>1271</v>
      </c>
      <c r="G591" s="11" t="str">
        <f aca="false">IF(INDEX(選手一覧!$D$7:$D$2738,$F591)="","",INDEX(選手一覧!$D$7:$D$2738,$F591))</f>
        <v/>
      </c>
      <c r="H591" s="12" t="str">
        <f aca="false">IF(INDEX(選手一覧!$E$7:$E$2738,$F591)="","",INDEX(選手一覧!$E$7:$E$2738,$F591))</f>
        <v/>
      </c>
      <c r="I591" s="11" t="str">
        <f aca="false">IF(INDEX(選手一覧!$H$7:$H$2738,$F591)="","",INDEX(選手一覧!$H$7:$H$2738,$F591))</f>
        <v/>
      </c>
      <c r="J591" s="12" t="str">
        <f aca="false">IF(INDEX(選手一覧!$I$7:$I$2738,$F591)="","",INDEX(選手一覧!$I$7:$I$2738,$F591))</f>
        <v/>
      </c>
    </row>
    <row r="592" customFormat="false" ht="15" hidden="false" customHeight="false" outlineLevel="0" collapsed="false">
      <c r="A592" s="12" t="n">
        <v>588</v>
      </c>
      <c r="B592" s="10" t="s">
        <v>1593</v>
      </c>
      <c r="C592" s="10" t="s">
        <v>614</v>
      </c>
      <c r="D592" s="11" t="n">
        <v>0.00724259259259259</v>
      </c>
      <c r="E592" s="18" t="n">
        <f aca="false">ROUND((D592-$D$5)*86400,2)</f>
        <v>86.74</v>
      </c>
      <c r="F592" s="12" t="n">
        <v>1100</v>
      </c>
      <c r="G592" s="11" t="n">
        <f aca="false">IF(INDEX(選手一覧!$D$7:$D$2738,$F592)="","",INDEX(選手一覧!$D$7:$D$2738,$F592))</f>
        <v>0.0107611111111111</v>
      </c>
      <c r="H592" s="12" t="n">
        <f aca="false">IF(INDEX(選手一覧!$E$7:$E$2738,$F592)="","",INDEX(選手一覧!$E$7:$E$2738,$F592))</f>
        <v>683</v>
      </c>
      <c r="I592" s="11" t="n">
        <f aca="false">IF(INDEX(選手一覧!$H$7:$H$2738,$F592)="","",INDEX(選手一覧!$H$7:$H$2738,$F592))</f>
        <v>0.00284027777777778</v>
      </c>
      <c r="J592" s="12" t="n">
        <f aca="false">IF(INDEX(選手一覧!$I$7:$I$2738,$F592)="","",INDEX(選手一覧!$I$7:$I$2738,$F592))</f>
        <v>498</v>
      </c>
    </row>
    <row r="593" customFormat="false" ht="15" hidden="false" customHeight="false" outlineLevel="0" collapsed="false">
      <c r="A593" s="12" t="n">
        <v>589</v>
      </c>
      <c r="B593" s="10" t="s">
        <v>1848</v>
      </c>
      <c r="C593" s="10" t="s">
        <v>1849</v>
      </c>
      <c r="D593" s="11" t="n">
        <v>0.00724328703703704</v>
      </c>
      <c r="E593" s="18" t="n">
        <f aca="false">ROUND((D593-$D$5)*86400,2)</f>
        <v>86.8</v>
      </c>
      <c r="F593" s="12" t="n">
        <v>1273</v>
      </c>
      <c r="G593" s="11" t="str">
        <f aca="false">IF(INDEX(選手一覧!$D$7:$D$2738,$F593)="","",INDEX(選手一覧!$D$7:$D$2738,$F593))</f>
        <v/>
      </c>
      <c r="H593" s="12" t="str">
        <f aca="false">IF(INDEX(選手一覧!$E$7:$E$2738,$F593)="","",INDEX(選手一覧!$E$7:$E$2738,$F593))</f>
        <v/>
      </c>
      <c r="I593" s="11" t="str">
        <f aca="false">IF(INDEX(選手一覧!$H$7:$H$2738,$F593)="","",INDEX(選手一覧!$H$7:$H$2738,$F593))</f>
        <v/>
      </c>
      <c r="J593" s="12" t="str">
        <f aca="false">IF(INDEX(選手一覧!$I$7:$I$2738,$F593)="","",INDEX(選手一覧!$I$7:$I$2738,$F593))</f>
        <v/>
      </c>
    </row>
    <row r="594" customFormat="false" ht="15" hidden="false" customHeight="false" outlineLevel="0" collapsed="false">
      <c r="A594" s="12" t="n">
        <v>590</v>
      </c>
      <c r="B594" s="10" t="s">
        <v>1850</v>
      </c>
      <c r="C594" s="10" t="s">
        <v>282</v>
      </c>
      <c r="D594" s="11" t="n">
        <v>0.00724328703703704</v>
      </c>
      <c r="E594" s="18" t="n">
        <f aca="false">ROUND((D594-$D$5)*86400,2)</f>
        <v>86.8</v>
      </c>
      <c r="F594" s="12" t="n">
        <v>1274</v>
      </c>
      <c r="G594" s="11" t="str">
        <f aca="false">IF(INDEX(選手一覧!$D$7:$D$2738,$F594)="","",INDEX(選手一覧!$D$7:$D$2738,$F594))</f>
        <v/>
      </c>
      <c r="H594" s="12" t="str">
        <f aca="false">IF(INDEX(選手一覧!$E$7:$E$2738,$F594)="","",INDEX(選手一覧!$E$7:$E$2738,$F594))</f>
        <v/>
      </c>
      <c r="I594" s="11" t="str">
        <f aca="false">IF(INDEX(選手一覧!$H$7:$H$2738,$F594)="","",INDEX(選手一覧!$H$7:$H$2738,$F594))</f>
        <v/>
      </c>
      <c r="J594" s="12" t="str">
        <f aca="false">IF(INDEX(選手一覧!$I$7:$I$2738,$F594)="","",INDEX(選手一覧!$I$7:$I$2738,$F594))</f>
        <v/>
      </c>
    </row>
    <row r="595" customFormat="false" ht="15" hidden="false" customHeight="false" outlineLevel="0" collapsed="false">
      <c r="A595" s="12" t="n">
        <v>591</v>
      </c>
      <c r="B595" s="10" t="s">
        <v>1854</v>
      </c>
      <c r="C595" s="10" t="s">
        <v>1855</v>
      </c>
      <c r="D595" s="11" t="n">
        <v>0.0072443287037037</v>
      </c>
      <c r="E595" s="18" t="n">
        <f aca="false">ROUND((D595-$D$5)*86400,2)</f>
        <v>86.89</v>
      </c>
      <c r="F595" s="12" t="n">
        <v>1277</v>
      </c>
      <c r="G595" s="11" t="str">
        <f aca="false">IF(INDEX(選手一覧!$D$7:$D$2738,$F595)="","",INDEX(選手一覧!$D$7:$D$2738,$F595))</f>
        <v/>
      </c>
      <c r="H595" s="12" t="str">
        <f aca="false">IF(INDEX(選手一覧!$E$7:$E$2738,$F595)="","",INDEX(選手一覧!$E$7:$E$2738,$F595))</f>
        <v/>
      </c>
      <c r="I595" s="11" t="str">
        <f aca="false">IF(INDEX(選手一覧!$H$7:$H$2738,$F595)="","",INDEX(選手一覧!$H$7:$H$2738,$F595))</f>
        <v/>
      </c>
      <c r="J595" s="12" t="str">
        <f aca="false">IF(INDEX(選手一覧!$I$7:$I$2738,$F595)="","",INDEX(選手一覧!$I$7:$I$2738,$F595))</f>
        <v/>
      </c>
    </row>
    <row r="596" customFormat="false" ht="15" hidden="false" customHeight="false" outlineLevel="0" collapsed="false">
      <c r="A596" s="12" t="n">
        <v>592</v>
      </c>
      <c r="B596" s="10" t="s">
        <v>1856</v>
      </c>
      <c r="C596" s="10" t="s">
        <v>1857</v>
      </c>
      <c r="D596" s="11" t="n">
        <v>0.00724618055555556</v>
      </c>
      <c r="E596" s="18" t="n">
        <f aca="false">ROUND((D596-$D$5)*86400,2)</f>
        <v>87.05</v>
      </c>
      <c r="F596" s="12" t="n">
        <v>1278</v>
      </c>
      <c r="G596" s="11" t="str">
        <f aca="false">IF(INDEX(選手一覧!$D$7:$D$2738,$F596)="","",INDEX(選手一覧!$D$7:$D$2738,$F596))</f>
        <v/>
      </c>
      <c r="H596" s="12" t="str">
        <f aca="false">IF(INDEX(選手一覧!$E$7:$E$2738,$F596)="","",INDEX(選手一覧!$E$7:$E$2738,$F596))</f>
        <v/>
      </c>
      <c r="I596" s="11" t="str">
        <f aca="false">IF(INDEX(選手一覧!$H$7:$H$2738,$F596)="","",INDEX(選手一覧!$H$7:$H$2738,$F596))</f>
        <v/>
      </c>
      <c r="J596" s="12" t="str">
        <f aca="false">IF(INDEX(選手一覧!$I$7:$I$2738,$F596)="","",INDEX(選手一覧!$I$7:$I$2738,$F596))</f>
        <v/>
      </c>
    </row>
    <row r="597" customFormat="false" ht="15" hidden="false" customHeight="false" outlineLevel="0" collapsed="false">
      <c r="A597" s="12" t="n">
        <v>593</v>
      </c>
      <c r="B597" s="10" t="s">
        <v>1858</v>
      </c>
      <c r="C597" s="10" t="s">
        <v>865</v>
      </c>
      <c r="D597" s="11" t="n">
        <v>0.00724722222222222</v>
      </c>
      <c r="E597" s="18" t="n">
        <f aca="false">ROUND((D597-$D$5)*86400,2)</f>
        <v>87.14</v>
      </c>
      <c r="F597" s="12" t="n">
        <v>1279</v>
      </c>
      <c r="G597" s="11" t="str">
        <f aca="false">IF(INDEX(選手一覧!$D$7:$D$2738,$F597)="","",INDEX(選手一覧!$D$7:$D$2738,$F597))</f>
        <v/>
      </c>
      <c r="H597" s="12" t="str">
        <f aca="false">IF(INDEX(選手一覧!$E$7:$E$2738,$F597)="","",INDEX(選手一覧!$E$7:$E$2738,$F597))</f>
        <v/>
      </c>
      <c r="I597" s="11" t="str">
        <f aca="false">IF(INDEX(選手一覧!$H$7:$H$2738,$F597)="","",INDEX(選手一覧!$H$7:$H$2738,$F597))</f>
        <v/>
      </c>
      <c r="J597" s="12" t="str">
        <f aca="false">IF(INDEX(選手一覧!$I$7:$I$2738,$F597)="","",INDEX(選手一覧!$I$7:$I$2738,$F597))</f>
        <v/>
      </c>
    </row>
    <row r="598" customFormat="false" ht="15" hidden="false" customHeight="false" outlineLevel="0" collapsed="false">
      <c r="A598" s="12" t="n">
        <v>594</v>
      </c>
      <c r="B598" s="10" t="s">
        <v>1859</v>
      </c>
      <c r="C598" s="10" t="s">
        <v>667</v>
      </c>
      <c r="D598" s="11" t="n">
        <v>0.0072474537037037</v>
      </c>
      <c r="E598" s="18" t="n">
        <f aca="false">ROUND((D598-$D$5)*86400,2)</f>
        <v>87.16</v>
      </c>
      <c r="F598" s="12" t="n">
        <v>1280</v>
      </c>
      <c r="G598" s="11" t="str">
        <f aca="false">IF(INDEX(選手一覧!$D$7:$D$2738,$F598)="","",INDEX(選手一覧!$D$7:$D$2738,$F598))</f>
        <v/>
      </c>
      <c r="H598" s="12" t="str">
        <f aca="false">IF(INDEX(選手一覧!$E$7:$E$2738,$F598)="","",INDEX(選手一覧!$E$7:$E$2738,$F598))</f>
        <v/>
      </c>
      <c r="I598" s="11" t="str">
        <f aca="false">IF(INDEX(選手一覧!$H$7:$H$2738,$F598)="","",INDEX(選手一覧!$H$7:$H$2738,$F598))</f>
        <v/>
      </c>
      <c r="J598" s="12" t="str">
        <f aca="false">IF(INDEX(選手一覧!$I$7:$I$2738,$F598)="","",INDEX(選手一覧!$I$7:$I$2738,$F598))</f>
        <v/>
      </c>
    </row>
    <row r="599" customFormat="false" ht="15" hidden="false" customHeight="false" outlineLevel="0" collapsed="false">
      <c r="A599" s="12" t="n">
        <v>595</v>
      </c>
      <c r="B599" s="10" t="s">
        <v>1862</v>
      </c>
      <c r="C599" s="10" t="s">
        <v>1863</v>
      </c>
      <c r="D599" s="11" t="n">
        <v>0.00724768518518519</v>
      </c>
      <c r="E599" s="18" t="n">
        <f aca="false">ROUND((D599-$D$5)*86400,2)</f>
        <v>87.18</v>
      </c>
      <c r="F599" s="12" t="n">
        <v>1282</v>
      </c>
      <c r="G599" s="11" t="str">
        <f aca="false">IF(INDEX(選手一覧!$D$7:$D$2738,$F599)="","",INDEX(選手一覧!$D$7:$D$2738,$F599))</f>
        <v/>
      </c>
      <c r="H599" s="12" t="str">
        <f aca="false">IF(INDEX(選手一覧!$E$7:$E$2738,$F599)="","",INDEX(選手一覧!$E$7:$E$2738,$F599))</f>
        <v/>
      </c>
      <c r="I599" s="11" t="str">
        <f aca="false">IF(INDEX(選手一覧!$H$7:$H$2738,$F599)="","",INDEX(選手一覧!$H$7:$H$2738,$F599))</f>
        <v/>
      </c>
      <c r="J599" s="12" t="str">
        <f aca="false">IF(INDEX(選手一覧!$I$7:$I$2738,$F599)="","",INDEX(選手一覧!$I$7:$I$2738,$F599))</f>
        <v/>
      </c>
    </row>
    <row r="600" customFormat="false" ht="15" hidden="false" customHeight="false" outlineLevel="0" collapsed="false">
      <c r="A600" s="12" t="n">
        <v>596</v>
      </c>
      <c r="B600" s="10" t="s">
        <v>1866</v>
      </c>
      <c r="C600" s="10" t="s">
        <v>1155</v>
      </c>
      <c r="D600" s="11" t="n">
        <v>0.00724826388888889</v>
      </c>
      <c r="E600" s="18" t="n">
        <f aca="false">ROUND((D600-$D$5)*86400,2)</f>
        <v>87.23</v>
      </c>
      <c r="F600" s="12" t="n">
        <v>1284</v>
      </c>
      <c r="G600" s="11" t="str">
        <f aca="false">IF(INDEX(選手一覧!$D$7:$D$2738,$F600)="","",INDEX(選手一覧!$D$7:$D$2738,$F600))</f>
        <v/>
      </c>
      <c r="H600" s="12" t="str">
        <f aca="false">IF(INDEX(選手一覧!$E$7:$E$2738,$F600)="","",INDEX(選手一覧!$E$7:$E$2738,$F600))</f>
        <v/>
      </c>
      <c r="I600" s="11" t="n">
        <f aca="false">IF(INDEX(選手一覧!$H$7:$H$2738,$F600)="","",INDEX(選手一覧!$H$7:$H$2738,$F600))</f>
        <v>0.00290162037037037</v>
      </c>
      <c r="J600" s="12" t="n">
        <f aca="false">IF(INDEX(選手一覧!$I$7:$I$2738,$F600)="","",INDEX(選手一覧!$I$7:$I$2738,$F600))</f>
        <v>961</v>
      </c>
    </row>
    <row r="601" customFormat="false" ht="15" hidden="false" customHeight="false" outlineLevel="0" collapsed="false">
      <c r="A601" s="12" t="n">
        <v>597</v>
      </c>
      <c r="B601" s="10" t="s">
        <v>1446</v>
      </c>
      <c r="C601" s="10" t="s">
        <v>680</v>
      </c>
      <c r="D601" s="11" t="n">
        <v>0.00725046296296296</v>
      </c>
      <c r="E601" s="18" t="n">
        <f aca="false">ROUND((D601-$D$5)*86400,2)</f>
        <v>87.42</v>
      </c>
      <c r="F601" s="12" t="n">
        <v>990</v>
      </c>
      <c r="G601" s="11" t="n">
        <f aca="false">IF(INDEX(選手一覧!$D$7:$D$2738,$F601)="","",INDEX(選手一覧!$D$7:$D$2738,$F601))</f>
        <v>0.0105847222222222</v>
      </c>
      <c r="H601" s="12" t="n">
        <f aca="false">IF(INDEX(選手一覧!$E$7:$E$2738,$F601)="","",INDEX(選手一覧!$E$7:$E$2738,$F601))</f>
        <v>443</v>
      </c>
      <c r="I601" s="11" t="n">
        <f aca="false">IF(INDEX(選手一覧!$H$7:$H$2738,$F601)="","",INDEX(選手一覧!$H$7:$H$2738,$F601))</f>
        <v>0.00297615740740741</v>
      </c>
      <c r="J601" s="12" t="n">
        <f aca="false">IF(INDEX(選手一覧!$I$7:$I$2738,$F601)="","",INDEX(選手一覧!$I$7:$I$2738,$F601))</f>
        <v>1335</v>
      </c>
    </row>
    <row r="602" customFormat="false" ht="15" hidden="false" customHeight="false" outlineLevel="0" collapsed="false">
      <c r="A602" s="12" t="n">
        <v>598</v>
      </c>
      <c r="B602" s="10" t="s">
        <v>1870</v>
      </c>
      <c r="C602" s="10" t="s">
        <v>1871</v>
      </c>
      <c r="D602" s="11" t="n">
        <v>0.00725219907407407</v>
      </c>
      <c r="E602" s="18" t="n">
        <f aca="false">ROUND((D602-$D$5)*86400,2)</f>
        <v>87.57</v>
      </c>
      <c r="F602" s="12" t="n">
        <v>1287</v>
      </c>
      <c r="G602" s="11" t="str">
        <f aca="false">IF(INDEX(選手一覧!$D$7:$D$2738,$F602)="","",INDEX(選手一覧!$D$7:$D$2738,$F602))</f>
        <v/>
      </c>
      <c r="H602" s="12" t="str">
        <f aca="false">IF(INDEX(選手一覧!$E$7:$E$2738,$F602)="","",INDEX(選手一覧!$E$7:$E$2738,$F602))</f>
        <v/>
      </c>
      <c r="I602" s="11" t="str">
        <f aca="false">IF(INDEX(選手一覧!$H$7:$H$2738,$F602)="","",INDEX(選手一覧!$H$7:$H$2738,$F602))</f>
        <v/>
      </c>
      <c r="J602" s="12" t="str">
        <f aca="false">IF(INDEX(選手一覧!$I$7:$I$2738,$F602)="","",INDEX(選手一覧!$I$7:$I$2738,$F602))</f>
        <v/>
      </c>
    </row>
    <row r="603" customFormat="false" ht="15" hidden="false" customHeight="false" outlineLevel="0" collapsed="false">
      <c r="A603" s="12" t="n">
        <v>599</v>
      </c>
      <c r="B603" s="10" t="s">
        <v>1872</v>
      </c>
      <c r="C603" s="10" t="s">
        <v>1873</v>
      </c>
      <c r="D603" s="11" t="n">
        <v>0.0072525462962963</v>
      </c>
      <c r="E603" s="18" t="n">
        <f aca="false">ROUND((D603-$D$5)*86400,2)</f>
        <v>87.6</v>
      </c>
      <c r="F603" s="12" t="n">
        <v>1288</v>
      </c>
      <c r="G603" s="11" t="str">
        <f aca="false">IF(INDEX(選手一覧!$D$7:$D$2738,$F603)="","",INDEX(選手一覧!$D$7:$D$2738,$F603))</f>
        <v/>
      </c>
      <c r="H603" s="12" t="str">
        <f aca="false">IF(INDEX(選手一覧!$E$7:$E$2738,$F603)="","",INDEX(選手一覧!$E$7:$E$2738,$F603))</f>
        <v/>
      </c>
      <c r="I603" s="11" t="str">
        <f aca="false">IF(INDEX(選手一覧!$H$7:$H$2738,$F603)="","",INDEX(選手一覧!$H$7:$H$2738,$F603))</f>
        <v/>
      </c>
      <c r="J603" s="12" t="str">
        <f aca="false">IF(INDEX(選手一覧!$I$7:$I$2738,$F603)="","",INDEX(選手一覧!$I$7:$I$2738,$F603))</f>
        <v/>
      </c>
    </row>
    <row r="604" customFormat="false" ht="15" hidden="false" customHeight="false" outlineLevel="0" collapsed="false">
      <c r="A604" s="12" t="n">
        <v>600</v>
      </c>
      <c r="B604" s="10" t="s">
        <v>1874</v>
      </c>
      <c r="C604" s="10" t="s">
        <v>1122</v>
      </c>
      <c r="D604" s="11" t="n">
        <v>0.00725393518518519</v>
      </c>
      <c r="E604" s="18" t="n">
        <f aca="false">ROUND((D604-$D$5)*86400,2)</f>
        <v>87.72</v>
      </c>
      <c r="F604" s="12" t="n">
        <v>1289</v>
      </c>
      <c r="G604" s="11" t="str">
        <f aca="false">IF(INDEX(選手一覧!$D$7:$D$2738,$F604)="","",INDEX(選手一覧!$D$7:$D$2738,$F604))</f>
        <v/>
      </c>
      <c r="H604" s="12" t="str">
        <f aca="false">IF(INDEX(選手一覧!$E$7:$E$2738,$F604)="","",INDEX(選手一覧!$E$7:$E$2738,$F604))</f>
        <v/>
      </c>
      <c r="I604" s="11" t="str">
        <f aca="false">IF(INDEX(選手一覧!$H$7:$H$2738,$F604)="","",INDEX(選手一覧!$H$7:$H$2738,$F604))</f>
        <v/>
      </c>
      <c r="J604" s="12" t="str">
        <f aca="false">IF(INDEX(選手一覧!$I$7:$I$2738,$F604)="","",INDEX(選手一覧!$I$7:$I$2738,$F604))</f>
        <v/>
      </c>
    </row>
    <row r="605" customFormat="false" ht="15" hidden="false" customHeight="false" outlineLevel="0" collapsed="false">
      <c r="A605" s="12" t="n">
        <v>601</v>
      </c>
      <c r="B605" s="10" t="s">
        <v>1879</v>
      </c>
      <c r="C605" s="10" t="s">
        <v>1174</v>
      </c>
      <c r="D605" s="11" t="n">
        <v>0.00725497685185185</v>
      </c>
      <c r="E605" s="18" t="n">
        <f aca="false">ROUND((D605-$D$5)*86400,2)</f>
        <v>87.81</v>
      </c>
      <c r="F605" s="12" t="n">
        <v>1292</v>
      </c>
      <c r="G605" s="11" t="str">
        <f aca="false">IF(INDEX(選手一覧!$D$7:$D$2738,$F605)="","",INDEX(選手一覧!$D$7:$D$2738,$F605))</f>
        <v/>
      </c>
      <c r="H605" s="12" t="str">
        <f aca="false">IF(INDEX(選手一覧!$E$7:$E$2738,$F605)="","",INDEX(選手一覧!$E$7:$E$2738,$F605))</f>
        <v/>
      </c>
      <c r="I605" s="11" t="str">
        <f aca="false">IF(INDEX(選手一覧!$H$7:$H$2738,$F605)="","",INDEX(選手一覧!$H$7:$H$2738,$F605))</f>
        <v/>
      </c>
      <c r="J605" s="12" t="str">
        <f aca="false">IF(INDEX(選手一覧!$I$7:$I$2738,$F605)="","",INDEX(選手一覧!$I$7:$I$2738,$F605))</f>
        <v/>
      </c>
    </row>
    <row r="606" customFormat="false" ht="15" hidden="false" customHeight="false" outlineLevel="0" collapsed="false">
      <c r="A606" s="12" t="n">
        <v>602</v>
      </c>
      <c r="B606" s="10" t="s">
        <v>1882</v>
      </c>
      <c r="C606" s="10" t="s">
        <v>1883</v>
      </c>
      <c r="D606" s="11" t="n">
        <v>0.00725659722222222</v>
      </c>
      <c r="E606" s="18" t="n">
        <f aca="false">ROUND((D606-$D$5)*86400,2)</f>
        <v>87.95</v>
      </c>
      <c r="F606" s="12" t="n">
        <v>1295</v>
      </c>
      <c r="G606" s="11" t="str">
        <f aca="false">IF(INDEX(選手一覧!$D$7:$D$2738,$F606)="","",INDEX(選手一覧!$D$7:$D$2738,$F606))</f>
        <v/>
      </c>
      <c r="H606" s="12" t="str">
        <f aca="false">IF(INDEX(選手一覧!$E$7:$E$2738,$F606)="","",INDEX(選手一覧!$E$7:$E$2738,$F606))</f>
        <v/>
      </c>
      <c r="I606" s="11" t="str">
        <f aca="false">IF(INDEX(選手一覧!$H$7:$H$2738,$F606)="","",INDEX(選手一覧!$H$7:$H$2738,$F606))</f>
        <v/>
      </c>
      <c r="J606" s="12" t="str">
        <f aca="false">IF(INDEX(選手一覧!$I$7:$I$2738,$F606)="","",INDEX(選手一覧!$I$7:$I$2738,$F606))</f>
        <v/>
      </c>
    </row>
    <row r="607" customFormat="false" ht="15" hidden="false" customHeight="false" outlineLevel="0" collapsed="false">
      <c r="A607" s="12" t="n">
        <v>603</v>
      </c>
      <c r="B607" s="10" t="s">
        <v>1886</v>
      </c>
      <c r="C607" s="10" t="s">
        <v>1553</v>
      </c>
      <c r="D607" s="11" t="n">
        <v>0.00725891203703704</v>
      </c>
      <c r="E607" s="18" t="n">
        <f aca="false">ROUND((D607-$D$5)*86400,2)</f>
        <v>88.15</v>
      </c>
      <c r="F607" s="12" t="n">
        <v>1297</v>
      </c>
      <c r="G607" s="11" t="str">
        <f aca="false">IF(INDEX(選手一覧!$D$7:$D$2738,$F607)="","",INDEX(選手一覧!$D$7:$D$2738,$F607))</f>
        <v/>
      </c>
      <c r="H607" s="12" t="str">
        <f aca="false">IF(INDEX(選手一覧!$E$7:$E$2738,$F607)="","",INDEX(選手一覧!$E$7:$E$2738,$F607))</f>
        <v/>
      </c>
      <c r="I607" s="11" t="str">
        <f aca="false">IF(INDEX(選手一覧!$H$7:$H$2738,$F607)="","",INDEX(選手一覧!$H$7:$H$2738,$F607))</f>
        <v/>
      </c>
      <c r="J607" s="12" t="str">
        <f aca="false">IF(INDEX(選手一覧!$I$7:$I$2738,$F607)="","",INDEX(選手一覧!$I$7:$I$2738,$F607))</f>
        <v/>
      </c>
    </row>
    <row r="608" customFormat="false" ht="15" hidden="false" customHeight="false" outlineLevel="0" collapsed="false">
      <c r="A608" s="12" t="n">
        <v>604</v>
      </c>
      <c r="B608" s="10" t="s">
        <v>1889</v>
      </c>
      <c r="C608" s="10" t="s">
        <v>816</v>
      </c>
      <c r="D608" s="11" t="n">
        <v>0.00725925925925926</v>
      </c>
      <c r="E608" s="18" t="n">
        <f aca="false">ROUND((D608-$D$5)*86400,2)</f>
        <v>88.18</v>
      </c>
      <c r="F608" s="12" t="n">
        <v>1299</v>
      </c>
      <c r="G608" s="11" t="str">
        <f aca="false">IF(INDEX(選手一覧!$D$7:$D$2738,$F608)="","",INDEX(選手一覧!$D$7:$D$2738,$F608))</f>
        <v/>
      </c>
      <c r="H608" s="12" t="str">
        <f aca="false">IF(INDEX(選手一覧!$E$7:$E$2738,$F608)="","",INDEX(選手一覧!$E$7:$E$2738,$F608))</f>
        <v/>
      </c>
      <c r="I608" s="11" t="str">
        <f aca="false">IF(INDEX(選手一覧!$H$7:$H$2738,$F608)="","",INDEX(選手一覧!$H$7:$H$2738,$F608))</f>
        <v/>
      </c>
      <c r="J608" s="12" t="str">
        <f aca="false">IF(INDEX(選手一覧!$I$7:$I$2738,$F608)="","",INDEX(選手一覧!$I$7:$I$2738,$F608))</f>
        <v/>
      </c>
    </row>
    <row r="609" customFormat="false" ht="15" hidden="false" customHeight="false" outlineLevel="0" collapsed="false">
      <c r="A609" s="12" t="n">
        <v>605</v>
      </c>
      <c r="B609" s="10" t="s">
        <v>1891</v>
      </c>
      <c r="C609" s="10" t="s">
        <v>1892</v>
      </c>
      <c r="D609" s="11" t="n">
        <v>0.00726006944444444</v>
      </c>
      <c r="E609" s="18" t="n">
        <f aca="false">ROUND((D609-$D$5)*86400,2)</f>
        <v>88.25</v>
      </c>
      <c r="F609" s="12" t="n">
        <v>1301</v>
      </c>
      <c r="G609" s="11" t="str">
        <f aca="false">IF(INDEX(選手一覧!$D$7:$D$2738,$F609)="","",INDEX(選手一覧!$D$7:$D$2738,$F609))</f>
        <v/>
      </c>
      <c r="H609" s="12" t="str">
        <f aca="false">IF(INDEX(選手一覧!$E$7:$E$2738,$F609)="","",INDEX(選手一覧!$E$7:$E$2738,$F609))</f>
        <v/>
      </c>
      <c r="I609" s="11" t="str">
        <f aca="false">IF(INDEX(選手一覧!$H$7:$H$2738,$F609)="","",INDEX(選手一覧!$H$7:$H$2738,$F609))</f>
        <v/>
      </c>
      <c r="J609" s="12" t="str">
        <f aca="false">IF(INDEX(選手一覧!$I$7:$I$2738,$F609)="","",INDEX(選手一覧!$I$7:$I$2738,$F609))</f>
        <v/>
      </c>
    </row>
    <row r="610" customFormat="false" ht="15" hidden="false" customHeight="false" outlineLevel="0" collapsed="false">
      <c r="A610" s="12" t="n">
        <v>606</v>
      </c>
      <c r="B610" s="10" t="s">
        <v>1894</v>
      </c>
      <c r="C610" s="10" t="s">
        <v>1621</v>
      </c>
      <c r="D610" s="11" t="n">
        <v>0.00726018518518519</v>
      </c>
      <c r="E610" s="18" t="n">
        <f aca="false">ROUND((D610-$D$5)*86400,2)</f>
        <v>88.26</v>
      </c>
      <c r="F610" s="12" t="n">
        <v>1303</v>
      </c>
      <c r="G610" s="11" t="str">
        <f aca="false">IF(INDEX(選手一覧!$D$7:$D$2738,$F610)="","",INDEX(選手一覧!$D$7:$D$2738,$F610))</f>
        <v/>
      </c>
      <c r="H610" s="12" t="str">
        <f aca="false">IF(INDEX(選手一覧!$E$7:$E$2738,$F610)="","",INDEX(選手一覧!$E$7:$E$2738,$F610))</f>
        <v/>
      </c>
      <c r="I610" s="11" t="str">
        <f aca="false">IF(INDEX(選手一覧!$H$7:$H$2738,$F610)="","",INDEX(選手一覧!$H$7:$H$2738,$F610))</f>
        <v/>
      </c>
      <c r="J610" s="12" t="str">
        <f aca="false">IF(INDEX(選手一覧!$I$7:$I$2738,$F610)="","",INDEX(選手一覧!$I$7:$I$2738,$F610))</f>
        <v/>
      </c>
    </row>
    <row r="611" customFormat="false" ht="15" hidden="false" customHeight="false" outlineLevel="0" collapsed="false">
      <c r="A611" s="12" t="n">
        <v>607</v>
      </c>
      <c r="B611" s="10" t="s">
        <v>1896</v>
      </c>
      <c r="C611" s="10" t="s">
        <v>1897</v>
      </c>
      <c r="D611" s="11" t="n">
        <v>0.00726076388888889</v>
      </c>
      <c r="E611" s="18" t="n">
        <f aca="false">ROUND((D611-$D$5)*86400,2)</f>
        <v>88.31</v>
      </c>
      <c r="F611" s="12" t="n">
        <v>1305</v>
      </c>
      <c r="G611" s="11" t="str">
        <f aca="false">IF(INDEX(選手一覧!$D$7:$D$2738,$F611)="","",INDEX(選手一覧!$D$7:$D$2738,$F611))</f>
        <v/>
      </c>
      <c r="H611" s="12" t="str">
        <f aca="false">IF(INDEX(選手一覧!$E$7:$E$2738,$F611)="","",INDEX(選手一覧!$E$7:$E$2738,$F611))</f>
        <v/>
      </c>
      <c r="I611" s="11" t="str">
        <f aca="false">IF(INDEX(選手一覧!$H$7:$H$2738,$F611)="","",INDEX(選手一覧!$H$7:$H$2738,$F611))</f>
        <v/>
      </c>
      <c r="J611" s="12" t="str">
        <f aca="false">IF(INDEX(選手一覧!$I$7:$I$2738,$F611)="","",INDEX(選手一覧!$I$7:$I$2738,$F611))</f>
        <v/>
      </c>
    </row>
    <row r="612" customFormat="false" ht="15" hidden="false" customHeight="false" outlineLevel="0" collapsed="false">
      <c r="A612" s="12" t="n">
        <v>608</v>
      </c>
      <c r="B612" s="10" t="s">
        <v>1898</v>
      </c>
      <c r="C612" s="10" t="s">
        <v>724</v>
      </c>
      <c r="D612" s="11" t="n">
        <v>0.00726273148148148</v>
      </c>
      <c r="E612" s="18" t="n">
        <f aca="false">ROUND((D612-$D$5)*86400,2)</f>
        <v>88.48</v>
      </c>
      <c r="F612" s="12" t="n">
        <v>1306</v>
      </c>
      <c r="G612" s="11" t="str">
        <f aca="false">IF(INDEX(選手一覧!$D$7:$D$2738,$F612)="","",INDEX(選手一覧!$D$7:$D$2738,$F612))</f>
        <v/>
      </c>
      <c r="H612" s="12" t="str">
        <f aca="false">IF(INDEX(選手一覧!$E$7:$E$2738,$F612)="","",INDEX(選手一覧!$E$7:$E$2738,$F612))</f>
        <v/>
      </c>
      <c r="I612" s="11" t="str">
        <f aca="false">IF(INDEX(選手一覧!$H$7:$H$2738,$F612)="","",INDEX(選手一覧!$H$7:$H$2738,$F612))</f>
        <v/>
      </c>
      <c r="J612" s="12" t="str">
        <f aca="false">IF(INDEX(選手一覧!$I$7:$I$2738,$F612)="","",INDEX(選手一覧!$I$7:$I$2738,$F612))</f>
        <v/>
      </c>
    </row>
    <row r="613" customFormat="false" ht="15" hidden="false" customHeight="false" outlineLevel="0" collapsed="false">
      <c r="A613" s="12" t="n">
        <v>609</v>
      </c>
      <c r="B613" s="10" t="s">
        <v>1902</v>
      </c>
      <c r="C613" s="10" t="s">
        <v>1903</v>
      </c>
      <c r="D613" s="11" t="n">
        <v>0.00726284722222222</v>
      </c>
      <c r="E613" s="18" t="n">
        <f aca="false">ROUND((D613-$D$5)*86400,2)</f>
        <v>88.49</v>
      </c>
      <c r="F613" s="12" t="n">
        <v>1309</v>
      </c>
      <c r="G613" s="11" t="str">
        <f aca="false">IF(INDEX(選手一覧!$D$7:$D$2738,$F613)="","",INDEX(選手一覧!$D$7:$D$2738,$F613))</f>
        <v/>
      </c>
      <c r="H613" s="12" t="str">
        <f aca="false">IF(INDEX(選手一覧!$E$7:$E$2738,$F613)="","",INDEX(選手一覧!$E$7:$E$2738,$F613))</f>
        <v/>
      </c>
      <c r="I613" s="11" t="str">
        <f aca="false">IF(INDEX(選手一覧!$H$7:$H$2738,$F613)="","",INDEX(選手一覧!$H$7:$H$2738,$F613))</f>
        <v/>
      </c>
      <c r="J613" s="12" t="str">
        <f aca="false">IF(INDEX(選手一覧!$I$7:$I$2738,$F613)="","",INDEX(選手一覧!$I$7:$I$2738,$F613))</f>
        <v/>
      </c>
    </row>
    <row r="614" customFormat="false" ht="15" hidden="false" customHeight="false" outlineLevel="0" collapsed="false">
      <c r="A614" s="12" t="n">
        <v>610</v>
      </c>
      <c r="B614" s="10" t="s">
        <v>1904</v>
      </c>
      <c r="C614" s="10" t="s">
        <v>1905</v>
      </c>
      <c r="D614" s="11" t="n">
        <v>0.00726354166666667</v>
      </c>
      <c r="E614" s="18" t="n">
        <f aca="false">ROUND((D614-$D$5)*86400,2)</f>
        <v>88.55</v>
      </c>
      <c r="F614" s="12" t="n">
        <v>1310</v>
      </c>
      <c r="G614" s="11" t="str">
        <f aca="false">IF(INDEX(選手一覧!$D$7:$D$2738,$F614)="","",INDEX(選手一覧!$D$7:$D$2738,$F614))</f>
        <v/>
      </c>
      <c r="H614" s="12" t="str">
        <f aca="false">IF(INDEX(選手一覧!$E$7:$E$2738,$F614)="","",INDEX(選手一覧!$E$7:$E$2738,$F614))</f>
        <v/>
      </c>
      <c r="I614" s="11" t="str">
        <f aca="false">IF(INDEX(選手一覧!$H$7:$H$2738,$F614)="","",INDEX(選手一覧!$H$7:$H$2738,$F614))</f>
        <v/>
      </c>
      <c r="J614" s="12" t="str">
        <f aca="false">IF(INDEX(選手一覧!$I$7:$I$2738,$F614)="","",INDEX(選手一覧!$I$7:$I$2738,$F614))</f>
        <v/>
      </c>
    </row>
    <row r="615" customFormat="false" ht="15" hidden="false" customHeight="false" outlineLevel="0" collapsed="false">
      <c r="A615" s="12" t="n">
        <v>611</v>
      </c>
      <c r="B615" s="10" t="s">
        <v>1909</v>
      </c>
      <c r="C615" s="10" t="s">
        <v>1910</v>
      </c>
      <c r="D615" s="11" t="n">
        <v>0.00726585648148148</v>
      </c>
      <c r="E615" s="18" t="n">
        <f aca="false">ROUND((D615-$D$5)*86400,2)</f>
        <v>88.75</v>
      </c>
      <c r="F615" s="12" t="n">
        <v>1313</v>
      </c>
      <c r="G615" s="11" t="str">
        <f aca="false">IF(INDEX(選手一覧!$D$7:$D$2738,$F615)="","",INDEX(選手一覧!$D$7:$D$2738,$F615))</f>
        <v/>
      </c>
      <c r="H615" s="12" t="str">
        <f aca="false">IF(INDEX(選手一覧!$E$7:$E$2738,$F615)="","",INDEX(選手一覧!$E$7:$E$2738,$F615))</f>
        <v/>
      </c>
      <c r="I615" s="11" t="str">
        <f aca="false">IF(INDEX(選手一覧!$H$7:$H$2738,$F615)="","",INDEX(選手一覧!$H$7:$H$2738,$F615))</f>
        <v/>
      </c>
      <c r="J615" s="12" t="str">
        <f aca="false">IF(INDEX(選手一覧!$I$7:$I$2738,$F615)="","",INDEX(選手一覧!$I$7:$I$2738,$F615))</f>
        <v/>
      </c>
    </row>
    <row r="616" customFormat="false" ht="15" hidden="false" customHeight="false" outlineLevel="0" collapsed="false">
      <c r="A616" s="12" t="n">
        <v>612</v>
      </c>
      <c r="B616" s="10" t="s">
        <v>1913</v>
      </c>
      <c r="C616" s="10" t="s">
        <v>1914</v>
      </c>
      <c r="D616" s="11" t="n">
        <v>0.00726747685185185</v>
      </c>
      <c r="E616" s="18" t="n">
        <f aca="false">ROUND((D616-$D$5)*86400,2)</f>
        <v>88.89</v>
      </c>
      <c r="F616" s="12" t="n">
        <v>1315</v>
      </c>
      <c r="G616" s="11" t="str">
        <f aca="false">IF(INDEX(選手一覧!$D$7:$D$2738,$F616)="","",INDEX(選手一覧!$D$7:$D$2738,$F616))</f>
        <v/>
      </c>
      <c r="H616" s="12" t="str">
        <f aca="false">IF(INDEX(選手一覧!$E$7:$E$2738,$F616)="","",INDEX(選手一覧!$E$7:$E$2738,$F616))</f>
        <v/>
      </c>
      <c r="I616" s="11" t="str">
        <f aca="false">IF(INDEX(選手一覧!$H$7:$H$2738,$F616)="","",INDEX(選手一覧!$H$7:$H$2738,$F616))</f>
        <v/>
      </c>
      <c r="J616" s="12" t="str">
        <f aca="false">IF(INDEX(選手一覧!$I$7:$I$2738,$F616)="","",INDEX(選手一覧!$I$7:$I$2738,$F616))</f>
        <v/>
      </c>
    </row>
    <row r="617" customFormat="false" ht="15" hidden="false" customHeight="false" outlineLevel="0" collapsed="false">
      <c r="A617" s="12" t="n">
        <v>613</v>
      </c>
      <c r="B617" s="10" t="s">
        <v>1917</v>
      </c>
      <c r="C617" s="10" t="s">
        <v>1608</v>
      </c>
      <c r="D617" s="11" t="n">
        <v>0.00726851851851852</v>
      </c>
      <c r="E617" s="18" t="n">
        <f aca="false">ROUND((D617-$D$5)*86400,2)</f>
        <v>88.98</v>
      </c>
      <c r="F617" s="12" t="n">
        <v>1317</v>
      </c>
      <c r="G617" s="11" t="str">
        <f aca="false">IF(INDEX(選手一覧!$D$7:$D$2738,$F617)="","",INDEX(選手一覧!$D$7:$D$2738,$F617))</f>
        <v/>
      </c>
      <c r="H617" s="12" t="str">
        <f aca="false">IF(INDEX(選手一覧!$E$7:$E$2738,$F617)="","",INDEX(選手一覧!$E$7:$E$2738,$F617))</f>
        <v/>
      </c>
      <c r="I617" s="11" t="str">
        <f aca="false">IF(INDEX(選手一覧!$H$7:$H$2738,$F617)="","",INDEX(選手一覧!$H$7:$H$2738,$F617))</f>
        <v/>
      </c>
      <c r="J617" s="12" t="str">
        <f aca="false">IF(INDEX(選手一覧!$I$7:$I$2738,$F617)="","",INDEX(選手一覧!$I$7:$I$2738,$F617))</f>
        <v/>
      </c>
    </row>
    <row r="618" customFormat="false" ht="15" hidden="false" customHeight="false" outlineLevel="0" collapsed="false">
      <c r="A618" s="12" t="n">
        <v>614</v>
      </c>
      <c r="B618" s="10" t="s">
        <v>1919</v>
      </c>
      <c r="C618" s="10" t="s">
        <v>904</v>
      </c>
      <c r="D618" s="11" t="n">
        <v>0.00726851851851852</v>
      </c>
      <c r="E618" s="18" t="n">
        <f aca="false">ROUND((D618-$D$5)*86400,2)</f>
        <v>88.98</v>
      </c>
      <c r="F618" s="12" t="n">
        <v>1319</v>
      </c>
      <c r="G618" s="11" t="str">
        <f aca="false">IF(INDEX(選手一覧!$D$7:$D$2738,$F618)="","",INDEX(選手一覧!$D$7:$D$2738,$F618))</f>
        <v/>
      </c>
      <c r="H618" s="12" t="str">
        <f aca="false">IF(INDEX(選手一覧!$E$7:$E$2738,$F618)="","",INDEX(選手一覧!$E$7:$E$2738,$F618))</f>
        <v/>
      </c>
      <c r="I618" s="11" t="str">
        <f aca="false">IF(INDEX(選手一覧!$H$7:$H$2738,$F618)="","",INDEX(選手一覧!$H$7:$H$2738,$F618))</f>
        <v/>
      </c>
      <c r="J618" s="12" t="str">
        <f aca="false">IF(INDEX(選手一覧!$I$7:$I$2738,$F618)="","",INDEX(選手一覧!$I$7:$I$2738,$F618))</f>
        <v/>
      </c>
    </row>
    <row r="619" customFormat="false" ht="15" hidden="false" customHeight="false" outlineLevel="0" collapsed="false">
      <c r="A619" s="12" t="n">
        <v>615</v>
      </c>
      <c r="B619" s="10" t="s">
        <v>1920</v>
      </c>
      <c r="C619" s="10" t="s">
        <v>1921</v>
      </c>
      <c r="D619" s="11" t="n">
        <v>0.00726886574074074</v>
      </c>
      <c r="E619" s="18" t="n">
        <f aca="false">ROUND((D619-$D$5)*86400,2)</f>
        <v>89.01</v>
      </c>
      <c r="F619" s="12" t="n">
        <v>1320</v>
      </c>
      <c r="G619" s="11" t="str">
        <f aca="false">IF(INDEX(選手一覧!$D$7:$D$2738,$F619)="","",INDEX(選手一覧!$D$7:$D$2738,$F619))</f>
        <v/>
      </c>
      <c r="H619" s="12" t="str">
        <f aca="false">IF(INDEX(選手一覧!$E$7:$E$2738,$F619)="","",INDEX(選手一覧!$E$7:$E$2738,$F619))</f>
        <v/>
      </c>
      <c r="I619" s="11" t="str">
        <f aca="false">IF(INDEX(選手一覧!$H$7:$H$2738,$F619)="","",INDEX(選手一覧!$H$7:$H$2738,$F619))</f>
        <v/>
      </c>
      <c r="J619" s="12" t="str">
        <f aca="false">IF(INDEX(選手一覧!$I$7:$I$2738,$F619)="","",INDEX(選手一覧!$I$7:$I$2738,$F619))</f>
        <v/>
      </c>
    </row>
    <row r="620" customFormat="false" ht="15" hidden="false" customHeight="false" outlineLevel="0" collapsed="false">
      <c r="A620" s="12" t="n">
        <v>616</v>
      </c>
      <c r="B620" s="10" t="s">
        <v>1923</v>
      </c>
      <c r="C620" s="10" t="s">
        <v>1924</v>
      </c>
      <c r="D620" s="11" t="n">
        <v>0.00727002314814815</v>
      </c>
      <c r="E620" s="18" t="n">
        <f aca="false">ROUND((D620-$D$5)*86400,2)</f>
        <v>89.11</v>
      </c>
      <c r="F620" s="12" t="n">
        <v>1322</v>
      </c>
      <c r="G620" s="11" t="str">
        <f aca="false">IF(INDEX(選手一覧!$D$7:$D$2738,$F620)="","",INDEX(選手一覧!$D$7:$D$2738,$F620))</f>
        <v/>
      </c>
      <c r="H620" s="12" t="str">
        <f aca="false">IF(INDEX(選手一覧!$E$7:$E$2738,$F620)="","",INDEX(選手一覧!$E$7:$E$2738,$F620))</f>
        <v/>
      </c>
      <c r="I620" s="11" t="str">
        <f aca="false">IF(INDEX(選手一覧!$H$7:$H$2738,$F620)="","",INDEX(選手一覧!$H$7:$H$2738,$F620))</f>
        <v/>
      </c>
      <c r="J620" s="12" t="str">
        <f aca="false">IF(INDEX(選手一覧!$I$7:$I$2738,$F620)="","",INDEX(選手一覧!$I$7:$I$2738,$F620))</f>
        <v/>
      </c>
    </row>
    <row r="621" customFormat="false" ht="15" hidden="false" customHeight="false" outlineLevel="0" collapsed="false">
      <c r="A621" s="12" t="n">
        <v>617</v>
      </c>
      <c r="B621" s="10" t="s">
        <v>1925</v>
      </c>
      <c r="C621" s="10" t="s">
        <v>1926</v>
      </c>
      <c r="D621" s="11" t="n">
        <v>0.00727025462962963</v>
      </c>
      <c r="E621" s="18" t="n">
        <f aca="false">ROUND((D621-$D$5)*86400,2)</f>
        <v>89.13</v>
      </c>
      <c r="F621" s="12" t="n">
        <v>1323</v>
      </c>
      <c r="G621" s="11" t="str">
        <f aca="false">IF(INDEX(選手一覧!$D$7:$D$2738,$F621)="","",INDEX(選手一覧!$D$7:$D$2738,$F621))</f>
        <v/>
      </c>
      <c r="H621" s="12" t="str">
        <f aca="false">IF(INDEX(選手一覧!$E$7:$E$2738,$F621)="","",INDEX(選手一覧!$E$7:$E$2738,$F621))</f>
        <v/>
      </c>
      <c r="I621" s="11" t="n">
        <f aca="false">IF(INDEX(選手一覧!$H$7:$H$2738,$F621)="","",INDEX(選手一覧!$H$7:$H$2738,$F621))</f>
        <v>0.002909375</v>
      </c>
      <c r="J621" s="12" t="n">
        <f aca="false">IF(INDEX(選手一覧!$I$7:$I$2738,$F621)="","",INDEX(選手一覧!$I$7:$I$2738,$F621))</f>
        <v>1012</v>
      </c>
    </row>
    <row r="622" customFormat="false" ht="15" hidden="false" customHeight="false" outlineLevel="0" collapsed="false">
      <c r="A622" s="12" t="n">
        <v>618</v>
      </c>
      <c r="B622" s="10" t="s">
        <v>1928</v>
      </c>
      <c r="C622" s="10" t="s">
        <v>917</v>
      </c>
      <c r="D622" s="11" t="n">
        <v>0.00727291666666667</v>
      </c>
      <c r="E622" s="18" t="n">
        <f aca="false">ROUND((D622-$D$5)*86400,2)</f>
        <v>89.36</v>
      </c>
      <c r="F622" s="12" t="n">
        <v>1325</v>
      </c>
      <c r="G622" s="11" t="str">
        <f aca="false">IF(INDEX(選手一覧!$D$7:$D$2738,$F622)="","",INDEX(選手一覧!$D$7:$D$2738,$F622))</f>
        <v/>
      </c>
      <c r="H622" s="12" t="str">
        <f aca="false">IF(INDEX(選手一覧!$E$7:$E$2738,$F622)="","",INDEX(選手一覧!$E$7:$E$2738,$F622))</f>
        <v/>
      </c>
      <c r="I622" s="11" t="str">
        <f aca="false">IF(INDEX(選手一覧!$H$7:$H$2738,$F622)="","",INDEX(選手一覧!$H$7:$H$2738,$F622))</f>
        <v/>
      </c>
      <c r="J622" s="12" t="str">
        <f aca="false">IF(INDEX(選手一覧!$I$7:$I$2738,$F622)="","",INDEX(選手一覧!$I$7:$I$2738,$F622))</f>
        <v/>
      </c>
    </row>
    <row r="623" customFormat="false" ht="15" hidden="false" customHeight="false" outlineLevel="0" collapsed="false">
      <c r="A623" s="12" t="n">
        <v>619</v>
      </c>
      <c r="B623" s="10" t="s">
        <v>1929</v>
      </c>
      <c r="C623" s="10" t="s">
        <v>1930</v>
      </c>
      <c r="D623" s="11" t="n">
        <v>0.007278125</v>
      </c>
      <c r="E623" s="18" t="n">
        <f aca="false">ROUND((D623-$D$5)*86400,2)</f>
        <v>89.81</v>
      </c>
      <c r="F623" s="12" t="n">
        <v>1326</v>
      </c>
      <c r="G623" s="11" t="str">
        <f aca="false">IF(INDEX(選手一覧!$D$7:$D$2738,$F623)="","",INDEX(選手一覧!$D$7:$D$2738,$F623))</f>
        <v/>
      </c>
      <c r="H623" s="12" t="str">
        <f aca="false">IF(INDEX(選手一覧!$E$7:$E$2738,$F623)="","",INDEX(選手一覧!$E$7:$E$2738,$F623))</f>
        <v/>
      </c>
      <c r="I623" s="11" t="n">
        <f aca="false">IF(INDEX(選手一覧!$H$7:$H$2738,$F623)="","",INDEX(選手一覧!$H$7:$H$2738,$F623))</f>
        <v>0.00296631944444445</v>
      </c>
      <c r="J623" s="12" t="n">
        <f aca="false">IF(INDEX(選手一覧!$I$7:$I$2738,$F623)="","",INDEX(選手一覧!$I$7:$I$2738,$F623))</f>
        <v>1296</v>
      </c>
    </row>
    <row r="624" customFormat="false" ht="15" hidden="false" customHeight="false" outlineLevel="0" collapsed="false">
      <c r="A624" s="12" t="n">
        <v>620</v>
      </c>
      <c r="B624" s="10" t="s">
        <v>1935</v>
      </c>
      <c r="C624" s="10" t="s">
        <v>1936</v>
      </c>
      <c r="D624" s="11" t="n">
        <v>0.00727893518518519</v>
      </c>
      <c r="E624" s="18" t="n">
        <f aca="false">ROUND((D624-$D$5)*86400,2)</f>
        <v>89.88</v>
      </c>
      <c r="F624" s="12" t="n">
        <v>1329</v>
      </c>
      <c r="G624" s="11" t="str">
        <f aca="false">IF(INDEX(選手一覧!$D$7:$D$2738,$F624)="","",INDEX(選手一覧!$D$7:$D$2738,$F624))</f>
        <v/>
      </c>
      <c r="H624" s="12" t="str">
        <f aca="false">IF(INDEX(選手一覧!$E$7:$E$2738,$F624)="","",INDEX(選手一覧!$E$7:$E$2738,$F624))</f>
        <v/>
      </c>
      <c r="I624" s="11" t="str">
        <f aca="false">IF(INDEX(選手一覧!$H$7:$H$2738,$F624)="","",INDEX(選手一覧!$H$7:$H$2738,$F624))</f>
        <v/>
      </c>
      <c r="J624" s="12" t="str">
        <f aca="false">IF(INDEX(選手一覧!$I$7:$I$2738,$F624)="","",INDEX(選手一覧!$I$7:$I$2738,$F624))</f>
        <v/>
      </c>
    </row>
    <row r="625" customFormat="false" ht="15" hidden="false" customHeight="false" outlineLevel="0" collapsed="false">
      <c r="A625" s="12" t="n">
        <v>621</v>
      </c>
      <c r="B625" s="10" t="s">
        <v>1937</v>
      </c>
      <c r="C625" s="10" t="s">
        <v>680</v>
      </c>
      <c r="D625" s="11" t="n">
        <v>0.00728148148148148</v>
      </c>
      <c r="E625" s="18" t="n">
        <f aca="false">ROUND((D625-$D$5)*86400,2)</f>
        <v>90.1</v>
      </c>
      <c r="F625" s="12" t="n">
        <v>1330</v>
      </c>
      <c r="G625" s="11" t="n">
        <f aca="false">IF(INDEX(選手一覧!$D$7:$D$2738,$F625)="","",INDEX(選手一覧!$D$7:$D$2738,$F625))</f>
        <v>0.0109021990740741</v>
      </c>
      <c r="H625" s="12" t="n">
        <f aca="false">IF(INDEX(選手一覧!$E$7:$E$2738,$F625)="","",INDEX(選手一覧!$E$7:$E$2738,$F625))</f>
        <v>922</v>
      </c>
      <c r="I625" s="11" t="str">
        <f aca="false">IF(INDEX(選手一覧!$H$7:$H$2738,$F625)="","",INDEX(選手一覧!$H$7:$H$2738,$F625))</f>
        <v/>
      </c>
      <c r="J625" s="12" t="str">
        <f aca="false">IF(INDEX(選手一覧!$I$7:$I$2738,$F625)="","",INDEX(選手一覧!$I$7:$I$2738,$F625))</f>
        <v/>
      </c>
    </row>
    <row r="626" customFormat="false" ht="15" hidden="false" customHeight="false" outlineLevel="0" collapsed="false">
      <c r="A626" s="12" t="n">
        <v>622</v>
      </c>
      <c r="B626" s="10" t="s">
        <v>1939</v>
      </c>
      <c r="C626" s="10" t="s">
        <v>95</v>
      </c>
      <c r="D626" s="11" t="n">
        <v>0.0072818287037037</v>
      </c>
      <c r="E626" s="18" t="n">
        <f aca="false">ROUND((D626-$D$5)*86400,2)</f>
        <v>90.13</v>
      </c>
      <c r="F626" s="12" t="n">
        <v>1332</v>
      </c>
      <c r="G626" s="11" t="str">
        <f aca="false">IF(INDEX(選手一覧!$D$7:$D$2738,$F626)="","",INDEX(選手一覧!$D$7:$D$2738,$F626))</f>
        <v/>
      </c>
      <c r="H626" s="12" t="str">
        <f aca="false">IF(INDEX(選手一覧!$E$7:$E$2738,$F626)="","",INDEX(選手一覧!$E$7:$E$2738,$F626))</f>
        <v/>
      </c>
      <c r="I626" s="11" t="str">
        <f aca="false">IF(INDEX(選手一覧!$H$7:$H$2738,$F626)="","",INDEX(選手一覧!$H$7:$H$2738,$F626))</f>
        <v/>
      </c>
      <c r="J626" s="12" t="str">
        <f aca="false">IF(INDEX(選手一覧!$I$7:$I$2738,$F626)="","",INDEX(選手一覧!$I$7:$I$2738,$F626))</f>
        <v/>
      </c>
    </row>
    <row r="627" customFormat="false" ht="15" hidden="false" customHeight="false" outlineLevel="0" collapsed="false">
      <c r="A627" s="12" t="n">
        <v>623</v>
      </c>
      <c r="B627" s="10" t="s">
        <v>1940</v>
      </c>
      <c r="C627" s="10" t="s">
        <v>201</v>
      </c>
      <c r="D627" s="11" t="n">
        <v>0.00728298611111111</v>
      </c>
      <c r="E627" s="18" t="n">
        <f aca="false">ROUND((D627-$D$5)*86400,2)</f>
        <v>90.23</v>
      </c>
      <c r="F627" s="12" t="n">
        <v>1333</v>
      </c>
      <c r="G627" s="11" t="n">
        <f aca="false">IF(INDEX(選手一覧!$D$7:$D$2738,$F627)="","",INDEX(選手一覧!$D$7:$D$2738,$F627))</f>
        <v>0.0110722222222222</v>
      </c>
      <c r="H627" s="12" t="n">
        <f aca="false">IF(INDEX(選手一覧!$E$7:$E$2738,$F627)="","",INDEX(選手一覧!$E$7:$E$2738,$F627))</f>
        <v>1239</v>
      </c>
      <c r="I627" s="11" t="str">
        <f aca="false">IF(INDEX(選手一覧!$H$7:$H$2738,$F627)="","",INDEX(選手一覧!$H$7:$H$2738,$F627))</f>
        <v/>
      </c>
      <c r="J627" s="12" t="str">
        <f aca="false">IF(INDEX(選手一覧!$I$7:$I$2738,$F627)="","",INDEX(選手一覧!$I$7:$I$2738,$F627))</f>
        <v/>
      </c>
    </row>
    <row r="628" customFormat="false" ht="15" hidden="false" customHeight="false" outlineLevel="0" collapsed="false">
      <c r="A628" s="12" t="n">
        <v>624</v>
      </c>
      <c r="B628" s="10" t="s">
        <v>1944</v>
      </c>
      <c r="C628" s="10" t="s">
        <v>1366</v>
      </c>
      <c r="D628" s="11" t="n">
        <v>0.00728321759259259</v>
      </c>
      <c r="E628" s="18" t="n">
        <f aca="false">ROUND((D628-$D$5)*86400,2)</f>
        <v>90.25</v>
      </c>
      <c r="F628" s="12" t="n">
        <v>1336</v>
      </c>
      <c r="G628" s="11" t="str">
        <f aca="false">IF(INDEX(選手一覧!$D$7:$D$2738,$F628)="","",INDEX(選手一覧!$D$7:$D$2738,$F628))</f>
        <v/>
      </c>
      <c r="H628" s="12" t="str">
        <f aca="false">IF(INDEX(選手一覧!$E$7:$E$2738,$F628)="","",INDEX(選手一覧!$E$7:$E$2738,$F628))</f>
        <v/>
      </c>
      <c r="I628" s="11" t="str">
        <f aca="false">IF(INDEX(選手一覧!$H$7:$H$2738,$F628)="","",INDEX(選手一覧!$H$7:$H$2738,$F628))</f>
        <v/>
      </c>
      <c r="J628" s="12" t="str">
        <f aca="false">IF(INDEX(選手一覧!$I$7:$I$2738,$F628)="","",INDEX(選手一覧!$I$7:$I$2738,$F628))</f>
        <v/>
      </c>
    </row>
    <row r="629" customFormat="false" ht="15" hidden="false" customHeight="false" outlineLevel="0" collapsed="false">
      <c r="A629" s="12" t="n">
        <v>625</v>
      </c>
      <c r="B629" s="10" t="s">
        <v>1945</v>
      </c>
      <c r="C629" s="10" t="s">
        <v>1946</v>
      </c>
      <c r="D629" s="11" t="n">
        <v>0.00728344907407407</v>
      </c>
      <c r="E629" s="18" t="n">
        <f aca="false">ROUND((D629-$D$5)*86400,2)</f>
        <v>90.27</v>
      </c>
      <c r="F629" s="12" t="n">
        <v>1337</v>
      </c>
      <c r="G629" s="11" t="str">
        <f aca="false">IF(INDEX(選手一覧!$D$7:$D$2738,$F629)="","",INDEX(選手一覧!$D$7:$D$2738,$F629))</f>
        <v/>
      </c>
      <c r="H629" s="12" t="str">
        <f aca="false">IF(INDEX(選手一覧!$E$7:$E$2738,$F629)="","",INDEX(選手一覧!$E$7:$E$2738,$F629))</f>
        <v/>
      </c>
      <c r="I629" s="11" t="str">
        <f aca="false">IF(INDEX(選手一覧!$H$7:$H$2738,$F629)="","",INDEX(選手一覧!$H$7:$H$2738,$F629))</f>
        <v/>
      </c>
      <c r="J629" s="12" t="str">
        <f aca="false">IF(INDEX(選手一覧!$I$7:$I$2738,$F629)="","",INDEX(選手一覧!$I$7:$I$2738,$F629))</f>
        <v/>
      </c>
    </row>
    <row r="630" customFormat="false" ht="15" hidden="false" customHeight="false" outlineLevel="0" collapsed="false">
      <c r="A630" s="12" t="n">
        <v>626</v>
      </c>
      <c r="B630" s="10" t="s">
        <v>1948</v>
      </c>
      <c r="C630" s="10" t="s">
        <v>473</v>
      </c>
      <c r="D630" s="11" t="n">
        <v>0.00728356481481481</v>
      </c>
      <c r="E630" s="18" t="n">
        <f aca="false">ROUND((D630-$D$5)*86400,2)</f>
        <v>90.28</v>
      </c>
      <c r="F630" s="12" t="n">
        <v>1339</v>
      </c>
      <c r="G630" s="11" t="str">
        <f aca="false">IF(INDEX(選手一覧!$D$7:$D$2738,$F630)="","",INDEX(選手一覧!$D$7:$D$2738,$F630))</f>
        <v/>
      </c>
      <c r="H630" s="12" t="str">
        <f aca="false">IF(INDEX(選手一覧!$E$7:$E$2738,$F630)="","",INDEX(選手一覧!$E$7:$E$2738,$F630))</f>
        <v/>
      </c>
      <c r="I630" s="11" t="str">
        <f aca="false">IF(INDEX(選手一覧!$H$7:$H$2738,$F630)="","",INDEX(選手一覧!$H$7:$H$2738,$F630))</f>
        <v/>
      </c>
      <c r="J630" s="12" t="str">
        <f aca="false">IF(INDEX(選手一覧!$I$7:$I$2738,$F630)="","",INDEX(選手一覧!$I$7:$I$2738,$F630))</f>
        <v/>
      </c>
    </row>
    <row r="631" customFormat="false" ht="15" hidden="false" customHeight="false" outlineLevel="0" collapsed="false">
      <c r="A631" s="12" t="n">
        <v>627</v>
      </c>
      <c r="B631" s="10" t="s">
        <v>1951</v>
      </c>
      <c r="C631" s="10" t="s">
        <v>1936</v>
      </c>
      <c r="D631" s="11" t="n">
        <v>0.00728414351851852</v>
      </c>
      <c r="E631" s="18" t="n">
        <f aca="false">ROUND((D631-$D$5)*86400,2)</f>
        <v>90.33</v>
      </c>
      <c r="F631" s="12" t="n">
        <v>1342</v>
      </c>
      <c r="G631" s="11" t="str">
        <f aca="false">IF(INDEX(選手一覧!$D$7:$D$2738,$F631)="","",INDEX(選手一覧!$D$7:$D$2738,$F631))</f>
        <v/>
      </c>
      <c r="H631" s="12" t="str">
        <f aca="false">IF(INDEX(選手一覧!$E$7:$E$2738,$F631)="","",INDEX(選手一覧!$E$7:$E$2738,$F631))</f>
        <v/>
      </c>
      <c r="I631" s="11" t="str">
        <f aca="false">IF(INDEX(選手一覧!$H$7:$H$2738,$F631)="","",INDEX(選手一覧!$H$7:$H$2738,$F631))</f>
        <v/>
      </c>
      <c r="J631" s="12" t="str">
        <f aca="false">IF(INDEX(選手一覧!$I$7:$I$2738,$F631)="","",INDEX(選手一覧!$I$7:$I$2738,$F631))</f>
        <v/>
      </c>
    </row>
    <row r="632" customFormat="false" ht="15" hidden="false" customHeight="false" outlineLevel="0" collapsed="false">
      <c r="A632" s="12" t="n">
        <v>628</v>
      </c>
      <c r="B632" s="10" t="s">
        <v>1782</v>
      </c>
      <c r="C632" s="10" t="s">
        <v>1783</v>
      </c>
      <c r="D632" s="11" t="n">
        <v>0.00728587962962963</v>
      </c>
      <c r="E632" s="18" t="n">
        <f aca="false">ROUND((D632-$D$5)*86400,2)</f>
        <v>90.48</v>
      </c>
      <c r="F632" s="12" t="n">
        <v>1226</v>
      </c>
      <c r="G632" s="11" t="n">
        <f aca="false">IF(INDEX(選手一覧!$D$7:$D$2738,$F632)="","",INDEX(選手一覧!$D$7:$D$2738,$F632))</f>
        <v>0.0106871527777778</v>
      </c>
      <c r="H632" s="12" t="n">
        <f aca="false">IF(INDEX(選手一覧!$E$7:$E$2738,$F632)="","",INDEX(選手一覧!$E$7:$E$2738,$F632))</f>
        <v>564</v>
      </c>
      <c r="I632" s="11" t="n">
        <f aca="false">IF(INDEX(選手一覧!$H$7:$H$2738,$F632)="","",INDEX(選手一覧!$H$7:$H$2738,$F632))</f>
        <v>0.00288969907407407</v>
      </c>
      <c r="J632" s="12" t="n">
        <f aca="false">IF(INDEX(選手一覧!$I$7:$I$2738,$F632)="","",INDEX(選手一覧!$I$7:$I$2738,$F632))</f>
        <v>862</v>
      </c>
    </row>
    <row r="633" customFormat="false" ht="15" hidden="false" customHeight="false" outlineLevel="0" collapsed="false">
      <c r="A633" s="12" t="n">
        <v>629</v>
      </c>
      <c r="B633" s="10" t="s">
        <v>1954</v>
      </c>
      <c r="C633" s="10" t="s">
        <v>1297</v>
      </c>
      <c r="D633" s="11" t="n">
        <v>0.00728912037037037</v>
      </c>
      <c r="E633" s="18" t="n">
        <f aca="false">ROUND((D633-$D$5)*86400,2)</f>
        <v>90.76</v>
      </c>
      <c r="F633" s="12" t="n">
        <v>1345</v>
      </c>
      <c r="G633" s="11" t="str">
        <f aca="false">IF(INDEX(選手一覧!$D$7:$D$2738,$F633)="","",INDEX(選手一覧!$D$7:$D$2738,$F633))</f>
        <v/>
      </c>
      <c r="H633" s="12" t="str">
        <f aca="false">IF(INDEX(選手一覧!$E$7:$E$2738,$F633)="","",INDEX(選手一覧!$E$7:$E$2738,$F633))</f>
        <v/>
      </c>
      <c r="I633" s="11" t="str">
        <f aca="false">IF(INDEX(選手一覧!$H$7:$H$2738,$F633)="","",INDEX(選手一覧!$H$7:$H$2738,$F633))</f>
        <v/>
      </c>
      <c r="J633" s="12" t="str">
        <f aca="false">IF(INDEX(選手一覧!$I$7:$I$2738,$F633)="","",INDEX(選手一覧!$I$7:$I$2738,$F633))</f>
        <v/>
      </c>
    </row>
    <row r="634" customFormat="false" ht="15" hidden="false" customHeight="false" outlineLevel="0" collapsed="false">
      <c r="A634" s="12" t="n">
        <v>630</v>
      </c>
      <c r="B634" s="10" t="s">
        <v>1956</v>
      </c>
      <c r="C634" s="10" t="s">
        <v>534</v>
      </c>
      <c r="D634" s="11" t="n">
        <v>0.007290625</v>
      </c>
      <c r="E634" s="18" t="n">
        <f aca="false">ROUND((D634-$D$5)*86400,2)</f>
        <v>90.89</v>
      </c>
      <c r="F634" s="12" t="n">
        <v>1347</v>
      </c>
      <c r="G634" s="11" t="n">
        <f aca="false">IF(INDEX(選手一覧!$D$7:$D$2738,$F634)="","",INDEX(選手一覧!$D$7:$D$2738,$F634))</f>
        <v>0.0107538194444444</v>
      </c>
      <c r="H634" s="12" t="n">
        <f aca="false">IF(INDEX(選手一覧!$E$7:$E$2738,$F634)="","",INDEX(選手一覧!$E$7:$E$2738,$F634))</f>
        <v>673</v>
      </c>
      <c r="I634" s="11" t="str">
        <f aca="false">IF(INDEX(選手一覧!$H$7:$H$2738,$F634)="","",INDEX(選手一覧!$H$7:$H$2738,$F634))</f>
        <v/>
      </c>
      <c r="J634" s="12" t="str">
        <f aca="false">IF(INDEX(選手一覧!$I$7:$I$2738,$F634)="","",INDEX(選手一覧!$I$7:$I$2738,$F634))</f>
        <v/>
      </c>
    </row>
    <row r="635" customFormat="false" ht="15" hidden="false" customHeight="false" outlineLevel="0" collapsed="false">
      <c r="A635" s="12" t="n">
        <v>631</v>
      </c>
      <c r="B635" s="10" t="s">
        <v>1957</v>
      </c>
      <c r="C635" s="10" t="s">
        <v>1958</v>
      </c>
      <c r="D635" s="11" t="n">
        <v>0.00729085648148148</v>
      </c>
      <c r="E635" s="18" t="n">
        <f aca="false">ROUND((D635-$D$5)*86400,2)</f>
        <v>90.91</v>
      </c>
      <c r="F635" s="12" t="n">
        <v>1348</v>
      </c>
      <c r="G635" s="11" t="str">
        <f aca="false">IF(INDEX(選手一覧!$D$7:$D$2738,$F635)="","",INDEX(選手一覧!$D$7:$D$2738,$F635))</f>
        <v/>
      </c>
      <c r="H635" s="12" t="str">
        <f aca="false">IF(INDEX(選手一覧!$E$7:$E$2738,$F635)="","",INDEX(選手一覧!$E$7:$E$2738,$F635))</f>
        <v/>
      </c>
      <c r="I635" s="11" t="n">
        <f aca="false">IF(INDEX(選手一覧!$H$7:$H$2738,$F635)="","",INDEX(選手一覧!$H$7:$H$2738,$F635))</f>
        <v>0.00291111111111111</v>
      </c>
      <c r="J635" s="12" t="n">
        <f aca="false">IF(INDEX(選手一覧!$I$7:$I$2738,$F635)="","",INDEX(選手一覧!$I$7:$I$2738,$F635))</f>
        <v>1030</v>
      </c>
    </row>
    <row r="636" customFormat="false" ht="15" hidden="false" customHeight="false" outlineLevel="0" collapsed="false">
      <c r="A636" s="12" t="n">
        <v>632</v>
      </c>
      <c r="B636" s="10" t="s">
        <v>1961</v>
      </c>
      <c r="C636" s="10" t="s">
        <v>1962</v>
      </c>
      <c r="D636" s="11" t="n">
        <v>0.00729189814814815</v>
      </c>
      <c r="E636" s="18" t="n">
        <f aca="false">ROUND((D636-$D$5)*86400,2)</f>
        <v>91</v>
      </c>
      <c r="F636" s="12" t="n">
        <v>1351</v>
      </c>
      <c r="G636" s="11" t="str">
        <f aca="false">IF(INDEX(選手一覧!$D$7:$D$2738,$F636)="","",INDEX(選手一覧!$D$7:$D$2738,$F636))</f>
        <v/>
      </c>
      <c r="H636" s="12" t="str">
        <f aca="false">IF(INDEX(選手一覧!$E$7:$E$2738,$F636)="","",INDEX(選手一覧!$E$7:$E$2738,$F636))</f>
        <v/>
      </c>
      <c r="I636" s="11" t="str">
        <f aca="false">IF(INDEX(選手一覧!$H$7:$H$2738,$F636)="","",INDEX(選手一覧!$H$7:$H$2738,$F636))</f>
        <v/>
      </c>
      <c r="J636" s="12" t="str">
        <f aca="false">IF(INDEX(選手一覧!$I$7:$I$2738,$F636)="","",INDEX(選手一覧!$I$7:$I$2738,$F636))</f>
        <v/>
      </c>
    </row>
    <row r="637" customFormat="false" ht="15" hidden="false" customHeight="false" outlineLevel="0" collapsed="false">
      <c r="A637" s="12" t="n">
        <v>633</v>
      </c>
      <c r="B637" s="10" t="s">
        <v>1963</v>
      </c>
      <c r="C637" s="10" t="s">
        <v>656</v>
      </c>
      <c r="D637" s="11" t="n">
        <v>0.00729236111111111</v>
      </c>
      <c r="E637" s="18" t="n">
        <f aca="false">ROUND((D637-$D$5)*86400,2)</f>
        <v>91.04</v>
      </c>
      <c r="F637" s="12" t="n">
        <v>1352</v>
      </c>
      <c r="G637" s="11" t="str">
        <f aca="false">IF(INDEX(選手一覧!$D$7:$D$2738,$F637)="","",INDEX(選手一覧!$D$7:$D$2738,$F637))</f>
        <v/>
      </c>
      <c r="H637" s="12" t="str">
        <f aca="false">IF(INDEX(選手一覧!$E$7:$E$2738,$F637)="","",INDEX(選手一覧!$E$7:$E$2738,$F637))</f>
        <v/>
      </c>
      <c r="I637" s="11" t="str">
        <f aca="false">IF(INDEX(選手一覧!$H$7:$H$2738,$F637)="","",INDEX(選手一覧!$H$7:$H$2738,$F637))</f>
        <v/>
      </c>
      <c r="J637" s="12" t="str">
        <f aca="false">IF(INDEX(選手一覧!$I$7:$I$2738,$F637)="","",INDEX(選手一覧!$I$7:$I$2738,$F637))</f>
        <v/>
      </c>
    </row>
    <row r="638" customFormat="false" ht="15" hidden="false" customHeight="false" outlineLevel="0" collapsed="false">
      <c r="A638" s="12" t="n">
        <v>634</v>
      </c>
      <c r="B638" s="10" t="s">
        <v>1965</v>
      </c>
      <c r="C638" s="10" t="s">
        <v>995</v>
      </c>
      <c r="D638" s="11" t="n">
        <v>0.00729236111111111</v>
      </c>
      <c r="E638" s="18" t="n">
        <f aca="false">ROUND((D638-$D$5)*86400,2)</f>
        <v>91.04</v>
      </c>
      <c r="F638" s="12" t="n">
        <v>1354</v>
      </c>
      <c r="G638" s="11" t="str">
        <f aca="false">IF(INDEX(選手一覧!$D$7:$D$2738,$F638)="","",INDEX(選手一覧!$D$7:$D$2738,$F638))</f>
        <v/>
      </c>
      <c r="H638" s="12" t="str">
        <f aca="false">IF(INDEX(選手一覧!$E$7:$E$2738,$F638)="","",INDEX(選手一覧!$E$7:$E$2738,$F638))</f>
        <v/>
      </c>
      <c r="I638" s="11" t="str">
        <f aca="false">IF(INDEX(選手一覧!$H$7:$H$2738,$F638)="","",INDEX(選手一覧!$H$7:$H$2738,$F638))</f>
        <v/>
      </c>
      <c r="J638" s="12" t="str">
        <f aca="false">IF(INDEX(選手一覧!$I$7:$I$2738,$F638)="","",INDEX(選手一覧!$I$7:$I$2738,$F638))</f>
        <v/>
      </c>
    </row>
    <row r="639" customFormat="false" ht="15" hidden="false" customHeight="false" outlineLevel="0" collapsed="false">
      <c r="A639" s="12" t="n">
        <v>635</v>
      </c>
      <c r="B639" s="10" t="s">
        <v>1966</v>
      </c>
      <c r="C639" s="10" t="s">
        <v>1199</v>
      </c>
      <c r="D639" s="11" t="n">
        <v>0.00729409722222222</v>
      </c>
      <c r="E639" s="18" t="n">
        <f aca="false">ROUND((D639-$D$5)*86400,2)</f>
        <v>91.19</v>
      </c>
      <c r="F639" s="12" t="n">
        <v>1355</v>
      </c>
      <c r="G639" s="11" t="str">
        <f aca="false">IF(INDEX(選手一覧!$D$7:$D$2738,$F639)="","",INDEX(選手一覧!$D$7:$D$2738,$F639))</f>
        <v/>
      </c>
      <c r="H639" s="12" t="str">
        <f aca="false">IF(INDEX(選手一覧!$E$7:$E$2738,$F639)="","",INDEX(選手一覧!$E$7:$E$2738,$F639))</f>
        <v/>
      </c>
      <c r="I639" s="11" t="str">
        <f aca="false">IF(INDEX(選手一覧!$H$7:$H$2738,$F639)="","",INDEX(選手一覧!$H$7:$H$2738,$F639))</f>
        <v/>
      </c>
      <c r="J639" s="12" t="str">
        <f aca="false">IF(INDEX(選手一覧!$I$7:$I$2738,$F639)="","",INDEX(選手一覧!$I$7:$I$2738,$F639))</f>
        <v/>
      </c>
    </row>
    <row r="640" customFormat="false" ht="15" hidden="false" customHeight="false" outlineLevel="0" collapsed="false">
      <c r="A640" s="12" t="n">
        <v>636</v>
      </c>
      <c r="B640" s="10" t="s">
        <v>1967</v>
      </c>
      <c r="C640" s="10" t="s">
        <v>1968</v>
      </c>
      <c r="D640" s="11" t="n">
        <v>0.00729421296296296</v>
      </c>
      <c r="E640" s="18" t="n">
        <f aca="false">ROUND((D640-$D$5)*86400,2)</f>
        <v>91.2</v>
      </c>
      <c r="F640" s="12" t="n">
        <v>1356</v>
      </c>
      <c r="G640" s="11" t="str">
        <f aca="false">IF(INDEX(選手一覧!$D$7:$D$2738,$F640)="","",INDEX(選手一覧!$D$7:$D$2738,$F640))</f>
        <v/>
      </c>
      <c r="H640" s="12" t="str">
        <f aca="false">IF(INDEX(選手一覧!$E$7:$E$2738,$F640)="","",INDEX(選手一覧!$E$7:$E$2738,$F640))</f>
        <v/>
      </c>
      <c r="I640" s="11" t="str">
        <f aca="false">IF(INDEX(選手一覧!$H$7:$H$2738,$F640)="","",INDEX(選手一覧!$H$7:$H$2738,$F640))</f>
        <v/>
      </c>
      <c r="J640" s="12" t="str">
        <f aca="false">IF(INDEX(選手一覧!$I$7:$I$2738,$F640)="","",INDEX(選手一覧!$I$7:$I$2738,$F640))</f>
        <v/>
      </c>
    </row>
    <row r="641" customFormat="false" ht="15" hidden="false" customHeight="false" outlineLevel="0" collapsed="false">
      <c r="A641" s="12" t="n">
        <v>637</v>
      </c>
      <c r="B641" s="10" t="s">
        <v>1969</v>
      </c>
      <c r="C641" s="10" t="s">
        <v>1970</v>
      </c>
      <c r="D641" s="11" t="n">
        <v>0.00729444444444445</v>
      </c>
      <c r="E641" s="18" t="n">
        <f aca="false">ROUND((D641-$D$5)*86400,2)</f>
        <v>91.22</v>
      </c>
      <c r="F641" s="12" t="n">
        <v>1357</v>
      </c>
      <c r="G641" s="11" t="str">
        <f aca="false">IF(INDEX(選手一覧!$D$7:$D$2738,$F641)="","",INDEX(選手一覧!$D$7:$D$2738,$F641))</f>
        <v/>
      </c>
      <c r="H641" s="12" t="str">
        <f aca="false">IF(INDEX(選手一覧!$E$7:$E$2738,$F641)="","",INDEX(選手一覧!$E$7:$E$2738,$F641))</f>
        <v/>
      </c>
      <c r="I641" s="11" t="str">
        <f aca="false">IF(INDEX(選手一覧!$H$7:$H$2738,$F641)="","",INDEX(選手一覧!$H$7:$H$2738,$F641))</f>
        <v/>
      </c>
      <c r="J641" s="12" t="str">
        <f aca="false">IF(INDEX(選手一覧!$I$7:$I$2738,$F641)="","",INDEX(選手一覧!$I$7:$I$2738,$F641))</f>
        <v/>
      </c>
    </row>
    <row r="642" customFormat="false" ht="15" hidden="false" customHeight="false" outlineLevel="0" collapsed="false">
      <c r="A642" s="12" t="n">
        <v>638</v>
      </c>
      <c r="B642" s="10" t="s">
        <v>1973</v>
      </c>
      <c r="C642" s="10" t="s">
        <v>422</v>
      </c>
      <c r="D642" s="11" t="n">
        <v>0.00729456018518519</v>
      </c>
      <c r="E642" s="18" t="n">
        <f aca="false">ROUND((D642-$D$5)*86400,2)</f>
        <v>91.23</v>
      </c>
      <c r="F642" s="12" t="n">
        <v>1359</v>
      </c>
      <c r="G642" s="11" t="str">
        <f aca="false">IF(INDEX(選手一覧!$D$7:$D$2738,$F642)="","",INDEX(選手一覧!$D$7:$D$2738,$F642))</f>
        <v/>
      </c>
      <c r="H642" s="12" t="str">
        <f aca="false">IF(INDEX(選手一覧!$E$7:$E$2738,$F642)="","",INDEX(選手一覧!$E$7:$E$2738,$F642))</f>
        <v/>
      </c>
      <c r="I642" s="11" t="str">
        <f aca="false">IF(INDEX(選手一覧!$H$7:$H$2738,$F642)="","",INDEX(選手一覧!$H$7:$H$2738,$F642))</f>
        <v/>
      </c>
      <c r="J642" s="12" t="str">
        <f aca="false">IF(INDEX(選手一覧!$I$7:$I$2738,$F642)="","",INDEX(選手一覧!$I$7:$I$2738,$F642))</f>
        <v/>
      </c>
    </row>
    <row r="643" customFormat="false" ht="15" hidden="false" customHeight="false" outlineLevel="0" collapsed="false">
      <c r="A643" s="12" t="n">
        <v>639</v>
      </c>
      <c r="B643" s="10" t="s">
        <v>1976</v>
      </c>
      <c r="C643" s="10" t="s">
        <v>1747</v>
      </c>
      <c r="D643" s="11" t="n">
        <v>0.00729537037037037</v>
      </c>
      <c r="E643" s="18" t="n">
        <f aca="false">ROUND((D643-$D$5)*86400,2)</f>
        <v>91.3</v>
      </c>
      <c r="F643" s="12" t="n">
        <v>1361</v>
      </c>
      <c r="G643" s="11" t="str">
        <f aca="false">IF(INDEX(選手一覧!$D$7:$D$2738,$F643)="","",INDEX(選手一覧!$D$7:$D$2738,$F643))</f>
        <v/>
      </c>
      <c r="H643" s="12" t="str">
        <f aca="false">IF(INDEX(選手一覧!$E$7:$E$2738,$F643)="","",INDEX(選手一覧!$E$7:$E$2738,$F643))</f>
        <v/>
      </c>
      <c r="I643" s="11" t="str">
        <f aca="false">IF(INDEX(選手一覧!$H$7:$H$2738,$F643)="","",INDEX(選手一覧!$H$7:$H$2738,$F643))</f>
        <v/>
      </c>
      <c r="J643" s="12" t="str">
        <f aca="false">IF(INDEX(選手一覧!$I$7:$I$2738,$F643)="","",INDEX(選手一覧!$I$7:$I$2738,$F643))</f>
        <v/>
      </c>
    </row>
    <row r="644" customFormat="false" ht="15" hidden="false" customHeight="false" outlineLevel="0" collapsed="false">
      <c r="A644" s="12" t="n">
        <v>640</v>
      </c>
      <c r="B644" s="10" t="s">
        <v>1978</v>
      </c>
      <c r="C644" s="10" t="s">
        <v>1979</v>
      </c>
      <c r="D644" s="11" t="n">
        <v>0.00729664351851852</v>
      </c>
      <c r="E644" s="18" t="n">
        <f aca="false">ROUND((D644-$D$5)*86400,2)</f>
        <v>91.41</v>
      </c>
      <c r="F644" s="12" t="n">
        <v>1363</v>
      </c>
      <c r="G644" s="11" t="str">
        <f aca="false">IF(INDEX(選手一覧!$D$7:$D$2738,$F644)="","",INDEX(選手一覧!$D$7:$D$2738,$F644))</f>
        <v/>
      </c>
      <c r="H644" s="12" t="str">
        <f aca="false">IF(INDEX(選手一覧!$E$7:$E$2738,$F644)="","",INDEX(選手一覧!$E$7:$E$2738,$F644))</f>
        <v/>
      </c>
      <c r="I644" s="11" t="str">
        <f aca="false">IF(INDEX(選手一覧!$H$7:$H$2738,$F644)="","",INDEX(選手一覧!$H$7:$H$2738,$F644))</f>
        <v/>
      </c>
      <c r="J644" s="12" t="str">
        <f aca="false">IF(INDEX(選手一覧!$I$7:$I$2738,$F644)="","",INDEX(選手一覧!$I$7:$I$2738,$F644))</f>
        <v/>
      </c>
    </row>
    <row r="645" customFormat="false" ht="15" hidden="false" customHeight="false" outlineLevel="0" collapsed="false">
      <c r="A645" s="12" t="n">
        <v>641</v>
      </c>
      <c r="B645" s="10" t="s">
        <v>1981</v>
      </c>
      <c r="C645" s="10" t="s">
        <v>1982</v>
      </c>
      <c r="D645" s="11" t="n">
        <v>0.00729849537037037</v>
      </c>
      <c r="E645" s="18" t="n">
        <f aca="false">ROUND((D645-$D$5)*86400,2)</f>
        <v>91.57</v>
      </c>
      <c r="F645" s="12" t="n">
        <v>1365</v>
      </c>
      <c r="G645" s="11" t="str">
        <f aca="false">IF(INDEX(選手一覧!$D$7:$D$2738,$F645)="","",INDEX(選手一覧!$D$7:$D$2738,$F645))</f>
        <v/>
      </c>
      <c r="H645" s="12" t="str">
        <f aca="false">IF(INDEX(選手一覧!$E$7:$E$2738,$F645)="","",INDEX(選手一覧!$E$7:$E$2738,$F645))</f>
        <v/>
      </c>
      <c r="I645" s="11" t="str">
        <f aca="false">IF(INDEX(選手一覧!$H$7:$H$2738,$F645)="","",INDEX(選手一覧!$H$7:$H$2738,$F645))</f>
        <v/>
      </c>
      <c r="J645" s="12" t="str">
        <f aca="false">IF(INDEX(選手一覧!$I$7:$I$2738,$F645)="","",INDEX(選手一覧!$I$7:$I$2738,$F645))</f>
        <v/>
      </c>
    </row>
    <row r="646" customFormat="false" ht="15" hidden="false" customHeight="false" outlineLevel="0" collapsed="false">
      <c r="A646" s="12" t="n">
        <v>642</v>
      </c>
      <c r="B646" s="10" t="s">
        <v>1983</v>
      </c>
      <c r="C646" s="10" t="s">
        <v>190</v>
      </c>
      <c r="D646" s="11" t="n">
        <v>0.00729849537037037</v>
      </c>
      <c r="E646" s="18" t="n">
        <f aca="false">ROUND((D646-$D$5)*86400,2)</f>
        <v>91.57</v>
      </c>
      <c r="F646" s="12" t="n">
        <v>1366</v>
      </c>
      <c r="G646" s="11" t="str">
        <f aca="false">IF(INDEX(選手一覧!$D$7:$D$2738,$F646)="","",INDEX(選手一覧!$D$7:$D$2738,$F646))</f>
        <v/>
      </c>
      <c r="H646" s="12" t="str">
        <f aca="false">IF(INDEX(選手一覧!$E$7:$E$2738,$F646)="","",INDEX(選手一覧!$E$7:$E$2738,$F646))</f>
        <v/>
      </c>
      <c r="I646" s="11" t="str">
        <f aca="false">IF(INDEX(選手一覧!$H$7:$H$2738,$F646)="","",INDEX(選手一覧!$H$7:$H$2738,$F646))</f>
        <v/>
      </c>
      <c r="J646" s="12" t="str">
        <f aca="false">IF(INDEX(選手一覧!$I$7:$I$2738,$F646)="","",INDEX(選手一覧!$I$7:$I$2738,$F646))</f>
        <v/>
      </c>
    </row>
    <row r="647" customFormat="false" ht="15" hidden="false" customHeight="false" outlineLevel="0" collapsed="false">
      <c r="A647" s="12" t="n">
        <v>643</v>
      </c>
      <c r="B647" s="10" t="s">
        <v>1986</v>
      </c>
      <c r="C647" s="10" t="s">
        <v>1873</v>
      </c>
      <c r="D647" s="11" t="n">
        <v>0.00729872685185185</v>
      </c>
      <c r="E647" s="18" t="n">
        <f aca="false">ROUND((D647-$D$5)*86400,2)</f>
        <v>91.59</v>
      </c>
      <c r="F647" s="12" t="n">
        <v>1368</v>
      </c>
      <c r="G647" s="11" t="str">
        <f aca="false">IF(INDEX(選手一覧!$D$7:$D$2738,$F647)="","",INDEX(選手一覧!$D$7:$D$2738,$F647))</f>
        <v/>
      </c>
      <c r="H647" s="12" t="str">
        <f aca="false">IF(INDEX(選手一覧!$E$7:$E$2738,$F647)="","",INDEX(選手一覧!$E$7:$E$2738,$F647))</f>
        <v/>
      </c>
      <c r="I647" s="11" t="str">
        <f aca="false">IF(INDEX(選手一覧!$H$7:$H$2738,$F647)="","",INDEX(選手一覧!$H$7:$H$2738,$F647))</f>
        <v/>
      </c>
      <c r="J647" s="12" t="str">
        <f aca="false">IF(INDEX(選手一覧!$I$7:$I$2738,$F647)="","",INDEX(選手一覧!$I$7:$I$2738,$F647))</f>
        <v/>
      </c>
    </row>
    <row r="648" customFormat="false" ht="15" hidden="false" customHeight="false" outlineLevel="0" collapsed="false">
      <c r="A648" s="12" t="n">
        <v>644</v>
      </c>
      <c r="B648" s="10" t="s">
        <v>1989</v>
      </c>
      <c r="C648" s="10" t="s">
        <v>1990</v>
      </c>
      <c r="D648" s="11" t="n">
        <v>0.00729884259259259</v>
      </c>
      <c r="E648" s="18" t="n">
        <f aca="false">ROUND((D648-$D$5)*86400,2)</f>
        <v>91.6</v>
      </c>
      <c r="F648" s="12" t="n">
        <v>1371</v>
      </c>
      <c r="G648" s="11" t="str">
        <f aca="false">IF(INDEX(選手一覧!$D$7:$D$2738,$F648)="","",INDEX(選手一覧!$D$7:$D$2738,$F648))</f>
        <v/>
      </c>
      <c r="H648" s="12" t="str">
        <f aca="false">IF(INDEX(選手一覧!$E$7:$E$2738,$F648)="","",INDEX(選手一覧!$E$7:$E$2738,$F648))</f>
        <v/>
      </c>
      <c r="I648" s="11" t="str">
        <f aca="false">IF(INDEX(選手一覧!$H$7:$H$2738,$F648)="","",INDEX(選手一覧!$H$7:$H$2738,$F648))</f>
        <v/>
      </c>
      <c r="J648" s="12" t="str">
        <f aca="false">IF(INDEX(選手一覧!$I$7:$I$2738,$F648)="","",INDEX(選手一覧!$I$7:$I$2738,$F648))</f>
        <v/>
      </c>
    </row>
    <row r="649" customFormat="false" ht="15" hidden="false" customHeight="false" outlineLevel="0" collapsed="false">
      <c r="A649" s="12" t="n">
        <v>645</v>
      </c>
      <c r="B649" s="10" t="s">
        <v>1992</v>
      </c>
      <c r="C649" s="10" t="s">
        <v>1993</v>
      </c>
      <c r="D649" s="11" t="n">
        <v>0.00729930555555556</v>
      </c>
      <c r="E649" s="18" t="n">
        <f aca="false">ROUND((D649-$D$5)*86400,2)</f>
        <v>91.64</v>
      </c>
      <c r="F649" s="12" t="n">
        <v>1373</v>
      </c>
      <c r="G649" s="11" t="str">
        <f aca="false">IF(INDEX(選手一覧!$D$7:$D$2738,$F649)="","",INDEX(選手一覧!$D$7:$D$2738,$F649))</f>
        <v/>
      </c>
      <c r="H649" s="12" t="str">
        <f aca="false">IF(INDEX(選手一覧!$E$7:$E$2738,$F649)="","",INDEX(選手一覧!$E$7:$E$2738,$F649))</f>
        <v/>
      </c>
      <c r="I649" s="11" t="str">
        <f aca="false">IF(INDEX(選手一覧!$H$7:$H$2738,$F649)="","",INDEX(選手一覧!$H$7:$H$2738,$F649))</f>
        <v/>
      </c>
      <c r="J649" s="12" t="str">
        <f aca="false">IF(INDEX(選手一覧!$I$7:$I$2738,$F649)="","",INDEX(選手一覧!$I$7:$I$2738,$F649))</f>
        <v/>
      </c>
    </row>
    <row r="650" customFormat="false" ht="15" hidden="false" customHeight="false" outlineLevel="0" collapsed="false">
      <c r="A650" s="12" t="n">
        <v>646</v>
      </c>
      <c r="B650" s="10" t="s">
        <v>1995</v>
      </c>
      <c r="C650" s="10" t="s">
        <v>64</v>
      </c>
      <c r="D650" s="11" t="n">
        <v>0.0072994212962963</v>
      </c>
      <c r="E650" s="18" t="n">
        <f aca="false">ROUND((D650-$D$5)*86400,2)</f>
        <v>91.65</v>
      </c>
      <c r="F650" s="12" t="n">
        <v>1375</v>
      </c>
      <c r="G650" s="11" t="n">
        <f aca="false">IF(INDEX(選手一覧!$D$7:$D$2738,$F650)="","",INDEX(選手一覧!$D$7:$D$2738,$F650))</f>
        <v>0.0107847222222222</v>
      </c>
      <c r="H650" s="12" t="n">
        <f aca="false">IF(INDEX(選手一覧!$E$7:$E$2738,$F650)="","",INDEX(選手一覧!$E$7:$E$2738,$F650))</f>
        <v>712</v>
      </c>
      <c r="I650" s="11" t="n">
        <f aca="false">IF(INDEX(選手一覧!$H$7:$H$2738,$F650)="","",INDEX(選手一覧!$H$7:$H$2738,$F650))</f>
        <v>0.00289733796296296</v>
      </c>
      <c r="J650" s="12" t="n">
        <f aca="false">IF(INDEX(選手一覧!$I$7:$I$2738,$F650)="","",INDEX(選手一覧!$I$7:$I$2738,$F650))</f>
        <v>927</v>
      </c>
    </row>
    <row r="651" customFormat="false" ht="15" hidden="false" customHeight="false" outlineLevel="0" collapsed="false">
      <c r="A651" s="12" t="n">
        <v>647</v>
      </c>
      <c r="B651" s="10" t="s">
        <v>2000</v>
      </c>
      <c r="C651" s="10" t="s">
        <v>844</v>
      </c>
      <c r="D651" s="11" t="n">
        <v>0.00729988425925926</v>
      </c>
      <c r="E651" s="18" t="n">
        <f aca="false">ROUND((D651-$D$5)*86400,2)</f>
        <v>91.69</v>
      </c>
      <c r="F651" s="12" t="n">
        <v>1379</v>
      </c>
      <c r="G651" s="11" t="str">
        <f aca="false">IF(INDEX(選手一覧!$D$7:$D$2738,$F651)="","",INDEX(選手一覧!$D$7:$D$2738,$F651))</f>
        <v/>
      </c>
      <c r="H651" s="12" t="str">
        <f aca="false">IF(INDEX(選手一覧!$E$7:$E$2738,$F651)="","",INDEX(選手一覧!$E$7:$E$2738,$F651))</f>
        <v/>
      </c>
      <c r="I651" s="11" t="str">
        <f aca="false">IF(INDEX(選手一覧!$H$7:$H$2738,$F651)="","",INDEX(選手一覧!$H$7:$H$2738,$F651))</f>
        <v/>
      </c>
      <c r="J651" s="12" t="str">
        <f aca="false">IF(INDEX(選手一覧!$I$7:$I$2738,$F651)="","",INDEX(選手一覧!$I$7:$I$2738,$F651))</f>
        <v/>
      </c>
    </row>
    <row r="652" customFormat="false" ht="15" hidden="false" customHeight="false" outlineLevel="0" collapsed="false">
      <c r="A652" s="12" t="n">
        <v>648</v>
      </c>
      <c r="B652" s="10" t="s">
        <v>2001</v>
      </c>
      <c r="C652" s="10" t="s">
        <v>2002</v>
      </c>
      <c r="D652" s="11" t="n">
        <v>0.0073005787037037</v>
      </c>
      <c r="E652" s="18" t="n">
        <f aca="false">ROUND((D652-$D$5)*86400,2)</f>
        <v>91.75</v>
      </c>
      <c r="F652" s="12" t="n">
        <v>1380</v>
      </c>
      <c r="G652" s="11" t="str">
        <f aca="false">IF(INDEX(選手一覧!$D$7:$D$2738,$F652)="","",INDEX(選手一覧!$D$7:$D$2738,$F652))</f>
        <v/>
      </c>
      <c r="H652" s="12" t="str">
        <f aca="false">IF(INDEX(選手一覧!$E$7:$E$2738,$F652)="","",INDEX(選手一覧!$E$7:$E$2738,$F652))</f>
        <v/>
      </c>
      <c r="I652" s="11" t="str">
        <f aca="false">IF(INDEX(選手一覧!$H$7:$H$2738,$F652)="","",INDEX(選手一覧!$H$7:$H$2738,$F652))</f>
        <v/>
      </c>
      <c r="J652" s="12" t="str">
        <f aca="false">IF(INDEX(選手一覧!$I$7:$I$2738,$F652)="","",INDEX(選手一覧!$I$7:$I$2738,$F652))</f>
        <v/>
      </c>
    </row>
    <row r="653" customFormat="false" ht="15" hidden="false" customHeight="false" outlineLevel="0" collapsed="false">
      <c r="A653" s="12" t="n">
        <v>649</v>
      </c>
      <c r="B653" s="10" t="s">
        <v>2004</v>
      </c>
      <c r="C653" s="10" t="s">
        <v>1155</v>
      </c>
      <c r="D653" s="11" t="n">
        <v>0.00730069444444444</v>
      </c>
      <c r="E653" s="18" t="n">
        <f aca="false">ROUND((D653-$D$5)*86400,2)</f>
        <v>91.76</v>
      </c>
      <c r="F653" s="12" t="n">
        <v>1382</v>
      </c>
      <c r="G653" s="11" t="str">
        <f aca="false">IF(INDEX(選手一覧!$D$7:$D$2738,$F653)="","",INDEX(選手一覧!$D$7:$D$2738,$F653))</f>
        <v/>
      </c>
      <c r="H653" s="12" t="str">
        <f aca="false">IF(INDEX(選手一覧!$E$7:$E$2738,$F653)="","",INDEX(選手一覧!$E$7:$E$2738,$F653))</f>
        <v/>
      </c>
      <c r="I653" s="11" t="str">
        <f aca="false">IF(INDEX(選手一覧!$H$7:$H$2738,$F653)="","",INDEX(選手一覧!$H$7:$H$2738,$F653))</f>
        <v/>
      </c>
      <c r="J653" s="12" t="str">
        <f aca="false">IF(INDEX(選手一覧!$I$7:$I$2738,$F653)="","",INDEX(選手一覧!$I$7:$I$2738,$F653))</f>
        <v/>
      </c>
    </row>
    <row r="654" customFormat="false" ht="15" hidden="false" customHeight="false" outlineLevel="0" collapsed="false">
      <c r="A654" s="12" t="n">
        <v>650</v>
      </c>
      <c r="B654" s="10" t="s">
        <v>2005</v>
      </c>
      <c r="C654" s="10" t="s">
        <v>27</v>
      </c>
      <c r="D654" s="11" t="n">
        <v>0.00730231481481481</v>
      </c>
      <c r="E654" s="18" t="n">
        <f aca="false">ROUND((D654-$D$5)*86400,2)</f>
        <v>91.9</v>
      </c>
      <c r="F654" s="12" t="n">
        <v>1383</v>
      </c>
      <c r="G654" s="11" t="n">
        <f aca="false">IF(INDEX(選手一覧!$D$7:$D$2738,$F654)="","",INDEX(選手一覧!$D$7:$D$2738,$F654))</f>
        <v>0.0107447916666667</v>
      </c>
      <c r="H654" s="12" t="n">
        <f aca="false">IF(INDEX(選手一覧!$E$7:$E$2738,$F654)="","",INDEX(選手一覧!$E$7:$E$2738,$F654))</f>
        <v>660</v>
      </c>
      <c r="I654" s="11" t="str">
        <f aca="false">IF(INDEX(選手一覧!$H$7:$H$2738,$F654)="","",INDEX(選手一覧!$H$7:$H$2738,$F654))</f>
        <v/>
      </c>
      <c r="J654" s="12" t="str">
        <f aca="false">IF(INDEX(選手一覧!$I$7:$I$2738,$F654)="","",INDEX(選手一覧!$I$7:$I$2738,$F654))</f>
        <v/>
      </c>
    </row>
    <row r="655" customFormat="false" ht="15" hidden="false" customHeight="false" outlineLevel="0" collapsed="false">
      <c r="A655" s="12" t="n">
        <v>651</v>
      </c>
      <c r="B655" s="10" t="s">
        <v>2007</v>
      </c>
      <c r="C655" s="10" t="s">
        <v>374</v>
      </c>
      <c r="D655" s="11" t="n">
        <v>0.00730405092592593</v>
      </c>
      <c r="E655" s="18" t="n">
        <f aca="false">ROUND((D655-$D$5)*86400,2)</f>
        <v>92.05</v>
      </c>
      <c r="F655" s="12" t="n">
        <v>1385</v>
      </c>
      <c r="G655" s="11" t="n">
        <f aca="false">IF(INDEX(選手一覧!$D$7:$D$2738,$F655)="","",INDEX(選手一覧!$D$7:$D$2738,$F655))</f>
        <v>0.0109954861111111</v>
      </c>
      <c r="H655" s="12" t="n">
        <f aca="false">IF(INDEX(選手一覧!$E$7:$E$2738,$F655)="","",INDEX(選手一覧!$E$7:$E$2738,$F655))</f>
        <v>1089</v>
      </c>
      <c r="I655" s="11" t="str">
        <f aca="false">IF(INDEX(選手一覧!$H$7:$H$2738,$F655)="","",INDEX(選手一覧!$H$7:$H$2738,$F655))</f>
        <v/>
      </c>
      <c r="J655" s="12" t="str">
        <f aca="false">IF(INDEX(選手一覧!$I$7:$I$2738,$F655)="","",INDEX(選手一覧!$I$7:$I$2738,$F655))</f>
        <v/>
      </c>
    </row>
    <row r="656" customFormat="false" ht="15" hidden="false" customHeight="false" outlineLevel="0" collapsed="false">
      <c r="A656" s="12" t="n">
        <v>652</v>
      </c>
      <c r="B656" s="10" t="s">
        <v>2008</v>
      </c>
      <c r="C656" s="10" t="s">
        <v>2009</v>
      </c>
      <c r="D656" s="11" t="n">
        <v>0.00730428240740741</v>
      </c>
      <c r="E656" s="18" t="n">
        <f aca="false">ROUND((D656-$D$5)*86400,2)</f>
        <v>92.07</v>
      </c>
      <c r="F656" s="12" t="n">
        <v>1386</v>
      </c>
      <c r="G656" s="11" t="n">
        <f aca="false">IF(INDEX(選手一覧!$D$7:$D$2738,$F656)="","",INDEX(選手一覧!$D$7:$D$2738,$F656))</f>
        <v>0.0109394675925926</v>
      </c>
      <c r="H656" s="12" t="n">
        <f aca="false">IF(INDEX(選手一覧!$E$7:$E$2738,$F656)="","",INDEX(選手一覧!$E$7:$E$2738,$F656))</f>
        <v>981</v>
      </c>
      <c r="I656" s="11" t="n">
        <f aca="false">IF(INDEX(選手一覧!$H$7:$H$2738,$F656)="","",INDEX(選手一覧!$H$7:$H$2738,$F656))</f>
        <v>0.00287407407407407</v>
      </c>
      <c r="J656" s="12" t="n">
        <f aca="false">IF(INDEX(選手一覧!$I$7:$I$2738,$F656)="","",INDEX(選手一覧!$I$7:$I$2738,$F656))</f>
        <v>727</v>
      </c>
    </row>
    <row r="657" customFormat="false" ht="15" hidden="false" customHeight="false" outlineLevel="0" collapsed="false">
      <c r="A657" s="12" t="n">
        <v>653</v>
      </c>
      <c r="B657" s="10" t="s">
        <v>2012</v>
      </c>
      <c r="C657" s="10" t="s">
        <v>1481</v>
      </c>
      <c r="D657" s="11" t="n">
        <v>0.00730439814814815</v>
      </c>
      <c r="E657" s="18" t="n">
        <f aca="false">ROUND((D657-$D$5)*86400,2)</f>
        <v>92.08</v>
      </c>
      <c r="F657" s="12" t="n">
        <v>1389</v>
      </c>
      <c r="G657" s="11" t="str">
        <f aca="false">IF(INDEX(選手一覧!$D$7:$D$2738,$F657)="","",INDEX(選手一覧!$D$7:$D$2738,$F657))</f>
        <v/>
      </c>
      <c r="H657" s="12" t="str">
        <f aca="false">IF(INDEX(選手一覧!$E$7:$E$2738,$F657)="","",INDEX(選手一覧!$E$7:$E$2738,$F657))</f>
        <v/>
      </c>
      <c r="I657" s="11" t="str">
        <f aca="false">IF(INDEX(選手一覧!$H$7:$H$2738,$F657)="","",INDEX(選手一覧!$H$7:$H$2738,$F657))</f>
        <v/>
      </c>
      <c r="J657" s="12" t="str">
        <f aca="false">IF(INDEX(選手一覧!$I$7:$I$2738,$F657)="","",INDEX(選手一覧!$I$7:$I$2738,$F657))</f>
        <v/>
      </c>
    </row>
    <row r="658" customFormat="false" ht="15" hidden="false" customHeight="false" outlineLevel="0" collapsed="false">
      <c r="A658" s="12" t="n">
        <v>654</v>
      </c>
      <c r="B658" s="10" t="s">
        <v>2014</v>
      </c>
      <c r="C658" s="10" t="s">
        <v>2015</v>
      </c>
      <c r="D658" s="11" t="n">
        <v>0.00730578703703704</v>
      </c>
      <c r="E658" s="18" t="n">
        <f aca="false">ROUND((D658-$D$5)*86400,2)</f>
        <v>92.2</v>
      </c>
      <c r="F658" s="12" t="n">
        <v>1391</v>
      </c>
      <c r="G658" s="11" t="str">
        <f aca="false">IF(INDEX(選手一覧!$D$7:$D$2738,$F658)="","",INDEX(選手一覧!$D$7:$D$2738,$F658))</f>
        <v/>
      </c>
      <c r="H658" s="12" t="str">
        <f aca="false">IF(INDEX(選手一覧!$E$7:$E$2738,$F658)="","",INDEX(選手一覧!$E$7:$E$2738,$F658))</f>
        <v/>
      </c>
      <c r="I658" s="11" t="str">
        <f aca="false">IF(INDEX(選手一覧!$H$7:$H$2738,$F658)="","",INDEX(選手一覧!$H$7:$H$2738,$F658))</f>
        <v/>
      </c>
      <c r="J658" s="12" t="str">
        <f aca="false">IF(INDEX(選手一覧!$I$7:$I$2738,$F658)="","",INDEX(選手一覧!$I$7:$I$2738,$F658))</f>
        <v/>
      </c>
    </row>
    <row r="659" customFormat="false" ht="15" hidden="false" customHeight="false" outlineLevel="0" collapsed="false">
      <c r="A659" s="12" t="n">
        <v>655</v>
      </c>
      <c r="B659" s="10" t="s">
        <v>2016</v>
      </c>
      <c r="C659" s="10" t="s">
        <v>2017</v>
      </c>
      <c r="D659" s="11" t="n">
        <v>0.00730578703703704</v>
      </c>
      <c r="E659" s="18" t="n">
        <f aca="false">ROUND((D659-$D$5)*86400,2)</f>
        <v>92.2</v>
      </c>
      <c r="F659" s="12" t="n">
        <v>1392</v>
      </c>
      <c r="G659" s="11" t="str">
        <f aca="false">IF(INDEX(選手一覧!$D$7:$D$2738,$F659)="","",INDEX(選手一覧!$D$7:$D$2738,$F659))</f>
        <v/>
      </c>
      <c r="H659" s="12" t="str">
        <f aca="false">IF(INDEX(選手一覧!$E$7:$E$2738,$F659)="","",INDEX(選手一覧!$E$7:$E$2738,$F659))</f>
        <v/>
      </c>
      <c r="I659" s="11" t="str">
        <f aca="false">IF(INDEX(選手一覧!$H$7:$H$2738,$F659)="","",INDEX(選手一覧!$H$7:$H$2738,$F659))</f>
        <v/>
      </c>
      <c r="J659" s="12" t="str">
        <f aca="false">IF(INDEX(選手一覧!$I$7:$I$2738,$F659)="","",INDEX(選手一覧!$I$7:$I$2738,$F659))</f>
        <v/>
      </c>
    </row>
    <row r="660" customFormat="false" ht="15" hidden="false" customHeight="false" outlineLevel="0" collapsed="false">
      <c r="A660" s="12" t="n">
        <v>656</v>
      </c>
      <c r="B660" s="10" t="s">
        <v>2019</v>
      </c>
      <c r="C660" s="10" t="s">
        <v>844</v>
      </c>
      <c r="D660" s="11" t="n">
        <v>0.0073068287037037</v>
      </c>
      <c r="E660" s="18" t="n">
        <f aca="false">ROUND((D660-$D$5)*86400,2)</f>
        <v>92.29</v>
      </c>
      <c r="F660" s="12" t="n">
        <v>1394</v>
      </c>
      <c r="G660" s="11" t="str">
        <f aca="false">IF(INDEX(選手一覧!$D$7:$D$2738,$F660)="","",INDEX(選手一覧!$D$7:$D$2738,$F660))</f>
        <v/>
      </c>
      <c r="H660" s="12" t="str">
        <f aca="false">IF(INDEX(選手一覧!$E$7:$E$2738,$F660)="","",INDEX(選手一覧!$E$7:$E$2738,$F660))</f>
        <v/>
      </c>
      <c r="I660" s="11" t="str">
        <f aca="false">IF(INDEX(選手一覧!$H$7:$H$2738,$F660)="","",INDEX(選手一覧!$H$7:$H$2738,$F660))</f>
        <v/>
      </c>
      <c r="J660" s="12" t="str">
        <f aca="false">IF(INDEX(選手一覧!$I$7:$I$2738,$F660)="","",INDEX(選手一覧!$I$7:$I$2738,$F660))</f>
        <v/>
      </c>
    </row>
    <row r="661" customFormat="false" ht="15" hidden="false" customHeight="false" outlineLevel="0" collapsed="false">
      <c r="A661" s="12" t="n">
        <v>657</v>
      </c>
      <c r="B661" s="10" t="s">
        <v>2020</v>
      </c>
      <c r="C661" s="10" t="s">
        <v>2021</v>
      </c>
      <c r="D661" s="11" t="n">
        <v>0.00730798611111111</v>
      </c>
      <c r="E661" s="18" t="n">
        <f aca="false">ROUND((D661-$D$5)*86400,2)</f>
        <v>92.39</v>
      </c>
      <c r="F661" s="12" t="n">
        <v>1395</v>
      </c>
      <c r="G661" s="11" t="n">
        <f aca="false">IF(INDEX(選手一覧!$D$7:$D$2738,$F661)="","",INDEX(選手一覧!$D$7:$D$2738,$F661))</f>
        <v>0.0110622685185185</v>
      </c>
      <c r="H661" s="12" t="n">
        <f aca="false">IF(INDEX(選手一覧!$E$7:$E$2738,$F661)="","",INDEX(選手一覧!$E$7:$E$2738,$F661))</f>
        <v>1221</v>
      </c>
      <c r="I661" s="11" t="str">
        <f aca="false">IF(INDEX(選手一覧!$H$7:$H$2738,$F661)="","",INDEX(選手一覧!$H$7:$H$2738,$F661))</f>
        <v/>
      </c>
      <c r="J661" s="12" t="str">
        <f aca="false">IF(INDEX(選手一覧!$I$7:$I$2738,$F661)="","",INDEX(選手一覧!$I$7:$I$2738,$F661))</f>
        <v/>
      </c>
    </row>
    <row r="662" customFormat="false" ht="15" hidden="false" customHeight="false" outlineLevel="0" collapsed="false">
      <c r="A662" s="12" t="n">
        <v>658</v>
      </c>
      <c r="B662" s="10" t="s">
        <v>2025</v>
      </c>
      <c r="C662" s="10" t="s">
        <v>997</v>
      </c>
      <c r="D662" s="11" t="n">
        <v>0.00730821759259259</v>
      </c>
      <c r="E662" s="18" t="n">
        <f aca="false">ROUND((D662-$D$5)*86400,2)</f>
        <v>92.41</v>
      </c>
      <c r="F662" s="12" t="n">
        <v>1398</v>
      </c>
      <c r="G662" s="11" t="str">
        <f aca="false">IF(INDEX(選手一覧!$D$7:$D$2738,$F662)="","",INDEX(選手一覧!$D$7:$D$2738,$F662))</f>
        <v/>
      </c>
      <c r="H662" s="12" t="str">
        <f aca="false">IF(INDEX(選手一覧!$E$7:$E$2738,$F662)="","",INDEX(選手一覧!$E$7:$E$2738,$F662))</f>
        <v/>
      </c>
      <c r="I662" s="11" t="str">
        <f aca="false">IF(INDEX(選手一覧!$H$7:$H$2738,$F662)="","",INDEX(選手一覧!$H$7:$H$2738,$F662))</f>
        <v/>
      </c>
      <c r="J662" s="12" t="str">
        <f aca="false">IF(INDEX(選手一覧!$I$7:$I$2738,$F662)="","",INDEX(選手一覧!$I$7:$I$2738,$F662))</f>
        <v/>
      </c>
    </row>
    <row r="663" customFormat="false" ht="15" hidden="false" customHeight="false" outlineLevel="0" collapsed="false">
      <c r="A663" s="12" t="n">
        <v>659</v>
      </c>
      <c r="B663" s="10" t="s">
        <v>2028</v>
      </c>
      <c r="C663" s="10" t="s">
        <v>590</v>
      </c>
      <c r="D663" s="11" t="n">
        <v>0.00731238425925926</v>
      </c>
      <c r="E663" s="18" t="n">
        <f aca="false">ROUND((D663-$D$5)*86400,2)</f>
        <v>92.77</v>
      </c>
      <c r="F663" s="12" t="n">
        <v>1401</v>
      </c>
      <c r="G663" s="11" t="str">
        <f aca="false">IF(INDEX(選手一覧!$D$7:$D$2738,$F663)="","",INDEX(選手一覧!$D$7:$D$2738,$F663))</f>
        <v/>
      </c>
      <c r="H663" s="12" t="str">
        <f aca="false">IF(INDEX(選手一覧!$E$7:$E$2738,$F663)="","",INDEX(選手一覧!$E$7:$E$2738,$F663))</f>
        <v/>
      </c>
      <c r="I663" s="11" t="str">
        <f aca="false">IF(INDEX(選手一覧!$H$7:$H$2738,$F663)="","",INDEX(選手一覧!$H$7:$H$2738,$F663))</f>
        <v/>
      </c>
      <c r="J663" s="12" t="str">
        <f aca="false">IF(INDEX(選手一覧!$I$7:$I$2738,$F663)="","",INDEX(選手一覧!$I$7:$I$2738,$F663))</f>
        <v/>
      </c>
    </row>
    <row r="664" customFormat="false" ht="15" hidden="false" customHeight="false" outlineLevel="0" collapsed="false">
      <c r="A664" s="12" t="n">
        <v>660</v>
      </c>
      <c r="B664" s="10" t="s">
        <v>2029</v>
      </c>
      <c r="C664" s="10" t="s">
        <v>1885</v>
      </c>
      <c r="D664" s="11" t="n">
        <v>0.00731354166666667</v>
      </c>
      <c r="E664" s="18" t="n">
        <f aca="false">ROUND((D664-$D$5)*86400,2)</f>
        <v>92.87</v>
      </c>
      <c r="F664" s="12" t="n">
        <v>1402</v>
      </c>
      <c r="G664" s="11" t="str">
        <f aca="false">IF(INDEX(選手一覧!$D$7:$D$2738,$F664)="","",INDEX(選手一覧!$D$7:$D$2738,$F664))</f>
        <v/>
      </c>
      <c r="H664" s="12" t="str">
        <f aca="false">IF(INDEX(選手一覧!$E$7:$E$2738,$F664)="","",INDEX(選手一覧!$E$7:$E$2738,$F664))</f>
        <v/>
      </c>
      <c r="I664" s="11" t="str">
        <f aca="false">IF(INDEX(選手一覧!$H$7:$H$2738,$F664)="","",INDEX(選手一覧!$H$7:$H$2738,$F664))</f>
        <v/>
      </c>
      <c r="J664" s="12" t="str">
        <f aca="false">IF(INDEX(選手一覧!$I$7:$I$2738,$F664)="","",INDEX(選手一覧!$I$7:$I$2738,$F664))</f>
        <v/>
      </c>
    </row>
    <row r="665" customFormat="false" ht="15" hidden="false" customHeight="false" outlineLevel="0" collapsed="false">
      <c r="A665" s="12" t="n">
        <v>661</v>
      </c>
      <c r="B665" s="10" t="s">
        <v>2032</v>
      </c>
      <c r="C665" s="10" t="s">
        <v>1990</v>
      </c>
      <c r="D665" s="11" t="n">
        <v>0.00731400462962963</v>
      </c>
      <c r="E665" s="18" t="n">
        <f aca="false">ROUND((D665-$D$5)*86400,2)</f>
        <v>92.91</v>
      </c>
      <c r="F665" s="12" t="n">
        <v>1404</v>
      </c>
      <c r="G665" s="11" t="str">
        <f aca="false">IF(INDEX(選手一覧!$D$7:$D$2738,$F665)="","",INDEX(選手一覧!$D$7:$D$2738,$F665))</f>
        <v/>
      </c>
      <c r="H665" s="12" t="str">
        <f aca="false">IF(INDEX(選手一覧!$E$7:$E$2738,$F665)="","",INDEX(選手一覧!$E$7:$E$2738,$F665))</f>
        <v/>
      </c>
      <c r="I665" s="11" t="n">
        <f aca="false">IF(INDEX(選手一覧!$H$7:$H$2738,$F665)="","",INDEX(選手一覧!$H$7:$H$2738,$F665))</f>
        <v>0.00290173611111111</v>
      </c>
      <c r="J665" s="12" t="n">
        <f aca="false">IF(INDEX(選手一覧!$I$7:$I$2738,$F665)="","",INDEX(選手一覧!$I$7:$I$2738,$F665))</f>
        <v>962</v>
      </c>
    </row>
    <row r="666" customFormat="false" ht="15" hidden="false" customHeight="false" outlineLevel="0" collapsed="false">
      <c r="A666" s="12" t="n">
        <v>662</v>
      </c>
      <c r="B666" s="10" t="s">
        <v>2034</v>
      </c>
      <c r="C666" s="10" t="s">
        <v>2035</v>
      </c>
      <c r="D666" s="11" t="n">
        <v>0.0073150462962963</v>
      </c>
      <c r="E666" s="18" t="n">
        <f aca="false">ROUND((D666-$D$5)*86400,2)</f>
        <v>93</v>
      </c>
      <c r="F666" s="12" t="n">
        <v>1406</v>
      </c>
      <c r="G666" s="11" t="str">
        <f aca="false">IF(INDEX(選手一覧!$D$7:$D$2738,$F666)="","",INDEX(選手一覧!$D$7:$D$2738,$F666))</f>
        <v/>
      </c>
      <c r="H666" s="12" t="str">
        <f aca="false">IF(INDEX(選手一覧!$E$7:$E$2738,$F666)="","",INDEX(選手一覧!$E$7:$E$2738,$F666))</f>
        <v/>
      </c>
      <c r="I666" s="11" t="str">
        <f aca="false">IF(INDEX(選手一覧!$H$7:$H$2738,$F666)="","",INDEX(選手一覧!$H$7:$H$2738,$F666))</f>
        <v/>
      </c>
      <c r="J666" s="12" t="str">
        <f aca="false">IF(INDEX(選手一覧!$I$7:$I$2738,$F666)="","",INDEX(選手一覧!$I$7:$I$2738,$F666))</f>
        <v/>
      </c>
    </row>
    <row r="667" customFormat="false" ht="15" hidden="false" customHeight="false" outlineLevel="0" collapsed="false">
      <c r="A667" s="12" t="n">
        <v>663</v>
      </c>
      <c r="B667" s="10" t="s">
        <v>2039</v>
      </c>
      <c r="C667" s="10" t="s">
        <v>927</v>
      </c>
      <c r="D667" s="11" t="n">
        <v>0.00731655092592593</v>
      </c>
      <c r="E667" s="18" t="n">
        <f aca="false">ROUND((D667-$D$5)*86400,2)</f>
        <v>93.13</v>
      </c>
      <c r="F667" s="12" t="n">
        <v>1409</v>
      </c>
      <c r="G667" s="11" t="str">
        <f aca="false">IF(INDEX(選手一覧!$D$7:$D$2738,$F667)="","",INDEX(選手一覧!$D$7:$D$2738,$F667))</f>
        <v/>
      </c>
      <c r="H667" s="12" t="str">
        <f aca="false">IF(INDEX(選手一覧!$E$7:$E$2738,$F667)="","",INDEX(選手一覧!$E$7:$E$2738,$F667))</f>
        <v/>
      </c>
      <c r="I667" s="11" t="str">
        <f aca="false">IF(INDEX(選手一覧!$H$7:$H$2738,$F667)="","",INDEX(選手一覧!$H$7:$H$2738,$F667))</f>
        <v/>
      </c>
      <c r="J667" s="12" t="str">
        <f aca="false">IF(INDEX(選手一覧!$I$7:$I$2738,$F667)="","",INDEX(選手一覧!$I$7:$I$2738,$F667))</f>
        <v/>
      </c>
    </row>
    <row r="668" customFormat="false" ht="15" hidden="false" customHeight="false" outlineLevel="0" collapsed="false">
      <c r="A668" s="12" t="n">
        <v>664</v>
      </c>
      <c r="B668" s="10" t="s">
        <v>666</v>
      </c>
      <c r="C668" s="10" t="s">
        <v>667</v>
      </c>
      <c r="D668" s="11" t="n">
        <v>0.00731689814814815</v>
      </c>
      <c r="E668" s="18" t="n">
        <f aca="false">ROUND((D668-$D$5)*86400,2)</f>
        <v>93.16</v>
      </c>
      <c r="F668" s="12" t="n">
        <v>424</v>
      </c>
      <c r="G668" s="11" t="n">
        <f aca="false">IF(INDEX(選手一覧!$D$7:$D$2738,$F668)="","",INDEX(選手一覧!$D$7:$D$2738,$F668))</f>
        <v>0.010875462962963</v>
      </c>
      <c r="H668" s="12" t="n">
        <f aca="false">IF(INDEX(選手一覧!$E$7:$E$2738,$F668)="","",INDEX(選手一覧!$E$7:$E$2738,$F668))</f>
        <v>882</v>
      </c>
      <c r="I668" s="11" t="n">
        <f aca="false">IF(INDEX(選手一覧!$H$7:$H$2738,$F668)="","",INDEX(選手一覧!$H$7:$H$2738,$F668))</f>
        <v>0.00277581018518519</v>
      </c>
      <c r="J668" s="12" t="n">
        <f aca="false">IF(INDEX(選手一覧!$I$7:$I$2738,$F668)="","",INDEX(選手一覧!$I$7:$I$2738,$F668))</f>
        <v>179</v>
      </c>
    </row>
    <row r="669" customFormat="false" ht="15" hidden="false" customHeight="false" outlineLevel="0" collapsed="false">
      <c r="A669" s="12" t="n">
        <v>665</v>
      </c>
      <c r="B669" s="10" t="s">
        <v>2042</v>
      </c>
      <c r="C669" s="10" t="s">
        <v>983</v>
      </c>
      <c r="D669" s="11" t="n">
        <v>0.00731689814814815</v>
      </c>
      <c r="E669" s="18" t="n">
        <f aca="false">ROUND((D669-$D$5)*86400,2)</f>
        <v>93.16</v>
      </c>
      <c r="F669" s="12" t="n">
        <v>1411</v>
      </c>
      <c r="G669" s="11" t="str">
        <f aca="false">IF(INDEX(選手一覧!$D$7:$D$2738,$F669)="","",INDEX(選手一覧!$D$7:$D$2738,$F669))</f>
        <v/>
      </c>
      <c r="H669" s="12" t="str">
        <f aca="false">IF(INDEX(選手一覧!$E$7:$E$2738,$F669)="","",INDEX(選手一覧!$E$7:$E$2738,$F669))</f>
        <v/>
      </c>
      <c r="I669" s="11" t="str">
        <f aca="false">IF(INDEX(選手一覧!$H$7:$H$2738,$F669)="","",INDEX(選手一覧!$H$7:$H$2738,$F669))</f>
        <v/>
      </c>
      <c r="J669" s="12" t="str">
        <f aca="false">IF(INDEX(選手一覧!$I$7:$I$2738,$F669)="","",INDEX(選手一覧!$I$7:$I$2738,$F669))</f>
        <v/>
      </c>
    </row>
    <row r="670" customFormat="false" ht="15" hidden="false" customHeight="false" outlineLevel="0" collapsed="false">
      <c r="A670" s="12" t="n">
        <v>666</v>
      </c>
      <c r="B670" s="10" t="s">
        <v>2045</v>
      </c>
      <c r="C670" s="10" t="s">
        <v>1841</v>
      </c>
      <c r="D670" s="11" t="n">
        <v>0.00731724537037037</v>
      </c>
      <c r="E670" s="18" t="n">
        <f aca="false">ROUND((D670-$D$5)*86400,2)</f>
        <v>93.19</v>
      </c>
      <c r="F670" s="12" t="n">
        <v>1413</v>
      </c>
      <c r="G670" s="11" t="str">
        <f aca="false">IF(INDEX(選手一覧!$D$7:$D$2738,$F670)="","",INDEX(選手一覧!$D$7:$D$2738,$F670))</f>
        <v/>
      </c>
      <c r="H670" s="12" t="str">
        <f aca="false">IF(INDEX(選手一覧!$E$7:$E$2738,$F670)="","",INDEX(選手一覧!$E$7:$E$2738,$F670))</f>
        <v/>
      </c>
      <c r="I670" s="11" t="str">
        <f aca="false">IF(INDEX(選手一覧!$H$7:$H$2738,$F670)="","",INDEX(選手一覧!$H$7:$H$2738,$F670))</f>
        <v/>
      </c>
      <c r="J670" s="12" t="str">
        <f aca="false">IF(INDEX(選手一覧!$I$7:$I$2738,$F670)="","",INDEX(選手一覧!$I$7:$I$2738,$F670))</f>
        <v/>
      </c>
    </row>
    <row r="671" customFormat="false" ht="15" hidden="false" customHeight="false" outlineLevel="0" collapsed="false">
      <c r="A671" s="12" t="n">
        <v>667</v>
      </c>
      <c r="B671" s="10" t="s">
        <v>2046</v>
      </c>
      <c r="C671" s="10" t="s">
        <v>1122</v>
      </c>
      <c r="D671" s="11" t="n">
        <v>0.00731782407407407</v>
      </c>
      <c r="E671" s="18" t="n">
        <f aca="false">ROUND((D671-$D$5)*86400,2)</f>
        <v>93.24</v>
      </c>
      <c r="F671" s="12" t="n">
        <v>1414</v>
      </c>
      <c r="G671" s="11" t="str">
        <f aca="false">IF(INDEX(選手一覧!$D$7:$D$2738,$F671)="","",INDEX(選手一覧!$D$7:$D$2738,$F671))</f>
        <v/>
      </c>
      <c r="H671" s="12" t="str">
        <f aca="false">IF(INDEX(選手一覧!$E$7:$E$2738,$F671)="","",INDEX(選手一覧!$E$7:$E$2738,$F671))</f>
        <v/>
      </c>
      <c r="I671" s="11" t="n">
        <f aca="false">IF(INDEX(選手一覧!$H$7:$H$2738,$F671)="","",INDEX(選手一覧!$H$7:$H$2738,$F671))</f>
        <v>0.0028869212962963</v>
      </c>
      <c r="J671" s="12" t="n">
        <f aca="false">IF(INDEX(選手一覧!$I$7:$I$2738,$F671)="","",INDEX(選手一覧!$I$7:$I$2738,$F671))</f>
        <v>832</v>
      </c>
    </row>
    <row r="672" customFormat="false" ht="15" hidden="false" customHeight="false" outlineLevel="0" collapsed="false">
      <c r="A672" s="12" t="n">
        <v>668</v>
      </c>
      <c r="B672" s="10" t="s">
        <v>2048</v>
      </c>
      <c r="C672" s="10" t="s">
        <v>2049</v>
      </c>
      <c r="D672" s="11" t="n">
        <v>0.00731805555555556</v>
      </c>
      <c r="E672" s="18" t="n">
        <f aca="false">ROUND((D672-$D$5)*86400,2)</f>
        <v>93.26</v>
      </c>
      <c r="F672" s="12" t="n">
        <v>1416</v>
      </c>
      <c r="G672" s="11" t="str">
        <f aca="false">IF(INDEX(選手一覧!$D$7:$D$2738,$F672)="","",INDEX(選手一覧!$D$7:$D$2738,$F672))</f>
        <v/>
      </c>
      <c r="H672" s="12" t="str">
        <f aca="false">IF(INDEX(選手一覧!$E$7:$E$2738,$F672)="","",INDEX(選手一覧!$E$7:$E$2738,$F672))</f>
        <v/>
      </c>
      <c r="I672" s="11" t="str">
        <f aca="false">IF(INDEX(選手一覧!$H$7:$H$2738,$F672)="","",INDEX(選手一覧!$H$7:$H$2738,$F672))</f>
        <v/>
      </c>
      <c r="J672" s="12" t="str">
        <f aca="false">IF(INDEX(選手一覧!$I$7:$I$2738,$F672)="","",INDEX(選手一覧!$I$7:$I$2738,$F672))</f>
        <v/>
      </c>
    </row>
    <row r="673" customFormat="false" ht="15" hidden="false" customHeight="false" outlineLevel="0" collapsed="false">
      <c r="A673" s="12" t="n">
        <v>669</v>
      </c>
      <c r="B673" s="10" t="s">
        <v>2052</v>
      </c>
      <c r="C673" s="10" t="s">
        <v>2053</v>
      </c>
      <c r="D673" s="11" t="n">
        <v>0.00731840277777778</v>
      </c>
      <c r="E673" s="18" t="n">
        <f aca="false">ROUND((D673-$D$5)*86400,2)</f>
        <v>93.29</v>
      </c>
      <c r="F673" s="12" t="n">
        <v>1418</v>
      </c>
      <c r="G673" s="11" t="str">
        <f aca="false">IF(INDEX(選手一覧!$D$7:$D$2738,$F673)="","",INDEX(選手一覧!$D$7:$D$2738,$F673))</f>
        <v/>
      </c>
      <c r="H673" s="12" t="str">
        <f aca="false">IF(INDEX(選手一覧!$E$7:$E$2738,$F673)="","",INDEX(選手一覧!$E$7:$E$2738,$F673))</f>
        <v/>
      </c>
      <c r="I673" s="11" t="str">
        <f aca="false">IF(INDEX(選手一覧!$H$7:$H$2738,$F673)="","",INDEX(選手一覧!$H$7:$H$2738,$F673))</f>
        <v/>
      </c>
      <c r="J673" s="12" t="str">
        <f aca="false">IF(INDEX(選手一覧!$I$7:$I$2738,$F673)="","",INDEX(選手一覧!$I$7:$I$2738,$F673))</f>
        <v/>
      </c>
    </row>
    <row r="674" customFormat="false" ht="15" hidden="false" customHeight="false" outlineLevel="0" collapsed="false">
      <c r="A674" s="12" t="n">
        <v>670</v>
      </c>
      <c r="B674" s="10" t="s">
        <v>2054</v>
      </c>
      <c r="C674" s="10" t="s">
        <v>1351</v>
      </c>
      <c r="D674" s="11" t="n">
        <v>0.00731956018518519</v>
      </c>
      <c r="E674" s="18" t="n">
        <f aca="false">ROUND((D674-$D$5)*86400,2)</f>
        <v>93.39</v>
      </c>
      <c r="F674" s="12" t="n">
        <v>1419</v>
      </c>
      <c r="G674" s="11" t="str">
        <f aca="false">IF(INDEX(選手一覧!$D$7:$D$2738,$F674)="","",INDEX(選手一覧!$D$7:$D$2738,$F674))</f>
        <v/>
      </c>
      <c r="H674" s="12" t="str">
        <f aca="false">IF(INDEX(選手一覧!$E$7:$E$2738,$F674)="","",INDEX(選手一覧!$E$7:$E$2738,$F674))</f>
        <v/>
      </c>
      <c r="I674" s="11" t="str">
        <f aca="false">IF(INDEX(選手一覧!$H$7:$H$2738,$F674)="","",INDEX(選手一覧!$H$7:$H$2738,$F674))</f>
        <v/>
      </c>
      <c r="J674" s="12" t="str">
        <f aca="false">IF(INDEX(選手一覧!$I$7:$I$2738,$F674)="","",INDEX(選手一覧!$I$7:$I$2738,$F674))</f>
        <v/>
      </c>
    </row>
    <row r="675" customFormat="false" ht="15" hidden="false" customHeight="false" outlineLevel="0" collapsed="false">
      <c r="A675" s="12" t="n">
        <v>671</v>
      </c>
      <c r="B675" s="10" t="s">
        <v>1226</v>
      </c>
      <c r="C675" s="10" t="s">
        <v>1020</v>
      </c>
      <c r="D675" s="11" t="n">
        <v>0.00732141203703704</v>
      </c>
      <c r="E675" s="18" t="n">
        <f aca="false">ROUND((D675-$D$5)*86400,2)</f>
        <v>93.55</v>
      </c>
      <c r="F675" s="12" t="n">
        <v>831</v>
      </c>
      <c r="G675" s="11" t="n">
        <f aca="false">IF(INDEX(選手一覧!$D$7:$D$2738,$F675)="","",INDEX(選手一覧!$D$7:$D$2738,$F675))</f>
        <v>0.0105252314814815</v>
      </c>
      <c r="H675" s="12" t="n">
        <f aca="false">IF(INDEX(選手一覧!$E$7:$E$2738,$F675)="","",INDEX(選手一覧!$E$7:$E$2738,$F675))</f>
        <v>366</v>
      </c>
      <c r="I675" s="11" t="n">
        <f aca="false">IF(INDEX(選手一覧!$H$7:$H$2738,$F675)="","",INDEX(選手一覧!$H$7:$H$2738,$F675))</f>
        <v>0.00289467592592593</v>
      </c>
      <c r="J675" s="12" t="n">
        <f aca="false">IF(INDEX(選手一覧!$I$7:$I$2738,$F675)="","",INDEX(選手一覧!$I$7:$I$2738,$F675))</f>
        <v>910</v>
      </c>
    </row>
    <row r="676" customFormat="false" ht="15" hidden="false" customHeight="false" outlineLevel="0" collapsed="false">
      <c r="A676" s="12" t="n">
        <v>672</v>
      </c>
      <c r="B676" s="10" t="s">
        <v>2056</v>
      </c>
      <c r="C676" s="10" t="s">
        <v>1348</v>
      </c>
      <c r="D676" s="11" t="n">
        <v>0.00732141203703704</v>
      </c>
      <c r="E676" s="18" t="n">
        <f aca="false">ROUND((D676-$D$5)*86400,2)</f>
        <v>93.55</v>
      </c>
      <c r="F676" s="12" t="n">
        <v>1421</v>
      </c>
      <c r="G676" s="11" t="str">
        <f aca="false">IF(INDEX(選手一覧!$D$7:$D$2738,$F676)="","",INDEX(選手一覧!$D$7:$D$2738,$F676))</f>
        <v/>
      </c>
      <c r="H676" s="12" t="str">
        <f aca="false">IF(INDEX(選手一覧!$E$7:$E$2738,$F676)="","",INDEX(選手一覧!$E$7:$E$2738,$F676))</f>
        <v/>
      </c>
      <c r="I676" s="11" t="n">
        <f aca="false">IF(INDEX(選手一覧!$H$7:$H$2738,$F676)="","",INDEX(選手一覧!$H$7:$H$2738,$F676))</f>
        <v>0.00292604166666667</v>
      </c>
      <c r="J676" s="12" t="n">
        <f aca="false">IF(INDEX(選手一覧!$I$7:$I$2738,$F676)="","",INDEX(選手一覧!$I$7:$I$2738,$F676))</f>
        <v>1158</v>
      </c>
    </row>
    <row r="677" customFormat="false" ht="15" hidden="false" customHeight="false" outlineLevel="0" collapsed="false">
      <c r="A677" s="12" t="n">
        <v>673</v>
      </c>
      <c r="B677" s="10" t="s">
        <v>2059</v>
      </c>
      <c r="C677" s="10" t="s">
        <v>730</v>
      </c>
      <c r="D677" s="11" t="n">
        <v>0.00732152777777778</v>
      </c>
      <c r="E677" s="18" t="n">
        <f aca="false">ROUND((D677-$D$5)*86400,2)</f>
        <v>93.56</v>
      </c>
      <c r="F677" s="12" t="n">
        <v>1423</v>
      </c>
      <c r="G677" s="11" t="str">
        <f aca="false">IF(INDEX(選手一覧!$D$7:$D$2738,$F677)="","",INDEX(選手一覧!$D$7:$D$2738,$F677))</f>
        <v/>
      </c>
      <c r="H677" s="12" t="str">
        <f aca="false">IF(INDEX(選手一覧!$E$7:$E$2738,$F677)="","",INDEX(選手一覧!$E$7:$E$2738,$F677))</f>
        <v/>
      </c>
      <c r="I677" s="11" t="str">
        <f aca="false">IF(INDEX(選手一覧!$H$7:$H$2738,$F677)="","",INDEX(選手一覧!$H$7:$H$2738,$F677))</f>
        <v/>
      </c>
      <c r="J677" s="12" t="str">
        <f aca="false">IF(INDEX(選手一覧!$I$7:$I$2738,$F677)="","",INDEX(選手一覧!$I$7:$I$2738,$F677))</f>
        <v/>
      </c>
    </row>
    <row r="678" customFormat="false" ht="15" hidden="false" customHeight="false" outlineLevel="0" collapsed="false">
      <c r="A678" s="12" t="n">
        <v>674</v>
      </c>
      <c r="B678" s="10" t="s">
        <v>2061</v>
      </c>
      <c r="C678" s="10" t="s">
        <v>2062</v>
      </c>
      <c r="D678" s="11" t="n">
        <v>0.00732175925925926</v>
      </c>
      <c r="E678" s="18" t="n">
        <f aca="false">ROUND((D678-$D$5)*86400,2)</f>
        <v>93.58</v>
      </c>
      <c r="F678" s="12" t="n">
        <v>1425</v>
      </c>
      <c r="G678" s="11" t="str">
        <f aca="false">IF(INDEX(選手一覧!$D$7:$D$2738,$F678)="","",INDEX(選手一覧!$D$7:$D$2738,$F678))</f>
        <v/>
      </c>
      <c r="H678" s="12" t="str">
        <f aca="false">IF(INDEX(選手一覧!$E$7:$E$2738,$F678)="","",INDEX(選手一覧!$E$7:$E$2738,$F678))</f>
        <v/>
      </c>
      <c r="I678" s="11" t="str">
        <f aca="false">IF(INDEX(選手一覧!$H$7:$H$2738,$F678)="","",INDEX(選手一覧!$H$7:$H$2738,$F678))</f>
        <v/>
      </c>
      <c r="J678" s="12" t="str">
        <f aca="false">IF(INDEX(選手一覧!$I$7:$I$2738,$F678)="","",INDEX(選手一覧!$I$7:$I$2738,$F678))</f>
        <v/>
      </c>
    </row>
    <row r="679" customFormat="false" ht="15" hidden="false" customHeight="false" outlineLevel="0" collapsed="false">
      <c r="A679" s="12" t="n">
        <v>675</v>
      </c>
      <c r="B679" s="10" t="s">
        <v>2065</v>
      </c>
      <c r="C679" s="10" t="s">
        <v>2066</v>
      </c>
      <c r="D679" s="11" t="n">
        <v>0.00732361111111111</v>
      </c>
      <c r="E679" s="18" t="n">
        <f aca="false">ROUND((D679-$D$5)*86400,2)</f>
        <v>93.74</v>
      </c>
      <c r="F679" s="12" t="n">
        <v>1428</v>
      </c>
      <c r="G679" s="11" t="str">
        <f aca="false">IF(INDEX(選手一覧!$D$7:$D$2738,$F679)="","",INDEX(選手一覧!$D$7:$D$2738,$F679))</f>
        <v/>
      </c>
      <c r="H679" s="12" t="str">
        <f aca="false">IF(INDEX(選手一覧!$E$7:$E$2738,$F679)="","",INDEX(選手一覧!$E$7:$E$2738,$F679))</f>
        <v/>
      </c>
      <c r="I679" s="11" t="str">
        <f aca="false">IF(INDEX(選手一覧!$H$7:$H$2738,$F679)="","",INDEX(選手一覧!$H$7:$H$2738,$F679))</f>
        <v/>
      </c>
      <c r="J679" s="12" t="str">
        <f aca="false">IF(INDEX(選手一覧!$I$7:$I$2738,$F679)="","",INDEX(選手一覧!$I$7:$I$2738,$F679))</f>
        <v/>
      </c>
    </row>
    <row r="680" customFormat="false" ht="15" hidden="false" customHeight="false" outlineLevel="0" collapsed="false">
      <c r="A680" s="12" t="n">
        <v>676</v>
      </c>
      <c r="B680" s="10" t="s">
        <v>2071</v>
      </c>
      <c r="C680" s="10" t="s">
        <v>2072</v>
      </c>
      <c r="D680" s="11" t="n">
        <v>0.00732384259259259</v>
      </c>
      <c r="E680" s="18" t="n">
        <f aca="false">ROUND((D680-$D$5)*86400,2)</f>
        <v>93.76</v>
      </c>
      <c r="F680" s="12" t="n">
        <v>1432</v>
      </c>
      <c r="G680" s="11" t="str">
        <f aca="false">IF(INDEX(選手一覧!$D$7:$D$2738,$F680)="","",INDEX(選手一覧!$D$7:$D$2738,$F680))</f>
        <v/>
      </c>
      <c r="H680" s="12" t="str">
        <f aca="false">IF(INDEX(選手一覧!$E$7:$E$2738,$F680)="","",INDEX(選手一覧!$E$7:$E$2738,$F680))</f>
        <v/>
      </c>
      <c r="I680" s="11" t="str">
        <f aca="false">IF(INDEX(選手一覧!$H$7:$H$2738,$F680)="","",INDEX(選手一覧!$H$7:$H$2738,$F680))</f>
        <v/>
      </c>
      <c r="J680" s="12" t="str">
        <f aca="false">IF(INDEX(選手一覧!$I$7:$I$2738,$F680)="","",INDEX(選手一覧!$I$7:$I$2738,$F680))</f>
        <v/>
      </c>
    </row>
    <row r="681" customFormat="false" ht="15" hidden="false" customHeight="false" outlineLevel="0" collapsed="false">
      <c r="A681" s="12" t="n">
        <v>677</v>
      </c>
      <c r="B681" s="10" t="s">
        <v>2073</v>
      </c>
      <c r="C681" s="10" t="s">
        <v>2074</v>
      </c>
      <c r="D681" s="11" t="n">
        <v>0.00732453703703704</v>
      </c>
      <c r="E681" s="18" t="n">
        <f aca="false">ROUND((D681-$D$5)*86400,2)</f>
        <v>93.82</v>
      </c>
      <c r="F681" s="12" t="n">
        <v>1433</v>
      </c>
      <c r="G681" s="11" t="str">
        <f aca="false">IF(INDEX(選手一覧!$D$7:$D$2738,$F681)="","",INDEX(選手一覧!$D$7:$D$2738,$F681))</f>
        <v/>
      </c>
      <c r="H681" s="12" t="str">
        <f aca="false">IF(INDEX(選手一覧!$E$7:$E$2738,$F681)="","",INDEX(選手一覧!$E$7:$E$2738,$F681))</f>
        <v/>
      </c>
      <c r="I681" s="11" t="str">
        <f aca="false">IF(INDEX(選手一覧!$H$7:$H$2738,$F681)="","",INDEX(選手一覧!$H$7:$H$2738,$F681))</f>
        <v/>
      </c>
      <c r="J681" s="12" t="str">
        <f aca="false">IF(INDEX(選手一覧!$I$7:$I$2738,$F681)="","",INDEX(選手一覧!$I$7:$I$2738,$F681))</f>
        <v/>
      </c>
    </row>
    <row r="682" customFormat="false" ht="15" hidden="false" customHeight="false" outlineLevel="0" collapsed="false">
      <c r="A682" s="12" t="n">
        <v>678</v>
      </c>
      <c r="B682" s="10" t="s">
        <v>2076</v>
      </c>
      <c r="C682" s="10" t="s">
        <v>2077</v>
      </c>
      <c r="D682" s="11" t="n">
        <v>0.007325</v>
      </c>
      <c r="E682" s="18" t="n">
        <f aca="false">ROUND((D682-$D$5)*86400,2)</f>
        <v>93.86</v>
      </c>
      <c r="F682" s="12" t="n">
        <v>1435</v>
      </c>
      <c r="G682" s="11" t="str">
        <f aca="false">IF(INDEX(選手一覧!$D$7:$D$2738,$F682)="","",INDEX(選手一覧!$D$7:$D$2738,$F682))</f>
        <v/>
      </c>
      <c r="H682" s="12" t="str">
        <f aca="false">IF(INDEX(選手一覧!$E$7:$E$2738,$F682)="","",INDEX(選手一覧!$E$7:$E$2738,$F682))</f>
        <v/>
      </c>
      <c r="I682" s="11" t="str">
        <f aca="false">IF(INDEX(選手一覧!$H$7:$H$2738,$F682)="","",INDEX(選手一覧!$H$7:$H$2738,$F682))</f>
        <v/>
      </c>
      <c r="J682" s="12" t="str">
        <f aca="false">IF(INDEX(選手一覧!$I$7:$I$2738,$F682)="","",INDEX(選手一覧!$I$7:$I$2738,$F682))</f>
        <v/>
      </c>
    </row>
    <row r="683" customFormat="false" ht="15" hidden="false" customHeight="false" outlineLevel="0" collapsed="false">
      <c r="A683" s="12" t="n">
        <v>679</v>
      </c>
      <c r="B683" s="10" t="s">
        <v>2080</v>
      </c>
      <c r="C683" s="10" t="s">
        <v>434</v>
      </c>
      <c r="D683" s="11" t="n">
        <v>0.00732719907407408</v>
      </c>
      <c r="E683" s="18" t="n">
        <f aca="false">ROUND((D683-$D$5)*86400,2)</f>
        <v>94.05</v>
      </c>
      <c r="F683" s="12" t="n">
        <v>1437</v>
      </c>
      <c r="G683" s="11" t="str">
        <f aca="false">IF(INDEX(選手一覧!$D$7:$D$2738,$F683)="","",INDEX(選手一覧!$D$7:$D$2738,$F683))</f>
        <v/>
      </c>
      <c r="H683" s="12" t="str">
        <f aca="false">IF(INDEX(選手一覧!$E$7:$E$2738,$F683)="","",INDEX(選手一覧!$E$7:$E$2738,$F683))</f>
        <v/>
      </c>
      <c r="I683" s="11" t="n">
        <f aca="false">IF(INDEX(選手一覧!$H$7:$H$2738,$F683)="","",INDEX(選手一覧!$H$7:$H$2738,$F683))</f>
        <v>0.00296273148148148</v>
      </c>
      <c r="J683" s="12" t="n">
        <f aca="false">IF(INDEX(選手一覧!$I$7:$I$2738,$F683)="","",INDEX(選手一覧!$I$7:$I$2738,$F683))</f>
        <v>1282</v>
      </c>
    </row>
    <row r="684" customFormat="false" ht="15" hidden="false" customHeight="false" outlineLevel="0" collapsed="false">
      <c r="A684" s="12" t="n">
        <v>680</v>
      </c>
      <c r="B684" s="10" t="s">
        <v>2083</v>
      </c>
      <c r="C684" s="10" t="s">
        <v>348</v>
      </c>
      <c r="D684" s="11" t="n">
        <v>0.00732893518518519</v>
      </c>
      <c r="E684" s="18" t="n">
        <f aca="false">ROUND((D684-$D$5)*86400,2)</f>
        <v>94.2</v>
      </c>
      <c r="F684" s="12" t="n">
        <v>1439</v>
      </c>
      <c r="G684" s="11" t="str">
        <f aca="false">IF(INDEX(選手一覧!$D$7:$D$2738,$F684)="","",INDEX(選手一覧!$D$7:$D$2738,$F684))</f>
        <v/>
      </c>
      <c r="H684" s="12" t="str">
        <f aca="false">IF(INDEX(選手一覧!$E$7:$E$2738,$F684)="","",INDEX(選手一覧!$E$7:$E$2738,$F684))</f>
        <v/>
      </c>
      <c r="I684" s="11" t="str">
        <f aca="false">IF(INDEX(選手一覧!$H$7:$H$2738,$F684)="","",INDEX(選手一覧!$H$7:$H$2738,$F684))</f>
        <v/>
      </c>
      <c r="J684" s="12" t="str">
        <f aca="false">IF(INDEX(選手一覧!$I$7:$I$2738,$F684)="","",INDEX(選手一覧!$I$7:$I$2738,$F684))</f>
        <v/>
      </c>
    </row>
    <row r="685" customFormat="false" ht="15" hidden="false" customHeight="false" outlineLevel="0" collapsed="false">
      <c r="A685" s="12" t="n">
        <v>681</v>
      </c>
      <c r="B685" s="10" t="s">
        <v>2085</v>
      </c>
      <c r="C685" s="10" t="s">
        <v>103</v>
      </c>
      <c r="D685" s="11" t="n">
        <v>0.00732905092592593</v>
      </c>
      <c r="E685" s="18" t="n">
        <f aca="false">ROUND((D685-$D$5)*86400,2)</f>
        <v>94.21</v>
      </c>
      <c r="F685" s="12" t="n">
        <v>1441</v>
      </c>
      <c r="G685" s="11" t="n">
        <f aca="false">IF(INDEX(選手一覧!$D$7:$D$2738,$F685)="","",INDEX(選手一覧!$D$7:$D$2738,$F685))</f>
        <v>0.0109596064814815</v>
      </c>
      <c r="H685" s="12" t="n">
        <f aca="false">IF(INDEX(選手一覧!$E$7:$E$2738,$F685)="","",INDEX(選手一覧!$E$7:$E$2738,$F685))</f>
        <v>1020</v>
      </c>
      <c r="I685" s="11" t="str">
        <f aca="false">IF(INDEX(選手一覧!$H$7:$H$2738,$F685)="","",INDEX(選手一覧!$H$7:$H$2738,$F685))</f>
        <v/>
      </c>
      <c r="J685" s="12" t="str">
        <f aca="false">IF(INDEX(選手一覧!$I$7:$I$2738,$F685)="","",INDEX(選手一覧!$I$7:$I$2738,$F685))</f>
        <v/>
      </c>
    </row>
    <row r="686" customFormat="false" ht="15" hidden="false" customHeight="false" outlineLevel="0" collapsed="false">
      <c r="A686" s="12" t="n">
        <v>682</v>
      </c>
      <c r="B686" s="10" t="s">
        <v>2091</v>
      </c>
      <c r="C686" s="10" t="s">
        <v>2092</v>
      </c>
      <c r="D686" s="11" t="n">
        <v>0.00732962962962963</v>
      </c>
      <c r="E686" s="18" t="n">
        <f aca="false">ROUND((D686-$D$5)*86400,2)</f>
        <v>94.26</v>
      </c>
      <c r="F686" s="12" t="n">
        <v>1445</v>
      </c>
      <c r="G686" s="11" t="str">
        <f aca="false">IF(INDEX(選手一覧!$D$7:$D$2738,$F686)="","",INDEX(選手一覧!$D$7:$D$2738,$F686))</f>
        <v/>
      </c>
      <c r="H686" s="12" t="str">
        <f aca="false">IF(INDEX(選手一覧!$E$7:$E$2738,$F686)="","",INDEX(選手一覧!$E$7:$E$2738,$F686))</f>
        <v/>
      </c>
      <c r="I686" s="11" t="str">
        <f aca="false">IF(INDEX(選手一覧!$H$7:$H$2738,$F686)="","",INDEX(選手一覧!$H$7:$H$2738,$F686))</f>
        <v/>
      </c>
      <c r="J686" s="12" t="str">
        <f aca="false">IF(INDEX(選手一覧!$I$7:$I$2738,$F686)="","",INDEX(選手一覧!$I$7:$I$2738,$F686))</f>
        <v/>
      </c>
    </row>
    <row r="687" customFormat="false" ht="15" hidden="false" customHeight="false" outlineLevel="0" collapsed="false">
      <c r="A687" s="12" t="n">
        <v>683</v>
      </c>
      <c r="B687" s="10" t="s">
        <v>2093</v>
      </c>
      <c r="C687" s="10" t="s">
        <v>1390</v>
      </c>
      <c r="D687" s="11" t="n">
        <v>0.00733078703703704</v>
      </c>
      <c r="E687" s="18" t="n">
        <f aca="false">ROUND((D687-$D$5)*86400,2)</f>
        <v>94.36</v>
      </c>
      <c r="F687" s="12" t="n">
        <v>1446</v>
      </c>
      <c r="G687" s="11" t="str">
        <f aca="false">IF(INDEX(選手一覧!$D$7:$D$2738,$F687)="","",INDEX(選手一覧!$D$7:$D$2738,$F687))</f>
        <v/>
      </c>
      <c r="H687" s="12" t="str">
        <f aca="false">IF(INDEX(選手一覧!$E$7:$E$2738,$F687)="","",INDEX(選手一覧!$E$7:$E$2738,$F687))</f>
        <v/>
      </c>
      <c r="I687" s="11" t="str">
        <f aca="false">IF(INDEX(選手一覧!$H$7:$H$2738,$F687)="","",INDEX(選手一覧!$H$7:$H$2738,$F687))</f>
        <v/>
      </c>
      <c r="J687" s="12" t="str">
        <f aca="false">IF(INDEX(選手一覧!$I$7:$I$2738,$F687)="","",INDEX(選手一覧!$I$7:$I$2738,$F687))</f>
        <v/>
      </c>
    </row>
    <row r="688" customFormat="false" ht="15" hidden="false" customHeight="false" outlineLevel="0" collapsed="false">
      <c r="A688" s="12" t="n">
        <v>684</v>
      </c>
      <c r="B688" s="10" t="s">
        <v>2095</v>
      </c>
      <c r="C688" s="10" t="s">
        <v>954</v>
      </c>
      <c r="D688" s="11" t="n">
        <v>0.00733136574074074</v>
      </c>
      <c r="E688" s="18" t="n">
        <f aca="false">ROUND((D688-$D$5)*86400,2)</f>
        <v>94.41</v>
      </c>
      <c r="F688" s="12" t="n">
        <v>1448</v>
      </c>
      <c r="G688" s="11" t="str">
        <f aca="false">IF(INDEX(選手一覧!$D$7:$D$2738,$F688)="","",INDEX(選手一覧!$D$7:$D$2738,$F688))</f>
        <v/>
      </c>
      <c r="H688" s="12" t="str">
        <f aca="false">IF(INDEX(選手一覧!$E$7:$E$2738,$F688)="","",INDEX(選手一覧!$E$7:$E$2738,$F688))</f>
        <v/>
      </c>
      <c r="I688" s="11" t="str">
        <f aca="false">IF(INDEX(選手一覧!$H$7:$H$2738,$F688)="","",INDEX(選手一覧!$H$7:$H$2738,$F688))</f>
        <v/>
      </c>
      <c r="J688" s="12" t="str">
        <f aca="false">IF(INDEX(選手一覧!$I$7:$I$2738,$F688)="","",INDEX(選手一覧!$I$7:$I$2738,$F688))</f>
        <v/>
      </c>
    </row>
    <row r="689" customFormat="false" ht="15" hidden="false" customHeight="false" outlineLevel="0" collapsed="false">
      <c r="A689" s="12" t="n">
        <v>685</v>
      </c>
      <c r="B689" s="10" t="s">
        <v>2096</v>
      </c>
      <c r="C689" s="10" t="s">
        <v>2097</v>
      </c>
      <c r="D689" s="11" t="n">
        <v>0.00733229166666667</v>
      </c>
      <c r="E689" s="18" t="n">
        <f aca="false">ROUND((D689-$D$5)*86400,2)</f>
        <v>94.49</v>
      </c>
      <c r="F689" s="12" t="n">
        <v>1449</v>
      </c>
      <c r="G689" s="11" t="str">
        <f aca="false">IF(INDEX(選手一覧!$D$7:$D$2738,$F689)="","",INDEX(選手一覧!$D$7:$D$2738,$F689))</f>
        <v/>
      </c>
      <c r="H689" s="12" t="str">
        <f aca="false">IF(INDEX(選手一覧!$E$7:$E$2738,$F689)="","",INDEX(選手一覧!$E$7:$E$2738,$F689))</f>
        <v/>
      </c>
      <c r="I689" s="11" t="str">
        <f aca="false">IF(INDEX(選手一覧!$H$7:$H$2738,$F689)="","",INDEX(選手一覧!$H$7:$H$2738,$F689))</f>
        <v/>
      </c>
      <c r="J689" s="12" t="str">
        <f aca="false">IF(INDEX(選手一覧!$I$7:$I$2738,$F689)="","",INDEX(選手一覧!$I$7:$I$2738,$F689))</f>
        <v/>
      </c>
    </row>
    <row r="690" customFormat="false" ht="15" hidden="false" customHeight="false" outlineLevel="0" collapsed="false">
      <c r="A690" s="12" t="n">
        <v>686</v>
      </c>
      <c r="B690" s="10" t="s">
        <v>2098</v>
      </c>
      <c r="C690" s="10" t="s">
        <v>47</v>
      </c>
      <c r="D690" s="11" t="n">
        <v>0.0073337962962963</v>
      </c>
      <c r="E690" s="18" t="n">
        <f aca="false">ROUND((D690-$D$5)*86400,2)</f>
        <v>94.62</v>
      </c>
      <c r="F690" s="12" t="n">
        <v>1450</v>
      </c>
      <c r="G690" s="11" t="str">
        <f aca="false">IF(INDEX(選手一覧!$D$7:$D$2738,$F690)="","",INDEX(選手一覧!$D$7:$D$2738,$F690))</f>
        <v/>
      </c>
      <c r="H690" s="12" t="str">
        <f aca="false">IF(INDEX(選手一覧!$E$7:$E$2738,$F690)="","",INDEX(選手一覧!$E$7:$E$2738,$F690))</f>
        <v/>
      </c>
      <c r="I690" s="11" t="str">
        <f aca="false">IF(INDEX(選手一覧!$H$7:$H$2738,$F690)="","",INDEX(選手一覧!$H$7:$H$2738,$F690))</f>
        <v/>
      </c>
      <c r="J690" s="12" t="str">
        <f aca="false">IF(INDEX(選手一覧!$I$7:$I$2738,$F690)="","",INDEX(選手一覧!$I$7:$I$2738,$F690))</f>
        <v/>
      </c>
    </row>
    <row r="691" customFormat="false" ht="15" hidden="false" customHeight="false" outlineLevel="0" collapsed="false">
      <c r="A691" s="12" t="n">
        <v>687</v>
      </c>
      <c r="B691" s="10" t="s">
        <v>2099</v>
      </c>
      <c r="C691" s="10" t="s">
        <v>2100</v>
      </c>
      <c r="D691" s="11" t="n">
        <v>0.00733449074074074</v>
      </c>
      <c r="E691" s="18" t="n">
        <f aca="false">ROUND((D691-$D$5)*86400,2)</f>
        <v>94.68</v>
      </c>
      <c r="F691" s="12" t="n">
        <v>1451</v>
      </c>
      <c r="G691" s="11" t="str">
        <f aca="false">IF(INDEX(選手一覧!$D$7:$D$2738,$F691)="","",INDEX(選手一覧!$D$7:$D$2738,$F691))</f>
        <v/>
      </c>
      <c r="H691" s="12" t="str">
        <f aca="false">IF(INDEX(選手一覧!$E$7:$E$2738,$F691)="","",INDEX(選手一覧!$E$7:$E$2738,$F691))</f>
        <v/>
      </c>
      <c r="I691" s="11" t="str">
        <f aca="false">IF(INDEX(選手一覧!$H$7:$H$2738,$F691)="","",INDEX(選手一覧!$H$7:$H$2738,$F691))</f>
        <v/>
      </c>
      <c r="J691" s="12" t="str">
        <f aca="false">IF(INDEX(選手一覧!$I$7:$I$2738,$F691)="","",INDEX(選手一覧!$I$7:$I$2738,$F691))</f>
        <v/>
      </c>
    </row>
    <row r="692" customFormat="false" ht="15" hidden="false" customHeight="false" outlineLevel="0" collapsed="false">
      <c r="A692" s="12" t="n">
        <v>688</v>
      </c>
      <c r="B692" s="10" t="s">
        <v>2102</v>
      </c>
      <c r="C692" s="10" t="s">
        <v>2103</v>
      </c>
      <c r="D692" s="11" t="n">
        <v>0.00733680555555556</v>
      </c>
      <c r="E692" s="18" t="n">
        <f aca="false">ROUND((D692-$D$5)*86400,2)</f>
        <v>94.88</v>
      </c>
      <c r="F692" s="12" t="n">
        <v>1453</v>
      </c>
      <c r="G692" s="11" t="str">
        <f aca="false">IF(INDEX(選手一覧!$D$7:$D$2738,$F692)="","",INDEX(選手一覧!$D$7:$D$2738,$F692))</f>
        <v/>
      </c>
      <c r="H692" s="12" t="str">
        <f aca="false">IF(INDEX(選手一覧!$E$7:$E$2738,$F692)="","",INDEX(選手一覧!$E$7:$E$2738,$F692))</f>
        <v/>
      </c>
      <c r="I692" s="11" t="str">
        <f aca="false">IF(INDEX(選手一覧!$H$7:$H$2738,$F692)="","",INDEX(選手一覧!$H$7:$H$2738,$F692))</f>
        <v/>
      </c>
      <c r="J692" s="12" t="str">
        <f aca="false">IF(INDEX(選手一覧!$I$7:$I$2738,$F692)="","",INDEX(選手一覧!$I$7:$I$2738,$F692))</f>
        <v/>
      </c>
    </row>
    <row r="693" customFormat="false" ht="15" hidden="false" customHeight="false" outlineLevel="0" collapsed="false">
      <c r="A693" s="12" t="n">
        <v>689</v>
      </c>
      <c r="B693" s="10" t="s">
        <v>2107</v>
      </c>
      <c r="C693" s="10" t="s">
        <v>377</v>
      </c>
      <c r="D693" s="11" t="n">
        <v>0.0073375</v>
      </c>
      <c r="E693" s="18" t="n">
        <f aca="false">ROUND((D693-$D$5)*86400,2)</f>
        <v>94.94</v>
      </c>
      <c r="F693" s="12" t="n">
        <v>1456</v>
      </c>
      <c r="G693" s="11" t="str">
        <f aca="false">IF(INDEX(選手一覧!$D$7:$D$2738,$F693)="","",INDEX(選手一覧!$D$7:$D$2738,$F693))</f>
        <v/>
      </c>
      <c r="H693" s="12" t="str">
        <f aca="false">IF(INDEX(選手一覧!$E$7:$E$2738,$F693)="","",INDEX(選手一覧!$E$7:$E$2738,$F693))</f>
        <v/>
      </c>
      <c r="I693" s="11" t="str">
        <f aca="false">IF(INDEX(選手一覧!$H$7:$H$2738,$F693)="","",INDEX(選手一覧!$H$7:$H$2738,$F693))</f>
        <v/>
      </c>
      <c r="J693" s="12" t="str">
        <f aca="false">IF(INDEX(選手一覧!$I$7:$I$2738,$F693)="","",INDEX(選手一覧!$I$7:$I$2738,$F693))</f>
        <v/>
      </c>
    </row>
    <row r="694" customFormat="false" ht="15" hidden="false" customHeight="false" outlineLevel="0" collapsed="false">
      <c r="A694" s="12" t="n">
        <v>690</v>
      </c>
      <c r="B694" s="10" t="s">
        <v>2108</v>
      </c>
      <c r="C694" s="10" t="s">
        <v>917</v>
      </c>
      <c r="D694" s="11" t="n">
        <v>0.00733819444444444</v>
      </c>
      <c r="E694" s="18" t="n">
        <f aca="false">ROUND((D694-$D$5)*86400,2)</f>
        <v>95</v>
      </c>
      <c r="F694" s="12" t="n">
        <v>1457</v>
      </c>
      <c r="G694" s="11" t="n">
        <f aca="false">IF(INDEX(選手一覧!$D$7:$D$2738,$F694)="","",INDEX(選手一覧!$D$7:$D$2738,$F694))</f>
        <v>0.0109578703703704</v>
      </c>
      <c r="H694" s="12" t="n">
        <f aca="false">IF(INDEX(選手一覧!$E$7:$E$2738,$F694)="","",INDEX(選手一覧!$E$7:$E$2738,$F694))</f>
        <v>1018</v>
      </c>
      <c r="I694" s="11" t="str">
        <f aca="false">IF(INDEX(選手一覧!$H$7:$H$2738,$F694)="","",INDEX(選手一覧!$H$7:$H$2738,$F694))</f>
        <v/>
      </c>
      <c r="J694" s="12" t="str">
        <f aca="false">IF(INDEX(選手一覧!$I$7:$I$2738,$F694)="","",INDEX(選手一覧!$I$7:$I$2738,$F694))</f>
        <v/>
      </c>
    </row>
    <row r="695" customFormat="false" ht="15" hidden="false" customHeight="false" outlineLevel="0" collapsed="false">
      <c r="A695" s="12" t="n">
        <v>691</v>
      </c>
      <c r="B695" s="10" t="s">
        <v>2110</v>
      </c>
      <c r="C695" s="10" t="s">
        <v>2111</v>
      </c>
      <c r="D695" s="11" t="n">
        <v>0.00733819444444444</v>
      </c>
      <c r="E695" s="18" t="n">
        <f aca="false">ROUND((D695-$D$5)*86400,2)</f>
        <v>95</v>
      </c>
      <c r="F695" s="12" t="n">
        <v>1459</v>
      </c>
      <c r="G695" s="11" t="str">
        <f aca="false">IF(INDEX(選手一覧!$D$7:$D$2738,$F695)="","",INDEX(選手一覧!$D$7:$D$2738,$F695))</f>
        <v/>
      </c>
      <c r="H695" s="12" t="str">
        <f aca="false">IF(INDEX(選手一覧!$E$7:$E$2738,$F695)="","",INDEX(選手一覧!$E$7:$E$2738,$F695))</f>
        <v/>
      </c>
      <c r="I695" s="11" t="str">
        <f aca="false">IF(INDEX(選手一覧!$H$7:$H$2738,$F695)="","",INDEX(選手一覧!$H$7:$H$2738,$F695))</f>
        <v/>
      </c>
      <c r="J695" s="12" t="str">
        <f aca="false">IF(INDEX(選手一覧!$I$7:$I$2738,$F695)="","",INDEX(選手一覧!$I$7:$I$2738,$F695))</f>
        <v/>
      </c>
    </row>
    <row r="696" customFormat="false" ht="15" hidden="false" customHeight="false" outlineLevel="0" collapsed="false">
      <c r="A696" s="12" t="n">
        <v>692</v>
      </c>
      <c r="B696" s="10" t="s">
        <v>2112</v>
      </c>
      <c r="C696" s="10" t="s">
        <v>1504</v>
      </c>
      <c r="D696" s="11" t="n">
        <v>0.00733854166666667</v>
      </c>
      <c r="E696" s="18" t="n">
        <f aca="false">ROUND((D696-$D$5)*86400,2)</f>
        <v>95.03</v>
      </c>
      <c r="F696" s="12" t="n">
        <v>1460</v>
      </c>
      <c r="G696" s="11" t="n">
        <f aca="false">IF(INDEX(選手一覧!$D$7:$D$2738,$F696)="","",INDEX(選手一覧!$D$7:$D$2738,$F696))</f>
        <v>0.0109635416666667</v>
      </c>
      <c r="H696" s="12" t="n">
        <f aca="false">IF(INDEX(選手一覧!$E$7:$E$2738,$F696)="","",INDEX(選手一覧!$E$7:$E$2738,$F696))</f>
        <v>1024</v>
      </c>
      <c r="I696" s="11" t="n">
        <f aca="false">IF(INDEX(選手一覧!$H$7:$H$2738,$F696)="","",INDEX(選手一覧!$H$7:$H$2738,$F696))</f>
        <v>0.00294328703703704</v>
      </c>
      <c r="J696" s="12" t="n">
        <f aca="false">IF(INDEX(選手一覧!$I$7:$I$2738,$F696)="","",INDEX(選手一覧!$I$7:$I$2738,$F696))</f>
        <v>1213</v>
      </c>
    </row>
    <row r="697" customFormat="false" ht="15" hidden="false" customHeight="false" outlineLevel="0" collapsed="false">
      <c r="A697" s="12" t="n">
        <v>693</v>
      </c>
      <c r="B697" s="10" t="s">
        <v>2116</v>
      </c>
      <c r="C697" s="10" t="s">
        <v>705</v>
      </c>
      <c r="D697" s="11" t="n">
        <v>0.00733969907407407</v>
      </c>
      <c r="E697" s="18" t="n">
        <f aca="false">ROUND((D697-$D$5)*86400,2)</f>
        <v>95.13</v>
      </c>
      <c r="F697" s="12" t="n">
        <v>1463</v>
      </c>
      <c r="G697" s="11" t="str">
        <f aca="false">IF(INDEX(選手一覧!$D$7:$D$2738,$F697)="","",INDEX(選手一覧!$D$7:$D$2738,$F697))</f>
        <v/>
      </c>
      <c r="H697" s="12" t="str">
        <f aca="false">IF(INDEX(選手一覧!$E$7:$E$2738,$F697)="","",INDEX(選手一覧!$E$7:$E$2738,$F697))</f>
        <v/>
      </c>
      <c r="I697" s="11" t="str">
        <f aca="false">IF(INDEX(選手一覧!$H$7:$H$2738,$F697)="","",INDEX(選手一覧!$H$7:$H$2738,$F697))</f>
        <v/>
      </c>
      <c r="J697" s="12" t="str">
        <f aca="false">IF(INDEX(選手一覧!$I$7:$I$2738,$F697)="","",INDEX(選手一覧!$I$7:$I$2738,$F697))</f>
        <v/>
      </c>
    </row>
    <row r="698" customFormat="false" ht="15" hidden="false" customHeight="false" outlineLevel="0" collapsed="false">
      <c r="A698" s="12" t="n">
        <v>694</v>
      </c>
      <c r="B698" s="10" t="s">
        <v>2120</v>
      </c>
      <c r="C698" s="10" t="s">
        <v>1775</v>
      </c>
      <c r="D698" s="11" t="n">
        <v>0.00733981481481482</v>
      </c>
      <c r="E698" s="18" t="n">
        <f aca="false">ROUND((D698-$D$5)*86400,2)</f>
        <v>95.14</v>
      </c>
      <c r="F698" s="12" t="n">
        <v>1466</v>
      </c>
      <c r="G698" s="11" t="str">
        <f aca="false">IF(INDEX(選手一覧!$D$7:$D$2738,$F698)="","",INDEX(選手一覧!$D$7:$D$2738,$F698))</f>
        <v/>
      </c>
      <c r="H698" s="12" t="str">
        <f aca="false">IF(INDEX(選手一覧!$E$7:$E$2738,$F698)="","",INDEX(選手一覧!$E$7:$E$2738,$F698))</f>
        <v/>
      </c>
      <c r="I698" s="11" t="str">
        <f aca="false">IF(INDEX(選手一覧!$H$7:$H$2738,$F698)="","",INDEX(選手一覧!$H$7:$H$2738,$F698))</f>
        <v/>
      </c>
      <c r="J698" s="12" t="str">
        <f aca="false">IF(INDEX(選手一覧!$I$7:$I$2738,$F698)="","",INDEX(選手一覧!$I$7:$I$2738,$F698))</f>
        <v/>
      </c>
    </row>
    <row r="699" customFormat="false" ht="15" hidden="false" customHeight="false" outlineLevel="0" collapsed="false">
      <c r="A699" s="12" t="n">
        <v>695</v>
      </c>
      <c r="B699" s="10" t="s">
        <v>2122</v>
      </c>
      <c r="C699" s="10" t="s">
        <v>2123</v>
      </c>
      <c r="D699" s="11" t="n">
        <v>0.00733981481481482</v>
      </c>
      <c r="E699" s="18" t="n">
        <f aca="false">ROUND((D699-$D$5)*86400,2)</f>
        <v>95.14</v>
      </c>
      <c r="F699" s="12" t="n">
        <v>1468</v>
      </c>
      <c r="G699" s="11" t="str">
        <f aca="false">IF(INDEX(選手一覧!$D$7:$D$2738,$F699)="","",INDEX(選手一覧!$D$7:$D$2738,$F699))</f>
        <v/>
      </c>
      <c r="H699" s="12" t="str">
        <f aca="false">IF(INDEX(選手一覧!$E$7:$E$2738,$F699)="","",INDEX(選手一覧!$E$7:$E$2738,$F699))</f>
        <v/>
      </c>
      <c r="I699" s="11" t="str">
        <f aca="false">IF(INDEX(選手一覧!$H$7:$H$2738,$F699)="","",INDEX(選手一覧!$H$7:$H$2738,$F699))</f>
        <v/>
      </c>
      <c r="J699" s="12" t="str">
        <f aca="false">IF(INDEX(選手一覧!$I$7:$I$2738,$F699)="","",INDEX(選手一覧!$I$7:$I$2738,$F699))</f>
        <v/>
      </c>
    </row>
    <row r="700" customFormat="false" ht="15" hidden="false" customHeight="false" outlineLevel="0" collapsed="false">
      <c r="A700" s="12" t="n">
        <v>696</v>
      </c>
      <c r="B700" s="10" t="s">
        <v>2125</v>
      </c>
      <c r="C700" s="10" t="s">
        <v>1813</v>
      </c>
      <c r="D700" s="11" t="n">
        <v>0.00734085648148148</v>
      </c>
      <c r="E700" s="18" t="n">
        <f aca="false">ROUND((D700-$D$5)*86400,2)</f>
        <v>95.23</v>
      </c>
      <c r="F700" s="12" t="n">
        <v>1470</v>
      </c>
      <c r="G700" s="11" t="str">
        <f aca="false">IF(INDEX(選手一覧!$D$7:$D$2738,$F700)="","",INDEX(選手一覧!$D$7:$D$2738,$F700))</f>
        <v/>
      </c>
      <c r="H700" s="12" t="str">
        <f aca="false">IF(INDEX(選手一覧!$E$7:$E$2738,$F700)="","",INDEX(選手一覧!$E$7:$E$2738,$F700))</f>
        <v/>
      </c>
      <c r="I700" s="11" t="str">
        <f aca="false">IF(INDEX(選手一覧!$H$7:$H$2738,$F700)="","",INDEX(選手一覧!$H$7:$H$2738,$F700))</f>
        <v/>
      </c>
      <c r="J700" s="12" t="str">
        <f aca="false">IF(INDEX(選手一覧!$I$7:$I$2738,$F700)="","",INDEX(選手一覧!$I$7:$I$2738,$F700))</f>
        <v/>
      </c>
    </row>
    <row r="701" customFormat="false" ht="15" hidden="false" customHeight="false" outlineLevel="0" collapsed="false">
      <c r="A701" s="12" t="n">
        <v>697</v>
      </c>
      <c r="B701" s="10" t="s">
        <v>2128</v>
      </c>
      <c r="C701" s="10" t="s">
        <v>2129</v>
      </c>
      <c r="D701" s="11" t="n">
        <v>0.00734131944444444</v>
      </c>
      <c r="E701" s="18" t="n">
        <f aca="false">ROUND((D701-$D$5)*86400,2)</f>
        <v>95.27</v>
      </c>
      <c r="F701" s="12" t="n">
        <v>1472</v>
      </c>
      <c r="G701" s="11" t="str">
        <f aca="false">IF(INDEX(選手一覧!$D$7:$D$2738,$F701)="","",INDEX(選手一覧!$D$7:$D$2738,$F701))</f>
        <v/>
      </c>
      <c r="H701" s="12" t="str">
        <f aca="false">IF(INDEX(選手一覧!$E$7:$E$2738,$F701)="","",INDEX(選手一覧!$E$7:$E$2738,$F701))</f>
        <v/>
      </c>
      <c r="I701" s="11" t="str">
        <f aca="false">IF(INDEX(選手一覧!$H$7:$H$2738,$F701)="","",INDEX(選手一覧!$H$7:$H$2738,$F701))</f>
        <v/>
      </c>
      <c r="J701" s="12" t="str">
        <f aca="false">IF(INDEX(選手一覧!$I$7:$I$2738,$F701)="","",INDEX(選手一覧!$I$7:$I$2738,$F701))</f>
        <v/>
      </c>
    </row>
    <row r="702" customFormat="false" ht="15" hidden="false" customHeight="false" outlineLevel="0" collapsed="false">
      <c r="A702" s="12" t="n">
        <v>698</v>
      </c>
      <c r="B702" s="10" t="s">
        <v>2113</v>
      </c>
      <c r="C702" s="10" t="s">
        <v>2114</v>
      </c>
      <c r="D702" s="11" t="n">
        <v>0.00734178240740741</v>
      </c>
      <c r="E702" s="18" t="n">
        <f aca="false">ROUND((D702-$D$5)*86400,2)</f>
        <v>95.31</v>
      </c>
      <c r="F702" s="12" t="n">
        <v>1461</v>
      </c>
      <c r="G702" s="11" t="str">
        <f aca="false">IF(INDEX(選手一覧!$D$7:$D$2738,$F702)="","",INDEX(選手一覧!$D$7:$D$2738,$F702))</f>
        <v/>
      </c>
      <c r="H702" s="12" t="str">
        <f aca="false">IF(INDEX(選手一覧!$E$7:$E$2738,$F702)="","",INDEX(選手一覧!$E$7:$E$2738,$F702))</f>
        <v/>
      </c>
      <c r="I702" s="11" t="n">
        <f aca="false">IF(INDEX(選手一覧!$H$7:$H$2738,$F702)="","",INDEX(選手一覧!$H$7:$H$2738,$F702))</f>
        <v>0.00286956018518519</v>
      </c>
      <c r="J702" s="12" t="n">
        <f aca="false">IF(INDEX(選手一覧!$I$7:$I$2738,$F702)="","",INDEX(選手一覧!$I$7:$I$2738,$F702))</f>
        <v>693</v>
      </c>
    </row>
    <row r="703" customFormat="false" ht="15" hidden="false" customHeight="false" outlineLevel="0" collapsed="false">
      <c r="A703" s="12" t="n">
        <v>699</v>
      </c>
      <c r="B703" s="10" t="s">
        <v>2133</v>
      </c>
      <c r="C703" s="10" t="s">
        <v>2134</v>
      </c>
      <c r="D703" s="11" t="n">
        <v>0.00734189814814815</v>
      </c>
      <c r="E703" s="18" t="n">
        <f aca="false">ROUND((D703-$D$5)*86400,2)</f>
        <v>95.32</v>
      </c>
      <c r="F703" s="12" t="n">
        <v>1475</v>
      </c>
      <c r="G703" s="11" t="n">
        <f aca="false">IF(INDEX(選手一覧!$D$7:$D$2738,$F703)="","",INDEX(選手一覧!$D$7:$D$2738,$F703))</f>
        <v>0.0109225694444444</v>
      </c>
      <c r="H703" s="12" t="n">
        <f aca="false">IF(INDEX(選手一覧!$E$7:$E$2738,$F703)="","",INDEX(選手一覧!$E$7:$E$2738,$F703))</f>
        <v>954</v>
      </c>
      <c r="I703" s="11" t="n">
        <f aca="false">IF(INDEX(選手一覧!$H$7:$H$2738,$F703)="","",INDEX(選手一覧!$H$7:$H$2738,$F703))</f>
        <v>0.00295</v>
      </c>
      <c r="J703" s="12" t="n">
        <f aca="false">IF(INDEX(選手一覧!$I$7:$I$2738,$F703)="","",INDEX(選手一覧!$I$7:$I$2738,$F703))</f>
        <v>1237</v>
      </c>
    </row>
    <row r="704" customFormat="false" ht="15" hidden="false" customHeight="false" outlineLevel="0" collapsed="false">
      <c r="A704" s="12" t="n">
        <v>700</v>
      </c>
      <c r="B704" s="10" t="s">
        <v>1875</v>
      </c>
      <c r="C704" s="10" t="s">
        <v>1876</v>
      </c>
      <c r="D704" s="11" t="n">
        <v>0.00734363425925926</v>
      </c>
      <c r="E704" s="18" t="n">
        <f aca="false">ROUND((D704-$D$5)*86400,2)</f>
        <v>95.47</v>
      </c>
      <c r="F704" s="12" t="n">
        <v>1290</v>
      </c>
      <c r="G704" s="11" t="n">
        <f aca="false">IF(INDEX(選手一覧!$D$7:$D$2738,$F704)="","",INDEX(選手一覧!$D$7:$D$2738,$F704))</f>
        <v>0.0109855324074074</v>
      </c>
      <c r="H704" s="12" t="n">
        <f aca="false">IF(INDEX(選手一覧!$E$7:$E$2738,$F704)="","",INDEX(選手一覧!$E$7:$E$2738,$F704))</f>
        <v>1069</v>
      </c>
      <c r="I704" s="11" t="n">
        <f aca="false">IF(INDEX(選手一覧!$H$7:$H$2738,$F704)="","",INDEX(選手一覧!$H$7:$H$2738,$F704))</f>
        <v>0.0028556712962963</v>
      </c>
      <c r="J704" s="12" t="n">
        <f aca="false">IF(INDEX(選手一覧!$I$7:$I$2738,$F704)="","",INDEX(選手一覧!$I$7:$I$2738,$F704))</f>
        <v>601</v>
      </c>
    </row>
    <row r="705" customFormat="false" ht="15" hidden="false" customHeight="false" outlineLevel="0" collapsed="false">
      <c r="A705" s="12" t="n">
        <v>701</v>
      </c>
      <c r="B705" s="10" t="s">
        <v>2139</v>
      </c>
      <c r="C705" s="10" t="s">
        <v>2140</v>
      </c>
      <c r="D705" s="11" t="n">
        <v>0.00734363425925926</v>
      </c>
      <c r="E705" s="18" t="n">
        <f aca="false">ROUND((D705-$D$5)*86400,2)</f>
        <v>95.47</v>
      </c>
      <c r="F705" s="12" t="n">
        <v>1478</v>
      </c>
      <c r="G705" s="11" t="str">
        <f aca="false">IF(INDEX(選手一覧!$D$7:$D$2738,$F705)="","",INDEX(選手一覧!$D$7:$D$2738,$F705))</f>
        <v/>
      </c>
      <c r="H705" s="12" t="str">
        <f aca="false">IF(INDEX(選手一覧!$E$7:$E$2738,$F705)="","",INDEX(選手一覧!$E$7:$E$2738,$F705))</f>
        <v/>
      </c>
      <c r="I705" s="11" t="str">
        <f aca="false">IF(INDEX(選手一覧!$H$7:$H$2738,$F705)="","",INDEX(選手一覧!$H$7:$H$2738,$F705))</f>
        <v/>
      </c>
      <c r="J705" s="12" t="str">
        <f aca="false">IF(INDEX(選手一覧!$I$7:$I$2738,$F705)="","",INDEX(選手一覧!$I$7:$I$2738,$F705))</f>
        <v/>
      </c>
    </row>
    <row r="706" customFormat="false" ht="15" hidden="false" customHeight="false" outlineLevel="0" collapsed="false">
      <c r="A706" s="12" t="n">
        <v>702</v>
      </c>
      <c r="B706" s="10" t="s">
        <v>2142</v>
      </c>
      <c r="C706" s="10" t="s">
        <v>391</v>
      </c>
      <c r="D706" s="11" t="n">
        <v>0.00734363425925926</v>
      </c>
      <c r="E706" s="18" t="n">
        <f aca="false">ROUND((D706-$D$5)*86400,2)</f>
        <v>95.47</v>
      </c>
      <c r="F706" s="12" t="n">
        <v>1480</v>
      </c>
      <c r="G706" s="11" t="str">
        <f aca="false">IF(INDEX(選手一覧!$D$7:$D$2738,$F706)="","",INDEX(選手一覧!$D$7:$D$2738,$F706))</f>
        <v/>
      </c>
      <c r="H706" s="12" t="str">
        <f aca="false">IF(INDEX(選手一覧!$E$7:$E$2738,$F706)="","",INDEX(選手一覧!$E$7:$E$2738,$F706))</f>
        <v/>
      </c>
      <c r="I706" s="11" t="str">
        <f aca="false">IF(INDEX(選手一覧!$H$7:$H$2738,$F706)="","",INDEX(選手一覧!$H$7:$H$2738,$F706))</f>
        <v/>
      </c>
      <c r="J706" s="12" t="str">
        <f aca="false">IF(INDEX(選手一覧!$I$7:$I$2738,$F706)="","",INDEX(選手一覧!$I$7:$I$2738,$F706))</f>
        <v/>
      </c>
    </row>
    <row r="707" customFormat="false" ht="15" hidden="false" customHeight="false" outlineLevel="0" collapsed="false">
      <c r="A707" s="12" t="n">
        <v>703</v>
      </c>
      <c r="B707" s="10" t="s">
        <v>2143</v>
      </c>
      <c r="C707" s="10" t="s">
        <v>1789</v>
      </c>
      <c r="D707" s="11" t="n">
        <v>0.00734479166666667</v>
      </c>
      <c r="E707" s="18" t="n">
        <f aca="false">ROUND((D707-$D$5)*86400,2)</f>
        <v>95.57</v>
      </c>
      <c r="F707" s="12" t="n">
        <v>1481</v>
      </c>
      <c r="G707" s="11" t="n">
        <f aca="false">IF(INDEX(選手一覧!$D$7:$D$2738,$F707)="","",INDEX(選手一覧!$D$7:$D$2738,$F707))</f>
        <v>0.0110538194444444</v>
      </c>
      <c r="H707" s="12" t="n">
        <f aca="false">IF(INDEX(選手一覧!$E$7:$E$2738,$F707)="","",INDEX(選手一覧!$E$7:$E$2738,$F707))</f>
        <v>1207</v>
      </c>
      <c r="I707" s="11" t="str">
        <f aca="false">IF(INDEX(選手一覧!$H$7:$H$2738,$F707)="","",INDEX(選手一覧!$H$7:$H$2738,$F707))</f>
        <v/>
      </c>
      <c r="J707" s="12" t="str">
        <f aca="false">IF(INDEX(選手一覧!$I$7:$I$2738,$F707)="","",INDEX(選手一覧!$I$7:$I$2738,$F707))</f>
        <v/>
      </c>
    </row>
    <row r="708" customFormat="false" ht="15" hidden="false" customHeight="false" outlineLevel="0" collapsed="false">
      <c r="A708" s="12" t="n">
        <v>704</v>
      </c>
      <c r="B708" s="10" t="s">
        <v>2145</v>
      </c>
      <c r="C708" s="10" t="s">
        <v>1651</v>
      </c>
      <c r="D708" s="11" t="n">
        <v>0.00734502314814815</v>
      </c>
      <c r="E708" s="18" t="n">
        <f aca="false">ROUND((D708-$D$5)*86400,2)</f>
        <v>95.59</v>
      </c>
      <c r="F708" s="12" t="n">
        <v>1483</v>
      </c>
      <c r="G708" s="11" t="str">
        <f aca="false">IF(INDEX(選手一覧!$D$7:$D$2738,$F708)="","",INDEX(選手一覧!$D$7:$D$2738,$F708))</f>
        <v/>
      </c>
      <c r="H708" s="12" t="str">
        <f aca="false">IF(INDEX(選手一覧!$E$7:$E$2738,$F708)="","",INDEX(選手一覧!$E$7:$E$2738,$F708))</f>
        <v/>
      </c>
      <c r="I708" s="11" t="str">
        <f aca="false">IF(INDEX(選手一覧!$H$7:$H$2738,$F708)="","",INDEX(選手一覧!$H$7:$H$2738,$F708))</f>
        <v/>
      </c>
      <c r="J708" s="12" t="str">
        <f aca="false">IF(INDEX(選手一覧!$I$7:$I$2738,$F708)="","",INDEX(選手一覧!$I$7:$I$2738,$F708))</f>
        <v/>
      </c>
    </row>
    <row r="709" customFormat="false" ht="15" hidden="false" customHeight="false" outlineLevel="0" collapsed="false">
      <c r="A709" s="12" t="n">
        <v>705</v>
      </c>
      <c r="B709" s="10" t="s">
        <v>2146</v>
      </c>
      <c r="C709" s="10" t="s">
        <v>2147</v>
      </c>
      <c r="D709" s="11" t="n">
        <v>0.00734513888888889</v>
      </c>
      <c r="E709" s="18" t="n">
        <f aca="false">ROUND((D709-$D$5)*86400,2)</f>
        <v>95.6</v>
      </c>
      <c r="F709" s="12" t="n">
        <v>1484</v>
      </c>
      <c r="G709" s="11" t="str">
        <f aca="false">IF(INDEX(選手一覧!$D$7:$D$2738,$F709)="","",INDEX(選手一覧!$D$7:$D$2738,$F709))</f>
        <v/>
      </c>
      <c r="H709" s="12" t="str">
        <f aca="false">IF(INDEX(選手一覧!$E$7:$E$2738,$F709)="","",INDEX(選手一覧!$E$7:$E$2738,$F709))</f>
        <v/>
      </c>
      <c r="I709" s="11" t="str">
        <f aca="false">IF(INDEX(選手一覧!$H$7:$H$2738,$F709)="","",INDEX(選手一覧!$H$7:$H$2738,$F709))</f>
        <v/>
      </c>
      <c r="J709" s="12" t="str">
        <f aca="false">IF(INDEX(選手一覧!$I$7:$I$2738,$F709)="","",INDEX(選手一覧!$I$7:$I$2738,$F709))</f>
        <v/>
      </c>
    </row>
    <row r="710" customFormat="false" ht="15" hidden="false" customHeight="false" outlineLevel="0" collapsed="false">
      <c r="A710" s="12" t="n">
        <v>706</v>
      </c>
      <c r="B710" s="10" t="s">
        <v>2149</v>
      </c>
      <c r="C710" s="10" t="s">
        <v>1608</v>
      </c>
      <c r="D710" s="11" t="n">
        <v>0.00734594907407408</v>
      </c>
      <c r="E710" s="18" t="n">
        <f aca="false">ROUND((D710-$D$5)*86400,2)</f>
        <v>95.67</v>
      </c>
      <c r="F710" s="12" t="n">
        <v>1486</v>
      </c>
      <c r="G710" s="11" t="n">
        <f aca="false">IF(INDEX(選手一覧!$D$7:$D$2738,$F710)="","",INDEX(選手一覧!$D$7:$D$2738,$F710))</f>
        <v>0.0110517361111111</v>
      </c>
      <c r="H710" s="12" t="n">
        <f aca="false">IF(INDEX(選手一覧!$E$7:$E$2738,$F710)="","",INDEX(選手一覧!$E$7:$E$2738,$F710))</f>
        <v>1200</v>
      </c>
      <c r="I710" s="11" t="n">
        <f aca="false">IF(INDEX(選手一覧!$H$7:$H$2738,$F710)="","",INDEX(選手一覧!$H$7:$H$2738,$F710))</f>
        <v>0.00288194444444444</v>
      </c>
      <c r="J710" s="12" t="n">
        <f aca="false">IF(INDEX(選手一覧!$I$7:$I$2738,$F710)="","",INDEX(選手一覧!$I$7:$I$2738,$F710))</f>
        <v>790</v>
      </c>
    </row>
    <row r="711" customFormat="false" ht="15" hidden="false" customHeight="false" outlineLevel="0" collapsed="false">
      <c r="A711" s="12" t="n">
        <v>707</v>
      </c>
      <c r="B711" s="10" t="s">
        <v>2153</v>
      </c>
      <c r="C711" s="10" t="s">
        <v>658</v>
      </c>
      <c r="D711" s="11" t="n">
        <v>0.00734606481481482</v>
      </c>
      <c r="E711" s="18" t="n">
        <f aca="false">ROUND((D711-$D$5)*86400,2)</f>
        <v>95.68</v>
      </c>
      <c r="F711" s="12" t="n">
        <v>1488</v>
      </c>
      <c r="G711" s="11" t="str">
        <f aca="false">IF(INDEX(選手一覧!$D$7:$D$2738,$F711)="","",INDEX(選手一覧!$D$7:$D$2738,$F711))</f>
        <v/>
      </c>
      <c r="H711" s="12" t="str">
        <f aca="false">IF(INDEX(選手一覧!$E$7:$E$2738,$F711)="","",INDEX(選手一覧!$E$7:$E$2738,$F711))</f>
        <v/>
      </c>
      <c r="I711" s="11" t="str">
        <f aca="false">IF(INDEX(選手一覧!$H$7:$H$2738,$F711)="","",INDEX(選手一覧!$H$7:$H$2738,$F711))</f>
        <v/>
      </c>
      <c r="J711" s="12" t="str">
        <f aca="false">IF(INDEX(選手一覧!$I$7:$I$2738,$F711)="","",INDEX(選手一覧!$I$7:$I$2738,$F711))</f>
        <v/>
      </c>
    </row>
    <row r="712" customFormat="false" ht="15" hidden="false" customHeight="false" outlineLevel="0" collapsed="false">
      <c r="A712" s="12" t="n">
        <v>708</v>
      </c>
      <c r="B712" s="10" t="s">
        <v>2156</v>
      </c>
      <c r="C712" s="10" t="s">
        <v>1366</v>
      </c>
      <c r="D712" s="11" t="n">
        <v>0.00734837962962963</v>
      </c>
      <c r="E712" s="18" t="n">
        <f aca="false">ROUND((D712-$D$5)*86400,2)</f>
        <v>95.88</v>
      </c>
      <c r="F712" s="12" t="n">
        <v>1490</v>
      </c>
      <c r="G712" s="11" t="str">
        <f aca="false">IF(INDEX(選手一覧!$D$7:$D$2738,$F712)="","",INDEX(選手一覧!$D$7:$D$2738,$F712))</f>
        <v/>
      </c>
      <c r="H712" s="12" t="str">
        <f aca="false">IF(INDEX(選手一覧!$E$7:$E$2738,$F712)="","",INDEX(選手一覧!$E$7:$E$2738,$F712))</f>
        <v/>
      </c>
      <c r="I712" s="11" t="str">
        <f aca="false">IF(INDEX(選手一覧!$H$7:$H$2738,$F712)="","",INDEX(選手一覧!$H$7:$H$2738,$F712))</f>
        <v/>
      </c>
      <c r="J712" s="12" t="str">
        <f aca="false">IF(INDEX(選手一覧!$I$7:$I$2738,$F712)="","",INDEX(選手一覧!$I$7:$I$2738,$F712))</f>
        <v/>
      </c>
    </row>
    <row r="713" customFormat="false" ht="15" hidden="false" customHeight="false" outlineLevel="0" collapsed="false">
      <c r="A713" s="12" t="n">
        <v>709</v>
      </c>
      <c r="B713" s="10" t="s">
        <v>2158</v>
      </c>
      <c r="C713" s="10" t="s">
        <v>139</v>
      </c>
      <c r="D713" s="11" t="n">
        <v>0.00734884259259259</v>
      </c>
      <c r="E713" s="18" t="n">
        <f aca="false">ROUND((D713-$D$5)*86400,2)</f>
        <v>95.92</v>
      </c>
      <c r="F713" s="12" t="n">
        <v>1492</v>
      </c>
      <c r="G713" s="11" t="str">
        <f aca="false">IF(INDEX(選手一覧!$D$7:$D$2738,$F713)="","",INDEX(選手一覧!$D$7:$D$2738,$F713))</f>
        <v/>
      </c>
      <c r="H713" s="12" t="str">
        <f aca="false">IF(INDEX(選手一覧!$E$7:$E$2738,$F713)="","",INDEX(選手一覧!$E$7:$E$2738,$F713))</f>
        <v/>
      </c>
      <c r="I713" s="11" t="str">
        <f aca="false">IF(INDEX(選手一覧!$H$7:$H$2738,$F713)="","",INDEX(選手一覧!$H$7:$H$2738,$F713))</f>
        <v/>
      </c>
      <c r="J713" s="12" t="str">
        <f aca="false">IF(INDEX(選手一覧!$I$7:$I$2738,$F713)="","",INDEX(選手一覧!$I$7:$I$2738,$F713))</f>
        <v/>
      </c>
    </row>
    <row r="714" customFormat="false" ht="15" hidden="false" customHeight="false" outlineLevel="0" collapsed="false">
      <c r="A714" s="12" t="n">
        <v>710</v>
      </c>
      <c r="B714" s="10" t="s">
        <v>2159</v>
      </c>
      <c r="C714" s="10" t="s">
        <v>2160</v>
      </c>
      <c r="D714" s="11" t="n">
        <v>0.00734918981481482</v>
      </c>
      <c r="E714" s="18" t="n">
        <f aca="false">ROUND((D714-$D$5)*86400,2)</f>
        <v>95.95</v>
      </c>
      <c r="F714" s="12" t="n">
        <v>1493</v>
      </c>
      <c r="G714" s="11" t="str">
        <f aca="false">IF(INDEX(選手一覧!$D$7:$D$2738,$F714)="","",INDEX(選手一覧!$D$7:$D$2738,$F714))</f>
        <v/>
      </c>
      <c r="H714" s="12" t="str">
        <f aca="false">IF(INDEX(選手一覧!$E$7:$E$2738,$F714)="","",INDEX(選手一覧!$E$7:$E$2738,$F714))</f>
        <v/>
      </c>
      <c r="I714" s="11" t="str">
        <f aca="false">IF(INDEX(選手一覧!$H$7:$H$2738,$F714)="","",INDEX(選手一覧!$H$7:$H$2738,$F714))</f>
        <v/>
      </c>
      <c r="J714" s="12" t="str">
        <f aca="false">IF(INDEX(選手一覧!$I$7:$I$2738,$F714)="","",INDEX(選手一覧!$I$7:$I$2738,$F714))</f>
        <v/>
      </c>
    </row>
    <row r="715" customFormat="false" ht="15" hidden="false" customHeight="false" outlineLevel="0" collapsed="false">
      <c r="A715" s="12" t="n">
        <v>711</v>
      </c>
      <c r="B715" s="10" t="s">
        <v>2163</v>
      </c>
      <c r="C715" s="10" t="s">
        <v>2164</v>
      </c>
      <c r="D715" s="11" t="n">
        <v>0.00735208333333333</v>
      </c>
      <c r="E715" s="18" t="n">
        <f aca="false">ROUND((D715-$D$5)*86400,2)</f>
        <v>96.2</v>
      </c>
      <c r="F715" s="12" t="n">
        <v>1496</v>
      </c>
      <c r="G715" s="11" t="str">
        <f aca="false">IF(INDEX(選手一覧!$D$7:$D$2738,$F715)="","",INDEX(選手一覧!$D$7:$D$2738,$F715))</f>
        <v/>
      </c>
      <c r="H715" s="12" t="str">
        <f aca="false">IF(INDEX(選手一覧!$E$7:$E$2738,$F715)="","",INDEX(選手一覧!$E$7:$E$2738,$F715))</f>
        <v/>
      </c>
      <c r="I715" s="11" t="str">
        <f aca="false">IF(INDEX(選手一覧!$H$7:$H$2738,$F715)="","",INDEX(選手一覧!$H$7:$H$2738,$F715))</f>
        <v/>
      </c>
      <c r="J715" s="12" t="str">
        <f aca="false">IF(INDEX(選手一覧!$I$7:$I$2738,$F715)="","",INDEX(選手一覧!$I$7:$I$2738,$F715))</f>
        <v/>
      </c>
    </row>
    <row r="716" customFormat="false" ht="15" hidden="false" customHeight="false" outlineLevel="0" collapsed="false">
      <c r="A716" s="12" t="n">
        <v>712</v>
      </c>
      <c r="B716" s="10" t="s">
        <v>2166</v>
      </c>
      <c r="C716" s="10" t="s">
        <v>1916</v>
      </c>
      <c r="D716" s="11" t="n">
        <v>0.00735243055555556</v>
      </c>
      <c r="E716" s="18" t="n">
        <f aca="false">ROUND((D716-$D$5)*86400,2)</f>
        <v>96.23</v>
      </c>
      <c r="F716" s="12" t="n">
        <v>1498</v>
      </c>
      <c r="G716" s="11" t="str">
        <f aca="false">IF(INDEX(選手一覧!$D$7:$D$2738,$F716)="","",INDEX(選手一覧!$D$7:$D$2738,$F716))</f>
        <v/>
      </c>
      <c r="H716" s="12" t="str">
        <f aca="false">IF(INDEX(選手一覧!$E$7:$E$2738,$F716)="","",INDEX(選手一覧!$E$7:$E$2738,$F716))</f>
        <v/>
      </c>
      <c r="I716" s="11" t="str">
        <f aca="false">IF(INDEX(選手一覧!$H$7:$H$2738,$F716)="","",INDEX(選手一覧!$H$7:$H$2738,$F716))</f>
        <v/>
      </c>
      <c r="J716" s="12" t="str">
        <f aca="false">IF(INDEX(選手一覧!$I$7:$I$2738,$F716)="","",INDEX(選手一覧!$I$7:$I$2738,$F716))</f>
        <v/>
      </c>
    </row>
    <row r="717" customFormat="false" ht="15" hidden="false" customHeight="false" outlineLevel="0" collapsed="false">
      <c r="A717" s="12" t="n">
        <v>713</v>
      </c>
      <c r="B717" s="10" t="s">
        <v>2168</v>
      </c>
      <c r="C717" s="10" t="s">
        <v>1280</v>
      </c>
      <c r="D717" s="11" t="n">
        <v>0.00735289351851852</v>
      </c>
      <c r="E717" s="18" t="n">
        <f aca="false">ROUND((D717-$D$5)*86400,2)</f>
        <v>96.27</v>
      </c>
      <c r="F717" s="12" t="n">
        <v>1499</v>
      </c>
      <c r="G717" s="11" t="str">
        <f aca="false">IF(INDEX(選手一覧!$D$7:$D$2738,$F717)="","",INDEX(選手一覧!$D$7:$D$2738,$F717))</f>
        <v/>
      </c>
      <c r="H717" s="12" t="str">
        <f aca="false">IF(INDEX(選手一覧!$E$7:$E$2738,$F717)="","",INDEX(選手一覧!$E$7:$E$2738,$F717))</f>
        <v/>
      </c>
      <c r="I717" s="11" t="n">
        <f aca="false">IF(INDEX(選手一覧!$H$7:$H$2738,$F717)="","",INDEX(選手一覧!$H$7:$H$2738,$F717))</f>
        <v>0.00287974537037037</v>
      </c>
      <c r="J717" s="12" t="n">
        <f aca="false">IF(INDEX(選手一覧!$I$7:$I$2738,$F717)="","",INDEX(選手一覧!$I$7:$I$2738,$F717))</f>
        <v>768</v>
      </c>
    </row>
    <row r="718" customFormat="false" ht="15" hidden="false" customHeight="false" outlineLevel="0" collapsed="false">
      <c r="A718" s="12" t="n">
        <v>714</v>
      </c>
      <c r="B718" s="10" t="s">
        <v>2172</v>
      </c>
      <c r="C718" s="10" t="s">
        <v>2173</v>
      </c>
      <c r="D718" s="11" t="n">
        <v>0.00735300925925926</v>
      </c>
      <c r="E718" s="18" t="n">
        <f aca="false">ROUND((D718-$D$5)*86400,2)</f>
        <v>96.28</v>
      </c>
      <c r="F718" s="12" t="n">
        <v>1502</v>
      </c>
      <c r="G718" s="11" t="n">
        <f aca="false">IF(INDEX(選手一覧!$D$7:$D$2738,$F718)="","",INDEX(選手一覧!$D$7:$D$2738,$F718))</f>
        <v>0.0108677083333333</v>
      </c>
      <c r="H718" s="12" t="n">
        <f aca="false">IF(INDEX(選手一覧!$E$7:$E$2738,$F718)="","",INDEX(選手一覧!$E$7:$E$2738,$F718))</f>
        <v>867</v>
      </c>
      <c r="I718" s="11" t="n">
        <f aca="false">IF(INDEX(選手一覧!$H$7:$H$2738,$F718)="","",INDEX(選手一覧!$H$7:$H$2738,$F718))</f>
        <v>0.00290034722222222</v>
      </c>
      <c r="J718" s="12" t="n">
        <f aca="false">IF(INDEX(選手一覧!$I$7:$I$2738,$F718)="","",INDEX(選手一覧!$I$7:$I$2738,$F718))</f>
        <v>950</v>
      </c>
    </row>
    <row r="719" customFormat="false" ht="15" hidden="false" customHeight="false" outlineLevel="0" collapsed="false">
      <c r="A719" s="12" t="n">
        <v>715</v>
      </c>
      <c r="B719" s="10" t="s">
        <v>2175</v>
      </c>
      <c r="C719" s="10" t="s">
        <v>377</v>
      </c>
      <c r="D719" s="11" t="n">
        <v>0.00735509259259259</v>
      </c>
      <c r="E719" s="18" t="n">
        <f aca="false">ROUND((D719-$D$5)*86400,2)</f>
        <v>96.46</v>
      </c>
      <c r="F719" s="12" t="n">
        <v>1504</v>
      </c>
      <c r="G719" s="11" t="n">
        <f aca="false">IF(INDEX(選手一覧!$D$7:$D$2738,$F719)="","",INDEX(選手一覧!$D$7:$D$2738,$F719))</f>
        <v>0.0109420138888889</v>
      </c>
      <c r="H719" s="12" t="n">
        <f aca="false">IF(INDEX(選手一覧!$E$7:$E$2738,$F719)="","",INDEX(選手一覧!$E$7:$E$2738,$F719))</f>
        <v>984</v>
      </c>
      <c r="I719" s="11" t="str">
        <f aca="false">IF(INDEX(選手一覧!$H$7:$H$2738,$F719)="","",INDEX(選手一覧!$H$7:$H$2738,$F719))</f>
        <v/>
      </c>
      <c r="J719" s="12" t="str">
        <f aca="false">IF(INDEX(選手一覧!$I$7:$I$2738,$F719)="","",INDEX(選手一覧!$I$7:$I$2738,$F719))</f>
        <v/>
      </c>
    </row>
    <row r="720" customFormat="false" ht="15" hidden="false" customHeight="false" outlineLevel="0" collapsed="false">
      <c r="A720" s="12" t="n">
        <v>716</v>
      </c>
      <c r="B720" s="10" t="s">
        <v>2178</v>
      </c>
      <c r="C720" s="10" t="s">
        <v>302</v>
      </c>
      <c r="D720" s="11" t="n">
        <v>0.0073556712962963</v>
      </c>
      <c r="E720" s="18" t="n">
        <f aca="false">ROUND((D720-$D$5)*86400,2)</f>
        <v>96.51</v>
      </c>
      <c r="F720" s="12" t="n">
        <v>1507</v>
      </c>
      <c r="G720" s="11" t="n">
        <f aca="false">IF(INDEX(選手一覧!$D$7:$D$2738,$F720)="","",INDEX(選手一覧!$D$7:$D$2738,$F720))</f>
        <v>0.0110917824074074</v>
      </c>
      <c r="H720" s="12" t="n">
        <f aca="false">IF(INDEX(選手一覧!$E$7:$E$2738,$F720)="","",INDEX(選手一覧!$E$7:$E$2738,$F720))</f>
        <v>1262</v>
      </c>
      <c r="I720" s="11" t="str">
        <f aca="false">IF(INDEX(選手一覧!$H$7:$H$2738,$F720)="","",INDEX(選手一覧!$H$7:$H$2738,$F720))</f>
        <v/>
      </c>
      <c r="J720" s="12" t="str">
        <f aca="false">IF(INDEX(選手一覧!$I$7:$I$2738,$F720)="","",INDEX(選手一覧!$I$7:$I$2738,$F720))</f>
        <v/>
      </c>
    </row>
    <row r="721" customFormat="false" ht="15" hidden="false" customHeight="false" outlineLevel="0" collapsed="false">
      <c r="A721" s="12" t="n">
        <v>717</v>
      </c>
      <c r="B721" s="10" t="s">
        <v>2180</v>
      </c>
      <c r="C721" s="10" t="s">
        <v>2181</v>
      </c>
      <c r="D721" s="11" t="n">
        <v>0.00735601851851852</v>
      </c>
      <c r="E721" s="18" t="n">
        <f aca="false">ROUND((D721-$D$5)*86400,2)</f>
        <v>96.54</v>
      </c>
      <c r="F721" s="12" t="n">
        <v>1509</v>
      </c>
      <c r="G721" s="11" t="str">
        <f aca="false">IF(INDEX(選手一覧!$D$7:$D$2738,$F721)="","",INDEX(選手一覧!$D$7:$D$2738,$F721))</f>
        <v/>
      </c>
      <c r="H721" s="12" t="str">
        <f aca="false">IF(INDEX(選手一覧!$E$7:$E$2738,$F721)="","",INDEX(選手一覧!$E$7:$E$2738,$F721))</f>
        <v/>
      </c>
      <c r="I721" s="11" t="str">
        <f aca="false">IF(INDEX(選手一覧!$H$7:$H$2738,$F721)="","",INDEX(選手一覧!$H$7:$H$2738,$F721))</f>
        <v/>
      </c>
      <c r="J721" s="12" t="str">
        <f aca="false">IF(INDEX(選手一覧!$I$7:$I$2738,$F721)="","",INDEX(選手一覧!$I$7:$I$2738,$F721))</f>
        <v/>
      </c>
    </row>
    <row r="722" customFormat="false" ht="15" hidden="false" customHeight="false" outlineLevel="0" collapsed="false">
      <c r="A722" s="12" t="n">
        <v>718</v>
      </c>
      <c r="B722" s="10" t="s">
        <v>2182</v>
      </c>
      <c r="C722" s="10" t="s">
        <v>1498</v>
      </c>
      <c r="D722" s="11" t="n">
        <v>0.00736041666666667</v>
      </c>
      <c r="E722" s="18" t="n">
        <f aca="false">ROUND((D722-$D$5)*86400,2)</f>
        <v>96.92</v>
      </c>
      <c r="F722" s="12" t="n">
        <v>1510</v>
      </c>
      <c r="G722" s="11" t="str">
        <f aca="false">IF(INDEX(選手一覧!$D$7:$D$2738,$F722)="","",INDEX(選手一覧!$D$7:$D$2738,$F722))</f>
        <v/>
      </c>
      <c r="H722" s="12" t="str">
        <f aca="false">IF(INDEX(選手一覧!$E$7:$E$2738,$F722)="","",INDEX(選手一覧!$E$7:$E$2738,$F722))</f>
        <v/>
      </c>
      <c r="I722" s="11" t="str">
        <f aca="false">IF(INDEX(選手一覧!$H$7:$H$2738,$F722)="","",INDEX(選手一覧!$H$7:$H$2738,$F722))</f>
        <v/>
      </c>
      <c r="J722" s="12" t="str">
        <f aca="false">IF(INDEX(選手一覧!$I$7:$I$2738,$F722)="","",INDEX(選手一覧!$I$7:$I$2738,$F722))</f>
        <v/>
      </c>
    </row>
    <row r="723" customFormat="false" ht="15" hidden="false" customHeight="false" outlineLevel="0" collapsed="false">
      <c r="A723" s="12" t="n">
        <v>719</v>
      </c>
      <c r="B723" s="10" t="s">
        <v>2183</v>
      </c>
      <c r="C723" s="10" t="s">
        <v>2184</v>
      </c>
      <c r="D723" s="11" t="n">
        <v>0.00736041666666667</v>
      </c>
      <c r="E723" s="18" t="n">
        <f aca="false">ROUND((D723-$D$5)*86400,2)</f>
        <v>96.92</v>
      </c>
      <c r="F723" s="12" t="n">
        <v>1511</v>
      </c>
      <c r="G723" s="11" t="str">
        <f aca="false">IF(INDEX(選手一覧!$D$7:$D$2738,$F723)="","",INDEX(選手一覧!$D$7:$D$2738,$F723))</f>
        <v/>
      </c>
      <c r="H723" s="12" t="str">
        <f aca="false">IF(INDEX(選手一覧!$E$7:$E$2738,$F723)="","",INDEX(選手一覧!$E$7:$E$2738,$F723))</f>
        <v/>
      </c>
      <c r="I723" s="11" t="str">
        <f aca="false">IF(INDEX(選手一覧!$H$7:$H$2738,$F723)="","",INDEX(選手一覧!$H$7:$H$2738,$F723))</f>
        <v/>
      </c>
      <c r="J723" s="12" t="str">
        <f aca="false">IF(INDEX(選手一覧!$I$7:$I$2738,$F723)="","",INDEX(選手一覧!$I$7:$I$2738,$F723))</f>
        <v/>
      </c>
    </row>
    <row r="724" customFormat="false" ht="15" hidden="false" customHeight="false" outlineLevel="0" collapsed="false">
      <c r="A724" s="12" t="n">
        <v>720</v>
      </c>
      <c r="B724" s="10" t="s">
        <v>2187</v>
      </c>
      <c r="C724" s="10" t="s">
        <v>154</v>
      </c>
      <c r="D724" s="11" t="n">
        <v>0.00736053240740741</v>
      </c>
      <c r="E724" s="18" t="n">
        <f aca="false">ROUND((D724-$D$5)*86400,2)</f>
        <v>96.93</v>
      </c>
      <c r="F724" s="12" t="n">
        <v>1513</v>
      </c>
      <c r="G724" s="11" t="str">
        <f aca="false">IF(INDEX(選手一覧!$D$7:$D$2738,$F724)="","",INDEX(選手一覧!$D$7:$D$2738,$F724))</f>
        <v/>
      </c>
      <c r="H724" s="12" t="str">
        <f aca="false">IF(INDEX(選手一覧!$E$7:$E$2738,$F724)="","",INDEX(選手一覧!$E$7:$E$2738,$F724))</f>
        <v/>
      </c>
      <c r="I724" s="11" t="str">
        <f aca="false">IF(INDEX(選手一覧!$H$7:$H$2738,$F724)="","",INDEX(選手一覧!$H$7:$H$2738,$F724))</f>
        <v/>
      </c>
      <c r="J724" s="12" t="str">
        <f aca="false">IF(INDEX(選手一覧!$I$7:$I$2738,$F724)="","",INDEX(選手一覧!$I$7:$I$2738,$F724))</f>
        <v/>
      </c>
    </row>
    <row r="725" customFormat="false" ht="15" hidden="false" customHeight="false" outlineLevel="0" collapsed="false">
      <c r="A725" s="12" t="n">
        <v>721</v>
      </c>
      <c r="B725" s="10" t="s">
        <v>2189</v>
      </c>
      <c r="C725" s="10" t="s">
        <v>738</v>
      </c>
      <c r="D725" s="11" t="n">
        <v>0.00736087962962963</v>
      </c>
      <c r="E725" s="18" t="n">
        <f aca="false">ROUND((D725-$D$5)*86400,2)</f>
        <v>96.96</v>
      </c>
      <c r="F725" s="12" t="n">
        <v>1515</v>
      </c>
      <c r="G725" s="11" t="str">
        <f aca="false">IF(INDEX(選手一覧!$D$7:$D$2738,$F725)="","",INDEX(選手一覧!$D$7:$D$2738,$F725))</f>
        <v/>
      </c>
      <c r="H725" s="12" t="str">
        <f aca="false">IF(INDEX(選手一覧!$E$7:$E$2738,$F725)="","",INDEX(選手一覧!$E$7:$E$2738,$F725))</f>
        <v/>
      </c>
      <c r="I725" s="11" t="str">
        <f aca="false">IF(INDEX(選手一覧!$H$7:$H$2738,$F725)="","",INDEX(選手一覧!$H$7:$H$2738,$F725))</f>
        <v/>
      </c>
      <c r="J725" s="12" t="str">
        <f aca="false">IF(INDEX(選手一覧!$I$7:$I$2738,$F725)="","",INDEX(選手一覧!$I$7:$I$2738,$F725))</f>
        <v/>
      </c>
    </row>
    <row r="726" customFormat="false" ht="15" hidden="false" customHeight="false" outlineLevel="0" collapsed="false">
      <c r="A726" s="12" t="n">
        <v>722</v>
      </c>
      <c r="B726" s="10" t="s">
        <v>2191</v>
      </c>
      <c r="C726" s="10" t="s">
        <v>2192</v>
      </c>
      <c r="D726" s="11" t="n">
        <v>0.00736157407407407</v>
      </c>
      <c r="E726" s="18" t="n">
        <f aca="false">ROUND((D726-$D$5)*86400,2)</f>
        <v>97.02</v>
      </c>
      <c r="F726" s="12" t="n">
        <v>1517</v>
      </c>
      <c r="G726" s="11" t="str">
        <f aca="false">IF(INDEX(選手一覧!$D$7:$D$2738,$F726)="","",INDEX(選手一覧!$D$7:$D$2738,$F726))</f>
        <v/>
      </c>
      <c r="H726" s="12" t="str">
        <f aca="false">IF(INDEX(選手一覧!$E$7:$E$2738,$F726)="","",INDEX(選手一覧!$E$7:$E$2738,$F726))</f>
        <v/>
      </c>
      <c r="I726" s="11" t="str">
        <f aca="false">IF(INDEX(選手一覧!$H$7:$H$2738,$F726)="","",INDEX(選手一覧!$H$7:$H$2738,$F726))</f>
        <v/>
      </c>
      <c r="J726" s="12" t="str">
        <f aca="false">IF(INDEX(選手一覧!$I$7:$I$2738,$F726)="","",INDEX(選手一覧!$I$7:$I$2738,$F726))</f>
        <v/>
      </c>
    </row>
    <row r="727" customFormat="false" ht="15" hidden="false" customHeight="false" outlineLevel="0" collapsed="false">
      <c r="A727" s="12" t="n">
        <v>723</v>
      </c>
      <c r="B727" s="10" t="s">
        <v>2195</v>
      </c>
      <c r="C727" s="10" t="s">
        <v>2196</v>
      </c>
      <c r="D727" s="11" t="n">
        <v>0.00736273148148148</v>
      </c>
      <c r="E727" s="18" t="n">
        <f aca="false">ROUND((D727-$D$5)*86400,2)</f>
        <v>97.12</v>
      </c>
      <c r="F727" s="12" t="n">
        <v>1520</v>
      </c>
      <c r="G727" s="11" t="str">
        <f aca="false">IF(INDEX(選手一覧!$D$7:$D$2738,$F727)="","",INDEX(選手一覧!$D$7:$D$2738,$F727))</f>
        <v/>
      </c>
      <c r="H727" s="12" t="str">
        <f aca="false">IF(INDEX(選手一覧!$E$7:$E$2738,$F727)="","",INDEX(選手一覧!$E$7:$E$2738,$F727))</f>
        <v/>
      </c>
      <c r="I727" s="11" t="str">
        <f aca="false">IF(INDEX(選手一覧!$H$7:$H$2738,$F727)="","",INDEX(選手一覧!$H$7:$H$2738,$F727))</f>
        <v/>
      </c>
      <c r="J727" s="12" t="str">
        <f aca="false">IF(INDEX(選手一覧!$I$7:$I$2738,$F727)="","",INDEX(選手一覧!$I$7:$I$2738,$F727))</f>
        <v/>
      </c>
    </row>
    <row r="728" customFormat="false" ht="15" hidden="false" customHeight="false" outlineLevel="0" collapsed="false">
      <c r="A728" s="12" t="n">
        <v>724</v>
      </c>
      <c r="B728" s="10" t="s">
        <v>2200</v>
      </c>
      <c r="C728" s="10" t="s">
        <v>2201</v>
      </c>
      <c r="D728" s="11" t="n">
        <v>0.00736273148148148</v>
      </c>
      <c r="E728" s="18" t="n">
        <f aca="false">ROUND((D728-$D$5)*86400,2)</f>
        <v>97.12</v>
      </c>
      <c r="F728" s="12" t="n">
        <v>1524</v>
      </c>
      <c r="G728" s="11" t="str">
        <f aca="false">IF(INDEX(選手一覧!$D$7:$D$2738,$F728)="","",INDEX(選手一覧!$D$7:$D$2738,$F728))</f>
        <v/>
      </c>
      <c r="H728" s="12" t="str">
        <f aca="false">IF(INDEX(選手一覧!$E$7:$E$2738,$F728)="","",INDEX(選手一覧!$E$7:$E$2738,$F728))</f>
        <v/>
      </c>
      <c r="I728" s="11" t="str">
        <f aca="false">IF(INDEX(選手一覧!$H$7:$H$2738,$F728)="","",INDEX(選手一覧!$H$7:$H$2738,$F728))</f>
        <v/>
      </c>
      <c r="J728" s="12" t="str">
        <f aca="false">IF(INDEX(選手一覧!$I$7:$I$2738,$F728)="","",INDEX(選手一覧!$I$7:$I$2738,$F728))</f>
        <v/>
      </c>
    </row>
    <row r="729" customFormat="false" ht="15" hidden="false" customHeight="false" outlineLevel="0" collapsed="false">
      <c r="A729" s="12" t="n">
        <v>725</v>
      </c>
      <c r="B729" s="10" t="s">
        <v>1734</v>
      </c>
      <c r="C729" s="10" t="s">
        <v>103</v>
      </c>
      <c r="D729" s="11" t="n">
        <v>0.00736342592592593</v>
      </c>
      <c r="E729" s="18" t="n">
        <f aca="false">ROUND((D729-$D$5)*86400,2)</f>
        <v>97.18</v>
      </c>
      <c r="F729" s="12" t="n">
        <v>1196</v>
      </c>
      <c r="G729" s="11" t="n">
        <f aca="false">IF(INDEX(選手一覧!$D$7:$D$2738,$F729)="","",INDEX(選手一覧!$D$7:$D$2738,$F729))</f>
        <v>0.0106704861111111</v>
      </c>
      <c r="H729" s="12" t="n">
        <f aca="false">IF(INDEX(選手一覧!$E$7:$E$2738,$F729)="","",INDEX(選手一覧!$E$7:$E$2738,$F729))</f>
        <v>549</v>
      </c>
      <c r="I729" s="11" t="n">
        <f aca="false">IF(INDEX(選手一覧!$H$7:$H$2738,$F729)="","",INDEX(選手一覧!$H$7:$H$2738,$F729))</f>
        <v>0.00291284722222222</v>
      </c>
      <c r="J729" s="12" t="n">
        <f aca="false">IF(INDEX(選手一覧!$I$7:$I$2738,$F729)="","",INDEX(選手一覧!$I$7:$I$2738,$F729))</f>
        <v>1042</v>
      </c>
    </row>
    <row r="730" customFormat="false" ht="15" hidden="false" customHeight="false" outlineLevel="0" collapsed="false">
      <c r="A730" s="12" t="n">
        <v>726</v>
      </c>
      <c r="B730" s="10" t="s">
        <v>2204</v>
      </c>
      <c r="C730" s="10" t="s">
        <v>2205</v>
      </c>
      <c r="D730" s="11" t="n">
        <v>0.00736400462962963</v>
      </c>
      <c r="E730" s="18" t="n">
        <f aca="false">ROUND((D730-$D$5)*86400,2)</f>
        <v>97.23</v>
      </c>
      <c r="F730" s="12" t="n">
        <v>1526</v>
      </c>
      <c r="G730" s="11" t="str">
        <f aca="false">IF(INDEX(選手一覧!$D$7:$D$2738,$F730)="","",INDEX(選手一覧!$D$7:$D$2738,$F730))</f>
        <v/>
      </c>
      <c r="H730" s="12" t="str">
        <f aca="false">IF(INDEX(選手一覧!$E$7:$E$2738,$F730)="","",INDEX(選手一覧!$E$7:$E$2738,$F730))</f>
        <v/>
      </c>
      <c r="I730" s="11" t="str">
        <f aca="false">IF(INDEX(選手一覧!$H$7:$H$2738,$F730)="","",INDEX(選手一覧!$H$7:$H$2738,$F730))</f>
        <v/>
      </c>
      <c r="J730" s="12" t="str">
        <f aca="false">IF(INDEX(選手一覧!$I$7:$I$2738,$F730)="","",INDEX(選手一覧!$I$7:$I$2738,$F730))</f>
        <v/>
      </c>
    </row>
    <row r="731" customFormat="false" ht="15" hidden="false" customHeight="false" outlineLevel="0" collapsed="false">
      <c r="A731" s="12" t="n">
        <v>727</v>
      </c>
      <c r="B731" s="10" t="s">
        <v>2207</v>
      </c>
      <c r="C731" s="10" t="s">
        <v>1717</v>
      </c>
      <c r="D731" s="11" t="n">
        <v>0.00736446759259259</v>
      </c>
      <c r="E731" s="18" t="n">
        <f aca="false">ROUND((D731-$D$5)*86400,2)</f>
        <v>97.27</v>
      </c>
      <c r="F731" s="12" t="n">
        <v>1528</v>
      </c>
      <c r="G731" s="11" t="str">
        <f aca="false">IF(INDEX(選手一覧!$D$7:$D$2738,$F731)="","",INDEX(選手一覧!$D$7:$D$2738,$F731))</f>
        <v/>
      </c>
      <c r="H731" s="12" t="str">
        <f aca="false">IF(INDEX(選手一覧!$E$7:$E$2738,$F731)="","",INDEX(選手一覧!$E$7:$E$2738,$F731))</f>
        <v/>
      </c>
      <c r="I731" s="11" t="n">
        <f aca="false">IF(INDEX(選手一覧!$H$7:$H$2738,$F731)="","",INDEX(選手一覧!$H$7:$H$2738,$F731))</f>
        <v>0.00290729166666667</v>
      </c>
      <c r="J731" s="12" t="n">
        <f aca="false">IF(INDEX(選手一覧!$I$7:$I$2738,$F731)="","",INDEX(選手一覧!$I$7:$I$2738,$F731))</f>
        <v>995</v>
      </c>
    </row>
    <row r="732" customFormat="false" ht="15" hidden="false" customHeight="false" outlineLevel="0" collapsed="false">
      <c r="A732" s="12" t="n">
        <v>728</v>
      </c>
      <c r="B732" s="10" t="s">
        <v>2209</v>
      </c>
      <c r="C732" s="10" t="s">
        <v>2210</v>
      </c>
      <c r="D732" s="11" t="n">
        <v>0.00736469907407407</v>
      </c>
      <c r="E732" s="18" t="n">
        <f aca="false">ROUND((D732-$D$5)*86400,2)</f>
        <v>97.29</v>
      </c>
      <c r="F732" s="12" t="n">
        <v>1530</v>
      </c>
      <c r="G732" s="11" t="str">
        <f aca="false">IF(INDEX(選手一覧!$D$7:$D$2738,$F732)="","",INDEX(選手一覧!$D$7:$D$2738,$F732))</f>
        <v/>
      </c>
      <c r="H732" s="12" t="str">
        <f aca="false">IF(INDEX(選手一覧!$E$7:$E$2738,$F732)="","",INDEX(選手一覧!$E$7:$E$2738,$F732))</f>
        <v/>
      </c>
      <c r="I732" s="11" t="str">
        <f aca="false">IF(INDEX(選手一覧!$H$7:$H$2738,$F732)="","",INDEX(選手一覧!$H$7:$H$2738,$F732))</f>
        <v/>
      </c>
      <c r="J732" s="12" t="str">
        <f aca="false">IF(INDEX(選手一覧!$I$7:$I$2738,$F732)="","",INDEX(選手一覧!$I$7:$I$2738,$F732))</f>
        <v/>
      </c>
    </row>
    <row r="733" customFormat="false" ht="15" hidden="false" customHeight="false" outlineLevel="0" collapsed="false">
      <c r="A733" s="12" t="n">
        <v>729</v>
      </c>
      <c r="B733" s="10" t="s">
        <v>2211</v>
      </c>
      <c r="C733" s="10" t="s">
        <v>2212</v>
      </c>
      <c r="D733" s="11" t="n">
        <v>0.00736527777777778</v>
      </c>
      <c r="E733" s="18" t="n">
        <f aca="false">ROUND((D733-$D$5)*86400,2)</f>
        <v>97.34</v>
      </c>
      <c r="F733" s="12" t="n">
        <v>1531</v>
      </c>
      <c r="G733" s="11" t="str">
        <f aca="false">IF(INDEX(選手一覧!$D$7:$D$2738,$F733)="","",INDEX(選手一覧!$D$7:$D$2738,$F733))</f>
        <v/>
      </c>
      <c r="H733" s="12" t="str">
        <f aca="false">IF(INDEX(選手一覧!$E$7:$E$2738,$F733)="","",INDEX(選手一覧!$E$7:$E$2738,$F733))</f>
        <v/>
      </c>
      <c r="I733" s="11" t="str">
        <f aca="false">IF(INDEX(選手一覧!$H$7:$H$2738,$F733)="","",INDEX(選手一覧!$H$7:$H$2738,$F733))</f>
        <v/>
      </c>
      <c r="J733" s="12" t="str">
        <f aca="false">IF(INDEX(選手一覧!$I$7:$I$2738,$F733)="","",INDEX(選手一覧!$I$7:$I$2738,$F733))</f>
        <v/>
      </c>
    </row>
    <row r="734" customFormat="false" ht="15" hidden="false" customHeight="false" outlineLevel="0" collapsed="false">
      <c r="A734" s="12" t="n">
        <v>730</v>
      </c>
      <c r="B734" s="10" t="s">
        <v>2216</v>
      </c>
      <c r="C734" s="10" t="s">
        <v>2217</v>
      </c>
      <c r="D734" s="11" t="n">
        <v>0.00736747685185185</v>
      </c>
      <c r="E734" s="18" t="n">
        <f aca="false">ROUND((D734-$D$5)*86400,2)</f>
        <v>97.53</v>
      </c>
      <c r="F734" s="12" t="n">
        <v>1534</v>
      </c>
      <c r="G734" s="11" t="str">
        <f aca="false">IF(INDEX(選手一覧!$D$7:$D$2738,$F734)="","",INDEX(選手一覧!$D$7:$D$2738,$F734))</f>
        <v/>
      </c>
      <c r="H734" s="12" t="str">
        <f aca="false">IF(INDEX(選手一覧!$E$7:$E$2738,$F734)="","",INDEX(選手一覧!$E$7:$E$2738,$F734))</f>
        <v/>
      </c>
      <c r="I734" s="11" t="str">
        <f aca="false">IF(INDEX(選手一覧!$H$7:$H$2738,$F734)="","",INDEX(選手一覧!$H$7:$H$2738,$F734))</f>
        <v/>
      </c>
      <c r="J734" s="12" t="str">
        <f aca="false">IF(INDEX(選手一覧!$I$7:$I$2738,$F734)="","",INDEX(選手一覧!$I$7:$I$2738,$F734))</f>
        <v/>
      </c>
    </row>
    <row r="735" customFormat="false" ht="15" hidden="false" customHeight="false" outlineLevel="0" collapsed="false">
      <c r="A735" s="12" t="n">
        <v>731</v>
      </c>
      <c r="B735" s="10" t="s">
        <v>2220</v>
      </c>
      <c r="C735" s="10" t="s">
        <v>2221</v>
      </c>
      <c r="D735" s="11" t="n">
        <v>0.00736921296296296</v>
      </c>
      <c r="E735" s="18" t="n">
        <f aca="false">ROUND((D735-$D$5)*86400,2)</f>
        <v>97.68</v>
      </c>
      <c r="F735" s="12" t="n">
        <v>1536</v>
      </c>
      <c r="G735" s="11" t="str">
        <f aca="false">IF(INDEX(選手一覧!$D$7:$D$2738,$F735)="","",INDEX(選手一覧!$D$7:$D$2738,$F735))</f>
        <v/>
      </c>
      <c r="H735" s="12" t="str">
        <f aca="false">IF(INDEX(選手一覧!$E$7:$E$2738,$F735)="","",INDEX(選手一覧!$E$7:$E$2738,$F735))</f>
        <v/>
      </c>
      <c r="I735" s="11" t="str">
        <f aca="false">IF(INDEX(選手一覧!$H$7:$H$2738,$F735)="","",INDEX(選手一覧!$H$7:$H$2738,$F735))</f>
        <v/>
      </c>
      <c r="J735" s="12" t="str">
        <f aca="false">IF(INDEX(選手一覧!$I$7:$I$2738,$F735)="","",INDEX(選手一覧!$I$7:$I$2738,$F735))</f>
        <v/>
      </c>
    </row>
    <row r="736" customFormat="false" ht="15" hidden="false" customHeight="false" outlineLevel="0" collapsed="false">
      <c r="A736" s="12" t="n">
        <v>732</v>
      </c>
      <c r="B736" s="10" t="s">
        <v>2223</v>
      </c>
      <c r="C736" s="10" t="s">
        <v>1933</v>
      </c>
      <c r="D736" s="11" t="n">
        <v>0.0073693287037037</v>
      </c>
      <c r="E736" s="18" t="n">
        <f aca="false">ROUND((D736-$D$5)*86400,2)</f>
        <v>97.69</v>
      </c>
      <c r="F736" s="12" t="n">
        <v>1538</v>
      </c>
      <c r="G736" s="11" t="str">
        <f aca="false">IF(INDEX(選手一覧!$D$7:$D$2738,$F736)="","",INDEX(選手一覧!$D$7:$D$2738,$F736))</f>
        <v/>
      </c>
      <c r="H736" s="12" t="str">
        <f aca="false">IF(INDEX(選手一覧!$E$7:$E$2738,$F736)="","",INDEX(選手一覧!$E$7:$E$2738,$F736))</f>
        <v/>
      </c>
      <c r="I736" s="11" t="str">
        <f aca="false">IF(INDEX(選手一覧!$H$7:$H$2738,$F736)="","",INDEX(選手一覧!$H$7:$H$2738,$F736))</f>
        <v/>
      </c>
      <c r="J736" s="12" t="str">
        <f aca="false">IF(INDEX(選手一覧!$I$7:$I$2738,$F736)="","",INDEX(選手一覧!$I$7:$I$2738,$F736))</f>
        <v/>
      </c>
    </row>
    <row r="737" customFormat="false" ht="15" hidden="false" customHeight="false" outlineLevel="0" collapsed="false">
      <c r="A737" s="12" t="n">
        <v>733</v>
      </c>
      <c r="B737" s="10" t="s">
        <v>2224</v>
      </c>
      <c r="C737" s="10" t="s">
        <v>1783</v>
      </c>
      <c r="D737" s="11" t="n">
        <v>0.00736979166666667</v>
      </c>
      <c r="E737" s="18" t="n">
        <f aca="false">ROUND((D737-$D$5)*86400,2)</f>
        <v>97.73</v>
      </c>
      <c r="F737" s="12" t="n">
        <v>1539</v>
      </c>
      <c r="G737" s="11" t="str">
        <f aca="false">IF(INDEX(選手一覧!$D$7:$D$2738,$F737)="","",INDEX(選手一覧!$D$7:$D$2738,$F737))</f>
        <v/>
      </c>
      <c r="H737" s="12" t="str">
        <f aca="false">IF(INDEX(選手一覧!$E$7:$E$2738,$F737)="","",INDEX(選手一覧!$E$7:$E$2738,$F737))</f>
        <v/>
      </c>
      <c r="I737" s="11" t="str">
        <f aca="false">IF(INDEX(選手一覧!$H$7:$H$2738,$F737)="","",INDEX(選手一覧!$H$7:$H$2738,$F737))</f>
        <v/>
      </c>
      <c r="J737" s="12" t="str">
        <f aca="false">IF(INDEX(選手一覧!$I$7:$I$2738,$F737)="","",INDEX(選手一覧!$I$7:$I$2738,$F737))</f>
        <v/>
      </c>
    </row>
    <row r="738" customFormat="false" ht="15" hidden="false" customHeight="false" outlineLevel="0" collapsed="false">
      <c r="A738" s="12" t="n">
        <v>734</v>
      </c>
      <c r="B738" s="10" t="s">
        <v>2225</v>
      </c>
      <c r="C738" s="10" t="s">
        <v>1443</v>
      </c>
      <c r="D738" s="11" t="n">
        <v>0.00737002314814815</v>
      </c>
      <c r="E738" s="18" t="n">
        <f aca="false">ROUND((D738-$D$5)*86400,2)</f>
        <v>97.75</v>
      </c>
      <c r="F738" s="12" t="n">
        <v>1540</v>
      </c>
      <c r="G738" s="11" t="str">
        <f aca="false">IF(INDEX(選手一覧!$D$7:$D$2738,$F738)="","",INDEX(選手一覧!$D$7:$D$2738,$F738))</f>
        <v/>
      </c>
      <c r="H738" s="12" t="str">
        <f aca="false">IF(INDEX(選手一覧!$E$7:$E$2738,$F738)="","",INDEX(選手一覧!$E$7:$E$2738,$F738))</f>
        <v/>
      </c>
      <c r="I738" s="11" t="str">
        <f aca="false">IF(INDEX(選手一覧!$H$7:$H$2738,$F738)="","",INDEX(選手一覧!$H$7:$H$2738,$F738))</f>
        <v/>
      </c>
      <c r="J738" s="12" t="str">
        <f aca="false">IF(INDEX(選手一覧!$I$7:$I$2738,$F738)="","",INDEX(選手一覧!$I$7:$I$2738,$F738))</f>
        <v/>
      </c>
    </row>
    <row r="739" customFormat="false" ht="15" hidden="false" customHeight="false" outlineLevel="0" collapsed="false">
      <c r="A739" s="12" t="n">
        <v>735</v>
      </c>
      <c r="B739" s="10" t="s">
        <v>2226</v>
      </c>
      <c r="C739" s="10" t="s">
        <v>2215</v>
      </c>
      <c r="D739" s="11" t="n">
        <v>0.00737037037037037</v>
      </c>
      <c r="E739" s="18" t="n">
        <f aca="false">ROUND((D739-$D$5)*86400,2)</f>
        <v>97.78</v>
      </c>
      <c r="F739" s="12" t="n">
        <v>1541</v>
      </c>
      <c r="G739" s="11" t="str">
        <f aca="false">IF(INDEX(選手一覧!$D$7:$D$2738,$F739)="","",INDEX(選手一覧!$D$7:$D$2738,$F739))</f>
        <v/>
      </c>
      <c r="H739" s="12" t="str">
        <f aca="false">IF(INDEX(選手一覧!$E$7:$E$2738,$F739)="","",INDEX(選手一覧!$E$7:$E$2738,$F739))</f>
        <v/>
      </c>
      <c r="I739" s="11" t="str">
        <f aca="false">IF(INDEX(選手一覧!$H$7:$H$2738,$F739)="","",INDEX(選手一覧!$H$7:$H$2738,$F739))</f>
        <v/>
      </c>
      <c r="J739" s="12" t="str">
        <f aca="false">IF(INDEX(選手一覧!$I$7:$I$2738,$F739)="","",INDEX(選手一覧!$I$7:$I$2738,$F739))</f>
        <v/>
      </c>
    </row>
    <row r="740" customFormat="false" ht="15" hidden="false" customHeight="false" outlineLevel="0" collapsed="false">
      <c r="A740" s="12" t="n">
        <v>736</v>
      </c>
      <c r="B740" s="10" t="s">
        <v>2228</v>
      </c>
      <c r="C740" s="10" t="s">
        <v>2229</v>
      </c>
      <c r="D740" s="11" t="n">
        <v>0.00737210648148148</v>
      </c>
      <c r="E740" s="18" t="n">
        <f aca="false">ROUND((D740-$D$5)*86400,2)</f>
        <v>97.93</v>
      </c>
      <c r="F740" s="12" t="n">
        <v>1543</v>
      </c>
      <c r="G740" s="11" t="str">
        <f aca="false">IF(INDEX(選手一覧!$D$7:$D$2738,$F740)="","",INDEX(選手一覧!$D$7:$D$2738,$F740))</f>
        <v/>
      </c>
      <c r="H740" s="12" t="str">
        <f aca="false">IF(INDEX(選手一覧!$E$7:$E$2738,$F740)="","",INDEX(選手一覧!$E$7:$E$2738,$F740))</f>
        <v/>
      </c>
      <c r="I740" s="11" t="str">
        <f aca="false">IF(INDEX(選手一覧!$H$7:$H$2738,$F740)="","",INDEX(選手一覧!$H$7:$H$2738,$F740))</f>
        <v/>
      </c>
      <c r="J740" s="12" t="str">
        <f aca="false">IF(INDEX(選手一覧!$I$7:$I$2738,$F740)="","",INDEX(選手一覧!$I$7:$I$2738,$F740))</f>
        <v/>
      </c>
    </row>
    <row r="741" customFormat="false" ht="15" hidden="false" customHeight="false" outlineLevel="0" collapsed="false">
      <c r="A741" s="12" t="n">
        <v>737</v>
      </c>
      <c r="B741" s="10" t="s">
        <v>2231</v>
      </c>
      <c r="C741" s="10" t="s">
        <v>195</v>
      </c>
      <c r="D741" s="11" t="n">
        <v>0.0073724537037037</v>
      </c>
      <c r="E741" s="18" t="n">
        <f aca="false">ROUND((D741-$D$5)*86400,2)</f>
        <v>97.96</v>
      </c>
      <c r="F741" s="12" t="n">
        <v>1545</v>
      </c>
      <c r="G741" s="11" t="n">
        <f aca="false">IF(INDEX(選手一覧!$D$7:$D$2738,$F741)="","",INDEX(選手一覧!$D$7:$D$2738,$F741))</f>
        <v>0.0110116898148148</v>
      </c>
      <c r="H741" s="12" t="n">
        <f aca="false">IF(INDEX(選手一覧!$E$7:$E$2738,$F741)="","",INDEX(選手一覧!$E$7:$E$2738,$F741))</f>
        <v>1113</v>
      </c>
      <c r="I741" s="11" t="n">
        <f aca="false">IF(INDEX(選手一覧!$H$7:$H$2738,$F741)="","",INDEX(選手一覧!$H$7:$H$2738,$F741))</f>
        <v>0.00294918981481482</v>
      </c>
      <c r="J741" s="12" t="n">
        <f aca="false">IF(INDEX(選手一覧!$I$7:$I$2738,$F741)="","",INDEX(選手一覧!$I$7:$I$2738,$F741))</f>
        <v>1234</v>
      </c>
    </row>
    <row r="742" customFormat="false" ht="15" hidden="false" customHeight="false" outlineLevel="0" collapsed="false">
      <c r="A742" s="12" t="n">
        <v>738</v>
      </c>
      <c r="B742" s="10" t="s">
        <v>2236</v>
      </c>
      <c r="C742" s="10" t="s">
        <v>465</v>
      </c>
      <c r="D742" s="11" t="n">
        <v>0.00737280092592593</v>
      </c>
      <c r="E742" s="18" t="n">
        <f aca="false">ROUND((D742-$D$5)*86400,2)</f>
        <v>97.99</v>
      </c>
      <c r="F742" s="12" t="n">
        <v>1548</v>
      </c>
      <c r="G742" s="11" t="str">
        <f aca="false">IF(INDEX(選手一覧!$D$7:$D$2738,$F742)="","",INDEX(選手一覧!$D$7:$D$2738,$F742))</f>
        <v/>
      </c>
      <c r="H742" s="12" t="str">
        <f aca="false">IF(INDEX(選手一覧!$E$7:$E$2738,$F742)="","",INDEX(選手一覧!$E$7:$E$2738,$F742))</f>
        <v/>
      </c>
      <c r="I742" s="11" t="str">
        <f aca="false">IF(INDEX(選手一覧!$H$7:$H$2738,$F742)="","",INDEX(選手一覧!$H$7:$H$2738,$F742))</f>
        <v/>
      </c>
      <c r="J742" s="12" t="str">
        <f aca="false">IF(INDEX(選手一覧!$I$7:$I$2738,$F742)="","",INDEX(選手一覧!$I$7:$I$2738,$F742))</f>
        <v/>
      </c>
    </row>
    <row r="743" customFormat="false" ht="15" hidden="false" customHeight="false" outlineLevel="0" collapsed="false">
      <c r="A743" s="12" t="n">
        <v>739</v>
      </c>
      <c r="B743" s="10" t="s">
        <v>2237</v>
      </c>
      <c r="C743" s="10" t="s">
        <v>2238</v>
      </c>
      <c r="D743" s="11" t="n">
        <v>0.00737337962962963</v>
      </c>
      <c r="E743" s="18" t="n">
        <f aca="false">ROUND((D743-$D$5)*86400,2)</f>
        <v>98.04</v>
      </c>
      <c r="F743" s="12" t="n">
        <v>1549</v>
      </c>
      <c r="G743" s="11" t="str">
        <f aca="false">IF(INDEX(選手一覧!$D$7:$D$2738,$F743)="","",INDEX(選手一覧!$D$7:$D$2738,$F743))</f>
        <v/>
      </c>
      <c r="H743" s="12" t="str">
        <f aca="false">IF(INDEX(選手一覧!$E$7:$E$2738,$F743)="","",INDEX(選手一覧!$E$7:$E$2738,$F743))</f>
        <v/>
      </c>
      <c r="I743" s="11" t="str">
        <f aca="false">IF(INDEX(選手一覧!$H$7:$H$2738,$F743)="","",INDEX(選手一覧!$H$7:$H$2738,$F743))</f>
        <v/>
      </c>
      <c r="J743" s="12" t="str">
        <f aca="false">IF(INDEX(選手一覧!$I$7:$I$2738,$F743)="","",INDEX(選手一覧!$I$7:$I$2738,$F743))</f>
        <v/>
      </c>
    </row>
    <row r="744" customFormat="false" ht="15" hidden="false" customHeight="false" outlineLevel="0" collapsed="false">
      <c r="A744" s="12" t="n">
        <v>740</v>
      </c>
      <c r="B744" s="10" t="s">
        <v>2242</v>
      </c>
      <c r="C744" s="10" t="s">
        <v>2243</v>
      </c>
      <c r="D744" s="11" t="n">
        <v>0.00737361111111111</v>
      </c>
      <c r="E744" s="18" t="n">
        <f aca="false">ROUND((D744-$D$5)*86400,2)</f>
        <v>98.06</v>
      </c>
      <c r="F744" s="12" t="n">
        <v>1552</v>
      </c>
      <c r="G744" s="11" t="str">
        <f aca="false">IF(INDEX(選手一覧!$D$7:$D$2738,$F744)="","",INDEX(選手一覧!$D$7:$D$2738,$F744))</f>
        <v/>
      </c>
      <c r="H744" s="12" t="str">
        <f aca="false">IF(INDEX(選手一覧!$E$7:$E$2738,$F744)="","",INDEX(選手一覧!$E$7:$E$2738,$F744))</f>
        <v/>
      </c>
      <c r="I744" s="11" t="str">
        <f aca="false">IF(INDEX(選手一覧!$H$7:$H$2738,$F744)="","",INDEX(選手一覧!$H$7:$H$2738,$F744))</f>
        <v/>
      </c>
      <c r="J744" s="12" t="str">
        <f aca="false">IF(INDEX(選手一覧!$I$7:$I$2738,$F744)="","",INDEX(選手一覧!$I$7:$I$2738,$F744))</f>
        <v/>
      </c>
    </row>
    <row r="745" customFormat="false" ht="15" hidden="false" customHeight="false" outlineLevel="0" collapsed="false">
      <c r="A745" s="12" t="n">
        <v>741</v>
      </c>
      <c r="B745" s="10" t="s">
        <v>2247</v>
      </c>
      <c r="C745" s="10" t="s">
        <v>1942</v>
      </c>
      <c r="D745" s="11" t="n">
        <v>0.00737418981481482</v>
      </c>
      <c r="E745" s="18" t="n">
        <f aca="false">ROUND((D745-$D$5)*86400,2)</f>
        <v>98.11</v>
      </c>
      <c r="F745" s="12" t="n">
        <v>1555</v>
      </c>
      <c r="G745" s="11" t="str">
        <f aca="false">IF(INDEX(選手一覧!$D$7:$D$2738,$F745)="","",INDEX(選手一覧!$D$7:$D$2738,$F745))</f>
        <v/>
      </c>
      <c r="H745" s="12" t="str">
        <f aca="false">IF(INDEX(選手一覧!$E$7:$E$2738,$F745)="","",INDEX(選手一覧!$E$7:$E$2738,$F745))</f>
        <v/>
      </c>
      <c r="I745" s="11" t="str">
        <f aca="false">IF(INDEX(選手一覧!$H$7:$H$2738,$F745)="","",INDEX(選手一覧!$H$7:$H$2738,$F745))</f>
        <v/>
      </c>
      <c r="J745" s="12" t="str">
        <f aca="false">IF(INDEX(選手一覧!$I$7:$I$2738,$F745)="","",INDEX(選手一覧!$I$7:$I$2738,$F745))</f>
        <v/>
      </c>
    </row>
    <row r="746" customFormat="false" ht="15" hidden="false" customHeight="false" outlineLevel="0" collapsed="false">
      <c r="A746" s="12" t="n">
        <v>742</v>
      </c>
      <c r="B746" s="10" t="s">
        <v>2250</v>
      </c>
      <c r="C746" s="10" t="s">
        <v>2251</v>
      </c>
      <c r="D746" s="11" t="n">
        <v>0.00737453703703704</v>
      </c>
      <c r="E746" s="18" t="n">
        <f aca="false">ROUND((D746-$D$5)*86400,2)</f>
        <v>98.14</v>
      </c>
      <c r="F746" s="12" t="n">
        <v>1557</v>
      </c>
      <c r="G746" s="11" t="str">
        <f aca="false">IF(INDEX(選手一覧!$D$7:$D$2738,$F746)="","",INDEX(選手一覧!$D$7:$D$2738,$F746))</f>
        <v/>
      </c>
      <c r="H746" s="12" t="str">
        <f aca="false">IF(INDEX(選手一覧!$E$7:$E$2738,$F746)="","",INDEX(選手一覧!$E$7:$E$2738,$F746))</f>
        <v/>
      </c>
      <c r="I746" s="11" t="str">
        <f aca="false">IF(INDEX(選手一覧!$H$7:$H$2738,$F746)="","",INDEX(選手一覧!$H$7:$H$2738,$F746))</f>
        <v/>
      </c>
      <c r="J746" s="12" t="str">
        <f aca="false">IF(INDEX(選手一覧!$I$7:$I$2738,$F746)="","",INDEX(選手一覧!$I$7:$I$2738,$F746))</f>
        <v/>
      </c>
    </row>
    <row r="747" customFormat="false" ht="15" hidden="false" customHeight="false" outlineLevel="0" collapsed="false">
      <c r="A747" s="12" t="n">
        <v>743</v>
      </c>
      <c r="B747" s="10" t="s">
        <v>2254</v>
      </c>
      <c r="C747" s="10" t="s">
        <v>1413</v>
      </c>
      <c r="D747" s="11" t="n">
        <v>0.00737592592592593</v>
      </c>
      <c r="E747" s="18" t="n">
        <f aca="false">ROUND((D747-$D$5)*86400,2)</f>
        <v>98.26</v>
      </c>
      <c r="F747" s="12" t="n">
        <v>1559</v>
      </c>
      <c r="G747" s="11" t="n">
        <f aca="false">IF(INDEX(選手一覧!$D$7:$D$2738,$F747)="","",INDEX(選手一覧!$D$7:$D$2738,$F747))</f>
        <v>0.0109625</v>
      </c>
      <c r="H747" s="12" t="n">
        <f aca="false">IF(INDEX(選手一覧!$E$7:$E$2738,$F747)="","",INDEX(選手一覧!$E$7:$E$2738,$F747))</f>
        <v>1022</v>
      </c>
      <c r="I747" s="11" t="str">
        <f aca="false">IF(INDEX(選手一覧!$H$7:$H$2738,$F747)="","",INDEX(選手一覧!$H$7:$H$2738,$F747))</f>
        <v/>
      </c>
      <c r="J747" s="12" t="str">
        <f aca="false">IF(INDEX(選手一覧!$I$7:$I$2738,$F747)="","",INDEX(選手一覧!$I$7:$I$2738,$F747))</f>
        <v/>
      </c>
    </row>
    <row r="748" customFormat="false" ht="15" hidden="false" customHeight="false" outlineLevel="0" collapsed="false">
      <c r="A748" s="12" t="n">
        <v>744</v>
      </c>
      <c r="B748" s="10" t="s">
        <v>2257</v>
      </c>
      <c r="C748" s="10" t="s">
        <v>2258</v>
      </c>
      <c r="D748" s="11" t="n">
        <v>0.00737662037037037</v>
      </c>
      <c r="E748" s="18" t="n">
        <f aca="false">ROUND((D748-$D$5)*86400,2)</f>
        <v>98.32</v>
      </c>
      <c r="F748" s="12" t="n">
        <v>1562</v>
      </c>
      <c r="G748" s="11" t="str">
        <f aca="false">IF(INDEX(選手一覧!$D$7:$D$2738,$F748)="","",INDEX(選手一覧!$D$7:$D$2738,$F748))</f>
        <v/>
      </c>
      <c r="H748" s="12" t="str">
        <f aca="false">IF(INDEX(選手一覧!$E$7:$E$2738,$F748)="","",INDEX(選手一覧!$E$7:$E$2738,$F748))</f>
        <v/>
      </c>
      <c r="I748" s="11" t="str">
        <f aca="false">IF(INDEX(選手一覧!$H$7:$H$2738,$F748)="","",INDEX(選手一覧!$H$7:$H$2738,$F748))</f>
        <v/>
      </c>
      <c r="J748" s="12" t="str">
        <f aca="false">IF(INDEX(選手一覧!$I$7:$I$2738,$F748)="","",INDEX(選手一覧!$I$7:$I$2738,$F748))</f>
        <v/>
      </c>
    </row>
    <row r="749" customFormat="false" ht="15" hidden="false" customHeight="false" outlineLevel="0" collapsed="false">
      <c r="A749" s="12" t="n">
        <v>745</v>
      </c>
      <c r="B749" s="10" t="s">
        <v>2263</v>
      </c>
      <c r="C749" s="10" t="s">
        <v>39</v>
      </c>
      <c r="D749" s="11" t="n">
        <v>0.00737662037037037</v>
      </c>
      <c r="E749" s="18" t="n">
        <f aca="false">ROUND((D749-$D$5)*86400,2)</f>
        <v>98.32</v>
      </c>
      <c r="F749" s="12" t="n">
        <v>1565</v>
      </c>
      <c r="G749" s="11" t="str">
        <f aca="false">IF(INDEX(選手一覧!$D$7:$D$2738,$F749)="","",INDEX(選手一覧!$D$7:$D$2738,$F749))</f>
        <v/>
      </c>
      <c r="H749" s="12" t="str">
        <f aca="false">IF(INDEX(選手一覧!$E$7:$E$2738,$F749)="","",INDEX(選手一覧!$E$7:$E$2738,$F749))</f>
        <v/>
      </c>
      <c r="I749" s="11" t="str">
        <f aca="false">IF(INDEX(選手一覧!$H$7:$H$2738,$F749)="","",INDEX(選手一覧!$H$7:$H$2738,$F749))</f>
        <v/>
      </c>
      <c r="J749" s="12" t="str">
        <f aca="false">IF(INDEX(選手一覧!$I$7:$I$2738,$F749)="","",INDEX(選手一覧!$I$7:$I$2738,$F749))</f>
        <v/>
      </c>
    </row>
    <row r="750" customFormat="false" ht="15" hidden="false" customHeight="false" outlineLevel="0" collapsed="false">
      <c r="A750" s="12" t="n">
        <v>746</v>
      </c>
      <c r="B750" s="10" t="s">
        <v>2266</v>
      </c>
      <c r="C750" s="10" t="s">
        <v>2267</v>
      </c>
      <c r="D750" s="11" t="n">
        <v>0.00737673611111111</v>
      </c>
      <c r="E750" s="18" t="n">
        <f aca="false">ROUND((D750-$D$5)*86400,2)</f>
        <v>98.33</v>
      </c>
      <c r="F750" s="12" t="n">
        <v>1568</v>
      </c>
      <c r="G750" s="11" t="str">
        <f aca="false">IF(INDEX(選手一覧!$D$7:$D$2738,$F750)="","",INDEX(選手一覧!$D$7:$D$2738,$F750))</f>
        <v/>
      </c>
      <c r="H750" s="12" t="str">
        <f aca="false">IF(INDEX(選手一覧!$E$7:$E$2738,$F750)="","",INDEX(選手一覧!$E$7:$E$2738,$F750))</f>
        <v/>
      </c>
      <c r="I750" s="11" t="str">
        <f aca="false">IF(INDEX(選手一覧!$H$7:$H$2738,$F750)="","",INDEX(選手一覧!$H$7:$H$2738,$F750))</f>
        <v/>
      </c>
      <c r="J750" s="12" t="str">
        <f aca="false">IF(INDEX(選手一覧!$I$7:$I$2738,$F750)="","",INDEX(選手一覧!$I$7:$I$2738,$F750))</f>
        <v/>
      </c>
    </row>
    <row r="751" customFormat="false" ht="15" hidden="false" customHeight="false" outlineLevel="0" collapsed="false">
      <c r="A751" s="12" t="n">
        <v>747</v>
      </c>
      <c r="B751" s="10" t="s">
        <v>2268</v>
      </c>
      <c r="C751" s="10" t="s">
        <v>136</v>
      </c>
      <c r="D751" s="11" t="n">
        <v>0.00737824074074074</v>
      </c>
      <c r="E751" s="18" t="n">
        <f aca="false">ROUND((D751-$D$5)*86400,2)</f>
        <v>98.46</v>
      </c>
      <c r="F751" s="12" t="n">
        <v>1569</v>
      </c>
      <c r="G751" s="11" t="str">
        <f aca="false">IF(INDEX(選手一覧!$D$7:$D$2738,$F751)="","",INDEX(選手一覧!$D$7:$D$2738,$F751))</f>
        <v/>
      </c>
      <c r="H751" s="12" t="str">
        <f aca="false">IF(INDEX(選手一覧!$E$7:$E$2738,$F751)="","",INDEX(選手一覧!$E$7:$E$2738,$F751))</f>
        <v/>
      </c>
      <c r="I751" s="11" t="str">
        <f aca="false">IF(INDEX(選手一覧!$H$7:$H$2738,$F751)="","",INDEX(選手一覧!$H$7:$H$2738,$F751))</f>
        <v/>
      </c>
      <c r="J751" s="12" t="str">
        <f aca="false">IF(INDEX(選手一覧!$I$7:$I$2738,$F751)="","",INDEX(選手一覧!$I$7:$I$2738,$F751))</f>
        <v/>
      </c>
    </row>
    <row r="752" customFormat="false" ht="15" hidden="false" customHeight="false" outlineLevel="0" collapsed="false">
      <c r="A752" s="12" t="n">
        <v>748</v>
      </c>
      <c r="B752" s="10" t="s">
        <v>2270</v>
      </c>
      <c r="C752" s="10" t="s">
        <v>2271</v>
      </c>
      <c r="D752" s="11" t="n">
        <v>0.00737824074074074</v>
      </c>
      <c r="E752" s="18" t="n">
        <f aca="false">ROUND((D752-$D$5)*86400,2)</f>
        <v>98.46</v>
      </c>
      <c r="F752" s="12" t="n">
        <v>1571</v>
      </c>
      <c r="G752" s="11" t="str">
        <f aca="false">IF(INDEX(選手一覧!$D$7:$D$2738,$F752)="","",INDEX(選手一覧!$D$7:$D$2738,$F752))</f>
        <v/>
      </c>
      <c r="H752" s="12" t="str">
        <f aca="false">IF(INDEX(選手一覧!$E$7:$E$2738,$F752)="","",INDEX(選手一覧!$E$7:$E$2738,$F752))</f>
        <v/>
      </c>
      <c r="I752" s="11" t="str">
        <f aca="false">IF(INDEX(選手一覧!$H$7:$H$2738,$F752)="","",INDEX(選手一覧!$H$7:$H$2738,$F752))</f>
        <v/>
      </c>
      <c r="J752" s="12" t="str">
        <f aca="false">IF(INDEX(選手一覧!$I$7:$I$2738,$F752)="","",INDEX(選手一覧!$I$7:$I$2738,$F752))</f>
        <v/>
      </c>
    </row>
    <row r="753" customFormat="false" ht="15" hidden="false" customHeight="false" outlineLevel="0" collapsed="false">
      <c r="A753" s="12" t="n">
        <v>749</v>
      </c>
      <c r="B753" s="10" t="s">
        <v>2274</v>
      </c>
      <c r="C753" s="10" t="s">
        <v>720</v>
      </c>
      <c r="D753" s="11" t="n">
        <v>0.00737881944444444</v>
      </c>
      <c r="E753" s="18" t="n">
        <f aca="false">ROUND((D753-$D$5)*86400,2)</f>
        <v>98.51</v>
      </c>
      <c r="F753" s="12" t="n">
        <v>1573</v>
      </c>
      <c r="G753" s="11" t="str">
        <f aca="false">IF(INDEX(選手一覧!$D$7:$D$2738,$F753)="","",INDEX(選手一覧!$D$7:$D$2738,$F753))</f>
        <v/>
      </c>
      <c r="H753" s="12" t="str">
        <f aca="false">IF(INDEX(選手一覧!$E$7:$E$2738,$F753)="","",INDEX(選手一覧!$E$7:$E$2738,$F753))</f>
        <v/>
      </c>
      <c r="I753" s="11" t="str">
        <f aca="false">IF(INDEX(選手一覧!$H$7:$H$2738,$F753)="","",INDEX(選手一覧!$H$7:$H$2738,$F753))</f>
        <v/>
      </c>
      <c r="J753" s="12" t="str">
        <f aca="false">IF(INDEX(選手一覧!$I$7:$I$2738,$F753)="","",INDEX(選手一覧!$I$7:$I$2738,$F753))</f>
        <v/>
      </c>
    </row>
    <row r="754" customFormat="false" ht="15" hidden="false" customHeight="false" outlineLevel="0" collapsed="false">
      <c r="A754" s="12" t="n">
        <v>750</v>
      </c>
      <c r="B754" s="10" t="s">
        <v>2275</v>
      </c>
      <c r="C754" s="10" t="s">
        <v>2276</v>
      </c>
      <c r="D754" s="11" t="n">
        <v>0.00737939814814815</v>
      </c>
      <c r="E754" s="18" t="n">
        <f aca="false">ROUND((D754-$D$5)*86400,2)</f>
        <v>98.56</v>
      </c>
      <c r="F754" s="12" t="n">
        <v>1574</v>
      </c>
      <c r="G754" s="11" t="str">
        <f aca="false">IF(INDEX(選手一覧!$D$7:$D$2738,$F754)="","",INDEX(選手一覧!$D$7:$D$2738,$F754))</f>
        <v/>
      </c>
      <c r="H754" s="12" t="str">
        <f aca="false">IF(INDEX(選手一覧!$E$7:$E$2738,$F754)="","",INDEX(選手一覧!$E$7:$E$2738,$F754))</f>
        <v/>
      </c>
      <c r="I754" s="11" t="str">
        <f aca="false">IF(INDEX(選手一覧!$H$7:$H$2738,$F754)="","",INDEX(選手一覧!$H$7:$H$2738,$F754))</f>
        <v/>
      </c>
      <c r="J754" s="12" t="str">
        <f aca="false">IF(INDEX(選手一覧!$I$7:$I$2738,$F754)="","",INDEX(選手一覧!$I$7:$I$2738,$F754))</f>
        <v/>
      </c>
    </row>
    <row r="755" customFormat="false" ht="15" hidden="false" customHeight="false" outlineLevel="0" collapsed="false">
      <c r="A755" s="12" t="n">
        <v>751</v>
      </c>
      <c r="B755" s="10" t="s">
        <v>2280</v>
      </c>
      <c r="C755" s="10" t="s">
        <v>2281</v>
      </c>
      <c r="D755" s="11" t="n">
        <v>0.00737986111111111</v>
      </c>
      <c r="E755" s="18" t="n">
        <f aca="false">ROUND((D755-$D$5)*86400,2)</f>
        <v>98.6</v>
      </c>
      <c r="F755" s="12" t="n">
        <v>1577</v>
      </c>
      <c r="G755" s="11" t="str">
        <f aca="false">IF(INDEX(選手一覧!$D$7:$D$2738,$F755)="","",INDEX(選手一覧!$D$7:$D$2738,$F755))</f>
        <v/>
      </c>
      <c r="H755" s="12" t="str">
        <f aca="false">IF(INDEX(選手一覧!$E$7:$E$2738,$F755)="","",INDEX(選手一覧!$E$7:$E$2738,$F755))</f>
        <v/>
      </c>
      <c r="I755" s="11" t="str">
        <f aca="false">IF(INDEX(選手一覧!$H$7:$H$2738,$F755)="","",INDEX(選手一覧!$H$7:$H$2738,$F755))</f>
        <v/>
      </c>
      <c r="J755" s="12" t="str">
        <f aca="false">IF(INDEX(選手一覧!$I$7:$I$2738,$F755)="","",INDEX(選手一覧!$I$7:$I$2738,$F755))</f>
        <v/>
      </c>
    </row>
    <row r="756" customFormat="false" ht="15" hidden="false" customHeight="false" outlineLevel="0" collapsed="false">
      <c r="A756" s="12" t="n">
        <v>752</v>
      </c>
      <c r="B756" s="10" t="s">
        <v>2282</v>
      </c>
      <c r="C756" s="10" t="s">
        <v>2283</v>
      </c>
      <c r="D756" s="11" t="n">
        <v>0.00738032407407407</v>
      </c>
      <c r="E756" s="18" t="n">
        <f aca="false">ROUND((D756-$D$5)*86400,2)</f>
        <v>98.64</v>
      </c>
      <c r="F756" s="12" t="n">
        <v>1578</v>
      </c>
      <c r="G756" s="11" t="str">
        <f aca="false">IF(INDEX(選手一覧!$D$7:$D$2738,$F756)="","",INDEX(選手一覧!$D$7:$D$2738,$F756))</f>
        <v/>
      </c>
      <c r="H756" s="12" t="str">
        <f aca="false">IF(INDEX(選手一覧!$E$7:$E$2738,$F756)="","",INDEX(選手一覧!$E$7:$E$2738,$F756))</f>
        <v/>
      </c>
      <c r="I756" s="11" t="n">
        <f aca="false">IF(INDEX(選手一覧!$H$7:$H$2738,$F756)="","",INDEX(選手一覧!$H$7:$H$2738,$F756))</f>
        <v>0.00289409722222222</v>
      </c>
      <c r="J756" s="12" t="n">
        <f aca="false">IF(INDEX(選手一覧!$I$7:$I$2738,$F756)="","",INDEX(選手一覧!$I$7:$I$2738,$F756))</f>
        <v>905</v>
      </c>
    </row>
    <row r="757" customFormat="false" ht="15" hidden="false" customHeight="false" outlineLevel="0" collapsed="false">
      <c r="A757" s="12" t="n">
        <v>753</v>
      </c>
      <c r="B757" s="10" t="s">
        <v>2287</v>
      </c>
      <c r="C757" s="10" t="s">
        <v>2288</v>
      </c>
      <c r="D757" s="11" t="n">
        <v>0.00738055555555556</v>
      </c>
      <c r="E757" s="18" t="n">
        <f aca="false">ROUND((D757-$D$5)*86400,2)</f>
        <v>98.66</v>
      </c>
      <c r="F757" s="12" t="n">
        <v>1581</v>
      </c>
      <c r="G757" s="11" t="str">
        <f aca="false">IF(INDEX(選手一覧!$D$7:$D$2738,$F757)="","",INDEX(選手一覧!$D$7:$D$2738,$F757))</f>
        <v/>
      </c>
      <c r="H757" s="12" t="str">
        <f aca="false">IF(INDEX(選手一覧!$E$7:$E$2738,$F757)="","",INDEX(選手一覧!$E$7:$E$2738,$F757))</f>
        <v/>
      </c>
      <c r="I757" s="11" t="str">
        <f aca="false">IF(INDEX(選手一覧!$H$7:$H$2738,$F757)="","",INDEX(選手一覧!$H$7:$H$2738,$F757))</f>
        <v/>
      </c>
      <c r="J757" s="12" t="str">
        <f aca="false">IF(INDEX(選手一覧!$I$7:$I$2738,$F757)="","",INDEX(選手一覧!$I$7:$I$2738,$F757))</f>
        <v/>
      </c>
    </row>
    <row r="758" customFormat="false" ht="15" hidden="false" customHeight="false" outlineLevel="0" collapsed="false">
      <c r="A758" s="12" t="n">
        <v>754</v>
      </c>
      <c r="B758" s="10" t="s">
        <v>2290</v>
      </c>
      <c r="C758" s="10" t="s">
        <v>2291</v>
      </c>
      <c r="D758" s="11" t="n">
        <v>0.00738090277777778</v>
      </c>
      <c r="E758" s="18" t="n">
        <f aca="false">ROUND((D758-$D$5)*86400,2)</f>
        <v>98.69</v>
      </c>
      <c r="F758" s="12" t="n">
        <v>1583</v>
      </c>
      <c r="G758" s="11" t="str">
        <f aca="false">IF(INDEX(選手一覧!$D$7:$D$2738,$F758)="","",INDEX(選手一覧!$D$7:$D$2738,$F758))</f>
        <v/>
      </c>
      <c r="H758" s="12" t="str">
        <f aca="false">IF(INDEX(選手一覧!$E$7:$E$2738,$F758)="","",INDEX(選手一覧!$E$7:$E$2738,$F758))</f>
        <v/>
      </c>
      <c r="I758" s="11" t="str">
        <f aca="false">IF(INDEX(選手一覧!$H$7:$H$2738,$F758)="","",INDEX(選手一覧!$H$7:$H$2738,$F758))</f>
        <v/>
      </c>
      <c r="J758" s="12" t="str">
        <f aca="false">IF(INDEX(選手一覧!$I$7:$I$2738,$F758)="","",INDEX(選手一覧!$I$7:$I$2738,$F758))</f>
        <v/>
      </c>
    </row>
    <row r="759" customFormat="false" ht="15" hidden="false" customHeight="false" outlineLevel="0" collapsed="false">
      <c r="A759" s="12" t="n">
        <v>755</v>
      </c>
      <c r="B759" s="10" t="s">
        <v>2295</v>
      </c>
      <c r="C759" s="10" t="s">
        <v>1065</v>
      </c>
      <c r="D759" s="11" t="n">
        <v>0.00738402777777778</v>
      </c>
      <c r="E759" s="18" t="n">
        <f aca="false">ROUND((D759-$D$5)*86400,2)</f>
        <v>98.96</v>
      </c>
      <c r="F759" s="12" t="n">
        <v>1586</v>
      </c>
      <c r="G759" s="11" t="str">
        <f aca="false">IF(INDEX(選手一覧!$D$7:$D$2738,$F759)="","",INDEX(選手一覧!$D$7:$D$2738,$F759))</f>
        <v/>
      </c>
      <c r="H759" s="12" t="str">
        <f aca="false">IF(INDEX(選手一覧!$E$7:$E$2738,$F759)="","",INDEX(選手一覧!$E$7:$E$2738,$F759))</f>
        <v/>
      </c>
      <c r="I759" s="11" t="str">
        <f aca="false">IF(INDEX(選手一覧!$H$7:$H$2738,$F759)="","",INDEX(選手一覧!$H$7:$H$2738,$F759))</f>
        <v/>
      </c>
      <c r="J759" s="12" t="str">
        <f aca="false">IF(INDEX(選手一覧!$I$7:$I$2738,$F759)="","",INDEX(選手一覧!$I$7:$I$2738,$F759))</f>
        <v/>
      </c>
    </row>
    <row r="760" customFormat="false" ht="15" hidden="false" customHeight="false" outlineLevel="0" collapsed="false">
      <c r="A760" s="12" t="n">
        <v>756</v>
      </c>
      <c r="B760" s="10" t="s">
        <v>2296</v>
      </c>
      <c r="C760" s="10" t="s">
        <v>2297</v>
      </c>
      <c r="D760" s="11" t="n">
        <v>0.00738414351851852</v>
      </c>
      <c r="E760" s="18" t="n">
        <f aca="false">ROUND((D760-$D$5)*86400,2)</f>
        <v>98.97</v>
      </c>
      <c r="F760" s="12" t="n">
        <v>1587</v>
      </c>
      <c r="G760" s="11" t="str">
        <f aca="false">IF(INDEX(選手一覧!$D$7:$D$2738,$F760)="","",INDEX(選手一覧!$D$7:$D$2738,$F760))</f>
        <v/>
      </c>
      <c r="H760" s="12" t="str">
        <f aca="false">IF(INDEX(選手一覧!$E$7:$E$2738,$F760)="","",INDEX(選手一覧!$E$7:$E$2738,$F760))</f>
        <v/>
      </c>
      <c r="I760" s="11" t="str">
        <f aca="false">IF(INDEX(選手一覧!$H$7:$H$2738,$F760)="","",INDEX(選手一覧!$H$7:$H$2738,$F760))</f>
        <v/>
      </c>
      <c r="J760" s="12" t="str">
        <f aca="false">IF(INDEX(選手一覧!$I$7:$I$2738,$F760)="","",INDEX(選手一覧!$I$7:$I$2738,$F760))</f>
        <v/>
      </c>
    </row>
    <row r="761" customFormat="false" ht="15" hidden="false" customHeight="false" outlineLevel="0" collapsed="false">
      <c r="A761" s="12" t="n">
        <v>757</v>
      </c>
      <c r="B761" s="10" t="s">
        <v>2298</v>
      </c>
      <c r="C761" s="10" t="s">
        <v>2299</v>
      </c>
      <c r="D761" s="11" t="n">
        <v>0.00739236111111111</v>
      </c>
      <c r="E761" s="18" t="n">
        <f aca="false">ROUND((D761-$D$5)*86400,2)</f>
        <v>99.68</v>
      </c>
      <c r="F761" s="12" t="n">
        <v>1588</v>
      </c>
      <c r="G761" s="11" t="str">
        <f aca="false">IF(INDEX(選手一覧!$D$7:$D$2738,$F761)="","",INDEX(選手一覧!$D$7:$D$2738,$F761))</f>
        <v/>
      </c>
      <c r="H761" s="12" t="str">
        <f aca="false">IF(INDEX(選手一覧!$E$7:$E$2738,$F761)="","",INDEX(選手一覧!$E$7:$E$2738,$F761))</f>
        <v/>
      </c>
      <c r="I761" s="11" t="str">
        <f aca="false">IF(INDEX(選手一覧!$H$7:$H$2738,$F761)="","",INDEX(選手一覧!$H$7:$H$2738,$F761))</f>
        <v/>
      </c>
      <c r="J761" s="12" t="str">
        <f aca="false">IF(INDEX(選手一覧!$I$7:$I$2738,$F761)="","",INDEX(選手一覧!$I$7:$I$2738,$F761))</f>
        <v/>
      </c>
    </row>
    <row r="762" customFormat="false" ht="15" hidden="false" customHeight="false" outlineLevel="0" collapsed="false">
      <c r="A762" s="12" t="n">
        <v>758</v>
      </c>
      <c r="B762" s="10" t="s">
        <v>2302</v>
      </c>
      <c r="C762" s="10" t="s">
        <v>1553</v>
      </c>
      <c r="D762" s="11" t="n">
        <v>0.00738599537037037</v>
      </c>
      <c r="E762" s="18" t="n">
        <f aca="false">ROUND((D762-$D$5)*86400,2)</f>
        <v>99.13</v>
      </c>
      <c r="F762" s="12" t="n">
        <v>1590</v>
      </c>
      <c r="G762" s="11" t="str">
        <f aca="false">IF(INDEX(選手一覧!$D$7:$D$2738,$F762)="","",INDEX(選手一覧!$D$7:$D$2738,$F762))</f>
        <v/>
      </c>
      <c r="H762" s="12" t="str">
        <f aca="false">IF(INDEX(選手一覧!$E$7:$E$2738,$F762)="","",INDEX(選手一覧!$E$7:$E$2738,$F762))</f>
        <v/>
      </c>
      <c r="I762" s="11" t="str">
        <f aca="false">IF(INDEX(選手一覧!$H$7:$H$2738,$F762)="","",INDEX(選手一覧!$H$7:$H$2738,$F762))</f>
        <v/>
      </c>
      <c r="J762" s="12" t="str">
        <f aca="false">IF(INDEX(選手一覧!$I$7:$I$2738,$F762)="","",INDEX(選手一覧!$I$7:$I$2738,$F762))</f>
        <v/>
      </c>
    </row>
    <row r="763" customFormat="false" ht="15" hidden="false" customHeight="false" outlineLevel="0" collapsed="false">
      <c r="A763" s="12" t="n">
        <v>759</v>
      </c>
      <c r="B763" s="10" t="s">
        <v>2308</v>
      </c>
      <c r="C763" s="10" t="s">
        <v>2309</v>
      </c>
      <c r="D763" s="11" t="n">
        <v>0.00738912037037037</v>
      </c>
      <c r="E763" s="18" t="n">
        <f aca="false">ROUND((D763-$D$5)*86400,2)</f>
        <v>99.4</v>
      </c>
      <c r="F763" s="12" t="n">
        <v>1594</v>
      </c>
      <c r="G763" s="11" t="str">
        <f aca="false">IF(INDEX(選手一覧!$D$7:$D$2738,$F763)="","",INDEX(選手一覧!$D$7:$D$2738,$F763))</f>
        <v/>
      </c>
      <c r="H763" s="12" t="str">
        <f aca="false">IF(INDEX(選手一覧!$E$7:$E$2738,$F763)="","",INDEX(選手一覧!$E$7:$E$2738,$F763))</f>
        <v/>
      </c>
      <c r="I763" s="11" t="str">
        <f aca="false">IF(INDEX(選手一覧!$H$7:$H$2738,$F763)="","",INDEX(選手一覧!$H$7:$H$2738,$F763))</f>
        <v/>
      </c>
      <c r="J763" s="12" t="str">
        <f aca="false">IF(INDEX(選手一覧!$I$7:$I$2738,$F763)="","",INDEX(選手一覧!$I$7:$I$2738,$F763))</f>
        <v/>
      </c>
    </row>
    <row r="764" customFormat="false" ht="15" hidden="false" customHeight="false" outlineLevel="0" collapsed="false">
      <c r="A764" s="12" t="n">
        <v>760</v>
      </c>
      <c r="B764" s="10" t="s">
        <v>785</v>
      </c>
      <c r="C764" s="10" t="s">
        <v>555</v>
      </c>
      <c r="D764" s="11" t="n">
        <v>0.00738912037037037</v>
      </c>
      <c r="E764" s="18" t="n">
        <f aca="false">ROUND((D764-$D$5)*86400,2)</f>
        <v>99.4</v>
      </c>
      <c r="F764" s="12" t="n">
        <v>511</v>
      </c>
      <c r="G764" s="11" t="n">
        <f aca="false">IF(INDEX(選手一覧!$D$7:$D$2738,$F764)="","",INDEX(選手一覧!$D$7:$D$2738,$F764))</f>
        <v>0.0107881944444444</v>
      </c>
      <c r="H764" s="12" t="n">
        <f aca="false">IF(INDEX(選手一覧!$E$7:$E$2738,$F764)="","",INDEX(選手一覧!$E$7:$E$2738,$F764))</f>
        <v>718</v>
      </c>
      <c r="I764" s="11" t="n">
        <f aca="false">IF(INDEX(選手一覧!$H$7:$H$2738,$F764)="","",INDEX(選手一覧!$H$7:$H$2738,$F764))</f>
        <v>0.00278356481481482</v>
      </c>
      <c r="J764" s="12" t="n">
        <f aca="false">IF(INDEX(選手一覧!$I$7:$I$2738,$F764)="","",INDEX(選手一覧!$I$7:$I$2738,$F764))</f>
        <v>214</v>
      </c>
    </row>
    <row r="765" customFormat="false" ht="15" hidden="false" customHeight="false" outlineLevel="0" collapsed="false">
      <c r="A765" s="12" t="n">
        <v>761</v>
      </c>
      <c r="B765" s="10" t="s">
        <v>2315</v>
      </c>
      <c r="C765" s="10" t="s">
        <v>846</v>
      </c>
      <c r="D765" s="11" t="n">
        <v>0.00738958333333333</v>
      </c>
      <c r="E765" s="18" t="n">
        <f aca="false">ROUND((D765-$D$5)*86400,2)</f>
        <v>99.44</v>
      </c>
      <c r="F765" s="12" t="n">
        <v>1598</v>
      </c>
      <c r="G765" s="11" t="str">
        <f aca="false">IF(INDEX(選手一覧!$D$7:$D$2738,$F765)="","",INDEX(選手一覧!$D$7:$D$2738,$F765))</f>
        <v/>
      </c>
      <c r="H765" s="12" t="str">
        <f aca="false">IF(INDEX(選手一覧!$E$7:$E$2738,$F765)="","",INDEX(選手一覧!$E$7:$E$2738,$F765))</f>
        <v/>
      </c>
      <c r="I765" s="11" t="str">
        <f aca="false">IF(INDEX(選手一覧!$H$7:$H$2738,$F765)="","",INDEX(選手一覧!$H$7:$H$2738,$F765))</f>
        <v/>
      </c>
      <c r="J765" s="12" t="str">
        <f aca="false">IF(INDEX(選手一覧!$I$7:$I$2738,$F765)="","",INDEX(選手一覧!$I$7:$I$2738,$F765))</f>
        <v/>
      </c>
    </row>
    <row r="766" customFormat="false" ht="15" hidden="false" customHeight="false" outlineLevel="0" collapsed="false">
      <c r="A766" s="12" t="n">
        <v>762</v>
      </c>
      <c r="B766" s="10" t="s">
        <v>2316</v>
      </c>
      <c r="C766" s="10" t="s">
        <v>906</v>
      </c>
      <c r="D766" s="11" t="n">
        <v>0.00738969907407408</v>
      </c>
      <c r="E766" s="18" t="n">
        <f aca="false">ROUND((D766-$D$5)*86400,2)</f>
        <v>99.45</v>
      </c>
      <c r="F766" s="12" t="n">
        <v>1599</v>
      </c>
      <c r="G766" s="11" t="str">
        <f aca="false">IF(INDEX(選手一覧!$D$7:$D$2738,$F766)="","",INDEX(選手一覧!$D$7:$D$2738,$F766))</f>
        <v/>
      </c>
      <c r="H766" s="12" t="str">
        <f aca="false">IF(INDEX(選手一覧!$E$7:$E$2738,$F766)="","",INDEX(選手一覧!$E$7:$E$2738,$F766))</f>
        <v/>
      </c>
      <c r="I766" s="11" t="n">
        <f aca="false">IF(INDEX(選手一覧!$H$7:$H$2738,$F766)="","",INDEX(選手一覧!$H$7:$H$2738,$F766))</f>
        <v>0.00297581018518519</v>
      </c>
      <c r="J766" s="12" t="n">
        <f aca="false">IF(INDEX(選手一覧!$I$7:$I$2738,$F766)="","",INDEX(選手一覧!$I$7:$I$2738,$F766))</f>
        <v>1333</v>
      </c>
    </row>
    <row r="767" customFormat="false" ht="15" hidden="false" customHeight="false" outlineLevel="0" collapsed="false">
      <c r="A767" s="12" t="n">
        <v>763</v>
      </c>
      <c r="B767" s="10" t="s">
        <v>2320</v>
      </c>
      <c r="C767" s="10" t="s">
        <v>2321</v>
      </c>
      <c r="D767" s="11" t="n">
        <v>0.00739143518518519</v>
      </c>
      <c r="E767" s="18" t="n">
        <f aca="false">ROUND((D767-$D$5)*86400,2)</f>
        <v>99.6</v>
      </c>
      <c r="F767" s="12" t="n">
        <v>1603</v>
      </c>
      <c r="G767" s="11" t="str">
        <f aca="false">IF(INDEX(選手一覧!$D$7:$D$2738,$F767)="","",INDEX(選手一覧!$D$7:$D$2738,$F767))</f>
        <v/>
      </c>
      <c r="H767" s="12" t="str">
        <f aca="false">IF(INDEX(選手一覧!$E$7:$E$2738,$F767)="","",INDEX(選手一覧!$E$7:$E$2738,$F767))</f>
        <v/>
      </c>
      <c r="I767" s="11" t="str">
        <f aca="false">IF(INDEX(選手一覧!$H$7:$H$2738,$F767)="","",INDEX(選手一覧!$H$7:$H$2738,$F767))</f>
        <v/>
      </c>
      <c r="J767" s="12" t="str">
        <f aca="false">IF(INDEX(選手一覧!$I$7:$I$2738,$F767)="","",INDEX(選手一覧!$I$7:$I$2738,$F767))</f>
        <v/>
      </c>
    </row>
    <row r="768" customFormat="false" ht="15" hidden="false" customHeight="false" outlineLevel="0" collapsed="false">
      <c r="A768" s="12" t="n">
        <v>764</v>
      </c>
      <c r="B768" s="10" t="s">
        <v>2323</v>
      </c>
      <c r="C768" s="10" t="s">
        <v>1423</v>
      </c>
      <c r="D768" s="11" t="n">
        <v>0.00739247685185185</v>
      </c>
      <c r="E768" s="18" t="n">
        <f aca="false">ROUND((D768-$D$5)*86400,2)</f>
        <v>99.69</v>
      </c>
      <c r="F768" s="12" t="n">
        <v>1605</v>
      </c>
      <c r="G768" s="11" t="str">
        <f aca="false">IF(INDEX(選手一覧!$D$7:$D$2738,$F768)="","",INDEX(選手一覧!$D$7:$D$2738,$F768))</f>
        <v/>
      </c>
      <c r="H768" s="12" t="str">
        <f aca="false">IF(INDEX(選手一覧!$E$7:$E$2738,$F768)="","",INDEX(選手一覧!$E$7:$E$2738,$F768))</f>
        <v/>
      </c>
      <c r="I768" s="11" t="str">
        <f aca="false">IF(INDEX(選手一覧!$H$7:$H$2738,$F768)="","",INDEX(選手一覧!$H$7:$H$2738,$F768))</f>
        <v/>
      </c>
      <c r="J768" s="12" t="str">
        <f aca="false">IF(INDEX(選手一覧!$I$7:$I$2738,$F768)="","",INDEX(選手一覧!$I$7:$I$2738,$F768))</f>
        <v/>
      </c>
    </row>
    <row r="769" customFormat="false" ht="15" hidden="false" customHeight="false" outlineLevel="0" collapsed="false">
      <c r="A769" s="12" t="n">
        <v>765</v>
      </c>
      <c r="B769" s="10" t="s">
        <v>690</v>
      </c>
      <c r="C769" s="10" t="s">
        <v>599</v>
      </c>
      <c r="D769" s="11" t="n">
        <v>0.00739351851851852</v>
      </c>
      <c r="E769" s="18" t="n">
        <f aca="false">ROUND((D769-$D$5)*86400,2)</f>
        <v>99.78</v>
      </c>
      <c r="F769" s="12" t="n">
        <v>442</v>
      </c>
      <c r="G769" s="11" t="n">
        <f aca="false">IF(INDEX(選手一覧!$D$7:$D$2738,$F769)="","",INDEX(選手一覧!$D$7:$D$2738,$F769))</f>
        <v>0.0103365740740741</v>
      </c>
      <c r="H769" s="12" t="n">
        <f aca="false">IF(INDEX(選手一覧!$E$7:$E$2738,$F769)="","",INDEX(選手一覧!$E$7:$E$2738,$F769))</f>
        <v>186</v>
      </c>
      <c r="I769" s="11" t="n">
        <f aca="false">IF(INDEX(選手一覧!$H$7:$H$2738,$F769)="","",INDEX(選手一覧!$H$7:$H$2738,$F769))</f>
        <v>0.002790625</v>
      </c>
      <c r="J769" s="12" t="n">
        <f aca="false">IF(INDEX(選手一覧!$I$7:$I$2738,$F769)="","",INDEX(選手一覧!$I$7:$I$2738,$F769))</f>
        <v>243</v>
      </c>
    </row>
    <row r="770" customFormat="false" ht="15" hidden="false" customHeight="false" outlineLevel="0" collapsed="false">
      <c r="A770" s="12" t="n">
        <v>766</v>
      </c>
      <c r="B770" s="10" t="s">
        <v>2328</v>
      </c>
      <c r="C770" s="10" t="s">
        <v>2329</v>
      </c>
      <c r="D770" s="11" t="n">
        <v>0.00739409722222222</v>
      </c>
      <c r="E770" s="18" t="n">
        <f aca="false">ROUND((D770-$D$5)*86400,2)</f>
        <v>99.83</v>
      </c>
      <c r="F770" s="12" t="n">
        <v>1610</v>
      </c>
      <c r="G770" s="11" t="str">
        <f aca="false">IF(INDEX(選手一覧!$D$7:$D$2738,$F770)="","",INDEX(選手一覧!$D$7:$D$2738,$F770))</f>
        <v/>
      </c>
      <c r="H770" s="12" t="str">
        <f aca="false">IF(INDEX(選手一覧!$E$7:$E$2738,$F770)="","",INDEX(選手一覧!$E$7:$E$2738,$F770))</f>
        <v/>
      </c>
      <c r="I770" s="11" t="str">
        <f aca="false">IF(INDEX(選手一覧!$H$7:$H$2738,$F770)="","",INDEX(選手一覧!$H$7:$H$2738,$F770))</f>
        <v/>
      </c>
      <c r="J770" s="12" t="str">
        <f aca="false">IF(INDEX(選手一覧!$I$7:$I$2738,$F770)="","",INDEX(選手一覧!$I$7:$I$2738,$F770))</f>
        <v/>
      </c>
    </row>
    <row r="771" customFormat="false" ht="15" hidden="false" customHeight="false" outlineLevel="0" collapsed="false">
      <c r="A771" s="12" t="n">
        <v>767</v>
      </c>
      <c r="B771" s="10" t="s">
        <v>2332</v>
      </c>
      <c r="C771" s="10" t="s">
        <v>1368</v>
      </c>
      <c r="D771" s="11" t="n">
        <v>0.00739548611111111</v>
      </c>
      <c r="E771" s="18" t="n">
        <f aca="false">ROUND((D771-$D$5)*86400,2)</f>
        <v>99.95</v>
      </c>
      <c r="F771" s="12" t="n">
        <v>1613</v>
      </c>
      <c r="G771" s="11" t="str">
        <f aca="false">IF(INDEX(選手一覧!$D$7:$D$2738,$F771)="","",INDEX(選手一覧!$D$7:$D$2738,$F771))</f>
        <v/>
      </c>
      <c r="H771" s="12" t="str">
        <f aca="false">IF(INDEX(選手一覧!$E$7:$E$2738,$F771)="","",INDEX(選手一覧!$E$7:$E$2738,$F771))</f>
        <v/>
      </c>
      <c r="I771" s="11" t="str">
        <f aca="false">IF(INDEX(選手一覧!$H$7:$H$2738,$F771)="","",INDEX(選手一覧!$H$7:$H$2738,$F771))</f>
        <v/>
      </c>
      <c r="J771" s="12" t="str">
        <f aca="false">IF(INDEX(選手一覧!$I$7:$I$2738,$F771)="","",INDEX(選手一覧!$I$7:$I$2738,$F771))</f>
        <v/>
      </c>
    </row>
    <row r="772" customFormat="false" ht="15" hidden="false" customHeight="false" outlineLevel="0" collapsed="false">
      <c r="A772" s="12" t="n">
        <v>768</v>
      </c>
      <c r="B772" s="10" t="s">
        <v>2335</v>
      </c>
      <c r="C772" s="10" t="s">
        <v>2336</v>
      </c>
      <c r="D772" s="11" t="n">
        <v>0.00739571759259259</v>
      </c>
      <c r="E772" s="18" t="n">
        <f aca="false">ROUND((D772-$D$5)*86400,2)</f>
        <v>99.97</v>
      </c>
      <c r="F772" s="12" t="n">
        <v>1616</v>
      </c>
      <c r="G772" s="11" t="str">
        <f aca="false">IF(INDEX(選手一覧!$D$7:$D$2738,$F772)="","",INDEX(選手一覧!$D$7:$D$2738,$F772))</f>
        <v/>
      </c>
      <c r="H772" s="12" t="str">
        <f aca="false">IF(INDEX(選手一覧!$E$7:$E$2738,$F772)="","",INDEX(選手一覧!$E$7:$E$2738,$F772))</f>
        <v/>
      </c>
      <c r="I772" s="11" t="str">
        <f aca="false">IF(INDEX(選手一覧!$H$7:$H$2738,$F772)="","",INDEX(選手一覧!$H$7:$H$2738,$F772))</f>
        <v/>
      </c>
      <c r="J772" s="12" t="str">
        <f aca="false">IF(INDEX(選手一覧!$I$7:$I$2738,$F772)="","",INDEX(選手一覧!$I$7:$I$2738,$F772))</f>
        <v/>
      </c>
    </row>
    <row r="773" customFormat="false" ht="15" hidden="false" customHeight="false" outlineLevel="0" collapsed="false">
      <c r="A773" s="12" t="n">
        <v>769</v>
      </c>
      <c r="B773" s="10" t="s">
        <v>2338</v>
      </c>
      <c r="C773" s="10" t="s">
        <v>2339</v>
      </c>
      <c r="D773" s="11" t="n">
        <v>0.007396875</v>
      </c>
      <c r="E773" s="18" t="n">
        <f aca="false">ROUND((D773-$D$5)*86400,2)</f>
        <v>100.07</v>
      </c>
      <c r="F773" s="12" t="n">
        <v>1618</v>
      </c>
      <c r="G773" s="11" t="str">
        <f aca="false">IF(INDEX(選手一覧!$D$7:$D$2738,$F773)="","",INDEX(選手一覧!$D$7:$D$2738,$F773))</f>
        <v/>
      </c>
      <c r="H773" s="12" t="str">
        <f aca="false">IF(INDEX(選手一覧!$E$7:$E$2738,$F773)="","",INDEX(選手一覧!$E$7:$E$2738,$F773))</f>
        <v/>
      </c>
      <c r="I773" s="11" t="str">
        <f aca="false">IF(INDEX(選手一覧!$H$7:$H$2738,$F773)="","",INDEX(選手一覧!$H$7:$H$2738,$F773))</f>
        <v/>
      </c>
      <c r="J773" s="12" t="str">
        <f aca="false">IF(INDEX(選手一覧!$I$7:$I$2738,$F773)="","",INDEX(選手一覧!$I$7:$I$2738,$F773))</f>
        <v/>
      </c>
    </row>
    <row r="774" customFormat="false" ht="15" hidden="false" customHeight="false" outlineLevel="0" collapsed="false">
      <c r="A774" s="12" t="n">
        <v>770</v>
      </c>
      <c r="B774" s="10" t="s">
        <v>2340</v>
      </c>
      <c r="C774" s="10" t="s">
        <v>1498</v>
      </c>
      <c r="D774" s="11" t="n">
        <v>0.00739780092592593</v>
      </c>
      <c r="E774" s="18" t="n">
        <f aca="false">ROUND((D774-$D$5)*86400,2)</f>
        <v>100.15</v>
      </c>
      <c r="F774" s="12" t="n">
        <v>1619</v>
      </c>
      <c r="G774" s="11" t="str">
        <f aca="false">IF(INDEX(選手一覧!$D$7:$D$2738,$F774)="","",INDEX(選手一覧!$D$7:$D$2738,$F774))</f>
        <v/>
      </c>
      <c r="H774" s="12" t="str">
        <f aca="false">IF(INDEX(選手一覧!$E$7:$E$2738,$F774)="","",INDEX(選手一覧!$E$7:$E$2738,$F774))</f>
        <v/>
      </c>
      <c r="I774" s="11" t="str">
        <f aca="false">IF(INDEX(選手一覧!$H$7:$H$2738,$F774)="","",INDEX(選手一覧!$H$7:$H$2738,$F774))</f>
        <v/>
      </c>
      <c r="J774" s="12" t="str">
        <f aca="false">IF(INDEX(選手一覧!$I$7:$I$2738,$F774)="","",INDEX(選手一覧!$I$7:$I$2738,$F774))</f>
        <v/>
      </c>
    </row>
    <row r="775" customFormat="false" ht="15" hidden="false" customHeight="false" outlineLevel="0" collapsed="false">
      <c r="A775" s="12" t="n">
        <v>771</v>
      </c>
      <c r="B775" s="10" t="s">
        <v>2343</v>
      </c>
      <c r="C775" s="10" t="s">
        <v>2229</v>
      </c>
      <c r="D775" s="11" t="n">
        <v>0.00739988425925926</v>
      </c>
      <c r="E775" s="18" t="n">
        <f aca="false">ROUND((D775-$D$5)*86400,2)</f>
        <v>100.33</v>
      </c>
      <c r="F775" s="12" t="n">
        <v>1621</v>
      </c>
      <c r="G775" s="11" t="str">
        <f aca="false">IF(INDEX(選手一覧!$D$7:$D$2738,$F775)="","",INDEX(選手一覧!$D$7:$D$2738,$F775))</f>
        <v/>
      </c>
      <c r="H775" s="12" t="str">
        <f aca="false">IF(INDEX(選手一覧!$E$7:$E$2738,$F775)="","",INDEX(選手一覧!$E$7:$E$2738,$F775))</f>
        <v/>
      </c>
      <c r="I775" s="11" t="str">
        <f aca="false">IF(INDEX(選手一覧!$H$7:$H$2738,$F775)="","",INDEX(選手一覧!$H$7:$H$2738,$F775))</f>
        <v/>
      </c>
      <c r="J775" s="12" t="str">
        <f aca="false">IF(INDEX(選手一覧!$I$7:$I$2738,$F775)="","",INDEX(選手一覧!$I$7:$I$2738,$F775))</f>
        <v/>
      </c>
    </row>
    <row r="776" customFormat="false" ht="15" hidden="false" customHeight="false" outlineLevel="0" collapsed="false">
      <c r="A776" s="12" t="n">
        <v>772</v>
      </c>
      <c r="B776" s="10" t="s">
        <v>2345</v>
      </c>
      <c r="C776" s="10" t="s">
        <v>1309</v>
      </c>
      <c r="D776" s="11" t="n">
        <v>0.00740138888888889</v>
      </c>
      <c r="E776" s="18" t="n">
        <f aca="false">ROUND((D776-$D$5)*86400,2)</f>
        <v>100.46</v>
      </c>
      <c r="F776" s="12" t="n">
        <v>1623</v>
      </c>
      <c r="G776" s="11" t="str">
        <f aca="false">IF(INDEX(選手一覧!$D$7:$D$2738,$F776)="","",INDEX(選手一覧!$D$7:$D$2738,$F776))</f>
        <v/>
      </c>
      <c r="H776" s="12" t="str">
        <f aca="false">IF(INDEX(選手一覧!$E$7:$E$2738,$F776)="","",INDEX(選手一覧!$E$7:$E$2738,$F776))</f>
        <v/>
      </c>
      <c r="I776" s="11" t="str">
        <f aca="false">IF(INDEX(選手一覧!$H$7:$H$2738,$F776)="","",INDEX(選手一覧!$H$7:$H$2738,$F776))</f>
        <v/>
      </c>
      <c r="J776" s="12" t="str">
        <f aca="false">IF(INDEX(選手一覧!$I$7:$I$2738,$F776)="","",INDEX(選手一覧!$I$7:$I$2738,$F776))</f>
        <v/>
      </c>
    </row>
    <row r="777" customFormat="false" ht="15" hidden="false" customHeight="false" outlineLevel="0" collapsed="false">
      <c r="A777" s="12" t="n">
        <v>773</v>
      </c>
      <c r="B777" s="10" t="s">
        <v>2347</v>
      </c>
      <c r="C777" s="10" t="s">
        <v>279</v>
      </c>
      <c r="D777" s="11" t="n">
        <v>0.00740162037037037</v>
      </c>
      <c r="E777" s="18" t="n">
        <f aca="false">ROUND((D777-$D$5)*86400,2)</f>
        <v>100.48</v>
      </c>
      <c r="F777" s="12" t="n">
        <v>1625</v>
      </c>
      <c r="G777" s="11" t="n">
        <f aca="false">IF(INDEX(選手一覧!$D$7:$D$2738,$F777)="","",INDEX(選手一覧!$D$7:$D$2738,$F777))</f>
        <v>0.011030787037037</v>
      </c>
      <c r="H777" s="12" t="n">
        <f aca="false">IF(INDEX(選手一覧!$E$7:$E$2738,$F777)="","",INDEX(選手一覧!$E$7:$E$2738,$F777))</f>
        <v>1152</v>
      </c>
      <c r="I777" s="11" t="str">
        <f aca="false">IF(INDEX(選手一覧!$H$7:$H$2738,$F777)="","",INDEX(選手一覧!$H$7:$H$2738,$F777))</f>
        <v/>
      </c>
      <c r="J777" s="12" t="str">
        <f aca="false">IF(INDEX(選手一覧!$I$7:$I$2738,$F777)="","",INDEX(選手一覧!$I$7:$I$2738,$F777))</f>
        <v/>
      </c>
    </row>
    <row r="778" customFormat="false" ht="15" hidden="false" customHeight="false" outlineLevel="0" collapsed="false">
      <c r="A778" s="12" t="n">
        <v>774</v>
      </c>
      <c r="B778" s="10" t="s">
        <v>2351</v>
      </c>
      <c r="C778" s="10" t="s">
        <v>2352</v>
      </c>
      <c r="D778" s="11" t="n">
        <v>0.00740173611111111</v>
      </c>
      <c r="E778" s="18" t="n">
        <f aca="false">ROUND((D778-$D$5)*86400,2)</f>
        <v>100.49</v>
      </c>
      <c r="F778" s="12" t="n">
        <v>1628</v>
      </c>
      <c r="G778" s="11" t="str">
        <f aca="false">IF(INDEX(選手一覧!$D$7:$D$2738,$F778)="","",INDEX(選手一覧!$D$7:$D$2738,$F778))</f>
        <v/>
      </c>
      <c r="H778" s="12" t="str">
        <f aca="false">IF(INDEX(選手一覧!$E$7:$E$2738,$F778)="","",INDEX(選手一覧!$E$7:$E$2738,$F778))</f>
        <v/>
      </c>
      <c r="I778" s="11" t="str">
        <f aca="false">IF(INDEX(選手一覧!$H$7:$H$2738,$F778)="","",INDEX(選手一覧!$H$7:$H$2738,$F778))</f>
        <v/>
      </c>
      <c r="J778" s="12" t="str">
        <f aca="false">IF(INDEX(選手一覧!$I$7:$I$2738,$F778)="","",INDEX(選手一覧!$I$7:$I$2738,$F778))</f>
        <v/>
      </c>
    </row>
    <row r="779" customFormat="false" ht="15" hidden="false" customHeight="false" outlineLevel="0" collapsed="false">
      <c r="A779" s="12" t="n">
        <v>775</v>
      </c>
      <c r="B779" s="10" t="s">
        <v>2354</v>
      </c>
      <c r="C779" s="10" t="s">
        <v>2355</v>
      </c>
      <c r="D779" s="11" t="n">
        <v>0.00740243055555556</v>
      </c>
      <c r="E779" s="18" t="n">
        <f aca="false">ROUND((D779-$D$5)*86400,2)</f>
        <v>100.55</v>
      </c>
      <c r="F779" s="12" t="n">
        <v>1630</v>
      </c>
      <c r="G779" s="11" t="str">
        <f aca="false">IF(INDEX(選手一覧!$D$7:$D$2738,$F779)="","",INDEX(選手一覧!$D$7:$D$2738,$F779))</f>
        <v/>
      </c>
      <c r="H779" s="12" t="str">
        <f aca="false">IF(INDEX(選手一覧!$E$7:$E$2738,$F779)="","",INDEX(選手一覧!$E$7:$E$2738,$F779))</f>
        <v/>
      </c>
      <c r="I779" s="11" t="str">
        <f aca="false">IF(INDEX(選手一覧!$H$7:$H$2738,$F779)="","",INDEX(選手一覧!$H$7:$H$2738,$F779))</f>
        <v/>
      </c>
      <c r="J779" s="12" t="str">
        <f aca="false">IF(INDEX(選手一覧!$I$7:$I$2738,$F779)="","",INDEX(選手一覧!$I$7:$I$2738,$F779))</f>
        <v/>
      </c>
    </row>
    <row r="780" customFormat="false" ht="15" hidden="false" customHeight="false" outlineLevel="0" collapsed="false">
      <c r="A780" s="12" t="n">
        <v>776</v>
      </c>
      <c r="B780" s="10" t="s">
        <v>2356</v>
      </c>
      <c r="C780" s="10" t="s">
        <v>1180</v>
      </c>
      <c r="D780" s="11" t="n">
        <v>0.00740381944444445</v>
      </c>
      <c r="E780" s="18" t="n">
        <f aca="false">ROUND((D780-$D$5)*86400,2)</f>
        <v>100.67</v>
      </c>
      <c r="F780" s="12" t="n">
        <v>1631</v>
      </c>
      <c r="G780" s="11" t="str">
        <f aca="false">IF(INDEX(選手一覧!$D$7:$D$2738,$F780)="","",INDEX(選手一覧!$D$7:$D$2738,$F780))</f>
        <v/>
      </c>
      <c r="H780" s="12" t="str">
        <f aca="false">IF(INDEX(選手一覧!$E$7:$E$2738,$F780)="","",INDEX(選手一覧!$E$7:$E$2738,$F780))</f>
        <v/>
      </c>
      <c r="I780" s="11" t="str">
        <f aca="false">IF(INDEX(選手一覧!$H$7:$H$2738,$F780)="","",INDEX(選手一覧!$H$7:$H$2738,$F780))</f>
        <v/>
      </c>
      <c r="J780" s="12" t="str">
        <f aca="false">IF(INDEX(選手一覧!$I$7:$I$2738,$F780)="","",INDEX(選手一覧!$I$7:$I$2738,$F780))</f>
        <v/>
      </c>
    </row>
    <row r="781" customFormat="false" ht="15" hidden="false" customHeight="false" outlineLevel="0" collapsed="false">
      <c r="A781" s="12" t="n">
        <v>777</v>
      </c>
      <c r="B781" s="10" t="s">
        <v>2358</v>
      </c>
      <c r="C781" s="10" t="s">
        <v>277</v>
      </c>
      <c r="D781" s="11" t="n">
        <v>0.00740451388888889</v>
      </c>
      <c r="E781" s="18" t="n">
        <f aca="false">ROUND((D781-$D$5)*86400,2)</f>
        <v>100.73</v>
      </c>
      <c r="F781" s="12" t="n">
        <v>1633</v>
      </c>
      <c r="G781" s="11" t="n">
        <f aca="false">IF(INDEX(選手一覧!$D$7:$D$2738,$F781)="","",INDEX(選手一覧!$D$7:$D$2738,$F781))</f>
        <v>0.0109872685185185</v>
      </c>
      <c r="H781" s="12" t="n">
        <f aca="false">IF(INDEX(選手一覧!$E$7:$E$2738,$F781)="","",INDEX(選手一覧!$E$7:$E$2738,$F781))</f>
        <v>1076</v>
      </c>
      <c r="I781" s="11" t="n">
        <f aca="false">IF(INDEX(選手一覧!$H$7:$H$2738,$F781)="","",INDEX(選手一覧!$H$7:$H$2738,$F781))</f>
        <v>0.00289212962962963</v>
      </c>
      <c r="J781" s="12" t="n">
        <f aca="false">IF(INDEX(選手一覧!$I$7:$I$2738,$F781)="","",INDEX(選手一覧!$I$7:$I$2738,$F781))</f>
        <v>892</v>
      </c>
    </row>
    <row r="782" customFormat="false" ht="15" hidden="false" customHeight="false" outlineLevel="0" collapsed="false">
      <c r="A782" s="12" t="n">
        <v>778</v>
      </c>
      <c r="B782" s="10" t="s">
        <v>2361</v>
      </c>
      <c r="C782" s="10" t="s">
        <v>45</v>
      </c>
      <c r="D782" s="11" t="n">
        <v>0.00740474537037037</v>
      </c>
      <c r="E782" s="18" t="n">
        <f aca="false">ROUND((D782-$D$5)*86400,2)</f>
        <v>100.75</v>
      </c>
      <c r="F782" s="12" t="n">
        <v>1636</v>
      </c>
      <c r="G782" s="11" t="str">
        <f aca="false">IF(INDEX(選手一覧!$D$7:$D$2738,$F782)="","",INDEX(選手一覧!$D$7:$D$2738,$F782))</f>
        <v/>
      </c>
      <c r="H782" s="12" t="str">
        <f aca="false">IF(INDEX(選手一覧!$E$7:$E$2738,$F782)="","",INDEX(選手一覧!$E$7:$E$2738,$F782))</f>
        <v/>
      </c>
      <c r="I782" s="11" t="str">
        <f aca="false">IF(INDEX(選手一覧!$H$7:$H$2738,$F782)="","",INDEX(選手一覧!$H$7:$H$2738,$F782))</f>
        <v/>
      </c>
      <c r="J782" s="12" t="str">
        <f aca="false">IF(INDEX(選手一覧!$I$7:$I$2738,$F782)="","",INDEX(選手一覧!$I$7:$I$2738,$F782))</f>
        <v/>
      </c>
    </row>
    <row r="783" customFormat="false" ht="15" hidden="false" customHeight="false" outlineLevel="0" collapsed="false">
      <c r="A783" s="12" t="n">
        <v>779</v>
      </c>
      <c r="B783" s="10" t="s">
        <v>2362</v>
      </c>
      <c r="C783" s="10" t="s">
        <v>2363</v>
      </c>
      <c r="D783" s="11" t="n">
        <v>0.00740509259259259</v>
      </c>
      <c r="E783" s="18" t="n">
        <f aca="false">ROUND((D783-$D$5)*86400,2)</f>
        <v>100.78</v>
      </c>
      <c r="F783" s="12" t="n">
        <v>1637</v>
      </c>
      <c r="G783" s="11" t="str">
        <f aca="false">IF(INDEX(選手一覧!$D$7:$D$2738,$F783)="","",INDEX(選手一覧!$D$7:$D$2738,$F783))</f>
        <v/>
      </c>
      <c r="H783" s="12" t="str">
        <f aca="false">IF(INDEX(選手一覧!$E$7:$E$2738,$F783)="","",INDEX(選手一覧!$E$7:$E$2738,$F783))</f>
        <v/>
      </c>
      <c r="I783" s="11" t="str">
        <f aca="false">IF(INDEX(選手一覧!$H$7:$H$2738,$F783)="","",INDEX(選手一覧!$H$7:$H$2738,$F783))</f>
        <v/>
      </c>
      <c r="J783" s="12" t="str">
        <f aca="false">IF(INDEX(選手一覧!$I$7:$I$2738,$F783)="","",INDEX(選手一覧!$I$7:$I$2738,$F783))</f>
        <v/>
      </c>
    </row>
    <row r="784" customFormat="false" ht="15" hidden="false" customHeight="false" outlineLevel="0" collapsed="false">
      <c r="A784" s="12" t="n">
        <v>780</v>
      </c>
      <c r="B784" s="10" t="s">
        <v>2366</v>
      </c>
      <c r="C784" s="10" t="s">
        <v>267</v>
      </c>
      <c r="D784" s="11" t="n">
        <v>0.00740555555555556</v>
      </c>
      <c r="E784" s="18" t="n">
        <f aca="false">ROUND((D784-$D$5)*86400,2)</f>
        <v>100.82</v>
      </c>
      <c r="F784" s="12" t="n">
        <v>1640</v>
      </c>
      <c r="G784" s="11" t="str">
        <f aca="false">IF(INDEX(選手一覧!$D$7:$D$2738,$F784)="","",INDEX(選手一覧!$D$7:$D$2738,$F784))</f>
        <v/>
      </c>
      <c r="H784" s="12" t="str">
        <f aca="false">IF(INDEX(選手一覧!$E$7:$E$2738,$F784)="","",INDEX(選手一覧!$E$7:$E$2738,$F784))</f>
        <v/>
      </c>
      <c r="I784" s="11" t="str">
        <f aca="false">IF(INDEX(選手一覧!$H$7:$H$2738,$F784)="","",INDEX(選手一覧!$H$7:$H$2738,$F784))</f>
        <v/>
      </c>
      <c r="J784" s="12" t="str">
        <f aca="false">IF(INDEX(選手一覧!$I$7:$I$2738,$F784)="","",INDEX(選手一覧!$I$7:$I$2738,$F784))</f>
        <v/>
      </c>
    </row>
    <row r="785" customFormat="false" ht="15" hidden="false" customHeight="false" outlineLevel="0" collapsed="false">
      <c r="A785" s="12" t="n">
        <v>781</v>
      </c>
      <c r="B785" s="10" t="s">
        <v>1391</v>
      </c>
      <c r="C785" s="10" t="s">
        <v>471</v>
      </c>
      <c r="D785" s="11" t="n">
        <v>0.00740578703703704</v>
      </c>
      <c r="E785" s="18" t="n">
        <f aca="false">ROUND((D785-$D$5)*86400,2)</f>
        <v>100.84</v>
      </c>
      <c r="F785" s="12" t="n">
        <v>947</v>
      </c>
      <c r="G785" s="11" t="n">
        <f aca="false">IF(INDEX(選手一覧!$D$7:$D$2738,$F785)="","",INDEX(選手一覧!$D$7:$D$2738,$F785))</f>
        <v>0.0105699074074074</v>
      </c>
      <c r="H785" s="12" t="n">
        <f aca="false">IF(INDEX(選手一覧!$E$7:$E$2738,$F785)="","",INDEX(選手一覧!$E$7:$E$2738,$F785))</f>
        <v>424</v>
      </c>
      <c r="I785" s="11" t="str">
        <f aca="false">IF(INDEX(選手一覧!$H$7:$H$2738,$F785)="","",INDEX(選手一覧!$H$7:$H$2738,$F785))</f>
        <v/>
      </c>
      <c r="J785" s="12" t="str">
        <f aca="false">IF(INDEX(選手一覧!$I$7:$I$2738,$F785)="","",INDEX(選手一覧!$I$7:$I$2738,$F785))</f>
        <v/>
      </c>
    </row>
    <row r="786" customFormat="false" ht="15" hidden="false" customHeight="false" outlineLevel="0" collapsed="false">
      <c r="A786" s="12" t="n">
        <v>782</v>
      </c>
      <c r="B786" s="10" t="s">
        <v>2369</v>
      </c>
      <c r="C786" s="10" t="s">
        <v>1051</v>
      </c>
      <c r="D786" s="11" t="n">
        <v>0.00740868055555556</v>
      </c>
      <c r="E786" s="18" t="n">
        <f aca="false">ROUND((D786-$D$5)*86400,2)</f>
        <v>101.09</v>
      </c>
      <c r="F786" s="12" t="n">
        <v>1643</v>
      </c>
      <c r="G786" s="11" t="str">
        <f aca="false">IF(INDEX(選手一覧!$D$7:$D$2738,$F786)="","",INDEX(選手一覧!$D$7:$D$2738,$F786))</f>
        <v/>
      </c>
      <c r="H786" s="12" t="str">
        <f aca="false">IF(INDEX(選手一覧!$E$7:$E$2738,$F786)="","",INDEX(選手一覧!$E$7:$E$2738,$F786))</f>
        <v/>
      </c>
      <c r="I786" s="11" t="str">
        <f aca="false">IF(INDEX(選手一覧!$H$7:$H$2738,$F786)="","",INDEX(選手一覧!$H$7:$H$2738,$F786))</f>
        <v/>
      </c>
      <c r="J786" s="12" t="str">
        <f aca="false">IF(INDEX(選手一覧!$I$7:$I$2738,$F786)="","",INDEX(選手一覧!$I$7:$I$2738,$F786))</f>
        <v/>
      </c>
    </row>
    <row r="787" customFormat="false" ht="15" hidden="false" customHeight="false" outlineLevel="0" collapsed="false">
      <c r="A787" s="12" t="n">
        <v>783</v>
      </c>
      <c r="B787" s="10" t="s">
        <v>2372</v>
      </c>
      <c r="C787" s="10" t="s">
        <v>2373</v>
      </c>
      <c r="D787" s="11" t="n">
        <v>0.00740949074074074</v>
      </c>
      <c r="E787" s="18" t="n">
        <f aca="false">ROUND((D787-$D$5)*86400,2)</f>
        <v>101.16</v>
      </c>
      <c r="F787" s="12" t="n">
        <v>1646</v>
      </c>
      <c r="G787" s="11" t="str">
        <f aca="false">IF(INDEX(選手一覧!$D$7:$D$2738,$F787)="","",INDEX(選手一覧!$D$7:$D$2738,$F787))</f>
        <v/>
      </c>
      <c r="H787" s="12" t="str">
        <f aca="false">IF(INDEX(選手一覧!$E$7:$E$2738,$F787)="","",INDEX(選手一覧!$E$7:$E$2738,$F787))</f>
        <v/>
      </c>
      <c r="I787" s="11" t="str">
        <f aca="false">IF(INDEX(選手一覧!$H$7:$H$2738,$F787)="","",INDEX(選手一覧!$H$7:$H$2738,$F787))</f>
        <v/>
      </c>
      <c r="J787" s="12" t="str">
        <f aca="false">IF(INDEX(選手一覧!$I$7:$I$2738,$F787)="","",INDEX(選手一覧!$I$7:$I$2738,$F787))</f>
        <v/>
      </c>
    </row>
    <row r="788" customFormat="false" ht="15" hidden="false" customHeight="false" outlineLevel="0" collapsed="false">
      <c r="A788" s="12" t="n">
        <v>784</v>
      </c>
      <c r="B788" s="10" t="s">
        <v>2374</v>
      </c>
      <c r="C788" s="10" t="s">
        <v>1871</v>
      </c>
      <c r="D788" s="11" t="n">
        <v>0.00741122685185185</v>
      </c>
      <c r="E788" s="18" t="n">
        <f aca="false">ROUND((D788-$D$5)*86400,2)</f>
        <v>101.31</v>
      </c>
      <c r="F788" s="12" t="n">
        <v>1647</v>
      </c>
      <c r="G788" s="11" t="str">
        <f aca="false">IF(INDEX(選手一覧!$D$7:$D$2738,$F788)="","",INDEX(選手一覧!$D$7:$D$2738,$F788))</f>
        <v/>
      </c>
      <c r="H788" s="12" t="str">
        <f aca="false">IF(INDEX(選手一覧!$E$7:$E$2738,$F788)="","",INDEX(選手一覧!$E$7:$E$2738,$F788))</f>
        <v/>
      </c>
      <c r="I788" s="11" t="str">
        <f aca="false">IF(INDEX(選手一覧!$H$7:$H$2738,$F788)="","",INDEX(選手一覧!$H$7:$H$2738,$F788))</f>
        <v/>
      </c>
      <c r="J788" s="12" t="str">
        <f aca="false">IF(INDEX(選手一覧!$I$7:$I$2738,$F788)="","",INDEX(選手一覧!$I$7:$I$2738,$F788))</f>
        <v/>
      </c>
    </row>
    <row r="789" customFormat="false" ht="15" hidden="false" customHeight="false" outlineLevel="0" collapsed="false">
      <c r="A789" s="12" t="n">
        <v>785</v>
      </c>
      <c r="B789" s="10" t="s">
        <v>2376</v>
      </c>
      <c r="C789" s="10" t="s">
        <v>1764</v>
      </c>
      <c r="D789" s="11" t="n">
        <v>0.00741226851851852</v>
      </c>
      <c r="E789" s="18" t="n">
        <f aca="false">ROUND((D789-$D$5)*86400,2)</f>
        <v>101.4</v>
      </c>
      <c r="F789" s="12" t="n">
        <v>1649</v>
      </c>
      <c r="G789" s="11" t="str">
        <f aca="false">IF(INDEX(選手一覧!$D$7:$D$2738,$F789)="","",INDEX(選手一覧!$D$7:$D$2738,$F789))</f>
        <v/>
      </c>
      <c r="H789" s="12" t="str">
        <f aca="false">IF(INDEX(選手一覧!$E$7:$E$2738,$F789)="","",INDEX(選手一覧!$E$7:$E$2738,$F789))</f>
        <v/>
      </c>
      <c r="I789" s="11" t="str">
        <f aca="false">IF(INDEX(選手一覧!$H$7:$H$2738,$F789)="","",INDEX(選手一覧!$H$7:$H$2738,$F789))</f>
        <v/>
      </c>
      <c r="J789" s="12" t="str">
        <f aca="false">IF(INDEX(選手一覧!$I$7:$I$2738,$F789)="","",INDEX(選手一覧!$I$7:$I$2738,$F789))</f>
        <v/>
      </c>
    </row>
    <row r="790" customFormat="false" ht="15" hidden="false" customHeight="false" outlineLevel="0" collapsed="false">
      <c r="A790" s="12" t="n">
        <v>786</v>
      </c>
      <c r="B790" s="10" t="s">
        <v>1663</v>
      </c>
      <c r="C790" s="10" t="s">
        <v>1664</v>
      </c>
      <c r="D790" s="11" t="n">
        <v>0.00741400462962963</v>
      </c>
      <c r="E790" s="18" t="n">
        <f aca="false">ROUND((D790-$D$5)*86400,2)</f>
        <v>101.55</v>
      </c>
      <c r="F790" s="12" t="n">
        <v>1146</v>
      </c>
      <c r="G790" s="11" t="n">
        <f aca="false">IF(INDEX(選手一覧!$D$7:$D$2738,$F790)="","",INDEX(選手一覧!$D$7:$D$2738,$F790))</f>
        <v>0.0110175925925926</v>
      </c>
      <c r="H790" s="12" t="n">
        <f aca="false">IF(INDEX(選手一覧!$E$7:$E$2738,$F790)="","",INDEX(選手一覧!$E$7:$E$2738,$F790))</f>
        <v>1124</v>
      </c>
      <c r="I790" s="11" t="n">
        <f aca="false">IF(INDEX(選手一覧!$H$7:$H$2738,$F790)="","",INDEX(選手一覧!$H$7:$H$2738,$F790))</f>
        <v>0.00284386574074074</v>
      </c>
      <c r="J790" s="12" t="n">
        <f aca="false">IF(INDEX(選手一覧!$I$7:$I$2738,$F790)="","",INDEX(選手一覧!$I$7:$I$2738,$F790))</f>
        <v>523</v>
      </c>
    </row>
    <row r="791" customFormat="false" ht="15" hidden="false" customHeight="false" outlineLevel="0" collapsed="false">
      <c r="A791" s="12" t="n">
        <v>787</v>
      </c>
      <c r="B791" s="10" t="s">
        <v>2379</v>
      </c>
      <c r="C791" s="10" t="s">
        <v>1383</v>
      </c>
      <c r="D791" s="11" t="n">
        <v>0.00741493055555556</v>
      </c>
      <c r="E791" s="18" t="n">
        <f aca="false">ROUND((D791-$D$5)*86400,2)</f>
        <v>101.63</v>
      </c>
      <c r="F791" s="12" t="n">
        <v>1652</v>
      </c>
      <c r="G791" s="11" t="str">
        <f aca="false">IF(INDEX(選手一覧!$D$7:$D$2738,$F791)="","",INDEX(選手一覧!$D$7:$D$2738,$F791))</f>
        <v/>
      </c>
      <c r="H791" s="12" t="str">
        <f aca="false">IF(INDEX(選手一覧!$E$7:$E$2738,$F791)="","",INDEX(選手一覧!$E$7:$E$2738,$F791))</f>
        <v/>
      </c>
      <c r="I791" s="11" t="str">
        <f aca="false">IF(INDEX(選手一覧!$H$7:$H$2738,$F791)="","",INDEX(選手一覧!$H$7:$H$2738,$F791))</f>
        <v/>
      </c>
      <c r="J791" s="12" t="str">
        <f aca="false">IF(INDEX(選手一覧!$I$7:$I$2738,$F791)="","",INDEX(選手一覧!$I$7:$I$2738,$F791))</f>
        <v/>
      </c>
    </row>
    <row r="792" customFormat="false" ht="15" hidden="false" customHeight="false" outlineLevel="0" collapsed="false">
      <c r="A792" s="12" t="n">
        <v>788</v>
      </c>
      <c r="B792" s="10" t="s">
        <v>1568</v>
      </c>
      <c r="C792" s="10" t="s">
        <v>1239</v>
      </c>
      <c r="D792" s="11" t="n">
        <v>0.00741527777777778</v>
      </c>
      <c r="E792" s="18" t="n">
        <f aca="false">ROUND((D792-$D$5)*86400,2)</f>
        <v>101.66</v>
      </c>
      <c r="F792" s="12" t="n">
        <v>1081</v>
      </c>
      <c r="G792" s="11" t="str">
        <f aca="false">IF(INDEX(選手一覧!$D$7:$D$2738,$F792)="","",INDEX(選手一覧!$D$7:$D$2738,$F792))</f>
        <v/>
      </c>
      <c r="H792" s="12" t="str">
        <f aca="false">IF(INDEX(選手一覧!$E$7:$E$2738,$F792)="","",INDEX(選手一覧!$E$7:$E$2738,$F792))</f>
        <v/>
      </c>
      <c r="I792" s="11" t="n">
        <f aca="false">IF(INDEX(選手一覧!$H$7:$H$2738,$F792)="","",INDEX(選手一覧!$H$7:$H$2738,$F792))</f>
        <v>0.00283912037037037</v>
      </c>
      <c r="J792" s="12" t="n">
        <f aca="false">IF(INDEX(選手一覧!$I$7:$I$2738,$F792)="","",INDEX(選手一覧!$I$7:$I$2738,$F792))</f>
        <v>489</v>
      </c>
    </row>
    <row r="793" customFormat="false" ht="15" hidden="false" customHeight="false" outlineLevel="0" collapsed="false">
      <c r="A793" s="12" t="n">
        <v>789</v>
      </c>
      <c r="B793" s="10" t="s">
        <v>2382</v>
      </c>
      <c r="C793" s="10" t="s">
        <v>181</v>
      </c>
      <c r="D793" s="11" t="n">
        <v>0.00741678240740741</v>
      </c>
      <c r="E793" s="18" t="n">
        <f aca="false">ROUND((D793-$D$5)*86400,2)</f>
        <v>101.79</v>
      </c>
      <c r="F793" s="12" t="n">
        <v>1654</v>
      </c>
      <c r="G793" s="11" t="str">
        <f aca="false">IF(INDEX(選手一覧!$D$7:$D$2738,$F793)="","",INDEX(選手一覧!$D$7:$D$2738,$F793))</f>
        <v/>
      </c>
      <c r="H793" s="12" t="str">
        <f aca="false">IF(INDEX(選手一覧!$E$7:$E$2738,$F793)="","",INDEX(選手一覧!$E$7:$E$2738,$F793))</f>
        <v/>
      </c>
      <c r="I793" s="11" t="str">
        <f aca="false">IF(INDEX(選手一覧!$H$7:$H$2738,$F793)="","",INDEX(選手一覧!$H$7:$H$2738,$F793))</f>
        <v/>
      </c>
      <c r="J793" s="12" t="str">
        <f aca="false">IF(INDEX(選手一覧!$I$7:$I$2738,$F793)="","",INDEX(選手一覧!$I$7:$I$2738,$F793))</f>
        <v/>
      </c>
    </row>
    <row r="794" customFormat="false" ht="15" hidden="false" customHeight="false" outlineLevel="0" collapsed="false">
      <c r="A794" s="12" t="n">
        <v>790</v>
      </c>
      <c r="B794" s="10" t="s">
        <v>2385</v>
      </c>
      <c r="C794" s="10" t="s">
        <v>2386</v>
      </c>
      <c r="D794" s="11" t="n">
        <v>0.00741724537037037</v>
      </c>
      <c r="E794" s="18" t="n">
        <f aca="false">ROUND((D794-$D$5)*86400,2)</f>
        <v>101.83</v>
      </c>
      <c r="F794" s="12" t="n">
        <v>1657</v>
      </c>
      <c r="G794" s="11" t="str">
        <f aca="false">IF(INDEX(選手一覧!$D$7:$D$2738,$F794)="","",INDEX(選手一覧!$D$7:$D$2738,$F794))</f>
        <v/>
      </c>
      <c r="H794" s="12" t="str">
        <f aca="false">IF(INDEX(選手一覧!$E$7:$E$2738,$F794)="","",INDEX(選手一覧!$E$7:$E$2738,$F794))</f>
        <v/>
      </c>
      <c r="I794" s="11" t="str">
        <f aca="false">IF(INDEX(選手一覧!$H$7:$H$2738,$F794)="","",INDEX(選手一覧!$H$7:$H$2738,$F794))</f>
        <v/>
      </c>
      <c r="J794" s="12" t="str">
        <f aca="false">IF(INDEX(選手一覧!$I$7:$I$2738,$F794)="","",INDEX(選手一覧!$I$7:$I$2738,$F794))</f>
        <v/>
      </c>
    </row>
    <row r="795" customFormat="false" ht="15" hidden="false" customHeight="false" outlineLevel="0" collapsed="false">
      <c r="A795" s="12" t="n">
        <v>791</v>
      </c>
      <c r="B795" s="10" t="s">
        <v>2388</v>
      </c>
      <c r="C795" s="10" t="s">
        <v>494</v>
      </c>
      <c r="D795" s="11" t="n">
        <v>0.00741736111111111</v>
      </c>
      <c r="E795" s="18" t="n">
        <f aca="false">ROUND((D795-$D$5)*86400,2)</f>
        <v>101.84</v>
      </c>
      <c r="F795" s="12" t="n">
        <v>1659</v>
      </c>
      <c r="G795" s="11" t="str">
        <f aca="false">IF(INDEX(選手一覧!$D$7:$D$2738,$F795)="","",INDEX(選手一覧!$D$7:$D$2738,$F795))</f>
        <v/>
      </c>
      <c r="H795" s="12" t="str">
        <f aca="false">IF(INDEX(選手一覧!$E$7:$E$2738,$F795)="","",INDEX(選手一覧!$E$7:$E$2738,$F795))</f>
        <v/>
      </c>
      <c r="I795" s="11" t="str">
        <f aca="false">IF(INDEX(選手一覧!$H$7:$H$2738,$F795)="","",INDEX(選手一覧!$H$7:$H$2738,$F795))</f>
        <v/>
      </c>
      <c r="J795" s="12" t="str">
        <f aca="false">IF(INDEX(選手一覧!$I$7:$I$2738,$F795)="","",INDEX(選手一覧!$I$7:$I$2738,$F795))</f>
        <v/>
      </c>
    </row>
    <row r="796" customFormat="false" ht="15" hidden="false" customHeight="false" outlineLevel="0" collapsed="false">
      <c r="A796" s="12" t="n">
        <v>792</v>
      </c>
      <c r="B796" s="10" t="s">
        <v>2389</v>
      </c>
      <c r="C796" s="10" t="s">
        <v>1878</v>
      </c>
      <c r="D796" s="11" t="n">
        <v>0.00741747685185185</v>
      </c>
      <c r="E796" s="18" t="n">
        <f aca="false">ROUND((D796-$D$5)*86400,2)</f>
        <v>101.85</v>
      </c>
      <c r="F796" s="12" t="n">
        <v>1660</v>
      </c>
      <c r="G796" s="11" t="str">
        <f aca="false">IF(INDEX(選手一覧!$D$7:$D$2738,$F796)="","",INDEX(選手一覧!$D$7:$D$2738,$F796))</f>
        <v/>
      </c>
      <c r="H796" s="12" t="str">
        <f aca="false">IF(INDEX(選手一覧!$E$7:$E$2738,$F796)="","",INDEX(選手一覧!$E$7:$E$2738,$F796))</f>
        <v/>
      </c>
      <c r="I796" s="11" t="str">
        <f aca="false">IF(INDEX(選手一覧!$H$7:$H$2738,$F796)="","",INDEX(選手一覧!$H$7:$H$2738,$F796))</f>
        <v/>
      </c>
      <c r="J796" s="12" t="str">
        <f aca="false">IF(INDEX(選手一覧!$I$7:$I$2738,$F796)="","",INDEX(選手一覧!$I$7:$I$2738,$F796))</f>
        <v/>
      </c>
    </row>
    <row r="797" customFormat="false" ht="15" hidden="false" customHeight="false" outlineLevel="0" collapsed="false">
      <c r="A797" s="12" t="n">
        <v>793</v>
      </c>
      <c r="B797" s="10" t="s">
        <v>2392</v>
      </c>
      <c r="C797" s="10" t="s">
        <v>2393</v>
      </c>
      <c r="D797" s="11" t="n">
        <v>0.00741886574074074</v>
      </c>
      <c r="E797" s="18" t="n">
        <f aca="false">ROUND((D797-$D$5)*86400,2)</f>
        <v>101.97</v>
      </c>
      <c r="F797" s="12" t="n">
        <v>1663</v>
      </c>
      <c r="G797" s="11" t="str">
        <f aca="false">IF(INDEX(選手一覧!$D$7:$D$2738,$F797)="","",INDEX(選手一覧!$D$7:$D$2738,$F797))</f>
        <v/>
      </c>
      <c r="H797" s="12" t="str">
        <f aca="false">IF(INDEX(選手一覧!$E$7:$E$2738,$F797)="","",INDEX(選手一覧!$E$7:$E$2738,$F797))</f>
        <v/>
      </c>
      <c r="I797" s="11" t="str">
        <f aca="false">IF(INDEX(選手一覧!$H$7:$H$2738,$F797)="","",INDEX(選手一覧!$H$7:$H$2738,$F797))</f>
        <v/>
      </c>
      <c r="J797" s="12" t="str">
        <f aca="false">IF(INDEX(選手一覧!$I$7:$I$2738,$F797)="","",INDEX(選手一覧!$I$7:$I$2738,$F797))</f>
        <v/>
      </c>
    </row>
    <row r="798" customFormat="false" ht="15" hidden="false" customHeight="false" outlineLevel="0" collapsed="false">
      <c r="A798" s="12" t="n">
        <v>794</v>
      </c>
      <c r="B798" s="10" t="s">
        <v>2394</v>
      </c>
      <c r="C798" s="10" t="s">
        <v>2395</v>
      </c>
      <c r="D798" s="11" t="n">
        <v>0.00742025462962963</v>
      </c>
      <c r="E798" s="18" t="n">
        <f aca="false">ROUND((D798-$D$5)*86400,2)</f>
        <v>102.09</v>
      </c>
      <c r="F798" s="12" t="n">
        <v>1664</v>
      </c>
      <c r="G798" s="11" t="str">
        <f aca="false">IF(INDEX(選手一覧!$D$7:$D$2738,$F798)="","",INDEX(選手一覧!$D$7:$D$2738,$F798))</f>
        <v/>
      </c>
      <c r="H798" s="12" t="str">
        <f aca="false">IF(INDEX(選手一覧!$E$7:$E$2738,$F798)="","",INDEX(選手一覧!$E$7:$E$2738,$F798))</f>
        <v/>
      </c>
      <c r="I798" s="11" t="str">
        <f aca="false">IF(INDEX(選手一覧!$H$7:$H$2738,$F798)="","",INDEX(選手一覧!$H$7:$H$2738,$F798))</f>
        <v/>
      </c>
      <c r="J798" s="12" t="str">
        <f aca="false">IF(INDEX(選手一覧!$I$7:$I$2738,$F798)="","",INDEX(選手一覧!$I$7:$I$2738,$F798))</f>
        <v/>
      </c>
    </row>
    <row r="799" customFormat="false" ht="15" hidden="false" customHeight="false" outlineLevel="0" collapsed="false">
      <c r="A799" s="12" t="n">
        <v>795</v>
      </c>
      <c r="B799" s="10" t="s">
        <v>1374</v>
      </c>
      <c r="C799" s="10" t="s">
        <v>445</v>
      </c>
      <c r="D799" s="11" t="n">
        <v>0.00742060185185185</v>
      </c>
      <c r="E799" s="18" t="n">
        <f aca="false">ROUND((D799-$D$5)*86400,2)</f>
        <v>102.12</v>
      </c>
      <c r="F799" s="12" t="n">
        <v>934</v>
      </c>
      <c r="G799" s="11" t="n">
        <f aca="false">IF(INDEX(選手一覧!$D$7:$D$2738,$F799)="","",INDEX(選手一覧!$D$7:$D$2738,$F799))</f>
        <v>0.0105646990740741</v>
      </c>
      <c r="H799" s="12" t="n">
        <f aca="false">IF(INDEX(選手一覧!$E$7:$E$2738,$F799)="","",INDEX(選手一覧!$E$7:$E$2738,$F799))</f>
        <v>418</v>
      </c>
      <c r="I799" s="11" t="str">
        <f aca="false">IF(INDEX(選手一覧!$H$7:$H$2738,$F799)="","",INDEX(選手一覧!$H$7:$H$2738,$F799))</f>
        <v/>
      </c>
      <c r="J799" s="12" t="str">
        <f aca="false">IF(INDEX(選手一覧!$I$7:$I$2738,$F799)="","",INDEX(選手一覧!$I$7:$I$2738,$F799))</f>
        <v/>
      </c>
    </row>
    <row r="800" customFormat="false" ht="15" hidden="false" customHeight="false" outlineLevel="0" collapsed="false">
      <c r="A800" s="12" t="n">
        <v>796</v>
      </c>
      <c r="B800" s="10" t="s">
        <v>2397</v>
      </c>
      <c r="C800" s="10" t="s">
        <v>2398</v>
      </c>
      <c r="D800" s="11" t="n">
        <v>0.00742118055555556</v>
      </c>
      <c r="E800" s="18" t="n">
        <f aca="false">ROUND((D800-$D$5)*86400,2)</f>
        <v>102.17</v>
      </c>
      <c r="F800" s="12" t="n">
        <v>1666</v>
      </c>
      <c r="G800" s="11" t="str">
        <f aca="false">IF(INDEX(選手一覧!$D$7:$D$2738,$F800)="","",INDEX(選手一覧!$D$7:$D$2738,$F800))</f>
        <v/>
      </c>
      <c r="H800" s="12" t="str">
        <f aca="false">IF(INDEX(選手一覧!$E$7:$E$2738,$F800)="","",INDEX(選手一覧!$E$7:$E$2738,$F800))</f>
        <v/>
      </c>
      <c r="I800" s="11" t="str">
        <f aca="false">IF(INDEX(選手一覧!$H$7:$H$2738,$F800)="","",INDEX(選手一覧!$H$7:$H$2738,$F800))</f>
        <v/>
      </c>
      <c r="J800" s="12" t="str">
        <f aca="false">IF(INDEX(選手一覧!$I$7:$I$2738,$F800)="","",INDEX(選手一覧!$I$7:$I$2738,$F800))</f>
        <v/>
      </c>
    </row>
    <row r="801" customFormat="false" ht="15" hidden="false" customHeight="false" outlineLevel="0" collapsed="false">
      <c r="A801" s="12" t="n">
        <v>797</v>
      </c>
      <c r="B801" s="10" t="s">
        <v>2400</v>
      </c>
      <c r="C801" s="10" t="s">
        <v>1166</v>
      </c>
      <c r="D801" s="11" t="n">
        <v>0.00742210648148148</v>
      </c>
      <c r="E801" s="18" t="n">
        <f aca="false">ROUND((D801-$D$5)*86400,2)</f>
        <v>102.25</v>
      </c>
      <c r="F801" s="12" t="n">
        <v>1668</v>
      </c>
      <c r="G801" s="11" t="n">
        <f aca="false">IF(INDEX(選手一覧!$D$7:$D$2738,$F801)="","",INDEX(選手一覧!$D$7:$D$2738,$F801))</f>
        <v>0.0108391203703704</v>
      </c>
      <c r="H801" s="12" t="n">
        <f aca="false">IF(INDEX(選手一覧!$E$7:$E$2738,$F801)="","",INDEX(選手一覧!$E$7:$E$2738,$F801))</f>
        <v>813</v>
      </c>
      <c r="I801" s="11" t="str">
        <f aca="false">IF(INDEX(選手一覧!$H$7:$H$2738,$F801)="","",INDEX(選手一覧!$H$7:$H$2738,$F801))</f>
        <v/>
      </c>
      <c r="J801" s="12" t="str">
        <f aca="false">IF(INDEX(選手一覧!$I$7:$I$2738,$F801)="","",INDEX(選手一覧!$I$7:$I$2738,$F801))</f>
        <v/>
      </c>
    </row>
    <row r="802" customFormat="false" ht="15" hidden="false" customHeight="false" outlineLevel="0" collapsed="false">
      <c r="A802" s="12" t="n">
        <v>798</v>
      </c>
      <c r="B802" s="10" t="s">
        <v>2404</v>
      </c>
      <c r="C802" s="10" t="s">
        <v>795</v>
      </c>
      <c r="D802" s="11" t="n">
        <v>0.00742372685185185</v>
      </c>
      <c r="E802" s="18" t="n">
        <f aca="false">ROUND((D802-$D$5)*86400,2)</f>
        <v>102.39</v>
      </c>
      <c r="F802" s="12" t="n">
        <v>1671</v>
      </c>
      <c r="G802" s="11" t="str">
        <f aca="false">IF(INDEX(選手一覧!$D$7:$D$2738,$F802)="","",INDEX(選手一覧!$D$7:$D$2738,$F802))</f>
        <v/>
      </c>
      <c r="H802" s="12" t="str">
        <f aca="false">IF(INDEX(選手一覧!$E$7:$E$2738,$F802)="","",INDEX(選手一覧!$E$7:$E$2738,$F802))</f>
        <v/>
      </c>
      <c r="I802" s="11" t="str">
        <f aca="false">IF(INDEX(選手一覧!$H$7:$H$2738,$F802)="","",INDEX(選手一覧!$H$7:$H$2738,$F802))</f>
        <v/>
      </c>
      <c r="J802" s="12" t="str">
        <f aca="false">IF(INDEX(選手一覧!$I$7:$I$2738,$F802)="","",INDEX(選手一覧!$I$7:$I$2738,$F802))</f>
        <v/>
      </c>
    </row>
    <row r="803" customFormat="false" ht="15" hidden="false" customHeight="false" outlineLevel="0" collapsed="false">
      <c r="A803" s="12" t="n">
        <v>799</v>
      </c>
      <c r="B803" s="10" t="s">
        <v>2406</v>
      </c>
      <c r="C803" s="10" t="s">
        <v>992</v>
      </c>
      <c r="D803" s="11" t="n">
        <v>0.0074244212962963</v>
      </c>
      <c r="E803" s="18" t="n">
        <f aca="false">ROUND((D803-$D$5)*86400,2)</f>
        <v>102.45</v>
      </c>
      <c r="F803" s="12" t="n">
        <v>1673</v>
      </c>
      <c r="G803" s="11" t="str">
        <f aca="false">IF(INDEX(選手一覧!$D$7:$D$2738,$F803)="","",INDEX(選手一覧!$D$7:$D$2738,$F803))</f>
        <v/>
      </c>
      <c r="H803" s="12" t="str">
        <f aca="false">IF(INDEX(選手一覧!$E$7:$E$2738,$F803)="","",INDEX(選手一覧!$E$7:$E$2738,$F803))</f>
        <v/>
      </c>
      <c r="I803" s="11" t="str">
        <f aca="false">IF(INDEX(選手一覧!$H$7:$H$2738,$F803)="","",INDEX(選手一覧!$H$7:$H$2738,$F803))</f>
        <v/>
      </c>
      <c r="J803" s="12" t="str">
        <f aca="false">IF(INDEX(選手一覧!$I$7:$I$2738,$F803)="","",INDEX(選手一覧!$I$7:$I$2738,$F803))</f>
        <v/>
      </c>
    </row>
    <row r="804" customFormat="false" ht="15" hidden="false" customHeight="false" outlineLevel="0" collapsed="false">
      <c r="A804" s="12" t="n">
        <v>800</v>
      </c>
      <c r="B804" s="10" t="s">
        <v>2408</v>
      </c>
      <c r="C804" s="10" t="s">
        <v>2409</v>
      </c>
      <c r="D804" s="11" t="n">
        <v>0.00742638888888889</v>
      </c>
      <c r="E804" s="18" t="n">
        <f aca="false">ROUND((D804-$D$5)*86400,2)</f>
        <v>102.62</v>
      </c>
      <c r="F804" s="12" t="n">
        <v>1675</v>
      </c>
      <c r="G804" s="11" t="str">
        <f aca="false">IF(INDEX(選手一覧!$D$7:$D$2738,$F804)="","",INDEX(選手一覧!$D$7:$D$2738,$F804))</f>
        <v/>
      </c>
      <c r="H804" s="12" t="str">
        <f aca="false">IF(INDEX(選手一覧!$E$7:$E$2738,$F804)="","",INDEX(選手一覧!$E$7:$E$2738,$F804))</f>
        <v/>
      </c>
      <c r="I804" s="11" t="str">
        <f aca="false">IF(INDEX(選手一覧!$H$7:$H$2738,$F804)="","",INDEX(選手一覧!$H$7:$H$2738,$F804))</f>
        <v/>
      </c>
      <c r="J804" s="12" t="str">
        <f aca="false">IF(INDEX(選手一覧!$I$7:$I$2738,$F804)="","",INDEX(選手一覧!$I$7:$I$2738,$F804))</f>
        <v/>
      </c>
    </row>
    <row r="805" customFormat="false" ht="15" hidden="false" customHeight="false" outlineLevel="0" collapsed="false">
      <c r="A805" s="12" t="n">
        <v>801</v>
      </c>
      <c r="B805" s="10" t="s">
        <v>2413</v>
      </c>
      <c r="C805" s="10" t="s">
        <v>2414</v>
      </c>
      <c r="D805" s="11" t="n">
        <v>0.00742743055555556</v>
      </c>
      <c r="E805" s="18" t="n">
        <f aca="false">ROUND((D805-$D$5)*86400,2)</f>
        <v>102.71</v>
      </c>
      <c r="F805" s="12" t="n">
        <v>1679</v>
      </c>
      <c r="G805" s="11" t="str">
        <f aca="false">IF(INDEX(選手一覧!$D$7:$D$2738,$F805)="","",INDEX(選手一覧!$D$7:$D$2738,$F805))</f>
        <v/>
      </c>
      <c r="H805" s="12" t="str">
        <f aca="false">IF(INDEX(選手一覧!$E$7:$E$2738,$F805)="","",INDEX(選手一覧!$E$7:$E$2738,$F805))</f>
        <v/>
      </c>
      <c r="I805" s="11" t="str">
        <f aca="false">IF(INDEX(選手一覧!$H$7:$H$2738,$F805)="","",INDEX(選手一覧!$H$7:$H$2738,$F805))</f>
        <v/>
      </c>
      <c r="J805" s="12" t="str">
        <f aca="false">IF(INDEX(選手一覧!$I$7:$I$2738,$F805)="","",INDEX(選手一覧!$I$7:$I$2738,$F805))</f>
        <v/>
      </c>
    </row>
    <row r="806" customFormat="false" ht="15" hidden="false" customHeight="false" outlineLevel="0" collapsed="false">
      <c r="A806" s="12" t="n">
        <v>802</v>
      </c>
      <c r="B806" s="10" t="s">
        <v>2416</v>
      </c>
      <c r="C806" s="10" t="s">
        <v>162</v>
      </c>
      <c r="D806" s="11" t="n">
        <v>0.00742905092592593</v>
      </c>
      <c r="E806" s="18" t="n">
        <f aca="false">ROUND((D806-$D$5)*86400,2)</f>
        <v>102.85</v>
      </c>
      <c r="F806" s="12" t="n">
        <v>1681</v>
      </c>
      <c r="G806" s="11" t="str">
        <f aca="false">IF(INDEX(選手一覧!$D$7:$D$2738,$F806)="","",INDEX(選手一覧!$D$7:$D$2738,$F806))</f>
        <v/>
      </c>
      <c r="H806" s="12" t="str">
        <f aca="false">IF(INDEX(選手一覧!$E$7:$E$2738,$F806)="","",INDEX(選手一覧!$E$7:$E$2738,$F806))</f>
        <v/>
      </c>
      <c r="I806" s="11" t="str">
        <f aca="false">IF(INDEX(選手一覧!$H$7:$H$2738,$F806)="","",INDEX(選手一覧!$H$7:$H$2738,$F806))</f>
        <v/>
      </c>
      <c r="J806" s="12" t="str">
        <f aca="false">IF(INDEX(選手一覧!$I$7:$I$2738,$F806)="","",INDEX(選手一覧!$I$7:$I$2738,$F806))</f>
        <v/>
      </c>
    </row>
    <row r="807" customFormat="false" ht="15" hidden="false" customHeight="false" outlineLevel="0" collapsed="false">
      <c r="A807" s="12" t="n">
        <v>803</v>
      </c>
      <c r="B807" s="10" t="s">
        <v>2417</v>
      </c>
      <c r="C807" s="10" t="s">
        <v>2418</v>
      </c>
      <c r="D807" s="11" t="n">
        <v>0.00742916666666667</v>
      </c>
      <c r="E807" s="18" t="n">
        <f aca="false">ROUND((D807-$D$5)*86400,2)</f>
        <v>102.86</v>
      </c>
      <c r="F807" s="12" t="n">
        <v>1682</v>
      </c>
      <c r="G807" s="11" t="str">
        <f aca="false">IF(INDEX(選手一覧!$D$7:$D$2738,$F807)="","",INDEX(選手一覧!$D$7:$D$2738,$F807))</f>
        <v/>
      </c>
      <c r="H807" s="12" t="str">
        <f aca="false">IF(INDEX(選手一覧!$E$7:$E$2738,$F807)="","",INDEX(選手一覧!$E$7:$E$2738,$F807))</f>
        <v/>
      </c>
      <c r="I807" s="11" t="str">
        <f aca="false">IF(INDEX(選手一覧!$H$7:$H$2738,$F807)="","",INDEX(選手一覧!$H$7:$H$2738,$F807))</f>
        <v/>
      </c>
      <c r="J807" s="12" t="str">
        <f aca="false">IF(INDEX(選手一覧!$I$7:$I$2738,$F807)="","",INDEX(選手一覧!$I$7:$I$2738,$F807))</f>
        <v/>
      </c>
    </row>
    <row r="808" customFormat="false" ht="15" hidden="false" customHeight="false" outlineLevel="0" collapsed="false">
      <c r="A808" s="12" t="n">
        <v>804</v>
      </c>
      <c r="B808" s="10" t="s">
        <v>2419</v>
      </c>
      <c r="C808" s="10" t="s">
        <v>195</v>
      </c>
      <c r="D808" s="11" t="n">
        <v>0.00742951388888889</v>
      </c>
      <c r="E808" s="18" t="n">
        <f aca="false">ROUND((D808-$D$5)*86400,2)</f>
        <v>102.89</v>
      </c>
      <c r="F808" s="12" t="n">
        <v>1683</v>
      </c>
      <c r="G808" s="11" t="n">
        <f aca="false">IF(INDEX(選手一覧!$D$7:$D$2738,$F808)="","",INDEX(選手一覧!$D$7:$D$2738,$F808))</f>
        <v>0.0110979166666667</v>
      </c>
      <c r="H808" s="12" t="n">
        <f aca="false">IF(INDEX(選手一覧!$E$7:$E$2738,$F808)="","",INDEX(選手一覧!$E$7:$E$2738,$F808))</f>
        <v>1268</v>
      </c>
      <c r="I808" s="11" t="n">
        <f aca="false">IF(INDEX(選手一覧!$H$7:$H$2738,$F808)="","",INDEX(選手一覧!$H$7:$H$2738,$F808))</f>
        <v>0.00291412037037037</v>
      </c>
      <c r="J808" s="12" t="n">
        <f aca="false">IF(INDEX(選手一覧!$I$7:$I$2738,$F808)="","",INDEX(選手一覧!$I$7:$I$2738,$F808))</f>
        <v>1051</v>
      </c>
    </row>
    <row r="809" customFormat="false" ht="15" hidden="false" customHeight="false" outlineLevel="0" collapsed="false">
      <c r="A809" s="12" t="n">
        <v>805</v>
      </c>
      <c r="B809" s="10" t="s">
        <v>2088</v>
      </c>
      <c r="C809" s="10" t="s">
        <v>494</v>
      </c>
      <c r="D809" s="11" t="n">
        <v>0.00743009259259259</v>
      </c>
      <c r="E809" s="18" t="n">
        <f aca="false">ROUND((D809-$D$5)*86400,2)</f>
        <v>102.94</v>
      </c>
      <c r="F809" s="12" t="n">
        <v>1443</v>
      </c>
      <c r="G809" s="11" t="n">
        <f aca="false">IF(INDEX(選手一覧!$D$7:$D$2738,$F809)="","",INDEX(選手一覧!$D$7:$D$2738,$F809))</f>
        <v>0.0109579861111111</v>
      </c>
      <c r="H809" s="12" t="n">
        <f aca="false">IF(INDEX(選手一覧!$E$7:$E$2738,$F809)="","",INDEX(選手一覧!$E$7:$E$2738,$F809))</f>
        <v>1019</v>
      </c>
      <c r="I809" s="11" t="n">
        <f aca="false">IF(INDEX(選手一覧!$H$7:$H$2738,$F809)="","",INDEX(選手一覧!$H$7:$H$2738,$F809))</f>
        <v>0.0028681712962963</v>
      </c>
      <c r="J809" s="12" t="n">
        <f aca="false">IF(INDEX(選手一覧!$I$7:$I$2738,$F809)="","",INDEX(選手一覧!$I$7:$I$2738,$F809))</f>
        <v>682</v>
      </c>
    </row>
    <row r="810" customFormat="false" ht="15" hidden="false" customHeight="false" outlineLevel="0" collapsed="false">
      <c r="A810" s="12" t="n">
        <v>806</v>
      </c>
      <c r="B810" s="10" t="s">
        <v>2422</v>
      </c>
      <c r="C810" s="10" t="s">
        <v>1618</v>
      </c>
      <c r="D810" s="11" t="n">
        <v>0.00743032407407407</v>
      </c>
      <c r="E810" s="18" t="n">
        <f aca="false">ROUND((D810-$D$5)*86400,2)</f>
        <v>102.96</v>
      </c>
      <c r="F810" s="12" t="n">
        <v>1686</v>
      </c>
      <c r="G810" s="11" t="str">
        <f aca="false">IF(INDEX(選手一覧!$D$7:$D$2738,$F810)="","",INDEX(選手一覧!$D$7:$D$2738,$F810))</f>
        <v/>
      </c>
      <c r="H810" s="12" t="str">
        <f aca="false">IF(INDEX(選手一覧!$E$7:$E$2738,$F810)="","",INDEX(選手一覧!$E$7:$E$2738,$F810))</f>
        <v/>
      </c>
      <c r="I810" s="11" t="str">
        <f aca="false">IF(INDEX(選手一覧!$H$7:$H$2738,$F810)="","",INDEX(選手一覧!$H$7:$H$2738,$F810))</f>
        <v/>
      </c>
      <c r="J810" s="12" t="str">
        <f aca="false">IF(INDEX(選手一覧!$I$7:$I$2738,$F810)="","",INDEX(選手一覧!$I$7:$I$2738,$F810))</f>
        <v/>
      </c>
    </row>
    <row r="811" customFormat="false" ht="15" hidden="false" customHeight="false" outlineLevel="0" collapsed="false">
      <c r="A811" s="12" t="n">
        <v>807</v>
      </c>
      <c r="B811" s="10" t="s">
        <v>2426</v>
      </c>
      <c r="C811" s="10" t="s">
        <v>2427</v>
      </c>
      <c r="D811" s="11" t="n">
        <v>0.00743148148148148</v>
      </c>
      <c r="E811" s="18" t="n">
        <f aca="false">ROUND((D811-$D$5)*86400,2)</f>
        <v>103.06</v>
      </c>
      <c r="F811" s="12" t="n">
        <v>1689</v>
      </c>
      <c r="G811" s="11" t="str">
        <f aca="false">IF(INDEX(選手一覧!$D$7:$D$2738,$F811)="","",INDEX(選手一覧!$D$7:$D$2738,$F811))</f>
        <v/>
      </c>
      <c r="H811" s="12" t="str">
        <f aca="false">IF(INDEX(選手一覧!$E$7:$E$2738,$F811)="","",INDEX(選手一覧!$E$7:$E$2738,$F811))</f>
        <v/>
      </c>
      <c r="I811" s="11" t="str">
        <f aca="false">IF(INDEX(選手一覧!$H$7:$H$2738,$F811)="","",INDEX(選手一覧!$H$7:$H$2738,$F811))</f>
        <v/>
      </c>
      <c r="J811" s="12" t="str">
        <f aca="false">IF(INDEX(選手一覧!$I$7:$I$2738,$F811)="","",INDEX(選手一覧!$I$7:$I$2738,$F811))</f>
        <v/>
      </c>
    </row>
    <row r="812" customFormat="false" ht="15" hidden="false" customHeight="false" outlineLevel="0" collapsed="false">
      <c r="A812" s="12" t="n">
        <v>808</v>
      </c>
      <c r="B812" s="10" t="s">
        <v>2429</v>
      </c>
      <c r="C812" s="10" t="s">
        <v>2430</v>
      </c>
      <c r="D812" s="11" t="n">
        <v>0.00743240740740741</v>
      </c>
      <c r="E812" s="18" t="n">
        <f aca="false">ROUND((D812-$D$5)*86400,2)</f>
        <v>103.14</v>
      </c>
      <c r="F812" s="12" t="n">
        <v>1691</v>
      </c>
      <c r="G812" s="11" t="str">
        <f aca="false">IF(INDEX(選手一覧!$D$7:$D$2738,$F812)="","",INDEX(選手一覧!$D$7:$D$2738,$F812))</f>
        <v/>
      </c>
      <c r="H812" s="12" t="str">
        <f aca="false">IF(INDEX(選手一覧!$E$7:$E$2738,$F812)="","",INDEX(選手一覧!$E$7:$E$2738,$F812))</f>
        <v/>
      </c>
      <c r="I812" s="11" t="str">
        <f aca="false">IF(INDEX(選手一覧!$H$7:$H$2738,$F812)="","",INDEX(選手一覧!$H$7:$H$2738,$F812))</f>
        <v/>
      </c>
      <c r="J812" s="12" t="str">
        <f aca="false">IF(INDEX(選手一覧!$I$7:$I$2738,$F812)="","",INDEX(選手一覧!$I$7:$I$2738,$F812))</f>
        <v/>
      </c>
    </row>
    <row r="813" customFormat="false" ht="15" hidden="false" customHeight="false" outlineLevel="0" collapsed="false">
      <c r="A813" s="12" t="n">
        <v>809</v>
      </c>
      <c r="B813" s="10" t="s">
        <v>2433</v>
      </c>
      <c r="C813" s="10" t="s">
        <v>2434</v>
      </c>
      <c r="D813" s="11" t="n">
        <v>0.00743252314814815</v>
      </c>
      <c r="E813" s="18" t="n">
        <f aca="false">ROUND((D813-$D$5)*86400,2)</f>
        <v>103.15</v>
      </c>
      <c r="F813" s="12" t="n">
        <v>1694</v>
      </c>
      <c r="G813" s="11" t="str">
        <f aca="false">IF(INDEX(選手一覧!$D$7:$D$2738,$F813)="","",INDEX(選手一覧!$D$7:$D$2738,$F813))</f>
        <v/>
      </c>
      <c r="H813" s="12" t="str">
        <f aca="false">IF(INDEX(選手一覧!$E$7:$E$2738,$F813)="","",INDEX(選手一覧!$E$7:$E$2738,$F813))</f>
        <v/>
      </c>
      <c r="I813" s="11" t="str">
        <f aca="false">IF(INDEX(選手一覧!$H$7:$H$2738,$F813)="","",INDEX(選手一覧!$H$7:$H$2738,$F813))</f>
        <v/>
      </c>
      <c r="J813" s="12" t="str">
        <f aca="false">IF(INDEX(選手一覧!$I$7:$I$2738,$F813)="","",INDEX(選手一覧!$I$7:$I$2738,$F813))</f>
        <v/>
      </c>
    </row>
    <row r="814" customFormat="false" ht="15" hidden="false" customHeight="false" outlineLevel="0" collapsed="false">
      <c r="A814" s="12" t="n">
        <v>810</v>
      </c>
      <c r="B814" s="10" t="s">
        <v>2435</v>
      </c>
      <c r="C814" s="10" t="s">
        <v>2436</v>
      </c>
      <c r="D814" s="11" t="n">
        <v>0.00743310185185185</v>
      </c>
      <c r="E814" s="18" t="n">
        <f aca="false">ROUND((D814-$D$5)*86400,2)</f>
        <v>103.2</v>
      </c>
      <c r="F814" s="12" t="n">
        <v>1695</v>
      </c>
      <c r="G814" s="11" t="str">
        <f aca="false">IF(INDEX(選手一覧!$D$7:$D$2738,$F814)="","",INDEX(選手一覧!$D$7:$D$2738,$F814))</f>
        <v/>
      </c>
      <c r="H814" s="12" t="str">
        <f aca="false">IF(INDEX(選手一覧!$E$7:$E$2738,$F814)="","",INDEX(選手一覧!$E$7:$E$2738,$F814))</f>
        <v/>
      </c>
      <c r="I814" s="11" t="str">
        <f aca="false">IF(INDEX(選手一覧!$H$7:$H$2738,$F814)="","",INDEX(選手一覧!$H$7:$H$2738,$F814))</f>
        <v/>
      </c>
      <c r="J814" s="12" t="str">
        <f aca="false">IF(INDEX(選手一覧!$I$7:$I$2738,$F814)="","",INDEX(選手一覧!$I$7:$I$2738,$F814))</f>
        <v/>
      </c>
    </row>
    <row r="815" customFormat="false" ht="15" hidden="false" customHeight="false" outlineLevel="0" collapsed="false">
      <c r="A815" s="12" t="n">
        <v>811</v>
      </c>
      <c r="B815" s="10" t="s">
        <v>2437</v>
      </c>
      <c r="C815" s="10" t="s">
        <v>2438</v>
      </c>
      <c r="D815" s="11" t="n">
        <v>0.00743321759259259</v>
      </c>
      <c r="E815" s="18" t="n">
        <f aca="false">ROUND((D815-$D$5)*86400,2)</f>
        <v>103.21</v>
      </c>
      <c r="F815" s="12" t="n">
        <v>1696</v>
      </c>
      <c r="G815" s="11" t="str">
        <f aca="false">IF(INDEX(選手一覧!$D$7:$D$2738,$F815)="","",INDEX(選手一覧!$D$7:$D$2738,$F815))</f>
        <v/>
      </c>
      <c r="H815" s="12" t="str">
        <f aca="false">IF(INDEX(選手一覧!$E$7:$E$2738,$F815)="","",INDEX(選手一覧!$E$7:$E$2738,$F815))</f>
        <v/>
      </c>
      <c r="I815" s="11" t="str">
        <f aca="false">IF(INDEX(選手一覧!$H$7:$H$2738,$F815)="","",INDEX(選手一覧!$H$7:$H$2738,$F815))</f>
        <v/>
      </c>
      <c r="J815" s="12" t="str">
        <f aca="false">IF(INDEX(選手一覧!$I$7:$I$2738,$F815)="","",INDEX(選手一覧!$I$7:$I$2738,$F815))</f>
        <v/>
      </c>
    </row>
    <row r="816" customFormat="false" ht="15" hidden="false" customHeight="false" outlineLevel="0" collapsed="false">
      <c r="A816" s="12" t="n">
        <v>812</v>
      </c>
      <c r="B816" s="10" t="s">
        <v>2439</v>
      </c>
      <c r="C816" s="10" t="s">
        <v>2097</v>
      </c>
      <c r="D816" s="11" t="n">
        <v>0.00743333333333333</v>
      </c>
      <c r="E816" s="18" t="n">
        <f aca="false">ROUND((D816-$D$5)*86400,2)</f>
        <v>103.22</v>
      </c>
      <c r="F816" s="12" t="n">
        <v>1697</v>
      </c>
      <c r="G816" s="11" t="str">
        <f aca="false">IF(INDEX(選手一覧!$D$7:$D$2738,$F816)="","",INDEX(選手一覧!$D$7:$D$2738,$F816))</f>
        <v/>
      </c>
      <c r="H816" s="12" t="str">
        <f aca="false">IF(INDEX(選手一覧!$E$7:$E$2738,$F816)="","",INDEX(選手一覧!$E$7:$E$2738,$F816))</f>
        <v/>
      </c>
      <c r="I816" s="11" t="str">
        <f aca="false">IF(INDEX(選手一覧!$H$7:$H$2738,$F816)="","",INDEX(選手一覧!$H$7:$H$2738,$F816))</f>
        <v/>
      </c>
      <c r="J816" s="12" t="str">
        <f aca="false">IF(INDEX(選手一覧!$I$7:$I$2738,$F816)="","",INDEX(選手一覧!$I$7:$I$2738,$F816))</f>
        <v/>
      </c>
    </row>
    <row r="817" customFormat="false" ht="15" hidden="false" customHeight="false" outlineLevel="0" collapsed="false">
      <c r="A817" s="12" t="n">
        <v>813</v>
      </c>
      <c r="B817" s="10" t="s">
        <v>2443</v>
      </c>
      <c r="C817" s="10" t="s">
        <v>590</v>
      </c>
      <c r="D817" s="11" t="n">
        <v>0.00743541666666667</v>
      </c>
      <c r="E817" s="18" t="n">
        <f aca="false">ROUND((D817-$D$5)*86400,2)</f>
        <v>103.4</v>
      </c>
      <c r="F817" s="12" t="n">
        <v>1700</v>
      </c>
      <c r="G817" s="11" t="str">
        <f aca="false">IF(INDEX(選手一覧!$D$7:$D$2738,$F817)="","",INDEX(選手一覧!$D$7:$D$2738,$F817))</f>
        <v/>
      </c>
      <c r="H817" s="12" t="str">
        <f aca="false">IF(INDEX(選手一覧!$E$7:$E$2738,$F817)="","",INDEX(選手一覧!$E$7:$E$2738,$F817))</f>
        <v/>
      </c>
      <c r="I817" s="11" t="str">
        <f aca="false">IF(INDEX(選手一覧!$H$7:$H$2738,$F817)="","",INDEX(選手一覧!$H$7:$H$2738,$F817))</f>
        <v/>
      </c>
      <c r="J817" s="12" t="str">
        <f aca="false">IF(INDEX(選手一覧!$I$7:$I$2738,$F817)="","",INDEX(選手一覧!$I$7:$I$2738,$F817))</f>
        <v/>
      </c>
    </row>
    <row r="818" customFormat="false" ht="15" hidden="false" customHeight="false" outlineLevel="0" collapsed="false">
      <c r="A818" s="12" t="n">
        <v>814</v>
      </c>
      <c r="B818" s="10" t="s">
        <v>2445</v>
      </c>
      <c r="C818" s="10" t="s">
        <v>51</v>
      </c>
      <c r="D818" s="11" t="n">
        <v>0.00743738425925926</v>
      </c>
      <c r="E818" s="18" t="n">
        <f aca="false">ROUND((D818-$D$5)*86400,2)</f>
        <v>103.57</v>
      </c>
      <c r="F818" s="12" t="n">
        <v>1701</v>
      </c>
      <c r="G818" s="11" t="str">
        <f aca="false">IF(INDEX(選手一覧!$D$7:$D$2738,$F818)="","",INDEX(選手一覧!$D$7:$D$2738,$F818))</f>
        <v/>
      </c>
      <c r="H818" s="12" t="str">
        <f aca="false">IF(INDEX(選手一覧!$E$7:$E$2738,$F818)="","",INDEX(選手一覧!$E$7:$E$2738,$F818))</f>
        <v/>
      </c>
      <c r="I818" s="11" t="str">
        <f aca="false">IF(INDEX(選手一覧!$H$7:$H$2738,$F818)="","",INDEX(選手一覧!$H$7:$H$2738,$F818))</f>
        <v/>
      </c>
      <c r="J818" s="12" t="str">
        <f aca="false">IF(INDEX(選手一覧!$I$7:$I$2738,$F818)="","",INDEX(選手一覧!$I$7:$I$2738,$F818))</f>
        <v/>
      </c>
    </row>
    <row r="819" customFormat="false" ht="15" hidden="false" customHeight="false" outlineLevel="0" collapsed="false">
      <c r="A819" s="12" t="n">
        <v>815</v>
      </c>
      <c r="B819" s="10" t="s">
        <v>2448</v>
      </c>
      <c r="C819" s="10" t="s">
        <v>2449</v>
      </c>
      <c r="D819" s="11" t="n">
        <v>0.00743738425925926</v>
      </c>
      <c r="E819" s="18" t="n">
        <f aca="false">ROUND((D819-$D$5)*86400,2)</f>
        <v>103.57</v>
      </c>
      <c r="F819" s="12" t="n">
        <v>1703</v>
      </c>
      <c r="G819" s="11" t="str">
        <f aca="false">IF(INDEX(選手一覧!$D$7:$D$2738,$F819)="","",INDEX(選手一覧!$D$7:$D$2738,$F819))</f>
        <v/>
      </c>
      <c r="H819" s="12" t="str">
        <f aca="false">IF(INDEX(選手一覧!$E$7:$E$2738,$F819)="","",INDEX(選手一覧!$E$7:$E$2738,$F819))</f>
        <v/>
      </c>
      <c r="I819" s="11" t="str">
        <f aca="false">IF(INDEX(選手一覧!$H$7:$H$2738,$F819)="","",INDEX(選手一覧!$H$7:$H$2738,$F819))</f>
        <v/>
      </c>
      <c r="J819" s="12" t="str">
        <f aca="false">IF(INDEX(選手一覧!$I$7:$I$2738,$F819)="","",INDEX(選手一覧!$I$7:$I$2738,$F819))</f>
        <v/>
      </c>
    </row>
    <row r="820" customFormat="false" ht="15" hidden="false" customHeight="false" outlineLevel="0" collapsed="false">
      <c r="A820" s="12" t="n">
        <v>816</v>
      </c>
      <c r="B820" s="10" t="s">
        <v>2451</v>
      </c>
      <c r="C820" s="10" t="s">
        <v>570</v>
      </c>
      <c r="D820" s="11" t="n">
        <v>0.00743819444444444</v>
      </c>
      <c r="E820" s="18" t="n">
        <f aca="false">ROUND((D820-$D$5)*86400,2)</f>
        <v>103.64</v>
      </c>
      <c r="F820" s="12" t="n">
        <v>1705</v>
      </c>
      <c r="G820" s="11" t="str">
        <f aca="false">IF(INDEX(選手一覧!$D$7:$D$2738,$F820)="","",INDEX(選手一覧!$D$7:$D$2738,$F820))</f>
        <v/>
      </c>
      <c r="H820" s="12" t="str">
        <f aca="false">IF(INDEX(選手一覧!$E$7:$E$2738,$F820)="","",INDEX(選手一覧!$E$7:$E$2738,$F820))</f>
        <v/>
      </c>
      <c r="I820" s="11" t="str">
        <f aca="false">IF(INDEX(選手一覧!$H$7:$H$2738,$F820)="","",INDEX(選手一覧!$H$7:$H$2738,$F820))</f>
        <v/>
      </c>
      <c r="J820" s="12" t="str">
        <f aca="false">IF(INDEX(選手一覧!$I$7:$I$2738,$F820)="","",INDEX(選手一覧!$I$7:$I$2738,$F820))</f>
        <v/>
      </c>
    </row>
    <row r="821" customFormat="false" ht="15" hidden="false" customHeight="false" outlineLevel="0" collapsed="false">
      <c r="A821" s="12" t="n">
        <v>817</v>
      </c>
      <c r="B821" s="10" t="s">
        <v>2455</v>
      </c>
      <c r="C821" s="10" t="s">
        <v>1046</v>
      </c>
      <c r="D821" s="11" t="n">
        <v>0.00743900462962963</v>
      </c>
      <c r="E821" s="18" t="n">
        <f aca="false">ROUND((D821-$D$5)*86400,2)</f>
        <v>103.71</v>
      </c>
      <c r="F821" s="12" t="n">
        <v>1709</v>
      </c>
      <c r="G821" s="11" t="str">
        <f aca="false">IF(INDEX(選手一覧!$D$7:$D$2738,$F821)="","",INDEX(選手一覧!$D$7:$D$2738,$F821))</f>
        <v/>
      </c>
      <c r="H821" s="12" t="str">
        <f aca="false">IF(INDEX(選手一覧!$E$7:$E$2738,$F821)="","",INDEX(選手一覧!$E$7:$E$2738,$F821))</f>
        <v/>
      </c>
      <c r="I821" s="11" t="str">
        <f aca="false">IF(INDEX(選手一覧!$H$7:$H$2738,$F821)="","",INDEX(選手一覧!$H$7:$H$2738,$F821))</f>
        <v/>
      </c>
      <c r="J821" s="12" t="str">
        <f aca="false">IF(INDEX(選手一覧!$I$7:$I$2738,$F821)="","",INDEX(選手一覧!$I$7:$I$2738,$F821))</f>
        <v/>
      </c>
    </row>
    <row r="822" customFormat="false" ht="15" hidden="false" customHeight="false" outlineLevel="0" collapsed="false">
      <c r="A822" s="12" t="n">
        <v>818</v>
      </c>
      <c r="B822" s="10" t="s">
        <v>2456</v>
      </c>
      <c r="C822" s="10" t="s">
        <v>2457</v>
      </c>
      <c r="D822" s="11" t="n">
        <v>0.00744016203703704</v>
      </c>
      <c r="E822" s="18" t="n">
        <f aca="false">ROUND((D822-$D$5)*86400,2)</f>
        <v>103.81</v>
      </c>
      <c r="F822" s="12" t="n">
        <v>1710</v>
      </c>
      <c r="G822" s="11" t="str">
        <f aca="false">IF(INDEX(選手一覧!$D$7:$D$2738,$F822)="","",INDEX(選手一覧!$D$7:$D$2738,$F822))</f>
        <v/>
      </c>
      <c r="H822" s="12" t="str">
        <f aca="false">IF(INDEX(選手一覧!$E$7:$E$2738,$F822)="","",INDEX(選手一覧!$E$7:$E$2738,$F822))</f>
        <v/>
      </c>
      <c r="I822" s="11" t="str">
        <f aca="false">IF(INDEX(選手一覧!$H$7:$H$2738,$F822)="","",INDEX(選手一覧!$H$7:$H$2738,$F822))</f>
        <v/>
      </c>
      <c r="J822" s="12" t="str">
        <f aca="false">IF(INDEX(選手一覧!$I$7:$I$2738,$F822)="","",INDEX(選手一覧!$I$7:$I$2738,$F822))</f>
        <v/>
      </c>
    </row>
    <row r="823" customFormat="false" ht="15" hidden="false" customHeight="false" outlineLevel="0" collapsed="false">
      <c r="A823" s="12" t="n">
        <v>819</v>
      </c>
      <c r="B823" s="10" t="s">
        <v>2460</v>
      </c>
      <c r="C823" s="10" t="s">
        <v>2461</v>
      </c>
      <c r="D823" s="11" t="n">
        <v>0.00744039351851852</v>
      </c>
      <c r="E823" s="18" t="n">
        <f aca="false">ROUND((D823-$D$5)*86400,2)</f>
        <v>103.83</v>
      </c>
      <c r="F823" s="12" t="n">
        <v>1713</v>
      </c>
      <c r="G823" s="11" t="str">
        <f aca="false">IF(INDEX(選手一覧!$D$7:$D$2738,$F823)="","",INDEX(選手一覧!$D$7:$D$2738,$F823))</f>
        <v/>
      </c>
      <c r="H823" s="12" t="str">
        <f aca="false">IF(INDEX(選手一覧!$E$7:$E$2738,$F823)="","",INDEX(選手一覧!$E$7:$E$2738,$F823))</f>
        <v/>
      </c>
      <c r="I823" s="11" t="str">
        <f aca="false">IF(INDEX(選手一覧!$H$7:$H$2738,$F823)="","",INDEX(選手一覧!$H$7:$H$2738,$F823))</f>
        <v/>
      </c>
      <c r="J823" s="12" t="str">
        <f aca="false">IF(INDEX(選手一覧!$I$7:$I$2738,$F823)="","",INDEX(選手一覧!$I$7:$I$2738,$F823))</f>
        <v/>
      </c>
    </row>
    <row r="824" customFormat="false" ht="15" hidden="false" customHeight="false" outlineLevel="0" collapsed="false">
      <c r="A824" s="12" t="n">
        <v>820</v>
      </c>
      <c r="B824" s="10" t="s">
        <v>2464</v>
      </c>
      <c r="C824" s="10" t="s">
        <v>921</v>
      </c>
      <c r="D824" s="11" t="n">
        <v>0.00744305555555556</v>
      </c>
      <c r="E824" s="18" t="n">
        <f aca="false">ROUND((D824-$D$5)*86400,2)</f>
        <v>104.06</v>
      </c>
      <c r="F824" s="12" t="n">
        <v>1715</v>
      </c>
      <c r="G824" s="11" t="str">
        <f aca="false">IF(INDEX(選手一覧!$D$7:$D$2738,$F824)="","",INDEX(選手一覧!$D$7:$D$2738,$F824))</f>
        <v/>
      </c>
      <c r="H824" s="12" t="str">
        <f aca="false">IF(INDEX(選手一覧!$E$7:$E$2738,$F824)="","",INDEX(選手一覧!$E$7:$E$2738,$F824))</f>
        <v/>
      </c>
      <c r="I824" s="11" t="str">
        <f aca="false">IF(INDEX(選手一覧!$H$7:$H$2738,$F824)="","",INDEX(選手一覧!$H$7:$H$2738,$F824))</f>
        <v/>
      </c>
      <c r="J824" s="12" t="str">
        <f aca="false">IF(INDEX(選手一覧!$I$7:$I$2738,$F824)="","",INDEX(選手一覧!$I$7:$I$2738,$F824))</f>
        <v/>
      </c>
    </row>
    <row r="825" customFormat="false" ht="15" hidden="false" customHeight="false" outlineLevel="0" collapsed="false">
      <c r="A825" s="12" t="n">
        <v>821</v>
      </c>
      <c r="B825" s="10" t="s">
        <v>2465</v>
      </c>
      <c r="C825" s="10" t="s">
        <v>1536</v>
      </c>
      <c r="D825" s="11" t="n">
        <v>0.00744328703703704</v>
      </c>
      <c r="E825" s="18" t="n">
        <f aca="false">ROUND((D825-$D$5)*86400,2)</f>
        <v>104.08</v>
      </c>
      <c r="F825" s="12" t="n">
        <v>1716</v>
      </c>
      <c r="G825" s="11" t="str">
        <f aca="false">IF(INDEX(選手一覧!$D$7:$D$2738,$F825)="","",INDEX(選手一覧!$D$7:$D$2738,$F825))</f>
        <v/>
      </c>
      <c r="H825" s="12" t="str">
        <f aca="false">IF(INDEX(選手一覧!$E$7:$E$2738,$F825)="","",INDEX(選手一覧!$E$7:$E$2738,$F825))</f>
        <v/>
      </c>
      <c r="I825" s="11" t="str">
        <f aca="false">IF(INDEX(選手一覧!$H$7:$H$2738,$F825)="","",INDEX(選手一覧!$H$7:$H$2738,$F825))</f>
        <v/>
      </c>
      <c r="J825" s="12" t="str">
        <f aca="false">IF(INDEX(選手一覧!$I$7:$I$2738,$F825)="","",INDEX(選手一覧!$I$7:$I$2738,$F825))</f>
        <v/>
      </c>
    </row>
    <row r="826" customFormat="false" ht="15" hidden="false" customHeight="false" outlineLevel="0" collapsed="false">
      <c r="A826" s="12" t="n">
        <v>822</v>
      </c>
      <c r="B826" s="10" t="s">
        <v>2467</v>
      </c>
      <c r="C826" s="10" t="s">
        <v>2468</v>
      </c>
      <c r="D826" s="11" t="n">
        <v>0.00744490740740741</v>
      </c>
      <c r="E826" s="18" t="n">
        <f aca="false">ROUND((D826-$D$5)*86400,2)</f>
        <v>104.22</v>
      </c>
      <c r="F826" s="12" t="n">
        <v>1718</v>
      </c>
      <c r="G826" s="11" t="str">
        <f aca="false">IF(INDEX(選手一覧!$D$7:$D$2738,$F826)="","",INDEX(選手一覧!$D$7:$D$2738,$F826))</f>
        <v/>
      </c>
      <c r="H826" s="12" t="str">
        <f aca="false">IF(INDEX(選手一覧!$E$7:$E$2738,$F826)="","",INDEX(選手一覧!$E$7:$E$2738,$F826))</f>
        <v/>
      </c>
      <c r="I826" s="11" t="str">
        <f aca="false">IF(INDEX(選手一覧!$H$7:$H$2738,$F826)="","",INDEX(選手一覧!$H$7:$H$2738,$F826))</f>
        <v/>
      </c>
      <c r="J826" s="12" t="str">
        <f aca="false">IF(INDEX(選手一覧!$I$7:$I$2738,$F826)="","",INDEX(選手一覧!$I$7:$I$2738,$F826))</f>
        <v/>
      </c>
    </row>
    <row r="827" customFormat="false" ht="15" hidden="false" customHeight="false" outlineLevel="0" collapsed="false">
      <c r="A827" s="12" t="n">
        <v>823</v>
      </c>
      <c r="B827" s="10" t="s">
        <v>2470</v>
      </c>
      <c r="C827" s="10" t="s">
        <v>223</v>
      </c>
      <c r="D827" s="11" t="n">
        <v>0.00744571759259259</v>
      </c>
      <c r="E827" s="18" t="n">
        <f aca="false">ROUND((D827-$D$5)*86400,2)</f>
        <v>104.29</v>
      </c>
      <c r="F827" s="12" t="n">
        <v>1720</v>
      </c>
      <c r="G827" s="11" t="str">
        <f aca="false">IF(INDEX(選手一覧!$D$7:$D$2738,$F827)="","",INDEX(選手一覧!$D$7:$D$2738,$F827))</f>
        <v/>
      </c>
      <c r="H827" s="12" t="str">
        <f aca="false">IF(INDEX(選手一覧!$E$7:$E$2738,$F827)="","",INDEX(選手一覧!$E$7:$E$2738,$F827))</f>
        <v/>
      </c>
      <c r="I827" s="11" t="str">
        <f aca="false">IF(INDEX(選手一覧!$H$7:$H$2738,$F827)="","",INDEX(選手一覧!$H$7:$H$2738,$F827))</f>
        <v/>
      </c>
      <c r="J827" s="12" t="str">
        <f aca="false">IF(INDEX(選手一覧!$I$7:$I$2738,$F827)="","",INDEX(選手一覧!$I$7:$I$2738,$F827))</f>
        <v/>
      </c>
    </row>
    <row r="828" customFormat="false" ht="15" hidden="false" customHeight="false" outlineLevel="0" collapsed="false">
      <c r="A828" s="12" t="n">
        <v>824</v>
      </c>
      <c r="B828" s="10" t="s">
        <v>2473</v>
      </c>
      <c r="C828" s="10" t="s">
        <v>2293</v>
      </c>
      <c r="D828" s="11" t="n">
        <v>0.00744675925925926</v>
      </c>
      <c r="E828" s="18" t="n">
        <f aca="false">ROUND((D828-$D$5)*86400,2)</f>
        <v>104.38</v>
      </c>
      <c r="F828" s="12" t="n">
        <v>1723</v>
      </c>
      <c r="G828" s="11" t="str">
        <f aca="false">IF(INDEX(選手一覧!$D$7:$D$2738,$F828)="","",INDEX(選手一覧!$D$7:$D$2738,$F828))</f>
        <v/>
      </c>
      <c r="H828" s="12" t="str">
        <f aca="false">IF(INDEX(選手一覧!$E$7:$E$2738,$F828)="","",INDEX(選手一覧!$E$7:$E$2738,$F828))</f>
        <v/>
      </c>
      <c r="I828" s="11" t="str">
        <f aca="false">IF(INDEX(選手一覧!$H$7:$H$2738,$F828)="","",INDEX(選手一覧!$H$7:$H$2738,$F828))</f>
        <v/>
      </c>
      <c r="J828" s="12" t="str">
        <f aca="false">IF(INDEX(選手一覧!$I$7:$I$2738,$F828)="","",INDEX(選手一覧!$I$7:$I$2738,$F828))</f>
        <v/>
      </c>
    </row>
    <row r="829" customFormat="false" ht="15" hidden="false" customHeight="false" outlineLevel="0" collapsed="false">
      <c r="A829" s="12" t="n">
        <v>825</v>
      </c>
      <c r="B829" s="10" t="s">
        <v>2475</v>
      </c>
      <c r="C829" s="10" t="s">
        <v>1311</v>
      </c>
      <c r="D829" s="11" t="n">
        <v>0.00744768518518519</v>
      </c>
      <c r="E829" s="18" t="n">
        <f aca="false">ROUND((D829-$D$5)*86400,2)</f>
        <v>104.46</v>
      </c>
      <c r="F829" s="12" t="n">
        <v>1725</v>
      </c>
      <c r="G829" s="11" t="str">
        <f aca="false">IF(INDEX(選手一覧!$D$7:$D$2738,$F829)="","",INDEX(選手一覧!$D$7:$D$2738,$F829))</f>
        <v/>
      </c>
      <c r="H829" s="12" t="str">
        <f aca="false">IF(INDEX(選手一覧!$E$7:$E$2738,$F829)="","",INDEX(選手一覧!$E$7:$E$2738,$F829))</f>
        <v/>
      </c>
      <c r="I829" s="11" t="str">
        <f aca="false">IF(INDEX(選手一覧!$H$7:$H$2738,$F829)="","",INDEX(選手一覧!$H$7:$H$2738,$F829))</f>
        <v/>
      </c>
      <c r="J829" s="12" t="str">
        <f aca="false">IF(INDEX(選手一覧!$I$7:$I$2738,$F829)="","",INDEX(選手一覧!$I$7:$I$2738,$F829))</f>
        <v/>
      </c>
    </row>
    <row r="830" customFormat="false" ht="15" hidden="false" customHeight="false" outlineLevel="0" collapsed="false">
      <c r="A830" s="12" t="n">
        <v>826</v>
      </c>
      <c r="B830" s="10" t="s">
        <v>2477</v>
      </c>
      <c r="C830" s="10" t="s">
        <v>588</v>
      </c>
      <c r="D830" s="11" t="n">
        <v>0.00744791666666667</v>
      </c>
      <c r="E830" s="18" t="n">
        <f aca="false">ROUND((D830-$D$5)*86400,2)</f>
        <v>104.48</v>
      </c>
      <c r="F830" s="12" t="n">
        <v>1727</v>
      </c>
      <c r="G830" s="11" t="str">
        <f aca="false">IF(INDEX(選手一覧!$D$7:$D$2738,$F830)="","",INDEX(選手一覧!$D$7:$D$2738,$F830))</f>
        <v/>
      </c>
      <c r="H830" s="12" t="str">
        <f aca="false">IF(INDEX(選手一覧!$E$7:$E$2738,$F830)="","",INDEX(選手一覧!$E$7:$E$2738,$F830))</f>
        <v/>
      </c>
      <c r="I830" s="11" t="str">
        <f aca="false">IF(INDEX(選手一覧!$H$7:$H$2738,$F830)="","",INDEX(選手一覧!$H$7:$H$2738,$F830))</f>
        <v/>
      </c>
      <c r="J830" s="12" t="str">
        <f aca="false">IF(INDEX(選手一覧!$I$7:$I$2738,$F830)="","",INDEX(選手一覧!$I$7:$I$2738,$F830))</f>
        <v/>
      </c>
    </row>
    <row r="831" customFormat="false" ht="15" hidden="false" customHeight="false" outlineLevel="0" collapsed="false">
      <c r="A831" s="12" t="n">
        <v>827</v>
      </c>
      <c r="B831" s="10" t="s">
        <v>2479</v>
      </c>
      <c r="C831" s="10" t="s">
        <v>2480</v>
      </c>
      <c r="D831" s="11" t="n">
        <v>0.00744826388888889</v>
      </c>
      <c r="E831" s="18" t="n">
        <f aca="false">ROUND((D831-$D$5)*86400,2)</f>
        <v>104.51</v>
      </c>
      <c r="F831" s="12" t="n">
        <v>1729</v>
      </c>
      <c r="G831" s="11" t="str">
        <f aca="false">IF(INDEX(選手一覧!$D$7:$D$2738,$F831)="","",INDEX(選手一覧!$D$7:$D$2738,$F831))</f>
        <v/>
      </c>
      <c r="H831" s="12" t="str">
        <f aca="false">IF(INDEX(選手一覧!$E$7:$E$2738,$F831)="","",INDEX(選手一覧!$E$7:$E$2738,$F831))</f>
        <v/>
      </c>
      <c r="I831" s="11" t="str">
        <f aca="false">IF(INDEX(選手一覧!$H$7:$H$2738,$F831)="","",INDEX(選手一覧!$H$7:$H$2738,$F831))</f>
        <v/>
      </c>
      <c r="J831" s="12" t="str">
        <f aca="false">IF(INDEX(選手一覧!$I$7:$I$2738,$F831)="","",INDEX(選手一覧!$I$7:$I$2738,$F831))</f>
        <v/>
      </c>
    </row>
    <row r="832" customFormat="false" ht="15" hidden="false" customHeight="false" outlineLevel="0" collapsed="false">
      <c r="A832" s="12" t="n">
        <v>828</v>
      </c>
      <c r="B832" s="10" t="s">
        <v>2482</v>
      </c>
      <c r="C832" s="10" t="s">
        <v>2483</v>
      </c>
      <c r="D832" s="11" t="n">
        <v>0.00744872685185185</v>
      </c>
      <c r="E832" s="18" t="n">
        <f aca="false">ROUND((D832-$D$5)*86400,2)</f>
        <v>104.55</v>
      </c>
      <c r="F832" s="12" t="n">
        <v>1731</v>
      </c>
      <c r="G832" s="11" t="str">
        <f aca="false">IF(INDEX(選手一覧!$D$7:$D$2738,$F832)="","",INDEX(選手一覧!$D$7:$D$2738,$F832))</f>
        <v/>
      </c>
      <c r="H832" s="12" t="str">
        <f aca="false">IF(INDEX(選手一覧!$E$7:$E$2738,$F832)="","",INDEX(選手一覧!$E$7:$E$2738,$F832))</f>
        <v/>
      </c>
      <c r="I832" s="11" t="n">
        <f aca="false">IF(INDEX(選手一覧!$H$7:$H$2738,$F832)="","",INDEX(選手一覧!$H$7:$H$2738,$F832))</f>
        <v>0.00295092592592593</v>
      </c>
      <c r="J832" s="12" t="n">
        <f aca="false">IF(INDEX(選手一覧!$I$7:$I$2738,$F832)="","",INDEX(選手一覧!$I$7:$I$2738,$F832))</f>
        <v>1243</v>
      </c>
    </row>
    <row r="833" customFormat="false" ht="15" hidden="false" customHeight="false" outlineLevel="0" collapsed="false">
      <c r="A833" s="12" t="n">
        <v>829</v>
      </c>
      <c r="B833" s="10" t="s">
        <v>2486</v>
      </c>
      <c r="C833" s="10" t="s">
        <v>2487</v>
      </c>
      <c r="D833" s="11" t="n">
        <v>0.00744953703703704</v>
      </c>
      <c r="E833" s="18" t="n">
        <f aca="false">ROUND((D833-$D$5)*86400,2)</f>
        <v>104.62</v>
      </c>
      <c r="F833" s="12" t="n">
        <v>1734</v>
      </c>
      <c r="G833" s="11" t="str">
        <f aca="false">IF(INDEX(選手一覧!$D$7:$D$2738,$F833)="","",INDEX(選手一覧!$D$7:$D$2738,$F833))</f>
        <v/>
      </c>
      <c r="H833" s="12" t="str">
        <f aca="false">IF(INDEX(選手一覧!$E$7:$E$2738,$F833)="","",INDEX(選手一覧!$E$7:$E$2738,$F833))</f>
        <v/>
      </c>
      <c r="I833" s="11" t="str">
        <f aca="false">IF(INDEX(選手一覧!$H$7:$H$2738,$F833)="","",INDEX(選手一覧!$H$7:$H$2738,$F833))</f>
        <v/>
      </c>
      <c r="J833" s="12" t="str">
        <f aca="false">IF(INDEX(選手一覧!$I$7:$I$2738,$F833)="","",INDEX(選手一覧!$I$7:$I$2738,$F833))</f>
        <v/>
      </c>
    </row>
    <row r="834" customFormat="false" ht="15" hidden="false" customHeight="false" outlineLevel="0" collapsed="false">
      <c r="A834" s="12" t="n">
        <v>830</v>
      </c>
      <c r="B834" s="10" t="s">
        <v>2488</v>
      </c>
      <c r="C834" s="10" t="s">
        <v>2123</v>
      </c>
      <c r="D834" s="11" t="n">
        <v>0.00745011574074074</v>
      </c>
      <c r="E834" s="18" t="n">
        <f aca="false">ROUND((D834-$D$5)*86400,2)</f>
        <v>104.67</v>
      </c>
      <c r="F834" s="12" t="n">
        <v>1735</v>
      </c>
      <c r="G834" s="11" t="str">
        <f aca="false">IF(INDEX(選手一覧!$D$7:$D$2738,$F834)="","",INDEX(選手一覧!$D$7:$D$2738,$F834))</f>
        <v/>
      </c>
      <c r="H834" s="12" t="str">
        <f aca="false">IF(INDEX(選手一覧!$E$7:$E$2738,$F834)="","",INDEX(選手一覧!$E$7:$E$2738,$F834))</f>
        <v/>
      </c>
      <c r="I834" s="11" t="str">
        <f aca="false">IF(INDEX(選手一覧!$H$7:$H$2738,$F834)="","",INDEX(選手一覧!$H$7:$H$2738,$F834))</f>
        <v/>
      </c>
      <c r="J834" s="12" t="str">
        <f aca="false">IF(INDEX(選手一覧!$I$7:$I$2738,$F834)="","",INDEX(選手一覧!$I$7:$I$2738,$F834))</f>
        <v/>
      </c>
    </row>
    <row r="835" customFormat="false" ht="15" hidden="false" customHeight="false" outlineLevel="0" collapsed="false">
      <c r="A835" s="12" t="n">
        <v>831</v>
      </c>
      <c r="B835" s="10" t="s">
        <v>2491</v>
      </c>
      <c r="C835" s="10" t="s">
        <v>2492</v>
      </c>
      <c r="D835" s="11" t="n">
        <v>0.00745162037037037</v>
      </c>
      <c r="E835" s="18" t="n">
        <f aca="false">ROUND((D835-$D$5)*86400,2)</f>
        <v>104.8</v>
      </c>
      <c r="F835" s="12" t="n">
        <v>1737</v>
      </c>
      <c r="G835" s="11" t="str">
        <f aca="false">IF(INDEX(選手一覧!$D$7:$D$2738,$F835)="","",INDEX(選手一覧!$D$7:$D$2738,$F835))</f>
        <v/>
      </c>
      <c r="H835" s="12" t="str">
        <f aca="false">IF(INDEX(選手一覧!$E$7:$E$2738,$F835)="","",INDEX(選手一覧!$E$7:$E$2738,$F835))</f>
        <v/>
      </c>
      <c r="I835" s="11" t="str">
        <f aca="false">IF(INDEX(選手一覧!$H$7:$H$2738,$F835)="","",INDEX(選手一覧!$H$7:$H$2738,$F835))</f>
        <v/>
      </c>
      <c r="J835" s="12" t="str">
        <f aca="false">IF(INDEX(選手一覧!$I$7:$I$2738,$F835)="","",INDEX(選手一覧!$I$7:$I$2738,$F835))</f>
        <v/>
      </c>
    </row>
    <row r="836" customFormat="false" ht="15" hidden="false" customHeight="false" outlineLevel="0" collapsed="false">
      <c r="A836" s="12" t="n">
        <v>832</v>
      </c>
      <c r="B836" s="10" t="s">
        <v>2495</v>
      </c>
      <c r="C836" s="10" t="s">
        <v>240</v>
      </c>
      <c r="D836" s="11" t="n">
        <v>0.0074525462962963</v>
      </c>
      <c r="E836" s="18" t="n">
        <f aca="false">ROUND((D836-$D$5)*86400,2)</f>
        <v>104.88</v>
      </c>
      <c r="F836" s="12" t="n">
        <v>1740</v>
      </c>
      <c r="G836" s="11" t="str">
        <f aca="false">IF(INDEX(選手一覧!$D$7:$D$2738,$F836)="","",INDEX(選手一覧!$D$7:$D$2738,$F836))</f>
        <v/>
      </c>
      <c r="H836" s="12" t="str">
        <f aca="false">IF(INDEX(選手一覧!$E$7:$E$2738,$F836)="","",INDEX(選手一覧!$E$7:$E$2738,$F836))</f>
        <v/>
      </c>
      <c r="I836" s="11" t="str">
        <f aca="false">IF(INDEX(選手一覧!$H$7:$H$2738,$F836)="","",INDEX(選手一覧!$H$7:$H$2738,$F836))</f>
        <v/>
      </c>
      <c r="J836" s="12" t="str">
        <f aca="false">IF(INDEX(選手一覧!$I$7:$I$2738,$F836)="","",INDEX(選手一覧!$I$7:$I$2738,$F836))</f>
        <v/>
      </c>
    </row>
    <row r="837" customFormat="false" ht="15" hidden="false" customHeight="false" outlineLevel="0" collapsed="false">
      <c r="A837" s="12" t="n">
        <v>833</v>
      </c>
      <c r="B837" s="10" t="s">
        <v>2499</v>
      </c>
      <c r="C837" s="10" t="s">
        <v>1157</v>
      </c>
      <c r="D837" s="11" t="n">
        <v>0.00745277777777778</v>
      </c>
      <c r="E837" s="18" t="n">
        <f aca="false">ROUND((D837-$D$5)*86400,2)</f>
        <v>104.9</v>
      </c>
      <c r="F837" s="12" t="n">
        <v>1743</v>
      </c>
      <c r="G837" s="11" t="str">
        <f aca="false">IF(INDEX(選手一覧!$D$7:$D$2738,$F837)="","",INDEX(選手一覧!$D$7:$D$2738,$F837))</f>
        <v/>
      </c>
      <c r="H837" s="12" t="str">
        <f aca="false">IF(INDEX(選手一覧!$E$7:$E$2738,$F837)="","",INDEX(選手一覧!$E$7:$E$2738,$F837))</f>
        <v/>
      </c>
      <c r="I837" s="11" t="str">
        <f aca="false">IF(INDEX(選手一覧!$H$7:$H$2738,$F837)="","",INDEX(選手一覧!$H$7:$H$2738,$F837))</f>
        <v/>
      </c>
      <c r="J837" s="12" t="str">
        <f aca="false">IF(INDEX(選手一覧!$I$7:$I$2738,$F837)="","",INDEX(選手一覧!$I$7:$I$2738,$F837))</f>
        <v/>
      </c>
    </row>
    <row r="838" customFormat="false" ht="15" hidden="false" customHeight="false" outlineLevel="0" collapsed="false">
      <c r="A838" s="12" t="n">
        <v>834</v>
      </c>
      <c r="B838" s="10" t="s">
        <v>2500</v>
      </c>
      <c r="C838" s="10" t="s">
        <v>2501</v>
      </c>
      <c r="D838" s="11" t="n">
        <v>0.00745289351851852</v>
      </c>
      <c r="E838" s="18" t="n">
        <f aca="false">ROUND((D838-$D$5)*86400,2)</f>
        <v>104.91</v>
      </c>
      <c r="F838" s="12" t="n">
        <v>1744</v>
      </c>
      <c r="G838" s="11" t="str">
        <f aca="false">IF(INDEX(選手一覧!$D$7:$D$2738,$F838)="","",INDEX(選手一覧!$D$7:$D$2738,$F838))</f>
        <v/>
      </c>
      <c r="H838" s="12" t="str">
        <f aca="false">IF(INDEX(選手一覧!$E$7:$E$2738,$F838)="","",INDEX(選手一覧!$E$7:$E$2738,$F838))</f>
        <v/>
      </c>
      <c r="I838" s="11" t="str">
        <f aca="false">IF(INDEX(選手一覧!$H$7:$H$2738,$F838)="","",INDEX(選手一覧!$H$7:$H$2738,$F838))</f>
        <v/>
      </c>
      <c r="J838" s="12" t="str">
        <f aca="false">IF(INDEX(選手一覧!$I$7:$I$2738,$F838)="","",INDEX(選手一覧!$I$7:$I$2738,$F838))</f>
        <v/>
      </c>
    </row>
    <row r="839" customFormat="false" ht="15" hidden="false" customHeight="false" outlineLevel="0" collapsed="false">
      <c r="A839" s="12" t="n">
        <v>835</v>
      </c>
      <c r="B839" s="10" t="s">
        <v>2504</v>
      </c>
      <c r="C839" s="10" t="s">
        <v>1721</v>
      </c>
      <c r="D839" s="11" t="n">
        <v>0.00745289351851852</v>
      </c>
      <c r="E839" s="18" t="n">
        <f aca="false">ROUND((D839-$D$5)*86400,2)</f>
        <v>104.91</v>
      </c>
      <c r="F839" s="12" t="n">
        <v>1747</v>
      </c>
      <c r="G839" s="11" t="str">
        <f aca="false">IF(INDEX(選手一覧!$D$7:$D$2738,$F839)="","",INDEX(選手一覧!$D$7:$D$2738,$F839))</f>
        <v/>
      </c>
      <c r="H839" s="12" t="str">
        <f aca="false">IF(INDEX(選手一覧!$E$7:$E$2738,$F839)="","",INDEX(選手一覧!$E$7:$E$2738,$F839))</f>
        <v/>
      </c>
      <c r="I839" s="11" t="str">
        <f aca="false">IF(INDEX(選手一覧!$H$7:$H$2738,$F839)="","",INDEX(選手一覧!$H$7:$H$2738,$F839))</f>
        <v/>
      </c>
      <c r="J839" s="12" t="str">
        <f aca="false">IF(INDEX(選手一覧!$I$7:$I$2738,$F839)="","",INDEX(選手一覧!$I$7:$I$2738,$F839))</f>
        <v/>
      </c>
    </row>
    <row r="840" customFormat="false" ht="15" hidden="false" customHeight="false" outlineLevel="0" collapsed="false">
      <c r="A840" s="12" t="n">
        <v>836</v>
      </c>
      <c r="B840" s="10" t="s">
        <v>2506</v>
      </c>
      <c r="C840" s="10" t="s">
        <v>2507</v>
      </c>
      <c r="D840" s="11" t="n">
        <v>0.00745347222222222</v>
      </c>
      <c r="E840" s="18" t="n">
        <f aca="false">ROUND((D840-$D$5)*86400,2)</f>
        <v>104.96</v>
      </c>
      <c r="F840" s="12" t="n">
        <v>1749</v>
      </c>
      <c r="G840" s="11" t="str">
        <f aca="false">IF(INDEX(選手一覧!$D$7:$D$2738,$F840)="","",INDEX(選手一覧!$D$7:$D$2738,$F840))</f>
        <v/>
      </c>
      <c r="H840" s="12" t="str">
        <f aca="false">IF(INDEX(選手一覧!$E$7:$E$2738,$F840)="","",INDEX(選手一覧!$E$7:$E$2738,$F840))</f>
        <v/>
      </c>
      <c r="I840" s="11" t="str">
        <f aca="false">IF(INDEX(選手一覧!$H$7:$H$2738,$F840)="","",INDEX(選手一覧!$H$7:$H$2738,$F840))</f>
        <v/>
      </c>
      <c r="J840" s="12" t="str">
        <f aca="false">IF(INDEX(選手一覧!$I$7:$I$2738,$F840)="","",INDEX(選手一覧!$I$7:$I$2738,$F840))</f>
        <v/>
      </c>
    </row>
    <row r="841" customFormat="false" ht="15" hidden="false" customHeight="false" outlineLevel="0" collapsed="false">
      <c r="A841" s="12" t="n">
        <v>837</v>
      </c>
      <c r="B841" s="10" t="s">
        <v>2509</v>
      </c>
      <c r="C841" s="10" t="s">
        <v>2510</v>
      </c>
      <c r="D841" s="11" t="n">
        <v>0.00745405092592593</v>
      </c>
      <c r="E841" s="18" t="n">
        <f aca="false">ROUND((D841-$D$5)*86400,2)</f>
        <v>105.01</v>
      </c>
      <c r="F841" s="12" t="n">
        <v>1751</v>
      </c>
      <c r="G841" s="11" t="str">
        <f aca="false">IF(INDEX(選手一覧!$D$7:$D$2738,$F841)="","",INDEX(選手一覧!$D$7:$D$2738,$F841))</f>
        <v/>
      </c>
      <c r="H841" s="12" t="str">
        <f aca="false">IF(INDEX(選手一覧!$E$7:$E$2738,$F841)="","",INDEX(選手一覧!$E$7:$E$2738,$F841))</f>
        <v/>
      </c>
      <c r="I841" s="11" t="str">
        <f aca="false">IF(INDEX(選手一覧!$H$7:$H$2738,$F841)="","",INDEX(選手一覧!$H$7:$H$2738,$F841))</f>
        <v/>
      </c>
      <c r="J841" s="12" t="str">
        <f aca="false">IF(INDEX(選手一覧!$I$7:$I$2738,$F841)="","",INDEX(選手一覧!$I$7:$I$2738,$F841))</f>
        <v/>
      </c>
    </row>
    <row r="842" customFormat="false" ht="15" hidden="false" customHeight="false" outlineLevel="0" collapsed="false">
      <c r="A842" s="12" t="n">
        <v>838</v>
      </c>
      <c r="B842" s="10" t="s">
        <v>2511</v>
      </c>
      <c r="C842" s="10" t="s">
        <v>2512</v>
      </c>
      <c r="D842" s="11" t="n">
        <v>0.00745451388888889</v>
      </c>
      <c r="E842" s="18" t="n">
        <f aca="false">ROUND((D842-$D$5)*86400,2)</f>
        <v>105.05</v>
      </c>
      <c r="F842" s="12" t="n">
        <v>1752</v>
      </c>
      <c r="G842" s="11" t="str">
        <f aca="false">IF(INDEX(選手一覧!$D$7:$D$2738,$F842)="","",INDEX(選手一覧!$D$7:$D$2738,$F842))</f>
        <v/>
      </c>
      <c r="H842" s="12" t="str">
        <f aca="false">IF(INDEX(選手一覧!$E$7:$E$2738,$F842)="","",INDEX(選手一覧!$E$7:$E$2738,$F842))</f>
        <v/>
      </c>
      <c r="I842" s="11" t="str">
        <f aca="false">IF(INDEX(選手一覧!$H$7:$H$2738,$F842)="","",INDEX(選手一覧!$H$7:$H$2738,$F842))</f>
        <v/>
      </c>
      <c r="J842" s="12" t="str">
        <f aca="false">IF(INDEX(選手一覧!$I$7:$I$2738,$F842)="","",INDEX(選手一覧!$I$7:$I$2738,$F842))</f>
        <v/>
      </c>
    </row>
    <row r="843" customFormat="false" ht="15" hidden="false" customHeight="false" outlineLevel="0" collapsed="false">
      <c r="A843" s="12" t="n">
        <v>839</v>
      </c>
      <c r="B843" s="10" t="s">
        <v>2516</v>
      </c>
      <c r="C843" s="10" t="s">
        <v>2517</v>
      </c>
      <c r="D843" s="11" t="n">
        <v>0.00745520833333333</v>
      </c>
      <c r="E843" s="18" t="n">
        <f aca="false">ROUND((D843-$D$5)*86400,2)</f>
        <v>105.11</v>
      </c>
      <c r="F843" s="12" t="n">
        <v>1756</v>
      </c>
      <c r="G843" s="11" t="str">
        <f aca="false">IF(INDEX(選手一覧!$D$7:$D$2738,$F843)="","",INDEX(選手一覧!$D$7:$D$2738,$F843))</f>
        <v/>
      </c>
      <c r="H843" s="12" t="str">
        <f aca="false">IF(INDEX(選手一覧!$E$7:$E$2738,$F843)="","",INDEX(選手一覧!$E$7:$E$2738,$F843))</f>
        <v/>
      </c>
      <c r="I843" s="11" t="str">
        <f aca="false">IF(INDEX(選手一覧!$H$7:$H$2738,$F843)="","",INDEX(選手一覧!$H$7:$H$2738,$F843))</f>
        <v/>
      </c>
      <c r="J843" s="12" t="str">
        <f aca="false">IF(INDEX(選手一覧!$I$7:$I$2738,$F843)="","",INDEX(選手一覧!$I$7:$I$2738,$F843))</f>
        <v/>
      </c>
    </row>
    <row r="844" customFormat="false" ht="15" hidden="false" customHeight="false" outlineLevel="0" collapsed="false">
      <c r="A844" s="12" t="n">
        <v>840</v>
      </c>
      <c r="B844" s="10" t="s">
        <v>2518</v>
      </c>
      <c r="C844" s="10" t="s">
        <v>1504</v>
      </c>
      <c r="D844" s="11" t="n">
        <v>0.00745601851851852</v>
      </c>
      <c r="E844" s="18" t="n">
        <f aca="false">ROUND((D844-$D$5)*86400,2)</f>
        <v>105.18</v>
      </c>
      <c r="F844" s="12" t="n">
        <v>1757</v>
      </c>
      <c r="G844" s="11" t="n">
        <f aca="false">IF(INDEX(選手一覧!$D$7:$D$2738,$F844)="","",INDEX(選手一覧!$D$7:$D$2738,$F844))</f>
        <v>0.0111196759259259</v>
      </c>
      <c r="H844" s="12" t="n">
        <f aca="false">IF(INDEX(選手一覧!$E$7:$E$2738,$F844)="","",INDEX(選手一覧!$E$7:$E$2738,$F844))</f>
        <v>1286</v>
      </c>
      <c r="I844" s="11" t="str">
        <f aca="false">IF(INDEX(選手一覧!$H$7:$H$2738,$F844)="","",INDEX(選手一覧!$H$7:$H$2738,$F844))</f>
        <v/>
      </c>
      <c r="J844" s="12" t="str">
        <f aca="false">IF(INDEX(選手一覧!$I$7:$I$2738,$F844)="","",INDEX(選手一覧!$I$7:$I$2738,$F844))</f>
        <v/>
      </c>
    </row>
    <row r="845" customFormat="false" ht="15" hidden="false" customHeight="false" outlineLevel="0" collapsed="false">
      <c r="A845" s="12" t="n">
        <v>841</v>
      </c>
      <c r="B845" s="10" t="s">
        <v>2519</v>
      </c>
      <c r="C845" s="10" t="s">
        <v>79</v>
      </c>
      <c r="D845" s="11" t="n">
        <v>0.00745625</v>
      </c>
      <c r="E845" s="18" t="n">
        <f aca="false">ROUND((D845-$D$5)*86400,2)</f>
        <v>105.2</v>
      </c>
      <c r="F845" s="12" t="n">
        <v>1758</v>
      </c>
      <c r="G845" s="11" t="n">
        <f aca="false">IF(INDEX(選手一覧!$D$7:$D$2738,$F845)="","",INDEX(選手一覧!$D$7:$D$2738,$F845))</f>
        <v>0.0109134259259259</v>
      </c>
      <c r="H845" s="12" t="n">
        <f aca="false">IF(INDEX(選手一覧!$E$7:$E$2738,$F845)="","",INDEX(選手一覧!$E$7:$E$2738,$F845))</f>
        <v>945</v>
      </c>
      <c r="I845" s="11" t="str">
        <f aca="false">IF(INDEX(選手一覧!$H$7:$H$2738,$F845)="","",INDEX(選手一覧!$H$7:$H$2738,$F845))</f>
        <v/>
      </c>
      <c r="J845" s="12" t="str">
        <f aca="false">IF(INDEX(選手一覧!$I$7:$I$2738,$F845)="","",INDEX(選手一覧!$I$7:$I$2738,$F845))</f>
        <v/>
      </c>
    </row>
    <row r="846" customFormat="false" ht="15" hidden="false" customHeight="false" outlineLevel="0" collapsed="false">
      <c r="A846" s="12" t="n">
        <v>842</v>
      </c>
      <c r="B846" s="10" t="s">
        <v>2522</v>
      </c>
      <c r="C846" s="10" t="s">
        <v>2523</v>
      </c>
      <c r="D846" s="11" t="n">
        <v>0.00745717592592593</v>
      </c>
      <c r="E846" s="18" t="n">
        <f aca="false">ROUND((D846-$D$5)*86400,2)</f>
        <v>105.28</v>
      </c>
      <c r="F846" s="12" t="n">
        <v>1761</v>
      </c>
      <c r="G846" s="11" t="str">
        <f aca="false">IF(INDEX(選手一覧!$D$7:$D$2738,$F846)="","",INDEX(選手一覧!$D$7:$D$2738,$F846))</f>
        <v/>
      </c>
      <c r="H846" s="12" t="str">
        <f aca="false">IF(INDEX(選手一覧!$E$7:$E$2738,$F846)="","",INDEX(選手一覧!$E$7:$E$2738,$F846))</f>
        <v/>
      </c>
      <c r="I846" s="11" t="str">
        <f aca="false">IF(INDEX(選手一覧!$H$7:$H$2738,$F846)="","",INDEX(選手一覧!$H$7:$H$2738,$F846))</f>
        <v/>
      </c>
      <c r="J846" s="12" t="str">
        <f aca="false">IF(INDEX(選手一覧!$I$7:$I$2738,$F846)="","",INDEX(選手一覧!$I$7:$I$2738,$F846))</f>
        <v/>
      </c>
    </row>
    <row r="847" customFormat="false" ht="15" hidden="false" customHeight="false" outlineLevel="0" collapsed="false">
      <c r="A847" s="12" t="n">
        <v>843</v>
      </c>
      <c r="B847" s="10" t="s">
        <v>2526</v>
      </c>
      <c r="C847" s="10" t="s">
        <v>848</v>
      </c>
      <c r="D847" s="11" t="n">
        <v>0.00745833333333333</v>
      </c>
      <c r="E847" s="18" t="n">
        <f aca="false">ROUND((D847-$D$5)*86400,2)</f>
        <v>105.38</v>
      </c>
      <c r="F847" s="12" t="n">
        <v>1764</v>
      </c>
      <c r="G847" s="11" t="str">
        <f aca="false">IF(INDEX(選手一覧!$D$7:$D$2738,$F847)="","",INDEX(選手一覧!$D$7:$D$2738,$F847))</f>
        <v/>
      </c>
      <c r="H847" s="12" t="str">
        <f aca="false">IF(INDEX(選手一覧!$E$7:$E$2738,$F847)="","",INDEX(選手一覧!$E$7:$E$2738,$F847))</f>
        <v/>
      </c>
      <c r="I847" s="11" t="str">
        <f aca="false">IF(INDEX(選手一覧!$H$7:$H$2738,$F847)="","",INDEX(選手一覧!$H$7:$H$2738,$F847))</f>
        <v/>
      </c>
      <c r="J847" s="12" t="str">
        <f aca="false">IF(INDEX(選手一覧!$I$7:$I$2738,$F847)="","",INDEX(選手一覧!$I$7:$I$2738,$F847))</f>
        <v/>
      </c>
    </row>
    <row r="848" customFormat="false" ht="15" hidden="false" customHeight="false" outlineLevel="0" collapsed="false">
      <c r="A848" s="12" t="n">
        <v>844</v>
      </c>
      <c r="B848" s="10" t="s">
        <v>2530</v>
      </c>
      <c r="C848" s="10" t="s">
        <v>1297</v>
      </c>
      <c r="D848" s="11" t="n">
        <v>0.00745972222222222</v>
      </c>
      <c r="E848" s="18" t="n">
        <f aca="false">ROUND((D848-$D$5)*86400,2)</f>
        <v>105.5</v>
      </c>
      <c r="F848" s="12" t="n">
        <v>1767</v>
      </c>
      <c r="G848" s="11" t="str">
        <f aca="false">IF(INDEX(選手一覧!$D$7:$D$2738,$F848)="","",INDEX(選手一覧!$D$7:$D$2738,$F848))</f>
        <v/>
      </c>
      <c r="H848" s="12" t="str">
        <f aca="false">IF(INDEX(選手一覧!$E$7:$E$2738,$F848)="","",INDEX(選手一覧!$E$7:$E$2738,$F848))</f>
        <v/>
      </c>
      <c r="I848" s="11" t="str">
        <f aca="false">IF(INDEX(選手一覧!$H$7:$H$2738,$F848)="","",INDEX(選手一覧!$H$7:$H$2738,$F848))</f>
        <v/>
      </c>
      <c r="J848" s="12" t="str">
        <f aca="false">IF(INDEX(選手一覧!$I$7:$I$2738,$F848)="","",INDEX(選手一覧!$I$7:$I$2738,$F848))</f>
        <v/>
      </c>
    </row>
    <row r="849" customFormat="false" ht="15" hidden="false" customHeight="false" outlineLevel="0" collapsed="false">
      <c r="A849" s="12" t="n">
        <v>845</v>
      </c>
      <c r="B849" s="10" t="s">
        <v>2531</v>
      </c>
      <c r="C849" s="10" t="s">
        <v>2532</v>
      </c>
      <c r="D849" s="11" t="n">
        <v>0.00746041666666667</v>
      </c>
      <c r="E849" s="18" t="n">
        <f aca="false">ROUND((D849-$D$5)*86400,2)</f>
        <v>105.56</v>
      </c>
      <c r="F849" s="12" t="n">
        <v>1768</v>
      </c>
      <c r="G849" s="11" t="str">
        <f aca="false">IF(INDEX(選手一覧!$D$7:$D$2738,$F849)="","",INDEX(選手一覧!$D$7:$D$2738,$F849))</f>
        <v/>
      </c>
      <c r="H849" s="12" t="str">
        <f aca="false">IF(INDEX(選手一覧!$E$7:$E$2738,$F849)="","",INDEX(選手一覧!$E$7:$E$2738,$F849))</f>
        <v/>
      </c>
      <c r="I849" s="11" t="str">
        <f aca="false">IF(INDEX(選手一覧!$H$7:$H$2738,$F849)="","",INDEX(選手一覧!$H$7:$H$2738,$F849))</f>
        <v/>
      </c>
      <c r="J849" s="12" t="str">
        <f aca="false">IF(INDEX(選手一覧!$I$7:$I$2738,$F849)="","",INDEX(選手一覧!$I$7:$I$2738,$F849))</f>
        <v/>
      </c>
    </row>
    <row r="850" customFormat="false" ht="15" hidden="false" customHeight="false" outlineLevel="0" collapsed="false">
      <c r="A850" s="12" t="n">
        <v>846</v>
      </c>
      <c r="B850" s="10" t="s">
        <v>2535</v>
      </c>
      <c r="C850" s="10" t="s">
        <v>947</v>
      </c>
      <c r="D850" s="11" t="n">
        <v>0.00746122685185185</v>
      </c>
      <c r="E850" s="18" t="n">
        <f aca="false">ROUND((D850-$D$5)*86400,2)</f>
        <v>105.63</v>
      </c>
      <c r="F850" s="12" t="n">
        <v>1770</v>
      </c>
      <c r="G850" s="11" t="str">
        <f aca="false">IF(INDEX(選手一覧!$D$7:$D$2738,$F850)="","",INDEX(選手一覧!$D$7:$D$2738,$F850))</f>
        <v/>
      </c>
      <c r="H850" s="12" t="str">
        <f aca="false">IF(INDEX(選手一覧!$E$7:$E$2738,$F850)="","",INDEX(選手一覧!$E$7:$E$2738,$F850))</f>
        <v/>
      </c>
      <c r="I850" s="11" t="str">
        <f aca="false">IF(INDEX(選手一覧!$H$7:$H$2738,$F850)="","",INDEX(選手一覧!$H$7:$H$2738,$F850))</f>
        <v/>
      </c>
      <c r="J850" s="12" t="str">
        <f aca="false">IF(INDEX(選手一覧!$I$7:$I$2738,$F850)="","",INDEX(選手一覧!$I$7:$I$2738,$F850))</f>
        <v/>
      </c>
    </row>
    <row r="851" customFormat="false" ht="15" hidden="false" customHeight="false" outlineLevel="0" collapsed="false">
      <c r="A851" s="12" t="n">
        <v>847</v>
      </c>
      <c r="B851" s="10" t="s">
        <v>2538</v>
      </c>
      <c r="C851" s="10" t="s">
        <v>2539</v>
      </c>
      <c r="D851" s="11" t="n">
        <v>0.0074619212962963</v>
      </c>
      <c r="E851" s="18" t="n">
        <f aca="false">ROUND((D851-$D$5)*86400,2)</f>
        <v>105.69</v>
      </c>
      <c r="F851" s="12" t="n">
        <v>1773</v>
      </c>
      <c r="G851" s="11" t="str">
        <f aca="false">IF(INDEX(選手一覧!$D$7:$D$2738,$F851)="","",INDEX(選手一覧!$D$7:$D$2738,$F851))</f>
        <v/>
      </c>
      <c r="H851" s="12" t="str">
        <f aca="false">IF(INDEX(選手一覧!$E$7:$E$2738,$F851)="","",INDEX(選手一覧!$E$7:$E$2738,$F851))</f>
        <v/>
      </c>
      <c r="I851" s="11" t="str">
        <f aca="false">IF(INDEX(選手一覧!$H$7:$H$2738,$F851)="","",INDEX(選手一覧!$H$7:$H$2738,$F851))</f>
        <v/>
      </c>
      <c r="J851" s="12" t="str">
        <f aca="false">IF(INDEX(選手一覧!$I$7:$I$2738,$F851)="","",INDEX(選手一覧!$I$7:$I$2738,$F851))</f>
        <v/>
      </c>
    </row>
    <row r="852" customFormat="false" ht="15" hidden="false" customHeight="false" outlineLevel="0" collapsed="false">
      <c r="A852" s="12" t="n">
        <v>848</v>
      </c>
      <c r="B852" s="10" t="s">
        <v>2541</v>
      </c>
      <c r="C852" s="10" t="s">
        <v>2542</v>
      </c>
      <c r="D852" s="11" t="n">
        <v>0.00746203703703704</v>
      </c>
      <c r="E852" s="18" t="n">
        <f aca="false">ROUND((D852-$D$5)*86400,2)</f>
        <v>105.7</v>
      </c>
      <c r="F852" s="12" t="n">
        <v>1775</v>
      </c>
      <c r="G852" s="11" t="str">
        <f aca="false">IF(INDEX(選手一覧!$D$7:$D$2738,$F852)="","",INDEX(選手一覧!$D$7:$D$2738,$F852))</f>
        <v/>
      </c>
      <c r="H852" s="12" t="str">
        <f aca="false">IF(INDEX(選手一覧!$E$7:$E$2738,$F852)="","",INDEX(選手一覧!$E$7:$E$2738,$F852))</f>
        <v/>
      </c>
      <c r="I852" s="11" t="str">
        <f aca="false">IF(INDEX(選手一覧!$H$7:$H$2738,$F852)="","",INDEX(選手一覧!$H$7:$H$2738,$F852))</f>
        <v/>
      </c>
      <c r="J852" s="12" t="str">
        <f aca="false">IF(INDEX(選手一覧!$I$7:$I$2738,$F852)="","",INDEX(選手一覧!$I$7:$I$2738,$F852))</f>
        <v/>
      </c>
    </row>
    <row r="853" customFormat="false" ht="15" hidden="false" customHeight="false" outlineLevel="0" collapsed="false">
      <c r="A853" s="12" t="n">
        <v>849</v>
      </c>
      <c r="B853" s="10" t="s">
        <v>2544</v>
      </c>
      <c r="C853" s="10" t="s">
        <v>2545</v>
      </c>
      <c r="D853" s="11" t="n">
        <v>0.0074625</v>
      </c>
      <c r="E853" s="18" t="n">
        <f aca="false">ROUND((D853-$D$5)*86400,2)</f>
        <v>105.74</v>
      </c>
      <c r="F853" s="12" t="n">
        <v>1777</v>
      </c>
      <c r="G853" s="11" t="str">
        <f aca="false">IF(INDEX(選手一覧!$D$7:$D$2738,$F853)="","",INDEX(選手一覧!$D$7:$D$2738,$F853))</f>
        <v/>
      </c>
      <c r="H853" s="12" t="str">
        <f aca="false">IF(INDEX(選手一覧!$E$7:$E$2738,$F853)="","",INDEX(選手一覧!$E$7:$E$2738,$F853))</f>
        <v/>
      </c>
      <c r="I853" s="11" t="str">
        <f aca="false">IF(INDEX(選手一覧!$H$7:$H$2738,$F853)="","",INDEX(選手一覧!$H$7:$H$2738,$F853))</f>
        <v/>
      </c>
      <c r="J853" s="12" t="str">
        <f aca="false">IF(INDEX(選手一覧!$I$7:$I$2738,$F853)="","",INDEX(選手一覧!$I$7:$I$2738,$F853))</f>
        <v/>
      </c>
    </row>
    <row r="854" customFormat="false" ht="15" hidden="false" customHeight="false" outlineLevel="0" collapsed="false">
      <c r="A854" s="12" t="n">
        <v>850</v>
      </c>
      <c r="B854" s="10" t="s">
        <v>2548</v>
      </c>
      <c r="C854" s="10" t="s">
        <v>1203</v>
      </c>
      <c r="D854" s="11" t="n">
        <v>0.0074625</v>
      </c>
      <c r="E854" s="18" t="n">
        <f aca="false">ROUND((D854-$D$5)*86400,2)</f>
        <v>105.74</v>
      </c>
      <c r="F854" s="12" t="n">
        <v>1780</v>
      </c>
      <c r="G854" s="11" t="str">
        <f aca="false">IF(INDEX(選手一覧!$D$7:$D$2738,$F854)="","",INDEX(選手一覧!$D$7:$D$2738,$F854))</f>
        <v/>
      </c>
      <c r="H854" s="12" t="str">
        <f aca="false">IF(INDEX(選手一覧!$E$7:$E$2738,$F854)="","",INDEX(選手一覧!$E$7:$E$2738,$F854))</f>
        <v/>
      </c>
      <c r="I854" s="11" t="str">
        <f aca="false">IF(INDEX(選手一覧!$H$7:$H$2738,$F854)="","",INDEX(選手一覧!$H$7:$H$2738,$F854))</f>
        <v/>
      </c>
      <c r="J854" s="12" t="str">
        <f aca="false">IF(INDEX(選手一覧!$I$7:$I$2738,$F854)="","",INDEX(選手一覧!$I$7:$I$2738,$F854))</f>
        <v/>
      </c>
    </row>
    <row r="855" customFormat="false" ht="15" hidden="false" customHeight="false" outlineLevel="0" collapsed="false">
      <c r="A855" s="12" t="n">
        <v>851</v>
      </c>
      <c r="B855" s="10" t="s">
        <v>2552</v>
      </c>
      <c r="C855" s="10" t="s">
        <v>2553</v>
      </c>
      <c r="D855" s="11" t="n">
        <v>0.0074630787037037</v>
      </c>
      <c r="E855" s="18" t="n">
        <f aca="false">ROUND((D855-$D$5)*86400,2)</f>
        <v>105.79</v>
      </c>
      <c r="F855" s="12" t="n">
        <v>1783</v>
      </c>
      <c r="G855" s="11" t="str">
        <f aca="false">IF(INDEX(選手一覧!$D$7:$D$2738,$F855)="","",INDEX(選手一覧!$D$7:$D$2738,$F855))</f>
        <v/>
      </c>
      <c r="H855" s="12" t="str">
        <f aca="false">IF(INDEX(選手一覧!$E$7:$E$2738,$F855)="","",INDEX(選手一覧!$E$7:$E$2738,$F855))</f>
        <v/>
      </c>
      <c r="I855" s="11" t="str">
        <f aca="false">IF(INDEX(選手一覧!$H$7:$H$2738,$F855)="","",INDEX(選手一覧!$H$7:$H$2738,$F855))</f>
        <v/>
      </c>
      <c r="J855" s="12" t="str">
        <f aca="false">IF(INDEX(選手一覧!$I$7:$I$2738,$F855)="","",INDEX(選手一覧!$I$7:$I$2738,$F855))</f>
        <v/>
      </c>
    </row>
    <row r="856" customFormat="false" ht="15" hidden="false" customHeight="false" outlineLevel="0" collapsed="false">
      <c r="A856" s="12" t="n">
        <v>852</v>
      </c>
      <c r="B856" s="10" t="s">
        <v>2554</v>
      </c>
      <c r="C856" s="10" t="s">
        <v>2555</v>
      </c>
      <c r="D856" s="11" t="n">
        <v>0.00746377314814815</v>
      </c>
      <c r="E856" s="18" t="n">
        <f aca="false">ROUND((D856-$D$5)*86400,2)</f>
        <v>105.85</v>
      </c>
      <c r="F856" s="12" t="n">
        <v>1784</v>
      </c>
      <c r="G856" s="11" t="str">
        <f aca="false">IF(INDEX(選手一覧!$D$7:$D$2738,$F856)="","",INDEX(選手一覧!$D$7:$D$2738,$F856))</f>
        <v/>
      </c>
      <c r="H856" s="12" t="str">
        <f aca="false">IF(INDEX(選手一覧!$E$7:$E$2738,$F856)="","",INDEX(選手一覧!$E$7:$E$2738,$F856))</f>
        <v/>
      </c>
      <c r="I856" s="11" t="str">
        <f aca="false">IF(INDEX(選手一覧!$H$7:$H$2738,$F856)="","",INDEX(選手一覧!$H$7:$H$2738,$F856))</f>
        <v/>
      </c>
      <c r="J856" s="12" t="str">
        <f aca="false">IF(INDEX(選手一覧!$I$7:$I$2738,$F856)="","",INDEX(選手一覧!$I$7:$I$2738,$F856))</f>
        <v/>
      </c>
    </row>
    <row r="857" customFormat="false" ht="15" hidden="false" customHeight="false" outlineLevel="0" collapsed="false">
      <c r="A857" s="12" t="n">
        <v>853</v>
      </c>
      <c r="B857" s="10" t="s">
        <v>2556</v>
      </c>
      <c r="C857" s="10" t="s">
        <v>2557</v>
      </c>
      <c r="D857" s="11" t="n">
        <v>0.00746412037037037</v>
      </c>
      <c r="E857" s="18" t="n">
        <f aca="false">ROUND((D857-$D$5)*86400,2)</f>
        <v>105.88</v>
      </c>
      <c r="F857" s="12" t="n">
        <v>1785</v>
      </c>
      <c r="G857" s="11" t="str">
        <f aca="false">IF(INDEX(選手一覧!$D$7:$D$2738,$F857)="","",INDEX(選手一覧!$D$7:$D$2738,$F857))</f>
        <v/>
      </c>
      <c r="H857" s="12" t="str">
        <f aca="false">IF(INDEX(選手一覧!$E$7:$E$2738,$F857)="","",INDEX(選手一覧!$E$7:$E$2738,$F857))</f>
        <v/>
      </c>
      <c r="I857" s="11" t="str">
        <f aca="false">IF(INDEX(選手一覧!$H$7:$H$2738,$F857)="","",INDEX(選手一覧!$H$7:$H$2738,$F857))</f>
        <v/>
      </c>
      <c r="J857" s="12" t="str">
        <f aca="false">IF(INDEX(選手一覧!$I$7:$I$2738,$F857)="","",INDEX(選手一覧!$I$7:$I$2738,$F857))</f>
        <v/>
      </c>
    </row>
    <row r="858" customFormat="false" ht="15" hidden="false" customHeight="false" outlineLevel="0" collapsed="false">
      <c r="A858" s="12" t="n">
        <v>854</v>
      </c>
      <c r="B858" s="10" t="s">
        <v>2559</v>
      </c>
      <c r="C858" s="10" t="s">
        <v>2560</v>
      </c>
      <c r="D858" s="11" t="n">
        <v>0.00746412037037037</v>
      </c>
      <c r="E858" s="18" t="n">
        <f aca="false">ROUND((D858-$D$5)*86400,2)</f>
        <v>105.88</v>
      </c>
      <c r="F858" s="12" t="n">
        <v>1787</v>
      </c>
      <c r="G858" s="11" t="str">
        <f aca="false">IF(INDEX(選手一覧!$D$7:$D$2738,$F858)="","",INDEX(選手一覧!$D$7:$D$2738,$F858))</f>
        <v/>
      </c>
      <c r="H858" s="12" t="str">
        <f aca="false">IF(INDEX(選手一覧!$E$7:$E$2738,$F858)="","",INDEX(選手一覧!$E$7:$E$2738,$F858))</f>
        <v/>
      </c>
      <c r="I858" s="11" t="str">
        <f aca="false">IF(INDEX(選手一覧!$H$7:$H$2738,$F858)="","",INDEX(選手一覧!$H$7:$H$2738,$F858))</f>
        <v/>
      </c>
      <c r="J858" s="12" t="str">
        <f aca="false">IF(INDEX(選手一覧!$I$7:$I$2738,$F858)="","",INDEX(選手一覧!$I$7:$I$2738,$F858))</f>
        <v/>
      </c>
    </row>
    <row r="859" customFormat="false" ht="15" hidden="false" customHeight="false" outlineLevel="0" collapsed="false">
      <c r="A859" s="12" t="n">
        <v>855</v>
      </c>
      <c r="B859" s="10" t="s">
        <v>2561</v>
      </c>
      <c r="C859" s="10" t="s">
        <v>1322</v>
      </c>
      <c r="D859" s="11" t="n">
        <v>0.00746527777777778</v>
      </c>
      <c r="E859" s="18" t="n">
        <f aca="false">ROUND((D859-$D$5)*86400,2)</f>
        <v>105.98</v>
      </c>
      <c r="F859" s="12" t="n">
        <v>1788</v>
      </c>
      <c r="G859" s="11" t="str">
        <f aca="false">IF(INDEX(選手一覧!$D$7:$D$2738,$F859)="","",INDEX(選手一覧!$D$7:$D$2738,$F859))</f>
        <v/>
      </c>
      <c r="H859" s="12" t="str">
        <f aca="false">IF(INDEX(選手一覧!$E$7:$E$2738,$F859)="","",INDEX(選手一覧!$E$7:$E$2738,$F859))</f>
        <v/>
      </c>
      <c r="I859" s="11" t="str">
        <f aca="false">IF(INDEX(選手一覧!$H$7:$H$2738,$F859)="","",INDEX(選手一覧!$H$7:$H$2738,$F859))</f>
        <v/>
      </c>
      <c r="J859" s="12" t="str">
        <f aca="false">IF(INDEX(選手一覧!$I$7:$I$2738,$F859)="","",INDEX(選手一覧!$I$7:$I$2738,$F859))</f>
        <v/>
      </c>
    </row>
    <row r="860" customFormat="false" ht="15" hidden="false" customHeight="false" outlineLevel="0" collapsed="false">
      <c r="A860" s="12" t="n">
        <v>856</v>
      </c>
      <c r="B860" s="10" t="s">
        <v>2563</v>
      </c>
      <c r="C860" s="10" t="s">
        <v>1038</v>
      </c>
      <c r="D860" s="11" t="n">
        <v>0.00746666666666667</v>
      </c>
      <c r="E860" s="18" t="n">
        <f aca="false">ROUND((D860-$D$5)*86400,2)</f>
        <v>106.1</v>
      </c>
      <c r="F860" s="12" t="n">
        <v>1790</v>
      </c>
      <c r="G860" s="11" t="str">
        <f aca="false">IF(INDEX(選手一覧!$D$7:$D$2738,$F860)="","",INDEX(選手一覧!$D$7:$D$2738,$F860))</f>
        <v/>
      </c>
      <c r="H860" s="12" t="str">
        <f aca="false">IF(INDEX(選手一覧!$E$7:$E$2738,$F860)="","",INDEX(選手一覧!$E$7:$E$2738,$F860))</f>
        <v/>
      </c>
      <c r="I860" s="11" t="str">
        <f aca="false">IF(INDEX(選手一覧!$H$7:$H$2738,$F860)="","",INDEX(選手一覧!$H$7:$H$2738,$F860))</f>
        <v/>
      </c>
      <c r="J860" s="12" t="str">
        <f aca="false">IF(INDEX(選手一覧!$I$7:$I$2738,$F860)="","",INDEX(選手一覧!$I$7:$I$2738,$F860))</f>
        <v/>
      </c>
    </row>
    <row r="861" customFormat="false" ht="15" hidden="false" customHeight="false" outlineLevel="0" collapsed="false">
      <c r="A861" s="12" t="n">
        <v>857</v>
      </c>
      <c r="B861" s="10" t="s">
        <v>2055</v>
      </c>
      <c r="C861" s="10" t="s">
        <v>210</v>
      </c>
      <c r="D861" s="11" t="n">
        <v>0.00746712962962963</v>
      </c>
      <c r="E861" s="18" t="n">
        <f aca="false">ROUND((D861-$D$5)*86400,2)</f>
        <v>106.14</v>
      </c>
      <c r="F861" s="12" t="n">
        <v>1420</v>
      </c>
      <c r="G861" s="11" t="n">
        <f aca="false">IF(INDEX(選手一覧!$D$7:$D$2738,$F861)="","",INDEX(選手一覧!$D$7:$D$2738,$F861))</f>
        <v>0.010753125</v>
      </c>
      <c r="H861" s="12" t="n">
        <f aca="false">IF(INDEX(選手一覧!$E$7:$E$2738,$F861)="","",INDEX(選手一覧!$E$7:$E$2738,$F861))</f>
        <v>672</v>
      </c>
      <c r="I861" s="11" t="n">
        <f aca="false">IF(INDEX(選手一覧!$H$7:$H$2738,$F861)="","",INDEX(選手一覧!$H$7:$H$2738,$F861))</f>
        <v>0.00291041666666667</v>
      </c>
      <c r="J861" s="12" t="n">
        <f aca="false">IF(INDEX(選手一覧!$I$7:$I$2738,$F861)="","",INDEX(選手一覧!$I$7:$I$2738,$F861))</f>
        <v>1024</v>
      </c>
    </row>
    <row r="862" customFormat="false" ht="15" hidden="false" customHeight="false" outlineLevel="0" collapsed="false">
      <c r="A862" s="12" t="n">
        <v>858</v>
      </c>
      <c r="B862" s="10" t="s">
        <v>2568</v>
      </c>
      <c r="C862" s="10" t="s">
        <v>246</v>
      </c>
      <c r="D862" s="11" t="n">
        <v>0.00746793981481482</v>
      </c>
      <c r="E862" s="18" t="n">
        <f aca="false">ROUND((D862-$D$5)*86400,2)</f>
        <v>106.21</v>
      </c>
      <c r="F862" s="12" t="n">
        <v>1794</v>
      </c>
      <c r="G862" s="11" t="str">
        <f aca="false">IF(INDEX(選手一覧!$D$7:$D$2738,$F862)="","",INDEX(選手一覧!$D$7:$D$2738,$F862))</f>
        <v/>
      </c>
      <c r="H862" s="12" t="str">
        <f aca="false">IF(INDEX(選手一覧!$E$7:$E$2738,$F862)="","",INDEX(選手一覧!$E$7:$E$2738,$F862))</f>
        <v/>
      </c>
      <c r="I862" s="11" t="str">
        <f aca="false">IF(INDEX(選手一覧!$H$7:$H$2738,$F862)="","",INDEX(選手一覧!$H$7:$H$2738,$F862))</f>
        <v/>
      </c>
      <c r="J862" s="12" t="str">
        <f aca="false">IF(INDEX(選手一覧!$I$7:$I$2738,$F862)="","",INDEX(選手一覧!$I$7:$I$2738,$F862))</f>
        <v/>
      </c>
    </row>
    <row r="863" customFormat="false" ht="15" hidden="false" customHeight="false" outlineLevel="0" collapsed="false">
      <c r="A863" s="12" t="n">
        <v>859</v>
      </c>
      <c r="B863" s="10" t="s">
        <v>2569</v>
      </c>
      <c r="C863" s="10" t="s">
        <v>630</v>
      </c>
      <c r="D863" s="11" t="n">
        <v>0.00746956018518519</v>
      </c>
      <c r="E863" s="18" t="n">
        <f aca="false">ROUND((D863-$D$5)*86400,2)</f>
        <v>106.35</v>
      </c>
      <c r="F863" s="12" t="n">
        <v>1795</v>
      </c>
      <c r="G863" s="11" t="str">
        <f aca="false">IF(INDEX(選手一覧!$D$7:$D$2738,$F863)="","",INDEX(選手一覧!$D$7:$D$2738,$F863))</f>
        <v/>
      </c>
      <c r="H863" s="12" t="str">
        <f aca="false">IF(INDEX(選手一覧!$E$7:$E$2738,$F863)="","",INDEX(選手一覧!$E$7:$E$2738,$F863))</f>
        <v/>
      </c>
      <c r="I863" s="11" t="str">
        <f aca="false">IF(INDEX(選手一覧!$H$7:$H$2738,$F863)="","",INDEX(選手一覧!$H$7:$H$2738,$F863))</f>
        <v/>
      </c>
      <c r="J863" s="12" t="str">
        <f aca="false">IF(INDEX(選手一覧!$I$7:$I$2738,$F863)="","",INDEX(選手一覧!$I$7:$I$2738,$F863))</f>
        <v/>
      </c>
    </row>
    <row r="864" customFormat="false" ht="15" hidden="false" customHeight="false" outlineLevel="0" collapsed="false">
      <c r="A864" s="12" t="n">
        <v>860</v>
      </c>
      <c r="B864" s="10" t="s">
        <v>2570</v>
      </c>
      <c r="C864" s="10" t="s">
        <v>969</v>
      </c>
      <c r="D864" s="11" t="n">
        <v>0.00747141203703704</v>
      </c>
      <c r="E864" s="18" t="n">
        <f aca="false">ROUND((D864-$D$5)*86400,2)</f>
        <v>106.51</v>
      </c>
      <c r="F864" s="12" t="n">
        <v>1796</v>
      </c>
      <c r="G864" s="11" t="str">
        <f aca="false">IF(INDEX(選手一覧!$D$7:$D$2738,$F864)="","",INDEX(選手一覧!$D$7:$D$2738,$F864))</f>
        <v/>
      </c>
      <c r="H864" s="12" t="str">
        <f aca="false">IF(INDEX(選手一覧!$E$7:$E$2738,$F864)="","",INDEX(選手一覧!$E$7:$E$2738,$F864))</f>
        <v/>
      </c>
      <c r="I864" s="11" t="n">
        <f aca="false">IF(INDEX(選手一覧!$H$7:$H$2738,$F864)="","",INDEX(選手一覧!$H$7:$H$2738,$F864))</f>
        <v>0.00292881944444444</v>
      </c>
      <c r="J864" s="12" t="n">
        <f aca="false">IF(INDEX(選手一覧!$I$7:$I$2738,$F864)="","",INDEX(選手一覧!$I$7:$I$2738,$F864))</f>
        <v>1170</v>
      </c>
    </row>
    <row r="865" customFormat="false" ht="15" hidden="false" customHeight="false" outlineLevel="0" collapsed="false">
      <c r="A865" s="12" t="n">
        <v>861</v>
      </c>
      <c r="B865" s="10" t="s">
        <v>2573</v>
      </c>
      <c r="C865" s="10" t="s">
        <v>2398</v>
      </c>
      <c r="D865" s="11" t="n">
        <v>0.00747418981481482</v>
      </c>
      <c r="E865" s="18" t="n">
        <f aca="false">ROUND((D865-$D$5)*86400,2)</f>
        <v>106.75</v>
      </c>
      <c r="F865" s="12" t="n">
        <v>1799</v>
      </c>
      <c r="G865" s="11" t="str">
        <f aca="false">IF(INDEX(選手一覧!$D$7:$D$2738,$F865)="","",INDEX(選手一覧!$D$7:$D$2738,$F865))</f>
        <v/>
      </c>
      <c r="H865" s="12" t="str">
        <f aca="false">IF(INDEX(選手一覧!$E$7:$E$2738,$F865)="","",INDEX(選手一覧!$E$7:$E$2738,$F865))</f>
        <v/>
      </c>
      <c r="I865" s="11" t="str">
        <f aca="false">IF(INDEX(選手一覧!$H$7:$H$2738,$F865)="","",INDEX(選手一覧!$H$7:$H$2738,$F865))</f>
        <v/>
      </c>
      <c r="J865" s="12" t="str">
        <f aca="false">IF(INDEX(選手一覧!$I$7:$I$2738,$F865)="","",INDEX(選手一覧!$I$7:$I$2738,$F865))</f>
        <v/>
      </c>
    </row>
    <row r="866" customFormat="false" ht="15" hidden="false" customHeight="false" outlineLevel="0" collapsed="false">
      <c r="A866" s="12" t="n">
        <v>862</v>
      </c>
      <c r="B866" s="10" t="s">
        <v>2576</v>
      </c>
      <c r="C866" s="10" t="s">
        <v>2577</v>
      </c>
      <c r="D866" s="11" t="n">
        <v>0.0074744212962963</v>
      </c>
      <c r="E866" s="18" t="n">
        <f aca="false">ROUND((D866-$D$5)*86400,2)</f>
        <v>106.77</v>
      </c>
      <c r="F866" s="12" t="n">
        <v>1802</v>
      </c>
      <c r="G866" s="11" t="str">
        <f aca="false">IF(INDEX(選手一覧!$D$7:$D$2738,$F866)="","",INDEX(選手一覧!$D$7:$D$2738,$F866))</f>
        <v/>
      </c>
      <c r="H866" s="12" t="str">
        <f aca="false">IF(INDEX(選手一覧!$E$7:$E$2738,$F866)="","",INDEX(選手一覧!$E$7:$E$2738,$F866))</f>
        <v/>
      </c>
      <c r="I866" s="11" t="str">
        <f aca="false">IF(INDEX(選手一覧!$H$7:$H$2738,$F866)="","",INDEX(選手一覧!$H$7:$H$2738,$F866))</f>
        <v/>
      </c>
      <c r="J866" s="12" t="str">
        <f aca="false">IF(INDEX(選手一覧!$I$7:$I$2738,$F866)="","",INDEX(選手一覧!$I$7:$I$2738,$F866))</f>
        <v/>
      </c>
    </row>
    <row r="867" customFormat="false" ht="15" hidden="false" customHeight="false" outlineLevel="0" collapsed="false">
      <c r="A867" s="12" t="n">
        <v>863</v>
      </c>
      <c r="B867" s="10" t="s">
        <v>2578</v>
      </c>
      <c r="C867" s="10" t="s">
        <v>309</v>
      </c>
      <c r="D867" s="11" t="n">
        <v>0.00747476851851852</v>
      </c>
      <c r="E867" s="18" t="n">
        <f aca="false">ROUND((D867-$D$5)*86400,2)</f>
        <v>106.8</v>
      </c>
      <c r="F867" s="12" t="n">
        <v>1803</v>
      </c>
      <c r="G867" s="11" t="str">
        <f aca="false">IF(INDEX(選手一覧!$D$7:$D$2738,$F867)="","",INDEX(選手一覧!$D$7:$D$2738,$F867))</f>
        <v/>
      </c>
      <c r="H867" s="12" t="str">
        <f aca="false">IF(INDEX(選手一覧!$E$7:$E$2738,$F867)="","",INDEX(選手一覧!$E$7:$E$2738,$F867))</f>
        <v/>
      </c>
      <c r="I867" s="11" t="str">
        <f aca="false">IF(INDEX(選手一覧!$H$7:$H$2738,$F867)="","",INDEX(選手一覧!$H$7:$H$2738,$F867))</f>
        <v/>
      </c>
      <c r="J867" s="12" t="str">
        <f aca="false">IF(INDEX(選手一覧!$I$7:$I$2738,$F867)="","",INDEX(選手一覧!$I$7:$I$2738,$F867))</f>
        <v/>
      </c>
    </row>
    <row r="868" customFormat="false" ht="15" hidden="false" customHeight="false" outlineLevel="0" collapsed="false">
      <c r="A868" s="12" t="n">
        <v>864</v>
      </c>
      <c r="B868" s="10" t="s">
        <v>2581</v>
      </c>
      <c r="C868" s="10" t="s">
        <v>674</v>
      </c>
      <c r="D868" s="11" t="n">
        <v>0.007475</v>
      </c>
      <c r="E868" s="18" t="n">
        <f aca="false">ROUND((D868-$D$5)*86400,2)</f>
        <v>106.82</v>
      </c>
      <c r="F868" s="12" t="n">
        <v>1806</v>
      </c>
      <c r="G868" s="11" t="str">
        <f aca="false">IF(INDEX(選手一覧!$D$7:$D$2738,$F868)="","",INDEX(選手一覧!$D$7:$D$2738,$F868))</f>
        <v/>
      </c>
      <c r="H868" s="12" t="str">
        <f aca="false">IF(INDEX(選手一覧!$E$7:$E$2738,$F868)="","",INDEX(選手一覧!$E$7:$E$2738,$F868))</f>
        <v/>
      </c>
      <c r="I868" s="11" t="str">
        <f aca="false">IF(INDEX(選手一覧!$H$7:$H$2738,$F868)="","",INDEX(選手一覧!$H$7:$H$2738,$F868))</f>
        <v/>
      </c>
      <c r="J868" s="12" t="str">
        <f aca="false">IF(INDEX(選手一覧!$I$7:$I$2738,$F868)="","",INDEX(選手一覧!$I$7:$I$2738,$F868))</f>
        <v/>
      </c>
    </row>
    <row r="869" customFormat="false" ht="15" hidden="false" customHeight="false" outlineLevel="0" collapsed="false">
      <c r="A869" s="12" t="n">
        <v>865</v>
      </c>
      <c r="B869" s="10" t="s">
        <v>2583</v>
      </c>
      <c r="C869" s="10" t="s">
        <v>906</v>
      </c>
      <c r="D869" s="11" t="n">
        <v>0.00747627314814815</v>
      </c>
      <c r="E869" s="18" t="n">
        <f aca="false">ROUND((D869-$D$5)*86400,2)</f>
        <v>106.93</v>
      </c>
      <c r="F869" s="12" t="n">
        <v>1808</v>
      </c>
      <c r="G869" s="11" t="str">
        <f aca="false">IF(INDEX(選手一覧!$D$7:$D$2738,$F869)="","",INDEX(選手一覧!$D$7:$D$2738,$F869))</f>
        <v/>
      </c>
      <c r="H869" s="12" t="str">
        <f aca="false">IF(INDEX(選手一覧!$E$7:$E$2738,$F869)="","",INDEX(選手一覧!$E$7:$E$2738,$F869))</f>
        <v/>
      </c>
      <c r="I869" s="11" t="str">
        <f aca="false">IF(INDEX(選手一覧!$H$7:$H$2738,$F869)="","",INDEX(選手一覧!$H$7:$H$2738,$F869))</f>
        <v/>
      </c>
      <c r="J869" s="12" t="str">
        <f aca="false">IF(INDEX(選手一覧!$I$7:$I$2738,$F869)="","",INDEX(選手一覧!$I$7:$I$2738,$F869))</f>
        <v/>
      </c>
    </row>
    <row r="870" customFormat="false" ht="15" hidden="false" customHeight="false" outlineLevel="0" collapsed="false">
      <c r="A870" s="12" t="n">
        <v>866</v>
      </c>
      <c r="B870" s="10" t="s">
        <v>2585</v>
      </c>
      <c r="C870" s="10" t="s">
        <v>2586</v>
      </c>
      <c r="D870" s="11" t="n">
        <v>0.00747708333333333</v>
      </c>
      <c r="E870" s="18" t="n">
        <f aca="false">ROUND((D870-$D$5)*86400,2)</f>
        <v>107</v>
      </c>
      <c r="F870" s="12" t="n">
        <v>1810</v>
      </c>
      <c r="G870" s="11" t="str">
        <f aca="false">IF(INDEX(選手一覧!$D$7:$D$2738,$F870)="","",INDEX(選手一覧!$D$7:$D$2738,$F870))</f>
        <v/>
      </c>
      <c r="H870" s="12" t="str">
        <f aca="false">IF(INDEX(選手一覧!$E$7:$E$2738,$F870)="","",INDEX(選手一覧!$E$7:$E$2738,$F870))</f>
        <v/>
      </c>
      <c r="I870" s="11" t="str">
        <f aca="false">IF(INDEX(選手一覧!$H$7:$H$2738,$F870)="","",INDEX(選手一覧!$H$7:$H$2738,$F870))</f>
        <v/>
      </c>
      <c r="J870" s="12" t="str">
        <f aca="false">IF(INDEX(選手一覧!$I$7:$I$2738,$F870)="","",INDEX(選手一覧!$I$7:$I$2738,$F870))</f>
        <v/>
      </c>
    </row>
    <row r="871" customFormat="false" ht="15" hidden="false" customHeight="false" outlineLevel="0" collapsed="false">
      <c r="A871" s="12" t="n">
        <v>867</v>
      </c>
      <c r="B871" s="10" t="s">
        <v>2587</v>
      </c>
      <c r="C871" s="10" t="s">
        <v>2483</v>
      </c>
      <c r="D871" s="11" t="n">
        <v>0.00747708333333333</v>
      </c>
      <c r="E871" s="18" t="n">
        <f aca="false">ROUND((D871-$D$5)*86400,2)</f>
        <v>107</v>
      </c>
      <c r="F871" s="12" t="n">
        <v>1811</v>
      </c>
      <c r="G871" s="11" t="str">
        <f aca="false">IF(INDEX(選手一覧!$D$7:$D$2738,$F871)="","",INDEX(選手一覧!$D$7:$D$2738,$F871))</f>
        <v/>
      </c>
      <c r="H871" s="12" t="str">
        <f aca="false">IF(INDEX(選手一覧!$E$7:$E$2738,$F871)="","",INDEX(選手一覧!$E$7:$E$2738,$F871))</f>
        <v/>
      </c>
      <c r="I871" s="11" t="str">
        <f aca="false">IF(INDEX(選手一覧!$H$7:$H$2738,$F871)="","",INDEX(選手一覧!$H$7:$H$2738,$F871))</f>
        <v/>
      </c>
      <c r="J871" s="12" t="str">
        <f aca="false">IF(INDEX(選手一覧!$I$7:$I$2738,$F871)="","",INDEX(選手一覧!$I$7:$I$2738,$F871))</f>
        <v/>
      </c>
    </row>
    <row r="872" customFormat="false" ht="15" hidden="false" customHeight="false" outlineLevel="0" collapsed="false">
      <c r="A872" s="12" t="n">
        <v>868</v>
      </c>
      <c r="B872" s="10" t="s">
        <v>2589</v>
      </c>
      <c r="C872" s="10" t="s">
        <v>2590</v>
      </c>
      <c r="D872" s="11" t="n">
        <v>0.0074775462962963</v>
      </c>
      <c r="E872" s="18" t="n">
        <f aca="false">ROUND((D872-$D$5)*86400,2)</f>
        <v>107.04</v>
      </c>
      <c r="F872" s="12" t="n">
        <v>1813</v>
      </c>
      <c r="G872" s="11" t="str">
        <f aca="false">IF(INDEX(選手一覧!$D$7:$D$2738,$F872)="","",INDEX(選手一覧!$D$7:$D$2738,$F872))</f>
        <v/>
      </c>
      <c r="H872" s="12" t="str">
        <f aca="false">IF(INDEX(選手一覧!$E$7:$E$2738,$F872)="","",INDEX(選手一覧!$E$7:$E$2738,$F872))</f>
        <v/>
      </c>
      <c r="I872" s="11" t="str">
        <f aca="false">IF(INDEX(選手一覧!$H$7:$H$2738,$F872)="","",INDEX(選手一覧!$H$7:$H$2738,$F872))</f>
        <v/>
      </c>
      <c r="J872" s="12" t="str">
        <f aca="false">IF(INDEX(選手一覧!$I$7:$I$2738,$F872)="","",INDEX(選手一覧!$I$7:$I$2738,$F872))</f>
        <v/>
      </c>
    </row>
    <row r="873" customFormat="false" ht="15" hidden="false" customHeight="false" outlineLevel="0" collapsed="false">
      <c r="A873" s="12" t="n">
        <v>869</v>
      </c>
      <c r="B873" s="10" t="s">
        <v>1158</v>
      </c>
      <c r="C873" s="10" t="s">
        <v>317</v>
      </c>
      <c r="D873" s="11" t="n">
        <v>0.00748032407407407</v>
      </c>
      <c r="E873" s="18" t="n">
        <f aca="false">ROUND((D873-$D$5)*86400,2)</f>
        <v>107.28</v>
      </c>
      <c r="F873" s="12" t="n">
        <v>783</v>
      </c>
      <c r="G873" s="11" t="n">
        <f aca="false">IF(INDEX(選手一覧!$D$7:$D$2738,$F873)="","",INDEX(選手一覧!$D$7:$D$2738,$F873))</f>
        <v>0.010499537037037</v>
      </c>
      <c r="H873" s="12" t="n">
        <f aca="false">IF(INDEX(選手一覧!$E$7:$E$2738,$F873)="","",INDEX(選手一覧!$E$7:$E$2738,$F873))</f>
        <v>340</v>
      </c>
      <c r="I873" s="11" t="n">
        <f aca="false">IF(INDEX(選手一覧!$H$7:$H$2738,$F873)="","",INDEX(選手一覧!$H$7:$H$2738,$F873))</f>
        <v>0.00282233796296296</v>
      </c>
      <c r="J873" s="12" t="n">
        <f aca="false">IF(INDEX(選手一覧!$I$7:$I$2738,$F873)="","",INDEX(選手一覧!$I$7:$I$2738,$F873))</f>
        <v>378</v>
      </c>
    </row>
    <row r="874" customFormat="false" ht="15" hidden="false" customHeight="false" outlineLevel="0" collapsed="false">
      <c r="A874" s="12" t="n">
        <v>870</v>
      </c>
      <c r="B874" s="10" t="s">
        <v>2594</v>
      </c>
      <c r="C874" s="10" t="s">
        <v>2595</v>
      </c>
      <c r="D874" s="11" t="n">
        <v>0.00748043981481481</v>
      </c>
      <c r="E874" s="18" t="n">
        <f aca="false">ROUND((D874-$D$5)*86400,2)</f>
        <v>107.29</v>
      </c>
      <c r="F874" s="12" t="n">
        <v>1816</v>
      </c>
      <c r="G874" s="11" t="str">
        <f aca="false">IF(INDEX(選手一覧!$D$7:$D$2738,$F874)="","",INDEX(選手一覧!$D$7:$D$2738,$F874))</f>
        <v/>
      </c>
      <c r="H874" s="12" t="str">
        <f aca="false">IF(INDEX(選手一覧!$E$7:$E$2738,$F874)="","",INDEX(選手一覧!$E$7:$E$2738,$F874))</f>
        <v/>
      </c>
      <c r="I874" s="11" t="str">
        <f aca="false">IF(INDEX(選手一覧!$H$7:$H$2738,$F874)="","",INDEX(選手一覧!$H$7:$H$2738,$F874))</f>
        <v/>
      </c>
      <c r="J874" s="12" t="str">
        <f aca="false">IF(INDEX(選手一覧!$I$7:$I$2738,$F874)="","",INDEX(選手一覧!$I$7:$I$2738,$F874))</f>
        <v/>
      </c>
    </row>
    <row r="875" customFormat="false" ht="15" hidden="false" customHeight="false" outlineLevel="0" collapsed="false">
      <c r="A875" s="12" t="n">
        <v>871</v>
      </c>
      <c r="B875" s="10" t="s">
        <v>2597</v>
      </c>
      <c r="C875" s="10" t="s">
        <v>2598</v>
      </c>
      <c r="D875" s="11" t="n">
        <v>0.00748101851851852</v>
      </c>
      <c r="E875" s="18" t="n">
        <f aca="false">ROUND((D875-$D$5)*86400,2)</f>
        <v>107.34</v>
      </c>
      <c r="F875" s="12" t="n">
        <v>1818</v>
      </c>
      <c r="G875" s="11" t="str">
        <f aca="false">IF(INDEX(選手一覧!$D$7:$D$2738,$F875)="","",INDEX(選手一覧!$D$7:$D$2738,$F875))</f>
        <v/>
      </c>
      <c r="H875" s="12" t="str">
        <f aca="false">IF(INDEX(選手一覧!$E$7:$E$2738,$F875)="","",INDEX(選手一覧!$E$7:$E$2738,$F875))</f>
        <v/>
      </c>
      <c r="I875" s="11" t="str">
        <f aca="false">IF(INDEX(選手一覧!$H$7:$H$2738,$F875)="","",INDEX(選手一覧!$H$7:$H$2738,$F875))</f>
        <v/>
      </c>
      <c r="J875" s="12" t="str">
        <f aca="false">IF(INDEX(選手一覧!$I$7:$I$2738,$F875)="","",INDEX(選手一覧!$I$7:$I$2738,$F875))</f>
        <v/>
      </c>
    </row>
    <row r="876" customFormat="false" ht="15" hidden="false" customHeight="false" outlineLevel="0" collapsed="false">
      <c r="A876" s="12" t="n">
        <v>872</v>
      </c>
      <c r="B876" s="10" t="s">
        <v>2600</v>
      </c>
      <c r="C876" s="10" t="s">
        <v>2601</v>
      </c>
      <c r="D876" s="11" t="n">
        <v>0.00748101851851852</v>
      </c>
      <c r="E876" s="18" t="n">
        <f aca="false">ROUND((D876-$D$5)*86400,2)</f>
        <v>107.34</v>
      </c>
      <c r="F876" s="12" t="n">
        <v>1820</v>
      </c>
      <c r="G876" s="11" t="str">
        <f aca="false">IF(INDEX(選手一覧!$D$7:$D$2738,$F876)="","",INDEX(選手一覧!$D$7:$D$2738,$F876))</f>
        <v/>
      </c>
      <c r="H876" s="12" t="str">
        <f aca="false">IF(INDEX(選手一覧!$E$7:$E$2738,$F876)="","",INDEX(選手一覧!$E$7:$E$2738,$F876))</f>
        <v/>
      </c>
      <c r="I876" s="11" t="str">
        <f aca="false">IF(INDEX(選手一覧!$H$7:$H$2738,$F876)="","",INDEX(選手一覧!$H$7:$H$2738,$F876))</f>
        <v/>
      </c>
      <c r="J876" s="12" t="str">
        <f aca="false">IF(INDEX(選手一覧!$I$7:$I$2738,$F876)="","",INDEX(選手一覧!$I$7:$I$2738,$F876))</f>
        <v/>
      </c>
    </row>
    <row r="877" customFormat="false" ht="15" hidden="false" customHeight="false" outlineLevel="0" collapsed="false">
      <c r="A877" s="12" t="n">
        <v>873</v>
      </c>
      <c r="B877" s="10" t="s">
        <v>2602</v>
      </c>
      <c r="C877" s="10" t="s">
        <v>2603</v>
      </c>
      <c r="D877" s="11" t="n">
        <v>0.0074818287037037</v>
      </c>
      <c r="E877" s="18" t="n">
        <f aca="false">ROUND((D877-$D$5)*86400,2)</f>
        <v>107.41</v>
      </c>
      <c r="F877" s="12" t="n">
        <v>1821</v>
      </c>
      <c r="G877" s="11" t="str">
        <f aca="false">IF(INDEX(選手一覧!$D$7:$D$2738,$F877)="","",INDEX(選手一覧!$D$7:$D$2738,$F877))</f>
        <v/>
      </c>
      <c r="H877" s="12" t="str">
        <f aca="false">IF(INDEX(選手一覧!$E$7:$E$2738,$F877)="","",INDEX(選手一覧!$E$7:$E$2738,$F877))</f>
        <v/>
      </c>
      <c r="I877" s="11" t="str">
        <f aca="false">IF(INDEX(選手一覧!$H$7:$H$2738,$F877)="","",INDEX(選手一覧!$H$7:$H$2738,$F877))</f>
        <v/>
      </c>
      <c r="J877" s="12" t="str">
        <f aca="false">IF(INDEX(選手一覧!$I$7:$I$2738,$F877)="","",INDEX(選手一覧!$I$7:$I$2738,$F877))</f>
        <v/>
      </c>
    </row>
    <row r="878" customFormat="false" ht="15" hidden="false" customHeight="false" outlineLevel="0" collapsed="false">
      <c r="A878" s="12" t="n">
        <v>874</v>
      </c>
      <c r="B878" s="10" t="s">
        <v>2605</v>
      </c>
      <c r="C878" s="10" t="s">
        <v>2606</v>
      </c>
      <c r="D878" s="11" t="n">
        <v>0.00748194444444445</v>
      </c>
      <c r="E878" s="18" t="n">
        <f aca="false">ROUND((D878-$D$5)*86400,2)</f>
        <v>107.42</v>
      </c>
      <c r="F878" s="12" t="n">
        <v>1823</v>
      </c>
      <c r="G878" s="11" t="str">
        <f aca="false">IF(INDEX(選手一覧!$D$7:$D$2738,$F878)="","",INDEX(選手一覧!$D$7:$D$2738,$F878))</f>
        <v/>
      </c>
      <c r="H878" s="12" t="str">
        <f aca="false">IF(INDEX(選手一覧!$E$7:$E$2738,$F878)="","",INDEX(選手一覧!$E$7:$E$2738,$F878))</f>
        <v/>
      </c>
      <c r="I878" s="11" t="str">
        <f aca="false">IF(INDEX(選手一覧!$H$7:$H$2738,$F878)="","",INDEX(選手一覧!$H$7:$H$2738,$F878))</f>
        <v/>
      </c>
      <c r="J878" s="12" t="str">
        <f aca="false">IF(INDEX(選手一覧!$I$7:$I$2738,$F878)="","",INDEX(選手一覧!$I$7:$I$2738,$F878))</f>
        <v/>
      </c>
    </row>
    <row r="879" customFormat="false" ht="15" hidden="false" customHeight="false" outlineLevel="0" collapsed="false">
      <c r="A879" s="12" t="n">
        <v>875</v>
      </c>
      <c r="B879" s="10" t="s">
        <v>2609</v>
      </c>
      <c r="C879" s="10" t="s">
        <v>2610</v>
      </c>
      <c r="D879" s="11" t="n">
        <v>0.00748391203703704</v>
      </c>
      <c r="E879" s="18" t="n">
        <f aca="false">ROUND((D879-$D$5)*86400,2)</f>
        <v>107.59</v>
      </c>
      <c r="F879" s="12" t="n">
        <v>1826</v>
      </c>
      <c r="G879" s="11" t="str">
        <f aca="false">IF(INDEX(選手一覧!$D$7:$D$2738,$F879)="","",INDEX(選手一覧!$D$7:$D$2738,$F879))</f>
        <v/>
      </c>
      <c r="H879" s="12" t="str">
        <f aca="false">IF(INDEX(選手一覧!$E$7:$E$2738,$F879)="","",INDEX(選手一覧!$E$7:$E$2738,$F879))</f>
        <v/>
      </c>
      <c r="I879" s="11" t="str">
        <f aca="false">IF(INDEX(選手一覧!$H$7:$H$2738,$F879)="","",INDEX(選手一覧!$H$7:$H$2738,$F879))</f>
        <v/>
      </c>
      <c r="J879" s="12" t="str">
        <f aca="false">IF(INDEX(選手一覧!$I$7:$I$2738,$F879)="","",INDEX(選手一覧!$I$7:$I$2738,$F879))</f>
        <v/>
      </c>
    </row>
    <row r="880" customFormat="false" ht="15" hidden="false" customHeight="false" outlineLevel="0" collapsed="false">
      <c r="A880" s="12" t="n">
        <v>876</v>
      </c>
      <c r="B880" s="10" t="s">
        <v>2612</v>
      </c>
      <c r="C880" s="10" t="s">
        <v>2613</v>
      </c>
      <c r="D880" s="11" t="n">
        <v>0.00748449074074074</v>
      </c>
      <c r="E880" s="18" t="n">
        <f aca="false">ROUND((D880-$D$5)*86400,2)</f>
        <v>107.64</v>
      </c>
      <c r="F880" s="12" t="n">
        <v>1828</v>
      </c>
      <c r="G880" s="11" t="str">
        <f aca="false">IF(INDEX(選手一覧!$D$7:$D$2738,$F880)="","",INDEX(選手一覧!$D$7:$D$2738,$F880))</f>
        <v/>
      </c>
      <c r="H880" s="12" t="str">
        <f aca="false">IF(INDEX(選手一覧!$E$7:$E$2738,$F880)="","",INDEX(選手一覧!$E$7:$E$2738,$F880))</f>
        <v/>
      </c>
      <c r="I880" s="11" t="str">
        <f aca="false">IF(INDEX(選手一覧!$H$7:$H$2738,$F880)="","",INDEX(選手一覧!$H$7:$H$2738,$F880))</f>
        <v/>
      </c>
      <c r="J880" s="12" t="str">
        <f aca="false">IF(INDEX(選手一覧!$I$7:$I$2738,$F880)="","",INDEX(選手一覧!$I$7:$I$2738,$F880))</f>
        <v/>
      </c>
    </row>
    <row r="881" customFormat="false" ht="15" hidden="false" customHeight="false" outlineLevel="0" collapsed="false">
      <c r="A881" s="12" t="n">
        <v>877</v>
      </c>
      <c r="B881" s="10" t="s">
        <v>2616</v>
      </c>
      <c r="C881" s="10" t="s">
        <v>2617</v>
      </c>
      <c r="D881" s="11" t="n">
        <v>0.00748564814814815</v>
      </c>
      <c r="E881" s="18" t="n">
        <f aca="false">ROUND((D881-$D$5)*86400,2)</f>
        <v>107.74</v>
      </c>
      <c r="F881" s="12" t="n">
        <v>1830</v>
      </c>
      <c r="G881" s="11" t="str">
        <f aca="false">IF(INDEX(選手一覧!$D$7:$D$2738,$F881)="","",INDEX(選手一覧!$D$7:$D$2738,$F881))</f>
        <v/>
      </c>
      <c r="H881" s="12" t="str">
        <f aca="false">IF(INDEX(選手一覧!$E$7:$E$2738,$F881)="","",INDEX(選手一覧!$E$7:$E$2738,$F881))</f>
        <v/>
      </c>
      <c r="I881" s="11" t="str">
        <f aca="false">IF(INDEX(選手一覧!$H$7:$H$2738,$F881)="","",INDEX(選手一覧!$H$7:$H$2738,$F881))</f>
        <v/>
      </c>
      <c r="J881" s="12" t="str">
        <f aca="false">IF(INDEX(選手一覧!$I$7:$I$2738,$F881)="","",INDEX(選手一覧!$I$7:$I$2738,$F881))</f>
        <v/>
      </c>
    </row>
    <row r="882" customFormat="false" ht="15" hidden="false" customHeight="false" outlineLevel="0" collapsed="false">
      <c r="A882" s="12" t="n">
        <v>878</v>
      </c>
      <c r="B882" s="10" t="s">
        <v>2620</v>
      </c>
      <c r="C882" s="10" t="s">
        <v>2621</v>
      </c>
      <c r="D882" s="11" t="n">
        <v>0.00748726851851852</v>
      </c>
      <c r="E882" s="18" t="n">
        <f aca="false">ROUND((D882-$D$5)*86400,2)</f>
        <v>107.88</v>
      </c>
      <c r="F882" s="12" t="n">
        <v>1832</v>
      </c>
      <c r="G882" s="11" t="str">
        <f aca="false">IF(INDEX(選手一覧!$D$7:$D$2738,$F882)="","",INDEX(選手一覧!$D$7:$D$2738,$F882))</f>
        <v/>
      </c>
      <c r="H882" s="12" t="str">
        <f aca="false">IF(INDEX(選手一覧!$E$7:$E$2738,$F882)="","",INDEX(選手一覧!$E$7:$E$2738,$F882))</f>
        <v/>
      </c>
      <c r="I882" s="11" t="str">
        <f aca="false">IF(INDEX(選手一覧!$H$7:$H$2738,$F882)="","",INDEX(選手一覧!$H$7:$H$2738,$F882))</f>
        <v/>
      </c>
      <c r="J882" s="12" t="str">
        <f aca="false">IF(INDEX(選手一覧!$I$7:$I$2738,$F882)="","",INDEX(選手一覧!$I$7:$I$2738,$F882))</f>
        <v/>
      </c>
    </row>
    <row r="883" customFormat="false" ht="15" hidden="false" customHeight="false" outlineLevel="0" collapsed="false">
      <c r="A883" s="12" t="n">
        <v>879</v>
      </c>
      <c r="B883" s="10" t="s">
        <v>2623</v>
      </c>
      <c r="C883" s="10" t="s">
        <v>1614</v>
      </c>
      <c r="D883" s="11" t="n">
        <v>0.00748738425925926</v>
      </c>
      <c r="E883" s="18" t="n">
        <f aca="false">ROUND((D883-$D$5)*86400,2)</f>
        <v>107.89</v>
      </c>
      <c r="F883" s="12" t="n">
        <v>1834</v>
      </c>
      <c r="G883" s="11" t="str">
        <f aca="false">IF(INDEX(選手一覧!$D$7:$D$2738,$F883)="","",INDEX(選手一覧!$D$7:$D$2738,$F883))</f>
        <v/>
      </c>
      <c r="H883" s="12" t="str">
        <f aca="false">IF(INDEX(選手一覧!$E$7:$E$2738,$F883)="","",INDEX(選手一覧!$E$7:$E$2738,$F883))</f>
        <v/>
      </c>
      <c r="I883" s="11" t="str">
        <f aca="false">IF(INDEX(選手一覧!$H$7:$H$2738,$F883)="","",INDEX(選手一覧!$H$7:$H$2738,$F883))</f>
        <v/>
      </c>
      <c r="J883" s="12" t="str">
        <f aca="false">IF(INDEX(選手一覧!$I$7:$I$2738,$F883)="","",INDEX(選手一覧!$I$7:$I$2738,$F883))</f>
        <v/>
      </c>
    </row>
    <row r="884" customFormat="false" ht="15" hidden="false" customHeight="false" outlineLevel="0" collapsed="false">
      <c r="A884" s="12" t="n">
        <v>880</v>
      </c>
      <c r="B884" s="10" t="s">
        <v>2625</v>
      </c>
      <c r="C884" s="10" t="s">
        <v>2626</v>
      </c>
      <c r="D884" s="11" t="n">
        <v>0.00749016203703704</v>
      </c>
      <c r="E884" s="18" t="n">
        <f aca="false">ROUND((D884-$D$5)*86400,2)</f>
        <v>108.13</v>
      </c>
      <c r="F884" s="12" t="n">
        <v>1836</v>
      </c>
      <c r="G884" s="11" t="str">
        <f aca="false">IF(INDEX(選手一覧!$D$7:$D$2738,$F884)="","",INDEX(選手一覧!$D$7:$D$2738,$F884))</f>
        <v/>
      </c>
      <c r="H884" s="12" t="str">
        <f aca="false">IF(INDEX(選手一覧!$E$7:$E$2738,$F884)="","",INDEX(選手一覧!$E$7:$E$2738,$F884))</f>
        <v/>
      </c>
      <c r="I884" s="11" t="str">
        <f aca="false">IF(INDEX(選手一覧!$H$7:$H$2738,$F884)="","",INDEX(選手一覧!$H$7:$H$2738,$F884))</f>
        <v/>
      </c>
      <c r="J884" s="12" t="str">
        <f aca="false">IF(INDEX(選手一覧!$I$7:$I$2738,$F884)="","",INDEX(選手一覧!$I$7:$I$2738,$F884))</f>
        <v/>
      </c>
    </row>
    <row r="885" customFormat="false" ht="15" hidden="false" customHeight="false" outlineLevel="0" collapsed="false">
      <c r="A885" s="12" t="n">
        <v>881</v>
      </c>
      <c r="B885" s="10" t="s">
        <v>2629</v>
      </c>
      <c r="C885" s="10" t="s">
        <v>1443</v>
      </c>
      <c r="D885" s="11" t="n">
        <v>0.00749016203703704</v>
      </c>
      <c r="E885" s="18" t="n">
        <f aca="false">ROUND((D885-$D$5)*86400,2)</f>
        <v>108.13</v>
      </c>
      <c r="F885" s="12" t="n">
        <v>1838</v>
      </c>
      <c r="G885" s="11" t="str">
        <f aca="false">IF(INDEX(選手一覧!$D$7:$D$2738,$F885)="","",INDEX(選手一覧!$D$7:$D$2738,$F885))</f>
        <v/>
      </c>
      <c r="H885" s="12" t="str">
        <f aca="false">IF(INDEX(選手一覧!$E$7:$E$2738,$F885)="","",INDEX(選手一覧!$E$7:$E$2738,$F885))</f>
        <v/>
      </c>
      <c r="I885" s="11" t="str">
        <f aca="false">IF(INDEX(選手一覧!$H$7:$H$2738,$F885)="","",INDEX(選手一覧!$H$7:$H$2738,$F885))</f>
        <v/>
      </c>
      <c r="J885" s="12" t="str">
        <f aca="false">IF(INDEX(選手一覧!$I$7:$I$2738,$F885)="","",INDEX(選手一覧!$I$7:$I$2738,$F885))</f>
        <v/>
      </c>
    </row>
    <row r="886" customFormat="false" ht="15" hidden="false" customHeight="false" outlineLevel="0" collapsed="false">
      <c r="A886" s="12" t="n">
        <v>882</v>
      </c>
      <c r="B886" s="10" t="s">
        <v>2630</v>
      </c>
      <c r="C886" s="10" t="s">
        <v>2631</v>
      </c>
      <c r="D886" s="11" t="n">
        <v>0.00749189814814815</v>
      </c>
      <c r="E886" s="18" t="n">
        <f aca="false">ROUND((D886-$D$5)*86400,2)</f>
        <v>108.28</v>
      </c>
      <c r="F886" s="12" t="n">
        <v>1839</v>
      </c>
      <c r="G886" s="11" t="str">
        <f aca="false">IF(INDEX(選手一覧!$D$7:$D$2738,$F886)="","",INDEX(選手一覧!$D$7:$D$2738,$F886))</f>
        <v/>
      </c>
      <c r="H886" s="12" t="str">
        <f aca="false">IF(INDEX(選手一覧!$E$7:$E$2738,$F886)="","",INDEX(選手一覧!$E$7:$E$2738,$F886))</f>
        <v/>
      </c>
      <c r="I886" s="11" t="str">
        <f aca="false">IF(INDEX(選手一覧!$H$7:$H$2738,$F886)="","",INDEX(選手一覧!$H$7:$H$2738,$F886))</f>
        <v/>
      </c>
      <c r="J886" s="12" t="str">
        <f aca="false">IF(INDEX(選手一覧!$I$7:$I$2738,$F886)="","",INDEX(選手一覧!$I$7:$I$2738,$F886))</f>
        <v/>
      </c>
    </row>
    <row r="887" customFormat="false" ht="15" hidden="false" customHeight="false" outlineLevel="0" collapsed="false">
      <c r="A887" s="12" t="n">
        <v>883</v>
      </c>
      <c r="B887" s="10" t="s">
        <v>2634</v>
      </c>
      <c r="C887" s="10" t="s">
        <v>2603</v>
      </c>
      <c r="D887" s="11" t="n">
        <v>0.00749212962962963</v>
      </c>
      <c r="E887" s="18" t="n">
        <f aca="false">ROUND((D887-$D$5)*86400,2)</f>
        <v>108.3</v>
      </c>
      <c r="F887" s="12" t="n">
        <v>1842</v>
      </c>
      <c r="G887" s="11" t="str">
        <f aca="false">IF(INDEX(選手一覧!$D$7:$D$2738,$F887)="","",INDEX(選手一覧!$D$7:$D$2738,$F887))</f>
        <v/>
      </c>
      <c r="H887" s="12" t="str">
        <f aca="false">IF(INDEX(選手一覧!$E$7:$E$2738,$F887)="","",INDEX(選手一覧!$E$7:$E$2738,$F887))</f>
        <v/>
      </c>
      <c r="I887" s="11" t="str">
        <f aca="false">IF(INDEX(選手一覧!$H$7:$H$2738,$F887)="","",INDEX(選手一覧!$H$7:$H$2738,$F887))</f>
        <v/>
      </c>
      <c r="J887" s="12" t="str">
        <f aca="false">IF(INDEX(選手一覧!$I$7:$I$2738,$F887)="","",INDEX(選手一覧!$I$7:$I$2738,$F887))</f>
        <v/>
      </c>
    </row>
    <row r="888" customFormat="false" ht="15" hidden="false" customHeight="false" outlineLevel="0" collapsed="false">
      <c r="A888" s="12" t="n">
        <v>884</v>
      </c>
      <c r="B888" s="10" t="s">
        <v>2636</v>
      </c>
      <c r="C888" s="10" t="s">
        <v>93</v>
      </c>
      <c r="D888" s="11" t="n">
        <v>0.00749490740740741</v>
      </c>
      <c r="E888" s="18" t="n">
        <f aca="false">ROUND((D888-$D$5)*86400,2)</f>
        <v>108.54</v>
      </c>
      <c r="F888" s="12" t="n">
        <v>1844</v>
      </c>
      <c r="G888" s="11" t="str">
        <f aca="false">IF(INDEX(選手一覧!$D$7:$D$2738,$F888)="","",INDEX(選手一覧!$D$7:$D$2738,$F888))</f>
        <v/>
      </c>
      <c r="H888" s="12" t="str">
        <f aca="false">IF(INDEX(選手一覧!$E$7:$E$2738,$F888)="","",INDEX(選手一覧!$E$7:$E$2738,$F888))</f>
        <v/>
      </c>
      <c r="I888" s="11" t="str">
        <f aca="false">IF(INDEX(選手一覧!$H$7:$H$2738,$F888)="","",INDEX(選手一覧!$H$7:$H$2738,$F888))</f>
        <v/>
      </c>
      <c r="J888" s="12" t="str">
        <f aca="false">IF(INDEX(選手一覧!$I$7:$I$2738,$F888)="","",INDEX(選手一覧!$I$7:$I$2738,$F888))</f>
        <v/>
      </c>
    </row>
    <row r="889" customFormat="false" ht="15" hidden="false" customHeight="false" outlineLevel="0" collapsed="false">
      <c r="A889" s="12" t="n">
        <v>885</v>
      </c>
      <c r="B889" s="10" t="s">
        <v>2637</v>
      </c>
      <c r="C889" s="10" t="s">
        <v>2638</v>
      </c>
      <c r="D889" s="11" t="n">
        <v>0.00749675925925926</v>
      </c>
      <c r="E889" s="18" t="n">
        <f aca="false">ROUND((D889-$D$5)*86400,2)</f>
        <v>108.7</v>
      </c>
      <c r="F889" s="12" t="n">
        <v>1845</v>
      </c>
      <c r="G889" s="11" t="str">
        <f aca="false">IF(INDEX(選手一覧!$D$7:$D$2738,$F889)="","",INDEX(選手一覧!$D$7:$D$2738,$F889))</f>
        <v/>
      </c>
      <c r="H889" s="12" t="str">
        <f aca="false">IF(INDEX(選手一覧!$E$7:$E$2738,$F889)="","",INDEX(選手一覧!$E$7:$E$2738,$F889))</f>
        <v/>
      </c>
      <c r="I889" s="11" t="str">
        <f aca="false">IF(INDEX(選手一覧!$H$7:$H$2738,$F889)="","",INDEX(選手一覧!$H$7:$H$2738,$F889))</f>
        <v/>
      </c>
      <c r="J889" s="12" t="str">
        <f aca="false">IF(INDEX(選手一覧!$I$7:$I$2738,$F889)="","",INDEX(選手一覧!$I$7:$I$2738,$F889))</f>
        <v/>
      </c>
    </row>
    <row r="890" customFormat="false" ht="15" hidden="false" customHeight="false" outlineLevel="0" collapsed="false">
      <c r="A890" s="12" t="n">
        <v>886</v>
      </c>
      <c r="B890" s="10" t="s">
        <v>2641</v>
      </c>
      <c r="C890" s="10" t="s">
        <v>769</v>
      </c>
      <c r="D890" s="11" t="n">
        <v>0.00750069444444444</v>
      </c>
      <c r="E890" s="18" t="n">
        <f aca="false">ROUND((D890-$D$5)*86400,2)</f>
        <v>109.04</v>
      </c>
      <c r="F890" s="12" t="n">
        <v>1847</v>
      </c>
      <c r="G890" s="11" t="str">
        <f aca="false">IF(INDEX(選手一覧!$D$7:$D$2738,$F890)="","",INDEX(選手一覧!$D$7:$D$2738,$F890))</f>
        <v/>
      </c>
      <c r="H890" s="12" t="str">
        <f aca="false">IF(INDEX(選手一覧!$E$7:$E$2738,$F890)="","",INDEX(選手一覧!$E$7:$E$2738,$F890))</f>
        <v/>
      </c>
      <c r="I890" s="11" t="str">
        <f aca="false">IF(INDEX(選手一覧!$H$7:$H$2738,$F890)="","",INDEX(選手一覧!$H$7:$H$2738,$F890))</f>
        <v/>
      </c>
      <c r="J890" s="12" t="str">
        <f aca="false">IF(INDEX(選手一覧!$I$7:$I$2738,$F890)="","",INDEX(選手一覧!$I$7:$I$2738,$F890))</f>
        <v/>
      </c>
    </row>
    <row r="891" customFormat="false" ht="15" hidden="false" customHeight="false" outlineLevel="0" collapsed="false">
      <c r="A891" s="12" t="n">
        <v>887</v>
      </c>
      <c r="B891" s="10" t="s">
        <v>2643</v>
      </c>
      <c r="C891" s="10" t="s">
        <v>1366</v>
      </c>
      <c r="D891" s="11" t="n">
        <v>0.00750208333333333</v>
      </c>
      <c r="E891" s="18" t="n">
        <f aca="false">ROUND((D891-$D$5)*86400,2)</f>
        <v>109.16</v>
      </c>
      <c r="F891" s="12" t="n">
        <v>1849</v>
      </c>
      <c r="G891" s="11" t="str">
        <f aca="false">IF(INDEX(選手一覧!$D$7:$D$2738,$F891)="","",INDEX(選手一覧!$D$7:$D$2738,$F891))</f>
        <v/>
      </c>
      <c r="H891" s="12" t="str">
        <f aca="false">IF(INDEX(選手一覧!$E$7:$E$2738,$F891)="","",INDEX(選手一覧!$E$7:$E$2738,$F891))</f>
        <v/>
      </c>
      <c r="I891" s="11" t="str">
        <f aca="false">IF(INDEX(選手一覧!$H$7:$H$2738,$F891)="","",INDEX(選手一覧!$H$7:$H$2738,$F891))</f>
        <v/>
      </c>
      <c r="J891" s="12" t="str">
        <f aca="false">IF(INDEX(選手一覧!$I$7:$I$2738,$F891)="","",INDEX(選手一覧!$I$7:$I$2738,$F891))</f>
        <v/>
      </c>
    </row>
    <row r="892" customFormat="false" ht="15" hidden="false" customHeight="false" outlineLevel="0" collapsed="false">
      <c r="A892" s="12" t="n">
        <v>888</v>
      </c>
      <c r="B892" s="10" t="s">
        <v>2645</v>
      </c>
      <c r="C892" s="10" t="s">
        <v>952</v>
      </c>
      <c r="D892" s="11" t="n">
        <v>0.00750451388888889</v>
      </c>
      <c r="E892" s="18" t="n">
        <f aca="false">ROUND((D892-$D$5)*86400,2)</f>
        <v>109.37</v>
      </c>
      <c r="F892" s="12" t="n">
        <v>1851</v>
      </c>
      <c r="G892" s="11" t="str">
        <f aca="false">IF(INDEX(選手一覧!$D$7:$D$2738,$F892)="","",INDEX(選手一覧!$D$7:$D$2738,$F892))</f>
        <v/>
      </c>
      <c r="H892" s="12" t="str">
        <f aca="false">IF(INDEX(選手一覧!$E$7:$E$2738,$F892)="","",INDEX(選手一覧!$E$7:$E$2738,$F892))</f>
        <v/>
      </c>
      <c r="I892" s="11" t="str">
        <f aca="false">IF(INDEX(選手一覧!$H$7:$H$2738,$F892)="","",INDEX(選手一覧!$H$7:$H$2738,$F892))</f>
        <v/>
      </c>
      <c r="J892" s="12" t="str">
        <f aca="false">IF(INDEX(選手一覧!$I$7:$I$2738,$F892)="","",INDEX(選手一覧!$I$7:$I$2738,$F892))</f>
        <v/>
      </c>
    </row>
    <row r="893" customFormat="false" ht="15" hidden="false" customHeight="false" outlineLevel="0" collapsed="false">
      <c r="A893" s="12" t="n">
        <v>889</v>
      </c>
      <c r="B893" s="10" t="s">
        <v>2648</v>
      </c>
      <c r="C893" s="10" t="s">
        <v>2062</v>
      </c>
      <c r="D893" s="11" t="n">
        <v>0.00750462962962963</v>
      </c>
      <c r="E893" s="18" t="n">
        <f aca="false">ROUND((D893-$D$5)*86400,2)</f>
        <v>109.38</v>
      </c>
      <c r="F893" s="12" t="n">
        <v>1854</v>
      </c>
      <c r="G893" s="11" t="str">
        <f aca="false">IF(INDEX(選手一覧!$D$7:$D$2738,$F893)="","",INDEX(選手一覧!$D$7:$D$2738,$F893))</f>
        <v/>
      </c>
      <c r="H893" s="12" t="str">
        <f aca="false">IF(INDEX(選手一覧!$E$7:$E$2738,$F893)="","",INDEX(選手一覧!$E$7:$E$2738,$F893))</f>
        <v/>
      </c>
      <c r="I893" s="11" t="str">
        <f aca="false">IF(INDEX(選手一覧!$H$7:$H$2738,$F893)="","",INDEX(選手一覧!$H$7:$H$2738,$F893))</f>
        <v/>
      </c>
      <c r="J893" s="12" t="str">
        <f aca="false">IF(INDEX(選手一覧!$I$7:$I$2738,$F893)="","",INDEX(選手一覧!$I$7:$I$2738,$F893))</f>
        <v/>
      </c>
    </row>
    <row r="894" customFormat="false" ht="15" hidden="false" customHeight="false" outlineLevel="0" collapsed="false">
      <c r="A894" s="12" t="n">
        <v>890</v>
      </c>
      <c r="B894" s="10" t="s">
        <v>2653</v>
      </c>
      <c r="C894" s="10" t="s">
        <v>2654</v>
      </c>
      <c r="D894" s="11" t="n">
        <v>0.00750520833333333</v>
      </c>
      <c r="E894" s="18" t="n">
        <f aca="false">ROUND((D894-$D$5)*86400,2)</f>
        <v>109.43</v>
      </c>
      <c r="F894" s="12" t="n">
        <v>1858</v>
      </c>
      <c r="G894" s="11" t="str">
        <f aca="false">IF(INDEX(選手一覧!$D$7:$D$2738,$F894)="","",INDEX(選手一覧!$D$7:$D$2738,$F894))</f>
        <v/>
      </c>
      <c r="H894" s="12" t="str">
        <f aca="false">IF(INDEX(選手一覧!$E$7:$E$2738,$F894)="","",INDEX(選手一覧!$E$7:$E$2738,$F894))</f>
        <v/>
      </c>
      <c r="I894" s="11" t="str">
        <f aca="false">IF(INDEX(選手一覧!$H$7:$H$2738,$F894)="","",INDEX(選手一覧!$H$7:$H$2738,$F894))</f>
        <v/>
      </c>
      <c r="J894" s="12" t="str">
        <f aca="false">IF(INDEX(選手一覧!$I$7:$I$2738,$F894)="","",INDEX(選手一覧!$I$7:$I$2738,$F894))</f>
        <v/>
      </c>
    </row>
    <row r="895" customFormat="false" ht="15" hidden="false" customHeight="false" outlineLevel="0" collapsed="false">
      <c r="A895" s="12" t="n">
        <v>891</v>
      </c>
      <c r="B895" s="10" t="s">
        <v>2655</v>
      </c>
      <c r="C895" s="10" t="s">
        <v>865</v>
      </c>
      <c r="D895" s="11" t="n">
        <v>0.00750625</v>
      </c>
      <c r="E895" s="18" t="n">
        <f aca="false">ROUND((D895-$D$5)*86400,2)</f>
        <v>109.52</v>
      </c>
      <c r="F895" s="12" t="n">
        <v>1859</v>
      </c>
      <c r="G895" s="11" t="str">
        <f aca="false">IF(INDEX(選手一覧!$D$7:$D$2738,$F895)="","",INDEX(選手一覧!$D$7:$D$2738,$F895))</f>
        <v/>
      </c>
      <c r="H895" s="12" t="str">
        <f aca="false">IF(INDEX(選手一覧!$E$7:$E$2738,$F895)="","",INDEX(選手一覧!$E$7:$E$2738,$F895))</f>
        <v/>
      </c>
      <c r="I895" s="11" t="str">
        <f aca="false">IF(INDEX(選手一覧!$H$7:$H$2738,$F895)="","",INDEX(選手一覧!$H$7:$H$2738,$F895))</f>
        <v/>
      </c>
      <c r="J895" s="12" t="str">
        <f aca="false">IF(INDEX(選手一覧!$I$7:$I$2738,$F895)="","",INDEX(選手一覧!$I$7:$I$2738,$F895))</f>
        <v/>
      </c>
    </row>
    <row r="896" customFormat="false" ht="15" hidden="false" customHeight="false" outlineLevel="0" collapsed="false">
      <c r="A896" s="12" t="n">
        <v>892</v>
      </c>
      <c r="B896" s="10" t="s">
        <v>2657</v>
      </c>
      <c r="C896" s="10" t="s">
        <v>460</v>
      </c>
      <c r="D896" s="11" t="n">
        <v>0.00750636574074074</v>
      </c>
      <c r="E896" s="18" t="n">
        <f aca="false">ROUND((D896-$D$5)*86400,2)</f>
        <v>109.53</v>
      </c>
      <c r="F896" s="12" t="n">
        <v>1861</v>
      </c>
      <c r="G896" s="11" t="str">
        <f aca="false">IF(INDEX(選手一覧!$D$7:$D$2738,$F896)="","",INDEX(選手一覧!$D$7:$D$2738,$F896))</f>
        <v/>
      </c>
      <c r="H896" s="12" t="str">
        <f aca="false">IF(INDEX(選手一覧!$E$7:$E$2738,$F896)="","",INDEX(選手一覧!$E$7:$E$2738,$F896))</f>
        <v/>
      </c>
      <c r="I896" s="11" t="str">
        <f aca="false">IF(INDEX(選手一覧!$H$7:$H$2738,$F896)="","",INDEX(選手一覧!$H$7:$H$2738,$F896))</f>
        <v/>
      </c>
      <c r="J896" s="12" t="str">
        <f aca="false">IF(INDEX(選手一覧!$I$7:$I$2738,$F896)="","",INDEX(選手一覧!$I$7:$I$2738,$F896))</f>
        <v/>
      </c>
    </row>
    <row r="897" customFormat="false" ht="15" hidden="false" customHeight="false" outlineLevel="0" collapsed="false">
      <c r="A897" s="12" t="n">
        <v>893</v>
      </c>
      <c r="B897" s="10" t="s">
        <v>2659</v>
      </c>
      <c r="C897" s="10" t="s">
        <v>810</v>
      </c>
      <c r="D897" s="11" t="n">
        <v>0.00750729166666667</v>
      </c>
      <c r="E897" s="18" t="n">
        <f aca="false">ROUND((D897-$D$5)*86400,2)</f>
        <v>109.61</v>
      </c>
      <c r="F897" s="12" t="n">
        <v>1863</v>
      </c>
      <c r="G897" s="11" t="str">
        <f aca="false">IF(INDEX(選手一覧!$D$7:$D$2738,$F897)="","",INDEX(選手一覧!$D$7:$D$2738,$F897))</f>
        <v/>
      </c>
      <c r="H897" s="12" t="str">
        <f aca="false">IF(INDEX(選手一覧!$E$7:$E$2738,$F897)="","",INDEX(選手一覧!$E$7:$E$2738,$F897))</f>
        <v/>
      </c>
      <c r="I897" s="11" t="str">
        <f aca="false">IF(INDEX(選手一覧!$H$7:$H$2738,$F897)="","",INDEX(選手一覧!$H$7:$H$2738,$F897))</f>
        <v/>
      </c>
      <c r="J897" s="12" t="str">
        <f aca="false">IF(INDEX(選手一覧!$I$7:$I$2738,$F897)="","",INDEX(選手一覧!$I$7:$I$2738,$F897))</f>
        <v/>
      </c>
    </row>
    <row r="898" customFormat="false" ht="15" hidden="false" customHeight="false" outlineLevel="0" collapsed="false">
      <c r="A898" s="12" t="n">
        <v>894</v>
      </c>
      <c r="B898" s="10" t="s">
        <v>2660</v>
      </c>
      <c r="C898" s="10" t="s">
        <v>2661</v>
      </c>
      <c r="D898" s="11" t="n">
        <v>0.00750740740740741</v>
      </c>
      <c r="E898" s="18" t="n">
        <f aca="false">ROUND((D898-$D$5)*86400,2)</f>
        <v>109.62</v>
      </c>
      <c r="F898" s="12" t="n">
        <v>1864</v>
      </c>
      <c r="G898" s="11" t="str">
        <f aca="false">IF(INDEX(選手一覧!$D$7:$D$2738,$F898)="","",INDEX(選手一覧!$D$7:$D$2738,$F898))</f>
        <v/>
      </c>
      <c r="H898" s="12" t="str">
        <f aca="false">IF(INDEX(選手一覧!$E$7:$E$2738,$F898)="","",INDEX(選手一覧!$E$7:$E$2738,$F898))</f>
        <v/>
      </c>
      <c r="I898" s="11" t="str">
        <f aca="false">IF(INDEX(選手一覧!$H$7:$H$2738,$F898)="","",INDEX(選手一覧!$H$7:$H$2738,$F898))</f>
        <v/>
      </c>
      <c r="J898" s="12" t="str">
        <f aca="false">IF(INDEX(選手一覧!$I$7:$I$2738,$F898)="","",INDEX(選手一覧!$I$7:$I$2738,$F898))</f>
        <v/>
      </c>
    </row>
    <row r="899" customFormat="false" ht="15" hidden="false" customHeight="false" outlineLevel="0" collapsed="false">
      <c r="A899" s="12" t="n">
        <v>895</v>
      </c>
      <c r="B899" s="10" t="s">
        <v>2665</v>
      </c>
      <c r="C899" s="10" t="s">
        <v>2666</v>
      </c>
      <c r="D899" s="11" t="n">
        <v>0.00750763888888889</v>
      </c>
      <c r="E899" s="18" t="n">
        <f aca="false">ROUND((D899-$D$5)*86400,2)</f>
        <v>109.64</v>
      </c>
      <c r="F899" s="12" t="n">
        <v>1867</v>
      </c>
      <c r="G899" s="11" t="str">
        <f aca="false">IF(INDEX(選手一覧!$D$7:$D$2738,$F899)="","",INDEX(選手一覧!$D$7:$D$2738,$F899))</f>
        <v/>
      </c>
      <c r="H899" s="12" t="str">
        <f aca="false">IF(INDEX(選手一覧!$E$7:$E$2738,$F899)="","",INDEX(選手一覧!$E$7:$E$2738,$F899))</f>
        <v/>
      </c>
      <c r="I899" s="11" t="str">
        <f aca="false">IF(INDEX(選手一覧!$H$7:$H$2738,$F899)="","",INDEX(選手一覧!$H$7:$H$2738,$F899))</f>
        <v/>
      </c>
      <c r="J899" s="12" t="str">
        <f aca="false">IF(INDEX(選手一覧!$I$7:$I$2738,$F899)="","",INDEX(選手一覧!$I$7:$I$2738,$F899))</f>
        <v/>
      </c>
    </row>
    <row r="900" customFormat="false" ht="15" hidden="false" customHeight="false" outlineLevel="0" collapsed="false">
      <c r="A900" s="12" t="n">
        <v>896</v>
      </c>
      <c r="B900" s="10" t="s">
        <v>2668</v>
      </c>
      <c r="C900" s="10" t="s">
        <v>783</v>
      </c>
      <c r="D900" s="11" t="n">
        <v>0.00750798611111111</v>
      </c>
      <c r="E900" s="18" t="n">
        <f aca="false">ROUND((D900-$D$5)*86400,2)</f>
        <v>109.67</v>
      </c>
      <c r="F900" s="12" t="n">
        <v>1869</v>
      </c>
      <c r="G900" s="11" t="str">
        <f aca="false">IF(INDEX(選手一覧!$D$7:$D$2738,$F900)="","",INDEX(選手一覧!$D$7:$D$2738,$F900))</f>
        <v/>
      </c>
      <c r="H900" s="12" t="str">
        <f aca="false">IF(INDEX(選手一覧!$E$7:$E$2738,$F900)="","",INDEX(選手一覧!$E$7:$E$2738,$F900))</f>
        <v/>
      </c>
      <c r="I900" s="11" t="str">
        <f aca="false">IF(INDEX(選手一覧!$H$7:$H$2738,$F900)="","",INDEX(選手一覧!$H$7:$H$2738,$F900))</f>
        <v/>
      </c>
      <c r="J900" s="12" t="str">
        <f aca="false">IF(INDEX(選手一覧!$I$7:$I$2738,$F900)="","",INDEX(選手一覧!$I$7:$I$2738,$F900))</f>
        <v/>
      </c>
    </row>
    <row r="901" customFormat="false" ht="15" hidden="false" customHeight="false" outlineLevel="0" collapsed="false">
      <c r="A901" s="12" t="n">
        <v>897</v>
      </c>
      <c r="B901" s="10" t="s">
        <v>1009</v>
      </c>
      <c r="C901" s="10" t="s">
        <v>81</v>
      </c>
      <c r="D901" s="11" t="n">
        <v>0.00750810185185185</v>
      </c>
      <c r="E901" s="18" t="n">
        <f aca="false">ROUND((D901-$D$5)*86400,2)</f>
        <v>109.68</v>
      </c>
      <c r="F901" s="12" t="n">
        <v>674</v>
      </c>
      <c r="G901" s="11" t="n">
        <f aca="false">IF(INDEX(選手一覧!$D$7:$D$2738,$F901)="","",INDEX(選手一覧!$D$7:$D$2738,$F901))</f>
        <v>0.0110256944444444</v>
      </c>
      <c r="H901" s="12" t="n">
        <f aca="false">IF(INDEX(選手一覧!$E$7:$E$2738,$F901)="","",INDEX(選手一覧!$E$7:$E$2738,$F901))</f>
        <v>1140</v>
      </c>
      <c r="I901" s="11" t="n">
        <f aca="false">IF(INDEX(選手一覧!$H$7:$H$2738,$F901)="","",INDEX(選手一覧!$H$7:$H$2738,$F901))</f>
        <v>0.00280104166666667</v>
      </c>
      <c r="J901" s="12" t="n">
        <f aca="false">IF(INDEX(選手一覧!$I$7:$I$2738,$F901)="","",INDEX(選手一覧!$I$7:$I$2738,$F901))</f>
        <v>287</v>
      </c>
    </row>
    <row r="902" customFormat="false" ht="15" hidden="false" customHeight="false" outlineLevel="0" collapsed="false">
      <c r="A902" s="12" t="n">
        <v>898</v>
      </c>
      <c r="B902" s="10" t="s">
        <v>2673</v>
      </c>
      <c r="C902" s="10" t="s">
        <v>47</v>
      </c>
      <c r="D902" s="11" t="n">
        <v>0.00750821759259259</v>
      </c>
      <c r="E902" s="18" t="n">
        <f aca="false">ROUND((D902-$D$5)*86400,2)</f>
        <v>109.69</v>
      </c>
      <c r="F902" s="12" t="n">
        <v>1873</v>
      </c>
      <c r="G902" s="11" t="str">
        <f aca="false">IF(INDEX(選手一覧!$D$7:$D$2738,$F902)="","",INDEX(選手一覧!$D$7:$D$2738,$F902))</f>
        <v/>
      </c>
      <c r="H902" s="12" t="str">
        <f aca="false">IF(INDEX(選手一覧!$E$7:$E$2738,$F902)="","",INDEX(選手一覧!$E$7:$E$2738,$F902))</f>
        <v/>
      </c>
      <c r="I902" s="11" t="str">
        <f aca="false">IF(INDEX(選手一覧!$H$7:$H$2738,$F902)="","",INDEX(選手一覧!$H$7:$H$2738,$F902))</f>
        <v/>
      </c>
      <c r="J902" s="12" t="str">
        <f aca="false">IF(INDEX(選手一覧!$I$7:$I$2738,$F902)="","",INDEX(選手一覧!$I$7:$I$2738,$F902))</f>
        <v/>
      </c>
    </row>
    <row r="903" customFormat="false" ht="15" hidden="false" customHeight="false" outlineLevel="0" collapsed="false">
      <c r="A903" s="12" t="n">
        <v>899</v>
      </c>
      <c r="B903" s="10" t="s">
        <v>2674</v>
      </c>
      <c r="C903" s="10" t="s">
        <v>2675</v>
      </c>
      <c r="D903" s="11" t="n">
        <v>0.00750833333333333</v>
      </c>
      <c r="E903" s="18" t="n">
        <f aca="false">ROUND((D903-$D$5)*86400,2)</f>
        <v>109.7</v>
      </c>
      <c r="F903" s="12" t="n">
        <v>1874</v>
      </c>
      <c r="G903" s="11" t="str">
        <f aca="false">IF(INDEX(選手一覧!$D$7:$D$2738,$F903)="","",INDEX(選手一覧!$D$7:$D$2738,$F903))</f>
        <v/>
      </c>
      <c r="H903" s="12" t="str">
        <f aca="false">IF(INDEX(選手一覧!$E$7:$E$2738,$F903)="","",INDEX(選手一覧!$E$7:$E$2738,$F903))</f>
        <v/>
      </c>
      <c r="I903" s="11" t="str">
        <f aca="false">IF(INDEX(選手一覧!$H$7:$H$2738,$F903)="","",INDEX(選手一覧!$H$7:$H$2738,$F903))</f>
        <v/>
      </c>
      <c r="J903" s="12" t="str">
        <f aca="false">IF(INDEX(選手一覧!$I$7:$I$2738,$F903)="","",INDEX(選手一覧!$I$7:$I$2738,$F903))</f>
        <v/>
      </c>
    </row>
    <row r="904" customFormat="false" ht="15" hidden="false" customHeight="false" outlineLevel="0" collapsed="false">
      <c r="A904" s="12" t="n">
        <v>900</v>
      </c>
      <c r="B904" s="10" t="s">
        <v>2676</v>
      </c>
      <c r="C904" s="10" t="s">
        <v>2677</v>
      </c>
      <c r="D904" s="11" t="n">
        <v>0.0075099537037037</v>
      </c>
      <c r="E904" s="18" t="n">
        <f aca="false">ROUND((D904-$D$5)*86400,2)</f>
        <v>109.84</v>
      </c>
      <c r="F904" s="12" t="n">
        <v>1875</v>
      </c>
      <c r="G904" s="11" t="str">
        <f aca="false">IF(INDEX(選手一覧!$D$7:$D$2738,$F904)="","",INDEX(選手一覧!$D$7:$D$2738,$F904))</f>
        <v/>
      </c>
      <c r="H904" s="12" t="str">
        <f aca="false">IF(INDEX(選手一覧!$E$7:$E$2738,$F904)="","",INDEX(選手一覧!$E$7:$E$2738,$F904))</f>
        <v/>
      </c>
      <c r="I904" s="11" t="str">
        <f aca="false">IF(INDEX(選手一覧!$H$7:$H$2738,$F904)="","",INDEX(選手一覧!$H$7:$H$2738,$F904))</f>
        <v/>
      </c>
      <c r="J904" s="12" t="str">
        <f aca="false">IF(INDEX(選手一覧!$I$7:$I$2738,$F904)="","",INDEX(選手一覧!$I$7:$I$2738,$F904))</f>
        <v/>
      </c>
    </row>
    <row r="905" customFormat="false" ht="15" hidden="false" customHeight="false" outlineLevel="0" collapsed="false">
      <c r="A905" s="12" t="n">
        <v>901</v>
      </c>
      <c r="B905" s="10" t="s">
        <v>2681</v>
      </c>
      <c r="C905" s="10" t="s">
        <v>2682</v>
      </c>
      <c r="D905" s="11" t="n">
        <v>0.00751018518518519</v>
      </c>
      <c r="E905" s="18" t="n">
        <f aca="false">ROUND((D905-$D$5)*86400,2)</f>
        <v>109.86</v>
      </c>
      <c r="F905" s="12" t="n">
        <v>1878</v>
      </c>
      <c r="G905" s="11" t="str">
        <f aca="false">IF(INDEX(選手一覧!$D$7:$D$2738,$F905)="","",INDEX(選手一覧!$D$7:$D$2738,$F905))</f>
        <v/>
      </c>
      <c r="H905" s="12" t="str">
        <f aca="false">IF(INDEX(選手一覧!$E$7:$E$2738,$F905)="","",INDEX(選手一覧!$E$7:$E$2738,$F905))</f>
        <v/>
      </c>
      <c r="I905" s="11" t="str">
        <f aca="false">IF(INDEX(選手一覧!$H$7:$H$2738,$F905)="","",INDEX(選手一覧!$H$7:$H$2738,$F905))</f>
        <v/>
      </c>
      <c r="J905" s="12" t="str">
        <f aca="false">IF(INDEX(選手一覧!$I$7:$I$2738,$F905)="","",INDEX(選手一覧!$I$7:$I$2738,$F905))</f>
        <v/>
      </c>
    </row>
    <row r="906" customFormat="false" ht="15" hidden="false" customHeight="false" outlineLevel="0" collapsed="false">
      <c r="A906" s="12" t="n">
        <v>902</v>
      </c>
      <c r="B906" s="10" t="s">
        <v>2683</v>
      </c>
      <c r="C906" s="10" t="s">
        <v>2610</v>
      </c>
      <c r="D906" s="11" t="n">
        <v>0.00751053240740741</v>
      </c>
      <c r="E906" s="18" t="n">
        <f aca="false">ROUND((D906-$D$5)*86400,2)</f>
        <v>109.89</v>
      </c>
      <c r="F906" s="12" t="n">
        <v>1879</v>
      </c>
      <c r="G906" s="11" t="str">
        <f aca="false">IF(INDEX(選手一覧!$D$7:$D$2738,$F906)="","",INDEX(選手一覧!$D$7:$D$2738,$F906))</f>
        <v/>
      </c>
      <c r="H906" s="12" t="str">
        <f aca="false">IF(INDEX(選手一覧!$E$7:$E$2738,$F906)="","",INDEX(選手一覧!$E$7:$E$2738,$F906))</f>
        <v/>
      </c>
      <c r="I906" s="11" t="str">
        <f aca="false">IF(INDEX(選手一覧!$H$7:$H$2738,$F906)="","",INDEX(選手一覧!$H$7:$H$2738,$F906))</f>
        <v/>
      </c>
      <c r="J906" s="12" t="str">
        <f aca="false">IF(INDEX(選手一覧!$I$7:$I$2738,$F906)="","",INDEX(選手一覧!$I$7:$I$2738,$F906))</f>
        <v/>
      </c>
    </row>
    <row r="907" customFormat="false" ht="15" hidden="false" customHeight="false" outlineLevel="0" collapsed="false">
      <c r="A907" s="12" t="n">
        <v>903</v>
      </c>
      <c r="B907" s="10" t="s">
        <v>2687</v>
      </c>
      <c r="C907" s="10" t="s">
        <v>2442</v>
      </c>
      <c r="D907" s="11" t="n">
        <v>0.00751099537037037</v>
      </c>
      <c r="E907" s="18" t="n">
        <f aca="false">ROUND((D907-$D$5)*86400,2)</f>
        <v>109.93</v>
      </c>
      <c r="F907" s="12" t="n">
        <v>1882</v>
      </c>
      <c r="G907" s="11" t="str">
        <f aca="false">IF(INDEX(選手一覧!$D$7:$D$2738,$F907)="","",INDEX(選手一覧!$D$7:$D$2738,$F907))</f>
        <v/>
      </c>
      <c r="H907" s="12" t="str">
        <f aca="false">IF(INDEX(選手一覧!$E$7:$E$2738,$F907)="","",INDEX(選手一覧!$E$7:$E$2738,$F907))</f>
        <v/>
      </c>
      <c r="I907" s="11" t="str">
        <f aca="false">IF(INDEX(選手一覧!$H$7:$H$2738,$F907)="","",INDEX(選手一覧!$H$7:$H$2738,$F907))</f>
        <v/>
      </c>
      <c r="J907" s="12" t="str">
        <f aca="false">IF(INDEX(選手一覧!$I$7:$I$2738,$F907)="","",INDEX(選手一覧!$I$7:$I$2738,$F907))</f>
        <v/>
      </c>
    </row>
    <row r="908" customFormat="false" ht="15" hidden="false" customHeight="false" outlineLevel="0" collapsed="false">
      <c r="A908" s="12" t="n">
        <v>904</v>
      </c>
      <c r="B908" s="10" t="s">
        <v>2692</v>
      </c>
      <c r="C908" s="10" t="s">
        <v>2693</v>
      </c>
      <c r="D908" s="11" t="n">
        <v>0.00751215277777778</v>
      </c>
      <c r="E908" s="18" t="n">
        <f aca="false">ROUND((D908-$D$5)*86400,2)</f>
        <v>110.03</v>
      </c>
      <c r="F908" s="12" t="n">
        <v>1885</v>
      </c>
      <c r="G908" s="11" t="str">
        <f aca="false">IF(INDEX(選手一覧!$D$7:$D$2738,$F908)="","",INDEX(選手一覧!$D$7:$D$2738,$F908))</f>
        <v/>
      </c>
      <c r="H908" s="12" t="str">
        <f aca="false">IF(INDEX(選手一覧!$E$7:$E$2738,$F908)="","",INDEX(選手一覧!$E$7:$E$2738,$F908))</f>
        <v/>
      </c>
      <c r="I908" s="11" t="str">
        <f aca="false">IF(INDEX(選手一覧!$H$7:$H$2738,$F908)="","",INDEX(選手一覧!$H$7:$H$2738,$F908))</f>
        <v/>
      </c>
      <c r="J908" s="12" t="str">
        <f aca="false">IF(INDEX(選手一覧!$I$7:$I$2738,$F908)="","",INDEX(選手一覧!$I$7:$I$2738,$F908))</f>
        <v/>
      </c>
    </row>
    <row r="909" customFormat="false" ht="15" hidden="false" customHeight="false" outlineLevel="0" collapsed="false">
      <c r="A909" s="12" t="n">
        <v>905</v>
      </c>
      <c r="B909" s="10" t="s">
        <v>2695</v>
      </c>
      <c r="C909" s="10" t="s">
        <v>1119</v>
      </c>
      <c r="D909" s="11" t="n">
        <v>0.00751377314814815</v>
      </c>
      <c r="E909" s="18" t="n">
        <f aca="false">ROUND((D909-$D$5)*86400,2)</f>
        <v>110.17</v>
      </c>
      <c r="F909" s="12" t="n">
        <v>1887</v>
      </c>
      <c r="G909" s="11" t="str">
        <f aca="false">IF(INDEX(選手一覧!$D$7:$D$2738,$F909)="","",INDEX(選手一覧!$D$7:$D$2738,$F909))</f>
        <v/>
      </c>
      <c r="H909" s="12" t="str">
        <f aca="false">IF(INDEX(選手一覧!$E$7:$E$2738,$F909)="","",INDEX(選手一覧!$E$7:$E$2738,$F909))</f>
        <v/>
      </c>
      <c r="I909" s="11" t="str">
        <f aca="false">IF(INDEX(選手一覧!$H$7:$H$2738,$F909)="","",INDEX(選手一覧!$H$7:$H$2738,$F909))</f>
        <v/>
      </c>
      <c r="J909" s="12" t="str">
        <f aca="false">IF(INDEX(選手一覧!$I$7:$I$2738,$F909)="","",INDEX(選手一覧!$I$7:$I$2738,$F909))</f>
        <v/>
      </c>
    </row>
    <row r="910" customFormat="false" ht="15" hidden="false" customHeight="false" outlineLevel="0" collapsed="false">
      <c r="A910" s="12" t="n">
        <v>906</v>
      </c>
      <c r="B910" s="10" t="s">
        <v>2696</v>
      </c>
      <c r="C910" s="10" t="s">
        <v>884</v>
      </c>
      <c r="D910" s="11" t="n">
        <v>0.00751435185185185</v>
      </c>
      <c r="E910" s="18" t="n">
        <f aca="false">ROUND((D910-$D$5)*86400,2)</f>
        <v>110.22</v>
      </c>
      <c r="F910" s="12" t="n">
        <v>1888</v>
      </c>
      <c r="G910" s="11" t="str">
        <f aca="false">IF(INDEX(選手一覧!$D$7:$D$2738,$F910)="","",INDEX(選手一覧!$D$7:$D$2738,$F910))</f>
        <v/>
      </c>
      <c r="H910" s="12" t="str">
        <f aca="false">IF(INDEX(選手一覧!$E$7:$E$2738,$F910)="","",INDEX(選手一覧!$E$7:$E$2738,$F910))</f>
        <v/>
      </c>
      <c r="I910" s="11" t="str">
        <f aca="false">IF(INDEX(選手一覧!$H$7:$H$2738,$F910)="","",INDEX(選手一覧!$H$7:$H$2738,$F910))</f>
        <v/>
      </c>
      <c r="J910" s="12" t="str">
        <f aca="false">IF(INDEX(選手一覧!$I$7:$I$2738,$F910)="","",INDEX(選手一覧!$I$7:$I$2738,$F910))</f>
        <v/>
      </c>
    </row>
    <row r="911" customFormat="false" ht="15" hidden="false" customHeight="false" outlineLevel="0" collapsed="false">
      <c r="A911" s="12" t="n">
        <v>907</v>
      </c>
      <c r="B911" s="10" t="s">
        <v>2697</v>
      </c>
      <c r="C911" s="10" t="s">
        <v>2698</v>
      </c>
      <c r="D911" s="11" t="n">
        <v>0.00751481481481481</v>
      </c>
      <c r="E911" s="18" t="n">
        <f aca="false">ROUND((D911-$D$5)*86400,2)</f>
        <v>110.26</v>
      </c>
      <c r="F911" s="12" t="n">
        <v>1889</v>
      </c>
      <c r="G911" s="11" t="str">
        <f aca="false">IF(INDEX(選手一覧!$D$7:$D$2738,$F911)="","",INDEX(選手一覧!$D$7:$D$2738,$F911))</f>
        <v/>
      </c>
      <c r="H911" s="12" t="str">
        <f aca="false">IF(INDEX(選手一覧!$E$7:$E$2738,$F911)="","",INDEX(選手一覧!$E$7:$E$2738,$F911))</f>
        <v/>
      </c>
      <c r="I911" s="11" t="str">
        <f aca="false">IF(INDEX(選手一覧!$H$7:$H$2738,$F911)="","",INDEX(選手一覧!$H$7:$H$2738,$F911))</f>
        <v/>
      </c>
      <c r="J911" s="12" t="str">
        <f aca="false">IF(INDEX(選手一覧!$I$7:$I$2738,$F911)="","",INDEX(選手一覧!$I$7:$I$2738,$F911))</f>
        <v/>
      </c>
    </row>
    <row r="912" customFormat="false" ht="15" hidden="false" customHeight="false" outlineLevel="0" collapsed="false">
      <c r="A912" s="12" t="n">
        <v>908</v>
      </c>
      <c r="B912" s="10" t="s">
        <v>2701</v>
      </c>
      <c r="C912" s="10" t="s">
        <v>2702</v>
      </c>
      <c r="D912" s="11" t="n">
        <v>0.00751516203703704</v>
      </c>
      <c r="E912" s="18" t="n">
        <f aca="false">ROUND((D912-$D$5)*86400,2)</f>
        <v>110.29</v>
      </c>
      <c r="F912" s="12" t="n">
        <v>1891</v>
      </c>
      <c r="G912" s="11" t="str">
        <f aca="false">IF(INDEX(選手一覧!$D$7:$D$2738,$F912)="","",INDEX(選手一覧!$D$7:$D$2738,$F912))</f>
        <v/>
      </c>
      <c r="H912" s="12" t="str">
        <f aca="false">IF(INDEX(選手一覧!$E$7:$E$2738,$F912)="","",INDEX(選手一覧!$E$7:$E$2738,$F912))</f>
        <v/>
      </c>
      <c r="I912" s="11" t="str">
        <f aca="false">IF(INDEX(選手一覧!$H$7:$H$2738,$F912)="","",INDEX(選手一覧!$H$7:$H$2738,$F912))</f>
        <v/>
      </c>
      <c r="J912" s="12" t="str">
        <f aca="false">IF(INDEX(選手一覧!$I$7:$I$2738,$F912)="","",INDEX(選手一覧!$I$7:$I$2738,$F912))</f>
        <v/>
      </c>
    </row>
    <row r="913" customFormat="false" ht="15" hidden="false" customHeight="false" outlineLevel="0" collapsed="false">
      <c r="A913" s="12" t="n">
        <v>909</v>
      </c>
      <c r="B913" s="10" t="s">
        <v>2703</v>
      </c>
      <c r="C913" s="10" t="s">
        <v>2704</v>
      </c>
      <c r="D913" s="11" t="n">
        <v>0.00751527777777778</v>
      </c>
      <c r="E913" s="18" t="n">
        <f aca="false">ROUND((D913-$D$5)*86400,2)</f>
        <v>110.3</v>
      </c>
      <c r="F913" s="12" t="n">
        <v>1892</v>
      </c>
      <c r="G913" s="11" t="str">
        <f aca="false">IF(INDEX(選手一覧!$D$7:$D$2738,$F913)="","",INDEX(選手一覧!$D$7:$D$2738,$F913))</f>
        <v/>
      </c>
      <c r="H913" s="12" t="str">
        <f aca="false">IF(INDEX(選手一覧!$E$7:$E$2738,$F913)="","",INDEX(選手一覧!$E$7:$E$2738,$F913))</f>
        <v/>
      </c>
      <c r="I913" s="11" t="str">
        <f aca="false">IF(INDEX(選手一覧!$H$7:$H$2738,$F913)="","",INDEX(選手一覧!$H$7:$H$2738,$F913))</f>
        <v/>
      </c>
      <c r="J913" s="12" t="str">
        <f aca="false">IF(INDEX(選手一覧!$I$7:$I$2738,$F913)="","",INDEX(選手一覧!$I$7:$I$2738,$F913))</f>
        <v/>
      </c>
    </row>
    <row r="914" customFormat="false" ht="15" hidden="false" customHeight="false" outlineLevel="0" collapsed="false">
      <c r="A914" s="12" t="n">
        <v>910</v>
      </c>
      <c r="B914" s="10" t="s">
        <v>2708</v>
      </c>
      <c r="C914" s="10" t="s">
        <v>85</v>
      </c>
      <c r="D914" s="11" t="n">
        <v>0.007515625</v>
      </c>
      <c r="E914" s="18" t="n">
        <f aca="false">ROUND((D914-$D$5)*86400,2)</f>
        <v>110.33</v>
      </c>
      <c r="F914" s="12" t="n">
        <v>1895</v>
      </c>
      <c r="G914" s="11" t="str">
        <f aca="false">IF(INDEX(選手一覧!$D$7:$D$2738,$F914)="","",INDEX(選手一覧!$D$7:$D$2738,$F914))</f>
        <v/>
      </c>
      <c r="H914" s="12" t="str">
        <f aca="false">IF(INDEX(選手一覧!$E$7:$E$2738,$F914)="","",INDEX(選手一覧!$E$7:$E$2738,$F914))</f>
        <v/>
      </c>
      <c r="I914" s="11" t="str">
        <f aca="false">IF(INDEX(選手一覧!$H$7:$H$2738,$F914)="","",INDEX(選手一覧!$H$7:$H$2738,$F914))</f>
        <v/>
      </c>
      <c r="J914" s="12" t="str">
        <f aca="false">IF(INDEX(選手一覧!$I$7:$I$2738,$F914)="","",INDEX(選手一覧!$I$7:$I$2738,$F914))</f>
        <v/>
      </c>
    </row>
    <row r="915" customFormat="false" ht="15" hidden="false" customHeight="false" outlineLevel="0" collapsed="false">
      <c r="A915" s="12" t="n">
        <v>911</v>
      </c>
      <c r="B915" s="10" t="s">
        <v>2709</v>
      </c>
      <c r="C915" s="10" t="s">
        <v>2523</v>
      </c>
      <c r="D915" s="11" t="n">
        <v>0.00751585648148148</v>
      </c>
      <c r="E915" s="18" t="n">
        <f aca="false">ROUND((D915-$D$5)*86400,2)</f>
        <v>110.35</v>
      </c>
      <c r="F915" s="12" t="n">
        <v>1896</v>
      </c>
      <c r="G915" s="11" t="str">
        <f aca="false">IF(INDEX(選手一覧!$D$7:$D$2738,$F915)="","",INDEX(選手一覧!$D$7:$D$2738,$F915))</f>
        <v/>
      </c>
      <c r="H915" s="12" t="str">
        <f aca="false">IF(INDEX(選手一覧!$E$7:$E$2738,$F915)="","",INDEX(選手一覧!$E$7:$E$2738,$F915))</f>
        <v/>
      </c>
      <c r="I915" s="11" t="str">
        <f aca="false">IF(INDEX(選手一覧!$H$7:$H$2738,$F915)="","",INDEX(選手一覧!$H$7:$H$2738,$F915))</f>
        <v/>
      </c>
      <c r="J915" s="12" t="str">
        <f aca="false">IF(INDEX(選手一覧!$I$7:$I$2738,$F915)="","",INDEX(選手一覧!$I$7:$I$2738,$F915))</f>
        <v/>
      </c>
    </row>
    <row r="916" customFormat="false" ht="15" hidden="false" customHeight="false" outlineLevel="0" collapsed="false">
      <c r="A916" s="12" t="n">
        <v>912</v>
      </c>
      <c r="B916" s="10" t="s">
        <v>2712</v>
      </c>
      <c r="C916" s="10" t="s">
        <v>2713</v>
      </c>
      <c r="D916" s="11" t="n">
        <v>0.00751608796296296</v>
      </c>
      <c r="E916" s="18" t="n">
        <f aca="false">ROUND((D916-$D$5)*86400,2)</f>
        <v>110.37</v>
      </c>
      <c r="F916" s="12" t="n">
        <v>1899</v>
      </c>
      <c r="G916" s="11" t="str">
        <f aca="false">IF(INDEX(選手一覧!$D$7:$D$2738,$F916)="","",INDEX(選手一覧!$D$7:$D$2738,$F916))</f>
        <v/>
      </c>
      <c r="H916" s="12" t="str">
        <f aca="false">IF(INDEX(選手一覧!$E$7:$E$2738,$F916)="","",INDEX(選手一覧!$E$7:$E$2738,$F916))</f>
        <v/>
      </c>
      <c r="I916" s="11" t="str">
        <f aca="false">IF(INDEX(選手一覧!$H$7:$H$2738,$F916)="","",INDEX(選手一覧!$H$7:$H$2738,$F916))</f>
        <v/>
      </c>
      <c r="J916" s="12" t="str">
        <f aca="false">IF(INDEX(選手一覧!$I$7:$I$2738,$F916)="","",INDEX(選手一覧!$I$7:$I$2738,$F916))</f>
        <v/>
      </c>
    </row>
    <row r="917" customFormat="false" ht="15" hidden="false" customHeight="false" outlineLevel="0" collapsed="false">
      <c r="A917" s="12" t="n">
        <v>913</v>
      </c>
      <c r="B917" s="10" t="s">
        <v>2714</v>
      </c>
      <c r="C917" s="10" t="s">
        <v>2715</v>
      </c>
      <c r="D917" s="11" t="n">
        <v>0.00751631944444444</v>
      </c>
      <c r="E917" s="18" t="n">
        <f aca="false">ROUND((D917-$D$5)*86400,2)</f>
        <v>110.39</v>
      </c>
      <c r="F917" s="12" t="n">
        <v>1900</v>
      </c>
      <c r="G917" s="11" t="str">
        <f aca="false">IF(INDEX(選手一覧!$D$7:$D$2738,$F917)="","",INDEX(選手一覧!$D$7:$D$2738,$F917))</f>
        <v/>
      </c>
      <c r="H917" s="12" t="str">
        <f aca="false">IF(INDEX(選手一覧!$E$7:$E$2738,$F917)="","",INDEX(選手一覧!$E$7:$E$2738,$F917))</f>
        <v/>
      </c>
      <c r="I917" s="11" t="str">
        <f aca="false">IF(INDEX(選手一覧!$H$7:$H$2738,$F917)="","",INDEX(選手一覧!$H$7:$H$2738,$F917))</f>
        <v/>
      </c>
      <c r="J917" s="12" t="str">
        <f aca="false">IF(INDEX(選手一覧!$I$7:$I$2738,$F917)="","",INDEX(選手一覧!$I$7:$I$2738,$F917))</f>
        <v/>
      </c>
    </row>
    <row r="918" customFormat="false" ht="15" hidden="false" customHeight="false" outlineLevel="0" collapsed="false">
      <c r="A918" s="12" t="n">
        <v>914</v>
      </c>
      <c r="B918" s="10" t="s">
        <v>2717</v>
      </c>
      <c r="C918" s="10" t="s">
        <v>758</v>
      </c>
      <c r="D918" s="11" t="n">
        <v>0.00751689814814815</v>
      </c>
      <c r="E918" s="18" t="n">
        <f aca="false">ROUND((D918-$D$5)*86400,2)</f>
        <v>110.44</v>
      </c>
      <c r="F918" s="12" t="n">
        <v>1902</v>
      </c>
      <c r="G918" s="11" t="str">
        <f aca="false">IF(INDEX(選手一覧!$D$7:$D$2738,$F918)="","",INDEX(選手一覧!$D$7:$D$2738,$F918))</f>
        <v/>
      </c>
      <c r="H918" s="12" t="str">
        <f aca="false">IF(INDEX(選手一覧!$E$7:$E$2738,$F918)="","",INDEX(選手一覧!$E$7:$E$2738,$F918))</f>
        <v/>
      </c>
      <c r="I918" s="11" t="str">
        <f aca="false">IF(INDEX(選手一覧!$H$7:$H$2738,$F918)="","",INDEX(選手一覧!$H$7:$H$2738,$F918))</f>
        <v/>
      </c>
      <c r="J918" s="12" t="str">
        <f aca="false">IF(INDEX(選手一覧!$I$7:$I$2738,$F918)="","",INDEX(選手一覧!$I$7:$I$2738,$F918))</f>
        <v/>
      </c>
    </row>
    <row r="919" customFormat="false" ht="15" hidden="false" customHeight="false" outlineLevel="0" collapsed="false">
      <c r="A919" s="12" t="n">
        <v>915</v>
      </c>
      <c r="B919" s="10" t="s">
        <v>2719</v>
      </c>
      <c r="C919" s="10" t="s">
        <v>2720</v>
      </c>
      <c r="D919" s="11" t="n">
        <v>0.00751724537037037</v>
      </c>
      <c r="E919" s="18" t="n">
        <f aca="false">ROUND((D919-$D$5)*86400,2)</f>
        <v>110.47</v>
      </c>
      <c r="F919" s="12" t="n">
        <v>1904</v>
      </c>
      <c r="G919" s="11" t="str">
        <f aca="false">IF(INDEX(選手一覧!$D$7:$D$2738,$F919)="","",INDEX(選手一覧!$D$7:$D$2738,$F919))</f>
        <v/>
      </c>
      <c r="H919" s="12" t="str">
        <f aca="false">IF(INDEX(選手一覧!$E$7:$E$2738,$F919)="","",INDEX(選手一覧!$E$7:$E$2738,$F919))</f>
        <v/>
      </c>
      <c r="I919" s="11" t="str">
        <f aca="false">IF(INDEX(選手一覧!$H$7:$H$2738,$F919)="","",INDEX(選手一覧!$H$7:$H$2738,$F919))</f>
        <v/>
      </c>
      <c r="J919" s="12" t="str">
        <f aca="false">IF(INDEX(選手一覧!$I$7:$I$2738,$F919)="","",INDEX(選手一覧!$I$7:$I$2738,$F919))</f>
        <v/>
      </c>
    </row>
    <row r="920" customFormat="false" ht="15" hidden="false" customHeight="false" outlineLevel="0" collapsed="false">
      <c r="A920" s="12" t="n">
        <v>916</v>
      </c>
      <c r="B920" s="10" t="s">
        <v>2723</v>
      </c>
      <c r="C920" s="10" t="s">
        <v>2724</v>
      </c>
      <c r="D920" s="11" t="n">
        <v>0.00751782407407407</v>
      </c>
      <c r="E920" s="18" t="n">
        <f aca="false">ROUND((D920-$D$5)*86400,2)</f>
        <v>110.52</v>
      </c>
      <c r="F920" s="12" t="n">
        <v>1907</v>
      </c>
      <c r="G920" s="11" t="str">
        <f aca="false">IF(INDEX(選手一覧!$D$7:$D$2738,$F920)="","",INDEX(選手一覧!$D$7:$D$2738,$F920))</f>
        <v/>
      </c>
      <c r="H920" s="12" t="str">
        <f aca="false">IF(INDEX(選手一覧!$E$7:$E$2738,$F920)="","",INDEX(選手一覧!$E$7:$E$2738,$F920))</f>
        <v/>
      </c>
      <c r="I920" s="11" t="str">
        <f aca="false">IF(INDEX(選手一覧!$H$7:$H$2738,$F920)="","",INDEX(選手一覧!$H$7:$H$2738,$F920))</f>
        <v/>
      </c>
      <c r="J920" s="12" t="str">
        <f aca="false">IF(INDEX(選手一覧!$I$7:$I$2738,$F920)="","",INDEX(選手一覧!$I$7:$I$2738,$F920))</f>
        <v/>
      </c>
    </row>
    <row r="921" customFormat="false" ht="15" hidden="false" customHeight="false" outlineLevel="0" collapsed="false">
      <c r="A921" s="12" t="n">
        <v>917</v>
      </c>
      <c r="B921" s="10" t="s">
        <v>2725</v>
      </c>
      <c r="C921" s="10" t="s">
        <v>2726</v>
      </c>
      <c r="D921" s="11" t="n">
        <v>0.00751793981481481</v>
      </c>
      <c r="E921" s="18" t="n">
        <f aca="false">ROUND((D921-$D$5)*86400,2)</f>
        <v>110.53</v>
      </c>
      <c r="F921" s="12" t="n">
        <v>1908</v>
      </c>
      <c r="G921" s="11" t="str">
        <f aca="false">IF(INDEX(選手一覧!$D$7:$D$2738,$F921)="","",INDEX(選手一覧!$D$7:$D$2738,$F921))</f>
        <v/>
      </c>
      <c r="H921" s="12" t="str">
        <f aca="false">IF(INDEX(選手一覧!$E$7:$E$2738,$F921)="","",INDEX(選手一覧!$E$7:$E$2738,$F921))</f>
        <v/>
      </c>
      <c r="I921" s="11" t="str">
        <f aca="false">IF(INDEX(選手一覧!$H$7:$H$2738,$F921)="","",INDEX(選手一覧!$H$7:$H$2738,$F921))</f>
        <v/>
      </c>
      <c r="J921" s="12" t="str">
        <f aca="false">IF(INDEX(選手一覧!$I$7:$I$2738,$F921)="","",INDEX(選手一覧!$I$7:$I$2738,$F921))</f>
        <v/>
      </c>
    </row>
    <row r="922" customFormat="false" ht="15" hidden="false" customHeight="false" outlineLevel="0" collapsed="false">
      <c r="A922" s="12" t="n">
        <v>918</v>
      </c>
      <c r="B922" s="10" t="s">
        <v>2728</v>
      </c>
      <c r="C922" s="10" t="s">
        <v>1334</v>
      </c>
      <c r="D922" s="11" t="n">
        <v>0.00751805555555556</v>
      </c>
      <c r="E922" s="18" t="n">
        <f aca="false">ROUND((D922-$D$5)*86400,2)</f>
        <v>110.54</v>
      </c>
      <c r="F922" s="12" t="n">
        <v>1910</v>
      </c>
      <c r="G922" s="11" t="str">
        <f aca="false">IF(INDEX(選手一覧!$D$7:$D$2738,$F922)="","",INDEX(選手一覧!$D$7:$D$2738,$F922))</f>
        <v/>
      </c>
      <c r="H922" s="12" t="str">
        <f aca="false">IF(INDEX(選手一覧!$E$7:$E$2738,$F922)="","",INDEX(選手一覧!$E$7:$E$2738,$F922))</f>
        <v/>
      </c>
      <c r="I922" s="11" t="str">
        <f aca="false">IF(INDEX(選手一覧!$H$7:$H$2738,$F922)="","",INDEX(選手一覧!$H$7:$H$2738,$F922))</f>
        <v/>
      </c>
      <c r="J922" s="12" t="str">
        <f aca="false">IF(INDEX(選手一覧!$I$7:$I$2738,$F922)="","",INDEX(選手一覧!$I$7:$I$2738,$F922))</f>
        <v/>
      </c>
    </row>
    <row r="923" customFormat="false" ht="15" hidden="false" customHeight="false" outlineLevel="0" collapsed="false">
      <c r="A923" s="12" t="n">
        <v>919</v>
      </c>
      <c r="B923" s="10" t="s">
        <v>1636</v>
      </c>
      <c r="C923" s="10" t="s">
        <v>1637</v>
      </c>
      <c r="D923" s="11" t="n">
        <v>0.00752025462962963</v>
      </c>
      <c r="E923" s="18" t="n">
        <f aca="false">ROUND((D923-$D$5)*86400,2)</f>
        <v>110.73</v>
      </c>
      <c r="F923" s="12" t="n">
        <v>1129</v>
      </c>
      <c r="G923" s="11" t="str">
        <f aca="false">IF(INDEX(選手一覧!$D$7:$D$2738,$F923)="","",INDEX(選手一覧!$D$7:$D$2738,$F923))</f>
        <v/>
      </c>
      <c r="H923" s="12" t="str">
        <f aca="false">IF(INDEX(選手一覧!$E$7:$E$2738,$F923)="","",INDEX(選手一覧!$E$7:$E$2738,$F923))</f>
        <v/>
      </c>
      <c r="I923" s="11" t="n">
        <f aca="false">IF(INDEX(選手一覧!$H$7:$H$2738,$F923)="","",INDEX(選手一覧!$H$7:$H$2738,$F923))</f>
        <v>0.00284224537037037</v>
      </c>
      <c r="J923" s="12" t="n">
        <f aca="false">IF(INDEX(選手一覧!$I$7:$I$2738,$F923)="","",INDEX(選手一覧!$I$7:$I$2738,$F923))</f>
        <v>512</v>
      </c>
    </row>
    <row r="924" customFormat="false" ht="15" hidden="false" customHeight="false" outlineLevel="0" collapsed="false">
      <c r="A924" s="12" t="n">
        <v>920</v>
      </c>
      <c r="B924" s="10" t="s">
        <v>2733</v>
      </c>
      <c r="C924" s="10" t="s">
        <v>2734</v>
      </c>
      <c r="D924" s="11" t="n">
        <v>0.00752094907407407</v>
      </c>
      <c r="E924" s="18" t="n">
        <f aca="false">ROUND((D924-$D$5)*86400,2)</f>
        <v>110.79</v>
      </c>
      <c r="F924" s="12" t="n">
        <v>1914</v>
      </c>
      <c r="G924" s="11" t="str">
        <f aca="false">IF(INDEX(選手一覧!$D$7:$D$2738,$F924)="","",INDEX(選手一覧!$D$7:$D$2738,$F924))</f>
        <v/>
      </c>
      <c r="H924" s="12" t="str">
        <f aca="false">IF(INDEX(選手一覧!$E$7:$E$2738,$F924)="","",INDEX(選手一覧!$E$7:$E$2738,$F924))</f>
        <v/>
      </c>
      <c r="I924" s="11" t="str">
        <f aca="false">IF(INDEX(選手一覧!$H$7:$H$2738,$F924)="","",INDEX(選手一覧!$H$7:$H$2738,$F924))</f>
        <v/>
      </c>
      <c r="J924" s="12" t="str">
        <f aca="false">IF(INDEX(選手一覧!$I$7:$I$2738,$F924)="","",INDEX(選手一覧!$I$7:$I$2738,$F924))</f>
        <v/>
      </c>
    </row>
    <row r="925" customFormat="false" ht="15" hidden="false" customHeight="false" outlineLevel="0" collapsed="false">
      <c r="A925" s="12" t="n">
        <v>921</v>
      </c>
      <c r="B925" s="10" t="s">
        <v>2735</v>
      </c>
      <c r="C925" s="10" t="s">
        <v>2736</v>
      </c>
      <c r="D925" s="11" t="n">
        <v>0.00752164351851852</v>
      </c>
      <c r="E925" s="18" t="n">
        <f aca="false">ROUND((D925-$D$5)*86400,2)</f>
        <v>110.85</v>
      </c>
      <c r="F925" s="12" t="n">
        <v>1915</v>
      </c>
      <c r="G925" s="11" t="str">
        <f aca="false">IF(INDEX(選手一覧!$D$7:$D$2738,$F925)="","",INDEX(選手一覧!$D$7:$D$2738,$F925))</f>
        <v/>
      </c>
      <c r="H925" s="12" t="str">
        <f aca="false">IF(INDEX(選手一覧!$E$7:$E$2738,$F925)="","",INDEX(選手一覧!$E$7:$E$2738,$F925))</f>
        <v/>
      </c>
      <c r="I925" s="11" t="str">
        <f aca="false">IF(INDEX(選手一覧!$H$7:$H$2738,$F925)="","",INDEX(選手一覧!$H$7:$H$2738,$F925))</f>
        <v/>
      </c>
      <c r="J925" s="12" t="str">
        <f aca="false">IF(INDEX(選手一覧!$I$7:$I$2738,$F925)="","",INDEX(選手一覧!$I$7:$I$2738,$F925))</f>
        <v/>
      </c>
    </row>
    <row r="926" customFormat="false" ht="15" hidden="false" customHeight="false" outlineLevel="0" collapsed="false">
      <c r="A926" s="12" t="n">
        <v>922</v>
      </c>
      <c r="B926" s="10" t="s">
        <v>2737</v>
      </c>
      <c r="C926" s="10" t="s">
        <v>2738</v>
      </c>
      <c r="D926" s="11" t="n">
        <v>0.007521875</v>
      </c>
      <c r="E926" s="18" t="n">
        <f aca="false">ROUND((D926-$D$5)*86400,2)</f>
        <v>110.87</v>
      </c>
      <c r="F926" s="12" t="n">
        <v>1916</v>
      </c>
      <c r="G926" s="11" t="str">
        <f aca="false">IF(INDEX(選手一覧!$D$7:$D$2738,$F926)="","",INDEX(選手一覧!$D$7:$D$2738,$F926))</f>
        <v/>
      </c>
      <c r="H926" s="12" t="str">
        <f aca="false">IF(INDEX(選手一覧!$E$7:$E$2738,$F926)="","",INDEX(選手一覧!$E$7:$E$2738,$F926))</f>
        <v/>
      </c>
      <c r="I926" s="11" t="str">
        <f aca="false">IF(INDEX(選手一覧!$H$7:$H$2738,$F926)="","",INDEX(選手一覧!$H$7:$H$2738,$F926))</f>
        <v/>
      </c>
      <c r="J926" s="12" t="str">
        <f aca="false">IF(INDEX(選手一覧!$I$7:$I$2738,$F926)="","",INDEX(選手一覧!$I$7:$I$2738,$F926))</f>
        <v/>
      </c>
    </row>
    <row r="927" customFormat="false" ht="15" hidden="false" customHeight="false" outlineLevel="0" collapsed="false">
      <c r="A927" s="12" t="n">
        <v>923</v>
      </c>
      <c r="B927" s="10" t="s">
        <v>2711</v>
      </c>
      <c r="C927" s="10" t="s">
        <v>425</v>
      </c>
      <c r="D927" s="11" t="n">
        <v>0.007521875</v>
      </c>
      <c r="E927" s="18" t="n">
        <f aca="false">ROUND((D927-$D$5)*86400,2)</f>
        <v>110.87</v>
      </c>
      <c r="F927" s="12" t="n">
        <v>1898</v>
      </c>
      <c r="G927" s="11" t="n">
        <f aca="false">IF(INDEX(選手一覧!$D$7:$D$2738,$F927)="","",INDEX(選手一覧!$D$7:$D$2738,$F927))</f>
        <v>0.0108951388888889</v>
      </c>
      <c r="H927" s="12" t="n">
        <f aca="false">IF(INDEX(選手一覧!$E$7:$E$2738,$F927)="","",INDEX(選手一覧!$E$7:$E$2738,$F927))</f>
        <v>912</v>
      </c>
      <c r="I927" s="11" t="str">
        <f aca="false">IF(INDEX(選手一覧!$H$7:$H$2738,$F927)="","",INDEX(選手一覧!$H$7:$H$2738,$F927))</f>
        <v/>
      </c>
      <c r="J927" s="12" t="str">
        <f aca="false">IF(INDEX(選手一覧!$I$7:$I$2738,$F927)="","",INDEX(選手一覧!$I$7:$I$2738,$F927))</f>
        <v/>
      </c>
    </row>
    <row r="928" customFormat="false" ht="15" hidden="false" customHeight="false" outlineLevel="0" collapsed="false">
      <c r="A928" s="12" t="n">
        <v>924</v>
      </c>
      <c r="B928" s="10" t="s">
        <v>2741</v>
      </c>
      <c r="C928" s="10" t="s">
        <v>2742</v>
      </c>
      <c r="D928" s="11" t="n">
        <v>0.00752222222222222</v>
      </c>
      <c r="E928" s="18" t="n">
        <f aca="false">ROUND((D928-$D$5)*86400,2)</f>
        <v>110.9</v>
      </c>
      <c r="F928" s="12" t="n">
        <v>1919</v>
      </c>
      <c r="G928" s="11" t="str">
        <f aca="false">IF(INDEX(選手一覧!$D$7:$D$2738,$F928)="","",INDEX(選手一覧!$D$7:$D$2738,$F928))</f>
        <v/>
      </c>
      <c r="H928" s="12" t="str">
        <f aca="false">IF(INDEX(選手一覧!$E$7:$E$2738,$F928)="","",INDEX(選手一覧!$E$7:$E$2738,$F928))</f>
        <v/>
      </c>
      <c r="I928" s="11" t="str">
        <f aca="false">IF(INDEX(選手一覧!$H$7:$H$2738,$F928)="","",INDEX(選手一覧!$H$7:$H$2738,$F928))</f>
        <v/>
      </c>
      <c r="J928" s="12" t="str">
        <f aca="false">IF(INDEX(選手一覧!$I$7:$I$2738,$F928)="","",INDEX(選手一覧!$I$7:$I$2738,$F928))</f>
        <v/>
      </c>
    </row>
    <row r="929" customFormat="false" ht="15" hidden="false" customHeight="false" outlineLevel="0" collapsed="false">
      <c r="A929" s="12" t="n">
        <v>925</v>
      </c>
      <c r="B929" s="10" t="s">
        <v>2744</v>
      </c>
      <c r="C929" s="10" t="s">
        <v>122</v>
      </c>
      <c r="D929" s="11" t="n">
        <v>0.00752384259259259</v>
      </c>
      <c r="E929" s="18" t="n">
        <f aca="false">ROUND((D929-$D$5)*86400,2)</f>
        <v>111.04</v>
      </c>
      <c r="F929" s="12" t="n">
        <v>1921</v>
      </c>
      <c r="G929" s="11" t="n">
        <f aca="false">IF(INDEX(選手一覧!$D$7:$D$2738,$F929)="","",INDEX(選手一覧!$D$7:$D$2738,$F929))</f>
        <v>0.0110515046296296</v>
      </c>
      <c r="H929" s="12" t="n">
        <f aca="false">IF(INDEX(選手一覧!$E$7:$E$2738,$F929)="","",INDEX(選手一覧!$E$7:$E$2738,$F929))</f>
        <v>1199</v>
      </c>
      <c r="I929" s="11" t="str">
        <f aca="false">IF(INDEX(選手一覧!$H$7:$H$2738,$F929)="","",INDEX(選手一覧!$H$7:$H$2738,$F929))</f>
        <v/>
      </c>
      <c r="J929" s="12" t="str">
        <f aca="false">IF(INDEX(選手一覧!$I$7:$I$2738,$F929)="","",INDEX(選手一覧!$I$7:$I$2738,$F929))</f>
        <v/>
      </c>
    </row>
    <row r="930" customFormat="false" ht="15" hidden="false" customHeight="false" outlineLevel="0" collapsed="false">
      <c r="A930" s="12" t="n">
        <v>926</v>
      </c>
      <c r="B930" s="10" t="s">
        <v>2749</v>
      </c>
      <c r="C930" s="10" t="s">
        <v>1885</v>
      </c>
      <c r="D930" s="11" t="n">
        <v>0.00752534722222222</v>
      </c>
      <c r="E930" s="18" t="n">
        <f aca="false">ROUND((D930-$D$5)*86400,2)</f>
        <v>111.17</v>
      </c>
      <c r="F930" s="12" t="n">
        <v>1925</v>
      </c>
      <c r="G930" s="11" t="str">
        <f aca="false">IF(INDEX(選手一覧!$D$7:$D$2738,$F930)="","",INDEX(選手一覧!$D$7:$D$2738,$F930))</f>
        <v/>
      </c>
      <c r="H930" s="12" t="str">
        <f aca="false">IF(INDEX(選手一覧!$E$7:$E$2738,$F930)="","",INDEX(選手一覧!$E$7:$E$2738,$F930))</f>
        <v/>
      </c>
      <c r="I930" s="11" t="str">
        <f aca="false">IF(INDEX(選手一覧!$H$7:$H$2738,$F930)="","",INDEX(選手一覧!$H$7:$H$2738,$F930))</f>
        <v/>
      </c>
      <c r="J930" s="12" t="str">
        <f aca="false">IF(INDEX(選手一覧!$I$7:$I$2738,$F930)="","",INDEX(選手一覧!$I$7:$I$2738,$F930))</f>
        <v/>
      </c>
    </row>
    <row r="931" customFormat="false" ht="15" hidden="false" customHeight="false" outlineLevel="0" collapsed="false">
      <c r="A931" s="12" t="n">
        <v>927</v>
      </c>
      <c r="B931" s="10" t="s">
        <v>2750</v>
      </c>
      <c r="C931" s="10" t="s">
        <v>2751</v>
      </c>
      <c r="D931" s="11" t="n">
        <v>0.0075275462962963</v>
      </c>
      <c r="E931" s="18" t="n">
        <f aca="false">ROUND((D931-$D$5)*86400,2)</f>
        <v>111.36</v>
      </c>
      <c r="F931" s="12" t="n">
        <v>1926</v>
      </c>
      <c r="G931" s="11" t="str">
        <f aca="false">IF(INDEX(選手一覧!$D$7:$D$2738,$F931)="","",INDEX(選手一覧!$D$7:$D$2738,$F931))</f>
        <v/>
      </c>
      <c r="H931" s="12" t="str">
        <f aca="false">IF(INDEX(選手一覧!$E$7:$E$2738,$F931)="","",INDEX(選手一覧!$E$7:$E$2738,$F931))</f>
        <v/>
      </c>
      <c r="I931" s="11" t="str">
        <f aca="false">IF(INDEX(選手一覧!$H$7:$H$2738,$F931)="","",INDEX(選手一覧!$H$7:$H$2738,$F931))</f>
        <v/>
      </c>
      <c r="J931" s="12" t="str">
        <f aca="false">IF(INDEX(選手一覧!$I$7:$I$2738,$F931)="","",INDEX(選手一覧!$I$7:$I$2738,$F931))</f>
        <v/>
      </c>
    </row>
    <row r="932" customFormat="false" ht="15" hidden="false" customHeight="false" outlineLevel="0" collapsed="false">
      <c r="A932" s="12" t="n">
        <v>928</v>
      </c>
      <c r="B932" s="10" t="s">
        <v>1927</v>
      </c>
      <c r="C932" s="10" t="s">
        <v>616</v>
      </c>
      <c r="D932" s="11" t="n">
        <v>0.00752777777777778</v>
      </c>
      <c r="E932" s="18" t="n">
        <f aca="false">ROUND((D932-$D$5)*86400,2)</f>
        <v>111.38</v>
      </c>
      <c r="F932" s="12" t="n">
        <v>1324</v>
      </c>
      <c r="G932" s="11" t="n">
        <f aca="false">IF(INDEX(選手一覧!$D$7:$D$2738,$F932)="","",INDEX(選手一覧!$D$7:$D$2738,$F932))</f>
        <v>0.0107231481481482</v>
      </c>
      <c r="H932" s="12" t="n">
        <f aca="false">IF(INDEX(選手一覧!$E$7:$E$2738,$F932)="","",INDEX(選手一覧!$E$7:$E$2738,$F932))</f>
        <v>618</v>
      </c>
      <c r="I932" s="11" t="n">
        <f aca="false">IF(INDEX(選手一覧!$H$7:$H$2738,$F932)="","",INDEX(選手一覧!$H$7:$H$2738,$F932))</f>
        <v>0.0029162037037037</v>
      </c>
      <c r="J932" s="12" t="n">
        <f aca="false">IF(INDEX(選手一覧!$I$7:$I$2738,$F932)="","",INDEX(選手一覧!$I$7:$I$2738,$F932))</f>
        <v>1060</v>
      </c>
    </row>
    <row r="933" customFormat="false" ht="15" hidden="false" customHeight="false" outlineLevel="0" collapsed="false">
      <c r="A933" s="12" t="n">
        <v>929</v>
      </c>
      <c r="B933" s="10" t="s">
        <v>2753</v>
      </c>
      <c r="C933" s="10" t="s">
        <v>1690</v>
      </c>
      <c r="D933" s="11" t="n">
        <v>0.00752858796296296</v>
      </c>
      <c r="E933" s="18" t="n">
        <f aca="false">ROUND((D933-$D$5)*86400,2)</f>
        <v>111.45</v>
      </c>
      <c r="F933" s="12" t="n">
        <v>1928</v>
      </c>
      <c r="G933" s="11" t="str">
        <f aca="false">IF(INDEX(選手一覧!$D$7:$D$2738,$F933)="","",INDEX(選手一覧!$D$7:$D$2738,$F933))</f>
        <v/>
      </c>
      <c r="H933" s="12" t="str">
        <f aca="false">IF(INDEX(選手一覧!$E$7:$E$2738,$F933)="","",INDEX(選手一覧!$E$7:$E$2738,$F933))</f>
        <v/>
      </c>
      <c r="I933" s="11" t="str">
        <f aca="false">IF(INDEX(選手一覧!$H$7:$H$2738,$F933)="","",INDEX(選手一覧!$H$7:$H$2738,$F933))</f>
        <v/>
      </c>
      <c r="J933" s="12" t="str">
        <f aca="false">IF(INDEX(選手一覧!$I$7:$I$2738,$F933)="","",INDEX(選手一覧!$I$7:$I$2738,$F933))</f>
        <v/>
      </c>
    </row>
    <row r="934" customFormat="false" ht="15" hidden="false" customHeight="false" outlineLevel="0" collapsed="false">
      <c r="A934" s="12" t="n">
        <v>930</v>
      </c>
      <c r="B934" s="10" t="s">
        <v>2754</v>
      </c>
      <c r="C934" s="10" t="s">
        <v>2724</v>
      </c>
      <c r="D934" s="11" t="n">
        <v>0.00752974537037037</v>
      </c>
      <c r="E934" s="18" t="n">
        <f aca="false">ROUND((D934-$D$5)*86400,2)</f>
        <v>111.55</v>
      </c>
      <c r="F934" s="12" t="n">
        <v>1929</v>
      </c>
      <c r="G934" s="11" t="str">
        <f aca="false">IF(INDEX(選手一覧!$D$7:$D$2738,$F934)="","",INDEX(選手一覧!$D$7:$D$2738,$F934))</f>
        <v/>
      </c>
      <c r="H934" s="12" t="str">
        <f aca="false">IF(INDEX(選手一覧!$E$7:$E$2738,$F934)="","",INDEX(選手一覧!$E$7:$E$2738,$F934))</f>
        <v/>
      </c>
      <c r="I934" s="11" t="str">
        <f aca="false">IF(INDEX(選手一覧!$H$7:$H$2738,$F934)="","",INDEX(選手一覧!$H$7:$H$2738,$F934))</f>
        <v/>
      </c>
      <c r="J934" s="12" t="str">
        <f aca="false">IF(INDEX(選手一覧!$I$7:$I$2738,$F934)="","",INDEX(選手一覧!$I$7:$I$2738,$F934))</f>
        <v/>
      </c>
    </row>
    <row r="935" customFormat="false" ht="15" hidden="false" customHeight="false" outlineLevel="0" collapsed="false">
      <c r="A935" s="12" t="n">
        <v>931</v>
      </c>
      <c r="B935" s="10" t="s">
        <v>2757</v>
      </c>
      <c r="C935" s="10" t="s">
        <v>85</v>
      </c>
      <c r="D935" s="11" t="n">
        <v>0.0075306712962963</v>
      </c>
      <c r="E935" s="18" t="n">
        <f aca="false">ROUND((D935-$D$5)*86400,2)</f>
        <v>111.63</v>
      </c>
      <c r="F935" s="12" t="n">
        <v>1931</v>
      </c>
      <c r="G935" s="11" t="str">
        <f aca="false">IF(INDEX(選手一覧!$D$7:$D$2738,$F935)="","",INDEX(選手一覧!$D$7:$D$2738,$F935))</f>
        <v/>
      </c>
      <c r="H935" s="12" t="str">
        <f aca="false">IF(INDEX(選手一覧!$E$7:$E$2738,$F935)="","",INDEX(選手一覧!$E$7:$E$2738,$F935))</f>
        <v/>
      </c>
      <c r="I935" s="11" t="str">
        <f aca="false">IF(INDEX(選手一覧!$H$7:$H$2738,$F935)="","",INDEX(選手一覧!$H$7:$H$2738,$F935))</f>
        <v/>
      </c>
      <c r="J935" s="12" t="str">
        <f aca="false">IF(INDEX(選手一覧!$I$7:$I$2738,$F935)="","",INDEX(選手一覧!$I$7:$I$2738,$F935))</f>
        <v/>
      </c>
    </row>
    <row r="936" customFormat="false" ht="15" hidden="false" customHeight="false" outlineLevel="0" collapsed="false">
      <c r="A936" s="12" t="n">
        <v>932</v>
      </c>
      <c r="B936" s="10" t="s">
        <v>2759</v>
      </c>
      <c r="C936" s="10" t="s">
        <v>2760</v>
      </c>
      <c r="D936" s="11" t="n">
        <v>0.00753159722222222</v>
      </c>
      <c r="E936" s="18" t="n">
        <f aca="false">ROUND((D936-$D$5)*86400,2)</f>
        <v>111.71</v>
      </c>
      <c r="F936" s="12" t="n">
        <v>1933</v>
      </c>
      <c r="G936" s="11" t="str">
        <f aca="false">IF(INDEX(選手一覧!$D$7:$D$2738,$F936)="","",INDEX(選手一覧!$D$7:$D$2738,$F936))</f>
        <v/>
      </c>
      <c r="H936" s="12" t="str">
        <f aca="false">IF(INDEX(選手一覧!$E$7:$E$2738,$F936)="","",INDEX(選手一覧!$E$7:$E$2738,$F936))</f>
        <v/>
      </c>
      <c r="I936" s="11" t="str">
        <f aca="false">IF(INDEX(選手一覧!$H$7:$H$2738,$F936)="","",INDEX(選手一覧!$H$7:$H$2738,$F936))</f>
        <v/>
      </c>
      <c r="J936" s="12" t="str">
        <f aca="false">IF(INDEX(選手一覧!$I$7:$I$2738,$F936)="","",INDEX(選手一覧!$I$7:$I$2738,$F936))</f>
        <v/>
      </c>
    </row>
    <row r="937" customFormat="false" ht="15" hidden="false" customHeight="false" outlineLevel="0" collapsed="false">
      <c r="A937" s="12" t="n">
        <v>933</v>
      </c>
      <c r="B937" s="10" t="s">
        <v>2761</v>
      </c>
      <c r="C937" s="10" t="s">
        <v>2762</v>
      </c>
      <c r="D937" s="11" t="n">
        <v>0.00753298611111111</v>
      </c>
      <c r="E937" s="18" t="n">
        <f aca="false">ROUND((D937-$D$5)*86400,2)</f>
        <v>111.83</v>
      </c>
      <c r="F937" s="12" t="n">
        <v>1934</v>
      </c>
      <c r="G937" s="11" t="str">
        <f aca="false">IF(INDEX(選手一覧!$D$7:$D$2738,$F937)="","",INDEX(選手一覧!$D$7:$D$2738,$F937))</f>
        <v/>
      </c>
      <c r="H937" s="12" t="str">
        <f aca="false">IF(INDEX(選手一覧!$E$7:$E$2738,$F937)="","",INDEX(選手一覧!$E$7:$E$2738,$F937))</f>
        <v/>
      </c>
      <c r="I937" s="11" t="str">
        <f aca="false">IF(INDEX(選手一覧!$H$7:$H$2738,$F937)="","",INDEX(選手一覧!$H$7:$H$2738,$F937))</f>
        <v/>
      </c>
      <c r="J937" s="12" t="str">
        <f aca="false">IF(INDEX(選手一覧!$I$7:$I$2738,$F937)="","",INDEX(選手一覧!$I$7:$I$2738,$F937))</f>
        <v/>
      </c>
    </row>
    <row r="938" customFormat="false" ht="15" hidden="false" customHeight="false" outlineLevel="0" collapsed="false">
      <c r="A938" s="12" t="n">
        <v>934</v>
      </c>
      <c r="B938" s="10" t="s">
        <v>2765</v>
      </c>
      <c r="C938" s="10" t="s">
        <v>2766</v>
      </c>
      <c r="D938" s="11" t="n">
        <v>0.00753333333333333</v>
      </c>
      <c r="E938" s="18" t="n">
        <f aca="false">ROUND((D938-$D$5)*86400,2)</f>
        <v>111.86</v>
      </c>
      <c r="F938" s="12" t="n">
        <v>1936</v>
      </c>
      <c r="G938" s="11" t="str">
        <f aca="false">IF(INDEX(選手一覧!$D$7:$D$2738,$F938)="","",INDEX(選手一覧!$D$7:$D$2738,$F938))</f>
        <v/>
      </c>
      <c r="H938" s="12" t="str">
        <f aca="false">IF(INDEX(選手一覧!$E$7:$E$2738,$F938)="","",INDEX(選手一覧!$E$7:$E$2738,$F938))</f>
        <v/>
      </c>
      <c r="I938" s="11" t="str">
        <f aca="false">IF(INDEX(選手一覧!$H$7:$H$2738,$F938)="","",INDEX(選手一覧!$H$7:$H$2738,$F938))</f>
        <v/>
      </c>
      <c r="J938" s="12" t="str">
        <f aca="false">IF(INDEX(選手一覧!$I$7:$I$2738,$F938)="","",INDEX(選手一覧!$I$7:$I$2738,$F938))</f>
        <v/>
      </c>
    </row>
    <row r="939" customFormat="false" ht="15" hidden="false" customHeight="false" outlineLevel="0" collapsed="false">
      <c r="A939" s="12" t="n">
        <v>935</v>
      </c>
      <c r="B939" s="10" t="s">
        <v>2768</v>
      </c>
      <c r="C939" s="10" t="s">
        <v>2769</v>
      </c>
      <c r="D939" s="11" t="n">
        <v>0.00753356481481482</v>
      </c>
      <c r="E939" s="18" t="n">
        <f aca="false">ROUND((D939-$D$5)*86400,2)</f>
        <v>111.88</v>
      </c>
      <c r="F939" s="12" t="n">
        <v>1938</v>
      </c>
      <c r="G939" s="11" t="str">
        <f aca="false">IF(INDEX(選手一覧!$D$7:$D$2738,$F939)="","",INDEX(選手一覧!$D$7:$D$2738,$F939))</f>
        <v/>
      </c>
      <c r="H939" s="12" t="str">
        <f aca="false">IF(INDEX(選手一覧!$E$7:$E$2738,$F939)="","",INDEX(選手一覧!$E$7:$E$2738,$F939))</f>
        <v/>
      </c>
      <c r="I939" s="11" t="str">
        <f aca="false">IF(INDEX(選手一覧!$H$7:$H$2738,$F939)="","",INDEX(選手一覧!$H$7:$H$2738,$F939))</f>
        <v/>
      </c>
      <c r="J939" s="12" t="str">
        <f aca="false">IF(INDEX(選手一覧!$I$7:$I$2738,$F939)="","",INDEX(選手一覧!$I$7:$I$2738,$F939))</f>
        <v/>
      </c>
    </row>
    <row r="940" customFormat="false" ht="15" hidden="false" customHeight="false" outlineLevel="0" collapsed="false">
      <c r="A940" s="12" t="n">
        <v>936</v>
      </c>
      <c r="B940" s="10" t="s">
        <v>2770</v>
      </c>
      <c r="C940" s="10" t="s">
        <v>1186</v>
      </c>
      <c r="D940" s="11" t="n">
        <v>0.00753518518518519</v>
      </c>
      <c r="E940" s="18" t="n">
        <f aca="false">ROUND((D940-$D$5)*86400,2)</f>
        <v>112.02</v>
      </c>
      <c r="F940" s="12" t="n">
        <v>1939</v>
      </c>
      <c r="G940" s="11" t="str">
        <f aca="false">IF(INDEX(選手一覧!$D$7:$D$2738,$F940)="","",INDEX(選手一覧!$D$7:$D$2738,$F940))</f>
        <v/>
      </c>
      <c r="H940" s="12" t="str">
        <f aca="false">IF(INDEX(選手一覧!$E$7:$E$2738,$F940)="","",INDEX(選手一覧!$E$7:$E$2738,$F940))</f>
        <v/>
      </c>
      <c r="I940" s="11" t="str">
        <f aca="false">IF(INDEX(選手一覧!$H$7:$H$2738,$F940)="","",INDEX(選手一覧!$H$7:$H$2738,$F940))</f>
        <v/>
      </c>
      <c r="J940" s="12" t="str">
        <f aca="false">IF(INDEX(選手一覧!$I$7:$I$2738,$F940)="","",INDEX(選手一覧!$I$7:$I$2738,$F940))</f>
        <v/>
      </c>
    </row>
    <row r="941" customFormat="false" ht="15" hidden="false" customHeight="false" outlineLevel="0" collapsed="false">
      <c r="A941" s="12" t="n">
        <v>937</v>
      </c>
      <c r="B941" s="10" t="s">
        <v>2773</v>
      </c>
      <c r="C941" s="10" t="s">
        <v>2774</v>
      </c>
      <c r="D941" s="11" t="n">
        <v>0.00753541666666667</v>
      </c>
      <c r="E941" s="18" t="n">
        <f aca="false">ROUND((D941-$D$5)*86400,2)</f>
        <v>112.04</v>
      </c>
      <c r="F941" s="12" t="n">
        <v>1941</v>
      </c>
      <c r="G941" s="11" t="str">
        <f aca="false">IF(INDEX(選手一覧!$D$7:$D$2738,$F941)="","",INDEX(選手一覧!$D$7:$D$2738,$F941))</f>
        <v/>
      </c>
      <c r="H941" s="12" t="str">
        <f aca="false">IF(INDEX(選手一覧!$E$7:$E$2738,$F941)="","",INDEX(選手一覧!$E$7:$E$2738,$F941))</f>
        <v/>
      </c>
      <c r="I941" s="11" t="str">
        <f aca="false">IF(INDEX(選手一覧!$H$7:$H$2738,$F941)="","",INDEX(選手一覧!$H$7:$H$2738,$F941))</f>
        <v/>
      </c>
      <c r="J941" s="12" t="str">
        <f aca="false">IF(INDEX(選手一覧!$I$7:$I$2738,$F941)="","",INDEX(選手一覧!$I$7:$I$2738,$F941))</f>
        <v/>
      </c>
    </row>
    <row r="942" customFormat="false" ht="15" hidden="false" customHeight="false" outlineLevel="0" collapsed="false">
      <c r="A942" s="12" t="n">
        <v>938</v>
      </c>
      <c r="B942" s="10" t="s">
        <v>2776</v>
      </c>
      <c r="C942" s="10" t="s">
        <v>2129</v>
      </c>
      <c r="D942" s="11" t="n">
        <v>0.00753564814814815</v>
      </c>
      <c r="E942" s="18" t="n">
        <f aca="false">ROUND((D942-$D$5)*86400,2)</f>
        <v>112.06</v>
      </c>
      <c r="F942" s="12" t="n">
        <v>1943</v>
      </c>
      <c r="G942" s="11" t="str">
        <f aca="false">IF(INDEX(選手一覧!$D$7:$D$2738,$F942)="","",INDEX(選手一覧!$D$7:$D$2738,$F942))</f>
        <v/>
      </c>
      <c r="H942" s="12" t="str">
        <f aca="false">IF(INDEX(選手一覧!$E$7:$E$2738,$F942)="","",INDEX(選手一覧!$E$7:$E$2738,$F942))</f>
        <v/>
      </c>
      <c r="I942" s="11" t="str">
        <f aca="false">IF(INDEX(選手一覧!$H$7:$H$2738,$F942)="","",INDEX(選手一覧!$H$7:$H$2738,$F942))</f>
        <v/>
      </c>
      <c r="J942" s="12" t="str">
        <f aca="false">IF(INDEX(選手一覧!$I$7:$I$2738,$F942)="","",INDEX(選手一覧!$I$7:$I$2738,$F942))</f>
        <v/>
      </c>
    </row>
    <row r="943" customFormat="false" ht="15" hidden="false" customHeight="false" outlineLevel="0" collapsed="false">
      <c r="A943" s="12" t="n">
        <v>939</v>
      </c>
      <c r="B943" s="10" t="s">
        <v>2777</v>
      </c>
      <c r="C943" s="10" t="s">
        <v>2778</v>
      </c>
      <c r="D943" s="11" t="n">
        <v>0.00753599537037037</v>
      </c>
      <c r="E943" s="18" t="n">
        <f aca="false">ROUND((D943-$D$5)*86400,2)</f>
        <v>112.09</v>
      </c>
      <c r="F943" s="12" t="n">
        <v>1944</v>
      </c>
      <c r="G943" s="11" t="str">
        <f aca="false">IF(INDEX(選手一覧!$D$7:$D$2738,$F943)="","",INDEX(選手一覧!$D$7:$D$2738,$F943))</f>
        <v/>
      </c>
      <c r="H943" s="12" t="str">
        <f aca="false">IF(INDEX(選手一覧!$E$7:$E$2738,$F943)="","",INDEX(選手一覧!$E$7:$E$2738,$F943))</f>
        <v/>
      </c>
      <c r="I943" s="11" t="str">
        <f aca="false">IF(INDEX(選手一覧!$H$7:$H$2738,$F943)="","",INDEX(選手一覧!$H$7:$H$2738,$F943))</f>
        <v/>
      </c>
      <c r="J943" s="12" t="str">
        <f aca="false">IF(INDEX(選手一覧!$I$7:$I$2738,$F943)="","",INDEX(選手一覧!$I$7:$I$2738,$F943))</f>
        <v/>
      </c>
    </row>
    <row r="944" customFormat="false" ht="15" hidden="false" customHeight="false" outlineLevel="0" collapsed="false">
      <c r="A944" s="12" t="n">
        <v>940</v>
      </c>
      <c r="B944" s="10" t="s">
        <v>2779</v>
      </c>
      <c r="C944" s="10" t="s">
        <v>371</v>
      </c>
      <c r="D944" s="11" t="n">
        <v>0.00753622685185185</v>
      </c>
      <c r="E944" s="18" t="n">
        <f aca="false">ROUND((D944-$D$5)*86400,2)</f>
        <v>112.11</v>
      </c>
      <c r="F944" s="12" t="n">
        <v>1945</v>
      </c>
      <c r="G944" s="11" t="n">
        <f aca="false">IF(INDEX(選手一覧!$D$7:$D$2738,$F944)="","",INDEX(選手一覧!$D$7:$D$2738,$F944))</f>
        <v>0.0109751157407407</v>
      </c>
      <c r="H944" s="12" t="n">
        <f aca="false">IF(INDEX(選手一覧!$E$7:$E$2738,$F944)="","",INDEX(選手一覧!$E$7:$E$2738,$F944))</f>
        <v>1050</v>
      </c>
      <c r="I944" s="11" t="str">
        <f aca="false">IF(INDEX(選手一覧!$H$7:$H$2738,$F944)="","",INDEX(選手一覧!$H$7:$H$2738,$F944))</f>
        <v/>
      </c>
      <c r="J944" s="12" t="str">
        <f aca="false">IF(INDEX(選手一覧!$I$7:$I$2738,$F944)="","",INDEX(選手一覧!$I$7:$I$2738,$F944))</f>
        <v/>
      </c>
    </row>
    <row r="945" customFormat="false" ht="15" hidden="false" customHeight="false" outlineLevel="0" collapsed="false">
      <c r="A945" s="12" t="n">
        <v>941</v>
      </c>
      <c r="B945" s="10" t="s">
        <v>2782</v>
      </c>
      <c r="C945" s="10" t="s">
        <v>2783</v>
      </c>
      <c r="D945" s="11" t="n">
        <v>0.00753657407407407</v>
      </c>
      <c r="E945" s="18" t="n">
        <f aca="false">ROUND((D945-$D$5)*86400,2)</f>
        <v>112.14</v>
      </c>
      <c r="F945" s="12" t="n">
        <v>1948</v>
      </c>
      <c r="G945" s="11" t="str">
        <f aca="false">IF(INDEX(選手一覧!$D$7:$D$2738,$F945)="","",INDEX(選手一覧!$D$7:$D$2738,$F945))</f>
        <v/>
      </c>
      <c r="H945" s="12" t="str">
        <f aca="false">IF(INDEX(選手一覧!$E$7:$E$2738,$F945)="","",INDEX(選手一覧!$E$7:$E$2738,$F945))</f>
        <v/>
      </c>
      <c r="I945" s="11" t="str">
        <f aca="false">IF(INDEX(選手一覧!$H$7:$H$2738,$F945)="","",INDEX(選手一覧!$H$7:$H$2738,$F945))</f>
        <v/>
      </c>
      <c r="J945" s="12" t="str">
        <f aca="false">IF(INDEX(選手一覧!$I$7:$I$2738,$F945)="","",INDEX(選手一覧!$I$7:$I$2738,$F945))</f>
        <v/>
      </c>
    </row>
    <row r="946" customFormat="false" ht="15" hidden="false" customHeight="false" outlineLevel="0" collapsed="false">
      <c r="A946" s="12" t="n">
        <v>942</v>
      </c>
      <c r="B946" s="10" t="s">
        <v>2786</v>
      </c>
      <c r="C946" s="10" t="s">
        <v>4018</v>
      </c>
      <c r="D946" s="11" t="n">
        <v>0.00753773148148148</v>
      </c>
      <c r="E946" s="18" t="n">
        <f aca="false">ROUND((D946-$D$5)*86400,2)</f>
        <v>112.24</v>
      </c>
      <c r="F946" s="12" t="n">
        <v>1950</v>
      </c>
      <c r="G946" s="11" t="str">
        <f aca="false">IF(INDEX(選手一覧!$D$7:$D$2738,$F946)="","",INDEX(選手一覧!$D$7:$D$2738,$F946))</f>
        <v/>
      </c>
      <c r="H946" s="12" t="str">
        <f aca="false">IF(INDEX(選手一覧!$E$7:$E$2738,$F946)="","",INDEX(選手一覧!$E$7:$E$2738,$F946))</f>
        <v/>
      </c>
      <c r="I946" s="11" t="n">
        <f aca="false">IF(INDEX(選手一覧!$H$7:$H$2738,$F946)="","",INDEX(選手一覧!$H$7:$H$2738,$F946))</f>
        <v>0.00295590277777778</v>
      </c>
      <c r="J946" s="12" t="n">
        <f aca="false">IF(INDEX(選手一覧!$I$7:$I$2738,$F946)="","",INDEX(選手一覧!$I$7:$I$2738,$F946))</f>
        <v>1257</v>
      </c>
    </row>
    <row r="947" customFormat="false" ht="15" hidden="false" customHeight="false" outlineLevel="0" collapsed="false">
      <c r="A947" s="12" t="n">
        <v>943</v>
      </c>
      <c r="B947" s="10" t="s">
        <v>2790</v>
      </c>
      <c r="C947" s="10" t="s">
        <v>2283</v>
      </c>
      <c r="D947" s="11" t="n">
        <v>0.00753854166666667</v>
      </c>
      <c r="E947" s="18" t="n">
        <f aca="false">ROUND((D947-$D$5)*86400,2)</f>
        <v>112.31</v>
      </c>
      <c r="F947" s="12" t="n">
        <v>1952</v>
      </c>
      <c r="G947" s="11" t="str">
        <f aca="false">IF(INDEX(選手一覧!$D$7:$D$2738,$F947)="","",INDEX(選手一覧!$D$7:$D$2738,$F947))</f>
        <v/>
      </c>
      <c r="H947" s="12" t="str">
        <f aca="false">IF(INDEX(選手一覧!$E$7:$E$2738,$F947)="","",INDEX(選手一覧!$E$7:$E$2738,$F947))</f>
        <v/>
      </c>
      <c r="I947" s="11" t="str">
        <f aca="false">IF(INDEX(選手一覧!$H$7:$H$2738,$F947)="","",INDEX(選手一覧!$H$7:$H$2738,$F947))</f>
        <v/>
      </c>
      <c r="J947" s="12" t="str">
        <f aca="false">IF(INDEX(選手一覧!$I$7:$I$2738,$F947)="","",INDEX(選手一覧!$I$7:$I$2738,$F947))</f>
        <v/>
      </c>
    </row>
    <row r="948" customFormat="false" ht="15" hidden="false" customHeight="false" outlineLevel="0" collapsed="false">
      <c r="A948" s="12" t="n">
        <v>944</v>
      </c>
      <c r="B948" s="10" t="s">
        <v>2793</v>
      </c>
      <c r="C948" s="10" t="s">
        <v>2794</v>
      </c>
      <c r="D948" s="11" t="n">
        <v>0.00753946759259259</v>
      </c>
      <c r="E948" s="18" t="n">
        <f aca="false">ROUND((D948-$D$5)*86400,2)</f>
        <v>112.39</v>
      </c>
      <c r="F948" s="12" t="n">
        <v>1954</v>
      </c>
      <c r="G948" s="11" t="str">
        <f aca="false">IF(INDEX(選手一覧!$D$7:$D$2738,$F948)="","",INDEX(選手一覧!$D$7:$D$2738,$F948))</f>
        <v/>
      </c>
      <c r="H948" s="12" t="str">
        <f aca="false">IF(INDEX(選手一覧!$E$7:$E$2738,$F948)="","",INDEX(選手一覧!$E$7:$E$2738,$F948))</f>
        <v/>
      </c>
      <c r="I948" s="11" t="str">
        <f aca="false">IF(INDEX(選手一覧!$H$7:$H$2738,$F948)="","",INDEX(選手一覧!$H$7:$H$2738,$F948))</f>
        <v/>
      </c>
      <c r="J948" s="12" t="str">
        <f aca="false">IF(INDEX(選手一覧!$I$7:$I$2738,$F948)="","",INDEX(選手一覧!$I$7:$I$2738,$F948))</f>
        <v/>
      </c>
    </row>
    <row r="949" customFormat="false" ht="15" hidden="false" customHeight="false" outlineLevel="0" collapsed="false">
      <c r="A949" s="12" t="n">
        <v>945</v>
      </c>
      <c r="B949" s="10" t="s">
        <v>2795</v>
      </c>
      <c r="C949" s="10" t="s">
        <v>2796</v>
      </c>
      <c r="D949" s="11" t="n">
        <v>0.00753946759259259</v>
      </c>
      <c r="E949" s="18" t="n">
        <f aca="false">ROUND((D949-$D$5)*86400,2)</f>
        <v>112.39</v>
      </c>
      <c r="F949" s="12" t="n">
        <v>1955</v>
      </c>
      <c r="G949" s="11" t="str">
        <f aca="false">IF(INDEX(選手一覧!$D$7:$D$2738,$F949)="","",INDEX(選手一覧!$D$7:$D$2738,$F949))</f>
        <v/>
      </c>
      <c r="H949" s="12" t="str">
        <f aca="false">IF(INDEX(選手一覧!$E$7:$E$2738,$F949)="","",INDEX(選手一覧!$E$7:$E$2738,$F949))</f>
        <v/>
      </c>
      <c r="I949" s="11" t="str">
        <f aca="false">IF(INDEX(選手一覧!$H$7:$H$2738,$F949)="","",INDEX(選手一覧!$H$7:$H$2738,$F949))</f>
        <v/>
      </c>
      <c r="J949" s="12" t="str">
        <f aca="false">IF(INDEX(選手一覧!$I$7:$I$2738,$F949)="","",INDEX(選手一覧!$I$7:$I$2738,$F949))</f>
        <v/>
      </c>
    </row>
    <row r="950" customFormat="false" ht="15" hidden="false" customHeight="false" outlineLevel="0" collapsed="false">
      <c r="A950" s="12" t="n">
        <v>946</v>
      </c>
      <c r="B950" s="10" t="s">
        <v>2798</v>
      </c>
      <c r="C950" s="10" t="s">
        <v>1137</v>
      </c>
      <c r="D950" s="11" t="n">
        <v>0.00754155092592593</v>
      </c>
      <c r="E950" s="18" t="n">
        <f aca="false">ROUND((D950-$D$5)*86400,2)</f>
        <v>112.57</v>
      </c>
      <c r="F950" s="12" t="n">
        <v>1957</v>
      </c>
      <c r="G950" s="11" t="str">
        <f aca="false">IF(INDEX(選手一覧!$D$7:$D$2738,$F950)="","",INDEX(選手一覧!$D$7:$D$2738,$F950))</f>
        <v/>
      </c>
      <c r="H950" s="12" t="str">
        <f aca="false">IF(INDEX(選手一覧!$E$7:$E$2738,$F950)="","",INDEX(選手一覧!$E$7:$E$2738,$F950))</f>
        <v/>
      </c>
      <c r="I950" s="11" t="str">
        <f aca="false">IF(INDEX(選手一覧!$H$7:$H$2738,$F950)="","",INDEX(選手一覧!$H$7:$H$2738,$F950))</f>
        <v/>
      </c>
      <c r="J950" s="12" t="str">
        <f aca="false">IF(INDEX(選手一覧!$I$7:$I$2738,$F950)="","",INDEX(選手一覧!$I$7:$I$2738,$F950))</f>
        <v/>
      </c>
    </row>
    <row r="951" customFormat="false" ht="15" hidden="false" customHeight="false" outlineLevel="0" collapsed="false">
      <c r="A951" s="12" t="n">
        <v>947</v>
      </c>
      <c r="B951" s="10" t="s">
        <v>2799</v>
      </c>
      <c r="C951" s="10" t="s">
        <v>2800</v>
      </c>
      <c r="D951" s="11" t="n">
        <v>0.00754236111111111</v>
      </c>
      <c r="E951" s="18" t="n">
        <f aca="false">ROUND((D951-$D$5)*86400,2)</f>
        <v>112.64</v>
      </c>
      <c r="F951" s="12" t="n">
        <v>1958</v>
      </c>
      <c r="G951" s="11" t="str">
        <f aca="false">IF(INDEX(選手一覧!$D$7:$D$2738,$F951)="","",INDEX(選手一覧!$D$7:$D$2738,$F951))</f>
        <v/>
      </c>
      <c r="H951" s="12" t="str">
        <f aca="false">IF(INDEX(選手一覧!$E$7:$E$2738,$F951)="","",INDEX(選手一覧!$E$7:$E$2738,$F951))</f>
        <v/>
      </c>
      <c r="I951" s="11" t="str">
        <f aca="false">IF(INDEX(選手一覧!$H$7:$H$2738,$F951)="","",INDEX(選手一覧!$H$7:$H$2738,$F951))</f>
        <v/>
      </c>
      <c r="J951" s="12" t="str">
        <f aca="false">IF(INDEX(選手一覧!$I$7:$I$2738,$F951)="","",INDEX(選手一覧!$I$7:$I$2738,$F951))</f>
        <v/>
      </c>
    </row>
    <row r="952" customFormat="false" ht="15" hidden="false" customHeight="false" outlineLevel="0" collapsed="false">
      <c r="A952" s="12" t="n">
        <v>948</v>
      </c>
      <c r="B952" s="10" t="s">
        <v>2802</v>
      </c>
      <c r="C952" s="10" t="s">
        <v>1536</v>
      </c>
      <c r="D952" s="11" t="n">
        <v>0.00754363425925926</v>
      </c>
      <c r="E952" s="18" t="n">
        <f aca="false">ROUND((D952-$D$5)*86400,2)</f>
        <v>112.75</v>
      </c>
      <c r="F952" s="12" t="n">
        <v>1960</v>
      </c>
      <c r="G952" s="11" t="str">
        <f aca="false">IF(INDEX(選手一覧!$D$7:$D$2738,$F952)="","",INDEX(選手一覧!$D$7:$D$2738,$F952))</f>
        <v/>
      </c>
      <c r="H952" s="12" t="str">
        <f aca="false">IF(INDEX(選手一覧!$E$7:$E$2738,$F952)="","",INDEX(選手一覧!$E$7:$E$2738,$F952))</f>
        <v/>
      </c>
      <c r="I952" s="11" t="str">
        <f aca="false">IF(INDEX(選手一覧!$H$7:$H$2738,$F952)="","",INDEX(選手一覧!$H$7:$H$2738,$F952))</f>
        <v/>
      </c>
      <c r="J952" s="12" t="str">
        <f aca="false">IF(INDEX(選手一覧!$I$7:$I$2738,$F952)="","",INDEX(選手一覧!$I$7:$I$2738,$F952))</f>
        <v/>
      </c>
    </row>
    <row r="953" customFormat="false" ht="15" hidden="false" customHeight="false" outlineLevel="0" collapsed="false">
      <c r="A953" s="12" t="n">
        <v>949</v>
      </c>
      <c r="B953" s="10" t="s">
        <v>2804</v>
      </c>
      <c r="C953" s="10" t="s">
        <v>2805</v>
      </c>
      <c r="D953" s="11" t="n">
        <v>0.00754421296296296</v>
      </c>
      <c r="E953" s="18" t="n">
        <f aca="false">ROUND((D953-$D$5)*86400,2)</f>
        <v>112.8</v>
      </c>
      <c r="F953" s="12" t="n">
        <v>1962</v>
      </c>
      <c r="G953" s="11" t="str">
        <f aca="false">IF(INDEX(選手一覧!$D$7:$D$2738,$F953)="","",INDEX(選手一覧!$D$7:$D$2738,$F953))</f>
        <v/>
      </c>
      <c r="H953" s="12" t="str">
        <f aca="false">IF(INDEX(選手一覧!$E$7:$E$2738,$F953)="","",INDEX(選手一覧!$E$7:$E$2738,$F953))</f>
        <v/>
      </c>
      <c r="I953" s="11" t="str">
        <f aca="false">IF(INDEX(選手一覧!$H$7:$H$2738,$F953)="","",INDEX(選手一覧!$H$7:$H$2738,$F953))</f>
        <v/>
      </c>
      <c r="J953" s="12" t="str">
        <f aca="false">IF(INDEX(選手一覧!$I$7:$I$2738,$F953)="","",INDEX(選手一覧!$I$7:$I$2738,$F953))</f>
        <v/>
      </c>
    </row>
    <row r="954" customFormat="false" ht="15" hidden="false" customHeight="false" outlineLevel="0" collapsed="false">
      <c r="A954" s="12" t="n">
        <v>950</v>
      </c>
      <c r="B954" s="10" t="s">
        <v>2807</v>
      </c>
      <c r="C954" s="10" t="s">
        <v>2534</v>
      </c>
      <c r="D954" s="11" t="n">
        <v>0.00754513888888889</v>
      </c>
      <c r="E954" s="18" t="n">
        <f aca="false">ROUND((D954-$D$5)*86400,2)</f>
        <v>112.88</v>
      </c>
      <c r="F954" s="12" t="n">
        <v>1964</v>
      </c>
      <c r="G954" s="11" t="str">
        <f aca="false">IF(INDEX(選手一覧!$D$7:$D$2738,$F954)="","",INDEX(選手一覧!$D$7:$D$2738,$F954))</f>
        <v/>
      </c>
      <c r="H954" s="12" t="str">
        <f aca="false">IF(INDEX(選手一覧!$E$7:$E$2738,$F954)="","",INDEX(選手一覧!$E$7:$E$2738,$F954))</f>
        <v/>
      </c>
      <c r="I954" s="11" t="str">
        <f aca="false">IF(INDEX(選手一覧!$H$7:$H$2738,$F954)="","",INDEX(選手一覧!$H$7:$H$2738,$F954))</f>
        <v/>
      </c>
      <c r="J954" s="12" t="str">
        <f aca="false">IF(INDEX(選手一覧!$I$7:$I$2738,$F954)="","",INDEX(選手一覧!$I$7:$I$2738,$F954))</f>
        <v/>
      </c>
    </row>
    <row r="955" customFormat="false" ht="15" hidden="false" customHeight="false" outlineLevel="0" collapsed="false">
      <c r="A955" s="12" t="n">
        <v>951</v>
      </c>
      <c r="B955" s="10" t="s">
        <v>2809</v>
      </c>
      <c r="C955" s="10" t="s">
        <v>1871</v>
      </c>
      <c r="D955" s="11" t="n">
        <v>0.00754537037037037</v>
      </c>
      <c r="E955" s="18" t="n">
        <f aca="false">ROUND((D955-$D$5)*86400,2)</f>
        <v>112.9</v>
      </c>
      <c r="F955" s="12" t="n">
        <v>1966</v>
      </c>
      <c r="G955" s="11" t="str">
        <f aca="false">IF(INDEX(選手一覧!$D$7:$D$2738,$F955)="","",INDEX(選手一覧!$D$7:$D$2738,$F955))</f>
        <v/>
      </c>
      <c r="H955" s="12" t="str">
        <f aca="false">IF(INDEX(選手一覧!$E$7:$E$2738,$F955)="","",INDEX(選手一覧!$E$7:$E$2738,$F955))</f>
        <v/>
      </c>
      <c r="I955" s="11" t="str">
        <f aca="false">IF(INDEX(選手一覧!$H$7:$H$2738,$F955)="","",INDEX(選手一覧!$H$7:$H$2738,$F955))</f>
        <v/>
      </c>
      <c r="J955" s="12" t="str">
        <f aca="false">IF(INDEX(選手一覧!$I$7:$I$2738,$F955)="","",INDEX(選手一覧!$I$7:$I$2738,$F955))</f>
        <v/>
      </c>
    </row>
    <row r="956" customFormat="false" ht="15" hidden="false" customHeight="false" outlineLevel="0" collapsed="false">
      <c r="A956" s="12" t="n">
        <v>952</v>
      </c>
      <c r="B956" s="10" t="s">
        <v>2810</v>
      </c>
      <c r="C956" s="10" t="s">
        <v>2811</v>
      </c>
      <c r="D956" s="11" t="n">
        <v>0.00754594907407408</v>
      </c>
      <c r="E956" s="18" t="n">
        <f aca="false">ROUND((D956-$D$5)*86400,2)</f>
        <v>112.95</v>
      </c>
      <c r="F956" s="12" t="n">
        <v>1967</v>
      </c>
      <c r="G956" s="11" t="str">
        <f aca="false">IF(INDEX(選手一覧!$D$7:$D$2738,$F956)="","",INDEX(選手一覧!$D$7:$D$2738,$F956))</f>
        <v/>
      </c>
      <c r="H956" s="12" t="str">
        <f aca="false">IF(INDEX(選手一覧!$E$7:$E$2738,$F956)="","",INDEX(選手一覧!$E$7:$E$2738,$F956))</f>
        <v/>
      </c>
      <c r="I956" s="11" t="str">
        <f aca="false">IF(INDEX(選手一覧!$H$7:$H$2738,$F956)="","",INDEX(選手一覧!$H$7:$H$2738,$F956))</f>
        <v/>
      </c>
      <c r="J956" s="12" t="str">
        <f aca="false">IF(INDEX(選手一覧!$I$7:$I$2738,$F956)="","",INDEX(選手一覧!$I$7:$I$2738,$F956))</f>
        <v/>
      </c>
    </row>
    <row r="957" customFormat="false" ht="15" hidden="false" customHeight="false" outlineLevel="0" collapsed="false">
      <c r="A957" s="12" t="n">
        <v>953</v>
      </c>
      <c r="B957" s="10" t="s">
        <v>2814</v>
      </c>
      <c r="C957" s="10" t="s">
        <v>910</v>
      </c>
      <c r="D957" s="11" t="n">
        <v>0.00754768518518519</v>
      </c>
      <c r="E957" s="18" t="n">
        <f aca="false">ROUND((D957-$D$5)*86400,2)</f>
        <v>113.1</v>
      </c>
      <c r="F957" s="12" t="n">
        <v>1970</v>
      </c>
      <c r="G957" s="11" t="str">
        <f aca="false">IF(INDEX(選手一覧!$D$7:$D$2738,$F957)="","",INDEX(選手一覧!$D$7:$D$2738,$F957))</f>
        <v/>
      </c>
      <c r="H957" s="12" t="str">
        <f aca="false">IF(INDEX(選手一覧!$E$7:$E$2738,$F957)="","",INDEX(選手一覧!$E$7:$E$2738,$F957))</f>
        <v/>
      </c>
      <c r="I957" s="11" t="str">
        <f aca="false">IF(INDEX(選手一覧!$H$7:$H$2738,$F957)="","",INDEX(選手一覧!$H$7:$H$2738,$F957))</f>
        <v/>
      </c>
      <c r="J957" s="12" t="str">
        <f aca="false">IF(INDEX(選手一覧!$I$7:$I$2738,$F957)="","",INDEX(選手一覧!$I$7:$I$2738,$F957))</f>
        <v/>
      </c>
    </row>
    <row r="958" customFormat="false" ht="15" hidden="false" customHeight="false" outlineLevel="0" collapsed="false">
      <c r="A958" s="12" t="n">
        <v>954</v>
      </c>
      <c r="B958" s="10" t="s">
        <v>2815</v>
      </c>
      <c r="C958" s="10" t="s">
        <v>1680</v>
      </c>
      <c r="D958" s="11" t="n">
        <v>0.00754861111111111</v>
      </c>
      <c r="E958" s="18" t="n">
        <f aca="false">ROUND((D958-$D$5)*86400,2)</f>
        <v>113.18</v>
      </c>
      <c r="F958" s="12" t="n">
        <v>1971</v>
      </c>
      <c r="G958" s="11" t="str">
        <f aca="false">IF(INDEX(選手一覧!$D$7:$D$2738,$F958)="","",INDEX(選手一覧!$D$7:$D$2738,$F958))</f>
        <v/>
      </c>
      <c r="H958" s="12" t="str">
        <f aca="false">IF(INDEX(選手一覧!$E$7:$E$2738,$F958)="","",INDEX(選手一覧!$E$7:$E$2738,$F958))</f>
        <v/>
      </c>
      <c r="I958" s="11" t="str">
        <f aca="false">IF(INDEX(選手一覧!$H$7:$H$2738,$F958)="","",INDEX(選手一覧!$H$7:$H$2738,$F958))</f>
        <v/>
      </c>
      <c r="J958" s="12" t="str">
        <f aca="false">IF(INDEX(選手一覧!$I$7:$I$2738,$F958)="","",INDEX(選手一覧!$I$7:$I$2738,$F958))</f>
        <v/>
      </c>
    </row>
    <row r="959" customFormat="false" ht="15" hidden="false" customHeight="false" outlineLevel="0" collapsed="false">
      <c r="A959" s="12" t="n">
        <v>955</v>
      </c>
      <c r="B959" s="10" t="s">
        <v>2816</v>
      </c>
      <c r="C959" s="10" t="s">
        <v>519</v>
      </c>
      <c r="D959" s="11" t="n">
        <v>0.00754884259259259</v>
      </c>
      <c r="E959" s="18" t="n">
        <f aca="false">ROUND((D959-$D$5)*86400,2)</f>
        <v>113.2</v>
      </c>
      <c r="F959" s="12" t="n">
        <v>1972</v>
      </c>
      <c r="G959" s="11" t="str">
        <f aca="false">IF(INDEX(選手一覧!$D$7:$D$2738,$F959)="","",INDEX(選手一覧!$D$7:$D$2738,$F959))</f>
        <v/>
      </c>
      <c r="H959" s="12" t="str">
        <f aca="false">IF(INDEX(選手一覧!$E$7:$E$2738,$F959)="","",INDEX(選手一覧!$E$7:$E$2738,$F959))</f>
        <v/>
      </c>
      <c r="I959" s="11" t="str">
        <f aca="false">IF(INDEX(選手一覧!$H$7:$H$2738,$F959)="","",INDEX(選手一覧!$H$7:$H$2738,$F959))</f>
        <v/>
      </c>
      <c r="J959" s="12" t="str">
        <f aca="false">IF(INDEX(選手一覧!$I$7:$I$2738,$F959)="","",INDEX(選手一覧!$I$7:$I$2738,$F959))</f>
        <v/>
      </c>
    </row>
    <row r="960" customFormat="false" ht="15" hidden="false" customHeight="false" outlineLevel="0" collapsed="false">
      <c r="A960" s="12" t="n">
        <v>956</v>
      </c>
      <c r="B960" s="10" t="s">
        <v>2820</v>
      </c>
      <c r="C960" s="10" t="s">
        <v>43</v>
      </c>
      <c r="D960" s="11" t="n">
        <v>0.00754907407407407</v>
      </c>
      <c r="E960" s="18" t="n">
        <f aca="false">ROUND((D960-$D$5)*86400,2)</f>
        <v>113.22</v>
      </c>
      <c r="F960" s="12" t="n">
        <v>1975</v>
      </c>
      <c r="G960" s="11" t="str">
        <f aca="false">IF(INDEX(選手一覧!$D$7:$D$2738,$F960)="","",INDEX(選手一覧!$D$7:$D$2738,$F960))</f>
        <v/>
      </c>
      <c r="H960" s="12" t="str">
        <f aca="false">IF(INDEX(選手一覧!$E$7:$E$2738,$F960)="","",INDEX(選手一覧!$E$7:$E$2738,$F960))</f>
        <v/>
      </c>
      <c r="I960" s="11" t="str">
        <f aca="false">IF(INDEX(選手一覧!$H$7:$H$2738,$F960)="","",INDEX(選手一覧!$H$7:$H$2738,$F960))</f>
        <v/>
      </c>
      <c r="J960" s="12" t="str">
        <f aca="false">IF(INDEX(選手一覧!$I$7:$I$2738,$F960)="","",INDEX(選手一覧!$I$7:$I$2738,$F960))</f>
        <v/>
      </c>
    </row>
    <row r="961" customFormat="false" ht="15" hidden="false" customHeight="false" outlineLevel="0" collapsed="false">
      <c r="A961" s="12" t="n">
        <v>957</v>
      </c>
      <c r="B961" s="10" t="s">
        <v>2821</v>
      </c>
      <c r="C961" s="10" t="s">
        <v>2822</v>
      </c>
      <c r="D961" s="11" t="n">
        <v>0.00754918981481482</v>
      </c>
      <c r="E961" s="18" t="n">
        <f aca="false">ROUND((D961-$D$5)*86400,2)</f>
        <v>113.23</v>
      </c>
      <c r="F961" s="12" t="n">
        <v>1976</v>
      </c>
      <c r="G961" s="11" t="n">
        <f aca="false">IF(INDEX(選手一覧!$D$7:$D$2738,$F961)="","",INDEX(選手一覧!$D$7:$D$2738,$F961))</f>
        <v>0.0110162037037037</v>
      </c>
      <c r="H961" s="12" t="n">
        <f aca="false">IF(INDEX(選手一覧!$E$7:$E$2738,$F961)="","",INDEX(選手一覧!$E$7:$E$2738,$F961))</f>
        <v>1120</v>
      </c>
      <c r="I961" s="11" t="str">
        <f aca="false">IF(INDEX(選手一覧!$H$7:$H$2738,$F961)="","",INDEX(選手一覧!$H$7:$H$2738,$F961))</f>
        <v/>
      </c>
      <c r="J961" s="12" t="str">
        <f aca="false">IF(INDEX(選手一覧!$I$7:$I$2738,$F961)="","",INDEX(選手一覧!$I$7:$I$2738,$F961))</f>
        <v/>
      </c>
    </row>
    <row r="962" customFormat="false" ht="15" hidden="false" customHeight="false" outlineLevel="0" collapsed="false">
      <c r="A962" s="12" t="n">
        <v>958</v>
      </c>
      <c r="B962" s="10" t="s">
        <v>2826</v>
      </c>
      <c r="C962" s="10" t="s">
        <v>2827</v>
      </c>
      <c r="D962" s="11" t="n">
        <v>0.00755219907407407</v>
      </c>
      <c r="E962" s="18" t="n">
        <f aca="false">ROUND((D962-$D$5)*86400,2)</f>
        <v>113.49</v>
      </c>
      <c r="F962" s="12" t="n">
        <v>1980</v>
      </c>
      <c r="G962" s="11" t="str">
        <f aca="false">IF(INDEX(選手一覧!$D$7:$D$2738,$F962)="","",INDEX(選手一覧!$D$7:$D$2738,$F962))</f>
        <v/>
      </c>
      <c r="H962" s="12" t="str">
        <f aca="false">IF(INDEX(選手一覧!$E$7:$E$2738,$F962)="","",INDEX(選手一覧!$E$7:$E$2738,$F962))</f>
        <v/>
      </c>
      <c r="I962" s="11" t="str">
        <f aca="false">IF(INDEX(選手一覧!$H$7:$H$2738,$F962)="","",INDEX(選手一覧!$H$7:$H$2738,$F962))</f>
        <v/>
      </c>
      <c r="J962" s="12" t="str">
        <f aca="false">IF(INDEX(選手一覧!$I$7:$I$2738,$F962)="","",INDEX(選手一覧!$I$7:$I$2738,$F962))</f>
        <v/>
      </c>
    </row>
    <row r="963" customFormat="false" ht="15" hidden="false" customHeight="false" outlineLevel="0" collapsed="false">
      <c r="A963" s="12" t="n">
        <v>959</v>
      </c>
      <c r="B963" s="10" t="s">
        <v>2830</v>
      </c>
      <c r="C963" s="10" t="s">
        <v>1843</v>
      </c>
      <c r="D963" s="11" t="n">
        <v>0.00755289351851852</v>
      </c>
      <c r="E963" s="18" t="n">
        <f aca="false">ROUND((D963-$D$5)*86400,2)</f>
        <v>113.55</v>
      </c>
      <c r="F963" s="12" t="n">
        <v>1982</v>
      </c>
      <c r="G963" s="11" t="str">
        <f aca="false">IF(INDEX(選手一覧!$D$7:$D$2738,$F963)="","",INDEX(選手一覧!$D$7:$D$2738,$F963))</f>
        <v/>
      </c>
      <c r="H963" s="12" t="str">
        <f aca="false">IF(INDEX(選手一覧!$E$7:$E$2738,$F963)="","",INDEX(選手一覧!$E$7:$E$2738,$F963))</f>
        <v/>
      </c>
      <c r="I963" s="11" t="str">
        <f aca="false">IF(INDEX(選手一覧!$H$7:$H$2738,$F963)="","",INDEX(選手一覧!$H$7:$H$2738,$F963))</f>
        <v/>
      </c>
      <c r="J963" s="12" t="str">
        <f aca="false">IF(INDEX(選手一覧!$I$7:$I$2738,$F963)="","",INDEX(選手一覧!$I$7:$I$2738,$F963))</f>
        <v/>
      </c>
    </row>
    <row r="964" customFormat="false" ht="15" hidden="false" customHeight="false" outlineLevel="0" collapsed="false">
      <c r="A964" s="12" t="n">
        <v>960</v>
      </c>
      <c r="B964" s="10" t="s">
        <v>2834</v>
      </c>
      <c r="C964" s="10" t="s">
        <v>2835</v>
      </c>
      <c r="D964" s="11" t="n">
        <v>0.00755347222222222</v>
      </c>
      <c r="E964" s="18" t="n">
        <f aca="false">ROUND((D964-$D$5)*86400,2)</f>
        <v>113.6</v>
      </c>
      <c r="F964" s="12" t="n">
        <v>1985</v>
      </c>
      <c r="G964" s="11" t="str">
        <f aca="false">IF(INDEX(選手一覧!$D$7:$D$2738,$F964)="","",INDEX(選手一覧!$D$7:$D$2738,$F964))</f>
        <v/>
      </c>
      <c r="H964" s="12" t="str">
        <f aca="false">IF(INDEX(選手一覧!$E$7:$E$2738,$F964)="","",INDEX(選手一覧!$E$7:$E$2738,$F964))</f>
        <v/>
      </c>
      <c r="I964" s="11" t="str">
        <f aca="false">IF(INDEX(選手一覧!$H$7:$H$2738,$F964)="","",INDEX(選手一覧!$H$7:$H$2738,$F964))</f>
        <v/>
      </c>
      <c r="J964" s="12" t="str">
        <f aca="false">IF(INDEX(選手一覧!$I$7:$I$2738,$F964)="","",INDEX(選手一覧!$I$7:$I$2738,$F964))</f>
        <v/>
      </c>
    </row>
    <row r="965" customFormat="false" ht="15" hidden="false" customHeight="false" outlineLevel="0" collapsed="false">
      <c r="A965" s="12" t="n">
        <v>961</v>
      </c>
      <c r="B965" s="10" t="s">
        <v>2836</v>
      </c>
      <c r="C965" s="10" t="s">
        <v>1626</v>
      </c>
      <c r="D965" s="11" t="n">
        <v>0.00755636574074074</v>
      </c>
      <c r="E965" s="18" t="n">
        <f aca="false">ROUND((D965-$D$5)*86400,2)</f>
        <v>113.85</v>
      </c>
      <c r="F965" s="12" t="n">
        <v>1986</v>
      </c>
      <c r="G965" s="11" t="str">
        <f aca="false">IF(INDEX(選手一覧!$D$7:$D$2738,$F965)="","",INDEX(選手一覧!$D$7:$D$2738,$F965))</f>
        <v/>
      </c>
      <c r="H965" s="12" t="str">
        <f aca="false">IF(INDEX(選手一覧!$E$7:$E$2738,$F965)="","",INDEX(選手一覧!$E$7:$E$2738,$F965))</f>
        <v/>
      </c>
      <c r="I965" s="11" t="str">
        <f aca="false">IF(INDEX(選手一覧!$H$7:$H$2738,$F965)="","",INDEX(選手一覧!$H$7:$H$2738,$F965))</f>
        <v/>
      </c>
      <c r="J965" s="12" t="str">
        <f aca="false">IF(INDEX(選手一覧!$I$7:$I$2738,$F965)="","",INDEX(選手一覧!$I$7:$I$2738,$F965))</f>
        <v/>
      </c>
    </row>
    <row r="966" customFormat="false" ht="15" hidden="false" customHeight="false" outlineLevel="0" collapsed="false">
      <c r="A966" s="12" t="n">
        <v>962</v>
      </c>
      <c r="B966" s="10" t="s">
        <v>2837</v>
      </c>
      <c r="C966" s="10" t="s">
        <v>416</v>
      </c>
      <c r="D966" s="11" t="n">
        <v>0.00755798611111111</v>
      </c>
      <c r="E966" s="18" t="n">
        <f aca="false">ROUND((D966-$D$5)*86400,2)</f>
        <v>113.99</v>
      </c>
      <c r="F966" s="12" t="n">
        <v>1987</v>
      </c>
      <c r="G966" s="11" t="str">
        <f aca="false">IF(INDEX(選手一覧!$D$7:$D$2738,$F966)="","",INDEX(選手一覧!$D$7:$D$2738,$F966))</f>
        <v/>
      </c>
      <c r="H966" s="12" t="str">
        <f aca="false">IF(INDEX(選手一覧!$E$7:$E$2738,$F966)="","",INDEX(選手一覧!$E$7:$E$2738,$F966))</f>
        <v/>
      </c>
      <c r="I966" s="11" t="str">
        <f aca="false">IF(INDEX(選手一覧!$H$7:$H$2738,$F966)="","",INDEX(選手一覧!$H$7:$H$2738,$F966))</f>
        <v/>
      </c>
      <c r="J966" s="12" t="str">
        <f aca="false">IF(INDEX(選手一覧!$I$7:$I$2738,$F966)="","",INDEX(選手一覧!$I$7:$I$2738,$F966))</f>
        <v/>
      </c>
    </row>
    <row r="967" customFormat="false" ht="15" hidden="false" customHeight="false" outlineLevel="0" collapsed="false">
      <c r="A967" s="12" t="n">
        <v>963</v>
      </c>
      <c r="B967" s="10" t="s">
        <v>2839</v>
      </c>
      <c r="C967" s="10" t="s">
        <v>2840</v>
      </c>
      <c r="D967" s="11" t="n">
        <v>0.007559375</v>
      </c>
      <c r="E967" s="18" t="n">
        <f aca="false">ROUND((D967-$D$5)*86400,2)</f>
        <v>114.11</v>
      </c>
      <c r="F967" s="12" t="n">
        <v>1989</v>
      </c>
      <c r="G967" s="11" t="str">
        <f aca="false">IF(INDEX(選手一覧!$D$7:$D$2738,$F967)="","",INDEX(選手一覧!$D$7:$D$2738,$F967))</f>
        <v/>
      </c>
      <c r="H967" s="12" t="str">
        <f aca="false">IF(INDEX(選手一覧!$E$7:$E$2738,$F967)="","",INDEX(選手一覧!$E$7:$E$2738,$F967))</f>
        <v/>
      </c>
      <c r="I967" s="11" t="str">
        <f aca="false">IF(INDEX(選手一覧!$H$7:$H$2738,$F967)="","",INDEX(選手一覧!$H$7:$H$2738,$F967))</f>
        <v/>
      </c>
      <c r="J967" s="12" t="str">
        <f aca="false">IF(INDEX(選手一覧!$I$7:$I$2738,$F967)="","",INDEX(選手一覧!$I$7:$I$2738,$F967))</f>
        <v/>
      </c>
    </row>
    <row r="968" customFormat="false" ht="15" hidden="false" customHeight="false" outlineLevel="0" collapsed="false">
      <c r="A968" s="12" t="n">
        <v>964</v>
      </c>
      <c r="B968" s="10" t="s">
        <v>2843</v>
      </c>
      <c r="C968" s="10" t="s">
        <v>2844</v>
      </c>
      <c r="D968" s="11" t="n">
        <v>0.00756030092592593</v>
      </c>
      <c r="E968" s="18" t="n">
        <f aca="false">ROUND((D968-$D$5)*86400,2)</f>
        <v>114.19</v>
      </c>
      <c r="F968" s="12" t="n">
        <v>1991</v>
      </c>
      <c r="G968" s="11" t="str">
        <f aca="false">IF(INDEX(選手一覧!$D$7:$D$2738,$F968)="","",INDEX(選手一覧!$D$7:$D$2738,$F968))</f>
        <v/>
      </c>
      <c r="H968" s="12" t="str">
        <f aca="false">IF(INDEX(選手一覧!$E$7:$E$2738,$F968)="","",INDEX(選手一覧!$E$7:$E$2738,$F968))</f>
        <v/>
      </c>
      <c r="I968" s="11" t="n">
        <f aca="false">IF(INDEX(選手一覧!$H$7:$H$2738,$F968)="","",INDEX(選手一覧!$H$7:$H$2738,$F968))</f>
        <v>0.00290856481481482</v>
      </c>
      <c r="J968" s="12" t="n">
        <f aca="false">IF(INDEX(選手一覧!$I$7:$I$2738,$F968)="","",INDEX(選手一覧!$I$7:$I$2738,$F968))</f>
        <v>1005</v>
      </c>
    </row>
    <row r="969" customFormat="false" ht="15" hidden="false" customHeight="false" outlineLevel="0" collapsed="false">
      <c r="A969" s="12" t="n">
        <v>965</v>
      </c>
      <c r="B969" s="10" t="s">
        <v>2847</v>
      </c>
      <c r="C969" s="10" t="s">
        <v>814</v>
      </c>
      <c r="D969" s="11" t="n">
        <v>0.00756261574074074</v>
      </c>
      <c r="E969" s="18" t="n">
        <f aca="false">ROUND((D969-$D$5)*86400,2)</f>
        <v>114.39</v>
      </c>
      <c r="F969" s="12" t="n">
        <v>1993</v>
      </c>
      <c r="G969" s="11" t="str">
        <f aca="false">IF(INDEX(選手一覧!$D$7:$D$2738,$F969)="","",INDEX(選手一覧!$D$7:$D$2738,$F969))</f>
        <v/>
      </c>
      <c r="H969" s="12" t="str">
        <f aca="false">IF(INDEX(選手一覧!$E$7:$E$2738,$F969)="","",INDEX(選手一覧!$E$7:$E$2738,$F969))</f>
        <v/>
      </c>
      <c r="I969" s="11" t="n">
        <f aca="false">IF(INDEX(選手一覧!$H$7:$H$2738,$F969)="","",INDEX(選手一覧!$H$7:$H$2738,$F969))</f>
        <v>0.00294131944444444</v>
      </c>
      <c r="J969" s="12" t="n">
        <f aca="false">IF(INDEX(選手一覧!$I$7:$I$2738,$F969)="","",INDEX(選手一覧!$I$7:$I$2738,$F969))</f>
        <v>1204</v>
      </c>
    </row>
    <row r="970" customFormat="false" ht="15" hidden="false" customHeight="false" outlineLevel="0" collapsed="false">
      <c r="A970" s="12" t="n">
        <v>966</v>
      </c>
      <c r="B970" s="10" t="s">
        <v>2848</v>
      </c>
      <c r="C970" s="10" t="s">
        <v>2849</v>
      </c>
      <c r="D970" s="11" t="n">
        <v>0.00756273148148148</v>
      </c>
      <c r="E970" s="18" t="n">
        <f aca="false">ROUND((D970-$D$5)*86400,2)</f>
        <v>114.4</v>
      </c>
      <c r="F970" s="12" t="n">
        <v>1994</v>
      </c>
      <c r="G970" s="11" t="str">
        <f aca="false">IF(INDEX(選手一覧!$D$7:$D$2738,$F970)="","",INDEX(選手一覧!$D$7:$D$2738,$F970))</f>
        <v/>
      </c>
      <c r="H970" s="12" t="str">
        <f aca="false">IF(INDEX(選手一覧!$E$7:$E$2738,$F970)="","",INDEX(選手一覧!$E$7:$E$2738,$F970))</f>
        <v/>
      </c>
      <c r="I970" s="11" t="str">
        <f aca="false">IF(INDEX(選手一覧!$H$7:$H$2738,$F970)="","",INDEX(選手一覧!$H$7:$H$2738,$F970))</f>
        <v/>
      </c>
      <c r="J970" s="12" t="str">
        <f aca="false">IF(INDEX(選手一覧!$I$7:$I$2738,$F970)="","",INDEX(選手一覧!$I$7:$I$2738,$F970))</f>
        <v/>
      </c>
    </row>
    <row r="971" customFormat="false" ht="15" hidden="false" customHeight="false" outlineLevel="0" collapsed="false">
      <c r="A971" s="12" t="n">
        <v>967</v>
      </c>
      <c r="B971" s="10" t="s">
        <v>2851</v>
      </c>
      <c r="C971" s="10" t="s">
        <v>2852</v>
      </c>
      <c r="D971" s="11" t="n">
        <v>0.00756342592592593</v>
      </c>
      <c r="E971" s="18" t="n">
        <f aca="false">ROUND((D971-$D$5)*86400,2)</f>
        <v>114.46</v>
      </c>
      <c r="F971" s="12" t="n">
        <v>1996</v>
      </c>
      <c r="G971" s="11" t="str">
        <f aca="false">IF(INDEX(選手一覧!$D$7:$D$2738,$F971)="","",INDEX(選手一覧!$D$7:$D$2738,$F971))</f>
        <v/>
      </c>
      <c r="H971" s="12" t="str">
        <f aca="false">IF(INDEX(選手一覧!$E$7:$E$2738,$F971)="","",INDEX(選手一覧!$E$7:$E$2738,$F971))</f>
        <v/>
      </c>
      <c r="I971" s="11" t="str">
        <f aca="false">IF(INDEX(選手一覧!$H$7:$H$2738,$F971)="","",INDEX(選手一覧!$H$7:$H$2738,$F971))</f>
        <v/>
      </c>
      <c r="J971" s="12" t="str">
        <f aca="false">IF(INDEX(選手一覧!$I$7:$I$2738,$F971)="","",INDEX(選手一覧!$I$7:$I$2738,$F971))</f>
        <v/>
      </c>
    </row>
    <row r="972" customFormat="false" ht="15" hidden="false" customHeight="false" outlineLevel="0" collapsed="false">
      <c r="A972" s="12" t="n">
        <v>968</v>
      </c>
      <c r="B972" s="10" t="s">
        <v>2854</v>
      </c>
      <c r="C972" s="10" t="s">
        <v>2855</v>
      </c>
      <c r="D972" s="11" t="n">
        <v>0.00756400462962963</v>
      </c>
      <c r="E972" s="18" t="n">
        <f aca="false">ROUND((D972-$D$5)*86400,2)</f>
        <v>114.51</v>
      </c>
      <c r="F972" s="12" t="n">
        <v>1998</v>
      </c>
      <c r="G972" s="11" t="str">
        <f aca="false">IF(INDEX(選手一覧!$D$7:$D$2738,$F972)="","",INDEX(選手一覧!$D$7:$D$2738,$F972))</f>
        <v/>
      </c>
      <c r="H972" s="12" t="str">
        <f aca="false">IF(INDEX(選手一覧!$E$7:$E$2738,$F972)="","",INDEX(選手一覧!$E$7:$E$2738,$F972))</f>
        <v/>
      </c>
      <c r="I972" s="11" t="str">
        <f aca="false">IF(INDEX(選手一覧!$H$7:$H$2738,$F972)="","",INDEX(選手一覧!$H$7:$H$2738,$F972))</f>
        <v/>
      </c>
      <c r="J972" s="12" t="str">
        <f aca="false">IF(INDEX(選手一覧!$I$7:$I$2738,$F972)="","",INDEX(選手一覧!$I$7:$I$2738,$F972))</f>
        <v/>
      </c>
    </row>
    <row r="973" customFormat="false" ht="15" hidden="false" customHeight="false" outlineLevel="0" collapsed="false">
      <c r="A973" s="12" t="n">
        <v>969</v>
      </c>
      <c r="B973" s="10" t="s">
        <v>2857</v>
      </c>
      <c r="C973" s="10" t="s">
        <v>2858</v>
      </c>
      <c r="D973" s="11" t="n">
        <v>0.00756423611111111</v>
      </c>
      <c r="E973" s="18" t="n">
        <f aca="false">ROUND((D973-$D$5)*86400,2)</f>
        <v>114.53</v>
      </c>
      <c r="F973" s="12" t="n">
        <v>2000</v>
      </c>
      <c r="G973" s="11" t="str">
        <f aca="false">IF(INDEX(選手一覧!$D$7:$D$2738,$F973)="","",INDEX(選手一覧!$D$7:$D$2738,$F973))</f>
        <v/>
      </c>
      <c r="H973" s="12" t="str">
        <f aca="false">IF(INDEX(選手一覧!$E$7:$E$2738,$F973)="","",INDEX(選手一覧!$E$7:$E$2738,$F973))</f>
        <v/>
      </c>
      <c r="I973" s="11" t="str">
        <f aca="false">IF(INDEX(選手一覧!$H$7:$H$2738,$F973)="","",INDEX(選手一覧!$H$7:$H$2738,$F973))</f>
        <v/>
      </c>
      <c r="J973" s="12" t="str">
        <f aca="false">IF(INDEX(選手一覧!$I$7:$I$2738,$F973)="","",INDEX(選手一覧!$I$7:$I$2738,$F973))</f>
        <v/>
      </c>
    </row>
    <row r="974" customFormat="false" ht="15" hidden="false" customHeight="false" outlineLevel="0" collapsed="false">
      <c r="A974" s="12" t="n">
        <v>970</v>
      </c>
      <c r="B974" s="10" t="s">
        <v>2863</v>
      </c>
      <c r="C974" s="10" t="s">
        <v>2864</v>
      </c>
      <c r="D974" s="11" t="n">
        <v>0.00756446759259259</v>
      </c>
      <c r="E974" s="18" t="n">
        <f aca="false">ROUND((D974-$D$5)*86400,2)</f>
        <v>114.55</v>
      </c>
      <c r="F974" s="12" t="n">
        <v>2003</v>
      </c>
      <c r="G974" s="11" t="str">
        <f aca="false">IF(INDEX(選手一覧!$D$7:$D$2738,$F974)="","",INDEX(選手一覧!$D$7:$D$2738,$F974))</f>
        <v/>
      </c>
      <c r="H974" s="12" t="str">
        <f aca="false">IF(INDEX(選手一覧!$E$7:$E$2738,$F974)="","",INDEX(選手一覧!$E$7:$E$2738,$F974))</f>
        <v/>
      </c>
      <c r="I974" s="11" t="str">
        <f aca="false">IF(INDEX(選手一覧!$H$7:$H$2738,$F974)="","",INDEX(選手一覧!$H$7:$H$2738,$F974))</f>
        <v/>
      </c>
      <c r="J974" s="12" t="str">
        <f aca="false">IF(INDEX(選手一覧!$I$7:$I$2738,$F974)="","",INDEX(選手一覧!$I$7:$I$2738,$F974))</f>
        <v/>
      </c>
    </row>
    <row r="975" customFormat="false" ht="15" hidden="false" customHeight="false" outlineLevel="0" collapsed="false">
      <c r="A975" s="12" t="n">
        <v>971</v>
      </c>
      <c r="B975" s="10" t="s">
        <v>1884</v>
      </c>
      <c r="C975" s="10" t="s">
        <v>1885</v>
      </c>
      <c r="D975" s="11" t="n">
        <v>0.00756539351851852</v>
      </c>
      <c r="E975" s="18" t="n">
        <f aca="false">ROUND((D975-$D$5)*86400,2)</f>
        <v>114.63</v>
      </c>
      <c r="F975" s="12" t="n">
        <v>1296</v>
      </c>
      <c r="G975" s="11" t="n">
        <f aca="false">IF(INDEX(選手一覧!$D$7:$D$2738,$F975)="","",INDEX(選手一覧!$D$7:$D$2738,$F975))</f>
        <v>0.0108643518518519</v>
      </c>
      <c r="H975" s="12" t="n">
        <f aca="false">IF(INDEX(選手一覧!$E$7:$E$2738,$F975)="","",INDEX(選手一覧!$E$7:$E$2738,$F975))</f>
        <v>859</v>
      </c>
      <c r="I975" s="11" t="n">
        <f aca="false">IF(INDEX(選手一覧!$H$7:$H$2738,$F975)="","",INDEX(選手一覧!$H$7:$H$2738,$F975))</f>
        <v>0.0028556712962963</v>
      </c>
      <c r="J975" s="12" t="n">
        <f aca="false">IF(INDEX(選手一覧!$I$7:$I$2738,$F975)="","",INDEX(選手一覧!$I$7:$I$2738,$F975))</f>
        <v>603</v>
      </c>
    </row>
    <row r="976" customFormat="false" ht="15" hidden="false" customHeight="false" outlineLevel="0" collapsed="false">
      <c r="A976" s="12" t="n">
        <v>972</v>
      </c>
      <c r="B976" s="10" t="s">
        <v>2867</v>
      </c>
      <c r="C976" s="10" t="s">
        <v>724</v>
      </c>
      <c r="D976" s="11" t="n">
        <v>0.00756678240740741</v>
      </c>
      <c r="E976" s="18" t="n">
        <f aca="false">ROUND((D976-$D$5)*86400,2)</f>
        <v>114.75</v>
      </c>
      <c r="F976" s="12" t="n">
        <v>2006</v>
      </c>
      <c r="G976" s="11" t="str">
        <f aca="false">IF(INDEX(選手一覧!$D$7:$D$2738,$F976)="","",INDEX(選手一覧!$D$7:$D$2738,$F976))</f>
        <v/>
      </c>
      <c r="H976" s="12" t="str">
        <f aca="false">IF(INDEX(選手一覧!$E$7:$E$2738,$F976)="","",INDEX(選手一覧!$E$7:$E$2738,$F976))</f>
        <v/>
      </c>
      <c r="I976" s="11" t="str">
        <f aca="false">IF(INDEX(選手一覧!$H$7:$H$2738,$F976)="","",INDEX(選手一覧!$H$7:$H$2738,$F976))</f>
        <v/>
      </c>
      <c r="J976" s="12" t="str">
        <f aca="false">IF(INDEX(選手一覧!$I$7:$I$2738,$F976)="","",INDEX(選手一覧!$I$7:$I$2738,$F976))</f>
        <v/>
      </c>
    </row>
    <row r="977" customFormat="false" ht="15" hidden="false" customHeight="false" outlineLevel="0" collapsed="false">
      <c r="A977" s="12" t="n">
        <v>973</v>
      </c>
      <c r="B977" s="10" t="s">
        <v>2870</v>
      </c>
      <c r="C977" s="10" t="s">
        <v>854</v>
      </c>
      <c r="D977" s="11" t="n">
        <v>0.00757106481481481</v>
      </c>
      <c r="E977" s="18" t="n">
        <f aca="false">ROUND((D977-$D$5)*86400,2)</f>
        <v>115.12</v>
      </c>
      <c r="F977" s="12" t="n">
        <v>2009</v>
      </c>
      <c r="G977" s="11" t="str">
        <f aca="false">IF(INDEX(選手一覧!$D$7:$D$2738,$F977)="","",INDEX(選手一覧!$D$7:$D$2738,$F977))</f>
        <v/>
      </c>
      <c r="H977" s="12" t="str">
        <f aca="false">IF(INDEX(選手一覧!$E$7:$E$2738,$F977)="","",INDEX(選手一覧!$E$7:$E$2738,$F977))</f>
        <v/>
      </c>
      <c r="I977" s="11" t="str">
        <f aca="false">IF(INDEX(選手一覧!$H$7:$H$2738,$F977)="","",INDEX(選手一覧!$H$7:$H$2738,$F977))</f>
        <v/>
      </c>
      <c r="J977" s="12" t="str">
        <f aca="false">IF(INDEX(選手一覧!$I$7:$I$2738,$F977)="","",INDEX(選手一覧!$I$7:$I$2738,$F977))</f>
        <v/>
      </c>
    </row>
    <row r="978" customFormat="false" ht="15" hidden="false" customHeight="false" outlineLevel="0" collapsed="false">
      <c r="A978" s="12" t="n">
        <v>974</v>
      </c>
      <c r="B978" s="10" t="s">
        <v>2873</v>
      </c>
      <c r="C978" s="10" t="s">
        <v>1504</v>
      </c>
      <c r="D978" s="11" t="n">
        <v>0.00757141203703704</v>
      </c>
      <c r="E978" s="18" t="n">
        <f aca="false">ROUND((D978-$D$5)*86400,2)</f>
        <v>115.15</v>
      </c>
      <c r="F978" s="12" t="n">
        <v>2012</v>
      </c>
      <c r="G978" s="11" t="str">
        <f aca="false">IF(INDEX(選手一覧!$D$7:$D$2738,$F978)="","",INDEX(選手一覧!$D$7:$D$2738,$F978))</f>
        <v/>
      </c>
      <c r="H978" s="12" t="str">
        <f aca="false">IF(INDEX(選手一覧!$E$7:$E$2738,$F978)="","",INDEX(選手一覧!$E$7:$E$2738,$F978))</f>
        <v/>
      </c>
      <c r="I978" s="11" t="str">
        <f aca="false">IF(INDEX(選手一覧!$H$7:$H$2738,$F978)="","",INDEX(選手一覧!$H$7:$H$2738,$F978))</f>
        <v/>
      </c>
      <c r="J978" s="12" t="str">
        <f aca="false">IF(INDEX(選手一覧!$I$7:$I$2738,$F978)="","",INDEX(選手一覧!$I$7:$I$2738,$F978))</f>
        <v/>
      </c>
    </row>
    <row r="979" customFormat="false" ht="15" hidden="false" customHeight="false" outlineLevel="0" collapsed="false">
      <c r="A979" s="12" t="n">
        <v>975</v>
      </c>
      <c r="B979" s="10" t="s">
        <v>2876</v>
      </c>
      <c r="C979" s="10" t="s">
        <v>480</v>
      </c>
      <c r="D979" s="11" t="n">
        <v>0.00757326388888889</v>
      </c>
      <c r="E979" s="18" t="n">
        <f aca="false">ROUND((D979-$D$5)*86400,2)</f>
        <v>115.31</v>
      </c>
      <c r="F979" s="12" t="n">
        <v>2015</v>
      </c>
      <c r="G979" s="11" t="str">
        <f aca="false">IF(INDEX(選手一覧!$D$7:$D$2738,$F979)="","",INDEX(選手一覧!$D$7:$D$2738,$F979))</f>
        <v/>
      </c>
      <c r="H979" s="12" t="str">
        <f aca="false">IF(INDEX(選手一覧!$E$7:$E$2738,$F979)="","",INDEX(選手一覧!$E$7:$E$2738,$F979))</f>
        <v/>
      </c>
      <c r="I979" s="11" t="str">
        <f aca="false">IF(INDEX(選手一覧!$H$7:$H$2738,$F979)="","",INDEX(選手一覧!$H$7:$H$2738,$F979))</f>
        <v/>
      </c>
      <c r="J979" s="12" t="str">
        <f aca="false">IF(INDEX(選手一覧!$I$7:$I$2738,$F979)="","",INDEX(選手一覧!$I$7:$I$2738,$F979))</f>
        <v/>
      </c>
    </row>
    <row r="980" customFormat="false" ht="15" hidden="false" customHeight="false" outlineLevel="0" collapsed="false">
      <c r="A980" s="12" t="n">
        <v>976</v>
      </c>
      <c r="B980" s="10" t="s">
        <v>2877</v>
      </c>
      <c r="C980" s="10" t="s">
        <v>47</v>
      </c>
      <c r="D980" s="11" t="n">
        <v>0.00757337962962963</v>
      </c>
      <c r="E980" s="18" t="n">
        <f aca="false">ROUND((D980-$D$5)*86400,2)</f>
        <v>115.32</v>
      </c>
      <c r="F980" s="12" t="n">
        <v>2016</v>
      </c>
      <c r="G980" s="11" t="str">
        <f aca="false">IF(INDEX(選手一覧!$D$7:$D$2738,$F980)="","",INDEX(選手一覧!$D$7:$D$2738,$F980))</f>
        <v/>
      </c>
      <c r="H980" s="12" t="str">
        <f aca="false">IF(INDEX(選手一覧!$E$7:$E$2738,$F980)="","",INDEX(選手一覧!$E$7:$E$2738,$F980))</f>
        <v/>
      </c>
      <c r="I980" s="11" t="str">
        <f aca="false">IF(INDEX(選手一覧!$H$7:$H$2738,$F980)="","",INDEX(選手一覧!$H$7:$H$2738,$F980))</f>
        <v/>
      </c>
      <c r="J980" s="12" t="str">
        <f aca="false">IF(INDEX(選手一覧!$I$7:$I$2738,$F980)="","",INDEX(選手一覧!$I$7:$I$2738,$F980))</f>
        <v/>
      </c>
    </row>
    <row r="981" customFormat="false" ht="15" hidden="false" customHeight="false" outlineLevel="0" collapsed="false">
      <c r="A981" s="12" t="n">
        <v>977</v>
      </c>
      <c r="B981" s="10" t="s">
        <v>2879</v>
      </c>
      <c r="C981" s="10" t="s">
        <v>350</v>
      </c>
      <c r="D981" s="11" t="n">
        <v>0.00757511574074074</v>
      </c>
      <c r="E981" s="18" t="n">
        <f aca="false">ROUND((D981-$D$5)*86400,2)</f>
        <v>115.47</v>
      </c>
      <c r="F981" s="12" t="n">
        <v>2018</v>
      </c>
      <c r="G981" s="11" t="str">
        <f aca="false">IF(INDEX(選手一覧!$D$7:$D$2738,$F981)="","",INDEX(選手一覧!$D$7:$D$2738,$F981))</f>
        <v/>
      </c>
      <c r="H981" s="12" t="str">
        <f aca="false">IF(INDEX(選手一覧!$E$7:$E$2738,$F981)="","",INDEX(選手一覧!$E$7:$E$2738,$F981))</f>
        <v/>
      </c>
      <c r="I981" s="11" t="str">
        <f aca="false">IF(INDEX(選手一覧!$H$7:$H$2738,$F981)="","",INDEX(選手一覧!$H$7:$H$2738,$F981))</f>
        <v/>
      </c>
      <c r="J981" s="12" t="str">
        <f aca="false">IF(INDEX(選手一覧!$I$7:$I$2738,$F981)="","",INDEX(選手一覧!$I$7:$I$2738,$F981))</f>
        <v/>
      </c>
    </row>
    <row r="982" customFormat="false" ht="15" hidden="false" customHeight="false" outlineLevel="0" collapsed="false">
      <c r="A982" s="12" t="n">
        <v>978</v>
      </c>
      <c r="B982" s="10" t="s">
        <v>2882</v>
      </c>
      <c r="C982" s="10" t="s">
        <v>494</v>
      </c>
      <c r="D982" s="11" t="n">
        <v>0.00757627314814815</v>
      </c>
      <c r="E982" s="18" t="n">
        <f aca="false">ROUND((D982-$D$5)*86400,2)</f>
        <v>115.57</v>
      </c>
      <c r="F982" s="12" t="n">
        <v>2020</v>
      </c>
      <c r="G982" s="11" t="str">
        <f aca="false">IF(INDEX(選手一覧!$D$7:$D$2738,$F982)="","",INDEX(選手一覧!$D$7:$D$2738,$F982))</f>
        <v/>
      </c>
      <c r="H982" s="12" t="str">
        <f aca="false">IF(INDEX(選手一覧!$E$7:$E$2738,$F982)="","",INDEX(選手一覧!$E$7:$E$2738,$F982))</f>
        <v/>
      </c>
      <c r="I982" s="11" t="n">
        <f aca="false">IF(INDEX(選手一覧!$H$7:$H$2738,$F982)="","",INDEX(選手一覧!$H$7:$H$2738,$F982))</f>
        <v>0.00295902777777778</v>
      </c>
      <c r="J982" s="12" t="n">
        <f aca="false">IF(INDEX(選手一覧!$I$7:$I$2738,$F982)="","",INDEX(選手一覧!$I$7:$I$2738,$F982))</f>
        <v>1264</v>
      </c>
    </row>
    <row r="983" customFormat="false" ht="15" hidden="false" customHeight="false" outlineLevel="0" collapsed="false">
      <c r="A983" s="12" t="n">
        <v>979</v>
      </c>
      <c r="B983" s="10" t="s">
        <v>2884</v>
      </c>
      <c r="C983" s="10" t="s">
        <v>2885</v>
      </c>
      <c r="D983" s="11" t="n">
        <v>0.00757916666666667</v>
      </c>
      <c r="E983" s="18" t="n">
        <f aca="false">ROUND((D983-$D$5)*86400,2)</f>
        <v>115.82</v>
      </c>
      <c r="F983" s="12" t="n">
        <v>2022</v>
      </c>
      <c r="G983" s="11" t="str">
        <f aca="false">IF(INDEX(選手一覧!$D$7:$D$2738,$F983)="","",INDEX(選手一覧!$D$7:$D$2738,$F983))</f>
        <v/>
      </c>
      <c r="H983" s="12" t="str">
        <f aca="false">IF(INDEX(選手一覧!$E$7:$E$2738,$F983)="","",INDEX(選手一覧!$E$7:$E$2738,$F983))</f>
        <v/>
      </c>
      <c r="I983" s="11" t="str">
        <f aca="false">IF(INDEX(選手一覧!$H$7:$H$2738,$F983)="","",INDEX(選手一覧!$H$7:$H$2738,$F983))</f>
        <v/>
      </c>
      <c r="J983" s="12" t="str">
        <f aca="false">IF(INDEX(選手一覧!$I$7:$I$2738,$F983)="","",INDEX(選手一覧!$I$7:$I$2738,$F983))</f>
        <v/>
      </c>
    </row>
    <row r="984" customFormat="false" ht="15" hidden="false" customHeight="false" outlineLevel="0" collapsed="false">
      <c r="A984" s="12" t="n">
        <v>980</v>
      </c>
      <c r="B984" s="10" t="s">
        <v>2887</v>
      </c>
      <c r="C984" s="10" t="s">
        <v>1199</v>
      </c>
      <c r="D984" s="11" t="n">
        <v>0.00757939814814815</v>
      </c>
      <c r="E984" s="18" t="n">
        <f aca="false">ROUND((D984-$D$5)*86400,2)</f>
        <v>115.84</v>
      </c>
      <c r="F984" s="12" t="n">
        <v>2024</v>
      </c>
      <c r="G984" s="11" t="str">
        <f aca="false">IF(INDEX(選手一覧!$D$7:$D$2738,$F984)="","",INDEX(選手一覧!$D$7:$D$2738,$F984))</f>
        <v/>
      </c>
      <c r="H984" s="12" t="str">
        <f aca="false">IF(INDEX(選手一覧!$E$7:$E$2738,$F984)="","",INDEX(選手一覧!$E$7:$E$2738,$F984))</f>
        <v/>
      </c>
      <c r="I984" s="11" t="str">
        <f aca="false">IF(INDEX(選手一覧!$H$7:$H$2738,$F984)="","",INDEX(選手一覧!$H$7:$H$2738,$F984))</f>
        <v/>
      </c>
      <c r="J984" s="12" t="str">
        <f aca="false">IF(INDEX(選手一覧!$I$7:$I$2738,$F984)="","",INDEX(選手一覧!$I$7:$I$2738,$F984))</f>
        <v/>
      </c>
    </row>
    <row r="985" customFormat="false" ht="15" hidden="false" customHeight="false" outlineLevel="0" collapsed="false">
      <c r="A985" s="12" t="n">
        <v>981</v>
      </c>
      <c r="B985" s="10" t="s">
        <v>2888</v>
      </c>
      <c r="C985" s="10" t="s">
        <v>2889</v>
      </c>
      <c r="D985" s="11" t="n">
        <v>0.00757974537037037</v>
      </c>
      <c r="E985" s="18" t="n">
        <f aca="false">ROUND((D985-$D$5)*86400,2)</f>
        <v>115.87</v>
      </c>
      <c r="F985" s="12" t="n">
        <v>2025</v>
      </c>
      <c r="G985" s="11" t="n">
        <f aca="false">IF(INDEX(選手一覧!$D$7:$D$2738,$F985)="","",INDEX(選手一覧!$D$7:$D$2738,$F985))</f>
        <v>0.011078125</v>
      </c>
      <c r="H985" s="12" t="n">
        <f aca="false">IF(INDEX(選手一覧!$E$7:$E$2738,$F985)="","",INDEX(選手一覧!$E$7:$E$2738,$F985))</f>
        <v>1246</v>
      </c>
      <c r="I985" s="11" t="str">
        <f aca="false">IF(INDEX(選手一覧!$H$7:$H$2738,$F985)="","",INDEX(選手一覧!$H$7:$H$2738,$F985))</f>
        <v/>
      </c>
      <c r="J985" s="12" t="str">
        <f aca="false">IF(INDEX(選手一覧!$I$7:$I$2738,$F985)="","",INDEX(選手一覧!$I$7:$I$2738,$F985))</f>
        <v/>
      </c>
    </row>
    <row r="986" customFormat="false" ht="15" hidden="false" customHeight="false" outlineLevel="0" collapsed="false">
      <c r="A986" s="12" t="n">
        <v>982</v>
      </c>
      <c r="B986" s="10" t="s">
        <v>2890</v>
      </c>
      <c r="C986" s="10" t="s">
        <v>2553</v>
      </c>
      <c r="D986" s="11" t="n">
        <v>0.00757997685185185</v>
      </c>
      <c r="E986" s="18" t="n">
        <f aca="false">ROUND((D986-$D$5)*86400,2)</f>
        <v>115.89</v>
      </c>
      <c r="F986" s="12" t="n">
        <v>2026</v>
      </c>
      <c r="G986" s="11" t="str">
        <f aca="false">IF(INDEX(選手一覧!$D$7:$D$2738,$F986)="","",INDEX(選手一覧!$D$7:$D$2738,$F986))</f>
        <v/>
      </c>
      <c r="H986" s="12" t="str">
        <f aca="false">IF(INDEX(選手一覧!$E$7:$E$2738,$F986)="","",INDEX(選手一覧!$E$7:$E$2738,$F986))</f>
        <v/>
      </c>
      <c r="I986" s="11" t="str">
        <f aca="false">IF(INDEX(選手一覧!$H$7:$H$2738,$F986)="","",INDEX(選手一覧!$H$7:$H$2738,$F986))</f>
        <v/>
      </c>
      <c r="J986" s="12" t="str">
        <f aca="false">IF(INDEX(選手一覧!$I$7:$I$2738,$F986)="","",INDEX(選手一覧!$I$7:$I$2738,$F986))</f>
        <v/>
      </c>
    </row>
    <row r="987" customFormat="false" ht="15" hidden="false" customHeight="false" outlineLevel="0" collapsed="false">
      <c r="A987" s="12" t="n">
        <v>983</v>
      </c>
      <c r="B987" s="10" t="s">
        <v>2892</v>
      </c>
      <c r="C987" s="10" t="s">
        <v>1905</v>
      </c>
      <c r="D987" s="11" t="n">
        <v>0.00758136574074074</v>
      </c>
      <c r="E987" s="18" t="n">
        <f aca="false">ROUND((D987-$D$5)*86400,2)</f>
        <v>116.01</v>
      </c>
      <c r="F987" s="12" t="n">
        <v>2028</v>
      </c>
      <c r="G987" s="11" t="str">
        <f aca="false">IF(INDEX(選手一覧!$D$7:$D$2738,$F987)="","",INDEX(選手一覧!$D$7:$D$2738,$F987))</f>
        <v/>
      </c>
      <c r="H987" s="12" t="str">
        <f aca="false">IF(INDEX(選手一覧!$E$7:$E$2738,$F987)="","",INDEX(選手一覧!$E$7:$E$2738,$F987))</f>
        <v/>
      </c>
      <c r="I987" s="11" t="str">
        <f aca="false">IF(INDEX(選手一覧!$H$7:$H$2738,$F987)="","",INDEX(選手一覧!$H$7:$H$2738,$F987))</f>
        <v/>
      </c>
      <c r="J987" s="12" t="str">
        <f aca="false">IF(INDEX(選手一覧!$I$7:$I$2738,$F987)="","",INDEX(選手一覧!$I$7:$I$2738,$F987))</f>
        <v/>
      </c>
    </row>
    <row r="988" customFormat="false" ht="15" hidden="false" customHeight="false" outlineLevel="0" collapsed="false">
      <c r="A988" s="12" t="n">
        <v>984</v>
      </c>
      <c r="B988" s="10" t="s">
        <v>2893</v>
      </c>
      <c r="C988" s="10" t="s">
        <v>2894</v>
      </c>
      <c r="D988" s="11" t="n">
        <v>0.00758541666666667</v>
      </c>
      <c r="E988" s="18" t="n">
        <f aca="false">ROUND((D988-$D$5)*86400,2)</f>
        <v>116.36</v>
      </c>
      <c r="F988" s="12" t="n">
        <v>2029</v>
      </c>
      <c r="G988" s="11" t="str">
        <f aca="false">IF(INDEX(選手一覧!$D$7:$D$2738,$F988)="","",INDEX(選手一覧!$D$7:$D$2738,$F988))</f>
        <v/>
      </c>
      <c r="H988" s="12" t="str">
        <f aca="false">IF(INDEX(選手一覧!$E$7:$E$2738,$F988)="","",INDEX(選手一覧!$E$7:$E$2738,$F988))</f>
        <v/>
      </c>
      <c r="I988" s="11" t="str">
        <f aca="false">IF(INDEX(選手一覧!$H$7:$H$2738,$F988)="","",INDEX(選手一覧!$H$7:$H$2738,$F988))</f>
        <v/>
      </c>
      <c r="J988" s="12" t="str">
        <f aca="false">IF(INDEX(選手一覧!$I$7:$I$2738,$F988)="","",INDEX(選手一覧!$I$7:$I$2738,$F988))</f>
        <v/>
      </c>
    </row>
    <row r="989" customFormat="false" ht="15" hidden="false" customHeight="false" outlineLevel="0" collapsed="false">
      <c r="A989" s="12" t="n">
        <v>985</v>
      </c>
      <c r="B989" s="10" t="s">
        <v>2896</v>
      </c>
      <c r="C989" s="10" t="s">
        <v>1702</v>
      </c>
      <c r="D989" s="11" t="n">
        <v>0.00758645833333333</v>
      </c>
      <c r="E989" s="18" t="n">
        <f aca="false">ROUND((D989-$D$5)*86400,2)</f>
        <v>116.45</v>
      </c>
      <c r="F989" s="12" t="n">
        <v>2031</v>
      </c>
      <c r="G989" s="11" t="str">
        <f aca="false">IF(INDEX(選手一覧!$D$7:$D$2738,$F989)="","",INDEX(選手一覧!$D$7:$D$2738,$F989))</f>
        <v/>
      </c>
      <c r="H989" s="12" t="str">
        <f aca="false">IF(INDEX(選手一覧!$E$7:$E$2738,$F989)="","",INDEX(選手一覧!$E$7:$E$2738,$F989))</f>
        <v/>
      </c>
      <c r="I989" s="11" t="str">
        <f aca="false">IF(INDEX(選手一覧!$H$7:$H$2738,$F989)="","",INDEX(選手一覧!$H$7:$H$2738,$F989))</f>
        <v/>
      </c>
      <c r="J989" s="12" t="str">
        <f aca="false">IF(INDEX(選手一覧!$I$7:$I$2738,$F989)="","",INDEX(選手一覧!$I$7:$I$2738,$F989))</f>
        <v/>
      </c>
    </row>
    <row r="990" customFormat="false" ht="15" hidden="false" customHeight="false" outlineLevel="0" collapsed="false">
      <c r="A990" s="12" t="n">
        <v>986</v>
      </c>
      <c r="B990" s="10" t="s">
        <v>2898</v>
      </c>
      <c r="C990" s="10" t="s">
        <v>326</v>
      </c>
      <c r="D990" s="11" t="n">
        <v>0.00758900462962963</v>
      </c>
      <c r="E990" s="18" t="n">
        <f aca="false">ROUND((D990-$D$5)*86400,2)</f>
        <v>116.67</v>
      </c>
      <c r="F990" s="12" t="n">
        <v>2033</v>
      </c>
      <c r="G990" s="11" t="str">
        <f aca="false">IF(INDEX(選手一覧!$D$7:$D$2738,$F990)="","",INDEX(選手一覧!$D$7:$D$2738,$F990))</f>
        <v/>
      </c>
      <c r="H990" s="12" t="str">
        <f aca="false">IF(INDEX(選手一覧!$E$7:$E$2738,$F990)="","",INDEX(選手一覧!$E$7:$E$2738,$F990))</f>
        <v/>
      </c>
      <c r="I990" s="11" t="str">
        <f aca="false">IF(INDEX(選手一覧!$H$7:$H$2738,$F990)="","",INDEX(選手一覧!$H$7:$H$2738,$F990))</f>
        <v/>
      </c>
      <c r="J990" s="12" t="str">
        <f aca="false">IF(INDEX(選手一覧!$I$7:$I$2738,$F990)="","",INDEX(選手一覧!$I$7:$I$2738,$F990))</f>
        <v/>
      </c>
    </row>
    <row r="991" customFormat="false" ht="15" hidden="false" customHeight="false" outlineLevel="0" collapsed="false">
      <c r="A991" s="12" t="n">
        <v>987</v>
      </c>
      <c r="B991" s="10" t="s">
        <v>2900</v>
      </c>
      <c r="C991" s="10" t="s">
        <v>1628</v>
      </c>
      <c r="D991" s="11" t="n">
        <v>0.00759097222222222</v>
      </c>
      <c r="E991" s="18" t="n">
        <f aca="false">ROUND((D991-$D$5)*86400,2)</f>
        <v>116.84</v>
      </c>
      <c r="F991" s="12" t="n">
        <v>2035</v>
      </c>
      <c r="G991" s="11" t="str">
        <f aca="false">IF(INDEX(選手一覧!$D$7:$D$2738,$F991)="","",INDEX(選手一覧!$D$7:$D$2738,$F991))</f>
        <v/>
      </c>
      <c r="H991" s="12" t="str">
        <f aca="false">IF(INDEX(選手一覧!$E$7:$E$2738,$F991)="","",INDEX(選手一覧!$E$7:$E$2738,$F991))</f>
        <v/>
      </c>
      <c r="I991" s="11" t="str">
        <f aca="false">IF(INDEX(選手一覧!$H$7:$H$2738,$F991)="","",INDEX(選手一覧!$H$7:$H$2738,$F991))</f>
        <v/>
      </c>
      <c r="J991" s="12" t="str">
        <f aca="false">IF(INDEX(選手一覧!$I$7:$I$2738,$F991)="","",INDEX(選手一覧!$I$7:$I$2738,$F991))</f>
        <v/>
      </c>
    </row>
    <row r="992" customFormat="false" ht="15" hidden="false" customHeight="false" outlineLevel="0" collapsed="false">
      <c r="A992" s="12" t="n">
        <v>988</v>
      </c>
      <c r="B992" s="10" t="s">
        <v>2902</v>
      </c>
      <c r="C992" s="10" t="s">
        <v>2903</v>
      </c>
      <c r="D992" s="11" t="n">
        <v>0.00759189814814815</v>
      </c>
      <c r="E992" s="18" t="n">
        <f aca="false">ROUND((D992-$D$5)*86400,2)</f>
        <v>116.92</v>
      </c>
      <c r="F992" s="12" t="n">
        <v>2037</v>
      </c>
      <c r="G992" s="11" t="str">
        <f aca="false">IF(INDEX(選手一覧!$D$7:$D$2738,$F992)="","",INDEX(選手一覧!$D$7:$D$2738,$F992))</f>
        <v/>
      </c>
      <c r="H992" s="12" t="str">
        <f aca="false">IF(INDEX(選手一覧!$E$7:$E$2738,$F992)="","",INDEX(選手一覧!$E$7:$E$2738,$F992))</f>
        <v/>
      </c>
      <c r="I992" s="11" t="str">
        <f aca="false">IF(INDEX(選手一覧!$H$7:$H$2738,$F992)="","",INDEX(選手一覧!$H$7:$H$2738,$F992))</f>
        <v/>
      </c>
      <c r="J992" s="12" t="str">
        <f aca="false">IF(INDEX(選手一覧!$I$7:$I$2738,$F992)="","",INDEX(選手一覧!$I$7:$I$2738,$F992))</f>
        <v/>
      </c>
    </row>
    <row r="993" customFormat="false" ht="15" hidden="false" customHeight="false" outlineLevel="0" collapsed="false">
      <c r="A993" s="12" t="n">
        <v>989</v>
      </c>
      <c r="B993" s="10" t="s">
        <v>2905</v>
      </c>
      <c r="C993" s="10" t="s">
        <v>2906</v>
      </c>
      <c r="D993" s="11" t="n">
        <v>0.00759305555555556</v>
      </c>
      <c r="E993" s="18" t="n">
        <f aca="false">ROUND((D993-$D$5)*86400,2)</f>
        <v>117.02</v>
      </c>
      <c r="F993" s="12" t="n">
        <v>2039</v>
      </c>
      <c r="G993" s="11" t="str">
        <f aca="false">IF(INDEX(選手一覧!$D$7:$D$2738,$F993)="","",INDEX(選手一覧!$D$7:$D$2738,$F993))</f>
        <v/>
      </c>
      <c r="H993" s="12" t="str">
        <f aca="false">IF(INDEX(選手一覧!$E$7:$E$2738,$F993)="","",INDEX(選手一覧!$E$7:$E$2738,$F993))</f>
        <v/>
      </c>
      <c r="I993" s="11" t="str">
        <f aca="false">IF(INDEX(選手一覧!$H$7:$H$2738,$F993)="","",INDEX(選手一覧!$H$7:$H$2738,$F993))</f>
        <v/>
      </c>
      <c r="J993" s="12" t="str">
        <f aca="false">IF(INDEX(選手一覧!$I$7:$I$2738,$F993)="","",INDEX(選手一覧!$I$7:$I$2738,$F993))</f>
        <v/>
      </c>
    </row>
    <row r="994" customFormat="false" ht="15" hidden="false" customHeight="false" outlineLevel="0" collapsed="false">
      <c r="A994" s="12" t="n">
        <v>990</v>
      </c>
      <c r="B994" s="10" t="s">
        <v>2910</v>
      </c>
      <c r="C994" s="10" t="s">
        <v>2911</v>
      </c>
      <c r="D994" s="11" t="n">
        <v>0.0075931712962963</v>
      </c>
      <c r="E994" s="18" t="n">
        <f aca="false">ROUND((D994-$D$5)*86400,2)</f>
        <v>117.03</v>
      </c>
      <c r="F994" s="12" t="n">
        <v>2042</v>
      </c>
      <c r="G994" s="11" t="str">
        <f aca="false">IF(INDEX(選手一覧!$D$7:$D$2738,$F994)="","",INDEX(選手一覧!$D$7:$D$2738,$F994))</f>
        <v/>
      </c>
      <c r="H994" s="12" t="str">
        <f aca="false">IF(INDEX(選手一覧!$E$7:$E$2738,$F994)="","",INDEX(選手一覧!$E$7:$E$2738,$F994))</f>
        <v/>
      </c>
      <c r="I994" s="11" t="str">
        <f aca="false">IF(INDEX(選手一覧!$H$7:$H$2738,$F994)="","",INDEX(選手一覧!$H$7:$H$2738,$F994))</f>
        <v/>
      </c>
      <c r="J994" s="12" t="str">
        <f aca="false">IF(INDEX(選手一覧!$I$7:$I$2738,$F994)="","",INDEX(選手一覧!$I$7:$I$2738,$F994))</f>
        <v/>
      </c>
    </row>
    <row r="995" customFormat="false" ht="15" hidden="false" customHeight="false" outlineLevel="0" collapsed="false">
      <c r="A995" s="12" t="n">
        <v>991</v>
      </c>
      <c r="B995" s="10" t="s">
        <v>2913</v>
      </c>
      <c r="C995" s="10" t="s">
        <v>2914</v>
      </c>
      <c r="D995" s="11" t="n">
        <v>0.00759328703703704</v>
      </c>
      <c r="E995" s="18" t="n">
        <f aca="false">ROUND((D995-$D$5)*86400,2)</f>
        <v>117.04</v>
      </c>
      <c r="F995" s="12" t="n">
        <v>2044</v>
      </c>
      <c r="G995" s="11" t="str">
        <f aca="false">IF(INDEX(選手一覧!$D$7:$D$2738,$F995)="","",INDEX(選手一覧!$D$7:$D$2738,$F995))</f>
        <v/>
      </c>
      <c r="H995" s="12" t="str">
        <f aca="false">IF(INDEX(選手一覧!$E$7:$E$2738,$F995)="","",INDEX(選手一覧!$E$7:$E$2738,$F995))</f>
        <v/>
      </c>
      <c r="I995" s="11" t="str">
        <f aca="false">IF(INDEX(選手一覧!$H$7:$H$2738,$F995)="","",INDEX(選手一覧!$H$7:$H$2738,$F995))</f>
        <v/>
      </c>
      <c r="J995" s="12" t="str">
        <f aca="false">IF(INDEX(選手一覧!$I$7:$I$2738,$F995)="","",INDEX(選手一覧!$I$7:$I$2738,$F995))</f>
        <v/>
      </c>
    </row>
    <row r="996" customFormat="false" ht="15" hidden="false" customHeight="false" outlineLevel="0" collapsed="false">
      <c r="A996" s="12" t="n">
        <v>992</v>
      </c>
      <c r="B996" s="10" t="s">
        <v>2916</v>
      </c>
      <c r="C996" s="10" t="s">
        <v>2917</v>
      </c>
      <c r="D996" s="11" t="n">
        <v>0.00759328703703704</v>
      </c>
      <c r="E996" s="18" t="n">
        <f aca="false">ROUND((D996-$D$5)*86400,2)</f>
        <v>117.04</v>
      </c>
      <c r="F996" s="12" t="n">
        <v>2046</v>
      </c>
      <c r="G996" s="11" t="str">
        <f aca="false">IF(INDEX(選手一覧!$D$7:$D$2738,$F996)="","",INDEX(選手一覧!$D$7:$D$2738,$F996))</f>
        <v/>
      </c>
      <c r="H996" s="12" t="str">
        <f aca="false">IF(INDEX(選手一覧!$E$7:$E$2738,$F996)="","",INDEX(選手一覧!$E$7:$E$2738,$F996))</f>
        <v/>
      </c>
      <c r="I996" s="11" t="str">
        <f aca="false">IF(INDEX(選手一覧!$H$7:$H$2738,$F996)="","",INDEX(選手一覧!$H$7:$H$2738,$F996))</f>
        <v/>
      </c>
      <c r="J996" s="12" t="str">
        <f aca="false">IF(INDEX(選手一覧!$I$7:$I$2738,$F996)="","",INDEX(選手一覧!$I$7:$I$2738,$F996))</f>
        <v/>
      </c>
    </row>
    <row r="997" customFormat="false" ht="15" hidden="false" customHeight="false" outlineLevel="0" collapsed="false">
      <c r="A997" s="12" t="n">
        <v>993</v>
      </c>
      <c r="B997" s="10" t="s">
        <v>2918</v>
      </c>
      <c r="C997" s="10" t="s">
        <v>2919</v>
      </c>
      <c r="D997" s="11" t="n">
        <v>0.00759479166666667</v>
      </c>
      <c r="E997" s="18" t="n">
        <f aca="false">ROUND((D997-$D$5)*86400,2)</f>
        <v>117.17</v>
      </c>
      <c r="F997" s="12" t="n">
        <v>2047</v>
      </c>
      <c r="G997" s="11" t="str">
        <f aca="false">IF(INDEX(選手一覧!$D$7:$D$2738,$F997)="","",INDEX(選手一覧!$D$7:$D$2738,$F997))</f>
        <v/>
      </c>
      <c r="H997" s="12" t="str">
        <f aca="false">IF(INDEX(選手一覧!$E$7:$E$2738,$F997)="","",INDEX(選手一覧!$E$7:$E$2738,$F997))</f>
        <v/>
      </c>
      <c r="I997" s="11" t="str">
        <f aca="false">IF(INDEX(選手一覧!$H$7:$H$2738,$F997)="","",INDEX(選手一覧!$H$7:$H$2738,$F997))</f>
        <v/>
      </c>
      <c r="J997" s="12" t="str">
        <f aca="false">IF(INDEX(選手一覧!$I$7:$I$2738,$F997)="","",INDEX(選手一覧!$I$7:$I$2738,$F997))</f>
        <v/>
      </c>
    </row>
    <row r="998" customFormat="false" ht="15" hidden="false" customHeight="false" outlineLevel="0" collapsed="false">
      <c r="A998" s="12" t="n">
        <v>994</v>
      </c>
      <c r="B998" s="10" t="s">
        <v>2920</v>
      </c>
      <c r="C998" s="10" t="s">
        <v>2921</v>
      </c>
      <c r="D998" s="11" t="n">
        <v>0.00759895833333333</v>
      </c>
      <c r="E998" s="18" t="n">
        <f aca="false">ROUND((D998-$D$5)*86400,2)</f>
        <v>117.53</v>
      </c>
      <c r="F998" s="12" t="n">
        <v>2048</v>
      </c>
      <c r="G998" s="11" t="str">
        <f aca="false">IF(INDEX(選手一覧!$D$7:$D$2738,$F998)="","",INDEX(選手一覧!$D$7:$D$2738,$F998))</f>
        <v/>
      </c>
      <c r="H998" s="12" t="str">
        <f aca="false">IF(INDEX(選手一覧!$E$7:$E$2738,$F998)="","",INDEX(選手一覧!$E$7:$E$2738,$F998))</f>
        <v/>
      </c>
      <c r="I998" s="11" t="str">
        <f aca="false">IF(INDEX(選手一覧!$H$7:$H$2738,$F998)="","",INDEX(選手一覧!$H$7:$H$2738,$F998))</f>
        <v/>
      </c>
      <c r="J998" s="12" t="str">
        <f aca="false">IF(INDEX(選手一覧!$I$7:$I$2738,$F998)="","",INDEX(選手一覧!$I$7:$I$2738,$F998))</f>
        <v/>
      </c>
    </row>
    <row r="999" customFormat="false" ht="15" hidden="false" customHeight="false" outlineLevel="0" collapsed="false">
      <c r="A999" s="12" t="n">
        <v>995</v>
      </c>
      <c r="B999" s="10" t="s">
        <v>2924</v>
      </c>
      <c r="C999" s="10" t="s">
        <v>2925</v>
      </c>
      <c r="D999" s="11" t="n">
        <v>0.00759953703703704</v>
      </c>
      <c r="E999" s="18" t="n">
        <f aca="false">ROUND((D999-$D$5)*86400,2)</f>
        <v>117.58</v>
      </c>
      <c r="F999" s="12" t="n">
        <v>2050</v>
      </c>
      <c r="G999" s="11" t="str">
        <f aca="false">IF(INDEX(選手一覧!$D$7:$D$2738,$F999)="","",INDEX(選手一覧!$D$7:$D$2738,$F999))</f>
        <v/>
      </c>
      <c r="H999" s="12" t="str">
        <f aca="false">IF(INDEX(選手一覧!$E$7:$E$2738,$F999)="","",INDEX(選手一覧!$E$7:$E$2738,$F999))</f>
        <v/>
      </c>
      <c r="I999" s="11" t="str">
        <f aca="false">IF(INDEX(選手一覧!$H$7:$H$2738,$F999)="","",INDEX(選手一覧!$H$7:$H$2738,$F999))</f>
        <v/>
      </c>
      <c r="J999" s="12" t="str">
        <f aca="false">IF(INDEX(選手一覧!$I$7:$I$2738,$F999)="","",INDEX(選手一覧!$I$7:$I$2738,$F999))</f>
        <v/>
      </c>
    </row>
    <row r="1000" customFormat="false" ht="15" hidden="false" customHeight="false" outlineLevel="0" collapsed="false">
      <c r="A1000" s="12" t="n">
        <v>996</v>
      </c>
      <c r="B1000" s="10" t="s">
        <v>2926</v>
      </c>
      <c r="C1000" s="10" t="s">
        <v>2309</v>
      </c>
      <c r="D1000" s="11" t="n">
        <v>0.00760289351851852</v>
      </c>
      <c r="E1000" s="18" t="n">
        <f aca="false">ROUND((D1000-$D$5)*86400,2)</f>
        <v>117.87</v>
      </c>
      <c r="F1000" s="12" t="n">
        <v>2051</v>
      </c>
      <c r="G1000" s="11" t="str">
        <f aca="false">IF(INDEX(選手一覧!$D$7:$D$2738,$F1000)="","",INDEX(選手一覧!$D$7:$D$2738,$F1000))</f>
        <v/>
      </c>
      <c r="H1000" s="12" t="str">
        <f aca="false">IF(INDEX(選手一覧!$E$7:$E$2738,$F1000)="","",INDEX(選手一覧!$E$7:$E$2738,$F1000))</f>
        <v/>
      </c>
      <c r="I1000" s="11" t="str">
        <f aca="false">IF(INDEX(選手一覧!$H$7:$H$2738,$F1000)="","",INDEX(選手一覧!$H$7:$H$2738,$F1000))</f>
        <v/>
      </c>
      <c r="J1000" s="12" t="str">
        <f aca="false">IF(INDEX(選手一覧!$I$7:$I$2738,$F1000)="","",INDEX(選手一覧!$I$7:$I$2738,$F1000))</f>
        <v/>
      </c>
    </row>
    <row r="1001" customFormat="false" ht="15" hidden="false" customHeight="false" outlineLevel="0" collapsed="false">
      <c r="A1001" s="12" t="n">
        <v>997</v>
      </c>
      <c r="B1001" s="10" t="s">
        <v>2928</v>
      </c>
      <c r="C1001" s="10" t="s">
        <v>1286</v>
      </c>
      <c r="D1001" s="11" t="n">
        <v>0.00760613425925926</v>
      </c>
      <c r="E1001" s="18" t="n">
        <f aca="false">ROUND((D1001-$D$5)*86400,2)</f>
        <v>118.15</v>
      </c>
      <c r="F1001" s="12" t="n">
        <v>2053</v>
      </c>
      <c r="G1001" s="11" t="str">
        <f aca="false">IF(INDEX(選手一覧!$D$7:$D$2738,$F1001)="","",INDEX(選手一覧!$D$7:$D$2738,$F1001))</f>
        <v/>
      </c>
      <c r="H1001" s="12" t="str">
        <f aca="false">IF(INDEX(選手一覧!$E$7:$E$2738,$F1001)="","",INDEX(選手一覧!$E$7:$E$2738,$F1001))</f>
        <v/>
      </c>
      <c r="I1001" s="11" t="str">
        <f aca="false">IF(INDEX(選手一覧!$H$7:$H$2738,$F1001)="","",INDEX(選手一覧!$H$7:$H$2738,$F1001))</f>
        <v/>
      </c>
      <c r="J1001" s="12" t="str">
        <f aca="false">IF(INDEX(選手一覧!$I$7:$I$2738,$F1001)="","",INDEX(選手一覧!$I$7:$I$2738,$F1001))</f>
        <v/>
      </c>
    </row>
    <row r="1002" customFormat="false" ht="15" hidden="false" customHeight="false" outlineLevel="0" collapsed="false">
      <c r="A1002" s="12" t="n">
        <v>998</v>
      </c>
      <c r="B1002" s="10" t="s">
        <v>2932</v>
      </c>
      <c r="C1002" s="10" t="s">
        <v>2171</v>
      </c>
      <c r="D1002" s="11" t="n">
        <v>0.0076068287037037</v>
      </c>
      <c r="E1002" s="18" t="n">
        <f aca="false">ROUND((D1002-$D$5)*86400,2)</f>
        <v>118.21</v>
      </c>
      <c r="F1002" s="12" t="n">
        <v>2056</v>
      </c>
      <c r="G1002" s="11" t="str">
        <f aca="false">IF(INDEX(選手一覧!$D$7:$D$2738,$F1002)="","",INDEX(選手一覧!$D$7:$D$2738,$F1002))</f>
        <v/>
      </c>
      <c r="H1002" s="12" t="str">
        <f aca="false">IF(INDEX(選手一覧!$E$7:$E$2738,$F1002)="","",INDEX(選手一覧!$E$7:$E$2738,$F1002))</f>
        <v/>
      </c>
      <c r="I1002" s="11" t="str">
        <f aca="false">IF(INDEX(選手一覧!$H$7:$H$2738,$F1002)="","",INDEX(選手一覧!$H$7:$H$2738,$F1002))</f>
        <v/>
      </c>
      <c r="J1002" s="12" t="str">
        <f aca="false">IF(INDEX(選手一覧!$I$7:$I$2738,$F1002)="","",INDEX(選手一覧!$I$7:$I$2738,$F1002))</f>
        <v/>
      </c>
    </row>
    <row r="1003" customFormat="false" ht="15" hidden="false" customHeight="false" outlineLevel="0" collapsed="false">
      <c r="A1003" s="12" t="n">
        <v>999</v>
      </c>
      <c r="B1003" s="10" t="s">
        <v>2933</v>
      </c>
      <c r="C1003" s="10" t="s">
        <v>1395</v>
      </c>
      <c r="D1003" s="11" t="n">
        <v>0.00760740740740741</v>
      </c>
      <c r="E1003" s="18" t="n">
        <f aca="false">ROUND((D1003-$D$5)*86400,2)</f>
        <v>118.26</v>
      </c>
      <c r="F1003" s="12" t="n">
        <v>2057</v>
      </c>
      <c r="G1003" s="11" t="str">
        <f aca="false">IF(INDEX(選手一覧!$D$7:$D$2738,$F1003)="","",INDEX(選手一覧!$D$7:$D$2738,$F1003))</f>
        <v/>
      </c>
      <c r="H1003" s="12" t="str">
        <f aca="false">IF(INDEX(選手一覧!$E$7:$E$2738,$F1003)="","",INDEX(選手一覧!$E$7:$E$2738,$F1003))</f>
        <v/>
      </c>
      <c r="I1003" s="11" t="str">
        <f aca="false">IF(INDEX(選手一覧!$H$7:$H$2738,$F1003)="","",INDEX(選手一覧!$H$7:$H$2738,$F1003))</f>
        <v/>
      </c>
      <c r="J1003" s="12" t="str">
        <f aca="false">IF(INDEX(選手一覧!$I$7:$I$2738,$F1003)="","",INDEX(選手一覧!$I$7:$I$2738,$F1003))</f>
        <v/>
      </c>
    </row>
    <row r="1004" customFormat="false" ht="15" hidden="false" customHeight="false" outlineLevel="0" collapsed="false">
      <c r="A1004" s="12" t="n">
        <v>1000</v>
      </c>
      <c r="B1004" s="10" t="s">
        <v>2935</v>
      </c>
      <c r="C1004" s="10" t="s">
        <v>43</v>
      </c>
      <c r="D1004" s="11" t="n">
        <v>0.00760763888888889</v>
      </c>
      <c r="E1004" s="18" t="n">
        <f aca="false">ROUND((D1004-$D$5)*86400,2)</f>
        <v>118.28</v>
      </c>
      <c r="F1004" s="12" t="n">
        <v>2059</v>
      </c>
      <c r="G1004" s="11" t="str">
        <f aca="false">IF(INDEX(選手一覧!$D$7:$D$2738,$F1004)="","",INDEX(選手一覧!$D$7:$D$2738,$F1004))</f>
        <v/>
      </c>
      <c r="H1004" s="12" t="str">
        <f aca="false">IF(INDEX(選手一覧!$E$7:$E$2738,$F1004)="","",INDEX(選手一覧!$E$7:$E$2738,$F1004))</f>
        <v/>
      </c>
      <c r="I1004" s="11" t="str">
        <f aca="false">IF(INDEX(選手一覧!$H$7:$H$2738,$F1004)="","",INDEX(選手一覧!$H$7:$H$2738,$F1004))</f>
        <v/>
      </c>
      <c r="J1004" s="12" t="str">
        <f aca="false">IF(INDEX(選手一覧!$I$7:$I$2738,$F1004)="","",INDEX(選手一覧!$I$7:$I$2738,$F1004))</f>
        <v/>
      </c>
    </row>
    <row r="1005" customFormat="false" ht="15" hidden="false" customHeight="false" outlineLevel="0" collapsed="false">
      <c r="A1005" s="12" t="n">
        <v>1001</v>
      </c>
      <c r="B1005" s="10" t="s">
        <v>2938</v>
      </c>
      <c r="C1005" s="10" t="s">
        <v>350</v>
      </c>
      <c r="D1005" s="11" t="n">
        <v>0.00760798611111111</v>
      </c>
      <c r="E1005" s="18" t="n">
        <f aca="false">ROUND((D1005-$D$5)*86400,2)</f>
        <v>118.31</v>
      </c>
      <c r="F1005" s="12" t="n">
        <v>2061</v>
      </c>
      <c r="G1005" s="11" t="str">
        <f aca="false">IF(INDEX(選手一覧!$D$7:$D$2738,$F1005)="","",INDEX(選手一覧!$D$7:$D$2738,$F1005))</f>
        <v/>
      </c>
      <c r="H1005" s="12" t="str">
        <f aca="false">IF(INDEX(選手一覧!$E$7:$E$2738,$F1005)="","",INDEX(選手一覧!$E$7:$E$2738,$F1005))</f>
        <v/>
      </c>
      <c r="I1005" s="11" t="str">
        <f aca="false">IF(INDEX(選手一覧!$H$7:$H$2738,$F1005)="","",INDEX(選手一覧!$H$7:$H$2738,$F1005))</f>
        <v/>
      </c>
      <c r="J1005" s="12" t="str">
        <f aca="false">IF(INDEX(選手一覧!$I$7:$I$2738,$F1005)="","",INDEX(選手一覧!$I$7:$I$2738,$F1005))</f>
        <v/>
      </c>
    </row>
    <row r="1006" customFormat="false" ht="15" hidden="false" customHeight="false" outlineLevel="0" collapsed="false">
      <c r="A1006" s="12" t="n">
        <v>1002</v>
      </c>
      <c r="B1006" s="10" t="s">
        <v>2943</v>
      </c>
      <c r="C1006" s="10" t="s">
        <v>1975</v>
      </c>
      <c r="D1006" s="11" t="n">
        <v>0.00760821759259259</v>
      </c>
      <c r="E1006" s="18" t="n">
        <f aca="false">ROUND((D1006-$D$5)*86400,2)</f>
        <v>118.33</v>
      </c>
      <c r="F1006" s="12" t="n">
        <v>2064</v>
      </c>
      <c r="G1006" s="11" t="str">
        <f aca="false">IF(INDEX(選手一覧!$D$7:$D$2738,$F1006)="","",INDEX(選手一覧!$D$7:$D$2738,$F1006))</f>
        <v/>
      </c>
      <c r="H1006" s="12" t="str">
        <f aca="false">IF(INDEX(選手一覧!$E$7:$E$2738,$F1006)="","",INDEX(選手一覧!$E$7:$E$2738,$F1006))</f>
        <v/>
      </c>
      <c r="I1006" s="11" t="str">
        <f aca="false">IF(INDEX(選手一覧!$H$7:$H$2738,$F1006)="","",INDEX(選手一覧!$H$7:$H$2738,$F1006))</f>
        <v/>
      </c>
      <c r="J1006" s="12" t="str">
        <f aca="false">IF(INDEX(選手一覧!$I$7:$I$2738,$F1006)="","",INDEX(選手一覧!$I$7:$I$2738,$F1006))</f>
        <v/>
      </c>
    </row>
    <row r="1007" customFormat="false" ht="15" hidden="false" customHeight="false" outlineLevel="0" collapsed="false">
      <c r="A1007" s="12" t="n">
        <v>1003</v>
      </c>
      <c r="B1007" s="10" t="s">
        <v>2945</v>
      </c>
      <c r="C1007" s="10" t="s">
        <v>2221</v>
      </c>
      <c r="D1007" s="11" t="n">
        <v>0.00761168981481481</v>
      </c>
      <c r="E1007" s="18" t="n">
        <f aca="false">ROUND((D1007-$D$5)*86400,2)</f>
        <v>118.63</v>
      </c>
      <c r="F1007" s="12" t="n">
        <v>2066</v>
      </c>
      <c r="G1007" s="11" t="str">
        <f aca="false">IF(INDEX(選手一覧!$D$7:$D$2738,$F1007)="","",INDEX(選手一覧!$D$7:$D$2738,$F1007))</f>
        <v/>
      </c>
      <c r="H1007" s="12" t="str">
        <f aca="false">IF(INDEX(選手一覧!$E$7:$E$2738,$F1007)="","",INDEX(選手一覧!$E$7:$E$2738,$F1007))</f>
        <v/>
      </c>
      <c r="I1007" s="11" t="str">
        <f aca="false">IF(INDEX(選手一覧!$H$7:$H$2738,$F1007)="","",INDEX(選手一覧!$H$7:$H$2738,$F1007))</f>
        <v/>
      </c>
      <c r="J1007" s="12" t="str">
        <f aca="false">IF(INDEX(選手一覧!$I$7:$I$2738,$F1007)="","",INDEX(選手一覧!$I$7:$I$2738,$F1007))</f>
        <v/>
      </c>
    </row>
    <row r="1008" customFormat="false" ht="15" hidden="false" customHeight="false" outlineLevel="0" collapsed="false">
      <c r="A1008" s="12" t="n">
        <v>1004</v>
      </c>
      <c r="B1008" s="10" t="s">
        <v>2947</v>
      </c>
      <c r="C1008" s="10" t="s">
        <v>2948</v>
      </c>
      <c r="D1008" s="11" t="n">
        <v>0.00761354166666667</v>
      </c>
      <c r="E1008" s="18" t="n">
        <f aca="false">ROUND((D1008-$D$5)*86400,2)</f>
        <v>118.79</v>
      </c>
      <c r="F1008" s="12" t="n">
        <v>2068</v>
      </c>
      <c r="G1008" s="11" t="str">
        <f aca="false">IF(INDEX(選手一覧!$D$7:$D$2738,$F1008)="","",INDEX(選手一覧!$D$7:$D$2738,$F1008))</f>
        <v/>
      </c>
      <c r="H1008" s="12" t="str">
        <f aca="false">IF(INDEX(選手一覧!$E$7:$E$2738,$F1008)="","",INDEX(選手一覧!$E$7:$E$2738,$F1008))</f>
        <v/>
      </c>
      <c r="I1008" s="11" t="str">
        <f aca="false">IF(INDEX(選手一覧!$H$7:$H$2738,$F1008)="","",INDEX(選手一覧!$H$7:$H$2738,$F1008))</f>
        <v/>
      </c>
      <c r="J1008" s="12" t="str">
        <f aca="false">IF(INDEX(選手一覧!$I$7:$I$2738,$F1008)="","",INDEX(選手一覧!$I$7:$I$2738,$F1008))</f>
        <v/>
      </c>
    </row>
    <row r="1009" customFormat="false" ht="15" hidden="false" customHeight="false" outlineLevel="0" collapsed="false">
      <c r="A1009" s="12" t="n">
        <v>1005</v>
      </c>
      <c r="B1009" s="10" t="s">
        <v>2951</v>
      </c>
      <c r="C1009" s="10" t="s">
        <v>1775</v>
      </c>
      <c r="D1009" s="11" t="n">
        <v>0.00761446759259259</v>
      </c>
      <c r="E1009" s="18" t="n">
        <f aca="false">ROUND((D1009-$D$5)*86400,2)</f>
        <v>118.87</v>
      </c>
      <c r="F1009" s="12" t="n">
        <v>2070</v>
      </c>
      <c r="G1009" s="11" t="str">
        <f aca="false">IF(INDEX(選手一覧!$D$7:$D$2738,$F1009)="","",INDEX(選手一覧!$D$7:$D$2738,$F1009))</f>
        <v/>
      </c>
      <c r="H1009" s="12" t="str">
        <f aca="false">IF(INDEX(選手一覧!$E$7:$E$2738,$F1009)="","",INDEX(選手一覧!$E$7:$E$2738,$F1009))</f>
        <v/>
      </c>
      <c r="I1009" s="11" t="str">
        <f aca="false">IF(INDEX(選手一覧!$H$7:$H$2738,$F1009)="","",INDEX(選手一覧!$H$7:$H$2738,$F1009))</f>
        <v/>
      </c>
      <c r="J1009" s="12" t="str">
        <f aca="false">IF(INDEX(選手一覧!$I$7:$I$2738,$F1009)="","",INDEX(選手一覧!$I$7:$I$2738,$F1009))</f>
        <v/>
      </c>
    </row>
    <row r="1010" customFormat="false" ht="15" hidden="false" customHeight="false" outlineLevel="0" collapsed="false">
      <c r="A1010" s="12" t="n">
        <v>1006</v>
      </c>
      <c r="B1010" s="10" t="s">
        <v>2952</v>
      </c>
      <c r="C1010" s="10" t="s">
        <v>279</v>
      </c>
      <c r="D1010" s="11" t="n">
        <v>0.00761481481481482</v>
      </c>
      <c r="E1010" s="18" t="n">
        <f aca="false">ROUND((D1010-$D$5)*86400,2)</f>
        <v>118.9</v>
      </c>
      <c r="F1010" s="12" t="n">
        <v>2071</v>
      </c>
      <c r="G1010" s="11" t="str">
        <f aca="false">IF(INDEX(選手一覧!$D$7:$D$2738,$F1010)="","",INDEX(選手一覧!$D$7:$D$2738,$F1010))</f>
        <v/>
      </c>
      <c r="H1010" s="12" t="str">
        <f aca="false">IF(INDEX(選手一覧!$E$7:$E$2738,$F1010)="","",INDEX(選手一覧!$E$7:$E$2738,$F1010))</f>
        <v/>
      </c>
      <c r="I1010" s="11" t="str">
        <f aca="false">IF(INDEX(選手一覧!$H$7:$H$2738,$F1010)="","",INDEX(選手一覧!$H$7:$H$2738,$F1010))</f>
        <v/>
      </c>
      <c r="J1010" s="12" t="str">
        <f aca="false">IF(INDEX(選手一覧!$I$7:$I$2738,$F1010)="","",INDEX(選手一覧!$I$7:$I$2738,$F1010))</f>
        <v/>
      </c>
    </row>
    <row r="1011" customFormat="false" ht="15" hidden="false" customHeight="false" outlineLevel="0" collapsed="false">
      <c r="A1011" s="12" t="n">
        <v>1007</v>
      </c>
      <c r="B1011" s="10" t="s">
        <v>2955</v>
      </c>
      <c r="C1011" s="10" t="s">
        <v>1150</v>
      </c>
      <c r="D1011" s="11" t="n">
        <v>0.00761678240740741</v>
      </c>
      <c r="E1011" s="18" t="n">
        <f aca="false">ROUND((D1011-$D$5)*86400,2)</f>
        <v>119.07</v>
      </c>
      <c r="F1011" s="12" t="n">
        <v>2073</v>
      </c>
      <c r="G1011" s="11" t="str">
        <f aca="false">IF(INDEX(選手一覧!$D$7:$D$2738,$F1011)="","",INDEX(選手一覧!$D$7:$D$2738,$F1011))</f>
        <v/>
      </c>
      <c r="H1011" s="12" t="str">
        <f aca="false">IF(INDEX(選手一覧!$E$7:$E$2738,$F1011)="","",INDEX(選手一覧!$E$7:$E$2738,$F1011))</f>
        <v/>
      </c>
      <c r="I1011" s="11" t="str">
        <f aca="false">IF(INDEX(選手一覧!$H$7:$H$2738,$F1011)="","",INDEX(選手一覧!$H$7:$H$2738,$F1011))</f>
        <v/>
      </c>
      <c r="J1011" s="12" t="str">
        <f aca="false">IF(INDEX(選手一覧!$I$7:$I$2738,$F1011)="","",INDEX(選手一覧!$I$7:$I$2738,$F1011))</f>
        <v/>
      </c>
    </row>
    <row r="1012" customFormat="false" ht="15" hidden="false" customHeight="false" outlineLevel="0" collapsed="false">
      <c r="A1012" s="12" t="n">
        <v>1008</v>
      </c>
      <c r="B1012" s="10" t="s">
        <v>2958</v>
      </c>
      <c r="C1012" s="10" t="s">
        <v>2053</v>
      </c>
      <c r="D1012" s="11" t="n">
        <v>0.00761759259259259</v>
      </c>
      <c r="E1012" s="18" t="n">
        <f aca="false">ROUND((D1012-$D$5)*86400,2)</f>
        <v>119.14</v>
      </c>
      <c r="F1012" s="12" t="n">
        <v>2076</v>
      </c>
      <c r="G1012" s="11" t="str">
        <f aca="false">IF(INDEX(選手一覧!$D$7:$D$2738,$F1012)="","",INDEX(選手一覧!$D$7:$D$2738,$F1012))</f>
        <v/>
      </c>
      <c r="H1012" s="12" t="str">
        <f aca="false">IF(INDEX(選手一覧!$E$7:$E$2738,$F1012)="","",INDEX(選手一覧!$E$7:$E$2738,$F1012))</f>
        <v/>
      </c>
      <c r="I1012" s="11" t="str">
        <f aca="false">IF(INDEX(選手一覧!$H$7:$H$2738,$F1012)="","",INDEX(選手一覧!$H$7:$H$2738,$F1012))</f>
        <v/>
      </c>
      <c r="J1012" s="12" t="str">
        <f aca="false">IF(INDEX(選手一覧!$I$7:$I$2738,$F1012)="","",INDEX(選手一覧!$I$7:$I$2738,$F1012))</f>
        <v/>
      </c>
    </row>
    <row r="1013" customFormat="false" ht="15" hidden="false" customHeight="false" outlineLevel="0" collapsed="false">
      <c r="A1013" s="12" t="n">
        <v>1009</v>
      </c>
      <c r="B1013" s="10" t="s">
        <v>2960</v>
      </c>
      <c r="C1013" s="10" t="s">
        <v>814</v>
      </c>
      <c r="D1013" s="11" t="n">
        <v>0.00761956018518519</v>
      </c>
      <c r="E1013" s="18" t="n">
        <f aca="false">ROUND((D1013-$D$5)*86400,2)</f>
        <v>119.31</v>
      </c>
      <c r="F1013" s="12" t="n">
        <v>2078</v>
      </c>
      <c r="G1013" s="11" t="str">
        <f aca="false">IF(INDEX(選手一覧!$D$7:$D$2738,$F1013)="","",INDEX(選手一覧!$D$7:$D$2738,$F1013))</f>
        <v/>
      </c>
      <c r="H1013" s="12" t="str">
        <f aca="false">IF(INDEX(選手一覧!$E$7:$E$2738,$F1013)="","",INDEX(選手一覧!$E$7:$E$2738,$F1013))</f>
        <v/>
      </c>
      <c r="I1013" s="11" t="str">
        <f aca="false">IF(INDEX(選手一覧!$H$7:$H$2738,$F1013)="","",INDEX(選手一覧!$H$7:$H$2738,$F1013))</f>
        <v/>
      </c>
      <c r="J1013" s="12" t="str">
        <f aca="false">IF(INDEX(選手一覧!$I$7:$I$2738,$F1013)="","",INDEX(選手一覧!$I$7:$I$2738,$F1013))</f>
        <v/>
      </c>
    </row>
    <row r="1014" customFormat="false" ht="15" hidden="false" customHeight="false" outlineLevel="0" collapsed="false">
      <c r="A1014" s="12" t="n">
        <v>1010</v>
      </c>
      <c r="B1014" s="10" t="s">
        <v>2961</v>
      </c>
      <c r="C1014" s="10" t="s">
        <v>2962</v>
      </c>
      <c r="D1014" s="11" t="n">
        <v>0.00762222222222222</v>
      </c>
      <c r="E1014" s="18" t="n">
        <f aca="false">ROUND((D1014-$D$5)*86400,2)</f>
        <v>119.54</v>
      </c>
      <c r="F1014" s="12" t="n">
        <v>2079</v>
      </c>
      <c r="G1014" s="11" t="str">
        <f aca="false">IF(INDEX(選手一覧!$D$7:$D$2738,$F1014)="","",INDEX(選手一覧!$D$7:$D$2738,$F1014))</f>
        <v/>
      </c>
      <c r="H1014" s="12" t="str">
        <f aca="false">IF(INDEX(選手一覧!$E$7:$E$2738,$F1014)="","",INDEX(選手一覧!$E$7:$E$2738,$F1014))</f>
        <v/>
      </c>
      <c r="I1014" s="11" t="str">
        <f aca="false">IF(INDEX(選手一覧!$H$7:$H$2738,$F1014)="","",INDEX(選手一覧!$H$7:$H$2738,$F1014))</f>
        <v/>
      </c>
      <c r="J1014" s="12" t="str">
        <f aca="false">IF(INDEX(選手一覧!$I$7:$I$2738,$F1014)="","",INDEX(選手一覧!$I$7:$I$2738,$F1014))</f>
        <v/>
      </c>
    </row>
    <row r="1015" customFormat="false" ht="15" hidden="false" customHeight="false" outlineLevel="0" collapsed="false">
      <c r="A1015" s="12" t="n">
        <v>1011</v>
      </c>
      <c r="B1015" s="10" t="s">
        <v>2965</v>
      </c>
      <c r="C1015" s="10" t="s">
        <v>2966</v>
      </c>
      <c r="D1015" s="11" t="n">
        <v>0.00762233796296296</v>
      </c>
      <c r="E1015" s="18" t="n">
        <f aca="false">ROUND((D1015-$D$5)*86400,2)</f>
        <v>119.55</v>
      </c>
      <c r="F1015" s="12" t="n">
        <v>2082</v>
      </c>
      <c r="G1015" s="11" t="str">
        <f aca="false">IF(INDEX(選手一覧!$D$7:$D$2738,$F1015)="","",INDEX(選手一覧!$D$7:$D$2738,$F1015))</f>
        <v/>
      </c>
      <c r="H1015" s="12" t="str">
        <f aca="false">IF(INDEX(選手一覧!$E$7:$E$2738,$F1015)="","",INDEX(選手一覧!$E$7:$E$2738,$F1015))</f>
        <v/>
      </c>
      <c r="I1015" s="11" t="str">
        <f aca="false">IF(INDEX(選手一覧!$H$7:$H$2738,$F1015)="","",INDEX(選手一覧!$H$7:$H$2738,$F1015))</f>
        <v/>
      </c>
      <c r="J1015" s="12" t="str">
        <f aca="false">IF(INDEX(選手一覧!$I$7:$I$2738,$F1015)="","",INDEX(選手一覧!$I$7:$I$2738,$F1015))</f>
        <v/>
      </c>
    </row>
    <row r="1016" customFormat="false" ht="15" hidden="false" customHeight="false" outlineLevel="0" collapsed="false">
      <c r="A1016" s="12" t="n">
        <v>1012</v>
      </c>
      <c r="B1016" s="10" t="s">
        <v>2968</v>
      </c>
      <c r="C1016" s="10" t="s">
        <v>947</v>
      </c>
      <c r="D1016" s="11" t="n">
        <v>0.00762511574074074</v>
      </c>
      <c r="E1016" s="18" t="n">
        <f aca="false">ROUND((D1016-$D$5)*86400,2)</f>
        <v>119.79</v>
      </c>
      <c r="F1016" s="12" t="n">
        <v>2084</v>
      </c>
      <c r="G1016" s="11" t="str">
        <f aca="false">IF(INDEX(選手一覧!$D$7:$D$2738,$F1016)="","",INDEX(選手一覧!$D$7:$D$2738,$F1016))</f>
        <v/>
      </c>
      <c r="H1016" s="12" t="str">
        <f aca="false">IF(INDEX(選手一覧!$E$7:$E$2738,$F1016)="","",INDEX(選手一覧!$E$7:$E$2738,$F1016))</f>
        <v/>
      </c>
      <c r="I1016" s="11" t="str">
        <f aca="false">IF(INDEX(選手一覧!$H$7:$H$2738,$F1016)="","",INDEX(選手一覧!$H$7:$H$2738,$F1016))</f>
        <v/>
      </c>
      <c r="J1016" s="12" t="str">
        <f aca="false">IF(INDEX(選手一覧!$I$7:$I$2738,$F1016)="","",INDEX(選手一覧!$I$7:$I$2738,$F1016))</f>
        <v/>
      </c>
    </row>
    <row r="1017" customFormat="false" ht="15" hidden="false" customHeight="false" outlineLevel="0" collapsed="false">
      <c r="A1017" s="12" t="n">
        <v>1013</v>
      </c>
      <c r="B1017" s="10" t="s">
        <v>2972</v>
      </c>
      <c r="C1017" s="10" t="s">
        <v>2140</v>
      </c>
      <c r="D1017" s="11" t="n">
        <v>0.00762534722222222</v>
      </c>
      <c r="E1017" s="18" t="n">
        <f aca="false">ROUND((D1017-$D$5)*86400,2)</f>
        <v>119.81</v>
      </c>
      <c r="F1017" s="12" t="n">
        <v>2087</v>
      </c>
      <c r="G1017" s="11" t="str">
        <f aca="false">IF(INDEX(選手一覧!$D$7:$D$2738,$F1017)="","",INDEX(選手一覧!$D$7:$D$2738,$F1017))</f>
        <v/>
      </c>
      <c r="H1017" s="12" t="str">
        <f aca="false">IF(INDEX(選手一覧!$E$7:$E$2738,$F1017)="","",INDEX(選手一覧!$E$7:$E$2738,$F1017))</f>
        <v/>
      </c>
      <c r="I1017" s="11" t="str">
        <f aca="false">IF(INDEX(選手一覧!$H$7:$H$2738,$F1017)="","",INDEX(選手一覧!$H$7:$H$2738,$F1017))</f>
        <v/>
      </c>
      <c r="J1017" s="12" t="str">
        <f aca="false">IF(INDEX(選手一覧!$I$7:$I$2738,$F1017)="","",INDEX(選手一覧!$I$7:$I$2738,$F1017))</f>
        <v/>
      </c>
    </row>
    <row r="1018" customFormat="false" ht="15" hidden="false" customHeight="false" outlineLevel="0" collapsed="false">
      <c r="A1018" s="12" t="n">
        <v>1014</v>
      </c>
      <c r="B1018" s="10" t="s">
        <v>2975</v>
      </c>
      <c r="C1018" s="10" t="s">
        <v>445</v>
      </c>
      <c r="D1018" s="11" t="n">
        <v>0.00762673611111111</v>
      </c>
      <c r="E1018" s="18" t="n">
        <f aca="false">ROUND((D1018-$D$5)*86400,2)</f>
        <v>119.93</v>
      </c>
      <c r="F1018" s="12" t="n">
        <v>2089</v>
      </c>
      <c r="G1018" s="11" t="str">
        <f aca="false">IF(INDEX(選手一覧!$D$7:$D$2738,$F1018)="","",INDEX(選手一覧!$D$7:$D$2738,$F1018))</f>
        <v/>
      </c>
      <c r="H1018" s="12" t="str">
        <f aca="false">IF(INDEX(選手一覧!$E$7:$E$2738,$F1018)="","",INDEX(選手一覧!$E$7:$E$2738,$F1018))</f>
        <v/>
      </c>
      <c r="I1018" s="11" t="str">
        <f aca="false">IF(INDEX(選手一覧!$H$7:$H$2738,$F1018)="","",INDEX(選手一覧!$H$7:$H$2738,$F1018))</f>
        <v/>
      </c>
      <c r="J1018" s="12" t="str">
        <f aca="false">IF(INDEX(選手一覧!$I$7:$I$2738,$F1018)="","",INDEX(選手一覧!$I$7:$I$2738,$F1018))</f>
        <v/>
      </c>
    </row>
    <row r="1019" customFormat="false" ht="15" hidden="false" customHeight="false" outlineLevel="0" collapsed="false">
      <c r="A1019" s="12" t="n">
        <v>1015</v>
      </c>
      <c r="B1019" s="10" t="s">
        <v>2979</v>
      </c>
      <c r="C1019" s="10" t="s">
        <v>2114</v>
      </c>
      <c r="D1019" s="11" t="n">
        <v>0.00762766203703704</v>
      </c>
      <c r="E1019" s="18" t="n">
        <f aca="false">ROUND((D1019-$D$5)*86400,2)</f>
        <v>120.01</v>
      </c>
      <c r="F1019" s="12" t="n">
        <v>2092</v>
      </c>
      <c r="G1019" s="11" t="str">
        <f aca="false">IF(INDEX(選手一覧!$D$7:$D$2738,$F1019)="","",INDEX(選手一覧!$D$7:$D$2738,$F1019))</f>
        <v/>
      </c>
      <c r="H1019" s="12" t="str">
        <f aca="false">IF(INDEX(選手一覧!$E$7:$E$2738,$F1019)="","",INDEX(選手一覧!$E$7:$E$2738,$F1019))</f>
        <v/>
      </c>
      <c r="I1019" s="11" t="str">
        <f aca="false">IF(INDEX(選手一覧!$H$7:$H$2738,$F1019)="","",INDEX(選手一覧!$H$7:$H$2738,$F1019))</f>
        <v/>
      </c>
      <c r="J1019" s="12" t="str">
        <f aca="false">IF(INDEX(選手一覧!$I$7:$I$2738,$F1019)="","",INDEX(選手一覧!$I$7:$I$2738,$F1019))</f>
        <v/>
      </c>
    </row>
    <row r="1020" customFormat="false" ht="15" hidden="false" customHeight="false" outlineLevel="0" collapsed="false">
      <c r="A1020" s="12" t="n">
        <v>1016</v>
      </c>
      <c r="B1020" s="10" t="s">
        <v>2981</v>
      </c>
      <c r="C1020" s="10" t="s">
        <v>2982</v>
      </c>
      <c r="D1020" s="11" t="n">
        <v>0.00762777777777778</v>
      </c>
      <c r="E1020" s="18" t="n">
        <f aca="false">ROUND((D1020-$D$5)*86400,2)</f>
        <v>120.02</v>
      </c>
      <c r="F1020" s="12" t="n">
        <v>2094</v>
      </c>
      <c r="G1020" s="11" t="str">
        <f aca="false">IF(INDEX(選手一覧!$D$7:$D$2738,$F1020)="","",INDEX(選手一覧!$D$7:$D$2738,$F1020))</f>
        <v/>
      </c>
      <c r="H1020" s="12" t="str">
        <f aca="false">IF(INDEX(選手一覧!$E$7:$E$2738,$F1020)="","",INDEX(選手一覧!$E$7:$E$2738,$F1020))</f>
        <v/>
      </c>
      <c r="I1020" s="11" t="str">
        <f aca="false">IF(INDEX(選手一覧!$H$7:$H$2738,$F1020)="","",INDEX(選手一覧!$H$7:$H$2738,$F1020))</f>
        <v/>
      </c>
      <c r="J1020" s="12" t="str">
        <f aca="false">IF(INDEX(選手一覧!$I$7:$I$2738,$F1020)="","",INDEX(選手一覧!$I$7:$I$2738,$F1020))</f>
        <v/>
      </c>
    </row>
    <row r="1021" customFormat="false" ht="15" hidden="false" customHeight="false" outlineLevel="0" collapsed="false">
      <c r="A1021" s="12" t="n">
        <v>1017</v>
      </c>
      <c r="B1021" s="10" t="s">
        <v>2985</v>
      </c>
      <c r="C1021" s="10" t="s">
        <v>2986</v>
      </c>
      <c r="D1021" s="11" t="n">
        <v>0.00762905092592593</v>
      </c>
      <c r="E1021" s="18" t="n">
        <f aca="false">ROUND((D1021-$D$5)*86400,2)</f>
        <v>120.13</v>
      </c>
      <c r="F1021" s="12" t="n">
        <v>2096</v>
      </c>
      <c r="G1021" s="11" t="str">
        <f aca="false">IF(INDEX(選手一覧!$D$7:$D$2738,$F1021)="","",INDEX(選手一覧!$D$7:$D$2738,$F1021))</f>
        <v/>
      </c>
      <c r="H1021" s="12" t="str">
        <f aca="false">IF(INDEX(選手一覧!$E$7:$E$2738,$F1021)="","",INDEX(選手一覧!$E$7:$E$2738,$F1021))</f>
        <v/>
      </c>
      <c r="I1021" s="11" t="str">
        <f aca="false">IF(INDEX(選手一覧!$H$7:$H$2738,$F1021)="","",INDEX(選手一覧!$H$7:$H$2738,$F1021))</f>
        <v/>
      </c>
      <c r="J1021" s="12" t="str">
        <f aca="false">IF(INDEX(選手一覧!$I$7:$I$2738,$F1021)="","",INDEX(選手一覧!$I$7:$I$2738,$F1021))</f>
        <v/>
      </c>
    </row>
    <row r="1022" customFormat="false" ht="15" hidden="false" customHeight="false" outlineLevel="0" collapsed="false">
      <c r="A1022" s="12" t="n">
        <v>1018</v>
      </c>
      <c r="B1022" s="10" t="s">
        <v>2988</v>
      </c>
      <c r="C1022" s="10" t="s">
        <v>2989</v>
      </c>
      <c r="D1022" s="11" t="n">
        <v>0.00762939814814815</v>
      </c>
      <c r="E1022" s="18" t="n">
        <f aca="false">ROUND((D1022-$D$5)*86400,2)</f>
        <v>120.16</v>
      </c>
      <c r="F1022" s="12" t="n">
        <v>2098</v>
      </c>
      <c r="G1022" s="11" t="str">
        <f aca="false">IF(INDEX(選手一覧!$D$7:$D$2738,$F1022)="","",INDEX(選手一覧!$D$7:$D$2738,$F1022))</f>
        <v/>
      </c>
      <c r="H1022" s="12" t="str">
        <f aca="false">IF(INDEX(選手一覧!$E$7:$E$2738,$F1022)="","",INDEX(選手一覧!$E$7:$E$2738,$F1022))</f>
        <v/>
      </c>
      <c r="I1022" s="11" t="str">
        <f aca="false">IF(INDEX(選手一覧!$H$7:$H$2738,$F1022)="","",INDEX(選手一覧!$H$7:$H$2738,$F1022))</f>
        <v/>
      </c>
      <c r="J1022" s="12" t="str">
        <f aca="false">IF(INDEX(選手一覧!$I$7:$I$2738,$F1022)="","",INDEX(選手一覧!$I$7:$I$2738,$F1022))</f>
        <v/>
      </c>
    </row>
    <row r="1023" customFormat="false" ht="15" hidden="false" customHeight="false" outlineLevel="0" collapsed="false">
      <c r="A1023" s="12" t="n">
        <v>1019</v>
      </c>
      <c r="B1023" s="10" t="s">
        <v>2990</v>
      </c>
      <c r="C1023" s="10" t="s">
        <v>2991</v>
      </c>
      <c r="D1023" s="11" t="n">
        <v>0.00762962962962963</v>
      </c>
      <c r="E1023" s="18" t="n">
        <f aca="false">ROUND((D1023-$D$5)*86400,2)</f>
        <v>120.18</v>
      </c>
      <c r="F1023" s="12" t="n">
        <v>2099</v>
      </c>
      <c r="G1023" s="11" t="str">
        <f aca="false">IF(INDEX(選手一覧!$D$7:$D$2738,$F1023)="","",INDEX(選手一覧!$D$7:$D$2738,$F1023))</f>
        <v/>
      </c>
      <c r="H1023" s="12" t="str">
        <f aca="false">IF(INDEX(選手一覧!$E$7:$E$2738,$F1023)="","",INDEX(選手一覧!$E$7:$E$2738,$F1023))</f>
        <v/>
      </c>
      <c r="I1023" s="11" t="str">
        <f aca="false">IF(INDEX(選手一覧!$H$7:$H$2738,$F1023)="","",INDEX(選手一覧!$H$7:$H$2738,$F1023))</f>
        <v/>
      </c>
      <c r="J1023" s="12" t="str">
        <f aca="false">IF(INDEX(選手一覧!$I$7:$I$2738,$F1023)="","",INDEX(選手一覧!$I$7:$I$2738,$F1023))</f>
        <v/>
      </c>
    </row>
    <row r="1024" customFormat="false" ht="15" hidden="false" customHeight="false" outlineLevel="0" collapsed="false">
      <c r="A1024" s="12" t="n">
        <v>1020</v>
      </c>
      <c r="B1024" s="10" t="s">
        <v>2992</v>
      </c>
      <c r="C1024" s="10" t="s">
        <v>2993</v>
      </c>
      <c r="D1024" s="11" t="n">
        <v>0.00763043981481482</v>
      </c>
      <c r="E1024" s="18" t="n">
        <f aca="false">ROUND((D1024-$D$5)*86400,2)</f>
        <v>120.25</v>
      </c>
      <c r="F1024" s="12" t="n">
        <v>2100</v>
      </c>
      <c r="G1024" s="11" t="str">
        <f aca="false">IF(INDEX(選手一覧!$D$7:$D$2738,$F1024)="","",INDEX(選手一覧!$D$7:$D$2738,$F1024))</f>
        <v/>
      </c>
      <c r="H1024" s="12" t="str">
        <f aca="false">IF(INDEX(選手一覧!$E$7:$E$2738,$F1024)="","",INDEX(選手一覧!$E$7:$E$2738,$F1024))</f>
        <v/>
      </c>
      <c r="I1024" s="11" t="str">
        <f aca="false">IF(INDEX(選手一覧!$H$7:$H$2738,$F1024)="","",INDEX(選手一覧!$H$7:$H$2738,$F1024))</f>
        <v/>
      </c>
      <c r="J1024" s="12" t="str">
        <f aca="false">IF(INDEX(選手一覧!$I$7:$I$2738,$F1024)="","",INDEX(選手一覧!$I$7:$I$2738,$F1024))</f>
        <v/>
      </c>
    </row>
    <row r="1025" customFormat="false" ht="15" hidden="false" customHeight="false" outlineLevel="0" collapsed="false">
      <c r="A1025" s="12" t="n">
        <v>1021</v>
      </c>
      <c r="B1025" s="10" t="s">
        <v>2995</v>
      </c>
      <c r="C1025" s="10" t="s">
        <v>1314</v>
      </c>
      <c r="D1025" s="11" t="n">
        <v>0.00763333333333333</v>
      </c>
      <c r="E1025" s="18" t="n">
        <f aca="false">ROUND((D1025-$D$5)*86400,2)</f>
        <v>120.5</v>
      </c>
      <c r="F1025" s="12" t="n">
        <v>2102</v>
      </c>
      <c r="G1025" s="11" t="str">
        <f aca="false">IF(INDEX(選手一覧!$D$7:$D$2738,$F1025)="","",INDEX(選手一覧!$D$7:$D$2738,$F1025))</f>
        <v/>
      </c>
      <c r="H1025" s="12" t="str">
        <f aca="false">IF(INDEX(選手一覧!$E$7:$E$2738,$F1025)="","",INDEX(選手一覧!$E$7:$E$2738,$F1025))</f>
        <v/>
      </c>
      <c r="I1025" s="11" t="str">
        <f aca="false">IF(INDEX(選手一覧!$H$7:$H$2738,$F1025)="","",INDEX(選手一覧!$H$7:$H$2738,$F1025))</f>
        <v/>
      </c>
      <c r="J1025" s="12" t="str">
        <f aca="false">IF(INDEX(選手一覧!$I$7:$I$2738,$F1025)="","",INDEX(選手一覧!$I$7:$I$2738,$F1025))</f>
        <v/>
      </c>
    </row>
    <row r="1026" customFormat="false" ht="15" hidden="false" customHeight="false" outlineLevel="0" collapsed="false">
      <c r="A1026" s="12" t="n">
        <v>1022</v>
      </c>
      <c r="B1026" s="10" t="s">
        <v>2998</v>
      </c>
      <c r="C1026" s="10" t="s">
        <v>2999</v>
      </c>
      <c r="D1026" s="11" t="n">
        <v>0.00763344907407407</v>
      </c>
      <c r="E1026" s="18" t="n">
        <f aca="false">ROUND((D1026-$D$5)*86400,2)</f>
        <v>120.51</v>
      </c>
      <c r="F1026" s="12" t="n">
        <v>2104</v>
      </c>
      <c r="G1026" s="11" t="str">
        <f aca="false">IF(INDEX(選手一覧!$D$7:$D$2738,$F1026)="","",INDEX(選手一覧!$D$7:$D$2738,$F1026))</f>
        <v/>
      </c>
      <c r="H1026" s="12" t="str">
        <f aca="false">IF(INDEX(選手一覧!$E$7:$E$2738,$F1026)="","",INDEX(選手一覧!$E$7:$E$2738,$F1026))</f>
        <v/>
      </c>
      <c r="I1026" s="11" t="str">
        <f aca="false">IF(INDEX(選手一覧!$H$7:$H$2738,$F1026)="","",INDEX(選手一覧!$H$7:$H$2738,$F1026))</f>
        <v/>
      </c>
      <c r="J1026" s="12" t="str">
        <f aca="false">IF(INDEX(選手一覧!$I$7:$I$2738,$F1026)="","",INDEX(選手一覧!$I$7:$I$2738,$F1026))</f>
        <v/>
      </c>
    </row>
    <row r="1027" customFormat="false" ht="15" hidden="false" customHeight="false" outlineLevel="0" collapsed="false">
      <c r="A1027" s="12" t="n">
        <v>1023</v>
      </c>
      <c r="B1027" s="10" t="s">
        <v>3001</v>
      </c>
      <c r="C1027" s="10" t="s">
        <v>3002</v>
      </c>
      <c r="D1027" s="11" t="n">
        <v>0.00763449074074074</v>
      </c>
      <c r="E1027" s="18" t="n">
        <f aca="false">ROUND((D1027-$D$5)*86400,2)</f>
        <v>120.6</v>
      </c>
      <c r="F1027" s="12" t="n">
        <v>2106</v>
      </c>
      <c r="G1027" s="11" t="str">
        <f aca="false">IF(INDEX(選手一覧!$D$7:$D$2738,$F1027)="","",INDEX(選手一覧!$D$7:$D$2738,$F1027))</f>
        <v/>
      </c>
      <c r="H1027" s="12" t="str">
        <f aca="false">IF(INDEX(選手一覧!$E$7:$E$2738,$F1027)="","",INDEX(選手一覧!$E$7:$E$2738,$F1027))</f>
        <v/>
      </c>
      <c r="I1027" s="11" t="str">
        <f aca="false">IF(INDEX(選手一覧!$H$7:$H$2738,$F1027)="","",INDEX(選手一覧!$H$7:$H$2738,$F1027))</f>
        <v/>
      </c>
      <c r="J1027" s="12" t="str">
        <f aca="false">IF(INDEX(選手一覧!$I$7:$I$2738,$F1027)="","",INDEX(選手一覧!$I$7:$I$2738,$F1027))</f>
        <v/>
      </c>
    </row>
    <row r="1028" customFormat="false" ht="15" hidden="false" customHeight="false" outlineLevel="0" collapsed="false">
      <c r="A1028" s="12" t="n">
        <v>1024</v>
      </c>
      <c r="B1028" s="10" t="s">
        <v>3005</v>
      </c>
      <c r="C1028" s="10" t="s">
        <v>3006</v>
      </c>
      <c r="D1028" s="11" t="n">
        <v>0.00763564814814815</v>
      </c>
      <c r="E1028" s="18" t="n">
        <f aca="false">ROUND((D1028-$D$5)*86400,2)</f>
        <v>120.7</v>
      </c>
      <c r="F1028" s="12" t="n">
        <v>2108</v>
      </c>
      <c r="G1028" s="11" t="str">
        <f aca="false">IF(INDEX(選手一覧!$D$7:$D$2738,$F1028)="","",INDEX(選手一覧!$D$7:$D$2738,$F1028))</f>
        <v/>
      </c>
      <c r="H1028" s="12" t="str">
        <f aca="false">IF(INDEX(選手一覧!$E$7:$E$2738,$F1028)="","",INDEX(選手一覧!$E$7:$E$2738,$F1028))</f>
        <v/>
      </c>
      <c r="I1028" s="11" t="str">
        <f aca="false">IF(INDEX(選手一覧!$H$7:$H$2738,$F1028)="","",INDEX(選手一覧!$H$7:$H$2738,$F1028))</f>
        <v/>
      </c>
      <c r="J1028" s="12" t="str">
        <f aca="false">IF(INDEX(選手一覧!$I$7:$I$2738,$F1028)="","",INDEX(選手一覧!$I$7:$I$2738,$F1028))</f>
        <v/>
      </c>
    </row>
    <row r="1029" customFormat="false" ht="15" hidden="false" customHeight="false" outlineLevel="0" collapsed="false">
      <c r="A1029" s="12" t="n">
        <v>1025</v>
      </c>
      <c r="B1029" s="10" t="s">
        <v>3009</v>
      </c>
      <c r="C1029" s="10" t="s">
        <v>1888</v>
      </c>
      <c r="D1029" s="11" t="n">
        <v>0.00763576388888889</v>
      </c>
      <c r="E1029" s="18" t="n">
        <f aca="false">ROUND((D1029-$D$5)*86400,2)</f>
        <v>120.71</v>
      </c>
      <c r="F1029" s="12" t="n">
        <v>2110</v>
      </c>
      <c r="G1029" s="11" t="str">
        <f aca="false">IF(INDEX(選手一覧!$D$7:$D$2738,$F1029)="","",INDEX(選手一覧!$D$7:$D$2738,$F1029))</f>
        <v/>
      </c>
      <c r="H1029" s="12" t="str">
        <f aca="false">IF(INDEX(選手一覧!$E$7:$E$2738,$F1029)="","",INDEX(選手一覧!$E$7:$E$2738,$F1029))</f>
        <v/>
      </c>
      <c r="I1029" s="11" t="str">
        <f aca="false">IF(INDEX(選手一覧!$H$7:$H$2738,$F1029)="","",INDEX(選手一覧!$H$7:$H$2738,$F1029))</f>
        <v/>
      </c>
      <c r="J1029" s="12" t="str">
        <f aca="false">IF(INDEX(選手一覧!$I$7:$I$2738,$F1029)="","",INDEX(選手一覧!$I$7:$I$2738,$F1029))</f>
        <v/>
      </c>
    </row>
    <row r="1030" customFormat="false" ht="15" hidden="false" customHeight="false" outlineLevel="0" collapsed="false">
      <c r="A1030" s="12" t="n">
        <v>1026</v>
      </c>
      <c r="B1030" s="10" t="s">
        <v>3012</v>
      </c>
      <c r="C1030" s="10" t="s">
        <v>3013</v>
      </c>
      <c r="D1030" s="11" t="n">
        <v>0.00763831018518519</v>
      </c>
      <c r="E1030" s="18" t="n">
        <f aca="false">ROUND((D1030-$D$5)*86400,2)</f>
        <v>120.93</v>
      </c>
      <c r="F1030" s="12" t="n">
        <v>2113</v>
      </c>
      <c r="G1030" s="11" t="str">
        <f aca="false">IF(INDEX(選手一覧!$D$7:$D$2738,$F1030)="","",INDEX(選手一覧!$D$7:$D$2738,$F1030))</f>
        <v/>
      </c>
      <c r="H1030" s="12" t="str">
        <f aca="false">IF(INDEX(選手一覧!$E$7:$E$2738,$F1030)="","",INDEX(選手一覧!$E$7:$E$2738,$F1030))</f>
        <v/>
      </c>
      <c r="I1030" s="11" t="str">
        <f aca="false">IF(INDEX(選手一覧!$H$7:$H$2738,$F1030)="","",INDEX(選手一覧!$H$7:$H$2738,$F1030))</f>
        <v/>
      </c>
      <c r="J1030" s="12" t="str">
        <f aca="false">IF(INDEX(選手一覧!$I$7:$I$2738,$F1030)="","",INDEX(選手一覧!$I$7:$I$2738,$F1030))</f>
        <v/>
      </c>
    </row>
    <row r="1031" customFormat="false" ht="15" hidden="false" customHeight="false" outlineLevel="0" collapsed="false">
      <c r="A1031" s="12" t="n">
        <v>1027</v>
      </c>
      <c r="B1031" s="10" t="s">
        <v>3016</v>
      </c>
      <c r="C1031" s="10" t="s">
        <v>3017</v>
      </c>
      <c r="D1031" s="11" t="n">
        <v>0.00764224537037037</v>
      </c>
      <c r="E1031" s="18" t="n">
        <f aca="false">ROUND((D1031-$D$5)*86400,2)</f>
        <v>121.27</v>
      </c>
      <c r="F1031" s="12" t="n">
        <v>2115</v>
      </c>
      <c r="G1031" s="11" t="str">
        <f aca="false">IF(INDEX(選手一覧!$D$7:$D$2738,$F1031)="","",INDEX(選手一覧!$D$7:$D$2738,$F1031))</f>
        <v/>
      </c>
      <c r="H1031" s="12" t="str">
        <f aca="false">IF(INDEX(選手一覧!$E$7:$E$2738,$F1031)="","",INDEX(選手一覧!$E$7:$E$2738,$F1031))</f>
        <v/>
      </c>
      <c r="I1031" s="11" t="str">
        <f aca="false">IF(INDEX(選手一覧!$H$7:$H$2738,$F1031)="","",INDEX(選手一覧!$H$7:$H$2738,$F1031))</f>
        <v/>
      </c>
      <c r="J1031" s="12" t="str">
        <f aca="false">IF(INDEX(選手一覧!$I$7:$I$2738,$F1031)="","",INDEX(選手一覧!$I$7:$I$2738,$F1031))</f>
        <v/>
      </c>
    </row>
    <row r="1032" customFormat="false" ht="15" hidden="false" customHeight="false" outlineLevel="0" collapsed="false">
      <c r="A1032" s="12" t="n">
        <v>1028</v>
      </c>
      <c r="B1032" s="10" t="s">
        <v>3018</v>
      </c>
      <c r="C1032" s="10" t="s">
        <v>1878</v>
      </c>
      <c r="D1032" s="11" t="n">
        <v>0.00764247685185185</v>
      </c>
      <c r="E1032" s="18" t="n">
        <f aca="false">ROUND((D1032-$D$5)*86400,2)</f>
        <v>121.29</v>
      </c>
      <c r="F1032" s="12" t="n">
        <v>2116</v>
      </c>
      <c r="G1032" s="11" t="str">
        <f aca="false">IF(INDEX(選手一覧!$D$7:$D$2738,$F1032)="","",INDEX(選手一覧!$D$7:$D$2738,$F1032))</f>
        <v/>
      </c>
      <c r="H1032" s="12" t="str">
        <f aca="false">IF(INDEX(選手一覧!$E$7:$E$2738,$F1032)="","",INDEX(選手一覧!$E$7:$E$2738,$F1032))</f>
        <v/>
      </c>
      <c r="I1032" s="11" t="str">
        <f aca="false">IF(INDEX(選手一覧!$H$7:$H$2738,$F1032)="","",INDEX(選手一覧!$H$7:$H$2738,$F1032))</f>
        <v/>
      </c>
      <c r="J1032" s="12" t="str">
        <f aca="false">IF(INDEX(選手一覧!$I$7:$I$2738,$F1032)="","",INDEX(選手一覧!$I$7:$I$2738,$F1032))</f>
        <v/>
      </c>
    </row>
    <row r="1033" customFormat="false" ht="15" hidden="false" customHeight="false" outlineLevel="0" collapsed="false">
      <c r="A1033" s="12" t="n">
        <v>1029</v>
      </c>
      <c r="B1033" s="10" t="s">
        <v>3019</v>
      </c>
      <c r="C1033" s="10" t="s">
        <v>3020</v>
      </c>
      <c r="D1033" s="11" t="n">
        <v>0.00764270833333333</v>
      </c>
      <c r="E1033" s="18" t="n">
        <f aca="false">ROUND((D1033-$D$5)*86400,2)</f>
        <v>121.31</v>
      </c>
      <c r="F1033" s="12" t="n">
        <v>2117</v>
      </c>
      <c r="G1033" s="11" t="str">
        <f aca="false">IF(INDEX(選手一覧!$D$7:$D$2738,$F1033)="","",INDEX(選手一覧!$D$7:$D$2738,$F1033))</f>
        <v/>
      </c>
      <c r="H1033" s="12" t="str">
        <f aca="false">IF(INDEX(選手一覧!$E$7:$E$2738,$F1033)="","",INDEX(選手一覧!$E$7:$E$2738,$F1033))</f>
        <v/>
      </c>
      <c r="I1033" s="11" t="str">
        <f aca="false">IF(INDEX(選手一覧!$H$7:$H$2738,$F1033)="","",INDEX(選手一覧!$H$7:$H$2738,$F1033))</f>
        <v/>
      </c>
      <c r="J1033" s="12" t="str">
        <f aca="false">IF(INDEX(選手一覧!$I$7:$I$2738,$F1033)="","",INDEX(選手一覧!$I$7:$I$2738,$F1033))</f>
        <v/>
      </c>
    </row>
    <row r="1034" customFormat="false" ht="15" hidden="false" customHeight="false" outlineLevel="0" collapsed="false">
      <c r="A1034" s="12" t="n">
        <v>1030</v>
      </c>
      <c r="B1034" s="10" t="s">
        <v>3021</v>
      </c>
      <c r="C1034" s="10" t="s">
        <v>3022</v>
      </c>
      <c r="D1034" s="11" t="n">
        <v>0.0076443287037037</v>
      </c>
      <c r="E1034" s="18" t="n">
        <f aca="false">ROUND((D1034-$D$5)*86400,2)</f>
        <v>121.45</v>
      </c>
      <c r="F1034" s="12" t="n">
        <v>2118</v>
      </c>
      <c r="G1034" s="11" t="str">
        <f aca="false">IF(INDEX(選手一覧!$D$7:$D$2738,$F1034)="","",INDEX(選手一覧!$D$7:$D$2738,$F1034))</f>
        <v/>
      </c>
      <c r="H1034" s="12" t="str">
        <f aca="false">IF(INDEX(選手一覧!$E$7:$E$2738,$F1034)="","",INDEX(選手一覧!$E$7:$E$2738,$F1034))</f>
        <v/>
      </c>
      <c r="I1034" s="11" t="str">
        <f aca="false">IF(INDEX(選手一覧!$H$7:$H$2738,$F1034)="","",INDEX(選手一覧!$H$7:$H$2738,$F1034))</f>
        <v/>
      </c>
      <c r="J1034" s="12" t="str">
        <f aca="false">IF(INDEX(選手一覧!$I$7:$I$2738,$F1034)="","",INDEX(選手一覧!$I$7:$I$2738,$F1034))</f>
        <v/>
      </c>
    </row>
    <row r="1035" customFormat="false" ht="15" hidden="false" customHeight="false" outlineLevel="0" collapsed="false">
      <c r="A1035" s="12" t="n">
        <v>1031</v>
      </c>
      <c r="B1035" s="10" t="s">
        <v>3024</v>
      </c>
      <c r="C1035" s="10" t="s">
        <v>3025</v>
      </c>
      <c r="D1035" s="11" t="n">
        <v>0.00764456018518519</v>
      </c>
      <c r="E1035" s="18" t="n">
        <f aca="false">ROUND((D1035-$D$5)*86400,2)</f>
        <v>121.47</v>
      </c>
      <c r="F1035" s="12" t="n">
        <v>2120</v>
      </c>
      <c r="G1035" s="11" t="str">
        <f aca="false">IF(INDEX(選手一覧!$D$7:$D$2738,$F1035)="","",INDEX(選手一覧!$D$7:$D$2738,$F1035))</f>
        <v/>
      </c>
      <c r="H1035" s="12" t="str">
        <f aca="false">IF(INDEX(選手一覧!$E$7:$E$2738,$F1035)="","",INDEX(選手一覧!$E$7:$E$2738,$F1035))</f>
        <v/>
      </c>
      <c r="I1035" s="11" t="str">
        <f aca="false">IF(INDEX(選手一覧!$H$7:$H$2738,$F1035)="","",INDEX(選手一覧!$H$7:$H$2738,$F1035))</f>
        <v/>
      </c>
      <c r="J1035" s="12" t="str">
        <f aca="false">IF(INDEX(選手一覧!$I$7:$I$2738,$F1035)="","",INDEX(選手一覧!$I$7:$I$2738,$F1035))</f>
        <v/>
      </c>
    </row>
    <row r="1036" customFormat="false" ht="15" hidden="false" customHeight="false" outlineLevel="0" collapsed="false">
      <c r="A1036" s="12" t="n">
        <v>1032</v>
      </c>
      <c r="B1036" s="10" t="s">
        <v>3030</v>
      </c>
      <c r="C1036" s="10" t="s">
        <v>3031</v>
      </c>
      <c r="D1036" s="11" t="n">
        <v>0.00764571759259259</v>
      </c>
      <c r="E1036" s="18" t="n">
        <f aca="false">ROUND((D1036-$D$5)*86400,2)</f>
        <v>121.57</v>
      </c>
      <c r="F1036" s="12" t="n">
        <v>2123</v>
      </c>
      <c r="G1036" s="11" t="str">
        <f aca="false">IF(INDEX(選手一覧!$D$7:$D$2738,$F1036)="","",INDEX(選手一覧!$D$7:$D$2738,$F1036))</f>
        <v/>
      </c>
      <c r="H1036" s="12" t="str">
        <f aca="false">IF(INDEX(選手一覧!$E$7:$E$2738,$F1036)="","",INDEX(選手一覧!$E$7:$E$2738,$F1036))</f>
        <v/>
      </c>
      <c r="I1036" s="11" t="str">
        <f aca="false">IF(INDEX(選手一覧!$H$7:$H$2738,$F1036)="","",INDEX(選手一覧!$H$7:$H$2738,$F1036))</f>
        <v/>
      </c>
      <c r="J1036" s="12" t="str">
        <f aca="false">IF(INDEX(選手一覧!$I$7:$I$2738,$F1036)="","",INDEX(選手一覧!$I$7:$I$2738,$F1036))</f>
        <v/>
      </c>
    </row>
    <row r="1037" customFormat="false" ht="15" hidden="false" customHeight="false" outlineLevel="0" collapsed="false">
      <c r="A1037" s="12" t="n">
        <v>1033</v>
      </c>
      <c r="B1037" s="10" t="s">
        <v>3032</v>
      </c>
      <c r="C1037" s="10" t="s">
        <v>714</v>
      </c>
      <c r="D1037" s="11" t="n">
        <v>0.00764710648148148</v>
      </c>
      <c r="E1037" s="18" t="n">
        <f aca="false">ROUND((D1037-$D$5)*86400,2)</f>
        <v>121.69</v>
      </c>
      <c r="F1037" s="12" t="n">
        <v>2124</v>
      </c>
      <c r="G1037" s="11" t="str">
        <f aca="false">IF(INDEX(選手一覧!$D$7:$D$2738,$F1037)="","",INDEX(選手一覧!$D$7:$D$2738,$F1037))</f>
        <v/>
      </c>
      <c r="H1037" s="12" t="str">
        <f aca="false">IF(INDEX(選手一覧!$E$7:$E$2738,$F1037)="","",INDEX(選手一覧!$E$7:$E$2738,$F1037))</f>
        <v/>
      </c>
      <c r="I1037" s="11" t="str">
        <f aca="false">IF(INDEX(選手一覧!$H$7:$H$2738,$F1037)="","",INDEX(選手一覧!$H$7:$H$2738,$F1037))</f>
        <v/>
      </c>
      <c r="J1037" s="12" t="str">
        <f aca="false">IF(INDEX(選手一覧!$I$7:$I$2738,$F1037)="","",INDEX(選手一覧!$I$7:$I$2738,$F1037))</f>
        <v/>
      </c>
    </row>
    <row r="1038" customFormat="false" ht="15" hidden="false" customHeight="false" outlineLevel="0" collapsed="false">
      <c r="A1038" s="12" t="n">
        <v>1034</v>
      </c>
      <c r="B1038" s="10" t="s">
        <v>3034</v>
      </c>
      <c r="C1038" s="10" t="s">
        <v>3035</v>
      </c>
      <c r="D1038" s="11" t="n">
        <v>0.00764814814814815</v>
      </c>
      <c r="E1038" s="18" t="n">
        <f aca="false">ROUND((D1038-$D$5)*86400,2)</f>
        <v>121.78</v>
      </c>
      <c r="F1038" s="12" t="n">
        <v>2126</v>
      </c>
      <c r="G1038" s="11" t="str">
        <f aca="false">IF(INDEX(選手一覧!$D$7:$D$2738,$F1038)="","",INDEX(選手一覧!$D$7:$D$2738,$F1038))</f>
        <v/>
      </c>
      <c r="H1038" s="12" t="str">
        <f aca="false">IF(INDEX(選手一覧!$E$7:$E$2738,$F1038)="","",INDEX(選手一覧!$E$7:$E$2738,$F1038))</f>
        <v/>
      </c>
      <c r="I1038" s="11" t="str">
        <f aca="false">IF(INDEX(選手一覧!$H$7:$H$2738,$F1038)="","",INDEX(選手一覧!$H$7:$H$2738,$F1038))</f>
        <v/>
      </c>
      <c r="J1038" s="12" t="str">
        <f aca="false">IF(INDEX(選手一覧!$I$7:$I$2738,$F1038)="","",INDEX(選手一覧!$I$7:$I$2738,$F1038))</f>
        <v/>
      </c>
    </row>
    <row r="1039" customFormat="false" ht="15" hidden="false" customHeight="false" outlineLevel="0" collapsed="false">
      <c r="A1039" s="12" t="n">
        <v>1035</v>
      </c>
      <c r="B1039" s="10" t="s">
        <v>3039</v>
      </c>
      <c r="C1039" s="10" t="s">
        <v>1753</v>
      </c>
      <c r="D1039" s="11" t="n">
        <v>0.00764988425925926</v>
      </c>
      <c r="E1039" s="18" t="n">
        <f aca="false">ROUND((D1039-$D$5)*86400,2)</f>
        <v>121.93</v>
      </c>
      <c r="F1039" s="12" t="n">
        <v>2129</v>
      </c>
      <c r="G1039" s="11" t="str">
        <f aca="false">IF(INDEX(選手一覧!$D$7:$D$2738,$F1039)="","",INDEX(選手一覧!$D$7:$D$2738,$F1039))</f>
        <v/>
      </c>
      <c r="H1039" s="12" t="str">
        <f aca="false">IF(INDEX(選手一覧!$E$7:$E$2738,$F1039)="","",INDEX(選手一覧!$E$7:$E$2738,$F1039))</f>
        <v/>
      </c>
      <c r="I1039" s="11" t="str">
        <f aca="false">IF(INDEX(選手一覧!$H$7:$H$2738,$F1039)="","",INDEX(選手一覧!$H$7:$H$2738,$F1039))</f>
        <v/>
      </c>
      <c r="J1039" s="12" t="str">
        <f aca="false">IF(INDEX(選手一覧!$I$7:$I$2738,$F1039)="","",INDEX(選手一覧!$I$7:$I$2738,$F1039))</f>
        <v/>
      </c>
    </row>
    <row r="1040" customFormat="false" ht="15" hidden="false" customHeight="false" outlineLevel="0" collapsed="false">
      <c r="A1040" s="12" t="n">
        <v>1036</v>
      </c>
      <c r="B1040" s="10" t="s">
        <v>3042</v>
      </c>
      <c r="C1040" s="10" t="s">
        <v>1456</v>
      </c>
      <c r="D1040" s="11" t="n">
        <v>0.00765138888888889</v>
      </c>
      <c r="E1040" s="18" t="n">
        <f aca="false">ROUND((D1040-$D$5)*86400,2)</f>
        <v>122.06</v>
      </c>
      <c r="F1040" s="12" t="n">
        <v>2132</v>
      </c>
      <c r="G1040" s="11" t="str">
        <f aca="false">IF(INDEX(選手一覧!$D$7:$D$2738,$F1040)="","",INDEX(選手一覧!$D$7:$D$2738,$F1040))</f>
        <v/>
      </c>
      <c r="H1040" s="12" t="str">
        <f aca="false">IF(INDEX(選手一覧!$E$7:$E$2738,$F1040)="","",INDEX(選手一覧!$E$7:$E$2738,$F1040))</f>
        <v/>
      </c>
      <c r="I1040" s="11" t="str">
        <f aca="false">IF(INDEX(選手一覧!$H$7:$H$2738,$F1040)="","",INDEX(選手一覧!$H$7:$H$2738,$F1040))</f>
        <v/>
      </c>
      <c r="J1040" s="12" t="str">
        <f aca="false">IF(INDEX(選手一覧!$I$7:$I$2738,$F1040)="","",INDEX(選手一覧!$I$7:$I$2738,$F1040))</f>
        <v/>
      </c>
    </row>
    <row r="1041" customFormat="false" ht="15" hidden="false" customHeight="false" outlineLevel="0" collapsed="false">
      <c r="A1041" s="12" t="n">
        <v>1037</v>
      </c>
      <c r="B1041" s="10" t="s">
        <v>3045</v>
      </c>
      <c r="C1041" s="10" t="s">
        <v>599</v>
      </c>
      <c r="D1041" s="11" t="n">
        <v>0.00765416666666667</v>
      </c>
      <c r="E1041" s="18" t="n">
        <f aca="false">ROUND((D1041-$D$5)*86400,2)</f>
        <v>122.3</v>
      </c>
      <c r="F1041" s="12" t="n">
        <v>2134</v>
      </c>
      <c r="G1041" s="11" t="str">
        <f aca="false">IF(INDEX(選手一覧!$D$7:$D$2738,$F1041)="","",INDEX(選手一覧!$D$7:$D$2738,$F1041))</f>
        <v/>
      </c>
      <c r="H1041" s="12" t="str">
        <f aca="false">IF(INDEX(選手一覧!$E$7:$E$2738,$F1041)="","",INDEX(選手一覧!$E$7:$E$2738,$F1041))</f>
        <v/>
      </c>
      <c r="I1041" s="11" t="str">
        <f aca="false">IF(INDEX(選手一覧!$H$7:$H$2738,$F1041)="","",INDEX(選手一覧!$H$7:$H$2738,$F1041))</f>
        <v/>
      </c>
      <c r="J1041" s="12" t="str">
        <f aca="false">IF(INDEX(選手一覧!$I$7:$I$2738,$F1041)="","",INDEX(選手一覧!$I$7:$I$2738,$F1041))</f>
        <v/>
      </c>
    </row>
    <row r="1042" customFormat="false" ht="15" hidden="false" customHeight="false" outlineLevel="0" collapsed="false">
      <c r="A1042" s="12" t="n">
        <v>1038</v>
      </c>
      <c r="B1042" s="10" t="s">
        <v>3047</v>
      </c>
      <c r="C1042" s="10" t="s">
        <v>2212</v>
      </c>
      <c r="D1042" s="11" t="n">
        <v>0.00765451388888889</v>
      </c>
      <c r="E1042" s="18" t="n">
        <f aca="false">ROUND((D1042-$D$5)*86400,2)</f>
        <v>122.33</v>
      </c>
      <c r="F1042" s="12" t="n">
        <v>2136</v>
      </c>
      <c r="G1042" s="11" t="str">
        <f aca="false">IF(INDEX(選手一覧!$D$7:$D$2738,$F1042)="","",INDEX(選手一覧!$D$7:$D$2738,$F1042))</f>
        <v/>
      </c>
      <c r="H1042" s="12" t="str">
        <f aca="false">IF(INDEX(選手一覧!$E$7:$E$2738,$F1042)="","",INDEX(選手一覧!$E$7:$E$2738,$F1042))</f>
        <v/>
      </c>
      <c r="I1042" s="11" t="str">
        <f aca="false">IF(INDEX(選手一覧!$H$7:$H$2738,$F1042)="","",INDEX(選手一覧!$H$7:$H$2738,$F1042))</f>
        <v/>
      </c>
      <c r="J1042" s="12" t="str">
        <f aca="false">IF(INDEX(選手一覧!$I$7:$I$2738,$F1042)="","",INDEX(選手一覧!$I$7:$I$2738,$F1042))</f>
        <v/>
      </c>
    </row>
    <row r="1043" customFormat="false" ht="15" hidden="false" customHeight="false" outlineLevel="0" collapsed="false">
      <c r="A1043" s="12" t="n">
        <v>1039</v>
      </c>
      <c r="B1043" s="10" t="s">
        <v>3049</v>
      </c>
      <c r="C1043" s="10" t="s">
        <v>1764</v>
      </c>
      <c r="D1043" s="11" t="n">
        <v>0.00765810185185185</v>
      </c>
      <c r="E1043" s="18" t="n">
        <f aca="false">ROUND((D1043-$D$5)*86400,2)</f>
        <v>122.64</v>
      </c>
      <c r="F1043" s="12" t="n">
        <v>2138</v>
      </c>
      <c r="G1043" s="11" t="str">
        <f aca="false">IF(INDEX(選手一覧!$D$7:$D$2738,$F1043)="","",INDEX(選手一覧!$D$7:$D$2738,$F1043))</f>
        <v/>
      </c>
      <c r="H1043" s="12" t="str">
        <f aca="false">IF(INDEX(選手一覧!$E$7:$E$2738,$F1043)="","",INDEX(選手一覧!$E$7:$E$2738,$F1043))</f>
        <v/>
      </c>
      <c r="I1043" s="11" t="str">
        <f aca="false">IF(INDEX(選手一覧!$H$7:$H$2738,$F1043)="","",INDEX(選手一覧!$H$7:$H$2738,$F1043))</f>
        <v/>
      </c>
      <c r="J1043" s="12" t="str">
        <f aca="false">IF(INDEX(選手一覧!$I$7:$I$2738,$F1043)="","",INDEX(選手一覧!$I$7:$I$2738,$F1043))</f>
        <v/>
      </c>
    </row>
    <row r="1044" customFormat="false" ht="15" hidden="false" customHeight="false" outlineLevel="0" collapsed="false">
      <c r="A1044" s="12" t="n">
        <v>1040</v>
      </c>
      <c r="B1044" s="10" t="s">
        <v>3052</v>
      </c>
      <c r="C1044" s="10" t="s">
        <v>3053</v>
      </c>
      <c r="D1044" s="11" t="n">
        <v>0.00765856481481482</v>
      </c>
      <c r="E1044" s="18" t="n">
        <f aca="false">ROUND((D1044-$D$5)*86400,2)</f>
        <v>122.68</v>
      </c>
      <c r="F1044" s="12" t="n">
        <v>2140</v>
      </c>
      <c r="G1044" s="11" t="str">
        <f aca="false">IF(INDEX(選手一覧!$D$7:$D$2738,$F1044)="","",INDEX(選手一覧!$D$7:$D$2738,$F1044))</f>
        <v/>
      </c>
      <c r="H1044" s="12" t="str">
        <f aca="false">IF(INDEX(選手一覧!$E$7:$E$2738,$F1044)="","",INDEX(選手一覧!$E$7:$E$2738,$F1044))</f>
        <v/>
      </c>
      <c r="I1044" s="11" t="str">
        <f aca="false">IF(INDEX(選手一覧!$H$7:$H$2738,$F1044)="","",INDEX(選手一覧!$H$7:$H$2738,$F1044))</f>
        <v/>
      </c>
      <c r="J1044" s="12" t="str">
        <f aca="false">IF(INDEX(選手一覧!$I$7:$I$2738,$F1044)="","",INDEX(選手一覧!$I$7:$I$2738,$F1044))</f>
        <v/>
      </c>
    </row>
    <row r="1045" customFormat="false" ht="15" hidden="false" customHeight="false" outlineLevel="0" collapsed="false">
      <c r="A1045" s="12" t="n">
        <v>1041</v>
      </c>
      <c r="B1045" s="10" t="s">
        <v>3054</v>
      </c>
      <c r="C1045" s="10" t="s">
        <v>2811</v>
      </c>
      <c r="D1045" s="11" t="n">
        <v>0.00766550925925926</v>
      </c>
      <c r="E1045" s="18" t="n">
        <f aca="false">ROUND((D1045-$D$5)*86400,2)</f>
        <v>123.28</v>
      </c>
      <c r="F1045" s="12" t="n">
        <v>2141</v>
      </c>
      <c r="G1045" s="11" t="str">
        <f aca="false">IF(INDEX(選手一覧!$D$7:$D$2738,$F1045)="","",INDEX(選手一覧!$D$7:$D$2738,$F1045))</f>
        <v/>
      </c>
      <c r="H1045" s="12" t="str">
        <f aca="false">IF(INDEX(選手一覧!$E$7:$E$2738,$F1045)="","",INDEX(選手一覧!$E$7:$E$2738,$F1045))</f>
        <v/>
      </c>
      <c r="I1045" s="11" t="str">
        <f aca="false">IF(INDEX(選手一覧!$H$7:$H$2738,$F1045)="","",INDEX(選手一覧!$H$7:$H$2738,$F1045))</f>
        <v/>
      </c>
      <c r="J1045" s="12" t="str">
        <f aca="false">IF(INDEX(選手一覧!$I$7:$I$2738,$F1045)="","",INDEX(選手一覧!$I$7:$I$2738,$F1045))</f>
        <v/>
      </c>
    </row>
    <row r="1046" customFormat="false" ht="15" hidden="false" customHeight="false" outlineLevel="0" collapsed="false">
      <c r="A1046" s="12" t="n">
        <v>1042</v>
      </c>
      <c r="B1046" s="10" t="s">
        <v>3057</v>
      </c>
      <c r="C1046" s="10" t="s">
        <v>3058</v>
      </c>
      <c r="D1046" s="11" t="n">
        <v>0.00766608796296296</v>
      </c>
      <c r="E1046" s="18" t="n">
        <f aca="false">ROUND((D1046-$D$5)*86400,2)</f>
        <v>123.33</v>
      </c>
      <c r="F1046" s="12" t="n">
        <v>2144</v>
      </c>
      <c r="G1046" s="11" t="str">
        <f aca="false">IF(INDEX(選手一覧!$D$7:$D$2738,$F1046)="","",INDEX(選手一覧!$D$7:$D$2738,$F1046))</f>
        <v/>
      </c>
      <c r="H1046" s="12" t="str">
        <f aca="false">IF(INDEX(選手一覧!$E$7:$E$2738,$F1046)="","",INDEX(選手一覧!$E$7:$E$2738,$F1046))</f>
        <v/>
      </c>
      <c r="I1046" s="11" t="str">
        <f aca="false">IF(INDEX(選手一覧!$H$7:$H$2738,$F1046)="","",INDEX(選手一覧!$H$7:$H$2738,$F1046))</f>
        <v/>
      </c>
      <c r="J1046" s="12" t="str">
        <f aca="false">IF(INDEX(選手一覧!$I$7:$I$2738,$F1046)="","",INDEX(選手一覧!$I$7:$I$2738,$F1046))</f>
        <v/>
      </c>
    </row>
    <row r="1047" customFormat="false" ht="15" hidden="false" customHeight="false" outlineLevel="0" collapsed="false">
      <c r="A1047" s="12" t="n">
        <v>1043</v>
      </c>
      <c r="B1047" s="10" t="s">
        <v>3060</v>
      </c>
      <c r="C1047" s="10" t="s">
        <v>1618</v>
      </c>
      <c r="D1047" s="11" t="n">
        <v>0.00766689814814815</v>
      </c>
      <c r="E1047" s="18" t="n">
        <f aca="false">ROUND((D1047-$D$5)*86400,2)</f>
        <v>123.4</v>
      </c>
      <c r="F1047" s="12" t="n">
        <v>2146</v>
      </c>
      <c r="G1047" s="11" t="str">
        <f aca="false">IF(INDEX(選手一覧!$D$7:$D$2738,$F1047)="","",INDEX(選手一覧!$D$7:$D$2738,$F1047))</f>
        <v/>
      </c>
      <c r="H1047" s="12" t="str">
        <f aca="false">IF(INDEX(選手一覧!$E$7:$E$2738,$F1047)="","",INDEX(選手一覧!$E$7:$E$2738,$F1047))</f>
        <v/>
      </c>
      <c r="I1047" s="11" t="str">
        <f aca="false">IF(INDEX(選手一覧!$H$7:$H$2738,$F1047)="","",INDEX(選手一覧!$H$7:$H$2738,$F1047))</f>
        <v/>
      </c>
      <c r="J1047" s="12" t="str">
        <f aca="false">IF(INDEX(選手一覧!$I$7:$I$2738,$F1047)="","",INDEX(選手一覧!$I$7:$I$2738,$F1047))</f>
        <v/>
      </c>
    </row>
    <row r="1048" customFormat="false" ht="15" hidden="false" customHeight="false" outlineLevel="0" collapsed="false">
      <c r="A1048" s="12" t="n">
        <v>1044</v>
      </c>
      <c r="B1048" s="10" t="s">
        <v>3061</v>
      </c>
      <c r="C1048" s="10" t="s">
        <v>915</v>
      </c>
      <c r="D1048" s="11" t="n">
        <v>0.0076681712962963</v>
      </c>
      <c r="E1048" s="18" t="n">
        <f aca="false">ROUND((D1048-$D$5)*86400,2)</f>
        <v>123.51</v>
      </c>
      <c r="F1048" s="12" t="n">
        <v>2147</v>
      </c>
      <c r="G1048" s="11" t="str">
        <f aca="false">IF(INDEX(選手一覧!$D$7:$D$2738,$F1048)="","",INDEX(選手一覧!$D$7:$D$2738,$F1048))</f>
        <v/>
      </c>
      <c r="H1048" s="12" t="str">
        <f aca="false">IF(INDEX(選手一覧!$E$7:$E$2738,$F1048)="","",INDEX(選手一覧!$E$7:$E$2738,$F1048))</f>
        <v/>
      </c>
      <c r="I1048" s="11" t="str">
        <f aca="false">IF(INDEX(選手一覧!$H$7:$H$2738,$F1048)="","",INDEX(選手一覧!$H$7:$H$2738,$F1048))</f>
        <v/>
      </c>
      <c r="J1048" s="12" t="str">
        <f aca="false">IF(INDEX(選手一覧!$I$7:$I$2738,$F1048)="","",INDEX(選手一覧!$I$7:$I$2738,$F1048))</f>
        <v/>
      </c>
    </row>
    <row r="1049" customFormat="false" ht="15" hidden="false" customHeight="false" outlineLevel="0" collapsed="false">
      <c r="A1049" s="12" t="n">
        <v>1045</v>
      </c>
      <c r="B1049" s="10" t="s">
        <v>3065</v>
      </c>
      <c r="C1049" s="10" t="s">
        <v>2542</v>
      </c>
      <c r="D1049" s="11" t="n">
        <v>0.00767013888888889</v>
      </c>
      <c r="E1049" s="18" t="n">
        <f aca="false">ROUND((D1049-$D$5)*86400,2)</f>
        <v>123.68</v>
      </c>
      <c r="F1049" s="12" t="n">
        <v>2150</v>
      </c>
      <c r="G1049" s="11" t="str">
        <f aca="false">IF(INDEX(選手一覧!$D$7:$D$2738,$F1049)="","",INDEX(選手一覧!$D$7:$D$2738,$F1049))</f>
        <v/>
      </c>
      <c r="H1049" s="12" t="str">
        <f aca="false">IF(INDEX(選手一覧!$E$7:$E$2738,$F1049)="","",INDEX(選手一覧!$E$7:$E$2738,$F1049))</f>
        <v/>
      </c>
      <c r="I1049" s="11" t="str">
        <f aca="false">IF(INDEX(選手一覧!$H$7:$H$2738,$F1049)="","",INDEX(選手一覧!$H$7:$H$2738,$F1049))</f>
        <v/>
      </c>
      <c r="J1049" s="12" t="str">
        <f aca="false">IF(INDEX(選手一覧!$I$7:$I$2738,$F1049)="","",INDEX(選手一覧!$I$7:$I$2738,$F1049))</f>
        <v/>
      </c>
    </row>
    <row r="1050" customFormat="false" ht="15" hidden="false" customHeight="false" outlineLevel="0" collapsed="false">
      <c r="A1050" s="12" t="n">
        <v>1046</v>
      </c>
      <c r="B1050" s="10" t="s">
        <v>3068</v>
      </c>
      <c r="C1050" s="10" t="s">
        <v>3069</v>
      </c>
      <c r="D1050" s="11" t="n">
        <v>0.00767106481481482</v>
      </c>
      <c r="E1050" s="18" t="n">
        <f aca="false">ROUND((D1050-$D$5)*86400,2)</f>
        <v>123.76</v>
      </c>
      <c r="F1050" s="12" t="n">
        <v>2153</v>
      </c>
      <c r="G1050" s="11" t="str">
        <f aca="false">IF(INDEX(選手一覧!$D$7:$D$2738,$F1050)="","",INDEX(選手一覧!$D$7:$D$2738,$F1050))</f>
        <v/>
      </c>
      <c r="H1050" s="12" t="str">
        <f aca="false">IF(INDEX(選手一覧!$E$7:$E$2738,$F1050)="","",INDEX(選手一覧!$E$7:$E$2738,$F1050))</f>
        <v/>
      </c>
      <c r="I1050" s="11" t="str">
        <f aca="false">IF(INDEX(選手一覧!$H$7:$H$2738,$F1050)="","",INDEX(選手一覧!$H$7:$H$2738,$F1050))</f>
        <v/>
      </c>
      <c r="J1050" s="12" t="str">
        <f aca="false">IF(INDEX(選手一覧!$I$7:$I$2738,$F1050)="","",INDEX(選手一覧!$I$7:$I$2738,$F1050))</f>
        <v/>
      </c>
    </row>
    <row r="1051" customFormat="false" ht="15" hidden="false" customHeight="false" outlineLevel="0" collapsed="false">
      <c r="A1051" s="12" t="n">
        <v>1047</v>
      </c>
      <c r="B1051" s="10" t="s">
        <v>3070</v>
      </c>
      <c r="C1051" s="10" t="s">
        <v>3071</v>
      </c>
      <c r="D1051" s="11" t="n">
        <v>0.00767118055555556</v>
      </c>
      <c r="E1051" s="18" t="n">
        <f aca="false">ROUND((D1051-$D$5)*86400,2)</f>
        <v>123.77</v>
      </c>
      <c r="F1051" s="12" t="n">
        <v>2154</v>
      </c>
      <c r="G1051" s="11" t="str">
        <f aca="false">IF(INDEX(選手一覧!$D$7:$D$2738,$F1051)="","",INDEX(選手一覧!$D$7:$D$2738,$F1051))</f>
        <v/>
      </c>
      <c r="H1051" s="12" t="str">
        <f aca="false">IF(INDEX(選手一覧!$E$7:$E$2738,$F1051)="","",INDEX(選手一覧!$E$7:$E$2738,$F1051))</f>
        <v/>
      </c>
      <c r="I1051" s="11" t="str">
        <f aca="false">IF(INDEX(選手一覧!$H$7:$H$2738,$F1051)="","",INDEX(選手一覧!$H$7:$H$2738,$F1051))</f>
        <v/>
      </c>
      <c r="J1051" s="12" t="str">
        <f aca="false">IF(INDEX(選手一覧!$I$7:$I$2738,$F1051)="","",INDEX(選手一覧!$I$7:$I$2738,$F1051))</f>
        <v/>
      </c>
    </row>
    <row r="1052" customFormat="false" ht="15" hidden="false" customHeight="false" outlineLevel="0" collapsed="false">
      <c r="A1052" s="12" t="n">
        <v>1048</v>
      </c>
      <c r="B1052" s="10" t="s">
        <v>3074</v>
      </c>
      <c r="C1052" s="10" t="s">
        <v>848</v>
      </c>
      <c r="D1052" s="11" t="n">
        <v>0.00767199074074074</v>
      </c>
      <c r="E1052" s="18" t="n">
        <f aca="false">ROUND((D1052-$D$5)*86400,2)</f>
        <v>123.84</v>
      </c>
      <c r="F1052" s="12" t="n">
        <v>2157</v>
      </c>
      <c r="G1052" s="11" t="str">
        <f aca="false">IF(INDEX(選手一覧!$D$7:$D$2738,$F1052)="","",INDEX(選手一覧!$D$7:$D$2738,$F1052))</f>
        <v/>
      </c>
      <c r="H1052" s="12" t="str">
        <f aca="false">IF(INDEX(選手一覧!$E$7:$E$2738,$F1052)="","",INDEX(選手一覧!$E$7:$E$2738,$F1052))</f>
        <v/>
      </c>
      <c r="I1052" s="11" t="str">
        <f aca="false">IF(INDEX(選手一覧!$H$7:$H$2738,$F1052)="","",INDEX(選手一覧!$H$7:$H$2738,$F1052))</f>
        <v/>
      </c>
      <c r="J1052" s="12" t="str">
        <f aca="false">IF(INDEX(選手一覧!$I$7:$I$2738,$F1052)="","",INDEX(選手一覧!$I$7:$I$2738,$F1052))</f>
        <v/>
      </c>
    </row>
    <row r="1053" customFormat="false" ht="15" hidden="false" customHeight="false" outlineLevel="0" collapsed="false">
      <c r="A1053" s="12" t="n">
        <v>1049</v>
      </c>
      <c r="B1053" s="10" t="s">
        <v>3077</v>
      </c>
      <c r="C1053" s="10" t="s">
        <v>3078</v>
      </c>
      <c r="D1053" s="11" t="n">
        <v>0.00767210648148148</v>
      </c>
      <c r="E1053" s="18" t="n">
        <f aca="false">ROUND((D1053-$D$5)*86400,2)</f>
        <v>123.85</v>
      </c>
      <c r="F1053" s="12" t="n">
        <v>2159</v>
      </c>
      <c r="G1053" s="11" t="str">
        <f aca="false">IF(INDEX(選手一覧!$D$7:$D$2738,$F1053)="","",INDEX(選手一覧!$D$7:$D$2738,$F1053))</f>
        <v/>
      </c>
      <c r="H1053" s="12" t="str">
        <f aca="false">IF(INDEX(選手一覧!$E$7:$E$2738,$F1053)="","",INDEX(選手一覧!$E$7:$E$2738,$F1053))</f>
        <v/>
      </c>
      <c r="I1053" s="11" t="str">
        <f aca="false">IF(INDEX(選手一覧!$H$7:$H$2738,$F1053)="","",INDEX(選手一覧!$H$7:$H$2738,$F1053))</f>
        <v/>
      </c>
      <c r="J1053" s="12" t="str">
        <f aca="false">IF(INDEX(選手一覧!$I$7:$I$2738,$F1053)="","",INDEX(選手一覧!$I$7:$I$2738,$F1053))</f>
        <v/>
      </c>
    </row>
    <row r="1054" customFormat="false" ht="15" hidden="false" customHeight="false" outlineLevel="0" collapsed="false">
      <c r="A1054" s="12" t="n">
        <v>1050</v>
      </c>
      <c r="B1054" s="10" t="s">
        <v>3079</v>
      </c>
      <c r="C1054" s="10" t="s">
        <v>32</v>
      </c>
      <c r="D1054" s="11" t="n">
        <v>0.00767291666666667</v>
      </c>
      <c r="E1054" s="18" t="n">
        <f aca="false">ROUND((D1054-$D$5)*86400,2)</f>
        <v>123.92</v>
      </c>
      <c r="F1054" s="12" t="n">
        <v>2160</v>
      </c>
      <c r="G1054" s="11" t="str">
        <f aca="false">IF(INDEX(選手一覧!$D$7:$D$2738,$F1054)="","",INDEX(選手一覧!$D$7:$D$2738,$F1054))</f>
        <v/>
      </c>
      <c r="H1054" s="12" t="str">
        <f aca="false">IF(INDEX(選手一覧!$E$7:$E$2738,$F1054)="","",INDEX(選手一覧!$E$7:$E$2738,$F1054))</f>
        <v/>
      </c>
      <c r="I1054" s="11" t="str">
        <f aca="false">IF(INDEX(選手一覧!$H$7:$H$2738,$F1054)="","",INDEX(選手一覧!$H$7:$H$2738,$F1054))</f>
        <v/>
      </c>
      <c r="J1054" s="12" t="str">
        <f aca="false">IF(INDEX(選手一覧!$I$7:$I$2738,$F1054)="","",INDEX(選手一覧!$I$7:$I$2738,$F1054))</f>
        <v/>
      </c>
    </row>
    <row r="1055" customFormat="false" ht="15" hidden="false" customHeight="false" outlineLevel="0" collapsed="false">
      <c r="A1055" s="12" t="n">
        <v>1051</v>
      </c>
      <c r="B1055" s="10" t="s">
        <v>3082</v>
      </c>
      <c r="C1055" s="10" t="s">
        <v>3083</v>
      </c>
      <c r="D1055" s="11" t="n">
        <v>0.00767326388888889</v>
      </c>
      <c r="E1055" s="18" t="n">
        <f aca="false">ROUND((D1055-$D$5)*86400,2)</f>
        <v>123.95</v>
      </c>
      <c r="F1055" s="12" t="n">
        <v>2162</v>
      </c>
      <c r="G1055" s="11" t="str">
        <f aca="false">IF(INDEX(選手一覧!$D$7:$D$2738,$F1055)="","",INDEX(選手一覧!$D$7:$D$2738,$F1055))</f>
        <v/>
      </c>
      <c r="H1055" s="12" t="str">
        <f aca="false">IF(INDEX(選手一覧!$E$7:$E$2738,$F1055)="","",INDEX(選手一覧!$E$7:$E$2738,$F1055))</f>
        <v/>
      </c>
      <c r="I1055" s="11" t="str">
        <f aca="false">IF(INDEX(選手一覧!$H$7:$H$2738,$F1055)="","",INDEX(選手一覧!$H$7:$H$2738,$F1055))</f>
        <v/>
      </c>
      <c r="J1055" s="12" t="str">
        <f aca="false">IF(INDEX(選手一覧!$I$7:$I$2738,$F1055)="","",INDEX(選手一覧!$I$7:$I$2738,$F1055))</f>
        <v/>
      </c>
    </row>
    <row r="1056" customFormat="false" ht="15" hidden="false" customHeight="false" outlineLevel="0" collapsed="false">
      <c r="A1056" s="12" t="n">
        <v>1052</v>
      </c>
      <c r="B1056" s="10" t="s">
        <v>3085</v>
      </c>
      <c r="C1056" s="10" t="s">
        <v>3086</v>
      </c>
      <c r="D1056" s="11" t="n">
        <v>0.00767407407407407</v>
      </c>
      <c r="E1056" s="18" t="n">
        <f aca="false">ROUND((D1056-$D$5)*86400,2)</f>
        <v>124.02</v>
      </c>
      <c r="F1056" s="12" t="n">
        <v>2164</v>
      </c>
      <c r="G1056" s="11" t="str">
        <f aca="false">IF(INDEX(選手一覧!$D$7:$D$2738,$F1056)="","",INDEX(選手一覧!$D$7:$D$2738,$F1056))</f>
        <v/>
      </c>
      <c r="H1056" s="12" t="str">
        <f aca="false">IF(INDEX(選手一覧!$E$7:$E$2738,$F1056)="","",INDEX(選手一覧!$E$7:$E$2738,$F1056))</f>
        <v/>
      </c>
      <c r="I1056" s="11" t="str">
        <f aca="false">IF(INDEX(選手一覧!$H$7:$H$2738,$F1056)="","",INDEX(選手一覧!$H$7:$H$2738,$F1056))</f>
        <v/>
      </c>
      <c r="J1056" s="12" t="str">
        <f aca="false">IF(INDEX(選手一覧!$I$7:$I$2738,$F1056)="","",INDEX(選手一覧!$I$7:$I$2738,$F1056))</f>
        <v/>
      </c>
    </row>
    <row r="1057" customFormat="false" ht="15" hidden="false" customHeight="false" outlineLevel="0" collapsed="false">
      <c r="A1057" s="12" t="n">
        <v>1053</v>
      </c>
      <c r="B1057" s="10" t="s">
        <v>3089</v>
      </c>
      <c r="C1057" s="10" t="s">
        <v>465</v>
      </c>
      <c r="D1057" s="11" t="n">
        <v>0.00767488425925926</v>
      </c>
      <c r="E1057" s="18" t="n">
        <f aca="false">ROUND((D1057-$D$5)*86400,2)</f>
        <v>124.09</v>
      </c>
      <c r="F1057" s="12" t="n">
        <v>2166</v>
      </c>
      <c r="G1057" s="11" t="str">
        <f aca="false">IF(INDEX(選手一覧!$D$7:$D$2738,$F1057)="","",INDEX(選手一覧!$D$7:$D$2738,$F1057))</f>
        <v/>
      </c>
      <c r="H1057" s="12" t="str">
        <f aca="false">IF(INDEX(選手一覧!$E$7:$E$2738,$F1057)="","",INDEX(選手一覧!$E$7:$E$2738,$F1057))</f>
        <v/>
      </c>
      <c r="I1057" s="11" t="str">
        <f aca="false">IF(INDEX(選手一覧!$H$7:$H$2738,$F1057)="","",INDEX(選手一覧!$H$7:$H$2738,$F1057))</f>
        <v/>
      </c>
      <c r="J1057" s="12" t="str">
        <f aca="false">IF(INDEX(選手一覧!$I$7:$I$2738,$F1057)="","",INDEX(選手一覧!$I$7:$I$2738,$F1057))</f>
        <v/>
      </c>
    </row>
    <row r="1058" customFormat="false" ht="15" hidden="false" customHeight="false" outlineLevel="0" collapsed="false">
      <c r="A1058" s="12" t="n">
        <v>1054</v>
      </c>
      <c r="B1058" s="10" t="s">
        <v>3090</v>
      </c>
      <c r="C1058" s="10" t="s">
        <v>2606</v>
      </c>
      <c r="D1058" s="11" t="n">
        <v>0.00767534722222222</v>
      </c>
      <c r="E1058" s="18" t="n">
        <f aca="false">ROUND((D1058-$D$5)*86400,2)</f>
        <v>124.13</v>
      </c>
      <c r="F1058" s="12" t="n">
        <v>2167</v>
      </c>
      <c r="G1058" s="11" t="str">
        <f aca="false">IF(INDEX(選手一覧!$D$7:$D$2738,$F1058)="","",INDEX(選手一覧!$D$7:$D$2738,$F1058))</f>
        <v/>
      </c>
      <c r="H1058" s="12" t="str">
        <f aca="false">IF(INDEX(選手一覧!$E$7:$E$2738,$F1058)="","",INDEX(選手一覧!$E$7:$E$2738,$F1058))</f>
        <v/>
      </c>
      <c r="I1058" s="11" t="str">
        <f aca="false">IF(INDEX(選手一覧!$H$7:$H$2738,$F1058)="","",INDEX(選手一覧!$H$7:$H$2738,$F1058))</f>
        <v/>
      </c>
      <c r="J1058" s="12" t="str">
        <f aca="false">IF(INDEX(選手一覧!$I$7:$I$2738,$F1058)="","",INDEX(選手一覧!$I$7:$I$2738,$F1058))</f>
        <v/>
      </c>
    </row>
    <row r="1059" customFormat="false" ht="15" hidden="false" customHeight="false" outlineLevel="0" collapsed="false">
      <c r="A1059" s="12" t="n">
        <v>1055</v>
      </c>
      <c r="B1059" s="10" t="s">
        <v>3092</v>
      </c>
      <c r="C1059" s="10" t="s">
        <v>2613</v>
      </c>
      <c r="D1059" s="11" t="n">
        <v>0.00767627314814815</v>
      </c>
      <c r="E1059" s="18" t="n">
        <f aca="false">ROUND((D1059-$D$5)*86400,2)</f>
        <v>124.21</v>
      </c>
      <c r="F1059" s="12" t="n">
        <v>2169</v>
      </c>
      <c r="G1059" s="11" t="str">
        <f aca="false">IF(INDEX(選手一覧!$D$7:$D$2738,$F1059)="","",INDEX(選手一覧!$D$7:$D$2738,$F1059))</f>
        <v/>
      </c>
      <c r="H1059" s="12" t="str">
        <f aca="false">IF(INDEX(選手一覧!$E$7:$E$2738,$F1059)="","",INDEX(選手一覧!$E$7:$E$2738,$F1059))</f>
        <v/>
      </c>
      <c r="I1059" s="11" t="str">
        <f aca="false">IF(INDEX(選手一覧!$H$7:$H$2738,$F1059)="","",INDEX(選手一覧!$H$7:$H$2738,$F1059))</f>
        <v/>
      </c>
      <c r="J1059" s="12" t="str">
        <f aca="false">IF(INDEX(選手一覧!$I$7:$I$2738,$F1059)="","",INDEX(選手一覧!$I$7:$I$2738,$F1059))</f>
        <v/>
      </c>
    </row>
    <row r="1060" customFormat="false" ht="15" hidden="false" customHeight="false" outlineLevel="0" collapsed="false">
      <c r="A1060" s="12" t="n">
        <v>1056</v>
      </c>
      <c r="B1060" s="10" t="s">
        <v>2758</v>
      </c>
      <c r="C1060" s="10" t="s">
        <v>2024</v>
      </c>
      <c r="D1060" s="11" t="n">
        <v>0.0076775462962963</v>
      </c>
      <c r="E1060" s="18" t="n">
        <f aca="false">ROUND((D1060-$D$5)*86400,2)</f>
        <v>124.32</v>
      </c>
      <c r="F1060" s="12" t="n">
        <v>1932</v>
      </c>
      <c r="G1060" s="11" t="n">
        <f aca="false">IF(INDEX(選手一覧!$D$7:$D$2738,$F1060)="","",INDEX(選手一覧!$D$7:$D$2738,$F1060))</f>
        <v>0.0109074074074074</v>
      </c>
      <c r="H1060" s="12" t="n">
        <f aca="false">IF(INDEX(選手一覧!$E$7:$E$2738,$F1060)="","",INDEX(選手一覧!$E$7:$E$2738,$F1060))</f>
        <v>932</v>
      </c>
      <c r="I1060" s="11" t="n">
        <f aca="false">IF(INDEX(選手一覧!$H$7:$H$2738,$F1060)="","",INDEX(選手一覧!$H$7:$H$2738,$F1060))</f>
        <v>0.00297268518518519</v>
      </c>
      <c r="J1060" s="12" t="n">
        <f aca="false">IF(INDEX(選手一覧!$I$7:$I$2738,$F1060)="","",INDEX(選手一覧!$I$7:$I$2738,$F1060))</f>
        <v>1320</v>
      </c>
    </row>
    <row r="1061" customFormat="false" ht="15" hidden="false" customHeight="false" outlineLevel="0" collapsed="false">
      <c r="A1061" s="12" t="n">
        <v>1057</v>
      </c>
      <c r="B1061" s="10" t="s">
        <v>3094</v>
      </c>
      <c r="C1061" s="10" t="s">
        <v>173</v>
      </c>
      <c r="D1061" s="11" t="n">
        <v>0.00767847222222222</v>
      </c>
      <c r="E1061" s="18" t="n">
        <f aca="false">ROUND((D1061-$D$5)*86400,2)</f>
        <v>124.4</v>
      </c>
      <c r="F1061" s="12" t="n">
        <v>2171</v>
      </c>
      <c r="G1061" s="11" t="str">
        <f aca="false">IF(INDEX(選手一覧!$D$7:$D$2738,$F1061)="","",INDEX(選手一覧!$D$7:$D$2738,$F1061))</f>
        <v/>
      </c>
      <c r="H1061" s="12" t="str">
        <f aca="false">IF(INDEX(選手一覧!$E$7:$E$2738,$F1061)="","",INDEX(選手一覧!$E$7:$E$2738,$F1061))</f>
        <v/>
      </c>
      <c r="I1061" s="11" t="str">
        <f aca="false">IF(INDEX(選手一覧!$H$7:$H$2738,$F1061)="","",INDEX(選手一覧!$H$7:$H$2738,$F1061))</f>
        <v/>
      </c>
      <c r="J1061" s="12" t="str">
        <f aca="false">IF(INDEX(選手一覧!$I$7:$I$2738,$F1061)="","",INDEX(選手一覧!$I$7:$I$2738,$F1061))</f>
        <v/>
      </c>
    </row>
    <row r="1062" customFormat="false" ht="15" hidden="false" customHeight="false" outlineLevel="0" collapsed="false">
      <c r="A1062" s="12" t="n">
        <v>1058</v>
      </c>
      <c r="B1062" s="10" t="s">
        <v>3095</v>
      </c>
      <c r="C1062" s="10" t="s">
        <v>2082</v>
      </c>
      <c r="D1062" s="11" t="n">
        <v>0.00767951388888889</v>
      </c>
      <c r="E1062" s="18" t="n">
        <f aca="false">ROUND((D1062-$D$5)*86400,2)</f>
        <v>124.49</v>
      </c>
      <c r="F1062" s="12" t="n">
        <v>2172</v>
      </c>
      <c r="G1062" s="11" t="str">
        <f aca="false">IF(INDEX(選手一覧!$D$7:$D$2738,$F1062)="","",INDEX(選手一覧!$D$7:$D$2738,$F1062))</f>
        <v/>
      </c>
      <c r="H1062" s="12" t="str">
        <f aca="false">IF(INDEX(選手一覧!$E$7:$E$2738,$F1062)="","",INDEX(選手一覧!$E$7:$E$2738,$F1062))</f>
        <v/>
      </c>
      <c r="I1062" s="11" t="str">
        <f aca="false">IF(INDEX(選手一覧!$H$7:$H$2738,$F1062)="","",INDEX(選手一覧!$H$7:$H$2738,$F1062))</f>
        <v/>
      </c>
      <c r="J1062" s="12" t="str">
        <f aca="false">IF(INDEX(選手一覧!$I$7:$I$2738,$F1062)="","",INDEX(選手一覧!$I$7:$I$2738,$F1062))</f>
        <v/>
      </c>
    </row>
    <row r="1063" customFormat="false" ht="15" hidden="false" customHeight="false" outlineLevel="0" collapsed="false">
      <c r="A1063" s="12" t="n">
        <v>1059</v>
      </c>
      <c r="B1063" s="10" t="s">
        <v>3097</v>
      </c>
      <c r="C1063" s="10" t="s">
        <v>1166</v>
      </c>
      <c r="D1063" s="11" t="n">
        <v>0.00768252314814815</v>
      </c>
      <c r="E1063" s="18" t="n">
        <f aca="false">ROUND((D1063-$D$5)*86400,2)</f>
        <v>124.75</v>
      </c>
      <c r="F1063" s="12" t="n">
        <v>2174</v>
      </c>
      <c r="G1063" s="11" t="str">
        <f aca="false">IF(INDEX(選手一覧!$D$7:$D$2738,$F1063)="","",INDEX(選手一覧!$D$7:$D$2738,$F1063))</f>
        <v/>
      </c>
      <c r="H1063" s="12" t="str">
        <f aca="false">IF(INDEX(選手一覧!$E$7:$E$2738,$F1063)="","",INDEX(選手一覧!$E$7:$E$2738,$F1063))</f>
        <v/>
      </c>
      <c r="I1063" s="11" t="str">
        <f aca="false">IF(INDEX(選手一覧!$H$7:$H$2738,$F1063)="","",INDEX(選手一覧!$H$7:$H$2738,$F1063))</f>
        <v/>
      </c>
      <c r="J1063" s="12" t="str">
        <f aca="false">IF(INDEX(選手一覧!$I$7:$I$2738,$F1063)="","",INDEX(選手一覧!$I$7:$I$2738,$F1063))</f>
        <v/>
      </c>
    </row>
    <row r="1064" customFormat="false" ht="15" hidden="false" customHeight="false" outlineLevel="0" collapsed="false">
      <c r="A1064" s="12" t="n">
        <v>1060</v>
      </c>
      <c r="B1064" s="10" t="s">
        <v>3098</v>
      </c>
      <c r="C1064" s="10" t="s">
        <v>3099</v>
      </c>
      <c r="D1064" s="11" t="n">
        <v>0.00768344907407407</v>
      </c>
      <c r="E1064" s="18" t="n">
        <f aca="false">ROUND((D1064-$D$5)*86400,2)</f>
        <v>124.83</v>
      </c>
      <c r="F1064" s="12" t="n">
        <v>2175</v>
      </c>
      <c r="G1064" s="11" t="str">
        <f aca="false">IF(INDEX(選手一覧!$D$7:$D$2738,$F1064)="","",INDEX(選手一覧!$D$7:$D$2738,$F1064))</f>
        <v/>
      </c>
      <c r="H1064" s="12" t="str">
        <f aca="false">IF(INDEX(選手一覧!$E$7:$E$2738,$F1064)="","",INDEX(選手一覧!$E$7:$E$2738,$F1064))</f>
        <v/>
      </c>
      <c r="I1064" s="11" t="str">
        <f aca="false">IF(INDEX(選手一覧!$H$7:$H$2738,$F1064)="","",INDEX(選手一覧!$H$7:$H$2738,$F1064))</f>
        <v/>
      </c>
      <c r="J1064" s="12" t="str">
        <f aca="false">IF(INDEX(選手一覧!$I$7:$I$2738,$F1064)="","",INDEX(選手一覧!$I$7:$I$2738,$F1064))</f>
        <v/>
      </c>
    </row>
    <row r="1065" customFormat="false" ht="15" hidden="false" customHeight="false" outlineLevel="0" collapsed="false">
      <c r="A1065" s="12" t="n">
        <v>1061</v>
      </c>
      <c r="B1065" s="10" t="s">
        <v>3101</v>
      </c>
      <c r="C1065" s="10" t="s">
        <v>2271</v>
      </c>
      <c r="D1065" s="11" t="n">
        <v>0.00768622685185185</v>
      </c>
      <c r="E1065" s="18" t="n">
        <f aca="false">ROUND((D1065-$D$5)*86400,2)</f>
        <v>125.07</v>
      </c>
      <c r="F1065" s="12" t="n">
        <v>2177</v>
      </c>
      <c r="G1065" s="11" t="str">
        <f aca="false">IF(INDEX(選手一覧!$D$7:$D$2738,$F1065)="","",INDEX(選手一覧!$D$7:$D$2738,$F1065))</f>
        <v/>
      </c>
      <c r="H1065" s="12" t="str">
        <f aca="false">IF(INDEX(選手一覧!$E$7:$E$2738,$F1065)="","",INDEX(選手一覧!$E$7:$E$2738,$F1065))</f>
        <v/>
      </c>
      <c r="I1065" s="11" t="str">
        <f aca="false">IF(INDEX(選手一覧!$H$7:$H$2738,$F1065)="","",INDEX(選手一覧!$H$7:$H$2738,$F1065))</f>
        <v/>
      </c>
      <c r="J1065" s="12" t="str">
        <f aca="false">IF(INDEX(選手一覧!$I$7:$I$2738,$F1065)="","",INDEX(選手一覧!$I$7:$I$2738,$F1065))</f>
        <v/>
      </c>
    </row>
    <row r="1066" customFormat="false" ht="15" hidden="false" customHeight="false" outlineLevel="0" collapsed="false">
      <c r="A1066" s="12" t="n">
        <v>1062</v>
      </c>
      <c r="B1066" s="10" t="s">
        <v>3104</v>
      </c>
      <c r="C1066" s="10" t="s">
        <v>823</v>
      </c>
      <c r="D1066" s="11" t="n">
        <v>0.00769212962962963</v>
      </c>
      <c r="E1066" s="18" t="n">
        <f aca="false">ROUND((D1066-$D$5)*86400,2)</f>
        <v>125.58</v>
      </c>
      <c r="F1066" s="12" t="n">
        <v>2179</v>
      </c>
      <c r="G1066" s="11" t="str">
        <f aca="false">IF(INDEX(選手一覧!$D$7:$D$2738,$F1066)="","",INDEX(選手一覧!$D$7:$D$2738,$F1066))</f>
        <v/>
      </c>
      <c r="H1066" s="12" t="str">
        <f aca="false">IF(INDEX(選手一覧!$E$7:$E$2738,$F1066)="","",INDEX(選手一覧!$E$7:$E$2738,$F1066))</f>
        <v/>
      </c>
      <c r="I1066" s="11" t="str">
        <f aca="false">IF(INDEX(選手一覧!$H$7:$H$2738,$F1066)="","",INDEX(選手一覧!$H$7:$H$2738,$F1066))</f>
        <v/>
      </c>
      <c r="J1066" s="12" t="str">
        <f aca="false">IF(INDEX(選手一覧!$I$7:$I$2738,$F1066)="","",INDEX(選手一覧!$I$7:$I$2738,$F1066))</f>
        <v/>
      </c>
    </row>
    <row r="1067" customFormat="false" ht="15" hidden="false" customHeight="false" outlineLevel="0" collapsed="false">
      <c r="A1067" s="12" t="n">
        <v>1063</v>
      </c>
      <c r="B1067" s="10" t="s">
        <v>3107</v>
      </c>
      <c r="C1067" s="10" t="s">
        <v>3108</v>
      </c>
      <c r="D1067" s="11" t="n">
        <v>0.00769328703703704</v>
      </c>
      <c r="E1067" s="18" t="n">
        <f aca="false">ROUND((D1067-$D$5)*86400,2)</f>
        <v>125.68</v>
      </c>
      <c r="F1067" s="12" t="n">
        <v>2182</v>
      </c>
      <c r="G1067" s="11" t="str">
        <f aca="false">IF(INDEX(選手一覧!$D$7:$D$2738,$F1067)="","",INDEX(選手一覧!$D$7:$D$2738,$F1067))</f>
        <v/>
      </c>
      <c r="H1067" s="12" t="str">
        <f aca="false">IF(INDEX(選手一覧!$E$7:$E$2738,$F1067)="","",INDEX(選手一覧!$E$7:$E$2738,$F1067))</f>
        <v/>
      </c>
      <c r="I1067" s="11" t="str">
        <f aca="false">IF(INDEX(選手一覧!$H$7:$H$2738,$F1067)="","",INDEX(選手一覧!$H$7:$H$2738,$F1067))</f>
        <v/>
      </c>
      <c r="J1067" s="12" t="str">
        <f aca="false">IF(INDEX(選手一覧!$I$7:$I$2738,$F1067)="","",INDEX(選手一覧!$I$7:$I$2738,$F1067))</f>
        <v/>
      </c>
    </row>
    <row r="1068" customFormat="false" ht="15" hidden="false" customHeight="false" outlineLevel="0" collapsed="false">
      <c r="A1068" s="12" t="n">
        <v>1064</v>
      </c>
      <c r="B1068" s="10" t="s">
        <v>3067</v>
      </c>
      <c r="C1068" s="10" t="s">
        <v>118</v>
      </c>
      <c r="D1068" s="11" t="n">
        <v>0.00769664351851852</v>
      </c>
      <c r="E1068" s="18" t="n">
        <f aca="false">ROUND((D1068-$D$5)*86400,2)</f>
        <v>125.97</v>
      </c>
      <c r="F1068" s="12" t="n">
        <v>2152</v>
      </c>
      <c r="G1068" s="11" t="n">
        <f aca="false">IF(INDEX(選手一覧!$D$7:$D$2738,$F1068)="","",INDEX(選手一覧!$D$7:$D$2738,$F1068))</f>
        <v>0.0109732638888889</v>
      </c>
      <c r="H1068" s="12" t="n">
        <f aca="false">IF(INDEX(選手一覧!$E$7:$E$2738,$F1068)="","",INDEX(選手一覧!$E$7:$E$2738,$F1068))</f>
        <v>1046</v>
      </c>
      <c r="I1068" s="11" t="str">
        <f aca="false">IF(INDEX(選手一覧!$H$7:$H$2738,$F1068)="","",INDEX(選手一覧!$H$7:$H$2738,$F1068))</f>
        <v/>
      </c>
      <c r="J1068" s="12" t="str">
        <f aca="false">IF(INDEX(選手一覧!$I$7:$I$2738,$F1068)="","",INDEX(選手一覧!$I$7:$I$2738,$F1068))</f>
        <v/>
      </c>
    </row>
    <row r="1069" customFormat="false" ht="15" hidden="false" customHeight="false" outlineLevel="0" collapsed="false">
      <c r="A1069" s="12" t="n">
        <v>1065</v>
      </c>
      <c r="B1069" s="10" t="s">
        <v>3109</v>
      </c>
      <c r="C1069" s="10" t="s">
        <v>1772</v>
      </c>
      <c r="D1069" s="11" t="n">
        <v>0.00769953703703704</v>
      </c>
      <c r="E1069" s="18" t="n">
        <f aca="false">ROUND((D1069-$D$5)*86400,2)</f>
        <v>126.22</v>
      </c>
      <c r="F1069" s="12" t="n">
        <v>2183</v>
      </c>
      <c r="G1069" s="11" t="str">
        <f aca="false">IF(INDEX(選手一覧!$D$7:$D$2738,$F1069)="","",INDEX(選手一覧!$D$7:$D$2738,$F1069))</f>
        <v/>
      </c>
      <c r="H1069" s="12" t="str">
        <f aca="false">IF(INDEX(選手一覧!$E$7:$E$2738,$F1069)="","",INDEX(選手一覧!$E$7:$E$2738,$F1069))</f>
        <v/>
      </c>
      <c r="I1069" s="11" t="str">
        <f aca="false">IF(INDEX(選手一覧!$H$7:$H$2738,$F1069)="","",INDEX(選手一覧!$H$7:$H$2738,$F1069))</f>
        <v/>
      </c>
      <c r="J1069" s="12" t="str">
        <f aca="false">IF(INDEX(選手一覧!$I$7:$I$2738,$F1069)="","",INDEX(選手一覧!$I$7:$I$2738,$F1069))</f>
        <v/>
      </c>
    </row>
    <row r="1070" customFormat="false" ht="15" hidden="false" customHeight="false" outlineLevel="0" collapsed="false">
      <c r="A1070" s="12" t="n">
        <v>1066</v>
      </c>
      <c r="B1070" s="10" t="s">
        <v>3111</v>
      </c>
      <c r="C1070" s="10" t="s">
        <v>1897</v>
      </c>
      <c r="D1070" s="11" t="n">
        <v>0.0077005787037037</v>
      </c>
      <c r="E1070" s="18" t="n">
        <f aca="false">ROUND((D1070-$D$5)*86400,2)</f>
        <v>126.31</v>
      </c>
      <c r="F1070" s="12" t="n">
        <v>2185</v>
      </c>
      <c r="G1070" s="11" t="str">
        <f aca="false">IF(INDEX(選手一覧!$D$7:$D$2738,$F1070)="","",INDEX(選手一覧!$D$7:$D$2738,$F1070))</f>
        <v/>
      </c>
      <c r="H1070" s="12" t="str">
        <f aca="false">IF(INDEX(選手一覧!$E$7:$E$2738,$F1070)="","",INDEX(選手一覧!$E$7:$E$2738,$F1070))</f>
        <v/>
      </c>
      <c r="I1070" s="11" t="str">
        <f aca="false">IF(INDEX(選手一覧!$H$7:$H$2738,$F1070)="","",INDEX(選手一覧!$H$7:$H$2738,$F1070))</f>
        <v/>
      </c>
      <c r="J1070" s="12" t="str">
        <f aca="false">IF(INDEX(選手一覧!$I$7:$I$2738,$F1070)="","",INDEX(選手一覧!$I$7:$I$2738,$F1070))</f>
        <v/>
      </c>
    </row>
    <row r="1071" customFormat="false" ht="15" hidden="false" customHeight="false" outlineLevel="0" collapsed="false">
      <c r="A1071" s="12" t="n">
        <v>1067</v>
      </c>
      <c r="B1071" s="10" t="s">
        <v>3113</v>
      </c>
      <c r="C1071" s="10" t="s">
        <v>3114</v>
      </c>
      <c r="D1071" s="11" t="n">
        <v>0.00770081018518519</v>
      </c>
      <c r="E1071" s="18" t="n">
        <f aca="false">ROUND((D1071-$D$5)*86400,2)</f>
        <v>126.33</v>
      </c>
      <c r="F1071" s="12" t="n">
        <v>2187</v>
      </c>
      <c r="G1071" s="11" t="str">
        <f aca="false">IF(INDEX(選手一覧!$D$7:$D$2738,$F1071)="","",INDEX(選手一覧!$D$7:$D$2738,$F1071))</f>
        <v/>
      </c>
      <c r="H1071" s="12" t="str">
        <f aca="false">IF(INDEX(選手一覧!$E$7:$E$2738,$F1071)="","",INDEX(選手一覧!$E$7:$E$2738,$F1071))</f>
        <v/>
      </c>
      <c r="I1071" s="11" t="str">
        <f aca="false">IF(INDEX(選手一覧!$H$7:$H$2738,$F1071)="","",INDEX(選手一覧!$H$7:$H$2738,$F1071))</f>
        <v/>
      </c>
      <c r="J1071" s="12" t="str">
        <f aca="false">IF(INDEX(選手一覧!$I$7:$I$2738,$F1071)="","",INDEX(選手一覧!$I$7:$I$2738,$F1071))</f>
        <v/>
      </c>
    </row>
    <row r="1072" customFormat="false" ht="15" hidden="false" customHeight="false" outlineLevel="0" collapsed="false">
      <c r="A1072" s="12" t="n">
        <v>1068</v>
      </c>
      <c r="B1072" s="10" t="s">
        <v>3100</v>
      </c>
      <c r="C1072" s="10" t="s">
        <v>79</v>
      </c>
      <c r="D1072" s="11" t="n">
        <v>0.00770127314814815</v>
      </c>
      <c r="E1072" s="18" t="n">
        <f aca="false">ROUND((D1072-$D$5)*86400,2)</f>
        <v>126.37</v>
      </c>
      <c r="F1072" s="12" t="n">
        <v>2176</v>
      </c>
      <c r="G1072" s="11" t="n">
        <f aca="false">IF(INDEX(選手一覧!$D$7:$D$2738,$F1072)="","",INDEX(選手一覧!$D$7:$D$2738,$F1072))</f>
        <v>0.0109813657407407</v>
      </c>
      <c r="H1072" s="12" t="n">
        <f aca="false">IF(INDEX(選手一覧!$E$7:$E$2738,$F1072)="","",INDEX(選手一覧!$E$7:$E$2738,$F1072))</f>
        <v>1061</v>
      </c>
      <c r="I1072" s="11" t="n">
        <f aca="false">IF(INDEX(選手一覧!$H$7:$H$2738,$F1072)="","",INDEX(選手一覧!$H$7:$H$2738,$F1072))</f>
        <v>0.00293321759259259</v>
      </c>
      <c r="J1072" s="12" t="n">
        <f aca="false">IF(INDEX(選手一覧!$I$7:$I$2738,$F1072)="","",INDEX(選手一覧!$I$7:$I$2738,$F1072))</f>
        <v>1181</v>
      </c>
    </row>
    <row r="1073" customFormat="false" ht="15" hidden="false" customHeight="false" outlineLevel="0" collapsed="false">
      <c r="A1073" s="12" t="n">
        <v>1069</v>
      </c>
      <c r="B1073" s="10" t="s">
        <v>3116</v>
      </c>
      <c r="C1073" s="10" t="s">
        <v>3117</v>
      </c>
      <c r="D1073" s="11" t="n">
        <v>0.0077037037037037</v>
      </c>
      <c r="E1073" s="18" t="n">
        <f aca="false">ROUND((D1073-$D$5)*86400,2)</f>
        <v>126.58</v>
      </c>
      <c r="F1073" s="12" t="n">
        <v>2189</v>
      </c>
      <c r="G1073" s="11" t="str">
        <f aca="false">IF(INDEX(選手一覧!$D$7:$D$2738,$F1073)="","",INDEX(選手一覧!$D$7:$D$2738,$F1073))</f>
        <v/>
      </c>
      <c r="H1073" s="12" t="str">
        <f aca="false">IF(INDEX(選手一覧!$E$7:$E$2738,$F1073)="","",INDEX(選手一覧!$E$7:$E$2738,$F1073))</f>
        <v/>
      </c>
      <c r="I1073" s="11" t="str">
        <f aca="false">IF(INDEX(選手一覧!$H$7:$H$2738,$F1073)="","",INDEX(選手一覧!$H$7:$H$2738,$F1073))</f>
        <v/>
      </c>
      <c r="J1073" s="12" t="str">
        <f aca="false">IF(INDEX(選手一覧!$I$7:$I$2738,$F1073)="","",INDEX(選手一覧!$I$7:$I$2738,$F1073))</f>
        <v/>
      </c>
    </row>
    <row r="1074" customFormat="false" ht="15" hidden="false" customHeight="false" outlineLevel="0" collapsed="false">
      <c r="A1074" s="12" t="n">
        <v>1070</v>
      </c>
      <c r="B1074" s="10" t="s">
        <v>3120</v>
      </c>
      <c r="C1074" s="10" t="s">
        <v>494</v>
      </c>
      <c r="D1074" s="11" t="n">
        <v>0.00770405092592593</v>
      </c>
      <c r="E1074" s="18" t="n">
        <f aca="false">ROUND((D1074-$D$5)*86400,2)</f>
        <v>126.61</v>
      </c>
      <c r="F1074" s="12" t="n">
        <v>2191</v>
      </c>
      <c r="G1074" s="11" t="str">
        <f aca="false">IF(INDEX(選手一覧!$D$7:$D$2738,$F1074)="","",INDEX(選手一覧!$D$7:$D$2738,$F1074))</f>
        <v/>
      </c>
      <c r="H1074" s="12" t="str">
        <f aca="false">IF(INDEX(選手一覧!$E$7:$E$2738,$F1074)="","",INDEX(選手一覧!$E$7:$E$2738,$F1074))</f>
        <v/>
      </c>
      <c r="I1074" s="11" t="str">
        <f aca="false">IF(INDEX(選手一覧!$H$7:$H$2738,$F1074)="","",INDEX(選手一覧!$H$7:$H$2738,$F1074))</f>
        <v/>
      </c>
      <c r="J1074" s="12" t="str">
        <f aca="false">IF(INDEX(選手一覧!$I$7:$I$2738,$F1074)="","",INDEX(選手一覧!$I$7:$I$2738,$F1074))</f>
        <v/>
      </c>
    </row>
    <row r="1075" customFormat="false" ht="15" hidden="false" customHeight="false" outlineLevel="0" collapsed="false">
      <c r="A1075" s="12" t="n">
        <v>1071</v>
      </c>
      <c r="B1075" s="10" t="s">
        <v>3123</v>
      </c>
      <c r="C1075" s="10" t="s">
        <v>3124</v>
      </c>
      <c r="D1075" s="11" t="n">
        <v>0.00770486111111111</v>
      </c>
      <c r="E1075" s="18" t="n">
        <f aca="false">ROUND((D1075-$D$5)*86400,2)</f>
        <v>126.68</v>
      </c>
      <c r="F1075" s="12" t="n">
        <v>2193</v>
      </c>
      <c r="G1075" s="11" t="str">
        <f aca="false">IF(INDEX(選手一覧!$D$7:$D$2738,$F1075)="","",INDEX(選手一覧!$D$7:$D$2738,$F1075))</f>
        <v/>
      </c>
      <c r="H1075" s="12" t="str">
        <f aca="false">IF(INDEX(選手一覧!$E$7:$E$2738,$F1075)="","",INDEX(選手一覧!$E$7:$E$2738,$F1075))</f>
        <v/>
      </c>
      <c r="I1075" s="11" t="str">
        <f aca="false">IF(INDEX(選手一覧!$H$7:$H$2738,$F1075)="","",INDEX(選手一覧!$H$7:$H$2738,$F1075))</f>
        <v/>
      </c>
      <c r="J1075" s="12" t="str">
        <f aca="false">IF(INDEX(選手一覧!$I$7:$I$2738,$F1075)="","",INDEX(選手一覧!$I$7:$I$2738,$F1075))</f>
        <v/>
      </c>
    </row>
    <row r="1076" customFormat="false" ht="15" hidden="false" customHeight="false" outlineLevel="0" collapsed="false">
      <c r="A1076" s="12" t="n">
        <v>1072</v>
      </c>
      <c r="B1076" s="10" t="s">
        <v>3125</v>
      </c>
      <c r="C1076" s="10" t="s">
        <v>3126</v>
      </c>
      <c r="D1076" s="11" t="n">
        <v>0.00770509259259259</v>
      </c>
      <c r="E1076" s="18" t="n">
        <f aca="false">ROUND((D1076-$D$5)*86400,2)</f>
        <v>126.7</v>
      </c>
      <c r="F1076" s="12" t="n">
        <v>2194</v>
      </c>
      <c r="G1076" s="11" t="str">
        <f aca="false">IF(INDEX(選手一覧!$D$7:$D$2738,$F1076)="","",INDEX(選手一覧!$D$7:$D$2738,$F1076))</f>
        <v/>
      </c>
      <c r="H1076" s="12" t="str">
        <f aca="false">IF(INDEX(選手一覧!$E$7:$E$2738,$F1076)="","",INDEX(選手一覧!$E$7:$E$2738,$F1076))</f>
        <v/>
      </c>
      <c r="I1076" s="11" t="str">
        <f aca="false">IF(INDEX(選手一覧!$H$7:$H$2738,$F1076)="","",INDEX(選手一覧!$H$7:$H$2738,$F1076))</f>
        <v/>
      </c>
      <c r="J1076" s="12" t="str">
        <f aca="false">IF(INDEX(選手一覧!$I$7:$I$2738,$F1076)="","",INDEX(選手一覧!$I$7:$I$2738,$F1076))</f>
        <v/>
      </c>
    </row>
    <row r="1077" customFormat="false" ht="15" hidden="false" customHeight="false" outlineLevel="0" collapsed="false">
      <c r="A1077" s="12" t="n">
        <v>1073</v>
      </c>
      <c r="B1077" s="10" t="s">
        <v>3128</v>
      </c>
      <c r="C1077" s="10" t="s">
        <v>1821</v>
      </c>
      <c r="D1077" s="11" t="n">
        <v>0.00770601851851852</v>
      </c>
      <c r="E1077" s="18" t="n">
        <f aca="false">ROUND((D1077-$D$5)*86400,2)</f>
        <v>126.78</v>
      </c>
      <c r="F1077" s="12" t="n">
        <v>2196</v>
      </c>
      <c r="G1077" s="11" t="str">
        <f aca="false">IF(INDEX(選手一覧!$D$7:$D$2738,$F1077)="","",INDEX(選手一覧!$D$7:$D$2738,$F1077))</f>
        <v/>
      </c>
      <c r="H1077" s="12" t="str">
        <f aca="false">IF(INDEX(選手一覧!$E$7:$E$2738,$F1077)="","",INDEX(選手一覧!$E$7:$E$2738,$F1077))</f>
        <v/>
      </c>
      <c r="I1077" s="11" t="str">
        <f aca="false">IF(INDEX(選手一覧!$H$7:$H$2738,$F1077)="","",INDEX(選手一覧!$H$7:$H$2738,$F1077))</f>
        <v/>
      </c>
      <c r="J1077" s="12" t="str">
        <f aca="false">IF(INDEX(選手一覧!$I$7:$I$2738,$F1077)="","",INDEX(選手一覧!$I$7:$I$2738,$F1077))</f>
        <v/>
      </c>
    </row>
    <row r="1078" customFormat="false" ht="15" hidden="false" customHeight="false" outlineLevel="0" collapsed="false">
      <c r="A1078" s="12" t="n">
        <v>1074</v>
      </c>
      <c r="B1078" s="10" t="s">
        <v>3130</v>
      </c>
      <c r="C1078" s="10" t="s">
        <v>3131</v>
      </c>
      <c r="D1078" s="11" t="n">
        <v>0.00770613425925926</v>
      </c>
      <c r="E1078" s="18" t="n">
        <f aca="false">ROUND((D1078-$D$5)*86400,2)</f>
        <v>126.79</v>
      </c>
      <c r="F1078" s="12" t="n">
        <v>2198</v>
      </c>
      <c r="G1078" s="11" t="str">
        <f aca="false">IF(INDEX(選手一覧!$D$7:$D$2738,$F1078)="","",INDEX(選手一覧!$D$7:$D$2738,$F1078))</f>
        <v/>
      </c>
      <c r="H1078" s="12" t="str">
        <f aca="false">IF(INDEX(選手一覧!$E$7:$E$2738,$F1078)="","",INDEX(選手一覧!$E$7:$E$2738,$F1078))</f>
        <v/>
      </c>
      <c r="I1078" s="11" t="str">
        <f aca="false">IF(INDEX(選手一覧!$H$7:$H$2738,$F1078)="","",INDEX(選手一覧!$H$7:$H$2738,$F1078))</f>
        <v/>
      </c>
      <c r="J1078" s="12" t="str">
        <f aca="false">IF(INDEX(選手一覧!$I$7:$I$2738,$F1078)="","",INDEX(選手一覧!$I$7:$I$2738,$F1078))</f>
        <v/>
      </c>
    </row>
    <row r="1079" customFormat="false" ht="15" hidden="false" customHeight="false" outlineLevel="0" collapsed="false">
      <c r="A1079" s="12" t="n">
        <v>1075</v>
      </c>
      <c r="B1079" s="10" t="s">
        <v>3134</v>
      </c>
      <c r="C1079" s="10" t="s">
        <v>3135</v>
      </c>
      <c r="D1079" s="11" t="n">
        <v>0.00770740740740741</v>
      </c>
      <c r="E1079" s="18" t="n">
        <f aca="false">ROUND((D1079-$D$5)*86400,2)</f>
        <v>126.9</v>
      </c>
      <c r="F1079" s="12" t="n">
        <v>2201</v>
      </c>
      <c r="G1079" s="11" t="str">
        <f aca="false">IF(INDEX(選手一覧!$D$7:$D$2738,$F1079)="","",INDEX(選手一覧!$D$7:$D$2738,$F1079))</f>
        <v/>
      </c>
      <c r="H1079" s="12" t="str">
        <f aca="false">IF(INDEX(選手一覧!$E$7:$E$2738,$F1079)="","",INDEX(選手一覧!$E$7:$E$2738,$F1079))</f>
        <v/>
      </c>
      <c r="I1079" s="11" t="str">
        <f aca="false">IF(INDEX(選手一覧!$H$7:$H$2738,$F1079)="","",INDEX(選手一覧!$H$7:$H$2738,$F1079))</f>
        <v/>
      </c>
      <c r="J1079" s="12" t="str">
        <f aca="false">IF(INDEX(選手一覧!$I$7:$I$2738,$F1079)="","",INDEX(選手一覧!$I$7:$I$2738,$F1079))</f>
        <v/>
      </c>
    </row>
    <row r="1080" customFormat="false" ht="15" hidden="false" customHeight="false" outlineLevel="0" collapsed="false">
      <c r="A1080" s="12" t="n">
        <v>1076</v>
      </c>
      <c r="B1080" s="10" t="s">
        <v>3138</v>
      </c>
      <c r="C1080" s="10" t="s">
        <v>2430</v>
      </c>
      <c r="D1080" s="11" t="n">
        <v>0.00770775462962963</v>
      </c>
      <c r="E1080" s="18" t="n">
        <f aca="false">ROUND((D1080-$D$5)*86400,2)</f>
        <v>126.93</v>
      </c>
      <c r="F1080" s="12" t="n">
        <v>2203</v>
      </c>
      <c r="G1080" s="11" t="str">
        <f aca="false">IF(INDEX(選手一覧!$D$7:$D$2738,$F1080)="","",INDEX(選手一覧!$D$7:$D$2738,$F1080))</f>
        <v/>
      </c>
      <c r="H1080" s="12" t="str">
        <f aca="false">IF(INDEX(選手一覧!$E$7:$E$2738,$F1080)="","",INDEX(選手一覧!$E$7:$E$2738,$F1080))</f>
        <v/>
      </c>
      <c r="I1080" s="11" t="str">
        <f aca="false">IF(INDEX(選手一覧!$H$7:$H$2738,$F1080)="","",INDEX(選手一覧!$H$7:$H$2738,$F1080))</f>
        <v/>
      </c>
      <c r="J1080" s="12" t="str">
        <f aca="false">IF(INDEX(選手一覧!$I$7:$I$2738,$F1080)="","",INDEX(選手一覧!$I$7:$I$2738,$F1080))</f>
        <v/>
      </c>
    </row>
    <row r="1081" customFormat="false" ht="15" hidden="false" customHeight="false" outlineLevel="0" collapsed="false">
      <c r="A1081" s="12" t="n">
        <v>1077</v>
      </c>
      <c r="B1081" s="10" t="s">
        <v>3140</v>
      </c>
      <c r="C1081" s="10" t="s">
        <v>85</v>
      </c>
      <c r="D1081" s="11" t="n">
        <v>0.00770810185185185</v>
      </c>
      <c r="E1081" s="18" t="n">
        <f aca="false">ROUND((D1081-$D$5)*86400,2)</f>
        <v>126.96</v>
      </c>
      <c r="F1081" s="12" t="n">
        <v>2205</v>
      </c>
      <c r="G1081" s="11" t="str">
        <f aca="false">IF(INDEX(選手一覧!$D$7:$D$2738,$F1081)="","",INDEX(選手一覧!$D$7:$D$2738,$F1081))</f>
        <v/>
      </c>
      <c r="H1081" s="12" t="str">
        <f aca="false">IF(INDEX(選手一覧!$E$7:$E$2738,$F1081)="","",INDEX(選手一覧!$E$7:$E$2738,$F1081))</f>
        <v/>
      </c>
      <c r="I1081" s="11" t="str">
        <f aca="false">IF(INDEX(選手一覧!$H$7:$H$2738,$F1081)="","",INDEX(選手一覧!$H$7:$H$2738,$F1081))</f>
        <v/>
      </c>
      <c r="J1081" s="12" t="str">
        <f aca="false">IF(INDEX(選手一覧!$I$7:$I$2738,$F1081)="","",INDEX(選手一覧!$I$7:$I$2738,$F1081))</f>
        <v/>
      </c>
    </row>
    <row r="1082" customFormat="false" ht="15" hidden="false" customHeight="false" outlineLevel="0" collapsed="false">
      <c r="A1082" s="12" t="n">
        <v>1078</v>
      </c>
      <c r="B1082" s="10" t="s">
        <v>3142</v>
      </c>
      <c r="C1082" s="10" t="s">
        <v>3143</v>
      </c>
      <c r="D1082" s="11" t="n">
        <v>0.00770821759259259</v>
      </c>
      <c r="E1082" s="18" t="n">
        <f aca="false">ROUND((D1082-$D$5)*86400,2)</f>
        <v>126.97</v>
      </c>
      <c r="F1082" s="12" t="n">
        <v>2207</v>
      </c>
      <c r="G1082" s="11" t="str">
        <f aca="false">IF(INDEX(選手一覧!$D$7:$D$2738,$F1082)="","",INDEX(選手一覧!$D$7:$D$2738,$F1082))</f>
        <v/>
      </c>
      <c r="H1082" s="12" t="str">
        <f aca="false">IF(INDEX(選手一覧!$E$7:$E$2738,$F1082)="","",INDEX(選手一覧!$E$7:$E$2738,$F1082))</f>
        <v/>
      </c>
      <c r="I1082" s="11" t="str">
        <f aca="false">IF(INDEX(選手一覧!$H$7:$H$2738,$F1082)="","",INDEX(選手一覧!$H$7:$H$2738,$F1082))</f>
        <v/>
      </c>
      <c r="J1082" s="12" t="str">
        <f aca="false">IF(INDEX(選手一覧!$I$7:$I$2738,$F1082)="","",INDEX(選手一覧!$I$7:$I$2738,$F1082))</f>
        <v/>
      </c>
    </row>
    <row r="1083" customFormat="false" ht="15" hidden="false" customHeight="false" outlineLevel="0" collapsed="false">
      <c r="A1083" s="12" t="n">
        <v>1079</v>
      </c>
      <c r="B1083" s="10" t="s">
        <v>3144</v>
      </c>
      <c r="C1083" s="10" t="s">
        <v>298</v>
      </c>
      <c r="D1083" s="11" t="n">
        <v>0.00771157407407407</v>
      </c>
      <c r="E1083" s="18" t="n">
        <f aca="false">ROUND((D1083-$D$5)*86400,2)</f>
        <v>127.26</v>
      </c>
      <c r="F1083" s="12" t="n">
        <v>2208</v>
      </c>
      <c r="G1083" s="11" t="str">
        <f aca="false">IF(INDEX(選手一覧!$D$7:$D$2738,$F1083)="","",INDEX(選手一覧!$D$7:$D$2738,$F1083))</f>
        <v/>
      </c>
      <c r="H1083" s="12" t="str">
        <f aca="false">IF(INDEX(選手一覧!$E$7:$E$2738,$F1083)="","",INDEX(選手一覧!$E$7:$E$2738,$F1083))</f>
        <v/>
      </c>
      <c r="I1083" s="11" t="str">
        <f aca="false">IF(INDEX(選手一覧!$H$7:$H$2738,$F1083)="","",INDEX(選手一覧!$H$7:$H$2738,$F1083))</f>
        <v/>
      </c>
      <c r="J1083" s="12" t="str">
        <f aca="false">IF(INDEX(選手一覧!$I$7:$I$2738,$F1083)="","",INDEX(選手一覧!$I$7:$I$2738,$F1083))</f>
        <v/>
      </c>
    </row>
    <row r="1084" customFormat="false" ht="15" hidden="false" customHeight="false" outlineLevel="0" collapsed="false">
      <c r="A1084" s="12" t="n">
        <v>1080</v>
      </c>
      <c r="B1084" s="10" t="s">
        <v>3146</v>
      </c>
      <c r="C1084" s="10" t="s">
        <v>3147</v>
      </c>
      <c r="D1084" s="11" t="n">
        <v>0.00771215277777778</v>
      </c>
      <c r="E1084" s="18" t="n">
        <f aca="false">ROUND((D1084-$D$5)*86400,2)</f>
        <v>127.31</v>
      </c>
      <c r="F1084" s="12" t="n">
        <v>2210</v>
      </c>
      <c r="G1084" s="11" t="str">
        <f aca="false">IF(INDEX(選手一覧!$D$7:$D$2738,$F1084)="","",INDEX(選手一覧!$D$7:$D$2738,$F1084))</f>
        <v/>
      </c>
      <c r="H1084" s="12" t="str">
        <f aca="false">IF(INDEX(選手一覧!$E$7:$E$2738,$F1084)="","",INDEX(選手一覧!$E$7:$E$2738,$F1084))</f>
        <v/>
      </c>
      <c r="I1084" s="11" t="str">
        <f aca="false">IF(INDEX(選手一覧!$H$7:$H$2738,$F1084)="","",INDEX(選手一覧!$H$7:$H$2738,$F1084))</f>
        <v/>
      </c>
      <c r="J1084" s="12" t="str">
        <f aca="false">IF(INDEX(選手一覧!$I$7:$I$2738,$F1084)="","",INDEX(選手一覧!$I$7:$I$2738,$F1084))</f>
        <v/>
      </c>
    </row>
    <row r="1085" customFormat="false" ht="15" hidden="false" customHeight="false" outlineLevel="0" collapsed="false">
      <c r="A1085" s="12" t="n">
        <v>1081</v>
      </c>
      <c r="B1085" s="10" t="s">
        <v>3148</v>
      </c>
      <c r="C1085" s="10" t="s">
        <v>791</v>
      </c>
      <c r="D1085" s="11" t="n">
        <v>0.00771261574074074</v>
      </c>
      <c r="E1085" s="18" t="n">
        <f aca="false">ROUND((D1085-$D$5)*86400,2)</f>
        <v>127.35</v>
      </c>
      <c r="F1085" s="12" t="n">
        <v>2211</v>
      </c>
      <c r="G1085" s="11" t="str">
        <f aca="false">IF(INDEX(選手一覧!$D$7:$D$2738,$F1085)="","",INDEX(選手一覧!$D$7:$D$2738,$F1085))</f>
        <v/>
      </c>
      <c r="H1085" s="12" t="str">
        <f aca="false">IF(INDEX(選手一覧!$E$7:$E$2738,$F1085)="","",INDEX(選手一覧!$E$7:$E$2738,$F1085))</f>
        <v/>
      </c>
      <c r="I1085" s="11" t="str">
        <f aca="false">IF(INDEX(選手一覧!$H$7:$H$2738,$F1085)="","",INDEX(選手一覧!$H$7:$H$2738,$F1085))</f>
        <v/>
      </c>
      <c r="J1085" s="12" t="str">
        <f aca="false">IF(INDEX(選手一覧!$I$7:$I$2738,$F1085)="","",INDEX(選手一覧!$I$7:$I$2738,$F1085))</f>
        <v/>
      </c>
    </row>
    <row r="1086" customFormat="false" ht="15" hidden="false" customHeight="false" outlineLevel="0" collapsed="false">
      <c r="A1086" s="12" t="n">
        <v>1082</v>
      </c>
      <c r="B1086" s="10" t="s">
        <v>3149</v>
      </c>
      <c r="C1086" s="10" t="s">
        <v>2352</v>
      </c>
      <c r="D1086" s="11" t="n">
        <v>0.00771331018518519</v>
      </c>
      <c r="E1086" s="18" t="n">
        <f aca="false">ROUND((D1086-$D$5)*86400,2)</f>
        <v>127.41</v>
      </c>
      <c r="F1086" s="12" t="n">
        <v>2212</v>
      </c>
      <c r="G1086" s="11" t="str">
        <f aca="false">IF(INDEX(選手一覧!$D$7:$D$2738,$F1086)="","",INDEX(選手一覧!$D$7:$D$2738,$F1086))</f>
        <v/>
      </c>
      <c r="H1086" s="12" t="str">
        <f aca="false">IF(INDEX(選手一覧!$E$7:$E$2738,$F1086)="","",INDEX(選手一覧!$E$7:$E$2738,$F1086))</f>
        <v/>
      </c>
      <c r="I1086" s="11" t="str">
        <f aca="false">IF(INDEX(選手一覧!$H$7:$H$2738,$F1086)="","",INDEX(選手一覧!$H$7:$H$2738,$F1086))</f>
        <v/>
      </c>
      <c r="J1086" s="12" t="str">
        <f aca="false">IF(INDEX(選手一覧!$I$7:$I$2738,$F1086)="","",INDEX(選手一覧!$I$7:$I$2738,$F1086))</f>
        <v/>
      </c>
    </row>
    <row r="1087" customFormat="false" ht="15" hidden="false" customHeight="false" outlineLevel="0" collapsed="false">
      <c r="A1087" s="12" t="n">
        <v>1083</v>
      </c>
      <c r="B1087" s="10" t="s">
        <v>3151</v>
      </c>
      <c r="C1087" s="10" t="s">
        <v>136</v>
      </c>
      <c r="D1087" s="11" t="n">
        <v>0.00771377314814815</v>
      </c>
      <c r="E1087" s="18" t="n">
        <f aca="false">ROUND((D1087-$D$5)*86400,2)</f>
        <v>127.45</v>
      </c>
      <c r="F1087" s="12" t="n">
        <v>2214</v>
      </c>
      <c r="G1087" s="11" t="str">
        <f aca="false">IF(INDEX(選手一覧!$D$7:$D$2738,$F1087)="","",INDEX(選手一覧!$D$7:$D$2738,$F1087))</f>
        <v/>
      </c>
      <c r="H1087" s="12" t="str">
        <f aca="false">IF(INDEX(選手一覧!$E$7:$E$2738,$F1087)="","",INDEX(選手一覧!$E$7:$E$2738,$F1087))</f>
        <v/>
      </c>
      <c r="I1087" s="11" t="str">
        <f aca="false">IF(INDEX(選手一覧!$H$7:$H$2738,$F1087)="","",INDEX(選手一覧!$H$7:$H$2738,$F1087))</f>
        <v/>
      </c>
      <c r="J1087" s="12" t="str">
        <f aca="false">IF(INDEX(選手一覧!$I$7:$I$2738,$F1087)="","",INDEX(選手一覧!$I$7:$I$2738,$F1087))</f>
        <v/>
      </c>
    </row>
    <row r="1088" customFormat="false" ht="15" hidden="false" customHeight="false" outlineLevel="0" collapsed="false">
      <c r="A1088" s="12" t="n">
        <v>1084</v>
      </c>
      <c r="B1088" s="10" t="s">
        <v>554</v>
      </c>
      <c r="C1088" s="10" t="s">
        <v>555</v>
      </c>
      <c r="D1088" s="11" t="n">
        <v>0.00771712962962963</v>
      </c>
      <c r="E1088" s="18" t="n">
        <f aca="false">ROUND((D1088-$D$5)*86400,2)</f>
        <v>127.74</v>
      </c>
      <c r="F1088" s="12" t="n">
        <v>346</v>
      </c>
      <c r="G1088" s="11" t="str">
        <f aca="false">IF(INDEX(選手一覧!$D$7:$D$2738,$F1088)="","",INDEX(選手一覧!$D$7:$D$2738,$F1088))</f>
        <v/>
      </c>
      <c r="H1088" s="12" t="str">
        <f aca="false">IF(INDEX(選手一覧!$E$7:$E$2738,$F1088)="","",INDEX(選手一覧!$E$7:$E$2738,$F1088))</f>
        <v/>
      </c>
      <c r="I1088" s="11" t="n">
        <f aca="false">IF(INDEX(選手一覧!$H$7:$H$2738,$F1088)="","",INDEX(選手一覧!$H$7:$H$2738,$F1088))</f>
        <v>0.00276412037037037</v>
      </c>
      <c r="J1088" s="12" t="n">
        <f aca="false">IF(INDEX(選手一覧!$I$7:$I$2738,$F1088)="","",INDEX(選手一覧!$I$7:$I$2738,$F1088))</f>
        <v>145</v>
      </c>
    </row>
    <row r="1089" customFormat="false" ht="15" hidden="false" customHeight="false" outlineLevel="0" collapsed="false">
      <c r="A1089" s="12" t="n">
        <v>1085</v>
      </c>
      <c r="B1089" s="10" t="s">
        <v>3153</v>
      </c>
      <c r="C1089" s="10" t="s">
        <v>904</v>
      </c>
      <c r="D1089" s="11" t="n">
        <v>0.0077193287037037</v>
      </c>
      <c r="E1089" s="18" t="n">
        <f aca="false">ROUND((D1089-$D$5)*86400,2)</f>
        <v>127.93</v>
      </c>
      <c r="F1089" s="12" t="n">
        <v>2216</v>
      </c>
      <c r="G1089" s="11" t="str">
        <f aca="false">IF(INDEX(選手一覧!$D$7:$D$2738,$F1089)="","",INDEX(選手一覧!$D$7:$D$2738,$F1089))</f>
        <v/>
      </c>
      <c r="H1089" s="12" t="str">
        <f aca="false">IF(INDEX(選手一覧!$E$7:$E$2738,$F1089)="","",INDEX(選手一覧!$E$7:$E$2738,$F1089))</f>
        <v/>
      </c>
      <c r="I1089" s="11" t="n">
        <f aca="false">IF(INDEX(選手一覧!$H$7:$H$2738,$F1089)="","",INDEX(選手一覧!$H$7:$H$2738,$F1089))</f>
        <v>0.00292418981481482</v>
      </c>
      <c r="J1089" s="12" t="n">
        <f aca="false">IF(INDEX(選手一覧!$I$7:$I$2738,$F1089)="","",INDEX(選手一覧!$I$7:$I$2738,$F1089))</f>
        <v>1139</v>
      </c>
    </row>
    <row r="1090" customFormat="false" ht="15" hidden="false" customHeight="false" outlineLevel="0" collapsed="false">
      <c r="A1090" s="12" t="n">
        <v>1086</v>
      </c>
      <c r="B1090" s="10" t="s">
        <v>3154</v>
      </c>
      <c r="C1090" s="10" t="s">
        <v>2229</v>
      </c>
      <c r="D1090" s="11" t="n">
        <v>0.00771944444444445</v>
      </c>
      <c r="E1090" s="18" t="n">
        <f aca="false">ROUND((D1090-$D$5)*86400,2)</f>
        <v>127.94</v>
      </c>
      <c r="F1090" s="12" t="n">
        <v>2217</v>
      </c>
      <c r="G1090" s="11" t="str">
        <f aca="false">IF(INDEX(選手一覧!$D$7:$D$2738,$F1090)="","",INDEX(選手一覧!$D$7:$D$2738,$F1090))</f>
        <v/>
      </c>
      <c r="H1090" s="12" t="str">
        <f aca="false">IF(INDEX(選手一覧!$E$7:$E$2738,$F1090)="","",INDEX(選手一覧!$E$7:$E$2738,$F1090))</f>
        <v/>
      </c>
      <c r="I1090" s="11" t="str">
        <f aca="false">IF(INDEX(選手一覧!$H$7:$H$2738,$F1090)="","",INDEX(選手一覧!$H$7:$H$2738,$F1090))</f>
        <v/>
      </c>
      <c r="J1090" s="12" t="str">
        <f aca="false">IF(INDEX(選手一覧!$I$7:$I$2738,$F1090)="","",INDEX(選手一覧!$I$7:$I$2738,$F1090))</f>
        <v/>
      </c>
    </row>
    <row r="1091" customFormat="false" ht="15" hidden="false" customHeight="false" outlineLevel="0" collapsed="false">
      <c r="A1091" s="12" t="n">
        <v>1087</v>
      </c>
      <c r="B1091" s="10" t="s">
        <v>3158</v>
      </c>
      <c r="C1091" s="10" t="s">
        <v>3159</v>
      </c>
      <c r="D1091" s="11" t="n">
        <v>0.00772106481481482</v>
      </c>
      <c r="E1091" s="18" t="n">
        <f aca="false">ROUND((D1091-$D$5)*86400,2)</f>
        <v>128.08</v>
      </c>
      <c r="F1091" s="12" t="n">
        <v>2220</v>
      </c>
      <c r="G1091" s="11" t="str">
        <f aca="false">IF(INDEX(選手一覧!$D$7:$D$2738,$F1091)="","",INDEX(選手一覧!$D$7:$D$2738,$F1091))</f>
        <v/>
      </c>
      <c r="H1091" s="12" t="str">
        <f aca="false">IF(INDEX(選手一覧!$E$7:$E$2738,$F1091)="","",INDEX(選手一覧!$E$7:$E$2738,$F1091))</f>
        <v/>
      </c>
      <c r="I1091" s="11" t="str">
        <f aca="false">IF(INDEX(選手一覧!$H$7:$H$2738,$F1091)="","",INDEX(選手一覧!$H$7:$H$2738,$F1091))</f>
        <v/>
      </c>
      <c r="J1091" s="12" t="str">
        <f aca="false">IF(INDEX(選手一覧!$I$7:$I$2738,$F1091)="","",INDEX(選手一覧!$I$7:$I$2738,$F1091))</f>
        <v/>
      </c>
    </row>
    <row r="1092" customFormat="false" ht="15" hidden="false" customHeight="false" outlineLevel="0" collapsed="false">
      <c r="A1092" s="12" t="n">
        <v>1088</v>
      </c>
      <c r="B1092" s="10" t="s">
        <v>3161</v>
      </c>
      <c r="C1092" s="10" t="s">
        <v>2402</v>
      </c>
      <c r="D1092" s="11" t="n">
        <v>0.00772233796296296</v>
      </c>
      <c r="E1092" s="18" t="n">
        <f aca="false">ROUND((D1092-$D$5)*86400,2)</f>
        <v>128.19</v>
      </c>
      <c r="F1092" s="12" t="n">
        <v>2222</v>
      </c>
      <c r="G1092" s="11" t="str">
        <f aca="false">IF(INDEX(選手一覧!$D$7:$D$2738,$F1092)="","",INDEX(選手一覧!$D$7:$D$2738,$F1092))</f>
        <v/>
      </c>
      <c r="H1092" s="12" t="str">
        <f aca="false">IF(INDEX(選手一覧!$E$7:$E$2738,$F1092)="","",INDEX(選手一覧!$E$7:$E$2738,$F1092))</f>
        <v/>
      </c>
      <c r="I1092" s="11" t="str">
        <f aca="false">IF(INDEX(選手一覧!$H$7:$H$2738,$F1092)="","",INDEX(選手一覧!$H$7:$H$2738,$F1092))</f>
        <v/>
      </c>
      <c r="J1092" s="12" t="str">
        <f aca="false">IF(INDEX(選手一覧!$I$7:$I$2738,$F1092)="","",INDEX(選手一覧!$I$7:$I$2738,$F1092))</f>
        <v/>
      </c>
    </row>
    <row r="1093" customFormat="false" ht="15" hidden="false" customHeight="false" outlineLevel="0" collapsed="false">
      <c r="A1093" s="12" t="n">
        <v>1089</v>
      </c>
      <c r="B1093" s="10" t="s">
        <v>3162</v>
      </c>
      <c r="C1093" s="10" t="s">
        <v>3163</v>
      </c>
      <c r="D1093" s="11" t="n">
        <v>0.00772291666666667</v>
      </c>
      <c r="E1093" s="18" t="n">
        <f aca="false">ROUND((D1093-$D$5)*86400,2)</f>
        <v>128.24</v>
      </c>
      <c r="F1093" s="12" t="n">
        <v>2223</v>
      </c>
      <c r="G1093" s="11" t="str">
        <f aca="false">IF(INDEX(選手一覧!$D$7:$D$2738,$F1093)="","",INDEX(選手一覧!$D$7:$D$2738,$F1093))</f>
        <v/>
      </c>
      <c r="H1093" s="12" t="str">
        <f aca="false">IF(INDEX(選手一覧!$E$7:$E$2738,$F1093)="","",INDEX(選手一覧!$E$7:$E$2738,$F1093))</f>
        <v/>
      </c>
      <c r="I1093" s="11" t="str">
        <f aca="false">IF(INDEX(選手一覧!$H$7:$H$2738,$F1093)="","",INDEX(選手一覧!$H$7:$H$2738,$F1093))</f>
        <v/>
      </c>
      <c r="J1093" s="12" t="str">
        <f aca="false">IF(INDEX(選手一覧!$I$7:$I$2738,$F1093)="","",INDEX(選手一覧!$I$7:$I$2738,$F1093))</f>
        <v/>
      </c>
    </row>
    <row r="1094" customFormat="false" ht="15" hidden="false" customHeight="false" outlineLevel="0" collapsed="false">
      <c r="A1094" s="12" t="n">
        <v>1090</v>
      </c>
      <c r="B1094" s="10" t="s">
        <v>3168</v>
      </c>
      <c r="C1094" s="10" t="s">
        <v>3169</v>
      </c>
      <c r="D1094" s="11" t="n">
        <v>0.00772534722222222</v>
      </c>
      <c r="E1094" s="18" t="n">
        <f aca="false">ROUND((D1094-$D$5)*86400,2)</f>
        <v>128.45</v>
      </c>
      <c r="F1094" s="12" t="n">
        <v>2227</v>
      </c>
      <c r="G1094" s="11" t="str">
        <f aca="false">IF(INDEX(選手一覧!$D$7:$D$2738,$F1094)="","",INDEX(選手一覧!$D$7:$D$2738,$F1094))</f>
        <v/>
      </c>
      <c r="H1094" s="12" t="str">
        <f aca="false">IF(INDEX(選手一覧!$E$7:$E$2738,$F1094)="","",INDEX(選手一覧!$E$7:$E$2738,$F1094))</f>
        <v/>
      </c>
      <c r="I1094" s="11" t="str">
        <f aca="false">IF(INDEX(選手一覧!$H$7:$H$2738,$F1094)="","",INDEX(選手一覧!$H$7:$H$2738,$F1094))</f>
        <v/>
      </c>
      <c r="J1094" s="12" t="str">
        <f aca="false">IF(INDEX(選手一覧!$I$7:$I$2738,$F1094)="","",INDEX(選手一覧!$I$7:$I$2738,$F1094))</f>
        <v/>
      </c>
    </row>
    <row r="1095" customFormat="false" ht="15" hidden="false" customHeight="false" outlineLevel="0" collapsed="false">
      <c r="A1095" s="12" t="n">
        <v>1091</v>
      </c>
      <c r="B1095" s="10" t="s">
        <v>3170</v>
      </c>
      <c r="C1095" s="10" t="s">
        <v>3122</v>
      </c>
      <c r="D1095" s="11" t="n">
        <v>0.00772546296296296</v>
      </c>
      <c r="E1095" s="18" t="n">
        <f aca="false">ROUND((D1095-$D$5)*86400,2)</f>
        <v>128.46</v>
      </c>
      <c r="F1095" s="12" t="n">
        <v>2228</v>
      </c>
      <c r="G1095" s="11" t="n">
        <f aca="false">IF(INDEX(選手一覧!$D$7:$D$2738,$F1095)="","",INDEX(選手一覧!$D$7:$D$2738,$F1095))</f>
        <v>0.0110605324074074</v>
      </c>
      <c r="H1095" s="12" t="n">
        <f aca="false">IF(INDEX(選手一覧!$E$7:$E$2738,$F1095)="","",INDEX(選手一覧!$E$7:$E$2738,$F1095))</f>
        <v>1215</v>
      </c>
      <c r="I1095" s="11" t="str">
        <f aca="false">IF(INDEX(選手一覧!$H$7:$H$2738,$F1095)="","",INDEX(選手一覧!$H$7:$H$2738,$F1095))</f>
        <v/>
      </c>
      <c r="J1095" s="12" t="str">
        <f aca="false">IF(INDEX(選手一覧!$I$7:$I$2738,$F1095)="","",INDEX(選手一覧!$I$7:$I$2738,$F1095))</f>
        <v/>
      </c>
    </row>
    <row r="1096" customFormat="false" ht="15" hidden="false" customHeight="false" outlineLevel="0" collapsed="false">
      <c r="A1096" s="12" t="n">
        <v>1092</v>
      </c>
      <c r="B1096" s="10" t="s">
        <v>3173</v>
      </c>
      <c r="C1096" s="10" t="s">
        <v>2954</v>
      </c>
      <c r="D1096" s="11" t="n">
        <v>0.00772569444444445</v>
      </c>
      <c r="E1096" s="18" t="n">
        <f aca="false">ROUND((D1096-$D$5)*86400,2)</f>
        <v>128.48</v>
      </c>
      <c r="F1096" s="12" t="n">
        <v>2231</v>
      </c>
      <c r="G1096" s="11" t="str">
        <f aca="false">IF(INDEX(選手一覧!$D$7:$D$2738,$F1096)="","",INDEX(選手一覧!$D$7:$D$2738,$F1096))</f>
        <v/>
      </c>
      <c r="H1096" s="12" t="str">
        <f aca="false">IF(INDEX(選手一覧!$E$7:$E$2738,$F1096)="","",INDEX(選手一覧!$E$7:$E$2738,$F1096))</f>
        <v/>
      </c>
      <c r="I1096" s="11" t="str">
        <f aca="false">IF(INDEX(選手一覧!$H$7:$H$2738,$F1096)="","",INDEX(選手一覧!$H$7:$H$2738,$F1096))</f>
        <v/>
      </c>
      <c r="J1096" s="12" t="str">
        <f aca="false">IF(INDEX(選手一覧!$I$7:$I$2738,$F1096)="","",INDEX(選手一覧!$I$7:$I$2738,$F1096))</f>
        <v/>
      </c>
    </row>
    <row r="1097" customFormat="false" ht="15" hidden="false" customHeight="false" outlineLevel="0" collapsed="false">
      <c r="A1097" s="12" t="n">
        <v>1093</v>
      </c>
      <c r="B1097" s="10" t="s">
        <v>3175</v>
      </c>
      <c r="C1097" s="10" t="s">
        <v>3176</v>
      </c>
      <c r="D1097" s="11" t="n">
        <v>0.00772627314814815</v>
      </c>
      <c r="E1097" s="18" t="n">
        <f aca="false">ROUND((D1097-$D$5)*86400,2)</f>
        <v>128.53</v>
      </c>
      <c r="F1097" s="12" t="n">
        <v>2233</v>
      </c>
      <c r="G1097" s="11" t="str">
        <f aca="false">IF(INDEX(選手一覧!$D$7:$D$2738,$F1097)="","",INDEX(選手一覧!$D$7:$D$2738,$F1097))</f>
        <v/>
      </c>
      <c r="H1097" s="12" t="str">
        <f aca="false">IF(INDEX(選手一覧!$E$7:$E$2738,$F1097)="","",INDEX(選手一覧!$E$7:$E$2738,$F1097))</f>
        <v/>
      </c>
      <c r="I1097" s="11" t="str">
        <f aca="false">IF(INDEX(選手一覧!$H$7:$H$2738,$F1097)="","",INDEX(選手一覧!$H$7:$H$2738,$F1097))</f>
        <v/>
      </c>
      <c r="J1097" s="12" t="str">
        <f aca="false">IF(INDEX(選手一覧!$I$7:$I$2738,$F1097)="","",INDEX(選手一覧!$I$7:$I$2738,$F1097))</f>
        <v/>
      </c>
    </row>
    <row r="1098" customFormat="false" ht="15" hidden="false" customHeight="false" outlineLevel="0" collapsed="false">
      <c r="A1098" s="12" t="n">
        <v>1094</v>
      </c>
      <c r="B1098" s="10" t="s">
        <v>1053</v>
      </c>
      <c r="C1098" s="10" t="s">
        <v>484</v>
      </c>
      <c r="D1098" s="11" t="n">
        <v>0.00772731481481481</v>
      </c>
      <c r="E1098" s="18" t="n">
        <f aca="false">ROUND((D1098-$D$5)*86400,2)</f>
        <v>128.62</v>
      </c>
      <c r="F1098" s="12" t="n">
        <v>706</v>
      </c>
      <c r="G1098" s="11" t="n">
        <f aca="false">IF(INDEX(選手一覧!$D$7:$D$2738,$F1098)="","",INDEX(選手一覧!$D$7:$D$2738,$F1098))</f>
        <v>0.0104486111111111</v>
      </c>
      <c r="H1098" s="12" t="n">
        <f aca="false">IF(INDEX(選手一覧!$E$7:$E$2738,$F1098)="","",INDEX(選手一覧!$E$7:$E$2738,$F1098))</f>
        <v>303</v>
      </c>
      <c r="I1098" s="11" t="n">
        <f aca="false">IF(INDEX(選手一覧!$H$7:$H$2738,$F1098)="","",INDEX(選手一覧!$H$7:$H$2738,$F1098))</f>
        <v>0.00287083333333333</v>
      </c>
      <c r="J1098" s="12" t="n">
        <f aca="false">IF(INDEX(選手一覧!$I$7:$I$2738,$F1098)="","",INDEX(選手一覧!$I$7:$I$2738,$F1098))</f>
        <v>703</v>
      </c>
    </row>
    <row r="1099" customFormat="false" ht="15" hidden="false" customHeight="false" outlineLevel="0" collapsed="false">
      <c r="A1099" s="12" t="n">
        <v>1095</v>
      </c>
      <c r="B1099" s="10" t="s">
        <v>3182</v>
      </c>
      <c r="C1099" s="10" t="s">
        <v>3183</v>
      </c>
      <c r="D1099" s="11" t="n">
        <v>0.0077275462962963</v>
      </c>
      <c r="E1099" s="18" t="n">
        <f aca="false">ROUND((D1099-$D$5)*86400,2)</f>
        <v>128.64</v>
      </c>
      <c r="F1099" s="12" t="n">
        <v>2238</v>
      </c>
      <c r="G1099" s="11" t="str">
        <f aca="false">IF(INDEX(選手一覧!$D$7:$D$2738,$F1099)="","",INDEX(選手一覧!$D$7:$D$2738,$F1099))</f>
        <v/>
      </c>
      <c r="H1099" s="12" t="str">
        <f aca="false">IF(INDEX(選手一覧!$E$7:$E$2738,$F1099)="","",INDEX(選手一覧!$E$7:$E$2738,$F1099))</f>
        <v/>
      </c>
      <c r="I1099" s="11" t="str">
        <f aca="false">IF(INDEX(選手一覧!$H$7:$H$2738,$F1099)="","",INDEX(選手一覧!$H$7:$H$2738,$F1099))</f>
        <v/>
      </c>
      <c r="J1099" s="12" t="str">
        <f aca="false">IF(INDEX(選手一覧!$I$7:$I$2738,$F1099)="","",INDEX(選手一覧!$I$7:$I$2738,$F1099))</f>
        <v/>
      </c>
    </row>
    <row r="1100" customFormat="false" ht="15" hidden="false" customHeight="false" outlineLevel="0" collapsed="false">
      <c r="A1100" s="12" t="n">
        <v>1096</v>
      </c>
      <c r="B1100" s="10" t="s">
        <v>3184</v>
      </c>
      <c r="C1100" s="10" t="s">
        <v>1372</v>
      </c>
      <c r="D1100" s="11" t="n">
        <v>0.00772939814814815</v>
      </c>
      <c r="E1100" s="18" t="n">
        <f aca="false">ROUND((D1100-$D$5)*86400,2)</f>
        <v>128.8</v>
      </c>
      <c r="F1100" s="12" t="n">
        <v>2239</v>
      </c>
      <c r="G1100" s="11" t="str">
        <f aca="false">IF(INDEX(選手一覧!$D$7:$D$2738,$F1100)="","",INDEX(選手一覧!$D$7:$D$2738,$F1100))</f>
        <v/>
      </c>
      <c r="H1100" s="12" t="str">
        <f aca="false">IF(INDEX(選手一覧!$E$7:$E$2738,$F1100)="","",INDEX(選手一覧!$E$7:$E$2738,$F1100))</f>
        <v/>
      </c>
      <c r="I1100" s="11" t="str">
        <f aca="false">IF(INDEX(選手一覧!$H$7:$H$2738,$F1100)="","",INDEX(選手一覧!$H$7:$H$2738,$F1100))</f>
        <v/>
      </c>
      <c r="J1100" s="12" t="str">
        <f aca="false">IF(INDEX(選手一覧!$I$7:$I$2738,$F1100)="","",INDEX(選手一覧!$I$7:$I$2738,$F1100))</f>
        <v/>
      </c>
    </row>
    <row r="1101" customFormat="false" ht="15" hidden="false" customHeight="false" outlineLevel="0" collapsed="false">
      <c r="A1101" s="12" t="n">
        <v>1097</v>
      </c>
      <c r="B1101" s="10" t="s">
        <v>3187</v>
      </c>
      <c r="C1101" s="10" t="s">
        <v>3188</v>
      </c>
      <c r="D1101" s="11" t="n">
        <v>0.00773078703703704</v>
      </c>
      <c r="E1101" s="18" t="n">
        <f aca="false">ROUND((D1101-$D$5)*86400,2)</f>
        <v>128.92</v>
      </c>
      <c r="F1101" s="12" t="n">
        <v>2241</v>
      </c>
      <c r="G1101" s="11" t="str">
        <f aca="false">IF(INDEX(選手一覧!$D$7:$D$2738,$F1101)="","",INDEX(選手一覧!$D$7:$D$2738,$F1101))</f>
        <v/>
      </c>
      <c r="H1101" s="12" t="str">
        <f aca="false">IF(INDEX(選手一覧!$E$7:$E$2738,$F1101)="","",INDEX(選手一覧!$E$7:$E$2738,$F1101))</f>
        <v/>
      </c>
      <c r="I1101" s="11" t="str">
        <f aca="false">IF(INDEX(選手一覧!$H$7:$H$2738,$F1101)="","",INDEX(選手一覧!$H$7:$H$2738,$F1101))</f>
        <v/>
      </c>
      <c r="J1101" s="12" t="str">
        <f aca="false">IF(INDEX(選手一覧!$I$7:$I$2738,$F1101)="","",INDEX(選手一覧!$I$7:$I$2738,$F1101))</f>
        <v/>
      </c>
    </row>
    <row r="1102" customFormat="false" ht="15" hidden="false" customHeight="false" outlineLevel="0" collapsed="false">
      <c r="A1102" s="12" t="n">
        <v>1098</v>
      </c>
      <c r="B1102" s="10" t="s">
        <v>3190</v>
      </c>
      <c r="C1102" s="10" t="s">
        <v>3191</v>
      </c>
      <c r="D1102" s="11" t="n">
        <v>0.00773078703703704</v>
      </c>
      <c r="E1102" s="18" t="n">
        <f aca="false">ROUND((D1102-$D$5)*86400,2)</f>
        <v>128.92</v>
      </c>
      <c r="F1102" s="12" t="n">
        <v>2243</v>
      </c>
      <c r="G1102" s="11" t="str">
        <f aca="false">IF(INDEX(選手一覧!$D$7:$D$2738,$F1102)="","",INDEX(選手一覧!$D$7:$D$2738,$F1102))</f>
        <v/>
      </c>
      <c r="H1102" s="12" t="str">
        <f aca="false">IF(INDEX(選手一覧!$E$7:$E$2738,$F1102)="","",INDEX(選手一覧!$E$7:$E$2738,$F1102))</f>
        <v/>
      </c>
      <c r="I1102" s="11" t="str">
        <f aca="false">IF(INDEX(選手一覧!$H$7:$H$2738,$F1102)="","",INDEX(選手一覧!$H$7:$H$2738,$F1102))</f>
        <v/>
      </c>
      <c r="J1102" s="12" t="str">
        <f aca="false">IF(INDEX(選手一覧!$I$7:$I$2738,$F1102)="","",INDEX(選手一覧!$I$7:$I$2738,$F1102))</f>
        <v/>
      </c>
    </row>
    <row r="1103" customFormat="false" ht="15" hidden="false" customHeight="false" outlineLevel="0" collapsed="false">
      <c r="A1103" s="12" t="n">
        <v>1099</v>
      </c>
      <c r="B1103" s="10" t="s">
        <v>3192</v>
      </c>
      <c r="C1103" s="10" t="s">
        <v>938</v>
      </c>
      <c r="D1103" s="11" t="n">
        <v>0.00773078703703704</v>
      </c>
      <c r="E1103" s="18" t="n">
        <f aca="false">ROUND((D1103-$D$5)*86400,2)</f>
        <v>128.92</v>
      </c>
      <c r="F1103" s="12" t="n">
        <v>2244</v>
      </c>
      <c r="G1103" s="11" t="str">
        <f aca="false">IF(INDEX(選手一覧!$D$7:$D$2738,$F1103)="","",INDEX(選手一覧!$D$7:$D$2738,$F1103))</f>
        <v/>
      </c>
      <c r="H1103" s="12" t="str">
        <f aca="false">IF(INDEX(選手一覧!$E$7:$E$2738,$F1103)="","",INDEX(選手一覧!$E$7:$E$2738,$F1103))</f>
        <v/>
      </c>
      <c r="I1103" s="11" t="str">
        <f aca="false">IF(INDEX(選手一覧!$H$7:$H$2738,$F1103)="","",INDEX(選手一覧!$H$7:$H$2738,$F1103))</f>
        <v/>
      </c>
      <c r="J1103" s="12" t="str">
        <f aca="false">IF(INDEX(選手一覧!$I$7:$I$2738,$F1103)="","",INDEX(選手一覧!$I$7:$I$2738,$F1103))</f>
        <v/>
      </c>
    </row>
    <row r="1104" customFormat="false" ht="15" hidden="false" customHeight="false" outlineLevel="0" collapsed="false">
      <c r="A1104" s="12" t="n">
        <v>1100</v>
      </c>
      <c r="B1104" s="10" t="s">
        <v>3196</v>
      </c>
      <c r="C1104" s="10" t="s">
        <v>2285</v>
      </c>
      <c r="D1104" s="11" t="n">
        <v>0.0077318287037037</v>
      </c>
      <c r="E1104" s="18" t="n">
        <f aca="false">ROUND((D1104-$D$5)*86400,2)</f>
        <v>129.01</v>
      </c>
      <c r="F1104" s="12" t="n">
        <v>2247</v>
      </c>
      <c r="G1104" s="11" t="str">
        <f aca="false">IF(INDEX(選手一覧!$D$7:$D$2738,$F1104)="","",INDEX(選手一覧!$D$7:$D$2738,$F1104))</f>
        <v/>
      </c>
      <c r="H1104" s="12" t="str">
        <f aca="false">IF(INDEX(選手一覧!$E$7:$E$2738,$F1104)="","",INDEX(選手一覧!$E$7:$E$2738,$F1104))</f>
        <v/>
      </c>
      <c r="I1104" s="11" t="str">
        <f aca="false">IF(INDEX(選手一覧!$H$7:$H$2738,$F1104)="","",INDEX(選手一覧!$H$7:$H$2738,$F1104))</f>
        <v/>
      </c>
      <c r="J1104" s="12" t="str">
        <f aca="false">IF(INDEX(選手一覧!$I$7:$I$2738,$F1104)="","",INDEX(選手一覧!$I$7:$I$2738,$F1104))</f>
        <v/>
      </c>
    </row>
    <row r="1105" customFormat="false" ht="15" hidden="false" customHeight="false" outlineLevel="0" collapsed="false">
      <c r="A1105" s="12" t="n">
        <v>1101</v>
      </c>
      <c r="B1105" s="10" t="s">
        <v>3197</v>
      </c>
      <c r="C1105" s="10" t="s">
        <v>1849</v>
      </c>
      <c r="D1105" s="11" t="n">
        <v>0.00773206018518519</v>
      </c>
      <c r="E1105" s="18" t="n">
        <f aca="false">ROUND((D1105-$D$5)*86400,2)</f>
        <v>129.03</v>
      </c>
      <c r="F1105" s="12" t="n">
        <v>2248</v>
      </c>
      <c r="G1105" s="11" t="str">
        <f aca="false">IF(INDEX(選手一覧!$D$7:$D$2738,$F1105)="","",INDEX(選手一覧!$D$7:$D$2738,$F1105))</f>
        <v/>
      </c>
      <c r="H1105" s="12" t="str">
        <f aca="false">IF(INDEX(選手一覧!$E$7:$E$2738,$F1105)="","",INDEX(選手一覧!$E$7:$E$2738,$F1105))</f>
        <v/>
      </c>
      <c r="I1105" s="11" t="str">
        <f aca="false">IF(INDEX(選手一覧!$H$7:$H$2738,$F1105)="","",INDEX(選手一覧!$H$7:$H$2738,$F1105))</f>
        <v/>
      </c>
      <c r="J1105" s="12" t="str">
        <f aca="false">IF(INDEX(選手一覧!$I$7:$I$2738,$F1105)="","",INDEX(選手一覧!$I$7:$I$2738,$F1105))</f>
        <v/>
      </c>
    </row>
    <row r="1106" customFormat="false" ht="15" hidden="false" customHeight="false" outlineLevel="0" collapsed="false">
      <c r="A1106" s="12" t="n">
        <v>1102</v>
      </c>
      <c r="B1106" s="10" t="s">
        <v>3201</v>
      </c>
      <c r="C1106" s="10" t="s">
        <v>3202</v>
      </c>
      <c r="D1106" s="11" t="n">
        <v>0.00773298611111111</v>
      </c>
      <c r="E1106" s="18" t="n">
        <f aca="false">ROUND((D1106-$D$5)*86400,2)</f>
        <v>129.11</v>
      </c>
      <c r="F1106" s="12" t="n">
        <v>2251</v>
      </c>
      <c r="G1106" s="11" t="str">
        <f aca="false">IF(INDEX(選手一覧!$D$7:$D$2738,$F1106)="","",INDEX(選手一覧!$D$7:$D$2738,$F1106))</f>
        <v/>
      </c>
      <c r="H1106" s="12" t="str">
        <f aca="false">IF(INDEX(選手一覧!$E$7:$E$2738,$F1106)="","",INDEX(選手一覧!$E$7:$E$2738,$F1106))</f>
        <v/>
      </c>
      <c r="I1106" s="11" t="str">
        <f aca="false">IF(INDEX(選手一覧!$H$7:$H$2738,$F1106)="","",INDEX(選手一覧!$H$7:$H$2738,$F1106))</f>
        <v/>
      </c>
      <c r="J1106" s="12" t="str">
        <f aca="false">IF(INDEX(選手一覧!$I$7:$I$2738,$F1106)="","",INDEX(選手一覧!$I$7:$I$2738,$F1106))</f>
        <v/>
      </c>
    </row>
    <row r="1107" customFormat="false" ht="15" hidden="false" customHeight="false" outlineLevel="0" collapsed="false">
      <c r="A1107" s="12" t="n">
        <v>1103</v>
      </c>
      <c r="B1107" s="10" t="s">
        <v>3203</v>
      </c>
      <c r="C1107" s="10" t="s">
        <v>1219</v>
      </c>
      <c r="D1107" s="11" t="n">
        <v>0.00773622685185185</v>
      </c>
      <c r="E1107" s="18" t="n">
        <f aca="false">ROUND((D1107-$D$5)*86400,2)</f>
        <v>129.39</v>
      </c>
      <c r="F1107" s="12" t="n">
        <v>2252</v>
      </c>
      <c r="G1107" s="11" t="str">
        <f aca="false">IF(INDEX(選手一覧!$D$7:$D$2738,$F1107)="","",INDEX(選手一覧!$D$7:$D$2738,$F1107))</f>
        <v/>
      </c>
      <c r="H1107" s="12" t="str">
        <f aca="false">IF(INDEX(選手一覧!$E$7:$E$2738,$F1107)="","",INDEX(選手一覧!$E$7:$E$2738,$F1107))</f>
        <v/>
      </c>
      <c r="I1107" s="11" t="str">
        <f aca="false">IF(INDEX(選手一覧!$H$7:$H$2738,$F1107)="","",INDEX(選手一覧!$H$7:$H$2738,$F1107))</f>
        <v/>
      </c>
      <c r="J1107" s="12" t="str">
        <f aca="false">IF(INDEX(選手一覧!$I$7:$I$2738,$F1107)="","",INDEX(選手一覧!$I$7:$I$2738,$F1107))</f>
        <v/>
      </c>
    </row>
    <row r="1108" customFormat="false" ht="15" hidden="false" customHeight="false" outlineLevel="0" collapsed="false">
      <c r="A1108" s="12" t="n">
        <v>1104</v>
      </c>
      <c r="B1108" s="10" t="s">
        <v>3205</v>
      </c>
      <c r="C1108" s="10" t="s">
        <v>3206</v>
      </c>
      <c r="D1108" s="11" t="n">
        <v>0.00773912037037037</v>
      </c>
      <c r="E1108" s="18" t="n">
        <f aca="false">ROUND((D1108-$D$5)*86400,2)</f>
        <v>129.64</v>
      </c>
      <c r="F1108" s="12" t="n">
        <v>2254</v>
      </c>
      <c r="G1108" s="11" t="str">
        <f aca="false">IF(INDEX(選手一覧!$D$7:$D$2738,$F1108)="","",INDEX(選手一覧!$D$7:$D$2738,$F1108))</f>
        <v/>
      </c>
      <c r="H1108" s="12" t="str">
        <f aca="false">IF(INDEX(選手一覧!$E$7:$E$2738,$F1108)="","",INDEX(選手一覧!$E$7:$E$2738,$F1108))</f>
        <v/>
      </c>
      <c r="I1108" s="11" t="str">
        <f aca="false">IF(INDEX(選手一覧!$H$7:$H$2738,$F1108)="","",INDEX(選手一覧!$H$7:$H$2738,$F1108))</f>
        <v/>
      </c>
      <c r="J1108" s="12" t="str">
        <f aca="false">IF(INDEX(選手一覧!$I$7:$I$2738,$F1108)="","",INDEX(選手一覧!$I$7:$I$2738,$F1108))</f>
        <v/>
      </c>
    </row>
    <row r="1109" customFormat="false" ht="15" hidden="false" customHeight="false" outlineLevel="0" collapsed="false">
      <c r="A1109" s="12" t="n">
        <v>1105</v>
      </c>
      <c r="B1109" s="10" t="s">
        <v>3209</v>
      </c>
      <c r="C1109" s="10" t="s">
        <v>769</v>
      </c>
      <c r="D1109" s="11" t="n">
        <v>0.00774155092592593</v>
      </c>
      <c r="E1109" s="18" t="n">
        <f aca="false">ROUND((D1109-$D$5)*86400,2)</f>
        <v>129.85</v>
      </c>
      <c r="F1109" s="12" t="n">
        <v>2257</v>
      </c>
      <c r="G1109" s="11" t="str">
        <f aca="false">IF(INDEX(選手一覧!$D$7:$D$2738,$F1109)="","",INDEX(選手一覧!$D$7:$D$2738,$F1109))</f>
        <v/>
      </c>
      <c r="H1109" s="12" t="str">
        <f aca="false">IF(INDEX(選手一覧!$E$7:$E$2738,$F1109)="","",INDEX(選手一覧!$E$7:$E$2738,$F1109))</f>
        <v/>
      </c>
      <c r="I1109" s="11" t="str">
        <f aca="false">IF(INDEX(選手一覧!$H$7:$H$2738,$F1109)="","",INDEX(選手一覧!$H$7:$H$2738,$F1109))</f>
        <v/>
      </c>
      <c r="J1109" s="12" t="str">
        <f aca="false">IF(INDEX(選手一覧!$I$7:$I$2738,$F1109)="","",INDEX(選手一覧!$I$7:$I$2738,$F1109))</f>
        <v/>
      </c>
    </row>
    <row r="1110" customFormat="false" ht="15" hidden="false" customHeight="false" outlineLevel="0" collapsed="false">
      <c r="A1110" s="12" t="n">
        <v>1106</v>
      </c>
      <c r="B1110" s="10" t="s">
        <v>3211</v>
      </c>
      <c r="C1110" s="10" t="s">
        <v>1942</v>
      </c>
      <c r="D1110" s="11" t="n">
        <v>0.00774282407407408</v>
      </c>
      <c r="E1110" s="18" t="n">
        <f aca="false">ROUND((D1110-$D$5)*86400,2)</f>
        <v>129.96</v>
      </c>
      <c r="F1110" s="12" t="n">
        <v>2259</v>
      </c>
      <c r="G1110" s="11" t="str">
        <f aca="false">IF(INDEX(選手一覧!$D$7:$D$2738,$F1110)="","",INDEX(選手一覧!$D$7:$D$2738,$F1110))</f>
        <v/>
      </c>
      <c r="H1110" s="12" t="str">
        <f aca="false">IF(INDEX(選手一覧!$E$7:$E$2738,$F1110)="","",INDEX(選手一覧!$E$7:$E$2738,$F1110))</f>
        <v/>
      </c>
      <c r="I1110" s="11" t="str">
        <f aca="false">IF(INDEX(選手一覧!$H$7:$H$2738,$F1110)="","",INDEX(選手一覧!$H$7:$H$2738,$F1110))</f>
        <v/>
      </c>
      <c r="J1110" s="12" t="str">
        <f aca="false">IF(INDEX(選手一覧!$I$7:$I$2738,$F1110)="","",INDEX(選手一覧!$I$7:$I$2738,$F1110))</f>
        <v/>
      </c>
    </row>
    <row r="1111" customFormat="false" ht="15" hidden="false" customHeight="false" outlineLevel="0" collapsed="false">
      <c r="A1111" s="12" t="n">
        <v>1107</v>
      </c>
      <c r="B1111" s="10" t="s">
        <v>3213</v>
      </c>
      <c r="C1111" s="10" t="s">
        <v>3214</v>
      </c>
      <c r="D1111" s="11" t="n">
        <v>0.00774375</v>
      </c>
      <c r="E1111" s="18" t="n">
        <f aca="false">ROUND((D1111-$D$5)*86400,2)</f>
        <v>130.04</v>
      </c>
      <c r="F1111" s="12" t="n">
        <v>2261</v>
      </c>
      <c r="G1111" s="11" t="str">
        <f aca="false">IF(INDEX(選手一覧!$D$7:$D$2738,$F1111)="","",INDEX(選手一覧!$D$7:$D$2738,$F1111))</f>
        <v/>
      </c>
      <c r="H1111" s="12" t="str">
        <f aca="false">IF(INDEX(選手一覧!$E$7:$E$2738,$F1111)="","",INDEX(選手一覧!$E$7:$E$2738,$F1111))</f>
        <v/>
      </c>
      <c r="I1111" s="11" t="str">
        <f aca="false">IF(INDEX(選手一覧!$H$7:$H$2738,$F1111)="","",INDEX(選手一覧!$H$7:$H$2738,$F1111))</f>
        <v/>
      </c>
      <c r="J1111" s="12" t="str">
        <f aca="false">IF(INDEX(選手一覧!$I$7:$I$2738,$F1111)="","",INDEX(選手一覧!$I$7:$I$2738,$F1111))</f>
        <v/>
      </c>
    </row>
    <row r="1112" customFormat="false" ht="15" hidden="false" customHeight="false" outlineLevel="0" collapsed="false">
      <c r="A1112" s="12" t="n">
        <v>1108</v>
      </c>
      <c r="B1112" s="10" t="s">
        <v>3215</v>
      </c>
      <c r="C1112" s="10" t="s">
        <v>3216</v>
      </c>
      <c r="D1112" s="11" t="n">
        <v>0.00774398148148148</v>
      </c>
      <c r="E1112" s="18" t="n">
        <f aca="false">ROUND((D1112-$D$5)*86400,2)</f>
        <v>130.06</v>
      </c>
      <c r="F1112" s="12" t="n">
        <v>2262</v>
      </c>
      <c r="G1112" s="11" t="str">
        <f aca="false">IF(INDEX(選手一覧!$D$7:$D$2738,$F1112)="","",INDEX(選手一覧!$D$7:$D$2738,$F1112))</f>
        <v/>
      </c>
      <c r="H1112" s="12" t="str">
        <f aca="false">IF(INDEX(選手一覧!$E$7:$E$2738,$F1112)="","",INDEX(選手一覧!$E$7:$E$2738,$F1112))</f>
        <v/>
      </c>
      <c r="I1112" s="11" t="str">
        <f aca="false">IF(INDEX(選手一覧!$H$7:$H$2738,$F1112)="","",INDEX(選手一覧!$H$7:$H$2738,$F1112))</f>
        <v/>
      </c>
      <c r="J1112" s="12" t="str">
        <f aca="false">IF(INDEX(選手一覧!$I$7:$I$2738,$F1112)="","",INDEX(選手一覧!$I$7:$I$2738,$F1112))</f>
        <v/>
      </c>
    </row>
    <row r="1113" customFormat="false" ht="15" hidden="false" customHeight="false" outlineLevel="0" collapsed="false">
      <c r="A1113" s="12" t="n">
        <v>1109</v>
      </c>
      <c r="B1113" s="10" t="s">
        <v>3220</v>
      </c>
      <c r="C1113" s="10" t="s">
        <v>60</v>
      </c>
      <c r="D1113" s="11" t="n">
        <v>0.00774525462962963</v>
      </c>
      <c r="E1113" s="18" t="n">
        <f aca="false">ROUND((D1113-$D$5)*86400,2)</f>
        <v>130.17</v>
      </c>
      <c r="F1113" s="12" t="n">
        <v>2265</v>
      </c>
      <c r="G1113" s="11" t="str">
        <f aca="false">IF(INDEX(選手一覧!$D$7:$D$2738,$F1113)="","",INDEX(選手一覧!$D$7:$D$2738,$F1113))</f>
        <v/>
      </c>
      <c r="H1113" s="12" t="str">
        <f aca="false">IF(INDEX(選手一覧!$E$7:$E$2738,$F1113)="","",INDEX(選手一覧!$E$7:$E$2738,$F1113))</f>
        <v/>
      </c>
      <c r="I1113" s="11" t="str">
        <f aca="false">IF(INDEX(選手一覧!$H$7:$H$2738,$F1113)="","",INDEX(選手一覧!$H$7:$H$2738,$F1113))</f>
        <v/>
      </c>
      <c r="J1113" s="12" t="str">
        <f aca="false">IF(INDEX(選手一覧!$I$7:$I$2738,$F1113)="","",INDEX(選手一覧!$I$7:$I$2738,$F1113))</f>
        <v/>
      </c>
    </row>
    <row r="1114" customFormat="false" ht="15" hidden="false" customHeight="false" outlineLevel="0" collapsed="false">
      <c r="A1114" s="12" t="n">
        <v>1110</v>
      </c>
      <c r="B1114" s="10" t="s">
        <v>3223</v>
      </c>
      <c r="C1114" s="10" t="s">
        <v>1907</v>
      </c>
      <c r="D1114" s="11" t="n">
        <v>0.00774525462962963</v>
      </c>
      <c r="E1114" s="18" t="n">
        <f aca="false">ROUND((D1114-$D$5)*86400,2)</f>
        <v>130.17</v>
      </c>
      <c r="F1114" s="12" t="n">
        <v>2267</v>
      </c>
      <c r="G1114" s="11" t="str">
        <f aca="false">IF(INDEX(選手一覧!$D$7:$D$2738,$F1114)="","",INDEX(選手一覧!$D$7:$D$2738,$F1114))</f>
        <v/>
      </c>
      <c r="H1114" s="12" t="str">
        <f aca="false">IF(INDEX(選手一覧!$E$7:$E$2738,$F1114)="","",INDEX(選手一覧!$E$7:$E$2738,$F1114))</f>
        <v/>
      </c>
      <c r="I1114" s="11" t="str">
        <f aca="false">IF(INDEX(選手一覧!$H$7:$H$2738,$F1114)="","",INDEX(選手一覧!$H$7:$H$2738,$F1114))</f>
        <v/>
      </c>
      <c r="J1114" s="12" t="str">
        <f aca="false">IF(INDEX(選手一覧!$I$7:$I$2738,$F1114)="","",INDEX(選手一覧!$I$7:$I$2738,$F1114))</f>
        <v/>
      </c>
    </row>
    <row r="1115" customFormat="false" ht="15" hidden="false" customHeight="false" outlineLevel="0" collapsed="false">
      <c r="A1115" s="12" t="n">
        <v>1111</v>
      </c>
      <c r="B1115" s="10" t="s">
        <v>3227</v>
      </c>
      <c r="C1115" s="10" t="s">
        <v>45</v>
      </c>
      <c r="D1115" s="11" t="n">
        <v>0.00774652777777778</v>
      </c>
      <c r="E1115" s="18" t="n">
        <f aca="false">ROUND((D1115-$D$5)*86400,2)</f>
        <v>130.28</v>
      </c>
      <c r="F1115" s="12" t="n">
        <v>2271</v>
      </c>
      <c r="G1115" s="11" t="str">
        <f aca="false">IF(INDEX(選手一覧!$D$7:$D$2738,$F1115)="","",INDEX(選手一覧!$D$7:$D$2738,$F1115))</f>
        <v/>
      </c>
      <c r="H1115" s="12" t="str">
        <f aca="false">IF(INDEX(選手一覧!$E$7:$E$2738,$F1115)="","",INDEX(選手一覧!$E$7:$E$2738,$F1115))</f>
        <v/>
      </c>
      <c r="I1115" s="11" t="str">
        <f aca="false">IF(INDEX(選手一覧!$H$7:$H$2738,$F1115)="","",INDEX(選手一覧!$H$7:$H$2738,$F1115))</f>
        <v/>
      </c>
      <c r="J1115" s="12" t="str">
        <f aca="false">IF(INDEX(選手一覧!$I$7:$I$2738,$F1115)="","",INDEX(選手一覧!$I$7:$I$2738,$F1115))</f>
        <v/>
      </c>
    </row>
    <row r="1116" customFormat="false" ht="15" hidden="false" customHeight="false" outlineLevel="0" collapsed="false">
      <c r="A1116" s="12" t="n">
        <v>1112</v>
      </c>
      <c r="B1116" s="10" t="s">
        <v>3229</v>
      </c>
      <c r="C1116" s="10" t="s">
        <v>149</v>
      </c>
      <c r="D1116" s="11" t="n">
        <v>0.00774930555555556</v>
      </c>
      <c r="E1116" s="18" t="n">
        <f aca="false">ROUND((D1116-$D$5)*86400,2)</f>
        <v>130.52</v>
      </c>
      <c r="F1116" s="12" t="n">
        <v>2273</v>
      </c>
      <c r="G1116" s="11" t="str">
        <f aca="false">IF(INDEX(選手一覧!$D$7:$D$2738,$F1116)="","",INDEX(選手一覧!$D$7:$D$2738,$F1116))</f>
        <v/>
      </c>
      <c r="H1116" s="12" t="str">
        <f aca="false">IF(INDEX(選手一覧!$E$7:$E$2738,$F1116)="","",INDEX(選手一覧!$E$7:$E$2738,$F1116))</f>
        <v/>
      </c>
      <c r="I1116" s="11" t="str">
        <f aca="false">IF(INDEX(選手一覧!$H$7:$H$2738,$F1116)="","",INDEX(選手一覧!$H$7:$H$2738,$F1116))</f>
        <v/>
      </c>
      <c r="J1116" s="12" t="str">
        <f aca="false">IF(INDEX(選手一覧!$I$7:$I$2738,$F1116)="","",INDEX(選手一覧!$I$7:$I$2738,$F1116))</f>
        <v/>
      </c>
    </row>
    <row r="1117" customFormat="false" ht="15" hidden="false" customHeight="false" outlineLevel="0" collapsed="false">
      <c r="A1117" s="12" t="n">
        <v>1113</v>
      </c>
      <c r="B1117" s="10" t="s">
        <v>3230</v>
      </c>
      <c r="C1117" s="10" t="s">
        <v>175</v>
      </c>
      <c r="D1117" s="11" t="n">
        <v>0.00775173611111111</v>
      </c>
      <c r="E1117" s="18" t="n">
        <f aca="false">ROUND((D1117-$D$5)*86400,2)</f>
        <v>130.73</v>
      </c>
      <c r="F1117" s="12" t="n">
        <v>2274</v>
      </c>
      <c r="G1117" s="11" t="str">
        <f aca="false">IF(INDEX(選手一覧!$D$7:$D$2738,$F1117)="","",INDEX(選手一覧!$D$7:$D$2738,$F1117))</f>
        <v/>
      </c>
      <c r="H1117" s="12" t="str">
        <f aca="false">IF(INDEX(選手一覧!$E$7:$E$2738,$F1117)="","",INDEX(選手一覧!$E$7:$E$2738,$F1117))</f>
        <v/>
      </c>
      <c r="I1117" s="11" t="str">
        <f aca="false">IF(INDEX(選手一覧!$H$7:$H$2738,$F1117)="","",INDEX(選手一覧!$H$7:$H$2738,$F1117))</f>
        <v/>
      </c>
      <c r="J1117" s="12" t="str">
        <f aca="false">IF(INDEX(選手一覧!$I$7:$I$2738,$F1117)="","",INDEX(選手一覧!$I$7:$I$2738,$F1117))</f>
        <v/>
      </c>
    </row>
    <row r="1118" customFormat="false" ht="15" hidden="false" customHeight="false" outlineLevel="0" collapsed="false">
      <c r="A1118" s="12" t="n">
        <v>1114</v>
      </c>
      <c r="B1118" s="10" t="s">
        <v>3233</v>
      </c>
      <c r="C1118" s="10" t="s">
        <v>1239</v>
      </c>
      <c r="D1118" s="11" t="n">
        <v>0.00775231481481481</v>
      </c>
      <c r="E1118" s="18" t="n">
        <f aca="false">ROUND((D1118-$D$5)*86400,2)</f>
        <v>130.78</v>
      </c>
      <c r="F1118" s="12" t="n">
        <v>2276</v>
      </c>
      <c r="G1118" s="11" t="str">
        <f aca="false">IF(INDEX(選手一覧!$D$7:$D$2738,$F1118)="","",INDEX(選手一覧!$D$7:$D$2738,$F1118))</f>
        <v/>
      </c>
      <c r="H1118" s="12" t="str">
        <f aca="false">IF(INDEX(選手一覧!$E$7:$E$2738,$F1118)="","",INDEX(選手一覧!$E$7:$E$2738,$F1118))</f>
        <v/>
      </c>
      <c r="I1118" s="11" t="str">
        <f aca="false">IF(INDEX(選手一覧!$H$7:$H$2738,$F1118)="","",INDEX(選手一覧!$H$7:$H$2738,$F1118))</f>
        <v/>
      </c>
      <c r="J1118" s="12" t="str">
        <f aca="false">IF(INDEX(選手一覧!$I$7:$I$2738,$F1118)="","",INDEX(選手一覧!$I$7:$I$2738,$F1118))</f>
        <v/>
      </c>
    </row>
    <row r="1119" customFormat="false" ht="15" hidden="false" customHeight="false" outlineLevel="0" collapsed="false">
      <c r="A1119" s="12" t="n">
        <v>1115</v>
      </c>
      <c r="B1119" s="10" t="s">
        <v>3235</v>
      </c>
      <c r="C1119" s="10" t="s">
        <v>3236</v>
      </c>
      <c r="D1119" s="11" t="n">
        <v>0.00775266203703704</v>
      </c>
      <c r="E1119" s="18" t="n">
        <f aca="false">ROUND((D1119-$D$5)*86400,2)</f>
        <v>130.81</v>
      </c>
      <c r="F1119" s="12" t="n">
        <v>2278</v>
      </c>
      <c r="G1119" s="11" t="str">
        <f aca="false">IF(INDEX(選手一覧!$D$7:$D$2738,$F1119)="","",INDEX(選手一覧!$D$7:$D$2738,$F1119))</f>
        <v/>
      </c>
      <c r="H1119" s="12" t="str">
        <f aca="false">IF(INDEX(選手一覧!$E$7:$E$2738,$F1119)="","",INDEX(選手一覧!$E$7:$E$2738,$F1119))</f>
        <v/>
      </c>
      <c r="I1119" s="11" t="str">
        <f aca="false">IF(INDEX(選手一覧!$H$7:$H$2738,$F1119)="","",INDEX(選手一覧!$H$7:$H$2738,$F1119))</f>
        <v/>
      </c>
      <c r="J1119" s="12" t="str">
        <f aca="false">IF(INDEX(選手一覧!$I$7:$I$2738,$F1119)="","",INDEX(選手一覧!$I$7:$I$2738,$F1119))</f>
        <v/>
      </c>
    </row>
    <row r="1120" customFormat="false" ht="15" hidden="false" customHeight="false" outlineLevel="0" collapsed="false">
      <c r="A1120" s="12" t="n">
        <v>1116</v>
      </c>
      <c r="B1120" s="10" t="s">
        <v>3238</v>
      </c>
      <c r="C1120" s="10" t="s">
        <v>1982</v>
      </c>
      <c r="D1120" s="11" t="n">
        <v>0.00775324074074074</v>
      </c>
      <c r="E1120" s="18" t="n">
        <f aca="false">ROUND((D1120-$D$5)*86400,2)</f>
        <v>130.86</v>
      </c>
      <c r="F1120" s="12" t="n">
        <v>2280</v>
      </c>
      <c r="G1120" s="11" t="str">
        <f aca="false">IF(INDEX(選手一覧!$D$7:$D$2738,$F1120)="","",INDEX(選手一覧!$D$7:$D$2738,$F1120))</f>
        <v/>
      </c>
      <c r="H1120" s="12" t="str">
        <f aca="false">IF(INDEX(選手一覧!$E$7:$E$2738,$F1120)="","",INDEX(選手一覧!$E$7:$E$2738,$F1120))</f>
        <v/>
      </c>
      <c r="I1120" s="11" t="str">
        <f aca="false">IF(INDEX(選手一覧!$H$7:$H$2738,$F1120)="","",INDEX(選手一覧!$H$7:$H$2738,$F1120))</f>
        <v/>
      </c>
      <c r="J1120" s="12" t="str">
        <f aca="false">IF(INDEX(選手一覧!$I$7:$I$2738,$F1120)="","",INDEX(選手一覧!$I$7:$I$2738,$F1120))</f>
        <v/>
      </c>
    </row>
    <row r="1121" customFormat="false" ht="15" hidden="false" customHeight="false" outlineLevel="0" collapsed="false">
      <c r="A1121" s="12" t="n">
        <v>1117</v>
      </c>
      <c r="B1121" s="10" t="s">
        <v>3239</v>
      </c>
      <c r="C1121" s="10" t="s">
        <v>906</v>
      </c>
      <c r="D1121" s="11" t="n">
        <v>0.00775659722222222</v>
      </c>
      <c r="E1121" s="18" t="n">
        <f aca="false">ROUND((D1121-$D$5)*86400,2)</f>
        <v>131.15</v>
      </c>
      <c r="F1121" s="12" t="n">
        <v>2281</v>
      </c>
      <c r="G1121" s="11" t="str">
        <f aca="false">IF(INDEX(選手一覧!$D$7:$D$2738,$F1121)="","",INDEX(選手一覧!$D$7:$D$2738,$F1121))</f>
        <v/>
      </c>
      <c r="H1121" s="12" t="str">
        <f aca="false">IF(INDEX(選手一覧!$E$7:$E$2738,$F1121)="","",INDEX(選手一覧!$E$7:$E$2738,$F1121))</f>
        <v/>
      </c>
      <c r="I1121" s="11" t="str">
        <f aca="false">IF(INDEX(選手一覧!$H$7:$H$2738,$F1121)="","",INDEX(選手一覧!$H$7:$H$2738,$F1121))</f>
        <v/>
      </c>
      <c r="J1121" s="12" t="str">
        <f aca="false">IF(INDEX(選手一覧!$I$7:$I$2738,$F1121)="","",INDEX(選手一覧!$I$7:$I$2738,$F1121))</f>
        <v/>
      </c>
    </row>
    <row r="1122" customFormat="false" ht="15" hidden="false" customHeight="false" outlineLevel="0" collapsed="false">
      <c r="A1122" s="12" t="n">
        <v>1118</v>
      </c>
      <c r="B1122" s="10" t="s">
        <v>3241</v>
      </c>
      <c r="C1122" s="10" t="s">
        <v>193</v>
      </c>
      <c r="D1122" s="11" t="n">
        <v>0.00775763888888889</v>
      </c>
      <c r="E1122" s="18" t="n">
        <f aca="false">ROUND((D1122-$D$5)*86400,2)</f>
        <v>131.24</v>
      </c>
      <c r="F1122" s="12" t="n">
        <v>2283</v>
      </c>
      <c r="G1122" s="11" t="str">
        <f aca="false">IF(INDEX(選手一覧!$D$7:$D$2738,$F1122)="","",INDEX(選手一覧!$D$7:$D$2738,$F1122))</f>
        <v/>
      </c>
      <c r="H1122" s="12" t="str">
        <f aca="false">IF(INDEX(選手一覧!$E$7:$E$2738,$F1122)="","",INDEX(選手一覧!$E$7:$E$2738,$F1122))</f>
        <v/>
      </c>
      <c r="I1122" s="11" t="str">
        <f aca="false">IF(INDEX(選手一覧!$H$7:$H$2738,$F1122)="","",INDEX(選手一覧!$H$7:$H$2738,$F1122))</f>
        <v/>
      </c>
      <c r="J1122" s="12" t="str">
        <f aca="false">IF(INDEX(選手一覧!$I$7:$I$2738,$F1122)="","",INDEX(選手一覧!$I$7:$I$2738,$F1122))</f>
        <v/>
      </c>
    </row>
    <row r="1123" customFormat="false" ht="15" hidden="false" customHeight="false" outlineLevel="0" collapsed="false">
      <c r="A1123" s="12" t="n">
        <v>1119</v>
      </c>
      <c r="B1123" s="10" t="s">
        <v>3244</v>
      </c>
      <c r="C1123" s="10" t="s">
        <v>3245</v>
      </c>
      <c r="D1123" s="11" t="n">
        <v>0.00775833333333333</v>
      </c>
      <c r="E1123" s="18" t="n">
        <f aca="false">ROUND((D1123-$D$5)*86400,2)</f>
        <v>131.3</v>
      </c>
      <c r="F1123" s="12" t="n">
        <v>2285</v>
      </c>
      <c r="G1123" s="11" t="str">
        <f aca="false">IF(INDEX(選手一覧!$D$7:$D$2738,$F1123)="","",INDEX(選手一覧!$D$7:$D$2738,$F1123))</f>
        <v/>
      </c>
      <c r="H1123" s="12" t="str">
        <f aca="false">IF(INDEX(選手一覧!$E$7:$E$2738,$F1123)="","",INDEX(選手一覧!$E$7:$E$2738,$F1123))</f>
        <v/>
      </c>
      <c r="I1123" s="11" t="str">
        <f aca="false">IF(INDEX(選手一覧!$H$7:$H$2738,$F1123)="","",INDEX(選手一覧!$H$7:$H$2738,$F1123))</f>
        <v/>
      </c>
      <c r="J1123" s="12" t="str">
        <f aca="false">IF(INDEX(選手一覧!$I$7:$I$2738,$F1123)="","",INDEX(選手一覧!$I$7:$I$2738,$F1123))</f>
        <v/>
      </c>
    </row>
    <row r="1124" customFormat="false" ht="15" hidden="false" customHeight="false" outlineLevel="0" collapsed="false">
      <c r="A1124" s="12" t="n">
        <v>1120</v>
      </c>
      <c r="B1124" s="10" t="s">
        <v>3246</v>
      </c>
      <c r="C1124" s="10" t="s">
        <v>3247</v>
      </c>
      <c r="D1124" s="11" t="n">
        <v>0.00776018518518519</v>
      </c>
      <c r="E1124" s="18" t="n">
        <f aca="false">ROUND((D1124-$D$5)*86400,2)</f>
        <v>131.46</v>
      </c>
      <c r="F1124" s="12" t="n">
        <v>2286</v>
      </c>
      <c r="G1124" s="11" t="str">
        <f aca="false">IF(INDEX(選手一覧!$D$7:$D$2738,$F1124)="","",INDEX(選手一覧!$D$7:$D$2738,$F1124))</f>
        <v/>
      </c>
      <c r="H1124" s="12" t="str">
        <f aca="false">IF(INDEX(選手一覧!$E$7:$E$2738,$F1124)="","",INDEX(選手一覧!$E$7:$E$2738,$F1124))</f>
        <v/>
      </c>
      <c r="I1124" s="11" t="str">
        <f aca="false">IF(INDEX(選手一覧!$H$7:$H$2738,$F1124)="","",INDEX(選手一覧!$H$7:$H$2738,$F1124))</f>
        <v/>
      </c>
      <c r="J1124" s="12" t="str">
        <f aca="false">IF(INDEX(選手一覧!$I$7:$I$2738,$F1124)="","",INDEX(選手一覧!$I$7:$I$2738,$F1124))</f>
        <v/>
      </c>
    </row>
    <row r="1125" customFormat="false" ht="15" hidden="false" customHeight="false" outlineLevel="0" collapsed="false">
      <c r="A1125" s="12" t="n">
        <v>1121</v>
      </c>
      <c r="B1125" s="10" t="s">
        <v>3250</v>
      </c>
      <c r="C1125" s="10" t="s">
        <v>3251</v>
      </c>
      <c r="D1125" s="11" t="n">
        <v>0.00776076388888889</v>
      </c>
      <c r="E1125" s="18" t="n">
        <f aca="false">ROUND((D1125-$D$5)*86400,2)</f>
        <v>131.51</v>
      </c>
      <c r="F1125" s="12" t="n">
        <v>2288</v>
      </c>
      <c r="G1125" s="11" t="str">
        <f aca="false">IF(INDEX(選手一覧!$D$7:$D$2738,$F1125)="","",INDEX(選手一覧!$D$7:$D$2738,$F1125))</f>
        <v/>
      </c>
      <c r="H1125" s="12" t="str">
        <f aca="false">IF(INDEX(選手一覧!$E$7:$E$2738,$F1125)="","",INDEX(選手一覧!$E$7:$E$2738,$F1125))</f>
        <v/>
      </c>
      <c r="I1125" s="11" t="str">
        <f aca="false">IF(INDEX(選手一覧!$H$7:$H$2738,$F1125)="","",INDEX(選手一覧!$H$7:$H$2738,$F1125))</f>
        <v/>
      </c>
      <c r="J1125" s="12" t="str">
        <f aca="false">IF(INDEX(選手一覧!$I$7:$I$2738,$F1125)="","",INDEX(選手一覧!$I$7:$I$2738,$F1125))</f>
        <v/>
      </c>
    </row>
    <row r="1126" customFormat="false" ht="15" hidden="false" customHeight="false" outlineLevel="0" collapsed="false">
      <c r="A1126" s="12" t="n">
        <v>1122</v>
      </c>
      <c r="B1126" s="10" t="s">
        <v>3254</v>
      </c>
      <c r="C1126" s="10" t="s">
        <v>1990</v>
      </c>
      <c r="D1126" s="11" t="n">
        <v>0.00776111111111111</v>
      </c>
      <c r="E1126" s="18" t="n">
        <f aca="false">ROUND((D1126-$D$5)*86400,2)</f>
        <v>131.54</v>
      </c>
      <c r="F1126" s="12" t="n">
        <v>2290</v>
      </c>
      <c r="G1126" s="11" t="str">
        <f aca="false">IF(INDEX(選手一覧!$D$7:$D$2738,$F1126)="","",INDEX(選手一覧!$D$7:$D$2738,$F1126))</f>
        <v/>
      </c>
      <c r="H1126" s="12" t="str">
        <f aca="false">IF(INDEX(選手一覧!$E$7:$E$2738,$F1126)="","",INDEX(選手一覧!$E$7:$E$2738,$F1126))</f>
        <v/>
      </c>
      <c r="I1126" s="11" t="str">
        <f aca="false">IF(INDEX(選手一覧!$H$7:$H$2738,$F1126)="","",INDEX(選手一覧!$H$7:$H$2738,$F1126))</f>
        <v/>
      </c>
      <c r="J1126" s="12" t="str">
        <f aca="false">IF(INDEX(選手一覧!$I$7:$I$2738,$F1126)="","",INDEX(選手一覧!$I$7:$I$2738,$F1126))</f>
        <v/>
      </c>
    </row>
    <row r="1127" customFormat="false" ht="15" hidden="false" customHeight="false" outlineLevel="0" collapsed="false">
      <c r="A1127" s="12" t="n">
        <v>1123</v>
      </c>
      <c r="B1127" s="10" t="s">
        <v>3259</v>
      </c>
      <c r="C1127" s="10" t="s">
        <v>3260</v>
      </c>
      <c r="D1127" s="11" t="n">
        <v>0.00776539351851852</v>
      </c>
      <c r="E1127" s="18" t="n">
        <f aca="false">ROUND((D1127-$D$5)*86400,2)</f>
        <v>131.91</v>
      </c>
      <c r="F1127" s="12" t="n">
        <v>2294</v>
      </c>
      <c r="G1127" s="11" t="str">
        <f aca="false">IF(INDEX(選手一覧!$D$7:$D$2738,$F1127)="","",INDEX(選手一覧!$D$7:$D$2738,$F1127))</f>
        <v/>
      </c>
      <c r="H1127" s="12" t="str">
        <f aca="false">IF(INDEX(選手一覧!$E$7:$E$2738,$F1127)="","",INDEX(選手一覧!$E$7:$E$2738,$F1127))</f>
        <v/>
      </c>
      <c r="I1127" s="11" t="str">
        <f aca="false">IF(INDEX(選手一覧!$H$7:$H$2738,$F1127)="","",INDEX(選手一覧!$H$7:$H$2738,$F1127))</f>
        <v/>
      </c>
      <c r="J1127" s="12" t="str">
        <f aca="false">IF(INDEX(選手一覧!$I$7:$I$2738,$F1127)="","",INDEX(選手一覧!$I$7:$I$2738,$F1127))</f>
        <v/>
      </c>
    </row>
    <row r="1128" customFormat="false" ht="15" hidden="false" customHeight="false" outlineLevel="0" collapsed="false">
      <c r="A1128" s="12" t="n">
        <v>1124</v>
      </c>
      <c r="B1128" s="10" t="s">
        <v>3261</v>
      </c>
      <c r="C1128" s="10" t="s">
        <v>3262</v>
      </c>
      <c r="D1128" s="11" t="n">
        <v>0.00776585648148148</v>
      </c>
      <c r="E1128" s="18" t="n">
        <f aca="false">ROUND((D1128-$D$5)*86400,2)</f>
        <v>131.95</v>
      </c>
      <c r="F1128" s="12" t="n">
        <v>2295</v>
      </c>
      <c r="G1128" s="11" t="str">
        <f aca="false">IF(INDEX(選手一覧!$D$7:$D$2738,$F1128)="","",INDEX(選手一覧!$D$7:$D$2738,$F1128))</f>
        <v/>
      </c>
      <c r="H1128" s="12" t="str">
        <f aca="false">IF(INDEX(選手一覧!$E$7:$E$2738,$F1128)="","",INDEX(選手一覧!$E$7:$E$2738,$F1128))</f>
        <v/>
      </c>
      <c r="I1128" s="11" t="str">
        <f aca="false">IF(INDEX(選手一覧!$H$7:$H$2738,$F1128)="","",INDEX(選手一覧!$H$7:$H$2738,$F1128))</f>
        <v/>
      </c>
      <c r="J1128" s="12" t="str">
        <f aca="false">IF(INDEX(選手一覧!$I$7:$I$2738,$F1128)="","",INDEX(選手一覧!$I$7:$I$2738,$F1128))</f>
        <v/>
      </c>
    </row>
    <row r="1129" customFormat="false" ht="15" hidden="false" customHeight="false" outlineLevel="0" collapsed="false">
      <c r="A1129" s="12" t="n">
        <v>1125</v>
      </c>
      <c r="B1129" s="10" t="s">
        <v>3263</v>
      </c>
      <c r="C1129" s="10" t="s">
        <v>3264</v>
      </c>
      <c r="D1129" s="11" t="n">
        <v>0.00776747685185185</v>
      </c>
      <c r="E1129" s="18" t="n">
        <f aca="false">ROUND((D1129-$D$5)*86400,2)</f>
        <v>132.09</v>
      </c>
      <c r="F1129" s="12" t="n">
        <v>2296</v>
      </c>
      <c r="G1129" s="11" t="str">
        <f aca="false">IF(INDEX(選手一覧!$D$7:$D$2738,$F1129)="","",INDEX(選手一覧!$D$7:$D$2738,$F1129))</f>
        <v/>
      </c>
      <c r="H1129" s="12" t="str">
        <f aca="false">IF(INDEX(選手一覧!$E$7:$E$2738,$F1129)="","",INDEX(選手一覧!$E$7:$E$2738,$F1129))</f>
        <v/>
      </c>
      <c r="I1129" s="11" t="str">
        <f aca="false">IF(INDEX(選手一覧!$H$7:$H$2738,$F1129)="","",INDEX(選手一覧!$H$7:$H$2738,$F1129))</f>
        <v/>
      </c>
      <c r="J1129" s="12" t="str">
        <f aca="false">IF(INDEX(選手一覧!$I$7:$I$2738,$F1129)="","",INDEX(選手一覧!$I$7:$I$2738,$F1129))</f>
        <v/>
      </c>
    </row>
    <row r="1130" customFormat="false" ht="15" hidden="false" customHeight="false" outlineLevel="0" collapsed="false">
      <c r="A1130" s="12" t="n">
        <v>1126</v>
      </c>
      <c r="B1130" s="10" t="s">
        <v>3266</v>
      </c>
      <c r="C1130" s="10" t="s">
        <v>2713</v>
      </c>
      <c r="D1130" s="11" t="n">
        <v>0.00776770833333333</v>
      </c>
      <c r="E1130" s="18" t="n">
        <f aca="false">ROUND((D1130-$D$5)*86400,2)</f>
        <v>132.11</v>
      </c>
      <c r="F1130" s="12" t="n">
        <v>2298</v>
      </c>
      <c r="G1130" s="11" t="str">
        <f aca="false">IF(INDEX(選手一覧!$D$7:$D$2738,$F1130)="","",INDEX(選手一覧!$D$7:$D$2738,$F1130))</f>
        <v/>
      </c>
      <c r="H1130" s="12" t="str">
        <f aca="false">IF(INDEX(選手一覧!$E$7:$E$2738,$F1130)="","",INDEX(選手一覧!$E$7:$E$2738,$F1130))</f>
        <v/>
      </c>
      <c r="I1130" s="11" t="str">
        <f aca="false">IF(INDEX(選手一覧!$H$7:$H$2738,$F1130)="","",INDEX(選手一覧!$H$7:$H$2738,$F1130))</f>
        <v/>
      </c>
      <c r="J1130" s="12" t="str">
        <f aca="false">IF(INDEX(選手一覧!$I$7:$I$2738,$F1130)="","",INDEX(選手一覧!$I$7:$I$2738,$F1130))</f>
        <v/>
      </c>
    </row>
    <row r="1131" customFormat="false" ht="15" hidden="false" customHeight="false" outlineLevel="0" collapsed="false">
      <c r="A1131" s="12" t="n">
        <v>1127</v>
      </c>
      <c r="B1131" s="10" t="s">
        <v>2170</v>
      </c>
      <c r="C1131" s="10" t="s">
        <v>2171</v>
      </c>
      <c r="D1131" s="11" t="n">
        <v>0.007771875</v>
      </c>
      <c r="E1131" s="18" t="n">
        <f aca="false">ROUND((D1131-$D$5)*86400,2)</f>
        <v>132.47</v>
      </c>
      <c r="F1131" s="12" t="n">
        <v>1501</v>
      </c>
      <c r="G1131" s="11" t="n">
        <f aca="false">IF(INDEX(選手一覧!$D$7:$D$2738,$F1131)="","",INDEX(選手一覧!$D$7:$D$2738,$F1131))</f>
        <v>0.0107855324074074</v>
      </c>
      <c r="H1131" s="12" t="n">
        <f aca="false">IF(INDEX(選手一覧!$E$7:$E$2738,$F1131)="","",INDEX(選手一覧!$E$7:$E$2738,$F1131))</f>
        <v>713</v>
      </c>
      <c r="I1131" s="11" t="str">
        <f aca="false">IF(INDEX(選手一覧!$H$7:$H$2738,$F1131)="","",INDEX(選手一覧!$H$7:$H$2738,$F1131))</f>
        <v/>
      </c>
      <c r="J1131" s="12" t="str">
        <f aca="false">IF(INDEX(選手一覧!$I$7:$I$2738,$F1131)="","",INDEX(選手一覧!$I$7:$I$2738,$F1131))</f>
        <v/>
      </c>
    </row>
    <row r="1132" customFormat="false" ht="15" hidden="false" customHeight="false" outlineLevel="0" collapsed="false">
      <c r="A1132" s="12" t="n">
        <v>1128</v>
      </c>
      <c r="B1132" s="10" t="s">
        <v>3268</v>
      </c>
      <c r="C1132" s="10" t="s">
        <v>2288</v>
      </c>
      <c r="D1132" s="11" t="n">
        <v>0.00777604166666667</v>
      </c>
      <c r="E1132" s="18" t="n">
        <f aca="false">ROUND((D1132-$D$5)*86400,2)</f>
        <v>132.83</v>
      </c>
      <c r="F1132" s="12" t="n">
        <v>2300</v>
      </c>
      <c r="G1132" s="11" t="str">
        <f aca="false">IF(INDEX(選手一覧!$D$7:$D$2738,$F1132)="","",INDEX(選手一覧!$D$7:$D$2738,$F1132))</f>
        <v/>
      </c>
      <c r="H1132" s="12" t="str">
        <f aca="false">IF(INDEX(選手一覧!$E$7:$E$2738,$F1132)="","",INDEX(選手一覧!$E$7:$E$2738,$F1132))</f>
        <v/>
      </c>
      <c r="I1132" s="11" t="str">
        <f aca="false">IF(INDEX(選手一覧!$H$7:$H$2738,$F1132)="","",INDEX(選手一覧!$H$7:$H$2738,$F1132))</f>
        <v/>
      </c>
      <c r="J1132" s="12" t="str">
        <f aca="false">IF(INDEX(選手一覧!$I$7:$I$2738,$F1132)="","",INDEX(選手一覧!$I$7:$I$2738,$F1132))</f>
        <v/>
      </c>
    </row>
    <row r="1133" customFormat="false" ht="15" hidden="false" customHeight="false" outlineLevel="0" collapsed="false">
      <c r="A1133" s="12" t="n">
        <v>1129</v>
      </c>
      <c r="B1133" s="10" t="s">
        <v>3271</v>
      </c>
      <c r="C1133" s="10" t="s">
        <v>3272</v>
      </c>
      <c r="D1133" s="11" t="n">
        <v>0.00777962962962963</v>
      </c>
      <c r="E1133" s="18" t="n">
        <f aca="false">ROUND((D1133-$D$5)*86400,2)</f>
        <v>133.14</v>
      </c>
      <c r="F1133" s="12" t="n">
        <v>2303</v>
      </c>
      <c r="G1133" s="11" t="str">
        <f aca="false">IF(INDEX(選手一覧!$D$7:$D$2738,$F1133)="","",INDEX(選手一覧!$D$7:$D$2738,$F1133))</f>
        <v/>
      </c>
      <c r="H1133" s="12" t="str">
        <f aca="false">IF(INDEX(選手一覧!$E$7:$E$2738,$F1133)="","",INDEX(選手一覧!$E$7:$E$2738,$F1133))</f>
        <v/>
      </c>
      <c r="I1133" s="11" t="str">
        <f aca="false">IF(INDEX(選手一覧!$H$7:$H$2738,$F1133)="","",INDEX(選手一覧!$H$7:$H$2738,$F1133))</f>
        <v/>
      </c>
      <c r="J1133" s="12" t="str">
        <f aca="false">IF(INDEX(選手一覧!$I$7:$I$2738,$F1133)="","",INDEX(選手一覧!$I$7:$I$2738,$F1133))</f>
        <v/>
      </c>
    </row>
    <row r="1134" customFormat="false" ht="15" hidden="false" customHeight="false" outlineLevel="0" collapsed="false">
      <c r="A1134" s="12" t="n">
        <v>1130</v>
      </c>
      <c r="B1134" s="10" t="s">
        <v>3274</v>
      </c>
      <c r="C1134" s="10" t="s">
        <v>3275</v>
      </c>
      <c r="D1134" s="11" t="n">
        <v>0.00778981481481482</v>
      </c>
      <c r="E1134" s="18" t="n">
        <f aca="false">ROUND((D1134-$D$5)*86400,2)</f>
        <v>134.02</v>
      </c>
      <c r="F1134" s="12" t="n">
        <v>2305</v>
      </c>
      <c r="G1134" s="11" t="str">
        <f aca="false">IF(INDEX(選手一覧!$D$7:$D$2738,$F1134)="","",INDEX(選手一覧!$D$7:$D$2738,$F1134))</f>
        <v/>
      </c>
      <c r="H1134" s="12" t="str">
        <f aca="false">IF(INDEX(選手一覧!$E$7:$E$2738,$F1134)="","",INDEX(選手一覧!$E$7:$E$2738,$F1134))</f>
        <v/>
      </c>
      <c r="I1134" s="11" t="str">
        <f aca="false">IF(INDEX(選手一覧!$H$7:$H$2738,$F1134)="","",INDEX(選手一覧!$H$7:$H$2738,$F1134))</f>
        <v/>
      </c>
      <c r="J1134" s="12" t="str">
        <f aca="false">IF(INDEX(選手一覧!$I$7:$I$2738,$F1134)="","",INDEX(選手一覧!$I$7:$I$2738,$F1134))</f>
        <v/>
      </c>
    </row>
    <row r="1135" customFormat="false" ht="15" hidden="false" customHeight="false" outlineLevel="0" collapsed="false">
      <c r="A1135" s="12" t="n">
        <v>1131</v>
      </c>
      <c r="B1135" s="10" t="s">
        <v>3278</v>
      </c>
      <c r="C1135" s="10" t="s">
        <v>2783</v>
      </c>
      <c r="D1135" s="11" t="n">
        <v>0.00779340277777778</v>
      </c>
      <c r="E1135" s="18" t="n">
        <f aca="false">ROUND((D1135-$D$5)*86400,2)</f>
        <v>134.33</v>
      </c>
      <c r="F1135" s="12" t="n">
        <v>2307</v>
      </c>
      <c r="G1135" s="11" t="str">
        <f aca="false">IF(INDEX(選手一覧!$D$7:$D$2738,$F1135)="","",INDEX(選手一覧!$D$7:$D$2738,$F1135))</f>
        <v/>
      </c>
      <c r="H1135" s="12" t="str">
        <f aca="false">IF(INDEX(選手一覧!$E$7:$E$2738,$F1135)="","",INDEX(選手一覧!$E$7:$E$2738,$F1135))</f>
        <v/>
      </c>
      <c r="I1135" s="11" t="str">
        <f aca="false">IF(INDEX(選手一覧!$H$7:$H$2738,$F1135)="","",INDEX(選手一覧!$H$7:$H$2738,$F1135))</f>
        <v/>
      </c>
      <c r="J1135" s="12" t="str">
        <f aca="false">IF(INDEX(選手一覧!$I$7:$I$2738,$F1135)="","",INDEX(選手一覧!$I$7:$I$2738,$F1135))</f>
        <v/>
      </c>
    </row>
    <row r="1136" customFormat="false" ht="15" hidden="false" customHeight="false" outlineLevel="0" collapsed="false">
      <c r="A1136" s="12" t="n">
        <v>1132</v>
      </c>
      <c r="B1136" s="10" t="s">
        <v>3281</v>
      </c>
      <c r="C1136" s="10" t="s">
        <v>1764</v>
      </c>
      <c r="D1136" s="11" t="n">
        <v>0.00779363425925926</v>
      </c>
      <c r="E1136" s="18" t="n">
        <f aca="false">ROUND((D1136-$D$5)*86400,2)</f>
        <v>134.35</v>
      </c>
      <c r="F1136" s="12" t="n">
        <v>2309</v>
      </c>
      <c r="G1136" s="11" t="str">
        <f aca="false">IF(INDEX(選手一覧!$D$7:$D$2738,$F1136)="","",INDEX(選手一覧!$D$7:$D$2738,$F1136))</f>
        <v/>
      </c>
      <c r="H1136" s="12" t="str">
        <f aca="false">IF(INDEX(選手一覧!$E$7:$E$2738,$F1136)="","",INDEX(選手一覧!$E$7:$E$2738,$F1136))</f>
        <v/>
      </c>
      <c r="I1136" s="11" t="str">
        <f aca="false">IF(INDEX(選手一覧!$H$7:$H$2738,$F1136)="","",INDEX(選手一覧!$H$7:$H$2738,$F1136))</f>
        <v/>
      </c>
      <c r="J1136" s="12" t="str">
        <f aca="false">IF(INDEX(選手一覧!$I$7:$I$2738,$F1136)="","",INDEX(選手一覧!$I$7:$I$2738,$F1136))</f>
        <v/>
      </c>
    </row>
    <row r="1137" customFormat="false" ht="15" hidden="false" customHeight="false" outlineLevel="0" collapsed="false">
      <c r="A1137" s="12" t="n">
        <v>1133</v>
      </c>
      <c r="B1137" s="10" t="s">
        <v>3284</v>
      </c>
      <c r="C1137" s="10" t="s">
        <v>3285</v>
      </c>
      <c r="D1137" s="11" t="n">
        <v>0.00779756944444445</v>
      </c>
      <c r="E1137" s="18" t="n">
        <f aca="false">ROUND((D1137-$D$5)*86400,2)</f>
        <v>134.69</v>
      </c>
      <c r="F1137" s="12" t="n">
        <v>2312</v>
      </c>
      <c r="G1137" s="11" t="str">
        <f aca="false">IF(INDEX(選手一覧!$D$7:$D$2738,$F1137)="","",INDEX(選手一覧!$D$7:$D$2738,$F1137))</f>
        <v/>
      </c>
      <c r="H1137" s="12" t="str">
        <f aca="false">IF(INDEX(選手一覧!$E$7:$E$2738,$F1137)="","",INDEX(選手一覧!$E$7:$E$2738,$F1137))</f>
        <v/>
      </c>
      <c r="I1137" s="11" t="str">
        <f aca="false">IF(INDEX(選手一覧!$H$7:$H$2738,$F1137)="","",INDEX(選手一覧!$H$7:$H$2738,$F1137))</f>
        <v/>
      </c>
      <c r="J1137" s="12" t="str">
        <f aca="false">IF(INDEX(選手一覧!$I$7:$I$2738,$F1137)="","",INDEX(選手一覧!$I$7:$I$2738,$F1137))</f>
        <v/>
      </c>
    </row>
    <row r="1138" customFormat="false" ht="15" hidden="false" customHeight="false" outlineLevel="0" collapsed="false">
      <c r="A1138" s="12" t="n">
        <v>1134</v>
      </c>
      <c r="B1138" s="10" t="s">
        <v>3286</v>
      </c>
      <c r="C1138" s="10" t="s">
        <v>3287</v>
      </c>
      <c r="D1138" s="11" t="n">
        <v>0.00779803240740741</v>
      </c>
      <c r="E1138" s="18" t="n">
        <f aca="false">ROUND((D1138-$D$5)*86400,2)</f>
        <v>134.73</v>
      </c>
      <c r="F1138" s="12" t="n">
        <v>2313</v>
      </c>
      <c r="G1138" s="11" t="str">
        <f aca="false">IF(INDEX(選手一覧!$D$7:$D$2738,$F1138)="","",INDEX(選手一覧!$D$7:$D$2738,$F1138))</f>
        <v/>
      </c>
      <c r="H1138" s="12" t="str">
        <f aca="false">IF(INDEX(選手一覧!$E$7:$E$2738,$F1138)="","",INDEX(選手一覧!$E$7:$E$2738,$F1138))</f>
        <v/>
      </c>
      <c r="I1138" s="11" t="str">
        <f aca="false">IF(INDEX(選手一覧!$H$7:$H$2738,$F1138)="","",INDEX(選手一覧!$H$7:$H$2738,$F1138))</f>
        <v/>
      </c>
      <c r="J1138" s="12" t="str">
        <f aca="false">IF(INDEX(選手一覧!$I$7:$I$2738,$F1138)="","",INDEX(選手一覧!$I$7:$I$2738,$F1138))</f>
        <v/>
      </c>
    </row>
    <row r="1139" customFormat="false" ht="15" hidden="false" customHeight="false" outlineLevel="0" collapsed="false">
      <c r="A1139" s="12" t="n">
        <v>1135</v>
      </c>
      <c r="B1139" s="10" t="s">
        <v>3289</v>
      </c>
      <c r="C1139" s="10" t="s">
        <v>3290</v>
      </c>
      <c r="D1139" s="11" t="n">
        <v>0.00779976851851852</v>
      </c>
      <c r="E1139" s="18" t="n">
        <f aca="false">ROUND((D1139-$D$5)*86400,2)</f>
        <v>134.88</v>
      </c>
      <c r="F1139" s="12" t="n">
        <v>2315</v>
      </c>
      <c r="G1139" s="11" t="str">
        <f aca="false">IF(INDEX(選手一覧!$D$7:$D$2738,$F1139)="","",INDEX(選手一覧!$D$7:$D$2738,$F1139))</f>
        <v/>
      </c>
      <c r="H1139" s="12" t="str">
        <f aca="false">IF(INDEX(選手一覧!$E$7:$E$2738,$F1139)="","",INDEX(選手一覧!$E$7:$E$2738,$F1139))</f>
        <v/>
      </c>
      <c r="I1139" s="11" t="str">
        <f aca="false">IF(INDEX(選手一覧!$H$7:$H$2738,$F1139)="","",INDEX(選手一覧!$H$7:$H$2738,$F1139))</f>
        <v/>
      </c>
      <c r="J1139" s="12" t="str">
        <f aca="false">IF(INDEX(選手一覧!$I$7:$I$2738,$F1139)="","",INDEX(選手一覧!$I$7:$I$2738,$F1139))</f>
        <v/>
      </c>
    </row>
    <row r="1140" customFormat="false" ht="15" hidden="false" customHeight="false" outlineLevel="0" collapsed="false">
      <c r="A1140" s="12" t="n">
        <v>1136</v>
      </c>
      <c r="B1140" s="10" t="s">
        <v>1123</v>
      </c>
      <c r="C1140" s="10" t="s">
        <v>171</v>
      </c>
      <c r="D1140" s="11" t="n">
        <v>0.00780393518518519</v>
      </c>
      <c r="E1140" s="18" t="n">
        <f aca="false">ROUND((D1140-$D$5)*86400,2)</f>
        <v>135.24</v>
      </c>
      <c r="F1140" s="12" t="n">
        <v>758</v>
      </c>
      <c r="G1140" s="11" t="n">
        <f aca="false">IF(INDEX(選手一覧!$D$7:$D$2738,$F1140)="","",INDEX(選手一覧!$D$7:$D$2738,$F1140))</f>
        <v>0.0104857638888889</v>
      </c>
      <c r="H1140" s="12" t="n">
        <f aca="false">IF(INDEX(選手一覧!$E$7:$E$2738,$F1140)="","",INDEX(選手一覧!$E$7:$E$2738,$F1140))</f>
        <v>329</v>
      </c>
      <c r="I1140" s="11" t="str">
        <f aca="false">IF(INDEX(選手一覧!$H$7:$H$2738,$F1140)="","",INDEX(選手一覧!$H$7:$H$2738,$F1140))</f>
        <v/>
      </c>
      <c r="J1140" s="12" t="str">
        <f aca="false">IF(INDEX(選手一覧!$I$7:$I$2738,$F1140)="","",INDEX(選手一覧!$I$7:$I$2738,$F1140))</f>
        <v/>
      </c>
    </row>
    <row r="1141" customFormat="false" ht="15" hidden="false" customHeight="false" outlineLevel="0" collapsed="false">
      <c r="A1141" s="12" t="n">
        <v>1137</v>
      </c>
      <c r="B1141" s="10" t="s">
        <v>3293</v>
      </c>
      <c r="C1141" s="10" t="s">
        <v>3294</v>
      </c>
      <c r="D1141" s="11" t="n">
        <v>0.00781087962962963</v>
      </c>
      <c r="E1141" s="18" t="n">
        <f aca="false">ROUND((D1141-$D$5)*86400,2)</f>
        <v>135.84</v>
      </c>
      <c r="F1141" s="12" t="n">
        <v>2317</v>
      </c>
      <c r="G1141" s="11" t="str">
        <f aca="false">IF(INDEX(選手一覧!$D$7:$D$2738,$F1141)="","",INDEX(選手一覧!$D$7:$D$2738,$F1141))</f>
        <v/>
      </c>
      <c r="H1141" s="12" t="str">
        <f aca="false">IF(INDEX(選手一覧!$E$7:$E$2738,$F1141)="","",INDEX(選手一覧!$E$7:$E$2738,$F1141))</f>
        <v/>
      </c>
      <c r="I1141" s="11" t="str">
        <f aca="false">IF(INDEX(選手一覧!$H$7:$H$2738,$F1141)="","",INDEX(選手一覧!$H$7:$H$2738,$F1141))</f>
        <v/>
      </c>
      <c r="J1141" s="12" t="str">
        <f aca="false">IF(INDEX(選手一覧!$I$7:$I$2738,$F1141)="","",INDEX(選手一覧!$I$7:$I$2738,$F1141))</f>
        <v/>
      </c>
    </row>
    <row r="1142" customFormat="false" ht="15" hidden="false" customHeight="false" outlineLevel="0" collapsed="false">
      <c r="A1142" s="12" t="n">
        <v>1138</v>
      </c>
      <c r="B1142" s="10" t="s">
        <v>3298</v>
      </c>
      <c r="C1142" s="10" t="s">
        <v>3299</v>
      </c>
      <c r="D1142" s="11" t="n">
        <v>0.00781099537037037</v>
      </c>
      <c r="E1142" s="18" t="n">
        <f aca="false">ROUND((D1142-$D$5)*86400,2)</f>
        <v>135.85</v>
      </c>
      <c r="F1142" s="12" t="n">
        <v>2320</v>
      </c>
      <c r="G1142" s="11" t="str">
        <f aca="false">IF(INDEX(選手一覧!$D$7:$D$2738,$F1142)="","",INDEX(選手一覧!$D$7:$D$2738,$F1142))</f>
        <v/>
      </c>
      <c r="H1142" s="12" t="str">
        <f aca="false">IF(INDEX(選手一覧!$E$7:$E$2738,$F1142)="","",INDEX(選手一覧!$E$7:$E$2738,$F1142))</f>
        <v/>
      </c>
      <c r="I1142" s="11" t="str">
        <f aca="false">IF(INDEX(選手一覧!$H$7:$H$2738,$F1142)="","",INDEX(選手一覧!$H$7:$H$2738,$F1142))</f>
        <v/>
      </c>
      <c r="J1142" s="12" t="str">
        <f aca="false">IF(INDEX(選手一覧!$I$7:$I$2738,$F1142)="","",INDEX(選手一覧!$I$7:$I$2738,$F1142))</f>
        <v/>
      </c>
    </row>
    <row r="1143" customFormat="false" ht="15" hidden="false" customHeight="false" outlineLevel="0" collapsed="false">
      <c r="A1143" s="12" t="n">
        <v>1139</v>
      </c>
      <c r="B1143" s="10" t="s">
        <v>3301</v>
      </c>
      <c r="C1143" s="10" t="s">
        <v>195</v>
      </c>
      <c r="D1143" s="11" t="n">
        <v>0.00781585648148148</v>
      </c>
      <c r="E1143" s="18" t="n">
        <f aca="false">ROUND((D1143-$D$5)*86400,2)</f>
        <v>136.27</v>
      </c>
      <c r="F1143" s="12" t="n">
        <v>2322</v>
      </c>
      <c r="G1143" s="11" t="str">
        <f aca="false">IF(INDEX(選手一覧!$D$7:$D$2738,$F1143)="","",INDEX(選手一覧!$D$7:$D$2738,$F1143))</f>
        <v/>
      </c>
      <c r="H1143" s="12" t="str">
        <f aca="false">IF(INDEX(選手一覧!$E$7:$E$2738,$F1143)="","",INDEX(選手一覧!$E$7:$E$2738,$F1143))</f>
        <v/>
      </c>
      <c r="I1143" s="11" t="str">
        <f aca="false">IF(INDEX(選手一覧!$H$7:$H$2738,$F1143)="","",INDEX(選手一覧!$H$7:$H$2738,$F1143))</f>
        <v/>
      </c>
      <c r="J1143" s="12" t="str">
        <f aca="false">IF(INDEX(選手一覧!$I$7:$I$2738,$F1143)="","",INDEX(選手一覧!$I$7:$I$2738,$F1143))</f>
        <v/>
      </c>
    </row>
    <row r="1144" customFormat="false" ht="15" hidden="false" customHeight="false" outlineLevel="0" collapsed="false">
      <c r="A1144" s="12" t="n">
        <v>1140</v>
      </c>
      <c r="B1144" s="10" t="s">
        <v>3302</v>
      </c>
      <c r="C1144" s="10" t="s">
        <v>2097</v>
      </c>
      <c r="D1144" s="11" t="n">
        <v>0.00781585648148148</v>
      </c>
      <c r="E1144" s="18" t="n">
        <f aca="false">ROUND((D1144-$D$5)*86400,2)</f>
        <v>136.27</v>
      </c>
      <c r="F1144" s="12" t="n">
        <v>2323</v>
      </c>
      <c r="G1144" s="11" t="str">
        <f aca="false">IF(INDEX(選手一覧!$D$7:$D$2738,$F1144)="","",INDEX(選手一覧!$D$7:$D$2738,$F1144))</f>
        <v/>
      </c>
      <c r="H1144" s="12" t="str">
        <f aca="false">IF(INDEX(選手一覧!$E$7:$E$2738,$F1144)="","",INDEX(選手一覧!$E$7:$E$2738,$F1144))</f>
        <v/>
      </c>
      <c r="I1144" s="11" t="str">
        <f aca="false">IF(INDEX(選手一覧!$H$7:$H$2738,$F1144)="","",INDEX(選手一覧!$H$7:$H$2738,$F1144))</f>
        <v/>
      </c>
      <c r="J1144" s="12" t="str">
        <f aca="false">IF(INDEX(選手一覧!$I$7:$I$2738,$F1144)="","",INDEX(選手一覧!$I$7:$I$2738,$F1144))</f>
        <v/>
      </c>
    </row>
    <row r="1145" customFormat="false" ht="15" hidden="false" customHeight="false" outlineLevel="0" collapsed="false">
      <c r="A1145" s="12" t="n">
        <v>1141</v>
      </c>
      <c r="B1145" s="10" t="s">
        <v>3303</v>
      </c>
      <c r="C1145" s="10" t="s">
        <v>3264</v>
      </c>
      <c r="D1145" s="11" t="n">
        <v>0.00781666666666667</v>
      </c>
      <c r="E1145" s="18" t="n">
        <f aca="false">ROUND((D1145-$D$5)*86400,2)</f>
        <v>136.34</v>
      </c>
      <c r="F1145" s="12" t="n">
        <v>2324</v>
      </c>
      <c r="G1145" s="11" t="str">
        <f aca="false">IF(INDEX(選手一覧!$D$7:$D$2738,$F1145)="","",INDEX(選手一覧!$D$7:$D$2738,$F1145))</f>
        <v/>
      </c>
      <c r="H1145" s="12" t="str">
        <f aca="false">IF(INDEX(選手一覧!$E$7:$E$2738,$F1145)="","",INDEX(選手一覧!$E$7:$E$2738,$F1145))</f>
        <v/>
      </c>
      <c r="I1145" s="11" t="str">
        <f aca="false">IF(INDEX(選手一覧!$H$7:$H$2738,$F1145)="","",INDEX(選手一覧!$H$7:$H$2738,$F1145))</f>
        <v/>
      </c>
      <c r="J1145" s="12" t="str">
        <f aca="false">IF(INDEX(選手一覧!$I$7:$I$2738,$F1145)="","",INDEX(選手一覧!$I$7:$I$2738,$F1145))</f>
        <v/>
      </c>
    </row>
    <row r="1146" customFormat="false" ht="15" hidden="false" customHeight="false" outlineLevel="0" collapsed="false">
      <c r="A1146" s="12" t="n">
        <v>1142</v>
      </c>
      <c r="B1146" s="10" t="s">
        <v>3306</v>
      </c>
      <c r="C1146" s="10" t="s">
        <v>1170</v>
      </c>
      <c r="D1146" s="11" t="n">
        <v>0.00781979166666667</v>
      </c>
      <c r="E1146" s="18" t="n">
        <f aca="false">ROUND((D1146-$D$5)*86400,2)</f>
        <v>136.61</v>
      </c>
      <c r="F1146" s="12" t="n">
        <v>2326</v>
      </c>
      <c r="G1146" s="11" t="str">
        <f aca="false">IF(INDEX(選手一覧!$D$7:$D$2738,$F1146)="","",INDEX(選手一覧!$D$7:$D$2738,$F1146))</f>
        <v/>
      </c>
      <c r="H1146" s="12" t="str">
        <f aca="false">IF(INDEX(選手一覧!$E$7:$E$2738,$F1146)="","",INDEX(選手一覧!$E$7:$E$2738,$F1146))</f>
        <v/>
      </c>
      <c r="I1146" s="11" t="str">
        <f aca="false">IF(INDEX(選手一覧!$H$7:$H$2738,$F1146)="","",INDEX(選手一覧!$H$7:$H$2738,$F1146))</f>
        <v/>
      </c>
      <c r="J1146" s="12" t="str">
        <f aca="false">IF(INDEX(選手一覧!$I$7:$I$2738,$F1146)="","",INDEX(選手一覧!$I$7:$I$2738,$F1146))</f>
        <v/>
      </c>
    </row>
    <row r="1147" customFormat="false" ht="15" hidden="false" customHeight="false" outlineLevel="0" collapsed="false">
      <c r="A1147" s="12" t="n">
        <v>1143</v>
      </c>
      <c r="B1147" s="10" t="s">
        <v>3307</v>
      </c>
      <c r="C1147" s="10" t="s">
        <v>3308</v>
      </c>
      <c r="D1147" s="11" t="n">
        <v>0.00782314814814815</v>
      </c>
      <c r="E1147" s="18" t="n">
        <f aca="false">ROUND((D1147-$D$5)*86400,2)</f>
        <v>136.9</v>
      </c>
      <c r="F1147" s="12" t="n">
        <v>2327</v>
      </c>
      <c r="G1147" s="11" t="str">
        <f aca="false">IF(INDEX(選手一覧!$D$7:$D$2738,$F1147)="","",INDEX(選手一覧!$D$7:$D$2738,$F1147))</f>
        <v/>
      </c>
      <c r="H1147" s="12" t="str">
        <f aca="false">IF(INDEX(選手一覧!$E$7:$E$2738,$F1147)="","",INDEX(選手一覧!$E$7:$E$2738,$F1147))</f>
        <v/>
      </c>
      <c r="I1147" s="11" t="str">
        <f aca="false">IF(INDEX(選手一覧!$H$7:$H$2738,$F1147)="","",INDEX(選手一覧!$H$7:$H$2738,$F1147))</f>
        <v/>
      </c>
      <c r="J1147" s="12" t="str">
        <f aca="false">IF(INDEX(選手一覧!$I$7:$I$2738,$F1147)="","",INDEX(選手一覧!$I$7:$I$2738,$F1147))</f>
        <v/>
      </c>
    </row>
    <row r="1148" customFormat="false" ht="15" hidden="false" customHeight="false" outlineLevel="0" collapsed="false">
      <c r="A1148" s="12" t="n">
        <v>1144</v>
      </c>
      <c r="B1148" s="10" t="s">
        <v>3309</v>
      </c>
      <c r="C1148" s="10" t="s">
        <v>2386</v>
      </c>
      <c r="D1148" s="11" t="n">
        <v>0.00782361111111111</v>
      </c>
      <c r="E1148" s="18" t="n">
        <f aca="false">ROUND((D1148-$D$5)*86400,2)</f>
        <v>136.94</v>
      </c>
      <c r="F1148" s="12" t="n">
        <v>2328</v>
      </c>
      <c r="G1148" s="11" t="str">
        <f aca="false">IF(INDEX(選手一覧!$D$7:$D$2738,$F1148)="","",INDEX(選手一覧!$D$7:$D$2738,$F1148))</f>
        <v/>
      </c>
      <c r="H1148" s="12" t="str">
        <f aca="false">IF(INDEX(選手一覧!$E$7:$E$2738,$F1148)="","",INDEX(選手一覧!$E$7:$E$2738,$F1148))</f>
        <v/>
      </c>
      <c r="I1148" s="11" t="str">
        <f aca="false">IF(INDEX(選手一覧!$H$7:$H$2738,$F1148)="","",INDEX(選手一覧!$H$7:$H$2738,$F1148))</f>
        <v/>
      </c>
      <c r="J1148" s="12" t="str">
        <f aca="false">IF(INDEX(選手一覧!$I$7:$I$2738,$F1148)="","",INDEX(選手一覧!$I$7:$I$2738,$F1148))</f>
        <v/>
      </c>
    </row>
    <row r="1149" customFormat="false" ht="15" hidden="false" customHeight="false" outlineLevel="0" collapsed="false">
      <c r="A1149" s="12" t="n">
        <v>1145</v>
      </c>
      <c r="B1149" s="10" t="s">
        <v>3310</v>
      </c>
      <c r="C1149" s="10" t="s">
        <v>3311</v>
      </c>
      <c r="D1149" s="11" t="n">
        <v>0.00782465277777778</v>
      </c>
      <c r="E1149" s="18" t="n">
        <f aca="false">ROUND((D1149-$D$5)*86400,2)</f>
        <v>137.03</v>
      </c>
      <c r="F1149" s="12" t="n">
        <v>2329</v>
      </c>
      <c r="G1149" s="11" t="str">
        <f aca="false">IF(INDEX(選手一覧!$D$7:$D$2738,$F1149)="","",INDEX(選手一覧!$D$7:$D$2738,$F1149))</f>
        <v/>
      </c>
      <c r="H1149" s="12" t="str">
        <f aca="false">IF(INDEX(選手一覧!$E$7:$E$2738,$F1149)="","",INDEX(選手一覧!$E$7:$E$2738,$F1149))</f>
        <v/>
      </c>
      <c r="I1149" s="11" t="str">
        <f aca="false">IF(INDEX(選手一覧!$H$7:$H$2738,$F1149)="","",INDEX(選手一覧!$H$7:$H$2738,$F1149))</f>
        <v/>
      </c>
      <c r="J1149" s="12" t="str">
        <f aca="false">IF(INDEX(選手一覧!$I$7:$I$2738,$F1149)="","",INDEX(選手一覧!$I$7:$I$2738,$F1149))</f>
        <v/>
      </c>
    </row>
    <row r="1150" customFormat="false" ht="15" hidden="false" customHeight="false" outlineLevel="0" collapsed="false">
      <c r="A1150" s="12" t="n">
        <v>1146</v>
      </c>
      <c r="B1150" s="10" t="s">
        <v>3312</v>
      </c>
      <c r="C1150" s="10" t="s">
        <v>3313</v>
      </c>
      <c r="D1150" s="11" t="n">
        <v>0.00782708333333333</v>
      </c>
      <c r="E1150" s="18" t="n">
        <f aca="false">ROUND((D1150-$D$5)*86400,2)</f>
        <v>137.24</v>
      </c>
      <c r="F1150" s="12" t="n">
        <v>2330</v>
      </c>
      <c r="G1150" s="11" t="str">
        <f aca="false">IF(INDEX(選手一覧!$D$7:$D$2738,$F1150)="","",INDEX(選手一覧!$D$7:$D$2738,$F1150))</f>
        <v/>
      </c>
      <c r="H1150" s="12" t="str">
        <f aca="false">IF(INDEX(選手一覧!$E$7:$E$2738,$F1150)="","",INDEX(選手一覧!$E$7:$E$2738,$F1150))</f>
        <v/>
      </c>
      <c r="I1150" s="11" t="str">
        <f aca="false">IF(INDEX(選手一覧!$H$7:$H$2738,$F1150)="","",INDEX(選手一覧!$H$7:$H$2738,$F1150))</f>
        <v/>
      </c>
      <c r="J1150" s="12" t="str">
        <f aca="false">IF(INDEX(選手一覧!$I$7:$I$2738,$F1150)="","",INDEX(選手一覧!$I$7:$I$2738,$F1150))</f>
        <v/>
      </c>
    </row>
    <row r="1151" customFormat="false" ht="15" hidden="false" customHeight="false" outlineLevel="0" collapsed="false">
      <c r="A1151" s="12" t="n">
        <v>1147</v>
      </c>
      <c r="B1151" s="10" t="s">
        <v>3315</v>
      </c>
      <c r="C1151" s="10" t="s">
        <v>3316</v>
      </c>
      <c r="D1151" s="11" t="n">
        <v>0.00783923611111111</v>
      </c>
      <c r="E1151" s="18" t="n">
        <f aca="false">ROUND((D1151-$D$5)*86400,2)</f>
        <v>138.29</v>
      </c>
      <c r="F1151" s="12" t="n">
        <v>2332</v>
      </c>
      <c r="G1151" s="11" t="str">
        <f aca="false">IF(INDEX(選手一覧!$D$7:$D$2738,$F1151)="","",INDEX(選手一覧!$D$7:$D$2738,$F1151))</f>
        <v/>
      </c>
      <c r="H1151" s="12" t="str">
        <f aca="false">IF(INDEX(選手一覧!$E$7:$E$2738,$F1151)="","",INDEX(選手一覧!$E$7:$E$2738,$F1151))</f>
        <v/>
      </c>
      <c r="I1151" s="11" t="str">
        <f aca="false">IF(INDEX(選手一覧!$H$7:$H$2738,$F1151)="","",INDEX(選手一覧!$H$7:$H$2738,$F1151))</f>
        <v/>
      </c>
      <c r="J1151" s="12" t="str">
        <f aca="false">IF(INDEX(選手一覧!$I$7:$I$2738,$F1151)="","",INDEX(選手一覧!$I$7:$I$2738,$F1151))</f>
        <v/>
      </c>
    </row>
    <row r="1152" customFormat="false" ht="15" hidden="false" customHeight="false" outlineLevel="0" collapsed="false">
      <c r="A1152" s="12" t="n">
        <v>1148</v>
      </c>
      <c r="B1152" s="10" t="s">
        <v>3317</v>
      </c>
      <c r="C1152" s="10" t="s">
        <v>3318</v>
      </c>
      <c r="D1152" s="11" t="n">
        <v>0.00784537037037037</v>
      </c>
      <c r="E1152" s="18" t="n">
        <f aca="false">ROUND((D1152-$D$5)*86400,2)</f>
        <v>138.82</v>
      </c>
      <c r="F1152" s="12" t="n">
        <v>2333</v>
      </c>
      <c r="G1152" s="11" t="str">
        <f aca="false">IF(INDEX(選手一覧!$D$7:$D$2738,$F1152)="","",INDEX(選手一覧!$D$7:$D$2738,$F1152))</f>
        <v/>
      </c>
      <c r="H1152" s="12" t="str">
        <f aca="false">IF(INDEX(選手一覧!$E$7:$E$2738,$F1152)="","",INDEX(選手一覧!$E$7:$E$2738,$F1152))</f>
        <v/>
      </c>
      <c r="I1152" s="11" t="str">
        <f aca="false">IF(INDEX(選手一覧!$H$7:$H$2738,$F1152)="","",INDEX(選手一覧!$H$7:$H$2738,$F1152))</f>
        <v/>
      </c>
      <c r="J1152" s="12" t="str">
        <f aca="false">IF(INDEX(選手一覧!$I$7:$I$2738,$F1152)="","",INDEX(選手一覧!$I$7:$I$2738,$F1152))</f>
        <v/>
      </c>
    </row>
    <row r="1153" customFormat="false" ht="15" hidden="false" customHeight="false" outlineLevel="0" collapsed="false">
      <c r="A1153" s="12" t="n">
        <v>1149</v>
      </c>
      <c r="B1153" s="10" t="s">
        <v>3321</v>
      </c>
      <c r="C1153" s="10" t="s">
        <v>1110</v>
      </c>
      <c r="D1153" s="11" t="n">
        <v>0.00784780092592593</v>
      </c>
      <c r="E1153" s="18" t="n">
        <f aca="false">ROUND((D1153-$D$5)*86400,2)</f>
        <v>139.03</v>
      </c>
      <c r="F1153" s="12" t="n">
        <v>2336</v>
      </c>
      <c r="G1153" s="11" t="str">
        <f aca="false">IF(INDEX(選手一覧!$D$7:$D$2738,$F1153)="","",INDEX(選手一覧!$D$7:$D$2738,$F1153))</f>
        <v/>
      </c>
      <c r="H1153" s="12" t="str">
        <f aca="false">IF(INDEX(選手一覧!$E$7:$E$2738,$F1153)="","",INDEX(選手一覧!$E$7:$E$2738,$F1153))</f>
        <v/>
      </c>
      <c r="I1153" s="11" t="str">
        <f aca="false">IF(INDEX(選手一覧!$H$7:$H$2738,$F1153)="","",INDEX(選手一覧!$H$7:$H$2738,$F1153))</f>
        <v/>
      </c>
      <c r="J1153" s="12" t="str">
        <f aca="false">IF(INDEX(選手一覧!$I$7:$I$2738,$F1153)="","",INDEX(選手一覧!$I$7:$I$2738,$F1153))</f>
        <v/>
      </c>
    </row>
    <row r="1154" customFormat="false" ht="15" hidden="false" customHeight="false" outlineLevel="0" collapsed="false">
      <c r="A1154" s="12" t="n">
        <v>1150</v>
      </c>
      <c r="B1154" s="10" t="s">
        <v>3323</v>
      </c>
      <c r="C1154" s="10" t="s">
        <v>564</v>
      </c>
      <c r="D1154" s="11" t="n">
        <v>0.00786180555555556</v>
      </c>
      <c r="E1154" s="18" t="n">
        <f aca="false">ROUND((D1154-$D$5)*86400,2)</f>
        <v>140.24</v>
      </c>
      <c r="F1154" s="12" t="n">
        <v>2338</v>
      </c>
      <c r="G1154" s="11" t="str">
        <f aca="false">IF(INDEX(選手一覧!$D$7:$D$2738,$F1154)="","",INDEX(選手一覧!$D$7:$D$2738,$F1154))</f>
        <v/>
      </c>
      <c r="H1154" s="12" t="str">
        <f aca="false">IF(INDEX(選手一覧!$E$7:$E$2738,$F1154)="","",INDEX(選手一覧!$E$7:$E$2738,$F1154))</f>
        <v/>
      </c>
      <c r="I1154" s="11" t="str">
        <f aca="false">IF(INDEX(選手一覧!$H$7:$H$2738,$F1154)="","",INDEX(選手一覧!$H$7:$H$2738,$F1154))</f>
        <v/>
      </c>
      <c r="J1154" s="12" t="str">
        <f aca="false">IF(INDEX(選手一覧!$I$7:$I$2738,$F1154)="","",INDEX(選手一覧!$I$7:$I$2738,$F1154))</f>
        <v/>
      </c>
    </row>
    <row r="1155" customFormat="false" ht="15" hidden="false" customHeight="false" outlineLevel="0" collapsed="false">
      <c r="A1155" s="12" t="n">
        <v>1151</v>
      </c>
      <c r="B1155" s="10" t="s">
        <v>3326</v>
      </c>
      <c r="C1155" s="10" t="s">
        <v>1423</v>
      </c>
      <c r="D1155" s="11" t="n">
        <v>0.00786412037037037</v>
      </c>
      <c r="E1155" s="18" t="n">
        <f aca="false">ROUND((D1155-$D$5)*86400,2)</f>
        <v>140.44</v>
      </c>
      <c r="F1155" s="12" t="n">
        <v>2340</v>
      </c>
      <c r="G1155" s="11" t="str">
        <f aca="false">IF(INDEX(選手一覧!$D$7:$D$2738,$F1155)="","",INDEX(選手一覧!$D$7:$D$2738,$F1155))</f>
        <v/>
      </c>
      <c r="H1155" s="12" t="str">
        <f aca="false">IF(INDEX(選手一覧!$E$7:$E$2738,$F1155)="","",INDEX(選手一覧!$E$7:$E$2738,$F1155))</f>
        <v/>
      </c>
      <c r="I1155" s="11" t="str">
        <f aca="false">IF(INDEX(選手一覧!$H$7:$H$2738,$F1155)="","",INDEX(選手一覧!$H$7:$H$2738,$F1155))</f>
        <v/>
      </c>
      <c r="J1155" s="12" t="str">
        <f aca="false">IF(INDEX(選手一覧!$I$7:$I$2738,$F1155)="","",INDEX(選手一覧!$I$7:$I$2738,$F1155))</f>
        <v/>
      </c>
    </row>
    <row r="1156" customFormat="false" ht="15" hidden="false" customHeight="false" outlineLevel="0" collapsed="false">
      <c r="A1156" s="12" t="n">
        <v>1152</v>
      </c>
      <c r="B1156" s="10" t="s">
        <v>3329</v>
      </c>
      <c r="C1156" s="10" t="s">
        <v>906</v>
      </c>
      <c r="D1156" s="11" t="n">
        <v>0.00786550925925926</v>
      </c>
      <c r="E1156" s="18" t="n">
        <f aca="false">ROUND((D1156-$D$5)*86400,2)</f>
        <v>140.56</v>
      </c>
      <c r="F1156" s="12" t="n">
        <v>2343</v>
      </c>
      <c r="G1156" s="11" t="str">
        <f aca="false">IF(INDEX(選手一覧!$D$7:$D$2738,$F1156)="","",INDEX(選手一覧!$D$7:$D$2738,$F1156))</f>
        <v/>
      </c>
      <c r="H1156" s="12" t="str">
        <f aca="false">IF(INDEX(選手一覧!$E$7:$E$2738,$F1156)="","",INDEX(選手一覧!$E$7:$E$2738,$F1156))</f>
        <v/>
      </c>
      <c r="I1156" s="11" t="str">
        <f aca="false">IF(INDEX(選手一覧!$H$7:$H$2738,$F1156)="","",INDEX(選手一覧!$H$7:$H$2738,$F1156))</f>
        <v/>
      </c>
      <c r="J1156" s="12" t="str">
        <f aca="false">IF(INDEX(選手一覧!$I$7:$I$2738,$F1156)="","",INDEX(選手一覧!$I$7:$I$2738,$F1156))</f>
        <v/>
      </c>
    </row>
    <row r="1157" customFormat="false" ht="15" hidden="false" customHeight="false" outlineLevel="0" collapsed="false">
      <c r="A1157" s="12" t="n">
        <v>1153</v>
      </c>
      <c r="B1157" s="10" t="s">
        <v>3332</v>
      </c>
      <c r="C1157" s="10" t="s">
        <v>3333</v>
      </c>
      <c r="D1157" s="11" t="n">
        <v>0.00787210648148148</v>
      </c>
      <c r="E1157" s="18" t="n">
        <f aca="false">ROUND((D1157-$D$5)*86400,2)</f>
        <v>141.13</v>
      </c>
      <c r="F1157" s="12" t="n">
        <v>2346</v>
      </c>
      <c r="G1157" s="11" t="str">
        <f aca="false">IF(INDEX(選手一覧!$D$7:$D$2738,$F1157)="","",INDEX(選手一覧!$D$7:$D$2738,$F1157))</f>
        <v/>
      </c>
      <c r="H1157" s="12" t="str">
        <f aca="false">IF(INDEX(選手一覧!$E$7:$E$2738,$F1157)="","",INDEX(選手一覧!$E$7:$E$2738,$F1157))</f>
        <v/>
      </c>
      <c r="I1157" s="11" t="str">
        <f aca="false">IF(INDEX(選手一覧!$H$7:$H$2738,$F1157)="","",INDEX(選手一覧!$H$7:$H$2738,$F1157))</f>
        <v/>
      </c>
      <c r="J1157" s="12" t="str">
        <f aca="false">IF(INDEX(選手一覧!$I$7:$I$2738,$F1157)="","",INDEX(選手一覧!$I$7:$I$2738,$F1157))</f>
        <v/>
      </c>
    </row>
    <row r="1158" customFormat="false" ht="15" hidden="false" customHeight="false" outlineLevel="0" collapsed="false">
      <c r="A1158" s="12" t="n">
        <v>1154</v>
      </c>
      <c r="B1158" s="10" t="s">
        <v>3334</v>
      </c>
      <c r="C1158" s="10" t="s">
        <v>3335</v>
      </c>
      <c r="D1158" s="11" t="n">
        <v>0.00787372685185185</v>
      </c>
      <c r="E1158" s="18" t="n">
        <f aca="false">ROUND((D1158-$D$5)*86400,2)</f>
        <v>141.27</v>
      </c>
      <c r="F1158" s="12" t="n">
        <v>2347</v>
      </c>
      <c r="G1158" s="11" t="str">
        <f aca="false">IF(INDEX(選手一覧!$D$7:$D$2738,$F1158)="","",INDEX(選手一覧!$D$7:$D$2738,$F1158))</f>
        <v/>
      </c>
      <c r="H1158" s="12" t="str">
        <f aca="false">IF(INDEX(選手一覧!$E$7:$E$2738,$F1158)="","",INDEX(選手一覧!$E$7:$E$2738,$F1158))</f>
        <v/>
      </c>
      <c r="I1158" s="11" t="str">
        <f aca="false">IF(INDEX(選手一覧!$H$7:$H$2738,$F1158)="","",INDEX(選手一覧!$H$7:$H$2738,$F1158))</f>
        <v/>
      </c>
      <c r="J1158" s="12" t="str">
        <f aca="false">IF(INDEX(選手一覧!$I$7:$I$2738,$F1158)="","",INDEX(選手一覧!$I$7:$I$2738,$F1158))</f>
        <v/>
      </c>
    </row>
    <row r="1159" customFormat="false" ht="15" hidden="false" customHeight="false" outlineLevel="0" collapsed="false">
      <c r="A1159" s="12" t="n">
        <v>1155</v>
      </c>
      <c r="B1159" s="10" t="s">
        <v>3337</v>
      </c>
      <c r="C1159" s="10" t="s">
        <v>3318</v>
      </c>
      <c r="D1159" s="11" t="n">
        <v>0.00787581018518519</v>
      </c>
      <c r="E1159" s="18" t="n">
        <f aca="false">ROUND((D1159-$D$5)*86400,2)</f>
        <v>141.45</v>
      </c>
      <c r="F1159" s="12" t="n">
        <v>2349</v>
      </c>
      <c r="G1159" s="11" t="str">
        <f aca="false">IF(INDEX(選手一覧!$D$7:$D$2738,$F1159)="","",INDEX(選手一覧!$D$7:$D$2738,$F1159))</f>
        <v/>
      </c>
      <c r="H1159" s="12" t="str">
        <f aca="false">IF(INDEX(選手一覧!$E$7:$E$2738,$F1159)="","",INDEX(選手一覧!$E$7:$E$2738,$F1159))</f>
        <v/>
      </c>
      <c r="I1159" s="11" t="str">
        <f aca="false">IF(INDEX(選手一覧!$H$7:$H$2738,$F1159)="","",INDEX(選手一覧!$H$7:$H$2738,$F1159))</f>
        <v/>
      </c>
      <c r="J1159" s="12" t="str">
        <f aca="false">IF(INDEX(選手一覧!$I$7:$I$2738,$F1159)="","",INDEX(選手一覧!$I$7:$I$2738,$F1159))</f>
        <v/>
      </c>
    </row>
    <row r="1160" customFormat="false" ht="15" hidden="false" customHeight="false" outlineLevel="0" collapsed="false">
      <c r="A1160" s="12" t="n">
        <v>1156</v>
      </c>
      <c r="B1160" s="10" t="s">
        <v>3338</v>
      </c>
      <c r="C1160" s="10" t="s">
        <v>3339</v>
      </c>
      <c r="D1160" s="11" t="n">
        <v>0.00787800925925926</v>
      </c>
      <c r="E1160" s="18" t="n">
        <f aca="false">ROUND((D1160-$D$5)*86400,2)</f>
        <v>141.64</v>
      </c>
      <c r="F1160" s="12" t="n">
        <v>2350</v>
      </c>
      <c r="G1160" s="11" t="str">
        <f aca="false">IF(INDEX(選手一覧!$D$7:$D$2738,$F1160)="","",INDEX(選手一覧!$D$7:$D$2738,$F1160))</f>
        <v/>
      </c>
      <c r="H1160" s="12" t="str">
        <f aca="false">IF(INDEX(選手一覧!$E$7:$E$2738,$F1160)="","",INDEX(選手一覧!$E$7:$E$2738,$F1160))</f>
        <v/>
      </c>
      <c r="I1160" s="11" t="str">
        <f aca="false">IF(INDEX(選手一覧!$H$7:$H$2738,$F1160)="","",INDEX(選手一覧!$H$7:$H$2738,$F1160))</f>
        <v/>
      </c>
      <c r="J1160" s="12" t="str">
        <f aca="false">IF(INDEX(選手一覧!$I$7:$I$2738,$F1160)="","",INDEX(選手一覧!$I$7:$I$2738,$F1160))</f>
        <v/>
      </c>
    </row>
    <row r="1161" customFormat="false" ht="15" hidden="false" customHeight="false" outlineLevel="0" collapsed="false">
      <c r="A1161" s="12" t="n">
        <v>1157</v>
      </c>
      <c r="B1161" s="10" t="s">
        <v>3340</v>
      </c>
      <c r="C1161" s="10" t="s">
        <v>714</v>
      </c>
      <c r="D1161" s="11" t="n">
        <v>0.0078787037037037</v>
      </c>
      <c r="E1161" s="18" t="n">
        <f aca="false">ROUND((D1161-$D$5)*86400,2)</f>
        <v>141.7</v>
      </c>
      <c r="F1161" s="12" t="n">
        <v>2351</v>
      </c>
      <c r="G1161" s="11" t="str">
        <f aca="false">IF(INDEX(選手一覧!$D$7:$D$2738,$F1161)="","",INDEX(選手一覧!$D$7:$D$2738,$F1161))</f>
        <v/>
      </c>
      <c r="H1161" s="12" t="str">
        <f aca="false">IF(INDEX(選手一覧!$E$7:$E$2738,$F1161)="","",INDEX(選手一覧!$E$7:$E$2738,$F1161))</f>
        <v/>
      </c>
      <c r="I1161" s="11" t="str">
        <f aca="false">IF(INDEX(選手一覧!$H$7:$H$2738,$F1161)="","",INDEX(選手一覧!$H$7:$H$2738,$F1161))</f>
        <v/>
      </c>
      <c r="J1161" s="12" t="str">
        <f aca="false">IF(INDEX(選手一覧!$I$7:$I$2738,$F1161)="","",INDEX(選手一覧!$I$7:$I$2738,$F1161))</f>
        <v/>
      </c>
    </row>
    <row r="1162" customFormat="false" ht="15" hidden="false" customHeight="false" outlineLevel="0" collapsed="false">
      <c r="A1162" s="12" t="n">
        <v>1158</v>
      </c>
      <c r="B1162" s="10" t="s">
        <v>3344</v>
      </c>
      <c r="C1162" s="10" t="s">
        <v>3345</v>
      </c>
      <c r="D1162" s="11" t="n">
        <v>0.00788101851851852</v>
      </c>
      <c r="E1162" s="18" t="n">
        <f aca="false">ROUND((D1162-$D$5)*86400,2)</f>
        <v>141.9</v>
      </c>
      <c r="F1162" s="12" t="n">
        <v>2354</v>
      </c>
      <c r="G1162" s="11" t="str">
        <f aca="false">IF(INDEX(選手一覧!$D$7:$D$2738,$F1162)="","",INDEX(選手一覧!$D$7:$D$2738,$F1162))</f>
        <v/>
      </c>
      <c r="H1162" s="12" t="str">
        <f aca="false">IF(INDEX(選手一覧!$E$7:$E$2738,$F1162)="","",INDEX(選手一覧!$E$7:$E$2738,$F1162))</f>
        <v/>
      </c>
      <c r="I1162" s="11" t="str">
        <f aca="false">IF(INDEX(選手一覧!$H$7:$H$2738,$F1162)="","",INDEX(選手一覧!$H$7:$H$2738,$F1162))</f>
        <v/>
      </c>
      <c r="J1162" s="12" t="str">
        <f aca="false">IF(INDEX(選手一覧!$I$7:$I$2738,$F1162)="","",INDEX(選手一覧!$I$7:$I$2738,$F1162))</f>
        <v/>
      </c>
    </row>
    <row r="1163" customFormat="false" ht="15" hidden="false" customHeight="false" outlineLevel="0" collapsed="false">
      <c r="A1163" s="12" t="n">
        <v>1159</v>
      </c>
      <c r="B1163" s="10" t="s">
        <v>3347</v>
      </c>
      <c r="C1163" s="10" t="s">
        <v>136</v>
      </c>
      <c r="D1163" s="11" t="n">
        <v>0.00788472222222222</v>
      </c>
      <c r="E1163" s="18" t="n">
        <f aca="false">ROUND((D1163-$D$5)*86400,2)</f>
        <v>142.22</v>
      </c>
      <c r="F1163" s="12" t="n">
        <v>2356</v>
      </c>
      <c r="G1163" s="11" t="str">
        <f aca="false">IF(INDEX(選手一覧!$D$7:$D$2738,$F1163)="","",INDEX(選手一覧!$D$7:$D$2738,$F1163))</f>
        <v/>
      </c>
      <c r="H1163" s="12" t="str">
        <f aca="false">IF(INDEX(選手一覧!$E$7:$E$2738,$F1163)="","",INDEX(選手一覧!$E$7:$E$2738,$F1163))</f>
        <v/>
      </c>
      <c r="I1163" s="11" t="str">
        <f aca="false">IF(INDEX(選手一覧!$H$7:$H$2738,$F1163)="","",INDEX(選手一覧!$H$7:$H$2738,$F1163))</f>
        <v/>
      </c>
      <c r="J1163" s="12" t="str">
        <f aca="false">IF(INDEX(選手一覧!$I$7:$I$2738,$F1163)="","",INDEX(選手一覧!$I$7:$I$2738,$F1163))</f>
        <v/>
      </c>
    </row>
    <row r="1164" customFormat="false" ht="15" hidden="false" customHeight="false" outlineLevel="0" collapsed="false">
      <c r="A1164" s="12" t="n">
        <v>1160</v>
      </c>
      <c r="B1164" s="10" t="s">
        <v>3350</v>
      </c>
      <c r="C1164" s="10" t="s">
        <v>803</v>
      </c>
      <c r="D1164" s="11" t="n">
        <v>0.00788622685185185</v>
      </c>
      <c r="E1164" s="18" t="n">
        <f aca="false">ROUND((D1164-$D$5)*86400,2)</f>
        <v>142.35</v>
      </c>
      <c r="F1164" s="12" t="n">
        <v>2358</v>
      </c>
      <c r="G1164" s="11" t="str">
        <f aca="false">IF(INDEX(選手一覧!$D$7:$D$2738,$F1164)="","",INDEX(選手一覧!$D$7:$D$2738,$F1164))</f>
        <v/>
      </c>
      <c r="H1164" s="12" t="str">
        <f aca="false">IF(INDEX(選手一覧!$E$7:$E$2738,$F1164)="","",INDEX(選手一覧!$E$7:$E$2738,$F1164))</f>
        <v/>
      </c>
      <c r="I1164" s="11" t="str">
        <f aca="false">IF(INDEX(選手一覧!$H$7:$H$2738,$F1164)="","",INDEX(選手一覧!$H$7:$H$2738,$F1164))</f>
        <v/>
      </c>
      <c r="J1164" s="12" t="str">
        <f aca="false">IF(INDEX(選手一覧!$I$7:$I$2738,$F1164)="","",INDEX(選手一覧!$I$7:$I$2738,$F1164))</f>
        <v/>
      </c>
    </row>
    <row r="1165" customFormat="false" ht="15" hidden="false" customHeight="false" outlineLevel="0" collapsed="false">
      <c r="A1165" s="12" t="n">
        <v>1161</v>
      </c>
      <c r="B1165" s="10" t="s">
        <v>3355</v>
      </c>
      <c r="C1165" s="10" t="s">
        <v>829</v>
      </c>
      <c r="D1165" s="11" t="n">
        <v>0.00788865740740741</v>
      </c>
      <c r="E1165" s="18" t="n">
        <f aca="false">ROUND((D1165-$D$5)*86400,2)</f>
        <v>142.56</v>
      </c>
      <c r="F1165" s="12" t="n">
        <v>2361</v>
      </c>
      <c r="G1165" s="11" t="str">
        <f aca="false">IF(INDEX(選手一覧!$D$7:$D$2738,$F1165)="","",INDEX(選手一覧!$D$7:$D$2738,$F1165))</f>
        <v/>
      </c>
      <c r="H1165" s="12" t="str">
        <f aca="false">IF(INDEX(選手一覧!$E$7:$E$2738,$F1165)="","",INDEX(選手一覧!$E$7:$E$2738,$F1165))</f>
        <v/>
      </c>
      <c r="I1165" s="11" t="str">
        <f aca="false">IF(INDEX(選手一覧!$H$7:$H$2738,$F1165)="","",INDEX(選手一覧!$H$7:$H$2738,$F1165))</f>
        <v/>
      </c>
      <c r="J1165" s="12" t="str">
        <f aca="false">IF(INDEX(選手一覧!$I$7:$I$2738,$F1165)="","",INDEX(選手一覧!$I$7:$I$2738,$F1165))</f>
        <v/>
      </c>
    </row>
    <row r="1166" customFormat="false" ht="15" hidden="false" customHeight="false" outlineLevel="0" collapsed="false">
      <c r="A1166" s="12" t="n">
        <v>1162</v>
      </c>
      <c r="B1166" s="10" t="s">
        <v>3358</v>
      </c>
      <c r="C1166" s="10" t="s">
        <v>3359</v>
      </c>
      <c r="D1166" s="11" t="n">
        <v>0.007896875</v>
      </c>
      <c r="E1166" s="18" t="n">
        <f aca="false">ROUND((D1166-$D$5)*86400,2)</f>
        <v>143.27</v>
      </c>
      <c r="F1166" s="12" t="n">
        <v>2363</v>
      </c>
      <c r="G1166" s="11" t="n">
        <f aca="false">IF(INDEX(選手一覧!$D$7:$D$2738,$F1166)="","",INDEX(選手一覧!$D$7:$D$2738,$F1166))</f>
        <v>0.0110578703703704</v>
      </c>
      <c r="H1166" s="12" t="n">
        <f aca="false">IF(INDEX(選手一覧!$E$7:$E$2738,$F1166)="","",INDEX(選手一覧!$E$7:$E$2738,$F1166))</f>
        <v>1212</v>
      </c>
      <c r="I1166" s="11" t="str">
        <f aca="false">IF(INDEX(選手一覧!$H$7:$H$2738,$F1166)="","",INDEX(選手一覧!$H$7:$H$2738,$F1166))</f>
        <v/>
      </c>
      <c r="J1166" s="12" t="str">
        <f aca="false">IF(INDEX(選手一覧!$I$7:$I$2738,$F1166)="","",INDEX(選手一覧!$I$7:$I$2738,$F1166))</f>
        <v/>
      </c>
    </row>
    <row r="1167" customFormat="false" ht="15" hidden="false" customHeight="false" outlineLevel="0" collapsed="false">
      <c r="A1167" s="12" t="n">
        <v>1163</v>
      </c>
      <c r="B1167" s="10" t="s">
        <v>3362</v>
      </c>
      <c r="C1167" s="10" t="s">
        <v>3277</v>
      </c>
      <c r="D1167" s="11" t="n">
        <v>0.00789837962962963</v>
      </c>
      <c r="E1167" s="18" t="n">
        <f aca="false">ROUND((D1167-$D$5)*86400,2)</f>
        <v>143.4</v>
      </c>
      <c r="F1167" s="12" t="n">
        <v>2366</v>
      </c>
      <c r="G1167" s="11" t="str">
        <f aca="false">IF(INDEX(選手一覧!$D$7:$D$2738,$F1167)="","",INDEX(選手一覧!$D$7:$D$2738,$F1167))</f>
        <v/>
      </c>
      <c r="H1167" s="12" t="str">
        <f aca="false">IF(INDEX(選手一覧!$E$7:$E$2738,$F1167)="","",INDEX(選手一覧!$E$7:$E$2738,$F1167))</f>
        <v/>
      </c>
      <c r="I1167" s="11" t="str">
        <f aca="false">IF(INDEX(選手一覧!$H$7:$H$2738,$F1167)="","",INDEX(選手一覧!$H$7:$H$2738,$F1167))</f>
        <v/>
      </c>
      <c r="J1167" s="12" t="str">
        <f aca="false">IF(INDEX(選手一覧!$I$7:$I$2738,$F1167)="","",INDEX(選手一覧!$I$7:$I$2738,$F1167))</f>
        <v/>
      </c>
    </row>
    <row r="1168" customFormat="false" ht="15" hidden="false" customHeight="false" outlineLevel="0" collapsed="false">
      <c r="A1168" s="12" t="n">
        <v>1164</v>
      </c>
      <c r="B1168" s="10" t="s">
        <v>3365</v>
      </c>
      <c r="C1168" s="10" t="s">
        <v>974</v>
      </c>
      <c r="D1168" s="11" t="n">
        <v>0.00790162037037037</v>
      </c>
      <c r="E1168" s="18" t="n">
        <f aca="false">ROUND((D1168-$D$5)*86400,2)</f>
        <v>143.68</v>
      </c>
      <c r="F1168" s="12" t="n">
        <v>2368</v>
      </c>
      <c r="G1168" s="11" t="str">
        <f aca="false">IF(INDEX(選手一覧!$D$7:$D$2738,$F1168)="","",INDEX(選手一覧!$D$7:$D$2738,$F1168))</f>
        <v/>
      </c>
      <c r="H1168" s="12" t="str">
        <f aca="false">IF(INDEX(選手一覧!$E$7:$E$2738,$F1168)="","",INDEX(選手一覧!$E$7:$E$2738,$F1168))</f>
        <v/>
      </c>
      <c r="I1168" s="11" t="str">
        <f aca="false">IF(INDEX(選手一覧!$H$7:$H$2738,$F1168)="","",INDEX(選手一覧!$H$7:$H$2738,$F1168))</f>
        <v/>
      </c>
      <c r="J1168" s="12" t="str">
        <f aca="false">IF(INDEX(選手一覧!$I$7:$I$2738,$F1168)="","",INDEX(選手一覧!$I$7:$I$2738,$F1168))</f>
        <v/>
      </c>
    </row>
    <row r="1169" customFormat="false" ht="15" hidden="false" customHeight="false" outlineLevel="0" collapsed="false">
      <c r="A1169" s="12" t="n">
        <v>1165</v>
      </c>
      <c r="B1169" s="10" t="s">
        <v>3369</v>
      </c>
      <c r="C1169" s="10" t="s">
        <v>797</v>
      </c>
      <c r="D1169" s="11" t="n">
        <v>0.007903125</v>
      </c>
      <c r="E1169" s="18" t="n">
        <f aca="false">ROUND((D1169-$D$5)*86400,2)</f>
        <v>143.81</v>
      </c>
      <c r="F1169" s="12" t="n">
        <v>2371</v>
      </c>
      <c r="G1169" s="11" t="str">
        <f aca="false">IF(INDEX(選手一覧!$D$7:$D$2738,$F1169)="","",INDEX(選手一覧!$D$7:$D$2738,$F1169))</f>
        <v/>
      </c>
      <c r="H1169" s="12" t="str">
        <f aca="false">IF(INDEX(選手一覧!$E$7:$E$2738,$F1169)="","",INDEX(選手一覧!$E$7:$E$2738,$F1169))</f>
        <v/>
      </c>
      <c r="I1169" s="11" t="str">
        <f aca="false">IF(INDEX(選手一覧!$H$7:$H$2738,$F1169)="","",INDEX(選手一覧!$H$7:$H$2738,$F1169))</f>
        <v/>
      </c>
      <c r="J1169" s="12" t="str">
        <f aca="false">IF(INDEX(選手一覧!$I$7:$I$2738,$F1169)="","",INDEX(選手一覧!$I$7:$I$2738,$F1169))</f>
        <v/>
      </c>
    </row>
    <row r="1170" customFormat="false" ht="15" hidden="false" customHeight="false" outlineLevel="0" collapsed="false">
      <c r="A1170" s="12" t="n">
        <v>1166</v>
      </c>
      <c r="B1170" s="10" t="s">
        <v>3373</v>
      </c>
      <c r="C1170" s="10" t="s">
        <v>1496</v>
      </c>
      <c r="D1170" s="11" t="n">
        <v>0.00790949074074074</v>
      </c>
      <c r="E1170" s="18" t="n">
        <f aca="false">ROUND((D1170-$D$5)*86400,2)</f>
        <v>144.36</v>
      </c>
      <c r="F1170" s="12" t="n">
        <v>2374</v>
      </c>
      <c r="G1170" s="11" t="str">
        <f aca="false">IF(INDEX(選手一覧!$D$7:$D$2738,$F1170)="","",INDEX(選手一覧!$D$7:$D$2738,$F1170))</f>
        <v/>
      </c>
      <c r="H1170" s="12" t="str">
        <f aca="false">IF(INDEX(選手一覧!$E$7:$E$2738,$F1170)="","",INDEX(選手一覧!$E$7:$E$2738,$F1170))</f>
        <v/>
      </c>
      <c r="I1170" s="11" t="str">
        <f aca="false">IF(INDEX(選手一覧!$H$7:$H$2738,$F1170)="","",INDEX(選手一覧!$H$7:$H$2738,$F1170))</f>
        <v/>
      </c>
      <c r="J1170" s="12" t="str">
        <f aca="false">IF(INDEX(選手一覧!$I$7:$I$2738,$F1170)="","",INDEX(選手一覧!$I$7:$I$2738,$F1170))</f>
        <v/>
      </c>
    </row>
    <row r="1171" customFormat="false" ht="15" hidden="false" customHeight="false" outlineLevel="0" collapsed="false">
      <c r="A1171" s="12" t="n">
        <v>1167</v>
      </c>
      <c r="B1171" s="10" t="s">
        <v>3375</v>
      </c>
      <c r="C1171" s="10" t="s">
        <v>3376</v>
      </c>
      <c r="D1171" s="11" t="n">
        <v>0.00791446759259259</v>
      </c>
      <c r="E1171" s="18" t="n">
        <f aca="false">ROUND((D1171-$D$5)*86400,2)</f>
        <v>144.79</v>
      </c>
      <c r="F1171" s="12" t="n">
        <v>2376</v>
      </c>
      <c r="G1171" s="11" t="str">
        <f aca="false">IF(INDEX(選手一覧!$D$7:$D$2738,$F1171)="","",INDEX(選手一覧!$D$7:$D$2738,$F1171))</f>
        <v/>
      </c>
      <c r="H1171" s="12" t="str">
        <f aca="false">IF(INDEX(選手一覧!$E$7:$E$2738,$F1171)="","",INDEX(選手一覧!$E$7:$E$2738,$F1171))</f>
        <v/>
      </c>
      <c r="I1171" s="11" t="str">
        <f aca="false">IF(INDEX(選手一覧!$H$7:$H$2738,$F1171)="","",INDEX(選手一覧!$H$7:$H$2738,$F1171))</f>
        <v/>
      </c>
      <c r="J1171" s="12" t="str">
        <f aca="false">IF(INDEX(選手一覧!$I$7:$I$2738,$F1171)="","",INDEX(選手一覧!$I$7:$I$2738,$F1171))</f>
        <v/>
      </c>
    </row>
    <row r="1172" customFormat="false" ht="15" hidden="false" customHeight="false" outlineLevel="0" collapsed="false">
      <c r="A1172" s="12" t="n">
        <v>1168</v>
      </c>
      <c r="B1172" s="10" t="s">
        <v>3381</v>
      </c>
      <c r="C1172" s="10" t="s">
        <v>3382</v>
      </c>
      <c r="D1172" s="11" t="n">
        <v>0.0079193287037037</v>
      </c>
      <c r="E1172" s="18" t="n">
        <f aca="false">ROUND((D1172-$D$5)*86400,2)</f>
        <v>145.21</v>
      </c>
      <c r="F1172" s="12" t="n">
        <v>2379</v>
      </c>
      <c r="G1172" s="11" t="str">
        <f aca="false">IF(INDEX(選手一覧!$D$7:$D$2738,$F1172)="","",INDEX(選手一覧!$D$7:$D$2738,$F1172))</f>
        <v/>
      </c>
      <c r="H1172" s="12" t="str">
        <f aca="false">IF(INDEX(選手一覧!$E$7:$E$2738,$F1172)="","",INDEX(選手一覧!$E$7:$E$2738,$F1172))</f>
        <v/>
      </c>
      <c r="I1172" s="11" t="str">
        <f aca="false">IF(INDEX(選手一覧!$H$7:$H$2738,$F1172)="","",INDEX(選手一覧!$H$7:$H$2738,$F1172))</f>
        <v/>
      </c>
      <c r="J1172" s="12" t="str">
        <f aca="false">IF(INDEX(選手一覧!$I$7:$I$2738,$F1172)="","",INDEX(選手一覧!$I$7:$I$2738,$F1172))</f>
        <v/>
      </c>
    </row>
    <row r="1173" customFormat="false" ht="15" hidden="false" customHeight="false" outlineLevel="0" collapsed="false">
      <c r="A1173" s="12" t="n">
        <v>1169</v>
      </c>
      <c r="B1173" s="10" t="s">
        <v>3384</v>
      </c>
      <c r="C1173" s="10" t="s">
        <v>3385</v>
      </c>
      <c r="D1173" s="11" t="n">
        <v>0.00792094907407407</v>
      </c>
      <c r="E1173" s="18" t="n">
        <f aca="false">ROUND((D1173-$D$5)*86400,2)</f>
        <v>145.35</v>
      </c>
      <c r="F1173" s="12" t="n">
        <v>2381</v>
      </c>
      <c r="G1173" s="11" t="str">
        <f aca="false">IF(INDEX(選手一覧!$D$7:$D$2738,$F1173)="","",INDEX(選手一覧!$D$7:$D$2738,$F1173))</f>
        <v/>
      </c>
      <c r="H1173" s="12" t="str">
        <f aca="false">IF(INDEX(選手一覧!$E$7:$E$2738,$F1173)="","",INDEX(選手一覧!$E$7:$E$2738,$F1173))</f>
        <v/>
      </c>
      <c r="I1173" s="11" t="str">
        <f aca="false">IF(INDEX(選手一覧!$H$7:$H$2738,$F1173)="","",INDEX(選手一覧!$H$7:$H$2738,$F1173))</f>
        <v/>
      </c>
      <c r="J1173" s="12" t="str">
        <f aca="false">IF(INDEX(選手一覧!$I$7:$I$2738,$F1173)="","",INDEX(選手一覧!$I$7:$I$2738,$F1173))</f>
        <v/>
      </c>
    </row>
    <row r="1174" customFormat="false" ht="15" hidden="false" customHeight="false" outlineLevel="0" collapsed="false">
      <c r="A1174" s="12" t="n">
        <v>1170</v>
      </c>
      <c r="B1174" s="10" t="s">
        <v>3388</v>
      </c>
      <c r="C1174" s="10" t="s">
        <v>1651</v>
      </c>
      <c r="D1174" s="11" t="n">
        <v>0.00792314814814815</v>
      </c>
      <c r="E1174" s="18" t="n">
        <f aca="false">ROUND((D1174-$D$5)*86400,2)</f>
        <v>145.54</v>
      </c>
      <c r="F1174" s="12" t="n">
        <v>2384</v>
      </c>
      <c r="G1174" s="11" t="str">
        <f aca="false">IF(INDEX(選手一覧!$D$7:$D$2738,$F1174)="","",INDEX(選手一覧!$D$7:$D$2738,$F1174))</f>
        <v/>
      </c>
      <c r="H1174" s="12" t="str">
        <f aca="false">IF(INDEX(選手一覧!$E$7:$E$2738,$F1174)="","",INDEX(選手一覧!$E$7:$E$2738,$F1174))</f>
        <v/>
      </c>
      <c r="I1174" s="11" t="str">
        <f aca="false">IF(INDEX(選手一覧!$H$7:$H$2738,$F1174)="","",INDEX(選手一覧!$H$7:$H$2738,$F1174))</f>
        <v/>
      </c>
      <c r="J1174" s="12" t="str">
        <f aca="false">IF(INDEX(選手一覧!$I$7:$I$2738,$F1174)="","",INDEX(選手一覧!$I$7:$I$2738,$F1174))</f>
        <v/>
      </c>
    </row>
    <row r="1175" customFormat="false" ht="15" hidden="false" customHeight="false" outlineLevel="0" collapsed="false">
      <c r="A1175" s="12" t="n">
        <v>1171</v>
      </c>
      <c r="B1175" s="10" t="s">
        <v>3389</v>
      </c>
      <c r="C1175" s="10" t="s">
        <v>3390</v>
      </c>
      <c r="D1175" s="11" t="n">
        <v>0.00792511574074074</v>
      </c>
      <c r="E1175" s="18" t="n">
        <f aca="false">ROUND((D1175-$D$5)*86400,2)</f>
        <v>145.71</v>
      </c>
      <c r="F1175" s="12" t="n">
        <v>2385</v>
      </c>
      <c r="G1175" s="11" t="str">
        <f aca="false">IF(INDEX(選手一覧!$D$7:$D$2738,$F1175)="","",INDEX(選手一覧!$D$7:$D$2738,$F1175))</f>
        <v/>
      </c>
      <c r="H1175" s="12" t="str">
        <f aca="false">IF(INDEX(選手一覧!$E$7:$E$2738,$F1175)="","",INDEX(選手一覧!$E$7:$E$2738,$F1175))</f>
        <v/>
      </c>
      <c r="I1175" s="11" t="str">
        <f aca="false">IF(INDEX(選手一覧!$H$7:$H$2738,$F1175)="","",INDEX(選手一覧!$H$7:$H$2738,$F1175))</f>
        <v/>
      </c>
      <c r="J1175" s="12" t="str">
        <f aca="false">IF(INDEX(選手一覧!$I$7:$I$2738,$F1175)="","",INDEX(選手一覧!$I$7:$I$2738,$F1175))</f>
        <v/>
      </c>
    </row>
    <row r="1176" customFormat="false" ht="15" hidden="false" customHeight="false" outlineLevel="0" collapsed="false">
      <c r="A1176" s="12" t="n">
        <v>1172</v>
      </c>
      <c r="B1176" s="10" t="s">
        <v>3392</v>
      </c>
      <c r="C1176" s="10" t="s">
        <v>195</v>
      </c>
      <c r="D1176" s="11" t="n">
        <v>0.00793101851851852</v>
      </c>
      <c r="E1176" s="18" t="n">
        <f aca="false">ROUND((D1176-$D$5)*86400,2)</f>
        <v>146.22</v>
      </c>
      <c r="F1176" s="12" t="n">
        <v>2387</v>
      </c>
      <c r="G1176" s="11" t="str">
        <f aca="false">IF(INDEX(選手一覧!$D$7:$D$2738,$F1176)="","",INDEX(選手一覧!$D$7:$D$2738,$F1176))</f>
        <v/>
      </c>
      <c r="H1176" s="12" t="str">
        <f aca="false">IF(INDEX(選手一覧!$E$7:$E$2738,$F1176)="","",INDEX(選手一覧!$E$7:$E$2738,$F1176))</f>
        <v/>
      </c>
      <c r="I1176" s="11" t="str">
        <f aca="false">IF(INDEX(選手一覧!$H$7:$H$2738,$F1176)="","",INDEX(選手一覧!$H$7:$H$2738,$F1176))</f>
        <v/>
      </c>
      <c r="J1176" s="12" t="str">
        <f aca="false">IF(INDEX(選手一覧!$I$7:$I$2738,$F1176)="","",INDEX(選手一覧!$I$7:$I$2738,$F1176))</f>
        <v/>
      </c>
    </row>
    <row r="1177" customFormat="false" ht="15" hidden="false" customHeight="false" outlineLevel="0" collapsed="false">
      <c r="A1177" s="12" t="n">
        <v>1173</v>
      </c>
      <c r="B1177" s="10" t="s">
        <v>3394</v>
      </c>
      <c r="C1177" s="10" t="s">
        <v>1481</v>
      </c>
      <c r="D1177" s="11" t="n">
        <v>0.00793321759259259</v>
      </c>
      <c r="E1177" s="18" t="n">
        <f aca="false">ROUND((D1177-$D$5)*86400,2)</f>
        <v>146.41</v>
      </c>
      <c r="F1177" s="12" t="n">
        <v>2389</v>
      </c>
      <c r="G1177" s="11" t="str">
        <f aca="false">IF(INDEX(選手一覧!$D$7:$D$2738,$F1177)="","",INDEX(選手一覧!$D$7:$D$2738,$F1177))</f>
        <v/>
      </c>
      <c r="H1177" s="12" t="str">
        <f aca="false">IF(INDEX(選手一覧!$E$7:$E$2738,$F1177)="","",INDEX(選手一覧!$E$7:$E$2738,$F1177))</f>
        <v/>
      </c>
      <c r="I1177" s="11" t="str">
        <f aca="false">IF(INDEX(選手一覧!$H$7:$H$2738,$F1177)="","",INDEX(選手一覧!$H$7:$H$2738,$F1177))</f>
        <v/>
      </c>
      <c r="J1177" s="12" t="str">
        <f aca="false">IF(INDEX(選手一覧!$I$7:$I$2738,$F1177)="","",INDEX(選手一覧!$I$7:$I$2738,$F1177))</f>
        <v/>
      </c>
    </row>
    <row r="1178" customFormat="false" ht="15" hidden="false" customHeight="false" outlineLevel="0" collapsed="false">
      <c r="A1178" s="12" t="n">
        <v>1174</v>
      </c>
      <c r="B1178" s="10" t="s">
        <v>2214</v>
      </c>
      <c r="C1178" s="10" t="s">
        <v>2215</v>
      </c>
      <c r="D1178" s="11" t="n">
        <v>0.00793425925925926</v>
      </c>
      <c r="E1178" s="18" t="n">
        <f aca="false">ROUND((D1178-$D$5)*86400,2)</f>
        <v>146.5</v>
      </c>
      <c r="F1178" s="12" t="n">
        <v>1533</v>
      </c>
      <c r="G1178" s="11" t="str">
        <f aca="false">IF(INDEX(選手一覧!$D$7:$D$2738,$F1178)="","",INDEX(選手一覧!$D$7:$D$2738,$F1178))</f>
        <v/>
      </c>
      <c r="H1178" s="12" t="str">
        <f aca="false">IF(INDEX(選手一覧!$E$7:$E$2738,$F1178)="","",INDEX(選手一覧!$E$7:$E$2738,$F1178))</f>
        <v/>
      </c>
      <c r="I1178" s="11" t="n">
        <f aca="false">IF(INDEX(選手一覧!$H$7:$H$2738,$F1178)="","",INDEX(選手一覧!$H$7:$H$2738,$F1178))</f>
        <v>0.00287453703703704</v>
      </c>
      <c r="J1178" s="12" t="n">
        <f aca="false">IF(INDEX(選手一覧!$I$7:$I$2738,$F1178)="","",INDEX(選手一覧!$I$7:$I$2738,$F1178))</f>
        <v>730</v>
      </c>
    </row>
    <row r="1179" customFormat="false" ht="15" hidden="false" customHeight="false" outlineLevel="0" collapsed="false">
      <c r="A1179" s="12" t="n">
        <v>1175</v>
      </c>
      <c r="B1179" s="10" t="s">
        <v>3395</v>
      </c>
      <c r="C1179" s="10" t="s">
        <v>3396</v>
      </c>
      <c r="D1179" s="11" t="n">
        <v>0.00793981481481481</v>
      </c>
      <c r="E1179" s="18" t="n">
        <f aca="false">ROUND((D1179-$D$5)*86400,2)</f>
        <v>146.98</v>
      </c>
      <c r="F1179" s="12" t="n">
        <v>2390</v>
      </c>
      <c r="G1179" s="11" t="str">
        <f aca="false">IF(INDEX(選手一覧!$D$7:$D$2738,$F1179)="","",INDEX(選手一覧!$D$7:$D$2738,$F1179))</f>
        <v/>
      </c>
      <c r="H1179" s="12" t="str">
        <f aca="false">IF(INDEX(選手一覧!$E$7:$E$2738,$F1179)="","",INDEX(選手一覧!$E$7:$E$2738,$F1179))</f>
        <v/>
      </c>
      <c r="I1179" s="11" t="str">
        <f aca="false">IF(INDEX(選手一覧!$H$7:$H$2738,$F1179)="","",INDEX(選手一覧!$H$7:$H$2738,$F1179))</f>
        <v/>
      </c>
      <c r="J1179" s="12" t="str">
        <f aca="false">IF(INDEX(選手一覧!$I$7:$I$2738,$F1179)="","",INDEX(選手一覧!$I$7:$I$2738,$F1179))</f>
        <v/>
      </c>
    </row>
    <row r="1180" customFormat="false" ht="15" hidden="false" customHeight="false" outlineLevel="0" collapsed="false">
      <c r="A1180" s="12" t="n">
        <v>1176</v>
      </c>
      <c r="B1180" s="10" t="s">
        <v>3398</v>
      </c>
      <c r="C1180" s="10" t="s">
        <v>588</v>
      </c>
      <c r="D1180" s="11" t="n">
        <v>0.00794212962962963</v>
      </c>
      <c r="E1180" s="18" t="n">
        <f aca="false">ROUND((D1180-$D$5)*86400,2)</f>
        <v>147.18</v>
      </c>
      <c r="F1180" s="12" t="n">
        <v>2392</v>
      </c>
      <c r="G1180" s="11" t="str">
        <f aca="false">IF(INDEX(選手一覧!$D$7:$D$2738,$F1180)="","",INDEX(選手一覧!$D$7:$D$2738,$F1180))</f>
        <v/>
      </c>
      <c r="H1180" s="12" t="str">
        <f aca="false">IF(INDEX(選手一覧!$E$7:$E$2738,$F1180)="","",INDEX(選手一覧!$E$7:$E$2738,$F1180))</f>
        <v/>
      </c>
      <c r="I1180" s="11" t="str">
        <f aca="false">IF(INDEX(選手一覧!$H$7:$H$2738,$F1180)="","",INDEX(選手一覧!$H$7:$H$2738,$F1180))</f>
        <v/>
      </c>
      <c r="J1180" s="12" t="str">
        <f aca="false">IF(INDEX(選手一覧!$I$7:$I$2738,$F1180)="","",INDEX(選手一覧!$I$7:$I$2738,$F1180))</f>
        <v/>
      </c>
    </row>
    <row r="1181" customFormat="false" ht="15" hidden="false" customHeight="false" outlineLevel="0" collapsed="false">
      <c r="A1181" s="12" t="n">
        <v>1177</v>
      </c>
      <c r="B1181" s="10" t="s">
        <v>3400</v>
      </c>
      <c r="C1181" s="10" t="s">
        <v>2271</v>
      </c>
      <c r="D1181" s="11" t="n">
        <v>0.00794224537037037</v>
      </c>
      <c r="E1181" s="18" t="n">
        <f aca="false">ROUND((D1181-$D$5)*86400,2)</f>
        <v>147.19</v>
      </c>
      <c r="F1181" s="12" t="n">
        <v>2394</v>
      </c>
      <c r="G1181" s="11" t="str">
        <f aca="false">IF(INDEX(選手一覧!$D$7:$D$2738,$F1181)="","",INDEX(選手一覧!$D$7:$D$2738,$F1181))</f>
        <v/>
      </c>
      <c r="H1181" s="12" t="str">
        <f aca="false">IF(INDEX(選手一覧!$E$7:$E$2738,$F1181)="","",INDEX(選手一覧!$E$7:$E$2738,$F1181))</f>
        <v/>
      </c>
      <c r="I1181" s="11" t="str">
        <f aca="false">IF(INDEX(選手一覧!$H$7:$H$2738,$F1181)="","",INDEX(選手一覧!$H$7:$H$2738,$F1181))</f>
        <v/>
      </c>
      <c r="J1181" s="12" t="str">
        <f aca="false">IF(INDEX(選手一覧!$I$7:$I$2738,$F1181)="","",INDEX(選手一覧!$I$7:$I$2738,$F1181))</f>
        <v/>
      </c>
    </row>
    <row r="1182" customFormat="false" ht="15" hidden="false" customHeight="false" outlineLevel="0" collapsed="false">
      <c r="A1182" s="12" t="n">
        <v>1178</v>
      </c>
      <c r="B1182" s="10" t="s">
        <v>1387</v>
      </c>
      <c r="C1182" s="10" t="s">
        <v>128</v>
      </c>
      <c r="D1182" s="11" t="n">
        <v>0.00794456018518519</v>
      </c>
      <c r="E1182" s="18" t="n">
        <f aca="false">ROUND((D1182-$D$5)*86400,2)</f>
        <v>147.39</v>
      </c>
      <c r="F1182" s="12" t="n">
        <v>944</v>
      </c>
      <c r="G1182" s="11" t="str">
        <f aca="false">IF(INDEX(選手一覧!$D$7:$D$2738,$F1182)="","",INDEX(選手一覧!$D$7:$D$2738,$F1182))</f>
        <v/>
      </c>
      <c r="H1182" s="12" t="str">
        <f aca="false">IF(INDEX(選手一覧!$E$7:$E$2738,$F1182)="","",INDEX(選手一覧!$E$7:$E$2738,$F1182))</f>
        <v/>
      </c>
      <c r="I1182" s="11" t="n">
        <f aca="false">IF(INDEX(選手一覧!$H$7:$H$2738,$F1182)="","",INDEX(選手一覧!$H$7:$H$2738,$F1182))</f>
        <v>0.00282939814814815</v>
      </c>
      <c r="J1182" s="12" t="n">
        <f aca="false">IF(INDEX(選手一覧!$I$7:$I$2738,$F1182)="","",INDEX(選手一覧!$I$7:$I$2738,$F1182))</f>
        <v>423</v>
      </c>
    </row>
    <row r="1183" customFormat="false" ht="15" hidden="false" customHeight="false" outlineLevel="0" collapsed="false">
      <c r="A1183" s="12" t="n">
        <v>1179</v>
      </c>
      <c r="B1183" s="10" t="s">
        <v>3402</v>
      </c>
      <c r="C1183" s="10" t="s">
        <v>288</v>
      </c>
      <c r="D1183" s="11" t="n">
        <v>0.0079599537037037</v>
      </c>
      <c r="E1183" s="18" t="n">
        <f aca="false">ROUND((D1183-$D$5)*86400,2)</f>
        <v>148.72</v>
      </c>
      <c r="F1183" s="12" t="n">
        <v>2396</v>
      </c>
      <c r="G1183" s="11" t="str">
        <f aca="false">IF(INDEX(選手一覧!$D$7:$D$2738,$F1183)="","",INDEX(選手一覧!$D$7:$D$2738,$F1183))</f>
        <v/>
      </c>
      <c r="H1183" s="12" t="str">
        <f aca="false">IF(INDEX(選手一覧!$E$7:$E$2738,$F1183)="","",INDEX(選手一覧!$E$7:$E$2738,$F1183))</f>
        <v/>
      </c>
      <c r="I1183" s="11" t="str">
        <f aca="false">IF(INDEX(選手一覧!$H$7:$H$2738,$F1183)="","",INDEX(選手一覧!$H$7:$H$2738,$F1183))</f>
        <v/>
      </c>
      <c r="J1183" s="12" t="str">
        <f aca="false">IF(INDEX(選手一覧!$I$7:$I$2738,$F1183)="","",INDEX(選手一覧!$I$7:$I$2738,$F1183))</f>
        <v/>
      </c>
    </row>
    <row r="1184" customFormat="false" ht="15" hidden="false" customHeight="false" outlineLevel="0" collapsed="false">
      <c r="A1184" s="12" t="n">
        <v>1180</v>
      </c>
      <c r="B1184" s="10" t="s">
        <v>3405</v>
      </c>
      <c r="C1184" s="10" t="s">
        <v>3406</v>
      </c>
      <c r="D1184" s="11" t="n">
        <v>0.00796296296296296</v>
      </c>
      <c r="E1184" s="18" t="n">
        <f aca="false">ROUND((D1184-$D$5)*86400,2)</f>
        <v>148.98</v>
      </c>
      <c r="F1184" s="12" t="n">
        <v>2399</v>
      </c>
      <c r="G1184" s="11" t="str">
        <f aca="false">IF(INDEX(選手一覧!$D$7:$D$2738,$F1184)="","",INDEX(選手一覧!$D$7:$D$2738,$F1184))</f>
        <v/>
      </c>
      <c r="H1184" s="12" t="str">
        <f aca="false">IF(INDEX(選手一覧!$E$7:$E$2738,$F1184)="","",INDEX(選手一覧!$E$7:$E$2738,$F1184))</f>
        <v/>
      </c>
      <c r="I1184" s="11" t="str">
        <f aca="false">IF(INDEX(選手一覧!$H$7:$H$2738,$F1184)="","",INDEX(選手一覧!$H$7:$H$2738,$F1184))</f>
        <v/>
      </c>
      <c r="J1184" s="12" t="str">
        <f aca="false">IF(INDEX(選手一覧!$I$7:$I$2738,$F1184)="","",INDEX(選手一覧!$I$7:$I$2738,$F1184))</f>
        <v/>
      </c>
    </row>
    <row r="1185" customFormat="false" ht="15" hidden="false" customHeight="false" outlineLevel="0" collapsed="false">
      <c r="A1185" s="12" t="n">
        <v>1181</v>
      </c>
      <c r="B1185" s="10" t="s">
        <v>3407</v>
      </c>
      <c r="C1185" s="10" t="s">
        <v>3408</v>
      </c>
      <c r="D1185" s="11" t="n">
        <v>0.00797002314814815</v>
      </c>
      <c r="E1185" s="18" t="n">
        <f aca="false">ROUND((D1185-$D$5)*86400,2)</f>
        <v>149.59</v>
      </c>
      <c r="F1185" s="12" t="n">
        <v>2400</v>
      </c>
      <c r="G1185" s="11" t="str">
        <f aca="false">IF(INDEX(選手一覧!$D$7:$D$2738,$F1185)="","",INDEX(選手一覧!$D$7:$D$2738,$F1185))</f>
        <v/>
      </c>
      <c r="H1185" s="12" t="str">
        <f aca="false">IF(INDEX(選手一覧!$E$7:$E$2738,$F1185)="","",INDEX(選手一覧!$E$7:$E$2738,$F1185))</f>
        <v/>
      </c>
      <c r="I1185" s="11" t="str">
        <f aca="false">IF(INDEX(選手一覧!$H$7:$H$2738,$F1185)="","",INDEX(選手一覧!$H$7:$H$2738,$F1185))</f>
        <v/>
      </c>
      <c r="J1185" s="12" t="str">
        <f aca="false">IF(INDEX(選手一覧!$I$7:$I$2738,$F1185)="","",INDEX(選手一覧!$I$7:$I$2738,$F1185))</f>
        <v/>
      </c>
    </row>
    <row r="1186" customFormat="false" ht="15" hidden="false" customHeight="false" outlineLevel="0" collapsed="false">
      <c r="A1186" s="12" t="n">
        <v>1182</v>
      </c>
      <c r="B1186" s="10" t="s">
        <v>3410</v>
      </c>
      <c r="C1186" s="10" t="s">
        <v>3411</v>
      </c>
      <c r="D1186" s="11" t="n">
        <v>0.00797002314814815</v>
      </c>
      <c r="E1186" s="18" t="n">
        <f aca="false">ROUND((D1186-$D$5)*86400,2)</f>
        <v>149.59</v>
      </c>
      <c r="F1186" s="12" t="n">
        <v>2402</v>
      </c>
      <c r="G1186" s="11" t="str">
        <f aca="false">IF(INDEX(選手一覧!$D$7:$D$2738,$F1186)="","",INDEX(選手一覧!$D$7:$D$2738,$F1186))</f>
        <v/>
      </c>
      <c r="H1186" s="12" t="str">
        <f aca="false">IF(INDEX(選手一覧!$E$7:$E$2738,$F1186)="","",INDEX(選手一覧!$E$7:$E$2738,$F1186))</f>
        <v/>
      </c>
      <c r="I1186" s="11" t="str">
        <f aca="false">IF(INDEX(選手一覧!$H$7:$H$2738,$F1186)="","",INDEX(選手一覧!$H$7:$H$2738,$F1186))</f>
        <v/>
      </c>
      <c r="J1186" s="12" t="str">
        <f aca="false">IF(INDEX(選手一覧!$I$7:$I$2738,$F1186)="","",INDEX(選手一覧!$I$7:$I$2738,$F1186))</f>
        <v/>
      </c>
    </row>
    <row r="1187" customFormat="false" ht="15" hidden="false" customHeight="false" outlineLevel="0" collapsed="false">
      <c r="A1187" s="12" t="n">
        <v>1183</v>
      </c>
      <c r="B1187" s="10" t="s">
        <v>3413</v>
      </c>
      <c r="C1187" s="10" t="s">
        <v>3414</v>
      </c>
      <c r="D1187" s="11" t="n">
        <v>0.0079755787037037</v>
      </c>
      <c r="E1187" s="18" t="n">
        <f aca="false">ROUND((D1187-$D$5)*86400,2)</f>
        <v>150.07</v>
      </c>
      <c r="F1187" s="12" t="n">
        <v>2404</v>
      </c>
      <c r="G1187" s="11" t="str">
        <f aca="false">IF(INDEX(選手一覧!$D$7:$D$2738,$F1187)="","",INDEX(選手一覧!$D$7:$D$2738,$F1187))</f>
        <v/>
      </c>
      <c r="H1187" s="12" t="str">
        <f aca="false">IF(INDEX(選手一覧!$E$7:$E$2738,$F1187)="","",INDEX(選手一覧!$E$7:$E$2738,$F1187))</f>
        <v/>
      </c>
      <c r="I1187" s="11" t="str">
        <f aca="false">IF(INDEX(選手一覧!$H$7:$H$2738,$F1187)="","",INDEX(選手一覧!$H$7:$H$2738,$F1187))</f>
        <v/>
      </c>
      <c r="J1187" s="12" t="str">
        <f aca="false">IF(INDEX(選手一覧!$I$7:$I$2738,$F1187)="","",INDEX(選手一覧!$I$7:$I$2738,$F1187))</f>
        <v/>
      </c>
    </row>
    <row r="1188" customFormat="false" ht="15" hidden="false" customHeight="false" outlineLevel="0" collapsed="false">
      <c r="A1188" s="12" t="n">
        <v>1184</v>
      </c>
      <c r="B1188" s="10" t="s">
        <v>3416</v>
      </c>
      <c r="C1188" s="10" t="s">
        <v>599</v>
      </c>
      <c r="D1188" s="11" t="n">
        <v>0.00797835648148148</v>
      </c>
      <c r="E1188" s="18" t="n">
        <f aca="false">ROUND((D1188-$D$5)*86400,2)</f>
        <v>150.31</v>
      </c>
      <c r="F1188" s="12" t="n">
        <v>2406</v>
      </c>
      <c r="G1188" s="11" t="str">
        <f aca="false">IF(INDEX(選手一覧!$D$7:$D$2738,$F1188)="","",INDEX(選手一覧!$D$7:$D$2738,$F1188))</f>
        <v/>
      </c>
      <c r="H1188" s="12" t="str">
        <f aca="false">IF(INDEX(選手一覧!$E$7:$E$2738,$F1188)="","",INDEX(選手一覧!$E$7:$E$2738,$F1188))</f>
        <v/>
      </c>
      <c r="I1188" s="11" t="str">
        <f aca="false">IF(INDEX(選手一覧!$H$7:$H$2738,$F1188)="","",INDEX(選手一覧!$H$7:$H$2738,$F1188))</f>
        <v/>
      </c>
      <c r="J1188" s="12" t="str">
        <f aca="false">IF(INDEX(選手一覧!$I$7:$I$2738,$F1188)="","",INDEX(選手一覧!$I$7:$I$2738,$F1188))</f>
        <v/>
      </c>
    </row>
    <row r="1189" customFormat="false" ht="15" hidden="false" customHeight="false" outlineLevel="0" collapsed="false">
      <c r="A1189" s="12" t="n">
        <v>1185</v>
      </c>
      <c r="B1189" s="10" t="s">
        <v>3418</v>
      </c>
      <c r="C1189" s="10" t="s">
        <v>1575</v>
      </c>
      <c r="D1189" s="11" t="n">
        <v>0.00798865740740741</v>
      </c>
      <c r="E1189" s="18" t="n">
        <f aca="false">ROUND((D1189-$D$5)*86400,2)</f>
        <v>151.2</v>
      </c>
      <c r="F1189" s="12" t="n">
        <v>2408</v>
      </c>
      <c r="G1189" s="11" t="str">
        <f aca="false">IF(INDEX(選手一覧!$D$7:$D$2738,$F1189)="","",INDEX(選手一覧!$D$7:$D$2738,$F1189))</f>
        <v/>
      </c>
      <c r="H1189" s="12" t="str">
        <f aca="false">IF(INDEX(選手一覧!$E$7:$E$2738,$F1189)="","",INDEX(選手一覧!$E$7:$E$2738,$F1189))</f>
        <v/>
      </c>
      <c r="I1189" s="11" t="str">
        <f aca="false">IF(INDEX(選手一覧!$H$7:$H$2738,$F1189)="","",INDEX(選手一覧!$H$7:$H$2738,$F1189))</f>
        <v/>
      </c>
      <c r="J1189" s="12" t="str">
        <f aca="false">IF(INDEX(選手一覧!$I$7:$I$2738,$F1189)="","",INDEX(選手一覧!$I$7:$I$2738,$F1189))</f>
        <v/>
      </c>
    </row>
    <row r="1190" customFormat="false" ht="15" hidden="false" customHeight="false" outlineLevel="0" collapsed="false">
      <c r="A1190" s="12" t="n">
        <v>1186</v>
      </c>
      <c r="B1190" s="10" t="s">
        <v>3419</v>
      </c>
      <c r="C1190" s="10" t="s">
        <v>1027</v>
      </c>
      <c r="D1190" s="11" t="n">
        <v>0.00799097222222222</v>
      </c>
      <c r="E1190" s="18" t="n">
        <f aca="false">ROUND((D1190-$D$5)*86400,2)</f>
        <v>151.4</v>
      </c>
      <c r="F1190" s="12" t="n">
        <v>2409</v>
      </c>
      <c r="G1190" s="11" t="str">
        <f aca="false">IF(INDEX(選手一覧!$D$7:$D$2738,$F1190)="","",INDEX(選手一覧!$D$7:$D$2738,$F1190))</f>
        <v/>
      </c>
      <c r="H1190" s="12" t="str">
        <f aca="false">IF(INDEX(選手一覧!$E$7:$E$2738,$F1190)="","",INDEX(選手一覧!$E$7:$E$2738,$F1190))</f>
        <v/>
      </c>
      <c r="I1190" s="11" t="str">
        <f aca="false">IF(INDEX(選手一覧!$H$7:$H$2738,$F1190)="","",INDEX(選手一覧!$H$7:$H$2738,$F1190))</f>
        <v/>
      </c>
      <c r="J1190" s="12" t="str">
        <f aca="false">IF(INDEX(選手一覧!$I$7:$I$2738,$F1190)="","",INDEX(選手一覧!$I$7:$I$2738,$F1190))</f>
        <v/>
      </c>
    </row>
    <row r="1191" customFormat="false" ht="15" hidden="false" customHeight="false" outlineLevel="0" collapsed="false">
      <c r="A1191" s="12" t="n">
        <v>1187</v>
      </c>
      <c r="B1191" s="10" t="s">
        <v>3421</v>
      </c>
      <c r="C1191" s="10" t="s">
        <v>3422</v>
      </c>
      <c r="D1191" s="11" t="n">
        <v>0.00799293981481482</v>
      </c>
      <c r="E1191" s="18" t="n">
        <f aca="false">ROUND((D1191-$D$5)*86400,2)</f>
        <v>151.57</v>
      </c>
      <c r="F1191" s="12" t="n">
        <v>2411</v>
      </c>
      <c r="G1191" s="11" t="str">
        <f aca="false">IF(INDEX(選手一覧!$D$7:$D$2738,$F1191)="","",INDEX(選手一覧!$D$7:$D$2738,$F1191))</f>
        <v/>
      </c>
      <c r="H1191" s="12" t="str">
        <f aca="false">IF(INDEX(選手一覧!$E$7:$E$2738,$F1191)="","",INDEX(選手一覧!$E$7:$E$2738,$F1191))</f>
        <v/>
      </c>
      <c r="I1191" s="11" t="str">
        <f aca="false">IF(INDEX(選手一覧!$H$7:$H$2738,$F1191)="","",INDEX(選手一覧!$H$7:$H$2738,$F1191))</f>
        <v/>
      </c>
      <c r="J1191" s="12" t="str">
        <f aca="false">IF(INDEX(選手一覧!$I$7:$I$2738,$F1191)="","",INDEX(選手一覧!$I$7:$I$2738,$F1191))</f>
        <v/>
      </c>
    </row>
    <row r="1192" customFormat="false" ht="15" hidden="false" customHeight="false" outlineLevel="0" collapsed="false">
      <c r="A1192" s="12" t="n">
        <v>1188</v>
      </c>
      <c r="B1192" s="10" t="s">
        <v>3426</v>
      </c>
      <c r="C1192" s="10" t="s">
        <v>3427</v>
      </c>
      <c r="D1192" s="11" t="n">
        <v>0.00799710648148148</v>
      </c>
      <c r="E1192" s="18" t="n">
        <f aca="false">ROUND((D1192-$D$5)*86400,2)</f>
        <v>151.93</v>
      </c>
      <c r="F1192" s="12" t="n">
        <v>2414</v>
      </c>
      <c r="G1192" s="11" t="str">
        <f aca="false">IF(INDEX(選手一覧!$D$7:$D$2738,$F1192)="","",INDEX(選手一覧!$D$7:$D$2738,$F1192))</f>
        <v/>
      </c>
      <c r="H1192" s="12" t="str">
        <f aca="false">IF(INDEX(選手一覧!$E$7:$E$2738,$F1192)="","",INDEX(選手一覧!$E$7:$E$2738,$F1192))</f>
        <v/>
      </c>
      <c r="I1192" s="11" t="str">
        <f aca="false">IF(INDEX(選手一覧!$H$7:$H$2738,$F1192)="","",INDEX(選手一覧!$H$7:$H$2738,$F1192))</f>
        <v/>
      </c>
      <c r="J1192" s="12" t="str">
        <f aca="false">IF(INDEX(選手一覧!$I$7:$I$2738,$F1192)="","",INDEX(選手一覧!$I$7:$I$2738,$F1192))</f>
        <v/>
      </c>
    </row>
    <row r="1193" customFormat="false" ht="15" hidden="false" customHeight="false" outlineLevel="0" collapsed="false">
      <c r="A1193" s="12" t="n">
        <v>1189</v>
      </c>
      <c r="B1193" s="10" t="s">
        <v>3432</v>
      </c>
      <c r="C1193" s="10" t="s">
        <v>1498</v>
      </c>
      <c r="D1193" s="11" t="n">
        <v>0.00800046296296296</v>
      </c>
      <c r="E1193" s="18" t="n">
        <f aca="false">ROUND((D1193-$D$5)*86400,2)</f>
        <v>152.22</v>
      </c>
      <c r="F1193" s="12" t="n">
        <v>2417</v>
      </c>
      <c r="G1193" s="11" t="str">
        <f aca="false">IF(INDEX(選手一覧!$D$7:$D$2738,$F1193)="","",INDEX(選手一覧!$D$7:$D$2738,$F1193))</f>
        <v/>
      </c>
      <c r="H1193" s="12" t="str">
        <f aca="false">IF(INDEX(選手一覧!$E$7:$E$2738,$F1193)="","",INDEX(選手一覧!$E$7:$E$2738,$F1193))</f>
        <v/>
      </c>
      <c r="I1193" s="11" t="str">
        <f aca="false">IF(INDEX(選手一覧!$H$7:$H$2738,$F1193)="","",INDEX(選手一覧!$H$7:$H$2738,$F1193))</f>
        <v/>
      </c>
      <c r="J1193" s="12" t="str">
        <f aca="false">IF(INDEX(選手一覧!$I$7:$I$2738,$F1193)="","",INDEX(選手一覧!$I$7:$I$2738,$F1193))</f>
        <v/>
      </c>
    </row>
    <row r="1194" customFormat="false" ht="15" hidden="false" customHeight="false" outlineLevel="0" collapsed="false">
      <c r="A1194" s="12" t="n">
        <v>1190</v>
      </c>
      <c r="B1194" s="10" t="s">
        <v>3434</v>
      </c>
      <c r="C1194" s="10" t="s">
        <v>2192</v>
      </c>
      <c r="D1194" s="11" t="n">
        <v>0.00800439814814815</v>
      </c>
      <c r="E1194" s="18" t="n">
        <f aca="false">ROUND((D1194-$D$5)*86400,2)</f>
        <v>152.56</v>
      </c>
      <c r="F1194" s="12" t="n">
        <v>2419</v>
      </c>
      <c r="G1194" s="11" t="str">
        <f aca="false">IF(INDEX(選手一覧!$D$7:$D$2738,$F1194)="","",INDEX(選手一覧!$D$7:$D$2738,$F1194))</f>
        <v/>
      </c>
      <c r="H1194" s="12" t="str">
        <f aca="false">IF(INDEX(選手一覧!$E$7:$E$2738,$F1194)="","",INDEX(選手一覧!$E$7:$E$2738,$F1194))</f>
        <v/>
      </c>
      <c r="I1194" s="11" t="str">
        <f aca="false">IF(INDEX(選手一覧!$H$7:$H$2738,$F1194)="","",INDEX(選手一覧!$H$7:$H$2738,$F1194))</f>
        <v/>
      </c>
      <c r="J1194" s="12" t="str">
        <f aca="false">IF(INDEX(選手一覧!$I$7:$I$2738,$F1194)="","",INDEX(選手一覧!$I$7:$I$2738,$F1194))</f>
        <v/>
      </c>
    </row>
    <row r="1195" customFormat="false" ht="15" hidden="false" customHeight="false" outlineLevel="0" collapsed="false">
      <c r="A1195" s="12" t="n">
        <v>1191</v>
      </c>
      <c r="B1195" s="10" t="s">
        <v>3438</v>
      </c>
      <c r="C1195" s="10" t="s">
        <v>1553</v>
      </c>
      <c r="D1195" s="11" t="n">
        <v>0.0080068287037037</v>
      </c>
      <c r="E1195" s="18" t="n">
        <f aca="false">ROUND((D1195-$D$5)*86400,2)</f>
        <v>152.77</v>
      </c>
      <c r="F1195" s="12" t="n">
        <v>2422</v>
      </c>
      <c r="G1195" s="11" t="str">
        <f aca="false">IF(INDEX(選手一覧!$D$7:$D$2738,$F1195)="","",INDEX(選手一覧!$D$7:$D$2738,$F1195))</f>
        <v/>
      </c>
      <c r="H1195" s="12" t="str">
        <f aca="false">IF(INDEX(選手一覧!$E$7:$E$2738,$F1195)="","",INDEX(選手一覧!$E$7:$E$2738,$F1195))</f>
        <v/>
      </c>
      <c r="I1195" s="11" t="str">
        <f aca="false">IF(INDEX(選手一覧!$H$7:$H$2738,$F1195)="","",INDEX(選手一覧!$H$7:$H$2738,$F1195))</f>
        <v/>
      </c>
      <c r="J1195" s="12" t="str">
        <f aca="false">IF(INDEX(選手一覧!$I$7:$I$2738,$F1195)="","",INDEX(選手一覧!$I$7:$I$2738,$F1195))</f>
        <v/>
      </c>
    </row>
    <row r="1196" customFormat="false" ht="15" hidden="false" customHeight="false" outlineLevel="0" collapsed="false">
      <c r="A1196" s="12" t="n">
        <v>1192</v>
      </c>
      <c r="B1196" s="10" t="s">
        <v>3440</v>
      </c>
      <c r="C1196" s="10" t="s">
        <v>3441</v>
      </c>
      <c r="D1196" s="11" t="n">
        <v>0.00801030092592593</v>
      </c>
      <c r="E1196" s="18" t="n">
        <f aca="false">ROUND((D1196-$D$5)*86400,2)</f>
        <v>153.07</v>
      </c>
      <c r="F1196" s="12" t="n">
        <v>2424</v>
      </c>
      <c r="G1196" s="11" t="str">
        <f aca="false">IF(INDEX(選手一覧!$D$7:$D$2738,$F1196)="","",INDEX(選手一覧!$D$7:$D$2738,$F1196))</f>
        <v/>
      </c>
      <c r="H1196" s="12" t="str">
        <f aca="false">IF(INDEX(選手一覧!$E$7:$E$2738,$F1196)="","",INDEX(選手一覧!$E$7:$E$2738,$F1196))</f>
        <v/>
      </c>
      <c r="I1196" s="11" t="str">
        <f aca="false">IF(INDEX(選手一覧!$H$7:$H$2738,$F1196)="","",INDEX(選手一覧!$H$7:$H$2738,$F1196))</f>
        <v/>
      </c>
      <c r="J1196" s="12" t="str">
        <f aca="false">IF(INDEX(選手一覧!$I$7:$I$2738,$F1196)="","",INDEX(選手一覧!$I$7:$I$2738,$F1196))</f>
        <v/>
      </c>
    </row>
    <row r="1197" customFormat="false" ht="15" hidden="false" customHeight="false" outlineLevel="0" collapsed="false">
      <c r="A1197" s="12" t="n">
        <v>1193</v>
      </c>
      <c r="B1197" s="10" t="s">
        <v>3444</v>
      </c>
      <c r="C1197" s="10" t="s">
        <v>3445</v>
      </c>
      <c r="D1197" s="11" t="n">
        <v>0.00801215277777778</v>
      </c>
      <c r="E1197" s="18" t="n">
        <f aca="false">ROUND((D1197-$D$5)*86400,2)</f>
        <v>153.23</v>
      </c>
      <c r="F1197" s="12" t="n">
        <v>2427</v>
      </c>
      <c r="G1197" s="11" t="str">
        <f aca="false">IF(INDEX(選手一覧!$D$7:$D$2738,$F1197)="","",INDEX(選手一覧!$D$7:$D$2738,$F1197))</f>
        <v/>
      </c>
      <c r="H1197" s="12" t="str">
        <f aca="false">IF(INDEX(選手一覧!$E$7:$E$2738,$F1197)="","",INDEX(選手一覧!$E$7:$E$2738,$F1197))</f>
        <v/>
      </c>
      <c r="I1197" s="11" t="str">
        <f aca="false">IF(INDEX(選手一覧!$H$7:$H$2738,$F1197)="","",INDEX(選手一覧!$H$7:$H$2738,$F1197))</f>
        <v/>
      </c>
      <c r="J1197" s="12" t="str">
        <f aca="false">IF(INDEX(選手一覧!$I$7:$I$2738,$F1197)="","",INDEX(選手一覧!$I$7:$I$2738,$F1197))</f>
        <v/>
      </c>
    </row>
    <row r="1198" customFormat="false" ht="15" hidden="false" customHeight="false" outlineLevel="0" collapsed="false">
      <c r="A1198" s="12" t="n">
        <v>1194</v>
      </c>
      <c r="B1198" s="10" t="s">
        <v>3447</v>
      </c>
      <c r="C1198" s="10" t="s">
        <v>1491</v>
      </c>
      <c r="D1198" s="11" t="n">
        <v>0.00801863425925926</v>
      </c>
      <c r="E1198" s="18" t="n">
        <f aca="false">ROUND((D1198-$D$5)*86400,2)</f>
        <v>153.79</v>
      </c>
      <c r="F1198" s="12" t="n">
        <v>2429</v>
      </c>
      <c r="G1198" s="11" t="str">
        <f aca="false">IF(INDEX(選手一覧!$D$7:$D$2738,$F1198)="","",INDEX(選手一覧!$D$7:$D$2738,$F1198))</f>
        <v/>
      </c>
      <c r="H1198" s="12" t="str">
        <f aca="false">IF(INDEX(選手一覧!$E$7:$E$2738,$F1198)="","",INDEX(選手一覧!$E$7:$E$2738,$F1198))</f>
        <v/>
      </c>
      <c r="I1198" s="11" t="str">
        <f aca="false">IF(INDEX(選手一覧!$H$7:$H$2738,$F1198)="","",INDEX(選手一覧!$H$7:$H$2738,$F1198))</f>
        <v/>
      </c>
      <c r="J1198" s="12" t="str">
        <f aca="false">IF(INDEX(選手一覧!$I$7:$I$2738,$F1198)="","",INDEX(選手一覧!$I$7:$I$2738,$F1198))</f>
        <v/>
      </c>
    </row>
    <row r="1199" customFormat="false" ht="15" hidden="false" customHeight="false" outlineLevel="0" collapsed="false">
      <c r="A1199" s="12" t="n">
        <v>1195</v>
      </c>
      <c r="B1199" s="10" t="s">
        <v>825</v>
      </c>
      <c r="C1199" s="10" t="s">
        <v>494</v>
      </c>
      <c r="D1199" s="11" t="n">
        <v>0.00802141203703704</v>
      </c>
      <c r="E1199" s="18" t="n">
        <f aca="false">ROUND((D1199-$D$5)*86400,2)</f>
        <v>154.03</v>
      </c>
      <c r="F1199" s="12" t="n">
        <v>538</v>
      </c>
      <c r="G1199" s="11" t="str">
        <f aca="false">IF(INDEX(選手一覧!$D$7:$D$2738,$F1199)="","",INDEX(選手一覧!$D$7:$D$2738,$F1199))</f>
        <v/>
      </c>
      <c r="H1199" s="12" t="str">
        <f aca="false">IF(INDEX(選手一覧!$E$7:$E$2738,$F1199)="","",INDEX(選手一覧!$E$7:$E$2738,$F1199))</f>
        <v/>
      </c>
      <c r="I1199" s="11" t="n">
        <f aca="false">IF(INDEX(選手一覧!$H$7:$H$2738,$F1199)="","",INDEX(選手一覧!$H$7:$H$2738,$F1199))</f>
        <v>0.00278668981481482</v>
      </c>
      <c r="J1199" s="12" t="n">
        <f aca="false">IF(INDEX(選手一覧!$I$7:$I$2738,$F1199)="","",INDEX(選手一覧!$I$7:$I$2738,$F1199))</f>
        <v>225</v>
      </c>
    </row>
    <row r="1200" customFormat="false" ht="15" hidden="false" customHeight="false" outlineLevel="0" collapsed="false">
      <c r="A1200" s="12" t="n">
        <v>1196</v>
      </c>
      <c r="B1200" s="10" t="s">
        <v>3452</v>
      </c>
      <c r="C1200" s="10" t="s">
        <v>3453</v>
      </c>
      <c r="D1200" s="11" t="n">
        <v>0.00802847222222222</v>
      </c>
      <c r="E1200" s="18" t="n">
        <f aca="false">ROUND((D1200-$D$5)*86400,2)</f>
        <v>154.64</v>
      </c>
      <c r="F1200" s="12" t="n">
        <v>2433</v>
      </c>
      <c r="G1200" s="11" t="str">
        <f aca="false">IF(INDEX(選手一覧!$D$7:$D$2738,$F1200)="","",INDEX(選手一覧!$D$7:$D$2738,$F1200))</f>
        <v/>
      </c>
      <c r="H1200" s="12" t="str">
        <f aca="false">IF(INDEX(選手一覧!$E$7:$E$2738,$F1200)="","",INDEX(選手一覧!$E$7:$E$2738,$F1200))</f>
        <v/>
      </c>
      <c r="I1200" s="11" t="str">
        <f aca="false">IF(INDEX(選手一覧!$H$7:$H$2738,$F1200)="","",INDEX(選手一覧!$H$7:$H$2738,$F1200))</f>
        <v/>
      </c>
      <c r="J1200" s="12" t="str">
        <f aca="false">IF(INDEX(選手一覧!$I$7:$I$2738,$F1200)="","",INDEX(選手一覧!$I$7:$I$2738,$F1200))</f>
        <v/>
      </c>
    </row>
    <row r="1201" customFormat="false" ht="15" hidden="false" customHeight="false" outlineLevel="0" collapsed="false">
      <c r="A1201" s="12" t="n">
        <v>1197</v>
      </c>
      <c r="B1201" s="10" t="s">
        <v>3458</v>
      </c>
      <c r="C1201" s="10" t="s">
        <v>1799</v>
      </c>
      <c r="D1201" s="11" t="n">
        <v>0.00802893518518519</v>
      </c>
      <c r="E1201" s="18" t="n">
        <f aca="false">ROUND((D1201-$D$5)*86400,2)</f>
        <v>154.68</v>
      </c>
      <c r="F1201" s="12" t="n">
        <v>2436</v>
      </c>
      <c r="G1201" s="11" t="str">
        <f aca="false">IF(INDEX(選手一覧!$D$7:$D$2738,$F1201)="","",INDEX(選手一覧!$D$7:$D$2738,$F1201))</f>
        <v/>
      </c>
      <c r="H1201" s="12" t="str">
        <f aca="false">IF(INDEX(選手一覧!$E$7:$E$2738,$F1201)="","",INDEX(選手一覧!$E$7:$E$2738,$F1201))</f>
        <v/>
      </c>
      <c r="I1201" s="11" t="str">
        <f aca="false">IF(INDEX(選手一覧!$H$7:$H$2738,$F1201)="","",INDEX(選手一覧!$H$7:$H$2738,$F1201))</f>
        <v/>
      </c>
      <c r="J1201" s="12" t="str">
        <f aca="false">IF(INDEX(選手一覧!$I$7:$I$2738,$F1201)="","",INDEX(選手一覧!$I$7:$I$2738,$F1201))</f>
        <v/>
      </c>
    </row>
    <row r="1202" customFormat="false" ht="15" hidden="false" customHeight="false" outlineLevel="0" collapsed="false">
      <c r="A1202" s="12" t="n">
        <v>1198</v>
      </c>
      <c r="B1202" s="10" t="s">
        <v>3460</v>
      </c>
      <c r="C1202" s="10" t="s">
        <v>2009</v>
      </c>
      <c r="D1202" s="11" t="n">
        <v>0.00803425925925926</v>
      </c>
      <c r="E1202" s="18" t="n">
        <f aca="false">ROUND((D1202-$D$5)*86400,2)</f>
        <v>155.14</v>
      </c>
      <c r="F1202" s="12" t="n">
        <v>2438</v>
      </c>
      <c r="G1202" s="11" t="str">
        <f aca="false">IF(INDEX(選手一覧!$D$7:$D$2738,$F1202)="","",INDEX(選手一覧!$D$7:$D$2738,$F1202))</f>
        <v/>
      </c>
      <c r="H1202" s="12" t="str">
        <f aca="false">IF(INDEX(選手一覧!$E$7:$E$2738,$F1202)="","",INDEX(選手一覧!$E$7:$E$2738,$F1202))</f>
        <v/>
      </c>
      <c r="I1202" s="11" t="str">
        <f aca="false">IF(INDEX(選手一覧!$H$7:$H$2738,$F1202)="","",INDEX(選手一覧!$H$7:$H$2738,$F1202))</f>
        <v/>
      </c>
      <c r="J1202" s="12" t="str">
        <f aca="false">IF(INDEX(選手一覧!$I$7:$I$2738,$F1202)="","",INDEX(選手一覧!$I$7:$I$2738,$F1202))</f>
        <v/>
      </c>
    </row>
    <row r="1203" customFormat="false" ht="15" hidden="false" customHeight="false" outlineLevel="0" collapsed="false">
      <c r="A1203" s="12" t="n">
        <v>1199</v>
      </c>
      <c r="B1203" s="10" t="s">
        <v>219</v>
      </c>
      <c r="C1203" s="10" t="s">
        <v>220</v>
      </c>
      <c r="D1203" s="11" t="n">
        <v>0.00804594907407407</v>
      </c>
      <c r="E1203" s="18" t="n">
        <f aca="false">ROUND((D1203-$D$5)*86400,2)</f>
        <v>156.15</v>
      </c>
      <c r="F1203" s="12" t="n">
        <v>115</v>
      </c>
      <c r="G1203" s="11" t="n">
        <f aca="false">IF(INDEX(選手一覧!$D$7:$D$2738,$F1203)="","",INDEX(選手一覧!$D$7:$D$2738,$F1203))</f>
        <v>0.0102458333333333</v>
      </c>
      <c r="H1203" s="12" t="n">
        <f aca="false">IF(INDEX(選手一覧!$E$7:$E$2738,$F1203)="","",INDEX(選手一覧!$E$7:$E$2738,$F1203))</f>
        <v>126</v>
      </c>
      <c r="I1203" s="11" t="n">
        <f aca="false">IF(INDEX(選手一覧!$H$7:$H$2738,$F1203)="","",INDEX(選手一覧!$H$7:$H$2738,$F1203))</f>
        <v>0.00271724537037037</v>
      </c>
      <c r="J1203" s="12" t="n">
        <f aca="false">IF(INDEX(選手一覧!$I$7:$I$2738,$F1203)="","",INDEX(選手一覧!$I$7:$I$2738,$F1203))</f>
        <v>44</v>
      </c>
    </row>
    <row r="1204" customFormat="false" ht="15" hidden="false" customHeight="false" outlineLevel="0" collapsed="false">
      <c r="A1204" s="12" t="n">
        <v>1200</v>
      </c>
      <c r="B1204" s="10" t="s">
        <v>3462</v>
      </c>
      <c r="C1204" s="10" t="s">
        <v>2271</v>
      </c>
      <c r="D1204" s="11" t="n">
        <v>0.00805300925925926</v>
      </c>
      <c r="E1204" s="18" t="n">
        <f aca="false">ROUND((D1204-$D$5)*86400,2)</f>
        <v>156.76</v>
      </c>
      <c r="F1204" s="12" t="n">
        <v>2440</v>
      </c>
      <c r="G1204" s="11" t="str">
        <f aca="false">IF(INDEX(選手一覧!$D$7:$D$2738,$F1204)="","",INDEX(選手一覧!$D$7:$D$2738,$F1204))</f>
        <v/>
      </c>
      <c r="H1204" s="12" t="str">
        <f aca="false">IF(INDEX(選手一覧!$E$7:$E$2738,$F1204)="","",INDEX(選手一覧!$E$7:$E$2738,$F1204))</f>
        <v/>
      </c>
      <c r="I1204" s="11" t="str">
        <f aca="false">IF(INDEX(選手一覧!$H$7:$H$2738,$F1204)="","",INDEX(選手一覧!$H$7:$H$2738,$F1204))</f>
        <v/>
      </c>
      <c r="J1204" s="12" t="str">
        <f aca="false">IF(INDEX(選手一覧!$I$7:$I$2738,$F1204)="","",INDEX(選手一覧!$I$7:$I$2738,$F1204))</f>
        <v/>
      </c>
    </row>
    <row r="1205" customFormat="false" ht="15" hidden="false" customHeight="false" outlineLevel="0" collapsed="false">
      <c r="A1205" s="12" t="n">
        <v>1201</v>
      </c>
      <c r="B1205" s="10" t="s">
        <v>3464</v>
      </c>
      <c r="C1205" s="10" t="s">
        <v>1690</v>
      </c>
      <c r="D1205" s="11" t="n">
        <v>0.008059375</v>
      </c>
      <c r="E1205" s="18" t="n">
        <f aca="false">ROUND((D1205-$D$5)*86400,2)</f>
        <v>157.31</v>
      </c>
      <c r="F1205" s="12" t="n">
        <v>2442</v>
      </c>
      <c r="G1205" s="11" t="str">
        <f aca="false">IF(INDEX(選手一覧!$D$7:$D$2738,$F1205)="","",INDEX(選手一覧!$D$7:$D$2738,$F1205))</f>
        <v/>
      </c>
      <c r="H1205" s="12" t="str">
        <f aca="false">IF(INDEX(選手一覧!$E$7:$E$2738,$F1205)="","",INDEX(選手一覧!$E$7:$E$2738,$F1205))</f>
        <v/>
      </c>
      <c r="I1205" s="11" t="str">
        <f aca="false">IF(INDEX(選手一覧!$H$7:$H$2738,$F1205)="","",INDEX(選手一覧!$H$7:$H$2738,$F1205))</f>
        <v/>
      </c>
      <c r="J1205" s="12" t="str">
        <f aca="false">IF(INDEX(選手一覧!$I$7:$I$2738,$F1205)="","",INDEX(選手一覧!$I$7:$I$2738,$F1205))</f>
        <v/>
      </c>
    </row>
    <row r="1206" customFormat="false" ht="15" hidden="false" customHeight="false" outlineLevel="0" collapsed="false">
      <c r="A1206" s="12" t="n">
        <v>1202</v>
      </c>
      <c r="B1206" s="10" t="s">
        <v>3465</v>
      </c>
      <c r="C1206" s="10" t="s">
        <v>1936</v>
      </c>
      <c r="D1206" s="11" t="n">
        <v>0.00806342592592593</v>
      </c>
      <c r="E1206" s="18" t="n">
        <f aca="false">ROUND((D1206-$D$5)*86400,2)</f>
        <v>157.66</v>
      </c>
      <c r="F1206" s="12" t="n">
        <v>2443</v>
      </c>
      <c r="G1206" s="11" t="str">
        <f aca="false">IF(INDEX(選手一覧!$D$7:$D$2738,$F1206)="","",INDEX(選手一覧!$D$7:$D$2738,$F1206))</f>
        <v/>
      </c>
      <c r="H1206" s="12" t="str">
        <f aca="false">IF(INDEX(選手一覧!$E$7:$E$2738,$F1206)="","",INDEX(選手一覧!$E$7:$E$2738,$F1206))</f>
        <v/>
      </c>
      <c r="I1206" s="11" t="str">
        <f aca="false">IF(INDEX(選手一覧!$H$7:$H$2738,$F1206)="","",INDEX(選手一覧!$H$7:$H$2738,$F1206))</f>
        <v/>
      </c>
      <c r="J1206" s="12" t="str">
        <f aca="false">IF(INDEX(選手一覧!$I$7:$I$2738,$F1206)="","",INDEX(選手一覧!$I$7:$I$2738,$F1206))</f>
        <v/>
      </c>
    </row>
    <row r="1207" customFormat="false" ht="15" hidden="false" customHeight="false" outlineLevel="0" collapsed="false">
      <c r="A1207" s="12" t="n">
        <v>1203</v>
      </c>
      <c r="B1207" s="10" t="s">
        <v>3467</v>
      </c>
      <c r="C1207" s="10" t="s">
        <v>2074</v>
      </c>
      <c r="D1207" s="11" t="n">
        <v>0.00806574074074074</v>
      </c>
      <c r="E1207" s="18" t="n">
        <f aca="false">ROUND((D1207-$D$5)*86400,2)</f>
        <v>157.86</v>
      </c>
      <c r="F1207" s="12" t="n">
        <v>2445</v>
      </c>
      <c r="G1207" s="11" t="str">
        <f aca="false">IF(INDEX(選手一覧!$D$7:$D$2738,$F1207)="","",INDEX(選手一覧!$D$7:$D$2738,$F1207))</f>
        <v/>
      </c>
      <c r="H1207" s="12" t="str">
        <f aca="false">IF(INDEX(選手一覧!$E$7:$E$2738,$F1207)="","",INDEX(選手一覧!$E$7:$E$2738,$F1207))</f>
        <v/>
      </c>
      <c r="I1207" s="11" t="str">
        <f aca="false">IF(INDEX(選手一覧!$H$7:$H$2738,$F1207)="","",INDEX(選手一覧!$H$7:$H$2738,$F1207))</f>
        <v/>
      </c>
      <c r="J1207" s="12" t="str">
        <f aca="false">IF(INDEX(選手一覧!$I$7:$I$2738,$F1207)="","",INDEX(選手一覧!$I$7:$I$2738,$F1207))</f>
        <v/>
      </c>
    </row>
    <row r="1208" customFormat="false" ht="15" hidden="false" customHeight="false" outlineLevel="0" collapsed="false">
      <c r="A1208" s="12" t="n">
        <v>1204</v>
      </c>
      <c r="B1208" s="10" t="s">
        <v>3469</v>
      </c>
      <c r="C1208" s="10" t="s">
        <v>3470</v>
      </c>
      <c r="D1208" s="11" t="n">
        <v>0.00806655092592593</v>
      </c>
      <c r="E1208" s="18" t="n">
        <f aca="false">ROUND((D1208-$D$5)*86400,2)</f>
        <v>157.93</v>
      </c>
      <c r="F1208" s="12" t="n">
        <v>2447</v>
      </c>
      <c r="G1208" s="11" t="str">
        <f aca="false">IF(INDEX(選手一覧!$D$7:$D$2738,$F1208)="","",INDEX(選手一覧!$D$7:$D$2738,$F1208))</f>
        <v/>
      </c>
      <c r="H1208" s="12" t="str">
        <f aca="false">IF(INDEX(選手一覧!$E$7:$E$2738,$F1208)="","",INDEX(選手一覧!$E$7:$E$2738,$F1208))</f>
        <v/>
      </c>
      <c r="I1208" s="11" t="str">
        <f aca="false">IF(INDEX(選手一覧!$H$7:$H$2738,$F1208)="","",INDEX(選手一覧!$H$7:$H$2738,$F1208))</f>
        <v/>
      </c>
      <c r="J1208" s="12" t="str">
        <f aca="false">IF(INDEX(選手一覧!$I$7:$I$2738,$F1208)="","",INDEX(選手一覧!$I$7:$I$2738,$F1208))</f>
        <v/>
      </c>
    </row>
    <row r="1209" customFormat="false" ht="15" hidden="false" customHeight="false" outlineLevel="0" collapsed="false">
      <c r="A1209" s="12" t="n">
        <v>1205</v>
      </c>
      <c r="B1209" s="10" t="s">
        <v>3472</v>
      </c>
      <c r="C1209" s="10" t="s">
        <v>3473</v>
      </c>
      <c r="D1209" s="11" t="n">
        <v>0.00806747685185185</v>
      </c>
      <c r="E1209" s="18" t="n">
        <f aca="false">ROUND((D1209-$D$5)*86400,2)</f>
        <v>158.01</v>
      </c>
      <c r="F1209" s="12" t="n">
        <v>2449</v>
      </c>
      <c r="G1209" s="11" t="str">
        <f aca="false">IF(INDEX(選手一覧!$D$7:$D$2738,$F1209)="","",INDEX(選手一覧!$D$7:$D$2738,$F1209))</f>
        <v/>
      </c>
      <c r="H1209" s="12" t="str">
        <f aca="false">IF(INDEX(選手一覧!$E$7:$E$2738,$F1209)="","",INDEX(選手一覧!$E$7:$E$2738,$F1209))</f>
        <v/>
      </c>
      <c r="I1209" s="11" t="str">
        <f aca="false">IF(INDEX(選手一覧!$H$7:$H$2738,$F1209)="","",INDEX(選手一覧!$H$7:$H$2738,$F1209))</f>
        <v/>
      </c>
      <c r="J1209" s="12" t="str">
        <f aca="false">IF(INDEX(選手一覧!$I$7:$I$2738,$F1209)="","",INDEX(選手一覧!$I$7:$I$2738,$F1209))</f>
        <v/>
      </c>
    </row>
    <row r="1210" customFormat="false" ht="15" hidden="false" customHeight="false" outlineLevel="0" collapsed="false">
      <c r="A1210" s="12" t="n">
        <v>1206</v>
      </c>
      <c r="B1210" s="10" t="s">
        <v>3476</v>
      </c>
      <c r="C1210" s="10" t="s">
        <v>3143</v>
      </c>
      <c r="D1210" s="11" t="n">
        <v>0.00806979166666667</v>
      </c>
      <c r="E1210" s="18" t="n">
        <f aca="false">ROUND((D1210-$D$5)*86400,2)</f>
        <v>158.21</v>
      </c>
      <c r="F1210" s="12" t="n">
        <v>2451</v>
      </c>
      <c r="G1210" s="11" t="str">
        <f aca="false">IF(INDEX(選手一覧!$D$7:$D$2738,$F1210)="","",INDEX(選手一覧!$D$7:$D$2738,$F1210))</f>
        <v/>
      </c>
      <c r="H1210" s="12" t="str">
        <f aca="false">IF(INDEX(選手一覧!$E$7:$E$2738,$F1210)="","",INDEX(選手一覧!$E$7:$E$2738,$F1210))</f>
        <v/>
      </c>
      <c r="I1210" s="11" t="str">
        <f aca="false">IF(INDEX(選手一覧!$H$7:$H$2738,$F1210)="","",INDEX(選手一覧!$H$7:$H$2738,$F1210))</f>
        <v/>
      </c>
      <c r="J1210" s="12" t="str">
        <f aca="false">IF(INDEX(選手一覧!$I$7:$I$2738,$F1210)="","",INDEX(選手一覧!$I$7:$I$2738,$F1210))</f>
        <v/>
      </c>
    </row>
    <row r="1211" customFormat="false" ht="15" hidden="false" customHeight="false" outlineLevel="0" collapsed="false">
      <c r="A1211" s="12" t="n">
        <v>1207</v>
      </c>
      <c r="B1211" s="10" t="s">
        <v>3477</v>
      </c>
      <c r="C1211" s="10" t="s">
        <v>3478</v>
      </c>
      <c r="D1211" s="11" t="n">
        <v>0.00807349537037037</v>
      </c>
      <c r="E1211" s="18" t="n">
        <f aca="false">ROUND((D1211-$D$5)*86400,2)</f>
        <v>158.53</v>
      </c>
      <c r="F1211" s="12" t="n">
        <v>2452</v>
      </c>
      <c r="G1211" s="11" t="str">
        <f aca="false">IF(INDEX(選手一覧!$D$7:$D$2738,$F1211)="","",INDEX(選手一覧!$D$7:$D$2738,$F1211))</f>
        <v/>
      </c>
      <c r="H1211" s="12" t="str">
        <f aca="false">IF(INDEX(選手一覧!$E$7:$E$2738,$F1211)="","",INDEX(選手一覧!$E$7:$E$2738,$F1211))</f>
        <v/>
      </c>
      <c r="I1211" s="11" t="str">
        <f aca="false">IF(INDEX(選手一覧!$H$7:$H$2738,$F1211)="","",INDEX(選手一覧!$H$7:$H$2738,$F1211))</f>
        <v/>
      </c>
      <c r="J1211" s="12" t="str">
        <f aca="false">IF(INDEX(選手一覧!$I$7:$I$2738,$F1211)="","",INDEX(選手一覧!$I$7:$I$2738,$F1211))</f>
        <v/>
      </c>
    </row>
    <row r="1212" customFormat="false" ht="15" hidden="false" customHeight="false" outlineLevel="0" collapsed="false">
      <c r="A1212" s="12" t="n">
        <v>1208</v>
      </c>
      <c r="B1212" s="10" t="s">
        <v>3479</v>
      </c>
      <c r="C1212" s="10" t="s">
        <v>3480</v>
      </c>
      <c r="D1212" s="11" t="n">
        <v>0.00807662037037037</v>
      </c>
      <c r="E1212" s="18" t="n">
        <f aca="false">ROUND((D1212-$D$5)*86400,2)</f>
        <v>158.8</v>
      </c>
      <c r="F1212" s="12" t="n">
        <v>2453</v>
      </c>
      <c r="G1212" s="11" t="str">
        <f aca="false">IF(INDEX(選手一覧!$D$7:$D$2738,$F1212)="","",INDEX(選手一覧!$D$7:$D$2738,$F1212))</f>
        <v/>
      </c>
      <c r="H1212" s="12" t="str">
        <f aca="false">IF(INDEX(選手一覧!$E$7:$E$2738,$F1212)="","",INDEX(選手一覧!$E$7:$E$2738,$F1212))</f>
        <v/>
      </c>
      <c r="I1212" s="11" t="str">
        <f aca="false">IF(INDEX(選手一覧!$H$7:$H$2738,$F1212)="","",INDEX(選手一覧!$H$7:$H$2738,$F1212))</f>
        <v/>
      </c>
      <c r="J1212" s="12" t="str">
        <f aca="false">IF(INDEX(選手一覧!$I$7:$I$2738,$F1212)="","",INDEX(選手一覧!$I$7:$I$2738,$F1212))</f>
        <v/>
      </c>
    </row>
    <row r="1213" customFormat="false" ht="15" hidden="false" customHeight="false" outlineLevel="0" collapsed="false">
      <c r="A1213" s="12" t="n">
        <v>1209</v>
      </c>
      <c r="B1213" s="10" t="s">
        <v>3482</v>
      </c>
      <c r="C1213" s="10" t="s">
        <v>614</v>
      </c>
      <c r="D1213" s="11" t="n">
        <v>0.00808657407407407</v>
      </c>
      <c r="E1213" s="18" t="n">
        <f aca="false">ROUND((D1213-$D$5)*86400,2)</f>
        <v>159.66</v>
      </c>
      <c r="F1213" s="12" t="n">
        <v>2455</v>
      </c>
      <c r="G1213" s="11" t="str">
        <f aca="false">IF(INDEX(選手一覧!$D$7:$D$2738,$F1213)="","",INDEX(選手一覧!$D$7:$D$2738,$F1213))</f>
        <v/>
      </c>
      <c r="H1213" s="12" t="str">
        <f aca="false">IF(INDEX(選手一覧!$E$7:$E$2738,$F1213)="","",INDEX(選手一覧!$E$7:$E$2738,$F1213))</f>
        <v/>
      </c>
      <c r="I1213" s="11" t="str">
        <f aca="false">IF(INDEX(選手一覧!$H$7:$H$2738,$F1213)="","",INDEX(選手一覧!$H$7:$H$2738,$F1213))</f>
        <v/>
      </c>
      <c r="J1213" s="12" t="str">
        <f aca="false">IF(INDEX(選手一覧!$I$7:$I$2738,$F1213)="","",INDEX(選手一覧!$I$7:$I$2738,$F1213))</f>
        <v/>
      </c>
    </row>
    <row r="1214" customFormat="false" ht="15" hidden="false" customHeight="false" outlineLevel="0" collapsed="false">
      <c r="A1214" s="12" t="n">
        <v>1210</v>
      </c>
      <c r="B1214" s="10" t="s">
        <v>3484</v>
      </c>
      <c r="C1214" s="10" t="s">
        <v>1491</v>
      </c>
      <c r="D1214" s="11" t="n">
        <v>0.00809756944444444</v>
      </c>
      <c r="E1214" s="18" t="n">
        <f aca="false">ROUND((D1214-$D$5)*86400,2)</f>
        <v>160.61</v>
      </c>
      <c r="F1214" s="12" t="n">
        <v>2457</v>
      </c>
      <c r="G1214" s="11" t="str">
        <f aca="false">IF(INDEX(選手一覧!$D$7:$D$2738,$F1214)="","",INDEX(選手一覧!$D$7:$D$2738,$F1214))</f>
        <v/>
      </c>
      <c r="H1214" s="12" t="str">
        <f aca="false">IF(INDEX(選手一覧!$E$7:$E$2738,$F1214)="","",INDEX(選手一覧!$E$7:$E$2738,$F1214))</f>
        <v/>
      </c>
      <c r="I1214" s="11" t="str">
        <f aca="false">IF(INDEX(選手一覧!$H$7:$H$2738,$F1214)="","",INDEX(選手一覧!$H$7:$H$2738,$F1214))</f>
        <v/>
      </c>
      <c r="J1214" s="12" t="str">
        <f aca="false">IF(INDEX(選手一覧!$I$7:$I$2738,$F1214)="","",INDEX(選手一覧!$I$7:$I$2738,$F1214))</f>
        <v/>
      </c>
    </row>
    <row r="1215" customFormat="false" ht="15" hidden="false" customHeight="false" outlineLevel="0" collapsed="false">
      <c r="A1215" s="12" t="n">
        <v>1211</v>
      </c>
      <c r="B1215" s="10" t="s">
        <v>3487</v>
      </c>
      <c r="C1215" s="10" t="s">
        <v>3488</v>
      </c>
      <c r="D1215" s="11" t="n">
        <v>0.00809965277777778</v>
      </c>
      <c r="E1215" s="18" t="n">
        <f aca="false">ROUND((D1215-$D$5)*86400,2)</f>
        <v>160.79</v>
      </c>
      <c r="F1215" s="12" t="n">
        <v>2459</v>
      </c>
      <c r="G1215" s="11" t="str">
        <f aca="false">IF(INDEX(選手一覧!$D$7:$D$2738,$F1215)="","",INDEX(選手一覧!$D$7:$D$2738,$F1215))</f>
        <v/>
      </c>
      <c r="H1215" s="12" t="str">
        <f aca="false">IF(INDEX(選手一覧!$E$7:$E$2738,$F1215)="","",INDEX(選手一覧!$E$7:$E$2738,$F1215))</f>
        <v/>
      </c>
      <c r="I1215" s="11" t="str">
        <f aca="false">IF(INDEX(選手一覧!$H$7:$H$2738,$F1215)="","",INDEX(選手一覧!$H$7:$H$2738,$F1215))</f>
        <v/>
      </c>
      <c r="J1215" s="12" t="str">
        <f aca="false">IF(INDEX(選手一覧!$I$7:$I$2738,$F1215)="","",INDEX(選手一覧!$I$7:$I$2738,$F1215))</f>
        <v/>
      </c>
    </row>
    <row r="1216" customFormat="false" ht="15" hidden="false" customHeight="false" outlineLevel="0" collapsed="false">
      <c r="A1216" s="12" t="n">
        <v>1212</v>
      </c>
      <c r="B1216" s="10" t="s">
        <v>3490</v>
      </c>
      <c r="C1216" s="10" t="s">
        <v>2937</v>
      </c>
      <c r="D1216" s="11" t="n">
        <v>0.00810752314814815</v>
      </c>
      <c r="E1216" s="18" t="n">
        <f aca="false">ROUND((D1216-$D$5)*86400,2)</f>
        <v>161.47</v>
      </c>
      <c r="F1216" s="12" t="n">
        <v>2461</v>
      </c>
      <c r="G1216" s="11" t="str">
        <f aca="false">IF(INDEX(選手一覧!$D$7:$D$2738,$F1216)="","",INDEX(選手一覧!$D$7:$D$2738,$F1216))</f>
        <v/>
      </c>
      <c r="H1216" s="12" t="str">
        <f aca="false">IF(INDEX(選手一覧!$E$7:$E$2738,$F1216)="","",INDEX(選手一覧!$E$7:$E$2738,$F1216))</f>
        <v/>
      </c>
      <c r="I1216" s="11" t="str">
        <f aca="false">IF(INDEX(選手一覧!$H$7:$H$2738,$F1216)="","",INDEX(選手一覧!$H$7:$H$2738,$F1216))</f>
        <v/>
      </c>
      <c r="J1216" s="12" t="str">
        <f aca="false">IF(INDEX(選手一覧!$I$7:$I$2738,$F1216)="","",INDEX(選手一覧!$I$7:$I$2738,$F1216))</f>
        <v/>
      </c>
    </row>
    <row r="1217" customFormat="false" ht="15" hidden="false" customHeight="false" outlineLevel="0" collapsed="false">
      <c r="A1217" s="12" t="n">
        <v>1213</v>
      </c>
      <c r="B1217" s="10" t="s">
        <v>3492</v>
      </c>
      <c r="C1217" s="10" t="s">
        <v>1668</v>
      </c>
      <c r="D1217" s="11" t="n">
        <v>0.00812233796296296</v>
      </c>
      <c r="E1217" s="18" t="n">
        <f aca="false">ROUND((D1217-$D$5)*86400,2)</f>
        <v>162.75</v>
      </c>
      <c r="F1217" s="12" t="n">
        <v>2463</v>
      </c>
      <c r="G1217" s="11" t="str">
        <f aca="false">IF(INDEX(選手一覧!$D$7:$D$2738,$F1217)="","",INDEX(選手一覧!$D$7:$D$2738,$F1217))</f>
        <v/>
      </c>
      <c r="H1217" s="12" t="str">
        <f aca="false">IF(INDEX(選手一覧!$E$7:$E$2738,$F1217)="","",INDEX(選手一覧!$E$7:$E$2738,$F1217))</f>
        <v/>
      </c>
      <c r="I1217" s="11" t="str">
        <f aca="false">IF(INDEX(選手一覧!$H$7:$H$2738,$F1217)="","",INDEX(選手一覧!$H$7:$H$2738,$F1217))</f>
        <v/>
      </c>
      <c r="J1217" s="12" t="str">
        <f aca="false">IF(INDEX(選手一覧!$I$7:$I$2738,$F1217)="","",INDEX(選手一覧!$I$7:$I$2738,$F1217))</f>
        <v/>
      </c>
    </row>
    <row r="1218" customFormat="false" ht="15" hidden="false" customHeight="false" outlineLevel="0" collapsed="false">
      <c r="A1218" s="12" t="n">
        <v>1214</v>
      </c>
      <c r="B1218" s="10" t="s">
        <v>3494</v>
      </c>
      <c r="C1218" s="10" t="s">
        <v>2285</v>
      </c>
      <c r="D1218" s="11" t="n">
        <v>0.00812962962962963</v>
      </c>
      <c r="E1218" s="18" t="n">
        <f aca="false">ROUND((D1218-$D$5)*86400,2)</f>
        <v>163.38</v>
      </c>
      <c r="F1218" s="12" t="n">
        <v>2465</v>
      </c>
      <c r="G1218" s="11" t="str">
        <f aca="false">IF(INDEX(選手一覧!$D$7:$D$2738,$F1218)="","",INDEX(選手一覧!$D$7:$D$2738,$F1218))</f>
        <v/>
      </c>
      <c r="H1218" s="12" t="str">
        <f aca="false">IF(INDEX(選手一覧!$E$7:$E$2738,$F1218)="","",INDEX(選手一覧!$E$7:$E$2738,$F1218))</f>
        <v/>
      </c>
      <c r="I1218" s="11" t="str">
        <f aca="false">IF(INDEX(選手一覧!$H$7:$H$2738,$F1218)="","",INDEX(選手一覧!$H$7:$H$2738,$F1218))</f>
        <v/>
      </c>
      <c r="J1218" s="12" t="str">
        <f aca="false">IF(INDEX(選手一覧!$I$7:$I$2738,$F1218)="","",INDEX(選手一覧!$I$7:$I$2738,$F1218))</f>
        <v/>
      </c>
    </row>
    <row r="1219" customFormat="false" ht="15" hidden="false" customHeight="false" outlineLevel="0" collapsed="false">
      <c r="A1219" s="12" t="n">
        <v>1215</v>
      </c>
      <c r="B1219" s="10" t="s">
        <v>3495</v>
      </c>
      <c r="C1219" s="10" t="s">
        <v>3496</v>
      </c>
      <c r="D1219" s="11" t="n">
        <v>0.00813506944444445</v>
      </c>
      <c r="E1219" s="18" t="n">
        <f aca="false">ROUND((D1219-$D$5)*86400,2)</f>
        <v>163.85</v>
      </c>
      <c r="F1219" s="12" t="n">
        <v>2466</v>
      </c>
      <c r="G1219" s="11" t="str">
        <f aca="false">IF(INDEX(選手一覧!$D$7:$D$2738,$F1219)="","",INDEX(選手一覧!$D$7:$D$2738,$F1219))</f>
        <v/>
      </c>
      <c r="H1219" s="12" t="str">
        <f aca="false">IF(INDEX(選手一覧!$E$7:$E$2738,$F1219)="","",INDEX(選手一覧!$E$7:$E$2738,$F1219))</f>
        <v/>
      </c>
      <c r="I1219" s="11" t="str">
        <f aca="false">IF(INDEX(選手一覧!$H$7:$H$2738,$F1219)="","",INDEX(選手一覧!$H$7:$H$2738,$F1219))</f>
        <v/>
      </c>
      <c r="J1219" s="12" t="str">
        <f aca="false">IF(INDEX(選手一覧!$I$7:$I$2738,$F1219)="","",INDEX(選手一覧!$I$7:$I$2738,$F1219))</f>
        <v/>
      </c>
    </row>
    <row r="1220" customFormat="false" ht="15" hidden="false" customHeight="false" outlineLevel="0" collapsed="false">
      <c r="A1220" s="12" t="n">
        <v>1216</v>
      </c>
      <c r="B1220" s="10" t="s">
        <v>3498</v>
      </c>
      <c r="C1220" s="10" t="s">
        <v>1819</v>
      </c>
      <c r="D1220" s="11" t="n">
        <v>0.00813831018518518</v>
      </c>
      <c r="E1220" s="18" t="n">
        <f aca="false">ROUND((D1220-$D$5)*86400,2)</f>
        <v>164.13</v>
      </c>
      <c r="F1220" s="12" t="n">
        <v>2468</v>
      </c>
      <c r="G1220" s="11" t="str">
        <f aca="false">IF(INDEX(選手一覧!$D$7:$D$2738,$F1220)="","",INDEX(選手一覧!$D$7:$D$2738,$F1220))</f>
        <v/>
      </c>
      <c r="H1220" s="12" t="str">
        <f aca="false">IF(INDEX(選手一覧!$E$7:$E$2738,$F1220)="","",INDEX(選手一覧!$E$7:$E$2738,$F1220))</f>
        <v/>
      </c>
      <c r="I1220" s="11" t="str">
        <f aca="false">IF(INDEX(選手一覧!$H$7:$H$2738,$F1220)="","",INDEX(選手一覧!$H$7:$H$2738,$F1220))</f>
        <v/>
      </c>
      <c r="J1220" s="12" t="str">
        <f aca="false">IF(INDEX(選手一覧!$I$7:$I$2738,$F1220)="","",INDEX(選手一覧!$I$7:$I$2738,$F1220))</f>
        <v/>
      </c>
    </row>
    <row r="1221" customFormat="false" ht="15" hidden="false" customHeight="false" outlineLevel="0" collapsed="false">
      <c r="A1221" s="12" t="n">
        <v>1217</v>
      </c>
      <c r="B1221" s="10" t="s">
        <v>3499</v>
      </c>
      <c r="C1221" s="10" t="s">
        <v>997</v>
      </c>
      <c r="D1221" s="11" t="n">
        <v>0.00813854166666667</v>
      </c>
      <c r="E1221" s="18" t="n">
        <f aca="false">ROUND((D1221-$D$5)*86400,2)</f>
        <v>164.15</v>
      </c>
      <c r="F1221" s="12" t="n">
        <v>2469</v>
      </c>
      <c r="G1221" s="11" t="str">
        <f aca="false">IF(INDEX(選手一覧!$D$7:$D$2738,$F1221)="","",INDEX(選手一覧!$D$7:$D$2738,$F1221))</f>
        <v/>
      </c>
      <c r="H1221" s="12" t="str">
        <f aca="false">IF(INDEX(選手一覧!$E$7:$E$2738,$F1221)="","",INDEX(選手一覧!$E$7:$E$2738,$F1221))</f>
        <v/>
      </c>
      <c r="I1221" s="11" t="str">
        <f aca="false">IF(INDEX(選手一覧!$H$7:$H$2738,$F1221)="","",INDEX(選手一覧!$H$7:$H$2738,$F1221))</f>
        <v/>
      </c>
      <c r="J1221" s="12" t="str">
        <f aca="false">IF(INDEX(選手一覧!$I$7:$I$2738,$F1221)="","",INDEX(選手一覧!$I$7:$I$2738,$F1221))</f>
        <v/>
      </c>
    </row>
    <row r="1222" customFormat="false" ht="15" hidden="false" customHeight="false" outlineLevel="0" collapsed="false">
      <c r="A1222" s="12" t="n">
        <v>1218</v>
      </c>
      <c r="B1222" s="10" t="s">
        <v>3501</v>
      </c>
      <c r="C1222" s="10" t="s">
        <v>2427</v>
      </c>
      <c r="D1222" s="11" t="n">
        <v>0.00814953703703704</v>
      </c>
      <c r="E1222" s="18" t="n">
        <f aca="false">ROUND((D1222-$D$5)*86400,2)</f>
        <v>165.1</v>
      </c>
      <c r="F1222" s="12" t="n">
        <v>2471</v>
      </c>
      <c r="G1222" s="11" t="str">
        <f aca="false">IF(INDEX(選手一覧!$D$7:$D$2738,$F1222)="","",INDEX(選手一覧!$D$7:$D$2738,$F1222))</f>
        <v/>
      </c>
      <c r="H1222" s="12" t="str">
        <f aca="false">IF(INDEX(選手一覧!$E$7:$E$2738,$F1222)="","",INDEX(選手一覧!$E$7:$E$2738,$F1222))</f>
        <v/>
      </c>
      <c r="I1222" s="11" t="str">
        <f aca="false">IF(INDEX(選手一覧!$H$7:$H$2738,$F1222)="","",INDEX(選手一覧!$H$7:$H$2738,$F1222))</f>
        <v/>
      </c>
      <c r="J1222" s="12" t="str">
        <f aca="false">IF(INDEX(選手一覧!$I$7:$I$2738,$F1222)="","",INDEX(選手一覧!$I$7:$I$2738,$F1222))</f>
        <v/>
      </c>
    </row>
    <row r="1223" customFormat="false" ht="15" hidden="false" customHeight="false" outlineLevel="0" collapsed="false">
      <c r="A1223" s="12" t="n">
        <v>1219</v>
      </c>
      <c r="B1223" s="10" t="s">
        <v>3502</v>
      </c>
      <c r="C1223" s="10" t="s">
        <v>585</v>
      </c>
      <c r="D1223" s="11" t="n">
        <v>0.00815219907407407</v>
      </c>
      <c r="E1223" s="18" t="n">
        <f aca="false">ROUND((D1223-$D$5)*86400,2)</f>
        <v>165.33</v>
      </c>
      <c r="F1223" s="12" t="n">
        <v>2472</v>
      </c>
      <c r="G1223" s="11" t="n">
        <f aca="false">IF(INDEX(選手一覧!$D$7:$D$2738,$F1223)="","",INDEX(選手一覧!$D$7:$D$2738,$F1223))</f>
        <v>0.0110797453703704</v>
      </c>
      <c r="H1223" s="12" t="n">
        <f aca="false">IF(INDEX(選手一覧!$E$7:$E$2738,$F1223)="","",INDEX(選手一覧!$E$7:$E$2738,$F1223))</f>
        <v>1250</v>
      </c>
      <c r="I1223" s="11" t="str">
        <f aca="false">IF(INDEX(選手一覧!$H$7:$H$2738,$F1223)="","",INDEX(選手一覧!$H$7:$H$2738,$F1223))</f>
        <v/>
      </c>
      <c r="J1223" s="12" t="str">
        <f aca="false">IF(INDEX(選手一覧!$I$7:$I$2738,$F1223)="","",INDEX(選手一覧!$I$7:$I$2738,$F1223))</f>
        <v/>
      </c>
    </row>
    <row r="1224" customFormat="false" ht="15" hidden="false" customHeight="false" outlineLevel="0" collapsed="false">
      <c r="A1224" s="12" t="n">
        <v>1220</v>
      </c>
      <c r="B1224" s="10" t="s">
        <v>3505</v>
      </c>
      <c r="C1224" s="10" t="s">
        <v>1599</v>
      </c>
      <c r="D1224" s="11" t="n">
        <v>0.00815462962962963</v>
      </c>
      <c r="E1224" s="18" t="n">
        <f aca="false">ROUND((D1224-$D$5)*86400,2)</f>
        <v>165.54</v>
      </c>
      <c r="F1224" s="12" t="n">
        <v>2475</v>
      </c>
      <c r="G1224" s="11" t="str">
        <f aca="false">IF(INDEX(選手一覧!$D$7:$D$2738,$F1224)="","",INDEX(選手一覧!$D$7:$D$2738,$F1224))</f>
        <v/>
      </c>
      <c r="H1224" s="12" t="str">
        <f aca="false">IF(INDEX(選手一覧!$E$7:$E$2738,$F1224)="","",INDEX(選手一覧!$E$7:$E$2738,$F1224))</f>
        <v/>
      </c>
      <c r="I1224" s="11" t="str">
        <f aca="false">IF(INDEX(選手一覧!$H$7:$H$2738,$F1224)="","",INDEX(選手一覧!$H$7:$H$2738,$F1224))</f>
        <v/>
      </c>
      <c r="J1224" s="12" t="str">
        <f aca="false">IF(INDEX(選手一覧!$I$7:$I$2738,$F1224)="","",INDEX(選手一覧!$I$7:$I$2738,$F1224))</f>
        <v/>
      </c>
    </row>
    <row r="1225" customFormat="false" ht="15" hidden="false" customHeight="false" outlineLevel="0" collapsed="false">
      <c r="A1225" s="12" t="n">
        <v>1221</v>
      </c>
      <c r="B1225" s="10" t="s">
        <v>3508</v>
      </c>
      <c r="C1225" s="10" t="s">
        <v>1283</v>
      </c>
      <c r="D1225" s="11" t="n">
        <v>0.00815543981481482</v>
      </c>
      <c r="E1225" s="18" t="n">
        <f aca="false">ROUND((D1225-$D$5)*86400,2)</f>
        <v>165.61</v>
      </c>
      <c r="F1225" s="12" t="n">
        <v>2477</v>
      </c>
      <c r="G1225" s="11" t="str">
        <f aca="false">IF(INDEX(選手一覧!$D$7:$D$2738,$F1225)="","",INDEX(選手一覧!$D$7:$D$2738,$F1225))</f>
        <v/>
      </c>
      <c r="H1225" s="12" t="str">
        <f aca="false">IF(INDEX(選手一覧!$E$7:$E$2738,$F1225)="","",INDEX(選手一覧!$E$7:$E$2738,$F1225))</f>
        <v/>
      </c>
      <c r="I1225" s="11" t="str">
        <f aca="false">IF(INDEX(選手一覧!$H$7:$H$2738,$F1225)="","",INDEX(選手一覧!$H$7:$H$2738,$F1225))</f>
        <v/>
      </c>
      <c r="J1225" s="12" t="str">
        <f aca="false">IF(INDEX(選手一覧!$I$7:$I$2738,$F1225)="","",INDEX(選手一覧!$I$7:$I$2738,$F1225))</f>
        <v/>
      </c>
    </row>
    <row r="1226" customFormat="false" ht="15" hidden="false" customHeight="false" outlineLevel="0" collapsed="false">
      <c r="A1226" s="12" t="n">
        <v>1222</v>
      </c>
      <c r="B1226" s="10" t="s">
        <v>3511</v>
      </c>
      <c r="C1226" s="10" t="s">
        <v>3512</v>
      </c>
      <c r="D1226" s="11" t="n">
        <v>0.00815555555555556</v>
      </c>
      <c r="E1226" s="18" t="n">
        <f aca="false">ROUND((D1226-$D$5)*86400,2)</f>
        <v>165.62</v>
      </c>
      <c r="F1226" s="12" t="n">
        <v>2480</v>
      </c>
      <c r="G1226" s="11" t="str">
        <f aca="false">IF(INDEX(選手一覧!$D$7:$D$2738,$F1226)="","",INDEX(選手一覧!$D$7:$D$2738,$F1226))</f>
        <v/>
      </c>
      <c r="H1226" s="12" t="str">
        <f aca="false">IF(INDEX(選手一覧!$E$7:$E$2738,$F1226)="","",INDEX(選手一覧!$E$7:$E$2738,$F1226))</f>
        <v/>
      </c>
      <c r="I1226" s="11" t="str">
        <f aca="false">IF(INDEX(選手一覧!$H$7:$H$2738,$F1226)="","",INDEX(選手一覧!$H$7:$H$2738,$F1226))</f>
        <v/>
      </c>
      <c r="J1226" s="12" t="str">
        <f aca="false">IF(INDEX(選手一覧!$I$7:$I$2738,$F1226)="","",INDEX(選手一覧!$I$7:$I$2738,$F1226))</f>
        <v/>
      </c>
    </row>
    <row r="1227" customFormat="false" ht="15" hidden="false" customHeight="false" outlineLevel="0" collapsed="false">
      <c r="A1227" s="12" t="n">
        <v>1223</v>
      </c>
      <c r="B1227" s="10" t="s">
        <v>2124</v>
      </c>
      <c r="C1227" s="10" t="s">
        <v>302</v>
      </c>
      <c r="D1227" s="11" t="n">
        <v>0.008159375</v>
      </c>
      <c r="E1227" s="18" t="n">
        <f aca="false">ROUND((D1227-$D$5)*86400,2)</f>
        <v>165.95</v>
      </c>
      <c r="F1227" s="12" t="n">
        <v>1469</v>
      </c>
      <c r="G1227" s="11" t="n">
        <f aca="false">IF(INDEX(選手一覧!$D$7:$D$2738,$F1227)="","",INDEX(選手一覧!$D$7:$D$2738,$F1227))</f>
        <v>0.0107704861111111</v>
      </c>
      <c r="H1227" s="12" t="n">
        <f aca="false">IF(INDEX(選手一覧!$E$7:$E$2738,$F1227)="","",INDEX(選手一覧!$E$7:$E$2738,$F1227))</f>
        <v>696</v>
      </c>
      <c r="I1227" s="11" t="n">
        <f aca="false">IF(INDEX(選手一覧!$H$7:$H$2738,$F1227)="","",INDEX(選手一覧!$H$7:$H$2738,$F1227))</f>
        <v>0.00288263888888889</v>
      </c>
      <c r="J1227" s="12" t="n">
        <f aca="false">IF(INDEX(選手一覧!$I$7:$I$2738,$F1227)="","",INDEX(選手一覧!$I$7:$I$2738,$F1227))</f>
        <v>797</v>
      </c>
    </row>
    <row r="1228" customFormat="false" ht="15" hidden="false" customHeight="false" outlineLevel="0" collapsed="false">
      <c r="A1228" s="12" t="n">
        <v>1224</v>
      </c>
      <c r="B1228" s="10" t="s">
        <v>3516</v>
      </c>
      <c r="C1228" s="10" t="s">
        <v>97</v>
      </c>
      <c r="D1228" s="11" t="n">
        <v>0.0081625</v>
      </c>
      <c r="E1228" s="18" t="n">
        <f aca="false">ROUND((D1228-$D$5)*86400,2)</f>
        <v>166.22</v>
      </c>
      <c r="F1228" s="12" t="n">
        <v>2484</v>
      </c>
      <c r="G1228" s="11" t="str">
        <f aca="false">IF(INDEX(選手一覧!$D$7:$D$2738,$F1228)="","",INDEX(選手一覧!$D$7:$D$2738,$F1228))</f>
        <v/>
      </c>
      <c r="H1228" s="12" t="str">
        <f aca="false">IF(INDEX(選手一覧!$E$7:$E$2738,$F1228)="","",INDEX(選手一覧!$E$7:$E$2738,$F1228))</f>
        <v/>
      </c>
      <c r="I1228" s="11" t="str">
        <f aca="false">IF(INDEX(選手一覧!$H$7:$H$2738,$F1228)="","",INDEX(選手一覧!$H$7:$H$2738,$F1228))</f>
        <v/>
      </c>
      <c r="J1228" s="12" t="str">
        <f aca="false">IF(INDEX(選手一覧!$I$7:$I$2738,$F1228)="","",INDEX(選手一覧!$I$7:$I$2738,$F1228))</f>
        <v/>
      </c>
    </row>
    <row r="1229" customFormat="false" ht="15" hidden="false" customHeight="false" outlineLevel="0" collapsed="false">
      <c r="A1229" s="12" t="n">
        <v>1225</v>
      </c>
      <c r="B1229" s="10" t="s">
        <v>3518</v>
      </c>
      <c r="C1229" s="10" t="s">
        <v>139</v>
      </c>
      <c r="D1229" s="11" t="n">
        <v>0.00816331018518519</v>
      </c>
      <c r="E1229" s="18" t="n">
        <f aca="false">ROUND((D1229-$D$5)*86400,2)</f>
        <v>166.29</v>
      </c>
      <c r="F1229" s="12" t="n">
        <v>2486</v>
      </c>
      <c r="G1229" s="11" t="str">
        <f aca="false">IF(INDEX(選手一覧!$D$7:$D$2738,$F1229)="","",INDEX(選手一覧!$D$7:$D$2738,$F1229))</f>
        <v/>
      </c>
      <c r="H1229" s="12" t="str">
        <f aca="false">IF(INDEX(選手一覧!$E$7:$E$2738,$F1229)="","",INDEX(選手一覧!$E$7:$E$2738,$F1229))</f>
        <v/>
      </c>
      <c r="I1229" s="11" t="str">
        <f aca="false">IF(INDEX(選手一覧!$H$7:$H$2738,$F1229)="","",INDEX(選手一覧!$H$7:$H$2738,$F1229))</f>
        <v/>
      </c>
      <c r="J1229" s="12" t="str">
        <f aca="false">IF(INDEX(選手一覧!$I$7:$I$2738,$F1229)="","",INDEX(選手一覧!$I$7:$I$2738,$F1229))</f>
        <v/>
      </c>
    </row>
    <row r="1230" customFormat="false" ht="15" hidden="false" customHeight="false" outlineLevel="0" collapsed="false">
      <c r="A1230" s="12" t="n">
        <v>1226</v>
      </c>
      <c r="B1230" s="10" t="s">
        <v>3520</v>
      </c>
      <c r="C1230" s="10" t="s">
        <v>2077</v>
      </c>
      <c r="D1230" s="11" t="n">
        <v>0.00816354166666667</v>
      </c>
      <c r="E1230" s="18" t="n">
        <f aca="false">ROUND((D1230-$D$5)*86400,2)</f>
        <v>166.31</v>
      </c>
      <c r="F1230" s="12" t="n">
        <v>2488</v>
      </c>
      <c r="G1230" s="11" t="str">
        <f aca="false">IF(INDEX(選手一覧!$D$7:$D$2738,$F1230)="","",INDEX(選手一覧!$D$7:$D$2738,$F1230))</f>
        <v/>
      </c>
      <c r="H1230" s="12" t="str">
        <f aca="false">IF(INDEX(選手一覧!$E$7:$E$2738,$F1230)="","",INDEX(選手一覧!$E$7:$E$2738,$F1230))</f>
        <v/>
      </c>
      <c r="I1230" s="11" t="str">
        <f aca="false">IF(INDEX(選手一覧!$H$7:$H$2738,$F1230)="","",INDEX(選手一覧!$H$7:$H$2738,$F1230))</f>
        <v/>
      </c>
      <c r="J1230" s="12" t="str">
        <f aca="false">IF(INDEX(選手一覧!$I$7:$I$2738,$F1230)="","",INDEX(選手一覧!$I$7:$I$2738,$F1230))</f>
        <v/>
      </c>
    </row>
    <row r="1231" customFormat="false" ht="15" hidden="false" customHeight="false" outlineLevel="0" collapsed="false">
      <c r="A1231" s="12" t="n">
        <v>1227</v>
      </c>
      <c r="B1231" s="10" t="s">
        <v>3522</v>
      </c>
      <c r="C1231" s="10" t="s">
        <v>702</v>
      </c>
      <c r="D1231" s="11" t="n">
        <v>0.00816655092592593</v>
      </c>
      <c r="E1231" s="18" t="n">
        <f aca="false">ROUND((D1231-$D$5)*86400,2)</f>
        <v>166.57</v>
      </c>
      <c r="F1231" s="12" t="n">
        <v>2490</v>
      </c>
      <c r="G1231" s="11" t="str">
        <f aca="false">IF(INDEX(選手一覧!$D$7:$D$2738,$F1231)="","",INDEX(選手一覧!$D$7:$D$2738,$F1231))</f>
        <v/>
      </c>
      <c r="H1231" s="12" t="str">
        <f aca="false">IF(INDEX(選手一覧!$E$7:$E$2738,$F1231)="","",INDEX(選手一覧!$E$7:$E$2738,$F1231))</f>
        <v/>
      </c>
      <c r="I1231" s="11" t="str">
        <f aca="false">IF(INDEX(選手一覧!$H$7:$H$2738,$F1231)="","",INDEX(選手一覧!$H$7:$H$2738,$F1231))</f>
        <v/>
      </c>
      <c r="J1231" s="12" t="str">
        <f aca="false">IF(INDEX(選手一覧!$I$7:$I$2738,$F1231)="","",INDEX(選手一覧!$I$7:$I$2738,$F1231))</f>
        <v/>
      </c>
    </row>
    <row r="1232" customFormat="false" ht="15" hidden="false" customHeight="false" outlineLevel="0" collapsed="false">
      <c r="A1232" s="12" t="n">
        <v>1228</v>
      </c>
      <c r="B1232" s="10" t="s">
        <v>3525</v>
      </c>
      <c r="C1232" s="10" t="s">
        <v>2528</v>
      </c>
      <c r="D1232" s="11" t="n">
        <v>0.00817581018518519</v>
      </c>
      <c r="E1232" s="18" t="n">
        <f aca="false">ROUND((D1232-$D$5)*86400,2)</f>
        <v>167.37</v>
      </c>
      <c r="F1232" s="12" t="n">
        <v>2492</v>
      </c>
      <c r="G1232" s="11" t="str">
        <f aca="false">IF(INDEX(選手一覧!$D$7:$D$2738,$F1232)="","",INDEX(選手一覧!$D$7:$D$2738,$F1232))</f>
        <v/>
      </c>
      <c r="H1232" s="12" t="str">
        <f aca="false">IF(INDEX(選手一覧!$E$7:$E$2738,$F1232)="","",INDEX(選手一覧!$E$7:$E$2738,$F1232))</f>
        <v/>
      </c>
      <c r="I1232" s="11" t="str">
        <f aca="false">IF(INDEX(選手一覧!$H$7:$H$2738,$F1232)="","",INDEX(選手一覧!$H$7:$H$2738,$F1232))</f>
        <v/>
      </c>
      <c r="J1232" s="12" t="str">
        <f aca="false">IF(INDEX(選手一覧!$I$7:$I$2738,$F1232)="","",INDEX(選手一覧!$I$7:$I$2738,$F1232))</f>
        <v/>
      </c>
    </row>
    <row r="1233" customFormat="false" ht="15" hidden="false" customHeight="false" outlineLevel="0" collapsed="false">
      <c r="A1233" s="12" t="n">
        <v>1229</v>
      </c>
      <c r="B1233" s="10" t="s">
        <v>3527</v>
      </c>
      <c r="C1233" s="10" t="s">
        <v>3528</v>
      </c>
      <c r="D1233" s="11" t="n">
        <v>0.00817731481481481</v>
      </c>
      <c r="E1233" s="18" t="n">
        <f aca="false">ROUND((D1233-$D$5)*86400,2)</f>
        <v>167.5</v>
      </c>
      <c r="F1233" s="12" t="n">
        <v>2494</v>
      </c>
      <c r="G1233" s="11" t="str">
        <f aca="false">IF(INDEX(選手一覧!$D$7:$D$2738,$F1233)="","",INDEX(選手一覧!$D$7:$D$2738,$F1233))</f>
        <v/>
      </c>
      <c r="H1233" s="12" t="str">
        <f aca="false">IF(INDEX(選手一覧!$E$7:$E$2738,$F1233)="","",INDEX(選手一覧!$E$7:$E$2738,$F1233))</f>
        <v/>
      </c>
      <c r="I1233" s="11" t="str">
        <f aca="false">IF(INDEX(選手一覧!$H$7:$H$2738,$F1233)="","",INDEX(選手一覧!$H$7:$H$2738,$F1233))</f>
        <v/>
      </c>
      <c r="J1233" s="12" t="str">
        <f aca="false">IF(INDEX(選手一覧!$I$7:$I$2738,$F1233)="","",INDEX(選手一覧!$I$7:$I$2738,$F1233))</f>
        <v/>
      </c>
    </row>
    <row r="1234" customFormat="false" ht="15" hidden="false" customHeight="false" outlineLevel="0" collapsed="false">
      <c r="A1234" s="12" t="n">
        <v>1230</v>
      </c>
      <c r="B1234" s="10" t="s">
        <v>3532</v>
      </c>
      <c r="C1234" s="10" t="s">
        <v>2147</v>
      </c>
      <c r="D1234" s="11" t="n">
        <v>0.00817974537037037</v>
      </c>
      <c r="E1234" s="18" t="n">
        <f aca="false">ROUND((D1234-$D$5)*86400,2)</f>
        <v>167.71</v>
      </c>
      <c r="F1234" s="12" t="n">
        <v>2497</v>
      </c>
      <c r="G1234" s="11" t="str">
        <f aca="false">IF(INDEX(選手一覧!$D$7:$D$2738,$F1234)="","",INDEX(選手一覧!$D$7:$D$2738,$F1234))</f>
        <v/>
      </c>
      <c r="H1234" s="12" t="str">
        <f aca="false">IF(INDEX(選手一覧!$E$7:$E$2738,$F1234)="","",INDEX(選手一覧!$E$7:$E$2738,$F1234))</f>
        <v/>
      </c>
      <c r="I1234" s="11" t="str">
        <f aca="false">IF(INDEX(選手一覧!$H$7:$H$2738,$F1234)="","",INDEX(選手一覧!$H$7:$H$2738,$F1234))</f>
        <v/>
      </c>
      <c r="J1234" s="12" t="str">
        <f aca="false">IF(INDEX(選手一覧!$I$7:$I$2738,$F1234)="","",INDEX(選手一覧!$I$7:$I$2738,$F1234))</f>
        <v/>
      </c>
    </row>
    <row r="1235" customFormat="false" ht="15" hidden="false" customHeight="false" outlineLevel="0" collapsed="false">
      <c r="A1235" s="12" t="n">
        <v>1231</v>
      </c>
      <c r="B1235" s="10" t="s">
        <v>3535</v>
      </c>
      <c r="C1235" s="10" t="s">
        <v>3536</v>
      </c>
      <c r="D1235" s="11" t="n">
        <v>0.00819131944444445</v>
      </c>
      <c r="E1235" s="18" t="n">
        <f aca="false">ROUND((D1235-$D$5)*86400,2)</f>
        <v>168.71</v>
      </c>
      <c r="F1235" s="12" t="n">
        <v>2500</v>
      </c>
      <c r="G1235" s="11" t="str">
        <f aca="false">IF(INDEX(選手一覧!$D$7:$D$2738,$F1235)="","",INDEX(選手一覧!$D$7:$D$2738,$F1235))</f>
        <v/>
      </c>
      <c r="H1235" s="12" t="str">
        <f aca="false">IF(INDEX(選手一覧!$E$7:$E$2738,$F1235)="","",INDEX(選手一覧!$E$7:$E$2738,$F1235))</f>
        <v/>
      </c>
      <c r="I1235" s="11" t="str">
        <f aca="false">IF(INDEX(選手一覧!$H$7:$H$2738,$F1235)="","",INDEX(選手一覧!$H$7:$H$2738,$F1235))</f>
        <v/>
      </c>
      <c r="J1235" s="12" t="str">
        <f aca="false">IF(INDEX(選手一覧!$I$7:$I$2738,$F1235)="","",INDEX(選手一覧!$I$7:$I$2738,$F1235))</f>
        <v/>
      </c>
    </row>
    <row r="1236" customFormat="false" ht="15" hidden="false" customHeight="false" outlineLevel="0" collapsed="false">
      <c r="A1236" s="12" t="n">
        <v>1232</v>
      </c>
      <c r="B1236" s="10" t="s">
        <v>3538</v>
      </c>
      <c r="C1236" s="10" t="s">
        <v>3539</v>
      </c>
      <c r="D1236" s="11" t="n">
        <v>0.00819965277777778</v>
      </c>
      <c r="E1236" s="18" t="n">
        <f aca="false">ROUND((D1236-$D$5)*86400,2)</f>
        <v>169.43</v>
      </c>
      <c r="F1236" s="12" t="n">
        <v>2502</v>
      </c>
      <c r="G1236" s="11" t="str">
        <f aca="false">IF(INDEX(選手一覧!$D$7:$D$2738,$F1236)="","",INDEX(選手一覧!$D$7:$D$2738,$F1236))</f>
        <v/>
      </c>
      <c r="H1236" s="12" t="str">
        <f aca="false">IF(INDEX(選手一覧!$E$7:$E$2738,$F1236)="","",INDEX(選手一覧!$E$7:$E$2738,$F1236))</f>
        <v/>
      </c>
      <c r="I1236" s="11" t="str">
        <f aca="false">IF(INDEX(選手一覧!$H$7:$H$2738,$F1236)="","",INDEX(選手一覧!$H$7:$H$2738,$F1236))</f>
        <v/>
      </c>
      <c r="J1236" s="12" t="str">
        <f aca="false">IF(INDEX(選手一覧!$I$7:$I$2738,$F1236)="","",INDEX(選手一覧!$I$7:$I$2738,$F1236))</f>
        <v/>
      </c>
    </row>
    <row r="1237" customFormat="false" ht="15" hidden="false" customHeight="false" outlineLevel="0" collapsed="false">
      <c r="A1237" s="12" t="n">
        <v>1233</v>
      </c>
      <c r="B1237" s="10" t="s">
        <v>3543</v>
      </c>
      <c r="C1237" s="10" t="s">
        <v>2049</v>
      </c>
      <c r="D1237" s="11" t="n">
        <v>0.00820150462962963</v>
      </c>
      <c r="E1237" s="18" t="n">
        <f aca="false">ROUND((D1237-$D$5)*86400,2)</f>
        <v>169.59</v>
      </c>
      <c r="F1237" s="12" t="n">
        <v>2505</v>
      </c>
      <c r="G1237" s="11" t="str">
        <f aca="false">IF(INDEX(選手一覧!$D$7:$D$2738,$F1237)="","",INDEX(選手一覧!$D$7:$D$2738,$F1237))</f>
        <v/>
      </c>
      <c r="H1237" s="12" t="str">
        <f aca="false">IF(INDEX(選手一覧!$E$7:$E$2738,$F1237)="","",INDEX(選手一覧!$E$7:$E$2738,$F1237))</f>
        <v/>
      </c>
      <c r="I1237" s="11" t="str">
        <f aca="false">IF(INDEX(選手一覧!$H$7:$H$2738,$F1237)="","",INDEX(選手一覧!$H$7:$H$2738,$F1237))</f>
        <v/>
      </c>
      <c r="J1237" s="12" t="str">
        <f aca="false">IF(INDEX(選手一覧!$I$7:$I$2738,$F1237)="","",INDEX(選手一覧!$I$7:$I$2738,$F1237))</f>
        <v/>
      </c>
    </row>
    <row r="1238" customFormat="false" ht="15" hidden="false" customHeight="false" outlineLevel="0" collapsed="false">
      <c r="A1238" s="12" t="n">
        <v>1234</v>
      </c>
      <c r="B1238" s="10" t="s">
        <v>3546</v>
      </c>
      <c r="C1238" s="10" t="s">
        <v>3547</v>
      </c>
      <c r="D1238" s="11" t="n">
        <v>0.00820150462962963</v>
      </c>
      <c r="E1238" s="18" t="n">
        <f aca="false">ROUND((D1238-$D$5)*86400,2)</f>
        <v>169.59</v>
      </c>
      <c r="F1238" s="12" t="n">
        <v>2508</v>
      </c>
      <c r="G1238" s="11" t="str">
        <f aca="false">IF(INDEX(選手一覧!$D$7:$D$2738,$F1238)="","",INDEX(選手一覧!$D$7:$D$2738,$F1238))</f>
        <v/>
      </c>
      <c r="H1238" s="12" t="str">
        <f aca="false">IF(INDEX(選手一覧!$E$7:$E$2738,$F1238)="","",INDEX(選手一覧!$E$7:$E$2738,$F1238))</f>
        <v/>
      </c>
      <c r="I1238" s="11" t="str">
        <f aca="false">IF(INDEX(選手一覧!$H$7:$H$2738,$F1238)="","",INDEX(選手一覧!$H$7:$H$2738,$F1238))</f>
        <v/>
      </c>
      <c r="J1238" s="12" t="str">
        <f aca="false">IF(INDEX(選手一覧!$I$7:$I$2738,$F1238)="","",INDEX(選手一覧!$I$7:$I$2738,$F1238))</f>
        <v/>
      </c>
    </row>
    <row r="1239" customFormat="false" ht="15" hidden="false" customHeight="false" outlineLevel="0" collapsed="false">
      <c r="A1239" s="12" t="n">
        <v>1235</v>
      </c>
      <c r="B1239" s="10" t="s">
        <v>3549</v>
      </c>
      <c r="C1239" s="10" t="s">
        <v>988</v>
      </c>
      <c r="D1239" s="11" t="n">
        <v>0.00820231481481482</v>
      </c>
      <c r="E1239" s="18" t="n">
        <f aca="false">ROUND((D1239-$D$5)*86400,2)</f>
        <v>169.66</v>
      </c>
      <c r="F1239" s="12" t="n">
        <v>2510</v>
      </c>
      <c r="G1239" s="11" t="str">
        <f aca="false">IF(INDEX(選手一覧!$D$7:$D$2738,$F1239)="","",INDEX(選手一覧!$D$7:$D$2738,$F1239))</f>
        <v/>
      </c>
      <c r="H1239" s="12" t="str">
        <f aca="false">IF(INDEX(選手一覧!$E$7:$E$2738,$F1239)="","",INDEX(選手一覧!$E$7:$E$2738,$F1239))</f>
        <v/>
      </c>
      <c r="I1239" s="11" t="str">
        <f aca="false">IF(INDEX(選手一覧!$H$7:$H$2738,$F1239)="","",INDEX(選手一覧!$H$7:$H$2738,$F1239))</f>
        <v/>
      </c>
      <c r="J1239" s="12" t="str">
        <f aca="false">IF(INDEX(選手一覧!$I$7:$I$2738,$F1239)="","",INDEX(選手一覧!$I$7:$I$2738,$F1239))</f>
        <v/>
      </c>
    </row>
    <row r="1240" customFormat="false" ht="15" hidden="false" customHeight="false" outlineLevel="0" collapsed="false">
      <c r="A1240" s="12" t="n">
        <v>1236</v>
      </c>
      <c r="B1240" s="10" t="s">
        <v>3552</v>
      </c>
      <c r="C1240" s="10" t="s">
        <v>3553</v>
      </c>
      <c r="D1240" s="11" t="n">
        <v>0.00820717592592593</v>
      </c>
      <c r="E1240" s="18" t="n">
        <f aca="false">ROUND((D1240-$D$5)*86400,2)</f>
        <v>170.08</v>
      </c>
      <c r="F1240" s="12" t="n">
        <v>2512</v>
      </c>
      <c r="G1240" s="11" t="str">
        <f aca="false">IF(INDEX(選手一覧!$D$7:$D$2738,$F1240)="","",INDEX(選手一覧!$D$7:$D$2738,$F1240))</f>
        <v/>
      </c>
      <c r="H1240" s="12" t="str">
        <f aca="false">IF(INDEX(選手一覧!$E$7:$E$2738,$F1240)="","",INDEX(選手一覧!$E$7:$E$2738,$F1240))</f>
        <v/>
      </c>
      <c r="I1240" s="11" t="str">
        <f aca="false">IF(INDEX(選手一覧!$H$7:$H$2738,$F1240)="","",INDEX(選手一覧!$H$7:$H$2738,$F1240))</f>
        <v/>
      </c>
      <c r="J1240" s="12" t="str">
        <f aca="false">IF(INDEX(選手一覧!$I$7:$I$2738,$F1240)="","",INDEX(選手一覧!$I$7:$I$2738,$F1240))</f>
        <v/>
      </c>
    </row>
    <row r="1241" customFormat="false" ht="15" hidden="false" customHeight="false" outlineLevel="0" collapsed="false">
      <c r="A1241" s="12" t="n">
        <v>1237</v>
      </c>
      <c r="B1241" s="10" t="s">
        <v>3556</v>
      </c>
      <c r="C1241" s="10" t="s">
        <v>1775</v>
      </c>
      <c r="D1241" s="11" t="n">
        <v>0.00821180555555556</v>
      </c>
      <c r="E1241" s="18" t="n">
        <f aca="false">ROUND((D1241-$D$5)*86400,2)</f>
        <v>170.48</v>
      </c>
      <c r="F1241" s="12" t="n">
        <v>2514</v>
      </c>
      <c r="G1241" s="11" t="str">
        <f aca="false">IF(INDEX(選手一覧!$D$7:$D$2738,$F1241)="","",INDEX(選手一覧!$D$7:$D$2738,$F1241))</f>
        <v/>
      </c>
      <c r="H1241" s="12" t="str">
        <f aca="false">IF(INDEX(選手一覧!$E$7:$E$2738,$F1241)="","",INDEX(選手一覧!$E$7:$E$2738,$F1241))</f>
        <v/>
      </c>
      <c r="I1241" s="11" t="str">
        <f aca="false">IF(INDEX(選手一覧!$H$7:$H$2738,$F1241)="","",INDEX(選手一覧!$H$7:$H$2738,$F1241))</f>
        <v/>
      </c>
      <c r="J1241" s="12" t="str">
        <f aca="false">IF(INDEX(選手一覧!$I$7:$I$2738,$F1241)="","",INDEX(選手一覧!$I$7:$I$2738,$F1241))</f>
        <v/>
      </c>
    </row>
    <row r="1242" customFormat="false" ht="15" hidden="false" customHeight="false" outlineLevel="0" collapsed="false">
      <c r="A1242" s="12" t="n">
        <v>1238</v>
      </c>
      <c r="B1242" s="10" t="s">
        <v>3558</v>
      </c>
      <c r="C1242" s="10" t="s">
        <v>3559</v>
      </c>
      <c r="D1242" s="11" t="n">
        <v>0.0082125</v>
      </c>
      <c r="E1242" s="18" t="n">
        <f aca="false">ROUND((D1242-$D$5)*86400,2)</f>
        <v>170.54</v>
      </c>
      <c r="F1242" s="12" t="n">
        <v>2516</v>
      </c>
      <c r="G1242" s="11" t="str">
        <f aca="false">IF(INDEX(選手一覧!$D$7:$D$2738,$F1242)="","",INDEX(選手一覧!$D$7:$D$2738,$F1242))</f>
        <v/>
      </c>
      <c r="H1242" s="12" t="str">
        <f aca="false">IF(INDEX(選手一覧!$E$7:$E$2738,$F1242)="","",INDEX(選手一覧!$E$7:$E$2738,$F1242))</f>
        <v/>
      </c>
      <c r="I1242" s="11" t="str">
        <f aca="false">IF(INDEX(選手一覧!$H$7:$H$2738,$F1242)="","",INDEX(選手一覧!$H$7:$H$2738,$F1242))</f>
        <v/>
      </c>
      <c r="J1242" s="12" t="str">
        <f aca="false">IF(INDEX(選手一覧!$I$7:$I$2738,$F1242)="","",INDEX(選手一覧!$I$7:$I$2738,$F1242))</f>
        <v/>
      </c>
    </row>
    <row r="1243" customFormat="false" ht="15" hidden="false" customHeight="false" outlineLevel="0" collapsed="false">
      <c r="A1243" s="12" t="n">
        <v>1239</v>
      </c>
      <c r="B1243" s="10" t="s">
        <v>3561</v>
      </c>
      <c r="C1243" s="10" t="s">
        <v>3562</v>
      </c>
      <c r="D1243" s="11" t="n">
        <v>0.00821261574074074</v>
      </c>
      <c r="E1243" s="18" t="n">
        <f aca="false">ROUND((D1243-$D$5)*86400,2)</f>
        <v>170.55</v>
      </c>
      <c r="F1243" s="12" t="n">
        <v>2518</v>
      </c>
      <c r="G1243" s="11" t="str">
        <f aca="false">IF(INDEX(選手一覧!$D$7:$D$2738,$F1243)="","",INDEX(選手一覧!$D$7:$D$2738,$F1243))</f>
        <v/>
      </c>
      <c r="H1243" s="12" t="str">
        <f aca="false">IF(INDEX(選手一覧!$E$7:$E$2738,$F1243)="","",INDEX(選手一覧!$E$7:$E$2738,$F1243))</f>
        <v/>
      </c>
      <c r="I1243" s="11" t="str">
        <f aca="false">IF(INDEX(選手一覧!$H$7:$H$2738,$F1243)="","",INDEX(選手一覧!$H$7:$H$2738,$F1243))</f>
        <v/>
      </c>
      <c r="J1243" s="12" t="str">
        <f aca="false">IF(INDEX(選手一覧!$I$7:$I$2738,$F1243)="","",INDEX(選手一覧!$I$7:$I$2738,$F1243))</f>
        <v/>
      </c>
    </row>
    <row r="1244" customFormat="false" ht="15" hidden="false" customHeight="false" outlineLevel="0" collapsed="false">
      <c r="A1244" s="12" t="n">
        <v>1240</v>
      </c>
      <c r="B1244" s="10" t="s">
        <v>3563</v>
      </c>
      <c r="C1244" s="10" t="s">
        <v>3564</v>
      </c>
      <c r="D1244" s="11" t="n">
        <v>0.00821331018518519</v>
      </c>
      <c r="E1244" s="18" t="n">
        <f aca="false">ROUND((D1244-$D$5)*86400,2)</f>
        <v>170.61</v>
      </c>
      <c r="F1244" s="12" t="n">
        <v>2519</v>
      </c>
      <c r="G1244" s="11" t="str">
        <f aca="false">IF(INDEX(選手一覧!$D$7:$D$2738,$F1244)="","",INDEX(選手一覧!$D$7:$D$2738,$F1244))</f>
        <v/>
      </c>
      <c r="H1244" s="12" t="str">
        <f aca="false">IF(INDEX(選手一覧!$E$7:$E$2738,$F1244)="","",INDEX(選手一覧!$E$7:$E$2738,$F1244))</f>
        <v/>
      </c>
      <c r="I1244" s="11" t="str">
        <f aca="false">IF(INDEX(選手一覧!$H$7:$H$2738,$F1244)="","",INDEX(選手一覧!$H$7:$H$2738,$F1244))</f>
        <v/>
      </c>
      <c r="J1244" s="12" t="str">
        <f aca="false">IF(INDEX(選手一覧!$I$7:$I$2738,$F1244)="","",INDEX(選手一覧!$I$7:$I$2738,$F1244))</f>
        <v/>
      </c>
    </row>
    <row r="1245" customFormat="false" ht="15" hidden="false" customHeight="false" outlineLevel="0" collapsed="false">
      <c r="A1245" s="12" t="n">
        <v>1241</v>
      </c>
      <c r="B1245" s="10" t="s">
        <v>3566</v>
      </c>
      <c r="C1245" s="10" t="s">
        <v>3567</v>
      </c>
      <c r="D1245" s="11" t="n">
        <v>0.00821377314814815</v>
      </c>
      <c r="E1245" s="18" t="n">
        <f aca="false">ROUND((D1245-$D$5)*86400,2)</f>
        <v>170.65</v>
      </c>
      <c r="F1245" s="12" t="n">
        <v>2521</v>
      </c>
      <c r="G1245" s="11" t="str">
        <f aca="false">IF(INDEX(選手一覧!$D$7:$D$2738,$F1245)="","",INDEX(選手一覧!$D$7:$D$2738,$F1245))</f>
        <v/>
      </c>
      <c r="H1245" s="12" t="str">
        <f aca="false">IF(INDEX(選手一覧!$E$7:$E$2738,$F1245)="","",INDEX(選手一覧!$E$7:$E$2738,$F1245))</f>
        <v/>
      </c>
      <c r="I1245" s="11" t="str">
        <f aca="false">IF(INDEX(選手一覧!$H$7:$H$2738,$F1245)="","",INDEX(選手一覧!$H$7:$H$2738,$F1245))</f>
        <v/>
      </c>
      <c r="J1245" s="12" t="str">
        <f aca="false">IF(INDEX(選手一覧!$I$7:$I$2738,$F1245)="","",INDEX(選手一覧!$I$7:$I$2738,$F1245))</f>
        <v/>
      </c>
    </row>
    <row r="1246" customFormat="false" ht="15" hidden="false" customHeight="false" outlineLevel="0" collapsed="false">
      <c r="A1246" s="12" t="n">
        <v>1242</v>
      </c>
      <c r="B1246" s="10" t="s">
        <v>3569</v>
      </c>
      <c r="C1246" s="10" t="s">
        <v>1651</v>
      </c>
      <c r="D1246" s="11" t="n">
        <v>0.00822893518518519</v>
      </c>
      <c r="E1246" s="18" t="n">
        <f aca="false">ROUND((D1246-$D$5)*86400,2)</f>
        <v>171.96</v>
      </c>
      <c r="F1246" s="12" t="n">
        <v>2523</v>
      </c>
      <c r="G1246" s="11" t="str">
        <f aca="false">IF(INDEX(選手一覧!$D$7:$D$2738,$F1246)="","",INDEX(選手一覧!$D$7:$D$2738,$F1246))</f>
        <v/>
      </c>
      <c r="H1246" s="12" t="str">
        <f aca="false">IF(INDEX(選手一覧!$E$7:$E$2738,$F1246)="","",INDEX(選手一覧!$E$7:$E$2738,$F1246))</f>
        <v/>
      </c>
      <c r="I1246" s="11" t="str">
        <f aca="false">IF(INDEX(選手一覧!$H$7:$H$2738,$F1246)="","",INDEX(選手一覧!$H$7:$H$2738,$F1246))</f>
        <v/>
      </c>
      <c r="J1246" s="12" t="str">
        <f aca="false">IF(INDEX(選手一覧!$I$7:$I$2738,$F1246)="","",INDEX(選手一覧!$I$7:$I$2738,$F1246))</f>
        <v/>
      </c>
    </row>
    <row r="1247" customFormat="false" ht="15" hidden="false" customHeight="false" outlineLevel="0" collapsed="false">
      <c r="A1247" s="12" t="n">
        <v>1243</v>
      </c>
      <c r="B1247" s="10" t="s">
        <v>3573</v>
      </c>
      <c r="C1247" s="10" t="s">
        <v>3385</v>
      </c>
      <c r="D1247" s="11" t="n">
        <v>0.00823472222222222</v>
      </c>
      <c r="E1247" s="18" t="n">
        <f aca="false">ROUND((D1247-$D$5)*86400,2)</f>
        <v>172.46</v>
      </c>
      <c r="F1247" s="12" t="n">
        <v>2526</v>
      </c>
      <c r="G1247" s="11" t="str">
        <f aca="false">IF(INDEX(選手一覧!$D$7:$D$2738,$F1247)="","",INDEX(選手一覧!$D$7:$D$2738,$F1247))</f>
        <v/>
      </c>
      <c r="H1247" s="12" t="str">
        <f aca="false">IF(INDEX(選手一覧!$E$7:$E$2738,$F1247)="","",INDEX(選手一覧!$E$7:$E$2738,$F1247))</f>
        <v/>
      </c>
      <c r="I1247" s="11" t="str">
        <f aca="false">IF(INDEX(選手一覧!$H$7:$H$2738,$F1247)="","",INDEX(選手一覧!$H$7:$H$2738,$F1247))</f>
        <v/>
      </c>
      <c r="J1247" s="12" t="str">
        <f aca="false">IF(INDEX(選手一覧!$I$7:$I$2738,$F1247)="","",INDEX(選手一覧!$I$7:$I$2738,$F1247))</f>
        <v/>
      </c>
    </row>
    <row r="1248" customFormat="false" ht="15" hidden="false" customHeight="false" outlineLevel="0" collapsed="false">
      <c r="A1248" s="12" t="n">
        <v>1244</v>
      </c>
      <c r="B1248" s="10" t="s">
        <v>2478</v>
      </c>
      <c r="C1248" s="10" t="s">
        <v>705</v>
      </c>
      <c r="D1248" s="11" t="n">
        <v>0.00825486111111111</v>
      </c>
      <c r="E1248" s="18" t="n">
        <f aca="false">ROUND((D1248-$D$5)*86400,2)</f>
        <v>174.2</v>
      </c>
      <c r="F1248" s="12" t="n">
        <v>1728</v>
      </c>
      <c r="G1248" s="11" t="str">
        <f aca="false">IF(INDEX(選手一覧!$D$7:$D$2738,$F1248)="","",INDEX(選手一覧!$D$7:$D$2738,$F1248))</f>
        <v/>
      </c>
      <c r="H1248" s="12" t="str">
        <f aca="false">IF(INDEX(選手一覧!$E$7:$E$2738,$F1248)="","",INDEX(選手一覧!$E$7:$E$2738,$F1248))</f>
        <v/>
      </c>
      <c r="I1248" s="11" t="n">
        <f aca="false">IF(INDEX(選手一覧!$H$7:$H$2738,$F1248)="","",INDEX(選手一覧!$H$7:$H$2738,$F1248))</f>
        <v>0.00288657407407407</v>
      </c>
      <c r="J1248" s="12" t="n">
        <f aca="false">IF(INDEX(選手一覧!$I$7:$I$2738,$F1248)="","",INDEX(選手一覧!$I$7:$I$2738,$F1248))</f>
        <v>827</v>
      </c>
    </row>
    <row r="1249" customFormat="false" ht="15" hidden="false" customHeight="false" outlineLevel="0" collapsed="false">
      <c r="A1249" s="12" t="n">
        <v>1245</v>
      </c>
      <c r="B1249" s="10" t="s">
        <v>3575</v>
      </c>
      <c r="C1249" s="10" t="s">
        <v>2090</v>
      </c>
      <c r="D1249" s="11" t="n">
        <v>0.00826087962962963</v>
      </c>
      <c r="E1249" s="18" t="n">
        <f aca="false">ROUND((D1249-$D$5)*86400,2)</f>
        <v>174.72</v>
      </c>
      <c r="F1249" s="12" t="n">
        <v>2528</v>
      </c>
      <c r="G1249" s="11" t="str">
        <f aca="false">IF(INDEX(選手一覧!$D$7:$D$2738,$F1249)="","",INDEX(選手一覧!$D$7:$D$2738,$F1249))</f>
        <v/>
      </c>
      <c r="H1249" s="12" t="str">
        <f aca="false">IF(INDEX(選手一覧!$E$7:$E$2738,$F1249)="","",INDEX(選手一覧!$E$7:$E$2738,$F1249))</f>
        <v/>
      </c>
      <c r="I1249" s="11" t="str">
        <f aca="false">IF(INDEX(選手一覧!$H$7:$H$2738,$F1249)="","",INDEX(選手一覧!$H$7:$H$2738,$F1249))</f>
        <v/>
      </c>
      <c r="J1249" s="12" t="str">
        <f aca="false">IF(INDEX(選手一覧!$I$7:$I$2738,$F1249)="","",INDEX(選手一覧!$I$7:$I$2738,$F1249))</f>
        <v/>
      </c>
    </row>
    <row r="1250" customFormat="false" ht="15" hidden="false" customHeight="false" outlineLevel="0" collapsed="false">
      <c r="A1250" s="12" t="n">
        <v>1246</v>
      </c>
      <c r="B1250" s="10" t="s">
        <v>3578</v>
      </c>
      <c r="C1250" s="10" t="s">
        <v>2090</v>
      </c>
      <c r="D1250" s="11" t="n">
        <v>0.00826087962962963</v>
      </c>
      <c r="E1250" s="18" t="n">
        <f aca="false">ROUND((D1250-$D$5)*86400,2)</f>
        <v>174.72</v>
      </c>
      <c r="F1250" s="12" t="n">
        <v>2530</v>
      </c>
      <c r="G1250" s="11" t="str">
        <f aca="false">IF(INDEX(選手一覧!$D$7:$D$2738,$F1250)="","",INDEX(選手一覧!$D$7:$D$2738,$F1250))</f>
        <v/>
      </c>
      <c r="H1250" s="12" t="str">
        <f aca="false">IF(INDEX(選手一覧!$E$7:$E$2738,$F1250)="","",INDEX(選手一覧!$E$7:$E$2738,$F1250))</f>
        <v/>
      </c>
      <c r="I1250" s="11" t="str">
        <f aca="false">IF(INDEX(選手一覧!$H$7:$H$2738,$F1250)="","",INDEX(選手一覧!$H$7:$H$2738,$F1250))</f>
        <v/>
      </c>
      <c r="J1250" s="12" t="str">
        <f aca="false">IF(INDEX(選手一覧!$I$7:$I$2738,$F1250)="","",INDEX(選手一覧!$I$7:$I$2738,$F1250))</f>
        <v/>
      </c>
    </row>
    <row r="1251" customFormat="false" ht="15" hidden="false" customHeight="false" outlineLevel="0" collapsed="false">
      <c r="A1251" s="12" t="n">
        <v>1247</v>
      </c>
      <c r="B1251" s="10" t="s">
        <v>3580</v>
      </c>
      <c r="C1251" s="10" t="s">
        <v>3581</v>
      </c>
      <c r="D1251" s="11" t="n">
        <v>0.00826678240740741</v>
      </c>
      <c r="E1251" s="18" t="n">
        <f aca="false">ROUND((D1251-$D$5)*86400,2)</f>
        <v>175.23</v>
      </c>
      <c r="F1251" s="12" t="n">
        <v>2532</v>
      </c>
      <c r="G1251" s="11" t="str">
        <f aca="false">IF(INDEX(選手一覧!$D$7:$D$2738,$F1251)="","",INDEX(選手一覧!$D$7:$D$2738,$F1251))</f>
        <v/>
      </c>
      <c r="H1251" s="12" t="str">
        <f aca="false">IF(INDEX(選手一覧!$E$7:$E$2738,$F1251)="","",INDEX(選手一覧!$E$7:$E$2738,$F1251))</f>
        <v/>
      </c>
      <c r="I1251" s="11" t="str">
        <f aca="false">IF(INDEX(選手一覧!$H$7:$H$2738,$F1251)="","",INDEX(選手一覧!$H$7:$H$2738,$F1251))</f>
        <v/>
      </c>
      <c r="J1251" s="12" t="str">
        <f aca="false">IF(INDEX(選手一覧!$I$7:$I$2738,$F1251)="","",INDEX(選手一覧!$I$7:$I$2738,$F1251))</f>
        <v/>
      </c>
    </row>
    <row r="1252" customFormat="false" ht="15" hidden="false" customHeight="false" outlineLevel="0" collapsed="false">
      <c r="A1252" s="12" t="n">
        <v>1248</v>
      </c>
      <c r="B1252" s="10" t="s">
        <v>3584</v>
      </c>
      <c r="C1252" s="10" t="s">
        <v>2321</v>
      </c>
      <c r="D1252" s="11" t="n">
        <v>0.00828194444444444</v>
      </c>
      <c r="E1252" s="18" t="n">
        <f aca="false">ROUND((D1252-$D$5)*86400,2)</f>
        <v>176.54</v>
      </c>
      <c r="F1252" s="12" t="n">
        <v>2535</v>
      </c>
      <c r="G1252" s="11" t="str">
        <f aca="false">IF(INDEX(選手一覧!$D$7:$D$2738,$F1252)="","",INDEX(選手一覧!$D$7:$D$2738,$F1252))</f>
        <v/>
      </c>
      <c r="H1252" s="12" t="str">
        <f aca="false">IF(INDEX(選手一覧!$E$7:$E$2738,$F1252)="","",INDEX(選手一覧!$E$7:$E$2738,$F1252))</f>
        <v/>
      </c>
      <c r="I1252" s="11" t="str">
        <f aca="false">IF(INDEX(選手一覧!$H$7:$H$2738,$F1252)="","",INDEX(選手一覧!$H$7:$H$2738,$F1252))</f>
        <v/>
      </c>
      <c r="J1252" s="12" t="str">
        <f aca="false">IF(INDEX(選手一覧!$I$7:$I$2738,$F1252)="","",INDEX(選手一覧!$I$7:$I$2738,$F1252))</f>
        <v/>
      </c>
    </row>
    <row r="1253" customFormat="false" ht="15" hidden="false" customHeight="false" outlineLevel="0" collapsed="false">
      <c r="A1253" s="12" t="n">
        <v>1249</v>
      </c>
      <c r="B1253" s="10" t="s">
        <v>3585</v>
      </c>
      <c r="C1253" s="10" t="s">
        <v>2427</v>
      </c>
      <c r="D1253" s="11" t="n">
        <v>0.00828912037037037</v>
      </c>
      <c r="E1253" s="18" t="n">
        <f aca="false">ROUND((D1253-$D$5)*86400,2)</f>
        <v>177.16</v>
      </c>
      <c r="F1253" s="12" t="n">
        <v>2536</v>
      </c>
      <c r="G1253" s="11" t="str">
        <f aca="false">IF(INDEX(選手一覧!$D$7:$D$2738,$F1253)="","",INDEX(選手一覧!$D$7:$D$2738,$F1253))</f>
        <v/>
      </c>
      <c r="H1253" s="12" t="str">
        <f aca="false">IF(INDEX(選手一覧!$E$7:$E$2738,$F1253)="","",INDEX(選手一覧!$E$7:$E$2738,$F1253))</f>
        <v/>
      </c>
      <c r="I1253" s="11" t="str">
        <f aca="false">IF(INDEX(選手一覧!$H$7:$H$2738,$F1253)="","",INDEX(選手一覧!$H$7:$H$2738,$F1253))</f>
        <v/>
      </c>
      <c r="J1253" s="12" t="str">
        <f aca="false">IF(INDEX(選手一覧!$I$7:$I$2738,$F1253)="","",INDEX(選手一覧!$I$7:$I$2738,$F1253))</f>
        <v/>
      </c>
    </row>
    <row r="1254" customFormat="false" ht="15" hidden="false" customHeight="false" outlineLevel="0" collapsed="false">
      <c r="A1254" s="12" t="n">
        <v>1250</v>
      </c>
      <c r="B1254" s="10" t="s">
        <v>3587</v>
      </c>
      <c r="C1254" s="10" t="s">
        <v>3588</v>
      </c>
      <c r="D1254" s="11" t="n">
        <v>0.00829201388888889</v>
      </c>
      <c r="E1254" s="18" t="n">
        <f aca="false">ROUND((D1254-$D$5)*86400,2)</f>
        <v>177.41</v>
      </c>
      <c r="F1254" s="12" t="n">
        <v>2538</v>
      </c>
      <c r="G1254" s="11" t="str">
        <f aca="false">IF(INDEX(選手一覧!$D$7:$D$2738,$F1254)="","",INDEX(選手一覧!$D$7:$D$2738,$F1254))</f>
        <v/>
      </c>
      <c r="H1254" s="12" t="str">
        <f aca="false">IF(INDEX(選手一覧!$E$7:$E$2738,$F1254)="","",INDEX(選手一覧!$E$7:$E$2738,$F1254))</f>
        <v/>
      </c>
      <c r="I1254" s="11" t="str">
        <f aca="false">IF(INDEX(選手一覧!$H$7:$H$2738,$F1254)="","",INDEX(選手一覧!$H$7:$H$2738,$F1254))</f>
        <v/>
      </c>
      <c r="J1254" s="12" t="str">
        <f aca="false">IF(INDEX(選手一覧!$I$7:$I$2738,$F1254)="","",INDEX(選手一覧!$I$7:$I$2738,$F1254))</f>
        <v/>
      </c>
    </row>
    <row r="1255" customFormat="false" ht="15" hidden="false" customHeight="false" outlineLevel="0" collapsed="false">
      <c r="A1255" s="12" t="n">
        <v>1251</v>
      </c>
      <c r="B1255" s="10" t="s">
        <v>3590</v>
      </c>
      <c r="C1255" s="10" t="s">
        <v>3591</v>
      </c>
      <c r="D1255" s="11" t="n">
        <v>0.00829212962962963</v>
      </c>
      <c r="E1255" s="18" t="n">
        <f aca="false">ROUND((D1255-$D$5)*86400,2)</f>
        <v>177.42</v>
      </c>
      <c r="F1255" s="12" t="n">
        <v>2540</v>
      </c>
      <c r="G1255" s="11" t="str">
        <f aca="false">IF(INDEX(選手一覧!$D$7:$D$2738,$F1255)="","",INDEX(選手一覧!$D$7:$D$2738,$F1255))</f>
        <v/>
      </c>
      <c r="H1255" s="12" t="str">
        <f aca="false">IF(INDEX(選手一覧!$E$7:$E$2738,$F1255)="","",INDEX(選手一覧!$E$7:$E$2738,$F1255))</f>
        <v/>
      </c>
      <c r="I1255" s="11" t="str">
        <f aca="false">IF(INDEX(選手一覧!$H$7:$H$2738,$F1255)="","",INDEX(選手一覧!$H$7:$H$2738,$F1255))</f>
        <v/>
      </c>
      <c r="J1255" s="12" t="str">
        <f aca="false">IF(INDEX(選手一覧!$I$7:$I$2738,$F1255)="","",INDEX(選手一覧!$I$7:$I$2738,$F1255))</f>
        <v/>
      </c>
    </row>
    <row r="1256" customFormat="false" ht="15" hidden="false" customHeight="false" outlineLevel="0" collapsed="false">
      <c r="A1256" s="12" t="n">
        <v>1252</v>
      </c>
      <c r="B1256" s="10" t="s">
        <v>3592</v>
      </c>
      <c r="C1256" s="10" t="s">
        <v>3593</v>
      </c>
      <c r="D1256" s="11" t="n">
        <v>0.00829351851851852</v>
      </c>
      <c r="E1256" s="18" t="n">
        <f aca="false">ROUND((D1256-$D$5)*86400,2)</f>
        <v>177.54</v>
      </c>
      <c r="F1256" s="12" t="n">
        <v>2541</v>
      </c>
      <c r="G1256" s="11" t="str">
        <f aca="false">IF(INDEX(選手一覧!$D$7:$D$2738,$F1256)="","",INDEX(選手一覧!$D$7:$D$2738,$F1256))</f>
        <v/>
      </c>
      <c r="H1256" s="12" t="str">
        <f aca="false">IF(INDEX(選手一覧!$E$7:$E$2738,$F1256)="","",INDEX(選手一覧!$E$7:$E$2738,$F1256))</f>
        <v/>
      </c>
      <c r="I1256" s="11" t="str">
        <f aca="false">IF(INDEX(選手一覧!$H$7:$H$2738,$F1256)="","",INDEX(選手一覧!$H$7:$H$2738,$F1256))</f>
        <v/>
      </c>
      <c r="J1256" s="12" t="str">
        <f aca="false">IF(INDEX(選手一覧!$I$7:$I$2738,$F1256)="","",INDEX(選手一覧!$I$7:$I$2738,$F1256))</f>
        <v/>
      </c>
    </row>
    <row r="1257" customFormat="false" ht="15" hidden="false" customHeight="false" outlineLevel="0" collapsed="false">
      <c r="A1257" s="12" t="n">
        <v>1253</v>
      </c>
      <c r="B1257" s="10" t="s">
        <v>3595</v>
      </c>
      <c r="C1257" s="10" t="s">
        <v>348</v>
      </c>
      <c r="D1257" s="11" t="n">
        <v>0.00829710648148148</v>
      </c>
      <c r="E1257" s="18" t="n">
        <f aca="false">ROUND((D1257-$D$5)*86400,2)</f>
        <v>177.85</v>
      </c>
      <c r="F1257" s="12" t="n">
        <v>2543</v>
      </c>
      <c r="G1257" s="11" t="str">
        <f aca="false">IF(INDEX(選手一覧!$D$7:$D$2738,$F1257)="","",INDEX(選手一覧!$D$7:$D$2738,$F1257))</f>
        <v/>
      </c>
      <c r="H1257" s="12" t="str">
        <f aca="false">IF(INDEX(選手一覧!$E$7:$E$2738,$F1257)="","",INDEX(選手一覧!$E$7:$E$2738,$F1257))</f>
        <v/>
      </c>
      <c r="I1257" s="11" t="str">
        <f aca="false">IF(INDEX(選手一覧!$H$7:$H$2738,$F1257)="","",INDEX(選手一覧!$H$7:$H$2738,$F1257))</f>
        <v/>
      </c>
      <c r="J1257" s="12" t="str">
        <f aca="false">IF(INDEX(選手一覧!$I$7:$I$2738,$F1257)="","",INDEX(選手一覧!$I$7:$I$2738,$F1257))</f>
        <v/>
      </c>
    </row>
    <row r="1258" customFormat="false" ht="15" hidden="false" customHeight="false" outlineLevel="0" collapsed="false">
      <c r="A1258" s="12" t="n">
        <v>1254</v>
      </c>
      <c r="B1258" s="10" t="s">
        <v>3598</v>
      </c>
      <c r="C1258" s="10" t="s">
        <v>1962</v>
      </c>
      <c r="D1258" s="11" t="n">
        <v>0.00830578703703704</v>
      </c>
      <c r="E1258" s="18" t="n">
        <f aca="false">ROUND((D1258-$D$5)*86400,2)</f>
        <v>178.6</v>
      </c>
      <c r="F1258" s="12" t="n">
        <v>2545</v>
      </c>
      <c r="G1258" s="11" t="str">
        <f aca="false">IF(INDEX(選手一覧!$D$7:$D$2738,$F1258)="","",INDEX(選手一覧!$D$7:$D$2738,$F1258))</f>
        <v/>
      </c>
      <c r="H1258" s="12" t="str">
        <f aca="false">IF(INDEX(選手一覧!$E$7:$E$2738,$F1258)="","",INDEX(選手一覧!$E$7:$E$2738,$F1258))</f>
        <v/>
      </c>
      <c r="I1258" s="11" t="str">
        <f aca="false">IF(INDEX(選手一覧!$H$7:$H$2738,$F1258)="","",INDEX(選手一覧!$H$7:$H$2738,$F1258))</f>
        <v/>
      </c>
      <c r="J1258" s="12" t="str">
        <f aca="false">IF(INDEX(選手一覧!$I$7:$I$2738,$F1258)="","",INDEX(選手一覧!$I$7:$I$2738,$F1258))</f>
        <v/>
      </c>
    </row>
    <row r="1259" customFormat="false" ht="15" hidden="false" customHeight="false" outlineLevel="0" collapsed="false">
      <c r="A1259" s="12" t="n">
        <v>1255</v>
      </c>
      <c r="B1259" s="10" t="s">
        <v>3599</v>
      </c>
      <c r="C1259" s="10" t="s">
        <v>3600</v>
      </c>
      <c r="D1259" s="11" t="n">
        <v>0.00830706018518519</v>
      </c>
      <c r="E1259" s="18" t="n">
        <f aca="false">ROUND((D1259-$D$5)*86400,2)</f>
        <v>178.71</v>
      </c>
      <c r="F1259" s="12" t="n">
        <v>2546</v>
      </c>
      <c r="G1259" s="11" t="str">
        <f aca="false">IF(INDEX(選手一覧!$D$7:$D$2738,$F1259)="","",INDEX(選手一覧!$D$7:$D$2738,$F1259))</f>
        <v/>
      </c>
      <c r="H1259" s="12" t="str">
        <f aca="false">IF(INDEX(選手一覧!$E$7:$E$2738,$F1259)="","",INDEX(選手一覧!$E$7:$E$2738,$F1259))</f>
        <v/>
      </c>
      <c r="I1259" s="11" t="str">
        <f aca="false">IF(INDEX(選手一覧!$H$7:$H$2738,$F1259)="","",INDEX(選手一覧!$H$7:$H$2738,$F1259))</f>
        <v/>
      </c>
      <c r="J1259" s="12" t="str">
        <f aca="false">IF(INDEX(選手一覧!$I$7:$I$2738,$F1259)="","",INDEX(選手一覧!$I$7:$I$2738,$F1259))</f>
        <v/>
      </c>
    </row>
    <row r="1260" customFormat="false" ht="15" hidden="false" customHeight="false" outlineLevel="0" collapsed="false">
      <c r="A1260" s="12" t="n">
        <v>1256</v>
      </c>
      <c r="B1260" s="10" t="s">
        <v>3603</v>
      </c>
      <c r="C1260" s="10" t="s">
        <v>45</v>
      </c>
      <c r="D1260" s="11" t="n">
        <v>0.00830821759259259</v>
      </c>
      <c r="E1260" s="18" t="n">
        <f aca="false">ROUND((D1260-$D$5)*86400,2)</f>
        <v>178.81</v>
      </c>
      <c r="F1260" s="12" t="n">
        <v>2549</v>
      </c>
      <c r="G1260" s="11" t="str">
        <f aca="false">IF(INDEX(選手一覧!$D$7:$D$2738,$F1260)="","",INDEX(選手一覧!$D$7:$D$2738,$F1260))</f>
        <v/>
      </c>
      <c r="H1260" s="12" t="str">
        <f aca="false">IF(INDEX(選手一覧!$E$7:$E$2738,$F1260)="","",INDEX(選手一覧!$E$7:$E$2738,$F1260))</f>
        <v/>
      </c>
      <c r="I1260" s="11" t="str">
        <f aca="false">IF(INDEX(選手一覧!$H$7:$H$2738,$F1260)="","",INDEX(選手一覧!$H$7:$H$2738,$F1260))</f>
        <v/>
      </c>
      <c r="J1260" s="12" t="str">
        <f aca="false">IF(INDEX(選手一覧!$I$7:$I$2738,$F1260)="","",INDEX(選手一覧!$I$7:$I$2738,$F1260))</f>
        <v/>
      </c>
    </row>
    <row r="1261" customFormat="false" ht="15" hidden="false" customHeight="false" outlineLevel="0" collapsed="false">
      <c r="A1261" s="12" t="n">
        <v>1257</v>
      </c>
      <c r="B1261" s="10" t="s">
        <v>3605</v>
      </c>
      <c r="C1261" s="10" t="s">
        <v>1504</v>
      </c>
      <c r="D1261" s="11" t="n">
        <v>0.00832083333333333</v>
      </c>
      <c r="E1261" s="18" t="n">
        <f aca="false">ROUND((D1261-$D$5)*86400,2)</f>
        <v>179.9</v>
      </c>
      <c r="F1261" s="12" t="n">
        <v>2551</v>
      </c>
      <c r="G1261" s="11" t="str">
        <f aca="false">IF(INDEX(選手一覧!$D$7:$D$2738,$F1261)="","",INDEX(選手一覧!$D$7:$D$2738,$F1261))</f>
        <v/>
      </c>
      <c r="H1261" s="12" t="str">
        <f aca="false">IF(INDEX(選手一覧!$E$7:$E$2738,$F1261)="","",INDEX(選手一覧!$E$7:$E$2738,$F1261))</f>
        <v/>
      </c>
      <c r="I1261" s="11" t="str">
        <f aca="false">IF(INDEX(選手一覧!$H$7:$H$2738,$F1261)="","",INDEX(選手一覧!$H$7:$H$2738,$F1261))</f>
        <v/>
      </c>
      <c r="J1261" s="12" t="str">
        <f aca="false">IF(INDEX(選手一覧!$I$7:$I$2738,$F1261)="","",INDEX(選手一覧!$I$7:$I$2738,$F1261))</f>
        <v/>
      </c>
    </row>
    <row r="1262" customFormat="false" ht="15" hidden="false" customHeight="false" outlineLevel="0" collapsed="false">
      <c r="A1262" s="12" t="n">
        <v>1258</v>
      </c>
      <c r="B1262" s="10" t="s">
        <v>3607</v>
      </c>
      <c r="C1262" s="10" t="s">
        <v>3608</v>
      </c>
      <c r="D1262" s="11" t="n">
        <v>0.00832164351851852</v>
      </c>
      <c r="E1262" s="18" t="n">
        <f aca="false">ROUND((D1262-$D$5)*86400,2)</f>
        <v>179.97</v>
      </c>
      <c r="F1262" s="12" t="n">
        <v>2553</v>
      </c>
      <c r="G1262" s="11" t="str">
        <f aca="false">IF(INDEX(選手一覧!$D$7:$D$2738,$F1262)="","",INDEX(選手一覧!$D$7:$D$2738,$F1262))</f>
        <v/>
      </c>
      <c r="H1262" s="12" t="str">
        <f aca="false">IF(INDEX(選手一覧!$E$7:$E$2738,$F1262)="","",INDEX(選手一覧!$E$7:$E$2738,$F1262))</f>
        <v/>
      </c>
      <c r="I1262" s="11" t="str">
        <f aca="false">IF(INDEX(選手一覧!$H$7:$H$2738,$F1262)="","",INDEX(選手一覧!$H$7:$H$2738,$F1262))</f>
        <v/>
      </c>
      <c r="J1262" s="12" t="str">
        <f aca="false">IF(INDEX(選手一覧!$I$7:$I$2738,$F1262)="","",INDEX(選手一覧!$I$7:$I$2738,$F1262))</f>
        <v/>
      </c>
    </row>
    <row r="1263" customFormat="false" ht="15" hidden="false" customHeight="false" outlineLevel="0" collapsed="false">
      <c r="A1263" s="12" t="n">
        <v>1259</v>
      </c>
      <c r="B1263" s="10" t="s">
        <v>3611</v>
      </c>
      <c r="C1263" s="10" t="s">
        <v>3547</v>
      </c>
      <c r="D1263" s="11" t="n">
        <v>0.00832314814814815</v>
      </c>
      <c r="E1263" s="18" t="n">
        <f aca="false">ROUND((D1263-$D$5)*86400,2)</f>
        <v>180.1</v>
      </c>
      <c r="F1263" s="12" t="n">
        <v>2555</v>
      </c>
      <c r="G1263" s="11" t="str">
        <f aca="false">IF(INDEX(選手一覧!$D$7:$D$2738,$F1263)="","",INDEX(選手一覧!$D$7:$D$2738,$F1263))</f>
        <v/>
      </c>
      <c r="H1263" s="12" t="str">
        <f aca="false">IF(INDEX(選手一覧!$E$7:$E$2738,$F1263)="","",INDEX(選手一覧!$E$7:$E$2738,$F1263))</f>
        <v/>
      </c>
      <c r="I1263" s="11" t="str">
        <f aca="false">IF(INDEX(選手一覧!$H$7:$H$2738,$F1263)="","",INDEX(選手一覧!$H$7:$H$2738,$F1263))</f>
        <v/>
      </c>
      <c r="J1263" s="12" t="str">
        <f aca="false">IF(INDEX(選手一覧!$I$7:$I$2738,$F1263)="","",INDEX(選手一覧!$I$7:$I$2738,$F1263))</f>
        <v/>
      </c>
    </row>
    <row r="1264" customFormat="false" ht="15" hidden="false" customHeight="false" outlineLevel="0" collapsed="false">
      <c r="A1264" s="12" t="n">
        <v>1260</v>
      </c>
      <c r="B1264" s="10" t="s">
        <v>3613</v>
      </c>
      <c r="C1264" s="10" t="s">
        <v>2306</v>
      </c>
      <c r="D1264" s="11" t="n">
        <v>0.00833148148148148</v>
      </c>
      <c r="E1264" s="18" t="n">
        <f aca="false">ROUND((D1264-$D$5)*86400,2)</f>
        <v>180.82</v>
      </c>
      <c r="F1264" s="12" t="n">
        <v>2557</v>
      </c>
      <c r="G1264" s="11" t="str">
        <f aca="false">IF(INDEX(選手一覧!$D$7:$D$2738,$F1264)="","",INDEX(選手一覧!$D$7:$D$2738,$F1264))</f>
        <v/>
      </c>
      <c r="H1264" s="12" t="str">
        <f aca="false">IF(INDEX(選手一覧!$E$7:$E$2738,$F1264)="","",INDEX(選手一覧!$E$7:$E$2738,$F1264))</f>
        <v/>
      </c>
      <c r="I1264" s="11" t="str">
        <f aca="false">IF(INDEX(選手一覧!$H$7:$H$2738,$F1264)="","",INDEX(選手一覧!$H$7:$H$2738,$F1264))</f>
        <v/>
      </c>
      <c r="J1264" s="12" t="str">
        <f aca="false">IF(INDEX(選手一覧!$I$7:$I$2738,$F1264)="","",INDEX(選手一覧!$I$7:$I$2738,$F1264))</f>
        <v/>
      </c>
    </row>
    <row r="1265" customFormat="false" ht="15" hidden="false" customHeight="false" outlineLevel="0" collapsed="false">
      <c r="A1265" s="12" t="n">
        <v>1261</v>
      </c>
      <c r="B1265" s="10" t="s">
        <v>3616</v>
      </c>
      <c r="C1265" s="10" t="s">
        <v>323</v>
      </c>
      <c r="D1265" s="11" t="n">
        <v>0.00833194444444444</v>
      </c>
      <c r="E1265" s="18" t="n">
        <f aca="false">ROUND((D1265-$D$5)*86400,2)</f>
        <v>180.86</v>
      </c>
      <c r="F1265" s="12" t="n">
        <v>2560</v>
      </c>
      <c r="G1265" s="11" t="str">
        <f aca="false">IF(INDEX(選手一覧!$D$7:$D$2738,$F1265)="","",INDEX(選手一覧!$D$7:$D$2738,$F1265))</f>
        <v/>
      </c>
      <c r="H1265" s="12" t="str">
        <f aca="false">IF(INDEX(選手一覧!$E$7:$E$2738,$F1265)="","",INDEX(選手一覧!$E$7:$E$2738,$F1265))</f>
        <v/>
      </c>
      <c r="I1265" s="11" t="str">
        <f aca="false">IF(INDEX(選手一覧!$H$7:$H$2738,$F1265)="","",INDEX(選手一覧!$H$7:$H$2738,$F1265))</f>
        <v/>
      </c>
      <c r="J1265" s="12" t="str">
        <f aca="false">IF(INDEX(選手一覧!$I$7:$I$2738,$F1265)="","",INDEX(選手一覧!$I$7:$I$2738,$F1265))</f>
        <v/>
      </c>
    </row>
    <row r="1266" customFormat="false" ht="15" hidden="false" customHeight="false" outlineLevel="0" collapsed="false">
      <c r="A1266" s="12" t="n">
        <v>1262</v>
      </c>
      <c r="B1266" s="10" t="s">
        <v>3618</v>
      </c>
      <c r="C1266" s="10" t="s">
        <v>3619</v>
      </c>
      <c r="D1266" s="11" t="n">
        <v>0.00833576388888889</v>
      </c>
      <c r="E1266" s="18" t="n">
        <f aca="false">ROUND((D1266-$D$5)*86400,2)</f>
        <v>181.19</v>
      </c>
      <c r="F1266" s="12" t="n">
        <v>2562</v>
      </c>
      <c r="G1266" s="11" t="str">
        <f aca="false">IF(INDEX(選手一覧!$D$7:$D$2738,$F1266)="","",INDEX(選手一覧!$D$7:$D$2738,$F1266))</f>
        <v/>
      </c>
      <c r="H1266" s="12" t="str">
        <f aca="false">IF(INDEX(選手一覧!$E$7:$E$2738,$F1266)="","",INDEX(選手一覧!$E$7:$E$2738,$F1266))</f>
        <v/>
      </c>
      <c r="I1266" s="11" t="str">
        <f aca="false">IF(INDEX(選手一覧!$H$7:$H$2738,$F1266)="","",INDEX(選手一覧!$H$7:$H$2738,$F1266))</f>
        <v/>
      </c>
      <c r="J1266" s="12" t="str">
        <f aca="false">IF(INDEX(選手一覧!$I$7:$I$2738,$F1266)="","",INDEX(選手一覧!$I$7:$I$2738,$F1266))</f>
        <v/>
      </c>
    </row>
    <row r="1267" customFormat="false" ht="15" hidden="false" customHeight="false" outlineLevel="0" collapsed="false">
      <c r="A1267" s="12" t="n">
        <v>1263</v>
      </c>
      <c r="B1267" s="10" t="s">
        <v>3621</v>
      </c>
      <c r="C1267" s="10" t="s">
        <v>3622</v>
      </c>
      <c r="D1267" s="11" t="n">
        <v>0.00833946759259259</v>
      </c>
      <c r="E1267" s="18" t="n">
        <f aca="false">ROUND((D1267-$D$5)*86400,2)</f>
        <v>181.51</v>
      </c>
      <c r="F1267" s="12" t="n">
        <v>2564</v>
      </c>
      <c r="G1267" s="11" t="str">
        <f aca="false">IF(INDEX(選手一覧!$D$7:$D$2738,$F1267)="","",INDEX(選手一覧!$D$7:$D$2738,$F1267))</f>
        <v/>
      </c>
      <c r="H1267" s="12" t="str">
        <f aca="false">IF(INDEX(選手一覧!$E$7:$E$2738,$F1267)="","",INDEX(選手一覧!$E$7:$E$2738,$F1267))</f>
        <v/>
      </c>
      <c r="I1267" s="11" t="str">
        <f aca="false">IF(INDEX(選手一覧!$H$7:$H$2738,$F1267)="","",INDEX(選手一覧!$H$7:$H$2738,$F1267))</f>
        <v/>
      </c>
      <c r="J1267" s="12" t="str">
        <f aca="false">IF(INDEX(選手一覧!$I$7:$I$2738,$F1267)="","",INDEX(選手一覧!$I$7:$I$2738,$F1267))</f>
        <v/>
      </c>
    </row>
    <row r="1268" customFormat="false" ht="15" hidden="false" customHeight="false" outlineLevel="0" collapsed="false">
      <c r="A1268" s="12" t="n">
        <v>1264</v>
      </c>
      <c r="B1268" s="10" t="s">
        <v>3623</v>
      </c>
      <c r="C1268" s="10" t="s">
        <v>1504</v>
      </c>
      <c r="D1268" s="11" t="n">
        <v>0.0083431712962963</v>
      </c>
      <c r="E1268" s="18" t="n">
        <f aca="false">ROUND((D1268-$D$5)*86400,2)</f>
        <v>181.83</v>
      </c>
      <c r="F1268" s="12" t="n">
        <v>2565</v>
      </c>
      <c r="G1268" s="11" t="str">
        <f aca="false">IF(INDEX(選手一覧!$D$7:$D$2738,$F1268)="","",INDEX(選手一覧!$D$7:$D$2738,$F1268))</f>
        <v/>
      </c>
      <c r="H1268" s="12" t="str">
        <f aca="false">IF(INDEX(選手一覧!$E$7:$E$2738,$F1268)="","",INDEX(選手一覧!$E$7:$E$2738,$F1268))</f>
        <v/>
      </c>
      <c r="I1268" s="11" t="str">
        <f aca="false">IF(INDEX(選手一覧!$H$7:$H$2738,$F1268)="","",INDEX(選手一覧!$H$7:$H$2738,$F1268))</f>
        <v/>
      </c>
      <c r="J1268" s="12" t="str">
        <f aca="false">IF(INDEX(選手一覧!$I$7:$I$2738,$F1268)="","",INDEX(選手一覧!$I$7:$I$2738,$F1268))</f>
        <v/>
      </c>
    </row>
    <row r="1269" customFormat="false" ht="15" hidden="false" customHeight="false" outlineLevel="0" collapsed="false">
      <c r="A1269" s="12" t="n">
        <v>1265</v>
      </c>
      <c r="B1269" s="10" t="s">
        <v>3625</v>
      </c>
      <c r="C1269" s="10" t="s">
        <v>3562</v>
      </c>
      <c r="D1269" s="11" t="n">
        <v>0.0083494212962963</v>
      </c>
      <c r="E1269" s="18" t="n">
        <f aca="false">ROUND((D1269-$D$5)*86400,2)</f>
        <v>182.37</v>
      </c>
      <c r="F1269" s="12" t="n">
        <v>2567</v>
      </c>
      <c r="G1269" s="11" t="str">
        <f aca="false">IF(INDEX(選手一覧!$D$7:$D$2738,$F1269)="","",INDEX(選手一覧!$D$7:$D$2738,$F1269))</f>
        <v/>
      </c>
      <c r="H1269" s="12" t="str">
        <f aca="false">IF(INDEX(選手一覧!$E$7:$E$2738,$F1269)="","",INDEX(選手一覧!$E$7:$E$2738,$F1269))</f>
        <v/>
      </c>
      <c r="I1269" s="11" t="str">
        <f aca="false">IF(INDEX(選手一覧!$H$7:$H$2738,$F1269)="","",INDEX(選手一覧!$H$7:$H$2738,$F1269))</f>
        <v/>
      </c>
      <c r="J1269" s="12" t="str">
        <f aca="false">IF(INDEX(選手一覧!$I$7:$I$2738,$F1269)="","",INDEX(選手一覧!$I$7:$I$2738,$F1269))</f>
        <v/>
      </c>
    </row>
    <row r="1270" customFormat="false" ht="15" hidden="false" customHeight="false" outlineLevel="0" collapsed="false">
      <c r="A1270" s="12" t="n">
        <v>1266</v>
      </c>
      <c r="B1270" s="10" t="s">
        <v>3628</v>
      </c>
      <c r="C1270" s="10" t="s">
        <v>3629</v>
      </c>
      <c r="D1270" s="11" t="n">
        <v>0.00835069444444445</v>
      </c>
      <c r="E1270" s="18" t="n">
        <f aca="false">ROUND((D1270-$D$5)*86400,2)</f>
        <v>182.48</v>
      </c>
      <c r="F1270" s="12" t="n">
        <v>2570</v>
      </c>
      <c r="G1270" s="11" t="str">
        <f aca="false">IF(INDEX(選手一覧!$D$7:$D$2738,$F1270)="","",INDEX(選手一覧!$D$7:$D$2738,$F1270))</f>
        <v/>
      </c>
      <c r="H1270" s="12" t="str">
        <f aca="false">IF(INDEX(選手一覧!$E$7:$E$2738,$F1270)="","",INDEX(選手一覧!$E$7:$E$2738,$F1270))</f>
        <v/>
      </c>
      <c r="I1270" s="11" t="str">
        <f aca="false">IF(INDEX(選手一覧!$H$7:$H$2738,$F1270)="","",INDEX(選手一覧!$H$7:$H$2738,$F1270))</f>
        <v/>
      </c>
      <c r="J1270" s="12" t="str">
        <f aca="false">IF(INDEX(選手一覧!$I$7:$I$2738,$F1270)="","",INDEX(選手一覧!$I$7:$I$2738,$F1270))</f>
        <v/>
      </c>
    </row>
    <row r="1271" customFormat="false" ht="15" hidden="false" customHeight="false" outlineLevel="0" collapsed="false">
      <c r="A1271" s="12" t="n">
        <v>1267</v>
      </c>
      <c r="B1271" s="10" t="s">
        <v>3631</v>
      </c>
      <c r="C1271" s="10" t="s">
        <v>3632</v>
      </c>
      <c r="D1271" s="11" t="n">
        <v>0.00835092592592593</v>
      </c>
      <c r="E1271" s="18" t="n">
        <f aca="false">ROUND((D1271-$D$5)*86400,2)</f>
        <v>182.5</v>
      </c>
      <c r="F1271" s="12" t="n">
        <v>2572</v>
      </c>
      <c r="G1271" s="11" t="str">
        <f aca="false">IF(INDEX(選手一覧!$D$7:$D$2738,$F1271)="","",INDEX(選手一覧!$D$7:$D$2738,$F1271))</f>
        <v/>
      </c>
      <c r="H1271" s="12" t="str">
        <f aca="false">IF(INDEX(選手一覧!$E$7:$E$2738,$F1271)="","",INDEX(選手一覧!$E$7:$E$2738,$F1271))</f>
        <v/>
      </c>
      <c r="I1271" s="11" t="str">
        <f aca="false">IF(INDEX(選手一覧!$H$7:$H$2738,$F1271)="","",INDEX(選手一覧!$H$7:$H$2738,$F1271))</f>
        <v/>
      </c>
      <c r="J1271" s="12" t="str">
        <f aca="false">IF(INDEX(選手一覧!$I$7:$I$2738,$F1271)="","",INDEX(選手一覧!$I$7:$I$2738,$F1271))</f>
        <v/>
      </c>
    </row>
    <row r="1272" customFormat="false" ht="15" hidden="false" customHeight="false" outlineLevel="0" collapsed="false">
      <c r="A1272" s="12" t="n">
        <v>1268</v>
      </c>
      <c r="B1272" s="10" t="s">
        <v>3634</v>
      </c>
      <c r="C1272" s="10" t="s">
        <v>3382</v>
      </c>
      <c r="D1272" s="11" t="n">
        <v>0.00835196759259259</v>
      </c>
      <c r="E1272" s="18" t="n">
        <f aca="false">ROUND((D1272-$D$5)*86400,2)</f>
        <v>182.59</v>
      </c>
      <c r="F1272" s="12" t="n">
        <v>2574</v>
      </c>
      <c r="G1272" s="11" t="str">
        <f aca="false">IF(INDEX(選手一覧!$D$7:$D$2738,$F1272)="","",INDEX(選手一覧!$D$7:$D$2738,$F1272))</f>
        <v/>
      </c>
      <c r="H1272" s="12" t="str">
        <f aca="false">IF(INDEX(選手一覧!$E$7:$E$2738,$F1272)="","",INDEX(選手一覧!$E$7:$E$2738,$F1272))</f>
        <v/>
      </c>
      <c r="I1272" s="11" t="str">
        <f aca="false">IF(INDEX(選手一覧!$H$7:$H$2738,$F1272)="","",INDEX(選手一覧!$H$7:$H$2738,$F1272))</f>
        <v/>
      </c>
      <c r="J1272" s="12" t="str">
        <f aca="false">IF(INDEX(選手一覧!$I$7:$I$2738,$F1272)="","",INDEX(選手一覧!$I$7:$I$2738,$F1272))</f>
        <v/>
      </c>
    </row>
    <row r="1273" customFormat="false" ht="15" hidden="false" customHeight="false" outlineLevel="0" collapsed="false">
      <c r="A1273" s="12" t="n">
        <v>1269</v>
      </c>
      <c r="B1273" s="10" t="s">
        <v>3638</v>
      </c>
      <c r="C1273" s="10" t="s">
        <v>705</v>
      </c>
      <c r="D1273" s="11" t="n">
        <v>0.00835763888888889</v>
      </c>
      <c r="E1273" s="18" t="n">
        <f aca="false">ROUND((D1273-$D$5)*86400,2)</f>
        <v>183.08</v>
      </c>
      <c r="F1273" s="12" t="n">
        <v>2577</v>
      </c>
      <c r="G1273" s="11" t="str">
        <f aca="false">IF(INDEX(選手一覧!$D$7:$D$2738,$F1273)="","",INDEX(選手一覧!$D$7:$D$2738,$F1273))</f>
        <v/>
      </c>
      <c r="H1273" s="12" t="str">
        <f aca="false">IF(INDEX(選手一覧!$E$7:$E$2738,$F1273)="","",INDEX(選手一覧!$E$7:$E$2738,$F1273))</f>
        <v/>
      </c>
      <c r="I1273" s="11" t="str">
        <f aca="false">IF(INDEX(選手一覧!$H$7:$H$2738,$F1273)="","",INDEX(選手一覧!$H$7:$H$2738,$F1273))</f>
        <v/>
      </c>
      <c r="J1273" s="12" t="str">
        <f aca="false">IF(INDEX(選手一覧!$I$7:$I$2738,$F1273)="","",INDEX(選手一覧!$I$7:$I$2738,$F1273))</f>
        <v/>
      </c>
    </row>
    <row r="1274" customFormat="false" ht="15" hidden="false" customHeight="false" outlineLevel="0" collapsed="false">
      <c r="A1274" s="12" t="n">
        <v>1270</v>
      </c>
      <c r="B1274" s="10" t="s">
        <v>3640</v>
      </c>
      <c r="C1274" s="10" t="s">
        <v>1038</v>
      </c>
      <c r="D1274" s="11" t="n">
        <v>0.00836458333333333</v>
      </c>
      <c r="E1274" s="18" t="n">
        <f aca="false">ROUND((D1274-$D$5)*86400,2)</f>
        <v>183.68</v>
      </c>
      <c r="F1274" s="12" t="n">
        <v>2579</v>
      </c>
      <c r="G1274" s="11" t="str">
        <f aca="false">IF(INDEX(選手一覧!$D$7:$D$2738,$F1274)="","",INDEX(選手一覧!$D$7:$D$2738,$F1274))</f>
        <v/>
      </c>
      <c r="H1274" s="12" t="str">
        <f aca="false">IF(INDEX(選手一覧!$E$7:$E$2738,$F1274)="","",INDEX(選手一覧!$E$7:$E$2738,$F1274))</f>
        <v/>
      </c>
      <c r="I1274" s="11" t="str">
        <f aca="false">IF(INDEX(選手一覧!$H$7:$H$2738,$F1274)="","",INDEX(選手一覧!$H$7:$H$2738,$F1274))</f>
        <v/>
      </c>
      <c r="J1274" s="12" t="str">
        <f aca="false">IF(INDEX(選手一覧!$I$7:$I$2738,$F1274)="","",INDEX(選手一覧!$I$7:$I$2738,$F1274))</f>
        <v/>
      </c>
    </row>
    <row r="1275" customFormat="false" ht="15" hidden="false" customHeight="false" outlineLevel="0" collapsed="false">
      <c r="A1275" s="12" t="n">
        <v>1271</v>
      </c>
      <c r="B1275" s="10" t="s">
        <v>3641</v>
      </c>
      <c r="C1275" s="10" t="s">
        <v>2449</v>
      </c>
      <c r="D1275" s="11" t="n">
        <v>0.00836678240740741</v>
      </c>
      <c r="E1275" s="18" t="n">
        <f aca="false">ROUND((D1275-$D$5)*86400,2)</f>
        <v>183.87</v>
      </c>
      <c r="F1275" s="12" t="n">
        <v>2580</v>
      </c>
      <c r="G1275" s="11" t="str">
        <f aca="false">IF(INDEX(選手一覧!$D$7:$D$2738,$F1275)="","",INDEX(選手一覧!$D$7:$D$2738,$F1275))</f>
        <v/>
      </c>
      <c r="H1275" s="12" t="str">
        <f aca="false">IF(INDEX(選手一覧!$E$7:$E$2738,$F1275)="","",INDEX(選手一覧!$E$7:$E$2738,$F1275))</f>
        <v/>
      </c>
      <c r="I1275" s="11" t="str">
        <f aca="false">IF(INDEX(選手一覧!$H$7:$H$2738,$F1275)="","",INDEX(選手一覧!$H$7:$H$2738,$F1275))</f>
        <v/>
      </c>
      <c r="J1275" s="12" t="str">
        <f aca="false">IF(INDEX(選手一覧!$I$7:$I$2738,$F1275)="","",INDEX(選手一覧!$I$7:$I$2738,$F1275))</f>
        <v/>
      </c>
    </row>
    <row r="1276" customFormat="false" ht="15" hidden="false" customHeight="false" outlineLevel="0" collapsed="false">
      <c r="A1276" s="12" t="n">
        <v>1272</v>
      </c>
      <c r="B1276" s="10" t="s">
        <v>3643</v>
      </c>
      <c r="C1276" s="10" t="s">
        <v>3644</v>
      </c>
      <c r="D1276" s="11" t="n">
        <v>0.00837384259259259</v>
      </c>
      <c r="E1276" s="18" t="n">
        <f aca="false">ROUND((D1276-$D$5)*86400,2)</f>
        <v>184.48</v>
      </c>
      <c r="F1276" s="12" t="n">
        <v>2582</v>
      </c>
      <c r="G1276" s="11" t="str">
        <f aca="false">IF(INDEX(選手一覧!$D$7:$D$2738,$F1276)="","",INDEX(選手一覧!$D$7:$D$2738,$F1276))</f>
        <v/>
      </c>
      <c r="H1276" s="12" t="str">
        <f aca="false">IF(INDEX(選手一覧!$E$7:$E$2738,$F1276)="","",INDEX(選手一覧!$E$7:$E$2738,$F1276))</f>
        <v/>
      </c>
      <c r="I1276" s="11" t="str">
        <f aca="false">IF(INDEX(選手一覧!$H$7:$H$2738,$F1276)="","",INDEX(選手一覧!$H$7:$H$2738,$F1276))</f>
        <v/>
      </c>
      <c r="J1276" s="12" t="str">
        <f aca="false">IF(INDEX(選手一覧!$I$7:$I$2738,$F1276)="","",INDEX(選手一覧!$I$7:$I$2738,$F1276))</f>
        <v/>
      </c>
    </row>
    <row r="1277" customFormat="false" ht="15" hidden="false" customHeight="false" outlineLevel="0" collapsed="false">
      <c r="A1277" s="12" t="n">
        <v>1273</v>
      </c>
      <c r="B1277" s="10" t="s">
        <v>3647</v>
      </c>
      <c r="C1277" s="10" t="s">
        <v>3191</v>
      </c>
      <c r="D1277" s="11" t="n">
        <v>0.00837731481481482</v>
      </c>
      <c r="E1277" s="18" t="n">
        <f aca="false">ROUND((D1277-$D$5)*86400,2)</f>
        <v>184.78</v>
      </c>
      <c r="F1277" s="12" t="n">
        <v>2585</v>
      </c>
      <c r="G1277" s="11" t="str">
        <f aca="false">IF(INDEX(選手一覧!$D$7:$D$2738,$F1277)="","",INDEX(選手一覧!$D$7:$D$2738,$F1277))</f>
        <v/>
      </c>
      <c r="H1277" s="12" t="str">
        <f aca="false">IF(INDEX(選手一覧!$E$7:$E$2738,$F1277)="","",INDEX(選手一覧!$E$7:$E$2738,$F1277))</f>
        <v/>
      </c>
      <c r="I1277" s="11" t="str">
        <f aca="false">IF(INDEX(選手一覧!$H$7:$H$2738,$F1277)="","",INDEX(選手一覧!$H$7:$H$2738,$F1277))</f>
        <v/>
      </c>
      <c r="J1277" s="12" t="str">
        <f aca="false">IF(INDEX(選手一覧!$I$7:$I$2738,$F1277)="","",INDEX(選手一覧!$I$7:$I$2738,$F1277))</f>
        <v/>
      </c>
    </row>
    <row r="1278" customFormat="false" ht="15" hidden="false" customHeight="false" outlineLevel="0" collapsed="false">
      <c r="A1278" s="12" t="n">
        <v>1274</v>
      </c>
      <c r="B1278" s="10" t="s">
        <v>3649</v>
      </c>
      <c r="C1278" s="10" t="s">
        <v>3650</v>
      </c>
      <c r="D1278" s="11" t="n">
        <v>0.00838032407407407</v>
      </c>
      <c r="E1278" s="18" t="n">
        <f aca="false">ROUND((D1278-$D$5)*86400,2)</f>
        <v>185.04</v>
      </c>
      <c r="F1278" s="12" t="n">
        <v>2587</v>
      </c>
      <c r="G1278" s="11" t="str">
        <f aca="false">IF(INDEX(選手一覧!$D$7:$D$2738,$F1278)="","",INDEX(選手一覧!$D$7:$D$2738,$F1278))</f>
        <v/>
      </c>
      <c r="H1278" s="12" t="str">
        <f aca="false">IF(INDEX(選手一覧!$E$7:$E$2738,$F1278)="","",INDEX(選手一覧!$E$7:$E$2738,$F1278))</f>
        <v/>
      </c>
      <c r="I1278" s="11" t="str">
        <f aca="false">IF(INDEX(選手一覧!$H$7:$H$2738,$F1278)="","",INDEX(選手一覧!$H$7:$H$2738,$F1278))</f>
        <v/>
      </c>
      <c r="J1278" s="12" t="str">
        <f aca="false">IF(INDEX(選手一覧!$I$7:$I$2738,$F1278)="","",INDEX(選手一覧!$I$7:$I$2738,$F1278))</f>
        <v/>
      </c>
    </row>
    <row r="1279" customFormat="false" ht="15" hidden="false" customHeight="false" outlineLevel="0" collapsed="false">
      <c r="A1279" s="12" t="n">
        <v>1275</v>
      </c>
      <c r="B1279" s="10" t="s">
        <v>3652</v>
      </c>
      <c r="C1279" s="10" t="s">
        <v>3653</v>
      </c>
      <c r="D1279" s="11" t="n">
        <v>0.00838055555555556</v>
      </c>
      <c r="E1279" s="18" t="n">
        <f aca="false">ROUND((D1279-$D$5)*86400,2)</f>
        <v>185.06</v>
      </c>
      <c r="F1279" s="12" t="n">
        <v>2589</v>
      </c>
      <c r="G1279" s="11" t="str">
        <f aca="false">IF(INDEX(選手一覧!$D$7:$D$2738,$F1279)="","",INDEX(選手一覧!$D$7:$D$2738,$F1279))</f>
        <v/>
      </c>
      <c r="H1279" s="12" t="str">
        <f aca="false">IF(INDEX(選手一覧!$E$7:$E$2738,$F1279)="","",INDEX(選手一覧!$E$7:$E$2738,$F1279))</f>
        <v/>
      </c>
      <c r="I1279" s="11" t="str">
        <f aca="false">IF(INDEX(選手一覧!$H$7:$H$2738,$F1279)="","",INDEX(選手一覧!$H$7:$H$2738,$F1279))</f>
        <v/>
      </c>
      <c r="J1279" s="12" t="str">
        <f aca="false">IF(INDEX(選手一覧!$I$7:$I$2738,$F1279)="","",INDEX(選手一覧!$I$7:$I$2738,$F1279))</f>
        <v/>
      </c>
    </row>
    <row r="1280" customFormat="false" ht="15" hidden="false" customHeight="false" outlineLevel="0" collapsed="false">
      <c r="A1280" s="12" t="n">
        <v>1276</v>
      </c>
      <c r="B1280" s="10" t="s">
        <v>3655</v>
      </c>
      <c r="C1280" s="10" t="s">
        <v>1668</v>
      </c>
      <c r="D1280" s="11" t="n">
        <v>0.00838773148148148</v>
      </c>
      <c r="E1280" s="18" t="n">
        <f aca="false">ROUND((D1280-$D$5)*86400,2)</f>
        <v>185.68</v>
      </c>
      <c r="F1280" s="12" t="n">
        <v>2591</v>
      </c>
      <c r="G1280" s="11" t="str">
        <f aca="false">IF(INDEX(選手一覧!$D$7:$D$2738,$F1280)="","",INDEX(選手一覧!$D$7:$D$2738,$F1280))</f>
        <v/>
      </c>
      <c r="H1280" s="12" t="str">
        <f aca="false">IF(INDEX(選手一覧!$E$7:$E$2738,$F1280)="","",INDEX(選手一覧!$E$7:$E$2738,$F1280))</f>
        <v/>
      </c>
      <c r="I1280" s="11" t="str">
        <f aca="false">IF(INDEX(選手一覧!$H$7:$H$2738,$F1280)="","",INDEX(選手一覧!$H$7:$H$2738,$F1280))</f>
        <v/>
      </c>
      <c r="J1280" s="12" t="str">
        <f aca="false">IF(INDEX(選手一覧!$I$7:$I$2738,$F1280)="","",INDEX(選手一覧!$I$7:$I$2738,$F1280))</f>
        <v/>
      </c>
    </row>
    <row r="1281" customFormat="false" ht="15" hidden="false" customHeight="false" outlineLevel="0" collapsed="false">
      <c r="A1281" s="12" t="n">
        <v>1277</v>
      </c>
      <c r="B1281" s="10" t="s">
        <v>3657</v>
      </c>
      <c r="C1281" s="10" t="s">
        <v>3658</v>
      </c>
      <c r="D1281" s="11" t="n">
        <v>0.00838796296296296</v>
      </c>
      <c r="E1281" s="18" t="n">
        <f aca="false">ROUND((D1281-$D$5)*86400,2)</f>
        <v>185.7</v>
      </c>
      <c r="F1281" s="12" t="n">
        <v>2593</v>
      </c>
      <c r="G1281" s="11" t="str">
        <f aca="false">IF(INDEX(選手一覧!$D$7:$D$2738,$F1281)="","",INDEX(選手一覧!$D$7:$D$2738,$F1281))</f>
        <v/>
      </c>
      <c r="H1281" s="12" t="str">
        <f aca="false">IF(INDEX(選手一覧!$E$7:$E$2738,$F1281)="","",INDEX(選手一覧!$E$7:$E$2738,$F1281))</f>
        <v/>
      </c>
      <c r="I1281" s="11" t="str">
        <f aca="false">IF(INDEX(選手一覧!$H$7:$H$2738,$F1281)="","",INDEX(選手一覧!$H$7:$H$2738,$F1281))</f>
        <v/>
      </c>
      <c r="J1281" s="12" t="str">
        <f aca="false">IF(INDEX(選手一覧!$I$7:$I$2738,$F1281)="","",INDEX(選手一覧!$I$7:$I$2738,$F1281))</f>
        <v/>
      </c>
    </row>
    <row r="1282" customFormat="false" ht="15" hidden="false" customHeight="false" outlineLevel="0" collapsed="false">
      <c r="A1282" s="12" t="n">
        <v>1278</v>
      </c>
      <c r="B1282" s="10" t="s">
        <v>3659</v>
      </c>
      <c r="C1282" s="10" t="s">
        <v>2917</v>
      </c>
      <c r="D1282" s="11" t="n">
        <v>0.00839259259259259</v>
      </c>
      <c r="E1282" s="18" t="n">
        <f aca="false">ROUND((D1282-$D$5)*86400,2)</f>
        <v>186.1</v>
      </c>
      <c r="F1282" s="12" t="n">
        <v>2594</v>
      </c>
      <c r="G1282" s="11" t="str">
        <f aca="false">IF(INDEX(選手一覧!$D$7:$D$2738,$F1282)="","",INDEX(選手一覧!$D$7:$D$2738,$F1282))</f>
        <v/>
      </c>
      <c r="H1282" s="12" t="str">
        <f aca="false">IF(INDEX(選手一覧!$E$7:$E$2738,$F1282)="","",INDEX(選手一覧!$E$7:$E$2738,$F1282))</f>
        <v/>
      </c>
      <c r="I1282" s="11" t="str">
        <f aca="false">IF(INDEX(選手一覧!$H$7:$H$2738,$F1282)="","",INDEX(選手一覧!$H$7:$H$2738,$F1282))</f>
        <v/>
      </c>
      <c r="J1282" s="12" t="str">
        <f aca="false">IF(INDEX(選手一覧!$I$7:$I$2738,$F1282)="","",INDEX(選手一覧!$I$7:$I$2738,$F1282))</f>
        <v/>
      </c>
    </row>
    <row r="1283" customFormat="false" ht="15" hidden="false" customHeight="false" outlineLevel="0" collapsed="false">
      <c r="A1283" s="12" t="n">
        <v>1279</v>
      </c>
      <c r="B1283" s="10" t="s">
        <v>3660</v>
      </c>
      <c r="C1283" s="10" t="s">
        <v>3661</v>
      </c>
      <c r="D1283" s="11" t="n">
        <v>0.00840277777777778</v>
      </c>
      <c r="E1283" s="18" t="n">
        <f aca="false">ROUND((D1283-$D$5)*86400,2)</f>
        <v>186.98</v>
      </c>
      <c r="F1283" s="12" t="n">
        <v>2595</v>
      </c>
      <c r="G1283" s="11" t="str">
        <f aca="false">IF(INDEX(選手一覧!$D$7:$D$2738,$F1283)="","",INDEX(選手一覧!$D$7:$D$2738,$F1283))</f>
        <v/>
      </c>
      <c r="H1283" s="12" t="str">
        <f aca="false">IF(INDEX(選手一覧!$E$7:$E$2738,$F1283)="","",INDEX(選手一覧!$E$7:$E$2738,$F1283))</f>
        <v/>
      </c>
      <c r="I1283" s="11" t="str">
        <f aca="false">IF(INDEX(選手一覧!$H$7:$H$2738,$F1283)="","",INDEX(選手一覧!$H$7:$H$2738,$F1283))</f>
        <v/>
      </c>
      <c r="J1283" s="12" t="str">
        <f aca="false">IF(INDEX(選手一覧!$I$7:$I$2738,$F1283)="","",INDEX(選手一覧!$I$7:$I$2738,$F1283))</f>
        <v/>
      </c>
    </row>
    <row r="1284" customFormat="false" ht="15" hidden="false" customHeight="false" outlineLevel="0" collapsed="false">
      <c r="A1284" s="12" t="n">
        <v>1280</v>
      </c>
      <c r="B1284" s="10" t="s">
        <v>3663</v>
      </c>
      <c r="C1284" s="10" t="s">
        <v>3664</v>
      </c>
      <c r="D1284" s="11" t="n">
        <v>0.00840300925925926</v>
      </c>
      <c r="E1284" s="18" t="n">
        <f aca="false">ROUND((D1284-$D$5)*86400,2)</f>
        <v>187</v>
      </c>
      <c r="F1284" s="12" t="n">
        <v>2597</v>
      </c>
      <c r="G1284" s="11" t="str">
        <f aca="false">IF(INDEX(選手一覧!$D$7:$D$2738,$F1284)="","",INDEX(選手一覧!$D$7:$D$2738,$F1284))</f>
        <v/>
      </c>
      <c r="H1284" s="12" t="str">
        <f aca="false">IF(INDEX(選手一覧!$E$7:$E$2738,$F1284)="","",INDEX(選手一覧!$E$7:$E$2738,$F1284))</f>
        <v/>
      </c>
      <c r="I1284" s="11" t="str">
        <f aca="false">IF(INDEX(選手一覧!$H$7:$H$2738,$F1284)="","",INDEX(選手一覧!$H$7:$H$2738,$F1284))</f>
        <v/>
      </c>
      <c r="J1284" s="12" t="str">
        <f aca="false">IF(INDEX(選手一覧!$I$7:$I$2738,$F1284)="","",INDEX(選手一覧!$I$7:$I$2738,$F1284))</f>
        <v/>
      </c>
    </row>
    <row r="1285" customFormat="false" ht="15" hidden="false" customHeight="false" outlineLevel="0" collapsed="false">
      <c r="A1285" s="12" t="n">
        <v>1281</v>
      </c>
      <c r="B1285" s="10" t="s">
        <v>3666</v>
      </c>
      <c r="C1285" s="10" t="s">
        <v>3667</v>
      </c>
      <c r="D1285" s="11" t="n">
        <v>0.00840636574074074</v>
      </c>
      <c r="E1285" s="18" t="n">
        <f aca="false">ROUND((D1285-$D$5)*86400,2)</f>
        <v>187.29</v>
      </c>
      <c r="F1285" s="12" t="n">
        <v>2599</v>
      </c>
      <c r="G1285" s="11" t="str">
        <f aca="false">IF(INDEX(選手一覧!$D$7:$D$2738,$F1285)="","",INDEX(選手一覧!$D$7:$D$2738,$F1285))</f>
        <v/>
      </c>
      <c r="H1285" s="12" t="str">
        <f aca="false">IF(INDEX(選手一覧!$E$7:$E$2738,$F1285)="","",INDEX(選手一覧!$E$7:$E$2738,$F1285))</f>
        <v/>
      </c>
      <c r="I1285" s="11" t="str">
        <f aca="false">IF(INDEX(選手一覧!$H$7:$H$2738,$F1285)="","",INDEX(選手一覧!$H$7:$H$2738,$F1285))</f>
        <v/>
      </c>
      <c r="J1285" s="12" t="str">
        <f aca="false">IF(INDEX(選手一覧!$I$7:$I$2738,$F1285)="","",INDEX(選手一覧!$I$7:$I$2738,$F1285))</f>
        <v/>
      </c>
    </row>
    <row r="1286" customFormat="false" ht="15" hidden="false" customHeight="false" outlineLevel="0" collapsed="false">
      <c r="A1286" s="12" t="n">
        <v>1282</v>
      </c>
      <c r="B1286" s="10" t="s">
        <v>3023</v>
      </c>
      <c r="C1286" s="10" t="s">
        <v>1504</v>
      </c>
      <c r="D1286" s="11" t="n">
        <v>0.00840659722222222</v>
      </c>
      <c r="E1286" s="18" t="n">
        <f aca="false">ROUND((D1286-$D$5)*86400,2)</f>
        <v>187.31</v>
      </c>
      <c r="F1286" s="12" t="n">
        <v>2119</v>
      </c>
      <c r="G1286" s="11" t="n">
        <f aca="false">IF(INDEX(選手一覧!$D$7:$D$2738,$F1286)="","",INDEX(選手一覧!$D$7:$D$2738,$F1286))</f>
        <v>0.0109677083333333</v>
      </c>
      <c r="H1286" s="12" t="n">
        <f aca="false">IF(INDEX(選手一覧!$E$7:$E$2738,$F1286)="","",INDEX(選手一覧!$E$7:$E$2738,$F1286))</f>
        <v>1031</v>
      </c>
      <c r="I1286" s="11" t="str">
        <f aca="false">IF(INDEX(選手一覧!$H$7:$H$2738,$F1286)="","",INDEX(選手一覧!$H$7:$H$2738,$F1286))</f>
        <v/>
      </c>
      <c r="J1286" s="12" t="str">
        <f aca="false">IF(INDEX(選手一覧!$I$7:$I$2738,$F1286)="","",INDEX(選手一覧!$I$7:$I$2738,$F1286))</f>
        <v/>
      </c>
    </row>
    <row r="1287" customFormat="false" ht="15" hidden="false" customHeight="false" outlineLevel="0" collapsed="false">
      <c r="A1287" s="12" t="n">
        <v>1283</v>
      </c>
      <c r="B1287" s="10" t="s">
        <v>3669</v>
      </c>
      <c r="C1287" s="10" t="s">
        <v>2219</v>
      </c>
      <c r="D1287" s="11" t="n">
        <v>0.00840972222222222</v>
      </c>
      <c r="E1287" s="18" t="n">
        <f aca="false">ROUND((D1287-$D$5)*86400,2)</f>
        <v>187.58</v>
      </c>
      <c r="F1287" s="12" t="n">
        <v>2601</v>
      </c>
      <c r="G1287" s="11" t="str">
        <f aca="false">IF(INDEX(選手一覧!$D$7:$D$2738,$F1287)="","",INDEX(選手一覧!$D$7:$D$2738,$F1287))</f>
        <v/>
      </c>
      <c r="H1287" s="12" t="str">
        <f aca="false">IF(INDEX(選手一覧!$E$7:$E$2738,$F1287)="","",INDEX(選手一覧!$E$7:$E$2738,$F1287))</f>
        <v/>
      </c>
      <c r="I1287" s="11" t="str">
        <f aca="false">IF(INDEX(選手一覧!$H$7:$H$2738,$F1287)="","",INDEX(選手一覧!$H$7:$H$2738,$F1287))</f>
        <v/>
      </c>
      <c r="J1287" s="12" t="str">
        <f aca="false">IF(INDEX(選手一覧!$I$7:$I$2738,$F1287)="","",INDEX(選手一覧!$I$7:$I$2738,$F1287))</f>
        <v/>
      </c>
    </row>
    <row r="1288" customFormat="false" ht="15" hidden="false" customHeight="false" outlineLevel="0" collapsed="false">
      <c r="A1288" s="12" t="n">
        <v>1284</v>
      </c>
      <c r="B1288" s="10" t="s">
        <v>3670</v>
      </c>
      <c r="C1288" s="10" t="s">
        <v>2100</v>
      </c>
      <c r="D1288" s="11" t="n">
        <v>0.00841435185185185</v>
      </c>
      <c r="E1288" s="18" t="n">
        <f aca="false">ROUND((D1288-$D$5)*86400,2)</f>
        <v>187.98</v>
      </c>
      <c r="F1288" s="12" t="n">
        <v>2602</v>
      </c>
      <c r="G1288" s="11" t="str">
        <f aca="false">IF(INDEX(選手一覧!$D$7:$D$2738,$F1288)="","",INDEX(選手一覧!$D$7:$D$2738,$F1288))</f>
        <v/>
      </c>
      <c r="H1288" s="12" t="str">
        <f aca="false">IF(INDEX(選手一覧!$E$7:$E$2738,$F1288)="","",INDEX(選手一覧!$E$7:$E$2738,$F1288))</f>
        <v/>
      </c>
      <c r="I1288" s="11" t="str">
        <f aca="false">IF(INDEX(選手一覧!$H$7:$H$2738,$F1288)="","",INDEX(選手一覧!$H$7:$H$2738,$F1288))</f>
        <v/>
      </c>
      <c r="J1288" s="12" t="str">
        <f aca="false">IF(INDEX(選手一覧!$I$7:$I$2738,$F1288)="","",INDEX(選手一覧!$I$7:$I$2738,$F1288))</f>
        <v/>
      </c>
    </row>
    <row r="1289" customFormat="false" ht="15" hidden="false" customHeight="false" outlineLevel="0" collapsed="false">
      <c r="A1289" s="12" t="n">
        <v>1285</v>
      </c>
      <c r="B1289" s="10" t="s">
        <v>3671</v>
      </c>
      <c r="C1289" s="10" t="s">
        <v>3453</v>
      </c>
      <c r="D1289" s="11" t="n">
        <v>0.00842025462962963</v>
      </c>
      <c r="E1289" s="18" t="n">
        <f aca="false">ROUND((D1289-$D$5)*86400,2)</f>
        <v>188.49</v>
      </c>
      <c r="F1289" s="12" t="n">
        <v>2603</v>
      </c>
      <c r="G1289" s="11" t="str">
        <f aca="false">IF(INDEX(選手一覧!$D$7:$D$2738,$F1289)="","",INDEX(選手一覧!$D$7:$D$2738,$F1289))</f>
        <v/>
      </c>
      <c r="H1289" s="12" t="str">
        <f aca="false">IF(INDEX(選手一覧!$E$7:$E$2738,$F1289)="","",INDEX(選手一覧!$E$7:$E$2738,$F1289))</f>
        <v/>
      </c>
      <c r="I1289" s="11" t="str">
        <f aca="false">IF(INDEX(選手一覧!$H$7:$H$2738,$F1289)="","",INDEX(選手一覧!$H$7:$H$2738,$F1289))</f>
        <v/>
      </c>
      <c r="J1289" s="12" t="str">
        <f aca="false">IF(INDEX(選手一覧!$I$7:$I$2738,$F1289)="","",INDEX(選手一覧!$I$7:$I$2738,$F1289))</f>
        <v/>
      </c>
    </row>
    <row r="1290" customFormat="false" ht="15" hidden="false" customHeight="false" outlineLevel="0" collapsed="false">
      <c r="A1290" s="12" t="n">
        <v>1286</v>
      </c>
      <c r="B1290" s="10" t="s">
        <v>3673</v>
      </c>
      <c r="C1290" s="10" t="s">
        <v>3674</v>
      </c>
      <c r="D1290" s="11" t="n">
        <v>0.00843078703703704</v>
      </c>
      <c r="E1290" s="18" t="n">
        <f aca="false">ROUND((D1290-$D$5)*86400,2)</f>
        <v>189.4</v>
      </c>
      <c r="F1290" s="12" t="n">
        <v>2605</v>
      </c>
      <c r="G1290" s="11" t="str">
        <f aca="false">IF(INDEX(選手一覧!$D$7:$D$2738,$F1290)="","",INDEX(選手一覧!$D$7:$D$2738,$F1290))</f>
        <v/>
      </c>
      <c r="H1290" s="12" t="str">
        <f aca="false">IF(INDEX(選手一覧!$E$7:$E$2738,$F1290)="","",INDEX(選手一覧!$E$7:$E$2738,$F1290))</f>
        <v/>
      </c>
      <c r="I1290" s="11" t="str">
        <f aca="false">IF(INDEX(選手一覧!$H$7:$H$2738,$F1290)="","",INDEX(選手一覧!$H$7:$H$2738,$F1290))</f>
        <v/>
      </c>
      <c r="J1290" s="12" t="str">
        <f aca="false">IF(INDEX(選手一覧!$I$7:$I$2738,$F1290)="","",INDEX(選手一覧!$I$7:$I$2738,$F1290))</f>
        <v/>
      </c>
    </row>
    <row r="1291" customFormat="false" ht="15" hidden="false" customHeight="false" outlineLevel="0" collapsed="false">
      <c r="A1291" s="12" t="n">
        <v>1287</v>
      </c>
      <c r="B1291" s="10" t="s">
        <v>3676</v>
      </c>
      <c r="C1291" s="10" t="s">
        <v>1390</v>
      </c>
      <c r="D1291" s="11" t="n">
        <v>0.00843171296296296</v>
      </c>
      <c r="E1291" s="18" t="n">
        <f aca="false">ROUND((D1291-$D$5)*86400,2)</f>
        <v>189.48</v>
      </c>
      <c r="F1291" s="12" t="n">
        <v>2607</v>
      </c>
      <c r="G1291" s="11" t="str">
        <f aca="false">IF(INDEX(選手一覧!$D$7:$D$2738,$F1291)="","",INDEX(選手一覧!$D$7:$D$2738,$F1291))</f>
        <v/>
      </c>
      <c r="H1291" s="12" t="str">
        <f aca="false">IF(INDEX(選手一覧!$E$7:$E$2738,$F1291)="","",INDEX(選手一覧!$E$7:$E$2738,$F1291))</f>
        <v/>
      </c>
      <c r="I1291" s="11" t="str">
        <f aca="false">IF(INDEX(選手一覧!$H$7:$H$2738,$F1291)="","",INDEX(選手一覧!$H$7:$H$2738,$F1291))</f>
        <v/>
      </c>
      <c r="J1291" s="12" t="str">
        <f aca="false">IF(INDEX(選手一覧!$I$7:$I$2738,$F1291)="","",INDEX(選手一覧!$I$7:$I$2738,$F1291))</f>
        <v/>
      </c>
    </row>
    <row r="1292" customFormat="false" ht="15" hidden="false" customHeight="false" outlineLevel="0" collapsed="false">
      <c r="A1292" s="12" t="n">
        <v>1288</v>
      </c>
      <c r="B1292" s="10" t="s">
        <v>3678</v>
      </c>
      <c r="C1292" s="10" t="s">
        <v>3679</v>
      </c>
      <c r="D1292" s="11" t="n">
        <v>0.00843275462962963</v>
      </c>
      <c r="E1292" s="18" t="n">
        <f aca="false">ROUND((D1292-$D$5)*86400,2)</f>
        <v>189.57</v>
      </c>
      <c r="F1292" s="12" t="n">
        <v>2609</v>
      </c>
      <c r="G1292" s="11" t="str">
        <f aca="false">IF(INDEX(選手一覧!$D$7:$D$2738,$F1292)="","",INDEX(選手一覧!$D$7:$D$2738,$F1292))</f>
        <v/>
      </c>
      <c r="H1292" s="12" t="str">
        <f aca="false">IF(INDEX(選手一覧!$E$7:$E$2738,$F1292)="","",INDEX(選手一覧!$E$7:$E$2738,$F1292))</f>
        <v/>
      </c>
      <c r="I1292" s="11" t="str">
        <f aca="false">IF(INDEX(選手一覧!$H$7:$H$2738,$F1292)="","",INDEX(選手一覧!$H$7:$H$2738,$F1292))</f>
        <v/>
      </c>
      <c r="J1292" s="12" t="str">
        <f aca="false">IF(INDEX(選手一覧!$I$7:$I$2738,$F1292)="","",INDEX(選手一覧!$I$7:$I$2738,$F1292))</f>
        <v/>
      </c>
    </row>
    <row r="1293" customFormat="false" ht="15" hidden="false" customHeight="false" outlineLevel="0" collapsed="false">
      <c r="A1293" s="12" t="n">
        <v>1289</v>
      </c>
      <c r="B1293" s="10" t="s">
        <v>3682</v>
      </c>
      <c r="C1293" s="10" t="s">
        <v>2409</v>
      </c>
      <c r="D1293" s="11" t="n">
        <v>0.00843541666666667</v>
      </c>
      <c r="E1293" s="18" t="n">
        <f aca="false">ROUND((D1293-$D$5)*86400,2)</f>
        <v>189.8</v>
      </c>
      <c r="F1293" s="12" t="n">
        <v>2612</v>
      </c>
      <c r="G1293" s="11" t="str">
        <f aca="false">IF(INDEX(選手一覧!$D$7:$D$2738,$F1293)="","",INDEX(選手一覧!$D$7:$D$2738,$F1293))</f>
        <v/>
      </c>
      <c r="H1293" s="12" t="str">
        <f aca="false">IF(INDEX(選手一覧!$E$7:$E$2738,$F1293)="","",INDEX(選手一覧!$E$7:$E$2738,$F1293))</f>
        <v/>
      </c>
      <c r="I1293" s="11" t="str">
        <f aca="false">IF(INDEX(選手一覧!$H$7:$H$2738,$F1293)="","",INDEX(選手一覧!$H$7:$H$2738,$F1293))</f>
        <v/>
      </c>
      <c r="J1293" s="12" t="str">
        <f aca="false">IF(INDEX(選手一覧!$I$7:$I$2738,$F1293)="","",INDEX(選手一覧!$I$7:$I$2738,$F1293))</f>
        <v/>
      </c>
    </row>
    <row r="1294" customFormat="false" ht="15" hidden="false" customHeight="false" outlineLevel="0" collapsed="false">
      <c r="A1294" s="12" t="n">
        <v>1290</v>
      </c>
      <c r="B1294" s="10" t="s">
        <v>3683</v>
      </c>
      <c r="C1294" s="10" t="s">
        <v>1040</v>
      </c>
      <c r="D1294" s="11" t="n">
        <v>0.00844826388888889</v>
      </c>
      <c r="E1294" s="18" t="n">
        <f aca="false">ROUND((D1294-$D$5)*86400,2)</f>
        <v>190.91</v>
      </c>
      <c r="F1294" s="12" t="n">
        <v>2613</v>
      </c>
      <c r="G1294" s="11" t="str">
        <f aca="false">IF(INDEX(選手一覧!$D$7:$D$2738,$F1294)="","",INDEX(選手一覧!$D$7:$D$2738,$F1294))</f>
        <v/>
      </c>
      <c r="H1294" s="12" t="str">
        <f aca="false">IF(INDEX(選手一覧!$E$7:$E$2738,$F1294)="","",INDEX(選手一覧!$E$7:$E$2738,$F1294))</f>
        <v/>
      </c>
      <c r="I1294" s="11" t="str">
        <f aca="false">IF(INDEX(選手一覧!$H$7:$H$2738,$F1294)="","",INDEX(選手一覧!$H$7:$H$2738,$F1294))</f>
        <v/>
      </c>
      <c r="J1294" s="12" t="str">
        <f aca="false">IF(INDEX(選手一覧!$I$7:$I$2738,$F1294)="","",INDEX(選手一覧!$I$7:$I$2738,$F1294))</f>
        <v/>
      </c>
    </row>
    <row r="1295" customFormat="false" ht="15" hidden="false" customHeight="false" outlineLevel="0" collapsed="false">
      <c r="A1295" s="12" t="n">
        <v>1291</v>
      </c>
      <c r="B1295" s="10" t="s">
        <v>3684</v>
      </c>
      <c r="C1295" s="10" t="s">
        <v>3685</v>
      </c>
      <c r="D1295" s="11" t="n">
        <v>0.00844872685185185</v>
      </c>
      <c r="E1295" s="18" t="n">
        <f aca="false">ROUND((D1295-$D$5)*86400,2)</f>
        <v>190.95</v>
      </c>
      <c r="F1295" s="12" t="n">
        <v>2614</v>
      </c>
      <c r="G1295" s="11" t="str">
        <f aca="false">IF(INDEX(選手一覧!$D$7:$D$2738,$F1295)="","",INDEX(選手一覧!$D$7:$D$2738,$F1295))</f>
        <v/>
      </c>
      <c r="H1295" s="12" t="str">
        <f aca="false">IF(INDEX(選手一覧!$E$7:$E$2738,$F1295)="","",INDEX(選手一覧!$E$7:$E$2738,$F1295))</f>
        <v/>
      </c>
      <c r="I1295" s="11" t="str">
        <f aca="false">IF(INDEX(選手一覧!$H$7:$H$2738,$F1295)="","",INDEX(選手一覧!$H$7:$H$2738,$F1295))</f>
        <v/>
      </c>
      <c r="J1295" s="12" t="str">
        <f aca="false">IF(INDEX(選手一覧!$I$7:$I$2738,$F1295)="","",INDEX(選手一覧!$I$7:$I$2738,$F1295))</f>
        <v/>
      </c>
    </row>
    <row r="1296" customFormat="false" ht="15" hidden="false" customHeight="false" outlineLevel="0" collapsed="false">
      <c r="A1296" s="12" t="n">
        <v>1292</v>
      </c>
      <c r="B1296" s="10" t="s">
        <v>3687</v>
      </c>
      <c r="C1296" s="10" t="s">
        <v>3688</v>
      </c>
      <c r="D1296" s="11" t="n">
        <v>0.00845428240740741</v>
      </c>
      <c r="E1296" s="18" t="n">
        <f aca="false">ROUND((D1296-$D$5)*86400,2)</f>
        <v>191.43</v>
      </c>
      <c r="F1296" s="12" t="n">
        <v>2616</v>
      </c>
      <c r="G1296" s="11" t="str">
        <f aca="false">IF(INDEX(選手一覧!$D$7:$D$2738,$F1296)="","",INDEX(選手一覧!$D$7:$D$2738,$F1296))</f>
        <v/>
      </c>
      <c r="H1296" s="12" t="str">
        <f aca="false">IF(INDEX(選手一覧!$E$7:$E$2738,$F1296)="","",INDEX(選手一覧!$E$7:$E$2738,$F1296))</f>
        <v/>
      </c>
      <c r="I1296" s="11" t="str">
        <f aca="false">IF(INDEX(選手一覧!$H$7:$H$2738,$F1296)="","",INDEX(選手一覧!$H$7:$H$2738,$F1296))</f>
        <v/>
      </c>
      <c r="J1296" s="12" t="str">
        <f aca="false">IF(INDEX(選手一覧!$I$7:$I$2738,$F1296)="","",INDEX(選手一覧!$I$7:$I$2738,$F1296))</f>
        <v/>
      </c>
    </row>
    <row r="1297" customFormat="false" ht="15" hidden="false" customHeight="false" outlineLevel="0" collapsed="false">
      <c r="A1297" s="12" t="n">
        <v>1293</v>
      </c>
      <c r="B1297" s="10" t="s">
        <v>3690</v>
      </c>
      <c r="C1297" s="10" t="s">
        <v>401</v>
      </c>
      <c r="D1297" s="11" t="n">
        <v>0.00846331018518519</v>
      </c>
      <c r="E1297" s="18" t="n">
        <f aca="false">ROUND((D1297-$D$5)*86400,2)</f>
        <v>192.21</v>
      </c>
      <c r="F1297" s="12" t="n">
        <v>2618</v>
      </c>
      <c r="G1297" s="11" t="str">
        <f aca="false">IF(INDEX(選手一覧!$D$7:$D$2738,$F1297)="","",INDEX(選手一覧!$D$7:$D$2738,$F1297))</f>
        <v/>
      </c>
      <c r="H1297" s="12" t="str">
        <f aca="false">IF(INDEX(選手一覧!$E$7:$E$2738,$F1297)="","",INDEX(選手一覧!$E$7:$E$2738,$F1297))</f>
        <v/>
      </c>
      <c r="I1297" s="11" t="str">
        <f aca="false">IF(INDEX(選手一覧!$H$7:$H$2738,$F1297)="","",INDEX(選手一覧!$H$7:$H$2738,$F1297))</f>
        <v/>
      </c>
      <c r="J1297" s="12" t="str">
        <f aca="false">IF(INDEX(選手一覧!$I$7:$I$2738,$F1297)="","",INDEX(選手一覧!$I$7:$I$2738,$F1297))</f>
        <v/>
      </c>
    </row>
    <row r="1298" customFormat="false" ht="15" hidden="false" customHeight="false" outlineLevel="0" collapsed="false">
      <c r="A1298" s="12" t="n">
        <v>1294</v>
      </c>
      <c r="B1298" s="10" t="s">
        <v>3692</v>
      </c>
      <c r="C1298" s="10" t="s">
        <v>702</v>
      </c>
      <c r="D1298" s="11" t="n">
        <v>0.00846493055555556</v>
      </c>
      <c r="E1298" s="18" t="n">
        <f aca="false">ROUND((D1298-$D$5)*86400,2)</f>
        <v>192.35</v>
      </c>
      <c r="F1298" s="12" t="n">
        <v>2620</v>
      </c>
      <c r="G1298" s="11" t="str">
        <f aca="false">IF(INDEX(選手一覧!$D$7:$D$2738,$F1298)="","",INDEX(選手一覧!$D$7:$D$2738,$F1298))</f>
        <v/>
      </c>
      <c r="H1298" s="12" t="str">
        <f aca="false">IF(INDEX(選手一覧!$E$7:$E$2738,$F1298)="","",INDEX(選手一覧!$E$7:$E$2738,$F1298))</f>
        <v/>
      </c>
      <c r="I1298" s="11" t="str">
        <f aca="false">IF(INDEX(選手一覧!$H$7:$H$2738,$F1298)="","",INDEX(選手一覧!$H$7:$H$2738,$F1298))</f>
        <v/>
      </c>
      <c r="J1298" s="12" t="str">
        <f aca="false">IF(INDEX(選手一覧!$I$7:$I$2738,$F1298)="","",INDEX(選手一覧!$I$7:$I$2738,$F1298))</f>
        <v/>
      </c>
    </row>
    <row r="1299" customFormat="false" ht="15" hidden="false" customHeight="false" outlineLevel="0" collapsed="false">
      <c r="A1299" s="12" t="n">
        <v>1295</v>
      </c>
      <c r="B1299" s="10" t="s">
        <v>3693</v>
      </c>
      <c r="C1299" s="10" t="s">
        <v>97</v>
      </c>
      <c r="D1299" s="11" t="n">
        <v>0.00847916666666667</v>
      </c>
      <c r="E1299" s="18" t="n">
        <f aca="false">ROUND((D1299-$D$5)*86400,2)</f>
        <v>193.58</v>
      </c>
      <c r="F1299" s="12" t="n">
        <v>2621</v>
      </c>
      <c r="G1299" s="11" t="str">
        <f aca="false">IF(INDEX(選手一覧!$D$7:$D$2738,$F1299)="","",INDEX(選手一覧!$D$7:$D$2738,$F1299))</f>
        <v/>
      </c>
      <c r="H1299" s="12" t="str">
        <f aca="false">IF(INDEX(選手一覧!$E$7:$E$2738,$F1299)="","",INDEX(選手一覧!$E$7:$E$2738,$F1299))</f>
        <v/>
      </c>
      <c r="I1299" s="11" t="str">
        <f aca="false">IF(INDEX(選手一覧!$H$7:$H$2738,$F1299)="","",INDEX(選手一覧!$H$7:$H$2738,$F1299))</f>
        <v/>
      </c>
      <c r="J1299" s="12" t="str">
        <f aca="false">IF(INDEX(選手一覧!$I$7:$I$2738,$F1299)="","",INDEX(選手一覧!$I$7:$I$2738,$F1299))</f>
        <v/>
      </c>
    </row>
    <row r="1300" customFormat="false" ht="15" hidden="false" customHeight="false" outlineLevel="0" collapsed="false">
      <c r="A1300" s="12" t="n">
        <v>1296</v>
      </c>
      <c r="B1300" s="10" t="s">
        <v>3694</v>
      </c>
      <c r="C1300" s="10" t="s">
        <v>2438</v>
      </c>
      <c r="D1300" s="11" t="n">
        <v>0.0084880787037037</v>
      </c>
      <c r="E1300" s="18" t="n">
        <f aca="false">ROUND((D1300-$D$5)*86400,2)</f>
        <v>194.35</v>
      </c>
      <c r="F1300" s="12" t="n">
        <v>2622</v>
      </c>
      <c r="G1300" s="11" t="str">
        <f aca="false">IF(INDEX(選手一覧!$D$7:$D$2738,$F1300)="","",INDEX(選手一覧!$D$7:$D$2738,$F1300))</f>
        <v/>
      </c>
      <c r="H1300" s="12" t="str">
        <f aca="false">IF(INDEX(選手一覧!$E$7:$E$2738,$F1300)="","",INDEX(選手一覧!$E$7:$E$2738,$F1300))</f>
        <v/>
      </c>
      <c r="I1300" s="11" t="str">
        <f aca="false">IF(INDEX(選手一覧!$H$7:$H$2738,$F1300)="","",INDEX(選手一覧!$H$7:$H$2738,$F1300))</f>
        <v/>
      </c>
      <c r="J1300" s="12" t="str">
        <f aca="false">IF(INDEX(選手一覧!$I$7:$I$2738,$F1300)="","",INDEX(選手一覧!$I$7:$I$2738,$F1300))</f>
        <v/>
      </c>
    </row>
    <row r="1301" customFormat="false" ht="15" hidden="false" customHeight="false" outlineLevel="0" collapsed="false">
      <c r="A1301" s="12" t="n">
        <v>1297</v>
      </c>
      <c r="B1301" s="10" t="s">
        <v>3695</v>
      </c>
      <c r="C1301" s="10" t="s">
        <v>3667</v>
      </c>
      <c r="D1301" s="11" t="n">
        <v>0.0084880787037037</v>
      </c>
      <c r="E1301" s="18" t="n">
        <f aca="false">ROUND((D1301-$D$5)*86400,2)</f>
        <v>194.35</v>
      </c>
      <c r="F1301" s="12" t="n">
        <v>2623</v>
      </c>
      <c r="G1301" s="11" t="str">
        <f aca="false">IF(INDEX(選手一覧!$D$7:$D$2738,$F1301)="","",INDEX(選手一覧!$D$7:$D$2738,$F1301))</f>
        <v/>
      </c>
      <c r="H1301" s="12" t="str">
        <f aca="false">IF(INDEX(選手一覧!$E$7:$E$2738,$F1301)="","",INDEX(選手一覧!$E$7:$E$2738,$F1301))</f>
        <v/>
      </c>
      <c r="I1301" s="11" t="str">
        <f aca="false">IF(INDEX(選手一覧!$H$7:$H$2738,$F1301)="","",INDEX(選手一覧!$H$7:$H$2738,$F1301))</f>
        <v/>
      </c>
      <c r="J1301" s="12" t="str">
        <f aca="false">IF(INDEX(選手一覧!$I$7:$I$2738,$F1301)="","",INDEX(選手一覧!$I$7:$I$2738,$F1301))</f>
        <v/>
      </c>
    </row>
    <row r="1302" customFormat="false" ht="15" hidden="false" customHeight="false" outlineLevel="0" collapsed="false">
      <c r="A1302" s="12" t="n">
        <v>1298</v>
      </c>
      <c r="B1302" s="10" t="s">
        <v>3696</v>
      </c>
      <c r="C1302" s="10" t="s">
        <v>3697</v>
      </c>
      <c r="D1302" s="11" t="n">
        <v>0.0084931712962963</v>
      </c>
      <c r="E1302" s="18" t="n">
        <f aca="false">ROUND((D1302-$D$5)*86400,2)</f>
        <v>194.79</v>
      </c>
      <c r="F1302" s="12" t="n">
        <v>2624</v>
      </c>
      <c r="G1302" s="11" t="str">
        <f aca="false">IF(INDEX(選手一覧!$D$7:$D$2738,$F1302)="","",INDEX(選手一覧!$D$7:$D$2738,$F1302))</f>
        <v/>
      </c>
      <c r="H1302" s="12" t="str">
        <f aca="false">IF(INDEX(選手一覧!$E$7:$E$2738,$F1302)="","",INDEX(選手一覧!$E$7:$E$2738,$F1302))</f>
        <v/>
      </c>
      <c r="I1302" s="11" t="str">
        <f aca="false">IF(INDEX(選手一覧!$H$7:$H$2738,$F1302)="","",INDEX(選手一覧!$H$7:$H$2738,$F1302))</f>
        <v/>
      </c>
      <c r="J1302" s="12" t="str">
        <f aca="false">IF(INDEX(選手一覧!$I$7:$I$2738,$F1302)="","",INDEX(選手一覧!$I$7:$I$2738,$F1302))</f>
        <v/>
      </c>
    </row>
    <row r="1303" customFormat="false" ht="15" hidden="false" customHeight="false" outlineLevel="0" collapsed="false">
      <c r="A1303" s="12" t="n">
        <v>1299</v>
      </c>
      <c r="B1303" s="10" t="s">
        <v>3698</v>
      </c>
      <c r="C1303" s="10" t="s">
        <v>614</v>
      </c>
      <c r="D1303" s="11" t="n">
        <v>0.00849803240740741</v>
      </c>
      <c r="E1303" s="18" t="n">
        <f aca="false">ROUND((D1303-$D$5)*86400,2)</f>
        <v>195.21</v>
      </c>
      <c r="F1303" s="12" t="n">
        <v>2625</v>
      </c>
      <c r="G1303" s="11" t="str">
        <f aca="false">IF(INDEX(選手一覧!$D$7:$D$2738,$F1303)="","",INDEX(選手一覧!$D$7:$D$2738,$F1303))</f>
        <v/>
      </c>
      <c r="H1303" s="12" t="str">
        <f aca="false">IF(INDEX(選手一覧!$E$7:$E$2738,$F1303)="","",INDEX(選手一覧!$E$7:$E$2738,$F1303))</f>
        <v/>
      </c>
      <c r="I1303" s="11" t="str">
        <f aca="false">IF(INDEX(選手一覧!$H$7:$H$2738,$F1303)="","",INDEX(選手一覧!$H$7:$H$2738,$F1303))</f>
        <v/>
      </c>
      <c r="J1303" s="12" t="str">
        <f aca="false">IF(INDEX(選手一覧!$I$7:$I$2738,$F1303)="","",INDEX(選手一覧!$I$7:$I$2738,$F1303))</f>
        <v/>
      </c>
    </row>
    <row r="1304" customFormat="false" ht="15" hidden="false" customHeight="false" outlineLevel="0" collapsed="false">
      <c r="A1304" s="12" t="n">
        <v>1300</v>
      </c>
      <c r="B1304" s="10" t="s">
        <v>3700</v>
      </c>
      <c r="C1304" s="10" t="s">
        <v>3701</v>
      </c>
      <c r="D1304" s="11" t="n">
        <v>0.00849953703703704</v>
      </c>
      <c r="E1304" s="18" t="n">
        <f aca="false">ROUND((D1304-$D$5)*86400,2)</f>
        <v>195.34</v>
      </c>
      <c r="F1304" s="12" t="n">
        <v>2627</v>
      </c>
      <c r="G1304" s="11" t="str">
        <f aca="false">IF(INDEX(選手一覧!$D$7:$D$2738,$F1304)="","",INDEX(選手一覧!$D$7:$D$2738,$F1304))</f>
        <v/>
      </c>
      <c r="H1304" s="12" t="str">
        <f aca="false">IF(INDEX(選手一覧!$E$7:$E$2738,$F1304)="","",INDEX(選手一覧!$E$7:$E$2738,$F1304))</f>
        <v/>
      </c>
      <c r="I1304" s="11" t="str">
        <f aca="false">IF(INDEX(選手一覧!$H$7:$H$2738,$F1304)="","",INDEX(選手一覧!$H$7:$H$2738,$F1304))</f>
        <v/>
      </c>
      <c r="J1304" s="12" t="str">
        <f aca="false">IF(INDEX(選手一覧!$I$7:$I$2738,$F1304)="","",INDEX(選手一覧!$I$7:$I$2738,$F1304))</f>
        <v/>
      </c>
    </row>
    <row r="1305" customFormat="false" ht="15" hidden="false" customHeight="false" outlineLevel="0" collapsed="false">
      <c r="A1305" s="12" t="n">
        <v>1301</v>
      </c>
      <c r="B1305" s="10" t="s">
        <v>3702</v>
      </c>
      <c r="C1305" s="10" t="s">
        <v>3703</v>
      </c>
      <c r="D1305" s="11" t="n">
        <v>0.00851365740740741</v>
      </c>
      <c r="E1305" s="18" t="n">
        <f aca="false">ROUND((D1305-$D$5)*86400,2)</f>
        <v>196.56</v>
      </c>
      <c r="F1305" s="12" t="n">
        <v>2628</v>
      </c>
      <c r="G1305" s="11" t="str">
        <f aca="false">IF(INDEX(選手一覧!$D$7:$D$2738,$F1305)="","",INDEX(選手一覧!$D$7:$D$2738,$F1305))</f>
        <v/>
      </c>
      <c r="H1305" s="12" t="str">
        <f aca="false">IF(INDEX(選手一覧!$E$7:$E$2738,$F1305)="","",INDEX(選手一覧!$E$7:$E$2738,$F1305))</f>
        <v/>
      </c>
      <c r="I1305" s="11" t="str">
        <f aca="false">IF(INDEX(選手一覧!$H$7:$H$2738,$F1305)="","",INDEX(選手一覧!$H$7:$H$2738,$F1305))</f>
        <v/>
      </c>
      <c r="J1305" s="12" t="str">
        <f aca="false">IF(INDEX(選手一覧!$I$7:$I$2738,$F1305)="","",INDEX(選手一覧!$I$7:$I$2738,$F1305))</f>
        <v/>
      </c>
    </row>
    <row r="1306" customFormat="false" ht="15" hidden="false" customHeight="false" outlineLevel="0" collapsed="false">
      <c r="A1306" s="12" t="n">
        <v>1302</v>
      </c>
      <c r="B1306" s="10" t="s">
        <v>3705</v>
      </c>
      <c r="C1306" s="10" t="s">
        <v>3706</v>
      </c>
      <c r="D1306" s="11" t="n">
        <v>0.00853715277777778</v>
      </c>
      <c r="E1306" s="18" t="n">
        <f aca="false">ROUND((D1306-$D$5)*86400,2)</f>
        <v>198.59</v>
      </c>
      <c r="F1306" s="12" t="n">
        <v>2630</v>
      </c>
      <c r="G1306" s="11" t="str">
        <f aca="false">IF(INDEX(選手一覧!$D$7:$D$2738,$F1306)="","",INDEX(選手一覧!$D$7:$D$2738,$F1306))</f>
        <v/>
      </c>
      <c r="H1306" s="12" t="str">
        <f aca="false">IF(INDEX(選手一覧!$E$7:$E$2738,$F1306)="","",INDEX(選手一覧!$E$7:$E$2738,$F1306))</f>
        <v/>
      </c>
      <c r="I1306" s="11" t="str">
        <f aca="false">IF(INDEX(選手一覧!$H$7:$H$2738,$F1306)="","",INDEX(選手一覧!$H$7:$H$2738,$F1306))</f>
        <v/>
      </c>
      <c r="J1306" s="12" t="str">
        <f aca="false">IF(INDEX(選手一覧!$I$7:$I$2738,$F1306)="","",INDEX(選手一覧!$I$7:$I$2738,$F1306))</f>
        <v/>
      </c>
    </row>
    <row r="1307" customFormat="false" ht="15" hidden="false" customHeight="false" outlineLevel="0" collapsed="false">
      <c r="A1307" s="12" t="n">
        <v>1303</v>
      </c>
      <c r="B1307" s="10" t="s">
        <v>3708</v>
      </c>
      <c r="C1307" s="10" t="s">
        <v>3709</v>
      </c>
      <c r="D1307" s="11" t="n">
        <v>0.0085380787037037</v>
      </c>
      <c r="E1307" s="18" t="n">
        <f aca="false">ROUND((D1307-$D$5)*86400,2)</f>
        <v>198.67</v>
      </c>
      <c r="F1307" s="12" t="n">
        <v>2632</v>
      </c>
      <c r="G1307" s="11" t="str">
        <f aca="false">IF(INDEX(選手一覧!$D$7:$D$2738,$F1307)="","",INDEX(選手一覧!$D$7:$D$2738,$F1307))</f>
        <v/>
      </c>
      <c r="H1307" s="12" t="str">
        <f aca="false">IF(INDEX(選手一覧!$E$7:$E$2738,$F1307)="","",INDEX(選手一覧!$E$7:$E$2738,$F1307))</f>
        <v/>
      </c>
      <c r="I1307" s="11" t="str">
        <f aca="false">IF(INDEX(選手一覧!$H$7:$H$2738,$F1307)="","",INDEX(選手一覧!$H$7:$H$2738,$F1307))</f>
        <v/>
      </c>
      <c r="J1307" s="12" t="str">
        <f aca="false">IF(INDEX(選手一覧!$I$7:$I$2738,$F1307)="","",INDEX(選手一覧!$I$7:$I$2738,$F1307))</f>
        <v/>
      </c>
    </row>
    <row r="1308" customFormat="false" ht="15" hidden="false" customHeight="false" outlineLevel="0" collapsed="false">
      <c r="A1308" s="12" t="n">
        <v>1304</v>
      </c>
      <c r="B1308" s="10" t="s">
        <v>3712</v>
      </c>
      <c r="C1308" s="10" t="s">
        <v>3713</v>
      </c>
      <c r="D1308" s="11" t="n">
        <v>0.00854097222222222</v>
      </c>
      <c r="E1308" s="18" t="n">
        <f aca="false">ROUND((D1308-$D$5)*86400,2)</f>
        <v>198.92</v>
      </c>
      <c r="F1308" s="12" t="n">
        <v>2634</v>
      </c>
      <c r="G1308" s="11" t="str">
        <f aca="false">IF(INDEX(選手一覧!$D$7:$D$2738,$F1308)="","",INDEX(選手一覧!$D$7:$D$2738,$F1308))</f>
        <v/>
      </c>
      <c r="H1308" s="12" t="str">
        <f aca="false">IF(INDEX(選手一覧!$E$7:$E$2738,$F1308)="","",INDEX(選手一覧!$E$7:$E$2738,$F1308))</f>
        <v/>
      </c>
      <c r="I1308" s="11" t="str">
        <f aca="false">IF(INDEX(選手一覧!$H$7:$H$2738,$F1308)="","",INDEX(選手一覧!$H$7:$H$2738,$F1308))</f>
        <v/>
      </c>
      <c r="J1308" s="12" t="str">
        <f aca="false">IF(INDEX(選手一覧!$I$7:$I$2738,$F1308)="","",INDEX(選手一覧!$I$7:$I$2738,$F1308))</f>
        <v/>
      </c>
    </row>
    <row r="1309" customFormat="false" ht="15" hidden="false" customHeight="false" outlineLevel="0" collapsed="false">
      <c r="A1309" s="12" t="n">
        <v>1305</v>
      </c>
      <c r="B1309" s="10" t="s">
        <v>3716</v>
      </c>
      <c r="C1309" s="10" t="s">
        <v>3717</v>
      </c>
      <c r="D1309" s="11" t="n">
        <v>0.00855069444444444</v>
      </c>
      <c r="E1309" s="18" t="n">
        <f aca="false">ROUND((D1309-$D$5)*86400,2)</f>
        <v>199.76</v>
      </c>
      <c r="F1309" s="12" t="n">
        <v>2636</v>
      </c>
      <c r="G1309" s="11" t="str">
        <f aca="false">IF(INDEX(選手一覧!$D$7:$D$2738,$F1309)="","",INDEX(選手一覧!$D$7:$D$2738,$F1309))</f>
        <v/>
      </c>
      <c r="H1309" s="12" t="str">
        <f aca="false">IF(INDEX(選手一覧!$E$7:$E$2738,$F1309)="","",INDEX(選手一覧!$E$7:$E$2738,$F1309))</f>
        <v/>
      </c>
      <c r="I1309" s="11" t="str">
        <f aca="false">IF(INDEX(選手一覧!$H$7:$H$2738,$F1309)="","",INDEX(選手一覧!$H$7:$H$2738,$F1309))</f>
        <v/>
      </c>
      <c r="J1309" s="12" t="str">
        <f aca="false">IF(INDEX(選手一覧!$I$7:$I$2738,$F1309)="","",INDEX(選手一覧!$I$7:$I$2738,$F1309))</f>
        <v/>
      </c>
    </row>
    <row r="1310" customFormat="false" ht="15" hidden="false" customHeight="false" outlineLevel="0" collapsed="false">
      <c r="A1310" s="12" t="n">
        <v>1306</v>
      </c>
      <c r="B1310" s="10" t="s">
        <v>3718</v>
      </c>
      <c r="C1310" s="10" t="s">
        <v>3706</v>
      </c>
      <c r="D1310" s="11" t="n">
        <v>0.00856365740740741</v>
      </c>
      <c r="E1310" s="18" t="n">
        <f aca="false">ROUND((D1310-$D$5)*86400,2)</f>
        <v>200.88</v>
      </c>
      <c r="F1310" s="12" t="n">
        <v>2637</v>
      </c>
      <c r="G1310" s="11" t="str">
        <f aca="false">IF(INDEX(選手一覧!$D$7:$D$2738,$F1310)="","",INDEX(選手一覧!$D$7:$D$2738,$F1310))</f>
        <v/>
      </c>
      <c r="H1310" s="12" t="str">
        <f aca="false">IF(INDEX(選手一覧!$E$7:$E$2738,$F1310)="","",INDEX(選手一覧!$E$7:$E$2738,$F1310))</f>
        <v/>
      </c>
      <c r="I1310" s="11" t="str">
        <f aca="false">IF(INDEX(選手一覧!$H$7:$H$2738,$F1310)="","",INDEX(選手一覧!$H$7:$H$2738,$F1310))</f>
        <v/>
      </c>
      <c r="J1310" s="12" t="str">
        <f aca="false">IF(INDEX(選手一覧!$I$7:$I$2738,$F1310)="","",INDEX(選手一覧!$I$7:$I$2738,$F1310))</f>
        <v/>
      </c>
    </row>
    <row r="1311" customFormat="false" ht="15" hidden="false" customHeight="false" outlineLevel="0" collapsed="false">
      <c r="A1311" s="12" t="n">
        <v>1307</v>
      </c>
      <c r="B1311" s="10" t="s">
        <v>3721</v>
      </c>
      <c r="C1311" s="10" t="s">
        <v>3722</v>
      </c>
      <c r="D1311" s="11" t="n">
        <v>0.00856388888888889</v>
      </c>
      <c r="E1311" s="18" t="n">
        <f aca="false">ROUND((D1311-$D$5)*86400,2)</f>
        <v>200.9</v>
      </c>
      <c r="F1311" s="12" t="n">
        <v>2639</v>
      </c>
      <c r="G1311" s="11" t="str">
        <f aca="false">IF(INDEX(選手一覧!$D$7:$D$2738,$F1311)="","",INDEX(選手一覧!$D$7:$D$2738,$F1311))</f>
        <v/>
      </c>
      <c r="H1311" s="12" t="str">
        <f aca="false">IF(INDEX(選手一覧!$E$7:$E$2738,$F1311)="","",INDEX(選手一覧!$E$7:$E$2738,$F1311))</f>
        <v/>
      </c>
      <c r="I1311" s="11" t="str">
        <f aca="false">IF(INDEX(選手一覧!$H$7:$H$2738,$F1311)="","",INDEX(選手一覧!$H$7:$H$2738,$F1311))</f>
        <v/>
      </c>
      <c r="J1311" s="12" t="str">
        <f aca="false">IF(INDEX(選手一覧!$I$7:$I$2738,$F1311)="","",INDEX(選手一覧!$I$7:$I$2738,$F1311))</f>
        <v/>
      </c>
    </row>
    <row r="1312" customFormat="false" ht="15" hidden="false" customHeight="false" outlineLevel="0" collapsed="false">
      <c r="A1312" s="12" t="n">
        <v>1308</v>
      </c>
      <c r="B1312" s="10" t="s">
        <v>3723</v>
      </c>
      <c r="C1312" s="10" t="s">
        <v>3724</v>
      </c>
      <c r="D1312" s="11" t="n">
        <v>0.00856435185185185</v>
      </c>
      <c r="E1312" s="18" t="n">
        <f aca="false">ROUND((D1312-$D$5)*86400,2)</f>
        <v>200.94</v>
      </c>
      <c r="F1312" s="12" t="n">
        <v>2640</v>
      </c>
      <c r="G1312" s="11" t="str">
        <f aca="false">IF(INDEX(選手一覧!$D$7:$D$2738,$F1312)="","",INDEX(選手一覧!$D$7:$D$2738,$F1312))</f>
        <v/>
      </c>
      <c r="H1312" s="12" t="str">
        <f aca="false">IF(INDEX(選手一覧!$E$7:$E$2738,$F1312)="","",INDEX(選手一覧!$E$7:$E$2738,$F1312))</f>
        <v/>
      </c>
      <c r="I1312" s="11" t="str">
        <f aca="false">IF(INDEX(選手一覧!$H$7:$H$2738,$F1312)="","",INDEX(選手一覧!$H$7:$H$2738,$F1312))</f>
        <v/>
      </c>
      <c r="J1312" s="12" t="str">
        <f aca="false">IF(INDEX(選手一覧!$I$7:$I$2738,$F1312)="","",INDEX(選手一覧!$I$7:$I$2738,$F1312))</f>
        <v/>
      </c>
    </row>
    <row r="1313" customFormat="false" ht="15" hidden="false" customHeight="false" outlineLevel="0" collapsed="false">
      <c r="A1313" s="12" t="n">
        <v>1309</v>
      </c>
      <c r="B1313" s="10" t="s">
        <v>3726</v>
      </c>
      <c r="C1313" s="10" t="s">
        <v>3727</v>
      </c>
      <c r="D1313" s="11" t="n">
        <v>0.0085693287037037</v>
      </c>
      <c r="E1313" s="18" t="n">
        <f aca="false">ROUND((D1313-$D$5)*86400,2)</f>
        <v>201.37</v>
      </c>
      <c r="F1313" s="12" t="n">
        <v>2642</v>
      </c>
      <c r="G1313" s="11" t="str">
        <f aca="false">IF(INDEX(選手一覧!$D$7:$D$2738,$F1313)="","",INDEX(選手一覧!$D$7:$D$2738,$F1313))</f>
        <v/>
      </c>
      <c r="H1313" s="12" t="str">
        <f aca="false">IF(INDEX(選手一覧!$E$7:$E$2738,$F1313)="","",INDEX(選手一覧!$E$7:$E$2738,$F1313))</f>
        <v/>
      </c>
      <c r="I1313" s="11" t="str">
        <f aca="false">IF(INDEX(選手一覧!$H$7:$H$2738,$F1313)="","",INDEX(選手一覧!$H$7:$H$2738,$F1313))</f>
        <v/>
      </c>
      <c r="J1313" s="12" t="str">
        <f aca="false">IF(INDEX(選手一覧!$I$7:$I$2738,$F1313)="","",INDEX(選手一覧!$I$7:$I$2738,$F1313))</f>
        <v/>
      </c>
    </row>
    <row r="1314" customFormat="false" ht="15" hidden="false" customHeight="false" outlineLevel="0" collapsed="false">
      <c r="A1314" s="12" t="n">
        <v>1310</v>
      </c>
      <c r="B1314" s="10" t="s">
        <v>3730</v>
      </c>
      <c r="C1314" s="10" t="s">
        <v>3731</v>
      </c>
      <c r="D1314" s="11" t="n">
        <v>0.00857025462962963</v>
      </c>
      <c r="E1314" s="18" t="n">
        <f aca="false">ROUND((D1314-$D$5)*86400,2)</f>
        <v>201.45</v>
      </c>
      <c r="F1314" s="12" t="n">
        <v>2644</v>
      </c>
      <c r="G1314" s="11" t="str">
        <f aca="false">IF(INDEX(選手一覧!$D$7:$D$2738,$F1314)="","",INDEX(選手一覧!$D$7:$D$2738,$F1314))</f>
        <v/>
      </c>
      <c r="H1314" s="12" t="str">
        <f aca="false">IF(INDEX(選手一覧!$E$7:$E$2738,$F1314)="","",INDEX(選手一覧!$E$7:$E$2738,$F1314))</f>
        <v/>
      </c>
      <c r="I1314" s="11" t="str">
        <f aca="false">IF(INDEX(選手一覧!$H$7:$H$2738,$F1314)="","",INDEX(選手一覧!$H$7:$H$2738,$F1314))</f>
        <v/>
      </c>
      <c r="J1314" s="12" t="str">
        <f aca="false">IF(INDEX(選手一覧!$I$7:$I$2738,$F1314)="","",INDEX(選手一覧!$I$7:$I$2738,$F1314))</f>
        <v/>
      </c>
    </row>
    <row r="1315" customFormat="false" ht="15" hidden="false" customHeight="false" outlineLevel="0" collapsed="false">
      <c r="A1315" s="12" t="n">
        <v>1311</v>
      </c>
      <c r="B1315" s="10" t="s">
        <v>3732</v>
      </c>
      <c r="C1315" s="10" t="s">
        <v>3733</v>
      </c>
      <c r="D1315" s="11" t="n">
        <v>0.00857673611111111</v>
      </c>
      <c r="E1315" s="18" t="n">
        <f aca="false">ROUND((D1315-$D$5)*86400,2)</f>
        <v>202.01</v>
      </c>
      <c r="F1315" s="12" t="n">
        <v>2645</v>
      </c>
      <c r="G1315" s="11" t="str">
        <f aca="false">IF(INDEX(選手一覧!$D$7:$D$2738,$F1315)="","",INDEX(選手一覧!$D$7:$D$2738,$F1315))</f>
        <v/>
      </c>
      <c r="H1315" s="12" t="str">
        <f aca="false">IF(INDEX(選手一覧!$E$7:$E$2738,$F1315)="","",INDEX(選手一覧!$E$7:$E$2738,$F1315))</f>
        <v/>
      </c>
      <c r="I1315" s="11" t="str">
        <f aca="false">IF(INDEX(選手一覧!$H$7:$H$2738,$F1315)="","",INDEX(選手一覧!$H$7:$H$2738,$F1315))</f>
        <v/>
      </c>
      <c r="J1315" s="12" t="str">
        <f aca="false">IF(INDEX(選手一覧!$I$7:$I$2738,$F1315)="","",INDEX(選手一覧!$I$7:$I$2738,$F1315))</f>
        <v/>
      </c>
    </row>
    <row r="1316" customFormat="false" ht="15" hidden="false" customHeight="false" outlineLevel="0" collapsed="false">
      <c r="A1316" s="12" t="n">
        <v>1312</v>
      </c>
      <c r="B1316" s="10" t="s">
        <v>3734</v>
      </c>
      <c r="C1316" s="10" t="s">
        <v>1125</v>
      </c>
      <c r="D1316" s="11" t="n">
        <v>0.00857997685185185</v>
      </c>
      <c r="E1316" s="18" t="n">
        <f aca="false">ROUND((D1316-$D$5)*86400,2)</f>
        <v>202.29</v>
      </c>
      <c r="F1316" s="12" t="n">
        <v>2646</v>
      </c>
      <c r="G1316" s="11" t="str">
        <f aca="false">IF(INDEX(選手一覧!$D$7:$D$2738,$F1316)="","",INDEX(選手一覧!$D$7:$D$2738,$F1316))</f>
        <v/>
      </c>
      <c r="H1316" s="12" t="str">
        <f aca="false">IF(INDEX(選手一覧!$E$7:$E$2738,$F1316)="","",INDEX(選手一覧!$E$7:$E$2738,$F1316))</f>
        <v/>
      </c>
      <c r="I1316" s="11" t="str">
        <f aca="false">IF(INDEX(選手一覧!$H$7:$H$2738,$F1316)="","",INDEX(選手一覧!$H$7:$H$2738,$F1316))</f>
        <v/>
      </c>
      <c r="J1316" s="12" t="str">
        <f aca="false">IF(INDEX(選手一覧!$I$7:$I$2738,$F1316)="","",INDEX(選手一覧!$I$7:$I$2738,$F1316))</f>
        <v/>
      </c>
    </row>
    <row r="1317" customFormat="false" ht="15" hidden="false" customHeight="false" outlineLevel="0" collapsed="false">
      <c r="A1317" s="12" t="n">
        <v>1313</v>
      </c>
      <c r="B1317" s="10" t="s">
        <v>3737</v>
      </c>
      <c r="C1317" s="10" t="s">
        <v>2698</v>
      </c>
      <c r="D1317" s="11" t="n">
        <v>0.00858298611111111</v>
      </c>
      <c r="E1317" s="18" t="n">
        <f aca="false">ROUND((D1317-$D$5)*86400,2)</f>
        <v>202.55</v>
      </c>
      <c r="F1317" s="12" t="n">
        <v>2648</v>
      </c>
      <c r="G1317" s="11" t="str">
        <f aca="false">IF(INDEX(選手一覧!$D$7:$D$2738,$F1317)="","",INDEX(選手一覧!$D$7:$D$2738,$F1317))</f>
        <v/>
      </c>
      <c r="H1317" s="12" t="str">
        <f aca="false">IF(INDEX(選手一覧!$E$7:$E$2738,$F1317)="","",INDEX(選手一覧!$E$7:$E$2738,$F1317))</f>
        <v/>
      </c>
      <c r="I1317" s="11" t="str">
        <f aca="false">IF(INDEX(選手一覧!$H$7:$H$2738,$F1317)="","",INDEX(選手一覧!$H$7:$H$2738,$F1317))</f>
        <v/>
      </c>
      <c r="J1317" s="12" t="str">
        <f aca="false">IF(INDEX(選手一覧!$I$7:$I$2738,$F1317)="","",INDEX(選手一覧!$I$7:$I$2738,$F1317))</f>
        <v/>
      </c>
    </row>
    <row r="1318" customFormat="false" ht="15" hidden="false" customHeight="false" outlineLevel="0" collapsed="false">
      <c r="A1318" s="12" t="n">
        <v>1314</v>
      </c>
      <c r="B1318" s="10" t="s">
        <v>3738</v>
      </c>
      <c r="C1318" s="10" t="s">
        <v>3739</v>
      </c>
      <c r="D1318" s="11" t="n">
        <v>0.00860219907407408</v>
      </c>
      <c r="E1318" s="18" t="n">
        <f aca="false">ROUND((D1318-$D$5)*86400,2)</f>
        <v>204.21</v>
      </c>
      <c r="F1318" s="12" t="n">
        <v>2649</v>
      </c>
      <c r="G1318" s="11" t="str">
        <f aca="false">IF(INDEX(選手一覧!$D$7:$D$2738,$F1318)="","",INDEX(選手一覧!$D$7:$D$2738,$F1318))</f>
        <v/>
      </c>
      <c r="H1318" s="12" t="str">
        <f aca="false">IF(INDEX(選手一覧!$E$7:$E$2738,$F1318)="","",INDEX(選手一覧!$E$7:$E$2738,$F1318))</f>
        <v/>
      </c>
      <c r="I1318" s="11" t="str">
        <f aca="false">IF(INDEX(選手一覧!$H$7:$H$2738,$F1318)="","",INDEX(選手一覧!$H$7:$H$2738,$F1318))</f>
        <v/>
      </c>
      <c r="J1318" s="12" t="str">
        <f aca="false">IF(INDEX(選手一覧!$I$7:$I$2738,$F1318)="","",INDEX(選手一覧!$I$7:$I$2738,$F1318))</f>
        <v/>
      </c>
    </row>
    <row r="1319" customFormat="false" ht="15" hidden="false" customHeight="false" outlineLevel="0" collapsed="false">
      <c r="A1319" s="12" t="n">
        <v>1315</v>
      </c>
      <c r="B1319" s="10" t="s">
        <v>3742</v>
      </c>
      <c r="C1319" s="10" t="s">
        <v>954</v>
      </c>
      <c r="D1319" s="11" t="n">
        <v>0.008609375</v>
      </c>
      <c r="E1319" s="18" t="n">
        <f aca="false">ROUND((D1319-$D$5)*86400,2)</f>
        <v>204.83</v>
      </c>
      <c r="F1319" s="12" t="n">
        <v>2651</v>
      </c>
      <c r="G1319" s="11" t="str">
        <f aca="false">IF(INDEX(選手一覧!$D$7:$D$2738,$F1319)="","",INDEX(選手一覧!$D$7:$D$2738,$F1319))</f>
        <v/>
      </c>
      <c r="H1319" s="12" t="str">
        <f aca="false">IF(INDEX(選手一覧!$E$7:$E$2738,$F1319)="","",INDEX(選手一覧!$E$7:$E$2738,$F1319))</f>
        <v/>
      </c>
      <c r="I1319" s="11" t="str">
        <f aca="false">IF(INDEX(選手一覧!$H$7:$H$2738,$F1319)="","",INDEX(選手一覧!$H$7:$H$2738,$F1319))</f>
        <v/>
      </c>
      <c r="J1319" s="12" t="str">
        <f aca="false">IF(INDEX(選手一覧!$I$7:$I$2738,$F1319)="","",INDEX(選手一覧!$I$7:$I$2738,$F1319))</f>
        <v/>
      </c>
    </row>
    <row r="1320" customFormat="false" ht="15" hidden="false" customHeight="false" outlineLevel="0" collapsed="false">
      <c r="A1320" s="12" t="n">
        <v>1316</v>
      </c>
      <c r="B1320" s="10" t="s">
        <v>3743</v>
      </c>
      <c r="C1320" s="10" t="s">
        <v>2442</v>
      </c>
      <c r="D1320" s="11" t="n">
        <v>0.00861840277777778</v>
      </c>
      <c r="E1320" s="18" t="n">
        <f aca="false">ROUND((D1320-$D$5)*86400,2)</f>
        <v>205.61</v>
      </c>
      <c r="F1320" s="12" t="n">
        <v>2652</v>
      </c>
      <c r="G1320" s="11" t="str">
        <f aca="false">IF(INDEX(選手一覧!$D$7:$D$2738,$F1320)="","",INDEX(選手一覧!$D$7:$D$2738,$F1320))</f>
        <v/>
      </c>
      <c r="H1320" s="12" t="str">
        <f aca="false">IF(INDEX(選手一覧!$E$7:$E$2738,$F1320)="","",INDEX(選手一覧!$E$7:$E$2738,$F1320))</f>
        <v/>
      </c>
      <c r="I1320" s="11" t="str">
        <f aca="false">IF(INDEX(選手一覧!$H$7:$H$2738,$F1320)="","",INDEX(選手一覧!$H$7:$H$2738,$F1320))</f>
        <v/>
      </c>
      <c r="J1320" s="12" t="str">
        <f aca="false">IF(INDEX(選手一覧!$I$7:$I$2738,$F1320)="","",INDEX(選手一覧!$I$7:$I$2738,$F1320))</f>
        <v/>
      </c>
    </row>
    <row r="1321" customFormat="false" ht="15" hidden="false" customHeight="false" outlineLevel="0" collapsed="false">
      <c r="A1321" s="12" t="n">
        <v>1317</v>
      </c>
      <c r="B1321" s="10" t="s">
        <v>3744</v>
      </c>
      <c r="C1321" s="10" t="s">
        <v>2638</v>
      </c>
      <c r="D1321" s="11" t="n">
        <v>0.0086212962962963</v>
      </c>
      <c r="E1321" s="18" t="n">
        <f aca="false">ROUND((D1321-$D$5)*86400,2)</f>
        <v>205.86</v>
      </c>
      <c r="F1321" s="12" t="n">
        <v>2653</v>
      </c>
      <c r="G1321" s="11" t="str">
        <f aca="false">IF(INDEX(選手一覧!$D$7:$D$2738,$F1321)="","",INDEX(選手一覧!$D$7:$D$2738,$F1321))</f>
        <v/>
      </c>
      <c r="H1321" s="12" t="str">
        <f aca="false">IF(INDEX(選手一覧!$E$7:$E$2738,$F1321)="","",INDEX(選手一覧!$E$7:$E$2738,$F1321))</f>
        <v/>
      </c>
      <c r="I1321" s="11" t="str">
        <f aca="false">IF(INDEX(選手一覧!$H$7:$H$2738,$F1321)="","",INDEX(選手一覧!$H$7:$H$2738,$F1321))</f>
        <v/>
      </c>
      <c r="J1321" s="12" t="str">
        <f aca="false">IF(INDEX(選手一覧!$I$7:$I$2738,$F1321)="","",INDEX(選手一覧!$I$7:$I$2738,$F1321))</f>
        <v/>
      </c>
    </row>
    <row r="1322" customFormat="false" ht="15" hidden="false" customHeight="false" outlineLevel="0" collapsed="false">
      <c r="A1322" s="12" t="n">
        <v>1318</v>
      </c>
      <c r="B1322" s="10" t="s">
        <v>3746</v>
      </c>
      <c r="C1322" s="10" t="s">
        <v>3002</v>
      </c>
      <c r="D1322" s="11" t="n">
        <v>0.0086337962962963</v>
      </c>
      <c r="E1322" s="18" t="n">
        <f aca="false">ROUND((D1322-$D$5)*86400,2)</f>
        <v>206.94</v>
      </c>
      <c r="F1322" s="12" t="n">
        <v>2655</v>
      </c>
      <c r="G1322" s="11" t="str">
        <f aca="false">IF(INDEX(選手一覧!$D$7:$D$2738,$F1322)="","",INDEX(選手一覧!$D$7:$D$2738,$F1322))</f>
        <v/>
      </c>
      <c r="H1322" s="12" t="str">
        <f aca="false">IF(INDEX(選手一覧!$E$7:$E$2738,$F1322)="","",INDEX(選手一覧!$E$7:$E$2738,$F1322))</f>
        <v/>
      </c>
      <c r="I1322" s="11" t="str">
        <f aca="false">IF(INDEX(選手一覧!$H$7:$H$2738,$F1322)="","",INDEX(選手一覧!$H$7:$H$2738,$F1322))</f>
        <v/>
      </c>
      <c r="J1322" s="12" t="str">
        <f aca="false">IF(INDEX(選手一覧!$I$7:$I$2738,$F1322)="","",INDEX(選手一覧!$I$7:$I$2738,$F1322))</f>
        <v/>
      </c>
    </row>
    <row r="1323" customFormat="false" ht="15" hidden="false" customHeight="false" outlineLevel="0" collapsed="false">
      <c r="A1323" s="12" t="n">
        <v>1319</v>
      </c>
      <c r="B1323" s="10" t="s">
        <v>3748</v>
      </c>
      <c r="C1323" s="10" t="s">
        <v>3749</v>
      </c>
      <c r="D1323" s="11" t="n">
        <v>0.00863530092592593</v>
      </c>
      <c r="E1323" s="18" t="n">
        <f aca="false">ROUND((D1323-$D$5)*86400,2)</f>
        <v>207.07</v>
      </c>
      <c r="F1323" s="12" t="n">
        <v>2657</v>
      </c>
      <c r="G1323" s="11" t="str">
        <f aca="false">IF(INDEX(選手一覧!$D$7:$D$2738,$F1323)="","",INDEX(選手一覧!$D$7:$D$2738,$F1323))</f>
        <v/>
      </c>
      <c r="H1323" s="12" t="str">
        <f aca="false">IF(INDEX(選手一覧!$E$7:$E$2738,$F1323)="","",INDEX(選手一覧!$E$7:$E$2738,$F1323))</f>
        <v/>
      </c>
      <c r="I1323" s="11" t="str">
        <f aca="false">IF(INDEX(選手一覧!$H$7:$H$2738,$F1323)="","",INDEX(選手一覧!$H$7:$H$2738,$F1323))</f>
        <v/>
      </c>
      <c r="J1323" s="12" t="str">
        <f aca="false">IF(INDEX(選手一覧!$I$7:$I$2738,$F1323)="","",INDEX(選手一覧!$I$7:$I$2738,$F1323))</f>
        <v/>
      </c>
    </row>
    <row r="1324" customFormat="false" ht="15" hidden="false" customHeight="false" outlineLevel="0" collapsed="false">
      <c r="A1324" s="12" t="n">
        <v>1320</v>
      </c>
      <c r="B1324" s="10" t="s">
        <v>3750</v>
      </c>
      <c r="C1324" s="10" t="s">
        <v>3751</v>
      </c>
      <c r="D1324" s="11" t="n">
        <v>0.00863703703703704</v>
      </c>
      <c r="E1324" s="18" t="n">
        <f aca="false">ROUND((D1324-$D$5)*86400,2)</f>
        <v>207.22</v>
      </c>
      <c r="F1324" s="12" t="n">
        <v>2658</v>
      </c>
      <c r="G1324" s="11" t="str">
        <f aca="false">IF(INDEX(選手一覧!$D$7:$D$2738,$F1324)="","",INDEX(選手一覧!$D$7:$D$2738,$F1324))</f>
        <v/>
      </c>
      <c r="H1324" s="12" t="str">
        <f aca="false">IF(INDEX(選手一覧!$E$7:$E$2738,$F1324)="","",INDEX(選手一覧!$E$7:$E$2738,$F1324))</f>
        <v/>
      </c>
      <c r="I1324" s="11" t="str">
        <f aca="false">IF(INDEX(選手一覧!$H$7:$H$2738,$F1324)="","",INDEX(選手一覧!$H$7:$H$2738,$F1324))</f>
        <v/>
      </c>
      <c r="J1324" s="12" t="str">
        <f aca="false">IF(INDEX(選手一覧!$I$7:$I$2738,$F1324)="","",INDEX(選手一覧!$I$7:$I$2738,$F1324))</f>
        <v/>
      </c>
    </row>
    <row r="1325" customFormat="false" ht="15" hidden="false" customHeight="false" outlineLevel="0" collapsed="false">
      <c r="A1325" s="12" t="n">
        <v>1321</v>
      </c>
      <c r="B1325" s="10" t="s">
        <v>3752</v>
      </c>
      <c r="C1325" s="10" t="s">
        <v>511</v>
      </c>
      <c r="D1325" s="11" t="n">
        <v>0.0086375</v>
      </c>
      <c r="E1325" s="18" t="n">
        <f aca="false">ROUND((D1325-$D$5)*86400,2)</f>
        <v>207.26</v>
      </c>
      <c r="F1325" s="12" t="n">
        <v>2659</v>
      </c>
      <c r="G1325" s="11" t="str">
        <f aca="false">IF(INDEX(選手一覧!$D$7:$D$2738,$F1325)="","",INDEX(選手一覧!$D$7:$D$2738,$F1325))</f>
        <v/>
      </c>
      <c r="H1325" s="12" t="str">
        <f aca="false">IF(INDEX(選手一覧!$E$7:$E$2738,$F1325)="","",INDEX(選手一覧!$E$7:$E$2738,$F1325))</f>
        <v/>
      </c>
      <c r="I1325" s="11" t="str">
        <f aca="false">IF(INDEX(選手一覧!$H$7:$H$2738,$F1325)="","",INDEX(選手一覧!$H$7:$H$2738,$F1325))</f>
        <v/>
      </c>
      <c r="J1325" s="12" t="str">
        <f aca="false">IF(INDEX(選手一覧!$I$7:$I$2738,$F1325)="","",INDEX(選手一覧!$I$7:$I$2738,$F1325))</f>
        <v/>
      </c>
    </row>
    <row r="1326" customFormat="false" ht="15" hidden="false" customHeight="false" outlineLevel="0" collapsed="false">
      <c r="A1326" s="12" t="n">
        <v>1322</v>
      </c>
      <c r="B1326" s="10" t="s">
        <v>3755</v>
      </c>
      <c r="C1326" s="10" t="s">
        <v>3736</v>
      </c>
      <c r="D1326" s="11" t="n">
        <v>0.00864537037037037</v>
      </c>
      <c r="E1326" s="18" t="n">
        <f aca="false">ROUND((D1326-$D$5)*86400,2)</f>
        <v>207.94</v>
      </c>
      <c r="F1326" s="12" t="n">
        <v>2661</v>
      </c>
      <c r="G1326" s="11" t="str">
        <f aca="false">IF(INDEX(選手一覧!$D$7:$D$2738,$F1326)="","",INDEX(選手一覧!$D$7:$D$2738,$F1326))</f>
        <v/>
      </c>
      <c r="H1326" s="12" t="str">
        <f aca="false">IF(INDEX(選手一覧!$E$7:$E$2738,$F1326)="","",INDEX(選手一覧!$E$7:$E$2738,$F1326))</f>
        <v/>
      </c>
      <c r="I1326" s="11" t="str">
        <f aca="false">IF(INDEX(選手一覧!$H$7:$H$2738,$F1326)="","",INDEX(選手一覧!$H$7:$H$2738,$F1326))</f>
        <v/>
      </c>
      <c r="J1326" s="12" t="str">
        <f aca="false">IF(INDEX(選手一覧!$I$7:$I$2738,$F1326)="","",INDEX(選手一覧!$I$7:$I$2738,$F1326))</f>
        <v/>
      </c>
    </row>
    <row r="1327" customFormat="false" ht="15" hidden="false" customHeight="false" outlineLevel="0" collapsed="false">
      <c r="A1327" s="12" t="n">
        <v>1323</v>
      </c>
      <c r="B1327" s="10" t="s">
        <v>3757</v>
      </c>
      <c r="C1327" s="10" t="s">
        <v>2313</v>
      </c>
      <c r="D1327" s="11" t="n">
        <v>0.00864606481481482</v>
      </c>
      <c r="E1327" s="18" t="n">
        <f aca="false">ROUND((D1327-$D$5)*86400,2)</f>
        <v>208</v>
      </c>
      <c r="F1327" s="12" t="n">
        <v>2663</v>
      </c>
      <c r="G1327" s="11" t="str">
        <f aca="false">IF(INDEX(選手一覧!$D$7:$D$2738,$F1327)="","",INDEX(選手一覧!$D$7:$D$2738,$F1327))</f>
        <v/>
      </c>
      <c r="H1327" s="12" t="str">
        <f aca="false">IF(INDEX(選手一覧!$E$7:$E$2738,$F1327)="","",INDEX(選手一覧!$E$7:$E$2738,$F1327))</f>
        <v/>
      </c>
      <c r="I1327" s="11" t="str">
        <f aca="false">IF(INDEX(選手一覧!$H$7:$H$2738,$F1327)="","",INDEX(選手一覧!$H$7:$H$2738,$F1327))</f>
        <v/>
      </c>
      <c r="J1327" s="12" t="str">
        <f aca="false">IF(INDEX(選手一覧!$I$7:$I$2738,$F1327)="","",INDEX(選手一覧!$I$7:$I$2738,$F1327))</f>
        <v/>
      </c>
    </row>
    <row r="1328" customFormat="false" ht="15" hidden="false" customHeight="false" outlineLevel="0" collapsed="false">
      <c r="A1328" s="12" t="n">
        <v>1324</v>
      </c>
      <c r="B1328" s="10" t="s">
        <v>3758</v>
      </c>
      <c r="C1328" s="10" t="s">
        <v>3759</v>
      </c>
      <c r="D1328" s="11" t="n">
        <v>0.00865104166666667</v>
      </c>
      <c r="E1328" s="18" t="n">
        <f aca="false">ROUND((D1328-$D$5)*86400,2)</f>
        <v>208.43</v>
      </c>
      <c r="F1328" s="12" t="n">
        <v>2664</v>
      </c>
      <c r="G1328" s="11" t="str">
        <f aca="false">IF(INDEX(選手一覧!$D$7:$D$2738,$F1328)="","",INDEX(選手一覧!$D$7:$D$2738,$F1328))</f>
        <v/>
      </c>
      <c r="H1328" s="12" t="str">
        <f aca="false">IF(INDEX(選手一覧!$E$7:$E$2738,$F1328)="","",INDEX(選手一覧!$E$7:$E$2738,$F1328))</f>
        <v/>
      </c>
      <c r="I1328" s="11" t="str">
        <f aca="false">IF(INDEX(選手一覧!$H$7:$H$2738,$F1328)="","",INDEX(選手一覧!$H$7:$H$2738,$F1328))</f>
        <v/>
      </c>
      <c r="J1328" s="12" t="str">
        <f aca="false">IF(INDEX(選手一覧!$I$7:$I$2738,$F1328)="","",INDEX(選手一覧!$I$7:$I$2738,$F1328))</f>
        <v/>
      </c>
    </row>
    <row r="1329" customFormat="false" ht="15" hidden="false" customHeight="false" outlineLevel="0" collapsed="false">
      <c r="A1329" s="12" t="n">
        <v>1325</v>
      </c>
      <c r="B1329" s="10" t="s">
        <v>3760</v>
      </c>
      <c r="C1329" s="10" t="s">
        <v>2638</v>
      </c>
      <c r="D1329" s="11" t="n">
        <v>0.00865150462962963</v>
      </c>
      <c r="E1329" s="18" t="n">
        <f aca="false">ROUND((D1329-$D$5)*86400,2)</f>
        <v>208.47</v>
      </c>
      <c r="F1329" s="12" t="n">
        <v>2665</v>
      </c>
      <c r="G1329" s="11" t="str">
        <f aca="false">IF(INDEX(選手一覧!$D$7:$D$2738,$F1329)="","",INDEX(選手一覧!$D$7:$D$2738,$F1329))</f>
        <v/>
      </c>
      <c r="H1329" s="12" t="str">
        <f aca="false">IF(INDEX(選手一覧!$E$7:$E$2738,$F1329)="","",INDEX(選手一覧!$E$7:$E$2738,$F1329))</f>
        <v/>
      </c>
      <c r="I1329" s="11" t="str">
        <f aca="false">IF(INDEX(選手一覧!$H$7:$H$2738,$F1329)="","",INDEX(選手一覧!$H$7:$H$2738,$F1329))</f>
        <v/>
      </c>
      <c r="J1329" s="12" t="str">
        <f aca="false">IF(INDEX(選手一覧!$I$7:$I$2738,$F1329)="","",INDEX(選手一覧!$I$7:$I$2738,$F1329))</f>
        <v/>
      </c>
    </row>
    <row r="1330" customFormat="false" ht="15" hidden="false" customHeight="false" outlineLevel="0" collapsed="false">
      <c r="A1330" s="12" t="n">
        <v>1326</v>
      </c>
      <c r="B1330" s="10" t="s">
        <v>3762</v>
      </c>
      <c r="C1330" s="10" t="s">
        <v>3763</v>
      </c>
      <c r="D1330" s="11" t="n">
        <v>0.00866712962962963</v>
      </c>
      <c r="E1330" s="18" t="n">
        <f aca="false">ROUND((D1330-$D$5)*86400,2)</f>
        <v>209.82</v>
      </c>
      <c r="F1330" s="12" t="n">
        <v>2667</v>
      </c>
      <c r="G1330" s="11" t="str">
        <f aca="false">IF(INDEX(選手一覧!$D$7:$D$2738,$F1330)="","",INDEX(選手一覧!$D$7:$D$2738,$F1330))</f>
        <v/>
      </c>
      <c r="H1330" s="12" t="str">
        <f aca="false">IF(INDEX(選手一覧!$E$7:$E$2738,$F1330)="","",INDEX(選手一覧!$E$7:$E$2738,$F1330))</f>
        <v/>
      </c>
      <c r="I1330" s="11" t="str">
        <f aca="false">IF(INDEX(選手一覧!$H$7:$H$2738,$F1330)="","",INDEX(選手一覧!$H$7:$H$2738,$F1330))</f>
        <v/>
      </c>
      <c r="J1330" s="12" t="str">
        <f aca="false">IF(INDEX(選手一覧!$I$7:$I$2738,$F1330)="","",INDEX(選手一覧!$I$7:$I$2738,$F1330))</f>
        <v/>
      </c>
    </row>
    <row r="1331" customFormat="false" ht="15" hidden="false" customHeight="false" outlineLevel="0" collapsed="false">
      <c r="A1331" s="12" t="n">
        <v>1327</v>
      </c>
      <c r="B1331" s="10" t="s">
        <v>3764</v>
      </c>
      <c r="C1331" s="10" t="s">
        <v>2219</v>
      </c>
      <c r="D1331" s="11" t="n">
        <v>0.00869976851851852</v>
      </c>
      <c r="E1331" s="18" t="n">
        <f aca="false">ROUND((D1331-$D$5)*86400,2)</f>
        <v>212.64</v>
      </c>
      <c r="F1331" s="12" t="n">
        <v>2668</v>
      </c>
      <c r="G1331" s="11" t="str">
        <f aca="false">IF(INDEX(選手一覧!$D$7:$D$2738,$F1331)="","",INDEX(選手一覧!$D$7:$D$2738,$F1331))</f>
        <v/>
      </c>
      <c r="H1331" s="12" t="str">
        <f aca="false">IF(INDEX(選手一覧!$E$7:$E$2738,$F1331)="","",INDEX(選手一覧!$E$7:$E$2738,$F1331))</f>
        <v/>
      </c>
      <c r="I1331" s="11" t="str">
        <f aca="false">IF(INDEX(選手一覧!$H$7:$H$2738,$F1331)="","",INDEX(選手一覧!$H$7:$H$2738,$F1331))</f>
        <v/>
      </c>
      <c r="J1331" s="12" t="str">
        <f aca="false">IF(INDEX(選手一覧!$I$7:$I$2738,$F1331)="","",INDEX(選手一覧!$I$7:$I$2738,$F1331))</f>
        <v/>
      </c>
    </row>
    <row r="1332" customFormat="false" ht="15" hidden="false" customHeight="false" outlineLevel="0" collapsed="false">
      <c r="A1332" s="12" t="n">
        <v>1328</v>
      </c>
      <c r="B1332" s="10" t="s">
        <v>3766</v>
      </c>
      <c r="C1332" s="10" t="s">
        <v>3767</v>
      </c>
      <c r="D1332" s="11" t="n">
        <v>0.00870243055555556</v>
      </c>
      <c r="E1332" s="18" t="n">
        <f aca="false">ROUND((D1332-$D$5)*86400,2)</f>
        <v>212.87</v>
      </c>
      <c r="F1332" s="12" t="n">
        <v>2670</v>
      </c>
      <c r="G1332" s="11" t="str">
        <f aca="false">IF(INDEX(選手一覧!$D$7:$D$2738,$F1332)="","",INDEX(選手一覧!$D$7:$D$2738,$F1332))</f>
        <v/>
      </c>
      <c r="H1332" s="12" t="str">
        <f aca="false">IF(INDEX(選手一覧!$E$7:$E$2738,$F1332)="","",INDEX(選手一覧!$E$7:$E$2738,$F1332))</f>
        <v/>
      </c>
      <c r="I1332" s="11" t="str">
        <f aca="false">IF(INDEX(選手一覧!$H$7:$H$2738,$F1332)="","",INDEX(選手一覧!$H$7:$H$2738,$F1332))</f>
        <v/>
      </c>
      <c r="J1332" s="12" t="str">
        <f aca="false">IF(INDEX(選手一覧!$I$7:$I$2738,$F1332)="","",INDEX(選手一覧!$I$7:$I$2738,$F1332))</f>
        <v/>
      </c>
    </row>
    <row r="1333" customFormat="false" ht="15" hidden="false" customHeight="false" outlineLevel="0" collapsed="false">
      <c r="A1333" s="12" t="n">
        <v>1329</v>
      </c>
      <c r="B1333" s="10" t="s">
        <v>3768</v>
      </c>
      <c r="C1333" s="10" t="s">
        <v>3769</v>
      </c>
      <c r="D1333" s="11" t="n">
        <v>0.0087025462962963</v>
      </c>
      <c r="E1333" s="18" t="n">
        <f aca="false">ROUND((D1333-$D$5)*86400,2)</f>
        <v>212.88</v>
      </c>
      <c r="F1333" s="12" t="n">
        <v>2671</v>
      </c>
      <c r="G1333" s="11" t="str">
        <f aca="false">IF(INDEX(選手一覧!$D$7:$D$2738,$F1333)="","",INDEX(選手一覧!$D$7:$D$2738,$F1333))</f>
        <v/>
      </c>
      <c r="H1333" s="12" t="str">
        <f aca="false">IF(INDEX(選手一覧!$E$7:$E$2738,$F1333)="","",INDEX(選手一覧!$E$7:$E$2738,$F1333))</f>
        <v/>
      </c>
      <c r="I1333" s="11" t="str">
        <f aca="false">IF(INDEX(選手一覧!$H$7:$H$2738,$F1333)="","",INDEX(選手一覧!$H$7:$H$2738,$F1333))</f>
        <v/>
      </c>
      <c r="J1333" s="12" t="str">
        <f aca="false">IF(INDEX(選手一覧!$I$7:$I$2738,$F1333)="","",INDEX(選手一覧!$I$7:$I$2738,$F1333))</f>
        <v/>
      </c>
    </row>
    <row r="1334" customFormat="false" ht="15" hidden="false" customHeight="false" outlineLevel="0" collapsed="false">
      <c r="A1334" s="12" t="n">
        <v>1330</v>
      </c>
      <c r="B1334" s="10" t="s">
        <v>3770</v>
      </c>
      <c r="C1334" s="10" t="s">
        <v>3771</v>
      </c>
      <c r="D1334" s="11" t="n">
        <v>0.00871111111111111</v>
      </c>
      <c r="E1334" s="18" t="n">
        <f aca="false">ROUND((D1334-$D$5)*86400,2)</f>
        <v>213.62</v>
      </c>
      <c r="F1334" s="12" t="n">
        <v>2672</v>
      </c>
      <c r="G1334" s="11" t="str">
        <f aca="false">IF(INDEX(選手一覧!$D$7:$D$2738,$F1334)="","",INDEX(選手一覧!$D$7:$D$2738,$F1334))</f>
        <v/>
      </c>
      <c r="H1334" s="12" t="str">
        <f aca="false">IF(INDEX(選手一覧!$E$7:$E$2738,$F1334)="","",INDEX(選手一覧!$E$7:$E$2738,$F1334))</f>
        <v/>
      </c>
      <c r="I1334" s="11" t="str">
        <f aca="false">IF(INDEX(選手一覧!$H$7:$H$2738,$F1334)="","",INDEX(選手一覧!$H$7:$H$2738,$F1334))</f>
        <v/>
      </c>
      <c r="J1334" s="12" t="str">
        <f aca="false">IF(INDEX(選手一覧!$I$7:$I$2738,$F1334)="","",INDEX(選手一覧!$I$7:$I$2738,$F1334))</f>
        <v/>
      </c>
    </row>
    <row r="1335" customFormat="false" ht="15" hidden="false" customHeight="false" outlineLevel="0" collapsed="false">
      <c r="A1335" s="12" t="n">
        <v>1331</v>
      </c>
      <c r="B1335" s="10" t="s">
        <v>3772</v>
      </c>
      <c r="C1335" s="10" t="s">
        <v>1170</v>
      </c>
      <c r="D1335" s="11" t="n">
        <v>0.00872453703703704</v>
      </c>
      <c r="E1335" s="18" t="n">
        <f aca="false">ROUND((D1335-$D$5)*86400,2)</f>
        <v>214.78</v>
      </c>
      <c r="F1335" s="12" t="n">
        <v>2673</v>
      </c>
      <c r="G1335" s="11" t="str">
        <f aca="false">IF(INDEX(選手一覧!$D$7:$D$2738,$F1335)="","",INDEX(選手一覧!$D$7:$D$2738,$F1335))</f>
        <v/>
      </c>
      <c r="H1335" s="12" t="str">
        <f aca="false">IF(INDEX(選手一覧!$E$7:$E$2738,$F1335)="","",INDEX(選手一覧!$E$7:$E$2738,$F1335))</f>
        <v/>
      </c>
      <c r="I1335" s="11" t="str">
        <f aca="false">IF(INDEX(選手一覧!$H$7:$H$2738,$F1335)="","",INDEX(選手一覧!$H$7:$H$2738,$F1335))</f>
        <v/>
      </c>
      <c r="J1335" s="12" t="str">
        <f aca="false">IF(INDEX(選手一覧!$I$7:$I$2738,$F1335)="","",INDEX(選手一覧!$I$7:$I$2738,$F1335))</f>
        <v/>
      </c>
    </row>
    <row r="1336" customFormat="false" ht="15" hidden="false" customHeight="false" outlineLevel="0" collapsed="false">
      <c r="A1336" s="12" t="n">
        <v>1332</v>
      </c>
      <c r="B1336" s="10" t="s">
        <v>3774</v>
      </c>
      <c r="C1336" s="10" t="s">
        <v>3775</v>
      </c>
      <c r="D1336" s="11" t="n">
        <v>0.00872650462962963</v>
      </c>
      <c r="E1336" s="18" t="n">
        <f aca="false">ROUND((D1336-$D$5)*86400,2)</f>
        <v>214.95</v>
      </c>
      <c r="F1336" s="12" t="n">
        <v>2675</v>
      </c>
      <c r="G1336" s="11" t="str">
        <f aca="false">IF(INDEX(選手一覧!$D$7:$D$2738,$F1336)="","",INDEX(選手一覧!$D$7:$D$2738,$F1336))</f>
        <v/>
      </c>
      <c r="H1336" s="12" t="str">
        <f aca="false">IF(INDEX(選手一覧!$E$7:$E$2738,$F1336)="","",INDEX(選手一覧!$E$7:$E$2738,$F1336))</f>
        <v/>
      </c>
      <c r="I1336" s="11" t="str">
        <f aca="false">IF(INDEX(選手一覧!$H$7:$H$2738,$F1336)="","",INDEX(選手一覧!$H$7:$H$2738,$F1336))</f>
        <v/>
      </c>
      <c r="J1336" s="12" t="str">
        <f aca="false">IF(INDEX(選手一覧!$I$7:$I$2738,$F1336)="","",INDEX(選手一覧!$I$7:$I$2738,$F1336))</f>
        <v/>
      </c>
    </row>
    <row r="1337" customFormat="false" ht="15" hidden="false" customHeight="false" outlineLevel="0" collapsed="false">
      <c r="A1337" s="12" t="n">
        <v>1333</v>
      </c>
      <c r="B1337" s="10" t="s">
        <v>3776</v>
      </c>
      <c r="C1337" s="10" t="s">
        <v>3777</v>
      </c>
      <c r="D1337" s="11" t="n">
        <v>0.00873958333333333</v>
      </c>
      <c r="E1337" s="18" t="n">
        <f aca="false">ROUND((D1337-$D$5)*86400,2)</f>
        <v>216.08</v>
      </c>
      <c r="F1337" s="12" t="n">
        <v>2676</v>
      </c>
      <c r="G1337" s="11" t="str">
        <f aca="false">IF(INDEX(選手一覧!$D$7:$D$2738,$F1337)="","",INDEX(選手一覧!$D$7:$D$2738,$F1337))</f>
        <v/>
      </c>
      <c r="H1337" s="12" t="str">
        <f aca="false">IF(INDEX(選手一覧!$E$7:$E$2738,$F1337)="","",INDEX(選手一覧!$E$7:$E$2738,$F1337))</f>
        <v/>
      </c>
      <c r="I1337" s="11" t="str">
        <f aca="false">IF(INDEX(選手一覧!$H$7:$H$2738,$F1337)="","",INDEX(選手一覧!$H$7:$H$2738,$F1337))</f>
        <v/>
      </c>
      <c r="J1337" s="12" t="str">
        <f aca="false">IF(INDEX(選手一覧!$I$7:$I$2738,$F1337)="","",INDEX(選手一覧!$I$7:$I$2738,$F1337))</f>
        <v/>
      </c>
    </row>
    <row r="1338" customFormat="false" ht="15" hidden="false" customHeight="false" outlineLevel="0" collapsed="false">
      <c r="A1338" s="12" t="n">
        <v>1334</v>
      </c>
      <c r="B1338" s="10" t="s">
        <v>3778</v>
      </c>
      <c r="C1338" s="10" t="s">
        <v>2512</v>
      </c>
      <c r="D1338" s="11" t="n">
        <v>0.0087556712962963</v>
      </c>
      <c r="E1338" s="18" t="n">
        <f aca="false">ROUND((D1338-$D$5)*86400,2)</f>
        <v>217.47</v>
      </c>
      <c r="F1338" s="12" t="n">
        <v>2677</v>
      </c>
      <c r="G1338" s="11" t="str">
        <f aca="false">IF(INDEX(選手一覧!$D$7:$D$2738,$F1338)="","",INDEX(選手一覧!$D$7:$D$2738,$F1338))</f>
        <v/>
      </c>
      <c r="H1338" s="12" t="str">
        <f aca="false">IF(INDEX(選手一覧!$E$7:$E$2738,$F1338)="","",INDEX(選手一覧!$E$7:$E$2738,$F1338))</f>
        <v/>
      </c>
      <c r="I1338" s="11" t="str">
        <f aca="false">IF(INDEX(選手一覧!$H$7:$H$2738,$F1338)="","",INDEX(選手一覧!$H$7:$H$2738,$F1338))</f>
        <v/>
      </c>
      <c r="J1338" s="12" t="str">
        <f aca="false">IF(INDEX(選手一覧!$I$7:$I$2738,$F1338)="","",INDEX(選手一覧!$I$7:$I$2738,$F1338))</f>
        <v/>
      </c>
    </row>
    <row r="1339" customFormat="false" ht="15" hidden="false" customHeight="false" outlineLevel="0" collapsed="false">
      <c r="A1339" s="12" t="n">
        <v>1335</v>
      </c>
      <c r="B1339" s="10" t="s">
        <v>3780</v>
      </c>
      <c r="C1339" s="10" t="s">
        <v>3781</v>
      </c>
      <c r="D1339" s="11" t="n">
        <v>0.00876585648148148</v>
      </c>
      <c r="E1339" s="18" t="n">
        <f aca="false">ROUND((D1339-$D$5)*86400,2)</f>
        <v>218.35</v>
      </c>
      <c r="F1339" s="12" t="n">
        <v>2679</v>
      </c>
      <c r="G1339" s="11" t="str">
        <f aca="false">IF(INDEX(選手一覧!$D$7:$D$2738,$F1339)="","",INDEX(選手一覧!$D$7:$D$2738,$F1339))</f>
        <v/>
      </c>
      <c r="H1339" s="12" t="str">
        <f aca="false">IF(INDEX(選手一覧!$E$7:$E$2738,$F1339)="","",INDEX(選手一覧!$E$7:$E$2738,$F1339))</f>
        <v/>
      </c>
      <c r="I1339" s="11" t="str">
        <f aca="false">IF(INDEX(選手一覧!$H$7:$H$2738,$F1339)="","",INDEX(選手一覧!$H$7:$H$2738,$F1339))</f>
        <v/>
      </c>
      <c r="J1339" s="12" t="str">
        <f aca="false">IF(INDEX(選手一覧!$I$7:$I$2738,$F1339)="","",INDEX(選手一覧!$I$7:$I$2738,$F1339))</f>
        <v/>
      </c>
    </row>
    <row r="1340" customFormat="false" ht="15" hidden="false" customHeight="false" outlineLevel="0" collapsed="false">
      <c r="A1340" s="12" t="n">
        <v>1336</v>
      </c>
      <c r="B1340" s="10" t="s">
        <v>3782</v>
      </c>
      <c r="C1340" s="10" t="s">
        <v>3783</v>
      </c>
      <c r="D1340" s="11" t="n">
        <v>0.00878009259259259</v>
      </c>
      <c r="E1340" s="18" t="n">
        <f aca="false">ROUND((D1340-$D$5)*86400,2)</f>
        <v>219.58</v>
      </c>
      <c r="F1340" s="12" t="n">
        <v>2680</v>
      </c>
      <c r="G1340" s="11" t="str">
        <f aca="false">IF(INDEX(選手一覧!$D$7:$D$2738,$F1340)="","",INDEX(選手一覧!$D$7:$D$2738,$F1340))</f>
        <v/>
      </c>
      <c r="H1340" s="12" t="str">
        <f aca="false">IF(INDEX(選手一覧!$E$7:$E$2738,$F1340)="","",INDEX(選手一覧!$E$7:$E$2738,$F1340))</f>
        <v/>
      </c>
      <c r="I1340" s="11" t="str">
        <f aca="false">IF(INDEX(選手一覧!$H$7:$H$2738,$F1340)="","",INDEX(選手一覧!$H$7:$H$2738,$F1340))</f>
        <v/>
      </c>
      <c r="J1340" s="12" t="str">
        <f aca="false">IF(INDEX(選手一覧!$I$7:$I$2738,$F1340)="","",INDEX(選手一覧!$I$7:$I$2738,$F1340))</f>
        <v/>
      </c>
    </row>
    <row r="1341" customFormat="false" ht="15" hidden="false" customHeight="false" outlineLevel="0" collapsed="false">
      <c r="A1341" s="12" t="n">
        <v>1337</v>
      </c>
      <c r="B1341" s="10" t="s">
        <v>3785</v>
      </c>
      <c r="C1341" s="10" t="s">
        <v>1729</v>
      </c>
      <c r="D1341" s="11" t="n">
        <v>0.00878275462962963</v>
      </c>
      <c r="E1341" s="18" t="n">
        <f aca="false">ROUND((D1341-$D$5)*86400,2)</f>
        <v>219.81</v>
      </c>
      <c r="F1341" s="12" t="n">
        <v>2682</v>
      </c>
      <c r="G1341" s="11" t="str">
        <f aca="false">IF(INDEX(選手一覧!$D$7:$D$2738,$F1341)="","",INDEX(選手一覧!$D$7:$D$2738,$F1341))</f>
        <v/>
      </c>
      <c r="H1341" s="12" t="str">
        <f aca="false">IF(INDEX(選手一覧!$E$7:$E$2738,$F1341)="","",INDEX(選手一覧!$E$7:$E$2738,$F1341))</f>
        <v/>
      </c>
      <c r="I1341" s="11" t="str">
        <f aca="false">IF(INDEX(選手一覧!$H$7:$H$2738,$F1341)="","",INDEX(選手一覧!$H$7:$H$2738,$F1341))</f>
        <v/>
      </c>
      <c r="J1341" s="12" t="str">
        <f aca="false">IF(INDEX(選手一覧!$I$7:$I$2738,$F1341)="","",INDEX(選手一覧!$I$7:$I$2738,$F1341))</f>
        <v/>
      </c>
    </row>
    <row r="1342" customFormat="false" ht="15" hidden="false" customHeight="false" outlineLevel="0" collapsed="false">
      <c r="A1342" s="12" t="n">
        <v>1338</v>
      </c>
      <c r="B1342" s="10" t="s">
        <v>3786</v>
      </c>
      <c r="C1342" s="10" t="s">
        <v>3787</v>
      </c>
      <c r="D1342" s="11" t="n">
        <v>0.00878865740740741</v>
      </c>
      <c r="E1342" s="18" t="n">
        <f aca="false">ROUND((D1342-$D$5)*86400,2)</f>
        <v>220.32</v>
      </c>
      <c r="F1342" s="12" t="n">
        <v>2683</v>
      </c>
      <c r="G1342" s="11" t="str">
        <f aca="false">IF(INDEX(選手一覧!$D$7:$D$2738,$F1342)="","",INDEX(選手一覧!$D$7:$D$2738,$F1342))</f>
        <v/>
      </c>
      <c r="H1342" s="12" t="str">
        <f aca="false">IF(INDEX(選手一覧!$E$7:$E$2738,$F1342)="","",INDEX(選手一覧!$E$7:$E$2738,$F1342))</f>
        <v/>
      </c>
      <c r="I1342" s="11" t="str">
        <f aca="false">IF(INDEX(選手一覧!$H$7:$H$2738,$F1342)="","",INDEX(選手一覧!$H$7:$H$2738,$F1342))</f>
        <v/>
      </c>
      <c r="J1342" s="12" t="str">
        <f aca="false">IF(INDEX(選手一覧!$I$7:$I$2738,$F1342)="","",INDEX(選手一覧!$I$7:$I$2738,$F1342))</f>
        <v/>
      </c>
    </row>
    <row r="1343" customFormat="false" ht="15" hidden="false" customHeight="false" outlineLevel="0" collapsed="false">
      <c r="A1343" s="12" t="n">
        <v>1339</v>
      </c>
      <c r="B1343" s="10" t="s">
        <v>3789</v>
      </c>
      <c r="C1343" s="10" t="s">
        <v>3143</v>
      </c>
      <c r="D1343" s="11" t="n">
        <v>0.00879212962962963</v>
      </c>
      <c r="E1343" s="18" t="n">
        <f aca="false">ROUND((D1343-$D$5)*86400,2)</f>
        <v>220.62</v>
      </c>
      <c r="F1343" s="12" t="n">
        <v>2685</v>
      </c>
      <c r="G1343" s="11" t="str">
        <f aca="false">IF(INDEX(選手一覧!$D$7:$D$2738,$F1343)="","",INDEX(選手一覧!$D$7:$D$2738,$F1343))</f>
        <v/>
      </c>
      <c r="H1343" s="12" t="str">
        <f aca="false">IF(INDEX(選手一覧!$E$7:$E$2738,$F1343)="","",INDEX(選手一覧!$E$7:$E$2738,$F1343))</f>
        <v/>
      </c>
      <c r="I1343" s="11" t="str">
        <f aca="false">IF(INDEX(選手一覧!$H$7:$H$2738,$F1343)="","",INDEX(選手一覧!$H$7:$H$2738,$F1343))</f>
        <v/>
      </c>
      <c r="J1343" s="12" t="str">
        <f aca="false">IF(INDEX(選手一覧!$I$7:$I$2738,$F1343)="","",INDEX(選手一覧!$I$7:$I$2738,$F1343))</f>
        <v/>
      </c>
    </row>
    <row r="1344" customFormat="false" ht="15" hidden="false" customHeight="false" outlineLevel="0" collapsed="false">
      <c r="A1344" s="12" t="n">
        <v>1340</v>
      </c>
      <c r="B1344" s="10" t="s">
        <v>3790</v>
      </c>
      <c r="C1344" s="10" t="s">
        <v>949</v>
      </c>
      <c r="D1344" s="11" t="n">
        <v>0.00881018518518519</v>
      </c>
      <c r="E1344" s="18" t="n">
        <f aca="false">ROUND((D1344-$D$5)*86400,2)</f>
        <v>222.18</v>
      </c>
      <c r="F1344" s="12" t="n">
        <v>2686</v>
      </c>
      <c r="G1344" s="11" t="str">
        <f aca="false">IF(INDEX(選手一覧!$D$7:$D$2738,$F1344)="","",INDEX(選手一覧!$D$7:$D$2738,$F1344))</f>
        <v/>
      </c>
      <c r="H1344" s="12" t="str">
        <f aca="false">IF(INDEX(選手一覧!$E$7:$E$2738,$F1344)="","",INDEX(選手一覧!$E$7:$E$2738,$F1344))</f>
        <v/>
      </c>
      <c r="I1344" s="11" t="str">
        <f aca="false">IF(INDEX(選手一覧!$H$7:$H$2738,$F1344)="","",INDEX(選手一覧!$H$7:$H$2738,$F1344))</f>
        <v/>
      </c>
      <c r="J1344" s="12" t="str">
        <f aca="false">IF(INDEX(選手一覧!$I$7:$I$2738,$F1344)="","",INDEX(選手一覧!$I$7:$I$2738,$F1344))</f>
        <v/>
      </c>
    </row>
    <row r="1345" customFormat="false" ht="15" hidden="false" customHeight="false" outlineLevel="0" collapsed="false">
      <c r="A1345" s="12" t="n">
        <v>1341</v>
      </c>
      <c r="B1345" s="10" t="s">
        <v>3791</v>
      </c>
      <c r="C1345" s="10" t="s">
        <v>3333</v>
      </c>
      <c r="D1345" s="11" t="n">
        <v>0.00881296296296296</v>
      </c>
      <c r="E1345" s="18" t="n">
        <f aca="false">ROUND((D1345-$D$5)*86400,2)</f>
        <v>222.42</v>
      </c>
      <c r="F1345" s="12" t="n">
        <v>2687</v>
      </c>
      <c r="G1345" s="11" t="str">
        <f aca="false">IF(INDEX(選手一覧!$D$7:$D$2738,$F1345)="","",INDEX(選手一覧!$D$7:$D$2738,$F1345))</f>
        <v/>
      </c>
      <c r="H1345" s="12" t="str">
        <f aca="false">IF(INDEX(選手一覧!$E$7:$E$2738,$F1345)="","",INDEX(選手一覧!$E$7:$E$2738,$F1345))</f>
        <v/>
      </c>
      <c r="I1345" s="11" t="str">
        <f aca="false">IF(INDEX(選手一覧!$H$7:$H$2738,$F1345)="","",INDEX(選手一覧!$H$7:$H$2738,$F1345))</f>
        <v/>
      </c>
      <c r="J1345" s="12" t="str">
        <f aca="false">IF(INDEX(選手一覧!$I$7:$I$2738,$F1345)="","",INDEX(選手一覧!$I$7:$I$2738,$F1345))</f>
        <v/>
      </c>
    </row>
    <row r="1346" customFormat="false" ht="15" hidden="false" customHeight="false" outlineLevel="0" collapsed="false">
      <c r="A1346" s="12" t="n">
        <v>1342</v>
      </c>
      <c r="B1346" s="10" t="s">
        <v>3793</v>
      </c>
      <c r="C1346" s="10" t="s">
        <v>2155</v>
      </c>
      <c r="D1346" s="11" t="n">
        <v>0.00881550925925926</v>
      </c>
      <c r="E1346" s="18" t="n">
        <f aca="false">ROUND((D1346-$D$5)*86400,2)</f>
        <v>222.64</v>
      </c>
      <c r="F1346" s="12" t="n">
        <v>2689</v>
      </c>
      <c r="G1346" s="11" t="str">
        <f aca="false">IF(INDEX(選手一覧!$D$7:$D$2738,$F1346)="","",INDEX(選手一覧!$D$7:$D$2738,$F1346))</f>
        <v/>
      </c>
      <c r="H1346" s="12" t="str">
        <f aca="false">IF(INDEX(選手一覧!$E$7:$E$2738,$F1346)="","",INDEX(選手一覧!$E$7:$E$2738,$F1346))</f>
        <v/>
      </c>
      <c r="I1346" s="11" t="str">
        <f aca="false">IF(INDEX(選手一覧!$H$7:$H$2738,$F1346)="","",INDEX(選手一覧!$H$7:$H$2738,$F1346))</f>
        <v/>
      </c>
      <c r="J1346" s="12" t="str">
        <f aca="false">IF(INDEX(選手一覧!$I$7:$I$2738,$F1346)="","",INDEX(選手一覧!$I$7:$I$2738,$F1346))</f>
        <v/>
      </c>
    </row>
    <row r="1347" customFormat="false" ht="15" hidden="false" customHeight="false" outlineLevel="0" collapsed="false">
      <c r="A1347" s="12" t="n">
        <v>1343</v>
      </c>
      <c r="B1347" s="10" t="s">
        <v>3795</v>
      </c>
      <c r="C1347" s="10" t="s">
        <v>2253</v>
      </c>
      <c r="D1347" s="11" t="n">
        <v>0.00884328703703704</v>
      </c>
      <c r="E1347" s="18" t="n">
        <f aca="false">ROUND((D1347-$D$5)*86400,2)</f>
        <v>225.04</v>
      </c>
      <c r="F1347" s="12" t="n">
        <v>2691</v>
      </c>
      <c r="G1347" s="11" t="str">
        <f aca="false">IF(INDEX(選手一覧!$D$7:$D$2738,$F1347)="","",INDEX(選手一覧!$D$7:$D$2738,$F1347))</f>
        <v/>
      </c>
      <c r="H1347" s="12" t="str">
        <f aca="false">IF(INDEX(選手一覧!$E$7:$E$2738,$F1347)="","",INDEX(選手一覧!$E$7:$E$2738,$F1347))</f>
        <v/>
      </c>
      <c r="I1347" s="11" t="str">
        <f aca="false">IF(INDEX(選手一覧!$H$7:$H$2738,$F1347)="","",INDEX(選手一覧!$H$7:$H$2738,$F1347))</f>
        <v/>
      </c>
      <c r="J1347" s="12" t="str">
        <f aca="false">IF(INDEX(選手一覧!$I$7:$I$2738,$F1347)="","",INDEX(選手一覧!$I$7:$I$2738,$F1347))</f>
        <v/>
      </c>
    </row>
    <row r="1348" customFormat="false" ht="15" hidden="false" customHeight="false" outlineLevel="0" collapsed="false">
      <c r="A1348" s="12" t="n">
        <v>1344</v>
      </c>
      <c r="B1348" s="10" t="s">
        <v>3796</v>
      </c>
      <c r="C1348" s="10" t="s">
        <v>3797</v>
      </c>
      <c r="D1348" s="11" t="n">
        <v>0.00884664351851852</v>
      </c>
      <c r="E1348" s="18" t="n">
        <f aca="false">ROUND((D1348-$D$5)*86400,2)</f>
        <v>225.33</v>
      </c>
      <c r="F1348" s="12" t="n">
        <v>2692</v>
      </c>
      <c r="G1348" s="11" t="str">
        <f aca="false">IF(INDEX(選手一覧!$D$7:$D$2738,$F1348)="","",INDEX(選手一覧!$D$7:$D$2738,$F1348))</f>
        <v/>
      </c>
      <c r="H1348" s="12" t="str">
        <f aca="false">IF(INDEX(選手一覧!$E$7:$E$2738,$F1348)="","",INDEX(選手一覧!$E$7:$E$2738,$F1348))</f>
        <v/>
      </c>
      <c r="I1348" s="11" t="str">
        <f aca="false">IF(INDEX(選手一覧!$H$7:$H$2738,$F1348)="","",INDEX(選手一覧!$H$7:$H$2738,$F1348))</f>
        <v/>
      </c>
      <c r="J1348" s="12" t="str">
        <f aca="false">IF(INDEX(選手一覧!$I$7:$I$2738,$F1348)="","",INDEX(選手一覧!$I$7:$I$2738,$F1348))</f>
        <v/>
      </c>
    </row>
    <row r="1349" customFormat="false" ht="15" hidden="false" customHeight="false" outlineLevel="0" collapsed="false">
      <c r="A1349" s="12" t="n">
        <v>1345</v>
      </c>
      <c r="B1349" s="10" t="s">
        <v>3798</v>
      </c>
      <c r="C1349" s="10" t="s">
        <v>1180</v>
      </c>
      <c r="D1349" s="11" t="n">
        <v>0.0088494212962963</v>
      </c>
      <c r="E1349" s="18" t="n">
        <f aca="false">ROUND((D1349-$D$5)*86400,2)</f>
        <v>225.57</v>
      </c>
      <c r="F1349" s="12" t="n">
        <v>2693</v>
      </c>
      <c r="G1349" s="11" t="str">
        <f aca="false">IF(INDEX(選手一覧!$D$7:$D$2738,$F1349)="","",INDEX(選手一覧!$D$7:$D$2738,$F1349))</f>
        <v/>
      </c>
      <c r="H1349" s="12" t="str">
        <f aca="false">IF(INDEX(選手一覧!$E$7:$E$2738,$F1349)="","",INDEX(選手一覧!$E$7:$E$2738,$F1349))</f>
        <v/>
      </c>
      <c r="I1349" s="11" t="str">
        <f aca="false">IF(INDEX(選手一覧!$H$7:$H$2738,$F1349)="","",INDEX(選手一覧!$H$7:$H$2738,$F1349))</f>
        <v/>
      </c>
      <c r="J1349" s="12" t="str">
        <f aca="false">IF(INDEX(選手一覧!$I$7:$I$2738,$F1349)="","",INDEX(選手一覧!$I$7:$I$2738,$F1349))</f>
        <v/>
      </c>
    </row>
    <row r="1350" customFormat="false" ht="15" hidden="false" customHeight="false" outlineLevel="0" collapsed="false">
      <c r="A1350" s="12" t="n">
        <v>1346</v>
      </c>
      <c r="B1350" s="10" t="s">
        <v>3801</v>
      </c>
      <c r="C1350" s="10" t="s">
        <v>3547</v>
      </c>
      <c r="D1350" s="11" t="n">
        <v>0.00888935185185185</v>
      </c>
      <c r="E1350" s="18" t="n">
        <f aca="false">ROUND((D1350-$D$5)*86400,2)</f>
        <v>229.02</v>
      </c>
      <c r="F1350" s="12" t="n">
        <v>2695</v>
      </c>
      <c r="G1350" s="11" t="str">
        <f aca="false">IF(INDEX(選手一覧!$D$7:$D$2738,$F1350)="","",INDEX(選手一覧!$D$7:$D$2738,$F1350))</f>
        <v/>
      </c>
      <c r="H1350" s="12" t="str">
        <f aca="false">IF(INDEX(選手一覧!$E$7:$E$2738,$F1350)="","",INDEX(選手一覧!$E$7:$E$2738,$F1350))</f>
        <v/>
      </c>
      <c r="I1350" s="11" t="str">
        <f aca="false">IF(INDEX(選手一覧!$H$7:$H$2738,$F1350)="","",INDEX(選手一覧!$H$7:$H$2738,$F1350))</f>
        <v/>
      </c>
      <c r="J1350" s="12" t="str">
        <f aca="false">IF(INDEX(選手一覧!$I$7:$I$2738,$F1350)="","",INDEX(選手一覧!$I$7:$I$2738,$F1350))</f>
        <v/>
      </c>
    </row>
    <row r="1351" customFormat="false" ht="15" hidden="false" customHeight="false" outlineLevel="0" collapsed="false">
      <c r="A1351" s="12" t="n">
        <v>1347</v>
      </c>
      <c r="B1351" s="10" t="s">
        <v>3802</v>
      </c>
      <c r="C1351" s="10" t="s">
        <v>3053</v>
      </c>
      <c r="D1351" s="11" t="n">
        <v>0.00890381944444444</v>
      </c>
      <c r="E1351" s="18" t="n">
        <f aca="false">ROUND((D1351-$D$5)*86400,2)</f>
        <v>230.27</v>
      </c>
      <c r="F1351" s="12" t="n">
        <v>2696</v>
      </c>
      <c r="G1351" s="11" t="str">
        <f aca="false">IF(INDEX(選手一覧!$D$7:$D$2738,$F1351)="","",INDEX(選手一覧!$D$7:$D$2738,$F1351))</f>
        <v/>
      </c>
      <c r="H1351" s="12" t="str">
        <f aca="false">IF(INDEX(選手一覧!$E$7:$E$2738,$F1351)="","",INDEX(選手一覧!$E$7:$E$2738,$F1351))</f>
        <v/>
      </c>
      <c r="I1351" s="11" t="str">
        <f aca="false">IF(INDEX(選手一覧!$H$7:$H$2738,$F1351)="","",INDEX(選手一覧!$H$7:$H$2738,$F1351))</f>
        <v/>
      </c>
      <c r="J1351" s="12" t="str">
        <f aca="false">IF(INDEX(選手一覧!$I$7:$I$2738,$F1351)="","",INDEX(選手一覧!$I$7:$I$2738,$F1351))</f>
        <v/>
      </c>
    </row>
    <row r="1352" customFormat="false" ht="15" hidden="false" customHeight="false" outlineLevel="0" collapsed="false">
      <c r="A1352" s="12" t="n">
        <v>1348</v>
      </c>
      <c r="B1352" s="10" t="s">
        <v>3804</v>
      </c>
      <c r="C1352" s="10" t="s">
        <v>3805</v>
      </c>
      <c r="D1352" s="11" t="n">
        <v>0.00891770833333333</v>
      </c>
      <c r="E1352" s="18" t="n">
        <f aca="false">ROUND((D1352-$D$5)*86400,2)</f>
        <v>231.47</v>
      </c>
      <c r="F1352" s="12" t="n">
        <v>2698</v>
      </c>
      <c r="G1352" s="11" t="str">
        <f aca="false">IF(INDEX(選手一覧!$D$7:$D$2738,$F1352)="","",INDEX(選手一覧!$D$7:$D$2738,$F1352))</f>
        <v/>
      </c>
      <c r="H1352" s="12" t="str">
        <f aca="false">IF(INDEX(選手一覧!$E$7:$E$2738,$F1352)="","",INDEX(選手一覧!$E$7:$E$2738,$F1352))</f>
        <v/>
      </c>
      <c r="I1352" s="11" t="str">
        <f aca="false">IF(INDEX(選手一覧!$H$7:$H$2738,$F1352)="","",INDEX(選手一覧!$H$7:$H$2738,$F1352))</f>
        <v/>
      </c>
      <c r="J1352" s="12" t="str">
        <f aca="false">IF(INDEX(選手一覧!$I$7:$I$2738,$F1352)="","",INDEX(選手一覧!$I$7:$I$2738,$F1352))</f>
        <v/>
      </c>
    </row>
    <row r="1353" customFormat="false" ht="15" hidden="false" customHeight="false" outlineLevel="0" collapsed="false">
      <c r="A1353" s="12" t="n">
        <v>1349</v>
      </c>
      <c r="B1353" s="10" t="s">
        <v>3807</v>
      </c>
      <c r="C1353" s="10" t="s">
        <v>244</v>
      </c>
      <c r="D1353" s="11" t="n">
        <v>0.008946875</v>
      </c>
      <c r="E1353" s="18" t="n">
        <f aca="false">ROUND((D1353-$D$5)*86400,2)</f>
        <v>233.99</v>
      </c>
      <c r="F1353" s="12" t="n">
        <v>2700</v>
      </c>
      <c r="G1353" s="11" t="str">
        <f aca="false">IF(INDEX(選手一覧!$D$7:$D$2738,$F1353)="","",INDEX(選手一覧!$D$7:$D$2738,$F1353))</f>
        <v/>
      </c>
      <c r="H1353" s="12" t="str">
        <f aca="false">IF(INDEX(選手一覧!$E$7:$E$2738,$F1353)="","",INDEX(選手一覧!$E$7:$E$2738,$F1353))</f>
        <v/>
      </c>
      <c r="I1353" s="11" t="str">
        <f aca="false">IF(INDEX(選手一覧!$H$7:$H$2738,$F1353)="","",INDEX(選手一覧!$H$7:$H$2738,$F1353))</f>
        <v/>
      </c>
      <c r="J1353" s="12" t="str">
        <f aca="false">IF(INDEX(選手一覧!$I$7:$I$2738,$F1353)="","",INDEX(選手一覧!$I$7:$I$2738,$F1353))</f>
        <v/>
      </c>
    </row>
    <row r="1354" customFormat="false" ht="15" hidden="false" customHeight="false" outlineLevel="0" collapsed="false">
      <c r="A1354" s="12" t="n">
        <v>1350</v>
      </c>
      <c r="B1354" s="10" t="s">
        <v>3808</v>
      </c>
      <c r="C1354" s="10" t="s">
        <v>3809</v>
      </c>
      <c r="D1354" s="11" t="n">
        <v>0.00894965277777778</v>
      </c>
      <c r="E1354" s="18" t="n">
        <f aca="false">ROUND((D1354-$D$5)*86400,2)</f>
        <v>234.23</v>
      </c>
      <c r="F1354" s="12" t="n">
        <v>2701</v>
      </c>
      <c r="G1354" s="11" t="str">
        <f aca="false">IF(INDEX(選手一覧!$D$7:$D$2738,$F1354)="","",INDEX(選手一覧!$D$7:$D$2738,$F1354))</f>
        <v/>
      </c>
      <c r="H1354" s="12" t="str">
        <f aca="false">IF(INDEX(選手一覧!$E$7:$E$2738,$F1354)="","",INDEX(選手一覧!$E$7:$E$2738,$F1354))</f>
        <v/>
      </c>
      <c r="I1354" s="11" t="str">
        <f aca="false">IF(INDEX(選手一覧!$H$7:$H$2738,$F1354)="","",INDEX(選手一覧!$H$7:$H$2738,$F1354))</f>
        <v/>
      </c>
      <c r="J1354" s="12" t="str">
        <f aca="false">IF(INDEX(選手一覧!$I$7:$I$2738,$F1354)="","",INDEX(選手一覧!$I$7:$I$2738,$F1354))</f>
        <v/>
      </c>
    </row>
    <row r="1355" customFormat="false" ht="15" hidden="false" customHeight="false" outlineLevel="0" collapsed="false">
      <c r="A1355" s="12" t="n">
        <v>1351</v>
      </c>
      <c r="B1355" s="10" t="s">
        <v>3810</v>
      </c>
      <c r="C1355" s="10" t="s">
        <v>3811</v>
      </c>
      <c r="D1355" s="11" t="n">
        <v>0.00895011574074074</v>
      </c>
      <c r="E1355" s="18" t="n">
        <f aca="false">ROUND((D1355-$D$5)*86400,2)</f>
        <v>234.27</v>
      </c>
      <c r="F1355" s="12" t="n">
        <v>2702</v>
      </c>
      <c r="G1355" s="11" t="str">
        <f aca="false">IF(INDEX(選手一覧!$D$7:$D$2738,$F1355)="","",INDEX(選手一覧!$D$7:$D$2738,$F1355))</f>
        <v/>
      </c>
      <c r="H1355" s="12" t="str">
        <f aca="false">IF(INDEX(選手一覧!$E$7:$E$2738,$F1355)="","",INDEX(選手一覧!$E$7:$E$2738,$F1355))</f>
        <v/>
      </c>
      <c r="I1355" s="11" t="str">
        <f aca="false">IF(INDEX(選手一覧!$H$7:$H$2738,$F1355)="","",INDEX(選手一覧!$H$7:$H$2738,$F1355))</f>
        <v/>
      </c>
      <c r="J1355" s="12" t="str">
        <f aca="false">IF(INDEX(選手一覧!$I$7:$I$2738,$F1355)="","",INDEX(選手一覧!$I$7:$I$2738,$F1355))</f>
        <v/>
      </c>
    </row>
    <row r="1356" customFormat="false" ht="15" hidden="false" customHeight="false" outlineLevel="0" collapsed="false">
      <c r="A1356" s="12" t="n">
        <v>1352</v>
      </c>
      <c r="B1356" s="10" t="s">
        <v>3812</v>
      </c>
      <c r="C1356" s="10" t="s">
        <v>3813</v>
      </c>
      <c r="D1356" s="11" t="n">
        <v>0.00897789351851852</v>
      </c>
      <c r="E1356" s="18" t="n">
        <f aca="false">ROUND((D1356-$D$5)*86400,2)</f>
        <v>236.67</v>
      </c>
      <c r="F1356" s="12" t="n">
        <v>2703</v>
      </c>
      <c r="G1356" s="11" t="str">
        <f aca="false">IF(INDEX(選手一覧!$D$7:$D$2738,$F1356)="","",INDEX(選手一覧!$D$7:$D$2738,$F1356))</f>
        <v/>
      </c>
      <c r="H1356" s="12" t="str">
        <f aca="false">IF(INDEX(選手一覧!$E$7:$E$2738,$F1356)="","",INDEX(選手一覧!$E$7:$E$2738,$F1356))</f>
        <v/>
      </c>
      <c r="I1356" s="11" t="str">
        <f aca="false">IF(INDEX(選手一覧!$H$7:$H$2738,$F1356)="","",INDEX(選手一覧!$H$7:$H$2738,$F1356))</f>
        <v/>
      </c>
      <c r="J1356" s="12" t="str">
        <f aca="false">IF(INDEX(選手一覧!$I$7:$I$2738,$F1356)="","",INDEX(選手一覧!$I$7:$I$2738,$F1356))</f>
        <v/>
      </c>
    </row>
    <row r="1357" customFormat="false" ht="15" hidden="false" customHeight="false" outlineLevel="0" collapsed="false">
      <c r="A1357" s="12" t="n">
        <v>1353</v>
      </c>
      <c r="B1357" s="10" t="s">
        <v>3815</v>
      </c>
      <c r="C1357" s="10" t="s">
        <v>3736</v>
      </c>
      <c r="D1357" s="11" t="n">
        <v>0.009009375</v>
      </c>
      <c r="E1357" s="18" t="n">
        <f aca="false">ROUND((D1357-$D$5)*86400,2)</f>
        <v>239.39</v>
      </c>
      <c r="F1357" s="12" t="n">
        <v>2705</v>
      </c>
      <c r="G1357" s="11" t="str">
        <f aca="false">IF(INDEX(選手一覧!$D$7:$D$2738,$F1357)="","",INDEX(選手一覧!$D$7:$D$2738,$F1357))</f>
        <v/>
      </c>
      <c r="H1357" s="12" t="str">
        <f aca="false">IF(INDEX(選手一覧!$E$7:$E$2738,$F1357)="","",INDEX(選手一覧!$E$7:$E$2738,$F1357))</f>
        <v/>
      </c>
      <c r="I1357" s="11" t="str">
        <f aca="false">IF(INDEX(選手一覧!$H$7:$H$2738,$F1357)="","",INDEX(選手一覧!$H$7:$H$2738,$F1357))</f>
        <v/>
      </c>
      <c r="J1357" s="12" t="str">
        <f aca="false">IF(INDEX(選手一覧!$I$7:$I$2738,$F1357)="","",INDEX(選手一覧!$I$7:$I$2738,$F1357))</f>
        <v/>
      </c>
    </row>
    <row r="1358" customFormat="false" ht="15" hidden="false" customHeight="false" outlineLevel="0" collapsed="false">
      <c r="A1358" s="12" t="n">
        <v>1354</v>
      </c>
      <c r="B1358" s="10" t="s">
        <v>3817</v>
      </c>
      <c r="C1358" s="10" t="s">
        <v>1970</v>
      </c>
      <c r="D1358" s="11" t="n">
        <v>0.00901157407407408</v>
      </c>
      <c r="E1358" s="18" t="n">
        <f aca="false">ROUND((D1358-$D$5)*86400,2)</f>
        <v>239.58</v>
      </c>
      <c r="F1358" s="12" t="n">
        <v>2707</v>
      </c>
      <c r="G1358" s="11" t="str">
        <f aca="false">IF(INDEX(選手一覧!$D$7:$D$2738,$F1358)="","",INDEX(選手一覧!$D$7:$D$2738,$F1358))</f>
        <v/>
      </c>
      <c r="H1358" s="12" t="str">
        <f aca="false">IF(INDEX(選手一覧!$E$7:$E$2738,$F1358)="","",INDEX(選手一覧!$E$7:$E$2738,$F1358))</f>
        <v/>
      </c>
      <c r="I1358" s="11" t="str">
        <f aca="false">IF(INDEX(選手一覧!$H$7:$H$2738,$F1358)="","",INDEX(選手一覧!$H$7:$H$2738,$F1358))</f>
        <v/>
      </c>
      <c r="J1358" s="12" t="str">
        <f aca="false">IF(INDEX(選手一覧!$I$7:$I$2738,$F1358)="","",INDEX(選手一覧!$I$7:$I$2738,$F1358))</f>
        <v/>
      </c>
    </row>
    <row r="1359" customFormat="false" ht="15" hidden="false" customHeight="false" outlineLevel="0" collapsed="false">
      <c r="A1359" s="12" t="n">
        <v>1355</v>
      </c>
      <c r="B1359" s="10" t="s">
        <v>3820</v>
      </c>
      <c r="C1359" s="10" t="s">
        <v>541</v>
      </c>
      <c r="D1359" s="11" t="n">
        <v>0.00901863425925926</v>
      </c>
      <c r="E1359" s="18" t="n">
        <f aca="false">ROUND((D1359-$D$5)*86400,2)</f>
        <v>240.19</v>
      </c>
      <c r="F1359" s="12" t="n">
        <v>2709</v>
      </c>
      <c r="G1359" s="11" t="str">
        <f aca="false">IF(INDEX(選手一覧!$D$7:$D$2738,$F1359)="","",INDEX(選手一覧!$D$7:$D$2738,$F1359))</f>
        <v/>
      </c>
      <c r="H1359" s="12" t="str">
        <f aca="false">IF(INDEX(選手一覧!$E$7:$E$2738,$F1359)="","",INDEX(選手一覧!$E$7:$E$2738,$F1359))</f>
        <v/>
      </c>
      <c r="I1359" s="11" t="str">
        <f aca="false">IF(INDEX(選手一覧!$H$7:$H$2738,$F1359)="","",INDEX(選手一覧!$H$7:$H$2738,$F1359))</f>
        <v/>
      </c>
      <c r="J1359" s="12" t="str">
        <f aca="false">IF(INDEX(選手一覧!$I$7:$I$2738,$F1359)="","",INDEX(選手一覧!$I$7:$I$2738,$F1359))</f>
        <v/>
      </c>
    </row>
    <row r="1360" customFormat="false" ht="15" hidden="false" customHeight="false" outlineLevel="0" collapsed="false">
      <c r="A1360" s="12" t="n">
        <v>1356</v>
      </c>
      <c r="B1360" s="10" t="s">
        <v>3821</v>
      </c>
      <c r="C1360" s="10" t="s">
        <v>69</v>
      </c>
      <c r="D1360" s="11" t="n">
        <v>0.00903194444444445</v>
      </c>
      <c r="E1360" s="18" t="n">
        <f aca="false">ROUND((D1360-$D$5)*86400,2)</f>
        <v>241.34</v>
      </c>
      <c r="F1360" s="12" t="n">
        <v>2710</v>
      </c>
      <c r="G1360" s="11" t="str">
        <f aca="false">IF(INDEX(選手一覧!$D$7:$D$2738,$F1360)="","",INDEX(選手一覧!$D$7:$D$2738,$F1360))</f>
        <v/>
      </c>
      <c r="H1360" s="12" t="str">
        <f aca="false">IF(INDEX(選手一覧!$E$7:$E$2738,$F1360)="","",INDEX(選手一覧!$E$7:$E$2738,$F1360))</f>
        <v/>
      </c>
      <c r="I1360" s="11" t="str">
        <f aca="false">IF(INDEX(選手一覧!$H$7:$H$2738,$F1360)="","",INDEX(選手一覧!$H$7:$H$2738,$F1360))</f>
        <v/>
      </c>
      <c r="J1360" s="12" t="str">
        <f aca="false">IF(INDEX(選手一覧!$I$7:$I$2738,$F1360)="","",INDEX(選手一覧!$I$7:$I$2738,$F1360))</f>
        <v/>
      </c>
    </row>
    <row r="1361" customFormat="false" ht="15" hidden="false" customHeight="false" outlineLevel="0" collapsed="false">
      <c r="A1361" s="12" t="n">
        <v>1357</v>
      </c>
      <c r="B1361" s="10" t="s">
        <v>3822</v>
      </c>
      <c r="C1361" s="10" t="s">
        <v>1900</v>
      </c>
      <c r="D1361" s="11" t="n">
        <v>0.00903425925925926</v>
      </c>
      <c r="E1361" s="18" t="n">
        <f aca="false">ROUND((D1361-$D$5)*86400,2)</f>
        <v>241.54</v>
      </c>
      <c r="F1361" s="12" t="n">
        <v>2711</v>
      </c>
      <c r="G1361" s="11" t="str">
        <f aca="false">IF(INDEX(選手一覧!$D$7:$D$2738,$F1361)="","",INDEX(選手一覧!$D$7:$D$2738,$F1361))</f>
        <v/>
      </c>
      <c r="H1361" s="12" t="str">
        <f aca="false">IF(INDEX(選手一覧!$E$7:$E$2738,$F1361)="","",INDEX(選手一覧!$E$7:$E$2738,$F1361))</f>
        <v/>
      </c>
      <c r="I1361" s="11" t="str">
        <f aca="false">IF(INDEX(選手一覧!$H$7:$H$2738,$F1361)="","",INDEX(選手一覧!$H$7:$H$2738,$F1361))</f>
        <v/>
      </c>
      <c r="J1361" s="12" t="str">
        <f aca="false">IF(INDEX(選手一覧!$I$7:$I$2738,$F1361)="","",INDEX(選手一覧!$I$7:$I$2738,$F1361))</f>
        <v/>
      </c>
    </row>
    <row r="1362" customFormat="false" ht="15" hidden="false" customHeight="false" outlineLevel="0" collapsed="false">
      <c r="A1362" s="12" t="n">
        <v>1358</v>
      </c>
      <c r="B1362" s="10" t="s">
        <v>3824</v>
      </c>
      <c r="C1362" s="10" t="s">
        <v>3825</v>
      </c>
      <c r="D1362" s="11" t="n">
        <v>0.00903993055555556</v>
      </c>
      <c r="E1362" s="18" t="n">
        <f aca="false">ROUND((D1362-$D$5)*86400,2)</f>
        <v>242.03</v>
      </c>
      <c r="F1362" s="12" t="n">
        <v>2713</v>
      </c>
      <c r="G1362" s="11" t="str">
        <f aca="false">IF(INDEX(選手一覧!$D$7:$D$2738,$F1362)="","",INDEX(選手一覧!$D$7:$D$2738,$F1362))</f>
        <v/>
      </c>
      <c r="H1362" s="12" t="str">
        <f aca="false">IF(INDEX(選手一覧!$E$7:$E$2738,$F1362)="","",INDEX(選手一覧!$E$7:$E$2738,$F1362))</f>
        <v/>
      </c>
      <c r="I1362" s="11" t="str">
        <f aca="false">IF(INDEX(選手一覧!$H$7:$H$2738,$F1362)="","",INDEX(選手一覧!$H$7:$H$2738,$F1362))</f>
        <v/>
      </c>
      <c r="J1362" s="12" t="str">
        <f aca="false">IF(INDEX(選手一覧!$I$7:$I$2738,$F1362)="","",INDEX(選手一覧!$I$7:$I$2738,$F1362))</f>
        <v/>
      </c>
    </row>
    <row r="1363" customFormat="false" ht="15" hidden="false" customHeight="false" outlineLevel="0" collapsed="false">
      <c r="A1363" s="12" t="n">
        <v>1359</v>
      </c>
      <c r="B1363" s="10" t="s">
        <v>3826</v>
      </c>
      <c r="C1363" s="10" t="s">
        <v>3827</v>
      </c>
      <c r="D1363" s="11" t="n">
        <v>0.00908773148148148</v>
      </c>
      <c r="E1363" s="18" t="n">
        <f aca="false">ROUND((D1363-$D$5)*86400,2)</f>
        <v>246.16</v>
      </c>
      <c r="F1363" s="12" t="n">
        <v>2714</v>
      </c>
      <c r="G1363" s="11" t="str">
        <f aca="false">IF(INDEX(選手一覧!$D$7:$D$2738,$F1363)="","",INDEX(選手一覧!$D$7:$D$2738,$F1363))</f>
        <v/>
      </c>
      <c r="H1363" s="12" t="str">
        <f aca="false">IF(INDEX(選手一覧!$E$7:$E$2738,$F1363)="","",INDEX(選手一覧!$E$7:$E$2738,$F1363))</f>
        <v/>
      </c>
      <c r="I1363" s="11" t="str">
        <f aca="false">IF(INDEX(選手一覧!$H$7:$H$2738,$F1363)="","",INDEX(選手一覧!$H$7:$H$2738,$F1363))</f>
        <v/>
      </c>
      <c r="J1363" s="12" t="str">
        <f aca="false">IF(INDEX(選手一覧!$I$7:$I$2738,$F1363)="","",INDEX(選手一覧!$I$7:$I$2738,$F1363))</f>
        <v/>
      </c>
    </row>
    <row r="1364" customFormat="false" ht="15" hidden="false" customHeight="false" outlineLevel="0" collapsed="false">
      <c r="A1364" s="12" t="n">
        <v>1360</v>
      </c>
      <c r="B1364" s="10" t="s">
        <v>3828</v>
      </c>
      <c r="C1364" s="10" t="s">
        <v>1271</v>
      </c>
      <c r="D1364" s="11" t="n">
        <v>0.00909224537037037</v>
      </c>
      <c r="E1364" s="18" t="n">
        <f aca="false">ROUND((D1364-$D$5)*86400,2)</f>
        <v>246.55</v>
      </c>
      <c r="F1364" s="12" t="n">
        <v>2715</v>
      </c>
      <c r="G1364" s="11" t="str">
        <f aca="false">IF(INDEX(選手一覧!$D$7:$D$2738,$F1364)="","",INDEX(選手一覧!$D$7:$D$2738,$F1364))</f>
        <v/>
      </c>
      <c r="H1364" s="12" t="str">
        <f aca="false">IF(INDEX(選手一覧!$E$7:$E$2738,$F1364)="","",INDEX(選手一覧!$E$7:$E$2738,$F1364))</f>
        <v/>
      </c>
      <c r="I1364" s="11" t="str">
        <f aca="false">IF(INDEX(選手一覧!$H$7:$H$2738,$F1364)="","",INDEX(選手一覧!$H$7:$H$2738,$F1364))</f>
        <v/>
      </c>
      <c r="J1364" s="12" t="str">
        <f aca="false">IF(INDEX(選手一覧!$I$7:$I$2738,$F1364)="","",INDEX(選手一覧!$I$7:$I$2738,$F1364))</f>
        <v/>
      </c>
    </row>
    <row r="1365" customFormat="false" ht="15" hidden="false" customHeight="false" outlineLevel="0" collapsed="false">
      <c r="A1365" s="12" t="n">
        <v>1361</v>
      </c>
      <c r="B1365" s="10" t="s">
        <v>3829</v>
      </c>
      <c r="C1365" s="10" t="s">
        <v>3775</v>
      </c>
      <c r="D1365" s="11" t="n">
        <v>0.00909351851851852</v>
      </c>
      <c r="E1365" s="18" t="n">
        <f aca="false">ROUND((D1365-$D$5)*86400,2)</f>
        <v>246.66</v>
      </c>
      <c r="F1365" s="12" t="n">
        <v>2716</v>
      </c>
      <c r="G1365" s="11" t="str">
        <f aca="false">IF(INDEX(選手一覧!$D$7:$D$2738,$F1365)="","",INDEX(選手一覧!$D$7:$D$2738,$F1365))</f>
        <v/>
      </c>
      <c r="H1365" s="12" t="str">
        <f aca="false">IF(INDEX(選手一覧!$E$7:$E$2738,$F1365)="","",INDEX(選手一覧!$E$7:$E$2738,$F1365))</f>
        <v/>
      </c>
      <c r="I1365" s="11" t="str">
        <f aca="false">IF(INDEX(選手一覧!$H$7:$H$2738,$F1365)="","",INDEX(選手一覧!$H$7:$H$2738,$F1365))</f>
        <v/>
      </c>
      <c r="J1365" s="12" t="str">
        <f aca="false">IF(INDEX(選手一覧!$I$7:$I$2738,$F1365)="","",INDEX(選手一覧!$I$7:$I$2738,$F1365))</f>
        <v/>
      </c>
    </row>
    <row r="1366" customFormat="false" ht="15" hidden="false" customHeight="false" outlineLevel="0" collapsed="false">
      <c r="A1366" s="12" t="n">
        <v>1362</v>
      </c>
      <c r="B1366" s="10" t="s">
        <v>3830</v>
      </c>
      <c r="C1366" s="10" t="s">
        <v>3831</v>
      </c>
      <c r="D1366" s="11" t="n">
        <v>0.00909513888888889</v>
      </c>
      <c r="E1366" s="18" t="n">
        <f aca="false">ROUND((D1366-$D$5)*86400,2)</f>
        <v>246.8</v>
      </c>
      <c r="F1366" s="12" t="n">
        <v>2717</v>
      </c>
      <c r="G1366" s="11" t="str">
        <f aca="false">IF(INDEX(選手一覧!$D$7:$D$2738,$F1366)="","",INDEX(選手一覧!$D$7:$D$2738,$F1366))</f>
        <v/>
      </c>
      <c r="H1366" s="12" t="str">
        <f aca="false">IF(INDEX(選手一覧!$E$7:$E$2738,$F1366)="","",INDEX(選手一覧!$E$7:$E$2738,$F1366))</f>
        <v/>
      </c>
      <c r="I1366" s="11" t="str">
        <f aca="false">IF(INDEX(選手一覧!$H$7:$H$2738,$F1366)="","",INDEX(選手一覧!$H$7:$H$2738,$F1366))</f>
        <v/>
      </c>
      <c r="J1366" s="12" t="str">
        <f aca="false">IF(INDEX(選手一覧!$I$7:$I$2738,$F1366)="","",INDEX(選手一覧!$I$7:$I$2738,$F1366))</f>
        <v/>
      </c>
    </row>
    <row r="1367" customFormat="false" ht="15" hidden="false" customHeight="false" outlineLevel="0" collapsed="false">
      <c r="A1367" s="12" t="n">
        <v>1363</v>
      </c>
      <c r="B1367" s="10" t="s">
        <v>3832</v>
      </c>
      <c r="C1367" s="10" t="s">
        <v>1368</v>
      </c>
      <c r="D1367" s="11" t="n">
        <v>0.00914594907407407</v>
      </c>
      <c r="E1367" s="18" t="n">
        <f aca="false">ROUND((D1367-$D$5)*86400,2)</f>
        <v>251.19</v>
      </c>
      <c r="F1367" s="12" t="n">
        <v>2718</v>
      </c>
      <c r="G1367" s="11" t="str">
        <f aca="false">IF(INDEX(選手一覧!$D$7:$D$2738,$F1367)="","",INDEX(選手一覧!$D$7:$D$2738,$F1367))</f>
        <v/>
      </c>
      <c r="H1367" s="12" t="str">
        <f aca="false">IF(INDEX(選手一覧!$E$7:$E$2738,$F1367)="","",INDEX(選手一覧!$E$7:$E$2738,$F1367))</f>
        <v/>
      </c>
      <c r="I1367" s="11" t="str">
        <f aca="false">IF(INDEX(選手一覧!$H$7:$H$2738,$F1367)="","",INDEX(選手一覧!$H$7:$H$2738,$F1367))</f>
        <v/>
      </c>
      <c r="J1367" s="12" t="str">
        <f aca="false">IF(INDEX(選手一覧!$I$7:$I$2738,$F1367)="","",INDEX(選手一覧!$I$7:$I$2738,$F1367))</f>
        <v/>
      </c>
    </row>
    <row r="1368" customFormat="false" ht="15" hidden="false" customHeight="false" outlineLevel="0" collapsed="false">
      <c r="A1368" s="12" t="n">
        <v>1364</v>
      </c>
      <c r="B1368" s="10" t="s">
        <v>3833</v>
      </c>
      <c r="C1368" s="10" t="s">
        <v>139</v>
      </c>
      <c r="D1368" s="11" t="n">
        <v>0.00915092592592593</v>
      </c>
      <c r="E1368" s="18" t="n">
        <f aca="false">ROUND((D1368-$D$5)*86400,2)</f>
        <v>251.62</v>
      </c>
      <c r="F1368" s="12" t="n">
        <v>2719</v>
      </c>
      <c r="G1368" s="11" t="str">
        <f aca="false">IF(INDEX(選手一覧!$D$7:$D$2738,$F1368)="","",INDEX(選手一覧!$D$7:$D$2738,$F1368))</f>
        <v/>
      </c>
      <c r="H1368" s="12" t="str">
        <f aca="false">IF(INDEX(選手一覧!$E$7:$E$2738,$F1368)="","",INDEX(選手一覧!$E$7:$E$2738,$F1368))</f>
        <v/>
      </c>
      <c r="I1368" s="11" t="str">
        <f aca="false">IF(INDEX(選手一覧!$H$7:$H$2738,$F1368)="","",INDEX(選手一覧!$H$7:$H$2738,$F1368))</f>
        <v/>
      </c>
      <c r="J1368" s="12" t="str">
        <f aca="false">IF(INDEX(選手一覧!$I$7:$I$2738,$F1368)="","",INDEX(選手一覧!$I$7:$I$2738,$F1368))</f>
        <v/>
      </c>
    </row>
    <row r="1369" customFormat="false" ht="15" hidden="false" customHeight="false" outlineLevel="0" collapsed="false">
      <c r="A1369" s="12" t="n">
        <v>1365</v>
      </c>
      <c r="B1369" s="10" t="s">
        <v>3834</v>
      </c>
      <c r="C1369" s="10" t="s">
        <v>3736</v>
      </c>
      <c r="D1369" s="11" t="n">
        <v>0.00917615740740741</v>
      </c>
      <c r="E1369" s="18" t="n">
        <f aca="false">ROUND((D1369-$D$5)*86400,2)</f>
        <v>253.8</v>
      </c>
      <c r="F1369" s="12" t="n">
        <v>2720</v>
      </c>
      <c r="G1369" s="11" t="str">
        <f aca="false">IF(INDEX(選手一覧!$D$7:$D$2738,$F1369)="","",INDEX(選手一覧!$D$7:$D$2738,$F1369))</f>
        <v/>
      </c>
      <c r="H1369" s="12" t="str">
        <f aca="false">IF(INDEX(選手一覧!$E$7:$E$2738,$F1369)="","",INDEX(選手一覧!$E$7:$E$2738,$F1369))</f>
        <v/>
      </c>
      <c r="I1369" s="11" t="str">
        <f aca="false">IF(INDEX(選手一覧!$H$7:$H$2738,$F1369)="","",INDEX(選手一覧!$H$7:$H$2738,$F1369))</f>
        <v/>
      </c>
      <c r="J1369" s="12" t="str">
        <f aca="false">IF(INDEX(選手一覧!$I$7:$I$2738,$F1369)="","",INDEX(選手一覧!$I$7:$I$2738,$F1369))</f>
        <v/>
      </c>
    </row>
    <row r="1370" customFormat="false" ht="15" hidden="false" customHeight="false" outlineLevel="0" collapsed="false">
      <c r="A1370" s="12" t="n">
        <v>1366</v>
      </c>
      <c r="B1370" s="10" t="s">
        <v>3835</v>
      </c>
      <c r="C1370" s="10" t="s">
        <v>3827</v>
      </c>
      <c r="D1370" s="11" t="n">
        <v>0.00924594907407408</v>
      </c>
      <c r="E1370" s="18" t="n">
        <f aca="false">ROUND((D1370-$D$5)*86400,2)</f>
        <v>259.83</v>
      </c>
      <c r="F1370" s="12" t="n">
        <v>2721</v>
      </c>
      <c r="G1370" s="11" t="str">
        <f aca="false">IF(INDEX(選手一覧!$D$7:$D$2738,$F1370)="","",INDEX(選手一覧!$D$7:$D$2738,$F1370))</f>
        <v/>
      </c>
      <c r="H1370" s="12" t="str">
        <f aca="false">IF(INDEX(選手一覧!$E$7:$E$2738,$F1370)="","",INDEX(選手一覧!$E$7:$E$2738,$F1370))</f>
        <v/>
      </c>
      <c r="I1370" s="11" t="str">
        <f aca="false">IF(INDEX(選手一覧!$H$7:$H$2738,$F1370)="","",INDEX(選手一覧!$H$7:$H$2738,$F1370))</f>
        <v/>
      </c>
      <c r="J1370" s="12" t="str">
        <f aca="false">IF(INDEX(選手一覧!$I$7:$I$2738,$F1370)="","",INDEX(選手一覧!$I$7:$I$2738,$F1370))</f>
        <v/>
      </c>
    </row>
    <row r="1371" customFormat="false" ht="15" hidden="false" customHeight="false" outlineLevel="0" collapsed="false">
      <c r="A1371" s="12" t="n">
        <v>1367</v>
      </c>
      <c r="B1371" s="10" t="s">
        <v>3836</v>
      </c>
      <c r="C1371" s="10" t="s">
        <v>3837</v>
      </c>
      <c r="D1371" s="11" t="n">
        <v>0.00924618055555556</v>
      </c>
      <c r="E1371" s="18" t="n">
        <f aca="false">ROUND((D1371-$D$5)*86400,2)</f>
        <v>259.85</v>
      </c>
      <c r="F1371" s="12" t="n">
        <v>2722</v>
      </c>
      <c r="G1371" s="11" t="str">
        <f aca="false">IF(INDEX(選手一覧!$D$7:$D$2738,$F1371)="","",INDEX(選手一覧!$D$7:$D$2738,$F1371))</f>
        <v/>
      </c>
      <c r="H1371" s="12" t="str">
        <f aca="false">IF(INDEX(選手一覧!$E$7:$E$2738,$F1371)="","",INDEX(選手一覧!$E$7:$E$2738,$F1371))</f>
        <v/>
      </c>
      <c r="I1371" s="11" t="str">
        <f aca="false">IF(INDEX(選手一覧!$H$7:$H$2738,$F1371)="","",INDEX(選手一覧!$H$7:$H$2738,$F1371))</f>
        <v/>
      </c>
      <c r="J1371" s="12" t="str">
        <f aca="false">IF(INDEX(選手一覧!$I$7:$I$2738,$F1371)="","",INDEX(選手一覧!$I$7:$I$2738,$F1371))</f>
        <v/>
      </c>
    </row>
    <row r="1372" customFormat="false" ht="15" hidden="false" customHeight="false" outlineLevel="0" collapsed="false">
      <c r="A1372" s="12" t="n">
        <v>1368</v>
      </c>
      <c r="B1372" s="10" t="s">
        <v>3838</v>
      </c>
      <c r="C1372" s="10" t="s">
        <v>3390</v>
      </c>
      <c r="D1372" s="11" t="n">
        <v>0.00928900462962963</v>
      </c>
      <c r="E1372" s="18" t="n">
        <f aca="false">ROUND((D1372-$D$5)*86400,2)</f>
        <v>263.55</v>
      </c>
      <c r="F1372" s="12" t="n">
        <v>2723</v>
      </c>
      <c r="G1372" s="11" t="str">
        <f aca="false">IF(INDEX(選手一覧!$D$7:$D$2738,$F1372)="","",INDEX(選手一覧!$D$7:$D$2738,$F1372))</f>
        <v/>
      </c>
      <c r="H1372" s="12" t="str">
        <f aca="false">IF(INDEX(選手一覧!$E$7:$E$2738,$F1372)="","",INDEX(選手一覧!$E$7:$E$2738,$F1372))</f>
        <v/>
      </c>
      <c r="I1372" s="11" t="str">
        <f aca="false">IF(INDEX(選手一覧!$H$7:$H$2738,$F1372)="","",INDEX(選手一覧!$H$7:$H$2738,$F1372))</f>
        <v/>
      </c>
      <c r="J1372" s="12" t="str">
        <f aca="false">IF(INDEX(選手一覧!$I$7:$I$2738,$F1372)="","",INDEX(選手一覧!$I$7:$I$2738,$F1372))</f>
        <v/>
      </c>
    </row>
    <row r="1373" customFormat="false" ht="15" hidden="false" customHeight="false" outlineLevel="0" collapsed="false">
      <c r="A1373" s="12" t="n">
        <v>1369</v>
      </c>
      <c r="B1373" s="10" t="s">
        <v>3839</v>
      </c>
      <c r="C1373" s="10" t="s">
        <v>3840</v>
      </c>
      <c r="D1373" s="11" t="n">
        <v>0.00930740740740741</v>
      </c>
      <c r="E1373" s="18" t="n">
        <f aca="false">ROUND((D1373-$D$5)*86400,2)</f>
        <v>265.14</v>
      </c>
      <c r="F1373" s="12" t="n">
        <v>2724</v>
      </c>
      <c r="G1373" s="11" t="str">
        <f aca="false">IF(INDEX(選手一覧!$D$7:$D$2738,$F1373)="","",INDEX(選手一覧!$D$7:$D$2738,$F1373))</f>
        <v/>
      </c>
      <c r="H1373" s="12" t="str">
        <f aca="false">IF(INDEX(選手一覧!$E$7:$E$2738,$F1373)="","",INDEX(選手一覧!$E$7:$E$2738,$F1373))</f>
        <v/>
      </c>
      <c r="I1373" s="11" t="str">
        <f aca="false">IF(INDEX(選手一覧!$H$7:$H$2738,$F1373)="","",INDEX(選手一覧!$H$7:$H$2738,$F1373))</f>
        <v/>
      </c>
      <c r="J1373" s="12" t="str">
        <f aca="false">IF(INDEX(選手一覧!$I$7:$I$2738,$F1373)="","",INDEX(選手一覧!$I$7:$I$2738,$F1373))</f>
        <v/>
      </c>
    </row>
    <row r="1374" customFormat="false" ht="15" hidden="false" customHeight="false" outlineLevel="0" collapsed="false">
      <c r="A1374" s="12" t="n">
        <v>1370</v>
      </c>
      <c r="B1374" s="10" t="s">
        <v>3841</v>
      </c>
      <c r="C1374" s="10" t="s">
        <v>2373</v>
      </c>
      <c r="D1374" s="11" t="n">
        <v>0.00931400462962963</v>
      </c>
      <c r="E1374" s="18" t="n">
        <f aca="false">ROUND((D1374-$D$5)*86400,2)</f>
        <v>265.71</v>
      </c>
      <c r="F1374" s="12" t="n">
        <v>2725</v>
      </c>
      <c r="G1374" s="11" t="str">
        <f aca="false">IF(INDEX(選手一覧!$D$7:$D$2738,$F1374)="","",INDEX(選手一覧!$D$7:$D$2738,$F1374))</f>
        <v/>
      </c>
      <c r="H1374" s="12" t="str">
        <f aca="false">IF(INDEX(選手一覧!$E$7:$E$2738,$F1374)="","",INDEX(選手一覧!$E$7:$E$2738,$F1374))</f>
        <v/>
      </c>
      <c r="I1374" s="11" t="str">
        <f aca="false">IF(INDEX(選手一覧!$H$7:$H$2738,$F1374)="","",INDEX(選手一覧!$H$7:$H$2738,$F1374))</f>
        <v/>
      </c>
      <c r="J1374" s="12" t="str">
        <f aca="false">IF(INDEX(選手一覧!$I$7:$I$2738,$F1374)="","",INDEX(選手一覧!$I$7:$I$2738,$F1374))</f>
        <v/>
      </c>
    </row>
    <row r="1375" customFormat="false" ht="15" hidden="false" customHeight="false" outlineLevel="0" collapsed="false">
      <c r="A1375" s="12" t="n">
        <v>1371</v>
      </c>
      <c r="B1375" s="10" t="s">
        <v>3842</v>
      </c>
      <c r="C1375" s="10" t="s">
        <v>3843</v>
      </c>
      <c r="D1375" s="11" t="n">
        <v>0.009334375</v>
      </c>
      <c r="E1375" s="18" t="n">
        <f aca="false">ROUND((D1375-$D$5)*86400,2)</f>
        <v>267.47</v>
      </c>
      <c r="F1375" s="12" t="n">
        <v>2726</v>
      </c>
      <c r="G1375" s="11" t="str">
        <f aca="false">IF(INDEX(選手一覧!$D$7:$D$2738,$F1375)="","",INDEX(選手一覧!$D$7:$D$2738,$F1375))</f>
        <v/>
      </c>
      <c r="H1375" s="12" t="str">
        <f aca="false">IF(INDEX(選手一覧!$E$7:$E$2738,$F1375)="","",INDEX(選手一覧!$E$7:$E$2738,$F1375))</f>
        <v/>
      </c>
      <c r="I1375" s="11" t="str">
        <f aca="false">IF(INDEX(選手一覧!$H$7:$H$2738,$F1375)="","",INDEX(選手一覧!$H$7:$H$2738,$F1375))</f>
        <v/>
      </c>
      <c r="J1375" s="12" t="str">
        <f aca="false">IF(INDEX(選手一覧!$I$7:$I$2738,$F1375)="","",INDEX(選手一覧!$I$7:$I$2738,$F1375))</f>
        <v/>
      </c>
    </row>
    <row r="1376" customFormat="false" ht="15" hidden="false" customHeight="false" outlineLevel="0" collapsed="false">
      <c r="A1376" s="12" t="n">
        <v>1372</v>
      </c>
      <c r="B1376" s="10" t="s">
        <v>3844</v>
      </c>
      <c r="C1376" s="10" t="s">
        <v>3845</v>
      </c>
      <c r="D1376" s="11" t="n">
        <v>0.00941574074074074</v>
      </c>
      <c r="E1376" s="18" t="n">
        <f aca="false">ROUND((D1376-$D$5)*86400,2)</f>
        <v>274.5</v>
      </c>
      <c r="F1376" s="12" t="n">
        <v>2727</v>
      </c>
      <c r="G1376" s="11" t="str">
        <f aca="false">IF(INDEX(選手一覧!$D$7:$D$2738,$F1376)="","",INDEX(選手一覧!$D$7:$D$2738,$F1376))</f>
        <v/>
      </c>
      <c r="H1376" s="12" t="str">
        <f aca="false">IF(INDEX(選手一覧!$E$7:$E$2738,$F1376)="","",INDEX(選手一覧!$E$7:$E$2738,$F1376))</f>
        <v/>
      </c>
      <c r="I1376" s="11" t="str">
        <f aca="false">IF(INDEX(選手一覧!$H$7:$H$2738,$F1376)="","",INDEX(選手一覧!$H$7:$H$2738,$F1376))</f>
        <v/>
      </c>
      <c r="J1376" s="12" t="str">
        <f aca="false">IF(INDEX(選手一覧!$I$7:$I$2738,$F1376)="","",INDEX(選手一覧!$I$7:$I$2738,$F1376))</f>
        <v/>
      </c>
    </row>
    <row r="1377" customFormat="false" ht="15" hidden="false" customHeight="false" outlineLevel="0" collapsed="false">
      <c r="A1377" s="12" t="n">
        <v>1373</v>
      </c>
      <c r="B1377" s="10" t="s">
        <v>3846</v>
      </c>
      <c r="C1377" s="10" t="s">
        <v>3847</v>
      </c>
      <c r="D1377" s="11" t="n">
        <v>0.00948449074074074</v>
      </c>
      <c r="E1377" s="18" t="n">
        <f aca="false">ROUND((D1377-$D$5)*86400,2)</f>
        <v>280.44</v>
      </c>
      <c r="F1377" s="12" t="n">
        <v>2728</v>
      </c>
      <c r="G1377" s="11" t="str">
        <f aca="false">IF(INDEX(選手一覧!$D$7:$D$2738,$F1377)="","",INDEX(選手一覧!$D$7:$D$2738,$F1377))</f>
        <v/>
      </c>
      <c r="H1377" s="12" t="str">
        <f aca="false">IF(INDEX(選手一覧!$E$7:$E$2738,$F1377)="","",INDEX(選手一覧!$E$7:$E$2738,$F1377))</f>
        <v/>
      </c>
      <c r="I1377" s="11" t="str">
        <f aca="false">IF(INDEX(選手一覧!$H$7:$H$2738,$F1377)="","",INDEX(選手一覧!$H$7:$H$2738,$F1377))</f>
        <v/>
      </c>
      <c r="J1377" s="12" t="str">
        <f aca="false">IF(INDEX(選手一覧!$I$7:$I$2738,$F1377)="","",INDEX(選手一覧!$I$7:$I$2738,$F1377))</f>
        <v/>
      </c>
    </row>
    <row r="1378" customFormat="false" ht="15" hidden="false" customHeight="false" outlineLevel="0" collapsed="false">
      <c r="A1378" s="12" t="n">
        <v>1374</v>
      </c>
      <c r="B1378" s="10" t="s">
        <v>3848</v>
      </c>
      <c r="C1378" s="10" t="s">
        <v>3396</v>
      </c>
      <c r="D1378" s="11" t="n">
        <v>0.0099724537037037</v>
      </c>
      <c r="E1378" s="18" t="n">
        <f aca="false">ROUND((D1378-$D$5)*86400,2)</f>
        <v>322.6</v>
      </c>
      <c r="F1378" s="12" t="n">
        <v>2729</v>
      </c>
      <c r="G1378" s="11" t="str">
        <f aca="false">IF(INDEX(選手一覧!$D$7:$D$2738,$F1378)="","",INDEX(選手一覧!$D$7:$D$2738,$F1378))</f>
        <v/>
      </c>
      <c r="H1378" s="12" t="str">
        <f aca="false">IF(INDEX(選手一覧!$E$7:$E$2738,$F1378)="","",INDEX(選手一覧!$E$7:$E$2738,$F1378))</f>
        <v/>
      </c>
      <c r="I1378" s="11" t="str">
        <f aca="false">IF(INDEX(選手一覧!$H$7:$H$2738,$F1378)="","",INDEX(選手一覧!$H$7:$H$2738,$F1378))</f>
        <v/>
      </c>
      <c r="J1378" s="12" t="str">
        <f aca="false">IF(INDEX(選手一覧!$I$7:$I$2738,$F1378)="","",INDEX(選手一覧!$I$7:$I$2738,$F1378))</f>
        <v/>
      </c>
    </row>
    <row r="1379" customFormat="false" ht="15" hidden="false" customHeight="false" outlineLevel="0" collapsed="false">
      <c r="A1379" s="12" t="n">
        <v>1375</v>
      </c>
      <c r="B1379" s="10" t="s">
        <v>3849</v>
      </c>
      <c r="C1379" s="10" t="s">
        <v>3850</v>
      </c>
      <c r="D1379" s="11" t="n">
        <v>0.0103003472222222</v>
      </c>
      <c r="E1379" s="18" t="n">
        <f aca="false">ROUND((D1379-$D$5)*86400,2)</f>
        <v>350.93</v>
      </c>
      <c r="F1379" s="12" t="n">
        <v>2730</v>
      </c>
      <c r="G1379" s="11" t="str">
        <f aca="false">IF(INDEX(選手一覧!$D$7:$D$2738,$F1379)="","",INDEX(選手一覧!$D$7:$D$2738,$F1379))</f>
        <v/>
      </c>
      <c r="H1379" s="12" t="str">
        <f aca="false">IF(INDEX(選手一覧!$E$7:$E$2738,$F1379)="","",INDEX(選手一覧!$E$7:$E$2738,$F1379))</f>
        <v/>
      </c>
      <c r="I1379" s="11" t="str">
        <f aca="false">IF(INDEX(選手一覧!$H$7:$H$2738,$F1379)="","",INDEX(選手一覧!$H$7:$H$2738,$F1379))</f>
        <v/>
      </c>
      <c r="J1379" s="12" t="str">
        <f aca="false">IF(INDEX(選手一覧!$I$7:$I$2738,$F1379)="","",INDEX(選手一覧!$I$7:$I$2738,$F1379))</f>
        <v/>
      </c>
    </row>
    <row r="1380" customFormat="false" ht="15" hidden="false" customHeight="false" outlineLevel="0" collapsed="false">
      <c r="A1380" s="12" t="n">
        <v>1376</v>
      </c>
      <c r="B1380" s="10" t="s">
        <v>3851</v>
      </c>
      <c r="C1380" s="10" t="s">
        <v>3852</v>
      </c>
      <c r="D1380" s="11" t="n">
        <v>0.0104084490740741</v>
      </c>
      <c r="E1380" s="18" t="n">
        <f aca="false">ROUND((D1380-$D$5)*86400,2)</f>
        <v>360.27</v>
      </c>
      <c r="F1380" s="12" t="n">
        <v>2731</v>
      </c>
      <c r="G1380" s="11" t="str">
        <f aca="false">IF(INDEX(選手一覧!$D$7:$D$2738,$F1380)="","",INDEX(選手一覧!$D$7:$D$2738,$F1380))</f>
        <v/>
      </c>
      <c r="H1380" s="12" t="str">
        <f aca="false">IF(INDEX(選手一覧!$E$7:$E$2738,$F1380)="","",INDEX(選手一覧!$E$7:$E$2738,$F1380))</f>
        <v/>
      </c>
      <c r="I1380" s="11" t="str">
        <f aca="false">IF(INDEX(選手一覧!$H$7:$H$2738,$F1380)="","",INDEX(選手一覧!$H$7:$H$2738,$F1380))</f>
        <v/>
      </c>
      <c r="J1380" s="12" t="str">
        <f aca="false">IF(INDEX(選手一覧!$I$7:$I$2738,$F1380)="","",INDEX(選手一覧!$I$7:$I$2738,$F1380))</f>
        <v/>
      </c>
    </row>
    <row r="1381" customFormat="false" ht="15" hidden="false" customHeight="false" outlineLevel="0" collapsed="false">
      <c r="A1381" s="12" t="n">
        <v>1377</v>
      </c>
      <c r="B1381" s="10" t="s">
        <v>3853</v>
      </c>
      <c r="C1381" s="10" t="s">
        <v>2253</v>
      </c>
      <c r="D1381" s="11" t="n">
        <v>0.0107068287037037</v>
      </c>
      <c r="E1381" s="18" t="n">
        <f aca="false">ROUND((D1381-$D$5)*86400,2)</f>
        <v>386.05</v>
      </c>
      <c r="F1381" s="12" t="n">
        <v>2732</v>
      </c>
      <c r="G1381" s="11" t="str">
        <f aca="false">IF(INDEX(選手一覧!$D$7:$D$2738,$F1381)="","",INDEX(選手一覧!$D$7:$D$2738,$F1381))</f>
        <v/>
      </c>
      <c r="H1381" s="12" t="str">
        <f aca="false">IF(INDEX(選手一覧!$E$7:$E$2738,$F1381)="","",INDEX(選手一覧!$E$7:$E$2738,$F1381))</f>
        <v/>
      </c>
      <c r="I1381" s="11" t="str">
        <f aca="false">IF(INDEX(選手一覧!$H$7:$H$2738,$F1381)="","",INDEX(選手一覧!$H$7:$H$2738,$F1381))</f>
        <v/>
      </c>
      <c r="J1381" s="12" t="str">
        <f aca="false">IF(INDEX(選手一覧!$I$7:$I$2738,$F1381)="","",INDEX(選手一覧!$I$7:$I$2738,$F1381))</f>
        <v/>
      </c>
    </row>
  </sheetData>
  <autoFilter ref="A4:J1381"/>
  <conditionalFormatting sqref="A5:A1381 H5:H1381 J5:J1381">
    <cfRule type="cellIs" priority="2" operator="lessThanOrEqual" aboveAverage="0" equalAverage="0" bottom="0" percent="0" rank="0" text="" dxfId="7">
      <formula>10</formula>
    </cfRule>
    <cfRule type="cellIs" priority="3" operator="lessThanOrEqual" aboveAverage="0" equalAverage="0" bottom="0" percent="0" rank="0" text="" dxfId="8">
      <formula>50</formula>
    </cfRule>
    <cfRule type="cellIs" priority="4" operator="lessThanOrEqual" aboveAverage="0" equalAverage="0" bottom="0" percent="0" rank="0" text="" dxfId="9">
      <formula>100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8"/>
  </cols>
  <sheetData>
    <row r="1" customFormat="false" ht="19.4" hidden="false" customHeight="false" outlineLevel="0" collapsed="false">
      <c r="A1" s="1" t="s">
        <v>4019</v>
      </c>
    </row>
    <row r="2" customFormat="false" ht="15" hidden="false" customHeight="false" outlineLevel="0" collapsed="false">
      <c r="A2" s="2" t="s">
        <v>4020</v>
      </c>
    </row>
    <row r="4" customFormat="false" ht="33.75" hidden="false" customHeight="true" outlineLevel="0" collapsed="false">
      <c r="A4" s="8" t="s">
        <v>4004</v>
      </c>
      <c r="B4" s="8" t="s">
        <v>8</v>
      </c>
      <c r="C4" s="8" t="s">
        <v>9</v>
      </c>
      <c r="D4" s="8" t="s">
        <v>4005</v>
      </c>
      <c r="E4" s="8" t="s">
        <v>4006</v>
      </c>
      <c r="F4" s="7" t="s">
        <v>7</v>
      </c>
      <c r="G4" s="7" t="s">
        <v>10</v>
      </c>
      <c r="H4" s="7" t="s">
        <v>11</v>
      </c>
      <c r="I4" s="7" t="s">
        <v>12</v>
      </c>
      <c r="J4" s="7" t="s">
        <v>13</v>
      </c>
    </row>
    <row r="5" customFormat="false" ht="15" hidden="false" customHeight="false" outlineLevel="0" collapsed="false">
      <c r="A5" s="12" t="n">
        <v>1</v>
      </c>
      <c r="B5" s="10" t="s">
        <v>22</v>
      </c>
      <c r="C5" s="10" t="s">
        <v>23</v>
      </c>
      <c r="D5" s="11" t="n">
        <v>0.00260451388888889</v>
      </c>
      <c r="E5" s="18" t="n">
        <f aca="false">ROUND((D5-$D$5)*86400,2)</f>
        <v>0</v>
      </c>
      <c r="F5" s="12" t="n">
        <v>1</v>
      </c>
      <c r="G5" s="11" t="n">
        <f aca="false">IF(INDEX(選手一覧!$D$7:$D$2738,$F5)="","",INDEX(選手一覧!$D$7:$D$2738,$F5))</f>
        <v>0.00964340277777778</v>
      </c>
      <c r="H5" s="12" t="n">
        <f aca="false">IF(INDEX(選手一覧!$E$7:$E$2738,$F5)="","",INDEX(選手一覧!$E$7:$E$2738,$F5))</f>
        <v>2</v>
      </c>
      <c r="I5" s="11" t="n">
        <f aca="false">IF(INDEX(選手一覧!$F$7:$F$2738,$F5)="","",INDEX(選手一覧!$F$7:$F$2738,$F5))</f>
        <v>0.00642048611111111</v>
      </c>
      <c r="J5" s="12" t="n">
        <f aca="false">IF(INDEX(選手一覧!$G$7:$G$2738,$F5)="","",INDEX(選手一覧!$G$7:$G$2738,$F5))</f>
        <v>19</v>
      </c>
    </row>
    <row r="6" customFormat="false" ht="15" hidden="false" customHeight="false" outlineLevel="0" collapsed="false">
      <c r="A6" s="12" t="n">
        <v>2</v>
      </c>
      <c r="B6" s="10" t="s">
        <v>30</v>
      </c>
      <c r="C6" s="10" t="s">
        <v>23</v>
      </c>
      <c r="D6" s="11" t="n">
        <v>0.00262800925925926</v>
      </c>
      <c r="E6" s="18" t="n">
        <f aca="false">ROUND((D6-$D$5)*86400,2)</f>
        <v>2.03</v>
      </c>
      <c r="F6" s="12" t="n">
        <v>5</v>
      </c>
      <c r="G6" s="11" t="n">
        <f aca="false">IF(INDEX(選手一覧!$D$7:$D$2738,$F6)="","",INDEX(選手一覧!$D$7:$D$2738,$F6))</f>
        <v>0.00968773148148148</v>
      </c>
      <c r="H6" s="12" t="n">
        <f aca="false">IF(INDEX(選手一覧!$E$7:$E$2738,$F6)="","",INDEX(選手一覧!$E$7:$E$2738,$F6))</f>
        <v>3</v>
      </c>
      <c r="I6" s="11" t="str">
        <f aca="false">IF(INDEX(選手一覧!$F$7:$F$2738,$F6)="","",INDEX(選手一覧!$F$7:$F$2738,$F6))</f>
        <v/>
      </c>
      <c r="J6" s="12" t="str">
        <f aca="false">IF(INDEX(選手一覧!$G$7:$G$2738,$F6)="","",INDEX(選手一覧!$G$7:$G$2738,$F6))</f>
        <v/>
      </c>
    </row>
    <row r="7" customFormat="false" ht="15" hidden="false" customHeight="false" outlineLevel="0" collapsed="false">
      <c r="A7" s="12" t="n">
        <v>3</v>
      </c>
      <c r="B7" s="10" t="s">
        <v>26</v>
      </c>
      <c r="C7" s="10" t="s">
        <v>27</v>
      </c>
      <c r="D7" s="11" t="n">
        <v>0.00264097222222222</v>
      </c>
      <c r="E7" s="18" t="n">
        <f aca="false">ROUND((D7-$D$5)*86400,2)</f>
        <v>3.15</v>
      </c>
      <c r="F7" s="12" t="n">
        <v>3</v>
      </c>
      <c r="G7" s="11" t="n">
        <f aca="false">IF(INDEX(選手一覧!$D$7:$D$2738,$F7)="","",INDEX(選手一覧!$D$7:$D$2738,$F7))</f>
        <v>0.00914050925925926</v>
      </c>
      <c r="H7" s="12" t="n">
        <f aca="false">IF(INDEX(選手一覧!$E$7:$E$2738,$F7)="","",INDEX(選手一覧!$E$7:$E$2738,$F7))</f>
        <v>1</v>
      </c>
      <c r="I7" s="11" t="str">
        <f aca="false">IF(INDEX(選手一覧!$F$7:$F$2738,$F7)="","",INDEX(選手一覧!$F$7:$F$2738,$F7))</f>
        <v/>
      </c>
      <c r="J7" s="12" t="str">
        <f aca="false">IF(INDEX(選手一覧!$G$7:$G$2738,$F7)="","",INDEX(選手一覧!$G$7:$G$2738,$F7))</f>
        <v/>
      </c>
    </row>
    <row r="8" customFormat="false" ht="15" hidden="false" customHeight="false" outlineLevel="0" collapsed="false">
      <c r="A8" s="12" t="n">
        <v>4</v>
      </c>
      <c r="B8" s="10" t="s">
        <v>37</v>
      </c>
      <c r="C8" s="10" t="s">
        <v>29</v>
      </c>
      <c r="D8" s="11" t="n">
        <v>0.00265011574074074</v>
      </c>
      <c r="E8" s="18" t="n">
        <f aca="false">ROUND((D8-$D$5)*86400,2)</f>
        <v>3.94</v>
      </c>
      <c r="F8" s="12" t="n">
        <v>9</v>
      </c>
      <c r="G8" s="11" t="str">
        <f aca="false">IF(INDEX(選手一覧!$D$7:$D$2738,$F8)="","",INDEX(選手一覧!$D$7:$D$2738,$F8))</f>
        <v/>
      </c>
      <c r="H8" s="12" t="str">
        <f aca="false">IF(INDEX(選手一覧!$E$7:$E$2738,$F8)="","",INDEX(選手一覧!$E$7:$E$2738,$F8))</f>
        <v/>
      </c>
      <c r="I8" s="11" t="str">
        <f aca="false">IF(INDEX(選手一覧!$F$7:$F$2738,$F8)="","",INDEX(選手一覧!$F$7:$F$2738,$F8))</f>
        <v/>
      </c>
      <c r="J8" s="12" t="str">
        <f aca="false">IF(INDEX(選手一覧!$G$7:$G$2738,$F8)="","",INDEX(選手一覧!$G$7:$G$2738,$F8))</f>
        <v/>
      </c>
    </row>
    <row r="9" customFormat="false" ht="15" hidden="false" customHeight="false" outlineLevel="0" collapsed="false">
      <c r="A9" s="12" t="n">
        <v>5</v>
      </c>
      <c r="B9" s="10" t="s">
        <v>42</v>
      </c>
      <c r="C9" s="10" t="s">
        <v>43</v>
      </c>
      <c r="D9" s="11" t="n">
        <v>0.00266215277777778</v>
      </c>
      <c r="E9" s="18" t="n">
        <f aca="false">ROUND((D9-$D$5)*86400,2)</f>
        <v>4.98</v>
      </c>
      <c r="F9" s="12" t="n">
        <v>12</v>
      </c>
      <c r="G9" s="11" t="n">
        <f aca="false">IF(INDEX(選手一覧!$D$7:$D$2738,$F9)="","",INDEX(選手一覧!$D$7:$D$2738,$F9))</f>
        <v>0.0108256944444445</v>
      </c>
      <c r="H9" s="12" t="n">
        <f aca="false">IF(INDEX(選手一覧!$E$7:$E$2738,$F9)="","",INDEX(選手一覧!$E$7:$E$2738,$F9))</f>
        <v>784</v>
      </c>
      <c r="I9" s="11" t="str">
        <f aca="false">IF(INDEX(選手一覧!$F$7:$F$2738,$F9)="","",INDEX(選手一覧!$F$7:$F$2738,$F9))</f>
        <v/>
      </c>
      <c r="J9" s="12" t="str">
        <f aca="false">IF(INDEX(選手一覧!$G$7:$G$2738,$F9)="","",INDEX(選手一覧!$G$7:$G$2738,$F9))</f>
        <v/>
      </c>
    </row>
    <row r="10" customFormat="false" ht="15" hidden="false" customHeight="false" outlineLevel="0" collapsed="false">
      <c r="A10" s="12" t="n">
        <v>6</v>
      </c>
      <c r="B10" s="10" t="s">
        <v>46</v>
      </c>
      <c r="C10" s="10" t="s">
        <v>47</v>
      </c>
      <c r="D10" s="11" t="n">
        <v>0.0026662037037037</v>
      </c>
      <c r="E10" s="18" t="n">
        <f aca="false">ROUND((D10-$D$5)*86400,2)</f>
        <v>5.33</v>
      </c>
      <c r="F10" s="12" t="n">
        <v>14</v>
      </c>
      <c r="G10" s="11" t="n">
        <f aca="false">IF(INDEX(選手一覧!$D$7:$D$2738,$F10)="","",INDEX(選手一覧!$D$7:$D$2738,$F10))</f>
        <v>0.0103711805555556</v>
      </c>
      <c r="H10" s="12" t="n">
        <f aca="false">IF(INDEX(選手一覧!$E$7:$E$2738,$F10)="","",INDEX(選手一覧!$E$7:$E$2738,$F10))</f>
        <v>226</v>
      </c>
      <c r="I10" s="11" t="str">
        <f aca="false">IF(INDEX(選手一覧!$F$7:$F$2738,$F10)="","",INDEX(選手一覧!$F$7:$F$2738,$F10))</f>
        <v/>
      </c>
      <c r="J10" s="12" t="str">
        <f aca="false">IF(INDEX(選手一覧!$G$7:$G$2738,$F10)="","",INDEX(選手一覧!$G$7:$G$2738,$F10))</f>
        <v/>
      </c>
    </row>
    <row r="11" customFormat="false" ht="15" hidden="false" customHeight="false" outlineLevel="0" collapsed="false">
      <c r="A11" s="12" t="n">
        <v>7</v>
      </c>
      <c r="B11" s="10" t="s">
        <v>50</v>
      </c>
      <c r="C11" s="10" t="s">
        <v>51</v>
      </c>
      <c r="D11" s="11" t="n">
        <v>0.00267071759259259</v>
      </c>
      <c r="E11" s="18" t="n">
        <f aca="false">ROUND((D11-$D$5)*86400,2)</f>
        <v>5.72</v>
      </c>
      <c r="F11" s="12" t="n">
        <v>16</v>
      </c>
      <c r="G11" s="11" t="n">
        <f aca="false">IF(INDEX(選手一覧!$D$7:$D$2738,$F11)="","",INDEX(選手一覧!$D$7:$D$2738,$F11))</f>
        <v>0.010022337962963</v>
      </c>
      <c r="H11" s="12" t="n">
        <f aca="false">IF(INDEX(選手一覧!$E$7:$E$2738,$F11)="","",INDEX(選手一覧!$E$7:$E$2738,$F11))</f>
        <v>26</v>
      </c>
      <c r="I11" s="11" t="str">
        <f aca="false">IF(INDEX(選手一覧!$F$7:$F$2738,$F11)="","",INDEX(選手一覧!$F$7:$F$2738,$F11))</f>
        <v/>
      </c>
      <c r="J11" s="12" t="str">
        <f aca="false">IF(INDEX(選手一覧!$G$7:$G$2738,$F11)="","",INDEX(選手一覧!$G$7:$G$2738,$F11))</f>
        <v/>
      </c>
    </row>
    <row r="12" customFormat="false" ht="15" hidden="false" customHeight="false" outlineLevel="0" collapsed="false">
      <c r="A12" s="12" t="n">
        <v>8</v>
      </c>
      <c r="B12" s="10" t="s">
        <v>54</v>
      </c>
      <c r="C12" s="10" t="s">
        <v>55</v>
      </c>
      <c r="D12" s="11" t="n">
        <v>0.00267592592592593</v>
      </c>
      <c r="E12" s="18" t="n">
        <f aca="false">ROUND((D12-$D$5)*86400,2)</f>
        <v>6.17</v>
      </c>
      <c r="F12" s="12" t="n">
        <v>18</v>
      </c>
      <c r="G12" s="11" t="n">
        <f aca="false">IF(INDEX(選手一覧!$D$7:$D$2738,$F12)="","",INDEX(選手一覧!$D$7:$D$2738,$F12))</f>
        <v>0.00987303240740741</v>
      </c>
      <c r="H12" s="12" t="n">
        <f aca="false">IF(INDEX(選手一覧!$E$7:$E$2738,$F12)="","",INDEX(選手一覧!$E$7:$E$2738,$F12))</f>
        <v>12</v>
      </c>
      <c r="I12" s="11" t="str">
        <f aca="false">IF(INDEX(選手一覧!$F$7:$F$2738,$F12)="","",INDEX(選手一覧!$F$7:$F$2738,$F12))</f>
        <v/>
      </c>
      <c r="J12" s="12" t="str">
        <f aca="false">IF(INDEX(選手一覧!$G$7:$G$2738,$F12)="","",INDEX(選手一覧!$G$7:$G$2738,$F12))</f>
        <v/>
      </c>
    </row>
    <row r="13" customFormat="false" ht="15" hidden="false" customHeight="false" outlineLevel="0" collapsed="false">
      <c r="A13" s="12" t="n">
        <v>9</v>
      </c>
      <c r="B13" s="10" t="s">
        <v>63</v>
      </c>
      <c r="C13" s="10" t="s">
        <v>64</v>
      </c>
      <c r="D13" s="11" t="n">
        <v>0.00267650462962963</v>
      </c>
      <c r="E13" s="18" t="n">
        <f aca="false">ROUND((D13-$D$5)*86400,2)</f>
        <v>6.22</v>
      </c>
      <c r="F13" s="12" t="n">
        <v>22</v>
      </c>
      <c r="G13" s="11" t="n">
        <f aca="false">IF(INDEX(選手一覧!$D$7:$D$2738,$F13)="","",INDEX(選手一覧!$D$7:$D$2738,$F13))</f>
        <v>0.0100194444444444</v>
      </c>
      <c r="H13" s="12" t="n">
        <f aca="false">IF(INDEX(選手一覧!$E$7:$E$2738,$F13)="","",INDEX(選手一覧!$E$7:$E$2738,$F13))</f>
        <v>25</v>
      </c>
      <c r="I13" s="11" t="str">
        <f aca="false">IF(INDEX(選手一覧!$F$7:$F$2738,$F13)="","",INDEX(選手一覧!$F$7:$F$2738,$F13))</f>
        <v/>
      </c>
      <c r="J13" s="12" t="str">
        <f aca="false">IF(INDEX(選手一覧!$G$7:$G$2738,$F13)="","",INDEX(選手一覧!$G$7:$G$2738,$F13))</f>
        <v/>
      </c>
    </row>
    <row r="14" customFormat="false" ht="15" hidden="false" customHeight="false" outlineLevel="0" collapsed="false">
      <c r="A14" s="12" t="n">
        <v>10</v>
      </c>
      <c r="B14" s="10" t="s">
        <v>68</v>
      </c>
      <c r="C14" s="10" t="s">
        <v>69</v>
      </c>
      <c r="D14" s="11" t="n">
        <v>0.00267708333333333</v>
      </c>
      <c r="E14" s="18" t="n">
        <f aca="false">ROUND((D14-$D$5)*86400,2)</f>
        <v>6.27</v>
      </c>
      <c r="F14" s="12" t="n">
        <v>26</v>
      </c>
      <c r="G14" s="11" t="n">
        <f aca="false">IF(INDEX(選手一覧!$D$7:$D$2738,$F14)="","",INDEX(選手一覧!$D$7:$D$2738,$F14))</f>
        <v>0.0107309027777778</v>
      </c>
      <c r="H14" s="12" t="n">
        <f aca="false">IF(INDEX(選手一覧!$E$7:$E$2738,$F14)="","",INDEX(選手一覧!$E$7:$E$2738,$F14))</f>
        <v>633</v>
      </c>
      <c r="I14" s="11" t="str">
        <f aca="false">IF(INDEX(選手一覧!$F$7:$F$2738,$F14)="","",INDEX(選手一覧!$F$7:$F$2738,$F14))</f>
        <v/>
      </c>
      <c r="J14" s="12" t="str">
        <f aca="false">IF(INDEX(選手一覧!$G$7:$G$2738,$F14)="","",INDEX(選手一覧!$G$7:$G$2738,$F14))</f>
        <v/>
      </c>
    </row>
    <row r="15" customFormat="false" ht="15" hidden="false" customHeight="false" outlineLevel="0" collapsed="false">
      <c r="A15" s="12" t="n">
        <v>11</v>
      </c>
      <c r="B15" s="10" t="s">
        <v>71</v>
      </c>
      <c r="C15" s="10" t="s">
        <v>72</v>
      </c>
      <c r="D15" s="11" t="n">
        <v>0.00267743055555556</v>
      </c>
      <c r="E15" s="18" t="n">
        <f aca="false">ROUND((D15-$D$5)*86400,2)</f>
        <v>6.3</v>
      </c>
      <c r="F15" s="12" t="n">
        <v>28</v>
      </c>
      <c r="G15" s="11" t="n">
        <f aca="false">IF(INDEX(選手一覧!$D$7:$D$2738,$F15)="","",INDEX(選手一覧!$D$7:$D$2738,$F15))</f>
        <v>0.0102041666666667</v>
      </c>
      <c r="H15" s="12" t="n">
        <f aca="false">IF(INDEX(選手一覧!$E$7:$E$2738,$F15)="","",INDEX(選手一覧!$E$7:$E$2738,$F15))</f>
        <v>98</v>
      </c>
      <c r="I15" s="11" t="str">
        <f aca="false">IF(INDEX(選手一覧!$F$7:$F$2738,$F15)="","",INDEX(選手一覧!$F$7:$F$2738,$F15))</f>
        <v/>
      </c>
      <c r="J15" s="12" t="str">
        <f aca="false">IF(INDEX(選手一覧!$G$7:$G$2738,$F15)="","",INDEX(選手一覧!$G$7:$G$2738,$F15))</f>
        <v/>
      </c>
    </row>
    <row r="16" customFormat="false" ht="15" hidden="false" customHeight="false" outlineLevel="0" collapsed="false">
      <c r="A16" s="12" t="n">
        <v>12</v>
      </c>
      <c r="B16" s="10" t="s">
        <v>75</v>
      </c>
      <c r="C16" s="10" t="s">
        <v>4021</v>
      </c>
      <c r="D16" s="11" t="n">
        <v>0.00267881944444444</v>
      </c>
      <c r="E16" s="18" t="n">
        <f aca="false">ROUND((D16-$D$5)*86400,2)</f>
        <v>6.42</v>
      </c>
      <c r="F16" s="12" t="n">
        <v>31</v>
      </c>
      <c r="G16" s="11" t="n">
        <f aca="false">IF(INDEX(選手一覧!$D$7:$D$2738,$F16)="","",INDEX(選手一覧!$D$7:$D$2738,$F16))</f>
        <v>0.0103765046296296</v>
      </c>
      <c r="H16" s="12" t="n">
        <f aca="false">IF(INDEX(選手一覧!$E$7:$E$2738,$F16)="","",INDEX(選手一覧!$E$7:$E$2738,$F16))</f>
        <v>236</v>
      </c>
      <c r="I16" s="11" t="str">
        <f aca="false">IF(INDEX(選手一覧!$F$7:$F$2738,$F16)="","",INDEX(選手一覧!$F$7:$F$2738,$F16))</f>
        <v/>
      </c>
      <c r="J16" s="12" t="str">
        <f aca="false">IF(INDEX(選手一覧!$G$7:$G$2738,$F16)="","",INDEX(選手一覧!$G$7:$G$2738,$F16))</f>
        <v/>
      </c>
    </row>
    <row r="17" customFormat="false" ht="15" hidden="false" customHeight="false" outlineLevel="0" collapsed="false">
      <c r="A17" s="12" t="n">
        <v>13</v>
      </c>
      <c r="B17" s="10" t="s">
        <v>4022</v>
      </c>
      <c r="C17" s="10" t="s">
        <v>41</v>
      </c>
      <c r="D17" s="11" t="n">
        <v>0.00267881944444444</v>
      </c>
      <c r="E17" s="18" t="n">
        <f aca="false">ROUND((D17-$D$5)*86400,2)</f>
        <v>6.42</v>
      </c>
      <c r="F17" s="12" t="n">
        <v>11</v>
      </c>
      <c r="G17" s="11" t="n">
        <f aca="false">IF(INDEX(選手一覧!$D$7:$D$2738,$F17)="","",INDEX(選手一覧!$D$7:$D$2738,$F17))</f>
        <v>0.00974224537037037</v>
      </c>
      <c r="H17" s="12" t="n">
        <f aca="false">IF(INDEX(選手一覧!$E$7:$E$2738,$F17)="","",INDEX(選手一覧!$E$7:$E$2738,$F17))</f>
        <v>5</v>
      </c>
      <c r="I17" s="11" t="str">
        <f aca="false">IF(INDEX(選手一覧!$F$7:$F$2738,$F17)="","",INDEX(選手一覧!$F$7:$F$2738,$F17))</f>
        <v/>
      </c>
      <c r="J17" s="12" t="str">
        <f aca="false">IF(INDEX(選手一覧!$G$7:$G$2738,$F17)="","",INDEX(選手一覧!$G$7:$G$2738,$F17))</f>
        <v/>
      </c>
    </row>
    <row r="18" customFormat="false" ht="15" hidden="false" customHeight="false" outlineLevel="0" collapsed="false">
      <c r="A18" s="12" t="n">
        <v>14</v>
      </c>
      <c r="B18" s="10" t="s">
        <v>84</v>
      </c>
      <c r="C18" s="10" t="s">
        <v>85</v>
      </c>
      <c r="D18" s="11" t="n">
        <v>0.00268113425925926</v>
      </c>
      <c r="E18" s="18" t="n">
        <f aca="false">ROUND((D18-$D$5)*86400,2)</f>
        <v>6.62</v>
      </c>
      <c r="F18" s="12" t="n">
        <v>35</v>
      </c>
      <c r="G18" s="11" t="n">
        <f aca="false">IF(INDEX(選手一覧!$D$7:$D$2738,$F18)="","",INDEX(選手一覧!$D$7:$D$2738,$F18))</f>
        <v>0.0102939814814815</v>
      </c>
      <c r="H18" s="12" t="n">
        <f aca="false">IF(INDEX(選手一覧!$E$7:$E$2738,$F18)="","",INDEX(選手一覧!$E$7:$E$2738,$F18))</f>
        <v>157</v>
      </c>
      <c r="I18" s="11" t="str">
        <f aca="false">IF(INDEX(選手一覧!$F$7:$F$2738,$F18)="","",INDEX(選手一覧!$F$7:$F$2738,$F18))</f>
        <v/>
      </c>
      <c r="J18" s="12" t="str">
        <f aca="false">IF(INDEX(選手一覧!$G$7:$G$2738,$F18)="","",INDEX(選手一覧!$G$7:$G$2738,$F18))</f>
        <v/>
      </c>
    </row>
    <row r="19" customFormat="false" ht="15" hidden="false" customHeight="false" outlineLevel="0" collapsed="false">
      <c r="A19" s="12" t="n">
        <v>15</v>
      </c>
      <c r="B19" s="10" t="s">
        <v>86</v>
      </c>
      <c r="C19" s="10" t="s">
        <v>87</v>
      </c>
      <c r="D19" s="11" t="n">
        <v>0.00268391203703704</v>
      </c>
      <c r="E19" s="18" t="n">
        <f aca="false">ROUND((D19-$D$5)*86400,2)</f>
        <v>6.86</v>
      </c>
      <c r="F19" s="12" t="n">
        <v>36</v>
      </c>
      <c r="G19" s="11" t="n">
        <f aca="false">IF(INDEX(選手一覧!$D$7:$D$2738,$F19)="","",INDEX(選手一覧!$D$7:$D$2738,$F19))</f>
        <v>0.0101737268518519</v>
      </c>
      <c r="H19" s="12" t="n">
        <f aca="false">IF(INDEX(選手一覧!$E$7:$E$2738,$F19)="","",INDEX(選手一覧!$E$7:$E$2738,$F19))</f>
        <v>82</v>
      </c>
      <c r="I19" s="11" t="str">
        <f aca="false">IF(INDEX(選手一覧!$F$7:$F$2738,$F19)="","",INDEX(選手一覧!$F$7:$F$2738,$F19))</f>
        <v/>
      </c>
      <c r="J19" s="12" t="str">
        <f aca="false">IF(INDEX(選手一覧!$G$7:$G$2738,$F19)="","",INDEX(選手一覧!$G$7:$G$2738,$F19))</f>
        <v/>
      </c>
    </row>
    <row r="20" customFormat="false" ht="15" hidden="false" customHeight="false" outlineLevel="0" collapsed="false">
      <c r="A20" s="12" t="n">
        <v>16</v>
      </c>
      <c r="B20" s="10" t="s">
        <v>94</v>
      </c>
      <c r="C20" s="10" t="s">
        <v>95</v>
      </c>
      <c r="D20" s="11" t="n">
        <v>0.00268472222222222</v>
      </c>
      <c r="E20" s="18" t="n">
        <f aca="false">ROUND((D20-$D$5)*86400,2)</f>
        <v>6.93</v>
      </c>
      <c r="F20" s="12" t="n">
        <v>41</v>
      </c>
      <c r="G20" s="11" t="n">
        <f aca="false">IF(INDEX(選手一覧!$D$7:$D$2738,$F20)="","",INDEX(選手一覧!$D$7:$D$2738,$F20))</f>
        <v>0.0101146990740741</v>
      </c>
      <c r="H20" s="12" t="n">
        <f aca="false">IF(INDEX(選手一覧!$E$7:$E$2738,$F20)="","",INDEX(選手一覧!$E$7:$E$2738,$F20))</f>
        <v>58</v>
      </c>
      <c r="I20" s="11" t="str">
        <f aca="false">IF(INDEX(選手一覧!$F$7:$F$2738,$F20)="","",INDEX(選手一覧!$F$7:$F$2738,$F20))</f>
        <v/>
      </c>
      <c r="J20" s="12" t="str">
        <f aca="false">IF(INDEX(選手一覧!$G$7:$G$2738,$F20)="","",INDEX(選手一覧!$G$7:$G$2738,$F20))</f>
        <v/>
      </c>
    </row>
    <row r="21" customFormat="false" ht="15" hidden="false" customHeight="false" outlineLevel="0" collapsed="false">
      <c r="A21" s="12" t="n">
        <v>17</v>
      </c>
      <c r="B21" s="10" t="s">
        <v>98</v>
      </c>
      <c r="C21" s="10" t="s">
        <v>64</v>
      </c>
      <c r="D21" s="11" t="n">
        <v>0.00268900462962963</v>
      </c>
      <c r="E21" s="18" t="n">
        <f aca="false">ROUND((D21-$D$5)*86400,2)</f>
        <v>7.3</v>
      </c>
      <c r="F21" s="12" t="n">
        <v>43</v>
      </c>
      <c r="G21" s="11" t="n">
        <f aca="false">IF(INDEX(選手一覧!$D$7:$D$2738,$F21)="","",INDEX(選手一覧!$D$7:$D$2738,$F21))</f>
        <v>0.0103006944444444</v>
      </c>
      <c r="H21" s="12" t="n">
        <f aca="false">IF(INDEX(選手一覧!$E$7:$E$2738,$F21)="","",INDEX(選手一覧!$E$7:$E$2738,$F21))</f>
        <v>162</v>
      </c>
      <c r="I21" s="11" t="str">
        <f aca="false">IF(INDEX(選手一覧!$F$7:$F$2738,$F21)="","",INDEX(選手一覧!$F$7:$F$2738,$F21))</f>
        <v/>
      </c>
      <c r="J21" s="12" t="str">
        <f aca="false">IF(INDEX(選手一覧!$G$7:$G$2738,$F21)="","",INDEX(選手一覧!$G$7:$G$2738,$F21))</f>
        <v/>
      </c>
    </row>
    <row r="22" customFormat="false" ht="15" hidden="false" customHeight="false" outlineLevel="0" collapsed="false">
      <c r="A22" s="12" t="n">
        <v>18</v>
      </c>
      <c r="B22" s="10" t="s">
        <v>82</v>
      </c>
      <c r="C22" s="10" t="s">
        <v>83</v>
      </c>
      <c r="D22" s="11" t="n">
        <v>0.00268946759259259</v>
      </c>
      <c r="E22" s="18" t="n">
        <f aca="false">ROUND((D22-$D$5)*86400,2)</f>
        <v>7.34</v>
      </c>
      <c r="F22" s="12" t="n">
        <v>34</v>
      </c>
      <c r="G22" s="11" t="n">
        <f aca="false">IF(INDEX(選手一覧!$D$7:$D$2738,$F22)="","",INDEX(選手一覧!$D$7:$D$2738,$F22))</f>
        <v>0.00990069444444445</v>
      </c>
      <c r="H22" s="12" t="n">
        <f aca="false">IF(INDEX(選手一覧!$E$7:$E$2738,$F22)="","",INDEX(選手一覧!$E$7:$E$2738,$F22))</f>
        <v>14</v>
      </c>
      <c r="I22" s="11" t="str">
        <f aca="false">IF(INDEX(選手一覧!$F$7:$F$2738,$F22)="","",INDEX(選手一覧!$F$7:$F$2738,$F22))</f>
        <v/>
      </c>
      <c r="J22" s="12" t="str">
        <f aca="false">IF(INDEX(選手一覧!$G$7:$G$2738,$F22)="","",INDEX(選手一覧!$G$7:$G$2738,$F22))</f>
        <v/>
      </c>
    </row>
    <row r="23" customFormat="false" ht="15" hidden="false" customHeight="false" outlineLevel="0" collapsed="false">
      <c r="A23" s="12" t="n">
        <v>19</v>
      </c>
      <c r="B23" s="10" t="s">
        <v>104</v>
      </c>
      <c r="C23" s="10" t="s">
        <v>105</v>
      </c>
      <c r="D23" s="11" t="n">
        <v>0.00269143518518519</v>
      </c>
      <c r="E23" s="18" t="n">
        <f aca="false">ROUND((D23-$D$5)*86400,2)</f>
        <v>7.51</v>
      </c>
      <c r="F23" s="12" t="n">
        <v>47</v>
      </c>
      <c r="G23" s="11" t="n">
        <f aca="false">IF(INDEX(選手一覧!$D$7:$D$2738,$F23)="","",INDEX(選手一覧!$D$7:$D$2738,$F23))</f>
        <v>0.0101371527777778</v>
      </c>
      <c r="H23" s="12" t="n">
        <f aca="false">IF(INDEX(選手一覧!$E$7:$E$2738,$F23)="","",INDEX(選手一覧!$E$7:$E$2738,$F23))</f>
        <v>65</v>
      </c>
      <c r="I23" s="11" t="str">
        <f aca="false">IF(INDEX(選手一覧!$F$7:$F$2738,$F23)="","",INDEX(選手一覧!$F$7:$F$2738,$F23))</f>
        <v/>
      </c>
      <c r="J23" s="12" t="str">
        <f aca="false">IF(INDEX(選手一覧!$G$7:$G$2738,$F23)="","",INDEX(選手一覧!$G$7:$G$2738,$F23))</f>
        <v/>
      </c>
    </row>
    <row r="24" customFormat="false" ht="15" hidden="false" customHeight="false" outlineLevel="0" collapsed="false">
      <c r="A24" s="12" t="n">
        <v>20</v>
      </c>
      <c r="B24" s="10" t="s">
        <v>111</v>
      </c>
      <c r="C24" s="10" t="s">
        <v>112</v>
      </c>
      <c r="D24" s="11" t="n">
        <v>0.00269189814814815</v>
      </c>
      <c r="E24" s="18" t="n">
        <f aca="false">ROUND((D24-$D$5)*86400,2)</f>
        <v>7.55</v>
      </c>
      <c r="F24" s="12" t="n">
        <v>51</v>
      </c>
      <c r="G24" s="11" t="str">
        <f aca="false">IF(INDEX(選手一覧!$D$7:$D$2738,$F24)="","",INDEX(選手一覧!$D$7:$D$2738,$F24))</f>
        <v/>
      </c>
      <c r="H24" s="12" t="str">
        <f aca="false">IF(INDEX(選手一覧!$E$7:$E$2738,$F24)="","",INDEX(選手一覧!$E$7:$E$2738,$F24))</f>
        <v/>
      </c>
      <c r="I24" s="11" t="str">
        <f aca="false">IF(INDEX(選手一覧!$F$7:$F$2738,$F24)="","",INDEX(選手一覧!$F$7:$F$2738,$F24))</f>
        <v/>
      </c>
      <c r="J24" s="12" t="str">
        <f aca="false">IF(INDEX(選手一覧!$G$7:$G$2738,$F24)="","",INDEX(選手一覧!$G$7:$G$2738,$F24))</f>
        <v/>
      </c>
    </row>
    <row r="25" customFormat="false" ht="15" hidden="false" customHeight="false" outlineLevel="0" collapsed="false">
      <c r="A25" s="12" t="n">
        <v>21</v>
      </c>
      <c r="B25" s="10" t="s">
        <v>117</v>
      </c>
      <c r="C25" s="10" t="s">
        <v>118</v>
      </c>
      <c r="D25" s="11" t="n">
        <v>0.00269259259259259</v>
      </c>
      <c r="E25" s="18" t="n">
        <f aca="false">ROUND((D25-$D$5)*86400,2)</f>
        <v>7.61</v>
      </c>
      <c r="F25" s="12" t="n">
        <v>54</v>
      </c>
      <c r="G25" s="11" t="n">
        <f aca="false">IF(INDEX(選手一覧!$D$7:$D$2738,$F25)="","",INDEX(選手一覧!$D$7:$D$2738,$F25))</f>
        <v>0.010284837962963</v>
      </c>
      <c r="H25" s="12" t="n">
        <f aca="false">IF(INDEX(選手一覧!$E$7:$E$2738,$F25)="","",INDEX(選手一覧!$E$7:$E$2738,$F25))</f>
        <v>153</v>
      </c>
      <c r="I25" s="11" t="str">
        <f aca="false">IF(INDEX(選手一覧!$F$7:$F$2738,$F25)="","",INDEX(選手一覧!$F$7:$F$2738,$F25))</f>
        <v/>
      </c>
      <c r="J25" s="12" t="str">
        <f aca="false">IF(INDEX(選手一覧!$G$7:$G$2738,$F25)="","",INDEX(選手一覧!$G$7:$G$2738,$F25))</f>
        <v/>
      </c>
    </row>
    <row r="26" customFormat="false" ht="15" hidden="false" customHeight="false" outlineLevel="0" collapsed="false">
      <c r="A26" s="12" t="n">
        <v>22</v>
      </c>
      <c r="B26" s="10" t="s">
        <v>121</v>
      </c>
      <c r="C26" s="10" t="s">
        <v>122</v>
      </c>
      <c r="D26" s="11" t="n">
        <v>0.0026931712962963</v>
      </c>
      <c r="E26" s="18" t="n">
        <f aca="false">ROUND((D26-$D$5)*86400,2)</f>
        <v>7.66</v>
      </c>
      <c r="F26" s="12" t="n">
        <v>56</v>
      </c>
      <c r="G26" s="11" t="n">
        <f aca="false">IF(INDEX(選手一覧!$D$7:$D$2738,$F26)="","",INDEX(選手一覧!$D$7:$D$2738,$F26))</f>
        <v>0.0100962962962963</v>
      </c>
      <c r="H26" s="12" t="n">
        <f aca="false">IF(INDEX(選手一覧!$E$7:$E$2738,$F26)="","",INDEX(選手一覧!$E$7:$E$2738,$F26))</f>
        <v>50</v>
      </c>
      <c r="I26" s="11" t="str">
        <f aca="false">IF(INDEX(選手一覧!$F$7:$F$2738,$F26)="","",INDEX(選手一覧!$F$7:$F$2738,$F26))</f>
        <v/>
      </c>
      <c r="J26" s="12" t="str">
        <f aca="false">IF(INDEX(選手一覧!$G$7:$G$2738,$F26)="","",INDEX(選手一覧!$G$7:$G$2738,$F26))</f>
        <v/>
      </c>
    </row>
    <row r="27" customFormat="false" ht="15" hidden="false" customHeight="false" outlineLevel="0" collapsed="false">
      <c r="A27" s="12" t="n">
        <v>23</v>
      </c>
      <c r="B27" s="10" t="s">
        <v>127</v>
      </c>
      <c r="C27" s="10" t="s">
        <v>128</v>
      </c>
      <c r="D27" s="11" t="n">
        <v>0.00269340277777778</v>
      </c>
      <c r="E27" s="18" t="n">
        <f aca="false">ROUND((D27-$D$5)*86400,2)</f>
        <v>7.68</v>
      </c>
      <c r="F27" s="12" t="n">
        <v>59</v>
      </c>
      <c r="G27" s="11" t="n">
        <f aca="false">IF(INDEX(選手一覧!$D$7:$D$2738,$F27)="","",INDEX(選手一覧!$D$7:$D$2738,$F27))</f>
        <v>0.0101960648148148</v>
      </c>
      <c r="H27" s="12" t="n">
        <f aca="false">IF(INDEX(選手一覧!$E$7:$E$2738,$F27)="","",INDEX(選手一覧!$E$7:$E$2738,$F27))</f>
        <v>95</v>
      </c>
      <c r="I27" s="11" t="str">
        <f aca="false">IF(INDEX(選手一覧!$F$7:$F$2738,$F27)="","",INDEX(選手一覧!$F$7:$F$2738,$F27))</f>
        <v/>
      </c>
      <c r="J27" s="12" t="str">
        <f aca="false">IF(INDEX(選手一覧!$G$7:$G$2738,$F27)="","",INDEX(選手一覧!$G$7:$G$2738,$F27))</f>
        <v/>
      </c>
    </row>
    <row r="28" customFormat="false" ht="15" hidden="false" customHeight="false" outlineLevel="0" collapsed="false">
      <c r="A28" s="12" t="n">
        <v>24</v>
      </c>
      <c r="B28" s="10" t="s">
        <v>56</v>
      </c>
      <c r="C28" s="10" t="s">
        <v>57</v>
      </c>
      <c r="D28" s="11" t="n">
        <v>0.00269803240740741</v>
      </c>
      <c r="E28" s="18" t="n">
        <f aca="false">ROUND((D28-$D$5)*86400,2)</f>
        <v>8.08</v>
      </c>
      <c r="F28" s="12" t="n">
        <v>19</v>
      </c>
      <c r="G28" s="11" t="n">
        <f aca="false">IF(INDEX(選手一覧!$D$7:$D$2738,$F28)="","",INDEX(選手一覧!$D$7:$D$2738,$F28))</f>
        <v>0.00981168981481482</v>
      </c>
      <c r="H28" s="12" t="n">
        <f aca="false">IF(INDEX(選手一覧!$E$7:$E$2738,$F28)="","",INDEX(選手一覧!$E$7:$E$2738,$F28))</f>
        <v>8</v>
      </c>
      <c r="I28" s="11" t="str">
        <f aca="false">IF(INDEX(選手一覧!$F$7:$F$2738,$F28)="","",INDEX(選手一覧!$F$7:$F$2738,$F28))</f>
        <v/>
      </c>
      <c r="J28" s="12" t="str">
        <f aca="false">IF(INDEX(選手一覧!$G$7:$G$2738,$F28)="","",INDEX(選手一覧!$G$7:$G$2738,$F28))</f>
        <v/>
      </c>
    </row>
    <row r="29" customFormat="false" ht="15" hidden="false" customHeight="false" outlineLevel="0" collapsed="false">
      <c r="A29" s="12" t="n">
        <v>25</v>
      </c>
      <c r="B29" s="10" t="s">
        <v>133</v>
      </c>
      <c r="C29" s="10" t="s">
        <v>134</v>
      </c>
      <c r="D29" s="11" t="n">
        <v>0.00269826388888889</v>
      </c>
      <c r="E29" s="18" t="n">
        <f aca="false">ROUND((D29-$D$5)*86400,2)</f>
        <v>8.1</v>
      </c>
      <c r="F29" s="12" t="n">
        <v>62</v>
      </c>
      <c r="G29" s="11" t="n">
        <f aca="false">IF(INDEX(選手一覧!$D$7:$D$2738,$F29)="","",INDEX(選手一覧!$D$7:$D$2738,$F29))</f>
        <v>0.0102357638888889</v>
      </c>
      <c r="H29" s="12" t="n">
        <f aca="false">IF(INDEX(選手一覧!$E$7:$E$2738,$F29)="","",INDEX(選手一覧!$E$7:$E$2738,$F29))</f>
        <v>114</v>
      </c>
      <c r="I29" s="11" t="n">
        <f aca="false">IF(INDEX(選手一覧!$F$7:$F$2738,$F29)="","",INDEX(選手一覧!$F$7:$F$2738,$F29))</f>
        <v>0.00656354166666667</v>
      </c>
      <c r="J29" s="12" t="n">
        <f aca="false">IF(INDEX(選手一覧!$G$7:$G$2738,$F29)="","",INDEX(選手一覧!$G$7:$G$2738,$F29))</f>
        <v>50</v>
      </c>
    </row>
    <row r="30" customFormat="false" ht="15" hidden="false" customHeight="false" outlineLevel="0" collapsed="false">
      <c r="A30" s="12" t="n">
        <v>26</v>
      </c>
      <c r="B30" s="10" t="s">
        <v>138</v>
      </c>
      <c r="C30" s="10" t="s">
        <v>139</v>
      </c>
      <c r="D30" s="11" t="n">
        <v>0.00270081018518519</v>
      </c>
      <c r="E30" s="18" t="n">
        <f aca="false">ROUND((D30-$D$5)*86400,2)</f>
        <v>8.32</v>
      </c>
      <c r="F30" s="12" t="n">
        <v>65</v>
      </c>
      <c r="G30" s="11" t="n">
        <f aca="false">IF(INDEX(選手一覧!$D$7:$D$2738,$F30)="","",INDEX(選手一覧!$D$7:$D$2738,$F30))</f>
        <v>0.0108923611111111</v>
      </c>
      <c r="H30" s="12" t="n">
        <f aca="false">IF(INDEX(選手一覧!$E$7:$E$2738,$F30)="","",INDEX(選手一覧!$E$7:$E$2738,$F30))</f>
        <v>907</v>
      </c>
      <c r="I30" s="11" t="str">
        <f aca="false">IF(INDEX(選手一覧!$F$7:$F$2738,$F30)="","",INDEX(選手一覧!$F$7:$F$2738,$F30))</f>
        <v/>
      </c>
      <c r="J30" s="12" t="str">
        <f aca="false">IF(INDEX(選手一覧!$G$7:$G$2738,$F30)="","",INDEX(選手一覧!$G$7:$G$2738,$F30))</f>
        <v/>
      </c>
    </row>
    <row r="31" customFormat="false" ht="15" hidden="false" customHeight="false" outlineLevel="0" collapsed="false">
      <c r="A31" s="12" t="n">
        <v>27</v>
      </c>
      <c r="B31" s="10" t="s">
        <v>142</v>
      </c>
      <c r="C31" s="10" t="s">
        <v>109</v>
      </c>
      <c r="D31" s="11" t="n">
        <v>0.00270231481481482</v>
      </c>
      <c r="E31" s="18" t="n">
        <f aca="false">ROUND((D31-$D$5)*86400,2)</f>
        <v>8.45</v>
      </c>
      <c r="F31" s="12" t="n">
        <v>67</v>
      </c>
      <c r="G31" s="11" t="n">
        <f aca="false">IF(INDEX(選手一覧!$D$7:$D$2738,$F31)="","",INDEX(選手一覧!$D$7:$D$2738,$F31))</f>
        <v>0.0101863425925926</v>
      </c>
      <c r="H31" s="12" t="n">
        <f aca="false">IF(INDEX(選手一覧!$E$7:$E$2738,$F31)="","",INDEX(選手一覧!$E$7:$E$2738,$F31))</f>
        <v>88</v>
      </c>
      <c r="I31" s="11" t="str">
        <f aca="false">IF(INDEX(選手一覧!$F$7:$F$2738,$F31)="","",INDEX(選手一覧!$F$7:$F$2738,$F31))</f>
        <v/>
      </c>
      <c r="J31" s="12" t="str">
        <f aca="false">IF(INDEX(選手一覧!$G$7:$G$2738,$F31)="","",INDEX(選手一覧!$G$7:$G$2738,$F31))</f>
        <v/>
      </c>
    </row>
    <row r="32" customFormat="false" ht="15" hidden="false" customHeight="false" outlineLevel="0" collapsed="false">
      <c r="A32" s="12" t="n">
        <v>28</v>
      </c>
      <c r="B32" s="10" t="s">
        <v>148</v>
      </c>
      <c r="C32" s="10" t="s">
        <v>149</v>
      </c>
      <c r="D32" s="11" t="n">
        <v>0.00270462962962963</v>
      </c>
      <c r="E32" s="18" t="n">
        <f aca="false">ROUND((D32-$D$5)*86400,2)</f>
        <v>8.65</v>
      </c>
      <c r="F32" s="12" t="n">
        <v>71</v>
      </c>
      <c r="G32" s="11" t="n">
        <f aca="false">IF(INDEX(選手一覧!$D$7:$D$2738,$F32)="","",INDEX(選手一覧!$D$7:$D$2738,$F32))</f>
        <v>0.010893287037037</v>
      </c>
      <c r="H32" s="12" t="n">
        <f aca="false">IF(INDEX(選手一覧!$E$7:$E$2738,$F32)="","",INDEX(選手一覧!$E$7:$E$2738,$F32))</f>
        <v>908</v>
      </c>
      <c r="I32" s="11" t="str">
        <f aca="false">IF(INDEX(選手一覧!$F$7:$F$2738,$F32)="","",INDEX(選手一覧!$F$7:$F$2738,$F32))</f>
        <v/>
      </c>
      <c r="J32" s="12" t="str">
        <f aca="false">IF(INDEX(選手一覧!$G$7:$G$2738,$F32)="","",INDEX(選手一覧!$G$7:$G$2738,$F32))</f>
        <v/>
      </c>
    </row>
    <row r="33" customFormat="false" ht="15" hidden="false" customHeight="false" outlineLevel="0" collapsed="false">
      <c r="A33" s="12" t="n">
        <v>29</v>
      </c>
      <c r="B33" s="10" t="s">
        <v>150</v>
      </c>
      <c r="C33" s="10" t="s">
        <v>64</v>
      </c>
      <c r="D33" s="11" t="n">
        <v>0.00270590277777778</v>
      </c>
      <c r="E33" s="18" t="n">
        <f aca="false">ROUND((D33-$D$5)*86400,2)</f>
        <v>8.76</v>
      </c>
      <c r="F33" s="12" t="n">
        <v>72</v>
      </c>
      <c r="G33" s="11" t="n">
        <f aca="false">IF(INDEX(選手一覧!$D$7:$D$2738,$F33)="","",INDEX(選手一覧!$D$7:$D$2738,$F33))</f>
        <v>0.0100400462962963</v>
      </c>
      <c r="H33" s="12" t="n">
        <f aca="false">IF(INDEX(選手一覧!$E$7:$E$2738,$F33)="","",INDEX(選手一覧!$E$7:$E$2738,$F33))</f>
        <v>29</v>
      </c>
      <c r="I33" s="11" t="n">
        <f aca="false">IF(INDEX(選手一覧!$F$7:$F$2738,$F33)="","",INDEX(選手一覧!$F$7:$F$2738,$F33))</f>
        <v>0.00702037037037037</v>
      </c>
      <c r="J33" s="12" t="n">
        <f aca="false">IF(INDEX(選手一覧!$G$7:$G$2738,$F33)="","",INDEX(選手一覧!$G$7:$G$2738,$F33))</f>
        <v>355</v>
      </c>
    </row>
    <row r="34" customFormat="false" ht="15" hidden="false" customHeight="false" outlineLevel="0" collapsed="false">
      <c r="A34" s="12" t="n">
        <v>30</v>
      </c>
      <c r="B34" s="10" t="s">
        <v>153</v>
      </c>
      <c r="C34" s="10" t="s">
        <v>154</v>
      </c>
      <c r="D34" s="11" t="n">
        <v>0.00270625</v>
      </c>
      <c r="E34" s="18" t="n">
        <f aca="false">ROUND((D34-$D$5)*86400,2)</f>
        <v>8.79</v>
      </c>
      <c r="F34" s="12" t="n">
        <v>75</v>
      </c>
      <c r="G34" s="11" t="n">
        <f aca="false">IF(INDEX(選手一覧!$D$7:$D$2738,$F34)="","",INDEX(選手一覧!$D$7:$D$2738,$F34))</f>
        <v>0.0104215277777778</v>
      </c>
      <c r="H34" s="12" t="n">
        <f aca="false">IF(INDEX(選手一覧!$E$7:$E$2738,$F34)="","",INDEX(選手一覧!$E$7:$E$2738,$F34))</f>
        <v>286</v>
      </c>
      <c r="I34" s="11" t="str">
        <f aca="false">IF(INDEX(選手一覧!$F$7:$F$2738,$F34)="","",INDEX(選手一覧!$F$7:$F$2738,$F34))</f>
        <v/>
      </c>
      <c r="J34" s="12" t="str">
        <f aca="false">IF(INDEX(選手一覧!$G$7:$G$2738,$F34)="","",INDEX(選手一覧!$G$7:$G$2738,$F34))</f>
        <v/>
      </c>
    </row>
    <row r="35" customFormat="false" ht="15" hidden="false" customHeight="false" outlineLevel="0" collapsed="false">
      <c r="A35" s="12" t="n">
        <v>31</v>
      </c>
      <c r="B35" s="10" t="s">
        <v>159</v>
      </c>
      <c r="C35" s="10" t="s">
        <v>53</v>
      </c>
      <c r="D35" s="11" t="n">
        <v>0.00270763888888889</v>
      </c>
      <c r="E35" s="18" t="n">
        <f aca="false">ROUND((D35-$D$5)*86400,2)</f>
        <v>8.91</v>
      </c>
      <c r="F35" s="12" t="n">
        <v>78</v>
      </c>
      <c r="G35" s="11" t="n">
        <f aca="false">IF(INDEX(選手一覧!$D$7:$D$2738,$F35)="","",INDEX(選手一覧!$D$7:$D$2738,$F35))</f>
        <v>0.010275462962963</v>
      </c>
      <c r="H35" s="12" t="n">
        <f aca="false">IF(INDEX(選手一覧!$E$7:$E$2738,$F35)="","",INDEX(選手一覧!$E$7:$E$2738,$F35))</f>
        <v>141</v>
      </c>
      <c r="I35" s="11" t="str">
        <f aca="false">IF(INDEX(選手一覧!$F$7:$F$2738,$F35)="","",INDEX(選手一覧!$F$7:$F$2738,$F35))</f>
        <v/>
      </c>
      <c r="J35" s="12" t="str">
        <f aca="false">IF(INDEX(選手一覧!$G$7:$G$2738,$F35)="","",INDEX(選手一覧!$G$7:$G$2738,$F35))</f>
        <v/>
      </c>
    </row>
    <row r="36" customFormat="false" ht="15" hidden="false" customHeight="false" outlineLevel="0" collapsed="false">
      <c r="A36" s="12" t="n">
        <v>32</v>
      </c>
      <c r="B36" s="10" t="s">
        <v>165</v>
      </c>
      <c r="C36" s="10" t="s">
        <v>166</v>
      </c>
      <c r="D36" s="11" t="n">
        <v>0.00270787037037037</v>
      </c>
      <c r="E36" s="18" t="n">
        <f aca="false">ROUND((D36-$D$5)*86400,2)</f>
        <v>8.93</v>
      </c>
      <c r="F36" s="12" t="n">
        <v>82</v>
      </c>
      <c r="G36" s="11" t="n">
        <f aca="false">IF(INDEX(選手一覧!$D$7:$D$2738,$F36)="","",INDEX(選手一覧!$D$7:$D$2738,$F36))</f>
        <v>0.010158912037037</v>
      </c>
      <c r="H36" s="12" t="n">
        <f aca="false">IF(INDEX(選手一覧!$E$7:$E$2738,$F36)="","",INDEX(選手一覧!$E$7:$E$2738,$F36))</f>
        <v>75</v>
      </c>
      <c r="I36" s="11" t="str">
        <f aca="false">IF(INDEX(選手一覧!$F$7:$F$2738,$F36)="","",INDEX(選手一覧!$F$7:$F$2738,$F36))</f>
        <v/>
      </c>
      <c r="J36" s="12" t="str">
        <f aca="false">IF(INDEX(選手一覧!$G$7:$G$2738,$F36)="","",INDEX(選手一覧!$G$7:$G$2738,$F36))</f>
        <v/>
      </c>
    </row>
    <row r="37" customFormat="false" ht="15" hidden="false" customHeight="false" outlineLevel="0" collapsed="false">
      <c r="A37" s="12" t="n">
        <v>33</v>
      </c>
      <c r="B37" s="10" t="s">
        <v>170</v>
      </c>
      <c r="C37" s="10" t="s">
        <v>171</v>
      </c>
      <c r="D37" s="11" t="n">
        <v>0.00270844907407407</v>
      </c>
      <c r="E37" s="18" t="n">
        <f aca="false">ROUND((D37-$D$5)*86400,2)</f>
        <v>8.98</v>
      </c>
      <c r="F37" s="12" t="n">
        <v>85</v>
      </c>
      <c r="G37" s="11" t="n">
        <f aca="false">IF(INDEX(選手一覧!$D$7:$D$2738,$F37)="","",INDEX(選手一覧!$D$7:$D$2738,$F37))</f>
        <v>0.0104740740740741</v>
      </c>
      <c r="H37" s="12" t="n">
        <f aca="false">IF(INDEX(選手一覧!$E$7:$E$2738,$F37)="","",INDEX(選手一覧!$E$7:$E$2738,$F37))</f>
        <v>320</v>
      </c>
      <c r="I37" s="11" t="str">
        <f aca="false">IF(INDEX(選手一覧!$F$7:$F$2738,$F37)="","",INDEX(選手一覧!$F$7:$F$2738,$F37))</f>
        <v/>
      </c>
      <c r="J37" s="12" t="str">
        <f aca="false">IF(INDEX(選手一覧!$G$7:$G$2738,$F37)="","",INDEX(選手一覧!$G$7:$G$2738,$F37))</f>
        <v/>
      </c>
    </row>
    <row r="38" customFormat="false" ht="15" hidden="false" customHeight="false" outlineLevel="0" collapsed="false">
      <c r="A38" s="12" t="n">
        <v>34</v>
      </c>
      <c r="B38" s="10" t="s">
        <v>92</v>
      </c>
      <c r="C38" s="10" t="s">
        <v>93</v>
      </c>
      <c r="D38" s="11" t="n">
        <v>0.00270949074074074</v>
      </c>
      <c r="E38" s="18" t="n">
        <f aca="false">ROUND((D38-$D$5)*86400,2)</f>
        <v>9.07</v>
      </c>
      <c r="F38" s="12" t="n">
        <v>40</v>
      </c>
      <c r="G38" s="11" t="n">
        <f aca="false">IF(INDEX(選手一覧!$D$7:$D$2738,$F38)="","",INDEX(選手一覧!$D$7:$D$2738,$F38))</f>
        <v>0.00992893518518519</v>
      </c>
      <c r="H38" s="12" t="n">
        <f aca="false">IF(INDEX(選手一覧!$E$7:$E$2738,$F38)="","",INDEX(選手一覧!$E$7:$E$2738,$F38))</f>
        <v>16</v>
      </c>
      <c r="I38" s="11" t="str">
        <f aca="false">IF(INDEX(選手一覧!$F$7:$F$2738,$F38)="","",INDEX(選手一覧!$F$7:$F$2738,$F38))</f>
        <v/>
      </c>
      <c r="J38" s="12" t="str">
        <f aca="false">IF(INDEX(選手一覧!$G$7:$G$2738,$F38)="","",INDEX(選手一覧!$G$7:$G$2738,$F38))</f>
        <v/>
      </c>
    </row>
    <row r="39" customFormat="false" ht="15" hidden="false" customHeight="false" outlineLevel="0" collapsed="false">
      <c r="A39" s="12" t="n">
        <v>35</v>
      </c>
      <c r="B39" s="10" t="s">
        <v>180</v>
      </c>
      <c r="C39" s="10" t="s">
        <v>181</v>
      </c>
      <c r="D39" s="11" t="n">
        <v>0.00270983796296296</v>
      </c>
      <c r="E39" s="18" t="n">
        <f aca="false">ROUND((D39-$D$5)*86400,2)</f>
        <v>9.1</v>
      </c>
      <c r="F39" s="12" t="n">
        <v>90</v>
      </c>
      <c r="G39" s="11" t="n">
        <f aca="false">IF(INDEX(選手一覧!$D$7:$D$2738,$F39)="","",INDEX(選手一覧!$D$7:$D$2738,$F39))</f>
        <v>0.0105988425925926</v>
      </c>
      <c r="H39" s="12" t="n">
        <f aca="false">IF(INDEX(選手一覧!$E$7:$E$2738,$F39)="","",INDEX(選手一覧!$E$7:$E$2738,$F39))</f>
        <v>461</v>
      </c>
      <c r="I39" s="11" t="str">
        <f aca="false">IF(INDEX(選手一覧!$F$7:$F$2738,$F39)="","",INDEX(選手一覧!$F$7:$F$2738,$F39))</f>
        <v/>
      </c>
      <c r="J39" s="12" t="str">
        <f aca="false">IF(INDEX(選手一覧!$G$7:$G$2738,$F39)="","",INDEX(選手一覧!$G$7:$G$2738,$F39))</f>
        <v/>
      </c>
    </row>
    <row r="40" customFormat="false" ht="15" hidden="false" customHeight="false" outlineLevel="0" collapsed="false">
      <c r="A40" s="12" t="n">
        <v>36</v>
      </c>
      <c r="B40" s="10" t="s">
        <v>186</v>
      </c>
      <c r="C40" s="10" t="s">
        <v>25</v>
      </c>
      <c r="D40" s="11" t="n">
        <v>0.00271087962962963</v>
      </c>
      <c r="E40" s="18" t="n">
        <f aca="false">ROUND((D40-$D$5)*86400,2)</f>
        <v>9.19</v>
      </c>
      <c r="F40" s="12" t="n">
        <v>93</v>
      </c>
      <c r="G40" s="11" t="str">
        <f aca="false">IF(INDEX(選手一覧!$D$7:$D$2738,$F40)="","",INDEX(選手一覧!$D$7:$D$2738,$F40))</f>
        <v/>
      </c>
      <c r="H40" s="12" t="str">
        <f aca="false">IF(INDEX(選手一覧!$E$7:$E$2738,$F40)="","",INDEX(選手一覧!$E$7:$E$2738,$F40))</f>
        <v/>
      </c>
      <c r="I40" s="11" t="str">
        <f aca="false">IF(INDEX(選手一覧!$F$7:$F$2738,$F40)="","",INDEX(選手一覧!$F$7:$F$2738,$F40))</f>
        <v/>
      </c>
      <c r="J40" s="12" t="str">
        <f aca="false">IF(INDEX(選手一覧!$G$7:$G$2738,$F40)="","",INDEX(選手一覧!$G$7:$G$2738,$F40))</f>
        <v/>
      </c>
    </row>
    <row r="41" customFormat="false" ht="15" hidden="false" customHeight="false" outlineLevel="0" collapsed="false">
      <c r="A41" s="12" t="n">
        <v>37</v>
      </c>
      <c r="B41" s="10" t="s">
        <v>191</v>
      </c>
      <c r="C41" s="10" t="s">
        <v>62</v>
      </c>
      <c r="D41" s="11" t="n">
        <v>0.00271180555555556</v>
      </c>
      <c r="E41" s="18" t="n">
        <f aca="false">ROUND((D41-$D$5)*86400,2)</f>
        <v>9.27</v>
      </c>
      <c r="F41" s="12" t="n">
        <v>96</v>
      </c>
      <c r="G41" s="11" t="n">
        <f aca="false">IF(INDEX(選手一覧!$D$7:$D$2738,$F41)="","",INDEX(選手一覧!$D$7:$D$2738,$F41))</f>
        <v>0.0103731481481482</v>
      </c>
      <c r="H41" s="12" t="n">
        <f aca="false">IF(INDEX(選手一覧!$E$7:$E$2738,$F41)="","",INDEX(選手一覧!$E$7:$E$2738,$F41))</f>
        <v>227</v>
      </c>
      <c r="I41" s="11" t="str">
        <f aca="false">IF(INDEX(選手一覧!$F$7:$F$2738,$F41)="","",INDEX(選手一覧!$F$7:$F$2738,$F41))</f>
        <v/>
      </c>
      <c r="J41" s="12" t="str">
        <f aca="false">IF(INDEX(選手一覧!$G$7:$G$2738,$F41)="","",INDEX(選手一覧!$G$7:$G$2738,$F41))</f>
        <v/>
      </c>
    </row>
    <row r="42" customFormat="false" ht="15" hidden="false" customHeight="false" outlineLevel="0" collapsed="false">
      <c r="A42" s="12" t="n">
        <v>38</v>
      </c>
      <c r="B42" s="10" t="s">
        <v>196</v>
      </c>
      <c r="C42" s="10" t="s">
        <v>55</v>
      </c>
      <c r="D42" s="11" t="n">
        <v>0.00271238425925926</v>
      </c>
      <c r="E42" s="18" t="n">
        <f aca="false">ROUND((D42-$D$5)*86400,2)</f>
        <v>9.32</v>
      </c>
      <c r="F42" s="12" t="n">
        <v>99</v>
      </c>
      <c r="G42" s="11" t="n">
        <f aca="false">IF(INDEX(選手一覧!$D$7:$D$2738,$F42)="","",INDEX(選手一覧!$D$7:$D$2738,$F42))</f>
        <v>0.0100895833333333</v>
      </c>
      <c r="H42" s="12" t="n">
        <f aca="false">IF(INDEX(選手一覧!$E$7:$E$2738,$F42)="","",INDEX(選手一覧!$E$7:$E$2738,$F42))</f>
        <v>46</v>
      </c>
      <c r="I42" s="11" t="str">
        <f aca="false">IF(INDEX(選手一覧!$F$7:$F$2738,$F42)="","",INDEX(選手一覧!$F$7:$F$2738,$F42))</f>
        <v/>
      </c>
      <c r="J42" s="12" t="str">
        <f aca="false">IF(INDEX(選手一覧!$G$7:$G$2738,$F42)="","",INDEX(選手一覧!$G$7:$G$2738,$F42))</f>
        <v/>
      </c>
    </row>
    <row r="43" customFormat="false" ht="15" hidden="false" customHeight="false" outlineLevel="0" collapsed="false">
      <c r="A43" s="12" t="n">
        <v>39</v>
      </c>
      <c r="B43" s="10" t="s">
        <v>198</v>
      </c>
      <c r="C43" s="10" t="s">
        <v>95</v>
      </c>
      <c r="D43" s="11" t="n">
        <v>0.00271296296296296</v>
      </c>
      <c r="E43" s="18" t="n">
        <f aca="false">ROUND((D43-$D$5)*86400,2)</f>
        <v>9.37</v>
      </c>
      <c r="F43" s="12" t="n">
        <v>101</v>
      </c>
      <c r="G43" s="11" t="n">
        <f aca="false">IF(INDEX(選手一覧!$D$7:$D$2738,$F43)="","",INDEX(選手一覧!$D$7:$D$2738,$F43))</f>
        <v>0.0101003472222222</v>
      </c>
      <c r="H43" s="12" t="n">
        <f aca="false">IF(INDEX(選手一覧!$E$7:$E$2738,$F43)="","",INDEX(選手一覧!$E$7:$E$2738,$F43))</f>
        <v>52</v>
      </c>
      <c r="I43" s="11" t="str">
        <f aca="false">IF(INDEX(選手一覧!$F$7:$F$2738,$F43)="","",INDEX(選手一覧!$F$7:$F$2738,$F43))</f>
        <v/>
      </c>
      <c r="J43" s="12" t="str">
        <f aca="false">IF(INDEX(選手一覧!$G$7:$G$2738,$F43)="","",INDEX(選手一覧!$G$7:$G$2738,$F43))</f>
        <v/>
      </c>
    </row>
    <row r="44" customFormat="false" ht="15" hidden="false" customHeight="false" outlineLevel="0" collapsed="false">
      <c r="A44" s="12" t="n">
        <v>40</v>
      </c>
      <c r="B44" s="10" t="s">
        <v>202</v>
      </c>
      <c r="C44" s="10" t="s">
        <v>60</v>
      </c>
      <c r="D44" s="11" t="n">
        <v>0.0027130787037037</v>
      </c>
      <c r="E44" s="18" t="n">
        <f aca="false">ROUND((D44-$D$5)*86400,2)</f>
        <v>9.38</v>
      </c>
      <c r="F44" s="12" t="n">
        <v>104</v>
      </c>
      <c r="G44" s="11" t="n">
        <f aca="false">IF(INDEX(選手一覧!$D$7:$D$2738,$F44)="","",INDEX(選手一覧!$D$7:$D$2738,$F44))</f>
        <v>0.0106701388888889</v>
      </c>
      <c r="H44" s="12" t="n">
        <f aca="false">IF(INDEX(選手一覧!$E$7:$E$2738,$F44)="","",INDEX(選手一覧!$E$7:$E$2738,$F44))</f>
        <v>548</v>
      </c>
      <c r="I44" s="11" t="str">
        <f aca="false">IF(INDEX(選手一覧!$F$7:$F$2738,$F44)="","",INDEX(選手一覧!$F$7:$F$2738,$F44))</f>
        <v/>
      </c>
      <c r="J44" s="12" t="str">
        <f aca="false">IF(INDEX(選手一覧!$G$7:$G$2738,$F44)="","",INDEX(選手一覧!$G$7:$G$2738,$F44))</f>
        <v/>
      </c>
    </row>
    <row r="45" customFormat="false" ht="15" hidden="false" customHeight="false" outlineLevel="0" collapsed="false">
      <c r="A45" s="12" t="n">
        <v>41</v>
      </c>
      <c r="B45" s="10" t="s">
        <v>205</v>
      </c>
      <c r="C45" s="10" t="s">
        <v>206</v>
      </c>
      <c r="D45" s="11" t="n">
        <v>0.00271319444444444</v>
      </c>
      <c r="E45" s="18" t="n">
        <f aca="false">ROUND((D45-$D$5)*86400,2)</f>
        <v>9.39</v>
      </c>
      <c r="F45" s="12" t="n">
        <v>107</v>
      </c>
      <c r="G45" s="11" t="n">
        <f aca="false">IF(INDEX(選手一覧!$D$7:$D$2738,$F45)="","",INDEX(選手一覧!$D$7:$D$2738,$F45))</f>
        <v>0.010127662037037</v>
      </c>
      <c r="H45" s="12" t="n">
        <f aca="false">IF(INDEX(選手一覧!$E$7:$E$2738,$F45)="","",INDEX(選手一覧!$E$7:$E$2738,$F45))</f>
        <v>59</v>
      </c>
      <c r="I45" s="11" t="str">
        <f aca="false">IF(INDEX(選手一覧!$F$7:$F$2738,$F45)="","",INDEX(選手一覧!$F$7:$F$2738,$F45))</f>
        <v/>
      </c>
      <c r="J45" s="12" t="str">
        <f aca="false">IF(INDEX(選手一覧!$G$7:$G$2738,$F45)="","",INDEX(選手一覧!$G$7:$G$2738,$F45))</f>
        <v/>
      </c>
    </row>
    <row r="46" customFormat="false" ht="15" hidden="false" customHeight="false" outlineLevel="0" collapsed="false">
      <c r="A46" s="12" t="n">
        <v>42</v>
      </c>
      <c r="B46" s="10" t="s">
        <v>209</v>
      </c>
      <c r="C46" s="10" t="s">
        <v>210</v>
      </c>
      <c r="D46" s="11" t="n">
        <v>0.00271400462962963</v>
      </c>
      <c r="E46" s="18" t="n">
        <f aca="false">ROUND((D46-$D$5)*86400,2)</f>
        <v>9.46</v>
      </c>
      <c r="F46" s="12" t="n">
        <v>109</v>
      </c>
      <c r="G46" s="11" t="n">
        <f aca="false">IF(INDEX(選手一覧!$D$7:$D$2738,$F46)="","",INDEX(選手一覧!$D$7:$D$2738,$F46))</f>
        <v>0.0103403935185185</v>
      </c>
      <c r="H46" s="12" t="n">
        <f aca="false">IF(INDEX(選手一覧!$E$7:$E$2738,$F46)="","",INDEX(選手一覧!$E$7:$E$2738,$F46))</f>
        <v>193</v>
      </c>
      <c r="I46" s="11" t="str">
        <f aca="false">IF(INDEX(選手一覧!$F$7:$F$2738,$F46)="","",INDEX(選手一覧!$F$7:$F$2738,$F46))</f>
        <v/>
      </c>
      <c r="J46" s="12" t="str">
        <f aca="false">IF(INDEX(選手一覧!$G$7:$G$2738,$F46)="","",INDEX(選手一覧!$G$7:$G$2738,$F46))</f>
        <v/>
      </c>
    </row>
    <row r="47" customFormat="false" ht="15" hidden="false" customHeight="false" outlineLevel="0" collapsed="false">
      <c r="A47" s="12" t="n">
        <v>43</v>
      </c>
      <c r="B47" s="10" t="s">
        <v>217</v>
      </c>
      <c r="C47" s="10" t="s">
        <v>218</v>
      </c>
      <c r="D47" s="11" t="n">
        <v>0.00271527777777778</v>
      </c>
      <c r="E47" s="18" t="n">
        <f aca="false">ROUND((D47-$D$5)*86400,2)</f>
        <v>9.57</v>
      </c>
      <c r="F47" s="12" t="n">
        <v>114</v>
      </c>
      <c r="G47" s="11" t="n">
        <f aca="false">IF(INDEX(選手一覧!$D$7:$D$2738,$F47)="","",INDEX(選手一覧!$D$7:$D$2738,$F47))</f>
        <v>0.0108314814814815</v>
      </c>
      <c r="H47" s="12" t="n">
        <f aca="false">IF(INDEX(選手一覧!$E$7:$E$2738,$F47)="","",INDEX(選手一覧!$E$7:$E$2738,$F47))</f>
        <v>794</v>
      </c>
      <c r="I47" s="11" t="str">
        <f aca="false">IF(INDEX(選手一覧!$F$7:$F$2738,$F47)="","",INDEX(選手一覧!$F$7:$F$2738,$F47))</f>
        <v/>
      </c>
      <c r="J47" s="12" t="str">
        <f aca="false">IF(INDEX(選手一覧!$G$7:$G$2738,$F47)="","",INDEX(選手一覧!$G$7:$G$2738,$F47))</f>
        <v/>
      </c>
    </row>
    <row r="48" customFormat="false" ht="15" hidden="false" customHeight="false" outlineLevel="0" collapsed="false">
      <c r="A48" s="12" t="n">
        <v>44</v>
      </c>
      <c r="B48" s="10" t="s">
        <v>219</v>
      </c>
      <c r="C48" s="10" t="s">
        <v>220</v>
      </c>
      <c r="D48" s="11" t="n">
        <v>0.00271724537037037</v>
      </c>
      <c r="E48" s="18" t="n">
        <f aca="false">ROUND((D48-$D$5)*86400,2)</f>
        <v>9.74</v>
      </c>
      <c r="F48" s="12" t="n">
        <v>115</v>
      </c>
      <c r="G48" s="11" t="n">
        <f aca="false">IF(INDEX(選手一覧!$D$7:$D$2738,$F48)="","",INDEX(選手一覧!$D$7:$D$2738,$F48))</f>
        <v>0.0102458333333333</v>
      </c>
      <c r="H48" s="12" t="n">
        <f aca="false">IF(INDEX(選手一覧!$E$7:$E$2738,$F48)="","",INDEX(選手一覧!$E$7:$E$2738,$F48))</f>
        <v>126</v>
      </c>
      <c r="I48" s="11" t="n">
        <f aca="false">IF(INDEX(選手一覧!$F$7:$F$2738,$F48)="","",INDEX(選手一覧!$F$7:$F$2738,$F48))</f>
        <v>0.00804594907407407</v>
      </c>
      <c r="J48" s="12" t="n">
        <f aca="false">IF(INDEX(選手一覧!$G$7:$G$2738,$F48)="","",INDEX(選手一覧!$G$7:$G$2738,$F48))</f>
        <v>1199</v>
      </c>
    </row>
    <row r="49" customFormat="false" ht="15" hidden="false" customHeight="false" outlineLevel="0" collapsed="false">
      <c r="A49" s="12" t="n">
        <v>45</v>
      </c>
      <c r="B49" s="10" t="s">
        <v>227</v>
      </c>
      <c r="C49" s="10" t="s">
        <v>134</v>
      </c>
      <c r="D49" s="11" t="n">
        <v>0.00271736111111111</v>
      </c>
      <c r="E49" s="18" t="n">
        <f aca="false">ROUND((D49-$D$5)*86400,2)</f>
        <v>9.75</v>
      </c>
      <c r="F49" s="12" t="n">
        <v>120</v>
      </c>
      <c r="G49" s="11" t="n">
        <f aca="false">IF(INDEX(選手一覧!$D$7:$D$2738,$F49)="","",INDEX(選手一覧!$D$7:$D$2738,$F49))</f>
        <v>0.0101373842592593</v>
      </c>
      <c r="H49" s="12" t="n">
        <f aca="false">IF(INDEX(選手一覧!$E$7:$E$2738,$F49)="","",INDEX(選手一覧!$E$7:$E$2738,$F49))</f>
        <v>66</v>
      </c>
      <c r="I49" s="11" t="str">
        <f aca="false">IF(INDEX(選手一覧!$F$7:$F$2738,$F49)="","",INDEX(選手一覧!$F$7:$F$2738,$F49))</f>
        <v/>
      </c>
      <c r="J49" s="12" t="str">
        <f aca="false">IF(INDEX(選手一覧!$G$7:$G$2738,$F49)="","",INDEX(選手一覧!$G$7:$G$2738,$F49))</f>
        <v/>
      </c>
    </row>
    <row r="50" customFormat="false" ht="15" hidden="false" customHeight="false" outlineLevel="0" collapsed="false">
      <c r="A50" s="12" t="n">
        <v>46</v>
      </c>
      <c r="B50" s="10" t="s">
        <v>194</v>
      </c>
      <c r="C50" s="10" t="s">
        <v>195</v>
      </c>
      <c r="D50" s="11" t="n">
        <v>0.00271759259259259</v>
      </c>
      <c r="E50" s="18" t="n">
        <f aca="false">ROUND((D50-$D$5)*86400,2)</f>
        <v>9.77</v>
      </c>
      <c r="F50" s="12" t="n">
        <v>98</v>
      </c>
      <c r="G50" s="11" t="n">
        <f aca="false">IF(INDEX(選手一覧!$D$7:$D$2738,$F50)="","",INDEX(選手一覧!$D$7:$D$2738,$F50))</f>
        <v>0.0100549768518519</v>
      </c>
      <c r="H50" s="12" t="n">
        <f aca="false">IF(INDEX(選手一覧!$E$7:$E$2738,$F50)="","",INDEX(選手一覧!$E$7:$E$2738,$F50))</f>
        <v>38</v>
      </c>
      <c r="I50" s="11" t="str">
        <f aca="false">IF(INDEX(選手一覧!$F$7:$F$2738,$F50)="","",INDEX(選手一覧!$F$7:$F$2738,$F50))</f>
        <v/>
      </c>
      <c r="J50" s="12" t="str">
        <f aca="false">IF(INDEX(選手一覧!$G$7:$G$2738,$F50)="","",INDEX(選手一覧!$G$7:$G$2738,$F50))</f>
        <v/>
      </c>
    </row>
    <row r="51" customFormat="false" ht="15" hidden="false" customHeight="false" outlineLevel="0" collapsed="false">
      <c r="A51" s="12" t="n">
        <v>47</v>
      </c>
      <c r="B51" s="10" t="s">
        <v>231</v>
      </c>
      <c r="C51" s="10" t="s">
        <v>36</v>
      </c>
      <c r="D51" s="11" t="n">
        <v>0.00271898148148148</v>
      </c>
      <c r="E51" s="18" t="n">
        <f aca="false">ROUND((D51-$D$5)*86400,2)</f>
        <v>9.89</v>
      </c>
      <c r="F51" s="12" t="n">
        <v>123</v>
      </c>
      <c r="G51" s="11" t="n">
        <f aca="false">IF(INDEX(選手一覧!$D$7:$D$2738,$F51)="","",INDEX(選手一覧!$D$7:$D$2738,$F51))</f>
        <v>0.0100917824074074</v>
      </c>
      <c r="H51" s="12" t="n">
        <f aca="false">IF(INDEX(選手一覧!$E$7:$E$2738,$F51)="","",INDEX(選手一覧!$E$7:$E$2738,$F51))</f>
        <v>47</v>
      </c>
      <c r="I51" s="11" t="str">
        <f aca="false">IF(INDEX(選手一覧!$F$7:$F$2738,$F51)="","",INDEX(選手一覧!$F$7:$F$2738,$F51))</f>
        <v/>
      </c>
      <c r="J51" s="12" t="str">
        <f aca="false">IF(INDEX(選手一覧!$G$7:$G$2738,$F51)="","",INDEX(選手一覧!$G$7:$G$2738,$F51))</f>
        <v/>
      </c>
    </row>
    <row r="52" customFormat="false" ht="15" hidden="false" customHeight="false" outlineLevel="0" collapsed="false">
      <c r="A52" s="12" t="n">
        <v>48</v>
      </c>
      <c r="B52" s="10" t="s">
        <v>146</v>
      </c>
      <c r="C52" s="10" t="s">
        <v>147</v>
      </c>
      <c r="D52" s="11" t="n">
        <v>0.00271909722222222</v>
      </c>
      <c r="E52" s="18" t="n">
        <f aca="false">ROUND((D52-$D$5)*86400,2)</f>
        <v>9.9</v>
      </c>
      <c r="F52" s="12" t="n">
        <v>70</v>
      </c>
      <c r="G52" s="11" t="n">
        <f aca="false">IF(INDEX(選手一覧!$D$7:$D$2738,$F52)="","",INDEX(選手一覧!$D$7:$D$2738,$F52))</f>
        <v>0.0100331018518519</v>
      </c>
      <c r="H52" s="12" t="n">
        <f aca="false">IF(INDEX(選手一覧!$E$7:$E$2738,$F52)="","",INDEX(選手一覧!$E$7:$E$2738,$F52))</f>
        <v>28</v>
      </c>
      <c r="I52" s="11" t="str">
        <f aca="false">IF(INDEX(選手一覧!$F$7:$F$2738,$F52)="","",INDEX(選手一覧!$F$7:$F$2738,$F52))</f>
        <v/>
      </c>
      <c r="J52" s="12" t="str">
        <f aca="false">IF(INDEX(選手一覧!$G$7:$G$2738,$F52)="","",INDEX(選手一覧!$G$7:$G$2738,$F52))</f>
        <v/>
      </c>
    </row>
    <row r="53" customFormat="false" ht="15" hidden="false" customHeight="false" outlineLevel="0" collapsed="false">
      <c r="A53" s="12" t="n">
        <v>49</v>
      </c>
      <c r="B53" s="10" t="s">
        <v>4007</v>
      </c>
      <c r="C53" s="10" t="s">
        <v>57</v>
      </c>
      <c r="D53" s="11" t="n">
        <v>0.00272118055555556</v>
      </c>
      <c r="E53" s="18" t="n">
        <f aca="false">ROUND((D53-$D$5)*86400,2)</f>
        <v>10.08</v>
      </c>
      <c r="F53" s="12" t="n">
        <v>19</v>
      </c>
      <c r="G53" s="11" t="n">
        <f aca="false">IF(INDEX(選手一覧!$D$7:$D$2738,$F53)="","",INDEX(選手一覧!$D$7:$D$2738,$F53))</f>
        <v>0.00981168981481482</v>
      </c>
      <c r="H53" s="12" t="n">
        <f aca="false">IF(INDEX(選手一覧!$E$7:$E$2738,$F53)="","",INDEX(選手一覧!$E$7:$E$2738,$F53))</f>
        <v>8</v>
      </c>
      <c r="I53" s="11" t="str">
        <f aca="false">IF(INDEX(選手一覧!$F$7:$F$2738,$F53)="","",INDEX(選手一覧!$F$7:$F$2738,$F53))</f>
        <v/>
      </c>
      <c r="J53" s="12" t="str">
        <f aca="false">IF(INDEX(選手一覧!$G$7:$G$2738,$F53)="","",INDEX(選手一覧!$G$7:$G$2738,$F53))</f>
        <v/>
      </c>
    </row>
    <row r="54" customFormat="false" ht="15" hidden="false" customHeight="false" outlineLevel="0" collapsed="false">
      <c r="A54" s="12" t="n">
        <v>50</v>
      </c>
      <c r="B54" s="10" t="s">
        <v>238</v>
      </c>
      <c r="C54" s="10" t="s">
        <v>120</v>
      </c>
      <c r="D54" s="11" t="n">
        <v>0.00272175925925926</v>
      </c>
      <c r="E54" s="18" t="n">
        <f aca="false">ROUND((D54-$D$5)*86400,2)</f>
        <v>10.13</v>
      </c>
      <c r="F54" s="12" t="n">
        <v>128</v>
      </c>
      <c r="G54" s="11" t="n">
        <f aca="false">IF(INDEX(選手一覧!$D$7:$D$2738,$F54)="","",INDEX(選手一覧!$D$7:$D$2738,$F54))</f>
        <v>0.010671412037037</v>
      </c>
      <c r="H54" s="12" t="n">
        <f aca="false">IF(INDEX(選手一覧!$E$7:$E$2738,$F54)="","",INDEX(選手一覧!$E$7:$E$2738,$F54))</f>
        <v>550</v>
      </c>
      <c r="I54" s="11" t="str">
        <f aca="false">IF(INDEX(選手一覧!$F$7:$F$2738,$F54)="","",INDEX(選手一覧!$F$7:$F$2738,$F54))</f>
        <v/>
      </c>
      <c r="J54" s="12" t="str">
        <f aca="false">IF(INDEX(選手一覧!$G$7:$G$2738,$F54)="","",INDEX(選手一覧!$G$7:$G$2738,$F54))</f>
        <v/>
      </c>
    </row>
    <row r="55" customFormat="false" ht="15" hidden="false" customHeight="false" outlineLevel="0" collapsed="false">
      <c r="A55" s="12" t="n">
        <v>51</v>
      </c>
      <c r="B55" s="10" t="s">
        <v>35</v>
      </c>
      <c r="C55" s="10" t="s">
        <v>36</v>
      </c>
      <c r="D55" s="11" t="n">
        <v>0.002721875</v>
      </c>
      <c r="E55" s="18" t="n">
        <f aca="false">ROUND((D55-$D$5)*86400,2)</f>
        <v>10.14</v>
      </c>
      <c r="F55" s="12" t="n">
        <v>8</v>
      </c>
      <c r="G55" s="11" t="n">
        <f aca="false">IF(INDEX(選手一覧!$D$7:$D$2738,$F55)="","",INDEX(選手一覧!$D$7:$D$2738,$F55))</f>
        <v>0.00971435185185185</v>
      </c>
      <c r="H55" s="12" t="n">
        <f aca="false">IF(INDEX(選手一覧!$E$7:$E$2738,$F55)="","",INDEX(選手一覧!$E$7:$E$2738,$F55))</f>
        <v>4</v>
      </c>
      <c r="I55" s="11" t="str">
        <f aca="false">IF(INDEX(選手一覧!$F$7:$F$2738,$F55)="","",INDEX(選手一覧!$F$7:$F$2738,$F55))</f>
        <v/>
      </c>
      <c r="J55" s="12" t="str">
        <f aca="false">IF(INDEX(選手一覧!$G$7:$G$2738,$F55)="","",INDEX(選手一覧!$G$7:$G$2738,$F55))</f>
        <v/>
      </c>
    </row>
    <row r="56" customFormat="false" ht="15" hidden="false" customHeight="false" outlineLevel="0" collapsed="false">
      <c r="A56" s="12" t="n">
        <v>52</v>
      </c>
      <c r="B56" s="10" t="s">
        <v>243</v>
      </c>
      <c r="C56" s="10" t="s">
        <v>244</v>
      </c>
      <c r="D56" s="11" t="n">
        <v>0.00272256944444444</v>
      </c>
      <c r="E56" s="18" t="n">
        <f aca="false">ROUND((D56-$D$5)*86400,2)</f>
        <v>10.2</v>
      </c>
      <c r="F56" s="12" t="n">
        <v>131</v>
      </c>
      <c r="G56" s="11" t="n">
        <f aca="false">IF(INDEX(選手一覧!$D$7:$D$2738,$F56)="","",INDEX(選手一覧!$D$7:$D$2738,$F56))</f>
        <v>0.0104509259259259</v>
      </c>
      <c r="H56" s="12" t="n">
        <f aca="false">IF(INDEX(選手一覧!$E$7:$E$2738,$F56)="","",INDEX(選手一覧!$E$7:$E$2738,$F56))</f>
        <v>304</v>
      </c>
      <c r="I56" s="11" t="str">
        <f aca="false">IF(INDEX(選手一覧!$F$7:$F$2738,$F56)="","",INDEX(選手一覧!$F$7:$F$2738,$F56))</f>
        <v/>
      </c>
      <c r="J56" s="12" t="str">
        <f aca="false">IF(INDEX(選手一覧!$G$7:$G$2738,$F56)="","",INDEX(選手一覧!$G$7:$G$2738,$F56))</f>
        <v/>
      </c>
    </row>
    <row r="57" customFormat="false" ht="15" hidden="false" customHeight="false" outlineLevel="0" collapsed="false">
      <c r="A57" s="12" t="n">
        <v>53</v>
      </c>
      <c r="B57" s="10" t="s">
        <v>249</v>
      </c>
      <c r="C57" s="10" t="s">
        <v>250</v>
      </c>
      <c r="D57" s="11" t="n">
        <v>0.00272280092592593</v>
      </c>
      <c r="E57" s="18" t="n">
        <f aca="false">ROUND((D57-$D$5)*86400,2)</f>
        <v>10.22</v>
      </c>
      <c r="F57" s="12" t="n">
        <v>135</v>
      </c>
      <c r="G57" s="11" t="n">
        <f aca="false">IF(INDEX(選手一覧!$D$7:$D$2738,$F57)="","",INDEX(選手一覧!$D$7:$D$2738,$F57))</f>
        <v>0.0108503472222222</v>
      </c>
      <c r="H57" s="12" t="n">
        <f aca="false">IF(INDEX(選手一覧!$E$7:$E$2738,$F57)="","",INDEX(選手一覧!$E$7:$E$2738,$F57))</f>
        <v>837</v>
      </c>
      <c r="I57" s="11" t="str">
        <f aca="false">IF(INDEX(選手一覧!$F$7:$F$2738,$F57)="","",INDEX(選手一覧!$F$7:$F$2738,$F57))</f>
        <v/>
      </c>
      <c r="J57" s="12" t="str">
        <f aca="false">IF(INDEX(選手一覧!$G$7:$G$2738,$F57)="","",INDEX(選手一覧!$G$7:$G$2738,$F57))</f>
        <v/>
      </c>
    </row>
    <row r="58" customFormat="false" ht="15" hidden="false" customHeight="false" outlineLevel="0" collapsed="false">
      <c r="A58" s="12" t="n">
        <v>54</v>
      </c>
      <c r="B58" s="10" t="s">
        <v>253</v>
      </c>
      <c r="C58" s="10" t="s">
        <v>254</v>
      </c>
      <c r="D58" s="11" t="n">
        <v>0.00272337962962963</v>
      </c>
      <c r="E58" s="18" t="n">
        <f aca="false">ROUND((D58-$D$5)*86400,2)</f>
        <v>10.27</v>
      </c>
      <c r="F58" s="12" t="n">
        <v>138</v>
      </c>
      <c r="G58" s="11" t="n">
        <f aca="false">IF(INDEX(選手一覧!$D$7:$D$2738,$F58)="","",INDEX(選手一覧!$D$7:$D$2738,$F58))</f>
        <v>0.0106987268518519</v>
      </c>
      <c r="H58" s="12" t="n">
        <f aca="false">IF(INDEX(選手一覧!$E$7:$E$2738,$F58)="","",INDEX(選手一覧!$E$7:$E$2738,$F58))</f>
        <v>578</v>
      </c>
      <c r="I58" s="11" t="str">
        <f aca="false">IF(INDEX(選手一覧!$F$7:$F$2738,$F58)="","",INDEX(選手一覧!$F$7:$F$2738,$F58))</f>
        <v/>
      </c>
      <c r="J58" s="12" t="str">
        <f aca="false">IF(INDEX(選手一覧!$G$7:$G$2738,$F58)="","",INDEX(選手一覧!$G$7:$G$2738,$F58))</f>
        <v/>
      </c>
    </row>
    <row r="59" customFormat="false" ht="15" hidden="false" customHeight="false" outlineLevel="0" collapsed="false">
      <c r="A59" s="12" t="n">
        <v>55</v>
      </c>
      <c r="B59" s="10" t="s">
        <v>102</v>
      </c>
      <c r="C59" s="10" t="s">
        <v>103</v>
      </c>
      <c r="D59" s="11" t="n">
        <v>0.00272430555555556</v>
      </c>
      <c r="E59" s="18" t="n">
        <f aca="false">ROUND((D59-$D$5)*86400,2)</f>
        <v>10.35</v>
      </c>
      <c r="F59" s="12" t="n">
        <v>46</v>
      </c>
      <c r="G59" s="11" t="n">
        <f aca="false">IF(INDEX(選手一覧!$D$7:$D$2738,$F59)="","",INDEX(選手一覧!$D$7:$D$2738,$F59))</f>
        <v>0.0099462962962963</v>
      </c>
      <c r="H59" s="12" t="n">
        <f aca="false">IF(INDEX(選手一覧!$E$7:$E$2738,$F59)="","",INDEX(選手一覧!$E$7:$E$2738,$F59))</f>
        <v>18</v>
      </c>
      <c r="I59" s="11" t="str">
        <f aca="false">IF(INDEX(選手一覧!$F$7:$F$2738,$F59)="","",INDEX(選手一覧!$F$7:$F$2738,$F59))</f>
        <v/>
      </c>
      <c r="J59" s="12" t="str">
        <f aca="false">IF(INDEX(選手一覧!$G$7:$G$2738,$F59)="","",INDEX(選手一覧!$G$7:$G$2738,$F59))</f>
        <v/>
      </c>
    </row>
    <row r="60" customFormat="false" ht="15" hidden="false" customHeight="false" outlineLevel="0" collapsed="false">
      <c r="A60" s="12" t="n">
        <v>56</v>
      </c>
      <c r="B60" s="10" t="s">
        <v>115</v>
      </c>
      <c r="C60" s="10" t="s">
        <v>116</v>
      </c>
      <c r="D60" s="11" t="n">
        <v>0.0027244212962963</v>
      </c>
      <c r="E60" s="18" t="n">
        <f aca="false">ROUND((D60-$D$5)*86400,2)</f>
        <v>10.36</v>
      </c>
      <c r="F60" s="12" t="n">
        <v>53</v>
      </c>
      <c r="G60" s="11" t="n">
        <f aca="false">IF(INDEX(選手一覧!$D$7:$D$2738,$F60)="","",INDEX(選手一覧!$D$7:$D$2738,$F60))</f>
        <v>0.00997708333333333</v>
      </c>
      <c r="H60" s="12" t="n">
        <f aca="false">IF(INDEX(選手一覧!$E$7:$E$2738,$F60)="","",INDEX(選手一覧!$E$7:$E$2738,$F60))</f>
        <v>21</v>
      </c>
      <c r="I60" s="11" t="str">
        <f aca="false">IF(INDEX(選手一覧!$F$7:$F$2738,$F60)="","",INDEX(選手一覧!$F$7:$F$2738,$F60))</f>
        <v/>
      </c>
      <c r="J60" s="12" t="str">
        <f aca="false">IF(INDEX(選手一覧!$G$7:$G$2738,$F60)="","",INDEX(選手一覧!$G$7:$G$2738,$F60))</f>
        <v/>
      </c>
    </row>
    <row r="61" customFormat="false" ht="15" hidden="false" customHeight="false" outlineLevel="0" collapsed="false">
      <c r="A61" s="12" t="n">
        <v>57</v>
      </c>
      <c r="B61" s="10" t="s">
        <v>264</v>
      </c>
      <c r="C61" s="10" t="s">
        <v>206</v>
      </c>
      <c r="D61" s="11" t="n">
        <v>0.00272511574074074</v>
      </c>
      <c r="E61" s="18" t="n">
        <f aca="false">ROUND((D61-$D$5)*86400,2)</f>
        <v>10.42</v>
      </c>
      <c r="F61" s="12" t="n">
        <v>144</v>
      </c>
      <c r="G61" s="11" t="n">
        <f aca="false">IF(INDEX(選手一覧!$D$7:$D$2738,$F61)="","",INDEX(選手一覧!$D$7:$D$2738,$F61))</f>
        <v>0.0102142361111111</v>
      </c>
      <c r="H61" s="12" t="n">
        <f aca="false">IF(INDEX(選手一覧!$E$7:$E$2738,$F61)="","",INDEX(選手一覧!$E$7:$E$2738,$F61))</f>
        <v>103</v>
      </c>
      <c r="I61" s="11" t="str">
        <f aca="false">IF(INDEX(選手一覧!$F$7:$F$2738,$F61)="","",INDEX(選手一覧!$F$7:$F$2738,$F61))</f>
        <v/>
      </c>
      <c r="J61" s="12" t="str">
        <f aca="false">IF(INDEX(選手一覧!$G$7:$G$2738,$F61)="","",INDEX(選手一覧!$G$7:$G$2738,$F61))</f>
        <v/>
      </c>
    </row>
    <row r="62" customFormat="false" ht="15" hidden="false" customHeight="false" outlineLevel="0" collapsed="false">
      <c r="A62" s="12" t="n">
        <v>58</v>
      </c>
      <c r="B62" s="10" t="s">
        <v>163</v>
      </c>
      <c r="C62" s="10" t="s">
        <v>164</v>
      </c>
      <c r="D62" s="11" t="n">
        <v>0.00272511574074074</v>
      </c>
      <c r="E62" s="18" t="n">
        <f aca="false">ROUND((D62-$D$5)*86400,2)</f>
        <v>10.42</v>
      </c>
      <c r="F62" s="12" t="n">
        <v>81</v>
      </c>
      <c r="G62" s="11" t="n">
        <f aca="false">IF(INDEX(選手一覧!$D$7:$D$2738,$F62)="","",INDEX(選手一覧!$D$7:$D$2738,$F62))</f>
        <v>0.0100430555555556</v>
      </c>
      <c r="H62" s="12" t="n">
        <f aca="false">IF(INDEX(選手一覧!$E$7:$E$2738,$F62)="","",INDEX(選手一覧!$E$7:$E$2738,$F62))</f>
        <v>32</v>
      </c>
      <c r="I62" s="11" t="str">
        <f aca="false">IF(INDEX(選手一覧!$F$7:$F$2738,$F62)="","",INDEX(選手一覧!$F$7:$F$2738,$F62))</f>
        <v/>
      </c>
      <c r="J62" s="12" t="str">
        <f aca="false">IF(INDEX(選手一覧!$G$7:$G$2738,$F62)="","",INDEX(選手一覧!$G$7:$G$2738,$F62))</f>
        <v/>
      </c>
    </row>
    <row r="63" customFormat="false" ht="15" hidden="false" customHeight="false" outlineLevel="0" collapsed="false">
      <c r="A63" s="12" t="n">
        <v>59</v>
      </c>
      <c r="B63" s="10" t="s">
        <v>269</v>
      </c>
      <c r="C63" s="10" t="s">
        <v>270</v>
      </c>
      <c r="D63" s="11" t="n">
        <v>0.00272546296296296</v>
      </c>
      <c r="E63" s="18" t="n">
        <f aca="false">ROUND((D63-$D$5)*86400,2)</f>
        <v>10.45</v>
      </c>
      <c r="F63" s="12" t="n">
        <v>148</v>
      </c>
      <c r="G63" s="11" t="n">
        <f aca="false">IF(INDEX(選手一覧!$D$7:$D$2738,$F63)="","",INDEX(選手一覧!$D$7:$D$2738,$F63))</f>
        <v>0.0106994212962963</v>
      </c>
      <c r="H63" s="12" t="n">
        <f aca="false">IF(INDEX(選手一覧!$E$7:$E$2738,$F63)="","",INDEX(選手一覧!$E$7:$E$2738,$F63))</f>
        <v>581</v>
      </c>
      <c r="I63" s="11" t="str">
        <f aca="false">IF(INDEX(選手一覧!$F$7:$F$2738,$F63)="","",INDEX(選手一覧!$F$7:$F$2738,$F63))</f>
        <v/>
      </c>
      <c r="J63" s="12" t="str">
        <f aca="false">IF(INDEX(選手一覧!$G$7:$G$2738,$F63)="","",INDEX(選手一覧!$G$7:$G$2738,$F63))</f>
        <v/>
      </c>
    </row>
    <row r="64" customFormat="false" ht="15" hidden="false" customHeight="false" outlineLevel="0" collapsed="false">
      <c r="A64" s="12" t="n">
        <v>60</v>
      </c>
      <c r="B64" s="10" t="s">
        <v>271</v>
      </c>
      <c r="C64" s="10" t="s">
        <v>166</v>
      </c>
      <c r="D64" s="11" t="n">
        <v>0.00272847222222222</v>
      </c>
      <c r="E64" s="18" t="n">
        <f aca="false">ROUND((D64-$D$5)*86400,2)</f>
        <v>10.71</v>
      </c>
      <c r="F64" s="12" t="n">
        <v>149</v>
      </c>
      <c r="G64" s="11" t="n">
        <f aca="false">IF(INDEX(選手一覧!$D$7:$D$2738,$F64)="","",INDEX(選手一覧!$D$7:$D$2738,$F64))</f>
        <v>0.0101766203703704</v>
      </c>
      <c r="H64" s="12" t="n">
        <f aca="false">IF(INDEX(選手一覧!$E$7:$E$2738,$F64)="","",INDEX(選手一覧!$E$7:$E$2738,$F64))</f>
        <v>83</v>
      </c>
      <c r="I64" s="11" t="str">
        <f aca="false">IF(INDEX(選手一覧!$F$7:$F$2738,$F64)="","",INDEX(選手一覧!$F$7:$F$2738,$F64))</f>
        <v/>
      </c>
      <c r="J64" s="12" t="str">
        <f aca="false">IF(INDEX(選手一覧!$G$7:$G$2738,$F64)="","",INDEX(選手一覧!$G$7:$G$2738,$F64))</f>
        <v/>
      </c>
    </row>
    <row r="65" customFormat="false" ht="15" hidden="false" customHeight="false" outlineLevel="0" collapsed="false">
      <c r="A65" s="12" t="n">
        <v>61</v>
      </c>
      <c r="B65" s="10" t="s">
        <v>274</v>
      </c>
      <c r="C65" s="10" t="s">
        <v>171</v>
      </c>
      <c r="D65" s="11" t="n">
        <v>0.00272881944444445</v>
      </c>
      <c r="E65" s="18" t="n">
        <f aca="false">ROUND((D65-$D$5)*86400,2)</f>
        <v>10.74</v>
      </c>
      <c r="F65" s="12" t="n">
        <v>152</v>
      </c>
      <c r="G65" s="11" t="n">
        <f aca="false">IF(INDEX(選手一覧!$D$7:$D$2738,$F65)="","",INDEX(選手一覧!$D$7:$D$2738,$F65))</f>
        <v>0.0109706018518519</v>
      </c>
      <c r="H65" s="12" t="n">
        <f aca="false">IF(INDEX(選手一覧!$E$7:$E$2738,$F65)="","",INDEX(選手一覧!$E$7:$E$2738,$F65))</f>
        <v>1041</v>
      </c>
      <c r="I65" s="11" t="str">
        <f aca="false">IF(INDEX(選手一覧!$F$7:$F$2738,$F65)="","",INDEX(選手一覧!$F$7:$F$2738,$F65))</f>
        <v/>
      </c>
      <c r="J65" s="12" t="str">
        <f aca="false">IF(INDEX(選手一覧!$G$7:$G$2738,$F65)="","",INDEX(選手一覧!$G$7:$G$2738,$F65))</f>
        <v/>
      </c>
    </row>
    <row r="66" customFormat="false" ht="15" hidden="false" customHeight="false" outlineLevel="0" collapsed="false">
      <c r="A66" s="12" t="n">
        <v>62</v>
      </c>
      <c r="B66" s="10" t="s">
        <v>236</v>
      </c>
      <c r="C66" s="10" t="s">
        <v>237</v>
      </c>
      <c r="D66" s="11" t="n">
        <v>0.00272893518518519</v>
      </c>
      <c r="E66" s="18" t="n">
        <f aca="false">ROUND((D66-$D$5)*86400,2)</f>
        <v>10.75</v>
      </c>
      <c r="F66" s="12" t="n">
        <v>127</v>
      </c>
      <c r="G66" s="11" t="n">
        <f aca="false">IF(INDEX(選手一覧!$D$7:$D$2738,$F66)="","",INDEX(選手一覧!$D$7:$D$2738,$F66))</f>
        <v>0.0100954861111111</v>
      </c>
      <c r="H66" s="12" t="n">
        <f aca="false">IF(INDEX(選手一覧!$E$7:$E$2738,$F66)="","",INDEX(選手一覧!$E$7:$E$2738,$F66))</f>
        <v>49</v>
      </c>
      <c r="I66" s="11" t="str">
        <f aca="false">IF(INDEX(選手一覧!$F$7:$F$2738,$F66)="","",INDEX(選手一覧!$F$7:$F$2738,$F66))</f>
        <v/>
      </c>
      <c r="J66" s="12" t="str">
        <f aca="false">IF(INDEX(選手一覧!$G$7:$G$2738,$F66)="","",INDEX(選手一覧!$G$7:$G$2738,$F66))</f>
        <v/>
      </c>
    </row>
    <row r="67" customFormat="false" ht="15" hidden="false" customHeight="false" outlineLevel="0" collapsed="false">
      <c r="A67" s="12" t="n">
        <v>63</v>
      </c>
      <c r="B67" s="10" t="s">
        <v>80</v>
      </c>
      <c r="C67" s="10" t="s">
        <v>81</v>
      </c>
      <c r="D67" s="11" t="n">
        <v>0.00272905092592593</v>
      </c>
      <c r="E67" s="18" t="n">
        <f aca="false">ROUND((D67-$D$5)*86400,2)</f>
        <v>10.76</v>
      </c>
      <c r="F67" s="12" t="n">
        <v>33</v>
      </c>
      <c r="G67" s="11" t="n">
        <f aca="false">IF(INDEX(選手一覧!$D$7:$D$2738,$F67)="","",INDEX(選手一覧!$D$7:$D$2738,$F67))</f>
        <v>0.0105398148148148</v>
      </c>
      <c r="H67" s="12" t="n">
        <f aca="false">IF(INDEX(選手一覧!$E$7:$E$2738,$F67)="","",INDEX(選手一覧!$E$7:$E$2738,$F67))</f>
        <v>385</v>
      </c>
      <c r="I67" s="11" t="n">
        <f aca="false">IF(INDEX(選手一覧!$F$7:$F$2738,$F67)="","",INDEX(選手一覧!$F$7:$F$2738,$F67))</f>
        <v>0.00639525462962963</v>
      </c>
      <c r="J67" s="12" t="n">
        <f aca="false">IF(INDEX(選手一覧!$G$7:$G$2738,$F67)="","",INDEX(選手一覧!$G$7:$G$2738,$F67))</f>
        <v>14</v>
      </c>
    </row>
    <row r="68" customFormat="false" ht="15" hidden="false" customHeight="false" outlineLevel="0" collapsed="false">
      <c r="A68" s="12" t="n">
        <v>64</v>
      </c>
      <c r="B68" s="10" t="s">
        <v>285</v>
      </c>
      <c r="C68" s="10" t="s">
        <v>286</v>
      </c>
      <c r="D68" s="11" t="n">
        <v>0.00272905092592593</v>
      </c>
      <c r="E68" s="18" t="n">
        <f aca="false">ROUND((D68-$D$5)*86400,2)</f>
        <v>10.76</v>
      </c>
      <c r="F68" s="12" t="n">
        <v>160</v>
      </c>
      <c r="G68" s="11" t="n">
        <f aca="false">IF(INDEX(選手一覧!$D$7:$D$2738,$F68)="","",INDEX(選手一覧!$D$7:$D$2738,$F68))</f>
        <v>0.0111055555555556</v>
      </c>
      <c r="H68" s="12" t="n">
        <f aca="false">IF(INDEX(選手一覧!$E$7:$E$2738,$F68)="","",INDEX(選手一覧!$E$7:$E$2738,$F68))</f>
        <v>1276</v>
      </c>
      <c r="I68" s="11" t="str">
        <f aca="false">IF(INDEX(選手一覧!$F$7:$F$2738,$F68)="","",INDEX(選手一覧!$F$7:$F$2738,$F68))</f>
        <v/>
      </c>
      <c r="J68" s="12" t="str">
        <f aca="false">IF(INDEX(選手一覧!$G$7:$G$2738,$F68)="","",INDEX(選手一覧!$G$7:$G$2738,$F68))</f>
        <v/>
      </c>
    </row>
    <row r="69" customFormat="false" ht="15" hidden="false" customHeight="false" outlineLevel="0" collapsed="false">
      <c r="A69" s="12" t="n">
        <v>65</v>
      </c>
      <c r="B69" s="10" t="s">
        <v>225</v>
      </c>
      <c r="C69" s="10" t="s">
        <v>226</v>
      </c>
      <c r="D69" s="11" t="n">
        <v>0.00272962962962963</v>
      </c>
      <c r="E69" s="18" t="n">
        <f aca="false">ROUND((D69-$D$5)*86400,2)</f>
        <v>10.81</v>
      </c>
      <c r="F69" s="12" t="n">
        <v>119</v>
      </c>
      <c r="G69" s="11" t="n">
        <f aca="false">IF(INDEX(選手一覧!$D$7:$D$2738,$F69)="","",INDEX(選手一覧!$D$7:$D$2738,$F69))</f>
        <v>0.0100890046296296</v>
      </c>
      <c r="H69" s="12" t="n">
        <f aca="false">IF(INDEX(選手一覧!$E$7:$E$2738,$F69)="","",INDEX(選手一覧!$E$7:$E$2738,$F69))</f>
        <v>45</v>
      </c>
      <c r="I69" s="11" t="str">
        <f aca="false">IF(INDEX(選手一覧!$F$7:$F$2738,$F69)="","",INDEX(選手一覧!$F$7:$F$2738,$F69))</f>
        <v/>
      </c>
      <c r="J69" s="12" t="str">
        <f aca="false">IF(INDEX(選手一覧!$G$7:$G$2738,$F69)="","",INDEX(選手一覧!$G$7:$G$2738,$F69))</f>
        <v/>
      </c>
    </row>
    <row r="70" customFormat="false" ht="15" hidden="false" customHeight="false" outlineLevel="0" collapsed="false">
      <c r="A70" s="12" t="n">
        <v>66</v>
      </c>
      <c r="B70" s="10" t="s">
        <v>292</v>
      </c>
      <c r="C70" s="10" t="s">
        <v>53</v>
      </c>
      <c r="D70" s="11" t="n">
        <v>0.00273078703703704</v>
      </c>
      <c r="E70" s="18" t="n">
        <f aca="false">ROUND((D70-$D$5)*86400,2)</f>
        <v>10.91</v>
      </c>
      <c r="F70" s="12" t="n">
        <v>164</v>
      </c>
      <c r="G70" s="11" t="n">
        <f aca="false">IF(INDEX(選手一覧!$D$7:$D$2738,$F70)="","",INDEX(選手一覧!$D$7:$D$2738,$F70))</f>
        <v>0.0107623842592593</v>
      </c>
      <c r="H70" s="12" t="n">
        <f aca="false">IF(INDEX(選手一覧!$E$7:$E$2738,$F70)="","",INDEX(選手一覧!$E$7:$E$2738,$F70))</f>
        <v>685</v>
      </c>
      <c r="I70" s="11" t="str">
        <f aca="false">IF(INDEX(選手一覧!$F$7:$F$2738,$F70)="","",INDEX(選手一覧!$F$7:$F$2738,$F70))</f>
        <v/>
      </c>
      <c r="J70" s="12" t="str">
        <f aca="false">IF(INDEX(選手一覧!$G$7:$G$2738,$F70)="","",INDEX(選手一覧!$G$7:$G$2738,$F70))</f>
        <v/>
      </c>
    </row>
    <row r="71" customFormat="false" ht="15" hidden="false" customHeight="false" outlineLevel="0" collapsed="false">
      <c r="A71" s="12" t="n">
        <v>67</v>
      </c>
      <c r="B71" s="10" t="s">
        <v>294</v>
      </c>
      <c r="C71" s="10" t="s">
        <v>295</v>
      </c>
      <c r="D71" s="11" t="n">
        <v>0.00273125</v>
      </c>
      <c r="E71" s="18" t="n">
        <f aca="false">ROUND((D71-$D$5)*86400,2)</f>
        <v>10.95</v>
      </c>
      <c r="F71" s="12" t="n">
        <v>166</v>
      </c>
      <c r="G71" s="11" t="str">
        <f aca="false">IF(INDEX(選手一覧!$D$7:$D$2738,$F71)="","",INDEX(選手一覧!$D$7:$D$2738,$F71))</f>
        <v/>
      </c>
      <c r="H71" s="12" t="str">
        <f aca="false">IF(INDEX(選手一覧!$E$7:$E$2738,$F71)="","",INDEX(選手一覧!$E$7:$E$2738,$F71))</f>
        <v/>
      </c>
      <c r="I71" s="11" t="str">
        <f aca="false">IF(INDEX(選手一覧!$F$7:$F$2738,$F71)="","",INDEX(選手一覧!$F$7:$F$2738,$F71))</f>
        <v/>
      </c>
      <c r="J71" s="12" t="str">
        <f aca="false">IF(INDEX(選手一覧!$G$7:$G$2738,$F71)="","",INDEX(選手一覧!$G$7:$G$2738,$F71))</f>
        <v/>
      </c>
    </row>
    <row r="72" customFormat="false" ht="15" hidden="false" customHeight="false" outlineLevel="0" collapsed="false">
      <c r="A72" s="12" t="n">
        <v>68</v>
      </c>
      <c r="B72" s="10" t="s">
        <v>161</v>
      </c>
      <c r="C72" s="10" t="s">
        <v>162</v>
      </c>
      <c r="D72" s="11" t="n">
        <v>0.00273206018518519</v>
      </c>
      <c r="E72" s="18" t="n">
        <f aca="false">ROUND((D72-$D$5)*86400,2)</f>
        <v>11.02</v>
      </c>
      <c r="F72" s="12" t="n">
        <v>80</v>
      </c>
      <c r="G72" s="11" t="n">
        <f aca="false">IF(INDEX(選手一覧!$D$7:$D$2738,$F72)="","",INDEX(選手一覧!$D$7:$D$2738,$F72))</f>
        <v>0.0106686342592593</v>
      </c>
      <c r="H72" s="12" t="n">
        <f aca="false">IF(INDEX(選手一覧!$E$7:$E$2738,$F72)="","",INDEX(選手一覧!$E$7:$E$2738,$F72))</f>
        <v>544</v>
      </c>
      <c r="I72" s="11" t="n">
        <f aca="false">IF(INDEX(選手一覧!$F$7:$F$2738,$F72)="","",INDEX(選手一覧!$F$7:$F$2738,$F72))</f>
        <v>0.00648645833333333</v>
      </c>
      <c r="J72" s="12" t="n">
        <f aca="false">IF(INDEX(選手一覧!$G$7:$G$2738,$F72)="","",INDEX(選手一覧!$G$7:$G$2738,$F72))</f>
        <v>32</v>
      </c>
    </row>
    <row r="73" customFormat="false" ht="15" hidden="false" customHeight="false" outlineLevel="0" collapsed="false">
      <c r="A73" s="12" t="n">
        <v>69</v>
      </c>
      <c r="B73" s="10" t="s">
        <v>301</v>
      </c>
      <c r="C73" s="10" t="s">
        <v>302</v>
      </c>
      <c r="D73" s="11" t="n">
        <v>0.00273240740740741</v>
      </c>
      <c r="E73" s="18" t="n">
        <f aca="false">ROUND((D73-$D$5)*86400,2)</f>
        <v>11.05</v>
      </c>
      <c r="F73" s="12" t="n">
        <v>170</v>
      </c>
      <c r="G73" s="11" t="n">
        <f aca="false">IF(INDEX(選手一覧!$D$7:$D$2738,$F73)="","",INDEX(選手一覧!$D$7:$D$2738,$F73))</f>
        <v>0.0105918981481482</v>
      </c>
      <c r="H73" s="12" t="n">
        <f aca="false">IF(INDEX(選手一覧!$E$7:$E$2738,$F73)="","",INDEX(選手一覧!$E$7:$E$2738,$F73))</f>
        <v>458</v>
      </c>
      <c r="I73" s="11" t="str">
        <f aca="false">IF(INDEX(選手一覧!$F$7:$F$2738,$F73)="","",INDEX(選手一覧!$F$7:$F$2738,$F73))</f>
        <v/>
      </c>
      <c r="J73" s="12" t="str">
        <f aca="false">IF(INDEX(選手一覧!$G$7:$G$2738,$F73)="","",INDEX(選手一覧!$G$7:$G$2738,$F73))</f>
        <v/>
      </c>
    </row>
    <row r="74" customFormat="false" ht="15" hidden="false" customHeight="false" outlineLevel="0" collapsed="false">
      <c r="A74" s="12" t="n">
        <v>70</v>
      </c>
      <c r="B74" s="10" t="s">
        <v>106</v>
      </c>
      <c r="C74" s="10" t="s">
        <v>107</v>
      </c>
      <c r="D74" s="11" t="n">
        <v>0.00273252314814815</v>
      </c>
      <c r="E74" s="18" t="n">
        <f aca="false">ROUND((D74-$D$5)*86400,2)</f>
        <v>11.06</v>
      </c>
      <c r="F74" s="12" t="n">
        <v>48</v>
      </c>
      <c r="G74" s="11" t="n">
        <f aca="false">IF(INDEX(選手一覧!$D$7:$D$2738,$F74)="","",INDEX(選手一覧!$D$7:$D$2738,$F74))</f>
        <v>0.00997210648148148</v>
      </c>
      <c r="H74" s="12" t="n">
        <f aca="false">IF(INDEX(選手一覧!$E$7:$E$2738,$F74)="","",INDEX(選手一覧!$E$7:$E$2738,$F74))</f>
        <v>19</v>
      </c>
      <c r="I74" s="11" t="str">
        <f aca="false">IF(INDEX(選手一覧!$F$7:$F$2738,$F74)="","",INDEX(選手一覧!$F$7:$F$2738,$F74))</f>
        <v/>
      </c>
      <c r="J74" s="12" t="str">
        <f aca="false">IF(INDEX(選手一覧!$G$7:$G$2738,$F74)="","",INDEX(選手一覧!$G$7:$G$2738,$F74))</f>
        <v/>
      </c>
    </row>
    <row r="75" customFormat="false" ht="15" hidden="false" customHeight="false" outlineLevel="0" collapsed="false">
      <c r="A75" s="12" t="n">
        <v>71</v>
      </c>
      <c r="B75" s="10" t="s">
        <v>310</v>
      </c>
      <c r="C75" s="10" t="s">
        <v>79</v>
      </c>
      <c r="D75" s="11" t="n">
        <v>0.00273449074074074</v>
      </c>
      <c r="E75" s="18" t="n">
        <f aca="false">ROUND((D75-$D$5)*86400,2)</f>
        <v>11.23</v>
      </c>
      <c r="F75" s="12" t="n">
        <v>176</v>
      </c>
      <c r="G75" s="11" t="n">
        <f aca="false">IF(INDEX(選手一覧!$D$7:$D$2738,$F75)="","",INDEX(選手一覧!$D$7:$D$2738,$F75))</f>
        <v>0.0106170138888889</v>
      </c>
      <c r="H75" s="12" t="n">
        <f aca="false">IF(INDEX(選手一覧!$E$7:$E$2738,$F75)="","",INDEX(選手一覧!$E$7:$E$2738,$F75))</f>
        <v>491</v>
      </c>
      <c r="I75" s="11" t="str">
        <f aca="false">IF(INDEX(選手一覧!$F$7:$F$2738,$F75)="","",INDEX(選手一覧!$F$7:$F$2738,$F75))</f>
        <v/>
      </c>
      <c r="J75" s="12" t="str">
        <f aca="false">IF(INDEX(選手一覧!$G$7:$G$2738,$F75)="","",INDEX(選手一覧!$G$7:$G$2738,$F75))</f>
        <v/>
      </c>
    </row>
    <row r="76" customFormat="false" ht="15" hidden="false" customHeight="false" outlineLevel="0" collapsed="false">
      <c r="A76" s="12" t="n">
        <v>72</v>
      </c>
      <c r="B76" s="10" t="s">
        <v>313</v>
      </c>
      <c r="C76" s="10" t="s">
        <v>242</v>
      </c>
      <c r="D76" s="11" t="n">
        <v>0.00273506944444444</v>
      </c>
      <c r="E76" s="18" t="n">
        <f aca="false">ROUND((D76-$D$5)*86400,2)</f>
        <v>11.28</v>
      </c>
      <c r="F76" s="12" t="n">
        <v>178</v>
      </c>
      <c r="G76" s="11" t="n">
        <f aca="false">IF(INDEX(選手一覧!$D$7:$D$2738,$F76)="","",INDEX(選手一覧!$D$7:$D$2738,$F76))</f>
        <v>0.0106119212962963</v>
      </c>
      <c r="H76" s="12" t="n">
        <f aca="false">IF(INDEX(選手一覧!$E$7:$E$2738,$F76)="","",INDEX(選手一覧!$E$7:$E$2738,$F76))</f>
        <v>480</v>
      </c>
      <c r="I76" s="11" t="str">
        <f aca="false">IF(INDEX(選手一覧!$F$7:$F$2738,$F76)="","",INDEX(選手一覧!$F$7:$F$2738,$F76))</f>
        <v/>
      </c>
      <c r="J76" s="12" t="str">
        <f aca="false">IF(INDEX(選手一覧!$G$7:$G$2738,$F76)="","",INDEX(選手一覧!$G$7:$G$2738,$F76))</f>
        <v/>
      </c>
    </row>
    <row r="77" customFormat="false" ht="15" hidden="false" customHeight="false" outlineLevel="0" collapsed="false">
      <c r="A77" s="12" t="n">
        <v>73</v>
      </c>
      <c r="B77" s="10" t="s">
        <v>318</v>
      </c>
      <c r="C77" s="10" t="s">
        <v>185</v>
      </c>
      <c r="D77" s="11" t="n">
        <v>0.00273530092592593</v>
      </c>
      <c r="E77" s="18" t="n">
        <f aca="false">ROUND((D77-$D$5)*86400,2)</f>
        <v>11.3</v>
      </c>
      <c r="F77" s="12" t="n">
        <v>181</v>
      </c>
      <c r="G77" s="11" t="n">
        <f aca="false">IF(INDEX(選手一覧!$D$7:$D$2738,$F77)="","",INDEX(選手一覧!$D$7:$D$2738,$F77))</f>
        <v>0.0104302083333333</v>
      </c>
      <c r="H77" s="12" t="n">
        <f aca="false">IF(INDEX(選手一覧!$E$7:$E$2738,$F77)="","",INDEX(選手一覧!$E$7:$E$2738,$F77))</f>
        <v>294</v>
      </c>
      <c r="I77" s="11" t="str">
        <f aca="false">IF(INDEX(選手一覧!$F$7:$F$2738,$F77)="","",INDEX(選手一覧!$F$7:$F$2738,$F77))</f>
        <v/>
      </c>
      <c r="J77" s="12" t="str">
        <f aca="false">IF(INDEX(選手一覧!$G$7:$G$2738,$F77)="","",INDEX(選手一覧!$G$7:$G$2738,$F77))</f>
        <v/>
      </c>
    </row>
    <row r="78" customFormat="false" ht="15" hidden="false" customHeight="false" outlineLevel="0" collapsed="false">
      <c r="A78" s="12" t="n">
        <v>74</v>
      </c>
      <c r="B78" s="10" t="s">
        <v>108</v>
      </c>
      <c r="C78" s="10" t="s">
        <v>109</v>
      </c>
      <c r="D78" s="11" t="n">
        <v>0.00273564814814815</v>
      </c>
      <c r="E78" s="18" t="n">
        <f aca="false">ROUND((D78-$D$5)*86400,2)</f>
        <v>11.33</v>
      </c>
      <c r="F78" s="12" t="n">
        <v>49</v>
      </c>
      <c r="G78" s="11" t="n">
        <f aca="false">IF(INDEX(選手一覧!$D$7:$D$2738,$F78)="","",INDEX(選手一覧!$D$7:$D$2738,$F78))</f>
        <v>0.00997581018518519</v>
      </c>
      <c r="H78" s="12" t="n">
        <f aca="false">IF(INDEX(選手一覧!$E$7:$E$2738,$F78)="","",INDEX(選手一覧!$E$7:$E$2738,$F78))</f>
        <v>20</v>
      </c>
      <c r="I78" s="11" t="str">
        <f aca="false">IF(INDEX(選手一覧!$F$7:$F$2738,$F78)="","",INDEX(選手一覧!$F$7:$F$2738,$F78))</f>
        <v/>
      </c>
      <c r="J78" s="12" t="str">
        <f aca="false">IF(INDEX(選手一覧!$G$7:$G$2738,$F78)="","",INDEX(選手一覧!$G$7:$G$2738,$F78))</f>
        <v/>
      </c>
    </row>
    <row r="79" customFormat="false" ht="15" hidden="false" customHeight="false" outlineLevel="0" collapsed="false">
      <c r="A79" s="12" t="n">
        <v>75</v>
      </c>
      <c r="B79" s="10" t="s">
        <v>321</v>
      </c>
      <c r="C79" s="10" t="s">
        <v>307</v>
      </c>
      <c r="D79" s="11" t="n">
        <v>0.00273576388888889</v>
      </c>
      <c r="E79" s="18" t="n">
        <f aca="false">ROUND((D79-$D$5)*86400,2)</f>
        <v>11.34</v>
      </c>
      <c r="F79" s="12" t="n">
        <v>184</v>
      </c>
      <c r="G79" s="11" t="n">
        <f aca="false">IF(INDEX(選手一覧!$D$7:$D$2738,$F79)="","",INDEX(選手一覧!$D$7:$D$2738,$F79))</f>
        <v>0.010159837962963</v>
      </c>
      <c r="H79" s="12" t="n">
        <f aca="false">IF(INDEX(選手一覧!$E$7:$E$2738,$F79)="","",INDEX(選手一覧!$E$7:$E$2738,$F79))</f>
        <v>76</v>
      </c>
      <c r="I79" s="11" t="str">
        <f aca="false">IF(INDEX(選手一覧!$F$7:$F$2738,$F79)="","",INDEX(選手一覧!$F$7:$F$2738,$F79))</f>
        <v/>
      </c>
      <c r="J79" s="12" t="str">
        <f aca="false">IF(INDEX(選手一覧!$G$7:$G$2738,$F79)="","",INDEX(選手一覧!$G$7:$G$2738,$F79))</f>
        <v/>
      </c>
    </row>
    <row r="80" customFormat="false" ht="15" hidden="false" customHeight="false" outlineLevel="0" collapsed="false">
      <c r="A80" s="12" t="n">
        <v>76</v>
      </c>
      <c r="B80" s="10" t="s">
        <v>325</v>
      </c>
      <c r="C80" s="10" t="s">
        <v>326</v>
      </c>
      <c r="D80" s="11" t="n">
        <v>0.00273611111111111</v>
      </c>
      <c r="E80" s="18" t="n">
        <f aca="false">ROUND((D80-$D$5)*86400,2)</f>
        <v>11.37</v>
      </c>
      <c r="F80" s="12" t="n">
        <v>187</v>
      </c>
      <c r="G80" s="11" t="n">
        <f aca="false">IF(INDEX(選手一覧!$D$7:$D$2738,$F80)="","",INDEX(選手一覧!$D$7:$D$2738,$F80))</f>
        <v>0.0108737268518519</v>
      </c>
      <c r="H80" s="12" t="n">
        <f aca="false">IF(INDEX(選手一覧!$E$7:$E$2738,$F80)="","",INDEX(選手一覧!$E$7:$E$2738,$F80))</f>
        <v>878</v>
      </c>
      <c r="I80" s="11" t="str">
        <f aca="false">IF(INDEX(選手一覧!$F$7:$F$2738,$F80)="","",INDEX(選手一覧!$F$7:$F$2738,$F80))</f>
        <v/>
      </c>
      <c r="J80" s="12" t="str">
        <f aca="false">IF(INDEX(選手一覧!$G$7:$G$2738,$F80)="","",INDEX(選手一覧!$G$7:$G$2738,$F80))</f>
        <v/>
      </c>
    </row>
    <row r="81" customFormat="false" ht="15" hidden="false" customHeight="false" outlineLevel="0" collapsed="false">
      <c r="A81" s="12" t="n">
        <v>77</v>
      </c>
      <c r="B81" s="10" t="s">
        <v>329</v>
      </c>
      <c r="C81" s="10" t="s">
        <v>193</v>
      </c>
      <c r="D81" s="11" t="n">
        <v>0.00273611111111111</v>
      </c>
      <c r="E81" s="18" t="n">
        <f aca="false">ROUND((D81-$D$5)*86400,2)</f>
        <v>11.37</v>
      </c>
      <c r="F81" s="12" t="n">
        <v>190</v>
      </c>
      <c r="G81" s="11" t="n">
        <f aca="false">IF(INDEX(選手一覧!$D$7:$D$2738,$F81)="","",INDEX(選手一覧!$D$7:$D$2738,$F81))</f>
        <v>0.0107082175925926</v>
      </c>
      <c r="H81" s="12" t="n">
        <f aca="false">IF(INDEX(選手一覧!$E$7:$E$2738,$F81)="","",INDEX(選手一覧!$E$7:$E$2738,$F81))</f>
        <v>597</v>
      </c>
      <c r="I81" s="11" t="str">
        <f aca="false">IF(INDEX(選手一覧!$F$7:$F$2738,$F81)="","",INDEX(選手一覧!$F$7:$F$2738,$F81))</f>
        <v/>
      </c>
      <c r="J81" s="12" t="str">
        <f aca="false">IF(INDEX(選手一覧!$G$7:$G$2738,$F81)="","",INDEX(選手一覧!$G$7:$G$2738,$F81))</f>
        <v/>
      </c>
    </row>
    <row r="82" customFormat="false" ht="15" hidden="false" customHeight="false" outlineLevel="0" collapsed="false">
      <c r="A82" s="12" t="n">
        <v>78</v>
      </c>
      <c r="B82" s="10" t="s">
        <v>332</v>
      </c>
      <c r="C82" s="10" t="s">
        <v>333</v>
      </c>
      <c r="D82" s="11" t="n">
        <v>0.00273657407407407</v>
      </c>
      <c r="E82" s="18" t="n">
        <f aca="false">ROUND((D82-$D$5)*86400,2)</f>
        <v>11.41</v>
      </c>
      <c r="F82" s="12" t="n">
        <v>193</v>
      </c>
      <c r="G82" s="11" t="n">
        <f aca="false">IF(INDEX(選手一覧!$D$7:$D$2738,$F82)="","",INDEX(選手一覧!$D$7:$D$2738,$F82))</f>
        <v>0.0107920138888889</v>
      </c>
      <c r="H82" s="12" t="n">
        <f aca="false">IF(INDEX(選手一覧!$E$7:$E$2738,$F82)="","",INDEX(選手一覧!$E$7:$E$2738,$F82))</f>
        <v>729</v>
      </c>
      <c r="I82" s="11" t="str">
        <f aca="false">IF(INDEX(選手一覧!$F$7:$F$2738,$F82)="","",INDEX(選手一覧!$F$7:$F$2738,$F82))</f>
        <v/>
      </c>
      <c r="J82" s="12" t="str">
        <f aca="false">IF(INDEX(選手一覧!$G$7:$G$2738,$F82)="","",INDEX(選手一覧!$G$7:$G$2738,$F82))</f>
        <v/>
      </c>
    </row>
    <row r="83" customFormat="false" ht="15" hidden="false" customHeight="false" outlineLevel="0" collapsed="false">
      <c r="A83" s="12" t="n">
        <v>79</v>
      </c>
      <c r="B83" s="10" t="s">
        <v>334</v>
      </c>
      <c r="C83" s="10" t="s">
        <v>141</v>
      </c>
      <c r="D83" s="11" t="n">
        <v>0.00273703703703704</v>
      </c>
      <c r="E83" s="18" t="n">
        <f aca="false">ROUND((D83-$D$5)*86400,2)</f>
        <v>11.45</v>
      </c>
      <c r="F83" s="12" t="n">
        <v>194</v>
      </c>
      <c r="G83" s="11" t="n">
        <f aca="false">IF(INDEX(選手一覧!$D$7:$D$2738,$F83)="","",INDEX(選手一覧!$D$7:$D$2738,$F83))</f>
        <v>0.0102657407407407</v>
      </c>
      <c r="H83" s="12" t="n">
        <f aca="false">IF(INDEX(選手一覧!$E$7:$E$2738,$F83)="","",INDEX(選手一覧!$E$7:$E$2738,$F83))</f>
        <v>132</v>
      </c>
      <c r="I83" s="11" t="n">
        <f aca="false">IF(INDEX(選手一覧!$F$7:$F$2738,$F83)="","",INDEX(選手一覧!$F$7:$F$2738,$F83))</f>
        <v>0.00676458333333333</v>
      </c>
      <c r="J83" s="12" t="n">
        <f aca="false">IF(INDEX(選手一覧!$G$7:$G$2738,$F83)="","",INDEX(選手一覧!$G$7:$G$2738,$F83))</f>
        <v>141</v>
      </c>
    </row>
    <row r="84" customFormat="false" ht="15" hidden="false" customHeight="false" outlineLevel="0" collapsed="false">
      <c r="A84" s="12" t="n">
        <v>80</v>
      </c>
      <c r="B84" s="10" t="s">
        <v>280</v>
      </c>
      <c r="C84" s="10" t="s">
        <v>226</v>
      </c>
      <c r="D84" s="11" t="n">
        <v>0.00273715277777778</v>
      </c>
      <c r="E84" s="18" t="n">
        <f aca="false">ROUND((D84-$D$5)*86400,2)</f>
        <v>11.46</v>
      </c>
      <c r="F84" s="12" t="n">
        <v>156</v>
      </c>
      <c r="G84" s="11" t="n">
        <f aca="false">IF(INDEX(選手一覧!$D$7:$D$2738,$F84)="","",INDEX(選手一覧!$D$7:$D$2738,$F84))</f>
        <v>0.0101347222222222</v>
      </c>
      <c r="H84" s="12" t="n">
        <f aca="false">IF(INDEX(選手一覧!$E$7:$E$2738,$F84)="","",INDEX(選手一覧!$E$7:$E$2738,$F84))</f>
        <v>62</v>
      </c>
      <c r="I84" s="11" t="str">
        <f aca="false">IF(INDEX(選手一覧!$F$7:$F$2738,$F84)="","",INDEX(選手一覧!$F$7:$F$2738,$F84))</f>
        <v/>
      </c>
      <c r="J84" s="12" t="str">
        <f aca="false">IF(INDEX(選手一覧!$G$7:$G$2738,$F84)="","",INDEX(選手一覧!$G$7:$G$2738,$F84))</f>
        <v/>
      </c>
    </row>
    <row r="85" customFormat="false" ht="15" hidden="false" customHeight="false" outlineLevel="0" collapsed="false">
      <c r="A85" s="12" t="n">
        <v>81</v>
      </c>
      <c r="B85" s="10" t="s">
        <v>343</v>
      </c>
      <c r="C85" s="10" t="s">
        <v>240</v>
      </c>
      <c r="D85" s="11" t="n">
        <v>0.00273796296296296</v>
      </c>
      <c r="E85" s="18" t="n">
        <f aca="false">ROUND((D85-$D$5)*86400,2)</f>
        <v>11.53</v>
      </c>
      <c r="F85" s="12" t="n">
        <v>201</v>
      </c>
      <c r="G85" s="11" t="str">
        <f aca="false">IF(INDEX(選手一覧!$D$7:$D$2738,$F85)="","",INDEX(選手一覧!$D$7:$D$2738,$F85))</f>
        <v/>
      </c>
      <c r="H85" s="12" t="str">
        <f aca="false">IF(INDEX(選手一覧!$E$7:$E$2738,$F85)="","",INDEX(選手一覧!$E$7:$E$2738,$F85))</f>
        <v/>
      </c>
      <c r="I85" s="11" t="str">
        <f aca="false">IF(INDEX(選手一覧!$F$7:$F$2738,$F85)="","",INDEX(選手一覧!$F$7:$F$2738,$F85))</f>
        <v/>
      </c>
      <c r="J85" s="12" t="str">
        <f aca="false">IF(INDEX(選手一覧!$G$7:$G$2738,$F85)="","",INDEX(選手一覧!$G$7:$G$2738,$F85))</f>
        <v/>
      </c>
    </row>
    <row r="86" customFormat="false" ht="15" hidden="false" customHeight="false" outlineLevel="0" collapsed="false">
      <c r="A86" s="12" t="n">
        <v>82</v>
      </c>
      <c r="B86" s="10" t="s">
        <v>33</v>
      </c>
      <c r="C86" s="10" t="s">
        <v>34</v>
      </c>
      <c r="D86" s="11" t="n">
        <v>0.00273877314814815</v>
      </c>
      <c r="E86" s="18" t="n">
        <f aca="false">ROUND((D86-$D$5)*86400,2)</f>
        <v>11.6</v>
      </c>
      <c r="F86" s="12" t="n">
        <v>7</v>
      </c>
      <c r="G86" s="11" t="n">
        <f aca="false">IF(INDEX(選手一覧!$D$7:$D$2738,$F86)="","",INDEX(選手一覧!$D$7:$D$2738,$F86))</f>
        <v>0.0103481481481482</v>
      </c>
      <c r="H86" s="12" t="n">
        <f aca="false">IF(INDEX(選手一覧!$E$7:$E$2738,$F86)="","",INDEX(選手一覧!$E$7:$E$2738,$F86))</f>
        <v>201</v>
      </c>
      <c r="I86" s="11" t="n">
        <f aca="false">IF(INDEX(選手一覧!$F$7:$F$2738,$F86)="","",INDEX(選手一覧!$F$7:$F$2738,$F86))</f>
        <v>0.00630729166666667</v>
      </c>
      <c r="J86" s="12" t="n">
        <f aca="false">IF(INDEX(選手一覧!$G$7:$G$2738,$F86)="","",INDEX(選手一覧!$G$7:$G$2738,$F86))</f>
        <v>4</v>
      </c>
    </row>
    <row r="87" customFormat="false" ht="15" hidden="false" customHeight="false" outlineLevel="0" collapsed="false">
      <c r="A87" s="12" t="n">
        <v>83</v>
      </c>
      <c r="B87" s="10" t="s">
        <v>347</v>
      </c>
      <c r="C87" s="10" t="s">
        <v>348</v>
      </c>
      <c r="D87" s="11" t="n">
        <v>0.00273877314814815</v>
      </c>
      <c r="E87" s="18" t="n">
        <f aca="false">ROUND((D87-$D$5)*86400,2)</f>
        <v>11.6</v>
      </c>
      <c r="F87" s="12" t="n">
        <v>204</v>
      </c>
      <c r="G87" s="11" t="n">
        <f aca="false">IF(INDEX(選手一覧!$D$7:$D$2738,$F87)="","",INDEX(選手一覧!$D$7:$D$2738,$F87))</f>
        <v>0.0102315972222222</v>
      </c>
      <c r="H87" s="12" t="n">
        <f aca="false">IF(INDEX(選手一覧!$E$7:$E$2738,$F87)="","",INDEX(選手一覧!$E$7:$E$2738,$F87))</f>
        <v>112</v>
      </c>
      <c r="I87" s="11" t="str">
        <f aca="false">IF(INDEX(選手一覧!$F$7:$F$2738,$F87)="","",INDEX(選手一覧!$F$7:$F$2738,$F87))</f>
        <v/>
      </c>
      <c r="J87" s="12" t="str">
        <f aca="false">IF(INDEX(選手一覧!$G$7:$G$2738,$F87)="","",INDEX(選手一覧!$G$7:$G$2738,$F87))</f>
        <v/>
      </c>
    </row>
    <row r="88" customFormat="false" ht="15" hidden="false" customHeight="false" outlineLevel="0" collapsed="false">
      <c r="A88" s="12" t="n">
        <v>84</v>
      </c>
      <c r="B88" s="10" t="s">
        <v>169</v>
      </c>
      <c r="C88" s="10" t="s">
        <v>29</v>
      </c>
      <c r="D88" s="11" t="n">
        <v>0.00273946759259259</v>
      </c>
      <c r="E88" s="18" t="n">
        <f aca="false">ROUND((D88-$D$5)*86400,2)</f>
        <v>11.66</v>
      </c>
      <c r="F88" s="12" t="n">
        <v>84</v>
      </c>
      <c r="G88" s="11" t="n">
        <f aca="false">IF(INDEX(選手一覧!$D$7:$D$2738,$F88)="","",INDEX(選手一覧!$D$7:$D$2738,$F88))</f>
        <v>0.0100454861111111</v>
      </c>
      <c r="H88" s="12" t="n">
        <f aca="false">IF(INDEX(選手一覧!$E$7:$E$2738,$F88)="","",INDEX(選手一覧!$E$7:$E$2738,$F88))</f>
        <v>33</v>
      </c>
      <c r="I88" s="11" t="str">
        <f aca="false">IF(INDEX(選手一覧!$F$7:$F$2738,$F88)="","",INDEX(選手一覧!$F$7:$F$2738,$F88))</f>
        <v/>
      </c>
      <c r="J88" s="12" t="str">
        <f aca="false">IF(INDEX(選手一覧!$G$7:$G$2738,$F88)="","",INDEX(選手一覧!$G$7:$G$2738,$F88))</f>
        <v/>
      </c>
    </row>
    <row r="89" customFormat="false" ht="15" hidden="false" customHeight="false" outlineLevel="0" collapsed="false">
      <c r="A89" s="12" t="n">
        <v>85</v>
      </c>
      <c r="B89" s="10" t="s">
        <v>354</v>
      </c>
      <c r="C89" s="10" t="s">
        <v>97</v>
      </c>
      <c r="D89" s="11" t="n">
        <v>0.00273969907407407</v>
      </c>
      <c r="E89" s="18" t="n">
        <f aca="false">ROUND((D89-$D$5)*86400,2)</f>
        <v>11.68</v>
      </c>
      <c r="F89" s="12" t="n">
        <v>208</v>
      </c>
      <c r="G89" s="11" t="str">
        <f aca="false">IF(INDEX(選手一覧!$D$7:$D$2738,$F89)="","",INDEX(選手一覧!$D$7:$D$2738,$F89))</f>
        <v/>
      </c>
      <c r="H89" s="12" t="str">
        <f aca="false">IF(INDEX(選手一覧!$E$7:$E$2738,$F89)="","",INDEX(選手一覧!$E$7:$E$2738,$F89))</f>
        <v/>
      </c>
      <c r="I89" s="11" t="str">
        <f aca="false">IF(INDEX(選手一覧!$F$7:$F$2738,$F89)="","",INDEX(選手一覧!$F$7:$F$2738,$F89))</f>
        <v/>
      </c>
      <c r="J89" s="12" t="str">
        <f aca="false">IF(INDEX(選手一覧!$G$7:$G$2738,$F89)="","",INDEX(選手一覧!$G$7:$G$2738,$F89))</f>
        <v/>
      </c>
    </row>
    <row r="90" customFormat="false" ht="15" hidden="false" customHeight="false" outlineLevel="0" collapsed="false">
      <c r="A90" s="12" t="n">
        <v>86</v>
      </c>
      <c r="B90" s="10" t="s">
        <v>311</v>
      </c>
      <c r="C90" s="10" t="s">
        <v>312</v>
      </c>
      <c r="D90" s="11" t="n">
        <v>0.00274097222222222</v>
      </c>
      <c r="E90" s="18" t="n">
        <f aca="false">ROUND((D90-$D$5)*86400,2)</f>
        <v>11.79</v>
      </c>
      <c r="F90" s="12" t="n">
        <v>177</v>
      </c>
      <c r="G90" s="11" t="n">
        <f aca="false">IF(INDEX(選手一覧!$D$7:$D$2738,$F90)="","",INDEX(選手一覧!$D$7:$D$2738,$F90))</f>
        <v>0.0101538194444444</v>
      </c>
      <c r="H90" s="12" t="n">
        <f aca="false">IF(INDEX(選手一覧!$E$7:$E$2738,$F90)="","",INDEX(選手一覧!$E$7:$E$2738,$F90))</f>
        <v>72</v>
      </c>
      <c r="I90" s="11" t="str">
        <f aca="false">IF(INDEX(選手一覧!$F$7:$F$2738,$F90)="","",INDEX(選手一覧!$F$7:$F$2738,$F90))</f>
        <v/>
      </c>
      <c r="J90" s="12" t="str">
        <f aca="false">IF(INDEX(選手一覧!$G$7:$G$2738,$F90)="","",INDEX(選手一覧!$G$7:$G$2738,$F90))</f>
        <v/>
      </c>
    </row>
    <row r="91" customFormat="false" ht="15" hidden="false" customHeight="false" outlineLevel="0" collapsed="false">
      <c r="A91" s="12" t="n">
        <v>87</v>
      </c>
      <c r="B91" s="10" t="s">
        <v>342</v>
      </c>
      <c r="C91" s="10" t="s">
        <v>95</v>
      </c>
      <c r="D91" s="11" t="n">
        <v>0.00274398148148148</v>
      </c>
      <c r="E91" s="18" t="n">
        <f aca="false">ROUND((D91-$D$5)*86400,2)</f>
        <v>12.05</v>
      </c>
      <c r="F91" s="12" t="n">
        <v>200</v>
      </c>
      <c r="G91" s="11" t="n">
        <f aca="false">IF(INDEX(選手一覧!$D$7:$D$2738,$F91)="","",INDEX(選手一覧!$D$7:$D$2738,$F91))</f>
        <v>0.0101733796296296</v>
      </c>
      <c r="H91" s="12" t="n">
        <f aca="false">IF(INDEX(選手一覧!$E$7:$E$2738,$F91)="","",INDEX(選手一覧!$E$7:$E$2738,$F91))</f>
        <v>81</v>
      </c>
      <c r="I91" s="11" t="str">
        <f aca="false">IF(INDEX(選手一覧!$F$7:$F$2738,$F91)="","",INDEX(選手一覧!$F$7:$F$2738,$F91))</f>
        <v/>
      </c>
      <c r="J91" s="12" t="str">
        <f aca="false">IF(INDEX(選手一覧!$G$7:$G$2738,$F91)="","",INDEX(選手一覧!$G$7:$G$2738,$F91))</f>
        <v/>
      </c>
    </row>
    <row r="92" customFormat="false" ht="15" hidden="false" customHeight="false" outlineLevel="0" collapsed="false">
      <c r="A92" s="12" t="n">
        <v>88</v>
      </c>
      <c r="B92" s="10" t="s">
        <v>272</v>
      </c>
      <c r="C92" s="10" t="s">
        <v>171</v>
      </c>
      <c r="D92" s="11" t="n">
        <v>0.00274467592592593</v>
      </c>
      <c r="E92" s="18" t="n">
        <f aca="false">ROUND((D92-$D$5)*86400,2)</f>
        <v>12.11</v>
      </c>
      <c r="F92" s="12" t="n">
        <v>150</v>
      </c>
      <c r="G92" s="11" t="n">
        <f aca="false">IF(INDEX(選手一覧!$D$7:$D$2738,$F92)="","",INDEX(選手一覧!$D$7:$D$2738,$F92))</f>
        <v>0.0101305555555556</v>
      </c>
      <c r="H92" s="12" t="n">
        <f aca="false">IF(INDEX(選手一覧!$E$7:$E$2738,$F92)="","",INDEX(選手一覧!$E$7:$E$2738,$F92))</f>
        <v>60</v>
      </c>
      <c r="I92" s="11" t="str">
        <f aca="false">IF(INDEX(選手一覧!$F$7:$F$2738,$F92)="","",INDEX(選手一覧!$F$7:$F$2738,$F92))</f>
        <v/>
      </c>
      <c r="J92" s="12" t="str">
        <f aca="false">IF(INDEX(選手一覧!$G$7:$G$2738,$F92)="","",INDEX(選手一覧!$G$7:$G$2738,$F92))</f>
        <v/>
      </c>
    </row>
    <row r="93" customFormat="false" ht="15" hidden="false" customHeight="false" outlineLevel="0" collapsed="false">
      <c r="A93" s="12" t="n">
        <v>89</v>
      </c>
      <c r="B93" s="10" t="s">
        <v>362</v>
      </c>
      <c r="C93" s="10" t="s">
        <v>363</v>
      </c>
      <c r="D93" s="11" t="n">
        <v>0.00274479166666667</v>
      </c>
      <c r="E93" s="18" t="n">
        <f aca="false">ROUND((D93-$D$5)*86400,2)</f>
        <v>12.12</v>
      </c>
      <c r="F93" s="12" t="n">
        <v>215</v>
      </c>
      <c r="G93" s="11" t="n">
        <f aca="false">IF(INDEX(選手一覧!$D$7:$D$2738,$F93)="","",INDEX(選手一覧!$D$7:$D$2738,$F93))</f>
        <v>0.0105601851851852</v>
      </c>
      <c r="H93" s="12" t="n">
        <f aca="false">IF(INDEX(選手一覧!$E$7:$E$2738,$F93)="","",INDEX(選手一覧!$E$7:$E$2738,$F93))</f>
        <v>410</v>
      </c>
      <c r="I93" s="11" t="str">
        <f aca="false">IF(INDEX(選手一覧!$F$7:$F$2738,$F93)="","",INDEX(選手一覧!$F$7:$F$2738,$F93))</f>
        <v/>
      </c>
      <c r="J93" s="12" t="str">
        <f aca="false">IF(INDEX(選手一覧!$G$7:$G$2738,$F93)="","",INDEX(選手一覧!$G$7:$G$2738,$F93))</f>
        <v/>
      </c>
    </row>
    <row r="94" customFormat="false" ht="15" hidden="false" customHeight="false" outlineLevel="0" collapsed="false">
      <c r="A94" s="12" t="n">
        <v>90</v>
      </c>
      <c r="B94" s="10" t="s">
        <v>178</v>
      </c>
      <c r="C94" s="10" t="s">
        <v>179</v>
      </c>
      <c r="D94" s="11" t="n">
        <v>0.00274490740740741</v>
      </c>
      <c r="E94" s="18" t="n">
        <f aca="false">ROUND((D94-$D$5)*86400,2)</f>
        <v>12.13</v>
      </c>
      <c r="F94" s="12" t="n">
        <v>89</v>
      </c>
      <c r="G94" s="11" t="n">
        <f aca="false">IF(INDEX(選手一覧!$D$7:$D$2738,$F94)="","",INDEX(選手一覧!$D$7:$D$2738,$F94))</f>
        <v>0.0100494212962963</v>
      </c>
      <c r="H94" s="12" t="n">
        <f aca="false">IF(INDEX(選手一覧!$E$7:$E$2738,$F94)="","",INDEX(選手一覧!$E$7:$E$2738,$F94))</f>
        <v>35</v>
      </c>
      <c r="I94" s="11" t="str">
        <f aca="false">IF(INDEX(選手一覧!$F$7:$F$2738,$F94)="","",INDEX(選手一覧!$F$7:$F$2738,$F94))</f>
        <v/>
      </c>
      <c r="J94" s="12" t="str">
        <f aca="false">IF(INDEX(選手一覧!$G$7:$G$2738,$F94)="","",INDEX(選手一覧!$G$7:$G$2738,$F94))</f>
        <v/>
      </c>
    </row>
    <row r="95" customFormat="false" ht="15" hidden="false" customHeight="false" outlineLevel="0" collapsed="false">
      <c r="A95" s="12" t="n">
        <v>91</v>
      </c>
      <c r="B95" s="10" t="s">
        <v>369</v>
      </c>
      <c r="C95" s="10" t="s">
        <v>51</v>
      </c>
      <c r="D95" s="11" t="n">
        <v>0.00274537037037037</v>
      </c>
      <c r="E95" s="18" t="n">
        <f aca="false">ROUND((D95-$D$5)*86400,2)</f>
        <v>12.17</v>
      </c>
      <c r="F95" s="12" t="n">
        <v>220</v>
      </c>
      <c r="G95" s="11" t="n">
        <f aca="false">IF(INDEX(選手一覧!$D$7:$D$2738,$F95)="","",INDEX(選手一覧!$D$7:$D$2738,$F95))</f>
        <v>0.0107099537037037</v>
      </c>
      <c r="H95" s="12" t="n">
        <f aca="false">IF(INDEX(選手一覧!$E$7:$E$2738,$F95)="","",INDEX(選手一覧!$E$7:$E$2738,$F95))</f>
        <v>599</v>
      </c>
      <c r="I95" s="11" t="str">
        <f aca="false">IF(INDEX(選手一覧!$F$7:$F$2738,$F95)="","",INDEX(選手一覧!$F$7:$F$2738,$F95))</f>
        <v/>
      </c>
      <c r="J95" s="12" t="str">
        <f aca="false">IF(INDEX(選手一覧!$G$7:$G$2738,$F95)="","",INDEX(選手一覧!$G$7:$G$2738,$F95))</f>
        <v/>
      </c>
    </row>
    <row r="96" customFormat="false" ht="15" hidden="false" customHeight="false" outlineLevel="0" collapsed="false">
      <c r="A96" s="12" t="n">
        <v>92</v>
      </c>
      <c r="B96" s="10" t="s">
        <v>373</v>
      </c>
      <c r="C96" s="10" t="s">
        <v>374</v>
      </c>
      <c r="D96" s="11" t="n">
        <v>0.00274583333333333</v>
      </c>
      <c r="E96" s="18" t="n">
        <f aca="false">ROUND((D96-$D$5)*86400,2)</f>
        <v>12.21</v>
      </c>
      <c r="F96" s="12" t="n">
        <v>223</v>
      </c>
      <c r="G96" s="11" t="str">
        <f aca="false">IF(INDEX(選手一覧!$D$7:$D$2738,$F96)="","",INDEX(選手一覧!$D$7:$D$2738,$F96))</f>
        <v/>
      </c>
      <c r="H96" s="12" t="str">
        <f aca="false">IF(INDEX(選手一覧!$E$7:$E$2738,$F96)="","",INDEX(選手一覧!$E$7:$E$2738,$F96))</f>
        <v/>
      </c>
      <c r="I96" s="11" t="str">
        <f aca="false">IF(INDEX(選手一覧!$F$7:$F$2738,$F96)="","",INDEX(選手一覧!$F$7:$F$2738,$F96))</f>
        <v/>
      </c>
      <c r="J96" s="12" t="str">
        <f aca="false">IF(INDEX(選手一覧!$G$7:$G$2738,$F96)="","",INDEX(選手一覧!$G$7:$G$2738,$F96))</f>
        <v/>
      </c>
    </row>
    <row r="97" customFormat="false" ht="15" hidden="false" customHeight="false" outlineLevel="0" collapsed="false">
      <c r="A97" s="12" t="n">
        <v>93</v>
      </c>
      <c r="B97" s="10" t="s">
        <v>378</v>
      </c>
      <c r="C97" s="10" t="s">
        <v>114</v>
      </c>
      <c r="D97" s="11" t="n">
        <v>0.00274652777777778</v>
      </c>
      <c r="E97" s="18" t="n">
        <f aca="false">ROUND((D97-$D$5)*86400,2)</f>
        <v>12.27</v>
      </c>
      <c r="F97" s="12" t="n">
        <v>226</v>
      </c>
      <c r="G97" s="11" t="str">
        <f aca="false">IF(INDEX(選手一覧!$D$7:$D$2738,$F97)="","",INDEX(選手一覧!$D$7:$D$2738,$F97))</f>
        <v/>
      </c>
      <c r="H97" s="12" t="str">
        <f aca="false">IF(INDEX(選手一覧!$E$7:$E$2738,$F97)="","",INDEX(選手一覧!$E$7:$E$2738,$F97))</f>
        <v/>
      </c>
      <c r="I97" s="11" t="str">
        <f aca="false">IF(INDEX(選手一覧!$F$7:$F$2738,$F97)="","",INDEX(選手一覧!$F$7:$F$2738,$F97))</f>
        <v/>
      </c>
      <c r="J97" s="12" t="str">
        <f aca="false">IF(INDEX(選手一覧!$G$7:$G$2738,$F97)="","",INDEX(選手一覧!$G$7:$G$2738,$F97))</f>
        <v/>
      </c>
    </row>
    <row r="98" customFormat="false" ht="15" hidden="false" customHeight="false" outlineLevel="0" collapsed="false">
      <c r="A98" s="12" t="n">
        <v>94</v>
      </c>
      <c r="B98" s="10" t="s">
        <v>381</v>
      </c>
      <c r="C98" s="10" t="s">
        <v>382</v>
      </c>
      <c r="D98" s="11" t="n">
        <v>0.00274710648148148</v>
      </c>
      <c r="E98" s="18" t="n">
        <f aca="false">ROUND((D98-$D$5)*86400,2)</f>
        <v>12.32</v>
      </c>
      <c r="F98" s="12" t="n">
        <v>228</v>
      </c>
      <c r="G98" s="11" t="n">
        <f aca="false">IF(INDEX(選手一覧!$D$7:$D$2738,$F98)="","",INDEX(選手一覧!$D$7:$D$2738,$F98))</f>
        <v>0.010277662037037</v>
      </c>
      <c r="H98" s="12" t="n">
        <f aca="false">IF(INDEX(選手一覧!$E$7:$E$2738,$F98)="","",INDEX(選手一覧!$E$7:$E$2738,$F98))</f>
        <v>144</v>
      </c>
      <c r="I98" s="11" t="str">
        <f aca="false">IF(INDEX(選手一覧!$F$7:$F$2738,$F98)="","",INDEX(選手一覧!$F$7:$F$2738,$F98))</f>
        <v/>
      </c>
      <c r="J98" s="12" t="str">
        <f aca="false">IF(INDEX(選手一覧!$G$7:$G$2738,$F98)="","",INDEX(選手一覧!$G$7:$G$2738,$F98))</f>
        <v/>
      </c>
    </row>
    <row r="99" customFormat="false" ht="15" hidden="false" customHeight="false" outlineLevel="0" collapsed="false">
      <c r="A99" s="12" t="n">
        <v>95</v>
      </c>
      <c r="B99" s="10" t="s">
        <v>386</v>
      </c>
      <c r="C99" s="10" t="s">
        <v>387</v>
      </c>
      <c r="D99" s="11" t="n">
        <v>0.00274768518518519</v>
      </c>
      <c r="E99" s="18" t="n">
        <f aca="false">ROUND((D99-$D$5)*86400,2)</f>
        <v>12.37</v>
      </c>
      <c r="F99" s="12" t="n">
        <v>231</v>
      </c>
      <c r="G99" s="11" t="n">
        <f aca="false">IF(INDEX(選手一覧!$D$7:$D$2738,$F99)="","",INDEX(選手一覧!$D$7:$D$2738,$F99))</f>
        <v>0.0103971064814815</v>
      </c>
      <c r="H99" s="12" t="n">
        <f aca="false">IF(INDEX(選手一覧!$E$7:$E$2738,$F99)="","",INDEX(選手一覧!$E$7:$E$2738,$F99))</f>
        <v>259</v>
      </c>
      <c r="I99" s="11" t="str">
        <f aca="false">IF(INDEX(選手一覧!$F$7:$F$2738,$F99)="","",INDEX(選手一覧!$F$7:$F$2738,$F99))</f>
        <v/>
      </c>
      <c r="J99" s="12" t="str">
        <f aca="false">IF(INDEX(選手一覧!$G$7:$G$2738,$F99)="","",INDEX(選手一覧!$G$7:$G$2738,$F99))</f>
        <v/>
      </c>
    </row>
    <row r="100" customFormat="false" ht="15" hidden="false" customHeight="false" outlineLevel="0" collapsed="false">
      <c r="A100" s="12" t="n">
        <v>96</v>
      </c>
      <c r="B100" s="10" t="s">
        <v>390</v>
      </c>
      <c r="C100" s="10" t="s">
        <v>391</v>
      </c>
      <c r="D100" s="11" t="n">
        <v>0.00274791666666667</v>
      </c>
      <c r="E100" s="18" t="n">
        <f aca="false">ROUND((D100-$D$5)*86400,2)</f>
        <v>12.39</v>
      </c>
      <c r="F100" s="12" t="n">
        <v>234</v>
      </c>
      <c r="G100" s="11" t="n">
        <f aca="false">IF(INDEX(選手一覧!$D$7:$D$2738,$F100)="","",INDEX(選手一覧!$D$7:$D$2738,$F100))</f>
        <v>0.0104578703703704</v>
      </c>
      <c r="H100" s="12" t="n">
        <f aca="false">IF(INDEX(選手一覧!$E$7:$E$2738,$F100)="","",INDEX(選手一覧!$E$7:$E$2738,$F100))</f>
        <v>308</v>
      </c>
      <c r="I100" s="11" t="str">
        <f aca="false">IF(INDEX(選手一覧!$F$7:$F$2738,$F100)="","",INDEX(選手一覧!$F$7:$F$2738,$F100))</f>
        <v/>
      </c>
      <c r="J100" s="12" t="str">
        <f aca="false">IF(INDEX(選手一覧!$G$7:$G$2738,$F100)="","",INDEX(選手一覧!$G$7:$G$2738,$F100))</f>
        <v/>
      </c>
    </row>
    <row r="101" customFormat="false" ht="15" hidden="false" customHeight="false" outlineLevel="0" collapsed="false">
      <c r="A101" s="12" t="n">
        <v>97</v>
      </c>
      <c r="B101" s="10" t="s">
        <v>394</v>
      </c>
      <c r="C101" s="10" t="s">
        <v>141</v>
      </c>
      <c r="D101" s="11" t="n">
        <v>0.00274849537037037</v>
      </c>
      <c r="E101" s="18" t="n">
        <f aca="false">ROUND((D101-$D$5)*86400,2)</f>
        <v>12.44</v>
      </c>
      <c r="F101" s="12" t="n">
        <v>236</v>
      </c>
      <c r="G101" s="11" t="n">
        <f aca="false">IF(INDEX(選手一覧!$D$7:$D$2738,$F101)="","",INDEX(選手一覧!$D$7:$D$2738,$F101))</f>
        <v>0.0102170138888889</v>
      </c>
      <c r="H101" s="12" t="n">
        <f aca="false">IF(INDEX(選手一覧!$E$7:$E$2738,$F101)="","",INDEX(選手一覧!$E$7:$E$2738,$F101))</f>
        <v>107</v>
      </c>
      <c r="I101" s="11" t="str">
        <f aca="false">IF(INDEX(選手一覧!$F$7:$F$2738,$F101)="","",INDEX(選手一覧!$F$7:$F$2738,$F101))</f>
        <v/>
      </c>
      <c r="J101" s="12" t="str">
        <f aca="false">IF(INDEX(選手一覧!$G$7:$G$2738,$F101)="","",INDEX(選手一覧!$G$7:$G$2738,$F101))</f>
        <v/>
      </c>
    </row>
    <row r="102" customFormat="false" ht="15" hidden="false" customHeight="false" outlineLevel="0" collapsed="false">
      <c r="A102" s="12" t="n">
        <v>98</v>
      </c>
      <c r="B102" s="10" t="s">
        <v>396</v>
      </c>
      <c r="C102" s="10" t="s">
        <v>397</v>
      </c>
      <c r="D102" s="11" t="n">
        <v>0.00274861111111111</v>
      </c>
      <c r="E102" s="18" t="n">
        <f aca="false">ROUND((D102-$D$5)*86400,2)</f>
        <v>12.45</v>
      </c>
      <c r="F102" s="12" t="n">
        <v>238</v>
      </c>
      <c r="G102" s="11" t="n">
        <f aca="false">IF(INDEX(選手一覧!$D$7:$D$2738,$F102)="","",INDEX(選手一覧!$D$7:$D$2738,$F102))</f>
        <v>0.0105414351851852</v>
      </c>
      <c r="H102" s="12" t="n">
        <f aca="false">IF(INDEX(選手一覧!$E$7:$E$2738,$F102)="","",INDEX(選手一覧!$E$7:$E$2738,$F102))</f>
        <v>389</v>
      </c>
      <c r="I102" s="11" t="str">
        <f aca="false">IF(INDEX(選手一覧!$F$7:$F$2738,$F102)="","",INDEX(選手一覧!$F$7:$F$2738,$F102))</f>
        <v/>
      </c>
      <c r="J102" s="12" t="str">
        <f aca="false">IF(INDEX(選手一覧!$G$7:$G$2738,$F102)="","",INDEX(選手一覧!$G$7:$G$2738,$F102))</f>
        <v/>
      </c>
    </row>
    <row r="103" customFormat="false" ht="15" hidden="false" customHeight="false" outlineLevel="0" collapsed="false">
      <c r="A103" s="12" t="n">
        <v>99</v>
      </c>
      <c r="B103" s="10" t="s">
        <v>398</v>
      </c>
      <c r="C103" s="10" t="s">
        <v>399</v>
      </c>
      <c r="D103" s="11" t="n">
        <v>0.00274872685185185</v>
      </c>
      <c r="E103" s="18" t="n">
        <f aca="false">ROUND((D103-$D$5)*86400,2)</f>
        <v>12.46</v>
      </c>
      <c r="F103" s="12" t="n">
        <v>239</v>
      </c>
      <c r="G103" s="11" t="n">
        <f aca="false">IF(INDEX(選手一覧!$D$7:$D$2738,$F103)="","",INDEX(選手一覧!$D$7:$D$2738,$F103))</f>
        <v>0.0102435185185185</v>
      </c>
      <c r="H103" s="12" t="n">
        <f aca="false">IF(INDEX(選手一覧!$E$7:$E$2738,$F103)="","",INDEX(選手一覧!$E$7:$E$2738,$F103))</f>
        <v>123</v>
      </c>
      <c r="I103" s="11" t="str">
        <f aca="false">IF(INDEX(選手一覧!$F$7:$F$2738,$F103)="","",INDEX(選手一覧!$F$7:$F$2738,$F103))</f>
        <v/>
      </c>
      <c r="J103" s="12" t="str">
        <f aca="false">IF(INDEX(選手一覧!$G$7:$G$2738,$F103)="","",INDEX(選手一覧!$G$7:$G$2738,$F103))</f>
        <v/>
      </c>
    </row>
    <row r="104" customFormat="false" ht="15" hidden="false" customHeight="false" outlineLevel="0" collapsed="false">
      <c r="A104" s="12" t="n">
        <v>100</v>
      </c>
      <c r="B104" s="10" t="s">
        <v>407</v>
      </c>
      <c r="C104" s="10" t="s">
        <v>149</v>
      </c>
      <c r="D104" s="11" t="n">
        <v>0.00274872685185185</v>
      </c>
      <c r="E104" s="18" t="n">
        <f aca="false">ROUND((D104-$D$5)*86400,2)</f>
        <v>12.46</v>
      </c>
      <c r="F104" s="12" t="n">
        <v>244</v>
      </c>
      <c r="G104" s="11" t="str">
        <f aca="false">IF(INDEX(選手一覧!$D$7:$D$2738,$F104)="","",INDEX(選手一覧!$D$7:$D$2738,$F104))</f>
        <v/>
      </c>
      <c r="H104" s="12" t="str">
        <f aca="false">IF(INDEX(選手一覧!$E$7:$E$2738,$F104)="","",INDEX(選手一覧!$E$7:$E$2738,$F104))</f>
        <v/>
      </c>
      <c r="I104" s="11" t="str">
        <f aca="false">IF(INDEX(選手一覧!$F$7:$F$2738,$F104)="","",INDEX(選手一覧!$F$7:$F$2738,$F104))</f>
        <v/>
      </c>
      <c r="J104" s="12" t="str">
        <f aca="false">IF(INDEX(選手一覧!$G$7:$G$2738,$F104)="","",INDEX(選手一覧!$G$7:$G$2738,$F104))</f>
        <v/>
      </c>
    </row>
    <row r="105" customFormat="false" ht="15" hidden="false" customHeight="false" outlineLevel="0" collapsed="false">
      <c r="A105" s="12" t="n">
        <v>101</v>
      </c>
      <c r="B105" s="10" t="s">
        <v>410</v>
      </c>
      <c r="C105" s="10" t="s">
        <v>175</v>
      </c>
      <c r="D105" s="11" t="n">
        <v>0.00274895833333333</v>
      </c>
      <c r="E105" s="18" t="n">
        <f aca="false">ROUND((D105-$D$5)*86400,2)</f>
        <v>12.48</v>
      </c>
      <c r="F105" s="12" t="n">
        <v>247</v>
      </c>
      <c r="G105" s="11" t="str">
        <f aca="false">IF(INDEX(選手一覧!$D$7:$D$2738,$F105)="","",INDEX(選手一覧!$D$7:$D$2738,$F105))</f>
        <v/>
      </c>
      <c r="H105" s="12" t="str">
        <f aca="false">IF(INDEX(選手一覧!$E$7:$E$2738,$F105)="","",INDEX(選手一覧!$E$7:$E$2738,$F105))</f>
        <v/>
      </c>
      <c r="I105" s="11" t="str">
        <f aca="false">IF(INDEX(選手一覧!$F$7:$F$2738,$F105)="","",INDEX(選手一覧!$F$7:$F$2738,$F105))</f>
        <v/>
      </c>
      <c r="J105" s="12" t="str">
        <f aca="false">IF(INDEX(選手一覧!$G$7:$G$2738,$F105)="","",INDEX(選手一覧!$G$7:$G$2738,$F105))</f>
        <v/>
      </c>
    </row>
    <row r="106" customFormat="false" ht="15" hidden="false" customHeight="false" outlineLevel="0" collapsed="false">
      <c r="A106" s="12" t="n">
        <v>102</v>
      </c>
      <c r="B106" s="10" t="s">
        <v>411</v>
      </c>
      <c r="C106" s="10" t="s">
        <v>363</v>
      </c>
      <c r="D106" s="11" t="n">
        <v>0.00274930555555556</v>
      </c>
      <c r="E106" s="18" t="n">
        <f aca="false">ROUND((D106-$D$5)*86400,2)</f>
        <v>12.51</v>
      </c>
      <c r="F106" s="12" t="n">
        <v>248</v>
      </c>
      <c r="G106" s="11" t="n">
        <f aca="false">IF(INDEX(選手一覧!$D$7:$D$2738,$F106)="","",INDEX(選手一覧!$D$7:$D$2738,$F106))</f>
        <v>0.0107466435185185</v>
      </c>
      <c r="H106" s="12" t="n">
        <f aca="false">IF(INDEX(選手一覧!$E$7:$E$2738,$F106)="","",INDEX(選手一覧!$E$7:$E$2738,$F106))</f>
        <v>664</v>
      </c>
      <c r="I106" s="11" t="str">
        <f aca="false">IF(INDEX(選手一覧!$F$7:$F$2738,$F106)="","",INDEX(選手一覧!$F$7:$F$2738,$F106))</f>
        <v/>
      </c>
      <c r="J106" s="12" t="str">
        <f aca="false">IF(INDEX(選手一覧!$G$7:$G$2738,$F106)="","",INDEX(選手一覧!$G$7:$G$2738,$F106))</f>
        <v/>
      </c>
    </row>
    <row r="107" customFormat="false" ht="15" hidden="false" customHeight="false" outlineLevel="0" collapsed="false">
      <c r="A107" s="12" t="n">
        <v>103</v>
      </c>
      <c r="B107" s="10" t="s">
        <v>412</v>
      </c>
      <c r="C107" s="10" t="s">
        <v>69</v>
      </c>
      <c r="D107" s="11" t="n">
        <v>0.00274976851851852</v>
      </c>
      <c r="E107" s="18" t="n">
        <f aca="false">ROUND((D107-$D$5)*86400,2)</f>
        <v>12.55</v>
      </c>
      <c r="F107" s="12" t="n">
        <v>249</v>
      </c>
      <c r="G107" s="11" t="n">
        <f aca="false">IF(INDEX(選手一覧!$D$7:$D$2738,$F107)="","",INDEX(選手一覧!$D$7:$D$2738,$F107))</f>
        <v>0.0104733796296296</v>
      </c>
      <c r="H107" s="12" t="n">
        <f aca="false">IF(INDEX(選手一覧!$E$7:$E$2738,$F107)="","",INDEX(選手一覧!$E$7:$E$2738,$F107))</f>
        <v>319</v>
      </c>
      <c r="I107" s="11" t="str">
        <f aca="false">IF(INDEX(選手一覧!$F$7:$F$2738,$F107)="","",INDEX(選手一覧!$F$7:$F$2738,$F107))</f>
        <v/>
      </c>
      <c r="J107" s="12" t="str">
        <f aca="false">IF(INDEX(選手一覧!$G$7:$G$2738,$F107)="","",INDEX(選手一覧!$G$7:$G$2738,$F107))</f>
        <v/>
      </c>
    </row>
    <row r="108" customFormat="false" ht="15" hidden="false" customHeight="false" outlineLevel="0" collapsed="false">
      <c r="A108" s="12" t="n">
        <v>104</v>
      </c>
      <c r="B108" s="10" t="s">
        <v>413</v>
      </c>
      <c r="C108" s="10" t="s">
        <v>229</v>
      </c>
      <c r="D108" s="11" t="n">
        <v>0.00274988425925926</v>
      </c>
      <c r="E108" s="18" t="n">
        <f aca="false">ROUND((D108-$D$5)*86400,2)</f>
        <v>12.56</v>
      </c>
      <c r="F108" s="12" t="n">
        <v>250</v>
      </c>
      <c r="G108" s="11" t="n">
        <f aca="false">IF(INDEX(選手一覧!$D$7:$D$2738,$F108)="","",INDEX(選手一覧!$D$7:$D$2738,$F108))</f>
        <v>0.0102799768518519</v>
      </c>
      <c r="H108" s="12" t="n">
        <f aca="false">IF(INDEX(選手一覧!$E$7:$E$2738,$F108)="","",INDEX(選手一覧!$E$7:$E$2738,$F108))</f>
        <v>148</v>
      </c>
      <c r="I108" s="11" t="str">
        <f aca="false">IF(INDEX(選手一覧!$F$7:$F$2738,$F108)="","",INDEX(選手一覧!$F$7:$F$2738,$F108))</f>
        <v/>
      </c>
      <c r="J108" s="12" t="str">
        <f aca="false">IF(INDEX(選手一覧!$G$7:$G$2738,$F108)="","",INDEX(選手一覧!$G$7:$G$2738,$F108))</f>
        <v/>
      </c>
    </row>
    <row r="109" customFormat="false" ht="15" hidden="false" customHeight="false" outlineLevel="0" collapsed="false">
      <c r="A109" s="12" t="n">
        <v>105</v>
      </c>
      <c r="B109" s="10" t="s">
        <v>418</v>
      </c>
      <c r="C109" s="10" t="s">
        <v>267</v>
      </c>
      <c r="D109" s="11" t="n">
        <v>0.00275104166666667</v>
      </c>
      <c r="E109" s="18" t="n">
        <f aca="false">ROUND((D109-$D$5)*86400,2)</f>
        <v>12.66</v>
      </c>
      <c r="F109" s="12" t="n">
        <v>254</v>
      </c>
      <c r="G109" s="11" t="n">
        <f aca="false">IF(INDEX(選手一覧!$D$7:$D$2738,$F109)="","",INDEX(選手一覧!$D$7:$D$2738,$F109))</f>
        <v>0.0109083333333333</v>
      </c>
      <c r="H109" s="12" t="n">
        <f aca="false">IF(INDEX(選手一覧!$E$7:$E$2738,$F109)="","",INDEX(選手一覧!$E$7:$E$2738,$F109))</f>
        <v>934</v>
      </c>
      <c r="I109" s="11" t="str">
        <f aca="false">IF(INDEX(選手一覧!$F$7:$F$2738,$F109)="","",INDEX(選手一覧!$F$7:$F$2738,$F109))</f>
        <v/>
      </c>
      <c r="J109" s="12" t="str">
        <f aca="false">IF(INDEX(選手一覧!$G$7:$G$2738,$F109)="","",INDEX(選手一覧!$G$7:$G$2738,$F109))</f>
        <v/>
      </c>
    </row>
    <row r="110" customFormat="false" ht="15" hidden="false" customHeight="false" outlineLevel="0" collapsed="false">
      <c r="A110" s="12" t="n">
        <v>106</v>
      </c>
      <c r="B110" s="10" t="s">
        <v>419</v>
      </c>
      <c r="C110" s="10" t="s">
        <v>420</v>
      </c>
      <c r="D110" s="11" t="n">
        <v>0.00275115740740741</v>
      </c>
      <c r="E110" s="18" t="n">
        <f aca="false">ROUND((D110-$D$5)*86400,2)</f>
        <v>12.67</v>
      </c>
      <c r="F110" s="12" t="n">
        <v>255</v>
      </c>
      <c r="G110" s="11" t="n">
        <f aca="false">IF(INDEX(選手一覧!$D$7:$D$2738,$F110)="","",INDEX(選手一覧!$D$7:$D$2738,$F110))</f>
        <v>0.0107515046296296</v>
      </c>
      <c r="H110" s="12" t="n">
        <f aca="false">IF(INDEX(選手一覧!$E$7:$E$2738,$F110)="","",INDEX(選手一覧!$E$7:$E$2738,$F110))</f>
        <v>670</v>
      </c>
      <c r="I110" s="11" t="str">
        <f aca="false">IF(INDEX(選手一覧!$F$7:$F$2738,$F110)="","",INDEX(選手一覧!$F$7:$F$2738,$F110))</f>
        <v/>
      </c>
      <c r="J110" s="12" t="str">
        <f aca="false">IF(INDEX(選手一覧!$G$7:$G$2738,$F110)="","",INDEX(選手一覧!$G$7:$G$2738,$F110))</f>
        <v/>
      </c>
    </row>
    <row r="111" customFormat="false" ht="15" hidden="false" customHeight="false" outlineLevel="0" collapsed="false">
      <c r="A111" s="12" t="n">
        <v>107</v>
      </c>
      <c r="B111" s="10" t="s">
        <v>424</v>
      </c>
      <c r="C111" s="10" t="s">
        <v>425</v>
      </c>
      <c r="D111" s="11" t="n">
        <v>0.00275185185185185</v>
      </c>
      <c r="E111" s="18" t="n">
        <f aca="false">ROUND((D111-$D$5)*86400,2)</f>
        <v>12.73</v>
      </c>
      <c r="F111" s="12" t="n">
        <v>258</v>
      </c>
      <c r="G111" s="11" t="n">
        <f aca="false">IF(INDEX(選手一覧!$D$7:$D$2738,$F111)="","",INDEX(選手一覧!$D$7:$D$2738,$F111))</f>
        <v>0.0105753472222222</v>
      </c>
      <c r="H111" s="12" t="n">
        <f aca="false">IF(INDEX(選手一覧!$E$7:$E$2738,$F111)="","",INDEX(選手一覧!$E$7:$E$2738,$F111))</f>
        <v>431</v>
      </c>
      <c r="I111" s="11" t="str">
        <f aca="false">IF(INDEX(選手一覧!$F$7:$F$2738,$F111)="","",INDEX(選手一覧!$F$7:$F$2738,$F111))</f>
        <v/>
      </c>
      <c r="J111" s="12" t="str">
        <f aca="false">IF(INDEX(選手一覧!$G$7:$G$2738,$F111)="","",INDEX(選手一覧!$G$7:$G$2738,$F111))</f>
        <v/>
      </c>
    </row>
    <row r="112" customFormat="false" ht="15" hidden="false" customHeight="false" outlineLevel="0" collapsed="false">
      <c r="A112" s="12" t="n">
        <v>108</v>
      </c>
      <c r="B112" s="10" t="s">
        <v>426</v>
      </c>
      <c r="C112" s="10" t="s">
        <v>166</v>
      </c>
      <c r="D112" s="11" t="n">
        <v>0.00275208333333333</v>
      </c>
      <c r="E112" s="18" t="n">
        <f aca="false">ROUND((D112-$D$5)*86400,2)</f>
        <v>12.75</v>
      </c>
      <c r="F112" s="12" t="n">
        <v>259</v>
      </c>
      <c r="G112" s="11" t="n">
        <f aca="false">IF(INDEX(選手一覧!$D$7:$D$2738,$F112)="","",INDEX(選手一覧!$D$7:$D$2738,$F112))</f>
        <v>0.0102987268518519</v>
      </c>
      <c r="H112" s="12" t="n">
        <f aca="false">IF(INDEX(選手一覧!$E$7:$E$2738,$F112)="","",INDEX(選手一覧!$E$7:$E$2738,$F112))</f>
        <v>159</v>
      </c>
      <c r="I112" s="11" t="str">
        <f aca="false">IF(INDEX(選手一覧!$F$7:$F$2738,$F112)="","",INDEX(選手一覧!$F$7:$F$2738,$F112))</f>
        <v/>
      </c>
      <c r="J112" s="12" t="str">
        <f aca="false">IF(INDEX(選手一覧!$G$7:$G$2738,$F112)="","",INDEX(選手一覧!$G$7:$G$2738,$F112))</f>
        <v/>
      </c>
    </row>
    <row r="113" customFormat="false" ht="15" hidden="false" customHeight="false" outlineLevel="0" collapsed="false">
      <c r="A113" s="12" t="n">
        <v>109</v>
      </c>
      <c r="B113" s="10" t="s">
        <v>430</v>
      </c>
      <c r="C113" s="10" t="s">
        <v>195</v>
      </c>
      <c r="D113" s="11" t="n">
        <v>0.00275243055555556</v>
      </c>
      <c r="E113" s="18" t="n">
        <f aca="false">ROUND((D113-$D$5)*86400,2)</f>
        <v>12.78</v>
      </c>
      <c r="F113" s="12" t="n">
        <v>263</v>
      </c>
      <c r="G113" s="11" t="n">
        <f aca="false">IF(INDEX(選手一覧!$D$7:$D$2738,$F113)="","",INDEX(選手一覧!$D$7:$D$2738,$F113))</f>
        <v>0.0105134259259259</v>
      </c>
      <c r="H113" s="12" t="n">
        <f aca="false">IF(INDEX(選手一覧!$E$7:$E$2738,$F113)="","",INDEX(選手一覧!$E$7:$E$2738,$F113))</f>
        <v>355</v>
      </c>
      <c r="I113" s="11" t="str">
        <f aca="false">IF(INDEX(選手一覧!$F$7:$F$2738,$F113)="","",INDEX(選手一覧!$F$7:$F$2738,$F113))</f>
        <v/>
      </c>
      <c r="J113" s="12" t="str">
        <f aca="false">IF(INDEX(選手一覧!$G$7:$G$2738,$F113)="","",INDEX(選手一覧!$G$7:$G$2738,$F113))</f>
        <v/>
      </c>
    </row>
    <row r="114" customFormat="false" ht="15" hidden="false" customHeight="false" outlineLevel="0" collapsed="false">
      <c r="A114" s="12" t="n">
        <v>110</v>
      </c>
      <c r="B114" s="10" t="s">
        <v>435</v>
      </c>
      <c r="C114" s="10" t="s">
        <v>317</v>
      </c>
      <c r="D114" s="11" t="n">
        <v>0.00275289351851852</v>
      </c>
      <c r="E114" s="18" t="n">
        <f aca="false">ROUND((D114-$D$5)*86400,2)</f>
        <v>12.82</v>
      </c>
      <c r="F114" s="12" t="n">
        <v>267</v>
      </c>
      <c r="G114" s="11" t="n">
        <f aca="false">IF(INDEX(選手一覧!$D$7:$D$2738,$F114)="","",INDEX(選手一覧!$D$7:$D$2738,$F114))</f>
        <v>0.0110163194444444</v>
      </c>
      <c r="H114" s="12" t="n">
        <f aca="false">IF(INDEX(選手一覧!$E$7:$E$2738,$F114)="","",INDEX(選手一覧!$E$7:$E$2738,$F114))</f>
        <v>1121</v>
      </c>
      <c r="I114" s="11" t="str">
        <f aca="false">IF(INDEX(選手一覧!$F$7:$F$2738,$F114)="","",INDEX(選手一覧!$F$7:$F$2738,$F114))</f>
        <v/>
      </c>
      <c r="J114" s="12" t="str">
        <f aca="false">IF(INDEX(選手一覧!$G$7:$G$2738,$F114)="","",INDEX(選手一覧!$G$7:$G$2738,$F114))</f>
        <v/>
      </c>
    </row>
    <row r="115" customFormat="false" ht="15" hidden="false" customHeight="false" outlineLevel="0" collapsed="false">
      <c r="A115" s="12" t="n">
        <v>111</v>
      </c>
      <c r="B115" s="10" t="s">
        <v>379</v>
      </c>
      <c r="C115" s="10" t="s">
        <v>380</v>
      </c>
      <c r="D115" s="11" t="n">
        <v>0.00275324074074074</v>
      </c>
      <c r="E115" s="18" t="n">
        <f aca="false">ROUND((D115-$D$5)*86400,2)</f>
        <v>12.85</v>
      </c>
      <c r="F115" s="12" t="n">
        <v>227</v>
      </c>
      <c r="G115" s="11" t="n">
        <f aca="false">IF(INDEX(選手一覧!$D$7:$D$2738,$F115)="","",INDEX(選手一覧!$D$7:$D$2738,$F115))</f>
        <v>0.0101935185185185</v>
      </c>
      <c r="H115" s="12" t="n">
        <f aca="false">IF(INDEX(選手一覧!$E$7:$E$2738,$F115)="","",INDEX(選手一覧!$E$7:$E$2738,$F115))</f>
        <v>94</v>
      </c>
      <c r="I115" s="11" t="str">
        <f aca="false">IF(INDEX(選手一覧!$F$7:$F$2738,$F115)="","",INDEX(選手一覧!$F$7:$F$2738,$F115))</f>
        <v/>
      </c>
      <c r="J115" s="12" t="str">
        <f aca="false">IF(INDEX(選手一覧!$G$7:$G$2738,$F115)="","",INDEX(選手一覧!$G$7:$G$2738,$F115))</f>
        <v/>
      </c>
    </row>
    <row r="116" customFormat="false" ht="15" hidden="false" customHeight="false" outlineLevel="0" collapsed="false">
      <c r="A116" s="12" t="n">
        <v>112</v>
      </c>
      <c r="B116" s="10" t="s">
        <v>441</v>
      </c>
      <c r="C116" s="10" t="s">
        <v>49</v>
      </c>
      <c r="D116" s="11" t="n">
        <v>0.0027537037037037</v>
      </c>
      <c r="E116" s="18" t="n">
        <f aca="false">ROUND((D116-$D$5)*86400,2)</f>
        <v>12.89</v>
      </c>
      <c r="F116" s="12" t="n">
        <v>271</v>
      </c>
      <c r="G116" s="11" t="n">
        <f aca="false">IF(INDEX(選手一覧!$D$7:$D$2738,$F116)="","",INDEX(選手一覧!$D$7:$D$2738,$F116))</f>
        <v>0.0105428240740741</v>
      </c>
      <c r="H116" s="12" t="n">
        <f aca="false">IF(INDEX(選手一覧!$E$7:$E$2738,$F116)="","",INDEX(選手一覧!$E$7:$E$2738,$F116))</f>
        <v>391</v>
      </c>
      <c r="I116" s="11" t="str">
        <f aca="false">IF(INDEX(選手一覧!$F$7:$F$2738,$F116)="","",INDEX(選手一覧!$F$7:$F$2738,$F116))</f>
        <v/>
      </c>
      <c r="J116" s="12" t="str">
        <f aca="false">IF(INDEX(選手一覧!$G$7:$G$2738,$F116)="","",INDEX(選手一覧!$G$7:$G$2738,$F116))</f>
        <v/>
      </c>
    </row>
    <row r="117" customFormat="false" ht="15" hidden="false" customHeight="false" outlineLevel="0" collapsed="false">
      <c r="A117" s="12" t="n">
        <v>113</v>
      </c>
      <c r="B117" s="10" t="s">
        <v>442</v>
      </c>
      <c r="C117" s="10" t="s">
        <v>443</v>
      </c>
      <c r="D117" s="11" t="n">
        <v>0.00275381944444445</v>
      </c>
      <c r="E117" s="18" t="n">
        <f aca="false">ROUND((D117-$D$5)*86400,2)</f>
        <v>12.9</v>
      </c>
      <c r="F117" s="12" t="n">
        <v>272</v>
      </c>
      <c r="G117" s="11" t="n">
        <f aca="false">IF(INDEX(選手一覧!$D$7:$D$2738,$F117)="","",INDEX(選手一覧!$D$7:$D$2738,$F117))</f>
        <v>0.0103003472222222</v>
      </c>
      <c r="H117" s="12" t="n">
        <f aca="false">IF(INDEX(選手一覧!$E$7:$E$2738,$F117)="","",INDEX(選手一覧!$E$7:$E$2738,$F117))</f>
        <v>161</v>
      </c>
      <c r="I117" s="11" t="n">
        <f aca="false">IF(INDEX(選手一覧!$F$7:$F$2738,$F117)="","",INDEX(選手一覧!$F$7:$F$2738,$F117))</f>
        <v>0.0070880787037037</v>
      </c>
      <c r="J117" s="12" t="n">
        <f aca="false">IF(INDEX(選手一覧!$G$7:$G$2738,$F117)="","",INDEX(選手一覧!$G$7:$G$2738,$F117))</f>
        <v>437</v>
      </c>
    </row>
    <row r="118" customFormat="false" ht="15" hidden="false" customHeight="false" outlineLevel="0" collapsed="false">
      <c r="A118" s="12" t="n">
        <v>114</v>
      </c>
      <c r="B118" s="10" t="s">
        <v>447</v>
      </c>
      <c r="C118" s="10" t="s">
        <v>279</v>
      </c>
      <c r="D118" s="11" t="n">
        <v>0.00275393518518519</v>
      </c>
      <c r="E118" s="18" t="n">
        <f aca="false">ROUND((D118-$D$5)*86400,2)</f>
        <v>12.91</v>
      </c>
      <c r="F118" s="12" t="n">
        <v>275</v>
      </c>
      <c r="G118" s="11" t="n">
        <f aca="false">IF(INDEX(選手一覧!$D$7:$D$2738,$F118)="","",INDEX(選手一覧!$D$7:$D$2738,$F118))</f>
        <v>0.0109527777777778</v>
      </c>
      <c r="H118" s="12" t="n">
        <f aca="false">IF(INDEX(選手一覧!$E$7:$E$2738,$F118)="","",INDEX(選手一覧!$E$7:$E$2738,$F118))</f>
        <v>1006</v>
      </c>
      <c r="I118" s="11" t="str">
        <f aca="false">IF(INDEX(選手一覧!$F$7:$F$2738,$F118)="","",INDEX(選手一覧!$F$7:$F$2738,$F118))</f>
        <v/>
      </c>
      <c r="J118" s="12" t="str">
        <f aca="false">IF(INDEX(選手一覧!$G$7:$G$2738,$F118)="","",INDEX(選手一覧!$G$7:$G$2738,$F118))</f>
        <v/>
      </c>
    </row>
    <row r="119" customFormat="false" ht="15" hidden="false" customHeight="false" outlineLevel="0" collapsed="false">
      <c r="A119" s="12" t="n">
        <v>115</v>
      </c>
      <c r="B119" s="10" t="s">
        <v>450</v>
      </c>
      <c r="C119" s="10" t="s">
        <v>109</v>
      </c>
      <c r="D119" s="11" t="n">
        <v>0.00275428240740741</v>
      </c>
      <c r="E119" s="18" t="n">
        <f aca="false">ROUND((D119-$D$5)*86400,2)</f>
        <v>12.94</v>
      </c>
      <c r="F119" s="12" t="n">
        <v>277</v>
      </c>
      <c r="G119" s="11" t="n">
        <f aca="false">IF(INDEX(選手一覧!$D$7:$D$2738,$F119)="","",INDEX(選手一覧!$D$7:$D$2738,$F119))</f>
        <v>0.0105856481481482</v>
      </c>
      <c r="H119" s="12" t="n">
        <f aca="false">IF(INDEX(選手一覧!$E$7:$E$2738,$F119)="","",INDEX(選手一覧!$E$7:$E$2738,$F119))</f>
        <v>447</v>
      </c>
      <c r="I119" s="11" t="n">
        <f aca="false">IF(INDEX(選手一覧!$F$7:$F$2738,$F119)="","",INDEX(選手一覧!$F$7:$F$2738,$F119))</f>
        <v>0.00672800925925926</v>
      </c>
      <c r="J119" s="12" t="n">
        <f aca="false">IF(INDEX(選手一覧!$G$7:$G$2738,$F119)="","",INDEX(選手一覧!$G$7:$G$2738,$F119))</f>
        <v>118</v>
      </c>
    </row>
    <row r="120" customFormat="false" ht="15" hidden="false" customHeight="false" outlineLevel="0" collapsed="false">
      <c r="A120" s="12" t="n">
        <v>116</v>
      </c>
      <c r="B120" s="10" t="s">
        <v>455</v>
      </c>
      <c r="C120" s="10" t="s">
        <v>69</v>
      </c>
      <c r="D120" s="11" t="n">
        <v>0.00275439814814815</v>
      </c>
      <c r="E120" s="18" t="n">
        <f aca="false">ROUND((D120-$D$5)*86400,2)</f>
        <v>12.95</v>
      </c>
      <c r="F120" s="12" t="n">
        <v>282</v>
      </c>
      <c r="G120" s="11" t="str">
        <f aca="false">IF(INDEX(選手一覧!$D$7:$D$2738,$F120)="","",INDEX(選手一覧!$D$7:$D$2738,$F120))</f>
        <v/>
      </c>
      <c r="H120" s="12" t="str">
        <f aca="false">IF(INDEX(選手一覧!$E$7:$E$2738,$F120)="","",INDEX(選手一覧!$E$7:$E$2738,$F120))</f>
        <v/>
      </c>
      <c r="I120" s="11" t="str">
        <f aca="false">IF(INDEX(選手一覧!$F$7:$F$2738,$F120)="","",INDEX(選手一覧!$F$7:$F$2738,$F120))</f>
        <v/>
      </c>
      <c r="J120" s="12" t="str">
        <f aca="false">IF(INDEX(選手一覧!$G$7:$G$2738,$F120)="","",INDEX(選手一覧!$G$7:$G$2738,$F120))</f>
        <v/>
      </c>
    </row>
    <row r="121" customFormat="false" ht="15" hidden="false" customHeight="false" outlineLevel="0" collapsed="false">
      <c r="A121" s="12" t="n">
        <v>117</v>
      </c>
      <c r="B121" s="10" t="s">
        <v>459</v>
      </c>
      <c r="C121" s="10" t="s">
        <v>460</v>
      </c>
      <c r="D121" s="11" t="n">
        <v>0.00275451388888889</v>
      </c>
      <c r="E121" s="18" t="n">
        <f aca="false">ROUND((D121-$D$5)*86400,2)</f>
        <v>12.96</v>
      </c>
      <c r="F121" s="12" t="n">
        <v>285</v>
      </c>
      <c r="G121" s="11" t="n">
        <f aca="false">IF(INDEX(選手一覧!$D$7:$D$2738,$F121)="","",INDEX(選手一覧!$D$7:$D$2738,$F121))</f>
        <v>0.0111229166666667</v>
      </c>
      <c r="H121" s="12" t="n">
        <f aca="false">IF(INDEX(選手一覧!$E$7:$E$2738,$F121)="","",INDEX(選手一覧!$E$7:$E$2738,$F121))</f>
        <v>1291</v>
      </c>
      <c r="I121" s="11" t="str">
        <f aca="false">IF(INDEX(選手一覧!$F$7:$F$2738,$F121)="","",INDEX(選手一覧!$F$7:$F$2738,$F121))</f>
        <v/>
      </c>
      <c r="J121" s="12" t="str">
        <f aca="false">IF(INDEX(選手一覧!$G$7:$G$2738,$F121)="","",INDEX(選手一覧!$G$7:$G$2738,$F121))</f>
        <v/>
      </c>
    </row>
    <row r="122" customFormat="false" ht="15" hidden="false" customHeight="false" outlineLevel="0" collapsed="false">
      <c r="A122" s="12" t="n">
        <v>118</v>
      </c>
      <c r="B122" s="10" t="s">
        <v>463</v>
      </c>
      <c r="C122" s="10" t="s">
        <v>215</v>
      </c>
      <c r="D122" s="11" t="n">
        <v>0.00275451388888889</v>
      </c>
      <c r="E122" s="18" t="n">
        <f aca="false">ROUND((D122-$D$5)*86400,2)</f>
        <v>12.96</v>
      </c>
      <c r="F122" s="12" t="n">
        <v>287</v>
      </c>
      <c r="G122" s="11" t="n">
        <f aca="false">IF(INDEX(選手一覧!$D$7:$D$2738,$F122)="","",INDEX(選手一覧!$D$7:$D$2738,$F122))</f>
        <v>0.0102777777777778</v>
      </c>
      <c r="H122" s="12" t="n">
        <f aca="false">IF(INDEX(選手一覧!$E$7:$E$2738,$F122)="","",INDEX(選手一覧!$E$7:$E$2738,$F122))</f>
        <v>145</v>
      </c>
      <c r="I122" s="11" t="str">
        <f aca="false">IF(INDEX(選手一覧!$F$7:$F$2738,$F122)="","",INDEX(選手一覧!$F$7:$F$2738,$F122))</f>
        <v/>
      </c>
      <c r="J122" s="12" t="str">
        <f aca="false">IF(INDEX(選手一覧!$G$7:$G$2738,$F122)="","",INDEX(選手一覧!$G$7:$G$2738,$F122))</f>
        <v/>
      </c>
    </row>
    <row r="123" customFormat="false" ht="15" hidden="false" customHeight="false" outlineLevel="0" collapsed="false">
      <c r="A123" s="12" t="n">
        <v>119</v>
      </c>
      <c r="B123" s="10" t="s">
        <v>389</v>
      </c>
      <c r="C123" s="10" t="s">
        <v>156</v>
      </c>
      <c r="D123" s="11" t="n">
        <v>0.00275451388888889</v>
      </c>
      <c r="E123" s="18" t="n">
        <f aca="false">ROUND((D123-$D$5)*86400,2)</f>
        <v>12.96</v>
      </c>
      <c r="F123" s="12" t="n">
        <v>233</v>
      </c>
      <c r="G123" s="11" t="n">
        <f aca="false">IF(INDEX(選手一覧!$D$7:$D$2738,$F123)="","",INDEX(選手一覧!$D$7:$D$2738,$F123))</f>
        <v>0.0101975694444444</v>
      </c>
      <c r="H123" s="12" t="n">
        <f aca="false">IF(INDEX(選手一覧!$E$7:$E$2738,$F123)="","",INDEX(選手一覧!$E$7:$E$2738,$F123))</f>
        <v>96</v>
      </c>
      <c r="I123" s="11" t="str">
        <f aca="false">IF(INDEX(選手一覧!$F$7:$F$2738,$F123)="","",INDEX(選手一覧!$F$7:$F$2738,$F123))</f>
        <v/>
      </c>
      <c r="J123" s="12" t="str">
        <f aca="false">IF(INDEX(選手一覧!$G$7:$G$2738,$F123)="","",INDEX(選手一覧!$G$7:$G$2738,$F123))</f>
        <v/>
      </c>
    </row>
    <row r="124" customFormat="false" ht="15" hidden="false" customHeight="false" outlineLevel="0" collapsed="false">
      <c r="A124" s="12" t="n">
        <v>120</v>
      </c>
      <c r="B124" s="10" t="s">
        <v>157</v>
      </c>
      <c r="C124" s="10" t="s">
        <v>158</v>
      </c>
      <c r="D124" s="11" t="n">
        <v>0.00275451388888889</v>
      </c>
      <c r="E124" s="18" t="n">
        <f aca="false">ROUND((D124-$D$5)*86400,2)</f>
        <v>12.96</v>
      </c>
      <c r="F124" s="12" t="n">
        <v>77</v>
      </c>
      <c r="G124" s="11" t="n">
        <f aca="false">IF(INDEX(選手一覧!$D$7:$D$2738,$F124)="","",INDEX(選手一覧!$D$7:$D$2738,$F124))</f>
        <v>0.0102012731481482</v>
      </c>
      <c r="H124" s="12" t="n">
        <f aca="false">IF(INDEX(選手一覧!$E$7:$E$2738,$F124)="","",INDEX(選手一覧!$E$7:$E$2738,$F124))</f>
        <v>97</v>
      </c>
      <c r="I124" s="11" t="n">
        <f aca="false">IF(INDEX(選手一覧!$F$7:$F$2738,$F124)="","",INDEX(選手一覧!$F$7:$F$2738,$F124))</f>
        <v>0.00648483796296296</v>
      </c>
      <c r="J124" s="12" t="n">
        <f aca="false">IF(INDEX(選手一覧!$G$7:$G$2738,$F124)="","",INDEX(選手一覧!$G$7:$G$2738,$F124))</f>
        <v>31</v>
      </c>
    </row>
    <row r="125" customFormat="false" ht="15" hidden="false" customHeight="false" outlineLevel="0" collapsed="false">
      <c r="A125" s="12" t="n">
        <v>121</v>
      </c>
      <c r="B125" s="10" t="s">
        <v>335</v>
      </c>
      <c r="C125" s="10" t="s">
        <v>154</v>
      </c>
      <c r="D125" s="11" t="n">
        <v>0.00275543981481482</v>
      </c>
      <c r="E125" s="18" t="n">
        <f aca="false">ROUND((D125-$D$5)*86400,2)</f>
        <v>13.04</v>
      </c>
      <c r="F125" s="12" t="n">
        <v>195</v>
      </c>
      <c r="G125" s="11" t="n">
        <f aca="false">IF(INDEX(選手一覧!$D$7:$D$2738,$F125)="","",INDEX(選手一覧!$D$7:$D$2738,$F125))</f>
        <v>0.0103547453703704</v>
      </c>
      <c r="H125" s="12" t="n">
        <f aca="false">IF(INDEX(選手一覧!$E$7:$E$2738,$F125)="","",INDEX(選手一覧!$E$7:$E$2738,$F125))</f>
        <v>209</v>
      </c>
      <c r="I125" s="11" t="n">
        <f aca="false">IF(INDEX(選手一覧!$F$7:$F$2738,$F125)="","",INDEX(選手一覧!$F$7:$F$2738,$F125))</f>
        <v>0.0066412037037037</v>
      </c>
      <c r="J125" s="12" t="n">
        <f aca="false">IF(INDEX(選手一覧!$G$7:$G$2738,$F125)="","",INDEX(選手一覧!$G$7:$G$2738,$F125))</f>
        <v>79</v>
      </c>
    </row>
    <row r="126" customFormat="false" ht="15" hidden="false" customHeight="false" outlineLevel="0" collapsed="false">
      <c r="A126" s="12" t="n">
        <v>122</v>
      </c>
      <c r="B126" s="10" t="s">
        <v>476</v>
      </c>
      <c r="C126" s="10" t="s">
        <v>122</v>
      </c>
      <c r="D126" s="11" t="n">
        <v>0.0027556712962963</v>
      </c>
      <c r="E126" s="18" t="n">
        <f aca="false">ROUND((D126-$D$5)*86400,2)</f>
        <v>13.06</v>
      </c>
      <c r="F126" s="12" t="n">
        <v>295</v>
      </c>
      <c r="G126" s="11" t="n">
        <f aca="false">IF(INDEX(選手一覧!$D$7:$D$2738,$F126)="","",INDEX(選手一覧!$D$7:$D$2738,$F126))</f>
        <v>0.0107158564814815</v>
      </c>
      <c r="H126" s="12" t="n">
        <f aca="false">IF(INDEX(選手一覧!$E$7:$E$2738,$F126)="","",INDEX(選手一覧!$E$7:$E$2738,$F126))</f>
        <v>607</v>
      </c>
      <c r="I126" s="11" t="str">
        <f aca="false">IF(INDEX(選手一覧!$F$7:$F$2738,$F126)="","",INDEX(選手一覧!$F$7:$F$2738,$F126))</f>
        <v/>
      </c>
      <c r="J126" s="12" t="str">
        <f aca="false">IF(INDEX(選手一覧!$G$7:$G$2738,$F126)="","",INDEX(選手一覧!$G$7:$G$2738,$F126))</f>
        <v/>
      </c>
    </row>
    <row r="127" customFormat="false" ht="15" hidden="false" customHeight="false" outlineLevel="0" collapsed="false">
      <c r="A127" s="12" t="n">
        <v>123</v>
      </c>
      <c r="B127" s="10" t="s">
        <v>479</v>
      </c>
      <c r="C127" s="10" t="s">
        <v>480</v>
      </c>
      <c r="D127" s="11" t="n">
        <v>0.00275601851851852</v>
      </c>
      <c r="E127" s="18" t="n">
        <f aca="false">ROUND((D127-$D$5)*86400,2)</f>
        <v>13.09</v>
      </c>
      <c r="F127" s="12" t="n">
        <v>298</v>
      </c>
      <c r="G127" s="11" t="n">
        <f aca="false">IF(INDEX(選手一覧!$D$7:$D$2738,$F127)="","",INDEX(選手一覧!$D$7:$D$2738,$F127))</f>
        <v>0.0107768518518519</v>
      </c>
      <c r="H127" s="12" t="n">
        <f aca="false">IF(INDEX(選手一覧!$E$7:$E$2738,$F127)="","",INDEX(選手一覧!$E$7:$E$2738,$F127))</f>
        <v>704</v>
      </c>
      <c r="I127" s="11" t="str">
        <f aca="false">IF(INDEX(選手一覧!$F$7:$F$2738,$F127)="","",INDEX(選手一覧!$F$7:$F$2738,$F127))</f>
        <v/>
      </c>
      <c r="J127" s="12" t="str">
        <f aca="false">IF(INDEX(選手一覧!$G$7:$G$2738,$F127)="","",INDEX(選手一覧!$G$7:$G$2738,$F127))</f>
        <v/>
      </c>
    </row>
    <row r="128" customFormat="false" ht="15" hidden="false" customHeight="false" outlineLevel="0" collapsed="false">
      <c r="A128" s="12" t="n">
        <v>124</v>
      </c>
      <c r="B128" s="10" t="s">
        <v>483</v>
      </c>
      <c r="C128" s="10" t="s">
        <v>484</v>
      </c>
      <c r="D128" s="11" t="n">
        <v>0.00275613425925926</v>
      </c>
      <c r="E128" s="18" t="n">
        <f aca="false">ROUND((D128-$D$5)*86400,2)</f>
        <v>13.1</v>
      </c>
      <c r="F128" s="12" t="n">
        <v>300</v>
      </c>
      <c r="G128" s="11" t="n">
        <f aca="false">IF(INDEX(選手一覧!$D$7:$D$2738,$F128)="","",INDEX(選手一覧!$D$7:$D$2738,$F128))</f>
        <v>0.010562962962963</v>
      </c>
      <c r="H128" s="12" t="n">
        <f aca="false">IF(INDEX(選手一覧!$E$7:$E$2738,$F128)="","",INDEX(選手一覧!$E$7:$E$2738,$F128))</f>
        <v>414</v>
      </c>
      <c r="I128" s="11" t="str">
        <f aca="false">IF(INDEX(選手一覧!$F$7:$F$2738,$F128)="","",INDEX(選手一覧!$F$7:$F$2738,$F128))</f>
        <v/>
      </c>
      <c r="J128" s="12" t="str">
        <f aca="false">IF(INDEX(選手一覧!$G$7:$G$2738,$F128)="","",INDEX(選手一覧!$G$7:$G$2738,$F128))</f>
        <v/>
      </c>
    </row>
    <row r="129" customFormat="false" ht="15" hidden="false" customHeight="false" outlineLevel="0" collapsed="false">
      <c r="A129" s="12" t="n">
        <v>125</v>
      </c>
      <c r="B129" s="10" t="s">
        <v>488</v>
      </c>
      <c r="C129" s="10" t="s">
        <v>175</v>
      </c>
      <c r="D129" s="11" t="n">
        <v>0.00275671296296296</v>
      </c>
      <c r="E129" s="18" t="n">
        <f aca="false">ROUND((D129-$D$5)*86400,2)</f>
        <v>13.15</v>
      </c>
      <c r="F129" s="12" t="n">
        <v>303</v>
      </c>
      <c r="G129" s="11" t="n">
        <f aca="false">IF(INDEX(選手一覧!$D$7:$D$2738,$F129)="","",INDEX(選手一覧!$D$7:$D$2738,$F129))</f>
        <v>0.0107890046296296</v>
      </c>
      <c r="H129" s="12" t="n">
        <f aca="false">IF(INDEX(選手一覧!$E$7:$E$2738,$F129)="","",INDEX(選手一覧!$E$7:$E$2738,$F129))</f>
        <v>719</v>
      </c>
      <c r="I129" s="11" t="str">
        <f aca="false">IF(INDEX(選手一覧!$F$7:$F$2738,$F129)="","",INDEX(選手一覧!$F$7:$F$2738,$F129))</f>
        <v/>
      </c>
      <c r="J129" s="12" t="str">
        <f aca="false">IF(INDEX(選手一覧!$G$7:$G$2738,$F129)="","",INDEX(選手一覧!$G$7:$G$2738,$F129))</f>
        <v/>
      </c>
    </row>
    <row r="130" customFormat="false" ht="15" hidden="false" customHeight="false" outlineLevel="0" collapsed="false">
      <c r="A130" s="12" t="n">
        <v>126</v>
      </c>
      <c r="B130" s="10" t="s">
        <v>493</v>
      </c>
      <c r="C130" s="10" t="s">
        <v>494</v>
      </c>
      <c r="D130" s="11" t="n">
        <v>0.0027568287037037</v>
      </c>
      <c r="E130" s="18" t="n">
        <f aca="false">ROUND((D130-$D$5)*86400,2)</f>
        <v>13.16</v>
      </c>
      <c r="F130" s="12" t="n">
        <v>306</v>
      </c>
      <c r="G130" s="11" t="n">
        <f aca="false">IF(INDEX(選手一覧!$D$7:$D$2738,$F130)="","",INDEX(選手一覧!$D$7:$D$2738,$F130))</f>
        <v>0.0107209490740741</v>
      </c>
      <c r="H130" s="12" t="n">
        <f aca="false">IF(INDEX(選手一覧!$E$7:$E$2738,$F130)="","",INDEX(選手一覧!$E$7:$E$2738,$F130))</f>
        <v>613</v>
      </c>
      <c r="I130" s="11" t="str">
        <f aca="false">IF(INDEX(選手一覧!$F$7:$F$2738,$F130)="","",INDEX(選手一覧!$F$7:$F$2738,$F130))</f>
        <v/>
      </c>
      <c r="J130" s="12" t="str">
        <f aca="false">IF(INDEX(選手一覧!$G$7:$G$2738,$F130)="","",INDEX(選手一覧!$G$7:$G$2738,$F130))</f>
        <v/>
      </c>
    </row>
    <row r="131" customFormat="false" ht="15" hidden="false" customHeight="false" outlineLevel="0" collapsed="false">
      <c r="A131" s="12" t="n">
        <v>127</v>
      </c>
      <c r="B131" s="10" t="s">
        <v>297</v>
      </c>
      <c r="C131" s="10" t="s">
        <v>298</v>
      </c>
      <c r="D131" s="11" t="n">
        <v>0.0027568287037037</v>
      </c>
      <c r="E131" s="18" t="n">
        <f aca="false">ROUND((D131-$D$5)*86400,2)</f>
        <v>13.16</v>
      </c>
      <c r="F131" s="12" t="n">
        <v>168</v>
      </c>
      <c r="G131" s="11" t="n">
        <f aca="false">IF(INDEX(選手一覧!$D$7:$D$2738,$F131)="","",INDEX(選手一覧!$D$7:$D$2738,$F131))</f>
        <v>0.0101380787037037</v>
      </c>
      <c r="H131" s="12" t="n">
        <f aca="false">IF(INDEX(選手一覧!$E$7:$E$2738,$F131)="","",INDEX(選手一覧!$E$7:$E$2738,$F131))</f>
        <v>68</v>
      </c>
      <c r="I131" s="11" t="str">
        <f aca="false">IF(INDEX(選手一覧!$F$7:$F$2738,$F131)="","",INDEX(選手一覧!$F$7:$F$2738,$F131))</f>
        <v/>
      </c>
      <c r="J131" s="12" t="str">
        <f aca="false">IF(INDEX(選手一覧!$G$7:$G$2738,$F131)="","",INDEX(選手一覧!$G$7:$G$2738,$F131))</f>
        <v/>
      </c>
    </row>
    <row r="132" customFormat="false" ht="15" hidden="false" customHeight="false" outlineLevel="0" collapsed="false">
      <c r="A132" s="12" t="n">
        <v>128</v>
      </c>
      <c r="B132" s="10" t="s">
        <v>306</v>
      </c>
      <c r="C132" s="10" t="s">
        <v>307</v>
      </c>
      <c r="D132" s="11" t="n">
        <v>0.00275729166666667</v>
      </c>
      <c r="E132" s="18" t="n">
        <f aca="false">ROUND((D132-$D$5)*86400,2)</f>
        <v>13.2</v>
      </c>
      <c r="F132" s="12" t="n">
        <v>174</v>
      </c>
      <c r="G132" s="11" t="n">
        <f aca="false">IF(INDEX(選手一覧!$D$7:$D$2738,$F132)="","",INDEX(選手一覧!$D$7:$D$2738,$F132))</f>
        <v>0.0101478009259259</v>
      </c>
      <c r="H132" s="12" t="n">
        <f aca="false">IF(INDEX(選手一覧!$E$7:$E$2738,$F132)="","",INDEX(選手一覧!$E$7:$E$2738,$F132))</f>
        <v>71</v>
      </c>
      <c r="I132" s="11" t="n">
        <f aca="false">IF(INDEX(選手一覧!$F$7:$F$2738,$F132)="","",INDEX(選手一覧!$F$7:$F$2738,$F132))</f>
        <v>0.00698865740740741</v>
      </c>
      <c r="J132" s="12" t="n">
        <f aca="false">IF(INDEX(選手一覧!$G$7:$G$2738,$F132)="","",INDEX(選手一覧!$G$7:$G$2738,$F132))</f>
        <v>323</v>
      </c>
    </row>
    <row r="133" customFormat="false" ht="15" hidden="false" customHeight="false" outlineLevel="0" collapsed="false">
      <c r="A133" s="12" t="n">
        <v>129</v>
      </c>
      <c r="B133" s="10" t="s">
        <v>503</v>
      </c>
      <c r="C133" s="10" t="s">
        <v>134</v>
      </c>
      <c r="D133" s="11" t="n">
        <v>0.00275775462962963</v>
      </c>
      <c r="E133" s="18" t="n">
        <f aca="false">ROUND((D133-$D$5)*86400,2)</f>
        <v>13.24</v>
      </c>
      <c r="F133" s="12" t="n">
        <v>313</v>
      </c>
      <c r="G133" s="11" t="n">
        <f aca="false">IF(INDEX(選手一覧!$D$7:$D$2738,$F133)="","",INDEX(選手一覧!$D$7:$D$2738,$F133))</f>
        <v>0.0105644675925926</v>
      </c>
      <c r="H133" s="12" t="n">
        <f aca="false">IF(INDEX(選手一覧!$E$7:$E$2738,$F133)="","",INDEX(選手一覧!$E$7:$E$2738,$F133))</f>
        <v>417</v>
      </c>
      <c r="I133" s="11" t="str">
        <f aca="false">IF(INDEX(選手一覧!$F$7:$F$2738,$F133)="","",INDEX(選手一覧!$F$7:$F$2738,$F133))</f>
        <v/>
      </c>
      <c r="J133" s="12" t="str">
        <f aca="false">IF(INDEX(選手一覧!$G$7:$G$2738,$F133)="","",INDEX(選手一覧!$G$7:$G$2738,$F133))</f>
        <v/>
      </c>
    </row>
    <row r="134" customFormat="false" ht="15" hidden="false" customHeight="false" outlineLevel="0" collapsed="false">
      <c r="A134" s="12" t="n">
        <v>130</v>
      </c>
      <c r="B134" s="10" t="s">
        <v>137</v>
      </c>
      <c r="C134" s="10" t="s">
        <v>87</v>
      </c>
      <c r="D134" s="11" t="n">
        <v>0.00275833333333333</v>
      </c>
      <c r="E134" s="18" t="n">
        <f aca="false">ROUND((D134-$D$5)*86400,2)</f>
        <v>13.29</v>
      </c>
      <c r="F134" s="12" t="n">
        <v>64</v>
      </c>
      <c r="G134" s="11" t="n">
        <f aca="false">IF(INDEX(選手一覧!$D$7:$D$2738,$F134)="","",INDEX(選手一覧!$D$7:$D$2738,$F134))</f>
        <v>0.0103675925925926</v>
      </c>
      <c r="H134" s="12" t="n">
        <f aca="false">IF(INDEX(選手一覧!$E$7:$E$2738,$F134)="","",INDEX(選手一覧!$E$7:$E$2738,$F134))</f>
        <v>222</v>
      </c>
      <c r="I134" s="11" t="n">
        <f aca="false">IF(INDEX(選手一覧!$F$7:$F$2738,$F134)="","",INDEX(選手一覧!$F$7:$F$2738,$F134))</f>
        <v>0.0064625</v>
      </c>
      <c r="J134" s="12" t="n">
        <f aca="false">IF(INDEX(選手一覧!$G$7:$G$2738,$F134)="","",INDEX(選手一覧!$G$7:$G$2738,$F134))</f>
        <v>26</v>
      </c>
    </row>
    <row r="135" customFormat="false" ht="15" hidden="false" customHeight="false" outlineLevel="0" collapsed="false">
      <c r="A135" s="12" t="n">
        <v>131</v>
      </c>
      <c r="B135" s="10" t="s">
        <v>512</v>
      </c>
      <c r="C135" s="10" t="s">
        <v>513</v>
      </c>
      <c r="D135" s="11" t="n">
        <v>0.00275856481481482</v>
      </c>
      <c r="E135" s="18" t="n">
        <f aca="false">ROUND((D135-$D$5)*86400,2)</f>
        <v>13.31</v>
      </c>
      <c r="F135" s="12" t="n">
        <v>317</v>
      </c>
      <c r="G135" s="11" t="n">
        <f aca="false">IF(INDEX(選手一覧!$D$7:$D$2738,$F135)="","",INDEX(選手一覧!$D$7:$D$2738,$F135))</f>
        <v>0.0110846064814815</v>
      </c>
      <c r="H135" s="12" t="n">
        <f aca="false">IF(INDEX(選手一覧!$E$7:$E$2738,$F135)="","",INDEX(選手一覧!$E$7:$E$2738,$F135))</f>
        <v>1257</v>
      </c>
      <c r="I135" s="11" t="str">
        <f aca="false">IF(INDEX(選手一覧!$F$7:$F$2738,$F135)="","",INDEX(選手一覧!$F$7:$F$2738,$F135))</f>
        <v/>
      </c>
      <c r="J135" s="12" t="str">
        <f aca="false">IF(INDEX(選手一覧!$G$7:$G$2738,$F135)="","",INDEX(選手一覧!$G$7:$G$2738,$F135))</f>
        <v/>
      </c>
    </row>
    <row r="136" customFormat="false" ht="15" hidden="false" customHeight="false" outlineLevel="0" collapsed="false">
      <c r="A136" s="12" t="n">
        <v>132</v>
      </c>
      <c r="B136" s="10" t="s">
        <v>73</v>
      </c>
      <c r="C136" s="10" t="s">
        <v>29</v>
      </c>
      <c r="D136" s="11" t="n">
        <v>0.00275902777777778</v>
      </c>
      <c r="E136" s="18" t="n">
        <f aca="false">ROUND((D136-$D$5)*86400,2)</f>
        <v>13.35</v>
      </c>
      <c r="F136" s="12" t="n">
        <v>29</v>
      </c>
      <c r="G136" s="11" t="n">
        <f aca="false">IF(INDEX(選手一覧!$D$7:$D$2738,$F136)="","",INDEX(選手一覧!$D$7:$D$2738,$F136))</f>
        <v>0.00987071759259259</v>
      </c>
      <c r="H136" s="12" t="n">
        <f aca="false">IF(INDEX(選手一覧!$E$7:$E$2738,$F136)="","",INDEX(選手一覧!$E$7:$E$2738,$F136))</f>
        <v>11</v>
      </c>
      <c r="I136" s="11" t="str">
        <f aca="false">IF(INDEX(選手一覧!$F$7:$F$2738,$F136)="","",INDEX(選手一覧!$F$7:$F$2738,$F136))</f>
        <v/>
      </c>
      <c r="J136" s="12" t="str">
        <f aca="false">IF(INDEX(選手一覧!$G$7:$G$2738,$F136)="","",INDEX(選手一覧!$G$7:$G$2738,$F136))</f>
        <v/>
      </c>
    </row>
    <row r="137" customFormat="false" ht="15" hidden="false" customHeight="false" outlineLevel="0" collapsed="false">
      <c r="A137" s="12" t="n">
        <v>133</v>
      </c>
      <c r="B137" s="10" t="s">
        <v>216</v>
      </c>
      <c r="C137" s="10" t="s">
        <v>27</v>
      </c>
      <c r="D137" s="11" t="n">
        <v>0.00275925925925926</v>
      </c>
      <c r="E137" s="18" t="n">
        <f aca="false">ROUND((D137-$D$5)*86400,2)</f>
        <v>13.37</v>
      </c>
      <c r="F137" s="12" t="n">
        <v>113</v>
      </c>
      <c r="G137" s="11" t="n">
        <f aca="false">IF(INDEX(選手一覧!$D$7:$D$2738,$F137)="","",INDEX(選手一覧!$D$7:$D$2738,$F137))</f>
        <v>0.0100761574074074</v>
      </c>
      <c r="H137" s="12" t="n">
        <f aca="false">IF(INDEX(選手一覧!$E$7:$E$2738,$F137)="","",INDEX(選手一覧!$E$7:$E$2738,$F137))</f>
        <v>43</v>
      </c>
      <c r="I137" s="11" t="str">
        <f aca="false">IF(INDEX(選手一覧!$F$7:$F$2738,$F137)="","",INDEX(選手一覧!$F$7:$F$2738,$F137))</f>
        <v/>
      </c>
      <c r="J137" s="12" t="str">
        <f aca="false">IF(INDEX(選手一覧!$G$7:$G$2738,$F137)="","",INDEX(選手一覧!$G$7:$G$2738,$F137))</f>
        <v/>
      </c>
    </row>
    <row r="138" customFormat="false" ht="15" hidden="false" customHeight="false" outlineLevel="0" collapsed="false">
      <c r="A138" s="12" t="n">
        <v>134</v>
      </c>
      <c r="B138" s="10" t="s">
        <v>520</v>
      </c>
      <c r="C138" s="10" t="s">
        <v>521</v>
      </c>
      <c r="D138" s="11" t="n">
        <v>0.00275949074074074</v>
      </c>
      <c r="E138" s="18" t="n">
        <f aca="false">ROUND((D138-$D$5)*86400,2)</f>
        <v>13.39</v>
      </c>
      <c r="F138" s="12" t="n">
        <v>323</v>
      </c>
      <c r="G138" s="11" t="n">
        <f aca="false">IF(INDEX(選手一覧!$D$7:$D$2738,$F138)="","",INDEX(選手一覧!$D$7:$D$2738,$F138))</f>
        <v>0.0107475694444445</v>
      </c>
      <c r="H138" s="12" t="n">
        <f aca="false">IF(INDEX(選手一覧!$E$7:$E$2738,$F138)="","",INDEX(選手一覧!$E$7:$E$2738,$F138))</f>
        <v>665</v>
      </c>
      <c r="I138" s="11" t="str">
        <f aca="false">IF(INDEX(選手一覧!$F$7:$F$2738,$F138)="","",INDEX(選手一覧!$F$7:$F$2738,$F138))</f>
        <v/>
      </c>
      <c r="J138" s="12" t="str">
        <f aca="false">IF(INDEX(選手一覧!$G$7:$G$2738,$F138)="","",INDEX(選手一覧!$G$7:$G$2738,$F138))</f>
        <v/>
      </c>
    </row>
    <row r="139" customFormat="false" ht="15" hidden="false" customHeight="false" outlineLevel="0" collapsed="false">
      <c r="A139" s="12" t="n">
        <v>135</v>
      </c>
      <c r="B139" s="10" t="s">
        <v>232</v>
      </c>
      <c r="C139" s="10" t="s">
        <v>76</v>
      </c>
      <c r="D139" s="11" t="n">
        <v>0.00275960648148148</v>
      </c>
      <c r="E139" s="18" t="n">
        <f aca="false">ROUND((D139-$D$5)*86400,2)</f>
        <v>13.4</v>
      </c>
      <c r="F139" s="12" t="n">
        <v>124</v>
      </c>
      <c r="G139" s="11" t="n">
        <f aca="false">IF(INDEX(選手一覧!$D$7:$D$2738,$F139)="","",INDEX(選手一覧!$D$7:$D$2738,$F139))</f>
        <v>0.0106239583333333</v>
      </c>
      <c r="H139" s="12" t="n">
        <f aca="false">IF(INDEX(選手一覧!$E$7:$E$2738,$F139)="","",INDEX(選手一覧!$E$7:$E$2738,$F139))</f>
        <v>502</v>
      </c>
      <c r="I139" s="11" t="n">
        <f aca="false">IF(INDEX(選手一覧!$F$7:$F$2738,$F139)="","",INDEX(選手一覧!$F$7:$F$2738,$F139))</f>
        <v>0.00656226851851852</v>
      </c>
      <c r="J139" s="12" t="n">
        <f aca="false">IF(INDEX(選手一覧!$G$7:$G$2738,$F139)="","",INDEX(選手一覧!$G$7:$G$2738,$F139))</f>
        <v>48</v>
      </c>
    </row>
    <row r="140" customFormat="false" ht="15" hidden="false" customHeight="false" outlineLevel="0" collapsed="false">
      <c r="A140" s="12" t="n">
        <v>136</v>
      </c>
      <c r="B140" s="10" t="s">
        <v>528</v>
      </c>
      <c r="C140" s="10" t="s">
        <v>529</v>
      </c>
      <c r="D140" s="11" t="n">
        <v>0.00276030092592593</v>
      </c>
      <c r="E140" s="18" t="n">
        <f aca="false">ROUND((D140-$D$5)*86400,2)</f>
        <v>13.46</v>
      </c>
      <c r="F140" s="12" t="n">
        <v>329</v>
      </c>
      <c r="G140" s="11" t="str">
        <f aca="false">IF(INDEX(選手一覧!$D$7:$D$2738,$F140)="","",INDEX(選手一覧!$D$7:$D$2738,$F140))</f>
        <v/>
      </c>
      <c r="H140" s="12" t="str">
        <f aca="false">IF(INDEX(選手一覧!$E$7:$E$2738,$F140)="","",INDEX(選手一覧!$E$7:$E$2738,$F140))</f>
        <v/>
      </c>
      <c r="I140" s="11" t="str">
        <f aca="false">IF(INDEX(選手一覧!$F$7:$F$2738,$F140)="","",INDEX(選手一覧!$F$7:$F$2738,$F140))</f>
        <v/>
      </c>
      <c r="J140" s="12" t="str">
        <f aca="false">IF(INDEX(選手一覧!$G$7:$G$2738,$F140)="","",INDEX(選手一覧!$G$7:$G$2738,$F140))</f>
        <v/>
      </c>
    </row>
    <row r="141" customFormat="false" ht="15" hidden="false" customHeight="false" outlineLevel="0" collapsed="false">
      <c r="A141" s="12" t="n">
        <v>137</v>
      </c>
      <c r="B141" s="10" t="s">
        <v>461</v>
      </c>
      <c r="C141" s="10" t="s">
        <v>462</v>
      </c>
      <c r="D141" s="11" t="n">
        <v>0.00276053240740741</v>
      </c>
      <c r="E141" s="18" t="n">
        <f aca="false">ROUND((D141-$D$5)*86400,2)</f>
        <v>13.48</v>
      </c>
      <c r="F141" s="12" t="n">
        <v>286</v>
      </c>
      <c r="G141" s="11" t="n">
        <f aca="false">IF(INDEX(選手一覧!$D$7:$D$2738,$F141)="","",INDEX(選手一覧!$D$7:$D$2738,$F141))</f>
        <v>0.0102384259259259</v>
      </c>
      <c r="H141" s="12" t="n">
        <f aca="false">IF(INDEX(選手一覧!$E$7:$E$2738,$F141)="","",INDEX(選手一覧!$E$7:$E$2738,$F141))</f>
        <v>118</v>
      </c>
      <c r="I141" s="11" t="str">
        <f aca="false">IF(INDEX(選手一覧!$F$7:$F$2738,$F141)="","",INDEX(選手一覧!$F$7:$F$2738,$F141))</f>
        <v/>
      </c>
      <c r="J141" s="12" t="str">
        <f aca="false">IF(INDEX(選手一覧!$G$7:$G$2738,$F141)="","",INDEX(選手一覧!$G$7:$G$2738,$F141))</f>
        <v/>
      </c>
    </row>
    <row r="142" customFormat="false" ht="15" hidden="false" customHeight="false" outlineLevel="0" collapsed="false">
      <c r="A142" s="12" t="n">
        <v>138</v>
      </c>
      <c r="B142" s="10" t="s">
        <v>533</v>
      </c>
      <c r="C142" s="10" t="s">
        <v>534</v>
      </c>
      <c r="D142" s="11" t="n">
        <v>0.00276064814814815</v>
      </c>
      <c r="E142" s="18" t="n">
        <f aca="false">ROUND((D142-$D$5)*86400,2)</f>
        <v>13.49</v>
      </c>
      <c r="F142" s="12" t="n">
        <v>333</v>
      </c>
      <c r="G142" s="11" t="n">
        <f aca="false">IF(INDEX(選手一覧!$D$7:$D$2738,$F142)="","",INDEX(選手一覧!$D$7:$D$2738,$F142))</f>
        <v>0.0104116898148148</v>
      </c>
      <c r="H142" s="12" t="n">
        <f aca="false">IF(INDEX(選手一覧!$E$7:$E$2738,$F142)="","",INDEX(選手一覧!$E$7:$E$2738,$F142))</f>
        <v>278</v>
      </c>
      <c r="I142" s="11" t="str">
        <f aca="false">IF(INDEX(選手一覧!$F$7:$F$2738,$F142)="","",INDEX(選手一覧!$F$7:$F$2738,$F142))</f>
        <v/>
      </c>
      <c r="J142" s="12" t="str">
        <f aca="false">IF(INDEX(選手一覧!$G$7:$G$2738,$F142)="","",INDEX(選手一覧!$G$7:$G$2738,$F142))</f>
        <v/>
      </c>
    </row>
    <row r="143" customFormat="false" ht="15" hidden="false" customHeight="false" outlineLevel="0" collapsed="false">
      <c r="A143" s="12" t="n">
        <v>139</v>
      </c>
      <c r="B143" s="10" t="s">
        <v>233</v>
      </c>
      <c r="C143" s="10" t="s">
        <v>234</v>
      </c>
      <c r="D143" s="11" t="n">
        <v>0.00276203703703704</v>
      </c>
      <c r="E143" s="18" t="n">
        <f aca="false">ROUND((D143-$D$5)*86400,2)</f>
        <v>13.61</v>
      </c>
      <c r="F143" s="12" t="n">
        <v>125</v>
      </c>
      <c r="G143" s="11" t="n">
        <f aca="false">IF(INDEX(選手一覧!$D$7:$D$2738,$F143)="","",INDEX(選手一覧!$D$7:$D$2738,$F143))</f>
        <v>0.0100947916666667</v>
      </c>
      <c r="H143" s="12" t="n">
        <f aca="false">IF(INDEX(選手一覧!$E$7:$E$2738,$F143)="","",INDEX(選手一覧!$E$7:$E$2738,$F143))</f>
        <v>48</v>
      </c>
      <c r="I143" s="11" t="str">
        <f aca="false">IF(INDEX(選手一覧!$F$7:$F$2738,$F143)="","",INDEX(選手一覧!$F$7:$F$2738,$F143))</f>
        <v/>
      </c>
      <c r="J143" s="12" t="str">
        <f aca="false">IF(INDEX(選手一覧!$G$7:$G$2738,$F143)="","",INDEX(選手一覧!$G$7:$G$2738,$F143))</f>
        <v/>
      </c>
    </row>
    <row r="144" customFormat="false" ht="15" hidden="false" customHeight="false" outlineLevel="0" collapsed="false">
      <c r="A144" s="12" t="n">
        <v>140</v>
      </c>
      <c r="B144" s="10" t="s">
        <v>357</v>
      </c>
      <c r="C144" s="10" t="s">
        <v>358</v>
      </c>
      <c r="D144" s="11" t="n">
        <v>0.00276203703703704</v>
      </c>
      <c r="E144" s="18" t="n">
        <f aca="false">ROUND((D144-$D$5)*86400,2)</f>
        <v>13.61</v>
      </c>
      <c r="F144" s="12" t="n">
        <v>211</v>
      </c>
      <c r="G144" s="11" t="n">
        <f aca="false">IF(INDEX(選手一覧!$D$7:$D$2738,$F144)="","",INDEX(選手一覧!$D$7:$D$2738,$F144))</f>
        <v>0.0101858796296296</v>
      </c>
      <c r="H144" s="12" t="n">
        <f aca="false">IF(INDEX(選手一覧!$E$7:$E$2738,$F144)="","",INDEX(選手一覧!$E$7:$E$2738,$F144))</f>
        <v>87</v>
      </c>
      <c r="I144" s="11" t="str">
        <f aca="false">IF(INDEX(選手一覧!$F$7:$F$2738,$F144)="","",INDEX(選手一覧!$F$7:$F$2738,$F144))</f>
        <v/>
      </c>
      <c r="J144" s="12" t="str">
        <f aca="false">IF(INDEX(選手一覧!$G$7:$G$2738,$F144)="","",INDEX(選手一覧!$G$7:$G$2738,$F144))</f>
        <v/>
      </c>
    </row>
    <row r="145" customFormat="false" ht="15" hidden="false" customHeight="false" outlineLevel="0" collapsed="false">
      <c r="A145" s="12" t="n">
        <v>141</v>
      </c>
      <c r="B145" s="10" t="s">
        <v>542</v>
      </c>
      <c r="C145" s="10" t="s">
        <v>4023</v>
      </c>
      <c r="D145" s="11" t="n">
        <v>0.00276284722222222</v>
      </c>
      <c r="E145" s="18" t="n">
        <f aca="false">ROUND((D145-$D$5)*86400,2)</f>
        <v>13.68</v>
      </c>
      <c r="F145" s="12" t="n">
        <v>339</v>
      </c>
      <c r="G145" s="11" t="n">
        <f aca="false">IF(INDEX(選手一覧!$D$7:$D$2738,$F145)="","",INDEX(選手一覧!$D$7:$D$2738,$F145))</f>
        <v>0.0106296296296296</v>
      </c>
      <c r="H145" s="12" t="n">
        <f aca="false">IF(INDEX(選手一覧!$E$7:$E$2738,$F145)="","",INDEX(選手一覧!$E$7:$E$2738,$F145))</f>
        <v>504</v>
      </c>
      <c r="I145" s="11" t="str">
        <f aca="false">IF(INDEX(選手一覧!$F$7:$F$2738,$F145)="","",INDEX(選手一覧!$F$7:$F$2738,$F145))</f>
        <v/>
      </c>
      <c r="J145" s="12" t="str">
        <f aca="false">IF(INDEX(選手一覧!$G$7:$G$2738,$F145)="","",INDEX(選手一覧!$G$7:$G$2738,$F145))</f>
        <v/>
      </c>
    </row>
    <row r="146" customFormat="false" ht="15" hidden="false" customHeight="false" outlineLevel="0" collapsed="false">
      <c r="A146" s="12" t="n">
        <v>142</v>
      </c>
      <c r="B146" s="10" t="s">
        <v>74</v>
      </c>
      <c r="C146" s="10" t="s">
        <v>55</v>
      </c>
      <c r="D146" s="11" t="n">
        <v>0.0027630787037037</v>
      </c>
      <c r="E146" s="18" t="n">
        <f aca="false">ROUND((D146-$D$5)*86400,2)</f>
        <v>13.7</v>
      </c>
      <c r="F146" s="12" t="n">
        <v>30</v>
      </c>
      <c r="G146" s="11" t="n">
        <f aca="false">IF(INDEX(選手一覧!$D$7:$D$2738,$F146)="","",INDEX(選手一覧!$D$7:$D$2738,$F146))</f>
        <v>0.0102784722222222</v>
      </c>
      <c r="H146" s="12" t="n">
        <f aca="false">IF(INDEX(選手一覧!$E$7:$E$2738,$F146)="","",INDEX(選手一覧!$E$7:$E$2738,$F146))</f>
        <v>147</v>
      </c>
      <c r="I146" s="11" t="n">
        <f aca="false">IF(INDEX(選手一覧!$F$7:$F$2738,$F146)="","",INDEX(選手一覧!$F$7:$F$2738,$F146))</f>
        <v>0.00638402777777778</v>
      </c>
      <c r="J146" s="12" t="n">
        <f aca="false">IF(INDEX(選手一覧!$G$7:$G$2738,$F146)="","",INDEX(選手一覧!$G$7:$G$2738,$F146))</f>
        <v>12</v>
      </c>
    </row>
    <row r="147" customFormat="false" ht="15" hidden="false" customHeight="false" outlineLevel="0" collapsed="false">
      <c r="A147" s="12" t="n">
        <v>143</v>
      </c>
      <c r="B147" s="10" t="s">
        <v>548</v>
      </c>
      <c r="C147" s="10" t="s">
        <v>549</v>
      </c>
      <c r="D147" s="11" t="n">
        <v>0.00276319444444444</v>
      </c>
      <c r="E147" s="18" t="n">
        <f aca="false">ROUND((D147-$D$5)*86400,2)</f>
        <v>13.71</v>
      </c>
      <c r="F147" s="12" t="n">
        <v>342</v>
      </c>
      <c r="G147" s="11" t="n">
        <f aca="false">IF(INDEX(選手一覧!$D$7:$D$2738,$F147)="","",INDEX(選手一覧!$D$7:$D$2738,$F147))</f>
        <v>0.0103766203703704</v>
      </c>
      <c r="H147" s="12" t="n">
        <f aca="false">IF(INDEX(選手一覧!$E$7:$E$2738,$F147)="","",INDEX(選手一覧!$E$7:$E$2738,$F147))</f>
        <v>237</v>
      </c>
      <c r="I147" s="11" t="str">
        <f aca="false">IF(INDEX(選手一覧!$F$7:$F$2738,$F147)="","",INDEX(選手一覧!$F$7:$F$2738,$F147))</f>
        <v/>
      </c>
      <c r="J147" s="12" t="str">
        <f aca="false">IF(INDEX(選手一覧!$G$7:$G$2738,$F147)="","",INDEX(選手一覧!$G$7:$G$2738,$F147))</f>
        <v/>
      </c>
    </row>
    <row r="148" customFormat="false" ht="15" hidden="false" customHeight="false" outlineLevel="0" collapsed="false">
      <c r="A148" s="12" t="n">
        <v>144</v>
      </c>
      <c r="B148" s="10" t="s">
        <v>553</v>
      </c>
      <c r="C148" s="10" t="s">
        <v>83</v>
      </c>
      <c r="D148" s="11" t="n">
        <v>0.00276331018518519</v>
      </c>
      <c r="E148" s="18" t="n">
        <f aca="false">ROUND((D148-$D$5)*86400,2)</f>
        <v>13.72</v>
      </c>
      <c r="F148" s="12" t="n">
        <v>345</v>
      </c>
      <c r="G148" s="11" t="n">
        <f aca="false">IF(INDEX(選手一覧!$D$7:$D$2738,$F148)="","",INDEX(選手一覧!$D$7:$D$2738,$F148))</f>
        <v>0.0104083333333333</v>
      </c>
      <c r="H148" s="12" t="n">
        <f aca="false">IF(INDEX(選手一覧!$E$7:$E$2738,$F148)="","",INDEX(選手一覧!$E$7:$E$2738,$F148))</f>
        <v>272</v>
      </c>
      <c r="I148" s="11" t="str">
        <f aca="false">IF(INDEX(選手一覧!$F$7:$F$2738,$F148)="","",INDEX(選手一覧!$F$7:$F$2738,$F148))</f>
        <v/>
      </c>
      <c r="J148" s="12" t="str">
        <f aca="false">IF(INDEX(選手一覧!$G$7:$G$2738,$F148)="","",INDEX(選手一覧!$G$7:$G$2738,$F148))</f>
        <v/>
      </c>
    </row>
    <row r="149" customFormat="false" ht="15" hidden="false" customHeight="false" outlineLevel="0" collapsed="false">
      <c r="A149" s="12" t="n">
        <v>145</v>
      </c>
      <c r="B149" s="10" t="s">
        <v>554</v>
      </c>
      <c r="C149" s="10" t="s">
        <v>4024</v>
      </c>
      <c r="D149" s="11" t="n">
        <v>0.00276412037037037</v>
      </c>
      <c r="E149" s="18" t="n">
        <f aca="false">ROUND((D149-$D$5)*86400,2)</f>
        <v>13.79</v>
      </c>
      <c r="F149" s="12" t="n">
        <v>346</v>
      </c>
      <c r="G149" s="11" t="str">
        <f aca="false">IF(INDEX(選手一覧!$D$7:$D$2738,$F149)="","",INDEX(選手一覧!$D$7:$D$2738,$F149))</f>
        <v/>
      </c>
      <c r="H149" s="12" t="str">
        <f aca="false">IF(INDEX(選手一覧!$E$7:$E$2738,$F149)="","",INDEX(選手一覧!$E$7:$E$2738,$F149))</f>
        <v/>
      </c>
      <c r="I149" s="11" t="n">
        <f aca="false">IF(INDEX(選手一覧!$F$7:$F$2738,$F149)="","",INDEX(選手一覧!$F$7:$F$2738,$F149))</f>
        <v>0.00771712962962963</v>
      </c>
      <c r="J149" s="12" t="n">
        <f aca="false">IF(INDEX(選手一覧!$G$7:$G$2738,$F149)="","",INDEX(選手一覧!$G$7:$G$2738,$F149))</f>
        <v>1084</v>
      </c>
    </row>
    <row r="150" customFormat="false" ht="15" hidden="false" customHeight="false" outlineLevel="0" collapsed="false">
      <c r="A150" s="12" t="n">
        <v>146</v>
      </c>
      <c r="B150" s="10" t="s">
        <v>559</v>
      </c>
      <c r="C150" s="10" t="s">
        <v>175</v>
      </c>
      <c r="D150" s="11" t="n">
        <v>0.00276446759259259</v>
      </c>
      <c r="E150" s="18" t="n">
        <f aca="false">ROUND((D150-$D$5)*86400,2)</f>
        <v>13.82</v>
      </c>
      <c r="F150" s="12" t="n">
        <v>349</v>
      </c>
      <c r="G150" s="11" t="n">
        <f aca="false">IF(INDEX(選手一覧!$D$7:$D$2738,$F150)="","",INDEX(選手一覧!$D$7:$D$2738,$F150))</f>
        <v>0.0104099537037037</v>
      </c>
      <c r="H150" s="12" t="n">
        <f aca="false">IF(INDEX(選手一覧!$E$7:$E$2738,$F150)="","",INDEX(選手一覧!$E$7:$E$2738,$F150))</f>
        <v>275</v>
      </c>
      <c r="I150" s="11" t="str">
        <f aca="false">IF(INDEX(選手一覧!$F$7:$F$2738,$F150)="","",INDEX(選手一覧!$F$7:$F$2738,$F150))</f>
        <v/>
      </c>
      <c r="J150" s="12" t="str">
        <f aca="false">IF(INDEX(選手一覧!$G$7:$G$2738,$F150)="","",INDEX(選手一覧!$G$7:$G$2738,$F150))</f>
        <v/>
      </c>
    </row>
    <row r="151" customFormat="false" ht="15" hidden="false" customHeight="false" outlineLevel="0" collapsed="false">
      <c r="A151" s="12" t="n">
        <v>147</v>
      </c>
      <c r="B151" s="10" t="s">
        <v>560</v>
      </c>
      <c r="C151" s="10" t="s">
        <v>49</v>
      </c>
      <c r="D151" s="11" t="n">
        <v>0.00276469907407407</v>
      </c>
      <c r="E151" s="18" t="n">
        <f aca="false">ROUND((D151-$D$5)*86400,2)</f>
        <v>13.84</v>
      </c>
      <c r="F151" s="12" t="n">
        <v>350</v>
      </c>
      <c r="G151" s="11" t="n">
        <f aca="false">IF(INDEX(選手一覧!$D$7:$D$2738,$F151)="","",INDEX(選手一覧!$D$7:$D$2738,$F151))</f>
        <v>0.0103599537037037</v>
      </c>
      <c r="H151" s="12" t="n">
        <f aca="false">IF(INDEX(選手一覧!$E$7:$E$2738,$F151)="","",INDEX(選手一覧!$E$7:$E$2738,$F151))</f>
        <v>217</v>
      </c>
      <c r="I151" s="11" t="str">
        <f aca="false">IF(INDEX(選手一覧!$F$7:$F$2738,$F151)="","",INDEX(選手一覧!$F$7:$F$2738,$F151))</f>
        <v/>
      </c>
      <c r="J151" s="12" t="str">
        <f aca="false">IF(INDEX(選手一覧!$G$7:$G$2738,$F151)="","",INDEX(選手一覧!$G$7:$G$2738,$F151))</f>
        <v/>
      </c>
    </row>
    <row r="152" customFormat="false" ht="15" hidden="false" customHeight="false" outlineLevel="0" collapsed="false">
      <c r="A152" s="12" t="n">
        <v>148</v>
      </c>
      <c r="B152" s="10" t="s">
        <v>562</v>
      </c>
      <c r="C152" s="10" t="s">
        <v>53</v>
      </c>
      <c r="D152" s="11" t="n">
        <v>0.00276481481481482</v>
      </c>
      <c r="E152" s="18" t="n">
        <f aca="false">ROUND((D152-$D$5)*86400,2)</f>
        <v>13.85</v>
      </c>
      <c r="F152" s="12" t="n">
        <v>352</v>
      </c>
      <c r="G152" s="11" t="n">
        <f aca="false">IF(INDEX(選手一覧!$D$7:$D$2738,$F152)="","",INDEX(選手一覧!$D$7:$D$2738,$F152))</f>
        <v>0.0107357638888889</v>
      </c>
      <c r="H152" s="12" t="n">
        <f aca="false">IF(INDEX(選手一覧!$E$7:$E$2738,$F152)="","",INDEX(選手一覧!$E$7:$E$2738,$F152))</f>
        <v>643</v>
      </c>
      <c r="I152" s="11" t="str">
        <f aca="false">IF(INDEX(選手一覧!$F$7:$F$2738,$F152)="","",INDEX(選手一覧!$F$7:$F$2738,$F152))</f>
        <v/>
      </c>
      <c r="J152" s="12" t="str">
        <f aca="false">IF(INDEX(選手一覧!$G$7:$G$2738,$F152)="","",INDEX(選手一覧!$G$7:$G$2738,$F152))</f>
        <v/>
      </c>
    </row>
    <row r="153" customFormat="false" ht="15" hidden="false" customHeight="false" outlineLevel="0" collapsed="false">
      <c r="A153" s="12" t="n">
        <v>149</v>
      </c>
      <c r="B153" s="10" t="s">
        <v>423</v>
      </c>
      <c r="C153" s="10" t="s">
        <v>91</v>
      </c>
      <c r="D153" s="11" t="n">
        <v>0.00276481481481482</v>
      </c>
      <c r="E153" s="18" t="n">
        <f aca="false">ROUND((D153-$D$5)*86400,2)</f>
        <v>13.85</v>
      </c>
      <c r="F153" s="12" t="n">
        <v>257</v>
      </c>
      <c r="G153" s="11" t="n">
        <f aca="false">IF(INDEX(選手一覧!$D$7:$D$2738,$F153)="","",INDEX(選手一覧!$D$7:$D$2738,$F153))</f>
        <v>0.0103505787037037</v>
      </c>
      <c r="H153" s="12" t="n">
        <f aca="false">IF(INDEX(選手一覧!$E$7:$E$2738,$F153)="","",INDEX(選手一覧!$E$7:$E$2738,$F153))</f>
        <v>203</v>
      </c>
      <c r="I153" s="11" t="n">
        <f aca="false">IF(INDEX(選手一覧!$F$7:$F$2738,$F153)="","",INDEX(選手一覧!$F$7:$F$2738,$F153))</f>
        <v>0.00669953703703704</v>
      </c>
      <c r="J153" s="12" t="n">
        <f aca="false">IF(INDEX(選手一覧!$G$7:$G$2738,$F153)="","",INDEX(選手一覧!$G$7:$G$2738,$F153))</f>
        <v>107</v>
      </c>
    </row>
    <row r="154" customFormat="false" ht="15" hidden="false" customHeight="false" outlineLevel="0" collapsed="false">
      <c r="A154" s="12" t="n">
        <v>150</v>
      </c>
      <c r="B154" s="10" t="s">
        <v>571</v>
      </c>
      <c r="C154" s="10" t="s">
        <v>312</v>
      </c>
      <c r="D154" s="11" t="n">
        <v>0.00276516203703704</v>
      </c>
      <c r="E154" s="18" t="n">
        <f aca="false">ROUND((D154-$D$5)*86400,2)</f>
        <v>13.88</v>
      </c>
      <c r="F154" s="12" t="n">
        <v>358</v>
      </c>
      <c r="G154" s="11" t="n">
        <f aca="false">IF(INDEX(選手一覧!$D$7:$D$2738,$F154)="","",INDEX(選手一覧!$D$7:$D$2738,$F154))</f>
        <v>0.0107869212962963</v>
      </c>
      <c r="H154" s="12" t="n">
        <f aca="false">IF(INDEX(選手一覧!$E$7:$E$2738,$F154)="","",INDEX(選手一覧!$E$7:$E$2738,$F154))</f>
        <v>714</v>
      </c>
      <c r="I154" s="11" t="str">
        <f aca="false">IF(INDEX(選手一覧!$F$7:$F$2738,$F154)="","",INDEX(選手一覧!$F$7:$F$2738,$F154))</f>
        <v/>
      </c>
      <c r="J154" s="12" t="str">
        <f aca="false">IF(INDEX(選手一覧!$G$7:$G$2738,$F154)="","",INDEX(選手一覧!$G$7:$G$2738,$F154))</f>
        <v/>
      </c>
    </row>
    <row r="155" customFormat="false" ht="15" hidden="false" customHeight="false" outlineLevel="0" collapsed="false">
      <c r="A155" s="12" t="n">
        <v>151</v>
      </c>
      <c r="B155" s="10" t="s">
        <v>573</v>
      </c>
      <c r="C155" s="10" t="s">
        <v>112</v>
      </c>
      <c r="D155" s="11" t="n">
        <v>0.00276585648148148</v>
      </c>
      <c r="E155" s="18" t="n">
        <f aca="false">ROUND((D155-$D$5)*86400,2)</f>
        <v>13.94</v>
      </c>
      <c r="F155" s="12" t="n">
        <v>360</v>
      </c>
      <c r="G155" s="11" t="n">
        <f aca="false">IF(INDEX(選手一覧!$D$7:$D$2738,$F155)="","",INDEX(選手一覧!$D$7:$D$2738,$F155))</f>
        <v>0.01070625</v>
      </c>
      <c r="H155" s="12" t="n">
        <f aca="false">IF(INDEX(選手一覧!$E$7:$E$2738,$F155)="","",INDEX(選手一覧!$E$7:$E$2738,$F155))</f>
        <v>590</v>
      </c>
      <c r="I155" s="11" t="str">
        <f aca="false">IF(INDEX(選手一覧!$F$7:$F$2738,$F155)="","",INDEX(選手一覧!$F$7:$F$2738,$F155))</f>
        <v/>
      </c>
      <c r="J155" s="12" t="str">
        <f aca="false">IF(INDEX(選手一覧!$G$7:$G$2738,$F155)="","",INDEX(選手一覧!$G$7:$G$2738,$F155))</f>
        <v/>
      </c>
    </row>
    <row r="156" customFormat="false" ht="15" hidden="false" customHeight="false" outlineLevel="0" collapsed="false">
      <c r="A156" s="12" t="n">
        <v>152</v>
      </c>
      <c r="B156" s="10" t="s">
        <v>501</v>
      </c>
      <c r="C156" s="10" t="s">
        <v>502</v>
      </c>
      <c r="D156" s="11" t="n">
        <v>0.00276655092592593</v>
      </c>
      <c r="E156" s="18" t="n">
        <f aca="false">ROUND((D156-$D$5)*86400,2)</f>
        <v>14</v>
      </c>
      <c r="F156" s="12" t="n">
        <v>312</v>
      </c>
      <c r="G156" s="11" t="n">
        <f aca="false">IF(INDEX(選手一覧!$D$7:$D$2738,$F156)="","",INDEX(選手一覧!$D$7:$D$2738,$F156))</f>
        <v>0.0102574074074074</v>
      </c>
      <c r="H156" s="12" t="n">
        <f aca="false">IF(INDEX(選手一覧!$E$7:$E$2738,$F156)="","",INDEX(選手一覧!$E$7:$E$2738,$F156))</f>
        <v>129</v>
      </c>
      <c r="I156" s="11" t="str">
        <f aca="false">IF(INDEX(選手一覧!$F$7:$F$2738,$F156)="","",INDEX(選手一覧!$F$7:$F$2738,$F156))</f>
        <v/>
      </c>
      <c r="J156" s="12" t="str">
        <f aca="false">IF(INDEX(選手一覧!$G$7:$G$2738,$F156)="","",INDEX(選手一覧!$G$7:$G$2738,$F156))</f>
        <v/>
      </c>
    </row>
    <row r="157" customFormat="false" ht="15" hidden="false" customHeight="false" outlineLevel="0" collapsed="false">
      <c r="A157" s="12" t="n">
        <v>153</v>
      </c>
      <c r="B157" s="10" t="s">
        <v>207</v>
      </c>
      <c r="C157" s="10" t="s">
        <v>208</v>
      </c>
      <c r="D157" s="11" t="n">
        <v>0.00276655092592593</v>
      </c>
      <c r="E157" s="18" t="n">
        <f aca="false">ROUND((D157-$D$5)*86400,2)</f>
        <v>14</v>
      </c>
      <c r="F157" s="12" t="n">
        <v>108</v>
      </c>
      <c r="G157" s="11" t="n">
        <f aca="false">IF(INDEX(選手一覧!$D$7:$D$2738,$F157)="","",INDEX(選手一覧!$D$7:$D$2738,$F157))</f>
        <v>0.0100755787037037</v>
      </c>
      <c r="H157" s="12" t="n">
        <f aca="false">IF(INDEX(選手一覧!$E$7:$E$2738,$F157)="","",INDEX(選手一覧!$E$7:$E$2738,$F157))</f>
        <v>41</v>
      </c>
      <c r="I157" s="11" t="str">
        <f aca="false">IF(INDEX(選手一覧!$F$7:$F$2738,$F157)="","",INDEX(選手一覧!$F$7:$F$2738,$F157))</f>
        <v/>
      </c>
      <c r="J157" s="12" t="str">
        <f aca="false">IF(INDEX(選手一覧!$G$7:$G$2738,$F157)="","",INDEX(選手一覧!$G$7:$G$2738,$F157))</f>
        <v/>
      </c>
    </row>
    <row r="158" customFormat="false" ht="15" hidden="false" customHeight="false" outlineLevel="0" collapsed="false">
      <c r="A158" s="12" t="n">
        <v>154</v>
      </c>
      <c r="B158" s="10" t="s">
        <v>579</v>
      </c>
      <c r="C158" s="10" t="s">
        <v>25</v>
      </c>
      <c r="D158" s="11" t="n">
        <v>0.00276666666666667</v>
      </c>
      <c r="E158" s="18" t="n">
        <f aca="false">ROUND((D158-$D$5)*86400,2)</f>
        <v>14.01</v>
      </c>
      <c r="F158" s="12" t="n">
        <v>365</v>
      </c>
      <c r="G158" s="11" t="n">
        <f aca="false">IF(INDEX(選手一覧!$D$7:$D$2738,$F158)="","",INDEX(選手一覧!$D$7:$D$2738,$F158))</f>
        <v>0.0105172453703704</v>
      </c>
      <c r="H158" s="12" t="n">
        <f aca="false">IF(INDEX(選手一覧!$E$7:$E$2738,$F158)="","",INDEX(選手一覧!$E$7:$E$2738,$F158))</f>
        <v>362</v>
      </c>
      <c r="I158" s="11" t="str">
        <f aca="false">IF(INDEX(選手一覧!$F$7:$F$2738,$F158)="","",INDEX(選手一覧!$F$7:$F$2738,$F158))</f>
        <v/>
      </c>
      <c r="J158" s="12" t="str">
        <f aca="false">IF(INDEX(選手一覧!$G$7:$G$2738,$F158)="","",INDEX(選手一覧!$G$7:$G$2738,$F158))</f>
        <v/>
      </c>
    </row>
    <row r="159" customFormat="false" ht="15" hidden="false" customHeight="false" outlineLevel="0" collapsed="false">
      <c r="A159" s="12" t="n">
        <v>155</v>
      </c>
      <c r="B159" s="10" t="s">
        <v>582</v>
      </c>
      <c r="C159" s="10" t="s">
        <v>534</v>
      </c>
      <c r="D159" s="11" t="n">
        <v>0.00276678240740741</v>
      </c>
      <c r="E159" s="18" t="n">
        <f aca="false">ROUND((D159-$D$5)*86400,2)</f>
        <v>14.02</v>
      </c>
      <c r="F159" s="12" t="n">
        <v>367</v>
      </c>
      <c r="G159" s="11" t="n">
        <f aca="false">IF(INDEX(選手一覧!$D$7:$D$2738,$F159)="","",INDEX(選手一覧!$D$7:$D$2738,$F159))</f>
        <v>0.0107707175925926</v>
      </c>
      <c r="H159" s="12" t="n">
        <f aca="false">IF(INDEX(選手一覧!$E$7:$E$2738,$F159)="","",INDEX(選手一覧!$E$7:$E$2738,$F159))</f>
        <v>697</v>
      </c>
      <c r="I159" s="11" t="str">
        <f aca="false">IF(INDEX(選手一覧!$F$7:$F$2738,$F159)="","",INDEX(選手一覧!$F$7:$F$2738,$F159))</f>
        <v/>
      </c>
      <c r="J159" s="12" t="str">
        <f aca="false">IF(INDEX(選手一覧!$G$7:$G$2738,$F159)="","",INDEX(選手一覧!$G$7:$G$2738,$F159))</f>
        <v/>
      </c>
    </row>
    <row r="160" customFormat="false" ht="15" hidden="false" customHeight="false" outlineLevel="0" collapsed="false">
      <c r="A160" s="12" t="n">
        <v>156</v>
      </c>
      <c r="B160" s="10" t="s">
        <v>584</v>
      </c>
      <c r="C160" s="10" t="s">
        <v>585</v>
      </c>
      <c r="D160" s="11" t="n">
        <v>0.00276736111111111</v>
      </c>
      <c r="E160" s="18" t="n">
        <f aca="false">ROUND((D160-$D$5)*86400,2)</f>
        <v>14.07</v>
      </c>
      <c r="F160" s="12" t="n">
        <v>369</v>
      </c>
      <c r="G160" s="11" t="n">
        <f aca="false">IF(INDEX(選手一覧!$D$7:$D$2738,$F160)="","",INDEX(選手一覧!$D$7:$D$2738,$F160))</f>
        <v>0.0104265046296296</v>
      </c>
      <c r="H160" s="12" t="n">
        <f aca="false">IF(INDEX(選手一覧!$E$7:$E$2738,$F160)="","",INDEX(選手一覧!$E$7:$E$2738,$F160))</f>
        <v>292</v>
      </c>
      <c r="I160" s="11" t="str">
        <f aca="false">IF(INDEX(選手一覧!$F$7:$F$2738,$F160)="","",INDEX(選手一覧!$F$7:$F$2738,$F160))</f>
        <v/>
      </c>
      <c r="J160" s="12" t="str">
        <f aca="false">IF(INDEX(選手一覧!$G$7:$G$2738,$F160)="","",INDEX(選手一覧!$G$7:$G$2738,$F160))</f>
        <v/>
      </c>
    </row>
    <row r="161" customFormat="false" ht="15" hidden="false" customHeight="false" outlineLevel="0" collapsed="false">
      <c r="A161" s="12" t="n">
        <v>157</v>
      </c>
      <c r="B161" s="10" t="s">
        <v>589</v>
      </c>
      <c r="C161" s="10" t="s">
        <v>590</v>
      </c>
      <c r="D161" s="11" t="n">
        <v>0.00276805555555556</v>
      </c>
      <c r="E161" s="18" t="n">
        <f aca="false">ROUND((D161-$D$5)*86400,2)</f>
        <v>14.13</v>
      </c>
      <c r="F161" s="12" t="n">
        <v>372</v>
      </c>
      <c r="G161" s="11" t="str">
        <f aca="false">IF(INDEX(選手一覧!$D$7:$D$2738,$F161)="","",INDEX(選手一覧!$D$7:$D$2738,$F161))</f>
        <v/>
      </c>
      <c r="H161" s="12" t="str">
        <f aca="false">IF(INDEX(選手一覧!$E$7:$E$2738,$F161)="","",INDEX(選手一覧!$E$7:$E$2738,$F161))</f>
        <v/>
      </c>
      <c r="I161" s="11" t="str">
        <f aca="false">IF(INDEX(選手一覧!$F$7:$F$2738,$F161)="","",INDEX(選手一覧!$F$7:$F$2738,$F161))</f>
        <v/>
      </c>
      <c r="J161" s="12" t="str">
        <f aca="false">IF(INDEX(選手一覧!$G$7:$G$2738,$F161)="","",INDEX(選手一覧!$G$7:$G$2738,$F161))</f>
        <v/>
      </c>
    </row>
    <row r="162" customFormat="false" ht="15" hidden="false" customHeight="false" outlineLevel="0" collapsed="false">
      <c r="A162" s="12" t="n">
        <v>158</v>
      </c>
      <c r="B162" s="10" t="s">
        <v>507</v>
      </c>
      <c r="C162" s="10" t="s">
        <v>4025</v>
      </c>
      <c r="D162" s="11" t="n">
        <v>0.0027681712962963</v>
      </c>
      <c r="E162" s="18" t="n">
        <f aca="false">ROUND((D162-$D$5)*86400,2)</f>
        <v>14.14</v>
      </c>
      <c r="F162" s="12" t="n">
        <v>315</v>
      </c>
      <c r="G162" s="11" t="n">
        <f aca="false">IF(INDEX(選手一覧!$D$7:$D$2738,$F162)="","",INDEX(選手一覧!$D$7:$D$2738,$F162))</f>
        <v>0.0102626157407407</v>
      </c>
      <c r="H162" s="12" t="n">
        <f aca="false">IF(INDEX(選手一覧!$E$7:$E$2738,$F162)="","",INDEX(選手一覧!$E$7:$E$2738,$F162))</f>
        <v>130</v>
      </c>
      <c r="I162" s="11" t="str">
        <f aca="false">IF(INDEX(選手一覧!$F$7:$F$2738,$F162)="","",INDEX(選手一覧!$F$7:$F$2738,$F162))</f>
        <v/>
      </c>
      <c r="J162" s="12" t="str">
        <f aca="false">IF(INDEX(選手一覧!$G$7:$G$2738,$F162)="","",INDEX(選手一覧!$G$7:$G$2738,$F162))</f>
        <v/>
      </c>
    </row>
    <row r="163" customFormat="false" ht="15" hidden="false" customHeight="false" outlineLevel="0" collapsed="false">
      <c r="A163" s="12" t="n">
        <v>159</v>
      </c>
      <c r="B163" s="10" t="s">
        <v>594</v>
      </c>
      <c r="C163" s="10" t="s">
        <v>277</v>
      </c>
      <c r="D163" s="11" t="n">
        <v>0.00276944444444445</v>
      </c>
      <c r="E163" s="18" t="n">
        <f aca="false">ROUND((D163-$D$5)*86400,2)</f>
        <v>14.25</v>
      </c>
      <c r="F163" s="12" t="n">
        <v>375</v>
      </c>
      <c r="G163" s="11" t="n">
        <f aca="false">IF(INDEX(選手一覧!$D$7:$D$2738,$F163)="","",INDEX(選手一覧!$D$7:$D$2738,$F163))</f>
        <v>0.0104261574074074</v>
      </c>
      <c r="H163" s="12" t="n">
        <f aca="false">IF(INDEX(選手一覧!$E$7:$E$2738,$F163)="","",INDEX(選手一覧!$E$7:$E$2738,$F163))</f>
        <v>291</v>
      </c>
      <c r="I163" s="11" t="str">
        <f aca="false">IF(INDEX(選手一覧!$F$7:$F$2738,$F163)="","",INDEX(選手一覧!$F$7:$F$2738,$F163))</f>
        <v/>
      </c>
      <c r="J163" s="12" t="str">
        <f aca="false">IF(INDEX(選手一覧!$G$7:$G$2738,$F163)="","",INDEX(選手一覧!$G$7:$G$2738,$F163))</f>
        <v/>
      </c>
    </row>
    <row r="164" customFormat="false" ht="15" hidden="false" customHeight="false" outlineLevel="0" collapsed="false">
      <c r="A164" s="12" t="n">
        <v>160</v>
      </c>
      <c r="B164" s="10" t="s">
        <v>600</v>
      </c>
      <c r="C164" s="10" t="s">
        <v>286</v>
      </c>
      <c r="D164" s="11" t="n">
        <v>0.00276979166666667</v>
      </c>
      <c r="E164" s="18" t="n">
        <f aca="false">ROUND((D164-$D$5)*86400,2)</f>
        <v>14.28</v>
      </c>
      <c r="F164" s="12" t="n">
        <v>379</v>
      </c>
      <c r="G164" s="11" t="str">
        <f aca="false">IF(INDEX(選手一覧!$D$7:$D$2738,$F164)="","",INDEX(選手一覧!$D$7:$D$2738,$F164))</f>
        <v/>
      </c>
      <c r="H164" s="12" t="str">
        <f aca="false">IF(INDEX(選手一覧!$E$7:$E$2738,$F164)="","",INDEX(選手一覧!$E$7:$E$2738,$F164))</f>
        <v/>
      </c>
      <c r="I164" s="11" t="str">
        <f aca="false">IF(INDEX(選手一覧!$F$7:$F$2738,$F164)="","",INDEX(選手一覧!$F$7:$F$2738,$F164))</f>
        <v/>
      </c>
      <c r="J164" s="12" t="str">
        <f aca="false">IF(INDEX(選手一覧!$G$7:$G$2738,$F164)="","",INDEX(選手一覧!$G$7:$G$2738,$F164))</f>
        <v/>
      </c>
    </row>
    <row r="165" customFormat="false" ht="15" hidden="false" customHeight="false" outlineLevel="0" collapsed="false">
      <c r="A165" s="12" t="n">
        <v>161</v>
      </c>
      <c r="B165" s="10" t="s">
        <v>252</v>
      </c>
      <c r="C165" s="10" t="s">
        <v>242</v>
      </c>
      <c r="D165" s="11" t="n">
        <v>0.00276990740740741</v>
      </c>
      <c r="E165" s="18" t="n">
        <f aca="false">ROUND((D165-$D$5)*86400,2)</f>
        <v>14.29</v>
      </c>
      <c r="F165" s="12" t="n">
        <v>137</v>
      </c>
      <c r="G165" s="11" t="n">
        <f aca="false">IF(INDEX(選手一覧!$D$7:$D$2738,$F165)="","",INDEX(選手一覧!$D$7:$D$2738,$F165))</f>
        <v>0.0101061342592593</v>
      </c>
      <c r="H165" s="12" t="n">
        <f aca="false">IF(INDEX(選手一覧!$E$7:$E$2738,$F165)="","",INDEX(選手一覧!$E$7:$E$2738,$F165))</f>
        <v>54</v>
      </c>
      <c r="I165" s="11" t="str">
        <f aca="false">IF(INDEX(選手一覧!$F$7:$F$2738,$F165)="","",INDEX(選手一覧!$F$7:$F$2738,$F165))</f>
        <v/>
      </c>
      <c r="J165" s="12" t="str">
        <f aca="false">IF(INDEX(選手一覧!$G$7:$G$2738,$F165)="","",INDEX(選手一覧!$G$7:$G$2738,$F165))</f>
        <v/>
      </c>
    </row>
    <row r="166" customFormat="false" ht="15" hidden="false" customHeight="false" outlineLevel="0" collapsed="false">
      <c r="A166" s="12" t="n">
        <v>162</v>
      </c>
      <c r="B166" s="10" t="s">
        <v>604</v>
      </c>
      <c r="C166" s="10" t="s">
        <v>605</v>
      </c>
      <c r="D166" s="11" t="n">
        <v>0.00276990740740741</v>
      </c>
      <c r="E166" s="18" t="n">
        <f aca="false">ROUND((D166-$D$5)*86400,2)</f>
        <v>14.29</v>
      </c>
      <c r="F166" s="12" t="n">
        <v>382</v>
      </c>
      <c r="G166" s="11" t="str">
        <f aca="false">IF(INDEX(選手一覧!$D$7:$D$2738,$F166)="","",INDEX(選手一覧!$D$7:$D$2738,$F166))</f>
        <v/>
      </c>
      <c r="H166" s="12" t="str">
        <f aca="false">IF(INDEX(選手一覧!$E$7:$E$2738,$F166)="","",INDEX(選手一覧!$E$7:$E$2738,$F166))</f>
        <v/>
      </c>
      <c r="I166" s="11" t="str">
        <f aca="false">IF(INDEX(選手一覧!$F$7:$F$2738,$F166)="","",INDEX(選手一覧!$F$7:$F$2738,$F166))</f>
        <v/>
      </c>
      <c r="J166" s="12" t="str">
        <f aca="false">IF(INDEX(選手一覧!$G$7:$G$2738,$F166)="","",INDEX(選手一覧!$G$7:$G$2738,$F166))</f>
        <v/>
      </c>
    </row>
    <row r="167" customFormat="false" ht="15" hidden="false" customHeight="false" outlineLevel="0" collapsed="false">
      <c r="A167" s="12" t="n">
        <v>163</v>
      </c>
      <c r="B167" s="10" t="s">
        <v>608</v>
      </c>
      <c r="C167" s="10" t="s">
        <v>609</v>
      </c>
      <c r="D167" s="11" t="n">
        <v>0.00276990740740741</v>
      </c>
      <c r="E167" s="18" t="n">
        <f aca="false">ROUND((D167-$D$5)*86400,2)</f>
        <v>14.29</v>
      </c>
      <c r="F167" s="12" t="n">
        <v>385</v>
      </c>
      <c r="G167" s="11" t="str">
        <f aca="false">IF(INDEX(選手一覧!$D$7:$D$2738,$F167)="","",INDEX(選手一覧!$D$7:$D$2738,$F167))</f>
        <v/>
      </c>
      <c r="H167" s="12" t="str">
        <f aca="false">IF(INDEX(選手一覧!$E$7:$E$2738,$F167)="","",INDEX(選手一覧!$E$7:$E$2738,$F167))</f>
        <v/>
      </c>
      <c r="I167" s="11" t="str">
        <f aca="false">IF(INDEX(選手一覧!$F$7:$F$2738,$F167)="","",INDEX(選手一覧!$F$7:$F$2738,$F167))</f>
        <v/>
      </c>
      <c r="J167" s="12" t="str">
        <f aca="false">IF(INDEX(選手一覧!$G$7:$G$2738,$F167)="","",INDEX(選手一覧!$G$7:$G$2738,$F167))</f>
        <v/>
      </c>
    </row>
    <row r="168" customFormat="false" ht="15" hidden="false" customHeight="false" outlineLevel="0" collapsed="false">
      <c r="A168" s="12" t="n">
        <v>164</v>
      </c>
      <c r="B168" s="10" t="s">
        <v>613</v>
      </c>
      <c r="C168" s="10" t="s">
        <v>614</v>
      </c>
      <c r="D168" s="11" t="n">
        <v>0.00277002314814815</v>
      </c>
      <c r="E168" s="18" t="n">
        <f aca="false">ROUND((D168-$D$5)*86400,2)</f>
        <v>14.3</v>
      </c>
      <c r="F168" s="12" t="n">
        <v>388</v>
      </c>
      <c r="G168" s="11" t="n">
        <f aca="false">IF(INDEX(選手一覧!$D$7:$D$2738,$F168)="","",INDEX(選手一覧!$D$7:$D$2738,$F168))</f>
        <v>0.0106023148148148</v>
      </c>
      <c r="H168" s="12" t="n">
        <f aca="false">IF(INDEX(選手一覧!$E$7:$E$2738,$F168)="","",INDEX(選手一覧!$E$7:$E$2738,$F168))</f>
        <v>466</v>
      </c>
      <c r="I168" s="11" t="str">
        <f aca="false">IF(INDEX(選手一覧!$F$7:$F$2738,$F168)="","",INDEX(選手一覧!$F$7:$F$2738,$F168))</f>
        <v/>
      </c>
      <c r="J168" s="12" t="str">
        <f aca="false">IF(INDEX(選手一覧!$G$7:$G$2738,$F168)="","",INDEX(選手一覧!$G$7:$G$2738,$F168))</f>
        <v/>
      </c>
    </row>
    <row r="169" customFormat="false" ht="15" hidden="false" customHeight="false" outlineLevel="0" collapsed="false">
      <c r="A169" s="12" t="n">
        <v>165</v>
      </c>
      <c r="B169" s="10" t="s">
        <v>618</v>
      </c>
      <c r="C169" s="10" t="s">
        <v>616</v>
      </c>
      <c r="D169" s="11" t="n">
        <v>0.002771875</v>
      </c>
      <c r="E169" s="18" t="n">
        <f aca="false">ROUND((D169-$D$5)*86400,2)</f>
        <v>14.46</v>
      </c>
      <c r="F169" s="12" t="n">
        <v>390</v>
      </c>
      <c r="G169" s="11" t="n">
        <f aca="false">IF(INDEX(選手一覧!$D$7:$D$2738,$F169)="","",INDEX(選手一覧!$D$7:$D$2738,$F169))</f>
        <v>0.0107372685185185</v>
      </c>
      <c r="H169" s="12" t="n">
        <f aca="false">IF(INDEX(選手一覧!$E$7:$E$2738,$F169)="","",INDEX(選手一覧!$E$7:$E$2738,$F169))</f>
        <v>648</v>
      </c>
      <c r="I169" s="11" t="str">
        <f aca="false">IF(INDEX(選手一覧!$F$7:$F$2738,$F169)="","",INDEX(選手一覧!$F$7:$F$2738,$F169))</f>
        <v/>
      </c>
      <c r="J169" s="12" t="str">
        <f aca="false">IF(INDEX(選手一覧!$G$7:$G$2738,$F169)="","",INDEX(選手一覧!$G$7:$G$2738,$F169))</f>
        <v/>
      </c>
    </row>
    <row r="170" customFormat="false" ht="15" hidden="false" customHeight="false" outlineLevel="0" collapsed="false">
      <c r="A170" s="12" t="n">
        <v>166</v>
      </c>
      <c r="B170" s="10" t="s">
        <v>620</v>
      </c>
      <c r="C170" s="10" t="s">
        <v>621</v>
      </c>
      <c r="D170" s="11" t="n">
        <v>0.00277222222222222</v>
      </c>
      <c r="E170" s="18" t="n">
        <f aca="false">ROUND((D170-$D$5)*86400,2)</f>
        <v>14.49</v>
      </c>
      <c r="F170" s="12" t="n">
        <v>392</v>
      </c>
      <c r="G170" s="11" t="n">
        <f aca="false">IF(INDEX(選手一覧!$D$7:$D$2738,$F170)="","",INDEX(選手一覧!$D$7:$D$2738,$F170))</f>
        <v>0.0105568287037037</v>
      </c>
      <c r="H170" s="12" t="n">
        <f aca="false">IF(INDEX(選手一覧!$E$7:$E$2738,$F170)="","",INDEX(選手一覧!$E$7:$E$2738,$F170))</f>
        <v>407</v>
      </c>
      <c r="I170" s="11" t="str">
        <f aca="false">IF(INDEX(選手一覧!$F$7:$F$2738,$F170)="","",INDEX(選手一覧!$F$7:$F$2738,$F170))</f>
        <v/>
      </c>
      <c r="J170" s="12" t="str">
        <f aca="false">IF(INDEX(選手一覧!$G$7:$G$2738,$F170)="","",INDEX(選手一覧!$G$7:$G$2738,$F170))</f>
        <v/>
      </c>
    </row>
    <row r="171" customFormat="false" ht="15" hidden="false" customHeight="false" outlineLevel="0" collapsed="false">
      <c r="A171" s="12" t="n">
        <v>167</v>
      </c>
      <c r="B171" s="10" t="s">
        <v>628</v>
      </c>
      <c r="C171" s="10" t="s">
        <v>505</v>
      </c>
      <c r="D171" s="11" t="n">
        <v>0.00277280092592593</v>
      </c>
      <c r="E171" s="18" t="n">
        <f aca="false">ROUND((D171-$D$5)*86400,2)</f>
        <v>14.54</v>
      </c>
      <c r="F171" s="12" t="n">
        <v>396</v>
      </c>
      <c r="G171" s="11" t="str">
        <f aca="false">IF(INDEX(選手一覧!$D$7:$D$2738,$F171)="","",INDEX(選手一覧!$D$7:$D$2738,$F171))</f>
        <v/>
      </c>
      <c r="H171" s="12" t="str">
        <f aca="false">IF(INDEX(選手一覧!$E$7:$E$2738,$F171)="","",INDEX(選手一覧!$E$7:$E$2738,$F171))</f>
        <v/>
      </c>
      <c r="I171" s="11" t="str">
        <f aca="false">IF(INDEX(選手一覧!$F$7:$F$2738,$F171)="","",INDEX(選手一覧!$F$7:$F$2738,$F171))</f>
        <v/>
      </c>
      <c r="J171" s="12" t="str">
        <f aca="false">IF(INDEX(選手一覧!$G$7:$G$2738,$F171)="","",INDEX(選手一覧!$G$7:$G$2738,$F171))</f>
        <v/>
      </c>
    </row>
    <row r="172" customFormat="false" ht="15" hidden="false" customHeight="false" outlineLevel="0" collapsed="false">
      <c r="A172" s="12" t="n">
        <v>168</v>
      </c>
      <c r="B172" s="10" t="s">
        <v>214</v>
      </c>
      <c r="C172" s="10" t="s">
        <v>215</v>
      </c>
      <c r="D172" s="11" t="n">
        <v>0.00277326388888889</v>
      </c>
      <c r="E172" s="18" t="n">
        <f aca="false">ROUND((D172-$D$5)*86400,2)</f>
        <v>14.58</v>
      </c>
      <c r="F172" s="12" t="n">
        <v>112</v>
      </c>
      <c r="G172" s="11" t="n">
        <f aca="false">IF(INDEX(選手一覧!$D$7:$D$2738,$F172)="","",INDEX(選手一覧!$D$7:$D$2738,$F172))</f>
        <v>0.0103181712962963</v>
      </c>
      <c r="H172" s="12" t="n">
        <f aca="false">IF(INDEX(選手一覧!$E$7:$E$2738,$F172)="","",INDEX(選手一覧!$E$7:$E$2738,$F172))</f>
        <v>172</v>
      </c>
      <c r="I172" s="11" t="n">
        <f aca="false">IF(INDEX(選手一覧!$F$7:$F$2738,$F172)="","",INDEX(選手一覧!$F$7:$F$2738,$F172))</f>
        <v>0.006540625</v>
      </c>
      <c r="J172" s="12" t="n">
        <f aca="false">IF(INDEX(選手一覧!$G$7:$G$2738,$F172)="","",INDEX(選手一覧!$G$7:$G$2738,$F172))</f>
        <v>43</v>
      </c>
    </row>
    <row r="173" customFormat="false" ht="15" hidden="false" customHeight="false" outlineLevel="0" collapsed="false">
      <c r="A173" s="12" t="n">
        <v>169</v>
      </c>
      <c r="B173" s="10" t="s">
        <v>634</v>
      </c>
      <c r="C173" s="10" t="s">
        <v>175</v>
      </c>
      <c r="D173" s="11" t="n">
        <v>0.00277337962962963</v>
      </c>
      <c r="E173" s="18" t="n">
        <f aca="false">ROUND((D173-$D$5)*86400,2)</f>
        <v>14.59</v>
      </c>
      <c r="F173" s="12" t="n">
        <v>401</v>
      </c>
      <c r="G173" s="11" t="str">
        <f aca="false">IF(INDEX(選手一覧!$D$7:$D$2738,$F173)="","",INDEX(選手一覧!$D$7:$D$2738,$F173))</f>
        <v/>
      </c>
      <c r="H173" s="12" t="str">
        <f aca="false">IF(INDEX(選手一覧!$E$7:$E$2738,$F173)="","",INDEX(選手一覧!$E$7:$E$2738,$F173))</f>
        <v/>
      </c>
      <c r="I173" s="11" t="str">
        <f aca="false">IF(INDEX(選手一覧!$F$7:$F$2738,$F173)="","",INDEX(選手一覧!$F$7:$F$2738,$F173))</f>
        <v/>
      </c>
      <c r="J173" s="12" t="str">
        <f aca="false">IF(INDEX(選手一覧!$G$7:$G$2738,$F173)="","",INDEX(選手一覧!$G$7:$G$2738,$F173))</f>
        <v/>
      </c>
    </row>
    <row r="174" customFormat="false" ht="15" hidden="false" customHeight="false" outlineLevel="0" collapsed="false">
      <c r="A174" s="12" t="n">
        <v>170</v>
      </c>
      <c r="B174" s="10" t="s">
        <v>497</v>
      </c>
      <c r="C174" s="10" t="s">
        <v>312</v>
      </c>
      <c r="D174" s="11" t="n">
        <v>0.00277349537037037</v>
      </c>
      <c r="E174" s="18" t="n">
        <f aca="false">ROUND((D174-$D$5)*86400,2)</f>
        <v>14.6</v>
      </c>
      <c r="F174" s="12" t="n">
        <v>309</v>
      </c>
      <c r="G174" s="11" t="n">
        <f aca="false">IF(INDEX(選手一覧!$D$7:$D$2738,$F174)="","",INDEX(選手一覧!$D$7:$D$2738,$F174))</f>
        <v>0.0102480324074074</v>
      </c>
      <c r="H174" s="12" t="n">
        <f aca="false">IF(INDEX(選手一覧!$E$7:$E$2738,$F174)="","",INDEX(選手一覧!$E$7:$E$2738,$F174))</f>
        <v>128</v>
      </c>
      <c r="I174" s="11" t="str">
        <f aca="false">IF(INDEX(選手一覧!$F$7:$F$2738,$F174)="","",INDEX(選手一覧!$F$7:$F$2738,$F174))</f>
        <v/>
      </c>
      <c r="J174" s="12" t="str">
        <f aca="false">IF(INDEX(選手一覧!$G$7:$G$2738,$F174)="","",INDEX(選手一覧!$G$7:$G$2738,$F174))</f>
        <v/>
      </c>
    </row>
    <row r="175" customFormat="false" ht="15" hidden="false" customHeight="false" outlineLevel="0" collapsed="false">
      <c r="A175" s="12" t="n">
        <v>171</v>
      </c>
      <c r="B175" s="10" t="s">
        <v>184</v>
      </c>
      <c r="C175" s="10" t="s">
        <v>185</v>
      </c>
      <c r="D175" s="11" t="n">
        <v>0.00277361111111111</v>
      </c>
      <c r="E175" s="18" t="n">
        <f aca="false">ROUND((D175-$D$5)*86400,2)</f>
        <v>14.61</v>
      </c>
      <c r="F175" s="12" t="n">
        <v>92</v>
      </c>
      <c r="G175" s="11" t="n">
        <f aca="false">IF(INDEX(選手一覧!$D$7:$D$2738,$F175)="","",INDEX(選手一覧!$D$7:$D$2738,$F175))</f>
        <v>0.0100496527777778</v>
      </c>
      <c r="H175" s="12" t="n">
        <f aca="false">IF(INDEX(選手一覧!$E$7:$E$2738,$F175)="","",INDEX(選手一覧!$E$7:$E$2738,$F175))</f>
        <v>36</v>
      </c>
      <c r="I175" s="11" t="str">
        <f aca="false">IF(INDEX(選手一覧!$F$7:$F$2738,$F175)="","",INDEX(選手一覧!$F$7:$F$2738,$F175))</f>
        <v/>
      </c>
      <c r="J175" s="12" t="str">
        <f aca="false">IF(INDEX(選手一覧!$G$7:$G$2738,$F175)="","",INDEX(選手一覧!$G$7:$G$2738,$F175))</f>
        <v/>
      </c>
    </row>
    <row r="176" customFormat="false" ht="15" hidden="false" customHeight="false" outlineLevel="0" collapsed="false">
      <c r="A176" s="12" t="n">
        <v>172</v>
      </c>
      <c r="B176" s="10" t="s">
        <v>638</v>
      </c>
      <c r="C176" s="10" t="s">
        <v>134</v>
      </c>
      <c r="D176" s="11" t="n">
        <v>0.00277407407407407</v>
      </c>
      <c r="E176" s="18" t="n">
        <f aca="false">ROUND((D176-$D$5)*86400,2)</f>
        <v>14.65</v>
      </c>
      <c r="F176" s="12" t="n">
        <v>405</v>
      </c>
      <c r="G176" s="11" t="n">
        <f aca="false">IF(INDEX(選手一覧!$D$7:$D$2738,$F176)="","",INDEX(選手一覧!$D$7:$D$2738,$F176))</f>
        <v>0.0103755787037037</v>
      </c>
      <c r="H176" s="12" t="n">
        <f aca="false">IF(INDEX(選手一覧!$E$7:$E$2738,$F176)="","",INDEX(選手一覧!$E$7:$E$2738,$F176))</f>
        <v>233</v>
      </c>
      <c r="I176" s="11" t="str">
        <f aca="false">IF(INDEX(選手一覧!$F$7:$F$2738,$F176)="","",INDEX(選手一覧!$F$7:$F$2738,$F176))</f>
        <v/>
      </c>
      <c r="J176" s="12" t="str">
        <f aca="false">IF(INDEX(選手一覧!$G$7:$G$2738,$F176)="","",INDEX(選手一覧!$G$7:$G$2738,$F176))</f>
        <v/>
      </c>
    </row>
    <row r="177" customFormat="false" ht="15" hidden="false" customHeight="false" outlineLevel="0" collapsed="false">
      <c r="A177" s="12" t="n">
        <v>173</v>
      </c>
      <c r="B177" s="10" t="s">
        <v>643</v>
      </c>
      <c r="C177" s="10" t="s">
        <v>387</v>
      </c>
      <c r="D177" s="11" t="n">
        <v>0.0027744212962963</v>
      </c>
      <c r="E177" s="18" t="n">
        <f aca="false">ROUND((D177-$D$5)*86400,2)</f>
        <v>14.68</v>
      </c>
      <c r="F177" s="12" t="n">
        <v>409</v>
      </c>
      <c r="G177" s="11" t="str">
        <f aca="false">IF(INDEX(選手一覧!$D$7:$D$2738,$F177)="","",INDEX(選手一覧!$D$7:$D$2738,$F177))</f>
        <v/>
      </c>
      <c r="H177" s="12" t="str">
        <f aca="false">IF(INDEX(選手一覧!$E$7:$E$2738,$F177)="","",INDEX(選手一覧!$E$7:$E$2738,$F177))</f>
        <v/>
      </c>
      <c r="I177" s="11" t="str">
        <f aca="false">IF(INDEX(選手一覧!$F$7:$F$2738,$F177)="","",INDEX(選手一覧!$F$7:$F$2738,$F177))</f>
        <v/>
      </c>
      <c r="J177" s="12" t="str">
        <f aca="false">IF(INDEX(選手一覧!$G$7:$G$2738,$F177)="","",INDEX(選手一覧!$G$7:$G$2738,$F177))</f>
        <v/>
      </c>
    </row>
    <row r="178" customFormat="false" ht="15" hidden="false" customHeight="false" outlineLevel="0" collapsed="false">
      <c r="A178" s="12" t="n">
        <v>174</v>
      </c>
      <c r="B178" s="10" t="s">
        <v>647</v>
      </c>
      <c r="C178" s="10" t="s">
        <v>529</v>
      </c>
      <c r="D178" s="11" t="n">
        <v>0.00277453703703704</v>
      </c>
      <c r="E178" s="18" t="n">
        <f aca="false">ROUND((D178-$D$5)*86400,2)</f>
        <v>14.69</v>
      </c>
      <c r="F178" s="12" t="n">
        <v>412</v>
      </c>
      <c r="G178" s="11" t="str">
        <f aca="false">IF(INDEX(選手一覧!$D$7:$D$2738,$F178)="","",INDEX(選手一覧!$D$7:$D$2738,$F178))</f>
        <v/>
      </c>
      <c r="H178" s="12" t="str">
        <f aca="false">IF(INDEX(選手一覧!$E$7:$E$2738,$F178)="","",INDEX(選手一覧!$E$7:$E$2738,$F178))</f>
        <v/>
      </c>
      <c r="I178" s="11" t="str">
        <f aca="false">IF(INDEX(選手一覧!$F$7:$F$2738,$F178)="","",INDEX(選手一覧!$F$7:$F$2738,$F178))</f>
        <v/>
      </c>
      <c r="J178" s="12" t="str">
        <f aca="false">IF(INDEX(選手一覧!$G$7:$G$2738,$F178)="","",INDEX(選手一覧!$G$7:$G$2738,$F178))</f>
        <v/>
      </c>
    </row>
    <row r="179" customFormat="false" ht="15" hidden="false" customHeight="false" outlineLevel="0" collapsed="false">
      <c r="A179" s="12" t="n">
        <v>175</v>
      </c>
      <c r="B179" s="10" t="s">
        <v>648</v>
      </c>
      <c r="C179" s="10" t="s">
        <v>25</v>
      </c>
      <c r="D179" s="11" t="n">
        <v>0.00277476851851852</v>
      </c>
      <c r="E179" s="18" t="n">
        <f aca="false">ROUND((D179-$D$5)*86400,2)</f>
        <v>14.71</v>
      </c>
      <c r="F179" s="12" t="n">
        <v>413</v>
      </c>
      <c r="G179" s="11" t="n">
        <f aca="false">IF(INDEX(選手一覧!$D$7:$D$2738,$F179)="","",INDEX(選手一覧!$D$7:$D$2738,$F179))</f>
        <v>0.0104</v>
      </c>
      <c r="H179" s="12" t="n">
        <f aca="false">IF(INDEX(選手一覧!$E$7:$E$2738,$F179)="","",INDEX(選手一覧!$E$7:$E$2738,$F179))</f>
        <v>264</v>
      </c>
      <c r="I179" s="11" t="str">
        <f aca="false">IF(INDEX(選手一覧!$F$7:$F$2738,$F179)="","",INDEX(選手一覧!$F$7:$F$2738,$F179))</f>
        <v/>
      </c>
      <c r="J179" s="12" t="str">
        <f aca="false">IF(INDEX(選手一覧!$G$7:$G$2738,$F179)="","",INDEX(選手一覧!$G$7:$G$2738,$F179))</f>
        <v/>
      </c>
    </row>
    <row r="180" customFormat="false" ht="15" hidden="false" customHeight="false" outlineLevel="0" collapsed="false">
      <c r="A180" s="12" t="n">
        <v>176</v>
      </c>
      <c r="B180" s="10" t="s">
        <v>651</v>
      </c>
      <c r="C180" s="10" t="s">
        <v>652</v>
      </c>
      <c r="D180" s="11" t="n">
        <v>0.0027755787037037</v>
      </c>
      <c r="E180" s="18" t="n">
        <f aca="false">ROUND((D180-$D$5)*86400,2)</f>
        <v>14.78</v>
      </c>
      <c r="F180" s="12" t="n">
        <v>415</v>
      </c>
      <c r="G180" s="11" t="n">
        <f aca="false">IF(INDEX(選手一覧!$D$7:$D$2738,$F180)="","",INDEX(選手一覧!$D$7:$D$2738,$F180))</f>
        <v>0.010437962962963</v>
      </c>
      <c r="H180" s="12" t="n">
        <f aca="false">IF(INDEX(選手一覧!$E$7:$E$2738,$F180)="","",INDEX(選手一覧!$E$7:$E$2738,$F180))</f>
        <v>299</v>
      </c>
      <c r="I180" s="11" t="str">
        <f aca="false">IF(INDEX(選手一覧!$F$7:$F$2738,$F180)="","",INDEX(選手一覧!$F$7:$F$2738,$F180))</f>
        <v/>
      </c>
      <c r="J180" s="12" t="str">
        <f aca="false">IF(INDEX(選手一覧!$G$7:$G$2738,$F180)="","",INDEX(選手一覧!$G$7:$G$2738,$F180))</f>
        <v/>
      </c>
    </row>
    <row r="181" customFormat="false" ht="15" hidden="false" customHeight="false" outlineLevel="0" collapsed="false">
      <c r="A181" s="12" t="n">
        <v>177</v>
      </c>
      <c r="B181" s="10" t="s">
        <v>657</v>
      </c>
      <c r="C181" s="10" t="s">
        <v>658</v>
      </c>
      <c r="D181" s="11" t="n">
        <v>0.00277569444444444</v>
      </c>
      <c r="E181" s="18" t="n">
        <f aca="false">ROUND((D181-$D$5)*86400,2)</f>
        <v>14.79</v>
      </c>
      <c r="F181" s="12" t="n">
        <v>418</v>
      </c>
      <c r="G181" s="11" t="n">
        <f aca="false">IF(INDEX(選手一覧!$D$7:$D$2738,$F181)="","",INDEX(選手一覧!$D$7:$D$2738,$F181))</f>
        <v>0.0106484953703704</v>
      </c>
      <c r="H181" s="12" t="n">
        <f aca="false">IF(INDEX(選手一覧!$E$7:$E$2738,$F181)="","",INDEX(選手一覧!$E$7:$E$2738,$F181))</f>
        <v>522</v>
      </c>
      <c r="I181" s="11" t="str">
        <f aca="false">IF(INDEX(選手一覧!$F$7:$F$2738,$F181)="","",INDEX(選手一覧!$F$7:$F$2738,$F181))</f>
        <v/>
      </c>
      <c r="J181" s="12" t="str">
        <f aca="false">IF(INDEX(選手一覧!$G$7:$G$2738,$F181)="","",INDEX(選手一覧!$G$7:$G$2738,$F181))</f>
        <v/>
      </c>
    </row>
    <row r="182" customFormat="false" ht="15" hidden="false" customHeight="false" outlineLevel="0" collapsed="false">
      <c r="A182" s="12" t="n">
        <v>178</v>
      </c>
      <c r="B182" s="10" t="s">
        <v>665</v>
      </c>
      <c r="C182" s="10" t="s">
        <v>288</v>
      </c>
      <c r="D182" s="11" t="n">
        <v>0.00277569444444444</v>
      </c>
      <c r="E182" s="18" t="n">
        <f aca="false">ROUND((D182-$D$5)*86400,2)</f>
        <v>14.79</v>
      </c>
      <c r="F182" s="12" t="n">
        <v>423</v>
      </c>
      <c r="G182" s="11" t="str">
        <f aca="false">IF(INDEX(選手一覧!$D$7:$D$2738,$F182)="","",INDEX(選手一覧!$D$7:$D$2738,$F182))</f>
        <v/>
      </c>
      <c r="H182" s="12" t="str">
        <f aca="false">IF(INDEX(選手一覧!$E$7:$E$2738,$F182)="","",INDEX(選手一覧!$E$7:$E$2738,$F182))</f>
        <v/>
      </c>
      <c r="I182" s="11" t="str">
        <f aca="false">IF(INDEX(選手一覧!$F$7:$F$2738,$F182)="","",INDEX(選手一覧!$F$7:$F$2738,$F182))</f>
        <v/>
      </c>
      <c r="J182" s="12" t="str">
        <f aca="false">IF(INDEX(選手一覧!$G$7:$G$2738,$F182)="","",INDEX(選手一覧!$G$7:$G$2738,$F182))</f>
        <v/>
      </c>
    </row>
    <row r="183" customFormat="false" ht="15" hidden="false" customHeight="false" outlineLevel="0" collapsed="false">
      <c r="A183" s="12" t="n">
        <v>179</v>
      </c>
      <c r="B183" s="10" t="s">
        <v>666</v>
      </c>
      <c r="C183" s="10" t="s">
        <v>667</v>
      </c>
      <c r="D183" s="11" t="n">
        <v>0.00277581018518519</v>
      </c>
      <c r="E183" s="18" t="n">
        <f aca="false">ROUND((D183-$D$5)*86400,2)</f>
        <v>14.8</v>
      </c>
      <c r="F183" s="12" t="n">
        <v>424</v>
      </c>
      <c r="G183" s="11" t="n">
        <f aca="false">IF(INDEX(選手一覧!$D$7:$D$2738,$F183)="","",INDEX(選手一覧!$D$7:$D$2738,$F183))</f>
        <v>0.010875462962963</v>
      </c>
      <c r="H183" s="12" t="n">
        <f aca="false">IF(INDEX(選手一覧!$E$7:$E$2738,$F183)="","",INDEX(選手一覧!$E$7:$E$2738,$F183))</f>
        <v>882</v>
      </c>
      <c r="I183" s="11" t="n">
        <f aca="false">IF(INDEX(選手一覧!$F$7:$F$2738,$F183)="","",INDEX(選手一覧!$F$7:$F$2738,$F183))</f>
        <v>0.00731689814814815</v>
      </c>
      <c r="J183" s="12" t="n">
        <f aca="false">IF(INDEX(選手一覧!$G$7:$G$2738,$F183)="","",INDEX(選手一覧!$G$7:$G$2738,$F183))</f>
        <v>664</v>
      </c>
    </row>
    <row r="184" customFormat="false" ht="15" hidden="false" customHeight="false" outlineLevel="0" collapsed="false">
      <c r="A184" s="12" t="n">
        <v>180</v>
      </c>
      <c r="B184" s="10" t="s">
        <v>61</v>
      </c>
      <c r="C184" s="10" t="s">
        <v>62</v>
      </c>
      <c r="D184" s="11" t="n">
        <v>0.00277592592592593</v>
      </c>
      <c r="E184" s="18" t="n">
        <f aca="false">ROUND((D184-$D$5)*86400,2)</f>
        <v>14.81</v>
      </c>
      <c r="F184" s="12" t="n">
        <v>21</v>
      </c>
      <c r="G184" s="11" t="n">
        <f aca="false">IF(INDEX(選手一覧!$D$7:$D$2738,$F184)="","",INDEX(選手一覧!$D$7:$D$2738,$F184))</f>
        <v>0.010716087962963</v>
      </c>
      <c r="H184" s="12" t="n">
        <f aca="false">IF(INDEX(選手一覧!$E$7:$E$2738,$F184)="","",INDEX(選手一覧!$E$7:$E$2738,$F184))</f>
        <v>608</v>
      </c>
      <c r="I184" s="11" t="n">
        <f aca="false">IF(INDEX(選手一覧!$F$7:$F$2738,$F184)="","",INDEX(選手一覧!$F$7:$F$2738,$F184))</f>
        <v>0.00634525462962963</v>
      </c>
      <c r="J184" s="12" t="n">
        <f aca="false">IF(INDEX(選手一覧!$G$7:$G$2738,$F184)="","",INDEX(選手一覧!$G$7:$G$2738,$F184))</f>
        <v>9</v>
      </c>
    </row>
    <row r="185" customFormat="false" ht="15" hidden="false" customHeight="false" outlineLevel="0" collapsed="false">
      <c r="A185" s="12" t="n">
        <v>181</v>
      </c>
      <c r="B185" s="10" t="s">
        <v>672</v>
      </c>
      <c r="C185" s="10" t="s">
        <v>462</v>
      </c>
      <c r="D185" s="11" t="n">
        <v>0.00277592592592593</v>
      </c>
      <c r="E185" s="18" t="n">
        <f aca="false">ROUND((D185-$D$5)*86400,2)</f>
        <v>14.81</v>
      </c>
      <c r="F185" s="12" t="n">
        <v>429</v>
      </c>
      <c r="G185" s="11" t="n">
        <f aca="false">IF(INDEX(選手一覧!$D$7:$D$2738,$F185)="","",INDEX(選手一覧!$D$7:$D$2738,$F185))</f>
        <v>0.0103782407407407</v>
      </c>
      <c r="H185" s="12" t="n">
        <f aca="false">IF(INDEX(選手一覧!$E$7:$E$2738,$F185)="","",INDEX(選手一覧!$E$7:$E$2738,$F185))</f>
        <v>242</v>
      </c>
      <c r="I185" s="11" t="str">
        <f aca="false">IF(INDEX(選手一覧!$F$7:$F$2738,$F185)="","",INDEX(選手一覧!$F$7:$F$2738,$F185))</f>
        <v/>
      </c>
      <c r="J185" s="12" t="str">
        <f aca="false">IF(INDEX(選手一覧!$G$7:$G$2738,$F185)="","",INDEX(選手一覧!$G$7:$G$2738,$F185))</f>
        <v/>
      </c>
    </row>
    <row r="186" customFormat="false" ht="15" hidden="false" customHeight="false" outlineLevel="0" collapsed="false">
      <c r="A186" s="12" t="n">
        <v>182</v>
      </c>
      <c r="B186" s="10" t="s">
        <v>189</v>
      </c>
      <c r="C186" s="10" t="s">
        <v>190</v>
      </c>
      <c r="D186" s="11" t="n">
        <v>0.00277592592592593</v>
      </c>
      <c r="E186" s="18" t="n">
        <f aca="false">ROUND((D186-$D$5)*86400,2)</f>
        <v>14.81</v>
      </c>
      <c r="F186" s="12" t="n">
        <v>95</v>
      </c>
      <c r="G186" s="11" t="n">
        <f aca="false">IF(INDEX(選手一覧!$D$7:$D$2738,$F186)="","",INDEX(選手一覧!$D$7:$D$2738,$F186))</f>
        <v>0.0100549768518519</v>
      </c>
      <c r="H186" s="12" t="n">
        <f aca="false">IF(INDEX(選手一覧!$E$7:$E$2738,$F186)="","",INDEX(選手一覧!$E$7:$E$2738,$F186))</f>
        <v>37</v>
      </c>
      <c r="I186" s="11" t="str">
        <f aca="false">IF(INDEX(選手一覧!$F$7:$F$2738,$F186)="","",INDEX(選手一覧!$F$7:$F$2738,$F186))</f>
        <v/>
      </c>
      <c r="J186" s="12" t="str">
        <f aca="false">IF(INDEX(選手一覧!$G$7:$G$2738,$F186)="","",INDEX(選手一覧!$G$7:$G$2738,$F186))</f>
        <v/>
      </c>
    </row>
    <row r="187" customFormat="false" ht="15" hidden="false" customHeight="false" outlineLevel="0" collapsed="false">
      <c r="A187" s="12" t="n">
        <v>183</v>
      </c>
      <c r="B187" s="10" t="s">
        <v>681</v>
      </c>
      <c r="C187" s="10" t="s">
        <v>91</v>
      </c>
      <c r="D187" s="11" t="n">
        <v>0.00277627314814815</v>
      </c>
      <c r="E187" s="18" t="n">
        <f aca="false">ROUND((D187-$D$5)*86400,2)</f>
        <v>14.84</v>
      </c>
      <c r="F187" s="12" t="n">
        <v>435</v>
      </c>
      <c r="G187" s="11" t="n">
        <f aca="false">IF(INDEX(選手一覧!$D$7:$D$2738,$F187)="","",INDEX(選手一覧!$D$7:$D$2738,$F187))</f>
        <v>0.0105304398148148</v>
      </c>
      <c r="H187" s="12" t="n">
        <f aca="false">IF(INDEX(選手一覧!$E$7:$E$2738,$F187)="","",INDEX(選手一覧!$E$7:$E$2738,$F187))</f>
        <v>373</v>
      </c>
      <c r="I187" s="11" t="str">
        <f aca="false">IF(INDEX(選手一覧!$F$7:$F$2738,$F187)="","",INDEX(選手一覧!$F$7:$F$2738,$F187))</f>
        <v/>
      </c>
      <c r="J187" s="12" t="str">
        <f aca="false">IF(INDEX(選手一覧!$G$7:$G$2738,$F187)="","",INDEX(選手一覧!$G$7:$G$2738,$F187))</f>
        <v/>
      </c>
    </row>
    <row r="188" customFormat="false" ht="15" hidden="false" customHeight="false" outlineLevel="0" collapsed="false">
      <c r="A188" s="12" t="n">
        <v>184</v>
      </c>
      <c r="B188" s="10" t="s">
        <v>340</v>
      </c>
      <c r="C188" s="10" t="s">
        <v>341</v>
      </c>
      <c r="D188" s="11" t="n">
        <v>0.00277650462962963</v>
      </c>
      <c r="E188" s="18" t="n">
        <f aca="false">ROUND((D188-$D$5)*86400,2)</f>
        <v>14.86</v>
      </c>
      <c r="F188" s="12" t="n">
        <v>199</v>
      </c>
      <c r="G188" s="11" t="n">
        <f aca="false">IF(INDEX(選手一覧!$D$7:$D$2738,$F188)="","",INDEX(選手一覧!$D$7:$D$2738,$F188))</f>
        <v>0.0108959490740741</v>
      </c>
      <c r="H188" s="12" t="n">
        <f aca="false">IF(INDEX(選手一覧!$E$7:$E$2738,$F188)="","",INDEX(選手一覧!$E$7:$E$2738,$F188))</f>
        <v>915</v>
      </c>
      <c r="I188" s="11" t="n">
        <f aca="false">IF(INDEX(選手一覧!$F$7:$F$2738,$F188)="","",INDEX(選手一覧!$F$7:$F$2738,$F188))</f>
        <v>0.0066474537037037</v>
      </c>
      <c r="J188" s="12" t="n">
        <f aca="false">IF(INDEX(選手一覧!$G$7:$G$2738,$F188)="","",INDEX(選手一覧!$G$7:$G$2738,$F188))</f>
        <v>81</v>
      </c>
    </row>
    <row r="189" customFormat="false" ht="15" hidden="false" customHeight="false" outlineLevel="0" collapsed="false">
      <c r="A189" s="12" t="n">
        <v>185</v>
      </c>
      <c r="B189" s="10" t="s">
        <v>686</v>
      </c>
      <c r="C189" s="10" t="s">
        <v>382</v>
      </c>
      <c r="D189" s="11" t="n">
        <v>0.00277673611111111</v>
      </c>
      <c r="E189" s="18" t="n">
        <f aca="false">ROUND((D189-$D$5)*86400,2)</f>
        <v>14.88</v>
      </c>
      <c r="F189" s="12" t="n">
        <v>439</v>
      </c>
      <c r="G189" s="11" t="str">
        <f aca="false">IF(INDEX(選手一覧!$D$7:$D$2738,$F189)="","",INDEX(選手一覧!$D$7:$D$2738,$F189))</f>
        <v/>
      </c>
      <c r="H189" s="12" t="str">
        <f aca="false">IF(INDEX(選手一覧!$E$7:$E$2738,$F189)="","",INDEX(選手一覧!$E$7:$E$2738,$F189))</f>
        <v/>
      </c>
      <c r="I189" s="11" t="n">
        <f aca="false">IF(INDEX(選手一覧!$F$7:$F$2738,$F189)="","",INDEX(選手一覧!$F$7:$F$2738,$F189))</f>
        <v>0.00708506944444444</v>
      </c>
      <c r="J189" s="12" t="n">
        <f aca="false">IF(INDEX(選手一覧!$G$7:$G$2738,$F189)="","",INDEX(選手一覧!$G$7:$G$2738,$F189))</f>
        <v>433</v>
      </c>
    </row>
    <row r="190" customFormat="false" ht="15" hidden="false" customHeight="false" outlineLevel="0" collapsed="false">
      <c r="A190" s="12" t="n">
        <v>186</v>
      </c>
      <c r="B190" s="10" t="s">
        <v>692</v>
      </c>
      <c r="C190" s="10" t="s">
        <v>201</v>
      </c>
      <c r="D190" s="11" t="n">
        <v>0.00277696759259259</v>
      </c>
      <c r="E190" s="18" t="n">
        <f aca="false">ROUND((D190-$D$5)*86400,2)</f>
        <v>14.9</v>
      </c>
      <c r="F190" s="12" t="n">
        <v>443</v>
      </c>
      <c r="G190" s="11" t="n">
        <f aca="false">IF(INDEX(選手一覧!$D$7:$D$2738,$F190)="","",INDEX(選手一覧!$D$7:$D$2738,$F190))</f>
        <v>0.0105891203703704</v>
      </c>
      <c r="H190" s="12" t="n">
        <f aca="false">IF(INDEX(選手一覧!$E$7:$E$2738,$F190)="","",INDEX(選手一覧!$E$7:$E$2738,$F190))</f>
        <v>453</v>
      </c>
      <c r="I190" s="11" t="str">
        <f aca="false">IF(INDEX(選手一覧!$F$7:$F$2738,$F190)="","",INDEX(選手一覧!$F$7:$F$2738,$F190))</f>
        <v/>
      </c>
      <c r="J190" s="12" t="str">
        <f aca="false">IF(INDEX(選手一覧!$G$7:$G$2738,$F190)="","",INDEX(選手一覧!$G$7:$G$2738,$F190))</f>
        <v/>
      </c>
    </row>
    <row r="191" customFormat="false" ht="15" hidden="false" customHeight="false" outlineLevel="0" collapsed="false">
      <c r="A191" s="12" t="n">
        <v>187</v>
      </c>
      <c r="B191" s="10" t="s">
        <v>676</v>
      </c>
      <c r="C191" s="10" t="s">
        <v>387</v>
      </c>
      <c r="D191" s="11" t="n">
        <v>0.00277731481481482</v>
      </c>
      <c r="E191" s="18" t="n">
        <f aca="false">ROUND((D191-$D$5)*86400,2)</f>
        <v>14.93</v>
      </c>
      <c r="F191" s="12" t="n">
        <v>432</v>
      </c>
      <c r="G191" s="11" t="n">
        <f aca="false">IF(INDEX(選手一覧!$D$7:$D$2738,$F191)="","",INDEX(選手一覧!$D$7:$D$2738,$F191))</f>
        <v>0.0103303240740741</v>
      </c>
      <c r="H191" s="12" t="n">
        <f aca="false">IF(INDEX(選手一覧!$E$7:$E$2738,$F191)="","",INDEX(選手一覧!$E$7:$E$2738,$F191))</f>
        <v>182</v>
      </c>
      <c r="I191" s="11" t="n">
        <f aca="false">IF(INDEX(選手一覧!$F$7:$F$2738,$F191)="","",INDEX(選手一覧!$F$7:$F$2738,$F191))</f>
        <v>0.00704131944444445</v>
      </c>
      <c r="J191" s="12" t="n">
        <f aca="false">IF(INDEX(選手一覧!$G$7:$G$2738,$F191)="","",INDEX(選手一覧!$G$7:$G$2738,$F191))</f>
        <v>378</v>
      </c>
    </row>
    <row r="192" customFormat="false" ht="15" hidden="false" customHeight="false" outlineLevel="0" collapsed="false">
      <c r="A192" s="12" t="n">
        <v>188</v>
      </c>
      <c r="B192" s="10" t="s">
        <v>698</v>
      </c>
      <c r="C192" s="10" t="s">
        <v>699</v>
      </c>
      <c r="D192" s="11" t="n">
        <v>0.00277743055555556</v>
      </c>
      <c r="E192" s="18" t="n">
        <f aca="false">ROUND((D192-$D$5)*86400,2)</f>
        <v>14.94</v>
      </c>
      <c r="F192" s="12" t="n">
        <v>447</v>
      </c>
      <c r="G192" s="11" t="n">
        <f aca="false">IF(INDEX(選手一覧!$D$7:$D$2738,$F192)="","",INDEX(選手一覧!$D$7:$D$2738,$F192))</f>
        <v>0.0107502314814815</v>
      </c>
      <c r="H192" s="12" t="n">
        <f aca="false">IF(INDEX(選手一覧!$E$7:$E$2738,$F192)="","",INDEX(選手一覧!$E$7:$E$2738,$F192))</f>
        <v>667</v>
      </c>
      <c r="I192" s="11" t="str">
        <f aca="false">IF(INDEX(選手一覧!$F$7:$F$2738,$F192)="","",INDEX(選手一覧!$F$7:$F$2738,$F192))</f>
        <v/>
      </c>
      <c r="J192" s="12" t="str">
        <f aca="false">IF(INDEX(選手一覧!$G$7:$G$2738,$F192)="","",INDEX(選手一覧!$G$7:$G$2738,$F192))</f>
        <v/>
      </c>
    </row>
    <row r="193" customFormat="false" ht="15" hidden="false" customHeight="false" outlineLevel="0" collapsed="false">
      <c r="A193" s="12" t="n">
        <v>189</v>
      </c>
      <c r="B193" s="10" t="s">
        <v>90</v>
      </c>
      <c r="C193" s="10" t="s">
        <v>91</v>
      </c>
      <c r="D193" s="11" t="n">
        <v>0.00277777777777778</v>
      </c>
      <c r="E193" s="18" t="n">
        <f aca="false">ROUND((D193-$D$5)*86400,2)</f>
        <v>14.97</v>
      </c>
      <c r="F193" s="12" t="n">
        <v>39</v>
      </c>
      <c r="G193" s="11" t="n">
        <f aca="false">IF(INDEX(選手一覧!$D$7:$D$2738,$F193)="","",INDEX(選手一覧!$D$7:$D$2738,$F193))</f>
        <v>0.0106957175925926</v>
      </c>
      <c r="H193" s="12" t="n">
        <f aca="false">IF(INDEX(選手一覧!$E$7:$E$2738,$F193)="","",INDEX(選手一覧!$E$7:$E$2738,$F193))</f>
        <v>573</v>
      </c>
      <c r="I193" s="11" t="n">
        <f aca="false">IF(INDEX(選手一覧!$F$7:$F$2738,$F193)="","",INDEX(選手一覧!$F$7:$F$2738,$F193))</f>
        <v>0.0064099537037037</v>
      </c>
      <c r="J193" s="12" t="n">
        <f aca="false">IF(INDEX(選手一覧!$G$7:$G$2738,$F193)="","",INDEX(選手一覧!$G$7:$G$2738,$F193))</f>
        <v>16</v>
      </c>
    </row>
    <row r="194" customFormat="false" ht="15" hidden="false" customHeight="false" outlineLevel="0" collapsed="false">
      <c r="A194" s="12" t="n">
        <v>190</v>
      </c>
      <c r="B194" s="10" t="s">
        <v>593</v>
      </c>
      <c r="C194" s="10" t="s">
        <v>166</v>
      </c>
      <c r="D194" s="11" t="n">
        <v>0.00277789351851852</v>
      </c>
      <c r="E194" s="18" t="n">
        <f aca="false">ROUND((D194-$D$5)*86400,2)</f>
        <v>14.98</v>
      </c>
      <c r="F194" s="12" t="n">
        <v>374</v>
      </c>
      <c r="G194" s="11" t="n">
        <f aca="false">IF(INDEX(選手一覧!$D$7:$D$2738,$F194)="","",INDEX(選手一覧!$D$7:$D$2738,$F194))</f>
        <v>0.0102986111111111</v>
      </c>
      <c r="H194" s="12" t="n">
        <f aca="false">IF(INDEX(選手一覧!$E$7:$E$2738,$F194)="","",INDEX(選手一覧!$E$7:$E$2738,$F194))</f>
        <v>158</v>
      </c>
      <c r="I194" s="11" t="str">
        <f aca="false">IF(INDEX(選手一覧!$F$7:$F$2738,$F194)="","",INDEX(選手一覧!$F$7:$F$2738,$F194))</f>
        <v/>
      </c>
      <c r="J194" s="12" t="str">
        <f aca="false">IF(INDEX(選手一覧!$G$7:$G$2738,$F194)="","",INDEX(選手一覧!$G$7:$G$2738,$F194))</f>
        <v/>
      </c>
    </row>
    <row r="195" customFormat="false" ht="15" hidden="false" customHeight="false" outlineLevel="0" collapsed="false">
      <c r="A195" s="12" t="n">
        <v>191</v>
      </c>
      <c r="B195" s="10" t="s">
        <v>707</v>
      </c>
      <c r="C195" s="10" t="s">
        <v>229</v>
      </c>
      <c r="D195" s="11" t="n">
        <v>0.002778125</v>
      </c>
      <c r="E195" s="18" t="n">
        <f aca="false">ROUND((D195-$D$5)*86400,2)</f>
        <v>15</v>
      </c>
      <c r="F195" s="12" t="n">
        <v>453</v>
      </c>
      <c r="G195" s="11" t="n">
        <f aca="false">IF(INDEX(選手一覧!$D$7:$D$2738,$F195)="","",INDEX(選手一覧!$D$7:$D$2738,$F195))</f>
        <v>0.0104916666666667</v>
      </c>
      <c r="H195" s="12" t="n">
        <f aca="false">IF(INDEX(選手一覧!$E$7:$E$2738,$F195)="","",INDEX(選手一覧!$E$7:$E$2738,$F195))</f>
        <v>336</v>
      </c>
      <c r="I195" s="11" t="str">
        <f aca="false">IF(INDEX(選手一覧!$F$7:$F$2738,$F195)="","",INDEX(選手一覧!$F$7:$F$2738,$F195))</f>
        <v/>
      </c>
      <c r="J195" s="12" t="str">
        <f aca="false">IF(INDEX(選手一覧!$G$7:$G$2738,$F195)="","",INDEX(選手一覧!$G$7:$G$2738,$F195))</f>
        <v/>
      </c>
    </row>
    <row r="196" customFormat="false" ht="15" hidden="false" customHeight="false" outlineLevel="0" collapsed="false">
      <c r="A196" s="12" t="n">
        <v>192</v>
      </c>
      <c r="B196" s="10" t="s">
        <v>713</v>
      </c>
      <c r="C196" s="10" t="s">
        <v>714</v>
      </c>
      <c r="D196" s="11" t="n">
        <v>0.00277824074074074</v>
      </c>
      <c r="E196" s="18" t="n">
        <f aca="false">ROUND((D196-$D$5)*86400,2)</f>
        <v>15.01</v>
      </c>
      <c r="F196" s="12" t="n">
        <v>458</v>
      </c>
      <c r="G196" s="11" t="str">
        <f aca="false">IF(INDEX(選手一覧!$D$7:$D$2738,$F196)="","",INDEX(選手一覧!$D$7:$D$2738,$F196))</f>
        <v/>
      </c>
      <c r="H196" s="12" t="str">
        <f aca="false">IF(INDEX(選手一覧!$E$7:$E$2738,$F196)="","",INDEX(選手一覧!$E$7:$E$2738,$F196))</f>
        <v/>
      </c>
      <c r="I196" s="11" t="str">
        <f aca="false">IF(INDEX(選手一覧!$F$7:$F$2738,$F196)="","",INDEX(選手一覧!$F$7:$F$2738,$F196))</f>
        <v/>
      </c>
      <c r="J196" s="12" t="str">
        <f aca="false">IF(INDEX(選手一覧!$G$7:$G$2738,$F196)="","",INDEX(選手一覧!$G$7:$G$2738,$F196))</f>
        <v/>
      </c>
    </row>
    <row r="197" customFormat="false" ht="15" hidden="false" customHeight="false" outlineLevel="0" collapsed="false">
      <c r="A197" s="12" t="n">
        <v>193</v>
      </c>
      <c r="B197" s="10" t="s">
        <v>715</v>
      </c>
      <c r="C197" s="10" t="s">
        <v>462</v>
      </c>
      <c r="D197" s="11" t="n">
        <v>0.00277835648148148</v>
      </c>
      <c r="E197" s="18" t="n">
        <f aca="false">ROUND((D197-$D$5)*86400,2)</f>
        <v>15.02</v>
      </c>
      <c r="F197" s="12" t="n">
        <v>459</v>
      </c>
      <c r="G197" s="11" t="n">
        <f aca="false">IF(INDEX(選手一覧!$D$7:$D$2738,$F197)="","",INDEX(選手一覧!$D$7:$D$2738,$F197))</f>
        <v>0.010665162037037</v>
      </c>
      <c r="H197" s="12" t="n">
        <f aca="false">IF(INDEX(選手一覧!$E$7:$E$2738,$F197)="","",INDEX(選手一覧!$E$7:$E$2738,$F197))</f>
        <v>539</v>
      </c>
      <c r="I197" s="11" t="str">
        <f aca="false">IF(INDEX(選手一覧!$F$7:$F$2738,$F197)="","",INDEX(選手一覧!$F$7:$F$2738,$F197))</f>
        <v/>
      </c>
      <c r="J197" s="12" t="str">
        <f aca="false">IF(INDEX(選手一覧!$G$7:$G$2738,$F197)="","",INDEX(選手一覧!$G$7:$G$2738,$F197))</f>
        <v/>
      </c>
    </row>
    <row r="198" customFormat="false" ht="15" hidden="false" customHeight="false" outlineLevel="0" collapsed="false">
      <c r="A198" s="12" t="n">
        <v>194</v>
      </c>
      <c r="B198" s="10" t="s">
        <v>409</v>
      </c>
      <c r="C198" s="10" t="s">
        <v>124</v>
      </c>
      <c r="D198" s="11" t="n">
        <v>0.00277835648148148</v>
      </c>
      <c r="E198" s="18" t="n">
        <f aca="false">ROUND((D198-$D$5)*86400,2)</f>
        <v>15.02</v>
      </c>
      <c r="F198" s="12" t="n">
        <v>246</v>
      </c>
      <c r="G198" s="11" t="n">
        <f aca="false">IF(INDEX(選手一覧!$D$7:$D$2738,$F198)="","",INDEX(選手一覧!$D$7:$D$2738,$F198))</f>
        <v>0.0102111111111111</v>
      </c>
      <c r="H198" s="12" t="n">
        <f aca="false">IF(INDEX(選手一覧!$E$7:$E$2738,$F198)="","",INDEX(選手一覧!$E$7:$E$2738,$F198))</f>
        <v>101</v>
      </c>
      <c r="I198" s="11" t="str">
        <f aca="false">IF(INDEX(選手一覧!$F$7:$F$2738,$F198)="","",INDEX(選手一覧!$F$7:$F$2738,$F198))</f>
        <v/>
      </c>
      <c r="J198" s="12" t="str">
        <f aca="false">IF(INDEX(選手一覧!$G$7:$G$2738,$F198)="","",INDEX(選手一覧!$G$7:$G$2738,$F198))</f>
        <v/>
      </c>
    </row>
    <row r="199" customFormat="false" ht="15" hidden="false" customHeight="false" outlineLevel="0" collapsed="false">
      <c r="A199" s="12" t="n">
        <v>195</v>
      </c>
      <c r="B199" s="10" t="s">
        <v>723</v>
      </c>
      <c r="C199" s="10" t="s">
        <v>724</v>
      </c>
      <c r="D199" s="11" t="n">
        <v>0.0027787037037037</v>
      </c>
      <c r="E199" s="18" t="n">
        <f aca="false">ROUND((D199-$D$5)*86400,2)</f>
        <v>15.05</v>
      </c>
      <c r="F199" s="12" t="n">
        <v>465</v>
      </c>
      <c r="G199" s="11" t="str">
        <f aca="false">IF(INDEX(選手一覧!$D$7:$D$2738,$F199)="","",INDEX(選手一覧!$D$7:$D$2738,$F199))</f>
        <v/>
      </c>
      <c r="H199" s="12" t="str">
        <f aca="false">IF(INDEX(選手一覧!$E$7:$E$2738,$F199)="","",INDEX(選手一覧!$E$7:$E$2738,$F199))</f>
        <v/>
      </c>
      <c r="I199" s="11" t="str">
        <f aca="false">IF(INDEX(選手一覧!$F$7:$F$2738,$F199)="","",INDEX(選手一覧!$F$7:$F$2738,$F199))</f>
        <v/>
      </c>
      <c r="J199" s="12" t="str">
        <f aca="false">IF(INDEX(選手一覧!$G$7:$G$2738,$F199)="","",INDEX(選手一覧!$G$7:$G$2738,$F199))</f>
        <v/>
      </c>
    </row>
    <row r="200" customFormat="false" ht="15" hidden="false" customHeight="false" outlineLevel="0" collapsed="false">
      <c r="A200" s="12" t="n">
        <v>196</v>
      </c>
      <c r="B200" s="10" t="s">
        <v>384</v>
      </c>
      <c r="C200" s="10" t="s">
        <v>385</v>
      </c>
      <c r="D200" s="11" t="n">
        <v>0.00277916666666667</v>
      </c>
      <c r="E200" s="18" t="n">
        <f aca="false">ROUND((D200-$D$5)*86400,2)</f>
        <v>15.09</v>
      </c>
      <c r="F200" s="12" t="n">
        <v>230</v>
      </c>
      <c r="G200" s="11" t="n">
        <f aca="false">IF(INDEX(選手一覧!$D$7:$D$2738,$F200)="","",INDEX(選手一覧!$D$7:$D$2738,$F200))</f>
        <v>0.0108484953703704</v>
      </c>
      <c r="H200" s="12" t="n">
        <f aca="false">IF(INDEX(選手一覧!$E$7:$E$2738,$F200)="","",INDEX(選手一覧!$E$7:$E$2738,$F200))</f>
        <v>834</v>
      </c>
      <c r="I200" s="11" t="n">
        <f aca="false">IF(INDEX(選手一覧!$F$7:$F$2738,$F200)="","",INDEX(選手一覧!$F$7:$F$2738,$F200))</f>
        <v>0.00667592592592593</v>
      </c>
      <c r="J200" s="12" t="n">
        <f aca="false">IF(INDEX(選手一覧!$G$7:$G$2738,$F200)="","",INDEX(選手一覧!$G$7:$G$2738,$F200))</f>
        <v>95</v>
      </c>
    </row>
    <row r="201" customFormat="false" ht="15" hidden="false" customHeight="false" outlineLevel="0" collapsed="false">
      <c r="A201" s="12" t="n">
        <v>197</v>
      </c>
      <c r="B201" s="10" t="s">
        <v>729</v>
      </c>
      <c r="C201" s="10" t="s">
        <v>730</v>
      </c>
      <c r="D201" s="11" t="n">
        <v>0.00277928240740741</v>
      </c>
      <c r="E201" s="18" t="n">
        <f aca="false">ROUND((D201-$D$5)*86400,2)</f>
        <v>15.1</v>
      </c>
      <c r="F201" s="12" t="n">
        <v>470</v>
      </c>
      <c r="G201" s="11" t="str">
        <f aca="false">IF(INDEX(選手一覧!$D$7:$D$2738,$F201)="","",INDEX(選手一覧!$D$7:$D$2738,$F201))</f>
        <v/>
      </c>
      <c r="H201" s="12" t="str">
        <f aca="false">IF(INDEX(選手一覧!$E$7:$E$2738,$F201)="","",INDEX(選手一覧!$E$7:$E$2738,$F201))</f>
        <v/>
      </c>
      <c r="I201" s="11" t="str">
        <f aca="false">IF(INDEX(選手一覧!$F$7:$F$2738,$F201)="","",INDEX(選手一覧!$F$7:$F$2738,$F201))</f>
        <v/>
      </c>
      <c r="J201" s="12" t="str">
        <f aca="false">IF(INDEX(選手一覧!$G$7:$G$2738,$F201)="","",INDEX(選手一覧!$G$7:$G$2738,$F201))</f>
        <v/>
      </c>
    </row>
    <row r="202" customFormat="false" ht="15" hidden="false" customHeight="false" outlineLevel="0" collapsed="false">
      <c r="A202" s="12" t="n">
        <v>198</v>
      </c>
      <c r="B202" s="10" t="s">
        <v>732</v>
      </c>
      <c r="C202" s="10" t="s">
        <v>733</v>
      </c>
      <c r="D202" s="11" t="n">
        <v>0.00277939814814815</v>
      </c>
      <c r="E202" s="18" t="n">
        <f aca="false">ROUND((D202-$D$5)*86400,2)</f>
        <v>15.11</v>
      </c>
      <c r="F202" s="12" t="n">
        <v>472</v>
      </c>
      <c r="G202" s="11" t="n">
        <f aca="false">IF(INDEX(選手一覧!$D$7:$D$2738,$F202)="","",INDEX(選手一覧!$D$7:$D$2738,$F202))</f>
        <v>0.0105118055555556</v>
      </c>
      <c r="H202" s="12" t="n">
        <f aca="false">IF(INDEX(選手一覧!$E$7:$E$2738,$F202)="","",INDEX(選手一覧!$E$7:$E$2738,$F202))</f>
        <v>354</v>
      </c>
      <c r="I202" s="11" t="str">
        <f aca="false">IF(INDEX(選手一覧!$F$7:$F$2738,$F202)="","",INDEX(選手一覧!$F$7:$F$2738,$F202))</f>
        <v/>
      </c>
      <c r="J202" s="12" t="str">
        <f aca="false">IF(INDEX(選手一覧!$G$7:$G$2738,$F202)="","",INDEX(選手一覧!$G$7:$G$2738,$F202))</f>
        <v/>
      </c>
    </row>
    <row r="203" customFormat="false" ht="15" hidden="false" customHeight="false" outlineLevel="0" collapsed="false">
      <c r="A203" s="12" t="n">
        <v>199</v>
      </c>
      <c r="B203" s="10" t="s">
        <v>478</v>
      </c>
      <c r="C203" s="10" t="s">
        <v>72</v>
      </c>
      <c r="D203" s="11" t="n">
        <v>0.00277951388888889</v>
      </c>
      <c r="E203" s="18" t="n">
        <f aca="false">ROUND((D203-$D$5)*86400,2)</f>
        <v>15.12</v>
      </c>
      <c r="F203" s="12" t="n">
        <v>297</v>
      </c>
      <c r="G203" s="11" t="n">
        <f aca="false">IF(INDEX(選手一覧!$D$7:$D$2738,$F203)="","",INDEX(選手一覧!$D$7:$D$2738,$F203))</f>
        <v>0.0103144675925926</v>
      </c>
      <c r="H203" s="12" t="n">
        <f aca="false">IF(INDEX(選手一覧!$E$7:$E$2738,$F203)="","",INDEX(選手一覧!$E$7:$E$2738,$F203))</f>
        <v>167</v>
      </c>
      <c r="I203" s="11" t="n">
        <f aca="false">IF(INDEX(選手一覧!$F$7:$F$2738,$F203)="","",INDEX(選手一覧!$F$7:$F$2738,$F203))</f>
        <v>0.00674305555555556</v>
      </c>
      <c r="J203" s="12" t="n">
        <f aca="false">IF(INDEX(選手一覧!$G$7:$G$2738,$F203)="","",INDEX(選手一覧!$G$7:$G$2738,$F203))</f>
        <v>123</v>
      </c>
    </row>
    <row r="204" customFormat="false" ht="15" hidden="false" customHeight="false" outlineLevel="0" collapsed="false">
      <c r="A204" s="12" t="n">
        <v>200</v>
      </c>
      <c r="B204" s="10" t="s">
        <v>65</v>
      </c>
      <c r="C204" s="10" t="s">
        <v>36</v>
      </c>
      <c r="D204" s="11" t="n">
        <v>0.00277962962962963</v>
      </c>
      <c r="E204" s="18" t="n">
        <f aca="false">ROUND((D204-$D$5)*86400,2)</f>
        <v>15.13</v>
      </c>
      <c r="F204" s="12" t="n">
        <v>23</v>
      </c>
      <c r="G204" s="11" t="n">
        <f aca="false">IF(INDEX(選手一覧!$D$7:$D$2738,$F204)="","",INDEX(選手一覧!$D$7:$D$2738,$F204))</f>
        <v>0.00981481481481481</v>
      </c>
      <c r="H204" s="12" t="n">
        <f aca="false">IF(INDEX(選手一覧!$E$7:$E$2738,$F204)="","",INDEX(選手一覧!$E$7:$E$2738,$F204))</f>
        <v>9</v>
      </c>
      <c r="I204" s="11" t="str">
        <f aca="false">IF(INDEX(選手一覧!$F$7:$F$2738,$F204)="","",INDEX(選手一覧!$F$7:$F$2738,$F204))</f>
        <v/>
      </c>
      <c r="J204" s="12" t="str">
        <f aca="false">IF(INDEX(選手一覧!$G$7:$G$2738,$F204)="","",INDEX(選手一覧!$G$7:$G$2738,$F204))</f>
        <v/>
      </c>
    </row>
    <row r="205" customFormat="false" ht="15" hidden="false" customHeight="false" outlineLevel="0" collapsed="false">
      <c r="A205" s="12" t="n">
        <v>201</v>
      </c>
      <c r="B205" s="10" t="s">
        <v>119</v>
      </c>
      <c r="C205" s="10" t="s">
        <v>120</v>
      </c>
      <c r="D205" s="11" t="n">
        <v>0.00278020833333333</v>
      </c>
      <c r="E205" s="18" t="n">
        <f aca="false">ROUND((D205-$D$5)*86400,2)</f>
        <v>15.18</v>
      </c>
      <c r="F205" s="12" t="n">
        <v>55</v>
      </c>
      <c r="G205" s="11" t="n">
        <f aca="false">IF(INDEX(選手一覧!$D$7:$D$2738,$F205)="","",INDEX(選手一覧!$D$7:$D$2738,$F205))</f>
        <v>0.0102828703703704</v>
      </c>
      <c r="H205" s="12" t="n">
        <f aca="false">IF(INDEX(選手一覧!$E$7:$E$2738,$F205)="","",INDEX(選手一覧!$E$7:$E$2738,$F205))</f>
        <v>152</v>
      </c>
      <c r="I205" s="11" t="n">
        <f aca="false">IF(INDEX(選手一覧!$F$7:$F$2738,$F205)="","",INDEX(選手一覧!$F$7:$F$2738,$F205))</f>
        <v>0.00644189814814815</v>
      </c>
      <c r="J205" s="12" t="n">
        <f aca="false">IF(INDEX(選手一覧!$G$7:$G$2738,$F205)="","",INDEX(選手一覧!$G$7:$G$2738,$F205))</f>
        <v>22</v>
      </c>
    </row>
    <row r="206" customFormat="false" ht="15" hidden="false" customHeight="false" outlineLevel="0" collapsed="false">
      <c r="A206" s="12" t="n">
        <v>202</v>
      </c>
      <c r="B206" s="10" t="s">
        <v>743</v>
      </c>
      <c r="C206" s="10" t="s">
        <v>744</v>
      </c>
      <c r="D206" s="11" t="n">
        <v>0.00278032407407407</v>
      </c>
      <c r="E206" s="18" t="n">
        <f aca="false">ROUND((D206-$D$5)*86400,2)</f>
        <v>15.19</v>
      </c>
      <c r="F206" s="12" t="n">
        <v>480</v>
      </c>
      <c r="G206" s="11" t="n">
        <f aca="false">IF(INDEX(選手一覧!$D$7:$D$2738,$F206)="","",INDEX(選手一覧!$D$7:$D$2738,$F206))</f>
        <v>0.0104189814814815</v>
      </c>
      <c r="H206" s="12" t="n">
        <f aca="false">IF(INDEX(選手一覧!$E$7:$E$2738,$F206)="","",INDEX(選手一覧!$E$7:$E$2738,$F206))</f>
        <v>284</v>
      </c>
      <c r="I206" s="11" t="str">
        <f aca="false">IF(INDEX(選手一覧!$F$7:$F$2738,$F206)="","",INDEX(選手一覧!$F$7:$F$2738,$F206))</f>
        <v/>
      </c>
      <c r="J206" s="12" t="str">
        <f aca="false">IF(INDEX(選手一覧!$G$7:$G$2738,$F206)="","",INDEX(選手一覧!$G$7:$G$2738,$F206))</f>
        <v/>
      </c>
    </row>
    <row r="207" customFormat="false" ht="15" hidden="false" customHeight="false" outlineLevel="0" collapsed="false">
      <c r="A207" s="12" t="n">
        <v>203</v>
      </c>
      <c r="B207" s="10" t="s">
        <v>749</v>
      </c>
      <c r="C207" s="10" t="s">
        <v>72</v>
      </c>
      <c r="D207" s="11" t="n">
        <v>0.00278055555555556</v>
      </c>
      <c r="E207" s="18" t="n">
        <f aca="false">ROUND((D207-$D$5)*86400,2)</f>
        <v>15.21</v>
      </c>
      <c r="F207" s="12" t="n">
        <v>483</v>
      </c>
      <c r="G207" s="11" t="n">
        <f aca="false">IF(INDEX(選手一覧!$D$7:$D$2738,$F207)="","",INDEX(選手一覧!$D$7:$D$2738,$F207))</f>
        <v>0.0108065972222222</v>
      </c>
      <c r="H207" s="12" t="n">
        <f aca="false">IF(INDEX(選手一覧!$E$7:$E$2738,$F207)="","",INDEX(選手一覧!$E$7:$E$2738,$F207))</f>
        <v>756</v>
      </c>
      <c r="I207" s="11" t="str">
        <f aca="false">IF(INDEX(選手一覧!$F$7:$F$2738,$F207)="","",INDEX(選手一覧!$F$7:$F$2738,$F207))</f>
        <v/>
      </c>
      <c r="J207" s="12" t="str">
        <f aca="false">IF(INDEX(選手一覧!$G$7:$G$2738,$F207)="","",INDEX(選手一覧!$G$7:$G$2738,$F207))</f>
        <v/>
      </c>
    </row>
    <row r="208" customFormat="false" ht="15" hidden="false" customHeight="false" outlineLevel="0" collapsed="false">
      <c r="A208" s="12" t="n">
        <v>204</v>
      </c>
      <c r="B208" s="10" t="s">
        <v>751</v>
      </c>
      <c r="C208" s="10" t="s">
        <v>752</v>
      </c>
      <c r="D208" s="11" t="n">
        <v>0.00278055555555556</v>
      </c>
      <c r="E208" s="18" t="n">
        <f aca="false">ROUND((D208-$D$5)*86400,2)</f>
        <v>15.21</v>
      </c>
      <c r="F208" s="12" t="n">
        <v>485</v>
      </c>
      <c r="G208" s="11" t="n">
        <f aca="false">IF(INDEX(選手一覧!$D$7:$D$2738,$F208)="","",INDEX(選手一覧!$D$7:$D$2738,$F208))</f>
        <v>0.0108310185185185</v>
      </c>
      <c r="H208" s="12" t="n">
        <f aca="false">IF(INDEX(選手一覧!$E$7:$E$2738,$F208)="","",INDEX(選手一覧!$E$7:$E$2738,$F208))</f>
        <v>792</v>
      </c>
      <c r="I208" s="11" t="str">
        <f aca="false">IF(INDEX(選手一覧!$F$7:$F$2738,$F208)="","",INDEX(選手一覧!$F$7:$F$2738,$F208))</f>
        <v/>
      </c>
      <c r="J208" s="12" t="str">
        <f aca="false">IF(INDEX(選手一覧!$G$7:$G$2738,$F208)="","",INDEX(選手一覧!$G$7:$G$2738,$F208))</f>
        <v/>
      </c>
    </row>
    <row r="209" customFormat="false" ht="15" hidden="false" customHeight="false" outlineLevel="0" collapsed="false">
      <c r="A209" s="12" t="n">
        <v>205</v>
      </c>
      <c r="B209" s="10" t="s">
        <v>293</v>
      </c>
      <c r="C209" s="10" t="s">
        <v>87</v>
      </c>
      <c r="D209" s="11" t="n">
        <v>0.0027806712962963</v>
      </c>
      <c r="E209" s="18" t="n">
        <f aca="false">ROUND((D209-$D$5)*86400,2)</f>
        <v>15.22</v>
      </c>
      <c r="F209" s="12" t="n">
        <v>165</v>
      </c>
      <c r="G209" s="11" t="n">
        <f aca="false">IF(INDEX(選手一覧!$D$7:$D$2738,$F209)="","",INDEX(選手一覧!$D$7:$D$2738,$F209))</f>
        <v>0.0106052083333333</v>
      </c>
      <c r="H209" s="12" t="n">
        <f aca="false">IF(INDEX(選手一覧!$E$7:$E$2738,$F209)="","",INDEX(選手一覧!$E$7:$E$2738,$F209))</f>
        <v>468</v>
      </c>
      <c r="I209" s="11" t="n">
        <f aca="false">IF(INDEX(選手一覧!$F$7:$F$2738,$F209)="","",INDEX(選手一覧!$F$7:$F$2738,$F209))</f>
        <v>0.00659479166666667</v>
      </c>
      <c r="J209" s="12" t="n">
        <f aca="false">IF(INDEX(選手一覧!$G$7:$G$2738,$F209)="","",INDEX(選手一覧!$G$7:$G$2738,$F209))</f>
        <v>67</v>
      </c>
    </row>
    <row r="210" customFormat="false" ht="15" hidden="false" customHeight="false" outlineLevel="0" collapsed="false">
      <c r="A210" s="12" t="n">
        <v>206</v>
      </c>
      <c r="B210" s="10" t="s">
        <v>761</v>
      </c>
      <c r="C210" s="10" t="s">
        <v>762</v>
      </c>
      <c r="D210" s="11" t="n">
        <v>0.00278113425925926</v>
      </c>
      <c r="E210" s="18" t="n">
        <f aca="false">ROUND((D210-$D$5)*86400,2)</f>
        <v>15.26</v>
      </c>
      <c r="F210" s="12" t="n">
        <v>491</v>
      </c>
      <c r="G210" s="11" t="str">
        <f aca="false">IF(INDEX(選手一覧!$D$7:$D$2738,$F210)="","",INDEX(選手一覧!$D$7:$D$2738,$F210))</f>
        <v/>
      </c>
      <c r="H210" s="12" t="str">
        <f aca="false">IF(INDEX(選手一覧!$E$7:$E$2738,$F210)="","",INDEX(選手一覧!$E$7:$E$2738,$F210))</f>
        <v/>
      </c>
      <c r="I210" s="11" t="str">
        <f aca="false">IF(INDEX(選手一覧!$F$7:$F$2738,$F210)="","",INDEX(選手一覧!$F$7:$F$2738,$F210))</f>
        <v/>
      </c>
      <c r="J210" s="12" t="str">
        <f aca="false">IF(INDEX(選手一覧!$G$7:$G$2738,$F210)="","",INDEX(選手一覧!$G$7:$G$2738,$F210))</f>
        <v/>
      </c>
    </row>
    <row r="211" customFormat="false" ht="15" hidden="false" customHeight="false" outlineLevel="0" collapsed="false">
      <c r="A211" s="12" t="n">
        <v>207</v>
      </c>
      <c r="B211" s="10" t="s">
        <v>764</v>
      </c>
      <c r="C211" s="10" t="s">
        <v>69</v>
      </c>
      <c r="D211" s="11" t="n">
        <v>0.00278125</v>
      </c>
      <c r="E211" s="18" t="n">
        <f aca="false">ROUND((D211-$D$5)*86400,2)</f>
        <v>15.27</v>
      </c>
      <c r="F211" s="12" t="n">
        <v>493</v>
      </c>
      <c r="G211" s="11" t="n">
        <f aca="false">IF(INDEX(選手一覧!$D$7:$D$2738,$F211)="","",INDEX(選手一覧!$D$7:$D$2738,$F211))</f>
        <v>0.0107627314814815</v>
      </c>
      <c r="H211" s="12" t="n">
        <f aca="false">IF(INDEX(選手一覧!$E$7:$E$2738,$F211)="","",INDEX(選手一覧!$E$7:$E$2738,$F211))</f>
        <v>686</v>
      </c>
      <c r="I211" s="11" t="str">
        <f aca="false">IF(INDEX(選手一覧!$F$7:$F$2738,$F211)="","",INDEX(選手一覧!$F$7:$F$2738,$F211))</f>
        <v/>
      </c>
      <c r="J211" s="12" t="str">
        <f aca="false">IF(INDEX(選手一覧!$G$7:$G$2738,$F211)="","",INDEX(選手一覧!$G$7:$G$2738,$F211))</f>
        <v/>
      </c>
    </row>
    <row r="212" customFormat="false" ht="15" hidden="false" customHeight="false" outlineLevel="0" collapsed="false">
      <c r="A212" s="12" t="n">
        <v>208</v>
      </c>
      <c r="B212" s="10" t="s">
        <v>766</v>
      </c>
      <c r="C212" s="10" t="s">
        <v>120</v>
      </c>
      <c r="D212" s="11" t="n">
        <v>0.00278125</v>
      </c>
      <c r="E212" s="18" t="n">
        <f aca="false">ROUND((D212-$D$5)*86400,2)</f>
        <v>15.27</v>
      </c>
      <c r="F212" s="12" t="n">
        <v>495</v>
      </c>
      <c r="G212" s="11" t="n">
        <f aca="false">IF(INDEX(選手一覧!$D$7:$D$2738,$F212)="","",INDEX(選手一覧!$D$7:$D$2738,$F212))</f>
        <v>0.0104087962962963</v>
      </c>
      <c r="H212" s="12" t="n">
        <f aca="false">IF(INDEX(選手一覧!$E$7:$E$2738,$F212)="","",INDEX(選手一覧!$E$7:$E$2738,$F212))</f>
        <v>273</v>
      </c>
      <c r="I212" s="11" t="str">
        <f aca="false">IF(INDEX(選手一覧!$F$7:$F$2738,$F212)="","",INDEX(選手一覧!$F$7:$F$2738,$F212))</f>
        <v/>
      </c>
      <c r="J212" s="12" t="str">
        <f aca="false">IF(INDEX(選手一覧!$G$7:$G$2738,$F212)="","",INDEX(選手一覧!$G$7:$G$2738,$F212))</f>
        <v/>
      </c>
    </row>
    <row r="213" customFormat="false" ht="15" hidden="false" customHeight="false" outlineLevel="0" collapsed="false">
      <c r="A213" s="12" t="n">
        <v>209</v>
      </c>
      <c r="B213" s="10" t="s">
        <v>28</v>
      </c>
      <c r="C213" s="10" t="s">
        <v>29</v>
      </c>
      <c r="D213" s="11" t="n">
        <v>0.00278136574074074</v>
      </c>
      <c r="E213" s="18" t="n">
        <f aca="false">ROUND((D213-$D$5)*86400,2)</f>
        <v>15.28</v>
      </c>
      <c r="F213" s="12" t="n">
        <v>4</v>
      </c>
      <c r="G213" s="11" t="n">
        <f aca="false">IF(INDEX(選手一覧!$D$7:$D$2738,$F213)="","",INDEX(選手一覧!$D$7:$D$2738,$F213))</f>
        <v>0.00975914351851852</v>
      </c>
      <c r="H213" s="12" t="n">
        <f aca="false">IF(INDEX(選手一覧!$E$7:$E$2738,$F213)="","",INDEX(選手一覧!$E$7:$E$2738,$F213))</f>
        <v>6</v>
      </c>
      <c r="I213" s="11" t="n">
        <f aca="false">IF(INDEX(選手一覧!$F$7:$F$2738,$F213)="","",INDEX(選手一覧!$F$7:$F$2738,$F213))</f>
        <v>0.00626909722222222</v>
      </c>
      <c r="J213" s="12" t="n">
        <f aca="false">IF(INDEX(選手一覧!$G$7:$G$2738,$F213)="","",INDEX(選手一覧!$G$7:$G$2738,$F213))</f>
        <v>2</v>
      </c>
    </row>
    <row r="214" customFormat="false" ht="15" hidden="false" customHeight="false" outlineLevel="0" collapsed="false">
      <c r="A214" s="12" t="n">
        <v>210</v>
      </c>
      <c r="B214" s="10" t="s">
        <v>774</v>
      </c>
      <c r="C214" s="10" t="s">
        <v>124</v>
      </c>
      <c r="D214" s="11" t="n">
        <v>0.00278194444444445</v>
      </c>
      <c r="E214" s="18" t="n">
        <f aca="false">ROUND((D214-$D$5)*86400,2)</f>
        <v>15.33</v>
      </c>
      <c r="F214" s="12" t="n">
        <v>501</v>
      </c>
      <c r="G214" s="11" t="n">
        <f aca="false">IF(INDEX(選手一覧!$D$7:$D$2738,$F214)="","",INDEX(選手一覧!$D$7:$D$2738,$F214))</f>
        <v>0.0104322916666667</v>
      </c>
      <c r="H214" s="12" t="n">
        <f aca="false">IF(INDEX(選手一覧!$E$7:$E$2738,$F214)="","",INDEX(選手一覧!$E$7:$E$2738,$F214))</f>
        <v>296</v>
      </c>
      <c r="I214" s="11" t="str">
        <f aca="false">IF(INDEX(選手一覧!$F$7:$F$2738,$F214)="","",INDEX(選手一覧!$F$7:$F$2738,$F214))</f>
        <v/>
      </c>
      <c r="J214" s="12" t="str">
        <f aca="false">IF(INDEX(選手一覧!$G$7:$G$2738,$F214)="","",INDEX(選手一覧!$G$7:$G$2738,$F214))</f>
        <v/>
      </c>
    </row>
    <row r="215" customFormat="false" ht="15" hidden="false" customHeight="false" outlineLevel="0" collapsed="false">
      <c r="A215" s="12" t="n">
        <v>211</v>
      </c>
      <c r="B215" s="10" t="s">
        <v>777</v>
      </c>
      <c r="C215" s="10" t="s">
        <v>312</v>
      </c>
      <c r="D215" s="11" t="n">
        <v>0.00278240740740741</v>
      </c>
      <c r="E215" s="18" t="n">
        <f aca="false">ROUND((D215-$D$5)*86400,2)</f>
        <v>15.37</v>
      </c>
      <c r="F215" s="12" t="n">
        <v>504</v>
      </c>
      <c r="G215" s="11" t="str">
        <f aca="false">IF(INDEX(選手一覧!$D$7:$D$2738,$F215)="","",INDEX(選手一覧!$D$7:$D$2738,$F215))</f>
        <v/>
      </c>
      <c r="H215" s="12" t="str">
        <f aca="false">IF(INDEX(選手一覧!$E$7:$E$2738,$F215)="","",INDEX(選手一覧!$E$7:$E$2738,$F215))</f>
        <v/>
      </c>
      <c r="I215" s="11" t="str">
        <f aca="false">IF(INDEX(選手一覧!$F$7:$F$2738,$F215)="","",INDEX(選手一覧!$F$7:$F$2738,$F215))</f>
        <v/>
      </c>
      <c r="J215" s="12" t="str">
        <f aca="false">IF(INDEX(選手一覧!$G$7:$G$2738,$F215)="","",INDEX(選手一覧!$G$7:$G$2738,$F215))</f>
        <v/>
      </c>
    </row>
    <row r="216" customFormat="false" ht="15" hidden="false" customHeight="false" outlineLevel="0" collapsed="false">
      <c r="A216" s="12" t="n">
        <v>212</v>
      </c>
      <c r="B216" s="10" t="s">
        <v>606</v>
      </c>
      <c r="C216" s="10" t="s">
        <v>312</v>
      </c>
      <c r="D216" s="11" t="n">
        <v>0.00278275462962963</v>
      </c>
      <c r="E216" s="18" t="n">
        <f aca="false">ROUND((D216-$D$5)*86400,2)</f>
        <v>15.4</v>
      </c>
      <c r="F216" s="12" t="n">
        <v>383</v>
      </c>
      <c r="G216" s="11" t="n">
        <f aca="false">IF(INDEX(選手一覧!$D$7:$D$2738,$F216)="","",INDEX(選手一覧!$D$7:$D$2738,$F216))</f>
        <v>0.0103019675925926</v>
      </c>
      <c r="H216" s="12" t="n">
        <f aca="false">IF(INDEX(選手一覧!$E$7:$E$2738,$F216)="","",INDEX(選手一覧!$E$7:$E$2738,$F216))</f>
        <v>163</v>
      </c>
      <c r="I216" s="11" t="n">
        <f aca="false">IF(INDEX(選手一覧!$F$7:$F$2738,$F216)="","",INDEX(選手一覧!$F$7:$F$2738,$F216))</f>
        <v>0.00693576388888889</v>
      </c>
      <c r="J216" s="12" t="n">
        <f aca="false">IF(INDEX(選手一覧!$G$7:$G$2738,$F216)="","",INDEX(選手一覧!$G$7:$G$2738,$F216))</f>
        <v>278</v>
      </c>
    </row>
    <row r="217" customFormat="false" ht="15" hidden="false" customHeight="false" outlineLevel="0" collapsed="false">
      <c r="A217" s="12" t="n">
        <v>213</v>
      </c>
      <c r="B217" s="10" t="s">
        <v>780</v>
      </c>
      <c r="C217" s="10" t="s">
        <v>771</v>
      </c>
      <c r="D217" s="11" t="n">
        <v>0.00278333333333333</v>
      </c>
      <c r="E217" s="18" t="n">
        <f aca="false">ROUND((D217-$D$5)*86400,2)</f>
        <v>15.45</v>
      </c>
      <c r="F217" s="12" t="n">
        <v>507</v>
      </c>
      <c r="G217" s="11" t="n">
        <f aca="false">IF(INDEX(選手一覧!$D$7:$D$2738,$F217)="","",INDEX(選手一覧!$D$7:$D$2738,$F217))</f>
        <v>0.0106444444444444</v>
      </c>
      <c r="H217" s="12" t="n">
        <f aca="false">IF(INDEX(選手一覧!$E$7:$E$2738,$F217)="","",INDEX(選手一覧!$E$7:$E$2738,$F217))</f>
        <v>518</v>
      </c>
      <c r="I217" s="11" t="n">
        <f aca="false">IF(INDEX(選手一覧!$F$7:$F$2738,$F217)="","",INDEX(選手一覧!$F$7:$F$2738,$F217))</f>
        <v>0.00697905092592593</v>
      </c>
      <c r="J217" s="12" t="n">
        <f aca="false">IF(INDEX(選手一覧!$G$7:$G$2738,$F217)="","",INDEX(選手一覧!$G$7:$G$2738,$F217))</f>
        <v>311</v>
      </c>
    </row>
    <row r="218" customFormat="false" ht="15" hidden="false" customHeight="false" outlineLevel="0" collapsed="false">
      <c r="A218" s="12" t="n">
        <v>214</v>
      </c>
      <c r="B218" s="10" t="s">
        <v>785</v>
      </c>
      <c r="C218" s="10" t="s">
        <v>555</v>
      </c>
      <c r="D218" s="11" t="n">
        <v>0.00278356481481482</v>
      </c>
      <c r="E218" s="18" t="n">
        <f aca="false">ROUND((D218-$D$5)*86400,2)</f>
        <v>15.47</v>
      </c>
      <c r="F218" s="12" t="n">
        <v>511</v>
      </c>
      <c r="G218" s="11" t="n">
        <f aca="false">IF(INDEX(選手一覧!$D$7:$D$2738,$F218)="","",INDEX(選手一覧!$D$7:$D$2738,$F218))</f>
        <v>0.0107881944444444</v>
      </c>
      <c r="H218" s="12" t="n">
        <f aca="false">IF(INDEX(選手一覧!$E$7:$E$2738,$F218)="","",INDEX(選手一覧!$E$7:$E$2738,$F218))</f>
        <v>718</v>
      </c>
      <c r="I218" s="11" t="n">
        <f aca="false">IF(INDEX(選手一覧!$F$7:$F$2738,$F218)="","",INDEX(選手一覧!$F$7:$F$2738,$F218))</f>
        <v>0.00738912037037037</v>
      </c>
      <c r="J218" s="12" t="n">
        <f aca="false">IF(INDEX(選手一覧!$G$7:$G$2738,$F218)="","",INDEX(選手一覧!$G$7:$G$2738,$F218))</f>
        <v>760</v>
      </c>
    </row>
    <row r="219" customFormat="false" ht="15" hidden="false" customHeight="false" outlineLevel="0" collapsed="false">
      <c r="A219" s="12" t="n">
        <v>215</v>
      </c>
      <c r="B219" s="10" t="s">
        <v>532</v>
      </c>
      <c r="C219" s="10" t="s">
        <v>91</v>
      </c>
      <c r="D219" s="11" t="n">
        <v>0.0027837962962963</v>
      </c>
      <c r="E219" s="18" t="n">
        <f aca="false">ROUND((D219-$D$5)*86400,2)</f>
        <v>15.49</v>
      </c>
      <c r="F219" s="12" t="n">
        <v>332</v>
      </c>
      <c r="G219" s="11" t="n">
        <f aca="false">IF(INDEX(選手一覧!$D$7:$D$2738,$F219)="","",INDEX(選手一覧!$D$7:$D$2738,$F219))</f>
        <v>0.010269212962963</v>
      </c>
      <c r="H219" s="12" t="n">
        <f aca="false">IF(INDEX(選手一覧!$E$7:$E$2738,$F219)="","",INDEX(選手一覧!$E$7:$E$2738,$F219))</f>
        <v>138</v>
      </c>
      <c r="I219" s="11" t="str">
        <f aca="false">IF(INDEX(選手一覧!$F$7:$F$2738,$F219)="","",INDEX(選手一覧!$F$7:$F$2738,$F219))</f>
        <v/>
      </c>
      <c r="J219" s="12" t="str">
        <f aca="false">IF(INDEX(選手一覧!$G$7:$G$2738,$F219)="","",INDEX(選手一覧!$G$7:$G$2738,$F219))</f>
        <v/>
      </c>
    </row>
    <row r="220" customFormat="false" ht="15" hidden="false" customHeight="false" outlineLevel="0" collapsed="false">
      <c r="A220" s="12" t="n">
        <v>216</v>
      </c>
      <c r="B220" s="10" t="s">
        <v>224</v>
      </c>
      <c r="C220" s="10" t="s">
        <v>210</v>
      </c>
      <c r="D220" s="11" t="n">
        <v>0.00278391203703704</v>
      </c>
      <c r="E220" s="18" t="n">
        <f aca="false">ROUND((D220-$D$5)*86400,2)</f>
        <v>15.5</v>
      </c>
      <c r="F220" s="12" t="n">
        <v>118</v>
      </c>
      <c r="G220" s="11" t="n">
        <f aca="false">IF(INDEX(選手一覧!$D$7:$D$2738,$F220)="","",INDEX(選手一覧!$D$7:$D$2738,$F220))</f>
        <v>0.0103172453703704</v>
      </c>
      <c r="H220" s="12" t="n">
        <f aca="false">IF(INDEX(選手一覧!$E$7:$E$2738,$F220)="","",INDEX(選手一覧!$E$7:$E$2738,$F220))</f>
        <v>170</v>
      </c>
      <c r="I220" s="11" t="n">
        <f aca="false">IF(INDEX(選手一覧!$F$7:$F$2738,$F220)="","",INDEX(選手一覧!$F$7:$F$2738,$F220))</f>
        <v>0.00654826388888889</v>
      </c>
      <c r="J220" s="12" t="n">
        <f aca="false">IF(INDEX(選手一覧!$G$7:$G$2738,$F220)="","",INDEX(選手一覧!$G$7:$G$2738,$F220))</f>
        <v>45</v>
      </c>
    </row>
    <row r="221" customFormat="false" ht="15" hidden="false" customHeight="false" outlineLevel="0" collapsed="false">
      <c r="A221" s="12" t="n">
        <v>217</v>
      </c>
      <c r="B221" s="10" t="s">
        <v>192</v>
      </c>
      <c r="C221" s="10" t="s">
        <v>193</v>
      </c>
      <c r="D221" s="11" t="n">
        <v>0.00278425925925926</v>
      </c>
      <c r="E221" s="18" t="n">
        <f aca="false">ROUND((D221-$D$5)*86400,2)</f>
        <v>15.53</v>
      </c>
      <c r="F221" s="12" t="n">
        <v>97</v>
      </c>
      <c r="G221" s="11" t="n">
        <f aca="false">IF(INDEX(選手一覧!$D$7:$D$2738,$F221)="","",INDEX(選手一覧!$D$7:$D$2738,$F221))</f>
        <v>0.0104118055555556</v>
      </c>
      <c r="H221" s="12" t="n">
        <f aca="false">IF(INDEX(選手一覧!$E$7:$E$2738,$F221)="","",INDEX(選手一覧!$E$7:$E$2738,$F221))</f>
        <v>279</v>
      </c>
      <c r="I221" s="11" t="n">
        <f aca="false">IF(INDEX(選手一覧!$F$7:$F$2738,$F221)="","",INDEX(選手一覧!$F$7:$F$2738,$F221))</f>
        <v>0.00650740740740741</v>
      </c>
      <c r="J221" s="12" t="n">
        <f aca="false">IF(INDEX(選手一覧!$G$7:$G$2738,$F221)="","",INDEX(選手一覧!$G$7:$G$2738,$F221))</f>
        <v>38</v>
      </c>
    </row>
    <row r="222" customFormat="false" ht="15" hidden="false" customHeight="false" outlineLevel="0" collapsed="false">
      <c r="A222" s="12" t="n">
        <v>218</v>
      </c>
      <c r="B222" s="10" t="s">
        <v>794</v>
      </c>
      <c r="C222" s="10" t="s">
        <v>795</v>
      </c>
      <c r="D222" s="11" t="n">
        <v>0.0027849537037037</v>
      </c>
      <c r="E222" s="18" t="n">
        <f aca="false">ROUND((D222-$D$5)*86400,2)</f>
        <v>15.59</v>
      </c>
      <c r="F222" s="12" t="n">
        <v>518</v>
      </c>
      <c r="G222" s="11" t="n">
        <f aca="false">IF(INDEX(選手一覧!$D$7:$D$2738,$F222)="","",INDEX(選手一覧!$D$7:$D$2738,$F222))</f>
        <v>0.0105994212962963</v>
      </c>
      <c r="H222" s="12" t="n">
        <f aca="false">IF(INDEX(選手一覧!$E$7:$E$2738,$F222)="","",INDEX(選手一覧!$E$7:$E$2738,$F222))</f>
        <v>462</v>
      </c>
      <c r="I222" s="11" t="str">
        <f aca="false">IF(INDEX(選手一覧!$F$7:$F$2738,$F222)="","",INDEX(選手一覧!$F$7:$F$2738,$F222))</f>
        <v/>
      </c>
      <c r="J222" s="12" t="str">
        <f aca="false">IF(INDEX(選手一覧!$G$7:$G$2738,$F222)="","",INDEX(選手一覧!$G$7:$G$2738,$F222))</f>
        <v/>
      </c>
    </row>
    <row r="223" customFormat="false" ht="15" hidden="false" customHeight="false" outlineLevel="0" collapsed="false">
      <c r="A223" s="12" t="n">
        <v>219</v>
      </c>
      <c r="B223" s="10" t="s">
        <v>801</v>
      </c>
      <c r="C223" s="10" t="s">
        <v>513</v>
      </c>
      <c r="D223" s="11" t="n">
        <v>0.00278506944444444</v>
      </c>
      <c r="E223" s="18" t="n">
        <f aca="false">ROUND((D223-$D$5)*86400,2)</f>
        <v>15.6</v>
      </c>
      <c r="F223" s="12" t="n">
        <v>523</v>
      </c>
      <c r="G223" s="11" t="n">
        <f aca="false">IF(INDEX(選手一覧!$D$7:$D$2738,$F223)="","",INDEX(選手一覧!$D$7:$D$2738,$F223))</f>
        <v>0.0108844907407407</v>
      </c>
      <c r="H223" s="12" t="n">
        <f aca="false">IF(INDEX(選手一覧!$E$7:$E$2738,$F223)="","",INDEX(選手一覧!$E$7:$E$2738,$F223))</f>
        <v>900</v>
      </c>
      <c r="I223" s="11" t="str">
        <f aca="false">IF(INDEX(選手一覧!$F$7:$F$2738,$F223)="","",INDEX(選手一覧!$F$7:$F$2738,$F223))</f>
        <v/>
      </c>
      <c r="J223" s="12" t="str">
        <f aca="false">IF(INDEX(選手一覧!$G$7:$G$2738,$F223)="","",INDEX(選手一覧!$G$7:$G$2738,$F223))</f>
        <v/>
      </c>
    </row>
    <row r="224" customFormat="false" ht="15" hidden="false" customHeight="false" outlineLevel="0" collapsed="false">
      <c r="A224" s="12" t="n">
        <v>220</v>
      </c>
      <c r="B224" s="10" t="s">
        <v>804</v>
      </c>
      <c r="C224" s="10" t="s">
        <v>341</v>
      </c>
      <c r="D224" s="11" t="n">
        <v>0.00278564814814815</v>
      </c>
      <c r="E224" s="18" t="n">
        <f aca="false">ROUND((D224-$D$5)*86400,2)</f>
        <v>15.65</v>
      </c>
      <c r="F224" s="12" t="n">
        <v>525</v>
      </c>
      <c r="G224" s="11" t="str">
        <f aca="false">IF(INDEX(選手一覧!$D$7:$D$2738,$F224)="","",INDEX(選手一覧!$D$7:$D$2738,$F224))</f>
        <v/>
      </c>
      <c r="H224" s="12" t="str">
        <f aca="false">IF(INDEX(選手一覧!$E$7:$E$2738,$F224)="","",INDEX(選手一覧!$E$7:$E$2738,$F224))</f>
        <v/>
      </c>
      <c r="I224" s="11" t="n">
        <f aca="false">IF(INDEX(選手一覧!$F$7:$F$2738,$F224)="","",INDEX(選手一覧!$F$7:$F$2738,$F224))</f>
        <v>0.00692916666666667</v>
      </c>
      <c r="J224" s="12" t="n">
        <f aca="false">IF(INDEX(選手一覧!$G$7:$G$2738,$F224)="","",INDEX(選手一覧!$G$7:$G$2738,$F224))</f>
        <v>271</v>
      </c>
    </row>
    <row r="225" customFormat="false" ht="15" hidden="false" customHeight="false" outlineLevel="0" collapsed="false">
      <c r="A225" s="12" t="n">
        <v>221</v>
      </c>
      <c r="B225" s="10" t="s">
        <v>808</v>
      </c>
      <c r="C225" s="10" t="s">
        <v>538</v>
      </c>
      <c r="D225" s="11" t="n">
        <v>0.00278599537037037</v>
      </c>
      <c r="E225" s="18" t="n">
        <f aca="false">ROUND((D225-$D$5)*86400,2)</f>
        <v>15.68</v>
      </c>
      <c r="F225" s="12" t="n">
        <v>528</v>
      </c>
      <c r="G225" s="11" t="n">
        <f aca="false">IF(INDEX(選手一覧!$D$7:$D$2738,$F225)="","",INDEX(選手一覧!$D$7:$D$2738,$F225))</f>
        <v>0.0109063657407407</v>
      </c>
      <c r="H225" s="12" t="n">
        <f aca="false">IF(INDEX(選手一覧!$E$7:$E$2738,$F225)="","",INDEX(選手一覧!$E$7:$E$2738,$F225))</f>
        <v>930</v>
      </c>
      <c r="I225" s="11" t="str">
        <f aca="false">IF(INDEX(選手一覧!$F$7:$F$2738,$F225)="","",INDEX(選手一覧!$F$7:$F$2738,$F225))</f>
        <v/>
      </c>
      <c r="J225" s="12" t="str">
        <f aca="false">IF(INDEX(選手一覧!$G$7:$G$2738,$F225)="","",INDEX(選手一覧!$G$7:$G$2738,$F225))</f>
        <v/>
      </c>
    </row>
    <row r="226" customFormat="false" ht="15" hidden="false" customHeight="false" outlineLevel="0" collapsed="false">
      <c r="A226" s="12" t="n">
        <v>222</v>
      </c>
      <c r="B226" s="10" t="s">
        <v>809</v>
      </c>
      <c r="C226" s="10" t="s">
        <v>810</v>
      </c>
      <c r="D226" s="11" t="n">
        <v>0.00278622685185185</v>
      </c>
      <c r="E226" s="18" t="n">
        <f aca="false">ROUND((D226-$D$5)*86400,2)</f>
        <v>15.7</v>
      </c>
      <c r="F226" s="12" t="n">
        <v>529</v>
      </c>
      <c r="G226" s="11" t="n">
        <f aca="false">IF(INDEX(選手一覧!$D$7:$D$2738,$F226)="","",INDEX(選手一覧!$D$7:$D$2738,$F226))</f>
        <v>0.0105354166666667</v>
      </c>
      <c r="H226" s="12" t="n">
        <f aca="false">IF(INDEX(選手一覧!$E$7:$E$2738,$F226)="","",INDEX(選手一覧!$E$7:$E$2738,$F226))</f>
        <v>380</v>
      </c>
      <c r="I226" s="11" t="str">
        <f aca="false">IF(INDEX(選手一覧!$F$7:$F$2738,$F226)="","",INDEX(選手一覧!$F$7:$F$2738,$F226))</f>
        <v/>
      </c>
      <c r="J226" s="12" t="str">
        <f aca="false">IF(INDEX(選手一覧!$G$7:$G$2738,$F226)="","",INDEX(選手一覧!$G$7:$G$2738,$F226))</f>
        <v/>
      </c>
    </row>
    <row r="227" customFormat="false" ht="15" hidden="false" customHeight="false" outlineLevel="0" collapsed="false">
      <c r="A227" s="12" t="n">
        <v>223</v>
      </c>
      <c r="B227" s="10" t="s">
        <v>815</v>
      </c>
      <c r="C227" s="10" t="s">
        <v>816</v>
      </c>
      <c r="D227" s="11" t="n">
        <v>0.00278645833333333</v>
      </c>
      <c r="E227" s="18" t="n">
        <f aca="false">ROUND((D227-$D$5)*86400,2)</f>
        <v>15.72</v>
      </c>
      <c r="F227" s="12" t="n">
        <v>532</v>
      </c>
      <c r="G227" s="11" t="n">
        <f aca="false">IF(INDEX(選手一覧!$D$7:$D$2738,$F227)="","",INDEX(選手一覧!$D$7:$D$2738,$F227))</f>
        <v>0.0108675925925926</v>
      </c>
      <c r="H227" s="12" t="n">
        <f aca="false">IF(INDEX(選手一覧!$E$7:$E$2738,$F227)="","",INDEX(選手一覧!$E$7:$E$2738,$F227))</f>
        <v>866</v>
      </c>
      <c r="I227" s="11" t="str">
        <f aca="false">IF(INDEX(選手一覧!$F$7:$F$2738,$F227)="","",INDEX(選手一覧!$F$7:$F$2738,$F227))</f>
        <v/>
      </c>
      <c r="J227" s="12" t="str">
        <f aca="false">IF(INDEX(選手一覧!$G$7:$G$2738,$F227)="","",INDEX(選手一覧!$G$7:$G$2738,$F227))</f>
        <v/>
      </c>
    </row>
    <row r="228" customFormat="false" ht="15" hidden="false" customHeight="false" outlineLevel="0" collapsed="false">
      <c r="A228" s="12" t="n">
        <v>224</v>
      </c>
      <c r="B228" s="10" t="s">
        <v>822</v>
      </c>
      <c r="C228" s="10" t="s">
        <v>823</v>
      </c>
      <c r="D228" s="11" t="n">
        <v>0.00278645833333333</v>
      </c>
      <c r="E228" s="18" t="n">
        <f aca="false">ROUND((D228-$D$5)*86400,2)</f>
        <v>15.72</v>
      </c>
      <c r="F228" s="12" t="n">
        <v>536</v>
      </c>
      <c r="G228" s="11" t="str">
        <f aca="false">IF(INDEX(選手一覧!$D$7:$D$2738,$F228)="","",INDEX(選手一覧!$D$7:$D$2738,$F228))</f>
        <v/>
      </c>
      <c r="H228" s="12" t="str">
        <f aca="false">IF(INDEX(選手一覧!$E$7:$E$2738,$F228)="","",INDEX(選手一覧!$E$7:$E$2738,$F228))</f>
        <v/>
      </c>
      <c r="I228" s="11" t="str">
        <f aca="false">IF(INDEX(選手一覧!$F$7:$F$2738,$F228)="","",INDEX(選手一覧!$F$7:$F$2738,$F228))</f>
        <v/>
      </c>
      <c r="J228" s="12" t="str">
        <f aca="false">IF(INDEX(選手一覧!$G$7:$G$2738,$F228)="","",INDEX(選手一覧!$G$7:$G$2738,$F228))</f>
        <v/>
      </c>
    </row>
    <row r="229" customFormat="false" ht="15" hidden="false" customHeight="false" outlineLevel="0" collapsed="false">
      <c r="A229" s="12" t="n">
        <v>225</v>
      </c>
      <c r="B229" s="10" t="s">
        <v>825</v>
      </c>
      <c r="C229" s="10" t="s">
        <v>494</v>
      </c>
      <c r="D229" s="11" t="n">
        <v>0.00278668981481482</v>
      </c>
      <c r="E229" s="18" t="n">
        <f aca="false">ROUND((D229-$D$5)*86400,2)</f>
        <v>15.74</v>
      </c>
      <c r="F229" s="12" t="n">
        <v>538</v>
      </c>
      <c r="G229" s="11" t="str">
        <f aca="false">IF(INDEX(選手一覧!$D$7:$D$2738,$F229)="","",INDEX(選手一覧!$D$7:$D$2738,$F229))</f>
        <v/>
      </c>
      <c r="H229" s="12" t="str">
        <f aca="false">IF(INDEX(選手一覧!$E$7:$E$2738,$F229)="","",INDEX(選手一覧!$E$7:$E$2738,$F229))</f>
        <v/>
      </c>
      <c r="I229" s="11" t="n">
        <f aca="false">IF(INDEX(選手一覧!$F$7:$F$2738,$F229)="","",INDEX(選手一覧!$F$7:$F$2738,$F229))</f>
        <v>0.00802141203703704</v>
      </c>
      <c r="J229" s="12" t="n">
        <f aca="false">IF(INDEX(選手一覧!$G$7:$G$2738,$F229)="","",INDEX(選手一覧!$G$7:$G$2738,$F229))</f>
        <v>1195</v>
      </c>
    </row>
    <row r="230" customFormat="false" ht="15" hidden="false" customHeight="false" outlineLevel="0" collapsed="false">
      <c r="A230" s="12" t="n">
        <v>226</v>
      </c>
      <c r="B230" s="10" t="s">
        <v>828</v>
      </c>
      <c r="C230" s="10" t="s">
        <v>829</v>
      </c>
      <c r="D230" s="11" t="n">
        <v>0.00278668981481482</v>
      </c>
      <c r="E230" s="18" t="n">
        <f aca="false">ROUND((D230-$D$5)*86400,2)</f>
        <v>15.74</v>
      </c>
      <c r="F230" s="12" t="n">
        <v>541</v>
      </c>
      <c r="G230" s="11" t="str">
        <f aca="false">IF(INDEX(選手一覧!$D$7:$D$2738,$F230)="","",INDEX(選手一覧!$D$7:$D$2738,$F230))</f>
        <v/>
      </c>
      <c r="H230" s="12" t="str">
        <f aca="false">IF(INDEX(選手一覧!$E$7:$E$2738,$F230)="","",INDEX(選手一覧!$E$7:$E$2738,$F230))</f>
        <v/>
      </c>
      <c r="I230" s="11" t="str">
        <f aca="false">IF(INDEX(選手一覧!$F$7:$F$2738,$F230)="","",INDEX(選手一覧!$F$7:$F$2738,$F230))</f>
        <v/>
      </c>
      <c r="J230" s="12" t="str">
        <f aca="false">IF(INDEX(選手一覧!$G$7:$G$2738,$F230)="","",INDEX(選手一覧!$G$7:$G$2738,$F230))</f>
        <v/>
      </c>
    </row>
    <row r="231" customFormat="false" ht="15" hidden="false" customHeight="false" outlineLevel="0" collapsed="false">
      <c r="A231" s="12" t="n">
        <v>227</v>
      </c>
      <c r="B231" s="10" t="s">
        <v>731</v>
      </c>
      <c r="C231" s="10" t="s">
        <v>440</v>
      </c>
      <c r="D231" s="11" t="n">
        <v>0.00278680555555556</v>
      </c>
      <c r="E231" s="18" t="n">
        <f aca="false">ROUND((D231-$D$5)*86400,2)</f>
        <v>15.75</v>
      </c>
      <c r="F231" s="12" t="n">
        <v>471</v>
      </c>
      <c r="G231" s="11" t="n">
        <f aca="false">IF(INDEX(選手一覧!$D$7:$D$2738,$F231)="","",INDEX(選手一覧!$D$7:$D$2738,$F231))</f>
        <v>0.0103467592592593</v>
      </c>
      <c r="H231" s="12" t="n">
        <f aca="false">IF(INDEX(選手一覧!$E$7:$E$2738,$F231)="","",INDEX(選手一覧!$E$7:$E$2738,$F231))</f>
        <v>198</v>
      </c>
      <c r="I231" s="11" t="str">
        <f aca="false">IF(INDEX(選手一覧!$F$7:$F$2738,$F231)="","",INDEX(選手一覧!$F$7:$F$2738,$F231))</f>
        <v/>
      </c>
      <c r="J231" s="12" t="str">
        <f aca="false">IF(INDEX(選手一覧!$G$7:$G$2738,$F231)="","",INDEX(選手一覧!$G$7:$G$2738,$F231))</f>
        <v/>
      </c>
    </row>
    <row r="232" customFormat="false" ht="15" hidden="false" customHeight="false" outlineLevel="0" collapsed="false">
      <c r="A232" s="12" t="n">
        <v>228</v>
      </c>
      <c r="B232" s="10" t="s">
        <v>832</v>
      </c>
      <c r="C232" s="10" t="s">
        <v>833</v>
      </c>
      <c r="D232" s="11" t="n">
        <v>0.00278680555555556</v>
      </c>
      <c r="E232" s="18" t="n">
        <f aca="false">ROUND((D232-$D$5)*86400,2)</f>
        <v>15.75</v>
      </c>
      <c r="F232" s="12" t="n">
        <v>543</v>
      </c>
      <c r="G232" s="11" t="str">
        <f aca="false">IF(INDEX(選手一覧!$D$7:$D$2738,$F232)="","",INDEX(選手一覧!$D$7:$D$2738,$F232))</f>
        <v/>
      </c>
      <c r="H232" s="12" t="str">
        <f aca="false">IF(INDEX(選手一覧!$E$7:$E$2738,$F232)="","",INDEX(選手一覧!$E$7:$E$2738,$F232))</f>
        <v/>
      </c>
      <c r="I232" s="11" t="n">
        <f aca="false">IF(INDEX(選手一覧!$F$7:$F$2738,$F232)="","",INDEX(選手一覧!$F$7:$F$2738,$F232))</f>
        <v>0.006915625</v>
      </c>
      <c r="J232" s="12" t="n">
        <f aca="false">IF(INDEX(選手一覧!$G$7:$G$2738,$F232)="","",INDEX(選手一覧!$G$7:$G$2738,$F232))</f>
        <v>251</v>
      </c>
    </row>
    <row r="233" customFormat="false" ht="15" hidden="false" customHeight="false" outlineLevel="0" collapsed="false">
      <c r="A233" s="12" t="n">
        <v>229</v>
      </c>
      <c r="B233" s="10" t="s">
        <v>770</v>
      </c>
      <c r="C233" s="10" t="s">
        <v>771</v>
      </c>
      <c r="D233" s="11" t="n">
        <v>0.00278680555555556</v>
      </c>
      <c r="E233" s="18" t="n">
        <f aca="false">ROUND((D233-$D$5)*86400,2)</f>
        <v>15.75</v>
      </c>
      <c r="F233" s="12" t="n">
        <v>498</v>
      </c>
      <c r="G233" s="11" t="n">
        <f aca="false">IF(INDEX(選手一覧!$D$7:$D$2738,$F233)="","",INDEX(選手一覧!$D$7:$D$2738,$F233))</f>
        <v>0.0109069444444444</v>
      </c>
      <c r="H233" s="12" t="n">
        <f aca="false">IF(INDEX(選手一覧!$E$7:$E$2738,$F233)="","",INDEX(選手一覧!$E$7:$E$2738,$F233))</f>
        <v>931</v>
      </c>
      <c r="I233" s="11" t="n">
        <f aca="false">IF(INDEX(選手一覧!$F$7:$F$2738,$F233)="","",INDEX(選手一覧!$F$7:$F$2738,$F233))</f>
        <v>0.00685810185185185</v>
      </c>
      <c r="J233" s="12" t="n">
        <f aca="false">IF(INDEX(選手一覧!$G$7:$G$2738,$F233)="","",INDEX(選手一覧!$G$7:$G$2738,$F233))</f>
        <v>209</v>
      </c>
    </row>
    <row r="234" customFormat="false" ht="15" hidden="false" customHeight="false" outlineLevel="0" collapsed="false">
      <c r="A234" s="12" t="n">
        <v>230</v>
      </c>
      <c r="B234" s="10" t="s">
        <v>841</v>
      </c>
      <c r="C234" s="10" t="s">
        <v>714</v>
      </c>
      <c r="D234" s="11" t="n">
        <v>0.00278680555555556</v>
      </c>
      <c r="E234" s="18" t="n">
        <f aca="false">ROUND((D234-$D$5)*86400,2)</f>
        <v>15.75</v>
      </c>
      <c r="F234" s="12" t="n">
        <v>549</v>
      </c>
      <c r="G234" s="11" t="n">
        <f aca="false">IF(INDEX(選手一覧!$D$7:$D$2738,$F234)="","",INDEX(選手一覧!$D$7:$D$2738,$F234))</f>
        <v>0.0105912037037037</v>
      </c>
      <c r="H234" s="12" t="n">
        <f aca="false">IF(INDEX(選手一覧!$E$7:$E$2738,$F234)="","",INDEX(選手一覧!$E$7:$E$2738,$F234))</f>
        <v>457</v>
      </c>
      <c r="I234" s="11" t="str">
        <f aca="false">IF(INDEX(選手一覧!$F$7:$F$2738,$F234)="","",INDEX(選手一覧!$F$7:$F$2738,$F234))</f>
        <v/>
      </c>
      <c r="J234" s="12" t="str">
        <f aca="false">IF(INDEX(選手一覧!$G$7:$G$2738,$F234)="","",INDEX(選手一覧!$G$7:$G$2738,$F234))</f>
        <v/>
      </c>
    </row>
    <row r="235" customFormat="false" ht="15" hidden="false" customHeight="false" outlineLevel="0" collapsed="false">
      <c r="A235" s="12" t="n">
        <v>231</v>
      </c>
      <c r="B235" s="10" t="s">
        <v>843</v>
      </c>
      <c r="C235" s="10" t="s">
        <v>844</v>
      </c>
      <c r="D235" s="11" t="n">
        <v>0.00278726851851852</v>
      </c>
      <c r="E235" s="18" t="n">
        <f aca="false">ROUND((D235-$D$5)*86400,2)</f>
        <v>15.79</v>
      </c>
      <c r="F235" s="12" t="n">
        <v>551</v>
      </c>
      <c r="G235" s="11" t="n">
        <f aca="false">IF(INDEX(選手一覧!$D$7:$D$2738,$F235)="","",INDEX(選手一覧!$D$7:$D$2738,$F235))</f>
        <v>0.0105298611111111</v>
      </c>
      <c r="H235" s="12" t="n">
        <f aca="false">IF(INDEX(選手一覧!$E$7:$E$2738,$F235)="","",INDEX(選手一覧!$E$7:$E$2738,$F235))</f>
        <v>371</v>
      </c>
      <c r="I235" s="11" t="str">
        <f aca="false">IF(INDEX(選手一覧!$F$7:$F$2738,$F235)="","",INDEX(選手一覧!$F$7:$F$2738,$F235))</f>
        <v/>
      </c>
      <c r="J235" s="12" t="str">
        <f aca="false">IF(INDEX(選手一覧!$G$7:$G$2738,$F235)="","",INDEX(選手一覧!$G$7:$G$2738,$F235))</f>
        <v/>
      </c>
    </row>
    <row r="236" customFormat="false" ht="15" hidden="false" customHeight="false" outlineLevel="0" collapsed="false">
      <c r="A236" s="12" t="n">
        <v>232</v>
      </c>
      <c r="B236" s="10" t="s">
        <v>849</v>
      </c>
      <c r="C236" s="10" t="s">
        <v>850</v>
      </c>
      <c r="D236" s="11" t="n">
        <v>0.0027875</v>
      </c>
      <c r="E236" s="18" t="n">
        <f aca="false">ROUND((D236-$D$5)*86400,2)</f>
        <v>15.81</v>
      </c>
      <c r="F236" s="12" t="n">
        <v>554</v>
      </c>
      <c r="G236" s="11" t="n">
        <f aca="false">IF(INDEX(選手一覧!$D$7:$D$2738,$F236)="","",INDEX(選手一覧!$D$7:$D$2738,$F236))</f>
        <v>0.0110318287037037</v>
      </c>
      <c r="H236" s="12" t="n">
        <f aca="false">IF(INDEX(選手一覧!$E$7:$E$2738,$F236)="","",INDEX(選手一覧!$E$7:$E$2738,$F236))</f>
        <v>1155</v>
      </c>
      <c r="I236" s="11" t="str">
        <f aca="false">IF(INDEX(選手一覧!$F$7:$F$2738,$F236)="","",INDEX(選手一覧!$F$7:$F$2738,$F236))</f>
        <v/>
      </c>
      <c r="J236" s="12" t="str">
        <f aca="false">IF(INDEX(選手一覧!$G$7:$G$2738,$F236)="","",INDEX(選手一覧!$G$7:$G$2738,$F236))</f>
        <v/>
      </c>
    </row>
    <row r="237" customFormat="false" ht="15" hidden="false" customHeight="false" outlineLevel="0" collapsed="false">
      <c r="A237" s="12" t="n">
        <v>233</v>
      </c>
      <c r="B237" s="10" t="s">
        <v>572</v>
      </c>
      <c r="C237" s="10" t="s">
        <v>85</v>
      </c>
      <c r="D237" s="11" t="n">
        <v>0.00278773148148148</v>
      </c>
      <c r="E237" s="18" t="n">
        <f aca="false">ROUND((D237-$D$5)*86400,2)</f>
        <v>15.83</v>
      </c>
      <c r="F237" s="12" t="n">
        <v>359</v>
      </c>
      <c r="G237" s="11" t="n">
        <f aca="false">IF(INDEX(選手一覧!$D$7:$D$2738,$F237)="","",INDEX(選手一覧!$D$7:$D$2738,$F237))</f>
        <v>0.0102822916666667</v>
      </c>
      <c r="H237" s="12" t="n">
        <f aca="false">IF(INDEX(選手一覧!$E$7:$E$2738,$F237)="","",INDEX(選手一覧!$E$7:$E$2738,$F237))</f>
        <v>151</v>
      </c>
      <c r="I237" s="11" t="str">
        <f aca="false">IF(INDEX(選手一覧!$F$7:$F$2738,$F237)="","",INDEX(選手一覧!$F$7:$F$2738,$F237))</f>
        <v/>
      </c>
      <c r="J237" s="12" t="str">
        <f aca="false">IF(INDEX(選手一覧!$G$7:$G$2738,$F237)="","",INDEX(選手一覧!$G$7:$G$2738,$F237))</f>
        <v/>
      </c>
    </row>
    <row r="238" customFormat="false" ht="15" hidden="false" customHeight="false" outlineLevel="0" collapsed="false">
      <c r="A238" s="12" t="n">
        <v>234</v>
      </c>
      <c r="B238" s="10" t="s">
        <v>855</v>
      </c>
      <c r="C238" s="10" t="s">
        <v>363</v>
      </c>
      <c r="D238" s="11" t="n">
        <v>0.00278819444444445</v>
      </c>
      <c r="E238" s="18" t="n">
        <f aca="false">ROUND((D238-$D$5)*86400,2)</f>
        <v>15.87</v>
      </c>
      <c r="F238" s="12" t="n">
        <v>558</v>
      </c>
      <c r="G238" s="11" t="str">
        <f aca="false">IF(INDEX(選手一覧!$D$7:$D$2738,$F238)="","",INDEX(選手一覧!$D$7:$D$2738,$F238))</f>
        <v/>
      </c>
      <c r="H238" s="12" t="str">
        <f aca="false">IF(INDEX(選手一覧!$E$7:$E$2738,$F238)="","",INDEX(選手一覧!$E$7:$E$2738,$F238))</f>
        <v/>
      </c>
      <c r="I238" s="11" t="n">
        <f aca="false">IF(INDEX(選手一覧!$F$7:$F$2738,$F238)="","",INDEX(選手一覧!$F$7:$F$2738,$F238))</f>
        <v>0.00695833333333333</v>
      </c>
      <c r="J238" s="12" t="n">
        <f aca="false">IF(INDEX(選手一覧!$G$7:$G$2738,$F238)="","",INDEX(選手一覧!$G$7:$G$2738,$F238))</f>
        <v>291</v>
      </c>
    </row>
    <row r="239" customFormat="false" ht="15" hidden="false" customHeight="false" outlineLevel="0" collapsed="false">
      <c r="A239" s="12" t="n">
        <v>235</v>
      </c>
      <c r="B239" s="10" t="s">
        <v>860</v>
      </c>
      <c r="C239" s="10" t="s">
        <v>861</v>
      </c>
      <c r="D239" s="11" t="n">
        <v>0.00278842592592593</v>
      </c>
      <c r="E239" s="18" t="n">
        <f aca="false">ROUND((D239-$D$5)*86400,2)</f>
        <v>15.89</v>
      </c>
      <c r="F239" s="12" t="n">
        <v>562</v>
      </c>
      <c r="G239" s="11" t="str">
        <f aca="false">IF(INDEX(選手一覧!$D$7:$D$2738,$F239)="","",INDEX(選手一覧!$D$7:$D$2738,$F239))</f>
        <v/>
      </c>
      <c r="H239" s="12" t="str">
        <f aca="false">IF(INDEX(選手一覧!$E$7:$E$2738,$F239)="","",INDEX(選手一覧!$E$7:$E$2738,$F239))</f>
        <v/>
      </c>
      <c r="I239" s="11" t="str">
        <f aca="false">IF(INDEX(選手一覧!$F$7:$F$2738,$F239)="","",INDEX(選手一覧!$F$7:$F$2738,$F239))</f>
        <v/>
      </c>
      <c r="J239" s="12" t="str">
        <f aca="false">IF(INDEX(選手一覧!$G$7:$G$2738,$F239)="","",INDEX(選手一覧!$G$7:$G$2738,$F239))</f>
        <v/>
      </c>
    </row>
    <row r="240" customFormat="false" ht="15" hidden="false" customHeight="false" outlineLevel="0" collapsed="false">
      <c r="A240" s="12" t="n">
        <v>236</v>
      </c>
      <c r="B240" s="10" t="s">
        <v>847</v>
      </c>
      <c r="C240" s="10" t="s">
        <v>848</v>
      </c>
      <c r="D240" s="11" t="n">
        <v>0.00278877314814815</v>
      </c>
      <c r="E240" s="18" t="n">
        <f aca="false">ROUND((D240-$D$5)*86400,2)</f>
        <v>15.92</v>
      </c>
      <c r="F240" s="12" t="n">
        <v>553</v>
      </c>
      <c r="G240" s="11" t="n">
        <f aca="false">IF(INDEX(選手一覧!$D$7:$D$2738,$F240)="","",INDEX(選手一覧!$D$7:$D$2738,$F240))</f>
        <v>0.0103755787037037</v>
      </c>
      <c r="H240" s="12" t="n">
        <f aca="false">IF(INDEX(選手一覧!$E$7:$E$2738,$F240)="","",INDEX(選手一覧!$E$7:$E$2738,$F240))</f>
        <v>232</v>
      </c>
      <c r="I240" s="11" t="str">
        <f aca="false">IF(INDEX(選手一覧!$F$7:$F$2738,$F240)="","",INDEX(選手一覧!$F$7:$F$2738,$F240))</f>
        <v/>
      </c>
      <c r="J240" s="12" t="str">
        <f aca="false">IF(INDEX(選手一覧!$G$7:$G$2738,$F240)="","",INDEX(選手一覧!$G$7:$G$2738,$F240))</f>
        <v/>
      </c>
    </row>
    <row r="241" customFormat="false" ht="15" hidden="false" customHeight="false" outlineLevel="0" collapsed="false">
      <c r="A241" s="12" t="n">
        <v>237</v>
      </c>
      <c r="B241" s="10" t="s">
        <v>197</v>
      </c>
      <c r="C241" s="10" t="s">
        <v>72</v>
      </c>
      <c r="D241" s="11" t="n">
        <v>0.00278912037037037</v>
      </c>
      <c r="E241" s="18" t="n">
        <f aca="false">ROUND((D241-$D$5)*86400,2)</f>
        <v>15.95</v>
      </c>
      <c r="F241" s="12" t="n">
        <v>100</v>
      </c>
      <c r="G241" s="11" t="n">
        <f aca="false">IF(INDEX(選手一覧!$D$7:$D$2738,$F241)="","",INDEX(選手一覧!$D$7:$D$2738,$F241))</f>
        <v>0.010396412037037</v>
      </c>
      <c r="H241" s="12" t="n">
        <f aca="false">IF(INDEX(選手一覧!$E$7:$E$2738,$F241)="","",INDEX(選手一覧!$E$7:$E$2738,$F241))</f>
        <v>256</v>
      </c>
      <c r="I241" s="11" t="n">
        <f aca="false">IF(INDEX(選手一覧!$F$7:$F$2738,$F241)="","",INDEX(選手一覧!$F$7:$F$2738,$F241))</f>
        <v>0.00652337962962963</v>
      </c>
      <c r="J241" s="12" t="n">
        <f aca="false">IF(INDEX(選手一覧!$G$7:$G$2738,$F241)="","",INDEX(選手一覧!$G$7:$G$2738,$F241))</f>
        <v>39</v>
      </c>
    </row>
    <row r="242" customFormat="false" ht="15" hidden="false" customHeight="false" outlineLevel="0" collapsed="false">
      <c r="A242" s="12" t="n">
        <v>238</v>
      </c>
      <c r="B242" s="10" t="s">
        <v>866</v>
      </c>
      <c r="C242" s="10" t="s">
        <v>460</v>
      </c>
      <c r="D242" s="11" t="n">
        <v>0.00278923611111111</v>
      </c>
      <c r="E242" s="18" t="n">
        <f aca="false">ROUND((D242-$D$5)*86400,2)</f>
        <v>15.96</v>
      </c>
      <c r="F242" s="12" t="n">
        <v>566</v>
      </c>
      <c r="G242" s="11" t="str">
        <f aca="false">IF(INDEX(選手一覧!$D$7:$D$2738,$F242)="","",INDEX(選手一覧!$D$7:$D$2738,$F242))</f>
        <v/>
      </c>
      <c r="H242" s="12" t="str">
        <f aca="false">IF(INDEX(選手一覧!$E$7:$E$2738,$F242)="","",INDEX(選手一覧!$E$7:$E$2738,$F242))</f>
        <v/>
      </c>
      <c r="I242" s="11" t="str">
        <f aca="false">IF(INDEX(選手一覧!$F$7:$F$2738,$F242)="","",INDEX(選手一覧!$F$7:$F$2738,$F242))</f>
        <v/>
      </c>
      <c r="J242" s="12" t="str">
        <f aca="false">IF(INDEX(選手一覧!$G$7:$G$2738,$F242)="","",INDEX(選手一覧!$G$7:$G$2738,$F242))</f>
        <v/>
      </c>
    </row>
    <row r="243" customFormat="false" ht="15" hidden="false" customHeight="false" outlineLevel="0" collapsed="false">
      <c r="A243" s="12" t="n">
        <v>239</v>
      </c>
      <c r="B243" s="10" t="s">
        <v>869</v>
      </c>
      <c r="C243" s="10" t="s">
        <v>195</v>
      </c>
      <c r="D243" s="11" t="n">
        <v>0.00279027777777778</v>
      </c>
      <c r="E243" s="18" t="n">
        <f aca="false">ROUND((D243-$D$5)*86400,2)</f>
        <v>16.05</v>
      </c>
      <c r="F243" s="12" t="n">
        <v>569</v>
      </c>
      <c r="G243" s="11" t="n">
        <f aca="false">IF(INDEX(選手一覧!$D$7:$D$2738,$F243)="","",INDEX(選手一覧!$D$7:$D$2738,$F243))</f>
        <v>0.010615625</v>
      </c>
      <c r="H243" s="12" t="n">
        <f aca="false">IF(INDEX(選手一覧!$E$7:$E$2738,$F243)="","",INDEX(選手一覧!$E$7:$E$2738,$F243))</f>
        <v>486</v>
      </c>
      <c r="I243" s="11" t="str">
        <f aca="false">IF(INDEX(選手一覧!$F$7:$F$2738,$F243)="","",INDEX(選手一覧!$F$7:$F$2738,$F243))</f>
        <v/>
      </c>
      <c r="J243" s="12" t="str">
        <f aca="false">IF(INDEX(選手一覧!$G$7:$G$2738,$F243)="","",INDEX(選手一覧!$G$7:$G$2738,$F243))</f>
        <v/>
      </c>
    </row>
    <row r="244" customFormat="false" ht="15" hidden="false" customHeight="false" outlineLevel="0" collapsed="false">
      <c r="A244" s="12" t="n">
        <v>240</v>
      </c>
      <c r="B244" s="10" t="s">
        <v>873</v>
      </c>
      <c r="C244" s="10" t="s">
        <v>874</v>
      </c>
      <c r="D244" s="11" t="n">
        <v>0.00279027777777778</v>
      </c>
      <c r="E244" s="18" t="n">
        <f aca="false">ROUND((D244-$D$5)*86400,2)</f>
        <v>16.05</v>
      </c>
      <c r="F244" s="12" t="n">
        <v>572</v>
      </c>
      <c r="G244" s="11" t="str">
        <f aca="false">IF(INDEX(選手一覧!$D$7:$D$2738,$F244)="","",INDEX(選手一覧!$D$7:$D$2738,$F244))</f>
        <v/>
      </c>
      <c r="H244" s="12" t="str">
        <f aca="false">IF(INDEX(選手一覧!$E$7:$E$2738,$F244)="","",INDEX(選手一覧!$E$7:$E$2738,$F244))</f>
        <v/>
      </c>
      <c r="I244" s="11" t="str">
        <f aca="false">IF(INDEX(選手一覧!$F$7:$F$2738,$F244)="","",INDEX(選手一覧!$F$7:$F$2738,$F244))</f>
        <v/>
      </c>
      <c r="J244" s="12" t="str">
        <f aca="false">IF(INDEX(選手一覧!$G$7:$G$2738,$F244)="","",INDEX(選手一覧!$G$7:$G$2738,$F244))</f>
        <v/>
      </c>
    </row>
    <row r="245" customFormat="false" ht="15" hidden="false" customHeight="false" outlineLevel="0" collapsed="false">
      <c r="A245" s="12" t="n">
        <v>241</v>
      </c>
      <c r="B245" s="10" t="s">
        <v>346</v>
      </c>
      <c r="C245" s="10" t="s">
        <v>166</v>
      </c>
      <c r="D245" s="11" t="n">
        <v>0.00279027777777778</v>
      </c>
      <c r="E245" s="18" t="n">
        <f aca="false">ROUND((D245-$D$5)*86400,2)</f>
        <v>16.05</v>
      </c>
      <c r="F245" s="12" t="n">
        <v>203</v>
      </c>
      <c r="G245" s="11" t="n">
        <f aca="false">IF(INDEX(選手一覧!$D$7:$D$2738,$F245)="","",INDEX(選手一覧!$D$7:$D$2738,$F245))</f>
        <v>0.0107975694444444</v>
      </c>
      <c r="H245" s="12" t="n">
        <f aca="false">IF(INDEX(選手一覧!$E$7:$E$2738,$F245)="","",INDEX(選手一覧!$E$7:$E$2738,$F245))</f>
        <v>738</v>
      </c>
      <c r="I245" s="11" t="n">
        <f aca="false">IF(INDEX(選手一覧!$F$7:$F$2738,$F245)="","",INDEX(選手一覧!$F$7:$F$2738,$F245))</f>
        <v>0.00665</v>
      </c>
      <c r="J245" s="12" t="n">
        <f aca="false">IF(INDEX(選手一覧!$G$7:$G$2738,$F245)="","",INDEX(選手一覧!$G$7:$G$2738,$F245))</f>
        <v>83</v>
      </c>
    </row>
    <row r="246" customFormat="false" ht="15" hidden="false" customHeight="false" outlineLevel="0" collapsed="false">
      <c r="A246" s="12" t="n">
        <v>242</v>
      </c>
      <c r="B246" s="10" t="s">
        <v>878</v>
      </c>
      <c r="C246" s="10" t="s">
        <v>358</v>
      </c>
      <c r="D246" s="11" t="n">
        <v>0.00279039351851852</v>
      </c>
      <c r="E246" s="18" t="n">
        <f aca="false">ROUND((D246-$D$5)*86400,2)</f>
        <v>16.06</v>
      </c>
      <c r="F246" s="12" t="n">
        <v>576</v>
      </c>
      <c r="G246" s="11" t="str">
        <f aca="false">IF(INDEX(選手一覧!$D$7:$D$2738,$F246)="","",INDEX(選手一覧!$D$7:$D$2738,$F246))</f>
        <v/>
      </c>
      <c r="H246" s="12" t="str">
        <f aca="false">IF(INDEX(選手一覧!$E$7:$E$2738,$F246)="","",INDEX(選手一覧!$E$7:$E$2738,$F246))</f>
        <v/>
      </c>
      <c r="I246" s="11" t="str">
        <f aca="false">IF(INDEX(選手一覧!$F$7:$F$2738,$F246)="","",INDEX(選手一覧!$F$7:$F$2738,$F246))</f>
        <v/>
      </c>
      <c r="J246" s="12" t="str">
        <f aca="false">IF(INDEX(選手一覧!$G$7:$G$2738,$F246)="","",INDEX(選手一覧!$G$7:$G$2738,$F246))</f>
        <v/>
      </c>
    </row>
    <row r="247" customFormat="false" ht="15" hidden="false" customHeight="false" outlineLevel="0" collapsed="false">
      <c r="A247" s="12" t="n">
        <v>243</v>
      </c>
      <c r="B247" s="10" t="s">
        <v>690</v>
      </c>
      <c r="C247" s="10" t="s">
        <v>4026</v>
      </c>
      <c r="D247" s="11" t="n">
        <v>0.002790625</v>
      </c>
      <c r="E247" s="18" t="n">
        <f aca="false">ROUND((D247-$D$5)*86400,2)</f>
        <v>16.08</v>
      </c>
      <c r="F247" s="12" t="n">
        <v>442</v>
      </c>
      <c r="G247" s="11" t="n">
        <f aca="false">IF(INDEX(選手一覧!$D$7:$D$2738,$F247)="","",INDEX(選手一覧!$D$7:$D$2738,$F247))</f>
        <v>0.0103365740740741</v>
      </c>
      <c r="H247" s="12" t="n">
        <f aca="false">IF(INDEX(選手一覧!$E$7:$E$2738,$F247)="","",INDEX(選手一覧!$E$7:$E$2738,$F247))</f>
        <v>186</v>
      </c>
      <c r="I247" s="11" t="n">
        <f aca="false">IF(INDEX(選手一覧!$F$7:$F$2738,$F247)="","",INDEX(選手一覧!$F$7:$F$2738,$F247))</f>
        <v>0.00739351851851852</v>
      </c>
      <c r="J247" s="12" t="n">
        <f aca="false">IF(INDEX(選手一覧!$G$7:$G$2738,$F247)="","",INDEX(選手一覧!$G$7:$G$2738,$F247))</f>
        <v>765</v>
      </c>
    </row>
    <row r="248" customFormat="false" ht="15" hidden="false" customHeight="false" outlineLevel="0" collapsed="false">
      <c r="A248" s="12" t="n">
        <v>244</v>
      </c>
      <c r="B248" s="10" t="s">
        <v>882</v>
      </c>
      <c r="C248" s="10" t="s">
        <v>616</v>
      </c>
      <c r="D248" s="11" t="n">
        <v>0.00279097222222222</v>
      </c>
      <c r="E248" s="18" t="n">
        <f aca="false">ROUND((D248-$D$5)*86400,2)</f>
        <v>16.11</v>
      </c>
      <c r="F248" s="12" t="n">
        <v>579</v>
      </c>
      <c r="G248" s="11" t="n">
        <f aca="false">IF(INDEX(選手一覧!$D$7:$D$2738,$F248)="","",INDEX(選手一覧!$D$7:$D$2738,$F248))</f>
        <v>0.0105118055555556</v>
      </c>
      <c r="H248" s="12" t="n">
        <f aca="false">IF(INDEX(選手一覧!$E$7:$E$2738,$F248)="","",INDEX(選手一覧!$E$7:$E$2738,$F248))</f>
        <v>353</v>
      </c>
      <c r="I248" s="11" t="str">
        <f aca="false">IF(INDEX(選手一覧!$F$7:$F$2738,$F248)="","",INDEX(選手一覧!$F$7:$F$2738,$F248))</f>
        <v/>
      </c>
      <c r="J248" s="12" t="str">
        <f aca="false">IF(INDEX(選手一覧!$G$7:$G$2738,$F248)="","",INDEX(選手一覧!$G$7:$G$2738,$F248))</f>
        <v/>
      </c>
    </row>
    <row r="249" customFormat="false" ht="15" hidden="false" customHeight="false" outlineLevel="0" collapsed="false">
      <c r="A249" s="12" t="n">
        <v>245</v>
      </c>
      <c r="B249" s="10" t="s">
        <v>888</v>
      </c>
      <c r="C249" s="10" t="s">
        <v>147</v>
      </c>
      <c r="D249" s="11" t="n">
        <v>0.0027912037037037</v>
      </c>
      <c r="E249" s="18" t="n">
        <f aca="false">ROUND((D249-$D$5)*86400,2)</f>
        <v>16.13</v>
      </c>
      <c r="F249" s="12" t="n">
        <v>584</v>
      </c>
      <c r="G249" s="11" t="str">
        <f aca="false">IF(INDEX(選手一覧!$D$7:$D$2738,$F249)="","",INDEX(選手一覧!$D$7:$D$2738,$F249))</f>
        <v/>
      </c>
      <c r="H249" s="12" t="str">
        <f aca="false">IF(INDEX(選手一覧!$E$7:$E$2738,$F249)="","",INDEX(選手一覧!$E$7:$E$2738,$F249))</f>
        <v/>
      </c>
      <c r="I249" s="11" t="str">
        <f aca="false">IF(INDEX(選手一覧!$F$7:$F$2738,$F249)="","",INDEX(選手一覧!$F$7:$F$2738,$F249))</f>
        <v/>
      </c>
      <c r="J249" s="12" t="str">
        <f aca="false">IF(INDEX(選手一覧!$G$7:$G$2738,$F249)="","",INDEX(選手一覧!$G$7:$G$2738,$F249))</f>
        <v/>
      </c>
    </row>
    <row r="250" customFormat="false" ht="15" hidden="false" customHeight="false" outlineLevel="0" collapsed="false">
      <c r="A250" s="12" t="n">
        <v>246</v>
      </c>
      <c r="B250" s="10" t="s">
        <v>842</v>
      </c>
      <c r="C250" s="10" t="s">
        <v>312</v>
      </c>
      <c r="D250" s="11" t="n">
        <v>0.0027912037037037</v>
      </c>
      <c r="E250" s="18" t="n">
        <f aca="false">ROUND((D250-$D$5)*86400,2)</f>
        <v>16.13</v>
      </c>
      <c r="F250" s="12" t="n">
        <v>550</v>
      </c>
      <c r="G250" s="11" t="n">
        <f aca="false">IF(INDEX(選手一覧!$D$7:$D$2738,$F250)="","",INDEX(選手一覧!$D$7:$D$2738,$F250))</f>
        <v>0.0103753472222222</v>
      </c>
      <c r="H250" s="12" t="n">
        <f aca="false">IF(INDEX(選手一覧!$E$7:$E$2738,$F250)="","",INDEX(選手一覧!$E$7:$E$2738,$F250))</f>
        <v>231</v>
      </c>
      <c r="I250" s="11" t="str">
        <f aca="false">IF(INDEX(選手一覧!$F$7:$F$2738,$F250)="","",INDEX(選手一覧!$F$7:$F$2738,$F250))</f>
        <v/>
      </c>
      <c r="J250" s="12" t="str">
        <f aca="false">IF(INDEX(選手一覧!$G$7:$G$2738,$F250)="","",INDEX(選手一覧!$G$7:$G$2738,$F250))</f>
        <v/>
      </c>
    </row>
    <row r="251" customFormat="false" ht="15" hidden="false" customHeight="false" outlineLevel="0" collapsed="false">
      <c r="A251" s="12" t="n">
        <v>247</v>
      </c>
      <c r="B251" s="10" t="s">
        <v>892</v>
      </c>
      <c r="C251" s="10" t="s">
        <v>49</v>
      </c>
      <c r="D251" s="11" t="n">
        <v>0.00279178240740741</v>
      </c>
      <c r="E251" s="18" t="n">
        <f aca="false">ROUND((D251-$D$5)*86400,2)</f>
        <v>16.18</v>
      </c>
      <c r="F251" s="12" t="n">
        <v>588</v>
      </c>
      <c r="G251" s="11" t="n">
        <f aca="false">IF(INDEX(選手一覧!$D$7:$D$2738,$F251)="","",INDEX(選手一覧!$D$7:$D$2738,$F251))</f>
        <v>0.0105248842592593</v>
      </c>
      <c r="H251" s="12" t="n">
        <f aca="false">IF(INDEX(選手一覧!$E$7:$E$2738,$F251)="","",INDEX(選手一覧!$E$7:$E$2738,$F251))</f>
        <v>365</v>
      </c>
      <c r="I251" s="11" t="str">
        <f aca="false">IF(INDEX(選手一覧!$F$7:$F$2738,$F251)="","",INDEX(選手一覧!$F$7:$F$2738,$F251))</f>
        <v/>
      </c>
      <c r="J251" s="12" t="str">
        <f aca="false">IF(INDEX(選手一覧!$G$7:$G$2738,$F251)="","",INDEX(選手一覧!$G$7:$G$2738,$F251))</f>
        <v/>
      </c>
    </row>
    <row r="252" customFormat="false" ht="15" hidden="false" customHeight="false" outlineLevel="0" collapsed="false">
      <c r="A252" s="12" t="n">
        <v>248</v>
      </c>
      <c r="B252" s="10" t="s">
        <v>895</v>
      </c>
      <c r="C252" s="10" t="s">
        <v>382</v>
      </c>
      <c r="D252" s="11" t="n">
        <v>0.00279189814814815</v>
      </c>
      <c r="E252" s="18" t="n">
        <f aca="false">ROUND((D252-$D$5)*86400,2)</f>
        <v>16.19</v>
      </c>
      <c r="F252" s="12" t="n">
        <v>591</v>
      </c>
      <c r="G252" s="11" t="n">
        <f aca="false">IF(INDEX(選手一覧!$D$7:$D$2738,$F252)="","",INDEX(選手一覧!$D$7:$D$2738,$F252))</f>
        <v>0.0105369212962963</v>
      </c>
      <c r="H252" s="12" t="n">
        <f aca="false">IF(INDEX(選手一覧!$E$7:$E$2738,$F252)="","",INDEX(選手一覧!$E$7:$E$2738,$F252))</f>
        <v>382</v>
      </c>
      <c r="I252" s="11" t="str">
        <f aca="false">IF(INDEX(選手一覧!$F$7:$F$2738,$F252)="","",INDEX(選手一覧!$F$7:$F$2738,$F252))</f>
        <v/>
      </c>
      <c r="J252" s="12" t="str">
        <f aca="false">IF(INDEX(選手一覧!$G$7:$G$2738,$F252)="","",INDEX(選手一覧!$G$7:$G$2738,$F252))</f>
        <v/>
      </c>
    </row>
    <row r="253" customFormat="false" ht="15" hidden="false" customHeight="false" outlineLevel="0" collapsed="false">
      <c r="A253" s="12" t="n">
        <v>249</v>
      </c>
      <c r="B253" s="10" t="s">
        <v>211</v>
      </c>
      <c r="C253" s="10" t="s">
        <v>29</v>
      </c>
      <c r="D253" s="11" t="n">
        <v>0.00279201388888889</v>
      </c>
      <c r="E253" s="18" t="n">
        <f aca="false">ROUND((D253-$D$5)*86400,2)</f>
        <v>16.2</v>
      </c>
      <c r="F253" s="12" t="n">
        <v>110</v>
      </c>
      <c r="G253" s="11" t="n">
        <f aca="false">IF(INDEX(選手一覧!$D$7:$D$2738,$F253)="","",INDEX(選手一覧!$D$7:$D$2738,$F253))</f>
        <v>0.0100759259259259</v>
      </c>
      <c r="H253" s="12" t="n">
        <f aca="false">IF(INDEX(選手一覧!$E$7:$E$2738,$F253)="","",INDEX(選手一覧!$E$7:$E$2738,$F253))</f>
        <v>42</v>
      </c>
      <c r="I253" s="11" t="str">
        <f aca="false">IF(INDEX(選手一覧!$F$7:$F$2738,$F253)="","",INDEX(選手一覧!$F$7:$F$2738,$F253))</f>
        <v/>
      </c>
      <c r="J253" s="12" t="str">
        <f aca="false">IF(INDEX(選手一覧!$G$7:$G$2738,$F253)="","",INDEX(選手一覧!$G$7:$G$2738,$F253))</f>
        <v/>
      </c>
    </row>
    <row r="254" customFormat="false" ht="15" hidden="false" customHeight="false" outlineLevel="0" collapsed="false">
      <c r="A254" s="12" t="n">
        <v>250</v>
      </c>
      <c r="B254" s="10" t="s">
        <v>772</v>
      </c>
      <c r="C254" s="10" t="s">
        <v>652</v>
      </c>
      <c r="D254" s="11" t="n">
        <v>0.00279305555555556</v>
      </c>
      <c r="E254" s="18" t="n">
        <f aca="false">ROUND((D254-$D$5)*86400,2)</f>
        <v>16.29</v>
      </c>
      <c r="F254" s="12" t="n">
        <v>499</v>
      </c>
      <c r="G254" s="11" t="n">
        <f aca="false">IF(INDEX(選手一覧!$D$7:$D$2738,$F254)="","",INDEX(選手一覧!$D$7:$D$2738,$F254))</f>
        <v>0.0108439814814815</v>
      </c>
      <c r="H254" s="12" t="n">
        <f aca="false">IF(INDEX(選手一覧!$E$7:$E$2738,$F254)="","",INDEX(選手一覧!$E$7:$E$2738,$F254))</f>
        <v>823</v>
      </c>
      <c r="I254" s="11" t="n">
        <f aca="false">IF(INDEX(選手一覧!$F$7:$F$2738,$F254)="","",INDEX(選手一覧!$F$7:$F$2738,$F254))</f>
        <v>0.00686076388888889</v>
      </c>
      <c r="J254" s="12" t="n">
        <f aca="false">IF(INDEX(選手一覧!$G$7:$G$2738,$F254)="","",INDEX(選手一覧!$G$7:$G$2738,$F254))</f>
        <v>210</v>
      </c>
    </row>
    <row r="255" customFormat="false" ht="15" hidden="false" customHeight="false" outlineLevel="0" collapsed="false">
      <c r="A255" s="12" t="n">
        <v>251</v>
      </c>
      <c r="B255" s="10" t="s">
        <v>262</v>
      </c>
      <c r="C255" s="10" t="s">
        <v>263</v>
      </c>
      <c r="D255" s="11" t="n">
        <v>0.00279351851851852</v>
      </c>
      <c r="E255" s="18" t="n">
        <f aca="false">ROUND((D255-$D$5)*86400,2)</f>
        <v>16.33</v>
      </c>
      <c r="F255" s="12" t="n">
        <v>143</v>
      </c>
      <c r="G255" s="11" t="n">
        <f aca="false">IF(INDEX(選手一覧!$D$7:$D$2738,$F255)="","",INDEX(選手一覧!$D$7:$D$2738,$F255))</f>
        <v>0.0104730324074074</v>
      </c>
      <c r="H255" s="12" t="n">
        <f aca="false">IF(INDEX(選手一覧!$E$7:$E$2738,$F255)="","",INDEX(選手一覧!$E$7:$E$2738,$F255))</f>
        <v>318</v>
      </c>
      <c r="I255" s="11" t="n">
        <f aca="false">IF(INDEX(選手一覧!$F$7:$F$2738,$F255)="","",INDEX(選手一覧!$F$7:$F$2738,$F255))</f>
        <v>0.00656898148148148</v>
      </c>
      <c r="J255" s="12" t="n">
        <f aca="false">IF(INDEX(選手一覧!$G$7:$G$2738,$F255)="","",INDEX(選手一覧!$G$7:$G$2738,$F255))</f>
        <v>57</v>
      </c>
    </row>
    <row r="256" customFormat="false" ht="15" hidden="false" customHeight="false" outlineLevel="0" collapsed="false">
      <c r="A256" s="12" t="n">
        <v>252</v>
      </c>
      <c r="B256" s="10" t="s">
        <v>427</v>
      </c>
      <c r="C256" s="10" t="s">
        <v>312</v>
      </c>
      <c r="D256" s="11" t="n">
        <v>0.00279363425925926</v>
      </c>
      <c r="E256" s="18" t="n">
        <f aca="false">ROUND((D256-$D$5)*86400,2)</f>
        <v>16.34</v>
      </c>
      <c r="F256" s="12" t="n">
        <v>260</v>
      </c>
      <c r="G256" s="11" t="n">
        <f aca="false">IF(INDEX(選手一覧!$D$7:$D$2738,$F256)="","",INDEX(選手一覧!$D$7:$D$2738,$F256))</f>
        <v>0.0102188657407407</v>
      </c>
      <c r="H256" s="12" t="n">
        <f aca="false">IF(INDEX(選手一覧!$E$7:$E$2738,$F256)="","",INDEX(選手一覧!$E$7:$E$2738,$F256))</f>
        <v>108</v>
      </c>
      <c r="I256" s="11" t="str">
        <f aca="false">IF(INDEX(選手一覧!$F$7:$F$2738,$F256)="","",INDEX(選手一覧!$F$7:$F$2738,$F256))</f>
        <v/>
      </c>
      <c r="J256" s="12" t="str">
        <f aca="false">IF(INDEX(選手一覧!$G$7:$G$2738,$F256)="","",INDEX(選手一覧!$G$7:$G$2738,$F256))</f>
        <v/>
      </c>
    </row>
    <row r="257" customFormat="false" ht="15" hidden="false" customHeight="false" outlineLevel="0" collapsed="false">
      <c r="A257" s="12" t="n">
        <v>253</v>
      </c>
      <c r="B257" s="10" t="s">
        <v>908</v>
      </c>
      <c r="C257" s="10" t="s">
        <v>254</v>
      </c>
      <c r="D257" s="11" t="n">
        <v>0.00279398148148148</v>
      </c>
      <c r="E257" s="18" t="n">
        <f aca="false">ROUND((D257-$D$5)*86400,2)</f>
        <v>16.37</v>
      </c>
      <c r="F257" s="12" t="n">
        <v>599</v>
      </c>
      <c r="G257" s="11" t="n">
        <f aca="false">IF(INDEX(選手一覧!$D$7:$D$2738,$F257)="","",INDEX(選手一覧!$D$7:$D$2738,$F257))</f>
        <v>0.0105828703703704</v>
      </c>
      <c r="H257" s="12" t="n">
        <f aca="false">IF(INDEX(選手一覧!$E$7:$E$2738,$F257)="","",INDEX(選手一覧!$E$7:$E$2738,$F257))</f>
        <v>439</v>
      </c>
      <c r="I257" s="11" t="str">
        <f aca="false">IF(INDEX(選手一覧!$F$7:$F$2738,$F257)="","",INDEX(選手一覧!$F$7:$F$2738,$F257))</f>
        <v/>
      </c>
      <c r="J257" s="12" t="str">
        <f aca="false">IF(INDEX(選手一覧!$G$7:$G$2738,$F257)="","",INDEX(選手一覧!$G$7:$G$2738,$F257))</f>
        <v/>
      </c>
    </row>
    <row r="258" customFormat="false" ht="15" hidden="false" customHeight="false" outlineLevel="0" collapsed="false">
      <c r="A258" s="12" t="n">
        <v>254</v>
      </c>
      <c r="B258" s="10" t="s">
        <v>914</v>
      </c>
      <c r="C258" s="10" t="s">
        <v>915</v>
      </c>
      <c r="D258" s="11" t="n">
        <v>0.00279409722222222</v>
      </c>
      <c r="E258" s="18" t="n">
        <f aca="false">ROUND((D258-$D$5)*86400,2)</f>
        <v>16.38</v>
      </c>
      <c r="F258" s="12" t="n">
        <v>604</v>
      </c>
      <c r="G258" s="11" t="str">
        <f aca="false">IF(INDEX(選手一覧!$D$7:$D$2738,$F258)="","",INDEX(選手一覧!$D$7:$D$2738,$F258))</f>
        <v/>
      </c>
      <c r="H258" s="12" t="str">
        <f aca="false">IF(INDEX(選手一覧!$E$7:$E$2738,$F258)="","",INDEX(選手一覧!$E$7:$E$2738,$F258))</f>
        <v/>
      </c>
      <c r="I258" s="11" t="str">
        <f aca="false">IF(INDEX(選手一覧!$F$7:$F$2738,$F258)="","",INDEX(選手一覧!$F$7:$F$2738,$F258))</f>
        <v/>
      </c>
      <c r="J258" s="12" t="str">
        <f aca="false">IF(INDEX(選手一覧!$G$7:$G$2738,$F258)="","",INDEX(選手一覧!$G$7:$G$2738,$F258))</f>
        <v/>
      </c>
    </row>
    <row r="259" customFormat="false" ht="15" hidden="false" customHeight="false" outlineLevel="0" collapsed="false">
      <c r="A259" s="12" t="n">
        <v>255</v>
      </c>
      <c r="B259" s="10" t="s">
        <v>919</v>
      </c>
      <c r="C259" s="10" t="s">
        <v>371</v>
      </c>
      <c r="D259" s="11" t="n">
        <v>0.00279421296296296</v>
      </c>
      <c r="E259" s="18" t="n">
        <f aca="false">ROUND((D259-$D$5)*86400,2)</f>
        <v>16.39</v>
      </c>
      <c r="F259" s="12" t="n">
        <v>607</v>
      </c>
      <c r="G259" s="11" t="str">
        <f aca="false">IF(INDEX(選手一覧!$D$7:$D$2738,$F259)="","",INDEX(選手一覧!$D$7:$D$2738,$F259))</f>
        <v/>
      </c>
      <c r="H259" s="12" t="str">
        <f aca="false">IF(INDEX(選手一覧!$E$7:$E$2738,$F259)="","",INDEX(選手一覧!$E$7:$E$2738,$F259))</f>
        <v/>
      </c>
      <c r="I259" s="11" t="str">
        <f aca="false">IF(INDEX(選手一覧!$F$7:$F$2738,$F259)="","",INDEX(選手一覧!$F$7:$F$2738,$F259))</f>
        <v/>
      </c>
      <c r="J259" s="12" t="str">
        <f aca="false">IF(INDEX(選手一覧!$G$7:$G$2738,$F259)="","",INDEX(選手一覧!$G$7:$G$2738,$F259))</f>
        <v/>
      </c>
    </row>
    <row r="260" customFormat="false" ht="15" hidden="false" customHeight="false" outlineLevel="0" collapsed="false">
      <c r="A260" s="12" t="n">
        <v>256</v>
      </c>
      <c r="B260" s="10" t="s">
        <v>922</v>
      </c>
      <c r="C260" s="10" t="s">
        <v>72</v>
      </c>
      <c r="D260" s="11" t="n">
        <v>0.0027943287037037</v>
      </c>
      <c r="E260" s="18" t="n">
        <f aca="false">ROUND((D260-$D$5)*86400,2)</f>
        <v>16.4</v>
      </c>
      <c r="F260" s="12" t="n">
        <v>609</v>
      </c>
      <c r="G260" s="11" t="str">
        <f aca="false">IF(INDEX(選手一覧!$D$7:$D$2738,$F260)="","",INDEX(選手一覧!$D$7:$D$2738,$F260))</f>
        <v/>
      </c>
      <c r="H260" s="12" t="str">
        <f aca="false">IF(INDEX(選手一覧!$E$7:$E$2738,$F260)="","",INDEX(選手一覧!$E$7:$E$2738,$F260))</f>
        <v/>
      </c>
      <c r="I260" s="11" t="str">
        <f aca="false">IF(INDEX(選手一覧!$F$7:$F$2738,$F260)="","",INDEX(選手一覧!$F$7:$F$2738,$F260))</f>
        <v/>
      </c>
      <c r="J260" s="12" t="str">
        <f aca="false">IF(INDEX(選手一覧!$G$7:$G$2738,$F260)="","",INDEX(選手一覧!$G$7:$G$2738,$F260))</f>
        <v/>
      </c>
    </row>
    <row r="261" customFormat="false" ht="15" hidden="false" customHeight="false" outlineLevel="0" collapsed="false">
      <c r="A261" s="12" t="n">
        <v>257</v>
      </c>
      <c r="B261" s="10" t="s">
        <v>96</v>
      </c>
      <c r="C261" s="10" t="s">
        <v>97</v>
      </c>
      <c r="D261" s="11" t="n">
        <v>0.00279456018518519</v>
      </c>
      <c r="E261" s="18" t="n">
        <f aca="false">ROUND((D261-$D$5)*86400,2)</f>
        <v>16.42</v>
      </c>
      <c r="F261" s="12" t="n">
        <v>42</v>
      </c>
      <c r="G261" s="11" t="n">
        <f aca="false">IF(INDEX(選手一覧!$D$7:$D$2738,$F261)="","",INDEX(選手一覧!$D$7:$D$2738,$F261))</f>
        <v>0.0108052083333333</v>
      </c>
      <c r="H261" s="12" t="n">
        <f aca="false">IF(INDEX(選手一覧!$E$7:$E$2738,$F261)="","",INDEX(選手一覧!$E$7:$E$2738,$F261))</f>
        <v>751</v>
      </c>
      <c r="I261" s="11" t="n">
        <f aca="false">IF(INDEX(選手一覧!$F$7:$F$2738,$F261)="","",INDEX(選手一覧!$F$7:$F$2738,$F261))</f>
        <v>0.00641087962962963</v>
      </c>
      <c r="J261" s="12" t="n">
        <f aca="false">IF(INDEX(選手一覧!$G$7:$G$2738,$F261)="","",INDEX(選手一覧!$G$7:$G$2738,$F261))</f>
        <v>17</v>
      </c>
    </row>
    <row r="262" customFormat="false" ht="15" hidden="false" customHeight="false" outlineLevel="0" collapsed="false">
      <c r="A262" s="12" t="n">
        <v>258</v>
      </c>
      <c r="B262" s="10" t="s">
        <v>926</v>
      </c>
      <c r="C262" s="10" t="s">
        <v>927</v>
      </c>
      <c r="D262" s="11" t="n">
        <v>0.00279490740740741</v>
      </c>
      <c r="E262" s="18" t="n">
        <f aca="false">ROUND((D262-$D$5)*86400,2)</f>
        <v>16.45</v>
      </c>
      <c r="F262" s="12" t="n">
        <v>613</v>
      </c>
      <c r="G262" s="11" t="n">
        <f aca="false">IF(INDEX(選手一覧!$D$7:$D$2738,$F262)="","",INDEX(選手一覧!$D$7:$D$2738,$F262))</f>
        <v>0.0110541666666667</v>
      </c>
      <c r="H262" s="12" t="n">
        <f aca="false">IF(INDEX(選手一覧!$E$7:$E$2738,$F262)="","",INDEX(選手一覧!$E$7:$E$2738,$F262))</f>
        <v>1209</v>
      </c>
      <c r="I262" s="11" t="str">
        <f aca="false">IF(INDEX(選手一覧!$F$7:$F$2738,$F262)="","",INDEX(選手一覧!$F$7:$F$2738,$F262))</f>
        <v/>
      </c>
      <c r="J262" s="12" t="str">
        <f aca="false">IF(INDEX(選手一覧!$G$7:$G$2738,$F262)="","",INDEX(選手一覧!$G$7:$G$2738,$F262))</f>
        <v/>
      </c>
    </row>
    <row r="263" customFormat="false" ht="15" hidden="false" customHeight="false" outlineLevel="0" collapsed="false">
      <c r="A263" s="12" t="n">
        <v>259</v>
      </c>
      <c r="B263" s="10" t="s">
        <v>930</v>
      </c>
      <c r="C263" s="10" t="s">
        <v>931</v>
      </c>
      <c r="D263" s="11" t="n">
        <v>0.00279525462962963</v>
      </c>
      <c r="E263" s="18" t="n">
        <f aca="false">ROUND((D263-$D$5)*86400,2)</f>
        <v>16.48</v>
      </c>
      <c r="F263" s="12" t="n">
        <v>616</v>
      </c>
      <c r="G263" s="11" t="str">
        <f aca="false">IF(INDEX(選手一覧!$D$7:$D$2738,$F263)="","",INDEX(選手一覧!$D$7:$D$2738,$F263))</f>
        <v/>
      </c>
      <c r="H263" s="12" t="str">
        <f aca="false">IF(INDEX(選手一覧!$E$7:$E$2738,$F263)="","",INDEX(選手一覧!$E$7:$E$2738,$F263))</f>
        <v/>
      </c>
      <c r="I263" s="11" t="str">
        <f aca="false">IF(INDEX(選手一覧!$F$7:$F$2738,$F263)="","",INDEX(選手一覧!$F$7:$F$2738,$F263))</f>
        <v/>
      </c>
      <c r="J263" s="12" t="str">
        <f aca="false">IF(INDEX(選手一覧!$G$7:$G$2738,$F263)="","",INDEX(選手一覧!$G$7:$G$2738,$F263))</f>
        <v/>
      </c>
    </row>
    <row r="264" customFormat="false" ht="15" hidden="false" customHeight="false" outlineLevel="0" collapsed="false">
      <c r="A264" s="12" t="n">
        <v>260</v>
      </c>
      <c r="B264" s="10" t="s">
        <v>933</v>
      </c>
      <c r="C264" s="10" t="s">
        <v>277</v>
      </c>
      <c r="D264" s="11" t="n">
        <v>0.00279525462962963</v>
      </c>
      <c r="E264" s="18" t="n">
        <f aca="false">ROUND((D264-$D$5)*86400,2)</f>
        <v>16.48</v>
      </c>
      <c r="F264" s="12" t="n">
        <v>618</v>
      </c>
      <c r="G264" s="11" t="n">
        <f aca="false">IF(INDEX(選手一覧!$D$7:$D$2738,$F264)="","",INDEX(選手一覧!$D$7:$D$2738,$F264))</f>
        <v>0.01104375</v>
      </c>
      <c r="H264" s="12" t="n">
        <f aca="false">IF(INDEX(選手一覧!$E$7:$E$2738,$F264)="","",INDEX(選手一覧!$E$7:$E$2738,$F264))</f>
        <v>1185</v>
      </c>
      <c r="I264" s="11" t="str">
        <f aca="false">IF(INDEX(選手一覧!$F$7:$F$2738,$F264)="","",INDEX(選手一覧!$F$7:$F$2738,$F264))</f>
        <v/>
      </c>
      <c r="J264" s="12" t="str">
        <f aca="false">IF(INDEX(選手一覧!$G$7:$G$2738,$F264)="","",INDEX(選手一覧!$G$7:$G$2738,$F264))</f>
        <v/>
      </c>
    </row>
    <row r="265" customFormat="false" ht="15" hidden="false" customHeight="false" outlineLevel="0" collapsed="false">
      <c r="A265" s="12" t="n">
        <v>261</v>
      </c>
      <c r="B265" s="10" t="s">
        <v>935</v>
      </c>
      <c r="C265" s="10" t="s">
        <v>309</v>
      </c>
      <c r="D265" s="11" t="n">
        <v>0.00279537037037037</v>
      </c>
      <c r="E265" s="18" t="n">
        <f aca="false">ROUND((D265-$D$5)*86400,2)</f>
        <v>16.49</v>
      </c>
      <c r="F265" s="12" t="n">
        <v>620</v>
      </c>
      <c r="G265" s="11" t="n">
        <f aca="false">IF(INDEX(選手一覧!$D$7:$D$2738,$F265)="","",INDEX(選手一覧!$D$7:$D$2738,$F265))</f>
        <v>0.0104947916666667</v>
      </c>
      <c r="H265" s="12" t="n">
        <f aca="false">IF(INDEX(選手一覧!$E$7:$E$2738,$F265)="","",INDEX(選手一覧!$E$7:$E$2738,$F265))</f>
        <v>337</v>
      </c>
      <c r="I265" s="11" t="str">
        <f aca="false">IF(INDEX(選手一覧!$F$7:$F$2738,$F265)="","",INDEX(選手一覧!$F$7:$F$2738,$F265))</f>
        <v/>
      </c>
      <c r="J265" s="12" t="str">
        <f aca="false">IF(INDEX(選手一覧!$G$7:$G$2738,$F265)="","",INDEX(選手一覧!$G$7:$G$2738,$F265))</f>
        <v/>
      </c>
    </row>
    <row r="266" customFormat="false" ht="15" hidden="false" customHeight="false" outlineLevel="0" collapsed="false">
      <c r="A266" s="12" t="n">
        <v>262</v>
      </c>
      <c r="B266" s="10" t="s">
        <v>939</v>
      </c>
      <c r="C266" s="10" t="s">
        <v>836</v>
      </c>
      <c r="D266" s="11" t="n">
        <v>0.00279560185185185</v>
      </c>
      <c r="E266" s="18" t="n">
        <f aca="false">ROUND((D266-$D$5)*86400,2)</f>
        <v>16.51</v>
      </c>
      <c r="F266" s="12" t="n">
        <v>623</v>
      </c>
      <c r="G266" s="11" t="n">
        <f aca="false">IF(INDEX(選手一覧!$D$7:$D$2738,$F266)="","",INDEX(選手一覧!$D$7:$D$2738,$F266))</f>
        <v>0.0107810185185185</v>
      </c>
      <c r="H266" s="12" t="n">
        <f aca="false">IF(INDEX(選手一覧!$E$7:$E$2738,$F266)="","",INDEX(選手一覧!$E$7:$E$2738,$F266))</f>
        <v>708</v>
      </c>
      <c r="I266" s="11" t="str">
        <f aca="false">IF(INDEX(選手一覧!$F$7:$F$2738,$F266)="","",INDEX(選手一覧!$F$7:$F$2738,$F266))</f>
        <v/>
      </c>
      <c r="J266" s="12" t="str">
        <f aca="false">IF(INDEX(選手一覧!$G$7:$G$2738,$F266)="","",INDEX(選手一覧!$G$7:$G$2738,$F266))</f>
        <v/>
      </c>
    </row>
    <row r="267" customFormat="false" ht="15" hidden="false" customHeight="false" outlineLevel="0" collapsed="false">
      <c r="A267" s="12" t="n">
        <v>263</v>
      </c>
      <c r="B267" s="10" t="s">
        <v>942</v>
      </c>
      <c r="C267" s="10" t="s">
        <v>931</v>
      </c>
      <c r="D267" s="11" t="n">
        <v>0.00279560185185185</v>
      </c>
      <c r="E267" s="18" t="n">
        <f aca="false">ROUND((D267-$D$5)*86400,2)</f>
        <v>16.51</v>
      </c>
      <c r="F267" s="12" t="n">
        <v>626</v>
      </c>
      <c r="G267" s="11" t="n">
        <f aca="false">IF(INDEX(選手一覧!$D$7:$D$2738,$F267)="","",INDEX(選手一覧!$D$7:$D$2738,$F267))</f>
        <v>0.0107415509259259</v>
      </c>
      <c r="H267" s="12" t="n">
        <f aca="false">IF(INDEX(選手一覧!$E$7:$E$2738,$F267)="","",INDEX(選手一覧!$E$7:$E$2738,$F267))</f>
        <v>655</v>
      </c>
      <c r="I267" s="11" t="str">
        <f aca="false">IF(INDEX(選手一覧!$F$7:$F$2738,$F267)="","",INDEX(選手一覧!$F$7:$F$2738,$F267))</f>
        <v/>
      </c>
      <c r="J267" s="12" t="str">
        <f aca="false">IF(INDEX(選手一覧!$G$7:$G$2738,$F267)="","",INDEX(選手一覧!$G$7:$G$2738,$F267))</f>
        <v/>
      </c>
    </row>
    <row r="268" customFormat="false" ht="15" hidden="false" customHeight="false" outlineLevel="0" collapsed="false">
      <c r="A268" s="12" t="n">
        <v>264</v>
      </c>
      <c r="B268" s="10" t="s">
        <v>946</v>
      </c>
      <c r="C268" s="10" t="s">
        <v>947</v>
      </c>
      <c r="D268" s="11" t="n">
        <v>0.00279560185185185</v>
      </c>
      <c r="E268" s="18" t="n">
        <f aca="false">ROUND((D268-$D$5)*86400,2)</f>
        <v>16.51</v>
      </c>
      <c r="F268" s="12" t="n">
        <v>629</v>
      </c>
      <c r="G268" s="11" t="n">
        <f aca="false">IF(INDEX(選手一覧!$D$7:$D$2738,$F268)="","",INDEX(選手一覧!$D$7:$D$2738,$F268))</f>
        <v>0.010803125</v>
      </c>
      <c r="H268" s="12" t="n">
        <f aca="false">IF(INDEX(選手一覧!$E$7:$E$2738,$F268)="","",INDEX(選手一覧!$E$7:$E$2738,$F268))</f>
        <v>749</v>
      </c>
      <c r="I268" s="11" t="str">
        <f aca="false">IF(INDEX(選手一覧!$F$7:$F$2738,$F268)="","",INDEX(選手一覧!$F$7:$F$2738,$F268))</f>
        <v/>
      </c>
      <c r="J268" s="12" t="str">
        <f aca="false">IF(INDEX(選手一覧!$G$7:$G$2738,$F268)="","",INDEX(選手一覧!$G$7:$G$2738,$F268))</f>
        <v/>
      </c>
    </row>
    <row r="269" customFormat="false" ht="15" hidden="false" customHeight="false" outlineLevel="0" collapsed="false">
      <c r="A269" s="12" t="n">
        <v>265</v>
      </c>
      <c r="B269" s="10" t="s">
        <v>953</v>
      </c>
      <c r="C269" s="10" t="s">
        <v>954</v>
      </c>
      <c r="D269" s="11" t="n">
        <v>0.00279606481481482</v>
      </c>
      <c r="E269" s="18" t="n">
        <f aca="false">ROUND((D269-$D$5)*86400,2)</f>
        <v>16.55</v>
      </c>
      <c r="F269" s="12" t="n">
        <v>633</v>
      </c>
      <c r="G269" s="11" t="str">
        <f aca="false">IF(INDEX(選手一覧!$D$7:$D$2738,$F269)="","",INDEX(選手一覧!$D$7:$D$2738,$F269))</f>
        <v/>
      </c>
      <c r="H269" s="12" t="str">
        <f aca="false">IF(INDEX(選手一覧!$E$7:$E$2738,$F269)="","",INDEX(選手一覧!$E$7:$E$2738,$F269))</f>
        <v/>
      </c>
      <c r="I269" s="11" t="str">
        <f aca="false">IF(INDEX(選手一覧!$F$7:$F$2738,$F269)="","",INDEX(選手一覧!$F$7:$F$2738,$F269))</f>
        <v/>
      </c>
      <c r="J269" s="12" t="str">
        <f aca="false">IF(INDEX(選手一覧!$G$7:$G$2738,$F269)="","",INDEX(選手一覧!$G$7:$G$2738,$F269))</f>
        <v/>
      </c>
    </row>
    <row r="270" customFormat="false" ht="15" hidden="false" customHeight="false" outlineLevel="0" collapsed="false">
      <c r="A270" s="12" t="n">
        <v>266</v>
      </c>
      <c r="B270" s="10" t="s">
        <v>531</v>
      </c>
      <c r="C270" s="10" t="s">
        <v>60</v>
      </c>
      <c r="D270" s="11" t="n">
        <v>0.00279618055555556</v>
      </c>
      <c r="E270" s="18" t="n">
        <f aca="false">ROUND((D270-$D$5)*86400,2)</f>
        <v>16.56</v>
      </c>
      <c r="F270" s="12" t="n">
        <v>331</v>
      </c>
      <c r="G270" s="11" t="n">
        <f aca="false">IF(INDEX(選手一覧!$D$7:$D$2738,$F270)="","",INDEX(選手一覧!$D$7:$D$2738,$F270))</f>
        <v>0.01026875</v>
      </c>
      <c r="H270" s="12" t="n">
        <f aca="false">IF(INDEX(選手一覧!$E$7:$E$2738,$F270)="","",INDEX(選手一覧!$E$7:$E$2738,$F270))</f>
        <v>137</v>
      </c>
      <c r="I270" s="11" t="str">
        <f aca="false">IF(INDEX(選手一覧!$F$7:$F$2738,$F270)="","",INDEX(選手一覧!$F$7:$F$2738,$F270))</f>
        <v/>
      </c>
      <c r="J270" s="12" t="str">
        <f aca="false">IF(INDEX(選手一覧!$G$7:$G$2738,$F270)="","",INDEX(選手一覧!$G$7:$G$2738,$F270))</f>
        <v/>
      </c>
    </row>
    <row r="271" customFormat="false" ht="15" hidden="false" customHeight="false" outlineLevel="0" collapsed="false">
      <c r="A271" s="12" t="n">
        <v>267</v>
      </c>
      <c r="B271" s="10" t="s">
        <v>957</v>
      </c>
      <c r="C271" s="10" t="s">
        <v>358</v>
      </c>
      <c r="D271" s="11" t="n">
        <v>0.00279618055555556</v>
      </c>
      <c r="E271" s="18" t="n">
        <f aca="false">ROUND((D271-$D$5)*86400,2)</f>
        <v>16.56</v>
      </c>
      <c r="F271" s="12" t="n">
        <v>636</v>
      </c>
      <c r="G271" s="11" t="n">
        <f aca="false">IF(INDEX(選手一覧!$D$7:$D$2738,$F271)="","",INDEX(選手一覧!$D$7:$D$2738,$F271))</f>
        <v>0.0105081018518519</v>
      </c>
      <c r="H271" s="12" t="n">
        <f aca="false">IF(INDEX(選手一覧!$E$7:$E$2738,$F271)="","",INDEX(選手一覧!$E$7:$E$2738,$F271))</f>
        <v>348</v>
      </c>
      <c r="I271" s="11" t="str">
        <f aca="false">IF(INDEX(選手一覧!$F$7:$F$2738,$F271)="","",INDEX(選手一覧!$F$7:$F$2738,$F271))</f>
        <v/>
      </c>
      <c r="J271" s="12" t="str">
        <f aca="false">IF(INDEX(選手一覧!$G$7:$G$2738,$F271)="","",INDEX(選手一覧!$G$7:$G$2738,$F271))</f>
        <v/>
      </c>
    </row>
    <row r="272" customFormat="false" ht="15" hidden="false" customHeight="false" outlineLevel="0" collapsed="false">
      <c r="A272" s="12" t="n">
        <v>268</v>
      </c>
      <c r="B272" s="10" t="s">
        <v>470</v>
      </c>
      <c r="C272" s="10" t="s">
        <v>471</v>
      </c>
      <c r="D272" s="11" t="n">
        <v>0.00279675925925926</v>
      </c>
      <c r="E272" s="18" t="n">
        <f aca="false">ROUND((D272-$D$5)*86400,2)</f>
        <v>16.61</v>
      </c>
      <c r="F272" s="12" t="n">
        <v>291</v>
      </c>
      <c r="G272" s="11" t="n">
        <f aca="false">IF(INDEX(選手一覧!$D$7:$D$2738,$F272)="","",INDEX(選手一覧!$D$7:$D$2738,$F272))</f>
        <v>0.0102403935185185</v>
      </c>
      <c r="H272" s="12" t="n">
        <f aca="false">IF(INDEX(選手一覧!$E$7:$E$2738,$F272)="","",INDEX(選手一覧!$E$7:$E$2738,$F272))</f>
        <v>120</v>
      </c>
      <c r="I272" s="11" t="str">
        <f aca="false">IF(INDEX(選手一覧!$F$7:$F$2738,$F272)="","",INDEX(選手一覧!$F$7:$F$2738,$F272))</f>
        <v/>
      </c>
      <c r="J272" s="12" t="str">
        <f aca="false">IF(INDEX(選手一覧!$G$7:$G$2738,$F272)="","",INDEX(選手一覧!$G$7:$G$2738,$F272))</f>
        <v/>
      </c>
    </row>
    <row r="273" customFormat="false" ht="15" hidden="false" customHeight="false" outlineLevel="0" collapsed="false">
      <c r="A273" s="12" t="n">
        <v>269</v>
      </c>
      <c r="B273" s="10" t="s">
        <v>959</v>
      </c>
      <c r="C273" s="10" t="s">
        <v>105</v>
      </c>
      <c r="D273" s="11" t="n">
        <v>0.002796875</v>
      </c>
      <c r="E273" s="18" t="n">
        <f aca="false">ROUND((D273-$D$5)*86400,2)</f>
        <v>16.62</v>
      </c>
      <c r="F273" s="12" t="n">
        <v>638</v>
      </c>
      <c r="G273" s="11" t="n">
        <f aca="false">IF(INDEX(選手一覧!$D$7:$D$2738,$F273)="","",INDEX(選手一覧!$D$7:$D$2738,$F273))</f>
        <v>0.0104037037037037</v>
      </c>
      <c r="H273" s="12" t="n">
        <f aca="false">IF(INDEX(選手一覧!$E$7:$E$2738,$F273)="","",INDEX(選手一覧!$E$7:$E$2738,$F273))</f>
        <v>269</v>
      </c>
      <c r="I273" s="11" t="str">
        <f aca="false">IF(INDEX(選手一覧!$F$7:$F$2738,$F273)="","",INDEX(選手一覧!$F$7:$F$2738,$F273))</f>
        <v/>
      </c>
      <c r="J273" s="12" t="str">
        <f aca="false">IF(INDEX(選手一覧!$G$7:$G$2738,$F273)="","",INDEX(選手一覧!$G$7:$G$2738,$F273))</f>
        <v/>
      </c>
    </row>
    <row r="274" customFormat="false" ht="15" hidden="false" customHeight="false" outlineLevel="0" collapsed="false">
      <c r="A274" s="12" t="n">
        <v>270</v>
      </c>
      <c r="B274" s="10" t="s">
        <v>961</v>
      </c>
      <c r="C274" s="10" t="s">
        <v>302</v>
      </c>
      <c r="D274" s="11" t="n">
        <v>0.00279710648148148</v>
      </c>
      <c r="E274" s="18" t="n">
        <f aca="false">ROUND((D274-$D$5)*86400,2)</f>
        <v>16.64</v>
      </c>
      <c r="F274" s="12" t="n">
        <v>640</v>
      </c>
      <c r="G274" s="11" t="n">
        <f aca="false">IF(INDEX(選手一覧!$D$7:$D$2738,$F274)="","",INDEX(選手一覧!$D$7:$D$2738,$F274))</f>
        <v>0.0107273148148148</v>
      </c>
      <c r="H274" s="12" t="n">
        <f aca="false">IF(INDEX(選手一覧!$E$7:$E$2738,$F274)="","",INDEX(選手一覧!$E$7:$E$2738,$F274))</f>
        <v>625</v>
      </c>
      <c r="I274" s="11" t="str">
        <f aca="false">IF(INDEX(選手一覧!$F$7:$F$2738,$F274)="","",INDEX(選手一覧!$F$7:$F$2738,$F274))</f>
        <v/>
      </c>
      <c r="J274" s="12" t="str">
        <f aca="false">IF(INDEX(選手一覧!$G$7:$G$2738,$F274)="","",INDEX(選手一覧!$G$7:$G$2738,$F274))</f>
        <v/>
      </c>
    </row>
    <row r="275" customFormat="false" ht="15" hidden="false" customHeight="false" outlineLevel="0" collapsed="false">
      <c r="A275" s="12" t="n">
        <v>271</v>
      </c>
      <c r="B275" s="10" t="s">
        <v>965</v>
      </c>
      <c r="C275" s="10" t="s">
        <v>966</v>
      </c>
      <c r="D275" s="11" t="n">
        <v>0.0027974537037037</v>
      </c>
      <c r="E275" s="18" t="n">
        <f aca="false">ROUND((D275-$D$5)*86400,2)</f>
        <v>16.67</v>
      </c>
      <c r="F275" s="12" t="n">
        <v>643</v>
      </c>
      <c r="G275" s="11" t="str">
        <f aca="false">IF(INDEX(選手一覧!$D$7:$D$2738,$F275)="","",INDEX(選手一覧!$D$7:$D$2738,$F275))</f>
        <v/>
      </c>
      <c r="H275" s="12" t="str">
        <f aca="false">IF(INDEX(選手一覧!$E$7:$E$2738,$F275)="","",INDEX(選手一覧!$E$7:$E$2738,$F275))</f>
        <v/>
      </c>
      <c r="I275" s="11" t="str">
        <f aca="false">IF(INDEX(選手一覧!$F$7:$F$2738,$F275)="","",INDEX(選手一覧!$F$7:$F$2738,$F275))</f>
        <v/>
      </c>
      <c r="J275" s="12" t="str">
        <f aca="false">IF(INDEX(選手一覧!$G$7:$G$2738,$F275)="","",INDEX(選手一覧!$G$7:$G$2738,$F275))</f>
        <v/>
      </c>
    </row>
    <row r="276" customFormat="false" ht="15" hidden="false" customHeight="false" outlineLevel="0" collapsed="false">
      <c r="A276" s="12" t="n">
        <v>272</v>
      </c>
      <c r="B276" s="10" t="s">
        <v>967</v>
      </c>
      <c r="C276" s="10" t="s">
        <v>109</v>
      </c>
      <c r="D276" s="11" t="n">
        <v>0.00279756944444445</v>
      </c>
      <c r="E276" s="18" t="n">
        <f aca="false">ROUND((D276-$D$5)*86400,2)</f>
        <v>16.68</v>
      </c>
      <c r="F276" s="12" t="n">
        <v>644</v>
      </c>
      <c r="G276" s="11" t="n">
        <f aca="false">IF(INDEX(選手一覧!$D$7:$D$2738,$F276)="","",INDEX(選手一覧!$D$7:$D$2738,$F276))</f>
        <v>0.0106086805555556</v>
      </c>
      <c r="H276" s="12" t="n">
        <f aca="false">IF(INDEX(選手一覧!$E$7:$E$2738,$F276)="","",INDEX(選手一覧!$E$7:$E$2738,$F276))</f>
        <v>474</v>
      </c>
      <c r="I276" s="11" t="n">
        <f aca="false">IF(INDEX(選手一覧!$F$7:$F$2738,$F276)="","",INDEX(選手一覧!$F$7:$F$2738,$F276))</f>
        <v>0.00698622685185185</v>
      </c>
      <c r="J276" s="12" t="n">
        <f aca="false">IF(INDEX(選手一覧!$G$7:$G$2738,$F276)="","",INDEX(選手一覧!$G$7:$G$2738,$F276))</f>
        <v>321</v>
      </c>
    </row>
    <row r="277" customFormat="false" ht="15" hidden="false" customHeight="false" outlineLevel="0" collapsed="false">
      <c r="A277" s="12" t="n">
        <v>273</v>
      </c>
      <c r="B277" s="10" t="s">
        <v>392</v>
      </c>
      <c r="C277" s="10" t="s">
        <v>393</v>
      </c>
      <c r="D277" s="11" t="n">
        <v>0.00279768518518519</v>
      </c>
      <c r="E277" s="18" t="n">
        <f aca="false">ROUND((D277-$D$5)*86400,2)</f>
        <v>16.69</v>
      </c>
      <c r="F277" s="12" t="n">
        <v>235</v>
      </c>
      <c r="G277" s="11" t="n">
        <f aca="false">IF(INDEX(選手一覧!$D$7:$D$2738,$F277)="","",INDEX(選手一覧!$D$7:$D$2738,$F277))</f>
        <v>0.0107601851851852</v>
      </c>
      <c r="H277" s="12" t="n">
        <f aca="false">IF(INDEX(選手一覧!$E$7:$E$2738,$F277)="","",INDEX(選手一覧!$E$7:$E$2738,$F277))</f>
        <v>679</v>
      </c>
      <c r="I277" s="11" t="n">
        <f aca="false">IF(INDEX(選手一覧!$F$7:$F$2738,$F277)="","",INDEX(選手一覧!$F$7:$F$2738,$F277))</f>
        <v>0.00667858796296296</v>
      </c>
      <c r="J277" s="12" t="n">
        <f aca="false">IF(INDEX(選手一覧!$G$7:$G$2738,$F277)="","",INDEX(選手一覧!$G$7:$G$2738,$F277))</f>
        <v>97</v>
      </c>
    </row>
    <row r="278" customFormat="false" ht="15" hidden="false" customHeight="false" outlineLevel="0" collapsed="false">
      <c r="A278" s="12" t="n">
        <v>274</v>
      </c>
      <c r="B278" s="10" t="s">
        <v>971</v>
      </c>
      <c r="C278" s="10" t="s">
        <v>457</v>
      </c>
      <c r="D278" s="11" t="n">
        <v>0.00279780092592593</v>
      </c>
      <c r="E278" s="18" t="n">
        <f aca="false">ROUND((D278-$D$5)*86400,2)</f>
        <v>16.7</v>
      </c>
      <c r="F278" s="12" t="n">
        <v>647</v>
      </c>
      <c r="G278" s="11" t="n">
        <f aca="false">IF(INDEX(選手一覧!$D$7:$D$2738,$F278)="","",INDEX(選手一覧!$D$7:$D$2738,$F278))</f>
        <v>0.0109027777777778</v>
      </c>
      <c r="H278" s="12" t="n">
        <f aca="false">IF(INDEX(選手一覧!$E$7:$E$2738,$F278)="","",INDEX(選手一覧!$E$7:$E$2738,$F278))</f>
        <v>924</v>
      </c>
      <c r="I278" s="11" t="str">
        <f aca="false">IF(INDEX(選手一覧!$F$7:$F$2738,$F278)="","",INDEX(選手一覧!$F$7:$F$2738,$F278))</f>
        <v/>
      </c>
      <c r="J278" s="12" t="str">
        <f aca="false">IF(INDEX(選手一覧!$G$7:$G$2738,$F278)="","",INDEX(選手一覧!$G$7:$G$2738,$F278))</f>
        <v/>
      </c>
    </row>
    <row r="279" customFormat="false" ht="15" hidden="false" customHeight="false" outlineLevel="0" collapsed="false">
      <c r="A279" s="12" t="n">
        <v>275</v>
      </c>
      <c r="B279" s="10" t="s">
        <v>973</v>
      </c>
      <c r="C279" s="10" t="s">
        <v>974</v>
      </c>
      <c r="D279" s="11" t="n">
        <v>0.00279814814814815</v>
      </c>
      <c r="E279" s="18" t="n">
        <f aca="false">ROUND((D279-$D$5)*86400,2)</f>
        <v>16.73</v>
      </c>
      <c r="F279" s="12" t="n">
        <v>649</v>
      </c>
      <c r="G279" s="11" t="n">
        <f aca="false">IF(INDEX(選手一覧!$D$7:$D$2738,$F279)="","",INDEX(選手一覧!$D$7:$D$2738,$F279))</f>
        <v>0.0108070601851852</v>
      </c>
      <c r="H279" s="12" t="n">
        <f aca="false">IF(INDEX(選手一覧!$E$7:$E$2738,$F279)="","",INDEX(選手一覧!$E$7:$E$2738,$F279))</f>
        <v>757</v>
      </c>
      <c r="I279" s="11" t="str">
        <f aca="false">IF(INDEX(選手一覧!$F$7:$F$2738,$F279)="","",INDEX(選手一覧!$F$7:$F$2738,$F279))</f>
        <v/>
      </c>
      <c r="J279" s="12" t="str">
        <f aca="false">IF(INDEX(選手一覧!$G$7:$G$2738,$F279)="","",INDEX(選手一覧!$G$7:$G$2738,$F279))</f>
        <v/>
      </c>
    </row>
    <row r="280" customFormat="false" ht="15" hidden="false" customHeight="false" outlineLevel="0" collapsed="false">
      <c r="A280" s="12" t="n">
        <v>276</v>
      </c>
      <c r="B280" s="10" t="s">
        <v>976</v>
      </c>
      <c r="C280" s="10" t="s">
        <v>4014</v>
      </c>
      <c r="D280" s="11" t="n">
        <v>0.00279872685185185</v>
      </c>
      <c r="E280" s="18" t="n">
        <f aca="false">ROUND((D280-$D$5)*86400,2)</f>
        <v>16.78</v>
      </c>
      <c r="F280" s="12" t="n">
        <v>651</v>
      </c>
      <c r="G280" s="11" t="n">
        <f aca="false">IF(INDEX(選手一覧!$D$7:$D$2738,$F280)="","",INDEX(選手一覧!$D$7:$D$2738,$F280))</f>
        <v>0.0104842592592593</v>
      </c>
      <c r="H280" s="12" t="n">
        <f aca="false">IF(INDEX(選手一覧!$E$7:$E$2738,$F280)="","",INDEX(選手一覧!$E$7:$E$2738,$F280))</f>
        <v>327</v>
      </c>
      <c r="I280" s="11" t="str">
        <f aca="false">IF(INDEX(選手一覧!$F$7:$F$2738,$F280)="","",INDEX(選手一覧!$F$7:$F$2738,$F280))</f>
        <v/>
      </c>
      <c r="J280" s="12" t="str">
        <f aca="false">IF(INDEX(選手一覧!$G$7:$G$2738,$F280)="","",INDEX(選手一覧!$G$7:$G$2738,$F280))</f>
        <v/>
      </c>
    </row>
    <row r="281" customFormat="false" ht="15" hidden="false" customHeight="false" outlineLevel="0" collapsed="false">
      <c r="A281" s="12" t="n">
        <v>277</v>
      </c>
      <c r="B281" s="10" t="s">
        <v>755</v>
      </c>
      <c r="C281" s="10" t="s">
        <v>756</v>
      </c>
      <c r="D281" s="11" t="n">
        <v>0.00279907407407407</v>
      </c>
      <c r="E281" s="18" t="n">
        <f aca="false">ROUND((D281-$D$5)*86400,2)</f>
        <v>16.81</v>
      </c>
      <c r="F281" s="12" t="n">
        <v>487</v>
      </c>
      <c r="G281" s="11" t="n">
        <f aca="false">IF(INDEX(選手一覧!$D$7:$D$2738,$F281)="","",INDEX(選手一覧!$D$7:$D$2738,$F281))</f>
        <v>0.0103510416666667</v>
      </c>
      <c r="H281" s="12" t="n">
        <f aca="false">IF(INDEX(選手一覧!$E$7:$E$2738,$F281)="","",INDEX(選手一覧!$E$7:$E$2738,$F281))</f>
        <v>205</v>
      </c>
      <c r="I281" s="11" t="str">
        <f aca="false">IF(INDEX(選手一覧!$F$7:$F$2738,$F281)="","",INDEX(選手一覧!$F$7:$F$2738,$F281))</f>
        <v/>
      </c>
      <c r="J281" s="12" t="str">
        <f aca="false">IF(INDEX(選手一覧!$G$7:$G$2738,$F281)="","",INDEX(選手一覧!$G$7:$G$2738,$F281))</f>
        <v/>
      </c>
    </row>
    <row r="282" customFormat="false" ht="15" hidden="false" customHeight="false" outlineLevel="0" collapsed="false">
      <c r="A282" s="12" t="n">
        <v>278</v>
      </c>
      <c r="B282" s="10" t="s">
        <v>982</v>
      </c>
      <c r="C282" s="10" t="s">
        <v>983</v>
      </c>
      <c r="D282" s="11" t="n">
        <v>0.00279907407407407</v>
      </c>
      <c r="E282" s="18" t="n">
        <f aca="false">ROUND((D282-$D$5)*86400,2)</f>
        <v>16.81</v>
      </c>
      <c r="F282" s="12" t="n">
        <v>656</v>
      </c>
      <c r="G282" s="11" t="n">
        <f aca="false">IF(INDEX(選手一覧!$D$7:$D$2738,$F282)="","",INDEX(選手一覧!$D$7:$D$2738,$F282))</f>
        <v>0.0107804398148148</v>
      </c>
      <c r="H282" s="12" t="n">
        <f aca="false">IF(INDEX(選手一覧!$E$7:$E$2738,$F282)="","",INDEX(選手一覧!$E$7:$E$2738,$F282))</f>
        <v>707</v>
      </c>
      <c r="I282" s="11" t="str">
        <f aca="false">IF(INDEX(選手一覧!$F$7:$F$2738,$F282)="","",INDEX(選手一覧!$F$7:$F$2738,$F282))</f>
        <v/>
      </c>
      <c r="J282" s="12" t="str">
        <f aca="false">IF(INDEX(選手一覧!$G$7:$G$2738,$F282)="","",INDEX(選手一覧!$G$7:$G$2738,$F282))</f>
        <v/>
      </c>
    </row>
    <row r="283" customFormat="false" ht="15" hidden="false" customHeight="false" outlineLevel="0" collapsed="false">
      <c r="A283" s="12" t="n">
        <v>279</v>
      </c>
      <c r="B283" s="10" t="s">
        <v>152</v>
      </c>
      <c r="C283" s="10" t="s">
        <v>39</v>
      </c>
      <c r="D283" s="11" t="n">
        <v>0.00279930555555556</v>
      </c>
      <c r="E283" s="18" t="n">
        <f aca="false">ROUND((D283-$D$5)*86400,2)</f>
        <v>16.83</v>
      </c>
      <c r="F283" s="12" t="n">
        <v>74</v>
      </c>
      <c r="G283" s="11" t="n">
        <f aca="false">IF(INDEX(選手一覧!$D$7:$D$2738,$F283)="","",INDEX(選手一覧!$D$7:$D$2738,$F283))</f>
        <v>0.0103246527777778</v>
      </c>
      <c r="H283" s="12" t="n">
        <f aca="false">IF(INDEX(選手一覧!$E$7:$E$2738,$F283)="","",INDEX(選手一覧!$E$7:$E$2738,$F283))</f>
        <v>175</v>
      </c>
      <c r="I283" s="11" t="n">
        <f aca="false">IF(INDEX(選手一覧!$F$7:$F$2738,$F283)="","",INDEX(選手一覧!$F$7:$F$2738,$F283))</f>
        <v>0.00648136574074074</v>
      </c>
      <c r="J283" s="12" t="n">
        <f aca="false">IF(INDEX(選手一覧!$G$7:$G$2738,$F283)="","",INDEX(選手一覧!$G$7:$G$2738,$F283))</f>
        <v>30</v>
      </c>
    </row>
    <row r="284" customFormat="false" ht="15" hidden="false" customHeight="false" outlineLevel="0" collapsed="false">
      <c r="A284" s="12" t="n">
        <v>280</v>
      </c>
      <c r="B284" s="10" t="s">
        <v>987</v>
      </c>
      <c r="C284" s="10" t="s">
        <v>988</v>
      </c>
      <c r="D284" s="11" t="n">
        <v>0.0027994212962963</v>
      </c>
      <c r="E284" s="18" t="n">
        <f aca="false">ROUND((D284-$D$5)*86400,2)</f>
        <v>16.84</v>
      </c>
      <c r="F284" s="12" t="n">
        <v>659</v>
      </c>
      <c r="G284" s="11" t="str">
        <f aca="false">IF(INDEX(選手一覧!$D$7:$D$2738,$F284)="","",INDEX(選手一覧!$D$7:$D$2738,$F284))</f>
        <v/>
      </c>
      <c r="H284" s="12" t="str">
        <f aca="false">IF(INDEX(選手一覧!$E$7:$E$2738,$F284)="","",INDEX(選手一覧!$E$7:$E$2738,$F284))</f>
        <v/>
      </c>
      <c r="I284" s="11" t="str">
        <f aca="false">IF(INDEX(選手一覧!$F$7:$F$2738,$F284)="","",INDEX(選手一覧!$F$7:$F$2738,$F284))</f>
        <v/>
      </c>
      <c r="J284" s="12" t="str">
        <f aca="false">IF(INDEX(選手一覧!$G$7:$G$2738,$F284)="","",INDEX(選手一覧!$G$7:$G$2738,$F284))</f>
        <v/>
      </c>
    </row>
    <row r="285" customFormat="false" ht="15" hidden="false" customHeight="false" outlineLevel="0" collapsed="false">
      <c r="A285" s="12" t="n">
        <v>281</v>
      </c>
      <c r="B285" s="10" t="s">
        <v>989</v>
      </c>
      <c r="C285" s="10" t="s">
        <v>312</v>
      </c>
      <c r="D285" s="11" t="n">
        <v>0.00279965277777778</v>
      </c>
      <c r="E285" s="18" t="n">
        <f aca="false">ROUND((D285-$D$5)*86400,2)</f>
        <v>16.86</v>
      </c>
      <c r="F285" s="12" t="n">
        <v>660</v>
      </c>
      <c r="G285" s="11" t="n">
        <f aca="false">IF(INDEX(選手一覧!$D$7:$D$2738,$F285)="","",INDEX(選手一覧!$D$7:$D$2738,$F285))</f>
        <v>0.0105329861111111</v>
      </c>
      <c r="H285" s="12" t="n">
        <f aca="false">IF(INDEX(選手一覧!$E$7:$E$2738,$F285)="","",INDEX(選手一覧!$E$7:$E$2738,$F285))</f>
        <v>375</v>
      </c>
      <c r="I285" s="11" t="str">
        <f aca="false">IF(INDEX(選手一覧!$F$7:$F$2738,$F285)="","",INDEX(選手一覧!$F$7:$F$2738,$F285))</f>
        <v/>
      </c>
      <c r="J285" s="12" t="str">
        <f aca="false">IF(INDEX(選手一覧!$G$7:$G$2738,$F285)="","",INDEX(選手一覧!$G$7:$G$2738,$F285))</f>
        <v/>
      </c>
    </row>
    <row r="286" customFormat="false" ht="15" hidden="false" customHeight="false" outlineLevel="0" collapsed="false">
      <c r="A286" s="12" t="n">
        <v>282</v>
      </c>
      <c r="B286" s="10" t="s">
        <v>991</v>
      </c>
      <c r="C286" s="10" t="s">
        <v>992</v>
      </c>
      <c r="D286" s="11" t="n">
        <v>0.00279965277777778</v>
      </c>
      <c r="E286" s="18" t="n">
        <f aca="false">ROUND((D286-$D$5)*86400,2)</f>
        <v>16.86</v>
      </c>
      <c r="F286" s="12" t="n">
        <v>662</v>
      </c>
      <c r="G286" s="11" t="n">
        <f aca="false">IF(INDEX(選手一覧!$D$7:$D$2738,$F286)="","",INDEX(選手一覧!$D$7:$D$2738,$F286))</f>
        <v>0.0104891203703704</v>
      </c>
      <c r="H286" s="12" t="n">
        <f aca="false">IF(INDEX(選手一覧!$E$7:$E$2738,$F286)="","",INDEX(選手一覧!$E$7:$E$2738,$F286))</f>
        <v>331</v>
      </c>
      <c r="I286" s="11" t="str">
        <f aca="false">IF(INDEX(選手一覧!$F$7:$F$2738,$F286)="","",INDEX(選手一覧!$F$7:$F$2738,$F286))</f>
        <v/>
      </c>
      <c r="J286" s="12" t="str">
        <f aca="false">IF(INDEX(選手一覧!$G$7:$G$2738,$F286)="","",INDEX(選手一覧!$G$7:$G$2738,$F286))</f>
        <v/>
      </c>
    </row>
    <row r="287" customFormat="false" ht="15" hidden="false" customHeight="false" outlineLevel="0" collapsed="false">
      <c r="A287" s="12" t="n">
        <v>283</v>
      </c>
      <c r="B287" s="10" t="s">
        <v>996</v>
      </c>
      <c r="C287" s="10" t="s">
        <v>997</v>
      </c>
      <c r="D287" s="11" t="n">
        <v>0.00279988425925926</v>
      </c>
      <c r="E287" s="18" t="n">
        <f aca="false">ROUND((D287-$D$5)*86400,2)</f>
        <v>16.88</v>
      </c>
      <c r="F287" s="12" t="n">
        <v>665</v>
      </c>
      <c r="G287" s="11" t="n">
        <f aca="false">IF(INDEX(選手一覧!$D$7:$D$2738,$F287)="","",INDEX(選手一覧!$D$7:$D$2738,$F287))</f>
        <v>0.0109134259259259</v>
      </c>
      <c r="H287" s="12" t="n">
        <f aca="false">IF(INDEX(選手一覧!$E$7:$E$2738,$F287)="","",INDEX(選手一覧!$E$7:$E$2738,$F287))</f>
        <v>944</v>
      </c>
      <c r="I287" s="11" t="str">
        <f aca="false">IF(INDEX(選手一覧!$F$7:$F$2738,$F287)="","",INDEX(選手一覧!$F$7:$F$2738,$F287))</f>
        <v/>
      </c>
      <c r="J287" s="12" t="str">
        <f aca="false">IF(INDEX(選手一覧!$G$7:$G$2738,$F287)="","",INDEX(選手一覧!$G$7:$G$2738,$F287))</f>
        <v/>
      </c>
    </row>
    <row r="288" customFormat="false" ht="15" hidden="false" customHeight="false" outlineLevel="0" collapsed="false">
      <c r="A288" s="12" t="n">
        <v>284</v>
      </c>
      <c r="B288" s="10" t="s">
        <v>1000</v>
      </c>
      <c r="C288" s="10" t="s">
        <v>4014</v>
      </c>
      <c r="D288" s="11" t="n">
        <v>0.00279988425925926</v>
      </c>
      <c r="E288" s="18" t="n">
        <f aca="false">ROUND((D288-$D$5)*86400,2)</f>
        <v>16.88</v>
      </c>
      <c r="F288" s="12" t="n">
        <v>667</v>
      </c>
      <c r="G288" s="11" t="n">
        <f aca="false">IF(INDEX(選手一覧!$D$7:$D$2738,$F288)="","",INDEX(選手一覧!$D$7:$D$2738,$F288))</f>
        <v>0.0104532407407407</v>
      </c>
      <c r="H288" s="12" t="n">
        <f aca="false">IF(INDEX(選手一覧!$E$7:$E$2738,$F288)="","",INDEX(選手一覧!$E$7:$E$2738,$F288))</f>
        <v>305</v>
      </c>
      <c r="I288" s="11" t="str">
        <f aca="false">IF(INDEX(選手一覧!$F$7:$F$2738,$F288)="","",INDEX(選手一覧!$F$7:$F$2738,$F288))</f>
        <v/>
      </c>
      <c r="J288" s="12" t="str">
        <f aca="false">IF(INDEX(選手一覧!$G$7:$G$2738,$F288)="","",INDEX(選手一覧!$G$7:$G$2738,$F288))</f>
        <v/>
      </c>
    </row>
    <row r="289" customFormat="false" ht="15" hidden="false" customHeight="false" outlineLevel="0" collapsed="false">
      <c r="A289" s="12" t="n">
        <v>285</v>
      </c>
      <c r="B289" s="10" t="s">
        <v>1003</v>
      </c>
      <c r="C289" s="10" t="s">
        <v>91</v>
      </c>
      <c r="D289" s="11" t="n">
        <v>0.0028005787037037</v>
      </c>
      <c r="E289" s="18" t="n">
        <f aca="false">ROUND((D289-$D$5)*86400,2)</f>
        <v>16.94</v>
      </c>
      <c r="F289" s="12" t="n">
        <v>670</v>
      </c>
      <c r="G289" s="11" t="n">
        <f aca="false">IF(INDEX(選手一覧!$D$7:$D$2738,$F289)="","",INDEX(選手一覧!$D$7:$D$2738,$F289))</f>
        <v>0.0105872685185185</v>
      </c>
      <c r="H289" s="12" t="n">
        <f aca="false">IF(INDEX(選手一覧!$E$7:$E$2738,$F289)="","",INDEX(選手一覧!$E$7:$E$2738,$F289))</f>
        <v>450</v>
      </c>
      <c r="I289" s="11" t="str">
        <f aca="false">IF(INDEX(選手一覧!$F$7:$F$2738,$F289)="","",INDEX(選手一覧!$F$7:$F$2738,$F289))</f>
        <v/>
      </c>
      <c r="J289" s="12" t="str">
        <f aca="false">IF(INDEX(選手一覧!$G$7:$G$2738,$F289)="","",INDEX(選手一覧!$G$7:$G$2738,$F289))</f>
        <v/>
      </c>
    </row>
    <row r="290" customFormat="false" ht="15" hidden="false" customHeight="false" outlineLevel="0" collapsed="false">
      <c r="A290" s="12" t="n">
        <v>286</v>
      </c>
      <c r="B290" s="10" t="s">
        <v>1008</v>
      </c>
      <c r="C290" s="10" t="s">
        <v>382</v>
      </c>
      <c r="D290" s="11" t="n">
        <v>0.0028005787037037</v>
      </c>
      <c r="E290" s="18" t="n">
        <f aca="false">ROUND((D290-$D$5)*86400,2)</f>
        <v>16.94</v>
      </c>
      <c r="F290" s="12" t="n">
        <v>673</v>
      </c>
      <c r="G290" s="11" t="str">
        <f aca="false">IF(INDEX(選手一覧!$D$7:$D$2738,$F290)="","",INDEX(選手一覧!$D$7:$D$2738,$F290))</f>
        <v/>
      </c>
      <c r="H290" s="12" t="str">
        <f aca="false">IF(INDEX(選手一覧!$E$7:$E$2738,$F290)="","",INDEX(選手一覧!$E$7:$E$2738,$F290))</f>
        <v/>
      </c>
      <c r="I290" s="11" t="str">
        <f aca="false">IF(INDEX(選手一覧!$F$7:$F$2738,$F290)="","",INDEX(選手一覧!$F$7:$F$2738,$F290))</f>
        <v/>
      </c>
      <c r="J290" s="12" t="str">
        <f aca="false">IF(INDEX(選手一覧!$G$7:$G$2738,$F290)="","",INDEX(選手一覧!$G$7:$G$2738,$F290))</f>
        <v/>
      </c>
    </row>
    <row r="291" customFormat="false" ht="15" hidden="false" customHeight="false" outlineLevel="0" collapsed="false">
      <c r="A291" s="12" t="n">
        <v>287</v>
      </c>
      <c r="B291" s="10" t="s">
        <v>1009</v>
      </c>
      <c r="C291" s="10" t="s">
        <v>81</v>
      </c>
      <c r="D291" s="11" t="n">
        <v>0.00280104166666667</v>
      </c>
      <c r="E291" s="18" t="n">
        <f aca="false">ROUND((D291-$D$5)*86400,2)</f>
        <v>16.98</v>
      </c>
      <c r="F291" s="12" t="n">
        <v>674</v>
      </c>
      <c r="G291" s="11" t="n">
        <f aca="false">IF(INDEX(選手一覧!$D$7:$D$2738,$F291)="","",INDEX(選手一覧!$D$7:$D$2738,$F291))</f>
        <v>0.0110256944444444</v>
      </c>
      <c r="H291" s="12" t="n">
        <f aca="false">IF(INDEX(選手一覧!$E$7:$E$2738,$F291)="","",INDEX(選手一覧!$E$7:$E$2738,$F291))</f>
        <v>1140</v>
      </c>
      <c r="I291" s="11" t="n">
        <f aca="false">IF(INDEX(選手一覧!$F$7:$F$2738,$F291)="","",INDEX(選手一覧!$F$7:$F$2738,$F291))</f>
        <v>0.00750810185185185</v>
      </c>
      <c r="J291" s="12" t="n">
        <f aca="false">IF(INDEX(選手一覧!$G$7:$G$2738,$F291)="","",INDEX(選手一覧!$G$7:$G$2738,$F291))</f>
        <v>897</v>
      </c>
    </row>
    <row r="292" customFormat="false" ht="15" hidden="false" customHeight="false" outlineLevel="0" collapsed="false">
      <c r="A292" s="12" t="n">
        <v>288</v>
      </c>
      <c r="B292" s="10" t="s">
        <v>1014</v>
      </c>
      <c r="C292" s="10" t="s">
        <v>288</v>
      </c>
      <c r="D292" s="11" t="n">
        <v>0.00280162037037037</v>
      </c>
      <c r="E292" s="18" t="n">
        <f aca="false">ROUND((D292-$D$5)*86400,2)</f>
        <v>17.03</v>
      </c>
      <c r="F292" s="12" t="n">
        <v>679</v>
      </c>
      <c r="G292" s="11" t="n">
        <f aca="false">IF(INDEX(選手一覧!$D$7:$D$2738,$F292)="","",INDEX(選手一覧!$D$7:$D$2738,$F292))</f>
        <v>0.0110321759259259</v>
      </c>
      <c r="H292" s="12" t="n">
        <f aca="false">IF(INDEX(選手一覧!$E$7:$E$2738,$F292)="","",INDEX(選手一覧!$E$7:$E$2738,$F292))</f>
        <v>1156</v>
      </c>
      <c r="I292" s="11" t="str">
        <f aca="false">IF(INDEX(選手一覧!$F$7:$F$2738,$F292)="","",INDEX(選手一覧!$F$7:$F$2738,$F292))</f>
        <v/>
      </c>
      <c r="J292" s="12" t="str">
        <f aca="false">IF(INDEX(選手一覧!$G$7:$G$2738,$F292)="","",INDEX(選手一覧!$G$7:$G$2738,$F292))</f>
        <v/>
      </c>
    </row>
    <row r="293" customFormat="false" ht="15" hidden="false" customHeight="false" outlineLevel="0" collapsed="false">
      <c r="A293" s="12" t="n">
        <v>289</v>
      </c>
      <c r="B293" s="10" t="s">
        <v>773</v>
      </c>
      <c r="C293" s="10" t="s">
        <v>577</v>
      </c>
      <c r="D293" s="11" t="n">
        <v>0.00280162037037037</v>
      </c>
      <c r="E293" s="18" t="n">
        <f aca="false">ROUND((D293-$D$5)*86400,2)</f>
        <v>17.03</v>
      </c>
      <c r="F293" s="12" t="n">
        <v>500</v>
      </c>
      <c r="G293" s="11" t="n">
        <f aca="false">IF(INDEX(選手一覧!$D$7:$D$2738,$F293)="","",INDEX(選手一覧!$D$7:$D$2738,$F293))</f>
        <v>0.0103554398148148</v>
      </c>
      <c r="H293" s="12" t="n">
        <f aca="false">IF(INDEX(選手一覧!$E$7:$E$2738,$F293)="","",INDEX(選手一覧!$E$7:$E$2738,$F293))</f>
        <v>210</v>
      </c>
      <c r="I293" s="11" t="str">
        <f aca="false">IF(INDEX(選手一覧!$F$7:$F$2738,$F293)="","",INDEX(選手一覧!$F$7:$F$2738,$F293))</f>
        <v/>
      </c>
      <c r="J293" s="12" t="str">
        <f aca="false">IF(INDEX(選手一覧!$G$7:$G$2738,$F293)="","",INDEX(選手一覧!$G$7:$G$2738,$F293))</f>
        <v/>
      </c>
    </row>
    <row r="294" customFormat="false" ht="15" hidden="false" customHeight="false" outlineLevel="0" collapsed="false">
      <c r="A294" s="12" t="n">
        <v>290</v>
      </c>
      <c r="B294" s="10" t="s">
        <v>964</v>
      </c>
      <c r="C294" s="10" t="s">
        <v>302</v>
      </c>
      <c r="D294" s="11" t="n">
        <v>0.00280208333333333</v>
      </c>
      <c r="E294" s="18" t="n">
        <f aca="false">ROUND((D294-$D$5)*86400,2)</f>
        <v>17.07</v>
      </c>
      <c r="F294" s="12" t="n">
        <v>642</v>
      </c>
      <c r="G294" s="11" t="n">
        <f aca="false">IF(INDEX(選手一覧!$D$7:$D$2738,$F294)="","",INDEX(選手一覧!$D$7:$D$2738,$F294))</f>
        <v>0.0104074074074074</v>
      </c>
      <c r="H294" s="12" t="n">
        <f aca="false">IF(INDEX(選手一覧!$E$7:$E$2738,$F294)="","",INDEX(選手一覧!$E$7:$E$2738,$F294))</f>
        <v>271</v>
      </c>
      <c r="I294" s="11" t="str">
        <f aca="false">IF(INDEX(選手一覧!$F$7:$F$2738,$F294)="","",INDEX(選手一覧!$F$7:$F$2738,$F294))</f>
        <v/>
      </c>
      <c r="J294" s="12" t="str">
        <f aca="false">IF(INDEX(選手一覧!$G$7:$G$2738,$F294)="","",INDEX(選手一覧!$G$7:$G$2738,$F294))</f>
        <v/>
      </c>
    </row>
    <row r="295" customFormat="false" ht="15" hidden="false" customHeight="false" outlineLevel="0" collapsed="false">
      <c r="A295" s="12" t="n">
        <v>291</v>
      </c>
      <c r="B295" s="10" t="s">
        <v>1021</v>
      </c>
      <c r="C295" s="10" t="s">
        <v>23</v>
      </c>
      <c r="D295" s="11" t="n">
        <v>0.00280208333333333</v>
      </c>
      <c r="E295" s="18" t="n">
        <f aca="false">ROUND((D295-$D$5)*86400,2)</f>
        <v>17.07</v>
      </c>
      <c r="F295" s="12" t="n">
        <v>684</v>
      </c>
      <c r="G295" s="11" t="n">
        <f aca="false">IF(INDEX(選手一覧!$D$7:$D$2738,$F295)="","",INDEX(選手一覧!$D$7:$D$2738,$F295))</f>
        <v>0.010571875</v>
      </c>
      <c r="H295" s="12" t="n">
        <f aca="false">IF(INDEX(選手一覧!$E$7:$E$2738,$F295)="","",INDEX(選手一覧!$E$7:$E$2738,$F295))</f>
        <v>426</v>
      </c>
      <c r="I295" s="11" t="str">
        <f aca="false">IF(INDEX(選手一覧!$F$7:$F$2738,$F295)="","",INDEX(選手一覧!$F$7:$F$2738,$F295))</f>
        <v/>
      </c>
      <c r="J295" s="12" t="str">
        <f aca="false">IF(INDEX(選手一覧!$G$7:$G$2738,$F295)="","",INDEX(選手一覧!$G$7:$G$2738,$F295))</f>
        <v/>
      </c>
    </row>
    <row r="296" customFormat="false" ht="15" hidden="false" customHeight="false" outlineLevel="0" collapsed="false">
      <c r="A296" s="12" t="n">
        <v>292</v>
      </c>
      <c r="B296" s="10" t="s">
        <v>1024</v>
      </c>
      <c r="C296" s="10" t="s">
        <v>712</v>
      </c>
      <c r="D296" s="11" t="n">
        <v>0.00280243055555556</v>
      </c>
      <c r="E296" s="18" t="n">
        <f aca="false">ROUND((D296-$D$5)*86400,2)</f>
        <v>17.1</v>
      </c>
      <c r="F296" s="12" t="n">
        <v>686</v>
      </c>
      <c r="G296" s="11" t="str">
        <f aca="false">IF(INDEX(選手一覧!$D$7:$D$2738,$F296)="","",INDEX(選手一覧!$D$7:$D$2738,$F296))</f>
        <v/>
      </c>
      <c r="H296" s="12" t="str">
        <f aca="false">IF(INDEX(選手一覧!$E$7:$E$2738,$F296)="","",INDEX(選手一覧!$E$7:$E$2738,$F296))</f>
        <v/>
      </c>
      <c r="I296" s="11" t="str">
        <f aca="false">IF(INDEX(選手一覧!$F$7:$F$2738,$F296)="","",INDEX(選手一覧!$F$7:$F$2738,$F296))</f>
        <v/>
      </c>
      <c r="J296" s="12" t="str">
        <f aca="false">IF(INDEX(選手一覧!$G$7:$G$2738,$F296)="","",INDEX(選手一覧!$G$7:$G$2738,$F296))</f>
        <v/>
      </c>
    </row>
    <row r="297" customFormat="false" ht="15" hidden="false" customHeight="false" outlineLevel="0" collapsed="false">
      <c r="A297" s="12" t="n">
        <v>293</v>
      </c>
      <c r="B297" s="10" t="s">
        <v>1028</v>
      </c>
      <c r="C297" s="10" t="s">
        <v>541</v>
      </c>
      <c r="D297" s="11" t="n">
        <v>0.00280266203703704</v>
      </c>
      <c r="E297" s="18" t="n">
        <f aca="false">ROUND((D297-$D$5)*86400,2)</f>
        <v>17.12</v>
      </c>
      <c r="F297" s="12" t="n">
        <v>689</v>
      </c>
      <c r="G297" s="11" t="n">
        <f aca="false">IF(INDEX(選手一覧!$D$7:$D$2738,$F297)="","",INDEX(選手一覧!$D$7:$D$2738,$F297))</f>
        <v>0.0109903935185185</v>
      </c>
      <c r="H297" s="12" t="n">
        <f aca="false">IF(INDEX(選手一覧!$E$7:$E$2738,$F297)="","",INDEX(選手一覧!$E$7:$E$2738,$F297))</f>
        <v>1079</v>
      </c>
      <c r="I297" s="11" t="str">
        <f aca="false">IF(INDEX(選手一覧!$F$7:$F$2738,$F297)="","",INDEX(選手一覧!$F$7:$F$2738,$F297))</f>
        <v/>
      </c>
      <c r="J297" s="12" t="str">
        <f aca="false">IF(INDEX(選手一覧!$G$7:$G$2738,$F297)="","",INDEX(選手一覧!$G$7:$G$2738,$F297))</f>
        <v/>
      </c>
    </row>
    <row r="298" customFormat="false" ht="15" hidden="false" customHeight="false" outlineLevel="0" collapsed="false">
      <c r="A298" s="12" t="n">
        <v>294</v>
      </c>
      <c r="B298" s="10" t="s">
        <v>569</v>
      </c>
      <c r="C298" s="10" t="s">
        <v>570</v>
      </c>
      <c r="D298" s="11" t="n">
        <v>0.00280266203703704</v>
      </c>
      <c r="E298" s="18" t="n">
        <f aca="false">ROUND((D298-$D$5)*86400,2)</f>
        <v>17.12</v>
      </c>
      <c r="F298" s="12" t="n">
        <v>357</v>
      </c>
      <c r="G298" s="11" t="n">
        <f aca="false">IF(INDEX(選手一覧!$D$7:$D$2738,$F298)="","",INDEX(選手一覧!$D$7:$D$2738,$F298))</f>
        <v>0.0102821759259259</v>
      </c>
      <c r="H298" s="12" t="n">
        <f aca="false">IF(INDEX(選手一覧!$E$7:$E$2738,$F298)="","",INDEX(選手一覧!$E$7:$E$2738,$F298))</f>
        <v>150</v>
      </c>
      <c r="I298" s="11" t="str">
        <f aca="false">IF(INDEX(選手一覧!$F$7:$F$2738,$F298)="","",INDEX(選手一覧!$F$7:$F$2738,$F298))</f>
        <v/>
      </c>
      <c r="J298" s="12" t="str">
        <f aca="false">IF(INDEX(選手一覧!$G$7:$G$2738,$F298)="","",INDEX(選手一覧!$G$7:$G$2738,$F298))</f>
        <v/>
      </c>
    </row>
    <row r="299" customFormat="false" ht="15" hidden="false" customHeight="false" outlineLevel="0" collapsed="false">
      <c r="A299" s="12" t="n">
        <v>295</v>
      </c>
      <c r="B299" s="10" t="s">
        <v>1010</v>
      </c>
      <c r="C299" s="10" t="s">
        <v>277</v>
      </c>
      <c r="D299" s="11" t="n">
        <v>0.00280300925925926</v>
      </c>
      <c r="E299" s="18" t="n">
        <f aca="false">ROUND((D299-$D$5)*86400,2)</f>
        <v>17.15</v>
      </c>
      <c r="F299" s="12" t="n">
        <v>675</v>
      </c>
      <c r="G299" s="11" t="n">
        <f aca="false">IF(INDEX(選手一覧!$D$7:$D$2738,$F299)="","",INDEX(選手一覧!$D$7:$D$2738,$F299))</f>
        <v>0.0104221064814815</v>
      </c>
      <c r="H299" s="12" t="n">
        <f aca="false">IF(INDEX(選手一覧!$E$7:$E$2738,$F299)="","",INDEX(選手一覧!$E$7:$E$2738,$F299))</f>
        <v>287</v>
      </c>
      <c r="I299" s="11" t="str">
        <f aca="false">IF(INDEX(選手一覧!$F$7:$F$2738,$F299)="","",INDEX(選手一覧!$F$7:$F$2738,$F299))</f>
        <v/>
      </c>
      <c r="J299" s="12" t="str">
        <f aca="false">IF(INDEX(選手一覧!$G$7:$G$2738,$F299)="","",INDEX(選手一覧!$G$7:$G$2738,$F299))</f>
        <v/>
      </c>
    </row>
    <row r="300" customFormat="false" ht="15" hidden="false" customHeight="false" outlineLevel="0" collapsed="false">
      <c r="A300" s="12" t="n">
        <v>296</v>
      </c>
      <c r="B300" s="10" t="s">
        <v>1030</v>
      </c>
      <c r="C300" s="10" t="s">
        <v>577</v>
      </c>
      <c r="D300" s="11" t="n">
        <v>0.002803125</v>
      </c>
      <c r="E300" s="18" t="n">
        <f aca="false">ROUND((D300-$D$5)*86400,2)</f>
        <v>17.16</v>
      </c>
      <c r="F300" s="12" t="n">
        <v>691</v>
      </c>
      <c r="G300" s="11" t="n">
        <f aca="false">IF(INDEX(選手一覧!$D$7:$D$2738,$F300)="","",INDEX(選手一覧!$D$7:$D$2738,$F300))</f>
        <v>0.0105166666666667</v>
      </c>
      <c r="H300" s="12" t="n">
        <f aca="false">IF(INDEX(選手一覧!$E$7:$E$2738,$F300)="","",INDEX(選手一覧!$E$7:$E$2738,$F300))</f>
        <v>361</v>
      </c>
      <c r="I300" s="11" t="str">
        <f aca="false">IF(INDEX(選手一覧!$F$7:$F$2738,$F300)="","",INDEX(選手一覧!$F$7:$F$2738,$F300))</f>
        <v/>
      </c>
      <c r="J300" s="12" t="str">
        <f aca="false">IF(INDEX(選手一覧!$G$7:$G$2738,$F300)="","",INDEX(選手一覧!$G$7:$G$2738,$F300))</f>
        <v/>
      </c>
    </row>
    <row r="301" customFormat="false" ht="15" hidden="false" customHeight="false" outlineLevel="0" collapsed="false">
      <c r="A301" s="12" t="n">
        <v>297</v>
      </c>
      <c r="B301" s="10" t="s">
        <v>611</v>
      </c>
      <c r="C301" s="10" t="s">
        <v>612</v>
      </c>
      <c r="D301" s="11" t="n">
        <v>0.00280335648148148</v>
      </c>
      <c r="E301" s="18" t="n">
        <f aca="false">ROUND((D301-$D$5)*86400,2)</f>
        <v>17.18</v>
      </c>
      <c r="F301" s="12" t="n">
        <v>387</v>
      </c>
      <c r="G301" s="11" t="n">
        <f aca="false">IF(INDEX(選手一覧!$D$7:$D$2738,$F301)="","",INDEX(選手一覧!$D$7:$D$2738,$F301))</f>
        <v>0.0103054398148148</v>
      </c>
      <c r="H301" s="12" t="n">
        <f aca="false">IF(INDEX(選手一覧!$E$7:$E$2738,$F301)="","",INDEX(選手一覧!$E$7:$E$2738,$F301))</f>
        <v>164</v>
      </c>
      <c r="I301" s="11" t="str">
        <f aca="false">IF(INDEX(選手一覧!$F$7:$F$2738,$F301)="","",INDEX(選手一覧!$F$7:$F$2738,$F301))</f>
        <v/>
      </c>
      <c r="J301" s="12" t="str">
        <f aca="false">IF(INDEX(選手一覧!$G$7:$G$2738,$F301)="","",INDEX(選手一覧!$G$7:$G$2738,$F301))</f>
        <v/>
      </c>
    </row>
    <row r="302" customFormat="false" ht="15" hidden="false" customHeight="false" outlineLevel="0" collapsed="false">
      <c r="A302" s="12" t="n">
        <v>298</v>
      </c>
      <c r="B302" s="10" t="s">
        <v>1039</v>
      </c>
      <c r="C302" s="10" t="s">
        <v>1040</v>
      </c>
      <c r="D302" s="11" t="n">
        <v>0.00280358796296296</v>
      </c>
      <c r="E302" s="18" t="n">
        <f aca="false">ROUND((D302-$D$5)*86400,2)</f>
        <v>17.2</v>
      </c>
      <c r="F302" s="12" t="n">
        <v>697</v>
      </c>
      <c r="G302" s="11" t="str">
        <f aca="false">IF(INDEX(選手一覧!$D$7:$D$2738,$F302)="","",INDEX(選手一覧!$D$7:$D$2738,$F302))</f>
        <v/>
      </c>
      <c r="H302" s="12" t="str">
        <f aca="false">IF(INDEX(選手一覧!$E$7:$E$2738,$F302)="","",INDEX(選手一覧!$E$7:$E$2738,$F302))</f>
        <v/>
      </c>
      <c r="I302" s="11" t="str">
        <f aca="false">IF(INDEX(選手一覧!$F$7:$F$2738,$F302)="","",INDEX(選手一覧!$F$7:$F$2738,$F302))</f>
        <v/>
      </c>
      <c r="J302" s="12" t="str">
        <f aca="false">IF(INDEX(選手一覧!$G$7:$G$2738,$F302)="","",INDEX(選手一覧!$G$7:$G$2738,$F302))</f>
        <v/>
      </c>
    </row>
    <row r="303" customFormat="false" ht="15" hidden="false" customHeight="false" outlineLevel="0" collapsed="false">
      <c r="A303" s="12" t="n">
        <v>299</v>
      </c>
      <c r="B303" s="10" t="s">
        <v>778</v>
      </c>
      <c r="C303" s="10" t="s">
        <v>226</v>
      </c>
      <c r="D303" s="11" t="n">
        <v>0.00280393518518519</v>
      </c>
      <c r="E303" s="18" t="n">
        <f aca="false">ROUND((D303-$D$5)*86400,2)</f>
        <v>17.23</v>
      </c>
      <c r="F303" s="12" t="n">
        <v>505</v>
      </c>
      <c r="G303" s="11" t="n">
        <f aca="false">IF(INDEX(選手一覧!$D$7:$D$2738,$F303)="","",INDEX(選手一覧!$D$7:$D$2738,$F303))</f>
        <v>0.0105300925925926</v>
      </c>
      <c r="H303" s="12" t="n">
        <f aca="false">IF(INDEX(選手一覧!$E$7:$E$2738,$F303)="","",INDEX(選手一覧!$E$7:$E$2738,$F303))</f>
        <v>372</v>
      </c>
      <c r="I303" s="11" t="n">
        <f aca="false">IF(INDEX(選手一覧!$F$7:$F$2738,$F303)="","",INDEX(選手一覧!$F$7:$F$2738,$F303))</f>
        <v>0.0068619212962963</v>
      </c>
      <c r="J303" s="12" t="n">
        <f aca="false">IF(INDEX(選手一覧!$G$7:$G$2738,$F303)="","",INDEX(選手一覧!$G$7:$G$2738,$F303))</f>
        <v>212</v>
      </c>
    </row>
    <row r="304" customFormat="false" ht="15" hidden="false" customHeight="false" outlineLevel="0" collapsed="false">
      <c r="A304" s="12" t="n">
        <v>300</v>
      </c>
      <c r="B304" s="10" t="s">
        <v>408</v>
      </c>
      <c r="C304" s="10" t="s">
        <v>134</v>
      </c>
      <c r="D304" s="11" t="n">
        <v>0.00280405092592593</v>
      </c>
      <c r="E304" s="18" t="n">
        <f aca="false">ROUND((D304-$D$5)*86400,2)</f>
        <v>17.24</v>
      </c>
      <c r="F304" s="12" t="n">
        <v>245</v>
      </c>
      <c r="G304" s="11" t="n">
        <f aca="false">IF(INDEX(選手一覧!$D$7:$D$2738,$F304)="","",INDEX(選手一覧!$D$7:$D$2738,$F304))</f>
        <v>0.0107659722222222</v>
      </c>
      <c r="H304" s="12" t="n">
        <f aca="false">IF(INDEX(選手一覧!$E$7:$E$2738,$F304)="","",INDEX(選手一覧!$E$7:$E$2738,$F304))</f>
        <v>692</v>
      </c>
      <c r="I304" s="11" t="n">
        <f aca="false">IF(INDEX(選手一覧!$F$7:$F$2738,$F304)="","",INDEX(選手一覧!$F$7:$F$2738,$F304))</f>
        <v>0.00668391203703704</v>
      </c>
      <c r="J304" s="12" t="n">
        <f aca="false">IF(INDEX(選手一覧!$G$7:$G$2738,$F304)="","",INDEX(選手一覧!$G$7:$G$2738,$F304))</f>
        <v>101</v>
      </c>
    </row>
    <row r="305" customFormat="false" ht="15" hidden="false" customHeight="false" outlineLevel="0" collapsed="false">
      <c r="A305" s="12" t="n">
        <v>301</v>
      </c>
      <c r="B305" s="10" t="s">
        <v>1047</v>
      </c>
      <c r="C305" s="10" t="s">
        <v>32</v>
      </c>
      <c r="D305" s="11" t="n">
        <v>0.00280462962962963</v>
      </c>
      <c r="E305" s="18" t="n">
        <f aca="false">ROUND((D305-$D$5)*86400,2)</f>
        <v>17.29</v>
      </c>
      <c r="F305" s="12" t="n">
        <v>701</v>
      </c>
      <c r="G305" s="11" t="n">
        <f aca="false">IF(INDEX(選手一覧!$D$7:$D$2738,$F305)="","",INDEX(選手一覧!$D$7:$D$2738,$F305))</f>
        <v>0.0110609953703704</v>
      </c>
      <c r="H305" s="12" t="n">
        <f aca="false">IF(INDEX(選手一覧!$E$7:$E$2738,$F305)="","",INDEX(選手一覧!$E$7:$E$2738,$F305))</f>
        <v>1218</v>
      </c>
      <c r="I305" s="11" t="str">
        <f aca="false">IF(INDEX(選手一覧!$F$7:$F$2738,$F305)="","",INDEX(選手一覧!$F$7:$F$2738,$F305))</f>
        <v/>
      </c>
      <c r="J305" s="12" t="str">
        <f aca="false">IF(INDEX(選手一覧!$G$7:$G$2738,$F305)="","",INDEX(選手一覧!$G$7:$G$2738,$F305))</f>
        <v/>
      </c>
    </row>
    <row r="306" customFormat="false" ht="15" hidden="false" customHeight="false" outlineLevel="0" collapsed="false">
      <c r="A306" s="12" t="n">
        <v>302</v>
      </c>
      <c r="B306" s="10" t="s">
        <v>1050</v>
      </c>
      <c r="C306" s="10" t="s">
        <v>1051</v>
      </c>
      <c r="D306" s="11" t="n">
        <v>0.00280497685185185</v>
      </c>
      <c r="E306" s="18" t="n">
        <f aca="false">ROUND((D306-$D$5)*86400,2)</f>
        <v>17.32</v>
      </c>
      <c r="F306" s="12" t="n">
        <v>704</v>
      </c>
      <c r="G306" s="11" t="n">
        <f aca="false">IF(INDEX(選手一覧!$D$7:$D$2738,$F306)="","",INDEX(選手一覧!$D$7:$D$2738,$F306))</f>
        <v>0.0106767361111111</v>
      </c>
      <c r="H306" s="12" t="n">
        <f aca="false">IF(INDEX(選手一覧!$E$7:$E$2738,$F306)="","",INDEX(選手一覧!$E$7:$E$2738,$F306))</f>
        <v>555</v>
      </c>
      <c r="I306" s="11" t="str">
        <f aca="false">IF(INDEX(選手一覧!$F$7:$F$2738,$F306)="","",INDEX(選手一覧!$F$7:$F$2738,$F306))</f>
        <v/>
      </c>
      <c r="J306" s="12" t="str">
        <f aca="false">IF(INDEX(選手一覧!$G$7:$G$2738,$F306)="","",INDEX(選手一覧!$G$7:$G$2738,$F306))</f>
        <v/>
      </c>
    </row>
    <row r="307" customFormat="false" ht="15" hidden="false" customHeight="false" outlineLevel="0" collapsed="false">
      <c r="A307" s="12" t="n">
        <v>303</v>
      </c>
      <c r="B307" s="10" t="s">
        <v>807</v>
      </c>
      <c r="C307" s="10" t="s">
        <v>201</v>
      </c>
      <c r="D307" s="11" t="n">
        <v>0.00280520833333333</v>
      </c>
      <c r="E307" s="18" t="n">
        <f aca="false">ROUND((D307-$D$5)*86400,2)</f>
        <v>17.34</v>
      </c>
      <c r="F307" s="12" t="n">
        <v>527</v>
      </c>
      <c r="G307" s="11" t="n">
        <f aca="false">IF(INDEX(選手一覧!$D$7:$D$2738,$F307)="","",INDEX(選手一覧!$D$7:$D$2738,$F307))</f>
        <v>0.0103642361111111</v>
      </c>
      <c r="H307" s="12" t="n">
        <f aca="false">IF(INDEX(選手一覧!$E$7:$E$2738,$F307)="","",INDEX(選手一覧!$E$7:$E$2738,$F307))</f>
        <v>221</v>
      </c>
      <c r="I307" s="11" t="str">
        <f aca="false">IF(INDEX(選手一覧!$F$7:$F$2738,$F307)="","",INDEX(選手一覧!$F$7:$F$2738,$F307))</f>
        <v/>
      </c>
      <c r="J307" s="12" t="str">
        <f aca="false">IF(INDEX(選手一覧!$G$7:$G$2738,$F307)="","",INDEX(選手一覧!$G$7:$G$2738,$F307))</f>
        <v/>
      </c>
    </row>
    <row r="308" customFormat="false" ht="15" hidden="false" customHeight="false" outlineLevel="0" collapsed="false">
      <c r="A308" s="12" t="n">
        <v>304</v>
      </c>
      <c r="B308" s="10" t="s">
        <v>1057</v>
      </c>
      <c r="C308" s="10" t="s">
        <v>95</v>
      </c>
      <c r="D308" s="11" t="n">
        <v>0.00280532407407407</v>
      </c>
      <c r="E308" s="18" t="n">
        <f aca="false">ROUND((D308-$D$5)*86400,2)</f>
        <v>17.35</v>
      </c>
      <c r="F308" s="12" t="n">
        <v>709</v>
      </c>
      <c r="G308" s="11" t="n">
        <f aca="false">IF(INDEX(選手一覧!$D$7:$D$2738,$F308)="","",INDEX(選手一覧!$D$7:$D$2738,$F308))</f>
        <v>0.0104804398148148</v>
      </c>
      <c r="H308" s="12" t="n">
        <f aca="false">IF(INDEX(選手一覧!$E$7:$E$2738,$F308)="","",INDEX(選手一覧!$E$7:$E$2738,$F308))</f>
        <v>324</v>
      </c>
      <c r="I308" s="11" t="str">
        <f aca="false">IF(INDEX(選手一覧!$F$7:$F$2738,$F308)="","",INDEX(選手一覧!$F$7:$F$2738,$F308))</f>
        <v/>
      </c>
      <c r="J308" s="12" t="str">
        <f aca="false">IF(INDEX(選手一覧!$G$7:$G$2738,$F308)="","",INDEX(選手一覧!$G$7:$G$2738,$F308))</f>
        <v/>
      </c>
    </row>
    <row r="309" customFormat="false" ht="15" hidden="false" customHeight="false" outlineLevel="0" collapsed="false">
      <c r="A309" s="12" t="n">
        <v>305</v>
      </c>
      <c r="B309" s="10" t="s">
        <v>400</v>
      </c>
      <c r="C309" s="10" t="s">
        <v>401</v>
      </c>
      <c r="D309" s="11" t="n">
        <v>0.00280578703703704</v>
      </c>
      <c r="E309" s="18" t="n">
        <f aca="false">ROUND((D309-$D$5)*86400,2)</f>
        <v>17.39</v>
      </c>
      <c r="F309" s="12" t="n">
        <v>240</v>
      </c>
      <c r="G309" s="11" t="str">
        <f aca="false">IF(INDEX(選手一覧!$D$7:$D$2738,$F309)="","",INDEX(選手一覧!$D$7:$D$2738,$F309))</f>
        <v/>
      </c>
      <c r="H309" s="12" t="str">
        <f aca="false">IF(INDEX(選手一覧!$E$7:$E$2738,$F309)="","",INDEX(選手一覧!$E$7:$E$2738,$F309))</f>
        <v/>
      </c>
      <c r="I309" s="11" t="n">
        <f aca="false">IF(INDEX(選手一覧!$F$7:$F$2738,$F309)="","",INDEX(選手一覧!$F$7:$F$2738,$F309))</f>
        <v>0.00668229166666667</v>
      </c>
      <c r="J309" s="12" t="n">
        <f aca="false">IF(INDEX(選手一覧!$G$7:$G$2738,$F309)="","",INDEX(選手一覧!$G$7:$G$2738,$F309))</f>
        <v>99</v>
      </c>
    </row>
    <row r="310" customFormat="false" ht="15" hidden="false" customHeight="false" outlineLevel="0" collapsed="false">
      <c r="A310" s="12" t="n">
        <v>306</v>
      </c>
      <c r="B310" s="10" t="s">
        <v>1063</v>
      </c>
      <c r="C310" s="10" t="s">
        <v>397</v>
      </c>
      <c r="D310" s="11" t="n">
        <v>0.00280578703703704</v>
      </c>
      <c r="E310" s="18" t="n">
        <f aca="false">ROUND((D310-$D$5)*86400,2)</f>
        <v>17.39</v>
      </c>
      <c r="F310" s="12" t="n">
        <v>713</v>
      </c>
      <c r="G310" s="11" t="str">
        <f aca="false">IF(INDEX(選手一覧!$D$7:$D$2738,$F310)="","",INDEX(選手一覧!$D$7:$D$2738,$F310))</f>
        <v/>
      </c>
      <c r="H310" s="12" t="str">
        <f aca="false">IF(INDEX(選手一覧!$E$7:$E$2738,$F310)="","",INDEX(選手一覧!$E$7:$E$2738,$F310))</f>
        <v/>
      </c>
      <c r="I310" s="11" t="str">
        <f aca="false">IF(INDEX(選手一覧!$F$7:$F$2738,$F310)="","",INDEX(選手一覧!$F$7:$F$2738,$F310))</f>
        <v/>
      </c>
      <c r="J310" s="12" t="str">
        <f aca="false">IF(INDEX(選手一覧!$G$7:$G$2738,$F310)="","",INDEX(選手一覧!$G$7:$G$2738,$F310))</f>
        <v/>
      </c>
    </row>
    <row r="311" customFormat="false" ht="15" hidden="false" customHeight="false" outlineLevel="0" collapsed="false">
      <c r="A311" s="12" t="n">
        <v>307</v>
      </c>
      <c r="B311" s="10" t="s">
        <v>1068</v>
      </c>
      <c r="C311" s="10" t="s">
        <v>1069</v>
      </c>
      <c r="D311" s="11" t="n">
        <v>0.00280625</v>
      </c>
      <c r="E311" s="18" t="n">
        <f aca="false">ROUND((D311-$D$5)*86400,2)</f>
        <v>17.43</v>
      </c>
      <c r="F311" s="12" t="n">
        <v>716</v>
      </c>
      <c r="G311" s="11" t="n">
        <f aca="false">IF(INDEX(選手一覧!$D$7:$D$2738,$F311)="","",INDEX(選手一覧!$D$7:$D$2738,$F311))</f>
        <v>0.010672337962963</v>
      </c>
      <c r="H311" s="12" t="n">
        <f aca="false">IF(INDEX(選手一覧!$E$7:$E$2738,$F311)="","",INDEX(選手一覧!$E$7:$E$2738,$F311))</f>
        <v>551</v>
      </c>
      <c r="I311" s="11" t="str">
        <f aca="false">IF(INDEX(選手一覧!$F$7:$F$2738,$F311)="","",INDEX(選手一覧!$F$7:$F$2738,$F311))</f>
        <v/>
      </c>
      <c r="J311" s="12" t="str">
        <f aca="false">IF(INDEX(選手一覧!$G$7:$G$2738,$F311)="","",INDEX(選手一覧!$G$7:$G$2738,$F311))</f>
        <v/>
      </c>
    </row>
    <row r="312" customFormat="false" ht="15" hidden="false" customHeight="false" outlineLevel="0" collapsed="false">
      <c r="A312" s="12" t="n">
        <v>308</v>
      </c>
      <c r="B312" s="10" t="s">
        <v>839</v>
      </c>
      <c r="C312" s="10" t="s">
        <v>840</v>
      </c>
      <c r="D312" s="11" t="n">
        <v>0.00280636574074074</v>
      </c>
      <c r="E312" s="18" t="n">
        <f aca="false">ROUND((D312-$D$5)*86400,2)</f>
        <v>17.44</v>
      </c>
      <c r="F312" s="12" t="n">
        <v>548</v>
      </c>
      <c r="G312" s="11" t="n">
        <f aca="false">IF(INDEX(選手一覧!$D$7:$D$2738,$F312)="","",INDEX(選手一覧!$D$7:$D$2738,$F312))</f>
        <v>0.0103746527777778</v>
      </c>
      <c r="H312" s="12" t="n">
        <f aca="false">IF(INDEX(選手一覧!$E$7:$E$2738,$F312)="","",INDEX(選手一覧!$E$7:$E$2738,$F312))</f>
        <v>230</v>
      </c>
      <c r="I312" s="11" t="str">
        <f aca="false">IF(INDEX(選手一覧!$F$7:$F$2738,$F312)="","",INDEX(選手一覧!$F$7:$F$2738,$F312))</f>
        <v/>
      </c>
      <c r="J312" s="12" t="str">
        <f aca="false">IF(INDEX(選手一覧!$G$7:$G$2738,$F312)="","",INDEX(選手一覧!$G$7:$G$2738,$F312))</f>
        <v/>
      </c>
    </row>
    <row r="313" customFormat="false" ht="15" hidden="false" customHeight="false" outlineLevel="0" collapsed="false">
      <c r="A313" s="12" t="n">
        <v>309</v>
      </c>
      <c r="B313" s="10" t="s">
        <v>1070</v>
      </c>
      <c r="C313" s="10" t="s">
        <v>41</v>
      </c>
      <c r="D313" s="11" t="n">
        <v>0.00280636574074074</v>
      </c>
      <c r="E313" s="18" t="n">
        <f aca="false">ROUND((D313-$D$5)*86400,2)</f>
        <v>17.44</v>
      </c>
      <c r="F313" s="12" t="n">
        <v>717</v>
      </c>
      <c r="G313" s="11" t="n">
        <f aca="false">IF(INDEX(選手一覧!$D$7:$D$2738,$F313)="","",INDEX(選手一覧!$D$7:$D$2738,$F313))</f>
        <v>0.0106862268518519</v>
      </c>
      <c r="H313" s="12" t="n">
        <f aca="false">IF(INDEX(選手一覧!$E$7:$E$2738,$F313)="","",INDEX(選手一覧!$E$7:$E$2738,$F313))</f>
        <v>560</v>
      </c>
      <c r="I313" s="11" t="str">
        <f aca="false">IF(INDEX(選手一覧!$F$7:$F$2738,$F313)="","",INDEX(選手一覧!$F$7:$F$2738,$F313))</f>
        <v/>
      </c>
      <c r="J313" s="12" t="str">
        <f aca="false">IF(INDEX(選手一覧!$G$7:$G$2738,$F313)="","",INDEX(選手一覧!$G$7:$G$2738,$F313))</f>
        <v/>
      </c>
    </row>
    <row r="314" customFormat="false" ht="15" hidden="false" customHeight="false" outlineLevel="0" collapsed="false">
      <c r="A314" s="12" t="n">
        <v>310</v>
      </c>
      <c r="B314" s="10" t="s">
        <v>1074</v>
      </c>
      <c r="C314" s="10" t="s">
        <v>107</v>
      </c>
      <c r="D314" s="11" t="n">
        <v>0.00280671296296296</v>
      </c>
      <c r="E314" s="18" t="n">
        <f aca="false">ROUND((D314-$D$5)*86400,2)</f>
        <v>17.47</v>
      </c>
      <c r="F314" s="12" t="n">
        <v>720</v>
      </c>
      <c r="G314" s="11" t="n">
        <f aca="false">IF(INDEX(選手一覧!$D$7:$D$2738,$F314)="","",INDEX(選手一覧!$D$7:$D$2738,$F314))</f>
        <v>0.0107144675925926</v>
      </c>
      <c r="H314" s="12" t="n">
        <f aca="false">IF(INDEX(選手一覧!$E$7:$E$2738,$F314)="","",INDEX(選手一覧!$E$7:$E$2738,$F314))</f>
        <v>604</v>
      </c>
      <c r="I314" s="11" t="str">
        <f aca="false">IF(INDEX(選手一覧!$F$7:$F$2738,$F314)="","",INDEX(選手一覧!$F$7:$F$2738,$F314))</f>
        <v/>
      </c>
      <c r="J314" s="12" t="str">
        <f aca="false">IF(INDEX(選手一覧!$G$7:$G$2738,$F314)="","",INDEX(選手一覧!$G$7:$G$2738,$F314))</f>
        <v/>
      </c>
    </row>
    <row r="315" customFormat="false" ht="15" hidden="false" customHeight="false" outlineLevel="0" collapsed="false">
      <c r="A315" s="12" t="n">
        <v>311</v>
      </c>
      <c r="B315" s="10" t="s">
        <v>1078</v>
      </c>
      <c r="C315" s="10" t="s">
        <v>1079</v>
      </c>
      <c r="D315" s="11" t="n">
        <v>0.00280671296296296</v>
      </c>
      <c r="E315" s="18" t="n">
        <f aca="false">ROUND((D315-$D$5)*86400,2)</f>
        <v>17.47</v>
      </c>
      <c r="F315" s="12" t="n">
        <v>724</v>
      </c>
      <c r="G315" s="11" t="str">
        <f aca="false">IF(INDEX(選手一覧!$D$7:$D$2738,$F315)="","",INDEX(選手一覧!$D$7:$D$2738,$F315))</f>
        <v/>
      </c>
      <c r="H315" s="12" t="str">
        <f aca="false">IF(INDEX(選手一覧!$E$7:$E$2738,$F315)="","",INDEX(選手一覧!$E$7:$E$2738,$F315))</f>
        <v/>
      </c>
      <c r="I315" s="11" t="str">
        <f aca="false">IF(INDEX(選手一覧!$F$7:$F$2738,$F315)="","",INDEX(選手一覧!$F$7:$F$2738,$F315))</f>
        <v/>
      </c>
      <c r="J315" s="12" t="str">
        <f aca="false">IF(INDEX(選手一覧!$G$7:$G$2738,$F315)="","",INDEX(選手一覧!$G$7:$G$2738,$F315))</f>
        <v/>
      </c>
    </row>
    <row r="316" customFormat="false" ht="15" hidden="false" customHeight="false" outlineLevel="0" collapsed="false">
      <c r="A316" s="12" t="n">
        <v>312</v>
      </c>
      <c r="B316" s="10" t="s">
        <v>1080</v>
      </c>
      <c r="C316" s="10" t="s">
        <v>261</v>
      </c>
      <c r="D316" s="11" t="n">
        <v>0.00280694444444444</v>
      </c>
      <c r="E316" s="18" t="n">
        <f aca="false">ROUND((D316-$D$5)*86400,2)</f>
        <v>17.49</v>
      </c>
      <c r="F316" s="12" t="n">
        <v>725</v>
      </c>
      <c r="G316" s="11" t="n">
        <f aca="false">IF(INDEX(選手一覧!$D$7:$D$2738,$F316)="","",INDEX(選手一覧!$D$7:$D$2738,$F316))</f>
        <v>0.0105403935185185</v>
      </c>
      <c r="H316" s="12" t="n">
        <f aca="false">IF(INDEX(選手一覧!$E$7:$E$2738,$F316)="","",INDEX(選手一覧!$E$7:$E$2738,$F316))</f>
        <v>387</v>
      </c>
      <c r="I316" s="11" t="str">
        <f aca="false">IF(INDEX(選手一覧!$F$7:$F$2738,$F316)="","",INDEX(選手一覧!$F$7:$F$2738,$F316))</f>
        <v/>
      </c>
      <c r="J316" s="12" t="str">
        <f aca="false">IF(INDEX(選手一覧!$G$7:$G$2738,$F316)="","",INDEX(選手一覧!$G$7:$G$2738,$F316))</f>
        <v/>
      </c>
    </row>
    <row r="317" customFormat="false" ht="15" hidden="false" customHeight="false" outlineLevel="0" collapsed="false">
      <c r="A317" s="12" t="n">
        <v>313</v>
      </c>
      <c r="B317" s="10" t="s">
        <v>578</v>
      </c>
      <c r="C317" s="10" t="s">
        <v>371</v>
      </c>
      <c r="D317" s="11" t="n">
        <v>0.00280694444444444</v>
      </c>
      <c r="E317" s="18" t="n">
        <f aca="false">ROUND((D317-$D$5)*86400,2)</f>
        <v>17.49</v>
      </c>
      <c r="F317" s="12" t="n">
        <v>364</v>
      </c>
      <c r="G317" s="11" t="n">
        <f aca="false">IF(INDEX(選手一覧!$D$7:$D$2738,$F317)="","",INDEX(選手一覧!$D$7:$D$2738,$F317))</f>
        <v>0.0102885416666667</v>
      </c>
      <c r="H317" s="12" t="n">
        <f aca="false">IF(INDEX(選手一覧!$E$7:$E$2738,$F317)="","",INDEX(選手一覧!$E$7:$E$2738,$F317))</f>
        <v>154</v>
      </c>
      <c r="I317" s="11" t="str">
        <f aca="false">IF(INDEX(選手一覧!$F$7:$F$2738,$F317)="","",INDEX(選手一覧!$F$7:$F$2738,$F317))</f>
        <v/>
      </c>
      <c r="J317" s="12" t="str">
        <f aca="false">IF(INDEX(選手一覧!$G$7:$G$2738,$F317)="","",INDEX(選手一覧!$G$7:$G$2738,$F317))</f>
        <v/>
      </c>
    </row>
    <row r="318" customFormat="false" ht="15" hidden="false" customHeight="false" outlineLevel="0" collapsed="false">
      <c r="A318" s="12" t="n">
        <v>314</v>
      </c>
      <c r="B318" s="10" t="s">
        <v>905</v>
      </c>
      <c r="C318" s="10" t="s">
        <v>906</v>
      </c>
      <c r="D318" s="11" t="n">
        <v>0.00280694444444444</v>
      </c>
      <c r="E318" s="18" t="n">
        <f aca="false">ROUND((D318-$D$5)*86400,2)</f>
        <v>17.49</v>
      </c>
      <c r="F318" s="12" t="n">
        <v>597</v>
      </c>
      <c r="G318" s="11" t="n">
        <f aca="false">IF(INDEX(選手一覧!$D$7:$D$2738,$F318)="","",INDEX(選手一覧!$D$7:$D$2738,$F318))</f>
        <v>0.0103915509259259</v>
      </c>
      <c r="H318" s="12" t="n">
        <f aca="false">IF(INDEX(選手一覧!$E$7:$E$2738,$F318)="","",INDEX(選手一覧!$E$7:$E$2738,$F318))</f>
        <v>251</v>
      </c>
      <c r="I318" s="11" t="str">
        <f aca="false">IF(INDEX(選手一覧!$F$7:$F$2738,$F318)="","",INDEX(選手一覧!$F$7:$F$2738,$F318))</f>
        <v/>
      </c>
      <c r="J318" s="12" t="str">
        <f aca="false">IF(INDEX(選手一覧!$G$7:$G$2738,$F318)="","",INDEX(選手一覧!$G$7:$G$2738,$F318))</f>
        <v/>
      </c>
    </row>
    <row r="319" customFormat="false" ht="15" hidden="false" customHeight="false" outlineLevel="0" collapsed="false">
      <c r="A319" s="12" t="n">
        <v>315</v>
      </c>
      <c r="B319" s="10" t="s">
        <v>1089</v>
      </c>
      <c r="C319" s="10" t="s">
        <v>1090</v>
      </c>
      <c r="D319" s="11" t="n">
        <v>0.00280740740740741</v>
      </c>
      <c r="E319" s="18" t="n">
        <f aca="false">ROUND((D319-$D$5)*86400,2)</f>
        <v>17.53</v>
      </c>
      <c r="F319" s="12" t="n">
        <v>733</v>
      </c>
      <c r="G319" s="11" t="str">
        <f aca="false">IF(INDEX(選手一覧!$D$7:$D$2738,$F319)="","",INDEX(選手一覧!$D$7:$D$2738,$F319))</f>
        <v/>
      </c>
      <c r="H319" s="12" t="str">
        <f aca="false">IF(INDEX(選手一覧!$E$7:$E$2738,$F319)="","",INDEX(選手一覧!$E$7:$E$2738,$F319))</f>
        <v/>
      </c>
      <c r="I319" s="11" t="str">
        <f aca="false">IF(INDEX(選手一覧!$F$7:$F$2738,$F319)="","",INDEX(選手一覧!$F$7:$F$2738,$F319))</f>
        <v/>
      </c>
      <c r="J319" s="12" t="str">
        <f aca="false">IF(INDEX(選手一覧!$G$7:$G$2738,$F319)="","",INDEX(選手一覧!$G$7:$G$2738,$F319))</f>
        <v/>
      </c>
    </row>
    <row r="320" customFormat="false" ht="15" hidden="false" customHeight="false" outlineLevel="0" collapsed="false">
      <c r="A320" s="12" t="n">
        <v>316</v>
      </c>
      <c r="B320" s="10" t="s">
        <v>1091</v>
      </c>
      <c r="C320" s="10" t="s">
        <v>226</v>
      </c>
      <c r="D320" s="11" t="n">
        <v>0.00280740740740741</v>
      </c>
      <c r="E320" s="18" t="n">
        <f aca="false">ROUND((D320-$D$5)*86400,2)</f>
        <v>17.53</v>
      </c>
      <c r="F320" s="12" t="n">
        <v>734</v>
      </c>
      <c r="G320" s="11" t="n">
        <f aca="false">IF(INDEX(選手一覧!$D$7:$D$2738,$F320)="","",INDEX(選手一覧!$D$7:$D$2738,$F320))</f>
        <v>0.0107303240740741</v>
      </c>
      <c r="H320" s="12" t="n">
        <f aca="false">IF(INDEX(選手一覧!$E$7:$E$2738,$F320)="","",INDEX(選手一覧!$E$7:$E$2738,$F320))</f>
        <v>632</v>
      </c>
      <c r="I320" s="11" t="str">
        <f aca="false">IF(INDEX(選手一覧!$F$7:$F$2738,$F320)="","",INDEX(選手一覧!$F$7:$F$2738,$F320))</f>
        <v/>
      </c>
      <c r="J320" s="12" t="str">
        <f aca="false">IF(INDEX(選手一覧!$G$7:$G$2738,$F320)="","",INDEX(選手一覧!$G$7:$G$2738,$F320))</f>
        <v/>
      </c>
    </row>
    <row r="321" customFormat="false" ht="15" hidden="false" customHeight="false" outlineLevel="0" collapsed="false">
      <c r="A321" s="12" t="n">
        <v>317</v>
      </c>
      <c r="B321" s="10" t="s">
        <v>349</v>
      </c>
      <c r="C321" s="10" t="s">
        <v>350</v>
      </c>
      <c r="D321" s="11" t="n">
        <v>0.00280810185185185</v>
      </c>
      <c r="E321" s="18" t="n">
        <f aca="false">ROUND((D321-$D$5)*86400,2)</f>
        <v>17.59</v>
      </c>
      <c r="F321" s="12" t="n">
        <v>205</v>
      </c>
      <c r="G321" s="11" t="n">
        <f aca="false">IF(INDEX(選手一覧!$D$7:$D$2738,$F321)="","",INDEX(選手一覧!$D$7:$D$2738,$F321))</f>
        <v>0.0101881944444444</v>
      </c>
      <c r="H321" s="12" t="n">
        <f aca="false">IF(INDEX(選手一覧!$E$7:$E$2738,$F321)="","",INDEX(選手一覧!$E$7:$E$2738,$F321))</f>
        <v>91</v>
      </c>
      <c r="I321" s="11" t="n">
        <f aca="false">IF(INDEX(選手一覧!$F$7:$F$2738,$F321)="","",INDEX(選手一覧!$F$7:$F$2738,$F321))</f>
        <v>0.00665277777777778</v>
      </c>
      <c r="J321" s="12" t="n">
        <f aca="false">IF(INDEX(選手一覧!$G$7:$G$2738,$F321)="","",INDEX(選手一覧!$G$7:$G$2738,$F321))</f>
        <v>84</v>
      </c>
    </row>
    <row r="322" customFormat="false" ht="15" hidden="false" customHeight="false" outlineLevel="0" collapsed="false">
      <c r="A322" s="12" t="n">
        <v>318</v>
      </c>
      <c r="B322" s="10" t="s">
        <v>464</v>
      </c>
      <c r="C322" s="10" t="s">
        <v>465</v>
      </c>
      <c r="D322" s="11" t="n">
        <v>0.00280833333333333</v>
      </c>
      <c r="E322" s="18" t="n">
        <f aca="false">ROUND((D322-$D$5)*86400,2)</f>
        <v>17.61</v>
      </c>
      <c r="F322" s="12" t="n">
        <v>288</v>
      </c>
      <c r="G322" s="11" t="n">
        <f aca="false">IF(INDEX(選手一覧!$D$7:$D$2738,$F322)="","",INDEX(選手一覧!$D$7:$D$2738,$F322))</f>
        <v>0.0104655092592593</v>
      </c>
      <c r="H322" s="12" t="n">
        <f aca="false">IF(INDEX(選手一覧!$E$7:$E$2738,$F322)="","",INDEX(選手一覧!$E$7:$E$2738,$F322))</f>
        <v>316</v>
      </c>
      <c r="I322" s="11" t="n">
        <f aca="false">IF(INDEX(選手一覧!$F$7:$F$2738,$F322)="","",INDEX(選手一覧!$F$7:$F$2738,$F322))</f>
        <v>0.00672824074074074</v>
      </c>
      <c r="J322" s="12" t="n">
        <f aca="false">IF(INDEX(選手一覧!$G$7:$G$2738,$F322)="","",INDEX(選手一覧!$G$7:$G$2738,$F322))</f>
        <v>119</v>
      </c>
    </row>
    <row r="323" customFormat="false" ht="15" hidden="false" customHeight="false" outlineLevel="0" collapsed="false">
      <c r="A323" s="12" t="n">
        <v>319</v>
      </c>
      <c r="B323" s="10" t="s">
        <v>1100</v>
      </c>
      <c r="C323" s="10" t="s">
        <v>286</v>
      </c>
      <c r="D323" s="11" t="n">
        <v>0.00280844907407407</v>
      </c>
      <c r="E323" s="18" t="n">
        <f aca="false">ROUND((D323-$D$5)*86400,2)</f>
        <v>17.62</v>
      </c>
      <c r="F323" s="12" t="n">
        <v>740</v>
      </c>
      <c r="G323" s="11" t="str">
        <f aca="false">IF(INDEX(選手一覧!$D$7:$D$2738,$F323)="","",INDEX(選手一覧!$D$7:$D$2738,$F323))</f>
        <v/>
      </c>
      <c r="H323" s="12" t="str">
        <f aca="false">IF(INDEX(選手一覧!$E$7:$E$2738,$F323)="","",INDEX(選手一覧!$E$7:$E$2738,$F323))</f>
        <v/>
      </c>
      <c r="I323" s="11" t="str">
        <f aca="false">IF(INDEX(選手一覧!$F$7:$F$2738,$F323)="","",INDEX(選手一覧!$F$7:$F$2738,$F323))</f>
        <v/>
      </c>
      <c r="J323" s="12" t="str">
        <f aca="false">IF(INDEX(選手一覧!$G$7:$G$2738,$F323)="","",INDEX(選手一覧!$G$7:$G$2738,$F323))</f>
        <v/>
      </c>
    </row>
    <row r="324" customFormat="false" ht="15" hidden="false" customHeight="false" outlineLevel="0" collapsed="false">
      <c r="A324" s="12" t="n">
        <v>320</v>
      </c>
      <c r="B324" s="10" t="s">
        <v>70</v>
      </c>
      <c r="C324" s="10" t="s">
        <v>29</v>
      </c>
      <c r="D324" s="11" t="n">
        <v>0.00280856481481482</v>
      </c>
      <c r="E324" s="18" t="n">
        <f aca="false">ROUND((D324-$D$5)*86400,2)</f>
        <v>17.63</v>
      </c>
      <c r="F324" s="12" t="n">
        <v>27</v>
      </c>
      <c r="G324" s="11" t="n">
        <f aca="false">IF(INDEX(選手一覧!$D$7:$D$2738,$F324)="","",INDEX(選手一覧!$D$7:$D$2738,$F324))</f>
        <v>0.0100170138888889</v>
      </c>
      <c r="H324" s="12" t="n">
        <f aca="false">IF(INDEX(選手一覧!$E$7:$E$2738,$F324)="","",INDEX(選手一覧!$E$7:$E$2738,$F324))</f>
        <v>24</v>
      </c>
      <c r="I324" s="11" t="n">
        <f aca="false">IF(INDEX(選手一覧!$F$7:$F$2738,$F324)="","",INDEX(選手一覧!$F$7:$F$2738,$F324))</f>
        <v>0.00636747685185185</v>
      </c>
      <c r="J324" s="12" t="n">
        <f aca="false">IF(INDEX(選手一覧!$G$7:$G$2738,$F324)="","",INDEX(選手一覧!$G$7:$G$2738,$F324))</f>
        <v>11</v>
      </c>
    </row>
    <row r="325" customFormat="false" ht="15" hidden="false" customHeight="false" outlineLevel="0" collapsed="false">
      <c r="A325" s="12" t="n">
        <v>321</v>
      </c>
      <c r="B325" s="10" t="s">
        <v>1102</v>
      </c>
      <c r="C325" s="10" t="s">
        <v>720</v>
      </c>
      <c r="D325" s="11" t="n">
        <v>0.0028087962962963</v>
      </c>
      <c r="E325" s="18" t="n">
        <f aca="false">ROUND((D325-$D$5)*86400,2)</f>
        <v>17.65</v>
      </c>
      <c r="F325" s="12" t="n">
        <v>742</v>
      </c>
      <c r="G325" s="11" t="n">
        <f aca="false">IF(INDEX(選手一覧!$D$7:$D$2738,$F325)="","",INDEX(選手一覧!$D$7:$D$2738,$F325))</f>
        <v>0.0105479166666667</v>
      </c>
      <c r="H325" s="12" t="n">
        <f aca="false">IF(INDEX(選手一覧!$E$7:$E$2738,$F325)="","",INDEX(選手一覧!$E$7:$E$2738,$F325))</f>
        <v>396</v>
      </c>
      <c r="I325" s="11" t="str">
        <f aca="false">IF(INDEX(選手一覧!$F$7:$F$2738,$F325)="","",INDEX(選手一覧!$F$7:$F$2738,$F325))</f>
        <v/>
      </c>
      <c r="J325" s="12" t="str">
        <f aca="false">IF(INDEX(選手一覧!$G$7:$G$2738,$F325)="","",INDEX(選手一覧!$G$7:$G$2738,$F325))</f>
        <v/>
      </c>
    </row>
    <row r="326" customFormat="false" ht="15" hidden="false" customHeight="false" outlineLevel="0" collapsed="false">
      <c r="A326" s="12" t="n">
        <v>322</v>
      </c>
      <c r="B326" s="10" t="s">
        <v>1105</v>
      </c>
      <c r="C326" s="10" t="s">
        <v>1106</v>
      </c>
      <c r="D326" s="11" t="n">
        <v>0.00280925925925926</v>
      </c>
      <c r="E326" s="18" t="n">
        <f aca="false">ROUND((D326-$D$5)*86400,2)</f>
        <v>17.69</v>
      </c>
      <c r="F326" s="12" t="n">
        <v>745</v>
      </c>
      <c r="G326" s="11" t="str">
        <f aca="false">IF(INDEX(選手一覧!$D$7:$D$2738,$F326)="","",INDEX(選手一覧!$D$7:$D$2738,$F326))</f>
        <v/>
      </c>
      <c r="H326" s="12" t="str">
        <f aca="false">IF(INDEX(選手一覧!$E$7:$E$2738,$F326)="","",INDEX(選手一覧!$E$7:$E$2738,$F326))</f>
        <v/>
      </c>
      <c r="I326" s="11" t="str">
        <f aca="false">IF(INDEX(選手一覧!$F$7:$F$2738,$F326)="","",INDEX(選手一覧!$F$7:$F$2738,$F326))</f>
        <v/>
      </c>
      <c r="J326" s="12" t="str">
        <f aca="false">IF(INDEX(選手一覧!$G$7:$G$2738,$F326)="","",INDEX(選手一覧!$G$7:$G$2738,$F326))</f>
        <v/>
      </c>
    </row>
    <row r="327" customFormat="false" ht="15" hidden="false" customHeight="false" outlineLevel="0" collapsed="false">
      <c r="A327" s="12" t="n">
        <v>323</v>
      </c>
      <c r="B327" s="10" t="s">
        <v>1107</v>
      </c>
      <c r="C327" s="10" t="s">
        <v>963</v>
      </c>
      <c r="D327" s="11" t="n">
        <v>0.00280960648148148</v>
      </c>
      <c r="E327" s="18" t="n">
        <f aca="false">ROUND((D327-$D$5)*86400,2)</f>
        <v>17.72</v>
      </c>
      <c r="F327" s="12" t="n">
        <v>746</v>
      </c>
      <c r="G327" s="11" t="n">
        <f aca="false">IF(INDEX(選手一覧!$D$7:$D$2738,$F327)="","",INDEX(選手一覧!$D$7:$D$2738,$F327))</f>
        <v>0.011025</v>
      </c>
      <c r="H327" s="12" t="n">
        <f aca="false">IF(INDEX(選手一覧!$E$7:$E$2738,$F327)="","",INDEX(選手一覧!$E$7:$E$2738,$F327))</f>
        <v>1137</v>
      </c>
      <c r="I327" s="11" t="str">
        <f aca="false">IF(INDEX(選手一覧!$F$7:$F$2738,$F327)="","",INDEX(選手一覧!$F$7:$F$2738,$F327))</f>
        <v/>
      </c>
      <c r="J327" s="12" t="str">
        <f aca="false">IF(INDEX(選手一覧!$G$7:$G$2738,$F327)="","",INDEX(選手一覧!$G$7:$G$2738,$F327))</f>
        <v/>
      </c>
    </row>
    <row r="328" customFormat="false" ht="15" hidden="false" customHeight="false" outlineLevel="0" collapsed="false">
      <c r="A328" s="12" t="n">
        <v>324</v>
      </c>
      <c r="B328" s="10" t="s">
        <v>1108</v>
      </c>
      <c r="C328" s="10" t="s">
        <v>317</v>
      </c>
      <c r="D328" s="11" t="n">
        <v>0.00280983796296296</v>
      </c>
      <c r="E328" s="18" t="n">
        <f aca="false">ROUND((D328-$D$5)*86400,2)</f>
        <v>17.74</v>
      </c>
      <c r="F328" s="12" t="n">
        <v>747</v>
      </c>
      <c r="G328" s="11" t="n">
        <f aca="false">IF(INDEX(選手一覧!$D$7:$D$2738,$F328)="","",INDEX(選手一覧!$D$7:$D$2738,$F328))</f>
        <v>0.0107715277777778</v>
      </c>
      <c r="H328" s="12" t="n">
        <f aca="false">IF(INDEX(選手一覧!$E$7:$E$2738,$F328)="","",INDEX(選手一覧!$E$7:$E$2738,$F328))</f>
        <v>699</v>
      </c>
      <c r="I328" s="11" t="str">
        <f aca="false">IF(INDEX(選手一覧!$F$7:$F$2738,$F328)="","",INDEX(選手一覧!$F$7:$F$2738,$F328))</f>
        <v/>
      </c>
      <c r="J328" s="12" t="str">
        <f aca="false">IF(INDEX(選手一覧!$G$7:$G$2738,$F328)="","",INDEX(選手一覧!$G$7:$G$2738,$F328))</f>
        <v/>
      </c>
    </row>
    <row r="329" customFormat="false" ht="15" hidden="false" customHeight="false" outlineLevel="0" collapsed="false">
      <c r="A329" s="12" t="n">
        <v>325</v>
      </c>
      <c r="B329" s="10" t="s">
        <v>1112</v>
      </c>
      <c r="C329" s="10" t="s">
        <v>1113</v>
      </c>
      <c r="D329" s="11" t="n">
        <v>0.00281064814814815</v>
      </c>
      <c r="E329" s="18" t="n">
        <f aca="false">ROUND((D329-$D$5)*86400,2)</f>
        <v>17.81</v>
      </c>
      <c r="F329" s="12" t="n">
        <v>750</v>
      </c>
      <c r="G329" s="11" t="n">
        <f aca="false">IF(INDEX(選手一覧!$D$7:$D$2738,$F329)="","",INDEX(選手一覧!$D$7:$D$2738,$F329))</f>
        <v>0.0107717592592593</v>
      </c>
      <c r="H329" s="12" t="n">
        <f aca="false">IF(INDEX(選手一覧!$E$7:$E$2738,$F329)="","",INDEX(選手一覧!$E$7:$E$2738,$F329))</f>
        <v>700</v>
      </c>
      <c r="I329" s="11" t="str">
        <f aca="false">IF(INDEX(選手一覧!$F$7:$F$2738,$F329)="","",INDEX(選手一覧!$F$7:$F$2738,$F329))</f>
        <v/>
      </c>
      <c r="J329" s="12" t="str">
        <f aca="false">IF(INDEX(選手一覧!$G$7:$G$2738,$F329)="","",INDEX(選手一覧!$G$7:$G$2738,$F329))</f>
        <v/>
      </c>
    </row>
    <row r="330" customFormat="false" ht="15" hidden="false" customHeight="false" outlineLevel="0" collapsed="false">
      <c r="A330" s="12" t="n">
        <v>326</v>
      </c>
      <c r="B330" s="10" t="s">
        <v>1116</v>
      </c>
      <c r="C330" s="10" t="s">
        <v>147</v>
      </c>
      <c r="D330" s="11" t="n">
        <v>0.00281076388888889</v>
      </c>
      <c r="E330" s="18" t="n">
        <f aca="false">ROUND((D330-$D$5)*86400,2)</f>
        <v>17.82</v>
      </c>
      <c r="F330" s="12" t="n">
        <v>753</v>
      </c>
      <c r="G330" s="11" t="n">
        <f aca="false">IF(INDEX(選手一覧!$D$7:$D$2738,$F330)="","",INDEX(選手一覧!$D$7:$D$2738,$F330))</f>
        <v>0.0105153935185185</v>
      </c>
      <c r="H330" s="12" t="n">
        <f aca="false">IF(INDEX(選手一覧!$E$7:$E$2738,$F330)="","",INDEX(選手一覧!$E$7:$E$2738,$F330))</f>
        <v>358</v>
      </c>
      <c r="I330" s="11" t="str">
        <f aca="false">IF(INDEX(選手一覧!$F$7:$F$2738,$F330)="","",INDEX(選手一覧!$F$7:$F$2738,$F330))</f>
        <v/>
      </c>
      <c r="J330" s="12" t="str">
        <f aca="false">IF(INDEX(選手一覧!$G$7:$G$2738,$F330)="","",INDEX(選手一覧!$G$7:$G$2738,$F330))</f>
        <v/>
      </c>
    </row>
    <row r="331" customFormat="false" ht="15" hidden="false" customHeight="false" outlineLevel="0" collapsed="false">
      <c r="A331" s="12" t="n">
        <v>327</v>
      </c>
      <c r="B331" s="10" t="s">
        <v>1117</v>
      </c>
      <c r="C331" s="10" t="s">
        <v>680</v>
      </c>
      <c r="D331" s="11" t="n">
        <v>0.00281087962962963</v>
      </c>
      <c r="E331" s="18" t="n">
        <f aca="false">ROUND((D331-$D$5)*86400,2)</f>
        <v>17.83</v>
      </c>
      <c r="F331" s="12" t="n">
        <v>754</v>
      </c>
      <c r="G331" s="11" t="n">
        <f aca="false">IF(INDEX(選手一覧!$D$7:$D$2738,$F331)="","",INDEX(選手一覧!$D$7:$D$2738,$F331))</f>
        <v>0.0106944444444444</v>
      </c>
      <c r="H331" s="12" t="n">
        <f aca="false">IF(INDEX(選手一覧!$E$7:$E$2738,$F331)="","",INDEX(選手一覧!$E$7:$E$2738,$F331))</f>
        <v>570</v>
      </c>
      <c r="I331" s="11" t="str">
        <f aca="false">IF(INDEX(選手一覧!$F$7:$F$2738,$F331)="","",INDEX(選手一覧!$F$7:$F$2738,$F331))</f>
        <v/>
      </c>
      <c r="J331" s="12" t="str">
        <f aca="false">IF(INDEX(選手一覧!$G$7:$G$2738,$F331)="","",INDEX(選手一覧!$G$7:$G$2738,$F331))</f>
        <v/>
      </c>
    </row>
    <row r="332" customFormat="false" ht="15" hidden="false" customHeight="false" outlineLevel="0" collapsed="false">
      <c r="A332" s="12" t="n">
        <v>328</v>
      </c>
      <c r="B332" s="10" t="s">
        <v>1120</v>
      </c>
      <c r="C332" s="10" t="s">
        <v>87</v>
      </c>
      <c r="D332" s="11" t="n">
        <v>0.0028119212962963</v>
      </c>
      <c r="E332" s="18" t="n">
        <f aca="false">ROUND((D332-$D$5)*86400,2)</f>
        <v>17.92</v>
      </c>
      <c r="F332" s="12" t="n">
        <v>756</v>
      </c>
      <c r="G332" s="11" t="n">
        <f aca="false">IF(INDEX(選手一覧!$D$7:$D$2738,$F332)="","",INDEX(選手一覧!$D$7:$D$2738,$F332))</f>
        <v>0.0108903935185185</v>
      </c>
      <c r="H332" s="12" t="n">
        <f aca="false">IF(INDEX(選手一覧!$E$7:$E$2738,$F332)="","",INDEX(選手一覧!$E$7:$E$2738,$F332))</f>
        <v>904</v>
      </c>
      <c r="I332" s="11" t="str">
        <f aca="false">IF(INDEX(選手一覧!$F$7:$F$2738,$F332)="","",INDEX(選手一覧!$F$7:$F$2738,$F332))</f>
        <v/>
      </c>
      <c r="J332" s="12" t="str">
        <f aca="false">IF(INDEX(選手一覧!$G$7:$G$2738,$F332)="","",INDEX(選手一覧!$G$7:$G$2738,$F332))</f>
        <v/>
      </c>
    </row>
    <row r="333" customFormat="false" ht="15" hidden="false" customHeight="false" outlineLevel="0" collapsed="false">
      <c r="A333" s="12" t="n">
        <v>329</v>
      </c>
      <c r="B333" s="10" t="s">
        <v>706</v>
      </c>
      <c r="C333" s="10" t="s">
        <v>185</v>
      </c>
      <c r="D333" s="11" t="n">
        <v>0.0028119212962963</v>
      </c>
      <c r="E333" s="18" t="n">
        <f aca="false">ROUND((D333-$D$5)*86400,2)</f>
        <v>17.92</v>
      </c>
      <c r="F333" s="12" t="n">
        <v>452</v>
      </c>
      <c r="G333" s="11" t="n">
        <f aca="false">IF(INDEX(選手一覧!$D$7:$D$2738,$F333)="","",INDEX(選手一覧!$D$7:$D$2738,$F333))</f>
        <v>0.0103393518518519</v>
      </c>
      <c r="H333" s="12" t="n">
        <f aca="false">IF(INDEX(選手一覧!$E$7:$E$2738,$F333)="","",INDEX(選手一覧!$E$7:$E$2738,$F333))</f>
        <v>190</v>
      </c>
      <c r="I333" s="11" t="n">
        <f aca="false">IF(INDEX(選手一覧!$F$7:$F$2738,$F333)="","",INDEX(選手一覧!$F$7:$F$2738,$F333))</f>
        <v>0.00682673611111111</v>
      </c>
      <c r="J333" s="12" t="n">
        <f aca="false">IF(INDEX(選手一覧!$G$7:$G$2738,$F333)="","",INDEX(選手一覧!$G$7:$G$2738,$F333))</f>
        <v>190</v>
      </c>
    </row>
    <row r="334" customFormat="false" ht="15" hidden="false" customHeight="false" outlineLevel="0" collapsed="false">
      <c r="A334" s="12" t="n">
        <v>330</v>
      </c>
      <c r="B334" s="10" t="s">
        <v>1126</v>
      </c>
      <c r="C334" s="10" t="s">
        <v>1127</v>
      </c>
      <c r="D334" s="11" t="n">
        <v>0.0028119212962963</v>
      </c>
      <c r="E334" s="18" t="n">
        <f aca="false">ROUND((D334-$D$5)*86400,2)</f>
        <v>17.92</v>
      </c>
      <c r="F334" s="12" t="n">
        <v>760</v>
      </c>
      <c r="G334" s="11" t="n">
        <f aca="false">IF(INDEX(選手一覧!$D$7:$D$2738,$F334)="","",INDEX(選手一覧!$D$7:$D$2738,$F334))</f>
        <v>0.0105996527777778</v>
      </c>
      <c r="H334" s="12" t="n">
        <f aca="false">IF(INDEX(選手一覧!$E$7:$E$2738,$F334)="","",INDEX(選手一覧!$E$7:$E$2738,$F334))</f>
        <v>463</v>
      </c>
      <c r="I334" s="11" t="str">
        <f aca="false">IF(INDEX(選手一覧!$F$7:$F$2738,$F334)="","",INDEX(選手一覧!$F$7:$F$2738,$F334))</f>
        <v/>
      </c>
      <c r="J334" s="12" t="str">
        <f aca="false">IF(INDEX(選手一覧!$G$7:$G$2738,$F334)="","",INDEX(選手一覧!$G$7:$G$2738,$F334))</f>
        <v/>
      </c>
    </row>
    <row r="335" customFormat="false" ht="15" hidden="false" customHeight="false" outlineLevel="0" collapsed="false">
      <c r="A335" s="12" t="n">
        <v>331</v>
      </c>
      <c r="B335" s="10" t="s">
        <v>1133</v>
      </c>
      <c r="C335" s="10" t="s">
        <v>112</v>
      </c>
      <c r="D335" s="11" t="n">
        <v>0.00281273148148148</v>
      </c>
      <c r="E335" s="18" t="n">
        <f aca="false">ROUND((D335-$D$5)*86400,2)</f>
        <v>17.99</v>
      </c>
      <c r="F335" s="12" t="n">
        <v>764</v>
      </c>
      <c r="G335" s="11" t="str">
        <f aca="false">IF(INDEX(選手一覧!$D$7:$D$2738,$F335)="","",INDEX(選手一覧!$D$7:$D$2738,$F335))</f>
        <v/>
      </c>
      <c r="H335" s="12" t="str">
        <f aca="false">IF(INDEX(選手一覧!$E$7:$E$2738,$F335)="","",INDEX(選手一覧!$E$7:$E$2738,$F335))</f>
        <v/>
      </c>
      <c r="I335" s="11" t="str">
        <f aca="false">IF(INDEX(選手一覧!$F$7:$F$2738,$F335)="","",INDEX(選手一覧!$F$7:$F$2738,$F335))</f>
        <v/>
      </c>
      <c r="J335" s="12" t="str">
        <f aca="false">IF(INDEX(選手一覧!$G$7:$G$2738,$F335)="","",INDEX(選手一覧!$G$7:$G$2738,$F335))</f>
        <v/>
      </c>
    </row>
    <row r="336" customFormat="false" ht="15" hidden="false" customHeight="false" outlineLevel="0" collapsed="false">
      <c r="A336" s="12" t="n">
        <v>332</v>
      </c>
      <c r="B336" s="10" t="s">
        <v>1134</v>
      </c>
      <c r="C336" s="10" t="s">
        <v>114</v>
      </c>
      <c r="D336" s="11" t="n">
        <v>0.00281284722222222</v>
      </c>
      <c r="E336" s="18" t="n">
        <f aca="false">ROUND((D336-$D$5)*86400,2)</f>
        <v>18</v>
      </c>
      <c r="F336" s="12" t="n">
        <v>765</v>
      </c>
      <c r="G336" s="11" t="n">
        <f aca="false">IF(INDEX(選手一覧!$D$7:$D$2738,$F336)="","",INDEX(選手一覧!$D$7:$D$2738,$F336))</f>
        <v>0.0107350694444444</v>
      </c>
      <c r="H336" s="12" t="n">
        <f aca="false">IF(INDEX(選手一覧!$E$7:$E$2738,$F336)="","",INDEX(選手一覧!$E$7:$E$2738,$F336))</f>
        <v>642</v>
      </c>
      <c r="I336" s="11" t="str">
        <f aca="false">IF(INDEX(選手一覧!$F$7:$F$2738,$F336)="","",INDEX(選手一覧!$F$7:$F$2738,$F336))</f>
        <v/>
      </c>
      <c r="J336" s="12" t="str">
        <f aca="false">IF(INDEX(選手一覧!$G$7:$G$2738,$F336)="","",INDEX(選手一覧!$G$7:$G$2738,$F336))</f>
        <v/>
      </c>
    </row>
    <row r="337" customFormat="false" ht="15" hidden="false" customHeight="false" outlineLevel="0" collapsed="false">
      <c r="A337" s="12" t="n">
        <v>333</v>
      </c>
      <c r="B337" s="10" t="s">
        <v>1138</v>
      </c>
      <c r="C337" s="10" t="s">
        <v>1020</v>
      </c>
      <c r="D337" s="11" t="n">
        <v>0.00281296296296296</v>
      </c>
      <c r="E337" s="18" t="n">
        <f aca="false">ROUND((D337-$D$5)*86400,2)</f>
        <v>18.01</v>
      </c>
      <c r="F337" s="12" t="n">
        <v>768</v>
      </c>
      <c r="G337" s="11" t="n">
        <f aca="false">IF(INDEX(選手一覧!$D$7:$D$2738,$F337)="","",INDEX(選手一覧!$D$7:$D$2738,$F337))</f>
        <v>0.0105478009259259</v>
      </c>
      <c r="H337" s="12" t="n">
        <f aca="false">IF(INDEX(選手一覧!$E$7:$E$2738,$F337)="","",INDEX(選手一覧!$E$7:$E$2738,$F337))</f>
        <v>395</v>
      </c>
      <c r="I337" s="11" t="n">
        <f aca="false">IF(INDEX(選手一覧!$F$7:$F$2738,$F337)="","",INDEX(選手一覧!$F$7:$F$2738,$F337))</f>
        <v>0.00705462962962963</v>
      </c>
      <c r="J337" s="12" t="n">
        <f aca="false">IF(INDEX(選手一覧!$G$7:$G$2738,$F337)="","",INDEX(選手一覧!$G$7:$G$2738,$F337))</f>
        <v>394</v>
      </c>
    </row>
    <row r="338" customFormat="false" ht="15" hidden="false" customHeight="false" outlineLevel="0" collapsed="false">
      <c r="A338" s="12" t="n">
        <v>334</v>
      </c>
      <c r="B338" s="10" t="s">
        <v>932</v>
      </c>
      <c r="C338" s="10" t="s">
        <v>229</v>
      </c>
      <c r="D338" s="11" t="n">
        <v>0.0028130787037037</v>
      </c>
      <c r="E338" s="18" t="n">
        <f aca="false">ROUND((D338-$D$5)*86400,2)</f>
        <v>18.02</v>
      </c>
      <c r="F338" s="12" t="n">
        <v>617</v>
      </c>
      <c r="G338" s="11" t="n">
        <f aca="false">IF(INDEX(選手一覧!$D$7:$D$2738,$F338)="","",INDEX(選手一覧!$D$7:$D$2738,$F338))</f>
        <v>0.0103972222222222</v>
      </c>
      <c r="H338" s="12" t="n">
        <f aca="false">IF(INDEX(選手一覧!$E$7:$E$2738,$F338)="","",INDEX(選手一覧!$E$7:$E$2738,$F338))</f>
        <v>260</v>
      </c>
      <c r="I338" s="11" t="str">
        <f aca="false">IF(INDEX(選手一覧!$F$7:$F$2738,$F338)="","",INDEX(選手一覧!$F$7:$F$2738,$F338))</f>
        <v/>
      </c>
      <c r="J338" s="12" t="str">
        <f aca="false">IF(INDEX(選手一覧!$G$7:$G$2738,$F338)="","",INDEX(選手一覧!$G$7:$G$2738,$F338))</f>
        <v/>
      </c>
    </row>
    <row r="339" customFormat="false" ht="15" hidden="false" customHeight="false" outlineLevel="0" collapsed="false">
      <c r="A339" s="12" t="n">
        <v>335</v>
      </c>
      <c r="B339" s="10" t="s">
        <v>1143</v>
      </c>
      <c r="C339" s="10" t="s">
        <v>425</v>
      </c>
      <c r="D339" s="11" t="n">
        <v>0.00281319444444445</v>
      </c>
      <c r="E339" s="18" t="n">
        <f aca="false">ROUND((D339-$D$5)*86400,2)</f>
        <v>18.03</v>
      </c>
      <c r="F339" s="12" t="n">
        <v>772</v>
      </c>
      <c r="G339" s="11" t="n">
        <f aca="false">IF(INDEX(選手一覧!$D$7:$D$2738,$F339)="","",INDEX(選手一覧!$D$7:$D$2738,$F339))</f>
        <v>0.0107329861111111</v>
      </c>
      <c r="H339" s="12" t="n">
        <f aca="false">IF(INDEX(選手一覧!$E$7:$E$2738,$F339)="","",INDEX(選手一覧!$E$7:$E$2738,$F339))</f>
        <v>639</v>
      </c>
      <c r="I339" s="11" t="str">
        <f aca="false">IF(INDEX(選手一覧!$F$7:$F$2738,$F339)="","",INDEX(選手一覧!$F$7:$F$2738,$F339))</f>
        <v/>
      </c>
      <c r="J339" s="12" t="str">
        <f aca="false">IF(INDEX(選手一覧!$G$7:$G$2738,$F339)="","",INDEX(選手一覧!$G$7:$G$2738,$F339))</f>
        <v/>
      </c>
    </row>
    <row r="340" customFormat="false" ht="15" hidden="false" customHeight="false" outlineLevel="0" collapsed="false">
      <c r="A340" s="12" t="n">
        <v>336</v>
      </c>
      <c r="B340" s="10" t="s">
        <v>1146</v>
      </c>
      <c r="C340" s="10" t="s">
        <v>103</v>
      </c>
      <c r="D340" s="11" t="n">
        <v>0.00281331018518519</v>
      </c>
      <c r="E340" s="18" t="n">
        <f aca="false">ROUND((D340-$D$5)*86400,2)</f>
        <v>18.04</v>
      </c>
      <c r="F340" s="12" t="n">
        <v>774</v>
      </c>
      <c r="G340" s="11" t="n">
        <f aca="false">IF(INDEX(選手一覧!$D$7:$D$2738,$F340)="","",INDEX(選手一覧!$D$7:$D$2738,$F340))</f>
        <v>0.010515162037037</v>
      </c>
      <c r="H340" s="12" t="n">
        <f aca="false">IF(INDEX(選手一覧!$E$7:$E$2738,$F340)="","",INDEX(選手一覧!$E$7:$E$2738,$F340))</f>
        <v>357</v>
      </c>
      <c r="I340" s="11" t="str">
        <f aca="false">IF(INDEX(選手一覧!$F$7:$F$2738,$F340)="","",INDEX(選手一覧!$F$7:$F$2738,$F340))</f>
        <v/>
      </c>
      <c r="J340" s="12" t="str">
        <f aca="false">IF(INDEX(選手一覧!$G$7:$G$2738,$F340)="","",INDEX(選手一覧!$G$7:$G$2738,$F340))</f>
        <v/>
      </c>
    </row>
    <row r="341" customFormat="false" ht="15" hidden="false" customHeight="false" outlineLevel="0" collapsed="false">
      <c r="A341" s="12" t="n">
        <v>337</v>
      </c>
      <c r="B341" s="10" t="s">
        <v>1148</v>
      </c>
      <c r="C341" s="10" t="s">
        <v>43</v>
      </c>
      <c r="D341" s="11" t="n">
        <v>0.00281331018518519</v>
      </c>
      <c r="E341" s="18" t="n">
        <f aca="false">ROUND((D341-$D$5)*86400,2)</f>
        <v>18.04</v>
      </c>
      <c r="F341" s="12" t="n">
        <v>776</v>
      </c>
      <c r="G341" s="11" t="n">
        <f aca="false">IF(INDEX(選手一覧!$D$7:$D$2738,$F341)="","",INDEX(選手一覧!$D$7:$D$2738,$F341))</f>
        <v>0.0106106481481482</v>
      </c>
      <c r="H341" s="12" t="n">
        <f aca="false">IF(INDEX(選手一覧!$E$7:$E$2738,$F341)="","",INDEX(選手一覧!$E$7:$E$2738,$F341))</f>
        <v>476</v>
      </c>
      <c r="I341" s="11" t="str">
        <f aca="false">IF(INDEX(選手一覧!$F$7:$F$2738,$F341)="","",INDEX(選手一覧!$F$7:$F$2738,$F341))</f>
        <v/>
      </c>
      <c r="J341" s="12" t="str">
        <f aca="false">IF(INDEX(選手一覧!$G$7:$G$2738,$F341)="","",INDEX(選手一覧!$G$7:$G$2738,$F341))</f>
        <v/>
      </c>
    </row>
    <row r="342" customFormat="false" ht="15" hidden="false" customHeight="false" outlineLevel="0" collapsed="false">
      <c r="A342" s="12" t="n">
        <v>338</v>
      </c>
      <c r="B342" s="10" t="s">
        <v>1152</v>
      </c>
      <c r="C342" s="10" t="s">
        <v>103</v>
      </c>
      <c r="D342" s="11" t="n">
        <v>0.00281354166666667</v>
      </c>
      <c r="E342" s="18" t="n">
        <f aca="false">ROUND((D342-$D$5)*86400,2)</f>
        <v>18.06</v>
      </c>
      <c r="F342" s="12" t="n">
        <v>779</v>
      </c>
      <c r="G342" s="11" t="n">
        <f aca="false">IF(INDEX(選手一覧!$D$7:$D$2738,$F342)="","",INDEX(選手一覧!$D$7:$D$2738,$F342))</f>
        <v>0.0107349537037037</v>
      </c>
      <c r="H342" s="12" t="n">
        <f aca="false">IF(INDEX(選手一覧!$E$7:$E$2738,$F342)="","",INDEX(選手一覧!$E$7:$E$2738,$F342))</f>
        <v>641</v>
      </c>
      <c r="I342" s="11" t="str">
        <f aca="false">IF(INDEX(選手一覧!$F$7:$F$2738,$F342)="","",INDEX(選手一覧!$F$7:$F$2738,$F342))</f>
        <v/>
      </c>
      <c r="J342" s="12" t="str">
        <f aca="false">IF(INDEX(選手一覧!$G$7:$G$2738,$F342)="","",INDEX(選手一覧!$G$7:$G$2738,$F342))</f>
        <v/>
      </c>
    </row>
    <row r="343" customFormat="false" ht="15" hidden="false" customHeight="false" outlineLevel="0" collapsed="false">
      <c r="A343" s="12" t="n">
        <v>339</v>
      </c>
      <c r="B343" s="10" t="s">
        <v>1154</v>
      </c>
      <c r="C343" s="10" t="s">
        <v>1155</v>
      </c>
      <c r="D343" s="11" t="n">
        <v>0.00281388888888889</v>
      </c>
      <c r="E343" s="18" t="n">
        <f aca="false">ROUND((D343-$D$5)*86400,2)</f>
        <v>18.09</v>
      </c>
      <c r="F343" s="12" t="n">
        <v>781</v>
      </c>
      <c r="G343" s="11" t="n">
        <f aca="false">IF(INDEX(選手一覧!$D$7:$D$2738,$F343)="","",INDEX(選手一覧!$D$7:$D$2738,$F343))</f>
        <v>0.0109736111111111</v>
      </c>
      <c r="H343" s="12" t="n">
        <f aca="false">IF(INDEX(選手一覧!$E$7:$E$2738,$F343)="","",INDEX(選手一覧!$E$7:$E$2738,$F343))</f>
        <v>1047</v>
      </c>
      <c r="I343" s="11" t="str">
        <f aca="false">IF(INDEX(選手一覧!$F$7:$F$2738,$F343)="","",INDEX(選手一覧!$F$7:$F$2738,$F343))</f>
        <v/>
      </c>
      <c r="J343" s="12" t="str">
        <f aca="false">IF(INDEX(選手一覧!$G$7:$G$2738,$F343)="","",INDEX(選手一覧!$G$7:$G$2738,$F343))</f>
        <v/>
      </c>
    </row>
    <row r="344" customFormat="false" ht="15" hidden="false" customHeight="false" outlineLevel="0" collapsed="false">
      <c r="A344" s="12" t="n">
        <v>340</v>
      </c>
      <c r="B344" s="10" t="s">
        <v>248</v>
      </c>
      <c r="C344" s="10" t="s">
        <v>109</v>
      </c>
      <c r="D344" s="11" t="n">
        <v>0.00281412037037037</v>
      </c>
      <c r="E344" s="18" t="n">
        <f aca="false">ROUND((D344-$D$5)*86400,2)</f>
        <v>18.11</v>
      </c>
      <c r="F344" s="12" t="n">
        <v>134</v>
      </c>
      <c r="G344" s="11" t="n">
        <f aca="false">IF(INDEX(選手一覧!$D$7:$D$2738,$F344)="","",INDEX(選手一覧!$D$7:$D$2738,$F344))</f>
        <v>0.0101015046296296</v>
      </c>
      <c r="H344" s="12" t="n">
        <f aca="false">IF(INDEX(選手一覧!$E$7:$E$2738,$F344)="","",INDEX(選手一覧!$E$7:$E$2738,$F344))</f>
        <v>53</v>
      </c>
      <c r="I344" s="11" t="str">
        <f aca="false">IF(INDEX(選手一覧!$F$7:$F$2738,$F344)="","",INDEX(選手一覧!$F$7:$F$2738,$F344))</f>
        <v/>
      </c>
      <c r="J344" s="12" t="str">
        <f aca="false">IF(INDEX(選手一覧!$G$7:$G$2738,$F344)="","",INDEX(選手一覧!$G$7:$G$2738,$F344))</f>
        <v/>
      </c>
    </row>
    <row r="345" customFormat="false" ht="15" hidden="false" customHeight="false" outlineLevel="0" collapsed="false">
      <c r="A345" s="12" t="n">
        <v>341</v>
      </c>
      <c r="B345" s="10" t="s">
        <v>1160</v>
      </c>
      <c r="C345" s="10" t="s">
        <v>549</v>
      </c>
      <c r="D345" s="11" t="n">
        <v>0.00281458333333333</v>
      </c>
      <c r="E345" s="18" t="n">
        <f aca="false">ROUND((D345-$D$5)*86400,2)</f>
        <v>18.15</v>
      </c>
      <c r="F345" s="12" t="n">
        <v>785</v>
      </c>
      <c r="G345" s="11" t="n">
        <f aca="false">IF(INDEX(選手一覧!$D$7:$D$2738,$F345)="","",INDEX(選手一覧!$D$7:$D$2738,$F345))</f>
        <v>0.0106128472222222</v>
      </c>
      <c r="H345" s="12" t="n">
        <f aca="false">IF(INDEX(選手一覧!$E$7:$E$2738,$F345)="","",INDEX(選手一覧!$E$7:$E$2738,$F345))</f>
        <v>482</v>
      </c>
      <c r="I345" s="11" t="n">
        <f aca="false">IF(INDEX(選手一覧!$F$7:$F$2738,$F345)="","",INDEX(選手一覧!$F$7:$F$2738,$F345))</f>
        <v>0.00723171296296296</v>
      </c>
      <c r="J345" s="12" t="n">
        <f aca="false">IF(INDEX(選手一覧!$G$7:$G$2738,$F345)="","",INDEX(選手一覧!$G$7:$G$2738,$F345))</f>
        <v>576</v>
      </c>
    </row>
    <row r="346" customFormat="false" ht="15" hidden="false" customHeight="false" outlineLevel="0" collapsed="false">
      <c r="A346" s="12" t="n">
        <v>342</v>
      </c>
      <c r="B346" s="10" t="s">
        <v>172</v>
      </c>
      <c r="C346" s="10" t="s">
        <v>173</v>
      </c>
      <c r="D346" s="11" t="n">
        <v>0.00281458333333333</v>
      </c>
      <c r="E346" s="18" t="n">
        <f aca="false">ROUND((D346-$D$5)*86400,2)</f>
        <v>18.15</v>
      </c>
      <c r="F346" s="12" t="n">
        <v>86</v>
      </c>
      <c r="G346" s="11" t="n">
        <f aca="false">IF(INDEX(選手一覧!$D$7:$D$2738,$F346)="","",INDEX(選手一覧!$D$7:$D$2738,$F346))</f>
        <v>0.0104847222222222</v>
      </c>
      <c r="H346" s="12" t="n">
        <f aca="false">IF(INDEX(選手一覧!$E$7:$E$2738,$F346)="","",INDEX(選手一覧!$E$7:$E$2738,$F346))</f>
        <v>328</v>
      </c>
      <c r="I346" s="11" t="n">
        <f aca="false">IF(INDEX(選手一覧!$F$7:$F$2738,$F346)="","",INDEX(選手一覧!$F$7:$F$2738,$F346))</f>
        <v>0.00649502314814815</v>
      </c>
      <c r="J346" s="12" t="n">
        <f aca="false">IF(INDEX(選手一覧!$G$7:$G$2738,$F346)="","",INDEX(選手一覧!$G$7:$G$2738,$F346))</f>
        <v>34</v>
      </c>
    </row>
    <row r="347" customFormat="false" ht="15" hidden="false" customHeight="false" outlineLevel="0" collapsed="false">
      <c r="A347" s="12" t="n">
        <v>343</v>
      </c>
      <c r="B347" s="10" t="s">
        <v>1164</v>
      </c>
      <c r="C347" s="10" t="s">
        <v>120</v>
      </c>
      <c r="D347" s="11" t="n">
        <v>0.00281493055555556</v>
      </c>
      <c r="E347" s="18" t="n">
        <f aca="false">ROUND((D347-$D$5)*86400,2)</f>
        <v>18.18</v>
      </c>
      <c r="F347" s="12" t="n">
        <v>789</v>
      </c>
      <c r="G347" s="11" t="str">
        <f aca="false">IF(INDEX(選手一覧!$D$7:$D$2738,$F347)="","",INDEX(選手一覧!$D$7:$D$2738,$F347))</f>
        <v/>
      </c>
      <c r="H347" s="12" t="str">
        <f aca="false">IF(INDEX(選手一覧!$E$7:$E$2738,$F347)="","",INDEX(選手一覧!$E$7:$E$2738,$F347))</f>
        <v/>
      </c>
      <c r="I347" s="11" t="n">
        <f aca="false">IF(INDEX(選手一覧!$F$7:$F$2738,$F347)="","",INDEX(選手一覧!$F$7:$F$2738,$F347))</f>
        <v>0.00711736111111111</v>
      </c>
      <c r="J347" s="12" t="n">
        <f aca="false">IF(INDEX(選手一覧!$G$7:$G$2738,$F347)="","",INDEX(選手一覧!$G$7:$G$2738,$F347))</f>
        <v>463</v>
      </c>
    </row>
    <row r="348" customFormat="false" ht="15" hidden="false" customHeight="false" outlineLevel="0" collapsed="false">
      <c r="A348" s="12" t="n">
        <v>344</v>
      </c>
      <c r="B348" s="10" t="s">
        <v>1168</v>
      </c>
      <c r="C348" s="10" t="s">
        <v>208</v>
      </c>
      <c r="D348" s="11" t="n">
        <v>0.00281574074074074</v>
      </c>
      <c r="E348" s="18" t="n">
        <f aca="false">ROUND((D348-$D$5)*86400,2)</f>
        <v>18.25</v>
      </c>
      <c r="F348" s="12" t="n">
        <v>792</v>
      </c>
      <c r="G348" s="11" t="n">
        <f aca="false">IF(INDEX(選手一覧!$D$7:$D$2738,$F348)="","",INDEX(選手一覧!$D$7:$D$2738,$F348))</f>
        <v>0.0105350694444444</v>
      </c>
      <c r="H348" s="12" t="n">
        <f aca="false">IF(INDEX(選手一覧!$E$7:$E$2738,$F348)="","",INDEX(選手一覧!$E$7:$E$2738,$F348))</f>
        <v>377</v>
      </c>
      <c r="I348" s="11" t="str">
        <f aca="false">IF(INDEX(選手一覧!$F$7:$F$2738,$F348)="","",INDEX(選手一覧!$F$7:$F$2738,$F348))</f>
        <v/>
      </c>
      <c r="J348" s="12" t="str">
        <f aca="false">IF(INDEX(選手一覧!$G$7:$G$2738,$F348)="","",INDEX(選手一覧!$G$7:$G$2738,$F348))</f>
        <v/>
      </c>
    </row>
    <row r="349" customFormat="false" ht="15" hidden="false" customHeight="false" outlineLevel="0" collapsed="false">
      <c r="A349" s="12" t="n">
        <v>345</v>
      </c>
      <c r="B349" s="10" t="s">
        <v>1173</v>
      </c>
      <c r="C349" s="10" t="s">
        <v>1174</v>
      </c>
      <c r="D349" s="11" t="n">
        <v>0.00281631944444445</v>
      </c>
      <c r="E349" s="18" t="n">
        <f aca="false">ROUND((D349-$D$5)*86400,2)</f>
        <v>18.3</v>
      </c>
      <c r="F349" s="12" t="n">
        <v>796</v>
      </c>
      <c r="G349" s="11" t="str">
        <f aca="false">IF(INDEX(選手一覧!$D$7:$D$2738,$F349)="","",INDEX(選手一覧!$D$7:$D$2738,$F349))</f>
        <v/>
      </c>
      <c r="H349" s="12" t="str">
        <f aca="false">IF(INDEX(選手一覧!$E$7:$E$2738,$F349)="","",INDEX(選手一覧!$E$7:$E$2738,$F349))</f>
        <v/>
      </c>
      <c r="I349" s="11" t="str">
        <f aca="false">IF(INDEX(選手一覧!$F$7:$F$2738,$F349)="","",INDEX(選手一覧!$F$7:$F$2738,$F349))</f>
        <v/>
      </c>
      <c r="J349" s="12" t="str">
        <f aca="false">IF(INDEX(選手一覧!$G$7:$G$2738,$F349)="","",INDEX(選手一覧!$G$7:$G$2738,$F349))</f>
        <v/>
      </c>
    </row>
    <row r="350" customFormat="false" ht="15" hidden="false" customHeight="false" outlineLevel="0" collapsed="false">
      <c r="A350" s="12" t="n">
        <v>346</v>
      </c>
      <c r="B350" s="10" t="s">
        <v>438</v>
      </c>
      <c r="C350" s="10" t="s">
        <v>237</v>
      </c>
      <c r="D350" s="11" t="n">
        <v>0.00281643518518519</v>
      </c>
      <c r="E350" s="18" t="n">
        <f aca="false">ROUND((D350-$D$5)*86400,2)</f>
        <v>18.31</v>
      </c>
      <c r="F350" s="12" t="n">
        <v>269</v>
      </c>
      <c r="G350" s="11" t="n">
        <f aca="false">IF(INDEX(選手一覧!$D$7:$D$2738,$F350)="","",INDEX(選手一覧!$D$7:$D$2738,$F350))</f>
        <v>0.0102291666666667</v>
      </c>
      <c r="H350" s="12" t="n">
        <f aca="false">IF(INDEX(選手一覧!$E$7:$E$2738,$F350)="","",INDEX(選手一覧!$E$7:$E$2738,$F350))</f>
        <v>111</v>
      </c>
      <c r="I350" s="11" t="str">
        <f aca="false">IF(INDEX(選手一覧!$F$7:$F$2738,$F350)="","",INDEX(選手一覧!$F$7:$F$2738,$F350))</f>
        <v/>
      </c>
      <c r="J350" s="12" t="str">
        <f aca="false">IF(INDEX(選手一覧!$G$7:$G$2738,$F350)="","",INDEX(選手一覧!$G$7:$G$2738,$F350))</f>
        <v/>
      </c>
    </row>
    <row r="351" customFormat="false" ht="15" hidden="false" customHeight="false" outlineLevel="0" collapsed="false">
      <c r="A351" s="12" t="n">
        <v>347</v>
      </c>
      <c r="B351" s="10" t="s">
        <v>595</v>
      </c>
      <c r="C351" s="10" t="s">
        <v>596</v>
      </c>
      <c r="D351" s="11" t="n">
        <v>0.00281643518518519</v>
      </c>
      <c r="E351" s="18" t="n">
        <f aca="false">ROUND((D351-$D$5)*86400,2)</f>
        <v>18.31</v>
      </c>
      <c r="F351" s="12" t="n">
        <v>376</v>
      </c>
      <c r="G351" s="11" t="str">
        <f aca="false">IF(INDEX(選手一覧!$D$7:$D$2738,$F351)="","",INDEX(選手一覧!$D$7:$D$2738,$F351))</f>
        <v/>
      </c>
      <c r="H351" s="12" t="str">
        <f aca="false">IF(INDEX(選手一覧!$E$7:$E$2738,$F351)="","",INDEX(選手一覧!$E$7:$E$2738,$F351))</f>
        <v/>
      </c>
      <c r="I351" s="11" t="n">
        <f aca="false">IF(INDEX(選手一覧!$F$7:$F$2738,$F351)="","",INDEX(選手一覧!$F$7:$F$2738,$F351))</f>
        <v>0.00678368055555556</v>
      </c>
      <c r="J351" s="12" t="n">
        <f aca="false">IF(INDEX(選手一覧!$G$7:$G$2738,$F351)="","",INDEX(選手一覧!$G$7:$G$2738,$F351))</f>
        <v>159</v>
      </c>
    </row>
    <row r="352" customFormat="false" ht="15" hidden="false" customHeight="false" outlineLevel="0" collapsed="false">
      <c r="A352" s="12" t="n">
        <v>348</v>
      </c>
      <c r="B352" s="10" t="s">
        <v>1181</v>
      </c>
      <c r="C352" s="10" t="s">
        <v>29</v>
      </c>
      <c r="D352" s="11" t="n">
        <v>0.00281655092592593</v>
      </c>
      <c r="E352" s="18" t="n">
        <f aca="false">ROUND((D352-$D$5)*86400,2)</f>
        <v>18.32</v>
      </c>
      <c r="F352" s="12" t="n">
        <v>801</v>
      </c>
      <c r="G352" s="11" t="n">
        <f aca="false">IF(INDEX(選手一覧!$D$7:$D$2738,$F352)="","",INDEX(選手一覧!$D$7:$D$2738,$F352))</f>
        <v>0.0106325231481482</v>
      </c>
      <c r="H352" s="12" t="n">
        <f aca="false">IF(INDEX(選手一覧!$E$7:$E$2738,$F352)="","",INDEX(選手一覧!$E$7:$E$2738,$F352))</f>
        <v>506</v>
      </c>
      <c r="I352" s="11" t="str">
        <f aca="false">IF(INDEX(選手一覧!$F$7:$F$2738,$F352)="","",INDEX(選手一覧!$F$7:$F$2738,$F352))</f>
        <v/>
      </c>
      <c r="J352" s="12" t="str">
        <f aca="false">IF(INDEX(選手一覧!$G$7:$G$2738,$F352)="","",INDEX(選手一覧!$G$7:$G$2738,$F352))</f>
        <v/>
      </c>
    </row>
    <row r="353" customFormat="false" ht="15" hidden="false" customHeight="false" outlineLevel="0" collapsed="false">
      <c r="A353" s="12" t="n">
        <v>349</v>
      </c>
      <c r="B353" s="10" t="s">
        <v>1187</v>
      </c>
      <c r="C353" s="10" t="s">
        <v>1188</v>
      </c>
      <c r="D353" s="11" t="n">
        <v>0.00281689814814815</v>
      </c>
      <c r="E353" s="18" t="n">
        <f aca="false">ROUND((D353-$D$5)*86400,2)</f>
        <v>18.35</v>
      </c>
      <c r="F353" s="12" t="n">
        <v>805</v>
      </c>
      <c r="G353" s="11" t="str">
        <f aca="false">IF(INDEX(選手一覧!$D$7:$D$2738,$F353)="","",INDEX(選手一覧!$D$7:$D$2738,$F353))</f>
        <v/>
      </c>
      <c r="H353" s="12" t="str">
        <f aca="false">IF(INDEX(選手一覧!$E$7:$E$2738,$F353)="","",INDEX(選手一覧!$E$7:$E$2738,$F353))</f>
        <v/>
      </c>
      <c r="I353" s="11" t="str">
        <f aca="false">IF(INDEX(選手一覧!$F$7:$F$2738,$F353)="","",INDEX(選手一覧!$F$7:$F$2738,$F353))</f>
        <v/>
      </c>
      <c r="J353" s="12" t="str">
        <f aca="false">IF(INDEX(選手一覧!$G$7:$G$2738,$F353)="","",INDEX(選手一覧!$G$7:$G$2738,$F353))</f>
        <v/>
      </c>
    </row>
    <row r="354" customFormat="false" ht="15" hidden="false" customHeight="false" outlineLevel="0" collapsed="false">
      <c r="A354" s="12" t="n">
        <v>350</v>
      </c>
      <c r="B354" s="10" t="s">
        <v>1192</v>
      </c>
      <c r="C354" s="10" t="s">
        <v>181</v>
      </c>
      <c r="D354" s="11" t="n">
        <v>0.00281689814814815</v>
      </c>
      <c r="E354" s="18" t="n">
        <f aca="false">ROUND((D354-$D$5)*86400,2)</f>
        <v>18.35</v>
      </c>
      <c r="F354" s="12" t="n">
        <v>808</v>
      </c>
      <c r="G354" s="11" t="str">
        <f aca="false">IF(INDEX(選手一覧!$D$7:$D$2738,$F354)="","",INDEX(選手一覧!$D$7:$D$2738,$F354))</f>
        <v/>
      </c>
      <c r="H354" s="12" t="str">
        <f aca="false">IF(INDEX(選手一覧!$E$7:$E$2738,$F354)="","",INDEX(選手一覧!$E$7:$E$2738,$F354))</f>
        <v/>
      </c>
      <c r="I354" s="11" t="str">
        <f aca="false">IF(INDEX(選手一覧!$F$7:$F$2738,$F354)="","",INDEX(選手一覧!$F$7:$F$2738,$F354))</f>
        <v/>
      </c>
      <c r="J354" s="12" t="str">
        <f aca="false">IF(INDEX(選手一覧!$G$7:$G$2738,$F354)="","",INDEX(選手一覧!$G$7:$G$2738,$F354))</f>
        <v/>
      </c>
    </row>
    <row r="355" customFormat="false" ht="15" hidden="false" customHeight="false" outlineLevel="0" collapsed="false">
      <c r="A355" s="12" t="n">
        <v>351</v>
      </c>
      <c r="B355" s="10" t="s">
        <v>1167</v>
      </c>
      <c r="C355" s="10" t="s">
        <v>29</v>
      </c>
      <c r="D355" s="11" t="n">
        <v>0.00281712962962963</v>
      </c>
      <c r="E355" s="18" t="n">
        <f aca="false">ROUND((D355-$D$5)*86400,2)</f>
        <v>18.37</v>
      </c>
      <c r="F355" s="12" t="n">
        <v>791</v>
      </c>
      <c r="G355" s="11" t="n">
        <f aca="false">IF(INDEX(選手一覧!$D$7:$D$2738,$F355)="","",INDEX(選手一覧!$D$7:$D$2738,$F355))</f>
        <v>0.0105041666666667</v>
      </c>
      <c r="H355" s="12" t="n">
        <f aca="false">IF(INDEX(選手一覧!$E$7:$E$2738,$F355)="","",INDEX(選手一覧!$E$7:$E$2738,$F355))</f>
        <v>344</v>
      </c>
      <c r="I355" s="11" t="str">
        <f aca="false">IF(INDEX(選手一覧!$F$7:$F$2738,$F355)="","",INDEX(選手一覧!$F$7:$F$2738,$F355))</f>
        <v/>
      </c>
      <c r="J355" s="12" t="str">
        <f aca="false">IF(INDEX(選手一覧!$G$7:$G$2738,$F355)="","",INDEX(選手一覧!$G$7:$G$2738,$F355))</f>
        <v/>
      </c>
    </row>
    <row r="356" customFormat="false" ht="15" hidden="false" customHeight="false" outlineLevel="0" collapsed="false">
      <c r="A356" s="12" t="n">
        <v>352</v>
      </c>
      <c r="B356" s="10" t="s">
        <v>1196</v>
      </c>
      <c r="C356" s="10" t="s">
        <v>158</v>
      </c>
      <c r="D356" s="11" t="n">
        <v>0.00281759259259259</v>
      </c>
      <c r="E356" s="18" t="n">
        <f aca="false">ROUND((D356-$D$5)*86400,2)</f>
        <v>18.41</v>
      </c>
      <c r="F356" s="12" t="n">
        <v>811</v>
      </c>
      <c r="G356" s="11" t="str">
        <f aca="false">IF(INDEX(選手一覧!$D$7:$D$2738,$F356)="","",INDEX(選手一覧!$D$7:$D$2738,$F356))</f>
        <v/>
      </c>
      <c r="H356" s="12" t="str">
        <f aca="false">IF(INDEX(選手一覧!$E$7:$E$2738,$F356)="","",INDEX(選手一覧!$E$7:$E$2738,$F356))</f>
        <v/>
      </c>
      <c r="I356" s="11" t="str">
        <f aca="false">IF(INDEX(選手一覧!$F$7:$F$2738,$F356)="","",INDEX(選手一覧!$F$7:$F$2738,$F356))</f>
        <v/>
      </c>
      <c r="J356" s="12" t="str">
        <f aca="false">IF(INDEX(選手一覧!$G$7:$G$2738,$F356)="","",INDEX(選手一覧!$G$7:$G$2738,$F356))</f>
        <v/>
      </c>
    </row>
    <row r="357" customFormat="false" ht="15" hidden="false" customHeight="false" outlineLevel="0" collapsed="false">
      <c r="A357" s="12" t="n">
        <v>353</v>
      </c>
      <c r="B357" s="10" t="s">
        <v>1197</v>
      </c>
      <c r="C357" s="10" t="s">
        <v>39</v>
      </c>
      <c r="D357" s="11" t="n">
        <v>0.00281759259259259</v>
      </c>
      <c r="E357" s="18" t="n">
        <f aca="false">ROUND((D357-$D$5)*86400,2)</f>
        <v>18.41</v>
      </c>
      <c r="F357" s="12" t="n">
        <v>812</v>
      </c>
      <c r="G357" s="11" t="n">
        <f aca="false">IF(INDEX(選手一覧!$D$7:$D$2738,$F357)="","",INDEX(選手一覧!$D$7:$D$2738,$F357))</f>
        <v>0.0109229166666667</v>
      </c>
      <c r="H357" s="12" t="n">
        <f aca="false">IF(INDEX(選手一覧!$E$7:$E$2738,$F357)="","",INDEX(選手一覧!$E$7:$E$2738,$F357))</f>
        <v>955</v>
      </c>
      <c r="I357" s="11" t="n">
        <f aca="false">IF(INDEX(選手一覧!$F$7:$F$2738,$F357)="","",INDEX(選手一覧!$F$7:$F$2738,$F357))</f>
        <v>0.00720891203703704</v>
      </c>
      <c r="J357" s="12" t="n">
        <f aca="false">IF(INDEX(選手一覧!$G$7:$G$2738,$F357)="","",INDEX(選手一覧!$G$7:$G$2738,$F357))</f>
        <v>545</v>
      </c>
    </row>
    <row r="358" customFormat="false" ht="15" hidden="false" customHeight="false" outlineLevel="0" collapsed="false">
      <c r="A358" s="12" t="n">
        <v>354</v>
      </c>
      <c r="B358" s="10" t="s">
        <v>1200</v>
      </c>
      <c r="C358" s="10" t="s">
        <v>465</v>
      </c>
      <c r="D358" s="11" t="n">
        <v>0.00281782407407407</v>
      </c>
      <c r="E358" s="18" t="n">
        <f aca="false">ROUND((D358-$D$5)*86400,2)</f>
        <v>18.43</v>
      </c>
      <c r="F358" s="12" t="n">
        <v>814</v>
      </c>
      <c r="G358" s="11" t="n">
        <f aca="false">IF(INDEX(選手一覧!$D$7:$D$2738,$F358)="","",INDEX(選手一覧!$D$7:$D$2738,$F358))</f>
        <v>0.0105849537037037</v>
      </c>
      <c r="H358" s="12" t="n">
        <f aca="false">IF(INDEX(選手一覧!$E$7:$E$2738,$F358)="","",INDEX(選手一覧!$E$7:$E$2738,$F358))</f>
        <v>444</v>
      </c>
      <c r="I358" s="11" t="str">
        <f aca="false">IF(INDEX(選手一覧!$F$7:$F$2738,$F358)="","",INDEX(選手一覧!$F$7:$F$2738,$F358))</f>
        <v/>
      </c>
      <c r="J358" s="12" t="str">
        <f aca="false">IF(INDEX(選手一覧!$G$7:$G$2738,$F358)="","",INDEX(選手一覧!$G$7:$G$2738,$F358))</f>
        <v/>
      </c>
    </row>
    <row r="359" customFormat="false" ht="15" hidden="false" customHeight="false" outlineLevel="0" collapsed="false">
      <c r="A359" s="12" t="n">
        <v>355</v>
      </c>
      <c r="B359" s="10" t="s">
        <v>372</v>
      </c>
      <c r="C359" s="10" t="s">
        <v>350</v>
      </c>
      <c r="D359" s="11" t="n">
        <v>0.0028181712962963</v>
      </c>
      <c r="E359" s="18" t="n">
        <f aca="false">ROUND((D359-$D$5)*86400,2)</f>
        <v>18.46</v>
      </c>
      <c r="F359" s="12" t="n">
        <v>222</v>
      </c>
      <c r="G359" s="11" t="n">
        <f aca="false">IF(INDEX(選手一覧!$D$7:$D$2738,$F359)="","",INDEX(選手一覧!$D$7:$D$2738,$F359))</f>
        <v>0.0101917824074074</v>
      </c>
      <c r="H359" s="12" t="n">
        <f aca="false">IF(INDEX(選手一覧!$E$7:$E$2738,$F359)="","",INDEX(選手一覧!$E$7:$E$2738,$F359))</f>
        <v>92</v>
      </c>
      <c r="I359" s="11" t="str">
        <f aca="false">IF(INDEX(選手一覧!$F$7:$F$2738,$F359)="","",INDEX(選手一覧!$F$7:$F$2738,$F359))</f>
        <v/>
      </c>
      <c r="J359" s="12" t="str">
        <f aca="false">IF(INDEX(選手一覧!$G$7:$G$2738,$F359)="","",INDEX(選手一覧!$G$7:$G$2738,$F359))</f>
        <v/>
      </c>
    </row>
    <row r="360" customFormat="false" ht="15" hidden="false" customHeight="false" outlineLevel="0" collapsed="false">
      <c r="A360" s="12" t="n">
        <v>356</v>
      </c>
      <c r="B360" s="10" t="s">
        <v>1204</v>
      </c>
      <c r="C360" s="10" t="s">
        <v>1205</v>
      </c>
      <c r="D360" s="11" t="n">
        <v>0.00281840277777778</v>
      </c>
      <c r="E360" s="18" t="n">
        <f aca="false">ROUND((D360-$D$5)*86400,2)</f>
        <v>18.48</v>
      </c>
      <c r="F360" s="12" t="n">
        <v>817</v>
      </c>
      <c r="G360" s="11" t="str">
        <f aca="false">IF(INDEX(選手一覧!$D$7:$D$2738,$F360)="","",INDEX(選手一覧!$D$7:$D$2738,$F360))</f>
        <v/>
      </c>
      <c r="H360" s="12" t="str">
        <f aca="false">IF(INDEX(選手一覧!$E$7:$E$2738,$F360)="","",INDEX(選手一覧!$E$7:$E$2738,$F360))</f>
        <v/>
      </c>
      <c r="I360" s="11" t="str">
        <f aca="false">IF(INDEX(選手一覧!$F$7:$F$2738,$F360)="","",INDEX(選手一覧!$F$7:$F$2738,$F360))</f>
        <v/>
      </c>
      <c r="J360" s="12" t="str">
        <f aca="false">IF(INDEX(選手一覧!$G$7:$G$2738,$F360)="","",INDEX(選手一覧!$G$7:$G$2738,$F360))</f>
        <v/>
      </c>
    </row>
    <row r="361" customFormat="false" ht="15" hidden="false" customHeight="false" outlineLevel="0" collapsed="false">
      <c r="A361" s="12" t="n">
        <v>357</v>
      </c>
      <c r="B361" s="10" t="s">
        <v>1206</v>
      </c>
      <c r="C361" s="10" t="s">
        <v>87</v>
      </c>
      <c r="D361" s="11" t="n">
        <v>0.00281875</v>
      </c>
      <c r="E361" s="18" t="n">
        <f aca="false">ROUND((D361-$D$5)*86400,2)</f>
        <v>18.51</v>
      </c>
      <c r="F361" s="12" t="n">
        <v>818</v>
      </c>
      <c r="G361" s="11" t="n">
        <f aca="false">IF(INDEX(選手一覧!$D$7:$D$2738,$F361)="","",INDEX(選手一覧!$D$7:$D$2738,$F361))</f>
        <v>0.0106516203703704</v>
      </c>
      <c r="H361" s="12" t="n">
        <f aca="false">IF(INDEX(選手一覧!$E$7:$E$2738,$F361)="","",INDEX(選手一覧!$E$7:$E$2738,$F361))</f>
        <v>527</v>
      </c>
      <c r="I361" s="11" t="str">
        <f aca="false">IF(INDEX(選手一覧!$F$7:$F$2738,$F361)="","",INDEX(選手一覧!$F$7:$F$2738,$F361))</f>
        <v/>
      </c>
      <c r="J361" s="12" t="str">
        <f aca="false">IF(INDEX(選手一覧!$G$7:$G$2738,$F361)="","",INDEX(選手一覧!$G$7:$G$2738,$F361))</f>
        <v/>
      </c>
    </row>
    <row r="362" customFormat="false" ht="15" hidden="false" customHeight="false" outlineLevel="0" collapsed="false">
      <c r="A362" s="12" t="n">
        <v>358</v>
      </c>
      <c r="B362" s="10" t="s">
        <v>1209</v>
      </c>
      <c r="C362" s="10" t="s">
        <v>1210</v>
      </c>
      <c r="D362" s="11" t="n">
        <v>0.00281886574074074</v>
      </c>
      <c r="E362" s="18" t="n">
        <f aca="false">ROUND((D362-$D$5)*86400,2)</f>
        <v>18.52</v>
      </c>
      <c r="F362" s="12" t="n">
        <v>820</v>
      </c>
      <c r="G362" s="11" t="n">
        <f aca="false">IF(INDEX(選手一覧!$D$7:$D$2738,$F362)="","",INDEX(選手一覧!$D$7:$D$2738,$F362))</f>
        <v>0.0109570601851852</v>
      </c>
      <c r="H362" s="12" t="n">
        <f aca="false">IF(INDEX(選手一覧!$E$7:$E$2738,$F362)="","",INDEX(選手一覧!$E$7:$E$2738,$F362))</f>
        <v>1017</v>
      </c>
      <c r="I362" s="11" t="str">
        <f aca="false">IF(INDEX(選手一覧!$F$7:$F$2738,$F362)="","",INDEX(選手一覧!$F$7:$F$2738,$F362))</f>
        <v/>
      </c>
      <c r="J362" s="12" t="str">
        <f aca="false">IF(INDEX(選手一覧!$G$7:$G$2738,$F362)="","",INDEX(選手一覧!$G$7:$G$2738,$F362))</f>
        <v/>
      </c>
    </row>
    <row r="363" customFormat="false" ht="15" hidden="false" customHeight="false" outlineLevel="0" collapsed="false">
      <c r="A363" s="12" t="n">
        <v>359</v>
      </c>
      <c r="B363" s="10" t="s">
        <v>530</v>
      </c>
      <c r="C363" s="10" t="s">
        <v>257</v>
      </c>
      <c r="D363" s="11" t="n">
        <v>0.00281898148148148</v>
      </c>
      <c r="E363" s="18" t="n">
        <f aca="false">ROUND((D363-$D$5)*86400,2)</f>
        <v>18.53</v>
      </c>
      <c r="F363" s="12" t="n">
        <v>330</v>
      </c>
      <c r="G363" s="11" t="n">
        <f aca="false">IF(INDEX(選手一覧!$D$7:$D$2738,$F363)="","",INDEX(選手一覧!$D$7:$D$2738,$F363))</f>
        <v>0.0105037037037037</v>
      </c>
      <c r="H363" s="12" t="n">
        <f aca="false">IF(INDEX(選手一覧!$E$7:$E$2738,$F363)="","",INDEX(選手一覧!$E$7:$E$2738,$F363))</f>
        <v>343</v>
      </c>
      <c r="I363" s="11" t="n">
        <f aca="false">IF(INDEX(選手一覧!$F$7:$F$2738,$F363)="","",INDEX(選手一覧!$F$7:$F$2738,$F363))</f>
        <v>0.00676122685185185</v>
      </c>
      <c r="J363" s="12" t="n">
        <f aca="false">IF(INDEX(選手一覧!$G$7:$G$2738,$F363)="","",INDEX(選手一覧!$G$7:$G$2738,$F363))</f>
        <v>137</v>
      </c>
    </row>
    <row r="364" customFormat="false" ht="15" hidden="false" customHeight="false" outlineLevel="0" collapsed="false">
      <c r="A364" s="12" t="n">
        <v>360</v>
      </c>
      <c r="B364" s="10" t="s">
        <v>799</v>
      </c>
      <c r="C364" s="10" t="s">
        <v>350</v>
      </c>
      <c r="D364" s="11" t="n">
        <v>0.00281921296296296</v>
      </c>
      <c r="E364" s="18" t="n">
        <f aca="false">ROUND((D364-$D$5)*86400,2)</f>
        <v>18.55</v>
      </c>
      <c r="F364" s="12" t="n">
        <v>521</v>
      </c>
      <c r="G364" s="11" t="n">
        <f aca="false">IF(INDEX(選手一覧!$D$7:$D$2738,$F364)="","",INDEX(選手一覧!$D$7:$D$2738,$F364))</f>
        <v>0.0103614583333333</v>
      </c>
      <c r="H364" s="12" t="n">
        <f aca="false">IF(INDEX(選手一覧!$E$7:$E$2738,$F364)="","",INDEX(選手一覧!$E$7:$E$2738,$F364))</f>
        <v>219</v>
      </c>
      <c r="I364" s="11" t="str">
        <f aca="false">IF(INDEX(選手一覧!$F$7:$F$2738,$F364)="","",INDEX(選手一覧!$F$7:$F$2738,$F364))</f>
        <v/>
      </c>
      <c r="J364" s="12" t="str">
        <f aca="false">IF(INDEX(選手一覧!$G$7:$G$2738,$F364)="","",INDEX(選手一覧!$G$7:$G$2738,$F364))</f>
        <v/>
      </c>
    </row>
    <row r="365" customFormat="false" ht="15" hidden="false" customHeight="false" outlineLevel="0" collapsed="false">
      <c r="A365" s="12" t="n">
        <v>361</v>
      </c>
      <c r="B365" s="10" t="s">
        <v>1215</v>
      </c>
      <c r="C365" s="10" t="s">
        <v>1216</v>
      </c>
      <c r="D365" s="11" t="n">
        <v>0.00281956018518519</v>
      </c>
      <c r="E365" s="18" t="n">
        <f aca="false">ROUND((D365-$D$5)*86400,2)</f>
        <v>18.58</v>
      </c>
      <c r="F365" s="12" t="n">
        <v>824</v>
      </c>
      <c r="G365" s="11" t="n">
        <f aca="false">IF(INDEX(選手一覧!$D$7:$D$2738,$F365)="","",INDEX(選手一覧!$D$7:$D$2738,$F365))</f>
        <v>0.0110159722222222</v>
      </c>
      <c r="H365" s="12" t="n">
        <f aca="false">IF(INDEX(選手一覧!$E$7:$E$2738,$F365)="","",INDEX(選手一覧!$E$7:$E$2738,$F365))</f>
        <v>1119</v>
      </c>
      <c r="I365" s="11" t="str">
        <f aca="false">IF(INDEX(選手一覧!$F$7:$F$2738,$F365)="","",INDEX(選手一覧!$F$7:$F$2738,$F365))</f>
        <v/>
      </c>
      <c r="J365" s="12" t="str">
        <f aca="false">IF(INDEX(選手一覧!$G$7:$G$2738,$F365)="","",INDEX(選手一覧!$G$7:$G$2738,$F365))</f>
        <v/>
      </c>
    </row>
    <row r="366" customFormat="false" ht="15" hidden="false" customHeight="false" outlineLevel="0" collapsed="false">
      <c r="A366" s="12" t="n">
        <v>362</v>
      </c>
      <c r="B366" s="10" t="s">
        <v>451</v>
      </c>
      <c r="C366" s="10" t="s">
        <v>237</v>
      </c>
      <c r="D366" s="11" t="n">
        <v>0.00281990740740741</v>
      </c>
      <c r="E366" s="18" t="n">
        <f aca="false">ROUND((D366-$D$5)*86400,2)</f>
        <v>18.61</v>
      </c>
      <c r="F366" s="12" t="n">
        <v>278</v>
      </c>
      <c r="G366" s="11" t="n">
        <f aca="false">IF(INDEX(選手一覧!$D$7:$D$2738,$F366)="","",INDEX(選手一覧!$D$7:$D$2738,$F366))</f>
        <v>0.010559375</v>
      </c>
      <c r="H366" s="12" t="n">
        <f aca="false">IF(INDEX(選手一覧!$E$7:$E$2738,$F366)="","",INDEX(選手一覧!$E$7:$E$2738,$F366))</f>
        <v>408</v>
      </c>
      <c r="I366" s="11" t="n">
        <f aca="false">IF(INDEX(選手一覧!$F$7:$F$2738,$F366)="","",INDEX(選手一覧!$F$7:$F$2738,$F366))</f>
        <v>0.006721875</v>
      </c>
      <c r="J366" s="12" t="n">
        <f aca="false">IF(INDEX(選手一覧!$G$7:$G$2738,$F366)="","",INDEX(選手一覧!$G$7:$G$2738,$F366))</f>
        <v>115</v>
      </c>
    </row>
    <row r="367" customFormat="false" ht="15" hidden="false" customHeight="false" outlineLevel="0" collapsed="false">
      <c r="A367" s="12" t="n">
        <v>363</v>
      </c>
      <c r="B367" s="10" t="s">
        <v>1220</v>
      </c>
      <c r="C367" s="10" t="s">
        <v>445</v>
      </c>
      <c r="D367" s="11" t="n">
        <v>0.00282037037037037</v>
      </c>
      <c r="E367" s="18" t="n">
        <f aca="false">ROUND((D367-$D$5)*86400,2)</f>
        <v>18.65</v>
      </c>
      <c r="F367" s="12" t="n">
        <v>827</v>
      </c>
      <c r="G367" s="11" t="n">
        <f aca="false">IF(INDEX(選手一覧!$D$7:$D$2738,$F367)="","",INDEX(選手一覧!$D$7:$D$2738,$F367))</f>
        <v>0.0110284722222222</v>
      </c>
      <c r="H367" s="12" t="n">
        <f aca="false">IF(INDEX(選手一覧!$E$7:$E$2738,$F367)="","",INDEX(選手一覧!$E$7:$E$2738,$F367))</f>
        <v>1148</v>
      </c>
      <c r="I367" s="11" t="n">
        <f aca="false">IF(INDEX(選手一覧!$F$7:$F$2738,$F367)="","",INDEX(選手一覧!$F$7:$F$2738,$F367))</f>
        <v>0.00709537037037037</v>
      </c>
      <c r="J367" s="12" t="n">
        <f aca="false">IF(INDEX(選手一覧!$G$7:$G$2738,$F367)="","",INDEX(選手一覧!$G$7:$G$2738,$F367))</f>
        <v>443</v>
      </c>
    </row>
    <row r="368" customFormat="false" ht="15" hidden="false" customHeight="false" outlineLevel="0" collapsed="false">
      <c r="A368" s="12" t="n">
        <v>364</v>
      </c>
      <c r="B368" s="10" t="s">
        <v>491</v>
      </c>
      <c r="C368" s="10" t="s">
        <v>492</v>
      </c>
      <c r="D368" s="11" t="n">
        <v>0.00282048611111111</v>
      </c>
      <c r="E368" s="18" t="n">
        <f aca="false">ROUND((D368-$D$5)*86400,2)</f>
        <v>18.66</v>
      </c>
      <c r="F368" s="12" t="n">
        <v>305</v>
      </c>
      <c r="G368" s="11" t="n">
        <f aca="false">IF(INDEX(選手一覧!$D$7:$D$2738,$F368)="","",INDEX(選手一覧!$D$7:$D$2738,$F368))</f>
        <v>0.0106412037037037</v>
      </c>
      <c r="H368" s="12" t="n">
        <f aca="false">IF(INDEX(選手一覧!$E$7:$E$2738,$F368)="","",INDEX(選手一覧!$E$7:$E$2738,$F368))</f>
        <v>511</v>
      </c>
      <c r="I368" s="11" t="n">
        <f aca="false">IF(INDEX(選手一覧!$F$7:$F$2738,$F368)="","",INDEX(選手一覧!$F$7:$F$2738,$F368))</f>
        <v>0.00674803240740741</v>
      </c>
      <c r="J368" s="12" t="n">
        <f aca="false">IF(INDEX(選手一覧!$G$7:$G$2738,$F368)="","",INDEX(選手一覧!$G$7:$G$2738,$F368))</f>
        <v>126</v>
      </c>
    </row>
    <row r="369" customFormat="false" ht="15" hidden="false" customHeight="false" outlineLevel="0" collapsed="false">
      <c r="A369" s="12" t="n">
        <v>365</v>
      </c>
      <c r="B369" s="10" t="s">
        <v>351</v>
      </c>
      <c r="C369" s="10" t="s">
        <v>352</v>
      </c>
      <c r="D369" s="11" t="n">
        <v>0.00282071759259259</v>
      </c>
      <c r="E369" s="18" t="n">
        <f aca="false">ROUND((D369-$D$5)*86400,2)</f>
        <v>18.68</v>
      </c>
      <c r="F369" s="12" t="n">
        <v>206</v>
      </c>
      <c r="G369" s="11" t="n">
        <f aca="false">IF(INDEX(選手一覧!$D$7:$D$2738,$F369)="","",INDEX(選手一覧!$D$7:$D$2738,$F369))</f>
        <v>0.010646875</v>
      </c>
      <c r="H369" s="12" t="n">
        <f aca="false">IF(INDEX(選手一覧!$E$7:$E$2738,$F369)="","",INDEX(選手一覧!$E$7:$E$2738,$F369))</f>
        <v>519</v>
      </c>
      <c r="I369" s="11" t="n">
        <f aca="false">IF(INDEX(選手一覧!$F$7:$F$2738,$F369)="","",INDEX(選手一覧!$F$7:$F$2738,$F369))</f>
        <v>0.00665532407407407</v>
      </c>
      <c r="J369" s="12" t="n">
        <f aca="false">IF(INDEX(選手一覧!$G$7:$G$2738,$F369)="","",INDEX(選手一覧!$G$7:$G$2738,$F369))</f>
        <v>85</v>
      </c>
    </row>
    <row r="370" customFormat="false" ht="15" hidden="false" customHeight="false" outlineLevel="0" collapsed="false">
      <c r="A370" s="12" t="n">
        <v>366</v>
      </c>
      <c r="B370" s="10" t="s">
        <v>1228</v>
      </c>
      <c r="C370" s="10" t="s">
        <v>1229</v>
      </c>
      <c r="D370" s="11" t="n">
        <v>0.00282071759259259</v>
      </c>
      <c r="E370" s="18" t="n">
        <f aca="false">ROUND((D370-$D$5)*86400,2)</f>
        <v>18.68</v>
      </c>
      <c r="F370" s="12" t="n">
        <v>833</v>
      </c>
      <c r="G370" s="11" t="str">
        <f aca="false">IF(INDEX(選手一覧!$D$7:$D$2738,$F370)="","",INDEX(選手一覧!$D$7:$D$2738,$F370))</f>
        <v/>
      </c>
      <c r="H370" s="12" t="str">
        <f aca="false">IF(INDEX(選手一覧!$E$7:$E$2738,$F370)="","",INDEX(選手一覧!$E$7:$E$2738,$F370))</f>
        <v/>
      </c>
      <c r="I370" s="11" t="str">
        <f aca="false">IF(INDEX(選手一覧!$F$7:$F$2738,$F370)="","",INDEX(選手一覧!$F$7:$F$2738,$F370))</f>
        <v/>
      </c>
      <c r="J370" s="12" t="str">
        <f aca="false">IF(INDEX(選手一覧!$G$7:$G$2738,$F370)="","",INDEX(選手一覧!$G$7:$G$2738,$F370))</f>
        <v/>
      </c>
    </row>
    <row r="371" customFormat="false" ht="15" hidden="false" customHeight="false" outlineLevel="0" collapsed="false">
      <c r="A371" s="12" t="n">
        <v>367</v>
      </c>
      <c r="B371" s="10" t="s">
        <v>67</v>
      </c>
      <c r="C371" s="10" t="s">
        <v>29</v>
      </c>
      <c r="D371" s="11" t="n">
        <v>0.00282071759259259</v>
      </c>
      <c r="E371" s="18" t="n">
        <f aca="false">ROUND((D371-$D$5)*86400,2)</f>
        <v>18.68</v>
      </c>
      <c r="F371" s="12" t="n">
        <v>25</v>
      </c>
      <c r="G371" s="11" t="n">
        <f aca="false">IF(INDEX(選手一覧!$D$7:$D$2738,$F371)="","",INDEX(選手一覧!$D$7:$D$2738,$F371))</f>
        <v>0.00986527777777778</v>
      </c>
      <c r="H371" s="12" t="n">
        <f aca="false">IF(INDEX(選手一覧!$E$7:$E$2738,$F371)="","",INDEX(選手一覧!$E$7:$E$2738,$F371))</f>
        <v>10</v>
      </c>
      <c r="I371" s="11" t="str">
        <f aca="false">IF(INDEX(選手一覧!$F$7:$F$2738,$F371)="","",INDEX(選手一覧!$F$7:$F$2738,$F371))</f>
        <v/>
      </c>
      <c r="J371" s="12" t="str">
        <f aca="false">IF(INDEX(選手一覧!$G$7:$G$2738,$F371)="","",INDEX(選手一覧!$G$7:$G$2738,$F371))</f>
        <v/>
      </c>
    </row>
    <row r="372" customFormat="false" ht="15" hidden="false" customHeight="false" outlineLevel="0" collapsed="false">
      <c r="A372" s="12" t="n">
        <v>368</v>
      </c>
      <c r="B372" s="10" t="s">
        <v>466</v>
      </c>
      <c r="C372" s="10" t="s">
        <v>1309</v>
      </c>
      <c r="D372" s="11" t="n">
        <v>0.00282083333333333</v>
      </c>
      <c r="E372" s="18" t="n">
        <f aca="false">ROUND((D372-$D$5)*86400,2)</f>
        <v>18.69</v>
      </c>
      <c r="F372" s="12" t="n">
        <v>289</v>
      </c>
      <c r="G372" s="11" t="n">
        <f aca="false">IF(INDEX(選手一覧!$D$7:$D$2738,$F372)="","",INDEX(選手一覧!$D$7:$D$2738,$F372))</f>
        <v>0.0102386574074074</v>
      </c>
      <c r="H372" s="12" t="n">
        <f aca="false">IF(INDEX(選手一覧!$E$7:$E$2738,$F372)="","",INDEX(選手一覧!$E$7:$E$2738,$F372))</f>
        <v>119</v>
      </c>
      <c r="I372" s="11" t="str">
        <f aca="false">IF(INDEX(選手一覧!$F$7:$F$2738,$F372)="","",INDEX(選手一覧!$F$7:$F$2738,$F372))</f>
        <v/>
      </c>
      <c r="J372" s="12" t="str">
        <f aca="false">IF(INDEX(選手一覧!$G$7:$G$2738,$F372)="","",INDEX(選手一覧!$G$7:$G$2738,$F372))</f>
        <v/>
      </c>
    </row>
    <row r="373" customFormat="false" ht="15" hidden="false" customHeight="false" outlineLevel="0" collapsed="false">
      <c r="A373" s="12" t="n">
        <v>369</v>
      </c>
      <c r="B373" s="10" t="s">
        <v>113</v>
      </c>
      <c r="C373" s="10" t="s">
        <v>114</v>
      </c>
      <c r="D373" s="11" t="n">
        <v>0.00282106481481482</v>
      </c>
      <c r="E373" s="18" t="n">
        <f aca="false">ROUND((D373-$D$5)*86400,2)</f>
        <v>18.71</v>
      </c>
      <c r="F373" s="12" t="n">
        <v>52</v>
      </c>
      <c r="G373" s="11" t="n">
        <f aca="false">IF(INDEX(選手一覧!$D$7:$D$2738,$F373)="","",INDEX(選手一覧!$D$7:$D$2738,$F373))</f>
        <v>0.0104758101851852</v>
      </c>
      <c r="H373" s="12" t="n">
        <f aca="false">IF(INDEX(選手一覧!$E$7:$E$2738,$F373)="","",INDEX(選手一覧!$E$7:$E$2738,$F373))</f>
        <v>321</v>
      </c>
      <c r="I373" s="11" t="n">
        <f aca="false">IF(INDEX(選手一覧!$F$7:$F$2738,$F373)="","",INDEX(選手一覧!$F$7:$F$2738,$F373))</f>
        <v>0.0064306712962963</v>
      </c>
      <c r="J373" s="12" t="n">
        <f aca="false">IF(INDEX(選手一覧!$G$7:$G$2738,$F373)="","",INDEX(選手一覧!$G$7:$G$2738,$F373))</f>
        <v>21</v>
      </c>
    </row>
    <row r="374" customFormat="false" ht="15" hidden="false" customHeight="false" outlineLevel="0" collapsed="false">
      <c r="A374" s="12" t="n">
        <v>370</v>
      </c>
      <c r="B374" s="10" t="s">
        <v>568</v>
      </c>
      <c r="C374" s="10" t="s">
        <v>47</v>
      </c>
      <c r="D374" s="11" t="n">
        <v>0.00282118055555556</v>
      </c>
      <c r="E374" s="18" t="n">
        <f aca="false">ROUND((D374-$D$5)*86400,2)</f>
        <v>18.72</v>
      </c>
      <c r="F374" s="12" t="n">
        <v>356</v>
      </c>
      <c r="G374" s="11" t="n">
        <f aca="false">IF(INDEX(選手一覧!$D$7:$D$2738,$F374)="","",INDEX(選手一覧!$D$7:$D$2738,$F374))</f>
        <v>0.0107232638888889</v>
      </c>
      <c r="H374" s="12" t="n">
        <f aca="false">IF(INDEX(選手一覧!$E$7:$E$2738,$F374)="","",INDEX(選手一覧!$E$7:$E$2738,$F374))</f>
        <v>619</v>
      </c>
      <c r="I374" s="11" t="n">
        <f aca="false">IF(INDEX(選手一覧!$F$7:$F$2738,$F374)="","",INDEX(選手一覧!$F$7:$F$2738,$F374))</f>
        <v>0.00677303240740741</v>
      </c>
      <c r="J374" s="12" t="n">
        <f aca="false">IF(INDEX(選手一覧!$G$7:$G$2738,$F374)="","",INDEX(選手一覧!$G$7:$G$2738,$F374))</f>
        <v>150</v>
      </c>
    </row>
    <row r="375" customFormat="false" ht="15" hidden="false" customHeight="false" outlineLevel="0" collapsed="false">
      <c r="A375" s="12" t="n">
        <v>371</v>
      </c>
      <c r="B375" s="10" t="s">
        <v>1237</v>
      </c>
      <c r="C375" s="10" t="s">
        <v>523</v>
      </c>
      <c r="D375" s="11" t="n">
        <v>0.00282118055555556</v>
      </c>
      <c r="E375" s="18" t="n">
        <f aca="false">ROUND((D375-$D$5)*86400,2)</f>
        <v>18.72</v>
      </c>
      <c r="F375" s="12" t="n">
        <v>840</v>
      </c>
      <c r="G375" s="11" t="n">
        <f aca="false">IF(INDEX(選手一覧!$D$7:$D$2738,$F375)="","",INDEX(選手一覧!$D$7:$D$2738,$F375))</f>
        <v>0.0107315972222222</v>
      </c>
      <c r="H375" s="12" t="n">
        <f aca="false">IF(INDEX(選手一覧!$E$7:$E$2738,$F375)="","",INDEX(選手一覧!$E$7:$E$2738,$F375))</f>
        <v>634</v>
      </c>
      <c r="I375" s="11" t="str">
        <f aca="false">IF(INDEX(選手一覧!$F$7:$F$2738,$F375)="","",INDEX(選手一覧!$F$7:$F$2738,$F375))</f>
        <v/>
      </c>
      <c r="J375" s="12" t="str">
        <f aca="false">IF(INDEX(選手一覧!$G$7:$G$2738,$F375)="","",INDEX(選手一覧!$G$7:$G$2738,$F375))</f>
        <v/>
      </c>
    </row>
    <row r="376" customFormat="false" ht="15" hidden="false" customHeight="false" outlineLevel="0" collapsed="false">
      <c r="A376" s="12" t="n">
        <v>372</v>
      </c>
      <c r="B376" s="10" t="s">
        <v>760</v>
      </c>
      <c r="C376" s="10" t="s">
        <v>141</v>
      </c>
      <c r="D376" s="11" t="n">
        <v>0.00282152777777778</v>
      </c>
      <c r="E376" s="18" t="n">
        <f aca="false">ROUND((D376-$D$5)*86400,2)</f>
        <v>18.75</v>
      </c>
      <c r="F376" s="12" t="n">
        <v>490</v>
      </c>
      <c r="G376" s="11" t="n">
        <f aca="false">IF(INDEX(選手一覧!$D$7:$D$2738,$F376)="","",INDEX(選手一覧!$D$7:$D$2738,$F376))</f>
        <v>0.0103516203703704</v>
      </c>
      <c r="H376" s="12" t="n">
        <f aca="false">IF(INDEX(選手一覧!$E$7:$E$2738,$F376)="","",INDEX(選手一覧!$E$7:$E$2738,$F376))</f>
        <v>206</v>
      </c>
      <c r="I376" s="11" t="str">
        <f aca="false">IF(INDEX(選手一覧!$F$7:$F$2738,$F376)="","",INDEX(選手一覧!$F$7:$F$2738,$F376))</f>
        <v/>
      </c>
      <c r="J376" s="12" t="str">
        <f aca="false">IF(INDEX(選手一覧!$G$7:$G$2738,$F376)="","",INDEX(選手一覧!$G$7:$G$2738,$F376))</f>
        <v/>
      </c>
    </row>
    <row r="377" customFormat="false" ht="15" hidden="false" customHeight="false" outlineLevel="0" collapsed="false">
      <c r="A377" s="12" t="n">
        <v>373</v>
      </c>
      <c r="B377" s="10" t="s">
        <v>868</v>
      </c>
      <c r="C377" s="10" t="s">
        <v>166</v>
      </c>
      <c r="D377" s="11" t="n">
        <v>0.00282164351851852</v>
      </c>
      <c r="E377" s="18" t="n">
        <f aca="false">ROUND((D377-$D$5)*86400,2)</f>
        <v>18.76</v>
      </c>
      <c r="F377" s="12" t="n">
        <v>568</v>
      </c>
      <c r="G377" s="11" t="n">
        <f aca="false">IF(INDEX(選手一覧!$D$7:$D$2738,$F377)="","",INDEX(選手一覧!$D$7:$D$2738,$F377))</f>
        <v>0.0103777777777778</v>
      </c>
      <c r="H377" s="12" t="n">
        <f aca="false">IF(INDEX(選手一覧!$E$7:$E$2738,$F377)="","",INDEX(選手一覧!$E$7:$E$2738,$F377))</f>
        <v>239</v>
      </c>
      <c r="I377" s="11" t="str">
        <f aca="false">IF(INDEX(選手一覧!$F$7:$F$2738,$F377)="","",INDEX(選手一覧!$F$7:$F$2738,$F377))</f>
        <v/>
      </c>
      <c r="J377" s="12" t="str">
        <f aca="false">IF(INDEX(選手一覧!$G$7:$G$2738,$F377)="","",INDEX(選手一覧!$G$7:$G$2738,$F377))</f>
        <v/>
      </c>
    </row>
    <row r="378" customFormat="false" ht="15" hidden="false" customHeight="false" outlineLevel="0" collapsed="false">
      <c r="A378" s="12" t="n">
        <v>374</v>
      </c>
      <c r="B378" s="10" t="s">
        <v>1244</v>
      </c>
      <c r="C378" s="10" t="s">
        <v>947</v>
      </c>
      <c r="D378" s="11" t="n">
        <v>0.00282199074074074</v>
      </c>
      <c r="E378" s="18" t="n">
        <f aca="false">ROUND((D378-$D$5)*86400,2)</f>
        <v>18.79</v>
      </c>
      <c r="F378" s="12" t="n">
        <v>845</v>
      </c>
      <c r="G378" s="11" t="str">
        <f aca="false">IF(INDEX(選手一覧!$D$7:$D$2738,$F378)="","",INDEX(選手一覧!$D$7:$D$2738,$F378))</f>
        <v/>
      </c>
      <c r="H378" s="12" t="str">
        <f aca="false">IF(INDEX(選手一覧!$E$7:$E$2738,$F378)="","",INDEX(選手一覧!$E$7:$E$2738,$F378))</f>
        <v/>
      </c>
      <c r="I378" s="11" t="str">
        <f aca="false">IF(INDEX(選手一覧!$F$7:$F$2738,$F378)="","",INDEX(選手一覧!$F$7:$F$2738,$F378))</f>
        <v/>
      </c>
      <c r="J378" s="12" t="str">
        <f aca="false">IF(INDEX(選手一覧!$G$7:$G$2738,$F378)="","",INDEX(選手一覧!$G$7:$G$2738,$F378))</f>
        <v/>
      </c>
    </row>
    <row r="379" customFormat="false" ht="15" hidden="false" customHeight="false" outlineLevel="0" collapsed="false">
      <c r="A379" s="12" t="n">
        <v>375</v>
      </c>
      <c r="B379" s="10" t="s">
        <v>376</v>
      </c>
      <c r="C379" s="10" t="s">
        <v>377</v>
      </c>
      <c r="D379" s="11" t="n">
        <v>0.00282222222222222</v>
      </c>
      <c r="E379" s="18" t="n">
        <f aca="false">ROUND((D379-$D$5)*86400,2)</f>
        <v>18.81</v>
      </c>
      <c r="F379" s="12" t="n">
        <v>225</v>
      </c>
      <c r="G379" s="11" t="n">
        <f aca="false">IF(INDEX(選手一覧!$D$7:$D$2738,$F379)="","",INDEX(選手一覧!$D$7:$D$2738,$F379))</f>
        <v>0.0101918981481482</v>
      </c>
      <c r="H379" s="12" t="n">
        <f aca="false">IF(INDEX(選手一覧!$E$7:$E$2738,$F379)="","",INDEX(選手一覧!$E$7:$E$2738,$F379))</f>
        <v>93</v>
      </c>
      <c r="I379" s="11" t="str">
        <f aca="false">IF(INDEX(選手一覧!$F$7:$F$2738,$F379)="","",INDEX(選手一覧!$F$7:$F$2738,$F379))</f>
        <v/>
      </c>
      <c r="J379" s="12" t="str">
        <f aca="false">IF(INDEX(選手一覧!$G$7:$G$2738,$F379)="","",INDEX(選手一覧!$G$7:$G$2738,$F379))</f>
        <v/>
      </c>
    </row>
    <row r="380" customFormat="false" ht="15" hidden="false" customHeight="false" outlineLevel="0" collapsed="false">
      <c r="A380" s="12" t="n">
        <v>376</v>
      </c>
      <c r="B380" s="10" t="s">
        <v>1248</v>
      </c>
      <c r="C380" s="10" t="s">
        <v>754</v>
      </c>
      <c r="D380" s="11" t="n">
        <v>0.00282233796296296</v>
      </c>
      <c r="E380" s="18" t="n">
        <f aca="false">ROUND((D380-$D$5)*86400,2)</f>
        <v>18.82</v>
      </c>
      <c r="F380" s="12" t="n">
        <v>848</v>
      </c>
      <c r="G380" s="11" t="n">
        <f aca="false">IF(INDEX(選手一覧!$D$7:$D$2738,$F380)="","",INDEX(選手一覧!$D$7:$D$2738,$F380))</f>
        <v>0.010765162037037</v>
      </c>
      <c r="H380" s="12" t="n">
        <f aca="false">IF(INDEX(選手一覧!$E$7:$E$2738,$F380)="","",INDEX(選手一覧!$E$7:$E$2738,$F380))</f>
        <v>691</v>
      </c>
      <c r="I380" s="11" t="str">
        <f aca="false">IF(INDEX(選手一覧!$F$7:$F$2738,$F380)="","",INDEX(選手一覧!$F$7:$F$2738,$F380))</f>
        <v/>
      </c>
      <c r="J380" s="12" t="str">
        <f aca="false">IF(INDEX(選手一覧!$G$7:$G$2738,$F380)="","",INDEX(選手一覧!$G$7:$G$2738,$F380))</f>
        <v/>
      </c>
    </row>
    <row r="381" customFormat="false" ht="15" hidden="false" customHeight="false" outlineLevel="0" collapsed="false">
      <c r="A381" s="12" t="n">
        <v>377</v>
      </c>
      <c r="B381" s="10" t="s">
        <v>1251</v>
      </c>
      <c r="C381" s="10" t="s">
        <v>543</v>
      </c>
      <c r="D381" s="11" t="n">
        <v>0.00282233796296296</v>
      </c>
      <c r="E381" s="18" t="n">
        <f aca="false">ROUND((D381-$D$5)*86400,2)</f>
        <v>18.82</v>
      </c>
      <c r="F381" s="12" t="n">
        <v>851</v>
      </c>
      <c r="G381" s="11" t="str">
        <f aca="false">IF(INDEX(選手一覧!$D$7:$D$2738,$F381)="","",INDEX(選手一覧!$D$7:$D$2738,$F381))</f>
        <v/>
      </c>
      <c r="H381" s="12" t="str">
        <f aca="false">IF(INDEX(選手一覧!$E$7:$E$2738,$F381)="","",INDEX(選手一覧!$E$7:$E$2738,$F381))</f>
        <v/>
      </c>
      <c r="I381" s="11" t="str">
        <f aca="false">IF(INDEX(選手一覧!$F$7:$F$2738,$F381)="","",INDEX(選手一覧!$F$7:$F$2738,$F381))</f>
        <v/>
      </c>
      <c r="J381" s="12" t="str">
        <f aca="false">IF(INDEX(選手一覧!$G$7:$G$2738,$F381)="","",INDEX(選手一覧!$G$7:$G$2738,$F381))</f>
        <v/>
      </c>
    </row>
    <row r="382" customFormat="false" ht="15" hidden="false" customHeight="false" outlineLevel="0" collapsed="false">
      <c r="A382" s="12" t="n">
        <v>378</v>
      </c>
      <c r="B382" s="10" t="s">
        <v>1158</v>
      </c>
      <c r="C382" s="10" t="s">
        <v>317</v>
      </c>
      <c r="D382" s="11" t="n">
        <v>0.00282233796296296</v>
      </c>
      <c r="E382" s="18" t="n">
        <f aca="false">ROUND((D382-$D$5)*86400,2)</f>
        <v>18.82</v>
      </c>
      <c r="F382" s="12" t="n">
        <v>783</v>
      </c>
      <c r="G382" s="11" t="n">
        <f aca="false">IF(INDEX(選手一覧!$D$7:$D$2738,$F382)="","",INDEX(選手一覧!$D$7:$D$2738,$F382))</f>
        <v>0.010499537037037</v>
      </c>
      <c r="H382" s="12" t="n">
        <f aca="false">IF(INDEX(選手一覧!$E$7:$E$2738,$F382)="","",INDEX(選手一覧!$E$7:$E$2738,$F382))</f>
        <v>340</v>
      </c>
      <c r="I382" s="11" t="n">
        <f aca="false">IF(INDEX(選手一覧!$F$7:$F$2738,$F382)="","",INDEX(選手一覧!$F$7:$F$2738,$F382))</f>
        <v>0.00748032407407407</v>
      </c>
      <c r="J382" s="12" t="n">
        <f aca="false">IF(INDEX(選手一覧!$G$7:$G$2738,$F382)="","",INDEX(選手一覧!$G$7:$G$2738,$F382))</f>
        <v>869</v>
      </c>
    </row>
    <row r="383" customFormat="false" ht="15" hidden="false" customHeight="false" outlineLevel="0" collapsed="false">
      <c r="A383" s="12" t="n">
        <v>379</v>
      </c>
      <c r="B383" s="10" t="s">
        <v>653</v>
      </c>
      <c r="C383" s="10" t="s">
        <v>654</v>
      </c>
      <c r="D383" s="11" t="n">
        <v>0.00282268518518519</v>
      </c>
      <c r="E383" s="18" t="n">
        <f aca="false">ROUND((D383-$D$5)*86400,2)</f>
        <v>18.85</v>
      </c>
      <c r="F383" s="12" t="n">
        <v>416</v>
      </c>
      <c r="G383" s="11" t="n">
        <f aca="false">IF(INDEX(選手一覧!$D$7:$D$2738,$F383)="","",INDEX(選手一覧!$D$7:$D$2738,$F383))</f>
        <v>0.0103251157407407</v>
      </c>
      <c r="H383" s="12" t="n">
        <f aca="false">IF(INDEX(選手一覧!$E$7:$E$2738,$F383)="","",INDEX(選手一覧!$E$7:$E$2738,$F383))</f>
        <v>176</v>
      </c>
      <c r="I383" s="11" t="str">
        <f aca="false">IF(INDEX(選手一覧!$F$7:$F$2738,$F383)="","",INDEX(選手一覧!$F$7:$F$2738,$F383))</f>
        <v/>
      </c>
      <c r="J383" s="12" t="str">
        <f aca="false">IF(INDEX(選手一覧!$G$7:$G$2738,$F383)="","",INDEX(選手一覧!$G$7:$G$2738,$F383))</f>
        <v/>
      </c>
    </row>
    <row r="384" customFormat="false" ht="15" hidden="false" customHeight="false" outlineLevel="0" collapsed="false">
      <c r="A384" s="12" t="n">
        <v>380</v>
      </c>
      <c r="B384" s="10" t="s">
        <v>1258</v>
      </c>
      <c r="C384" s="10" t="s">
        <v>295</v>
      </c>
      <c r="D384" s="11" t="n">
        <v>0.00282280092592593</v>
      </c>
      <c r="E384" s="18" t="n">
        <f aca="false">ROUND((D384-$D$5)*86400,2)</f>
        <v>18.86</v>
      </c>
      <c r="F384" s="12" t="n">
        <v>856</v>
      </c>
      <c r="G384" s="11" t="str">
        <f aca="false">IF(INDEX(選手一覧!$D$7:$D$2738,$F384)="","",INDEX(選手一覧!$D$7:$D$2738,$F384))</f>
        <v/>
      </c>
      <c r="H384" s="12" t="str">
        <f aca="false">IF(INDEX(選手一覧!$E$7:$E$2738,$F384)="","",INDEX(選手一覧!$E$7:$E$2738,$F384))</f>
        <v/>
      </c>
      <c r="I384" s="11" t="str">
        <f aca="false">IF(INDEX(選手一覧!$F$7:$F$2738,$F384)="","",INDEX(選手一覧!$F$7:$F$2738,$F384))</f>
        <v/>
      </c>
      <c r="J384" s="12" t="str">
        <f aca="false">IF(INDEX(選手一覧!$G$7:$G$2738,$F384)="","",INDEX(選手一覧!$G$7:$G$2738,$F384))</f>
        <v/>
      </c>
    </row>
    <row r="385" customFormat="false" ht="15" hidden="false" customHeight="false" outlineLevel="0" collapsed="false">
      <c r="A385" s="12" t="n">
        <v>381</v>
      </c>
      <c r="B385" s="10" t="s">
        <v>1002</v>
      </c>
      <c r="C385" s="10" t="s">
        <v>36</v>
      </c>
      <c r="D385" s="11" t="n">
        <v>0.00282280092592593</v>
      </c>
      <c r="E385" s="18" t="n">
        <f aca="false">ROUND((D385-$D$5)*86400,2)</f>
        <v>18.86</v>
      </c>
      <c r="F385" s="12" t="n">
        <v>669</v>
      </c>
      <c r="G385" s="11" t="n">
        <f aca="false">IF(INDEX(選手一覧!$D$7:$D$2738,$F385)="","",INDEX(選手一覧!$D$7:$D$2738,$F385))</f>
        <v>0.0104209490740741</v>
      </c>
      <c r="H385" s="12" t="n">
        <f aca="false">IF(INDEX(選手一覧!$E$7:$E$2738,$F385)="","",INDEX(選手一覧!$E$7:$E$2738,$F385))</f>
        <v>285</v>
      </c>
      <c r="I385" s="11" t="str">
        <f aca="false">IF(INDEX(選手一覧!$F$7:$F$2738,$F385)="","",INDEX(選手一覧!$F$7:$F$2738,$F385))</f>
        <v/>
      </c>
      <c r="J385" s="12" t="str">
        <f aca="false">IF(INDEX(選手一覧!$G$7:$G$2738,$F385)="","",INDEX(選手一覧!$G$7:$G$2738,$F385))</f>
        <v/>
      </c>
    </row>
    <row r="386" customFormat="false" ht="15" hidden="false" customHeight="false" outlineLevel="0" collapsed="false">
      <c r="A386" s="12" t="n">
        <v>382</v>
      </c>
      <c r="B386" s="10" t="s">
        <v>683</v>
      </c>
      <c r="C386" s="10" t="s">
        <v>64</v>
      </c>
      <c r="D386" s="11" t="n">
        <v>0.00282314814814815</v>
      </c>
      <c r="E386" s="18" t="n">
        <f aca="false">ROUND((D386-$D$5)*86400,2)</f>
        <v>18.89</v>
      </c>
      <c r="F386" s="12" t="n">
        <v>437</v>
      </c>
      <c r="G386" s="11" t="n">
        <f aca="false">IF(INDEX(選手一覧!$D$7:$D$2738,$F386)="","",INDEX(選手一覧!$D$7:$D$2738,$F386))</f>
        <v>0.0103328703703704</v>
      </c>
      <c r="H386" s="12" t="n">
        <f aca="false">IF(INDEX(選手一覧!$E$7:$E$2738,$F386)="","",INDEX(選手一覧!$E$7:$E$2738,$F386))</f>
        <v>184</v>
      </c>
      <c r="I386" s="11" t="str">
        <f aca="false">IF(INDEX(選手一覧!$F$7:$F$2738,$F386)="","",INDEX(選手一覧!$F$7:$F$2738,$F386))</f>
        <v/>
      </c>
      <c r="J386" s="12" t="str">
        <f aca="false">IF(INDEX(選手一覧!$G$7:$G$2738,$F386)="","",INDEX(選手一覧!$G$7:$G$2738,$F386))</f>
        <v/>
      </c>
    </row>
    <row r="387" customFormat="false" ht="15" hidden="false" customHeight="false" outlineLevel="0" collapsed="false">
      <c r="A387" s="12" t="n">
        <v>383</v>
      </c>
      <c r="B387" s="10" t="s">
        <v>1267</v>
      </c>
      <c r="C387" s="10" t="s">
        <v>1268</v>
      </c>
      <c r="D387" s="11" t="n">
        <v>0.00282326388888889</v>
      </c>
      <c r="E387" s="18" t="n">
        <f aca="false">ROUND((D387-$D$5)*86400,2)</f>
        <v>18.9</v>
      </c>
      <c r="F387" s="12" t="n">
        <v>862</v>
      </c>
      <c r="G387" s="11" t="str">
        <f aca="false">IF(INDEX(選手一覧!$D$7:$D$2738,$F387)="","",INDEX(選手一覧!$D$7:$D$2738,$F387))</f>
        <v/>
      </c>
      <c r="H387" s="12" t="str">
        <f aca="false">IF(INDEX(選手一覧!$E$7:$E$2738,$F387)="","",INDEX(選手一覧!$E$7:$E$2738,$F387))</f>
        <v/>
      </c>
      <c r="I387" s="11" t="str">
        <f aca="false">IF(INDEX(選手一覧!$F$7:$F$2738,$F387)="","",INDEX(選手一覧!$F$7:$F$2738,$F387))</f>
        <v/>
      </c>
      <c r="J387" s="12" t="str">
        <f aca="false">IF(INDEX(選手一覧!$G$7:$G$2738,$F387)="","",INDEX(選手一覧!$G$7:$G$2738,$F387))</f>
        <v/>
      </c>
    </row>
    <row r="388" customFormat="false" ht="15" hidden="false" customHeight="false" outlineLevel="0" collapsed="false">
      <c r="A388" s="12" t="n">
        <v>384</v>
      </c>
      <c r="B388" s="10" t="s">
        <v>1272</v>
      </c>
      <c r="C388" s="10" t="s">
        <v>126</v>
      </c>
      <c r="D388" s="11" t="n">
        <v>0.00282361111111111</v>
      </c>
      <c r="E388" s="18" t="n">
        <f aca="false">ROUND((D388-$D$5)*86400,2)</f>
        <v>18.93</v>
      </c>
      <c r="F388" s="12" t="n">
        <v>865</v>
      </c>
      <c r="G388" s="11" t="str">
        <f aca="false">IF(INDEX(選手一覧!$D$7:$D$2738,$F388)="","",INDEX(選手一覧!$D$7:$D$2738,$F388))</f>
        <v/>
      </c>
      <c r="H388" s="12" t="str">
        <f aca="false">IF(INDEX(選手一覧!$E$7:$E$2738,$F388)="","",INDEX(選手一覧!$E$7:$E$2738,$F388))</f>
        <v/>
      </c>
      <c r="I388" s="11" t="str">
        <f aca="false">IF(INDEX(選手一覧!$F$7:$F$2738,$F388)="","",INDEX(選手一覧!$F$7:$F$2738,$F388))</f>
        <v/>
      </c>
      <c r="J388" s="12" t="str">
        <f aca="false">IF(INDEX(選手一覧!$G$7:$G$2738,$F388)="","",INDEX(選手一覧!$G$7:$G$2738,$F388))</f>
        <v/>
      </c>
    </row>
    <row r="389" customFormat="false" ht="15" hidden="false" customHeight="false" outlineLevel="0" collapsed="false">
      <c r="A389" s="12" t="n">
        <v>385</v>
      </c>
      <c r="B389" s="10" t="s">
        <v>1273</v>
      </c>
      <c r="C389" s="10" t="s">
        <v>181</v>
      </c>
      <c r="D389" s="11" t="n">
        <v>0.00282372685185185</v>
      </c>
      <c r="E389" s="18" t="n">
        <f aca="false">ROUND((D389-$D$5)*86400,2)</f>
        <v>18.94</v>
      </c>
      <c r="F389" s="12" t="n">
        <v>866</v>
      </c>
      <c r="G389" s="11" t="n">
        <f aca="false">IF(INDEX(選手一覧!$D$7:$D$2738,$F389)="","",INDEX(選手一覧!$D$7:$D$2738,$F389))</f>
        <v>0.0109680555555556</v>
      </c>
      <c r="H389" s="12" t="n">
        <f aca="false">IF(INDEX(選手一覧!$E$7:$E$2738,$F389)="","",INDEX(選手一覧!$E$7:$E$2738,$F389))</f>
        <v>1032</v>
      </c>
      <c r="I389" s="11" t="str">
        <f aca="false">IF(INDEX(選手一覧!$F$7:$F$2738,$F389)="","",INDEX(選手一覧!$F$7:$F$2738,$F389))</f>
        <v/>
      </c>
      <c r="J389" s="12" t="str">
        <f aca="false">IF(INDEX(選手一覧!$G$7:$G$2738,$F389)="","",INDEX(選手一覧!$G$7:$G$2738,$F389))</f>
        <v/>
      </c>
    </row>
    <row r="390" customFormat="false" ht="15" hidden="false" customHeight="false" outlineLevel="0" collapsed="false">
      <c r="A390" s="12" t="n">
        <v>386</v>
      </c>
      <c r="B390" s="10" t="s">
        <v>1275</v>
      </c>
      <c r="C390" s="10" t="s">
        <v>1276</v>
      </c>
      <c r="D390" s="11" t="n">
        <v>0.00282384259259259</v>
      </c>
      <c r="E390" s="18" t="n">
        <f aca="false">ROUND((D390-$D$5)*86400,2)</f>
        <v>18.95</v>
      </c>
      <c r="F390" s="12" t="n">
        <v>868</v>
      </c>
      <c r="G390" s="11" t="n">
        <f aca="false">IF(INDEX(選手一覧!$D$7:$D$2738,$F390)="","",INDEX(選手一覧!$D$7:$D$2738,$F390))</f>
        <v>0.0109971064814815</v>
      </c>
      <c r="H390" s="12" t="n">
        <f aca="false">IF(INDEX(選手一覧!$E$7:$E$2738,$F390)="","",INDEX(選手一覧!$E$7:$E$2738,$F390))</f>
        <v>1093</v>
      </c>
      <c r="I390" s="11" t="str">
        <f aca="false">IF(INDEX(選手一覧!$F$7:$F$2738,$F390)="","",INDEX(選手一覧!$F$7:$F$2738,$F390))</f>
        <v/>
      </c>
      <c r="J390" s="12" t="str">
        <f aca="false">IF(INDEX(選手一覧!$G$7:$G$2738,$F390)="","",INDEX(選手一覧!$G$7:$G$2738,$F390))</f>
        <v/>
      </c>
    </row>
    <row r="391" customFormat="false" ht="15" hidden="false" customHeight="false" outlineLevel="0" collapsed="false">
      <c r="A391" s="12" t="n">
        <v>387</v>
      </c>
      <c r="B391" s="10" t="s">
        <v>985</v>
      </c>
      <c r="C391" s="10" t="s">
        <v>986</v>
      </c>
      <c r="D391" s="11" t="n">
        <v>0.00282395833333333</v>
      </c>
      <c r="E391" s="18" t="n">
        <f aca="false">ROUND((D391-$D$5)*86400,2)</f>
        <v>18.96</v>
      </c>
      <c r="F391" s="12" t="n">
        <v>658</v>
      </c>
      <c r="G391" s="11" t="n">
        <f aca="false">IF(INDEX(選手一覧!$D$7:$D$2738,$F391)="","",INDEX(選手一覧!$D$7:$D$2738,$F391))</f>
        <v>0.0104148148148148</v>
      </c>
      <c r="H391" s="12" t="n">
        <f aca="false">IF(INDEX(選手一覧!$E$7:$E$2738,$F391)="","",INDEX(選手一覧!$E$7:$E$2738,$F391))</f>
        <v>280</v>
      </c>
      <c r="I391" s="11" t="str">
        <f aca="false">IF(INDEX(選手一覧!$F$7:$F$2738,$F391)="","",INDEX(選手一覧!$F$7:$F$2738,$F391))</f>
        <v/>
      </c>
      <c r="J391" s="12" t="str">
        <f aca="false">IF(INDEX(選手一覧!$G$7:$G$2738,$F391)="","",INDEX(選手一覧!$G$7:$G$2738,$F391))</f>
        <v/>
      </c>
    </row>
    <row r="392" customFormat="false" ht="15" hidden="false" customHeight="false" outlineLevel="0" collapsed="false">
      <c r="A392" s="12" t="n">
        <v>388</v>
      </c>
      <c r="B392" s="10" t="s">
        <v>1284</v>
      </c>
      <c r="C392" s="10" t="s">
        <v>492</v>
      </c>
      <c r="D392" s="11" t="n">
        <v>0.00282407407407407</v>
      </c>
      <c r="E392" s="18" t="n">
        <f aca="false">ROUND((D392-$D$5)*86400,2)</f>
        <v>18.97</v>
      </c>
      <c r="F392" s="12" t="n">
        <v>874</v>
      </c>
      <c r="G392" s="11" t="str">
        <f aca="false">IF(INDEX(選手一覧!$D$7:$D$2738,$F392)="","",INDEX(選手一覧!$D$7:$D$2738,$F392))</f>
        <v/>
      </c>
      <c r="H392" s="12" t="str">
        <f aca="false">IF(INDEX(選手一覧!$E$7:$E$2738,$F392)="","",INDEX(選手一覧!$E$7:$E$2738,$F392))</f>
        <v/>
      </c>
      <c r="I392" s="11" t="str">
        <f aca="false">IF(INDEX(選手一覧!$F$7:$F$2738,$F392)="","",INDEX(選手一覧!$F$7:$F$2738,$F392))</f>
        <v/>
      </c>
      <c r="J392" s="12" t="str">
        <f aca="false">IF(INDEX(選手一覧!$G$7:$G$2738,$F392)="","",INDEX(選手一覧!$G$7:$G$2738,$F392))</f>
        <v/>
      </c>
    </row>
    <row r="393" customFormat="false" ht="15" hidden="false" customHeight="false" outlineLevel="0" collapsed="false">
      <c r="A393" s="12" t="n">
        <v>389</v>
      </c>
      <c r="B393" s="10" t="s">
        <v>664</v>
      </c>
      <c r="C393" s="10" t="s">
        <v>242</v>
      </c>
      <c r="D393" s="11" t="n">
        <v>0.00282430555555556</v>
      </c>
      <c r="E393" s="18" t="n">
        <f aca="false">ROUND((D393-$D$5)*86400,2)</f>
        <v>18.99</v>
      </c>
      <c r="F393" s="12" t="n">
        <v>422</v>
      </c>
      <c r="G393" s="11" t="n">
        <f aca="false">IF(INDEX(選手一覧!$D$7:$D$2738,$F393)="","",INDEX(選手一覧!$D$7:$D$2738,$F393))</f>
        <v>0.0103260416666667</v>
      </c>
      <c r="H393" s="12" t="n">
        <f aca="false">IF(INDEX(選手一覧!$E$7:$E$2738,$F393)="","",INDEX(選手一覧!$E$7:$E$2738,$F393))</f>
        <v>178</v>
      </c>
      <c r="I393" s="11" t="str">
        <f aca="false">IF(INDEX(選手一覧!$F$7:$F$2738,$F393)="","",INDEX(選手一覧!$F$7:$F$2738,$F393))</f>
        <v/>
      </c>
      <c r="J393" s="12" t="str">
        <f aca="false">IF(INDEX(選手一覧!$G$7:$G$2738,$F393)="","",INDEX(選手一覧!$G$7:$G$2738,$F393))</f>
        <v/>
      </c>
    </row>
    <row r="394" customFormat="false" ht="15" hidden="false" customHeight="false" outlineLevel="0" collapsed="false">
      <c r="A394" s="12" t="n">
        <v>390</v>
      </c>
      <c r="B394" s="10" t="s">
        <v>1287</v>
      </c>
      <c r="C394" s="10" t="s">
        <v>1288</v>
      </c>
      <c r="D394" s="11" t="n">
        <v>0.00282465277777778</v>
      </c>
      <c r="E394" s="18" t="n">
        <f aca="false">ROUND((D394-$D$5)*86400,2)</f>
        <v>19.02</v>
      </c>
      <c r="F394" s="12" t="n">
        <v>876</v>
      </c>
      <c r="G394" s="11" t="n">
        <f aca="false">IF(INDEX(選手一覧!$D$7:$D$2738,$F394)="","",INDEX(選手一覧!$D$7:$D$2738,$F394))</f>
        <v>0.0109412037037037</v>
      </c>
      <c r="H394" s="12" t="n">
        <f aca="false">IF(INDEX(選手一覧!$E$7:$E$2738,$F394)="","",INDEX(選手一覧!$E$7:$E$2738,$F394))</f>
        <v>982</v>
      </c>
      <c r="I394" s="11" t="str">
        <f aca="false">IF(INDEX(選手一覧!$F$7:$F$2738,$F394)="","",INDEX(選手一覧!$F$7:$F$2738,$F394))</f>
        <v/>
      </c>
      <c r="J394" s="12" t="str">
        <f aca="false">IF(INDEX(選手一覧!$G$7:$G$2738,$F394)="","",INDEX(選手一覧!$G$7:$G$2738,$F394))</f>
        <v/>
      </c>
    </row>
    <row r="395" customFormat="false" ht="15" hidden="false" customHeight="false" outlineLevel="0" collapsed="false">
      <c r="A395" s="12" t="n">
        <v>391</v>
      </c>
      <c r="B395" s="10" t="s">
        <v>545</v>
      </c>
      <c r="C395" s="10" t="s">
        <v>546</v>
      </c>
      <c r="D395" s="11" t="n">
        <v>0.00282476851851852</v>
      </c>
      <c r="E395" s="18" t="n">
        <f aca="false">ROUND((D395-$D$5)*86400,2)</f>
        <v>19.03</v>
      </c>
      <c r="F395" s="12" t="n">
        <v>340</v>
      </c>
      <c r="G395" s="11" t="n">
        <f aca="false">IF(INDEX(選手一覧!$D$7:$D$2738,$F395)="","",INDEX(選手一覧!$D$7:$D$2738,$F395))</f>
        <v>0.0102767361111111</v>
      </c>
      <c r="H395" s="12" t="n">
        <f aca="false">IF(INDEX(選手一覧!$E$7:$E$2738,$F395)="","",INDEX(選手一覧!$E$7:$E$2738,$F395))</f>
        <v>142</v>
      </c>
      <c r="I395" s="11" t="str">
        <f aca="false">IF(INDEX(選手一覧!$F$7:$F$2738,$F395)="","",INDEX(選手一覧!$F$7:$F$2738,$F395))</f>
        <v/>
      </c>
      <c r="J395" s="12" t="str">
        <f aca="false">IF(INDEX(選手一覧!$G$7:$G$2738,$F395)="","",INDEX(選手一覧!$G$7:$G$2738,$F395))</f>
        <v/>
      </c>
    </row>
    <row r="396" customFormat="false" ht="15" hidden="false" customHeight="false" outlineLevel="0" collapsed="false">
      <c r="A396" s="12" t="n">
        <v>392</v>
      </c>
      <c r="B396" s="10" t="s">
        <v>1294</v>
      </c>
      <c r="C396" s="10" t="s">
        <v>1295</v>
      </c>
      <c r="D396" s="11" t="n">
        <v>0.00282488425925926</v>
      </c>
      <c r="E396" s="18" t="n">
        <f aca="false">ROUND((D396-$D$5)*86400,2)</f>
        <v>19.04</v>
      </c>
      <c r="F396" s="12" t="n">
        <v>882</v>
      </c>
      <c r="G396" s="11" t="str">
        <f aca="false">IF(INDEX(選手一覧!$D$7:$D$2738,$F396)="","",INDEX(選手一覧!$D$7:$D$2738,$F396))</f>
        <v/>
      </c>
      <c r="H396" s="12" t="str">
        <f aca="false">IF(INDEX(選手一覧!$E$7:$E$2738,$F396)="","",INDEX(選手一覧!$E$7:$E$2738,$F396))</f>
        <v/>
      </c>
      <c r="I396" s="11" t="str">
        <f aca="false">IF(INDEX(選手一覧!$F$7:$F$2738,$F396)="","",INDEX(選手一覧!$F$7:$F$2738,$F396))</f>
        <v/>
      </c>
      <c r="J396" s="12" t="str">
        <f aca="false">IF(INDEX(選手一覧!$G$7:$G$2738,$F396)="","",INDEX(選手一覧!$G$7:$G$2738,$F396))</f>
        <v/>
      </c>
    </row>
    <row r="397" customFormat="false" ht="15" hidden="false" customHeight="false" outlineLevel="0" collapsed="false">
      <c r="A397" s="12" t="n">
        <v>393</v>
      </c>
      <c r="B397" s="10" t="s">
        <v>1296</v>
      </c>
      <c r="C397" s="10" t="s">
        <v>1297</v>
      </c>
      <c r="D397" s="11" t="n">
        <v>0.00282488425925926</v>
      </c>
      <c r="E397" s="18" t="n">
        <f aca="false">ROUND((D397-$D$5)*86400,2)</f>
        <v>19.04</v>
      </c>
      <c r="F397" s="12" t="n">
        <v>883</v>
      </c>
      <c r="G397" s="11" t="n">
        <f aca="false">IF(INDEX(選手一覧!$D$7:$D$2738,$F397)="","",INDEX(選手一覧!$D$7:$D$2738,$F397))</f>
        <v>0.0109144675925926</v>
      </c>
      <c r="H397" s="12" t="n">
        <f aca="false">IF(INDEX(選手一覧!$E$7:$E$2738,$F397)="","",INDEX(選手一覧!$E$7:$E$2738,$F397))</f>
        <v>946</v>
      </c>
      <c r="I397" s="11" t="str">
        <f aca="false">IF(INDEX(選手一覧!$F$7:$F$2738,$F397)="","",INDEX(選手一覧!$F$7:$F$2738,$F397))</f>
        <v/>
      </c>
      <c r="J397" s="12" t="str">
        <f aca="false">IF(INDEX(選手一覧!$G$7:$G$2738,$F397)="","",INDEX(選手一覧!$G$7:$G$2738,$F397))</f>
        <v/>
      </c>
    </row>
    <row r="398" customFormat="false" ht="15" hidden="false" customHeight="false" outlineLevel="0" collapsed="false">
      <c r="A398" s="12" t="n">
        <v>394</v>
      </c>
      <c r="B398" s="10" t="s">
        <v>1303</v>
      </c>
      <c r="C398" s="10" t="s">
        <v>1304</v>
      </c>
      <c r="D398" s="11" t="n">
        <v>0.00282511574074074</v>
      </c>
      <c r="E398" s="18" t="n">
        <f aca="false">ROUND((D398-$D$5)*86400,2)</f>
        <v>19.06</v>
      </c>
      <c r="F398" s="12" t="n">
        <v>887</v>
      </c>
      <c r="G398" s="11" t="n">
        <f aca="false">IF(INDEX(選手一覧!$D$7:$D$2738,$F398)="","",INDEX(選手一覧!$D$7:$D$2738,$F398))</f>
        <v>0.0109045138888889</v>
      </c>
      <c r="H398" s="12" t="n">
        <f aca="false">IF(INDEX(選手一覧!$E$7:$E$2738,$F398)="","",INDEX(選手一覧!$E$7:$E$2738,$F398))</f>
        <v>927</v>
      </c>
      <c r="I398" s="11" t="str">
        <f aca="false">IF(INDEX(選手一覧!$F$7:$F$2738,$F398)="","",INDEX(選手一覧!$F$7:$F$2738,$F398))</f>
        <v/>
      </c>
      <c r="J398" s="12" t="str">
        <f aca="false">IF(INDEX(選手一覧!$G$7:$G$2738,$F398)="","",INDEX(選手一覧!$G$7:$G$2738,$F398))</f>
        <v/>
      </c>
    </row>
    <row r="399" customFormat="false" ht="15" hidden="false" customHeight="false" outlineLevel="0" collapsed="false">
      <c r="A399" s="12" t="n">
        <v>395</v>
      </c>
      <c r="B399" s="10" t="s">
        <v>481</v>
      </c>
      <c r="C399" s="10" t="s">
        <v>482</v>
      </c>
      <c r="D399" s="11" t="n">
        <v>0.00282534722222222</v>
      </c>
      <c r="E399" s="18" t="n">
        <f aca="false">ROUND((D399-$D$5)*86400,2)</f>
        <v>19.08</v>
      </c>
      <c r="F399" s="12" t="n">
        <v>299</v>
      </c>
      <c r="G399" s="11" t="n">
        <f aca="false">IF(INDEX(選手一覧!$D$7:$D$2738,$F399)="","",INDEX(選手一覧!$D$7:$D$2738,$F399))</f>
        <v>0.0102439814814815</v>
      </c>
      <c r="H399" s="12" t="n">
        <f aca="false">IF(INDEX(選手一覧!$E$7:$E$2738,$F399)="","",INDEX(選手一覧!$E$7:$E$2738,$F399))</f>
        <v>124</v>
      </c>
      <c r="I399" s="11" t="str">
        <f aca="false">IF(INDEX(選手一覧!$F$7:$F$2738,$F399)="","",INDEX(選手一覧!$F$7:$F$2738,$F399))</f>
        <v/>
      </c>
      <c r="J399" s="12" t="str">
        <f aca="false">IF(INDEX(選手一覧!$G$7:$G$2738,$F399)="","",INDEX(選手一覧!$G$7:$G$2738,$F399))</f>
        <v/>
      </c>
    </row>
    <row r="400" customFormat="false" ht="15" hidden="false" customHeight="false" outlineLevel="0" collapsed="false">
      <c r="A400" s="12" t="n">
        <v>396</v>
      </c>
      <c r="B400" s="10" t="s">
        <v>1308</v>
      </c>
      <c r="C400" s="10" t="s">
        <v>1309</v>
      </c>
      <c r="D400" s="11" t="n">
        <v>0.00282546296296296</v>
      </c>
      <c r="E400" s="18" t="n">
        <f aca="false">ROUND((D400-$D$5)*86400,2)</f>
        <v>19.09</v>
      </c>
      <c r="F400" s="12" t="n">
        <v>890</v>
      </c>
      <c r="G400" s="11" t="n">
        <f aca="false">IF(INDEX(選手一覧!$D$7:$D$2738,$F400)="","",INDEX(選手一覧!$D$7:$D$2738,$F400))</f>
        <v>0.0108386574074074</v>
      </c>
      <c r="H400" s="12" t="n">
        <f aca="false">IF(INDEX(選手一覧!$E$7:$E$2738,$F400)="","",INDEX(選手一覧!$E$7:$E$2738,$F400))</f>
        <v>810</v>
      </c>
      <c r="I400" s="11" t="str">
        <f aca="false">IF(INDEX(選手一覧!$F$7:$F$2738,$F400)="","",INDEX(選手一覧!$F$7:$F$2738,$F400))</f>
        <v/>
      </c>
      <c r="J400" s="12" t="str">
        <f aca="false">IF(INDEX(選手一覧!$G$7:$G$2738,$F400)="","",INDEX(選手一覧!$G$7:$G$2738,$F400))</f>
        <v/>
      </c>
    </row>
    <row r="401" customFormat="false" ht="15" hidden="false" customHeight="false" outlineLevel="0" collapsed="false">
      <c r="A401" s="12" t="n">
        <v>397</v>
      </c>
      <c r="B401" s="10" t="s">
        <v>1312</v>
      </c>
      <c r="C401" s="10" t="s">
        <v>1062</v>
      </c>
      <c r="D401" s="11" t="n">
        <v>0.00282581018518519</v>
      </c>
      <c r="E401" s="18" t="n">
        <f aca="false">ROUND((D401-$D$5)*86400,2)</f>
        <v>19.12</v>
      </c>
      <c r="F401" s="12" t="n">
        <v>892</v>
      </c>
      <c r="G401" s="11" t="str">
        <f aca="false">IF(INDEX(選手一覧!$D$7:$D$2738,$F401)="","",INDEX(選手一覧!$D$7:$D$2738,$F401))</f>
        <v/>
      </c>
      <c r="H401" s="12" t="str">
        <f aca="false">IF(INDEX(選手一覧!$E$7:$E$2738,$F401)="","",INDEX(選手一覧!$E$7:$E$2738,$F401))</f>
        <v/>
      </c>
      <c r="I401" s="11" t="str">
        <f aca="false">IF(INDEX(選手一覧!$F$7:$F$2738,$F401)="","",INDEX(選手一覧!$F$7:$F$2738,$F401))</f>
        <v/>
      </c>
      <c r="J401" s="12" t="str">
        <f aca="false">IF(INDEX(選手一覧!$G$7:$G$2738,$F401)="","",INDEX(選手一覧!$G$7:$G$2738,$F401))</f>
        <v/>
      </c>
    </row>
    <row r="402" customFormat="false" ht="15" hidden="false" customHeight="false" outlineLevel="0" collapsed="false">
      <c r="A402" s="12" t="n">
        <v>398</v>
      </c>
      <c r="B402" s="10" t="s">
        <v>936</v>
      </c>
      <c r="C402" s="10" t="s">
        <v>79</v>
      </c>
      <c r="D402" s="11" t="n">
        <v>0.00282592592592593</v>
      </c>
      <c r="E402" s="18" t="n">
        <f aca="false">ROUND((D402-$D$5)*86400,2)</f>
        <v>19.13</v>
      </c>
      <c r="F402" s="12" t="n">
        <v>621</v>
      </c>
      <c r="G402" s="11" t="n">
        <f aca="false">IF(INDEX(選手一覧!$D$7:$D$2738,$F402)="","",INDEX(選手一覧!$D$7:$D$2738,$F402))</f>
        <v>0.0103976851851852</v>
      </c>
      <c r="H402" s="12" t="n">
        <f aca="false">IF(INDEX(選手一覧!$E$7:$E$2738,$F402)="","",INDEX(選手一覧!$E$7:$E$2738,$F402))</f>
        <v>261</v>
      </c>
      <c r="I402" s="11" t="str">
        <f aca="false">IF(INDEX(選手一覧!$F$7:$F$2738,$F402)="","",INDEX(選手一覧!$F$7:$F$2738,$F402))</f>
        <v/>
      </c>
      <c r="J402" s="12" t="str">
        <f aca="false">IF(INDEX(選手一覧!$G$7:$G$2738,$F402)="","",INDEX(選手一覧!$G$7:$G$2738,$F402))</f>
        <v/>
      </c>
    </row>
    <row r="403" customFormat="false" ht="15" hidden="false" customHeight="false" outlineLevel="0" collapsed="false">
      <c r="A403" s="12" t="n">
        <v>399</v>
      </c>
      <c r="B403" s="10" t="s">
        <v>679</v>
      </c>
      <c r="C403" s="10" t="s">
        <v>680</v>
      </c>
      <c r="D403" s="11" t="n">
        <v>0.00282615740740741</v>
      </c>
      <c r="E403" s="18" t="n">
        <f aca="false">ROUND((D403-$D$5)*86400,2)</f>
        <v>19.15</v>
      </c>
      <c r="F403" s="12" t="n">
        <v>434</v>
      </c>
      <c r="G403" s="11" t="n">
        <f aca="false">IF(INDEX(選手一覧!$D$7:$D$2738,$F403)="","",INDEX(選手一覧!$D$7:$D$2738,$F403))</f>
        <v>0.0107380787037037</v>
      </c>
      <c r="H403" s="12" t="n">
        <f aca="false">IF(INDEX(選手一覧!$E$7:$E$2738,$F403)="","",INDEX(選手一覧!$E$7:$E$2738,$F403))</f>
        <v>650</v>
      </c>
      <c r="I403" s="11" t="n">
        <f aca="false">IF(INDEX(選手一覧!$F$7:$F$2738,$F403)="","",INDEX(選手一覧!$F$7:$F$2738,$F403))</f>
        <v>0.00681689814814815</v>
      </c>
      <c r="J403" s="12" t="n">
        <f aca="false">IF(INDEX(選手一覧!$G$7:$G$2738,$F403)="","",INDEX(選手一覧!$G$7:$G$2738,$F403))</f>
        <v>183</v>
      </c>
    </row>
    <row r="404" customFormat="false" ht="15" hidden="false" customHeight="false" outlineLevel="0" collapsed="false">
      <c r="A404" s="12" t="n">
        <v>400</v>
      </c>
      <c r="B404" s="10" t="s">
        <v>1318</v>
      </c>
      <c r="C404" s="10" t="s">
        <v>1132</v>
      </c>
      <c r="D404" s="11" t="n">
        <v>0.00282627314814815</v>
      </c>
      <c r="E404" s="18" t="n">
        <f aca="false">ROUND((D404-$D$5)*86400,2)</f>
        <v>19.16</v>
      </c>
      <c r="F404" s="12" t="n">
        <v>897</v>
      </c>
      <c r="G404" s="11" t="str">
        <f aca="false">IF(INDEX(選手一覧!$D$7:$D$2738,$F404)="","",INDEX(選手一覧!$D$7:$D$2738,$F404))</f>
        <v/>
      </c>
      <c r="H404" s="12" t="str">
        <f aca="false">IF(INDEX(選手一覧!$E$7:$E$2738,$F404)="","",INDEX(選手一覧!$E$7:$E$2738,$F404))</f>
        <v/>
      </c>
      <c r="I404" s="11" t="str">
        <f aca="false">IF(INDEX(選手一覧!$F$7:$F$2738,$F404)="","",INDEX(選手一覧!$F$7:$F$2738,$F404))</f>
        <v/>
      </c>
      <c r="J404" s="12" t="str">
        <f aca="false">IF(INDEX(選手一覧!$G$7:$G$2738,$F404)="","",INDEX(選手一覧!$G$7:$G$2738,$F404))</f>
        <v/>
      </c>
    </row>
    <row r="405" customFormat="false" ht="15" hidden="false" customHeight="false" outlineLevel="0" collapsed="false">
      <c r="A405" s="12" t="n">
        <v>401</v>
      </c>
      <c r="B405" s="10" t="s">
        <v>1094</v>
      </c>
      <c r="C405" s="10" t="s">
        <v>181</v>
      </c>
      <c r="D405" s="11" t="n">
        <v>0.00282638888888889</v>
      </c>
      <c r="E405" s="18" t="n">
        <f aca="false">ROUND((D405-$D$5)*86400,2)</f>
        <v>19.17</v>
      </c>
      <c r="F405" s="12" t="n">
        <v>736</v>
      </c>
      <c r="G405" s="11" t="n">
        <f aca="false">IF(INDEX(選手一覧!$D$7:$D$2738,$F405)="","",INDEX(選手一覧!$D$7:$D$2738,$F405))</f>
        <v>0.0104688657407407</v>
      </c>
      <c r="H405" s="12" t="n">
        <f aca="false">IF(INDEX(選手一覧!$E$7:$E$2738,$F405)="","",INDEX(選手一覧!$E$7:$E$2738,$F405))</f>
        <v>317</v>
      </c>
      <c r="I405" s="11" t="str">
        <f aca="false">IF(INDEX(選手一覧!$F$7:$F$2738,$F405)="","",INDEX(選手一覧!$F$7:$F$2738,$F405))</f>
        <v/>
      </c>
      <c r="J405" s="12" t="str">
        <f aca="false">IF(INDEX(選手一覧!$G$7:$G$2738,$F405)="","",INDEX(選手一覧!$G$7:$G$2738,$F405))</f>
        <v/>
      </c>
    </row>
    <row r="406" customFormat="false" ht="15" hidden="false" customHeight="false" outlineLevel="0" collapsed="false">
      <c r="A406" s="12" t="n">
        <v>402</v>
      </c>
      <c r="B406" s="10" t="s">
        <v>1324</v>
      </c>
      <c r="C406" s="10" t="s">
        <v>437</v>
      </c>
      <c r="D406" s="11" t="n">
        <v>0.00282650462962963</v>
      </c>
      <c r="E406" s="18" t="n">
        <f aca="false">ROUND((D406-$D$5)*86400,2)</f>
        <v>19.18</v>
      </c>
      <c r="F406" s="12" t="n">
        <v>901</v>
      </c>
      <c r="G406" s="11" t="n">
        <f aca="false">IF(INDEX(選手一覧!$D$7:$D$2738,$F406)="","",INDEX(選手一覧!$D$7:$D$2738,$F406))</f>
        <v>0.010616087962963</v>
      </c>
      <c r="H406" s="12" t="n">
        <f aca="false">IF(INDEX(選手一覧!$E$7:$E$2738,$F406)="","",INDEX(選手一覧!$E$7:$E$2738,$F406))</f>
        <v>488</v>
      </c>
      <c r="I406" s="11" t="str">
        <f aca="false">IF(INDEX(選手一覧!$F$7:$F$2738,$F406)="","",INDEX(選手一覧!$F$7:$F$2738,$F406))</f>
        <v/>
      </c>
      <c r="J406" s="12" t="str">
        <f aca="false">IF(INDEX(選手一覧!$G$7:$G$2738,$F406)="","",INDEX(選手一覧!$G$7:$G$2738,$F406))</f>
        <v/>
      </c>
    </row>
    <row r="407" customFormat="false" ht="15" hidden="false" customHeight="false" outlineLevel="0" collapsed="false">
      <c r="A407" s="12" t="n">
        <v>403</v>
      </c>
      <c r="B407" s="10" t="s">
        <v>893</v>
      </c>
      <c r="C407" s="10" t="s">
        <v>541</v>
      </c>
      <c r="D407" s="11" t="n">
        <v>0.00282662037037037</v>
      </c>
      <c r="E407" s="18" t="n">
        <f aca="false">ROUND((D407-$D$5)*86400,2)</f>
        <v>19.19</v>
      </c>
      <c r="F407" s="12" t="n">
        <v>589</v>
      </c>
      <c r="G407" s="11" t="n">
        <f aca="false">IF(INDEX(選手一覧!$D$7:$D$2738,$F407)="","",INDEX(選手一覧!$D$7:$D$2738,$F407))</f>
        <v>0.0103861111111111</v>
      </c>
      <c r="H407" s="12" t="n">
        <f aca="false">IF(INDEX(選手一覧!$E$7:$E$2738,$F407)="","",INDEX(選手一覧!$E$7:$E$2738,$F407))</f>
        <v>247</v>
      </c>
      <c r="I407" s="11" t="str">
        <f aca="false">IF(INDEX(選手一覧!$F$7:$F$2738,$F407)="","",INDEX(選手一覧!$F$7:$F$2738,$F407))</f>
        <v/>
      </c>
      <c r="J407" s="12" t="str">
        <f aca="false">IF(INDEX(選手一覧!$G$7:$G$2738,$F407)="","",INDEX(選手一覧!$G$7:$G$2738,$F407))</f>
        <v/>
      </c>
    </row>
    <row r="408" customFormat="false" ht="15" hidden="false" customHeight="false" outlineLevel="0" collapsed="false">
      <c r="A408" s="12" t="n">
        <v>404</v>
      </c>
      <c r="B408" s="10" t="s">
        <v>1330</v>
      </c>
      <c r="C408" s="10" t="s">
        <v>1331</v>
      </c>
      <c r="D408" s="11" t="n">
        <v>0.00282696759259259</v>
      </c>
      <c r="E408" s="18" t="n">
        <f aca="false">ROUND((D408-$D$5)*86400,2)</f>
        <v>19.22</v>
      </c>
      <c r="F408" s="12" t="n">
        <v>905</v>
      </c>
      <c r="G408" s="11" t="str">
        <f aca="false">IF(INDEX(選手一覧!$D$7:$D$2738,$F408)="","",INDEX(選手一覧!$D$7:$D$2738,$F408))</f>
        <v/>
      </c>
      <c r="H408" s="12" t="str">
        <f aca="false">IF(INDEX(選手一覧!$E$7:$E$2738,$F408)="","",INDEX(選手一覧!$E$7:$E$2738,$F408))</f>
        <v/>
      </c>
      <c r="I408" s="11" t="str">
        <f aca="false">IF(INDEX(選手一覧!$F$7:$F$2738,$F408)="","",INDEX(選手一覧!$F$7:$F$2738,$F408))</f>
        <v/>
      </c>
      <c r="J408" s="12" t="str">
        <f aca="false">IF(INDEX(選手一覧!$G$7:$G$2738,$F408)="","",INDEX(選手一覧!$G$7:$G$2738,$F408))</f>
        <v/>
      </c>
    </row>
    <row r="409" customFormat="false" ht="15" hidden="false" customHeight="false" outlineLevel="0" collapsed="false">
      <c r="A409" s="12" t="n">
        <v>405</v>
      </c>
      <c r="B409" s="10" t="s">
        <v>1333</v>
      </c>
      <c r="C409" s="10" t="s">
        <v>1334</v>
      </c>
      <c r="D409" s="11" t="n">
        <v>0.00282708333333333</v>
      </c>
      <c r="E409" s="18" t="n">
        <f aca="false">ROUND((D409-$D$5)*86400,2)</f>
        <v>19.23</v>
      </c>
      <c r="F409" s="12" t="n">
        <v>907</v>
      </c>
      <c r="G409" s="11" t="n">
        <f aca="false">IF(INDEX(選手一覧!$D$7:$D$2738,$F409)="","",INDEX(選手一覧!$D$7:$D$2738,$F409))</f>
        <v>0.0108424768518519</v>
      </c>
      <c r="H409" s="12" t="n">
        <f aca="false">IF(INDEX(選手一覧!$E$7:$E$2738,$F409)="","",INDEX(選手一覧!$E$7:$E$2738,$F409))</f>
        <v>818</v>
      </c>
      <c r="I409" s="11" t="str">
        <f aca="false">IF(INDEX(選手一覧!$F$7:$F$2738,$F409)="","",INDEX(選手一覧!$F$7:$F$2738,$F409))</f>
        <v/>
      </c>
      <c r="J409" s="12" t="str">
        <f aca="false">IF(INDEX(選手一覧!$G$7:$G$2738,$F409)="","",INDEX(選手一覧!$G$7:$G$2738,$F409))</f>
        <v/>
      </c>
    </row>
    <row r="410" customFormat="false" ht="15" hidden="false" customHeight="false" outlineLevel="0" collapsed="false">
      <c r="A410" s="12" t="n">
        <v>406</v>
      </c>
      <c r="B410" s="10" t="s">
        <v>901</v>
      </c>
      <c r="C410" s="10" t="s">
        <v>902</v>
      </c>
      <c r="D410" s="11" t="n">
        <v>0.00282719907407407</v>
      </c>
      <c r="E410" s="18" t="n">
        <f aca="false">ROUND((D410-$D$5)*86400,2)</f>
        <v>19.24</v>
      </c>
      <c r="F410" s="12" t="n">
        <v>595</v>
      </c>
      <c r="G410" s="11" t="n">
        <f aca="false">IF(INDEX(選手一覧!$D$7:$D$2738,$F410)="","",INDEX(選手一覧!$D$7:$D$2738,$F410))</f>
        <v>0.0103887731481482</v>
      </c>
      <c r="H410" s="12" t="n">
        <f aca="false">IF(INDEX(選手一覧!$E$7:$E$2738,$F410)="","",INDEX(選手一覧!$E$7:$E$2738,$F410))</f>
        <v>250</v>
      </c>
      <c r="I410" s="11" t="str">
        <f aca="false">IF(INDEX(選手一覧!$F$7:$F$2738,$F410)="","",INDEX(選手一覧!$F$7:$F$2738,$F410))</f>
        <v/>
      </c>
      <c r="J410" s="12" t="str">
        <f aca="false">IF(INDEX(選手一覧!$G$7:$G$2738,$F410)="","",INDEX(選手一覧!$G$7:$G$2738,$F410))</f>
        <v/>
      </c>
    </row>
    <row r="411" customFormat="false" ht="15" hidden="false" customHeight="false" outlineLevel="0" collapsed="false">
      <c r="A411" s="12" t="n">
        <v>407</v>
      </c>
      <c r="B411" s="10" t="s">
        <v>1340</v>
      </c>
      <c r="C411" s="10" t="s">
        <v>1341</v>
      </c>
      <c r="D411" s="11" t="n">
        <v>0.00282719907407407</v>
      </c>
      <c r="E411" s="18" t="n">
        <f aca="false">ROUND((D411-$D$5)*86400,2)</f>
        <v>19.24</v>
      </c>
      <c r="F411" s="12" t="n">
        <v>912</v>
      </c>
      <c r="G411" s="11" t="str">
        <f aca="false">IF(INDEX(選手一覧!$D$7:$D$2738,$F411)="","",INDEX(選手一覧!$D$7:$D$2738,$F411))</f>
        <v/>
      </c>
      <c r="H411" s="12" t="str">
        <f aca="false">IF(INDEX(選手一覧!$E$7:$E$2738,$F411)="","",INDEX(選手一覧!$E$7:$E$2738,$F411))</f>
        <v/>
      </c>
      <c r="I411" s="11" t="str">
        <f aca="false">IF(INDEX(選手一覧!$F$7:$F$2738,$F411)="","",INDEX(選手一覧!$F$7:$F$2738,$F411))</f>
        <v/>
      </c>
      <c r="J411" s="12" t="str">
        <f aca="false">IF(INDEX(選手一覧!$G$7:$G$2738,$F411)="","",INDEX(選手一覧!$G$7:$G$2738,$F411))</f>
        <v/>
      </c>
    </row>
    <row r="412" customFormat="false" ht="15" hidden="false" customHeight="false" outlineLevel="0" collapsed="false">
      <c r="A412" s="12" t="n">
        <v>408</v>
      </c>
      <c r="B412" s="10" t="s">
        <v>1343</v>
      </c>
      <c r="C412" s="10" t="s">
        <v>1344</v>
      </c>
      <c r="D412" s="11" t="n">
        <v>0.00282777777777778</v>
      </c>
      <c r="E412" s="18" t="n">
        <f aca="false">ROUND((D412-$D$5)*86400,2)</f>
        <v>19.29</v>
      </c>
      <c r="F412" s="12" t="n">
        <v>914</v>
      </c>
      <c r="G412" s="11" t="str">
        <f aca="false">IF(INDEX(選手一覧!$D$7:$D$2738,$F412)="","",INDEX(選手一覧!$D$7:$D$2738,$F412))</f>
        <v/>
      </c>
      <c r="H412" s="12" t="str">
        <f aca="false">IF(INDEX(選手一覧!$E$7:$E$2738,$F412)="","",INDEX(選手一覧!$E$7:$E$2738,$F412))</f>
        <v/>
      </c>
      <c r="I412" s="11" t="str">
        <f aca="false">IF(INDEX(選手一覧!$F$7:$F$2738,$F412)="","",INDEX(選手一覧!$F$7:$F$2738,$F412))</f>
        <v/>
      </c>
      <c r="J412" s="12" t="str">
        <f aca="false">IF(INDEX(選手一覧!$G$7:$G$2738,$F412)="","",INDEX(選手一覧!$G$7:$G$2738,$F412))</f>
        <v/>
      </c>
    </row>
    <row r="413" customFormat="false" ht="15" hidden="false" customHeight="false" outlineLevel="0" collapsed="false">
      <c r="A413" s="12" t="n">
        <v>409</v>
      </c>
      <c r="B413" s="10" t="s">
        <v>1345</v>
      </c>
      <c r="C413" s="10" t="s">
        <v>486</v>
      </c>
      <c r="D413" s="11" t="n">
        <v>0.00282800925925926</v>
      </c>
      <c r="E413" s="18" t="n">
        <f aca="false">ROUND((D413-$D$5)*86400,2)</f>
        <v>19.31</v>
      </c>
      <c r="F413" s="12" t="n">
        <v>915</v>
      </c>
      <c r="G413" s="11" t="n">
        <f aca="false">IF(INDEX(選手一覧!$D$7:$D$2738,$F413)="","",INDEX(選手一覧!$D$7:$D$2738,$F413))</f>
        <v>0.01081875</v>
      </c>
      <c r="H413" s="12" t="n">
        <f aca="false">IF(INDEX(選手一覧!$E$7:$E$2738,$F413)="","",INDEX(選手一覧!$E$7:$E$2738,$F413))</f>
        <v>776</v>
      </c>
      <c r="I413" s="11" t="str">
        <f aca="false">IF(INDEX(選手一覧!$F$7:$F$2738,$F413)="","",INDEX(選手一覧!$F$7:$F$2738,$F413))</f>
        <v/>
      </c>
      <c r="J413" s="12" t="str">
        <f aca="false">IF(INDEX(選手一覧!$G$7:$G$2738,$F413)="","",INDEX(選手一覧!$G$7:$G$2738,$F413))</f>
        <v/>
      </c>
    </row>
    <row r="414" customFormat="false" ht="15" hidden="false" customHeight="false" outlineLevel="0" collapsed="false">
      <c r="A414" s="12" t="n">
        <v>410</v>
      </c>
      <c r="B414" s="10" t="s">
        <v>759</v>
      </c>
      <c r="C414" s="10" t="s">
        <v>312</v>
      </c>
      <c r="D414" s="11" t="n">
        <v>0.00282800925925926</v>
      </c>
      <c r="E414" s="18" t="n">
        <f aca="false">ROUND((D414-$D$5)*86400,2)</f>
        <v>19.31</v>
      </c>
      <c r="F414" s="12" t="n">
        <v>489</v>
      </c>
      <c r="G414" s="11" t="n">
        <f aca="false">IF(INDEX(選手一覧!$D$7:$D$2738,$F414)="","",INDEX(選手一覧!$D$7:$D$2738,$F414))</f>
        <v>0.0108479166666667</v>
      </c>
      <c r="H414" s="12" t="n">
        <f aca="false">IF(INDEX(選手一覧!$E$7:$E$2738,$F414)="","",INDEX(選手一覧!$E$7:$E$2738,$F414))</f>
        <v>830</v>
      </c>
      <c r="I414" s="11" t="n">
        <f aca="false">IF(INDEX(選手一覧!$F$7:$F$2738,$F414)="","",INDEX(選手一覧!$F$7:$F$2738,$F414))</f>
        <v>0.00685613425925926</v>
      </c>
      <c r="J414" s="12" t="n">
        <f aca="false">IF(INDEX(選手一覧!$G$7:$G$2738,$F414)="","",INDEX(選手一覧!$G$7:$G$2738,$F414))</f>
        <v>206</v>
      </c>
    </row>
    <row r="415" customFormat="false" ht="15" hidden="false" customHeight="false" outlineLevel="0" collapsed="false">
      <c r="A415" s="12" t="n">
        <v>411</v>
      </c>
      <c r="B415" s="10" t="s">
        <v>1352</v>
      </c>
      <c r="C415" s="10" t="s">
        <v>1353</v>
      </c>
      <c r="D415" s="11" t="n">
        <v>0.002828125</v>
      </c>
      <c r="E415" s="18" t="n">
        <f aca="false">ROUND((D415-$D$5)*86400,2)</f>
        <v>19.32</v>
      </c>
      <c r="F415" s="12" t="n">
        <v>920</v>
      </c>
      <c r="G415" s="11" t="str">
        <f aca="false">IF(INDEX(選手一覧!$D$7:$D$2738,$F415)="","",INDEX(選手一覧!$D$7:$D$2738,$F415))</f>
        <v/>
      </c>
      <c r="H415" s="12" t="str">
        <f aca="false">IF(INDEX(選手一覧!$E$7:$E$2738,$F415)="","",INDEX(選手一覧!$E$7:$E$2738,$F415))</f>
        <v/>
      </c>
      <c r="I415" s="11" t="str">
        <f aca="false">IF(INDEX(選手一覧!$F$7:$F$2738,$F415)="","",INDEX(選手一覧!$F$7:$F$2738,$F415))</f>
        <v/>
      </c>
      <c r="J415" s="12" t="str">
        <f aca="false">IF(INDEX(選手一覧!$G$7:$G$2738,$F415)="","",INDEX(選手一覧!$G$7:$G$2738,$F415))</f>
        <v/>
      </c>
    </row>
    <row r="416" customFormat="false" ht="15" hidden="false" customHeight="false" outlineLevel="0" collapsed="false">
      <c r="A416" s="12" t="n">
        <v>412</v>
      </c>
      <c r="B416" s="10" t="s">
        <v>1141</v>
      </c>
      <c r="C416" s="10" t="s">
        <v>79</v>
      </c>
      <c r="D416" s="11" t="n">
        <v>0.002828125</v>
      </c>
      <c r="E416" s="18" t="n">
        <f aca="false">ROUND((D416-$D$5)*86400,2)</f>
        <v>19.32</v>
      </c>
      <c r="F416" s="12" t="n">
        <v>770</v>
      </c>
      <c r="G416" s="11" t="n">
        <f aca="false">IF(INDEX(選手一覧!$D$7:$D$2738,$F416)="","",INDEX(選手一覧!$D$7:$D$2738,$F416))</f>
        <v>0.0108413194444445</v>
      </c>
      <c r="H416" s="12" t="n">
        <f aca="false">IF(INDEX(選手一覧!$E$7:$E$2738,$F416)="","",INDEX(選手一覧!$E$7:$E$2738,$F416))</f>
        <v>815</v>
      </c>
      <c r="I416" s="11" t="n">
        <f aca="false">IF(INDEX(選手一覧!$F$7:$F$2738,$F416)="","",INDEX(選手一覧!$F$7:$F$2738,$F416))</f>
        <v>0.00699918981481482</v>
      </c>
      <c r="J416" s="12" t="n">
        <f aca="false">IF(INDEX(選手一覧!$G$7:$G$2738,$F416)="","",INDEX(選手一覧!$G$7:$G$2738,$F416))</f>
        <v>334</v>
      </c>
    </row>
    <row r="417" customFormat="false" ht="15" hidden="false" customHeight="false" outlineLevel="0" collapsed="false">
      <c r="A417" s="12" t="n">
        <v>413</v>
      </c>
      <c r="B417" s="10" t="s">
        <v>344</v>
      </c>
      <c r="C417" s="10" t="s">
        <v>206</v>
      </c>
      <c r="D417" s="11" t="n">
        <v>0.00282824074074074</v>
      </c>
      <c r="E417" s="18" t="n">
        <f aca="false">ROUND((D417-$D$5)*86400,2)</f>
        <v>19.33</v>
      </c>
      <c r="F417" s="12" t="n">
        <v>202</v>
      </c>
      <c r="G417" s="11" t="n">
        <f aca="false">IF(INDEX(選手一覧!$D$7:$D$2738,$F417)="","",INDEX(選手一覧!$D$7:$D$2738,$F417))</f>
        <v>0.010465162037037</v>
      </c>
      <c r="H417" s="12" t="n">
        <f aca="false">IF(INDEX(選手一覧!$E$7:$E$2738,$F417)="","",INDEX(選手一覧!$E$7:$E$2738,$F417))</f>
        <v>315</v>
      </c>
      <c r="I417" s="11" t="n">
        <f aca="false">IF(INDEX(選手一覧!$F$7:$F$2738,$F417)="","",INDEX(選手一覧!$F$7:$F$2738,$F417))</f>
        <v>0.00664930555555556</v>
      </c>
      <c r="J417" s="12" t="n">
        <f aca="false">IF(INDEX(選手一覧!$G$7:$G$2738,$F417)="","",INDEX(選手一覧!$G$7:$G$2738,$F417))</f>
        <v>82</v>
      </c>
    </row>
    <row r="418" customFormat="false" ht="15" hidden="false" customHeight="false" outlineLevel="0" collapsed="false">
      <c r="A418" s="12" t="n">
        <v>414</v>
      </c>
      <c r="B418" s="10" t="s">
        <v>1064</v>
      </c>
      <c r="C418" s="10" t="s">
        <v>1065</v>
      </c>
      <c r="D418" s="11" t="n">
        <v>0.00282835648148148</v>
      </c>
      <c r="E418" s="18" t="n">
        <f aca="false">ROUND((D418-$D$5)*86400,2)</f>
        <v>19.34</v>
      </c>
      <c r="F418" s="12" t="n">
        <v>714</v>
      </c>
      <c r="G418" s="11" t="n">
        <f aca="false">IF(INDEX(選手一覧!$D$7:$D$2738,$F418)="","",INDEX(選手一覧!$D$7:$D$2738,$F418))</f>
        <v>0.0104564814814815</v>
      </c>
      <c r="H418" s="12" t="n">
        <f aca="false">IF(INDEX(選手一覧!$E$7:$E$2738,$F418)="","",INDEX(選手一覧!$E$7:$E$2738,$F418))</f>
        <v>307</v>
      </c>
      <c r="I418" s="11" t="str">
        <f aca="false">IF(INDEX(選手一覧!$F$7:$F$2738,$F418)="","",INDEX(選手一覧!$F$7:$F$2738,$F418))</f>
        <v/>
      </c>
      <c r="J418" s="12" t="str">
        <f aca="false">IF(INDEX(選手一覧!$G$7:$G$2738,$F418)="","",INDEX(選手一覧!$G$7:$G$2738,$F418))</f>
        <v/>
      </c>
    </row>
    <row r="419" customFormat="false" ht="15" hidden="false" customHeight="false" outlineLevel="0" collapsed="false">
      <c r="A419" s="12" t="n">
        <v>415</v>
      </c>
      <c r="B419" s="10" t="s">
        <v>1361</v>
      </c>
      <c r="C419" s="10" t="s">
        <v>1362</v>
      </c>
      <c r="D419" s="11" t="n">
        <v>0.00282858796296296</v>
      </c>
      <c r="E419" s="18" t="n">
        <f aca="false">ROUND((D419-$D$5)*86400,2)</f>
        <v>19.36</v>
      </c>
      <c r="F419" s="12" t="n">
        <v>927</v>
      </c>
      <c r="G419" s="11" t="str">
        <f aca="false">IF(INDEX(選手一覧!$D$7:$D$2738,$F419)="","",INDEX(選手一覧!$D$7:$D$2738,$F419))</f>
        <v/>
      </c>
      <c r="H419" s="12" t="str">
        <f aca="false">IF(INDEX(選手一覧!$E$7:$E$2738,$F419)="","",INDEX(選手一覧!$E$7:$E$2738,$F419))</f>
        <v/>
      </c>
      <c r="I419" s="11" t="str">
        <f aca="false">IF(INDEX(選手一覧!$F$7:$F$2738,$F419)="","",INDEX(選手一覧!$F$7:$F$2738,$F419))</f>
        <v/>
      </c>
      <c r="J419" s="12" t="str">
        <f aca="false">IF(INDEX(選手一覧!$G$7:$G$2738,$F419)="","",INDEX(選手一覧!$G$7:$G$2738,$F419))</f>
        <v/>
      </c>
    </row>
    <row r="420" customFormat="false" ht="15" hidden="false" customHeight="false" outlineLevel="0" collapsed="false">
      <c r="A420" s="12" t="n">
        <v>416</v>
      </c>
      <c r="B420" s="10" t="s">
        <v>1363</v>
      </c>
      <c r="C420" s="10" t="s">
        <v>1364</v>
      </c>
      <c r="D420" s="11" t="n">
        <v>0.0028287037037037</v>
      </c>
      <c r="E420" s="18" t="n">
        <f aca="false">ROUND((D420-$D$5)*86400,2)</f>
        <v>19.37</v>
      </c>
      <c r="F420" s="12" t="n">
        <v>928</v>
      </c>
      <c r="G420" s="11" t="n">
        <f aca="false">IF(INDEX(選手一覧!$D$7:$D$2738,$F420)="","",INDEX(選手一覧!$D$7:$D$2738,$F420))</f>
        <v>0.0105834490740741</v>
      </c>
      <c r="H420" s="12" t="n">
        <f aca="false">IF(INDEX(選手一覧!$E$7:$E$2738,$F420)="","",INDEX(選手一覧!$E$7:$E$2738,$F420))</f>
        <v>440</v>
      </c>
      <c r="I420" s="11" t="str">
        <f aca="false">IF(INDEX(選手一覧!$F$7:$F$2738,$F420)="","",INDEX(選手一覧!$F$7:$F$2738,$F420))</f>
        <v/>
      </c>
      <c r="J420" s="12" t="str">
        <f aca="false">IF(INDEX(選手一覧!$G$7:$G$2738,$F420)="","",INDEX(選手一覧!$G$7:$G$2738,$F420))</f>
        <v/>
      </c>
    </row>
    <row r="421" customFormat="false" ht="15" hidden="false" customHeight="false" outlineLevel="0" collapsed="false">
      <c r="A421" s="12" t="n">
        <v>417</v>
      </c>
      <c r="B421" s="10" t="s">
        <v>1371</v>
      </c>
      <c r="C421" s="10" t="s">
        <v>1372</v>
      </c>
      <c r="D421" s="11" t="n">
        <v>0.00282881944444445</v>
      </c>
      <c r="E421" s="18" t="n">
        <f aca="false">ROUND((D421-$D$5)*86400,2)</f>
        <v>19.38</v>
      </c>
      <c r="F421" s="12" t="n">
        <v>932</v>
      </c>
      <c r="G421" s="11" t="str">
        <f aca="false">IF(INDEX(選手一覧!$D$7:$D$2738,$F421)="","",INDEX(選手一覧!$D$7:$D$2738,$F421))</f>
        <v/>
      </c>
      <c r="H421" s="12" t="str">
        <f aca="false">IF(INDEX(選手一覧!$E$7:$E$2738,$F421)="","",INDEX(選手一覧!$E$7:$E$2738,$F421))</f>
        <v/>
      </c>
      <c r="I421" s="11" t="str">
        <f aca="false">IF(INDEX(選手一覧!$F$7:$F$2738,$F421)="","",INDEX(選手一覧!$F$7:$F$2738,$F421))</f>
        <v/>
      </c>
      <c r="J421" s="12" t="str">
        <f aca="false">IF(INDEX(選手一覧!$G$7:$G$2738,$F421)="","",INDEX(選手一覧!$G$7:$G$2738,$F421))</f>
        <v/>
      </c>
    </row>
    <row r="422" customFormat="false" ht="15" hidden="false" customHeight="false" outlineLevel="0" collapsed="false">
      <c r="A422" s="12" t="n">
        <v>418</v>
      </c>
      <c r="B422" s="10" t="s">
        <v>1373</v>
      </c>
      <c r="C422" s="10" t="s">
        <v>309</v>
      </c>
      <c r="D422" s="11" t="n">
        <v>0.00282881944444445</v>
      </c>
      <c r="E422" s="18" t="n">
        <f aca="false">ROUND((D422-$D$5)*86400,2)</f>
        <v>19.38</v>
      </c>
      <c r="F422" s="12" t="n">
        <v>933</v>
      </c>
      <c r="G422" s="11" t="n">
        <f aca="false">IF(INDEX(選手一覧!$D$7:$D$2738,$F422)="","",INDEX(選手一覧!$D$7:$D$2738,$F422))</f>
        <v>0.0106479166666667</v>
      </c>
      <c r="H422" s="12" t="n">
        <f aca="false">IF(INDEX(選手一覧!$E$7:$E$2738,$F422)="","",INDEX(選手一覧!$E$7:$E$2738,$F422))</f>
        <v>520</v>
      </c>
      <c r="I422" s="11" t="str">
        <f aca="false">IF(INDEX(選手一覧!$F$7:$F$2738,$F422)="","",INDEX(選手一覧!$F$7:$F$2738,$F422))</f>
        <v/>
      </c>
      <c r="J422" s="12" t="str">
        <f aca="false">IF(INDEX(選手一覧!$G$7:$G$2738,$F422)="","",INDEX(選手一覧!$G$7:$G$2738,$F422))</f>
        <v/>
      </c>
    </row>
    <row r="423" customFormat="false" ht="15" hidden="false" customHeight="false" outlineLevel="0" collapsed="false">
      <c r="A423" s="12" t="n">
        <v>419</v>
      </c>
      <c r="B423" s="10" t="s">
        <v>436</v>
      </c>
      <c r="C423" s="10" t="s">
        <v>437</v>
      </c>
      <c r="D423" s="11" t="n">
        <v>0.00282905092592593</v>
      </c>
      <c r="E423" s="18" t="n">
        <f aca="false">ROUND((D423-$D$5)*86400,2)</f>
        <v>19.4</v>
      </c>
      <c r="F423" s="12" t="n">
        <v>268</v>
      </c>
      <c r="G423" s="11" t="n">
        <f aca="false">IF(INDEX(選手一覧!$D$7:$D$2738,$F423)="","",INDEX(選手一覧!$D$7:$D$2738,$F423))</f>
        <v>0.0104903935185185</v>
      </c>
      <c r="H423" s="12" t="n">
        <f aca="false">IF(INDEX(選手一覧!$E$7:$E$2738,$F423)="","",INDEX(選手一覧!$E$7:$E$2738,$F423))</f>
        <v>333</v>
      </c>
      <c r="I423" s="11" t="n">
        <f aca="false">IF(INDEX(選手一覧!$F$7:$F$2738,$F423)="","",INDEX(選手一覧!$F$7:$F$2738,$F423))</f>
        <v>0.00670543981481482</v>
      </c>
      <c r="J423" s="12" t="n">
        <f aca="false">IF(INDEX(選手一覧!$G$7:$G$2738,$F423)="","",INDEX(選手一覧!$G$7:$G$2738,$F423))</f>
        <v>111</v>
      </c>
    </row>
    <row r="424" customFormat="false" ht="15" hidden="false" customHeight="false" outlineLevel="0" collapsed="false">
      <c r="A424" s="12" t="n">
        <v>420</v>
      </c>
      <c r="B424" s="10" t="s">
        <v>819</v>
      </c>
      <c r="C424" s="10" t="s">
        <v>226</v>
      </c>
      <c r="D424" s="11" t="n">
        <v>0.00282905092592593</v>
      </c>
      <c r="E424" s="18" t="n">
        <f aca="false">ROUND((D424-$D$5)*86400,2)</f>
        <v>19.4</v>
      </c>
      <c r="F424" s="12" t="n">
        <v>534</v>
      </c>
      <c r="G424" s="11" t="n">
        <f aca="false">IF(INDEX(選手一覧!$D$7:$D$2738,$F424)="","",INDEX(選手一覧!$D$7:$D$2738,$F424))</f>
        <v>0.010369212962963</v>
      </c>
      <c r="H424" s="12" t="n">
        <f aca="false">IF(INDEX(選手一覧!$E$7:$E$2738,$F424)="","",INDEX(選手一覧!$E$7:$E$2738,$F424))</f>
        <v>224</v>
      </c>
      <c r="I424" s="11" t="str">
        <f aca="false">IF(INDEX(選手一覧!$F$7:$F$2738,$F424)="","",INDEX(選手一覧!$F$7:$F$2738,$F424))</f>
        <v/>
      </c>
      <c r="J424" s="12" t="str">
        <f aca="false">IF(INDEX(選手一覧!$G$7:$G$2738,$F424)="","",INDEX(選手一覧!$G$7:$G$2738,$F424))</f>
        <v/>
      </c>
    </row>
    <row r="425" customFormat="false" ht="15" hidden="false" customHeight="false" outlineLevel="0" collapsed="false">
      <c r="A425" s="12" t="n">
        <v>421</v>
      </c>
      <c r="B425" s="10" t="s">
        <v>281</v>
      </c>
      <c r="C425" s="10" t="s">
        <v>282</v>
      </c>
      <c r="D425" s="11" t="n">
        <v>0.00282916666666667</v>
      </c>
      <c r="E425" s="18" t="n">
        <f aca="false">ROUND((D425-$D$5)*86400,2)</f>
        <v>19.41</v>
      </c>
      <c r="F425" s="12" t="n">
        <v>157</v>
      </c>
      <c r="G425" s="11" t="str">
        <f aca="false">IF(INDEX(選手一覧!$D$7:$D$2738,$F425)="","",INDEX(選手一覧!$D$7:$D$2738,$F425))</f>
        <v/>
      </c>
      <c r="H425" s="12" t="str">
        <f aca="false">IF(INDEX(選手一覧!$E$7:$E$2738,$F425)="","",INDEX(選手一覧!$E$7:$E$2738,$F425))</f>
        <v/>
      </c>
      <c r="I425" s="11" t="n">
        <f aca="false">IF(INDEX(選手一覧!$F$7:$F$2738,$F425)="","",INDEX(選手一覧!$F$7:$F$2738,$F425))</f>
        <v>0.00658125</v>
      </c>
      <c r="J425" s="12" t="n">
        <f aca="false">IF(INDEX(選手一覧!$G$7:$G$2738,$F425)="","",INDEX(選手一覧!$G$7:$G$2738,$F425))</f>
        <v>63</v>
      </c>
    </row>
    <row r="426" customFormat="false" ht="15" hidden="false" customHeight="false" outlineLevel="0" collapsed="false">
      <c r="A426" s="12" t="n">
        <v>422</v>
      </c>
      <c r="B426" s="10" t="s">
        <v>1385</v>
      </c>
      <c r="C426" s="10" t="s">
        <v>1386</v>
      </c>
      <c r="D426" s="11" t="n">
        <v>0.00282928240740741</v>
      </c>
      <c r="E426" s="18" t="n">
        <f aca="false">ROUND((D426-$D$5)*86400,2)</f>
        <v>19.42</v>
      </c>
      <c r="F426" s="12" t="n">
        <v>943</v>
      </c>
      <c r="G426" s="11" t="str">
        <f aca="false">IF(INDEX(選手一覧!$D$7:$D$2738,$F426)="","",INDEX(選手一覧!$D$7:$D$2738,$F426))</f>
        <v/>
      </c>
      <c r="H426" s="12" t="str">
        <f aca="false">IF(INDEX(選手一覧!$E$7:$E$2738,$F426)="","",INDEX(選手一覧!$E$7:$E$2738,$F426))</f>
        <v/>
      </c>
      <c r="I426" s="11" t="str">
        <f aca="false">IF(INDEX(選手一覧!$F$7:$F$2738,$F426)="","",INDEX(選手一覧!$F$7:$F$2738,$F426))</f>
        <v/>
      </c>
      <c r="J426" s="12" t="str">
        <f aca="false">IF(INDEX(選手一覧!$G$7:$G$2738,$F426)="","",INDEX(選手一覧!$G$7:$G$2738,$F426))</f>
        <v/>
      </c>
    </row>
    <row r="427" customFormat="false" ht="15" hidden="false" customHeight="false" outlineLevel="0" collapsed="false">
      <c r="A427" s="12" t="n">
        <v>423</v>
      </c>
      <c r="B427" s="10" t="s">
        <v>1387</v>
      </c>
      <c r="C427" s="10" t="s">
        <v>128</v>
      </c>
      <c r="D427" s="11" t="n">
        <v>0.00282939814814815</v>
      </c>
      <c r="E427" s="18" t="n">
        <f aca="false">ROUND((D427-$D$5)*86400,2)</f>
        <v>19.43</v>
      </c>
      <c r="F427" s="12" t="n">
        <v>944</v>
      </c>
      <c r="G427" s="11" t="str">
        <f aca="false">IF(INDEX(選手一覧!$D$7:$D$2738,$F427)="","",INDEX(選手一覧!$D$7:$D$2738,$F427))</f>
        <v/>
      </c>
      <c r="H427" s="12" t="str">
        <f aca="false">IF(INDEX(選手一覧!$E$7:$E$2738,$F427)="","",INDEX(選手一覧!$E$7:$E$2738,$F427))</f>
        <v/>
      </c>
      <c r="I427" s="11" t="n">
        <f aca="false">IF(INDEX(選手一覧!$F$7:$F$2738,$F427)="","",INDEX(選手一覧!$F$7:$F$2738,$F427))</f>
        <v>0.00794456018518519</v>
      </c>
      <c r="J427" s="12" t="n">
        <f aca="false">IF(INDEX(選手一覧!$G$7:$G$2738,$F427)="","",INDEX(選手一覧!$G$7:$G$2738,$F427))</f>
        <v>1178</v>
      </c>
    </row>
    <row r="428" customFormat="false" ht="15" hidden="false" customHeight="false" outlineLevel="0" collapsed="false">
      <c r="A428" s="12" t="n">
        <v>424</v>
      </c>
      <c r="B428" s="10" t="s">
        <v>469</v>
      </c>
      <c r="C428" s="10" t="s">
        <v>166</v>
      </c>
      <c r="D428" s="11" t="n">
        <v>0.00282962962962963</v>
      </c>
      <c r="E428" s="18" t="n">
        <f aca="false">ROUND((D428-$D$5)*86400,2)</f>
        <v>19.45</v>
      </c>
      <c r="F428" s="12" t="n">
        <v>290</v>
      </c>
      <c r="G428" s="11" t="n">
        <f aca="false">IF(INDEX(選手一覧!$D$7:$D$2738,$F428)="","",INDEX(選手一覧!$D$7:$D$2738,$F428))</f>
        <v>0.0107994212962963</v>
      </c>
      <c r="H428" s="12" t="n">
        <f aca="false">IF(INDEX(選手一覧!$E$7:$E$2738,$F428)="","",INDEX(選手一覧!$E$7:$E$2738,$F428))</f>
        <v>739</v>
      </c>
      <c r="I428" s="11" t="n">
        <f aca="false">IF(INDEX(選手一覧!$F$7:$F$2738,$F428)="","",INDEX(選手一覧!$F$7:$F$2738,$F428))</f>
        <v>0.00673020833333333</v>
      </c>
      <c r="J428" s="12" t="n">
        <f aca="false">IF(INDEX(選手一覧!$G$7:$G$2738,$F428)="","",INDEX(選手一覧!$G$7:$G$2738,$F428))</f>
        <v>120</v>
      </c>
    </row>
    <row r="429" customFormat="false" ht="15" hidden="false" customHeight="false" outlineLevel="0" collapsed="false">
      <c r="A429" s="12" t="n">
        <v>425</v>
      </c>
      <c r="B429" s="10" t="s">
        <v>1394</v>
      </c>
      <c r="C429" s="10" t="s">
        <v>1395</v>
      </c>
      <c r="D429" s="11" t="n">
        <v>0.00282962962962963</v>
      </c>
      <c r="E429" s="18" t="n">
        <f aca="false">ROUND((D429-$D$5)*86400,2)</f>
        <v>19.45</v>
      </c>
      <c r="F429" s="12" t="n">
        <v>950</v>
      </c>
      <c r="G429" s="11" t="str">
        <f aca="false">IF(INDEX(選手一覧!$D$7:$D$2738,$F429)="","",INDEX(選手一覧!$D$7:$D$2738,$F429))</f>
        <v/>
      </c>
      <c r="H429" s="12" t="str">
        <f aca="false">IF(INDEX(選手一覧!$E$7:$E$2738,$F429)="","",INDEX(選手一覧!$E$7:$E$2738,$F429))</f>
        <v/>
      </c>
      <c r="I429" s="11" t="str">
        <f aca="false">IF(INDEX(選手一覧!$F$7:$F$2738,$F429)="","",INDEX(選手一覧!$F$7:$F$2738,$F429))</f>
        <v/>
      </c>
      <c r="J429" s="12" t="str">
        <f aca="false">IF(INDEX(選手一覧!$G$7:$G$2738,$F429)="","",INDEX(選手一覧!$G$7:$G$2738,$F429))</f>
        <v/>
      </c>
    </row>
    <row r="430" customFormat="false" ht="15" hidden="false" customHeight="false" outlineLevel="0" collapsed="false">
      <c r="A430" s="12" t="n">
        <v>426</v>
      </c>
      <c r="B430" s="10" t="s">
        <v>1396</v>
      </c>
      <c r="C430" s="10" t="s">
        <v>261</v>
      </c>
      <c r="D430" s="11" t="n">
        <v>0.00282974537037037</v>
      </c>
      <c r="E430" s="18" t="n">
        <f aca="false">ROUND((D430-$D$5)*86400,2)</f>
        <v>19.46</v>
      </c>
      <c r="F430" s="12" t="n">
        <v>951</v>
      </c>
      <c r="G430" s="11" t="n">
        <f aca="false">IF(INDEX(選手一覧!$D$7:$D$2738,$F430)="","",INDEX(選手一覧!$D$7:$D$2738,$F430))</f>
        <v>0.0107072916666667</v>
      </c>
      <c r="H430" s="12" t="n">
        <f aca="false">IF(INDEX(選手一覧!$E$7:$E$2738,$F430)="","",INDEX(選手一覧!$E$7:$E$2738,$F430))</f>
        <v>592</v>
      </c>
      <c r="I430" s="11" t="n">
        <f aca="false">IF(INDEX(選手一覧!$F$7:$F$2738,$F430)="","",INDEX(選手一覧!$F$7:$F$2738,$F430))</f>
        <v>0.0071912037037037</v>
      </c>
      <c r="J430" s="12" t="n">
        <f aca="false">IF(INDEX(選手一覧!$G$7:$G$2738,$F430)="","",INDEX(選手一覧!$G$7:$G$2738,$F430))</f>
        <v>529</v>
      </c>
    </row>
    <row r="431" customFormat="false" ht="15" hidden="false" customHeight="false" outlineLevel="0" collapsed="false">
      <c r="A431" s="12" t="n">
        <v>427</v>
      </c>
      <c r="B431" s="10" t="s">
        <v>1400</v>
      </c>
      <c r="C431" s="10" t="s">
        <v>695</v>
      </c>
      <c r="D431" s="11" t="n">
        <v>0.00282997685185185</v>
      </c>
      <c r="E431" s="18" t="n">
        <f aca="false">ROUND((D431-$D$5)*86400,2)</f>
        <v>19.48</v>
      </c>
      <c r="F431" s="12" t="n">
        <v>954</v>
      </c>
      <c r="G431" s="11" t="n">
        <f aca="false">IF(INDEX(選手一覧!$D$7:$D$2738,$F431)="","",INDEX(選手一覧!$D$7:$D$2738,$F431))</f>
        <v>0.0106130787037037</v>
      </c>
      <c r="H431" s="12" t="n">
        <f aca="false">IF(INDEX(選手一覧!$E$7:$E$2738,$F431)="","",INDEX(選手一覧!$E$7:$E$2738,$F431))</f>
        <v>483</v>
      </c>
      <c r="I431" s="11" t="str">
        <f aca="false">IF(INDEX(選手一覧!$F$7:$F$2738,$F431)="","",INDEX(選手一覧!$F$7:$F$2738,$F431))</f>
        <v/>
      </c>
      <c r="J431" s="12" t="str">
        <f aca="false">IF(INDEX(選手一覧!$G$7:$G$2738,$F431)="","",INDEX(選手一覧!$G$7:$G$2738,$F431))</f>
        <v/>
      </c>
    </row>
    <row r="432" customFormat="false" ht="15" hidden="false" customHeight="false" outlineLevel="0" collapsed="false">
      <c r="A432" s="12" t="n">
        <v>428</v>
      </c>
      <c r="B432" s="10" t="s">
        <v>1403</v>
      </c>
      <c r="C432" s="10" t="s">
        <v>440</v>
      </c>
      <c r="D432" s="11" t="n">
        <v>0.00283009259259259</v>
      </c>
      <c r="E432" s="18" t="n">
        <f aca="false">ROUND((D432-$D$5)*86400,2)</f>
        <v>19.49</v>
      </c>
      <c r="F432" s="12" t="n">
        <v>957</v>
      </c>
      <c r="G432" s="11" t="n">
        <f aca="false">IF(INDEX(選手一覧!$D$7:$D$2738,$F432)="","",INDEX(選手一覧!$D$7:$D$2738,$F432))</f>
        <v>0.0108291666666667</v>
      </c>
      <c r="H432" s="12" t="n">
        <f aca="false">IF(INDEX(選手一覧!$E$7:$E$2738,$F432)="","",INDEX(選手一覧!$E$7:$E$2738,$F432))</f>
        <v>788</v>
      </c>
      <c r="I432" s="11" t="str">
        <f aca="false">IF(INDEX(選手一覧!$F$7:$F$2738,$F432)="","",INDEX(選手一覧!$F$7:$F$2738,$F432))</f>
        <v/>
      </c>
      <c r="J432" s="12" t="str">
        <f aca="false">IF(INDEX(選手一覧!$G$7:$G$2738,$F432)="","",INDEX(選手一覧!$G$7:$G$2738,$F432))</f>
        <v/>
      </c>
    </row>
    <row r="433" customFormat="false" ht="15" hidden="false" customHeight="false" outlineLevel="0" collapsed="false">
      <c r="A433" s="12" t="n">
        <v>429</v>
      </c>
      <c r="B433" s="10" t="s">
        <v>623</v>
      </c>
      <c r="C433" s="10" t="s">
        <v>147</v>
      </c>
      <c r="D433" s="11" t="n">
        <v>0.00283043981481482</v>
      </c>
      <c r="E433" s="18" t="n">
        <f aca="false">ROUND((D433-$D$5)*86400,2)</f>
        <v>19.52</v>
      </c>
      <c r="F433" s="12" t="n">
        <v>393</v>
      </c>
      <c r="G433" s="11" t="n">
        <f aca="false">IF(INDEX(選手一覧!$D$7:$D$2738,$F433)="","",INDEX(選手一覧!$D$7:$D$2738,$F433))</f>
        <v>0.0103112268518519</v>
      </c>
      <c r="H433" s="12" t="n">
        <f aca="false">IF(INDEX(選手一覧!$E$7:$E$2738,$F433)="","",INDEX(選手一覧!$E$7:$E$2738,$F433))</f>
        <v>166</v>
      </c>
      <c r="I433" s="11" t="str">
        <f aca="false">IF(INDEX(選手一覧!$F$7:$F$2738,$F433)="","",INDEX(選手一覧!$F$7:$F$2738,$F433))</f>
        <v/>
      </c>
      <c r="J433" s="12" t="str">
        <f aca="false">IF(INDEX(選手一覧!$G$7:$G$2738,$F433)="","",INDEX(選手一覧!$G$7:$G$2738,$F433))</f>
        <v/>
      </c>
    </row>
    <row r="434" customFormat="false" ht="15" hidden="false" customHeight="false" outlineLevel="0" collapsed="false">
      <c r="A434" s="12" t="n">
        <v>430</v>
      </c>
      <c r="B434" s="10" t="s">
        <v>510</v>
      </c>
      <c r="C434" s="10" t="s">
        <v>511</v>
      </c>
      <c r="D434" s="11" t="n">
        <v>0.0028306712962963</v>
      </c>
      <c r="E434" s="18" t="n">
        <f aca="false">ROUND((D434-$D$5)*86400,2)</f>
        <v>19.54</v>
      </c>
      <c r="F434" s="12" t="n">
        <v>316</v>
      </c>
      <c r="G434" s="11" t="str">
        <f aca="false">IF(INDEX(選手一覧!$D$7:$D$2738,$F434)="","",INDEX(選手一覧!$D$7:$D$2738,$F434))</f>
        <v/>
      </c>
      <c r="H434" s="12" t="str">
        <f aca="false">IF(INDEX(選手一覧!$E$7:$E$2738,$F434)="","",INDEX(選手一覧!$E$7:$E$2738,$F434))</f>
        <v/>
      </c>
      <c r="I434" s="11" t="n">
        <f aca="false">IF(INDEX(選手一覧!$F$7:$F$2738,$F434)="","",INDEX(選手一覧!$F$7:$F$2738,$F434))</f>
        <v>0.00675428240740741</v>
      </c>
      <c r="J434" s="12" t="n">
        <f aca="false">IF(INDEX(選手一覧!$G$7:$G$2738,$F434)="","",INDEX(選手一覧!$G$7:$G$2738,$F434))</f>
        <v>131</v>
      </c>
    </row>
    <row r="435" customFormat="false" ht="15" hidden="false" customHeight="false" outlineLevel="0" collapsed="false">
      <c r="A435" s="12" t="n">
        <v>431</v>
      </c>
      <c r="B435" s="10" t="s">
        <v>1410</v>
      </c>
      <c r="C435" s="10" t="s">
        <v>1411</v>
      </c>
      <c r="D435" s="11" t="n">
        <v>0.0028306712962963</v>
      </c>
      <c r="E435" s="18" t="n">
        <f aca="false">ROUND((D435-$D$5)*86400,2)</f>
        <v>19.54</v>
      </c>
      <c r="F435" s="12" t="n">
        <v>963</v>
      </c>
      <c r="G435" s="11" t="n">
        <f aca="false">IF(INDEX(選手一覧!$D$7:$D$2738,$F435)="","",INDEX(選手一覧!$D$7:$D$2738,$F435))</f>
        <v>0.0106138888888889</v>
      </c>
      <c r="H435" s="12" t="n">
        <f aca="false">IF(INDEX(選手一覧!$E$7:$E$2738,$F435)="","",INDEX(選手一覧!$E$7:$E$2738,$F435))</f>
        <v>485</v>
      </c>
      <c r="I435" s="11" t="str">
        <f aca="false">IF(INDEX(選手一覧!$F$7:$F$2738,$F435)="","",INDEX(選手一覧!$F$7:$F$2738,$F435))</f>
        <v/>
      </c>
      <c r="J435" s="12" t="str">
        <f aca="false">IF(INDEX(選手一覧!$G$7:$G$2738,$F435)="","",INDEX(選手一覧!$G$7:$G$2738,$F435))</f>
        <v/>
      </c>
    </row>
    <row r="436" customFormat="false" ht="15" hidden="false" customHeight="false" outlineLevel="0" collapsed="false">
      <c r="A436" s="12" t="n">
        <v>432</v>
      </c>
      <c r="B436" s="10" t="s">
        <v>1416</v>
      </c>
      <c r="C436" s="10" t="s">
        <v>1417</v>
      </c>
      <c r="D436" s="11" t="n">
        <v>0.00283078703703704</v>
      </c>
      <c r="E436" s="18" t="n">
        <f aca="false">ROUND((D436-$D$5)*86400,2)</f>
        <v>19.55</v>
      </c>
      <c r="F436" s="12" t="n">
        <v>967</v>
      </c>
      <c r="G436" s="11" t="n">
        <f aca="false">IF(INDEX(選手一覧!$D$7:$D$2738,$F436)="","",INDEX(選手一覧!$D$7:$D$2738,$F436))</f>
        <v>0.0108181712962963</v>
      </c>
      <c r="H436" s="12" t="n">
        <f aca="false">IF(INDEX(選手一覧!$E$7:$E$2738,$F436)="","",INDEX(選手一覧!$E$7:$E$2738,$F436))</f>
        <v>774</v>
      </c>
      <c r="I436" s="11" t="str">
        <f aca="false">IF(INDEX(選手一覧!$F$7:$F$2738,$F436)="","",INDEX(選手一覧!$F$7:$F$2738,$F436))</f>
        <v/>
      </c>
      <c r="J436" s="12" t="str">
        <f aca="false">IF(INDEX(選手一覧!$G$7:$G$2738,$F436)="","",INDEX(選手一覧!$G$7:$G$2738,$F436))</f>
        <v/>
      </c>
    </row>
    <row r="437" customFormat="false" ht="15" hidden="false" customHeight="false" outlineLevel="0" collapsed="false">
      <c r="A437" s="12" t="n">
        <v>433</v>
      </c>
      <c r="B437" s="10" t="s">
        <v>1418</v>
      </c>
      <c r="C437" s="10" t="s">
        <v>242</v>
      </c>
      <c r="D437" s="11" t="n">
        <v>0.00283101851851852</v>
      </c>
      <c r="E437" s="18" t="n">
        <f aca="false">ROUND((D437-$D$5)*86400,2)</f>
        <v>19.57</v>
      </c>
      <c r="F437" s="12" t="n">
        <v>968</v>
      </c>
      <c r="G437" s="11" t="str">
        <f aca="false">IF(INDEX(選手一覧!$D$7:$D$2738,$F437)="","",INDEX(選手一覧!$D$7:$D$2738,$F437))</f>
        <v/>
      </c>
      <c r="H437" s="12" t="str">
        <f aca="false">IF(INDEX(選手一覧!$E$7:$E$2738,$F437)="","",INDEX(選手一覧!$E$7:$E$2738,$F437))</f>
        <v/>
      </c>
      <c r="I437" s="11" t="str">
        <f aca="false">IF(INDEX(選手一覧!$F$7:$F$2738,$F437)="","",INDEX(選手一覧!$F$7:$F$2738,$F437))</f>
        <v/>
      </c>
      <c r="J437" s="12" t="str">
        <f aca="false">IF(INDEX(選手一覧!$G$7:$G$2738,$F437)="","",INDEX(選手一覧!$G$7:$G$2738,$F437))</f>
        <v/>
      </c>
    </row>
    <row r="438" customFormat="false" ht="15" hidden="false" customHeight="false" outlineLevel="0" collapsed="false">
      <c r="A438" s="12" t="n">
        <v>434</v>
      </c>
      <c r="B438" s="10" t="s">
        <v>1421</v>
      </c>
      <c r="C438" s="10" t="s">
        <v>1210</v>
      </c>
      <c r="D438" s="11" t="n">
        <v>0.00283159722222222</v>
      </c>
      <c r="E438" s="18" t="n">
        <f aca="false">ROUND((D438-$D$5)*86400,2)</f>
        <v>19.62</v>
      </c>
      <c r="F438" s="12" t="n">
        <v>971</v>
      </c>
      <c r="G438" s="11" t="str">
        <f aca="false">IF(INDEX(選手一覧!$D$7:$D$2738,$F438)="","",INDEX(選手一覧!$D$7:$D$2738,$F438))</f>
        <v/>
      </c>
      <c r="H438" s="12" t="str">
        <f aca="false">IF(INDEX(選手一覧!$E$7:$E$2738,$F438)="","",INDEX(選手一覧!$E$7:$E$2738,$F438))</f>
        <v/>
      </c>
      <c r="I438" s="11" t="str">
        <f aca="false">IF(INDEX(選手一覧!$F$7:$F$2738,$F438)="","",INDEX(選手一覧!$F$7:$F$2738,$F438))</f>
        <v/>
      </c>
      <c r="J438" s="12" t="str">
        <f aca="false">IF(INDEX(選手一覧!$G$7:$G$2738,$F438)="","",INDEX(選手一覧!$G$7:$G$2738,$F438))</f>
        <v/>
      </c>
    </row>
    <row r="439" customFormat="false" ht="15" hidden="false" customHeight="false" outlineLevel="0" collapsed="false">
      <c r="A439" s="12" t="n">
        <v>435</v>
      </c>
      <c r="B439" s="10" t="s">
        <v>1426</v>
      </c>
      <c r="C439" s="10" t="s">
        <v>234</v>
      </c>
      <c r="D439" s="11" t="n">
        <v>0.00283159722222222</v>
      </c>
      <c r="E439" s="18" t="n">
        <f aca="false">ROUND((D439-$D$5)*86400,2)</f>
        <v>19.62</v>
      </c>
      <c r="F439" s="12" t="n">
        <v>974</v>
      </c>
      <c r="G439" s="11" t="n">
        <f aca="false">IF(INDEX(選手一覧!$D$7:$D$2738,$F439)="","",INDEX(選手一覧!$D$7:$D$2738,$F439))</f>
        <v>0.0110269675925926</v>
      </c>
      <c r="H439" s="12" t="n">
        <f aca="false">IF(INDEX(選手一覧!$E$7:$E$2738,$F439)="","",INDEX(選手一覧!$E$7:$E$2738,$F439))</f>
        <v>1144</v>
      </c>
      <c r="I439" s="11" t="str">
        <f aca="false">IF(INDEX(選手一覧!$F$7:$F$2738,$F439)="","",INDEX(選手一覧!$F$7:$F$2738,$F439))</f>
        <v/>
      </c>
      <c r="J439" s="12" t="str">
        <f aca="false">IF(INDEX(選手一覧!$G$7:$G$2738,$F439)="","",INDEX(選手一覧!$G$7:$G$2738,$F439))</f>
        <v/>
      </c>
    </row>
    <row r="440" customFormat="false" ht="15" hidden="false" customHeight="false" outlineLevel="0" collapsed="false">
      <c r="A440" s="12" t="n">
        <v>436</v>
      </c>
      <c r="B440" s="10" t="s">
        <v>1379</v>
      </c>
      <c r="C440" s="10" t="s">
        <v>49</v>
      </c>
      <c r="D440" s="11" t="n">
        <v>0.00283171296296296</v>
      </c>
      <c r="E440" s="18" t="n">
        <f aca="false">ROUND((D440-$D$5)*86400,2)</f>
        <v>19.63</v>
      </c>
      <c r="F440" s="12" t="n">
        <v>939</v>
      </c>
      <c r="G440" s="11" t="n">
        <f aca="false">IF(INDEX(選手一覧!$D$7:$D$2738,$F440)="","",INDEX(選手一覧!$D$7:$D$2738,$F440))</f>
        <v>0.0105658564814815</v>
      </c>
      <c r="H440" s="12" t="n">
        <f aca="false">IF(INDEX(選手一覧!$E$7:$E$2738,$F440)="","",INDEX(選手一覧!$E$7:$E$2738,$F440))</f>
        <v>420</v>
      </c>
      <c r="I440" s="11" t="str">
        <f aca="false">IF(INDEX(選手一覧!$F$7:$F$2738,$F440)="","",INDEX(選手一覧!$F$7:$F$2738,$F440))</f>
        <v/>
      </c>
      <c r="J440" s="12" t="str">
        <f aca="false">IF(INDEX(選手一覧!$G$7:$G$2738,$F440)="","",INDEX(選手一覧!$G$7:$G$2738,$F440))</f>
        <v/>
      </c>
    </row>
    <row r="441" customFormat="false" ht="15" hidden="false" customHeight="false" outlineLevel="0" collapsed="false">
      <c r="A441" s="12" t="n">
        <v>437</v>
      </c>
      <c r="B441" s="10" t="s">
        <v>1429</v>
      </c>
      <c r="C441" s="10" t="s">
        <v>377</v>
      </c>
      <c r="D441" s="11" t="n">
        <v>0.00283171296296296</v>
      </c>
      <c r="E441" s="18" t="n">
        <f aca="false">ROUND((D441-$D$5)*86400,2)</f>
        <v>19.63</v>
      </c>
      <c r="F441" s="12" t="n">
        <v>977</v>
      </c>
      <c r="G441" s="11" t="n">
        <f aca="false">IF(INDEX(選手一覧!$D$7:$D$2738,$F441)="","",INDEX(選手一覧!$D$7:$D$2738,$F441))</f>
        <v>0.0108622685185185</v>
      </c>
      <c r="H441" s="12" t="n">
        <f aca="false">IF(INDEX(選手一覧!$E$7:$E$2738,$F441)="","",INDEX(選手一覧!$E$7:$E$2738,$F441))</f>
        <v>855</v>
      </c>
      <c r="I441" s="11" t="str">
        <f aca="false">IF(INDEX(選手一覧!$F$7:$F$2738,$F441)="","",INDEX(選手一覧!$F$7:$F$2738,$F441))</f>
        <v/>
      </c>
      <c r="J441" s="12" t="str">
        <f aca="false">IF(INDEX(選手一覧!$G$7:$G$2738,$F441)="","",INDEX(選手一覧!$G$7:$G$2738,$F441))</f>
        <v/>
      </c>
    </row>
    <row r="442" customFormat="false" ht="15" hidden="false" customHeight="false" outlineLevel="0" collapsed="false">
      <c r="A442" s="12" t="n">
        <v>438</v>
      </c>
      <c r="B442" s="10" t="s">
        <v>1432</v>
      </c>
      <c r="C442" s="10" t="s">
        <v>358</v>
      </c>
      <c r="D442" s="11" t="n">
        <v>0.0028318287037037</v>
      </c>
      <c r="E442" s="18" t="n">
        <f aca="false">ROUND((D442-$D$5)*86400,2)</f>
        <v>19.64</v>
      </c>
      <c r="F442" s="12" t="n">
        <v>980</v>
      </c>
      <c r="G442" s="11" t="str">
        <f aca="false">IF(INDEX(選手一覧!$D$7:$D$2738,$F442)="","",INDEX(選手一覧!$D$7:$D$2738,$F442))</f>
        <v/>
      </c>
      <c r="H442" s="12" t="str">
        <f aca="false">IF(INDEX(選手一覧!$E$7:$E$2738,$F442)="","",INDEX(選手一覧!$E$7:$E$2738,$F442))</f>
        <v/>
      </c>
      <c r="I442" s="11" t="str">
        <f aca="false">IF(INDEX(選手一覧!$F$7:$F$2738,$F442)="","",INDEX(選手一覧!$F$7:$F$2738,$F442))</f>
        <v/>
      </c>
      <c r="J442" s="12" t="str">
        <f aca="false">IF(INDEX(選手一覧!$G$7:$G$2738,$F442)="","",INDEX(選手一覧!$G$7:$G$2738,$F442))</f>
        <v/>
      </c>
    </row>
    <row r="443" customFormat="false" ht="15" hidden="false" customHeight="false" outlineLevel="0" collapsed="false">
      <c r="A443" s="12" t="n">
        <v>439</v>
      </c>
      <c r="B443" s="10" t="s">
        <v>1434</v>
      </c>
      <c r="C443" s="10" t="s">
        <v>931</v>
      </c>
      <c r="D443" s="11" t="n">
        <v>0.00283194444444445</v>
      </c>
      <c r="E443" s="18" t="n">
        <f aca="false">ROUND((D443-$D$5)*86400,2)</f>
        <v>19.65</v>
      </c>
      <c r="F443" s="12" t="n">
        <v>982</v>
      </c>
      <c r="G443" s="11" t="str">
        <f aca="false">IF(INDEX(選手一覧!$D$7:$D$2738,$F443)="","",INDEX(選手一覧!$D$7:$D$2738,$F443))</f>
        <v/>
      </c>
      <c r="H443" s="12" t="str">
        <f aca="false">IF(INDEX(選手一覧!$E$7:$E$2738,$F443)="","",INDEX(選手一覧!$E$7:$E$2738,$F443))</f>
        <v/>
      </c>
      <c r="I443" s="11" t="str">
        <f aca="false">IF(INDEX(選手一覧!$F$7:$F$2738,$F443)="","",INDEX(選手一覧!$F$7:$F$2738,$F443))</f>
        <v/>
      </c>
      <c r="J443" s="12" t="str">
        <f aca="false">IF(INDEX(選手一覧!$G$7:$G$2738,$F443)="","",INDEX(選手一覧!$G$7:$G$2738,$F443))</f>
        <v/>
      </c>
    </row>
    <row r="444" customFormat="false" ht="15" hidden="false" customHeight="false" outlineLevel="0" collapsed="false">
      <c r="A444" s="12" t="n">
        <v>440</v>
      </c>
      <c r="B444" s="10" t="s">
        <v>1437</v>
      </c>
      <c r="C444" s="10" t="s">
        <v>1438</v>
      </c>
      <c r="D444" s="11" t="n">
        <v>0.00283217592592593</v>
      </c>
      <c r="E444" s="18" t="n">
        <f aca="false">ROUND((D444-$D$5)*86400,2)</f>
        <v>19.67</v>
      </c>
      <c r="F444" s="12" t="n">
        <v>984</v>
      </c>
      <c r="G444" s="11" t="str">
        <f aca="false">IF(INDEX(選手一覧!$D$7:$D$2738,$F444)="","",INDEX(選手一覧!$D$7:$D$2738,$F444))</f>
        <v/>
      </c>
      <c r="H444" s="12" t="str">
        <f aca="false">IF(INDEX(選手一覧!$E$7:$E$2738,$F444)="","",INDEX(選手一覧!$E$7:$E$2738,$F444))</f>
        <v/>
      </c>
      <c r="I444" s="11" t="str">
        <f aca="false">IF(INDEX(選手一覧!$F$7:$F$2738,$F444)="","",INDEX(選手一覧!$F$7:$F$2738,$F444))</f>
        <v/>
      </c>
      <c r="J444" s="12" t="str">
        <f aca="false">IF(INDEX(選手一覧!$G$7:$G$2738,$F444)="","",INDEX(選手一覧!$G$7:$G$2738,$F444))</f>
        <v/>
      </c>
    </row>
    <row r="445" customFormat="false" ht="15" hidden="false" customHeight="false" outlineLevel="0" collapsed="false">
      <c r="A445" s="12" t="n">
        <v>441</v>
      </c>
      <c r="B445" s="10" t="s">
        <v>1441</v>
      </c>
      <c r="C445" s="10" t="s">
        <v>64</v>
      </c>
      <c r="D445" s="11" t="n">
        <v>0.00283229166666667</v>
      </c>
      <c r="E445" s="18" t="n">
        <f aca="false">ROUND((D445-$D$5)*86400,2)</f>
        <v>19.68</v>
      </c>
      <c r="F445" s="12" t="n">
        <v>986</v>
      </c>
      <c r="G445" s="11" t="n">
        <f aca="false">IF(INDEX(選手一覧!$D$7:$D$2738,$F445)="","",INDEX(選手一覧!$D$7:$D$2738,$F445))</f>
        <v>0.0109368055555556</v>
      </c>
      <c r="H445" s="12" t="n">
        <f aca="false">IF(INDEX(選手一覧!$E$7:$E$2738,$F445)="","",INDEX(選手一覧!$E$7:$E$2738,$F445))</f>
        <v>978</v>
      </c>
      <c r="I445" s="11" t="str">
        <f aca="false">IF(INDEX(選手一覧!$F$7:$F$2738,$F445)="","",INDEX(選手一覧!$F$7:$F$2738,$F445))</f>
        <v/>
      </c>
      <c r="J445" s="12" t="str">
        <f aca="false">IF(INDEX(選手一覧!$G$7:$G$2738,$F445)="","",INDEX(選手一覧!$G$7:$G$2738,$F445))</f>
        <v/>
      </c>
    </row>
    <row r="446" customFormat="false" ht="15" hidden="false" customHeight="false" outlineLevel="0" collapsed="false">
      <c r="A446" s="12" t="n">
        <v>442</v>
      </c>
      <c r="B446" s="10" t="s">
        <v>516</v>
      </c>
      <c r="C446" s="10" t="s">
        <v>473</v>
      </c>
      <c r="D446" s="11" t="n">
        <v>0.00283229166666667</v>
      </c>
      <c r="E446" s="18" t="n">
        <f aca="false">ROUND((D446-$D$5)*86400,2)</f>
        <v>19.68</v>
      </c>
      <c r="F446" s="12" t="n">
        <v>320</v>
      </c>
      <c r="G446" s="11" t="n">
        <f aca="false">IF(INDEX(選手一覧!$D$7:$D$2738,$F446)="","",INDEX(選手一覧!$D$7:$D$2738,$F446))</f>
        <v>0.0109390046296296</v>
      </c>
      <c r="H446" s="12" t="n">
        <f aca="false">IF(INDEX(選手一覧!$E$7:$E$2738,$F446)="","",INDEX(選手一覧!$E$7:$E$2738,$F446))</f>
        <v>980</v>
      </c>
      <c r="I446" s="11" t="n">
        <f aca="false">IF(INDEX(選手一覧!$F$7:$F$2738,$F446)="","",INDEX(選手一覧!$F$7:$F$2738,$F446))</f>
        <v>0.0067556712962963</v>
      </c>
      <c r="J446" s="12" t="n">
        <f aca="false">IF(INDEX(選手一覧!$G$7:$G$2738,$F446)="","",INDEX(選手一覧!$G$7:$G$2738,$F446))</f>
        <v>133</v>
      </c>
    </row>
    <row r="447" customFormat="false" ht="15" hidden="false" customHeight="false" outlineLevel="0" collapsed="false">
      <c r="A447" s="12" t="n">
        <v>443</v>
      </c>
      <c r="B447" s="10" t="s">
        <v>1447</v>
      </c>
      <c r="C447" s="10" t="s">
        <v>460</v>
      </c>
      <c r="D447" s="11" t="n">
        <v>0.00283263888888889</v>
      </c>
      <c r="E447" s="18" t="n">
        <f aca="false">ROUND((D447-$D$5)*86400,2)</f>
        <v>19.71</v>
      </c>
      <c r="F447" s="12" t="n">
        <v>991</v>
      </c>
      <c r="G447" s="11" t="n">
        <f aca="false">IF(INDEX(選手一覧!$D$7:$D$2738,$F447)="","",INDEX(選手一覧!$D$7:$D$2738,$F447))</f>
        <v>0.0106041666666667</v>
      </c>
      <c r="H447" s="12" t="n">
        <f aca="false">IF(INDEX(選手一覧!$E$7:$E$2738,$F447)="","",INDEX(選手一覧!$E$7:$E$2738,$F447))</f>
        <v>467</v>
      </c>
      <c r="I447" s="11" t="str">
        <f aca="false">IF(INDEX(選手一覧!$F$7:$F$2738,$F447)="","",INDEX(選手一覧!$F$7:$F$2738,$F447))</f>
        <v/>
      </c>
      <c r="J447" s="12" t="str">
        <f aca="false">IF(INDEX(選手一覧!$G$7:$G$2738,$F447)="","",INDEX(選手一覧!$G$7:$G$2738,$F447))</f>
        <v/>
      </c>
    </row>
    <row r="448" customFormat="false" ht="15" hidden="false" customHeight="false" outlineLevel="0" collapsed="false">
      <c r="A448" s="12" t="n">
        <v>444</v>
      </c>
      <c r="B448" s="10" t="s">
        <v>1448</v>
      </c>
      <c r="C448" s="10" t="s">
        <v>112</v>
      </c>
      <c r="D448" s="11" t="n">
        <v>0.00283263888888889</v>
      </c>
      <c r="E448" s="18" t="n">
        <f aca="false">ROUND((D448-$D$5)*86400,2)</f>
        <v>19.71</v>
      </c>
      <c r="F448" s="12" t="n">
        <v>992</v>
      </c>
      <c r="G448" s="11" t="n">
        <f aca="false">IF(INDEX(選手一覧!$D$7:$D$2738,$F448)="","",INDEX(選手一覧!$D$7:$D$2738,$F448))</f>
        <v>0.0106210648148148</v>
      </c>
      <c r="H448" s="12" t="n">
        <f aca="false">IF(INDEX(選手一覧!$E$7:$E$2738,$F448)="","",INDEX(選手一覧!$E$7:$E$2738,$F448))</f>
        <v>498</v>
      </c>
      <c r="I448" s="11" t="str">
        <f aca="false">IF(INDEX(選手一覧!$F$7:$F$2738,$F448)="","",INDEX(選手一覧!$F$7:$F$2738,$F448))</f>
        <v/>
      </c>
      <c r="J448" s="12" t="str">
        <f aca="false">IF(INDEX(選手一覧!$G$7:$G$2738,$F448)="","",INDEX(選手一覧!$G$7:$G$2738,$F448))</f>
        <v/>
      </c>
    </row>
    <row r="449" customFormat="false" ht="15" hidden="false" customHeight="false" outlineLevel="0" collapsed="false">
      <c r="A449" s="12" t="n">
        <v>445</v>
      </c>
      <c r="B449" s="10" t="s">
        <v>1451</v>
      </c>
      <c r="C449" s="10" t="s">
        <v>810</v>
      </c>
      <c r="D449" s="11" t="n">
        <v>0.00283298611111111</v>
      </c>
      <c r="E449" s="18" t="n">
        <f aca="false">ROUND((D449-$D$5)*86400,2)</f>
        <v>19.74</v>
      </c>
      <c r="F449" s="12" t="n">
        <v>995</v>
      </c>
      <c r="G449" s="11" t="str">
        <f aca="false">IF(INDEX(選手一覧!$D$7:$D$2738,$F449)="","",INDEX(選手一覧!$D$7:$D$2738,$F449))</f>
        <v/>
      </c>
      <c r="H449" s="12" t="str">
        <f aca="false">IF(INDEX(選手一覧!$E$7:$E$2738,$F449)="","",INDEX(選手一覧!$E$7:$E$2738,$F449))</f>
        <v/>
      </c>
      <c r="I449" s="11" t="str">
        <f aca="false">IF(INDEX(選手一覧!$F$7:$F$2738,$F449)="","",INDEX(選手一覧!$F$7:$F$2738,$F449))</f>
        <v/>
      </c>
      <c r="J449" s="12" t="str">
        <f aca="false">IF(INDEX(選手一覧!$G$7:$G$2738,$F449)="","",INDEX(選手一覧!$G$7:$G$2738,$F449))</f>
        <v/>
      </c>
    </row>
    <row r="450" customFormat="false" ht="15" hidden="false" customHeight="false" outlineLevel="0" collapsed="false">
      <c r="A450" s="12" t="n">
        <v>446</v>
      </c>
      <c r="B450" s="10" t="s">
        <v>1452</v>
      </c>
      <c r="C450" s="10" t="s">
        <v>1453</v>
      </c>
      <c r="D450" s="11" t="n">
        <v>0.00283310185185185</v>
      </c>
      <c r="E450" s="18" t="n">
        <f aca="false">ROUND((D450-$D$5)*86400,2)</f>
        <v>19.75</v>
      </c>
      <c r="F450" s="12" t="n">
        <v>996</v>
      </c>
      <c r="G450" s="11" t="n">
        <f aca="false">IF(INDEX(選手一覧!$D$7:$D$2738,$F450)="","",INDEX(選手一覧!$D$7:$D$2738,$F450))</f>
        <v>0.0107634259259259</v>
      </c>
      <c r="H450" s="12" t="n">
        <f aca="false">IF(INDEX(選手一覧!$E$7:$E$2738,$F450)="","",INDEX(選手一覧!$E$7:$E$2738,$F450))</f>
        <v>687</v>
      </c>
      <c r="I450" s="11" t="str">
        <f aca="false">IF(INDEX(選手一覧!$F$7:$F$2738,$F450)="","",INDEX(選手一覧!$F$7:$F$2738,$F450))</f>
        <v/>
      </c>
      <c r="J450" s="12" t="str">
        <f aca="false">IF(INDEX(選手一覧!$G$7:$G$2738,$F450)="","",INDEX(選手一覧!$G$7:$G$2738,$F450))</f>
        <v/>
      </c>
    </row>
    <row r="451" customFormat="false" ht="15" hidden="false" customHeight="false" outlineLevel="0" collapsed="false">
      <c r="A451" s="12" t="n">
        <v>447</v>
      </c>
      <c r="B451" s="10" t="s">
        <v>1056</v>
      </c>
      <c r="C451" s="10" t="s">
        <v>652</v>
      </c>
      <c r="D451" s="11" t="n">
        <v>0.00283356481481482</v>
      </c>
      <c r="E451" s="18" t="n">
        <f aca="false">ROUND((D451-$D$5)*86400,2)</f>
        <v>19.79</v>
      </c>
      <c r="F451" s="12" t="n">
        <v>708</v>
      </c>
      <c r="G451" s="11" t="n">
        <f aca="false">IF(INDEX(選手一覧!$D$7:$D$2738,$F451)="","",INDEX(選手一覧!$D$7:$D$2738,$F451))</f>
        <v>0.011041087962963</v>
      </c>
      <c r="H451" s="12" t="n">
        <f aca="false">IF(INDEX(選手一覧!$E$7:$E$2738,$F451)="","",INDEX(選手一覧!$E$7:$E$2738,$F451))</f>
        <v>1181</v>
      </c>
      <c r="I451" s="11" t="n">
        <f aca="false">IF(INDEX(選手一覧!$F$7:$F$2738,$F451)="","",INDEX(選手一覧!$F$7:$F$2738,$F451))</f>
        <v>0.00696898148148148</v>
      </c>
      <c r="J451" s="12" t="n">
        <f aca="false">IF(INDEX(選手一覧!$G$7:$G$2738,$F451)="","",INDEX(選手一覧!$G$7:$G$2738,$F451))</f>
        <v>304</v>
      </c>
    </row>
    <row r="452" customFormat="false" ht="15" hidden="false" customHeight="false" outlineLevel="0" collapsed="false">
      <c r="A452" s="12" t="n">
        <v>448</v>
      </c>
      <c r="B452" s="10" t="s">
        <v>1393</v>
      </c>
      <c r="C452" s="10" t="s">
        <v>116</v>
      </c>
      <c r="D452" s="11" t="n">
        <v>0.00283368055555556</v>
      </c>
      <c r="E452" s="18" t="n">
        <f aca="false">ROUND((D452-$D$5)*86400,2)</f>
        <v>19.8</v>
      </c>
      <c r="F452" s="12" t="n">
        <v>949</v>
      </c>
      <c r="G452" s="11" t="str">
        <f aca="false">IF(INDEX(選手一覧!$D$7:$D$2738,$F452)="","",INDEX(選手一覧!$D$7:$D$2738,$F452))</f>
        <v/>
      </c>
      <c r="H452" s="12" t="str">
        <f aca="false">IF(INDEX(選手一覧!$E$7:$E$2738,$F452)="","",INDEX(選手一覧!$E$7:$E$2738,$F452))</f>
        <v/>
      </c>
      <c r="I452" s="11" t="n">
        <f aca="false">IF(INDEX(選手一覧!$F$7:$F$2738,$F452)="","",INDEX(選手一覧!$F$7:$F$2738,$F452))</f>
        <v>0.00707777777777778</v>
      </c>
      <c r="J452" s="12" t="n">
        <f aca="false">IF(INDEX(選手一覧!$G$7:$G$2738,$F452)="","",INDEX(選手一覧!$G$7:$G$2738,$F452))</f>
        <v>425</v>
      </c>
    </row>
    <row r="453" customFormat="false" ht="15" hidden="false" customHeight="false" outlineLevel="0" collapsed="false">
      <c r="A453" s="12" t="n">
        <v>449</v>
      </c>
      <c r="B453" s="10" t="s">
        <v>1464</v>
      </c>
      <c r="C453" s="10" t="s">
        <v>605</v>
      </c>
      <c r="D453" s="11" t="n">
        <v>0.00283391203703704</v>
      </c>
      <c r="E453" s="18" t="n">
        <f aca="false">ROUND((D453-$D$5)*86400,2)</f>
        <v>19.82</v>
      </c>
      <c r="F453" s="12" t="n">
        <v>1004</v>
      </c>
      <c r="G453" s="11" t="str">
        <f aca="false">IF(INDEX(選手一覧!$D$7:$D$2738,$F453)="","",INDEX(選手一覧!$D$7:$D$2738,$F453))</f>
        <v/>
      </c>
      <c r="H453" s="12" t="str">
        <f aca="false">IF(INDEX(選手一覧!$E$7:$E$2738,$F453)="","",INDEX(選手一覧!$E$7:$E$2738,$F453))</f>
        <v/>
      </c>
      <c r="I453" s="11" t="str">
        <f aca="false">IF(INDEX(選手一覧!$F$7:$F$2738,$F453)="","",INDEX(選手一覧!$F$7:$F$2738,$F453))</f>
        <v/>
      </c>
      <c r="J453" s="12" t="str">
        <f aca="false">IF(INDEX(選手一覧!$G$7:$G$2738,$F453)="","",INDEX(選手一覧!$G$7:$G$2738,$F453))</f>
        <v/>
      </c>
    </row>
    <row r="454" customFormat="false" ht="15" hidden="false" customHeight="false" outlineLevel="0" collapsed="false">
      <c r="A454" s="12" t="n">
        <v>450</v>
      </c>
      <c r="B454" s="10" t="s">
        <v>1466</v>
      </c>
      <c r="C454" s="10" t="s">
        <v>1309</v>
      </c>
      <c r="D454" s="11" t="n">
        <v>0.00283414351851852</v>
      </c>
      <c r="E454" s="18" t="n">
        <f aca="false">ROUND((D454-$D$5)*86400,2)</f>
        <v>19.84</v>
      </c>
      <c r="F454" s="12" t="n">
        <v>1006</v>
      </c>
      <c r="G454" s="11" t="str">
        <f aca="false">IF(INDEX(選手一覧!$D$7:$D$2738,$F454)="","",INDEX(選手一覧!$D$7:$D$2738,$F454))</f>
        <v/>
      </c>
      <c r="H454" s="12" t="str">
        <f aca="false">IF(INDEX(選手一覧!$E$7:$E$2738,$F454)="","",INDEX(選手一覧!$E$7:$E$2738,$F454))</f>
        <v/>
      </c>
      <c r="I454" s="11" t="str">
        <f aca="false">IF(INDEX(選手一覧!$F$7:$F$2738,$F454)="","",INDEX(選手一覧!$F$7:$F$2738,$F454))</f>
        <v/>
      </c>
      <c r="J454" s="12" t="str">
        <f aca="false">IF(INDEX(選手一覧!$G$7:$G$2738,$F454)="","",INDEX(選手一覧!$G$7:$G$2738,$F454))</f>
        <v/>
      </c>
    </row>
    <row r="455" customFormat="false" ht="15" hidden="false" customHeight="false" outlineLevel="0" collapsed="false">
      <c r="A455" s="12" t="n">
        <v>451</v>
      </c>
      <c r="B455" s="10" t="s">
        <v>228</v>
      </c>
      <c r="C455" s="10" t="s">
        <v>229</v>
      </c>
      <c r="D455" s="11" t="n">
        <v>0.00283414351851852</v>
      </c>
      <c r="E455" s="18" t="n">
        <f aca="false">ROUND((D455-$D$5)*86400,2)</f>
        <v>19.84</v>
      </c>
      <c r="F455" s="12" t="n">
        <v>121</v>
      </c>
      <c r="G455" s="11" t="n">
        <f aca="false">IF(INDEX(選手一覧!$D$7:$D$2738,$F455)="","",INDEX(選手一覧!$D$7:$D$2738,$F455))</f>
        <v>0.0105116898148148</v>
      </c>
      <c r="H455" s="12" t="n">
        <f aca="false">IF(INDEX(選手一覧!$E$7:$E$2738,$F455)="","",INDEX(選手一覧!$E$7:$E$2738,$F455))</f>
        <v>352</v>
      </c>
      <c r="I455" s="11" t="n">
        <f aca="false">IF(INDEX(選手一覧!$F$7:$F$2738,$F455)="","",INDEX(選手一覧!$F$7:$F$2738,$F455))</f>
        <v>0.00655925925925926</v>
      </c>
      <c r="J455" s="12" t="n">
        <f aca="false">IF(INDEX(選手一覧!$G$7:$G$2738,$F455)="","",INDEX(選手一覧!$G$7:$G$2738,$F455))</f>
        <v>46</v>
      </c>
    </row>
    <row r="456" customFormat="false" ht="15" hidden="false" customHeight="false" outlineLevel="0" collapsed="false">
      <c r="A456" s="12" t="n">
        <v>452</v>
      </c>
      <c r="B456" s="10" t="s">
        <v>1470</v>
      </c>
      <c r="C456" s="10" t="s">
        <v>814</v>
      </c>
      <c r="D456" s="11" t="n">
        <v>0.002834375</v>
      </c>
      <c r="E456" s="18" t="n">
        <f aca="false">ROUND((D456-$D$5)*86400,2)</f>
        <v>19.86</v>
      </c>
      <c r="F456" s="12" t="n">
        <v>1008</v>
      </c>
      <c r="G456" s="11" t="n">
        <f aca="false">IF(INDEX(選手一覧!$D$7:$D$2738,$F456)="","",INDEX(選手一覧!$D$7:$D$2738,$F456))</f>
        <v>0.0108665509259259</v>
      </c>
      <c r="H456" s="12" t="n">
        <f aca="false">IF(INDEX(選手一覧!$E$7:$E$2738,$F456)="","",INDEX(選手一覧!$E$7:$E$2738,$F456))</f>
        <v>863</v>
      </c>
      <c r="I456" s="11" t="str">
        <f aca="false">IF(INDEX(選手一覧!$F$7:$F$2738,$F456)="","",INDEX(選手一覧!$F$7:$F$2738,$F456))</f>
        <v/>
      </c>
      <c r="J456" s="12" t="str">
        <f aca="false">IF(INDEX(選手一覧!$G$7:$G$2738,$F456)="","",INDEX(選手一覧!$G$7:$G$2738,$F456))</f>
        <v/>
      </c>
    </row>
    <row r="457" customFormat="false" ht="15" hidden="false" customHeight="false" outlineLevel="0" collapsed="false">
      <c r="A457" s="12" t="n">
        <v>453</v>
      </c>
      <c r="B457" s="10" t="s">
        <v>1253</v>
      </c>
      <c r="C457" s="10" t="s">
        <v>134</v>
      </c>
      <c r="D457" s="11" t="n">
        <v>0.00283449074074074</v>
      </c>
      <c r="E457" s="18" t="n">
        <f aca="false">ROUND((D457-$D$5)*86400,2)</f>
        <v>19.87</v>
      </c>
      <c r="F457" s="12" t="n">
        <v>853</v>
      </c>
      <c r="G457" s="11" t="n">
        <f aca="false">IF(INDEX(選手一覧!$D$7:$D$2738,$F457)="","",INDEX(選手一覧!$D$7:$D$2738,$F457))</f>
        <v>0.0105353009259259</v>
      </c>
      <c r="H457" s="12" t="n">
        <f aca="false">IF(INDEX(選手一覧!$E$7:$E$2738,$F457)="","",INDEX(選手一覧!$E$7:$E$2738,$F457))</f>
        <v>379</v>
      </c>
      <c r="I457" s="11" t="str">
        <f aca="false">IF(INDEX(選手一覧!$F$7:$F$2738,$F457)="","",INDEX(選手一覧!$F$7:$F$2738,$F457))</f>
        <v/>
      </c>
      <c r="J457" s="12" t="str">
        <f aca="false">IF(INDEX(選手一覧!$G$7:$G$2738,$F457)="","",INDEX(選手一覧!$G$7:$G$2738,$F457))</f>
        <v/>
      </c>
    </row>
    <row r="458" customFormat="false" ht="15" hidden="false" customHeight="false" outlineLevel="0" collapsed="false">
      <c r="A458" s="12" t="n">
        <v>454</v>
      </c>
      <c r="B458" s="10" t="s">
        <v>1099</v>
      </c>
      <c r="C458" s="10" t="s">
        <v>298</v>
      </c>
      <c r="D458" s="11" t="n">
        <v>0.00283460648148148</v>
      </c>
      <c r="E458" s="18" t="n">
        <f aca="false">ROUND((D458-$D$5)*86400,2)</f>
        <v>19.88</v>
      </c>
      <c r="F458" s="12" t="n">
        <v>739</v>
      </c>
      <c r="G458" s="11" t="str">
        <f aca="false">IF(INDEX(選手一覧!$D$7:$D$2738,$F458)="","",INDEX(選手一覧!$D$7:$D$2738,$F458))</f>
        <v/>
      </c>
      <c r="H458" s="12" t="str">
        <f aca="false">IF(INDEX(選手一覧!$E$7:$E$2738,$F458)="","",INDEX(選手一覧!$E$7:$E$2738,$F458))</f>
        <v/>
      </c>
      <c r="I458" s="11" t="n">
        <f aca="false">IF(INDEX(選手一覧!$F$7:$F$2738,$F458)="","",INDEX(選手一覧!$F$7:$F$2738,$F458))</f>
        <v>0.00698356481481482</v>
      </c>
      <c r="J458" s="12" t="n">
        <f aca="false">IF(INDEX(選手一覧!$G$7:$G$2738,$F458)="","",INDEX(選手一覧!$G$7:$G$2738,$F458))</f>
        <v>319</v>
      </c>
    </row>
    <row r="459" customFormat="false" ht="15" hidden="false" customHeight="false" outlineLevel="0" collapsed="false">
      <c r="A459" s="12" t="n">
        <v>455</v>
      </c>
      <c r="B459" s="10" t="s">
        <v>1477</v>
      </c>
      <c r="C459" s="10" t="s">
        <v>625</v>
      </c>
      <c r="D459" s="11" t="n">
        <v>0.00283460648148148</v>
      </c>
      <c r="E459" s="18" t="n">
        <f aca="false">ROUND((D459-$D$5)*86400,2)</f>
        <v>19.88</v>
      </c>
      <c r="F459" s="12" t="n">
        <v>1014</v>
      </c>
      <c r="G459" s="11" t="n">
        <f aca="false">IF(INDEX(選手一覧!$D$7:$D$2738,$F459)="","",INDEX(選手一覧!$D$7:$D$2738,$F459))</f>
        <v>0.0106438657407407</v>
      </c>
      <c r="H459" s="12" t="n">
        <f aca="false">IF(INDEX(選手一覧!$E$7:$E$2738,$F459)="","",INDEX(選手一覧!$E$7:$E$2738,$F459))</f>
        <v>516</v>
      </c>
      <c r="I459" s="11" t="str">
        <f aca="false">IF(INDEX(選手一覧!$F$7:$F$2738,$F459)="","",INDEX(選手一覧!$F$7:$F$2738,$F459))</f>
        <v/>
      </c>
      <c r="J459" s="12" t="str">
        <f aca="false">IF(INDEX(選手一覧!$G$7:$G$2738,$F459)="","",INDEX(選手一覧!$G$7:$G$2738,$F459))</f>
        <v/>
      </c>
    </row>
    <row r="460" customFormat="false" ht="15" hidden="false" customHeight="false" outlineLevel="0" collapsed="false">
      <c r="A460" s="12" t="n">
        <v>456</v>
      </c>
      <c r="B460" s="10" t="s">
        <v>475</v>
      </c>
      <c r="C460" s="10" t="s">
        <v>229</v>
      </c>
      <c r="D460" s="11" t="n">
        <v>0.00283460648148148</v>
      </c>
      <c r="E460" s="18" t="n">
        <f aca="false">ROUND((D460-$D$5)*86400,2)</f>
        <v>19.88</v>
      </c>
      <c r="F460" s="12" t="n">
        <v>294</v>
      </c>
      <c r="G460" s="11" t="n">
        <f aca="false">IF(INDEX(選手一覧!$D$7:$D$2738,$F460)="","",INDEX(選手一覧!$D$7:$D$2738,$F460))</f>
        <v>0.0104005787037037</v>
      </c>
      <c r="H460" s="12" t="n">
        <f aca="false">IF(INDEX(選手一覧!$E$7:$E$2738,$F460)="","",INDEX(選手一覧!$E$7:$E$2738,$F460))</f>
        <v>267</v>
      </c>
      <c r="I460" s="11" t="n">
        <f aca="false">IF(INDEX(選手一覧!$F$7:$F$2738,$F460)="","",INDEX(選手一覧!$F$7:$F$2738,$F460))</f>
        <v>0.00673564814814815</v>
      </c>
      <c r="J460" s="12" t="n">
        <f aca="false">IF(INDEX(選手一覧!$G$7:$G$2738,$F460)="","",INDEX(選手一覧!$G$7:$G$2738,$F460))</f>
        <v>122</v>
      </c>
    </row>
    <row r="461" customFormat="false" ht="15" hidden="false" customHeight="false" outlineLevel="0" collapsed="false">
      <c r="A461" s="12" t="n">
        <v>457</v>
      </c>
      <c r="B461" s="10" t="s">
        <v>1483</v>
      </c>
      <c r="C461" s="10" t="s">
        <v>988</v>
      </c>
      <c r="D461" s="11" t="n">
        <v>0.00283472222222222</v>
      </c>
      <c r="E461" s="18" t="n">
        <f aca="false">ROUND((D461-$D$5)*86400,2)</f>
        <v>19.89</v>
      </c>
      <c r="F461" s="12" t="n">
        <v>1019</v>
      </c>
      <c r="G461" s="11" t="n">
        <f aca="false">IF(INDEX(選手一覧!$D$7:$D$2738,$F461)="","",INDEX(選手一覧!$D$7:$D$2738,$F461))</f>
        <v>0.0108811342592593</v>
      </c>
      <c r="H461" s="12" t="n">
        <f aca="false">IF(INDEX(選手一覧!$E$7:$E$2738,$F461)="","",INDEX(選手一覧!$E$7:$E$2738,$F461))</f>
        <v>891</v>
      </c>
      <c r="I461" s="11" t="str">
        <f aca="false">IF(INDEX(選手一覧!$F$7:$F$2738,$F461)="","",INDEX(選手一覧!$F$7:$F$2738,$F461))</f>
        <v/>
      </c>
      <c r="J461" s="12" t="str">
        <f aca="false">IF(INDEX(選手一覧!$G$7:$G$2738,$F461)="","",INDEX(選手一覧!$G$7:$G$2738,$F461))</f>
        <v/>
      </c>
    </row>
    <row r="462" customFormat="false" ht="15" hidden="false" customHeight="false" outlineLevel="0" collapsed="false">
      <c r="A462" s="12" t="n">
        <v>458</v>
      </c>
      <c r="B462" s="10" t="s">
        <v>1484</v>
      </c>
      <c r="C462" s="10" t="s">
        <v>1485</v>
      </c>
      <c r="D462" s="11" t="n">
        <v>0.00283472222222222</v>
      </c>
      <c r="E462" s="18" t="n">
        <f aca="false">ROUND((D462-$D$5)*86400,2)</f>
        <v>19.89</v>
      </c>
      <c r="F462" s="12" t="n">
        <v>1020</v>
      </c>
      <c r="G462" s="11" t="n">
        <f aca="false">IF(INDEX(選手一覧!$D$7:$D$2738,$F462)="","",INDEX(選手一覧!$D$7:$D$2738,$F462))</f>
        <v>0.0107280092592593</v>
      </c>
      <c r="H462" s="12" t="n">
        <f aca="false">IF(INDEX(選手一覧!$E$7:$E$2738,$F462)="","",INDEX(選手一覧!$E$7:$E$2738,$F462))</f>
        <v>628</v>
      </c>
      <c r="I462" s="11" t="str">
        <f aca="false">IF(INDEX(選手一覧!$F$7:$F$2738,$F462)="","",INDEX(選手一覧!$F$7:$F$2738,$F462))</f>
        <v/>
      </c>
      <c r="J462" s="12" t="str">
        <f aca="false">IF(INDEX(選手一覧!$G$7:$G$2738,$F462)="","",INDEX(選手一覧!$G$7:$G$2738,$F462))</f>
        <v/>
      </c>
    </row>
    <row r="463" customFormat="false" ht="15" hidden="false" customHeight="false" outlineLevel="0" collapsed="false">
      <c r="A463" s="12" t="n">
        <v>459</v>
      </c>
      <c r="B463" s="10" t="s">
        <v>1488</v>
      </c>
      <c r="C463" s="10" t="s">
        <v>188</v>
      </c>
      <c r="D463" s="11" t="n">
        <v>0.00283483796296296</v>
      </c>
      <c r="E463" s="18" t="n">
        <f aca="false">ROUND((D463-$D$5)*86400,2)</f>
        <v>19.9</v>
      </c>
      <c r="F463" s="12" t="n">
        <v>1022</v>
      </c>
      <c r="G463" s="11" t="n">
        <f aca="false">IF(INDEX(選手一覧!$D$7:$D$2738,$F463)="","",INDEX(選手一覧!$D$7:$D$2738,$F463))</f>
        <v>0.0106834490740741</v>
      </c>
      <c r="H463" s="12" t="n">
        <f aca="false">IF(INDEX(選手一覧!$E$7:$E$2738,$F463)="","",INDEX(選手一覧!$E$7:$E$2738,$F463))</f>
        <v>559</v>
      </c>
      <c r="I463" s="11" t="str">
        <f aca="false">IF(INDEX(選手一覧!$F$7:$F$2738,$F463)="","",INDEX(選手一覧!$F$7:$F$2738,$F463))</f>
        <v/>
      </c>
      <c r="J463" s="12" t="str">
        <f aca="false">IF(INDEX(選手一覧!$G$7:$G$2738,$F463)="","",INDEX(選手一覧!$G$7:$G$2738,$F463))</f>
        <v/>
      </c>
    </row>
    <row r="464" customFormat="false" ht="15" hidden="false" customHeight="false" outlineLevel="0" collapsed="false">
      <c r="A464" s="12" t="n">
        <v>460</v>
      </c>
      <c r="B464" s="10" t="s">
        <v>1494</v>
      </c>
      <c r="C464" s="10" t="s">
        <v>1127</v>
      </c>
      <c r="D464" s="11" t="n">
        <v>0.0028349537037037</v>
      </c>
      <c r="E464" s="18" t="n">
        <f aca="false">ROUND((D464-$D$5)*86400,2)</f>
        <v>19.91</v>
      </c>
      <c r="F464" s="12" t="n">
        <v>1027</v>
      </c>
      <c r="G464" s="11" t="n">
        <f aca="false">IF(INDEX(選手一覧!$D$7:$D$2738,$F464)="","",INDEX(選手一覧!$D$7:$D$2738,$F464))</f>
        <v>0.0108916666666667</v>
      </c>
      <c r="H464" s="12" t="n">
        <f aca="false">IF(INDEX(選手一覧!$E$7:$E$2738,$F464)="","",INDEX(選手一覧!$E$7:$E$2738,$F464))</f>
        <v>906</v>
      </c>
      <c r="I464" s="11" t="str">
        <f aca="false">IF(INDEX(選手一覧!$F$7:$F$2738,$F464)="","",INDEX(選手一覧!$F$7:$F$2738,$F464))</f>
        <v/>
      </c>
      <c r="J464" s="12" t="str">
        <f aca="false">IF(INDEX(選手一覧!$G$7:$G$2738,$F464)="","",INDEX(選手一覧!$G$7:$G$2738,$F464))</f>
        <v/>
      </c>
    </row>
    <row r="465" customFormat="false" ht="15" hidden="false" customHeight="false" outlineLevel="0" collapsed="false">
      <c r="A465" s="12" t="n">
        <v>461</v>
      </c>
      <c r="B465" s="10" t="s">
        <v>750</v>
      </c>
      <c r="C465" s="10" t="s">
        <v>445</v>
      </c>
      <c r="D465" s="11" t="n">
        <v>0.0028349537037037</v>
      </c>
      <c r="E465" s="18" t="n">
        <f aca="false">ROUND((D465-$D$5)*86400,2)</f>
        <v>19.91</v>
      </c>
      <c r="F465" s="12" t="n">
        <v>484</v>
      </c>
      <c r="G465" s="11" t="n">
        <f aca="false">IF(INDEX(選手一覧!$D$7:$D$2738,$F465)="","",INDEX(選手一覧!$D$7:$D$2738,$F465))</f>
        <v>0.0103506944444444</v>
      </c>
      <c r="H465" s="12" t="n">
        <f aca="false">IF(INDEX(選手一覧!$E$7:$E$2738,$F465)="","",INDEX(選手一覧!$E$7:$E$2738,$F465))</f>
        <v>204</v>
      </c>
      <c r="I465" s="11" t="str">
        <f aca="false">IF(INDEX(選手一覧!$F$7:$F$2738,$F465)="","",INDEX(選手一覧!$F$7:$F$2738,$F465))</f>
        <v/>
      </c>
      <c r="J465" s="12" t="str">
        <f aca="false">IF(INDEX(選手一覧!$G$7:$G$2738,$F465)="","",INDEX(選手一覧!$G$7:$G$2738,$F465))</f>
        <v/>
      </c>
    </row>
    <row r="466" customFormat="false" ht="15" hidden="false" customHeight="false" outlineLevel="0" collapsed="false">
      <c r="A466" s="12" t="n">
        <v>462</v>
      </c>
      <c r="B466" s="10" t="s">
        <v>1044</v>
      </c>
      <c r="C466" s="10" t="s">
        <v>254</v>
      </c>
      <c r="D466" s="11" t="n">
        <v>0.00283518518518519</v>
      </c>
      <c r="E466" s="18" t="n">
        <f aca="false">ROUND((D466-$D$5)*86400,2)</f>
        <v>19.93</v>
      </c>
      <c r="F466" s="12" t="n">
        <v>699</v>
      </c>
      <c r="G466" s="11" t="n">
        <f aca="false">IF(INDEX(選手一覧!$D$7:$D$2738,$F466)="","",INDEX(選手一覧!$D$7:$D$2738,$F466))</f>
        <v>0.0104451388888889</v>
      </c>
      <c r="H466" s="12" t="n">
        <f aca="false">IF(INDEX(選手一覧!$E$7:$E$2738,$F466)="","",INDEX(選手一覧!$E$7:$E$2738,$F466))</f>
        <v>300</v>
      </c>
      <c r="I466" s="11" t="str">
        <f aca="false">IF(INDEX(選手一覧!$F$7:$F$2738,$F466)="","",INDEX(選手一覧!$F$7:$F$2738,$F466))</f>
        <v/>
      </c>
      <c r="J466" s="12" t="str">
        <f aca="false">IF(INDEX(選手一覧!$G$7:$G$2738,$F466)="","",INDEX(選手一覧!$G$7:$G$2738,$F466))</f>
        <v/>
      </c>
    </row>
    <row r="467" customFormat="false" ht="15" hidden="false" customHeight="false" outlineLevel="0" collapsed="false">
      <c r="A467" s="12" t="n">
        <v>463</v>
      </c>
      <c r="B467" s="10" t="s">
        <v>1499</v>
      </c>
      <c r="C467" s="10" t="s">
        <v>25</v>
      </c>
      <c r="D467" s="11" t="n">
        <v>0.00283518518518519</v>
      </c>
      <c r="E467" s="18" t="n">
        <f aca="false">ROUND((D467-$D$5)*86400,2)</f>
        <v>19.93</v>
      </c>
      <c r="F467" s="12" t="n">
        <v>1030</v>
      </c>
      <c r="G467" s="11" t="n">
        <f aca="false">IF(INDEX(選手一覧!$D$7:$D$2738,$F467)="","",INDEX(選手一覧!$D$7:$D$2738,$F467))</f>
        <v>0.0111173611111111</v>
      </c>
      <c r="H467" s="12" t="n">
        <f aca="false">IF(INDEX(選手一覧!$E$7:$E$2738,$F467)="","",INDEX(選手一覧!$E$7:$E$2738,$F467))</f>
        <v>1284</v>
      </c>
      <c r="I467" s="11" t="str">
        <f aca="false">IF(INDEX(選手一覧!$F$7:$F$2738,$F467)="","",INDEX(選手一覧!$F$7:$F$2738,$F467))</f>
        <v/>
      </c>
      <c r="J467" s="12" t="str">
        <f aca="false">IF(INDEX(選手一覧!$G$7:$G$2738,$F467)="","",INDEX(選手一覧!$G$7:$G$2738,$F467))</f>
        <v/>
      </c>
    </row>
    <row r="468" customFormat="false" ht="15" hidden="false" customHeight="false" outlineLevel="0" collapsed="false">
      <c r="A468" s="12" t="n">
        <v>464</v>
      </c>
      <c r="B468" s="10" t="s">
        <v>1161</v>
      </c>
      <c r="C468" s="10" t="s">
        <v>25</v>
      </c>
      <c r="D468" s="11" t="n">
        <v>0.00283530092592593</v>
      </c>
      <c r="E468" s="18" t="n">
        <f aca="false">ROUND((D468-$D$5)*86400,2)</f>
        <v>19.94</v>
      </c>
      <c r="F468" s="12" t="n">
        <v>786</v>
      </c>
      <c r="G468" s="11" t="n">
        <f aca="false">IF(INDEX(選手一覧!$D$7:$D$2738,$F468)="","",INDEX(選手一覧!$D$7:$D$2738,$F468))</f>
        <v>0.0107318287037037</v>
      </c>
      <c r="H468" s="12" t="n">
        <f aca="false">IF(INDEX(選手一覧!$E$7:$E$2738,$F468)="","",INDEX(選手一覧!$E$7:$E$2738,$F468))</f>
        <v>637</v>
      </c>
      <c r="I468" s="11" t="n">
        <f aca="false">IF(INDEX(選手一覧!$F$7:$F$2738,$F468)="","",INDEX(選手一覧!$F$7:$F$2738,$F468))</f>
        <v>0.00700451388888889</v>
      </c>
      <c r="J468" s="12" t="n">
        <f aca="false">IF(INDEX(選手一覧!$G$7:$G$2738,$F468)="","",INDEX(選手一覧!$G$7:$G$2738,$F468))</f>
        <v>341</v>
      </c>
    </row>
    <row r="469" customFormat="false" ht="15" hidden="false" customHeight="false" outlineLevel="0" collapsed="false">
      <c r="A469" s="12" t="n">
        <v>465</v>
      </c>
      <c r="B469" s="10" t="s">
        <v>1506</v>
      </c>
      <c r="C469" s="10" t="s">
        <v>1507</v>
      </c>
      <c r="D469" s="11" t="n">
        <v>0.00283541666666667</v>
      </c>
      <c r="E469" s="18" t="n">
        <f aca="false">ROUND((D469-$D$5)*86400,2)</f>
        <v>19.95</v>
      </c>
      <c r="F469" s="12" t="n">
        <v>1035</v>
      </c>
      <c r="G469" s="11" t="str">
        <f aca="false">IF(INDEX(選手一覧!$D$7:$D$2738,$F469)="","",INDEX(選手一覧!$D$7:$D$2738,$F469))</f>
        <v/>
      </c>
      <c r="H469" s="12" t="str">
        <f aca="false">IF(INDEX(選手一覧!$E$7:$E$2738,$F469)="","",INDEX(選手一覧!$E$7:$E$2738,$F469))</f>
        <v/>
      </c>
      <c r="I469" s="11" t="str">
        <f aca="false">IF(INDEX(選手一覧!$F$7:$F$2738,$F469)="","",INDEX(選手一覧!$F$7:$F$2738,$F469))</f>
        <v/>
      </c>
      <c r="J469" s="12" t="str">
        <f aca="false">IF(INDEX(選手一覧!$G$7:$G$2738,$F469)="","",INDEX(選手一覧!$G$7:$G$2738,$F469))</f>
        <v/>
      </c>
    </row>
    <row r="470" customFormat="false" ht="15" hidden="false" customHeight="false" outlineLevel="0" collapsed="false">
      <c r="A470" s="12" t="n">
        <v>466</v>
      </c>
      <c r="B470" s="10" t="s">
        <v>1508</v>
      </c>
      <c r="C470" s="10" t="s">
        <v>997</v>
      </c>
      <c r="D470" s="11" t="n">
        <v>0.00283553240740741</v>
      </c>
      <c r="E470" s="18" t="n">
        <f aca="false">ROUND((D470-$D$5)*86400,2)</f>
        <v>19.96</v>
      </c>
      <c r="F470" s="12" t="n">
        <v>1036</v>
      </c>
      <c r="G470" s="11" t="n">
        <f aca="false">IF(INDEX(選手一覧!$D$7:$D$2738,$F470)="","",INDEX(選手一覧!$D$7:$D$2738,$F470))</f>
        <v>0.010850462962963</v>
      </c>
      <c r="H470" s="12" t="n">
        <f aca="false">IF(INDEX(選手一覧!$E$7:$E$2738,$F470)="","",INDEX(選手一覧!$E$7:$E$2738,$F470))</f>
        <v>838</v>
      </c>
      <c r="I470" s="11" t="str">
        <f aca="false">IF(INDEX(選手一覧!$F$7:$F$2738,$F470)="","",INDEX(選手一覧!$F$7:$F$2738,$F470))</f>
        <v/>
      </c>
      <c r="J470" s="12" t="str">
        <f aca="false">IF(INDEX(選手一覧!$G$7:$G$2738,$F470)="","",INDEX(選手一覧!$G$7:$G$2738,$F470))</f>
        <v/>
      </c>
    </row>
    <row r="471" customFormat="false" ht="15" hidden="false" customHeight="false" outlineLevel="0" collapsed="false">
      <c r="A471" s="12" t="n">
        <v>467</v>
      </c>
      <c r="B471" s="10" t="s">
        <v>1513</v>
      </c>
      <c r="C471" s="10" t="s">
        <v>1514</v>
      </c>
      <c r="D471" s="11" t="n">
        <v>0.00283564814814815</v>
      </c>
      <c r="E471" s="18" t="n">
        <f aca="false">ROUND((D471-$D$5)*86400,2)</f>
        <v>19.97</v>
      </c>
      <c r="F471" s="12" t="n">
        <v>1039</v>
      </c>
      <c r="G471" s="11" t="str">
        <f aca="false">IF(INDEX(選手一覧!$D$7:$D$2738,$F471)="","",INDEX(選手一覧!$D$7:$D$2738,$F471))</f>
        <v/>
      </c>
      <c r="H471" s="12" t="str">
        <f aca="false">IF(INDEX(選手一覧!$E$7:$E$2738,$F471)="","",INDEX(選手一覧!$E$7:$E$2738,$F471))</f>
        <v/>
      </c>
      <c r="I471" s="11" t="str">
        <f aca="false">IF(INDEX(選手一覧!$F$7:$F$2738,$F471)="","",INDEX(選手一覧!$F$7:$F$2738,$F471))</f>
        <v/>
      </c>
      <c r="J471" s="12" t="str">
        <f aca="false">IF(INDEX(選手一覧!$G$7:$G$2738,$F471)="","",INDEX(選手一覧!$G$7:$G$2738,$F471))</f>
        <v/>
      </c>
    </row>
    <row r="472" customFormat="false" ht="15" hidden="false" customHeight="false" outlineLevel="0" collapsed="false">
      <c r="A472" s="12" t="n">
        <v>468</v>
      </c>
      <c r="B472" s="10" t="s">
        <v>632</v>
      </c>
      <c r="C472" s="10" t="s">
        <v>193</v>
      </c>
      <c r="D472" s="11" t="n">
        <v>0.00283576388888889</v>
      </c>
      <c r="E472" s="18" t="n">
        <f aca="false">ROUND((D472-$D$5)*86400,2)</f>
        <v>19.98</v>
      </c>
      <c r="F472" s="12" t="n">
        <v>399</v>
      </c>
      <c r="G472" s="11" t="n">
        <f aca="false">IF(INDEX(選手一覧!$D$7:$D$2738,$F472)="","",INDEX(選手一覧!$D$7:$D$2738,$F472))</f>
        <v>0.0103164351851852</v>
      </c>
      <c r="H472" s="12" t="n">
        <f aca="false">IF(INDEX(選手一覧!$E$7:$E$2738,$F472)="","",INDEX(選手一覧!$E$7:$E$2738,$F472))</f>
        <v>169</v>
      </c>
      <c r="I472" s="11" t="str">
        <f aca="false">IF(INDEX(選手一覧!$F$7:$F$2738,$F472)="","",INDEX(選手一覧!$F$7:$F$2738,$F472))</f>
        <v/>
      </c>
      <c r="J472" s="12" t="str">
        <f aca="false">IF(INDEX(選手一覧!$G$7:$G$2738,$F472)="","",INDEX(選手一覧!$G$7:$G$2738,$F472))</f>
        <v/>
      </c>
    </row>
    <row r="473" customFormat="false" ht="15" hidden="false" customHeight="false" outlineLevel="0" collapsed="false">
      <c r="A473" s="12" t="n">
        <v>469</v>
      </c>
      <c r="B473" s="10" t="s">
        <v>1517</v>
      </c>
      <c r="C473" s="10" t="s">
        <v>350</v>
      </c>
      <c r="D473" s="11" t="n">
        <v>0.00283576388888889</v>
      </c>
      <c r="E473" s="18" t="n">
        <f aca="false">ROUND((D473-$D$5)*86400,2)</f>
        <v>19.98</v>
      </c>
      <c r="F473" s="12" t="n">
        <v>1041</v>
      </c>
      <c r="G473" s="11" t="n">
        <f aca="false">IF(INDEX(選手一覧!$D$7:$D$2738,$F473)="","",INDEX(選手一覧!$D$7:$D$2738,$F473))</f>
        <v>0.0107121527777778</v>
      </c>
      <c r="H473" s="12" t="n">
        <f aca="false">IF(INDEX(選手一覧!$E$7:$E$2738,$F473)="","",INDEX(選手一覧!$E$7:$E$2738,$F473))</f>
        <v>600</v>
      </c>
      <c r="I473" s="11" t="str">
        <f aca="false">IF(INDEX(選手一覧!$F$7:$F$2738,$F473)="","",INDEX(選手一覧!$F$7:$F$2738,$F473))</f>
        <v/>
      </c>
      <c r="J473" s="12" t="str">
        <f aca="false">IF(INDEX(選手一覧!$G$7:$G$2738,$F473)="","",INDEX(選手一覧!$G$7:$G$2738,$F473))</f>
        <v/>
      </c>
    </row>
    <row r="474" customFormat="false" ht="15" hidden="false" customHeight="false" outlineLevel="0" collapsed="false">
      <c r="A474" s="12" t="n">
        <v>470</v>
      </c>
      <c r="B474" s="10" t="s">
        <v>1523</v>
      </c>
      <c r="C474" s="10" t="s">
        <v>1311</v>
      </c>
      <c r="D474" s="11" t="n">
        <v>0.00283587962962963</v>
      </c>
      <c r="E474" s="18" t="n">
        <f aca="false">ROUND((D474-$D$5)*86400,2)</f>
        <v>19.99</v>
      </c>
      <c r="F474" s="12" t="n">
        <v>1045</v>
      </c>
      <c r="G474" s="11" t="n">
        <f aca="false">IF(INDEX(選手一覧!$D$7:$D$2738,$F474)="","",INDEX(選手一覧!$D$7:$D$2738,$F474))</f>
        <v>0.0107890046296296</v>
      </c>
      <c r="H474" s="12" t="n">
        <f aca="false">IF(INDEX(選手一覧!$E$7:$E$2738,$F474)="","",INDEX(選手一覧!$E$7:$E$2738,$F474))</f>
        <v>720</v>
      </c>
      <c r="I474" s="11" t="str">
        <f aca="false">IF(INDEX(選手一覧!$F$7:$F$2738,$F474)="","",INDEX(選手一覧!$F$7:$F$2738,$F474))</f>
        <v/>
      </c>
      <c r="J474" s="12" t="str">
        <f aca="false">IF(INDEX(選手一覧!$G$7:$G$2738,$F474)="","",INDEX(選手一覧!$G$7:$G$2738,$F474))</f>
        <v/>
      </c>
    </row>
    <row r="475" customFormat="false" ht="15" hidden="false" customHeight="false" outlineLevel="0" collapsed="false">
      <c r="A475" s="12" t="n">
        <v>471</v>
      </c>
      <c r="B475" s="10" t="s">
        <v>1525</v>
      </c>
      <c r="C475" s="10" t="s">
        <v>443</v>
      </c>
      <c r="D475" s="11" t="n">
        <v>0.00283611111111111</v>
      </c>
      <c r="E475" s="18" t="n">
        <f aca="false">ROUND((D475-$D$5)*86400,2)</f>
        <v>20.01</v>
      </c>
      <c r="F475" s="12" t="n">
        <v>1047</v>
      </c>
      <c r="G475" s="11" t="n">
        <f aca="false">IF(INDEX(選手一覧!$D$7:$D$2738,$F475)="","",INDEX(選手一覧!$D$7:$D$2738,$F475))</f>
        <v>0.0107009259259259</v>
      </c>
      <c r="H475" s="12" t="n">
        <f aca="false">IF(INDEX(選手一覧!$E$7:$E$2738,$F475)="","",INDEX(選手一覧!$E$7:$E$2738,$F475))</f>
        <v>585</v>
      </c>
      <c r="I475" s="11" t="str">
        <f aca="false">IF(INDEX(選手一覧!$F$7:$F$2738,$F475)="","",INDEX(選手一覧!$F$7:$F$2738,$F475))</f>
        <v/>
      </c>
      <c r="J475" s="12" t="str">
        <f aca="false">IF(INDEX(選手一覧!$G$7:$G$2738,$F475)="","",INDEX(選手一覧!$G$7:$G$2738,$F475))</f>
        <v/>
      </c>
    </row>
    <row r="476" customFormat="false" ht="15" hidden="false" customHeight="false" outlineLevel="0" collapsed="false">
      <c r="A476" s="12" t="n">
        <v>472</v>
      </c>
      <c r="B476" s="10" t="s">
        <v>1528</v>
      </c>
      <c r="C476" s="10" t="s">
        <v>590</v>
      </c>
      <c r="D476" s="11" t="n">
        <v>0.00283611111111111</v>
      </c>
      <c r="E476" s="18" t="n">
        <f aca="false">ROUND((D476-$D$5)*86400,2)</f>
        <v>20.01</v>
      </c>
      <c r="F476" s="12" t="n">
        <v>1050</v>
      </c>
      <c r="G476" s="11" t="n">
        <f aca="false">IF(INDEX(選手一覧!$D$7:$D$2738,$F476)="","",INDEX(選手一覧!$D$7:$D$2738,$F476))</f>
        <v>0.0110271990740741</v>
      </c>
      <c r="H476" s="12" t="n">
        <f aca="false">IF(INDEX(選手一覧!$E$7:$E$2738,$F476)="","",INDEX(選手一覧!$E$7:$E$2738,$F476))</f>
        <v>1145</v>
      </c>
      <c r="I476" s="11" t="str">
        <f aca="false">IF(INDEX(選手一覧!$F$7:$F$2738,$F476)="","",INDEX(選手一覧!$F$7:$F$2738,$F476))</f>
        <v/>
      </c>
      <c r="J476" s="12" t="str">
        <f aca="false">IF(INDEX(選手一覧!$G$7:$G$2738,$F476)="","",INDEX(選手一覧!$G$7:$G$2738,$F476))</f>
        <v/>
      </c>
    </row>
    <row r="477" customFormat="false" ht="15" hidden="false" customHeight="false" outlineLevel="0" collapsed="false">
      <c r="A477" s="12" t="n">
        <v>473</v>
      </c>
      <c r="B477" s="10" t="s">
        <v>1533</v>
      </c>
      <c r="C477" s="10" t="s">
        <v>523</v>
      </c>
      <c r="D477" s="11" t="n">
        <v>0.00283634259259259</v>
      </c>
      <c r="E477" s="18" t="n">
        <f aca="false">ROUND((D477-$D$5)*86400,2)</f>
        <v>20.03</v>
      </c>
      <c r="F477" s="12" t="n">
        <v>1055</v>
      </c>
      <c r="G477" s="11" t="str">
        <f aca="false">IF(INDEX(選手一覧!$D$7:$D$2738,$F477)="","",INDEX(選手一覧!$D$7:$D$2738,$F477))</f>
        <v/>
      </c>
      <c r="H477" s="12" t="str">
        <f aca="false">IF(INDEX(選手一覧!$E$7:$E$2738,$F477)="","",INDEX(選手一覧!$E$7:$E$2738,$F477))</f>
        <v/>
      </c>
      <c r="I477" s="11" t="str">
        <f aca="false">IF(INDEX(選手一覧!$F$7:$F$2738,$F477)="","",INDEX(選手一覧!$F$7:$F$2738,$F477))</f>
        <v/>
      </c>
      <c r="J477" s="12" t="str">
        <f aca="false">IF(INDEX(選手一覧!$G$7:$G$2738,$F477)="","",INDEX(選手一覧!$G$7:$G$2738,$F477))</f>
        <v/>
      </c>
    </row>
    <row r="478" customFormat="false" ht="15" hidden="false" customHeight="false" outlineLevel="0" collapsed="false">
      <c r="A478" s="12" t="n">
        <v>474</v>
      </c>
      <c r="B478" s="10" t="s">
        <v>1534</v>
      </c>
      <c r="C478" s="10" t="s">
        <v>541</v>
      </c>
      <c r="D478" s="11" t="n">
        <v>0.00283645833333333</v>
      </c>
      <c r="E478" s="18" t="n">
        <f aca="false">ROUND((D478-$D$5)*86400,2)</f>
        <v>20.04</v>
      </c>
      <c r="F478" s="12" t="n">
        <v>1056</v>
      </c>
      <c r="G478" s="11" t="n">
        <f aca="false">IF(INDEX(選手一覧!$D$7:$D$2738,$F478)="","",INDEX(選手一覧!$D$7:$D$2738,$F478))</f>
        <v>0.0110353009259259</v>
      </c>
      <c r="H478" s="12" t="n">
        <f aca="false">IF(INDEX(選手一覧!$E$7:$E$2738,$F478)="","",INDEX(選手一覧!$E$7:$E$2738,$F478))</f>
        <v>1164</v>
      </c>
      <c r="I478" s="11" t="str">
        <f aca="false">IF(INDEX(選手一覧!$F$7:$F$2738,$F478)="","",INDEX(選手一覧!$F$7:$F$2738,$F478))</f>
        <v/>
      </c>
      <c r="J478" s="12" t="str">
        <f aca="false">IF(INDEX(選手一覧!$G$7:$G$2738,$F478)="","",INDEX(選手一覧!$G$7:$G$2738,$F478))</f>
        <v/>
      </c>
    </row>
    <row r="479" customFormat="false" ht="15" hidden="false" customHeight="false" outlineLevel="0" collapsed="false">
      <c r="A479" s="12" t="n">
        <v>475</v>
      </c>
      <c r="B479" s="10" t="s">
        <v>601</v>
      </c>
      <c r="C479" s="10" t="s">
        <v>555</v>
      </c>
      <c r="D479" s="11" t="n">
        <v>0.00283680555555556</v>
      </c>
      <c r="E479" s="18" t="n">
        <f aca="false">ROUND((D479-$D$5)*86400,2)</f>
        <v>20.07</v>
      </c>
      <c r="F479" s="12" t="n">
        <v>380</v>
      </c>
      <c r="G479" s="11" t="str">
        <f aca="false">IF(INDEX(選手一覧!$D$7:$D$2738,$F479)="","",INDEX(選手一覧!$D$7:$D$2738,$F479))</f>
        <v/>
      </c>
      <c r="H479" s="12" t="str">
        <f aca="false">IF(INDEX(選手一覧!$E$7:$E$2738,$F479)="","",INDEX(選手一覧!$E$7:$E$2738,$F479))</f>
        <v/>
      </c>
      <c r="I479" s="11" t="n">
        <f aca="false">IF(INDEX(選手一覧!$F$7:$F$2738,$F479)="","",INDEX(選手一覧!$F$7:$F$2738,$F479))</f>
        <v>0.00678472222222222</v>
      </c>
      <c r="J479" s="12" t="n">
        <f aca="false">IF(INDEX(選手一覧!$G$7:$G$2738,$F479)="","",INDEX(選手一覧!$G$7:$G$2738,$F479))</f>
        <v>161</v>
      </c>
    </row>
    <row r="480" customFormat="false" ht="15" hidden="false" customHeight="false" outlineLevel="0" collapsed="false">
      <c r="A480" s="12" t="n">
        <v>476</v>
      </c>
      <c r="B480" s="10" t="s">
        <v>337</v>
      </c>
      <c r="C480" s="10" t="s">
        <v>338</v>
      </c>
      <c r="D480" s="11" t="n">
        <v>0.00283680555555556</v>
      </c>
      <c r="E480" s="18" t="n">
        <f aca="false">ROUND((D480-$D$5)*86400,2)</f>
        <v>20.07</v>
      </c>
      <c r="F480" s="12" t="n">
        <v>197</v>
      </c>
      <c r="G480" s="11" t="n">
        <f aca="false">IF(INDEX(選手一覧!$D$7:$D$2738,$F480)="","",INDEX(選手一覧!$D$7:$D$2738,$F480))</f>
        <v>0.0109703703703704</v>
      </c>
      <c r="H480" s="12" t="n">
        <f aca="false">IF(INDEX(選手一覧!$E$7:$E$2738,$F480)="","",INDEX(選手一覧!$E$7:$E$2738,$F480))</f>
        <v>1040</v>
      </c>
      <c r="I480" s="11" t="n">
        <f aca="false">IF(INDEX(選手一覧!$F$7:$F$2738,$F480)="","",INDEX(選手一覧!$F$7:$F$2738,$F480))</f>
        <v>0.00664293981481482</v>
      </c>
      <c r="J480" s="12" t="n">
        <f aca="false">IF(INDEX(選手一覧!$G$7:$G$2738,$F480)="","",INDEX(選手一覧!$G$7:$G$2738,$F480))</f>
        <v>80</v>
      </c>
    </row>
    <row r="481" customFormat="false" ht="15" hidden="false" customHeight="false" outlineLevel="0" collapsed="false">
      <c r="A481" s="12" t="n">
        <v>477</v>
      </c>
      <c r="B481" s="10" t="s">
        <v>1540</v>
      </c>
      <c r="C481" s="10" t="s">
        <v>1351</v>
      </c>
      <c r="D481" s="11" t="n">
        <v>0.00283680555555556</v>
      </c>
      <c r="E481" s="18" t="n">
        <f aca="false">ROUND((D481-$D$5)*86400,2)</f>
        <v>20.07</v>
      </c>
      <c r="F481" s="12" t="n">
        <v>1060</v>
      </c>
      <c r="G481" s="11" t="str">
        <f aca="false">IF(INDEX(選手一覧!$D$7:$D$2738,$F481)="","",INDEX(選手一覧!$D$7:$D$2738,$F481))</f>
        <v/>
      </c>
      <c r="H481" s="12" t="str">
        <f aca="false">IF(INDEX(選手一覧!$E$7:$E$2738,$F481)="","",INDEX(選手一覧!$E$7:$E$2738,$F481))</f>
        <v/>
      </c>
      <c r="I481" s="11" t="str">
        <f aca="false">IF(INDEX(選手一覧!$F$7:$F$2738,$F481)="","",INDEX(選手一覧!$F$7:$F$2738,$F481))</f>
        <v/>
      </c>
      <c r="J481" s="12" t="str">
        <f aca="false">IF(INDEX(選手一覧!$G$7:$G$2738,$F481)="","",INDEX(選手一覧!$G$7:$G$2738,$F481))</f>
        <v/>
      </c>
    </row>
    <row r="482" customFormat="false" ht="15" hidden="false" customHeight="false" outlineLevel="0" collapsed="false">
      <c r="A482" s="12" t="n">
        <v>478</v>
      </c>
      <c r="B482" s="10" t="s">
        <v>1541</v>
      </c>
      <c r="C482" s="10" t="s">
        <v>210</v>
      </c>
      <c r="D482" s="11" t="n">
        <v>0.0028369212962963</v>
      </c>
      <c r="E482" s="18" t="n">
        <f aca="false">ROUND((D482-$D$5)*86400,2)</f>
        <v>20.08</v>
      </c>
      <c r="F482" s="12" t="n">
        <v>1061</v>
      </c>
      <c r="G482" s="11" t="n">
        <f aca="false">IF(INDEX(選手一覧!$D$7:$D$2738,$F482)="","",INDEX(選手一覧!$D$7:$D$2738,$F482))</f>
        <v>0.0106431712962963</v>
      </c>
      <c r="H482" s="12" t="n">
        <f aca="false">IF(INDEX(選手一覧!$E$7:$E$2738,$F482)="","",INDEX(選手一覧!$E$7:$E$2738,$F482))</f>
        <v>515</v>
      </c>
      <c r="I482" s="11" t="str">
        <f aca="false">IF(INDEX(選手一覧!$F$7:$F$2738,$F482)="","",INDEX(選手一覧!$F$7:$F$2738,$F482))</f>
        <v/>
      </c>
      <c r="J482" s="12" t="str">
        <f aca="false">IF(INDEX(選手一覧!$G$7:$G$2738,$F482)="","",INDEX(選手一覧!$G$7:$G$2738,$F482))</f>
        <v/>
      </c>
    </row>
    <row r="483" customFormat="false" ht="15" hidden="false" customHeight="false" outlineLevel="0" collapsed="false">
      <c r="A483" s="12" t="n">
        <v>479</v>
      </c>
      <c r="B483" s="10" t="s">
        <v>870</v>
      </c>
      <c r="C483" s="10" t="s">
        <v>733</v>
      </c>
      <c r="D483" s="11" t="n">
        <v>0.0028369212962963</v>
      </c>
      <c r="E483" s="18" t="n">
        <f aca="false">ROUND((D483-$D$5)*86400,2)</f>
        <v>20.08</v>
      </c>
      <c r="F483" s="12" t="n">
        <v>570</v>
      </c>
      <c r="G483" s="11" t="n">
        <f aca="false">IF(INDEX(選手一覧!$D$7:$D$2738,$F483)="","",INDEX(選手一覧!$D$7:$D$2738,$F483))</f>
        <v>0.0103777777777778</v>
      </c>
      <c r="H483" s="12" t="n">
        <f aca="false">IF(INDEX(選手一覧!$E$7:$E$2738,$F483)="","",INDEX(選手一覧!$E$7:$E$2738,$F483))</f>
        <v>240</v>
      </c>
      <c r="I483" s="11" t="str">
        <f aca="false">IF(INDEX(選手一覧!$F$7:$F$2738,$F483)="","",INDEX(選手一覧!$F$7:$F$2738,$F483))</f>
        <v/>
      </c>
      <c r="J483" s="12" t="str">
        <f aca="false">IF(INDEX(選手一覧!$G$7:$G$2738,$F483)="","",INDEX(選手一覧!$G$7:$G$2738,$F483))</f>
        <v/>
      </c>
    </row>
    <row r="484" customFormat="false" ht="15" hidden="false" customHeight="false" outlineLevel="0" collapsed="false">
      <c r="A484" s="12" t="n">
        <v>480</v>
      </c>
      <c r="B484" s="10" t="s">
        <v>1547</v>
      </c>
      <c r="C484" s="10" t="s">
        <v>1548</v>
      </c>
      <c r="D484" s="11" t="n">
        <v>0.00283726851851852</v>
      </c>
      <c r="E484" s="18" t="n">
        <f aca="false">ROUND((D484-$D$5)*86400,2)</f>
        <v>20.11</v>
      </c>
      <c r="F484" s="12" t="n">
        <v>1066</v>
      </c>
      <c r="G484" s="11" t="str">
        <f aca="false">IF(INDEX(選手一覧!$D$7:$D$2738,$F484)="","",INDEX(選手一覧!$D$7:$D$2738,$F484))</f>
        <v/>
      </c>
      <c r="H484" s="12" t="str">
        <f aca="false">IF(INDEX(選手一覧!$E$7:$E$2738,$F484)="","",INDEX(選手一覧!$E$7:$E$2738,$F484))</f>
        <v/>
      </c>
      <c r="I484" s="11" t="str">
        <f aca="false">IF(INDEX(選手一覧!$F$7:$F$2738,$F484)="","",INDEX(選手一覧!$F$7:$F$2738,$F484))</f>
        <v/>
      </c>
      <c r="J484" s="12" t="str">
        <f aca="false">IF(INDEX(選手一覧!$G$7:$G$2738,$F484)="","",INDEX(選手一覧!$G$7:$G$2738,$F484))</f>
        <v/>
      </c>
    </row>
    <row r="485" customFormat="false" ht="15" hidden="false" customHeight="false" outlineLevel="0" collapsed="false">
      <c r="A485" s="12" t="n">
        <v>481</v>
      </c>
      <c r="B485" s="10" t="s">
        <v>1552</v>
      </c>
      <c r="C485" s="10" t="s">
        <v>1553</v>
      </c>
      <c r="D485" s="11" t="n">
        <v>0.0028375</v>
      </c>
      <c r="E485" s="18" t="n">
        <f aca="false">ROUND((D485-$D$5)*86400,2)</f>
        <v>20.13</v>
      </c>
      <c r="F485" s="12" t="n">
        <v>1069</v>
      </c>
      <c r="G485" s="11" t="str">
        <f aca="false">IF(INDEX(選手一覧!$D$7:$D$2738,$F485)="","",INDEX(選手一覧!$D$7:$D$2738,$F485))</f>
        <v/>
      </c>
      <c r="H485" s="12" t="str">
        <f aca="false">IF(INDEX(選手一覧!$E$7:$E$2738,$F485)="","",INDEX(選手一覧!$E$7:$E$2738,$F485))</f>
        <v/>
      </c>
      <c r="I485" s="11" t="str">
        <f aca="false">IF(INDEX(選手一覧!$F$7:$F$2738,$F485)="","",INDEX(選手一覧!$F$7:$F$2738,$F485))</f>
        <v/>
      </c>
      <c r="J485" s="12" t="str">
        <f aca="false">IF(INDEX(選手一覧!$G$7:$G$2738,$F485)="","",INDEX(選手一覧!$G$7:$G$2738,$F485))</f>
        <v/>
      </c>
    </row>
    <row r="486" customFormat="false" ht="15" hidden="false" customHeight="false" outlineLevel="0" collapsed="false">
      <c r="A486" s="12" t="n">
        <v>482</v>
      </c>
      <c r="B486" s="10" t="s">
        <v>1402</v>
      </c>
      <c r="C486" s="10" t="s">
        <v>1336</v>
      </c>
      <c r="D486" s="11" t="n">
        <v>0.00283784722222222</v>
      </c>
      <c r="E486" s="18" t="n">
        <f aca="false">ROUND((D486-$D$5)*86400,2)</f>
        <v>20.16</v>
      </c>
      <c r="F486" s="12" t="n">
        <v>956</v>
      </c>
      <c r="G486" s="11" t="n">
        <f aca="false">IF(INDEX(選手一覧!$D$7:$D$2738,$F486)="","",INDEX(選手一覧!$D$7:$D$2738,$F486))</f>
        <v>0.0105734953703704</v>
      </c>
      <c r="H486" s="12" t="n">
        <f aca="false">IF(INDEX(選手一覧!$E$7:$E$2738,$F486)="","",INDEX(選手一覧!$E$7:$E$2738,$F486))</f>
        <v>428</v>
      </c>
      <c r="I486" s="11" t="str">
        <f aca="false">IF(INDEX(選手一覧!$F$7:$F$2738,$F486)="","",INDEX(選手一覧!$F$7:$F$2738,$F486))</f>
        <v/>
      </c>
      <c r="J486" s="12" t="str">
        <f aca="false">IF(INDEX(選手一覧!$G$7:$G$2738,$F486)="","",INDEX(選手一覧!$G$7:$G$2738,$F486))</f>
        <v/>
      </c>
    </row>
    <row r="487" customFormat="false" ht="15" hidden="false" customHeight="false" outlineLevel="0" collapsed="false">
      <c r="A487" s="12" t="n">
        <v>483</v>
      </c>
      <c r="B487" s="10" t="s">
        <v>258</v>
      </c>
      <c r="C487" s="10" t="s">
        <v>259</v>
      </c>
      <c r="D487" s="11" t="n">
        <v>0.0028380787037037</v>
      </c>
      <c r="E487" s="18" t="n">
        <f aca="false">ROUND((D487-$D$5)*86400,2)</f>
        <v>20.18</v>
      </c>
      <c r="F487" s="12" t="n">
        <v>141</v>
      </c>
      <c r="G487" s="11" t="str">
        <f aca="false">IF(INDEX(選手一覧!$D$7:$D$2738,$F487)="","",INDEX(選手一覧!$D$7:$D$2738,$F487))</f>
        <v/>
      </c>
      <c r="H487" s="12" t="str">
        <f aca="false">IF(INDEX(選手一覧!$E$7:$E$2738,$F487)="","",INDEX(選手一覧!$E$7:$E$2738,$F487))</f>
        <v/>
      </c>
      <c r="I487" s="11" t="n">
        <f aca="false">IF(INDEX(選手一覧!$F$7:$F$2738,$F487)="","",INDEX(選手一覧!$F$7:$F$2738,$F487))</f>
        <v>0.00656701388888889</v>
      </c>
      <c r="J487" s="12" t="n">
        <f aca="false">IF(INDEX(選手一覧!$G$7:$G$2738,$F487)="","",INDEX(選手一覧!$G$7:$G$2738,$F487))</f>
        <v>56</v>
      </c>
    </row>
    <row r="488" customFormat="false" ht="15" hidden="false" customHeight="false" outlineLevel="0" collapsed="false">
      <c r="A488" s="12" t="n">
        <v>484</v>
      </c>
      <c r="B488" s="10" t="s">
        <v>1559</v>
      </c>
      <c r="C488" s="10" t="s">
        <v>1560</v>
      </c>
      <c r="D488" s="11" t="n">
        <v>0.0028380787037037</v>
      </c>
      <c r="E488" s="18" t="n">
        <f aca="false">ROUND((D488-$D$5)*86400,2)</f>
        <v>20.18</v>
      </c>
      <c r="F488" s="12" t="n">
        <v>1074</v>
      </c>
      <c r="G488" s="11" t="str">
        <f aca="false">IF(INDEX(選手一覧!$D$7:$D$2738,$F488)="","",INDEX(選手一覧!$D$7:$D$2738,$F488))</f>
        <v/>
      </c>
      <c r="H488" s="12" t="str">
        <f aca="false">IF(INDEX(選手一覧!$E$7:$E$2738,$F488)="","",INDEX(選手一覧!$E$7:$E$2738,$F488))</f>
        <v/>
      </c>
      <c r="I488" s="11" t="str">
        <f aca="false">IF(INDEX(選手一覧!$F$7:$F$2738,$F488)="","",INDEX(選手一覧!$F$7:$F$2738,$F488))</f>
        <v/>
      </c>
      <c r="J488" s="12" t="str">
        <f aca="false">IF(INDEX(選手一覧!$G$7:$G$2738,$F488)="","",INDEX(選手一覧!$G$7:$G$2738,$F488))</f>
        <v/>
      </c>
    </row>
    <row r="489" customFormat="false" ht="15" hidden="false" customHeight="false" outlineLevel="0" collapsed="false">
      <c r="A489" s="12" t="n">
        <v>485</v>
      </c>
      <c r="B489" s="10" t="s">
        <v>1323</v>
      </c>
      <c r="C489" s="10" t="s">
        <v>302</v>
      </c>
      <c r="D489" s="11" t="n">
        <v>0.00283819444444444</v>
      </c>
      <c r="E489" s="18" t="n">
        <f aca="false">ROUND((D489-$D$5)*86400,2)</f>
        <v>20.19</v>
      </c>
      <c r="F489" s="12" t="n">
        <v>900</v>
      </c>
      <c r="G489" s="11" t="n">
        <f aca="false">IF(INDEX(選手一覧!$D$7:$D$2738,$F489)="","",INDEX(選手一覧!$D$7:$D$2738,$F489))</f>
        <v>0.0105515046296296</v>
      </c>
      <c r="H489" s="12" t="n">
        <f aca="false">IF(INDEX(選手一覧!$E$7:$E$2738,$F489)="","",INDEX(選手一覧!$E$7:$E$2738,$F489))</f>
        <v>402</v>
      </c>
      <c r="I489" s="11" t="str">
        <f aca="false">IF(INDEX(選手一覧!$F$7:$F$2738,$F489)="","",INDEX(選手一覧!$F$7:$F$2738,$F489))</f>
        <v/>
      </c>
      <c r="J489" s="12" t="str">
        <f aca="false">IF(INDEX(選手一覧!$G$7:$G$2738,$F489)="","",INDEX(選手一覧!$G$7:$G$2738,$F489))</f>
        <v/>
      </c>
    </row>
    <row r="490" customFormat="false" ht="15" hidden="false" customHeight="false" outlineLevel="0" collapsed="false">
      <c r="A490" s="12" t="n">
        <v>486</v>
      </c>
      <c r="B490" s="10" t="s">
        <v>1562</v>
      </c>
      <c r="C490" s="10" t="s">
        <v>546</v>
      </c>
      <c r="D490" s="11" t="n">
        <v>0.00283831018518519</v>
      </c>
      <c r="E490" s="18" t="n">
        <f aca="false">ROUND((D490-$D$5)*86400,2)</f>
        <v>20.2</v>
      </c>
      <c r="F490" s="12" t="n">
        <v>1076</v>
      </c>
      <c r="G490" s="11" t="n">
        <f aca="false">IF(INDEX(選手一覧!$D$7:$D$2738,$F490)="","",INDEX(選手一覧!$D$7:$D$2738,$F490))</f>
        <v>0.0106185185185185</v>
      </c>
      <c r="H490" s="12" t="n">
        <f aca="false">IF(INDEX(選手一覧!$E$7:$E$2738,$F490)="","",INDEX(選手一覧!$E$7:$E$2738,$F490))</f>
        <v>496</v>
      </c>
      <c r="I490" s="11" t="str">
        <f aca="false">IF(INDEX(選手一覧!$F$7:$F$2738,$F490)="","",INDEX(選手一覧!$F$7:$F$2738,$F490))</f>
        <v/>
      </c>
      <c r="J490" s="12" t="str">
        <f aca="false">IF(INDEX(選手一覧!$G$7:$G$2738,$F490)="","",INDEX(選手一覧!$G$7:$G$2738,$F490))</f>
        <v/>
      </c>
    </row>
    <row r="491" customFormat="false" ht="15" hidden="false" customHeight="false" outlineLevel="0" collapsed="false">
      <c r="A491" s="12" t="n">
        <v>487</v>
      </c>
      <c r="B491" s="10" t="s">
        <v>1565</v>
      </c>
      <c r="C491" s="10" t="s">
        <v>391</v>
      </c>
      <c r="D491" s="11" t="n">
        <v>0.00283888888888889</v>
      </c>
      <c r="E491" s="18" t="n">
        <f aca="false">ROUND((D491-$D$5)*86400,2)</f>
        <v>20.25</v>
      </c>
      <c r="F491" s="12" t="n">
        <v>1079</v>
      </c>
      <c r="G491" s="11" t="str">
        <f aca="false">IF(INDEX(選手一覧!$D$7:$D$2738,$F491)="","",INDEX(選手一覧!$D$7:$D$2738,$F491))</f>
        <v/>
      </c>
      <c r="H491" s="12" t="str">
        <f aca="false">IF(INDEX(選手一覧!$E$7:$E$2738,$F491)="","",INDEX(選手一覧!$E$7:$E$2738,$F491))</f>
        <v/>
      </c>
      <c r="I491" s="11" t="str">
        <f aca="false">IF(INDEX(選手一覧!$F$7:$F$2738,$F491)="","",INDEX(選手一覧!$F$7:$F$2738,$F491))</f>
        <v/>
      </c>
      <c r="J491" s="12" t="str">
        <f aca="false">IF(INDEX(選手一覧!$G$7:$G$2738,$F491)="","",INDEX(選手一覧!$G$7:$G$2738,$F491))</f>
        <v/>
      </c>
    </row>
    <row r="492" customFormat="false" ht="15" hidden="false" customHeight="false" outlineLevel="0" collapsed="false">
      <c r="A492" s="12" t="n">
        <v>488</v>
      </c>
      <c r="B492" s="10" t="s">
        <v>1041</v>
      </c>
      <c r="C492" s="10" t="s">
        <v>1042</v>
      </c>
      <c r="D492" s="11" t="n">
        <v>0.00283912037037037</v>
      </c>
      <c r="E492" s="18" t="n">
        <f aca="false">ROUND((D492-$D$5)*86400,2)</f>
        <v>20.27</v>
      </c>
      <c r="F492" s="12" t="n">
        <v>698</v>
      </c>
      <c r="G492" s="11" t="str">
        <f aca="false">IF(INDEX(選手一覧!$D$7:$D$2738,$F492)="","",INDEX(選手一覧!$D$7:$D$2738,$F492))</f>
        <v/>
      </c>
      <c r="H492" s="12" t="str">
        <f aca="false">IF(INDEX(選手一覧!$E$7:$E$2738,$F492)="","",INDEX(選手一覧!$E$7:$E$2738,$F492))</f>
        <v/>
      </c>
      <c r="I492" s="11" t="n">
        <f aca="false">IF(INDEX(選手一覧!$F$7:$F$2738,$F492)="","",INDEX(選手一覧!$F$7:$F$2738,$F492))</f>
        <v>0.00696678240740741</v>
      </c>
      <c r="J492" s="12" t="n">
        <f aca="false">IF(INDEX(選手一覧!$G$7:$G$2738,$F492)="","",INDEX(選手一覧!$G$7:$G$2738,$F492))</f>
        <v>299</v>
      </c>
    </row>
    <row r="493" customFormat="false" ht="15" hidden="false" customHeight="false" outlineLevel="0" collapsed="false">
      <c r="A493" s="12" t="n">
        <v>489</v>
      </c>
      <c r="B493" s="10" t="s">
        <v>1568</v>
      </c>
      <c r="C493" s="10" t="s">
        <v>1239</v>
      </c>
      <c r="D493" s="11" t="n">
        <v>0.00283912037037037</v>
      </c>
      <c r="E493" s="18" t="n">
        <f aca="false">ROUND((D493-$D$5)*86400,2)</f>
        <v>20.27</v>
      </c>
      <c r="F493" s="12" t="n">
        <v>1081</v>
      </c>
      <c r="G493" s="11" t="str">
        <f aca="false">IF(INDEX(選手一覧!$D$7:$D$2738,$F493)="","",INDEX(選手一覧!$D$7:$D$2738,$F493))</f>
        <v/>
      </c>
      <c r="H493" s="12" t="str">
        <f aca="false">IF(INDEX(選手一覧!$E$7:$E$2738,$F493)="","",INDEX(選手一覧!$E$7:$E$2738,$F493))</f>
        <v/>
      </c>
      <c r="I493" s="11" t="n">
        <f aca="false">IF(INDEX(選手一覧!$F$7:$F$2738,$F493)="","",INDEX(選手一覧!$F$7:$F$2738,$F493))</f>
        <v>0.00741527777777778</v>
      </c>
      <c r="J493" s="12" t="n">
        <f aca="false">IF(INDEX(選手一覧!$G$7:$G$2738,$F493)="","",INDEX(選手一覧!$G$7:$G$2738,$F493))</f>
        <v>788</v>
      </c>
    </row>
    <row r="494" customFormat="false" ht="15" hidden="false" customHeight="false" outlineLevel="0" collapsed="false">
      <c r="A494" s="12" t="n">
        <v>490</v>
      </c>
      <c r="B494" s="10" t="s">
        <v>1572</v>
      </c>
      <c r="C494" s="10" t="s">
        <v>1573</v>
      </c>
      <c r="D494" s="11" t="n">
        <v>0.00283935185185185</v>
      </c>
      <c r="E494" s="18" t="n">
        <f aca="false">ROUND((D494-$D$5)*86400,2)</f>
        <v>20.29</v>
      </c>
      <c r="F494" s="12" t="n">
        <v>1084</v>
      </c>
      <c r="G494" s="11" t="n">
        <f aca="false">IF(INDEX(選手一覧!$D$7:$D$2738,$F494)="","",INDEX(選手一覧!$D$7:$D$2738,$F494))</f>
        <v>0.0108450231481482</v>
      </c>
      <c r="H494" s="12" t="n">
        <f aca="false">IF(INDEX(選手一覧!$E$7:$E$2738,$F494)="","",INDEX(選手一覧!$E$7:$E$2738,$F494))</f>
        <v>826</v>
      </c>
      <c r="I494" s="11" t="str">
        <f aca="false">IF(INDEX(選手一覧!$F$7:$F$2738,$F494)="","",INDEX(選手一覧!$F$7:$F$2738,$F494))</f>
        <v/>
      </c>
      <c r="J494" s="12" t="str">
        <f aca="false">IF(INDEX(選手一覧!$G$7:$G$2738,$F494)="","",INDEX(選手一覧!$G$7:$G$2738,$F494))</f>
        <v/>
      </c>
    </row>
    <row r="495" customFormat="false" ht="15" hidden="false" customHeight="false" outlineLevel="0" collapsed="false">
      <c r="A495" s="12" t="n">
        <v>491</v>
      </c>
      <c r="B495" s="10" t="s">
        <v>89</v>
      </c>
      <c r="C495" s="10" t="s">
        <v>55</v>
      </c>
      <c r="D495" s="11" t="n">
        <v>0.00283935185185185</v>
      </c>
      <c r="E495" s="18" t="n">
        <f aca="false">ROUND((D495-$D$5)*86400,2)</f>
        <v>20.29</v>
      </c>
      <c r="F495" s="12" t="n">
        <v>38</v>
      </c>
      <c r="G495" s="11" t="n">
        <f aca="false">IF(INDEX(選手一覧!$D$7:$D$2738,$F495)="","",INDEX(選手一覧!$D$7:$D$2738,$F495))</f>
        <v>0.00990787037037037</v>
      </c>
      <c r="H495" s="12" t="n">
        <f aca="false">IF(INDEX(選手一覧!$E$7:$E$2738,$F495)="","",INDEX(選手一覧!$E$7:$E$2738,$F495))</f>
        <v>15</v>
      </c>
      <c r="I495" s="11" t="str">
        <f aca="false">IF(INDEX(選手一覧!$F$7:$F$2738,$F495)="","",INDEX(選手一覧!$F$7:$F$2738,$F495))</f>
        <v/>
      </c>
      <c r="J495" s="12" t="str">
        <f aca="false">IF(INDEX(選手一覧!$G$7:$G$2738,$F495)="","",INDEX(選手一覧!$G$7:$G$2738,$F495))</f>
        <v/>
      </c>
    </row>
    <row r="496" customFormat="false" ht="15" hidden="false" customHeight="false" outlineLevel="0" collapsed="false">
      <c r="A496" s="12" t="n">
        <v>492</v>
      </c>
      <c r="B496" s="10" t="s">
        <v>256</v>
      </c>
      <c r="C496" s="10" t="s">
        <v>257</v>
      </c>
      <c r="D496" s="11" t="n">
        <v>0.00283935185185185</v>
      </c>
      <c r="E496" s="18" t="n">
        <f aca="false">ROUND((D496-$D$5)*86400,2)</f>
        <v>20.29</v>
      </c>
      <c r="F496" s="12" t="n">
        <v>140</v>
      </c>
      <c r="G496" s="11" t="n">
        <f aca="false">IF(INDEX(選手一覧!$D$7:$D$2738,$F496)="","",INDEX(選手一覧!$D$7:$D$2738,$F496))</f>
        <v>0.01010625</v>
      </c>
      <c r="H496" s="12" t="n">
        <f aca="false">IF(INDEX(選手一覧!$E$7:$E$2738,$F496)="","",INDEX(選手一覧!$E$7:$E$2738,$F496))</f>
        <v>55</v>
      </c>
      <c r="I496" s="11" t="str">
        <f aca="false">IF(INDEX(選手一覧!$F$7:$F$2738,$F496)="","",INDEX(選手一覧!$F$7:$F$2738,$F496))</f>
        <v/>
      </c>
      <c r="J496" s="12" t="str">
        <f aca="false">IF(INDEX(選手一覧!$G$7:$G$2738,$F496)="","",INDEX(選手一覧!$G$7:$G$2738,$F496))</f>
        <v/>
      </c>
    </row>
    <row r="497" customFormat="false" ht="15" hidden="false" customHeight="false" outlineLevel="0" collapsed="false">
      <c r="A497" s="12" t="n">
        <v>493</v>
      </c>
      <c r="B497" s="10" t="s">
        <v>1579</v>
      </c>
      <c r="C497" s="10" t="s">
        <v>697</v>
      </c>
      <c r="D497" s="11" t="n">
        <v>0.00283946759259259</v>
      </c>
      <c r="E497" s="18" t="n">
        <f aca="false">ROUND((D497-$D$5)*86400,2)</f>
        <v>20.3</v>
      </c>
      <c r="F497" s="12" t="n">
        <v>1088</v>
      </c>
      <c r="G497" s="11" t="n">
        <f aca="false">IF(INDEX(選手一覧!$D$7:$D$2738,$F497)="","",INDEX(選手一覧!$D$7:$D$2738,$F497))</f>
        <v>0.0108951388888889</v>
      </c>
      <c r="H497" s="12" t="n">
        <f aca="false">IF(INDEX(選手一覧!$E$7:$E$2738,$F497)="","",INDEX(選手一覧!$E$7:$E$2738,$F497))</f>
        <v>913</v>
      </c>
      <c r="I497" s="11" t="str">
        <f aca="false">IF(INDEX(選手一覧!$F$7:$F$2738,$F497)="","",INDEX(選手一覧!$F$7:$F$2738,$F497))</f>
        <v/>
      </c>
      <c r="J497" s="12" t="str">
        <f aca="false">IF(INDEX(選手一覧!$G$7:$G$2738,$F497)="","",INDEX(選手一覧!$G$7:$G$2738,$F497))</f>
        <v/>
      </c>
    </row>
    <row r="498" customFormat="false" ht="15" hidden="false" customHeight="false" outlineLevel="0" collapsed="false">
      <c r="A498" s="12" t="n">
        <v>494</v>
      </c>
      <c r="B498" s="10" t="s">
        <v>1585</v>
      </c>
      <c r="C498" s="10" t="s">
        <v>69</v>
      </c>
      <c r="D498" s="11" t="n">
        <v>0.00283958333333333</v>
      </c>
      <c r="E498" s="18" t="n">
        <f aca="false">ROUND((D498-$D$5)*86400,2)</f>
        <v>20.31</v>
      </c>
      <c r="F498" s="12" t="n">
        <v>1093</v>
      </c>
      <c r="G498" s="11" t="n">
        <f aca="false">IF(INDEX(選手一覧!$D$7:$D$2738,$F498)="","",INDEX(選手一覧!$D$7:$D$2738,$F498))</f>
        <v>0.0108262731481482</v>
      </c>
      <c r="H498" s="12" t="n">
        <f aca="false">IF(INDEX(選手一覧!$E$7:$E$2738,$F498)="","",INDEX(選手一覧!$E$7:$E$2738,$F498))</f>
        <v>786</v>
      </c>
      <c r="I498" s="11" t="str">
        <f aca="false">IF(INDEX(選手一覧!$F$7:$F$2738,$F498)="","",INDEX(選手一覧!$F$7:$F$2738,$F498))</f>
        <v/>
      </c>
      <c r="J498" s="12" t="str">
        <f aca="false">IF(INDEX(選手一覧!$G$7:$G$2738,$F498)="","",INDEX(選手一覧!$G$7:$G$2738,$F498))</f>
        <v/>
      </c>
    </row>
    <row r="499" customFormat="false" ht="15" hidden="false" customHeight="false" outlineLevel="0" collapsed="false">
      <c r="A499" s="12" t="n">
        <v>495</v>
      </c>
      <c r="B499" s="10" t="s">
        <v>1587</v>
      </c>
      <c r="C499" s="10" t="s">
        <v>286</v>
      </c>
      <c r="D499" s="11" t="n">
        <v>0.00283981481481482</v>
      </c>
      <c r="E499" s="18" t="n">
        <f aca="false">ROUND((D499-$D$5)*86400,2)</f>
        <v>20.33</v>
      </c>
      <c r="F499" s="12" t="n">
        <v>1095</v>
      </c>
      <c r="G499" s="11" t="n">
        <f aca="false">IF(INDEX(選手一覧!$D$7:$D$2738,$F499)="","",INDEX(選手一覧!$D$7:$D$2738,$F499))</f>
        <v>0.0110730324074074</v>
      </c>
      <c r="H499" s="12" t="n">
        <f aca="false">IF(INDEX(選手一覧!$E$7:$E$2738,$F499)="","",INDEX(選手一覧!$E$7:$E$2738,$F499))</f>
        <v>1241</v>
      </c>
      <c r="I499" s="11" t="str">
        <f aca="false">IF(INDEX(選手一覧!$F$7:$F$2738,$F499)="","",INDEX(選手一覧!$F$7:$F$2738,$F499))</f>
        <v/>
      </c>
      <c r="J499" s="12" t="str">
        <f aca="false">IF(INDEX(選手一覧!$G$7:$G$2738,$F499)="","",INDEX(選手一覧!$G$7:$G$2738,$F499))</f>
        <v/>
      </c>
    </row>
    <row r="500" customFormat="false" ht="15" hidden="false" customHeight="false" outlineLevel="0" collapsed="false">
      <c r="A500" s="12" t="n">
        <v>496</v>
      </c>
      <c r="B500" s="10" t="s">
        <v>361</v>
      </c>
      <c r="C500" s="10" t="s">
        <v>107</v>
      </c>
      <c r="D500" s="11" t="n">
        <v>0.00283993055555556</v>
      </c>
      <c r="E500" s="18" t="n">
        <f aca="false">ROUND((D500-$D$5)*86400,2)</f>
        <v>20.34</v>
      </c>
      <c r="F500" s="12" t="n">
        <v>214</v>
      </c>
      <c r="G500" s="11" t="n">
        <f aca="false">IF(INDEX(選手一覧!$D$7:$D$2738,$F500)="","",INDEX(選手一覧!$D$7:$D$2738,$F500))</f>
        <v>0.0105200231481482</v>
      </c>
      <c r="H500" s="12" t="n">
        <f aca="false">IF(INDEX(選手一覧!$E$7:$E$2738,$F500)="","",INDEX(選手一覧!$E$7:$E$2738,$F500))</f>
        <v>363</v>
      </c>
      <c r="I500" s="11" t="n">
        <f aca="false">IF(INDEX(選手一覧!$F$7:$F$2738,$F500)="","",INDEX(選手一覧!$F$7:$F$2738,$F500))</f>
        <v>0.00666423611111111</v>
      </c>
      <c r="J500" s="12" t="n">
        <f aca="false">IF(INDEX(選手一覧!$G$7:$G$2738,$F500)="","",INDEX(選手一覧!$G$7:$G$2738,$F500))</f>
        <v>89</v>
      </c>
    </row>
    <row r="501" customFormat="false" ht="15" hidden="false" customHeight="false" outlineLevel="0" collapsed="false">
      <c r="A501" s="12" t="n">
        <v>497</v>
      </c>
      <c r="B501" s="10" t="s">
        <v>1590</v>
      </c>
      <c r="C501" s="10" t="s">
        <v>380</v>
      </c>
      <c r="D501" s="11" t="n">
        <v>0.0028400462962963</v>
      </c>
      <c r="E501" s="18" t="n">
        <f aca="false">ROUND((D501-$D$5)*86400,2)</f>
        <v>20.35</v>
      </c>
      <c r="F501" s="12" t="n">
        <v>1097</v>
      </c>
      <c r="G501" s="11" t="n">
        <f aca="false">IF(INDEX(選手一覧!$D$7:$D$2738,$F501)="","",INDEX(選手一覧!$D$7:$D$2738,$F501))</f>
        <v>0.0107821759259259</v>
      </c>
      <c r="H501" s="12" t="n">
        <f aca="false">IF(INDEX(選手一覧!$E$7:$E$2738,$F501)="","",INDEX(選手一覧!$E$7:$E$2738,$F501))</f>
        <v>709</v>
      </c>
      <c r="I501" s="11" t="str">
        <f aca="false">IF(INDEX(選手一覧!$F$7:$F$2738,$F501)="","",INDEX(選手一覧!$F$7:$F$2738,$F501))</f>
        <v/>
      </c>
      <c r="J501" s="12" t="str">
        <f aca="false">IF(INDEX(選手一覧!$G$7:$G$2738,$F501)="","",INDEX(選手一覧!$G$7:$G$2738,$F501))</f>
        <v/>
      </c>
    </row>
    <row r="502" customFormat="false" ht="15" hidden="false" customHeight="false" outlineLevel="0" collapsed="false">
      <c r="A502" s="12" t="n">
        <v>498</v>
      </c>
      <c r="B502" s="10" t="s">
        <v>1593</v>
      </c>
      <c r="C502" s="10" t="s">
        <v>614</v>
      </c>
      <c r="D502" s="11" t="n">
        <v>0.00284027777777778</v>
      </c>
      <c r="E502" s="18" t="n">
        <f aca="false">ROUND((D502-$D$5)*86400,2)</f>
        <v>20.37</v>
      </c>
      <c r="F502" s="12" t="n">
        <v>1100</v>
      </c>
      <c r="G502" s="11" t="n">
        <f aca="false">IF(INDEX(選手一覧!$D$7:$D$2738,$F502)="","",INDEX(選手一覧!$D$7:$D$2738,$F502))</f>
        <v>0.0107611111111111</v>
      </c>
      <c r="H502" s="12" t="n">
        <f aca="false">IF(INDEX(選手一覧!$E$7:$E$2738,$F502)="","",INDEX(選手一覧!$E$7:$E$2738,$F502))</f>
        <v>683</v>
      </c>
      <c r="I502" s="11" t="n">
        <f aca="false">IF(INDEX(選手一覧!$F$7:$F$2738,$F502)="","",INDEX(選手一覧!$F$7:$F$2738,$F502))</f>
        <v>0.00724259259259259</v>
      </c>
      <c r="J502" s="12" t="n">
        <f aca="false">IF(INDEX(選手一覧!$G$7:$G$2738,$F502)="","",INDEX(選手一覧!$G$7:$G$2738,$F502))</f>
        <v>588</v>
      </c>
    </row>
    <row r="503" customFormat="false" ht="15" hidden="false" customHeight="false" outlineLevel="0" collapsed="false">
      <c r="A503" s="12" t="n">
        <v>499</v>
      </c>
      <c r="B503" s="10" t="s">
        <v>1596</v>
      </c>
      <c r="C503" s="10" t="s">
        <v>1413</v>
      </c>
      <c r="D503" s="11" t="n">
        <v>0.00284027777777778</v>
      </c>
      <c r="E503" s="18" t="n">
        <f aca="false">ROUND((D503-$D$5)*86400,2)</f>
        <v>20.37</v>
      </c>
      <c r="F503" s="12" t="n">
        <v>1102</v>
      </c>
      <c r="G503" s="11" t="n">
        <f aca="false">IF(INDEX(選手一覧!$D$7:$D$2738,$F503)="","",INDEX(選手一覧!$D$7:$D$2738,$F503))</f>
        <v>0.010752662037037</v>
      </c>
      <c r="H503" s="12" t="n">
        <f aca="false">IF(INDEX(選手一覧!$E$7:$E$2738,$F503)="","",INDEX(選手一覧!$E$7:$E$2738,$F503))</f>
        <v>671</v>
      </c>
      <c r="I503" s="11" t="str">
        <f aca="false">IF(INDEX(選手一覧!$F$7:$F$2738,$F503)="","",INDEX(選手一覧!$F$7:$F$2738,$F503))</f>
        <v/>
      </c>
      <c r="J503" s="12" t="str">
        <f aca="false">IF(INDEX(選手一覧!$G$7:$G$2738,$F503)="","",INDEX(選手一覧!$G$7:$G$2738,$F503))</f>
        <v/>
      </c>
    </row>
    <row r="504" customFormat="false" ht="15" hidden="false" customHeight="false" outlineLevel="0" collapsed="false">
      <c r="A504" s="12" t="n">
        <v>500</v>
      </c>
      <c r="B504" s="10" t="s">
        <v>1600</v>
      </c>
      <c r="C504" s="10" t="s">
        <v>36</v>
      </c>
      <c r="D504" s="11" t="n">
        <v>0.00284027777777778</v>
      </c>
      <c r="E504" s="18" t="n">
        <f aca="false">ROUND((D504-$D$5)*86400,2)</f>
        <v>20.37</v>
      </c>
      <c r="F504" s="12" t="n">
        <v>1105</v>
      </c>
      <c r="G504" s="11" t="n">
        <f aca="false">IF(INDEX(選手一覧!$D$7:$D$2738,$F504)="","",INDEX(選手一覧!$D$7:$D$2738,$F504))</f>
        <v>0.0108827546296296</v>
      </c>
      <c r="H504" s="12" t="n">
        <f aca="false">IF(INDEX(選手一覧!$E$7:$E$2738,$F504)="","",INDEX(選手一覧!$E$7:$E$2738,$F504))</f>
        <v>894</v>
      </c>
      <c r="I504" s="11" t="str">
        <f aca="false">IF(INDEX(選手一覧!$F$7:$F$2738,$F504)="","",INDEX(選手一覧!$F$7:$F$2738,$F504))</f>
        <v/>
      </c>
      <c r="J504" s="12" t="str">
        <f aca="false">IF(INDEX(選手一覧!$G$7:$G$2738,$F504)="","",INDEX(選手一覧!$G$7:$G$2738,$F504))</f>
        <v/>
      </c>
    </row>
    <row r="505" customFormat="false" ht="15" hidden="false" customHeight="false" outlineLevel="0" collapsed="false">
      <c r="A505" s="12" t="n">
        <v>501</v>
      </c>
      <c r="B505" s="10" t="s">
        <v>1061</v>
      </c>
      <c r="C505" s="10" t="s">
        <v>1062</v>
      </c>
      <c r="D505" s="11" t="n">
        <v>0.002840625</v>
      </c>
      <c r="E505" s="18" t="n">
        <f aca="false">ROUND((D505-$D$5)*86400,2)</f>
        <v>20.4</v>
      </c>
      <c r="F505" s="12" t="n">
        <v>712</v>
      </c>
      <c r="G505" s="11" t="n">
        <f aca="false">IF(INDEX(選手一覧!$D$7:$D$2738,$F505)="","",INDEX(選手一覧!$D$7:$D$2738,$F505))</f>
        <v>0.0104540509259259</v>
      </c>
      <c r="H505" s="12" t="n">
        <f aca="false">IF(INDEX(選手一覧!$E$7:$E$2738,$F505)="","",INDEX(選手一覧!$E$7:$E$2738,$F505))</f>
        <v>306</v>
      </c>
      <c r="I505" s="11" t="str">
        <f aca="false">IF(INDEX(選手一覧!$F$7:$F$2738,$F505)="","",INDEX(選手一覧!$F$7:$F$2738,$F505))</f>
        <v/>
      </c>
      <c r="J505" s="12" t="str">
        <f aca="false">IF(INDEX(選手一覧!$G$7:$G$2738,$F505)="","",INDEX(選手一覧!$G$7:$G$2738,$F505))</f>
        <v/>
      </c>
    </row>
    <row r="506" customFormat="false" ht="15" hidden="false" customHeight="false" outlineLevel="0" collapsed="false">
      <c r="A506" s="12" t="n">
        <v>502</v>
      </c>
      <c r="B506" s="10" t="s">
        <v>1066</v>
      </c>
      <c r="C506" s="10" t="s">
        <v>1067</v>
      </c>
      <c r="D506" s="11" t="n">
        <v>0.002840625</v>
      </c>
      <c r="E506" s="18" t="n">
        <f aca="false">ROUND((D506-$D$5)*86400,2)</f>
        <v>20.4</v>
      </c>
      <c r="F506" s="12" t="n">
        <v>715</v>
      </c>
      <c r="G506" s="11" t="str">
        <f aca="false">IF(INDEX(選手一覧!$D$7:$D$2738,$F506)="","",INDEX(選手一覧!$D$7:$D$2738,$F506))</f>
        <v/>
      </c>
      <c r="H506" s="12" t="str">
        <f aca="false">IF(INDEX(選手一覧!$E$7:$E$2738,$F506)="","",INDEX(選手一覧!$E$7:$E$2738,$F506))</f>
        <v/>
      </c>
      <c r="I506" s="11" t="n">
        <f aca="false">IF(INDEX(選手一覧!$F$7:$F$2738,$F506)="","",INDEX(選手一覧!$F$7:$F$2738,$F506))</f>
        <v>0.0069712962962963</v>
      </c>
      <c r="J506" s="12" t="n">
        <f aca="false">IF(INDEX(選手一覧!$G$7:$G$2738,$F506)="","",INDEX(選手一覧!$G$7:$G$2738,$F506))</f>
        <v>307</v>
      </c>
    </row>
    <row r="507" customFormat="false" ht="15" hidden="false" customHeight="false" outlineLevel="0" collapsed="false">
      <c r="A507" s="12" t="n">
        <v>503</v>
      </c>
      <c r="B507" s="10" t="s">
        <v>923</v>
      </c>
      <c r="C507" s="10" t="s">
        <v>25</v>
      </c>
      <c r="D507" s="11" t="n">
        <v>0.00284085648148148</v>
      </c>
      <c r="E507" s="18" t="n">
        <f aca="false">ROUND((D507-$D$5)*86400,2)</f>
        <v>20.42</v>
      </c>
      <c r="F507" s="12" t="n">
        <v>610</v>
      </c>
      <c r="G507" s="11" t="n">
        <f aca="false">IF(INDEX(選手一覧!$D$7:$D$2738,$F507)="","",INDEX(選手一覧!$D$7:$D$2738,$F507))</f>
        <v>0.0103967592592593</v>
      </c>
      <c r="H507" s="12" t="n">
        <f aca="false">IF(INDEX(選手一覧!$E$7:$E$2738,$F507)="","",INDEX(選手一覧!$E$7:$E$2738,$F507))</f>
        <v>257</v>
      </c>
      <c r="I507" s="11" t="str">
        <f aca="false">IF(INDEX(選手一覧!$F$7:$F$2738,$F507)="","",INDEX(選手一覧!$F$7:$F$2738,$F507))</f>
        <v/>
      </c>
      <c r="J507" s="12" t="str">
        <f aca="false">IF(INDEX(選手一覧!$G$7:$G$2738,$F507)="","",INDEX(選手一覧!$G$7:$G$2738,$F507))</f>
        <v/>
      </c>
    </row>
    <row r="508" customFormat="false" ht="15" hidden="false" customHeight="false" outlineLevel="0" collapsed="false">
      <c r="A508" s="12" t="n">
        <v>504</v>
      </c>
      <c r="B508" s="10" t="s">
        <v>1612</v>
      </c>
      <c r="C508" s="10" t="s">
        <v>126</v>
      </c>
      <c r="D508" s="11" t="n">
        <v>0.00284085648148148</v>
      </c>
      <c r="E508" s="18" t="n">
        <f aca="false">ROUND((D508-$D$5)*86400,2)</f>
        <v>20.42</v>
      </c>
      <c r="F508" s="12" t="n">
        <v>1113</v>
      </c>
      <c r="G508" s="11" t="n">
        <f aca="false">IF(INDEX(選手一覧!$D$7:$D$2738,$F508)="","",INDEX(選手一覧!$D$7:$D$2738,$F508))</f>
        <v>0.0108868055555556</v>
      </c>
      <c r="H508" s="12" t="n">
        <f aca="false">IF(INDEX(選手一覧!$E$7:$E$2738,$F508)="","",INDEX(選手一覧!$E$7:$E$2738,$F508))</f>
        <v>902</v>
      </c>
      <c r="I508" s="11" t="str">
        <f aca="false">IF(INDEX(選手一覧!$F$7:$F$2738,$F508)="","",INDEX(選手一覧!$F$7:$F$2738,$F508))</f>
        <v/>
      </c>
      <c r="J508" s="12" t="str">
        <f aca="false">IF(INDEX(選手一覧!$G$7:$G$2738,$F508)="","",INDEX(選手一覧!$G$7:$G$2738,$F508))</f>
        <v/>
      </c>
    </row>
    <row r="509" customFormat="false" ht="15" hidden="false" customHeight="false" outlineLevel="0" collapsed="false">
      <c r="A509" s="12" t="n">
        <v>505</v>
      </c>
      <c r="B509" s="10" t="s">
        <v>1142</v>
      </c>
      <c r="C509" s="10" t="s">
        <v>555</v>
      </c>
      <c r="D509" s="11" t="n">
        <v>0.00284085648148148</v>
      </c>
      <c r="E509" s="18" t="n">
        <f aca="false">ROUND((D509-$D$5)*86400,2)</f>
        <v>20.42</v>
      </c>
      <c r="F509" s="12" t="n">
        <v>771</v>
      </c>
      <c r="G509" s="11" t="n">
        <f aca="false">IF(INDEX(選手一覧!$D$7:$D$2738,$F509)="","",INDEX(選手一覧!$D$7:$D$2738,$F509))</f>
        <v>0.0104908564814815</v>
      </c>
      <c r="H509" s="12" t="n">
        <f aca="false">IF(INDEX(選手一覧!$E$7:$E$2738,$F509)="","",INDEX(選手一覧!$E$7:$E$2738,$F509))</f>
        <v>335</v>
      </c>
      <c r="I509" s="11" t="str">
        <f aca="false">IF(INDEX(選手一覧!$F$7:$F$2738,$F509)="","",INDEX(選手一覧!$F$7:$F$2738,$F509))</f>
        <v/>
      </c>
      <c r="J509" s="12" t="str">
        <f aca="false">IF(INDEX(選手一覧!$G$7:$G$2738,$F509)="","",INDEX(選手一覧!$G$7:$G$2738,$F509))</f>
        <v/>
      </c>
    </row>
    <row r="510" customFormat="false" ht="15" hidden="false" customHeight="false" outlineLevel="0" collapsed="false">
      <c r="A510" s="12" t="n">
        <v>506</v>
      </c>
      <c r="B510" s="10" t="s">
        <v>747</v>
      </c>
      <c r="C510" s="10" t="s">
        <v>748</v>
      </c>
      <c r="D510" s="11" t="n">
        <v>0.00284097222222222</v>
      </c>
      <c r="E510" s="18" t="n">
        <f aca="false">ROUND((D510-$D$5)*86400,2)</f>
        <v>20.43</v>
      </c>
      <c r="F510" s="12" t="n">
        <v>482</v>
      </c>
      <c r="G510" s="11" t="n">
        <f aca="false">IF(INDEX(選手一覧!$D$7:$D$2738,$F510)="","",INDEX(選手一覧!$D$7:$D$2738,$F510))</f>
        <v>0.0108645833333333</v>
      </c>
      <c r="H510" s="12" t="n">
        <f aca="false">IF(INDEX(選手一覧!$E$7:$E$2738,$F510)="","",INDEX(選手一覧!$E$7:$E$2738,$F510))</f>
        <v>860</v>
      </c>
      <c r="I510" s="11" t="n">
        <f aca="false">IF(INDEX(選手一覧!$F$7:$F$2738,$F510)="","",INDEX(選手一覧!$F$7:$F$2738,$F510))</f>
        <v>0.00684953703703704</v>
      </c>
      <c r="J510" s="12" t="n">
        <f aca="false">IF(INDEX(選手一覧!$G$7:$G$2738,$F510)="","",INDEX(選手一覧!$G$7:$G$2738,$F510))</f>
        <v>203</v>
      </c>
    </row>
    <row r="511" customFormat="false" ht="15" hidden="false" customHeight="false" outlineLevel="0" collapsed="false">
      <c r="A511" s="12" t="n">
        <v>507</v>
      </c>
      <c r="B511" s="10" t="s">
        <v>1620</v>
      </c>
      <c r="C511" s="10" t="s">
        <v>1621</v>
      </c>
      <c r="D511" s="11" t="n">
        <v>0.00284097222222222</v>
      </c>
      <c r="E511" s="18" t="n">
        <f aca="false">ROUND((D511-$D$5)*86400,2)</f>
        <v>20.43</v>
      </c>
      <c r="F511" s="12" t="n">
        <v>1118</v>
      </c>
      <c r="G511" s="11" t="n">
        <f aca="false">IF(INDEX(選手一覧!$D$7:$D$2738,$F511)="","",INDEX(選手一覧!$D$7:$D$2738,$F511))</f>
        <v>0.0109864583333333</v>
      </c>
      <c r="H511" s="12" t="n">
        <f aca="false">IF(INDEX(選手一覧!$E$7:$E$2738,$F511)="","",INDEX(選手一覧!$E$7:$E$2738,$F511))</f>
        <v>1072</v>
      </c>
      <c r="I511" s="11" t="str">
        <f aca="false">IF(INDEX(選手一覧!$F$7:$F$2738,$F511)="","",INDEX(選手一覧!$F$7:$F$2738,$F511))</f>
        <v/>
      </c>
      <c r="J511" s="12" t="str">
        <f aca="false">IF(INDEX(選手一覧!$G$7:$G$2738,$F511)="","",INDEX(選手一覧!$G$7:$G$2738,$F511))</f>
        <v/>
      </c>
    </row>
    <row r="512" customFormat="false" ht="15" hidden="false" customHeight="false" outlineLevel="0" collapsed="false">
      <c r="A512" s="12" t="n">
        <v>508</v>
      </c>
      <c r="B512" s="10" t="s">
        <v>1624</v>
      </c>
      <c r="C512" s="10" t="s">
        <v>87</v>
      </c>
      <c r="D512" s="11" t="n">
        <v>0.00284097222222222</v>
      </c>
      <c r="E512" s="18" t="n">
        <f aca="false">ROUND((D512-$D$5)*86400,2)</f>
        <v>20.43</v>
      </c>
      <c r="F512" s="12" t="n">
        <v>1121</v>
      </c>
      <c r="G512" s="11" t="n">
        <f aca="false">IF(INDEX(選手一覧!$D$7:$D$2738,$F512)="","",INDEX(選手一覧!$D$7:$D$2738,$F512))</f>
        <v>0.0111184027777778</v>
      </c>
      <c r="H512" s="12" t="n">
        <f aca="false">IF(INDEX(選手一覧!$E$7:$E$2738,$F512)="","",INDEX(選手一覧!$E$7:$E$2738,$F512))</f>
        <v>1285</v>
      </c>
      <c r="I512" s="11" t="str">
        <f aca="false">IF(INDEX(選手一覧!$F$7:$F$2738,$F512)="","",INDEX(選手一覧!$F$7:$F$2738,$F512))</f>
        <v/>
      </c>
      <c r="J512" s="12" t="str">
        <f aca="false">IF(INDEX(選手一覧!$G$7:$G$2738,$F512)="","",INDEX(選手一覧!$G$7:$G$2738,$F512))</f>
        <v/>
      </c>
    </row>
    <row r="513" customFormat="false" ht="15" hidden="false" customHeight="false" outlineLevel="0" collapsed="false">
      <c r="A513" s="12" t="n">
        <v>509</v>
      </c>
      <c r="B513" s="10" t="s">
        <v>1629</v>
      </c>
      <c r="C513" s="10" t="s">
        <v>1630</v>
      </c>
      <c r="D513" s="11" t="n">
        <v>0.00284108796296296</v>
      </c>
      <c r="E513" s="18" t="n">
        <f aca="false">ROUND((D513-$D$5)*86400,2)</f>
        <v>20.44</v>
      </c>
      <c r="F513" s="12" t="n">
        <v>1124</v>
      </c>
      <c r="G513" s="11" t="n">
        <f aca="false">IF(INDEX(選手一覧!$D$7:$D$2738,$F513)="","",INDEX(選手一覧!$D$7:$D$2738,$F513))</f>
        <v>0.0110782407407407</v>
      </c>
      <c r="H513" s="12" t="n">
        <f aca="false">IF(INDEX(選手一覧!$E$7:$E$2738,$F513)="","",INDEX(選手一覧!$E$7:$E$2738,$F513))</f>
        <v>1247</v>
      </c>
      <c r="I513" s="11" t="str">
        <f aca="false">IF(INDEX(選手一覧!$F$7:$F$2738,$F513)="","",INDEX(選手一覧!$F$7:$F$2738,$F513))</f>
        <v/>
      </c>
      <c r="J513" s="12" t="str">
        <f aca="false">IF(INDEX(選手一覧!$G$7:$G$2738,$F513)="","",INDEX(選手一覧!$G$7:$G$2738,$F513))</f>
        <v/>
      </c>
    </row>
    <row r="514" customFormat="false" ht="15" hidden="false" customHeight="false" outlineLevel="0" collapsed="false">
      <c r="A514" s="12" t="n">
        <v>510</v>
      </c>
      <c r="B514" s="10" t="s">
        <v>1632</v>
      </c>
      <c r="C514" s="10" t="s">
        <v>45</v>
      </c>
      <c r="D514" s="11" t="n">
        <v>0.00284143518518519</v>
      </c>
      <c r="E514" s="18" t="n">
        <f aca="false">ROUND((D514-$D$5)*86400,2)</f>
        <v>20.47</v>
      </c>
      <c r="F514" s="12" t="n">
        <v>1126</v>
      </c>
      <c r="G514" s="11" t="str">
        <f aca="false">IF(INDEX(選手一覧!$D$7:$D$2738,$F514)="","",INDEX(選手一覧!$D$7:$D$2738,$F514))</f>
        <v/>
      </c>
      <c r="H514" s="12" t="str">
        <f aca="false">IF(INDEX(選手一覧!$E$7:$E$2738,$F514)="","",INDEX(選手一覧!$E$7:$E$2738,$F514))</f>
        <v/>
      </c>
      <c r="I514" s="11" t="str">
        <f aca="false">IF(INDEX(選手一覧!$F$7:$F$2738,$F514)="","",INDEX(選手一覧!$F$7:$F$2738,$F514))</f>
        <v/>
      </c>
      <c r="J514" s="12" t="str">
        <f aca="false">IF(INDEX(選手一覧!$G$7:$G$2738,$F514)="","",INDEX(選手一覧!$G$7:$G$2738,$F514))</f>
        <v/>
      </c>
    </row>
    <row r="515" customFormat="false" ht="15" hidden="false" customHeight="false" outlineLevel="0" collapsed="false">
      <c r="A515" s="12" t="n">
        <v>511</v>
      </c>
      <c r="B515" s="10" t="s">
        <v>1259</v>
      </c>
      <c r="C515" s="10" t="s">
        <v>1260</v>
      </c>
      <c r="D515" s="11" t="n">
        <v>0.00284155092592593</v>
      </c>
      <c r="E515" s="18" t="n">
        <f aca="false">ROUND((D515-$D$5)*86400,2)</f>
        <v>20.48</v>
      </c>
      <c r="F515" s="12" t="n">
        <v>857</v>
      </c>
      <c r="G515" s="11" t="n">
        <f aca="false">IF(INDEX(選手一覧!$D$7:$D$2738,$F515)="","",INDEX(選手一覧!$D$7:$D$2738,$F515))</f>
        <v>0.0105368055555556</v>
      </c>
      <c r="H515" s="12" t="n">
        <f aca="false">IF(INDEX(選手一覧!$E$7:$E$2738,$F515)="","",INDEX(選手一覧!$E$7:$E$2738,$F515))</f>
        <v>381</v>
      </c>
      <c r="I515" s="11" t="str">
        <f aca="false">IF(INDEX(選手一覧!$F$7:$F$2738,$F515)="","",INDEX(選手一覧!$F$7:$F$2738,$F515))</f>
        <v/>
      </c>
      <c r="J515" s="12" t="str">
        <f aca="false">IF(INDEX(選手一覧!$G$7:$G$2738,$F515)="","",INDEX(選手一覧!$G$7:$G$2738,$F515))</f>
        <v/>
      </c>
    </row>
    <row r="516" customFormat="false" ht="15" hidden="false" customHeight="false" outlineLevel="0" collapsed="false">
      <c r="A516" s="12" t="n">
        <v>512</v>
      </c>
      <c r="B516" s="10" t="s">
        <v>1636</v>
      </c>
      <c r="C516" s="10" t="s">
        <v>1637</v>
      </c>
      <c r="D516" s="11" t="n">
        <v>0.00284224537037037</v>
      </c>
      <c r="E516" s="18" t="n">
        <f aca="false">ROUND((D516-$D$5)*86400,2)</f>
        <v>20.54</v>
      </c>
      <c r="F516" s="12" t="n">
        <v>1129</v>
      </c>
      <c r="G516" s="11" t="str">
        <f aca="false">IF(INDEX(選手一覧!$D$7:$D$2738,$F516)="","",INDEX(選手一覧!$D$7:$D$2738,$F516))</f>
        <v/>
      </c>
      <c r="H516" s="12" t="str">
        <f aca="false">IF(INDEX(選手一覧!$E$7:$E$2738,$F516)="","",INDEX(選手一覧!$E$7:$E$2738,$F516))</f>
        <v/>
      </c>
      <c r="I516" s="11" t="n">
        <f aca="false">IF(INDEX(選手一覧!$F$7:$F$2738,$F516)="","",INDEX(選手一覧!$F$7:$F$2738,$F516))</f>
        <v>0.00752025462962963</v>
      </c>
      <c r="J516" s="12" t="n">
        <f aca="false">IF(INDEX(選手一覧!$G$7:$G$2738,$F516)="","",INDEX(選手一覧!$G$7:$G$2738,$F516))</f>
        <v>919</v>
      </c>
    </row>
    <row r="517" customFormat="false" ht="15" hidden="false" customHeight="false" outlineLevel="0" collapsed="false">
      <c r="A517" s="12" t="n">
        <v>513</v>
      </c>
      <c r="B517" s="10" t="s">
        <v>1639</v>
      </c>
      <c r="C517" s="10" t="s">
        <v>36</v>
      </c>
      <c r="D517" s="11" t="n">
        <v>0.00284259259259259</v>
      </c>
      <c r="E517" s="18" t="n">
        <f aca="false">ROUND((D517-$D$5)*86400,2)</f>
        <v>20.57</v>
      </c>
      <c r="F517" s="12" t="n">
        <v>1131</v>
      </c>
      <c r="G517" s="11" t="n">
        <f aca="false">IF(INDEX(選手一覧!$D$7:$D$2738,$F517)="","",INDEX(選手一覧!$D$7:$D$2738,$F517))</f>
        <v>0.0106527777777778</v>
      </c>
      <c r="H517" s="12" t="n">
        <f aca="false">IF(INDEX(選手一覧!$E$7:$E$2738,$F517)="","",INDEX(選手一覧!$E$7:$E$2738,$F517))</f>
        <v>528</v>
      </c>
      <c r="I517" s="11" t="str">
        <f aca="false">IF(INDEX(選手一覧!$F$7:$F$2738,$F517)="","",INDEX(選手一覧!$F$7:$F$2738,$F517))</f>
        <v/>
      </c>
      <c r="J517" s="12" t="str">
        <f aca="false">IF(INDEX(選手一覧!$G$7:$G$2738,$F517)="","",INDEX(選手一覧!$G$7:$G$2738,$F517))</f>
        <v/>
      </c>
    </row>
    <row r="518" customFormat="false" ht="15" hidden="false" customHeight="false" outlineLevel="0" collapsed="false">
      <c r="A518" s="12" t="n">
        <v>514</v>
      </c>
      <c r="B518" s="10" t="s">
        <v>1642</v>
      </c>
      <c r="C518" s="10" t="s">
        <v>1436</v>
      </c>
      <c r="D518" s="11" t="n">
        <v>0.00284259259259259</v>
      </c>
      <c r="E518" s="18" t="n">
        <f aca="false">ROUND((D518-$D$5)*86400,2)</f>
        <v>20.57</v>
      </c>
      <c r="F518" s="12" t="n">
        <v>1134</v>
      </c>
      <c r="G518" s="11" t="n">
        <f aca="false">IF(INDEX(選手一覧!$D$7:$D$2738,$F518)="","",INDEX(選手一覧!$D$7:$D$2738,$F518))</f>
        <v>0.0108291666666667</v>
      </c>
      <c r="H518" s="12" t="n">
        <f aca="false">IF(INDEX(選手一覧!$E$7:$E$2738,$F518)="","",INDEX(選手一覧!$E$7:$E$2738,$F518))</f>
        <v>789</v>
      </c>
      <c r="I518" s="11" t="str">
        <f aca="false">IF(INDEX(選手一覧!$F$7:$F$2738,$F518)="","",INDEX(選手一覧!$F$7:$F$2738,$F518))</f>
        <v/>
      </c>
      <c r="J518" s="12" t="str">
        <f aca="false">IF(INDEX(選手一覧!$G$7:$G$2738,$F518)="","",INDEX(選手一覧!$G$7:$G$2738,$F518))</f>
        <v/>
      </c>
    </row>
    <row r="519" customFormat="false" ht="15" hidden="false" customHeight="false" outlineLevel="0" collapsed="false">
      <c r="A519" s="12" t="n">
        <v>515</v>
      </c>
      <c r="B519" s="10" t="s">
        <v>824</v>
      </c>
      <c r="C519" s="10" t="s">
        <v>183</v>
      </c>
      <c r="D519" s="11" t="n">
        <v>0.00284270833333333</v>
      </c>
      <c r="E519" s="18" t="n">
        <f aca="false">ROUND((D519-$D$5)*86400,2)</f>
        <v>20.58</v>
      </c>
      <c r="F519" s="12" t="n">
        <v>537</v>
      </c>
      <c r="G519" s="11" t="n">
        <f aca="false">IF(INDEX(選手一覧!$D$7:$D$2738,$F519)="","",INDEX(選手一覧!$D$7:$D$2738,$F519))</f>
        <v>0.0103697916666667</v>
      </c>
      <c r="H519" s="12" t="n">
        <f aca="false">IF(INDEX(選手一覧!$E$7:$E$2738,$F519)="","",INDEX(選手一覧!$E$7:$E$2738,$F519))</f>
        <v>225</v>
      </c>
      <c r="I519" s="11" t="str">
        <f aca="false">IF(INDEX(選手一覧!$F$7:$F$2738,$F519)="","",INDEX(選手一覧!$F$7:$F$2738,$F519))</f>
        <v/>
      </c>
      <c r="J519" s="12" t="str">
        <f aca="false">IF(INDEX(選手一覧!$G$7:$G$2738,$F519)="","",INDEX(選手一覧!$G$7:$G$2738,$F519))</f>
        <v/>
      </c>
    </row>
    <row r="520" customFormat="false" ht="15" hidden="false" customHeight="false" outlineLevel="0" collapsed="false">
      <c r="A520" s="12" t="n">
        <v>516</v>
      </c>
      <c r="B520" s="10" t="s">
        <v>1576</v>
      </c>
      <c r="C520" s="10" t="s">
        <v>179</v>
      </c>
      <c r="D520" s="11" t="n">
        <v>0.00284305555555556</v>
      </c>
      <c r="E520" s="18" t="n">
        <f aca="false">ROUND((D520-$D$5)*86400,2)</f>
        <v>20.61</v>
      </c>
      <c r="F520" s="12" t="n">
        <v>1086</v>
      </c>
      <c r="G520" s="11" t="n">
        <f aca="false">IF(INDEX(選手一覧!$D$7:$D$2738,$F520)="","",INDEX(選手一覧!$D$7:$D$2738,$F520))</f>
        <v>0.0106173611111111</v>
      </c>
      <c r="H520" s="12" t="n">
        <f aca="false">IF(INDEX(選手一覧!$E$7:$E$2738,$F520)="","",INDEX(選手一覧!$E$7:$E$2738,$F520))</f>
        <v>492</v>
      </c>
      <c r="I520" s="11" t="str">
        <f aca="false">IF(INDEX(選手一覧!$F$7:$F$2738,$F520)="","",INDEX(選手一覧!$F$7:$F$2738,$F520))</f>
        <v/>
      </c>
      <c r="J520" s="12" t="str">
        <f aca="false">IF(INDEX(選手一覧!$G$7:$G$2738,$F520)="","",INDEX(選手一覧!$G$7:$G$2738,$F520))</f>
        <v/>
      </c>
    </row>
    <row r="521" customFormat="false" ht="15" hidden="false" customHeight="false" outlineLevel="0" collapsed="false">
      <c r="A521" s="12" t="n">
        <v>517</v>
      </c>
      <c r="B521" s="10" t="s">
        <v>283</v>
      </c>
      <c r="C521" s="10" t="s">
        <v>179</v>
      </c>
      <c r="D521" s="11" t="n">
        <v>0.0028431712962963</v>
      </c>
      <c r="E521" s="18" t="n">
        <f aca="false">ROUND((D521-$D$5)*86400,2)</f>
        <v>20.62</v>
      </c>
      <c r="F521" s="12" t="n">
        <v>158</v>
      </c>
      <c r="G521" s="11" t="n">
        <f aca="false">IF(INDEX(選手一覧!$D$7:$D$2738,$F521)="","",INDEX(選手一覧!$D$7:$D$2738,$F521))</f>
        <v>0.0101351851851852</v>
      </c>
      <c r="H521" s="12" t="n">
        <f aca="false">IF(INDEX(選手一覧!$E$7:$E$2738,$F521)="","",INDEX(選手一覧!$E$7:$E$2738,$F521))</f>
        <v>63</v>
      </c>
      <c r="I521" s="11" t="str">
        <f aca="false">IF(INDEX(選手一覧!$F$7:$F$2738,$F521)="","",INDEX(選手一覧!$F$7:$F$2738,$F521))</f>
        <v/>
      </c>
      <c r="J521" s="12" t="str">
        <f aca="false">IF(INDEX(選手一覧!$G$7:$G$2738,$F521)="","",INDEX(選手一覧!$G$7:$G$2738,$F521))</f>
        <v/>
      </c>
    </row>
    <row r="522" customFormat="false" ht="15" hidden="false" customHeight="false" outlineLevel="0" collapsed="false">
      <c r="A522" s="12" t="n">
        <v>518</v>
      </c>
      <c r="B522" s="10" t="s">
        <v>742</v>
      </c>
      <c r="C522" s="10" t="s">
        <v>36</v>
      </c>
      <c r="D522" s="11" t="n">
        <v>0.0028431712962963</v>
      </c>
      <c r="E522" s="18" t="n">
        <f aca="false">ROUND((D522-$D$5)*86400,2)</f>
        <v>20.62</v>
      </c>
      <c r="F522" s="12" t="n">
        <v>479</v>
      </c>
      <c r="G522" s="11" t="n">
        <f aca="false">IF(INDEX(選手一覧!$D$7:$D$2738,$F522)="","",INDEX(選手一覧!$D$7:$D$2738,$F522))</f>
        <v>0.0103487268518519</v>
      </c>
      <c r="H522" s="12" t="n">
        <f aca="false">IF(INDEX(選手一覧!$E$7:$E$2738,$F522)="","",INDEX(選手一覧!$E$7:$E$2738,$F522))</f>
        <v>202</v>
      </c>
      <c r="I522" s="11" t="n">
        <f aca="false">IF(INDEX(選手一覧!$F$7:$F$2738,$F522)="","",INDEX(選手一覧!$F$7:$F$2738,$F522))</f>
        <v>0.00709699074074074</v>
      </c>
      <c r="J522" s="12" t="n">
        <f aca="false">IF(INDEX(選手一覧!$G$7:$G$2738,$F522)="","",INDEX(選手一覧!$G$7:$G$2738,$F522))</f>
        <v>444</v>
      </c>
    </row>
    <row r="523" customFormat="false" ht="15" hidden="false" customHeight="false" outlineLevel="0" collapsed="false">
      <c r="A523" s="12" t="n">
        <v>519</v>
      </c>
      <c r="B523" s="10" t="s">
        <v>1652</v>
      </c>
      <c r="C523" s="10" t="s">
        <v>1653</v>
      </c>
      <c r="D523" s="11" t="n">
        <v>0.00284340277777778</v>
      </c>
      <c r="E523" s="18" t="n">
        <f aca="false">ROUND((D523-$D$5)*86400,2)</f>
        <v>20.64</v>
      </c>
      <c r="F523" s="12" t="n">
        <v>1140</v>
      </c>
      <c r="G523" s="11" t="n">
        <f aca="false">IF(INDEX(選手一覧!$D$7:$D$2738,$F523)="","",INDEX(選手一覧!$D$7:$D$2738,$F523))</f>
        <v>0.0107876157407407</v>
      </c>
      <c r="H523" s="12" t="n">
        <f aca="false">IF(INDEX(選手一覧!$E$7:$E$2738,$F523)="","",INDEX(選手一覧!$E$7:$E$2738,$F523))</f>
        <v>717</v>
      </c>
      <c r="I523" s="11" t="str">
        <f aca="false">IF(INDEX(選手一覧!$F$7:$F$2738,$F523)="","",INDEX(選手一覧!$F$7:$F$2738,$F523))</f>
        <v/>
      </c>
      <c r="J523" s="12" t="str">
        <f aca="false">IF(INDEX(選手一覧!$G$7:$G$2738,$F523)="","",INDEX(選手一覧!$G$7:$G$2738,$F523))</f>
        <v/>
      </c>
    </row>
    <row r="524" customFormat="false" ht="15" hidden="false" customHeight="false" outlineLevel="0" collapsed="false">
      <c r="A524" s="12" t="n">
        <v>520</v>
      </c>
      <c r="B524" s="10" t="s">
        <v>155</v>
      </c>
      <c r="C524" s="10" t="s">
        <v>156</v>
      </c>
      <c r="D524" s="11" t="n">
        <v>0.00284363425925926</v>
      </c>
      <c r="E524" s="18" t="n">
        <f aca="false">ROUND((D524-$D$5)*86400,2)</f>
        <v>20.66</v>
      </c>
      <c r="F524" s="12" t="n">
        <v>76</v>
      </c>
      <c r="G524" s="11" t="n">
        <f aca="false">IF(INDEX(選手一覧!$D$7:$D$2738,$F524)="","",INDEX(選手一覧!$D$7:$D$2738,$F524))</f>
        <v>0.010040162037037</v>
      </c>
      <c r="H524" s="12" t="n">
        <f aca="false">IF(INDEX(選手一覧!$E$7:$E$2738,$F524)="","",INDEX(選手一覧!$E$7:$E$2738,$F524))</f>
        <v>30</v>
      </c>
      <c r="I524" s="11" t="str">
        <f aca="false">IF(INDEX(選手一覧!$F$7:$F$2738,$F524)="","",INDEX(選手一覧!$F$7:$F$2738,$F524))</f>
        <v/>
      </c>
      <c r="J524" s="12" t="str">
        <f aca="false">IF(INDEX(選手一覧!$G$7:$G$2738,$F524)="","",INDEX(選手一覧!$G$7:$G$2738,$F524))</f>
        <v/>
      </c>
    </row>
    <row r="525" customFormat="false" ht="15" hidden="false" customHeight="false" outlineLevel="0" collapsed="false">
      <c r="A525" s="12" t="n">
        <v>521</v>
      </c>
      <c r="B525" s="10" t="s">
        <v>1414</v>
      </c>
      <c r="C525" s="10" t="s">
        <v>179</v>
      </c>
      <c r="D525" s="11" t="n">
        <v>0.00284363425925926</v>
      </c>
      <c r="E525" s="18" t="n">
        <f aca="false">ROUND((D525-$D$5)*86400,2)</f>
        <v>20.66</v>
      </c>
      <c r="F525" s="12" t="n">
        <v>965</v>
      </c>
      <c r="G525" s="11" t="n">
        <f aca="false">IF(INDEX(選手一覧!$D$7:$D$2738,$F525)="","",INDEX(選手一覧!$D$7:$D$2738,$F525))</f>
        <v>0.0108835648148148</v>
      </c>
      <c r="H525" s="12" t="n">
        <f aca="false">IF(INDEX(選手一覧!$E$7:$E$2738,$F525)="","",INDEX(選手一覧!$E$7:$E$2738,$F525))</f>
        <v>899</v>
      </c>
      <c r="I525" s="11" t="n">
        <f aca="false">IF(INDEX(選手一覧!$F$7:$F$2738,$F525)="","",INDEX(選手一覧!$F$7:$F$2738,$F525))</f>
        <v>0.00708460648148148</v>
      </c>
      <c r="J525" s="12" t="n">
        <f aca="false">IF(INDEX(選手一覧!$G$7:$G$2738,$F525)="","",INDEX(選手一覧!$G$7:$G$2738,$F525))</f>
        <v>432</v>
      </c>
    </row>
    <row r="526" customFormat="false" ht="15" hidden="false" customHeight="false" outlineLevel="0" collapsed="false">
      <c r="A526" s="12" t="n">
        <v>522</v>
      </c>
      <c r="B526" s="10" t="s">
        <v>330</v>
      </c>
      <c r="C526" s="10" t="s">
        <v>29</v>
      </c>
      <c r="D526" s="11" t="n">
        <v>0.00284363425925926</v>
      </c>
      <c r="E526" s="18" t="n">
        <f aca="false">ROUND((D526-$D$5)*86400,2)</f>
        <v>20.66</v>
      </c>
      <c r="F526" s="12" t="n">
        <v>191</v>
      </c>
      <c r="G526" s="11" t="n">
        <f aca="false">IF(INDEX(選手一覧!$D$7:$D$2738,$F526)="","",INDEX(選手一覧!$D$7:$D$2738,$F526))</f>
        <v>0.0101642361111111</v>
      </c>
      <c r="H526" s="12" t="n">
        <f aca="false">IF(INDEX(選手一覧!$E$7:$E$2738,$F526)="","",INDEX(選手一覧!$E$7:$E$2738,$F526))</f>
        <v>78</v>
      </c>
      <c r="I526" s="11" t="n">
        <f aca="false">IF(INDEX(選手一覧!$F$7:$F$2738,$F526)="","",INDEX(選手一覧!$F$7:$F$2738,$F526))</f>
        <v>0.00702662037037037</v>
      </c>
      <c r="J526" s="12" t="n">
        <f aca="false">IF(INDEX(選手一覧!$G$7:$G$2738,$F526)="","",INDEX(選手一覧!$G$7:$G$2738,$F526))</f>
        <v>360</v>
      </c>
    </row>
    <row r="527" customFormat="false" ht="15" hidden="false" customHeight="false" outlineLevel="0" collapsed="false">
      <c r="A527" s="12" t="n">
        <v>523</v>
      </c>
      <c r="B527" s="10" t="s">
        <v>1663</v>
      </c>
      <c r="C527" s="10" t="s">
        <v>1664</v>
      </c>
      <c r="D527" s="11" t="n">
        <v>0.00284386574074074</v>
      </c>
      <c r="E527" s="18" t="n">
        <f aca="false">ROUND((D527-$D$5)*86400,2)</f>
        <v>20.68</v>
      </c>
      <c r="F527" s="12" t="n">
        <v>1146</v>
      </c>
      <c r="G527" s="11" t="n">
        <f aca="false">IF(INDEX(選手一覧!$D$7:$D$2738,$F527)="","",INDEX(選手一覧!$D$7:$D$2738,$F527))</f>
        <v>0.0110175925925926</v>
      </c>
      <c r="H527" s="12" t="n">
        <f aca="false">IF(INDEX(選手一覧!$E$7:$E$2738,$F527)="","",INDEX(選手一覧!$E$7:$E$2738,$F527))</f>
        <v>1124</v>
      </c>
      <c r="I527" s="11" t="n">
        <f aca="false">IF(INDEX(選手一覧!$F$7:$F$2738,$F527)="","",INDEX(選手一覧!$F$7:$F$2738,$F527))</f>
        <v>0.00741400462962963</v>
      </c>
      <c r="J527" s="12" t="n">
        <f aca="false">IF(INDEX(選手一覧!$G$7:$G$2738,$F527)="","",INDEX(選手一覧!$G$7:$G$2738,$F527))</f>
        <v>786</v>
      </c>
    </row>
    <row r="528" customFormat="false" ht="15" hidden="false" customHeight="false" outlineLevel="0" collapsed="false">
      <c r="A528" s="12" t="n">
        <v>524</v>
      </c>
      <c r="B528" s="10" t="s">
        <v>1667</v>
      </c>
      <c r="C528" s="10" t="s">
        <v>1668</v>
      </c>
      <c r="D528" s="11" t="n">
        <v>0.00284386574074074</v>
      </c>
      <c r="E528" s="18" t="n">
        <f aca="false">ROUND((D528-$D$5)*86400,2)</f>
        <v>20.68</v>
      </c>
      <c r="F528" s="12" t="n">
        <v>1149</v>
      </c>
      <c r="G528" s="11" t="n">
        <f aca="false">IF(INDEX(選手一覧!$D$7:$D$2738,$F528)="","",INDEX(選手一覧!$D$7:$D$2738,$F528))</f>
        <v>0.0107369212962963</v>
      </c>
      <c r="H528" s="12" t="n">
        <f aca="false">IF(INDEX(選手一覧!$E$7:$E$2738,$F528)="","",INDEX(選手一覧!$E$7:$E$2738,$F528))</f>
        <v>647</v>
      </c>
      <c r="I528" s="11" t="str">
        <f aca="false">IF(INDEX(選手一覧!$F$7:$F$2738,$F528)="","",INDEX(選手一覧!$F$7:$F$2738,$F528))</f>
        <v/>
      </c>
      <c r="J528" s="12" t="str">
        <f aca="false">IF(INDEX(選手一覧!$G$7:$G$2738,$F528)="","",INDEX(選手一覧!$G$7:$G$2738,$F528))</f>
        <v/>
      </c>
    </row>
    <row r="529" customFormat="false" ht="15" hidden="false" customHeight="false" outlineLevel="0" collapsed="false">
      <c r="A529" s="12" t="n">
        <v>525</v>
      </c>
      <c r="B529" s="10" t="s">
        <v>1674</v>
      </c>
      <c r="C529" s="10" t="s">
        <v>1675</v>
      </c>
      <c r="D529" s="11" t="n">
        <v>0.00284386574074074</v>
      </c>
      <c r="E529" s="18" t="n">
        <f aca="false">ROUND((D529-$D$5)*86400,2)</f>
        <v>20.68</v>
      </c>
      <c r="F529" s="12" t="n">
        <v>1153</v>
      </c>
      <c r="G529" s="11" t="str">
        <f aca="false">IF(INDEX(選手一覧!$D$7:$D$2738,$F529)="","",INDEX(選手一覧!$D$7:$D$2738,$F529))</f>
        <v/>
      </c>
      <c r="H529" s="12" t="str">
        <f aca="false">IF(INDEX(選手一覧!$E$7:$E$2738,$F529)="","",INDEX(選手一覧!$E$7:$E$2738,$F529))</f>
        <v/>
      </c>
      <c r="I529" s="11" t="str">
        <f aca="false">IF(INDEX(選手一覧!$F$7:$F$2738,$F529)="","",INDEX(選手一覧!$F$7:$F$2738,$F529))</f>
        <v/>
      </c>
      <c r="J529" s="12" t="str">
        <f aca="false">IF(INDEX(選手一覧!$G$7:$G$2738,$F529)="","",INDEX(選手一覧!$G$7:$G$2738,$F529))</f>
        <v/>
      </c>
    </row>
    <row r="530" customFormat="false" ht="15" hidden="false" customHeight="false" outlineLevel="0" collapsed="false">
      <c r="A530" s="12" t="n">
        <v>526</v>
      </c>
      <c r="B530" s="10" t="s">
        <v>1128</v>
      </c>
      <c r="C530" s="10" t="s">
        <v>242</v>
      </c>
      <c r="D530" s="11" t="n">
        <v>0.00284398148148148</v>
      </c>
      <c r="E530" s="18" t="n">
        <f aca="false">ROUND((D530-$D$5)*86400,2)</f>
        <v>20.69</v>
      </c>
      <c r="F530" s="12" t="n">
        <v>761</v>
      </c>
      <c r="G530" s="11" t="n">
        <f aca="false">IF(INDEX(選手一覧!$D$7:$D$2738,$F530)="","",INDEX(選手一覧!$D$7:$D$2738,$F530))</f>
        <v>0.0104890046296296</v>
      </c>
      <c r="H530" s="12" t="n">
        <f aca="false">IF(INDEX(選手一覧!$E$7:$E$2738,$F530)="","",INDEX(選手一覧!$E$7:$E$2738,$F530))</f>
        <v>330</v>
      </c>
      <c r="I530" s="11" t="str">
        <f aca="false">IF(INDEX(選手一覧!$F$7:$F$2738,$F530)="","",INDEX(選手一覧!$F$7:$F$2738,$F530))</f>
        <v/>
      </c>
      <c r="J530" s="12" t="str">
        <f aca="false">IF(INDEX(選手一覧!$G$7:$G$2738,$F530)="","",INDEX(選手一覧!$G$7:$G$2738,$F530))</f>
        <v/>
      </c>
    </row>
    <row r="531" customFormat="false" ht="15" hidden="false" customHeight="false" outlineLevel="0" collapsed="false">
      <c r="A531" s="12" t="n">
        <v>527</v>
      </c>
      <c r="B531" s="10" t="s">
        <v>1015</v>
      </c>
      <c r="C531" s="10" t="s">
        <v>480</v>
      </c>
      <c r="D531" s="11" t="n">
        <v>0.00284421296296296</v>
      </c>
      <c r="E531" s="18" t="n">
        <f aca="false">ROUND((D531-$D$5)*86400,2)</f>
        <v>20.71</v>
      </c>
      <c r="F531" s="12" t="n">
        <v>680</v>
      </c>
      <c r="G531" s="11" t="n">
        <f aca="false">IF(INDEX(選手一覧!$D$7:$D$2738,$F531)="","",INDEX(選手一覧!$D$7:$D$2738,$F531))</f>
        <v>0.0109819444444445</v>
      </c>
      <c r="H531" s="12" t="n">
        <f aca="false">IF(INDEX(選手一覧!$E$7:$E$2738,$F531)="","",INDEX(選手一覧!$E$7:$E$2738,$F531))</f>
        <v>1062</v>
      </c>
      <c r="I531" s="11" t="n">
        <f aca="false">IF(INDEX(選手一覧!$F$7:$F$2738,$F531)="","",INDEX(選手一覧!$F$7:$F$2738,$F531))</f>
        <v>0.00695462962962963</v>
      </c>
      <c r="J531" s="12" t="n">
        <f aca="false">IF(INDEX(選手一覧!$G$7:$G$2738,$F531)="","",INDEX(選手一覧!$G$7:$G$2738,$F531))</f>
        <v>289</v>
      </c>
    </row>
    <row r="532" customFormat="false" ht="15" hidden="false" customHeight="false" outlineLevel="0" collapsed="false">
      <c r="A532" s="12" t="n">
        <v>528</v>
      </c>
      <c r="B532" s="10" t="s">
        <v>239</v>
      </c>
      <c r="C532" s="10" t="s">
        <v>240</v>
      </c>
      <c r="D532" s="11" t="n">
        <v>0.00284421296296296</v>
      </c>
      <c r="E532" s="18" t="n">
        <f aca="false">ROUND((D532-$D$5)*86400,2)</f>
        <v>20.71</v>
      </c>
      <c r="F532" s="12" t="n">
        <v>129</v>
      </c>
      <c r="G532" s="11" t="n">
        <f aca="false">IF(INDEX(選手一覧!$D$7:$D$2738,$F532)="","",INDEX(選手一覧!$D$7:$D$2738,$F532))</f>
        <v>0.0106162037037037</v>
      </c>
      <c r="H532" s="12" t="n">
        <f aca="false">IF(INDEX(選手一覧!$E$7:$E$2738,$F532)="","",INDEX(選手一覧!$E$7:$E$2738,$F532))</f>
        <v>489</v>
      </c>
      <c r="I532" s="11" t="n">
        <f aca="false">IF(INDEX(選手一覧!$F$7:$F$2738,$F532)="","",INDEX(選手一覧!$F$7:$F$2738,$F532))</f>
        <v>0.00656377314814815</v>
      </c>
      <c r="J532" s="12" t="n">
        <f aca="false">IF(INDEX(選手一覧!$G$7:$G$2738,$F532)="","",INDEX(選手一覧!$G$7:$G$2738,$F532))</f>
        <v>51</v>
      </c>
    </row>
    <row r="533" customFormat="false" ht="15" hidden="false" customHeight="false" outlineLevel="0" collapsed="false">
      <c r="A533" s="12" t="n">
        <v>529</v>
      </c>
      <c r="B533" s="10" t="s">
        <v>597</v>
      </c>
      <c r="C533" s="10" t="s">
        <v>229</v>
      </c>
      <c r="D533" s="11" t="n">
        <v>0.0028443287037037</v>
      </c>
      <c r="E533" s="18" t="n">
        <f aca="false">ROUND((D533-$D$5)*86400,2)</f>
        <v>20.72</v>
      </c>
      <c r="F533" s="12" t="n">
        <v>377</v>
      </c>
      <c r="G533" s="11" t="n">
        <f aca="false">IF(INDEX(選手一覧!$D$7:$D$2738,$F533)="","",INDEX(選手一覧!$D$7:$D$2738,$F533))</f>
        <v>0.0103002314814815</v>
      </c>
      <c r="H533" s="12" t="n">
        <f aca="false">IF(INDEX(選手一覧!$E$7:$E$2738,$F533)="","",INDEX(選手一覧!$E$7:$E$2738,$F533))</f>
        <v>160</v>
      </c>
      <c r="I533" s="11" t="n">
        <f aca="false">IF(INDEX(選手一覧!$F$7:$F$2738,$F533)="","",INDEX(選手一覧!$F$7:$F$2738,$F533))</f>
        <v>0.00701736111111111</v>
      </c>
      <c r="J533" s="12" t="n">
        <f aca="false">IF(INDEX(選手一覧!$G$7:$G$2738,$F533)="","",INDEX(選手一覧!$G$7:$G$2738,$F533))</f>
        <v>354</v>
      </c>
    </row>
    <row r="534" customFormat="false" ht="15" hidden="false" customHeight="false" outlineLevel="0" collapsed="false">
      <c r="A534" s="12" t="n">
        <v>530</v>
      </c>
      <c r="B534" s="10" t="s">
        <v>1683</v>
      </c>
      <c r="C534" s="10" t="s">
        <v>1684</v>
      </c>
      <c r="D534" s="11" t="n">
        <v>0.00284444444444444</v>
      </c>
      <c r="E534" s="18" t="n">
        <f aca="false">ROUND((D534-$D$5)*86400,2)</f>
        <v>20.73</v>
      </c>
      <c r="F534" s="12" t="n">
        <v>1160</v>
      </c>
      <c r="G534" s="11" t="n">
        <f aca="false">IF(INDEX(選手一覧!$D$7:$D$2738,$F534)="","",INDEX(選手一覧!$D$7:$D$2738,$F534))</f>
        <v>0.0110606481481482</v>
      </c>
      <c r="H534" s="12" t="n">
        <f aca="false">IF(INDEX(選手一覧!$E$7:$E$2738,$F534)="","",INDEX(選手一覧!$E$7:$E$2738,$F534))</f>
        <v>1216</v>
      </c>
      <c r="I534" s="11" t="str">
        <f aca="false">IF(INDEX(選手一覧!$F$7:$F$2738,$F534)="","",INDEX(選手一覧!$F$7:$F$2738,$F534))</f>
        <v/>
      </c>
      <c r="J534" s="12" t="str">
        <f aca="false">IF(INDEX(選手一覧!$G$7:$G$2738,$F534)="","",INDEX(選手一覧!$G$7:$G$2738,$F534))</f>
        <v/>
      </c>
    </row>
    <row r="535" customFormat="false" ht="15" hidden="false" customHeight="false" outlineLevel="0" collapsed="false">
      <c r="A535" s="12" t="n">
        <v>531</v>
      </c>
      <c r="B535" s="10" t="s">
        <v>439</v>
      </c>
      <c r="C535" s="10" t="s">
        <v>440</v>
      </c>
      <c r="D535" s="11" t="n">
        <v>0.00284456018518519</v>
      </c>
      <c r="E535" s="18" t="n">
        <f aca="false">ROUND((D535-$D$5)*86400,2)</f>
        <v>20.74</v>
      </c>
      <c r="F535" s="12" t="n">
        <v>270</v>
      </c>
      <c r="G535" s="11" t="n">
        <f aca="false">IF(INDEX(選手一覧!$D$7:$D$2738,$F535)="","",INDEX(選手一覧!$D$7:$D$2738,$F535))</f>
        <v>0.0105166666666667</v>
      </c>
      <c r="H535" s="12" t="n">
        <f aca="false">IF(INDEX(選手一覧!$E$7:$E$2738,$F535)="","",INDEX(選手一覧!$E$7:$E$2738,$F535))</f>
        <v>360</v>
      </c>
      <c r="I535" s="11" t="n">
        <f aca="false">IF(INDEX(選手一覧!$F$7:$F$2738,$F535)="","",INDEX(選手一覧!$F$7:$F$2738,$F535))</f>
        <v>0.00671261574074074</v>
      </c>
      <c r="J535" s="12" t="n">
        <f aca="false">IF(INDEX(選手一覧!$G$7:$G$2738,$F535)="","",INDEX(選手一覧!$G$7:$G$2738,$F535))</f>
        <v>112</v>
      </c>
    </row>
    <row r="536" customFormat="false" ht="15" hidden="false" customHeight="false" outlineLevel="0" collapsed="false">
      <c r="A536" s="12" t="n">
        <v>532</v>
      </c>
      <c r="B536" s="10" t="s">
        <v>100</v>
      </c>
      <c r="C536" s="10" t="s">
        <v>101</v>
      </c>
      <c r="D536" s="11" t="n">
        <v>0.00284467592592593</v>
      </c>
      <c r="E536" s="18" t="n">
        <f aca="false">ROUND((D536-$D$5)*86400,2)</f>
        <v>20.75</v>
      </c>
      <c r="F536" s="12" t="n">
        <v>45</v>
      </c>
      <c r="G536" s="11" t="n">
        <f aca="false">IF(INDEX(選手一覧!$D$7:$D$2738,$F536)="","",INDEX(選手一覧!$D$7:$D$2738,$F536))</f>
        <v>0.0105877314814815</v>
      </c>
      <c r="H536" s="12" t="n">
        <f aca="false">IF(INDEX(選手一覧!$E$7:$E$2738,$F536)="","",INDEX(選手一覧!$E$7:$E$2738,$F536))</f>
        <v>451</v>
      </c>
      <c r="I536" s="11" t="n">
        <f aca="false">IF(INDEX(選手一覧!$F$7:$F$2738,$F536)="","",INDEX(選手一覧!$F$7:$F$2738,$F536))</f>
        <v>0.00641585648148148</v>
      </c>
      <c r="J536" s="12" t="n">
        <f aca="false">IF(INDEX(選手一覧!$G$7:$G$2738,$F536)="","",INDEX(選手一覧!$G$7:$G$2738,$F536))</f>
        <v>18</v>
      </c>
    </row>
    <row r="537" customFormat="false" ht="15" hidden="false" customHeight="false" outlineLevel="0" collapsed="false">
      <c r="A537" s="12" t="n">
        <v>533</v>
      </c>
      <c r="B537" s="10" t="s">
        <v>786</v>
      </c>
      <c r="C537" s="10" t="s">
        <v>312</v>
      </c>
      <c r="D537" s="11" t="n">
        <v>0.00284479166666667</v>
      </c>
      <c r="E537" s="18" t="n">
        <f aca="false">ROUND((D537-$D$5)*86400,2)</f>
        <v>20.76</v>
      </c>
      <c r="F537" s="12" t="n">
        <v>512</v>
      </c>
      <c r="G537" s="11" t="n">
        <f aca="false">IF(INDEX(選手一覧!$D$7:$D$2738,$F537)="","",INDEX(選手一覧!$D$7:$D$2738,$F537))</f>
        <v>0.0103591435185185</v>
      </c>
      <c r="H537" s="12" t="n">
        <f aca="false">IF(INDEX(選手一覧!$E$7:$E$2738,$F537)="","",INDEX(選手一覧!$E$7:$E$2738,$F537))</f>
        <v>214</v>
      </c>
      <c r="I537" s="11" t="str">
        <f aca="false">IF(INDEX(選手一覧!$F$7:$F$2738,$F537)="","",INDEX(選手一覧!$F$7:$F$2738,$F537))</f>
        <v/>
      </c>
      <c r="J537" s="12" t="str">
        <f aca="false">IF(INDEX(選手一覧!$G$7:$G$2738,$F537)="","",INDEX(選手一覧!$G$7:$G$2738,$F537))</f>
        <v/>
      </c>
    </row>
    <row r="538" customFormat="false" ht="15" hidden="false" customHeight="false" outlineLevel="0" collapsed="false">
      <c r="A538" s="12" t="n">
        <v>534</v>
      </c>
      <c r="B538" s="10" t="s">
        <v>1695</v>
      </c>
      <c r="C538" s="10" t="s">
        <v>1696</v>
      </c>
      <c r="D538" s="11" t="n">
        <v>0.00284479166666667</v>
      </c>
      <c r="E538" s="18" t="n">
        <f aca="false">ROUND((D538-$D$5)*86400,2)</f>
        <v>20.76</v>
      </c>
      <c r="F538" s="12" t="n">
        <v>1167</v>
      </c>
      <c r="G538" s="11" t="n">
        <f aca="false">IF(INDEX(選手一覧!$D$7:$D$2738,$F538)="","",INDEX(選手一覧!$D$7:$D$2738,$F538))</f>
        <v>0.0110662037037037</v>
      </c>
      <c r="H538" s="12" t="n">
        <f aca="false">IF(INDEX(選手一覧!$E$7:$E$2738,$F538)="","",INDEX(選手一覧!$E$7:$E$2738,$F538))</f>
        <v>1228</v>
      </c>
      <c r="I538" s="11" t="str">
        <f aca="false">IF(INDEX(選手一覧!$F$7:$F$2738,$F538)="","",INDEX(選手一覧!$F$7:$F$2738,$F538))</f>
        <v/>
      </c>
      <c r="J538" s="12" t="str">
        <f aca="false">IF(INDEX(選手一覧!$G$7:$G$2738,$F538)="","",INDEX(選手一覧!$G$7:$G$2738,$F538))</f>
        <v/>
      </c>
    </row>
    <row r="539" customFormat="false" ht="15" hidden="false" customHeight="false" outlineLevel="0" collapsed="false">
      <c r="A539" s="12" t="n">
        <v>535</v>
      </c>
      <c r="B539" s="10" t="s">
        <v>472</v>
      </c>
      <c r="C539" s="10" t="s">
        <v>473</v>
      </c>
      <c r="D539" s="11" t="n">
        <v>0.00284490740740741</v>
      </c>
      <c r="E539" s="18" t="n">
        <f aca="false">ROUND((D539-$D$5)*86400,2)</f>
        <v>20.77</v>
      </c>
      <c r="F539" s="12" t="n">
        <v>292</v>
      </c>
      <c r="G539" s="11" t="n">
        <f aca="false">IF(INDEX(選手一覧!$D$7:$D$2738,$F539)="","",INDEX(選手一覧!$D$7:$D$2738,$F539))</f>
        <v>0.0102405092592593</v>
      </c>
      <c r="H539" s="12" t="n">
        <f aca="false">IF(INDEX(選手一覧!$E$7:$E$2738,$F539)="","",INDEX(選手一覧!$E$7:$E$2738,$F539))</f>
        <v>121</v>
      </c>
      <c r="I539" s="11" t="str">
        <f aca="false">IF(INDEX(選手一覧!$F$7:$F$2738,$F539)="","",INDEX(選手一覧!$F$7:$F$2738,$F539))</f>
        <v/>
      </c>
      <c r="J539" s="12" t="str">
        <f aca="false">IF(INDEX(選手一覧!$G$7:$G$2738,$F539)="","",INDEX(選手一覧!$G$7:$G$2738,$F539))</f>
        <v/>
      </c>
    </row>
    <row r="540" customFormat="false" ht="15" hidden="false" customHeight="false" outlineLevel="0" collapsed="false">
      <c r="A540" s="12" t="n">
        <v>536</v>
      </c>
      <c r="B540" s="10" t="s">
        <v>1703</v>
      </c>
      <c r="C540" s="10" t="s">
        <v>154</v>
      </c>
      <c r="D540" s="11" t="n">
        <v>0.00284490740740741</v>
      </c>
      <c r="E540" s="18" t="n">
        <f aca="false">ROUND((D540-$D$5)*86400,2)</f>
        <v>20.77</v>
      </c>
      <c r="F540" s="12" t="n">
        <v>1173</v>
      </c>
      <c r="G540" s="11" t="str">
        <f aca="false">IF(INDEX(選手一覧!$D$7:$D$2738,$F540)="","",INDEX(選手一覧!$D$7:$D$2738,$F540))</f>
        <v/>
      </c>
      <c r="H540" s="12" t="str">
        <f aca="false">IF(INDEX(選手一覧!$E$7:$E$2738,$F540)="","",INDEX(選手一覧!$E$7:$E$2738,$F540))</f>
        <v/>
      </c>
      <c r="I540" s="11" t="str">
        <f aca="false">IF(INDEX(選手一覧!$F$7:$F$2738,$F540)="","",INDEX(選手一覧!$F$7:$F$2738,$F540))</f>
        <v/>
      </c>
      <c r="J540" s="12" t="str">
        <f aca="false">IF(INDEX(選手一覧!$G$7:$G$2738,$F540)="","",INDEX(選手一覧!$G$7:$G$2738,$F540))</f>
        <v/>
      </c>
    </row>
    <row r="541" customFormat="false" ht="15" hidden="false" customHeight="false" outlineLevel="0" collapsed="false">
      <c r="A541" s="12" t="n">
        <v>537</v>
      </c>
      <c r="B541" s="10" t="s">
        <v>1705</v>
      </c>
      <c r="C541" s="10" t="s">
        <v>254</v>
      </c>
      <c r="D541" s="11" t="n">
        <v>0.00284513888888889</v>
      </c>
      <c r="E541" s="18" t="n">
        <f aca="false">ROUND((D541-$D$5)*86400,2)</f>
        <v>20.79</v>
      </c>
      <c r="F541" s="12" t="n">
        <v>1175</v>
      </c>
      <c r="G541" s="11" t="str">
        <f aca="false">IF(INDEX(選手一覧!$D$7:$D$2738,$F541)="","",INDEX(選手一覧!$D$7:$D$2738,$F541))</f>
        <v/>
      </c>
      <c r="H541" s="12" t="str">
        <f aca="false">IF(INDEX(選手一覧!$E$7:$E$2738,$F541)="","",INDEX(選手一覧!$E$7:$E$2738,$F541))</f>
        <v/>
      </c>
      <c r="I541" s="11" t="str">
        <f aca="false">IF(INDEX(選手一覧!$F$7:$F$2738,$F541)="","",INDEX(選手一覧!$F$7:$F$2738,$F541))</f>
        <v/>
      </c>
      <c r="J541" s="12" t="str">
        <f aca="false">IF(INDEX(選手一覧!$G$7:$G$2738,$F541)="","",INDEX(選手一覧!$G$7:$G$2738,$F541))</f>
        <v/>
      </c>
    </row>
    <row r="542" customFormat="false" ht="15" hidden="false" customHeight="false" outlineLevel="0" collapsed="false">
      <c r="A542" s="12" t="n">
        <v>538</v>
      </c>
      <c r="B542" s="10" t="s">
        <v>266</v>
      </c>
      <c r="C542" s="10" t="s">
        <v>267</v>
      </c>
      <c r="D542" s="11" t="n">
        <v>0.00284525462962963</v>
      </c>
      <c r="E542" s="18" t="n">
        <f aca="false">ROUND((D542-$D$5)*86400,2)</f>
        <v>20.8</v>
      </c>
      <c r="F542" s="12" t="n">
        <v>146</v>
      </c>
      <c r="G542" s="11" t="n">
        <f aca="false">IF(INDEX(選手一覧!$D$7:$D$2738,$F542)="","",INDEX(選手一覧!$D$7:$D$2738,$F542))</f>
        <v>0.01085625</v>
      </c>
      <c r="H542" s="12" t="n">
        <f aca="false">IF(INDEX(選手一覧!$E$7:$E$2738,$F542)="","",INDEX(選手一覧!$E$7:$E$2738,$F542))</f>
        <v>844</v>
      </c>
      <c r="I542" s="11" t="n">
        <f aca="false">IF(INDEX(選手一覧!$F$7:$F$2738,$F542)="","",INDEX(選手一覧!$F$7:$F$2738,$F542))</f>
        <v>0.00656909722222222</v>
      </c>
      <c r="J542" s="12" t="n">
        <f aca="false">IF(INDEX(選手一覧!$G$7:$G$2738,$F542)="","",INDEX(選手一覧!$G$7:$G$2738,$F542))</f>
        <v>58</v>
      </c>
    </row>
    <row r="543" customFormat="false" ht="15" hidden="false" customHeight="false" outlineLevel="0" collapsed="false">
      <c r="A543" s="12" t="n">
        <v>539</v>
      </c>
      <c r="B543" s="10" t="s">
        <v>1111</v>
      </c>
      <c r="C543" s="10" t="s">
        <v>25</v>
      </c>
      <c r="D543" s="11" t="n">
        <v>0.00284537037037037</v>
      </c>
      <c r="E543" s="18" t="n">
        <f aca="false">ROUND((D543-$D$5)*86400,2)</f>
        <v>20.81</v>
      </c>
      <c r="F543" s="12" t="n">
        <v>749</v>
      </c>
      <c r="G543" s="11" t="n">
        <f aca="false">IF(INDEX(選手一覧!$D$7:$D$2738,$F543)="","",INDEX(選手一覧!$D$7:$D$2738,$F543))</f>
        <v>0.01048125</v>
      </c>
      <c r="H543" s="12" t="n">
        <f aca="false">IF(INDEX(選手一覧!$E$7:$E$2738,$F543)="","",INDEX(選手一覧!$E$7:$E$2738,$F543))</f>
        <v>325</v>
      </c>
      <c r="I543" s="11" t="str">
        <f aca="false">IF(INDEX(選手一覧!$F$7:$F$2738,$F543)="","",INDEX(選手一覧!$F$7:$F$2738,$F543))</f>
        <v/>
      </c>
      <c r="J543" s="12" t="str">
        <f aca="false">IF(INDEX(選手一覧!$G$7:$G$2738,$F543)="","",INDEX(選手一覧!$G$7:$G$2738,$F543))</f>
        <v/>
      </c>
    </row>
    <row r="544" customFormat="false" ht="15" hidden="false" customHeight="false" outlineLevel="0" collapsed="false">
      <c r="A544" s="12" t="n">
        <v>540</v>
      </c>
      <c r="B544" s="10" t="s">
        <v>1711</v>
      </c>
      <c r="C544" s="10" t="s">
        <v>1712</v>
      </c>
      <c r="D544" s="11" t="n">
        <v>0.00284594907407407</v>
      </c>
      <c r="E544" s="18" t="n">
        <f aca="false">ROUND((D544-$D$5)*86400,2)</f>
        <v>20.86</v>
      </c>
      <c r="F544" s="12" t="n">
        <v>1180</v>
      </c>
      <c r="G544" s="11" t="str">
        <f aca="false">IF(INDEX(選手一覧!$D$7:$D$2738,$F544)="","",INDEX(選手一覧!$D$7:$D$2738,$F544))</f>
        <v/>
      </c>
      <c r="H544" s="12" t="str">
        <f aca="false">IF(INDEX(選手一覧!$E$7:$E$2738,$F544)="","",INDEX(選手一覧!$E$7:$E$2738,$F544))</f>
        <v/>
      </c>
      <c r="I544" s="11" t="str">
        <f aca="false">IF(INDEX(選手一覧!$F$7:$F$2738,$F544)="","",INDEX(選手一覧!$F$7:$F$2738,$F544))</f>
        <v/>
      </c>
      <c r="J544" s="12" t="str">
        <f aca="false">IF(INDEX(選手一覧!$G$7:$G$2738,$F544)="","",INDEX(選手一覧!$G$7:$G$2738,$F544))</f>
        <v/>
      </c>
    </row>
    <row r="545" customFormat="false" ht="15" hidden="false" customHeight="false" outlineLevel="0" collapsed="false">
      <c r="A545" s="12" t="n">
        <v>541</v>
      </c>
      <c r="B545" s="10" t="s">
        <v>1714</v>
      </c>
      <c r="C545" s="10" t="s">
        <v>1715</v>
      </c>
      <c r="D545" s="11" t="n">
        <v>0.00284606481481482</v>
      </c>
      <c r="E545" s="18" t="n">
        <f aca="false">ROUND((D545-$D$5)*86400,2)</f>
        <v>20.87</v>
      </c>
      <c r="F545" s="12" t="n">
        <v>1182</v>
      </c>
      <c r="G545" s="11" t="str">
        <f aca="false">IF(INDEX(選手一覧!$D$7:$D$2738,$F545)="","",INDEX(選手一覧!$D$7:$D$2738,$F545))</f>
        <v/>
      </c>
      <c r="H545" s="12" t="str">
        <f aca="false">IF(INDEX(選手一覧!$E$7:$E$2738,$F545)="","",INDEX(選手一覧!$E$7:$E$2738,$F545))</f>
        <v/>
      </c>
      <c r="I545" s="11" t="str">
        <f aca="false">IF(INDEX(選手一覧!$F$7:$F$2738,$F545)="","",INDEX(選手一覧!$F$7:$F$2738,$F545))</f>
        <v/>
      </c>
      <c r="J545" s="12" t="str">
        <f aca="false">IF(INDEX(選手一覧!$G$7:$G$2738,$F545)="","",INDEX(選手一覧!$G$7:$G$2738,$F545))</f>
        <v/>
      </c>
    </row>
    <row r="546" customFormat="false" ht="15" hidden="false" customHeight="false" outlineLevel="0" collapsed="false">
      <c r="A546" s="12" t="n">
        <v>542</v>
      </c>
      <c r="B546" s="10" t="s">
        <v>1716</v>
      </c>
      <c r="C546" s="10" t="s">
        <v>1717</v>
      </c>
      <c r="D546" s="11" t="n">
        <v>0.00284606481481482</v>
      </c>
      <c r="E546" s="18" t="n">
        <f aca="false">ROUND((D546-$D$5)*86400,2)</f>
        <v>20.87</v>
      </c>
      <c r="F546" s="12" t="n">
        <v>1183</v>
      </c>
      <c r="G546" s="11" t="n">
        <f aca="false">IF(INDEX(選手一覧!$D$7:$D$2738,$F546)="","",INDEX(選手一覧!$D$7:$D$2738,$F546))</f>
        <v>0.0107275462962963</v>
      </c>
      <c r="H546" s="12" t="n">
        <f aca="false">IF(INDEX(選手一覧!$E$7:$E$2738,$F546)="","",INDEX(選手一覧!$E$7:$E$2738,$F546))</f>
        <v>627</v>
      </c>
      <c r="I546" s="11" t="str">
        <f aca="false">IF(INDEX(選手一覧!$F$7:$F$2738,$F546)="","",INDEX(選手一覧!$F$7:$F$2738,$F546))</f>
        <v/>
      </c>
      <c r="J546" s="12" t="str">
        <f aca="false">IF(INDEX(選手一覧!$G$7:$G$2738,$F546)="","",INDEX(選手一覧!$G$7:$G$2738,$F546))</f>
        <v/>
      </c>
    </row>
    <row r="547" customFormat="false" ht="15" hidden="false" customHeight="false" outlineLevel="0" collapsed="false">
      <c r="A547" s="12" t="n">
        <v>543</v>
      </c>
      <c r="B547" s="10" t="s">
        <v>1521</v>
      </c>
      <c r="C547" s="10" t="s">
        <v>1522</v>
      </c>
      <c r="D547" s="11" t="n">
        <v>0.00284606481481482</v>
      </c>
      <c r="E547" s="18" t="n">
        <f aca="false">ROUND((D547-$D$5)*86400,2)</f>
        <v>20.87</v>
      </c>
      <c r="F547" s="12" t="n">
        <v>1044</v>
      </c>
      <c r="G547" s="11" t="n">
        <f aca="false">IF(INDEX(選手一覧!$D$7:$D$2738,$F547)="","",INDEX(選手一覧!$D$7:$D$2738,$F547))</f>
        <v>0.01060625</v>
      </c>
      <c r="H547" s="12" t="n">
        <f aca="false">IF(INDEX(選手一覧!$E$7:$E$2738,$F547)="","",INDEX(選手一覧!$E$7:$E$2738,$F547))</f>
        <v>470</v>
      </c>
      <c r="I547" s="11" t="str">
        <f aca="false">IF(INDEX(選手一覧!$F$7:$F$2738,$F547)="","",INDEX(選手一覧!$F$7:$F$2738,$F547))</f>
        <v/>
      </c>
      <c r="J547" s="12" t="str">
        <f aca="false">IF(INDEX(選手一覧!$G$7:$G$2738,$F547)="","",INDEX(選手一覧!$G$7:$G$2738,$F547))</f>
        <v/>
      </c>
    </row>
    <row r="548" customFormat="false" ht="15" hidden="false" customHeight="false" outlineLevel="0" collapsed="false">
      <c r="A548" s="12" t="n">
        <v>544</v>
      </c>
      <c r="B548" s="10" t="s">
        <v>1325</v>
      </c>
      <c r="C548" s="10" t="s">
        <v>1326</v>
      </c>
      <c r="D548" s="11" t="n">
        <v>0.00284606481481482</v>
      </c>
      <c r="E548" s="18" t="n">
        <f aca="false">ROUND((D548-$D$5)*86400,2)</f>
        <v>20.87</v>
      </c>
      <c r="F548" s="12" t="n">
        <v>902</v>
      </c>
      <c r="G548" s="11" t="str">
        <f aca="false">IF(INDEX(選手一覧!$D$7:$D$2738,$F548)="","",INDEX(選手一覧!$D$7:$D$2738,$F548))</f>
        <v/>
      </c>
      <c r="H548" s="12" t="str">
        <f aca="false">IF(INDEX(選手一覧!$E$7:$E$2738,$F548)="","",INDEX(選手一覧!$E$7:$E$2738,$F548))</f>
        <v/>
      </c>
      <c r="I548" s="11" t="n">
        <f aca="false">IF(INDEX(選手一覧!$F$7:$F$2738,$F548)="","",INDEX(選手一覧!$F$7:$F$2738,$F548))</f>
        <v>0.00706284722222222</v>
      </c>
      <c r="J548" s="12" t="n">
        <f aca="false">IF(INDEX(選手一覧!$G$7:$G$2738,$F548)="","",INDEX(選手一覧!$G$7:$G$2738,$F548))</f>
        <v>402</v>
      </c>
    </row>
    <row r="549" customFormat="false" ht="15" hidden="false" customHeight="false" outlineLevel="0" collapsed="false">
      <c r="A549" s="12" t="n">
        <v>545</v>
      </c>
      <c r="B549" s="10" t="s">
        <v>1724</v>
      </c>
      <c r="C549" s="10" t="s">
        <v>758</v>
      </c>
      <c r="D549" s="11" t="n">
        <v>0.00284618055555556</v>
      </c>
      <c r="E549" s="18" t="n">
        <f aca="false">ROUND((D549-$D$5)*86400,2)</f>
        <v>20.88</v>
      </c>
      <c r="F549" s="12" t="n">
        <v>1188</v>
      </c>
      <c r="G549" s="11" t="n">
        <f aca="false">IF(INDEX(選手一覧!$D$7:$D$2738,$F549)="","",INDEX(選手一覧!$D$7:$D$2738,$F549))</f>
        <v>0.01081875</v>
      </c>
      <c r="H549" s="12" t="n">
        <f aca="false">IF(INDEX(選手一覧!$E$7:$E$2738,$F549)="","",INDEX(選手一覧!$E$7:$E$2738,$F549))</f>
        <v>775</v>
      </c>
      <c r="I549" s="11" t="str">
        <f aca="false">IF(INDEX(選手一覧!$F$7:$F$2738,$F549)="","",INDEX(選手一覧!$F$7:$F$2738,$F549))</f>
        <v/>
      </c>
      <c r="J549" s="12" t="str">
        <f aca="false">IF(INDEX(選手一覧!$G$7:$G$2738,$F549)="","",INDEX(選手一覧!$G$7:$G$2738,$F549))</f>
        <v/>
      </c>
    </row>
    <row r="550" customFormat="false" ht="15" hidden="false" customHeight="false" outlineLevel="0" collapsed="false">
      <c r="A550" s="12" t="n">
        <v>546</v>
      </c>
      <c r="B550" s="10" t="s">
        <v>1725</v>
      </c>
      <c r="C550" s="10" t="s">
        <v>302</v>
      </c>
      <c r="D550" s="11" t="n">
        <v>0.0028462962962963</v>
      </c>
      <c r="E550" s="18" t="n">
        <f aca="false">ROUND((D550-$D$5)*86400,2)</f>
        <v>20.89</v>
      </c>
      <c r="F550" s="12" t="n">
        <v>1189</v>
      </c>
      <c r="G550" s="11" t="n">
        <f aca="false">IF(INDEX(選手一覧!$D$7:$D$2738,$F550)="","",INDEX(選手一覧!$D$7:$D$2738,$F550))</f>
        <v>0.0106741898148148</v>
      </c>
      <c r="H550" s="12" t="n">
        <f aca="false">IF(INDEX(選手一覧!$E$7:$E$2738,$F550)="","",INDEX(選手一覧!$E$7:$E$2738,$F550))</f>
        <v>554</v>
      </c>
      <c r="I550" s="11" t="str">
        <f aca="false">IF(INDEX(選手一覧!$F$7:$F$2738,$F550)="","",INDEX(選手一覧!$F$7:$F$2738,$F550))</f>
        <v/>
      </c>
      <c r="J550" s="12" t="str">
        <f aca="false">IF(INDEX(選手一覧!$G$7:$G$2738,$F550)="","",INDEX(選手一覧!$G$7:$G$2738,$F550))</f>
        <v/>
      </c>
    </row>
    <row r="551" customFormat="false" ht="15" hidden="false" customHeight="false" outlineLevel="0" collapsed="false">
      <c r="A551" s="12" t="n">
        <v>547</v>
      </c>
      <c r="B551" s="10" t="s">
        <v>1730</v>
      </c>
      <c r="C551" s="10" t="s">
        <v>126</v>
      </c>
      <c r="D551" s="11" t="n">
        <v>0.00284641203703704</v>
      </c>
      <c r="E551" s="18" t="n">
        <f aca="false">ROUND((D551-$D$5)*86400,2)</f>
        <v>20.9</v>
      </c>
      <c r="F551" s="12" t="n">
        <v>1193</v>
      </c>
      <c r="G551" s="11" t="str">
        <f aca="false">IF(INDEX(選手一覧!$D$7:$D$2738,$F551)="","",INDEX(選手一覧!$D$7:$D$2738,$F551))</f>
        <v/>
      </c>
      <c r="H551" s="12" t="str">
        <f aca="false">IF(INDEX(選手一覧!$E$7:$E$2738,$F551)="","",INDEX(選手一覧!$E$7:$E$2738,$F551))</f>
        <v/>
      </c>
      <c r="I551" s="11" t="str">
        <f aca="false">IF(INDEX(選手一覧!$F$7:$F$2738,$F551)="","",INDEX(選手一覧!$F$7:$F$2738,$F551))</f>
        <v/>
      </c>
      <c r="J551" s="12" t="str">
        <f aca="false">IF(INDEX(選手一覧!$G$7:$G$2738,$F551)="","",INDEX(選手一覧!$G$7:$G$2738,$F551))</f>
        <v/>
      </c>
    </row>
    <row r="552" customFormat="false" ht="15" hidden="false" customHeight="false" outlineLevel="0" collapsed="false">
      <c r="A552" s="12" t="n">
        <v>548</v>
      </c>
      <c r="B552" s="10" t="s">
        <v>1732</v>
      </c>
      <c r="C552" s="10" t="s">
        <v>1733</v>
      </c>
      <c r="D552" s="11" t="n">
        <v>0.00284652777777778</v>
      </c>
      <c r="E552" s="18" t="n">
        <f aca="false">ROUND((D552-$D$5)*86400,2)</f>
        <v>20.91</v>
      </c>
      <c r="F552" s="12" t="n">
        <v>1195</v>
      </c>
      <c r="G552" s="11" t="str">
        <f aca="false">IF(INDEX(選手一覧!$D$7:$D$2738,$F552)="","",INDEX(選手一覧!$D$7:$D$2738,$F552))</f>
        <v/>
      </c>
      <c r="H552" s="12" t="str">
        <f aca="false">IF(INDEX(選手一覧!$E$7:$E$2738,$F552)="","",INDEX(選手一覧!$E$7:$E$2738,$F552))</f>
        <v/>
      </c>
      <c r="I552" s="11" t="str">
        <f aca="false">IF(INDEX(選手一覧!$F$7:$F$2738,$F552)="","",INDEX(選手一覧!$F$7:$F$2738,$F552))</f>
        <v/>
      </c>
      <c r="J552" s="12" t="str">
        <f aca="false">IF(INDEX(選手一覧!$G$7:$G$2738,$F552)="","",INDEX(選手一覧!$G$7:$G$2738,$F552))</f>
        <v/>
      </c>
    </row>
    <row r="553" customFormat="false" ht="15" hidden="false" customHeight="false" outlineLevel="0" collapsed="false">
      <c r="A553" s="12" t="n">
        <v>549</v>
      </c>
      <c r="B553" s="10" t="s">
        <v>1737</v>
      </c>
      <c r="C553" s="10" t="s">
        <v>1738</v>
      </c>
      <c r="D553" s="11" t="n">
        <v>0.00284675925925926</v>
      </c>
      <c r="E553" s="18" t="n">
        <f aca="false">ROUND((D553-$D$5)*86400,2)</f>
        <v>20.93</v>
      </c>
      <c r="F553" s="12" t="n">
        <v>1198</v>
      </c>
      <c r="G553" s="11" t="str">
        <f aca="false">IF(INDEX(選手一覧!$D$7:$D$2738,$F553)="","",INDEX(選手一覧!$D$7:$D$2738,$F553))</f>
        <v/>
      </c>
      <c r="H553" s="12" t="str">
        <f aca="false">IF(INDEX(選手一覧!$E$7:$E$2738,$F553)="","",INDEX(選手一覧!$E$7:$E$2738,$F553))</f>
        <v/>
      </c>
      <c r="I553" s="11" t="str">
        <f aca="false">IF(INDEX(選手一覧!$F$7:$F$2738,$F553)="","",INDEX(選手一覧!$F$7:$F$2738,$F553))</f>
        <v/>
      </c>
      <c r="J553" s="12" t="str">
        <f aca="false">IF(INDEX(選手一覧!$G$7:$G$2738,$F553)="","",INDEX(選手一覧!$G$7:$G$2738,$F553))</f>
        <v/>
      </c>
    </row>
    <row r="554" customFormat="false" ht="15" hidden="false" customHeight="false" outlineLevel="0" collapsed="false">
      <c r="A554" s="12" t="n">
        <v>550</v>
      </c>
      <c r="B554" s="10" t="s">
        <v>1741</v>
      </c>
      <c r="C554" s="10" t="s">
        <v>1742</v>
      </c>
      <c r="D554" s="11" t="n">
        <v>0.00284675925925926</v>
      </c>
      <c r="E554" s="18" t="n">
        <f aca="false">ROUND((D554-$D$5)*86400,2)</f>
        <v>20.93</v>
      </c>
      <c r="F554" s="12" t="n">
        <v>1200</v>
      </c>
      <c r="G554" s="11" t="str">
        <f aca="false">IF(INDEX(選手一覧!$D$7:$D$2738,$F554)="","",INDEX(選手一覧!$D$7:$D$2738,$F554))</f>
        <v/>
      </c>
      <c r="H554" s="12" t="str">
        <f aca="false">IF(INDEX(選手一覧!$E$7:$E$2738,$F554)="","",INDEX(選手一覧!$E$7:$E$2738,$F554))</f>
        <v/>
      </c>
      <c r="I554" s="11" t="str">
        <f aca="false">IF(INDEX(選手一覧!$F$7:$F$2738,$F554)="","",INDEX(選手一覧!$F$7:$F$2738,$F554))</f>
        <v/>
      </c>
      <c r="J554" s="12" t="str">
        <f aca="false">IF(INDEX(選手一覧!$G$7:$G$2738,$F554)="","",INDEX(選手一覧!$G$7:$G$2738,$F554))</f>
        <v/>
      </c>
    </row>
    <row r="555" customFormat="false" ht="15" hidden="false" customHeight="false" outlineLevel="0" collapsed="false">
      <c r="A555" s="12" t="n">
        <v>551</v>
      </c>
      <c r="B555" s="10" t="s">
        <v>1743</v>
      </c>
      <c r="C555" s="10" t="s">
        <v>1744</v>
      </c>
      <c r="D555" s="11" t="n">
        <v>0.002846875</v>
      </c>
      <c r="E555" s="18" t="n">
        <f aca="false">ROUND((D555-$D$5)*86400,2)</f>
        <v>20.94</v>
      </c>
      <c r="F555" s="12" t="n">
        <v>1201</v>
      </c>
      <c r="G555" s="11" t="n">
        <f aca="false">IF(INDEX(選手一覧!$D$7:$D$2738,$F555)="","",INDEX(選手一覧!$D$7:$D$2738,$F555))</f>
        <v>0.0109299768518519</v>
      </c>
      <c r="H555" s="12" t="n">
        <f aca="false">IF(INDEX(選手一覧!$E$7:$E$2738,$F555)="","",INDEX(選手一覧!$E$7:$E$2738,$F555))</f>
        <v>967</v>
      </c>
      <c r="I555" s="11" t="str">
        <f aca="false">IF(INDEX(選手一覧!$F$7:$F$2738,$F555)="","",INDEX(選手一覧!$F$7:$F$2738,$F555))</f>
        <v/>
      </c>
      <c r="J555" s="12" t="str">
        <f aca="false">IF(INDEX(選手一覧!$G$7:$G$2738,$F555)="","",INDEX(選手一覧!$G$7:$G$2738,$F555))</f>
        <v/>
      </c>
    </row>
    <row r="556" customFormat="false" ht="15" hidden="false" customHeight="false" outlineLevel="0" collapsed="false">
      <c r="A556" s="12" t="n">
        <v>552</v>
      </c>
      <c r="B556" s="10" t="s">
        <v>740</v>
      </c>
      <c r="C556" s="10" t="s">
        <v>741</v>
      </c>
      <c r="D556" s="11" t="n">
        <v>0.00284722222222222</v>
      </c>
      <c r="E556" s="18" t="n">
        <f aca="false">ROUND((D556-$D$5)*86400,2)</f>
        <v>20.97</v>
      </c>
      <c r="F556" s="12" t="n">
        <v>478</v>
      </c>
      <c r="G556" s="11" t="n">
        <f aca="false">IF(INDEX(選手一覧!$D$7:$D$2738,$F556)="","",INDEX(選手一覧!$D$7:$D$2738,$F556))</f>
        <v>0.0107795138888889</v>
      </c>
      <c r="H556" s="12" t="n">
        <f aca="false">IF(INDEX(選手一覧!$E$7:$E$2738,$F556)="","",INDEX(選手一覧!$E$7:$E$2738,$F556))</f>
        <v>706</v>
      </c>
      <c r="I556" s="11" t="n">
        <f aca="false">IF(INDEX(選手一覧!$F$7:$F$2738,$F556)="","",INDEX(選手一覧!$F$7:$F$2738,$F556))</f>
        <v>0.00684710648148148</v>
      </c>
      <c r="J556" s="12" t="n">
        <f aca="false">IF(INDEX(選手一覧!$G$7:$G$2738,$F556)="","",INDEX(選手一覧!$G$7:$G$2738,$F556))</f>
        <v>201</v>
      </c>
    </row>
    <row r="557" customFormat="false" ht="15" hidden="false" customHeight="false" outlineLevel="0" collapsed="false">
      <c r="A557" s="12" t="n">
        <v>553</v>
      </c>
      <c r="B557" s="10" t="s">
        <v>415</v>
      </c>
      <c r="C557" s="10" t="s">
        <v>416</v>
      </c>
      <c r="D557" s="11" t="n">
        <v>0.00284722222222222</v>
      </c>
      <c r="E557" s="18" t="n">
        <f aca="false">ROUND((D557-$D$5)*86400,2)</f>
        <v>20.97</v>
      </c>
      <c r="F557" s="12" t="n">
        <v>252</v>
      </c>
      <c r="G557" s="11" t="str">
        <f aca="false">IF(INDEX(選手一覧!$D$7:$D$2738,$F557)="","",INDEX(選手一覧!$D$7:$D$2738,$F557))</f>
        <v/>
      </c>
      <c r="H557" s="12" t="str">
        <f aca="false">IF(INDEX(選手一覧!$E$7:$E$2738,$F557)="","",INDEX(選手一覧!$E$7:$E$2738,$F557))</f>
        <v/>
      </c>
      <c r="I557" s="11" t="n">
        <f aca="false">IF(INDEX(選手一覧!$F$7:$F$2738,$F557)="","",INDEX(選手一覧!$F$7:$F$2738,$F557))</f>
        <v>0.00669270833333333</v>
      </c>
      <c r="J557" s="12" t="n">
        <f aca="false">IF(INDEX(選手一覧!$G$7:$G$2738,$F557)="","",INDEX(選手一覧!$G$7:$G$2738,$F557))</f>
        <v>105</v>
      </c>
    </row>
    <row r="558" customFormat="false" ht="15" hidden="false" customHeight="false" outlineLevel="0" collapsed="false">
      <c r="A558" s="12" t="n">
        <v>554</v>
      </c>
      <c r="B558" s="10" t="s">
        <v>1230</v>
      </c>
      <c r="C558" s="10" t="s">
        <v>1231</v>
      </c>
      <c r="D558" s="11" t="n">
        <v>0.00284733796296296</v>
      </c>
      <c r="E558" s="18" t="n">
        <f aca="false">ROUND((D558-$D$5)*86400,2)</f>
        <v>20.98</v>
      </c>
      <c r="F558" s="12" t="n">
        <v>834</v>
      </c>
      <c r="G558" s="11" t="n">
        <f aca="false">IF(INDEX(選手一覧!$D$7:$D$2738,$F558)="","",INDEX(選手一覧!$D$7:$D$2738,$F558))</f>
        <v>0.010525462962963</v>
      </c>
      <c r="H558" s="12" t="n">
        <f aca="false">IF(INDEX(選手一覧!$E$7:$E$2738,$F558)="","",INDEX(選手一覧!$E$7:$E$2738,$F558))</f>
        <v>367</v>
      </c>
      <c r="I558" s="11" t="str">
        <f aca="false">IF(INDEX(選手一覧!$F$7:$F$2738,$F558)="","",INDEX(選手一覧!$F$7:$F$2738,$F558))</f>
        <v/>
      </c>
      <c r="J558" s="12" t="str">
        <f aca="false">IF(INDEX(選手一覧!$G$7:$G$2738,$F558)="","",INDEX(選手一覧!$G$7:$G$2738,$F558))</f>
        <v/>
      </c>
    </row>
    <row r="559" customFormat="false" ht="15" hidden="false" customHeight="false" outlineLevel="0" collapsed="false">
      <c r="A559" s="12" t="n">
        <v>555</v>
      </c>
      <c r="B559" s="10" t="s">
        <v>1036</v>
      </c>
      <c r="C559" s="10" t="s">
        <v>440</v>
      </c>
      <c r="D559" s="11" t="n">
        <v>0.00284768518518519</v>
      </c>
      <c r="E559" s="18" t="n">
        <f aca="false">ROUND((D559-$D$5)*86400,2)</f>
        <v>21.01</v>
      </c>
      <c r="F559" s="12" t="n">
        <v>695</v>
      </c>
      <c r="G559" s="11" t="n">
        <f aca="false">IF(INDEX(選手一覧!$D$7:$D$2738,$F559)="","",INDEX(選手一覧!$D$7:$D$2738,$F559))</f>
        <v>0.0104372685185185</v>
      </c>
      <c r="H559" s="12" t="n">
        <f aca="false">IF(INDEX(選手一覧!$E$7:$E$2738,$F559)="","",INDEX(選手一覧!$E$7:$E$2738,$F559))</f>
        <v>298</v>
      </c>
      <c r="I559" s="11" t="str">
        <f aca="false">IF(INDEX(選手一覧!$F$7:$F$2738,$F559)="","",INDEX(選手一覧!$F$7:$F$2738,$F559))</f>
        <v/>
      </c>
      <c r="J559" s="12" t="str">
        <f aca="false">IF(INDEX(選手一覧!$G$7:$G$2738,$F559)="","",INDEX(選手一覧!$G$7:$G$2738,$F559))</f>
        <v/>
      </c>
    </row>
    <row r="560" customFormat="false" ht="15" hidden="false" customHeight="false" outlineLevel="0" collapsed="false">
      <c r="A560" s="12" t="n">
        <v>556</v>
      </c>
      <c r="B560" s="10" t="s">
        <v>1756</v>
      </c>
      <c r="C560" s="10" t="s">
        <v>945</v>
      </c>
      <c r="D560" s="11" t="n">
        <v>0.00284814814814815</v>
      </c>
      <c r="E560" s="18" t="n">
        <f aca="false">ROUND((D560-$D$5)*86400,2)</f>
        <v>21.05</v>
      </c>
      <c r="F560" s="12" t="n">
        <v>1209</v>
      </c>
      <c r="G560" s="11" t="str">
        <f aca="false">IF(INDEX(選手一覧!$D$7:$D$2738,$F560)="","",INDEX(選手一覧!$D$7:$D$2738,$F560))</f>
        <v/>
      </c>
      <c r="H560" s="12" t="str">
        <f aca="false">IF(INDEX(選手一覧!$E$7:$E$2738,$F560)="","",INDEX(選手一覧!$E$7:$E$2738,$F560))</f>
        <v/>
      </c>
      <c r="I560" s="11" t="str">
        <f aca="false">IF(INDEX(選手一覧!$F$7:$F$2738,$F560)="","",INDEX(選手一覧!$F$7:$F$2738,$F560))</f>
        <v/>
      </c>
      <c r="J560" s="12" t="str">
        <f aca="false">IF(INDEX(選手一覧!$G$7:$G$2738,$F560)="","",INDEX(選手一覧!$G$7:$G$2738,$F560))</f>
        <v/>
      </c>
    </row>
    <row r="561" customFormat="false" ht="15" hidden="false" customHeight="false" outlineLevel="0" collapsed="false">
      <c r="A561" s="12" t="n">
        <v>557</v>
      </c>
      <c r="B561" s="10" t="s">
        <v>1759</v>
      </c>
      <c r="C561" s="10" t="s">
        <v>1760</v>
      </c>
      <c r="D561" s="11" t="n">
        <v>0.00284837962962963</v>
      </c>
      <c r="E561" s="18" t="n">
        <f aca="false">ROUND((D561-$D$5)*86400,2)</f>
        <v>21.07</v>
      </c>
      <c r="F561" s="12" t="n">
        <v>1211</v>
      </c>
      <c r="G561" s="11" t="n">
        <f aca="false">IF(INDEX(選手一覧!$D$7:$D$2738,$F561)="","",INDEX(選手一覧!$D$7:$D$2738,$F561))</f>
        <v>0.0107594907407407</v>
      </c>
      <c r="H561" s="12" t="n">
        <f aca="false">IF(INDEX(選手一覧!$E$7:$E$2738,$F561)="","",INDEX(選手一覧!$E$7:$E$2738,$F561))</f>
        <v>678</v>
      </c>
      <c r="I561" s="11" t="str">
        <f aca="false">IF(INDEX(選手一覧!$F$7:$F$2738,$F561)="","",INDEX(選手一覧!$F$7:$F$2738,$F561))</f>
        <v/>
      </c>
      <c r="J561" s="12" t="str">
        <f aca="false">IF(INDEX(選手一覧!$G$7:$G$2738,$F561)="","",INDEX(選手一覧!$G$7:$G$2738,$F561))</f>
        <v/>
      </c>
    </row>
    <row r="562" customFormat="false" ht="15" hidden="false" customHeight="false" outlineLevel="0" collapsed="false">
      <c r="A562" s="12" t="n">
        <v>558</v>
      </c>
      <c r="B562" s="10" t="s">
        <v>1480</v>
      </c>
      <c r="C562" s="10" t="s">
        <v>1481</v>
      </c>
      <c r="D562" s="11" t="n">
        <v>0.00284861111111111</v>
      </c>
      <c r="E562" s="18" t="n">
        <f aca="false">ROUND((D562-$D$5)*86400,2)</f>
        <v>21.09</v>
      </c>
      <c r="F562" s="12" t="n">
        <v>1017</v>
      </c>
      <c r="G562" s="11" t="n">
        <f aca="false">IF(INDEX(選手一覧!$D$7:$D$2738,$F562)="","",INDEX(選手一覧!$D$7:$D$2738,$F562))</f>
        <v>0.0107909722222222</v>
      </c>
      <c r="H562" s="12" t="n">
        <f aca="false">IF(INDEX(選手一覧!$E$7:$E$2738,$F562)="","",INDEX(選手一覧!$E$7:$E$2738,$F562))</f>
        <v>725</v>
      </c>
      <c r="I562" s="11" t="n">
        <f aca="false">IF(INDEX(選手一覧!$F$7:$F$2738,$F562)="","",INDEX(選手一覧!$F$7:$F$2738,$F562))</f>
        <v>0.00711053240740741</v>
      </c>
      <c r="J562" s="12" t="n">
        <f aca="false">IF(INDEX(選手一覧!$G$7:$G$2738,$F562)="","",INDEX(選手一覧!$G$7:$G$2738,$F562))</f>
        <v>456</v>
      </c>
    </row>
    <row r="563" customFormat="false" ht="15" hidden="false" customHeight="false" outlineLevel="0" collapsed="false">
      <c r="A563" s="12" t="n">
        <v>559</v>
      </c>
      <c r="B563" s="10" t="s">
        <v>268</v>
      </c>
      <c r="C563" s="10" t="s">
        <v>122</v>
      </c>
      <c r="D563" s="11" t="n">
        <v>0.00284861111111111</v>
      </c>
      <c r="E563" s="18" t="n">
        <f aca="false">ROUND((D563-$D$5)*86400,2)</f>
        <v>21.09</v>
      </c>
      <c r="F563" s="12" t="n">
        <v>147</v>
      </c>
      <c r="G563" s="11" t="n">
        <f aca="false">IF(INDEX(選手一覧!$D$7:$D$2738,$F563)="","",INDEX(選手一覧!$D$7:$D$2738,$F563))</f>
        <v>0.0104480324074074</v>
      </c>
      <c r="H563" s="12" t="n">
        <f aca="false">IF(INDEX(選手一覧!$E$7:$E$2738,$F563)="","",INDEX(選手一覧!$E$7:$E$2738,$F563))</f>
        <v>301</v>
      </c>
      <c r="I563" s="11" t="n">
        <f aca="false">IF(INDEX(選手一覧!$F$7:$F$2738,$F563)="","",INDEX(選手一覧!$F$7:$F$2738,$F563))</f>
        <v>0.00657083333333333</v>
      </c>
      <c r="J563" s="12" t="n">
        <f aca="false">IF(INDEX(選手一覧!$G$7:$G$2738,$F563)="","",INDEX(選手一覧!$G$7:$G$2738,$F563))</f>
        <v>59</v>
      </c>
    </row>
    <row r="564" customFormat="false" ht="15" hidden="false" customHeight="false" outlineLevel="0" collapsed="false">
      <c r="A564" s="12" t="n">
        <v>560</v>
      </c>
      <c r="B564" s="10" t="s">
        <v>1292</v>
      </c>
      <c r="C564" s="10" t="s">
        <v>326</v>
      </c>
      <c r="D564" s="11" t="n">
        <v>0.00284861111111111</v>
      </c>
      <c r="E564" s="18" t="n">
        <f aca="false">ROUND((D564-$D$5)*86400,2)</f>
        <v>21.09</v>
      </c>
      <c r="F564" s="12" t="n">
        <v>880</v>
      </c>
      <c r="G564" s="11" t="n">
        <f aca="false">IF(INDEX(選手一覧!$D$7:$D$2738,$F564)="","",INDEX(選手一覧!$D$7:$D$2738,$F564))</f>
        <v>0.010544212962963</v>
      </c>
      <c r="H564" s="12" t="n">
        <f aca="false">IF(INDEX(選手一覧!$E$7:$E$2738,$F564)="","",INDEX(選手一覧!$E$7:$E$2738,$F564))</f>
        <v>392</v>
      </c>
      <c r="I564" s="11" t="str">
        <f aca="false">IF(INDEX(選手一覧!$F$7:$F$2738,$F564)="","",INDEX(選手一覧!$F$7:$F$2738,$F564))</f>
        <v/>
      </c>
      <c r="J564" s="12" t="str">
        <f aca="false">IF(INDEX(選手一覧!$G$7:$G$2738,$F564)="","",INDEX(選手一覧!$G$7:$G$2738,$F564))</f>
        <v/>
      </c>
    </row>
    <row r="565" customFormat="false" ht="15" hidden="false" customHeight="false" outlineLevel="0" collapsed="false">
      <c r="A565" s="12" t="n">
        <v>561</v>
      </c>
      <c r="B565" s="10" t="s">
        <v>1768</v>
      </c>
      <c r="C565" s="10" t="s">
        <v>494</v>
      </c>
      <c r="D565" s="11" t="n">
        <v>0.00284884259259259</v>
      </c>
      <c r="E565" s="18" t="n">
        <f aca="false">ROUND((D565-$D$5)*86400,2)</f>
        <v>21.11</v>
      </c>
      <c r="F565" s="12" t="n">
        <v>1217</v>
      </c>
      <c r="G565" s="11" t="n">
        <f aca="false">IF(INDEX(選手一覧!$D$7:$D$2738,$F565)="","",INDEX(選手一覧!$D$7:$D$2738,$F565))</f>
        <v>0.0107917824074074</v>
      </c>
      <c r="H565" s="12" t="n">
        <f aca="false">IF(INDEX(選手一覧!$E$7:$E$2738,$F565)="","",INDEX(選手一覧!$E$7:$E$2738,$F565))</f>
        <v>728</v>
      </c>
      <c r="I565" s="11" t="str">
        <f aca="false">IF(INDEX(選手一覧!$F$7:$F$2738,$F565)="","",INDEX(選手一覧!$F$7:$F$2738,$F565))</f>
        <v/>
      </c>
      <c r="J565" s="12" t="str">
        <f aca="false">IF(INDEX(選手一覧!$G$7:$G$2738,$F565)="","",INDEX(選手一覧!$G$7:$G$2738,$F565))</f>
        <v/>
      </c>
    </row>
    <row r="566" customFormat="false" ht="15" hidden="false" customHeight="false" outlineLevel="0" collapsed="false">
      <c r="A566" s="12" t="n">
        <v>562</v>
      </c>
      <c r="B566" s="10" t="s">
        <v>1774</v>
      </c>
      <c r="C566" s="10" t="s">
        <v>1775</v>
      </c>
      <c r="D566" s="11" t="n">
        <v>0.00284884259259259</v>
      </c>
      <c r="E566" s="18" t="n">
        <f aca="false">ROUND((D566-$D$5)*86400,2)</f>
        <v>21.11</v>
      </c>
      <c r="F566" s="12" t="n">
        <v>1222</v>
      </c>
      <c r="G566" s="11" t="str">
        <f aca="false">IF(INDEX(選手一覧!$D$7:$D$2738,$F566)="","",INDEX(選手一覧!$D$7:$D$2738,$F566))</f>
        <v/>
      </c>
      <c r="H566" s="12" t="str">
        <f aca="false">IF(INDEX(選手一覧!$E$7:$E$2738,$F566)="","",INDEX(選手一覧!$E$7:$E$2738,$F566))</f>
        <v/>
      </c>
      <c r="I566" s="11" t="str">
        <f aca="false">IF(INDEX(選手一覧!$F$7:$F$2738,$F566)="","",INDEX(選手一覧!$F$7:$F$2738,$F566))</f>
        <v/>
      </c>
      <c r="J566" s="12" t="str">
        <f aca="false">IF(INDEX(選手一覧!$G$7:$G$2738,$F566)="","",INDEX(選手一覧!$G$7:$G$2738,$F566))</f>
        <v/>
      </c>
    </row>
    <row r="567" customFormat="false" ht="15" hidden="false" customHeight="false" outlineLevel="0" collapsed="false">
      <c r="A567" s="12" t="n">
        <v>563</v>
      </c>
      <c r="B567" s="10" t="s">
        <v>1780</v>
      </c>
      <c r="C567" s="10" t="s">
        <v>1781</v>
      </c>
      <c r="D567" s="11" t="n">
        <v>0.00284884259259259</v>
      </c>
      <c r="E567" s="18" t="n">
        <f aca="false">ROUND((D567-$D$5)*86400,2)</f>
        <v>21.11</v>
      </c>
      <c r="F567" s="12" t="n">
        <v>1225</v>
      </c>
      <c r="G567" s="11" t="str">
        <f aca="false">IF(INDEX(選手一覧!$D$7:$D$2738,$F567)="","",INDEX(選手一覧!$D$7:$D$2738,$F567))</f>
        <v/>
      </c>
      <c r="H567" s="12" t="str">
        <f aca="false">IF(INDEX(選手一覧!$E$7:$E$2738,$F567)="","",INDEX(選手一覧!$E$7:$E$2738,$F567))</f>
        <v/>
      </c>
      <c r="I567" s="11" t="str">
        <f aca="false">IF(INDEX(選手一覧!$F$7:$F$2738,$F567)="","",INDEX(選手一覧!$F$7:$F$2738,$F567))</f>
        <v/>
      </c>
      <c r="J567" s="12" t="str">
        <f aca="false">IF(INDEX(選手一覧!$G$7:$G$2738,$F567)="","",INDEX(選手一覧!$G$7:$G$2738,$F567))</f>
        <v/>
      </c>
    </row>
    <row r="568" customFormat="false" ht="15" hidden="false" customHeight="false" outlineLevel="0" collapsed="false">
      <c r="A568" s="12" t="n">
        <v>564</v>
      </c>
      <c r="B568" s="10" t="s">
        <v>1784</v>
      </c>
      <c r="C568" s="10" t="s">
        <v>616</v>
      </c>
      <c r="D568" s="11" t="n">
        <v>0.00284895833333333</v>
      </c>
      <c r="E568" s="18" t="n">
        <f aca="false">ROUND((D568-$D$5)*86400,2)</f>
        <v>21.12</v>
      </c>
      <c r="F568" s="12" t="n">
        <v>1227</v>
      </c>
      <c r="G568" s="11" t="n">
        <f aca="false">IF(INDEX(選手一覧!$D$7:$D$2738,$F568)="","",INDEX(選手一覧!$D$7:$D$2738,$F568))</f>
        <v>0.0110673611111111</v>
      </c>
      <c r="H568" s="12" t="n">
        <f aca="false">IF(INDEX(選手一覧!$E$7:$E$2738,$F568)="","",INDEX(選手一覧!$E$7:$E$2738,$F568))</f>
        <v>1232</v>
      </c>
      <c r="I568" s="11" t="str">
        <f aca="false">IF(INDEX(選手一覧!$F$7:$F$2738,$F568)="","",INDEX(選手一覧!$F$7:$F$2738,$F568))</f>
        <v/>
      </c>
      <c r="J568" s="12" t="str">
        <f aca="false">IF(INDEX(選手一覧!$G$7:$G$2738,$F568)="","",INDEX(選手一覧!$G$7:$G$2738,$F568))</f>
        <v/>
      </c>
    </row>
    <row r="569" customFormat="false" ht="15" hidden="false" customHeight="false" outlineLevel="0" collapsed="false">
      <c r="A569" s="12" t="n">
        <v>565</v>
      </c>
      <c r="B569" s="10" t="s">
        <v>1788</v>
      </c>
      <c r="C569" s="10" t="s">
        <v>1789</v>
      </c>
      <c r="D569" s="11" t="n">
        <v>0.00284895833333333</v>
      </c>
      <c r="E569" s="18" t="n">
        <f aca="false">ROUND((D569-$D$5)*86400,2)</f>
        <v>21.12</v>
      </c>
      <c r="F569" s="12" t="n">
        <v>1230</v>
      </c>
      <c r="G569" s="11" t="str">
        <f aca="false">IF(INDEX(選手一覧!$D$7:$D$2738,$F569)="","",INDEX(選手一覧!$D$7:$D$2738,$F569))</f>
        <v/>
      </c>
      <c r="H569" s="12" t="str">
        <f aca="false">IF(INDEX(選手一覧!$E$7:$E$2738,$F569)="","",INDEX(選手一覧!$E$7:$E$2738,$F569))</f>
        <v/>
      </c>
      <c r="I569" s="11" t="str">
        <f aca="false">IF(INDEX(選手一覧!$F$7:$F$2738,$F569)="","",INDEX(選手一覧!$F$7:$F$2738,$F569))</f>
        <v/>
      </c>
      <c r="J569" s="12" t="str">
        <f aca="false">IF(INDEX(選手一覧!$G$7:$G$2738,$F569)="","",INDEX(選手一覧!$G$7:$G$2738,$F569))</f>
        <v/>
      </c>
    </row>
    <row r="570" customFormat="false" ht="15" hidden="false" customHeight="false" outlineLevel="0" collapsed="false">
      <c r="A570" s="12" t="n">
        <v>566</v>
      </c>
      <c r="B570" s="10" t="s">
        <v>1791</v>
      </c>
      <c r="C570" s="10" t="s">
        <v>1514</v>
      </c>
      <c r="D570" s="11" t="n">
        <v>0.00284907407407407</v>
      </c>
      <c r="E570" s="18" t="n">
        <f aca="false">ROUND((D570-$D$5)*86400,2)</f>
        <v>21.13</v>
      </c>
      <c r="F570" s="12" t="n">
        <v>1232</v>
      </c>
      <c r="G570" s="11" t="str">
        <f aca="false">IF(INDEX(選手一覧!$D$7:$D$2738,$F570)="","",INDEX(選手一覧!$D$7:$D$2738,$F570))</f>
        <v/>
      </c>
      <c r="H570" s="12" t="str">
        <f aca="false">IF(INDEX(選手一覧!$E$7:$E$2738,$F570)="","",INDEX(選手一覧!$E$7:$E$2738,$F570))</f>
        <v/>
      </c>
      <c r="I570" s="11" t="str">
        <f aca="false">IF(INDEX(選手一覧!$F$7:$F$2738,$F570)="","",INDEX(選手一覧!$F$7:$F$2738,$F570))</f>
        <v/>
      </c>
      <c r="J570" s="12" t="str">
        <f aca="false">IF(INDEX(選手一覧!$G$7:$G$2738,$F570)="","",INDEX(選手一覧!$G$7:$G$2738,$F570))</f>
        <v/>
      </c>
    </row>
    <row r="571" customFormat="false" ht="15" hidden="false" customHeight="false" outlineLevel="0" collapsed="false">
      <c r="A571" s="12" t="n">
        <v>567</v>
      </c>
      <c r="B571" s="10" t="s">
        <v>1792</v>
      </c>
      <c r="C571" s="10" t="s">
        <v>195</v>
      </c>
      <c r="D571" s="11" t="n">
        <v>0.00284930555555556</v>
      </c>
      <c r="E571" s="18" t="n">
        <f aca="false">ROUND((D571-$D$5)*86400,2)</f>
        <v>21.15</v>
      </c>
      <c r="F571" s="12" t="n">
        <v>1233</v>
      </c>
      <c r="G571" s="11" t="n">
        <f aca="false">IF(INDEX(選手一覧!$D$7:$D$2738,$F571)="","",INDEX(選手一覧!$D$7:$D$2738,$F571))</f>
        <v>0.0108980324074074</v>
      </c>
      <c r="H571" s="12" t="n">
        <f aca="false">IF(INDEX(選手一覧!$E$7:$E$2738,$F571)="","",INDEX(選手一覧!$E$7:$E$2738,$F571))</f>
        <v>918</v>
      </c>
      <c r="I571" s="11" t="str">
        <f aca="false">IF(INDEX(選手一覧!$F$7:$F$2738,$F571)="","",INDEX(選手一覧!$F$7:$F$2738,$F571))</f>
        <v/>
      </c>
      <c r="J571" s="12" t="str">
        <f aca="false">IF(INDEX(選手一覧!$G$7:$G$2738,$F571)="","",INDEX(選手一覧!$G$7:$G$2738,$F571))</f>
        <v/>
      </c>
    </row>
    <row r="572" customFormat="false" ht="15" hidden="false" customHeight="false" outlineLevel="0" collapsed="false">
      <c r="A572" s="12" t="n">
        <v>568</v>
      </c>
      <c r="B572" s="10" t="s">
        <v>1054</v>
      </c>
      <c r="C572" s="10" t="s">
        <v>1055</v>
      </c>
      <c r="D572" s="11" t="n">
        <v>0.0028494212962963</v>
      </c>
      <c r="E572" s="18" t="n">
        <f aca="false">ROUND((D572-$D$5)*86400,2)</f>
        <v>21.16</v>
      </c>
      <c r="F572" s="12" t="n">
        <v>707</v>
      </c>
      <c r="G572" s="11" t="n">
        <f aca="false">IF(INDEX(選手一覧!$D$7:$D$2738,$F572)="","",INDEX(選手一覧!$D$7:$D$2738,$F572))</f>
        <v>0.0110770833333333</v>
      </c>
      <c r="H572" s="12" t="n">
        <f aca="false">IF(INDEX(選手一覧!$E$7:$E$2738,$F572)="","",INDEX(選手一覧!$E$7:$E$2738,$F572))</f>
        <v>1245</v>
      </c>
      <c r="I572" s="11" t="n">
        <f aca="false">IF(INDEX(選手一覧!$F$7:$F$2738,$F572)="","",INDEX(選手一覧!$F$7:$F$2738,$F572))</f>
        <v>0.00696886574074074</v>
      </c>
      <c r="J572" s="12" t="n">
        <f aca="false">IF(INDEX(選手一覧!$G$7:$G$2738,$F572)="","",INDEX(選手一覧!$G$7:$G$2738,$F572))</f>
        <v>303</v>
      </c>
    </row>
    <row r="573" customFormat="false" ht="15" hidden="false" customHeight="false" outlineLevel="0" collapsed="false">
      <c r="A573" s="12" t="n">
        <v>569</v>
      </c>
      <c r="B573" s="10" t="s">
        <v>38</v>
      </c>
      <c r="C573" s="10" t="s">
        <v>39</v>
      </c>
      <c r="D573" s="11" t="n">
        <v>0.00284988425925926</v>
      </c>
      <c r="E573" s="18" t="n">
        <f aca="false">ROUND((D573-$D$5)*86400,2)</f>
        <v>21.2</v>
      </c>
      <c r="F573" s="12" t="n">
        <v>10</v>
      </c>
      <c r="G573" s="11" t="n">
        <f aca="false">IF(INDEX(選手一覧!$D$7:$D$2738,$F573)="","",INDEX(選手一覧!$D$7:$D$2738,$F573))</f>
        <v>0.0102916666666667</v>
      </c>
      <c r="H573" s="12" t="n">
        <f aca="false">IF(INDEX(選手一覧!$E$7:$E$2738,$F573)="","",INDEX(選手一覧!$E$7:$E$2738,$F573))</f>
        <v>155</v>
      </c>
      <c r="I573" s="11" t="n">
        <f aca="false">IF(INDEX(選手一覧!$F$7:$F$2738,$F573)="","",INDEX(選手一覧!$F$7:$F$2738,$F573))</f>
        <v>0.00632650462962963</v>
      </c>
      <c r="J573" s="12" t="n">
        <f aca="false">IF(INDEX(選手一覧!$G$7:$G$2738,$F573)="","",INDEX(選手一覧!$G$7:$G$2738,$F573))</f>
        <v>5</v>
      </c>
    </row>
    <row r="574" customFormat="false" ht="15" hidden="false" customHeight="false" outlineLevel="0" collapsed="false">
      <c r="A574" s="12" t="n">
        <v>570</v>
      </c>
      <c r="B574" s="10" t="s">
        <v>1354</v>
      </c>
      <c r="C574" s="10" t="s">
        <v>915</v>
      </c>
      <c r="D574" s="11" t="n">
        <v>0.00284988425925926</v>
      </c>
      <c r="E574" s="18" t="n">
        <f aca="false">ROUND((D574-$D$5)*86400,2)</f>
        <v>21.2</v>
      </c>
      <c r="F574" s="12" t="n">
        <v>921</v>
      </c>
      <c r="G574" s="11" t="n">
        <f aca="false">IF(INDEX(選手一覧!$D$7:$D$2738,$F574)="","",INDEX(選手一覧!$D$7:$D$2738,$F574))</f>
        <v>0.0105601851851852</v>
      </c>
      <c r="H574" s="12" t="n">
        <f aca="false">IF(INDEX(選手一覧!$E$7:$E$2738,$F574)="","",INDEX(選手一覧!$E$7:$E$2738,$F574))</f>
        <v>412</v>
      </c>
      <c r="I574" s="11" t="str">
        <f aca="false">IF(INDEX(選手一覧!$F$7:$F$2738,$F574)="","",INDEX(選手一覧!$F$7:$F$2738,$F574))</f>
        <v/>
      </c>
      <c r="J574" s="12" t="str">
        <f aca="false">IF(INDEX(選手一覧!$G$7:$G$2738,$F574)="","",INDEX(選手一覧!$G$7:$G$2738,$F574))</f>
        <v/>
      </c>
    </row>
    <row r="575" customFormat="false" ht="15" hidden="false" customHeight="false" outlineLevel="0" collapsed="false">
      <c r="A575" s="12" t="n">
        <v>571</v>
      </c>
      <c r="B575" s="10" t="s">
        <v>856</v>
      </c>
      <c r="C575" s="10" t="s">
        <v>857</v>
      </c>
      <c r="D575" s="11" t="n">
        <v>0.00285034722222222</v>
      </c>
      <c r="E575" s="18" t="n">
        <f aca="false">ROUND((D575-$D$5)*86400,2)</f>
        <v>21.24</v>
      </c>
      <c r="F575" s="12" t="n">
        <v>559</v>
      </c>
      <c r="G575" s="11" t="n">
        <f aca="false">IF(INDEX(選手一覧!$D$7:$D$2738,$F575)="","",INDEX(選手一覧!$D$7:$D$2738,$F575))</f>
        <v>0.0103759259259259</v>
      </c>
      <c r="H575" s="12" t="n">
        <f aca="false">IF(INDEX(選手一覧!$E$7:$E$2738,$F575)="","",INDEX(選手一覧!$E$7:$E$2738,$F575))</f>
        <v>234</v>
      </c>
      <c r="I575" s="11" t="str">
        <f aca="false">IF(INDEX(選手一覧!$F$7:$F$2738,$F575)="","",INDEX(選手一覧!$F$7:$F$2738,$F575))</f>
        <v/>
      </c>
      <c r="J575" s="12" t="str">
        <f aca="false">IF(INDEX(選手一覧!$G$7:$G$2738,$F575)="","",INDEX(選手一覧!$G$7:$G$2738,$F575))</f>
        <v/>
      </c>
    </row>
    <row r="576" customFormat="false" ht="15" hidden="false" customHeight="false" outlineLevel="0" collapsed="false">
      <c r="A576" s="12" t="n">
        <v>572</v>
      </c>
      <c r="B576" s="10" t="s">
        <v>1805</v>
      </c>
      <c r="C576" s="10" t="s">
        <v>1155</v>
      </c>
      <c r="D576" s="11" t="n">
        <v>0.0028505787037037</v>
      </c>
      <c r="E576" s="18" t="n">
        <f aca="false">ROUND((D576-$D$5)*86400,2)</f>
        <v>21.26</v>
      </c>
      <c r="F576" s="12" t="n">
        <v>1243</v>
      </c>
      <c r="G576" s="11" t="n">
        <f aca="false">IF(INDEX(選手一覧!$D$7:$D$2738,$F576)="","",INDEX(選手一覧!$D$7:$D$2738,$F576))</f>
        <v>0.011046875</v>
      </c>
      <c r="H576" s="12" t="n">
        <f aca="false">IF(INDEX(選手一覧!$E$7:$E$2738,$F576)="","",INDEX(選手一覧!$E$7:$E$2738,$F576))</f>
        <v>1194</v>
      </c>
      <c r="I576" s="11" t="str">
        <f aca="false">IF(INDEX(選手一覧!$F$7:$F$2738,$F576)="","",INDEX(選手一覧!$F$7:$F$2738,$F576))</f>
        <v/>
      </c>
      <c r="J576" s="12" t="str">
        <f aca="false">IF(INDEX(選手一覧!$G$7:$G$2738,$F576)="","",INDEX(選手一覧!$G$7:$G$2738,$F576))</f>
        <v/>
      </c>
    </row>
    <row r="577" customFormat="false" ht="15" hidden="false" customHeight="false" outlineLevel="0" collapsed="false">
      <c r="A577" s="12" t="n">
        <v>573</v>
      </c>
      <c r="B577" s="10" t="s">
        <v>1809</v>
      </c>
      <c r="C577" s="10" t="s">
        <v>91</v>
      </c>
      <c r="D577" s="11" t="n">
        <v>0.00285069444444445</v>
      </c>
      <c r="E577" s="18" t="n">
        <f aca="false">ROUND((D577-$D$5)*86400,2)</f>
        <v>21.27</v>
      </c>
      <c r="F577" s="12" t="n">
        <v>1246</v>
      </c>
      <c r="G577" s="11" t="str">
        <f aca="false">IF(INDEX(選手一覧!$D$7:$D$2738,$F577)="","",INDEX(選手一覧!$D$7:$D$2738,$F577))</f>
        <v/>
      </c>
      <c r="H577" s="12" t="str">
        <f aca="false">IF(INDEX(選手一覧!$E$7:$E$2738,$F577)="","",INDEX(選手一覧!$E$7:$E$2738,$F577))</f>
        <v/>
      </c>
      <c r="I577" s="11" t="str">
        <f aca="false">IF(INDEX(選手一覧!$F$7:$F$2738,$F577)="","",INDEX(選手一覧!$F$7:$F$2738,$F577))</f>
        <v/>
      </c>
      <c r="J577" s="12" t="str">
        <f aca="false">IF(INDEX(選手一覧!$G$7:$G$2738,$F577)="","",INDEX(選手一覧!$G$7:$G$2738,$F577))</f>
        <v/>
      </c>
    </row>
    <row r="578" customFormat="false" ht="15" hidden="false" customHeight="false" outlineLevel="0" collapsed="false">
      <c r="A578" s="12" t="n">
        <v>574</v>
      </c>
      <c r="B578" s="10" t="s">
        <v>518</v>
      </c>
      <c r="C578" s="10" t="s">
        <v>519</v>
      </c>
      <c r="D578" s="11" t="n">
        <v>0.00285069444444445</v>
      </c>
      <c r="E578" s="18" t="n">
        <f aca="false">ROUND((D578-$D$5)*86400,2)</f>
        <v>21.27</v>
      </c>
      <c r="F578" s="12" t="n">
        <v>322</v>
      </c>
      <c r="G578" s="11" t="n">
        <f aca="false">IF(INDEX(選手一覧!$D$7:$D$2738,$F578)="","",INDEX(選手一覧!$D$7:$D$2738,$F578))</f>
        <v>0.0106959490740741</v>
      </c>
      <c r="H578" s="12" t="n">
        <f aca="false">IF(INDEX(選手一覧!$E$7:$E$2738,$F578)="","",INDEX(選手一覧!$E$7:$E$2738,$F578))</f>
        <v>574</v>
      </c>
      <c r="I578" s="11" t="n">
        <f aca="false">IF(INDEX(選手一覧!$F$7:$F$2738,$F578)="","",INDEX(選手一覧!$F$7:$F$2738,$F578))</f>
        <v>0.00675868055555556</v>
      </c>
      <c r="J578" s="12" t="n">
        <f aca="false">IF(INDEX(選手一覧!$G$7:$G$2738,$F578)="","",INDEX(選手一覧!$G$7:$G$2738,$F578))</f>
        <v>134</v>
      </c>
    </row>
    <row r="579" customFormat="false" ht="15" hidden="false" customHeight="false" outlineLevel="0" collapsed="false">
      <c r="A579" s="12" t="n">
        <v>575</v>
      </c>
      <c r="B579" s="10" t="s">
        <v>1812</v>
      </c>
      <c r="C579" s="10" t="s">
        <v>1813</v>
      </c>
      <c r="D579" s="11" t="n">
        <v>0.00285092592592593</v>
      </c>
      <c r="E579" s="18" t="n">
        <f aca="false">ROUND((D579-$D$5)*86400,2)</f>
        <v>21.29</v>
      </c>
      <c r="F579" s="12" t="n">
        <v>1248</v>
      </c>
      <c r="G579" s="11" t="str">
        <f aca="false">IF(INDEX(選手一覧!$D$7:$D$2738,$F579)="","",INDEX(選手一覧!$D$7:$D$2738,$F579))</f>
        <v/>
      </c>
      <c r="H579" s="12" t="str">
        <f aca="false">IF(INDEX(選手一覧!$E$7:$E$2738,$F579)="","",INDEX(選手一覧!$E$7:$E$2738,$F579))</f>
        <v/>
      </c>
      <c r="I579" s="11" t="str">
        <f aca="false">IF(INDEX(選手一覧!$F$7:$F$2738,$F579)="","",INDEX(選手一覧!$F$7:$F$2738,$F579))</f>
        <v/>
      </c>
      <c r="J579" s="12" t="str">
        <f aca="false">IF(INDEX(選手一覧!$G$7:$G$2738,$F579)="","",INDEX(選手一覧!$G$7:$G$2738,$F579))</f>
        <v/>
      </c>
    </row>
    <row r="580" customFormat="false" ht="15" hidden="false" customHeight="false" outlineLevel="0" collapsed="false">
      <c r="A580" s="12" t="n">
        <v>576</v>
      </c>
      <c r="B580" s="10" t="s">
        <v>1814</v>
      </c>
      <c r="C580" s="10" t="s">
        <v>309</v>
      </c>
      <c r="D580" s="11" t="n">
        <v>0.00285115740740741</v>
      </c>
      <c r="E580" s="18" t="n">
        <f aca="false">ROUND((D580-$D$5)*86400,2)</f>
        <v>21.31</v>
      </c>
      <c r="F580" s="12" t="n">
        <v>1249</v>
      </c>
      <c r="G580" s="11" t="n">
        <f aca="false">IF(INDEX(選手一覧!$D$7:$D$2738,$F580)="","",INDEX(選手一覧!$D$7:$D$2738,$F580))</f>
        <v>0.0107081018518519</v>
      </c>
      <c r="H580" s="12" t="n">
        <f aca="false">IF(INDEX(選手一覧!$E$7:$E$2738,$F580)="","",INDEX(選手一覧!$E$7:$E$2738,$F580))</f>
        <v>595</v>
      </c>
      <c r="I580" s="11" t="str">
        <f aca="false">IF(INDEX(選手一覧!$F$7:$F$2738,$F580)="","",INDEX(選手一覧!$F$7:$F$2738,$F580))</f>
        <v/>
      </c>
      <c r="J580" s="12" t="str">
        <f aca="false">IF(INDEX(選手一覧!$G$7:$G$2738,$F580)="","",INDEX(選手一覧!$G$7:$G$2738,$F580))</f>
        <v/>
      </c>
    </row>
    <row r="581" customFormat="false" ht="15" hidden="false" customHeight="false" outlineLevel="0" collapsed="false">
      <c r="A581" s="12" t="n">
        <v>577</v>
      </c>
      <c r="B581" s="10" t="s">
        <v>1818</v>
      </c>
      <c r="C581" s="10" t="s">
        <v>1819</v>
      </c>
      <c r="D581" s="11" t="n">
        <v>0.00285127314814815</v>
      </c>
      <c r="E581" s="18" t="n">
        <f aca="false">ROUND((D581-$D$5)*86400,2)</f>
        <v>21.32</v>
      </c>
      <c r="F581" s="12" t="n">
        <v>1253</v>
      </c>
      <c r="G581" s="11" t="str">
        <f aca="false">IF(INDEX(選手一覧!$D$7:$D$2738,$F581)="","",INDEX(選手一覧!$D$7:$D$2738,$F581))</f>
        <v/>
      </c>
      <c r="H581" s="12" t="str">
        <f aca="false">IF(INDEX(選手一覧!$E$7:$E$2738,$F581)="","",INDEX(選手一覧!$E$7:$E$2738,$F581))</f>
        <v/>
      </c>
      <c r="I581" s="11" t="str">
        <f aca="false">IF(INDEX(選手一覧!$F$7:$F$2738,$F581)="","",INDEX(選手一覧!$F$7:$F$2738,$F581))</f>
        <v/>
      </c>
      <c r="J581" s="12" t="str">
        <f aca="false">IF(INDEX(選手一覧!$G$7:$G$2738,$F581)="","",INDEX(選手一覧!$G$7:$G$2738,$F581))</f>
        <v/>
      </c>
    </row>
    <row r="582" customFormat="false" ht="15" hidden="false" customHeight="false" outlineLevel="0" collapsed="false">
      <c r="A582" s="12" t="n">
        <v>578</v>
      </c>
      <c r="B582" s="10" t="s">
        <v>907</v>
      </c>
      <c r="C582" s="10" t="s">
        <v>181</v>
      </c>
      <c r="D582" s="11" t="n">
        <v>0.00285138888888889</v>
      </c>
      <c r="E582" s="18" t="n">
        <f aca="false">ROUND((D582-$D$5)*86400,2)</f>
        <v>21.33</v>
      </c>
      <c r="F582" s="12" t="n">
        <v>598</v>
      </c>
      <c r="G582" s="11" t="n">
        <f aca="false">IF(INDEX(選手一覧!$D$7:$D$2738,$F582)="","",INDEX(選手一覧!$D$7:$D$2738,$F582))</f>
        <v>0.0109541666666667</v>
      </c>
      <c r="H582" s="12" t="n">
        <f aca="false">IF(INDEX(選手一覧!$E$7:$E$2738,$F582)="","",INDEX(選手一覧!$E$7:$E$2738,$F582))</f>
        <v>1012</v>
      </c>
      <c r="I582" s="11" t="n">
        <f aca="false">IF(INDEX(選手一覧!$F$7:$F$2738,$F582)="","",INDEX(選手一覧!$F$7:$F$2738,$F582))</f>
        <v>0.0069162037037037</v>
      </c>
      <c r="J582" s="12" t="n">
        <f aca="false">IF(INDEX(選手一覧!$G$7:$G$2738,$F582)="","",INDEX(選手一覧!$G$7:$G$2738,$F582))</f>
        <v>252</v>
      </c>
    </row>
    <row r="583" customFormat="false" ht="15" hidden="false" customHeight="false" outlineLevel="0" collapsed="false">
      <c r="A583" s="12" t="n">
        <v>579</v>
      </c>
      <c r="B583" s="10" t="s">
        <v>1415</v>
      </c>
      <c r="C583" s="10" t="s">
        <v>210</v>
      </c>
      <c r="D583" s="11" t="n">
        <v>0.00285173611111111</v>
      </c>
      <c r="E583" s="18" t="n">
        <f aca="false">ROUND((D583-$D$5)*86400,2)</f>
        <v>21.36</v>
      </c>
      <c r="F583" s="12" t="n">
        <v>966</v>
      </c>
      <c r="G583" s="11" t="n">
        <f aca="false">IF(INDEX(選手一覧!$D$7:$D$2738,$F583)="","",INDEX(選手一覧!$D$7:$D$2738,$F583))</f>
        <v>0.0105770833333333</v>
      </c>
      <c r="H583" s="12" t="n">
        <f aca="false">IF(INDEX(選手一覧!$E$7:$E$2738,$F583)="","",INDEX(選手一覧!$E$7:$E$2738,$F583))</f>
        <v>432</v>
      </c>
      <c r="I583" s="11" t="str">
        <f aca="false">IF(INDEX(選手一覧!$F$7:$F$2738,$F583)="","",INDEX(選手一覧!$F$7:$F$2738,$F583))</f>
        <v/>
      </c>
      <c r="J583" s="12" t="str">
        <f aca="false">IF(INDEX(選手一覧!$G$7:$G$2738,$F583)="","",INDEX(選手一覧!$G$7:$G$2738,$F583))</f>
        <v/>
      </c>
    </row>
    <row r="584" customFormat="false" ht="15" hidden="false" customHeight="false" outlineLevel="0" collapsed="false">
      <c r="A584" s="12" t="n">
        <v>580</v>
      </c>
      <c r="B584" s="10" t="s">
        <v>1826</v>
      </c>
      <c r="C584" s="10" t="s">
        <v>286</v>
      </c>
      <c r="D584" s="11" t="n">
        <v>0.00285185185185185</v>
      </c>
      <c r="E584" s="18" t="n">
        <f aca="false">ROUND((D584-$D$5)*86400,2)</f>
        <v>21.37</v>
      </c>
      <c r="F584" s="12" t="n">
        <v>1258</v>
      </c>
      <c r="G584" s="11" t="str">
        <f aca="false">IF(INDEX(選手一覧!$D$7:$D$2738,$F584)="","",INDEX(選手一覧!$D$7:$D$2738,$F584))</f>
        <v/>
      </c>
      <c r="H584" s="12" t="str">
        <f aca="false">IF(INDEX(選手一覧!$E$7:$E$2738,$F584)="","",INDEX(選手一覧!$E$7:$E$2738,$F584))</f>
        <v/>
      </c>
      <c r="I584" s="11" t="str">
        <f aca="false">IF(INDEX(選手一覧!$F$7:$F$2738,$F584)="","",INDEX(選手一覧!$F$7:$F$2738,$F584))</f>
        <v/>
      </c>
      <c r="J584" s="12" t="str">
        <f aca="false">IF(INDEX(選手一覧!$G$7:$G$2738,$F584)="","",INDEX(選手一覧!$G$7:$G$2738,$F584))</f>
        <v/>
      </c>
    </row>
    <row r="585" customFormat="false" ht="15" hidden="false" customHeight="false" outlineLevel="0" collapsed="false">
      <c r="A585" s="12" t="n">
        <v>581</v>
      </c>
      <c r="B585" s="10" t="s">
        <v>432</v>
      </c>
      <c r="C585" s="10" t="s">
        <v>134</v>
      </c>
      <c r="D585" s="11" t="n">
        <v>0.00285231481481482</v>
      </c>
      <c r="E585" s="18" t="n">
        <f aca="false">ROUND((D585-$D$5)*86400,2)</f>
        <v>21.41</v>
      </c>
      <c r="F585" s="12" t="n">
        <v>265</v>
      </c>
      <c r="G585" s="11" t="n">
        <f aca="false">IF(INDEX(選手一覧!$D$7:$D$2738,$F585)="","",INDEX(選手一覧!$D$7:$D$2738,$F585))</f>
        <v>0.0102280092592593</v>
      </c>
      <c r="H585" s="12" t="n">
        <f aca="false">IF(INDEX(選手一覧!$E$7:$E$2738,$F585)="","",INDEX(選手一覧!$E$7:$E$2738,$F585))</f>
        <v>110</v>
      </c>
      <c r="I585" s="11" t="str">
        <f aca="false">IF(INDEX(選手一覧!$F$7:$F$2738,$F585)="","",INDEX(選手一覧!$F$7:$F$2738,$F585))</f>
        <v/>
      </c>
      <c r="J585" s="12" t="str">
        <f aca="false">IF(INDEX(選手一覧!$G$7:$G$2738,$F585)="","",INDEX(選手一覧!$G$7:$G$2738,$F585))</f>
        <v/>
      </c>
    </row>
    <row r="586" customFormat="false" ht="15" hidden="false" customHeight="false" outlineLevel="0" collapsed="false">
      <c r="A586" s="12" t="n">
        <v>582</v>
      </c>
      <c r="B586" s="10" t="s">
        <v>1101</v>
      </c>
      <c r="C586" s="10" t="s">
        <v>302</v>
      </c>
      <c r="D586" s="11" t="n">
        <v>0.00285243055555556</v>
      </c>
      <c r="E586" s="18" t="n">
        <f aca="false">ROUND((D586-$D$5)*86400,2)</f>
        <v>21.42</v>
      </c>
      <c r="F586" s="12" t="n">
        <v>741</v>
      </c>
      <c r="G586" s="11" t="n">
        <f aca="false">IF(INDEX(選手一覧!$D$7:$D$2738,$F586)="","",INDEX(選手一覧!$D$7:$D$2738,$F586))</f>
        <v>0.0105821759259259</v>
      </c>
      <c r="H586" s="12" t="n">
        <f aca="false">IF(INDEX(選手一覧!$E$7:$E$2738,$F586)="","",INDEX(選手一覧!$E$7:$E$2738,$F586))</f>
        <v>437</v>
      </c>
      <c r="I586" s="11" t="n">
        <f aca="false">IF(INDEX(選手一覧!$F$7:$F$2738,$F586)="","",INDEX(選手一覧!$F$7:$F$2738,$F586))</f>
        <v>0.00698576388888889</v>
      </c>
      <c r="J586" s="12" t="n">
        <f aca="false">IF(INDEX(選手一覧!$G$7:$G$2738,$F586)="","",INDEX(選手一覧!$G$7:$G$2738,$F586))</f>
        <v>320</v>
      </c>
    </row>
    <row r="587" customFormat="false" ht="15" hidden="false" customHeight="false" outlineLevel="0" collapsed="false">
      <c r="A587" s="12" t="n">
        <v>583</v>
      </c>
      <c r="B587" s="10" t="s">
        <v>784</v>
      </c>
      <c r="C587" s="10" t="s">
        <v>744</v>
      </c>
      <c r="D587" s="11" t="n">
        <v>0.0028525462962963</v>
      </c>
      <c r="E587" s="18" t="n">
        <f aca="false">ROUND((D587-$D$5)*86400,2)</f>
        <v>21.43</v>
      </c>
      <c r="F587" s="12" t="n">
        <v>510</v>
      </c>
      <c r="G587" s="11" t="n">
        <f aca="false">IF(INDEX(選手一覧!$D$7:$D$2738,$F587)="","",INDEX(選手一覧!$D$7:$D$2738,$F587))</f>
        <v>0.0106689814814815</v>
      </c>
      <c r="H587" s="12" t="n">
        <f aca="false">IF(INDEX(選手一覧!$E$7:$E$2738,$F587)="","",INDEX(選手一覧!$E$7:$E$2738,$F587))</f>
        <v>545</v>
      </c>
      <c r="I587" s="11" t="n">
        <f aca="false">IF(INDEX(選手一覧!$F$7:$F$2738,$F587)="","",INDEX(選手一覧!$F$7:$F$2738,$F587))</f>
        <v>0.0068630787037037</v>
      </c>
      <c r="J587" s="12" t="n">
        <f aca="false">IF(INDEX(選手一覧!$G$7:$G$2738,$F587)="","",INDEX(選手一覧!$G$7:$G$2738,$F587))</f>
        <v>214</v>
      </c>
    </row>
    <row r="588" customFormat="false" ht="15" hidden="false" customHeight="false" outlineLevel="0" collapsed="false">
      <c r="A588" s="12" t="n">
        <v>584</v>
      </c>
      <c r="B588" s="10" t="s">
        <v>1332</v>
      </c>
      <c r="C588" s="10" t="s">
        <v>422</v>
      </c>
      <c r="D588" s="11" t="n">
        <v>0.00285266203703704</v>
      </c>
      <c r="E588" s="18" t="n">
        <f aca="false">ROUND((D588-$D$5)*86400,2)</f>
        <v>21.44</v>
      </c>
      <c r="F588" s="12" t="n">
        <v>906</v>
      </c>
      <c r="G588" s="11" t="n">
        <f aca="false">IF(INDEX(選手一覧!$D$7:$D$2738,$F588)="","",INDEX(選手一覧!$D$7:$D$2738,$F588))</f>
        <v>0.0105543981481482</v>
      </c>
      <c r="H588" s="12" t="n">
        <f aca="false">IF(INDEX(選手一覧!$E$7:$E$2738,$F588)="","",INDEX(選手一覧!$E$7:$E$2738,$F588))</f>
        <v>405</v>
      </c>
      <c r="I588" s="11" t="str">
        <f aca="false">IF(INDEX(選手一覧!$F$7:$F$2738,$F588)="","",INDEX(選手一覧!$F$7:$F$2738,$F588))</f>
        <v/>
      </c>
      <c r="J588" s="12" t="str">
        <f aca="false">IF(INDEX(選手一覧!$G$7:$G$2738,$F588)="","",INDEX(選手一覧!$G$7:$G$2738,$F588))</f>
        <v/>
      </c>
    </row>
    <row r="589" customFormat="false" ht="15" hidden="false" customHeight="false" outlineLevel="0" collapsed="false">
      <c r="A589" s="12" t="n">
        <v>585</v>
      </c>
      <c r="B589" s="10" t="s">
        <v>1838</v>
      </c>
      <c r="C589" s="10" t="s">
        <v>1839</v>
      </c>
      <c r="D589" s="11" t="n">
        <v>0.00285289351851852</v>
      </c>
      <c r="E589" s="18" t="n">
        <f aca="false">ROUND((D589-$D$5)*86400,2)</f>
        <v>21.46</v>
      </c>
      <c r="F589" s="12" t="n">
        <v>1266</v>
      </c>
      <c r="G589" s="11" t="n">
        <f aca="false">IF(INDEX(選手一覧!$D$7:$D$2738,$F589)="","",INDEX(選手一覧!$D$7:$D$2738,$F589))</f>
        <v>0.0110403935185185</v>
      </c>
      <c r="H589" s="12" t="n">
        <f aca="false">IF(INDEX(選手一覧!$E$7:$E$2738,$F589)="","",INDEX(選手一覧!$E$7:$E$2738,$F589))</f>
        <v>1178</v>
      </c>
      <c r="I589" s="11" t="str">
        <f aca="false">IF(INDEX(選手一覧!$F$7:$F$2738,$F589)="","",INDEX(選手一覧!$F$7:$F$2738,$F589))</f>
        <v/>
      </c>
      <c r="J589" s="12" t="str">
        <f aca="false">IF(INDEX(選手一覧!$G$7:$G$2738,$F589)="","",INDEX(選手一覧!$G$7:$G$2738,$F589))</f>
        <v/>
      </c>
    </row>
    <row r="590" customFormat="false" ht="15" hidden="false" customHeight="false" outlineLevel="0" collapsed="false">
      <c r="A590" s="12" t="n">
        <v>586</v>
      </c>
      <c r="B590" s="10" t="s">
        <v>1844</v>
      </c>
      <c r="C590" s="10" t="s">
        <v>126</v>
      </c>
      <c r="D590" s="11" t="n">
        <v>0.00285300925925926</v>
      </c>
      <c r="E590" s="18" t="n">
        <f aca="false">ROUND((D590-$D$5)*86400,2)</f>
        <v>21.47</v>
      </c>
      <c r="F590" s="12" t="n">
        <v>1269</v>
      </c>
      <c r="G590" s="11" t="n">
        <f aca="false">IF(INDEX(選手一覧!$D$7:$D$2738,$F590)="","",INDEX(選手一覧!$D$7:$D$2738,$F590))</f>
        <v>0.010772337962963</v>
      </c>
      <c r="H590" s="12" t="n">
        <f aca="false">IF(INDEX(選手一覧!$E$7:$E$2738,$F590)="","",INDEX(選手一覧!$E$7:$E$2738,$F590))</f>
        <v>701</v>
      </c>
      <c r="I590" s="11" t="str">
        <f aca="false">IF(INDEX(選手一覧!$F$7:$F$2738,$F590)="","",INDEX(選手一覧!$F$7:$F$2738,$F590))</f>
        <v/>
      </c>
      <c r="J590" s="12" t="str">
        <f aca="false">IF(INDEX(選手一覧!$G$7:$G$2738,$F590)="","",INDEX(選手一覧!$G$7:$G$2738,$F590))</f>
        <v/>
      </c>
    </row>
    <row r="591" customFormat="false" ht="15" hidden="false" customHeight="false" outlineLevel="0" collapsed="false">
      <c r="A591" s="12" t="n">
        <v>587</v>
      </c>
      <c r="B591" s="10" t="s">
        <v>456</v>
      </c>
      <c r="C591" s="10" t="s">
        <v>457</v>
      </c>
      <c r="D591" s="11" t="n">
        <v>0.00285335648148148</v>
      </c>
      <c r="E591" s="18" t="n">
        <f aca="false">ROUND((D591-$D$5)*86400,2)</f>
        <v>21.5</v>
      </c>
      <c r="F591" s="12" t="n">
        <v>283</v>
      </c>
      <c r="G591" s="11" t="str">
        <f aca="false">IF(INDEX(選手一覧!$D$7:$D$2738,$F591)="","",INDEX(選手一覧!$D$7:$D$2738,$F591))</f>
        <v/>
      </c>
      <c r="H591" s="12" t="str">
        <f aca="false">IF(INDEX(選手一覧!$E$7:$E$2738,$F591)="","",INDEX(選手一覧!$E$7:$E$2738,$F591))</f>
        <v/>
      </c>
      <c r="I591" s="11" t="n">
        <f aca="false">IF(INDEX(選手一覧!$F$7:$F$2738,$F591)="","",INDEX(選手一覧!$F$7:$F$2738,$F591))</f>
        <v>0.00672592592592593</v>
      </c>
      <c r="J591" s="12" t="n">
        <f aca="false">IF(INDEX(選手一覧!$G$7:$G$2738,$F591)="","",INDEX(選手一覧!$G$7:$G$2738,$F591))</f>
        <v>117</v>
      </c>
    </row>
    <row r="592" customFormat="false" ht="15" hidden="false" customHeight="false" outlineLevel="0" collapsed="false">
      <c r="A592" s="12" t="n">
        <v>588</v>
      </c>
      <c r="B592" s="10" t="s">
        <v>721</v>
      </c>
      <c r="C592" s="10" t="s">
        <v>229</v>
      </c>
      <c r="D592" s="11" t="n">
        <v>0.00285347222222222</v>
      </c>
      <c r="E592" s="18" t="n">
        <f aca="false">ROUND((D592-$D$5)*86400,2)</f>
        <v>21.51</v>
      </c>
      <c r="F592" s="12" t="n">
        <v>463</v>
      </c>
      <c r="G592" s="11" t="n">
        <f aca="false">IF(INDEX(選手一覧!$D$7:$D$2738,$F592)="","",INDEX(選手一覧!$D$7:$D$2738,$F592))</f>
        <v>0.0103414351851852</v>
      </c>
      <c r="H592" s="12" t="n">
        <f aca="false">IF(INDEX(選手一覧!$E$7:$E$2738,$F592)="","",INDEX(選手一覧!$E$7:$E$2738,$F592))</f>
        <v>195</v>
      </c>
      <c r="I592" s="11" t="str">
        <f aca="false">IF(INDEX(選手一覧!$F$7:$F$2738,$F592)="","",INDEX(選手一覧!$F$7:$F$2738,$F592))</f>
        <v/>
      </c>
      <c r="J592" s="12" t="str">
        <f aca="false">IF(INDEX(選手一覧!$G$7:$G$2738,$F592)="","",INDEX(選手一覧!$G$7:$G$2738,$F592))</f>
        <v/>
      </c>
    </row>
    <row r="593" customFormat="false" ht="15" hidden="false" customHeight="false" outlineLevel="0" collapsed="false">
      <c r="A593" s="12" t="n">
        <v>589</v>
      </c>
      <c r="B593" s="10" t="s">
        <v>1526</v>
      </c>
      <c r="C593" s="10" t="s">
        <v>183</v>
      </c>
      <c r="D593" s="11" t="n">
        <v>0.00285358796296296</v>
      </c>
      <c r="E593" s="18" t="n">
        <f aca="false">ROUND((D593-$D$5)*86400,2)</f>
        <v>21.52</v>
      </c>
      <c r="F593" s="12" t="n">
        <v>1048</v>
      </c>
      <c r="G593" s="11" t="n">
        <f aca="false">IF(INDEX(選手一覧!$D$7:$D$2738,$F593)="","",INDEX(選手一覧!$D$7:$D$2738,$F593))</f>
        <v>0.0106065972222222</v>
      </c>
      <c r="H593" s="12" t="n">
        <f aca="false">IF(INDEX(選手一覧!$E$7:$E$2738,$F593)="","",INDEX(選手一覧!$E$7:$E$2738,$F593))</f>
        <v>471</v>
      </c>
      <c r="I593" s="11" t="str">
        <f aca="false">IF(INDEX(選手一覧!$F$7:$F$2738,$F593)="","",INDEX(選手一覧!$F$7:$F$2738,$F593))</f>
        <v/>
      </c>
      <c r="J593" s="12" t="str">
        <f aca="false">IF(INDEX(選手一覧!$G$7:$G$2738,$F593)="","",INDEX(選手一覧!$G$7:$G$2738,$F593))</f>
        <v/>
      </c>
    </row>
    <row r="594" customFormat="false" ht="15" hidden="false" customHeight="false" outlineLevel="0" collapsed="false">
      <c r="A594" s="12" t="n">
        <v>590</v>
      </c>
      <c r="B594" s="10" t="s">
        <v>417</v>
      </c>
      <c r="C594" s="10" t="s">
        <v>25</v>
      </c>
      <c r="D594" s="11" t="n">
        <v>0.00285358796296296</v>
      </c>
      <c r="E594" s="18" t="n">
        <f aca="false">ROUND((D594-$D$5)*86400,2)</f>
        <v>21.52</v>
      </c>
      <c r="F594" s="12" t="n">
        <v>253</v>
      </c>
      <c r="G594" s="11" t="n">
        <f aca="false">IF(INDEX(選手一覧!$D$7:$D$2738,$F594)="","",INDEX(選手一覧!$D$7:$D$2738,$F594))</f>
        <v>0.010215625</v>
      </c>
      <c r="H594" s="12" t="n">
        <f aca="false">IF(INDEX(選手一覧!$E$7:$E$2738,$F594)="","",INDEX(選手一覧!$E$7:$E$2738,$F594))</f>
        <v>105</v>
      </c>
      <c r="I594" s="11" t="str">
        <f aca="false">IF(INDEX(選手一覧!$F$7:$F$2738,$F594)="","",INDEX(選手一覧!$F$7:$F$2738,$F594))</f>
        <v/>
      </c>
      <c r="J594" s="12" t="str">
        <f aca="false">IF(INDEX(選手一覧!$G$7:$G$2738,$F594)="","",INDEX(選手一覧!$G$7:$G$2738,$F594))</f>
        <v/>
      </c>
    </row>
    <row r="595" customFormat="false" ht="15" hidden="false" customHeight="false" outlineLevel="0" collapsed="false">
      <c r="A595" s="12" t="n">
        <v>591</v>
      </c>
      <c r="B595" s="10" t="s">
        <v>1851</v>
      </c>
      <c r="C595" s="10" t="s">
        <v>1852</v>
      </c>
      <c r="D595" s="11" t="n">
        <v>0.00285358796296296</v>
      </c>
      <c r="E595" s="18" t="n">
        <f aca="false">ROUND((D595-$D$5)*86400,2)</f>
        <v>21.52</v>
      </c>
      <c r="F595" s="12" t="n">
        <v>1275</v>
      </c>
      <c r="G595" s="11" t="n">
        <f aca="false">IF(INDEX(選手一覧!$D$7:$D$2738,$F595)="","",INDEX(選手一覧!$D$7:$D$2738,$F595))</f>
        <v>0.0110280092592593</v>
      </c>
      <c r="H595" s="12" t="n">
        <f aca="false">IF(INDEX(選手一覧!$E$7:$E$2738,$F595)="","",INDEX(選手一覧!$E$7:$E$2738,$F595))</f>
        <v>1146</v>
      </c>
      <c r="I595" s="11" t="str">
        <f aca="false">IF(INDEX(選手一覧!$F$7:$F$2738,$F595)="","",INDEX(選手一覧!$F$7:$F$2738,$F595))</f>
        <v/>
      </c>
      <c r="J595" s="12" t="str">
        <f aca="false">IF(INDEX(選手一覧!$G$7:$G$2738,$F595)="","",INDEX(選手一覧!$G$7:$G$2738,$F595))</f>
        <v/>
      </c>
    </row>
    <row r="596" customFormat="false" ht="15" hidden="false" customHeight="false" outlineLevel="0" collapsed="false">
      <c r="A596" s="12" t="n">
        <v>592</v>
      </c>
      <c r="B596" s="10" t="s">
        <v>1339</v>
      </c>
      <c r="C596" s="10" t="s">
        <v>1283</v>
      </c>
      <c r="D596" s="11" t="n">
        <v>0.00285393518518519</v>
      </c>
      <c r="E596" s="18" t="n">
        <f aca="false">ROUND((D596-$D$5)*86400,2)</f>
        <v>21.55</v>
      </c>
      <c r="F596" s="12" t="n">
        <v>911</v>
      </c>
      <c r="G596" s="11" t="n">
        <f aca="false">IF(INDEX(選手一覧!$D$7:$D$2738,$F596)="","",INDEX(選手一覧!$D$7:$D$2738,$F596))</f>
        <v>0.0108384259259259</v>
      </c>
      <c r="H596" s="12" t="n">
        <f aca="false">IF(INDEX(選手一覧!$E$7:$E$2738,$F596)="","",INDEX(選手一覧!$E$7:$E$2738,$F596))</f>
        <v>808</v>
      </c>
      <c r="I596" s="11" t="n">
        <f aca="false">IF(INDEX(選手一覧!$F$7:$F$2738,$F596)="","",INDEX(選手一覧!$F$7:$F$2738,$F596))</f>
        <v>0.00706446759259259</v>
      </c>
      <c r="J596" s="12" t="n">
        <f aca="false">IF(INDEX(選手一覧!$G$7:$G$2738,$F596)="","",INDEX(選手一覧!$G$7:$G$2738,$F596))</f>
        <v>407</v>
      </c>
    </row>
    <row r="597" customFormat="false" ht="15" hidden="false" customHeight="false" outlineLevel="0" collapsed="false">
      <c r="A597" s="12" t="n">
        <v>593</v>
      </c>
      <c r="B597" s="10" t="s">
        <v>487</v>
      </c>
      <c r="C597" s="10" t="s">
        <v>55</v>
      </c>
      <c r="D597" s="11" t="n">
        <v>0.00285393518518519</v>
      </c>
      <c r="E597" s="18" t="n">
        <f aca="false">ROUND((D597-$D$5)*86400,2)</f>
        <v>21.55</v>
      </c>
      <c r="F597" s="12" t="n">
        <v>302</v>
      </c>
      <c r="G597" s="11" t="n">
        <f aca="false">IF(INDEX(選手一覧!$D$7:$D$2738,$F597)="","",INDEX(選手一覧!$D$7:$D$2738,$F597))</f>
        <v>0.0102445601851852</v>
      </c>
      <c r="H597" s="12" t="n">
        <f aca="false">IF(INDEX(選手一覧!$E$7:$E$2738,$F597)="","",INDEX(選手一覧!$E$7:$E$2738,$F597))</f>
        <v>125</v>
      </c>
      <c r="I597" s="11" t="str">
        <f aca="false">IF(INDEX(選手一覧!$F$7:$F$2738,$F597)="","",INDEX(選手一覧!$F$7:$F$2738,$F597))</f>
        <v/>
      </c>
      <c r="J597" s="12" t="str">
        <f aca="false">IF(INDEX(選手一覧!$G$7:$G$2738,$F597)="","",INDEX(選手一覧!$G$7:$G$2738,$F597))</f>
        <v/>
      </c>
    </row>
    <row r="598" customFormat="false" ht="15" hidden="false" customHeight="false" outlineLevel="0" collapsed="false">
      <c r="A598" s="12" t="n">
        <v>594</v>
      </c>
      <c r="B598" s="10" t="s">
        <v>1860</v>
      </c>
      <c r="C598" s="10" t="s">
        <v>1861</v>
      </c>
      <c r="D598" s="11" t="n">
        <v>0.00285405092592593</v>
      </c>
      <c r="E598" s="18" t="n">
        <f aca="false">ROUND((D598-$D$5)*86400,2)</f>
        <v>21.56</v>
      </c>
      <c r="F598" s="12" t="n">
        <v>1281</v>
      </c>
      <c r="G598" s="11" t="str">
        <f aca="false">IF(INDEX(選手一覧!$D$7:$D$2738,$F598)="","",INDEX(選手一覧!$D$7:$D$2738,$F598))</f>
        <v/>
      </c>
      <c r="H598" s="12" t="str">
        <f aca="false">IF(INDEX(選手一覧!$E$7:$E$2738,$F598)="","",INDEX(選手一覧!$E$7:$E$2738,$F598))</f>
        <v/>
      </c>
      <c r="I598" s="11" t="str">
        <f aca="false">IF(INDEX(選手一覧!$F$7:$F$2738,$F598)="","",INDEX(選手一覧!$F$7:$F$2738,$F598))</f>
        <v/>
      </c>
      <c r="J598" s="12" t="str">
        <f aca="false">IF(INDEX(選手一覧!$G$7:$G$2738,$F598)="","",INDEX(選手一覧!$G$7:$G$2738,$F598))</f>
        <v/>
      </c>
    </row>
    <row r="599" customFormat="false" ht="15" hidden="false" customHeight="false" outlineLevel="0" collapsed="false">
      <c r="A599" s="12" t="n">
        <v>595</v>
      </c>
      <c r="B599" s="10" t="s">
        <v>1864</v>
      </c>
      <c r="C599" s="10" t="s">
        <v>1865</v>
      </c>
      <c r="D599" s="11" t="n">
        <v>0.00285405092592593</v>
      </c>
      <c r="E599" s="18" t="n">
        <f aca="false">ROUND((D599-$D$5)*86400,2)</f>
        <v>21.56</v>
      </c>
      <c r="F599" s="12" t="n">
        <v>1283</v>
      </c>
      <c r="G599" s="11" t="str">
        <f aca="false">IF(INDEX(選手一覧!$D$7:$D$2738,$F599)="","",INDEX(選手一覧!$D$7:$D$2738,$F599))</f>
        <v/>
      </c>
      <c r="H599" s="12" t="str">
        <f aca="false">IF(INDEX(選手一覧!$E$7:$E$2738,$F599)="","",INDEX(選手一覧!$E$7:$E$2738,$F599))</f>
        <v/>
      </c>
      <c r="I599" s="11" t="str">
        <f aca="false">IF(INDEX(選手一覧!$F$7:$F$2738,$F599)="","",INDEX(選手一覧!$F$7:$F$2738,$F599))</f>
        <v/>
      </c>
      <c r="J599" s="12" t="str">
        <f aca="false">IF(INDEX(選手一覧!$G$7:$G$2738,$F599)="","",INDEX(選手一覧!$G$7:$G$2738,$F599))</f>
        <v/>
      </c>
    </row>
    <row r="600" customFormat="false" ht="15" hidden="false" customHeight="false" outlineLevel="0" collapsed="false">
      <c r="A600" s="12" t="n">
        <v>596</v>
      </c>
      <c r="B600" s="10" t="s">
        <v>776</v>
      </c>
      <c r="C600" s="10" t="s">
        <v>29</v>
      </c>
      <c r="D600" s="11" t="n">
        <v>0.00285416666666667</v>
      </c>
      <c r="E600" s="18" t="n">
        <f aca="false">ROUND((D600-$D$5)*86400,2)</f>
        <v>21.57</v>
      </c>
      <c r="F600" s="12" t="n">
        <v>503</v>
      </c>
      <c r="G600" s="11" t="n">
        <f aca="false">IF(INDEX(選手一覧!$D$7:$D$2738,$F600)="","",INDEX(選手一覧!$D$7:$D$2738,$F600))</f>
        <v>0.0103571759259259</v>
      </c>
      <c r="H600" s="12" t="n">
        <f aca="false">IF(INDEX(選手一覧!$E$7:$E$2738,$F600)="","",INDEX(選手一覧!$E$7:$E$2738,$F600))</f>
        <v>211</v>
      </c>
      <c r="I600" s="11" t="str">
        <f aca="false">IF(INDEX(選手一覧!$F$7:$F$2738,$F600)="","",INDEX(選手一覧!$F$7:$F$2738,$F600))</f>
        <v/>
      </c>
      <c r="J600" s="12" t="str">
        <f aca="false">IF(INDEX(選手一覧!$G$7:$G$2738,$F600)="","",INDEX(選手一覧!$G$7:$G$2738,$F600))</f>
        <v/>
      </c>
    </row>
    <row r="601" customFormat="false" ht="15" hidden="false" customHeight="false" outlineLevel="0" collapsed="false">
      <c r="A601" s="12" t="n">
        <v>597</v>
      </c>
      <c r="B601" s="10" t="s">
        <v>1688</v>
      </c>
      <c r="C601" s="10" t="s">
        <v>399</v>
      </c>
      <c r="D601" s="11" t="n">
        <v>0.00285520833333333</v>
      </c>
      <c r="E601" s="18" t="n">
        <f aca="false">ROUND((D601-$D$5)*86400,2)</f>
        <v>21.66</v>
      </c>
      <c r="F601" s="12" t="n">
        <v>1163</v>
      </c>
      <c r="G601" s="11" t="n">
        <f aca="false">IF(INDEX(選手一覧!$D$7:$D$2738,$F601)="","",INDEX(選手一覧!$D$7:$D$2738,$F601))</f>
        <v>0.0106579861111111</v>
      </c>
      <c r="H601" s="12" t="n">
        <f aca="false">IF(INDEX(選手一覧!$E$7:$E$2738,$F601)="","",INDEX(選手一覧!$E$7:$E$2738,$F601))</f>
        <v>532</v>
      </c>
      <c r="I601" s="11" t="str">
        <f aca="false">IF(INDEX(選手一覧!$F$7:$F$2738,$F601)="","",INDEX(選手一覧!$F$7:$F$2738,$F601))</f>
        <v/>
      </c>
      <c r="J601" s="12" t="str">
        <f aca="false">IF(INDEX(選手一覧!$G$7:$G$2738,$F601)="","",INDEX(選手一覧!$G$7:$G$2738,$F601))</f>
        <v/>
      </c>
    </row>
    <row r="602" customFormat="false" ht="15" hidden="false" customHeight="false" outlineLevel="0" collapsed="false">
      <c r="A602" s="12" t="n">
        <v>598</v>
      </c>
      <c r="B602" s="10" t="s">
        <v>640</v>
      </c>
      <c r="C602" s="10" t="s">
        <v>87</v>
      </c>
      <c r="D602" s="11" t="n">
        <v>0.00285532407407407</v>
      </c>
      <c r="E602" s="18" t="n">
        <f aca="false">ROUND((D602-$D$5)*86400,2)</f>
        <v>21.67</v>
      </c>
      <c r="F602" s="12" t="n">
        <v>407</v>
      </c>
      <c r="G602" s="11" t="n">
        <f aca="false">IF(INDEX(選手一覧!$D$7:$D$2738,$F602)="","",INDEX(選手一覧!$D$7:$D$2738,$F602))</f>
        <v>0.01031875</v>
      </c>
      <c r="H602" s="12" t="n">
        <f aca="false">IF(INDEX(選手一覧!$E$7:$E$2738,$F602)="","",INDEX(選手一覧!$E$7:$E$2738,$F602))</f>
        <v>173</v>
      </c>
      <c r="I602" s="11" t="str">
        <f aca="false">IF(INDEX(選手一覧!$F$7:$F$2738,$F602)="","",INDEX(選手一覧!$F$7:$F$2738,$F602))</f>
        <v/>
      </c>
      <c r="J602" s="12" t="str">
        <f aca="false">IF(INDEX(選手一覧!$G$7:$G$2738,$F602)="","",INDEX(選手一覧!$G$7:$G$2738,$F602))</f>
        <v/>
      </c>
    </row>
    <row r="603" customFormat="false" ht="15" hidden="false" customHeight="false" outlineLevel="0" collapsed="false">
      <c r="A603" s="12" t="n">
        <v>599</v>
      </c>
      <c r="B603" s="10" t="s">
        <v>1542</v>
      </c>
      <c r="C603" s="10" t="s">
        <v>422</v>
      </c>
      <c r="D603" s="11" t="n">
        <v>0.00285543981481482</v>
      </c>
      <c r="E603" s="18" t="n">
        <f aca="false">ROUND((D603-$D$5)*86400,2)</f>
        <v>21.68</v>
      </c>
      <c r="F603" s="12" t="n">
        <v>1062</v>
      </c>
      <c r="G603" s="11" t="n">
        <f aca="false">IF(INDEX(選手一覧!$D$7:$D$2738,$F603)="","",INDEX(選手一覧!$D$7:$D$2738,$F603))</f>
        <v>0.0106114583333333</v>
      </c>
      <c r="H603" s="12" t="n">
        <f aca="false">IF(INDEX(選手一覧!$E$7:$E$2738,$F603)="","",INDEX(選手一覧!$E$7:$E$2738,$F603))</f>
        <v>478</v>
      </c>
      <c r="I603" s="11" t="str">
        <f aca="false">IF(INDEX(選手一覧!$F$7:$F$2738,$F603)="","",INDEX(選手一覧!$F$7:$F$2738,$F603))</f>
        <v/>
      </c>
      <c r="J603" s="12" t="str">
        <f aca="false">IF(INDEX(選手一覧!$G$7:$G$2738,$F603)="","",INDEX(選手一覧!$G$7:$G$2738,$F603))</f>
        <v/>
      </c>
    </row>
    <row r="604" customFormat="false" ht="15" hidden="false" customHeight="false" outlineLevel="0" collapsed="false">
      <c r="A604" s="12" t="n">
        <v>600</v>
      </c>
      <c r="B604" s="10" t="s">
        <v>1503</v>
      </c>
      <c r="C604" s="10" t="s">
        <v>1504</v>
      </c>
      <c r="D604" s="11" t="n">
        <v>0.00285555555555556</v>
      </c>
      <c r="E604" s="18" t="n">
        <f aca="false">ROUND((D604-$D$5)*86400,2)</f>
        <v>21.69</v>
      </c>
      <c r="F604" s="12" t="n">
        <v>1033</v>
      </c>
      <c r="G604" s="11" t="n">
        <f aca="false">IF(INDEX(選手一覧!$D$7:$D$2738,$F604)="","",INDEX(選手一覧!$D$7:$D$2738,$F604))</f>
        <v>0.0107510416666667</v>
      </c>
      <c r="H604" s="12" t="n">
        <f aca="false">IF(INDEX(選手一覧!$E$7:$E$2738,$F604)="","",INDEX(選手一覧!$E$7:$E$2738,$F604))</f>
        <v>668</v>
      </c>
      <c r="I604" s="11" t="n">
        <f aca="false">IF(INDEX(選手一覧!$F$7:$F$2738,$F604)="","",INDEX(選手一覧!$F$7:$F$2738,$F604))</f>
        <v>0.00711990740740741</v>
      </c>
      <c r="J604" s="12" t="n">
        <f aca="false">IF(INDEX(選手一覧!$G$7:$G$2738,$F604)="","",INDEX(選手一覧!$G$7:$G$2738,$F604))</f>
        <v>465</v>
      </c>
    </row>
    <row r="605" customFormat="false" ht="15" hidden="false" customHeight="false" outlineLevel="0" collapsed="false">
      <c r="A605" s="12" t="n">
        <v>601</v>
      </c>
      <c r="B605" s="10" t="s">
        <v>1875</v>
      </c>
      <c r="C605" s="10" t="s">
        <v>1876</v>
      </c>
      <c r="D605" s="11" t="n">
        <v>0.0028556712962963</v>
      </c>
      <c r="E605" s="18" t="n">
        <f aca="false">ROUND((D605-$D$5)*86400,2)</f>
        <v>21.7</v>
      </c>
      <c r="F605" s="12" t="n">
        <v>1290</v>
      </c>
      <c r="G605" s="11" t="n">
        <f aca="false">IF(INDEX(選手一覧!$D$7:$D$2738,$F605)="","",INDEX(選手一覧!$D$7:$D$2738,$F605))</f>
        <v>0.0109855324074074</v>
      </c>
      <c r="H605" s="12" t="n">
        <f aca="false">IF(INDEX(選手一覧!$E$7:$E$2738,$F605)="","",INDEX(選手一覧!$E$7:$E$2738,$F605))</f>
        <v>1069</v>
      </c>
      <c r="I605" s="11" t="n">
        <f aca="false">IF(INDEX(選手一覧!$F$7:$F$2738,$F605)="","",INDEX(選手一覧!$F$7:$F$2738,$F605))</f>
        <v>0.00734363425925926</v>
      </c>
      <c r="J605" s="12" t="n">
        <f aca="false">IF(INDEX(選手一覧!$G$7:$G$2738,$F605)="","",INDEX(選手一覧!$G$7:$G$2738,$F605))</f>
        <v>700</v>
      </c>
    </row>
    <row r="606" customFormat="false" ht="15" hidden="false" customHeight="false" outlineLevel="0" collapsed="false">
      <c r="A606" s="12" t="n">
        <v>602</v>
      </c>
      <c r="B606" s="10" t="s">
        <v>1880</v>
      </c>
      <c r="C606" s="10" t="s">
        <v>64</v>
      </c>
      <c r="D606" s="11" t="n">
        <v>0.0028556712962963</v>
      </c>
      <c r="E606" s="18" t="n">
        <f aca="false">ROUND((D606-$D$5)*86400,2)</f>
        <v>21.7</v>
      </c>
      <c r="F606" s="12" t="n">
        <v>1293</v>
      </c>
      <c r="G606" s="11" t="n">
        <f aca="false">IF(INDEX(選手一覧!$D$7:$D$2738,$F606)="","",INDEX(選手一覧!$D$7:$D$2738,$F606))</f>
        <v>0.0108045138888889</v>
      </c>
      <c r="H606" s="12" t="n">
        <f aca="false">IF(INDEX(選手一覧!$E$7:$E$2738,$F606)="","",INDEX(選手一覧!$E$7:$E$2738,$F606))</f>
        <v>750</v>
      </c>
      <c r="I606" s="11" t="str">
        <f aca="false">IF(INDEX(選手一覧!$F$7:$F$2738,$F606)="","",INDEX(選手一覧!$F$7:$F$2738,$F606))</f>
        <v/>
      </c>
      <c r="J606" s="12" t="str">
        <f aca="false">IF(INDEX(選手一覧!$G$7:$G$2738,$F606)="","",INDEX(選手一覧!$G$7:$G$2738,$F606))</f>
        <v/>
      </c>
    </row>
    <row r="607" customFormat="false" ht="15" hidden="false" customHeight="false" outlineLevel="0" collapsed="false">
      <c r="A607" s="12" t="n">
        <v>603</v>
      </c>
      <c r="B607" s="10" t="s">
        <v>1884</v>
      </c>
      <c r="C607" s="10" t="s">
        <v>1885</v>
      </c>
      <c r="D607" s="11" t="n">
        <v>0.0028556712962963</v>
      </c>
      <c r="E607" s="18" t="n">
        <f aca="false">ROUND((D607-$D$5)*86400,2)</f>
        <v>21.7</v>
      </c>
      <c r="F607" s="12" t="n">
        <v>1296</v>
      </c>
      <c r="G607" s="11" t="n">
        <f aca="false">IF(INDEX(選手一覧!$D$7:$D$2738,$F607)="","",INDEX(選手一覧!$D$7:$D$2738,$F607))</f>
        <v>0.0108643518518519</v>
      </c>
      <c r="H607" s="12" t="n">
        <f aca="false">IF(INDEX(選手一覧!$E$7:$E$2738,$F607)="","",INDEX(選手一覧!$E$7:$E$2738,$F607))</f>
        <v>859</v>
      </c>
      <c r="I607" s="11" t="n">
        <f aca="false">IF(INDEX(選手一覧!$F$7:$F$2738,$F607)="","",INDEX(選手一覧!$F$7:$F$2738,$F607))</f>
        <v>0.00756539351851852</v>
      </c>
      <c r="J607" s="12" t="n">
        <f aca="false">IF(INDEX(選手一覧!$G$7:$G$2738,$F607)="","",INDEX(選手一覧!$G$7:$G$2738,$F607))</f>
        <v>971</v>
      </c>
    </row>
    <row r="608" customFormat="false" ht="15" hidden="false" customHeight="false" outlineLevel="0" collapsed="false">
      <c r="A608" s="12" t="n">
        <v>604</v>
      </c>
      <c r="B608" s="10" t="s">
        <v>1887</v>
      </c>
      <c r="C608" s="10" t="s">
        <v>1888</v>
      </c>
      <c r="D608" s="11" t="n">
        <v>0.00285578703703704</v>
      </c>
      <c r="E608" s="18" t="n">
        <f aca="false">ROUND((D608-$D$5)*86400,2)</f>
        <v>21.71</v>
      </c>
      <c r="F608" s="12" t="n">
        <v>1298</v>
      </c>
      <c r="G608" s="11" t="n">
        <f aca="false">IF(INDEX(選手一覧!$D$7:$D$2738,$F608)="","",INDEX(選手一覧!$D$7:$D$2738,$F608))</f>
        <v>0.0109225694444444</v>
      </c>
      <c r="H608" s="12" t="n">
        <f aca="false">IF(INDEX(選手一覧!$E$7:$E$2738,$F608)="","",INDEX(選手一覧!$E$7:$E$2738,$F608))</f>
        <v>953</v>
      </c>
      <c r="I608" s="11" t="str">
        <f aca="false">IF(INDEX(選手一覧!$F$7:$F$2738,$F608)="","",INDEX(選手一覧!$F$7:$F$2738,$F608))</f>
        <v/>
      </c>
      <c r="J608" s="12" t="str">
        <f aca="false">IF(INDEX(選手一覧!$G$7:$G$2738,$F608)="","",INDEX(選手一覧!$G$7:$G$2738,$F608))</f>
        <v/>
      </c>
    </row>
    <row r="609" customFormat="false" ht="15" hidden="false" customHeight="false" outlineLevel="0" collapsed="false">
      <c r="A609" s="12" t="n">
        <v>605</v>
      </c>
      <c r="B609" s="10" t="s">
        <v>458</v>
      </c>
      <c r="C609" s="10" t="s">
        <v>229</v>
      </c>
      <c r="D609" s="11" t="n">
        <v>0.00285590277777778</v>
      </c>
      <c r="E609" s="18" t="n">
        <f aca="false">ROUND((D609-$D$5)*86400,2)</f>
        <v>21.72</v>
      </c>
      <c r="F609" s="12" t="n">
        <v>284</v>
      </c>
      <c r="G609" s="11" t="n">
        <f aca="false">IF(INDEX(選手一覧!$D$7:$D$2738,$F609)="","",INDEX(選手一覧!$D$7:$D$2738,$F609))</f>
        <v>0.0102376157407407</v>
      </c>
      <c r="H609" s="12" t="n">
        <f aca="false">IF(INDEX(選手一覧!$E$7:$E$2738,$F609)="","",INDEX(選手一覧!$E$7:$E$2738,$F609))</f>
        <v>117</v>
      </c>
      <c r="I609" s="11" t="str">
        <f aca="false">IF(INDEX(選手一覧!$F$7:$F$2738,$F609)="","",INDEX(選手一覧!$F$7:$F$2738,$F609))</f>
        <v/>
      </c>
      <c r="J609" s="12" t="str">
        <f aca="false">IF(INDEX(選手一覧!$G$7:$G$2738,$F609)="","",INDEX(選手一覧!$G$7:$G$2738,$F609))</f>
        <v/>
      </c>
    </row>
    <row r="610" customFormat="false" ht="15" hidden="false" customHeight="false" outlineLevel="0" collapsed="false">
      <c r="A610" s="12" t="n">
        <v>606</v>
      </c>
      <c r="B610" s="10" t="s">
        <v>1895</v>
      </c>
      <c r="C610" s="10" t="s">
        <v>1821</v>
      </c>
      <c r="D610" s="11" t="n">
        <v>0.00285590277777778</v>
      </c>
      <c r="E610" s="18" t="n">
        <f aca="false">ROUND((D610-$D$5)*86400,2)</f>
        <v>21.72</v>
      </c>
      <c r="F610" s="12" t="n">
        <v>1304</v>
      </c>
      <c r="G610" s="11" t="str">
        <f aca="false">IF(INDEX(選手一覧!$D$7:$D$2738,$F610)="","",INDEX(選手一覧!$D$7:$D$2738,$F610))</f>
        <v/>
      </c>
      <c r="H610" s="12" t="str">
        <f aca="false">IF(INDEX(選手一覧!$E$7:$E$2738,$F610)="","",INDEX(選手一覧!$E$7:$E$2738,$F610))</f>
        <v/>
      </c>
      <c r="I610" s="11" t="str">
        <f aca="false">IF(INDEX(選手一覧!$F$7:$F$2738,$F610)="","",INDEX(選手一覧!$F$7:$F$2738,$F610))</f>
        <v/>
      </c>
      <c r="J610" s="12" t="str">
        <f aca="false">IF(INDEX(選手一覧!$G$7:$G$2738,$F610)="","",INDEX(選手一覧!$G$7:$G$2738,$F610))</f>
        <v/>
      </c>
    </row>
    <row r="611" customFormat="false" ht="15" hidden="false" customHeight="false" outlineLevel="0" collapsed="false">
      <c r="A611" s="12" t="n">
        <v>607</v>
      </c>
      <c r="B611" s="10" t="s">
        <v>303</v>
      </c>
      <c r="C611" s="10" t="s">
        <v>45</v>
      </c>
      <c r="D611" s="11" t="n">
        <v>0.00285590277777778</v>
      </c>
      <c r="E611" s="18" t="n">
        <f aca="false">ROUND((D611-$D$5)*86400,2)</f>
        <v>21.72</v>
      </c>
      <c r="F611" s="12" t="n">
        <v>171</v>
      </c>
      <c r="G611" s="11" t="n">
        <f aca="false">IF(INDEX(選手一覧!$D$7:$D$2738,$F611)="","",INDEX(選手一覧!$D$7:$D$2738,$F611))</f>
        <v>0.0101414351851852</v>
      </c>
      <c r="H611" s="12" t="n">
        <f aca="false">IF(INDEX(選手一覧!$E$7:$E$2738,$F611)="","",INDEX(選手一覧!$E$7:$E$2738,$F611))</f>
        <v>69</v>
      </c>
      <c r="I611" s="11" t="str">
        <f aca="false">IF(INDEX(選手一覧!$F$7:$F$2738,$F611)="","",INDEX(選手一覧!$F$7:$F$2738,$F611))</f>
        <v/>
      </c>
      <c r="J611" s="12" t="str">
        <f aca="false">IF(INDEX(選手一覧!$G$7:$G$2738,$F611)="","",INDEX(選手一覧!$G$7:$G$2738,$F611))</f>
        <v/>
      </c>
    </row>
    <row r="612" customFormat="false" ht="15" hidden="false" customHeight="false" outlineLevel="0" collapsed="false">
      <c r="A612" s="12" t="n">
        <v>608</v>
      </c>
      <c r="B612" s="10" t="s">
        <v>221</v>
      </c>
      <c r="C612" s="10" t="s">
        <v>179</v>
      </c>
      <c r="D612" s="11" t="n">
        <v>0.00285601851851852</v>
      </c>
      <c r="E612" s="18" t="n">
        <f aca="false">ROUND((D612-$D$5)*86400,2)</f>
        <v>21.73</v>
      </c>
      <c r="F612" s="12" t="n">
        <v>116</v>
      </c>
      <c r="G612" s="11" t="n">
        <f aca="false">IF(INDEX(選手一覧!$D$7:$D$2738,$F612)="","",INDEX(選手一覧!$D$7:$D$2738,$F612))</f>
        <v>0.010080787037037</v>
      </c>
      <c r="H612" s="12" t="n">
        <f aca="false">IF(INDEX(選手一覧!$E$7:$E$2738,$F612)="","",INDEX(選手一覧!$E$7:$E$2738,$F612))</f>
        <v>44</v>
      </c>
      <c r="I612" s="11" t="str">
        <f aca="false">IF(INDEX(選手一覧!$F$7:$F$2738,$F612)="","",INDEX(選手一覧!$F$7:$F$2738,$F612))</f>
        <v/>
      </c>
      <c r="J612" s="12" t="str">
        <f aca="false">IF(INDEX(選手一覧!$G$7:$G$2738,$F612)="","",INDEX(選手一覧!$G$7:$G$2738,$F612))</f>
        <v/>
      </c>
    </row>
    <row r="613" customFormat="false" ht="15" hidden="false" customHeight="false" outlineLevel="0" collapsed="false">
      <c r="A613" s="12" t="n">
        <v>609</v>
      </c>
      <c r="B613" s="10" t="s">
        <v>1899</v>
      </c>
      <c r="C613" s="10" t="s">
        <v>1900</v>
      </c>
      <c r="D613" s="11" t="n">
        <v>0.00285625</v>
      </c>
      <c r="E613" s="18" t="n">
        <f aca="false">ROUND((D613-$D$5)*86400,2)</f>
        <v>21.75</v>
      </c>
      <c r="F613" s="12" t="n">
        <v>1307</v>
      </c>
      <c r="G613" s="11" t="n">
        <f aca="false">IF(INDEX(選手一覧!$D$7:$D$2738,$F613)="","",INDEX(選手一覧!$D$7:$D$2738,$F613))</f>
        <v>0.0109695601851852</v>
      </c>
      <c r="H613" s="12" t="n">
        <f aca="false">IF(INDEX(選手一覧!$E$7:$E$2738,$F613)="","",INDEX(選手一覧!$E$7:$E$2738,$F613))</f>
        <v>1038</v>
      </c>
      <c r="I613" s="11" t="str">
        <f aca="false">IF(INDEX(選手一覧!$F$7:$F$2738,$F613)="","",INDEX(選手一覧!$F$7:$F$2738,$F613))</f>
        <v/>
      </c>
      <c r="J613" s="12" t="str">
        <f aca="false">IF(INDEX(選手一覧!$G$7:$G$2738,$F613)="","",INDEX(選手一覧!$G$7:$G$2738,$F613))</f>
        <v/>
      </c>
    </row>
    <row r="614" customFormat="false" ht="15" hidden="false" customHeight="false" outlineLevel="0" collapsed="false">
      <c r="A614" s="12" t="n">
        <v>610</v>
      </c>
      <c r="B614" s="10" t="s">
        <v>431</v>
      </c>
      <c r="C614" s="10" t="s">
        <v>36</v>
      </c>
      <c r="D614" s="11" t="n">
        <v>0.00285625</v>
      </c>
      <c r="E614" s="18" t="n">
        <f aca="false">ROUND((D614-$D$5)*86400,2)</f>
        <v>21.75</v>
      </c>
      <c r="F614" s="12" t="n">
        <v>264</v>
      </c>
      <c r="G614" s="11" t="n">
        <f aca="false">IF(INDEX(選手一覧!$D$7:$D$2738,$F614)="","",INDEX(選手一覧!$D$7:$D$2738,$F614))</f>
        <v>0.0102216435185185</v>
      </c>
      <c r="H614" s="12" t="n">
        <f aca="false">IF(INDEX(選手一覧!$E$7:$E$2738,$F614)="","",INDEX(選手一覧!$E$7:$E$2738,$F614))</f>
        <v>109</v>
      </c>
      <c r="I614" s="11" t="str">
        <f aca="false">IF(INDEX(選手一覧!$F$7:$F$2738,$F614)="","",INDEX(選手一覧!$F$7:$F$2738,$F614))</f>
        <v/>
      </c>
      <c r="J614" s="12" t="str">
        <f aca="false">IF(INDEX(選手一覧!$G$7:$G$2738,$F614)="","",INDEX(選手一覧!$G$7:$G$2738,$F614))</f>
        <v/>
      </c>
    </row>
    <row r="615" customFormat="false" ht="15" hidden="false" customHeight="false" outlineLevel="0" collapsed="false">
      <c r="A615" s="12" t="n">
        <v>611</v>
      </c>
      <c r="B615" s="10" t="s">
        <v>1906</v>
      </c>
      <c r="C615" s="10" t="s">
        <v>1907</v>
      </c>
      <c r="D615" s="11" t="n">
        <v>0.00285625</v>
      </c>
      <c r="E615" s="18" t="n">
        <f aca="false">ROUND((D615-$D$5)*86400,2)</f>
        <v>21.75</v>
      </c>
      <c r="F615" s="12" t="n">
        <v>1311</v>
      </c>
      <c r="G615" s="11" t="n">
        <f aca="false">IF(INDEX(選手一覧!$D$7:$D$2738,$F615)="","",INDEX(選手一覧!$D$7:$D$2738,$F615))</f>
        <v>0.0110221064814815</v>
      </c>
      <c r="H615" s="12" t="n">
        <f aca="false">IF(INDEX(選手一覧!$E$7:$E$2738,$F615)="","",INDEX(選手一覧!$E$7:$E$2738,$F615))</f>
        <v>1134</v>
      </c>
      <c r="I615" s="11" t="str">
        <f aca="false">IF(INDEX(選手一覧!$F$7:$F$2738,$F615)="","",INDEX(選手一覧!$F$7:$F$2738,$F615))</f>
        <v/>
      </c>
      <c r="J615" s="12" t="str">
        <f aca="false">IF(INDEX(選手一覧!$G$7:$G$2738,$F615)="","",INDEX(選手一覧!$G$7:$G$2738,$F615))</f>
        <v/>
      </c>
    </row>
    <row r="616" customFormat="false" ht="15" hidden="false" customHeight="false" outlineLevel="0" collapsed="false">
      <c r="A616" s="12" t="n">
        <v>612</v>
      </c>
      <c r="B616" s="10" t="s">
        <v>331</v>
      </c>
      <c r="C616" s="10" t="s">
        <v>208</v>
      </c>
      <c r="D616" s="11" t="n">
        <v>0.00285671296296296</v>
      </c>
      <c r="E616" s="18" t="n">
        <f aca="false">ROUND((D616-$D$5)*86400,2)</f>
        <v>21.79</v>
      </c>
      <c r="F616" s="12" t="n">
        <v>192</v>
      </c>
      <c r="G616" s="11" t="n">
        <f aca="false">IF(INDEX(選手一覧!$D$7:$D$2738,$F616)="","",INDEX(選手一覧!$D$7:$D$2738,$F616))</f>
        <v>0.0104184027777778</v>
      </c>
      <c r="H616" s="12" t="n">
        <f aca="false">IF(INDEX(選手一覧!$E$7:$E$2738,$F616)="","",INDEX(選手一覧!$E$7:$E$2738,$F616))</f>
        <v>283</v>
      </c>
      <c r="I616" s="11" t="n">
        <f aca="false">IF(INDEX(選手一覧!$F$7:$F$2738,$F616)="","",INDEX(選手一覧!$F$7:$F$2738,$F616))</f>
        <v>0.00663900462962963</v>
      </c>
      <c r="J616" s="12" t="n">
        <f aca="false">IF(INDEX(選手一覧!$G$7:$G$2738,$F616)="","",INDEX(選手一覧!$G$7:$G$2738,$F616))</f>
        <v>78</v>
      </c>
    </row>
    <row r="617" customFormat="false" ht="15" hidden="false" customHeight="false" outlineLevel="0" collapsed="false">
      <c r="A617" s="12" t="n">
        <v>613</v>
      </c>
      <c r="B617" s="10" t="s">
        <v>1915</v>
      </c>
      <c r="C617" s="10" t="s">
        <v>1916</v>
      </c>
      <c r="D617" s="11" t="n">
        <v>0.00285671296296296</v>
      </c>
      <c r="E617" s="18" t="n">
        <f aca="false">ROUND((D617-$D$5)*86400,2)</f>
        <v>21.79</v>
      </c>
      <c r="F617" s="12" t="n">
        <v>1316</v>
      </c>
      <c r="G617" s="11" t="n">
        <f aca="false">IF(INDEX(選手一覧!$D$7:$D$2738,$F617)="","",INDEX(選手一覧!$D$7:$D$2738,$F617))</f>
        <v>0.0107912037037037</v>
      </c>
      <c r="H617" s="12" t="n">
        <f aca="false">IF(INDEX(選手一覧!$E$7:$E$2738,$F617)="","",INDEX(選手一覧!$E$7:$E$2738,$F617))</f>
        <v>726</v>
      </c>
      <c r="I617" s="11" t="str">
        <f aca="false">IF(INDEX(選手一覧!$F$7:$F$2738,$F617)="","",INDEX(選手一覧!$F$7:$F$2738,$F617))</f>
        <v/>
      </c>
      <c r="J617" s="12" t="str">
        <f aca="false">IF(INDEX(選手一覧!$G$7:$G$2738,$F617)="","",INDEX(選手一覧!$G$7:$G$2738,$F617))</f>
        <v/>
      </c>
    </row>
    <row r="618" customFormat="false" ht="15" hidden="false" customHeight="false" outlineLevel="0" collapsed="false">
      <c r="A618" s="12" t="n">
        <v>614</v>
      </c>
      <c r="B618" s="10" t="s">
        <v>1493</v>
      </c>
      <c r="C618" s="10" t="s">
        <v>55</v>
      </c>
      <c r="D618" s="11" t="n">
        <v>0.0028568287037037</v>
      </c>
      <c r="E618" s="18" t="n">
        <f aca="false">ROUND((D618-$D$5)*86400,2)</f>
        <v>21.8</v>
      </c>
      <c r="F618" s="12" t="n">
        <v>1026</v>
      </c>
      <c r="G618" s="11" t="n">
        <f aca="false">IF(INDEX(選手一覧!$D$7:$D$2738,$F618)="","",INDEX(選手一覧!$D$7:$D$2738,$F618))</f>
        <v>0.0105972222222222</v>
      </c>
      <c r="H618" s="12" t="n">
        <f aca="false">IF(INDEX(選手一覧!$E$7:$E$2738,$F618)="","",INDEX(選手一覧!$E$7:$E$2738,$F618))</f>
        <v>460</v>
      </c>
      <c r="I618" s="11" t="str">
        <f aca="false">IF(INDEX(選手一覧!$F$7:$F$2738,$F618)="","",INDEX(選手一覧!$F$7:$F$2738,$F618))</f>
        <v/>
      </c>
      <c r="J618" s="12" t="str">
        <f aca="false">IF(INDEX(選手一覧!$G$7:$G$2738,$F618)="","",INDEX(選手一覧!$G$7:$G$2738,$F618))</f>
        <v/>
      </c>
    </row>
    <row r="619" customFormat="false" ht="15" hidden="false" customHeight="false" outlineLevel="0" collapsed="false">
      <c r="A619" s="12" t="n">
        <v>615</v>
      </c>
      <c r="B619" s="10" t="s">
        <v>1922</v>
      </c>
      <c r="C619" s="10" t="s">
        <v>818</v>
      </c>
      <c r="D619" s="11" t="n">
        <v>0.0028568287037037</v>
      </c>
      <c r="E619" s="18" t="n">
        <f aca="false">ROUND((D619-$D$5)*86400,2)</f>
        <v>21.8</v>
      </c>
      <c r="F619" s="12" t="n">
        <v>1321</v>
      </c>
      <c r="G619" s="11" t="str">
        <f aca="false">IF(INDEX(選手一覧!$D$7:$D$2738,$F619)="","",INDEX(選手一覧!$D$7:$D$2738,$F619))</f>
        <v/>
      </c>
      <c r="H619" s="12" t="str">
        <f aca="false">IF(INDEX(選手一覧!$E$7:$E$2738,$F619)="","",INDEX(選手一覧!$E$7:$E$2738,$F619))</f>
        <v/>
      </c>
      <c r="I619" s="11" t="str">
        <f aca="false">IF(INDEX(選手一覧!$F$7:$F$2738,$F619)="","",INDEX(選手一覧!$F$7:$F$2738,$F619))</f>
        <v/>
      </c>
      <c r="J619" s="12" t="str">
        <f aca="false">IF(INDEX(選手一覧!$G$7:$G$2738,$F619)="","",INDEX(選手一覧!$G$7:$G$2738,$F619))</f>
        <v/>
      </c>
    </row>
    <row r="620" customFormat="false" ht="15" hidden="false" customHeight="false" outlineLevel="0" collapsed="false">
      <c r="A620" s="12" t="n">
        <v>616</v>
      </c>
      <c r="B620" s="10" t="s">
        <v>1619</v>
      </c>
      <c r="C620" s="10" t="s">
        <v>915</v>
      </c>
      <c r="D620" s="11" t="n">
        <v>0.00285717592592593</v>
      </c>
      <c r="E620" s="18" t="n">
        <f aca="false">ROUND((D620-$D$5)*86400,2)</f>
        <v>21.83</v>
      </c>
      <c r="F620" s="12" t="n">
        <v>1117</v>
      </c>
      <c r="G620" s="11" t="n">
        <f aca="false">IF(INDEX(選手一覧!$D$7:$D$2738,$F620)="","",INDEX(選手一覧!$D$7:$D$2738,$F620))</f>
        <v>0.0106331018518519</v>
      </c>
      <c r="H620" s="12" t="n">
        <f aca="false">IF(INDEX(選手一覧!$E$7:$E$2738,$F620)="","",INDEX(選手一覧!$E$7:$E$2738,$F620))</f>
        <v>507</v>
      </c>
      <c r="I620" s="11" t="str">
        <f aca="false">IF(INDEX(選手一覧!$F$7:$F$2738,$F620)="","",INDEX(選手一覧!$F$7:$F$2738,$F620))</f>
        <v/>
      </c>
      <c r="J620" s="12" t="str">
        <f aca="false">IF(INDEX(選手一覧!$G$7:$G$2738,$F620)="","",INDEX(選手一覧!$G$7:$G$2738,$F620))</f>
        <v/>
      </c>
    </row>
    <row r="621" customFormat="false" ht="15" hidden="false" customHeight="false" outlineLevel="0" collapsed="false">
      <c r="A621" s="12" t="n">
        <v>617</v>
      </c>
      <c r="B621" s="10" t="s">
        <v>525</v>
      </c>
      <c r="C621" s="10" t="s">
        <v>312</v>
      </c>
      <c r="D621" s="11" t="n">
        <v>0.00285729166666667</v>
      </c>
      <c r="E621" s="18" t="n">
        <f aca="false">ROUND((D621-$D$5)*86400,2)</f>
        <v>21.84</v>
      </c>
      <c r="F621" s="12" t="n">
        <v>326</v>
      </c>
      <c r="G621" s="11" t="n">
        <f aca="false">IF(INDEX(選手一覧!$D$7:$D$2738,$F621)="","",INDEX(選手一覧!$D$7:$D$2738,$F621))</f>
        <v>0.0110791666666667</v>
      </c>
      <c r="H621" s="12" t="n">
        <f aca="false">IF(INDEX(選手一覧!$E$7:$E$2738,$F621)="","",INDEX(選手一覧!$E$7:$E$2738,$F621))</f>
        <v>1249</v>
      </c>
      <c r="I621" s="11" t="n">
        <f aca="false">IF(INDEX(選手一覧!$F$7:$F$2738,$F621)="","",INDEX(選手一覧!$F$7:$F$2738,$F621))</f>
        <v>0.00676053240740741</v>
      </c>
      <c r="J621" s="12" t="n">
        <f aca="false">IF(INDEX(選手一覧!$G$7:$G$2738,$F621)="","",INDEX(選手一覧!$G$7:$G$2738,$F621))</f>
        <v>135</v>
      </c>
    </row>
    <row r="622" customFormat="false" ht="15" hidden="false" customHeight="false" outlineLevel="0" collapsed="false">
      <c r="A622" s="12" t="n">
        <v>618</v>
      </c>
      <c r="B622" s="10" t="s">
        <v>131</v>
      </c>
      <c r="C622" s="10" t="s">
        <v>132</v>
      </c>
      <c r="D622" s="11" t="n">
        <v>0.00285740740740741</v>
      </c>
      <c r="E622" s="18" t="n">
        <f aca="false">ROUND((D622-$D$5)*86400,2)</f>
        <v>21.85</v>
      </c>
      <c r="F622" s="12" t="n">
        <v>61</v>
      </c>
      <c r="G622" s="11" t="n">
        <f aca="false">IF(INDEX(選手一覧!$D$7:$D$2738,$F622)="","",INDEX(選手一覧!$D$7:$D$2738,$F622))</f>
        <v>0.0109490740740741</v>
      </c>
      <c r="H622" s="12" t="n">
        <f aca="false">IF(INDEX(選手一覧!$E$7:$E$2738,$F622)="","",INDEX(選手一覧!$E$7:$E$2738,$F622))</f>
        <v>996</v>
      </c>
      <c r="I622" s="11" t="n">
        <f aca="false">IF(INDEX(選手一覧!$F$7:$F$2738,$F622)="","",INDEX(選手一覧!$F$7:$F$2738,$F622))</f>
        <v>0.00645844907407407</v>
      </c>
      <c r="J622" s="12" t="n">
        <f aca="false">IF(INDEX(選手一覧!$G$7:$G$2738,$F622)="","",INDEX(選手一覧!$G$7:$G$2738,$F622))</f>
        <v>24</v>
      </c>
    </row>
    <row r="623" customFormat="false" ht="15" hidden="false" customHeight="false" outlineLevel="0" collapsed="false">
      <c r="A623" s="12" t="n">
        <v>619</v>
      </c>
      <c r="B623" s="10" t="s">
        <v>1932</v>
      </c>
      <c r="C623" s="10" t="s">
        <v>1933</v>
      </c>
      <c r="D623" s="11" t="n">
        <v>0.00285740740740741</v>
      </c>
      <c r="E623" s="18" t="n">
        <f aca="false">ROUND((D623-$D$5)*86400,2)</f>
        <v>21.85</v>
      </c>
      <c r="F623" s="12" t="n">
        <v>1327</v>
      </c>
      <c r="G623" s="11" t="str">
        <f aca="false">IF(INDEX(選手一覧!$D$7:$D$2738,$F623)="","",INDEX(選手一覧!$D$7:$D$2738,$F623))</f>
        <v/>
      </c>
      <c r="H623" s="12" t="str">
        <f aca="false">IF(INDEX(選手一覧!$E$7:$E$2738,$F623)="","",INDEX(選手一覧!$E$7:$E$2738,$F623))</f>
        <v/>
      </c>
      <c r="I623" s="11" t="str">
        <f aca="false">IF(INDEX(選手一覧!$F$7:$F$2738,$F623)="","",INDEX(選手一覧!$F$7:$F$2738,$F623))</f>
        <v/>
      </c>
      <c r="J623" s="12" t="str">
        <f aca="false">IF(INDEX(選手一覧!$G$7:$G$2738,$F623)="","",INDEX(選手一覧!$G$7:$G$2738,$F623))</f>
        <v/>
      </c>
    </row>
    <row r="624" customFormat="false" ht="15" hidden="false" customHeight="false" outlineLevel="0" collapsed="false">
      <c r="A624" s="12" t="n">
        <v>620</v>
      </c>
      <c r="B624" s="10" t="s">
        <v>1934</v>
      </c>
      <c r="C624" s="10" t="s">
        <v>603</v>
      </c>
      <c r="D624" s="11" t="n">
        <v>0.00285763888888889</v>
      </c>
      <c r="E624" s="18" t="n">
        <f aca="false">ROUND((D624-$D$5)*86400,2)</f>
        <v>21.87</v>
      </c>
      <c r="F624" s="12" t="n">
        <v>1328</v>
      </c>
      <c r="G624" s="11" t="n">
        <f aca="false">IF(INDEX(選手一覧!$D$7:$D$2738,$F624)="","",INDEX(選手一覧!$D$7:$D$2738,$F624))</f>
        <v>0.0110408564814815</v>
      </c>
      <c r="H624" s="12" t="n">
        <f aca="false">IF(INDEX(選手一覧!$E$7:$E$2738,$F624)="","",INDEX(選手一覧!$E$7:$E$2738,$F624))</f>
        <v>1180</v>
      </c>
      <c r="I624" s="11" t="str">
        <f aca="false">IF(INDEX(選手一覧!$F$7:$F$2738,$F624)="","",INDEX(選手一覧!$F$7:$F$2738,$F624))</f>
        <v/>
      </c>
      <c r="J624" s="12" t="str">
        <f aca="false">IF(INDEX(選手一覧!$G$7:$G$2738,$F624)="","",INDEX(選手一覧!$G$7:$G$2738,$F624))</f>
        <v/>
      </c>
    </row>
    <row r="625" customFormat="false" ht="15" hidden="false" customHeight="false" outlineLevel="0" collapsed="false">
      <c r="A625" s="12" t="n">
        <v>621</v>
      </c>
      <c r="B625" s="10" t="s">
        <v>858</v>
      </c>
      <c r="C625" s="10" t="s">
        <v>242</v>
      </c>
      <c r="D625" s="11" t="n">
        <v>0.00285775462962963</v>
      </c>
      <c r="E625" s="18" t="n">
        <f aca="false">ROUND((D625-$D$5)*86400,2)</f>
        <v>21.88</v>
      </c>
      <c r="F625" s="12" t="n">
        <v>560</v>
      </c>
      <c r="G625" s="11" t="n">
        <f aca="false">IF(INDEX(選手一覧!$D$7:$D$2738,$F625)="","",INDEX(選手一覧!$D$7:$D$2738,$F625))</f>
        <v>0.0110020833333333</v>
      </c>
      <c r="H625" s="12" t="n">
        <f aca="false">IF(INDEX(選手一覧!$E$7:$E$2738,$F625)="","",INDEX(選手一覧!$E$7:$E$2738,$F625))</f>
        <v>1098</v>
      </c>
      <c r="I625" s="11" t="n">
        <f aca="false">IF(INDEX(選手一覧!$F$7:$F$2738,$F625)="","",INDEX(選手一覧!$F$7:$F$2738,$F625))</f>
        <v>0.00689513888888889</v>
      </c>
      <c r="J625" s="12" t="n">
        <f aca="false">IF(INDEX(選手一覧!$G$7:$G$2738,$F625)="","",INDEX(選手一覧!$G$7:$G$2738,$F625))</f>
        <v>235</v>
      </c>
    </row>
    <row r="626" customFormat="false" ht="15" hidden="false" customHeight="false" outlineLevel="0" collapsed="false">
      <c r="A626" s="12" t="n">
        <v>622</v>
      </c>
      <c r="B626" s="10" t="s">
        <v>375</v>
      </c>
      <c r="C626" s="10" t="s">
        <v>57</v>
      </c>
      <c r="D626" s="11" t="n">
        <v>0.00285810185185185</v>
      </c>
      <c r="E626" s="18" t="n">
        <f aca="false">ROUND((D626-$D$5)*86400,2)</f>
        <v>21.91</v>
      </c>
      <c r="F626" s="12" t="n">
        <v>224</v>
      </c>
      <c r="G626" s="11" t="n">
        <f aca="false">IF(INDEX(選手一覧!$D$7:$D$2738,$F626)="","",INDEX(選手一覧!$D$7:$D$2738,$F626))</f>
        <v>0.0107228009259259</v>
      </c>
      <c r="H626" s="12" t="n">
        <f aca="false">IF(INDEX(選手一覧!$E$7:$E$2738,$F626)="","",INDEX(選手一覧!$E$7:$E$2738,$F626))</f>
        <v>615</v>
      </c>
      <c r="I626" s="11" t="n">
        <f aca="false">IF(INDEX(選手一覧!$F$7:$F$2738,$F626)="","",INDEX(選手一覧!$F$7:$F$2738,$F626))</f>
        <v>0.00667372685185185</v>
      </c>
      <c r="J626" s="12" t="n">
        <f aca="false">IF(INDEX(選手一覧!$G$7:$G$2738,$F626)="","",INDEX(選手一覧!$G$7:$G$2738,$F626))</f>
        <v>93</v>
      </c>
    </row>
    <row r="627" customFormat="false" ht="15" hidden="false" customHeight="false" outlineLevel="0" collapsed="false">
      <c r="A627" s="12" t="n">
        <v>623</v>
      </c>
      <c r="B627" s="10" t="s">
        <v>182</v>
      </c>
      <c r="C627" s="10" t="s">
        <v>183</v>
      </c>
      <c r="D627" s="11" t="n">
        <v>0.00285821759259259</v>
      </c>
      <c r="E627" s="18" t="n">
        <f aca="false">ROUND((D627-$D$5)*86400,2)</f>
        <v>21.92</v>
      </c>
      <c r="F627" s="12" t="n">
        <v>91</v>
      </c>
      <c r="G627" s="11" t="n">
        <f aca="false">IF(INDEX(選手一覧!$D$7:$D$2738,$F627)="","",INDEX(選手一覧!$D$7:$D$2738,$F627))</f>
        <v>0.0104319444444445</v>
      </c>
      <c r="H627" s="12" t="n">
        <f aca="false">IF(INDEX(選手一覧!$E$7:$E$2738,$F627)="","",INDEX(選手一覧!$E$7:$E$2738,$F627))</f>
        <v>295</v>
      </c>
      <c r="I627" s="11" t="n">
        <f aca="false">IF(INDEX(選手一覧!$F$7:$F$2738,$F627)="","",INDEX(選手一覧!$F$7:$F$2738,$F627))</f>
        <v>0.00650046296296296</v>
      </c>
      <c r="J627" s="12" t="n">
        <f aca="false">IF(INDEX(選手一覧!$G$7:$G$2738,$F627)="","",INDEX(選手一覧!$G$7:$G$2738,$F627))</f>
        <v>36</v>
      </c>
    </row>
    <row r="628" customFormat="false" ht="15" hidden="false" customHeight="false" outlineLevel="0" collapsed="false">
      <c r="A628" s="12" t="n">
        <v>624</v>
      </c>
      <c r="B628" s="10" t="s">
        <v>929</v>
      </c>
      <c r="C628" s="10" t="s">
        <v>190</v>
      </c>
      <c r="D628" s="11" t="n">
        <v>0.00285833333333333</v>
      </c>
      <c r="E628" s="18" t="n">
        <f aca="false">ROUND((D628-$D$5)*86400,2)</f>
        <v>21.93</v>
      </c>
      <c r="F628" s="12" t="n">
        <v>615</v>
      </c>
      <c r="G628" s="11" t="n">
        <f aca="false">IF(INDEX(選手一覧!$D$7:$D$2738,$F628)="","",INDEX(選手一覧!$D$7:$D$2738,$F628))</f>
        <v>0.0109090277777778</v>
      </c>
      <c r="H628" s="12" t="n">
        <f aca="false">IF(INDEX(選手一覧!$E$7:$E$2738,$F628)="","",INDEX(選手一覧!$E$7:$E$2738,$F628))</f>
        <v>937</v>
      </c>
      <c r="I628" s="11" t="n">
        <f aca="false">IF(INDEX(選手一覧!$F$7:$F$2738,$F628)="","",INDEX(選手一覧!$F$7:$F$2738,$F628))</f>
        <v>0.0069212962962963</v>
      </c>
      <c r="J628" s="12" t="n">
        <f aca="false">IF(INDEX(選手一覧!$G$7:$G$2738,$F628)="","",INDEX(選手一覧!$G$7:$G$2738,$F628))</f>
        <v>259</v>
      </c>
    </row>
    <row r="629" customFormat="false" ht="15" hidden="false" customHeight="false" outlineLevel="0" collapsed="false">
      <c r="A629" s="12" t="n">
        <v>625</v>
      </c>
      <c r="B629" s="10" t="s">
        <v>1947</v>
      </c>
      <c r="C629" s="10" t="s">
        <v>397</v>
      </c>
      <c r="D629" s="11" t="n">
        <v>0.00285868055555556</v>
      </c>
      <c r="E629" s="18" t="n">
        <f aca="false">ROUND((D629-$D$5)*86400,2)</f>
        <v>21.96</v>
      </c>
      <c r="F629" s="12" t="n">
        <v>1338</v>
      </c>
      <c r="G629" s="11" t="str">
        <f aca="false">IF(INDEX(選手一覧!$D$7:$D$2738,$F629)="","",INDEX(選手一覧!$D$7:$D$2738,$F629))</f>
        <v/>
      </c>
      <c r="H629" s="12" t="str">
        <f aca="false">IF(INDEX(選手一覧!$E$7:$E$2738,$F629)="","",INDEX(選手一覧!$E$7:$E$2738,$F629))</f>
        <v/>
      </c>
      <c r="I629" s="11" t="str">
        <f aca="false">IF(INDEX(選手一覧!$F$7:$F$2738,$F629)="","",INDEX(選手一覧!$F$7:$F$2738,$F629))</f>
        <v/>
      </c>
      <c r="J629" s="12" t="str">
        <f aca="false">IF(INDEX(選手一覧!$G$7:$G$2738,$F629)="","",INDEX(選手一覧!$G$7:$G$2738,$F629))</f>
        <v/>
      </c>
    </row>
    <row r="630" customFormat="false" ht="15" hidden="false" customHeight="false" outlineLevel="0" collapsed="false">
      <c r="A630" s="12" t="n">
        <v>626</v>
      </c>
      <c r="B630" s="10" t="s">
        <v>1949</v>
      </c>
      <c r="C630" s="10" t="s">
        <v>746</v>
      </c>
      <c r="D630" s="11" t="n">
        <v>0.0028587962962963</v>
      </c>
      <c r="E630" s="18" t="n">
        <f aca="false">ROUND((D630-$D$5)*86400,2)</f>
        <v>21.97</v>
      </c>
      <c r="F630" s="12" t="n">
        <v>1340</v>
      </c>
      <c r="G630" s="11" t="str">
        <f aca="false">IF(INDEX(選手一覧!$D$7:$D$2738,$F630)="","",INDEX(選手一覧!$D$7:$D$2738,$F630))</f>
        <v/>
      </c>
      <c r="H630" s="12" t="str">
        <f aca="false">IF(INDEX(選手一覧!$E$7:$E$2738,$F630)="","",INDEX(選手一覧!$E$7:$E$2738,$F630))</f>
        <v/>
      </c>
      <c r="I630" s="11" t="str">
        <f aca="false">IF(INDEX(選手一覧!$F$7:$F$2738,$F630)="","",INDEX(選手一覧!$F$7:$F$2738,$F630))</f>
        <v/>
      </c>
      <c r="J630" s="12" t="str">
        <f aca="false">IF(INDEX(選手一覧!$G$7:$G$2738,$F630)="","",INDEX(選手一覧!$G$7:$G$2738,$F630))</f>
        <v/>
      </c>
    </row>
    <row r="631" customFormat="false" ht="15" hidden="false" customHeight="false" outlineLevel="0" collapsed="false">
      <c r="A631" s="12" t="n">
        <v>627</v>
      </c>
      <c r="B631" s="10" t="s">
        <v>1950</v>
      </c>
      <c r="C631" s="10" t="s">
        <v>1653</v>
      </c>
      <c r="D631" s="11" t="n">
        <v>0.0028587962962963</v>
      </c>
      <c r="E631" s="18" t="n">
        <f aca="false">ROUND((D631-$D$5)*86400,2)</f>
        <v>21.97</v>
      </c>
      <c r="F631" s="12" t="n">
        <v>1341</v>
      </c>
      <c r="G631" s="11" t="n">
        <f aca="false">IF(INDEX(選手一覧!$D$7:$D$2738,$F631)="","",INDEX(選手一覧!$D$7:$D$2738,$F631))</f>
        <v>0.010783912037037</v>
      </c>
      <c r="H631" s="12" t="n">
        <f aca="false">IF(INDEX(選手一覧!$E$7:$E$2738,$F631)="","",INDEX(選手一覧!$E$7:$E$2738,$F631))</f>
        <v>711</v>
      </c>
      <c r="I631" s="11" t="str">
        <f aca="false">IF(INDEX(選手一覧!$F$7:$F$2738,$F631)="","",INDEX(選手一覧!$F$7:$F$2738,$F631))</f>
        <v/>
      </c>
      <c r="J631" s="12" t="str">
        <f aca="false">IF(INDEX(選手一覧!$G$7:$G$2738,$F631)="","",INDEX(選手一覧!$G$7:$G$2738,$F631))</f>
        <v/>
      </c>
    </row>
    <row r="632" customFormat="false" ht="15" hidden="false" customHeight="false" outlineLevel="0" collapsed="false">
      <c r="A632" s="12" t="n">
        <v>628</v>
      </c>
      <c r="B632" s="10" t="s">
        <v>1952</v>
      </c>
      <c r="C632" s="10" t="s">
        <v>309</v>
      </c>
      <c r="D632" s="11" t="n">
        <v>0.0028587962962963</v>
      </c>
      <c r="E632" s="18" t="n">
        <f aca="false">ROUND((D632-$D$5)*86400,2)</f>
        <v>21.97</v>
      </c>
      <c r="F632" s="12" t="n">
        <v>1343</v>
      </c>
      <c r="G632" s="11" t="n">
        <f aca="false">IF(INDEX(選手一覧!$D$7:$D$2738,$F632)="","",INDEX(選手一覧!$D$7:$D$2738,$F632))</f>
        <v>0.010796875</v>
      </c>
      <c r="H632" s="12" t="n">
        <f aca="false">IF(INDEX(選手一覧!$E$7:$E$2738,$F632)="","",INDEX(選手一覧!$E$7:$E$2738,$F632))</f>
        <v>736</v>
      </c>
      <c r="I632" s="11" t="str">
        <f aca="false">IF(INDEX(選手一覧!$F$7:$F$2738,$F632)="","",INDEX(選手一覧!$F$7:$F$2738,$F632))</f>
        <v/>
      </c>
      <c r="J632" s="12" t="str">
        <f aca="false">IF(INDEX(選手一覧!$G$7:$G$2738,$F632)="","",INDEX(選手一覧!$G$7:$G$2738,$F632))</f>
        <v/>
      </c>
    </row>
    <row r="633" customFormat="false" ht="15" hidden="false" customHeight="false" outlineLevel="0" collapsed="false">
      <c r="A633" s="12" t="n">
        <v>629</v>
      </c>
      <c r="B633" s="10" t="s">
        <v>1955</v>
      </c>
      <c r="C633" s="10" t="s">
        <v>1690</v>
      </c>
      <c r="D633" s="11" t="n">
        <v>0.00285914351851852</v>
      </c>
      <c r="E633" s="18" t="n">
        <f aca="false">ROUND((D633-$D$5)*86400,2)</f>
        <v>22</v>
      </c>
      <c r="F633" s="12" t="n">
        <v>1346</v>
      </c>
      <c r="G633" s="11" t="str">
        <f aca="false">IF(INDEX(選手一覧!$D$7:$D$2738,$F633)="","",INDEX(選手一覧!$D$7:$D$2738,$F633))</f>
        <v/>
      </c>
      <c r="H633" s="12" t="str">
        <f aca="false">IF(INDEX(選手一覧!$E$7:$E$2738,$F633)="","",INDEX(選手一覧!$E$7:$E$2738,$F633))</f>
        <v/>
      </c>
      <c r="I633" s="11" t="str">
        <f aca="false">IF(INDEX(選手一覧!$F$7:$F$2738,$F633)="","",INDEX(選手一覧!$F$7:$F$2738,$F633))</f>
        <v/>
      </c>
      <c r="J633" s="12" t="str">
        <f aca="false">IF(INDEX(選手一覧!$G$7:$G$2738,$F633)="","",INDEX(選手一覧!$G$7:$G$2738,$F633))</f>
        <v/>
      </c>
    </row>
    <row r="634" customFormat="false" ht="15" hidden="false" customHeight="false" outlineLevel="0" collapsed="false">
      <c r="A634" s="12" t="n">
        <v>630</v>
      </c>
      <c r="B634" s="10" t="s">
        <v>44</v>
      </c>
      <c r="C634" s="10" t="s">
        <v>45</v>
      </c>
      <c r="D634" s="11" t="n">
        <v>0.00285925925925926</v>
      </c>
      <c r="E634" s="18" t="n">
        <f aca="false">ROUND((D634-$D$5)*86400,2)</f>
        <v>22.01</v>
      </c>
      <c r="F634" s="12" t="n">
        <v>13</v>
      </c>
      <c r="G634" s="11" t="n">
        <f aca="false">IF(INDEX(選手一覧!$D$7:$D$2738,$F634)="","",INDEX(選手一覧!$D$7:$D$2738,$F634))</f>
        <v>0.0102140046296296</v>
      </c>
      <c r="H634" s="12" t="n">
        <f aca="false">IF(INDEX(選手一覧!$E$7:$E$2738,$F634)="","",INDEX(選手一覧!$E$7:$E$2738,$F634))</f>
        <v>102</v>
      </c>
      <c r="I634" s="11" t="n">
        <f aca="false">IF(INDEX(選手一覧!$F$7:$F$2738,$F634)="","",INDEX(選手一覧!$F$7:$F$2738,$F634))</f>
        <v>0.00633553240740741</v>
      </c>
      <c r="J634" s="12" t="n">
        <f aca="false">IF(INDEX(選手一覧!$G$7:$G$2738,$F634)="","",INDEX(選手一覧!$G$7:$G$2738,$F634))</f>
        <v>6</v>
      </c>
    </row>
    <row r="635" customFormat="false" ht="15" hidden="false" customHeight="false" outlineLevel="0" collapsed="false">
      <c r="A635" s="12" t="n">
        <v>631</v>
      </c>
      <c r="B635" s="10" t="s">
        <v>1960</v>
      </c>
      <c r="C635" s="10" t="s">
        <v>1038</v>
      </c>
      <c r="D635" s="11" t="n">
        <v>0.00285925925925926</v>
      </c>
      <c r="E635" s="18" t="n">
        <f aca="false">ROUND((D635-$D$5)*86400,2)</f>
        <v>22.01</v>
      </c>
      <c r="F635" s="12" t="n">
        <v>1350</v>
      </c>
      <c r="G635" s="11" t="str">
        <f aca="false">IF(INDEX(選手一覧!$D$7:$D$2738,$F635)="","",INDEX(選手一覧!$D$7:$D$2738,$F635))</f>
        <v/>
      </c>
      <c r="H635" s="12" t="str">
        <f aca="false">IF(INDEX(選手一覧!$E$7:$E$2738,$F635)="","",INDEX(選手一覧!$E$7:$E$2738,$F635))</f>
        <v/>
      </c>
      <c r="I635" s="11" t="str">
        <f aca="false">IF(INDEX(選手一覧!$F$7:$F$2738,$F635)="","",INDEX(選手一覧!$F$7:$F$2738,$F635))</f>
        <v/>
      </c>
      <c r="J635" s="12" t="str">
        <f aca="false">IF(INDEX(選手一覧!$G$7:$G$2738,$F635)="","",INDEX(選手一覧!$G$7:$G$2738,$F635))</f>
        <v/>
      </c>
    </row>
    <row r="636" customFormat="false" ht="15" hidden="false" customHeight="false" outlineLevel="0" collapsed="false">
      <c r="A636" s="12" t="n">
        <v>632</v>
      </c>
      <c r="B636" s="10" t="s">
        <v>1810</v>
      </c>
      <c r="C636" s="10" t="s">
        <v>1811</v>
      </c>
      <c r="D636" s="11" t="n">
        <v>0.00285983796296296</v>
      </c>
      <c r="E636" s="18" t="n">
        <f aca="false">ROUND((D636-$D$5)*86400,2)</f>
        <v>22.06</v>
      </c>
      <c r="F636" s="12" t="n">
        <v>1247</v>
      </c>
      <c r="G636" s="11" t="n">
        <f aca="false">IF(INDEX(選手一覧!$D$7:$D$2738,$F636)="","",INDEX(選手一覧!$D$7:$D$2738,$F636))</f>
        <v>0.0109866898148148</v>
      </c>
      <c r="H636" s="12" t="n">
        <f aca="false">IF(INDEX(選手一覧!$E$7:$E$2738,$F636)="","",INDEX(選手一覧!$E$7:$E$2738,$F636))</f>
        <v>1074</v>
      </c>
      <c r="I636" s="11" t="n">
        <f aca="false">IF(INDEX(選手一覧!$F$7:$F$2738,$F636)="","",INDEX(選手一覧!$F$7:$F$2738,$F636))</f>
        <v>0.00723148148148148</v>
      </c>
      <c r="J636" s="12" t="n">
        <f aca="false">IF(INDEX(選手一覧!$G$7:$G$2738,$F636)="","",INDEX(選手一覧!$G$7:$G$2738,$F636))</f>
        <v>575</v>
      </c>
    </row>
    <row r="637" customFormat="false" ht="15" hidden="false" customHeight="false" outlineLevel="0" collapsed="false">
      <c r="A637" s="12" t="n">
        <v>633</v>
      </c>
      <c r="B637" s="10" t="s">
        <v>805</v>
      </c>
      <c r="C637" s="10" t="s">
        <v>806</v>
      </c>
      <c r="D637" s="11" t="n">
        <v>0.00285983796296296</v>
      </c>
      <c r="E637" s="18" t="n">
        <f aca="false">ROUND((D637-$D$5)*86400,2)</f>
        <v>22.06</v>
      </c>
      <c r="F637" s="12" t="n">
        <v>526</v>
      </c>
      <c r="G637" s="11" t="n">
        <f aca="false">IF(INDEX(選手一覧!$D$7:$D$2738,$F637)="","",INDEX(選手一覧!$D$7:$D$2738,$F637))</f>
        <v>0.01063125</v>
      </c>
      <c r="H637" s="12" t="n">
        <f aca="false">IF(INDEX(選手一覧!$E$7:$E$2738,$F637)="","",INDEX(選手一覧!$E$7:$E$2738,$F637))</f>
        <v>505</v>
      </c>
      <c r="I637" s="11" t="n">
        <f aca="false">IF(INDEX(選手一覧!$F$7:$F$2738,$F637)="","",INDEX(選手一覧!$F$7:$F$2738,$F637))</f>
        <v>0.00687268518518519</v>
      </c>
      <c r="J637" s="12" t="n">
        <f aca="false">IF(INDEX(選手一覧!$G$7:$G$2738,$F637)="","",INDEX(選手一覧!$G$7:$G$2738,$F637))</f>
        <v>221</v>
      </c>
    </row>
    <row r="638" customFormat="false" ht="15" hidden="false" customHeight="false" outlineLevel="0" collapsed="false">
      <c r="A638" s="12" t="n">
        <v>634</v>
      </c>
      <c r="B638" s="10" t="s">
        <v>1964</v>
      </c>
      <c r="C638" s="10" t="s">
        <v>1897</v>
      </c>
      <c r="D638" s="11" t="n">
        <v>0.0028599537037037</v>
      </c>
      <c r="E638" s="18" t="n">
        <f aca="false">ROUND((D638-$D$5)*86400,2)</f>
        <v>22.07</v>
      </c>
      <c r="F638" s="12" t="n">
        <v>1353</v>
      </c>
      <c r="G638" s="11" t="n">
        <f aca="false">IF(INDEX(選手一覧!$D$7:$D$2738,$F638)="","",INDEX(選手一覧!$D$7:$D$2738,$F638))</f>
        <v>0.0110046296296296</v>
      </c>
      <c r="H638" s="12" t="n">
        <f aca="false">IF(INDEX(選手一覧!$E$7:$E$2738,$F638)="","",INDEX(選手一覧!$E$7:$E$2738,$F638))</f>
        <v>1101</v>
      </c>
      <c r="I638" s="11" t="str">
        <f aca="false">IF(INDEX(選手一覧!$F$7:$F$2738,$F638)="","",INDEX(選手一覧!$F$7:$F$2738,$F638))</f>
        <v/>
      </c>
      <c r="J638" s="12" t="str">
        <f aca="false">IF(INDEX(選手一覧!$G$7:$G$2738,$F638)="","",INDEX(選手一覧!$G$7:$G$2738,$F638))</f>
        <v/>
      </c>
    </row>
    <row r="639" customFormat="false" ht="15" hidden="false" customHeight="false" outlineLevel="0" collapsed="false">
      <c r="A639" s="12" t="n">
        <v>635</v>
      </c>
      <c r="B639" s="10" t="s">
        <v>1482</v>
      </c>
      <c r="C639" s="10" t="s">
        <v>986</v>
      </c>
      <c r="D639" s="11" t="n">
        <v>0.00286006944444445</v>
      </c>
      <c r="E639" s="18" t="n">
        <f aca="false">ROUND((D639-$D$5)*86400,2)</f>
        <v>22.08</v>
      </c>
      <c r="F639" s="12" t="n">
        <v>1018</v>
      </c>
      <c r="G639" s="11" t="n">
        <f aca="false">IF(INDEX(選手一覧!$D$7:$D$2738,$F639)="","",INDEX(選手一覧!$D$7:$D$2738,$F639))</f>
        <v>0.0105909722222222</v>
      </c>
      <c r="H639" s="12" t="n">
        <f aca="false">IF(INDEX(選手一覧!$E$7:$E$2738,$F639)="","",INDEX(選手一覧!$E$7:$E$2738,$F639))</f>
        <v>456</v>
      </c>
      <c r="I639" s="11" t="str">
        <f aca="false">IF(INDEX(選手一覧!$F$7:$F$2738,$F639)="","",INDEX(選手一覧!$F$7:$F$2738,$F639))</f>
        <v/>
      </c>
      <c r="J639" s="12" t="str">
        <f aca="false">IF(INDEX(選手一覧!$G$7:$G$2738,$F639)="","",INDEX(選手一覧!$G$7:$G$2738,$F639))</f>
        <v/>
      </c>
    </row>
    <row r="640" customFormat="false" ht="15" hidden="false" customHeight="false" outlineLevel="0" collapsed="false">
      <c r="A640" s="12" t="n">
        <v>636</v>
      </c>
      <c r="B640" s="10" t="s">
        <v>355</v>
      </c>
      <c r="C640" s="10" t="s">
        <v>179</v>
      </c>
      <c r="D640" s="11" t="n">
        <v>0.00286006944444445</v>
      </c>
      <c r="E640" s="18" t="n">
        <f aca="false">ROUND((D640-$D$5)*86400,2)</f>
        <v>22.08</v>
      </c>
      <c r="F640" s="12" t="n">
        <v>209</v>
      </c>
      <c r="G640" s="11" t="n">
        <f aca="false">IF(INDEX(選手一覧!$D$7:$D$2738,$F640)="","",INDEX(選手一覧!$D$7:$D$2738,$F640))</f>
        <v>0.0106728009259259</v>
      </c>
      <c r="H640" s="12" t="n">
        <f aca="false">IF(INDEX(選手一覧!$E$7:$E$2738,$F640)="","",INDEX(選手一覧!$E$7:$E$2738,$F640))</f>
        <v>552</v>
      </c>
      <c r="I640" s="11" t="n">
        <f aca="false">IF(INDEX(選手一覧!$F$7:$F$2738,$F640)="","",INDEX(選手一覧!$F$7:$F$2738,$F640))</f>
        <v>0.00665798611111111</v>
      </c>
      <c r="J640" s="12" t="n">
        <f aca="false">IF(INDEX(選手一覧!$G$7:$G$2738,$F640)="","",INDEX(選手一覧!$G$7:$G$2738,$F640))</f>
        <v>86</v>
      </c>
    </row>
    <row r="641" customFormat="false" ht="15" hidden="false" customHeight="false" outlineLevel="0" collapsed="false">
      <c r="A641" s="12" t="n">
        <v>637</v>
      </c>
      <c r="B641" s="10" t="s">
        <v>1681</v>
      </c>
      <c r="C641" s="10" t="s">
        <v>422</v>
      </c>
      <c r="D641" s="11" t="n">
        <v>0.00286041666666667</v>
      </c>
      <c r="E641" s="18" t="n">
        <f aca="false">ROUND((D641-$D$5)*86400,2)</f>
        <v>22.11</v>
      </c>
      <c r="F641" s="12" t="n">
        <v>1158</v>
      </c>
      <c r="G641" s="11" t="n">
        <f aca="false">IF(INDEX(選手一覧!$D$7:$D$2738,$F641)="","",INDEX(選手一覧!$D$7:$D$2738,$F641))</f>
        <v>0.0106528935185185</v>
      </c>
      <c r="H641" s="12" t="n">
        <f aca="false">IF(INDEX(選手一覧!$E$7:$E$2738,$F641)="","",INDEX(選手一覧!$E$7:$E$2738,$F641))</f>
        <v>529</v>
      </c>
      <c r="I641" s="11" t="str">
        <f aca="false">IF(INDEX(選手一覧!$F$7:$F$2738,$F641)="","",INDEX(選手一覧!$F$7:$F$2738,$F641))</f>
        <v/>
      </c>
      <c r="J641" s="12" t="str">
        <f aca="false">IF(INDEX(選手一覧!$G$7:$G$2738,$F641)="","",INDEX(選手一覧!$G$7:$G$2738,$F641))</f>
        <v/>
      </c>
    </row>
    <row r="642" customFormat="false" ht="15" hidden="false" customHeight="false" outlineLevel="0" collapsed="false">
      <c r="A642" s="12" t="n">
        <v>638</v>
      </c>
      <c r="B642" s="10" t="s">
        <v>1974</v>
      </c>
      <c r="C642" s="10" t="s">
        <v>1975</v>
      </c>
      <c r="D642" s="11" t="n">
        <v>0.00286087962962963</v>
      </c>
      <c r="E642" s="18" t="n">
        <f aca="false">ROUND((D642-$D$5)*86400,2)</f>
        <v>22.15</v>
      </c>
      <c r="F642" s="12" t="n">
        <v>1360</v>
      </c>
      <c r="G642" s="11" t="str">
        <f aca="false">IF(INDEX(選手一覧!$D$7:$D$2738,$F642)="","",INDEX(選手一覧!$D$7:$D$2738,$F642))</f>
        <v/>
      </c>
      <c r="H642" s="12" t="str">
        <f aca="false">IF(INDEX(選手一覧!$E$7:$E$2738,$F642)="","",INDEX(選手一覧!$E$7:$E$2738,$F642))</f>
        <v/>
      </c>
      <c r="I642" s="11" t="str">
        <f aca="false">IF(INDEX(選手一覧!$F$7:$F$2738,$F642)="","",INDEX(選手一覧!$F$7:$F$2738,$F642))</f>
        <v/>
      </c>
      <c r="J642" s="12" t="str">
        <f aca="false">IF(INDEX(選手一覧!$G$7:$G$2738,$F642)="","",INDEX(選手一覧!$G$7:$G$2738,$F642))</f>
        <v/>
      </c>
    </row>
    <row r="643" customFormat="false" ht="15" hidden="false" customHeight="false" outlineLevel="0" collapsed="false">
      <c r="A643" s="12" t="n">
        <v>639</v>
      </c>
      <c r="B643" s="10" t="s">
        <v>1977</v>
      </c>
      <c r="C643" s="10" t="s">
        <v>377</v>
      </c>
      <c r="D643" s="11" t="n">
        <v>0.00286099537037037</v>
      </c>
      <c r="E643" s="18" t="n">
        <f aca="false">ROUND((D643-$D$5)*86400,2)</f>
        <v>22.16</v>
      </c>
      <c r="F643" s="12" t="n">
        <v>1362</v>
      </c>
      <c r="G643" s="11" t="str">
        <f aca="false">IF(INDEX(選手一覧!$D$7:$D$2738,$F643)="","",INDEX(選手一覧!$D$7:$D$2738,$F643))</f>
        <v/>
      </c>
      <c r="H643" s="12" t="str">
        <f aca="false">IF(INDEX(選手一覧!$E$7:$E$2738,$F643)="","",INDEX(選手一覧!$E$7:$E$2738,$F643))</f>
        <v/>
      </c>
      <c r="I643" s="11" t="str">
        <f aca="false">IF(INDEX(選手一覧!$F$7:$F$2738,$F643)="","",INDEX(選手一覧!$F$7:$F$2738,$F643))</f>
        <v/>
      </c>
      <c r="J643" s="12" t="str">
        <f aca="false">IF(INDEX(選手一覧!$G$7:$G$2738,$F643)="","",INDEX(選手一覧!$G$7:$G$2738,$F643))</f>
        <v/>
      </c>
    </row>
    <row r="644" customFormat="false" ht="15" hidden="false" customHeight="false" outlineLevel="0" collapsed="false">
      <c r="A644" s="12" t="n">
        <v>640</v>
      </c>
      <c r="B644" s="10" t="s">
        <v>763</v>
      </c>
      <c r="C644" s="10" t="s">
        <v>29</v>
      </c>
      <c r="D644" s="11" t="n">
        <v>0.00286099537037037</v>
      </c>
      <c r="E644" s="18" t="n">
        <f aca="false">ROUND((D644-$D$5)*86400,2)</f>
        <v>22.16</v>
      </c>
      <c r="F644" s="12" t="n">
        <v>492</v>
      </c>
      <c r="G644" s="11" t="n">
        <f aca="false">IF(INDEX(選手一覧!$D$7:$D$2738,$F644)="","",INDEX(選手一覧!$D$7:$D$2738,$F644))</f>
        <v>0.0103527777777778</v>
      </c>
      <c r="H644" s="12" t="n">
        <f aca="false">IF(INDEX(選手一覧!$E$7:$E$2738,$F644)="","",INDEX(選手一覧!$E$7:$E$2738,$F644))</f>
        <v>207</v>
      </c>
      <c r="I644" s="11" t="str">
        <f aca="false">IF(INDEX(選手一覧!$F$7:$F$2738,$F644)="","",INDEX(選手一覧!$F$7:$F$2738,$F644))</f>
        <v/>
      </c>
      <c r="J644" s="12" t="str">
        <f aca="false">IF(INDEX(選手一覧!$G$7:$G$2738,$F644)="","",INDEX(選手一覧!$G$7:$G$2738,$F644))</f>
        <v/>
      </c>
    </row>
    <row r="645" customFormat="false" ht="15" hidden="false" customHeight="false" outlineLevel="0" collapsed="false">
      <c r="A645" s="12" t="n">
        <v>641</v>
      </c>
      <c r="B645" s="10" t="s">
        <v>1980</v>
      </c>
      <c r="C645" s="10" t="s">
        <v>848</v>
      </c>
      <c r="D645" s="11" t="n">
        <v>0.00286111111111111</v>
      </c>
      <c r="E645" s="18" t="n">
        <f aca="false">ROUND((D645-$D$5)*86400,2)</f>
        <v>22.17</v>
      </c>
      <c r="F645" s="12" t="n">
        <v>1364</v>
      </c>
      <c r="G645" s="11" t="n">
        <f aca="false">IF(INDEX(選手一覧!$D$7:$D$2738,$F645)="","",INDEX(選手一覧!$D$7:$D$2738,$F645))</f>
        <v>0.0108413194444445</v>
      </c>
      <c r="H645" s="12" t="n">
        <f aca="false">IF(INDEX(選手一覧!$E$7:$E$2738,$F645)="","",INDEX(選手一覧!$E$7:$E$2738,$F645))</f>
        <v>814</v>
      </c>
      <c r="I645" s="11" t="str">
        <f aca="false">IF(INDEX(選手一覧!$F$7:$F$2738,$F645)="","",INDEX(選手一覧!$F$7:$F$2738,$F645))</f>
        <v/>
      </c>
      <c r="J645" s="12" t="str">
        <f aca="false">IF(INDEX(選手一覧!$G$7:$G$2738,$F645)="","",INDEX(選手一覧!$G$7:$G$2738,$F645))</f>
        <v/>
      </c>
    </row>
    <row r="646" customFormat="false" ht="15" hidden="false" customHeight="false" outlineLevel="0" collapsed="false">
      <c r="A646" s="12" t="n">
        <v>642</v>
      </c>
      <c r="B646" s="10" t="s">
        <v>1984</v>
      </c>
      <c r="C646" s="10" t="s">
        <v>1985</v>
      </c>
      <c r="D646" s="11" t="n">
        <v>0.00286134259259259</v>
      </c>
      <c r="E646" s="18" t="n">
        <f aca="false">ROUND((D646-$D$5)*86400,2)</f>
        <v>22.19</v>
      </c>
      <c r="F646" s="12" t="n">
        <v>1367</v>
      </c>
      <c r="G646" s="11" t="str">
        <f aca="false">IF(INDEX(選手一覧!$D$7:$D$2738,$F646)="","",INDEX(選手一覧!$D$7:$D$2738,$F646))</f>
        <v/>
      </c>
      <c r="H646" s="12" t="str">
        <f aca="false">IF(INDEX(選手一覧!$E$7:$E$2738,$F646)="","",INDEX(選手一覧!$E$7:$E$2738,$F646))</f>
        <v/>
      </c>
      <c r="I646" s="11" t="str">
        <f aca="false">IF(INDEX(選手一覧!$F$7:$F$2738,$F646)="","",INDEX(選手一覧!$F$7:$F$2738,$F646))</f>
        <v/>
      </c>
      <c r="J646" s="12" t="str">
        <f aca="false">IF(INDEX(選手一覧!$G$7:$G$2738,$F646)="","",INDEX(選手一覧!$G$7:$G$2738,$F646))</f>
        <v/>
      </c>
    </row>
    <row r="647" customFormat="false" ht="15" hidden="false" customHeight="false" outlineLevel="0" collapsed="false">
      <c r="A647" s="12" t="n">
        <v>643</v>
      </c>
      <c r="B647" s="10" t="s">
        <v>364</v>
      </c>
      <c r="C647" s="10" t="s">
        <v>350</v>
      </c>
      <c r="D647" s="11" t="n">
        <v>0.00286180555555556</v>
      </c>
      <c r="E647" s="18" t="n">
        <f aca="false">ROUND((D647-$D$5)*86400,2)</f>
        <v>22.23</v>
      </c>
      <c r="F647" s="12" t="n">
        <v>216</v>
      </c>
      <c r="G647" s="11" t="n">
        <f aca="false">IF(INDEX(選手一覧!$D$7:$D$2738,$F647)="","",INDEX(選手一覧!$D$7:$D$2738,$F647))</f>
        <v>0.0101872685185185</v>
      </c>
      <c r="H647" s="12" t="n">
        <f aca="false">IF(INDEX(選手一覧!$E$7:$E$2738,$F647)="","",INDEX(選手一覧!$E$7:$E$2738,$F647))</f>
        <v>89</v>
      </c>
      <c r="I647" s="11" t="str">
        <f aca="false">IF(INDEX(選手一覧!$F$7:$F$2738,$F647)="","",INDEX(選手一覧!$F$7:$F$2738,$F647))</f>
        <v/>
      </c>
      <c r="J647" s="12" t="str">
        <f aca="false">IF(INDEX(選手一覧!$G$7:$G$2738,$F647)="","",INDEX(選手一覧!$G$7:$G$2738,$F647))</f>
        <v/>
      </c>
    </row>
    <row r="648" customFormat="false" ht="15" hidden="false" customHeight="false" outlineLevel="0" collapsed="false">
      <c r="A648" s="12" t="n">
        <v>644</v>
      </c>
      <c r="B648" s="10" t="s">
        <v>1987</v>
      </c>
      <c r="C648" s="10" t="s">
        <v>254</v>
      </c>
      <c r="D648" s="11" t="n">
        <v>0.00286180555555556</v>
      </c>
      <c r="E648" s="18" t="n">
        <f aca="false">ROUND((D648-$D$5)*86400,2)</f>
        <v>22.23</v>
      </c>
      <c r="F648" s="12" t="n">
        <v>1369</v>
      </c>
      <c r="G648" s="11" t="n">
        <f aca="false">IF(INDEX(選手一覧!$D$7:$D$2738,$F648)="","",INDEX(選手一覧!$D$7:$D$2738,$F648))</f>
        <v>0.0108318287037037</v>
      </c>
      <c r="H648" s="12" t="n">
        <f aca="false">IF(INDEX(選手一覧!$E$7:$E$2738,$F648)="","",INDEX(選手一覧!$E$7:$E$2738,$F648))</f>
        <v>796</v>
      </c>
      <c r="I648" s="11" t="str">
        <f aca="false">IF(INDEX(選手一覧!$F$7:$F$2738,$F648)="","",INDEX(選手一覧!$F$7:$F$2738,$F648))</f>
        <v/>
      </c>
      <c r="J648" s="12" t="str">
        <f aca="false">IF(INDEX(選手一覧!$G$7:$G$2738,$F648)="","",INDEX(選手一覧!$G$7:$G$2738,$F648))</f>
        <v/>
      </c>
    </row>
    <row r="649" customFormat="false" ht="15" hidden="false" customHeight="false" outlineLevel="0" collapsed="false">
      <c r="A649" s="12" t="n">
        <v>645</v>
      </c>
      <c r="B649" s="10" t="s">
        <v>1994</v>
      </c>
      <c r="C649" s="10" t="s">
        <v>1079</v>
      </c>
      <c r="D649" s="11" t="n">
        <v>0.0028619212962963</v>
      </c>
      <c r="E649" s="18" t="n">
        <f aca="false">ROUND((D649-$D$5)*86400,2)</f>
        <v>22.24</v>
      </c>
      <c r="F649" s="12" t="n">
        <v>1374</v>
      </c>
      <c r="G649" s="11" t="str">
        <f aca="false">IF(INDEX(選手一覧!$D$7:$D$2738,$F649)="","",INDEX(選手一覧!$D$7:$D$2738,$F649))</f>
        <v/>
      </c>
      <c r="H649" s="12" t="str">
        <f aca="false">IF(INDEX(選手一覧!$E$7:$E$2738,$F649)="","",INDEX(選手一覧!$E$7:$E$2738,$F649))</f>
        <v/>
      </c>
      <c r="I649" s="11" t="str">
        <f aca="false">IF(INDEX(選手一覧!$F$7:$F$2738,$F649)="","",INDEX(選手一覧!$F$7:$F$2738,$F649))</f>
        <v/>
      </c>
      <c r="J649" s="12" t="str">
        <f aca="false">IF(INDEX(選手一覧!$G$7:$G$2738,$F649)="","",INDEX(選手一覧!$G$7:$G$2738,$F649))</f>
        <v/>
      </c>
    </row>
    <row r="650" customFormat="false" ht="15" hidden="false" customHeight="false" outlineLevel="0" collapsed="false">
      <c r="A650" s="12" t="n">
        <v>646</v>
      </c>
      <c r="B650" s="10" t="s">
        <v>1997</v>
      </c>
      <c r="C650" s="10" t="s">
        <v>1998</v>
      </c>
      <c r="D650" s="11" t="n">
        <v>0.00286215277777778</v>
      </c>
      <c r="E650" s="18" t="n">
        <f aca="false">ROUND((D650-$D$5)*86400,2)</f>
        <v>22.26</v>
      </c>
      <c r="F650" s="12" t="n">
        <v>1377</v>
      </c>
      <c r="G650" s="11" t="str">
        <f aca="false">IF(INDEX(選手一覧!$D$7:$D$2738,$F650)="","",INDEX(選手一覧!$D$7:$D$2738,$F650))</f>
        <v/>
      </c>
      <c r="H650" s="12" t="str">
        <f aca="false">IF(INDEX(選手一覧!$E$7:$E$2738,$F650)="","",INDEX(選手一覧!$E$7:$E$2738,$F650))</f>
        <v/>
      </c>
      <c r="I650" s="11" t="str">
        <f aca="false">IF(INDEX(選手一覧!$F$7:$F$2738,$F650)="","",INDEX(選手一覧!$F$7:$F$2738,$F650))</f>
        <v/>
      </c>
      <c r="J650" s="12" t="str">
        <f aca="false">IF(INDEX(選手一覧!$G$7:$G$2738,$F650)="","",INDEX(選手一覧!$G$7:$G$2738,$F650))</f>
        <v/>
      </c>
    </row>
    <row r="651" customFormat="false" ht="15" hidden="false" customHeight="false" outlineLevel="0" collapsed="false">
      <c r="A651" s="12" t="n">
        <v>647</v>
      </c>
      <c r="B651" s="10" t="s">
        <v>1999</v>
      </c>
      <c r="C651" s="10" t="s">
        <v>486</v>
      </c>
      <c r="D651" s="11" t="n">
        <v>0.00286215277777778</v>
      </c>
      <c r="E651" s="18" t="n">
        <f aca="false">ROUND((D651-$D$5)*86400,2)</f>
        <v>22.26</v>
      </c>
      <c r="F651" s="12" t="n">
        <v>1378</v>
      </c>
      <c r="G651" s="11" t="n">
        <f aca="false">IF(INDEX(選手一覧!$D$7:$D$2738,$F651)="","",INDEX(選手一覧!$D$7:$D$2738,$F651))</f>
        <v>0.0108479166666667</v>
      </c>
      <c r="H651" s="12" t="n">
        <f aca="false">IF(INDEX(選手一覧!$E$7:$E$2738,$F651)="","",INDEX(選手一覧!$E$7:$E$2738,$F651))</f>
        <v>831</v>
      </c>
      <c r="I651" s="11" t="str">
        <f aca="false">IF(INDEX(選手一覧!$F$7:$F$2738,$F651)="","",INDEX(選手一覧!$F$7:$F$2738,$F651))</f>
        <v/>
      </c>
      <c r="J651" s="12" t="str">
        <f aca="false">IF(INDEX(選手一覧!$G$7:$G$2738,$F651)="","",INDEX(選手一覧!$G$7:$G$2738,$F651))</f>
        <v/>
      </c>
    </row>
    <row r="652" customFormat="false" ht="15" hidden="false" customHeight="false" outlineLevel="0" collapsed="false">
      <c r="A652" s="12" t="n">
        <v>648</v>
      </c>
      <c r="B652" s="10" t="s">
        <v>1439</v>
      </c>
      <c r="C652" s="10" t="s">
        <v>1440</v>
      </c>
      <c r="D652" s="11" t="n">
        <v>0.00286226851851852</v>
      </c>
      <c r="E652" s="18" t="n">
        <f aca="false">ROUND((D652-$D$5)*86400,2)</f>
        <v>22.27</v>
      </c>
      <c r="F652" s="12" t="n">
        <v>985</v>
      </c>
      <c r="G652" s="11" t="n">
        <f aca="false">IF(INDEX(選手一覧!$D$7:$D$2738,$F652)="","",INDEX(選手一覧!$D$7:$D$2738,$F652))</f>
        <v>0.0105841435185185</v>
      </c>
      <c r="H652" s="12" t="n">
        <f aca="false">IF(INDEX(選手一覧!$E$7:$E$2738,$F652)="","",INDEX(選手一覧!$E$7:$E$2738,$F652))</f>
        <v>441</v>
      </c>
      <c r="I652" s="11" t="str">
        <f aca="false">IF(INDEX(選手一覧!$F$7:$F$2738,$F652)="","",INDEX(選手一覧!$F$7:$F$2738,$F652))</f>
        <v/>
      </c>
      <c r="J652" s="12" t="str">
        <f aca="false">IF(INDEX(選手一覧!$G$7:$G$2738,$F652)="","",INDEX(選手一覧!$G$7:$G$2738,$F652))</f>
        <v/>
      </c>
    </row>
    <row r="653" customFormat="false" ht="15" hidden="false" customHeight="false" outlineLevel="0" collapsed="false">
      <c r="A653" s="12" t="n">
        <v>649</v>
      </c>
      <c r="B653" s="10" t="s">
        <v>2003</v>
      </c>
      <c r="C653" s="10" t="s">
        <v>688</v>
      </c>
      <c r="D653" s="11" t="n">
        <v>0.00286226851851852</v>
      </c>
      <c r="E653" s="18" t="n">
        <f aca="false">ROUND((D653-$D$5)*86400,2)</f>
        <v>22.27</v>
      </c>
      <c r="F653" s="12" t="n">
        <v>1381</v>
      </c>
      <c r="G653" s="11" t="n">
        <f aca="false">IF(INDEX(選手一覧!$D$7:$D$2738,$F653)="","",INDEX(選手一覧!$D$7:$D$2738,$F653))</f>
        <v>0.0109695601851852</v>
      </c>
      <c r="H653" s="12" t="n">
        <f aca="false">IF(INDEX(選手一覧!$E$7:$E$2738,$F653)="","",INDEX(選手一覧!$E$7:$E$2738,$F653))</f>
        <v>1037</v>
      </c>
      <c r="I653" s="11" t="str">
        <f aca="false">IF(INDEX(選手一覧!$F$7:$F$2738,$F653)="","",INDEX(選手一覧!$F$7:$F$2738,$F653))</f>
        <v/>
      </c>
      <c r="J653" s="12" t="str">
        <f aca="false">IF(INDEX(選手一覧!$G$7:$G$2738,$F653)="","",INDEX(選手一覧!$G$7:$G$2738,$F653))</f>
        <v/>
      </c>
    </row>
    <row r="654" customFormat="false" ht="15" hidden="false" customHeight="false" outlineLevel="0" collapsed="false">
      <c r="A654" s="12" t="n">
        <v>650</v>
      </c>
      <c r="B654" s="10" t="s">
        <v>737</v>
      </c>
      <c r="C654" s="10" t="s">
        <v>738</v>
      </c>
      <c r="D654" s="11" t="n">
        <v>0.00286238425925926</v>
      </c>
      <c r="E654" s="18" t="n">
        <f aca="false">ROUND((D654-$D$5)*86400,2)</f>
        <v>22.28</v>
      </c>
      <c r="F654" s="12" t="n">
        <v>476</v>
      </c>
      <c r="G654" s="11" t="n">
        <f aca="false">IF(INDEX(選手一覧!$D$7:$D$2738,$F654)="","",INDEX(選手一覧!$D$7:$D$2738,$F654))</f>
        <v>0.0108596064814815</v>
      </c>
      <c r="H654" s="12" t="n">
        <f aca="false">IF(INDEX(選手一覧!$E$7:$E$2738,$F654)="","",INDEX(選手一覧!$E$7:$E$2738,$F654))</f>
        <v>847</v>
      </c>
      <c r="I654" s="11" t="n">
        <f aca="false">IF(INDEX(選手一覧!$F$7:$F$2738,$F654)="","",INDEX(選手一覧!$F$7:$F$2738,$F654))</f>
        <v>0.00684479166666667</v>
      </c>
      <c r="J654" s="12" t="n">
        <f aca="false">IF(INDEX(選手一覧!$G$7:$G$2738,$F654)="","",INDEX(選手一覧!$G$7:$G$2738,$F654))</f>
        <v>200</v>
      </c>
    </row>
    <row r="655" customFormat="false" ht="15" hidden="false" customHeight="false" outlineLevel="0" collapsed="false">
      <c r="A655" s="12" t="n">
        <v>651</v>
      </c>
      <c r="B655" s="10" t="s">
        <v>2006</v>
      </c>
      <c r="C655" s="10" t="s">
        <v>490</v>
      </c>
      <c r="D655" s="11" t="n">
        <v>0.0028625</v>
      </c>
      <c r="E655" s="18" t="n">
        <f aca="false">ROUND((D655-$D$5)*86400,2)</f>
        <v>22.29</v>
      </c>
      <c r="F655" s="12" t="n">
        <v>1384</v>
      </c>
      <c r="G655" s="11" t="n">
        <f aca="false">IF(INDEX(選手一覧!$D$7:$D$2738,$F655)="","",INDEX(選手一覧!$D$7:$D$2738,$F655))</f>
        <v>0.0108391203703704</v>
      </c>
      <c r="H655" s="12" t="n">
        <f aca="false">IF(INDEX(選手一覧!$E$7:$E$2738,$F655)="","",INDEX(選手一覧!$E$7:$E$2738,$F655))</f>
        <v>811</v>
      </c>
      <c r="I655" s="11" t="str">
        <f aca="false">IF(INDEX(選手一覧!$F$7:$F$2738,$F655)="","",INDEX(選手一覧!$F$7:$F$2738,$F655))</f>
        <v/>
      </c>
      <c r="J655" s="12" t="str">
        <f aca="false">IF(INDEX(選手一覧!$G$7:$G$2738,$F655)="","",INDEX(選手一覧!$G$7:$G$2738,$F655))</f>
        <v/>
      </c>
    </row>
    <row r="656" customFormat="false" ht="15" hidden="false" customHeight="false" outlineLevel="0" collapsed="false">
      <c r="A656" s="12" t="n">
        <v>652</v>
      </c>
      <c r="B656" s="10" t="s">
        <v>2010</v>
      </c>
      <c r="C656" s="10" t="s">
        <v>577</v>
      </c>
      <c r="D656" s="11" t="n">
        <v>0.00286261574074074</v>
      </c>
      <c r="E656" s="18" t="n">
        <f aca="false">ROUND((D656-$D$5)*86400,2)</f>
        <v>22.3</v>
      </c>
      <c r="F656" s="12" t="n">
        <v>1387</v>
      </c>
      <c r="G656" s="11" t="n">
        <f aca="false">IF(INDEX(選手一覧!$D$7:$D$2738,$F656)="","",INDEX(選手一覧!$D$7:$D$2738,$F656))</f>
        <v>0.0108318287037037</v>
      </c>
      <c r="H656" s="12" t="n">
        <f aca="false">IF(INDEX(選手一覧!$E$7:$E$2738,$F656)="","",INDEX(選手一覧!$E$7:$E$2738,$F656))</f>
        <v>795</v>
      </c>
      <c r="I656" s="11" t="str">
        <f aca="false">IF(INDEX(選手一覧!$F$7:$F$2738,$F656)="","",INDEX(選手一覧!$F$7:$F$2738,$F656))</f>
        <v/>
      </c>
      <c r="J656" s="12" t="str">
        <f aca="false">IF(INDEX(選手一覧!$G$7:$G$2738,$F656)="","",INDEX(選手一覧!$G$7:$G$2738,$F656))</f>
        <v/>
      </c>
    </row>
    <row r="657" customFormat="false" ht="15" hidden="false" customHeight="false" outlineLevel="0" collapsed="false">
      <c r="A657" s="12" t="n">
        <v>653</v>
      </c>
      <c r="B657" s="10" t="s">
        <v>1103</v>
      </c>
      <c r="C657" s="10" t="s">
        <v>114</v>
      </c>
      <c r="D657" s="11" t="n">
        <v>0.00286261574074074</v>
      </c>
      <c r="E657" s="18" t="n">
        <f aca="false">ROUND((D657-$D$5)*86400,2)</f>
        <v>22.3</v>
      </c>
      <c r="F657" s="12" t="n">
        <v>743</v>
      </c>
      <c r="G657" s="11" t="n">
        <f aca="false">IF(INDEX(選手一覧!$D$7:$D$2738,$F657)="","",INDEX(選手一覧!$D$7:$D$2738,$F657))</f>
        <v>0.0110209490740741</v>
      </c>
      <c r="H657" s="12" t="n">
        <f aca="false">IF(INDEX(選手一覧!$E$7:$E$2738,$F657)="","",INDEX(選手一覧!$E$7:$E$2738,$F657))</f>
        <v>1131</v>
      </c>
      <c r="I657" s="11" t="n">
        <f aca="false">IF(INDEX(選手一覧!$F$7:$F$2738,$F657)="","",INDEX(選手一覧!$F$7:$F$2738,$F657))</f>
        <v>0.00698761574074074</v>
      </c>
      <c r="J657" s="12" t="n">
        <f aca="false">IF(INDEX(選手一覧!$G$7:$G$2738,$F657)="","",INDEX(選手一覧!$G$7:$G$2738,$F657))</f>
        <v>322</v>
      </c>
    </row>
    <row r="658" customFormat="false" ht="15" hidden="false" customHeight="false" outlineLevel="0" collapsed="false">
      <c r="A658" s="12" t="n">
        <v>654</v>
      </c>
      <c r="B658" s="10" t="s">
        <v>24</v>
      </c>
      <c r="C658" s="10" t="s">
        <v>25</v>
      </c>
      <c r="D658" s="11" t="n">
        <v>0.00286273148148148</v>
      </c>
      <c r="E658" s="18" t="n">
        <f aca="false">ROUND((D658-$D$5)*86400,2)</f>
        <v>22.31</v>
      </c>
      <c r="F658" s="12" t="n">
        <v>2</v>
      </c>
      <c r="G658" s="11" t="n">
        <f aca="false">IF(INDEX(選手一覧!$D$7:$D$2738,$F658)="","",INDEX(選手一覧!$D$7:$D$2738,$F658))</f>
        <v>0.0102148148148148</v>
      </c>
      <c r="H658" s="12" t="n">
        <f aca="false">IF(INDEX(選手一覧!$E$7:$E$2738,$F658)="","",INDEX(選手一覧!$E$7:$E$2738,$F658))</f>
        <v>104</v>
      </c>
      <c r="I658" s="11" t="n">
        <f aca="false">IF(INDEX(選手一覧!$F$7:$F$2738,$F658)="","",INDEX(選手一覧!$F$7:$F$2738,$F658))</f>
        <v>0.00623865740740741</v>
      </c>
      <c r="J658" s="12" t="n">
        <f aca="false">IF(INDEX(選手一覧!$G$7:$G$2738,$F658)="","",INDEX(選手一覧!$G$7:$G$2738,$F658))</f>
        <v>1</v>
      </c>
    </row>
    <row r="659" customFormat="false" ht="15" hidden="false" customHeight="false" outlineLevel="0" collapsed="false">
      <c r="A659" s="12" t="n">
        <v>655</v>
      </c>
      <c r="B659" s="10" t="s">
        <v>591</v>
      </c>
      <c r="C659" s="10" t="s">
        <v>592</v>
      </c>
      <c r="D659" s="11" t="n">
        <v>0.00286273148148148</v>
      </c>
      <c r="E659" s="18" t="n">
        <f aca="false">ROUND((D659-$D$5)*86400,2)</f>
        <v>22.31</v>
      </c>
      <c r="F659" s="12" t="n">
        <v>373</v>
      </c>
      <c r="G659" s="11" t="n">
        <f aca="false">IF(INDEX(選手一覧!$D$7:$D$2738,$F659)="","",INDEX(選手一覧!$D$7:$D$2738,$F659))</f>
        <v>0.0108329861111111</v>
      </c>
      <c r="H659" s="12" t="n">
        <f aca="false">IF(INDEX(選手一覧!$E$7:$E$2738,$F659)="","",INDEX(選手一覧!$E$7:$E$2738,$F659))</f>
        <v>799</v>
      </c>
      <c r="I659" s="11" t="n">
        <f aca="false">IF(INDEX(選手一覧!$F$7:$F$2738,$F659)="","",INDEX(選手一覧!$F$7:$F$2738,$F659))</f>
        <v>0.00678356481481482</v>
      </c>
      <c r="J659" s="12" t="n">
        <f aca="false">IF(INDEX(選手一覧!$G$7:$G$2738,$F659)="","",INDEX(選手一覧!$G$7:$G$2738,$F659))</f>
        <v>158</v>
      </c>
    </row>
    <row r="660" customFormat="false" ht="15" hidden="false" customHeight="false" outlineLevel="0" collapsed="false">
      <c r="A660" s="12" t="n">
        <v>656</v>
      </c>
      <c r="B660" s="10" t="s">
        <v>99</v>
      </c>
      <c r="C660" s="10" t="s">
        <v>25</v>
      </c>
      <c r="D660" s="11" t="n">
        <v>0.0028630787037037</v>
      </c>
      <c r="E660" s="18" t="n">
        <f aca="false">ROUND((D660-$D$5)*86400,2)</f>
        <v>22.34</v>
      </c>
      <c r="F660" s="12" t="n">
        <v>44</v>
      </c>
      <c r="G660" s="11" t="n">
        <f aca="false">IF(INDEX(選手一覧!$D$7:$D$2738,$F660)="","",INDEX(選手一覧!$D$7:$D$2738,$F660))</f>
        <v>0.00994131944444444</v>
      </c>
      <c r="H660" s="12" t="n">
        <f aca="false">IF(INDEX(選手一覧!$E$7:$E$2738,$F660)="","",INDEX(選手一覧!$E$7:$E$2738,$F660))</f>
        <v>17</v>
      </c>
      <c r="I660" s="11" t="str">
        <f aca="false">IF(INDEX(選手一覧!$F$7:$F$2738,$F660)="","",INDEX(選手一覧!$F$7:$F$2738,$F660))</f>
        <v/>
      </c>
      <c r="J660" s="12" t="str">
        <f aca="false">IF(INDEX(選手一覧!$G$7:$G$2738,$F660)="","",INDEX(選手一覧!$G$7:$G$2738,$F660))</f>
        <v/>
      </c>
    </row>
    <row r="661" customFormat="false" ht="15" hidden="false" customHeight="false" outlineLevel="0" collapsed="false">
      <c r="A661" s="12" t="n">
        <v>657</v>
      </c>
      <c r="B661" s="10" t="s">
        <v>2022</v>
      </c>
      <c r="C661" s="10" t="s">
        <v>242</v>
      </c>
      <c r="D661" s="11" t="n">
        <v>0.00286342592592593</v>
      </c>
      <c r="E661" s="18" t="n">
        <f aca="false">ROUND((D661-$D$5)*86400,2)</f>
        <v>22.37</v>
      </c>
      <c r="F661" s="12" t="n">
        <v>1396</v>
      </c>
      <c r="G661" s="11" t="str">
        <f aca="false">IF(INDEX(選手一覧!$D$7:$D$2738,$F661)="","",INDEX(選手一覧!$D$7:$D$2738,$F661))</f>
        <v/>
      </c>
      <c r="H661" s="12" t="str">
        <f aca="false">IF(INDEX(選手一覧!$E$7:$E$2738,$F661)="","",INDEX(選手一覧!$E$7:$E$2738,$F661))</f>
        <v/>
      </c>
      <c r="I661" s="11" t="str">
        <f aca="false">IF(INDEX(選手一覧!$F$7:$F$2738,$F661)="","",INDEX(選手一覧!$F$7:$F$2738,$F661))</f>
        <v/>
      </c>
      <c r="J661" s="12" t="str">
        <f aca="false">IF(INDEX(選手一覧!$G$7:$G$2738,$F661)="","",INDEX(選手一覧!$G$7:$G$2738,$F661))</f>
        <v/>
      </c>
    </row>
    <row r="662" customFormat="false" ht="15" hidden="false" customHeight="false" outlineLevel="0" collapsed="false">
      <c r="A662" s="12" t="n">
        <v>658</v>
      </c>
      <c r="B662" s="10" t="s">
        <v>1676</v>
      </c>
      <c r="C662" s="10" t="s">
        <v>440</v>
      </c>
      <c r="D662" s="11" t="n">
        <v>0.00286354166666667</v>
      </c>
      <c r="E662" s="18" t="n">
        <f aca="false">ROUND((D662-$D$5)*86400,2)</f>
        <v>22.38</v>
      </c>
      <c r="F662" s="12" t="n">
        <v>1154</v>
      </c>
      <c r="G662" s="11" t="n">
        <f aca="false">IF(INDEX(選手一覧!$D$7:$D$2738,$F662)="","",INDEX(選手一覧!$D$7:$D$2738,$F662))</f>
        <v>0.0106502314814815</v>
      </c>
      <c r="H662" s="12" t="n">
        <f aca="false">IF(INDEX(選手一覧!$E$7:$E$2738,$F662)="","",INDEX(選手一覧!$E$7:$E$2738,$F662))</f>
        <v>526</v>
      </c>
      <c r="I662" s="11" t="str">
        <f aca="false">IF(INDEX(選手一覧!$F$7:$F$2738,$F662)="","",INDEX(選手一覧!$F$7:$F$2738,$F662))</f>
        <v/>
      </c>
      <c r="J662" s="12" t="str">
        <f aca="false">IF(INDEX(選手一覧!$G$7:$G$2738,$F662)="","",INDEX(選手一覧!$G$7:$G$2738,$F662))</f>
        <v/>
      </c>
    </row>
    <row r="663" customFormat="false" ht="15" hidden="false" customHeight="false" outlineLevel="0" collapsed="false">
      <c r="A663" s="12" t="n">
        <v>659</v>
      </c>
      <c r="B663" s="10" t="s">
        <v>2026</v>
      </c>
      <c r="C663" s="10" t="s">
        <v>945</v>
      </c>
      <c r="D663" s="11" t="n">
        <v>0.00286377314814815</v>
      </c>
      <c r="E663" s="18" t="n">
        <f aca="false">ROUND((D663-$D$5)*86400,2)</f>
        <v>22.4</v>
      </c>
      <c r="F663" s="12" t="n">
        <v>1399</v>
      </c>
      <c r="G663" s="11" t="n">
        <f aca="false">IF(INDEX(選手一覧!$D$7:$D$2738,$F663)="","",INDEX(選手一覧!$D$7:$D$2738,$F663))</f>
        <v>0.0109716435185185</v>
      </c>
      <c r="H663" s="12" t="n">
        <f aca="false">IF(INDEX(選手一覧!$E$7:$E$2738,$F663)="","",INDEX(選手一覧!$E$7:$E$2738,$F663))</f>
        <v>1044</v>
      </c>
      <c r="I663" s="11" t="str">
        <f aca="false">IF(INDEX(選手一覧!$F$7:$F$2738,$F663)="","",INDEX(選手一覧!$F$7:$F$2738,$F663))</f>
        <v/>
      </c>
      <c r="J663" s="12" t="str">
        <f aca="false">IF(INDEX(選手一覧!$G$7:$G$2738,$F663)="","",INDEX(選手一覧!$G$7:$G$2738,$F663))</f>
        <v/>
      </c>
    </row>
    <row r="664" customFormat="false" ht="15" hidden="false" customHeight="false" outlineLevel="0" collapsed="false">
      <c r="A664" s="12" t="n">
        <v>660</v>
      </c>
      <c r="B664" s="10" t="s">
        <v>2030</v>
      </c>
      <c r="C664" s="10" t="s">
        <v>2031</v>
      </c>
      <c r="D664" s="11" t="n">
        <v>0.00286400462962963</v>
      </c>
      <c r="E664" s="18" t="n">
        <f aca="false">ROUND((D664-$D$5)*86400,2)</f>
        <v>22.42</v>
      </c>
      <c r="F664" s="12" t="n">
        <v>1403</v>
      </c>
      <c r="G664" s="11" t="str">
        <f aca="false">IF(INDEX(選手一覧!$D$7:$D$2738,$F664)="","",INDEX(選手一覧!$D$7:$D$2738,$F664))</f>
        <v/>
      </c>
      <c r="H664" s="12" t="str">
        <f aca="false">IF(INDEX(選手一覧!$E$7:$E$2738,$F664)="","",INDEX(選手一覧!$E$7:$E$2738,$F664))</f>
        <v/>
      </c>
      <c r="I664" s="11" t="str">
        <f aca="false">IF(INDEX(選手一覧!$F$7:$F$2738,$F664)="","",INDEX(選手一覧!$F$7:$F$2738,$F664))</f>
        <v/>
      </c>
      <c r="J664" s="12" t="str">
        <f aca="false">IF(INDEX(選手一覧!$G$7:$G$2738,$F664)="","",INDEX(選手一覧!$G$7:$G$2738,$F664))</f>
        <v/>
      </c>
    </row>
    <row r="665" customFormat="false" ht="15" hidden="false" customHeight="false" outlineLevel="0" collapsed="false">
      <c r="A665" s="12" t="n">
        <v>661</v>
      </c>
      <c r="B665" s="10" t="s">
        <v>235</v>
      </c>
      <c r="C665" s="10" t="s">
        <v>210</v>
      </c>
      <c r="D665" s="11" t="n">
        <v>0.00286423611111111</v>
      </c>
      <c r="E665" s="18" t="n">
        <f aca="false">ROUND((D665-$D$5)*86400,2)</f>
        <v>22.44</v>
      </c>
      <c r="F665" s="12" t="n">
        <v>126</v>
      </c>
      <c r="G665" s="11" t="n">
        <f aca="false">IF(INDEX(選手一覧!$D$7:$D$2738,$F665)="","",INDEX(選手一覧!$D$7:$D$2738,$F665))</f>
        <v>0.0107427083333333</v>
      </c>
      <c r="H665" s="12" t="n">
        <f aca="false">IF(INDEX(選手一覧!$E$7:$E$2738,$F665)="","",INDEX(選手一覧!$E$7:$E$2738,$F665))</f>
        <v>657</v>
      </c>
      <c r="I665" s="11" t="n">
        <f aca="false">IF(INDEX(選手一覧!$F$7:$F$2738,$F665)="","",INDEX(選手一覧!$F$7:$F$2738,$F665))</f>
        <v>0.00656342592592593</v>
      </c>
      <c r="J665" s="12" t="n">
        <f aca="false">IF(INDEX(選手一覧!$G$7:$G$2738,$F665)="","",INDEX(選手一覧!$G$7:$G$2738,$F665))</f>
        <v>49</v>
      </c>
    </row>
    <row r="666" customFormat="false" ht="15" hidden="false" customHeight="false" outlineLevel="0" collapsed="false">
      <c r="A666" s="12" t="n">
        <v>662</v>
      </c>
      <c r="B666" s="10" t="s">
        <v>2036</v>
      </c>
      <c r="C666" s="10" t="s">
        <v>1729</v>
      </c>
      <c r="D666" s="11" t="n">
        <v>0.00286446759259259</v>
      </c>
      <c r="E666" s="18" t="n">
        <f aca="false">ROUND((D666-$D$5)*86400,2)</f>
        <v>22.46</v>
      </c>
      <c r="F666" s="12" t="n">
        <v>1407</v>
      </c>
      <c r="G666" s="11" t="str">
        <f aca="false">IF(INDEX(選手一覧!$D$7:$D$2738,$F666)="","",INDEX(選手一覧!$D$7:$D$2738,$F666))</f>
        <v/>
      </c>
      <c r="H666" s="12" t="str">
        <f aca="false">IF(INDEX(選手一覧!$E$7:$E$2738,$F666)="","",INDEX(選手一覧!$E$7:$E$2738,$F666))</f>
        <v/>
      </c>
      <c r="I666" s="11" t="str">
        <f aca="false">IF(INDEX(選手一覧!$F$7:$F$2738,$F666)="","",INDEX(選手一覧!$F$7:$F$2738,$F666))</f>
        <v/>
      </c>
      <c r="J666" s="12" t="str">
        <f aca="false">IF(INDEX(選手一覧!$G$7:$G$2738,$F666)="","",INDEX(選手一覧!$G$7:$G$2738,$F666))</f>
        <v/>
      </c>
    </row>
    <row r="667" customFormat="false" ht="15" hidden="false" customHeight="false" outlineLevel="0" collapsed="false">
      <c r="A667" s="12" t="n">
        <v>663</v>
      </c>
      <c r="B667" s="10" t="s">
        <v>135</v>
      </c>
      <c r="C667" s="10" t="s">
        <v>136</v>
      </c>
      <c r="D667" s="11" t="n">
        <v>0.00286458333333333</v>
      </c>
      <c r="E667" s="18" t="n">
        <f aca="false">ROUND((D667-$D$5)*86400,2)</f>
        <v>22.47</v>
      </c>
      <c r="F667" s="12" t="n">
        <v>63</v>
      </c>
      <c r="G667" s="11" t="n">
        <f aca="false">IF(INDEX(選手一覧!$D$7:$D$2738,$F667)="","",INDEX(選手一覧!$D$7:$D$2738,$F667))</f>
        <v>0.0103917824074074</v>
      </c>
      <c r="H667" s="12" t="n">
        <f aca="false">IF(INDEX(選手一覧!$E$7:$E$2738,$F667)="","",INDEX(選手一覧!$E$7:$E$2738,$F667))</f>
        <v>252</v>
      </c>
      <c r="I667" s="11" t="n">
        <f aca="false">IF(INDEX(選手一覧!$F$7:$F$2738,$F667)="","",INDEX(選手一覧!$F$7:$F$2738,$F667))</f>
        <v>0.00646053240740741</v>
      </c>
      <c r="J667" s="12" t="n">
        <f aca="false">IF(INDEX(選手一覧!$G$7:$G$2738,$F667)="","",INDEX(選手一覧!$G$7:$G$2738,$F667))</f>
        <v>25</v>
      </c>
    </row>
    <row r="668" customFormat="false" ht="15" hidden="false" customHeight="false" outlineLevel="0" collapsed="false">
      <c r="A668" s="12" t="n">
        <v>664</v>
      </c>
      <c r="B668" s="10" t="s">
        <v>2040</v>
      </c>
      <c r="C668" s="10" t="s">
        <v>2041</v>
      </c>
      <c r="D668" s="11" t="n">
        <v>0.00286469907407407</v>
      </c>
      <c r="E668" s="18" t="n">
        <f aca="false">ROUND((D668-$D$5)*86400,2)</f>
        <v>22.48</v>
      </c>
      <c r="F668" s="12" t="n">
        <v>1410</v>
      </c>
      <c r="G668" s="11" t="n">
        <f aca="false">IF(INDEX(選手一覧!$D$7:$D$2738,$F668)="","",INDEX(選手一覧!$D$7:$D$2738,$F668))</f>
        <v>0.0111123842592593</v>
      </c>
      <c r="H668" s="12" t="n">
        <f aca="false">IF(INDEX(選手一覧!$E$7:$E$2738,$F668)="","",INDEX(選手一覧!$E$7:$E$2738,$F668))</f>
        <v>1279</v>
      </c>
      <c r="I668" s="11" t="str">
        <f aca="false">IF(INDEX(選手一覧!$F$7:$F$2738,$F668)="","",INDEX(選手一覧!$F$7:$F$2738,$F668))</f>
        <v/>
      </c>
      <c r="J668" s="12" t="str">
        <f aca="false">IF(INDEX(選手一覧!$G$7:$G$2738,$F668)="","",INDEX(選手一覧!$G$7:$G$2738,$F668))</f>
        <v/>
      </c>
    </row>
    <row r="669" customFormat="false" ht="15" hidden="false" customHeight="false" outlineLevel="0" collapsed="false">
      <c r="A669" s="12" t="n">
        <v>665</v>
      </c>
      <c r="B669" s="10" t="s">
        <v>2043</v>
      </c>
      <c r="C669" s="10" t="s">
        <v>2044</v>
      </c>
      <c r="D669" s="11" t="n">
        <v>0.00286481481481482</v>
      </c>
      <c r="E669" s="18" t="n">
        <f aca="false">ROUND((D669-$D$5)*86400,2)</f>
        <v>22.49</v>
      </c>
      <c r="F669" s="12" t="n">
        <v>1412</v>
      </c>
      <c r="G669" s="11" t="str">
        <f aca="false">IF(INDEX(選手一覧!$D$7:$D$2738,$F669)="","",INDEX(選手一覧!$D$7:$D$2738,$F669))</f>
        <v/>
      </c>
      <c r="H669" s="12" t="str">
        <f aca="false">IF(INDEX(選手一覧!$E$7:$E$2738,$F669)="","",INDEX(選手一覧!$E$7:$E$2738,$F669))</f>
        <v/>
      </c>
      <c r="I669" s="11" t="str">
        <f aca="false">IF(INDEX(選手一覧!$F$7:$F$2738,$F669)="","",INDEX(選手一覧!$F$7:$F$2738,$F669))</f>
        <v/>
      </c>
      <c r="J669" s="12" t="str">
        <f aca="false">IF(INDEX(選手一覧!$G$7:$G$2738,$F669)="","",INDEX(選手一覧!$G$7:$G$2738,$F669))</f>
        <v/>
      </c>
    </row>
    <row r="670" customFormat="false" ht="15" hidden="false" customHeight="false" outlineLevel="0" collapsed="false">
      <c r="A670" s="12" t="n">
        <v>666</v>
      </c>
      <c r="B670" s="10" t="s">
        <v>993</v>
      </c>
      <c r="C670" s="10" t="s">
        <v>261</v>
      </c>
      <c r="D670" s="11" t="n">
        <v>0.0028650462962963</v>
      </c>
      <c r="E670" s="18" t="n">
        <f aca="false">ROUND((D670-$D$5)*86400,2)</f>
        <v>22.51</v>
      </c>
      <c r="F670" s="12" t="n">
        <v>663</v>
      </c>
      <c r="G670" s="11" t="n">
        <f aca="false">IF(INDEX(選手一覧!$D$7:$D$2738,$F670)="","",INDEX(選手一覧!$D$7:$D$2738,$F670))</f>
        <v>0.010418287037037</v>
      </c>
      <c r="H670" s="12" t="n">
        <f aca="false">IF(INDEX(選手一覧!$E$7:$E$2738,$F670)="","",INDEX(選手一覧!$E$7:$E$2738,$F670))</f>
        <v>282</v>
      </c>
      <c r="I670" s="11" t="str">
        <f aca="false">IF(INDEX(選手一覧!$F$7:$F$2738,$F670)="","",INDEX(選手一覧!$F$7:$F$2738,$F670))</f>
        <v/>
      </c>
      <c r="J670" s="12" t="str">
        <f aca="false">IF(INDEX(選手一覧!$G$7:$G$2738,$F670)="","",INDEX(選手一覧!$G$7:$G$2738,$F670))</f>
        <v/>
      </c>
    </row>
    <row r="671" customFormat="false" ht="15" hidden="false" customHeight="false" outlineLevel="0" collapsed="false">
      <c r="A671" s="12" t="n">
        <v>667</v>
      </c>
      <c r="B671" s="10" t="s">
        <v>2047</v>
      </c>
      <c r="C671" s="10" t="s">
        <v>1174</v>
      </c>
      <c r="D671" s="11" t="n">
        <v>0.00286539351851852</v>
      </c>
      <c r="E671" s="18" t="n">
        <f aca="false">ROUND((D671-$D$5)*86400,2)</f>
        <v>22.54</v>
      </c>
      <c r="F671" s="12" t="n">
        <v>1415</v>
      </c>
      <c r="G671" s="11" t="str">
        <f aca="false">IF(INDEX(選手一覧!$D$7:$D$2738,$F671)="","",INDEX(選手一覧!$D$7:$D$2738,$F671))</f>
        <v/>
      </c>
      <c r="H671" s="12" t="str">
        <f aca="false">IF(INDEX(選手一覧!$E$7:$E$2738,$F671)="","",INDEX(選手一覧!$E$7:$E$2738,$F671))</f>
        <v/>
      </c>
      <c r="I671" s="11" t="str">
        <f aca="false">IF(INDEX(選手一覧!$F$7:$F$2738,$F671)="","",INDEX(選手一覧!$F$7:$F$2738,$F671))</f>
        <v/>
      </c>
      <c r="J671" s="12" t="str">
        <f aca="false">IF(INDEX(選手一覧!$G$7:$G$2738,$F671)="","",INDEX(選手一覧!$G$7:$G$2738,$F671))</f>
        <v/>
      </c>
    </row>
    <row r="672" customFormat="false" ht="15" hidden="false" customHeight="false" outlineLevel="0" collapsed="false">
      <c r="A672" s="12" t="n">
        <v>668</v>
      </c>
      <c r="B672" s="10" t="s">
        <v>353</v>
      </c>
      <c r="C672" s="10" t="s">
        <v>41</v>
      </c>
      <c r="D672" s="11" t="n">
        <v>0.002865625</v>
      </c>
      <c r="E672" s="18" t="n">
        <f aca="false">ROUND((D672-$D$5)*86400,2)</f>
        <v>22.56</v>
      </c>
      <c r="F672" s="12" t="n">
        <v>207</v>
      </c>
      <c r="G672" s="11" t="n">
        <f aca="false">IF(INDEX(選手一覧!$D$7:$D$2738,$F672)="","",INDEX(選手一覧!$D$7:$D$2738,$F672))</f>
        <v>0.0101798611111111</v>
      </c>
      <c r="H672" s="12" t="n">
        <f aca="false">IF(INDEX(選手一覧!$E$7:$E$2738,$F672)="","",INDEX(選手一覧!$E$7:$E$2738,$F672))</f>
        <v>85</v>
      </c>
      <c r="I672" s="11" t="str">
        <f aca="false">IF(INDEX(選手一覧!$F$7:$F$2738,$F672)="","",INDEX(選手一覧!$F$7:$F$2738,$F672))</f>
        <v/>
      </c>
      <c r="J672" s="12" t="str">
        <f aca="false">IF(INDEX(選手一覧!$G$7:$G$2738,$F672)="","",INDEX(選手一覧!$G$7:$G$2738,$F672))</f>
        <v/>
      </c>
    </row>
    <row r="673" customFormat="false" ht="15" hidden="false" customHeight="false" outlineLevel="0" collapsed="false">
      <c r="A673" s="12" t="n">
        <v>669</v>
      </c>
      <c r="B673" s="10" t="s">
        <v>1232</v>
      </c>
      <c r="C673" s="10" t="s">
        <v>206</v>
      </c>
      <c r="D673" s="11" t="n">
        <v>0.00286574074074074</v>
      </c>
      <c r="E673" s="18" t="n">
        <f aca="false">ROUND((D673-$D$5)*86400,2)</f>
        <v>22.57</v>
      </c>
      <c r="F673" s="12" t="n">
        <v>835</v>
      </c>
      <c r="G673" s="11" t="n">
        <f aca="false">IF(INDEX(選手一覧!$D$7:$D$2738,$F673)="","",INDEX(選手一覧!$D$7:$D$2738,$F673))</f>
        <v>0.0106398148148148</v>
      </c>
      <c r="H673" s="12" t="n">
        <f aca="false">IF(INDEX(選手一覧!$E$7:$E$2738,$F673)="","",INDEX(選手一覧!$E$7:$E$2738,$F673))</f>
        <v>510</v>
      </c>
      <c r="I673" s="11" t="n">
        <f aca="false">IF(INDEX(選手一覧!$F$7:$F$2738,$F673)="","",INDEX(選手一覧!$F$7:$F$2738,$F673))</f>
        <v>0.00703703703703704</v>
      </c>
      <c r="J673" s="12" t="n">
        <f aca="false">IF(INDEX(選手一覧!$G$7:$G$2738,$F673)="","",INDEX(選手一覧!$G$7:$G$2738,$F673))</f>
        <v>368</v>
      </c>
    </row>
    <row r="674" customFormat="false" ht="15" hidden="false" customHeight="false" outlineLevel="0" collapsed="false">
      <c r="A674" s="12" t="n">
        <v>670</v>
      </c>
      <c r="B674" s="10" t="s">
        <v>670</v>
      </c>
      <c r="C674" s="10" t="s">
        <v>64</v>
      </c>
      <c r="D674" s="11" t="n">
        <v>0.00286608796296296</v>
      </c>
      <c r="E674" s="18" t="n">
        <f aca="false">ROUND((D674-$D$5)*86400,2)</f>
        <v>22.6</v>
      </c>
      <c r="F674" s="12" t="n">
        <v>427</v>
      </c>
      <c r="G674" s="11" t="n">
        <f aca="false">IF(INDEX(選手一覧!$D$7:$D$2738,$F674)="","",INDEX(選手一覧!$D$7:$D$2738,$F674))</f>
        <v>0.0103270833333333</v>
      </c>
      <c r="H674" s="12" t="n">
        <f aca="false">IF(INDEX(選手一覧!$E$7:$E$2738,$F674)="","",INDEX(選手一覧!$E$7:$E$2738,$F674))</f>
        <v>180</v>
      </c>
      <c r="I674" s="11" t="n">
        <f aca="false">IF(INDEX(選手一覧!$F$7:$F$2738,$F674)="","",INDEX(選手一覧!$F$7:$F$2738,$F674))</f>
        <v>0.00692604166666667</v>
      </c>
      <c r="J674" s="12" t="n">
        <f aca="false">IF(INDEX(選手一覧!$G$7:$G$2738,$F674)="","",INDEX(選手一覧!$G$7:$G$2738,$F674))</f>
        <v>266</v>
      </c>
    </row>
    <row r="675" customFormat="false" ht="15" hidden="false" customHeight="false" outlineLevel="0" collapsed="false">
      <c r="A675" s="12" t="n">
        <v>671</v>
      </c>
      <c r="B675" s="10" t="s">
        <v>916</v>
      </c>
      <c r="C675" s="10" t="s">
        <v>917</v>
      </c>
      <c r="D675" s="11" t="n">
        <v>0.0028662037037037</v>
      </c>
      <c r="E675" s="18" t="n">
        <f aca="false">ROUND((D675-$D$5)*86400,2)</f>
        <v>22.61</v>
      </c>
      <c r="F675" s="12" t="n">
        <v>605</v>
      </c>
      <c r="G675" s="11" t="str">
        <f aca="false">IF(INDEX(選手一覧!$D$7:$D$2738,$F675)="","",INDEX(選手一覧!$D$7:$D$2738,$F675))</f>
        <v/>
      </c>
      <c r="H675" s="12" t="str">
        <f aca="false">IF(INDEX(選手一覧!$E$7:$E$2738,$F675)="","",INDEX(選手一覧!$E$7:$E$2738,$F675))</f>
        <v/>
      </c>
      <c r="I675" s="11" t="n">
        <f aca="false">IF(INDEX(選手一覧!$F$7:$F$2738,$F675)="","",INDEX(選手一覧!$F$7:$F$2738,$F675))</f>
        <v>0.0069193287037037</v>
      </c>
      <c r="J675" s="12" t="n">
        <f aca="false">IF(INDEX(選手一覧!$G$7:$G$2738,$F675)="","",INDEX(選手一覧!$G$7:$G$2738,$F675))</f>
        <v>255</v>
      </c>
    </row>
    <row r="676" customFormat="false" ht="15" hidden="false" customHeight="false" outlineLevel="0" collapsed="false">
      <c r="A676" s="12" t="n">
        <v>672</v>
      </c>
      <c r="B676" s="10" t="s">
        <v>2057</v>
      </c>
      <c r="C676" s="10" t="s">
        <v>2058</v>
      </c>
      <c r="D676" s="11" t="n">
        <v>0.00286643518518519</v>
      </c>
      <c r="E676" s="18" t="n">
        <f aca="false">ROUND((D676-$D$5)*86400,2)</f>
        <v>22.63</v>
      </c>
      <c r="F676" s="12" t="n">
        <v>1422</v>
      </c>
      <c r="G676" s="11" t="str">
        <f aca="false">IF(INDEX(選手一覧!$D$7:$D$2738,$F676)="","",INDEX(選手一覧!$D$7:$D$2738,$F676))</f>
        <v/>
      </c>
      <c r="H676" s="12" t="str">
        <f aca="false">IF(INDEX(選手一覧!$E$7:$E$2738,$F676)="","",INDEX(選手一覧!$E$7:$E$2738,$F676))</f>
        <v/>
      </c>
      <c r="I676" s="11" t="str">
        <f aca="false">IF(INDEX(選手一覧!$F$7:$F$2738,$F676)="","",INDEX(選手一覧!$F$7:$F$2738,$F676))</f>
        <v/>
      </c>
      <c r="J676" s="12" t="str">
        <f aca="false">IF(INDEX(選手一覧!$G$7:$G$2738,$F676)="","",INDEX(選手一覧!$G$7:$G$2738,$F676))</f>
        <v/>
      </c>
    </row>
    <row r="677" customFormat="false" ht="15" hidden="false" customHeight="false" outlineLevel="0" collapsed="false">
      <c r="A677" s="12" t="n">
        <v>673</v>
      </c>
      <c r="B677" s="10" t="s">
        <v>2013</v>
      </c>
      <c r="C677" s="10" t="s">
        <v>752</v>
      </c>
      <c r="D677" s="11" t="n">
        <v>0.00286643518518519</v>
      </c>
      <c r="E677" s="18" t="n">
        <f aca="false">ROUND((D677-$D$5)*86400,2)</f>
        <v>22.63</v>
      </c>
      <c r="F677" s="12" t="n">
        <v>1390</v>
      </c>
      <c r="G677" s="11" t="n">
        <f aca="false">IF(INDEX(選手一覧!$D$7:$D$2738,$F677)="","",INDEX(選手一覧!$D$7:$D$2738,$F677))</f>
        <v>0.010740625</v>
      </c>
      <c r="H677" s="12" t="n">
        <f aca="false">IF(INDEX(選手一覧!$E$7:$E$2738,$F677)="","",INDEX(選手一覧!$E$7:$E$2738,$F677))</f>
        <v>654</v>
      </c>
      <c r="I677" s="11" t="str">
        <f aca="false">IF(INDEX(選手一覧!$F$7:$F$2738,$F677)="","",INDEX(選手一覧!$F$7:$F$2738,$F677))</f>
        <v/>
      </c>
      <c r="J677" s="12" t="str">
        <f aca="false">IF(INDEX(選手一覧!$G$7:$G$2738,$F677)="","",INDEX(選手一覧!$G$7:$G$2738,$F677))</f>
        <v/>
      </c>
    </row>
    <row r="678" customFormat="false" ht="15" hidden="false" customHeight="false" outlineLevel="0" collapsed="false">
      <c r="A678" s="12" t="n">
        <v>674</v>
      </c>
      <c r="B678" s="10" t="s">
        <v>2063</v>
      </c>
      <c r="C678" s="10" t="s">
        <v>1023</v>
      </c>
      <c r="D678" s="11" t="n">
        <v>0.00286678240740741</v>
      </c>
      <c r="E678" s="18" t="n">
        <f aca="false">ROUND((D678-$D$5)*86400,2)</f>
        <v>22.66</v>
      </c>
      <c r="F678" s="12" t="n">
        <v>1426</v>
      </c>
      <c r="G678" s="11" t="str">
        <f aca="false">IF(INDEX(選手一覧!$D$7:$D$2738,$F678)="","",INDEX(選手一覧!$D$7:$D$2738,$F678))</f>
        <v/>
      </c>
      <c r="H678" s="12" t="str">
        <f aca="false">IF(INDEX(選手一覧!$E$7:$E$2738,$F678)="","",INDEX(選手一覧!$E$7:$E$2738,$F678))</f>
        <v/>
      </c>
      <c r="I678" s="11" t="str">
        <f aca="false">IF(INDEX(選手一覧!$F$7:$F$2738,$F678)="","",INDEX(選手一覧!$F$7:$F$2738,$F678))</f>
        <v/>
      </c>
      <c r="J678" s="12" t="str">
        <f aca="false">IF(INDEX(選手一覧!$G$7:$G$2738,$F678)="","",INDEX(選手一覧!$G$7:$G$2738,$F678))</f>
        <v/>
      </c>
    </row>
    <row r="679" customFormat="false" ht="15" hidden="false" customHeight="false" outlineLevel="0" collapsed="false">
      <c r="A679" s="12" t="n">
        <v>675</v>
      </c>
      <c r="B679" s="10" t="s">
        <v>2067</v>
      </c>
      <c r="C679" s="10" t="s">
        <v>2068</v>
      </c>
      <c r="D679" s="11" t="n">
        <v>0.00286712962962963</v>
      </c>
      <c r="E679" s="18" t="n">
        <f aca="false">ROUND((D679-$D$5)*86400,2)</f>
        <v>22.69</v>
      </c>
      <c r="F679" s="12" t="n">
        <v>1429</v>
      </c>
      <c r="G679" s="11" t="str">
        <f aca="false">IF(INDEX(選手一覧!$D$7:$D$2738,$F679)="","",INDEX(選手一覧!$D$7:$D$2738,$F679))</f>
        <v/>
      </c>
      <c r="H679" s="12" t="str">
        <f aca="false">IF(INDEX(選手一覧!$E$7:$E$2738,$F679)="","",INDEX(選手一覧!$E$7:$E$2738,$F679))</f>
        <v/>
      </c>
      <c r="I679" s="11" t="str">
        <f aca="false">IF(INDEX(選手一覧!$F$7:$F$2738,$F679)="","",INDEX(選手一覧!$F$7:$F$2738,$F679))</f>
        <v/>
      </c>
      <c r="J679" s="12" t="str">
        <f aca="false">IF(INDEX(選手一覧!$G$7:$G$2738,$F679)="","",INDEX(選手一覧!$G$7:$G$2738,$F679))</f>
        <v/>
      </c>
    </row>
    <row r="680" customFormat="false" ht="15" hidden="false" customHeight="false" outlineLevel="0" collapsed="false">
      <c r="A680" s="12" t="n">
        <v>676</v>
      </c>
      <c r="B680" s="10" t="s">
        <v>2069</v>
      </c>
      <c r="C680" s="10" t="s">
        <v>1381</v>
      </c>
      <c r="D680" s="11" t="n">
        <v>0.00286712962962963</v>
      </c>
      <c r="E680" s="18" t="n">
        <f aca="false">ROUND((D680-$D$5)*86400,2)</f>
        <v>22.69</v>
      </c>
      <c r="F680" s="12" t="n">
        <v>1430</v>
      </c>
      <c r="G680" s="11" t="n">
        <f aca="false">IF(INDEX(選手一覧!$D$7:$D$2738,$F680)="","",INDEX(選手一覧!$D$7:$D$2738,$F680))</f>
        <v>0.0108100694444445</v>
      </c>
      <c r="H680" s="12" t="n">
        <f aca="false">IF(INDEX(選手一覧!$E$7:$E$2738,$F680)="","",INDEX(選手一覧!$E$7:$E$2738,$F680))</f>
        <v>764</v>
      </c>
      <c r="I680" s="11" t="str">
        <f aca="false">IF(INDEX(選手一覧!$F$7:$F$2738,$F680)="","",INDEX(選手一覧!$F$7:$F$2738,$F680))</f>
        <v/>
      </c>
      <c r="J680" s="12" t="str">
        <f aca="false">IF(INDEX(選手一覧!$G$7:$G$2738,$F680)="","",INDEX(選手一覧!$G$7:$G$2738,$F680))</f>
        <v/>
      </c>
    </row>
    <row r="681" customFormat="false" ht="15" hidden="false" customHeight="false" outlineLevel="0" collapsed="false">
      <c r="A681" s="12" t="n">
        <v>677</v>
      </c>
      <c r="B681" s="10" t="s">
        <v>2075</v>
      </c>
      <c r="C681" s="10" t="s">
        <v>1649</v>
      </c>
      <c r="D681" s="11" t="n">
        <v>0.00286724537037037</v>
      </c>
      <c r="E681" s="18" t="n">
        <f aca="false">ROUND((D681-$D$5)*86400,2)</f>
        <v>22.7</v>
      </c>
      <c r="F681" s="12" t="n">
        <v>1434</v>
      </c>
      <c r="G681" s="11" t="str">
        <f aca="false">IF(INDEX(選手一覧!$D$7:$D$2738,$F681)="","",INDEX(選手一覧!$D$7:$D$2738,$F681))</f>
        <v/>
      </c>
      <c r="H681" s="12" t="str">
        <f aca="false">IF(INDEX(選手一覧!$E$7:$E$2738,$F681)="","",INDEX(選手一覧!$E$7:$E$2738,$F681))</f>
        <v/>
      </c>
      <c r="I681" s="11" t="str">
        <f aca="false">IF(INDEX(選手一覧!$F$7:$F$2738,$F681)="","",INDEX(選手一覧!$F$7:$F$2738,$F681))</f>
        <v/>
      </c>
      <c r="J681" s="12" t="str">
        <f aca="false">IF(INDEX(選手一覧!$G$7:$G$2738,$F681)="","",INDEX(選手一覧!$G$7:$G$2738,$F681))</f>
        <v/>
      </c>
    </row>
    <row r="682" customFormat="false" ht="15" hidden="false" customHeight="false" outlineLevel="0" collapsed="false">
      <c r="A682" s="12" t="n">
        <v>678</v>
      </c>
      <c r="B682" s="10" t="s">
        <v>2078</v>
      </c>
      <c r="C682" s="10" t="s">
        <v>2079</v>
      </c>
      <c r="D682" s="11" t="n">
        <v>0.00286724537037037</v>
      </c>
      <c r="E682" s="18" t="n">
        <f aca="false">ROUND((D682-$D$5)*86400,2)</f>
        <v>22.7</v>
      </c>
      <c r="F682" s="12" t="n">
        <v>1436</v>
      </c>
      <c r="G682" s="11" t="str">
        <f aca="false">IF(INDEX(選手一覧!$D$7:$D$2738,$F682)="","",INDEX(選手一覧!$D$7:$D$2738,$F682))</f>
        <v/>
      </c>
      <c r="H682" s="12" t="str">
        <f aca="false">IF(INDEX(選手一覧!$E$7:$E$2738,$F682)="","",INDEX(選手一覧!$E$7:$E$2738,$F682))</f>
        <v/>
      </c>
      <c r="I682" s="11" t="str">
        <f aca="false">IF(INDEX(選手一覧!$F$7:$F$2738,$F682)="","",INDEX(選手一覧!$F$7:$F$2738,$F682))</f>
        <v/>
      </c>
      <c r="J682" s="12" t="str">
        <f aca="false">IF(INDEX(選手一覧!$G$7:$G$2738,$F682)="","",INDEX(選手一覧!$G$7:$G$2738,$F682))</f>
        <v/>
      </c>
    </row>
    <row r="683" customFormat="false" ht="15" hidden="false" customHeight="false" outlineLevel="0" collapsed="false">
      <c r="A683" s="12" t="n">
        <v>679</v>
      </c>
      <c r="B683" s="10" t="s">
        <v>1698</v>
      </c>
      <c r="C683" s="10" t="s">
        <v>226</v>
      </c>
      <c r="D683" s="11" t="n">
        <v>0.00286793981481482</v>
      </c>
      <c r="E683" s="18" t="n">
        <f aca="false">ROUND((D683-$D$5)*86400,2)</f>
        <v>22.76</v>
      </c>
      <c r="F683" s="12" t="n">
        <v>1169</v>
      </c>
      <c r="G683" s="11" t="n">
        <f aca="false">IF(INDEX(選手一覧!$D$7:$D$2738,$F683)="","",INDEX(選手一覧!$D$7:$D$2738,$F683))</f>
        <v>0.0106601851851852</v>
      </c>
      <c r="H683" s="12" t="n">
        <f aca="false">IF(INDEX(選手一覧!$E$7:$E$2738,$F683)="","",INDEX(選手一覧!$E$7:$E$2738,$F683))</f>
        <v>535</v>
      </c>
      <c r="I683" s="11" t="str">
        <f aca="false">IF(INDEX(選手一覧!$F$7:$F$2738,$F683)="","",INDEX(選手一覧!$F$7:$F$2738,$F683))</f>
        <v/>
      </c>
      <c r="J683" s="12" t="str">
        <f aca="false">IF(INDEX(選手一覧!$G$7:$G$2738,$F683)="","",INDEX(選手一覧!$G$7:$G$2738,$F683))</f>
        <v/>
      </c>
    </row>
    <row r="684" customFormat="false" ht="15" hidden="false" customHeight="false" outlineLevel="0" collapsed="false">
      <c r="A684" s="12" t="n">
        <v>680</v>
      </c>
      <c r="B684" s="10" t="s">
        <v>1518</v>
      </c>
      <c r="C684" s="10" t="s">
        <v>183</v>
      </c>
      <c r="D684" s="11" t="n">
        <v>0.00286805555555556</v>
      </c>
      <c r="E684" s="18" t="n">
        <f aca="false">ROUND((D684-$D$5)*86400,2)</f>
        <v>22.77</v>
      </c>
      <c r="F684" s="12" t="n">
        <v>1042</v>
      </c>
      <c r="G684" s="11" t="n">
        <f aca="false">IF(INDEX(選手一覧!$D$7:$D$2738,$F684)="","",INDEX(選手一覧!$D$7:$D$2738,$F684))</f>
        <v>0.0106054398148148</v>
      </c>
      <c r="H684" s="12" t="n">
        <f aca="false">IF(INDEX(選手一覧!$E$7:$E$2738,$F684)="","",INDEX(選手一覧!$E$7:$E$2738,$F684))</f>
        <v>469</v>
      </c>
      <c r="I684" s="11" t="str">
        <f aca="false">IF(INDEX(選手一覧!$F$7:$F$2738,$F684)="","",INDEX(選手一覧!$F$7:$F$2738,$F684))</f>
        <v/>
      </c>
      <c r="J684" s="12" t="str">
        <f aca="false">IF(INDEX(選手一覧!$G$7:$G$2738,$F684)="","",INDEX(選手一覧!$G$7:$G$2738,$F684))</f>
        <v/>
      </c>
    </row>
    <row r="685" customFormat="false" ht="15" hidden="false" customHeight="false" outlineLevel="0" collapsed="false">
      <c r="A685" s="12" t="n">
        <v>681</v>
      </c>
      <c r="B685" s="10" t="s">
        <v>2086</v>
      </c>
      <c r="C685" s="10" t="s">
        <v>2087</v>
      </c>
      <c r="D685" s="11" t="n">
        <v>0.00286805555555556</v>
      </c>
      <c r="E685" s="18" t="n">
        <f aca="false">ROUND((D685-$D$5)*86400,2)</f>
        <v>22.77</v>
      </c>
      <c r="F685" s="12" t="n">
        <v>1442</v>
      </c>
      <c r="G685" s="11" t="str">
        <f aca="false">IF(INDEX(選手一覧!$D$7:$D$2738,$F685)="","",INDEX(選手一覧!$D$7:$D$2738,$F685))</f>
        <v/>
      </c>
      <c r="H685" s="12" t="str">
        <f aca="false">IF(INDEX(選手一覧!$E$7:$E$2738,$F685)="","",INDEX(選手一覧!$E$7:$E$2738,$F685))</f>
        <v/>
      </c>
      <c r="I685" s="11" t="str">
        <f aca="false">IF(INDEX(選手一覧!$F$7:$F$2738,$F685)="","",INDEX(選手一覧!$F$7:$F$2738,$F685))</f>
        <v/>
      </c>
      <c r="J685" s="12" t="str">
        <f aca="false">IF(INDEX(選手一覧!$G$7:$G$2738,$F685)="","",INDEX(選手一覧!$G$7:$G$2738,$F685))</f>
        <v/>
      </c>
    </row>
    <row r="686" customFormat="false" ht="15" hidden="false" customHeight="false" outlineLevel="0" collapsed="false">
      <c r="A686" s="12" t="n">
        <v>682</v>
      </c>
      <c r="B686" s="10" t="s">
        <v>2088</v>
      </c>
      <c r="C686" s="10" t="s">
        <v>494</v>
      </c>
      <c r="D686" s="11" t="n">
        <v>0.0028681712962963</v>
      </c>
      <c r="E686" s="18" t="n">
        <f aca="false">ROUND((D686-$D$5)*86400,2)</f>
        <v>22.78</v>
      </c>
      <c r="F686" s="12" t="n">
        <v>1443</v>
      </c>
      <c r="G686" s="11" t="n">
        <f aca="false">IF(INDEX(選手一覧!$D$7:$D$2738,$F686)="","",INDEX(選手一覧!$D$7:$D$2738,$F686))</f>
        <v>0.0109579861111111</v>
      </c>
      <c r="H686" s="12" t="n">
        <f aca="false">IF(INDEX(選手一覧!$E$7:$E$2738,$F686)="","",INDEX(選手一覧!$E$7:$E$2738,$F686))</f>
        <v>1019</v>
      </c>
      <c r="I686" s="11" t="n">
        <f aca="false">IF(INDEX(選手一覧!$F$7:$F$2738,$F686)="","",INDEX(選手一覧!$F$7:$F$2738,$F686))</f>
        <v>0.00743009259259259</v>
      </c>
      <c r="J686" s="12" t="n">
        <f aca="false">IF(INDEX(選手一覧!$G$7:$G$2738,$F686)="","",INDEX(選手一覧!$G$7:$G$2738,$F686))</f>
        <v>805</v>
      </c>
    </row>
    <row r="687" customFormat="false" ht="15" hidden="false" customHeight="false" outlineLevel="0" collapsed="false">
      <c r="A687" s="12" t="n">
        <v>683</v>
      </c>
      <c r="B687" s="10" t="s">
        <v>2094</v>
      </c>
      <c r="C687" s="10" t="s">
        <v>1764</v>
      </c>
      <c r="D687" s="11" t="n">
        <v>0.00286828703703704</v>
      </c>
      <c r="E687" s="18" t="n">
        <f aca="false">ROUND((D687-$D$5)*86400,2)</f>
        <v>22.79</v>
      </c>
      <c r="F687" s="12" t="n">
        <v>1447</v>
      </c>
      <c r="G687" s="11" t="str">
        <f aca="false">IF(INDEX(選手一覧!$D$7:$D$2738,$F687)="","",INDEX(選手一覧!$D$7:$D$2738,$F687))</f>
        <v/>
      </c>
      <c r="H687" s="12" t="str">
        <f aca="false">IF(INDEX(選手一覧!$E$7:$E$2738,$F687)="","",INDEX(選手一覧!$E$7:$E$2738,$F687))</f>
        <v/>
      </c>
      <c r="I687" s="11" t="str">
        <f aca="false">IF(INDEX(選手一覧!$F$7:$F$2738,$F687)="","",INDEX(選手一覧!$F$7:$F$2738,$F687))</f>
        <v/>
      </c>
      <c r="J687" s="12" t="str">
        <f aca="false">IF(INDEX(選手一覧!$G$7:$G$2738,$F687)="","",INDEX(選手一覧!$G$7:$G$2738,$F687))</f>
        <v/>
      </c>
    </row>
    <row r="688" customFormat="false" ht="15" hidden="false" customHeight="false" outlineLevel="0" collapsed="false">
      <c r="A688" s="12" t="n">
        <v>684</v>
      </c>
      <c r="B688" s="10" t="s">
        <v>827</v>
      </c>
      <c r="C688" s="10" t="s">
        <v>695</v>
      </c>
      <c r="D688" s="11" t="n">
        <v>0.00286828703703704</v>
      </c>
      <c r="E688" s="18" t="n">
        <f aca="false">ROUND((D688-$D$5)*86400,2)</f>
        <v>22.79</v>
      </c>
      <c r="F688" s="12" t="n">
        <v>540</v>
      </c>
      <c r="G688" s="11" t="n">
        <f aca="false">IF(INDEX(選手一覧!$D$7:$D$2738,$F688)="","",INDEX(選手一覧!$D$7:$D$2738,$F688))</f>
        <v>0.0107394675925926</v>
      </c>
      <c r="H688" s="12" t="n">
        <f aca="false">IF(INDEX(選手一覧!$E$7:$E$2738,$F688)="","",INDEX(選手一覧!$E$7:$E$2738,$F688))</f>
        <v>651</v>
      </c>
      <c r="I688" s="11" t="n">
        <f aca="false">IF(INDEX(選手一覧!$F$7:$F$2738,$F688)="","",INDEX(選手一覧!$F$7:$F$2738,$F688))</f>
        <v>0.00688576388888889</v>
      </c>
      <c r="J688" s="12" t="n">
        <f aca="false">IF(INDEX(選手一覧!$G$7:$G$2738,$F688)="","",INDEX(選手一覧!$G$7:$G$2738,$F688))</f>
        <v>226</v>
      </c>
    </row>
    <row r="689" customFormat="false" ht="15" hidden="false" customHeight="false" outlineLevel="0" collapsed="false">
      <c r="A689" s="12" t="n">
        <v>685</v>
      </c>
      <c r="B689" s="10" t="s">
        <v>977</v>
      </c>
      <c r="C689" s="10" t="s">
        <v>874</v>
      </c>
      <c r="D689" s="11" t="n">
        <v>0.00286875</v>
      </c>
      <c r="E689" s="18" t="n">
        <f aca="false">ROUND((D689-$D$5)*86400,2)</f>
        <v>22.83</v>
      </c>
      <c r="F689" s="12" t="n">
        <v>652</v>
      </c>
      <c r="G689" s="11" t="n">
        <f aca="false">IF(INDEX(選手一覧!$D$7:$D$2738,$F689)="","",INDEX(選手一覧!$D$7:$D$2738,$F689))</f>
        <v>0.0104104166666667</v>
      </c>
      <c r="H689" s="12" t="n">
        <f aca="false">IF(INDEX(選手一覧!$E$7:$E$2738,$F689)="","",INDEX(選手一覧!$E$7:$E$2738,$F689))</f>
        <v>276</v>
      </c>
      <c r="I689" s="11" t="str">
        <f aca="false">IF(INDEX(選手一覧!$F$7:$F$2738,$F689)="","",INDEX(選手一覧!$F$7:$F$2738,$F689))</f>
        <v/>
      </c>
      <c r="J689" s="12" t="str">
        <f aca="false">IF(INDEX(選手一覧!$G$7:$G$2738,$F689)="","",INDEX(選手一覧!$G$7:$G$2738,$F689))</f>
        <v/>
      </c>
    </row>
    <row r="690" customFormat="false" ht="15" hidden="false" customHeight="false" outlineLevel="0" collapsed="false">
      <c r="A690" s="12" t="n">
        <v>686</v>
      </c>
      <c r="B690" s="10" t="s">
        <v>1151</v>
      </c>
      <c r="C690" s="10" t="s">
        <v>91</v>
      </c>
      <c r="D690" s="11" t="n">
        <v>0.00286875</v>
      </c>
      <c r="E690" s="18" t="n">
        <f aca="false">ROUND((D690-$D$5)*86400,2)</f>
        <v>22.83</v>
      </c>
      <c r="F690" s="12" t="n">
        <v>778</v>
      </c>
      <c r="G690" s="11" t="n">
        <f aca="false">IF(INDEX(選手一覧!$D$7:$D$2738,$F690)="","",INDEX(選手一覧!$D$7:$D$2738,$F690))</f>
        <v>0.0107142361111111</v>
      </c>
      <c r="H690" s="12" t="n">
        <f aca="false">IF(INDEX(選手一覧!$E$7:$E$2738,$F690)="","",INDEX(選手一覧!$E$7:$E$2738,$F690))</f>
        <v>603</v>
      </c>
      <c r="I690" s="11" t="n">
        <f aca="false">IF(INDEX(選手一覧!$F$7:$F$2738,$F690)="","",INDEX(選手一覧!$F$7:$F$2738,$F690))</f>
        <v>0.00700081018518519</v>
      </c>
      <c r="J690" s="12" t="n">
        <f aca="false">IF(INDEX(選手一覧!$G$7:$G$2738,$F690)="","",INDEX(選手一覧!$G$7:$G$2738,$F690))</f>
        <v>338</v>
      </c>
    </row>
    <row r="691" customFormat="false" ht="15" hidden="false" customHeight="false" outlineLevel="0" collapsed="false">
      <c r="A691" s="12" t="n">
        <v>687</v>
      </c>
      <c r="B691" s="10" t="s">
        <v>728</v>
      </c>
      <c r="C691" s="10" t="s">
        <v>695</v>
      </c>
      <c r="D691" s="11" t="n">
        <v>0.00286898148148148</v>
      </c>
      <c r="E691" s="18" t="n">
        <f aca="false">ROUND((D691-$D$5)*86400,2)</f>
        <v>22.85</v>
      </c>
      <c r="F691" s="12" t="n">
        <v>469</v>
      </c>
      <c r="G691" s="11" t="n">
        <f aca="false">IF(INDEX(選手一覧!$D$7:$D$2738,$F691)="","",INDEX(選手一覧!$D$7:$D$2738,$F691))</f>
        <v>0.0103466435185185</v>
      </c>
      <c r="H691" s="12" t="n">
        <f aca="false">IF(INDEX(選手一覧!$E$7:$E$2738,$F691)="","",INDEX(選手一覧!$E$7:$E$2738,$F691))</f>
        <v>197</v>
      </c>
      <c r="I691" s="11" t="str">
        <f aca="false">IF(INDEX(選手一覧!$F$7:$F$2738,$F691)="","",INDEX(選手一覧!$F$7:$F$2738,$F691))</f>
        <v/>
      </c>
      <c r="J691" s="12" t="str">
        <f aca="false">IF(INDEX(選手一覧!$G$7:$G$2738,$F691)="","",INDEX(選手一覧!$G$7:$G$2738,$F691))</f>
        <v/>
      </c>
    </row>
    <row r="692" customFormat="false" ht="15" hidden="false" customHeight="false" outlineLevel="0" collapsed="false">
      <c r="A692" s="12" t="n">
        <v>688</v>
      </c>
      <c r="B692" s="10" t="s">
        <v>1006</v>
      </c>
      <c r="C692" s="10" t="s">
        <v>1007</v>
      </c>
      <c r="D692" s="11" t="n">
        <v>0.00286909722222222</v>
      </c>
      <c r="E692" s="18" t="n">
        <f aca="false">ROUND((D692-$D$5)*86400,2)</f>
        <v>22.86</v>
      </c>
      <c r="F692" s="12" t="n">
        <v>672</v>
      </c>
      <c r="G692" s="11" t="str">
        <f aca="false">IF(INDEX(選手一覧!$D$7:$D$2738,$F692)="","",INDEX(選手一覧!$D$7:$D$2738,$F692))</f>
        <v/>
      </c>
      <c r="H692" s="12" t="str">
        <f aca="false">IF(INDEX(選手一覧!$E$7:$E$2738,$F692)="","",INDEX(選手一覧!$E$7:$E$2738,$F692))</f>
        <v/>
      </c>
      <c r="I692" s="11" t="n">
        <f aca="false">IF(INDEX(選手一覧!$F$7:$F$2738,$F692)="","",INDEX(選手一覧!$F$7:$F$2738,$F692))</f>
        <v>0.00695127314814815</v>
      </c>
      <c r="J692" s="12" t="n">
        <f aca="false">IF(INDEX(選手一覧!$G$7:$G$2738,$F692)="","",INDEX(選手一覧!$G$7:$G$2738,$F692))</f>
        <v>286</v>
      </c>
    </row>
    <row r="693" customFormat="false" ht="15" hidden="false" customHeight="false" outlineLevel="0" collapsed="false">
      <c r="A693" s="12" t="n">
        <v>689</v>
      </c>
      <c r="B693" s="10" t="s">
        <v>2105</v>
      </c>
      <c r="C693" s="10" t="s">
        <v>2106</v>
      </c>
      <c r="D693" s="11" t="n">
        <v>0.0028693287037037</v>
      </c>
      <c r="E693" s="18" t="n">
        <f aca="false">ROUND((D693-$D$5)*86400,2)</f>
        <v>22.88</v>
      </c>
      <c r="F693" s="12" t="n">
        <v>1455</v>
      </c>
      <c r="G693" s="11" t="n">
        <f aca="false">IF(INDEX(選手一覧!$D$7:$D$2738,$F693)="","",INDEX(選手一覧!$D$7:$D$2738,$F693))</f>
        <v>0.0109907407407407</v>
      </c>
      <c r="H693" s="12" t="n">
        <f aca="false">IF(INDEX(選手一覧!$E$7:$E$2738,$F693)="","",INDEX(選手一覧!$E$7:$E$2738,$F693))</f>
        <v>1080</v>
      </c>
      <c r="I693" s="11" t="str">
        <f aca="false">IF(INDEX(選手一覧!$F$7:$F$2738,$F693)="","",INDEX(選手一覧!$F$7:$F$2738,$F693))</f>
        <v/>
      </c>
      <c r="J693" s="12" t="str">
        <f aca="false">IF(INDEX(選手一覧!$G$7:$G$2738,$F693)="","",INDEX(選手一覧!$G$7:$G$2738,$F693))</f>
        <v/>
      </c>
    </row>
    <row r="694" customFormat="false" ht="15" hidden="false" customHeight="false" outlineLevel="0" collapsed="false">
      <c r="A694" s="12" t="n">
        <v>690</v>
      </c>
      <c r="B694" s="10" t="s">
        <v>1317</v>
      </c>
      <c r="C694" s="10" t="s">
        <v>1059</v>
      </c>
      <c r="D694" s="11" t="n">
        <v>0.00286956018518519</v>
      </c>
      <c r="E694" s="18" t="n">
        <f aca="false">ROUND((D694-$D$5)*86400,2)</f>
        <v>22.9</v>
      </c>
      <c r="F694" s="12" t="n">
        <v>896</v>
      </c>
      <c r="G694" s="11" t="str">
        <f aca="false">IF(INDEX(選手一覧!$D$7:$D$2738,$F694)="","",INDEX(選手一覧!$D$7:$D$2738,$F694))</f>
        <v/>
      </c>
      <c r="H694" s="12" t="str">
        <f aca="false">IF(INDEX(選手一覧!$E$7:$E$2738,$F694)="","",INDEX(選手一覧!$E$7:$E$2738,$F694))</f>
        <v/>
      </c>
      <c r="I694" s="11" t="n">
        <f aca="false">IF(INDEX(選手一覧!$F$7:$F$2738,$F694)="","",INDEX(選手一覧!$F$7:$F$2738,$F694))</f>
        <v>0.00705925925925926</v>
      </c>
      <c r="J694" s="12" t="n">
        <f aca="false">IF(INDEX(選手一覧!$G$7:$G$2738,$F694)="","",INDEX(選手一覧!$G$7:$G$2738,$F694))</f>
        <v>400</v>
      </c>
    </row>
    <row r="695" customFormat="false" ht="15" hidden="false" customHeight="false" outlineLevel="0" collapsed="false">
      <c r="A695" s="12" t="n">
        <v>691</v>
      </c>
      <c r="B695" s="10" t="s">
        <v>1049</v>
      </c>
      <c r="C695" s="10" t="s">
        <v>437</v>
      </c>
      <c r="D695" s="11" t="n">
        <v>0.00286956018518519</v>
      </c>
      <c r="E695" s="18" t="n">
        <f aca="false">ROUND((D695-$D$5)*86400,2)</f>
        <v>22.9</v>
      </c>
      <c r="F695" s="12" t="n">
        <v>703</v>
      </c>
      <c r="G695" s="11" t="n">
        <f aca="false">IF(INDEX(選手一覧!$D$7:$D$2738,$F695)="","",INDEX(選手一覧!$D$7:$D$2738,$F695))</f>
        <v>0.0104483796296296</v>
      </c>
      <c r="H695" s="12" t="n">
        <f aca="false">IF(INDEX(選手一覧!$E$7:$E$2738,$F695)="","",INDEX(選手一覧!$E$7:$E$2738,$F695))</f>
        <v>302</v>
      </c>
      <c r="I695" s="11" t="n">
        <f aca="false">IF(INDEX(選手一覧!$F$7:$F$2738,$F695)="","",INDEX(選手一覧!$F$7:$F$2738,$F695))</f>
        <v>0.00723009259259259</v>
      </c>
      <c r="J695" s="12" t="n">
        <f aca="false">IF(INDEX(選手一覧!$G$7:$G$2738,$F695)="","",INDEX(選手一覧!$G$7:$G$2738,$F695))</f>
        <v>574</v>
      </c>
    </row>
    <row r="696" customFormat="false" ht="15" hidden="false" customHeight="false" outlineLevel="0" collapsed="false">
      <c r="A696" s="12" t="n">
        <v>692</v>
      </c>
      <c r="B696" s="10" t="s">
        <v>811</v>
      </c>
      <c r="C696" s="10" t="s">
        <v>812</v>
      </c>
      <c r="D696" s="11" t="n">
        <v>0.00286956018518519</v>
      </c>
      <c r="E696" s="18" t="n">
        <f aca="false">ROUND((D696-$D$5)*86400,2)</f>
        <v>22.9</v>
      </c>
      <c r="F696" s="12" t="n">
        <v>530</v>
      </c>
      <c r="G696" s="11" t="str">
        <f aca="false">IF(INDEX(選手一覧!$D$7:$D$2738,$F696)="","",INDEX(選手一覧!$D$7:$D$2738,$F696))</f>
        <v/>
      </c>
      <c r="H696" s="12" t="str">
        <f aca="false">IF(INDEX(選手一覧!$E$7:$E$2738,$F696)="","",INDEX(選手一覧!$E$7:$E$2738,$F696))</f>
        <v/>
      </c>
      <c r="I696" s="11" t="n">
        <f aca="false">IF(INDEX(選手一覧!$F$7:$F$2738,$F696)="","",INDEX(選手一覧!$F$7:$F$2738,$F696))</f>
        <v>0.00687916666666667</v>
      </c>
      <c r="J696" s="12" t="n">
        <f aca="false">IF(INDEX(選手一覧!$G$7:$G$2738,$F696)="","",INDEX(選手一覧!$G$7:$G$2738,$F696))</f>
        <v>222</v>
      </c>
    </row>
    <row r="697" customFormat="false" ht="15" hidden="false" customHeight="false" outlineLevel="0" collapsed="false">
      <c r="A697" s="12" t="n">
        <v>693</v>
      </c>
      <c r="B697" s="10" t="s">
        <v>2113</v>
      </c>
      <c r="C697" s="10" t="s">
        <v>2114</v>
      </c>
      <c r="D697" s="11" t="n">
        <v>0.00286956018518519</v>
      </c>
      <c r="E697" s="18" t="n">
        <f aca="false">ROUND((D697-$D$5)*86400,2)</f>
        <v>22.9</v>
      </c>
      <c r="F697" s="12" t="n">
        <v>1461</v>
      </c>
      <c r="G697" s="11" t="str">
        <f aca="false">IF(INDEX(選手一覧!$D$7:$D$2738,$F697)="","",INDEX(選手一覧!$D$7:$D$2738,$F697))</f>
        <v/>
      </c>
      <c r="H697" s="12" t="str">
        <f aca="false">IF(INDEX(選手一覧!$E$7:$E$2738,$F697)="","",INDEX(選手一覧!$E$7:$E$2738,$F697))</f>
        <v/>
      </c>
      <c r="I697" s="11" t="n">
        <f aca="false">IF(INDEX(選手一覧!$F$7:$F$2738,$F697)="","",INDEX(選手一覧!$F$7:$F$2738,$F697))</f>
        <v>0.00734178240740741</v>
      </c>
      <c r="J697" s="12" t="n">
        <f aca="false">IF(INDEX(選手一覧!$G$7:$G$2738,$F697)="","",INDEX(選手一覧!$G$7:$G$2738,$F697))</f>
        <v>698</v>
      </c>
    </row>
    <row r="698" customFormat="false" ht="15" hidden="false" customHeight="false" outlineLevel="0" collapsed="false">
      <c r="A698" s="12" t="n">
        <v>694</v>
      </c>
      <c r="B698" s="10" t="s">
        <v>2117</v>
      </c>
      <c r="C698" s="10" t="s">
        <v>2118</v>
      </c>
      <c r="D698" s="11" t="n">
        <v>0.00286990740740741</v>
      </c>
      <c r="E698" s="18" t="n">
        <f aca="false">ROUND((D698-$D$5)*86400,2)</f>
        <v>22.93</v>
      </c>
      <c r="F698" s="12" t="n">
        <v>1464</v>
      </c>
      <c r="G698" s="11" t="n">
        <f aca="false">IF(INDEX(選手一覧!$D$7:$D$2738,$F698)="","",INDEX(選手一覧!$D$7:$D$2738,$F698))</f>
        <v>0.01100625</v>
      </c>
      <c r="H698" s="12" t="n">
        <f aca="false">IF(INDEX(選手一覧!$E$7:$E$2738,$F698)="","",INDEX(選手一覧!$E$7:$E$2738,$F698))</f>
        <v>1103</v>
      </c>
      <c r="I698" s="11" t="str">
        <f aca="false">IF(INDEX(選手一覧!$F$7:$F$2738,$F698)="","",INDEX(選手一覧!$F$7:$F$2738,$F698))</f>
        <v/>
      </c>
      <c r="J698" s="12" t="str">
        <f aca="false">IF(INDEX(選手一覧!$G$7:$G$2738,$F698)="","",INDEX(選手一覧!$G$7:$G$2738,$F698))</f>
        <v/>
      </c>
    </row>
    <row r="699" customFormat="false" ht="15" hidden="false" customHeight="false" outlineLevel="0" collapsed="false">
      <c r="A699" s="12" t="n">
        <v>695</v>
      </c>
      <c r="B699" s="10" t="s">
        <v>1808</v>
      </c>
      <c r="C699" s="10" t="s">
        <v>494</v>
      </c>
      <c r="D699" s="11" t="n">
        <v>0.00286990740740741</v>
      </c>
      <c r="E699" s="18" t="n">
        <f aca="false">ROUND((D699-$D$5)*86400,2)</f>
        <v>22.93</v>
      </c>
      <c r="F699" s="12" t="n">
        <v>1245</v>
      </c>
      <c r="G699" s="11" t="str">
        <f aca="false">IF(INDEX(選手一覧!$D$7:$D$2738,$F699)="","",INDEX(選手一覧!$D$7:$D$2738,$F699))</f>
        <v/>
      </c>
      <c r="H699" s="12" t="str">
        <f aca="false">IF(INDEX(選手一覧!$E$7:$E$2738,$F699)="","",INDEX(選手一覧!$E$7:$E$2738,$F699))</f>
        <v/>
      </c>
      <c r="I699" s="11" t="n">
        <f aca="false">IF(INDEX(選手一覧!$F$7:$F$2738,$F699)="","",INDEX(選手一覧!$F$7:$F$2738,$F699))</f>
        <v>0.00722951388888889</v>
      </c>
      <c r="J699" s="12" t="n">
        <f aca="false">IF(INDEX(選手一覧!$G$7:$G$2738,$F699)="","",INDEX(選手一覧!$G$7:$G$2738,$F699))</f>
        <v>573</v>
      </c>
    </row>
    <row r="700" customFormat="false" ht="15" hidden="false" customHeight="false" outlineLevel="0" collapsed="false">
      <c r="A700" s="12" t="n">
        <v>696</v>
      </c>
      <c r="B700" s="10" t="s">
        <v>2126</v>
      </c>
      <c r="C700" s="10" t="s">
        <v>2127</v>
      </c>
      <c r="D700" s="11" t="n">
        <v>0.00287013888888889</v>
      </c>
      <c r="E700" s="18" t="n">
        <f aca="false">ROUND((D700-$D$5)*86400,2)</f>
        <v>22.95</v>
      </c>
      <c r="F700" s="12" t="n">
        <v>1471</v>
      </c>
      <c r="G700" s="11" t="str">
        <f aca="false">IF(INDEX(選手一覧!$D$7:$D$2738,$F700)="","",INDEX(選手一覧!$D$7:$D$2738,$F700))</f>
        <v/>
      </c>
      <c r="H700" s="12" t="str">
        <f aca="false">IF(INDEX(選手一覧!$E$7:$E$2738,$F700)="","",INDEX(選手一覧!$E$7:$E$2738,$F700))</f>
        <v/>
      </c>
      <c r="I700" s="11" t="str">
        <f aca="false">IF(INDEX(選手一覧!$F$7:$F$2738,$F700)="","",INDEX(選手一覧!$F$7:$F$2738,$F700))</f>
        <v/>
      </c>
      <c r="J700" s="12" t="str">
        <f aca="false">IF(INDEX(選手一覧!$G$7:$G$2738,$F700)="","",INDEX(選手一覧!$G$7:$G$2738,$F700))</f>
        <v/>
      </c>
    </row>
    <row r="701" customFormat="false" ht="15" hidden="false" customHeight="false" outlineLevel="0" collapsed="false">
      <c r="A701" s="12" t="n">
        <v>697</v>
      </c>
      <c r="B701" s="10" t="s">
        <v>536</v>
      </c>
      <c r="C701" s="10" t="s">
        <v>23</v>
      </c>
      <c r="D701" s="11" t="n">
        <v>0.00287025462962963</v>
      </c>
      <c r="E701" s="18" t="n">
        <f aca="false">ROUND((D701-$D$5)*86400,2)</f>
        <v>22.96</v>
      </c>
      <c r="F701" s="12" t="n">
        <v>335</v>
      </c>
      <c r="G701" s="11" t="n">
        <f aca="false">IF(INDEX(選手一覧!$D$7:$D$2738,$F701)="","",INDEX(選手一覧!$D$7:$D$2738,$F701))</f>
        <v>0.0102702546296296</v>
      </c>
      <c r="H701" s="12" t="n">
        <f aca="false">IF(INDEX(選手一覧!$E$7:$E$2738,$F701)="","",INDEX(選手一覧!$E$7:$E$2738,$F701))</f>
        <v>139</v>
      </c>
      <c r="I701" s="11" t="str">
        <f aca="false">IF(INDEX(選手一覧!$F$7:$F$2738,$F701)="","",INDEX(選手一覧!$F$7:$F$2738,$F701))</f>
        <v/>
      </c>
      <c r="J701" s="12" t="str">
        <f aca="false">IF(INDEX(選手一覧!$G$7:$G$2738,$F701)="","",INDEX(選手一覧!$G$7:$G$2738,$F701))</f>
        <v/>
      </c>
    </row>
    <row r="702" customFormat="false" ht="15" hidden="false" customHeight="false" outlineLevel="0" collapsed="false">
      <c r="A702" s="12" t="n">
        <v>698</v>
      </c>
      <c r="B702" s="10" t="s">
        <v>2130</v>
      </c>
      <c r="C702" s="10" t="s">
        <v>55</v>
      </c>
      <c r="D702" s="11" t="n">
        <v>0.00287025462962963</v>
      </c>
      <c r="E702" s="18" t="n">
        <f aca="false">ROUND((D702-$D$5)*86400,2)</f>
        <v>22.96</v>
      </c>
      <c r="F702" s="12" t="n">
        <v>1473</v>
      </c>
      <c r="G702" s="11" t="n">
        <f aca="false">IF(INDEX(選手一覧!$D$7:$D$2738,$F702)="","",INDEX(選手一覧!$D$7:$D$2738,$F702))</f>
        <v>0.0108236111111111</v>
      </c>
      <c r="H702" s="12" t="n">
        <f aca="false">IF(INDEX(選手一覧!$E$7:$E$2738,$F702)="","",INDEX(選手一覧!$E$7:$E$2738,$F702))</f>
        <v>782</v>
      </c>
      <c r="I702" s="11" t="str">
        <f aca="false">IF(INDEX(選手一覧!$F$7:$F$2738,$F702)="","",INDEX(選手一覧!$F$7:$F$2738,$F702))</f>
        <v/>
      </c>
      <c r="J702" s="12" t="str">
        <f aca="false">IF(INDEX(選手一覧!$G$7:$G$2738,$F702)="","",INDEX(選手一覧!$G$7:$G$2738,$F702))</f>
        <v/>
      </c>
    </row>
    <row r="703" customFormat="false" ht="15" hidden="false" customHeight="false" outlineLevel="0" collapsed="false">
      <c r="A703" s="12" t="n">
        <v>699</v>
      </c>
      <c r="B703" s="10" t="s">
        <v>2135</v>
      </c>
      <c r="C703" s="10" t="s">
        <v>2136</v>
      </c>
      <c r="D703" s="11" t="n">
        <v>0.00287048611111111</v>
      </c>
      <c r="E703" s="18" t="n">
        <f aca="false">ROUND((D703-$D$5)*86400,2)</f>
        <v>22.98</v>
      </c>
      <c r="F703" s="12" t="n">
        <v>1476</v>
      </c>
      <c r="G703" s="11" t="str">
        <f aca="false">IF(INDEX(選手一覧!$D$7:$D$2738,$F703)="","",INDEX(選手一覧!$D$7:$D$2738,$F703))</f>
        <v/>
      </c>
      <c r="H703" s="12" t="str">
        <f aca="false">IF(INDEX(選手一覧!$E$7:$E$2738,$F703)="","",INDEX(選手一覧!$E$7:$E$2738,$F703))</f>
        <v/>
      </c>
      <c r="I703" s="11" t="str">
        <f aca="false">IF(INDEX(選手一覧!$F$7:$F$2738,$F703)="","",INDEX(選手一覧!$F$7:$F$2738,$F703))</f>
        <v/>
      </c>
      <c r="J703" s="12" t="str">
        <f aca="false">IF(INDEX(選手一覧!$G$7:$G$2738,$F703)="","",INDEX(選手一覧!$G$7:$G$2738,$F703))</f>
        <v/>
      </c>
    </row>
    <row r="704" customFormat="false" ht="15" hidden="false" customHeight="false" outlineLevel="0" collapsed="false">
      <c r="A704" s="12" t="n">
        <v>700</v>
      </c>
      <c r="B704" s="10" t="s">
        <v>2137</v>
      </c>
      <c r="C704" s="10" t="s">
        <v>2138</v>
      </c>
      <c r="D704" s="11" t="n">
        <v>0.00287060185185185</v>
      </c>
      <c r="E704" s="18" t="n">
        <f aca="false">ROUND((D704-$D$5)*86400,2)</f>
        <v>22.99</v>
      </c>
      <c r="F704" s="12" t="n">
        <v>1477</v>
      </c>
      <c r="G704" s="11" t="str">
        <f aca="false">IF(INDEX(選手一覧!$D$7:$D$2738,$F704)="","",INDEX(選手一覧!$D$7:$D$2738,$F704))</f>
        <v/>
      </c>
      <c r="H704" s="12" t="str">
        <f aca="false">IF(INDEX(選手一覧!$E$7:$E$2738,$F704)="","",INDEX(選手一覧!$E$7:$E$2738,$F704))</f>
        <v/>
      </c>
      <c r="I704" s="11" t="str">
        <f aca="false">IF(INDEX(選手一覧!$F$7:$F$2738,$F704)="","",INDEX(選手一覧!$F$7:$F$2738,$F704))</f>
        <v/>
      </c>
      <c r="J704" s="12" t="str">
        <f aca="false">IF(INDEX(選手一覧!$G$7:$G$2738,$F704)="","",INDEX(選手一覧!$G$7:$G$2738,$F704))</f>
        <v/>
      </c>
    </row>
    <row r="705" customFormat="false" ht="15" hidden="false" customHeight="false" outlineLevel="0" collapsed="false">
      <c r="A705" s="12" t="n">
        <v>701</v>
      </c>
      <c r="B705" s="10" t="s">
        <v>324</v>
      </c>
      <c r="C705" s="10" t="s">
        <v>72</v>
      </c>
      <c r="D705" s="11" t="n">
        <v>0.00287071759259259</v>
      </c>
      <c r="E705" s="18" t="n">
        <f aca="false">ROUND((D705-$D$5)*86400,2)</f>
        <v>23</v>
      </c>
      <c r="F705" s="12" t="n">
        <v>186</v>
      </c>
      <c r="G705" s="11" t="n">
        <f aca="false">IF(INDEX(選手一覧!$D$7:$D$2738,$F705)="","",INDEX(選手一覧!$D$7:$D$2738,$F705))</f>
        <v>0.0104962962962963</v>
      </c>
      <c r="H705" s="12" t="n">
        <f aca="false">IF(INDEX(選手一覧!$E$7:$E$2738,$F705)="","",INDEX(選手一覧!$E$7:$E$2738,$F705))</f>
        <v>338</v>
      </c>
      <c r="I705" s="11" t="n">
        <f aca="false">IF(INDEX(選手一覧!$F$7:$F$2738,$F705)="","",INDEX(選手一覧!$F$7:$F$2738,$F705))</f>
        <v>0.00663680555555556</v>
      </c>
      <c r="J705" s="12" t="n">
        <f aca="false">IF(INDEX(選手一覧!$G$7:$G$2738,$F705)="","",INDEX(選手一覧!$G$7:$G$2738,$F705))</f>
        <v>76</v>
      </c>
    </row>
    <row r="706" customFormat="false" ht="15" hidden="false" customHeight="false" outlineLevel="0" collapsed="false">
      <c r="A706" s="12" t="n">
        <v>702</v>
      </c>
      <c r="B706" s="10" t="s">
        <v>1500</v>
      </c>
      <c r="C706" s="10" t="s">
        <v>1501</v>
      </c>
      <c r="D706" s="11" t="n">
        <v>0.00287071759259259</v>
      </c>
      <c r="E706" s="18" t="n">
        <f aca="false">ROUND((D706-$D$5)*86400,2)</f>
        <v>23</v>
      </c>
      <c r="F706" s="12" t="n">
        <v>1031</v>
      </c>
      <c r="G706" s="11" t="n">
        <f aca="false">IF(INDEX(選手一覧!$D$7:$D$2738,$F706)="","",INDEX(選手一覧!$D$7:$D$2738,$F706))</f>
        <v>0.010600462962963</v>
      </c>
      <c r="H706" s="12" t="n">
        <f aca="false">IF(INDEX(選手一覧!$E$7:$E$2738,$F706)="","",INDEX(選手一覧!$E$7:$E$2738,$F706))</f>
        <v>464</v>
      </c>
      <c r="I706" s="11" t="n">
        <f aca="false">IF(INDEX(選手一覧!$F$7:$F$2738,$F706)="","",INDEX(選手一覧!$F$7:$F$2738,$F706))</f>
        <v>0.00713217592592593</v>
      </c>
      <c r="J706" s="12" t="n">
        <f aca="false">IF(INDEX(選手一覧!$G$7:$G$2738,$F706)="","",INDEX(選手一覧!$G$7:$G$2738,$F706))</f>
        <v>475</v>
      </c>
    </row>
    <row r="707" customFormat="false" ht="15" hidden="false" customHeight="false" outlineLevel="0" collapsed="false">
      <c r="A707" s="12" t="n">
        <v>703</v>
      </c>
      <c r="B707" s="10" t="s">
        <v>1053</v>
      </c>
      <c r="C707" s="10" t="s">
        <v>484</v>
      </c>
      <c r="D707" s="11" t="n">
        <v>0.00287083333333333</v>
      </c>
      <c r="E707" s="18" t="n">
        <f aca="false">ROUND((D707-$D$5)*86400,2)</f>
        <v>23.01</v>
      </c>
      <c r="F707" s="12" t="n">
        <v>706</v>
      </c>
      <c r="G707" s="11" t="n">
        <f aca="false">IF(INDEX(選手一覧!$D$7:$D$2738,$F707)="","",INDEX(選手一覧!$D$7:$D$2738,$F707))</f>
        <v>0.0104486111111111</v>
      </c>
      <c r="H707" s="12" t="n">
        <f aca="false">IF(INDEX(選手一覧!$E$7:$E$2738,$F707)="","",INDEX(選手一覧!$E$7:$E$2738,$F707))</f>
        <v>303</v>
      </c>
      <c r="I707" s="11" t="n">
        <f aca="false">IF(INDEX(選手一覧!$F$7:$F$2738,$F707)="","",INDEX(選手一覧!$F$7:$F$2738,$F707))</f>
        <v>0.00772731481481481</v>
      </c>
      <c r="J707" s="12" t="n">
        <f aca="false">IF(INDEX(選手一覧!$G$7:$G$2738,$F707)="","",INDEX(選手一覧!$G$7:$G$2738,$F707))</f>
        <v>1094</v>
      </c>
    </row>
    <row r="708" customFormat="false" ht="15" hidden="false" customHeight="false" outlineLevel="0" collapsed="false">
      <c r="A708" s="12" t="n">
        <v>704</v>
      </c>
      <c r="B708" s="10" t="s">
        <v>1250</v>
      </c>
      <c r="C708" s="10" t="s">
        <v>302</v>
      </c>
      <c r="D708" s="11" t="n">
        <v>0.00287094907407407</v>
      </c>
      <c r="E708" s="18" t="n">
        <f aca="false">ROUND((D708-$D$5)*86400,2)</f>
        <v>23.02</v>
      </c>
      <c r="F708" s="12" t="n">
        <v>850</v>
      </c>
      <c r="G708" s="11" t="n">
        <f aca="false">IF(INDEX(選手一覧!$D$7:$D$2738,$F708)="","",INDEX(選手一覧!$D$7:$D$2738,$F708))</f>
        <v>0.0107921296296296</v>
      </c>
      <c r="H708" s="12" t="n">
        <f aca="false">IF(INDEX(選手一覧!$E$7:$E$2738,$F708)="","",INDEX(選手一覧!$E$7:$E$2738,$F708))</f>
        <v>730</v>
      </c>
      <c r="I708" s="11" t="n">
        <f aca="false">IF(INDEX(選手一覧!$F$7:$F$2738,$F708)="","",INDEX(選手一覧!$F$7:$F$2738,$F708))</f>
        <v>0.00704074074074074</v>
      </c>
      <c r="J708" s="12" t="n">
        <f aca="false">IF(INDEX(選手一覧!$G$7:$G$2738,$F708)="","",INDEX(選手一覧!$G$7:$G$2738,$F708))</f>
        <v>377</v>
      </c>
    </row>
    <row r="709" customFormat="false" ht="15" hidden="false" customHeight="false" outlineLevel="0" collapsed="false">
      <c r="A709" s="12" t="n">
        <v>705</v>
      </c>
      <c r="B709" s="10" t="s">
        <v>2148</v>
      </c>
      <c r="C709" s="10" t="s">
        <v>1595</v>
      </c>
      <c r="D709" s="11" t="n">
        <v>0.00287094907407407</v>
      </c>
      <c r="E709" s="18" t="n">
        <f aca="false">ROUND((D709-$D$5)*86400,2)</f>
        <v>23.02</v>
      </c>
      <c r="F709" s="12" t="n">
        <v>1485</v>
      </c>
      <c r="G709" s="11" t="str">
        <f aca="false">IF(INDEX(選手一覧!$D$7:$D$2738,$F709)="","",INDEX(選手一覧!$D$7:$D$2738,$F709))</f>
        <v/>
      </c>
      <c r="H709" s="12" t="str">
        <f aca="false">IF(INDEX(選手一覧!$E$7:$E$2738,$F709)="","",INDEX(選手一覧!$E$7:$E$2738,$F709))</f>
        <v/>
      </c>
      <c r="I709" s="11" t="str">
        <f aca="false">IF(INDEX(選手一覧!$F$7:$F$2738,$F709)="","",INDEX(選手一覧!$F$7:$F$2738,$F709))</f>
        <v/>
      </c>
      <c r="J709" s="12" t="str">
        <f aca="false">IF(INDEX(選手一覧!$G$7:$G$2738,$F709)="","",INDEX(選手一覧!$G$7:$G$2738,$F709))</f>
        <v/>
      </c>
    </row>
    <row r="710" customFormat="false" ht="15" hidden="false" customHeight="false" outlineLevel="0" collapsed="false">
      <c r="A710" s="12" t="n">
        <v>706</v>
      </c>
      <c r="B710" s="10" t="s">
        <v>2150</v>
      </c>
      <c r="C710" s="10" t="s">
        <v>2449</v>
      </c>
      <c r="D710" s="11" t="n">
        <v>0.00287106481481482</v>
      </c>
      <c r="E710" s="18" t="n">
        <f aca="false">ROUND((D710-$D$5)*86400,2)</f>
        <v>23.03</v>
      </c>
      <c r="F710" s="12" t="n">
        <v>1487</v>
      </c>
      <c r="G710" s="11" t="n">
        <f aca="false">IF(INDEX(選手一覧!$D$7:$D$2738,$F710)="","",INDEX(選手一覧!$D$7:$D$2738,$F710))</f>
        <v>0.0108053240740741</v>
      </c>
      <c r="H710" s="12" t="n">
        <f aca="false">IF(INDEX(選手一覧!$E$7:$E$2738,$F710)="","",INDEX(選手一覧!$E$7:$E$2738,$F710))</f>
        <v>752</v>
      </c>
      <c r="I710" s="11" t="str">
        <f aca="false">IF(INDEX(選手一覧!$F$7:$F$2738,$F710)="","",INDEX(選手一覧!$F$7:$F$2738,$F710))</f>
        <v/>
      </c>
      <c r="J710" s="12" t="str">
        <f aca="false">IF(INDEX(選手一覧!$G$7:$G$2738,$F710)="","",INDEX(選手一覧!$G$7:$G$2738,$F710))</f>
        <v/>
      </c>
    </row>
    <row r="711" customFormat="false" ht="15" hidden="false" customHeight="false" outlineLevel="0" collapsed="false">
      <c r="A711" s="12" t="n">
        <v>707</v>
      </c>
      <c r="B711" s="10" t="s">
        <v>2154</v>
      </c>
      <c r="C711" s="10" t="s">
        <v>2155</v>
      </c>
      <c r="D711" s="11" t="n">
        <v>0.00287106481481482</v>
      </c>
      <c r="E711" s="18" t="n">
        <f aca="false">ROUND((D711-$D$5)*86400,2)</f>
        <v>23.03</v>
      </c>
      <c r="F711" s="12" t="n">
        <v>1489</v>
      </c>
      <c r="G711" s="11" t="str">
        <f aca="false">IF(INDEX(選手一覧!$D$7:$D$2738,$F711)="","",INDEX(選手一覧!$D$7:$D$2738,$F711))</f>
        <v/>
      </c>
      <c r="H711" s="12" t="str">
        <f aca="false">IF(INDEX(選手一覧!$E$7:$E$2738,$F711)="","",INDEX(選手一覧!$E$7:$E$2738,$F711))</f>
        <v/>
      </c>
      <c r="I711" s="11" t="str">
        <f aca="false">IF(INDEX(選手一覧!$F$7:$F$2738,$F711)="","",INDEX(選手一覧!$F$7:$F$2738,$F711))</f>
        <v/>
      </c>
      <c r="J711" s="12" t="str">
        <f aca="false">IF(INDEX(選手一覧!$G$7:$G$2738,$F711)="","",INDEX(選手一覧!$G$7:$G$2738,$F711))</f>
        <v/>
      </c>
    </row>
    <row r="712" customFormat="false" ht="15" hidden="false" customHeight="false" outlineLevel="0" collapsed="false">
      <c r="A712" s="12" t="n">
        <v>708</v>
      </c>
      <c r="B712" s="10" t="s">
        <v>2157</v>
      </c>
      <c r="C712" s="10" t="s">
        <v>857</v>
      </c>
      <c r="D712" s="11" t="n">
        <v>0.00287118055555556</v>
      </c>
      <c r="E712" s="18" t="n">
        <f aca="false">ROUND((D712-$D$5)*86400,2)</f>
        <v>23.04</v>
      </c>
      <c r="F712" s="12" t="n">
        <v>1491</v>
      </c>
      <c r="G712" s="11" t="str">
        <f aca="false">IF(INDEX(選手一覧!$D$7:$D$2738,$F712)="","",INDEX(選手一覧!$D$7:$D$2738,$F712))</f>
        <v/>
      </c>
      <c r="H712" s="12" t="str">
        <f aca="false">IF(INDEX(選手一覧!$E$7:$E$2738,$F712)="","",INDEX(選手一覧!$E$7:$E$2738,$F712))</f>
        <v/>
      </c>
      <c r="I712" s="11" t="str">
        <f aca="false">IF(INDEX(選手一覧!$F$7:$F$2738,$F712)="","",INDEX(選手一覧!$F$7:$F$2738,$F712))</f>
        <v/>
      </c>
      <c r="J712" s="12" t="str">
        <f aca="false">IF(INDEX(選手一覧!$G$7:$G$2738,$F712)="","",INDEX(選手一覧!$G$7:$G$2738,$F712))</f>
        <v/>
      </c>
    </row>
    <row r="713" customFormat="false" ht="15" hidden="false" customHeight="false" outlineLevel="0" collapsed="false">
      <c r="A713" s="12" t="n">
        <v>709</v>
      </c>
      <c r="B713" s="10" t="s">
        <v>637</v>
      </c>
      <c r="C713" s="10" t="s">
        <v>23</v>
      </c>
      <c r="D713" s="11" t="n">
        <v>0.0028712962962963</v>
      </c>
      <c r="E713" s="18" t="n">
        <f aca="false">ROUND((D713-$D$5)*86400,2)</f>
        <v>23.05</v>
      </c>
      <c r="F713" s="12" t="n">
        <v>404</v>
      </c>
      <c r="G713" s="11" t="n">
        <f aca="false">IF(INDEX(選手一覧!$D$7:$D$2738,$F713)="","",INDEX(選手一覧!$D$7:$D$2738,$F713))</f>
        <v>0.0103173611111111</v>
      </c>
      <c r="H713" s="12" t="n">
        <f aca="false">IF(INDEX(選手一覧!$E$7:$E$2738,$F713)="","",INDEX(選手一覧!$E$7:$E$2738,$F713))</f>
        <v>171</v>
      </c>
      <c r="I713" s="11" t="str">
        <f aca="false">IF(INDEX(選手一覧!$F$7:$F$2738,$F713)="","",INDEX(選手一覧!$F$7:$F$2738,$F713))</f>
        <v/>
      </c>
      <c r="J713" s="12" t="str">
        <f aca="false">IF(INDEX(選手一覧!$G$7:$G$2738,$F713)="","",INDEX(選手一覧!$G$7:$G$2738,$F713))</f>
        <v/>
      </c>
    </row>
    <row r="714" customFormat="false" ht="15" hidden="false" customHeight="false" outlineLevel="0" collapsed="false">
      <c r="A714" s="12" t="n">
        <v>710</v>
      </c>
      <c r="B714" s="10" t="s">
        <v>2161</v>
      </c>
      <c r="C714" s="10" t="s">
        <v>57</v>
      </c>
      <c r="D714" s="11" t="n">
        <v>0.00287141203703704</v>
      </c>
      <c r="E714" s="18" t="n">
        <f aca="false">ROUND((D714-$D$5)*86400,2)</f>
        <v>23.06</v>
      </c>
      <c r="F714" s="12" t="n">
        <v>1494</v>
      </c>
      <c r="G714" s="11" t="str">
        <f aca="false">IF(INDEX(選手一覧!$D$7:$D$2738,$F714)="","",INDEX(選手一覧!$D$7:$D$2738,$F714))</f>
        <v/>
      </c>
      <c r="H714" s="12" t="str">
        <f aca="false">IF(INDEX(選手一覧!$E$7:$E$2738,$F714)="","",INDEX(選手一覧!$E$7:$E$2738,$F714))</f>
        <v/>
      </c>
      <c r="I714" s="11" t="str">
        <f aca="false">IF(INDEX(選手一覧!$F$7:$F$2738,$F714)="","",INDEX(選手一覧!$F$7:$F$2738,$F714))</f>
        <v/>
      </c>
      <c r="J714" s="12" t="str">
        <f aca="false">IF(INDEX(選手一覧!$G$7:$G$2738,$F714)="","",INDEX(選手一覧!$G$7:$G$2738,$F714))</f>
        <v/>
      </c>
    </row>
    <row r="715" customFormat="false" ht="15" hidden="false" customHeight="false" outlineLevel="0" collapsed="false">
      <c r="A715" s="12" t="n">
        <v>711</v>
      </c>
      <c r="B715" s="10" t="s">
        <v>2162</v>
      </c>
      <c r="C715" s="10" t="s">
        <v>457</v>
      </c>
      <c r="D715" s="11" t="n">
        <v>0.00287141203703704</v>
      </c>
      <c r="E715" s="18" t="n">
        <f aca="false">ROUND((D715-$D$5)*86400,2)</f>
        <v>23.06</v>
      </c>
      <c r="F715" s="12" t="n">
        <v>1495</v>
      </c>
      <c r="G715" s="11" t="n">
        <f aca="false">IF(INDEX(選手一覧!$D$7:$D$2738,$F715)="","",INDEX(選手一覧!$D$7:$D$2738,$F715))</f>
        <v>0.0108788194444444</v>
      </c>
      <c r="H715" s="12" t="n">
        <f aca="false">IF(INDEX(選手一覧!$E$7:$E$2738,$F715)="","",INDEX(選手一覧!$E$7:$E$2738,$F715))</f>
        <v>885</v>
      </c>
      <c r="I715" s="11" t="str">
        <f aca="false">IF(INDEX(選手一覧!$F$7:$F$2738,$F715)="","",INDEX(選手一覧!$F$7:$F$2738,$F715))</f>
        <v/>
      </c>
      <c r="J715" s="12" t="str">
        <f aca="false">IF(INDEX(選手一覧!$G$7:$G$2738,$F715)="","",INDEX(選手一覧!$G$7:$G$2738,$F715))</f>
        <v/>
      </c>
    </row>
    <row r="716" customFormat="false" ht="15" hidden="false" customHeight="false" outlineLevel="0" collapsed="false">
      <c r="A716" s="12" t="n">
        <v>712</v>
      </c>
      <c r="B716" s="10" t="s">
        <v>2165</v>
      </c>
      <c r="C716" s="10" t="s">
        <v>546</v>
      </c>
      <c r="D716" s="11" t="n">
        <v>0.00287152777777778</v>
      </c>
      <c r="E716" s="18" t="n">
        <f aca="false">ROUND((D716-$D$5)*86400,2)</f>
        <v>23.07</v>
      </c>
      <c r="F716" s="12" t="n">
        <v>1497</v>
      </c>
      <c r="G716" s="11" t="n">
        <f aca="false">IF(INDEX(選手一覧!$D$7:$D$2738,$F716)="","",INDEX(選手一覧!$D$7:$D$2738,$F716))</f>
        <v>0.0108703703703704</v>
      </c>
      <c r="H716" s="12" t="n">
        <f aca="false">IF(INDEX(選手一覧!$E$7:$E$2738,$F716)="","",INDEX(選手一覧!$E$7:$E$2738,$F716))</f>
        <v>871</v>
      </c>
      <c r="I716" s="11" t="str">
        <f aca="false">IF(INDEX(選手一覧!$F$7:$F$2738,$F716)="","",INDEX(選手一覧!$F$7:$F$2738,$F716))</f>
        <v/>
      </c>
      <c r="J716" s="12" t="str">
        <f aca="false">IF(INDEX(選手一覧!$G$7:$G$2738,$F716)="","",INDEX(選手一覧!$G$7:$G$2738,$F716))</f>
        <v/>
      </c>
    </row>
    <row r="717" customFormat="false" ht="15" hidden="false" customHeight="false" outlineLevel="0" collapsed="false">
      <c r="A717" s="12" t="n">
        <v>713</v>
      </c>
      <c r="B717" s="10" t="s">
        <v>2169</v>
      </c>
      <c r="C717" s="10" t="s">
        <v>1166</v>
      </c>
      <c r="D717" s="11" t="n">
        <v>0.00287164351851852</v>
      </c>
      <c r="E717" s="18" t="n">
        <f aca="false">ROUND((D717-$D$5)*86400,2)</f>
        <v>23.08</v>
      </c>
      <c r="F717" s="12" t="n">
        <v>1500</v>
      </c>
      <c r="G717" s="11" t="n">
        <f aca="false">IF(INDEX(選手一覧!$D$7:$D$2738,$F717)="","",INDEX(選手一覧!$D$7:$D$2738,$F717))</f>
        <v>0.0108729166666667</v>
      </c>
      <c r="H717" s="12" t="n">
        <f aca="false">IF(INDEX(選手一覧!$E$7:$E$2738,$F717)="","",INDEX(選手一覧!$E$7:$E$2738,$F717))</f>
        <v>874</v>
      </c>
      <c r="I717" s="11" t="str">
        <f aca="false">IF(INDEX(選手一覧!$F$7:$F$2738,$F717)="","",INDEX(選手一覧!$F$7:$F$2738,$F717))</f>
        <v/>
      </c>
      <c r="J717" s="12" t="str">
        <f aca="false">IF(INDEX(選手一覧!$G$7:$G$2738,$F717)="","",INDEX(選手一覧!$G$7:$G$2738,$F717))</f>
        <v/>
      </c>
    </row>
    <row r="718" customFormat="false" ht="15" hidden="false" customHeight="false" outlineLevel="0" collapsed="false">
      <c r="A718" s="12" t="n">
        <v>714</v>
      </c>
      <c r="B718" s="10" t="s">
        <v>2174</v>
      </c>
      <c r="C718" s="10" t="s">
        <v>748</v>
      </c>
      <c r="D718" s="11" t="n">
        <v>0.00287164351851852</v>
      </c>
      <c r="E718" s="18" t="n">
        <f aca="false">ROUND((D718-$D$5)*86400,2)</f>
        <v>23.08</v>
      </c>
      <c r="F718" s="12" t="n">
        <v>1503</v>
      </c>
      <c r="G718" s="11" t="str">
        <f aca="false">IF(INDEX(選手一覧!$D$7:$D$2738,$F718)="","",INDEX(選手一覧!$D$7:$D$2738,$F718))</f>
        <v/>
      </c>
      <c r="H718" s="12" t="str">
        <f aca="false">IF(INDEX(選手一覧!$E$7:$E$2738,$F718)="","",INDEX(選手一覧!$E$7:$E$2738,$F718))</f>
        <v/>
      </c>
      <c r="I718" s="11" t="str">
        <f aca="false">IF(INDEX(選手一覧!$F$7:$F$2738,$F718)="","",INDEX(選手一覧!$F$7:$F$2738,$F718))</f>
        <v/>
      </c>
      <c r="J718" s="12" t="str">
        <f aca="false">IF(INDEX(選手一覧!$G$7:$G$2738,$F718)="","",INDEX(選手一覧!$G$7:$G$2738,$F718))</f>
        <v/>
      </c>
    </row>
    <row r="719" customFormat="false" ht="15" hidden="false" customHeight="false" outlineLevel="0" collapsed="false">
      <c r="A719" s="12" t="n">
        <v>715</v>
      </c>
      <c r="B719" s="10" t="s">
        <v>1252</v>
      </c>
      <c r="C719" s="10" t="s">
        <v>385</v>
      </c>
      <c r="D719" s="11" t="n">
        <v>0.00287175925925926</v>
      </c>
      <c r="E719" s="18" t="n">
        <f aca="false">ROUND((D719-$D$5)*86400,2)</f>
        <v>23.09</v>
      </c>
      <c r="F719" s="12" t="n">
        <v>852</v>
      </c>
      <c r="G719" s="11" t="n">
        <f aca="false">IF(INDEX(選手一覧!$D$7:$D$2738,$F719)="","",INDEX(選手一覧!$D$7:$D$2738,$F719))</f>
        <v>0.0105351851851852</v>
      </c>
      <c r="H719" s="12" t="n">
        <f aca="false">IF(INDEX(選手一覧!$E$7:$E$2738,$F719)="","",INDEX(選手一覧!$E$7:$E$2738,$F719))</f>
        <v>378</v>
      </c>
      <c r="I719" s="11" t="str">
        <f aca="false">IF(INDEX(選手一覧!$F$7:$F$2738,$F719)="","",INDEX(選手一覧!$F$7:$F$2738,$F719))</f>
        <v/>
      </c>
      <c r="J719" s="12" t="str">
        <f aca="false">IF(INDEX(選手一覧!$G$7:$G$2738,$F719)="","",INDEX(選手一覧!$G$7:$G$2738,$F719))</f>
        <v/>
      </c>
    </row>
    <row r="720" customFormat="false" ht="15" hidden="false" customHeight="false" outlineLevel="0" collapsed="false">
      <c r="A720" s="12" t="n">
        <v>716</v>
      </c>
      <c r="B720" s="10" t="s">
        <v>2179</v>
      </c>
      <c r="C720" s="10" t="s">
        <v>2024</v>
      </c>
      <c r="D720" s="11" t="n">
        <v>0.002871875</v>
      </c>
      <c r="E720" s="18" t="n">
        <f aca="false">ROUND((D720-$D$5)*86400,2)</f>
        <v>23.1</v>
      </c>
      <c r="F720" s="12" t="n">
        <v>1508</v>
      </c>
      <c r="G720" s="11" t="n">
        <f aca="false">IF(INDEX(選手一覧!$D$7:$D$2738,$F720)="","",INDEX(選手一覧!$D$7:$D$2738,$F720))</f>
        <v>0.0110993055555556</v>
      </c>
      <c r="H720" s="12" t="n">
        <f aca="false">IF(INDEX(選手一覧!$E$7:$E$2738,$F720)="","",INDEX(選手一覧!$E$7:$E$2738,$F720))</f>
        <v>1270</v>
      </c>
      <c r="I720" s="11" t="str">
        <f aca="false">IF(INDEX(選手一覧!$F$7:$F$2738,$F720)="","",INDEX(選手一覧!$F$7:$F$2738,$F720))</f>
        <v/>
      </c>
      <c r="J720" s="12" t="str">
        <f aca="false">IF(INDEX(選手一覧!$G$7:$G$2738,$F720)="","",INDEX(選手一覧!$G$7:$G$2738,$F720))</f>
        <v/>
      </c>
    </row>
    <row r="721" customFormat="false" ht="15" hidden="false" customHeight="false" outlineLevel="0" collapsed="false">
      <c r="A721" s="12" t="n">
        <v>717</v>
      </c>
      <c r="B721" s="10" t="s">
        <v>1816</v>
      </c>
      <c r="C721" s="10" t="s">
        <v>302</v>
      </c>
      <c r="D721" s="11" t="n">
        <v>0.00287222222222222</v>
      </c>
      <c r="E721" s="18" t="n">
        <f aca="false">ROUND((D721-$D$5)*86400,2)</f>
        <v>23.13</v>
      </c>
      <c r="F721" s="12" t="n">
        <v>1251</v>
      </c>
      <c r="G721" s="11" t="n">
        <f aca="false">IF(INDEX(選手一覧!$D$7:$D$2738,$F721)="","",INDEX(選手一覧!$D$7:$D$2738,$F721))</f>
        <v>0.0106961805555556</v>
      </c>
      <c r="H721" s="12" t="n">
        <f aca="false">IF(INDEX(選手一覧!$E$7:$E$2738,$F721)="","",INDEX(選手一覧!$E$7:$E$2738,$F721))</f>
        <v>577</v>
      </c>
      <c r="I721" s="11" t="str">
        <f aca="false">IF(INDEX(選手一覧!$F$7:$F$2738,$F721)="","",INDEX(選手一覧!$F$7:$F$2738,$F721))</f>
        <v/>
      </c>
      <c r="J721" s="12" t="str">
        <f aca="false">IF(INDEX(選手一覧!$G$7:$G$2738,$F721)="","",INDEX(選手一覧!$G$7:$G$2738,$F721))</f>
        <v/>
      </c>
    </row>
    <row r="722" customFormat="false" ht="15" hidden="false" customHeight="false" outlineLevel="0" collapsed="false">
      <c r="A722" s="12" t="n">
        <v>718</v>
      </c>
      <c r="B722" s="10" t="s">
        <v>284</v>
      </c>
      <c r="C722" s="10" t="s">
        <v>166</v>
      </c>
      <c r="D722" s="11" t="n">
        <v>0.0028724537037037</v>
      </c>
      <c r="E722" s="18" t="n">
        <f aca="false">ROUND((D722-$D$5)*86400,2)</f>
        <v>23.15</v>
      </c>
      <c r="F722" s="12" t="n">
        <v>159</v>
      </c>
      <c r="G722" s="11" t="n">
        <f aca="false">IF(INDEX(選手一覧!$D$7:$D$2738,$F722)="","",INDEX(選手一覧!$D$7:$D$2738,$F722))</f>
        <v>0.0101362268518519</v>
      </c>
      <c r="H722" s="12" t="n">
        <f aca="false">IF(INDEX(選手一覧!$E$7:$E$2738,$F722)="","",INDEX(選手一覧!$E$7:$E$2738,$F722))</f>
        <v>64</v>
      </c>
      <c r="I722" s="11" t="n">
        <f aca="false">IF(INDEX(選手一覧!$F$7:$F$2738,$F722)="","",INDEX(選手一覧!$F$7:$F$2738,$F722))</f>
        <v>0.00668483796296296</v>
      </c>
      <c r="J722" s="12" t="n">
        <f aca="false">IF(INDEX(選手一覧!$G$7:$G$2738,$F722)="","",INDEX(選手一覧!$G$7:$G$2738,$F722))</f>
        <v>102</v>
      </c>
    </row>
    <row r="723" customFormat="false" ht="15" hidden="false" customHeight="false" outlineLevel="0" collapsed="false">
      <c r="A723" s="12" t="n">
        <v>719</v>
      </c>
      <c r="B723" s="10" t="s">
        <v>140</v>
      </c>
      <c r="C723" s="10" t="s">
        <v>141</v>
      </c>
      <c r="D723" s="11" t="n">
        <v>0.00287256944444445</v>
      </c>
      <c r="E723" s="18" t="n">
        <f aca="false">ROUND((D723-$D$5)*86400,2)</f>
        <v>23.16</v>
      </c>
      <c r="F723" s="12" t="n">
        <v>66</v>
      </c>
      <c r="G723" s="11" t="n">
        <f aca="false">IF(INDEX(選手一覧!$D$7:$D$2738,$F723)="","",INDEX(選手一覧!$D$7:$D$2738,$F723))</f>
        <v>0.0105503472222222</v>
      </c>
      <c r="H723" s="12" t="n">
        <f aca="false">IF(INDEX(選手一覧!$E$7:$E$2738,$F723)="","",INDEX(選手一覧!$E$7:$E$2738,$F723))</f>
        <v>399</v>
      </c>
      <c r="I723" s="11" t="n">
        <f aca="false">IF(INDEX(選手一覧!$F$7:$F$2738,$F723)="","",INDEX(選手一覧!$F$7:$F$2738,$F723))</f>
        <v>0.00646284722222222</v>
      </c>
      <c r="J723" s="12" t="n">
        <f aca="false">IF(INDEX(選手一覧!$G$7:$G$2738,$F723)="","",INDEX(選手一覧!$G$7:$G$2738,$F723))</f>
        <v>27</v>
      </c>
    </row>
    <row r="724" customFormat="false" ht="15" hidden="false" customHeight="false" outlineLevel="0" collapsed="false">
      <c r="A724" s="12" t="n">
        <v>720</v>
      </c>
      <c r="B724" s="10" t="s">
        <v>2185</v>
      </c>
      <c r="C724" s="10" t="s">
        <v>2186</v>
      </c>
      <c r="D724" s="11" t="n">
        <v>0.00287280092592593</v>
      </c>
      <c r="E724" s="18" t="n">
        <f aca="false">ROUND((D724-$D$5)*86400,2)</f>
        <v>23.18</v>
      </c>
      <c r="F724" s="12" t="n">
        <v>1512</v>
      </c>
      <c r="G724" s="11" t="n">
        <f aca="false">IF(INDEX(選手一覧!$D$7:$D$2738,$F724)="","",INDEX(選手一覧!$D$7:$D$2738,$F724))</f>
        <v>0.01101875</v>
      </c>
      <c r="H724" s="12" t="n">
        <f aca="false">IF(INDEX(選手一覧!$E$7:$E$2738,$F724)="","",INDEX(選手一覧!$E$7:$E$2738,$F724))</f>
        <v>1127</v>
      </c>
      <c r="I724" s="11" t="str">
        <f aca="false">IF(INDEX(選手一覧!$F$7:$F$2738,$F724)="","",INDEX(選手一覧!$F$7:$F$2738,$F724))</f>
        <v/>
      </c>
      <c r="J724" s="12" t="str">
        <f aca="false">IF(INDEX(選手一覧!$G$7:$G$2738,$F724)="","",INDEX(選手一覧!$G$7:$G$2738,$F724))</f>
        <v/>
      </c>
    </row>
    <row r="725" customFormat="false" ht="15" hidden="false" customHeight="false" outlineLevel="0" collapsed="false">
      <c r="A725" s="12" t="n">
        <v>721</v>
      </c>
      <c r="B725" s="10" t="s">
        <v>898</v>
      </c>
      <c r="C725" s="10" t="s">
        <v>899</v>
      </c>
      <c r="D725" s="11" t="n">
        <v>0.00287303240740741</v>
      </c>
      <c r="E725" s="18" t="n">
        <f aca="false">ROUND((D725-$D$5)*86400,2)</f>
        <v>23.2</v>
      </c>
      <c r="F725" s="12" t="n">
        <v>593</v>
      </c>
      <c r="G725" s="11" t="str">
        <f aca="false">IF(INDEX(選手一覧!$D$7:$D$2738,$F725)="","",INDEX(選手一覧!$D$7:$D$2738,$F725))</f>
        <v/>
      </c>
      <c r="H725" s="12" t="str">
        <f aca="false">IF(INDEX(選手一覧!$E$7:$E$2738,$F725)="","",INDEX(選手一覧!$E$7:$E$2738,$F725))</f>
        <v/>
      </c>
      <c r="I725" s="11" t="n">
        <f aca="false">IF(INDEX(選手一覧!$F$7:$F$2738,$F725)="","",INDEX(選手一覧!$F$7:$F$2738,$F725))</f>
        <v>0.00690659722222222</v>
      </c>
      <c r="J725" s="12" t="n">
        <f aca="false">IF(INDEX(選手一覧!$G$7:$G$2738,$F725)="","",INDEX(選手一覧!$G$7:$G$2738,$F725))</f>
        <v>249</v>
      </c>
    </row>
    <row r="726" customFormat="false" ht="15" hidden="false" customHeight="false" outlineLevel="0" collapsed="false">
      <c r="A726" s="12" t="n">
        <v>722</v>
      </c>
      <c r="B726" s="10" t="s">
        <v>2193</v>
      </c>
      <c r="C726" s="10" t="s">
        <v>505</v>
      </c>
      <c r="D726" s="11" t="n">
        <v>0.00287303240740741</v>
      </c>
      <c r="E726" s="18" t="n">
        <f aca="false">ROUND((D726-$D$5)*86400,2)</f>
        <v>23.2</v>
      </c>
      <c r="F726" s="12" t="n">
        <v>1518</v>
      </c>
      <c r="G726" s="11" t="str">
        <f aca="false">IF(INDEX(選手一覧!$D$7:$D$2738,$F726)="","",INDEX(選手一覧!$D$7:$D$2738,$F726))</f>
        <v/>
      </c>
      <c r="H726" s="12" t="str">
        <f aca="false">IF(INDEX(選手一覧!$E$7:$E$2738,$F726)="","",INDEX(選手一覧!$E$7:$E$2738,$F726))</f>
        <v/>
      </c>
      <c r="I726" s="11" t="str">
        <f aca="false">IF(INDEX(選手一覧!$F$7:$F$2738,$F726)="","",INDEX(選手一覧!$F$7:$F$2738,$F726))</f>
        <v/>
      </c>
      <c r="J726" s="12" t="str">
        <f aca="false">IF(INDEX(選手一覧!$G$7:$G$2738,$F726)="","",INDEX(選手一覧!$G$7:$G$2738,$F726))</f>
        <v/>
      </c>
    </row>
    <row r="727" customFormat="false" ht="15" hidden="false" customHeight="false" outlineLevel="0" collapsed="false">
      <c r="A727" s="12" t="n">
        <v>723</v>
      </c>
      <c r="B727" s="10" t="s">
        <v>2197</v>
      </c>
      <c r="C727" s="10" t="s">
        <v>486</v>
      </c>
      <c r="D727" s="11" t="n">
        <v>0.00287326388888889</v>
      </c>
      <c r="E727" s="18" t="n">
        <f aca="false">ROUND((D727-$D$5)*86400,2)</f>
        <v>23.22</v>
      </c>
      <c r="F727" s="12" t="n">
        <v>1521</v>
      </c>
      <c r="G727" s="11" t="str">
        <f aca="false">IF(INDEX(選手一覧!$D$7:$D$2738,$F727)="","",INDEX(選手一覧!$D$7:$D$2738,$F727))</f>
        <v/>
      </c>
      <c r="H727" s="12" t="str">
        <f aca="false">IF(INDEX(選手一覧!$E$7:$E$2738,$F727)="","",INDEX(選手一覧!$E$7:$E$2738,$F727))</f>
        <v/>
      </c>
      <c r="I727" s="11" t="str">
        <f aca="false">IF(INDEX(選手一覧!$F$7:$F$2738,$F727)="","",INDEX(選手一覧!$F$7:$F$2738,$F727))</f>
        <v/>
      </c>
      <c r="J727" s="12" t="str">
        <f aca="false">IF(INDEX(選手一覧!$G$7:$G$2738,$F727)="","",INDEX(選手一覧!$G$7:$G$2738,$F727))</f>
        <v/>
      </c>
    </row>
    <row r="728" customFormat="false" ht="15" hidden="false" customHeight="false" outlineLevel="0" collapsed="false">
      <c r="A728" s="12" t="n">
        <v>724</v>
      </c>
      <c r="B728" s="10" t="s">
        <v>2199</v>
      </c>
      <c r="C728" s="10" t="s">
        <v>62</v>
      </c>
      <c r="D728" s="11" t="n">
        <v>0.00287349537037037</v>
      </c>
      <c r="E728" s="18" t="n">
        <f aca="false">ROUND((D728-$D$5)*86400,2)</f>
        <v>23.24</v>
      </c>
      <c r="F728" s="12" t="n">
        <v>1523</v>
      </c>
      <c r="G728" s="11" t="n">
        <f aca="false">IF(INDEX(選手一覧!$D$7:$D$2738,$F728)="","",INDEX(選手一覧!$D$7:$D$2738,$F728))</f>
        <v>0.0109087962962963</v>
      </c>
      <c r="H728" s="12" t="n">
        <f aca="false">IF(INDEX(選手一覧!$E$7:$E$2738,$F728)="","",INDEX(選手一覧!$E$7:$E$2738,$F728))</f>
        <v>936</v>
      </c>
      <c r="I728" s="11" t="str">
        <f aca="false">IF(INDEX(選手一覧!$F$7:$F$2738,$F728)="","",INDEX(選手一覧!$F$7:$F$2738,$F728))</f>
        <v/>
      </c>
      <c r="J728" s="12" t="str">
        <f aca="false">IF(INDEX(選手一覧!$G$7:$G$2738,$F728)="","",INDEX(選手一覧!$G$7:$G$2738,$F728))</f>
        <v/>
      </c>
    </row>
    <row r="729" customFormat="false" ht="15" hidden="false" customHeight="false" outlineLevel="0" collapsed="false">
      <c r="A729" s="12" t="n">
        <v>725</v>
      </c>
      <c r="B729" s="10" t="s">
        <v>2202</v>
      </c>
      <c r="C729" s="10" t="s">
        <v>2203</v>
      </c>
      <c r="D729" s="11" t="n">
        <v>0.00287372685185185</v>
      </c>
      <c r="E729" s="18" t="n">
        <f aca="false">ROUND((D729-$D$5)*86400,2)</f>
        <v>23.26</v>
      </c>
      <c r="F729" s="12" t="n">
        <v>1525</v>
      </c>
      <c r="G729" s="11" t="str">
        <f aca="false">IF(INDEX(選手一覧!$D$7:$D$2738,$F729)="","",INDEX(選手一覧!$D$7:$D$2738,$F729))</f>
        <v/>
      </c>
      <c r="H729" s="12" t="str">
        <f aca="false">IF(INDEX(選手一覧!$E$7:$E$2738,$F729)="","",INDEX(選手一覧!$E$7:$E$2738,$F729))</f>
        <v/>
      </c>
      <c r="I729" s="11" t="str">
        <f aca="false">IF(INDEX(選手一覧!$F$7:$F$2738,$F729)="","",INDEX(選手一覧!$F$7:$F$2738,$F729))</f>
        <v/>
      </c>
      <c r="J729" s="12" t="str">
        <f aca="false">IF(INDEX(選手一覧!$G$7:$G$2738,$F729)="","",INDEX(選手一覧!$G$7:$G$2738,$F729))</f>
        <v/>
      </c>
    </row>
    <row r="730" customFormat="false" ht="15" hidden="false" customHeight="false" outlineLevel="0" collapsed="false">
      <c r="A730" s="12" t="n">
        <v>726</v>
      </c>
      <c r="B730" s="10" t="s">
        <v>2206</v>
      </c>
      <c r="C730" s="10" t="s">
        <v>614</v>
      </c>
      <c r="D730" s="11" t="n">
        <v>0.00287384259259259</v>
      </c>
      <c r="E730" s="18" t="n">
        <f aca="false">ROUND((D730-$D$5)*86400,2)</f>
        <v>23.27</v>
      </c>
      <c r="F730" s="12" t="n">
        <v>1527</v>
      </c>
      <c r="G730" s="11" t="str">
        <f aca="false">IF(INDEX(選手一覧!$D$7:$D$2738,$F730)="","",INDEX(選手一覧!$D$7:$D$2738,$F730))</f>
        <v/>
      </c>
      <c r="H730" s="12" t="str">
        <f aca="false">IF(INDEX(選手一覧!$E$7:$E$2738,$F730)="","",INDEX(選手一覧!$E$7:$E$2738,$F730))</f>
        <v/>
      </c>
      <c r="I730" s="11" t="str">
        <f aca="false">IF(INDEX(選手一覧!$F$7:$F$2738,$F730)="","",INDEX(選手一覧!$F$7:$F$2738,$F730))</f>
        <v/>
      </c>
      <c r="J730" s="12" t="str">
        <f aca="false">IF(INDEX(選手一覧!$G$7:$G$2738,$F730)="","",INDEX(選手一覧!$G$7:$G$2738,$F730))</f>
        <v/>
      </c>
    </row>
    <row r="731" customFormat="false" ht="15" hidden="false" customHeight="false" outlineLevel="0" collapsed="false">
      <c r="A731" s="12" t="n">
        <v>727</v>
      </c>
      <c r="B731" s="10" t="s">
        <v>2008</v>
      </c>
      <c r="C731" s="10" t="s">
        <v>2009</v>
      </c>
      <c r="D731" s="11" t="n">
        <v>0.00287407407407407</v>
      </c>
      <c r="E731" s="18" t="n">
        <f aca="false">ROUND((D731-$D$5)*86400,2)</f>
        <v>23.29</v>
      </c>
      <c r="F731" s="12" t="n">
        <v>1386</v>
      </c>
      <c r="G731" s="11" t="n">
        <f aca="false">IF(INDEX(選手一覧!$D$7:$D$2738,$F731)="","",INDEX(選手一覧!$D$7:$D$2738,$F731))</f>
        <v>0.0109394675925926</v>
      </c>
      <c r="H731" s="12" t="n">
        <f aca="false">IF(INDEX(選手一覧!$E$7:$E$2738,$F731)="","",INDEX(選手一覧!$E$7:$E$2738,$F731))</f>
        <v>981</v>
      </c>
      <c r="I731" s="11" t="n">
        <f aca="false">IF(INDEX(選手一覧!$F$7:$F$2738,$F731)="","",INDEX(選手一覧!$F$7:$F$2738,$F731))</f>
        <v>0.00730428240740741</v>
      </c>
      <c r="J731" s="12" t="n">
        <f aca="false">IF(INDEX(選手一覧!$G$7:$G$2738,$F731)="","",INDEX(選手一覧!$G$7:$G$2738,$F731))</f>
        <v>652</v>
      </c>
    </row>
    <row r="732" customFormat="false" ht="15" hidden="false" customHeight="false" outlineLevel="0" collapsed="false">
      <c r="A732" s="12" t="n">
        <v>728</v>
      </c>
      <c r="B732" s="10" t="s">
        <v>891</v>
      </c>
      <c r="C732" s="10" t="s">
        <v>277</v>
      </c>
      <c r="D732" s="11" t="n">
        <v>0.00287407407407407</v>
      </c>
      <c r="E732" s="18" t="n">
        <f aca="false">ROUND((D732-$D$5)*86400,2)</f>
        <v>23.29</v>
      </c>
      <c r="F732" s="12" t="n">
        <v>587</v>
      </c>
      <c r="G732" s="11" t="n">
        <f aca="false">IF(INDEX(選手一覧!$D$7:$D$2738,$F732)="","",INDEX(選手一覧!$D$7:$D$2738,$F732))</f>
        <v>0.0105216435185185</v>
      </c>
      <c r="H732" s="12" t="n">
        <f aca="false">IF(INDEX(選手一覧!$E$7:$E$2738,$F732)="","",INDEX(選手一覧!$E$7:$E$2738,$F732))</f>
        <v>364</v>
      </c>
      <c r="I732" s="11" t="n">
        <f aca="false">IF(INDEX(選手一覧!$F$7:$F$2738,$F732)="","",INDEX(選手一覧!$F$7:$F$2738,$F732))</f>
        <v>0.00690613425925926</v>
      </c>
      <c r="J732" s="12" t="n">
        <f aca="false">IF(INDEX(選手一覧!$G$7:$G$2738,$F732)="","",INDEX(選手一覧!$G$7:$G$2738,$F732))</f>
        <v>247</v>
      </c>
    </row>
    <row r="733" customFormat="false" ht="15" hidden="false" customHeight="false" outlineLevel="0" collapsed="false">
      <c r="A733" s="12" t="n">
        <v>729</v>
      </c>
      <c r="B733" s="10" t="s">
        <v>2213</v>
      </c>
      <c r="C733" s="10" t="s">
        <v>754</v>
      </c>
      <c r="D733" s="11" t="n">
        <v>0.00287430555555556</v>
      </c>
      <c r="E733" s="18" t="n">
        <f aca="false">ROUND((D733-$D$5)*86400,2)</f>
        <v>23.31</v>
      </c>
      <c r="F733" s="12" t="n">
        <v>1532</v>
      </c>
      <c r="G733" s="11" t="str">
        <f aca="false">IF(INDEX(選手一覧!$D$7:$D$2738,$F733)="","",INDEX(選手一覧!$D$7:$D$2738,$F733))</f>
        <v/>
      </c>
      <c r="H733" s="12" t="str">
        <f aca="false">IF(INDEX(選手一覧!$E$7:$E$2738,$F733)="","",INDEX(選手一覧!$E$7:$E$2738,$F733))</f>
        <v/>
      </c>
      <c r="I733" s="11" t="str">
        <f aca="false">IF(INDEX(選手一覧!$F$7:$F$2738,$F733)="","",INDEX(選手一覧!$F$7:$F$2738,$F733))</f>
        <v/>
      </c>
      <c r="J733" s="12" t="str">
        <f aca="false">IF(INDEX(選手一覧!$G$7:$G$2738,$F733)="","",INDEX(選手一覧!$G$7:$G$2738,$F733))</f>
        <v/>
      </c>
    </row>
    <row r="734" customFormat="false" ht="15" hidden="false" customHeight="false" outlineLevel="0" collapsed="false">
      <c r="A734" s="12" t="n">
        <v>730</v>
      </c>
      <c r="B734" s="10" t="s">
        <v>2214</v>
      </c>
      <c r="C734" s="10" t="s">
        <v>2215</v>
      </c>
      <c r="D734" s="11" t="n">
        <v>0.00287453703703704</v>
      </c>
      <c r="E734" s="18" t="n">
        <f aca="false">ROUND((D734-$D$5)*86400,2)</f>
        <v>23.33</v>
      </c>
      <c r="F734" s="12" t="n">
        <v>1533</v>
      </c>
      <c r="G734" s="11" t="str">
        <f aca="false">IF(INDEX(選手一覧!$D$7:$D$2738,$F734)="","",INDEX(選手一覧!$D$7:$D$2738,$F734))</f>
        <v/>
      </c>
      <c r="H734" s="12" t="str">
        <f aca="false">IF(INDEX(選手一覧!$E$7:$E$2738,$F734)="","",INDEX(選手一覧!$E$7:$E$2738,$F734))</f>
        <v/>
      </c>
      <c r="I734" s="11" t="n">
        <f aca="false">IF(INDEX(選手一覧!$F$7:$F$2738,$F734)="","",INDEX(選手一覧!$F$7:$F$2738,$F734))</f>
        <v>0.00793425925925926</v>
      </c>
      <c r="J734" s="12" t="n">
        <f aca="false">IF(INDEX(選手一覧!$G$7:$G$2738,$F734)="","",INDEX(選手一覧!$G$7:$G$2738,$F734))</f>
        <v>1174</v>
      </c>
    </row>
    <row r="735" customFormat="false" ht="15" hidden="false" customHeight="false" outlineLevel="0" collapsed="false">
      <c r="A735" s="12" t="n">
        <v>731</v>
      </c>
      <c r="B735" s="10" t="s">
        <v>2222</v>
      </c>
      <c r="C735" s="10" t="s">
        <v>854</v>
      </c>
      <c r="D735" s="11" t="n">
        <v>0.00287465277777778</v>
      </c>
      <c r="E735" s="18" t="n">
        <f aca="false">ROUND((D735-$D$5)*86400,2)</f>
        <v>23.34</v>
      </c>
      <c r="F735" s="12" t="n">
        <v>1537</v>
      </c>
      <c r="G735" s="11" t="str">
        <f aca="false">IF(INDEX(選手一覧!$D$7:$D$2738,$F735)="","",INDEX(選手一覧!$D$7:$D$2738,$F735))</f>
        <v/>
      </c>
      <c r="H735" s="12" t="str">
        <f aca="false">IF(INDEX(選手一覧!$E$7:$E$2738,$F735)="","",INDEX(選手一覧!$E$7:$E$2738,$F735))</f>
        <v/>
      </c>
      <c r="I735" s="11" t="str">
        <f aca="false">IF(INDEX(選手一覧!$F$7:$F$2738,$F735)="","",INDEX(選手一覧!$F$7:$F$2738,$F735))</f>
        <v/>
      </c>
      <c r="J735" s="12" t="str">
        <f aca="false">IF(INDEX(選手一覧!$G$7:$G$2738,$F735)="","",INDEX(選手一覧!$G$7:$G$2738,$F735))</f>
        <v/>
      </c>
    </row>
    <row r="736" customFormat="false" ht="15" hidden="false" customHeight="false" outlineLevel="0" collapsed="false">
      <c r="A736" s="12" t="n">
        <v>732</v>
      </c>
      <c r="B736" s="10" t="s">
        <v>583</v>
      </c>
      <c r="C736" s="10" t="s">
        <v>162</v>
      </c>
      <c r="D736" s="11" t="n">
        <v>0.00287476851851852</v>
      </c>
      <c r="E736" s="18" t="n">
        <f aca="false">ROUND((D736-$D$5)*86400,2)</f>
        <v>23.35</v>
      </c>
      <c r="F736" s="12" t="n">
        <v>368</v>
      </c>
      <c r="G736" s="11" t="str">
        <f aca="false">IF(INDEX(選手一覧!$D$7:$D$2738,$F736)="","",INDEX(選手一覧!$D$7:$D$2738,$F736))</f>
        <v/>
      </c>
      <c r="H736" s="12" t="str">
        <f aca="false">IF(INDEX(選手一覧!$E$7:$E$2738,$F736)="","",INDEX(選手一覧!$E$7:$E$2738,$F736))</f>
        <v/>
      </c>
      <c r="I736" s="11" t="n">
        <f aca="false">IF(INDEX(選手一覧!$F$7:$F$2738,$F736)="","",INDEX(選手一覧!$F$7:$F$2738,$F736))</f>
        <v>0.00677997685185185</v>
      </c>
      <c r="J736" s="12" t="n">
        <f aca="false">IF(INDEX(選手一覧!$G$7:$G$2738,$F736)="","",INDEX(選手一覧!$G$7:$G$2738,$F736))</f>
        <v>155</v>
      </c>
    </row>
    <row r="737" customFormat="false" ht="15" hidden="false" customHeight="false" outlineLevel="0" collapsed="false">
      <c r="A737" s="12" t="n">
        <v>733</v>
      </c>
      <c r="B737" s="10" t="s">
        <v>1315</v>
      </c>
      <c r="C737" s="10" t="s">
        <v>81</v>
      </c>
      <c r="D737" s="11" t="n">
        <v>0.00287476851851852</v>
      </c>
      <c r="E737" s="18" t="n">
        <f aca="false">ROUND((D737-$D$5)*86400,2)</f>
        <v>23.35</v>
      </c>
      <c r="F737" s="12" t="n">
        <v>894</v>
      </c>
      <c r="G737" s="11" t="n">
        <f aca="false">IF(INDEX(選手一覧!$D$7:$D$2738,$F737)="","",INDEX(選手一覧!$D$7:$D$2738,$F737))</f>
        <v>0.0108613425925926</v>
      </c>
      <c r="H737" s="12" t="n">
        <f aca="false">IF(INDEX(選手一覧!$E$7:$E$2738,$F737)="","",INDEX(選手一覧!$E$7:$E$2738,$F737))</f>
        <v>852</v>
      </c>
      <c r="I737" s="11" t="n">
        <f aca="false">IF(INDEX(選手一覧!$F$7:$F$2738,$F737)="","",INDEX(選手一覧!$F$7:$F$2738,$F737))</f>
        <v>0.00705833333333333</v>
      </c>
      <c r="J737" s="12" t="n">
        <f aca="false">IF(INDEX(選手一覧!$G$7:$G$2738,$F737)="","",INDEX(選手一覧!$G$7:$G$2738,$F737))</f>
        <v>399</v>
      </c>
    </row>
    <row r="738" customFormat="false" ht="15" hidden="false" customHeight="false" outlineLevel="0" collapsed="false">
      <c r="A738" s="12" t="n">
        <v>734</v>
      </c>
      <c r="B738" s="10" t="s">
        <v>1153</v>
      </c>
      <c r="C738" s="10" t="s">
        <v>254</v>
      </c>
      <c r="D738" s="11" t="n">
        <v>0.00287488425925926</v>
      </c>
      <c r="E738" s="18" t="n">
        <f aca="false">ROUND((D738-$D$5)*86400,2)</f>
        <v>23.36</v>
      </c>
      <c r="F738" s="12" t="n">
        <v>780</v>
      </c>
      <c r="G738" s="11" t="n">
        <f aca="false">IF(INDEX(選手一覧!$D$7:$D$2738,$F738)="","",INDEX(選手一覧!$D$7:$D$2738,$F738))</f>
        <v>0.0104969907407407</v>
      </c>
      <c r="H738" s="12" t="n">
        <f aca="false">IF(INDEX(選手一覧!$E$7:$E$2738,$F738)="","",INDEX(選手一覧!$E$7:$E$2738,$F738))</f>
        <v>339</v>
      </c>
      <c r="I738" s="11" t="str">
        <f aca="false">IF(INDEX(選手一覧!$F$7:$F$2738,$F738)="","",INDEX(選手一覧!$F$7:$F$2738,$F738))</f>
        <v/>
      </c>
      <c r="J738" s="12" t="str">
        <f aca="false">IF(INDEX(選手一覧!$G$7:$G$2738,$F738)="","",INDEX(選手一覧!$G$7:$G$2738,$F738))</f>
        <v/>
      </c>
    </row>
    <row r="739" customFormat="false" ht="15" hidden="false" customHeight="false" outlineLevel="0" collapsed="false">
      <c r="A739" s="12" t="n">
        <v>735</v>
      </c>
      <c r="B739" s="10" t="s">
        <v>2227</v>
      </c>
      <c r="C739" s="10" t="s">
        <v>1496</v>
      </c>
      <c r="D739" s="11" t="n">
        <v>0.002875</v>
      </c>
      <c r="E739" s="18" t="n">
        <f aca="false">ROUND((D739-$D$5)*86400,2)</f>
        <v>23.37</v>
      </c>
      <c r="F739" s="12" t="n">
        <v>1542</v>
      </c>
      <c r="G739" s="11" t="str">
        <f aca="false">IF(INDEX(選手一覧!$D$7:$D$2738,$F739)="","",INDEX(選手一覧!$D$7:$D$2738,$F739))</f>
        <v/>
      </c>
      <c r="H739" s="12" t="str">
        <f aca="false">IF(INDEX(選手一覧!$E$7:$E$2738,$F739)="","",INDEX(選手一覧!$E$7:$E$2738,$F739))</f>
        <v/>
      </c>
      <c r="I739" s="11" t="str">
        <f aca="false">IF(INDEX(選手一覧!$F$7:$F$2738,$F739)="","",INDEX(選手一覧!$F$7:$F$2738,$F739))</f>
        <v/>
      </c>
      <c r="J739" s="12" t="str">
        <f aca="false">IF(INDEX(選手一覧!$G$7:$G$2738,$F739)="","",INDEX(選手一覧!$G$7:$G$2738,$F739))</f>
        <v/>
      </c>
    </row>
    <row r="740" customFormat="false" ht="15" hidden="false" customHeight="false" outlineLevel="0" collapsed="false">
      <c r="A740" s="12" t="n">
        <v>736</v>
      </c>
      <c r="B740" s="10" t="s">
        <v>2230</v>
      </c>
      <c r="C740" s="10" t="s">
        <v>1855</v>
      </c>
      <c r="D740" s="11" t="n">
        <v>0.00287523148148148</v>
      </c>
      <c r="E740" s="18" t="n">
        <f aca="false">ROUND((D740-$D$5)*86400,2)</f>
        <v>23.39</v>
      </c>
      <c r="F740" s="12" t="n">
        <v>1544</v>
      </c>
      <c r="G740" s="11" t="str">
        <f aca="false">IF(INDEX(選手一覧!$D$7:$D$2738,$F740)="","",INDEX(選手一覧!$D$7:$D$2738,$F740))</f>
        <v/>
      </c>
      <c r="H740" s="12" t="str">
        <f aca="false">IF(INDEX(選手一覧!$E$7:$E$2738,$F740)="","",INDEX(選手一覧!$E$7:$E$2738,$F740))</f>
        <v/>
      </c>
      <c r="I740" s="11" t="str">
        <f aca="false">IF(INDEX(選手一覧!$F$7:$F$2738,$F740)="","",INDEX(選手一覧!$F$7:$F$2738,$F740))</f>
        <v/>
      </c>
      <c r="J740" s="12" t="str">
        <f aca="false">IF(INDEX(選手一覧!$G$7:$G$2738,$F740)="","",INDEX(選手一覧!$G$7:$G$2738,$F740))</f>
        <v/>
      </c>
    </row>
    <row r="741" customFormat="false" ht="15" hidden="false" customHeight="false" outlineLevel="0" collapsed="false">
      <c r="A741" s="12" t="n">
        <v>737</v>
      </c>
      <c r="B741" s="10" t="s">
        <v>2234</v>
      </c>
      <c r="C741" s="10" t="s">
        <v>2235</v>
      </c>
      <c r="D741" s="11" t="n">
        <v>0.00287546296296296</v>
      </c>
      <c r="E741" s="18" t="n">
        <f aca="false">ROUND((D741-$D$5)*86400,2)</f>
        <v>23.41</v>
      </c>
      <c r="F741" s="12" t="n">
        <v>1547</v>
      </c>
      <c r="G741" s="11" t="str">
        <f aca="false">IF(INDEX(選手一覧!$D$7:$D$2738,$F741)="","",INDEX(選手一覧!$D$7:$D$2738,$F741))</f>
        <v/>
      </c>
      <c r="H741" s="12" t="str">
        <f aca="false">IF(INDEX(選手一覧!$E$7:$E$2738,$F741)="","",INDEX(選手一覧!$E$7:$E$2738,$F741))</f>
        <v/>
      </c>
      <c r="I741" s="11" t="str">
        <f aca="false">IF(INDEX(選手一覧!$F$7:$F$2738,$F741)="","",INDEX(選手一覧!$F$7:$F$2738,$F741))</f>
        <v/>
      </c>
      <c r="J741" s="12" t="str">
        <f aca="false">IF(INDEX(選手一覧!$G$7:$G$2738,$F741)="","",INDEX(選手一覧!$G$7:$G$2738,$F741))</f>
        <v/>
      </c>
    </row>
    <row r="742" customFormat="false" ht="15" hidden="false" customHeight="false" outlineLevel="0" collapsed="false">
      <c r="A742" s="12" t="n">
        <v>738</v>
      </c>
      <c r="B742" s="10" t="s">
        <v>1584</v>
      </c>
      <c r="C742" s="10" t="s">
        <v>43</v>
      </c>
      <c r="D742" s="11" t="n">
        <v>0.00287581018518519</v>
      </c>
      <c r="E742" s="18" t="n">
        <f aca="false">ROUND((D742-$D$5)*86400,2)</f>
        <v>23.44</v>
      </c>
      <c r="F742" s="12" t="n">
        <v>1092</v>
      </c>
      <c r="G742" s="11" t="n">
        <f aca="false">IF(INDEX(選手一覧!$D$7:$D$2738,$F742)="","",INDEX(選手一覧!$D$7:$D$2738,$F742))</f>
        <v>0.0106181712962963</v>
      </c>
      <c r="H742" s="12" t="n">
        <f aca="false">IF(INDEX(選手一覧!$E$7:$E$2738,$F742)="","",INDEX(選手一覧!$E$7:$E$2738,$F742))</f>
        <v>494</v>
      </c>
      <c r="I742" s="11" t="str">
        <f aca="false">IF(INDEX(選手一覧!$F$7:$F$2738,$F742)="","",INDEX(選手一覧!$F$7:$F$2738,$F742))</f>
        <v/>
      </c>
      <c r="J742" s="12" t="str">
        <f aca="false">IF(INDEX(選手一覧!$G$7:$G$2738,$F742)="","",INDEX(選手一覧!$G$7:$G$2738,$F742))</f>
        <v/>
      </c>
    </row>
    <row r="743" customFormat="false" ht="15" hidden="false" customHeight="false" outlineLevel="0" collapsed="false">
      <c r="A743" s="12" t="n">
        <v>739</v>
      </c>
      <c r="B743" s="10" t="s">
        <v>2239</v>
      </c>
      <c r="C743" s="10" t="s">
        <v>2240</v>
      </c>
      <c r="D743" s="11" t="n">
        <v>0.00287581018518519</v>
      </c>
      <c r="E743" s="18" t="n">
        <f aca="false">ROUND((D743-$D$5)*86400,2)</f>
        <v>23.44</v>
      </c>
      <c r="F743" s="12" t="n">
        <v>1550</v>
      </c>
      <c r="G743" s="11" t="str">
        <f aca="false">IF(INDEX(選手一覧!$D$7:$D$2738,$F743)="","",INDEX(選手一覧!$D$7:$D$2738,$F743))</f>
        <v/>
      </c>
      <c r="H743" s="12" t="str">
        <f aca="false">IF(INDEX(選手一覧!$E$7:$E$2738,$F743)="","",INDEX(選手一覧!$E$7:$E$2738,$F743))</f>
        <v/>
      </c>
      <c r="I743" s="11" t="str">
        <f aca="false">IF(INDEX(選手一覧!$F$7:$F$2738,$F743)="","",INDEX(選手一覧!$F$7:$F$2738,$F743))</f>
        <v/>
      </c>
      <c r="J743" s="12" t="str">
        <f aca="false">IF(INDEX(選手一覧!$G$7:$G$2738,$F743)="","",INDEX(選手一覧!$G$7:$G$2738,$F743))</f>
        <v/>
      </c>
    </row>
    <row r="744" customFormat="false" ht="15" hidden="false" customHeight="false" outlineLevel="0" collapsed="false">
      <c r="A744" s="12" t="n">
        <v>740</v>
      </c>
      <c r="B744" s="10" t="s">
        <v>2244</v>
      </c>
      <c r="C744" s="10" t="s">
        <v>2245</v>
      </c>
      <c r="D744" s="11" t="n">
        <v>0.00287592592592593</v>
      </c>
      <c r="E744" s="18" t="n">
        <f aca="false">ROUND((D744-$D$5)*86400,2)</f>
        <v>23.45</v>
      </c>
      <c r="F744" s="12" t="n">
        <v>1553</v>
      </c>
      <c r="G744" s="11" t="str">
        <f aca="false">IF(INDEX(選手一覧!$D$7:$D$2738,$F744)="","",INDEX(選手一覧!$D$7:$D$2738,$F744))</f>
        <v/>
      </c>
      <c r="H744" s="12" t="str">
        <f aca="false">IF(INDEX(選手一覧!$E$7:$E$2738,$F744)="","",INDEX(選手一覧!$E$7:$E$2738,$F744))</f>
        <v/>
      </c>
      <c r="I744" s="11" t="str">
        <f aca="false">IF(INDEX(選手一覧!$F$7:$F$2738,$F744)="","",INDEX(選手一覧!$F$7:$F$2738,$F744))</f>
        <v/>
      </c>
      <c r="J744" s="12" t="str">
        <f aca="false">IF(INDEX(選手一覧!$G$7:$G$2738,$F744)="","",INDEX(選手一覧!$G$7:$G$2738,$F744))</f>
        <v/>
      </c>
    </row>
    <row r="745" customFormat="false" ht="15" hidden="false" customHeight="false" outlineLevel="0" collapsed="false">
      <c r="A745" s="12" t="n">
        <v>741</v>
      </c>
      <c r="B745" s="10" t="s">
        <v>496</v>
      </c>
      <c r="C745" s="10" t="s">
        <v>218</v>
      </c>
      <c r="D745" s="11" t="n">
        <v>0.00287627314814815</v>
      </c>
      <c r="E745" s="18" t="n">
        <f aca="false">ROUND((D745-$D$5)*86400,2)</f>
        <v>23.48</v>
      </c>
      <c r="F745" s="12" t="n">
        <v>308</v>
      </c>
      <c r="G745" s="11" t="n">
        <f aca="false">IF(INDEX(選手一覧!$D$7:$D$2738,$F745)="","",INDEX(選手一覧!$D$7:$D$2738,$F745))</f>
        <v>0.0102467592592593</v>
      </c>
      <c r="H745" s="12" t="n">
        <f aca="false">IF(INDEX(選手一覧!$E$7:$E$2738,$F745)="","",INDEX(選手一覧!$E$7:$E$2738,$F745))</f>
        <v>127</v>
      </c>
      <c r="I745" s="11" t="str">
        <f aca="false">IF(INDEX(選手一覧!$F$7:$F$2738,$F745)="","",INDEX(選手一覧!$F$7:$F$2738,$F745))</f>
        <v/>
      </c>
      <c r="J745" s="12" t="str">
        <f aca="false">IF(INDEX(選手一覧!$G$7:$G$2738,$F745)="","",INDEX(選手一覧!$G$7:$G$2738,$F745))</f>
        <v/>
      </c>
    </row>
    <row r="746" customFormat="false" ht="15" hidden="false" customHeight="false" outlineLevel="0" collapsed="false">
      <c r="A746" s="12" t="n">
        <v>742</v>
      </c>
      <c r="B746" s="10" t="s">
        <v>2252</v>
      </c>
      <c r="C746" s="10" t="s">
        <v>2253</v>
      </c>
      <c r="D746" s="11" t="n">
        <v>0.00287638888888889</v>
      </c>
      <c r="E746" s="18" t="n">
        <f aca="false">ROUND((D746-$D$5)*86400,2)</f>
        <v>23.49</v>
      </c>
      <c r="F746" s="12" t="n">
        <v>1558</v>
      </c>
      <c r="G746" s="11" t="str">
        <f aca="false">IF(INDEX(選手一覧!$D$7:$D$2738,$F746)="","",INDEX(選手一覧!$D$7:$D$2738,$F746))</f>
        <v/>
      </c>
      <c r="H746" s="12" t="str">
        <f aca="false">IF(INDEX(選手一覧!$E$7:$E$2738,$F746)="","",INDEX(選手一覧!$E$7:$E$2738,$F746))</f>
        <v/>
      </c>
      <c r="I746" s="11" t="str">
        <f aca="false">IF(INDEX(選手一覧!$F$7:$F$2738,$F746)="","",INDEX(選手一覧!$F$7:$F$2738,$F746))</f>
        <v/>
      </c>
      <c r="J746" s="12" t="str">
        <f aca="false">IF(INDEX(選手一覧!$G$7:$G$2738,$F746)="","",INDEX(選手一覧!$G$7:$G$2738,$F746))</f>
        <v/>
      </c>
    </row>
    <row r="747" customFormat="false" ht="15" hidden="false" customHeight="false" outlineLevel="0" collapsed="false">
      <c r="A747" s="12" t="n">
        <v>743</v>
      </c>
      <c r="B747" s="10" t="s">
        <v>838</v>
      </c>
      <c r="C747" s="10" t="s">
        <v>263</v>
      </c>
      <c r="D747" s="11" t="n">
        <v>0.00287662037037037</v>
      </c>
      <c r="E747" s="18" t="n">
        <f aca="false">ROUND((D747-$D$5)*86400,2)</f>
        <v>23.51</v>
      </c>
      <c r="F747" s="12" t="n">
        <v>547</v>
      </c>
      <c r="G747" s="11" t="n">
        <f aca="false">IF(INDEX(選手一覧!$D$7:$D$2738,$F747)="","",INDEX(選手一覧!$D$7:$D$2738,$F747))</f>
        <v>0.0104148148148148</v>
      </c>
      <c r="H747" s="12" t="n">
        <f aca="false">IF(INDEX(選手一覧!$E$7:$E$2738,$F747)="","",INDEX(選手一覧!$E$7:$E$2738,$F747))</f>
        <v>281</v>
      </c>
      <c r="I747" s="11" t="n">
        <f aca="false">IF(INDEX(選手一覧!$F$7:$F$2738,$F747)="","",INDEX(選手一覧!$F$7:$F$2738,$F747))</f>
        <v>0.00688854166666667</v>
      </c>
      <c r="J747" s="12" t="n">
        <f aca="false">IF(INDEX(選手一覧!$G$7:$G$2738,$F747)="","",INDEX(選手一覧!$G$7:$G$2738,$F747))</f>
        <v>230</v>
      </c>
    </row>
    <row r="748" customFormat="false" ht="15" hidden="false" customHeight="false" outlineLevel="0" collapsed="false">
      <c r="A748" s="12" t="n">
        <v>744</v>
      </c>
      <c r="B748" s="10" t="s">
        <v>2259</v>
      </c>
      <c r="C748" s="10" t="s">
        <v>2260</v>
      </c>
      <c r="D748" s="11" t="n">
        <v>0.00287673611111111</v>
      </c>
      <c r="E748" s="18" t="n">
        <f aca="false">ROUND((D748-$D$5)*86400,2)</f>
        <v>23.52</v>
      </c>
      <c r="F748" s="12" t="n">
        <v>1563</v>
      </c>
      <c r="G748" s="11" t="str">
        <f aca="false">IF(INDEX(選手一覧!$D$7:$D$2738,$F748)="","",INDEX(選手一覧!$D$7:$D$2738,$F748))</f>
        <v/>
      </c>
      <c r="H748" s="12" t="str">
        <f aca="false">IF(INDEX(選手一覧!$E$7:$E$2738,$F748)="","",INDEX(選手一覧!$E$7:$E$2738,$F748))</f>
        <v/>
      </c>
      <c r="I748" s="11" t="str">
        <f aca="false">IF(INDEX(選手一覧!$F$7:$F$2738,$F748)="","",INDEX(選手一覧!$F$7:$F$2738,$F748))</f>
        <v/>
      </c>
      <c r="J748" s="12" t="str">
        <f aca="false">IF(INDEX(選手一覧!$G$7:$G$2738,$F748)="","",INDEX(選手一覧!$G$7:$G$2738,$F748))</f>
        <v/>
      </c>
    </row>
    <row r="749" customFormat="false" ht="15" hidden="false" customHeight="false" outlineLevel="0" collapsed="false">
      <c r="A749" s="12" t="n">
        <v>745</v>
      </c>
      <c r="B749" s="10" t="s">
        <v>1869</v>
      </c>
      <c r="C749" s="10" t="s">
        <v>616</v>
      </c>
      <c r="D749" s="11" t="n">
        <v>0.00287673611111111</v>
      </c>
      <c r="E749" s="18" t="n">
        <f aca="false">ROUND((D749-$D$5)*86400,2)</f>
        <v>23.52</v>
      </c>
      <c r="F749" s="12" t="n">
        <v>1286</v>
      </c>
      <c r="G749" s="11" t="n">
        <f aca="false">IF(INDEX(選手一覧!$D$7:$D$2738,$F749)="","",INDEX(選手一覧!$D$7:$D$2738,$F749))</f>
        <v>0.010708912037037</v>
      </c>
      <c r="H749" s="12" t="n">
        <f aca="false">IF(INDEX(選手一覧!$E$7:$E$2738,$F749)="","",INDEX(選手一覧!$E$7:$E$2738,$F749))</f>
        <v>598</v>
      </c>
      <c r="I749" s="11" t="str">
        <f aca="false">IF(INDEX(選手一覧!$F$7:$F$2738,$F749)="","",INDEX(選手一覧!$F$7:$F$2738,$F749))</f>
        <v/>
      </c>
      <c r="J749" s="12" t="str">
        <f aca="false">IF(INDEX(選手一覧!$G$7:$G$2738,$F749)="","",INDEX(選手一覧!$G$7:$G$2738,$F749))</f>
        <v/>
      </c>
    </row>
    <row r="750" customFormat="false" ht="15" hidden="false" customHeight="false" outlineLevel="0" collapsed="false">
      <c r="A750" s="12" t="n">
        <v>746</v>
      </c>
      <c r="B750" s="10" t="s">
        <v>2265</v>
      </c>
      <c r="C750" s="10" t="s">
        <v>358</v>
      </c>
      <c r="D750" s="11" t="n">
        <v>0.00287696759259259</v>
      </c>
      <c r="E750" s="18" t="n">
        <f aca="false">ROUND((D750-$D$5)*86400,2)</f>
        <v>23.54</v>
      </c>
      <c r="F750" s="12" t="n">
        <v>1567</v>
      </c>
      <c r="G750" s="11" t="n">
        <f aca="false">IF(INDEX(選手一覧!$D$7:$D$2738,$F750)="","",INDEX(選手一覧!$D$7:$D$2738,$F750))</f>
        <v>0.011080787037037</v>
      </c>
      <c r="H750" s="12" t="n">
        <f aca="false">IF(INDEX(選手一覧!$E$7:$E$2738,$F750)="","",INDEX(選手一覧!$E$7:$E$2738,$F750))</f>
        <v>1252</v>
      </c>
      <c r="I750" s="11" t="str">
        <f aca="false">IF(INDEX(選手一覧!$F$7:$F$2738,$F750)="","",INDEX(選手一覧!$F$7:$F$2738,$F750))</f>
        <v/>
      </c>
      <c r="J750" s="12" t="str">
        <f aca="false">IF(INDEX(選手一覧!$G$7:$G$2738,$F750)="","",INDEX(選手一覧!$G$7:$G$2738,$F750))</f>
        <v/>
      </c>
    </row>
    <row r="751" customFormat="false" ht="15" hidden="false" customHeight="false" outlineLevel="0" collapsed="false">
      <c r="A751" s="12" t="n">
        <v>747</v>
      </c>
      <c r="B751" s="10" t="s">
        <v>813</v>
      </c>
      <c r="C751" s="10" t="s">
        <v>814</v>
      </c>
      <c r="D751" s="11" t="n">
        <v>0.00287696759259259</v>
      </c>
      <c r="E751" s="18" t="n">
        <f aca="false">ROUND((D751-$D$5)*86400,2)</f>
        <v>23.54</v>
      </c>
      <c r="F751" s="12" t="n">
        <v>531</v>
      </c>
      <c r="G751" s="11" t="n">
        <f aca="false">IF(INDEX(選手一覧!$D$7:$D$2738,$F751)="","",INDEX(選手一覧!$D$7:$D$2738,$F751))</f>
        <v>0.0103679398148148</v>
      </c>
      <c r="H751" s="12" t="n">
        <f aca="false">IF(INDEX(選手一覧!$E$7:$E$2738,$F751)="","",INDEX(選手一覧!$E$7:$E$2738,$F751))</f>
        <v>223</v>
      </c>
      <c r="I751" s="11" t="str">
        <f aca="false">IF(INDEX(選手一覧!$F$7:$F$2738,$F751)="","",INDEX(選手一覧!$F$7:$F$2738,$F751))</f>
        <v/>
      </c>
      <c r="J751" s="12" t="str">
        <f aca="false">IF(INDEX(選手一覧!$G$7:$G$2738,$F751)="","",INDEX(選手一覧!$G$7:$G$2738,$F751))</f>
        <v/>
      </c>
    </row>
    <row r="752" customFormat="false" ht="15" hidden="false" customHeight="false" outlineLevel="0" collapsed="false">
      <c r="A752" s="12" t="n">
        <v>748</v>
      </c>
      <c r="B752" s="10" t="s">
        <v>2272</v>
      </c>
      <c r="C752" s="10" t="s">
        <v>2273</v>
      </c>
      <c r="D752" s="11" t="n">
        <v>0.00287708333333333</v>
      </c>
      <c r="E752" s="18" t="n">
        <f aca="false">ROUND((D752-$D$5)*86400,2)</f>
        <v>23.55</v>
      </c>
      <c r="F752" s="12" t="n">
        <v>1572</v>
      </c>
      <c r="G752" s="11" t="str">
        <f aca="false">IF(INDEX(選手一覧!$D$7:$D$2738,$F752)="","",INDEX(選手一覧!$D$7:$D$2738,$F752))</f>
        <v/>
      </c>
      <c r="H752" s="12" t="str">
        <f aca="false">IF(INDEX(選手一覧!$E$7:$E$2738,$F752)="","",INDEX(選手一覧!$E$7:$E$2738,$F752))</f>
        <v/>
      </c>
      <c r="I752" s="11" t="str">
        <f aca="false">IF(INDEX(選手一覧!$F$7:$F$2738,$F752)="","",INDEX(選手一覧!$F$7:$F$2738,$F752))</f>
        <v/>
      </c>
      <c r="J752" s="12" t="str">
        <f aca="false">IF(INDEX(選手一覧!$G$7:$G$2738,$F752)="","",INDEX(選手一覧!$G$7:$G$2738,$F752))</f>
        <v/>
      </c>
    </row>
    <row r="753" customFormat="false" ht="15" hidden="false" customHeight="false" outlineLevel="0" collapsed="false">
      <c r="A753" s="12" t="n">
        <v>749</v>
      </c>
      <c r="B753" s="10" t="s">
        <v>539</v>
      </c>
      <c r="C753" s="10" t="s">
        <v>141</v>
      </c>
      <c r="D753" s="11" t="n">
        <v>0.00287731481481482</v>
      </c>
      <c r="E753" s="18" t="n">
        <f aca="false">ROUND((D753-$D$5)*86400,2)</f>
        <v>23.57</v>
      </c>
      <c r="F753" s="12" t="n">
        <v>337</v>
      </c>
      <c r="G753" s="11" t="n">
        <f aca="false">IF(INDEX(選手一覧!$D$7:$D$2738,$F753)="","",INDEX(選手一覧!$D$7:$D$2738,$F753))</f>
        <v>0.0102734953703704</v>
      </c>
      <c r="H753" s="12" t="n">
        <f aca="false">IF(INDEX(選手一覧!$E$7:$E$2738,$F753)="","",INDEX(選手一覧!$E$7:$E$2738,$F753))</f>
        <v>140</v>
      </c>
      <c r="I753" s="11" t="str">
        <f aca="false">IF(INDEX(選手一覧!$F$7:$F$2738,$F753)="","",INDEX(選手一覧!$F$7:$F$2738,$F753))</f>
        <v/>
      </c>
      <c r="J753" s="12" t="str">
        <f aca="false">IF(INDEX(選手一覧!$G$7:$G$2738,$F753)="","",INDEX(選手一覧!$G$7:$G$2738,$F753))</f>
        <v/>
      </c>
    </row>
    <row r="754" customFormat="false" ht="15" hidden="false" customHeight="false" outlineLevel="0" collapsed="false">
      <c r="A754" s="12" t="n">
        <v>750</v>
      </c>
      <c r="B754" s="10" t="s">
        <v>2277</v>
      </c>
      <c r="C754" s="10" t="s">
        <v>2278</v>
      </c>
      <c r="D754" s="11" t="n">
        <v>0.00287777777777778</v>
      </c>
      <c r="E754" s="18" t="n">
        <f aca="false">ROUND((D754-$D$5)*86400,2)</f>
        <v>23.61</v>
      </c>
      <c r="F754" s="12" t="n">
        <v>1575</v>
      </c>
      <c r="G754" s="11" t="str">
        <f aca="false">IF(INDEX(選手一覧!$D$7:$D$2738,$F754)="","",INDEX(選手一覧!$D$7:$D$2738,$F754))</f>
        <v/>
      </c>
      <c r="H754" s="12" t="str">
        <f aca="false">IF(INDEX(選手一覧!$E$7:$E$2738,$F754)="","",INDEX(選手一覧!$E$7:$E$2738,$F754))</f>
        <v/>
      </c>
      <c r="I754" s="11" t="str">
        <f aca="false">IF(INDEX(選手一覧!$F$7:$F$2738,$F754)="","",INDEX(選手一覧!$F$7:$F$2738,$F754))</f>
        <v/>
      </c>
      <c r="J754" s="12" t="str">
        <f aca="false">IF(INDEX(選手一覧!$G$7:$G$2738,$F754)="","",INDEX(選手一覧!$G$7:$G$2738,$F754))</f>
        <v/>
      </c>
    </row>
    <row r="755" customFormat="false" ht="15" hidden="false" customHeight="false" outlineLevel="0" collapsed="false">
      <c r="A755" s="12" t="n">
        <v>751</v>
      </c>
      <c r="B755" s="10" t="s">
        <v>2279</v>
      </c>
      <c r="C755" s="10" t="s">
        <v>1038</v>
      </c>
      <c r="D755" s="11" t="n">
        <v>0.00287777777777778</v>
      </c>
      <c r="E755" s="18" t="n">
        <f aca="false">ROUND((D755-$D$5)*86400,2)</f>
        <v>23.61</v>
      </c>
      <c r="F755" s="12" t="n">
        <v>1576</v>
      </c>
      <c r="G755" s="11" t="n">
        <f aca="false">IF(INDEX(選手一覧!$D$7:$D$2738,$F755)="","",INDEX(選手一覧!$D$7:$D$2738,$F755))</f>
        <v>0.0110234953703704</v>
      </c>
      <c r="H755" s="12" t="n">
        <f aca="false">IF(INDEX(選手一覧!$E$7:$E$2738,$F755)="","",INDEX(選手一覧!$E$7:$E$2738,$F755))</f>
        <v>1136</v>
      </c>
      <c r="I755" s="11" t="str">
        <f aca="false">IF(INDEX(選手一覧!$F$7:$F$2738,$F755)="","",INDEX(選手一覧!$F$7:$F$2738,$F755))</f>
        <v/>
      </c>
      <c r="J755" s="12" t="str">
        <f aca="false">IF(INDEX(選手一覧!$G$7:$G$2738,$F755)="","",INDEX(選手一覧!$G$7:$G$2738,$F755))</f>
        <v/>
      </c>
    </row>
    <row r="756" customFormat="false" ht="15" hidden="false" customHeight="false" outlineLevel="0" collapsed="false">
      <c r="A756" s="12" t="n">
        <v>752</v>
      </c>
      <c r="B756" s="10" t="s">
        <v>2284</v>
      </c>
      <c r="C756" s="10" t="s">
        <v>2285</v>
      </c>
      <c r="D756" s="11" t="n">
        <v>0.00287789351851852</v>
      </c>
      <c r="E756" s="18" t="n">
        <f aca="false">ROUND((D756-$D$5)*86400,2)</f>
        <v>23.62</v>
      </c>
      <c r="F756" s="12" t="n">
        <v>1579</v>
      </c>
      <c r="G756" s="11" t="str">
        <f aca="false">IF(INDEX(選手一覧!$D$7:$D$2738,$F756)="","",INDEX(選手一覧!$D$7:$D$2738,$F756))</f>
        <v/>
      </c>
      <c r="H756" s="12" t="str">
        <f aca="false">IF(INDEX(選手一覧!$E$7:$E$2738,$F756)="","",INDEX(選手一覧!$E$7:$E$2738,$F756))</f>
        <v/>
      </c>
      <c r="I756" s="11" t="str">
        <f aca="false">IF(INDEX(選手一覧!$F$7:$F$2738,$F756)="","",INDEX(選手一覧!$F$7:$F$2738,$F756))</f>
        <v/>
      </c>
      <c r="J756" s="12" t="str">
        <f aca="false">IF(INDEX(選手一覧!$G$7:$G$2738,$F756)="","",INDEX(選手一覧!$G$7:$G$2738,$F756))</f>
        <v/>
      </c>
    </row>
    <row r="757" customFormat="false" ht="15" hidden="false" customHeight="false" outlineLevel="0" collapsed="false">
      <c r="A757" s="12" t="n">
        <v>753</v>
      </c>
      <c r="B757" s="10" t="s">
        <v>2121</v>
      </c>
      <c r="C757" s="10" t="s">
        <v>467</v>
      </c>
      <c r="D757" s="11" t="n">
        <v>0.00287800925925926</v>
      </c>
      <c r="E757" s="18" t="n">
        <f aca="false">ROUND((D757-$D$5)*86400,2)</f>
        <v>23.63</v>
      </c>
      <c r="F757" s="12" t="n">
        <v>1467</v>
      </c>
      <c r="G757" s="11" t="n">
        <f aca="false">IF(INDEX(選手一覧!$D$7:$D$2738,$F757)="","",INDEX(選手一覧!$D$7:$D$2738,$F757))</f>
        <v>0.0107696759259259</v>
      </c>
      <c r="H757" s="12" t="n">
        <f aca="false">IF(INDEX(選手一覧!$E$7:$E$2738,$F757)="","",INDEX(選手一覧!$E$7:$E$2738,$F757))</f>
        <v>695</v>
      </c>
      <c r="I757" s="11" t="str">
        <f aca="false">IF(INDEX(選手一覧!$F$7:$F$2738,$F757)="","",INDEX(選手一覧!$F$7:$F$2738,$F757))</f>
        <v/>
      </c>
      <c r="J757" s="12" t="str">
        <f aca="false">IF(INDEX(選手一覧!$G$7:$G$2738,$F757)="","",INDEX(選手一覧!$G$7:$G$2738,$F757))</f>
        <v/>
      </c>
    </row>
    <row r="758" customFormat="false" ht="15" hidden="false" customHeight="false" outlineLevel="0" collapsed="false">
      <c r="A758" s="12" t="n">
        <v>754</v>
      </c>
      <c r="B758" s="10" t="s">
        <v>2292</v>
      </c>
      <c r="C758" s="10" t="s">
        <v>2293</v>
      </c>
      <c r="D758" s="11" t="n">
        <v>0.002878125</v>
      </c>
      <c r="E758" s="18" t="n">
        <f aca="false">ROUND((D758-$D$5)*86400,2)</f>
        <v>23.64</v>
      </c>
      <c r="F758" s="12" t="n">
        <v>1584</v>
      </c>
      <c r="G758" s="11" t="str">
        <f aca="false">IF(INDEX(選手一覧!$D$7:$D$2738,$F758)="","",INDEX(選手一覧!$D$7:$D$2738,$F758))</f>
        <v/>
      </c>
      <c r="H758" s="12" t="str">
        <f aca="false">IF(INDEX(選手一覧!$E$7:$E$2738,$F758)="","",INDEX(選手一覧!$E$7:$E$2738,$F758))</f>
        <v/>
      </c>
      <c r="I758" s="11" t="str">
        <f aca="false">IF(INDEX(選手一覧!$F$7:$F$2738,$F758)="","",INDEX(選手一覧!$F$7:$F$2738,$F758))</f>
        <v/>
      </c>
      <c r="J758" s="12" t="str">
        <f aca="false">IF(INDEX(選手一覧!$G$7:$G$2738,$F758)="","",INDEX(選手一覧!$G$7:$G$2738,$F758))</f>
        <v/>
      </c>
    </row>
    <row r="759" customFormat="false" ht="15" hidden="false" customHeight="false" outlineLevel="0" collapsed="false">
      <c r="A759" s="12" t="n">
        <v>755</v>
      </c>
      <c r="B759" s="10" t="s">
        <v>1012</v>
      </c>
      <c r="C759" s="10" t="s">
        <v>437</v>
      </c>
      <c r="D759" s="11" t="n">
        <v>0.00287835648148148</v>
      </c>
      <c r="E759" s="18" t="n">
        <f aca="false">ROUND((D759-$D$5)*86400,2)</f>
        <v>23.66</v>
      </c>
      <c r="F759" s="12" t="n">
        <v>677</v>
      </c>
      <c r="G759" s="11" t="n">
        <f aca="false">IF(INDEX(選手一覧!$D$7:$D$2738,$F759)="","",INDEX(選手一覧!$D$7:$D$2738,$F759))</f>
        <v>0.0109219907407407</v>
      </c>
      <c r="H759" s="12" t="n">
        <f aca="false">IF(INDEX(選手一覧!$E$7:$E$2738,$F759)="","",INDEX(選手一覧!$E$7:$E$2738,$F759))</f>
        <v>952</v>
      </c>
      <c r="I759" s="11" t="n">
        <f aca="false">IF(INDEX(選手一覧!$F$7:$F$2738,$F759)="","",INDEX(選手一覧!$F$7:$F$2738,$F759))</f>
        <v>0.00695462962962963</v>
      </c>
      <c r="J759" s="12" t="n">
        <f aca="false">IF(INDEX(選手一覧!$G$7:$G$2738,$F759)="","",INDEX(選手一覧!$G$7:$G$2738,$F759))</f>
        <v>288</v>
      </c>
    </row>
    <row r="760" customFormat="false" ht="15" hidden="false" customHeight="false" outlineLevel="0" collapsed="false">
      <c r="A760" s="12" t="n">
        <v>756</v>
      </c>
      <c r="B760" s="10" t="s">
        <v>2198</v>
      </c>
      <c r="C760" s="10" t="s">
        <v>1046</v>
      </c>
      <c r="D760" s="11" t="n">
        <v>0.00287835648148148</v>
      </c>
      <c r="E760" s="18" t="n">
        <f aca="false">ROUND((D760-$D$5)*86400,2)</f>
        <v>23.66</v>
      </c>
      <c r="F760" s="12" t="n">
        <v>1522</v>
      </c>
      <c r="G760" s="11" t="n">
        <f aca="false">IF(INDEX(選手一覧!$D$7:$D$2738,$F760)="","",INDEX(選手一覧!$D$7:$D$2738,$F760))</f>
        <v>0.0107907407407407</v>
      </c>
      <c r="H760" s="12" t="n">
        <f aca="false">IF(INDEX(選手一覧!$E$7:$E$2738,$F760)="","",INDEX(選手一覧!$E$7:$E$2738,$F760))</f>
        <v>724</v>
      </c>
      <c r="I760" s="11" t="str">
        <f aca="false">IF(INDEX(選手一覧!$F$7:$F$2738,$F760)="","",INDEX(選手一覧!$F$7:$F$2738,$F760))</f>
        <v/>
      </c>
      <c r="J760" s="12" t="str">
        <f aca="false">IF(INDEX(選手一覧!$G$7:$G$2738,$F760)="","",INDEX(選手一覧!$G$7:$G$2738,$F760))</f>
        <v/>
      </c>
    </row>
    <row r="761" customFormat="false" ht="15" hidden="false" customHeight="false" outlineLevel="0" collapsed="false">
      <c r="A761" s="12" t="n">
        <v>757</v>
      </c>
      <c r="B761" s="10" t="s">
        <v>1422</v>
      </c>
      <c r="C761" s="10" t="s">
        <v>1423</v>
      </c>
      <c r="D761" s="11" t="n">
        <v>0.00287847222222222</v>
      </c>
      <c r="E761" s="18" t="n">
        <f aca="false">ROUND((D761-$D$5)*86400,2)</f>
        <v>23.67</v>
      </c>
      <c r="F761" s="12" t="n">
        <v>972</v>
      </c>
      <c r="G761" s="11" t="n">
        <f aca="false">IF(INDEX(選手一覧!$D$7:$D$2738,$F761)="","",INDEX(選手一覧!$D$7:$D$2738,$F761))</f>
        <v>0.0105814814814815</v>
      </c>
      <c r="H761" s="12" t="n">
        <f aca="false">IF(INDEX(選手一覧!$E$7:$E$2738,$F761)="","",INDEX(選手一覧!$E$7:$E$2738,$F761))</f>
        <v>435</v>
      </c>
      <c r="I761" s="11" t="str">
        <f aca="false">IF(INDEX(選手一覧!$F$7:$F$2738,$F761)="","",INDEX(選手一覧!$F$7:$F$2738,$F761))</f>
        <v/>
      </c>
      <c r="J761" s="12" t="str">
        <f aca="false">IF(INDEX(選手一覧!$G$7:$G$2738,$F761)="","",INDEX(選手一覧!$G$7:$G$2738,$F761))</f>
        <v/>
      </c>
    </row>
    <row r="762" customFormat="false" ht="15" hidden="false" customHeight="false" outlineLevel="0" collapsed="false">
      <c r="A762" s="12" t="n">
        <v>758</v>
      </c>
      <c r="B762" s="10" t="s">
        <v>2303</v>
      </c>
      <c r="C762" s="10" t="s">
        <v>2304</v>
      </c>
      <c r="D762" s="11" t="n">
        <v>0.00287847222222222</v>
      </c>
      <c r="E762" s="18" t="n">
        <f aca="false">ROUND((D762-$D$5)*86400,2)</f>
        <v>23.67</v>
      </c>
      <c r="F762" s="12" t="n">
        <v>1591</v>
      </c>
      <c r="G762" s="11" t="str">
        <f aca="false">IF(INDEX(選手一覧!$D$7:$D$2738,$F762)="","",INDEX(選手一覧!$D$7:$D$2738,$F762))</f>
        <v/>
      </c>
      <c r="H762" s="12" t="str">
        <f aca="false">IF(INDEX(選手一覧!$E$7:$E$2738,$F762)="","",INDEX(選手一覧!$E$7:$E$2738,$F762))</f>
        <v/>
      </c>
      <c r="I762" s="11" t="str">
        <f aca="false">IF(INDEX(選手一覧!$F$7:$F$2738,$F762)="","",INDEX(選手一覧!$F$7:$F$2738,$F762))</f>
        <v/>
      </c>
      <c r="J762" s="12" t="str">
        <f aca="false">IF(INDEX(選手一覧!$G$7:$G$2738,$F762)="","",INDEX(選手一覧!$G$7:$G$2738,$F762))</f>
        <v/>
      </c>
    </row>
    <row r="763" customFormat="false" ht="15" hidden="false" customHeight="false" outlineLevel="0" collapsed="false">
      <c r="A763" s="12" t="n">
        <v>759</v>
      </c>
      <c r="B763" s="10" t="s">
        <v>2305</v>
      </c>
      <c r="C763" s="10" t="s">
        <v>2306</v>
      </c>
      <c r="D763" s="11" t="n">
        <v>0.00287858796296296</v>
      </c>
      <c r="E763" s="18" t="n">
        <f aca="false">ROUND((D763-$D$5)*86400,2)</f>
        <v>23.68</v>
      </c>
      <c r="F763" s="12" t="n">
        <v>1592</v>
      </c>
      <c r="G763" s="11" t="n">
        <f aca="false">IF(INDEX(選手一覧!$D$7:$D$2738,$F763)="","",INDEX(選手一覧!$D$7:$D$2738,$F763))</f>
        <v>0.0109113425925926</v>
      </c>
      <c r="H763" s="12" t="n">
        <f aca="false">IF(INDEX(選手一覧!$E$7:$E$2738,$F763)="","",INDEX(選手一覧!$E$7:$E$2738,$F763))</f>
        <v>939</v>
      </c>
      <c r="I763" s="11" t="str">
        <f aca="false">IF(INDEX(選手一覧!$F$7:$F$2738,$F763)="","",INDEX(選手一覧!$F$7:$F$2738,$F763))</f>
        <v/>
      </c>
      <c r="J763" s="12" t="str">
        <f aca="false">IF(INDEX(選手一覧!$G$7:$G$2738,$F763)="","",INDEX(選手一覧!$G$7:$G$2738,$F763))</f>
        <v/>
      </c>
    </row>
    <row r="764" customFormat="false" ht="15" hidden="false" customHeight="false" outlineLevel="0" collapsed="false">
      <c r="A764" s="12" t="n">
        <v>760</v>
      </c>
      <c r="B764" s="10" t="s">
        <v>2310</v>
      </c>
      <c r="C764" s="10" t="s">
        <v>2311</v>
      </c>
      <c r="D764" s="11" t="n">
        <v>0.0028787037037037</v>
      </c>
      <c r="E764" s="18" t="n">
        <f aca="false">ROUND((D764-$D$5)*86400,2)</f>
        <v>23.69</v>
      </c>
      <c r="F764" s="12" t="n">
        <v>1595</v>
      </c>
      <c r="G764" s="11" t="str">
        <f aca="false">IF(INDEX(選手一覧!$D$7:$D$2738,$F764)="","",INDEX(選手一覧!$D$7:$D$2738,$F764))</f>
        <v/>
      </c>
      <c r="H764" s="12" t="str">
        <f aca="false">IF(INDEX(選手一覧!$E$7:$E$2738,$F764)="","",INDEX(選手一覧!$E$7:$E$2738,$F764))</f>
        <v/>
      </c>
      <c r="I764" s="11" t="str">
        <f aca="false">IF(INDEX(選手一覧!$F$7:$F$2738,$F764)="","",INDEX(選手一覧!$F$7:$F$2738,$F764))</f>
        <v/>
      </c>
      <c r="J764" s="12" t="str">
        <f aca="false">IF(INDEX(選手一覧!$G$7:$G$2738,$F764)="","",INDEX(選手一覧!$G$7:$G$2738,$F764))</f>
        <v/>
      </c>
    </row>
    <row r="765" customFormat="false" ht="15" hidden="false" customHeight="false" outlineLevel="0" collapsed="false">
      <c r="A765" s="12" t="n">
        <v>761</v>
      </c>
      <c r="B765" s="10" t="s">
        <v>2314</v>
      </c>
      <c r="C765" s="10" t="s">
        <v>49</v>
      </c>
      <c r="D765" s="11" t="n">
        <v>0.00287893518518519</v>
      </c>
      <c r="E765" s="18" t="n">
        <f aca="false">ROUND((D765-$D$5)*86400,2)</f>
        <v>23.71</v>
      </c>
      <c r="F765" s="12" t="n">
        <v>1597</v>
      </c>
      <c r="G765" s="11" t="n">
        <f aca="false">IF(INDEX(選手一覧!$D$7:$D$2738,$F765)="","",INDEX(選手一覧!$D$7:$D$2738,$F765))</f>
        <v>0.0110341435185185</v>
      </c>
      <c r="H765" s="12" t="n">
        <f aca="false">IF(INDEX(選手一覧!$E$7:$E$2738,$F765)="","",INDEX(選手一覧!$E$7:$E$2738,$F765))</f>
        <v>1160</v>
      </c>
      <c r="I765" s="11" t="str">
        <f aca="false">IF(INDEX(選手一覧!$F$7:$F$2738,$F765)="","",INDEX(選手一覧!$F$7:$F$2738,$F765))</f>
        <v/>
      </c>
      <c r="J765" s="12" t="str">
        <f aca="false">IF(INDEX(選手一覧!$G$7:$G$2738,$F765)="","",INDEX(選手一覧!$G$7:$G$2738,$F765))</f>
        <v/>
      </c>
    </row>
    <row r="766" customFormat="false" ht="15" hidden="false" customHeight="false" outlineLevel="0" collapsed="false">
      <c r="A766" s="12" t="n">
        <v>762</v>
      </c>
      <c r="B766" s="10" t="s">
        <v>2318</v>
      </c>
      <c r="C766" s="10" t="s">
        <v>218</v>
      </c>
      <c r="D766" s="11" t="n">
        <v>0.00287905092592593</v>
      </c>
      <c r="E766" s="18" t="n">
        <f aca="false">ROUND((D766-$D$5)*86400,2)</f>
        <v>23.72</v>
      </c>
      <c r="F766" s="12" t="n">
        <v>1601</v>
      </c>
      <c r="G766" s="11" t="str">
        <f aca="false">IF(INDEX(選手一覧!$D$7:$D$2738,$F766)="","",INDEX(選手一覧!$D$7:$D$2738,$F766))</f>
        <v/>
      </c>
      <c r="H766" s="12" t="str">
        <f aca="false">IF(INDEX(選手一覧!$E$7:$E$2738,$F766)="","",INDEX(選手一覧!$E$7:$E$2738,$F766))</f>
        <v/>
      </c>
      <c r="I766" s="11" t="str">
        <f aca="false">IF(INDEX(選手一覧!$F$7:$F$2738,$F766)="","",INDEX(選手一覧!$F$7:$F$2738,$F766))</f>
        <v/>
      </c>
      <c r="J766" s="12" t="str">
        <f aca="false">IF(INDEX(選手一覧!$G$7:$G$2738,$F766)="","",INDEX(選手一覧!$G$7:$G$2738,$F766))</f>
        <v/>
      </c>
    </row>
    <row r="767" customFormat="false" ht="15" hidden="false" customHeight="false" outlineLevel="0" collapsed="false">
      <c r="A767" s="12" t="n">
        <v>763</v>
      </c>
      <c r="B767" s="10" t="s">
        <v>2322</v>
      </c>
      <c r="C767" s="10" t="s">
        <v>1777</v>
      </c>
      <c r="D767" s="11" t="n">
        <v>0.00287916666666667</v>
      </c>
      <c r="E767" s="18" t="n">
        <f aca="false">ROUND((D767-$D$5)*86400,2)</f>
        <v>23.73</v>
      </c>
      <c r="F767" s="12" t="n">
        <v>1604</v>
      </c>
      <c r="G767" s="11" t="str">
        <f aca="false">IF(INDEX(選手一覧!$D$7:$D$2738,$F767)="","",INDEX(選手一覧!$D$7:$D$2738,$F767))</f>
        <v/>
      </c>
      <c r="H767" s="12" t="str">
        <f aca="false">IF(INDEX(選手一覧!$E$7:$E$2738,$F767)="","",INDEX(選手一覧!$E$7:$E$2738,$F767))</f>
        <v/>
      </c>
      <c r="I767" s="11" t="str">
        <f aca="false">IF(INDEX(選手一覧!$F$7:$F$2738,$F767)="","",INDEX(選手一覧!$F$7:$F$2738,$F767))</f>
        <v/>
      </c>
      <c r="J767" s="12" t="str">
        <f aca="false">IF(INDEX(選手一覧!$G$7:$G$2738,$F767)="","",INDEX(選手一覧!$G$7:$G$2738,$F767))</f>
        <v/>
      </c>
    </row>
    <row r="768" customFormat="false" ht="15" hidden="false" customHeight="false" outlineLevel="0" collapsed="false">
      <c r="A768" s="12" t="n">
        <v>764</v>
      </c>
      <c r="B768" s="10" t="s">
        <v>2324</v>
      </c>
      <c r="C768" s="10" t="s">
        <v>49</v>
      </c>
      <c r="D768" s="11" t="n">
        <v>0.00287916666666667</v>
      </c>
      <c r="E768" s="18" t="n">
        <f aca="false">ROUND((D768-$D$5)*86400,2)</f>
        <v>23.73</v>
      </c>
      <c r="F768" s="12" t="n">
        <v>1606</v>
      </c>
      <c r="G768" s="11" t="str">
        <f aca="false">IF(INDEX(選手一覧!$D$7:$D$2738,$F768)="","",INDEX(選手一覧!$D$7:$D$2738,$F768))</f>
        <v/>
      </c>
      <c r="H768" s="12" t="str">
        <f aca="false">IF(INDEX(選手一覧!$E$7:$E$2738,$F768)="","",INDEX(選手一覧!$E$7:$E$2738,$F768))</f>
        <v/>
      </c>
      <c r="I768" s="11" t="str">
        <f aca="false">IF(INDEX(選手一覧!$F$7:$F$2738,$F768)="","",INDEX(選手一覧!$F$7:$F$2738,$F768))</f>
        <v/>
      </c>
      <c r="J768" s="12" t="str">
        <f aca="false">IF(INDEX(選手一覧!$G$7:$G$2738,$F768)="","",INDEX(選手一覧!$G$7:$G$2738,$F768))</f>
        <v/>
      </c>
    </row>
    <row r="769" customFormat="false" ht="15" hidden="false" customHeight="false" outlineLevel="0" collapsed="false">
      <c r="A769" s="12" t="n">
        <v>765</v>
      </c>
      <c r="B769" s="10" t="s">
        <v>2326</v>
      </c>
      <c r="C769" s="10" t="s">
        <v>298</v>
      </c>
      <c r="D769" s="11" t="n">
        <v>0.00287951388888889</v>
      </c>
      <c r="E769" s="18" t="n">
        <f aca="false">ROUND((D769-$D$5)*86400,2)</f>
        <v>23.76</v>
      </c>
      <c r="F769" s="12" t="n">
        <v>1608</v>
      </c>
      <c r="G769" s="11" t="str">
        <f aca="false">IF(INDEX(選手一覧!$D$7:$D$2738,$F769)="","",INDEX(選手一覧!$D$7:$D$2738,$F769))</f>
        <v/>
      </c>
      <c r="H769" s="12" t="str">
        <f aca="false">IF(INDEX(選手一覧!$E$7:$E$2738,$F769)="","",INDEX(選手一覧!$E$7:$E$2738,$F769))</f>
        <v/>
      </c>
      <c r="I769" s="11" t="str">
        <f aca="false">IF(INDEX(選手一覧!$F$7:$F$2738,$F769)="","",INDEX(選手一覧!$F$7:$F$2738,$F769))</f>
        <v/>
      </c>
      <c r="J769" s="12" t="str">
        <f aca="false">IF(INDEX(選手一覧!$G$7:$G$2738,$F769)="","",INDEX(選手一覧!$G$7:$G$2738,$F769))</f>
        <v/>
      </c>
    </row>
    <row r="770" customFormat="false" ht="15" hidden="false" customHeight="false" outlineLevel="0" collapsed="false">
      <c r="A770" s="12" t="n">
        <v>766</v>
      </c>
      <c r="B770" s="10" t="s">
        <v>2330</v>
      </c>
      <c r="C770" s="10" t="s">
        <v>91</v>
      </c>
      <c r="D770" s="11" t="n">
        <v>0.00287974537037037</v>
      </c>
      <c r="E770" s="18" t="n">
        <f aca="false">ROUND((D770-$D$5)*86400,2)</f>
        <v>23.78</v>
      </c>
      <c r="F770" s="12" t="n">
        <v>1611</v>
      </c>
      <c r="G770" s="11" t="str">
        <f aca="false">IF(INDEX(選手一覧!$D$7:$D$2738,$F770)="","",INDEX(選手一覧!$D$7:$D$2738,$F770))</f>
        <v/>
      </c>
      <c r="H770" s="12" t="str">
        <f aca="false">IF(INDEX(選手一覧!$E$7:$E$2738,$F770)="","",INDEX(選手一覧!$E$7:$E$2738,$F770))</f>
        <v/>
      </c>
      <c r="I770" s="11" t="str">
        <f aca="false">IF(INDEX(選手一覧!$F$7:$F$2738,$F770)="","",INDEX(選手一覧!$F$7:$F$2738,$F770))</f>
        <v/>
      </c>
      <c r="J770" s="12" t="str">
        <f aca="false">IF(INDEX(選手一覧!$G$7:$G$2738,$F770)="","",INDEX(選手一覧!$G$7:$G$2738,$F770))</f>
        <v/>
      </c>
    </row>
    <row r="771" customFormat="false" ht="15" hidden="false" customHeight="false" outlineLevel="0" collapsed="false">
      <c r="A771" s="12" t="n">
        <v>767</v>
      </c>
      <c r="B771" s="10" t="s">
        <v>2333</v>
      </c>
      <c r="C771" s="10" t="s">
        <v>112</v>
      </c>
      <c r="D771" s="11" t="n">
        <v>0.00287974537037037</v>
      </c>
      <c r="E771" s="18" t="n">
        <f aca="false">ROUND((D771-$D$5)*86400,2)</f>
        <v>23.78</v>
      </c>
      <c r="F771" s="12" t="n">
        <v>1614</v>
      </c>
      <c r="G771" s="11" t="str">
        <f aca="false">IF(INDEX(選手一覧!$D$7:$D$2738,$F771)="","",INDEX(選手一覧!$D$7:$D$2738,$F771))</f>
        <v/>
      </c>
      <c r="H771" s="12" t="str">
        <f aca="false">IF(INDEX(選手一覧!$E$7:$E$2738,$F771)="","",INDEX(選手一覧!$E$7:$E$2738,$F771))</f>
        <v/>
      </c>
      <c r="I771" s="11" t="str">
        <f aca="false">IF(INDEX(選手一覧!$F$7:$F$2738,$F771)="","",INDEX(選手一覧!$F$7:$F$2738,$F771))</f>
        <v/>
      </c>
      <c r="J771" s="12" t="str">
        <f aca="false">IF(INDEX(選手一覧!$G$7:$G$2738,$F771)="","",INDEX(選手一覧!$G$7:$G$2738,$F771))</f>
        <v/>
      </c>
    </row>
    <row r="772" customFormat="false" ht="15" hidden="false" customHeight="false" outlineLevel="0" collapsed="false">
      <c r="A772" s="12" t="n">
        <v>768</v>
      </c>
      <c r="B772" s="10" t="s">
        <v>2168</v>
      </c>
      <c r="C772" s="10" t="s">
        <v>1280</v>
      </c>
      <c r="D772" s="11" t="n">
        <v>0.00287974537037037</v>
      </c>
      <c r="E772" s="18" t="n">
        <f aca="false">ROUND((D772-$D$5)*86400,2)</f>
        <v>23.78</v>
      </c>
      <c r="F772" s="12" t="n">
        <v>1499</v>
      </c>
      <c r="G772" s="11" t="str">
        <f aca="false">IF(INDEX(選手一覧!$D$7:$D$2738,$F772)="","",INDEX(選手一覧!$D$7:$D$2738,$F772))</f>
        <v/>
      </c>
      <c r="H772" s="12" t="str">
        <f aca="false">IF(INDEX(選手一覧!$E$7:$E$2738,$F772)="","",INDEX(選手一覧!$E$7:$E$2738,$F772))</f>
        <v/>
      </c>
      <c r="I772" s="11" t="n">
        <f aca="false">IF(INDEX(選手一覧!$F$7:$F$2738,$F772)="","",INDEX(選手一覧!$F$7:$F$2738,$F772))</f>
        <v>0.00735289351851852</v>
      </c>
      <c r="J772" s="12" t="n">
        <f aca="false">IF(INDEX(選手一覧!$G$7:$G$2738,$F772)="","",INDEX(選手一覧!$G$7:$G$2738,$F772))</f>
        <v>713</v>
      </c>
    </row>
    <row r="773" customFormat="false" ht="15" hidden="false" customHeight="false" outlineLevel="0" collapsed="false">
      <c r="A773" s="12" t="n">
        <v>769</v>
      </c>
      <c r="B773" s="10" t="s">
        <v>247</v>
      </c>
      <c r="C773" s="10" t="s">
        <v>237</v>
      </c>
      <c r="D773" s="11" t="n">
        <v>0.00287986111111111</v>
      </c>
      <c r="E773" s="18" t="n">
        <f aca="false">ROUND((D773-$D$5)*86400,2)</f>
        <v>23.79</v>
      </c>
      <c r="F773" s="12" t="n">
        <v>133</v>
      </c>
      <c r="G773" s="11" t="n">
        <f aca="false">IF(INDEX(選手一覧!$D$7:$D$2738,$F773)="","",INDEX(選手一覧!$D$7:$D$2738,$F773))</f>
        <v>0.0105804398148148</v>
      </c>
      <c r="H773" s="12" t="n">
        <f aca="false">IF(INDEX(選手一覧!$E$7:$E$2738,$F773)="","",INDEX(選手一覧!$E$7:$E$2738,$F773))</f>
        <v>433</v>
      </c>
      <c r="I773" s="11" t="n">
        <f aca="false">IF(INDEX(選手一覧!$F$7:$F$2738,$F773)="","",INDEX(選手一覧!$F$7:$F$2738,$F773))</f>
        <v>0.00656412037037037</v>
      </c>
      <c r="J773" s="12" t="n">
        <f aca="false">IF(INDEX(選手一覧!$G$7:$G$2738,$F773)="","",INDEX(選手一覧!$G$7:$G$2738,$F773))</f>
        <v>53</v>
      </c>
    </row>
    <row r="774" customFormat="false" ht="15" hidden="false" customHeight="false" outlineLevel="0" collapsed="false">
      <c r="A774" s="12" t="n">
        <v>770</v>
      </c>
      <c r="B774" s="10" t="s">
        <v>204</v>
      </c>
      <c r="C774" s="10" t="s">
        <v>64</v>
      </c>
      <c r="D774" s="11" t="n">
        <v>0.00287986111111111</v>
      </c>
      <c r="E774" s="18" t="n">
        <f aca="false">ROUND((D774-$D$5)*86400,2)</f>
        <v>23.79</v>
      </c>
      <c r="F774" s="12" t="n">
        <v>106</v>
      </c>
      <c r="G774" s="11" t="n">
        <f aca="false">IF(INDEX(選手一覧!$D$7:$D$2738,$F774)="","",INDEX(選手一覧!$D$7:$D$2738,$F774))</f>
        <v>0.0107318287037037</v>
      </c>
      <c r="H774" s="12" t="n">
        <f aca="false">IF(INDEX(選手一覧!$E$7:$E$2738,$F774)="","",INDEX(選手一覧!$E$7:$E$2738,$F774))</f>
        <v>636</v>
      </c>
      <c r="I774" s="11" t="n">
        <f aca="false">IF(INDEX(選手一覧!$F$7:$F$2738,$F774)="","",INDEX(選手一覧!$F$7:$F$2738,$F774))</f>
        <v>0.00653611111111111</v>
      </c>
      <c r="J774" s="12" t="n">
        <f aca="false">IF(INDEX(選手一覧!$G$7:$G$2738,$F774)="","",INDEX(選手一覧!$G$7:$G$2738,$F774))</f>
        <v>41</v>
      </c>
    </row>
    <row r="775" customFormat="false" ht="15" hidden="false" customHeight="false" outlineLevel="0" collapsed="false">
      <c r="A775" s="12" t="n">
        <v>771</v>
      </c>
      <c r="B775" s="10" t="s">
        <v>2341</v>
      </c>
      <c r="C775" s="10" t="s">
        <v>2342</v>
      </c>
      <c r="D775" s="11" t="n">
        <v>0.00287986111111111</v>
      </c>
      <c r="E775" s="18" t="n">
        <f aca="false">ROUND((D775-$D$5)*86400,2)</f>
        <v>23.79</v>
      </c>
      <c r="F775" s="12" t="n">
        <v>1620</v>
      </c>
      <c r="G775" s="11" t="n">
        <f aca="false">IF(INDEX(選手一覧!$D$7:$D$2738,$F775)="","",INDEX(選手一覧!$D$7:$D$2738,$F775))</f>
        <v>0.0108791666666667</v>
      </c>
      <c r="H775" s="12" t="n">
        <f aca="false">IF(INDEX(選手一覧!$E$7:$E$2738,$F775)="","",INDEX(選手一覧!$E$7:$E$2738,$F775))</f>
        <v>886</v>
      </c>
      <c r="I775" s="11" t="str">
        <f aca="false">IF(INDEX(選手一覧!$F$7:$F$2738,$F775)="","",INDEX(選手一覧!$F$7:$F$2738,$F775))</f>
        <v/>
      </c>
      <c r="J775" s="12" t="str">
        <f aca="false">IF(INDEX(選手一覧!$G$7:$G$2738,$F775)="","",INDEX(選手一覧!$G$7:$G$2738,$F775))</f>
        <v/>
      </c>
    </row>
    <row r="776" customFormat="false" ht="15" hidden="false" customHeight="false" outlineLevel="0" collapsed="false">
      <c r="A776" s="12" t="n">
        <v>772</v>
      </c>
      <c r="B776" s="10" t="s">
        <v>2346</v>
      </c>
      <c r="C776" s="10" t="s">
        <v>2092</v>
      </c>
      <c r="D776" s="11" t="n">
        <v>0.00288032407407407</v>
      </c>
      <c r="E776" s="18" t="n">
        <f aca="false">ROUND((D776-$D$5)*86400,2)</f>
        <v>23.83</v>
      </c>
      <c r="F776" s="12" t="n">
        <v>1624</v>
      </c>
      <c r="G776" s="11" t="str">
        <f aca="false">IF(INDEX(選手一覧!$D$7:$D$2738,$F776)="","",INDEX(選手一覧!$D$7:$D$2738,$F776))</f>
        <v/>
      </c>
      <c r="H776" s="12" t="str">
        <f aca="false">IF(INDEX(選手一覧!$E$7:$E$2738,$F776)="","",INDEX(選手一覧!$E$7:$E$2738,$F776))</f>
        <v/>
      </c>
      <c r="I776" s="11" t="str">
        <f aca="false">IF(INDEX(選手一覧!$F$7:$F$2738,$F776)="","",INDEX(選手一覧!$F$7:$F$2738,$F776))</f>
        <v/>
      </c>
      <c r="J776" s="12" t="str">
        <f aca="false">IF(INDEX(選手一覧!$G$7:$G$2738,$F776)="","",INDEX(選手一覧!$G$7:$G$2738,$F776))</f>
        <v/>
      </c>
    </row>
    <row r="777" customFormat="false" ht="15" hidden="false" customHeight="false" outlineLevel="0" collapsed="false">
      <c r="A777" s="12" t="n">
        <v>773</v>
      </c>
      <c r="B777" s="10" t="s">
        <v>2349</v>
      </c>
      <c r="C777" s="10" t="s">
        <v>2350</v>
      </c>
      <c r="D777" s="11" t="n">
        <v>0.00288032407407407</v>
      </c>
      <c r="E777" s="18" t="n">
        <f aca="false">ROUND((D777-$D$5)*86400,2)</f>
        <v>23.83</v>
      </c>
      <c r="F777" s="12" t="n">
        <v>1627</v>
      </c>
      <c r="G777" s="11" t="str">
        <f aca="false">IF(INDEX(選手一覧!$D$7:$D$2738,$F777)="","",INDEX(選手一覧!$D$7:$D$2738,$F777))</f>
        <v/>
      </c>
      <c r="H777" s="12" t="str">
        <f aca="false">IF(INDEX(選手一覧!$E$7:$E$2738,$F777)="","",INDEX(選手一覧!$E$7:$E$2738,$F777))</f>
        <v/>
      </c>
      <c r="I777" s="11" t="str">
        <f aca="false">IF(INDEX(選手一覧!$F$7:$F$2738,$F777)="","",INDEX(選手一覧!$F$7:$F$2738,$F777))</f>
        <v/>
      </c>
      <c r="J777" s="12" t="str">
        <f aca="false">IF(INDEX(選手一覧!$G$7:$G$2738,$F777)="","",INDEX(選手一覧!$G$7:$G$2738,$F777))</f>
        <v/>
      </c>
    </row>
    <row r="778" customFormat="false" ht="15" hidden="false" customHeight="false" outlineLevel="0" collapsed="false">
      <c r="A778" s="12" t="n">
        <v>774</v>
      </c>
      <c r="B778" s="10" t="s">
        <v>2353</v>
      </c>
      <c r="C778" s="10" t="s">
        <v>823</v>
      </c>
      <c r="D778" s="11" t="n">
        <v>0.00288055555555556</v>
      </c>
      <c r="E778" s="18" t="n">
        <f aca="false">ROUND((D778-$D$5)*86400,2)</f>
        <v>23.85</v>
      </c>
      <c r="F778" s="12" t="n">
        <v>1629</v>
      </c>
      <c r="G778" s="11" t="str">
        <f aca="false">IF(INDEX(選手一覧!$D$7:$D$2738,$F778)="","",INDEX(選手一覧!$D$7:$D$2738,$F778))</f>
        <v/>
      </c>
      <c r="H778" s="12" t="str">
        <f aca="false">IF(INDEX(選手一覧!$E$7:$E$2738,$F778)="","",INDEX(選手一覧!$E$7:$E$2738,$F778))</f>
        <v/>
      </c>
      <c r="I778" s="11" t="str">
        <f aca="false">IF(INDEX(選手一覧!$F$7:$F$2738,$F778)="","",INDEX(選手一覧!$F$7:$F$2738,$F778))</f>
        <v/>
      </c>
      <c r="J778" s="12" t="str">
        <f aca="false">IF(INDEX(選手一覧!$G$7:$G$2738,$F778)="","",INDEX(選手一覧!$G$7:$G$2738,$F778))</f>
        <v/>
      </c>
    </row>
    <row r="779" customFormat="false" ht="15" hidden="false" customHeight="false" outlineLevel="0" collapsed="false">
      <c r="A779" s="12" t="n">
        <v>775</v>
      </c>
      <c r="B779" s="10" t="s">
        <v>558</v>
      </c>
      <c r="C779" s="10" t="s">
        <v>298</v>
      </c>
      <c r="D779" s="11" t="n">
        <v>0.0028806712962963</v>
      </c>
      <c r="E779" s="18" t="n">
        <f aca="false">ROUND((D779-$D$5)*86400,2)</f>
        <v>23.86</v>
      </c>
      <c r="F779" s="12" t="n">
        <v>348</v>
      </c>
      <c r="G779" s="11" t="n">
        <f aca="false">IF(INDEX(選手一覧!$D$7:$D$2738,$F779)="","",INDEX(選手一覧!$D$7:$D$2738,$F779))</f>
        <v>0.0109322916666667</v>
      </c>
      <c r="H779" s="12" t="n">
        <f aca="false">IF(INDEX(選手一覧!$E$7:$E$2738,$F779)="","",INDEX(選手一覧!$E$7:$E$2738,$F779))</f>
        <v>971</v>
      </c>
      <c r="I779" s="11" t="n">
        <f aca="false">IF(INDEX(選手一覧!$F$7:$F$2738,$F779)="","",INDEX(選手一覧!$F$7:$F$2738,$F779))</f>
        <v>0.00676782407407408</v>
      </c>
      <c r="J779" s="12" t="n">
        <f aca="false">IF(INDEX(選手一覧!$G$7:$G$2738,$F779)="","",INDEX(選手一覧!$G$7:$G$2738,$F779))</f>
        <v>146</v>
      </c>
    </row>
    <row r="780" customFormat="false" ht="15" hidden="false" customHeight="false" outlineLevel="0" collapsed="false">
      <c r="A780" s="12" t="n">
        <v>776</v>
      </c>
      <c r="B780" s="10" t="s">
        <v>2357</v>
      </c>
      <c r="C780" s="10" t="s">
        <v>2031</v>
      </c>
      <c r="D780" s="11" t="n">
        <v>0.00288090277777778</v>
      </c>
      <c r="E780" s="18" t="n">
        <f aca="false">ROUND((D780-$D$5)*86400,2)</f>
        <v>23.88</v>
      </c>
      <c r="F780" s="12" t="n">
        <v>1632</v>
      </c>
      <c r="G780" s="11" t="str">
        <f aca="false">IF(INDEX(選手一覧!$D$7:$D$2738,$F780)="","",INDEX(選手一覧!$D$7:$D$2738,$F780))</f>
        <v/>
      </c>
      <c r="H780" s="12" t="str">
        <f aca="false">IF(INDEX(選手一覧!$E$7:$E$2738,$F780)="","",INDEX(選手一覧!$E$7:$E$2738,$F780))</f>
        <v/>
      </c>
      <c r="I780" s="11" t="str">
        <f aca="false">IF(INDEX(選手一覧!$F$7:$F$2738,$F780)="","",INDEX(選手一覧!$F$7:$F$2738,$F780))</f>
        <v/>
      </c>
      <c r="J780" s="12" t="str">
        <f aca="false">IF(INDEX(選手一覧!$G$7:$G$2738,$F780)="","",INDEX(選手一覧!$G$7:$G$2738,$F780))</f>
        <v/>
      </c>
    </row>
    <row r="781" customFormat="false" ht="15" hidden="false" customHeight="false" outlineLevel="0" collapsed="false">
      <c r="A781" s="12" t="n">
        <v>777</v>
      </c>
      <c r="B781" s="10" t="s">
        <v>1718</v>
      </c>
      <c r="C781" s="10" t="s">
        <v>1005</v>
      </c>
      <c r="D781" s="11" t="n">
        <v>0.00288101851851852</v>
      </c>
      <c r="E781" s="18" t="n">
        <f aca="false">ROUND((D781-$D$5)*86400,2)</f>
        <v>23.89</v>
      </c>
      <c r="F781" s="12" t="n">
        <v>1184</v>
      </c>
      <c r="G781" s="11" t="n">
        <f aca="false">IF(INDEX(選手一覧!$D$7:$D$2738,$F781)="","",INDEX(選手一覧!$D$7:$D$2738,$F781))</f>
        <v>0.0106663194444445</v>
      </c>
      <c r="H781" s="12" t="n">
        <f aca="false">IF(INDEX(選手一覧!$E$7:$E$2738,$F781)="","",INDEX(選手一覧!$E$7:$E$2738,$F781))</f>
        <v>542</v>
      </c>
      <c r="I781" s="11" t="str">
        <f aca="false">IF(INDEX(選手一覧!$F$7:$F$2738,$F781)="","",INDEX(選手一覧!$F$7:$F$2738,$F781))</f>
        <v/>
      </c>
      <c r="J781" s="12" t="str">
        <f aca="false">IF(INDEX(選手一覧!$G$7:$G$2738,$F781)="","",INDEX(選手一覧!$G$7:$G$2738,$F781))</f>
        <v/>
      </c>
    </row>
    <row r="782" customFormat="false" ht="15" hidden="false" customHeight="false" outlineLevel="0" collapsed="false">
      <c r="A782" s="12" t="n">
        <v>778</v>
      </c>
      <c r="B782" s="10" t="s">
        <v>565</v>
      </c>
      <c r="C782" s="10" t="s">
        <v>380</v>
      </c>
      <c r="D782" s="11" t="n">
        <v>0.00288113425925926</v>
      </c>
      <c r="E782" s="18" t="n">
        <f aca="false">ROUND((D782-$D$5)*86400,2)</f>
        <v>23.9</v>
      </c>
      <c r="F782" s="12" t="n">
        <v>354</v>
      </c>
      <c r="G782" s="11" t="n">
        <f aca="false">IF(INDEX(選手一覧!$D$7:$D$2738,$F782)="","",INDEX(選手一覧!$D$7:$D$2738,$F782))</f>
        <v>0.0102820601851852</v>
      </c>
      <c r="H782" s="12" t="n">
        <f aca="false">IF(INDEX(選手一覧!$E$7:$E$2738,$F782)="","",INDEX(選手一覧!$E$7:$E$2738,$F782))</f>
        <v>149</v>
      </c>
      <c r="I782" s="11" t="n">
        <f aca="false">IF(INDEX(選手一覧!$F$7:$F$2738,$F782)="","",INDEX(選手一覧!$F$7:$F$2738,$F782))</f>
        <v>0.00693680555555556</v>
      </c>
      <c r="J782" s="12" t="n">
        <f aca="false">IF(INDEX(選手一覧!$G$7:$G$2738,$F782)="","",INDEX(選手一覧!$G$7:$G$2738,$F782))</f>
        <v>280</v>
      </c>
    </row>
    <row r="783" customFormat="false" ht="15" hidden="false" customHeight="false" outlineLevel="0" collapsed="false">
      <c r="A783" s="12" t="n">
        <v>779</v>
      </c>
      <c r="B783" s="10" t="s">
        <v>2364</v>
      </c>
      <c r="C783" s="10" t="s">
        <v>947</v>
      </c>
      <c r="D783" s="11" t="n">
        <v>0.00288113425925926</v>
      </c>
      <c r="E783" s="18" t="n">
        <f aca="false">ROUND((D783-$D$5)*86400,2)</f>
        <v>23.9</v>
      </c>
      <c r="F783" s="12" t="n">
        <v>1638</v>
      </c>
      <c r="G783" s="11" t="str">
        <f aca="false">IF(INDEX(選手一覧!$D$7:$D$2738,$F783)="","",INDEX(選手一覧!$D$7:$D$2738,$F783))</f>
        <v/>
      </c>
      <c r="H783" s="12" t="str">
        <f aca="false">IF(INDEX(選手一覧!$E$7:$E$2738,$F783)="","",INDEX(選手一覧!$E$7:$E$2738,$F783))</f>
        <v/>
      </c>
      <c r="I783" s="11" t="str">
        <f aca="false">IF(INDEX(選手一覧!$F$7:$F$2738,$F783)="","",INDEX(選手一覧!$F$7:$F$2738,$F783))</f>
        <v/>
      </c>
      <c r="J783" s="12" t="str">
        <f aca="false">IF(INDEX(選手一覧!$G$7:$G$2738,$F783)="","",INDEX(選手一覧!$G$7:$G$2738,$F783))</f>
        <v/>
      </c>
    </row>
    <row r="784" customFormat="false" ht="15" hidden="false" customHeight="false" outlineLevel="0" collapsed="false">
      <c r="A784" s="12" t="n">
        <v>780</v>
      </c>
      <c r="B784" s="10" t="s">
        <v>2367</v>
      </c>
      <c r="C784" s="10" t="s">
        <v>1839</v>
      </c>
      <c r="D784" s="11" t="n">
        <v>0.00288125</v>
      </c>
      <c r="E784" s="18" t="n">
        <f aca="false">ROUND((D784-$D$5)*86400,2)</f>
        <v>23.91</v>
      </c>
      <c r="F784" s="12" t="n">
        <v>1641</v>
      </c>
      <c r="G784" s="11" t="str">
        <f aca="false">IF(INDEX(選手一覧!$D$7:$D$2738,$F784)="","",INDEX(選手一覧!$D$7:$D$2738,$F784))</f>
        <v/>
      </c>
      <c r="H784" s="12" t="str">
        <f aca="false">IF(INDEX(選手一覧!$E$7:$E$2738,$F784)="","",INDEX(選手一覧!$E$7:$E$2738,$F784))</f>
        <v/>
      </c>
      <c r="I784" s="11" t="str">
        <f aca="false">IF(INDEX(選手一覧!$F$7:$F$2738,$F784)="","",INDEX(選手一覧!$F$7:$F$2738,$F784))</f>
        <v/>
      </c>
      <c r="J784" s="12" t="str">
        <f aca="false">IF(INDEX(選手一覧!$G$7:$G$2738,$F784)="","",INDEX(選手一覧!$G$7:$G$2738,$F784))</f>
        <v/>
      </c>
    </row>
    <row r="785" customFormat="false" ht="15" hidden="false" customHeight="false" outlineLevel="0" collapsed="false">
      <c r="A785" s="12" t="n">
        <v>781</v>
      </c>
      <c r="B785" s="10" t="s">
        <v>671</v>
      </c>
      <c r="C785" s="10" t="s">
        <v>195</v>
      </c>
      <c r="D785" s="11" t="n">
        <v>0.00288136574074074</v>
      </c>
      <c r="E785" s="18" t="n">
        <f aca="false">ROUND((D785-$D$5)*86400,2)</f>
        <v>23.92</v>
      </c>
      <c r="F785" s="12" t="n">
        <v>428</v>
      </c>
      <c r="G785" s="11" t="n">
        <f aca="false">IF(INDEX(選手一覧!$D$7:$D$2738,$F785)="","",INDEX(選手一覧!$D$7:$D$2738,$F785))</f>
        <v>0.0109353009259259</v>
      </c>
      <c r="H785" s="12" t="n">
        <f aca="false">IF(INDEX(選手一覧!$E$7:$E$2738,$F785)="","",INDEX(選手一覧!$E$7:$E$2738,$F785))</f>
        <v>976</v>
      </c>
      <c r="I785" s="11" t="n">
        <f aca="false">IF(INDEX(選手一覧!$F$7:$F$2738,$F785)="","",INDEX(選手一覧!$F$7:$F$2738,$F785))</f>
        <v>0.00680972222222222</v>
      </c>
      <c r="J785" s="12" t="n">
        <f aca="false">IF(INDEX(選手一覧!$G$7:$G$2738,$F785)="","",INDEX(選手一覧!$G$7:$G$2738,$F785))</f>
        <v>180</v>
      </c>
    </row>
    <row r="786" customFormat="false" ht="15" hidden="false" customHeight="false" outlineLevel="0" collapsed="false">
      <c r="A786" s="12" t="n">
        <v>782</v>
      </c>
      <c r="B786" s="10" t="s">
        <v>2370</v>
      </c>
      <c r="C786" s="10" t="s">
        <v>850</v>
      </c>
      <c r="D786" s="11" t="n">
        <v>0.00288136574074074</v>
      </c>
      <c r="E786" s="18" t="n">
        <f aca="false">ROUND((D786-$D$5)*86400,2)</f>
        <v>23.92</v>
      </c>
      <c r="F786" s="12" t="n">
        <v>1644</v>
      </c>
      <c r="G786" s="11" t="str">
        <f aca="false">IF(INDEX(選手一覧!$D$7:$D$2738,$F786)="","",INDEX(選手一覧!$D$7:$D$2738,$F786))</f>
        <v/>
      </c>
      <c r="H786" s="12" t="str">
        <f aca="false">IF(INDEX(選手一覧!$E$7:$E$2738,$F786)="","",INDEX(選手一覧!$E$7:$E$2738,$F786))</f>
        <v/>
      </c>
      <c r="I786" s="11" t="str">
        <f aca="false">IF(INDEX(選手一覧!$F$7:$F$2738,$F786)="","",INDEX(選手一覧!$F$7:$F$2738,$F786))</f>
        <v/>
      </c>
      <c r="J786" s="12" t="str">
        <f aca="false">IF(INDEX(選手一覧!$G$7:$G$2738,$F786)="","",INDEX(選手一覧!$G$7:$G$2738,$F786))</f>
        <v/>
      </c>
    </row>
    <row r="787" customFormat="false" ht="15" hidden="false" customHeight="false" outlineLevel="0" collapsed="false">
      <c r="A787" s="12" t="n">
        <v>783</v>
      </c>
      <c r="B787" s="10" t="s">
        <v>610</v>
      </c>
      <c r="C787" s="10" t="s">
        <v>72</v>
      </c>
      <c r="D787" s="11" t="n">
        <v>0.00288148148148148</v>
      </c>
      <c r="E787" s="18" t="n">
        <f aca="false">ROUND((D787-$D$5)*86400,2)</f>
        <v>23.93</v>
      </c>
      <c r="F787" s="12" t="n">
        <v>386</v>
      </c>
      <c r="G787" s="11" t="n">
        <f aca="false">IF(INDEX(選手一覧!$D$7:$D$2738,$F787)="","",INDEX(選手一覧!$D$7:$D$2738,$F787))</f>
        <v>0.0109127314814815</v>
      </c>
      <c r="H787" s="12" t="n">
        <f aca="false">IF(INDEX(選手一覧!$E$7:$E$2738,$F787)="","",INDEX(選手一覧!$E$7:$E$2738,$F787))</f>
        <v>942</v>
      </c>
      <c r="I787" s="11" t="n">
        <f aca="false">IF(INDEX(選手一覧!$F$7:$F$2738,$F787)="","",INDEX(選手一覧!$F$7:$F$2738,$F787))</f>
        <v>0.00679247685185185</v>
      </c>
      <c r="J787" s="12" t="n">
        <f aca="false">IF(INDEX(選手一覧!$G$7:$G$2738,$F787)="","",INDEX(選手一覧!$G$7:$G$2738,$F787))</f>
        <v>164</v>
      </c>
    </row>
    <row r="788" customFormat="false" ht="15" hidden="false" customHeight="false" outlineLevel="0" collapsed="false">
      <c r="A788" s="12" t="n">
        <v>784</v>
      </c>
      <c r="B788" s="10" t="s">
        <v>187</v>
      </c>
      <c r="C788" s="10" t="s">
        <v>188</v>
      </c>
      <c r="D788" s="11" t="n">
        <v>0.00288148148148148</v>
      </c>
      <c r="E788" s="18" t="n">
        <f aca="false">ROUND((D788-$D$5)*86400,2)</f>
        <v>23.93</v>
      </c>
      <c r="F788" s="12" t="n">
        <v>94</v>
      </c>
      <c r="G788" s="11" t="n">
        <f aca="false">IF(INDEX(選手一覧!$D$7:$D$2738,$F788)="","",INDEX(選手一覧!$D$7:$D$2738,$F788))</f>
        <v>0.0103741898148148</v>
      </c>
      <c r="H788" s="12" t="n">
        <f aca="false">IF(INDEX(選手一覧!$E$7:$E$2738,$F788)="","",INDEX(選手一覧!$E$7:$E$2738,$F788))</f>
        <v>229</v>
      </c>
      <c r="I788" s="11" t="n">
        <f aca="false">IF(INDEX(選手一覧!$F$7:$F$2738,$F788)="","",INDEX(選手一覧!$F$7:$F$2738,$F788))</f>
        <v>0.00650520833333333</v>
      </c>
      <c r="J788" s="12" t="n">
        <f aca="false">IF(INDEX(選手一覧!$G$7:$G$2738,$F788)="","",INDEX(選手一覧!$G$7:$G$2738,$F788))</f>
        <v>37</v>
      </c>
    </row>
    <row r="789" customFormat="false" ht="15" hidden="false" customHeight="false" outlineLevel="0" collapsed="false">
      <c r="A789" s="12" t="n">
        <v>785</v>
      </c>
      <c r="B789" s="10" t="s">
        <v>336</v>
      </c>
      <c r="C789" s="10" t="s">
        <v>43</v>
      </c>
      <c r="D789" s="11" t="n">
        <v>0.00288171296296296</v>
      </c>
      <c r="E789" s="18" t="n">
        <f aca="false">ROUND((D789-$D$5)*86400,2)</f>
        <v>23.95</v>
      </c>
      <c r="F789" s="12" t="n">
        <v>196</v>
      </c>
      <c r="G789" s="11" t="n">
        <f aca="false">IF(INDEX(選手一覧!$D$7:$D$2738,$F789)="","",INDEX(選手一覧!$D$7:$D$2738,$F789))</f>
        <v>0.0101675925925926</v>
      </c>
      <c r="H789" s="12" t="n">
        <f aca="false">IF(INDEX(選手一覧!$E$7:$E$2738,$F789)="","",INDEX(選手一覧!$E$7:$E$2738,$F789))</f>
        <v>79</v>
      </c>
      <c r="I789" s="11" t="str">
        <f aca="false">IF(INDEX(選手一覧!$F$7:$F$2738,$F789)="","",INDEX(選手一覧!$F$7:$F$2738,$F789))</f>
        <v/>
      </c>
      <c r="J789" s="12" t="str">
        <f aca="false">IF(INDEX(選手一覧!$G$7:$G$2738,$F789)="","",INDEX(選手一覧!$G$7:$G$2738,$F789))</f>
        <v/>
      </c>
    </row>
    <row r="790" customFormat="false" ht="15" hidden="false" customHeight="false" outlineLevel="0" collapsed="false">
      <c r="A790" s="12" t="n">
        <v>786</v>
      </c>
      <c r="B790" s="10" t="s">
        <v>2377</v>
      </c>
      <c r="C790" s="10" t="s">
        <v>616</v>
      </c>
      <c r="D790" s="11" t="n">
        <v>0.00288171296296296</v>
      </c>
      <c r="E790" s="18" t="n">
        <f aca="false">ROUND((D790-$D$5)*86400,2)</f>
        <v>23.95</v>
      </c>
      <c r="F790" s="12" t="n">
        <v>1650</v>
      </c>
      <c r="G790" s="11" t="str">
        <f aca="false">IF(INDEX(選手一覧!$D$7:$D$2738,$F790)="","",INDEX(選手一覧!$D$7:$D$2738,$F790))</f>
        <v/>
      </c>
      <c r="H790" s="12" t="str">
        <f aca="false">IF(INDEX(選手一覧!$E$7:$E$2738,$F790)="","",INDEX(選手一覧!$E$7:$E$2738,$F790))</f>
        <v/>
      </c>
      <c r="I790" s="11" t="str">
        <f aca="false">IF(INDEX(選手一覧!$F$7:$F$2738,$F790)="","",INDEX(選手一覧!$F$7:$F$2738,$F790))</f>
        <v/>
      </c>
      <c r="J790" s="12" t="str">
        <f aca="false">IF(INDEX(選手一覧!$G$7:$G$2738,$F790)="","",INDEX(選手一覧!$G$7:$G$2738,$F790))</f>
        <v/>
      </c>
    </row>
    <row r="791" customFormat="false" ht="15" hidden="false" customHeight="false" outlineLevel="0" collapsed="false">
      <c r="A791" s="12" t="n">
        <v>787</v>
      </c>
      <c r="B791" s="10" t="s">
        <v>48</v>
      </c>
      <c r="C791" s="10" t="s">
        <v>49</v>
      </c>
      <c r="D791" s="11" t="n">
        <v>0.0028818287037037</v>
      </c>
      <c r="E791" s="18" t="n">
        <f aca="false">ROUND((D791-$D$5)*86400,2)</f>
        <v>23.96</v>
      </c>
      <c r="F791" s="12" t="n">
        <v>15</v>
      </c>
      <c r="G791" s="11" t="n">
        <f aca="false">IF(INDEX(選手一覧!$D$7:$D$2738,$F791)="","",INDEX(選手一覧!$D$7:$D$2738,$F791))</f>
        <v>0.0101377314814815</v>
      </c>
      <c r="H791" s="12" t="n">
        <f aca="false">IF(INDEX(選手一覧!$E$7:$E$2738,$F791)="","",INDEX(選手一覧!$E$7:$E$2738,$F791))</f>
        <v>67</v>
      </c>
      <c r="I791" s="11" t="n">
        <f aca="false">IF(INDEX(選手一覧!$F$7:$F$2738,$F791)="","",INDEX(選手一覧!$F$7:$F$2738,$F791))</f>
        <v>0.00634039351851852</v>
      </c>
      <c r="J791" s="12" t="n">
        <f aca="false">IF(INDEX(選手一覧!$G$7:$G$2738,$F791)="","",INDEX(選手一覧!$G$7:$G$2738,$F791))</f>
        <v>7</v>
      </c>
    </row>
    <row r="792" customFormat="false" ht="15" hidden="false" customHeight="false" outlineLevel="0" collapsed="false">
      <c r="A792" s="12" t="n">
        <v>788</v>
      </c>
      <c r="B792" s="10" t="s">
        <v>2380</v>
      </c>
      <c r="C792" s="10" t="s">
        <v>1738</v>
      </c>
      <c r="D792" s="11" t="n">
        <v>0.00288194444444444</v>
      </c>
      <c r="E792" s="18" t="n">
        <f aca="false">ROUND((D792-$D$5)*86400,2)</f>
        <v>23.97</v>
      </c>
      <c r="F792" s="12" t="n">
        <v>1653</v>
      </c>
      <c r="G792" s="11" t="str">
        <f aca="false">IF(INDEX(選手一覧!$D$7:$D$2738,$F792)="","",INDEX(選手一覧!$D$7:$D$2738,$F792))</f>
        <v/>
      </c>
      <c r="H792" s="12" t="str">
        <f aca="false">IF(INDEX(選手一覧!$E$7:$E$2738,$F792)="","",INDEX(選手一覧!$E$7:$E$2738,$F792))</f>
        <v/>
      </c>
      <c r="I792" s="11" t="str">
        <f aca="false">IF(INDEX(選手一覧!$F$7:$F$2738,$F792)="","",INDEX(選手一覧!$F$7:$F$2738,$F792))</f>
        <v/>
      </c>
      <c r="J792" s="12" t="str">
        <f aca="false">IF(INDEX(選手一覧!$G$7:$G$2738,$F792)="","",INDEX(選手一覧!$G$7:$G$2738,$F792))</f>
        <v/>
      </c>
    </row>
    <row r="793" customFormat="false" ht="15" hidden="false" customHeight="false" outlineLevel="0" collapsed="false">
      <c r="A793" s="12" t="n">
        <v>789</v>
      </c>
      <c r="B793" s="10" t="s">
        <v>2383</v>
      </c>
      <c r="C793" s="10" t="s">
        <v>660</v>
      </c>
      <c r="D793" s="11" t="n">
        <v>0.00288194444444444</v>
      </c>
      <c r="E793" s="18" t="n">
        <f aca="false">ROUND((D793-$D$5)*86400,2)</f>
        <v>23.97</v>
      </c>
      <c r="F793" s="12" t="n">
        <v>1655</v>
      </c>
      <c r="G793" s="11" t="str">
        <f aca="false">IF(INDEX(選手一覧!$D$7:$D$2738,$F793)="","",INDEX(選手一覧!$D$7:$D$2738,$F793))</f>
        <v/>
      </c>
      <c r="H793" s="12" t="str">
        <f aca="false">IF(INDEX(選手一覧!$E$7:$E$2738,$F793)="","",INDEX(選手一覧!$E$7:$E$2738,$F793))</f>
        <v/>
      </c>
      <c r="I793" s="11" t="str">
        <f aca="false">IF(INDEX(選手一覧!$F$7:$F$2738,$F793)="","",INDEX(選手一覧!$F$7:$F$2738,$F793))</f>
        <v/>
      </c>
      <c r="J793" s="12" t="str">
        <f aca="false">IF(INDEX(選手一覧!$G$7:$G$2738,$F793)="","",INDEX(選手一覧!$G$7:$G$2738,$F793))</f>
        <v/>
      </c>
    </row>
    <row r="794" customFormat="false" ht="15" hidden="false" customHeight="false" outlineLevel="0" collapsed="false">
      <c r="A794" s="12" t="n">
        <v>790</v>
      </c>
      <c r="B794" s="10" t="s">
        <v>2149</v>
      </c>
      <c r="C794" s="10" t="s">
        <v>1608</v>
      </c>
      <c r="D794" s="11" t="n">
        <v>0.00288194444444444</v>
      </c>
      <c r="E794" s="18" t="n">
        <f aca="false">ROUND((D794-$D$5)*86400,2)</f>
        <v>23.97</v>
      </c>
      <c r="F794" s="12" t="n">
        <v>1486</v>
      </c>
      <c r="G794" s="11" t="n">
        <f aca="false">IF(INDEX(選手一覧!$D$7:$D$2738,$F794)="","",INDEX(選手一覧!$D$7:$D$2738,$F794))</f>
        <v>0.0110517361111111</v>
      </c>
      <c r="H794" s="12" t="n">
        <f aca="false">IF(INDEX(選手一覧!$E$7:$E$2738,$F794)="","",INDEX(選手一覧!$E$7:$E$2738,$F794))</f>
        <v>1200</v>
      </c>
      <c r="I794" s="11" t="n">
        <f aca="false">IF(INDEX(選手一覧!$F$7:$F$2738,$F794)="","",INDEX(選手一覧!$F$7:$F$2738,$F794))</f>
        <v>0.00734594907407408</v>
      </c>
      <c r="J794" s="12" t="n">
        <f aca="false">IF(INDEX(選手一覧!$G$7:$G$2738,$F794)="","",INDEX(選手一覧!$G$7:$G$2738,$F794))</f>
        <v>706</v>
      </c>
    </row>
    <row r="795" customFormat="false" ht="15" hidden="false" customHeight="false" outlineLevel="0" collapsed="false">
      <c r="A795" s="12" t="n">
        <v>791</v>
      </c>
      <c r="B795" s="10" t="s">
        <v>970</v>
      </c>
      <c r="C795" s="10" t="s">
        <v>72</v>
      </c>
      <c r="D795" s="11" t="n">
        <v>0.00288194444444444</v>
      </c>
      <c r="E795" s="18" t="n">
        <f aca="false">ROUND((D795-$D$5)*86400,2)</f>
        <v>23.97</v>
      </c>
      <c r="F795" s="12" t="n">
        <v>646</v>
      </c>
      <c r="G795" s="11" t="n">
        <f aca="false">IF(INDEX(選手一覧!$D$7:$D$2738,$F795)="","",INDEX(選手一覧!$D$7:$D$2738,$F795))</f>
        <v>0.0108023148148148</v>
      </c>
      <c r="H795" s="12" t="n">
        <f aca="false">IF(INDEX(選手一覧!$E$7:$E$2738,$F795)="","",INDEX(選手一覧!$E$7:$E$2738,$F795))</f>
        <v>747</v>
      </c>
      <c r="I795" s="11" t="n">
        <f aca="false">IF(INDEX(選手一覧!$F$7:$F$2738,$F795)="","",INDEX(選手一覧!$F$7:$F$2738,$F795))</f>
        <v>0.00692986111111111</v>
      </c>
      <c r="J795" s="12" t="n">
        <f aca="false">IF(INDEX(選手一覧!$G$7:$G$2738,$F795)="","",INDEX(選手一覧!$G$7:$G$2738,$F795))</f>
        <v>273</v>
      </c>
    </row>
    <row r="796" customFormat="false" ht="15" hidden="false" customHeight="false" outlineLevel="0" collapsed="false">
      <c r="A796" s="12" t="n">
        <v>792</v>
      </c>
      <c r="B796" s="10" t="s">
        <v>2390</v>
      </c>
      <c r="C796" s="10" t="s">
        <v>93</v>
      </c>
      <c r="D796" s="11" t="n">
        <v>0.00288194444444444</v>
      </c>
      <c r="E796" s="18" t="n">
        <f aca="false">ROUND((D796-$D$5)*86400,2)</f>
        <v>23.97</v>
      </c>
      <c r="F796" s="12" t="n">
        <v>1661</v>
      </c>
      <c r="G796" s="11" t="str">
        <f aca="false">IF(INDEX(選手一覧!$D$7:$D$2738,$F796)="","",INDEX(選手一覧!$D$7:$D$2738,$F796))</f>
        <v/>
      </c>
      <c r="H796" s="12" t="str">
        <f aca="false">IF(INDEX(選手一覧!$E$7:$E$2738,$F796)="","",INDEX(選手一覧!$E$7:$E$2738,$F796))</f>
        <v/>
      </c>
      <c r="I796" s="11" t="str">
        <f aca="false">IF(INDEX(選手一覧!$F$7:$F$2738,$F796)="","",INDEX(選手一覧!$F$7:$F$2738,$F796))</f>
        <v/>
      </c>
      <c r="J796" s="12" t="str">
        <f aca="false">IF(INDEX(選手一覧!$G$7:$G$2738,$F796)="","",INDEX(選手一覧!$G$7:$G$2738,$F796))</f>
        <v/>
      </c>
    </row>
    <row r="797" customFormat="false" ht="15" hidden="false" customHeight="false" outlineLevel="0" collapsed="false">
      <c r="A797" s="12" t="n">
        <v>793</v>
      </c>
      <c r="B797" s="10" t="s">
        <v>2384</v>
      </c>
      <c r="C797" s="10" t="s">
        <v>1260</v>
      </c>
      <c r="D797" s="11" t="n">
        <v>0.00288206018518519</v>
      </c>
      <c r="E797" s="18" t="n">
        <f aca="false">ROUND((D797-$D$5)*86400,2)</f>
        <v>23.98</v>
      </c>
      <c r="F797" s="12" t="n">
        <v>1656</v>
      </c>
      <c r="G797" s="11" t="n">
        <f aca="false">IF(INDEX(選手一覧!$D$7:$D$2738,$F797)="","",INDEX(選手一覧!$D$7:$D$2738,$F797))</f>
        <v>0.0108306712962963</v>
      </c>
      <c r="H797" s="12" t="n">
        <f aca="false">IF(INDEX(選手一覧!$E$7:$E$2738,$F797)="","",INDEX(選手一覧!$E$7:$E$2738,$F797))</f>
        <v>790</v>
      </c>
      <c r="I797" s="11" t="str">
        <f aca="false">IF(INDEX(選手一覧!$F$7:$F$2738,$F797)="","",INDEX(選手一覧!$F$7:$F$2738,$F797))</f>
        <v/>
      </c>
      <c r="J797" s="12" t="str">
        <f aca="false">IF(INDEX(選手一覧!$G$7:$G$2738,$F797)="","",INDEX(選手一覧!$G$7:$G$2738,$F797))</f>
        <v/>
      </c>
    </row>
    <row r="798" customFormat="false" ht="15" hidden="false" customHeight="false" outlineLevel="0" collapsed="false">
      <c r="A798" s="12" t="n">
        <v>794</v>
      </c>
      <c r="B798" s="10" t="s">
        <v>1467</v>
      </c>
      <c r="C798" s="10" t="s">
        <v>1468</v>
      </c>
      <c r="D798" s="11" t="n">
        <v>0.00288206018518519</v>
      </c>
      <c r="E798" s="18" t="n">
        <f aca="false">ROUND((D798-$D$5)*86400,2)</f>
        <v>23.98</v>
      </c>
      <c r="F798" s="12" t="n">
        <v>1007</v>
      </c>
      <c r="G798" s="11" t="str">
        <f aca="false">IF(INDEX(選手一覧!$D$7:$D$2738,$F798)="","",INDEX(選手一覧!$D$7:$D$2738,$F798))</f>
        <v/>
      </c>
      <c r="H798" s="12" t="str">
        <f aca="false">IF(INDEX(選手一覧!$E$7:$E$2738,$F798)="","",INDEX(選手一覧!$E$7:$E$2738,$F798))</f>
        <v/>
      </c>
      <c r="I798" s="11" t="n">
        <f aca="false">IF(INDEX(選手一覧!$F$7:$F$2738,$F798)="","",INDEX(選手一覧!$F$7:$F$2738,$F798))</f>
        <v>0.00710266203703704</v>
      </c>
      <c r="J798" s="12" t="n">
        <f aca="false">IF(INDEX(選手一覧!$G$7:$G$2738,$F798)="","",INDEX(選手一覧!$G$7:$G$2738,$F798))</f>
        <v>451</v>
      </c>
    </row>
    <row r="799" customFormat="false" ht="15" hidden="false" customHeight="false" outlineLevel="0" collapsed="false">
      <c r="A799" s="12" t="n">
        <v>795</v>
      </c>
      <c r="B799" s="10" t="s">
        <v>2396</v>
      </c>
      <c r="C799" s="10" t="s">
        <v>546</v>
      </c>
      <c r="D799" s="11" t="n">
        <v>0.00288217592592593</v>
      </c>
      <c r="E799" s="18" t="n">
        <f aca="false">ROUND((D799-$D$5)*86400,2)</f>
        <v>23.99</v>
      </c>
      <c r="F799" s="12" t="n">
        <v>1665</v>
      </c>
      <c r="G799" s="11" t="str">
        <f aca="false">IF(INDEX(選手一覧!$D$7:$D$2738,$F799)="","",INDEX(選手一覧!$D$7:$D$2738,$F799))</f>
        <v/>
      </c>
      <c r="H799" s="12" t="str">
        <f aca="false">IF(INDEX(選手一覧!$E$7:$E$2738,$F799)="","",INDEX(選手一覧!$E$7:$E$2738,$F799))</f>
        <v/>
      </c>
      <c r="I799" s="11" t="str">
        <f aca="false">IF(INDEX(選手一覧!$F$7:$F$2738,$F799)="","",INDEX(選手一覧!$F$7:$F$2738,$F799))</f>
        <v/>
      </c>
      <c r="J799" s="12" t="str">
        <f aca="false">IF(INDEX(選手一覧!$G$7:$G$2738,$F799)="","",INDEX(選手一覧!$G$7:$G$2738,$F799))</f>
        <v/>
      </c>
    </row>
    <row r="800" customFormat="false" ht="15" hidden="false" customHeight="false" outlineLevel="0" collapsed="false">
      <c r="A800" s="12" t="n">
        <v>796</v>
      </c>
      <c r="B800" s="10" t="s">
        <v>2399</v>
      </c>
      <c r="C800" s="10" t="s">
        <v>382</v>
      </c>
      <c r="D800" s="11" t="n">
        <v>0.00288240740740741</v>
      </c>
      <c r="E800" s="18" t="n">
        <f aca="false">ROUND((D800-$D$5)*86400,2)</f>
        <v>24.01</v>
      </c>
      <c r="F800" s="12" t="n">
        <v>1667</v>
      </c>
      <c r="G800" s="11" t="str">
        <f aca="false">IF(INDEX(選手一覧!$D$7:$D$2738,$F800)="","",INDEX(選手一覧!$D$7:$D$2738,$F800))</f>
        <v/>
      </c>
      <c r="H800" s="12" t="str">
        <f aca="false">IF(INDEX(選手一覧!$E$7:$E$2738,$F800)="","",INDEX(選手一覧!$E$7:$E$2738,$F800))</f>
        <v/>
      </c>
      <c r="I800" s="11" t="str">
        <f aca="false">IF(INDEX(選手一覧!$F$7:$F$2738,$F800)="","",INDEX(選手一覧!$F$7:$F$2738,$F800))</f>
        <v/>
      </c>
      <c r="J800" s="12" t="str">
        <f aca="false">IF(INDEX(選手一覧!$G$7:$G$2738,$F800)="","",INDEX(選手一覧!$G$7:$G$2738,$F800))</f>
        <v/>
      </c>
    </row>
    <row r="801" customFormat="false" ht="15" hidden="false" customHeight="false" outlineLevel="0" collapsed="false">
      <c r="A801" s="12" t="n">
        <v>797</v>
      </c>
      <c r="B801" s="10" t="s">
        <v>2124</v>
      </c>
      <c r="C801" s="10" t="s">
        <v>302</v>
      </c>
      <c r="D801" s="11" t="n">
        <v>0.00288263888888889</v>
      </c>
      <c r="E801" s="18" t="n">
        <f aca="false">ROUND((D801-$D$5)*86400,2)</f>
        <v>24.03</v>
      </c>
      <c r="F801" s="12" t="n">
        <v>1469</v>
      </c>
      <c r="G801" s="11" t="n">
        <f aca="false">IF(INDEX(選手一覧!$D$7:$D$2738,$F801)="","",INDEX(選手一覧!$D$7:$D$2738,$F801))</f>
        <v>0.0107704861111111</v>
      </c>
      <c r="H801" s="12" t="n">
        <f aca="false">IF(INDEX(選手一覧!$E$7:$E$2738,$F801)="","",INDEX(選手一覧!$E$7:$E$2738,$F801))</f>
        <v>696</v>
      </c>
      <c r="I801" s="11" t="n">
        <f aca="false">IF(INDEX(選手一覧!$F$7:$F$2738,$F801)="","",INDEX(選手一覧!$F$7:$F$2738,$F801))</f>
        <v>0.008159375</v>
      </c>
      <c r="J801" s="12" t="n">
        <f aca="false">IF(INDEX(選手一覧!$G$7:$G$2738,$F801)="","",INDEX(選手一覧!$G$7:$G$2738,$F801))</f>
        <v>1223</v>
      </c>
    </row>
    <row r="802" customFormat="false" ht="15" hidden="false" customHeight="false" outlineLevel="0" collapsed="false">
      <c r="A802" s="12" t="n">
        <v>798</v>
      </c>
      <c r="B802" s="10" t="s">
        <v>1086</v>
      </c>
      <c r="C802" s="10" t="s">
        <v>473</v>
      </c>
      <c r="D802" s="11" t="n">
        <v>0.00288263888888889</v>
      </c>
      <c r="E802" s="18" t="n">
        <f aca="false">ROUND((D802-$D$5)*86400,2)</f>
        <v>24.03</v>
      </c>
      <c r="F802" s="12" t="n">
        <v>1672</v>
      </c>
      <c r="G802" s="11" t="str">
        <f aca="false">IF(INDEX(選手一覧!$D$7:$D$2738,$F802)="","",INDEX(選手一覧!$D$7:$D$2738,$F802))</f>
        <v/>
      </c>
      <c r="H802" s="12" t="str">
        <f aca="false">IF(INDEX(選手一覧!$E$7:$E$2738,$F802)="","",INDEX(選手一覧!$E$7:$E$2738,$F802))</f>
        <v/>
      </c>
      <c r="I802" s="11" t="str">
        <f aca="false">IF(INDEX(選手一覧!$F$7:$F$2738,$F802)="","",INDEX(選手一覧!$F$7:$F$2738,$F802))</f>
        <v/>
      </c>
      <c r="J802" s="12" t="str">
        <f aca="false">IF(INDEX(選手一覧!$G$7:$G$2738,$F802)="","",INDEX(選手一覧!$G$7:$G$2738,$F802))</f>
        <v/>
      </c>
    </row>
    <row r="803" customFormat="false" ht="15" hidden="false" customHeight="false" outlineLevel="0" collapsed="false">
      <c r="A803" s="12" t="n">
        <v>799</v>
      </c>
      <c r="B803" s="10" t="s">
        <v>2241</v>
      </c>
      <c r="C803" s="10" t="s">
        <v>1046</v>
      </c>
      <c r="D803" s="11" t="n">
        <v>0.00288263888888889</v>
      </c>
      <c r="E803" s="18" t="n">
        <f aca="false">ROUND((D803-$D$5)*86400,2)</f>
        <v>24.03</v>
      </c>
      <c r="F803" s="12" t="n">
        <v>1551</v>
      </c>
      <c r="G803" s="11" t="n">
        <f aca="false">IF(INDEX(選手一覧!$D$7:$D$2738,$F803)="","",INDEX(選手一覧!$D$7:$D$2738,$F803))</f>
        <v>0.0108002314814815</v>
      </c>
      <c r="H803" s="12" t="n">
        <f aca="false">IF(INDEX(選手一覧!$E$7:$E$2738,$F803)="","",INDEX(選手一覧!$E$7:$E$2738,$F803))</f>
        <v>740</v>
      </c>
      <c r="I803" s="11" t="str">
        <f aca="false">IF(INDEX(選手一覧!$F$7:$F$2738,$F803)="","",INDEX(選手一覧!$F$7:$F$2738,$F803))</f>
        <v/>
      </c>
      <c r="J803" s="12" t="str">
        <f aca="false">IF(INDEX(選手一覧!$G$7:$G$2738,$F803)="","",INDEX(選手一覧!$G$7:$G$2738,$F803))</f>
        <v/>
      </c>
    </row>
    <row r="804" customFormat="false" ht="15" hidden="false" customHeight="false" outlineLevel="0" collapsed="false">
      <c r="A804" s="12" t="n">
        <v>800</v>
      </c>
      <c r="B804" s="10" t="s">
        <v>2410</v>
      </c>
      <c r="C804" s="10" t="s">
        <v>116</v>
      </c>
      <c r="D804" s="11" t="n">
        <v>0.00288275462962963</v>
      </c>
      <c r="E804" s="18" t="n">
        <f aca="false">ROUND((D804-$D$5)*86400,2)</f>
        <v>24.04</v>
      </c>
      <c r="F804" s="12" t="n">
        <v>1676</v>
      </c>
      <c r="G804" s="11" t="str">
        <f aca="false">IF(INDEX(選手一覧!$D$7:$D$2738,$F804)="","",INDEX(選手一覧!$D$7:$D$2738,$F804))</f>
        <v/>
      </c>
      <c r="H804" s="12" t="str">
        <f aca="false">IF(INDEX(選手一覧!$E$7:$E$2738,$F804)="","",INDEX(選手一覧!$E$7:$E$2738,$F804))</f>
        <v/>
      </c>
      <c r="I804" s="11" t="str">
        <f aca="false">IF(INDEX(選手一覧!$F$7:$F$2738,$F804)="","",INDEX(選手一覧!$F$7:$F$2738,$F804))</f>
        <v/>
      </c>
      <c r="J804" s="12" t="str">
        <f aca="false">IF(INDEX(選手一覧!$G$7:$G$2738,$F804)="","",INDEX(選手一覧!$G$7:$G$2738,$F804))</f>
        <v/>
      </c>
    </row>
    <row r="805" customFormat="false" ht="15" hidden="false" customHeight="false" outlineLevel="0" collapsed="false">
      <c r="A805" s="12" t="n">
        <v>801</v>
      </c>
      <c r="B805" s="10" t="s">
        <v>2411</v>
      </c>
      <c r="C805" s="10" t="s">
        <v>64</v>
      </c>
      <c r="D805" s="11" t="n">
        <v>0.00288287037037037</v>
      </c>
      <c r="E805" s="18" t="n">
        <f aca="false">ROUND((D805-$D$5)*86400,2)</f>
        <v>24.05</v>
      </c>
      <c r="F805" s="12" t="n">
        <v>1677</v>
      </c>
      <c r="G805" s="11" t="n">
        <f aca="false">IF(INDEX(選手一覧!$D$7:$D$2738,$F805)="","",INDEX(選手一覧!$D$7:$D$2738,$F805))</f>
        <v>0.0109891203703704</v>
      </c>
      <c r="H805" s="12" t="n">
        <f aca="false">IF(INDEX(選手一覧!$E$7:$E$2738,$F805)="","",INDEX(選手一覧!$E$7:$E$2738,$F805))</f>
        <v>1078</v>
      </c>
      <c r="I805" s="11" t="str">
        <f aca="false">IF(INDEX(選手一覧!$F$7:$F$2738,$F805)="","",INDEX(選手一覧!$F$7:$F$2738,$F805))</f>
        <v/>
      </c>
      <c r="J805" s="12" t="str">
        <f aca="false">IF(INDEX(選手一覧!$G$7:$G$2738,$F805)="","",INDEX(選手一覧!$G$7:$G$2738,$F805))</f>
        <v/>
      </c>
    </row>
    <row r="806" customFormat="false" ht="15" hidden="false" customHeight="false" outlineLevel="0" collapsed="false">
      <c r="A806" s="12" t="n">
        <v>802</v>
      </c>
      <c r="B806" s="10" t="s">
        <v>703</v>
      </c>
      <c r="C806" s="10" t="s">
        <v>29</v>
      </c>
      <c r="D806" s="11" t="n">
        <v>0.00288298611111111</v>
      </c>
      <c r="E806" s="18" t="n">
        <f aca="false">ROUND((D806-$D$5)*86400,2)</f>
        <v>24.06</v>
      </c>
      <c r="F806" s="12" t="n">
        <v>450</v>
      </c>
      <c r="G806" s="11" t="n">
        <f aca="false">IF(INDEX(選手一覧!$D$7:$D$2738,$F806)="","",INDEX(選手一覧!$D$7:$D$2738,$F806))</f>
        <v>0.0103387731481482</v>
      </c>
      <c r="H806" s="12" t="n">
        <f aca="false">IF(INDEX(選手一覧!$E$7:$E$2738,$F806)="","",INDEX(選手一覧!$E$7:$E$2738,$F806))</f>
        <v>189</v>
      </c>
      <c r="I806" s="11" t="str">
        <f aca="false">IF(INDEX(選手一覧!$F$7:$F$2738,$F806)="","",INDEX(選手一覧!$F$7:$F$2738,$F806))</f>
        <v/>
      </c>
      <c r="J806" s="12" t="str">
        <f aca="false">IF(INDEX(選手一覧!$G$7:$G$2738,$F806)="","",INDEX(選手一覧!$G$7:$G$2738,$F806))</f>
        <v/>
      </c>
    </row>
    <row r="807" customFormat="false" ht="15" hidden="false" customHeight="false" outlineLevel="0" collapsed="false">
      <c r="A807" s="12" t="n">
        <v>803</v>
      </c>
      <c r="B807" s="10" t="s">
        <v>662</v>
      </c>
      <c r="C807" s="10" t="s">
        <v>91</v>
      </c>
      <c r="D807" s="11" t="n">
        <v>0.00288356481481481</v>
      </c>
      <c r="E807" s="18" t="n">
        <f aca="false">ROUND((D807-$D$5)*86400,2)</f>
        <v>24.11</v>
      </c>
      <c r="F807" s="12" t="n">
        <v>421</v>
      </c>
      <c r="G807" s="11" t="n">
        <f aca="false">IF(INDEX(選手一覧!$D$7:$D$2738,$F807)="","",INDEX(選手一覧!$D$7:$D$2738,$F807))</f>
        <v>0.0106987268518519</v>
      </c>
      <c r="H807" s="12" t="n">
        <f aca="false">IF(INDEX(選手一覧!$E$7:$E$2738,$F807)="","",INDEX(選手一覧!$E$7:$E$2738,$F807))</f>
        <v>579</v>
      </c>
      <c r="I807" s="11" t="n">
        <f aca="false">IF(INDEX(選手一覧!$F$7:$F$2738,$F807)="","",INDEX(選手一覧!$F$7:$F$2738,$F807))</f>
        <v>0.00680717592592593</v>
      </c>
      <c r="J807" s="12" t="n">
        <f aca="false">IF(INDEX(選手一覧!$G$7:$G$2738,$F807)="","",INDEX(選手一覧!$G$7:$G$2738,$F807))</f>
        <v>178</v>
      </c>
    </row>
    <row r="808" customFormat="false" ht="15" hidden="false" customHeight="false" outlineLevel="0" collapsed="false">
      <c r="A808" s="12" t="n">
        <v>804</v>
      </c>
      <c r="B808" s="10" t="s">
        <v>1337</v>
      </c>
      <c r="C808" s="10" t="s">
        <v>823</v>
      </c>
      <c r="D808" s="11" t="n">
        <v>0.00288356481481481</v>
      </c>
      <c r="E808" s="18" t="n">
        <f aca="false">ROUND((D808-$D$5)*86400,2)</f>
        <v>24.11</v>
      </c>
      <c r="F808" s="12" t="n">
        <v>909</v>
      </c>
      <c r="G808" s="11" t="n">
        <f aca="false">IF(INDEX(選手一覧!$D$7:$D$2738,$F808)="","",INDEX(選手一覧!$D$7:$D$2738,$F808))</f>
        <v>0.0107929398148148</v>
      </c>
      <c r="H808" s="12" t="n">
        <f aca="false">IF(INDEX(選手一覧!$E$7:$E$2738,$F808)="","",INDEX(選手一覧!$E$7:$E$2738,$F808))</f>
        <v>732</v>
      </c>
      <c r="I808" s="11" t="n">
        <f aca="false">IF(INDEX(選手一覧!$F$7:$F$2738,$F808)="","",INDEX(選手一覧!$F$7:$F$2738,$F808))</f>
        <v>0.00706365740740741</v>
      </c>
      <c r="J808" s="12" t="n">
        <f aca="false">IF(INDEX(選手一覧!$G$7:$G$2738,$F808)="","",INDEX(選手一覧!$G$7:$G$2738,$F808))</f>
        <v>406</v>
      </c>
    </row>
    <row r="809" customFormat="false" ht="15" hidden="false" customHeight="false" outlineLevel="0" collapsed="false">
      <c r="A809" s="12" t="n">
        <v>805</v>
      </c>
      <c r="B809" s="10" t="s">
        <v>2420</v>
      </c>
      <c r="C809" s="10" t="s">
        <v>974</v>
      </c>
      <c r="D809" s="11" t="n">
        <v>0.00288368055555556</v>
      </c>
      <c r="E809" s="18" t="n">
        <f aca="false">ROUND((D809-$D$5)*86400,2)</f>
        <v>24.12</v>
      </c>
      <c r="F809" s="12" t="n">
        <v>1684</v>
      </c>
      <c r="G809" s="11" t="str">
        <f aca="false">IF(INDEX(選手一覧!$D$7:$D$2738,$F809)="","",INDEX(選手一覧!$D$7:$D$2738,$F809))</f>
        <v/>
      </c>
      <c r="H809" s="12" t="str">
        <f aca="false">IF(INDEX(選手一覧!$E$7:$E$2738,$F809)="","",INDEX(選手一覧!$E$7:$E$2738,$F809))</f>
        <v/>
      </c>
      <c r="I809" s="11" t="str">
        <f aca="false">IF(INDEX(選手一覧!$F$7:$F$2738,$F809)="","",INDEX(選手一覧!$F$7:$F$2738,$F809))</f>
        <v/>
      </c>
      <c r="J809" s="12" t="str">
        <f aca="false">IF(INDEX(選手一覧!$G$7:$G$2738,$F809)="","",INDEX(選手一覧!$G$7:$G$2738,$F809))</f>
        <v/>
      </c>
    </row>
    <row r="810" customFormat="false" ht="15" hidden="false" customHeight="false" outlineLevel="0" collapsed="false">
      <c r="A810" s="12" t="n">
        <v>806</v>
      </c>
      <c r="B810" s="10" t="s">
        <v>2423</v>
      </c>
      <c r="C810" s="10" t="s">
        <v>2424</v>
      </c>
      <c r="D810" s="11" t="n">
        <v>0.0028837962962963</v>
      </c>
      <c r="E810" s="18" t="n">
        <f aca="false">ROUND((D810-$D$5)*86400,2)</f>
        <v>24.13</v>
      </c>
      <c r="F810" s="12" t="n">
        <v>1687</v>
      </c>
      <c r="G810" s="11" t="str">
        <f aca="false">IF(INDEX(選手一覧!$D$7:$D$2738,$F810)="","",INDEX(選手一覧!$D$7:$D$2738,$F810))</f>
        <v/>
      </c>
      <c r="H810" s="12" t="str">
        <f aca="false">IF(INDEX(選手一覧!$E$7:$E$2738,$F810)="","",INDEX(選手一覧!$E$7:$E$2738,$F810))</f>
        <v/>
      </c>
      <c r="I810" s="11" t="str">
        <f aca="false">IF(INDEX(選手一覧!$F$7:$F$2738,$F810)="","",INDEX(選手一覧!$F$7:$F$2738,$F810))</f>
        <v/>
      </c>
      <c r="J810" s="12" t="str">
        <f aca="false">IF(INDEX(選手一覧!$G$7:$G$2738,$F810)="","",INDEX(選手一覧!$G$7:$G$2738,$F810))</f>
        <v/>
      </c>
    </row>
    <row r="811" customFormat="false" ht="15" hidden="false" customHeight="false" outlineLevel="0" collapsed="false">
      <c r="A811" s="12" t="n">
        <v>807</v>
      </c>
      <c r="B811" s="10" t="s">
        <v>2428</v>
      </c>
      <c r="C811" s="10" t="s">
        <v>844</v>
      </c>
      <c r="D811" s="11" t="n">
        <v>0.00288391203703704</v>
      </c>
      <c r="E811" s="18" t="n">
        <f aca="false">ROUND((D811-$D$5)*86400,2)</f>
        <v>24.14</v>
      </c>
      <c r="F811" s="12" t="n">
        <v>1690</v>
      </c>
      <c r="G811" s="11" t="str">
        <f aca="false">IF(INDEX(選手一覧!$D$7:$D$2738,$F811)="","",INDEX(選手一覧!$D$7:$D$2738,$F811))</f>
        <v/>
      </c>
      <c r="H811" s="12" t="str">
        <f aca="false">IF(INDEX(選手一覧!$E$7:$E$2738,$F811)="","",INDEX(選手一覧!$E$7:$E$2738,$F811))</f>
        <v/>
      </c>
      <c r="I811" s="11" t="str">
        <f aca="false">IF(INDEX(選手一覧!$F$7:$F$2738,$F811)="","",INDEX(選手一覧!$F$7:$F$2738,$F811))</f>
        <v/>
      </c>
      <c r="J811" s="12" t="str">
        <f aca="false">IF(INDEX(選手一覧!$G$7:$G$2738,$F811)="","",INDEX(選手一覧!$G$7:$G$2738,$F811))</f>
        <v/>
      </c>
    </row>
    <row r="812" customFormat="false" ht="15" hidden="false" customHeight="false" outlineLevel="0" collapsed="false">
      <c r="A812" s="12" t="n">
        <v>808</v>
      </c>
      <c r="B812" s="10" t="s">
        <v>677</v>
      </c>
      <c r="C812" s="10" t="s">
        <v>678</v>
      </c>
      <c r="D812" s="11" t="n">
        <v>0.00288391203703704</v>
      </c>
      <c r="E812" s="18" t="n">
        <f aca="false">ROUND((D812-$D$5)*86400,2)</f>
        <v>24.14</v>
      </c>
      <c r="F812" s="12" t="n">
        <v>433</v>
      </c>
      <c r="G812" s="11" t="str">
        <f aca="false">IF(INDEX(選手一覧!$D$7:$D$2738,$F812)="","",INDEX(選手一覧!$D$7:$D$2738,$F812))</f>
        <v/>
      </c>
      <c r="H812" s="12" t="str">
        <f aca="false">IF(INDEX(選手一覧!$E$7:$E$2738,$F812)="","",INDEX(選手一覧!$E$7:$E$2738,$F812))</f>
        <v/>
      </c>
      <c r="I812" s="11" t="n">
        <f aca="false">IF(INDEX(選手一覧!$F$7:$F$2738,$F812)="","",INDEX(選手一覧!$F$7:$F$2738,$F812))</f>
        <v>0.0068150462962963</v>
      </c>
      <c r="J812" s="12" t="n">
        <f aca="false">IF(INDEX(選手一覧!$G$7:$G$2738,$F812)="","",INDEX(選手一覧!$G$7:$G$2738,$F812))</f>
        <v>182</v>
      </c>
    </row>
    <row r="813" customFormat="false" ht="15" hidden="false" customHeight="false" outlineLevel="0" collapsed="false">
      <c r="A813" s="12" t="n">
        <v>809</v>
      </c>
      <c r="B813" s="10" t="s">
        <v>2431</v>
      </c>
      <c r="C813" s="10" t="s">
        <v>823</v>
      </c>
      <c r="D813" s="11" t="n">
        <v>0.00288425925925926</v>
      </c>
      <c r="E813" s="18" t="n">
        <f aca="false">ROUND((D813-$D$5)*86400,2)</f>
        <v>24.17</v>
      </c>
      <c r="F813" s="12" t="n">
        <v>1692</v>
      </c>
      <c r="G813" s="11" t="n">
        <f aca="false">IF(INDEX(選手一覧!$D$7:$D$2738,$F813)="","",INDEX(選手一覧!$D$7:$D$2738,$F813))</f>
        <v>0.0111150462962963</v>
      </c>
      <c r="H813" s="12" t="n">
        <f aca="false">IF(INDEX(選手一覧!$E$7:$E$2738,$F813)="","",INDEX(選手一覧!$E$7:$E$2738,$F813))</f>
        <v>1280</v>
      </c>
      <c r="I813" s="11" t="str">
        <f aca="false">IF(INDEX(選手一覧!$F$7:$F$2738,$F813)="","",INDEX(選手一覧!$F$7:$F$2738,$F813))</f>
        <v/>
      </c>
      <c r="J813" s="12" t="str">
        <f aca="false">IF(INDEX(選手一覧!$G$7:$G$2738,$F813)="","",INDEX(選手一覧!$G$7:$G$2738,$F813))</f>
        <v/>
      </c>
    </row>
    <row r="814" customFormat="false" ht="15" hidden="false" customHeight="false" outlineLevel="0" collapsed="false">
      <c r="A814" s="12" t="n">
        <v>810</v>
      </c>
      <c r="B814" s="10" t="s">
        <v>2264</v>
      </c>
      <c r="C814" s="10" t="s">
        <v>1777</v>
      </c>
      <c r="D814" s="11" t="n">
        <v>0.00288425925925926</v>
      </c>
      <c r="E814" s="18" t="n">
        <f aca="false">ROUND((D814-$D$5)*86400,2)</f>
        <v>24.17</v>
      </c>
      <c r="F814" s="12" t="n">
        <v>1566</v>
      </c>
      <c r="G814" s="11" t="n">
        <f aca="false">IF(INDEX(選手一覧!$D$7:$D$2738,$F814)="","",INDEX(選手一覧!$D$7:$D$2738,$F814))</f>
        <v>0.0108021990740741</v>
      </c>
      <c r="H814" s="12" t="n">
        <f aca="false">IF(INDEX(選手一覧!$E$7:$E$2738,$F814)="","",INDEX(選手一覧!$E$7:$E$2738,$F814))</f>
        <v>746</v>
      </c>
      <c r="I814" s="11" t="str">
        <f aca="false">IF(INDEX(選手一覧!$F$7:$F$2738,$F814)="","",INDEX(選手一覧!$F$7:$F$2738,$F814))</f>
        <v/>
      </c>
      <c r="J814" s="12" t="str">
        <f aca="false">IF(INDEX(選手一覧!$G$7:$G$2738,$F814)="","",INDEX(選手一覧!$G$7:$G$2738,$F814))</f>
        <v/>
      </c>
    </row>
    <row r="815" customFormat="false" ht="15" hidden="false" customHeight="false" outlineLevel="0" collapsed="false">
      <c r="A815" s="12" t="n">
        <v>811</v>
      </c>
      <c r="B815" s="10" t="s">
        <v>308</v>
      </c>
      <c r="C815" s="10" t="s">
        <v>309</v>
      </c>
      <c r="D815" s="11" t="n">
        <v>0.002884375</v>
      </c>
      <c r="E815" s="18" t="n">
        <f aca="false">ROUND((D815-$D$5)*86400,2)</f>
        <v>24.18</v>
      </c>
      <c r="F815" s="12" t="n">
        <v>175</v>
      </c>
      <c r="G815" s="11" t="n">
        <f aca="false">IF(INDEX(選手一覧!$D$7:$D$2738,$F815)="","",INDEX(選手一覧!$D$7:$D$2738,$F815))</f>
        <v>0.0106396990740741</v>
      </c>
      <c r="H815" s="12" t="n">
        <f aca="false">IF(INDEX(選手一覧!$E$7:$E$2738,$F815)="","",INDEX(選手一覧!$E$7:$E$2738,$F815))</f>
        <v>509</v>
      </c>
      <c r="I815" s="11" t="n">
        <f aca="false">IF(INDEX(選手一覧!$F$7:$F$2738,$F815)="","",INDEX(選手一覧!$F$7:$F$2738,$F815))</f>
        <v>0.00661840277777778</v>
      </c>
      <c r="J815" s="12" t="n">
        <f aca="false">IF(INDEX(選手一覧!$G$7:$G$2738,$F815)="","",INDEX(選手一覧!$G$7:$G$2738,$F815))</f>
        <v>71</v>
      </c>
    </row>
    <row r="816" customFormat="false" ht="15" hidden="false" customHeight="false" outlineLevel="0" collapsed="false">
      <c r="A816" s="12" t="n">
        <v>812</v>
      </c>
      <c r="B816" s="10" t="s">
        <v>2440</v>
      </c>
      <c r="C816" s="10" t="s">
        <v>175</v>
      </c>
      <c r="D816" s="11" t="n">
        <v>0.00288460648148148</v>
      </c>
      <c r="E816" s="18" t="n">
        <f aca="false">ROUND((D816-$D$5)*86400,2)</f>
        <v>24.2</v>
      </c>
      <c r="F816" s="12" t="n">
        <v>1698</v>
      </c>
      <c r="G816" s="11" t="str">
        <f aca="false">IF(INDEX(選手一覧!$D$7:$D$2738,$F816)="","",INDEX(選手一覧!$D$7:$D$2738,$F816))</f>
        <v/>
      </c>
      <c r="H816" s="12" t="str">
        <f aca="false">IF(INDEX(選手一覧!$E$7:$E$2738,$F816)="","",INDEX(選手一覧!$E$7:$E$2738,$F816))</f>
        <v/>
      </c>
      <c r="I816" s="11" t="str">
        <f aca="false">IF(INDEX(選手一覧!$F$7:$F$2738,$F816)="","",INDEX(選手一覧!$F$7:$F$2738,$F816))</f>
        <v/>
      </c>
      <c r="J816" s="12" t="str">
        <f aca="false">IF(INDEX(選手一覧!$G$7:$G$2738,$F816)="","",INDEX(選手一覧!$G$7:$G$2738,$F816))</f>
        <v/>
      </c>
    </row>
    <row r="817" customFormat="false" ht="15" hidden="false" customHeight="false" outlineLevel="0" collapsed="false">
      <c r="A817" s="12" t="n">
        <v>813</v>
      </c>
      <c r="B817" s="10" t="s">
        <v>2441</v>
      </c>
      <c r="C817" s="10" t="s">
        <v>2442</v>
      </c>
      <c r="D817" s="11" t="n">
        <v>0.00288472222222222</v>
      </c>
      <c r="E817" s="18" t="n">
        <f aca="false">ROUND((D817-$D$5)*86400,2)</f>
        <v>24.21</v>
      </c>
      <c r="F817" s="12" t="n">
        <v>1699</v>
      </c>
      <c r="G817" s="11" t="n">
        <f aca="false">IF(INDEX(選手一覧!$D$7:$D$2738,$F817)="","",INDEX(選手一覧!$D$7:$D$2738,$F817))</f>
        <v>0.0109369212962963</v>
      </c>
      <c r="H817" s="12" t="n">
        <f aca="false">IF(INDEX(選手一覧!$E$7:$E$2738,$F817)="","",INDEX(選手一覧!$E$7:$E$2738,$F817))</f>
        <v>979</v>
      </c>
      <c r="I817" s="11" t="str">
        <f aca="false">IF(INDEX(選手一覧!$F$7:$F$2738,$F817)="","",INDEX(選手一覧!$F$7:$F$2738,$F817))</f>
        <v/>
      </c>
      <c r="J817" s="12" t="str">
        <f aca="false">IF(INDEX(選手一覧!$G$7:$G$2738,$F817)="","",INDEX(選手一覧!$G$7:$G$2738,$F817))</f>
        <v/>
      </c>
    </row>
    <row r="818" customFormat="false" ht="15" hidden="false" customHeight="false" outlineLevel="0" collapsed="false">
      <c r="A818" s="12" t="n">
        <v>814</v>
      </c>
      <c r="B818" s="10" t="s">
        <v>2089</v>
      </c>
      <c r="C818" s="10" t="s">
        <v>2090</v>
      </c>
      <c r="D818" s="11" t="n">
        <v>0.00288472222222222</v>
      </c>
      <c r="E818" s="18" t="n">
        <f aca="false">ROUND((D818-$D$5)*86400,2)</f>
        <v>24.21</v>
      </c>
      <c r="F818" s="12" t="n">
        <v>1444</v>
      </c>
      <c r="G818" s="11" t="n">
        <f aca="false">IF(INDEX(選手一覧!$D$7:$D$2738,$F818)="","",INDEX(選手一覧!$D$7:$D$2738,$F818))</f>
        <v>0.0107611111111111</v>
      </c>
      <c r="H818" s="12" t="n">
        <f aca="false">IF(INDEX(選手一覧!$E$7:$E$2738,$F818)="","",INDEX(選手一覧!$E$7:$E$2738,$F818))</f>
        <v>682</v>
      </c>
      <c r="I818" s="11" t="str">
        <f aca="false">IF(INDEX(選手一覧!$F$7:$F$2738,$F818)="","",INDEX(選手一覧!$F$7:$F$2738,$F818))</f>
        <v/>
      </c>
      <c r="J818" s="12" t="str">
        <f aca="false">IF(INDEX(選手一覧!$G$7:$G$2738,$F818)="","",INDEX(選手一覧!$G$7:$G$2738,$F818))</f>
        <v/>
      </c>
    </row>
    <row r="819" customFormat="false" ht="15" hidden="false" customHeight="false" outlineLevel="0" collapsed="false">
      <c r="A819" s="12" t="n">
        <v>815</v>
      </c>
      <c r="B819" s="10" t="s">
        <v>2446</v>
      </c>
      <c r="C819" s="10" t="s">
        <v>2447</v>
      </c>
      <c r="D819" s="11" t="n">
        <v>0.00288483796296296</v>
      </c>
      <c r="E819" s="18" t="n">
        <f aca="false">ROUND((D819-$D$5)*86400,2)</f>
        <v>24.22</v>
      </c>
      <c r="F819" s="12" t="n">
        <v>1702</v>
      </c>
      <c r="G819" s="11" t="n">
        <f aca="false">IF(INDEX(選手一覧!$D$7:$D$2738,$F819)="","",INDEX(選手一覧!$D$7:$D$2738,$F819))</f>
        <v>0.0108736111111111</v>
      </c>
      <c r="H819" s="12" t="n">
        <f aca="false">IF(INDEX(選手一覧!$E$7:$E$2738,$F819)="","",INDEX(選手一覧!$E$7:$E$2738,$F819))</f>
        <v>877</v>
      </c>
      <c r="I819" s="11" t="str">
        <f aca="false">IF(INDEX(選手一覧!$F$7:$F$2738,$F819)="","",INDEX(選手一覧!$F$7:$F$2738,$F819))</f>
        <v/>
      </c>
      <c r="J819" s="12" t="str">
        <f aca="false">IF(INDEX(選手一覧!$G$7:$G$2738,$F819)="","",INDEX(選手一覧!$G$7:$G$2738,$F819))</f>
        <v/>
      </c>
    </row>
    <row r="820" customFormat="false" ht="15" hidden="false" customHeight="false" outlineLevel="0" collapsed="false">
      <c r="A820" s="12" t="n">
        <v>816</v>
      </c>
      <c r="B820" s="10" t="s">
        <v>2452</v>
      </c>
      <c r="C820" s="10" t="s">
        <v>1023</v>
      </c>
      <c r="D820" s="11" t="n">
        <v>0.00288506944444444</v>
      </c>
      <c r="E820" s="18" t="n">
        <f aca="false">ROUND((D820-$D$5)*86400,2)</f>
        <v>24.24</v>
      </c>
      <c r="F820" s="12" t="n">
        <v>1706</v>
      </c>
      <c r="G820" s="11" t="str">
        <f aca="false">IF(INDEX(選手一覧!$D$7:$D$2738,$F820)="","",INDEX(選手一覧!$D$7:$D$2738,$F820))</f>
        <v/>
      </c>
      <c r="H820" s="12" t="str">
        <f aca="false">IF(INDEX(選手一覧!$E$7:$E$2738,$F820)="","",INDEX(選手一覧!$E$7:$E$2738,$F820))</f>
        <v/>
      </c>
      <c r="I820" s="11" t="str">
        <f aca="false">IF(INDEX(選手一覧!$F$7:$F$2738,$F820)="","",INDEX(選手一覧!$F$7:$F$2738,$F820))</f>
        <v/>
      </c>
      <c r="J820" s="12" t="str">
        <f aca="false">IF(INDEX(選手一覧!$G$7:$G$2738,$F820)="","",INDEX(選手一覧!$G$7:$G$2738,$F820))</f>
        <v/>
      </c>
    </row>
    <row r="821" customFormat="false" ht="15" hidden="false" customHeight="false" outlineLevel="0" collapsed="false">
      <c r="A821" s="12" t="n">
        <v>817</v>
      </c>
      <c r="B821" s="10" t="s">
        <v>2453</v>
      </c>
      <c r="C821" s="10" t="s">
        <v>505</v>
      </c>
      <c r="D821" s="11" t="n">
        <v>0.00288506944444444</v>
      </c>
      <c r="E821" s="18" t="n">
        <f aca="false">ROUND((D821-$D$5)*86400,2)</f>
        <v>24.24</v>
      </c>
      <c r="F821" s="12" t="n">
        <v>1707</v>
      </c>
      <c r="G821" s="11" t="n">
        <f aca="false">IF(INDEX(選手一覧!$D$7:$D$2738,$F821)="","",INDEX(選手一覧!$D$7:$D$2738,$F821))</f>
        <v>0.0108982638888889</v>
      </c>
      <c r="H821" s="12" t="n">
        <f aca="false">IF(INDEX(選手一覧!$E$7:$E$2738,$F821)="","",INDEX(選手一覧!$E$7:$E$2738,$F821))</f>
        <v>919</v>
      </c>
      <c r="I821" s="11" t="str">
        <f aca="false">IF(INDEX(選手一覧!$F$7:$F$2738,$F821)="","",INDEX(選手一覧!$F$7:$F$2738,$F821))</f>
        <v/>
      </c>
      <c r="J821" s="12" t="str">
        <f aca="false">IF(INDEX(選手一覧!$G$7:$G$2738,$F821)="","",INDEX(選手一覧!$G$7:$G$2738,$F821))</f>
        <v/>
      </c>
    </row>
    <row r="822" customFormat="false" ht="15" hidden="false" customHeight="false" outlineLevel="0" collapsed="false">
      <c r="A822" s="12" t="n">
        <v>818</v>
      </c>
      <c r="B822" s="10" t="s">
        <v>2458</v>
      </c>
      <c r="C822" s="10" t="s">
        <v>590</v>
      </c>
      <c r="D822" s="11" t="n">
        <v>0.00288518518518519</v>
      </c>
      <c r="E822" s="18" t="n">
        <f aca="false">ROUND((D822-$D$5)*86400,2)</f>
        <v>24.25</v>
      </c>
      <c r="F822" s="12" t="n">
        <v>1711</v>
      </c>
      <c r="G822" s="11" t="str">
        <f aca="false">IF(INDEX(選手一覧!$D$7:$D$2738,$F822)="","",INDEX(選手一覧!$D$7:$D$2738,$F822))</f>
        <v/>
      </c>
      <c r="H822" s="12" t="str">
        <f aca="false">IF(INDEX(選手一覧!$E$7:$E$2738,$F822)="","",INDEX(選手一覧!$E$7:$E$2738,$F822))</f>
        <v/>
      </c>
      <c r="I822" s="11" t="str">
        <f aca="false">IF(INDEX(選手一覧!$F$7:$F$2738,$F822)="","",INDEX(選手一覧!$F$7:$F$2738,$F822))</f>
        <v/>
      </c>
      <c r="J822" s="12" t="str">
        <f aca="false">IF(INDEX(選手一覧!$G$7:$G$2738,$F822)="","",INDEX(選手一覧!$G$7:$G$2738,$F822))</f>
        <v/>
      </c>
    </row>
    <row r="823" customFormat="false" ht="15" hidden="false" customHeight="false" outlineLevel="0" collapsed="false">
      <c r="A823" s="12" t="n">
        <v>819</v>
      </c>
      <c r="B823" s="10" t="s">
        <v>909</v>
      </c>
      <c r="C823" s="10" t="s">
        <v>910</v>
      </c>
      <c r="D823" s="11" t="n">
        <v>0.00288518518518519</v>
      </c>
      <c r="E823" s="18" t="n">
        <f aca="false">ROUND((D823-$D$5)*86400,2)</f>
        <v>24.25</v>
      </c>
      <c r="F823" s="12" t="n">
        <v>600</v>
      </c>
      <c r="G823" s="11" t="str">
        <f aca="false">IF(INDEX(選手一覧!$D$7:$D$2738,$F823)="","",INDEX(選手一覧!$D$7:$D$2738,$F823))</f>
        <v/>
      </c>
      <c r="H823" s="12" t="str">
        <f aca="false">IF(INDEX(選手一覧!$E$7:$E$2738,$F823)="","",INDEX(選手一覧!$E$7:$E$2738,$F823))</f>
        <v/>
      </c>
      <c r="I823" s="11" t="n">
        <f aca="false">IF(INDEX(選手一覧!$F$7:$F$2738,$F823)="","",INDEX(選手一覧!$F$7:$F$2738,$F823))</f>
        <v>0.00691747685185185</v>
      </c>
      <c r="J823" s="12" t="n">
        <f aca="false">IF(INDEX(選手一覧!$G$7:$G$2738,$F823)="","",INDEX(選手一覧!$G$7:$G$2738,$F823))</f>
        <v>253</v>
      </c>
    </row>
    <row r="824" customFormat="false" ht="15" hidden="false" customHeight="false" outlineLevel="0" collapsed="false">
      <c r="A824" s="12" t="n">
        <v>820</v>
      </c>
      <c r="B824" s="10" t="s">
        <v>429</v>
      </c>
      <c r="C824" s="10" t="s">
        <v>420</v>
      </c>
      <c r="D824" s="11" t="n">
        <v>0.00288518518518519</v>
      </c>
      <c r="E824" s="18" t="n">
        <f aca="false">ROUND((D824-$D$5)*86400,2)</f>
        <v>24.25</v>
      </c>
      <c r="F824" s="12" t="n">
        <v>262</v>
      </c>
      <c r="G824" s="11" t="n">
        <f aca="false">IF(INDEX(選手一覧!$D$7:$D$2738,$F824)="","",INDEX(選手一覧!$D$7:$D$2738,$F824))</f>
        <v>0.0106591435185185</v>
      </c>
      <c r="H824" s="12" t="n">
        <f aca="false">IF(INDEX(選手一覧!$E$7:$E$2738,$F824)="","",INDEX(選手一覧!$E$7:$E$2738,$F824))</f>
        <v>534</v>
      </c>
      <c r="I824" s="11" t="n">
        <f aca="false">IF(INDEX(選手一覧!$F$7:$F$2738,$F824)="","",INDEX(選手一覧!$F$7:$F$2738,$F824))</f>
        <v>0.00670185185185185</v>
      </c>
      <c r="J824" s="12" t="n">
        <f aca="false">IF(INDEX(選手一覧!$G$7:$G$2738,$F824)="","",INDEX(選手一覧!$G$7:$G$2738,$F824))</f>
        <v>109</v>
      </c>
    </row>
    <row r="825" customFormat="false" ht="15" hidden="false" customHeight="false" outlineLevel="0" collapsed="false">
      <c r="A825" s="12" t="n">
        <v>821</v>
      </c>
      <c r="B825" s="10" t="s">
        <v>144</v>
      </c>
      <c r="C825" s="10" t="s">
        <v>145</v>
      </c>
      <c r="D825" s="11" t="n">
        <v>0.00288541666666667</v>
      </c>
      <c r="E825" s="18" t="n">
        <f aca="false">ROUND((D825-$D$5)*86400,2)</f>
        <v>24.27</v>
      </c>
      <c r="F825" s="12" t="n">
        <v>69</v>
      </c>
      <c r="G825" s="11" t="n">
        <f aca="false">IF(INDEX(選手一覧!$D$7:$D$2738,$F825)="","",INDEX(選手一覧!$D$7:$D$2738,$F825))</f>
        <v>0.0106737268518519</v>
      </c>
      <c r="H825" s="12" t="n">
        <f aca="false">IF(INDEX(選手一覧!$E$7:$E$2738,$F825)="","",INDEX(選手一覧!$E$7:$E$2738,$F825))</f>
        <v>553</v>
      </c>
      <c r="I825" s="11" t="n">
        <f aca="false">IF(INDEX(選手一覧!$F$7:$F$2738,$F825)="","",INDEX(選手一覧!$F$7:$F$2738,$F825))</f>
        <v>0.00646342592592593</v>
      </c>
      <c r="J825" s="12" t="n">
        <f aca="false">IF(INDEX(選手一覧!$G$7:$G$2738,$F825)="","",INDEX(選手一覧!$G$7:$G$2738,$F825))</f>
        <v>28</v>
      </c>
    </row>
    <row r="826" customFormat="false" ht="15" hidden="false" customHeight="false" outlineLevel="0" collapsed="false">
      <c r="A826" s="12" t="n">
        <v>822</v>
      </c>
      <c r="B826" s="10" t="s">
        <v>669</v>
      </c>
      <c r="C826" s="10" t="s">
        <v>83</v>
      </c>
      <c r="D826" s="11" t="n">
        <v>0.00288576388888889</v>
      </c>
      <c r="E826" s="18" t="n">
        <f aca="false">ROUND((D826-$D$5)*86400,2)</f>
        <v>24.3</v>
      </c>
      <c r="F826" s="12" t="n">
        <v>426</v>
      </c>
      <c r="G826" s="11" t="n">
        <f aca="false">IF(INDEX(選手一覧!$D$7:$D$2738,$F826)="","",INDEX(選手一覧!$D$7:$D$2738,$F826))</f>
        <v>0.0103261574074074</v>
      </c>
      <c r="H826" s="12" t="n">
        <f aca="false">IF(INDEX(選手一覧!$E$7:$E$2738,$F826)="","",INDEX(選手一覧!$E$7:$E$2738,$F826))</f>
        <v>179</v>
      </c>
      <c r="I826" s="11" t="str">
        <f aca="false">IF(INDEX(選手一覧!$F$7:$F$2738,$F826)="","",INDEX(選手一覧!$F$7:$F$2738,$F826))</f>
        <v/>
      </c>
      <c r="J826" s="12" t="str">
        <f aca="false">IF(INDEX(選手一覧!$G$7:$G$2738,$F826)="","",INDEX(選手一覧!$G$7:$G$2738,$F826))</f>
        <v/>
      </c>
    </row>
    <row r="827" customFormat="false" ht="15" hidden="false" customHeight="false" outlineLevel="0" collapsed="false">
      <c r="A827" s="12" t="n">
        <v>823</v>
      </c>
      <c r="B827" s="10" t="s">
        <v>2469</v>
      </c>
      <c r="C827" s="10" t="s">
        <v>460</v>
      </c>
      <c r="D827" s="11" t="n">
        <v>0.00288576388888889</v>
      </c>
      <c r="E827" s="18" t="n">
        <f aca="false">ROUND((D827-$D$5)*86400,2)</f>
        <v>24.3</v>
      </c>
      <c r="F827" s="12" t="n">
        <v>1719</v>
      </c>
      <c r="G827" s="11" t="n">
        <f aca="false">IF(INDEX(選手一覧!$D$7:$D$2738,$F827)="","",INDEX(選手一覧!$D$7:$D$2738,$F827))</f>
        <v>0.0111222222222222</v>
      </c>
      <c r="H827" s="12" t="n">
        <f aca="false">IF(INDEX(選手一覧!$E$7:$E$2738,$F827)="","",INDEX(選手一覧!$E$7:$E$2738,$F827))</f>
        <v>1290</v>
      </c>
      <c r="I827" s="11" t="str">
        <f aca="false">IF(INDEX(選手一覧!$F$7:$F$2738,$F827)="","",INDEX(選手一覧!$F$7:$F$2738,$F827))</f>
        <v/>
      </c>
      <c r="J827" s="12" t="str">
        <f aca="false">IF(INDEX(選手一覧!$G$7:$G$2738,$F827)="","",INDEX(選手一覧!$G$7:$G$2738,$F827))</f>
        <v/>
      </c>
    </row>
    <row r="828" customFormat="false" ht="15" hidden="false" customHeight="false" outlineLevel="0" collapsed="false">
      <c r="A828" s="12" t="n">
        <v>824</v>
      </c>
      <c r="B828" s="10" t="s">
        <v>2471</v>
      </c>
      <c r="C828" s="10" t="s">
        <v>570</v>
      </c>
      <c r="D828" s="11" t="n">
        <v>0.00288599537037037</v>
      </c>
      <c r="E828" s="18" t="n">
        <f aca="false">ROUND((D828-$D$5)*86400,2)</f>
        <v>24.32</v>
      </c>
      <c r="F828" s="12" t="n">
        <v>1721</v>
      </c>
      <c r="G828" s="11" t="n">
        <f aca="false">IF(INDEX(選手一覧!$D$7:$D$2738,$F828)="","",INDEX(選手一覧!$D$7:$D$2738,$F828))</f>
        <v>0.0108726851851852</v>
      </c>
      <c r="H828" s="12" t="n">
        <f aca="false">IF(INDEX(選手一覧!$E$7:$E$2738,$F828)="","",INDEX(選手一覧!$E$7:$E$2738,$F828))</f>
        <v>873</v>
      </c>
      <c r="I828" s="11" t="str">
        <f aca="false">IF(INDEX(選手一覧!$F$7:$F$2738,$F828)="","",INDEX(選手一覧!$F$7:$F$2738,$F828))</f>
        <v/>
      </c>
      <c r="J828" s="12" t="str">
        <f aca="false">IF(INDEX(選手一覧!$G$7:$G$2738,$F828)="","",INDEX(選手一覧!$G$7:$G$2738,$F828))</f>
        <v/>
      </c>
    </row>
    <row r="829" customFormat="false" ht="15" hidden="false" customHeight="false" outlineLevel="0" collapsed="false">
      <c r="A829" s="12" t="n">
        <v>825</v>
      </c>
      <c r="B829" s="10" t="s">
        <v>2476</v>
      </c>
      <c r="C829" s="10" t="s">
        <v>377</v>
      </c>
      <c r="D829" s="11" t="n">
        <v>0.00288611111111111</v>
      </c>
      <c r="E829" s="18" t="n">
        <f aca="false">ROUND((D829-$D$5)*86400,2)</f>
        <v>24.33</v>
      </c>
      <c r="F829" s="12" t="n">
        <v>1726</v>
      </c>
      <c r="G829" s="11" t="str">
        <f aca="false">IF(INDEX(選手一覧!$D$7:$D$2738,$F829)="","",INDEX(選手一覧!$D$7:$D$2738,$F829))</f>
        <v/>
      </c>
      <c r="H829" s="12" t="str">
        <f aca="false">IF(INDEX(選手一覧!$E$7:$E$2738,$F829)="","",INDEX(選手一覧!$E$7:$E$2738,$F829))</f>
        <v/>
      </c>
      <c r="I829" s="11" t="str">
        <f aca="false">IF(INDEX(選手一覧!$F$7:$F$2738,$F829)="","",INDEX(選手一覧!$F$7:$F$2738,$F829))</f>
        <v/>
      </c>
      <c r="J829" s="12" t="str">
        <f aca="false">IF(INDEX(選手一覧!$G$7:$G$2738,$F829)="","",INDEX(選手一覧!$G$7:$G$2738,$F829))</f>
        <v/>
      </c>
    </row>
    <row r="830" customFormat="false" ht="15" hidden="false" customHeight="false" outlineLevel="0" collapsed="false">
      <c r="A830" s="12" t="n">
        <v>826</v>
      </c>
      <c r="B830" s="10" t="s">
        <v>710</v>
      </c>
      <c r="C830" s="10" t="s">
        <v>49</v>
      </c>
      <c r="D830" s="11" t="n">
        <v>0.00288611111111111</v>
      </c>
      <c r="E830" s="18" t="n">
        <f aca="false">ROUND((D830-$D$5)*86400,2)</f>
        <v>24.33</v>
      </c>
      <c r="F830" s="12" t="n">
        <v>456</v>
      </c>
      <c r="G830" s="11" t="n">
        <f aca="false">IF(INDEX(選手一覧!$D$7:$D$2738,$F830)="","",INDEX(選手一覧!$D$7:$D$2738,$F830))</f>
        <v>0.010340162037037</v>
      </c>
      <c r="H830" s="12" t="n">
        <f aca="false">IF(INDEX(選手一覧!$E$7:$E$2738,$F830)="","",INDEX(選手一覧!$E$7:$E$2738,$F830))</f>
        <v>192</v>
      </c>
      <c r="I830" s="11" t="str">
        <f aca="false">IF(INDEX(選手一覧!$F$7:$F$2738,$F830)="","",INDEX(選手一覧!$F$7:$F$2738,$F830))</f>
        <v/>
      </c>
      <c r="J830" s="12" t="str">
        <f aca="false">IF(INDEX(選手一覧!$G$7:$G$2738,$F830)="","",INDEX(選手一覧!$G$7:$G$2738,$F830))</f>
        <v/>
      </c>
    </row>
    <row r="831" customFormat="false" ht="15" hidden="false" customHeight="false" outlineLevel="0" collapsed="false">
      <c r="A831" s="12" t="n">
        <v>827</v>
      </c>
      <c r="B831" s="10" t="s">
        <v>2478</v>
      </c>
      <c r="C831" s="10" t="s">
        <v>705</v>
      </c>
      <c r="D831" s="11" t="n">
        <v>0.00288657407407407</v>
      </c>
      <c r="E831" s="18" t="n">
        <f aca="false">ROUND((D831-$D$5)*86400,2)</f>
        <v>24.37</v>
      </c>
      <c r="F831" s="12" t="n">
        <v>1728</v>
      </c>
      <c r="G831" s="11" t="str">
        <f aca="false">IF(INDEX(選手一覧!$D$7:$D$2738,$F831)="","",INDEX(選手一覧!$D$7:$D$2738,$F831))</f>
        <v/>
      </c>
      <c r="H831" s="12" t="str">
        <f aca="false">IF(INDEX(選手一覧!$E$7:$E$2738,$F831)="","",INDEX(選手一覧!$E$7:$E$2738,$F831))</f>
        <v/>
      </c>
      <c r="I831" s="11" t="n">
        <f aca="false">IF(INDEX(選手一覧!$F$7:$F$2738,$F831)="","",INDEX(選手一覧!$F$7:$F$2738,$F831))</f>
        <v>0.00825486111111111</v>
      </c>
      <c r="J831" s="12" t="n">
        <f aca="false">IF(INDEX(選手一覧!$G$7:$G$2738,$F831)="","",INDEX(選手一覧!$G$7:$G$2738,$F831))</f>
        <v>1244</v>
      </c>
    </row>
    <row r="832" customFormat="false" ht="15" hidden="false" customHeight="false" outlineLevel="0" collapsed="false">
      <c r="A832" s="12" t="n">
        <v>828</v>
      </c>
      <c r="B832" s="10" t="s">
        <v>2481</v>
      </c>
      <c r="C832" s="10" t="s">
        <v>405</v>
      </c>
      <c r="D832" s="11" t="n">
        <v>0.00288657407407407</v>
      </c>
      <c r="E832" s="18" t="n">
        <f aca="false">ROUND((D832-$D$5)*86400,2)</f>
        <v>24.37</v>
      </c>
      <c r="F832" s="12" t="n">
        <v>1730</v>
      </c>
      <c r="G832" s="11" t="n">
        <f aca="false">IF(INDEX(選手一覧!$D$7:$D$2738,$F832)="","",INDEX(選手一覧!$D$7:$D$2738,$F832))</f>
        <v>0.0108834490740741</v>
      </c>
      <c r="H832" s="12" t="n">
        <f aca="false">IF(INDEX(選手一覧!$E$7:$E$2738,$F832)="","",INDEX(選手一覧!$E$7:$E$2738,$F832))</f>
        <v>897</v>
      </c>
      <c r="I832" s="11" t="str">
        <f aca="false">IF(INDEX(選手一覧!$F$7:$F$2738,$F832)="","",INDEX(選手一覧!$F$7:$F$2738,$F832))</f>
        <v/>
      </c>
      <c r="J832" s="12" t="str">
        <f aca="false">IF(INDEX(選手一覧!$G$7:$G$2738,$F832)="","",INDEX(選手一覧!$G$7:$G$2738,$F832))</f>
        <v/>
      </c>
    </row>
    <row r="833" customFormat="false" ht="15" hidden="false" customHeight="false" outlineLevel="0" collapsed="false">
      <c r="A833" s="12" t="n">
        <v>829</v>
      </c>
      <c r="B833" s="10" t="s">
        <v>1302</v>
      </c>
      <c r="C833" s="10" t="s">
        <v>126</v>
      </c>
      <c r="D833" s="11" t="n">
        <v>0.00288657407407407</v>
      </c>
      <c r="E833" s="18" t="n">
        <f aca="false">ROUND((D833-$D$5)*86400,2)</f>
        <v>24.37</v>
      </c>
      <c r="F833" s="12" t="n">
        <v>886</v>
      </c>
      <c r="G833" s="11" t="n">
        <f aca="false">IF(INDEX(選手一覧!$D$7:$D$2738,$F833)="","",INDEX(選手一覧!$D$7:$D$2738,$F833))</f>
        <v>0.0105475694444444</v>
      </c>
      <c r="H833" s="12" t="n">
        <f aca="false">IF(INDEX(選手一覧!$E$7:$E$2738,$F833)="","",INDEX(選手一覧!$E$7:$E$2738,$F833))</f>
        <v>394</v>
      </c>
      <c r="I833" s="11" t="str">
        <f aca="false">IF(INDEX(選手一覧!$F$7:$F$2738,$F833)="","",INDEX(選手一覧!$F$7:$F$2738,$F833))</f>
        <v/>
      </c>
      <c r="J833" s="12" t="str">
        <f aca="false">IF(INDEX(選手一覧!$G$7:$G$2738,$F833)="","",INDEX(選手一覧!$G$7:$G$2738,$F833))</f>
        <v/>
      </c>
    </row>
    <row r="834" customFormat="false" ht="15" hidden="false" customHeight="false" outlineLevel="0" collapsed="false">
      <c r="A834" s="12" t="n">
        <v>830</v>
      </c>
      <c r="B834" s="10" t="s">
        <v>2489</v>
      </c>
      <c r="C834" s="10" t="s">
        <v>2490</v>
      </c>
      <c r="D834" s="11" t="n">
        <v>0.00288668981481482</v>
      </c>
      <c r="E834" s="18" t="n">
        <f aca="false">ROUND((D834-$D$5)*86400,2)</f>
        <v>24.38</v>
      </c>
      <c r="F834" s="12" t="n">
        <v>1736</v>
      </c>
      <c r="G834" s="11" t="str">
        <f aca="false">IF(INDEX(選手一覧!$D$7:$D$2738,$F834)="","",INDEX(選手一覧!$D$7:$D$2738,$F834))</f>
        <v/>
      </c>
      <c r="H834" s="12" t="str">
        <f aca="false">IF(INDEX(選手一覧!$E$7:$E$2738,$F834)="","",INDEX(選手一覧!$E$7:$E$2738,$F834))</f>
        <v/>
      </c>
      <c r="I834" s="11" t="str">
        <f aca="false">IF(INDEX(選手一覧!$F$7:$F$2738,$F834)="","",INDEX(選手一覧!$F$7:$F$2738,$F834))</f>
        <v/>
      </c>
      <c r="J834" s="12" t="str">
        <f aca="false">IF(INDEX(選手一覧!$G$7:$G$2738,$F834)="","",INDEX(選手一覧!$G$7:$G$2738,$F834))</f>
        <v/>
      </c>
    </row>
    <row r="835" customFormat="false" ht="15" hidden="false" customHeight="false" outlineLevel="0" collapsed="false">
      <c r="A835" s="12" t="n">
        <v>831</v>
      </c>
      <c r="B835" s="10" t="s">
        <v>2493</v>
      </c>
      <c r="C835" s="10" t="s">
        <v>263</v>
      </c>
      <c r="D835" s="11" t="n">
        <v>0.00288680555555556</v>
      </c>
      <c r="E835" s="18" t="n">
        <f aca="false">ROUND((D835-$D$5)*86400,2)</f>
        <v>24.39</v>
      </c>
      <c r="F835" s="12" t="n">
        <v>1738</v>
      </c>
      <c r="G835" s="11" t="str">
        <f aca="false">IF(INDEX(選手一覧!$D$7:$D$2738,$F835)="","",INDEX(選手一覧!$D$7:$D$2738,$F835))</f>
        <v/>
      </c>
      <c r="H835" s="12" t="str">
        <f aca="false">IF(INDEX(選手一覧!$E$7:$E$2738,$F835)="","",INDEX(選手一覧!$E$7:$E$2738,$F835))</f>
        <v/>
      </c>
      <c r="I835" s="11" t="str">
        <f aca="false">IF(INDEX(選手一覧!$F$7:$F$2738,$F835)="","",INDEX(選手一覧!$F$7:$F$2738,$F835))</f>
        <v/>
      </c>
      <c r="J835" s="12" t="str">
        <f aca="false">IF(INDEX(選手一覧!$G$7:$G$2738,$F835)="","",INDEX(選手一覧!$G$7:$G$2738,$F835))</f>
        <v/>
      </c>
    </row>
    <row r="836" customFormat="false" ht="15" hidden="false" customHeight="false" outlineLevel="0" collapsed="false">
      <c r="A836" s="12" t="n">
        <v>832</v>
      </c>
      <c r="B836" s="10" t="s">
        <v>2046</v>
      </c>
      <c r="C836" s="10" t="s">
        <v>1122</v>
      </c>
      <c r="D836" s="11" t="n">
        <v>0.0028869212962963</v>
      </c>
      <c r="E836" s="18" t="n">
        <f aca="false">ROUND((D836-$D$5)*86400,2)</f>
        <v>24.4</v>
      </c>
      <c r="F836" s="12" t="n">
        <v>1414</v>
      </c>
      <c r="G836" s="11" t="str">
        <f aca="false">IF(INDEX(選手一覧!$D$7:$D$2738,$F836)="","",INDEX(選手一覧!$D$7:$D$2738,$F836))</f>
        <v/>
      </c>
      <c r="H836" s="12" t="str">
        <f aca="false">IF(INDEX(選手一覧!$E$7:$E$2738,$F836)="","",INDEX(選手一覧!$E$7:$E$2738,$F836))</f>
        <v/>
      </c>
      <c r="I836" s="11" t="n">
        <f aca="false">IF(INDEX(選手一覧!$F$7:$F$2738,$F836)="","",INDEX(選手一覧!$F$7:$F$2738,$F836))</f>
        <v>0.00731782407407407</v>
      </c>
      <c r="J836" s="12" t="n">
        <f aca="false">IF(INDEX(選手一覧!$G$7:$G$2738,$F836)="","",INDEX(選手一覧!$G$7:$G$2738,$F836))</f>
        <v>667</v>
      </c>
    </row>
    <row r="837" customFormat="false" ht="15" hidden="false" customHeight="false" outlineLevel="0" collapsed="false">
      <c r="A837" s="12" t="n">
        <v>833</v>
      </c>
      <c r="B837" s="10" t="s">
        <v>2496</v>
      </c>
      <c r="C837" s="10" t="s">
        <v>2497</v>
      </c>
      <c r="D837" s="11" t="n">
        <v>0.0028869212962963</v>
      </c>
      <c r="E837" s="18" t="n">
        <f aca="false">ROUND((D837-$D$5)*86400,2)</f>
        <v>24.4</v>
      </c>
      <c r="F837" s="12" t="n">
        <v>1741</v>
      </c>
      <c r="G837" s="11" t="n">
        <f aca="false">IF(INDEX(選手一覧!$D$7:$D$2738,$F837)="","",INDEX(選手一覧!$D$7:$D$2738,$F837))</f>
        <v>0.0110190972222222</v>
      </c>
      <c r="H837" s="12" t="n">
        <f aca="false">IF(INDEX(選手一覧!$E$7:$E$2738,$F837)="","",INDEX(選手一覧!$E$7:$E$2738,$F837))</f>
        <v>1128</v>
      </c>
      <c r="I837" s="11" t="str">
        <f aca="false">IF(INDEX(選手一覧!$F$7:$F$2738,$F837)="","",INDEX(選手一覧!$F$7:$F$2738,$F837))</f>
        <v/>
      </c>
      <c r="J837" s="12" t="str">
        <f aca="false">IF(INDEX(選手一覧!$G$7:$G$2738,$F837)="","",INDEX(選手一覧!$G$7:$G$2738,$F837))</f>
        <v/>
      </c>
    </row>
    <row r="838" customFormat="false" ht="15" hidden="false" customHeight="false" outlineLevel="0" collapsed="false">
      <c r="A838" s="12" t="n">
        <v>834</v>
      </c>
      <c r="B838" s="10" t="s">
        <v>2502</v>
      </c>
      <c r="C838" s="10" t="s">
        <v>1616</v>
      </c>
      <c r="D838" s="11" t="n">
        <v>0.00288703703703704</v>
      </c>
      <c r="E838" s="18" t="n">
        <f aca="false">ROUND((D838-$D$5)*86400,2)</f>
        <v>24.41</v>
      </c>
      <c r="F838" s="12" t="n">
        <v>1745</v>
      </c>
      <c r="G838" s="11" t="str">
        <f aca="false">IF(INDEX(選手一覧!$D$7:$D$2738,$F838)="","",INDEX(選手一覧!$D$7:$D$2738,$F838))</f>
        <v/>
      </c>
      <c r="H838" s="12" t="str">
        <f aca="false">IF(INDEX(選手一覧!$E$7:$E$2738,$F838)="","",INDEX(選手一覧!$E$7:$E$2738,$F838))</f>
        <v/>
      </c>
      <c r="I838" s="11" t="str">
        <f aca="false">IF(INDEX(選手一覧!$F$7:$F$2738,$F838)="","",INDEX(選手一覧!$F$7:$F$2738,$F838))</f>
        <v/>
      </c>
      <c r="J838" s="12" t="str">
        <f aca="false">IF(INDEX(選手一覧!$G$7:$G$2738,$F838)="","",INDEX(選手一覧!$G$7:$G$2738,$F838))</f>
        <v/>
      </c>
    </row>
    <row r="839" customFormat="false" ht="15" hidden="false" customHeight="false" outlineLevel="0" collapsed="false">
      <c r="A839" s="12" t="n">
        <v>835</v>
      </c>
      <c r="B839" s="10" t="s">
        <v>2177</v>
      </c>
      <c r="C839" s="10" t="s">
        <v>1381</v>
      </c>
      <c r="D839" s="11" t="n">
        <v>0.00288703703703704</v>
      </c>
      <c r="E839" s="18" t="n">
        <f aca="false">ROUND((D839-$D$5)*86400,2)</f>
        <v>24.41</v>
      </c>
      <c r="F839" s="12" t="n">
        <v>1506</v>
      </c>
      <c r="G839" s="11" t="n">
        <f aca="false">IF(INDEX(選手一覧!$D$7:$D$2738,$F839)="","",INDEX(選手一覧!$D$7:$D$2738,$F839))</f>
        <v>0.0107875</v>
      </c>
      <c r="H839" s="12" t="n">
        <f aca="false">IF(INDEX(選手一覧!$E$7:$E$2738,$F839)="","",INDEX(選手一覧!$E$7:$E$2738,$F839))</f>
        <v>716</v>
      </c>
      <c r="I839" s="11" t="str">
        <f aca="false">IF(INDEX(選手一覧!$F$7:$F$2738,$F839)="","",INDEX(選手一覧!$F$7:$F$2738,$F839))</f>
        <v/>
      </c>
      <c r="J839" s="12" t="str">
        <f aca="false">IF(INDEX(選手一覧!$G$7:$G$2738,$F839)="","",INDEX(選手一覧!$G$7:$G$2738,$F839))</f>
        <v/>
      </c>
    </row>
    <row r="840" customFormat="false" ht="15" hidden="false" customHeight="false" outlineLevel="0" collapsed="false">
      <c r="A840" s="12" t="n">
        <v>836</v>
      </c>
      <c r="B840" s="10" t="s">
        <v>2508</v>
      </c>
      <c r="C840" s="10" t="s">
        <v>105</v>
      </c>
      <c r="D840" s="11" t="n">
        <v>0.00288703703703704</v>
      </c>
      <c r="E840" s="18" t="n">
        <f aca="false">ROUND((D840-$D$5)*86400,2)</f>
        <v>24.41</v>
      </c>
      <c r="F840" s="12" t="n">
        <v>1750</v>
      </c>
      <c r="G840" s="11" t="str">
        <f aca="false">IF(INDEX(選手一覧!$D$7:$D$2738,$F840)="","",INDEX(選手一覧!$D$7:$D$2738,$F840))</f>
        <v/>
      </c>
      <c r="H840" s="12" t="str">
        <f aca="false">IF(INDEX(選手一覧!$E$7:$E$2738,$F840)="","",INDEX(選手一覧!$E$7:$E$2738,$F840))</f>
        <v/>
      </c>
      <c r="I840" s="11" t="str">
        <f aca="false">IF(INDEX(選手一覧!$F$7:$F$2738,$F840)="","",INDEX(選手一覧!$F$7:$F$2738,$F840))</f>
        <v/>
      </c>
      <c r="J840" s="12" t="str">
        <f aca="false">IF(INDEX(選手一覧!$G$7:$G$2738,$F840)="","",INDEX(選手一覧!$G$7:$G$2738,$F840))</f>
        <v/>
      </c>
    </row>
    <row r="841" customFormat="false" ht="15" hidden="false" customHeight="false" outlineLevel="0" collapsed="false">
      <c r="A841" s="12" t="n">
        <v>837</v>
      </c>
      <c r="B841" s="10" t="s">
        <v>1691</v>
      </c>
      <c r="C841" s="10" t="s">
        <v>1692</v>
      </c>
      <c r="D841" s="11" t="n">
        <v>0.00288715277777778</v>
      </c>
      <c r="E841" s="18" t="n">
        <f aca="false">ROUND((D841-$D$5)*86400,2)</f>
        <v>24.42</v>
      </c>
      <c r="F841" s="12" t="n">
        <v>1165</v>
      </c>
      <c r="G841" s="11" t="n">
        <f aca="false">IF(INDEX(選手一覧!$D$7:$D$2738,$F841)="","",INDEX(選手一覧!$D$7:$D$2738,$F841))</f>
        <v>0.0106582175925926</v>
      </c>
      <c r="H841" s="12" t="n">
        <f aca="false">IF(INDEX(選手一覧!$E$7:$E$2738,$F841)="","",INDEX(選手一覧!$E$7:$E$2738,$F841))</f>
        <v>533</v>
      </c>
      <c r="I841" s="11" t="str">
        <f aca="false">IF(INDEX(選手一覧!$F$7:$F$2738,$F841)="","",INDEX(選手一覧!$F$7:$F$2738,$F841))</f>
        <v/>
      </c>
      <c r="J841" s="12" t="str">
        <f aca="false">IF(INDEX(選手一覧!$G$7:$G$2738,$F841)="","",INDEX(選手一覧!$G$7:$G$2738,$F841))</f>
        <v/>
      </c>
    </row>
    <row r="842" customFormat="false" ht="15" hidden="false" customHeight="false" outlineLevel="0" collapsed="false">
      <c r="A842" s="12" t="n">
        <v>838</v>
      </c>
      <c r="B842" s="10" t="s">
        <v>2513</v>
      </c>
      <c r="C842" s="10" t="s">
        <v>538</v>
      </c>
      <c r="D842" s="11" t="n">
        <v>0.00288738425925926</v>
      </c>
      <c r="E842" s="18" t="n">
        <f aca="false">ROUND((D842-$D$5)*86400,2)</f>
        <v>24.44</v>
      </c>
      <c r="F842" s="12" t="n">
        <v>1753</v>
      </c>
      <c r="G842" s="11" t="str">
        <f aca="false">IF(INDEX(選手一覧!$D$7:$D$2738,$F842)="","",INDEX(選手一覧!$D$7:$D$2738,$F842))</f>
        <v/>
      </c>
      <c r="H842" s="12" t="str">
        <f aca="false">IF(INDEX(選手一覧!$E$7:$E$2738,$F842)="","",INDEX(選手一覧!$E$7:$E$2738,$F842))</f>
        <v/>
      </c>
      <c r="I842" s="11" t="str">
        <f aca="false">IF(INDEX(選手一覧!$F$7:$F$2738,$F842)="","",INDEX(選手一覧!$F$7:$F$2738,$F842))</f>
        <v/>
      </c>
      <c r="J842" s="12" t="str">
        <f aca="false">IF(INDEX(選手一覧!$G$7:$G$2738,$F842)="","",INDEX(選手一覧!$G$7:$G$2738,$F842))</f>
        <v/>
      </c>
    </row>
    <row r="843" customFormat="false" ht="15" hidden="false" customHeight="false" outlineLevel="0" collapsed="false">
      <c r="A843" s="12" t="n">
        <v>839</v>
      </c>
      <c r="B843" s="10" t="s">
        <v>2514</v>
      </c>
      <c r="C843" s="10" t="s">
        <v>47</v>
      </c>
      <c r="D843" s="11" t="n">
        <v>0.0028875</v>
      </c>
      <c r="E843" s="18" t="n">
        <f aca="false">ROUND((D843-$D$5)*86400,2)</f>
        <v>24.45</v>
      </c>
      <c r="F843" s="12" t="n">
        <v>1754</v>
      </c>
      <c r="G843" s="11" t="n">
        <f aca="false">IF(INDEX(選手一覧!$D$7:$D$2738,$F843)="","",INDEX(選手一覧!$D$7:$D$2738,$F843))</f>
        <v>0.0109190972222222</v>
      </c>
      <c r="H843" s="12" t="n">
        <f aca="false">IF(INDEX(選手一覧!$E$7:$E$2738,$F843)="","",INDEX(選手一覧!$E$7:$E$2738,$F843))</f>
        <v>950</v>
      </c>
      <c r="I843" s="11" t="str">
        <f aca="false">IF(INDEX(選手一覧!$F$7:$F$2738,$F843)="","",INDEX(選手一覧!$F$7:$F$2738,$F843))</f>
        <v/>
      </c>
      <c r="J843" s="12" t="str">
        <f aca="false">IF(INDEX(選手一覧!$G$7:$G$2738,$F843)="","",INDEX(選手一覧!$G$7:$G$2738,$F843))</f>
        <v/>
      </c>
    </row>
    <row r="844" customFormat="false" ht="15" hidden="false" customHeight="false" outlineLevel="0" collapsed="false">
      <c r="A844" s="12" t="n">
        <v>840</v>
      </c>
      <c r="B844" s="10" t="s">
        <v>990</v>
      </c>
      <c r="C844" s="10" t="s">
        <v>51</v>
      </c>
      <c r="D844" s="11" t="n">
        <v>0.00288761574074074</v>
      </c>
      <c r="E844" s="18" t="n">
        <f aca="false">ROUND((D844-$D$5)*86400,2)</f>
        <v>24.46</v>
      </c>
      <c r="F844" s="12" t="n">
        <v>661</v>
      </c>
      <c r="G844" s="11" t="str">
        <f aca="false">IF(INDEX(選手一覧!$D$7:$D$2738,$F844)="","",INDEX(選手一覧!$D$7:$D$2738,$F844))</f>
        <v/>
      </c>
      <c r="H844" s="12" t="str">
        <f aca="false">IF(INDEX(選手一覧!$E$7:$E$2738,$F844)="","",INDEX(選手一覧!$E$7:$E$2738,$F844))</f>
        <v/>
      </c>
      <c r="I844" s="11" t="n">
        <f aca="false">IF(INDEX(選手一覧!$F$7:$F$2738,$F844)="","",INDEX(選手一覧!$F$7:$F$2738,$F844))</f>
        <v>0.00693865740740741</v>
      </c>
      <c r="J844" s="12" t="n">
        <f aca="false">IF(INDEX(選手一覧!$G$7:$G$2738,$F844)="","",INDEX(選手一覧!$G$7:$G$2738,$F844))</f>
        <v>281</v>
      </c>
    </row>
    <row r="845" customFormat="false" ht="15" hidden="false" customHeight="false" outlineLevel="0" collapsed="false">
      <c r="A845" s="12" t="n">
        <v>841</v>
      </c>
      <c r="B845" s="10" t="s">
        <v>2520</v>
      </c>
      <c r="C845" s="10" t="s">
        <v>1975</v>
      </c>
      <c r="D845" s="11" t="n">
        <v>0.00288773148148148</v>
      </c>
      <c r="E845" s="18" t="n">
        <f aca="false">ROUND((D845-$D$5)*86400,2)</f>
        <v>24.47</v>
      </c>
      <c r="F845" s="12" t="n">
        <v>1759</v>
      </c>
      <c r="G845" s="11" t="n">
        <f aca="false">IF(INDEX(選手一覧!$D$7:$D$2738,$F845)="","",INDEX(選手一覧!$D$7:$D$2738,$F845))</f>
        <v>0.0110453703703704</v>
      </c>
      <c r="H845" s="12" t="n">
        <f aca="false">IF(INDEX(選手一覧!$E$7:$E$2738,$F845)="","",INDEX(選手一覧!$E$7:$E$2738,$F845))</f>
        <v>1190</v>
      </c>
      <c r="I845" s="11" t="str">
        <f aca="false">IF(INDEX(選手一覧!$F$7:$F$2738,$F845)="","",INDEX(選手一覧!$F$7:$F$2738,$F845))</f>
        <v/>
      </c>
      <c r="J845" s="12" t="str">
        <f aca="false">IF(INDEX(選手一覧!$G$7:$G$2738,$F845)="","",INDEX(選手一覧!$G$7:$G$2738,$F845))</f>
        <v/>
      </c>
    </row>
    <row r="846" customFormat="false" ht="15" hidden="false" customHeight="false" outlineLevel="0" collapsed="false">
      <c r="A846" s="12" t="n">
        <v>842</v>
      </c>
      <c r="B846" s="10" t="s">
        <v>2524</v>
      </c>
      <c r="C846" s="10" t="s">
        <v>1876</v>
      </c>
      <c r="D846" s="11" t="n">
        <v>0.00288773148148148</v>
      </c>
      <c r="E846" s="18" t="n">
        <f aca="false">ROUND((D846-$D$5)*86400,2)</f>
        <v>24.47</v>
      </c>
      <c r="F846" s="12" t="n">
        <v>1762</v>
      </c>
      <c r="G846" s="11" t="str">
        <f aca="false">IF(INDEX(選手一覧!$D$7:$D$2738,$F846)="","",INDEX(選手一覧!$D$7:$D$2738,$F846))</f>
        <v/>
      </c>
      <c r="H846" s="12" t="str">
        <f aca="false">IF(INDEX(選手一覧!$E$7:$E$2738,$F846)="","",INDEX(選手一覧!$E$7:$E$2738,$F846))</f>
        <v/>
      </c>
      <c r="I846" s="11" t="str">
        <f aca="false">IF(INDEX(選手一覧!$F$7:$F$2738,$F846)="","",INDEX(選手一覧!$F$7:$F$2738,$F846))</f>
        <v/>
      </c>
      <c r="J846" s="12" t="str">
        <f aca="false">IF(INDEX(選手一覧!$G$7:$G$2738,$F846)="","",INDEX(選手一覧!$G$7:$G$2738,$F846))</f>
        <v/>
      </c>
    </row>
    <row r="847" customFormat="false" ht="15" hidden="false" customHeight="false" outlineLevel="0" collapsed="false">
      <c r="A847" s="12" t="n">
        <v>843</v>
      </c>
      <c r="B847" s="10" t="s">
        <v>2527</v>
      </c>
      <c r="C847" s="10" t="s">
        <v>2528</v>
      </c>
      <c r="D847" s="11" t="n">
        <v>0.00288784722222222</v>
      </c>
      <c r="E847" s="18" t="n">
        <f aca="false">ROUND((D847-$D$5)*86400,2)</f>
        <v>24.48</v>
      </c>
      <c r="F847" s="12" t="n">
        <v>1765</v>
      </c>
      <c r="G847" s="11" t="str">
        <f aca="false">IF(INDEX(選手一覧!$D$7:$D$2738,$F847)="","",INDEX(選手一覧!$D$7:$D$2738,$F847))</f>
        <v/>
      </c>
      <c r="H847" s="12" t="str">
        <f aca="false">IF(INDEX(選手一覧!$E$7:$E$2738,$F847)="","",INDEX(選手一覧!$E$7:$E$2738,$F847))</f>
        <v/>
      </c>
      <c r="I847" s="11" t="str">
        <f aca="false">IF(INDEX(選手一覧!$F$7:$F$2738,$F847)="","",INDEX(選手一覧!$F$7:$F$2738,$F847))</f>
        <v/>
      </c>
      <c r="J847" s="12" t="str">
        <f aca="false">IF(INDEX(選手一覧!$G$7:$G$2738,$F847)="","",INDEX(選手一覧!$G$7:$G$2738,$F847))</f>
        <v/>
      </c>
    </row>
    <row r="848" customFormat="false" ht="15" hidden="false" customHeight="false" outlineLevel="0" collapsed="false">
      <c r="A848" s="12" t="n">
        <v>844</v>
      </c>
      <c r="B848" s="10" t="s">
        <v>2529</v>
      </c>
      <c r="C848" s="10" t="s">
        <v>1660</v>
      </c>
      <c r="D848" s="11" t="n">
        <v>0.00288784722222222</v>
      </c>
      <c r="E848" s="18" t="n">
        <f aca="false">ROUND((D848-$D$5)*86400,2)</f>
        <v>24.48</v>
      </c>
      <c r="F848" s="12" t="n">
        <v>1766</v>
      </c>
      <c r="G848" s="11" t="n">
        <f aca="false">IF(INDEX(選手一覧!$D$7:$D$2738,$F848)="","",INDEX(選手一覧!$D$7:$D$2738,$F848))</f>
        <v>0.0109497685185185</v>
      </c>
      <c r="H848" s="12" t="n">
        <f aca="false">IF(INDEX(選手一覧!$E$7:$E$2738,$F848)="","",INDEX(選手一覧!$E$7:$E$2738,$F848))</f>
        <v>999</v>
      </c>
      <c r="I848" s="11" t="str">
        <f aca="false">IF(INDEX(選手一覧!$F$7:$F$2738,$F848)="","",INDEX(選手一覧!$F$7:$F$2738,$F848))</f>
        <v/>
      </c>
      <c r="J848" s="12" t="str">
        <f aca="false">IF(INDEX(選手一覧!$G$7:$G$2738,$F848)="","",INDEX(選手一覧!$G$7:$G$2738,$F848))</f>
        <v/>
      </c>
    </row>
    <row r="849" customFormat="false" ht="15" hidden="false" customHeight="false" outlineLevel="0" collapsed="false">
      <c r="A849" s="12" t="n">
        <v>845</v>
      </c>
      <c r="B849" s="10" t="s">
        <v>1025</v>
      </c>
      <c r="C849" s="10" t="s">
        <v>149</v>
      </c>
      <c r="D849" s="11" t="n">
        <v>0.00288784722222222</v>
      </c>
      <c r="E849" s="18" t="n">
        <f aca="false">ROUND((D849-$D$5)*86400,2)</f>
        <v>24.48</v>
      </c>
      <c r="F849" s="12" t="n">
        <v>687</v>
      </c>
      <c r="G849" s="11" t="n">
        <f aca="false">IF(INDEX(選手一覧!$D$7:$D$2738,$F849)="","",INDEX(選手一覧!$D$7:$D$2738,$F849))</f>
        <v>0.0107398148148148</v>
      </c>
      <c r="H849" s="12" t="n">
        <f aca="false">IF(INDEX(選手一覧!$E$7:$E$2738,$F849)="","",INDEX(選手一覧!$E$7:$E$2738,$F849))</f>
        <v>652</v>
      </c>
      <c r="I849" s="11" t="n">
        <f aca="false">IF(INDEX(選手一覧!$F$7:$F$2738,$F849)="","",INDEX(選手一覧!$F$7:$F$2738,$F849))</f>
        <v>0.00695972222222222</v>
      </c>
      <c r="J849" s="12" t="n">
        <f aca="false">IF(INDEX(選手一覧!$G$7:$G$2738,$F849)="","",INDEX(選手一覧!$G$7:$G$2738,$F849))</f>
        <v>293</v>
      </c>
    </row>
    <row r="850" customFormat="false" ht="15" hidden="false" customHeight="false" outlineLevel="0" collapsed="false">
      <c r="A850" s="12" t="n">
        <v>846</v>
      </c>
      <c r="B850" s="10" t="s">
        <v>2536</v>
      </c>
      <c r="C850" s="10" t="s">
        <v>1155</v>
      </c>
      <c r="D850" s="11" t="n">
        <v>0.00288784722222222</v>
      </c>
      <c r="E850" s="18" t="n">
        <f aca="false">ROUND((D850-$D$5)*86400,2)</f>
        <v>24.48</v>
      </c>
      <c r="F850" s="12" t="n">
        <v>1771</v>
      </c>
      <c r="G850" s="11" t="str">
        <f aca="false">IF(INDEX(選手一覧!$D$7:$D$2738,$F850)="","",INDEX(選手一覧!$D$7:$D$2738,$F850))</f>
        <v/>
      </c>
      <c r="H850" s="12" t="str">
        <f aca="false">IF(INDEX(選手一覧!$E$7:$E$2738,$F850)="","",INDEX(選手一覧!$E$7:$E$2738,$F850))</f>
        <v/>
      </c>
      <c r="I850" s="11" t="str">
        <f aca="false">IF(INDEX(選手一覧!$F$7:$F$2738,$F850)="","",INDEX(選手一覧!$F$7:$F$2738,$F850))</f>
        <v/>
      </c>
      <c r="J850" s="12" t="str">
        <f aca="false">IF(INDEX(選手一覧!$G$7:$G$2738,$F850)="","",INDEX(選手一覧!$G$7:$G$2738,$F850))</f>
        <v/>
      </c>
    </row>
    <row r="851" customFormat="false" ht="15" hidden="false" customHeight="false" outlineLevel="0" collapsed="false">
      <c r="A851" s="12" t="n">
        <v>847</v>
      </c>
      <c r="B851" s="10" t="s">
        <v>2537</v>
      </c>
      <c r="C851" s="10" t="s">
        <v>2238</v>
      </c>
      <c r="D851" s="11" t="n">
        <v>0.00288796296296296</v>
      </c>
      <c r="E851" s="18" t="n">
        <f aca="false">ROUND((D851-$D$5)*86400,2)</f>
        <v>24.49</v>
      </c>
      <c r="F851" s="12" t="n">
        <v>1772</v>
      </c>
      <c r="G851" s="11" t="n">
        <f aca="false">IF(INDEX(選手一覧!$D$7:$D$2738,$F851)="","",INDEX(選手一覧!$D$7:$D$2738,$F851))</f>
        <v>0.0109631944444445</v>
      </c>
      <c r="H851" s="12" t="n">
        <f aca="false">IF(INDEX(選手一覧!$E$7:$E$2738,$F851)="","",INDEX(選手一覧!$E$7:$E$2738,$F851))</f>
        <v>1023</v>
      </c>
      <c r="I851" s="11" t="str">
        <f aca="false">IF(INDEX(選手一覧!$F$7:$F$2738,$F851)="","",INDEX(選手一覧!$F$7:$F$2738,$F851))</f>
        <v/>
      </c>
      <c r="J851" s="12" t="str">
        <f aca="false">IF(INDEX(選手一覧!$G$7:$G$2738,$F851)="","",INDEX(選手一覧!$G$7:$G$2738,$F851))</f>
        <v/>
      </c>
    </row>
    <row r="852" customFormat="false" ht="15" hidden="false" customHeight="false" outlineLevel="0" collapsed="false">
      <c r="A852" s="12" t="n">
        <v>848</v>
      </c>
      <c r="B852" s="10" t="s">
        <v>629</v>
      </c>
      <c r="C852" s="10" t="s">
        <v>630</v>
      </c>
      <c r="D852" s="11" t="n">
        <v>0.0028880787037037</v>
      </c>
      <c r="E852" s="18" t="n">
        <f aca="false">ROUND((D852-$D$5)*86400,2)</f>
        <v>24.5</v>
      </c>
      <c r="F852" s="12" t="n">
        <v>397</v>
      </c>
      <c r="G852" s="11" t="n">
        <f aca="false">IF(INDEX(選手一覧!$D$7:$D$2738,$F852)="","",INDEX(選手一覧!$D$7:$D$2738,$F852))</f>
        <v>0.0106542824074074</v>
      </c>
      <c r="H852" s="12" t="n">
        <f aca="false">IF(INDEX(選手一覧!$E$7:$E$2738,$F852)="","",INDEX(選手一覧!$E$7:$E$2738,$F852))</f>
        <v>531</v>
      </c>
      <c r="I852" s="11" t="n">
        <f aca="false">IF(INDEX(選手一覧!$F$7:$F$2738,$F852)="","",INDEX(選手一覧!$F$7:$F$2738,$F852))</f>
        <v>0.00679710648148148</v>
      </c>
      <c r="J852" s="12" t="n">
        <f aca="false">IF(INDEX(選手一覧!$G$7:$G$2738,$F852)="","",INDEX(選手一覧!$G$7:$G$2738,$F852))</f>
        <v>168</v>
      </c>
    </row>
    <row r="853" customFormat="false" ht="15" hidden="false" customHeight="false" outlineLevel="0" collapsed="false">
      <c r="A853" s="12" t="n">
        <v>849</v>
      </c>
      <c r="B853" s="10" t="s">
        <v>2546</v>
      </c>
      <c r="C853" s="10" t="s">
        <v>41</v>
      </c>
      <c r="D853" s="11" t="n">
        <v>0.00288819444444445</v>
      </c>
      <c r="E853" s="18" t="n">
        <f aca="false">ROUND((D853-$D$5)*86400,2)</f>
        <v>24.51</v>
      </c>
      <c r="F853" s="12" t="n">
        <v>1778</v>
      </c>
      <c r="G853" s="11" t="str">
        <f aca="false">IF(INDEX(選手一覧!$D$7:$D$2738,$F853)="","",INDEX(選手一覧!$D$7:$D$2738,$F853))</f>
        <v/>
      </c>
      <c r="H853" s="12" t="str">
        <f aca="false">IF(INDEX(選手一覧!$E$7:$E$2738,$F853)="","",INDEX(選手一覧!$E$7:$E$2738,$F853))</f>
        <v/>
      </c>
      <c r="I853" s="11" t="str">
        <f aca="false">IF(INDEX(選手一覧!$F$7:$F$2738,$F853)="","",INDEX(選手一覧!$F$7:$F$2738,$F853))</f>
        <v/>
      </c>
      <c r="J853" s="12" t="str">
        <f aca="false">IF(INDEX(選手一覧!$G$7:$G$2738,$F853)="","",INDEX(選手一覧!$G$7:$G$2738,$F853))</f>
        <v/>
      </c>
    </row>
    <row r="854" customFormat="false" ht="15" hidden="false" customHeight="false" outlineLevel="0" collapsed="false">
      <c r="A854" s="12" t="n">
        <v>850</v>
      </c>
      <c r="B854" s="10" t="s">
        <v>2549</v>
      </c>
      <c r="C854" s="10" t="s">
        <v>2550</v>
      </c>
      <c r="D854" s="11" t="n">
        <v>0.00288819444444445</v>
      </c>
      <c r="E854" s="18" t="n">
        <f aca="false">ROUND((D854-$D$5)*86400,2)</f>
        <v>24.51</v>
      </c>
      <c r="F854" s="12" t="n">
        <v>1781</v>
      </c>
      <c r="G854" s="11" t="str">
        <f aca="false">IF(INDEX(選手一覧!$D$7:$D$2738,$F854)="","",INDEX(選手一覧!$D$7:$D$2738,$F854))</f>
        <v/>
      </c>
      <c r="H854" s="12" t="str">
        <f aca="false">IF(INDEX(選手一覧!$E$7:$E$2738,$F854)="","",INDEX(選手一覧!$E$7:$E$2738,$F854))</f>
        <v/>
      </c>
      <c r="I854" s="11" t="str">
        <f aca="false">IF(INDEX(選手一覧!$F$7:$F$2738,$F854)="","",INDEX(選手一覧!$F$7:$F$2738,$F854))</f>
        <v/>
      </c>
      <c r="J854" s="12" t="str">
        <f aca="false">IF(INDEX(選手一覧!$G$7:$G$2738,$F854)="","",INDEX(選手一覧!$G$7:$G$2738,$F854))</f>
        <v/>
      </c>
    </row>
    <row r="855" customFormat="false" ht="15" hidden="false" customHeight="false" outlineLevel="0" collapsed="false">
      <c r="A855" s="12" t="n">
        <v>851</v>
      </c>
      <c r="B855" s="10" t="s">
        <v>2084</v>
      </c>
      <c r="C855" s="10" t="s">
        <v>1912</v>
      </c>
      <c r="D855" s="11" t="n">
        <v>0.00288842592592593</v>
      </c>
      <c r="E855" s="18" t="n">
        <f aca="false">ROUND((D855-$D$5)*86400,2)</f>
        <v>24.53</v>
      </c>
      <c r="F855" s="12" t="n">
        <v>1440</v>
      </c>
      <c r="G855" s="11" t="n">
        <f aca="false">IF(INDEX(選手一覧!$D$7:$D$2738,$F855)="","",INDEX(選手一覧!$D$7:$D$2738,$F855))</f>
        <v>0.0107609953703704</v>
      </c>
      <c r="H855" s="12" t="n">
        <f aca="false">IF(INDEX(選手一覧!$E$7:$E$2738,$F855)="","",INDEX(選手一覧!$E$7:$E$2738,$F855))</f>
        <v>681</v>
      </c>
      <c r="I855" s="11" t="str">
        <f aca="false">IF(INDEX(選手一覧!$F$7:$F$2738,$F855)="","",INDEX(選手一覧!$F$7:$F$2738,$F855))</f>
        <v/>
      </c>
      <c r="J855" s="12" t="str">
        <f aca="false">IF(INDEX(選手一覧!$G$7:$G$2738,$F855)="","",INDEX(選手一覧!$G$7:$G$2738,$F855))</f>
        <v/>
      </c>
    </row>
    <row r="856" customFormat="false" ht="15" hidden="false" customHeight="false" outlineLevel="0" collapsed="false">
      <c r="A856" s="12" t="n">
        <v>852</v>
      </c>
      <c r="B856" s="10" t="s">
        <v>900</v>
      </c>
      <c r="C856" s="10" t="s">
        <v>242</v>
      </c>
      <c r="D856" s="11" t="n">
        <v>0.00288842592592593</v>
      </c>
      <c r="E856" s="18" t="n">
        <f aca="false">ROUND((D856-$D$5)*86400,2)</f>
        <v>24.53</v>
      </c>
      <c r="F856" s="12" t="n">
        <v>594</v>
      </c>
      <c r="G856" s="11" t="n">
        <f aca="false">IF(INDEX(選手一覧!$D$7:$D$2738,$F856)="","",INDEX(選手一覧!$D$7:$D$2738,$F856))</f>
        <v>0.0103880787037037</v>
      </c>
      <c r="H856" s="12" t="n">
        <f aca="false">IF(INDEX(選手一覧!$E$7:$E$2738,$F856)="","",INDEX(選手一覧!$E$7:$E$2738,$F856))</f>
        <v>249</v>
      </c>
      <c r="I856" s="11" t="str">
        <f aca="false">IF(INDEX(選手一覧!$F$7:$F$2738,$F856)="","",INDEX(選手一覧!$F$7:$F$2738,$F856))</f>
        <v/>
      </c>
      <c r="J856" s="12" t="str">
        <f aca="false">IF(INDEX(選手一覧!$G$7:$G$2738,$F856)="","",INDEX(選手一覧!$G$7:$G$2738,$F856))</f>
        <v/>
      </c>
    </row>
    <row r="857" customFormat="false" ht="15" hidden="false" customHeight="false" outlineLevel="0" collapsed="false">
      <c r="A857" s="12" t="n">
        <v>853</v>
      </c>
      <c r="B857" s="10" t="s">
        <v>1427</v>
      </c>
      <c r="C857" s="10" t="s">
        <v>857</v>
      </c>
      <c r="D857" s="11" t="n">
        <v>0.00288854166666667</v>
      </c>
      <c r="E857" s="18" t="n">
        <f aca="false">ROUND((D857-$D$5)*86400,2)</f>
        <v>24.54</v>
      </c>
      <c r="F857" s="12" t="n">
        <v>975</v>
      </c>
      <c r="G857" s="11" t="n">
        <f aca="false">IF(INDEX(選手一覧!$D$7:$D$2738,$F857)="","",INDEX(選手一覧!$D$7:$D$2738,$F857))</f>
        <v>0.0105820601851852</v>
      </c>
      <c r="H857" s="12" t="n">
        <f aca="false">IF(INDEX(選手一覧!$E$7:$E$2738,$F857)="","",INDEX(選手一覧!$E$7:$E$2738,$F857))</f>
        <v>436</v>
      </c>
      <c r="I857" s="11" t="str">
        <f aca="false">IF(INDEX(選手一覧!$F$7:$F$2738,$F857)="","",INDEX(選手一覧!$F$7:$F$2738,$F857))</f>
        <v/>
      </c>
      <c r="J857" s="12" t="str">
        <f aca="false">IF(INDEX(選手一覧!$G$7:$G$2738,$F857)="","",INDEX(選手一覧!$G$7:$G$2738,$F857))</f>
        <v/>
      </c>
    </row>
    <row r="858" customFormat="false" ht="15" hidden="false" customHeight="false" outlineLevel="0" collapsed="false">
      <c r="A858" s="12" t="n">
        <v>854</v>
      </c>
      <c r="B858" s="10" t="s">
        <v>1623</v>
      </c>
      <c r="C858" s="10" t="s">
        <v>338</v>
      </c>
      <c r="D858" s="11" t="n">
        <v>0.00288888888888889</v>
      </c>
      <c r="E858" s="18" t="n">
        <f aca="false">ROUND((D858-$D$5)*86400,2)</f>
        <v>24.57</v>
      </c>
      <c r="F858" s="12" t="n">
        <v>1120</v>
      </c>
      <c r="G858" s="11" t="n">
        <f aca="false">IF(INDEX(選手一覧!$D$7:$D$2738,$F858)="","",INDEX(選手一覧!$D$7:$D$2738,$F858))</f>
        <v>0.0106396990740741</v>
      </c>
      <c r="H858" s="12" t="n">
        <f aca="false">IF(INDEX(選手一覧!$E$7:$E$2738,$F858)="","",INDEX(選手一覧!$E$7:$E$2738,$F858))</f>
        <v>508</v>
      </c>
      <c r="I858" s="11" t="str">
        <f aca="false">IF(INDEX(選手一覧!$F$7:$F$2738,$F858)="","",INDEX(選手一覧!$F$7:$F$2738,$F858))</f>
        <v/>
      </c>
      <c r="J858" s="12" t="str">
        <f aca="false">IF(INDEX(選手一覧!$G$7:$G$2738,$F858)="","",INDEX(選手一覧!$G$7:$G$2738,$F858))</f>
        <v/>
      </c>
    </row>
    <row r="859" customFormat="false" ht="15" hidden="false" customHeight="false" outlineLevel="0" collapsed="false">
      <c r="A859" s="12" t="n">
        <v>855</v>
      </c>
      <c r="B859" s="10" t="s">
        <v>1827</v>
      </c>
      <c r="C859" s="10" t="s">
        <v>1828</v>
      </c>
      <c r="D859" s="11" t="n">
        <v>0.00288900462962963</v>
      </c>
      <c r="E859" s="18" t="n">
        <f aca="false">ROUND((D859-$D$5)*86400,2)</f>
        <v>24.58</v>
      </c>
      <c r="F859" s="12" t="n">
        <v>1259</v>
      </c>
      <c r="G859" s="11" t="n">
        <f aca="false">IF(INDEX(選手一覧!$D$7:$D$2738,$F859)="","",INDEX(選手一覧!$D$7:$D$2738,$F859))</f>
        <v>0.0109680555555556</v>
      </c>
      <c r="H859" s="12" t="n">
        <f aca="false">IF(INDEX(選手一覧!$E$7:$E$2738,$F859)="","",INDEX(選手一覧!$E$7:$E$2738,$F859))</f>
        <v>1033</v>
      </c>
      <c r="I859" s="11" t="n">
        <f aca="false">IF(INDEX(選手一覧!$F$7:$F$2738,$F859)="","",INDEX(選手一覧!$F$7:$F$2738,$F859))</f>
        <v>0.00723611111111111</v>
      </c>
      <c r="J859" s="12" t="n">
        <f aca="false">IF(INDEX(選手一覧!$G$7:$G$2738,$F859)="","",INDEX(選手一覧!$G$7:$G$2738,$F859))</f>
        <v>581</v>
      </c>
    </row>
    <row r="860" customFormat="false" ht="15" hidden="false" customHeight="false" outlineLevel="0" collapsed="false">
      <c r="A860" s="12" t="n">
        <v>856</v>
      </c>
      <c r="B860" s="10" t="s">
        <v>2564</v>
      </c>
      <c r="C860" s="10" t="s">
        <v>2565</v>
      </c>
      <c r="D860" s="11" t="n">
        <v>0.00288912037037037</v>
      </c>
      <c r="E860" s="18" t="n">
        <f aca="false">ROUND((D860-$D$5)*86400,2)</f>
        <v>24.59</v>
      </c>
      <c r="F860" s="12" t="n">
        <v>1791</v>
      </c>
      <c r="G860" s="11" t="str">
        <f aca="false">IF(INDEX(選手一覧!$D$7:$D$2738,$F860)="","",INDEX(選手一覧!$D$7:$D$2738,$F860))</f>
        <v/>
      </c>
      <c r="H860" s="12" t="str">
        <f aca="false">IF(INDEX(選手一覧!$E$7:$E$2738,$F860)="","",INDEX(選手一覧!$E$7:$E$2738,$F860))</f>
        <v/>
      </c>
      <c r="I860" s="11" t="str">
        <f aca="false">IF(INDEX(選手一覧!$F$7:$F$2738,$F860)="","",INDEX(選手一覧!$F$7:$F$2738,$F860))</f>
        <v/>
      </c>
      <c r="J860" s="12" t="str">
        <f aca="false">IF(INDEX(選手一覧!$G$7:$G$2738,$F860)="","",INDEX(選手一覧!$G$7:$G$2738,$F860))</f>
        <v/>
      </c>
    </row>
    <row r="861" customFormat="false" ht="15" hidden="false" customHeight="false" outlineLevel="0" collapsed="false">
      <c r="A861" s="12" t="n">
        <v>857</v>
      </c>
      <c r="B861" s="10" t="s">
        <v>1365</v>
      </c>
      <c r="C861" s="10" t="s">
        <v>1366</v>
      </c>
      <c r="D861" s="11" t="n">
        <v>0.00288923611111111</v>
      </c>
      <c r="E861" s="18" t="n">
        <f aca="false">ROUND((D861-$D$5)*86400,2)</f>
        <v>24.6</v>
      </c>
      <c r="F861" s="12" t="n">
        <v>929</v>
      </c>
      <c r="G861" s="11" t="str">
        <f aca="false">IF(INDEX(選手一覧!$D$7:$D$2738,$F861)="","",INDEX(選手一覧!$D$7:$D$2738,$F861))</f>
        <v/>
      </c>
      <c r="H861" s="12" t="str">
        <f aca="false">IF(INDEX(選手一覧!$E$7:$E$2738,$F861)="","",INDEX(選手一覧!$E$7:$E$2738,$F861))</f>
        <v/>
      </c>
      <c r="I861" s="11" t="n">
        <f aca="false">IF(INDEX(選手一覧!$F$7:$F$2738,$F861)="","",INDEX(選手一覧!$F$7:$F$2738,$F861))</f>
        <v>0.00707083333333333</v>
      </c>
      <c r="J861" s="12" t="n">
        <f aca="false">IF(INDEX(選手一覧!$G$7:$G$2738,$F861)="","",INDEX(選手一覧!$G$7:$G$2738,$F861))</f>
        <v>416</v>
      </c>
    </row>
    <row r="862" customFormat="false" ht="15" hidden="false" customHeight="false" outlineLevel="0" collapsed="false">
      <c r="A862" s="12" t="n">
        <v>858</v>
      </c>
      <c r="B862" s="10" t="s">
        <v>1269</v>
      </c>
      <c r="C862" s="10" t="s">
        <v>380</v>
      </c>
      <c r="D862" s="11" t="n">
        <v>0.00288923611111111</v>
      </c>
      <c r="E862" s="18" t="n">
        <f aca="false">ROUND((D862-$D$5)*86400,2)</f>
        <v>24.6</v>
      </c>
      <c r="F862" s="12" t="n">
        <v>863</v>
      </c>
      <c r="G862" s="11" t="n">
        <f aca="false">IF(INDEX(選手一覧!$D$7:$D$2738,$F862)="","",INDEX(選手一覧!$D$7:$D$2738,$F862))</f>
        <v>0.0105391203703704</v>
      </c>
      <c r="H862" s="12" t="n">
        <f aca="false">IF(INDEX(選手一覧!$E$7:$E$2738,$F862)="","",INDEX(選手一覧!$E$7:$E$2738,$F862))</f>
        <v>384</v>
      </c>
      <c r="I862" s="11" t="str">
        <f aca="false">IF(INDEX(選手一覧!$F$7:$F$2738,$F862)="","",INDEX(選手一覧!$F$7:$F$2738,$F862))</f>
        <v/>
      </c>
      <c r="J862" s="12" t="str">
        <f aca="false">IF(INDEX(選手一覧!$G$7:$G$2738,$F862)="","",INDEX(選手一覧!$G$7:$G$2738,$F862))</f>
        <v/>
      </c>
    </row>
    <row r="863" customFormat="false" ht="15" hidden="false" customHeight="false" outlineLevel="0" collapsed="false">
      <c r="A863" s="12" t="n">
        <v>859</v>
      </c>
      <c r="B863" s="10" t="s">
        <v>2485</v>
      </c>
      <c r="C863" s="10" t="s">
        <v>237</v>
      </c>
      <c r="D863" s="11" t="n">
        <v>0.00288935185185185</v>
      </c>
      <c r="E863" s="18" t="n">
        <f aca="false">ROUND((D863-$D$5)*86400,2)</f>
        <v>24.61</v>
      </c>
      <c r="F863" s="12" t="n">
        <v>1733</v>
      </c>
      <c r="G863" s="11" t="n">
        <f aca="false">IF(INDEX(選手一覧!$D$7:$D$2738,$F863)="","",INDEX(選手一覧!$D$7:$D$2738,$F863))</f>
        <v>0.0108478009259259</v>
      </c>
      <c r="H863" s="12" t="n">
        <f aca="false">IF(INDEX(選手一覧!$E$7:$E$2738,$F863)="","",INDEX(選手一覧!$E$7:$E$2738,$F863))</f>
        <v>829</v>
      </c>
      <c r="I863" s="11" t="str">
        <f aca="false">IF(INDEX(選手一覧!$F$7:$F$2738,$F863)="","",INDEX(選手一覧!$F$7:$F$2738,$F863))</f>
        <v/>
      </c>
      <c r="J863" s="12" t="str">
        <f aca="false">IF(INDEX(選手一覧!$G$7:$G$2738,$F863)="","",INDEX(選手一覧!$G$7:$G$2738,$F863))</f>
        <v/>
      </c>
    </row>
    <row r="864" customFormat="false" ht="15" hidden="false" customHeight="false" outlineLevel="0" collapsed="false">
      <c r="A864" s="12" t="n">
        <v>860</v>
      </c>
      <c r="B864" s="10" t="s">
        <v>2571</v>
      </c>
      <c r="C864" s="10" t="s">
        <v>486</v>
      </c>
      <c r="D864" s="11" t="n">
        <v>0.00288946759259259</v>
      </c>
      <c r="E864" s="18" t="n">
        <f aca="false">ROUND((D864-$D$5)*86400,2)</f>
        <v>24.62</v>
      </c>
      <c r="F864" s="12" t="n">
        <v>1797</v>
      </c>
      <c r="G864" s="11" t="str">
        <f aca="false">IF(INDEX(選手一覧!$D$7:$D$2738,$F864)="","",INDEX(選手一覧!$D$7:$D$2738,$F864))</f>
        <v/>
      </c>
      <c r="H864" s="12" t="str">
        <f aca="false">IF(INDEX(選手一覧!$E$7:$E$2738,$F864)="","",INDEX(選手一覧!$E$7:$E$2738,$F864))</f>
        <v/>
      </c>
      <c r="I864" s="11" t="str">
        <f aca="false">IF(INDEX(選手一覧!$F$7:$F$2738,$F864)="","",INDEX(選手一覧!$F$7:$F$2738,$F864))</f>
        <v/>
      </c>
      <c r="J864" s="12" t="str">
        <f aca="false">IF(INDEX(選手一覧!$G$7:$G$2738,$F864)="","",INDEX(選手一覧!$G$7:$G$2738,$F864))</f>
        <v/>
      </c>
    </row>
    <row r="865" customFormat="false" ht="15" hidden="false" customHeight="false" outlineLevel="0" collapsed="false">
      <c r="A865" s="12" t="n">
        <v>861</v>
      </c>
      <c r="B865" s="10" t="s">
        <v>2574</v>
      </c>
      <c r="C865" s="10" t="s">
        <v>685</v>
      </c>
      <c r="D865" s="11" t="n">
        <v>0.00288958333333333</v>
      </c>
      <c r="E865" s="18" t="n">
        <f aca="false">ROUND((D865-$D$5)*86400,2)</f>
        <v>24.63</v>
      </c>
      <c r="F865" s="12" t="n">
        <v>1800</v>
      </c>
      <c r="G865" s="11" t="str">
        <f aca="false">IF(INDEX(選手一覧!$D$7:$D$2738,$F865)="","",INDEX(選手一覧!$D$7:$D$2738,$F865))</f>
        <v/>
      </c>
      <c r="H865" s="12" t="str">
        <f aca="false">IF(INDEX(選手一覧!$E$7:$E$2738,$F865)="","",INDEX(選手一覧!$E$7:$E$2738,$F865))</f>
        <v/>
      </c>
      <c r="I865" s="11" t="str">
        <f aca="false">IF(INDEX(選手一覧!$F$7:$F$2738,$F865)="","",INDEX(選手一覧!$F$7:$F$2738,$F865))</f>
        <v/>
      </c>
      <c r="J865" s="12" t="str">
        <f aca="false">IF(INDEX(選手一覧!$G$7:$G$2738,$F865)="","",INDEX(選手一覧!$G$7:$G$2738,$F865))</f>
        <v/>
      </c>
    </row>
    <row r="866" customFormat="false" ht="15" hidden="false" customHeight="false" outlineLevel="0" collapsed="false">
      <c r="A866" s="12" t="n">
        <v>862</v>
      </c>
      <c r="B866" s="10" t="s">
        <v>1782</v>
      </c>
      <c r="C866" s="10" t="s">
        <v>1783</v>
      </c>
      <c r="D866" s="11" t="n">
        <v>0.00288969907407407</v>
      </c>
      <c r="E866" s="18" t="n">
        <f aca="false">ROUND((D866-$D$5)*86400,2)</f>
        <v>24.64</v>
      </c>
      <c r="F866" s="12" t="n">
        <v>1226</v>
      </c>
      <c r="G866" s="11" t="n">
        <f aca="false">IF(INDEX(選手一覧!$D$7:$D$2738,$F866)="","",INDEX(選手一覧!$D$7:$D$2738,$F866))</f>
        <v>0.0106871527777778</v>
      </c>
      <c r="H866" s="12" t="n">
        <f aca="false">IF(INDEX(選手一覧!$E$7:$E$2738,$F866)="","",INDEX(選手一覧!$E$7:$E$2738,$F866))</f>
        <v>564</v>
      </c>
      <c r="I866" s="11" t="n">
        <f aca="false">IF(INDEX(選手一覧!$F$7:$F$2738,$F866)="","",INDEX(選手一覧!$F$7:$F$2738,$F866))</f>
        <v>0.00728587962962963</v>
      </c>
      <c r="J866" s="12" t="n">
        <f aca="false">IF(INDEX(選手一覧!$G$7:$G$2738,$F866)="","",INDEX(選手一覧!$G$7:$G$2738,$F866))</f>
        <v>628</v>
      </c>
    </row>
    <row r="867" customFormat="false" ht="15" hidden="false" customHeight="false" outlineLevel="0" collapsed="false">
      <c r="A867" s="12" t="n">
        <v>863</v>
      </c>
      <c r="B867" s="10" t="s">
        <v>2579</v>
      </c>
      <c r="C867" s="10" t="s">
        <v>502</v>
      </c>
      <c r="D867" s="11" t="n">
        <v>0.00288981481481482</v>
      </c>
      <c r="E867" s="18" t="n">
        <f aca="false">ROUND((D867-$D$5)*86400,2)</f>
        <v>24.65</v>
      </c>
      <c r="F867" s="12" t="n">
        <v>1804</v>
      </c>
      <c r="G867" s="11" t="str">
        <f aca="false">IF(INDEX(選手一覧!$D$7:$D$2738,$F867)="","",INDEX(選手一覧!$D$7:$D$2738,$F867))</f>
        <v/>
      </c>
      <c r="H867" s="12" t="str">
        <f aca="false">IF(INDEX(選手一覧!$E$7:$E$2738,$F867)="","",INDEX(選手一覧!$E$7:$E$2738,$F867))</f>
        <v/>
      </c>
      <c r="I867" s="11" t="str">
        <f aca="false">IF(INDEX(選手一覧!$F$7:$F$2738,$F867)="","",INDEX(選手一覧!$F$7:$F$2738,$F867))</f>
        <v/>
      </c>
      <c r="J867" s="12" t="str">
        <f aca="false">IF(INDEX(選手一覧!$G$7:$G$2738,$F867)="","",INDEX(選手一覧!$G$7:$G$2738,$F867))</f>
        <v/>
      </c>
    </row>
    <row r="868" customFormat="false" ht="15" hidden="false" customHeight="false" outlineLevel="0" collapsed="false">
      <c r="A868" s="12" t="n">
        <v>864</v>
      </c>
      <c r="B868" s="10" t="s">
        <v>304</v>
      </c>
      <c r="C868" s="10" t="s">
        <v>109</v>
      </c>
      <c r="D868" s="11" t="n">
        <v>0.00288993055555556</v>
      </c>
      <c r="E868" s="18" t="n">
        <f aca="false">ROUND((D868-$D$5)*86400,2)</f>
        <v>24.66</v>
      </c>
      <c r="F868" s="12" t="n">
        <v>172</v>
      </c>
      <c r="G868" s="11" t="n">
        <f aca="false">IF(INDEX(選手一覧!$D$7:$D$2738,$F868)="","",INDEX(選手一覧!$D$7:$D$2738,$F868))</f>
        <v>0.0109865740740741</v>
      </c>
      <c r="H868" s="12" t="n">
        <f aca="false">IF(INDEX(選手一覧!$E$7:$E$2738,$F868)="","",INDEX(選手一覧!$E$7:$E$2738,$F868))</f>
        <v>1073</v>
      </c>
      <c r="I868" s="11" t="n">
        <f aca="false">IF(INDEX(選手一覧!$F$7:$F$2738,$F868)="","",INDEX(選手一覧!$F$7:$F$2738,$F868))</f>
        <v>0.00661006944444444</v>
      </c>
      <c r="J868" s="12" t="n">
        <f aca="false">IF(INDEX(選手一覧!$G$7:$G$2738,$F868)="","",INDEX(選手一覧!$G$7:$G$2738,$F868))</f>
        <v>70</v>
      </c>
    </row>
    <row r="869" customFormat="false" ht="15" hidden="false" customHeight="false" outlineLevel="0" collapsed="false">
      <c r="A869" s="12" t="n">
        <v>865</v>
      </c>
      <c r="B869" s="10" t="s">
        <v>2584</v>
      </c>
      <c r="C869" s="10" t="s">
        <v>387</v>
      </c>
      <c r="D869" s="11" t="n">
        <v>0.00288993055555556</v>
      </c>
      <c r="E869" s="18" t="n">
        <f aca="false">ROUND((D869-$D$5)*86400,2)</f>
        <v>24.66</v>
      </c>
      <c r="F869" s="12" t="n">
        <v>1809</v>
      </c>
      <c r="G869" s="11" t="str">
        <f aca="false">IF(INDEX(選手一覧!$D$7:$D$2738,$F869)="","",INDEX(選手一覧!$D$7:$D$2738,$F869))</f>
        <v/>
      </c>
      <c r="H869" s="12" t="str">
        <f aca="false">IF(INDEX(選手一覧!$E$7:$E$2738,$F869)="","",INDEX(選手一覧!$E$7:$E$2738,$F869))</f>
        <v/>
      </c>
      <c r="I869" s="11" t="str">
        <f aca="false">IF(INDEX(選手一覧!$F$7:$F$2738,$F869)="","",INDEX(選手一覧!$F$7:$F$2738,$F869))</f>
        <v/>
      </c>
      <c r="J869" s="12" t="str">
        <f aca="false">IF(INDEX(選手一覧!$G$7:$G$2738,$F869)="","",INDEX(選手一覧!$G$7:$G$2738,$F869))</f>
        <v/>
      </c>
    </row>
    <row r="870" customFormat="false" ht="15" hidden="false" customHeight="false" outlineLevel="0" collapsed="false">
      <c r="A870" s="12" t="n">
        <v>866</v>
      </c>
      <c r="B870" s="10" t="s">
        <v>2567</v>
      </c>
      <c r="C870" s="10" t="s">
        <v>1680</v>
      </c>
      <c r="D870" s="11" t="n">
        <v>0.00289016203703704</v>
      </c>
      <c r="E870" s="18" t="n">
        <f aca="false">ROUND((D870-$D$5)*86400,2)</f>
        <v>24.68</v>
      </c>
      <c r="F870" s="12" t="n">
        <v>1793</v>
      </c>
      <c r="G870" s="11" t="n">
        <f aca="false">IF(INDEX(選手一覧!$D$7:$D$2738,$F870)="","",INDEX(選手一覧!$D$7:$D$2738,$F870))</f>
        <v>0.0108633101851852</v>
      </c>
      <c r="H870" s="12" t="n">
        <f aca="false">IF(INDEX(選手一覧!$E$7:$E$2738,$F870)="","",INDEX(選手一覧!$E$7:$E$2738,$F870))</f>
        <v>858</v>
      </c>
      <c r="I870" s="11" t="str">
        <f aca="false">IF(INDEX(選手一覧!$F$7:$F$2738,$F870)="","",INDEX(選手一覧!$F$7:$F$2738,$F870))</f>
        <v/>
      </c>
      <c r="J870" s="12" t="str">
        <f aca="false">IF(INDEX(選手一覧!$G$7:$G$2738,$F870)="","",INDEX(選手一覧!$G$7:$G$2738,$F870))</f>
        <v/>
      </c>
    </row>
    <row r="871" customFormat="false" ht="15" hidden="false" customHeight="false" outlineLevel="0" collapsed="false">
      <c r="A871" s="12" t="n">
        <v>867</v>
      </c>
      <c r="B871" s="10" t="s">
        <v>2588</v>
      </c>
      <c r="C871" s="10" t="s">
        <v>1777</v>
      </c>
      <c r="D871" s="11" t="n">
        <v>0.00289016203703704</v>
      </c>
      <c r="E871" s="18" t="n">
        <f aca="false">ROUND((D871-$D$5)*86400,2)</f>
        <v>24.68</v>
      </c>
      <c r="F871" s="12" t="n">
        <v>1812</v>
      </c>
      <c r="G871" s="11" t="str">
        <f aca="false">IF(INDEX(選手一覧!$D$7:$D$2738,$F871)="","",INDEX(選手一覧!$D$7:$D$2738,$F871))</f>
        <v/>
      </c>
      <c r="H871" s="12" t="str">
        <f aca="false">IF(INDEX(選手一覧!$E$7:$E$2738,$F871)="","",INDEX(選手一覧!$E$7:$E$2738,$F871))</f>
        <v/>
      </c>
      <c r="I871" s="11" t="str">
        <f aca="false">IF(INDEX(選手一覧!$F$7:$F$2738,$F871)="","",INDEX(選手一覧!$F$7:$F$2738,$F871))</f>
        <v/>
      </c>
      <c r="J871" s="12" t="str">
        <f aca="false">IF(INDEX(選手一覧!$G$7:$G$2738,$F871)="","",INDEX(選手一覧!$G$7:$G$2738,$F871))</f>
        <v/>
      </c>
    </row>
    <row r="872" customFormat="false" ht="15" hidden="false" customHeight="false" outlineLevel="0" collapsed="false">
      <c r="A872" s="12" t="n">
        <v>868</v>
      </c>
      <c r="B872" s="10" t="s">
        <v>1657</v>
      </c>
      <c r="C872" s="10" t="s">
        <v>1658</v>
      </c>
      <c r="D872" s="11" t="n">
        <v>0.00289027777777778</v>
      </c>
      <c r="E872" s="18" t="n">
        <f aca="false">ROUND((D872-$D$5)*86400,2)</f>
        <v>24.69</v>
      </c>
      <c r="F872" s="12" t="n">
        <v>1143</v>
      </c>
      <c r="G872" s="11" t="n">
        <f aca="false">IF(INDEX(選手一覧!$D$7:$D$2738,$F872)="","",INDEX(選手一覧!$D$7:$D$2738,$F872))</f>
        <v>0.0106481481481482</v>
      </c>
      <c r="H872" s="12" t="n">
        <f aca="false">IF(INDEX(選手一覧!$E$7:$E$2738,$F872)="","",INDEX(選手一覧!$E$7:$E$2738,$F872))</f>
        <v>521</v>
      </c>
      <c r="I872" s="11" t="str">
        <f aca="false">IF(INDEX(選手一覧!$F$7:$F$2738,$F872)="","",INDEX(選手一覧!$F$7:$F$2738,$F872))</f>
        <v/>
      </c>
      <c r="J872" s="12" t="str">
        <f aca="false">IF(INDEX(選手一覧!$G$7:$G$2738,$F872)="","",INDEX(選手一覧!$G$7:$G$2738,$F872))</f>
        <v/>
      </c>
    </row>
    <row r="873" customFormat="false" ht="15" hidden="false" customHeight="false" outlineLevel="0" collapsed="false">
      <c r="A873" s="12" t="n">
        <v>869</v>
      </c>
      <c r="B873" s="10" t="s">
        <v>2591</v>
      </c>
      <c r="C873" s="10" t="s">
        <v>2592</v>
      </c>
      <c r="D873" s="11" t="n">
        <v>0.00289027777777778</v>
      </c>
      <c r="E873" s="18" t="n">
        <f aca="false">ROUND((D873-$D$5)*86400,2)</f>
        <v>24.69</v>
      </c>
      <c r="F873" s="12" t="n">
        <v>1814</v>
      </c>
      <c r="G873" s="11" t="str">
        <f aca="false">IF(INDEX(選手一覧!$D$7:$D$2738,$F873)="","",INDEX(選手一覧!$D$7:$D$2738,$F873))</f>
        <v/>
      </c>
      <c r="H873" s="12" t="str">
        <f aca="false">IF(INDEX(選手一覧!$E$7:$E$2738,$F873)="","",INDEX(選手一覧!$E$7:$E$2738,$F873))</f>
        <v/>
      </c>
      <c r="I873" s="11" t="str">
        <f aca="false">IF(INDEX(選手一覧!$F$7:$F$2738,$F873)="","",INDEX(選手一覧!$F$7:$F$2738,$F873))</f>
        <v/>
      </c>
      <c r="J873" s="12" t="str">
        <f aca="false">IF(INDEX(選手一覧!$G$7:$G$2738,$F873)="","",INDEX(選手一覧!$G$7:$G$2738,$F873))</f>
        <v/>
      </c>
    </row>
    <row r="874" customFormat="false" ht="15" hidden="false" customHeight="false" outlineLevel="0" collapsed="false">
      <c r="A874" s="12" t="n">
        <v>870</v>
      </c>
      <c r="B874" s="10" t="s">
        <v>2596</v>
      </c>
      <c r="C874" s="10" t="s">
        <v>685</v>
      </c>
      <c r="D874" s="11" t="n">
        <v>0.00289039351851852</v>
      </c>
      <c r="E874" s="18" t="n">
        <f aca="false">ROUND((D874-$D$5)*86400,2)</f>
        <v>24.7</v>
      </c>
      <c r="F874" s="12" t="n">
        <v>1817</v>
      </c>
      <c r="G874" s="11" t="str">
        <f aca="false">IF(INDEX(選手一覧!$D$7:$D$2738,$F874)="","",INDEX(選手一覧!$D$7:$D$2738,$F874))</f>
        <v/>
      </c>
      <c r="H874" s="12" t="str">
        <f aca="false">IF(INDEX(選手一覧!$E$7:$E$2738,$F874)="","",INDEX(選手一覧!$E$7:$E$2738,$F874))</f>
        <v/>
      </c>
      <c r="I874" s="11" t="str">
        <f aca="false">IF(INDEX(選手一覧!$F$7:$F$2738,$F874)="","",INDEX(選手一覧!$F$7:$F$2738,$F874))</f>
        <v/>
      </c>
      <c r="J874" s="12" t="str">
        <f aca="false">IF(INDEX(選手一覧!$G$7:$G$2738,$F874)="","",INDEX(選手一覧!$G$7:$G$2738,$F874))</f>
        <v/>
      </c>
    </row>
    <row r="875" customFormat="false" ht="15" hidden="false" customHeight="false" outlineLevel="0" collapsed="false">
      <c r="A875" s="12" t="n">
        <v>871</v>
      </c>
      <c r="B875" s="10" t="s">
        <v>367</v>
      </c>
      <c r="C875" s="10" t="s">
        <v>134</v>
      </c>
      <c r="D875" s="11" t="n">
        <v>0.00289039351851852</v>
      </c>
      <c r="E875" s="18" t="n">
        <f aca="false">ROUND((D875-$D$5)*86400,2)</f>
        <v>24.7</v>
      </c>
      <c r="F875" s="12" t="n">
        <v>218</v>
      </c>
      <c r="G875" s="11" t="n">
        <f aca="false">IF(INDEX(選手一覧!$D$7:$D$2738,$F875)="","",INDEX(選手一覧!$D$7:$D$2738,$F875))</f>
        <v>0.0101877314814815</v>
      </c>
      <c r="H875" s="12" t="n">
        <f aca="false">IF(INDEX(選手一覧!$E$7:$E$2738,$F875)="","",INDEX(選手一覧!$E$7:$E$2738,$F875))</f>
        <v>90</v>
      </c>
      <c r="I875" s="11" t="str">
        <f aca="false">IF(INDEX(選手一覧!$F$7:$F$2738,$F875)="","",INDEX(選手一覧!$F$7:$F$2738,$F875))</f>
        <v/>
      </c>
      <c r="J875" s="12" t="str">
        <f aca="false">IF(INDEX(選手一覧!$G$7:$G$2738,$F875)="","",INDEX(選手一覧!$G$7:$G$2738,$F875))</f>
        <v/>
      </c>
    </row>
    <row r="876" customFormat="false" ht="15" hidden="false" customHeight="false" outlineLevel="0" collapsed="false">
      <c r="A876" s="12" t="n">
        <v>872</v>
      </c>
      <c r="B876" s="10" t="s">
        <v>550</v>
      </c>
      <c r="C876" s="10" t="s">
        <v>551</v>
      </c>
      <c r="D876" s="11" t="n">
        <v>0.00289074074074074</v>
      </c>
      <c r="E876" s="18" t="n">
        <f aca="false">ROUND((D876-$D$5)*86400,2)</f>
        <v>24.73</v>
      </c>
      <c r="F876" s="12" t="n">
        <v>343</v>
      </c>
      <c r="G876" s="11" t="str">
        <f aca="false">IF(INDEX(選手一覧!$D$7:$D$2738,$F876)="","",INDEX(選手一覧!$D$7:$D$2738,$F876))</f>
        <v/>
      </c>
      <c r="H876" s="12" t="str">
        <f aca="false">IF(INDEX(選手一覧!$E$7:$E$2738,$F876)="","",INDEX(選手一覧!$E$7:$E$2738,$F876))</f>
        <v/>
      </c>
      <c r="I876" s="11" t="n">
        <f aca="false">IF(INDEX(選手一覧!$F$7:$F$2738,$F876)="","",INDEX(選手一覧!$F$7:$F$2738,$F876))</f>
        <v>0.00676597222222222</v>
      </c>
      <c r="J876" s="12" t="n">
        <f aca="false">IF(INDEX(選手一覧!$G$7:$G$2738,$F876)="","",INDEX(選手一覧!$G$7:$G$2738,$F876))</f>
        <v>143</v>
      </c>
    </row>
    <row r="877" customFormat="false" ht="15" hidden="false" customHeight="false" outlineLevel="0" collapsed="false">
      <c r="A877" s="12" t="n">
        <v>873</v>
      </c>
      <c r="B877" s="10" t="s">
        <v>2604</v>
      </c>
      <c r="C877" s="10" t="s">
        <v>1280</v>
      </c>
      <c r="D877" s="11" t="n">
        <v>0.00289085648148148</v>
      </c>
      <c r="E877" s="18" t="n">
        <f aca="false">ROUND((D877-$D$5)*86400,2)</f>
        <v>24.74</v>
      </c>
      <c r="F877" s="12" t="n">
        <v>1822</v>
      </c>
      <c r="G877" s="11" t="str">
        <f aca="false">IF(INDEX(選手一覧!$D$7:$D$2738,$F877)="","",INDEX(選手一覧!$D$7:$D$2738,$F877))</f>
        <v/>
      </c>
      <c r="H877" s="12" t="str">
        <f aca="false">IF(INDEX(選手一覧!$E$7:$E$2738,$F877)="","",INDEX(選手一覧!$E$7:$E$2738,$F877))</f>
        <v/>
      </c>
      <c r="I877" s="11" t="str">
        <f aca="false">IF(INDEX(選手一覧!$F$7:$F$2738,$F877)="","",INDEX(選手一覧!$F$7:$F$2738,$F877))</f>
        <v/>
      </c>
      <c r="J877" s="12" t="str">
        <f aca="false">IF(INDEX(選手一覧!$G$7:$G$2738,$F877)="","",INDEX(選手一覧!$G$7:$G$2738,$F877))</f>
        <v/>
      </c>
    </row>
    <row r="878" customFormat="false" ht="15" hidden="false" customHeight="false" outlineLevel="0" collapsed="false">
      <c r="A878" s="12" t="n">
        <v>874</v>
      </c>
      <c r="B878" s="10" t="s">
        <v>2607</v>
      </c>
      <c r="C878" s="10" t="s">
        <v>705</v>
      </c>
      <c r="D878" s="11" t="n">
        <v>0.00289085648148148</v>
      </c>
      <c r="E878" s="18" t="n">
        <f aca="false">ROUND((D878-$D$5)*86400,2)</f>
        <v>24.74</v>
      </c>
      <c r="F878" s="12" t="n">
        <v>1824</v>
      </c>
      <c r="G878" s="11" t="str">
        <f aca="false">IF(INDEX(選手一覧!$D$7:$D$2738,$F878)="","",INDEX(選手一覧!$D$7:$D$2738,$F878))</f>
        <v/>
      </c>
      <c r="H878" s="12" t="str">
        <f aca="false">IF(INDEX(選手一覧!$E$7:$E$2738,$F878)="","",INDEX(選手一覧!$E$7:$E$2738,$F878))</f>
        <v/>
      </c>
      <c r="I878" s="11" t="str">
        <f aca="false">IF(INDEX(選手一覧!$F$7:$F$2738,$F878)="","",INDEX(選手一覧!$F$7:$F$2738,$F878))</f>
        <v/>
      </c>
      <c r="J878" s="12" t="str">
        <f aca="false">IF(INDEX(選手一覧!$G$7:$G$2738,$F878)="","",INDEX(選手一覧!$G$7:$G$2738,$F878))</f>
        <v/>
      </c>
    </row>
    <row r="879" customFormat="false" ht="15" hidden="false" customHeight="false" outlineLevel="0" collapsed="false">
      <c r="A879" s="12" t="n">
        <v>875</v>
      </c>
      <c r="B879" s="10" t="s">
        <v>725</v>
      </c>
      <c r="C879" s="10" t="s">
        <v>254</v>
      </c>
      <c r="D879" s="11" t="n">
        <v>0.00289097222222222</v>
      </c>
      <c r="E879" s="18" t="n">
        <f aca="false">ROUND((D879-$D$5)*86400,2)</f>
        <v>24.75</v>
      </c>
      <c r="F879" s="12" t="n">
        <v>466</v>
      </c>
      <c r="G879" s="11" t="n">
        <f aca="false">IF(INDEX(選手一覧!$D$7:$D$2738,$F879)="","",INDEX(選手一覧!$D$7:$D$2738,$F879))</f>
        <v>0.0106498842592593</v>
      </c>
      <c r="H879" s="12" t="n">
        <f aca="false">IF(INDEX(選手一覧!$E$7:$E$2738,$F879)="","",INDEX(選手一覧!$E$7:$E$2738,$F879))</f>
        <v>525</v>
      </c>
      <c r="I879" s="11" t="n">
        <f aca="false">IF(INDEX(選手一覧!$F$7:$F$2738,$F879)="","",INDEX(選手一覧!$F$7:$F$2738,$F879))</f>
        <v>0.006834375</v>
      </c>
      <c r="J879" s="12" t="n">
        <f aca="false">IF(INDEX(選手一覧!$G$7:$G$2738,$F879)="","",INDEX(選手一覧!$G$7:$G$2738,$F879))</f>
        <v>196</v>
      </c>
    </row>
    <row r="880" customFormat="false" ht="15" hidden="false" customHeight="false" outlineLevel="0" collapsed="false">
      <c r="A880" s="12" t="n">
        <v>876</v>
      </c>
      <c r="B880" s="10" t="s">
        <v>2614</v>
      </c>
      <c r="C880" s="10" t="s">
        <v>2615</v>
      </c>
      <c r="D880" s="11" t="n">
        <v>0.00289108796296296</v>
      </c>
      <c r="E880" s="18" t="n">
        <f aca="false">ROUND((D880-$D$5)*86400,2)</f>
        <v>24.76</v>
      </c>
      <c r="F880" s="12" t="n">
        <v>1829</v>
      </c>
      <c r="G880" s="11" t="str">
        <f aca="false">IF(INDEX(選手一覧!$D$7:$D$2738,$F880)="","",INDEX(選手一覧!$D$7:$D$2738,$F880))</f>
        <v/>
      </c>
      <c r="H880" s="12" t="str">
        <f aca="false">IF(INDEX(選手一覧!$E$7:$E$2738,$F880)="","",INDEX(選手一覧!$E$7:$E$2738,$F880))</f>
        <v/>
      </c>
      <c r="I880" s="11" t="str">
        <f aca="false">IF(INDEX(選手一覧!$F$7:$F$2738,$F880)="","",INDEX(選手一覧!$F$7:$F$2738,$F880))</f>
        <v/>
      </c>
      <c r="J880" s="12" t="str">
        <f aca="false">IF(INDEX(選手一覧!$G$7:$G$2738,$F880)="","",INDEX(選手一覧!$G$7:$G$2738,$F880))</f>
        <v/>
      </c>
    </row>
    <row r="881" customFormat="false" ht="15" hidden="false" customHeight="false" outlineLevel="0" collapsed="false">
      <c r="A881" s="12" t="n">
        <v>877</v>
      </c>
      <c r="B881" s="10" t="s">
        <v>2618</v>
      </c>
      <c r="C881" s="10" t="s">
        <v>2619</v>
      </c>
      <c r="D881" s="11" t="n">
        <v>0.00289108796296296</v>
      </c>
      <c r="E881" s="18" t="n">
        <f aca="false">ROUND((D881-$D$5)*86400,2)</f>
        <v>24.76</v>
      </c>
      <c r="F881" s="12" t="n">
        <v>1831</v>
      </c>
      <c r="G881" s="11" t="str">
        <f aca="false">IF(INDEX(選手一覧!$D$7:$D$2738,$F881)="","",INDEX(選手一覧!$D$7:$D$2738,$F881))</f>
        <v/>
      </c>
      <c r="H881" s="12" t="str">
        <f aca="false">IF(INDEX(選手一覧!$E$7:$E$2738,$F881)="","",INDEX(選手一覧!$E$7:$E$2738,$F881))</f>
        <v/>
      </c>
      <c r="I881" s="11" t="str">
        <f aca="false">IF(INDEX(選手一覧!$F$7:$F$2738,$F881)="","",INDEX(選手一覧!$F$7:$F$2738,$F881))</f>
        <v/>
      </c>
      <c r="J881" s="12" t="str">
        <f aca="false">IF(INDEX(選手一覧!$G$7:$G$2738,$F881)="","",INDEX(選手一覧!$G$7:$G$2738,$F881))</f>
        <v/>
      </c>
    </row>
    <row r="882" customFormat="false" ht="15" hidden="false" customHeight="false" outlineLevel="0" collapsed="false">
      <c r="A882" s="12" t="n">
        <v>878</v>
      </c>
      <c r="B882" s="10" t="s">
        <v>167</v>
      </c>
      <c r="C882" s="10" t="s">
        <v>168</v>
      </c>
      <c r="D882" s="11" t="n">
        <v>0.0028912037037037</v>
      </c>
      <c r="E882" s="18" t="n">
        <f aca="false">ROUND((D882-$D$5)*86400,2)</f>
        <v>24.77</v>
      </c>
      <c r="F882" s="12" t="n">
        <v>83</v>
      </c>
      <c r="G882" s="11" t="n">
        <f aca="false">IF(INDEX(選手一覧!$D$7:$D$2738,$F882)="","",INDEX(選手一覧!$D$7:$D$2738,$F882))</f>
        <v>0.0106184027777778</v>
      </c>
      <c r="H882" s="12" t="n">
        <f aca="false">IF(INDEX(選手一覧!$E$7:$E$2738,$F882)="","",INDEX(選手一覧!$E$7:$E$2738,$F882))</f>
        <v>495</v>
      </c>
      <c r="I882" s="11" t="n">
        <f aca="false">IF(INDEX(選手一覧!$F$7:$F$2738,$F882)="","",INDEX(選手一覧!$F$7:$F$2738,$F882))</f>
        <v>0.00649166666666667</v>
      </c>
      <c r="J882" s="12" t="n">
        <f aca="false">IF(INDEX(選手一覧!$G$7:$G$2738,$F882)="","",INDEX(選手一覧!$G$7:$G$2738,$F882))</f>
        <v>33</v>
      </c>
    </row>
    <row r="883" customFormat="false" ht="15" hidden="false" customHeight="false" outlineLevel="0" collapsed="false">
      <c r="A883" s="12" t="n">
        <v>879</v>
      </c>
      <c r="B883" s="10" t="s">
        <v>2070</v>
      </c>
      <c r="C883" s="10" t="s">
        <v>538</v>
      </c>
      <c r="D883" s="11" t="n">
        <v>0.00289131944444445</v>
      </c>
      <c r="E883" s="18" t="n">
        <f aca="false">ROUND((D883-$D$5)*86400,2)</f>
        <v>24.78</v>
      </c>
      <c r="F883" s="12" t="n">
        <v>1431</v>
      </c>
      <c r="G883" s="11" t="n">
        <f aca="false">IF(INDEX(選手一覧!$D$7:$D$2738,$F883)="","",INDEX(選手一覧!$D$7:$D$2738,$F883))</f>
        <v>0.0107561342592593</v>
      </c>
      <c r="H883" s="12" t="n">
        <f aca="false">IF(INDEX(選手一覧!$E$7:$E$2738,$F883)="","",INDEX(選手一覧!$E$7:$E$2738,$F883))</f>
        <v>676</v>
      </c>
      <c r="I883" s="11" t="str">
        <f aca="false">IF(INDEX(選手一覧!$F$7:$F$2738,$F883)="","",INDEX(選手一覧!$F$7:$F$2738,$F883))</f>
        <v/>
      </c>
      <c r="J883" s="12" t="str">
        <f aca="false">IF(INDEX(選手一覧!$G$7:$G$2738,$F883)="","",INDEX(選手一覧!$G$7:$G$2738,$F883))</f>
        <v/>
      </c>
    </row>
    <row r="884" customFormat="false" ht="15" hidden="false" customHeight="false" outlineLevel="0" collapsed="false">
      <c r="A884" s="12" t="n">
        <v>880</v>
      </c>
      <c r="B884" s="10" t="s">
        <v>1245</v>
      </c>
      <c r="C884" s="10" t="s">
        <v>1246</v>
      </c>
      <c r="D884" s="11" t="n">
        <v>0.00289143518518519</v>
      </c>
      <c r="E884" s="18" t="n">
        <f aca="false">ROUND((D884-$D$5)*86400,2)</f>
        <v>24.79</v>
      </c>
      <c r="F884" s="12" t="n">
        <v>846</v>
      </c>
      <c r="G884" s="11" t="n">
        <f aca="false">IF(INDEX(選手一覧!$D$7:$D$2738,$F884)="","",INDEX(選手一覧!$D$7:$D$2738,$F884))</f>
        <v>0.0110396990740741</v>
      </c>
      <c r="H884" s="12" t="n">
        <f aca="false">IF(INDEX(選手一覧!$E$7:$E$2738,$F884)="","",INDEX(選手一覧!$E$7:$E$2738,$F884))</f>
        <v>1177</v>
      </c>
      <c r="I884" s="11" t="n">
        <f aca="false">IF(INDEX(選手一覧!$F$7:$F$2738,$F884)="","",INDEX(選手一覧!$F$7:$F$2738,$F884))</f>
        <v>0.00704016203703704</v>
      </c>
      <c r="J884" s="12" t="n">
        <f aca="false">IF(INDEX(選手一覧!$G$7:$G$2738,$F884)="","",INDEX(選手一覧!$G$7:$G$2738,$F884))</f>
        <v>375</v>
      </c>
    </row>
    <row r="885" customFormat="false" ht="15" hidden="false" customHeight="false" outlineLevel="0" collapsed="false">
      <c r="A885" s="12" t="n">
        <v>881</v>
      </c>
      <c r="B885" s="10" t="s">
        <v>1081</v>
      </c>
      <c r="C885" s="10" t="s">
        <v>64</v>
      </c>
      <c r="D885" s="11" t="n">
        <v>0.00289143518518519</v>
      </c>
      <c r="E885" s="18" t="n">
        <f aca="false">ROUND((D885-$D$5)*86400,2)</f>
        <v>24.79</v>
      </c>
      <c r="F885" s="12" t="n">
        <v>726</v>
      </c>
      <c r="G885" s="11" t="n">
        <f aca="false">IF(INDEX(選手一覧!$D$7:$D$2738,$F885)="","",INDEX(選手一覧!$D$7:$D$2738,$F885))</f>
        <v>0.0104619212962963</v>
      </c>
      <c r="H885" s="12" t="n">
        <f aca="false">IF(INDEX(選手一覧!$E$7:$E$2738,$F885)="","",INDEX(選手一覧!$E$7:$E$2738,$F885))</f>
        <v>312</v>
      </c>
      <c r="I885" s="11" t="str">
        <f aca="false">IF(INDEX(選手一覧!$F$7:$F$2738,$F885)="","",INDEX(選手一覧!$F$7:$F$2738,$F885))</f>
        <v/>
      </c>
      <c r="J885" s="12" t="str">
        <f aca="false">IF(INDEX(選手一覧!$G$7:$G$2738,$F885)="","",INDEX(選手一覧!$G$7:$G$2738,$F885))</f>
        <v/>
      </c>
    </row>
    <row r="886" customFormat="false" ht="15" hidden="false" customHeight="false" outlineLevel="0" collapsed="false">
      <c r="A886" s="12" t="n">
        <v>882</v>
      </c>
      <c r="B886" s="10" t="s">
        <v>2632</v>
      </c>
      <c r="C886" s="10" t="s">
        <v>927</v>
      </c>
      <c r="D886" s="11" t="n">
        <v>0.00289143518518519</v>
      </c>
      <c r="E886" s="18" t="n">
        <f aca="false">ROUND((D886-$D$5)*86400,2)</f>
        <v>24.79</v>
      </c>
      <c r="F886" s="12" t="n">
        <v>1840</v>
      </c>
      <c r="G886" s="11" t="str">
        <f aca="false">IF(INDEX(選手一覧!$D$7:$D$2738,$F886)="","",INDEX(選手一覧!$D$7:$D$2738,$F886))</f>
        <v/>
      </c>
      <c r="H886" s="12" t="str">
        <f aca="false">IF(INDEX(選手一覧!$E$7:$E$2738,$F886)="","",INDEX(選手一覧!$E$7:$E$2738,$F886))</f>
        <v/>
      </c>
      <c r="I886" s="11" t="str">
        <f aca="false">IF(INDEX(選手一覧!$F$7:$F$2738,$F886)="","",INDEX(選手一覧!$F$7:$F$2738,$F886))</f>
        <v/>
      </c>
      <c r="J886" s="12" t="str">
        <f aca="false">IF(INDEX(選手一覧!$G$7:$G$2738,$F886)="","",INDEX(選手一覧!$G$7:$G$2738,$F886))</f>
        <v/>
      </c>
    </row>
    <row r="887" customFormat="false" ht="15" hidden="false" customHeight="false" outlineLevel="0" collapsed="false">
      <c r="A887" s="12" t="n">
        <v>883</v>
      </c>
      <c r="B887" s="10" t="s">
        <v>1795</v>
      </c>
      <c r="C887" s="10" t="s">
        <v>621</v>
      </c>
      <c r="D887" s="11" t="n">
        <v>0.00289143518518519</v>
      </c>
      <c r="E887" s="18" t="n">
        <f aca="false">ROUND((D887-$D$5)*86400,2)</f>
        <v>24.79</v>
      </c>
      <c r="F887" s="12" t="n">
        <v>1236</v>
      </c>
      <c r="G887" s="11" t="n">
        <f aca="false">IF(INDEX(選手一覧!$D$7:$D$2738,$F887)="","",INDEX(選手一覧!$D$7:$D$2738,$F887))</f>
        <v>0.01069375</v>
      </c>
      <c r="H887" s="12" t="n">
        <f aca="false">IF(INDEX(選手一覧!$E$7:$E$2738,$F887)="","",INDEX(選手一覧!$E$7:$E$2738,$F887))</f>
        <v>568</v>
      </c>
      <c r="I887" s="11" t="str">
        <f aca="false">IF(INDEX(選手一覧!$F$7:$F$2738,$F887)="","",INDEX(選手一覧!$F$7:$F$2738,$F887))</f>
        <v/>
      </c>
      <c r="J887" s="12" t="str">
        <f aca="false">IF(INDEX(選手一覧!$G$7:$G$2738,$F887)="","",INDEX(選手一覧!$G$7:$G$2738,$F887))</f>
        <v/>
      </c>
    </row>
    <row r="888" customFormat="false" ht="15" hidden="false" customHeight="false" outlineLevel="0" collapsed="false">
      <c r="A888" s="12" t="n">
        <v>884</v>
      </c>
      <c r="B888" s="10" t="s">
        <v>956</v>
      </c>
      <c r="C888" s="10" t="s">
        <v>541</v>
      </c>
      <c r="D888" s="11" t="n">
        <v>0.00289166666666667</v>
      </c>
      <c r="E888" s="18" t="n">
        <f aca="false">ROUND((D888-$D$5)*86400,2)</f>
        <v>24.81</v>
      </c>
      <c r="F888" s="12" t="n">
        <v>635</v>
      </c>
      <c r="G888" s="11" t="n">
        <f aca="false">IF(INDEX(選手一覧!$D$7:$D$2738,$F888)="","",INDEX(選手一覧!$D$7:$D$2738,$F888))</f>
        <v>0.0109114583333333</v>
      </c>
      <c r="H888" s="12" t="n">
        <f aca="false">IF(INDEX(選手一覧!$E$7:$E$2738,$F888)="","",INDEX(選手一覧!$E$7:$E$2738,$F888))</f>
        <v>940</v>
      </c>
      <c r="I888" s="11" t="n">
        <f aca="false">IF(INDEX(選手一覧!$F$7:$F$2738,$F888)="","",INDEX(選手一覧!$F$7:$F$2738,$F888))</f>
        <v>0.00692696759259259</v>
      </c>
      <c r="J888" s="12" t="n">
        <f aca="false">IF(INDEX(選手一覧!$G$7:$G$2738,$F888)="","",INDEX(選手一覧!$G$7:$G$2738,$F888))</f>
        <v>267</v>
      </c>
    </row>
    <row r="889" customFormat="false" ht="15" hidden="false" customHeight="false" outlineLevel="0" collapsed="false">
      <c r="A889" s="12" t="n">
        <v>885</v>
      </c>
      <c r="B889" s="10" t="s">
        <v>2639</v>
      </c>
      <c r="C889" s="10" t="s">
        <v>2640</v>
      </c>
      <c r="D889" s="11" t="n">
        <v>0.00289178240740741</v>
      </c>
      <c r="E889" s="18" t="n">
        <f aca="false">ROUND((D889-$D$5)*86400,2)</f>
        <v>24.82</v>
      </c>
      <c r="F889" s="12" t="n">
        <v>1846</v>
      </c>
      <c r="G889" s="11" t="str">
        <f aca="false">IF(INDEX(選手一覧!$D$7:$D$2738,$F889)="","",INDEX(選手一覧!$D$7:$D$2738,$F889))</f>
        <v/>
      </c>
      <c r="H889" s="12" t="str">
        <f aca="false">IF(INDEX(選手一覧!$E$7:$E$2738,$F889)="","",INDEX(選手一覧!$E$7:$E$2738,$F889))</f>
        <v/>
      </c>
      <c r="I889" s="11" t="str">
        <f aca="false">IF(INDEX(選手一覧!$F$7:$F$2738,$F889)="","",INDEX(選手一覧!$F$7:$F$2738,$F889))</f>
        <v/>
      </c>
      <c r="J889" s="12" t="str">
        <f aca="false">IF(INDEX(選手一覧!$G$7:$G$2738,$F889)="","",INDEX(選手一覧!$G$7:$G$2738,$F889))</f>
        <v/>
      </c>
    </row>
    <row r="890" customFormat="false" ht="15" hidden="false" customHeight="false" outlineLevel="0" collapsed="false">
      <c r="A890" s="12" t="n">
        <v>886</v>
      </c>
      <c r="B890" s="10" t="s">
        <v>2566</v>
      </c>
      <c r="C890" s="10" t="s">
        <v>494</v>
      </c>
      <c r="D890" s="11" t="n">
        <v>0.00289189814814815</v>
      </c>
      <c r="E890" s="18" t="n">
        <f aca="false">ROUND((D890-$D$5)*86400,2)</f>
        <v>24.83</v>
      </c>
      <c r="F890" s="12" t="n">
        <v>1792</v>
      </c>
      <c r="G890" s="11" t="n">
        <f aca="false">IF(INDEX(選手一覧!$D$7:$D$2738,$F890)="","",INDEX(選手一覧!$D$7:$D$2738,$F890))</f>
        <v>0.0108631944444444</v>
      </c>
      <c r="H890" s="12" t="n">
        <f aca="false">IF(INDEX(選手一覧!$E$7:$E$2738,$F890)="","",INDEX(選手一覧!$E$7:$E$2738,$F890))</f>
        <v>857</v>
      </c>
      <c r="I890" s="11" t="str">
        <f aca="false">IF(INDEX(選手一覧!$F$7:$F$2738,$F890)="","",INDEX(選手一覧!$F$7:$F$2738,$F890))</f>
        <v/>
      </c>
      <c r="J890" s="12" t="str">
        <f aca="false">IF(INDEX(選手一覧!$G$7:$G$2738,$F890)="","",INDEX(選手一覧!$G$7:$G$2738,$F890))</f>
        <v/>
      </c>
    </row>
    <row r="891" customFormat="false" ht="15" hidden="false" customHeight="false" outlineLevel="0" collapsed="false">
      <c r="A891" s="12" t="n">
        <v>887</v>
      </c>
      <c r="B891" s="10" t="s">
        <v>2642</v>
      </c>
      <c r="C891" s="10" t="s">
        <v>917</v>
      </c>
      <c r="D891" s="11" t="n">
        <v>0.00289201388888889</v>
      </c>
      <c r="E891" s="18" t="n">
        <f aca="false">ROUND((D891-$D$5)*86400,2)</f>
        <v>24.84</v>
      </c>
      <c r="F891" s="12" t="n">
        <v>1848</v>
      </c>
      <c r="G891" s="11" t="n">
        <f aca="false">IF(INDEX(選手一覧!$D$7:$D$2738,$F891)="","",INDEX(選手一覧!$D$7:$D$2738,$F891))</f>
        <v>0.0108950231481482</v>
      </c>
      <c r="H891" s="12" t="n">
        <f aca="false">IF(INDEX(選手一覧!$E$7:$E$2738,$F891)="","",INDEX(選手一覧!$E$7:$E$2738,$F891))</f>
        <v>911</v>
      </c>
      <c r="I891" s="11" t="str">
        <f aca="false">IF(INDEX(選手一覧!$F$7:$F$2738,$F891)="","",INDEX(選手一覧!$F$7:$F$2738,$F891))</f>
        <v/>
      </c>
      <c r="J891" s="12" t="str">
        <f aca="false">IF(INDEX(選手一覧!$G$7:$G$2738,$F891)="","",INDEX(選手一覧!$G$7:$G$2738,$F891))</f>
        <v/>
      </c>
    </row>
    <row r="892" customFormat="false" ht="15" hidden="false" customHeight="false" outlineLevel="0" collapsed="false">
      <c r="A892" s="12" t="n">
        <v>888</v>
      </c>
      <c r="B892" s="10" t="s">
        <v>2646</v>
      </c>
      <c r="C892" s="10" t="s">
        <v>1905</v>
      </c>
      <c r="D892" s="11" t="n">
        <v>0.00289201388888889</v>
      </c>
      <c r="E892" s="18" t="n">
        <f aca="false">ROUND((D892-$D$5)*86400,2)</f>
        <v>24.84</v>
      </c>
      <c r="F892" s="12" t="n">
        <v>1852</v>
      </c>
      <c r="G892" s="11" t="str">
        <f aca="false">IF(INDEX(選手一覧!$D$7:$D$2738,$F892)="","",INDEX(選手一覧!$D$7:$D$2738,$F892))</f>
        <v/>
      </c>
      <c r="H892" s="12" t="str">
        <f aca="false">IF(INDEX(選手一覧!$E$7:$E$2738,$F892)="","",INDEX(選手一覧!$E$7:$E$2738,$F892))</f>
        <v/>
      </c>
      <c r="I892" s="11" t="str">
        <f aca="false">IF(INDEX(選手一覧!$F$7:$F$2738,$F892)="","",INDEX(選手一覧!$F$7:$F$2738,$F892))</f>
        <v/>
      </c>
      <c r="J892" s="12" t="str">
        <f aca="false">IF(INDEX(選手一覧!$G$7:$G$2738,$F892)="","",INDEX(選手一覧!$G$7:$G$2738,$F892))</f>
        <v/>
      </c>
    </row>
    <row r="893" customFormat="false" ht="15" hidden="false" customHeight="false" outlineLevel="0" collapsed="false">
      <c r="A893" s="12" t="n">
        <v>889</v>
      </c>
      <c r="B893" s="10" t="s">
        <v>2649</v>
      </c>
      <c r="C893" s="10" t="s">
        <v>2650</v>
      </c>
      <c r="D893" s="11" t="n">
        <v>0.00289201388888889</v>
      </c>
      <c r="E893" s="18" t="n">
        <f aca="false">ROUND((D893-$D$5)*86400,2)</f>
        <v>24.84</v>
      </c>
      <c r="F893" s="12" t="n">
        <v>1855</v>
      </c>
      <c r="G893" s="11" t="str">
        <f aca="false">IF(INDEX(選手一覧!$D$7:$D$2738,$F893)="","",INDEX(選手一覧!$D$7:$D$2738,$F893))</f>
        <v/>
      </c>
      <c r="H893" s="12" t="str">
        <f aca="false">IF(INDEX(選手一覧!$E$7:$E$2738,$F893)="","",INDEX(選手一覧!$E$7:$E$2738,$F893))</f>
        <v/>
      </c>
      <c r="I893" s="11" t="str">
        <f aca="false">IF(INDEX(選手一覧!$F$7:$F$2738,$F893)="","",INDEX(選手一覧!$F$7:$F$2738,$F893))</f>
        <v/>
      </c>
      <c r="J893" s="12" t="str">
        <f aca="false">IF(INDEX(選手一覧!$G$7:$G$2738,$F893)="","",INDEX(選手一覧!$G$7:$G$2738,$F893))</f>
        <v/>
      </c>
    </row>
    <row r="894" customFormat="false" ht="15" hidden="false" customHeight="false" outlineLevel="0" collapsed="false">
      <c r="A894" s="12" t="n">
        <v>890</v>
      </c>
      <c r="B894" s="10" t="s">
        <v>2651</v>
      </c>
      <c r="C894" s="10" t="s">
        <v>1496</v>
      </c>
      <c r="D894" s="11" t="n">
        <v>0.00289212962962963</v>
      </c>
      <c r="E894" s="18" t="n">
        <f aca="false">ROUND((D894-$D$5)*86400,2)</f>
        <v>24.85</v>
      </c>
      <c r="F894" s="12" t="n">
        <v>1856</v>
      </c>
      <c r="G894" s="11" t="n">
        <f aca="false">IF(INDEX(選手一覧!$D$7:$D$2738,$F894)="","",INDEX(選手一覧!$D$7:$D$2738,$F894))</f>
        <v>0.0110709490740741</v>
      </c>
      <c r="H894" s="12" t="n">
        <f aca="false">IF(INDEX(選手一覧!$E$7:$E$2738,$F894)="","",INDEX(選手一覧!$E$7:$E$2738,$F894))</f>
        <v>1236</v>
      </c>
      <c r="I894" s="11" t="str">
        <f aca="false">IF(INDEX(選手一覧!$F$7:$F$2738,$F894)="","",INDEX(選手一覧!$F$7:$F$2738,$F894))</f>
        <v/>
      </c>
      <c r="J894" s="12" t="str">
        <f aca="false">IF(INDEX(選手一覧!$G$7:$G$2738,$F894)="","",INDEX(選手一覧!$G$7:$G$2738,$F894))</f>
        <v/>
      </c>
    </row>
    <row r="895" customFormat="false" ht="15" hidden="false" customHeight="false" outlineLevel="0" collapsed="false">
      <c r="A895" s="12" t="n">
        <v>891</v>
      </c>
      <c r="B895" s="10" t="s">
        <v>1233</v>
      </c>
      <c r="C895" s="10" t="s">
        <v>312</v>
      </c>
      <c r="D895" s="11" t="n">
        <v>0.00289212962962963</v>
      </c>
      <c r="E895" s="18" t="n">
        <f aca="false">ROUND((D895-$D$5)*86400,2)</f>
        <v>24.85</v>
      </c>
      <c r="F895" s="12" t="n">
        <v>836</v>
      </c>
      <c r="G895" s="11" t="n">
        <f aca="false">IF(INDEX(選手一覧!$D$7:$D$2738,$F895)="","",INDEX(選手一覧!$D$7:$D$2738,$F895))</f>
        <v>0.0105259259259259</v>
      </c>
      <c r="H895" s="12" t="n">
        <f aca="false">IF(INDEX(選手一覧!$E$7:$E$2738,$F895)="","",INDEX(選手一覧!$E$7:$E$2738,$F895))</f>
        <v>368</v>
      </c>
      <c r="I895" s="11" t="str">
        <f aca="false">IF(INDEX(選手一覧!$F$7:$F$2738,$F895)="","",INDEX(選手一覧!$F$7:$F$2738,$F895))</f>
        <v/>
      </c>
      <c r="J895" s="12" t="str">
        <f aca="false">IF(INDEX(選手一覧!$G$7:$G$2738,$F895)="","",INDEX(選手一覧!$G$7:$G$2738,$F895))</f>
        <v/>
      </c>
    </row>
    <row r="896" customFormat="false" ht="15" hidden="false" customHeight="false" outlineLevel="0" collapsed="false">
      <c r="A896" s="12" t="n">
        <v>892</v>
      </c>
      <c r="B896" s="10" t="s">
        <v>2358</v>
      </c>
      <c r="C896" s="10" t="s">
        <v>277</v>
      </c>
      <c r="D896" s="11" t="n">
        <v>0.00289212962962963</v>
      </c>
      <c r="E896" s="18" t="n">
        <f aca="false">ROUND((D896-$D$5)*86400,2)</f>
        <v>24.85</v>
      </c>
      <c r="F896" s="12" t="n">
        <v>1633</v>
      </c>
      <c r="G896" s="11" t="n">
        <f aca="false">IF(INDEX(選手一覧!$D$7:$D$2738,$F896)="","",INDEX(選手一覧!$D$7:$D$2738,$F896))</f>
        <v>0.0109872685185185</v>
      </c>
      <c r="H896" s="12" t="n">
        <f aca="false">IF(INDEX(選手一覧!$E$7:$E$2738,$F896)="","",INDEX(選手一覧!$E$7:$E$2738,$F896))</f>
        <v>1076</v>
      </c>
      <c r="I896" s="11" t="n">
        <f aca="false">IF(INDEX(選手一覧!$F$7:$F$2738,$F896)="","",INDEX(選手一覧!$F$7:$F$2738,$F896))</f>
        <v>0.00740451388888889</v>
      </c>
      <c r="J896" s="12" t="n">
        <f aca="false">IF(INDEX(選手一覧!$G$7:$G$2738,$F896)="","",INDEX(選手一覧!$G$7:$G$2738,$F896))</f>
        <v>777</v>
      </c>
    </row>
    <row r="897" customFormat="false" ht="15" hidden="false" customHeight="false" outlineLevel="0" collapsed="false">
      <c r="A897" s="12" t="n">
        <v>893</v>
      </c>
      <c r="B897" s="10" t="s">
        <v>1115</v>
      </c>
      <c r="C897" s="10" t="s">
        <v>494</v>
      </c>
      <c r="D897" s="11" t="n">
        <v>0.00289224537037037</v>
      </c>
      <c r="E897" s="18" t="n">
        <f aca="false">ROUND((D897-$D$5)*86400,2)</f>
        <v>24.86</v>
      </c>
      <c r="F897" s="12" t="n">
        <v>752</v>
      </c>
      <c r="G897" s="11" t="n">
        <f aca="false">IF(INDEX(選手一覧!$D$7:$D$2738,$F897)="","",INDEX(選手一覧!$D$7:$D$2738,$F897))</f>
        <v>0.0109925925925926</v>
      </c>
      <c r="H897" s="12" t="n">
        <f aca="false">IF(INDEX(選手一覧!$E$7:$E$2738,$F897)="","",INDEX(選手一覧!$E$7:$E$2738,$F897))</f>
        <v>1084</v>
      </c>
      <c r="I897" s="11" t="n">
        <f aca="false">IF(INDEX(選手一覧!$F$7:$F$2738,$F897)="","",INDEX(選手一覧!$F$7:$F$2738,$F897))</f>
        <v>0.00699201388888889</v>
      </c>
      <c r="J897" s="12" t="n">
        <f aca="false">IF(INDEX(選手一覧!$G$7:$G$2738,$F897)="","",INDEX(選手一覧!$G$7:$G$2738,$F897))</f>
        <v>326</v>
      </c>
    </row>
    <row r="898" customFormat="false" ht="15" hidden="false" customHeight="false" outlineLevel="0" collapsed="false">
      <c r="A898" s="12" t="n">
        <v>894</v>
      </c>
      <c r="B898" s="10" t="s">
        <v>2662</v>
      </c>
      <c r="C898" s="10" t="s">
        <v>2663</v>
      </c>
      <c r="D898" s="11" t="n">
        <v>0.00289247685185185</v>
      </c>
      <c r="E898" s="18" t="n">
        <f aca="false">ROUND((D898-$D$5)*86400,2)</f>
        <v>24.88</v>
      </c>
      <c r="F898" s="12" t="n">
        <v>1865</v>
      </c>
      <c r="G898" s="11" t="str">
        <f aca="false">IF(INDEX(選手一覧!$D$7:$D$2738,$F898)="","",INDEX(選手一覧!$D$7:$D$2738,$F898))</f>
        <v/>
      </c>
      <c r="H898" s="12" t="str">
        <f aca="false">IF(INDEX(選手一覧!$E$7:$E$2738,$F898)="","",INDEX(選手一覧!$E$7:$E$2738,$F898))</f>
        <v/>
      </c>
      <c r="I898" s="11" t="str">
        <f aca="false">IF(INDEX(選手一覧!$F$7:$F$2738,$F898)="","",INDEX(選手一覧!$F$7:$F$2738,$F898))</f>
        <v/>
      </c>
      <c r="J898" s="12" t="str">
        <f aca="false">IF(INDEX(選手一覧!$G$7:$G$2738,$F898)="","",INDEX(選手一覧!$G$7:$G$2738,$F898))</f>
        <v/>
      </c>
    </row>
    <row r="899" customFormat="false" ht="15" hidden="false" customHeight="false" outlineLevel="0" collapsed="false">
      <c r="A899" s="12" t="n">
        <v>895</v>
      </c>
      <c r="B899" s="10" t="s">
        <v>2188</v>
      </c>
      <c r="C899" s="10" t="s">
        <v>1496</v>
      </c>
      <c r="D899" s="11" t="n">
        <v>0.00289259259259259</v>
      </c>
      <c r="E899" s="18" t="n">
        <f aca="false">ROUND((D899-$D$5)*86400,2)</f>
        <v>24.89</v>
      </c>
      <c r="F899" s="12" t="n">
        <v>1514</v>
      </c>
      <c r="G899" s="11" t="n">
        <f aca="false">IF(INDEX(選手一覧!$D$7:$D$2738,$F899)="","",INDEX(選手一覧!$D$7:$D$2738,$F899))</f>
        <v>0.0107894675925926</v>
      </c>
      <c r="H899" s="12" t="n">
        <f aca="false">IF(INDEX(選手一覧!$E$7:$E$2738,$F899)="","",INDEX(選手一覧!$E$7:$E$2738,$F899))</f>
        <v>721</v>
      </c>
      <c r="I899" s="11" t="str">
        <f aca="false">IF(INDEX(選手一覧!$F$7:$F$2738,$F899)="","",INDEX(選手一覧!$F$7:$F$2738,$F899))</f>
        <v/>
      </c>
      <c r="J899" s="12" t="str">
        <f aca="false">IF(INDEX(選手一覧!$G$7:$G$2738,$F899)="","",INDEX(選手一覧!$G$7:$G$2738,$F899))</f>
        <v/>
      </c>
    </row>
    <row r="900" customFormat="false" ht="15" hidden="false" customHeight="false" outlineLevel="0" collapsed="false">
      <c r="A900" s="12" t="n">
        <v>896</v>
      </c>
      <c r="B900" s="10" t="s">
        <v>2669</v>
      </c>
      <c r="C900" s="10" t="s">
        <v>2670</v>
      </c>
      <c r="D900" s="11" t="n">
        <v>0.00289293981481482</v>
      </c>
      <c r="E900" s="18" t="n">
        <f aca="false">ROUND((D900-$D$5)*86400,2)</f>
        <v>24.92</v>
      </c>
      <c r="F900" s="12" t="n">
        <v>1870</v>
      </c>
      <c r="G900" s="11" t="str">
        <f aca="false">IF(INDEX(選手一覧!$D$7:$D$2738,$F900)="","",INDEX(選手一覧!$D$7:$D$2738,$F900))</f>
        <v/>
      </c>
      <c r="H900" s="12" t="str">
        <f aca="false">IF(INDEX(選手一覧!$E$7:$E$2738,$F900)="","",INDEX(選手一覧!$E$7:$E$2738,$F900))</f>
        <v/>
      </c>
      <c r="I900" s="11" t="str">
        <f aca="false">IF(INDEX(選手一覧!$F$7:$F$2738,$F900)="","",INDEX(選手一覧!$F$7:$F$2738,$F900))</f>
        <v/>
      </c>
      <c r="J900" s="12" t="str">
        <f aca="false">IF(INDEX(選手一覧!$G$7:$G$2738,$F900)="","",INDEX(選手一覧!$G$7:$G$2738,$F900))</f>
        <v/>
      </c>
    </row>
    <row r="901" customFormat="false" ht="15" hidden="false" customHeight="false" outlineLevel="0" collapsed="false">
      <c r="A901" s="12" t="n">
        <v>897</v>
      </c>
      <c r="B901" s="10" t="s">
        <v>2671</v>
      </c>
      <c r="C901" s="10" t="s">
        <v>949</v>
      </c>
      <c r="D901" s="11" t="n">
        <v>0.00289293981481482</v>
      </c>
      <c r="E901" s="18" t="n">
        <f aca="false">ROUND((D901-$D$5)*86400,2)</f>
        <v>24.92</v>
      </c>
      <c r="F901" s="12" t="n">
        <v>1871</v>
      </c>
      <c r="G901" s="11" t="str">
        <f aca="false">IF(INDEX(選手一覧!$D$7:$D$2738,$F901)="","",INDEX(選手一覧!$D$7:$D$2738,$F901))</f>
        <v/>
      </c>
      <c r="H901" s="12" t="str">
        <f aca="false">IF(INDEX(選手一覧!$E$7:$E$2738,$F901)="","",INDEX(選手一覧!$E$7:$E$2738,$F901))</f>
        <v/>
      </c>
      <c r="I901" s="11" t="str">
        <f aca="false">IF(INDEX(選手一覧!$F$7:$F$2738,$F901)="","",INDEX(選手一覧!$F$7:$F$2738,$F901))</f>
        <v/>
      </c>
      <c r="J901" s="12" t="str">
        <f aca="false">IF(INDEX(選手一覧!$G$7:$G$2738,$F901)="","",INDEX(選手一覧!$G$7:$G$2738,$F901))</f>
        <v/>
      </c>
    </row>
    <row r="902" customFormat="false" ht="15" hidden="false" customHeight="false" outlineLevel="0" collapsed="false">
      <c r="A902" s="12" t="n">
        <v>898</v>
      </c>
      <c r="B902" s="10" t="s">
        <v>735</v>
      </c>
      <c r="C902" s="10" t="s">
        <v>473</v>
      </c>
      <c r="D902" s="11" t="n">
        <v>0.00289305555555556</v>
      </c>
      <c r="E902" s="18" t="n">
        <f aca="false">ROUND((D902-$D$5)*86400,2)</f>
        <v>24.93</v>
      </c>
      <c r="F902" s="12" t="n">
        <v>474</v>
      </c>
      <c r="G902" s="11" t="n">
        <f aca="false">IF(INDEX(選手一覧!$D$7:$D$2738,$F902)="","",INDEX(選手一覧!$D$7:$D$2738,$F902))</f>
        <v>0.010347337962963</v>
      </c>
      <c r="H902" s="12" t="n">
        <f aca="false">IF(INDEX(選手一覧!$E$7:$E$2738,$F902)="","",INDEX(選手一覧!$E$7:$E$2738,$F902))</f>
        <v>199</v>
      </c>
      <c r="I902" s="11" t="str">
        <f aca="false">IF(INDEX(選手一覧!$F$7:$F$2738,$F902)="","",INDEX(選手一覧!$F$7:$F$2738,$F902))</f>
        <v/>
      </c>
      <c r="J902" s="12" t="str">
        <f aca="false">IF(INDEX(選手一覧!$G$7:$G$2738,$F902)="","",INDEX(選手一覧!$G$7:$G$2738,$F902))</f>
        <v/>
      </c>
    </row>
    <row r="903" customFormat="false" ht="15" hidden="false" customHeight="false" outlineLevel="0" collapsed="false">
      <c r="A903" s="12" t="n">
        <v>899</v>
      </c>
      <c r="B903" s="10" t="s">
        <v>1682</v>
      </c>
      <c r="C903" s="10" t="s">
        <v>25</v>
      </c>
      <c r="D903" s="11" t="n">
        <v>0.00289328703703704</v>
      </c>
      <c r="E903" s="18" t="n">
        <f aca="false">ROUND((D903-$D$5)*86400,2)</f>
        <v>24.95</v>
      </c>
      <c r="F903" s="12" t="n">
        <v>1159</v>
      </c>
      <c r="G903" s="11" t="n">
        <f aca="false">IF(INDEX(選手一覧!$D$7:$D$2738,$F903)="","",INDEX(選手一覧!$D$7:$D$2738,$F903))</f>
        <v>0.010653125</v>
      </c>
      <c r="H903" s="12" t="n">
        <f aca="false">IF(INDEX(選手一覧!$E$7:$E$2738,$F903)="","",INDEX(選手一覧!$E$7:$E$2738,$F903))</f>
        <v>530</v>
      </c>
      <c r="I903" s="11" t="str">
        <f aca="false">IF(INDEX(選手一覧!$F$7:$F$2738,$F903)="","",INDEX(選手一覧!$F$7:$F$2738,$F903))</f>
        <v/>
      </c>
      <c r="J903" s="12" t="str">
        <f aca="false">IF(INDEX(選手一覧!$G$7:$G$2738,$F903)="","",INDEX(選手一覧!$G$7:$G$2738,$F903))</f>
        <v/>
      </c>
    </row>
    <row r="904" customFormat="false" ht="15" hidden="false" customHeight="false" outlineLevel="0" collapsed="false">
      <c r="A904" s="12" t="n">
        <v>900</v>
      </c>
      <c r="B904" s="10" t="s">
        <v>2678</v>
      </c>
      <c r="C904" s="10" t="s">
        <v>2679</v>
      </c>
      <c r="D904" s="11" t="n">
        <v>0.00289340277777778</v>
      </c>
      <c r="E904" s="18" t="n">
        <f aca="false">ROUND((D904-$D$5)*86400,2)</f>
        <v>24.96</v>
      </c>
      <c r="F904" s="12" t="n">
        <v>1876</v>
      </c>
      <c r="G904" s="11" t="str">
        <f aca="false">IF(INDEX(選手一覧!$D$7:$D$2738,$F904)="","",INDEX(選手一覧!$D$7:$D$2738,$F904))</f>
        <v/>
      </c>
      <c r="H904" s="12" t="str">
        <f aca="false">IF(INDEX(選手一覧!$E$7:$E$2738,$F904)="","",INDEX(選手一覧!$E$7:$E$2738,$F904))</f>
        <v/>
      </c>
      <c r="I904" s="11" t="str">
        <f aca="false">IF(INDEX(選手一覧!$F$7:$F$2738,$F904)="","",INDEX(選手一覧!$F$7:$F$2738,$F904))</f>
        <v/>
      </c>
      <c r="J904" s="12" t="str">
        <f aca="false">IF(INDEX(選手一覧!$G$7:$G$2738,$F904)="","",INDEX(選手一覧!$G$7:$G$2738,$F904))</f>
        <v/>
      </c>
    </row>
    <row r="905" customFormat="false" ht="15" hidden="false" customHeight="false" outlineLevel="0" collapsed="false">
      <c r="A905" s="12" t="n">
        <v>901</v>
      </c>
      <c r="B905" s="10" t="s">
        <v>515</v>
      </c>
      <c r="C905" s="10" t="s">
        <v>185</v>
      </c>
      <c r="D905" s="11" t="n">
        <v>0.00289351851851852</v>
      </c>
      <c r="E905" s="18" t="n">
        <f aca="false">ROUND((D905-$D$5)*86400,2)</f>
        <v>24.97</v>
      </c>
      <c r="F905" s="12" t="n">
        <v>319</v>
      </c>
      <c r="G905" s="11" t="n">
        <f aca="false">IF(INDEX(選手一覧!$D$7:$D$2738,$F905)="","",INDEX(選手一覧!$D$7:$D$2738,$F905))</f>
        <v>0.010731712962963</v>
      </c>
      <c r="H905" s="12" t="n">
        <f aca="false">IF(INDEX(選手一覧!$E$7:$E$2738,$F905)="","",INDEX(選手一覧!$E$7:$E$2738,$F905))</f>
        <v>635</v>
      </c>
      <c r="I905" s="11" t="n">
        <f aca="false">IF(INDEX(選手一覧!$F$7:$F$2738,$F905)="","",INDEX(選手一覧!$F$7:$F$2738,$F905))</f>
        <v>0.00675474537037037</v>
      </c>
      <c r="J905" s="12" t="n">
        <f aca="false">IF(INDEX(選手一覧!$G$7:$G$2738,$F905)="","",INDEX(選手一覧!$G$7:$G$2738,$F905))</f>
        <v>132</v>
      </c>
    </row>
    <row r="906" customFormat="false" ht="15" hidden="false" customHeight="false" outlineLevel="0" collapsed="false">
      <c r="A906" s="12" t="n">
        <v>902</v>
      </c>
      <c r="B906" s="10" t="s">
        <v>2684</v>
      </c>
      <c r="C906" s="10" t="s">
        <v>2685</v>
      </c>
      <c r="D906" s="11" t="n">
        <v>0.00289351851851852</v>
      </c>
      <c r="E906" s="18" t="n">
        <f aca="false">ROUND((D906-$D$5)*86400,2)</f>
        <v>24.97</v>
      </c>
      <c r="F906" s="12" t="n">
        <v>1880</v>
      </c>
      <c r="G906" s="11" t="str">
        <f aca="false">IF(INDEX(選手一覧!$D$7:$D$2738,$F906)="","",INDEX(選手一覧!$D$7:$D$2738,$F906))</f>
        <v/>
      </c>
      <c r="H906" s="12" t="str">
        <f aca="false">IF(INDEX(選手一覧!$E$7:$E$2738,$F906)="","",INDEX(選手一覧!$E$7:$E$2738,$F906))</f>
        <v/>
      </c>
      <c r="I906" s="11" t="str">
        <f aca="false">IF(INDEX(選手一覧!$F$7:$F$2738,$F906)="","",INDEX(選手一覧!$F$7:$F$2738,$F906))</f>
        <v/>
      </c>
      <c r="J906" s="12" t="str">
        <f aca="false">IF(INDEX(選手一覧!$G$7:$G$2738,$F906)="","",INDEX(選手一覧!$G$7:$G$2738,$F906))</f>
        <v/>
      </c>
    </row>
    <row r="907" customFormat="false" ht="15" hidden="false" customHeight="false" outlineLevel="0" collapsed="false">
      <c r="A907" s="12" t="n">
        <v>903</v>
      </c>
      <c r="B907" s="10" t="s">
        <v>2689</v>
      </c>
      <c r="C907" s="10" t="s">
        <v>2690</v>
      </c>
      <c r="D907" s="11" t="n">
        <v>0.00289363425925926</v>
      </c>
      <c r="E907" s="18" t="n">
        <f aca="false">ROUND((D907-$D$5)*86400,2)</f>
        <v>24.98</v>
      </c>
      <c r="F907" s="12" t="n">
        <v>1883</v>
      </c>
      <c r="G907" s="11" t="str">
        <f aca="false">IF(INDEX(選手一覧!$D$7:$D$2738,$F907)="","",INDEX(選手一覧!$D$7:$D$2738,$F907))</f>
        <v/>
      </c>
      <c r="H907" s="12" t="str">
        <f aca="false">IF(INDEX(選手一覧!$E$7:$E$2738,$F907)="","",INDEX(選手一覧!$E$7:$E$2738,$F907))</f>
        <v/>
      </c>
      <c r="I907" s="11" t="str">
        <f aca="false">IF(INDEX(選手一覧!$F$7:$F$2738,$F907)="","",INDEX(選手一覧!$F$7:$F$2738,$F907))</f>
        <v/>
      </c>
      <c r="J907" s="12" t="str">
        <f aca="false">IF(INDEX(選手一覧!$G$7:$G$2738,$F907)="","",INDEX(選手一覧!$G$7:$G$2738,$F907))</f>
        <v/>
      </c>
    </row>
    <row r="908" customFormat="false" ht="15" hidden="false" customHeight="false" outlineLevel="0" collapsed="false">
      <c r="A908" s="12" t="n">
        <v>904</v>
      </c>
      <c r="B908" s="10" t="s">
        <v>2691</v>
      </c>
      <c r="C908" s="10" t="s">
        <v>445</v>
      </c>
      <c r="D908" s="11" t="n">
        <v>0.00289398148148148</v>
      </c>
      <c r="E908" s="18" t="n">
        <f aca="false">ROUND((D908-$D$5)*86400,2)</f>
        <v>25.01</v>
      </c>
      <c r="F908" s="12" t="n">
        <v>1884</v>
      </c>
      <c r="G908" s="11" t="n">
        <f aca="false">IF(INDEX(選手一覧!$D$7:$D$2738,$F908)="","",INDEX(選手一覧!$D$7:$D$2738,$F908))</f>
        <v>0.010980787037037</v>
      </c>
      <c r="H908" s="12" t="n">
        <f aca="false">IF(INDEX(選手一覧!$E$7:$E$2738,$F908)="","",INDEX(選手一覧!$E$7:$E$2738,$F908))</f>
        <v>1057</v>
      </c>
      <c r="I908" s="11" t="str">
        <f aca="false">IF(INDEX(選手一覧!$F$7:$F$2738,$F908)="","",INDEX(選手一覧!$F$7:$F$2738,$F908))</f>
        <v/>
      </c>
      <c r="J908" s="12" t="str">
        <f aca="false">IF(INDEX(選手一覧!$G$7:$G$2738,$F908)="","",INDEX(選手一覧!$G$7:$G$2738,$F908))</f>
        <v/>
      </c>
    </row>
    <row r="909" customFormat="false" ht="15" hidden="false" customHeight="false" outlineLevel="0" collapsed="false">
      <c r="A909" s="12" t="n">
        <v>905</v>
      </c>
      <c r="B909" s="10" t="s">
        <v>2282</v>
      </c>
      <c r="C909" s="10" t="s">
        <v>2283</v>
      </c>
      <c r="D909" s="11" t="n">
        <v>0.00289409722222222</v>
      </c>
      <c r="E909" s="18" t="n">
        <f aca="false">ROUND((D909-$D$5)*86400,2)</f>
        <v>25.02</v>
      </c>
      <c r="F909" s="12" t="n">
        <v>1578</v>
      </c>
      <c r="G909" s="11" t="str">
        <f aca="false">IF(INDEX(選手一覧!$D$7:$D$2738,$F909)="","",INDEX(選手一覧!$D$7:$D$2738,$F909))</f>
        <v/>
      </c>
      <c r="H909" s="12" t="str">
        <f aca="false">IF(INDEX(選手一覧!$E$7:$E$2738,$F909)="","",INDEX(選手一覧!$E$7:$E$2738,$F909))</f>
        <v/>
      </c>
      <c r="I909" s="11" t="n">
        <f aca="false">IF(INDEX(選手一覧!$F$7:$F$2738,$F909)="","",INDEX(選手一覧!$F$7:$F$2738,$F909))</f>
        <v>0.00738032407407407</v>
      </c>
      <c r="J909" s="12" t="n">
        <f aca="false">IF(INDEX(選手一覧!$G$7:$G$2738,$F909)="","",INDEX(選手一覧!$G$7:$G$2738,$F909))</f>
        <v>752</v>
      </c>
    </row>
    <row r="910" customFormat="false" ht="15" hidden="false" customHeight="false" outlineLevel="0" collapsed="false">
      <c r="A910" s="12" t="n">
        <v>906</v>
      </c>
      <c r="B910" s="10" t="s">
        <v>1478</v>
      </c>
      <c r="C910" s="10" t="s">
        <v>107</v>
      </c>
      <c r="D910" s="11" t="n">
        <v>0.00289444444444445</v>
      </c>
      <c r="E910" s="18" t="n">
        <f aca="false">ROUND((D910-$D$5)*86400,2)</f>
        <v>25.05</v>
      </c>
      <c r="F910" s="12" t="n">
        <v>1015</v>
      </c>
      <c r="G910" s="11" t="n">
        <f aca="false">IF(INDEX(選手一覧!$D$7:$D$2738,$F910)="","",INDEX(選手一覧!$D$7:$D$2738,$F910))</f>
        <v>0.010590625</v>
      </c>
      <c r="H910" s="12" t="n">
        <f aca="false">IF(INDEX(選手一覧!$E$7:$E$2738,$F910)="","",INDEX(選手一覧!$E$7:$E$2738,$F910))</f>
        <v>455</v>
      </c>
      <c r="I910" s="11" t="str">
        <f aca="false">IF(INDEX(選手一覧!$F$7:$F$2738,$F910)="","",INDEX(選手一覧!$F$7:$F$2738,$F910))</f>
        <v/>
      </c>
      <c r="J910" s="12" t="str">
        <f aca="false">IF(INDEX(選手一覧!$G$7:$G$2738,$F910)="","",INDEX(選手一覧!$G$7:$G$2738,$F910))</f>
        <v/>
      </c>
    </row>
    <row r="911" customFormat="false" ht="15" hidden="false" customHeight="false" outlineLevel="0" collapsed="false">
      <c r="A911" s="12" t="n">
        <v>907</v>
      </c>
      <c r="B911" s="10" t="s">
        <v>2699</v>
      </c>
      <c r="C911" s="10" t="s">
        <v>2700</v>
      </c>
      <c r="D911" s="11" t="n">
        <v>0.00289444444444445</v>
      </c>
      <c r="E911" s="18" t="n">
        <f aca="false">ROUND((D911-$D$5)*86400,2)</f>
        <v>25.05</v>
      </c>
      <c r="F911" s="12" t="n">
        <v>1890</v>
      </c>
      <c r="G911" s="11" t="str">
        <f aca="false">IF(INDEX(選手一覧!$D$7:$D$2738,$F911)="","",INDEX(選手一覧!$D$7:$D$2738,$F911))</f>
        <v/>
      </c>
      <c r="H911" s="12" t="str">
        <f aca="false">IF(INDEX(選手一覧!$E$7:$E$2738,$F911)="","",INDEX(選手一覧!$E$7:$E$2738,$F911))</f>
        <v/>
      </c>
      <c r="I911" s="11" t="str">
        <f aca="false">IF(INDEX(選手一覧!$F$7:$F$2738,$F911)="","",INDEX(選手一覧!$F$7:$F$2738,$F911))</f>
        <v/>
      </c>
      <c r="J911" s="12" t="str">
        <f aca="false">IF(INDEX(選手一覧!$G$7:$G$2738,$F911)="","",INDEX(選手一覧!$G$7:$G$2738,$F911))</f>
        <v/>
      </c>
    </row>
    <row r="912" customFormat="false" ht="15" hidden="false" customHeight="false" outlineLevel="0" collapsed="false">
      <c r="A912" s="12" t="n">
        <v>908</v>
      </c>
      <c r="B912" s="10" t="s">
        <v>2312</v>
      </c>
      <c r="C912" s="10" t="s">
        <v>2313</v>
      </c>
      <c r="D912" s="11" t="n">
        <v>0.00289467592592593</v>
      </c>
      <c r="E912" s="18" t="n">
        <f aca="false">ROUND((D912-$D$5)*86400,2)</f>
        <v>25.07</v>
      </c>
      <c r="F912" s="12" t="n">
        <v>1596</v>
      </c>
      <c r="G912" s="11" t="n">
        <f aca="false">IF(INDEX(選手一覧!$D$7:$D$2738,$F912)="","",INDEX(選手一覧!$D$7:$D$2738,$F912))</f>
        <v>0.0108081018518519</v>
      </c>
      <c r="H912" s="12" t="n">
        <f aca="false">IF(INDEX(選手一覧!$E$7:$E$2738,$F912)="","",INDEX(選手一覧!$E$7:$E$2738,$F912))</f>
        <v>761</v>
      </c>
      <c r="I912" s="11" t="str">
        <f aca="false">IF(INDEX(選手一覧!$F$7:$F$2738,$F912)="","",INDEX(選手一覧!$F$7:$F$2738,$F912))</f>
        <v/>
      </c>
      <c r="J912" s="12" t="str">
        <f aca="false">IF(INDEX(選手一覧!$G$7:$G$2738,$F912)="","",INDEX(選手一覧!$G$7:$G$2738,$F912))</f>
        <v/>
      </c>
    </row>
    <row r="913" customFormat="false" ht="15" hidden="false" customHeight="false" outlineLevel="0" collapsed="false">
      <c r="A913" s="12" t="n">
        <v>909</v>
      </c>
      <c r="B913" s="10" t="s">
        <v>2705</v>
      </c>
      <c r="C913" s="10" t="s">
        <v>317</v>
      </c>
      <c r="D913" s="11" t="n">
        <v>0.00289467592592593</v>
      </c>
      <c r="E913" s="18" t="n">
        <f aca="false">ROUND((D913-$D$5)*86400,2)</f>
        <v>25.07</v>
      </c>
      <c r="F913" s="12" t="n">
        <v>1893</v>
      </c>
      <c r="G913" s="11" t="str">
        <f aca="false">IF(INDEX(選手一覧!$D$7:$D$2738,$F913)="","",INDEX(選手一覧!$D$7:$D$2738,$F913))</f>
        <v/>
      </c>
      <c r="H913" s="12" t="str">
        <f aca="false">IF(INDEX(選手一覧!$E$7:$E$2738,$F913)="","",INDEX(選手一覧!$E$7:$E$2738,$F913))</f>
        <v/>
      </c>
      <c r="I913" s="11" t="str">
        <f aca="false">IF(INDEX(選手一覧!$F$7:$F$2738,$F913)="","",INDEX(選手一覧!$F$7:$F$2738,$F913))</f>
        <v/>
      </c>
      <c r="J913" s="12" t="str">
        <f aca="false">IF(INDEX(選手一覧!$G$7:$G$2738,$F913)="","",INDEX(選手一覧!$G$7:$G$2738,$F913))</f>
        <v/>
      </c>
    </row>
    <row r="914" customFormat="false" ht="15" hidden="false" customHeight="false" outlineLevel="0" collapsed="false">
      <c r="A914" s="12" t="n">
        <v>910</v>
      </c>
      <c r="B914" s="10" t="s">
        <v>1226</v>
      </c>
      <c r="C914" s="10" t="s">
        <v>1020</v>
      </c>
      <c r="D914" s="11" t="n">
        <v>0.00289467592592593</v>
      </c>
      <c r="E914" s="18" t="n">
        <f aca="false">ROUND((D914-$D$5)*86400,2)</f>
        <v>25.07</v>
      </c>
      <c r="F914" s="12" t="n">
        <v>831</v>
      </c>
      <c r="G914" s="11" t="n">
        <f aca="false">IF(INDEX(選手一覧!$D$7:$D$2738,$F914)="","",INDEX(選手一覧!$D$7:$D$2738,$F914))</f>
        <v>0.0105252314814815</v>
      </c>
      <c r="H914" s="12" t="n">
        <f aca="false">IF(INDEX(選手一覧!$E$7:$E$2738,$F914)="","",INDEX(選手一覧!$E$7:$E$2738,$F914))</f>
        <v>366</v>
      </c>
      <c r="I914" s="11" t="n">
        <f aca="false">IF(INDEX(選手一覧!$F$7:$F$2738,$F914)="","",INDEX(選手一覧!$F$7:$F$2738,$F914))</f>
        <v>0.00732141203703704</v>
      </c>
      <c r="J914" s="12" t="n">
        <f aca="false">IF(INDEX(選手一覧!$G$7:$G$2738,$F914)="","",INDEX(選手一覧!$G$7:$G$2738,$F914))</f>
        <v>671</v>
      </c>
    </row>
    <row r="915" customFormat="false" ht="15" hidden="false" customHeight="false" outlineLevel="0" collapsed="false">
      <c r="A915" s="12" t="n">
        <v>911</v>
      </c>
      <c r="B915" s="10" t="s">
        <v>2710</v>
      </c>
      <c r="C915" s="10" t="s">
        <v>1119</v>
      </c>
      <c r="D915" s="11" t="n">
        <v>0.00289490740740741</v>
      </c>
      <c r="E915" s="18" t="n">
        <f aca="false">ROUND((D915-$D$5)*86400,2)</f>
        <v>25.09</v>
      </c>
      <c r="F915" s="12" t="n">
        <v>1897</v>
      </c>
      <c r="G915" s="11" t="str">
        <f aca="false">IF(INDEX(選手一覧!$D$7:$D$2738,$F915)="","",INDEX(選手一覧!$D$7:$D$2738,$F915))</f>
        <v/>
      </c>
      <c r="H915" s="12" t="str">
        <f aca="false">IF(INDEX(選手一覧!$E$7:$E$2738,$F915)="","",INDEX(選手一覧!$E$7:$E$2738,$F915))</f>
        <v/>
      </c>
      <c r="I915" s="11" t="str">
        <f aca="false">IF(INDEX(選手一覧!$F$7:$F$2738,$F915)="","",INDEX(選手一覧!$F$7:$F$2738,$F915))</f>
        <v/>
      </c>
      <c r="J915" s="12" t="str">
        <f aca="false">IF(INDEX(選手一覧!$G$7:$G$2738,$F915)="","",INDEX(選手一覧!$G$7:$G$2738,$F915))</f>
        <v/>
      </c>
    </row>
    <row r="916" customFormat="false" ht="15" hidden="false" customHeight="false" outlineLevel="0" collapsed="false">
      <c r="A916" s="12" t="n">
        <v>912</v>
      </c>
      <c r="B916" s="10" t="s">
        <v>1988</v>
      </c>
      <c r="C916" s="10" t="s">
        <v>234</v>
      </c>
      <c r="D916" s="11" t="n">
        <v>0.00289490740740741</v>
      </c>
      <c r="E916" s="18" t="n">
        <f aca="false">ROUND((D916-$D$5)*86400,2)</f>
        <v>25.09</v>
      </c>
      <c r="F916" s="12" t="n">
        <v>1370</v>
      </c>
      <c r="G916" s="11" t="n">
        <f aca="false">IF(INDEX(選手一覧!$D$7:$D$2738,$F916)="","",INDEX(選手一覧!$D$7:$D$2738,$F916))</f>
        <v>0.0107358796296296</v>
      </c>
      <c r="H916" s="12" t="n">
        <f aca="false">IF(INDEX(選手一覧!$E$7:$E$2738,$F916)="","",INDEX(選手一覧!$E$7:$E$2738,$F916))</f>
        <v>644</v>
      </c>
      <c r="I916" s="11" t="str">
        <f aca="false">IF(INDEX(選手一覧!$F$7:$F$2738,$F916)="","",INDEX(選手一覧!$F$7:$F$2738,$F916))</f>
        <v/>
      </c>
      <c r="J916" s="12" t="str">
        <f aca="false">IF(INDEX(選手一覧!$G$7:$G$2738,$F916)="","",INDEX(選手一覧!$G$7:$G$2738,$F916))</f>
        <v/>
      </c>
    </row>
    <row r="917" customFormat="false" ht="15" hidden="false" customHeight="false" outlineLevel="0" collapsed="false">
      <c r="A917" s="12" t="n">
        <v>913</v>
      </c>
      <c r="B917" s="10" t="s">
        <v>477</v>
      </c>
      <c r="C917" s="10" t="s">
        <v>29</v>
      </c>
      <c r="D917" s="11" t="n">
        <v>0.00289537037037037</v>
      </c>
      <c r="E917" s="18" t="n">
        <f aca="false">ROUND((D917-$D$5)*86400,2)</f>
        <v>25.13</v>
      </c>
      <c r="F917" s="12" t="n">
        <v>296</v>
      </c>
      <c r="G917" s="11" t="n">
        <f aca="false">IF(INDEX(選手一覧!$D$7:$D$2738,$F917)="","",INDEX(選手一覧!$D$7:$D$2738,$F917))</f>
        <v>0.0102427083333333</v>
      </c>
      <c r="H917" s="12" t="n">
        <f aca="false">IF(INDEX(選手一覧!$E$7:$E$2738,$F917)="","",INDEX(選手一覧!$E$7:$E$2738,$F917))</f>
        <v>122</v>
      </c>
      <c r="I917" s="11" t="str">
        <f aca="false">IF(INDEX(選手一覧!$F$7:$F$2738,$F917)="","",INDEX(選手一覧!$F$7:$F$2738,$F917))</f>
        <v/>
      </c>
      <c r="J917" s="12" t="str">
        <f aca="false">IF(INDEX(選手一覧!$G$7:$G$2738,$F917)="","",INDEX(選手一覧!$G$7:$G$2738,$F917))</f>
        <v/>
      </c>
    </row>
    <row r="918" customFormat="false" ht="15" hidden="false" customHeight="false" outlineLevel="0" collapsed="false">
      <c r="A918" s="12" t="n">
        <v>914</v>
      </c>
      <c r="B918" s="10" t="s">
        <v>2718</v>
      </c>
      <c r="C918" s="10" t="s">
        <v>1595</v>
      </c>
      <c r="D918" s="11" t="n">
        <v>0.00289537037037037</v>
      </c>
      <c r="E918" s="18" t="n">
        <f aca="false">ROUND((D918-$D$5)*86400,2)</f>
        <v>25.13</v>
      </c>
      <c r="F918" s="12" t="n">
        <v>1903</v>
      </c>
      <c r="G918" s="11" t="str">
        <f aca="false">IF(INDEX(選手一覧!$D$7:$D$2738,$F918)="","",INDEX(選手一覧!$D$7:$D$2738,$F918))</f>
        <v/>
      </c>
      <c r="H918" s="12" t="str">
        <f aca="false">IF(INDEX(選手一覧!$E$7:$E$2738,$F918)="","",INDEX(選手一覧!$E$7:$E$2738,$F918))</f>
        <v/>
      </c>
      <c r="I918" s="11" t="str">
        <f aca="false">IF(INDEX(選手一覧!$F$7:$F$2738,$F918)="","",INDEX(選手一覧!$F$7:$F$2738,$F918))</f>
        <v/>
      </c>
      <c r="J918" s="12" t="str">
        <f aca="false">IF(INDEX(選手一覧!$G$7:$G$2738,$F918)="","",INDEX(選手一覧!$G$7:$G$2738,$F918))</f>
        <v/>
      </c>
    </row>
    <row r="919" customFormat="false" ht="15" hidden="false" customHeight="false" outlineLevel="0" collapsed="false">
      <c r="A919" s="12" t="n">
        <v>915</v>
      </c>
      <c r="B919" s="10" t="s">
        <v>2721</v>
      </c>
      <c r="C919" s="10" t="s">
        <v>112</v>
      </c>
      <c r="D919" s="11" t="n">
        <v>0.00289548611111111</v>
      </c>
      <c r="E919" s="18" t="n">
        <f aca="false">ROUND((D919-$D$5)*86400,2)</f>
        <v>25.14</v>
      </c>
      <c r="F919" s="12" t="n">
        <v>1905</v>
      </c>
      <c r="G919" s="11" t="str">
        <f aca="false">IF(INDEX(選手一覧!$D$7:$D$2738,$F919)="","",INDEX(選手一覧!$D$7:$D$2738,$F919))</f>
        <v/>
      </c>
      <c r="H919" s="12" t="str">
        <f aca="false">IF(INDEX(選手一覧!$E$7:$E$2738,$F919)="","",INDEX(選手一覧!$E$7:$E$2738,$F919))</f>
        <v/>
      </c>
      <c r="I919" s="11" t="str">
        <f aca="false">IF(INDEX(選手一覧!$F$7:$F$2738,$F919)="","",INDEX(選手一覧!$F$7:$F$2738,$F919))</f>
        <v/>
      </c>
      <c r="J919" s="12" t="str">
        <f aca="false">IF(INDEX(選手一覧!$G$7:$G$2738,$F919)="","",INDEX(選手一覧!$G$7:$G$2738,$F919))</f>
        <v/>
      </c>
    </row>
    <row r="920" customFormat="false" ht="15" hidden="false" customHeight="false" outlineLevel="0" collapsed="false">
      <c r="A920" s="12" t="n">
        <v>916</v>
      </c>
      <c r="B920" s="10" t="s">
        <v>1769</v>
      </c>
      <c r="C920" s="10" t="s">
        <v>286</v>
      </c>
      <c r="D920" s="11" t="n">
        <v>0.00289560185185185</v>
      </c>
      <c r="E920" s="18" t="n">
        <f aca="false">ROUND((D920-$D$5)*86400,2)</f>
        <v>25.15</v>
      </c>
      <c r="F920" s="12" t="n">
        <v>1218</v>
      </c>
      <c r="G920" s="11" t="str">
        <f aca="false">IF(INDEX(選手一覧!$D$7:$D$2738,$F920)="","",INDEX(選手一覧!$D$7:$D$2738,$F920))</f>
        <v/>
      </c>
      <c r="H920" s="12" t="str">
        <f aca="false">IF(INDEX(選手一覧!$E$7:$E$2738,$F920)="","",INDEX(選手一覧!$E$7:$E$2738,$F920))</f>
        <v/>
      </c>
      <c r="I920" s="11" t="n">
        <f aca="false">IF(INDEX(選手一覧!$F$7:$F$2738,$F920)="","",INDEX(選手一覧!$F$7:$F$2738,$F920))</f>
        <v>0.00722106481481482</v>
      </c>
      <c r="J920" s="12" t="n">
        <f aca="false">IF(INDEX(選手一覧!$G$7:$G$2738,$F920)="","",INDEX(選手一覧!$G$7:$G$2738,$F920))</f>
        <v>561</v>
      </c>
    </row>
    <row r="921" customFormat="false" ht="15" hidden="false" customHeight="false" outlineLevel="0" collapsed="false">
      <c r="A921" s="12" t="n">
        <v>917</v>
      </c>
      <c r="B921" s="10" t="s">
        <v>2727</v>
      </c>
      <c r="C921" s="10" t="s">
        <v>564</v>
      </c>
      <c r="D921" s="11" t="n">
        <v>0.00289571759259259</v>
      </c>
      <c r="E921" s="18" t="n">
        <f aca="false">ROUND((D921-$D$5)*86400,2)</f>
        <v>25.16</v>
      </c>
      <c r="F921" s="12" t="n">
        <v>1909</v>
      </c>
      <c r="G921" s="11" t="str">
        <f aca="false">IF(INDEX(選手一覧!$D$7:$D$2738,$F921)="","",INDEX(選手一覧!$D$7:$D$2738,$F921))</f>
        <v/>
      </c>
      <c r="H921" s="12" t="str">
        <f aca="false">IF(INDEX(選手一覧!$E$7:$E$2738,$F921)="","",INDEX(選手一覧!$E$7:$E$2738,$F921))</f>
        <v/>
      </c>
      <c r="I921" s="11" t="str">
        <f aca="false">IF(INDEX(選手一覧!$F$7:$F$2738,$F921)="","",INDEX(選手一覧!$F$7:$F$2738,$F921))</f>
        <v/>
      </c>
      <c r="J921" s="12" t="str">
        <f aca="false">IF(INDEX(選手一覧!$G$7:$G$2738,$F921)="","",INDEX(選手一覧!$G$7:$G$2738,$F921))</f>
        <v/>
      </c>
    </row>
    <row r="922" customFormat="false" ht="15" hidden="false" customHeight="false" outlineLevel="0" collapsed="false">
      <c r="A922" s="12" t="n">
        <v>918</v>
      </c>
      <c r="B922" s="10" t="s">
        <v>2729</v>
      </c>
      <c r="C922" s="10" t="s">
        <v>1023</v>
      </c>
      <c r="D922" s="11" t="n">
        <v>0.00289571759259259</v>
      </c>
      <c r="E922" s="18" t="n">
        <f aca="false">ROUND((D922-$D$5)*86400,2)</f>
        <v>25.16</v>
      </c>
      <c r="F922" s="12" t="n">
        <v>1911</v>
      </c>
      <c r="G922" s="11" t="str">
        <f aca="false">IF(INDEX(選手一覧!$D$7:$D$2738,$F922)="","",INDEX(選手一覧!$D$7:$D$2738,$F922))</f>
        <v/>
      </c>
      <c r="H922" s="12" t="str">
        <f aca="false">IF(INDEX(選手一覧!$E$7:$E$2738,$F922)="","",INDEX(選手一覧!$E$7:$E$2738,$F922))</f>
        <v/>
      </c>
      <c r="I922" s="11" t="str">
        <f aca="false">IF(INDEX(選手一覧!$F$7:$F$2738,$F922)="","",INDEX(選手一覧!$F$7:$F$2738,$F922))</f>
        <v/>
      </c>
      <c r="J922" s="12" t="str">
        <f aca="false">IF(INDEX(選手一覧!$G$7:$G$2738,$F922)="","",INDEX(選手一覧!$G$7:$G$2738,$F922))</f>
        <v/>
      </c>
    </row>
    <row r="923" customFormat="false" ht="15" hidden="false" customHeight="false" outlineLevel="0" collapsed="false">
      <c r="A923" s="12" t="n">
        <v>919</v>
      </c>
      <c r="B923" s="10" t="s">
        <v>2730</v>
      </c>
      <c r="C923" s="10" t="s">
        <v>1873</v>
      </c>
      <c r="D923" s="11" t="n">
        <v>0.00289583333333333</v>
      </c>
      <c r="E923" s="18" t="n">
        <f aca="false">ROUND((D923-$D$5)*86400,2)</f>
        <v>25.17</v>
      </c>
      <c r="F923" s="12" t="n">
        <v>1912</v>
      </c>
      <c r="G923" s="11" t="str">
        <f aca="false">IF(INDEX(選手一覧!$D$7:$D$2738,$F923)="","",INDEX(選手一覧!$D$7:$D$2738,$F923))</f>
        <v/>
      </c>
      <c r="H923" s="12" t="str">
        <f aca="false">IF(INDEX(選手一覧!$E$7:$E$2738,$F923)="","",INDEX(選手一覧!$E$7:$E$2738,$F923))</f>
        <v/>
      </c>
      <c r="I923" s="11" t="str">
        <f aca="false">IF(INDEX(選手一覧!$F$7:$F$2738,$F923)="","",INDEX(選手一覧!$F$7:$F$2738,$F923))</f>
        <v/>
      </c>
      <c r="J923" s="12" t="str">
        <f aca="false">IF(INDEX(選手一覧!$G$7:$G$2738,$F923)="","",INDEX(選手一覧!$G$7:$G$2738,$F923))</f>
        <v/>
      </c>
    </row>
    <row r="924" customFormat="false" ht="15" hidden="false" customHeight="false" outlineLevel="0" collapsed="false">
      <c r="A924" s="12" t="n">
        <v>920</v>
      </c>
      <c r="B924" s="10" t="s">
        <v>1380</v>
      </c>
      <c r="C924" s="10" t="s">
        <v>1381</v>
      </c>
      <c r="D924" s="11" t="n">
        <v>0.00289583333333333</v>
      </c>
      <c r="E924" s="18" t="n">
        <f aca="false">ROUND((D924-$D$5)*86400,2)</f>
        <v>25.17</v>
      </c>
      <c r="F924" s="12" t="n">
        <v>940</v>
      </c>
      <c r="G924" s="11" t="n">
        <f aca="false">IF(INDEX(選手一覧!$D$7:$D$2738,$F924)="","",INDEX(選手一覧!$D$7:$D$2738,$F924))</f>
        <v>0.0105694444444445</v>
      </c>
      <c r="H924" s="12" t="n">
        <f aca="false">IF(INDEX(選手一覧!$E$7:$E$2738,$F924)="","",INDEX(選手一覧!$E$7:$E$2738,$F924))</f>
        <v>421</v>
      </c>
      <c r="I924" s="11" t="str">
        <f aca="false">IF(INDEX(選手一覧!$F$7:$F$2738,$F924)="","",INDEX(選手一覧!$F$7:$F$2738,$F924))</f>
        <v/>
      </c>
      <c r="J924" s="12" t="str">
        <f aca="false">IF(INDEX(選手一覧!$G$7:$G$2738,$F924)="","",INDEX(選手一覧!$G$7:$G$2738,$F924))</f>
        <v/>
      </c>
    </row>
    <row r="925" customFormat="false" ht="15" hidden="false" customHeight="false" outlineLevel="0" collapsed="false">
      <c r="A925" s="12" t="n">
        <v>921</v>
      </c>
      <c r="B925" s="10" t="s">
        <v>1401</v>
      </c>
      <c r="C925" s="10" t="s">
        <v>91</v>
      </c>
      <c r="D925" s="11" t="n">
        <v>0.00289594907407407</v>
      </c>
      <c r="E925" s="18" t="n">
        <f aca="false">ROUND((D925-$D$5)*86400,2)</f>
        <v>25.18</v>
      </c>
      <c r="F925" s="12" t="n">
        <v>955</v>
      </c>
      <c r="G925" s="11" t="n">
        <f aca="false">IF(INDEX(選手一覧!$D$7:$D$2738,$F925)="","",INDEX(選手一覧!$D$7:$D$2738,$F925))</f>
        <v>0.0105721064814815</v>
      </c>
      <c r="H925" s="12" t="n">
        <f aca="false">IF(INDEX(選手一覧!$E$7:$E$2738,$F925)="","",INDEX(選手一覧!$E$7:$E$2738,$F925))</f>
        <v>427</v>
      </c>
      <c r="I925" s="11" t="str">
        <f aca="false">IF(INDEX(選手一覧!$F$7:$F$2738,$F925)="","",INDEX(選手一覧!$F$7:$F$2738,$F925))</f>
        <v/>
      </c>
      <c r="J925" s="12" t="str">
        <f aca="false">IF(INDEX(選手一覧!$G$7:$G$2738,$F925)="","",INDEX(選手一覧!$G$7:$G$2738,$F925))</f>
        <v/>
      </c>
    </row>
    <row r="926" customFormat="false" ht="15" hidden="false" customHeight="false" outlineLevel="0" collapsed="false">
      <c r="A926" s="12" t="n">
        <v>922</v>
      </c>
      <c r="B926" s="10" t="s">
        <v>1358</v>
      </c>
      <c r="C926" s="10" t="s">
        <v>462</v>
      </c>
      <c r="D926" s="11" t="n">
        <v>0.00289606481481482</v>
      </c>
      <c r="E926" s="18" t="n">
        <f aca="false">ROUND((D926-$D$5)*86400,2)</f>
        <v>25.19</v>
      </c>
      <c r="F926" s="12" t="n">
        <v>924</v>
      </c>
      <c r="G926" s="11" t="n">
        <f aca="false">IF(INDEX(選手一覧!$D$7:$D$2738,$F926)="","",INDEX(選手一覧!$D$7:$D$2738,$F926))</f>
        <v>0.0105621527777778</v>
      </c>
      <c r="H926" s="12" t="n">
        <f aca="false">IF(INDEX(選手一覧!$E$7:$E$2738,$F926)="","",INDEX(選手一覧!$E$7:$E$2738,$F926))</f>
        <v>413</v>
      </c>
      <c r="I926" s="11" t="str">
        <f aca="false">IF(INDEX(選手一覧!$F$7:$F$2738,$F926)="","",INDEX(選手一覧!$F$7:$F$2738,$F926))</f>
        <v/>
      </c>
      <c r="J926" s="12" t="str">
        <f aca="false">IF(INDEX(選手一覧!$G$7:$G$2738,$F926)="","",INDEX(選手一覧!$G$7:$G$2738,$F926))</f>
        <v/>
      </c>
    </row>
    <row r="927" customFormat="false" ht="15" hidden="false" customHeight="false" outlineLevel="0" collapsed="false">
      <c r="A927" s="12" t="n">
        <v>923</v>
      </c>
      <c r="B927" s="10" t="s">
        <v>2740</v>
      </c>
      <c r="C927" s="10" t="s">
        <v>1680</v>
      </c>
      <c r="D927" s="11" t="n">
        <v>0.00289618055555556</v>
      </c>
      <c r="E927" s="18" t="n">
        <f aca="false">ROUND((D927-$D$5)*86400,2)</f>
        <v>25.2</v>
      </c>
      <c r="F927" s="12" t="n">
        <v>1918</v>
      </c>
      <c r="G927" s="11" t="str">
        <f aca="false">IF(INDEX(選手一覧!$D$7:$D$2738,$F927)="","",INDEX(選手一覧!$D$7:$D$2738,$F927))</f>
        <v/>
      </c>
      <c r="H927" s="12" t="str">
        <f aca="false">IF(INDEX(選手一覧!$E$7:$E$2738,$F927)="","",INDEX(選手一覧!$E$7:$E$2738,$F927))</f>
        <v/>
      </c>
      <c r="I927" s="11" t="str">
        <f aca="false">IF(INDEX(選手一覧!$F$7:$F$2738,$F927)="","",INDEX(選手一覧!$F$7:$F$2738,$F927))</f>
        <v/>
      </c>
      <c r="J927" s="12" t="str">
        <f aca="false">IF(INDEX(選手一覧!$G$7:$G$2738,$F927)="","",INDEX(選手一覧!$G$7:$G$2738,$F927))</f>
        <v/>
      </c>
    </row>
    <row r="928" customFormat="false" ht="15" hidden="false" customHeight="false" outlineLevel="0" collapsed="false">
      <c r="A928" s="12" t="n">
        <v>924</v>
      </c>
      <c r="B928" s="10" t="s">
        <v>2743</v>
      </c>
      <c r="C928" s="10" t="s">
        <v>286</v>
      </c>
      <c r="D928" s="11" t="n">
        <v>0.00289652777777778</v>
      </c>
      <c r="E928" s="18" t="n">
        <f aca="false">ROUND((D928-$D$5)*86400,2)</f>
        <v>25.23</v>
      </c>
      <c r="F928" s="12" t="n">
        <v>1920</v>
      </c>
      <c r="G928" s="11" t="str">
        <f aca="false">IF(INDEX(選手一覧!$D$7:$D$2738,$F928)="","",INDEX(選手一覧!$D$7:$D$2738,$F928))</f>
        <v/>
      </c>
      <c r="H928" s="12" t="str">
        <f aca="false">IF(INDEX(選手一覧!$E$7:$E$2738,$F928)="","",INDEX(選手一覧!$E$7:$E$2738,$F928))</f>
        <v/>
      </c>
      <c r="I928" s="11" t="str">
        <f aca="false">IF(INDEX(選手一覧!$F$7:$F$2738,$F928)="","",INDEX(選手一覧!$F$7:$F$2738,$F928))</f>
        <v/>
      </c>
      <c r="J928" s="12" t="str">
        <f aca="false">IF(INDEX(選手一覧!$G$7:$G$2738,$F928)="","",INDEX(選手一覧!$G$7:$G$2738,$F928))</f>
        <v/>
      </c>
    </row>
    <row r="929" customFormat="false" ht="15" hidden="false" customHeight="false" outlineLevel="0" collapsed="false">
      <c r="A929" s="12" t="n">
        <v>925</v>
      </c>
      <c r="B929" s="10" t="s">
        <v>2746</v>
      </c>
      <c r="C929" s="10" t="s">
        <v>983</v>
      </c>
      <c r="D929" s="11" t="n">
        <v>0.00289722222222222</v>
      </c>
      <c r="E929" s="18" t="n">
        <f aca="false">ROUND((D929-$D$5)*86400,2)</f>
        <v>25.29</v>
      </c>
      <c r="F929" s="12" t="n">
        <v>1923</v>
      </c>
      <c r="G929" s="11" t="str">
        <f aca="false">IF(INDEX(選手一覧!$D$7:$D$2738,$F929)="","",INDEX(選手一覧!$D$7:$D$2738,$F929))</f>
        <v/>
      </c>
      <c r="H929" s="12" t="str">
        <f aca="false">IF(INDEX(選手一覧!$E$7:$E$2738,$F929)="","",INDEX(選手一覧!$E$7:$E$2738,$F929))</f>
        <v/>
      </c>
      <c r="I929" s="11" t="str">
        <f aca="false">IF(INDEX(選手一覧!$F$7:$F$2738,$F929)="","",INDEX(選手一覧!$F$7:$F$2738,$F929))</f>
        <v/>
      </c>
      <c r="J929" s="12" t="str">
        <f aca="false">IF(INDEX(選手一覧!$G$7:$G$2738,$F929)="","",INDEX(選手一覧!$G$7:$G$2738,$F929))</f>
        <v/>
      </c>
    </row>
    <row r="930" customFormat="false" ht="15" hidden="false" customHeight="false" outlineLevel="0" collapsed="false">
      <c r="A930" s="12" t="n">
        <v>926</v>
      </c>
      <c r="B930" s="10" t="s">
        <v>2747</v>
      </c>
      <c r="C930" s="10" t="s">
        <v>2748</v>
      </c>
      <c r="D930" s="11" t="n">
        <v>0.00289722222222222</v>
      </c>
      <c r="E930" s="18" t="n">
        <f aca="false">ROUND((D930-$D$5)*86400,2)</f>
        <v>25.29</v>
      </c>
      <c r="F930" s="12" t="n">
        <v>1924</v>
      </c>
      <c r="G930" s="11" t="n">
        <f aca="false">IF(INDEX(選手一覧!$D$7:$D$2738,$F930)="","",INDEX(選手一覧!$D$7:$D$2738,$F930))</f>
        <v>0.0109287037037037</v>
      </c>
      <c r="H930" s="12" t="n">
        <f aca="false">IF(INDEX(選手一覧!$E$7:$E$2738,$F930)="","",INDEX(選手一覧!$E$7:$E$2738,$F930))</f>
        <v>964</v>
      </c>
      <c r="I930" s="11" t="str">
        <f aca="false">IF(INDEX(選手一覧!$F$7:$F$2738,$F930)="","",INDEX(選手一覧!$F$7:$F$2738,$F930))</f>
        <v/>
      </c>
      <c r="J930" s="12" t="str">
        <f aca="false">IF(INDEX(選手一覧!$G$7:$G$2738,$F930)="","",INDEX(選手一覧!$G$7:$G$2738,$F930))</f>
        <v/>
      </c>
    </row>
    <row r="931" customFormat="false" ht="15" hidden="false" customHeight="false" outlineLevel="0" collapsed="false">
      <c r="A931" s="12" t="n">
        <v>927</v>
      </c>
      <c r="B931" s="10" t="s">
        <v>1995</v>
      </c>
      <c r="C931" s="10" t="s">
        <v>64</v>
      </c>
      <c r="D931" s="11" t="n">
        <v>0.00289733796296296</v>
      </c>
      <c r="E931" s="18" t="n">
        <f aca="false">ROUND((D931-$D$5)*86400,2)</f>
        <v>25.3</v>
      </c>
      <c r="F931" s="12" t="n">
        <v>1375</v>
      </c>
      <c r="G931" s="11" t="n">
        <f aca="false">IF(INDEX(選手一覧!$D$7:$D$2738,$F931)="","",INDEX(選手一覧!$D$7:$D$2738,$F931))</f>
        <v>0.0107847222222222</v>
      </c>
      <c r="H931" s="12" t="n">
        <f aca="false">IF(INDEX(選手一覧!$E$7:$E$2738,$F931)="","",INDEX(選手一覧!$E$7:$E$2738,$F931))</f>
        <v>712</v>
      </c>
      <c r="I931" s="11" t="n">
        <f aca="false">IF(INDEX(選手一覧!$F$7:$F$2738,$F931)="","",INDEX(選手一覧!$F$7:$F$2738,$F931))</f>
        <v>0.0072994212962963</v>
      </c>
      <c r="J931" s="12" t="n">
        <f aca="false">IF(INDEX(選手一覧!$G$7:$G$2738,$F931)="","",INDEX(選手一覧!$G$7:$G$2738,$F931))</f>
        <v>646</v>
      </c>
    </row>
    <row r="932" customFormat="false" ht="15" hidden="false" customHeight="false" outlineLevel="0" collapsed="false">
      <c r="A932" s="12" t="n">
        <v>928</v>
      </c>
      <c r="B932" s="10" t="s">
        <v>886</v>
      </c>
      <c r="C932" s="10" t="s">
        <v>114</v>
      </c>
      <c r="D932" s="11" t="n">
        <v>0.00289733796296296</v>
      </c>
      <c r="E932" s="18" t="n">
        <f aca="false">ROUND((D932-$D$5)*86400,2)</f>
        <v>25.3</v>
      </c>
      <c r="F932" s="12" t="n">
        <v>582</v>
      </c>
      <c r="G932" s="11" t="n">
        <f aca="false">IF(INDEX(選手一覧!$D$7:$D$2738,$F932)="","",INDEX(選手一覧!$D$7:$D$2738,$F932))</f>
        <v>0.0104907407407407</v>
      </c>
      <c r="H932" s="12" t="n">
        <f aca="false">IF(INDEX(選手一覧!$E$7:$E$2738,$F932)="","",INDEX(選手一覧!$E$7:$E$2738,$F932))</f>
        <v>334</v>
      </c>
      <c r="I932" s="11" t="n">
        <f aca="false">IF(INDEX(選手一覧!$F$7:$F$2738,$F932)="","",INDEX(選手一覧!$F$7:$F$2738,$F932))</f>
        <v>0.00690219907407407</v>
      </c>
      <c r="J932" s="12" t="n">
        <f aca="false">IF(INDEX(選手一覧!$G$7:$G$2738,$F932)="","",INDEX(選手一覧!$G$7:$G$2738,$F932))</f>
        <v>245</v>
      </c>
    </row>
    <row r="933" customFormat="false" ht="15" hidden="false" customHeight="false" outlineLevel="0" collapsed="false">
      <c r="A933" s="12" t="n">
        <v>929</v>
      </c>
      <c r="B933" s="10" t="s">
        <v>388</v>
      </c>
      <c r="C933" s="10" t="s">
        <v>83</v>
      </c>
      <c r="D933" s="11" t="n">
        <v>0.00289733796296296</v>
      </c>
      <c r="E933" s="18" t="n">
        <f aca="false">ROUND((D933-$D$5)*86400,2)</f>
        <v>25.3</v>
      </c>
      <c r="F933" s="12" t="n">
        <v>232</v>
      </c>
      <c r="G933" s="11" t="n">
        <f aca="false">IF(INDEX(選手一覧!$D$7:$D$2738,$F933)="","",INDEX(選手一覧!$D$7:$D$2738,$F933))</f>
        <v>0.0106108796296296</v>
      </c>
      <c r="H933" s="12" t="n">
        <f aca="false">IF(INDEX(選手一覧!$E$7:$E$2738,$F933)="","",INDEX(選手一覧!$E$7:$E$2738,$F933))</f>
        <v>477</v>
      </c>
      <c r="I933" s="11" t="n">
        <f aca="false">IF(INDEX(選手一覧!$F$7:$F$2738,$F933)="","",INDEX(選手一覧!$F$7:$F$2738,$F933))</f>
        <v>0.00667673611111111</v>
      </c>
      <c r="J933" s="12" t="n">
        <f aca="false">IF(INDEX(選手一覧!$G$7:$G$2738,$F933)="","",INDEX(選手一覧!$G$7:$G$2738,$F933))</f>
        <v>96</v>
      </c>
    </row>
    <row r="934" customFormat="false" ht="15" hidden="false" customHeight="false" outlineLevel="0" collapsed="false">
      <c r="A934" s="12" t="n">
        <v>930</v>
      </c>
      <c r="B934" s="10" t="s">
        <v>2755</v>
      </c>
      <c r="C934" s="10" t="s">
        <v>2756</v>
      </c>
      <c r="D934" s="11" t="n">
        <v>0.0028974537037037</v>
      </c>
      <c r="E934" s="18" t="n">
        <f aca="false">ROUND((D934-$D$5)*86400,2)</f>
        <v>25.31</v>
      </c>
      <c r="F934" s="12" t="n">
        <v>1930</v>
      </c>
      <c r="G934" s="11" t="str">
        <f aca="false">IF(INDEX(選手一覧!$D$7:$D$2738,$F934)="","",INDEX(選手一覧!$D$7:$D$2738,$F934))</f>
        <v/>
      </c>
      <c r="H934" s="12" t="str">
        <f aca="false">IF(INDEX(選手一覧!$E$7:$E$2738,$F934)="","",INDEX(選手一覧!$E$7:$E$2738,$F934))</f>
        <v/>
      </c>
      <c r="I934" s="11" t="str">
        <f aca="false">IF(INDEX(選手一覧!$F$7:$F$2738,$F934)="","",INDEX(選手一覧!$F$7:$F$2738,$F934))</f>
        <v/>
      </c>
      <c r="J934" s="12" t="str">
        <f aca="false">IF(INDEX(選手一覧!$G$7:$G$2738,$F934)="","",INDEX(選手一覧!$G$7:$G$2738,$F934))</f>
        <v/>
      </c>
    </row>
    <row r="935" customFormat="false" ht="15" hidden="false" customHeight="false" outlineLevel="0" collapsed="false">
      <c r="A935" s="12" t="n">
        <v>931</v>
      </c>
      <c r="B935" s="10" t="s">
        <v>2368</v>
      </c>
      <c r="C935" s="10" t="s">
        <v>41</v>
      </c>
      <c r="D935" s="11" t="n">
        <v>0.0028974537037037</v>
      </c>
      <c r="E935" s="18" t="n">
        <f aca="false">ROUND((D935-$D$5)*86400,2)</f>
        <v>25.31</v>
      </c>
      <c r="F935" s="12" t="n">
        <v>1642</v>
      </c>
      <c r="G935" s="11" t="n">
        <f aca="false">IF(INDEX(選手一覧!$D$7:$D$2738,$F935)="","",INDEX(選手一覧!$D$7:$D$2738,$F935))</f>
        <v>0.0108229166666667</v>
      </c>
      <c r="H935" s="12" t="n">
        <f aca="false">IF(INDEX(選手一覧!$E$7:$E$2738,$F935)="","",INDEX(選手一覧!$E$7:$E$2738,$F935))</f>
        <v>781</v>
      </c>
      <c r="I935" s="11" t="str">
        <f aca="false">IF(INDEX(選手一覧!$F$7:$F$2738,$F935)="","",INDEX(選手一覧!$F$7:$F$2738,$F935))</f>
        <v/>
      </c>
      <c r="J935" s="12" t="str">
        <f aca="false">IF(INDEX(選手一覧!$G$7:$G$2738,$F935)="","",INDEX(選手一覧!$G$7:$G$2738,$F935))</f>
        <v/>
      </c>
    </row>
    <row r="936" customFormat="false" ht="15" hidden="false" customHeight="false" outlineLevel="0" collapsed="false">
      <c r="A936" s="12" t="n">
        <v>932</v>
      </c>
      <c r="B936" s="10" t="s">
        <v>972</v>
      </c>
      <c r="C936" s="10" t="s">
        <v>57</v>
      </c>
      <c r="D936" s="11" t="n">
        <v>0.0028974537037037</v>
      </c>
      <c r="E936" s="18" t="n">
        <f aca="false">ROUND((D936-$D$5)*86400,2)</f>
        <v>25.31</v>
      </c>
      <c r="F936" s="12" t="n">
        <v>648</v>
      </c>
      <c r="G936" s="11" t="n">
        <f aca="false">IF(INDEX(選手一覧!$D$7:$D$2738,$F936)="","",INDEX(選手一覧!$D$7:$D$2738,$F936))</f>
        <v>0.010409375</v>
      </c>
      <c r="H936" s="12" t="n">
        <f aca="false">IF(INDEX(選手一覧!$E$7:$E$2738,$F936)="","",INDEX(選手一覧!$E$7:$E$2738,$F936))</f>
        <v>274</v>
      </c>
      <c r="I936" s="11" t="str">
        <f aca="false">IF(INDEX(選手一覧!$F$7:$F$2738,$F936)="","",INDEX(選手一覧!$F$7:$F$2738,$F936))</f>
        <v/>
      </c>
      <c r="J936" s="12" t="str">
        <f aca="false">IF(INDEX(選手一覧!$G$7:$G$2738,$F936)="","",INDEX(選手一覧!$G$7:$G$2738,$F936))</f>
        <v/>
      </c>
    </row>
    <row r="937" customFormat="false" ht="15" hidden="false" customHeight="false" outlineLevel="0" collapsed="false">
      <c r="A937" s="12" t="n">
        <v>933</v>
      </c>
      <c r="B937" s="10" t="s">
        <v>2763</v>
      </c>
      <c r="C937" s="10" t="s">
        <v>2764</v>
      </c>
      <c r="D937" s="11" t="n">
        <v>0.00289814814814815</v>
      </c>
      <c r="E937" s="18" t="n">
        <f aca="false">ROUND((D937-$D$5)*86400,2)</f>
        <v>25.37</v>
      </c>
      <c r="F937" s="12" t="n">
        <v>1935</v>
      </c>
      <c r="G937" s="11" t="str">
        <f aca="false">IF(INDEX(選手一覧!$D$7:$D$2738,$F937)="","",INDEX(選手一覧!$D$7:$D$2738,$F937))</f>
        <v/>
      </c>
      <c r="H937" s="12" t="str">
        <f aca="false">IF(INDEX(選手一覧!$E$7:$E$2738,$F937)="","",INDEX(選手一覧!$E$7:$E$2738,$F937))</f>
        <v/>
      </c>
      <c r="I937" s="11" t="str">
        <f aca="false">IF(INDEX(選手一覧!$F$7:$F$2738,$F937)="","",INDEX(選手一覧!$F$7:$F$2738,$F937))</f>
        <v/>
      </c>
      <c r="J937" s="12" t="str">
        <f aca="false">IF(INDEX(選手一覧!$G$7:$G$2738,$F937)="","",INDEX(選手一覧!$G$7:$G$2738,$F937))</f>
        <v/>
      </c>
    </row>
    <row r="938" customFormat="false" ht="15" hidden="false" customHeight="false" outlineLevel="0" collapsed="false">
      <c r="A938" s="12" t="n">
        <v>934</v>
      </c>
      <c r="B938" s="10" t="s">
        <v>1835</v>
      </c>
      <c r="C938" s="10" t="s">
        <v>36</v>
      </c>
      <c r="D938" s="11" t="n">
        <v>0.00289814814814815</v>
      </c>
      <c r="E938" s="18" t="n">
        <f aca="false">ROUND((D938-$D$5)*86400,2)</f>
        <v>25.37</v>
      </c>
      <c r="F938" s="12" t="n">
        <v>1264</v>
      </c>
      <c r="G938" s="11" t="n">
        <f aca="false">IF(INDEX(選手一覧!$D$7:$D$2738,$F938)="","",INDEX(選手一覧!$D$7:$D$2738,$F938))</f>
        <v>0.0107001157407407</v>
      </c>
      <c r="H938" s="12" t="n">
        <f aca="false">IF(INDEX(選手一覧!$E$7:$E$2738,$F938)="","",INDEX(選手一覧!$E$7:$E$2738,$F938))</f>
        <v>584</v>
      </c>
      <c r="I938" s="11" t="str">
        <f aca="false">IF(INDEX(選手一覧!$F$7:$F$2738,$F938)="","",INDEX(選手一覧!$F$7:$F$2738,$F938))</f>
        <v/>
      </c>
      <c r="J938" s="12" t="str">
        <f aca="false">IF(INDEX(選手一覧!$G$7:$G$2738,$F938)="","",INDEX(選手一覧!$G$7:$G$2738,$F938))</f>
        <v/>
      </c>
    </row>
    <row r="939" customFormat="false" ht="15" hidden="false" customHeight="false" outlineLevel="0" collapsed="false">
      <c r="A939" s="12" t="n">
        <v>935</v>
      </c>
      <c r="B939" s="10" t="s">
        <v>1356</v>
      </c>
      <c r="C939" s="10" t="s">
        <v>1357</v>
      </c>
      <c r="D939" s="11" t="n">
        <v>0.00289837962962963</v>
      </c>
      <c r="E939" s="18" t="n">
        <f aca="false">ROUND((D939-$D$5)*86400,2)</f>
        <v>25.39</v>
      </c>
      <c r="F939" s="12" t="n">
        <v>923</v>
      </c>
      <c r="G939" s="11" t="n">
        <f aca="false">IF(INDEX(選手一覧!$D$7:$D$2738,$F939)="","",INDEX(選手一覧!$D$7:$D$2738,$F939))</f>
        <v>0.0110112268518519</v>
      </c>
      <c r="H939" s="12" t="n">
        <f aca="false">IF(INDEX(選手一覧!$E$7:$E$2738,$F939)="","",INDEX(選手一覧!$E$7:$E$2738,$F939))</f>
        <v>1112</v>
      </c>
      <c r="I939" s="11" t="n">
        <f aca="false">IF(INDEX(選手一覧!$F$7:$F$2738,$F939)="","",INDEX(選手一覧!$F$7:$F$2738,$F939))</f>
        <v>0.00706909722222222</v>
      </c>
      <c r="J939" s="12" t="n">
        <f aca="false">IF(INDEX(選手一覧!$G$7:$G$2738,$F939)="","",INDEX(選手一覧!$G$7:$G$2738,$F939))</f>
        <v>413</v>
      </c>
    </row>
    <row r="940" customFormat="false" ht="15" hidden="false" customHeight="false" outlineLevel="0" collapsed="false">
      <c r="A940" s="12" t="n">
        <v>936</v>
      </c>
      <c r="B940" s="10" t="s">
        <v>2771</v>
      </c>
      <c r="C940" s="10" t="s">
        <v>2772</v>
      </c>
      <c r="D940" s="11" t="n">
        <v>0.00289849537037037</v>
      </c>
      <c r="E940" s="18" t="n">
        <f aca="false">ROUND((D940-$D$5)*86400,2)</f>
        <v>25.4</v>
      </c>
      <c r="F940" s="12" t="n">
        <v>1940</v>
      </c>
      <c r="G940" s="11" t="str">
        <f aca="false">IF(INDEX(選手一覧!$D$7:$D$2738,$F940)="","",INDEX(選手一覧!$D$7:$D$2738,$F940))</f>
        <v/>
      </c>
      <c r="H940" s="12" t="str">
        <f aca="false">IF(INDEX(選手一覧!$E$7:$E$2738,$F940)="","",INDEX(選手一覧!$E$7:$E$2738,$F940))</f>
        <v/>
      </c>
      <c r="I940" s="11" t="str">
        <f aca="false">IF(INDEX(選手一覧!$F$7:$F$2738,$F940)="","",INDEX(選手一覧!$F$7:$F$2738,$F940))</f>
        <v/>
      </c>
      <c r="J940" s="12" t="str">
        <f aca="false">IF(INDEX(選手一覧!$G$7:$G$2738,$F940)="","",INDEX(選手一覧!$G$7:$G$2738,$F940))</f>
        <v/>
      </c>
    </row>
    <row r="941" customFormat="false" ht="15" hidden="false" customHeight="false" outlineLevel="0" collapsed="false">
      <c r="A941" s="12" t="n">
        <v>937</v>
      </c>
      <c r="B941" s="10" t="s">
        <v>2775</v>
      </c>
      <c r="C941" s="10" t="s">
        <v>387</v>
      </c>
      <c r="D941" s="11" t="n">
        <v>0.00289849537037037</v>
      </c>
      <c r="E941" s="18" t="n">
        <f aca="false">ROUND((D941-$D$5)*86400,2)</f>
        <v>25.4</v>
      </c>
      <c r="F941" s="12" t="n">
        <v>1942</v>
      </c>
      <c r="G941" s="11" t="str">
        <f aca="false">IF(INDEX(選手一覧!$D$7:$D$2738,$F941)="","",INDEX(選手一覧!$D$7:$D$2738,$F941))</f>
        <v/>
      </c>
      <c r="H941" s="12" t="str">
        <f aca="false">IF(INDEX(選手一覧!$E$7:$E$2738,$F941)="","",INDEX(選手一覧!$E$7:$E$2738,$F941))</f>
        <v/>
      </c>
      <c r="I941" s="11" t="str">
        <f aca="false">IF(INDEX(選手一覧!$F$7:$F$2738,$F941)="","",INDEX(選手一覧!$F$7:$F$2738,$F941))</f>
        <v/>
      </c>
      <c r="J941" s="12" t="str">
        <f aca="false">IF(INDEX(選手一覧!$G$7:$G$2738,$F941)="","",INDEX(選手一覧!$G$7:$G$2738,$F941))</f>
        <v/>
      </c>
    </row>
    <row r="942" customFormat="false" ht="15" hidden="false" customHeight="false" outlineLevel="0" collapsed="false">
      <c r="A942" s="12" t="n">
        <v>938</v>
      </c>
      <c r="B942" s="10" t="s">
        <v>316</v>
      </c>
      <c r="C942" s="10" t="s">
        <v>317</v>
      </c>
      <c r="D942" s="11" t="n">
        <v>0.00289895833333333</v>
      </c>
      <c r="E942" s="18" t="n">
        <f aca="false">ROUND((D942-$D$5)*86400,2)</f>
        <v>25.44</v>
      </c>
      <c r="F942" s="12" t="n">
        <v>180</v>
      </c>
      <c r="G942" s="11" t="n">
        <f aca="false">IF(INDEX(選手一覧!$D$7:$D$2738,$F942)="","",INDEX(選手一覧!$D$7:$D$2738,$F942))</f>
        <v>0.0107778935185185</v>
      </c>
      <c r="H942" s="12" t="n">
        <f aca="false">IF(INDEX(選手一覧!$E$7:$E$2738,$F942)="","",INDEX(選手一覧!$E$7:$E$2738,$F942))</f>
        <v>705</v>
      </c>
      <c r="I942" s="11" t="n">
        <f aca="false">IF(INDEX(選手一覧!$F$7:$F$2738,$F942)="","",INDEX(選手一覧!$F$7:$F$2738,$F942))</f>
        <v>0.0066275462962963</v>
      </c>
      <c r="J942" s="12" t="n">
        <f aca="false">IF(INDEX(選手一覧!$G$7:$G$2738,$F942)="","",INDEX(選手一覧!$G$7:$G$2738,$F942))</f>
        <v>73</v>
      </c>
    </row>
    <row r="943" customFormat="false" ht="15" hidden="false" customHeight="false" outlineLevel="0" collapsed="false">
      <c r="A943" s="12" t="n">
        <v>939</v>
      </c>
      <c r="B943" s="10" t="s">
        <v>704</v>
      </c>
      <c r="C943" s="10" t="s">
        <v>705</v>
      </c>
      <c r="D943" s="11" t="n">
        <v>0.00289930555555556</v>
      </c>
      <c r="E943" s="18" t="n">
        <f aca="false">ROUND((D943-$D$5)*86400,2)</f>
        <v>25.47</v>
      </c>
      <c r="F943" s="12" t="n">
        <v>451</v>
      </c>
      <c r="G943" s="11" t="str">
        <f aca="false">IF(INDEX(選手一覧!$D$7:$D$2738,$F943)="","",INDEX(選手一覧!$D$7:$D$2738,$F943))</f>
        <v/>
      </c>
      <c r="H943" s="12" t="str">
        <f aca="false">IF(INDEX(選手一覧!$E$7:$E$2738,$F943)="","",INDEX(選手一覧!$E$7:$E$2738,$F943))</f>
        <v/>
      </c>
      <c r="I943" s="11" t="n">
        <f aca="false">IF(INDEX(選手一覧!$F$7:$F$2738,$F943)="","",INDEX(選手一覧!$F$7:$F$2738,$F943))</f>
        <v>0.00682673611111111</v>
      </c>
      <c r="J943" s="12" t="n">
        <f aca="false">IF(INDEX(選手一覧!$G$7:$G$2738,$F943)="","",INDEX(選手一覧!$G$7:$G$2738,$F943))</f>
        <v>189</v>
      </c>
    </row>
    <row r="944" customFormat="false" ht="15" hidden="false" customHeight="false" outlineLevel="0" collapsed="false">
      <c r="A944" s="12" t="n">
        <v>940</v>
      </c>
      <c r="B944" s="10" t="s">
        <v>2780</v>
      </c>
      <c r="C944" s="10" t="s">
        <v>60</v>
      </c>
      <c r="D944" s="11" t="n">
        <v>0.00289953703703704</v>
      </c>
      <c r="E944" s="18" t="n">
        <f aca="false">ROUND((D944-$D$5)*86400,2)</f>
        <v>25.49</v>
      </c>
      <c r="F944" s="12" t="n">
        <v>1946</v>
      </c>
      <c r="G944" s="11" t="str">
        <f aca="false">IF(INDEX(選手一覧!$D$7:$D$2738,$F944)="","",INDEX(選手一覧!$D$7:$D$2738,$F944))</f>
        <v/>
      </c>
      <c r="H944" s="12" t="str">
        <f aca="false">IF(INDEX(選手一覧!$E$7:$E$2738,$F944)="","",INDEX(選手一覧!$E$7:$E$2738,$F944))</f>
        <v/>
      </c>
      <c r="I944" s="11" t="str">
        <f aca="false">IF(INDEX(選手一覧!$F$7:$F$2738,$F944)="","",INDEX(選手一覧!$F$7:$F$2738,$F944))</f>
        <v/>
      </c>
      <c r="J944" s="12" t="str">
        <f aca="false">IF(INDEX(選手一覧!$G$7:$G$2738,$F944)="","",INDEX(選手一覧!$G$7:$G$2738,$F944))</f>
        <v/>
      </c>
    </row>
    <row r="945" customFormat="false" ht="15" hidden="false" customHeight="false" outlineLevel="0" collapsed="false">
      <c r="A945" s="12" t="n">
        <v>941</v>
      </c>
      <c r="B945" s="10" t="s">
        <v>370</v>
      </c>
      <c r="C945" s="10" t="s">
        <v>371</v>
      </c>
      <c r="D945" s="11" t="n">
        <v>0.00289953703703704</v>
      </c>
      <c r="E945" s="18" t="n">
        <f aca="false">ROUND((D945-$D$5)*86400,2)</f>
        <v>25.49</v>
      </c>
      <c r="F945" s="12" t="n">
        <v>221</v>
      </c>
      <c r="G945" s="11" t="n">
        <f aca="false">IF(INDEX(選手一覧!$D$7:$D$2738,$F945)="","",INDEX(選手一覧!$D$7:$D$2738,$F945))</f>
        <v>0.0102929398148148</v>
      </c>
      <c r="H945" s="12" t="n">
        <f aca="false">IF(INDEX(選手一覧!$E$7:$E$2738,$F945)="","",INDEX(選手一覧!$E$7:$E$2738,$F945))</f>
        <v>156</v>
      </c>
      <c r="I945" s="11" t="n">
        <f aca="false">IF(INDEX(選手一覧!$F$7:$F$2738,$F945)="","",INDEX(選手一覧!$F$7:$F$2738,$F945))</f>
        <v>0.00667303240740741</v>
      </c>
      <c r="J945" s="12" t="n">
        <f aca="false">IF(INDEX(選手一覧!$G$7:$G$2738,$F945)="","",INDEX(選手一覧!$G$7:$G$2738,$F945))</f>
        <v>92</v>
      </c>
    </row>
    <row r="946" customFormat="false" ht="15" hidden="false" customHeight="false" outlineLevel="0" collapsed="false">
      <c r="A946" s="12" t="n">
        <v>942</v>
      </c>
      <c r="B946" s="10" t="s">
        <v>2784</v>
      </c>
      <c r="C946" s="10" t="s">
        <v>2785</v>
      </c>
      <c r="D946" s="11" t="n">
        <v>0.00289965277777778</v>
      </c>
      <c r="E946" s="18" t="n">
        <f aca="false">ROUND((D946-$D$5)*86400,2)</f>
        <v>25.5</v>
      </c>
      <c r="F946" s="12" t="n">
        <v>1949</v>
      </c>
      <c r="G946" s="11" t="n">
        <f aca="false">IF(INDEX(選手一覧!$D$7:$D$2738,$F946)="","",INDEX(選手一覧!$D$7:$D$2738,$F946))</f>
        <v>0.0110717592592593</v>
      </c>
      <c r="H946" s="12" t="n">
        <f aca="false">IF(INDEX(選手一覧!$E$7:$E$2738,$F946)="","",INDEX(選手一覧!$E$7:$E$2738,$F946))</f>
        <v>1237</v>
      </c>
      <c r="I946" s="11" t="str">
        <f aca="false">IF(INDEX(選手一覧!$F$7:$F$2738,$F946)="","",INDEX(選手一覧!$F$7:$F$2738,$F946))</f>
        <v/>
      </c>
      <c r="J946" s="12" t="str">
        <f aca="false">IF(INDEX(選手一覧!$G$7:$G$2738,$F946)="","",INDEX(選手一覧!$G$7:$G$2738,$F946))</f>
        <v/>
      </c>
    </row>
    <row r="947" customFormat="false" ht="15" hidden="false" customHeight="false" outlineLevel="0" collapsed="false">
      <c r="A947" s="12" t="n">
        <v>943</v>
      </c>
      <c r="B947" s="10" t="s">
        <v>2791</v>
      </c>
      <c r="C947" s="10" t="s">
        <v>2792</v>
      </c>
      <c r="D947" s="11" t="n">
        <v>0.00289976851851852</v>
      </c>
      <c r="E947" s="18" t="n">
        <f aca="false">ROUND((D947-$D$5)*86400,2)</f>
        <v>25.51</v>
      </c>
      <c r="F947" s="12" t="n">
        <v>1953</v>
      </c>
      <c r="G947" s="11" t="str">
        <f aca="false">IF(INDEX(選手一覧!$D$7:$D$2738,$F947)="","",INDEX(選手一覧!$D$7:$D$2738,$F947))</f>
        <v/>
      </c>
      <c r="H947" s="12" t="str">
        <f aca="false">IF(INDEX(選手一覧!$E$7:$E$2738,$F947)="","",INDEX(選手一覧!$E$7:$E$2738,$F947))</f>
        <v/>
      </c>
      <c r="I947" s="11" t="str">
        <f aca="false">IF(INDEX(選手一覧!$F$7:$F$2738,$F947)="","",INDEX(選手一覧!$F$7:$F$2738,$F947))</f>
        <v/>
      </c>
      <c r="J947" s="12" t="str">
        <f aca="false">IF(INDEX(選手一覧!$G$7:$G$2738,$F947)="","",INDEX(選手一覧!$G$7:$G$2738,$F947))</f>
        <v/>
      </c>
    </row>
    <row r="948" customFormat="false" ht="15" hidden="false" customHeight="false" outlineLevel="0" collapsed="false">
      <c r="A948" s="12" t="n">
        <v>944</v>
      </c>
      <c r="B948" s="10" t="s">
        <v>1877</v>
      </c>
      <c r="C948" s="10" t="s">
        <v>1878</v>
      </c>
      <c r="D948" s="11" t="n">
        <v>0.00289988425925926</v>
      </c>
      <c r="E948" s="18" t="n">
        <f aca="false">ROUND((D948-$D$5)*86400,2)</f>
        <v>25.52</v>
      </c>
      <c r="F948" s="12" t="n">
        <v>1291</v>
      </c>
      <c r="G948" s="11" t="n">
        <f aca="false">IF(INDEX(選手一覧!$D$7:$D$2738,$F948)="","",INDEX(選手一覧!$D$7:$D$2738,$F948))</f>
        <v>0.0107128472222222</v>
      </c>
      <c r="H948" s="12" t="n">
        <f aca="false">IF(INDEX(選手一覧!$E$7:$E$2738,$F948)="","",INDEX(選手一覧!$E$7:$E$2738,$F948))</f>
        <v>601</v>
      </c>
      <c r="I948" s="11" t="str">
        <f aca="false">IF(INDEX(選手一覧!$F$7:$F$2738,$F948)="","",INDEX(選手一覧!$F$7:$F$2738,$F948))</f>
        <v/>
      </c>
      <c r="J948" s="12" t="str">
        <f aca="false">IF(INDEX(選手一覧!$G$7:$G$2738,$F948)="","",INDEX(選手一覧!$G$7:$G$2738,$F948))</f>
        <v/>
      </c>
    </row>
    <row r="949" customFormat="false" ht="15" hidden="false" customHeight="false" outlineLevel="0" collapsed="false">
      <c r="A949" s="12" t="n">
        <v>945</v>
      </c>
      <c r="B949" s="10" t="s">
        <v>2797</v>
      </c>
      <c r="C949" s="10" t="s">
        <v>1897</v>
      </c>
      <c r="D949" s="11" t="n">
        <v>0.00289988425925926</v>
      </c>
      <c r="E949" s="18" t="n">
        <f aca="false">ROUND((D949-$D$5)*86400,2)</f>
        <v>25.52</v>
      </c>
      <c r="F949" s="12" t="n">
        <v>1956</v>
      </c>
      <c r="G949" s="11" t="str">
        <f aca="false">IF(INDEX(選手一覧!$D$7:$D$2738,$F949)="","",INDEX(選手一覧!$D$7:$D$2738,$F949))</f>
        <v/>
      </c>
      <c r="H949" s="12" t="str">
        <f aca="false">IF(INDEX(選手一覧!$E$7:$E$2738,$F949)="","",INDEX(選手一覧!$E$7:$E$2738,$F949))</f>
        <v/>
      </c>
      <c r="I949" s="11" t="str">
        <f aca="false">IF(INDEX(選手一覧!$F$7:$F$2738,$F949)="","",INDEX(選手一覧!$F$7:$F$2738,$F949))</f>
        <v/>
      </c>
      <c r="J949" s="12" t="str">
        <f aca="false">IF(INDEX(選手一覧!$G$7:$G$2738,$F949)="","",INDEX(選手一覧!$G$7:$G$2738,$F949))</f>
        <v/>
      </c>
    </row>
    <row r="950" customFormat="false" ht="15" hidden="false" customHeight="false" outlineLevel="0" collapsed="false">
      <c r="A950" s="12" t="n">
        <v>946</v>
      </c>
      <c r="B950" s="10" t="s">
        <v>575</v>
      </c>
      <c r="C950" s="10" t="s">
        <v>95</v>
      </c>
      <c r="D950" s="11" t="n">
        <v>0.00289988425925926</v>
      </c>
      <c r="E950" s="18" t="n">
        <f aca="false">ROUND((D950-$D$5)*86400,2)</f>
        <v>25.52</v>
      </c>
      <c r="F950" s="12" t="n">
        <v>362</v>
      </c>
      <c r="G950" s="11" t="n">
        <f aca="false">IF(INDEX(選手一覧!$D$7:$D$2738,$F950)="","",INDEX(選手一覧!$D$7:$D$2738,$F950))</f>
        <v>0.0107016203703704</v>
      </c>
      <c r="H950" s="12" t="n">
        <f aca="false">IF(INDEX(選手一覧!$E$7:$E$2738,$F950)="","",INDEX(選手一覧!$E$7:$E$2738,$F950))</f>
        <v>587</v>
      </c>
      <c r="I950" s="11" t="n">
        <f aca="false">IF(INDEX(選手一覧!$F$7:$F$2738,$F950)="","",INDEX(選手一覧!$F$7:$F$2738,$F950))</f>
        <v>0.00677569444444444</v>
      </c>
      <c r="J950" s="12" t="n">
        <f aca="false">IF(INDEX(選手一覧!$G$7:$G$2738,$F950)="","",INDEX(選手一覧!$G$7:$G$2738,$F950))</f>
        <v>152</v>
      </c>
    </row>
    <row r="951" customFormat="false" ht="15" hidden="false" customHeight="false" outlineLevel="0" collapsed="false">
      <c r="A951" s="12" t="n">
        <v>947</v>
      </c>
      <c r="B951" s="10" t="s">
        <v>2450</v>
      </c>
      <c r="C951" s="10" t="s">
        <v>254</v>
      </c>
      <c r="D951" s="11" t="n">
        <v>0.00289988425925926</v>
      </c>
      <c r="E951" s="18" t="n">
        <f aca="false">ROUND((D951-$D$5)*86400,2)</f>
        <v>25.52</v>
      </c>
      <c r="F951" s="12" t="n">
        <v>1704</v>
      </c>
      <c r="G951" s="11" t="n">
        <f aca="false">IF(INDEX(選手一覧!$D$7:$D$2738,$F951)="","",INDEX(選手一覧!$D$7:$D$2738,$F951))</f>
        <v>0.0108416666666667</v>
      </c>
      <c r="H951" s="12" t="n">
        <f aca="false">IF(INDEX(選手一覧!$E$7:$E$2738,$F951)="","",INDEX(選手一覧!$E$7:$E$2738,$F951))</f>
        <v>816</v>
      </c>
      <c r="I951" s="11" t="str">
        <f aca="false">IF(INDEX(選手一覧!$F$7:$F$2738,$F951)="","",INDEX(選手一覧!$F$7:$F$2738,$F951))</f>
        <v/>
      </c>
      <c r="J951" s="12" t="str">
        <f aca="false">IF(INDEX(選手一覧!$G$7:$G$2738,$F951)="","",INDEX(選手一覧!$G$7:$G$2738,$F951))</f>
        <v/>
      </c>
    </row>
    <row r="952" customFormat="false" ht="15" hidden="false" customHeight="false" outlineLevel="0" collapsed="false">
      <c r="A952" s="12" t="n">
        <v>948</v>
      </c>
      <c r="B952" s="10" t="s">
        <v>1234</v>
      </c>
      <c r="C952" s="10" t="s">
        <v>116</v>
      </c>
      <c r="D952" s="11" t="n">
        <v>0.00290023148148148</v>
      </c>
      <c r="E952" s="18" t="n">
        <f aca="false">ROUND((D952-$D$5)*86400,2)</f>
        <v>25.55</v>
      </c>
      <c r="F952" s="12" t="n">
        <v>837</v>
      </c>
      <c r="G952" s="11" t="str">
        <f aca="false">IF(INDEX(選手一覧!$D$7:$D$2738,$F952)="","",INDEX(選手一覧!$D$7:$D$2738,$F952))</f>
        <v/>
      </c>
      <c r="H952" s="12" t="str">
        <f aca="false">IF(INDEX(選手一覧!$E$7:$E$2738,$F952)="","",INDEX(選手一覧!$E$7:$E$2738,$F952))</f>
        <v/>
      </c>
      <c r="I952" s="11" t="n">
        <f aca="false">IF(INDEX(選手一覧!$F$7:$F$2738,$F952)="","",INDEX(選手一覧!$F$7:$F$2738,$F952))</f>
        <v>0.00703738425925926</v>
      </c>
      <c r="J952" s="12" t="n">
        <f aca="false">IF(INDEX(選手一覧!$G$7:$G$2738,$F952)="","",INDEX(選手一覧!$G$7:$G$2738,$F952))</f>
        <v>369</v>
      </c>
    </row>
    <row r="953" customFormat="false" ht="15" hidden="false" customHeight="false" outlineLevel="0" collapsed="false">
      <c r="A953" s="12" t="n">
        <v>949</v>
      </c>
      <c r="B953" s="10" t="s">
        <v>2806</v>
      </c>
      <c r="C953" s="10" t="s">
        <v>377</v>
      </c>
      <c r="D953" s="11" t="n">
        <v>0.00290023148148148</v>
      </c>
      <c r="E953" s="18" t="n">
        <f aca="false">ROUND((D953-$D$5)*86400,2)</f>
        <v>25.55</v>
      </c>
      <c r="F953" s="12" t="n">
        <v>1963</v>
      </c>
      <c r="G953" s="11" t="str">
        <f aca="false">IF(INDEX(選手一覧!$D$7:$D$2738,$F953)="","",INDEX(選手一覧!$D$7:$D$2738,$F953))</f>
        <v/>
      </c>
      <c r="H953" s="12" t="str">
        <f aca="false">IF(INDEX(選手一覧!$E$7:$E$2738,$F953)="","",INDEX(選手一覧!$E$7:$E$2738,$F953))</f>
        <v/>
      </c>
      <c r="I953" s="11" t="str">
        <f aca="false">IF(INDEX(選手一覧!$F$7:$F$2738,$F953)="","",INDEX(選手一覧!$F$7:$F$2738,$F953))</f>
        <v/>
      </c>
      <c r="J953" s="12" t="str">
        <f aca="false">IF(INDEX(選手一覧!$G$7:$G$2738,$F953)="","",INDEX(選手一覧!$G$7:$G$2738,$F953))</f>
        <v/>
      </c>
    </row>
    <row r="954" customFormat="false" ht="15" hidden="false" customHeight="false" outlineLevel="0" collapsed="false">
      <c r="A954" s="12" t="n">
        <v>950</v>
      </c>
      <c r="B954" s="10" t="s">
        <v>2172</v>
      </c>
      <c r="C954" s="10" t="s">
        <v>2173</v>
      </c>
      <c r="D954" s="11" t="n">
        <v>0.00290034722222222</v>
      </c>
      <c r="E954" s="18" t="n">
        <f aca="false">ROUND((D954-$D$5)*86400,2)</f>
        <v>25.56</v>
      </c>
      <c r="F954" s="12" t="n">
        <v>1502</v>
      </c>
      <c r="G954" s="11" t="n">
        <f aca="false">IF(INDEX(選手一覧!$D$7:$D$2738,$F954)="","",INDEX(選手一覧!$D$7:$D$2738,$F954))</f>
        <v>0.0108677083333333</v>
      </c>
      <c r="H954" s="12" t="n">
        <f aca="false">IF(INDEX(選手一覧!$E$7:$E$2738,$F954)="","",INDEX(選手一覧!$E$7:$E$2738,$F954))</f>
        <v>867</v>
      </c>
      <c r="I954" s="11" t="n">
        <f aca="false">IF(INDEX(選手一覧!$F$7:$F$2738,$F954)="","",INDEX(選手一覧!$F$7:$F$2738,$F954))</f>
        <v>0.00735300925925926</v>
      </c>
      <c r="J954" s="12" t="n">
        <f aca="false">IF(INDEX(選手一覧!$G$7:$G$2738,$F954)="","",INDEX(選手一覧!$G$7:$G$2738,$F954))</f>
        <v>714</v>
      </c>
    </row>
    <row r="955" customFormat="false" ht="15" hidden="false" customHeight="false" outlineLevel="0" collapsed="false">
      <c r="A955" s="12" t="n">
        <v>951</v>
      </c>
      <c r="B955" s="10" t="s">
        <v>2808</v>
      </c>
      <c r="C955" s="10" t="s">
        <v>467</v>
      </c>
      <c r="D955" s="11" t="n">
        <v>0.0029005787037037</v>
      </c>
      <c r="E955" s="18" t="n">
        <f aca="false">ROUND((D955-$D$5)*86400,2)</f>
        <v>25.58</v>
      </c>
      <c r="F955" s="12" t="n">
        <v>1965</v>
      </c>
      <c r="G955" s="11" t="n">
        <f aca="false">IF(INDEX(選手一覧!$D$7:$D$2738,$F955)="","",INDEX(選手一覧!$D$7:$D$2738,$F955))</f>
        <v>0.0109524305555556</v>
      </c>
      <c r="H955" s="12" t="n">
        <f aca="false">IF(INDEX(選手一覧!$E$7:$E$2738,$F955)="","",INDEX(選手一覧!$E$7:$E$2738,$F955))</f>
        <v>1005</v>
      </c>
      <c r="I955" s="11" t="str">
        <f aca="false">IF(INDEX(選手一覧!$F$7:$F$2738,$F955)="","",INDEX(選手一覧!$F$7:$F$2738,$F955))</f>
        <v/>
      </c>
      <c r="J955" s="12" t="str">
        <f aca="false">IF(INDEX(選手一覧!$G$7:$G$2738,$F955)="","",INDEX(選手一覧!$G$7:$G$2738,$F955))</f>
        <v/>
      </c>
    </row>
    <row r="956" customFormat="false" ht="15" hidden="false" customHeight="false" outlineLevel="0" collapsed="false">
      <c r="A956" s="12" t="n">
        <v>952</v>
      </c>
      <c r="B956" s="10" t="s">
        <v>2812</v>
      </c>
      <c r="C956" s="10" t="s">
        <v>2173</v>
      </c>
      <c r="D956" s="11" t="n">
        <v>0.0029005787037037</v>
      </c>
      <c r="E956" s="18" t="n">
        <f aca="false">ROUND((D956-$D$5)*86400,2)</f>
        <v>25.58</v>
      </c>
      <c r="F956" s="12" t="n">
        <v>1968</v>
      </c>
      <c r="G956" s="11" t="str">
        <f aca="false">IF(INDEX(選手一覧!$D$7:$D$2738,$F956)="","",INDEX(選手一覧!$D$7:$D$2738,$F956))</f>
        <v/>
      </c>
      <c r="H956" s="12" t="str">
        <f aca="false">IF(INDEX(選手一覧!$E$7:$E$2738,$F956)="","",INDEX(選手一覧!$E$7:$E$2738,$F956))</f>
        <v/>
      </c>
      <c r="I956" s="11" t="str">
        <f aca="false">IF(INDEX(選手一覧!$F$7:$F$2738,$F956)="","",INDEX(選手一覧!$F$7:$F$2738,$F956))</f>
        <v/>
      </c>
      <c r="J956" s="12" t="str">
        <f aca="false">IF(INDEX(選手一覧!$G$7:$G$2738,$F956)="","",INDEX(選手一覧!$G$7:$G$2738,$F956))</f>
        <v/>
      </c>
    </row>
    <row r="957" customFormat="false" ht="15" hidden="false" customHeight="false" outlineLevel="0" collapsed="false">
      <c r="A957" s="12" t="n">
        <v>953</v>
      </c>
      <c r="B957" s="10" t="s">
        <v>2813</v>
      </c>
      <c r="C957" s="10" t="s">
        <v>2100</v>
      </c>
      <c r="D957" s="11" t="n">
        <v>0.00290069444444444</v>
      </c>
      <c r="E957" s="18" t="n">
        <f aca="false">ROUND((D957-$D$5)*86400,2)</f>
        <v>25.59</v>
      </c>
      <c r="F957" s="12" t="n">
        <v>1969</v>
      </c>
      <c r="G957" s="11" t="n">
        <f aca="false">IF(INDEX(選手一覧!$D$7:$D$2738,$F957)="","",INDEX(選手一覧!$D$7:$D$2738,$F957))</f>
        <v>0.0109266203703704</v>
      </c>
      <c r="H957" s="12" t="n">
        <f aca="false">IF(INDEX(選手一覧!$E$7:$E$2738,$F957)="","",INDEX(選手一覧!$E$7:$E$2738,$F957))</f>
        <v>961</v>
      </c>
      <c r="I957" s="11" t="str">
        <f aca="false">IF(INDEX(選手一覧!$F$7:$F$2738,$F957)="","",INDEX(選手一覧!$F$7:$F$2738,$F957))</f>
        <v/>
      </c>
      <c r="J957" s="12" t="str">
        <f aca="false">IF(INDEX(選手一覧!$G$7:$G$2738,$F957)="","",INDEX(選手一覧!$G$7:$G$2738,$F957))</f>
        <v/>
      </c>
    </row>
    <row r="958" customFormat="false" ht="15" hidden="false" customHeight="false" outlineLevel="0" collapsed="false">
      <c r="A958" s="12" t="n">
        <v>954</v>
      </c>
      <c r="B958" s="10" t="s">
        <v>1666</v>
      </c>
      <c r="C958" s="10" t="s">
        <v>473</v>
      </c>
      <c r="D958" s="11" t="n">
        <v>0.00290081018518519</v>
      </c>
      <c r="E958" s="18" t="n">
        <f aca="false">ROUND((D958-$D$5)*86400,2)</f>
        <v>25.6</v>
      </c>
      <c r="F958" s="12" t="n">
        <v>1148</v>
      </c>
      <c r="G958" s="11" t="n">
        <f aca="false">IF(INDEX(選手一覧!$D$7:$D$2738,$F958)="","",INDEX(選手一覧!$D$7:$D$2738,$F958))</f>
        <v>0.0106486111111111</v>
      </c>
      <c r="H958" s="12" t="n">
        <f aca="false">IF(INDEX(選手一覧!$E$7:$E$2738,$F958)="","",INDEX(選手一覧!$E$7:$E$2738,$F958))</f>
        <v>523</v>
      </c>
      <c r="I958" s="11" t="str">
        <f aca="false">IF(INDEX(選手一覧!$F$7:$F$2738,$F958)="","",INDEX(選手一覧!$F$7:$F$2738,$F958))</f>
        <v/>
      </c>
      <c r="J958" s="12" t="str">
        <f aca="false">IF(INDEX(選手一覧!$G$7:$G$2738,$F958)="","",INDEX(選手一覧!$G$7:$G$2738,$F958))</f>
        <v/>
      </c>
    </row>
    <row r="959" customFormat="false" ht="15" hidden="false" customHeight="false" outlineLevel="0" collapsed="false">
      <c r="A959" s="12" t="n">
        <v>955</v>
      </c>
      <c r="B959" s="10" t="s">
        <v>2817</v>
      </c>
      <c r="C959" s="10" t="s">
        <v>2818</v>
      </c>
      <c r="D959" s="11" t="n">
        <v>0.00290104166666667</v>
      </c>
      <c r="E959" s="18" t="n">
        <f aca="false">ROUND((D959-$D$5)*86400,2)</f>
        <v>25.62</v>
      </c>
      <c r="F959" s="12" t="n">
        <v>1973</v>
      </c>
      <c r="G959" s="11" t="str">
        <f aca="false">IF(INDEX(選手一覧!$D$7:$D$2738,$F959)="","",INDEX(選手一覧!$D$7:$D$2738,$F959))</f>
        <v/>
      </c>
      <c r="H959" s="12" t="str">
        <f aca="false">IF(INDEX(選手一覧!$E$7:$E$2738,$F959)="","",INDEX(選手一覧!$E$7:$E$2738,$F959))</f>
        <v/>
      </c>
      <c r="I959" s="11" t="str">
        <f aca="false">IF(INDEX(選手一覧!$F$7:$F$2738,$F959)="","",INDEX(選手一覧!$F$7:$F$2738,$F959))</f>
        <v/>
      </c>
      <c r="J959" s="12" t="str">
        <f aca="false">IF(INDEX(選手一覧!$G$7:$G$2738,$F959)="","",INDEX(選手一覧!$G$7:$G$2738,$F959))</f>
        <v/>
      </c>
    </row>
    <row r="960" customFormat="false" ht="15" hidden="false" customHeight="false" outlineLevel="0" collapsed="false">
      <c r="A960" s="12" t="n">
        <v>956</v>
      </c>
      <c r="B960" s="10" t="s">
        <v>78</v>
      </c>
      <c r="C960" s="10" t="s">
        <v>79</v>
      </c>
      <c r="D960" s="11" t="n">
        <v>0.00290115740740741</v>
      </c>
      <c r="E960" s="18" t="n">
        <f aca="false">ROUND((D960-$D$5)*86400,2)</f>
        <v>25.63</v>
      </c>
      <c r="F960" s="12" t="n">
        <v>32</v>
      </c>
      <c r="G960" s="11" t="n">
        <f aca="false">IF(INDEX(選手一覧!$D$7:$D$2738,$F960)="","",INDEX(選手一覧!$D$7:$D$2738,$F960))</f>
        <v>0.0107954861111111</v>
      </c>
      <c r="H960" s="12" t="n">
        <f aca="false">IF(INDEX(選手一覧!$E$7:$E$2738,$F960)="","",INDEX(選手一覧!$E$7:$E$2738,$F960))</f>
        <v>735</v>
      </c>
      <c r="I960" s="11" t="n">
        <f aca="false">IF(INDEX(選手一覧!$F$7:$F$2738,$F960)="","",INDEX(選手一覧!$F$7:$F$2738,$F960))</f>
        <v>0.00638576388888889</v>
      </c>
      <c r="J960" s="12" t="n">
        <f aca="false">IF(INDEX(選手一覧!$G$7:$G$2738,$F960)="","",INDEX(選手一覧!$G$7:$G$2738,$F960))</f>
        <v>13</v>
      </c>
    </row>
    <row r="961" customFormat="false" ht="15" hidden="false" customHeight="false" outlineLevel="0" collapsed="false">
      <c r="A961" s="12" t="n">
        <v>957</v>
      </c>
      <c r="B961" s="10" t="s">
        <v>2824</v>
      </c>
      <c r="C961" s="10" t="s">
        <v>371</v>
      </c>
      <c r="D961" s="11" t="n">
        <v>0.00290138888888889</v>
      </c>
      <c r="E961" s="18" t="n">
        <f aca="false">ROUND((D961-$D$5)*86400,2)</f>
        <v>25.65</v>
      </c>
      <c r="F961" s="12" t="n">
        <v>1978</v>
      </c>
      <c r="G961" s="11" t="str">
        <f aca="false">IF(INDEX(選手一覧!$D$7:$D$2738,$F961)="","",INDEX(選手一覧!$D$7:$D$2738,$F961))</f>
        <v/>
      </c>
      <c r="H961" s="12" t="str">
        <f aca="false">IF(INDEX(選手一覧!$E$7:$E$2738,$F961)="","",INDEX(選手一覧!$E$7:$E$2738,$F961))</f>
        <v/>
      </c>
      <c r="I961" s="11" t="str">
        <f aca="false">IF(INDEX(選手一覧!$F$7:$F$2738,$F961)="","",INDEX(選手一覧!$F$7:$F$2738,$F961))</f>
        <v/>
      </c>
      <c r="J961" s="12" t="str">
        <f aca="false">IF(INDEX(選手一覧!$G$7:$G$2738,$F961)="","",INDEX(選手一覧!$G$7:$G$2738,$F961))</f>
        <v/>
      </c>
    </row>
    <row r="962" customFormat="false" ht="15" hidden="false" customHeight="false" outlineLevel="0" collapsed="false">
      <c r="A962" s="12" t="n">
        <v>958</v>
      </c>
      <c r="B962" s="10" t="s">
        <v>176</v>
      </c>
      <c r="C962" s="10" t="s">
        <v>177</v>
      </c>
      <c r="D962" s="11" t="n">
        <v>0.00290150462962963</v>
      </c>
      <c r="E962" s="18" t="n">
        <f aca="false">ROUND((D962-$D$5)*86400,2)</f>
        <v>25.66</v>
      </c>
      <c r="F962" s="12" t="n">
        <v>88</v>
      </c>
      <c r="G962" s="11" t="n">
        <f aca="false">IF(INDEX(選手一覧!$D$7:$D$2738,$F962)="","",INDEX(選手一覧!$D$7:$D$2738,$F962))</f>
        <v>0.0109936342592593</v>
      </c>
      <c r="H962" s="12" t="n">
        <f aca="false">IF(INDEX(選手一覧!$E$7:$E$2738,$F962)="","",INDEX(選手一覧!$E$7:$E$2738,$F962))</f>
        <v>1086</v>
      </c>
      <c r="I962" s="11" t="n">
        <f aca="false">IF(INDEX(選手一覧!$F$7:$F$2738,$F962)="","",INDEX(選手一覧!$F$7:$F$2738,$F962))</f>
        <v>0.00649803240740741</v>
      </c>
      <c r="J962" s="12" t="n">
        <f aca="false">IF(INDEX(選手一覧!$G$7:$G$2738,$F962)="","",INDEX(選手一覧!$G$7:$G$2738,$F962))</f>
        <v>35</v>
      </c>
    </row>
    <row r="963" customFormat="false" ht="15" hidden="false" customHeight="false" outlineLevel="0" collapsed="false">
      <c r="A963" s="12" t="n">
        <v>959</v>
      </c>
      <c r="B963" s="10" t="s">
        <v>2831</v>
      </c>
      <c r="C963" s="10" t="s">
        <v>2457</v>
      </c>
      <c r="D963" s="11" t="n">
        <v>0.00290162037037037</v>
      </c>
      <c r="E963" s="18" t="n">
        <f aca="false">ROUND((D963-$D$5)*86400,2)</f>
        <v>25.67</v>
      </c>
      <c r="F963" s="12" t="n">
        <v>1983</v>
      </c>
      <c r="G963" s="11" t="str">
        <f aca="false">IF(INDEX(選手一覧!$D$7:$D$2738,$F963)="","",INDEX(選手一覧!$D$7:$D$2738,$F963))</f>
        <v/>
      </c>
      <c r="H963" s="12" t="str">
        <f aca="false">IF(INDEX(選手一覧!$E$7:$E$2738,$F963)="","",INDEX(選手一覧!$E$7:$E$2738,$F963))</f>
        <v/>
      </c>
      <c r="I963" s="11" t="str">
        <f aca="false">IF(INDEX(選手一覧!$F$7:$F$2738,$F963)="","",INDEX(選手一覧!$F$7:$F$2738,$F963))</f>
        <v/>
      </c>
      <c r="J963" s="12" t="str">
        <f aca="false">IF(INDEX(選手一覧!$G$7:$G$2738,$F963)="","",INDEX(選手一覧!$G$7:$G$2738,$F963))</f>
        <v/>
      </c>
    </row>
    <row r="964" customFormat="false" ht="15" hidden="false" customHeight="false" outlineLevel="0" collapsed="false">
      <c r="A964" s="12" t="n">
        <v>960</v>
      </c>
      <c r="B964" s="10" t="s">
        <v>125</v>
      </c>
      <c r="C964" s="10" t="s">
        <v>126</v>
      </c>
      <c r="D964" s="11" t="n">
        <v>0.00290162037037037</v>
      </c>
      <c r="E964" s="18" t="n">
        <f aca="false">ROUND((D964-$D$5)*86400,2)</f>
        <v>25.67</v>
      </c>
      <c r="F964" s="12" t="n">
        <v>58</v>
      </c>
      <c r="G964" s="11" t="n">
        <f aca="false">IF(INDEX(選手一覧!$D$7:$D$2738,$F964)="","",INDEX(選手一覧!$D$7:$D$2738,$F964))</f>
        <v>0.0106157407407407</v>
      </c>
      <c r="H964" s="12" t="n">
        <f aca="false">IF(INDEX(選手一覧!$E$7:$E$2738,$F964)="","",INDEX(選手一覧!$E$7:$E$2738,$F964))</f>
        <v>487</v>
      </c>
      <c r="I964" s="11" t="n">
        <f aca="false">IF(INDEX(選手一覧!$F$7:$F$2738,$F964)="","",INDEX(選手一覧!$F$7:$F$2738,$F964))</f>
        <v>0.00645543981481482</v>
      </c>
      <c r="J964" s="12" t="n">
        <f aca="false">IF(INDEX(選手一覧!$G$7:$G$2738,$F964)="","",INDEX(選手一覧!$G$7:$G$2738,$F964))</f>
        <v>23</v>
      </c>
    </row>
    <row r="965" customFormat="false" ht="15" hidden="false" customHeight="false" outlineLevel="0" collapsed="false">
      <c r="A965" s="12" t="n">
        <v>961</v>
      </c>
      <c r="B965" s="10" t="s">
        <v>1866</v>
      </c>
      <c r="C965" s="10" t="s">
        <v>1155</v>
      </c>
      <c r="D965" s="11" t="n">
        <v>0.00290162037037037</v>
      </c>
      <c r="E965" s="18" t="n">
        <f aca="false">ROUND((D965-$D$5)*86400,2)</f>
        <v>25.67</v>
      </c>
      <c r="F965" s="12" t="n">
        <v>1284</v>
      </c>
      <c r="G965" s="11" t="str">
        <f aca="false">IF(INDEX(選手一覧!$D$7:$D$2738,$F965)="","",INDEX(選手一覧!$D$7:$D$2738,$F965))</f>
        <v/>
      </c>
      <c r="H965" s="12" t="str">
        <f aca="false">IF(INDEX(選手一覧!$E$7:$E$2738,$F965)="","",INDEX(選手一覧!$E$7:$E$2738,$F965))</f>
        <v/>
      </c>
      <c r="I965" s="11" t="n">
        <f aca="false">IF(INDEX(選手一覧!$F$7:$F$2738,$F965)="","",INDEX(選手一覧!$F$7:$F$2738,$F965))</f>
        <v>0.00724826388888889</v>
      </c>
      <c r="J965" s="12" t="n">
        <f aca="false">IF(INDEX(選手一覧!$G$7:$G$2738,$F965)="","",INDEX(選手一覧!$G$7:$G$2738,$F965))</f>
        <v>596</v>
      </c>
    </row>
    <row r="966" customFormat="false" ht="15" hidden="false" customHeight="false" outlineLevel="0" collapsed="false">
      <c r="A966" s="12" t="n">
        <v>962</v>
      </c>
      <c r="B966" s="10" t="s">
        <v>2032</v>
      </c>
      <c r="C966" s="10" t="s">
        <v>1990</v>
      </c>
      <c r="D966" s="11" t="n">
        <v>0.00290173611111111</v>
      </c>
      <c r="E966" s="18" t="n">
        <f aca="false">ROUND((D966-$D$5)*86400,2)</f>
        <v>25.68</v>
      </c>
      <c r="F966" s="12" t="n">
        <v>1404</v>
      </c>
      <c r="G966" s="11" t="str">
        <f aca="false">IF(INDEX(選手一覧!$D$7:$D$2738,$F966)="","",INDEX(選手一覧!$D$7:$D$2738,$F966))</f>
        <v/>
      </c>
      <c r="H966" s="12" t="str">
        <f aca="false">IF(INDEX(選手一覧!$E$7:$E$2738,$F966)="","",INDEX(選手一覧!$E$7:$E$2738,$F966))</f>
        <v/>
      </c>
      <c r="I966" s="11" t="n">
        <f aca="false">IF(INDEX(選手一覧!$F$7:$F$2738,$F966)="","",INDEX(選手一覧!$F$7:$F$2738,$F966))</f>
        <v>0.00731400462962963</v>
      </c>
      <c r="J966" s="12" t="n">
        <f aca="false">IF(INDEX(選手一覧!$G$7:$G$2738,$F966)="","",INDEX(選手一覧!$G$7:$G$2738,$F966))</f>
        <v>661</v>
      </c>
    </row>
    <row r="967" customFormat="false" ht="15" hidden="false" customHeight="false" outlineLevel="0" collapsed="false">
      <c r="A967" s="12" t="n">
        <v>963</v>
      </c>
      <c r="B967" s="10" t="s">
        <v>2841</v>
      </c>
      <c r="C967" s="10" t="s">
        <v>2842</v>
      </c>
      <c r="D967" s="11" t="n">
        <v>0.00290173611111111</v>
      </c>
      <c r="E967" s="18" t="n">
        <f aca="false">ROUND((D967-$D$5)*86400,2)</f>
        <v>25.68</v>
      </c>
      <c r="F967" s="12" t="n">
        <v>1990</v>
      </c>
      <c r="G967" s="11" t="str">
        <f aca="false">IF(INDEX(選手一覧!$D$7:$D$2738,$F967)="","",INDEX(選手一覧!$D$7:$D$2738,$F967))</f>
        <v/>
      </c>
      <c r="H967" s="12" t="str">
        <f aca="false">IF(INDEX(選手一覧!$E$7:$E$2738,$F967)="","",INDEX(選手一覧!$E$7:$E$2738,$F967))</f>
        <v/>
      </c>
      <c r="I967" s="11" t="str">
        <f aca="false">IF(INDEX(選手一覧!$F$7:$F$2738,$F967)="","",INDEX(選手一覧!$F$7:$F$2738,$F967))</f>
        <v/>
      </c>
      <c r="J967" s="12" t="str">
        <f aca="false">IF(INDEX(選手一覧!$G$7:$G$2738,$F967)="","",INDEX(選手一覧!$G$7:$G$2738,$F967))</f>
        <v/>
      </c>
    </row>
    <row r="968" customFormat="false" ht="15" hidden="false" customHeight="false" outlineLevel="0" collapsed="false">
      <c r="A968" s="12" t="n">
        <v>964</v>
      </c>
      <c r="B968" s="10" t="s">
        <v>694</v>
      </c>
      <c r="C968" s="10" t="s">
        <v>695</v>
      </c>
      <c r="D968" s="11" t="n">
        <v>0.00290196759259259</v>
      </c>
      <c r="E968" s="18" t="n">
        <f aca="false">ROUND((D968-$D$5)*86400,2)</f>
        <v>25.7</v>
      </c>
      <c r="F968" s="12" t="n">
        <v>445</v>
      </c>
      <c r="G968" s="11" t="n">
        <f aca="false">IF(INDEX(選手一覧!$D$7:$D$2738,$F968)="","",INDEX(選手一覧!$D$7:$D$2738,$F968))</f>
        <v>0.0103375</v>
      </c>
      <c r="H968" s="12" t="n">
        <f aca="false">IF(INDEX(選手一覧!$E$7:$E$2738,$F968)="","",INDEX(選手一覧!$E$7:$E$2738,$F968))</f>
        <v>187</v>
      </c>
      <c r="I968" s="11" t="n">
        <f aca="false">IF(INDEX(選手一覧!$F$7:$F$2738,$F968)="","",INDEX(選手一覧!$F$7:$F$2738,$F968))</f>
        <v>0.00693090277777778</v>
      </c>
      <c r="J968" s="12" t="n">
        <f aca="false">IF(INDEX(選手一覧!$G$7:$G$2738,$F968)="","",INDEX(選手一覧!$G$7:$G$2738,$F968))</f>
        <v>274</v>
      </c>
    </row>
    <row r="969" customFormat="false" ht="15" hidden="false" customHeight="false" outlineLevel="0" collapsed="false">
      <c r="A969" s="12" t="n">
        <v>965</v>
      </c>
      <c r="B969" s="10" t="s">
        <v>2462</v>
      </c>
      <c r="C969" s="10" t="s">
        <v>2463</v>
      </c>
      <c r="D969" s="11" t="n">
        <v>0.00290208333333333</v>
      </c>
      <c r="E969" s="18" t="n">
        <f aca="false">ROUND((D969-$D$5)*86400,2)</f>
        <v>25.71</v>
      </c>
      <c r="F969" s="12" t="n">
        <v>1714</v>
      </c>
      <c r="G969" s="11" t="n">
        <f aca="false">IF(INDEX(選手一覧!$D$7:$D$2738,$F969)="","",INDEX(選手一覧!$D$7:$D$2738,$F969))</f>
        <v>0.0108435185185185</v>
      </c>
      <c r="H969" s="12" t="n">
        <f aca="false">IF(INDEX(選手一覧!$E$7:$E$2738,$F969)="","",INDEX(選手一覧!$E$7:$E$2738,$F969))</f>
        <v>820</v>
      </c>
      <c r="I969" s="11" t="str">
        <f aca="false">IF(INDEX(選手一覧!$F$7:$F$2738,$F969)="","",INDEX(選手一覧!$F$7:$F$2738,$F969))</f>
        <v/>
      </c>
      <c r="J969" s="12" t="str">
        <f aca="false">IF(INDEX(選手一覧!$G$7:$G$2738,$F969)="","",INDEX(選手一覧!$G$7:$G$2738,$F969))</f>
        <v/>
      </c>
    </row>
    <row r="970" customFormat="false" ht="15" hidden="false" customHeight="false" outlineLevel="0" collapsed="false">
      <c r="A970" s="12" t="n">
        <v>966</v>
      </c>
      <c r="B970" s="10" t="s">
        <v>2850</v>
      </c>
      <c r="C970" s="10" t="s">
        <v>974</v>
      </c>
      <c r="D970" s="11" t="n">
        <v>0.00290231481481482</v>
      </c>
      <c r="E970" s="18" t="n">
        <f aca="false">ROUND((D970-$D$5)*86400,2)</f>
        <v>25.73</v>
      </c>
      <c r="F970" s="12" t="n">
        <v>1995</v>
      </c>
      <c r="G970" s="11" t="str">
        <f aca="false">IF(INDEX(選手一覧!$D$7:$D$2738,$F970)="","",INDEX(選手一覧!$D$7:$D$2738,$F970))</f>
        <v/>
      </c>
      <c r="H970" s="12" t="str">
        <f aca="false">IF(INDEX(選手一覧!$E$7:$E$2738,$F970)="","",INDEX(選手一覧!$E$7:$E$2738,$F970))</f>
        <v/>
      </c>
      <c r="I970" s="11" t="str">
        <f aca="false">IF(INDEX(選手一覧!$F$7:$F$2738,$F970)="","",INDEX(選手一覧!$F$7:$F$2738,$F970))</f>
        <v/>
      </c>
      <c r="J970" s="12" t="str">
        <f aca="false">IF(INDEX(選手一覧!$G$7:$G$2738,$F970)="","",INDEX(選手一覧!$G$7:$G$2738,$F970))</f>
        <v/>
      </c>
    </row>
    <row r="971" customFormat="false" ht="15" hidden="false" customHeight="false" outlineLevel="0" collapsed="false">
      <c r="A971" s="12" t="n">
        <v>967</v>
      </c>
      <c r="B971" s="10" t="s">
        <v>644</v>
      </c>
      <c r="C971" s="10" t="s">
        <v>645</v>
      </c>
      <c r="D971" s="11" t="n">
        <v>0.0029025462962963</v>
      </c>
      <c r="E971" s="18" t="n">
        <f aca="false">ROUND((D971-$D$5)*86400,2)</f>
        <v>25.75</v>
      </c>
      <c r="F971" s="12" t="n">
        <v>410</v>
      </c>
      <c r="G971" s="11" t="str">
        <f aca="false">IF(INDEX(選手一覧!$D$7:$D$2738,$F971)="","",INDEX(選手一覧!$D$7:$D$2738,$F971))</f>
        <v/>
      </c>
      <c r="H971" s="12" t="str">
        <f aca="false">IF(INDEX(選手一覧!$E$7:$E$2738,$F971)="","",INDEX(選手一覧!$E$7:$E$2738,$F971))</f>
        <v/>
      </c>
      <c r="I971" s="11" t="n">
        <f aca="false">IF(INDEX(選手一覧!$F$7:$F$2738,$F971)="","",INDEX(選手一覧!$F$7:$F$2738,$F971))</f>
        <v>0.00680185185185185</v>
      </c>
      <c r="J971" s="12" t="n">
        <f aca="false">IF(INDEX(選手一覧!$G$7:$G$2738,$F971)="","",INDEX(選手一覧!$G$7:$G$2738,$F971))</f>
        <v>174</v>
      </c>
    </row>
    <row r="972" customFormat="false" ht="15" hidden="false" customHeight="false" outlineLevel="0" collapsed="false">
      <c r="A972" s="12" t="n">
        <v>968</v>
      </c>
      <c r="B972" s="10" t="s">
        <v>2856</v>
      </c>
      <c r="C972" s="10" t="s">
        <v>2685</v>
      </c>
      <c r="D972" s="11" t="n">
        <v>0.00290266203703704</v>
      </c>
      <c r="E972" s="18" t="n">
        <f aca="false">ROUND((D972-$D$5)*86400,2)</f>
        <v>25.76</v>
      </c>
      <c r="F972" s="12" t="n">
        <v>1999</v>
      </c>
      <c r="G972" s="11" t="str">
        <f aca="false">IF(INDEX(選手一覧!$D$7:$D$2738,$F972)="","",INDEX(選手一覧!$D$7:$D$2738,$F972))</f>
        <v/>
      </c>
      <c r="H972" s="12" t="str">
        <f aca="false">IF(INDEX(選手一覧!$E$7:$E$2738,$F972)="","",INDEX(選手一覧!$E$7:$E$2738,$F972))</f>
        <v/>
      </c>
      <c r="I972" s="11" t="str">
        <f aca="false">IF(INDEX(選手一覧!$F$7:$F$2738,$F972)="","",INDEX(選手一覧!$F$7:$F$2738,$F972))</f>
        <v/>
      </c>
      <c r="J972" s="12" t="str">
        <f aca="false">IF(INDEX(選手一覧!$G$7:$G$2738,$F972)="","",INDEX(選手一覧!$G$7:$G$2738,$F972))</f>
        <v/>
      </c>
    </row>
    <row r="973" customFormat="false" ht="15" hidden="false" customHeight="false" outlineLevel="0" collapsed="false">
      <c r="A973" s="12" t="n">
        <v>969</v>
      </c>
      <c r="B973" s="10" t="s">
        <v>2859</v>
      </c>
      <c r="C973" s="10" t="s">
        <v>2860</v>
      </c>
      <c r="D973" s="11" t="n">
        <v>0.00290277777777778</v>
      </c>
      <c r="E973" s="18" t="n">
        <f aca="false">ROUND((D973-$D$5)*86400,2)</f>
        <v>25.77</v>
      </c>
      <c r="F973" s="12" t="n">
        <v>2001</v>
      </c>
      <c r="G973" s="11" t="str">
        <f aca="false">IF(INDEX(選手一覧!$D$7:$D$2738,$F973)="","",INDEX(選手一覧!$D$7:$D$2738,$F973))</f>
        <v/>
      </c>
      <c r="H973" s="12" t="str">
        <f aca="false">IF(INDEX(選手一覧!$E$7:$E$2738,$F973)="","",INDEX(選手一覧!$E$7:$E$2738,$F973))</f>
        <v/>
      </c>
      <c r="I973" s="11" t="str">
        <f aca="false">IF(INDEX(選手一覧!$F$7:$F$2738,$F973)="","",INDEX(選手一覧!$F$7:$F$2738,$F973))</f>
        <v/>
      </c>
      <c r="J973" s="12" t="str">
        <f aca="false">IF(INDEX(選手一覧!$G$7:$G$2738,$F973)="","",INDEX(選手一覧!$G$7:$G$2738,$F973))</f>
        <v/>
      </c>
    </row>
    <row r="974" customFormat="false" ht="15" hidden="false" customHeight="false" outlineLevel="0" collapsed="false">
      <c r="A974" s="12" t="n">
        <v>970</v>
      </c>
      <c r="B974" s="10" t="s">
        <v>1419</v>
      </c>
      <c r="C974" s="10" t="s">
        <v>445</v>
      </c>
      <c r="D974" s="11" t="n">
        <v>0.00290289351851852</v>
      </c>
      <c r="E974" s="18" t="n">
        <f aca="false">ROUND((D974-$D$5)*86400,2)</f>
        <v>25.78</v>
      </c>
      <c r="F974" s="12" t="n">
        <v>969</v>
      </c>
      <c r="G974" s="11" t="n">
        <f aca="false">IF(INDEX(選手一覧!$D$7:$D$2738,$F974)="","",INDEX(選手一覧!$D$7:$D$2738,$F974))</f>
        <v>0.010580787037037</v>
      </c>
      <c r="H974" s="12" t="n">
        <f aca="false">IF(INDEX(選手一覧!$E$7:$E$2738,$F974)="","",INDEX(選手一覧!$E$7:$E$2738,$F974))</f>
        <v>434</v>
      </c>
      <c r="I974" s="11" t="str">
        <f aca="false">IF(INDEX(選手一覧!$F$7:$F$2738,$F974)="","",INDEX(選手一覧!$F$7:$F$2738,$F974))</f>
        <v/>
      </c>
      <c r="J974" s="12" t="str">
        <f aca="false">IF(INDEX(選手一覧!$G$7:$G$2738,$F974)="","",INDEX(選手一覧!$G$7:$G$2738,$F974))</f>
        <v/>
      </c>
    </row>
    <row r="975" customFormat="false" ht="15" hidden="false" customHeight="false" outlineLevel="0" collapsed="false">
      <c r="A975" s="12" t="n">
        <v>971</v>
      </c>
      <c r="B975" s="10" t="s">
        <v>2865</v>
      </c>
      <c r="C975" s="10" t="s">
        <v>401</v>
      </c>
      <c r="D975" s="11" t="n">
        <v>0.00290289351851852</v>
      </c>
      <c r="E975" s="18" t="n">
        <f aca="false">ROUND((D975-$D$5)*86400,2)</f>
        <v>25.78</v>
      </c>
      <c r="F975" s="12" t="n">
        <v>2004</v>
      </c>
      <c r="G975" s="11" t="str">
        <f aca="false">IF(INDEX(選手一覧!$D$7:$D$2738,$F975)="","",INDEX(選手一覧!$D$7:$D$2738,$F975))</f>
        <v/>
      </c>
      <c r="H975" s="12" t="str">
        <f aca="false">IF(INDEX(選手一覧!$E$7:$E$2738,$F975)="","",INDEX(選手一覧!$E$7:$E$2738,$F975))</f>
        <v/>
      </c>
      <c r="I975" s="11" t="str">
        <f aca="false">IF(INDEX(選手一覧!$F$7:$F$2738,$F975)="","",INDEX(選手一覧!$F$7:$F$2738,$F975))</f>
        <v/>
      </c>
      <c r="J975" s="12" t="str">
        <f aca="false">IF(INDEX(選手一覧!$G$7:$G$2738,$F975)="","",INDEX(選手一覧!$G$7:$G$2738,$F975))</f>
        <v/>
      </c>
    </row>
    <row r="976" customFormat="false" ht="15" hidden="false" customHeight="false" outlineLevel="0" collapsed="false">
      <c r="A976" s="12" t="n">
        <v>972</v>
      </c>
      <c r="B976" s="10" t="s">
        <v>2868</v>
      </c>
      <c r="C976" s="10" t="s">
        <v>114</v>
      </c>
      <c r="D976" s="11" t="n">
        <v>0.00290324074074074</v>
      </c>
      <c r="E976" s="18" t="n">
        <f aca="false">ROUND((D976-$D$5)*86400,2)</f>
        <v>25.81</v>
      </c>
      <c r="F976" s="12" t="n">
        <v>2007</v>
      </c>
      <c r="G976" s="11" t="str">
        <f aca="false">IF(INDEX(選手一覧!$D$7:$D$2738,$F976)="","",INDEX(選手一覧!$D$7:$D$2738,$F976))</f>
        <v/>
      </c>
      <c r="H976" s="12" t="str">
        <f aca="false">IF(INDEX(選手一覧!$E$7:$E$2738,$F976)="","",INDEX(選手一覧!$E$7:$E$2738,$F976))</f>
        <v/>
      </c>
      <c r="I976" s="11" t="str">
        <f aca="false">IF(INDEX(選手一覧!$F$7:$F$2738,$F976)="","",INDEX(選手一覧!$F$7:$F$2738,$F976))</f>
        <v/>
      </c>
      <c r="J976" s="12" t="str">
        <f aca="false">IF(INDEX(選手一覧!$G$7:$G$2738,$F976)="","",INDEX(選手一覧!$G$7:$G$2738,$F976))</f>
        <v/>
      </c>
    </row>
    <row r="977" customFormat="false" ht="15" hidden="false" customHeight="false" outlineLevel="0" collapsed="false">
      <c r="A977" s="12" t="n">
        <v>973</v>
      </c>
      <c r="B977" s="10" t="s">
        <v>2871</v>
      </c>
      <c r="C977" s="10" t="s">
        <v>1062</v>
      </c>
      <c r="D977" s="11" t="n">
        <v>0.00290324074074074</v>
      </c>
      <c r="E977" s="18" t="n">
        <f aca="false">ROUND((D977-$D$5)*86400,2)</f>
        <v>25.81</v>
      </c>
      <c r="F977" s="12" t="n">
        <v>2010</v>
      </c>
      <c r="G977" s="11" t="str">
        <f aca="false">IF(INDEX(選手一覧!$D$7:$D$2738,$F977)="","",INDEX(選手一覧!$D$7:$D$2738,$F977))</f>
        <v/>
      </c>
      <c r="H977" s="12" t="str">
        <f aca="false">IF(INDEX(選手一覧!$E$7:$E$2738,$F977)="","",INDEX(選手一覧!$E$7:$E$2738,$F977))</f>
        <v/>
      </c>
      <c r="I977" s="11" t="str">
        <f aca="false">IF(INDEX(選手一覧!$F$7:$F$2738,$F977)="","",INDEX(選手一覧!$F$7:$F$2738,$F977))</f>
        <v/>
      </c>
      <c r="J977" s="12" t="str">
        <f aca="false">IF(INDEX(選手一覧!$G$7:$G$2738,$F977)="","",INDEX(選手一覧!$G$7:$G$2738,$F977))</f>
        <v/>
      </c>
    </row>
    <row r="978" customFormat="false" ht="15" hidden="false" customHeight="false" outlineLevel="0" collapsed="false">
      <c r="A978" s="12" t="n">
        <v>974</v>
      </c>
      <c r="B978" s="10" t="s">
        <v>2874</v>
      </c>
      <c r="C978" s="10" t="s">
        <v>592</v>
      </c>
      <c r="D978" s="11" t="n">
        <v>0.00290335648148148</v>
      </c>
      <c r="E978" s="18" t="n">
        <f aca="false">ROUND((D978-$D$5)*86400,2)</f>
        <v>25.82</v>
      </c>
      <c r="F978" s="12" t="n">
        <v>2013</v>
      </c>
      <c r="G978" s="11" t="str">
        <f aca="false">IF(INDEX(選手一覧!$D$7:$D$2738,$F978)="","",INDEX(選手一覧!$D$7:$D$2738,$F978))</f>
        <v/>
      </c>
      <c r="H978" s="12" t="str">
        <f aca="false">IF(INDEX(選手一覧!$E$7:$E$2738,$F978)="","",INDEX(選手一覧!$E$7:$E$2738,$F978))</f>
        <v/>
      </c>
      <c r="I978" s="11" t="str">
        <f aca="false">IF(INDEX(選手一覧!$F$7:$F$2738,$F978)="","",INDEX(選手一覧!$F$7:$F$2738,$F978))</f>
        <v/>
      </c>
      <c r="J978" s="12" t="str">
        <f aca="false">IF(INDEX(選手一覧!$G$7:$G$2738,$F978)="","",INDEX(選手一覧!$G$7:$G$2738,$F978))</f>
        <v/>
      </c>
    </row>
    <row r="979" customFormat="false" ht="15" hidden="false" customHeight="false" outlineLevel="0" collapsed="false">
      <c r="A979" s="12" t="n">
        <v>975</v>
      </c>
      <c r="B979" s="10" t="s">
        <v>1911</v>
      </c>
      <c r="C979" s="10" t="s">
        <v>1912</v>
      </c>
      <c r="D979" s="11" t="n">
        <v>0.00290347222222222</v>
      </c>
      <c r="E979" s="18" t="n">
        <f aca="false">ROUND((D979-$D$5)*86400,2)</f>
        <v>25.83</v>
      </c>
      <c r="F979" s="12" t="n">
        <v>1314</v>
      </c>
      <c r="G979" s="11" t="n">
        <f aca="false">IF(INDEX(選手一覧!$D$7:$D$2738,$F979)="","",INDEX(選手一覧!$D$7:$D$2738,$F979))</f>
        <v>0.010719212962963</v>
      </c>
      <c r="H979" s="12" t="n">
        <f aca="false">IF(INDEX(選手一覧!$E$7:$E$2738,$F979)="","",INDEX(選手一覧!$E$7:$E$2738,$F979))</f>
        <v>612</v>
      </c>
      <c r="I979" s="11" t="str">
        <f aca="false">IF(INDEX(選手一覧!$F$7:$F$2738,$F979)="","",INDEX(選手一覧!$F$7:$F$2738,$F979))</f>
        <v/>
      </c>
      <c r="J979" s="12" t="str">
        <f aca="false">IF(INDEX(選手一覧!$G$7:$G$2738,$F979)="","",INDEX(選手一覧!$G$7:$G$2738,$F979))</f>
        <v/>
      </c>
    </row>
    <row r="980" customFormat="false" ht="15" hidden="false" customHeight="false" outlineLevel="0" collapsed="false">
      <c r="A980" s="12" t="n">
        <v>976</v>
      </c>
      <c r="B980" s="10" t="s">
        <v>2656</v>
      </c>
      <c r="C980" s="10" t="s">
        <v>109</v>
      </c>
      <c r="D980" s="11" t="n">
        <v>0.00290358796296296</v>
      </c>
      <c r="E980" s="18" t="n">
        <f aca="false">ROUND((D980-$D$5)*86400,2)</f>
        <v>25.84</v>
      </c>
      <c r="F980" s="12" t="n">
        <v>1860</v>
      </c>
      <c r="G980" s="11" t="n">
        <f aca="false">IF(INDEX(選手一覧!$D$7:$D$2738,$F980)="","",INDEX(選手一覧!$D$7:$D$2738,$F980))</f>
        <v>0.01088125</v>
      </c>
      <c r="H980" s="12" t="n">
        <f aca="false">IF(INDEX(選手一覧!$E$7:$E$2738,$F980)="","",INDEX(選手一覧!$E$7:$E$2738,$F980))</f>
        <v>892</v>
      </c>
      <c r="I980" s="11" t="str">
        <f aca="false">IF(INDEX(選手一覧!$F$7:$F$2738,$F980)="","",INDEX(選手一覧!$F$7:$F$2738,$F980))</f>
        <v/>
      </c>
      <c r="J980" s="12" t="str">
        <f aca="false">IF(INDEX(選手一覧!$G$7:$G$2738,$F980)="","",INDEX(選手一覧!$G$7:$G$2738,$F980))</f>
        <v/>
      </c>
    </row>
    <row r="981" customFormat="false" ht="15" hidden="false" customHeight="false" outlineLevel="0" collapsed="false">
      <c r="A981" s="12" t="n">
        <v>977</v>
      </c>
      <c r="B981" s="10" t="s">
        <v>2880</v>
      </c>
      <c r="C981" s="10" t="s">
        <v>2881</v>
      </c>
      <c r="D981" s="11" t="n">
        <v>0.00290393518518519</v>
      </c>
      <c r="E981" s="18" t="n">
        <f aca="false">ROUND((D981-$D$5)*86400,2)</f>
        <v>25.87</v>
      </c>
      <c r="F981" s="12" t="n">
        <v>2019</v>
      </c>
      <c r="G981" s="11" t="str">
        <f aca="false">IF(INDEX(選手一覧!$D$7:$D$2738,$F981)="","",INDEX(選手一覧!$D$7:$D$2738,$F981))</f>
        <v/>
      </c>
      <c r="H981" s="12" t="str">
        <f aca="false">IF(INDEX(選手一覧!$E$7:$E$2738,$F981)="","",INDEX(選手一覧!$E$7:$E$2738,$F981))</f>
        <v/>
      </c>
      <c r="I981" s="11" t="str">
        <f aca="false">IF(INDEX(選手一覧!$F$7:$F$2738,$F981)="","",INDEX(選手一覧!$F$7:$F$2738,$F981))</f>
        <v/>
      </c>
      <c r="J981" s="12" t="str">
        <f aca="false">IF(INDEX(選手一覧!$G$7:$G$2738,$F981)="","",INDEX(選手一覧!$G$7:$G$2738,$F981))</f>
        <v/>
      </c>
    </row>
    <row r="982" customFormat="false" ht="15" hidden="false" customHeight="false" outlineLevel="0" collapsed="false">
      <c r="A982" s="12" t="n">
        <v>978</v>
      </c>
      <c r="B982" s="10" t="s">
        <v>2883</v>
      </c>
      <c r="C982" s="10" t="s">
        <v>382</v>
      </c>
      <c r="D982" s="11" t="n">
        <v>0.00290405092592593</v>
      </c>
      <c r="E982" s="18" t="n">
        <f aca="false">ROUND((D982-$D$5)*86400,2)</f>
        <v>25.88</v>
      </c>
      <c r="F982" s="12" t="n">
        <v>2021</v>
      </c>
      <c r="G982" s="11" t="str">
        <f aca="false">IF(INDEX(選手一覧!$D$7:$D$2738,$F982)="","",INDEX(選手一覧!$D$7:$D$2738,$F982))</f>
        <v/>
      </c>
      <c r="H982" s="12" t="str">
        <f aca="false">IF(INDEX(選手一覧!$E$7:$E$2738,$F982)="","",INDEX(選手一覧!$E$7:$E$2738,$F982))</f>
        <v/>
      </c>
      <c r="I982" s="11" t="str">
        <f aca="false">IF(INDEX(選手一覧!$F$7:$F$2738,$F982)="","",INDEX(選手一覧!$F$7:$F$2738,$F982))</f>
        <v/>
      </c>
      <c r="J982" s="12" t="str">
        <f aca="false">IF(INDEX(選手一覧!$G$7:$G$2738,$F982)="","",INDEX(選手一覧!$G$7:$G$2738,$F982))</f>
        <v/>
      </c>
    </row>
    <row r="983" customFormat="false" ht="15" hidden="false" customHeight="false" outlineLevel="0" collapsed="false">
      <c r="A983" s="12" t="n">
        <v>979</v>
      </c>
      <c r="B983" s="10" t="s">
        <v>2886</v>
      </c>
      <c r="C983" s="10" t="s">
        <v>2553</v>
      </c>
      <c r="D983" s="11" t="n">
        <v>0.00290405092592593</v>
      </c>
      <c r="E983" s="18" t="n">
        <f aca="false">ROUND((D983-$D$5)*86400,2)</f>
        <v>25.88</v>
      </c>
      <c r="F983" s="12" t="n">
        <v>2023</v>
      </c>
      <c r="G983" s="11" t="str">
        <f aca="false">IF(INDEX(選手一覧!$D$7:$D$2738,$F983)="","",INDEX(選手一覧!$D$7:$D$2738,$F983))</f>
        <v/>
      </c>
      <c r="H983" s="12" t="str">
        <f aca="false">IF(INDEX(選手一覧!$E$7:$E$2738,$F983)="","",INDEX(選手一覧!$E$7:$E$2738,$F983))</f>
        <v/>
      </c>
      <c r="I983" s="11" t="str">
        <f aca="false">IF(INDEX(選手一覧!$F$7:$F$2738,$F983)="","",INDEX(選手一覧!$F$7:$F$2738,$F983))</f>
        <v/>
      </c>
      <c r="J983" s="12" t="str">
        <f aca="false">IF(INDEX(選手一覧!$G$7:$G$2738,$F983)="","",INDEX(選手一覧!$G$7:$G$2738,$F983))</f>
        <v/>
      </c>
    </row>
    <row r="984" customFormat="false" ht="15" hidden="false" customHeight="false" outlineLevel="0" collapsed="false">
      <c r="A984" s="12" t="n">
        <v>980</v>
      </c>
      <c r="B984" s="10" t="s">
        <v>1557</v>
      </c>
      <c r="C984" s="10" t="s">
        <v>695</v>
      </c>
      <c r="D984" s="11" t="n">
        <v>0.00290416666666667</v>
      </c>
      <c r="E984" s="18" t="n">
        <f aca="false">ROUND((D984-$D$5)*86400,2)</f>
        <v>25.89</v>
      </c>
      <c r="F984" s="12" t="n">
        <v>1072</v>
      </c>
      <c r="G984" s="11" t="n">
        <f aca="false">IF(INDEX(選手一覧!$D$7:$D$2738,$F984)="","",INDEX(選手一覧!$D$7:$D$2738,$F984))</f>
        <v>0.0106134259259259</v>
      </c>
      <c r="H984" s="12" t="n">
        <f aca="false">IF(INDEX(選手一覧!$E$7:$E$2738,$F984)="","",INDEX(選手一覧!$E$7:$E$2738,$F984))</f>
        <v>484</v>
      </c>
      <c r="I984" s="11" t="str">
        <f aca="false">IF(INDEX(選手一覧!$F$7:$F$2738,$F984)="","",INDEX(選手一覧!$F$7:$F$2738,$F984))</f>
        <v/>
      </c>
      <c r="J984" s="12" t="str">
        <f aca="false">IF(INDEX(選手一覧!$G$7:$G$2738,$F984)="","",INDEX(選手一覧!$G$7:$G$2738,$F984))</f>
        <v/>
      </c>
    </row>
    <row r="985" customFormat="false" ht="15" hidden="false" customHeight="false" outlineLevel="0" collapsed="false">
      <c r="A985" s="12" t="n">
        <v>981</v>
      </c>
      <c r="B985" s="10" t="s">
        <v>2752</v>
      </c>
      <c r="C985" s="10" t="s">
        <v>2555</v>
      </c>
      <c r="D985" s="11" t="n">
        <v>0.00290416666666667</v>
      </c>
      <c r="E985" s="18" t="n">
        <f aca="false">ROUND((D985-$D$5)*86400,2)</f>
        <v>25.89</v>
      </c>
      <c r="F985" s="12" t="n">
        <v>1927</v>
      </c>
      <c r="G985" s="11" t="n">
        <f aca="false">IF(INDEX(選手一覧!$D$7:$D$2738,$F985)="","",INDEX(選手一覧!$D$7:$D$2738,$F985))</f>
        <v>0.0109052083333333</v>
      </c>
      <c r="H985" s="12" t="n">
        <f aca="false">IF(INDEX(選手一覧!$E$7:$E$2738,$F985)="","",INDEX(選手一覧!$E$7:$E$2738,$F985))</f>
        <v>929</v>
      </c>
      <c r="I985" s="11" t="str">
        <f aca="false">IF(INDEX(選手一覧!$F$7:$F$2738,$F985)="","",INDEX(選手一覧!$F$7:$F$2738,$F985))</f>
        <v/>
      </c>
      <c r="J985" s="12" t="str">
        <f aca="false">IF(INDEX(選手一覧!$G$7:$G$2738,$F985)="","",INDEX(選手一覧!$G$7:$G$2738,$F985))</f>
        <v/>
      </c>
    </row>
    <row r="986" customFormat="false" ht="15" hidden="false" customHeight="false" outlineLevel="0" collapsed="false">
      <c r="A986" s="12" t="n">
        <v>982</v>
      </c>
      <c r="B986" s="10" t="s">
        <v>2582</v>
      </c>
      <c r="C986" s="10" t="s">
        <v>49</v>
      </c>
      <c r="D986" s="11" t="n">
        <v>0.00290486111111111</v>
      </c>
      <c r="E986" s="18" t="n">
        <f aca="false">ROUND((D986-$D$5)*86400,2)</f>
        <v>25.95</v>
      </c>
      <c r="F986" s="12" t="n">
        <v>1807</v>
      </c>
      <c r="G986" s="11" t="n">
        <f aca="false">IF(INDEX(選手一覧!$D$7:$D$2738,$F986)="","",INDEX(選手一覧!$D$7:$D$2738,$F986))</f>
        <v>0.0108675925925926</v>
      </c>
      <c r="H986" s="12" t="n">
        <f aca="false">IF(INDEX(選手一覧!$E$7:$E$2738,$F986)="","",INDEX(選手一覧!$E$7:$E$2738,$F986))</f>
        <v>865</v>
      </c>
      <c r="I986" s="11" t="str">
        <f aca="false">IF(INDEX(選手一覧!$F$7:$F$2738,$F986)="","",INDEX(選手一覧!$F$7:$F$2738,$F986))</f>
        <v/>
      </c>
      <c r="J986" s="12" t="str">
        <f aca="false">IF(INDEX(選手一覧!$G$7:$G$2738,$F986)="","",INDEX(選手一覧!$G$7:$G$2738,$F986))</f>
        <v/>
      </c>
    </row>
    <row r="987" customFormat="false" ht="15" hidden="false" customHeight="false" outlineLevel="0" collapsed="false">
      <c r="A987" s="12" t="n">
        <v>983</v>
      </c>
      <c r="B987" s="10" t="s">
        <v>1184</v>
      </c>
      <c r="C987" s="10" t="s">
        <v>1065</v>
      </c>
      <c r="D987" s="11" t="n">
        <v>0.00290497685185185</v>
      </c>
      <c r="E987" s="18" t="n">
        <f aca="false">ROUND((D987-$D$5)*86400,2)</f>
        <v>25.96</v>
      </c>
      <c r="F987" s="12" t="n">
        <v>803</v>
      </c>
      <c r="G987" s="11" t="n">
        <f aca="false">IF(INDEX(選手一覧!$D$7:$D$2738,$F987)="","",INDEX(選手一覧!$D$7:$D$2738,$F987))</f>
        <v>0.0105109953703704</v>
      </c>
      <c r="H987" s="12" t="n">
        <f aca="false">IF(INDEX(選手一覧!$E$7:$E$2738,$F987)="","",INDEX(選手一覧!$E$7:$E$2738,$F987))</f>
        <v>349</v>
      </c>
      <c r="I987" s="11" t="str">
        <f aca="false">IF(INDEX(選手一覧!$F$7:$F$2738,$F987)="","",INDEX(選手一覧!$F$7:$F$2738,$F987))</f>
        <v/>
      </c>
      <c r="J987" s="12" t="str">
        <f aca="false">IF(INDEX(選手一覧!$G$7:$G$2738,$F987)="","",INDEX(選手一覧!$G$7:$G$2738,$F987))</f>
        <v/>
      </c>
    </row>
    <row r="988" customFormat="false" ht="15" hidden="false" customHeight="false" outlineLevel="0" collapsed="false">
      <c r="A988" s="12" t="n">
        <v>984</v>
      </c>
      <c r="B988" s="10" t="s">
        <v>1495</v>
      </c>
      <c r="C988" s="10" t="s">
        <v>1496</v>
      </c>
      <c r="D988" s="11" t="n">
        <v>0.00290520833333333</v>
      </c>
      <c r="E988" s="18" t="n">
        <f aca="false">ROUND((D988-$D$5)*86400,2)</f>
        <v>25.98</v>
      </c>
      <c r="F988" s="12" t="n">
        <v>1028</v>
      </c>
      <c r="G988" s="11" t="str">
        <f aca="false">IF(INDEX(選手一覧!$D$7:$D$2738,$F988)="","",INDEX(選手一覧!$D$7:$D$2738,$F988))</f>
        <v/>
      </c>
      <c r="H988" s="12" t="str">
        <f aca="false">IF(INDEX(選手一覧!$E$7:$E$2738,$F988)="","",INDEX(選手一覧!$E$7:$E$2738,$F988))</f>
        <v/>
      </c>
      <c r="I988" s="11" t="n">
        <f aca="false">IF(INDEX(選手一覧!$F$7:$F$2738,$F988)="","",INDEX(選手一覧!$F$7:$F$2738,$F988))</f>
        <v>0.00711643518518519</v>
      </c>
      <c r="J988" s="12" t="n">
        <f aca="false">IF(INDEX(選手一覧!$G$7:$G$2738,$F988)="","",INDEX(選手一覧!$G$7:$G$2738,$F988))</f>
        <v>461</v>
      </c>
    </row>
    <row r="989" customFormat="false" ht="15" hidden="false" customHeight="false" outlineLevel="0" collapsed="false">
      <c r="A989" s="12" t="n">
        <v>985</v>
      </c>
      <c r="B989" s="10" t="s">
        <v>2624</v>
      </c>
      <c r="C989" s="10" t="s">
        <v>1357</v>
      </c>
      <c r="D989" s="11" t="n">
        <v>0.00290520833333333</v>
      </c>
      <c r="E989" s="18" t="n">
        <f aca="false">ROUND((D989-$D$5)*86400,2)</f>
        <v>25.98</v>
      </c>
      <c r="F989" s="12" t="n">
        <v>1835</v>
      </c>
      <c r="G989" s="11" t="n">
        <f aca="false">IF(INDEX(選手一覧!$D$7:$D$2738,$F989)="","",INDEX(選手一覧!$D$7:$D$2738,$F989))</f>
        <v>0.0108746527777778</v>
      </c>
      <c r="H989" s="12" t="n">
        <f aca="false">IF(INDEX(選手一覧!$E$7:$E$2738,$F989)="","",INDEX(選手一覧!$E$7:$E$2738,$F989))</f>
        <v>880</v>
      </c>
      <c r="I989" s="11" t="str">
        <f aca="false">IF(INDEX(選手一覧!$F$7:$F$2738,$F989)="","",INDEX(選手一覧!$F$7:$F$2738,$F989))</f>
        <v/>
      </c>
      <c r="J989" s="12" t="str">
        <f aca="false">IF(INDEX(選手一覧!$G$7:$G$2738,$F989)="","",INDEX(選手一覧!$G$7:$G$2738,$F989))</f>
        <v/>
      </c>
    </row>
    <row r="990" customFormat="false" ht="15" hidden="false" customHeight="false" outlineLevel="0" collapsed="false">
      <c r="A990" s="12" t="n">
        <v>986</v>
      </c>
      <c r="B990" s="10" t="s">
        <v>726</v>
      </c>
      <c r="C990" s="10" t="s">
        <v>242</v>
      </c>
      <c r="D990" s="11" t="n">
        <v>0.00290543981481482</v>
      </c>
      <c r="E990" s="18" t="n">
        <f aca="false">ROUND((D990-$D$5)*86400,2)</f>
        <v>26</v>
      </c>
      <c r="F990" s="12" t="n">
        <v>467</v>
      </c>
      <c r="G990" s="11" t="n">
        <f aca="false">IF(INDEX(選手一覧!$D$7:$D$2738,$F990)="","",INDEX(選手一覧!$D$7:$D$2738,$F990))</f>
        <v>0.0103417824074074</v>
      </c>
      <c r="H990" s="12" t="n">
        <f aca="false">IF(INDEX(選手一覧!$E$7:$E$2738,$F990)="","",INDEX(選手一覧!$E$7:$E$2738,$F990))</f>
        <v>196</v>
      </c>
      <c r="I990" s="11" t="str">
        <f aca="false">IF(INDEX(選手一覧!$F$7:$F$2738,$F990)="","",INDEX(選手一覧!$F$7:$F$2738,$F990))</f>
        <v/>
      </c>
      <c r="J990" s="12" t="str">
        <f aca="false">IF(INDEX(選手一覧!$G$7:$G$2738,$F990)="","",INDEX(選手一覧!$G$7:$G$2738,$F990))</f>
        <v/>
      </c>
    </row>
    <row r="991" customFormat="false" ht="15" hidden="false" customHeight="false" outlineLevel="0" collapsed="false">
      <c r="A991" s="12" t="n">
        <v>987</v>
      </c>
      <c r="B991" s="10" t="s">
        <v>2901</v>
      </c>
      <c r="C991" s="10" t="s">
        <v>1174</v>
      </c>
      <c r="D991" s="11" t="n">
        <v>0.00290543981481482</v>
      </c>
      <c r="E991" s="18" t="n">
        <f aca="false">ROUND((D991-$D$5)*86400,2)</f>
        <v>26</v>
      </c>
      <c r="F991" s="12" t="n">
        <v>2036</v>
      </c>
      <c r="G991" s="11" t="str">
        <f aca="false">IF(INDEX(選手一覧!$D$7:$D$2738,$F991)="","",INDEX(選手一覧!$D$7:$D$2738,$F991))</f>
        <v/>
      </c>
      <c r="H991" s="12" t="str">
        <f aca="false">IF(INDEX(選手一覧!$E$7:$E$2738,$F991)="","",INDEX(選手一覧!$E$7:$E$2738,$F991))</f>
        <v/>
      </c>
      <c r="I991" s="11" t="str">
        <f aca="false">IF(INDEX(選手一覧!$F$7:$F$2738,$F991)="","",INDEX(選手一覧!$F$7:$F$2738,$F991))</f>
        <v/>
      </c>
      <c r="J991" s="12" t="str">
        <f aca="false">IF(INDEX(選手一覧!$G$7:$G$2738,$F991)="","",INDEX(選手一覧!$G$7:$G$2738,$F991))</f>
        <v/>
      </c>
    </row>
    <row r="992" customFormat="false" ht="15" hidden="false" customHeight="false" outlineLevel="0" collapsed="false">
      <c r="A992" s="12" t="n">
        <v>988</v>
      </c>
      <c r="B992" s="10" t="s">
        <v>2194</v>
      </c>
      <c r="C992" s="10" t="s">
        <v>234</v>
      </c>
      <c r="D992" s="11" t="n">
        <v>0.00290555555555556</v>
      </c>
      <c r="E992" s="18" t="n">
        <f aca="false">ROUND((D992-$D$5)*86400,2)</f>
        <v>26.01</v>
      </c>
      <c r="F992" s="12" t="n">
        <v>1519</v>
      </c>
      <c r="G992" s="11" t="n">
        <f aca="false">IF(INDEX(選手一覧!$D$7:$D$2738,$F992)="","",INDEX(選手一覧!$D$7:$D$2738,$F992))</f>
        <v>0.0107907407407407</v>
      </c>
      <c r="H992" s="12" t="n">
        <f aca="false">IF(INDEX(選手一覧!$E$7:$E$2738,$F992)="","",INDEX(選手一覧!$E$7:$E$2738,$F992))</f>
        <v>723</v>
      </c>
      <c r="I992" s="11" t="str">
        <f aca="false">IF(INDEX(選手一覧!$F$7:$F$2738,$F992)="","",INDEX(選手一覧!$F$7:$F$2738,$F992))</f>
        <v/>
      </c>
      <c r="J992" s="12" t="str">
        <f aca="false">IF(INDEX(選手一覧!$G$7:$G$2738,$F992)="","",INDEX(選手一覧!$G$7:$G$2738,$F992))</f>
        <v/>
      </c>
    </row>
    <row r="993" customFormat="false" ht="15" hidden="false" customHeight="false" outlineLevel="0" collapsed="false">
      <c r="A993" s="12" t="n">
        <v>989</v>
      </c>
      <c r="B993" s="10" t="s">
        <v>2907</v>
      </c>
      <c r="C993" s="10" t="s">
        <v>2908</v>
      </c>
      <c r="D993" s="11" t="n">
        <v>0.00290601851851852</v>
      </c>
      <c r="E993" s="18" t="n">
        <f aca="false">ROUND((D993-$D$5)*86400,2)</f>
        <v>26.05</v>
      </c>
      <c r="F993" s="12" t="n">
        <v>2040</v>
      </c>
      <c r="G993" s="11" t="str">
        <f aca="false">IF(INDEX(選手一覧!$D$7:$D$2738,$F993)="","",INDEX(選手一覧!$D$7:$D$2738,$F993))</f>
        <v/>
      </c>
      <c r="H993" s="12" t="str">
        <f aca="false">IF(INDEX(選手一覧!$E$7:$E$2738,$F993)="","",INDEX(選手一覧!$E$7:$E$2738,$F993))</f>
        <v/>
      </c>
      <c r="I993" s="11" t="str">
        <f aca="false">IF(INDEX(選手一覧!$F$7:$F$2738,$F993)="","",INDEX(選手一覧!$F$7:$F$2738,$F993))</f>
        <v/>
      </c>
      <c r="J993" s="12" t="str">
        <f aca="false">IF(INDEX(選手一覧!$G$7:$G$2738,$F993)="","",INDEX(選手一覧!$G$7:$G$2738,$F993))</f>
        <v/>
      </c>
    </row>
    <row r="994" customFormat="false" ht="15" hidden="false" customHeight="false" outlineLevel="0" collapsed="false">
      <c r="A994" s="12" t="n">
        <v>990</v>
      </c>
      <c r="B994" s="10" t="s">
        <v>1586</v>
      </c>
      <c r="C994" s="10" t="s">
        <v>279</v>
      </c>
      <c r="D994" s="11" t="n">
        <v>0.00290625</v>
      </c>
      <c r="E994" s="18" t="n">
        <f aca="false">ROUND((D994-$D$5)*86400,2)</f>
        <v>26.07</v>
      </c>
      <c r="F994" s="12" t="n">
        <v>1094</v>
      </c>
      <c r="G994" s="11" t="n">
        <f aca="false">IF(INDEX(選手一覧!$D$7:$D$2738,$F994)="","",INDEX(選手一覧!$D$7:$D$2738,$F994))</f>
        <v>0.0109165509259259</v>
      </c>
      <c r="H994" s="12" t="n">
        <f aca="false">IF(INDEX(選手一覧!$E$7:$E$2738,$F994)="","",INDEX(選手一覧!$E$7:$E$2738,$F994))</f>
        <v>947</v>
      </c>
      <c r="I994" s="11" t="n">
        <f aca="false">IF(INDEX(選手一覧!$F$7:$F$2738,$F994)="","",INDEX(選手一覧!$F$7:$F$2738,$F994))</f>
        <v>0.00716053240740741</v>
      </c>
      <c r="J994" s="12" t="n">
        <f aca="false">IF(INDEX(選手一覧!$G$7:$G$2738,$F994)="","",INDEX(選手一覧!$G$7:$G$2738,$F994))</f>
        <v>495</v>
      </c>
    </row>
    <row r="995" customFormat="false" ht="15" hidden="false" customHeight="false" outlineLevel="0" collapsed="false">
      <c r="A995" s="12" t="n">
        <v>991</v>
      </c>
      <c r="B995" s="10" t="s">
        <v>2593</v>
      </c>
      <c r="C995" s="10" t="s">
        <v>220</v>
      </c>
      <c r="D995" s="11" t="n">
        <v>0.00290625</v>
      </c>
      <c r="E995" s="18" t="n">
        <f aca="false">ROUND((D995-$D$5)*86400,2)</f>
        <v>26.07</v>
      </c>
      <c r="F995" s="12" t="n">
        <v>1815</v>
      </c>
      <c r="G995" s="11" t="n">
        <f aca="false">IF(INDEX(選手一覧!$D$7:$D$2738,$F995)="","",INDEX(選手一覧!$D$7:$D$2738,$F995))</f>
        <v>0.0108693287037037</v>
      </c>
      <c r="H995" s="12" t="n">
        <f aca="false">IF(INDEX(選手一覧!$E$7:$E$2738,$F995)="","",INDEX(選手一覧!$E$7:$E$2738,$F995))</f>
        <v>870</v>
      </c>
      <c r="I995" s="11" t="str">
        <f aca="false">IF(INDEX(選手一覧!$F$7:$F$2738,$F995)="","",INDEX(選手一覧!$F$7:$F$2738,$F995))</f>
        <v/>
      </c>
      <c r="J995" s="12" t="str">
        <f aca="false">IF(INDEX(選手一覧!$G$7:$G$2738,$F995)="","",INDEX(選手一覧!$G$7:$G$2738,$F995))</f>
        <v/>
      </c>
    </row>
    <row r="996" customFormat="false" ht="15" hidden="false" customHeight="false" outlineLevel="0" collapsed="false">
      <c r="A996" s="12" t="n">
        <v>992</v>
      </c>
      <c r="B996" s="10" t="s">
        <v>1489</v>
      </c>
      <c r="C996" s="10" t="s">
        <v>23</v>
      </c>
      <c r="D996" s="11" t="n">
        <v>0.00290636574074074</v>
      </c>
      <c r="E996" s="18" t="n">
        <f aca="false">ROUND((D996-$D$5)*86400,2)</f>
        <v>26.08</v>
      </c>
      <c r="F996" s="12" t="n">
        <v>1023</v>
      </c>
      <c r="G996" s="11" t="n">
        <f aca="false">IF(INDEX(選手一覧!$D$7:$D$2738,$F996)="","",INDEX(選手一覧!$D$7:$D$2738,$F996))</f>
        <v>0.0105923611111111</v>
      </c>
      <c r="H996" s="12" t="n">
        <f aca="false">IF(INDEX(選手一覧!$E$7:$E$2738,$F996)="","",INDEX(選手一覧!$E$7:$E$2738,$F996))</f>
        <v>459</v>
      </c>
      <c r="I996" s="11" t="str">
        <f aca="false">IF(INDEX(選手一覧!$F$7:$F$2738,$F996)="","",INDEX(選手一覧!$F$7:$F$2738,$F996))</f>
        <v/>
      </c>
      <c r="J996" s="12" t="str">
        <f aca="false">IF(INDEX(選手一覧!$G$7:$G$2738,$F996)="","",INDEX(選手一覧!$G$7:$G$2738,$F996))</f>
        <v/>
      </c>
    </row>
    <row r="997" customFormat="false" ht="15" hidden="false" customHeight="false" outlineLevel="0" collapsed="false">
      <c r="A997" s="12" t="n">
        <v>993</v>
      </c>
      <c r="B997" s="10" t="s">
        <v>587</v>
      </c>
      <c r="C997" s="10" t="s">
        <v>588</v>
      </c>
      <c r="D997" s="11" t="n">
        <v>0.00290636574074074</v>
      </c>
      <c r="E997" s="18" t="n">
        <f aca="false">ROUND((D997-$D$5)*86400,2)</f>
        <v>26.08</v>
      </c>
      <c r="F997" s="12" t="n">
        <v>371</v>
      </c>
      <c r="G997" s="11" t="n">
        <f aca="false">IF(INDEX(選手一覧!$D$7:$D$2738,$F997)="","",INDEX(選手一覧!$D$7:$D$2738,$F997))</f>
        <v>0.0110810185185185</v>
      </c>
      <c r="H997" s="12" t="n">
        <f aca="false">IF(INDEX(選手一覧!$E$7:$E$2738,$F997)="","",INDEX(選手一覧!$E$7:$E$2738,$F997))</f>
        <v>1255</v>
      </c>
      <c r="I997" s="11" t="n">
        <f aca="false">IF(INDEX(選手一覧!$F$7:$F$2738,$F997)="","",INDEX(選手一覧!$F$7:$F$2738,$F997))</f>
        <v>0.00678206018518519</v>
      </c>
      <c r="J997" s="12" t="n">
        <f aca="false">IF(INDEX(選手一覧!$G$7:$G$2738,$F997)="","",INDEX(選手一覧!$G$7:$G$2738,$F997))</f>
        <v>157</v>
      </c>
    </row>
    <row r="998" customFormat="false" ht="15" hidden="false" customHeight="false" outlineLevel="0" collapsed="false">
      <c r="A998" s="12" t="n">
        <v>994</v>
      </c>
      <c r="B998" s="10" t="s">
        <v>2922</v>
      </c>
      <c r="C998" s="10" t="s">
        <v>2923</v>
      </c>
      <c r="D998" s="11" t="n">
        <v>0.00290659722222222</v>
      </c>
      <c r="E998" s="18" t="n">
        <f aca="false">ROUND((D998-$D$5)*86400,2)</f>
        <v>26.1</v>
      </c>
      <c r="F998" s="12" t="n">
        <v>2049</v>
      </c>
      <c r="G998" s="11" t="str">
        <f aca="false">IF(INDEX(選手一覧!$D$7:$D$2738,$F998)="","",INDEX(選手一覧!$D$7:$D$2738,$F998))</f>
        <v/>
      </c>
      <c r="H998" s="12" t="str">
        <f aca="false">IF(INDEX(選手一覧!$E$7:$E$2738,$F998)="","",INDEX(選手一覧!$E$7:$E$2738,$F998))</f>
        <v/>
      </c>
      <c r="I998" s="11" t="str">
        <f aca="false">IF(INDEX(選手一覧!$F$7:$F$2738,$F998)="","",INDEX(選手一覧!$F$7:$F$2738,$F998))</f>
        <v/>
      </c>
      <c r="J998" s="12" t="str">
        <f aca="false">IF(INDEX(選手一覧!$G$7:$G$2738,$F998)="","",INDEX(選手一覧!$G$7:$G$2738,$F998))</f>
        <v/>
      </c>
    </row>
    <row r="999" customFormat="false" ht="15" hidden="false" customHeight="false" outlineLevel="0" collapsed="false">
      <c r="A999" s="12" t="n">
        <v>995</v>
      </c>
      <c r="B999" s="10" t="s">
        <v>2207</v>
      </c>
      <c r="C999" s="10" t="s">
        <v>1717</v>
      </c>
      <c r="D999" s="11" t="n">
        <v>0.00290729166666667</v>
      </c>
      <c r="E999" s="18" t="n">
        <f aca="false">ROUND((D999-$D$5)*86400,2)</f>
        <v>26.16</v>
      </c>
      <c r="F999" s="12" t="n">
        <v>1528</v>
      </c>
      <c r="G999" s="11" t="str">
        <f aca="false">IF(INDEX(選手一覧!$D$7:$D$2738,$F999)="","",INDEX(選手一覧!$D$7:$D$2738,$F999))</f>
        <v/>
      </c>
      <c r="H999" s="12" t="str">
        <f aca="false">IF(INDEX(選手一覧!$E$7:$E$2738,$F999)="","",INDEX(選手一覧!$E$7:$E$2738,$F999))</f>
        <v/>
      </c>
      <c r="I999" s="11" t="n">
        <f aca="false">IF(INDEX(選手一覧!$F$7:$F$2738,$F999)="","",INDEX(選手一覧!$F$7:$F$2738,$F999))</f>
        <v>0.00736446759259259</v>
      </c>
      <c r="J999" s="12" t="n">
        <f aca="false">IF(INDEX(選手一覧!$G$7:$G$2738,$F999)="","",INDEX(選手一覧!$G$7:$G$2738,$F999))</f>
        <v>727</v>
      </c>
    </row>
    <row r="1000" customFormat="false" ht="15" hidden="false" customHeight="false" outlineLevel="0" collapsed="false">
      <c r="A1000" s="12" t="n">
        <v>996</v>
      </c>
      <c r="B1000" s="10" t="s">
        <v>2611</v>
      </c>
      <c r="C1000" s="10" t="s">
        <v>229</v>
      </c>
      <c r="D1000" s="11" t="n">
        <v>0.00290752314814815</v>
      </c>
      <c r="E1000" s="18" t="n">
        <f aca="false">ROUND((D1000-$D$5)*86400,2)</f>
        <v>26.18</v>
      </c>
      <c r="F1000" s="12" t="n">
        <v>1827</v>
      </c>
      <c r="G1000" s="11" t="n">
        <f aca="false">IF(INDEX(選手一覧!$D$7:$D$2738,$F1000)="","",INDEX(選手一覧!$D$7:$D$2738,$F1000))</f>
        <v>0.0108732638888889</v>
      </c>
      <c r="H1000" s="12" t="n">
        <f aca="false">IF(INDEX(選手一覧!$E$7:$E$2738,$F1000)="","",INDEX(選手一覧!$E$7:$E$2738,$F1000))</f>
        <v>876</v>
      </c>
      <c r="I1000" s="11" t="str">
        <f aca="false">IF(INDEX(選手一覧!$F$7:$F$2738,$F1000)="","",INDEX(選手一覧!$F$7:$F$2738,$F1000))</f>
        <v/>
      </c>
      <c r="J1000" s="12" t="str">
        <f aca="false">IF(INDEX(選手一覧!$G$7:$G$2738,$F1000)="","",INDEX(選手一覧!$G$7:$G$2738,$F1000))</f>
        <v/>
      </c>
    </row>
    <row r="1001" customFormat="false" ht="15" hidden="false" customHeight="false" outlineLevel="0" collapsed="false">
      <c r="A1001" s="12" t="n">
        <v>997</v>
      </c>
      <c r="B1001" s="10" t="s">
        <v>299</v>
      </c>
      <c r="C1001" s="10" t="s">
        <v>300</v>
      </c>
      <c r="D1001" s="11" t="n">
        <v>0.00290763888888889</v>
      </c>
      <c r="E1001" s="18" t="n">
        <f aca="false">ROUND((D1001-$D$5)*86400,2)</f>
        <v>26.19</v>
      </c>
      <c r="F1001" s="12" t="n">
        <v>169</v>
      </c>
      <c r="G1001" s="11" t="n">
        <f aca="false">IF(INDEX(選手一覧!$D$7:$D$2738,$F1001)="","",INDEX(選手一覧!$D$7:$D$2738,$F1001))</f>
        <v>0.010846412037037</v>
      </c>
      <c r="H1001" s="12" t="n">
        <f aca="false">IF(INDEX(選手一覧!$E$7:$E$2738,$F1001)="","",INDEX(選手一覧!$E$7:$E$2738,$F1001))</f>
        <v>827</v>
      </c>
      <c r="I1001" s="11" t="n">
        <f aca="false">IF(INDEX(選手一覧!$F$7:$F$2738,$F1001)="","",INDEX(選手一覧!$F$7:$F$2738,$F1001))</f>
        <v>0.0066087962962963</v>
      </c>
      <c r="J1001" s="12" t="n">
        <f aca="false">IF(INDEX(選手一覧!$G$7:$G$2738,$F1001)="","",INDEX(選手一覧!$G$7:$G$2738,$F1001))</f>
        <v>69</v>
      </c>
    </row>
    <row r="1002" customFormat="false" ht="15" hidden="false" customHeight="false" outlineLevel="0" collapsed="false">
      <c r="A1002" s="12" t="n">
        <v>998</v>
      </c>
      <c r="B1002" s="10" t="s">
        <v>2929</v>
      </c>
      <c r="C1002" s="10" t="s">
        <v>2930</v>
      </c>
      <c r="D1002" s="11" t="n">
        <v>0.00290775462962963</v>
      </c>
      <c r="E1002" s="18" t="n">
        <f aca="false">ROUND((D1002-$D$5)*86400,2)</f>
        <v>26.2</v>
      </c>
      <c r="F1002" s="12" t="n">
        <v>2054</v>
      </c>
      <c r="G1002" s="11" t="n">
        <f aca="false">IF(INDEX(選手一覧!$D$7:$D$2738,$F1002)="","",INDEX(選手一覧!$D$7:$D$2738,$F1002))</f>
        <v>0.0109534722222222</v>
      </c>
      <c r="H1002" s="12" t="n">
        <f aca="false">IF(INDEX(選手一覧!$E$7:$E$2738,$F1002)="","",INDEX(選手一覧!$E$7:$E$2738,$F1002))</f>
        <v>1009</v>
      </c>
      <c r="I1002" s="11" t="str">
        <f aca="false">IF(INDEX(選手一覧!$F$7:$F$2738,$F1002)="","",INDEX(選手一覧!$F$7:$F$2738,$F1002))</f>
        <v/>
      </c>
      <c r="J1002" s="12" t="str">
        <f aca="false">IF(INDEX(選手一覧!$G$7:$G$2738,$F1002)="","",INDEX(選手一覧!$G$7:$G$2738,$F1002))</f>
        <v/>
      </c>
    </row>
    <row r="1003" customFormat="false" ht="15" hidden="false" customHeight="false" outlineLevel="0" collapsed="false">
      <c r="A1003" s="12" t="n">
        <v>999</v>
      </c>
      <c r="B1003" s="10" t="s">
        <v>251</v>
      </c>
      <c r="C1003" s="10" t="s">
        <v>242</v>
      </c>
      <c r="D1003" s="11" t="n">
        <v>0.00290775462962963</v>
      </c>
      <c r="E1003" s="18" t="n">
        <f aca="false">ROUND((D1003-$D$5)*86400,2)</f>
        <v>26.2</v>
      </c>
      <c r="F1003" s="12" t="n">
        <v>136</v>
      </c>
      <c r="G1003" s="11" t="n">
        <f aca="false">IF(INDEX(選手一覧!$D$7:$D$2738,$F1003)="","",INDEX(選手一覧!$D$7:$D$2738,$F1003))</f>
        <v>0.0105601851851852</v>
      </c>
      <c r="H1003" s="12" t="n">
        <f aca="false">IF(INDEX(選手一覧!$E$7:$E$2738,$F1003)="","",INDEX(選手一覧!$E$7:$E$2738,$F1003))</f>
        <v>411</v>
      </c>
      <c r="I1003" s="11" t="n">
        <f aca="false">IF(INDEX(選手一覧!$F$7:$F$2738,$F1003)="","",INDEX(選手一覧!$F$7:$F$2738,$F1003))</f>
        <v>0.00656631944444445</v>
      </c>
      <c r="J1003" s="12" t="n">
        <f aca="false">IF(INDEX(選手一覧!$G$7:$G$2738,$F1003)="","",INDEX(選手一覧!$G$7:$G$2738,$F1003))</f>
        <v>54</v>
      </c>
    </row>
    <row r="1004" customFormat="false" ht="15" hidden="false" customHeight="false" outlineLevel="0" collapsed="false">
      <c r="A1004" s="12" t="n">
        <v>1000</v>
      </c>
      <c r="B1004" s="10" t="s">
        <v>2011</v>
      </c>
      <c r="C1004" s="10" t="s">
        <v>215</v>
      </c>
      <c r="D1004" s="11" t="n">
        <v>0.00290787037037037</v>
      </c>
      <c r="E1004" s="18" t="n">
        <f aca="false">ROUND((D1004-$D$5)*86400,2)</f>
        <v>26.21</v>
      </c>
      <c r="F1004" s="12" t="n">
        <v>1388</v>
      </c>
      <c r="G1004" s="11" t="n">
        <f aca="false">IF(INDEX(選手一覧!$D$7:$D$2738,$F1004)="","",INDEX(選手一覧!$D$7:$D$2738,$F1004))</f>
        <v>0.010740625</v>
      </c>
      <c r="H1004" s="12" t="n">
        <f aca="false">IF(INDEX(選手一覧!$E$7:$E$2738,$F1004)="","",INDEX(選手一覧!$E$7:$E$2738,$F1004))</f>
        <v>653</v>
      </c>
      <c r="I1004" s="11" t="str">
        <f aca="false">IF(INDEX(選手一覧!$F$7:$F$2738,$F1004)="","",INDEX(選手一覧!$F$7:$F$2738,$F1004))</f>
        <v/>
      </c>
      <c r="J1004" s="12" t="str">
        <f aca="false">IF(INDEX(選手一覧!$G$7:$G$2738,$F1004)="","",INDEX(選手一覧!$G$7:$G$2738,$F1004))</f>
        <v/>
      </c>
    </row>
    <row r="1005" customFormat="false" ht="15" hidden="false" customHeight="false" outlineLevel="0" collapsed="false">
      <c r="A1005" s="12" t="n">
        <v>1001</v>
      </c>
      <c r="B1005" s="10" t="s">
        <v>2939</v>
      </c>
      <c r="C1005" s="10" t="s">
        <v>2940</v>
      </c>
      <c r="D1005" s="11" t="n">
        <v>0.00290798611111111</v>
      </c>
      <c r="E1005" s="18" t="n">
        <f aca="false">ROUND((D1005-$D$5)*86400,2)</f>
        <v>26.22</v>
      </c>
      <c r="F1005" s="12" t="n">
        <v>2062</v>
      </c>
      <c r="G1005" s="11" t="str">
        <f aca="false">IF(INDEX(選手一覧!$D$7:$D$2738,$F1005)="","",INDEX(選手一覧!$D$7:$D$2738,$F1005))</f>
        <v/>
      </c>
      <c r="H1005" s="12" t="str">
        <f aca="false">IF(INDEX(選手一覧!$E$7:$E$2738,$F1005)="","",INDEX(選手一覧!$E$7:$E$2738,$F1005))</f>
        <v/>
      </c>
      <c r="I1005" s="11" t="str">
        <f aca="false">IF(INDEX(選手一覧!$F$7:$F$2738,$F1005)="","",INDEX(選手一覧!$F$7:$F$2738,$F1005))</f>
        <v/>
      </c>
      <c r="J1005" s="12" t="str">
        <f aca="false">IF(INDEX(選手一覧!$G$7:$G$2738,$F1005)="","",INDEX(選手一覧!$G$7:$G$2738,$F1005))</f>
        <v/>
      </c>
    </row>
    <row r="1006" customFormat="false" ht="15" hidden="false" customHeight="false" outlineLevel="0" collapsed="false">
      <c r="A1006" s="12" t="n">
        <v>1002</v>
      </c>
      <c r="B1006" s="10" t="s">
        <v>2944</v>
      </c>
      <c r="C1006" s="10" t="s">
        <v>1130</v>
      </c>
      <c r="D1006" s="11" t="n">
        <v>0.00290821759259259</v>
      </c>
      <c r="E1006" s="18" t="n">
        <f aca="false">ROUND((D1006-$D$5)*86400,2)</f>
        <v>26.24</v>
      </c>
      <c r="F1006" s="12" t="n">
        <v>2065</v>
      </c>
      <c r="G1006" s="11" t="str">
        <f aca="false">IF(INDEX(選手一覧!$D$7:$D$2738,$F1006)="","",INDEX(選手一覧!$D$7:$D$2738,$F1006))</f>
        <v/>
      </c>
      <c r="H1006" s="12" t="str">
        <f aca="false">IF(INDEX(選手一覧!$E$7:$E$2738,$F1006)="","",INDEX(選手一覧!$E$7:$E$2738,$F1006))</f>
        <v/>
      </c>
      <c r="I1006" s="11" t="str">
        <f aca="false">IF(INDEX(選手一覧!$F$7:$F$2738,$F1006)="","",INDEX(選手一覧!$F$7:$F$2738,$F1006))</f>
        <v/>
      </c>
      <c r="J1006" s="12" t="str">
        <f aca="false">IF(INDEX(選手一覧!$G$7:$G$2738,$F1006)="","",INDEX(選手一覧!$G$7:$G$2738,$F1006))</f>
        <v/>
      </c>
    </row>
    <row r="1007" customFormat="false" ht="15" hidden="false" customHeight="false" outlineLevel="0" collapsed="false">
      <c r="A1007" s="12" t="n">
        <v>1003</v>
      </c>
      <c r="B1007" s="10" t="s">
        <v>1609</v>
      </c>
      <c r="C1007" s="10" t="s">
        <v>471</v>
      </c>
      <c r="D1007" s="11" t="n">
        <v>0.00290821759259259</v>
      </c>
      <c r="E1007" s="18" t="n">
        <f aca="false">ROUND((D1007-$D$5)*86400,2)</f>
        <v>26.24</v>
      </c>
      <c r="F1007" s="12" t="n">
        <v>1111</v>
      </c>
      <c r="G1007" s="11" t="n">
        <f aca="false">IF(INDEX(選手一覧!$D$7:$D$2738,$F1007)="","",INDEX(選手一覧!$D$7:$D$2738,$F1007))</f>
        <v>0.0106248842592593</v>
      </c>
      <c r="H1007" s="12" t="n">
        <f aca="false">IF(INDEX(選手一覧!$E$7:$E$2738,$F1007)="","",INDEX(選手一覧!$E$7:$E$2738,$F1007))</f>
        <v>503</v>
      </c>
      <c r="I1007" s="11" t="str">
        <f aca="false">IF(INDEX(選手一覧!$F$7:$F$2738,$F1007)="","",INDEX(選手一覧!$F$7:$F$2738,$F1007))</f>
        <v/>
      </c>
      <c r="J1007" s="12" t="str">
        <f aca="false">IF(INDEX(選手一覧!$G$7:$G$2738,$F1007)="","",INDEX(選手一覧!$G$7:$G$2738,$F1007))</f>
        <v/>
      </c>
    </row>
    <row r="1008" customFormat="false" ht="15" hidden="false" customHeight="false" outlineLevel="0" collapsed="false">
      <c r="A1008" s="12" t="n">
        <v>1004</v>
      </c>
      <c r="B1008" s="10" t="s">
        <v>2949</v>
      </c>
      <c r="C1008" s="10" t="s">
        <v>2950</v>
      </c>
      <c r="D1008" s="11" t="n">
        <v>0.00290833333333333</v>
      </c>
      <c r="E1008" s="18" t="n">
        <f aca="false">ROUND((D1008-$D$5)*86400,2)</f>
        <v>26.25</v>
      </c>
      <c r="F1008" s="12" t="n">
        <v>2069</v>
      </c>
      <c r="G1008" s="11" t="str">
        <f aca="false">IF(INDEX(選手一覧!$D$7:$D$2738,$F1008)="","",INDEX(選手一覧!$D$7:$D$2738,$F1008))</f>
        <v/>
      </c>
      <c r="H1008" s="12" t="str">
        <f aca="false">IF(INDEX(選手一覧!$E$7:$E$2738,$F1008)="","",INDEX(選手一覧!$E$7:$E$2738,$F1008))</f>
        <v/>
      </c>
      <c r="I1008" s="11" t="str">
        <f aca="false">IF(INDEX(選手一覧!$F$7:$F$2738,$F1008)="","",INDEX(選手一覧!$F$7:$F$2738,$F1008))</f>
        <v/>
      </c>
      <c r="J1008" s="12" t="str">
        <f aca="false">IF(INDEX(選手一覧!$G$7:$G$2738,$F1008)="","",INDEX(選手一覧!$G$7:$G$2738,$F1008))</f>
        <v/>
      </c>
    </row>
    <row r="1009" customFormat="false" ht="15" hidden="false" customHeight="false" outlineLevel="0" collapsed="false">
      <c r="A1009" s="12" t="n">
        <v>1005</v>
      </c>
      <c r="B1009" s="10" t="s">
        <v>2843</v>
      </c>
      <c r="C1009" s="10" t="s">
        <v>2844</v>
      </c>
      <c r="D1009" s="11" t="n">
        <v>0.00290856481481482</v>
      </c>
      <c r="E1009" s="18" t="n">
        <f aca="false">ROUND((D1009-$D$5)*86400,2)</f>
        <v>26.27</v>
      </c>
      <c r="F1009" s="12" t="n">
        <v>1991</v>
      </c>
      <c r="G1009" s="11" t="str">
        <f aca="false">IF(INDEX(選手一覧!$D$7:$D$2738,$F1009)="","",INDEX(選手一覧!$D$7:$D$2738,$F1009))</f>
        <v/>
      </c>
      <c r="H1009" s="12" t="str">
        <f aca="false">IF(INDEX(選手一覧!$E$7:$E$2738,$F1009)="","",INDEX(選手一覧!$E$7:$E$2738,$F1009))</f>
        <v/>
      </c>
      <c r="I1009" s="11" t="n">
        <f aca="false">IF(INDEX(選手一覧!$F$7:$F$2738,$F1009)="","",INDEX(選手一覧!$F$7:$F$2738,$F1009))</f>
        <v>0.00756030092592593</v>
      </c>
      <c r="J1009" s="12" t="n">
        <f aca="false">IF(INDEX(選手一覧!$G$7:$G$2738,$F1009)="","",INDEX(選手一覧!$G$7:$G$2738,$F1009))</f>
        <v>964</v>
      </c>
    </row>
    <row r="1010" customFormat="false" ht="15" hidden="false" customHeight="false" outlineLevel="0" collapsed="false">
      <c r="A1010" s="12" t="n">
        <v>1006</v>
      </c>
      <c r="B1010" s="10" t="s">
        <v>2953</v>
      </c>
      <c r="C1010" s="10" t="s">
        <v>2954</v>
      </c>
      <c r="D1010" s="11" t="n">
        <v>0.00290856481481482</v>
      </c>
      <c r="E1010" s="18" t="n">
        <f aca="false">ROUND((D1010-$D$5)*86400,2)</f>
        <v>26.27</v>
      </c>
      <c r="F1010" s="12" t="n">
        <v>2072</v>
      </c>
      <c r="G1010" s="11" t="str">
        <f aca="false">IF(INDEX(選手一覧!$D$7:$D$2738,$F1010)="","",INDEX(選手一覧!$D$7:$D$2738,$F1010))</f>
        <v/>
      </c>
      <c r="H1010" s="12" t="str">
        <f aca="false">IF(INDEX(選手一覧!$E$7:$E$2738,$F1010)="","",INDEX(選手一覧!$E$7:$E$2738,$F1010))</f>
        <v/>
      </c>
      <c r="I1010" s="11" t="str">
        <f aca="false">IF(INDEX(選手一覧!$F$7:$F$2738,$F1010)="","",INDEX(選手一覧!$F$7:$F$2738,$F1010))</f>
        <v/>
      </c>
      <c r="J1010" s="12" t="str">
        <f aca="false">IF(INDEX(選手一覧!$G$7:$G$2738,$F1010)="","",INDEX(選手一覧!$G$7:$G$2738,$F1010))</f>
        <v/>
      </c>
    </row>
    <row r="1011" customFormat="false" ht="15" hidden="false" customHeight="false" outlineLevel="0" collapsed="false">
      <c r="A1011" s="12" t="n">
        <v>1007</v>
      </c>
      <c r="B1011" s="10" t="s">
        <v>2956</v>
      </c>
      <c r="C1011" s="10" t="s">
        <v>312</v>
      </c>
      <c r="D1011" s="11" t="n">
        <v>0.00290868055555556</v>
      </c>
      <c r="E1011" s="18" t="n">
        <f aca="false">ROUND((D1011-$D$5)*86400,2)</f>
        <v>26.28</v>
      </c>
      <c r="F1011" s="12" t="n">
        <v>2074</v>
      </c>
      <c r="G1011" s="11" t="str">
        <f aca="false">IF(INDEX(選手一覧!$D$7:$D$2738,$F1011)="","",INDEX(選手一覧!$D$7:$D$2738,$F1011))</f>
        <v/>
      </c>
      <c r="H1011" s="12" t="str">
        <f aca="false">IF(INDEX(選手一覧!$E$7:$E$2738,$F1011)="","",INDEX(選手一覧!$E$7:$E$2738,$F1011))</f>
        <v/>
      </c>
      <c r="I1011" s="11" t="str">
        <f aca="false">IF(INDEX(選手一覧!$F$7:$F$2738,$F1011)="","",INDEX(選手一覧!$F$7:$F$2738,$F1011))</f>
        <v/>
      </c>
      <c r="J1011" s="12" t="str">
        <f aca="false">IF(INDEX(選手一覧!$G$7:$G$2738,$F1011)="","",INDEX(選手一覧!$G$7:$G$2738,$F1011))</f>
        <v/>
      </c>
    </row>
    <row r="1012" customFormat="false" ht="15" hidden="false" customHeight="false" outlineLevel="0" collapsed="false">
      <c r="A1012" s="12" t="n">
        <v>1008</v>
      </c>
      <c r="B1012" s="10" t="s">
        <v>2959</v>
      </c>
      <c r="C1012" s="10" t="s">
        <v>2100</v>
      </c>
      <c r="D1012" s="11" t="n">
        <v>0.0029087962962963</v>
      </c>
      <c r="E1012" s="18" t="n">
        <f aca="false">ROUND((D1012-$D$5)*86400,2)</f>
        <v>26.29</v>
      </c>
      <c r="F1012" s="12" t="n">
        <v>2077</v>
      </c>
      <c r="G1012" s="11" t="str">
        <f aca="false">IF(INDEX(選手一覧!$D$7:$D$2738,$F1012)="","",INDEX(選手一覧!$D$7:$D$2738,$F1012))</f>
        <v/>
      </c>
      <c r="H1012" s="12" t="str">
        <f aca="false">IF(INDEX(選手一覧!$E$7:$E$2738,$F1012)="","",INDEX(選手一覧!$E$7:$E$2738,$F1012))</f>
        <v/>
      </c>
      <c r="I1012" s="11" t="str">
        <f aca="false">IF(INDEX(選手一覧!$F$7:$F$2738,$F1012)="","",INDEX(選手一覧!$F$7:$F$2738,$F1012))</f>
        <v/>
      </c>
      <c r="J1012" s="12" t="str">
        <f aca="false">IF(INDEX(選手一覧!$G$7:$G$2738,$F1012)="","",INDEX(選手一覧!$G$7:$G$2738,$F1012))</f>
        <v/>
      </c>
    </row>
    <row r="1013" customFormat="false" ht="15" hidden="false" customHeight="false" outlineLevel="0" collapsed="false">
      <c r="A1013" s="12" t="n">
        <v>1009</v>
      </c>
      <c r="B1013" s="10" t="s">
        <v>646</v>
      </c>
      <c r="C1013" s="10" t="s">
        <v>43</v>
      </c>
      <c r="D1013" s="11" t="n">
        <v>0.00290902777777778</v>
      </c>
      <c r="E1013" s="18" t="n">
        <f aca="false">ROUND((D1013-$D$5)*86400,2)</f>
        <v>26.31</v>
      </c>
      <c r="F1013" s="12" t="n">
        <v>411</v>
      </c>
      <c r="G1013" s="11" t="n">
        <f aca="false">IF(INDEX(選手一覧!$D$7:$D$2738,$F1013)="","",INDEX(選手一覧!$D$7:$D$2738,$F1013))</f>
        <v>0.0103224537037037</v>
      </c>
      <c r="H1013" s="12" t="n">
        <f aca="false">IF(INDEX(選手一覧!$E$7:$E$2738,$F1013)="","",INDEX(選手一覧!$E$7:$E$2738,$F1013))</f>
        <v>174</v>
      </c>
      <c r="I1013" s="11" t="str">
        <f aca="false">IF(INDEX(選手一覧!$F$7:$F$2738,$F1013)="","",INDEX(選手一覧!$F$7:$F$2738,$F1013))</f>
        <v/>
      </c>
      <c r="J1013" s="12" t="str">
        <f aca="false">IF(INDEX(選手一覧!$G$7:$G$2738,$F1013)="","",INDEX(選手一覧!$G$7:$G$2738,$F1013))</f>
        <v/>
      </c>
    </row>
    <row r="1014" customFormat="false" ht="15" hidden="false" customHeight="false" outlineLevel="0" collapsed="false">
      <c r="A1014" s="12" t="n">
        <v>1010</v>
      </c>
      <c r="B1014" s="10" t="s">
        <v>2963</v>
      </c>
      <c r="C1014" s="10" t="s">
        <v>1023</v>
      </c>
      <c r="D1014" s="11" t="n">
        <v>0.00290902777777778</v>
      </c>
      <c r="E1014" s="18" t="n">
        <f aca="false">ROUND((D1014-$D$5)*86400,2)</f>
        <v>26.31</v>
      </c>
      <c r="F1014" s="12" t="n">
        <v>2080</v>
      </c>
      <c r="G1014" s="11" t="str">
        <f aca="false">IF(INDEX(選手一覧!$D$7:$D$2738,$F1014)="","",INDEX(選手一覧!$D$7:$D$2738,$F1014))</f>
        <v/>
      </c>
      <c r="H1014" s="12" t="str">
        <f aca="false">IF(INDEX(選手一覧!$E$7:$E$2738,$F1014)="","",INDEX(選手一覧!$E$7:$E$2738,$F1014))</f>
        <v/>
      </c>
      <c r="I1014" s="11" t="str">
        <f aca="false">IF(INDEX(選手一覧!$F$7:$F$2738,$F1014)="","",INDEX(選手一覧!$F$7:$F$2738,$F1014))</f>
        <v/>
      </c>
      <c r="J1014" s="12" t="str">
        <f aca="false">IF(INDEX(選手一覧!$G$7:$G$2738,$F1014)="","",INDEX(選手一覧!$G$7:$G$2738,$F1014))</f>
        <v/>
      </c>
    </row>
    <row r="1015" customFormat="false" ht="15" hidden="false" customHeight="false" outlineLevel="0" collapsed="false">
      <c r="A1015" s="12" t="n">
        <v>1011</v>
      </c>
      <c r="B1015" s="10" t="s">
        <v>2967</v>
      </c>
      <c r="C1015" s="10" t="s">
        <v>954</v>
      </c>
      <c r="D1015" s="11" t="n">
        <v>0.00290914351851852</v>
      </c>
      <c r="E1015" s="18" t="n">
        <f aca="false">ROUND((D1015-$D$5)*86400,2)</f>
        <v>26.32</v>
      </c>
      <c r="F1015" s="12" t="n">
        <v>2083</v>
      </c>
      <c r="G1015" s="11" t="str">
        <f aca="false">IF(INDEX(選手一覧!$D$7:$D$2738,$F1015)="","",INDEX(選手一覧!$D$7:$D$2738,$F1015))</f>
        <v/>
      </c>
      <c r="H1015" s="12" t="str">
        <f aca="false">IF(INDEX(選手一覧!$E$7:$E$2738,$F1015)="","",INDEX(選手一覧!$E$7:$E$2738,$F1015))</f>
        <v/>
      </c>
      <c r="I1015" s="11" t="str">
        <f aca="false">IF(INDEX(選手一覧!$F$7:$F$2738,$F1015)="","",INDEX(選手一覧!$F$7:$F$2738,$F1015))</f>
        <v/>
      </c>
      <c r="J1015" s="12" t="str">
        <f aca="false">IF(INDEX(選手一覧!$G$7:$G$2738,$F1015)="","",INDEX(選手一覧!$G$7:$G$2738,$F1015))</f>
        <v/>
      </c>
    </row>
    <row r="1016" customFormat="false" ht="15" hidden="false" customHeight="false" outlineLevel="0" collapsed="false">
      <c r="A1016" s="12" t="n">
        <v>1012</v>
      </c>
      <c r="B1016" s="10" t="s">
        <v>1925</v>
      </c>
      <c r="C1016" s="10" t="s">
        <v>1926</v>
      </c>
      <c r="D1016" s="11" t="n">
        <v>0.002909375</v>
      </c>
      <c r="E1016" s="18" t="n">
        <f aca="false">ROUND((D1016-$D$5)*86400,2)</f>
        <v>26.34</v>
      </c>
      <c r="F1016" s="12" t="n">
        <v>1323</v>
      </c>
      <c r="G1016" s="11" t="str">
        <f aca="false">IF(INDEX(選手一覧!$D$7:$D$2738,$F1016)="","",INDEX(選手一覧!$D$7:$D$2738,$F1016))</f>
        <v/>
      </c>
      <c r="H1016" s="12" t="str">
        <f aca="false">IF(INDEX(選手一覧!$E$7:$E$2738,$F1016)="","",INDEX(選手一覧!$E$7:$E$2738,$F1016))</f>
        <v/>
      </c>
      <c r="I1016" s="11" t="n">
        <f aca="false">IF(INDEX(選手一覧!$F$7:$F$2738,$F1016)="","",INDEX(選手一覧!$F$7:$F$2738,$F1016))</f>
        <v>0.00727025462962963</v>
      </c>
      <c r="J1016" s="12" t="n">
        <f aca="false">IF(INDEX(選手一覧!$G$7:$G$2738,$F1016)="","",INDEX(選手一覧!$G$7:$G$2738,$F1016))</f>
        <v>617</v>
      </c>
    </row>
    <row r="1017" customFormat="false" ht="15" hidden="false" customHeight="false" outlineLevel="0" collapsed="false">
      <c r="A1017" s="12" t="n">
        <v>1013</v>
      </c>
      <c r="B1017" s="10" t="s">
        <v>2969</v>
      </c>
      <c r="C1017" s="10" t="s">
        <v>2970</v>
      </c>
      <c r="D1017" s="11" t="n">
        <v>0.00290949074074074</v>
      </c>
      <c r="E1017" s="18" t="n">
        <f aca="false">ROUND((D1017-$D$5)*86400,2)</f>
        <v>26.35</v>
      </c>
      <c r="F1017" s="12" t="n">
        <v>2085</v>
      </c>
      <c r="G1017" s="11" t="n">
        <f aca="false">IF(INDEX(選手一覧!$D$7:$D$2738,$F1017)="","",INDEX(選手一覧!$D$7:$D$2738,$F1017))</f>
        <v>0.0110261574074074</v>
      </c>
      <c r="H1017" s="12" t="n">
        <f aca="false">IF(INDEX(選手一覧!$E$7:$E$2738,$F1017)="","",INDEX(選手一覧!$E$7:$E$2738,$F1017))</f>
        <v>1142</v>
      </c>
      <c r="I1017" s="11" t="str">
        <f aca="false">IF(INDEX(選手一覧!$F$7:$F$2738,$F1017)="","",INDEX(選手一覧!$F$7:$F$2738,$F1017))</f>
        <v/>
      </c>
      <c r="J1017" s="12" t="str">
        <f aca="false">IF(INDEX(選手一覧!$G$7:$G$2738,$F1017)="","",INDEX(選手一覧!$G$7:$G$2738,$F1017))</f>
        <v/>
      </c>
    </row>
    <row r="1018" customFormat="false" ht="15" hidden="false" customHeight="false" outlineLevel="0" collapsed="false">
      <c r="A1018" s="12" t="n">
        <v>1014</v>
      </c>
      <c r="B1018" s="10" t="s">
        <v>2976</v>
      </c>
      <c r="C1018" s="10" t="s">
        <v>2977</v>
      </c>
      <c r="D1018" s="11" t="n">
        <v>0.00290960648148148</v>
      </c>
      <c r="E1018" s="18" t="n">
        <f aca="false">ROUND((D1018-$D$5)*86400,2)</f>
        <v>26.36</v>
      </c>
      <c r="F1018" s="12" t="n">
        <v>2090</v>
      </c>
      <c r="G1018" s="11" t="str">
        <f aca="false">IF(INDEX(選手一覧!$D$7:$D$2738,$F1018)="","",INDEX(選手一覧!$D$7:$D$2738,$F1018))</f>
        <v/>
      </c>
      <c r="H1018" s="12" t="str">
        <f aca="false">IF(INDEX(選手一覧!$E$7:$E$2738,$F1018)="","",INDEX(選手一覧!$E$7:$E$2738,$F1018))</f>
        <v/>
      </c>
      <c r="I1018" s="11" t="str">
        <f aca="false">IF(INDEX(選手一覧!$F$7:$F$2738,$F1018)="","",INDEX(選手一覧!$F$7:$F$2738,$F1018))</f>
        <v/>
      </c>
      <c r="J1018" s="12" t="str">
        <f aca="false">IF(INDEX(選手一覧!$G$7:$G$2738,$F1018)="","",INDEX(選手一覧!$G$7:$G$2738,$F1018))</f>
        <v/>
      </c>
    </row>
    <row r="1019" customFormat="false" ht="15" hidden="false" customHeight="false" outlineLevel="0" collapsed="false">
      <c r="A1019" s="12" t="n">
        <v>1015</v>
      </c>
      <c r="B1019" s="10" t="s">
        <v>2190</v>
      </c>
      <c r="C1019" s="10" t="s">
        <v>263</v>
      </c>
      <c r="D1019" s="11" t="n">
        <v>0.00290972222222222</v>
      </c>
      <c r="E1019" s="18" t="n">
        <f aca="false">ROUND((D1019-$D$5)*86400,2)</f>
        <v>26.37</v>
      </c>
      <c r="F1019" s="12" t="n">
        <v>1516</v>
      </c>
      <c r="G1019" s="11" t="n">
        <f aca="false">IF(INDEX(選手一覧!$D$7:$D$2738,$F1019)="","",INDEX(選手一覧!$D$7:$D$2738,$F1019))</f>
        <v>0.0107895833333333</v>
      </c>
      <c r="H1019" s="12" t="n">
        <f aca="false">IF(INDEX(選手一覧!$E$7:$E$2738,$F1019)="","",INDEX(選手一覧!$E$7:$E$2738,$F1019))</f>
        <v>722</v>
      </c>
      <c r="I1019" s="11" t="str">
        <f aca="false">IF(INDEX(選手一覧!$F$7:$F$2738,$F1019)="","",INDEX(選手一覧!$F$7:$F$2738,$F1019))</f>
        <v/>
      </c>
      <c r="J1019" s="12" t="str">
        <f aca="false">IF(INDEX(選手一覧!$G$7:$G$2738,$F1019)="","",INDEX(選手一覧!$G$7:$G$2738,$F1019))</f>
        <v/>
      </c>
    </row>
    <row r="1020" customFormat="false" ht="15" hidden="false" customHeight="false" outlineLevel="0" collapsed="false">
      <c r="A1020" s="12" t="n">
        <v>1016</v>
      </c>
      <c r="B1020" s="10" t="s">
        <v>2983</v>
      </c>
      <c r="C1020" s="10" t="s">
        <v>2984</v>
      </c>
      <c r="D1020" s="11" t="n">
        <v>0.00290972222222222</v>
      </c>
      <c r="E1020" s="18" t="n">
        <f aca="false">ROUND((D1020-$D$5)*86400,2)</f>
        <v>26.37</v>
      </c>
      <c r="F1020" s="12" t="n">
        <v>2095</v>
      </c>
      <c r="G1020" s="11" t="str">
        <f aca="false">IF(INDEX(選手一覧!$D$7:$D$2738,$F1020)="","",INDEX(選手一覧!$D$7:$D$2738,$F1020))</f>
        <v/>
      </c>
      <c r="H1020" s="12" t="str">
        <f aca="false">IF(INDEX(選手一覧!$E$7:$E$2738,$F1020)="","",INDEX(選手一覧!$E$7:$E$2738,$F1020))</f>
        <v/>
      </c>
      <c r="I1020" s="11" t="str">
        <f aca="false">IF(INDEX(選手一覧!$F$7:$F$2738,$F1020)="","",INDEX(選手一覧!$F$7:$F$2738,$F1020))</f>
        <v/>
      </c>
      <c r="J1020" s="12" t="str">
        <f aca="false">IF(INDEX(選手一覧!$G$7:$G$2738,$F1020)="","",INDEX(選手一覧!$G$7:$G$2738,$F1020))</f>
        <v/>
      </c>
    </row>
    <row r="1021" customFormat="false" ht="15" hidden="false" customHeight="false" outlineLevel="0" collapsed="false">
      <c r="A1021" s="12" t="n">
        <v>1017</v>
      </c>
      <c r="B1021" s="10" t="s">
        <v>2987</v>
      </c>
      <c r="C1021" s="10" t="s">
        <v>570</v>
      </c>
      <c r="D1021" s="11" t="n">
        <v>0.00290972222222222</v>
      </c>
      <c r="E1021" s="18" t="n">
        <f aca="false">ROUND((D1021-$D$5)*86400,2)</f>
        <v>26.37</v>
      </c>
      <c r="F1021" s="12" t="n">
        <v>2097</v>
      </c>
      <c r="G1021" s="11" t="str">
        <f aca="false">IF(INDEX(選手一覧!$D$7:$D$2738,$F1021)="","",INDEX(選手一覧!$D$7:$D$2738,$F1021))</f>
        <v/>
      </c>
      <c r="H1021" s="12" t="str">
        <f aca="false">IF(INDEX(選手一覧!$E$7:$E$2738,$F1021)="","",INDEX(選手一覧!$E$7:$E$2738,$F1021))</f>
        <v/>
      </c>
      <c r="I1021" s="11" t="str">
        <f aca="false">IF(INDEX(選手一覧!$F$7:$F$2738,$F1021)="","",INDEX(選手一覧!$F$7:$F$2738,$F1021))</f>
        <v/>
      </c>
      <c r="J1021" s="12" t="str">
        <f aca="false">IF(INDEX(選手一覧!$G$7:$G$2738,$F1021)="","",INDEX(選手一覧!$G$7:$G$2738,$F1021))</f>
        <v/>
      </c>
    </row>
    <row r="1022" customFormat="false" ht="15" hidden="false" customHeight="false" outlineLevel="0" collapsed="false">
      <c r="A1022" s="12" t="n">
        <v>1018</v>
      </c>
      <c r="B1022" s="10" t="s">
        <v>1218</v>
      </c>
      <c r="C1022" s="10" t="s">
        <v>1219</v>
      </c>
      <c r="D1022" s="11" t="n">
        <v>0.00290983796296296</v>
      </c>
      <c r="E1022" s="18" t="n">
        <f aca="false">ROUND((D1022-$D$5)*86400,2)</f>
        <v>26.38</v>
      </c>
      <c r="F1022" s="12" t="n">
        <v>826</v>
      </c>
      <c r="G1022" s="11" t="str">
        <f aca="false">IF(INDEX(選手一覧!$D$7:$D$2738,$F1022)="","",INDEX(選手一覧!$D$7:$D$2738,$F1022))</f>
        <v/>
      </c>
      <c r="H1022" s="12" t="str">
        <f aca="false">IF(INDEX(選手一覧!$E$7:$E$2738,$F1022)="","",INDEX(選手一覧!$E$7:$E$2738,$F1022))</f>
        <v/>
      </c>
      <c r="I1022" s="11" t="n">
        <f aca="false">IF(INDEX(選手一覧!$F$7:$F$2738,$F1022)="","",INDEX(選手一覧!$F$7:$F$2738,$F1022))</f>
        <v>0.00702708333333333</v>
      </c>
      <c r="J1022" s="12" t="n">
        <f aca="false">IF(INDEX(選手一覧!$G$7:$G$2738,$F1022)="","",INDEX(選手一覧!$G$7:$G$2738,$F1022))</f>
        <v>362</v>
      </c>
    </row>
    <row r="1023" customFormat="false" ht="15" hidden="false" customHeight="false" outlineLevel="0" collapsed="false">
      <c r="A1023" s="12" t="n">
        <v>1019</v>
      </c>
      <c r="B1023" s="10" t="s">
        <v>4011</v>
      </c>
      <c r="C1023" s="10" t="s">
        <v>505</v>
      </c>
      <c r="D1023" s="11" t="n">
        <v>0.0029099537037037</v>
      </c>
      <c r="E1023" s="18" t="n">
        <f aca="false">ROUND((D1023-$D$5)*86400,2)</f>
        <v>26.39</v>
      </c>
      <c r="F1023" s="12" t="n">
        <v>314</v>
      </c>
      <c r="G1023" s="11" t="n">
        <f aca="false">IF(INDEX(選手一覧!$D$7:$D$2738,$F1023)="","",INDEX(選手一覧!$D$7:$D$2738,$F1023))</f>
        <v>0.0109672453703704</v>
      </c>
      <c r="H1023" s="12" t="n">
        <f aca="false">IF(INDEX(選手一覧!$E$7:$E$2738,$F1023)="","",INDEX(選手一覧!$E$7:$E$2738,$F1023))</f>
        <v>1029</v>
      </c>
      <c r="I1023" s="11" t="n">
        <f aca="false">IF(INDEX(選手一覧!$F$7:$F$2738,$F1023)="","",INDEX(選手一覧!$F$7:$F$2738,$F1023))</f>
        <v>0.00675219907407407</v>
      </c>
      <c r="J1023" s="12" t="n">
        <f aca="false">IF(INDEX(選手一覧!$G$7:$G$2738,$F1023)="","",INDEX(選手一覧!$G$7:$G$2738,$F1023))</f>
        <v>130</v>
      </c>
    </row>
    <row r="1024" customFormat="false" ht="15" hidden="false" customHeight="false" outlineLevel="0" collapsed="false">
      <c r="A1024" s="12" t="n">
        <v>1020</v>
      </c>
      <c r="B1024" s="10" t="s">
        <v>2994</v>
      </c>
      <c r="C1024" s="10" t="s">
        <v>724</v>
      </c>
      <c r="D1024" s="11" t="n">
        <v>0.00291006944444445</v>
      </c>
      <c r="E1024" s="18" t="n">
        <f aca="false">ROUND((D1024-$D$5)*86400,2)</f>
        <v>26.4</v>
      </c>
      <c r="F1024" s="12" t="n">
        <v>2101</v>
      </c>
      <c r="G1024" s="11" t="str">
        <f aca="false">IF(INDEX(選手一覧!$D$7:$D$2738,$F1024)="","",INDEX(選手一覧!$D$7:$D$2738,$F1024))</f>
        <v/>
      </c>
      <c r="H1024" s="12" t="str">
        <f aca="false">IF(INDEX(選手一覧!$E$7:$E$2738,$F1024)="","",INDEX(選手一覧!$E$7:$E$2738,$F1024))</f>
        <v/>
      </c>
      <c r="I1024" s="11" t="str">
        <f aca="false">IF(INDEX(選手一覧!$F$7:$F$2738,$F1024)="","",INDEX(選手一覧!$F$7:$F$2738,$F1024))</f>
        <v/>
      </c>
      <c r="J1024" s="12" t="str">
        <f aca="false">IF(INDEX(選手一覧!$G$7:$G$2738,$F1024)="","",INDEX(選手一覧!$G$7:$G$2738,$F1024))</f>
        <v/>
      </c>
    </row>
    <row r="1025" customFormat="false" ht="15" hidden="false" customHeight="false" outlineLevel="0" collapsed="false">
      <c r="A1025" s="12" t="n">
        <v>1021</v>
      </c>
      <c r="B1025" s="10" t="s">
        <v>2996</v>
      </c>
      <c r="C1025" s="10" t="s">
        <v>2997</v>
      </c>
      <c r="D1025" s="11" t="n">
        <v>0.00291006944444445</v>
      </c>
      <c r="E1025" s="18" t="n">
        <f aca="false">ROUND((D1025-$D$5)*86400,2)</f>
        <v>26.4</v>
      </c>
      <c r="F1025" s="12" t="n">
        <v>2103</v>
      </c>
      <c r="G1025" s="11" t="str">
        <f aca="false">IF(INDEX(選手一覧!$D$7:$D$2738,$F1025)="","",INDEX(選手一覧!$D$7:$D$2738,$F1025))</f>
        <v/>
      </c>
      <c r="H1025" s="12" t="str">
        <f aca="false">IF(INDEX(選手一覧!$E$7:$E$2738,$F1025)="","",INDEX(選手一覧!$E$7:$E$2738,$F1025))</f>
        <v/>
      </c>
      <c r="I1025" s="11" t="str">
        <f aca="false">IF(INDEX(選手一覧!$F$7:$F$2738,$F1025)="","",INDEX(選手一覧!$F$7:$F$2738,$F1025))</f>
        <v/>
      </c>
      <c r="J1025" s="12" t="str">
        <f aca="false">IF(INDEX(選手一覧!$G$7:$G$2738,$F1025)="","",INDEX(選手一覧!$G$7:$G$2738,$F1025))</f>
        <v/>
      </c>
    </row>
    <row r="1026" customFormat="false" ht="15" hidden="false" customHeight="false" outlineLevel="0" collapsed="false">
      <c r="A1026" s="12" t="n">
        <v>1022</v>
      </c>
      <c r="B1026" s="10" t="s">
        <v>3000</v>
      </c>
      <c r="C1026" s="10" t="s">
        <v>2253</v>
      </c>
      <c r="D1026" s="11" t="n">
        <v>0.00291030092592593</v>
      </c>
      <c r="E1026" s="18" t="n">
        <f aca="false">ROUND((D1026-$D$5)*86400,2)</f>
        <v>26.42</v>
      </c>
      <c r="F1026" s="12" t="n">
        <v>2105</v>
      </c>
      <c r="G1026" s="11" t="str">
        <f aca="false">IF(INDEX(選手一覧!$D$7:$D$2738,$F1026)="","",INDEX(選手一覧!$D$7:$D$2738,$F1026))</f>
        <v/>
      </c>
      <c r="H1026" s="12" t="str">
        <f aca="false">IF(INDEX(選手一覧!$E$7:$E$2738,$F1026)="","",INDEX(選手一覧!$E$7:$E$2738,$F1026))</f>
        <v/>
      </c>
      <c r="I1026" s="11" t="str">
        <f aca="false">IF(INDEX(選手一覧!$F$7:$F$2738,$F1026)="","",INDEX(選手一覧!$F$7:$F$2738,$F1026))</f>
        <v/>
      </c>
      <c r="J1026" s="12" t="str">
        <f aca="false">IF(INDEX(選手一覧!$G$7:$G$2738,$F1026)="","",INDEX(選手一覧!$G$7:$G$2738,$F1026))</f>
        <v/>
      </c>
    </row>
    <row r="1027" customFormat="false" ht="15" hidden="false" customHeight="false" outlineLevel="0" collapsed="false">
      <c r="A1027" s="12" t="n">
        <v>1023</v>
      </c>
      <c r="B1027" s="10" t="s">
        <v>3003</v>
      </c>
      <c r="C1027" s="10" t="s">
        <v>3004</v>
      </c>
      <c r="D1027" s="11" t="n">
        <v>0.00291030092592593</v>
      </c>
      <c r="E1027" s="18" t="n">
        <f aca="false">ROUND((D1027-$D$5)*86400,2)</f>
        <v>26.42</v>
      </c>
      <c r="F1027" s="12" t="n">
        <v>2107</v>
      </c>
      <c r="G1027" s="11" t="str">
        <f aca="false">IF(INDEX(選手一覧!$D$7:$D$2738,$F1027)="","",INDEX(選手一覧!$D$7:$D$2738,$F1027))</f>
        <v/>
      </c>
      <c r="H1027" s="12" t="str">
        <f aca="false">IF(INDEX(選手一覧!$E$7:$E$2738,$F1027)="","",INDEX(選手一覧!$E$7:$E$2738,$F1027))</f>
        <v/>
      </c>
      <c r="I1027" s="11" t="str">
        <f aca="false">IF(INDEX(選手一覧!$F$7:$F$2738,$F1027)="","",INDEX(選手一覧!$F$7:$F$2738,$F1027))</f>
        <v/>
      </c>
      <c r="J1027" s="12" t="str">
        <f aca="false">IF(INDEX(選手一覧!$G$7:$G$2738,$F1027)="","",INDEX(選手一覧!$G$7:$G$2738,$F1027))</f>
        <v/>
      </c>
    </row>
    <row r="1028" customFormat="false" ht="15" hidden="false" customHeight="false" outlineLevel="0" collapsed="false">
      <c r="A1028" s="12" t="n">
        <v>1024</v>
      </c>
      <c r="B1028" s="10" t="s">
        <v>2055</v>
      </c>
      <c r="C1028" s="10" t="s">
        <v>210</v>
      </c>
      <c r="D1028" s="11" t="n">
        <v>0.00291041666666667</v>
      </c>
      <c r="E1028" s="18" t="n">
        <f aca="false">ROUND((D1028-$D$5)*86400,2)</f>
        <v>26.43</v>
      </c>
      <c r="F1028" s="12" t="n">
        <v>1420</v>
      </c>
      <c r="G1028" s="11" t="n">
        <f aca="false">IF(INDEX(選手一覧!$D$7:$D$2738,$F1028)="","",INDEX(選手一覧!$D$7:$D$2738,$F1028))</f>
        <v>0.010753125</v>
      </c>
      <c r="H1028" s="12" t="n">
        <f aca="false">IF(INDEX(選手一覧!$E$7:$E$2738,$F1028)="","",INDEX(選手一覧!$E$7:$E$2738,$F1028))</f>
        <v>672</v>
      </c>
      <c r="I1028" s="11" t="n">
        <f aca="false">IF(INDEX(選手一覧!$F$7:$F$2738,$F1028)="","",INDEX(選手一覧!$F$7:$F$2738,$F1028))</f>
        <v>0.00746712962962963</v>
      </c>
      <c r="J1028" s="12" t="n">
        <f aca="false">IF(INDEX(選手一覧!$G$7:$G$2738,$F1028)="","",INDEX(選手一覧!$G$7:$G$2738,$F1028))</f>
        <v>857</v>
      </c>
    </row>
    <row r="1029" customFormat="false" ht="15" hidden="false" customHeight="false" outlineLevel="0" collapsed="false">
      <c r="A1029" s="12" t="n">
        <v>1025</v>
      </c>
      <c r="B1029" s="10" t="s">
        <v>2255</v>
      </c>
      <c r="C1029" s="10" t="s">
        <v>897</v>
      </c>
      <c r="D1029" s="11" t="n">
        <v>0.00291041666666667</v>
      </c>
      <c r="E1029" s="18" t="n">
        <f aca="false">ROUND((D1029-$D$5)*86400,2)</f>
        <v>26.43</v>
      </c>
      <c r="F1029" s="12" t="n">
        <v>1560</v>
      </c>
      <c r="G1029" s="11" t="n">
        <f aca="false">IF(INDEX(選手一覧!$D$7:$D$2738,$F1029)="","",INDEX(選手一覧!$D$7:$D$2738,$F1029))</f>
        <v>0.0108010416666667</v>
      </c>
      <c r="H1029" s="12" t="n">
        <f aca="false">IF(INDEX(選手一覧!$E$7:$E$2738,$F1029)="","",INDEX(選手一覧!$E$7:$E$2738,$F1029))</f>
        <v>743</v>
      </c>
      <c r="I1029" s="11" t="str">
        <f aca="false">IF(INDEX(選手一覧!$F$7:$F$2738,$F1029)="","",INDEX(選手一覧!$F$7:$F$2738,$F1029))</f>
        <v/>
      </c>
      <c r="J1029" s="12" t="str">
        <f aca="false">IF(INDEX(選手一覧!$G$7:$G$2738,$F1029)="","",INDEX(選手一覧!$G$7:$G$2738,$F1029))</f>
        <v/>
      </c>
    </row>
    <row r="1030" customFormat="false" ht="15" hidden="false" customHeight="false" outlineLevel="0" collapsed="false">
      <c r="A1030" s="12" t="n">
        <v>1026</v>
      </c>
      <c r="B1030" s="10" t="s">
        <v>3010</v>
      </c>
      <c r="C1030" s="10" t="s">
        <v>2283</v>
      </c>
      <c r="D1030" s="11" t="n">
        <v>0.00291053240740741</v>
      </c>
      <c r="E1030" s="18" t="n">
        <f aca="false">ROUND((D1030-$D$5)*86400,2)</f>
        <v>26.44</v>
      </c>
      <c r="F1030" s="12" t="n">
        <v>2111</v>
      </c>
      <c r="G1030" s="11" t="n">
        <f aca="false">IF(INDEX(選手一覧!$D$7:$D$2738,$F1030)="","",INDEX(選手一覧!$D$7:$D$2738,$F1030))</f>
        <v>0.0110024305555556</v>
      </c>
      <c r="H1030" s="12" t="n">
        <f aca="false">IF(INDEX(選手一覧!$E$7:$E$2738,$F1030)="","",INDEX(選手一覧!$E$7:$E$2738,$F1030))</f>
        <v>1099</v>
      </c>
      <c r="I1030" s="11" t="str">
        <f aca="false">IF(INDEX(選手一覧!$F$7:$F$2738,$F1030)="","",INDEX(選手一覧!$F$7:$F$2738,$F1030))</f>
        <v/>
      </c>
      <c r="J1030" s="12" t="str">
        <f aca="false">IF(INDEX(選手一覧!$G$7:$G$2738,$F1030)="","",INDEX(選手一覧!$G$7:$G$2738,$F1030))</f>
        <v/>
      </c>
    </row>
    <row r="1031" customFormat="false" ht="15" hidden="false" customHeight="false" outlineLevel="0" collapsed="false">
      <c r="A1031" s="12" t="n">
        <v>1027</v>
      </c>
      <c r="B1031" s="10" t="s">
        <v>2104</v>
      </c>
      <c r="C1031" s="10" t="s">
        <v>55</v>
      </c>
      <c r="D1031" s="11" t="n">
        <v>0.00291087962962963</v>
      </c>
      <c r="E1031" s="18" t="n">
        <f aca="false">ROUND((D1031-$D$5)*86400,2)</f>
        <v>26.47</v>
      </c>
      <c r="F1031" s="12" t="n">
        <v>1454</v>
      </c>
      <c r="G1031" s="11" t="n">
        <f aca="false">IF(INDEX(選手一覧!$D$7:$D$2738,$F1031)="","",INDEX(選手一覧!$D$7:$D$2738,$F1031))</f>
        <v>0.0107644675925926</v>
      </c>
      <c r="H1031" s="12" t="n">
        <f aca="false">IF(INDEX(選手一覧!$E$7:$E$2738,$F1031)="","",INDEX(選手一覧!$E$7:$E$2738,$F1031))</f>
        <v>689</v>
      </c>
      <c r="I1031" s="11" t="str">
        <f aca="false">IF(INDEX(選手一覧!$F$7:$F$2738,$F1031)="","",INDEX(選手一覧!$F$7:$F$2738,$F1031))</f>
        <v/>
      </c>
      <c r="J1031" s="12" t="str">
        <f aca="false">IF(INDEX(選手一覧!$G$7:$G$2738,$F1031)="","",INDEX(選手一覧!$G$7:$G$2738,$F1031))</f>
        <v/>
      </c>
    </row>
    <row r="1032" customFormat="false" ht="15" hidden="false" customHeight="false" outlineLevel="0" collapsed="false">
      <c r="A1032" s="12" t="n">
        <v>1028</v>
      </c>
      <c r="B1032" s="10" t="s">
        <v>524</v>
      </c>
      <c r="C1032" s="10" t="s">
        <v>257</v>
      </c>
      <c r="D1032" s="11" t="n">
        <v>0.00291087962962963</v>
      </c>
      <c r="E1032" s="18" t="n">
        <f aca="false">ROUND((D1032-$D$5)*86400,2)</f>
        <v>26.47</v>
      </c>
      <c r="F1032" s="12" t="n">
        <v>325</v>
      </c>
      <c r="G1032" s="11" t="n">
        <f aca="false">IF(INDEX(選手一覧!$D$7:$D$2738,$F1032)="","",INDEX(選手一覧!$D$7:$D$2738,$F1032))</f>
        <v>0.0102670138888889</v>
      </c>
      <c r="H1032" s="12" t="n">
        <f aca="false">IF(INDEX(選手一覧!$E$7:$E$2738,$F1032)="","",INDEX(選手一覧!$E$7:$E$2738,$F1032))</f>
        <v>135</v>
      </c>
      <c r="I1032" s="11" t="n">
        <f aca="false">IF(INDEX(選手一覧!$F$7:$F$2738,$F1032)="","",INDEX(選手一覧!$F$7:$F$2738,$F1032))</f>
        <v>0.00697407407407407</v>
      </c>
      <c r="J1032" s="12" t="n">
        <f aca="false">IF(INDEX(選手一覧!$G$7:$G$2738,$F1032)="","",INDEX(選手一覧!$G$7:$G$2738,$F1032))</f>
        <v>308</v>
      </c>
    </row>
    <row r="1033" customFormat="false" ht="15" hidden="false" customHeight="false" outlineLevel="0" collapsed="false">
      <c r="A1033" s="12" t="n">
        <v>1029</v>
      </c>
      <c r="B1033" s="10" t="s">
        <v>1026</v>
      </c>
      <c r="C1033" s="10" t="s">
        <v>1027</v>
      </c>
      <c r="D1033" s="11" t="n">
        <v>0.00291111111111111</v>
      </c>
      <c r="E1033" s="18" t="n">
        <f aca="false">ROUND((D1033-$D$5)*86400,2)</f>
        <v>26.49</v>
      </c>
      <c r="F1033" s="12" t="n">
        <v>688</v>
      </c>
      <c r="G1033" s="11" t="n">
        <f aca="false">IF(INDEX(選手一覧!$D$7:$D$2738,$F1033)="","",INDEX(選手一覧!$D$7:$D$2738,$F1033))</f>
        <v>0.0104300925925926</v>
      </c>
      <c r="H1033" s="12" t="n">
        <f aca="false">IF(INDEX(選手一覧!$E$7:$E$2738,$F1033)="","",INDEX(選手一覧!$E$7:$E$2738,$F1033))</f>
        <v>293</v>
      </c>
      <c r="I1033" s="11" t="str">
        <f aca="false">IF(INDEX(選手一覧!$F$7:$F$2738,$F1033)="","",INDEX(選手一覧!$F$7:$F$2738,$F1033))</f>
        <v/>
      </c>
      <c r="J1033" s="12" t="str">
        <f aca="false">IF(INDEX(選手一覧!$G$7:$G$2738,$F1033)="","",INDEX(選手一覧!$G$7:$G$2738,$F1033))</f>
        <v/>
      </c>
    </row>
    <row r="1034" customFormat="false" ht="15" hidden="false" customHeight="false" outlineLevel="0" collapsed="false">
      <c r="A1034" s="12" t="n">
        <v>1030</v>
      </c>
      <c r="B1034" s="10" t="s">
        <v>1957</v>
      </c>
      <c r="C1034" s="10" t="s">
        <v>1958</v>
      </c>
      <c r="D1034" s="11" t="n">
        <v>0.00291111111111111</v>
      </c>
      <c r="E1034" s="18" t="n">
        <f aca="false">ROUND((D1034-$D$5)*86400,2)</f>
        <v>26.49</v>
      </c>
      <c r="F1034" s="12" t="n">
        <v>1348</v>
      </c>
      <c r="G1034" s="11" t="str">
        <f aca="false">IF(INDEX(選手一覧!$D$7:$D$2738,$F1034)="","",INDEX(選手一覧!$D$7:$D$2738,$F1034))</f>
        <v/>
      </c>
      <c r="H1034" s="12" t="str">
        <f aca="false">IF(INDEX(選手一覧!$E$7:$E$2738,$F1034)="","",INDEX(選手一覧!$E$7:$E$2738,$F1034))</f>
        <v/>
      </c>
      <c r="I1034" s="11" t="n">
        <f aca="false">IF(INDEX(選手一覧!$F$7:$F$2738,$F1034)="","",INDEX(選手一覧!$F$7:$F$2738,$F1034))</f>
        <v>0.00729085648148148</v>
      </c>
      <c r="J1034" s="12" t="n">
        <f aca="false">IF(INDEX(選手一覧!$G$7:$G$2738,$F1034)="","",INDEX(選手一覧!$G$7:$G$2738,$F1034))</f>
        <v>631</v>
      </c>
    </row>
    <row r="1035" customFormat="false" ht="15" hidden="false" customHeight="false" outlineLevel="0" collapsed="false">
      <c r="A1035" s="12" t="n">
        <v>1031</v>
      </c>
      <c r="B1035" s="10" t="s">
        <v>3026</v>
      </c>
      <c r="C1035" s="10" t="s">
        <v>3027</v>
      </c>
      <c r="D1035" s="11" t="n">
        <v>0.00291134259259259</v>
      </c>
      <c r="E1035" s="18" t="n">
        <f aca="false">ROUND((D1035-$D$5)*86400,2)</f>
        <v>26.51</v>
      </c>
      <c r="F1035" s="12" t="n">
        <v>2121</v>
      </c>
      <c r="G1035" s="11" t="str">
        <f aca="false">IF(INDEX(選手一覧!$D$7:$D$2738,$F1035)="","",INDEX(選手一覧!$D$7:$D$2738,$F1035))</f>
        <v/>
      </c>
      <c r="H1035" s="12" t="str">
        <f aca="false">IF(INDEX(選手一覧!$E$7:$E$2738,$F1035)="","",INDEX(選手一覧!$E$7:$E$2738,$F1035))</f>
        <v/>
      </c>
      <c r="I1035" s="11" t="str">
        <f aca="false">IF(INDEX(選手一覧!$F$7:$F$2738,$F1035)="","",INDEX(選手一覧!$F$7:$F$2738,$F1035))</f>
        <v/>
      </c>
      <c r="J1035" s="12" t="str">
        <f aca="false">IF(INDEX(選手一覧!$G$7:$G$2738,$F1035)="","",INDEX(選手一覧!$G$7:$G$2738,$F1035))</f>
        <v/>
      </c>
    </row>
    <row r="1036" customFormat="false" ht="15" hidden="false" customHeight="false" outlineLevel="0" collapsed="false">
      <c r="A1036" s="12" t="n">
        <v>1032</v>
      </c>
      <c r="B1036" s="10" t="s">
        <v>3028</v>
      </c>
      <c r="C1036" s="10" t="s">
        <v>3029</v>
      </c>
      <c r="D1036" s="11" t="n">
        <v>0.00291145833333333</v>
      </c>
      <c r="E1036" s="18" t="n">
        <f aca="false">ROUND((D1036-$D$5)*86400,2)</f>
        <v>26.52</v>
      </c>
      <c r="F1036" s="12" t="n">
        <v>2122</v>
      </c>
      <c r="G1036" s="11" t="n">
        <f aca="false">IF(INDEX(選手一覧!$D$7:$D$2738,$F1036)="","",INDEX(選手一覧!$D$7:$D$2738,$F1036))</f>
        <v>0.0110391203703704</v>
      </c>
      <c r="H1036" s="12" t="n">
        <f aca="false">IF(INDEX(選手一覧!$E$7:$E$2738,$F1036)="","",INDEX(選手一覧!$E$7:$E$2738,$F1036))</f>
        <v>1176</v>
      </c>
      <c r="I1036" s="11" t="str">
        <f aca="false">IF(INDEX(選手一覧!$F$7:$F$2738,$F1036)="","",INDEX(選手一覧!$F$7:$F$2738,$F1036))</f>
        <v/>
      </c>
      <c r="J1036" s="12" t="str">
        <f aca="false">IF(INDEX(選手一覧!$G$7:$G$2738,$F1036)="","",INDEX(選手一覧!$G$7:$G$2738,$F1036))</f>
        <v/>
      </c>
    </row>
    <row r="1037" customFormat="false" ht="15" hidden="false" customHeight="false" outlineLevel="0" collapsed="false">
      <c r="A1037" s="12" t="n">
        <v>1033</v>
      </c>
      <c r="B1037" s="10" t="s">
        <v>2141</v>
      </c>
      <c r="C1037" s="10" t="s">
        <v>1883</v>
      </c>
      <c r="D1037" s="11" t="n">
        <v>0.00291145833333333</v>
      </c>
      <c r="E1037" s="18" t="n">
        <f aca="false">ROUND((D1037-$D$5)*86400,2)</f>
        <v>26.52</v>
      </c>
      <c r="F1037" s="12" t="n">
        <v>1479</v>
      </c>
      <c r="G1037" s="11" t="n">
        <f aca="false">IF(INDEX(選手一覧!$D$7:$D$2738,$F1037)="","",INDEX(選手一覧!$D$7:$D$2738,$F1037))</f>
        <v>0.0107753472222222</v>
      </c>
      <c r="H1037" s="12" t="n">
        <f aca="false">IF(INDEX(選手一覧!$E$7:$E$2738,$F1037)="","",INDEX(選手一覧!$E$7:$E$2738,$F1037))</f>
        <v>702</v>
      </c>
      <c r="I1037" s="11" t="str">
        <f aca="false">IF(INDEX(選手一覧!$F$7:$F$2738,$F1037)="","",INDEX(選手一覧!$F$7:$F$2738,$F1037))</f>
        <v/>
      </c>
      <c r="J1037" s="12" t="str">
        <f aca="false">IF(INDEX(選手一覧!$G$7:$G$2738,$F1037)="","",INDEX(選手一覧!$G$7:$G$2738,$F1037))</f>
        <v/>
      </c>
    </row>
    <row r="1038" customFormat="false" ht="15" hidden="false" customHeight="false" outlineLevel="0" collapsed="false">
      <c r="A1038" s="12" t="n">
        <v>1034</v>
      </c>
      <c r="B1038" s="10" t="s">
        <v>2687</v>
      </c>
      <c r="C1038" s="10" t="s">
        <v>3036</v>
      </c>
      <c r="D1038" s="11" t="n">
        <v>0.00291157407407407</v>
      </c>
      <c r="E1038" s="18" t="n">
        <f aca="false">ROUND((D1038-$D$5)*86400,2)</f>
        <v>26.53</v>
      </c>
      <c r="F1038" s="12" t="n">
        <v>2127</v>
      </c>
      <c r="G1038" s="11" t="str">
        <f aca="false">IF(INDEX(選手一覧!$D$7:$D$2738,$F1038)="","",INDEX(選手一覧!$D$7:$D$2738,$F1038))</f>
        <v/>
      </c>
      <c r="H1038" s="12" t="str">
        <f aca="false">IF(INDEX(選手一覧!$E$7:$E$2738,$F1038)="","",INDEX(選手一覧!$E$7:$E$2738,$F1038))</f>
        <v/>
      </c>
      <c r="I1038" s="11" t="str">
        <f aca="false">IF(INDEX(選手一覧!$F$7:$F$2738,$F1038)="","",INDEX(選手一覧!$F$7:$F$2738,$F1038))</f>
        <v/>
      </c>
      <c r="J1038" s="12" t="str">
        <f aca="false">IF(INDEX(選手一覧!$G$7:$G$2738,$F1038)="","",INDEX(選手一覧!$G$7:$G$2738,$F1038))</f>
        <v/>
      </c>
    </row>
    <row r="1039" customFormat="false" ht="15" hidden="false" customHeight="false" outlineLevel="0" collapsed="false">
      <c r="A1039" s="12" t="n">
        <v>1035</v>
      </c>
      <c r="B1039" s="10" t="s">
        <v>3040</v>
      </c>
      <c r="C1039" s="10" t="s">
        <v>286</v>
      </c>
      <c r="D1039" s="11" t="n">
        <v>0.00291157407407407</v>
      </c>
      <c r="E1039" s="18" t="n">
        <f aca="false">ROUND((D1039-$D$5)*86400,2)</f>
        <v>26.53</v>
      </c>
      <c r="F1039" s="12" t="n">
        <v>2130</v>
      </c>
      <c r="G1039" s="11" t="str">
        <f aca="false">IF(INDEX(選手一覧!$D$7:$D$2738,$F1039)="","",INDEX(選手一覧!$D$7:$D$2738,$F1039))</f>
        <v/>
      </c>
      <c r="H1039" s="12" t="str">
        <f aca="false">IF(INDEX(選手一覧!$E$7:$E$2738,$F1039)="","",INDEX(選手一覧!$E$7:$E$2738,$F1039))</f>
        <v/>
      </c>
      <c r="I1039" s="11" t="str">
        <f aca="false">IF(INDEX(選手一覧!$F$7:$F$2738,$F1039)="","",INDEX(選手一覧!$F$7:$F$2738,$F1039))</f>
        <v/>
      </c>
      <c r="J1039" s="12" t="str">
        <f aca="false">IF(INDEX(選手一覧!$G$7:$G$2738,$F1039)="","",INDEX(選手一覧!$G$7:$G$2738,$F1039))</f>
        <v/>
      </c>
    </row>
    <row r="1040" customFormat="false" ht="15" hidden="false" customHeight="false" outlineLevel="0" collapsed="false">
      <c r="A1040" s="12" t="n">
        <v>1036</v>
      </c>
      <c r="B1040" s="10" t="s">
        <v>3043</v>
      </c>
      <c r="C1040" s="10" t="s">
        <v>3044</v>
      </c>
      <c r="D1040" s="11" t="n">
        <v>0.00291180555555556</v>
      </c>
      <c r="E1040" s="18" t="n">
        <f aca="false">ROUND((D1040-$D$5)*86400,2)</f>
        <v>26.55</v>
      </c>
      <c r="F1040" s="12" t="n">
        <v>2133</v>
      </c>
      <c r="G1040" s="11" t="str">
        <f aca="false">IF(INDEX(選手一覧!$D$7:$D$2738,$F1040)="","",INDEX(選手一覧!$D$7:$D$2738,$F1040))</f>
        <v/>
      </c>
      <c r="H1040" s="12" t="str">
        <f aca="false">IF(INDEX(選手一覧!$E$7:$E$2738,$F1040)="","",INDEX(選手一覧!$E$7:$E$2738,$F1040))</f>
        <v/>
      </c>
      <c r="I1040" s="11" t="str">
        <f aca="false">IF(INDEX(選手一覧!$F$7:$F$2738,$F1040)="","",INDEX(選手一覧!$F$7:$F$2738,$F1040))</f>
        <v/>
      </c>
      <c r="J1040" s="12" t="str">
        <f aca="false">IF(INDEX(選手一覧!$G$7:$G$2738,$F1040)="","",INDEX(選手一覧!$G$7:$G$2738,$F1040))</f>
        <v/>
      </c>
    </row>
    <row r="1041" customFormat="false" ht="15" hidden="false" customHeight="false" outlineLevel="0" collapsed="false">
      <c r="A1041" s="12" t="n">
        <v>1037</v>
      </c>
      <c r="B1041" s="10" t="s">
        <v>3046</v>
      </c>
      <c r="C1041" s="10" t="s">
        <v>1038</v>
      </c>
      <c r="D1041" s="11" t="n">
        <v>0.00291180555555556</v>
      </c>
      <c r="E1041" s="18" t="n">
        <f aca="false">ROUND((D1041-$D$5)*86400,2)</f>
        <v>26.55</v>
      </c>
      <c r="F1041" s="12" t="n">
        <v>2135</v>
      </c>
      <c r="G1041" s="11" t="str">
        <f aca="false">IF(INDEX(選手一覧!$D$7:$D$2738,$F1041)="","",INDEX(選手一覧!$D$7:$D$2738,$F1041))</f>
        <v/>
      </c>
      <c r="H1041" s="12" t="str">
        <f aca="false">IF(INDEX(選手一覧!$E$7:$E$2738,$F1041)="","",INDEX(選手一覧!$E$7:$E$2738,$F1041))</f>
        <v/>
      </c>
      <c r="I1041" s="11" t="str">
        <f aca="false">IF(INDEX(選手一覧!$F$7:$F$2738,$F1041)="","",INDEX(選手一覧!$F$7:$F$2738,$F1041))</f>
        <v/>
      </c>
      <c r="J1041" s="12" t="str">
        <f aca="false">IF(INDEX(選手一覧!$G$7:$G$2738,$F1041)="","",INDEX(選手一覧!$G$7:$G$2738,$F1041))</f>
        <v/>
      </c>
    </row>
    <row r="1042" customFormat="false" ht="15" hidden="false" customHeight="false" outlineLevel="0" collapsed="false">
      <c r="A1042" s="12" t="n">
        <v>1038</v>
      </c>
      <c r="B1042" s="10" t="s">
        <v>864</v>
      </c>
      <c r="C1042" s="10" t="s">
        <v>865</v>
      </c>
      <c r="D1042" s="11" t="n">
        <v>0.00291215277777778</v>
      </c>
      <c r="E1042" s="18" t="n">
        <f aca="false">ROUND((D1042-$D$5)*86400,2)</f>
        <v>26.58</v>
      </c>
      <c r="F1042" s="12" t="n">
        <v>565</v>
      </c>
      <c r="G1042" s="11" t="str">
        <f aca="false">IF(INDEX(選手一覧!$D$7:$D$2738,$F1042)="","",INDEX(選手一覧!$D$7:$D$2738,$F1042))</f>
        <v/>
      </c>
      <c r="H1042" s="12" t="str">
        <f aca="false">IF(INDEX(選手一覧!$E$7:$E$2738,$F1042)="","",INDEX(選手一覧!$E$7:$E$2738,$F1042))</f>
        <v/>
      </c>
      <c r="I1042" s="11" t="n">
        <f aca="false">IF(INDEX(選手一覧!$F$7:$F$2738,$F1042)="","",INDEX(選手一覧!$F$7:$F$2738,$F1042))</f>
        <v>0.00689710648148148</v>
      </c>
      <c r="J1042" s="12" t="n">
        <f aca="false">IF(INDEX(選手一覧!$G$7:$G$2738,$F1042)="","",INDEX(選手一覧!$G$7:$G$2738,$F1042))</f>
        <v>238</v>
      </c>
    </row>
    <row r="1043" customFormat="false" ht="15" hidden="false" customHeight="false" outlineLevel="0" collapsed="false">
      <c r="A1043" s="12" t="n">
        <v>1039</v>
      </c>
      <c r="B1043" s="10" t="s">
        <v>3050</v>
      </c>
      <c r="C1043" s="10" t="s">
        <v>3051</v>
      </c>
      <c r="D1043" s="11" t="n">
        <v>0.00291226851851852</v>
      </c>
      <c r="E1043" s="18" t="n">
        <f aca="false">ROUND((D1043-$D$5)*86400,2)</f>
        <v>26.59</v>
      </c>
      <c r="F1043" s="12" t="n">
        <v>2139</v>
      </c>
      <c r="G1043" s="11" t="str">
        <f aca="false">IF(INDEX(選手一覧!$D$7:$D$2738,$F1043)="","",INDEX(選手一覧!$D$7:$D$2738,$F1043))</f>
        <v/>
      </c>
      <c r="H1043" s="12" t="str">
        <f aca="false">IF(INDEX(選手一覧!$E$7:$E$2738,$F1043)="","",INDEX(選手一覧!$E$7:$E$2738,$F1043))</f>
        <v/>
      </c>
      <c r="I1043" s="11" t="str">
        <f aca="false">IF(INDEX(選手一覧!$F$7:$F$2738,$F1043)="","",INDEX(選手一覧!$F$7:$F$2738,$F1043))</f>
        <v/>
      </c>
      <c r="J1043" s="12" t="str">
        <f aca="false">IF(INDEX(選手一覧!$G$7:$G$2738,$F1043)="","",INDEX(選手一覧!$G$7:$G$2738,$F1043))</f>
        <v/>
      </c>
    </row>
    <row r="1044" customFormat="false" ht="15" hidden="false" customHeight="false" outlineLevel="0" collapsed="false">
      <c r="A1044" s="12" t="n">
        <v>1040</v>
      </c>
      <c r="B1044" s="10" t="s">
        <v>2543</v>
      </c>
      <c r="C1044" s="10" t="s">
        <v>242</v>
      </c>
      <c r="D1044" s="11" t="n">
        <v>0.0029125</v>
      </c>
      <c r="E1044" s="18" t="n">
        <f aca="false">ROUND((D1044-$D$5)*86400,2)</f>
        <v>26.61</v>
      </c>
      <c r="F1044" s="12" t="n">
        <v>1776</v>
      </c>
      <c r="G1044" s="11" t="n">
        <f aca="false">IF(INDEX(選手一覧!$D$7:$D$2738,$F1044)="","",INDEX(選手一覧!$D$7:$D$2738,$F1044))</f>
        <v>0.0108604166666667</v>
      </c>
      <c r="H1044" s="12" t="n">
        <f aca="false">IF(INDEX(選手一覧!$E$7:$E$2738,$F1044)="","",INDEX(選手一覧!$E$7:$E$2738,$F1044))</f>
        <v>849</v>
      </c>
      <c r="I1044" s="11" t="str">
        <f aca="false">IF(INDEX(選手一覧!$F$7:$F$2738,$F1044)="","",INDEX(選手一覧!$F$7:$F$2738,$F1044))</f>
        <v/>
      </c>
      <c r="J1044" s="12" t="str">
        <f aca="false">IF(INDEX(選手一覧!$G$7:$G$2738,$F1044)="","",INDEX(選手一覧!$G$7:$G$2738,$F1044))</f>
        <v/>
      </c>
    </row>
    <row r="1045" customFormat="false" ht="15" hidden="false" customHeight="false" outlineLevel="0" collapsed="false">
      <c r="A1045" s="12" t="n">
        <v>1041</v>
      </c>
      <c r="B1045" s="10" t="s">
        <v>3055</v>
      </c>
      <c r="C1045" s="10" t="s">
        <v>179</v>
      </c>
      <c r="D1045" s="11" t="n">
        <v>0.00291273148148148</v>
      </c>
      <c r="E1045" s="18" t="n">
        <f aca="false">ROUND((D1045-$D$5)*86400,2)</f>
        <v>26.63</v>
      </c>
      <c r="F1045" s="12" t="n">
        <v>2142</v>
      </c>
      <c r="G1045" s="11" t="str">
        <f aca="false">IF(INDEX(選手一覧!$D$7:$D$2738,$F1045)="","",INDEX(選手一覧!$D$7:$D$2738,$F1045))</f>
        <v/>
      </c>
      <c r="H1045" s="12" t="str">
        <f aca="false">IF(INDEX(選手一覧!$E$7:$E$2738,$F1045)="","",INDEX(選手一覧!$E$7:$E$2738,$F1045))</f>
        <v/>
      </c>
      <c r="I1045" s="11" t="str">
        <f aca="false">IF(INDEX(選手一覧!$F$7:$F$2738,$F1045)="","",INDEX(選手一覧!$F$7:$F$2738,$F1045))</f>
        <v/>
      </c>
      <c r="J1045" s="12" t="str">
        <f aca="false">IF(INDEX(選手一覧!$G$7:$G$2738,$F1045)="","",INDEX(選手一覧!$G$7:$G$2738,$F1045))</f>
        <v/>
      </c>
    </row>
    <row r="1046" customFormat="false" ht="15" hidden="false" customHeight="false" outlineLevel="0" collapsed="false">
      <c r="A1046" s="12" t="n">
        <v>1042</v>
      </c>
      <c r="B1046" s="10" t="s">
        <v>1734</v>
      </c>
      <c r="C1046" s="10" t="s">
        <v>103</v>
      </c>
      <c r="D1046" s="11" t="n">
        <v>0.00291284722222222</v>
      </c>
      <c r="E1046" s="18" t="n">
        <f aca="false">ROUND((D1046-$D$5)*86400,2)</f>
        <v>26.64</v>
      </c>
      <c r="F1046" s="12" t="n">
        <v>1196</v>
      </c>
      <c r="G1046" s="11" t="n">
        <f aca="false">IF(INDEX(選手一覧!$D$7:$D$2738,$F1046)="","",INDEX(選手一覧!$D$7:$D$2738,$F1046))</f>
        <v>0.0106704861111111</v>
      </c>
      <c r="H1046" s="12" t="n">
        <f aca="false">IF(INDEX(選手一覧!$E$7:$E$2738,$F1046)="","",INDEX(選手一覧!$E$7:$E$2738,$F1046))</f>
        <v>549</v>
      </c>
      <c r="I1046" s="11" t="n">
        <f aca="false">IF(INDEX(選手一覧!$F$7:$F$2738,$F1046)="","",INDEX(選手一覧!$F$7:$F$2738,$F1046))</f>
        <v>0.00736342592592593</v>
      </c>
      <c r="J1046" s="12" t="n">
        <f aca="false">IF(INDEX(選手一覧!$G$7:$G$2738,$F1046)="","",INDEX(選手一覧!$G$7:$G$2738,$F1046))</f>
        <v>725</v>
      </c>
    </row>
    <row r="1047" customFormat="false" ht="15" hidden="false" customHeight="false" outlineLevel="0" collapsed="false">
      <c r="A1047" s="12" t="n">
        <v>1043</v>
      </c>
      <c r="B1047" s="10" t="s">
        <v>1771</v>
      </c>
      <c r="C1047" s="10" t="s">
        <v>1772</v>
      </c>
      <c r="D1047" s="11" t="n">
        <v>0.00291319444444444</v>
      </c>
      <c r="E1047" s="18" t="n">
        <f aca="false">ROUND((D1047-$D$5)*86400,2)</f>
        <v>26.67</v>
      </c>
      <c r="F1047" s="12" t="n">
        <v>1220</v>
      </c>
      <c r="G1047" s="11" t="n">
        <f aca="false">IF(INDEX(選手一覧!$D$7:$D$2738,$F1047)="","",INDEX(選手一覧!$D$7:$D$2738,$F1047))</f>
        <v>0.0106869212962963</v>
      </c>
      <c r="H1047" s="12" t="n">
        <f aca="false">IF(INDEX(選手一覧!$E$7:$E$2738,$F1047)="","",INDEX(選手一覧!$E$7:$E$2738,$F1047))</f>
        <v>562</v>
      </c>
      <c r="I1047" s="11" t="str">
        <f aca="false">IF(INDEX(選手一覧!$F$7:$F$2738,$F1047)="","",INDEX(選手一覧!$F$7:$F$2738,$F1047))</f>
        <v/>
      </c>
      <c r="J1047" s="12" t="str">
        <f aca="false">IF(INDEX(選手一覧!$G$7:$G$2738,$F1047)="","",INDEX(選手一覧!$G$7:$G$2738,$F1047))</f>
        <v/>
      </c>
    </row>
    <row r="1048" customFormat="false" ht="15" hidden="false" customHeight="false" outlineLevel="0" collapsed="false">
      <c r="A1048" s="12" t="n">
        <v>1044</v>
      </c>
      <c r="B1048" s="10" t="s">
        <v>3062</v>
      </c>
      <c r="C1048" s="10" t="s">
        <v>1183</v>
      </c>
      <c r="D1048" s="11" t="n">
        <v>0.00291331018518519</v>
      </c>
      <c r="E1048" s="18" t="n">
        <f aca="false">ROUND((D1048-$D$5)*86400,2)</f>
        <v>26.68</v>
      </c>
      <c r="F1048" s="12" t="n">
        <v>2148</v>
      </c>
      <c r="G1048" s="11" t="str">
        <f aca="false">IF(INDEX(選手一覧!$D$7:$D$2738,$F1048)="","",INDEX(選手一覧!$D$7:$D$2738,$F1048))</f>
        <v/>
      </c>
      <c r="H1048" s="12" t="str">
        <f aca="false">IF(INDEX(選手一覧!$E$7:$E$2738,$F1048)="","",INDEX(選手一覧!$E$7:$E$2738,$F1048))</f>
        <v/>
      </c>
      <c r="I1048" s="11" t="str">
        <f aca="false">IF(INDEX(選手一覧!$F$7:$F$2738,$F1048)="","",INDEX(選手一覧!$F$7:$F$2738,$F1048))</f>
        <v/>
      </c>
      <c r="J1048" s="12" t="str">
        <f aca="false">IF(INDEX(選手一覧!$G$7:$G$2738,$F1048)="","",INDEX(選手一覧!$G$7:$G$2738,$F1048))</f>
        <v/>
      </c>
    </row>
    <row r="1049" customFormat="false" ht="15" hidden="false" customHeight="false" outlineLevel="0" collapsed="false">
      <c r="A1049" s="12" t="n">
        <v>1045</v>
      </c>
      <c r="B1049" s="10" t="s">
        <v>3066</v>
      </c>
      <c r="C1049" s="10" t="s">
        <v>2281</v>
      </c>
      <c r="D1049" s="11" t="n">
        <v>0.00291331018518519</v>
      </c>
      <c r="E1049" s="18" t="n">
        <f aca="false">ROUND((D1049-$D$5)*86400,2)</f>
        <v>26.68</v>
      </c>
      <c r="F1049" s="12" t="n">
        <v>2151</v>
      </c>
      <c r="G1049" s="11" t="str">
        <f aca="false">IF(INDEX(選手一覧!$D$7:$D$2738,$F1049)="","",INDEX(選手一覧!$D$7:$D$2738,$F1049))</f>
        <v/>
      </c>
      <c r="H1049" s="12" t="str">
        <f aca="false">IF(INDEX(選手一覧!$E$7:$E$2738,$F1049)="","",INDEX(選手一覧!$E$7:$E$2738,$F1049))</f>
        <v/>
      </c>
      <c r="I1049" s="11" t="str">
        <f aca="false">IF(INDEX(選手一覧!$F$7:$F$2738,$F1049)="","",INDEX(選手一覧!$F$7:$F$2738,$F1049))</f>
        <v/>
      </c>
      <c r="J1049" s="12" t="str">
        <f aca="false">IF(INDEX(選手一覧!$G$7:$G$2738,$F1049)="","",INDEX(選手一覧!$G$7:$G$2738,$F1049))</f>
        <v/>
      </c>
    </row>
    <row r="1050" customFormat="false" ht="15" hidden="false" customHeight="false" outlineLevel="0" collapsed="false">
      <c r="A1050" s="12" t="n">
        <v>1046</v>
      </c>
      <c r="B1050" s="10" t="s">
        <v>278</v>
      </c>
      <c r="C1050" s="10" t="s">
        <v>279</v>
      </c>
      <c r="D1050" s="11" t="n">
        <v>0.00291354166666667</v>
      </c>
      <c r="E1050" s="18" t="n">
        <f aca="false">ROUND((D1050-$D$5)*86400,2)</f>
        <v>26.7</v>
      </c>
      <c r="F1050" s="12" t="n">
        <v>155</v>
      </c>
      <c r="G1050" s="11" t="n">
        <f aca="false">IF(INDEX(選手一覧!$D$7:$D$2738,$F1050)="","",INDEX(選手一覧!$D$7:$D$2738,$F1050))</f>
        <v>0.010794212962963</v>
      </c>
      <c r="H1050" s="12" t="n">
        <f aca="false">IF(INDEX(選手一覧!$E$7:$E$2738,$F1050)="","",INDEX(選手一覧!$E$7:$E$2738,$F1050))</f>
        <v>733</v>
      </c>
      <c r="I1050" s="11" t="n">
        <f aca="false">IF(INDEX(選手一覧!$F$7:$F$2738,$F1050)="","",INDEX(選手一覧!$F$7:$F$2738,$F1050))</f>
        <v>0.00658078703703704</v>
      </c>
      <c r="J1050" s="12" t="n">
        <f aca="false">IF(INDEX(選手一覧!$G$7:$G$2738,$F1050)="","",INDEX(選手一覧!$G$7:$G$2738,$F1050))</f>
        <v>62</v>
      </c>
    </row>
    <row r="1051" customFormat="false" ht="15" hidden="false" customHeight="false" outlineLevel="0" collapsed="false">
      <c r="A1051" s="12" t="n">
        <v>1047</v>
      </c>
      <c r="B1051" s="10" t="s">
        <v>3072</v>
      </c>
      <c r="C1051" s="10" t="s">
        <v>616</v>
      </c>
      <c r="D1051" s="11" t="n">
        <v>0.00291365740740741</v>
      </c>
      <c r="E1051" s="18" t="n">
        <f aca="false">ROUND((D1051-$D$5)*86400,2)</f>
        <v>26.71</v>
      </c>
      <c r="F1051" s="12" t="n">
        <v>2155</v>
      </c>
      <c r="G1051" s="11" t="str">
        <f aca="false">IF(INDEX(選手一覧!$D$7:$D$2738,$F1051)="","",INDEX(選手一覧!$D$7:$D$2738,$F1051))</f>
        <v/>
      </c>
      <c r="H1051" s="12" t="str">
        <f aca="false">IF(INDEX(選手一覧!$E$7:$E$2738,$F1051)="","",INDEX(選手一覧!$E$7:$E$2738,$F1051))</f>
        <v/>
      </c>
      <c r="I1051" s="11" t="str">
        <f aca="false">IF(INDEX(選手一覧!$F$7:$F$2738,$F1051)="","",INDEX(選手一覧!$F$7:$F$2738,$F1051))</f>
        <v/>
      </c>
      <c r="J1051" s="12" t="str">
        <f aca="false">IF(INDEX(選手一覧!$G$7:$G$2738,$F1051)="","",INDEX(選手一覧!$G$7:$G$2738,$F1051))</f>
        <v/>
      </c>
    </row>
    <row r="1052" customFormat="false" ht="15" hidden="false" customHeight="false" outlineLevel="0" collapsed="false">
      <c r="A1052" s="12" t="n">
        <v>1048</v>
      </c>
      <c r="B1052" s="10" t="s">
        <v>1235</v>
      </c>
      <c r="C1052" s="10" t="s">
        <v>974</v>
      </c>
      <c r="D1052" s="11" t="n">
        <v>0.00291365740740741</v>
      </c>
      <c r="E1052" s="18" t="n">
        <f aca="false">ROUND((D1052-$D$5)*86400,2)</f>
        <v>26.71</v>
      </c>
      <c r="F1052" s="12" t="n">
        <v>838</v>
      </c>
      <c r="G1052" s="11" t="n">
        <f aca="false">IF(INDEX(選手一覧!$D$7:$D$2738,$F1052)="","",INDEX(選手一覧!$D$7:$D$2738,$F1052))</f>
        <v>0.0109949074074074</v>
      </c>
      <c r="H1052" s="12" t="n">
        <f aca="false">IF(INDEX(選手一覧!$E$7:$E$2738,$F1052)="","",INDEX(選手一覧!$E$7:$E$2738,$F1052))</f>
        <v>1088</v>
      </c>
      <c r="I1052" s="11" t="n">
        <f aca="false">IF(INDEX(選手一覧!$F$7:$F$2738,$F1052)="","",INDEX(選手一覧!$F$7:$F$2738,$F1052))</f>
        <v>0.00703831018518519</v>
      </c>
      <c r="J1052" s="12" t="n">
        <f aca="false">IF(INDEX(選手一覧!$G$7:$G$2738,$F1052)="","",INDEX(選手一覧!$G$7:$G$2738,$F1052))</f>
        <v>370</v>
      </c>
    </row>
    <row r="1053" customFormat="false" ht="15" hidden="false" customHeight="false" outlineLevel="0" collapsed="false">
      <c r="A1053" s="12" t="n">
        <v>1049</v>
      </c>
      <c r="B1053" s="10" t="s">
        <v>2246</v>
      </c>
      <c r="C1053" s="10" t="s">
        <v>226</v>
      </c>
      <c r="D1053" s="11" t="n">
        <v>0.00291377314814815</v>
      </c>
      <c r="E1053" s="18" t="n">
        <f aca="false">ROUND((D1053-$D$5)*86400,2)</f>
        <v>26.72</v>
      </c>
      <c r="F1053" s="12" t="n">
        <v>1554</v>
      </c>
      <c r="G1053" s="11" t="n">
        <f aca="false">IF(INDEX(選手一覧!$D$7:$D$2738,$F1053)="","",INDEX(選手一覧!$D$7:$D$2738,$F1053))</f>
        <v>0.0108009259259259</v>
      </c>
      <c r="H1053" s="12" t="n">
        <f aca="false">IF(INDEX(選手一覧!$E$7:$E$2738,$F1053)="","",INDEX(選手一覧!$E$7:$E$2738,$F1053))</f>
        <v>741</v>
      </c>
      <c r="I1053" s="11" t="str">
        <f aca="false">IF(INDEX(選手一覧!$F$7:$F$2738,$F1053)="","",INDEX(選手一覧!$F$7:$F$2738,$F1053))</f>
        <v/>
      </c>
      <c r="J1053" s="12" t="str">
        <f aca="false">IF(INDEX(選手一覧!$G$7:$G$2738,$F1053)="","",INDEX(選手一覧!$G$7:$G$2738,$F1053))</f>
        <v/>
      </c>
    </row>
    <row r="1054" customFormat="false" ht="15" hidden="false" customHeight="false" outlineLevel="0" collapsed="false">
      <c r="A1054" s="12" t="n">
        <v>1050</v>
      </c>
      <c r="B1054" s="10" t="s">
        <v>1236</v>
      </c>
      <c r="C1054" s="10" t="s">
        <v>382</v>
      </c>
      <c r="D1054" s="11" t="n">
        <v>0.00291388888888889</v>
      </c>
      <c r="E1054" s="18" t="n">
        <f aca="false">ROUND((D1054-$D$5)*86400,2)</f>
        <v>26.73</v>
      </c>
      <c r="F1054" s="12" t="n">
        <v>839</v>
      </c>
      <c r="G1054" s="11" t="n">
        <f aca="false">IF(INDEX(選手一覧!$D$7:$D$2738,$F1054)="","",INDEX(選手一覧!$D$7:$D$2738,$F1054))</f>
        <v>0.0106880787037037</v>
      </c>
      <c r="H1054" s="12" t="n">
        <f aca="false">IF(INDEX(選手一覧!$E$7:$E$2738,$F1054)="","",INDEX(選手一覧!$E$7:$E$2738,$F1054))</f>
        <v>565</v>
      </c>
      <c r="I1054" s="11" t="n">
        <f aca="false">IF(INDEX(選手一覧!$F$7:$F$2738,$F1054)="","",INDEX(選手一覧!$F$7:$F$2738,$F1054))</f>
        <v>0.00703842592592593</v>
      </c>
      <c r="J1054" s="12" t="n">
        <f aca="false">IF(INDEX(選手一覧!$G$7:$G$2738,$F1054)="","",INDEX(選手一覧!$G$7:$G$2738,$F1054))</f>
        <v>371</v>
      </c>
    </row>
    <row r="1055" customFormat="false" ht="15" hidden="false" customHeight="false" outlineLevel="0" collapsed="false">
      <c r="A1055" s="12" t="n">
        <v>1051</v>
      </c>
      <c r="B1055" s="10" t="s">
        <v>2419</v>
      </c>
      <c r="C1055" s="10" t="s">
        <v>195</v>
      </c>
      <c r="D1055" s="11" t="n">
        <v>0.00291412037037037</v>
      </c>
      <c r="E1055" s="18" t="n">
        <f aca="false">ROUND((D1055-$D$5)*86400,2)</f>
        <v>26.75</v>
      </c>
      <c r="F1055" s="12" t="n">
        <v>1683</v>
      </c>
      <c r="G1055" s="11" t="n">
        <f aca="false">IF(INDEX(選手一覧!$D$7:$D$2738,$F1055)="","",INDEX(選手一覧!$D$7:$D$2738,$F1055))</f>
        <v>0.0110979166666667</v>
      </c>
      <c r="H1055" s="12" t="n">
        <f aca="false">IF(INDEX(選手一覧!$E$7:$E$2738,$F1055)="","",INDEX(選手一覧!$E$7:$E$2738,$F1055))</f>
        <v>1268</v>
      </c>
      <c r="I1055" s="11" t="n">
        <f aca="false">IF(INDEX(選手一覧!$F$7:$F$2738,$F1055)="","",INDEX(選手一覧!$F$7:$F$2738,$F1055))</f>
        <v>0.00742951388888889</v>
      </c>
      <c r="J1055" s="12" t="n">
        <f aca="false">IF(INDEX(選手一覧!$G$7:$G$2738,$F1055)="","",INDEX(選手一覧!$G$7:$G$2738,$F1055))</f>
        <v>804</v>
      </c>
    </row>
    <row r="1056" customFormat="false" ht="15" hidden="false" customHeight="false" outlineLevel="0" collapsed="false">
      <c r="A1056" s="12" t="n">
        <v>1052</v>
      </c>
      <c r="B1056" s="10" t="s">
        <v>3087</v>
      </c>
      <c r="C1056" s="10" t="s">
        <v>3088</v>
      </c>
      <c r="D1056" s="11" t="n">
        <v>0.00291435185185185</v>
      </c>
      <c r="E1056" s="18" t="n">
        <f aca="false">ROUND((D1056-$D$5)*86400,2)</f>
        <v>26.77</v>
      </c>
      <c r="F1056" s="12" t="n">
        <v>2165</v>
      </c>
      <c r="G1056" s="11" t="str">
        <f aca="false">IF(INDEX(選手一覧!$D$7:$D$2738,$F1056)="","",INDEX(選手一覧!$D$7:$D$2738,$F1056))</f>
        <v/>
      </c>
      <c r="H1056" s="12" t="str">
        <f aca="false">IF(INDEX(選手一覧!$E$7:$E$2738,$F1056)="","",INDEX(選手一覧!$E$7:$E$2738,$F1056))</f>
        <v/>
      </c>
      <c r="I1056" s="11" t="str">
        <f aca="false">IF(INDEX(選手一覧!$F$7:$F$2738,$F1056)="","",INDEX(選手一覧!$F$7:$F$2738,$F1056))</f>
        <v/>
      </c>
      <c r="J1056" s="12" t="str">
        <f aca="false">IF(INDEX(選手一覧!$G$7:$G$2738,$F1056)="","",INDEX(選手一覧!$G$7:$G$2738,$F1056))</f>
        <v/>
      </c>
    </row>
    <row r="1057" customFormat="false" ht="15" hidden="false" customHeight="false" outlineLevel="0" collapsed="false">
      <c r="A1057" s="12" t="n">
        <v>1053</v>
      </c>
      <c r="B1057" s="10" t="s">
        <v>2472</v>
      </c>
      <c r="C1057" s="10" t="s">
        <v>1628</v>
      </c>
      <c r="D1057" s="11" t="n">
        <v>0.00291481481481482</v>
      </c>
      <c r="E1057" s="18" t="n">
        <f aca="false">ROUND((D1057-$D$5)*86400,2)</f>
        <v>26.81</v>
      </c>
      <c r="F1057" s="12" t="n">
        <v>1722</v>
      </c>
      <c r="G1057" s="11" t="n">
        <f aca="false">IF(INDEX(選手一覧!$D$7:$D$2738,$F1057)="","",INDEX(選手一覧!$D$7:$D$2738,$F1057))</f>
        <v>0.0108440972222222</v>
      </c>
      <c r="H1057" s="12" t="n">
        <f aca="false">IF(INDEX(選手一覧!$E$7:$E$2738,$F1057)="","",INDEX(選手一覧!$E$7:$E$2738,$F1057))</f>
        <v>824</v>
      </c>
      <c r="I1057" s="11" t="str">
        <f aca="false">IF(INDEX(選手一覧!$F$7:$F$2738,$F1057)="","",INDEX(選手一覧!$F$7:$F$2738,$F1057))</f>
        <v/>
      </c>
      <c r="J1057" s="12" t="str">
        <f aca="false">IF(INDEX(選手一覧!$G$7:$G$2738,$F1057)="","",INDEX(選手一覧!$G$7:$G$2738,$F1057))</f>
        <v/>
      </c>
    </row>
    <row r="1058" customFormat="false" ht="15" hidden="false" customHeight="false" outlineLevel="0" collapsed="false">
      <c r="A1058" s="12" t="n">
        <v>1054</v>
      </c>
      <c r="B1058" s="10" t="s">
        <v>3091</v>
      </c>
      <c r="C1058" s="10" t="s">
        <v>2114</v>
      </c>
      <c r="D1058" s="11" t="n">
        <v>0.00291493055555556</v>
      </c>
      <c r="E1058" s="18" t="n">
        <f aca="false">ROUND((D1058-$D$5)*86400,2)</f>
        <v>26.82</v>
      </c>
      <c r="F1058" s="12" t="n">
        <v>2168</v>
      </c>
      <c r="G1058" s="11" t="str">
        <f aca="false">IF(INDEX(選手一覧!$D$7:$D$2738,$F1058)="","",INDEX(選手一覧!$D$7:$D$2738,$F1058))</f>
        <v/>
      </c>
      <c r="H1058" s="12" t="str">
        <f aca="false">IF(INDEX(選手一覧!$E$7:$E$2738,$F1058)="","",INDEX(選手一覧!$E$7:$E$2738,$F1058))</f>
        <v/>
      </c>
      <c r="I1058" s="11" t="str">
        <f aca="false">IF(INDEX(選手一覧!$F$7:$F$2738,$F1058)="","",INDEX(選手一覧!$F$7:$F$2738,$F1058))</f>
        <v/>
      </c>
      <c r="J1058" s="12" t="str">
        <f aca="false">IF(INDEX(選手一覧!$G$7:$G$2738,$F1058)="","",INDEX(選手一覧!$G$7:$G$2738,$F1058))</f>
        <v/>
      </c>
    </row>
    <row r="1059" customFormat="false" ht="15" hidden="false" customHeight="false" outlineLevel="0" collapsed="false">
      <c r="A1059" s="12" t="n">
        <v>1055</v>
      </c>
      <c r="B1059" s="10" t="s">
        <v>1058</v>
      </c>
      <c r="C1059" s="10" t="s">
        <v>1059</v>
      </c>
      <c r="D1059" s="11" t="n">
        <v>0.00291550925925926</v>
      </c>
      <c r="E1059" s="18" t="n">
        <f aca="false">ROUND((D1059-$D$5)*86400,2)</f>
        <v>26.87</v>
      </c>
      <c r="F1059" s="12" t="n">
        <v>710</v>
      </c>
      <c r="G1059" s="11" t="n">
        <f aca="false">IF(INDEX(選手一覧!$D$7:$D$2738,$F1059)="","",INDEX(選手一覧!$D$7:$D$2738,$F1059))</f>
        <v>0.01098125</v>
      </c>
      <c r="H1059" s="12" t="n">
        <f aca="false">IF(INDEX(選手一覧!$E$7:$E$2738,$F1059)="","",INDEX(選手一覧!$E$7:$E$2738,$F1059))</f>
        <v>1060</v>
      </c>
      <c r="I1059" s="11" t="n">
        <f aca="false">IF(INDEX(選手一覧!$F$7:$F$2738,$F1059)="","",INDEX(選手一覧!$F$7:$F$2738,$F1059))</f>
        <v>0.00697002314814815</v>
      </c>
      <c r="J1059" s="12" t="n">
        <f aca="false">IF(INDEX(選手一覧!$G$7:$G$2738,$F1059)="","",INDEX(選手一覧!$G$7:$G$2738,$F1059))</f>
        <v>305</v>
      </c>
    </row>
    <row r="1060" customFormat="false" ht="15" hidden="false" customHeight="false" outlineLevel="0" collapsed="false">
      <c r="A1060" s="12" t="n">
        <v>1056</v>
      </c>
      <c r="B1060" s="10" t="s">
        <v>1367</v>
      </c>
      <c r="C1060" s="10" t="s">
        <v>1368</v>
      </c>
      <c r="D1060" s="11" t="n">
        <v>0.00291550925925926</v>
      </c>
      <c r="E1060" s="18" t="n">
        <f aca="false">ROUND((D1060-$D$5)*86400,2)</f>
        <v>26.87</v>
      </c>
      <c r="F1060" s="12" t="n">
        <v>930</v>
      </c>
      <c r="G1060" s="11" t="n">
        <f aca="false">IF(INDEX(選手一覧!$D$7:$D$2738,$F1060)="","",INDEX(選手一覧!$D$7:$D$2738,$F1060))</f>
        <v>0.0105638888888889</v>
      </c>
      <c r="H1060" s="12" t="n">
        <f aca="false">IF(INDEX(選手一覧!$E$7:$E$2738,$F1060)="","",INDEX(選手一覧!$E$7:$E$2738,$F1060))</f>
        <v>416</v>
      </c>
      <c r="I1060" s="11" t="str">
        <f aca="false">IF(INDEX(選手一覧!$F$7:$F$2738,$F1060)="","",INDEX(選手一覧!$F$7:$F$2738,$F1060))</f>
        <v/>
      </c>
      <c r="J1060" s="12" t="str">
        <f aca="false">IF(INDEX(選手一覧!$G$7:$G$2738,$F1060)="","",INDEX(選手一覧!$G$7:$G$2738,$F1060))</f>
        <v/>
      </c>
    </row>
    <row r="1061" customFormat="false" ht="15" hidden="false" customHeight="false" outlineLevel="0" collapsed="false">
      <c r="A1061" s="12" t="n">
        <v>1057</v>
      </c>
      <c r="B1061" s="10" t="s">
        <v>2845</v>
      </c>
      <c r="C1061" s="10" t="s">
        <v>2846</v>
      </c>
      <c r="D1061" s="11" t="n">
        <v>0.002915625</v>
      </c>
      <c r="E1061" s="18" t="n">
        <f aca="false">ROUND((D1061-$D$5)*86400,2)</f>
        <v>26.88</v>
      </c>
      <c r="F1061" s="12" t="n">
        <v>1992</v>
      </c>
      <c r="G1061" s="11" t="n">
        <f aca="false">IF(INDEX(選手一覧!$D$7:$D$2738,$F1061)="","",INDEX(選手一覧!$D$7:$D$2738,$F1061))</f>
        <v>0.0109290509259259</v>
      </c>
      <c r="H1061" s="12" t="n">
        <f aca="false">IF(INDEX(選手一覧!$E$7:$E$2738,$F1061)="","",INDEX(選手一覧!$E$7:$E$2738,$F1061))</f>
        <v>965</v>
      </c>
      <c r="I1061" s="11" t="str">
        <f aca="false">IF(INDEX(選手一覧!$F$7:$F$2738,$F1061)="","",INDEX(選手一覧!$F$7:$F$2738,$F1061))</f>
        <v/>
      </c>
      <c r="J1061" s="12" t="str">
        <f aca="false">IF(INDEX(選手一覧!$G$7:$G$2738,$F1061)="","",INDEX(選手一覧!$G$7:$G$2738,$F1061))</f>
        <v/>
      </c>
    </row>
    <row r="1062" customFormat="false" ht="15" hidden="false" customHeight="false" outlineLevel="0" collapsed="false">
      <c r="A1062" s="12" t="n">
        <v>1058</v>
      </c>
      <c r="B1062" s="10" t="s">
        <v>3096</v>
      </c>
      <c r="C1062" s="10" t="s">
        <v>744</v>
      </c>
      <c r="D1062" s="11" t="n">
        <v>0.00291597222222222</v>
      </c>
      <c r="E1062" s="18" t="n">
        <f aca="false">ROUND((D1062-$D$5)*86400,2)</f>
        <v>26.91</v>
      </c>
      <c r="F1062" s="12" t="n">
        <v>2173</v>
      </c>
      <c r="G1062" s="11" t="str">
        <f aca="false">IF(INDEX(選手一覧!$D$7:$D$2738,$F1062)="","",INDEX(選手一覧!$D$7:$D$2738,$F1062))</f>
        <v/>
      </c>
      <c r="H1062" s="12" t="str">
        <f aca="false">IF(INDEX(選手一覧!$E$7:$E$2738,$F1062)="","",INDEX(選手一覧!$E$7:$E$2738,$F1062))</f>
        <v/>
      </c>
      <c r="I1062" s="11" t="str">
        <f aca="false">IF(INDEX(選手一覧!$F$7:$F$2738,$F1062)="","",INDEX(選手一覧!$F$7:$F$2738,$F1062))</f>
        <v/>
      </c>
      <c r="J1062" s="12" t="str">
        <f aca="false">IF(INDEX(選手一覧!$G$7:$G$2738,$F1062)="","",INDEX(選手一覧!$G$7:$G$2738,$F1062))</f>
        <v/>
      </c>
    </row>
    <row r="1063" customFormat="false" ht="15" hidden="false" customHeight="false" outlineLevel="0" collapsed="false">
      <c r="A1063" s="12" t="n">
        <v>1059</v>
      </c>
      <c r="B1063" s="10" t="s">
        <v>368</v>
      </c>
      <c r="C1063" s="10" t="s">
        <v>69</v>
      </c>
      <c r="D1063" s="11" t="n">
        <v>0.00291608796296296</v>
      </c>
      <c r="E1063" s="18" t="n">
        <f aca="false">ROUND((D1063-$D$5)*86400,2)</f>
        <v>26.92</v>
      </c>
      <c r="F1063" s="12" t="n">
        <v>219</v>
      </c>
      <c r="G1063" s="11" t="n">
        <f aca="false">IF(INDEX(選手一覧!$D$7:$D$2738,$F1063)="","",INDEX(選手一覧!$D$7:$D$2738,$F1063))</f>
        <v>0.0107229166666667</v>
      </c>
      <c r="H1063" s="12" t="n">
        <f aca="false">IF(INDEX(選手一覧!$E$7:$E$2738,$F1063)="","",INDEX(選手一覧!$E$7:$E$2738,$F1063))</f>
        <v>617</v>
      </c>
      <c r="I1063" s="11" t="n">
        <f aca="false">IF(INDEX(選手一覧!$F$7:$F$2738,$F1063)="","",INDEX(選手一覧!$F$7:$F$2738,$F1063))</f>
        <v>0.00666805555555556</v>
      </c>
      <c r="J1063" s="12" t="n">
        <f aca="false">IF(INDEX(選手一覧!$G$7:$G$2738,$F1063)="","",INDEX(選手一覧!$G$7:$G$2738,$F1063))</f>
        <v>91</v>
      </c>
    </row>
    <row r="1064" customFormat="false" ht="15" hidden="false" customHeight="false" outlineLevel="0" collapsed="false">
      <c r="A1064" s="12" t="n">
        <v>1060</v>
      </c>
      <c r="B1064" s="10" t="s">
        <v>1927</v>
      </c>
      <c r="C1064" s="10" t="s">
        <v>616</v>
      </c>
      <c r="D1064" s="11" t="n">
        <v>0.0029162037037037</v>
      </c>
      <c r="E1064" s="18" t="n">
        <f aca="false">ROUND((D1064-$D$5)*86400,2)</f>
        <v>26.93</v>
      </c>
      <c r="F1064" s="12" t="n">
        <v>1324</v>
      </c>
      <c r="G1064" s="11" t="n">
        <f aca="false">IF(INDEX(選手一覧!$D$7:$D$2738,$F1064)="","",INDEX(選手一覧!$D$7:$D$2738,$F1064))</f>
        <v>0.0107231481481482</v>
      </c>
      <c r="H1064" s="12" t="n">
        <f aca="false">IF(INDEX(選手一覧!$E$7:$E$2738,$F1064)="","",INDEX(選手一覧!$E$7:$E$2738,$F1064))</f>
        <v>618</v>
      </c>
      <c r="I1064" s="11" t="n">
        <f aca="false">IF(INDEX(選手一覧!$F$7:$F$2738,$F1064)="","",INDEX(選手一覧!$F$7:$F$2738,$F1064))</f>
        <v>0.00752777777777778</v>
      </c>
      <c r="J1064" s="12" t="n">
        <f aca="false">IF(INDEX(選手一覧!$G$7:$G$2738,$F1064)="","",INDEX(選手一覧!$G$7:$G$2738,$F1064))</f>
        <v>928</v>
      </c>
    </row>
    <row r="1065" customFormat="false" ht="15" hidden="false" customHeight="false" outlineLevel="0" collapsed="false">
      <c r="A1065" s="12" t="n">
        <v>1061</v>
      </c>
      <c r="B1065" s="10" t="s">
        <v>3102</v>
      </c>
      <c r="C1065" s="10" t="s">
        <v>3103</v>
      </c>
      <c r="D1065" s="11" t="n">
        <v>0.00291631944444444</v>
      </c>
      <c r="E1065" s="18" t="n">
        <f aca="false">ROUND((D1065-$D$5)*86400,2)</f>
        <v>26.94</v>
      </c>
      <c r="F1065" s="12" t="n">
        <v>2178</v>
      </c>
      <c r="G1065" s="11" t="str">
        <f aca="false">IF(INDEX(選手一覧!$D$7:$D$2738,$F1065)="","",INDEX(選手一覧!$D$7:$D$2738,$F1065))</f>
        <v/>
      </c>
      <c r="H1065" s="12" t="str">
        <f aca="false">IF(INDEX(選手一覧!$E$7:$E$2738,$F1065)="","",INDEX(選手一覧!$E$7:$E$2738,$F1065))</f>
        <v/>
      </c>
      <c r="I1065" s="11" t="str">
        <f aca="false">IF(INDEX(選手一覧!$F$7:$F$2738,$F1065)="","",INDEX(選手一覧!$F$7:$F$2738,$F1065))</f>
        <v/>
      </c>
      <c r="J1065" s="12" t="str">
        <f aca="false">IF(INDEX(選手一覧!$G$7:$G$2738,$F1065)="","",INDEX(選手一覧!$G$7:$G$2738,$F1065))</f>
        <v/>
      </c>
    </row>
    <row r="1066" customFormat="false" ht="15" hidden="false" customHeight="false" outlineLevel="0" collapsed="false">
      <c r="A1066" s="12" t="n">
        <v>1062</v>
      </c>
      <c r="B1066" s="10" t="s">
        <v>3105</v>
      </c>
      <c r="C1066" s="10" t="s">
        <v>3004</v>
      </c>
      <c r="D1066" s="11" t="n">
        <v>0.00291631944444444</v>
      </c>
      <c r="E1066" s="18" t="n">
        <f aca="false">ROUND((D1066-$D$5)*86400,2)</f>
        <v>26.94</v>
      </c>
      <c r="F1066" s="12" t="n">
        <v>2180</v>
      </c>
      <c r="G1066" s="11" t="str">
        <f aca="false">IF(INDEX(選手一覧!$D$7:$D$2738,$F1066)="","",INDEX(選手一覧!$D$7:$D$2738,$F1066))</f>
        <v/>
      </c>
      <c r="H1066" s="12" t="str">
        <f aca="false">IF(INDEX(選手一覧!$E$7:$E$2738,$F1066)="","",INDEX(選手一覧!$E$7:$E$2738,$F1066))</f>
        <v/>
      </c>
      <c r="I1066" s="11" t="str">
        <f aca="false">IF(INDEX(選手一覧!$F$7:$F$2738,$F1066)="","",INDEX(選手一覧!$F$7:$F$2738,$F1066))</f>
        <v/>
      </c>
      <c r="J1066" s="12" t="str">
        <f aca="false">IF(INDEX(選手一覧!$G$7:$G$2738,$F1066)="","",INDEX(選手一覧!$G$7:$G$2738,$F1066))</f>
        <v/>
      </c>
    </row>
    <row r="1067" customFormat="false" ht="15" hidden="false" customHeight="false" outlineLevel="0" collapsed="false">
      <c r="A1067" s="12" t="n">
        <v>1063</v>
      </c>
      <c r="B1067" s="10" t="s">
        <v>940</v>
      </c>
      <c r="C1067" s="10" t="s">
        <v>171</v>
      </c>
      <c r="D1067" s="11" t="n">
        <v>0.00291655092592593</v>
      </c>
      <c r="E1067" s="18" t="n">
        <f aca="false">ROUND((D1067-$D$5)*86400,2)</f>
        <v>26.96</v>
      </c>
      <c r="F1067" s="12" t="n">
        <v>624</v>
      </c>
      <c r="G1067" s="11" t="n">
        <f aca="false">IF(INDEX(選手一覧!$D$7:$D$2738,$F1067)="","",INDEX(選手一覧!$D$7:$D$2738,$F1067))</f>
        <v>0.0103980324074074</v>
      </c>
      <c r="H1067" s="12" t="n">
        <f aca="false">IF(INDEX(選手一覧!$E$7:$E$2738,$F1067)="","",INDEX(選手一覧!$E$7:$E$2738,$F1067))</f>
        <v>262</v>
      </c>
      <c r="I1067" s="11" t="str">
        <f aca="false">IF(INDEX(選手一覧!$F$7:$F$2738,$F1067)="","",INDEX(選手一覧!$F$7:$F$2738,$F1067))</f>
        <v/>
      </c>
      <c r="J1067" s="12" t="str">
        <f aca="false">IF(INDEX(選手一覧!$G$7:$G$2738,$F1067)="","",INDEX(選手一覧!$G$7:$G$2738,$F1067))</f>
        <v/>
      </c>
    </row>
    <row r="1068" customFormat="false" ht="15" hidden="false" customHeight="false" outlineLevel="0" collapsed="false">
      <c r="A1068" s="12" t="n">
        <v>1064</v>
      </c>
      <c r="B1068" s="10" t="s">
        <v>1571</v>
      </c>
      <c r="C1068" s="10" t="s">
        <v>1474</v>
      </c>
      <c r="D1068" s="11" t="n">
        <v>0.00291678240740741</v>
      </c>
      <c r="E1068" s="18" t="n">
        <f aca="false">ROUND((D1068-$D$5)*86400,2)</f>
        <v>26.98</v>
      </c>
      <c r="F1068" s="12" t="n">
        <v>1083</v>
      </c>
      <c r="G1068" s="11" t="n">
        <f aca="false">IF(INDEX(選手一覧!$D$7:$D$2738,$F1068)="","",INDEX(選手一覧!$D$7:$D$2738,$F1068))</f>
        <v>0.0106164351851852</v>
      </c>
      <c r="H1068" s="12" t="n">
        <f aca="false">IF(INDEX(選手一覧!$E$7:$E$2738,$F1068)="","",INDEX(選手一覧!$E$7:$E$2738,$F1068))</f>
        <v>490</v>
      </c>
      <c r="I1068" s="11" t="n">
        <f aca="false">IF(INDEX(選手一覧!$F$7:$F$2738,$F1068)="","",INDEX(選手一覧!$F$7:$F$2738,$F1068))</f>
        <v>0.00720949074074074</v>
      </c>
      <c r="J1068" s="12" t="n">
        <f aca="false">IF(INDEX(選手一覧!$G$7:$G$2738,$F1068)="","",INDEX(選手一覧!$G$7:$G$2738,$F1068))</f>
        <v>546</v>
      </c>
    </row>
    <row r="1069" customFormat="false" ht="15" hidden="false" customHeight="false" outlineLevel="0" collapsed="false">
      <c r="A1069" s="12" t="n">
        <v>1065</v>
      </c>
      <c r="B1069" s="10" t="s">
        <v>3110</v>
      </c>
      <c r="C1069" s="10" t="s">
        <v>1516</v>
      </c>
      <c r="D1069" s="11" t="n">
        <v>0.00291689814814815</v>
      </c>
      <c r="E1069" s="18" t="n">
        <f aca="false">ROUND((D1069-$D$5)*86400,2)</f>
        <v>26.99</v>
      </c>
      <c r="F1069" s="12" t="n">
        <v>2184</v>
      </c>
      <c r="G1069" s="11" t="str">
        <f aca="false">IF(INDEX(選手一覧!$D$7:$D$2738,$F1069)="","",INDEX(選手一覧!$D$7:$D$2738,$F1069))</f>
        <v/>
      </c>
      <c r="H1069" s="12" t="str">
        <f aca="false">IF(INDEX(選手一覧!$E$7:$E$2738,$F1069)="","",INDEX(選手一覧!$E$7:$E$2738,$F1069))</f>
        <v/>
      </c>
      <c r="I1069" s="11" t="str">
        <f aca="false">IF(INDEX(選手一覧!$F$7:$F$2738,$F1069)="","",INDEX(選手一覧!$F$7:$F$2738,$F1069))</f>
        <v/>
      </c>
      <c r="J1069" s="12" t="str">
        <f aca="false">IF(INDEX(選手一覧!$G$7:$G$2738,$F1069)="","",INDEX(選手一覧!$G$7:$G$2738,$F1069))</f>
        <v/>
      </c>
    </row>
    <row r="1070" customFormat="false" ht="15" hidden="false" customHeight="false" outlineLevel="0" collapsed="false">
      <c r="A1070" s="12" t="n">
        <v>1066</v>
      </c>
      <c r="B1070" s="10" t="s">
        <v>2176</v>
      </c>
      <c r="C1070" s="10" t="s">
        <v>215</v>
      </c>
      <c r="D1070" s="11" t="n">
        <v>0.00291689814814815</v>
      </c>
      <c r="E1070" s="18" t="n">
        <f aca="false">ROUND((D1070-$D$5)*86400,2)</f>
        <v>26.99</v>
      </c>
      <c r="F1070" s="12" t="n">
        <v>1505</v>
      </c>
      <c r="G1070" s="11" t="n">
        <f aca="false">IF(INDEX(選手一覧!$D$7:$D$2738,$F1070)="","",INDEX(選手一覧!$D$7:$D$2738,$F1070))</f>
        <v>0.0107873842592593</v>
      </c>
      <c r="H1070" s="12" t="n">
        <f aca="false">IF(INDEX(選手一覧!$E$7:$E$2738,$F1070)="","",INDEX(選手一覧!$E$7:$E$2738,$F1070))</f>
        <v>715</v>
      </c>
      <c r="I1070" s="11" t="str">
        <f aca="false">IF(INDEX(選手一覧!$F$7:$F$2738,$F1070)="","",INDEX(選手一覧!$F$7:$F$2738,$F1070))</f>
        <v/>
      </c>
      <c r="J1070" s="12" t="str">
        <f aca="false">IF(INDEX(選手一覧!$G$7:$G$2738,$F1070)="","",INDEX(選手一覧!$G$7:$G$2738,$F1070))</f>
        <v/>
      </c>
    </row>
    <row r="1071" customFormat="false" ht="15" hidden="false" customHeight="false" outlineLevel="0" collapsed="false">
      <c r="A1071" s="12" t="n">
        <v>1067</v>
      </c>
      <c r="B1071" s="10" t="s">
        <v>3048</v>
      </c>
      <c r="C1071" s="10" t="s">
        <v>2393</v>
      </c>
      <c r="D1071" s="11" t="n">
        <v>0.00291712962962963</v>
      </c>
      <c r="E1071" s="18" t="n">
        <f aca="false">ROUND((D1071-$D$5)*86400,2)</f>
        <v>27.01</v>
      </c>
      <c r="F1071" s="12" t="n">
        <v>2137</v>
      </c>
      <c r="G1071" s="11" t="n">
        <f aca="false">IF(INDEX(選手一覧!$D$7:$D$2738,$F1071)="","",INDEX(選手一覧!$D$7:$D$2738,$F1071))</f>
        <v>0.0109696759259259</v>
      </c>
      <c r="H1071" s="12" t="n">
        <f aca="false">IF(INDEX(選手一覧!$E$7:$E$2738,$F1071)="","",INDEX(選手一覧!$E$7:$E$2738,$F1071))</f>
        <v>1039</v>
      </c>
      <c r="I1071" s="11" t="str">
        <f aca="false">IF(INDEX(選手一覧!$F$7:$F$2738,$F1071)="","",INDEX(選手一覧!$F$7:$F$2738,$F1071))</f>
        <v/>
      </c>
      <c r="J1071" s="12" t="str">
        <f aca="false">IF(INDEX(選手一覧!$G$7:$G$2738,$F1071)="","",INDEX(選手一覧!$G$7:$G$2738,$F1071))</f>
        <v/>
      </c>
    </row>
    <row r="1072" customFormat="false" ht="15" hidden="false" customHeight="false" outlineLevel="0" collapsed="false">
      <c r="A1072" s="12" t="n">
        <v>1068</v>
      </c>
      <c r="B1072" s="10" t="s">
        <v>2866</v>
      </c>
      <c r="C1072" s="10" t="s">
        <v>2196</v>
      </c>
      <c r="D1072" s="11" t="n">
        <v>0.00291712962962963</v>
      </c>
      <c r="E1072" s="18" t="n">
        <f aca="false">ROUND((D1072-$D$5)*86400,2)</f>
        <v>27.01</v>
      </c>
      <c r="F1072" s="12" t="n">
        <v>2005</v>
      </c>
      <c r="G1072" s="11" t="n">
        <f aca="false">IF(INDEX(選手一覧!$D$7:$D$2738,$F1072)="","",INDEX(選手一覧!$D$7:$D$2738,$F1072))</f>
        <v>0.0109325231481482</v>
      </c>
      <c r="H1072" s="12" t="n">
        <f aca="false">IF(INDEX(選手一覧!$E$7:$E$2738,$F1072)="","",INDEX(選手一覧!$E$7:$E$2738,$F1072))</f>
        <v>972</v>
      </c>
      <c r="I1072" s="11" t="str">
        <f aca="false">IF(INDEX(選手一覧!$F$7:$F$2738,$F1072)="","",INDEX(選手一覧!$F$7:$F$2738,$F1072))</f>
        <v/>
      </c>
      <c r="J1072" s="12" t="str">
        <f aca="false">IF(INDEX(選手一覧!$G$7:$G$2738,$F1072)="","",INDEX(選手一覧!$G$7:$G$2738,$F1072))</f>
        <v/>
      </c>
    </row>
    <row r="1073" customFormat="false" ht="15" hidden="false" customHeight="false" outlineLevel="0" collapsed="false">
      <c r="A1073" s="12" t="n">
        <v>1069</v>
      </c>
      <c r="B1073" s="10" t="s">
        <v>3118</v>
      </c>
      <c r="C1073" s="10" t="s">
        <v>3119</v>
      </c>
      <c r="D1073" s="11" t="n">
        <v>0.00291724537037037</v>
      </c>
      <c r="E1073" s="18" t="n">
        <f aca="false">ROUND((D1073-$D$5)*86400,2)</f>
        <v>27.02</v>
      </c>
      <c r="F1073" s="12" t="n">
        <v>2190</v>
      </c>
      <c r="G1073" s="11" t="str">
        <f aca="false">IF(INDEX(選手一覧!$D$7:$D$2738,$F1073)="","",INDEX(選手一覧!$D$7:$D$2738,$F1073))</f>
        <v/>
      </c>
      <c r="H1073" s="12" t="str">
        <f aca="false">IF(INDEX(選手一覧!$E$7:$E$2738,$F1073)="","",INDEX(選手一覧!$E$7:$E$2738,$F1073))</f>
        <v/>
      </c>
      <c r="I1073" s="11" t="str">
        <f aca="false">IF(INDEX(選手一覧!$F$7:$F$2738,$F1073)="","",INDEX(選手一覧!$F$7:$F$2738,$F1073))</f>
        <v/>
      </c>
      <c r="J1073" s="12" t="str">
        <f aca="false">IF(INDEX(選手一覧!$G$7:$G$2738,$F1073)="","",INDEX(選手一覧!$G$7:$G$2738,$F1073))</f>
        <v/>
      </c>
    </row>
    <row r="1074" customFormat="false" ht="15" hidden="false" customHeight="false" outlineLevel="0" collapsed="false">
      <c r="A1074" s="12" t="n">
        <v>1070</v>
      </c>
      <c r="B1074" s="10" t="s">
        <v>716</v>
      </c>
      <c r="C1074" s="10" t="s">
        <v>717</v>
      </c>
      <c r="D1074" s="11" t="n">
        <v>0.00291747685185185</v>
      </c>
      <c r="E1074" s="18" t="n">
        <f aca="false">ROUND((D1074-$D$5)*86400,2)</f>
        <v>27.04</v>
      </c>
      <c r="F1074" s="12" t="n">
        <v>460</v>
      </c>
      <c r="G1074" s="11" t="str">
        <f aca="false">IF(INDEX(選手一覧!$D$7:$D$2738,$F1074)="","",INDEX(選手一覧!$D$7:$D$2738,$F1074))</f>
        <v/>
      </c>
      <c r="H1074" s="12" t="str">
        <f aca="false">IF(INDEX(選手一覧!$E$7:$E$2738,$F1074)="","",INDEX(選手一覧!$E$7:$E$2738,$F1074))</f>
        <v/>
      </c>
      <c r="I1074" s="11" t="n">
        <f aca="false">IF(INDEX(選手一覧!$F$7:$F$2738,$F1074)="","",INDEX(選手一覧!$F$7:$F$2738,$F1074))</f>
        <v>0.00682905092592593</v>
      </c>
      <c r="J1074" s="12" t="n">
        <f aca="false">IF(INDEX(選手一覧!$G$7:$G$2738,$F1074)="","",INDEX(選手一覧!$G$7:$G$2738,$F1074))</f>
        <v>193</v>
      </c>
    </row>
    <row r="1075" customFormat="false" ht="15" hidden="false" customHeight="false" outlineLevel="0" collapsed="false">
      <c r="A1075" s="12" t="n">
        <v>1071</v>
      </c>
      <c r="B1075" s="10" t="s">
        <v>649</v>
      </c>
      <c r="C1075" s="10" t="s">
        <v>650</v>
      </c>
      <c r="D1075" s="11" t="n">
        <v>0.00291759259259259</v>
      </c>
      <c r="E1075" s="18" t="n">
        <f aca="false">ROUND((D1075-$D$5)*86400,2)</f>
        <v>27.05</v>
      </c>
      <c r="F1075" s="12" t="n">
        <v>414</v>
      </c>
      <c r="G1075" s="11" t="str">
        <f aca="false">IF(INDEX(選手一覧!$D$7:$D$2738,$F1075)="","",INDEX(選手一覧!$D$7:$D$2738,$F1075))</f>
        <v/>
      </c>
      <c r="H1075" s="12" t="str">
        <f aca="false">IF(INDEX(選手一覧!$E$7:$E$2738,$F1075)="","",INDEX(選手一覧!$E$7:$E$2738,$F1075))</f>
        <v/>
      </c>
      <c r="I1075" s="11" t="n">
        <f aca="false">IF(INDEX(選手一覧!$F$7:$F$2738,$F1075)="","",INDEX(選手一覧!$F$7:$F$2738,$F1075))</f>
        <v>0.00680416666666667</v>
      </c>
      <c r="J1075" s="12" t="n">
        <f aca="false">IF(INDEX(選手一覧!$G$7:$G$2738,$F1075)="","",INDEX(選手一覧!$G$7:$G$2738,$F1075))</f>
        <v>175</v>
      </c>
    </row>
    <row r="1076" customFormat="false" ht="15" hidden="false" customHeight="false" outlineLevel="0" collapsed="false">
      <c r="A1076" s="12" t="n">
        <v>1072</v>
      </c>
      <c r="B1076" s="10" t="s">
        <v>3127</v>
      </c>
      <c r="C1076" s="10" t="s">
        <v>2436</v>
      </c>
      <c r="D1076" s="11" t="n">
        <v>0.00291759259259259</v>
      </c>
      <c r="E1076" s="18" t="n">
        <f aca="false">ROUND((D1076-$D$5)*86400,2)</f>
        <v>27.05</v>
      </c>
      <c r="F1076" s="12" t="n">
        <v>2195</v>
      </c>
      <c r="G1076" s="11" t="str">
        <f aca="false">IF(INDEX(選手一覧!$D$7:$D$2738,$F1076)="","",INDEX(選手一覧!$D$7:$D$2738,$F1076))</f>
        <v/>
      </c>
      <c r="H1076" s="12" t="str">
        <f aca="false">IF(INDEX(選手一覧!$E$7:$E$2738,$F1076)="","",INDEX(選手一覧!$E$7:$E$2738,$F1076))</f>
        <v/>
      </c>
      <c r="I1076" s="11" t="str">
        <f aca="false">IF(INDEX(選手一覧!$F$7:$F$2738,$F1076)="","",INDEX(選手一覧!$F$7:$F$2738,$F1076))</f>
        <v/>
      </c>
      <c r="J1076" s="12" t="str">
        <f aca="false">IF(INDEX(選手一覧!$G$7:$G$2738,$F1076)="","",INDEX(選手一覧!$G$7:$G$2738,$F1076))</f>
        <v/>
      </c>
    </row>
    <row r="1077" customFormat="false" ht="15" hidden="false" customHeight="false" outlineLevel="0" collapsed="false">
      <c r="A1077" s="12" t="n">
        <v>1073</v>
      </c>
      <c r="B1077" s="10" t="s">
        <v>3129</v>
      </c>
      <c r="C1077" s="10" t="s">
        <v>1834</v>
      </c>
      <c r="D1077" s="11" t="n">
        <v>0.00291782407407407</v>
      </c>
      <c r="E1077" s="18" t="n">
        <f aca="false">ROUND((D1077-$D$5)*86400,2)</f>
        <v>27.07</v>
      </c>
      <c r="F1077" s="12" t="n">
        <v>2197</v>
      </c>
      <c r="G1077" s="11" t="str">
        <f aca="false">IF(INDEX(選手一覧!$D$7:$D$2738,$F1077)="","",INDEX(選手一覧!$D$7:$D$2738,$F1077))</f>
        <v/>
      </c>
      <c r="H1077" s="12" t="str">
        <f aca="false">IF(INDEX(選手一覧!$E$7:$E$2738,$F1077)="","",INDEX(選手一覧!$E$7:$E$2738,$F1077))</f>
        <v/>
      </c>
      <c r="I1077" s="11" t="str">
        <f aca="false">IF(INDEX(選手一覧!$F$7:$F$2738,$F1077)="","",INDEX(選手一覧!$F$7:$F$2738,$F1077))</f>
        <v/>
      </c>
      <c r="J1077" s="12" t="str">
        <f aca="false">IF(INDEX(選手一覧!$G$7:$G$2738,$F1077)="","",INDEX(選手一覧!$G$7:$G$2738,$F1077))</f>
        <v/>
      </c>
    </row>
    <row r="1078" customFormat="false" ht="15" hidden="false" customHeight="false" outlineLevel="0" collapsed="false">
      <c r="A1078" s="12" t="n">
        <v>1074</v>
      </c>
      <c r="B1078" s="10" t="s">
        <v>3132</v>
      </c>
      <c r="C1078" s="10" t="s">
        <v>1351</v>
      </c>
      <c r="D1078" s="11" t="n">
        <v>0.00291793981481482</v>
      </c>
      <c r="E1078" s="18" t="n">
        <f aca="false">ROUND((D1078-$D$5)*86400,2)</f>
        <v>27.08</v>
      </c>
      <c r="F1078" s="12" t="n">
        <v>2199</v>
      </c>
      <c r="G1078" s="11" t="str">
        <f aca="false">IF(INDEX(選手一覧!$D$7:$D$2738,$F1078)="","",INDEX(選手一覧!$D$7:$D$2738,$F1078))</f>
        <v/>
      </c>
      <c r="H1078" s="12" t="str">
        <f aca="false">IF(INDEX(選手一覧!$E$7:$E$2738,$F1078)="","",INDEX(選手一覧!$E$7:$E$2738,$F1078))</f>
        <v/>
      </c>
      <c r="I1078" s="11" t="str">
        <f aca="false">IF(INDEX(選手一覧!$F$7:$F$2738,$F1078)="","",INDEX(選手一覧!$F$7:$F$2738,$F1078))</f>
        <v/>
      </c>
      <c r="J1078" s="12" t="str">
        <f aca="false">IF(INDEX(選手一覧!$G$7:$G$2738,$F1078)="","",INDEX(選手一覧!$G$7:$G$2738,$F1078))</f>
        <v/>
      </c>
    </row>
    <row r="1079" customFormat="false" ht="15" hidden="false" customHeight="false" outlineLevel="0" collapsed="false">
      <c r="A1079" s="12" t="n">
        <v>1075</v>
      </c>
      <c r="B1079" s="10" t="s">
        <v>3136</v>
      </c>
      <c r="C1079" s="10" t="s">
        <v>3137</v>
      </c>
      <c r="D1079" s="11" t="n">
        <v>0.00291805555555556</v>
      </c>
      <c r="E1079" s="18" t="n">
        <f aca="false">ROUND((D1079-$D$5)*86400,2)</f>
        <v>27.09</v>
      </c>
      <c r="F1079" s="12" t="n">
        <v>2202</v>
      </c>
      <c r="G1079" s="11" t="str">
        <f aca="false">IF(INDEX(選手一覧!$D$7:$D$2738,$F1079)="","",INDEX(選手一覧!$D$7:$D$2738,$F1079))</f>
        <v/>
      </c>
      <c r="H1079" s="12" t="str">
        <f aca="false">IF(INDEX(選手一覧!$E$7:$E$2738,$F1079)="","",INDEX(選手一覧!$E$7:$E$2738,$F1079))</f>
        <v/>
      </c>
      <c r="I1079" s="11" t="str">
        <f aca="false">IF(INDEX(選手一覧!$F$7:$F$2738,$F1079)="","",INDEX(選手一覧!$F$7:$F$2738,$F1079))</f>
        <v/>
      </c>
      <c r="J1079" s="12" t="str">
        <f aca="false">IF(INDEX(選手一覧!$G$7:$G$2738,$F1079)="","",INDEX(選手一覧!$G$7:$G$2738,$F1079))</f>
        <v/>
      </c>
    </row>
    <row r="1080" customFormat="false" ht="15" hidden="false" customHeight="false" outlineLevel="0" collapsed="false">
      <c r="A1080" s="12" t="n">
        <v>1076</v>
      </c>
      <c r="B1080" s="10" t="s">
        <v>937</v>
      </c>
      <c r="C1080" s="10" t="s">
        <v>938</v>
      </c>
      <c r="D1080" s="11" t="n">
        <v>0.00291805555555556</v>
      </c>
      <c r="E1080" s="18" t="n">
        <f aca="false">ROUND((D1080-$D$5)*86400,2)</f>
        <v>27.09</v>
      </c>
      <c r="F1080" s="12" t="n">
        <v>622</v>
      </c>
      <c r="G1080" s="11" t="str">
        <f aca="false">IF(INDEX(選手一覧!$D$7:$D$2738,$F1080)="","",INDEX(選手一覧!$D$7:$D$2738,$F1080))</f>
        <v/>
      </c>
      <c r="H1080" s="12" t="str">
        <f aca="false">IF(INDEX(選手一覧!$E$7:$E$2738,$F1080)="","",INDEX(選手一覧!$E$7:$E$2738,$F1080))</f>
        <v/>
      </c>
      <c r="I1080" s="11" t="n">
        <f aca="false">IF(INDEX(選手一覧!$F$7:$F$2738,$F1080)="","",INDEX(選手一覧!$F$7:$F$2738,$F1080))</f>
        <v>0.00692268518518519</v>
      </c>
      <c r="J1080" s="12" t="n">
        <f aca="false">IF(INDEX(選手一覧!$G$7:$G$2738,$F1080)="","",INDEX(選手一覧!$G$7:$G$2738,$F1080))</f>
        <v>261</v>
      </c>
    </row>
    <row r="1081" customFormat="false" ht="15" hidden="false" customHeight="false" outlineLevel="0" collapsed="false">
      <c r="A1081" s="12" t="n">
        <v>1077</v>
      </c>
      <c r="B1081" s="10" t="s">
        <v>3141</v>
      </c>
      <c r="C1081" s="10" t="s">
        <v>3022</v>
      </c>
      <c r="D1081" s="11" t="n">
        <v>0.00291828703703704</v>
      </c>
      <c r="E1081" s="18" t="n">
        <f aca="false">ROUND((D1081-$D$5)*86400,2)</f>
        <v>27.11</v>
      </c>
      <c r="F1081" s="12" t="n">
        <v>2206</v>
      </c>
      <c r="G1081" s="11" t="str">
        <f aca="false">IF(INDEX(選手一覧!$D$7:$D$2738,$F1081)="","",INDEX(選手一覧!$D$7:$D$2738,$F1081))</f>
        <v/>
      </c>
      <c r="H1081" s="12" t="str">
        <f aca="false">IF(INDEX(選手一覧!$E$7:$E$2738,$F1081)="","",INDEX(選手一覧!$E$7:$E$2738,$F1081))</f>
        <v/>
      </c>
      <c r="I1081" s="11" t="str">
        <f aca="false">IF(INDEX(選手一覧!$F$7:$F$2738,$F1081)="","",INDEX(選手一覧!$F$7:$F$2738,$F1081))</f>
        <v/>
      </c>
      <c r="J1081" s="12" t="str">
        <f aca="false">IF(INDEX(選手一覧!$G$7:$G$2738,$F1081)="","",INDEX(選手一覧!$G$7:$G$2738,$F1081))</f>
        <v/>
      </c>
    </row>
    <row r="1082" customFormat="false" ht="15" hidden="false" customHeight="false" outlineLevel="0" collapsed="false">
      <c r="A1082" s="12" t="n">
        <v>1078</v>
      </c>
      <c r="B1082" s="10" t="s">
        <v>1240</v>
      </c>
      <c r="C1082" s="10" t="s">
        <v>1155</v>
      </c>
      <c r="D1082" s="11" t="n">
        <v>0.00291840277777778</v>
      </c>
      <c r="E1082" s="18" t="n">
        <f aca="false">ROUND((D1082-$D$5)*86400,2)</f>
        <v>27.12</v>
      </c>
      <c r="F1082" s="12" t="n">
        <v>842</v>
      </c>
      <c r="G1082" s="11" t="str">
        <f aca="false">IF(INDEX(選手一覧!$D$7:$D$2738,$F1082)="","",INDEX(選手一覧!$D$7:$D$2738,$F1082))</f>
        <v/>
      </c>
      <c r="H1082" s="12" t="str">
        <f aca="false">IF(INDEX(選手一覧!$E$7:$E$2738,$F1082)="","",INDEX(選手一覧!$E$7:$E$2738,$F1082))</f>
        <v/>
      </c>
      <c r="I1082" s="11" t="n">
        <f aca="false">IF(INDEX(選手一覧!$F$7:$F$2738,$F1082)="","",INDEX(選手一覧!$F$7:$F$2738,$F1082))</f>
        <v>0.00703935185185185</v>
      </c>
      <c r="J1082" s="12" t="n">
        <f aca="false">IF(INDEX(選手一覧!$G$7:$G$2738,$F1082)="","",INDEX(選手一覧!$G$7:$G$2738,$F1082))</f>
        <v>373</v>
      </c>
    </row>
    <row r="1083" customFormat="false" ht="15" hidden="false" customHeight="false" outlineLevel="0" collapsed="false">
      <c r="A1083" s="12" t="n">
        <v>1079</v>
      </c>
      <c r="B1083" s="10" t="s">
        <v>3145</v>
      </c>
      <c r="C1083" s="10" t="s">
        <v>480</v>
      </c>
      <c r="D1083" s="11" t="n">
        <v>0.00291851851851852</v>
      </c>
      <c r="E1083" s="18" t="n">
        <f aca="false">ROUND((D1083-$D$5)*86400,2)</f>
        <v>27.13</v>
      </c>
      <c r="F1083" s="12" t="n">
        <v>2209</v>
      </c>
      <c r="G1083" s="11" t="str">
        <f aca="false">IF(INDEX(選手一覧!$D$7:$D$2738,$F1083)="","",INDEX(選手一覧!$D$7:$D$2738,$F1083))</f>
        <v/>
      </c>
      <c r="H1083" s="12" t="str">
        <f aca="false">IF(INDEX(選手一覧!$E$7:$E$2738,$F1083)="","",INDEX(選手一覧!$E$7:$E$2738,$F1083))</f>
        <v/>
      </c>
      <c r="I1083" s="11" t="str">
        <f aca="false">IF(INDEX(選手一覧!$F$7:$F$2738,$F1083)="","",INDEX(選手一覧!$F$7:$F$2738,$F1083))</f>
        <v/>
      </c>
      <c r="J1083" s="12" t="str">
        <f aca="false">IF(INDEX(選手一覧!$G$7:$G$2738,$F1083)="","",INDEX(選手一覧!$G$7:$G$2738,$F1083))</f>
        <v/>
      </c>
    </row>
    <row r="1084" customFormat="false" ht="15" hidden="false" customHeight="false" outlineLevel="0" collapsed="false">
      <c r="A1084" s="12" t="n">
        <v>1080</v>
      </c>
      <c r="B1084" s="10" t="s">
        <v>775</v>
      </c>
      <c r="C1084" s="10" t="s">
        <v>27</v>
      </c>
      <c r="D1084" s="11" t="n">
        <v>0.00291875</v>
      </c>
      <c r="E1084" s="18" t="n">
        <f aca="false">ROUND((D1084-$D$5)*86400,2)</f>
        <v>27.15</v>
      </c>
      <c r="F1084" s="12" t="n">
        <v>502</v>
      </c>
      <c r="G1084" s="11" t="n">
        <f aca="false">IF(INDEX(選手一覧!$D$7:$D$2738,$F1084)="","",INDEX(選手一覧!$D$7:$D$2738,$F1084))</f>
        <v>0.01040625</v>
      </c>
      <c r="H1084" s="12" t="n">
        <f aca="false">IF(INDEX(選手一覧!$E$7:$E$2738,$F1084)="","",INDEX(選手一覧!$E$7:$E$2738,$F1084))</f>
        <v>270</v>
      </c>
      <c r="I1084" s="11" t="n">
        <f aca="false">IF(INDEX(選手一覧!$F$7:$F$2738,$F1084)="","",INDEX(選手一覧!$F$7:$F$2738,$F1084))</f>
        <v>0.00686087962962963</v>
      </c>
      <c r="J1084" s="12" t="n">
        <f aca="false">IF(INDEX(選手一覧!$G$7:$G$2738,$F1084)="","",INDEX(選手一覧!$G$7:$G$2738,$F1084))</f>
        <v>211</v>
      </c>
    </row>
    <row r="1085" customFormat="false" ht="15" hidden="false" customHeight="false" outlineLevel="0" collapsed="false">
      <c r="A1085" s="12" t="n">
        <v>1081</v>
      </c>
      <c r="B1085" s="10" t="s">
        <v>615</v>
      </c>
      <c r="C1085" s="10" t="s">
        <v>616</v>
      </c>
      <c r="D1085" s="11" t="n">
        <v>0.00291875</v>
      </c>
      <c r="E1085" s="18" t="n">
        <f aca="false">ROUND((D1085-$D$5)*86400,2)</f>
        <v>27.15</v>
      </c>
      <c r="F1085" s="12" t="n">
        <v>389</v>
      </c>
      <c r="G1085" s="11" t="n">
        <f aca="false">IF(INDEX(選手一覧!$D$7:$D$2738,$F1085)="","",INDEX(選手一覧!$D$7:$D$2738,$F1085))</f>
        <v>0.0109480324074074</v>
      </c>
      <c r="H1085" s="12" t="n">
        <f aca="false">IF(INDEX(選手一覧!$E$7:$E$2738,$F1085)="","",INDEX(選手一覧!$E$7:$E$2738,$F1085))</f>
        <v>993</v>
      </c>
      <c r="I1085" s="11" t="n">
        <f aca="false">IF(INDEX(選手一覧!$F$7:$F$2738,$F1085)="","",INDEX(選手一覧!$F$7:$F$2738,$F1085))</f>
        <v>0.00679340277777778</v>
      </c>
      <c r="J1085" s="12" t="n">
        <f aca="false">IF(INDEX(選手一覧!$G$7:$G$2738,$F1085)="","",INDEX(選手一覧!$G$7:$G$2738,$F1085))</f>
        <v>165</v>
      </c>
    </row>
    <row r="1086" customFormat="false" ht="15" hidden="false" customHeight="false" outlineLevel="0" collapsed="false">
      <c r="A1086" s="12" t="n">
        <v>1082</v>
      </c>
      <c r="B1086" s="10" t="s">
        <v>3115</v>
      </c>
      <c r="C1086" s="10" t="s">
        <v>25</v>
      </c>
      <c r="D1086" s="11" t="n">
        <v>0.00291886574074074</v>
      </c>
      <c r="E1086" s="18" t="n">
        <f aca="false">ROUND((D1086-$D$5)*86400,2)</f>
        <v>27.16</v>
      </c>
      <c r="F1086" s="12" t="n">
        <v>2188</v>
      </c>
      <c r="G1086" s="11" t="n">
        <f aca="false">IF(INDEX(選手一覧!$D$7:$D$2738,$F1086)="","",INDEX(選手一覧!$D$7:$D$2738,$F1086))</f>
        <v>0.0109853009259259</v>
      </c>
      <c r="H1086" s="12" t="n">
        <f aca="false">IF(INDEX(選手一覧!$E$7:$E$2738,$F1086)="","",INDEX(選手一覧!$E$7:$E$2738,$F1086))</f>
        <v>1068</v>
      </c>
      <c r="I1086" s="11" t="str">
        <f aca="false">IF(INDEX(選手一覧!$F$7:$F$2738,$F1086)="","",INDEX(選手一覧!$F$7:$F$2738,$F1086))</f>
        <v/>
      </c>
      <c r="J1086" s="12" t="str">
        <f aca="false">IF(INDEX(選手一覧!$G$7:$G$2738,$F1086)="","",INDEX(選手一覧!$G$7:$G$2738,$F1086))</f>
        <v/>
      </c>
    </row>
    <row r="1087" customFormat="false" ht="15" hidden="false" customHeight="false" outlineLevel="0" collapsed="false">
      <c r="A1087" s="12" t="n">
        <v>1083</v>
      </c>
      <c r="B1087" s="10" t="s">
        <v>1083</v>
      </c>
      <c r="C1087" s="10" t="s">
        <v>72</v>
      </c>
      <c r="D1087" s="11" t="n">
        <v>0.00291898148148148</v>
      </c>
      <c r="E1087" s="18" t="n">
        <f aca="false">ROUND((D1087-$D$5)*86400,2)</f>
        <v>27.17</v>
      </c>
      <c r="F1087" s="12" t="n">
        <v>728</v>
      </c>
      <c r="G1087" s="11" t="n">
        <f aca="false">IF(INDEX(選手一覧!$D$7:$D$2738,$F1087)="","",INDEX(選手一覧!$D$7:$D$2738,$F1087))</f>
        <v>0.010462962962963</v>
      </c>
      <c r="H1087" s="12" t="n">
        <f aca="false">IF(INDEX(選手一覧!$E$7:$E$2738,$F1087)="","",INDEX(選手一覧!$E$7:$E$2738,$F1087))</f>
        <v>313</v>
      </c>
      <c r="I1087" s="11" t="str">
        <f aca="false">IF(INDEX(選手一覧!$F$7:$F$2738,$F1087)="","",INDEX(選手一覧!$F$7:$F$2738,$F1087))</f>
        <v/>
      </c>
      <c r="J1087" s="12" t="str">
        <f aca="false">IF(INDEX(選手一覧!$G$7:$G$2738,$F1087)="","",INDEX(選手一覧!$G$7:$G$2738,$F1087))</f>
        <v/>
      </c>
    </row>
    <row r="1088" customFormat="false" ht="15" hidden="false" customHeight="false" outlineLevel="0" collapsed="false">
      <c r="A1088" s="12" t="n">
        <v>1084</v>
      </c>
      <c r="B1088" s="10" t="s">
        <v>3152</v>
      </c>
      <c r="C1088" s="10" t="s">
        <v>954</v>
      </c>
      <c r="D1088" s="11" t="n">
        <v>0.00291898148148148</v>
      </c>
      <c r="E1088" s="18" t="n">
        <f aca="false">ROUND((D1088-$D$5)*86400,2)</f>
        <v>27.17</v>
      </c>
      <c r="F1088" s="12" t="n">
        <v>2215</v>
      </c>
      <c r="G1088" s="11" t="str">
        <f aca="false">IF(INDEX(選手一覧!$D$7:$D$2738,$F1088)="","",INDEX(選手一覧!$D$7:$D$2738,$F1088))</f>
        <v/>
      </c>
      <c r="H1088" s="12" t="str">
        <f aca="false">IF(INDEX(選手一覧!$E$7:$E$2738,$F1088)="","",INDEX(選手一覧!$E$7:$E$2738,$F1088))</f>
        <v/>
      </c>
      <c r="I1088" s="11" t="str">
        <f aca="false">IF(INDEX(選手一覧!$F$7:$F$2738,$F1088)="","",INDEX(選手一覧!$F$7:$F$2738,$F1088))</f>
        <v/>
      </c>
      <c r="J1088" s="12" t="str">
        <f aca="false">IF(INDEX(選手一覧!$G$7:$G$2738,$F1088)="","",INDEX(選手一覧!$G$7:$G$2738,$F1088))</f>
        <v/>
      </c>
    </row>
    <row r="1089" customFormat="false" ht="15" hidden="false" customHeight="false" outlineLevel="0" collapsed="false">
      <c r="A1089" s="12" t="n">
        <v>1085</v>
      </c>
      <c r="B1089" s="10" t="s">
        <v>1247</v>
      </c>
      <c r="C1089" s="10" t="s">
        <v>263</v>
      </c>
      <c r="D1089" s="11" t="n">
        <v>0.00291921296296296</v>
      </c>
      <c r="E1089" s="18" t="n">
        <f aca="false">ROUND((D1089-$D$5)*86400,2)</f>
        <v>27.19</v>
      </c>
      <c r="F1089" s="12" t="n">
        <v>847</v>
      </c>
      <c r="G1089" s="11" t="n">
        <f aca="false">IF(INDEX(選手一覧!$D$7:$D$2738,$F1089)="","",INDEX(選手一覧!$D$7:$D$2738,$F1089))</f>
        <v>0.0105346064814815</v>
      </c>
      <c r="H1089" s="12" t="n">
        <f aca="false">IF(INDEX(選手一覧!$E$7:$E$2738,$F1089)="","",INDEX(選手一覧!$E$7:$E$2738,$F1089))</f>
        <v>376</v>
      </c>
      <c r="I1089" s="11" t="n">
        <f aca="false">IF(INDEX(選手一覧!$F$7:$F$2738,$F1089)="","",INDEX(選手一覧!$F$7:$F$2738,$F1089))</f>
        <v>0.00715509259259259</v>
      </c>
      <c r="J1089" s="12" t="n">
        <f aca="false">IF(INDEX(選手一覧!$G$7:$G$2738,$F1089)="","",INDEX(選手一覧!$G$7:$G$2738,$F1089))</f>
        <v>491</v>
      </c>
    </row>
    <row r="1090" customFormat="false" ht="15" hidden="false" customHeight="false" outlineLevel="0" collapsed="false">
      <c r="A1090" s="12" t="n">
        <v>1086</v>
      </c>
      <c r="B1090" s="10" t="s">
        <v>3155</v>
      </c>
      <c r="C1090" s="10" t="s">
        <v>3156</v>
      </c>
      <c r="D1090" s="11" t="n">
        <v>0.0029193287037037</v>
      </c>
      <c r="E1090" s="18" t="n">
        <f aca="false">ROUND((D1090-$D$5)*86400,2)</f>
        <v>27.2</v>
      </c>
      <c r="F1090" s="12" t="n">
        <v>2218</v>
      </c>
      <c r="G1090" s="11" t="str">
        <f aca="false">IF(INDEX(選手一覧!$D$7:$D$2738,$F1090)="","",INDEX(選手一覧!$D$7:$D$2738,$F1090))</f>
        <v/>
      </c>
      <c r="H1090" s="12" t="str">
        <f aca="false">IF(INDEX(選手一覧!$E$7:$E$2738,$F1090)="","",INDEX(選手一覧!$E$7:$E$2738,$F1090))</f>
        <v/>
      </c>
      <c r="I1090" s="11" t="str">
        <f aca="false">IF(INDEX(選手一覧!$F$7:$F$2738,$F1090)="","",INDEX(選手一覧!$F$7:$F$2738,$F1090))</f>
        <v/>
      </c>
      <c r="J1090" s="12" t="str">
        <f aca="false">IF(INDEX(選手一覧!$G$7:$G$2738,$F1090)="","",INDEX(選手一覧!$G$7:$G$2738,$F1090))</f>
        <v/>
      </c>
    </row>
    <row r="1091" customFormat="false" ht="15" hidden="false" customHeight="false" outlineLevel="0" collapsed="false">
      <c r="A1091" s="12" t="n">
        <v>1087</v>
      </c>
      <c r="B1091" s="10" t="s">
        <v>3160</v>
      </c>
      <c r="C1091" s="10" t="s">
        <v>2606</v>
      </c>
      <c r="D1091" s="11" t="n">
        <v>0.0029193287037037</v>
      </c>
      <c r="E1091" s="18" t="n">
        <f aca="false">ROUND((D1091-$D$5)*86400,2)</f>
        <v>27.2</v>
      </c>
      <c r="F1091" s="12" t="n">
        <v>2221</v>
      </c>
      <c r="G1091" s="11" t="str">
        <f aca="false">IF(INDEX(選手一覧!$D$7:$D$2738,$F1091)="","",INDEX(選手一覧!$D$7:$D$2738,$F1091))</f>
        <v/>
      </c>
      <c r="H1091" s="12" t="str">
        <f aca="false">IF(INDEX(選手一覧!$E$7:$E$2738,$F1091)="","",INDEX(選手一覧!$E$7:$E$2738,$F1091))</f>
        <v/>
      </c>
      <c r="I1091" s="11" t="str">
        <f aca="false">IF(INDEX(選手一覧!$F$7:$F$2738,$F1091)="","",INDEX(選手一覧!$F$7:$F$2738,$F1091))</f>
        <v/>
      </c>
      <c r="J1091" s="12" t="str">
        <f aca="false">IF(INDEX(選手一覧!$G$7:$G$2738,$F1091)="","",INDEX(選手一覧!$G$7:$G$2738,$F1091))</f>
        <v/>
      </c>
    </row>
    <row r="1092" customFormat="false" ht="15" hidden="false" customHeight="false" outlineLevel="0" collapsed="false">
      <c r="A1092" s="12" t="n">
        <v>1088</v>
      </c>
      <c r="B1092" s="10" t="s">
        <v>31</v>
      </c>
      <c r="C1092" s="10" t="s">
        <v>32</v>
      </c>
      <c r="D1092" s="11" t="n">
        <v>0.0029193287037037</v>
      </c>
      <c r="E1092" s="18" t="n">
        <f aca="false">ROUND((D1092-$D$5)*86400,2)</f>
        <v>27.2</v>
      </c>
      <c r="F1092" s="12" t="n">
        <v>6</v>
      </c>
      <c r="G1092" s="11" t="n">
        <f aca="false">IF(INDEX(選手一覧!$D$7:$D$2738,$F1092)="","",INDEX(選手一覧!$D$7:$D$2738,$F1092))</f>
        <v>0.0102784722222222</v>
      </c>
      <c r="H1092" s="12" t="n">
        <f aca="false">IF(INDEX(選手一覧!$E$7:$E$2738,$F1092)="","",INDEX(選手一覧!$E$7:$E$2738,$F1092))</f>
        <v>146</v>
      </c>
      <c r="I1092" s="11" t="n">
        <f aca="false">IF(INDEX(選手一覧!$F$7:$F$2738,$F1092)="","",INDEX(選手一覧!$F$7:$F$2738,$F1092))</f>
        <v>0.00627025462962963</v>
      </c>
      <c r="J1092" s="12" t="n">
        <f aca="false">IF(INDEX(選手一覧!$G$7:$G$2738,$F1092)="","",INDEX(選手一覧!$G$7:$G$2738,$F1092))</f>
        <v>3</v>
      </c>
    </row>
    <row r="1093" customFormat="false" ht="15" hidden="false" customHeight="false" outlineLevel="0" collapsed="false">
      <c r="A1093" s="12" t="n">
        <v>1089</v>
      </c>
      <c r="B1093" s="10" t="s">
        <v>3164</v>
      </c>
      <c r="C1093" s="10" t="s">
        <v>3165</v>
      </c>
      <c r="D1093" s="11" t="n">
        <v>0.00291944444444445</v>
      </c>
      <c r="E1093" s="18" t="n">
        <f aca="false">ROUND((D1093-$D$5)*86400,2)</f>
        <v>27.21</v>
      </c>
      <c r="F1093" s="12" t="n">
        <v>2224</v>
      </c>
      <c r="G1093" s="11" t="str">
        <f aca="false">IF(INDEX(選手一覧!$D$7:$D$2738,$F1093)="","",INDEX(選手一覧!$D$7:$D$2738,$F1093))</f>
        <v/>
      </c>
      <c r="H1093" s="12" t="str">
        <f aca="false">IF(INDEX(選手一覧!$E$7:$E$2738,$F1093)="","",INDEX(選手一覧!$E$7:$E$2738,$F1093))</f>
        <v/>
      </c>
      <c r="I1093" s="11" t="str">
        <f aca="false">IF(INDEX(選手一覧!$F$7:$F$2738,$F1093)="","",INDEX(選手一覧!$F$7:$F$2738,$F1093))</f>
        <v/>
      </c>
      <c r="J1093" s="12" t="str">
        <f aca="false">IF(INDEX(選手一覧!$G$7:$G$2738,$F1093)="","",INDEX(選手一覧!$G$7:$G$2738,$F1093))</f>
        <v/>
      </c>
    </row>
    <row r="1094" customFormat="false" ht="15" hidden="false" customHeight="false" outlineLevel="0" collapsed="false">
      <c r="A1094" s="12" t="n">
        <v>1090</v>
      </c>
      <c r="B1094" s="10" t="s">
        <v>3166</v>
      </c>
      <c r="C1094" s="10" t="s">
        <v>603</v>
      </c>
      <c r="D1094" s="11" t="n">
        <v>0.00291956018518519</v>
      </c>
      <c r="E1094" s="18" t="n">
        <f aca="false">ROUND((D1094-$D$5)*86400,2)</f>
        <v>27.22</v>
      </c>
      <c r="F1094" s="12" t="n">
        <v>2225</v>
      </c>
      <c r="G1094" s="11" t="n">
        <f aca="false">IF(INDEX(選手一覧!$D$7:$D$2738,$F1094)="","",INDEX(選手一覧!$D$7:$D$2738,$F1094))</f>
        <v>0.0110085648148148</v>
      </c>
      <c r="H1094" s="12" t="n">
        <f aca="false">IF(INDEX(選手一覧!$E$7:$E$2738,$F1094)="","",INDEX(選手一覧!$E$7:$E$2738,$F1094))</f>
        <v>1108</v>
      </c>
      <c r="I1094" s="11" t="str">
        <f aca="false">IF(INDEX(選手一覧!$F$7:$F$2738,$F1094)="","",INDEX(選手一覧!$F$7:$F$2738,$F1094))</f>
        <v/>
      </c>
      <c r="J1094" s="12" t="str">
        <f aca="false">IF(INDEX(選手一覧!$G$7:$G$2738,$F1094)="","",INDEX(選手一覧!$G$7:$G$2738,$F1094))</f>
        <v/>
      </c>
    </row>
    <row r="1095" customFormat="false" ht="15" hidden="false" customHeight="false" outlineLevel="0" collapsed="false">
      <c r="A1095" s="12" t="n">
        <v>1091</v>
      </c>
      <c r="B1095" s="10" t="s">
        <v>1991</v>
      </c>
      <c r="C1095" s="10" t="s">
        <v>1837</v>
      </c>
      <c r="D1095" s="11" t="n">
        <v>0.00291956018518519</v>
      </c>
      <c r="E1095" s="18" t="n">
        <f aca="false">ROUND((D1095-$D$5)*86400,2)</f>
        <v>27.22</v>
      </c>
      <c r="F1095" s="12" t="n">
        <v>1372</v>
      </c>
      <c r="G1095" s="11" t="n">
        <f aca="false">IF(INDEX(選手一覧!$D$7:$D$2738,$F1095)="","",INDEX(選手一覧!$D$7:$D$2738,$F1095))</f>
        <v>0.0107362268518519</v>
      </c>
      <c r="H1095" s="12" t="n">
        <f aca="false">IF(INDEX(選手一覧!$E$7:$E$2738,$F1095)="","",INDEX(選手一覧!$E$7:$E$2738,$F1095))</f>
        <v>645</v>
      </c>
      <c r="I1095" s="11" t="str">
        <f aca="false">IF(INDEX(選手一覧!$F$7:$F$2738,$F1095)="","",INDEX(選手一覧!$F$7:$F$2738,$F1095))</f>
        <v/>
      </c>
      <c r="J1095" s="12" t="str">
        <f aca="false">IF(INDEX(選手一覧!$G$7:$G$2738,$F1095)="","",INDEX(選手一覧!$G$7:$G$2738,$F1095))</f>
        <v/>
      </c>
    </row>
    <row r="1096" customFormat="false" ht="15" hidden="false" customHeight="false" outlineLevel="0" collapsed="false">
      <c r="A1096" s="12" t="n">
        <v>1092</v>
      </c>
      <c r="B1096" s="10" t="s">
        <v>3174</v>
      </c>
      <c r="C1096" s="10" t="s">
        <v>437</v>
      </c>
      <c r="D1096" s="11" t="n">
        <v>0.00291967592592593</v>
      </c>
      <c r="E1096" s="18" t="n">
        <f aca="false">ROUND((D1096-$D$5)*86400,2)</f>
        <v>27.23</v>
      </c>
      <c r="F1096" s="12" t="n">
        <v>2232</v>
      </c>
      <c r="G1096" s="11" t="str">
        <f aca="false">IF(INDEX(選手一覧!$D$7:$D$2738,$F1096)="","",INDEX(選手一覧!$D$7:$D$2738,$F1096))</f>
        <v/>
      </c>
      <c r="H1096" s="12" t="str">
        <f aca="false">IF(INDEX(選手一覧!$E$7:$E$2738,$F1096)="","",INDEX(選手一覧!$E$7:$E$2738,$F1096))</f>
        <v/>
      </c>
      <c r="I1096" s="11" t="str">
        <f aca="false">IF(INDEX(選手一覧!$F$7:$F$2738,$F1096)="","",INDEX(選手一覧!$F$7:$F$2738,$F1096))</f>
        <v/>
      </c>
      <c r="J1096" s="12" t="str">
        <f aca="false">IF(INDEX(選手一覧!$G$7:$G$2738,$F1096)="","",INDEX(選手一覧!$G$7:$G$2738,$F1096))</f>
        <v/>
      </c>
    </row>
    <row r="1097" customFormat="false" ht="15" hidden="false" customHeight="false" outlineLevel="0" collapsed="false">
      <c r="A1097" s="12" t="n">
        <v>1093</v>
      </c>
      <c r="B1097" s="10" t="s">
        <v>3177</v>
      </c>
      <c r="C1097" s="10" t="s">
        <v>3178</v>
      </c>
      <c r="D1097" s="11" t="n">
        <v>0.00291979166666667</v>
      </c>
      <c r="E1097" s="18" t="n">
        <f aca="false">ROUND((D1097-$D$5)*86400,2)</f>
        <v>27.24</v>
      </c>
      <c r="F1097" s="12" t="n">
        <v>2234</v>
      </c>
      <c r="G1097" s="11" t="str">
        <f aca="false">IF(INDEX(選手一覧!$D$7:$D$2738,$F1097)="","",INDEX(選手一覧!$D$7:$D$2738,$F1097))</f>
        <v/>
      </c>
      <c r="H1097" s="12" t="str">
        <f aca="false">IF(INDEX(選手一覧!$E$7:$E$2738,$F1097)="","",INDEX(選手一覧!$E$7:$E$2738,$F1097))</f>
        <v/>
      </c>
      <c r="I1097" s="11" t="str">
        <f aca="false">IF(INDEX(選手一覧!$F$7:$F$2738,$F1097)="","",INDEX(選手一覧!$F$7:$F$2738,$F1097))</f>
        <v/>
      </c>
      <c r="J1097" s="12" t="str">
        <f aca="false">IF(INDEX(選手一覧!$G$7:$G$2738,$F1097)="","",INDEX(選手一覧!$G$7:$G$2738,$F1097))</f>
        <v/>
      </c>
    </row>
    <row r="1098" customFormat="false" ht="15" hidden="false" customHeight="false" outlineLevel="0" collapsed="false">
      <c r="A1098" s="12" t="n">
        <v>1094</v>
      </c>
      <c r="B1098" s="10" t="s">
        <v>3180</v>
      </c>
      <c r="C1098" s="10" t="s">
        <v>2844</v>
      </c>
      <c r="D1098" s="11" t="n">
        <v>0.00291990740740741</v>
      </c>
      <c r="E1098" s="18" t="n">
        <f aca="false">ROUND((D1098-$D$5)*86400,2)</f>
        <v>27.25</v>
      </c>
      <c r="F1098" s="12" t="n">
        <v>2236</v>
      </c>
      <c r="G1098" s="11" t="str">
        <f aca="false">IF(INDEX(選手一覧!$D$7:$D$2738,$F1098)="","",INDEX(選手一覧!$D$7:$D$2738,$F1098))</f>
        <v/>
      </c>
      <c r="H1098" s="12" t="str">
        <f aca="false">IF(INDEX(選手一覧!$E$7:$E$2738,$F1098)="","",INDEX(選手一覧!$E$7:$E$2738,$F1098))</f>
        <v/>
      </c>
      <c r="I1098" s="11" t="str">
        <f aca="false">IF(INDEX(選手一覧!$F$7:$F$2738,$F1098)="","",INDEX(選手一覧!$F$7:$F$2738,$F1098))</f>
        <v/>
      </c>
      <c r="J1098" s="12" t="str">
        <f aca="false">IF(INDEX(選手一覧!$G$7:$G$2738,$F1098)="","",INDEX(選手一覧!$G$7:$G$2738,$F1098))</f>
        <v/>
      </c>
    </row>
    <row r="1099" customFormat="false" ht="15" hidden="false" customHeight="false" outlineLevel="0" collapsed="false">
      <c r="A1099" s="12" t="n">
        <v>1095</v>
      </c>
      <c r="B1099" s="10" t="s">
        <v>845</v>
      </c>
      <c r="C1099" s="10" t="s">
        <v>846</v>
      </c>
      <c r="D1099" s="11" t="n">
        <v>0.00291990740740741</v>
      </c>
      <c r="E1099" s="18" t="n">
        <f aca="false">ROUND((D1099-$D$5)*86400,2)</f>
        <v>27.25</v>
      </c>
      <c r="F1099" s="12" t="n">
        <v>552</v>
      </c>
      <c r="G1099" s="11" t="str">
        <f aca="false">IF(INDEX(選手一覧!$D$7:$D$2738,$F1099)="","",INDEX(選手一覧!$D$7:$D$2738,$F1099))</f>
        <v/>
      </c>
      <c r="H1099" s="12" t="str">
        <f aca="false">IF(INDEX(選手一覧!$E$7:$E$2738,$F1099)="","",INDEX(選手一覧!$E$7:$E$2738,$F1099))</f>
        <v/>
      </c>
      <c r="I1099" s="11" t="n">
        <f aca="false">IF(INDEX(選手一覧!$F$7:$F$2738,$F1099)="","",INDEX(選手一覧!$F$7:$F$2738,$F1099))</f>
        <v>0.00689131944444444</v>
      </c>
      <c r="J1099" s="12" t="n">
        <f aca="false">IF(INDEX(選手一覧!$G$7:$G$2738,$F1099)="","",INDEX(選手一覧!$G$7:$G$2738,$F1099))</f>
        <v>231</v>
      </c>
    </row>
    <row r="1100" customFormat="false" ht="15" hidden="false" customHeight="false" outlineLevel="0" collapsed="false">
      <c r="A1100" s="12" t="n">
        <v>1096</v>
      </c>
      <c r="B1100" s="10" t="s">
        <v>3185</v>
      </c>
      <c r="C1100" s="10" t="s">
        <v>3186</v>
      </c>
      <c r="D1100" s="11" t="n">
        <v>0.00292002314814815</v>
      </c>
      <c r="E1100" s="18" t="n">
        <f aca="false">ROUND((D1100-$D$5)*86400,2)</f>
        <v>27.26</v>
      </c>
      <c r="F1100" s="12" t="n">
        <v>2240</v>
      </c>
      <c r="G1100" s="11" t="str">
        <f aca="false">IF(INDEX(選手一覧!$D$7:$D$2738,$F1100)="","",INDEX(選手一覧!$D$7:$D$2738,$F1100))</f>
        <v/>
      </c>
      <c r="H1100" s="12" t="str">
        <f aca="false">IF(INDEX(選手一覧!$E$7:$E$2738,$F1100)="","",INDEX(選手一覧!$E$7:$E$2738,$F1100))</f>
        <v/>
      </c>
      <c r="I1100" s="11" t="str">
        <f aca="false">IF(INDEX(選手一覧!$F$7:$F$2738,$F1100)="","",INDEX(選手一覧!$F$7:$F$2738,$F1100))</f>
        <v/>
      </c>
      <c r="J1100" s="12" t="str">
        <f aca="false">IF(INDEX(選手一覧!$G$7:$G$2738,$F1100)="","",INDEX(選手一覧!$G$7:$G$2738,$F1100))</f>
        <v/>
      </c>
    </row>
    <row r="1101" customFormat="false" ht="15" hidden="false" customHeight="false" outlineLevel="0" collapsed="false">
      <c r="A1101" s="12" t="n">
        <v>1097</v>
      </c>
      <c r="B1101" s="10" t="s">
        <v>3189</v>
      </c>
      <c r="C1101" s="10" t="s">
        <v>2106</v>
      </c>
      <c r="D1101" s="11" t="n">
        <v>0.00292002314814815</v>
      </c>
      <c r="E1101" s="18" t="n">
        <f aca="false">ROUND((D1101-$D$5)*86400,2)</f>
        <v>27.26</v>
      </c>
      <c r="F1101" s="12" t="n">
        <v>2242</v>
      </c>
      <c r="G1101" s="11" t="str">
        <f aca="false">IF(INDEX(選手一覧!$D$7:$D$2738,$F1101)="","",INDEX(選手一覧!$D$7:$D$2738,$F1101))</f>
        <v/>
      </c>
      <c r="H1101" s="12" t="str">
        <f aca="false">IF(INDEX(選手一覧!$E$7:$E$2738,$F1101)="","",INDEX(選手一覧!$E$7:$E$2738,$F1101))</f>
        <v/>
      </c>
      <c r="I1101" s="11" t="str">
        <f aca="false">IF(INDEX(選手一覧!$F$7:$F$2738,$F1101)="","",INDEX(選手一覧!$F$7:$F$2738,$F1101))</f>
        <v/>
      </c>
      <c r="J1101" s="12" t="str">
        <f aca="false">IF(INDEX(選手一覧!$G$7:$G$2738,$F1101)="","",INDEX(選手一覧!$G$7:$G$2738,$F1101))</f>
        <v/>
      </c>
    </row>
    <row r="1102" customFormat="false" ht="15" hidden="false" customHeight="false" outlineLevel="0" collapsed="false">
      <c r="A1102" s="12" t="n">
        <v>1098</v>
      </c>
      <c r="B1102" s="10" t="s">
        <v>2334</v>
      </c>
      <c r="C1102" s="10" t="s">
        <v>1210</v>
      </c>
      <c r="D1102" s="11" t="n">
        <v>0.00292013888888889</v>
      </c>
      <c r="E1102" s="18" t="n">
        <f aca="false">ROUND((D1102-$D$5)*86400,2)</f>
        <v>27.27</v>
      </c>
      <c r="F1102" s="12" t="n">
        <v>1615</v>
      </c>
      <c r="G1102" s="11" t="n">
        <f aca="false">IF(INDEX(選手一覧!$D$7:$D$2738,$F1102)="","",INDEX(選手一覧!$D$7:$D$2738,$F1102))</f>
        <v>0.0108137731481482</v>
      </c>
      <c r="H1102" s="12" t="n">
        <f aca="false">IF(INDEX(選手一覧!$E$7:$E$2738,$F1102)="","",INDEX(選手一覧!$E$7:$E$2738,$F1102))</f>
        <v>768</v>
      </c>
      <c r="I1102" s="11" t="str">
        <f aca="false">IF(INDEX(選手一覧!$F$7:$F$2738,$F1102)="","",INDEX(選手一覧!$F$7:$F$2738,$F1102))</f>
        <v/>
      </c>
      <c r="J1102" s="12" t="str">
        <f aca="false">IF(INDEX(選手一覧!$G$7:$G$2738,$F1102)="","",INDEX(選手一覧!$G$7:$G$2738,$F1102))</f>
        <v/>
      </c>
    </row>
    <row r="1103" customFormat="false" ht="15" hidden="false" customHeight="false" outlineLevel="0" collapsed="false">
      <c r="A1103" s="12" t="n">
        <v>1099</v>
      </c>
      <c r="B1103" s="10" t="s">
        <v>3193</v>
      </c>
      <c r="C1103" s="10" t="s">
        <v>1819</v>
      </c>
      <c r="D1103" s="11" t="n">
        <v>0.00292025462962963</v>
      </c>
      <c r="E1103" s="18" t="n">
        <f aca="false">ROUND((D1103-$D$5)*86400,2)</f>
        <v>27.28</v>
      </c>
      <c r="F1103" s="12" t="n">
        <v>2245</v>
      </c>
      <c r="G1103" s="11" t="str">
        <f aca="false">IF(INDEX(選手一覧!$D$7:$D$2738,$F1103)="","",INDEX(選手一覧!$D$7:$D$2738,$F1103))</f>
        <v/>
      </c>
      <c r="H1103" s="12" t="str">
        <f aca="false">IF(INDEX(選手一覧!$E$7:$E$2738,$F1103)="","",INDEX(選手一覧!$E$7:$E$2738,$F1103))</f>
        <v/>
      </c>
      <c r="I1103" s="11" t="str">
        <f aca="false">IF(INDEX(選手一覧!$F$7:$F$2738,$F1103)="","",INDEX(選手一覧!$F$7:$F$2738,$F1103))</f>
        <v/>
      </c>
      <c r="J1103" s="12" t="str">
        <f aca="false">IF(INDEX(選手一覧!$G$7:$G$2738,$F1103)="","",INDEX(選手一覧!$G$7:$G$2738,$F1103))</f>
        <v/>
      </c>
    </row>
    <row r="1104" customFormat="false" ht="15" hidden="false" customHeight="false" outlineLevel="0" collapsed="false">
      <c r="A1104" s="12" t="n">
        <v>1100</v>
      </c>
      <c r="B1104" s="10" t="s">
        <v>1842</v>
      </c>
      <c r="C1104" s="10" t="s">
        <v>1843</v>
      </c>
      <c r="D1104" s="11" t="n">
        <v>0.00292025462962963</v>
      </c>
      <c r="E1104" s="18" t="n">
        <f aca="false">ROUND((D1104-$D$5)*86400,2)</f>
        <v>27.28</v>
      </c>
      <c r="F1104" s="12" t="n">
        <v>1268</v>
      </c>
      <c r="G1104" s="11" t="n">
        <f aca="false">IF(INDEX(選手一覧!$D$7:$D$2738,$F1104)="","",INDEX(選手一覧!$D$7:$D$2738,$F1104))</f>
        <v>0.0110297453703704</v>
      </c>
      <c r="H1104" s="12" t="n">
        <f aca="false">IF(INDEX(選手一覧!$E$7:$E$2738,$F1104)="","",INDEX(選手一覧!$E$7:$E$2738,$F1104))</f>
        <v>1151</v>
      </c>
      <c r="I1104" s="11" t="n">
        <f aca="false">IF(INDEX(選手一覧!$F$7:$F$2738,$F1104)="","",INDEX(選手一覧!$F$7:$F$2738,$F1104))</f>
        <v>0.00723888888888889</v>
      </c>
      <c r="J1104" s="12" t="n">
        <f aca="false">IF(INDEX(選手一覧!$G$7:$G$2738,$F1104)="","",INDEX(選手一覧!$G$7:$G$2738,$F1104))</f>
        <v>586</v>
      </c>
    </row>
    <row r="1105" customFormat="false" ht="15" hidden="false" customHeight="false" outlineLevel="0" collapsed="false">
      <c r="A1105" s="12" t="n">
        <v>1101</v>
      </c>
      <c r="B1105" s="10" t="s">
        <v>3198</v>
      </c>
      <c r="C1105" s="10" t="s">
        <v>505</v>
      </c>
      <c r="D1105" s="11" t="n">
        <v>0.00292025462962963</v>
      </c>
      <c r="E1105" s="18" t="n">
        <f aca="false">ROUND((D1105-$D$5)*86400,2)</f>
        <v>27.28</v>
      </c>
      <c r="F1105" s="12" t="n">
        <v>2249</v>
      </c>
      <c r="G1105" s="11" t="str">
        <f aca="false">IF(INDEX(選手一覧!$D$7:$D$2738,$F1105)="","",INDEX(選手一覧!$D$7:$D$2738,$F1105))</f>
        <v/>
      </c>
      <c r="H1105" s="12" t="str">
        <f aca="false">IF(INDEX(選手一覧!$E$7:$E$2738,$F1105)="","",INDEX(選手一覧!$E$7:$E$2738,$F1105))</f>
        <v/>
      </c>
      <c r="I1105" s="11" t="str">
        <f aca="false">IF(INDEX(選手一覧!$F$7:$F$2738,$F1105)="","",INDEX(選手一覧!$F$7:$F$2738,$F1105))</f>
        <v/>
      </c>
      <c r="J1105" s="12" t="str">
        <f aca="false">IF(INDEX(選手一覧!$G$7:$G$2738,$F1105)="","",INDEX(選手一覧!$G$7:$G$2738,$F1105))</f>
        <v/>
      </c>
    </row>
    <row r="1106" customFormat="false" ht="15" hidden="false" customHeight="false" outlineLevel="0" collapsed="false">
      <c r="A1106" s="12" t="n">
        <v>1102</v>
      </c>
      <c r="B1106" s="10" t="s">
        <v>433</v>
      </c>
      <c r="C1106" s="10" t="s">
        <v>434</v>
      </c>
      <c r="D1106" s="11" t="n">
        <v>0.00292025462962963</v>
      </c>
      <c r="E1106" s="18" t="n">
        <f aca="false">ROUND((D1106-$D$5)*86400,2)</f>
        <v>27.28</v>
      </c>
      <c r="F1106" s="12" t="n">
        <v>266</v>
      </c>
      <c r="G1106" s="11" t="str">
        <f aca="false">IF(INDEX(選手一覧!$D$7:$D$2738,$F1106)="","",INDEX(選手一覧!$D$7:$D$2738,$F1106))</f>
        <v/>
      </c>
      <c r="H1106" s="12" t="str">
        <f aca="false">IF(INDEX(選手一覧!$E$7:$E$2738,$F1106)="","",INDEX(選手一覧!$E$7:$E$2738,$F1106))</f>
        <v/>
      </c>
      <c r="I1106" s="11" t="n">
        <f aca="false">IF(INDEX(選手一覧!$F$7:$F$2738,$F1106)="","",INDEX(選手一覧!$F$7:$F$2738,$F1106))</f>
        <v>0.00670486111111111</v>
      </c>
      <c r="J1106" s="12" t="n">
        <f aca="false">IF(INDEX(選手一覧!$G$7:$G$2738,$F1106)="","",INDEX(選手一覧!$G$7:$G$2738,$F1106))</f>
        <v>110</v>
      </c>
    </row>
    <row r="1107" customFormat="false" ht="15" hidden="false" customHeight="false" outlineLevel="0" collapsed="false">
      <c r="A1107" s="12" t="n">
        <v>1103</v>
      </c>
      <c r="B1107" s="10" t="s">
        <v>3204</v>
      </c>
      <c r="C1107" s="10" t="s">
        <v>290</v>
      </c>
      <c r="D1107" s="11" t="n">
        <v>0.00292025462962963</v>
      </c>
      <c r="E1107" s="18" t="n">
        <f aca="false">ROUND((D1107-$D$5)*86400,2)</f>
        <v>27.28</v>
      </c>
      <c r="F1107" s="12" t="n">
        <v>2253</v>
      </c>
      <c r="G1107" s="11" t="str">
        <f aca="false">IF(INDEX(選手一覧!$D$7:$D$2738,$F1107)="","",INDEX(選手一覧!$D$7:$D$2738,$F1107))</f>
        <v/>
      </c>
      <c r="H1107" s="12" t="str">
        <f aca="false">IF(INDEX(選手一覧!$E$7:$E$2738,$F1107)="","",INDEX(選手一覧!$E$7:$E$2738,$F1107))</f>
        <v/>
      </c>
      <c r="I1107" s="11" t="str">
        <f aca="false">IF(INDEX(選手一覧!$F$7:$F$2738,$F1107)="","",INDEX(選手一覧!$F$7:$F$2738,$F1107))</f>
        <v/>
      </c>
      <c r="J1107" s="12" t="str">
        <f aca="false">IF(INDEX(選手一覧!$G$7:$G$2738,$F1107)="","",INDEX(選手一覧!$G$7:$G$2738,$F1107))</f>
        <v/>
      </c>
    </row>
    <row r="1108" customFormat="false" ht="15" hidden="false" customHeight="false" outlineLevel="0" collapsed="false">
      <c r="A1108" s="12" t="n">
        <v>1104</v>
      </c>
      <c r="B1108" s="10" t="s">
        <v>3207</v>
      </c>
      <c r="C1108" s="10" t="s">
        <v>2517</v>
      </c>
      <c r="D1108" s="11" t="n">
        <v>0.00292037037037037</v>
      </c>
      <c r="E1108" s="18" t="n">
        <f aca="false">ROUND((D1108-$D$5)*86400,2)</f>
        <v>27.29</v>
      </c>
      <c r="F1108" s="12" t="n">
        <v>2255</v>
      </c>
      <c r="G1108" s="11" t="str">
        <f aca="false">IF(INDEX(選手一覧!$D$7:$D$2738,$F1108)="","",INDEX(選手一覧!$D$7:$D$2738,$F1108))</f>
        <v/>
      </c>
      <c r="H1108" s="12" t="str">
        <f aca="false">IF(INDEX(選手一覧!$E$7:$E$2738,$F1108)="","",INDEX(選手一覧!$E$7:$E$2738,$F1108))</f>
        <v/>
      </c>
      <c r="I1108" s="11" t="str">
        <f aca="false">IF(INDEX(選手一覧!$F$7:$F$2738,$F1108)="","",INDEX(選手一覧!$F$7:$F$2738,$F1108))</f>
        <v/>
      </c>
      <c r="J1108" s="12" t="str">
        <f aca="false">IF(INDEX(選手一覧!$G$7:$G$2738,$F1108)="","",INDEX(選手一覧!$G$7:$G$2738,$F1108))</f>
        <v/>
      </c>
    </row>
    <row r="1109" customFormat="false" ht="15" hidden="false" customHeight="false" outlineLevel="0" collapsed="false">
      <c r="A1109" s="12" t="n">
        <v>1105</v>
      </c>
      <c r="B1109" s="10" t="s">
        <v>1338</v>
      </c>
      <c r="C1109" s="10" t="s">
        <v>36</v>
      </c>
      <c r="D1109" s="11" t="n">
        <v>0.00292060185185185</v>
      </c>
      <c r="E1109" s="18" t="n">
        <f aca="false">ROUND((D1109-$D$5)*86400,2)</f>
        <v>27.31</v>
      </c>
      <c r="F1109" s="12" t="n">
        <v>910</v>
      </c>
      <c r="G1109" s="11" t="n">
        <f aca="false">IF(INDEX(選手一覧!$D$7:$D$2738,$F1109)="","",INDEX(選手一覧!$D$7:$D$2738,$F1109))</f>
        <v>0.0105568287037037</v>
      </c>
      <c r="H1109" s="12" t="n">
        <f aca="false">IF(INDEX(選手一覧!$E$7:$E$2738,$F1109)="","",INDEX(選手一覧!$E$7:$E$2738,$F1109))</f>
        <v>406</v>
      </c>
      <c r="I1109" s="11" t="str">
        <f aca="false">IF(INDEX(選手一覧!$F$7:$F$2738,$F1109)="","",INDEX(選手一覧!$F$7:$F$2738,$F1109))</f>
        <v/>
      </c>
      <c r="J1109" s="12" t="str">
        <f aca="false">IF(INDEX(選手一覧!$G$7:$G$2738,$F1109)="","",INDEX(選手一覧!$G$7:$G$2738,$F1109))</f>
        <v/>
      </c>
    </row>
    <row r="1110" customFormat="false" ht="15" hidden="false" customHeight="false" outlineLevel="0" collapsed="false">
      <c r="A1110" s="12" t="n">
        <v>1106</v>
      </c>
      <c r="B1110" s="10" t="s">
        <v>2861</v>
      </c>
      <c r="C1110" s="10" t="s">
        <v>2862</v>
      </c>
      <c r="D1110" s="11" t="n">
        <v>0.00292060185185185</v>
      </c>
      <c r="E1110" s="18" t="n">
        <f aca="false">ROUND((D1110-$D$5)*86400,2)</f>
        <v>27.31</v>
      </c>
      <c r="F1110" s="12" t="n">
        <v>2002</v>
      </c>
      <c r="G1110" s="11" t="n">
        <f aca="false">IF(INDEX(選手一覧!$D$7:$D$2738,$F1110)="","",INDEX(選手一覧!$D$7:$D$2738,$F1110))</f>
        <v>0.0109322916666667</v>
      </c>
      <c r="H1110" s="12" t="n">
        <f aca="false">IF(INDEX(選手一覧!$E$7:$E$2738,$F1110)="","",INDEX(選手一覧!$E$7:$E$2738,$F1110))</f>
        <v>970</v>
      </c>
      <c r="I1110" s="11" t="str">
        <f aca="false">IF(INDEX(選手一覧!$F$7:$F$2738,$F1110)="","",INDEX(選手一覧!$F$7:$F$2738,$F1110))</f>
        <v/>
      </c>
      <c r="J1110" s="12" t="str">
        <f aca="false">IF(INDEX(選手一覧!$G$7:$G$2738,$F1110)="","",INDEX(選手一覧!$G$7:$G$2738,$F1110))</f>
        <v/>
      </c>
    </row>
    <row r="1111" customFormat="false" ht="15" hidden="false" customHeight="false" outlineLevel="0" collapsed="false">
      <c r="A1111" s="12" t="n">
        <v>1107</v>
      </c>
      <c r="B1111" s="10" t="s">
        <v>1583</v>
      </c>
      <c r="C1111" s="10" t="s">
        <v>1020</v>
      </c>
      <c r="D1111" s="11" t="n">
        <v>0.00292071759259259</v>
      </c>
      <c r="E1111" s="18" t="n">
        <f aca="false">ROUND((D1111-$D$5)*86400,2)</f>
        <v>27.32</v>
      </c>
      <c r="F1111" s="12" t="n">
        <v>1091</v>
      </c>
      <c r="G1111" s="11" t="n">
        <f aca="false">IF(INDEX(選手一覧!$D$7:$D$2738,$F1111)="","",INDEX(選手一覧!$D$7:$D$2738,$F1111))</f>
        <v>0.0110524305555556</v>
      </c>
      <c r="H1111" s="12" t="n">
        <f aca="false">IF(INDEX(選手一覧!$E$7:$E$2738,$F1111)="","",INDEX(選手一覧!$E$7:$E$2738,$F1111))</f>
        <v>1203</v>
      </c>
      <c r="I1111" s="11" t="n">
        <f aca="false">IF(INDEX(選手一覧!$F$7:$F$2738,$F1111)="","",INDEX(選手一覧!$F$7:$F$2738,$F1111))</f>
        <v>0.00715798611111111</v>
      </c>
      <c r="J1111" s="12" t="n">
        <f aca="false">IF(INDEX(選手一覧!$G$7:$G$2738,$F1111)="","",INDEX(選手一覧!$G$7:$G$2738,$F1111))</f>
        <v>494</v>
      </c>
    </row>
    <row r="1112" customFormat="false" ht="15" hidden="false" customHeight="false" outlineLevel="0" collapsed="false">
      <c r="A1112" s="12" t="n">
        <v>1108</v>
      </c>
      <c r="B1112" s="10" t="s">
        <v>3217</v>
      </c>
      <c r="C1112" s="10" t="s">
        <v>3218</v>
      </c>
      <c r="D1112" s="11" t="n">
        <v>0.00292106481481482</v>
      </c>
      <c r="E1112" s="18" t="n">
        <f aca="false">ROUND((D1112-$D$5)*86400,2)</f>
        <v>27.35</v>
      </c>
      <c r="F1112" s="12" t="n">
        <v>2263</v>
      </c>
      <c r="G1112" s="11" t="str">
        <f aca="false">IF(INDEX(選手一覧!$D$7:$D$2738,$F1112)="","",INDEX(選手一覧!$D$7:$D$2738,$F1112))</f>
        <v/>
      </c>
      <c r="H1112" s="12" t="str">
        <f aca="false">IF(INDEX(選手一覧!$E$7:$E$2738,$F1112)="","",INDEX(選手一覧!$E$7:$E$2738,$F1112))</f>
        <v/>
      </c>
      <c r="I1112" s="11" t="str">
        <f aca="false">IF(INDEX(選手一覧!$F$7:$F$2738,$F1112)="","",INDEX(選手一覧!$F$7:$F$2738,$F1112))</f>
        <v/>
      </c>
      <c r="J1112" s="12" t="str">
        <f aca="false">IF(INDEX(選手一覧!$G$7:$G$2738,$F1112)="","",INDEX(選手一覧!$G$7:$G$2738,$F1112))</f>
        <v/>
      </c>
    </row>
    <row r="1113" customFormat="false" ht="15" hidden="false" customHeight="false" outlineLevel="0" collapsed="false">
      <c r="A1113" s="12" t="n">
        <v>1109</v>
      </c>
      <c r="B1113" s="10" t="s">
        <v>3221</v>
      </c>
      <c r="C1113" s="10" t="s">
        <v>3222</v>
      </c>
      <c r="D1113" s="11" t="n">
        <v>0.00292118055555556</v>
      </c>
      <c r="E1113" s="18" t="n">
        <f aca="false">ROUND((D1113-$D$5)*86400,2)</f>
        <v>27.36</v>
      </c>
      <c r="F1113" s="12" t="n">
        <v>2266</v>
      </c>
      <c r="G1113" s="11" t="str">
        <f aca="false">IF(INDEX(選手一覧!$D$7:$D$2738,$F1113)="","",INDEX(選手一覧!$D$7:$D$2738,$F1113))</f>
        <v/>
      </c>
      <c r="H1113" s="12" t="str">
        <f aca="false">IF(INDEX(選手一覧!$E$7:$E$2738,$F1113)="","",INDEX(選手一覧!$E$7:$E$2738,$F1113))</f>
        <v/>
      </c>
      <c r="I1113" s="11" t="str">
        <f aca="false">IF(INDEX(選手一覧!$F$7:$F$2738,$F1113)="","",INDEX(選手一覧!$F$7:$F$2738,$F1113))</f>
        <v/>
      </c>
      <c r="J1113" s="12" t="str">
        <f aca="false">IF(INDEX(選手一覧!$G$7:$G$2738,$F1113)="","",INDEX(選手一覧!$G$7:$G$2738,$F1113))</f>
        <v/>
      </c>
    </row>
    <row r="1114" customFormat="false" ht="15" hidden="false" customHeight="false" outlineLevel="0" collapsed="false">
      <c r="A1114" s="12" t="n">
        <v>1110</v>
      </c>
      <c r="B1114" s="10" t="s">
        <v>3224</v>
      </c>
      <c r="C1114" s="10" t="s">
        <v>2457</v>
      </c>
      <c r="D1114" s="11" t="n">
        <v>0.00292141203703704</v>
      </c>
      <c r="E1114" s="18" t="n">
        <f aca="false">ROUND((D1114-$D$5)*86400,2)</f>
        <v>27.38</v>
      </c>
      <c r="F1114" s="12" t="n">
        <v>2268</v>
      </c>
      <c r="G1114" s="11" t="str">
        <f aca="false">IF(INDEX(選手一覧!$D$7:$D$2738,$F1114)="","",INDEX(選手一覧!$D$7:$D$2738,$F1114))</f>
        <v/>
      </c>
      <c r="H1114" s="12" t="str">
        <f aca="false">IF(INDEX(選手一覧!$E$7:$E$2738,$F1114)="","",INDEX(選手一覧!$E$7:$E$2738,$F1114))</f>
        <v/>
      </c>
      <c r="I1114" s="11" t="str">
        <f aca="false">IF(INDEX(選手一覧!$F$7:$F$2738,$F1114)="","",INDEX(選手一覧!$F$7:$F$2738,$F1114))</f>
        <v/>
      </c>
      <c r="J1114" s="12" t="str">
        <f aca="false">IF(INDEX(選手一覧!$G$7:$G$2738,$F1114)="","",INDEX(選手一覧!$G$7:$G$2738,$F1114))</f>
        <v/>
      </c>
    </row>
    <row r="1115" customFormat="false" ht="15" hidden="false" customHeight="false" outlineLevel="0" collapsed="false">
      <c r="A1115" s="12" t="n">
        <v>1111</v>
      </c>
      <c r="B1115" s="10" t="s">
        <v>3225</v>
      </c>
      <c r="C1115" s="10" t="s">
        <v>2155</v>
      </c>
      <c r="D1115" s="11" t="n">
        <v>0.00292141203703704</v>
      </c>
      <c r="E1115" s="18" t="n">
        <f aca="false">ROUND((D1115-$D$5)*86400,2)</f>
        <v>27.38</v>
      </c>
      <c r="F1115" s="12" t="n">
        <v>2269</v>
      </c>
      <c r="G1115" s="11" t="n">
        <f aca="false">IF(INDEX(選手一覧!$D$7:$D$2738,$F1115)="","",INDEX(選手一覧!$D$7:$D$2738,$F1115))</f>
        <v>0.0110283564814815</v>
      </c>
      <c r="H1115" s="12" t="n">
        <f aca="false">IF(INDEX(選手一覧!$E$7:$E$2738,$F1115)="","",INDEX(選手一覧!$E$7:$E$2738,$F1115))</f>
        <v>1147</v>
      </c>
      <c r="I1115" s="11" t="str">
        <f aca="false">IF(INDEX(選手一覧!$F$7:$F$2738,$F1115)="","",INDEX(選手一覧!$F$7:$F$2738,$F1115))</f>
        <v/>
      </c>
      <c r="J1115" s="12" t="str">
        <f aca="false">IF(INDEX(選手一覧!$G$7:$G$2738,$F1115)="","",INDEX(選手一覧!$G$7:$G$2738,$F1115))</f>
        <v/>
      </c>
    </row>
    <row r="1116" customFormat="false" ht="15" hidden="false" customHeight="false" outlineLevel="0" collapsed="false">
      <c r="A1116" s="12" t="n">
        <v>1112</v>
      </c>
      <c r="B1116" s="10" t="s">
        <v>3228</v>
      </c>
      <c r="C1116" s="10" t="s">
        <v>1843</v>
      </c>
      <c r="D1116" s="11" t="n">
        <v>0.00292199074074074</v>
      </c>
      <c r="E1116" s="18" t="n">
        <f aca="false">ROUND((D1116-$D$5)*86400,2)</f>
        <v>27.43</v>
      </c>
      <c r="F1116" s="12" t="n">
        <v>2272</v>
      </c>
      <c r="G1116" s="11" t="n">
        <f aca="false">IF(INDEX(選手一覧!$D$7:$D$2738,$F1116)="","",INDEX(選手一覧!$D$7:$D$2738,$F1116))</f>
        <v>0.0110561342592593</v>
      </c>
      <c r="H1116" s="12" t="n">
        <f aca="false">IF(INDEX(選手一覧!$E$7:$E$2738,$F1116)="","",INDEX(選手一覧!$E$7:$E$2738,$F1116))</f>
        <v>1210</v>
      </c>
      <c r="I1116" s="11" t="str">
        <f aca="false">IF(INDEX(選手一覧!$F$7:$F$2738,$F1116)="","",INDEX(選手一覧!$F$7:$F$2738,$F1116))</f>
        <v/>
      </c>
      <c r="J1116" s="12" t="str">
        <f aca="false">IF(INDEX(選手一覧!$G$7:$G$2738,$F1116)="","",INDEX(選手一覧!$G$7:$G$2738,$F1116))</f>
        <v/>
      </c>
    </row>
    <row r="1117" customFormat="false" ht="15" hidden="false" customHeight="false" outlineLevel="0" collapsed="false">
      <c r="A1117" s="12" t="n">
        <v>1113</v>
      </c>
      <c r="B1117" s="10" t="s">
        <v>1139</v>
      </c>
      <c r="C1117" s="10" t="s">
        <v>1140</v>
      </c>
      <c r="D1117" s="11" t="n">
        <v>0.00292199074074074</v>
      </c>
      <c r="E1117" s="18" t="n">
        <f aca="false">ROUND((D1117-$D$5)*86400,2)</f>
        <v>27.43</v>
      </c>
      <c r="F1117" s="12" t="n">
        <v>769</v>
      </c>
      <c r="G1117" s="11" t="str">
        <f aca="false">IF(INDEX(選手一覧!$D$7:$D$2738,$F1117)="","",INDEX(選手一覧!$D$7:$D$2738,$F1117))</f>
        <v/>
      </c>
      <c r="H1117" s="12" t="str">
        <f aca="false">IF(INDEX(選手一覧!$E$7:$E$2738,$F1117)="","",INDEX(選手一覧!$E$7:$E$2738,$F1117))</f>
        <v/>
      </c>
      <c r="I1117" s="11" t="n">
        <f aca="false">IF(INDEX(選手一覧!$F$7:$F$2738,$F1117)="","",INDEX(選手一覧!$F$7:$F$2738,$F1117))</f>
        <v>0.00699722222222222</v>
      </c>
      <c r="J1117" s="12" t="n">
        <f aca="false">IF(INDEX(選手一覧!$G$7:$G$2738,$F1117)="","",INDEX(選手一覧!$G$7:$G$2738,$F1117))</f>
        <v>333</v>
      </c>
    </row>
    <row r="1118" customFormat="false" ht="15" hidden="false" customHeight="false" outlineLevel="0" collapsed="false">
      <c r="A1118" s="12" t="n">
        <v>1114</v>
      </c>
      <c r="B1118" s="10" t="s">
        <v>1719</v>
      </c>
      <c r="C1118" s="10" t="s">
        <v>505</v>
      </c>
      <c r="D1118" s="11" t="n">
        <v>0.00292210648148148</v>
      </c>
      <c r="E1118" s="18" t="n">
        <f aca="false">ROUND((D1118-$D$5)*86400,2)</f>
        <v>27.44</v>
      </c>
      <c r="F1118" s="12" t="n">
        <v>1185</v>
      </c>
      <c r="G1118" s="11" t="str">
        <f aca="false">IF(INDEX(選手一覧!$D$7:$D$2738,$F1118)="","",INDEX(選手一覧!$D$7:$D$2738,$F1118))</f>
        <v/>
      </c>
      <c r="H1118" s="12" t="str">
        <f aca="false">IF(INDEX(選手一覧!$E$7:$E$2738,$F1118)="","",INDEX(選手一覧!$E$7:$E$2738,$F1118))</f>
        <v/>
      </c>
      <c r="I1118" s="11" t="n">
        <f aca="false">IF(INDEX(選手一覧!$F$7:$F$2738,$F1118)="","",INDEX(選手一覧!$F$7:$F$2738,$F1118))</f>
        <v>0.00720474537037037</v>
      </c>
      <c r="J1118" s="12" t="n">
        <f aca="false">IF(INDEX(選手一覧!$G$7:$G$2738,$F1118)="","",INDEX(選手一覧!$G$7:$G$2738,$F1118))</f>
        <v>542</v>
      </c>
    </row>
    <row r="1119" customFormat="false" ht="15" hidden="false" customHeight="false" outlineLevel="0" collapsed="false">
      <c r="A1119" s="12" t="n">
        <v>1115</v>
      </c>
      <c r="B1119" s="10" t="s">
        <v>668</v>
      </c>
      <c r="C1119" s="10" t="s">
        <v>263</v>
      </c>
      <c r="D1119" s="11" t="n">
        <v>0.00292210648148148</v>
      </c>
      <c r="E1119" s="18" t="n">
        <f aca="false">ROUND((D1119-$D$5)*86400,2)</f>
        <v>27.44</v>
      </c>
      <c r="F1119" s="12" t="n">
        <v>425</v>
      </c>
      <c r="G1119" s="11" t="n">
        <f aca="false">IF(INDEX(選手一覧!$D$7:$D$2738,$F1119)="","",INDEX(選手一覧!$D$7:$D$2738,$F1119))</f>
        <v>0.0107228009259259</v>
      </c>
      <c r="H1119" s="12" t="n">
        <f aca="false">IF(INDEX(選手一覧!$E$7:$E$2738,$F1119)="","",INDEX(選手一覧!$E$7:$E$2738,$F1119))</f>
        <v>616</v>
      </c>
      <c r="I1119" s="11" t="n">
        <f aca="false">IF(INDEX(選手一覧!$F$7:$F$2738,$F1119)="","",INDEX(選手一覧!$F$7:$F$2738,$F1119))</f>
        <v>0.00680914351851852</v>
      </c>
      <c r="J1119" s="12" t="n">
        <f aca="false">IF(INDEX(選手一覧!$G$7:$G$2738,$F1119)="","",INDEX(選手一覧!$G$7:$G$2738,$F1119))</f>
        <v>179</v>
      </c>
    </row>
    <row r="1120" customFormat="false" ht="15" hidden="false" customHeight="false" outlineLevel="0" collapsed="false">
      <c r="A1120" s="12" t="n">
        <v>1116</v>
      </c>
      <c r="B1120" s="10" t="s">
        <v>1471</v>
      </c>
      <c r="C1120" s="10" t="s">
        <v>124</v>
      </c>
      <c r="D1120" s="11" t="n">
        <v>0.00292222222222222</v>
      </c>
      <c r="E1120" s="18" t="n">
        <f aca="false">ROUND((D1120-$D$5)*86400,2)</f>
        <v>27.45</v>
      </c>
      <c r="F1120" s="12" t="n">
        <v>1009</v>
      </c>
      <c r="G1120" s="11" t="n">
        <f aca="false">IF(INDEX(選手一覧!$D$7:$D$2738,$F1120)="","",INDEX(選手一覧!$D$7:$D$2738,$F1120))</f>
        <v>0.0105880787037037</v>
      </c>
      <c r="H1120" s="12" t="n">
        <f aca="false">IF(INDEX(選手一覧!$E$7:$E$2738,$F1120)="","",INDEX(選手一覧!$E$7:$E$2738,$F1120))</f>
        <v>452</v>
      </c>
      <c r="I1120" s="11" t="str">
        <f aca="false">IF(INDEX(選手一覧!$F$7:$F$2738,$F1120)="","",INDEX(選手一覧!$F$7:$F$2738,$F1120))</f>
        <v/>
      </c>
      <c r="J1120" s="12" t="str">
        <f aca="false">IF(INDEX(選手一覧!$G$7:$G$2738,$F1120)="","",INDEX(選手一覧!$G$7:$G$2738,$F1120))</f>
        <v/>
      </c>
    </row>
    <row r="1121" customFormat="false" ht="15" hidden="false" customHeight="false" outlineLevel="0" collapsed="false">
      <c r="A1121" s="12" t="n">
        <v>1117</v>
      </c>
      <c r="B1121" s="10" t="s">
        <v>3240</v>
      </c>
      <c r="C1121" s="10" t="s">
        <v>546</v>
      </c>
      <c r="D1121" s="11" t="n">
        <v>0.00292233796296296</v>
      </c>
      <c r="E1121" s="18" t="n">
        <f aca="false">ROUND((D1121-$D$5)*86400,2)</f>
        <v>27.46</v>
      </c>
      <c r="F1121" s="12" t="n">
        <v>2282</v>
      </c>
      <c r="G1121" s="11" t="str">
        <f aca="false">IF(INDEX(選手一覧!$D$7:$D$2738,$F1121)="","",INDEX(選手一覧!$D$7:$D$2738,$F1121))</f>
        <v/>
      </c>
      <c r="H1121" s="12" t="str">
        <f aca="false">IF(INDEX(選手一覧!$E$7:$E$2738,$F1121)="","",INDEX(選手一覧!$E$7:$E$2738,$F1121))</f>
        <v/>
      </c>
      <c r="I1121" s="11" t="str">
        <f aca="false">IF(INDEX(選手一覧!$F$7:$F$2738,$F1121)="","",INDEX(選手一覧!$F$7:$F$2738,$F1121))</f>
        <v/>
      </c>
      <c r="J1121" s="12" t="str">
        <f aca="false">IF(INDEX(選手一覧!$G$7:$G$2738,$F1121)="","",INDEX(選手一覧!$G$7:$G$2738,$F1121))</f>
        <v/>
      </c>
    </row>
    <row r="1122" customFormat="false" ht="15" hidden="false" customHeight="false" outlineLevel="0" collapsed="false">
      <c r="A1122" s="12" t="n">
        <v>1118</v>
      </c>
      <c r="B1122" s="10" t="s">
        <v>3242</v>
      </c>
      <c r="C1122" s="10" t="s">
        <v>3243</v>
      </c>
      <c r="D1122" s="11" t="n">
        <v>0.00292233796296296</v>
      </c>
      <c r="E1122" s="18" t="n">
        <f aca="false">ROUND((D1122-$D$5)*86400,2)</f>
        <v>27.46</v>
      </c>
      <c r="F1122" s="12" t="n">
        <v>2284</v>
      </c>
      <c r="G1122" s="11" t="str">
        <f aca="false">IF(INDEX(選手一覧!$D$7:$D$2738,$F1122)="","",INDEX(選手一覧!$D$7:$D$2738,$F1122))</f>
        <v/>
      </c>
      <c r="H1122" s="12" t="str">
        <f aca="false">IF(INDEX(選手一覧!$E$7:$E$2738,$F1122)="","",INDEX(選手一覧!$E$7:$E$2738,$F1122))</f>
        <v/>
      </c>
      <c r="I1122" s="11" t="str">
        <f aca="false">IF(INDEX(選手一覧!$F$7:$F$2738,$F1122)="","",INDEX(選手一覧!$F$7:$F$2738,$F1122))</f>
        <v/>
      </c>
      <c r="J1122" s="12" t="str">
        <f aca="false">IF(INDEX(選手一覧!$G$7:$G$2738,$F1122)="","",INDEX(選手一覧!$G$7:$G$2738,$F1122))</f>
        <v/>
      </c>
    </row>
    <row r="1123" customFormat="false" ht="15" hidden="false" customHeight="false" outlineLevel="0" collapsed="false">
      <c r="A1123" s="12" t="n">
        <v>1119</v>
      </c>
      <c r="B1123" s="10" t="s">
        <v>1016</v>
      </c>
      <c r="C1123" s="10" t="s">
        <v>116</v>
      </c>
      <c r="D1123" s="11" t="n">
        <v>0.0029224537037037</v>
      </c>
      <c r="E1123" s="18" t="n">
        <f aca="false">ROUND((D1123-$D$5)*86400,2)</f>
        <v>27.47</v>
      </c>
      <c r="F1123" s="12" t="n">
        <v>681</v>
      </c>
      <c r="G1123" s="11" t="n">
        <f aca="false">IF(INDEX(選手一覧!$D$7:$D$2738,$F1123)="","",INDEX(選手一覧!$D$7:$D$2738,$F1123))</f>
        <v>0.0104248842592593</v>
      </c>
      <c r="H1123" s="12" t="n">
        <f aca="false">IF(INDEX(選手一覧!$E$7:$E$2738,$F1123)="","",INDEX(選手一覧!$E$7:$E$2738,$F1123))</f>
        <v>289</v>
      </c>
      <c r="I1123" s="11" t="str">
        <f aca="false">IF(INDEX(選手一覧!$F$7:$F$2738,$F1123)="","",INDEX(選手一覧!$F$7:$F$2738,$F1123))</f>
        <v/>
      </c>
      <c r="J1123" s="12" t="str">
        <f aca="false">IF(INDEX(選手一覧!$G$7:$G$2738,$F1123)="","",INDEX(選手一覧!$G$7:$G$2738,$F1123))</f>
        <v/>
      </c>
    </row>
    <row r="1124" customFormat="false" ht="15" hidden="false" customHeight="false" outlineLevel="0" collapsed="false">
      <c r="A1124" s="12" t="n">
        <v>1120</v>
      </c>
      <c r="B1124" s="10" t="s">
        <v>3248</v>
      </c>
      <c r="C1124" s="10" t="s">
        <v>3249</v>
      </c>
      <c r="D1124" s="11" t="n">
        <v>0.00292256944444444</v>
      </c>
      <c r="E1124" s="18" t="n">
        <f aca="false">ROUND((D1124-$D$5)*86400,2)</f>
        <v>27.48</v>
      </c>
      <c r="F1124" s="12" t="n">
        <v>2287</v>
      </c>
      <c r="G1124" s="11" t="str">
        <f aca="false">IF(INDEX(選手一覧!$D$7:$D$2738,$F1124)="","",INDEX(選手一覧!$D$7:$D$2738,$F1124))</f>
        <v/>
      </c>
      <c r="H1124" s="12" t="str">
        <f aca="false">IF(INDEX(選手一覧!$E$7:$E$2738,$F1124)="","",INDEX(選手一覧!$E$7:$E$2738,$F1124))</f>
        <v/>
      </c>
      <c r="I1124" s="11" t="str">
        <f aca="false">IF(INDEX(選手一覧!$F$7:$F$2738,$F1124)="","",INDEX(選手一覧!$F$7:$F$2738,$F1124))</f>
        <v/>
      </c>
      <c r="J1124" s="12" t="str">
        <f aca="false">IF(INDEX(選手一覧!$G$7:$G$2738,$F1124)="","",INDEX(選手一覧!$G$7:$G$2738,$F1124))</f>
        <v/>
      </c>
    </row>
    <row r="1125" customFormat="false" ht="15" hidden="false" customHeight="false" outlineLevel="0" collapsed="false">
      <c r="A1125" s="12" t="n">
        <v>1121</v>
      </c>
      <c r="B1125" s="10" t="s">
        <v>3252</v>
      </c>
      <c r="C1125" s="10" t="s">
        <v>3253</v>
      </c>
      <c r="D1125" s="11" t="n">
        <v>0.00292256944444444</v>
      </c>
      <c r="E1125" s="18" t="n">
        <f aca="false">ROUND((D1125-$D$5)*86400,2)</f>
        <v>27.48</v>
      </c>
      <c r="F1125" s="12" t="n">
        <v>2289</v>
      </c>
      <c r="G1125" s="11" t="str">
        <f aca="false">IF(INDEX(選手一覧!$D$7:$D$2738,$F1125)="","",INDEX(選手一覧!$D$7:$D$2738,$F1125))</f>
        <v/>
      </c>
      <c r="H1125" s="12" t="str">
        <f aca="false">IF(INDEX(選手一覧!$E$7:$E$2738,$F1125)="","",INDEX(選手一覧!$E$7:$E$2738,$F1125))</f>
        <v/>
      </c>
      <c r="I1125" s="11" t="str">
        <f aca="false">IF(INDEX(選手一覧!$F$7:$F$2738,$F1125)="","",INDEX(選手一覧!$F$7:$F$2738,$F1125))</f>
        <v/>
      </c>
      <c r="J1125" s="12" t="str">
        <f aca="false">IF(INDEX(選手一覧!$G$7:$G$2738,$F1125)="","",INDEX(選手一覧!$G$7:$G$2738,$F1125))</f>
        <v/>
      </c>
    </row>
    <row r="1126" customFormat="false" ht="15" hidden="false" customHeight="false" outlineLevel="0" collapsed="false">
      <c r="A1126" s="12" t="n">
        <v>1122</v>
      </c>
      <c r="B1126" s="10" t="s">
        <v>3255</v>
      </c>
      <c r="C1126" s="10" t="s">
        <v>3256</v>
      </c>
      <c r="D1126" s="11" t="n">
        <v>0.00292256944444444</v>
      </c>
      <c r="E1126" s="18" t="n">
        <f aca="false">ROUND((D1126-$D$5)*86400,2)</f>
        <v>27.48</v>
      </c>
      <c r="F1126" s="12" t="n">
        <v>2291</v>
      </c>
      <c r="G1126" s="11" t="str">
        <f aca="false">IF(INDEX(選手一覧!$D$7:$D$2738,$F1126)="","",INDEX(選手一覧!$D$7:$D$2738,$F1126))</f>
        <v/>
      </c>
      <c r="H1126" s="12" t="str">
        <f aca="false">IF(INDEX(選手一覧!$E$7:$E$2738,$F1126)="","",INDEX(選手一覧!$E$7:$E$2738,$F1126))</f>
        <v/>
      </c>
      <c r="I1126" s="11" t="str">
        <f aca="false">IF(INDEX(選手一覧!$F$7:$F$2738,$F1126)="","",INDEX(選手一覧!$F$7:$F$2738,$F1126))</f>
        <v/>
      </c>
      <c r="J1126" s="12" t="str">
        <f aca="false">IF(INDEX(選手一覧!$G$7:$G$2738,$F1126)="","",INDEX(選手一覧!$G$7:$G$2738,$F1126))</f>
        <v/>
      </c>
    </row>
    <row r="1127" customFormat="false" ht="15" hidden="false" customHeight="false" outlineLevel="0" collapsed="false">
      <c r="A1127" s="12" t="n">
        <v>1123</v>
      </c>
      <c r="B1127" s="10" t="s">
        <v>3258</v>
      </c>
      <c r="C1127" s="10" t="s">
        <v>2041</v>
      </c>
      <c r="D1127" s="11" t="n">
        <v>0.00292291666666667</v>
      </c>
      <c r="E1127" s="18" t="n">
        <f aca="false">ROUND((D1127-$D$5)*86400,2)</f>
        <v>27.51</v>
      </c>
      <c r="F1127" s="12" t="n">
        <v>2293</v>
      </c>
      <c r="G1127" s="11" t="n">
        <f aca="false">IF(INDEX(選手一覧!$D$7:$D$2738,$F1127)="","",INDEX(選手一覧!$D$7:$D$2738,$F1127))</f>
        <v>0.0111005787037037</v>
      </c>
      <c r="H1127" s="12" t="n">
        <f aca="false">IF(INDEX(選手一覧!$E$7:$E$2738,$F1127)="","",INDEX(選手一覧!$E$7:$E$2738,$F1127))</f>
        <v>1271</v>
      </c>
      <c r="I1127" s="11" t="str">
        <f aca="false">IF(INDEX(選手一覧!$F$7:$F$2738,$F1127)="","",INDEX(選手一覧!$F$7:$F$2738,$F1127))</f>
        <v/>
      </c>
      <c r="J1127" s="12" t="str">
        <f aca="false">IF(INDEX(選手一覧!$G$7:$G$2738,$F1127)="","",INDEX(選手一覧!$G$7:$G$2738,$F1127))</f>
        <v/>
      </c>
    </row>
    <row r="1128" customFormat="false" ht="15" hidden="false" customHeight="false" outlineLevel="0" collapsed="false">
      <c r="A1128" s="12" t="n">
        <v>1124</v>
      </c>
      <c r="B1128" s="10" t="s">
        <v>1943</v>
      </c>
      <c r="C1128" s="10" t="s">
        <v>298</v>
      </c>
      <c r="D1128" s="11" t="n">
        <v>0.00292291666666667</v>
      </c>
      <c r="E1128" s="18" t="n">
        <f aca="false">ROUND((D1128-$D$5)*86400,2)</f>
        <v>27.51</v>
      </c>
      <c r="F1128" s="12" t="n">
        <v>1335</v>
      </c>
      <c r="G1128" s="11" t="n">
        <f aca="false">IF(INDEX(選手一覧!$D$7:$D$2738,$F1128)="","",INDEX(選手一覧!$D$7:$D$2738,$F1128))</f>
        <v>0.0107270833333333</v>
      </c>
      <c r="H1128" s="12" t="n">
        <f aca="false">IF(INDEX(選手一覧!$E$7:$E$2738,$F1128)="","",INDEX(選手一覧!$E$7:$E$2738,$F1128))</f>
        <v>624</v>
      </c>
      <c r="I1128" s="11" t="str">
        <f aca="false">IF(INDEX(選手一覧!$F$7:$F$2738,$F1128)="","",INDEX(選手一覧!$F$7:$F$2738,$F1128))</f>
        <v/>
      </c>
      <c r="J1128" s="12" t="str">
        <f aca="false">IF(INDEX(選手一覧!$G$7:$G$2738,$F1128)="","",INDEX(選手一覧!$G$7:$G$2738,$F1128))</f>
        <v/>
      </c>
    </row>
    <row r="1129" customFormat="false" ht="15" hidden="false" customHeight="false" outlineLevel="0" collapsed="false">
      <c r="A1129" s="12" t="n">
        <v>1125</v>
      </c>
      <c r="B1129" s="10" t="s">
        <v>3265</v>
      </c>
      <c r="C1129" s="10" t="s">
        <v>945</v>
      </c>
      <c r="D1129" s="11" t="n">
        <v>0.00292303240740741</v>
      </c>
      <c r="E1129" s="18" t="n">
        <f aca="false">ROUND((D1129-$D$5)*86400,2)</f>
        <v>27.52</v>
      </c>
      <c r="F1129" s="12" t="n">
        <v>2297</v>
      </c>
      <c r="G1129" s="11" t="str">
        <f aca="false">IF(INDEX(選手一覧!$D$7:$D$2738,$F1129)="","",INDEX(選手一覧!$D$7:$D$2738,$F1129))</f>
        <v/>
      </c>
      <c r="H1129" s="12" t="str">
        <f aca="false">IF(INDEX(選手一覧!$E$7:$E$2738,$F1129)="","",INDEX(選手一覧!$E$7:$E$2738,$F1129))</f>
        <v/>
      </c>
      <c r="I1129" s="11" t="str">
        <f aca="false">IF(INDEX(選手一覧!$F$7:$F$2738,$F1129)="","",INDEX(選手一覧!$F$7:$F$2738,$F1129))</f>
        <v/>
      </c>
      <c r="J1129" s="12" t="str">
        <f aca="false">IF(INDEX(選手一覧!$G$7:$G$2738,$F1129)="","",INDEX(選手一覧!$G$7:$G$2738,$F1129))</f>
        <v/>
      </c>
    </row>
    <row r="1130" customFormat="false" ht="15" hidden="false" customHeight="false" outlineLevel="0" collapsed="false">
      <c r="A1130" s="12" t="n">
        <v>1126</v>
      </c>
      <c r="B1130" s="10" t="s">
        <v>2375</v>
      </c>
      <c r="C1130" s="10" t="s">
        <v>25</v>
      </c>
      <c r="D1130" s="11" t="n">
        <v>0.00292303240740741</v>
      </c>
      <c r="E1130" s="18" t="n">
        <f aca="false">ROUND((D1130-$D$5)*86400,2)</f>
        <v>27.52</v>
      </c>
      <c r="F1130" s="12" t="n">
        <v>1648</v>
      </c>
      <c r="G1130" s="11" t="n">
        <f aca="false">IF(INDEX(選手一覧!$D$7:$D$2738,$F1130)="","",INDEX(選手一覧!$D$7:$D$2738,$F1130))</f>
        <v>0.0108256944444445</v>
      </c>
      <c r="H1130" s="12" t="n">
        <f aca="false">IF(INDEX(選手一覧!$E$7:$E$2738,$F1130)="","",INDEX(選手一覧!$E$7:$E$2738,$F1130))</f>
        <v>785</v>
      </c>
      <c r="I1130" s="11" t="str">
        <f aca="false">IF(INDEX(選手一覧!$F$7:$F$2738,$F1130)="","",INDEX(選手一覧!$F$7:$F$2738,$F1130))</f>
        <v/>
      </c>
      <c r="J1130" s="12" t="str">
        <f aca="false">IF(INDEX(選手一覧!$G$7:$G$2738,$F1130)="","",INDEX(選手一覧!$G$7:$G$2738,$F1130))</f>
        <v/>
      </c>
    </row>
    <row r="1131" customFormat="false" ht="15" hidden="false" customHeight="false" outlineLevel="0" collapsed="false">
      <c r="A1131" s="12" t="n">
        <v>1127</v>
      </c>
      <c r="B1131" s="10" t="s">
        <v>3267</v>
      </c>
      <c r="C1131" s="10" t="s">
        <v>555</v>
      </c>
      <c r="D1131" s="11" t="n">
        <v>0.00292314814814815</v>
      </c>
      <c r="E1131" s="18" t="n">
        <f aca="false">ROUND((D1131-$D$5)*86400,2)</f>
        <v>27.53</v>
      </c>
      <c r="F1131" s="12" t="n">
        <v>2299</v>
      </c>
      <c r="G1131" s="11" t="str">
        <f aca="false">IF(INDEX(選手一覧!$D$7:$D$2738,$F1131)="","",INDEX(選手一覧!$D$7:$D$2738,$F1131))</f>
        <v/>
      </c>
      <c r="H1131" s="12" t="str">
        <f aca="false">IF(INDEX(選手一覧!$E$7:$E$2738,$F1131)="","",INDEX(選手一覧!$E$7:$E$2738,$F1131))</f>
        <v/>
      </c>
      <c r="I1131" s="11" t="str">
        <f aca="false">IF(INDEX(選手一覧!$F$7:$F$2738,$F1131)="","",INDEX(選手一覧!$F$7:$F$2738,$F1131))</f>
        <v/>
      </c>
      <c r="J1131" s="12" t="str">
        <f aca="false">IF(INDEX(選手一覧!$G$7:$G$2738,$F1131)="","",INDEX(選手一覧!$G$7:$G$2738,$F1131))</f>
        <v/>
      </c>
    </row>
    <row r="1132" customFormat="false" ht="15" hidden="false" customHeight="false" outlineLevel="0" collapsed="false">
      <c r="A1132" s="12" t="n">
        <v>1128</v>
      </c>
      <c r="B1132" s="10" t="s">
        <v>3269</v>
      </c>
      <c r="C1132" s="10" t="s">
        <v>1485</v>
      </c>
      <c r="D1132" s="11" t="n">
        <v>0.00292326388888889</v>
      </c>
      <c r="E1132" s="18" t="n">
        <f aca="false">ROUND((D1132-$D$5)*86400,2)</f>
        <v>27.54</v>
      </c>
      <c r="F1132" s="12" t="n">
        <v>2301</v>
      </c>
      <c r="G1132" s="11" t="str">
        <f aca="false">IF(INDEX(選手一覧!$D$7:$D$2738,$F1132)="","",INDEX(選手一覧!$D$7:$D$2738,$F1132))</f>
        <v/>
      </c>
      <c r="H1132" s="12" t="str">
        <f aca="false">IF(INDEX(選手一覧!$E$7:$E$2738,$F1132)="","",INDEX(選手一覧!$E$7:$E$2738,$F1132))</f>
        <v/>
      </c>
      <c r="I1132" s="11" t="str">
        <f aca="false">IF(INDEX(選手一覧!$F$7:$F$2738,$F1132)="","",INDEX(選手一覧!$F$7:$F$2738,$F1132))</f>
        <v/>
      </c>
      <c r="J1132" s="12" t="str">
        <f aca="false">IF(INDEX(選手一覧!$G$7:$G$2738,$F1132)="","",INDEX(選手一覧!$G$7:$G$2738,$F1132))</f>
        <v/>
      </c>
    </row>
    <row r="1133" customFormat="false" ht="15" hidden="false" customHeight="false" outlineLevel="0" collapsed="false">
      <c r="A1133" s="12" t="n">
        <v>1129</v>
      </c>
      <c r="B1133" s="10" t="s">
        <v>894</v>
      </c>
      <c r="C1133" s="10" t="s">
        <v>45</v>
      </c>
      <c r="D1133" s="11" t="n">
        <v>0.00292326388888889</v>
      </c>
      <c r="E1133" s="18" t="n">
        <f aca="false">ROUND((D1133-$D$5)*86400,2)</f>
        <v>27.54</v>
      </c>
      <c r="F1133" s="12" t="n">
        <v>590</v>
      </c>
      <c r="G1133" s="11" t="n">
        <f aca="false">IF(INDEX(選手一覧!$D$7:$D$2738,$F1133)="","",INDEX(選手一覧!$D$7:$D$2738,$F1133))</f>
        <v>0.010387962962963</v>
      </c>
      <c r="H1133" s="12" t="n">
        <f aca="false">IF(INDEX(選手一覧!$E$7:$E$2738,$F1133)="","",INDEX(選手一覧!$E$7:$E$2738,$F1133))</f>
        <v>248</v>
      </c>
      <c r="I1133" s="11" t="n">
        <f aca="false">IF(INDEX(選手一覧!$F$7:$F$2738,$F1133)="","",INDEX(選手一覧!$F$7:$F$2738,$F1133))</f>
        <v>0.00696041666666667</v>
      </c>
      <c r="J1133" s="12" t="n">
        <f aca="false">IF(INDEX(選手一覧!$G$7:$G$2738,$F1133)="","",INDEX(選手一覧!$G$7:$G$2738,$F1133))</f>
        <v>294</v>
      </c>
    </row>
    <row r="1134" customFormat="false" ht="15" hidden="false" customHeight="false" outlineLevel="0" collapsed="false">
      <c r="A1134" s="12" t="n">
        <v>1130</v>
      </c>
      <c r="B1134" s="10" t="s">
        <v>3276</v>
      </c>
      <c r="C1134" s="10" t="s">
        <v>3277</v>
      </c>
      <c r="D1134" s="11" t="n">
        <v>0.00292326388888889</v>
      </c>
      <c r="E1134" s="18" t="n">
        <f aca="false">ROUND((D1134-$D$5)*86400,2)</f>
        <v>27.54</v>
      </c>
      <c r="F1134" s="12" t="n">
        <v>2306</v>
      </c>
      <c r="G1134" s="11" t="str">
        <f aca="false">IF(INDEX(選手一覧!$D$7:$D$2738,$F1134)="","",INDEX(選手一覧!$D$7:$D$2738,$F1134))</f>
        <v/>
      </c>
      <c r="H1134" s="12" t="str">
        <f aca="false">IF(INDEX(選手一覧!$E$7:$E$2738,$F1134)="","",INDEX(選手一覧!$E$7:$E$2738,$F1134))</f>
        <v/>
      </c>
      <c r="I1134" s="11" t="str">
        <f aca="false">IF(INDEX(選手一覧!$F$7:$F$2738,$F1134)="","",INDEX(選手一覧!$F$7:$F$2738,$F1134))</f>
        <v/>
      </c>
      <c r="J1134" s="12" t="str">
        <f aca="false">IF(INDEX(選手一覧!$G$7:$G$2738,$F1134)="","",INDEX(選手一覧!$G$7:$G$2738,$F1134))</f>
        <v/>
      </c>
    </row>
    <row r="1135" customFormat="false" ht="15" hidden="false" customHeight="false" outlineLevel="0" collapsed="false">
      <c r="A1135" s="12" t="n">
        <v>1131</v>
      </c>
      <c r="B1135" s="10" t="s">
        <v>3279</v>
      </c>
      <c r="C1135" s="10" t="s">
        <v>3280</v>
      </c>
      <c r="D1135" s="11" t="n">
        <v>0.00292326388888889</v>
      </c>
      <c r="E1135" s="18" t="n">
        <f aca="false">ROUND((D1135-$D$5)*86400,2)</f>
        <v>27.54</v>
      </c>
      <c r="F1135" s="12" t="n">
        <v>2308</v>
      </c>
      <c r="G1135" s="11" t="str">
        <f aca="false">IF(INDEX(選手一覧!$D$7:$D$2738,$F1135)="","",INDEX(選手一覧!$D$7:$D$2738,$F1135))</f>
        <v/>
      </c>
      <c r="H1135" s="12" t="str">
        <f aca="false">IF(INDEX(選手一覧!$E$7:$E$2738,$F1135)="","",INDEX(選手一覧!$E$7:$E$2738,$F1135))</f>
        <v/>
      </c>
      <c r="I1135" s="11" t="str">
        <f aca="false">IF(INDEX(選手一覧!$F$7:$F$2738,$F1135)="","",INDEX(選手一覧!$F$7:$F$2738,$F1135))</f>
        <v/>
      </c>
      <c r="J1135" s="12" t="str">
        <f aca="false">IF(INDEX(選手一覧!$G$7:$G$2738,$F1135)="","",INDEX(選手一覧!$G$7:$G$2738,$F1135))</f>
        <v/>
      </c>
    </row>
    <row r="1136" customFormat="false" ht="15" hidden="false" customHeight="false" outlineLevel="0" collapsed="false">
      <c r="A1136" s="12" t="n">
        <v>1132</v>
      </c>
      <c r="B1136" s="10" t="s">
        <v>3282</v>
      </c>
      <c r="C1136" s="10" t="s">
        <v>457</v>
      </c>
      <c r="D1136" s="11" t="n">
        <v>0.00292337962962963</v>
      </c>
      <c r="E1136" s="18" t="n">
        <f aca="false">ROUND((D1136-$D$5)*86400,2)</f>
        <v>27.55</v>
      </c>
      <c r="F1136" s="12" t="n">
        <v>2310</v>
      </c>
      <c r="G1136" s="11" t="str">
        <f aca="false">IF(INDEX(選手一覧!$D$7:$D$2738,$F1136)="","",INDEX(選手一覧!$D$7:$D$2738,$F1136))</f>
        <v/>
      </c>
      <c r="H1136" s="12" t="str">
        <f aca="false">IF(INDEX(選手一覧!$E$7:$E$2738,$F1136)="","",INDEX(選手一覧!$E$7:$E$2738,$F1136))</f>
        <v/>
      </c>
      <c r="I1136" s="11" t="str">
        <f aca="false">IF(INDEX(選手一覧!$F$7:$F$2738,$F1136)="","",INDEX(選手一覧!$F$7:$F$2738,$F1136))</f>
        <v/>
      </c>
      <c r="J1136" s="12" t="str">
        <f aca="false">IF(INDEX(選手一覧!$G$7:$G$2738,$F1136)="","",INDEX(選手一覧!$G$7:$G$2738,$F1136))</f>
        <v/>
      </c>
    </row>
    <row r="1137" customFormat="false" ht="15" hidden="false" customHeight="false" outlineLevel="0" collapsed="false">
      <c r="A1137" s="12" t="n">
        <v>1133</v>
      </c>
      <c r="B1137" s="10" t="s">
        <v>1279</v>
      </c>
      <c r="C1137" s="10" t="s">
        <v>1280</v>
      </c>
      <c r="D1137" s="11" t="n">
        <v>0.00292349537037037</v>
      </c>
      <c r="E1137" s="18" t="n">
        <f aca="false">ROUND((D1137-$D$5)*86400,2)</f>
        <v>27.56</v>
      </c>
      <c r="F1137" s="12" t="n">
        <v>871</v>
      </c>
      <c r="G1137" s="11" t="n">
        <f aca="false">IF(INDEX(選手一覧!$D$7:$D$2738,$F1137)="","",INDEX(選手一覧!$D$7:$D$2738,$F1137))</f>
        <v>0.011015162037037</v>
      </c>
      <c r="H1137" s="12" t="n">
        <f aca="false">IF(INDEX(選手一覧!$E$7:$E$2738,$F1137)="","",INDEX(選手一覧!$E$7:$E$2738,$F1137))</f>
        <v>1118</v>
      </c>
      <c r="I1137" s="11" t="n">
        <f aca="false">IF(INDEX(選手一覧!$F$7:$F$2738,$F1137)="","",INDEX(選手一覧!$F$7:$F$2738,$F1137))</f>
        <v>0.00704675925925926</v>
      </c>
      <c r="J1137" s="12" t="n">
        <f aca="false">IF(INDEX(選手一覧!$G$7:$G$2738,$F1137)="","",INDEX(選手一覧!$G$7:$G$2738,$F1137))</f>
        <v>387</v>
      </c>
    </row>
    <row r="1138" customFormat="false" ht="15" hidden="false" customHeight="false" outlineLevel="0" collapsed="false">
      <c r="A1138" s="12" t="n">
        <v>1134</v>
      </c>
      <c r="B1138" s="10" t="s">
        <v>1449</v>
      </c>
      <c r="C1138" s="10" t="s">
        <v>25</v>
      </c>
      <c r="D1138" s="11" t="n">
        <v>0.00292361111111111</v>
      </c>
      <c r="E1138" s="18" t="n">
        <f aca="false">ROUND((D1138-$D$5)*86400,2)</f>
        <v>27.57</v>
      </c>
      <c r="F1138" s="12" t="n">
        <v>993</v>
      </c>
      <c r="G1138" s="11" t="str">
        <f aca="false">IF(INDEX(選手一覧!$D$7:$D$2738,$F1138)="","",INDEX(選手一覧!$D$7:$D$2738,$F1138))</f>
        <v/>
      </c>
      <c r="H1138" s="12" t="str">
        <f aca="false">IF(INDEX(選手一覧!$E$7:$E$2738,$F1138)="","",INDEX(選手一覧!$E$7:$E$2738,$F1138))</f>
        <v/>
      </c>
      <c r="I1138" s="11" t="n">
        <f aca="false">IF(INDEX(選手一覧!$F$7:$F$2738,$F1138)="","",INDEX(選手一覧!$F$7:$F$2738,$F1138))</f>
        <v>0.00709722222222222</v>
      </c>
      <c r="J1138" s="12" t="n">
        <f aca="false">IF(INDEX(選手一覧!$G$7:$G$2738,$F1138)="","",INDEX(選手一覧!$G$7:$G$2738,$F1138))</f>
        <v>445</v>
      </c>
    </row>
    <row r="1139" customFormat="false" ht="15" hidden="false" customHeight="false" outlineLevel="0" collapsed="false">
      <c r="A1139" s="12" t="n">
        <v>1135</v>
      </c>
      <c r="B1139" s="10" t="s">
        <v>3291</v>
      </c>
      <c r="C1139" s="10" t="s">
        <v>3292</v>
      </c>
      <c r="D1139" s="11" t="n">
        <v>0.00292395833333333</v>
      </c>
      <c r="E1139" s="18" t="n">
        <f aca="false">ROUND((D1139-$D$5)*86400,2)</f>
        <v>27.6</v>
      </c>
      <c r="F1139" s="12" t="n">
        <v>2316</v>
      </c>
      <c r="G1139" s="11" t="str">
        <f aca="false">IF(INDEX(選手一覧!$D$7:$D$2738,$F1139)="","",INDEX(選手一覧!$D$7:$D$2738,$F1139))</f>
        <v/>
      </c>
      <c r="H1139" s="12" t="str">
        <f aca="false">IF(INDEX(選手一覧!$E$7:$E$2738,$F1139)="","",INDEX(選手一覧!$E$7:$E$2738,$F1139))</f>
        <v/>
      </c>
      <c r="I1139" s="11" t="str">
        <f aca="false">IF(INDEX(選手一覧!$F$7:$F$2738,$F1139)="","",INDEX(選手一覧!$F$7:$F$2738,$F1139))</f>
        <v/>
      </c>
      <c r="J1139" s="12" t="str">
        <f aca="false">IF(INDEX(選手一覧!$G$7:$G$2738,$F1139)="","",INDEX(選手一覧!$G$7:$G$2738,$F1139))</f>
        <v/>
      </c>
    </row>
    <row r="1140" customFormat="false" ht="15" hidden="false" customHeight="false" outlineLevel="0" collapsed="false">
      <c r="A1140" s="12" t="n">
        <v>1136</v>
      </c>
      <c r="B1140" s="10" t="s">
        <v>1378</v>
      </c>
      <c r="C1140" s="10" t="s">
        <v>564</v>
      </c>
      <c r="D1140" s="11" t="n">
        <v>0.00292395833333333</v>
      </c>
      <c r="E1140" s="18" t="n">
        <f aca="false">ROUND((D1140-$D$5)*86400,2)</f>
        <v>27.6</v>
      </c>
      <c r="F1140" s="12" t="n">
        <v>938</v>
      </c>
      <c r="G1140" s="11" t="n">
        <f aca="false">IF(INDEX(選手一覧!$D$7:$D$2738,$F1140)="","",INDEX(選手一覧!$D$7:$D$2738,$F1140))</f>
        <v>0.0108391203703704</v>
      </c>
      <c r="H1140" s="12" t="n">
        <f aca="false">IF(INDEX(選手一覧!$E$7:$E$2738,$F1140)="","",INDEX(選手一覧!$E$7:$E$2738,$F1140))</f>
        <v>812</v>
      </c>
      <c r="I1140" s="11" t="n">
        <f aca="false">IF(INDEX(選手一覧!$F$7:$F$2738,$F1140)="","",INDEX(選手一覧!$F$7:$F$2738,$F1140))</f>
        <v>0.00707430555555556</v>
      </c>
      <c r="J1140" s="12" t="n">
        <f aca="false">IF(INDEX(選手一覧!$G$7:$G$2738,$F1140)="","",INDEX(選手一覧!$G$7:$G$2738,$F1140))</f>
        <v>420</v>
      </c>
    </row>
    <row r="1141" customFormat="false" ht="15" hidden="false" customHeight="false" outlineLevel="0" collapsed="false">
      <c r="A1141" s="12" t="n">
        <v>1137</v>
      </c>
      <c r="B1141" s="10" t="s">
        <v>3295</v>
      </c>
      <c r="C1141" s="10" t="s">
        <v>3296</v>
      </c>
      <c r="D1141" s="11" t="n">
        <v>0.00292395833333333</v>
      </c>
      <c r="E1141" s="18" t="n">
        <f aca="false">ROUND((D1141-$D$5)*86400,2)</f>
        <v>27.6</v>
      </c>
      <c r="F1141" s="12" t="n">
        <v>2318</v>
      </c>
      <c r="G1141" s="11" t="str">
        <f aca="false">IF(INDEX(選手一覧!$D$7:$D$2738,$F1141)="","",INDEX(選手一覧!$D$7:$D$2738,$F1141))</f>
        <v/>
      </c>
      <c r="H1141" s="12" t="str">
        <f aca="false">IF(INDEX(選手一覧!$E$7:$E$2738,$F1141)="","",INDEX(選手一覧!$E$7:$E$2738,$F1141))</f>
        <v/>
      </c>
      <c r="I1141" s="11" t="str">
        <f aca="false">IF(INDEX(選手一覧!$F$7:$F$2738,$F1141)="","",INDEX(選手一覧!$F$7:$F$2738,$F1141))</f>
        <v/>
      </c>
      <c r="J1141" s="12" t="str">
        <f aca="false">IF(INDEX(選手一覧!$G$7:$G$2738,$F1141)="","",INDEX(選手一覧!$G$7:$G$2738,$F1141))</f>
        <v/>
      </c>
    </row>
    <row r="1142" customFormat="false" ht="15" hidden="false" customHeight="false" outlineLevel="0" collapsed="false">
      <c r="A1142" s="12" t="n">
        <v>1138</v>
      </c>
      <c r="B1142" s="10" t="s">
        <v>1013</v>
      </c>
      <c r="C1142" s="10" t="s">
        <v>103</v>
      </c>
      <c r="D1142" s="11" t="n">
        <v>0.00292418981481482</v>
      </c>
      <c r="E1142" s="18" t="n">
        <f aca="false">ROUND((D1142-$D$5)*86400,2)</f>
        <v>27.62</v>
      </c>
      <c r="F1142" s="12" t="n">
        <v>678</v>
      </c>
      <c r="G1142" s="11" t="n">
        <f aca="false">IF(INDEX(選手一覧!$D$7:$D$2738,$F1142)="","",INDEX(選手一覧!$D$7:$D$2738,$F1142))</f>
        <v>0.0104231481481482</v>
      </c>
      <c r="H1142" s="12" t="n">
        <f aca="false">IF(INDEX(選手一覧!$E$7:$E$2738,$F1142)="","",INDEX(選手一覧!$E$7:$E$2738,$F1142))</f>
        <v>288</v>
      </c>
      <c r="I1142" s="11" t="str">
        <f aca="false">IF(INDEX(選手一覧!$F$7:$F$2738,$F1142)="","",INDEX(選手一覧!$F$7:$F$2738,$F1142))</f>
        <v/>
      </c>
      <c r="J1142" s="12" t="str">
        <f aca="false">IF(INDEX(選手一覧!$G$7:$G$2738,$F1142)="","",INDEX(選手一覧!$G$7:$G$2738,$F1142))</f>
        <v/>
      </c>
    </row>
    <row r="1143" customFormat="false" ht="15" hidden="false" customHeight="false" outlineLevel="0" collapsed="false">
      <c r="A1143" s="12" t="n">
        <v>1139</v>
      </c>
      <c r="B1143" s="10" t="s">
        <v>3153</v>
      </c>
      <c r="C1143" s="10" t="s">
        <v>904</v>
      </c>
      <c r="D1143" s="11" t="n">
        <v>0.00292418981481482</v>
      </c>
      <c r="E1143" s="18" t="n">
        <f aca="false">ROUND((D1143-$D$5)*86400,2)</f>
        <v>27.62</v>
      </c>
      <c r="F1143" s="12" t="n">
        <v>2216</v>
      </c>
      <c r="G1143" s="11" t="str">
        <f aca="false">IF(INDEX(選手一覧!$D$7:$D$2738,$F1143)="","",INDEX(選手一覧!$D$7:$D$2738,$F1143))</f>
        <v/>
      </c>
      <c r="H1143" s="12" t="str">
        <f aca="false">IF(INDEX(選手一覧!$E$7:$E$2738,$F1143)="","",INDEX(選手一覧!$E$7:$E$2738,$F1143))</f>
        <v/>
      </c>
      <c r="I1143" s="11" t="n">
        <f aca="false">IF(INDEX(選手一覧!$F$7:$F$2738,$F1143)="","",INDEX(選手一覧!$F$7:$F$2738,$F1143))</f>
        <v>0.0077193287037037</v>
      </c>
      <c r="J1143" s="12" t="n">
        <f aca="false">IF(INDEX(選手一覧!$G$7:$G$2738,$F1143)="","",INDEX(選手一覧!$G$7:$G$2738,$F1143))</f>
        <v>1085</v>
      </c>
    </row>
    <row r="1144" customFormat="false" ht="15" hidden="false" customHeight="false" outlineLevel="0" collapsed="false">
      <c r="A1144" s="12" t="n">
        <v>1140</v>
      </c>
      <c r="B1144" s="10" t="s">
        <v>2023</v>
      </c>
      <c r="C1144" s="10" t="s">
        <v>2024</v>
      </c>
      <c r="D1144" s="11" t="n">
        <v>0.00292465277777778</v>
      </c>
      <c r="E1144" s="18" t="n">
        <f aca="false">ROUND((D1144-$D$5)*86400,2)</f>
        <v>27.66</v>
      </c>
      <c r="F1144" s="12" t="n">
        <v>1397</v>
      </c>
      <c r="G1144" s="11" t="n">
        <f aca="false">IF(INDEX(選手一覧!$D$7:$D$2738,$F1144)="","",INDEX(選手一覧!$D$7:$D$2738,$F1144))</f>
        <v>0.0107445601851852</v>
      </c>
      <c r="H1144" s="12" t="n">
        <f aca="false">IF(INDEX(選手一覧!$E$7:$E$2738,$F1144)="","",INDEX(選手一覧!$E$7:$E$2738,$F1144))</f>
        <v>658</v>
      </c>
      <c r="I1144" s="11" t="str">
        <f aca="false">IF(INDEX(選手一覧!$F$7:$F$2738,$F1144)="","",INDEX(選手一覧!$F$7:$F$2738,$F1144))</f>
        <v/>
      </c>
      <c r="J1144" s="12" t="str">
        <f aca="false">IF(INDEX(選手一覧!$G$7:$G$2738,$F1144)="","",INDEX(選手一覧!$G$7:$G$2738,$F1144))</f>
        <v/>
      </c>
    </row>
    <row r="1145" customFormat="false" ht="15" hidden="false" customHeight="false" outlineLevel="0" collapsed="false">
      <c r="A1145" s="12" t="n">
        <v>1141</v>
      </c>
      <c r="B1145" s="10" t="s">
        <v>3304</v>
      </c>
      <c r="C1145" s="10" t="s">
        <v>3305</v>
      </c>
      <c r="D1145" s="11" t="n">
        <v>0.00292465277777778</v>
      </c>
      <c r="E1145" s="18" t="n">
        <f aca="false">ROUND((D1145-$D$5)*86400,2)</f>
        <v>27.66</v>
      </c>
      <c r="F1145" s="12" t="n">
        <v>2325</v>
      </c>
      <c r="G1145" s="11" t="str">
        <f aca="false">IF(INDEX(選手一覧!$D$7:$D$2738,$F1145)="","",INDEX(選手一覧!$D$7:$D$2738,$F1145))</f>
        <v/>
      </c>
      <c r="H1145" s="12" t="str">
        <f aca="false">IF(INDEX(選手一覧!$E$7:$E$2738,$F1145)="","",INDEX(選手一覧!$E$7:$E$2738,$F1145))</f>
        <v/>
      </c>
      <c r="I1145" s="11" t="str">
        <f aca="false">IF(INDEX(選手一覧!$F$7:$F$2738,$F1145)="","",INDEX(選手一覧!$F$7:$F$2738,$F1145))</f>
        <v/>
      </c>
      <c r="J1145" s="12" t="str">
        <f aca="false">IF(INDEX(選手一覧!$G$7:$G$2738,$F1145)="","",INDEX(選手一覧!$G$7:$G$2738,$F1145))</f>
        <v/>
      </c>
    </row>
    <row r="1146" customFormat="false" ht="15" hidden="false" customHeight="false" outlineLevel="0" collapsed="false">
      <c r="A1146" s="12" t="n">
        <v>1142</v>
      </c>
      <c r="B1146" s="10" t="s">
        <v>356</v>
      </c>
      <c r="C1146" s="10" t="s">
        <v>62</v>
      </c>
      <c r="D1146" s="11" t="n">
        <v>0.00292476851851852</v>
      </c>
      <c r="E1146" s="18" t="n">
        <f aca="false">ROUND((D1146-$D$5)*86400,2)</f>
        <v>27.67</v>
      </c>
      <c r="F1146" s="12" t="n">
        <v>210</v>
      </c>
      <c r="G1146" s="11" t="n">
        <f aca="false">IF(INDEX(選手一覧!$D$7:$D$2738,$F1146)="","",INDEX(選手一覧!$D$7:$D$2738,$F1146))</f>
        <v>0.0101837962962963</v>
      </c>
      <c r="H1146" s="12" t="n">
        <f aca="false">IF(INDEX(選手一覧!$E$7:$E$2738,$F1146)="","",INDEX(選手一覧!$E$7:$E$2738,$F1146))</f>
        <v>86</v>
      </c>
      <c r="I1146" s="11" t="str">
        <f aca="false">IF(INDEX(選手一覧!$F$7:$F$2738,$F1146)="","",INDEX(選手一覧!$F$7:$F$2738,$F1146))</f>
        <v/>
      </c>
      <c r="J1146" s="12" t="str">
        <f aca="false">IF(INDEX(選手一覧!$G$7:$G$2738,$F1146)="","",INDEX(選手一覧!$G$7:$G$2738,$F1146))</f>
        <v/>
      </c>
    </row>
    <row r="1147" customFormat="false" ht="15" hidden="false" customHeight="false" outlineLevel="0" collapsed="false">
      <c r="A1147" s="12" t="n">
        <v>1143</v>
      </c>
      <c r="B1147" s="10" t="s">
        <v>1459</v>
      </c>
      <c r="C1147" s="10" t="s">
        <v>473</v>
      </c>
      <c r="D1147" s="11" t="n">
        <v>0.00292476851851852</v>
      </c>
      <c r="E1147" s="18" t="n">
        <f aca="false">ROUND((D1147-$D$5)*86400,2)</f>
        <v>27.67</v>
      </c>
      <c r="F1147" s="12" t="n">
        <v>1000</v>
      </c>
      <c r="G1147" s="11" t="n">
        <f aca="false">IF(INDEX(選手一覧!$D$7:$D$2738,$F1147)="","",INDEX(選手一覧!$D$7:$D$2738,$F1147))</f>
        <v>0.0105861111111111</v>
      </c>
      <c r="H1147" s="12" t="n">
        <f aca="false">IF(INDEX(選手一覧!$E$7:$E$2738,$F1147)="","",INDEX(選手一覧!$E$7:$E$2738,$F1147))</f>
        <v>448</v>
      </c>
      <c r="I1147" s="11" t="str">
        <f aca="false">IF(INDEX(選手一覧!$F$7:$F$2738,$F1147)="","",INDEX(選手一覧!$F$7:$F$2738,$F1147))</f>
        <v/>
      </c>
      <c r="J1147" s="12" t="str">
        <f aca="false">IF(INDEX(選手一覧!$G$7:$G$2738,$F1147)="","",INDEX(選手一覧!$G$7:$G$2738,$F1147))</f>
        <v/>
      </c>
    </row>
    <row r="1148" customFormat="false" ht="15" hidden="false" customHeight="false" outlineLevel="0" collapsed="false">
      <c r="A1148" s="12" t="n">
        <v>1144</v>
      </c>
      <c r="B1148" s="10" t="s">
        <v>2412</v>
      </c>
      <c r="C1148" s="10" t="s">
        <v>55</v>
      </c>
      <c r="D1148" s="11" t="n">
        <v>0.00292476851851852</v>
      </c>
      <c r="E1148" s="18" t="n">
        <f aca="false">ROUND((D1148-$D$5)*86400,2)</f>
        <v>27.67</v>
      </c>
      <c r="F1148" s="12" t="n">
        <v>1678</v>
      </c>
      <c r="G1148" s="11" t="n">
        <f aca="false">IF(INDEX(選手一覧!$D$7:$D$2738,$F1148)="","",INDEX(選手一覧!$D$7:$D$2738,$F1148))</f>
        <v>0.0108334490740741</v>
      </c>
      <c r="H1148" s="12" t="n">
        <f aca="false">IF(INDEX(選手一覧!$E$7:$E$2738,$F1148)="","",INDEX(選手一覧!$E$7:$E$2738,$F1148))</f>
        <v>801</v>
      </c>
      <c r="I1148" s="11" t="str">
        <f aca="false">IF(INDEX(選手一覧!$F$7:$F$2738,$F1148)="","",INDEX(選手一覧!$F$7:$F$2738,$F1148))</f>
        <v/>
      </c>
      <c r="J1148" s="12" t="str">
        <f aca="false">IF(INDEX(選手一覧!$G$7:$G$2738,$F1148)="","",INDEX(選手一覧!$G$7:$G$2738,$F1148))</f>
        <v/>
      </c>
    </row>
    <row r="1149" customFormat="false" ht="15" hidden="false" customHeight="false" outlineLevel="0" collapsed="false">
      <c r="A1149" s="12" t="n">
        <v>1145</v>
      </c>
      <c r="B1149" s="10" t="s">
        <v>1654</v>
      </c>
      <c r="C1149" s="10" t="s">
        <v>1655</v>
      </c>
      <c r="D1149" s="11" t="n">
        <v>0.00292488425925926</v>
      </c>
      <c r="E1149" s="18" t="n">
        <f aca="false">ROUND((D1149-$D$5)*86400,2)</f>
        <v>27.68</v>
      </c>
      <c r="F1149" s="12" t="n">
        <v>1141</v>
      </c>
      <c r="G1149" s="11" t="str">
        <f aca="false">IF(INDEX(選手一覧!$D$7:$D$2738,$F1149)="","",INDEX(選手一覧!$D$7:$D$2738,$F1149))</f>
        <v/>
      </c>
      <c r="H1149" s="12" t="str">
        <f aca="false">IF(INDEX(選手一覧!$E$7:$E$2738,$F1149)="","",INDEX(選手一覧!$E$7:$E$2738,$F1149))</f>
        <v/>
      </c>
      <c r="I1149" s="11" t="n">
        <f aca="false">IF(INDEX(選手一覧!$F$7:$F$2738,$F1149)="","",INDEX(選手一覧!$F$7:$F$2738,$F1149))</f>
        <v>0.00718032407407407</v>
      </c>
      <c r="J1149" s="12" t="n">
        <f aca="false">IF(INDEX(選手一覧!$G$7:$G$2738,$F1149)="","",INDEX(選手一覧!$G$7:$G$2738,$F1149))</f>
        <v>519</v>
      </c>
    </row>
    <row r="1150" customFormat="false" ht="15" hidden="false" customHeight="false" outlineLevel="0" collapsed="false">
      <c r="A1150" s="12" t="n">
        <v>1146</v>
      </c>
      <c r="B1150" s="10" t="s">
        <v>994</v>
      </c>
      <c r="C1150" s="10" t="s">
        <v>995</v>
      </c>
      <c r="D1150" s="11" t="n">
        <v>0.00292488425925926</v>
      </c>
      <c r="E1150" s="18" t="n">
        <f aca="false">ROUND((D1150-$D$5)*86400,2)</f>
        <v>27.68</v>
      </c>
      <c r="F1150" s="12" t="n">
        <v>664</v>
      </c>
      <c r="G1150" s="11" t="str">
        <f aca="false">IF(INDEX(選手一覧!$D$7:$D$2738,$F1150)="","",INDEX(選手一覧!$D$7:$D$2738,$F1150))</f>
        <v/>
      </c>
      <c r="H1150" s="12" t="str">
        <f aca="false">IF(INDEX(選手一覧!$E$7:$E$2738,$F1150)="","",INDEX(選手一覧!$E$7:$E$2738,$F1150))</f>
        <v/>
      </c>
      <c r="I1150" s="11" t="n">
        <f aca="false">IF(INDEX(選手一覧!$F$7:$F$2738,$F1150)="","",INDEX(選手一覧!$F$7:$F$2738,$F1150))</f>
        <v>0.00693888888888889</v>
      </c>
      <c r="J1150" s="12" t="n">
        <f aca="false">IF(INDEX(選手一覧!$G$7:$G$2738,$F1150)="","",INDEX(選手一覧!$G$7:$G$2738,$F1150))</f>
        <v>282</v>
      </c>
    </row>
    <row r="1151" customFormat="false" ht="15" hidden="false" customHeight="false" outlineLevel="0" collapsed="false">
      <c r="A1151" s="12" t="n">
        <v>1147</v>
      </c>
      <c r="B1151" s="10" t="s">
        <v>3314</v>
      </c>
      <c r="C1151" s="10" t="s">
        <v>567</v>
      </c>
      <c r="D1151" s="11" t="n">
        <v>0.00292488425925926</v>
      </c>
      <c r="E1151" s="18" t="n">
        <f aca="false">ROUND((D1151-$D$5)*86400,2)</f>
        <v>27.68</v>
      </c>
      <c r="F1151" s="12" t="n">
        <v>2331</v>
      </c>
      <c r="G1151" s="11" t="n">
        <f aca="false">IF(INDEX(選手一覧!$D$7:$D$2738,$F1151)="","",INDEX(選手一覧!$D$7:$D$2738,$F1151))</f>
        <v>0.0111163194444444</v>
      </c>
      <c r="H1151" s="12" t="n">
        <f aca="false">IF(INDEX(選手一覧!$E$7:$E$2738,$F1151)="","",INDEX(選手一覧!$E$7:$E$2738,$F1151))</f>
        <v>1283</v>
      </c>
      <c r="I1151" s="11" t="str">
        <f aca="false">IF(INDEX(選手一覧!$F$7:$F$2738,$F1151)="","",INDEX(選手一覧!$F$7:$F$2738,$F1151))</f>
        <v/>
      </c>
      <c r="J1151" s="12" t="str">
        <f aca="false">IF(INDEX(選手一覧!$G$7:$G$2738,$F1151)="","",INDEX(選手一覧!$G$7:$G$2738,$F1151))</f>
        <v/>
      </c>
    </row>
    <row r="1152" customFormat="false" ht="15" hidden="false" customHeight="false" outlineLevel="0" collapsed="false">
      <c r="A1152" s="12" t="n">
        <v>1148</v>
      </c>
      <c r="B1152" s="10" t="s">
        <v>3319</v>
      </c>
      <c r="C1152" s="10" t="s">
        <v>1668</v>
      </c>
      <c r="D1152" s="11" t="n">
        <v>0.00292488425925926</v>
      </c>
      <c r="E1152" s="18" t="n">
        <f aca="false">ROUND((D1152-$D$5)*86400,2)</f>
        <v>27.68</v>
      </c>
      <c r="F1152" s="12" t="n">
        <v>2334</v>
      </c>
      <c r="G1152" s="11" t="str">
        <f aca="false">IF(INDEX(選手一覧!$D$7:$D$2738,$F1152)="","",INDEX(選手一覧!$D$7:$D$2738,$F1152))</f>
        <v/>
      </c>
      <c r="H1152" s="12" t="str">
        <f aca="false">IF(INDEX(選手一覧!$E$7:$E$2738,$F1152)="","",INDEX(選手一覧!$E$7:$E$2738,$F1152))</f>
        <v/>
      </c>
      <c r="I1152" s="11" t="str">
        <f aca="false">IF(INDEX(選手一覧!$F$7:$F$2738,$F1152)="","",INDEX(選手一覧!$F$7:$F$2738,$F1152))</f>
        <v/>
      </c>
      <c r="J1152" s="12" t="str">
        <f aca="false">IF(INDEX(選手一覧!$G$7:$G$2738,$F1152)="","",INDEX(選手一覧!$G$7:$G$2738,$F1152))</f>
        <v/>
      </c>
    </row>
    <row r="1153" customFormat="false" ht="15" hidden="false" customHeight="false" outlineLevel="0" collapsed="false">
      <c r="A1153" s="12" t="n">
        <v>1149</v>
      </c>
      <c r="B1153" s="10" t="s">
        <v>1502</v>
      </c>
      <c r="C1153" s="10" t="s">
        <v>588</v>
      </c>
      <c r="D1153" s="11" t="n">
        <v>0.002925</v>
      </c>
      <c r="E1153" s="18" t="n">
        <f aca="false">ROUND((D1153-$D$5)*86400,2)</f>
        <v>27.69</v>
      </c>
      <c r="F1153" s="12" t="n">
        <v>1032</v>
      </c>
      <c r="G1153" s="11" t="n">
        <f aca="false">IF(INDEX(選手一覧!$D$7:$D$2738,$F1153)="","",INDEX(選手一覧!$D$7:$D$2738,$F1153))</f>
        <v>0.0108373842592593</v>
      </c>
      <c r="H1153" s="12" t="n">
        <f aca="false">IF(INDEX(選手一覧!$E$7:$E$2738,$F1153)="","",INDEX(選手一覧!$E$7:$E$2738,$F1153))</f>
        <v>805</v>
      </c>
      <c r="I1153" s="11" t="n">
        <f aca="false">IF(INDEX(選手一覧!$F$7:$F$2738,$F1153)="","",INDEX(選手一覧!$F$7:$F$2738,$F1153))</f>
        <v>0.00711782407407407</v>
      </c>
      <c r="J1153" s="12" t="n">
        <f aca="false">IF(INDEX(選手一覧!$G$7:$G$2738,$F1153)="","",INDEX(選手一覧!$G$7:$G$2738,$F1153))</f>
        <v>464</v>
      </c>
    </row>
    <row r="1154" customFormat="false" ht="15" hidden="false" customHeight="false" outlineLevel="0" collapsed="false">
      <c r="A1154" s="12" t="n">
        <v>1150</v>
      </c>
      <c r="B1154" s="10" t="s">
        <v>3324</v>
      </c>
      <c r="C1154" s="10" t="s">
        <v>3325</v>
      </c>
      <c r="D1154" s="11" t="n">
        <v>0.002925</v>
      </c>
      <c r="E1154" s="18" t="n">
        <f aca="false">ROUND((D1154-$D$5)*86400,2)</f>
        <v>27.69</v>
      </c>
      <c r="F1154" s="12" t="n">
        <v>2339</v>
      </c>
      <c r="G1154" s="11" t="str">
        <f aca="false">IF(INDEX(選手一覧!$D$7:$D$2738,$F1154)="","",INDEX(選手一覧!$D$7:$D$2738,$F1154))</f>
        <v/>
      </c>
      <c r="H1154" s="12" t="str">
        <f aca="false">IF(INDEX(選手一覧!$E$7:$E$2738,$F1154)="","",INDEX(選手一覧!$E$7:$E$2738,$F1154))</f>
        <v/>
      </c>
      <c r="I1154" s="11" t="str">
        <f aca="false">IF(INDEX(選手一覧!$F$7:$F$2738,$F1154)="","",INDEX(選手一覧!$F$7:$F$2738,$F1154))</f>
        <v/>
      </c>
      <c r="J1154" s="12" t="str">
        <f aca="false">IF(INDEX(選手一覧!$G$7:$G$2738,$F1154)="","",INDEX(選手一覧!$G$7:$G$2738,$F1154))</f>
        <v/>
      </c>
    </row>
    <row r="1155" customFormat="false" ht="15" hidden="false" customHeight="false" outlineLevel="0" collapsed="false">
      <c r="A1155" s="12" t="n">
        <v>1151</v>
      </c>
      <c r="B1155" s="10" t="s">
        <v>3327</v>
      </c>
      <c r="C1155" s="10" t="s">
        <v>1680</v>
      </c>
      <c r="D1155" s="11" t="n">
        <v>0.00292534722222222</v>
      </c>
      <c r="E1155" s="18" t="n">
        <f aca="false">ROUND((D1155-$D$5)*86400,2)</f>
        <v>27.72</v>
      </c>
      <c r="F1155" s="12" t="n">
        <v>2341</v>
      </c>
      <c r="G1155" s="11" t="str">
        <f aca="false">IF(INDEX(選手一覧!$D$7:$D$2738,$F1155)="","",INDEX(選手一覧!$D$7:$D$2738,$F1155))</f>
        <v/>
      </c>
      <c r="H1155" s="12" t="str">
        <f aca="false">IF(INDEX(選手一覧!$E$7:$E$2738,$F1155)="","",INDEX(選手一覧!$E$7:$E$2738,$F1155))</f>
        <v/>
      </c>
      <c r="I1155" s="11" t="str">
        <f aca="false">IF(INDEX(選手一覧!$F$7:$F$2738,$F1155)="","",INDEX(選手一覧!$F$7:$F$2738,$F1155))</f>
        <v/>
      </c>
      <c r="J1155" s="12" t="str">
        <f aca="false">IF(INDEX(選手一覧!$G$7:$G$2738,$F1155)="","",INDEX(選手一覧!$G$7:$G$2738,$F1155))</f>
        <v/>
      </c>
    </row>
    <row r="1156" customFormat="false" ht="15" hidden="false" customHeight="false" outlineLevel="0" collapsed="false">
      <c r="A1156" s="12" t="n">
        <v>1152</v>
      </c>
      <c r="B1156" s="10" t="s">
        <v>3328</v>
      </c>
      <c r="C1156" s="10" t="s">
        <v>261</v>
      </c>
      <c r="D1156" s="11" t="n">
        <v>0.00292546296296296</v>
      </c>
      <c r="E1156" s="18" t="n">
        <f aca="false">ROUND((D1156-$D$5)*86400,2)</f>
        <v>27.73</v>
      </c>
      <c r="F1156" s="12" t="n">
        <v>2342</v>
      </c>
      <c r="G1156" s="11" t="n">
        <f aca="false">IF(INDEX(選手一覧!$D$7:$D$2738,$F1156)="","",INDEX(選手一覧!$D$7:$D$2738,$F1156))</f>
        <v>0.0110539351851852</v>
      </c>
      <c r="H1156" s="12" t="n">
        <f aca="false">IF(INDEX(選手一覧!$E$7:$E$2738,$F1156)="","",INDEX(選手一覧!$E$7:$E$2738,$F1156))</f>
        <v>1208</v>
      </c>
      <c r="I1156" s="11" t="str">
        <f aca="false">IF(INDEX(選手一覧!$F$7:$F$2738,$F1156)="","",INDEX(選手一覧!$F$7:$F$2738,$F1156))</f>
        <v/>
      </c>
      <c r="J1156" s="12" t="str">
        <f aca="false">IF(INDEX(選手一覧!$G$7:$G$2738,$F1156)="","",INDEX(選手一覧!$G$7:$G$2738,$F1156))</f>
        <v/>
      </c>
    </row>
    <row r="1157" customFormat="false" ht="15" hidden="false" customHeight="false" outlineLevel="0" collapsed="false">
      <c r="A1157" s="12" t="n">
        <v>1153</v>
      </c>
      <c r="B1157" s="10" t="s">
        <v>3330</v>
      </c>
      <c r="C1157" s="10" t="s">
        <v>1660</v>
      </c>
      <c r="D1157" s="11" t="n">
        <v>0.00292546296296296</v>
      </c>
      <c r="E1157" s="18" t="n">
        <f aca="false">ROUND((D1157-$D$5)*86400,2)</f>
        <v>27.73</v>
      </c>
      <c r="F1157" s="12" t="n">
        <v>2344</v>
      </c>
      <c r="G1157" s="11" t="n">
        <f aca="false">IF(INDEX(選手一覧!$D$7:$D$2738,$F1157)="","",INDEX(選手一覧!$D$7:$D$2738,$F1157))</f>
        <v>0.011072337962963</v>
      </c>
      <c r="H1157" s="12" t="n">
        <f aca="false">IF(INDEX(選手一覧!$E$7:$E$2738,$F1157)="","",INDEX(選手一覧!$E$7:$E$2738,$F1157))</f>
        <v>1240</v>
      </c>
      <c r="I1157" s="11" t="str">
        <f aca="false">IF(INDEX(選手一覧!$F$7:$F$2738,$F1157)="","",INDEX(選手一覧!$F$7:$F$2738,$F1157))</f>
        <v/>
      </c>
      <c r="J1157" s="12" t="str">
        <f aca="false">IF(INDEX(選手一覧!$G$7:$G$2738,$F1157)="","",INDEX(選手一覧!$G$7:$G$2738,$F1157))</f>
        <v/>
      </c>
    </row>
    <row r="1158" customFormat="false" ht="15" hidden="false" customHeight="false" outlineLevel="0" collapsed="false">
      <c r="A1158" s="12" t="n">
        <v>1154</v>
      </c>
      <c r="B1158" s="10" t="s">
        <v>3336</v>
      </c>
      <c r="C1158" s="10" t="s">
        <v>645</v>
      </c>
      <c r="D1158" s="11" t="n">
        <v>0.00292546296296296</v>
      </c>
      <c r="E1158" s="18" t="n">
        <f aca="false">ROUND((D1158-$D$5)*86400,2)</f>
        <v>27.73</v>
      </c>
      <c r="F1158" s="12" t="n">
        <v>2348</v>
      </c>
      <c r="G1158" s="11" t="str">
        <f aca="false">IF(INDEX(選手一覧!$D$7:$D$2738,$F1158)="","",INDEX(選手一覧!$D$7:$D$2738,$F1158))</f>
        <v/>
      </c>
      <c r="H1158" s="12" t="str">
        <f aca="false">IF(INDEX(選手一覧!$E$7:$E$2738,$F1158)="","",INDEX(選手一覧!$E$7:$E$2738,$F1158))</f>
        <v/>
      </c>
      <c r="I1158" s="11" t="str">
        <f aca="false">IF(INDEX(選手一覧!$F$7:$F$2738,$F1158)="","",INDEX(選手一覧!$F$7:$F$2738,$F1158))</f>
        <v/>
      </c>
      <c r="J1158" s="12" t="str">
        <f aca="false">IF(INDEX(選手一覧!$G$7:$G$2738,$F1158)="","",INDEX(選手一覧!$G$7:$G$2738,$F1158))</f>
        <v/>
      </c>
    </row>
    <row r="1159" customFormat="false" ht="15" hidden="false" customHeight="false" outlineLevel="0" collapsed="false">
      <c r="A1159" s="12" t="n">
        <v>1155</v>
      </c>
      <c r="B1159" s="10" t="s">
        <v>1399</v>
      </c>
      <c r="C1159" s="10" t="s">
        <v>541</v>
      </c>
      <c r="D1159" s="11" t="n">
        <v>0.00292569444444444</v>
      </c>
      <c r="E1159" s="18" t="n">
        <f aca="false">ROUND((D1159-$D$5)*86400,2)</f>
        <v>27.75</v>
      </c>
      <c r="F1159" s="12" t="n">
        <v>953</v>
      </c>
      <c r="G1159" s="11" t="n">
        <f aca="false">IF(INDEX(選手一覧!$D$7:$D$2738,$F1159)="","",INDEX(選手一覧!$D$7:$D$2738,$F1159))</f>
        <v>0.0110262731481482</v>
      </c>
      <c r="H1159" s="12" t="n">
        <f aca="false">IF(INDEX(選手一覧!$E$7:$E$2738,$F1159)="","",INDEX(選手一覧!$E$7:$E$2738,$F1159))</f>
        <v>1143</v>
      </c>
      <c r="I1159" s="11" t="n">
        <f aca="false">IF(INDEX(選手一覧!$F$7:$F$2738,$F1159)="","",INDEX(選手一覧!$F$7:$F$2738,$F1159))</f>
        <v>0.00707962962962963</v>
      </c>
      <c r="J1159" s="12" t="n">
        <f aca="false">IF(INDEX(選手一覧!$G$7:$G$2738,$F1159)="","",INDEX(選手一覧!$G$7:$G$2738,$F1159))</f>
        <v>427</v>
      </c>
    </row>
    <row r="1160" customFormat="false" ht="15" hidden="false" customHeight="false" outlineLevel="0" collapsed="false">
      <c r="A1160" s="12" t="n">
        <v>1156</v>
      </c>
      <c r="B1160" s="10" t="s">
        <v>1430</v>
      </c>
      <c r="C1160" s="10" t="s">
        <v>179</v>
      </c>
      <c r="D1160" s="11" t="n">
        <v>0.00292581018518519</v>
      </c>
      <c r="E1160" s="18" t="n">
        <f aca="false">ROUND((D1160-$D$5)*86400,2)</f>
        <v>27.76</v>
      </c>
      <c r="F1160" s="12" t="n">
        <v>978</v>
      </c>
      <c r="G1160" s="11" t="n">
        <f aca="false">IF(INDEX(選手一覧!$D$7:$D$2738,$F1160)="","",INDEX(選手一覧!$D$7:$D$2738,$F1160))</f>
        <v>0.0105828703703704</v>
      </c>
      <c r="H1160" s="12" t="n">
        <f aca="false">IF(INDEX(選手一覧!$E$7:$E$2738,$F1160)="","",INDEX(選手一覧!$E$7:$E$2738,$F1160))</f>
        <v>438</v>
      </c>
      <c r="I1160" s="11" t="str">
        <f aca="false">IF(INDEX(選手一覧!$F$7:$F$2738,$F1160)="","",INDEX(選手一覧!$F$7:$F$2738,$F1160))</f>
        <v/>
      </c>
      <c r="J1160" s="12" t="str">
        <f aca="false">IF(INDEX(選手一覧!$G$7:$G$2738,$F1160)="","",INDEX(選手一覧!$G$7:$G$2738,$F1160))</f>
        <v/>
      </c>
    </row>
    <row r="1161" customFormat="false" ht="15" hidden="false" customHeight="false" outlineLevel="0" collapsed="false">
      <c r="A1161" s="12" t="n">
        <v>1157</v>
      </c>
      <c r="B1161" s="10" t="s">
        <v>3341</v>
      </c>
      <c r="C1161" s="10" t="s">
        <v>3342</v>
      </c>
      <c r="D1161" s="11" t="n">
        <v>0.00292592592592593</v>
      </c>
      <c r="E1161" s="18" t="n">
        <f aca="false">ROUND((D1161-$D$5)*86400,2)</f>
        <v>27.77</v>
      </c>
      <c r="F1161" s="12" t="n">
        <v>2352</v>
      </c>
      <c r="G1161" s="11" t="str">
        <f aca="false">IF(INDEX(選手一覧!$D$7:$D$2738,$F1161)="","",INDEX(選手一覧!$D$7:$D$2738,$F1161))</f>
        <v/>
      </c>
      <c r="H1161" s="12" t="str">
        <f aca="false">IF(INDEX(選手一覧!$E$7:$E$2738,$F1161)="","",INDEX(選手一覧!$E$7:$E$2738,$F1161))</f>
        <v/>
      </c>
      <c r="I1161" s="11" t="str">
        <f aca="false">IF(INDEX(選手一覧!$F$7:$F$2738,$F1161)="","",INDEX(選手一覧!$F$7:$F$2738,$F1161))</f>
        <v/>
      </c>
      <c r="J1161" s="12" t="str">
        <f aca="false">IF(INDEX(選手一覧!$G$7:$G$2738,$F1161)="","",INDEX(選手一覧!$G$7:$G$2738,$F1161))</f>
        <v/>
      </c>
    </row>
    <row r="1162" customFormat="false" ht="15" hidden="false" customHeight="false" outlineLevel="0" collapsed="false">
      <c r="A1162" s="12" t="n">
        <v>1158</v>
      </c>
      <c r="B1162" s="10" t="s">
        <v>2056</v>
      </c>
      <c r="C1162" s="10" t="s">
        <v>1348</v>
      </c>
      <c r="D1162" s="11" t="n">
        <v>0.00292604166666667</v>
      </c>
      <c r="E1162" s="18" t="n">
        <f aca="false">ROUND((D1162-$D$5)*86400,2)</f>
        <v>27.78</v>
      </c>
      <c r="F1162" s="12" t="n">
        <v>1421</v>
      </c>
      <c r="G1162" s="11" t="str">
        <f aca="false">IF(INDEX(選手一覧!$D$7:$D$2738,$F1162)="","",INDEX(選手一覧!$D$7:$D$2738,$F1162))</f>
        <v/>
      </c>
      <c r="H1162" s="12" t="str">
        <f aca="false">IF(INDEX(選手一覧!$E$7:$E$2738,$F1162)="","",INDEX(選手一覧!$E$7:$E$2738,$F1162))</f>
        <v/>
      </c>
      <c r="I1162" s="11" t="n">
        <f aca="false">IF(INDEX(選手一覧!$F$7:$F$2738,$F1162)="","",INDEX(選手一覧!$F$7:$F$2738,$F1162))</f>
        <v>0.00732141203703704</v>
      </c>
      <c r="J1162" s="12" t="n">
        <f aca="false">IF(INDEX(選手一覧!$G$7:$G$2738,$F1162)="","",INDEX(選手一覧!$G$7:$G$2738,$F1162))</f>
        <v>672</v>
      </c>
    </row>
    <row r="1163" customFormat="false" ht="15" hidden="false" customHeight="false" outlineLevel="0" collapsed="false">
      <c r="A1163" s="12" t="n">
        <v>1159</v>
      </c>
      <c r="B1163" s="10" t="s">
        <v>3348</v>
      </c>
      <c r="C1163" s="10" t="s">
        <v>3349</v>
      </c>
      <c r="D1163" s="11" t="n">
        <v>0.00292615740740741</v>
      </c>
      <c r="E1163" s="18" t="n">
        <f aca="false">ROUND((D1163-$D$5)*86400,2)</f>
        <v>27.79</v>
      </c>
      <c r="F1163" s="12" t="n">
        <v>2357</v>
      </c>
      <c r="G1163" s="11" t="str">
        <f aca="false">IF(INDEX(選手一覧!$D$7:$D$2738,$F1163)="","",INDEX(選手一覧!$D$7:$D$2738,$F1163))</f>
        <v/>
      </c>
      <c r="H1163" s="12" t="str">
        <f aca="false">IF(INDEX(選手一覧!$E$7:$E$2738,$F1163)="","",INDEX(選手一覧!$E$7:$E$2738,$F1163))</f>
        <v/>
      </c>
      <c r="I1163" s="11" t="str">
        <f aca="false">IF(INDEX(選手一覧!$F$7:$F$2738,$F1163)="","",INDEX(選手一覧!$F$7:$F$2738,$F1163))</f>
        <v/>
      </c>
      <c r="J1163" s="12" t="str">
        <f aca="false">IF(INDEX(選手一覧!$G$7:$G$2738,$F1163)="","",INDEX(選手一覧!$G$7:$G$2738,$F1163))</f>
        <v/>
      </c>
    </row>
    <row r="1164" customFormat="false" ht="15" hidden="false" customHeight="false" outlineLevel="0" collapsed="false">
      <c r="A1164" s="12" t="n">
        <v>1160</v>
      </c>
      <c r="B1164" s="10" t="s">
        <v>3351</v>
      </c>
      <c r="C1164" s="10" t="s">
        <v>3352</v>
      </c>
      <c r="D1164" s="11" t="n">
        <v>0.00292627314814815</v>
      </c>
      <c r="E1164" s="18" t="n">
        <f aca="false">ROUND((D1164-$D$5)*86400,2)</f>
        <v>27.8</v>
      </c>
      <c r="F1164" s="12" t="n">
        <v>2359</v>
      </c>
      <c r="G1164" s="11" t="str">
        <f aca="false">IF(INDEX(選手一覧!$D$7:$D$2738,$F1164)="","",INDEX(選手一覧!$D$7:$D$2738,$F1164))</f>
        <v/>
      </c>
      <c r="H1164" s="12" t="str">
        <f aca="false">IF(INDEX(選手一覧!$E$7:$E$2738,$F1164)="","",INDEX(選手一覧!$E$7:$E$2738,$F1164))</f>
        <v/>
      </c>
      <c r="I1164" s="11" t="str">
        <f aca="false">IF(INDEX(選手一覧!$F$7:$F$2738,$F1164)="","",INDEX(選手一覧!$F$7:$F$2738,$F1164))</f>
        <v/>
      </c>
      <c r="J1164" s="12" t="str">
        <f aca="false">IF(INDEX(選手一覧!$G$7:$G$2738,$F1164)="","",INDEX(選手一覧!$G$7:$G$2738,$F1164))</f>
        <v/>
      </c>
    </row>
    <row r="1165" customFormat="false" ht="15" hidden="false" customHeight="false" outlineLevel="0" collapsed="false">
      <c r="A1165" s="12" t="n">
        <v>1161</v>
      </c>
      <c r="B1165" s="10" t="s">
        <v>3356</v>
      </c>
      <c r="C1165" s="10" t="s">
        <v>3357</v>
      </c>
      <c r="D1165" s="11" t="n">
        <v>0.00292627314814815</v>
      </c>
      <c r="E1165" s="18" t="n">
        <f aca="false">ROUND((D1165-$D$5)*86400,2)</f>
        <v>27.8</v>
      </c>
      <c r="F1165" s="12" t="n">
        <v>2362</v>
      </c>
      <c r="G1165" s="11" t="str">
        <f aca="false">IF(INDEX(選手一覧!$D$7:$D$2738,$F1165)="","",INDEX(選手一覧!$D$7:$D$2738,$F1165))</f>
        <v/>
      </c>
      <c r="H1165" s="12" t="str">
        <f aca="false">IF(INDEX(選手一覧!$E$7:$E$2738,$F1165)="","",INDEX(選手一覧!$E$7:$E$2738,$F1165))</f>
        <v/>
      </c>
      <c r="I1165" s="11" t="str">
        <f aca="false">IF(INDEX(選手一覧!$F$7:$F$2738,$F1165)="","",INDEX(選手一覧!$F$7:$F$2738,$F1165))</f>
        <v/>
      </c>
      <c r="J1165" s="12" t="str">
        <f aca="false">IF(INDEX(選手一覧!$G$7:$G$2738,$F1165)="","",INDEX(選手一覧!$G$7:$G$2738,$F1165))</f>
        <v/>
      </c>
    </row>
    <row r="1166" customFormat="false" ht="15" hidden="false" customHeight="false" outlineLevel="0" collapsed="false">
      <c r="A1166" s="12" t="n">
        <v>1162</v>
      </c>
      <c r="B1166" s="10" t="s">
        <v>3075</v>
      </c>
      <c r="C1166" s="10" t="s">
        <v>3076</v>
      </c>
      <c r="D1166" s="11" t="n">
        <v>0.00292638888888889</v>
      </c>
      <c r="E1166" s="18" t="n">
        <f aca="false">ROUND((D1166-$D$5)*86400,2)</f>
        <v>27.81</v>
      </c>
      <c r="F1166" s="12" t="n">
        <v>2158</v>
      </c>
      <c r="G1166" s="11" t="n">
        <f aca="false">IF(INDEX(選手一覧!$D$7:$D$2738,$F1166)="","",INDEX(選手一覧!$D$7:$D$2738,$F1166))</f>
        <v>0.0109747685185185</v>
      </c>
      <c r="H1166" s="12" t="n">
        <f aca="false">IF(INDEX(選手一覧!$E$7:$E$2738,$F1166)="","",INDEX(選手一覧!$E$7:$E$2738,$F1166))</f>
        <v>1049</v>
      </c>
      <c r="I1166" s="11" t="str">
        <f aca="false">IF(INDEX(選手一覧!$F$7:$F$2738,$F1166)="","",INDEX(選手一覧!$F$7:$F$2738,$F1166))</f>
        <v/>
      </c>
      <c r="J1166" s="12" t="str">
        <f aca="false">IF(INDEX(選手一覧!$G$7:$G$2738,$F1166)="","",INDEX(選手一覧!$G$7:$G$2738,$F1166))</f>
        <v/>
      </c>
    </row>
    <row r="1167" customFormat="false" ht="15" hidden="false" customHeight="false" outlineLevel="0" collapsed="false">
      <c r="A1167" s="12" t="n">
        <v>1163</v>
      </c>
      <c r="B1167" s="10" t="s">
        <v>3363</v>
      </c>
      <c r="C1167" s="10" t="s">
        <v>3364</v>
      </c>
      <c r="D1167" s="11" t="n">
        <v>0.00292673611111111</v>
      </c>
      <c r="E1167" s="18" t="n">
        <f aca="false">ROUND((D1167-$D$5)*86400,2)</f>
        <v>27.84</v>
      </c>
      <c r="F1167" s="12" t="n">
        <v>2367</v>
      </c>
      <c r="G1167" s="11" t="str">
        <f aca="false">IF(INDEX(選手一覧!$D$7:$D$2738,$F1167)="","",INDEX(選手一覧!$D$7:$D$2738,$F1167))</f>
        <v/>
      </c>
      <c r="H1167" s="12" t="str">
        <f aca="false">IF(INDEX(選手一覧!$E$7:$E$2738,$F1167)="","",INDEX(選手一覧!$E$7:$E$2738,$F1167))</f>
        <v/>
      </c>
      <c r="I1167" s="11" t="str">
        <f aca="false">IF(INDEX(選手一覧!$F$7:$F$2738,$F1167)="","",INDEX(選手一覧!$F$7:$F$2738,$F1167))</f>
        <v/>
      </c>
      <c r="J1167" s="12" t="str">
        <f aca="false">IF(INDEX(選手一覧!$G$7:$G$2738,$F1167)="","",INDEX(選手一覧!$G$7:$G$2738,$F1167))</f>
        <v/>
      </c>
    </row>
    <row r="1168" customFormat="false" ht="15" hidden="false" customHeight="false" outlineLevel="0" collapsed="false">
      <c r="A1168" s="12" t="n">
        <v>1164</v>
      </c>
      <c r="B1168" s="10" t="s">
        <v>3366</v>
      </c>
      <c r="C1168" s="10" t="s">
        <v>1423</v>
      </c>
      <c r="D1168" s="11" t="n">
        <v>0.00292731481481482</v>
      </c>
      <c r="E1168" s="18" t="n">
        <f aca="false">ROUND((D1168-$D$5)*86400,2)</f>
        <v>27.89</v>
      </c>
      <c r="F1168" s="12" t="n">
        <v>2369</v>
      </c>
      <c r="G1168" s="11" t="str">
        <f aca="false">IF(INDEX(選手一覧!$D$7:$D$2738,$F1168)="","",INDEX(選手一覧!$D$7:$D$2738,$F1168))</f>
        <v/>
      </c>
      <c r="H1168" s="12" t="str">
        <f aca="false">IF(INDEX(選手一覧!$E$7:$E$2738,$F1168)="","",INDEX(選手一覧!$E$7:$E$2738,$F1168))</f>
        <v/>
      </c>
      <c r="I1168" s="11" t="str">
        <f aca="false">IF(INDEX(選手一覧!$F$7:$F$2738,$F1168)="","",INDEX(選手一覧!$F$7:$F$2738,$F1168))</f>
        <v/>
      </c>
      <c r="J1168" s="12" t="str">
        <f aca="false">IF(INDEX(選手一覧!$G$7:$G$2738,$F1168)="","",INDEX(選手一覧!$G$7:$G$2738,$F1168))</f>
        <v/>
      </c>
    </row>
    <row r="1169" customFormat="false" ht="15" hidden="false" customHeight="false" outlineLevel="0" collapsed="false">
      <c r="A1169" s="12" t="n">
        <v>1165</v>
      </c>
      <c r="B1169" s="10" t="s">
        <v>3370</v>
      </c>
      <c r="C1169" s="10" t="s">
        <v>3371</v>
      </c>
      <c r="D1169" s="11" t="n">
        <v>0.00292731481481482</v>
      </c>
      <c r="E1169" s="18" t="n">
        <f aca="false">ROUND((D1169-$D$5)*86400,2)</f>
        <v>27.89</v>
      </c>
      <c r="F1169" s="12" t="n">
        <v>2372</v>
      </c>
      <c r="G1169" s="11" t="str">
        <f aca="false">IF(INDEX(選手一覧!$D$7:$D$2738,$F1169)="","",INDEX(選手一覧!$D$7:$D$2738,$F1169))</f>
        <v/>
      </c>
      <c r="H1169" s="12" t="str">
        <f aca="false">IF(INDEX(選手一覧!$E$7:$E$2738,$F1169)="","",INDEX(選手一覧!$E$7:$E$2738,$F1169))</f>
        <v/>
      </c>
      <c r="I1169" s="11" t="str">
        <f aca="false">IF(INDEX(選手一覧!$F$7:$F$2738,$F1169)="","",INDEX(選手一覧!$F$7:$F$2738,$F1169))</f>
        <v/>
      </c>
      <c r="J1169" s="12" t="str">
        <f aca="false">IF(INDEX(選手一覧!$G$7:$G$2738,$F1169)="","",INDEX(選手一覧!$G$7:$G$2738,$F1169))</f>
        <v/>
      </c>
    </row>
    <row r="1170" customFormat="false" ht="15" hidden="false" customHeight="false" outlineLevel="0" collapsed="false">
      <c r="A1170" s="12" t="n">
        <v>1166</v>
      </c>
      <c r="B1170" s="10" t="s">
        <v>2551</v>
      </c>
      <c r="C1170" s="10" t="s">
        <v>523</v>
      </c>
      <c r="D1170" s="11" t="n">
        <v>0.0029275462962963</v>
      </c>
      <c r="E1170" s="18" t="n">
        <f aca="false">ROUND((D1170-$D$5)*86400,2)</f>
        <v>27.91</v>
      </c>
      <c r="F1170" s="12" t="n">
        <v>1782</v>
      </c>
      <c r="G1170" s="11" t="n">
        <f aca="false">IF(INDEX(選手一覧!$D$7:$D$2738,$F1170)="","",INDEX(選手一覧!$D$7:$D$2738,$F1170))</f>
        <v>0.0108612268518519</v>
      </c>
      <c r="H1170" s="12" t="n">
        <f aca="false">IF(INDEX(選手一覧!$E$7:$E$2738,$F1170)="","",INDEX(選手一覧!$E$7:$E$2738,$F1170))</f>
        <v>851</v>
      </c>
      <c r="I1170" s="11" t="str">
        <f aca="false">IF(INDEX(選手一覧!$F$7:$F$2738,$F1170)="","",INDEX(選手一覧!$F$7:$F$2738,$F1170))</f>
        <v/>
      </c>
      <c r="J1170" s="12" t="str">
        <f aca="false">IF(INDEX(選手一覧!$G$7:$G$2738,$F1170)="","",INDEX(選手一覧!$G$7:$G$2738,$F1170))</f>
        <v/>
      </c>
    </row>
    <row r="1171" customFormat="false" ht="15" hidden="false" customHeight="false" outlineLevel="0" collapsed="false">
      <c r="A1171" s="12" t="n">
        <v>1167</v>
      </c>
      <c r="B1171" s="10" t="s">
        <v>3377</v>
      </c>
      <c r="C1171" s="10" t="s">
        <v>3378</v>
      </c>
      <c r="D1171" s="11" t="n">
        <v>0.00292766203703704</v>
      </c>
      <c r="E1171" s="18" t="n">
        <f aca="false">ROUND((D1171-$D$5)*86400,2)</f>
        <v>27.92</v>
      </c>
      <c r="F1171" s="12" t="n">
        <v>2377</v>
      </c>
      <c r="G1171" s="11" t="str">
        <f aca="false">IF(INDEX(選手一覧!$D$7:$D$2738,$F1171)="","",INDEX(選手一覧!$D$7:$D$2738,$F1171))</f>
        <v/>
      </c>
      <c r="H1171" s="12" t="str">
        <f aca="false">IF(INDEX(選手一覧!$E$7:$E$2738,$F1171)="","",INDEX(選手一覧!$E$7:$E$2738,$F1171))</f>
        <v/>
      </c>
      <c r="I1171" s="11" t="str">
        <f aca="false">IF(INDEX(選手一覧!$F$7:$F$2738,$F1171)="","",INDEX(選手一覧!$F$7:$F$2738,$F1171))</f>
        <v/>
      </c>
      <c r="J1171" s="12" t="str">
        <f aca="false">IF(INDEX(選手一覧!$G$7:$G$2738,$F1171)="","",INDEX(選手一覧!$G$7:$G$2738,$F1171))</f>
        <v/>
      </c>
    </row>
    <row r="1172" customFormat="false" ht="15" hidden="false" customHeight="false" outlineLevel="0" collapsed="false">
      <c r="A1172" s="12" t="n">
        <v>1168</v>
      </c>
      <c r="B1172" s="10" t="s">
        <v>1669</v>
      </c>
      <c r="C1172" s="10" t="s">
        <v>1670</v>
      </c>
      <c r="D1172" s="11" t="n">
        <v>0.00292824074074074</v>
      </c>
      <c r="E1172" s="18" t="n">
        <f aca="false">ROUND((D1172-$D$5)*86400,2)</f>
        <v>27.97</v>
      </c>
      <c r="F1172" s="12" t="n">
        <v>1150</v>
      </c>
      <c r="G1172" s="11" t="str">
        <f aca="false">IF(INDEX(選手一覧!$D$7:$D$2738,$F1172)="","",INDEX(選手一覧!$D$7:$D$2738,$F1172))</f>
        <v/>
      </c>
      <c r="H1172" s="12" t="str">
        <f aca="false">IF(INDEX(選手一覧!$E$7:$E$2738,$F1172)="","",INDEX(選手一覧!$E$7:$E$2738,$F1172))</f>
        <v/>
      </c>
      <c r="I1172" s="11" t="n">
        <f aca="false">IF(INDEX(選手一覧!$F$7:$F$2738,$F1172)="","",INDEX(選手一覧!$F$7:$F$2738,$F1172))</f>
        <v>0.00718472222222222</v>
      </c>
      <c r="J1172" s="12" t="n">
        <f aca="false">IF(INDEX(選手一覧!$G$7:$G$2738,$F1172)="","",INDEX(選手一覧!$G$7:$G$2738,$F1172))</f>
        <v>524</v>
      </c>
    </row>
    <row r="1173" customFormat="false" ht="15" hidden="false" customHeight="false" outlineLevel="0" collapsed="false">
      <c r="A1173" s="12" t="n">
        <v>1169</v>
      </c>
      <c r="B1173" s="10" t="s">
        <v>3386</v>
      </c>
      <c r="C1173" s="10" t="s">
        <v>2339</v>
      </c>
      <c r="D1173" s="11" t="n">
        <v>0.00292835648148148</v>
      </c>
      <c r="E1173" s="18" t="n">
        <f aca="false">ROUND((D1173-$D$5)*86400,2)</f>
        <v>27.98</v>
      </c>
      <c r="F1173" s="12" t="n">
        <v>2382</v>
      </c>
      <c r="G1173" s="11" t="str">
        <f aca="false">IF(INDEX(選手一覧!$D$7:$D$2738,$F1173)="","",INDEX(選手一覧!$D$7:$D$2738,$F1173))</f>
        <v/>
      </c>
      <c r="H1173" s="12" t="str">
        <f aca="false">IF(INDEX(選手一覧!$E$7:$E$2738,$F1173)="","",INDEX(選手一覧!$E$7:$E$2738,$F1173))</f>
        <v/>
      </c>
      <c r="I1173" s="11" t="str">
        <f aca="false">IF(INDEX(選手一覧!$F$7:$F$2738,$F1173)="","",INDEX(選手一覧!$F$7:$F$2738,$F1173))</f>
        <v/>
      </c>
      <c r="J1173" s="12" t="str">
        <f aca="false">IF(INDEX(選手一覧!$G$7:$G$2738,$F1173)="","",INDEX(選手一覧!$G$7:$G$2738,$F1173))</f>
        <v/>
      </c>
    </row>
    <row r="1174" customFormat="false" ht="15" hidden="false" customHeight="false" outlineLevel="0" collapsed="false">
      <c r="A1174" s="12" t="n">
        <v>1170</v>
      </c>
      <c r="B1174" s="10" t="s">
        <v>2570</v>
      </c>
      <c r="C1174" s="10" t="s">
        <v>969</v>
      </c>
      <c r="D1174" s="11" t="n">
        <v>0.00292881944444444</v>
      </c>
      <c r="E1174" s="18" t="n">
        <f aca="false">ROUND((D1174-$D$5)*86400,2)</f>
        <v>28.02</v>
      </c>
      <c r="F1174" s="12" t="n">
        <v>1796</v>
      </c>
      <c r="G1174" s="11" t="str">
        <f aca="false">IF(INDEX(選手一覧!$D$7:$D$2738,$F1174)="","",INDEX(選手一覧!$D$7:$D$2738,$F1174))</f>
        <v/>
      </c>
      <c r="H1174" s="12" t="str">
        <f aca="false">IF(INDEX(選手一覧!$E$7:$E$2738,$F1174)="","",INDEX(選手一覧!$E$7:$E$2738,$F1174))</f>
        <v/>
      </c>
      <c r="I1174" s="11" t="n">
        <f aca="false">IF(INDEX(選手一覧!$F$7:$F$2738,$F1174)="","",INDEX(選手一覧!$F$7:$F$2738,$F1174))</f>
        <v>0.00747141203703704</v>
      </c>
      <c r="J1174" s="12" t="n">
        <f aca="false">IF(INDEX(選手一覧!$G$7:$G$2738,$F1174)="","",INDEX(選手一覧!$G$7:$G$2738,$F1174))</f>
        <v>860</v>
      </c>
    </row>
    <row r="1175" customFormat="false" ht="15" hidden="false" customHeight="false" outlineLevel="0" collapsed="false">
      <c r="A1175" s="12" t="n">
        <v>1171</v>
      </c>
      <c r="B1175" s="10" t="s">
        <v>925</v>
      </c>
      <c r="C1175" s="10" t="s">
        <v>103</v>
      </c>
      <c r="D1175" s="11" t="n">
        <v>0.00292951388888889</v>
      </c>
      <c r="E1175" s="18" t="n">
        <f aca="false">ROUND((D1175-$D$5)*86400,2)</f>
        <v>28.08</v>
      </c>
      <c r="F1175" s="12" t="n">
        <v>612</v>
      </c>
      <c r="G1175" s="11" t="n">
        <f aca="false">IF(INDEX(選手一覧!$D$7:$D$2738,$F1175)="","",INDEX(選手一覧!$D$7:$D$2738,$F1175))</f>
        <v>0.010396875</v>
      </c>
      <c r="H1175" s="12" t="n">
        <f aca="false">IF(INDEX(選手一覧!$E$7:$E$2738,$F1175)="","",INDEX(選手一覧!$E$7:$E$2738,$F1175))</f>
        <v>258</v>
      </c>
      <c r="I1175" s="11" t="str">
        <f aca="false">IF(INDEX(選手一覧!$F$7:$F$2738,$F1175)="","",INDEX(選手一覧!$F$7:$F$2738,$F1175))</f>
        <v/>
      </c>
      <c r="J1175" s="12" t="str">
        <f aca="false">IF(INDEX(選手一覧!$G$7:$G$2738,$F1175)="","",INDEX(選手一覧!$G$7:$G$2738,$F1175))</f>
        <v/>
      </c>
    </row>
    <row r="1176" customFormat="false" ht="15" hidden="false" customHeight="false" outlineLevel="0" collapsed="false">
      <c r="A1176" s="12" t="n">
        <v>1172</v>
      </c>
      <c r="B1176" s="10" t="s">
        <v>3393</v>
      </c>
      <c r="C1176" s="10" t="s">
        <v>162</v>
      </c>
      <c r="D1176" s="11" t="n">
        <v>0.00292951388888889</v>
      </c>
      <c r="E1176" s="18" t="n">
        <f aca="false">ROUND((D1176-$D$5)*86400,2)</f>
        <v>28.08</v>
      </c>
      <c r="F1176" s="12" t="n">
        <v>2388</v>
      </c>
      <c r="G1176" s="11" t="str">
        <f aca="false">IF(INDEX(選手一覧!$D$7:$D$2738,$F1176)="","",INDEX(選手一覧!$D$7:$D$2738,$F1176))</f>
        <v/>
      </c>
      <c r="H1176" s="12" t="str">
        <f aca="false">IF(INDEX(選手一覧!$E$7:$E$2738,$F1176)="","",INDEX(選手一覧!$E$7:$E$2738,$F1176))</f>
        <v/>
      </c>
      <c r="I1176" s="11" t="str">
        <f aca="false">IF(INDEX(選手一覧!$F$7:$F$2738,$F1176)="","",INDEX(選手一覧!$F$7:$F$2738,$F1176))</f>
        <v/>
      </c>
      <c r="J1176" s="12" t="str">
        <f aca="false">IF(INDEX(選手一覧!$G$7:$G$2738,$F1176)="","",INDEX(選手一覧!$G$7:$G$2738,$F1176))</f>
        <v/>
      </c>
    </row>
    <row r="1177" customFormat="false" ht="15" hidden="false" customHeight="false" outlineLevel="0" collapsed="false">
      <c r="A1177" s="12" t="n">
        <v>1173</v>
      </c>
      <c r="B1177" s="10" t="s">
        <v>552</v>
      </c>
      <c r="C1177" s="10" t="s">
        <v>83</v>
      </c>
      <c r="D1177" s="11" t="n">
        <v>0.00292951388888889</v>
      </c>
      <c r="E1177" s="18" t="n">
        <f aca="false">ROUND((D1177-$D$5)*86400,2)</f>
        <v>28.08</v>
      </c>
      <c r="F1177" s="12" t="n">
        <v>344</v>
      </c>
      <c r="G1177" s="11" t="n">
        <f aca="false">IF(INDEX(選手一覧!$D$7:$D$2738,$F1177)="","",INDEX(選手一覧!$D$7:$D$2738,$F1177))</f>
        <v>0.0102770833333333</v>
      </c>
      <c r="H1177" s="12" t="n">
        <f aca="false">IF(INDEX(選手一覧!$E$7:$E$2738,$F1177)="","",INDEX(選手一覧!$E$7:$E$2738,$F1177))</f>
        <v>143</v>
      </c>
      <c r="I1177" s="11" t="str">
        <f aca="false">IF(INDEX(選手一覧!$F$7:$F$2738,$F1177)="","",INDEX(選手一覧!$F$7:$F$2738,$F1177))</f>
        <v/>
      </c>
      <c r="J1177" s="12" t="str">
        <f aca="false">IF(INDEX(選手一覧!$G$7:$G$2738,$F1177)="","",INDEX(選手一覧!$G$7:$G$2738,$F1177))</f>
        <v/>
      </c>
    </row>
    <row r="1178" customFormat="false" ht="15" hidden="false" customHeight="false" outlineLevel="0" collapsed="false">
      <c r="A1178" s="12" t="n">
        <v>1174</v>
      </c>
      <c r="B1178" s="10" t="s">
        <v>3257</v>
      </c>
      <c r="C1178" s="10" t="s">
        <v>546</v>
      </c>
      <c r="D1178" s="11" t="n">
        <v>0.00293009259259259</v>
      </c>
      <c r="E1178" s="18" t="n">
        <f aca="false">ROUND((D1178-$D$5)*86400,2)</f>
        <v>28.13</v>
      </c>
      <c r="F1178" s="12" t="n">
        <v>2292</v>
      </c>
      <c r="G1178" s="11" t="n">
        <f aca="false">IF(INDEX(選手一覧!$D$7:$D$2738,$F1178)="","",INDEX(選手一覧!$D$7:$D$2738,$F1178))</f>
        <v>0.0110174768518519</v>
      </c>
      <c r="H1178" s="12" t="n">
        <f aca="false">IF(INDEX(選手一覧!$E$7:$E$2738,$F1178)="","",INDEX(選手一覧!$E$7:$E$2738,$F1178))</f>
        <v>1123</v>
      </c>
      <c r="I1178" s="11" t="str">
        <f aca="false">IF(INDEX(選手一覧!$F$7:$F$2738,$F1178)="","",INDEX(選手一覧!$F$7:$F$2738,$F1178))</f>
        <v/>
      </c>
      <c r="J1178" s="12" t="str">
        <f aca="false">IF(INDEX(選手一覧!$G$7:$G$2738,$F1178)="","",INDEX(選手一覧!$G$7:$G$2738,$F1178))</f>
        <v/>
      </c>
    </row>
    <row r="1179" customFormat="false" ht="15" hidden="false" customHeight="false" outlineLevel="0" collapsed="false">
      <c r="A1179" s="12" t="n">
        <v>1175</v>
      </c>
      <c r="B1179" s="10" t="s">
        <v>3397</v>
      </c>
      <c r="C1179" s="10" t="s">
        <v>1900</v>
      </c>
      <c r="D1179" s="11" t="n">
        <v>0.00293090277777778</v>
      </c>
      <c r="E1179" s="18" t="n">
        <f aca="false">ROUND((D1179-$D$5)*86400,2)</f>
        <v>28.2</v>
      </c>
      <c r="F1179" s="12" t="n">
        <v>2391</v>
      </c>
      <c r="G1179" s="11" t="str">
        <f aca="false">IF(INDEX(選手一覧!$D$7:$D$2738,$F1179)="","",INDEX(選手一覧!$D$7:$D$2738,$F1179))</f>
        <v/>
      </c>
      <c r="H1179" s="12" t="str">
        <f aca="false">IF(INDEX(選手一覧!$E$7:$E$2738,$F1179)="","",INDEX(選手一覧!$E$7:$E$2738,$F1179))</f>
        <v/>
      </c>
      <c r="I1179" s="11" t="str">
        <f aca="false">IF(INDEX(選手一覧!$F$7:$F$2738,$F1179)="","",INDEX(選手一覧!$F$7:$F$2738,$F1179))</f>
        <v/>
      </c>
      <c r="J1179" s="12" t="str">
        <f aca="false">IF(INDEX(選手一覧!$G$7:$G$2738,$F1179)="","",INDEX(選手一覧!$G$7:$G$2738,$F1179))</f>
        <v/>
      </c>
    </row>
    <row r="1180" customFormat="false" ht="15" hidden="false" customHeight="false" outlineLevel="0" collapsed="false">
      <c r="A1180" s="12" t="n">
        <v>1176</v>
      </c>
      <c r="B1180" s="10" t="s">
        <v>3399</v>
      </c>
      <c r="C1180" s="10" t="s">
        <v>2171</v>
      </c>
      <c r="D1180" s="11" t="n">
        <v>0.00293148148148148</v>
      </c>
      <c r="E1180" s="18" t="n">
        <f aca="false">ROUND((D1180-$D$5)*86400,2)</f>
        <v>28.25</v>
      </c>
      <c r="F1180" s="12" t="n">
        <v>2393</v>
      </c>
      <c r="G1180" s="11" t="str">
        <f aca="false">IF(INDEX(選手一覧!$D$7:$D$2738,$F1180)="","",INDEX(選手一覧!$D$7:$D$2738,$F1180))</f>
        <v/>
      </c>
      <c r="H1180" s="12" t="str">
        <f aca="false">IF(INDEX(選手一覧!$E$7:$E$2738,$F1180)="","",INDEX(選手一覧!$E$7:$E$2738,$F1180))</f>
        <v/>
      </c>
      <c r="I1180" s="11" t="str">
        <f aca="false">IF(INDEX(選手一覧!$F$7:$F$2738,$F1180)="","",INDEX(選手一覧!$F$7:$F$2738,$F1180))</f>
        <v/>
      </c>
      <c r="J1180" s="12" t="str">
        <f aca="false">IF(INDEX(選手一覧!$G$7:$G$2738,$F1180)="","",INDEX(選手一覧!$G$7:$G$2738,$F1180))</f>
        <v/>
      </c>
    </row>
    <row r="1181" customFormat="false" ht="15" hidden="false" customHeight="false" outlineLevel="0" collapsed="false">
      <c r="A1181" s="12" t="n">
        <v>1177</v>
      </c>
      <c r="B1181" s="10" t="s">
        <v>452</v>
      </c>
      <c r="C1181" s="10" t="s">
        <v>79</v>
      </c>
      <c r="D1181" s="11" t="n">
        <v>0.0029318287037037</v>
      </c>
      <c r="E1181" s="18" t="n">
        <f aca="false">ROUND((D1181-$D$5)*86400,2)</f>
        <v>28.28</v>
      </c>
      <c r="F1181" s="12" t="n">
        <v>279</v>
      </c>
      <c r="G1181" s="11" t="n">
        <f aca="false">IF(INDEX(選手一覧!$D$7:$D$2738,$F1181)="","",INDEX(選手一覧!$D$7:$D$2738,$F1181))</f>
        <v>0.0102358796296296</v>
      </c>
      <c r="H1181" s="12" t="n">
        <f aca="false">IF(INDEX(選手一覧!$E$7:$E$2738,$F1181)="","",INDEX(選手一覧!$E$7:$E$2738,$F1181))</f>
        <v>115</v>
      </c>
      <c r="I1181" s="11" t="str">
        <f aca="false">IF(INDEX(選手一覧!$F$7:$F$2738,$F1181)="","",INDEX(選手一覧!$F$7:$F$2738,$F1181))</f>
        <v/>
      </c>
      <c r="J1181" s="12" t="str">
        <f aca="false">IF(INDEX(選手一覧!$G$7:$G$2738,$F1181)="","",INDEX(選手一覧!$G$7:$G$2738,$F1181))</f>
        <v/>
      </c>
    </row>
    <row r="1182" customFormat="false" ht="15" hidden="false" customHeight="false" outlineLevel="0" collapsed="false">
      <c r="A1182" s="12" t="n">
        <v>1178</v>
      </c>
      <c r="B1182" s="10" t="s">
        <v>2667</v>
      </c>
      <c r="C1182" s="10" t="s">
        <v>286</v>
      </c>
      <c r="D1182" s="11" t="n">
        <v>0.0029318287037037</v>
      </c>
      <c r="E1182" s="18" t="n">
        <f aca="false">ROUND((D1182-$D$5)*86400,2)</f>
        <v>28.28</v>
      </c>
      <c r="F1182" s="12" t="n">
        <v>1868</v>
      </c>
      <c r="G1182" s="11" t="n">
        <f aca="false">IF(INDEX(選手一覧!$D$7:$D$2738,$F1182)="","",INDEX(選手一覧!$D$7:$D$2738,$F1182))</f>
        <v>0.0108831018518519</v>
      </c>
      <c r="H1182" s="12" t="n">
        <f aca="false">IF(INDEX(選手一覧!$E$7:$E$2738,$F1182)="","",INDEX(選手一覧!$E$7:$E$2738,$F1182))</f>
        <v>896</v>
      </c>
      <c r="I1182" s="11" t="str">
        <f aca="false">IF(INDEX(選手一覧!$F$7:$F$2738,$F1182)="","",INDEX(選手一覧!$F$7:$F$2738,$F1182))</f>
        <v/>
      </c>
      <c r="J1182" s="12" t="str">
        <f aca="false">IF(INDEX(選手一覧!$G$7:$G$2738,$F1182)="","",INDEX(選手一覧!$G$7:$G$2738,$F1182))</f>
        <v/>
      </c>
    </row>
    <row r="1183" customFormat="false" ht="15" hidden="false" customHeight="false" outlineLevel="0" collapsed="false">
      <c r="A1183" s="12" t="n">
        <v>1179</v>
      </c>
      <c r="B1183" s="10" t="s">
        <v>3403</v>
      </c>
      <c r="C1183" s="10" t="s">
        <v>910</v>
      </c>
      <c r="D1183" s="11" t="n">
        <v>0.00293206018518519</v>
      </c>
      <c r="E1183" s="18" t="n">
        <f aca="false">ROUND((D1183-$D$5)*86400,2)</f>
        <v>28.3</v>
      </c>
      <c r="F1183" s="12" t="n">
        <v>2397</v>
      </c>
      <c r="G1183" s="11" t="str">
        <f aca="false">IF(INDEX(選手一覧!$D$7:$D$2738,$F1183)="","",INDEX(選手一覧!$D$7:$D$2738,$F1183))</f>
        <v/>
      </c>
      <c r="H1183" s="12" t="str">
        <f aca="false">IF(INDEX(選手一覧!$E$7:$E$2738,$F1183)="","",INDEX(選手一覧!$E$7:$E$2738,$F1183))</f>
        <v/>
      </c>
      <c r="I1183" s="11" t="str">
        <f aca="false">IF(INDEX(選手一覧!$F$7:$F$2738,$F1183)="","",INDEX(選手一覧!$F$7:$F$2738,$F1183))</f>
        <v/>
      </c>
      <c r="J1183" s="12" t="str">
        <f aca="false">IF(INDEX(選手一覧!$G$7:$G$2738,$F1183)="","",INDEX(選手一覧!$G$7:$G$2738,$F1183))</f>
        <v/>
      </c>
    </row>
    <row r="1184" customFormat="false" ht="15" hidden="false" customHeight="false" outlineLevel="0" collapsed="false">
      <c r="A1184" s="12" t="n">
        <v>1180</v>
      </c>
      <c r="B1184" s="10" t="s">
        <v>3404</v>
      </c>
      <c r="C1184" s="10" t="s">
        <v>2615</v>
      </c>
      <c r="D1184" s="11" t="n">
        <v>0.00293252314814815</v>
      </c>
      <c r="E1184" s="18" t="n">
        <f aca="false">ROUND((D1184-$D$5)*86400,2)</f>
        <v>28.34</v>
      </c>
      <c r="F1184" s="12" t="n">
        <v>2398</v>
      </c>
      <c r="G1184" s="11" t="n">
        <f aca="false">IF(INDEX(選手一覧!$D$7:$D$2738,$F1184)="","",INDEX(選手一覧!$D$7:$D$2738,$F1184))</f>
        <v>0.0110809027777778</v>
      </c>
      <c r="H1184" s="12" t="n">
        <f aca="false">IF(INDEX(選手一覧!$E$7:$E$2738,$F1184)="","",INDEX(選手一覧!$E$7:$E$2738,$F1184))</f>
        <v>1254</v>
      </c>
      <c r="I1184" s="11" t="str">
        <f aca="false">IF(INDEX(選手一覧!$F$7:$F$2738,$F1184)="","",INDEX(選手一覧!$F$7:$F$2738,$F1184))</f>
        <v/>
      </c>
      <c r="J1184" s="12" t="str">
        <f aca="false">IF(INDEX(選手一覧!$G$7:$G$2738,$F1184)="","",INDEX(選手一覧!$G$7:$G$2738,$F1184))</f>
        <v/>
      </c>
    </row>
    <row r="1185" customFormat="false" ht="15" hidden="false" customHeight="false" outlineLevel="0" collapsed="false">
      <c r="A1185" s="12" t="n">
        <v>1181</v>
      </c>
      <c r="B1185" s="10" t="s">
        <v>3100</v>
      </c>
      <c r="C1185" s="10" t="s">
        <v>79</v>
      </c>
      <c r="D1185" s="11" t="n">
        <v>0.00293321759259259</v>
      </c>
      <c r="E1185" s="18" t="n">
        <f aca="false">ROUND((D1185-$D$5)*86400,2)</f>
        <v>28.4</v>
      </c>
      <c r="F1185" s="12" t="n">
        <v>2176</v>
      </c>
      <c r="G1185" s="11" t="n">
        <f aca="false">IF(INDEX(選手一覧!$D$7:$D$2738,$F1185)="","",INDEX(選手一覧!$D$7:$D$2738,$F1185))</f>
        <v>0.0109813657407407</v>
      </c>
      <c r="H1185" s="12" t="n">
        <f aca="false">IF(INDEX(選手一覧!$E$7:$E$2738,$F1185)="","",INDEX(選手一覧!$E$7:$E$2738,$F1185))</f>
        <v>1061</v>
      </c>
      <c r="I1185" s="11" t="n">
        <f aca="false">IF(INDEX(選手一覧!$F$7:$F$2738,$F1185)="","",INDEX(選手一覧!$F$7:$F$2738,$F1185))</f>
        <v>0.00770127314814815</v>
      </c>
      <c r="J1185" s="12" t="n">
        <f aca="false">IF(INDEX(選手一覧!$G$7:$G$2738,$F1185)="","",INDEX(選手一覧!$G$7:$G$2738,$F1185))</f>
        <v>1068</v>
      </c>
    </row>
    <row r="1186" customFormat="false" ht="15" hidden="false" customHeight="false" outlineLevel="0" collapsed="false">
      <c r="A1186" s="12" t="n">
        <v>1182</v>
      </c>
      <c r="B1186" s="10" t="s">
        <v>230</v>
      </c>
      <c r="C1186" s="10" t="s">
        <v>64</v>
      </c>
      <c r="D1186" s="11" t="n">
        <v>0.00293391203703704</v>
      </c>
      <c r="E1186" s="18" t="n">
        <f aca="false">ROUND((D1186-$D$5)*86400,2)</f>
        <v>28.46</v>
      </c>
      <c r="F1186" s="12" t="n">
        <v>122</v>
      </c>
      <c r="G1186" s="11" t="n">
        <f aca="false">IF(INDEX(選手一覧!$D$7:$D$2738,$F1186)="","",INDEX(選手一覧!$D$7:$D$2738,$F1186))</f>
        <v>0.0105115740740741</v>
      </c>
      <c r="H1186" s="12" t="n">
        <f aca="false">IF(INDEX(選手一覧!$E$7:$E$2738,$F1186)="","",INDEX(選手一覧!$E$7:$E$2738,$F1186))</f>
        <v>351</v>
      </c>
      <c r="I1186" s="11" t="n">
        <f aca="false">IF(INDEX(選手一覧!$F$7:$F$2738,$F1186)="","",INDEX(選手一覧!$F$7:$F$2738,$F1186))</f>
        <v>0.006559375</v>
      </c>
      <c r="J1186" s="12" t="n">
        <f aca="false">IF(INDEX(選手一覧!$G$7:$G$2738,$F1186)="","",INDEX(選手一覧!$G$7:$G$2738,$F1186))</f>
        <v>47</v>
      </c>
    </row>
    <row r="1187" customFormat="false" ht="15" hidden="false" customHeight="false" outlineLevel="0" collapsed="false">
      <c r="A1187" s="12" t="n">
        <v>1183</v>
      </c>
      <c r="B1187" s="10" t="s">
        <v>296</v>
      </c>
      <c r="C1187" s="10" t="s">
        <v>39</v>
      </c>
      <c r="D1187" s="11" t="n">
        <v>0.00293402777777778</v>
      </c>
      <c r="E1187" s="18" t="n">
        <f aca="false">ROUND((D1187-$D$5)*86400,2)</f>
        <v>28.47</v>
      </c>
      <c r="F1187" s="12" t="n">
        <v>167</v>
      </c>
      <c r="G1187" s="11" t="n">
        <f aca="false">IF(INDEX(選手一覧!$D$7:$D$2738,$F1187)="","",INDEX(選手一覧!$D$7:$D$2738,$F1187))</f>
        <v>0.0105496527777778</v>
      </c>
      <c r="H1187" s="12" t="n">
        <f aca="false">IF(INDEX(選手一覧!$E$7:$E$2738,$F1187)="","",INDEX(選手一覧!$E$7:$E$2738,$F1187))</f>
        <v>398</v>
      </c>
      <c r="I1187" s="11" t="n">
        <f aca="false">IF(INDEX(選手一覧!$F$7:$F$2738,$F1187)="","",INDEX(選手一覧!$F$7:$F$2738,$F1187))</f>
        <v>0.00659895833333333</v>
      </c>
      <c r="J1187" s="12" t="n">
        <f aca="false">IF(INDEX(選手一覧!$G$7:$G$2738,$F1187)="","",INDEX(選手一覧!$G$7:$G$2738,$F1187))</f>
        <v>68</v>
      </c>
    </row>
    <row r="1188" customFormat="false" ht="15" hidden="false" customHeight="false" outlineLevel="0" collapsed="false">
      <c r="A1188" s="12" t="n">
        <v>1184</v>
      </c>
      <c r="B1188" s="10" t="s">
        <v>3417</v>
      </c>
      <c r="C1188" s="10" t="s">
        <v>1069</v>
      </c>
      <c r="D1188" s="11" t="n">
        <v>0.00293472222222222</v>
      </c>
      <c r="E1188" s="18" t="n">
        <f aca="false">ROUND((D1188-$D$5)*86400,2)</f>
        <v>28.53</v>
      </c>
      <c r="F1188" s="12" t="n">
        <v>2407</v>
      </c>
      <c r="G1188" s="11" t="str">
        <f aca="false">IF(INDEX(選手一覧!$D$7:$D$2738,$F1188)="","",INDEX(選手一覧!$D$7:$D$2738,$F1188))</f>
        <v/>
      </c>
      <c r="H1188" s="12" t="str">
        <f aca="false">IF(INDEX(選手一覧!$E$7:$E$2738,$F1188)="","",INDEX(選手一覧!$E$7:$E$2738,$F1188))</f>
        <v/>
      </c>
      <c r="I1188" s="11" t="str">
        <f aca="false">IF(INDEX(選手一覧!$F$7:$F$2738,$F1188)="","",INDEX(選手一覧!$F$7:$F$2738,$F1188))</f>
        <v/>
      </c>
      <c r="J1188" s="12" t="str">
        <f aca="false">IF(INDEX(選手一覧!$G$7:$G$2738,$F1188)="","",INDEX(選手一覧!$G$7:$G$2738,$F1188))</f>
        <v/>
      </c>
    </row>
    <row r="1189" customFormat="false" ht="15" hidden="false" customHeight="false" outlineLevel="0" collapsed="false">
      <c r="A1189" s="12" t="n">
        <v>1185</v>
      </c>
      <c r="B1189" s="10" t="s">
        <v>1171</v>
      </c>
      <c r="C1189" s="10" t="s">
        <v>79</v>
      </c>
      <c r="D1189" s="11" t="n">
        <v>0.00293472222222222</v>
      </c>
      <c r="E1189" s="18" t="n">
        <f aca="false">ROUND((D1189-$D$5)*86400,2)</f>
        <v>28.53</v>
      </c>
      <c r="F1189" s="12" t="n">
        <v>794</v>
      </c>
      <c r="G1189" s="11" t="n">
        <f aca="false">IF(INDEX(選手一覧!$D$7:$D$2738,$F1189)="","",INDEX(選手一覧!$D$7:$D$2738,$F1189))</f>
        <v>0.0107076388888889</v>
      </c>
      <c r="H1189" s="12" t="n">
        <f aca="false">IF(INDEX(選手一覧!$E$7:$E$2738,$F1189)="","",INDEX(選手一覧!$E$7:$E$2738,$F1189))</f>
        <v>594</v>
      </c>
      <c r="I1189" s="11" t="n">
        <f aca="false">IF(INDEX(選手一覧!$F$7:$F$2738,$F1189)="","",INDEX(選手一覧!$F$7:$F$2738,$F1189))</f>
        <v>0.00700706018518519</v>
      </c>
      <c r="J1189" s="12" t="n">
        <f aca="false">IF(INDEX(選手一覧!$G$7:$G$2738,$F1189)="","",INDEX(選手一覧!$G$7:$G$2738,$F1189))</f>
        <v>345</v>
      </c>
    </row>
    <row r="1190" customFormat="false" ht="15" hidden="false" customHeight="false" outlineLevel="0" collapsed="false">
      <c r="A1190" s="12" t="n">
        <v>1186</v>
      </c>
      <c r="B1190" s="10" t="s">
        <v>3420</v>
      </c>
      <c r="C1190" s="10" t="s">
        <v>244</v>
      </c>
      <c r="D1190" s="11" t="n">
        <v>0.00293483796296296</v>
      </c>
      <c r="E1190" s="18" t="n">
        <f aca="false">ROUND((D1190-$D$5)*86400,2)</f>
        <v>28.54</v>
      </c>
      <c r="F1190" s="12" t="n">
        <v>2410</v>
      </c>
      <c r="G1190" s="11" t="str">
        <f aca="false">IF(INDEX(選手一覧!$D$7:$D$2738,$F1190)="","",INDEX(選手一覧!$D$7:$D$2738,$F1190))</f>
        <v/>
      </c>
      <c r="H1190" s="12" t="str">
        <f aca="false">IF(INDEX(選手一覧!$E$7:$E$2738,$F1190)="","",INDEX(選手一覧!$E$7:$E$2738,$F1190))</f>
        <v/>
      </c>
      <c r="I1190" s="11" t="str">
        <f aca="false">IF(INDEX(選手一覧!$F$7:$F$2738,$F1190)="","",INDEX(選手一覧!$F$7:$F$2738,$F1190))</f>
        <v/>
      </c>
      <c r="J1190" s="12" t="str">
        <f aca="false">IF(INDEX(選手一覧!$G$7:$G$2738,$F1190)="","",INDEX(選手一覧!$G$7:$G$2738,$F1190))</f>
        <v/>
      </c>
    </row>
    <row r="1191" customFormat="false" ht="15" hidden="false" customHeight="false" outlineLevel="0" collapsed="false">
      <c r="A1191" s="12" t="n">
        <v>1187</v>
      </c>
      <c r="B1191" s="10" t="s">
        <v>3423</v>
      </c>
      <c r="C1191" s="10" t="s">
        <v>3424</v>
      </c>
      <c r="D1191" s="11" t="n">
        <v>0.0029349537037037</v>
      </c>
      <c r="E1191" s="18" t="n">
        <f aca="false">ROUND((D1191-$D$5)*86400,2)</f>
        <v>28.55</v>
      </c>
      <c r="F1191" s="12" t="n">
        <v>2412</v>
      </c>
      <c r="G1191" s="11" t="str">
        <f aca="false">IF(INDEX(選手一覧!$D$7:$D$2738,$F1191)="","",INDEX(選手一覧!$D$7:$D$2738,$F1191))</f>
        <v/>
      </c>
      <c r="H1191" s="12" t="str">
        <f aca="false">IF(INDEX(選手一覧!$E$7:$E$2738,$F1191)="","",INDEX(選手一覧!$E$7:$E$2738,$F1191))</f>
        <v/>
      </c>
      <c r="I1191" s="11" t="str">
        <f aca="false">IF(INDEX(選手一覧!$F$7:$F$2738,$F1191)="","",INDEX(選手一覧!$F$7:$F$2738,$F1191))</f>
        <v/>
      </c>
      <c r="J1191" s="12" t="str">
        <f aca="false">IF(INDEX(選手一覧!$G$7:$G$2738,$F1191)="","",INDEX(選手一覧!$G$7:$G$2738,$F1191))</f>
        <v/>
      </c>
    </row>
    <row r="1192" customFormat="false" ht="15" hidden="false" customHeight="false" outlineLevel="0" collapsed="false">
      <c r="A1192" s="12" t="n">
        <v>1188</v>
      </c>
      <c r="B1192" s="10" t="s">
        <v>3428</v>
      </c>
      <c r="C1192" s="10" t="s">
        <v>3429</v>
      </c>
      <c r="D1192" s="11" t="n">
        <v>0.00293564814814815</v>
      </c>
      <c r="E1192" s="18" t="n">
        <f aca="false">ROUND((D1192-$D$5)*86400,2)</f>
        <v>28.61</v>
      </c>
      <c r="F1192" s="12" t="n">
        <v>2415</v>
      </c>
      <c r="G1192" s="11" t="str">
        <f aca="false">IF(INDEX(選手一覧!$D$7:$D$2738,$F1192)="","",INDEX(選手一覧!$D$7:$D$2738,$F1192))</f>
        <v/>
      </c>
      <c r="H1192" s="12" t="str">
        <f aca="false">IF(INDEX(選手一覧!$E$7:$E$2738,$F1192)="","",INDEX(選手一覧!$E$7:$E$2738,$F1192))</f>
        <v/>
      </c>
      <c r="I1192" s="11" t="str">
        <f aca="false">IF(INDEX(選手一覧!$F$7:$F$2738,$F1192)="","",INDEX(選手一覧!$F$7:$F$2738,$F1192))</f>
        <v/>
      </c>
      <c r="J1192" s="12" t="str">
        <f aca="false">IF(INDEX(選手一覧!$G$7:$G$2738,$F1192)="","",INDEX(選手一覧!$G$7:$G$2738,$F1192))</f>
        <v/>
      </c>
    </row>
    <row r="1193" customFormat="false" ht="15" hidden="false" customHeight="false" outlineLevel="0" collapsed="false">
      <c r="A1193" s="12" t="n">
        <v>1189</v>
      </c>
      <c r="B1193" s="10" t="s">
        <v>3433</v>
      </c>
      <c r="C1193" s="10" t="s">
        <v>2278</v>
      </c>
      <c r="D1193" s="11" t="n">
        <v>0.00293611111111111</v>
      </c>
      <c r="E1193" s="18" t="n">
        <f aca="false">ROUND((D1193-$D$5)*86400,2)</f>
        <v>28.65</v>
      </c>
      <c r="F1193" s="12" t="n">
        <v>2418</v>
      </c>
      <c r="G1193" s="11" t="str">
        <f aca="false">IF(INDEX(選手一覧!$D$7:$D$2738,$F1193)="","",INDEX(選手一覧!$D$7:$D$2738,$F1193))</f>
        <v/>
      </c>
      <c r="H1193" s="12" t="str">
        <f aca="false">IF(INDEX(選手一覧!$E$7:$E$2738,$F1193)="","",INDEX(選手一覧!$E$7:$E$2738,$F1193))</f>
        <v/>
      </c>
      <c r="I1193" s="11" t="str">
        <f aca="false">IF(INDEX(選手一覧!$F$7:$F$2738,$F1193)="","",INDEX(選手一覧!$F$7:$F$2738,$F1193))</f>
        <v/>
      </c>
      <c r="J1193" s="12" t="str">
        <f aca="false">IF(INDEX(選手一覧!$G$7:$G$2738,$F1193)="","",INDEX(選手一覧!$G$7:$G$2738,$F1193))</f>
        <v/>
      </c>
    </row>
    <row r="1194" customFormat="false" ht="15" hidden="false" customHeight="false" outlineLevel="0" collapsed="false">
      <c r="A1194" s="12" t="n">
        <v>1190</v>
      </c>
      <c r="B1194" s="10" t="s">
        <v>3435</v>
      </c>
      <c r="C1194" s="10" t="s">
        <v>3436</v>
      </c>
      <c r="D1194" s="11" t="n">
        <v>0.00293634259259259</v>
      </c>
      <c r="E1194" s="18" t="n">
        <f aca="false">ROUND((D1194-$D$5)*86400,2)</f>
        <v>28.67</v>
      </c>
      <c r="F1194" s="12" t="n">
        <v>2420</v>
      </c>
      <c r="G1194" s="11" t="str">
        <f aca="false">IF(INDEX(選手一覧!$D$7:$D$2738,$F1194)="","",INDEX(選手一覧!$D$7:$D$2738,$F1194))</f>
        <v/>
      </c>
      <c r="H1194" s="12" t="str">
        <f aca="false">IF(INDEX(選手一覧!$E$7:$E$2738,$F1194)="","",INDEX(選手一覧!$E$7:$E$2738,$F1194))</f>
        <v/>
      </c>
      <c r="I1194" s="11" t="str">
        <f aca="false">IF(INDEX(選手一覧!$F$7:$F$2738,$F1194)="","",INDEX(選手一覧!$F$7:$F$2738,$F1194))</f>
        <v/>
      </c>
      <c r="J1194" s="12" t="str">
        <f aca="false">IF(INDEX(選手一覧!$G$7:$G$2738,$F1194)="","",INDEX(選手一覧!$G$7:$G$2738,$F1194))</f>
        <v/>
      </c>
    </row>
    <row r="1195" customFormat="false" ht="15" hidden="false" customHeight="false" outlineLevel="0" collapsed="false">
      <c r="A1195" s="12" t="n">
        <v>1191</v>
      </c>
      <c r="B1195" s="10" t="s">
        <v>3439</v>
      </c>
      <c r="C1195" s="10" t="s">
        <v>1038</v>
      </c>
      <c r="D1195" s="11" t="n">
        <v>0.00293680555555556</v>
      </c>
      <c r="E1195" s="18" t="n">
        <f aca="false">ROUND((D1195-$D$5)*86400,2)</f>
        <v>28.71</v>
      </c>
      <c r="F1195" s="12" t="n">
        <v>2423</v>
      </c>
      <c r="G1195" s="11" t="str">
        <f aca="false">IF(INDEX(選手一覧!$D$7:$D$2738,$F1195)="","",INDEX(選手一覧!$D$7:$D$2738,$F1195))</f>
        <v/>
      </c>
      <c r="H1195" s="12" t="str">
        <f aca="false">IF(INDEX(選手一覧!$E$7:$E$2738,$F1195)="","",INDEX(選手一覧!$E$7:$E$2738,$F1195))</f>
        <v/>
      </c>
      <c r="I1195" s="11" t="str">
        <f aca="false">IF(INDEX(選手一覧!$F$7:$F$2738,$F1195)="","",INDEX(選手一覧!$F$7:$F$2738,$F1195))</f>
        <v/>
      </c>
      <c r="J1195" s="12" t="str">
        <f aca="false">IF(INDEX(選手一覧!$G$7:$G$2738,$F1195)="","",INDEX(選手一覧!$G$7:$G$2738,$F1195))</f>
        <v/>
      </c>
    </row>
    <row r="1196" customFormat="false" ht="15" hidden="false" customHeight="false" outlineLevel="0" collapsed="false">
      <c r="A1196" s="12" t="n">
        <v>1192</v>
      </c>
      <c r="B1196" s="10" t="s">
        <v>3442</v>
      </c>
      <c r="C1196" s="10" t="s">
        <v>242</v>
      </c>
      <c r="D1196" s="11" t="n">
        <v>0.00293680555555556</v>
      </c>
      <c r="E1196" s="18" t="n">
        <f aca="false">ROUND((D1196-$D$5)*86400,2)</f>
        <v>28.71</v>
      </c>
      <c r="F1196" s="12" t="n">
        <v>2425</v>
      </c>
      <c r="G1196" s="11" t="str">
        <f aca="false">IF(INDEX(選手一覧!$D$7:$D$2738,$F1196)="","",INDEX(選手一覧!$D$7:$D$2738,$F1196))</f>
        <v/>
      </c>
      <c r="H1196" s="12" t="str">
        <f aca="false">IF(INDEX(選手一覧!$E$7:$E$2738,$F1196)="","",INDEX(選手一覧!$E$7:$E$2738,$F1196))</f>
        <v/>
      </c>
      <c r="I1196" s="11" t="str">
        <f aca="false">IF(INDEX(選手一覧!$F$7:$F$2738,$F1196)="","",INDEX(選手一覧!$F$7:$F$2738,$F1196))</f>
        <v/>
      </c>
      <c r="J1196" s="12" t="str">
        <f aca="false">IF(INDEX(選手一覧!$G$7:$G$2738,$F1196)="","",INDEX(選手一覧!$G$7:$G$2738,$F1196))</f>
        <v/>
      </c>
    </row>
    <row r="1197" customFormat="false" ht="15" hidden="false" customHeight="false" outlineLevel="0" collapsed="false">
      <c r="A1197" s="12" t="n">
        <v>1193</v>
      </c>
      <c r="B1197" s="10" t="s">
        <v>3446</v>
      </c>
      <c r="C1197" s="10" t="s">
        <v>79</v>
      </c>
      <c r="D1197" s="11" t="n">
        <v>0.00293680555555556</v>
      </c>
      <c r="E1197" s="18" t="n">
        <f aca="false">ROUND((D1197-$D$5)*86400,2)</f>
        <v>28.71</v>
      </c>
      <c r="F1197" s="12" t="n">
        <v>2428</v>
      </c>
      <c r="G1197" s="11" t="str">
        <f aca="false">IF(INDEX(選手一覧!$D$7:$D$2738,$F1197)="","",INDEX(選手一覧!$D$7:$D$2738,$F1197))</f>
        <v/>
      </c>
      <c r="H1197" s="12" t="str">
        <f aca="false">IF(INDEX(選手一覧!$E$7:$E$2738,$F1197)="","",INDEX(選手一覧!$E$7:$E$2738,$F1197))</f>
        <v/>
      </c>
      <c r="I1197" s="11" t="str">
        <f aca="false">IF(INDEX(選手一覧!$F$7:$F$2738,$F1197)="","",INDEX(選手一覧!$F$7:$F$2738,$F1197))</f>
        <v/>
      </c>
      <c r="J1197" s="12" t="str">
        <f aca="false">IF(INDEX(選手一覧!$G$7:$G$2738,$F1197)="","",INDEX(選手一覧!$G$7:$G$2738,$F1197))</f>
        <v/>
      </c>
    </row>
    <row r="1198" customFormat="false" ht="15" hidden="false" customHeight="false" outlineLevel="0" collapsed="false">
      <c r="A1198" s="12" t="n">
        <v>1194</v>
      </c>
      <c r="B1198" s="10" t="s">
        <v>3448</v>
      </c>
      <c r="C1198" s="10" t="s">
        <v>3449</v>
      </c>
      <c r="D1198" s="11" t="n">
        <v>0.00293715277777778</v>
      </c>
      <c r="E1198" s="18" t="n">
        <f aca="false">ROUND((D1198-$D$5)*86400,2)</f>
        <v>28.74</v>
      </c>
      <c r="F1198" s="12" t="n">
        <v>2430</v>
      </c>
      <c r="G1198" s="11" t="str">
        <f aca="false">IF(INDEX(選手一覧!$D$7:$D$2738,$F1198)="","",INDEX(選手一覧!$D$7:$D$2738,$F1198))</f>
        <v/>
      </c>
      <c r="H1198" s="12" t="str">
        <f aca="false">IF(INDEX(選手一覧!$E$7:$E$2738,$F1198)="","",INDEX(選手一覧!$E$7:$E$2738,$F1198))</f>
        <v/>
      </c>
      <c r="I1198" s="11" t="str">
        <f aca="false">IF(INDEX(選手一覧!$F$7:$F$2738,$F1198)="","",INDEX(選手一覧!$F$7:$F$2738,$F1198))</f>
        <v/>
      </c>
      <c r="J1198" s="12" t="str">
        <f aca="false">IF(INDEX(選手一覧!$G$7:$G$2738,$F1198)="","",INDEX(選手一覧!$G$7:$G$2738,$F1198))</f>
        <v/>
      </c>
    </row>
    <row r="1199" customFormat="false" ht="15" hidden="false" customHeight="false" outlineLevel="0" collapsed="false">
      <c r="A1199" s="12" t="n">
        <v>1195</v>
      </c>
      <c r="B1199" s="10" t="s">
        <v>3093</v>
      </c>
      <c r="C1199" s="10" t="s">
        <v>758</v>
      </c>
      <c r="D1199" s="11" t="n">
        <v>0.00293715277777778</v>
      </c>
      <c r="E1199" s="18" t="n">
        <f aca="false">ROUND((D1199-$D$5)*86400,2)</f>
        <v>28.74</v>
      </c>
      <c r="F1199" s="12" t="n">
        <v>2170</v>
      </c>
      <c r="G1199" s="11" t="n">
        <f aca="false">IF(INDEX(選手一覧!$D$7:$D$2738,$F1199)="","",INDEX(選手一覧!$D$7:$D$2738,$F1199))</f>
        <v>0.0109800925925926</v>
      </c>
      <c r="H1199" s="12" t="n">
        <f aca="false">IF(INDEX(選手一覧!$E$7:$E$2738,$F1199)="","",INDEX(選手一覧!$E$7:$E$2738,$F1199))</f>
        <v>1056</v>
      </c>
      <c r="I1199" s="11" t="str">
        <f aca="false">IF(INDEX(選手一覧!$F$7:$F$2738,$F1199)="","",INDEX(選手一覧!$F$7:$F$2738,$F1199))</f>
        <v/>
      </c>
      <c r="J1199" s="12" t="str">
        <f aca="false">IF(INDEX(選手一覧!$G$7:$G$2738,$F1199)="","",INDEX(選手一覧!$G$7:$G$2738,$F1199))</f>
        <v/>
      </c>
    </row>
    <row r="1200" customFormat="false" ht="15" hidden="false" customHeight="false" outlineLevel="0" collapsed="false">
      <c r="A1200" s="12" t="n">
        <v>1196</v>
      </c>
      <c r="B1200" s="10" t="s">
        <v>3454</v>
      </c>
      <c r="C1200" s="10" t="s">
        <v>3455</v>
      </c>
      <c r="D1200" s="11" t="n">
        <v>0.0029375</v>
      </c>
      <c r="E1200" s="18" t="n">
        <f aca="false">ROUND((D1200-$D$5)*86400,2)</f>
        <v>28.77</v>
      </c>
      <c r="F1200" s="12" t="n">
        <v>2434</v>
      </c>
      <c r="G1200" s="11" t="str">
        <f aca="false">IF(INDEX(選手一覧!$D$7:$D$2738,$F1200)="","",INDEX(選手一覧!$D$7:$D$2738,$F1200))</f>
        <v/>
      </c>
      <c r="H1200" s="12" t="str">
        <f aca="false">IF(INDEX(選手一覧!$E$7:$E$2738,$F1200)="","",INDEX(選手一覧!$E$7:$E$2738,$F1200))</f>
        <v/>
      </c>
      <c r="I1200" s="11" t="str">
        <f aca="false">IF(INDEX(選手一覧!$F$7:$F$2738,$F1200)="","",INDEX(選手一覧!$F$7:$F$2738,$F1200))</f>
        <v/>
      </c>
      <c r="J1200" s="12" t="str">
        <f aca="false">IF(INDEX(選手一覧!$G$7:$G$2738,$F1200)="","",INDEX(選手一覧!$G$7:$G$2738,$F1200))</f>
        <v/>
      </c>
    </row>
    <row r="1201" customFormat="false" ht="15" hidden="false" customHeight="false" outlineLevel="0" collapsed="false">
      <c r="A1201" s="12" t="n">
        <v>1197</v>
      </c>
      <c r="B1201" s="10" t="s">
        <v>123</v>
      </c>
      <c r="C1201" s="10" t="s">
        <v>124</v>
      </c>
      <c r="D1201" s="11" t="n">
        <v>0.00293900462962963</v>
      </c>
      <c r="E1201" s="18" t="n">
        <f aca="false">ROUND((D1201-$D$5)*86400,2)</f>
        <v>28.9</v>
      </c>
      <c r="F1201" s="12" t="n">
        <v>57</v>
      </c>
      <c r="G1201" s="11" t="n">
        <f aca="false">IF(INDEX(選手一覧!$D$7:$D$2738,$F1201)="","",INDEX(選手一覧!$D$7:$D$2738,$F1201))</f>
        <v>0.0100024305555556</v>
      </c>
      <c r="H1201" s="12" t="n">
        <f aca="false">IF(INDEX(選手一覧!$E$7:$E$2738,$F1201)="","",INDEX(選手一覧!$E$7:$E$2738,$F1201))</f>
        <v>22</v>
      </c>
      <c r="I1201" s="11" t="str">
        <f aca="false">IF(INDEX(選手一覧!$F$7:$F$2738,$F1201)="","",INDEX(選手一覧!$F$7:$F$2738,$F1201))</f>
        <v/>
      </c>
      <c r="J1201" s="12" t="str">
        <f aca="false">IF(INDEX(選手一覧!$G$7:$G$2738,$F1201)="","",INDEX(選手一覧!$G$7:$G$2738,$F1201))</f>
        <v/>
      </c>
    </row>
    <row r="1202" customFormat="false" ht="15" hidden="false" customHeight="false" outlineLevel="0" collapsed="false">
      <c r="A1202" s="12" t="n">
        <v>1198</v>
      </c>
      <c r="B1202" s="10" t="s">
        <v>1686</v>
      </c>
      <c r="C1202" s="10" t="s">
        <v>1145</v>
      </c>
      <c r="D1202" s="11" t="n">
        <v>0.00293923611111111</v>
      </c>
      <c r="E1202" s="18" t="n">
        <f aca="false">ROUND((D1202-$D$5)*86400,2)</f>
        <v>28.92</v>
      </c>
      <c r="F1202" s="12" t="n">
        <v>2439</v>
      </c>
      <c r="G1202" s="11" t="str">
        <f aca="false">IF(INDEX(選手一覧!$D$7:$D$2738,$F1202)="","",INDEX(選手一覧!$D$7:$D$2738,$F1202))</f>
        <v/>
      </c>
      <c r="H1202" s="12" t="str">
        <f aca="false">IF(INDEX(選手一覧!$E$7:$E$2738,$F1202)="","",INDEX(選手一覧!$E$7:$E$2738,$F1202))</f>
        <v/>
      </c>
      <c r="I1202" s="11" t="str">
        <f aca="false">IF(INDEX(選手一覧!$F$7:$F$2738,$F1202)="","",INDEX(選手一覧!$F$7:$F$2738,$F1202))</f>
        <v/>
      </c>
      <c r="J1202" s="12" t="str">
        <f aca="false">IF(INDEX(選手一覧!$G$7:$G$2738,$F1202)="","",INDEX(選手一覧!$G$7:$G$2738,$F1202))</f>
        <v/>
      </c>
    </row>
    <row r="1203" customFormat="false" ht="15" hidden="false" customHeight="false" outlineLevel="0" collapsed="false">
      <c r="A1203" s="12" t="n">
        <v>1199</v>
      </c>
      <c r="B1203" s="10" t="s">
        <v>2823</v>
      </c>
      <c r="C1203" s="10" t="s">
        <v>114</v>
      </c>
      <c r="D1203" s="11" t="n">
        <v>0.00293958333333333</v>
      </c>
      <c r="E1203" s="18" t="n">
        <f aca="false">ROUND((D1203-$D$5)*86400,2)</f>
        <v>28.95</v>
      </c>
      <c r="F1203" s="12" t="n">
        <v>1977</v>
      </c>
      <c r="G1203" s="11" t="n">
        <f aca="false">IF(INDEX(選手一覧!$D$7:$D$2738,$F1203)="","",INDEX(選手一覧!$D$7:$D$2738,$F1203))</f>
        <v>0.0109230324074074</v>
      </c>
      <c r="H1203" s="12" t="n">
        <f aca="false">IF(INDEX(選手一覧!$E$7:$E$2738,$F1203)="","",INDEX(選手一覧!$E$7:$E$2738,$F1203))</f>
        <v>957</v>
      </c>
      <c r="I1203" s="11" t="str">
        <f aca="false">IF(INDEX(選手一覧!$F$7:$F$2738,$F1203)="","",INDEX(選手一覧!$F$7:$F$2738,$F1203))</f>
        <v/>
      </c>
      <c r="J1203" s="12" t="str">
        <f aca="false">IF(INDEX(選手一覧!$G$7:$G$2738,$F1203)="","",INDEX(選手一覧!$G$7:$G$2738,$F1203))</f>
        <v/>
      </c>
    </row>
    <row r="1204" customFormat="false" ht="15" hidden="false" customHeight="false" outlineLevel="0" collapsed="false">
      <c r="A1204" s="12" t="n">
        <v>1200</v>
      </c>
      <c r="B1204" s="10" t="s">
        <v>1254</v>
      </c>
      <c r="C1204" s="10" t="s">
        <v>1255</v>
      </c>
      <c r="D1204" s="11" t="n">
        <v>0.0029400462962963</v>
      </c>
      <c r="E1204" s="18" t="n">
        <f aca="false">ROUND((D1204-$D$5)*86400,2)</f>
        <v>28.99</v>
      </c>
      <c r="F1204" s="12" t="n">
        <v>854</v>
      </c>
      <c r="G1204" s="11" t="str">
        <f aca="false">IF(INDEX(選手一覧!$D$7:$D$2738,$F1204)="","",INDEX(選手一覧!$D$7:$D$2738,$F1204))</f>
        <v/>
      </c>
      <c r="H1204" s="12" t="str">
        <f aca="false">IF(INDEX(選手一覧!$E$7:$E$2738,$F1204)="","",INDEX(選手一覧!$E$7:$E$2738,$F1204))</f>
        <v/>
      </c>
      <c r="I1204" s="11" t="n">
        <f aca="false">IF(INDEX(選手一覧!$F$7:$F$2738,$F1204)="","",INDEX(選手一覧!$F$7:$F$2738,$F1204))</f>
        <v>0.00704143518518519</v>
      </c>
      <c r="J1204" s="12" t="n">
        <f aca="false">IF(INDEX(選手一覧!$G$7:$G$2738,$F1204)="","",INDEX(選手一覧!$G$7:$G$2738,$F1204))</f>
        <v>379</v>
      </c>
    </row>
    <row r="1205" customFormat="false" ht="15" hidden="false" customHeight="false" outlineLevel="0" collapsed="false">
      <c r="A1205" s="12" t="n">
        <v>1201</v>
      </c>
      <c r="B1205" s="10" t="s">
        <v>1172</v>
      </c>
      <c r="C1205" s="10" t="s">
        <v>460</v>
      </c>
      <c r="D1205" s="11" t="n">
        <v>0.002940625</v>
      </c>
      <c r="E1205" s="18" t="n">
        <f aca="false">ROUND((D1205-$D$5)*86400,2)</f>
        <v>29.04</v>
      </c>
      <c r="F1205" s="12" t="n">
        <v>795</v>
      </c>
      <c r="G1205" s="11" t="n">
        <f aca="false">IF(INDEX(選手一覧!$D$7:$D$2738,$F1205)="","",INDEX(選手一覧!$D$7:$D$2738,$F1205))</f>
        <v>0.0105046296296296</v>
      </c>
      <c r="H1205" s="12" t="n">
        <f aca="false">IF(INDEX(選手一覧!$E$7:$E$2738,$F1205)="","",INDEX(選手一覧!$E$7:$E$2738,$F1205))</f>
        <v>345</v>
      </c>
      <c r="I1205" s="11" t="str">
        <f aca="false">IF(INDEX(選手一覧!$F$7:$F$2738,$F1205)="","",INDEX(選手一覧!$F$7:$F$2738,$F1205))</f>
        <v/>
      </c>
      <c r="J1205" s="12" t="str">
        <f aca="false">IF(INDEX(選手一覧!$G$7:$G$2738,$F1205)="","",INDEX(選手一覧!$G$7:$G$2738,$F1205))</f>
        <v/>
      </c>
    </row>
    <row r="1206" customFormat="false" ht="15" hidden="false" customHeight="false" outlineLevel="0" collapsed="false">
      <c r="A1206" s="12" t="n">
        <v>1202</v>
      </c>
      <c r="B1206" s="10" t="s">
        <v>3466</v>
      </c>
      <c r="C1206" s="10" t="s">
        <v>660</v>
      </c>
      <c r="D1206" s="11" t="n">
        <v>0.00294097222222222</v>
      </c>
      <c r="E1206" s="18" t="n">
        <f aca="false">ROUND((D1206-$D$5)*86400,2)</f>
        <v>29.07</v>
      </c>
      <c r="F1206" s="12" t="n">
        <v>2444</v>
      </c>
      <c r="G1206" s="11" t="str">
        <f aca="false">IF(INDEX(選手一覧!$D$7:$D$2738,$F1206)="","",INDEX(選手一覧!$D$7:$D$2738,$F1206))</f>
        <v/>
      </c>
      <c r="H1206" s="12" t="str">
        <f aca="false">IF(INDEX(選手一覧!$E$7:$E$2738,$F1206)="","",INDEX(選手一覧!$E$7:$E$2738,$F1206))</f>
        <v/>
      </c>
      <c r="I1206" s="11" t="str">
        <f aca="false">IF(INDEX(選手一覧!$F$7:$F$2738,$F1206)="","",INDEX(選手一覧!$F$7:$F$2738,$F1206))</f>
        <v/>
      </c>
      <c r="J1206" s="12" t="str">
        <f aca="false">IF(INDEX(選手一覧!$G$7:$G$2738,$F1206)="","",INDEX(選手一覧!$G$7:$G$2738,$F1206))</f>
        <v/>
      </c>
    </row>
    <row r="1207" customFormat="false" ht="15" hidden="false" customHeight="false" outlineLevel="0" collapsed="false">
      <c r="A1207" s="12" t="n">
        <v>1203</v>
      </c>
      <c r="B1207" s="10" t="s">
        <v>1959</v>
      </c>
      <c r="C1207" s="10" t="s">
        <v>1130</v>
      </c>
      <c r="D1207" s="11" t="n">
        <v>0.0029412037037037</v>
      </c>
      <c r="E1207" s="18" t="n">
        <f aca="false">ROUND((D1207-$D$5)*86400,2)</f>
        <v>29.09</v>
      </c>
      <c r="F1207" s="12" t="n">
        <v>1349</v>
      </c>
      <c r="G1207" s="11" t="n">
        <f aca="false">IF(INDEX(選手一覧!$D$7:$D$2738,$F1207)="","",INDEX(選手一覧!$D$7:$D$2738,$F1207))</f>
        <v>0.0107291666666667</v>
      </c>
      <c r="H1207" s="12" t="n">
        <f aca="false">IF(INDEX(選手一覧!$E$7:$E$2738,$F1207)="","",INDEX(選手一覧!$E$7:$E$2738,$F1207))</f>
        <v>631</v>
      </c>
      <c r="I1207" s="11" t="str">
        <f aca="false">IF(INDEX(選手一覧!$F$7:$F$2738,$F1207)="","",INDEX(選手一覧!$F$7:$F$2738,$F1207))</f>
        <v/>
      </c>
      <c r="J1207" s="12" t="str">
        <f aca="false">IF(INDEX(選手一覧!$G$7:$G$2738,$F1207)="","",INDEX(選手一覧!$G$7:$G$2738,$F1207))</f>
        <v/>
      </c>
    </row>
    <row r="1208" customFormat="false" ht="15" hidden="false" customHeight="false" outlineLevel="0" collapsed="false">
      <c r="A1208" s="12" t="n">
        <v>1204</v>
      </c>
      <c r="B1208" s="10" t="s">
        <v>2847</v>
      </c>
      <c r="C1208" s="10" t="s">
        <v>814</v>
      </c>
      <c r="D1208" s="11" t="n">
        <v>0.00294131944444444</v>
      </c>
      <c r="E1208" s="18" t="n">
        <f aca="false">ROUND((D1208-$D$5)*86400,2)</f>
        <v>29.1</v>
      </c>
      <c r="F1208" s="12" t="n">
        <v>1993</v>
      </c>
      <c r="G1208" s="11" t="str">
        <f aca="false">IF(INDEX(選手一覧!$D$7:$D$2738,$F1208)="","",INDEX(選手一覧!$D$7:$D$2738,$F1208))</f>
        <v/>
      </c>
      <c r="H1208" s="12" t="str">
        <f aca="false">IF(INDEX(選手一覧!$E$7:$E$2738,$F1208)="","",INDEX(選手一覧!$E$7:$E$2738,$F1208))</f>
        <v/>
      </c>
      <c r="I1208" s="11" t="n">
        <f aca="false">IF(INDEX(選手一覧!$F$7:$F$2738,$F1208)="","",INDEX(選手一覧!$F$7:$F$2738,$F1208))</f>
        <v>0.00756261574074074</v>
      </c>
      <c r="J1208" s="12" t="n">
        <f aca="false">IF(INDEX(選手一覧!$G$7:$G$2738,$F1208)="","",INDEX(選手一覧!$G$7:$G$2738,$F1208))</f>
        <v>965</v>
      </c>
    </row>
    <row r="1209" customFormat="false" ht="15" hidden="false" customHeight="false" outlineLevel="0" collapsed="false">
      <c r="A1209" s="12" t="n">
        <v>1205</v>
      </c>
      <c r="B1209" s="10" t="s">
        <v>3474</v>
      </c>
      <c r="C1209" s="10" t="s">
        <v>3475</v>
      </c>
      <c r="D1209" s="11" t="n">
        <v>0.00294155092592593</v>
      </c>
      <c r="E1209" s="18" t="n">
        <f aca="false">ROUND((D1209-$D$5)*86400,2)</f>
        <v>29.12</v>
      </c>
      <c r="F1209" s="12" t="n">
        <v>2450</v>
      </c>
      <c r="G1209" s="11" t="str">
        <f aca="false">IF(INDEX(選手一覧!$D$7:$D$2738,$F1209)="","",INDEX(選手一覧!$D$7:$D$2738,$F1209))</f>
        <v/>
      </c>
      <c r="H1209" s="12" t="str">
        <f aca="false">IF(INDEX(選手一覧!$E$7:$E$2738,$F1209)="","",INDEX(選手一覧!$E$7:$E$2738,$F1209))</f>
        <v/>
      </c>
      <c r="I1209" s="11" t="str">
        <f aca="false">IF(INDEX(選手一覧!$F$7:$F$2738,$F1209)="","",INDEX(選手一覧!$F$7:$F$2738,$F1209))</f>
        <v/>
      </c>
      <c r="J1209" s="12" t="str">
        <f aca="false">IF(INDEX(選手一覧!$G$7:$G$2738,$F1209)="","",INDEX(選手一覧!$G$7:$G$2738,$F1209))</f>
        <v/>
      </c>
    </row>
    <row r="1210" customFormat="false" ht="15" hidden="false" customHeight="false" outlineLevel="0" collapsed="false">
      <c r="A1210" s="12" t="n">
        <v>1206</v>
      </c>
      <c r="B1210" s="10" t="s">
        <v>1757</v>
      </c>
      <c r="C1210" s="10" t="s">
        <v>1758</v>
      </c>
      <c r="D1210" s="11" t="n">
        <v>0.00294166666666667</v>
      </c>
      <c r="E1210" s="18" t="n">
        <f aca="false">ROUND((D1210-$D$5)*86400,2)</f>
        <v>29.13</v>
      </c>
      <c r="F1210" s="12" t="n">
        <v>1210</v>
      </c>
      <c r="G1210" s="11" t="n">
        <f aca="false">IF(INDEX(選手一覧!$D$7:$D$2738,$F1210)="","",INDEX(選手一覧!$D$7:$D$2738,$F1210))</f>
        <v>0.0110373842592593</v>
      </c>
      <c r="H1210" s="12" t="n">
        <f aca="false">IF(INDEX(選手一覧!$E$7:$E$2738,$F1210)="","",INDEX(選手一覧!$E$7:$E$2738,$F1210))</f>
        <v>1171</v>
      </c>
      <c r="I1210" s="11" t="n">
        <f aca="false">IF(INDEX(選手一覧!$F$7:$F$2738,$F1210)="","",INDEX(選手一覧!$F$7:$F$2738,$F1210))</f>
        <v>0.00721666666666667</v>
      </c>
      <c r="J1210" s="12" t="n">
        <f aca="false">IF(INDEX(選手一覧!$G$7:$G$2738,$F1210)="","",INDEX(選手一覧!$G$7:$G$2738,$F1210))</f>
        <v>557</v>
      </c>
    </row>
    <row r="1211" customFormat="false" ht="15" hidden="false" customHeight="false" outlineLevel="0" collapsed="false">
      <c r="A1211" s="12" t="n">
        <v>1207</v>
      </c>
      <c r="B1211" s="10" t="s">
        <v>1519</v>
      </c>
      <c r="C1211" s="10" t="s">
        <v>1520</v>
      </c>
      <c r="D1211" s="11" t="n">
        <v>0.00294166666666667</v>
      </c>
      <c r="E1211" s="18" t="n">
        <f aca="false">ROUND((D1211-$D$5)*86400,2)</f>
        <v>29.13</v>
      </c>
      <c r="F1211" s="12" t="n">
        <v>1043</v>
      </c>
      <c r="G1211" s="11" t="str">
        <f aca="false">IF(INDEX(選手一覧!$D$7:$D$2738,$F1211)="","",INDEX(選手一覧!$D$7:$D$2738,$F1211))</f>
        <v/>
      </c>
      <c r="H1211" s="12" t="str">
        <f aca="false">IF(INDEX(選手一覧!$E$7:$E$2738,$F1211)="","",INDEX(選手一覧!$E$7:$E$2738,$F1211))</f>
        <v/>
      </c>
      <c r="I1211" s="11" t="n">
        <f aca="false">IF(INDEX(選手一覧!$F$7:$F$2738,$F1211)="","",INDEX(選手一覧!$F$7:$F$2738,$F1211))</f>
        <v>0.007125</v>
      </c>
      <c r="J1211" s="12" t="n">
        <f aca="false">IF(INDEX(選手一覧!$G$7:$G$2738,$F1211)="","",INDEX(選手一覧!$G$7:$G$2738,$F1211))</f>
        <v>469</v>
      </c>
    </row>
    <row r="1212" customFormat="false" ht="15" hidden="false" customHeight="false" outlineLevel="0" collapsed="false">
      <c r="A1212" s="12" t="n">
        <v>1208</v>
      </c>
      <c r="B1212" s="10" t="s">
        <v>3481</v>
      </c>
      <c r="C1212" s="10" t="s">
        <v>2017</v>
      </c>
      <c r="D1212" s="11" t="n">
        <v>0.00294189814814815</v>
      </c>
      <c r="E1212" s="18" t="n">
        <f aca="false">ROUND((D1212-$D$5)*86400,2)</f>
        <v>29.15</v>
      </c>
      <c r="F1212" s="12" t="n">
        <v>2454</v>
      </c>
      <c r="G1212" s="11" t="str">
        <f aca="false">IF(INDEX(選手一覧!$D$7:$D$2738,$F1212)="","",INDEX(選手一覧!$D$7:$D$2738,$F1212))</f>
        <v/>
      </c>
      <c r="H1212" s="12" t="str">
        <f aca="false">IF(INDEX(選手一覧!$E$7:$E$2738,$F1212)="","",INDEX(選手一覧!$E$7:$E$2738,$F1212))</f>
        <v/>
      </c>
      <c r="I1212" s="11" t="str">
        <f aca="false">IF(INDEX(選手一覧!$F$7:$F$2738,$F1212)="","",INDEX(選手一覧!$F$7:$F$2738,$F1212))</f>
        <v/>
      </c>
      <c r="J1212" s="12" t="str">
        <f aca="false">IF(INDEX(選手一覧!$G$7:$G$2738,$F1212)="","",INDEX(選手一覧!$G$7:$G$2738,$F1212))</f>
        <v/>
      </c>
    </row>
    <row r="1213" customFormat="false" ht="15" hidden="false" customHeight="false" outlineLevel="0" collapsed="false">
      <c r="A1213" s="12" t="n">
        <v>1209</v>
      </c>
      <c r="B1213" s="10" t="s">
        <v>3483</v>
      </c>
      <c r="C1213" s="10" t="s">
        <v>3272</v>
      </c>
      <c r="D1213" s="11" t="n">
        <v>0.00294247685185185</v>
      </c>
      <c r="E1213" s="18" t="n">
        <f aca="false">ROUND((D1213-$D$5)*86400,2)</f>
        <v>29.2</v>
      </c>
      <c r="F1213" s="12" t="n">
        <v>2456</v>
      </c>
      <c r="G1213" s="11" t="str">
        <f aca="false">IF(INDEX(選手一覧!$D$7:$D$2738,$F1213)="","",INDEX(選手一覧!$D$7:$D$2738,$F1213))</f>
        <v/>
      </c>
      <c r="H1213" s="12" t="str">
        <f aca="false">IF(INDEX(選手一覧!$E$7:$E$2738,$F1213)="","",INDEX(選手一覧!$E$7:$E$2738,$F1213))</f>
        <v/>
      </c>
      <c r="I1213" s="11" t="str">
        <f aca="false">IF(INDEX(選手一覧!$F$7:$F$2738,$F1213)="","",INDEX(選手一覧!$F$7:$F$2738,$F1213))</f>
        <v/>
      </c>
      <c r="J1213" s="12" t="str">
        <f aca="false">IF(INDEX(選手一覧!$G$7:$G$2738,$F1213)="","",INDEX(選手一覧!$G$7:$G$2738,$F1213))</f>
        <v/>
      </c>
    </row>
    <row r="1214" customFormat="false" ht="15" hidden="false" customHeight="false" outlineLevel="0" collapsed="false">
      <c r="A1214" s="12" t="n">
        <v>1210</v>
      </c>
      <c r="B1214" s="10" t="s">
        <v>1135</v>
      </c>
      <c r="C1214" s="10" t="s">
        <v>486</v>
      </c>
      <c r="D1214" s="11" t="n">
        <v>0.00294293981481482</v>
      </c>
      <c r="E1214" s="18" t="n">
        <f aca="false">ROUND((D1214-$D$5)*86400,2)</f>
        <v>29.24</v>
      </c>
      <c r="F1214" s="12" t="n">
        <v>766</v>
      </c>
      <c r="G1214" s="11" t="str">
        <f aca="false">IF(INDEX(選手一覧!$D$7:$D$2738,$F1214)="","",INDEX(選手一覧!$D$7:$D$2738,$F1214))</f>
        <v/>
      </c>
      <c r="H1214" s="12" t="str">
        <f aca="false">IF(INDEX(選手一覧!$E$7:$E$2738,$F1214)="","",INDEX(選手一覧!$E$7:$E$2738,$F1214))</f>
        <v/>
      </c>
      <c r="I1214" s="11" t="n">
        <f aca="false">IF(INDEX(選手一覧!$F$7:$F$2738,$F1214)="","",INDEX(選手一覧!$F$7:$F$2738,$F1214))</f>
        <v>0.00699675925925926</v>
      </c>
      <c r="J1214" s="12" t="n">
        <f aca="false">IF(INDEX(選手一覧!$G$7:$G$2738,$F1214)="","",INDEX(選手一覧!$G$7:$G$2738,$F1214))</f>
        <v>332</v>
      </c>
    </row>
    <row r="1215" customFormat="false" ht="15" hidden="false" customHeight="false" outlineLevel="0" collapsed="false">
      <c r="A1215" s="12" t="n">
        <v>1211</v>
      </c>
      <c r="B1215" s="10" t="s">
        <v>3489</v>
      </c>
      <c r="C1215" s="10" t="s">
        <v>2984</v>
      </c>
      <c r="D1215" s="11" t="n">
        <v>0.00294293981481482</v>
      </c>
      <c r="E1215" s="18" t="n">
        <f aca="false">ROUND((D1215-$D$5)*86400,2)</f>
        <v>29.24</v>
      </c>
      <c r="F1215" s="12" t="n">
        <v>2460</v>
      </c>
      <c r="G1215" s="11" t="str">
        <f aca="false">IF(INDEX(選手一覧!$D$7:$D$2738,$F1215)="","",INDEX(選手一覧!$D$7:$D$2738,$F1215))</f>
        <v/>
      </c>
      <c r="H1215" s="12" t="str">
        <f aca="false">IF(INDEX(選手一覧!$E$7:$E$2738,$F1215)="","",INDEX(選手一覧!$E$7:$E$2738,$F1215))</f>
        <v/>
      </c>
      <c r="I1215" s="11" t="str">
        <f aca="false">IF(INDEX(選手一覧!$F$7:$F$2738,$F1215)="","",INDEX(選手一覧!$F$7:$F$2738,$F1215))</f>
        <v/>
      </c>
      <c r="J1215" s="12" t="str">
        <f aca="false">IF(INDEX(選手一覧!$G$7:$G$2738,$F1215)="","",INDEX(選手一覧!$G$7:$G$2738,$F1215))</f>
        <v/>
      </c>
    </row>
    <row r="1216" customFormat="false" ht="15" hidden="false" customHeight="false" outlineLevel="0" collapsed="false">
      <c r="A1216" s="12" t="n">
        <v>1212</v>
      </c>
      <c r="B1216" s="10" t="s">
        <v>3491</v>
      </c>
      <c r="C1216" s="10" t="s">
        <v>257</v>
      </c>
      <c r="D1216" s="11" t="n">
        <v>0.0029431712962963</v>
      </c>
      <c r="E1216" s="18" t="n">
        <f aca="false">ROUND((D1216-$D$5)*86400,2)</f>
        <v>29.26</v>
      </c>
      <c r="F1216" s="12" t="n">
        <v>2462</v>
      </c>
      <c r="G1216" s="11" t="str">
        <f aca="false">IF(INDEX(選手一覧!$D$7:$D$2738,$F1216)="","",INDEX(選手一覧!$D$7:$D$2738,$F1216))</f>
        <v/>
      </c>
      <c r="H1216" s="12" t="str">
        <f aca="false">IF(INDEX(選手一覧!$E$7:$E$2738,$F1216)="","",INDEX(選手一覧!$E$7:$E$2738,$F1216))</f>
        <v/>
      </c>
      <c r="I1216" s="11" t="str">
        <f aca="false">IF(INDEX(選手一覧!$F$7:$F$2738,$F1216)="","",INDEX(選手一覧!$F$7:$F$2738,$F1216))</f>
        <v/>
      </c>
      <c r="J1216" s="12" t="str">
        <f aca="false">IF(INDEX(選手一覧!$G$7:$G$2738,$F1216)="","",INDEX(選手一覧!$G$7:$G$2738,$F1216))</f>
        <v/>
      </c>
    </row>
    <row r="1217" customFormat="false" ht="15" hidden="false" customHeight="false" outlineLevel="0" collapsed="false">
      <c r="A1217" s="12" t="n">
        <v>1213</v>
      </c>
      <c r="B1217" s="10" t="s">
        <v>2112</v>
      </c>
      <c r="C1217" s="10" t="s">
        <v>1504</v>
      </c>
      <c r="D1217" s="11" t="n">
        <v>0.00294328703703704</v>
      </c>
      <c r="E1217" s="18" t="n">
        <f aca="false">ROUND((D1217-$D$5)*86400,2)</f>
        <v>29.27</v>
      </c>
      <c r="F1217" s="12" t="n">
        <v>1460</v>
      </c>
      <c r="G1217" s="11" t="n">
        <f aca="false">IF(INDEX(選手一覧!$D$7:$D$2738,$F1217)="","",INDEX(選手一覧!$D$7:$D$2738,$F1217))</f>
        <v>0.0109635416666667</v>
      </c>
      <c r="H1217" s="12" t="n">
        <f aca="false">IF(INDEX(選手一覧!$E$7:$E$2738,$F1217)="","",INDEX(選手一覧!$E$7:$E$2738,$F1217))</f>
        <v>1024</v>
      </c>
      <c r="I1217" s="11" t="n">
        <f aca="false">IF(INDEX(選手一覧!$F$7:$F$2738,$F1217)="","",INDEX(選手一覧!$F$7:$F$2738,$F1217))</f>
        <v>0.00733854166666667</v>
      </c>
      <c r="J1217" s="12" t="n">
        <f aca="false">IF(INDEX(選手一覧!$G$7:$G$2738,$F1217)="","",INDEX(選手一覧!$G$7:$G$2738,$F1217))</f>
        <v>692</v>
      </c>
    </row>
    <row r="1218" customFormat="false" ht="15" hidden="false" customHeight="false" outlineLevel="0" collapsed="false">
      <c r="A1218" s="12" t="n">
        <v>1214</v>
      </c>
      <c r="B1218" s="10" t="s">
        <v>918</v>
      </c>
      <c r="C1218" s="10" t="s">
        <v>64</v>
      </c>
      <c r="D1218" s="11" t="n">
        <v>0.00294351851851852</v>
      </c>
      <c r="E1218" s="18" t="n">
        <f aca="false">ROUND((D1218-$D$5)*86400,2)</f>
        <v>29.29</v>
      </c>
      <c r="F1218" s="12" t="n">
        <v>606</v>
      </c>
      <c r="G1218" s="11" t="n">
        <f aca="false">IF(INDEX(選手一覧!$D$7:$D$2738,$F1218)="","",INDEX(選手一覧!$D$7:$D$2738,$F1218))</f>
        <v>0.0103954861111111</v>
      </c>
      <c r="H1218" s="12" t="n">
        <f aca="false">IF(INDEX(選手一覧!$E$7:$E$2738,$F1218)="","",INDEX(選手一覧!$E$7:$E$2738,$F1218))</f>
        <v>255</v>
      </c>
      <c r="I1218" s="11" t="str">
        <f aca="false">IF(INDEX(選手一覧!$F$7:$F$2738,$F1218)="","",INDEX(選手一覧!$F$7:$F$2738,$F1218))</f>
        <v/>
      </c>
      <c r="J1218" s="12" t="str">
        <f aca="false">IF(INDEX(選手一覧!$G$7:$G$2738,$F1218)="","",INDEX(選手一覧!$G$7:$G$2738,$F1218))</f>
        <v/>
      </c>
    </row>
    <row r="1219" customFormat="false" ht="15" hidden="false" customHeight="false" outlineLevel="0" collapsed="false">
      <c r="A1219" s="12" t="n">
        <v>1215</v>
      </c>
      <c r="B1219" s="10" t="s">
        <v>3497</v>
      </c>
      <c r="C1219" s="10" t="s">
        <v>2243</v>
      </c>
      <c r="D1219" s="11" t="n">
        <v>0.00294375</v>
      </c>
      <c r="E1219" s="18" t="n">
        <f aca="false">ROUND((D1219-$D$5)*86400,2)</f>
        <v>29.31</v>
      </c>
      <c r="F1219" s="12" t="n">
        <v>2467</v>
      </c>
      <c r="G1219" s="11" t="str">
        <f aca="false">IF(INDEX(選手一覧!$D$7:$D$2738,$F1219)="","",INDEX(選手一覧!$D$7:$D$2738,$F1219))</f>
        <v/>
      </c>
      <c r="H1219" s="12" t="str">
        <f aca="false">IF(INDEX(選手一覧!$E$7:$E$2738,$F1219)="","",INDEX(選手一覧!$E$7:$E$2738,$F1219))</f>
        <v/>
      </c>
      <c r="I1219" s="11" t="str">
        <f aca="false">IF(INDEX(選手一覧!$F$7:$F$2738,$F1219)="","",INDEX(選手一覧!$F$7:$F$2738,$F1219))</f>
        <v/>
      </c>
      <c r="J1219" s="12" t="str">
        <f aca="false">IF(INDEX(選手一覧!$G$7:$G$2738,$F1219)="","",INDEX(選手一覧!$G$7:$G$2738,$F1219))</f>
        <v/>
      </c>
    </row>
    <row r="1220" customFormat="false" ht="15" hidden="false" customHeight="false" outlineLevel="0" collapsed="false">
      <c r="A1220" s="12" t="n">
        <v>1216</v>
      </c>
      <c r="B1220" s="10" t="s">
        <v>2904</v>
      </c>
      <c r="C1220" s="10" t="s">
        <v>603</v>
      </c>
      <c r="D1220" s="11" t="n">
        <v>0.00294479166666667</v>
      </c>
      <c r="E1220" s="18" t="n">
        <f aca="false">ROUND((D1220-$D$5)*86400,2)</f>
        <v>29.4</v>
      </c>
      <c r="F1220" s="12" t="n">
        <v>2038</v>
      </c>
      <c r="G1220" s="11" t="n">
        <f aca="false">IF(INDEX(選手一覧!$D$7:$D$2738,$F1220)="","",INDEX(選手一覧!$D$7:$D$2738,$F1220))</f>
        <v>0.0109439814814815</v>
      </c>
      <c r="H1220" s="12" t="n">
        <f aca="false">IF(INDEX(選手一覧!$E$7:$E$2738,$F1220)="","",INDEX(選手一覧!$E$7:$E$2738,$F1220))</f>
        <v>989</v>
      </c>
      <c r="I1220" s="11" t="str">
        <f aca="false">IF(INDEX(選手一覧!$F$7:$F$2738,$F1220)="","",INDEX(選手一覧!$F$7:$F$2738,$F1220))</f>
        <v/>
      </c>
      <c r="J1220" s="12" t="str">
        <f aca="false">IF(INDEX(選手一覧!$G$7:$G$2738,$F1220)="","",INDEX(選手一覧!$G$7:$G$2738,$F1220))</f>
        <v/>
      </c>
    </row>
    <row r="1221" customFormat="false" ht="15" hidden="false" customHeight="false" outlineLevel="0" collapsed="false">
      <c r="A1221" s="12" t="n">
        <v>1217</v>
      </c>
      <c r="B1221" s="10" t="s">
        <v>3500</v>
      </c>
      <c r="C1221" s="10" t="s">
        <v>1839</v>
      </c>
      <c r="D1221" s="11" t="n">
        <v>0.00294502314814815</v>
      </c>
      <c r="E1221" s="18" t="n">
        <f aca="false">ROUND((D1221-$D$5)*86400,2)</f>
        <v>29.42</v>
      </c>
      <c r="F1221" s="12" t="n">
        <v>2470</v>
      </c>
      <c r="G1221" s="11" t="str">
        <f aca="false">IF(INDEX(選手一覧!$D$7:$D$2738,$F1221)="","",INDEX(選手一覧!$D$7:$D$2738,$F1221))</f>
        <v/>
      </c>
      <c r="H1221" s="12" t="str">
        <f aca="false">IF(INDEX(選手一覧!$E$7:$E$2738,$F1221)="","",INDEX(選手一覧!$E$7:$E$2738,$F1221))</f>
        <v/>
      </c>
      <c r="I1221" s="11" t="str">
        <f aca="false">IF(INDEX(選手一覧!$F$7:$F$2738,$F1221)="","",INDEX(選手一覧!$F$7:$F$2738,$F1221))</f>
        <v/>
      </c>
      <c r="J1221" s="12" t="str">
        <f aca="false">IF(INDEX(選手一覧!$G$7:$G$2738,$F1221)="","",INDEX(選手一覧!$G$7:$G$2738,$F1221))</f>
        <v/>
      </c>
    </row>
    <row r="1222" customFormat="false" ht="15" hidden="false" customHeight="false" outlineLevel="0" collapsed="false">
      <c r="A1222" s="12" t="n">
        <v>1218</v>
      </c>
      <c r="B1222" s="10" t="s">
        <v>955</v>
      </c>
      <c r="C1222" s="10" t="s">
        <v>884</v>
      </c>
      <c r="D1222" s="11" t="n">
        <v>0.00294560185185185</v>
      </c>
      <c r="E1222" s="18" t="n">
        <f aca="false">ROUND((D1222-$D$5)*86400,2)</f>
        <v>29.47</v>
      </c>
      <c r="F1222" s="12" t="n">
        <v>634</v>
      </c>
      <c r="G1222" s="11" t="n">
        <f aca="false">IF(INDEX(選手一覧!$D$7:$D$2738,$F1222)="","",INDEX(選手一覧!$D$7:$D$2738,$F1222))</f>
        <v>0.0104003472222222</v>
      </c>
      <c r="H1222" s="12" t="n">
        <f aca="false">IF(INDEX(選手一覧!$E$7:$E$2738,$F1222)="","",INDEX(選手一覧!$E$7:$E$2738,$F1222))</f>
        <v>266</v>
      </c>
      <c r="I1222" s="11" t="str">
        <f aca="false">IF(INDEX(選手一覧!$F$7:$F$2738,$F1222)="","",INDEX(選手一覧!$F$7:$F$2738,$F1222))</f>
        <v/>
      </c>
      <c r="J1222" s="12" t="str">
        <f aca="false">IF(INDEX(選手一覧!$G$7:$G$2738,$F1222)="","",INDEX(選手一覧!$G$7:$G$2738,$F1222))</f>
        <v/>
      </c>
    </row>
    <row r="1223" customFormat="false" ht="15" hidden="false" customHeight="false" outlineLevel="0" collapsed="false">
      <c r="A1223" s="12" t="n">
        <v>1219</v>
      </c>
      <c r="B1223" s="10" t="s">
        <v>3503</v>
      </c>
      <c r="C1223" s="10" t="s">
        <v>312</v>
      </c>
      <c r="D1223" s="11" t="n">
        <v>0.00294571759259259</v>
      </c>
      <c r="E1223" s="18" t="n">
        <f aca="false">ROUND((D1223-$D$5)*86400,2)</f>
        <v>29.48</v>
      </c>
      <c r="F1223" s="12" t="n">
        <v>2473</v>
      </c>
      <c r="G1223" s="11" t="n">
        <f aca="false">IF(INDEX(選手一覧!$D$7:$D$2738,$F1223)="","",INDEX(選手一覧!$D$7:$D$2738,$F1223))</f>
        <v>0.0110935185185185</v>
      </c>
      <c r="H1223" s="12" t="n">
        <f aca="false">IF(INDEX(選手一覧!$E$7:$E$2738,$F1223)="","",INDEX(選手一覧!$E$7:$E$2738,$F1223))</f>
        <v>1264</v>
      </c>
      <c r="I1223" s="11" t="str">
        <f aca="false">IF(INDEX(選手一覧!$F$7:$F$2738,$F1223)="","",INDEX(選手一覧!$F$7:$F$2738,$F1223))</f>
        <v/>
      </c>
      <c r="J1223" s="12" t="str">
        <f aca="false">IF(INDEX(選手一覧!$G$7:$G$2738,$F1223)="","",INDEX(選手一覧!$G$7:$G$2738,$F1223))</f>
        <v/>
      </c>
    </row>
    <row r="1224" customFormat="false" ht="15" hidden="false" customHeight="false" outlineLevel="0" collapsed="false">
      <c r="A1224" s="12" t="n">
        <v>1220</v>
      </c>
      <c r="B1224" s="10" t="s">
        <v>3506</v>
      </c>
      <c r="C1224" s="10" t="s">
        <v>3507</v>
      </c>
      <c r="D1224" s="11" t="n">
        <v>0.0029462962962963</v>
      </c>
      <c r="E1224" s="18" t="n">
        <f aca="false">ROUND((D1224-$D$5)*86400,2)</f>
        <v>29.53</v>
      </c>
      <c r="F1224" s="12" t="n">
        <v>2476</v>
      </c>
      <c r="G1224" s="11" t="str">
        <f aca="false">IF(INDEX(選手一覧!$D$7:$D$2738,$F1224)="","",INDEX(選手一覧!$D$7:$D$2738,$F1224))</f>
        <v/>
      </c>
      <c r="H1224" s="12" t="str">
        <f aca="false">IF(INDEX(選手一覧!$E$7:$E$2738,$F1224)="","",INDEX(選手一覧!$E$7:$E$2738,$F1224))</f>
        <v/>
      </c>
      <c r="I1224" s="11" t="str">
        <f aca="false">IF(INDEX(選手一覧!$F$7:$F$2738,$F1224)="","",INDEX(選手一覧!$F$7:$F$2738,$F1224))</f>
        <v/>
      </c>
      <c r="J1224" s="12" t="str">
        <f aca="false">IF(INDEX(選手一覧!$G$7:$G$2738,$F1224)="","",INDEX(選手一覧!$G$7:$G$2738,$F1224))</f>
        <v/>
      </c>
    </row>
    <row r="1225" customFormat="false" ht="15" hidden="false" customHeight="false" outlineLevel="0" collapsed="false">
      <c r="A1225" s="12" t="n">
        <v>1221</v>
      </c>
      <c r="B1225" s="10" t="s">
        <v>3509</v>
      </c>
      <c r="C1225" s="10" t="s">
        <v>457</v>
      </c>
      <c r="D1225" s="11" t="n">
        <v>0.002946875</v>
      </c>
      <c r="E1225" s="18" t="n">
        <f aca="false">ROUND((D1225-$D$5)*86400,2)</f>
        <v>29.58</v>
      </c>
      <c r="F1225" s="12" t="n">
        <v>2478</v>
      </c>
      <c r="G1225" s="11" t="str">
        <f aca="false">IF(INDEX(選手一覧!$D$7:$D$2738,$F1225)="","",INDEX(選手一覧!$D$7:$D$2738,$F1225))</f>
        <v/>
      </c>
      <c r="H1225" s="12" t="str">
        <f aca="false">IF(INDEX(選手一覧!$E$7:$E$2738,$F1225)="","",INDEX(選手一覧!$E$7:$E$2738,$F1225))</f>
        <v/>
      </c>
      <c r="I1225" s="11" t="str">
        <f aca="false">IF(INDEX(選手一覧!$F$7:$F$2738,$F1225)="","",INDEX(選手一覧!$F$7:$F$2738,$F1225))</f>
        <v/>
      </c>
      <c r="J1225" s="12" t="str">
        <f aca="false">IF(INDEX(選手一覧!$G$7:$G$2738,$F1225)="","",INDEX(選手一覧!$G$7:$G$2738,$F1225))</f>
        <v/>
      </c>
    </row>
    <row r="1226" customFormat="false" ht="15" hidden="false" customHeight="false" outlineLevel="0" collapsed="false">
      <c r="A1226" s="12" t="n">
        <v>1222</v>
      </c>
      <c r="B1226" s="10" t="s">
        <v>3513</v>
      </c>
      <c r="C1226" s="10" t="s">
        <v>3318</v>
      </c>
      <c r="D1226" s="11" t="n">
        <v>0.00294699074074074</v>
      </c>
      <c r="E1226" s="18" t="n">
        <f aca="false">ROUND((D1226-$D$5)*86400,2)</f>
        <v>29.59</v>
      </c>
      <c r="F1226" s="12" t="n">
        <v>2481</v>
      </c>
      <c r="G1226" s="11" t="str">
        <f aca="false">IF(INDEX(選手一覧!$D$7:$D$2738,$F1226)="","",INDEX(選手一覧!$D$7:$D$2738,$F1226))</f>
        <v/>
      </c>
      <c r="H1226" s="12" t="str">
        <f aca="false">IF(INDEX(選手一覧!$E$7:$E$2738,$F1226)="","",INDEX(選手一覧!$E$7:$E$2738,$F1226))</f>
        <v/>
      </c>
      <c r="I1226" s="11" t="str">
        <f aca="false">IF(INDEX(選手一覧!$F$7:$F$2738,$F1226)="","",INDEX(選手一覧!$F$7:$F$2738,$F1226))</f>
        <v/>
      </c>
      <c r="J1226" s="12" t="str">
        <f aca="false">IF(INDEX(選手一覧!$G$7:$G$2738,$F1226)="","",INDEX(選手一覧!$G$7:$G$2738,$F1226))</f>
        <v/>
      </c>
    </row>
    <row r="1227" customFormat="false" ht="15" hidden="false" customHeight="false" outlineLevel="0" collapsed="false">
      <c r="A1227" s="12" t="n">
        <v>1223</v>
      </c>
      <c r="B1227" s="10" t="s">
        <v>1700</v>
      </c>
      <c r="C1227" s="10" t="s">
        <v>1130</v>
      </c>
      <c r="D1227" s="11" t="n">
        <v>0.00294699074074074</v>
      </c>
      <c r="E1227" s="18" t="n">
        <f aca="false">ROUND((D1227-$D$5)*86400,2)</f>
        <v>29.59</v>
      </c>
      <c r="F1227" s="12" t="n">
        <v>1171</v>
      </c>
      <c r="G1227" s="11" t="n">
        <f aca="false">IF(INDEX(選手一覧!$D$7:$D$2738,$F1227)="","",INDEX(選手一覧!$D$7:$D$2738,$F1227))</f>
        <v>0.0106615740740741</v>
      </c>
      <c r="H1227" s="12" t="n">
        <f aca="false">IF(INDEX(選手一覧!$E$7:$E$2738,$F1227)="","",INDEX(選手一覧!$E$7:$E$2738,$F1227))</f>
        <v>536</v>
      </c>
      <c r="I1227" s="11" t="str">
        <f aca="false">IF(INDEX(選手一覧!$F$7:$F$2738,$F1227)="","",INDEX(選手一覧!$F$7:$F$2738,$F1227))</f>
        <v/>
      </c>
      <c r="J1227" s="12" t="str">
        <f aca="false">IF(INDEX(選手一覧!$G$7:$G$2738,$F1227)="","",INDEX(選手一覧!$G$7:$G$2738,$F1227))</f>
        <v/>
      </c>
    </row>
    <row r="1228" customFormat="false" ht="15" hidden="false" customHeight="false" outlineLevel="0" collapsed="false">
      <c r="A1228" s="12" t="n">
        <v>1224</v>
      </c>
      <c r="B1228" s="10" t="s">
        <v>1890</v>
      </c>
      <c r="C1228" s="10" t="s">
        <v>34</v>
      </c>
      <c r="D1228" s="11" t="n">
        <v>0.00294710648148148</v>
      </c>
      <c r="E1228" s="18" t="n">
        <f aca="false">ROUND((D1228-$D$5)*86400,2)</f>
        <v>29.6</v>
      </c>
      <c r="F1228" s="12" t="n">
        <v>1300</v>
      </c>
      <c r="G1228" s="11" t="n">
        <f aca="false">IF(INDEX(選手一覧!$D$7:$D$2738,$F1228)="","",INDEX(選手一覧!$D$7:$D$2738,$F1228))</f>
        <v>0.0107153935185185</v>
      </c>
      <c r="H1228" s="12" t="n">
        <f aca="false">IF(INDEX(選手一覧!$E$7:$E$2738,$F1228)="","",INDEX(選手一覧!$E$7:$E$2738,$F1228))</f>
        <v>605</v>
      </c>
      <c r="I1228" s="11" t="str">
        <f aca="false">IF(INDEX(選手一覧!$F$7:$F$2738,$F1228)="","",INDEX(選手一覧!$F$7:$F$2738,$F1228))</f>
        <v/>
      </c>
      <c r="J1228" s="12" t="str">
        <f aca="false">IF(INDEX(選手一覧!$G$7:$G$2738,$F1228)="","",INDEX(選手一覧!$G$7:$G$2738,$F1228))</f>
        <v/>
      </c>
    </row>
    <row r="1229" customFormat="false" ht="15" hidden="false" customHeight="false" outlineLevel="0" collapsed="false">
      <c r="A1229" s="12" t="n">
        <v>1225</v>
      </c>
      <c r="B1229" s="10" t="s">
        <v>255</v>
      </c>
      <c r="C1229" s="10" t="s">
        <v>53</v>
      </c>
      <c r="D1229" s="11" t="n">
        <v>0.00294768518518519</v>
      </c>
      <c r="E1229" s="18" t="n">
        <f aca="false">ROUND((D1229-$D$5)*86400,2)</f>
        <v>29.65</v>
      </c>
      <c r="F1229" s="12" t="n">
        <v>139</v>
      </c>
      <c r="G1229" s="11" t="n">
        <f aca="false">IF(INDEX(選手一覧!$D$7:$D$2738,$F1229)="","",INDEX(選手一覧!$D$7:$D$2738,$F1229))</f>
        <v>0.0105528935185185</v>
      </c>
      <c r="H1229" s="12" t="n">
        <f aca="false">IF(INDEX(選手一覧!$E$7:$E$2738,$F1229)="","",INDEX(選手一覧!$E$7:$E$2738,$F1229))</f>
        <v>404</v>
      </c>
      <c r="I1229" s="11" t="n">
        <f aca="false">IF(INDEX(選手一覧!$F$7:$F$2738,$F1229)="","",INDEX(選手一覧!$F$7:$F$2738,$F1229))</f>
        <v>0.00656655092592593</v>
      </c>
      <c r="J1229" s="12" t="n">
        <f aca="false">IF(INDEX(選手一覧!$G$7:$G$2738,$F1229)="","",INDEX(選手一覧!$G$7:$G$2738,$F1229))</f>
        <v>55</v>
      </c>
    </row>
    <row r="1230" customFormat="false" ht="15" hidden="false" customHeight="false" outlineLevel="0" collapsed="false">
      <c r="A1230" s="12" t="n">
        <v>1226</v>
      </c>
      <c r="B1230" s="10" t="s">
        <v>3521</v>
      </c>
      <c r="C1230" s="10" t="s">
        <v>465</v>
      </c>
      <c r="D1230" s="11" t="n">
        <v>0.00294780092592593</v>
      </c>
      <c r="E1230" s="18" t="n">
        <f aca="false">ROUND((D1230-$D$5)*86400,2)</f>
        <v>29.66</v>
      </c>
      <c r="F1230" s="12" t="n">
        <v>2489</v>
      </c>
      <c r="G1230" s="11" t="str">
        <f aca="false">IF(INDEX(選手一覧!$D$7:$D$2738,$F1230)="","",INDEX(選手一覧!$D$7:$D$2738,$F1230))</f>
        <v/>
      </c>
      <c r="H1230" s="12" t="str">
        <f aca="false">IF(INDEX(選手一覧!$E$7:$E$2738,$F1230)="","",INDEX(選手一覧!$E$7:$E$2738,$F1230))</f>
        <v/>
      </c>
      <c r="I1230" s="11" t="str">
        <f aca="false">IF(INDEX(選手一覧!$F$7:$F$2738,$F1230)="","",INDEX(選手一覧!$F$7:$F$2738,$F1230))</f>
        <v/>
      </c>
      <c r="J1230" s="12" t="str">
        <f aca="false">IF(INDEX(選手一覧!$G$7:$G$2738,$F1230)="","",INDEX(選手一覧!$G$7:$G$2738,$F1230))</f>
        <v/>
      </c>
    </row>
    <row r="1231" customFormat="false" ht="15" hidden="false" customHeight="false" outlineLevel="0" collapsed="false">
      <c r="A1231" s="12" t="n">
        <v>1227</v>
      </c>
      <c r="B1231" s="10" t="s">
        <v>3523</v>
      </c>
      <c r="C1231" s="10" t="s">
        <v>3524</v>
      </c>
      <c r="D1231" s="11" t="n">
        <v>0.00294791666666667</v>
      </c>
      <c r="E1231" s="18" t="n">
        <f aca="false">ROUND((D1231-$D$5)*86400,2)</f>
        <v>29.67</v>
      </c>
      <c r="F1231" s="12" t="n">
        <v>2491</v>
      </c>
      <c r="G1231" s="11" t="str">
        <f aca="false">IF(INDEX(選手一覧!$D$7:$D$2738,$F1231)="","",INDEX(選手一覧!$D$7:$D$2738,$F1231))</f>
        <v/>
      </c>
      <c r="H1231" s="12" t="str">
        <f aca="false">IF(INDEX(選手一覧!$E$7:$E$2738,$F1231)="","",INDEX(選手一覧!$E$7:$E$2738,$F1231))</f>
        <v/>
      </c>
      <c r="I1231" s="11" t="str">
        <f aca="false">IF(INDEX(選手一覧!$F$7:$F$2738,$F1231)="","",INDEX(選手一覧!$F$7:$F$2738,$F1231))</f>
        <v/>
      </c>
      <c r="J1231" s="12" t="str">
        <f aca="false">IF(INDEX(選手一覧!$G$7:$G$2738,$F1231)="","",INDEX(選手一覧!$G$7:$G$2738,$F1231))</f>
        <v/>
      </c>
    </row>
    <row r="1232" customFormat="false" ht="15" hidden="false" customHeight="false" outlineLevel="0" collapsed="false">
      <c r="A1232" s="12" t="n">
        <v>1228</v>
      </c>
      <c r="B1232" s="10" t="s">
        <v>2289</v>
      </c>
      <c r="C1232" s="10" t="s">
        <v>1383</v>
      </c>
      <c r="D1232" s="11" t="n">
        <v>0.00294814814814815</v>
      </c>
      <c r="E1232" s="18" t="n">
        <f aca="false">ROUND((D1232-$D$5)*86400,2)</f>
        <v>29.69</v>
      </c>
      <c r="F1232" s="12" t="n">
        <v>1582</v>
      </c>
      <c r="G1232" s="11" t="n">
        <f aca="false">IF(INDEX(選手一覧!$D$7:$D$2738,$F1232)="","",INDEX(選手一覧!$D$7:$D$2738,$F1232))</f>
        <v>0.0108061342592593</v>
      </c>
      <c r="H1232" s="12" t="n">
        <f aca="false">IF(INDEX(選手一覧!$E$7:$E$2738,$F1232)="","",INDEX(選手一覧!$E$7:$E$2738,$F1232))</f>
        <v>754</v>
      </c>
      <c r="I1232" s="11" t="str">
        <f aca="false">IF(INDEX(選手一覧!$F$7:$F$2738,$F1232)="","",INDEX(選手一覧!$F$7:$F$2738,$F1232))</f>
        <v/>
      </c>
      <c r="J1232" s="12" t="str">
        <f aca="false">IF(INDEX(選手一覧!$G$7:$G$2738,$F1232)="","",INDEX(選手一覧!$G$7:$G$2738,$F1232))</f>
        <v/>
      </c>
    </row>
    <row r="1233" customFormat="false" ht="15" hidden="false" customHeight="false" outlineLevel="0" collapsed="false">
      <c r="A1233" s="12" t="n">
        <v>1229</v>
      </c>
      <c r="B1233" s="10" t="s">
        <v>3529</v>
      </c>
      <c r="C1233" s="10" t="s">
        <v>3530</v>
      </c>
      <c r="D1233" s="11" t="n">
        <v>0.00294826388888889</v>
      </c>
      <c r="E1233" s="18" t="n">
        <f aca="false">ROUND((D1233-$D$5)*86400,2)</f>
        <v>29.7</v>
      </c>
      <c r="F1233" s="12" t="n">
        <v>2495</v>
      </c>
      <c r="G1233" s="11" t="str">
        <f aca="false">IF(INDEX(選手一覧!$D$7:$D$2738,$F1233)="","",INDEX(選手一覧!$D$7:$D$2738,$F1233))</f>
        <v/>
      </c>
      <c r="H1233" s="12" t="str">
        <f aca="false">IF(INDEX(選手一覧!$E$7:$E$2738,$F1233)="","",INDEX(選手一覧!$E$7:$E$2738,$F1233))</f>
        <v/>
      </c>
      <c r="I1233" s="11" t="str">
        <f aca="false">IF(INDEX(選手一覧!$F$7:$F$2738,$F1233)="","",INDEX(選手一覧!$F$7:$F$2738,$F1233))</f>
        <v/>
      </c>
      <c r="J1233" s="12" t="str">
        <f aca="false">IF(INDEX(選手一覧!$G$7:$G$2738,$F1233)="","",INDEX(選手一覧!$G$7:$G$2738,$F1233))</f>
        <v/>
      </c>
    </row>
    <row r="1234" customFormat="false" ht="15" hidden="false" customHeight="false" outlineLevel="0" collapsed="false">
      <c r="A1234" s="12" t="n">
        <v>1230</v>
      </c>
      <c r="B1234" s="10" t="s">
        <v>3533</v>
      </c>
      <c r="C1234" s="10" t="s">
        <v>1040</v>
      </c>
      <c r="D1234" s="11" t="n">
        <v>0.00294849537037037</v>
      </c>
      <c r="E1234" s="18" t="n">
        <f aca="false">ROUND((D1234-$D$5)*86400,2)</f>
        <v>29.72</v>
      </c>
      <c r="F1234" s="12" t="n">
        <v>2498</v>
      </c>
      <c r="G1234" s="11" t="str">
        <f aca="false">IF(INDEX(選手一覧!$D$7:$D$2738,$F1234)="","",INDEX(選手一覧!$D$7:$D$2738,$F1234))</f>
        <v/>
      </c>
      <c r="H1234" s="12" t="str">
        <f aca="false">IF(INDEX(選手一覧!$E$7:$E$2738,$F1234)="","",INDEX(選手一覧!$E$7:$E$2738,$F1234))</f>
        <v/>
      </c>
      <c r="I1234" s="11" t="str">
        <f aca="false">IF(INDEX(選手一覧!$F$7:$F$2738,$F1234)="","",INDEX(選手一覧!$F$7:$F$2738,$F1234))</f>
        <v/>
      </c>
      <c r="J1234" s="12" t="str">
        <f aca="false">IF(INDEX(選手一覧!$G$7:$G$2738,$F1234)="","",INDEX(選手一覧!$G$7:$G$2738,$F1234))</f>
        <v/>
      </c>
    </row>
    <row r="1235" customFormat="false" ht="15" hidden="false" customHeight="false" outlineLevel="0" collapsed="false">
      <c r="A1235" s="12" t="n">
        <v>1231</v>
      </c>
      <c r="B1235" s="10" t="s">
        <v>3537</v>
      </c>
      <c r="C1235" s="10" t="s">
        <v>27</v>
      </c>
      <c r="D1235" s="11" t="n">
        <v>0.00294872685185185</v>
      </c>
      <c r="E1235" s="18" t="n">
        <f aca="false">ROUND((D1235-$D$5)*86400,2)</f>
        <v>29.74</v>
      </c>
      <c r="F1235" s="12" t="n">
        <v>2501</v>
      </c>
      <c r="G1235" s="11" t="str">
        <f aca="false">IF(INDEX(選手一覧!$D$7:$D$2738,$F1235)="","",INDEX(選手一覧!$D$7:$D$2738,$F1235))</f>
        <v/>
      </c>
      <c r="H1235" s="12" t="str">
        <f aca="false">IF(INDEX(選手一覧!$E$7:$E$2738,$F1235)="","",INDEX(選手一覧!$E$7:$E$2738,$F1235))</f>
        <v/>
      </c>
      <c r="I1235" s="11" t="str">
        <f aca="false">IF(INDEX(選手一覧!$F$7:$F$2738,$F1235)="","",INDEX(選手一覧!$F$7:$F$2738,$F1235))</f>
        <v/>
      </c>
      <c r="J1235" s="12" t="str">
        <f aca="false">IF(INDEX(選手一覧!$G$7:$G$2738,$F1235)="","",INDEX(選手一覧!$G$7:$G$2738,$F1235))</f>
        <v/>
      </c>
    </row>
    <row r="1236" customFormat="false" ht="15" hidden="false" customHeight="false" outlineLevel="0" collapsed="false">
      <c r="A1236" s="12" t="n">
        <v>1232</v>
      </c>
      <c r="B1236" s="10" t="s">
        <v>3540</v>
      </c>
      <c r="C1236" s="10" t="s">
        <v>3480</v>
      </c>
      <c r="D1236" s="11" t="n">
        <v>0.00294907407407407</v>
      </c>
      <c r="E1236" s="18" t="n">
        <f aca="false">ROUND((D1236-$D$5)*86400,2)</f>
        <v>29.77</v>
      </c>
      <c r="F1236" s="12" t="n">
        <v>2503</v>
      </c>
      <c r="G1236" s="11" t="str">
        <f aca="false">IF(INDEX(選手一覧!$D$7:$D$2738,$F1236)="","",INDEX(選手一覧!$D$7:$D$2738,$F1236))</f>
        <v/>
      </c>
      <c r="H1236" s="12" t="str">
        <f aca="false">IF(INDEX(選手一覧!$E$7:$E$2738,$F1236)="","",INDEX(選手一覧!$E$7:$E$2738,$F1236))</f>
        <v/>
      </c>
      <c r="I1236" s="11" t="str">
        <f aca="false">IF(INDEX(選手一覧!$F$7:$F$2738,$F1236)="","",INDEX(選手一覧!$F$7:$F$2738,$F1236))</f>
        <v/>
      </c>
      <c r="J1236" s="12" t="str">
        <f aca="false">IF(INDEX(選手一覧!$G$7:$G$2738,$F1236)="","",INDEX(選手一覧!$G$7:$G$2738,$F1236))</f>
        <v/>
      </c>
    </row>
    <row r="1237" customFormat="false" ht="15" hidden="false" customHeight="false" outlineLevel="0" collapsed="false">
      <c r="A1237" s="12" t="n">
        <v>1233</v>
      </c>
      <c r="B1237" s="10" t="s">
        <v>3544</v>
      </c>
      <c r="C1237" s="10" t="s">
        <v>1993</v>
      </c>
      <c r="D1237" s="11" t="n">
        <v>0.00294907407407407</v>
      </c>
      <c r="E1237" s="18" t="n">
        <f aca="false">ROUND((D1237-$D$5)*86400,2)</f>
        <v>29.77</v>
      </c>
      <c r="F1237" s="12" t="n">
        <v>2506</v>
      </c>
      <c r="G1237" s="11" t="str">
        <f aca="false">IF(INDEX(選手一覧!$D$7:$D$2738,$F1237)="","",INDEX(選手一覧!$D$7:$D$2738,$F1237))</f>
        <v/>
      </c>
      <c r="H1237" s="12" t="str">
        <f aca="false">IF(INDEX(選手一覧!$E$7:$E$2738,$F1237)="","",INDEX(選手一覧!$E$7:$E$2738,$F1237))</f>
        <v/>
      </c>
      <c r="I1237" s="11" t="str">
        <f aca="false">IF(INDEX(選手一覧!$F$7:$F$2738,$F1237)="","",INDEX(選手一覧!$F$7:$F$2738,$F1237))</f>
        <v/>
      </c>
      <c r="J1237" s="12" t="str">
        <f aca="false">IF(INDEX(選手一覧!$G$7:$G$2738,$F1237)="","",INDEX(選手一覧!$G$7:$G$2738,$F1237))</f>
        <v/>
      </c>
    </row>
    <row r="1238" customFormat="false" ht="15" hidden="false" customHeight="false" outlineLevel="0" collapsed="false">
      <c r="A1238" s="12" t="n">
        <v>1234</v>
      </c>
      <c r="B1238" s="10" t="s">
        <v>2231</v>
      </c>
      <c r="C1238" s="10" t="s">
        <v>195</v>
      </c>
      <c r="D1238" s="11" t="n">
        <v>0.00294918981481482</v>
      </c>
      <c r="E1238" s="18" t="n">
        <f aca="false">ROUND((D1238-$D$5)*86400,2)</f>
        <v>29.78</v>
      </c>
      <c r="F1238" s="12" t="n">
        <v>1545</v>
      </c>
      <c r="G1238" s="11" t="n">
        <f aca="false">IF(INDEX(選手一覧!$D$7:$D$2738,$F1238)="","",INDEX(選手一覧!$D$7:$D$2738,$F1238))</f>
        <v>0.0110116898148148</v>
      </c>
      <c r="H1238" s="12" t="n">
        <f aca="false">IF(INDEX(選手一覧!$E$7:$E$2738,$F1238)="","",INDEX(選手一覧!$E$7:$E$2738,$F1238))</f>
        <v>1113</v>
      </c>
      <c r="I1238" s="11" t="n">
        <f aca="false">IF(INDEX(選手一覧!$F$7:$F$2738,$F1238)="","",INDEX(選手一覧!$F$7:$F$2738,$F1238))</f>
        <v>0.0073724537037037</v>
      </c>
      <c r="J1238" s="12" t="n">
        <f aca="false">IF(INDEX(選手一覧!$G$7:$G$2738,$F1238)="","",INDEX(選手一覧!$G$7:$G$2738,$F1238))</f>
        <v>737</v>
      </c>
    </row>
    <row r="1239" customFormat="false" ht="15" hidden="false" customHeight="false" outlineLevel="0" collapsed="false">
      <c r="A1239" s="12" t="n">
        <v>1235</v>
      </c>
      <c r="B1239" s="10" t="s">
        <v>3550</v>
      </c>
      <c r="C1239" s="10" t="s">
        <v>3551</v>
      </c>
      <c r="D1239" s="11" t="n">
        <v>0.00294930555555556</v>
      </c>
      <c r="E1239" s="18" t="n">
        <f aca="false">ROUND((D1239-$D$5)*86400,2)</f>
        <v>29.79</v>
      </c>
      <c r="F1239" s="12" t="n">
        <v>2511</v>
      </c>
      <c r="G1239" s="11" t="str">
        <f aca="false">IF(INDEX(選手一覧!$D$7:$D$2738,$F1239)="","",INDEX(選手一覧!$D$7:$D$2738,$F1239))</f>
        <v/>
      </c>
      <c r="H1239" s="12" t="str">
        <f aca="false">IF(INDEX(選手一覧!$E$7:$E$2738,$F1239)="","",INDEX(選手一覧!$E$7:$E$2738,$F1239))</f>
        <v/>
      </c>
      <c r="I1239" s="11" t="str">
        <f aca="false">IF(INDEX(選手一覧!$F$7:$F$2738,$F1239)="","",INDEX(選手一覧!$F$7:$F$2738,$F1239))</f>
        <v/>
      </c>
      <c r="J1239" s="12" t="str">
        <f aca="false">IF(INDEX(選手一覧!$G$7:$G$2738,$F1239)="","",INDEX(選手一覧!$G$7:$G$2738,$F1239))</f>
        <v/>
      </c>
    </row>
    <row r="1240" customFormat="false" ht="15" hidden="false" customHeight="false" outlineLevel="0" collapsed="false">
      <c r="A1240" s="12" t="n">
        <v>1236</v>
      </c>
      <c r="B1240" s="10" t="s">
        <v>3554</v>
      </c>
      <c r="C1240" s="10" t="s">
        <v>3555</v>
      </c>
      <c r="D1240" s="11" t="n">
        <v>0.00294988425925926</v>
      </c>
      <c r="E1240" s="18" t="n">
        <f aca="false">ROUND((D1240-$D$5)*86400,2)</f>
        <v>29.84</v>
      </c>
      <c r="F1240" s="12" t="n">
        <v>2513</v>
      </c>
      <c r="G1240" s="11" t="str">
        <f aca="false">IF(INDEX(選手一覧!$D$7:$D$2738,$F1240)="","",INDEX(選手一覧!$D$7:$D$2738,$F1240))</f>
        <v/>
      </c>
      <c r="H1240" s="12" t="str">
        <f aca="false">IF(INDEX(選手一覧!$E$7:$E$2738,$F1240)="","",INDEX(選手一覧!$E$7:$E$2738,$F1240))</f>
        <v/>
      </c>
      <c r="I1240" s="11" t="str">
        <f aca="false">IF(INDEX(選手一覧!$F$7:$F$2738,$F1240)="","",INDEX(選手一覧!$F$7:$F$2738,$F1240))</f>
        <v/>
      </c>
      <c r="J1240" s="12" t="str">
        <f aca="false">IF(INDEX(選手一覧!$G$7:$G$2738,$F1240)="","",INDEX(選手一覧!$G$7:$G$2738,$F1240))</f>
        <v/>
      </c>
    </row>
    <row r="1241" customFormat="false" ht="15" hidden="false" customHeight="false" outlineLevel="0" collapsed="false">
      <c r="A1241" s="12" t="n">
        <v>1237</v>
      </c>
      <c r="B1241" s="10" t="s">
        <v>2133</v>
      </c>
      <c r="C1241" s="10" t="s">
        <v>2134</v>
      </c>
      <c r="D1241" s="11" t="n">
        <v>0.00295</v>
      </c>
      <c r="E1241" s="18" t="n">
        <f aca="false">ROUND((D1241-$D$5)*86400,2)</f>
        <v>29.85</v>
      </c>
      <c r="F1241" s="12" t="n">
        <v>1475</v>
      </c>
      <c r="G1241" s="11" t="n">
        <f aca="false">IF(INDEX(選手一覧!$D$7:$D$2738,$F1241)="","",INDEX(選手一覧!$D$7:$D$2738,$F1241))</f>
        <v>0.0109225694444444</v>
      </c>
      <c r="H1241" s="12" t="n">
        <f aca="false">IF(INDEX(選手一覧!$E$7:$E$2738,$F1241)="","",INDEX(選手一覧!$E$7:$E$2738,$F1241))</f>
        <v>954</v>
      </c>
      <c r="I1241" s="11" t="n">
        <f aca="false">IF(INDEX(選手一覧!$F$7:$F$2738,$F1241)="","",INDEX(選手一覧!$F$7:$F$2738,$F1241))</f>
        <v>0.00734189814814815</v>
      </c>
      <c r="J1241" s="12" t="n">
        <f aca="false">IF(INDEX(選手一覧!$G$7:$G$2738,$F1241)="","",INDEX(選手一覧!$G$7:$G$2738,$F1241))</f>
        <v>699</v>
      </c>
    </row>
    <row r="1242" customFormat="false" ht="15" hidden="false" customHeight="false" outlineLevel="0" collapsed="false">
      <c r="A1242" s="12" t="n">
        <v>1238</v>
      </c>
      <c r="B1242" s="10" t="s">
        <v>3560</v>
      </c>
      <c r="C1242" s="10" t="s">
        <v>3480</v>
      </c>
      <c r="D1242" s="11" t="n">
        <v>0.00295011574074074</v>
      </c>
      <c r="E1242" s="18" t="n">
        <f aca="false">ROUND((D1242-$D$5)*86400,2)</f>
        <v>29.86</v>
      </c>
      <c r="F1242" s="12" t="n">
        <v>2517</v>
      </c>
      <c r="G1242" s="11" t="str">
        <f aca="false">IF(INDEX(選手一覧!$D$7:$D$2738,$F1242)="","",INDEX(選手一覧!$D$7:$D$2738,$F1242))</f>
        <v/>
      </c>
      <c r="H1242" s="12" t="str">
        <f aca="false">IF(INDEX(選手一覧!$E$7:$E$2738,$F1242)="","",INDEX(選手一覧!$E$7:$E$2738,$F1242))</f>
        <v/>
      </c>
      <c r="I1242" s="11" t="str">
        <f aca="false">IF(INDEX(選手一覧!$F$7:$F$2738,$F1242)="","",INDEX(選手一覧!$F$7:$F$2738,$F1242))</f>
        <v/>
      </c>
      <c r="J1242" s="12" t="str">
        <f aca="false">IF(INDEX(選手一覧!$G$7:$G$2738,$F1242)="","",INDEX(選手一覧!$G$7:$G$2738,$F1242))</f>
        <v/>
      </c>
    </row>
    <row r="1243" customFormat="false" ht="15" hidden="false" customHeight="false" outlineLevel="0" collapsed="false">
      <c r="A1243" s="12" t="n">
        <v>1239</v>
      </c>
      <c r="B1243" s="10" t="s">
        <v>2803</v>
      </c>
      <c r="C1243" s="10" t="s">
        <v>1595</v>
      </c>
      <c r="D1243" s="11" t="n">
        <v>0.00295023148148148</v>
      </c>
      <c r="E1243" s="18" t="n">
        <f aca="false">ROUND((D1243-$D$5)*86400,2)</f>
        <v>29.87</v>
      </c>
      <c r="F1243" s="12" t="n">
        <v>1961</v>
      </c>
      <c r="G1243" s="11" t="n">
        <f aca="false">IF(INDEX(選手一覧!$D$7:$D$2738,$F1243)="","",INDEX(選手一覧!$D$7:$D$2738,$F1243))</f>
        <v>0.0109172453703704</v>
      </c>
      <c r="H1243" s="12" t="n">
        <f aca="false">IF(INDEX(選手一覧!$E$7:$E$2738,$F1243)="","",INDEX(選手一覧!$E$7:$E$2738,$F1243))</f>
        <v>949</v>
      </c>
      <c r="I1243" s="11" t="str">
        <f aca="false">IF(INDEX(選手一覧!$F$7:$F$2738,$F1243)="","",INDEX(選手一覧!$F$7:$F$2738,$F1243))</f>
        <v/>
      </c>
      <c r="J1243" s="12" t="str">
        <f aca="false">IF(INDEX(選手一覧!$G$7:$G$2738,$F1243)="","",INDEX(選手一覧!$G$7:$G$2738,$F1243))</f>
        <v/>
      </c>
    </row>
    <row r="1244" customFormat="false" ht="15" hidden="false" customHeight="false" outlineLevel="0" collapsed="false">
      <c r="A1244" s="12" t="n">
        <v>1240</v>
      </c>
      <c r="B1244" s="10" t="s">
        <v>3565</v>
      </c>
      <c r="C1244" s="10" t="s">
        <v>62</v>
      </c>
      <c r="D1244" s="11" t="n">
        <v>0.00295023148148148</v>
      </c>
      <c r="E1244" s="18" t="n">
        <f aca="false">ROUND((D1244-$D$5)*86400,2)</f>
        <v>29.87</v>
      </c>
      <c r="F1244" s="12" t="n">
        <v>2520</v>
      </c>
      <c r="G1244" s="11" t="str">
        <f aca="false">IF(INDEX(選手一覧!$D$7:$D$2738,$F1244)="","",INDEX(選手一覧!$D$7:$D$2738,$F1244))</f>
        <v/>
      </c>
      <c r="H1244" s="12" t="str">
        <f aca="false">IF(INDEX(選手一覧!$E$7:$E$2738,$F1244)="","",INDEX(選手一覧!$E$7:$E$2738,$F1244))</f>
        <v/>
      </c>
      <c r="I1244" s="11" t="str">
        <f aca="false">IF(INDEX(選手一覧!$F$7:$F$2738,$F1244)="","",INDEX(選手一覧!$F$7:$F$2738,$F1244))</f>
        <v/>
      </c>
      <c r="J1244" s="12" t="str">
        <f aca="false">IF(INDEX(選手一覧!$G$7:$G$2738,$F1244)="","",INDEX(選手一覧!$G$7:$G$2738,$F1244))</f>
        <v/>
      </c>
    </row>
    <row r="1245" customFormat="false" ht="15" hidden="false" customHeight="false" outlineLevel="0" collapsed="false">
      <c r="A1245" s="12" t="n">
        <v>1241</v>
      </c>
      <c r="B1245" s="10" t="s">
        <v>3568</v>
      </c>
      <c r="C1245" s="10" t="s">
        <v>147</v>
      </c>
      <c r="D1245" s="11" t="n">
        <v>0.00295034722222222</v>
      </c>
      <c r="E1245" s="18" t="n">
        <f aca="false">ROUND((D1245-$D$5)*86400,2)</f>
        <v>29.88</v>
      </c>
      <c r="F1245" s="12" t="n">
        <v>2522</v>
      </c>
      <c r="G1245" s="11" t="str">
        <f aca="false">IF(INDEX(選手一覧!$D$7:$D$2738,$F1245)="","",INDEX(選手一覧!$D$7:$D$2738,$F1245))</f>
        <v/>
      </c>
      <c r="H1245" s="12" t="str">
        <f aca="false">IF(INDEX(選手一覧!$E$7:$E$2738,$F1245)="","",INDEX(選手一覧!$E$7:$E$2738,$F1245))</f>
        <v/>
      </c>
      <c r="I1245" s="11" t="str">
        <f aca="false">IF(INDEX(選手一覧!$F$7:$F$2738,$F1245)="","",INDEX(選手一覧!$F$7:$F$2738,$F1245))</f>
        <v/>
      </c>
      <c r="J1245" s="12" t="str">
        <f aca="false">IF(INDEX(選手一覧!$G$7:$G$2738,$F1245)="","",INDEX(選手一覧!$G$7:$G$2738,$F1245))</f>
        <v/>
      </c>
    </row>
    <row r="1246" customFormat="false" ht="15" hidden="false" customHeight="false" outlineLevel="0" collapsed="false">
      <c r="A1246" s="12" t="n">
        <v>1242</v>
      </c>
      <c r="B1246" s="10" t="s">
        <v>3570</v>
      </c>
      <c r="C1246" s="10" t="s">
        <v>3571</v>
      </c>
      <c r="D1246" s="11" t="n">
        <v>0.0029505787037037</v>
      </c>
      <c r="E1246" s="18" t="n">
        <f aca="false">ROUND((D1246-$D$5)*86400,2)</f>
        <v>29.9</v>
      </c>
      <c r="F1246" s="12" t="n">
        <v>2524</v>
      </c>
      <c r="G1246" s="11" t="str">
        <f aca="false">IF(INDEX(選手一覧!$D$7:$D$2738,$F1246)="","",INDEX(選手一覧!$D$7:$D$2738,$F1246))</f>
        <v/>
      </c>
      <c r="H1246" s="12" t="str">
        <f aca="false">IF(INDEX(選手一覧!$E$7:$E$2738,$F1246)="","",INDEX(選手一覧!$E$7:$E$2738,$F1246))</f>
        <v/>
      </c>
      <c r="I1246" s="11" t="str">
        <f aca="false">IF(INDEX(選手一覧!$F$7:$F$2738,$F1246)="","",INDEX(選手一覧!$F$7:$F$2738,$F1246))</f>
        <v/>
      </c>
      <c r="J1246" s="12" t="str">
        <f aca="false">IF(INDEX(選手一覧!$G$7:$G$2738,$F1246)="","",INDEX(選手一覧!$G$7:$G$2738,$F1246))</f>
        <v/>
      </c>
    </row>
    <row r="1247" customFormat="false" ht="15" hidden="false" customHeight="false" outlineLevel="0" collapsed="false">
      <c r="A1247" s="12" t="n">
        <v>1243</v>
      </c>
      <c r="B1247" s="10" t="s">
        <v>2482</v>
      </c>
      <c r="C1247" s="10" t="s">
        <v>2483</v>
      </c>
      <c r="D1247" s="11" t="n">
        <v>0.00295092592592593</v>
      </c>
      <c r="E1247" s="18" t="n">
        <f aca="false">ROUND((D1247-$D$5)*86400,2)</f>
        <v>29.93</v>
      </c>
      <c r="F1247" s="12" t="n">
        <v>1731</v>
      </c>
      <c r="G1247" s="11" t="str">
        <f aca="false">IF(INDEX(選手一覧!$D$7:$D$2738,$F1247)="","",INDEX(選手一覧!$D$7:$D$2738,$F1247))</f>
        <v/>
      </c>
      <c r="H1247" s="12" t="str">
        <f aca="false">IF(INDEX(選手一覧!$E$7:$E$2738,$F1247)="","",INDEX(選手一覧!$E$7:$E$2738,$F1247))</f>
        <v/>
      </c>
      <c r="I1247" s="11" t="n">
        <f aca="false">IF(INDEX(選手一覧!$F$7:$F$2738,$F1247)="","",INDEX(選手一覧!$F$7:$F$2738,$F1247))</f>
        <v>0.00744872685185185</v>
      </c>
      <c r="J1247" s="12" t="n">
        <f aca="false">IF(INDEX(選手一覧!$G$7:$G$2738,$F1247)="","",INDEX(選手一覧!$G$7:$G$2738,$F1247))</f>
        <v>828</v>
      </c>
    </row>
    <row r="1248" customFormat="false" ht="15" hidden="false" customHeight="false" outlineLevel="0" collapsed="false">
      <c r="A1248" s="12" t="n">
        <v>1244</v>
      </c>
      <c r="B1248" s="10" t="s">
        <v>3361</v>
      </c>
      <c r="C1248" s="10" t="s">
        <v>107</v>
      </c>
      <c r="D1248" s="11" t="n">
        <v>0.00295104166666667</v>
      </c>
      <c r="E1248" s="18" t="n">
        <f aca="false">ROUND((D1248-$D$5)*86400,2)</f>
        <v>29.94</v>
      </c>
      <c r="F1248" s="12" t="n">
        <v>2365</v>
      </c>
      <c r="G1248" s="11" t="n">
        <f aca="false">IF(INDEX(選手一覧!$D$7:$D$2738,$F1248)="","",INDEX(選手一覧!$D$7:$D$2738,$F1248))</f>
        <v>0.0110351851851852</v>
      </c>
      <c r="H1248" s="12" t="n">
        <f aca="false">IF(INDEX(選手一覧!$E$7:$E$2738,$F1248)="","",INDEX(選手一覧!$E$7:$E$2738,$F1248))</f>
        <v>1163</v>
      </c>
      <c r="I1248" s="11" t="str">
        <f aca="false">IF(INDEX(選手一覧!$F$7:$F$2738,$F1248)="","",INDEX(選手一覧!$F$7:$F$2738,$F1248))</f>
        <v/>
      </c>
      <c r="J1248" s="12" t="str">
        <f aca="false">IF(INDEX(選手一覧!$G$7:$G$2738,$F1248)="","",INDEX(選手一覧!$G$7:$G$2738,$F1248))</f>
        <v/>
      </c>
    </row>
    <row r="1249" customFormat="false" ht="15" hidden="false" customHeight="false" outlineLevel="0" collapsed="false">
      <c r="A1249" s="12" t="n">
        <v>1245</v>
      </c>
      <c r="B1249" s="10" t="s">
        <v>3576</v>
      </c>
      <c r="C1249" s="10" t="s">
        <v>3577</v>
      </c>
      <c r="D1249" s="11" t="n">
        <v>0.00295185185185185</v>
      </c>
      <c r="E1249" s="18" t="n">
        <f aca="false">ROUND((D1249-$D$5)*86400,2)</f>
        <v>30.01</v>
      </c>
      <c r="F1249" s="12" t="n">
        <v>2529</v>
      </c>
      <c r="G1249" s="11" t="str">
        <f aca="false">IF(INDEX(選手一覧!$D$7:$D$2738,$F1249)="","",INDEX(選手一覧!$D$7:$D$2738,$F1249))</f>
        <v/>
      </c>
      <c r="H1249" s="12" t="str">
        <f aca="false">IF(INDEX(選手一覧!$E$7:$E$2738,$F1249)="","",INDEX(選手一覧!$E$7:$E$2738,$F1249))</f>
        <v/>
      </c>
      <c r="I1249" s="11" t="str">
        <f aca="false">IF(INDEX(選手一覧!$F$7:$F$2738,$F1249)="","",INDEX(選手一覧!$F$7:$F$2738,$F1249))</f>
        <v/>
      </c>
      <c r="J1249" s="12" t="str">
        <f aca="false">IF(INDEX(選手一覧!$G$7:$G$2738,$F1249)="","",INDEX(選手一覧!$G$7:$G$2738,$F1249))</f>
        <v/>
      </c>
    </row>
    <row r="1250" customFormat="false" ht="15" hidden="false" customHeight="false" outlineLevel="0" collapsed="false">
      <c r="A1250" s="12" t="n">
        <v>1246</v>
      </c>
      <c r="B1250" s="10" t="s">
        <v>3579</v>
      </c>
      <c r="C1250" s="10" t="s">
        <v>32</v>
      </c>
      <c r="D1250" s="11" t="n">
        <v>0.00295208333333333</v>
      </c>
      <c r="E1250" s="18" t="n">
        <f aca="false">ROUND((D1250-$D$5)*86400,2)</f>
        <v>30.03</v>
      </c>
      <c r="F1250" s="12" t="n">
        <v>2531</v>
      </c>
      <c r="G1250" s="11" t="str">
        <f aca="false">IF(INDEX(選手一覧!$D$7:$D$2738,$F1250)="","",INDEX(選手一覧!$D$7:$D$2738,$F1250))</f>
        <v/>
      </c>
      <c r="H1250" s="12" t="str">
        <f aca="false">IF(INDEX(選手一覧!$E$7:$E$2738,$F1250)="","",INDEX(選手一覧!$E$7:$E$2738,$F1250))</f>
        <v/>
      </c>
      <c r="I1250" s="11" t="str">
        <f aca="false">IF(INDEX(選手一覧!$F$7:$F$2738,$F1250)="","",INDEX(選手一覧!$F$7:$F$2738,$F1250))</f>
        <v/>
      </c>
      <c r="J1250" s="12" t="str">
        <f aca="false">IF(INDEX(選手一覧!$G$7:$G$2738,$F1250)="","",INDEX(選手一覧!$G$7:$G$2738,$F1250))</f>
        <v/>
      </c>
    </row>
    <row r="1251" customFormat="false" ht="15" hidden="false" customHeight="false" outlineLevel="0" collapsed="false">
      <c r="A1251" s="12" t="n">
        <v>1247</v>
      </c>
      <c r="B1251" s="10" t="s">
        <v>3582</v>
      </c>
      <c r="C1251" s="10" t="s">
        <v>171</v>
      </c>
      <c r="D1251" s="11" t="n">
        <v>0.00295231481481482</v>
      </c>
      <c r="E1251" s="18" t="n">
        <f aca="false">ROUND((D1251-$D$5)*86400,2)</f>
        <v>30.05</v>
      </c>
      <c r="F1251" s="12" t="n">
        <v>2533</v>
      </c>
      <c r="G1251" s="11" t="str">
        <f aca="false">IF(INDEX(選手一覧!$D$7:$D$2738,$F1251)="","",INDEX(選手一覧!$D$7:$D$2738,$F1251))</f>
        <v/>
      </c>
      <c r="H1251" s="12" t="str">
        <f aca="false">IF(INDEX(選手一覧!$E$7:$E$2738,$F1251)="","",INDEX(選手一覧!$E$7:$E$2738,$F1251))</f>
        <v/>
      </c>
      <c r="I1251" s="11" t="str">
        <f aca="false">IF(INDEX(選手一覧!$F$7:$F$2738,$F1251)="","",INDEX(選手一覧!$F$7:$F$2738,$F1251))</f>
        <v/>
      </c>
      <c r="J1251" s="12" t="str">
        <f aca="false">IF(INDEX(選手一覧!$G$7:$G$2738,$F1251)="","",INDEX(選手一覧!$G$7:$G$2738,$F1251))</f>
        <v/>
      </c>
    </row>
    <row r="1252" customFormat="false" ht="15" hidden="false" customHeight="false" outlineLevel="0" collapsed="false">
      <c r="A1252" s="12" t="n">
        <v>1248</v>
      </c>
      <c r="B1252" s="10" t="s">
        <v>817</v>
      </c>
      <c r="C1252" s="10" t="s">
        <v>818</v>
      </c>
      <c r="D1252" s="11" t="n">
        <v>0.00295289351851852</v>
      </c>
      <c r="E1252" s="18" t="n">
        <f aca="false">ROUND((D1252-$D$5)*86400,2)</f>
        <v>30.1</v>
      </c>
      <c r="F1252" s="12" t="n">
        <v>533</v>
      </c>
      <c r="G1252" s="11" t="str">
        <f aca="false">IF(INDEX(選手一覧!$D$7:$D$2738,$F1252)="","",INDEX(選手一覧!$D$7:$D$2738,$F1252))</f>
        <v/>
      </c>
      <c r="H1252" s="12" t="str">
        <f aca="false">IF(INDEX(選手一覧!$E$7:$E$2738,$F1252)="","",INDEX(選手一覧!$E$7:$E$2738,$F1252))</f>
        <v/>
      </c>
      <c r="I1252" s="11" t="n">
        <f aca="false">IF(INDEX(選手一覧!$F$7:$F$2738,$F1252)="","",INDEX(選手一覧!$F$7:$F$2738,$F1252))</f>
        <v>0.00688032407407407</v>
      </c>
      <c r="J1252" s="12" t="n">
        <f aca="false">IF(INDEX(選手一覧!$G$7:$G$2738,$F1252)="","",INDEX(選手一覧!$G$7:$G$2738,$F1252))</f>
        <v>223</v>
      </c>
    </row>
    <row r="1253" customFormat="false" ht="15" hidden="false" customHeight="false" outlineLevel="0" collapsed="false">
      <c r="A1253" s="12" t="n">
        <v>1249</v>
      </c>
      <c r="B1253" s="10" t="s">
        <v>3586</v>
      </c>
      <c r="C1253" s="10" t="s">
        <v>382</v>
      </c>
      <c r="D1253" s="11" t="n">
        <v>0.00295347222222222</v>
      </c>
      <c r="E1253" s="18" t="n">
        <f aca="false">ROUND((D1253-$D$5)*86400,2)</f>
        <v>30.15</v>
      </c>
      <c r="F1253" s="12" t="n">
        <v>2537</v>
      </c>
      <c r="G1253" s="11" t="str">
        <f aca="false">IF(INDEX(選手一覧!$D$7:$D$2738,$F1253)="","",INDEX(選手一覧!$D$7:$D$2738,$F1253))</f>
        <v/>
      </c>
      <c r="H1253" s="12" t="str">
        <f aca="false">IF(INDEX(選手一覧!$E$7:$E$2738,$F1253)="","",INDEX(選手一覧!$E$7:$E$2738,$F1253))</f>
        <v/>
      </c>
      <c r="I1253" s="11" t="str">
        <f aca="false">IF(INDEX(選手一覧!$F$7:$F$2738,$F1253)="","",INDEX(選手一覧!$F$7:$F$2738,$F1253))</f>
        <v/>
      </c>
      <c r="J1253" s="12" t="str">
        <f aca="false">IF(INDEX(選手一覧!$G$7:$G$2738,$F1253)="","",INDEX(選手一覧!$G$7:$G$2738,$F1253))</f>
        <v/>
      </c>
    </row>
    <row r="1254" customFormat="false" ht="15" hidden="false" customHeight="false" outlineLevel="0" collapsed="false">
      <c r="A1254" s="12" t="n">
        <v>1250</v>
      </c>
      <c r="B1254" s="10" t="s">
        <v>3589</v>
      </c>
      <c r="C1254" s="10" t="s">
        <v>1839</v>
      </c>
      <c r="D1254" s="11" t="n">
        <v>0.0029537037037037</v>
      </c>
      <c r="E1254" s="18" t="n">
        <f aca="false">ROUND((D1254-$D$5)*86400,2)</f>
        <v>30.17</v>
      </c>
      <c r="F1254" s="12" t="n">
        <v>2539</v>
      </c>
      <c r="G1254" s="11" t="str">
        <f aca="false">IF(INDEX(選手一覧!$D$7:$D$2738,$F1254)="","",INDEX(選手一覧!$D$7:$D$2738,$F1254))</f>
        <v/>
      </c>
      <c r="H1254" s="12" t="str">
        <f aca="false">IF(INDEX(選手一覧!$E$7:$E$2738,$F1254)="","",INDEX(選手一覧!$E$7:$E$2738,$F1254))</f>
        <v/>
      </c>
      <c r="I1254" s="11" t="str">
        <f aca="false">IF(INDEX(選手一覧!$F$7:$F$2738,$F1254)="","",INDEX(選手一覧!$F$7:$F$2738,$F1254))</f>
        <v/>
      </c>
      <c r="J1254" s="12" t="str">
        <f aca="false">IF(INDEX(選手一覧!$G$7:$G$2738,$F1254)="","",INDEX(選手一覧!$G$7:$G$2738,$F1254))</f>
        <v/>
      </c>
    </row>
    <row r="1255" customFormat="false" ht="15" hidden="false" customHeight="false" outlineLevel="0" collapsed="false">
      <c r="A1255" s="12" t="n">
        <v>1251</v>
      </c>
      <c r="B1255" s="10" t="s">
        <v>489</v>
      </c>
      <c r="C1255" s="10" t="s">
        <v>490</v>
      </c>
      <c r="D1255" s="11" t="n">
        <v>0.00295428240740741</v>
      </c>
      <c r="E1255" s="18" t="n">
        <f aca="false">ROUND((D1255-$D$5)*86400,2)</f>
        <v>30.22</v>
      </c>
      <c r="F1255" s="12" t="n">
        <v>304</v>
      </c>
      <c r="G1255" s="11" t="str">
        <f aca="false">IF(INDEX(選手一覧!$D$7:$D$2738,$F1255)="","",INDEX(選手一覧!$D$7:$D$2738,$F1255))</f>
        <v/>
      </c>
      <c r="H1255" s="12" t="str">
        <f aca="false">IF(INDEX(選手一覧!$E$7:$E$2738,$F1255)="","",INDEX(選手一覧!$E$7:$E$2738,$F1255))</f>
        <v/>
      </c>
      <c r="I1255" s="11" t="n">
        <f aca="false">IF(INDEX(選手一覧!$F$7:$F$2738,$F1255)="","",INDEX(選手一覧!$F$7:$F$2738,$F1255))</f>
        <v>0.00674641203703704</v>
      </c>
      <c r="J1255" s="12" t="n">
        <f aca="false">IF(INDEX(選手一覧!$G$7:$G$2738,$F1255)="","",INDEX(選手一覧!$G$7:$G$2738,$F1255))</f>
        <v>125</v>
      </c>
    </row>
    <row r="1256" customFormat="false" ht="15" hidden="false" customHeight="false" outlineLevel="0" collapsed="false">
      <c r="A1256" s="12" t="n">
        <v>1252</v>
      </c>
      <c r="B1256" s="10" t="s">
        <v>199</v>
      </c>
      <c r="C1256" s="10" t="s">
        <v>27</v>
      </c>
      <c r="D1256" s="11" t="n">
        <v>0.00295462962962963</v>
      </c>
      <c r="E1256" s="18" t="n">
        <f aca="false">ROUND((D1256-$D$5)*86400,2)</f>
        <v>30.25</v>
      </c>
      <c r="F1256" s="12" t="n">
        <v>102</v>
      </c>
      <c r="G1256" s="11" t="n">
        <f aca="false">IF(INDEX(選手一覧!$D$7:$D$2738,$F1256)="","",INDEX(選手一覧!$D$7:$D$2738,$F1256))</f>
        <v>0.010055787037037</v>
      </c>
      <c r="H1256" s="12" t="n">
        <f aca="false">IF(INDEX(選手一覧!$E$7:$E$2738,$F1256)="","",INDEX(選手一覧!$E$7:$E$2738,$F1256))</f>
        <v>39</v>
      </c>
      <c r="I1256" s="11" t="str">
        <f aca="false">IF(INDEX(選手一覧!$F$7:$F$2738,$F1256)="","",INDEX(選手一覧!$F$7:$F$2738,$F1256))</f>
        <v/>
      </c>
      <c r="J1256" s="12" t="str">
        <f aca="false">IF(INDEX(選手一覧!$G$7:$G$2738,$F1256)="","",INDEX(選手一覧!$G$7:$G$2738,$F1256))</f>
        <v/>
      </c>
    </row>
    <row r="1257" customFormat="false" ht="15" hidden="false" customHeight="false" outlineLevel="0" collapsed="false">
      <c r="A1257" s="12" t="n">
        <v>1253</v>
      </c>
      <c r="B1257" s="10" t="s">
        <v>3596</v>
      </c>
      <c r="C1257" s="10" t="s">
        <v>3597</v>
      </c>
      <c r="D1257" s="11" t="n">
        <v>0.00295532407407407</v>
      </c>
      <c r="E1257" s="18" t="n">
        <f aca="false">ROUND((D1257-$D$5)*86400,2)</f>
        <v>30.31</v>
      </c>
      <c r="F1257" s="12" t="n">
        <v>2544</v>
      </c>
      <c r="G1257" s="11" t="str">
        <f aca="false">IF(INDEX(選手一覧!$D$7:$D$2738,$F1257)="","",INDEX(選手一覧!$D$7:$D$2738,$F1257))</f>
        <v/>
      </c>
      <c r="H1257" s="12" t="str">
        <f aca="false">IF(INDEX(選手一覧!$E$7:$E$2738,$F1257)="","",INDEX(選手一覧!$E$7:$E$2738,$F1257))</f>
        <v/>
      </c>
      <c r="I1257" s="11" t="str">
        <f aca="false">IF(INDEX(選手一覧!$F$7:$F$2738,$F1257)="","",INDEX(選手一覧!$F$7:$F$2738,$F1257))</f>
        <v/>
      </c>
      <c r="J1257" s="12" t="str">
        <f aca="false">IF(INDEX(選手一覧!$G$7:$G$2738,$F1257)="","",INDEX(選手一覧!$G$7:$G$2738,$F1257))</f>
        <v/>
      </c>
    </row>
    <row r="1258" customFormat="false" ht="15" hidden="false" customHeight="false" outlineLevel="0" collapsed="false">
      <c r="A1258" s="12" t="n">
        <v>1254</v>
      </c>
      <c r="B1258" s="10" t="s">
        <v>820</v>
      </c>
      <c r="C1258" s="10" t="s">
        <v>821</v>
      </c>
      <c r="D1258" s="11" t="n">
        <v>0.00295532407407407</v>
      </c>
      <c r="E1258" s="18" t="n">
        <f aca="false">ROUND((D1258-$D$5)*86400,2)</f>
        <v>30.31</v>
      </c>
      <c r="F1258" s="12" t="n">
        <v>535</v>
      </c>
      <c r="G1258" s="11" t="str">
        <f aca="false">IF(INDEX(選手一覧!$D$7:$D$2738,$F1258)="","",INDEX(選手一覧!$D$7:$D$2738,$F1258))</f>
        <v/>
      </c>
      <c r="H1258" s="12" t="str">
        <f aca="false">IF(INDEX(選手一覧!$E$7:$E$2738,$F1258)="","",INDEX(選手一覧!$E$7:$E$2738,$F1258))</f>
        <v/>
      </c>
      <c r="I1258" s="11" t="n">
        <f aca="false">IF(INDEX(選手一覧!$F$7:$F$2738,$F1258)="","",INDEX(選手一覧!$F$7:$F$2738,$F1258))</f>
        <v>0.00688159722222222</v>
      </c>
      <c r="J1258" s="12" t="n">
        <f aca="false">IF(INDEX(選手一覧!$G$7:$G$2738,$F1258)="","",INDEX(選手一覧!$G$7:$G$2738,$F1258))</f>
        <v>224</v>
      </c>
    </row>
    <row r="1259" customFormat="false" ht="15" hidden="false" customHeight="false" outlineLevel="0" collapsed="false">
      <c r="A1259" s="12" t="n">
        <v>1255</v>
      </c>
      <c r="B1259" s="10" t="s">
        <v>3601</v>
      </c>
      <c r="C1259" s="10" t="s">
        <v>614</v>
      </c>
      <c r="D1259" s="11" t="n">
        <v>0.00295555555555556</v>
      </c>
      <c r="E1259" s="18" t="n">
        <f aca="false">ROUND((D1259-$D$5)*86400,2)</f>
        <v>30.33</v>
      </c>
      <c r="F1259" s="12" t="n">
        <v>2547</v>
      </c>
      <c r="G1259" s="11" t="str">
        <f aca="false">IF(INDEX(選手一覧!$D$7:$D$2738,$F1259)="","",INDEX(選手一覧!$D$7:$D$2738,$F1259))</f>
        <v/>
      </c>
      <c r="H1259" s="12" t="str">
        <f aca="false">IF(INDEX(選手一覧!$E$7:$E$2738,$F1259)="","",INDEX(選手一覧!$E$7:$E$2738,$F1259))</f>
        <v/>
      </c>
      <c r="I1259" s="11" t="str">
        <f aca="false">IF(INDEX(選手一覧!$F$7:$F$2738,$F1259)="","",INDEX(選手一覧!$F$7:$F$2738,$F1259))</f>
        <v/>
      </c>
      <c r="J1259" s="12" t="str">
        <f aca="false">IF(INDEX(選手一覧!$G$7:$G$2738,$F1259)="","",INDEX(選手一覧!$G$7:$G$2738,$F1259))</f>
        <v/>
      </c>
    </row>
    <row r="1260" customFormat="false" ht="15" hidden="false" customHeight="false" outlineLevel="0" collapsed="false">
      <c r="A1260" s="12" t="n">
        <v>1256</v>
      </c>
      <c r="B1260" s="10" t="s">
        <v>3604</v>
      </c>
      <c r="C1260" s="10" t="s">
        <v>2079</v>
      </c>
      <c r="D1260" s="11" t="n">
        <v>0.0029556712962963</v>
      </c>
      <c r="E1260" s="18" t="n">
        <f aca="false">ROUND((D1260-$D$5)*86400,2)</f>
        <v>30.34</v>
      </c>
      <c r="F1260" s="12" t="n">
        <v>2550</v>
      </c>
      <c r="G1260" s="11" t="str">
        <f aca="false">IF(INDEX(選手一覧!$D$7:$D$2738,$F1260)="","",INDEX(選手一覧!$D$7:$D$2738,$F1260))</f>
        <v/>
      </c>
      <c r="H1260" s="12" t="str">
        <f aca="false">IF(INDEX(選手一覧!$E$7:$E$2738,$F1260)="","",INDEX(選手一覧!$E$7:$E$2738,$F1260))</f>
        <v/>
      </c>
      <c r="I1260" s="11" t="str">
        <f aca="false">IF(INDEX(選手一覧!$F$7:$F$2738,$F1260)="","",INDEX(選手一覧!$F$7:$F$2738,$F1260))</f>
        <v/>
      </c>
      <c r="J1260" s="12" t="str">
        <f aca="false">IF(INDEX(選手一覧!$G$7:$G$2738,$F1260)="","",INDEX(選手一覧!$G$7:$G$2738,$F1260))</f>
        <v/>
      </c>
    </row>
    <row r="1261" customFormat="false" ht="15" hidden="false" customHeight="false" outlineLevel="0" collapsed="false">
      <c r="A1261" s="12" t="n">
        <v>1257</v>
      </c>
      <c r="B1261" s="10" t="s">
        <v>2786</v>
      </c>
      <c r="C1261" s="10" t="s">
        <v>2787</v>
      </c>
      <c r="D1261" s="11" t="n">
        <v>0.00295590277777778</v>
      </c>
      <c r="E1261" s="18" t="n">
        <f aca="false">ROUND((D1261-$D$5)*86400,2)</f>
        <v>30.36</v>
      </c>
      <c r="F1261" s="12" t="n">
        <v>1950</v>
      </c>
      <c r="G1261" s="11" t="str">
        <f aca="false">IF(INDEX(選手一覧!$D$7:$D$2738,$F1261)="","",INDEX(選手一覧!$D$7:$D$2738,$F1261))</f>
        <v/>
      </c>
      <c r="H1261" s="12" t="str">
        <f aca="false">IF(INDEX(選手一覧!$E$7:$E$2738,$F1261)="","",INDEX(選手一覧!$E$7:$E$2738,$F1261))</f>
        <v/>
      </c>
      <c r="I1261" s="11" t="n">
        <f aca="false">IF(INDEX(選手一覧!$F$7:$F$2738,$F1261)="","",INDEX(選手一覧!$F$7:$F$2738,$F1261))</f>
        <v>0.00753773148148148</v>
      </c>
      <c r="J1261" s="12" t="n">
        <f aca="false">IF(INDEX(選手一覧!$G$7:$G$2738,$F1261)="","",INDEX(選手一覧!$G$7:$G$2738,$F1261))</f>
        <v>942</v>
      </c>
    </row>
    <row r="1262" customFormat="false" ht="15" hidden="false" customHeight="false" outlineLevel="0" collapsed="false">
      <c r="A1262" s="12" t="n">
        <v>1258</v>
      </c>
      <c r="B1262" s="10" t="s">
        <v>2899</v>
      </c>
      <c r="C1262" s="10" t="s">
        <v>422</v>
      </c>
      <c r="D1262" s="11" t="n">
        <v>0.00295613425925926</v>
      </c>
      <c r="E1262" s="18" t="n">
        <f aca="false">ROUND((D1262-$D$5)*86400,2)</f>
        <v>30.38</v>
      </c>
      <c r="F1262" s="12" t="n">
        <v>2034</v>
      </c>
      <c r="G1262" s="11" t="n">
        <f aca="false">IF(INDEX(選手一覧!$D$7:$D$2738,$F1262)="","",INDEX(選手一覧!$D$7:$D$2738,$F1262))</f>
        <v>0.0109427083333333</v>
      </c>
      <c r="H1262" s="12" t="n">
        <f aca="false">IF(INDEX(選手一覧!$E$7:$E$2738,$F1262)="","",INDEX(選手一覧!$E$7:$E$2738,$F1262))</f>
        <v>987</v>
      </c>
      <c r="I1262" s="11" t="str">
        <f aca="false">IF(INDEX(選手一覧!$F$7:$F$2738,$F1262)="","",INDEX(選手一覧!$F$7:$F$2738,$F1262))</f>
        <v/>
      </c>
      <c r="J1262" s="12" t="str">
        <f aca="false">IF(INDEX(選手一覧!$G$7:$G$2738,$F1262)="","",INDEX(選手一覧!$G$7:$G$2738,$F1262))</f>
        <v/>
      </c>
    </row>
    <row r="1263" customFormat="false" ht="15" hidden="false" customHeight="false" outlineLevel="0" collapsed="false">
      <c r="A1263" s="12" t="n">
        <v>1259</v>
      </c>
      <c r="B1263" s="10" t="s">
        <v>1461</v>
      </c>
      <c r="C1263" s="10" t="s">
        <v>724</v>
      </c>
      <c r="D1263" s="11" t="n">
        <v>0.00295694444444444</v>
      </c>
      <c r="E1263" s="18" t="n">
        <f aca="false">ROUND((D1263-$D$5)*86400,2)</f>
        <v>30.45</v>
      </c>
      <c r="F1263" s="12" t="n">
        <v>1002</v>
      </c>
      <c r="G1263" s="11" t="str">
        <f aca="false">IF(INDEX(選手一覧!$D$7:$D$2738,$F1263)="","",INDEX(選手一覧!$D$7:$D$2738,$F1263))</f>
        <v/>
      </c>
      <c r="H1263" s="12" t="str">
        <f aca="false">IF(INDEX(選手一覧!$E$7:$E$2738,$F1263)="","",INDEX(選手一覧!$E$7:$E$2738,$F1263))</f>
        <v/>
      </c>
      <c r="I1263" s="11" t="n">
        <f aca="false">IF(INDEX(選手一覧!$F$7:$F$2738,$F1263)="","",INDEX(選手一覧!$F$7:$F$2738,$F1263))</f>
        <v>0.00709849537037037</v>
      </c>
      <c r="J1263" s="12" t="n">
        <f aca="false">IF(INDEX(選手一覧!$G$7:$G$2738,$F1263)="","",INDEX(選手一覧!$G$7:$G$2738,$F1263))</f>
        <v>449</v>
      </c>
    </row>
    <row r="1264" customFormat="false" ht="15" hidden="false" customHeight="false" outlineLevel="0" collapsed="false">
      <c r="A1264" s="12" t="n">
        <v>1260</v>
      </c>
      <c r="B1264" s="10" t="s">
        <v>3614</v>
      </c>
      <c r="C1264" s="10" t="s">
        <v>748</v>
      </c>
      <c r="D1264" s="11" t="n">
        <v>0.00295706018518519</v>
      </c>
      <c r="E1264" s="18" t="n">
        <f aca="false">ROUND((D1264-$D$5)*86400,2)</f>
        <v>30.46</v>
      </c>
      <c r="F1264" s="12" t="n">
        <v>2558</v>
      </c>
      <c r="G1264" s="11" t="str">
        <f aca="false">IF(INDEX(選手一覧!$D$7:$D$2738,$F1264)="","",INDEX(選手一覧!$D$7:$D$2738,$F1264))</f>
        <v/>
      </c>
      <c r="H1264" s="12" t="str">
        <f aca="false">IF(INDEX(選手一覧!$E$7:$E$2738,$F1264)="","",INDEX(選手一覧!$E$7:$E$2738,$F1264))</f>
        <v/>
      </c>
      <c r="I1264" s="11" t="str">
        <f aca="false">IF(INDEX(選手一覧!$F$7:$F$2738,$F1264)="","",INDEX(選手一覧!$F$7:$F$2738,$F1264))</f>
        <v/>
      </c>
      <c r="J1264" s="12" t="str">
        <f aca="false">IF(INDEX(選手一覧!$G$7:$G$2738,$F1264)="","",INDEX(選手一覧!$G$7:$G$2738,$F1264))</f>
        <v/>
      </c>
    </row>
    <row r="1265" customFormat="false" ht="15" hidden="false" customHeight="false" outlineLevel="0" collapsed="false">
      <c r="A1265" s="12" t="n">
        <v>1261</v>
      </c>
      <c r="B1265" s="10" t="s">
        <v>3617</v>
      </c>
      <c r="C1265" s="10" t="s">
        <v>744</v>
      </c>
      <c r="D1265" s="11" t="n">
        <v>0.00295787037037037</v>
      </c>
      <c r="E1265" s="18" t="n">
        <f aca="false">ROUND((D1265-$D$5)*86400,2)</f>
        <v>30.53</v>
      </c>
      <c r="F1265" s="12" t="n">
        <v>2561</v>
      </c>
      <c r="G1265" s="11" t="str">
        <f aca="false">IF(INDEX(選手一覧!$D$7:$D$2738,$F1265)="","",INDEX(選手一覧!$D$7:$D$2738,$F1265))</f>
        <v/>
      </c>
      <c r="H1265" s="12" t="str">
        <f aca="false">IF(INDEX(選手一覧!$E$7:$E$2738,$F1265)="","",INDEX(選手一覧!$E$7:$E$2738,$F1265))</f>
        <v/>
      </c>
      <c r="I1265" s="11" t="str">
        <f aca="false">IF(INDEX(選手一覧!$F$7:$F$2738,$F1265)="","",INDEX(選手一覧!$F$7:$F$2738,$F1265))</f>
        <v/>
      </c>
      <c r="J1265" s="12" t="str">
        <f aca="false">IF(INDEX(選手一覧!$G$7:$G$2738,$F1265)="","",INDEX(選手一覧!$G$7:$G$2738,$F1265))</f>
        <v/>
      </c>
    </row>
    <row r="1266" customFormat="false" ht="15" hidden="false" customHeight="false" outlineLevel="0" collapsed="false">
      <c r="A1266" s="12" t="n">
        <v>1262</v>
      </c>
      <c r="B1266" s="10" t="s">
        <v>682</v>
      </c>
      <c r="C1266" s="10" t="s">
        <v>171</v>
      </c>
      <c r="D1266" s="11" t="n">
        <v>0.00295821759259259</v>
      </c>
      <c r="E1266" s="18" t="n">
        <f aca="false">ROUND((D1266-$D$5)*86400,2)</f>
        <v>30.56</v>
      </c>
      <c r="F1266" s="12" t="n">
        <v>436</v>
      </c>
      <c r="G1266" s="11" t="n">
        <f aca="false">IF(INDEX(選手一覧!$D$7:$D$2738,$F1266)="","",INDEX(選手一覧!$D$7:$D$2738,$F1266))</f>
        <v>0.0103304398148148</v>
      </c>
      <c r="H1266" s="12" t="n">
        <f aca="false">IF(INDEX(選手一覧!$E$7:$E$2738,$F1266)="","",INDEX(選手一覧!$E$7:$E$2738,$F1266))</f>
        <v>183</v>
      </c>
      <c r="I1266" s="11" t="str">
        <f aca="false">IF(INDEX(選手一覧!$F$7:$F$2738,$F1266)="","",INDEX(選手一覧!$F$7:$F$2738,$F1266))</f>
        <v/>
      </c>
      <c r="J1266" s="12" t="str">
        <f aca="false">IF(INDEX(選手一覧!$G$7:$G$2738,$F1266)="","",INDEX(選手一覧!$G$7:$G$2738,$F1266))</f>
        <v/>
      </c>
    </row>
    <row r="1267" customFormat="false" ht="15" hidden="false" customHeight="false" outlineLevel="0" collapsed="false">
      <c r="A1267" s="12" t="n">
        <v>1263</v>
      </c>
      <c r="B1267" s="10" t="s">
        <v>3463</v>
      </c>
      <c r="C1267" s="10" t="s">
        <v>1246</v>
      </c>
      <c r="D1267" s="11" t="n">
        <v>0.00295844907407407</v>
      </c>
      <c r="E1267" s="18" t="n">
        <f aca="false">ROUND((D1267-$D$5)*86400,2)</f>
        <v>30.58</v>
      </c>
      <c r="F1267" s="12" t="n">
        <v>2441</v>
      </c>
      <c r="G1267" s="11" t="n">
        <f aca="false">IF(INDEX(選手一覧!$D$7:$D$2738,$F1267)="","",INDEX(選手一覧!$D$7:$D$2738,$F1267))</f>
        <v>0.0110520833333333</v>
      </c>
      <c r="H1267" s="12" t="n">
        <f aca="false">IF(INDEX(選手一覧!$E$7:$E$2738,$F1267)="","",INDEX(選手一覧!$E$7:$E$2738,$F1267))</f>
        <v>1201</v>
      </c>
      <c r="I1267" s="11" t="str">
        <f aca="false">IF(INDEX(選手一覧!$F$7:$F$2738,$F1267)="","",INDEX(選手一覧!$F$7:$F$2738,$F1267))</f>
        <v/>
      </c>
      <c r="J1267" s="12" t="str">
        <f aca="false">IF(INDEX(選手一覧!$G$7:$G$2738,$F1267)="","",INDEX(選手一覧!$G$7:$G$2738,$F1267))</f>
        <v/>
      </c>
    </row>
    <row r="1268" customFormat="false" ht="15" hidden="false" customHeight="false" outlineLevel="0" collapsed="false">
      <c r="A1268" s="12" t="n">
        <v>1264</v>
      </c>
      <c r="B1268" s="10" t="s">
        <v>2882</v>
      </c>
      <c r="C1268" s="10" t="s">
        <v>494</v>
      </c>
      <c r="D1268" s="11" t="n">
        <v>0.00295902777777778</v>
      </c>
      <c r="E1268" s="18" t="n">
        <f aca="false">ROUND((D1268-$D$5)*86400,2)</f>
        <v>30.63</v>
      </c>
      <c r="F1268" s="12" t="n">
        <v>2020</v>
      </c>
      <c r="G1268" s="11" t="str">
        <f aca="false">IF(INDEX(選手一覧!$D$7:$D$2738,$F1268)="","",INDEX(選手一覧!$D$7:$D$2738,$F1268))</f>
        <v/>
      </c>
      <c r="H1268" s="12" t="str">
        <f aca="false">IF(INDEX(選手一覧!$E$7:$E$2738,$F1268)="","",INDEX(選手一覧!$E$7:$E$2738,$F1268))</f>
        <v/>
      </c>
      <c r="I1268" s="11" t="n">
        <f aca="false">IF(INDEX(選手一覧!$F$7:$F$2738,$F1268)="","",INDEX(選手一覧!$F$7:$F$2738,$F1268))</f>
        <v>0.00757627314814815</v>
      </c>
      <c r="J1268" s="12" t="n">
        <f aca="false">IF(INDEX(選手一覧!$G$7:$G$2738,$F1268)="","",INDEX(選手一覧!$G$7:$G$2738,$F1268))</f>
        <v>978</v>
      </c>
    </row>
    <row r="1269" customFormat="false" ht="15" hidden="false" customHeight="false" outlineLevel="0" collapsed="false">
      <c r="A1269" s="12" t="n">
        <v>1265</v>
      </c>
      <c r="B1269" s="10" t="s">
        <v>3626</v>
      </c>
      <c r="C1269" s="10" t="s">
        <v>147</v>
      </c>
      <c r="D1269" s="11" t="n">
        <v>0.00295914351851852</v>
      </c>
      <c r="E1269" s="18" t="n">
        <f aca="false">ROUND((D1269-$D$5)*86400,2)</f>
        <v>30.64</v>
      </c>
      <c r="F1269" s="12" t="n">
        <v>2568</v>
      </c>
      <c r="G1269" s="11" t="str">
        <f aca="false">IF(INDEX(選手一覧!$D$7:$D$2738,$F1269)="","",INDEX(選手一覧!$D$7:$D$2738,$F1269))</f>
        <v/>
      </c>
      <c r="H1269" s="12" t="str">
        <f aca="false">IF(INDEX(選手一覧!$E$7:$E$2738,$F1269)="","",INDEX(選手一覧!$E$7:$E$2738,$F1269))</f>
        <v/>
      </c>
      <c r="I1269" s="11" t="str">
        <f aca="false">IF(INDEX(選手一覧!$F$7:$F$2738,$F1269)="","",INDEX(選手一覧!$F$7:$F$2738,$F1269))</f>
        <v/>
      </c>
      <c r="J1269" s="12" t="str">
        <f aca="false">IF(INDEX(選手一覧!$G$7:$G$2738,$F1269)="","",INDEX(選手一覧!$G$7:$G$2738,$F1269))</f>
        <v/>
      </c>
    </row>
    <row r="1270" customFormat="false" ht="15" hidden="false" customHeight="false" outlineLevel="0" collapsed="false">
      <c r="A1270" s="12" t="n">
        <v>1266</v>
      </c>
      <c r="B1270" s="10" t="s">
        <v>1298</v>
      </c>
      <c r="C1270" s="10" t="s">
        <v>1299</v>
      </c>
      <c r="D1270" s="11" t="n">
        <v>0.00295925925925926</v>
      </c>
      <c r="E1270" s="18" t="n">
        <f aca="false">ROUND((D1270-$D$5)*86400,2)</f>
        <v>30.65</v>
      </c>
      <c r="F1270" s="12" t="n">
        <v>884</v>
      </c>
      <c r="G1270" s="11" t="str">
        <f aca="false">IF(INDEX(選手一覧!$D$7:$D$2738,$F1270)="","",INDEX(選手一覧!$D$7:$D$2738,$F1270))</f>
        <v/>
      </c>
      <c r="H1270" s="12" t="str">
        <f aca="false">IF(INDEX(選手一覧!$E$7:$E$2738,$F1270)="","",INDEX(選手一覧!$E$7:$E$2738,$F1270))</f>
        <v/>
      </c>
      <c r="I1270" s="11" t="n">
        <f aca="false">IF(INDEX(選手一覧!$F$7:$F$2738,$F1270)="","",INDEX(選手一覧!$F$7:$F$2738,$F1270))</f>
        <v>0.00705416666666667</v>
      </c>
      <c r="J1270" s="12" t="n">
        <f aca="false">IF(INDEX(選手一覧!$G$7:$G$2738,$F1270)="","",INDEX(選手一覧!$G$7:$G$2738,$F1270))</f>
        <v>393</v>
      </c>
    </row>
    <row r="1271" customFormat="false" ht="15" hidden="false" customHeight="false" outlineLevel="0" collapsed="false">
      <c r="A1271" s="12" t="n">
        <v>1267</v>
      </c>
      <c r="B1271" s="10" t="s">
        <v>3633</v>
      </c>
      <c r="C1271" s="10" t="s">
        <v>1841</v>
      </c>
      <c r="D1271" s="11" t="n">
        <v>0.002959375</v>
      </c>
      <c r="E1271" s="18" t="n">
        <f aca="false">ROUND((D1271-$D$5)*86400,2)</f>
        <v>30.66</v>
      </c>
      <c r="F1271" s="12" t="n">
        <v>2573</v>
      </c>
      <c r="G1271" s="11" t="str">
        <f aca="false">IF(INDEX(選手一覧!$D$7:$D$2738,$F1271)="","",INDEX(選手一覧!$D$7:$D$2738,$F1271))</f>
        <v/>
      </c>
      <c r="H1271" s="12" t="str">
        <f aca="false">IF(INDEX(選手一覧!$E$7:$E$2738,$F1271)="","",INDEX(選手一覧!$E$7:$E$2738,$F1271))</f>
        <v/>
      </c>
      <c r="I1271" s="11" t="str">
        <f aca="false">IF(INDEX(選手一覧!$F$7:$F$2738,$F1271)="","",INDEX(選手一覧!$F$7:$F$2738,$F1271))</f>
        <v/>
      </c>
      <c r="J1271" s="12" t="str">
        <f aca="false">IF(INDEX(選手一覧!$G$7:$G$2738,$F1271)="","",INDEX(選手一覧!$G$7:$G$2738,$F1271))</f>
        <v/>
      </c>
    </row>
    <row r="1272" customFormat="false" ht="15" hidden="false" customHeight="false" outlineLevel="0" collapsed="false">
      <c r="A1272" s="12" t="n">
        <v>1268</v>
      </c>
      <c r="B1272" s="10" t="s">
        <v>3635</v>
      </c>
      <c r="C1272" s="10" t="s">
        <v>3636</v>
      </c>
      <c r="D1272" s="11" t="n">
        <v>0.00295949074074074</v>
      </c>
      <c r="E1272" s="18" t="n">
        <f aca="false">ROUND((D1272-$D$5)*86400,2)</f>
        <v>30.67</v>
      </c>
      <c r="F1272" s="12" t="n">
        <v>2575</v>
      </c>
      <c r="G1272" s="11" t="str">
        <f aca="false">IF(INDEX(選手一覧!$D$7:$D$2738,$F1272)="","",INDEX(選手一覧!$D$7:$D$2738,$F1272))</f>
        <v/>
      </c>
      <c r="H1272" s="12" t="str">
        <f aca="false">IF(INDEX(選手一覧!$E$7:$E$2738,$F1272)="","",INDEX(選手一覧!$E$7:$E$2738,$F1272))</f>
        <v/>
      </c>
      <c r="I1272" s="11" t="str">
        <f aca="false">IF(INDEX(選手一覧!$F$7:$F$2738,$F1272)="","",INDEX(選手一覧!$F$7:$F$2738,$F1272))</f>
        <v/>
      </c>
      <c r="J1272" s="12" t="str">
        <f aca="false">IF(INDEX(選手一覧!$G$7:$G$2738,$F1272)="","",INDEX(選手一覧!$G$7:$G$2738,$F1272))</f>
        <v/>
      </c>
    </row>
    <row r="1273" customFormat="false" ht="15" hidden="false" customHeight="false" outlineLevel="0" collapsed="false">
      <c r="A1273" s="12" t="n">
        <v>1269</v>
      </c>
      <c r="B1273" s="10" t="s">
        <v>3639</v>
      </c>
      <c r="C1273" s="10" t="s">
        <v>2147</v>
      </c>
      <c r="D1273" s="11" t="n">
        <v>0.00295972222222222</v>
      </c>
      <c r="E1273" s="18" t="n">
        <f aca="false">ROUND((D1273-$D$5)*86400,2)</f>
        <v>30.69</v>
      </c>
      <c r="F1273" s="12" t="n">
        <v>2578</v>
      </c>
      <c r="G1273" s="11" t="str">
        <f aca="false">IF(INDEX(選手一覧!$D$7:$D$2738,$F1273)="","",INDEX(選手一覧!$D$7:$D$2738,$F1273))</f>
        <v/>
      </c>
      <c r="H1273" s="12" t="str">
        <f aca="false">IF(INDEX(選手一覧!$E$7:$E$2738,$F1273)="","",INDEX(選手一覧!$E$7:$E$2738,$F1273))</f>
        <v/>
      </c>
      <c r="I1273" s="11" t="str">
        <f aca="false">IF(INDEX(選手一覧!$F$7:$F$2738,$F1273)="","",INDEX(選手一覧!$F$7:$F$2738,$F1273))</f>
        <v/>
      </c>
      <c r="J1273" s="12" t="str">
        <f aca="false">IF(INDEX(選手一覧!$G$7:$G$2738,$F1273)="","",INDEX(選手一覧!$G$7:$G$2738,$F1273))</f>
        <v/>
      </c>
    </row>
    <row r="1274" customFormat="false" ht="15" hidden="false" customHeight="false" outlineLevel="0" collapsed="false">
      <c r="A1274" s="12" t="n">
        <v>1270</v>
      </c>
      <c r="B1274" s="10" t="s">
        <v>2872</v>
      </c>
      <c r="C1274" s="10" t="s">
        <v>1383</v>
      </c>
      <c r="D1274" s="11" t="n">
        <v>0.00295972222222222</v>
      </c>
      <c r="E1274" s="18" t="n">
        <f aca="false">ROUND((D1274-$D$5)*86400,2)</f>
        <v>30.69</v>
      </c>
      <c r="F1274" s="12" t="n">
        <v>2011</v>
      </c>
      <c r="G1274" s="11" t="n">
        <f aca="false">IF(INDEX(選手一覧!$D$7:$D$2738,$F1274)="","",INDEX(選手一覧!$D$7:$D$2738,$F1274))</f>
        <v>0.0109337962962963</v>
      </c>
      <c r="H1274" s="12" t="n">
        <f aca="false">IF(INDEX(選手一覧!$E$7:$E$2738,$F1274)="","",INDEX(選手一覧!$E$7:$E$2738,$F1274))</f>
        <v>974</v>
      </c>
      <c r="I1274" s="11" t="str">
        <f aca="false">IF(INDEX(選手一覧!$F$7:$F$2738,$F1274)="","",INDEX(選手一覧!$F$7:$F$2738,$F1274))</f>
        <v/>
      </c>
      <c r="J1274" s="12" t="str">
        <f aca="false">IF(INDEX(選手一覧!$G$7:$G$2738,$F1274)="","",INDEX(選手一覧!$G$7:$G$2738,$F1274))</f>
        <v/>
      </c>
    </row>
    <row r="1275" customFormat="false" ht="15" hidden="false" customHeight="false" outlineLevel="0" collapsed="false">
      <c r="A1275" s="12" t="n">
        <v>1271</v>
      </c>
      <c r="B1275" s="10" t="s">
        <v>495</v>
      </c>
      <c r="C1275" s="10" t="s">
        <v>185</v>
      </c>
      <c r="D1275" s="11" t="n">
        <v>0.00295983796296296</v>
      </c>
      <c r="E1275" s="18" t="n">
        <f aca="false">ROUND((D1275-$D$5)*86400,2)</f>
        <v>30.7</v>
      </c>
      <c r="F1275" s="12" t="n">
        <v>307</v>
      </c>
      <c r="G1275" s="11" t="n">
        <f aca="false">IF(INDEX(選手一覧!$D$7:$D$2738,$F1275)="","",INDEX(選手一覧!$D$7:$D$2738,$F1275))</f>
        <v>0.0107236111111111</v>
      </c>
      <c r="H1275" s="12" t="n">
        <f aca="false">IF(INDEX(選手一覧!$E$7:$E$2738,$F1275)="","",INDEX(選手一覧!$E$7:$E$2738,$F1275))</f>
        <v>620</v>
      </c>
      <c r="I1275" s="11" t="n">
        <f aca="false">IF(INDEX(選手一覧!$F$7:$F$2738,$F1275)="","",INDEX(選手一覧!$F$7:$F$2738,$F1275))</f>
        <v>0.00674884259259259</v>
      </c>
      <c r="J1275" s="12" t="n">
        <f aca="false">IF(INDEX(選手一覧!$G$7:$G$2738,$F1275)="","",INDEX(選手一覧!$G$7:$G$2738,$F1275))</f>
        <v>127</v>
      </c>
    </row>
    <row r="1276" customFormat="false" ht="15" hidden="false" customHeight="false" outlineLevel="0" collapsed="false">
      <c r="A1276" s="12" t="n">
        <v>1272</v>
      </c>
      <c r="B1276" s="10" t="s">
        <v>3645</v>
      </c>
      <c r="C1276" s="10" t="s">
        <v>2017</v>
      </c>
      <c r="D1276" s="11" t="n">
        <v>0.00296006944444444</v>
      </c>
      <c r="E1276" s="18" t="n">
        <f aca="false">ROUND((D1276-$D$5)*86400,2)</f>
        <v>30.72</v>
      </c>
      <c r="F1276" s="12" t="n">
        <v>2583</v>
      </c>
      <c r="G1276" s="11" t="str">
        <f aca="false">IF(INDEX(選手一覧!$D$7:$D$2738,$F1276)="","",INDEX(選手一覧!$D$7:$D$2738,$F1276))</f>
        <v/>
      </c>
      <c r="H1276" s="12" t="str">
        <f aca="false">IF(INDEX(選手一覧!$E$7:$E$2738,$F1276)="","",INDEX(選手一覧!$E$7:$E$2738,$F1276))</f>
        <v/>
      </c>
      <c r="I1276" s="11" t="str">
        <f aca="false">IF(INDEX(選手一覧!$F$7:$F$2738,$F1276)="","",INDEX(選手一覧!$F$7:$F$2738,$F1276))</f>
        <v/>
      </c>
      <c r="J1276" s="12" t="str">
        <f aca="false">IF(INDEX(選手一覧!$G$7:$G$2738,$F1276)="","",INDEX(選手一覧!$G$7:$G$2738,$F1276))</f>
        <v/>
      </c>
    </row>
    <row r="1277" customFormat="false" ht="15" hidden="false" customHeight="false" outlineLevel="0" collapsed="false">
      <c r="A1277" s="12" t="n">
        <v>1273</v>
      </c>
      <c r="B1277" s="10" t="s">
        <v>661</v>
      </c>
      <c r="C1277" s="10" t="s">
        <v>570</v>
      </c>
      <c r="D1277" s="11" t="n">
        <v>0.00296030092592593</v>
      </c>
      <c r="E1277" s="18" t="n">
        <f aca="false">ROUND((D1277-$D$5)*86400,2)</f>
        <v>30.74</v>
      </c>
      <c r="F1277" s="12" t="n">
        <v>420</v>
      </c>
      <c r="G1277" s="11" t="n">
        <f aca="false">IF(INDEX(選手一覧!$D$7:$D$2738,$F1277)="","",INDEX(選手一覧!$D$7:$D$2738,$F1277))</f>
        <v>0.0103259259259259</v>
      </c>
      <c r="H1277" s="12" t="n">
        <f aca="false">IF(INDEX(選手一覧!$E$7:$E$2738,$F1277)="","",INDEX(選手一覧!$E$7:$E$2738,$F1277))</f>
        <v>177</v>
      </c>
      <c r="I1277" s="11" t="str">
        <f aca="false">IF(INDEX(選手一覧!$F$7:$F$2738,$F1277)="","",INDEX(選手一覧!$F$7:$F$2738,$F1277))</f>
        <v/>
      </c>
      <c r="J1277" s="12" t="str">
        <f aca="false">IF(INDEX(選手一覧!$G$7:$G$2738,$F1277)="","",INDEX(選手一覧!$G$7:$G$2738,$F1277))</f>
        <v/>
      </c>
    </row>
    <row r="1278" customFormat="false" ht="15" hidden="false" customHeight="false" outlineLevel="0" collapsed="false">
      <c r="A1278" s="12" t="n">
        <v>1274</v>
      </c>
      <c r="B1278" s="10" t="s">
        <v>3199</v>
      </c>
      <c r="C1278" s="10" t="s">
        <v>3200</v>
      </c>
      <c r="D1278" s="11" t="n">
        <v>0.00296041666666667</v>
      </c>
      <c r="E1278" s="18" t="n">
        <f aca="false">ROUND((D1278-$D$5)*86400,2)</f>
        <v>30.75</v>
      </c>
      <c r="F1278" s="12" t="n">
        <v>2250</v>
      </c>
      <c r="G1278" s="11" t="n">
        <f aca="false">IF(INDEX(選手一覧!$D$7:$D$2738,$F1278)="","",INDEX(選手一覧!$D$7:$D$2738,$F1278))</f>
        <v>0.0110052083333333</v>
      </c>
      <c r="H1278" s="12" t="n">
        <f aca="false">IF(INDEX(選手一覧!$E$7:$E$2738,$F1278)="","",INDEX(選手一覧!$E$7:$E$2738,$F1278))</f>
        <v>1102</v>
      </c>
      <c r="I1278" s="11" t="str">
        <f aca="false">IF(INDEX(選手一覧!$F$7:$F$2738,$F1278)="","",INDEX(選手一覧!$F$7:$F$2738,$F1278))</f>
        <v/>
      </c>
      <c r="J1278" s="12" t="str">
        <f aca="false">IF(INDEX(選手一覧!$G$7:$G$2738,$F1278)="","",INDEX(選手一覧!$G$7:$G$2738,$F1278))</f>
        <v/>
      </c>
    </row>
    <row r="1279" customFormat="false" ht="15" hidden="false" customHeight="false" outlineLevel="0" collapsed="false">
      <c r="A1279" s="12" t="n">
        <v>1275</v>
      </c>
      <c r="B1279" s="10" t="s">
        <v>3654</v>
      </c>
      <c r="C1279" s="10" t="s">
        <v>2685</v>
      </c>
      <c r="D1279" s="11" t="n">
        <v>0.00296053240740741</v>
      </c>
      <c r="E1279" s="18" t="n">
        <f aca="false">ROUND((D1279-$D$5)*86400,2)</f>
        <v>30.76</v>
      </c>
      <c r="F1279" s="12" t="n">
        <v>2590</v>
      </c>
      <c r="G1279" s="11" t="str">
        <f aca="false">IF(INDEX(選手一覧!$D$7:$D$2738,$F1279)="","",INDEX(選手一覧!$D$7:$D$2738,$F1279))</f>
        <v/>
      </c>
      <c r="H1279" s="12" t="str">
        <f aca="false">IF(INDEX(選手一覧!$E$7:$E$2738,$F1279)="","",INDEX(選手一覧!$E$7:$E$2738,$F1279))</f>
        <v/>
      </c>
      <c r="I1279" s="11" t="str">
        <f aca="false">IF(INDEX(選手一覧!$F$7:$F$2738,$F1279)="","",INDEX(選手一覧!$F$7:$F$2738,$F1279))</f>
        <v/>
      </c>
      <c r="J1279" s="12" t="str">
        <f aca="false">IF(INDEX(選手一覧!$G$7:$G$2738,$F1279)="","",INDEX(選手一覧!$G$7:$G$2738,$F1279))</f>
        <v/>
      </c>
    </row>
    <row r="1280" customFormat="false" ht="15" hidden="false" customHeight="false" outlineLevel="0" collapsed="false">
      <c r="A1280" s="12" t="n">
        <v>1276</v>
      </c>
      <c r="B1280" s="10" t="s">
        <v>3656</v>
      </c>
      <c r="C1280" s="10" t="s">
        <v>298</v>
      </c>
      <c r="D1280" s="11" t="n">
        <v>0.00296122685185185</v>
      </c>
      <c r="E1280" s="18" t="n">
        <f aca="false">ROUND((D1280-$D$5)*86400,2)</f>
        <v>30.82</v>
      </c>
      <c r="F1280" s="12" t="n">
        <v>2592</v>
      </c>
      <c r="G1280" s="11" t="str">
        <f aca="false">IF(INDEX(選手一覧!$D$7:$D$2738,$F1280)="","",INDEX(選手一覧!$D$7:$D$2738,$F1280))</f>
        <v/>
      </c>
      <c r="H1280" s="12" t="str">
        <f aca="false">IF(INDEX(選手一覧!$E$7:$E$2738,$F1280)="","",INDEX(選手一覧!$E$7:$E$2738,$F1280))</f>
        <v/>
      </c>
      <c r="I1280" s="11" t="str">
        <f aca="false">IF(INDEX(選手一覧!$F$7:$F$2738,$F1280)="","",INDEX(選手一覧!$F$7:$F$2738,$F1280))</f>
        <v/>
      </c>
      <c r="J1280" s="12" t="str">
        <f aca="false">IF(INDEX(選手一覧!$G$7:$G$2738,$F1280)="","",INDEX(選手一覧!$G$7:$G$2738,$F1280))</f>
        <v/>
      </c>
    </row>
    <row r="1281" customFormat="false" ht="15" hidden="false" customHeight="false" outlineLevel="0" collapsed="false">
      <c r="A1281" s="12" t="n">
        <v>1277</v>
      </c>
      <c r="B1281" s="10" t="s">
        <v>779</v>
      </c>
      <c r="C1281" s="10" t="s">
        <v>171</v>
      </c>
      <c r="D1281" s="11" t="n">
        <v>0.00296122685185185</v>
      </c>
      <c r="E1281" s="18" t="n">
        <f aca="false">ROUND((D1281-$D$5)*86400,2)</f>
        <v>30.82</v>
      </c>
      <c r="F1281" s="12" t="n">
        <v>506</v>
      </c>
      <c r="G1281" s="11" t="n">
        <f aca="false">IF(INDEX(選手一覧!$D$7:$D$2738,$F1281)="","",INDEX(選手一覧!$D$7:$D$2738,$F1281))</f>
        <v>0.0103578703703704</v>
      </c>
      <c r="H1281" s="12" t="n">
        <f aca="false">IF(INDEX(選手一覧!$E$7:$E$2738,$F1281)="","",INDEX(選手一覧!$E$7:$E$2738,$F1281))</f>
        <v>212</v>
      </c>
      <c r="I1281" s="11" t="str">
        <f aca="false">IF(INDEX(選手一覧!$F$7:$F$2738,$F1281)="","",INDEX(選手一覧!$F$7:$F$2738,$F1281))</f>
        <v/>
      </c>
      <c r="J1281" s="12" t="str">
        <f aca="false">IF(INDEX(選手一覧!$G$7:$G$2738,$F1281)="","",INDEX(選手一覧!$G$7:$G$2738,$F1281))</f>
        <v/>
      </c>
    </row>
    <row r="1282" customFormat="false" ht="15" hidden="false" customHeight="false" outlineLevel="0" collapsed="false">
      <c r="A1282" s="12" t="n">
        <v>1278</v>
      </c>
      <c r="B1282" s="10" t="s">
        <v>1492</v>
      </c>
      <c r="C1282" s="10" t="s">
        <v>603</v>
      </c>
      <c r="D1282" s="11" t="n">
        <v>0.00296215277777778</v>
      </c>
      <c r="E1282" s="18" t="n">
        <f aca="false">ROUND((D1282-$D$5)*86400,2)</f>
        <v>30.9</v>
      </c>
      <c r="F1282" s="12" t="n">
        <v>1025</v>
      </c>
      <c r="G1282" s="11" t="n">
        <f aca="false">IF(INDEX(選手一覧!$D$7:$D$2738,$F1282)="","",INDEX(選手一覧!$D$7:$D$2738,$F1282))</f>
        <v>0.0107622685185185</v>
      </c>
      <c r="H1282" s="12" t="n">
        <f aca="false">IF(INDEX(選手一覧!$E$7:$E$2738,$F1282)="","",INDEX(選手一覧!$E$7:$E$2738,$F1282))</f>
        <v>684</v>
      </c>
      <c r="I1282" s="11" t="n">
        <f aca="false">IF(INDEX(選手一覧!$F$7:$F$2738,$F1282)="","",INDEX(選手一覧!$F$7:$F$2738,$F1282))</f>
        <v>0.00711643518518519</v>
      </c>
      <c r="J1282" s="12" t="n">
        <f aca="false">IF(INDEX(選手一覧!$G$7:$G$2738,$F1282)="","",INDEX(選手一覧!$G$7:$G$2738,$F1282))</f>
        <v>460</v>
      </c>
    </row>
    <row r="1283" customFormat="false" ht="15" hidden="false" customHeight="false" outlineLevel="0" collapsed="false">
      <c r="A1283" s="12" t="n">
        <v>1279</v>
      </c>
      <c r="B1283" s="10" t="s">
        <v>3662</v>
      </c>
      <c r="C1283" s="10" t="s">
        <v>300</v>
      </c>
      <c r="D1283" s="11" t="n">
        <v>0.00296238425925926</v>
      </c>
      <c r="E1283" s="18" t="n">
        <f aca="false">ROUND((D1283-$D$5)*86400,2)</f>
        <v>30.92</v>
      </c>
      <c r="F1283" s="12" t="n">
        <v>2596</v>
      </c>
      <c r="G1283" s="11" t="str">
        <f aca="false">IF(INDEX(選手一覧!$D$7:$D$2738,$F1283)="","",INDEX(選手一覧!$D$7:$D$2738,$F1283))</f>
        <v/>
      </c>
      <c r="H1283" s="12" t="str">
        <f aca="false">IF(INDEX(選手一覧!$E$7:$E$2738,$F1283)="","",INDEX(選手一覧!$E$7:$E$2738,$F1283))</f>
        <v/>
      </c>
      <c r="I1283" s="11" t="str">
        <f aca="false">IF(INDEX(選手一覧!$F$7:$F$2738,$F1283)="","",INDEX(選手一覧!$F$7:$F$2738,$F1283))</f>
        <v/>
      </c>
      <c r="J1283" s="12" t="str">
        <f aca="false">IF(INDEX(選手一覧!$G$7:$G$2738,$F1283)="","",INDEX(選手一覧!$G$7:$G$2738,$F1283))</f>
        <v/>
      </c>
    </row>
    <row r="1284" customFormat="false" ht="15" hidden="false" customHeight="false" outlineLevel="0" collapsed="false">
      <c r="A1284" s="12" t="n">
        <v>1280</v>
      </c>
      <c r="B1284" s="10" t="s">
        <v>3443</v>
      </c>
      <c r="C1284" s="10" t="s">
        <v>1675</v>
      </c>
      <c r="D1284" s="11" t="n">
        <v>0.00296238425925926</v>
      </c>
      <c r="E1284" s="18" t="n">
        <f aca="false">ROUND((D1284-$D$5)*86400,2)</f>
        <v>30.92</v>
      </c>
      <c r="F1284" s="12" t="n">
        <v>2426</v>
      </c>
      <c r="G1284" s="11" t="n">
        <f aca="false">IF(INDEX(選手一覧!$D$7:$D$2738,$F1284)="","",INDEX(選手一覧!$D$7:$D$2738,$F1284))</f>
        <v>0.0110465277777778</v>
      </c>
      <c r="H1284" s="12" t="n">
        <f aca="false">IF(INDEX(選手一覧!$E$7:$E$2738,$F1284)="","",INDEX(選手一覧!$E$7:$E$2738,$F1284))</f>
        <v>1193</v>
      </c>
      <c r="I1284" s="11" t="str">
        <f aca="false">IF(INDEX(選手一覧!$F$7:$F$2738,$F1284)="","",INDEX(選手一覧!$F$7:$F$2738,$F1284))</f>
        <v/>
      </c>
      <c r="J1284" s="12" t="str">
        <f aca="false">IF(INDEX(選手一覧!$G$7:$G$2738,$F1284)="","",INDEX(選手一覧!$G$7:$G$2738,$F1284))</f>
        <v/>
      </c>
    </row>
    <row r="1285" customFormat="false" ht="15" hidden="false" customHeight="false" outlineLevel="0" collapsed="false">
      <c r="A1285" s="12" t="n">
        <v>1281</v>
      </c>
      <c r="B1285" s="10" t="s">
        <v>3668</v>
      </c>
      <c r="C1285" s="10" t="s">
        <v>126</v>
      </c>
      <c r="D1285" s="11" t="n">
        <v>0.0029625</v>
      </c>
      <c r="E1285" s="18" t="n">
        <f aca="false">ROUND((D1285-$D$5)*86400,2)</f>
        <v>30.93</v>
      </c>
      <c r="F1285" s="12" t="n">
        <v>2600</v>
      </c>
      <c r="G1285" s="11" t="str">
        <f aca="false">IF(INDEX(選手一覧!$D$7:$D$2738,$F1285)="","",INDEX(選手一覧!$D$7:$D$2738,$F1285))</f>
        <v/>
      </c>
      <c r="H1285" s="12" t="str">
        <f aca="false">IF(INDEX(選手一覧!$E$7:$E$2738,$F1285)="","",INDEX(選手一覧!$E$7:$E$2738,$F1285))</f>
        <v/>
      </c>
      <c r="I1285" s="11" t="str">
        <f aca="false">IF(INDEX(選手一覧!$F$7:$F$2738,$F1285)="","",INDEX(選手一覧!$F$7:$F$2738,$F1285))</f>
        <v/>
      </c>
      <c r="J1285" s="12" t="str">
        <f aca="false">IF(INDEX(選手一覧!$G$7:$G$2738,$F1285)="","",INDEX(選手一覧!$G$7:$G$2738,$F1285))</f>
        <v/>
      </c>
    </row>
    <row r="1286" customFormat="false" ht="15" hidden="false" customHeight="false" outlineLevel="0" collapsed="false">
      <c r="A1286" s="12" t="n">
        <v>1282</v>
      </c>
      <c r="B1286" s="10" t="s">
        <v>2080</v>
      </c>
      <c r="C1286" s="10" t="s">
        <v>434</v>
      </c>
      <c r="D1286" s="11" t="n">
        <v>0.00296273148148148</v>
      </c>
      <c r="E1286" s="18" t="n">
        <f aca="false">ROUND((D1286-$D$5)*86400,2)</f>
        <v>30.95</v>
      </c>
      <c r="F1286" s="12" t="n">
        <v>1437</v>
      </c>
      <c r="G1286" s="11" t="str">
        <f aca="false">IF(INDEX(選手一覧!$D$7:$D$2738,$F1286)="","",INDEX(選手一覧!$D$7:$D$2738,$F1286))</f>
        <v/>
      </c>
      <c r="H1286" s="12" t="str">
        <f aca="false">IF(INDEX(選手一覧!$E$7:$E$2738,$F1286)="","",INDEX(選手一覧!$E$7:$E$2738,$F1286))</f>
        <v/>
      </c>
      <c r="I1286" s="11" t="n">
        <f aca="false">IF(INDEX(選手一覧!$F$7:$F$2738,$F1286)="","",INDEX(選手一覧!$F$7:$F$2738,$F1286))</f>
        <v>0.00732719907407408</v>
      </c>
      <c r="J1286" s="12" t="n">
        <f aca="false">IF(INDEX(選手一覧!$G$7:$G$2738,$F1286)="","",INDEX(選手一覧!$G$7:$G$2738,$F1286))</f>
        <v>679</v>
      </c>
    </row>
    <row r="1287" customFormat="false" ht="15" hidden="false" customHeight="false" outlineLevel="0" collapsed="false">
      <c r="A1287" s="12" t="n">
        <v>1283</v>
      </c>
      <c r="B1287" s="10" t="s">
        <v>3606</v>
      </c>
      <c r="C1287" s="10" t="s">
        <v>494</v>
      </c>
      <c r="D1287" s="11" t="n">
        <v>0.00296331018518519</v>
      </c>
      <c r="E1287" s="18" t="n">
        <f aca="false">ROUND((D1287-$D$5)*86400,2)</f>
        <v>31</v>
      </c>
      <c r="F1287" s="12" t="n">
        <v>2552</v>
      </c>
      <c r="G1287" s="11" t="n">
        <f aca="false">IF(INDEX(選手一覧!$D$7:$D$2738,$F1287)="","",INDEX(選手一覧!$D$7:$D$2738,$F1287))</f>
        <v>0.0110859953703704</v>
      </c>
      <c r="H1287" s="12" t="n">
        <f aca="false">IF(INDEX(選手一覧!$E$7:$E$2738,$F1287)="","",INDEX(選手一覧!$E$7:$E$2738,$F1287))</f>
        <v>1258</v>
      </c>
      <c r="I1287" s="11" t="str">
        <f aca="false">IF(INDEX(選手一覧!$F$7:$F$2738,$F1287)="","",INDEX(選手一覧!$F$7:$F$2738,$F1287))</f>
        <v/>
      </c>
      <c r="J1287" s="12" t="str">
        <f aca="false">IF(INDEX(選手一覧!$G$7:$G$2738,$F1287)="","",INDEX(選手一覧!$G$7:$G$2738,$F1287))</f>
        <v/>
      </c>
    </row>
    <row r="1288" customFormat="false" ht="15" hidden="false" customHeight="false" outlineLevel="0" collapsed="false">
      <c r="A1288" s="12" t="n">
        <v>1284</v>
      </c>
      <c r="B1288" s="10" t="s">
        <v>3665</v>
      </c>
      <c r="C1288" s="10" t="s">
        <v>3352</v>
      </c>
      <c r="D1288" s="11" t="n">
        <v>0.00296331018518519</v>
      </c>
      <c r="E1288" s="18" t="n">
        <f aca="false">ROUND((D1288-$D$5)*86400,2)</f>
        <v>31</v>
      </c>
      <c r="F1288" s="12" t="n">
        <v>2598</v>
      </c>
      <c r="G1288" s="11" t="n">
        <f aca="false">IF(INDEX(選手一覧!$D$7:$D$2738,$F1288)="","",INDEX(選手一覧!$D$7:$D$2738,$F1288))</f>
        <v>0.0111152777777778</v>
      </c>
      <c r="H1288" s="12" t="n">
        <f aca="false">IF(INDEX(選手一覧!$E$7:$E$2738,$F1288)="","",INDEX(選手一覧!$E$7:$E$2738,$F1288))</f>
        <v>1281</v>
      </c>
      <c r="I1288" s="11" t="str">
        <f aca="false">IF(INDEX(選手一覧!$F$7:$F$2738,$F1288)="","",INDEX(選手一覧!$F$7:$F$2738,$F1288))</f>
        <v/>
      </c>
      <c r="J1288" s="12" t="str">
        <f aca="false">IF(INDEX(選手一覧!$G$7:$G$2738,$F1288)="","",INDEX(選手一覧!$G$7:$G$2738,$F1288))</f>
        <v/>
      </c>
    </row>
    <row r="1289" customFormat="false" ht="15" hidden="false" customHeight="false" outlineLevel="0" collapsed="false">
      <c r="A1289" s="12" t="n">
        <v>1285</v>
      </c>
      <c r="B1289" s="10" t="s">
        <v>3672</v>
      </c>
      <c r="C1289" s="10" t="s">
        <v>416</v>
      </c>
      <c r="D1289" s="11" t="n">
        <v>0.00296342592592593</v>
      </c>
      <c r="E1289" s="18" t="n">
        <f aca="false">ROUND((D1289-$D$5)*86400,2)</f>
        <v>31.01</v>
      </c>
      <c r="F1289" s="12" t="n">
        <v>2604</v>
      </c>
      <c r="G1289" s="11" t="str">
        <f aca="false">IF(INDEX(選手一覧!$D$7:$D$2738,$F1289)="","",INDEX(選手一覧!$D$7:$D$2738,$F1289))</f>
        <v/>
      </c>
      <c r="H1289" s="12" t="str">
        <f aca="false">IF(INDEX(選手一覧!$E$7:$E$2738,$F1289)="","",INDEX(選手一覧!$E$7:$E$2738,$F1289))</f>
        <v/>
      </c>
      <c r="I1289" s="11" t="str">
        <f aca="false">IF(INDEX(選手一覧!$F$7:$F$2738,$F1289)="","",INDEX(選手一覧!$F$7:$F$2738,$F1289))</f>
        <v/>
      </c>
      <c r="J1289" s="12" t="str">
        <f aca="false">IF(INDEX(選手一覧!$G$7:$G$2738,$F1289)="","",INDEX(選手一覧!$G$7:$G$2738,$F1289))</f>
        <v/>
      </c>
    </row>
    <row r="1290" customFormat="false" ht="15" hidden="false" customHeight="false" outlineLevel="0" collapsed="false">
      <c r="A1290" s="12" t="n">
        <v>1286</v>
      </c>
      <c r="B1290" s="10" t="s">
        <v>788</v>
      </c>
      <c r="C1290" s="10" t="s">
        <v>25</v>
      </c>
      <c r="D1290" s="11" t="n">
        <v>0.00296354166666667</v>
      </c>
      <c r="E1290" s="18" t="n">
        <f aca="false">ROUND((D1290-$D$5)*86400,2)</f>
        <v>31.02</v>
      </c>
      <c r="F1290" s="12" t="n">
        <v>514</v>
      </c>
      <c r="G1290" s="11" t="n">
        <f aca="false">IF(INDEX(選手一覧!$D$7:$D$2738,$F1290)="","",INDEX(選手一覧!$D$7:$D$2738,$F1290))</f>
        <v>0.010359375</v>
      </c>
      <c r="H1290" s="12" t="n">
        <f aca="false">IF(INDEX(選手一覧!$E$7:$E$2738,$F1290)="","",INDEX(選手一覧!$E$7:$E$2738,$F1290))</f>
        <v>215</v>
      </c>
      <c r="I1290" s="11" t="str">
        <f aca="false">IF(INDEX(選手一覧!$F$7:$F$2738,$F1290)="","",INDEX(選手一覧!$F$7:$F$2738,$F1290))</f>
        <v/>
      </c>
      <c r="J1290" s="12" t="str">
        <f aca="false">IF(INDEX(選手一覧!$G$7:$G$2738,$F1290)="","",INDEX(選手一覧!$G$7:$G$2738,$F1290))</f>
        <v/>
      </c>
    </row>
    <row r="1291" customFormat="false" ht="15" hidden="false" customHeight="false" outlineLevel="0" collapsed="false">
      <c r="A1291" s="12" t="n">
        <v>1287</v>
      </c>
      <c r="B1291" s="10" t="s">
        <v>3677</v>
      </c>
      <c r="C1291" s="10" t="s">
        <v>592</v>
      </c>
      <c r="D1291" s="11" t="n">
        <v>0.00296388888888889</v>
      </c>
      <c r="E1291" s="18" t="n">
        <f aca="false">ROUND((D1291-$D$5)*86400,2)</f>
        <v>31.05</v>
      </c>
      <c r="F1291" s="12" t="n">
        <v>2608</v>
      </c>
      <c r="G1291" s="11" t="str">
        <f aca="false">IF(INDEX(選手一覧!$D$7:$D$2738,$F1291)="","",INDEX(選手一覧!$D$7:$D$2738,$F1291))</f>
        <v/>
      </c>
      <c r="H1291" s="12" t="str">
        <f aca="false">IF(INDEX(選手一覧!$E$7:$E$2738,$F1291)="","",INDEX(選手一覧!$E$7:$E$2738,$F1291))</f>
        <v/>
      </c>
      <c r="I1291" s="11" t="str">
        <f aca="false">IF(INDEX(選手一覧!$F$7:$F$2738,$F1291)="","",INDEX(選手一覧!$F$7:$F$2738,$F1291))</f>
        <v/>
      </c>
      <c r="J1291" s="12" t="str">
        <f aca="false">IF(INDEX(選手一覧!$G$7:$G$2738,$F1291)="","",INDEX(選手一覧!$G$7:$G$2738,$F1291))</f>
        <v/>
      </c>
    </row>
    <row r="1292" customFormat="false" ht="15" hidden="false" customHeight="false" outlineLevel="0" collapsed="false">
      <c r="A1292" s="12" t="n">
        <v>1288</v>
      </c>
      <c r="B1292" s="10" t="s">
        <v>3680</v>
      </c>
      <c r="C1292" s="10" t="s">
        <v>1962</v>
      </c>
      <c r="D1292" s="11" t="n">
        <v>0.00296435185185185</v>
      </c>
      <c r="E1292" s="18" t="n">
        <f aca="false">ROUND((D1292-$D$5)*86400,2)</f>
        <v>31.09</v>
      </c>
      <c r="F1292" s="12" t="n">
        <v>2610</v>
      </c>
      <c r="G1292" s="11" t="str">
        <f aca="false">IF(INDEX(選手一覧!$D$7:$D$2738,$F1292)="","",INDEX(選手一覧!$D$7:$D$2738,$F1292))</f>
        <v/>
      </c>
      <c r="H1292" s="12" t="str">
        <f aca="false">IF(INDEX(選手一覧!$E$7:$E$2738,$F1292)="","",INDEX(選手一覧!$E$7:$E$2738,$F1292))</f>
        <v/>
      </c>
      <c r="I1292" s="11" t="str">
        <f aca="false">IF(INDEX(選手一覧!$F$7:$F$2738,$F1292)="","",INDEX(選手一覧!$F$7:$F$2738,$F1292))</f>
        <v/>
      </c>
      <c r="J1292" s="12" t="str">
        <f aca="false">IF(INDEX(選手一覧!$G$7:$G$2738,$F1292)="","",INDEX(選手一覧!$G$7:$G$2738,$F1292))</f>
        <v/>
      </c>
    </row>
    <row r="1293" customFormat="false" ht="15" hidden="false" customHeight="false" outlineLevel="0" collapsed="false">
      <c r="A1293" s="12" t="n">
        <v>1289</v>
      </c>
      <c r="B1293" s="10" t="s">
        <v>1549</v>
      </c>
      <c r="C1293" s="10" t="s">
        <v>758</v>
      </c>
      <c r="D1293" s="11" t="n">
        <v>0.00296493055555556</v>
      </c>
      <c r="E1293" s="18" t="n">
        <f aca="false">ROUND((D1293-$D$5)*86400,2)</f>
        <v>31.14</v>
      </c>
      <c r="F1293" s="12" t="n">
        <v>1067</v>
      </c>
      <c r="G1293" s="11" t="n">
        <f aca="false">IF(INDEX(選手一覧!$D$7:$D$2738,$F1293)="","",INDEX(選手一覧!$D$7:$D$2738,$F1293))</f>
        <v>0.0106123842592593</v>
      </c>
      <c r="H1293" s="12" t="n">
        <f aca="false">IF(INDEX(選手一覧!$E$7:$E$2738,$F1293)="","",INDEX(選手一覧!$E$7:$E$2738,$F1293))</f>
        <v>481</v>
      </c>
      <c r="I1293" s="11" t="str">
        <f aca="false">IF(INDEX(選手一覧!$F$7:$F$2738,$F1293)="","",INDEX(選手一覧!$F$7:$F$2738,$F1293))</f>
        <v/>
      </c>
      <c r="J1293" s="12" t="str">
        <f aca="false">IF(INDEX(選手一覧!$G$7:$G$2738,$F1293)="","",INDEX(選手一覧!$G$7:$G$2738,$F1293))</f>
        <v/>
      </c>
    </row>
    <row r="1294" customFormat="false" ht="15" hidden="false" customHeight="false" outlineLevel="0" collapsed="false">
      <c r="A1294" s="12" t="n">
        <v>1290</v>
      </c>
      <c r="B1294" s="10" t="s">
        <v>1787</v>
      </c>
      <c r="C1294" s="10" t="s">
        <v>494</v>
      </c>
      <c r="D1294" s="11" t="n">
        <v>0.00296493055555556</v>
      </c>
      <c r="E1294" s="18" t="n">
        <f aca="false">ROUND((D1294-$D$5)*86400,2)</f>
        <v>31.14</v>
      </c>
      <c r="F1294" s="12" t="n">
        <v>1229</v>
      </c>
      <c r="G1294" s="11" t="n">
        <f aca="false">IF(INDEX(選手一覧!$D$7:$D$2738,$F1294)="","",INDEX(選手一覧!$D$7:$D$2738,$F1294))</f>
        <v>0.0107952546296296</v>
      </c>
      <c r="H1294" s="12" t="n">
        <f aca="false">IF(INDEX(選手一覧!$E$7:$E$2738,$F1294)="","",INDEX(選手一覧!$E$7:$E$2738,$F1294))</f>
        <v>734</v>
      </c>
      <c r="I1294" s="11" t="n">
        <f aca="false">IF(INDEX(選手一覧!$F$7:$F$2738,$F1294)="","",INDEX(選手一覧!$F$7:$F$2738,$F1294))</f>
        <v>0.00722488425925926</v>
      </c>
      <c r="J1294" s="12" t="n">
        <f aca="false">IF(INDEX(選手一覧!$G$7:$G$2738,$F1294)="","",INDEX(選手一覧!$G$7:$G$2738,$F1294))</f>
        <v>565</v>
      </c>
    </row>
    <row r="1295" customFormat="false" ht="15" hidden="false" customHeight="false" outlineLevel="0" collapsed="false">
      <c r="A1295" s="12" t="n">
        <v>1291</v>
      </c>
      <c r="B1295" s="10" t="s">
        <v>3686</v>
      </c>
      <c r="C1295" s="10" t="s">
        <v>134</v>
      </c>
      <c r="D1295" s="11" t="n">
        <v>0.00296527777777778</v>
      </c>
      <c r="E1295" s="18" t="n">
        <f aca="false">ROUND((D1295-$D$5)*86400,2)</f>
        <v>31.17</v>
      </c>
      <c r="F1295" s="12" t="n">
        <v>2615</v>
      </c>
      <c r="G1295" s="11" t="str">
        <f aca="false">IF(INDEX(選手一覧!$D$7:$D$2738,$F1295)="","",INDEX(選手一覧!$D$7:$D$2738,$F1295))</f>
        <v/>
      </c>
      <c r="H1295" s="12" t="str">
        <f aca="false">IF(INDEX(選手一覧!$E$7:$E$2738,$F1295)="","",INDEX(選手一覧!$E$7:$E$2738,$F1295))</f>
        <v/>
      </c>
      <c r="I1295" s="11" t="str">
        <f aca="false">IF(INDEX(選手一覧!$F$7:$F$2738,$F1295)="","",INDEX(選手一覧!$F$7:$F$2738,$F1295))</f>
        <v/>
      </c>
      <c r="J1295" s="12" t="str">
        <f aca="false">IF(INDEX(選手一覧!$G$7:$G$2738,$F1295)="","",INDEX(選手一覧!$G$7:$G$2738,$F1295))</f>
        <v/>
      </c>
    </row>
    <row r="1296" customFormat="false" ht="15" hidden="false" customHeight="false" outlineLevel="0" collapsed="false">
      <c r="A1296" s="12" t="n">
        <v>1292</v>
      </c>
      <c r="B1296" s="10" t="s">
        <v>3689</v>
      </c>
      <c r="C1296" s="10" t="s">
        <v>2999</v>
      </c>
      <c r="D1296" s="11" t="n">
        <v>0.00296550925925926</v>
      </c>
      <c r="E1296" s="18" t="n">
        <f aca="false">ROUND((D1296-$D$5)*86400,2)</f>
        <v>31.19</v>
      </c>
      <c r="F1296" s="12" t="n">
        <v>2617</v>
      </c>
      <c r="G1296" s="11" t="str">
        <f aca="false">IF(INDEX(選手一覧!$D$7:$D$2738,$F1296)="","",INDEX(選手一覧!$D$7:$D$2738,$F1296))</f>
        <v/>
      </c>
      <c r="H1296" s="12" t="str">
        <f aca="false">IF(INDEX(選手一覧!$E$7:$E$2738,$F1296)="","",INDEX(選手一覧!$E$7:$E$2738,$F1296))</f>
        <v/>
      </c>
      <c r="I1296" s="11" t="str">
        <f aca="false">IF(INDEX(選手一覧!$F$7:$F$2738,$F1296)="","",INDEX(選手一覧!$F$7:$F$2738,$F1296))</f>
        <v/>
      </c>
      <c r="J1296" s="12" t="str">
        <f aca="false">IF(INDEX(選手一覧!$G$7:$G$2738,$F1296)="","",INDEX(選手一覧!$G$7:$G$2738,$F1296))</f>
        <v/>
      </c>
    </row>
    <row r="1297" customFormat="false" ht="15" hidden="false" customHeight="false" outlineLevel="0" collapsed="false">
      <c r="A1297" s="12" t="n">
        <v>1293</v>
      </c>
      <c r="B1297" s="10" t="s">
        <v>3691</v>
      </c>
      <c r="C1297" s="10" t="s">
        <v>107</v>
      </c>
      <c r="D1297" s="11" t="n">
        <v>0.00296550925925926</v>
      </c>
      <c r="E1297" s="18" t="n">
        <f aca="false">ROUND((D1297-$D$5)*86400,2)</f>
        <v>31.19</v>
      </c>
      <c r="F1297" s="12" t="n">
        <v>2619</v>
      </c>
      <c r="G1297" s="11" t="str">
        <f aca="false">IF(INDEX(選手一覧!$D$7:$D$2738,$F1297)="","",INDEX(選手一覧!$D$7:$D$2738,$F1297))</f>
        <v/>
      </c>
      <c r="H1297" s="12" t="str">
        <f aca="false">IF(INDEX(選手一覧!$E$7:$E$2738,$F1297)="","",INDEX(選手一覧!$E$7:$E$2738,$F1297))</f>
        <v/>
      </c>
      <c r="I1297" s="11" t="str">
        <f aca="false">IF(INDEX(選手一覧!$F$7:$F$2738,$F1297)="","",INDEX(選手一覧!$F$7:$F$2738,$F1297))</f>
        <v/>
      </c>
      <c r="J1297" s="12" t="str">
        <f aca="false">IF(INDEX(選手一覧!$G$7:$G$2738,$F1297)="","",INDEX(選手一覧!$G$7:$G$2738,$F1297))</f>
        <v/>
      </c>
    </row>
    <row r="1298" customFormat="false" ht="15" hidden="false" customHeight="false" outlineLevel="0" collapsed="false">
      <c r="A1298" s="12" t="n">
        <v>1294</v>
      </c>
      <c r="B1298" s="10" t="s">
        <v>3425</v>
      </c>
      <c r="C1298" s="10" t="s">
        <v>51</v>
      </c>
      <c r="D1298" s="11" t="n">
        <v>0.00296585648148148</v>
      </c>
      <c r="E1298" s="18" t="n">
        <f aca="false">ROUND((D1298-$D$5)*86400,2)</f>
        <v>31.22</v>
      </c>
      <c r="F1298" s="12" t="n">
        <v>2413</v>
      </c>
      <c r="G1298" s="11" t="n">
        <f aca="false">IF(INDEX(選手一覧!$D$7:$D$2738,$F1298)="","",INDEX(選手一覧!$D$7:$D$2738,$F1298))</f>
        <v>0.0110440972222222</v>
      </c>
      <c r="H1298" s="12" t="n">
        <f aca="false">IF(INDEX(選手一覧!$E$7:$E$2738,$F1298)="","",INDEX(選手一覧!$E$7:$E$2738,$F1298))</f>
        <v>1188</v>
      </c>
      <c r="I1298" s="11" t="str">
        <f aca="false">IF(INDEX(選手一覧!$F$7:$F$2738,$F1298)="","",INDEX(選手一覧!$F$7:$F$2738,$F1298))</f>
        <v/>
      </c>
      <c r="J1298" s="12" t="str">
        <f aca="false">IF(INDEX(選手一覧!$G$7:$G$2738,$F1298)="","",INDEX(選手一覧!$G$7:$G$2738,$F1298))</f>
        <v/>
      </c>
    </row>
    <row r="1299" customFormat="false" ht="15" hidden="false" customHeight="false" outlineLevel="0" collapsed="false">
      <c r="A1299" s="12" t="n">
        <v>1295</v>
      </c>
      <c r="B1299" s="10" t="s">
        <v>1017</v>
      </c>
      <c r="C1299" s="10" t="s">
        <v>1018</v>
      </c>
      <c r="D1299" s="11" t="n">
        <v>0.00296608796296296</v>
      </c>
      <c r="E1299" s="18" t="n">
        <f aca="false">ROUND((D1299-$D$5)*86400,2)</f>
        <v>31.24</v>
      </c>
      <c r="F1299" s="12" t="n">
        <v>682</v>
      </c>
      <c r="G1299" s="11" t="str">
        <f aca="false">IF(INDEX(選手一覧!$D$7:$D$2738,$F1299)="","",INDEX(選手一覧!$D$7:$D$2738,$F1299))</f>
        <v/>
      </c>
      <c r="H1299" s="12" t="str">
        <f aca="false">IF(INDEX(選手一覧!$E$7:$E$2738,$F1299)="","",INDEX(選手一覧!$E$7:$E$2738,$F1299))</f>
        <v/>
      </c>
      <c r="I1299" s="11" t="n">
        <f aca="false">IF(INDEX(選手一覧!$F$7:$F$2738,$F1299)="","",INDEX(選手一覧!$F$7:$F$2738,$F1299))</f>
        <v>0.00695752314814815</v>
      </c>
      <c r="J1299" s="12" t="n">
        <f aca="false">IF(INDEX(選手一覧!$G$7:$G$2738,$F1299)="","",INDEX(選手一覧!$G$7:$G$2738,$F1299))</f>
        <v>290</v>
      </c>
    </row>
    <row r="1300" customFormat="false" ht="15" hidden="false" customHeight="false" outlineLevel="0" collapsed="false">
      <c r="A1300" s="12" t="n">
        <v>1296</v>
      </c>
      <c r="B1300" s="10" t="s">
        <v>1929</v>
      </c>
      <c r="C1300" s="10" t="s">
        <v>3688</v>
      </c>
      <c r="D1300" s="11" t="n">
        <v>0.00296631944444445</v>
      </c>
      <c r="E1300" s="18" t="n">
        <f aca="false">ROUND((D1300-$D$5)*86400,2)</f>
        <v>31.26</v>
      </c>
      <c r="F1300" s="12" t="n">
        <v>1326</v>
      </c>
      <c r="G1300" s="11" t="str">
        <f aca="false">IF(INDEX(選手一覧!$D$7:$D$2738,$F1300)="","",INDEX(選手一覧!$D$7:$D$2738,$F1300))</f>
        <v/>
      </c>
      <c r="H1300" s="12" t="str">
        <f aca="false">IF(INDEX(選手一覧!$E$7:$E$2738,$F1300)="","",INDEX(選手一覧!$E$7:$E$2738,$F1300))</f>
        <v/>
      </c>
      <c r="I1300" s="11" t="n">
        <f aca="false">IF(INDEX(選手一覧!$F$7:$F$2738,$F1300)="","",INDEX(選手一覧!$F$7:$F$2738,$F1300))</f>
        <v>0.007278125</v>
      </c>
      <c r="J1300" s="12" t="n">
        <f aca="false">IF(INDEX(選手一覧!$G$7:$G$2738,$F1300)="","",INDEX(選手一覧!$G$7:$G$2738,$F1300))</f>
        <v>619</v>
      </c>
    </row>
    <row r="1301" customFormat="false" ht="15" hidden="false" customHeight="false" outlineLevel="0" collapsed="false">
      <c r="A1301" s="12" t="n">
        <v>1297</v>
      </c>
      <c r="B1301" s="10" t="s">
        <v>887</v>
      </c>
      <c r="C1301" s="10" t="s">
        <v>814</v>
      </c>
      <c r="D1301" s="11" t="n">
        <v>0.00296643518518519</v>
      </c>
      <c r="E1301" s="18" t="n">
        <f aca="false">ROUND((D1301-$D$5)*86400,2)</f>
        <v>31.27</v>
      </c>
      <c r="F1301" s="12" t="n">
        <v>583</v>
      </c>
      <c r="G1301" s="11" t="n">
        <f aca="false">IF(INDEX(選手一覧!$D$7:$D$2738,$F1301)="","",INDEX(選手一覧!$D$7:$D$2738,$F1301))</f>
        <v>0.0103844907407407</v>
      </c>
      <c r="H1301" s="12" t="n">
        <f aca="false">IF(INDEX(選手一覧!$E$7:$E$2738,$F1301)="","",INDEX(選手一覧!$E$7:$E$2738,$F1301))</f>
        <v>245</v>
      </c>
      <c r="I1301" s="11" t="n">
        <f aca="false">IF(INDEX(選手一覧!$F$7:$F$2738,$F1301)="","",INDEX(選手一覧!$F$7:$F$2738,$F1301))</f>
        <v>0.0072037037037037</v>
      </c>
      <c r="J1301" s="12" t="n">
        <f aca="false">IF(INDEX(選手一覧!$G$7:$G$2738,$F1301)="","",INDEX(選手一覧!$G$7:$G$2738,$F1301))</f>
        <v>541</v>
      </c>
    </row>
    <row r="1302" customFormat="false" ht="15" hidden="false" customHeight="false" outlineLevel="0" collapsed="false">
      <c r="A1302" s="12" t="n">
        <v>1298</v>
      </c>
      <c r="B1302" s="10" t="s">
        <v>853</v>
      </c>
      <c r="C1302" s="10" t="s">
        <v>854</v>
      </c>
      <c r="D1302" s="11" t="n">
        <v>0.00296643518518519</v>
      </c>
      <c r="E1302" s="18" t="n">
        <f aca="false">ROUND((D1302-$D$5)*86400,2)</f>
        <v>31.27</v>
      </c>
      <c r="F1302" s="12" t="n">
        <v>557</v>
      </c>
      <c r="G1302" s="11" t="n">
        <f aca="false">IF(INDEX(選手一覧!$D$7:$D$2738,$F1302)="","",INDEX(選手一覧!$D$7:$D$2738,$F1302))</f>
        <v>0.0110612268518519</v>
      </c>
      <c r="H1302" s="12" t="n">
        <f aca="false">IF(INDEX(選手一覧!$E$7:$E$2738,$F1302)="","",INDEX(選手一覧!$E$7:$E$2738,$F1302))</f>
        <v>1220</v>
      </c>
      <c r="I1302" s="11" t="n">
        <f aca="false">IF(INDEX(選手一覧!$F$7:$F$2738,$F1302)="","",INDEX(選手一覧!$F$7:$F$2738,$F1302))</f>
        <v>0.00689340277777778</v>
      </c>
      <c r="J1302" s="12" t="n">
        <f aca="false">IF(INDEX(選手一覧!$G$7:$G$2738,$F1302)="","",INDEX(選手一覧!$G$7:$G$2738,$F1302))</f>
        <v>234</v>
      </c>
    </row>
    <row r="1303" customFormat="false" ht="15" hidden="false" customHeight="false" outlineLevel="0" collapsed="false">
      <c r="A1303" s="12" t="n">
        <v>1299</v>
      </c>
      <c r="B1303" s="10" t="s">
        <v>3699</v>
      </c>
      <c r="C1303" s="10" t="s">
        <v>72</v>
      </c>
      <c r="D1303" s="11" t="n">
        <v>0.00296701388888889</v>
      </c>
      <c r="E1303" s="18" t="n">
        <f aca="false">ROUND((D1303-$D$5)*86400,2)</f>
        <v>31.32</v>
      </c>
      <c r="F1303" s="12" t="n">
        <v>2626</v>
      </c>
      <c r="G1303" s="11" t="str">
        <f aca="false">IF(INDEX(選手一覧!$D$7:$D$2738,$F1303)="","",INDEX(選手一覧!$D$7:$D$2738,$F1303))</f>
        <v/>
      </c>
      <c r="H1303" s="12" t="str">
        <f aca="false">IF(INDEX(選手一覧!$E$7:$E$2738,$F1303)="","",INDEX(選手一覧!$E$7:$E$2738,$F1303))</f>
        <v/>
      </c>
      <c r="I1303" s="11" t="str">
        <f aca="false">IF(INDEX(選手一覧!$F$7:$F$2738,$F1303)="","",INDEX(選手一覧!$F$7:$F$2738,$F1303))</f>
        <v/>
      </c>
      <c r="J1303" s="12" t="str">
        <f aca="false">IF(INDEX(選手一覧!$G$7:$G$2738,$F1303)="","",INDEX(選手一覧!$G$7:$G$2738,$F1303))</f>
        <v/>
      </c>
    </row>
    <row r="1304" customFormat="false" ht="15" hidden="false" customHeight="false" outlineLevel="0" collapsed="false">
      <c r="A1304" s="12" t="n">
        <v>1300</v>
      </c>
      <c r="B1304" s="10" t="s">
        <v>360</v>
      </c>
      <c r="C1304" s="10" t="s">
        <v>242</v>
      </c>
      <c r="D1304" s="11" t="n">
        <v>0.00296747685185185</v>
      </c>
      <c r="E1304" s="18" t="n">
        <f aca="false">ROUND((D1304-$D$5)*86400,2)</f>
        <v>31.36</v>
      </c>
      <c r="F1304" s="12" t="n">
        <v>213</v>
      </c>
      <c r="G1304" s="11" t="n">
        <f aca="false">IF(INDEX(選手一覧!$D$7:$D$2738,$F1304)="","",INDEX(選手一覧!$D$7:$D$2738,$F1304))</f>
        <v>0.0103774305555556</v>
      </c>
      <c r="H1304" s="12" t="n">
        <f aca="false">IF(INDEX(選手一覧!$E$7:$E$2738,$F1304)="","",INDEX(選手一覧!$E$7:$E$2738,$F1304))</f>
        <v>238</v>
      </c>
      <c r="I1304" s="11" t="n">
        <f aca="false">IF(INDEX(選手一覧!$F$7:$F$2738,$F1304)="","",INDEX(選手一覧!$F$7:$F$2738,$F1304))</f>
        <v>0.006659375</v>
      </c>
      <c r="J1304" s="12" t="n">
        <f aca="false">IF(INDEX(選手一覧!$G$7:$G$2738,$F1304)="","",INDEX(選手一覧!$G$7:$G$2738,$F1304))</f>
        <v>88</v>
      </c>
    </row>
    <row r="1305" customFormat="false" ht="15" hidden="false" customHeight="false" outlineLevel="0" collapsed="false">
      <c r="A1305" s="12" t="n">
        <v>1301</v>
      </c>
      <c r="B1305" s="10" t="s">
        <v>3704</v>
      </c>
      <c r="C1305" s="10" t="s">
        <v>1150</v>
      </c>
      <c r="D1305" s="11" t="n">
        <v>0.00296759259259259</v>
      </c>
      <c r="E1305" s="18" t="n">
        <f aca="false">ROUND((D1305-$D$5)*86400,2)</f>
        <v>31.37</v>
      </c>
      <c r="F1305" s="12" t="n">
        <v>2629</v>
      </c>
      <c r="G1305" s="11" t="str">
        <f aca="false">IF(INDEX(選手一覧!$D$7:$D$2738,$F1305)="","",INDEX(選手一覧!$D$7:$D$2738,$F1305))</f>
        <v/>
      </c>
      <c r="H1305" s="12" t="str">
        <f aca="false">IF(INDEX(選手一覧!$E$7:$E$2738,$F1305)="","",INDEX(選手一覧!$E$7:$E$2738,$F1305))</f>
        <v/>
      </c>
      <c r="I1305" s="11" t="str">
        <f aca="false">IF(INDEX(選手一覧!$F$7:$F$2738,$F1305)="","",INDEX(選手一覧!$F$7:$F$2738,$F1305))</f>
        <v/>
      </c>
      <c r="J1305" s="12" t="str">
        <f aca="false">IF(INDEX(選手一覧!$G$7:$G$2738,$F1305)="","",INDEX(選手一覧!$G$7:$G$2738,$F1305))</f>
        <v/>
      </c>
    </row>
    <row r="1306" customFormat="false" ht="15" hidden="false" customHeight="false" outlineLevel="0" collapsed="false">
      <c r="A1306" s="12" t="n">
        <v>1302</v>
      </c>
      <c r="B1306" s="10" t="s">
        <v>3707</v>
      </c>
      <c r="C1306" s="10" t="s">
        <v>1351</v>
      </c>
      <c r="D1306" s="11" t="n">
        <v>0.00296782407407407</v>
      </c>
      <c r="E1306" s="18" t="n">
        <f aca="false">ROUND((D1306-$D$5)*86400,2)</f>
        <v>31.39</v>
      </c>
      <c r="F1306" s="12" t="n">
        <v>2631</v>
      </c>
      <c r="G1306" s="11" t="str">
        <f aca="false">IF(INDEX(選手一覧!$D$7:$D$2738,$F1306)="","",INDEX(選手一覧!$D$7:$D$2738,$F1306))</f>
        <v/>
      </c>
      <c r="H1306" s="12" t="str">
        <f aca="false">IF(INDEX(選手一覧!$E$7:$E$2738,$F1306)="","",INDEX(選手一覧!$E$7:$E$2738,$F1306))</f>
        <v/>
      </c>
      <c r="I1306" s="11" t="str">
        <f aca="false">IF(INDEX(選手一覧!$F$7:$F$2738,$F1306)="","",INDEX(選手一覧!$F$7:$F$2738,$F1306))</f>
        <v/>
      </c>
      <c r="J1306" s="12" t="str">
        <f aca="false">IF(INDEX(選手一覧!$G$7:$G$2738,$F1306)="","",INDEX(選手一覧!$G$7:$G$2738,$F1306))</f>
        <v/>
      </c>
    </row>
    <row r="1307" customFormat="false" ht="15" hidden="false" customHeight="false" outlineLevel="0" collapsed="false">
      <c r="A1307" s="12" t="n">
        <v>1303</v>
      </c>
      <c r="B1307" s="10" t="s">
        <v>3710</v>
      </c>
      <c r="C1307" s="10" t="s">
        <v>3711</v>
      </c>
      <c r="D1307" s="11" t="n">
        <v>0.00296863425925926</v>
      </c>
      <c r="E1307" s="18" t="n">
        <f aca="false">ROUND((D1307-$D$5)*86400,2)</f>
        <v>31.46</v>
      </c>
      <c r="F1307" s="12" t="n">
        <v>2633</v>
      </c>
      <c r="G1307" s="11" t="str">
        <f aca="false">IF(INDEX(選手一覧!$D$7:$D$2738,$F1307)="","",INDEX(選手一覧!$D$7:$D$2738,$F1307))</f>
        <v/>
      </c>
      <c r="H1307" s="12" t="str">
        <f aca="false">IF(INDEX(選手一覧!$E$7:$E$2738,$F1307)="","",INDEX(選手一覧!$E$7:$E$2738,$F1307))</f>
        <v/>
      </c>
      <c r="I1307" s="11" t="str">
        <f aca="false">IF(INDEX(選手一覧!$F$7:$F$2738,$F1307)="","",INDEX(選手一覧!$F$7:$F$2738,$F1307))</f>
        <v/>
      </c>
      <c r="J1307" s="12" t="str">
        <f aca="false">IF(INDEX(選手一覧!$G$7:$G$2738,$F1307)="","",INDEX(選手一覧!$G$7:$G$2738,$F1307))</f>
        <v/>
      </c>
    </row>
    <row r="1308" customFormat="false" ht="15" hidden="false" customHeight="false" outlineLevel="0" collapsed="false">
      <c r="A1308" s="12" t="n">
        <v>1304</v>
      </c>
      <c r="B1308" s="10" t="s">
        <v>3714</v>
      </c>
      <c r="C1308" s="10" t="s">
        <v>3715</v>
      </c>
      <c r="D1308" s="11" t="n">
        <v>0.00296875</v>
      </c>
      <c r="E1308" s="18" t="n">
        <f aca="false">ROUND((D1308-$D$5)*86400,2)</f>
        <v>31.47</v>
      </c>
      <c r="F1308" s="12" t="n">
        <v>2635</v>
      </c>
      <c r="G1308" s="11" t="str">
        <f aca="false">IF(INDEX(選手一覧!$D$7:$D$2738,$F1308)="","",INDEX(選手一覧!$D$7:$D$2738,$F1308))</f>
        <v/>
      </c>
      <c r="H1308" s="12" t="str">
        <f aca="false">IF(INDEX(選手一覧!$E$7:$E$2738,$F1308)="","",INDEX(選手一覧!$E$7:$E$2738,$F1308))</f>
        <v/>
      </c>
      <c r="I1308" s="11" t="str">
        <f aca="false">IF(INDEX(選手一覧!$F$7:$F$2738,$F1308)="","",INDEX(選手一覧!$F$7:$F$2738,$F1308))</f>
        <v/>
      </c>
      <c r="J1308" s="12" t="str">
        <f aca="false">IF(INDEX(選手一覧!$G$7:$G$2738,$F1308)="","",INDEX(選手一覧!$G$7:$G$2738,$F1308))</f>
        <v/>
      </c>
    </row>
    <row r="1309" customFormat="false" ht="15" hidden="false" customHeight="false" outlineLevel="0" collapsed="false">
      <c r="A1309" s="12" t="n">
        <v>1305</v>
      </c>
      <c r="B1309" s="10" t="s">
        <v>834</v>
      </c>
      <c r="C1309" s="10" t="s">
        <v>660</v>
      </c>
      <c r="D1309" s="11" t="n">
        <v>0.00296898148148148</v>
      </c>
      <c r="E1309" s="18" t="n">
        <f aca="false">ROUND((D1309-$D$5)*86400,2)</f>
        <v>31.49</v>
      </c>
      <c r="F1309" s="12" t="n">
        <v>544</v>
      </c>
      <c r="G1309" s="11" t="n">
        <f aca="false">IF(INDEX(選手一覧!$D$7:$D$2738,$F1309)="","",INDEX(選手一覧!$D$7:$D$2738,$F1309))</f>
        <v>0.0103738425925926</v>
      </c>
      <c r="H1309" s="12" t="n">
        <f aca="false">IF(INDEX(選手一覧!$E$7:$E$2738,$F1309)="","",INDEX(選手一覧!$E$7:$E$2738,$F1309))</f>
        <v>228</v>
      </c>
      <c r="I1309" s="11" t="str">
        <f aca="false">IF(INDEX(選手一覧!$F$7:$F$2738,$F1309)="","",INDEX(選手一覧!$F$7:$F$2738,$F1309))</f>
        <v/>
      </c>
      <c r="J1309" s="12" t="str">
        <f aca="false">IF(INDEX(選手一覧!$G$7:$G$2738,$F1309)="","",INDEX(選手一覧!$G$7:$G$2738,$F1309))</f>
        <v/>
      </c>
    </row>
    <row r="1310" customFormat="false" ht="15" hidden="false" customHeight="false" outlineLevel="0" collapsed="false">
      <c r="A1310" s="12" t="n">
        <v>1306</v>
      </c>
      <c r="B1310" s="10" t="s">
        <v>3719</v>
      </c>
      <c r="C1310" s="10" t="s">
        <v>3720</v>
      </c>
      <c r="D1310" s="11" t="n">
        <v>0.00296921296296296</v>
      </c>
      <c r="E1310" s="18" t="n">
        <f aca="false">ROUND((D1310-$D$5)*86400,2)</f>
        <v>31.51</v>
      </c>
      <c r="F1310" s="12" t="n">
        <v>2638</v>
      </c>
      <c r="G1310" s="11" t="str">
        <f aca="false">IF(INDEX(選手一覧!$D$7:$D$2738,$F1310)="","",INDEX(選手一覧!$D$7:$D$2738,$F1310))</f>
        <v/>
      </c>
      <c r="H1310" s="12" t="str">
        <f aca="false">IF(INDEX(選手一覧!$E$7:$E$2738,$F1310)="","",INDEX(選手一覧!$E$7:$E$2738,$F1310))</f>
        <v/>
      </c>
      <c r="I1310" s="11" t="str">
        <f aca="false">IF(INDEX(選手一覧!$F$7:$F$2738,$F1310)="","",INDEX(選手一覧!$F$7:$F$2738,$F1310))</f>
        <v/>
      </c>
      <c r="J1310" s="12" t="str">
        <f aca="false">IF(INDEX(選手一覧!$G$7:$G$2738,$F1310)="","",INDEX(選手一覧!$G$7:$G$2738,$F1310))</f>
        <v/>
      </c>
    </row>
    <row r="1311" customFormat="false" ht="15" hidden="false" customHeight="false" outlineLevel="0" collapsed="false">
      <c r="A1311" s="12" t="n">
        <v>1307</v>
      </c>
      <c r="B1311" s="10" t="s">
        <v>852</v>
      </c>
      <c r="C1311" s="10" t="s">
        <v>363</v>
      </c>
      <c r="D1311" s="11" t="n">
        <v>0.0029693287037037</v>
      </c>
      <c r="E1311" s="18" t="n">
        <f aca="false">ROUND((D1311-$D$5)*86400,2)</f>
        <v>31.52</v>
      </c>
      <c r="F1311" s="12" t="n">
        <v>556</v>
      </c>
      <c r="G1311" s="11" t="str">
        <f aca="false">IF(INDEX(選手一覧!$D$7:$D$2738,$F1311)="","",INDEX(選手一覧!$D$7:$D$2738,$F1311))</f>
        <v/>
      </c>
      <c r="H1311" s="12" t="str">
        <f aca="false">IF(INDEX(選手一覧!$E$7:$E$2738,$F1311)="","",INDEX(選手一覧!$E$7:$E$2738,$F1311))</f>
        <v/>
      </c>
      <c r="I1311" s="11" t="n">
        <f aca="false">IF(INDEX(選手一覧!$F$7:$F$2738,$F1311)="","",INDEX(選手一覧!$F$7:$F$2738,$F1311))</f>
        <v>0.00689236111111111</v>
      </c>
      <c r="J1311" s="12" t="n">
        <f aca="false">IF(INDEX(選手一覧!$G$7:$G$2738,$F1311)="","",INDEX(選手一覧!$G$7:$G$2738,$F1311))</f>
        <v>233</v>
      </c>
    </row>
    <row r="1312" customFormat="false" ht="15" hidden="false" customHeight="false" outlineLevel="0" collapsed="false">
      <c r="A1312" s="12" t="n">
        <v>1308</v>
      </c>
      <c r="B1312" s="10" t="s">
        <v>3725</v>
      </c>
      <c r="C1312" s="10" t="s">
        <v>2288</v>
      </c>
      <c r="D1312" s="11" t="n">
        <v>0.00296944444444444</v>
      </c>
      <c r="E1312" s="18" t="n">
        <f aca="false">ROUND((D1312-$D$5)*86400,2)</f>
        <v>31.53</v>
      </c>
      <c r="F1312" s="12" t="n">
        <v>2641</v>
      </c>
      <c r="G1312" s="11" t="str">
        <f aca="false">IF(INDEX(選手一覧!$D$7:$D$2738,$F1312)="","",INDEX(選手一覧!$D$7:$D$2738,$F1312))</f>
        <v/>
      </c>
      <c r="H1312" s="12" t="str">
        <f aca="false">IF(INDEX(選手一覧!$E$7:$E$2738,$F1312)="","",INDEX(選手一覧!$E$7:$E$2738,$F1312))</f>
        <v/>
      </c>
      <c r="I1312" s="11" t="str">
        <f aca="false">IF(INDEX(選手一覧!$F$7:$F$2738,$F1312)="","",INDEX(選手一覧!$F$7:$F$2738,$F1312))</f>
        <v/>
      </c>
      <c r="J1312" s="12" t="str">
        <f aca="false">IF(INDEX(選手一覧!$G$7:$G$2738,$F1312)="","",INDEX(選手一覧!$G$7:$G$2738,$F1312))</f>
        <v/>
      </c>
    </row>
    <row r="1313" customFormat="false" ht="15" hidden="false" customHeight="false" outlineLevel="0" collapsed="false">
      <c r="A1313" s="12" t="n">
        <v>1309</v>
      </c>
      <c r="B1313" s="10" t="s">
        <v>3728</v>
      </c>
      <c r="C1313" s="10" t="s">
        <v>3729</v>
      </c>
      <c r="D1313" s="11" t="n">
        <v>0.00296956018518519</v>
      </c>
      <c r="E1313" s="18" t="n">
        <f aca="false">ROUND((D1313-$D$5)*86400,2)</f>
        <v>31.54</v>
      </c>
      <c r="F1313" s="12" t="n">
        <v>2643</v>
      </c>
      <c r="G1313" s="11" t="str">
        <f aca="false">IF(INDEX(選手一覧!$D$7:$D$2738,$F1313)="","",INDEX(選手一覧!$D$7:$D$2738,$F1313))</f>
        <v/>
      </c>
      <c r="H1313" s="12" t="str">
        <f aca="false">IF(INDEX(選手一覧!$E$7:$E$2738,$F1313)="","",INDEX(選手一覧!$E$7:$E$2738,$F1313))</f>
        <v/>
      </c>
      <c r="I1313" s="11" t="str">
        <f aca="false">IF(INDEX(選手一覧!$F$7:$F$2738,$F1313)="","",INDEX(選手一覧!$F$7:$F$2738,$F1313))</f>
        <v/>
      </c>
      <c r="J1313" s="12" t="str">
        <f aca="false">IF(INDEX(選手一覧!$G$7:$G$2738,$F1313)="","",INDEX(選手一覧!$G$7:$G$2738,$F1313))</f>
        <v/>
      </c>
    </row>
    <row r="1314" customFormat="false" ht="15" hidden="false" customHeight="false" outlineLevel="0" collapsed="false">
      <c r="A1314" s="12" t="n">
        <v>1310</v>
      </c>
      <c r="B1314" s="10" t="s">
        <v>327</v>
      </c>
      <c r="C1314" s="10" t="s">
        <v>27</v>
      </c>
      <c r="D1314" s="11" t="n">
        <v>0.00296979166666667</v>
      </c>
      <c r="E1314" s="18" t="n">
        <f aca="false">ROUND((D1314-$D$5)*86400,2)</f>
        <v>31.56</v>
      </c>
      <c r="F1314" s="12" t="n">
        <v>188</v>
      </c>
      <c r="G1314" s="11" t="n">
        <f aca="false">IF(INDEX(選手一覧!$D$7:$D$2738,$F1314)="","",INDEX(選手一覧!$D$7:$D$2738,$F1314))</f>
        <v>0.0101636574074074</v>
      </c>
      <c r="H1314" s="12" t="n">
        <f aca="false">IF(INDEX(選手一覧!$E$7:$E$2738,$F1314)="","",INDEX(選手一覧!$E$7:$E$2738,$F1314))</f>
        <v>77</v>
      </c>
      <c r="I1314" s="11" t="n">
        <f aca="false">IF(INDEX(選手一覧!$F$7:$F$2738,$F1314)="","",INDEX(選手一覧!$F$7:$F$2738,$F1314))</f>
        <v>0.00668576388888889</v>
      </c>
      <c r="J1314" s="12" t="n">
        <f aca="false">IF(INDEX(選手一覧!$G$7:$G$2738,$F1314)="","",INDEX(選手一覧!$G$7:$G$2738,$F1314))</f>
        <v>103</v>
      </c>
    </row>
    <row r="1315" customFormat="false" ht="15" hidden="false" customHeight="false" outlineLevel="0" collapsed="false">
      <c r="A1315" s="12" t="n">
        <v>1311</v>
      </c>
      <c r="B1315" s="10" t="s">
        <v>526</v>
      </c>
      <c r="C1315" s="10" t="s">
        <v>363</v>
      </c>
      <c r="D1315" s="11" t="n">
        <v>0.00297037037037037</v>
      </c>
      <c r="E1315" s="18" t="n">
        <f aca="false">ROUND((D1315-$D$5)*86400,2)</f>
        <v>31.61</v>
      </c>
      <c r="F1315" s="12" t="n">
        <v>327</v>
      </c>
      <c r="G1315" s="11" t="n">
        <f aca="false">IF(INDEX(選手一覧!$D$7:$D$2738,$F1315)="","",INDEX(選手一覧!$D$7:$D$2738,$F1315))</f>
        <v>0.0110524305555556</v>
      </c>
      <c r="H1315" s="12" t="n">
        <f aca="false">IF(INDEX(選手一覧!$E$7:$E$2738,$F1315)="","",INDEX(選手一覧!$E$7:$E$2738,$F1315))</f>
        <v>1202</v>
      </c>
      <c r="I1315" s="11" t="n">
        <f aca="false">IF(INDEX(選手一覧!$F$7:$F$2738,$F1315)="","",INDEX(選手一覧!$F$7:$F$2738,$F1315))</f>
        <v>0.00676064814814815</v>
      </c>
      <c r="J1315" s="12" t="n">
        <f aca="false">IF(INDEX(選手一覧!$G$7:$G$2738,$F1315)="","",INDEX(選手一覧!$G$7:$G$2738,$F1315))</f>
        <v>136</v>
      </c>
    </row>
    <row r="1316" customFormat="false" ht="15" hidden="false" customHeight="false" outlineLevel="0" collapsed="false">
      <c r="A1316" s="12" t="n">
        <v>1312</v>
      </c>
      <c r="B1316" s="10" t="s">
        <v>3735</v>
      </c>
      <c r="C1316" s="10" t="s">
        <v>3736</v>
      </c>
      <c r="D1316" s="11" t="n">
        <v>0.00297060185185185</v>
      </c>
      <c r="E1316" s="18" t="n">
        <f aca="false">ROUND((D1316-$D$5)*86400,2)</f>
        <v>31.63</v>
      </c>
      <c r="F1316" s="12" t="n">
        <v>2647</v>
      </c>
      <c r="G1316" s="11" t="str">
        <f aca="false">IF(INDEX(選手一覧!$D$7:$D$2738,$F1316)="","",INDEX(選手一覧!$D$7:$D$2738,$F1316))</f>
        <v/>
      </c>
      <c r="H1316" s="12" t="str">
        <f aca="false">IF(INDEX(選手一覧!$E$7:$E$2738,$F1316)="","",INDEX(選手一覧!$E$7:$E$2738,$F1316))</f>
        <v/>
      </c>
      <c r="I1316" s="11" t="str">
        <f aca="false">IF(INDEX(選手一覧!$F$7:$F$2738,$F1316)="","",INDEX(選手一覧!$F$7:$F$2738,$F1316))</f>
        <v/>
      </c>
      <c r="J1316" s="12" t="str">
        <f aca="false">IF(INDEX(選手一覧!$G$7:$G$2738,$F1316)="","",INDEX(選手一覧!$G$7:$G$2738,$F1316))</f>
        <v/>
      </c>
    </row>
    <row r="1317" customFormat="false" ht="15" hidden="false" customHeight="false" outlineLevel="0" collapsed="false">
      <c r="A1317" s="12" t="n">
        <v>1313</v>
      </c>
      <c r="B1317" s="10" t="s">
        <v>3084</v>
      </c>
      <c r="C1317" s="10" t="s">
        <v>1839</v>
      </c>
      <c r="D1317" s="11" t="n">
        <v>0.00297152777777778</v>
      </c>
      <c r="E1317" s="18" t="n">
        <f aca="false">ROUND((D1317-$D$5)*86400,2)</f>
        <v>31.71</v>
      </c>
      <c r="F1317" s="12" t="n">
        <v>2163</v>
      </c>
      <c r="G1317" s="11" t="n">
        <f aca="false">IF(INDEX(選手一覧!$D$7:$D$2738,$F1317)="","",INDEX(選手一覧!$D$7:$D$2738,$F1317))</f>
        <v>0.0109778935185185</v>
      </c>
      <c r="H1317" s="12" t="n">
        <f aca="false">IF(INDEX(選手一覧!$E$7:$E$2738,$F1317)="","",INDEX(選手一覧!$E$7:$E$2738,$F1317))</f>
        <v>1052</v>
      </c>
      <c r="I1317" s="11" t="str">
        <f aca="false">IF(INDEX(選手一覧!$F$7:$F$2738,$F1317)="","",INDEX(選手一覧!$F$7:$F$2738,$F1317))</f>
        <v/>
      </c>
      <c r="J1317" s="12" t="str">
        <f aca="false">IF(INDEX(選手一覧!$G$7:$G$2738,$F1317)="","",INDEX(選手一覧!$G$7:$G$2738,$F1317))</f>
        <v/>
      </c>
    </row>
    <row r="1318" customFormat="false" ht="15" hidden="false" customHeight="false" outlineLevel="0" collapsed="false">
      <c r="A1318" s="12" t="n">
        <v>1314</v>
      </c>
      <c r="B1318" s="10" t="s">
        <v>3740</v>
      </c>
      <c r="C1318" s="10" t="s">
        <v>3741</v>
      </c>
      <c r="D1318" s="11" t="n">
        <v>0.00297152777777778</v>
      </c>
      <c r="E1318" s="18" t="n">
        <f aca="false">ROUND((D1318-$D$5)*86400,2)</f>
        <v>31.71</v>
      </c>
      <c r="F1318" s="12" t="n">
        <v>2650</v>
      </c>
      <c r="G1318" s="11" t="str">
        <f aca="false">IF(INDEX(選手一覧!$D$7:$D$2738,$F1318)="","",INDEX(選手一覧!$D$7:$D$2738,$F1318))</f>
        <v/>
      </c>
      <c r="H1318" s="12" t="str">
        <f aca="false">IF(INDEX(選手一覧!$E$7:$E$2738,$F1318)="","",INDEX(選手一覧!$E$7:$E$2738,$F1318))</f>
        <v/>
      </c>
      <c r="I1318" s="11" t="str">
        <f aca="false">IF(INDEX(選手一覧!$F$7:$F$2738,$F1318)="","",INDEX(選手一覧!$F$7:$F$2738,$F1318))</f>
        <v/>
      </c>
      <c r="J1318" s="12" t="str">
        <f aca="false">IF(INDEX(選手一覧!$G$7:$G$2738,$F1318)="","",INDEX(選手一覧!$G$7:$G$2738,$F1318))</f>
        <v/>
      </c>
    </row>
    <row r="1319" customFormat="false" ht="15" hidden="false" customHeight="false" outlineLevel="0" collapsed="false">
      <c r="A1319" s="12" t="n">
        <v>1315</v>
      </c>
      <c r="B1319" s="10" t="s">
        <v>1444</v>
      </c>
      <c r="C1319" s="10" t="s">
        <v>107</v>
      </c>
      <c r="D1319" s="11" t="n">
        <v>0.00297152777777778</v>
      </c>
      <c r="E1319" s="18" t="n">
        <f aca="false">ROUND((D1319-$D$5)*86400,2)</f>
        <v>31.71</v>
      </c>
      <c r="F1319" s="12" t="n">
        <v>988</v>
      </c>
      <c r="G1319" s="11" t="n">
        <f aca="false">IF(INDEX(選手一覧!$D$7:$D$2738,$F1319)="","",INDEX(選手一覧!$D$7:$D$2738,$F1319))</f>
        <v>0.0110171296296296</v>
      </c>
      <c r="H1319" s="12" t="n">
        <f aca="false">IF(INDEX(選手一覧!$E$7:$E$2738,$F1319)="","",INDEX(選手一覧!$E$7:$E$2738,$F1319))</f>
        <v>1122</v>
      </c>
      <c r="I1319" s="11" t="n">
        <f aca="false">IF(INDEX(選手一覧!$F$7:$F$2738,$F1319)="","",INDEX(選手一覧!$F$7:$F$2738,$F1319))</f>
        <v>0.00709490740740741</v>
      </c>
      <c r="J1319" s="12" t="n">
        <f aca="false">IF(INDEX(選手一覧!$G$7:$G$2738,$F1319)="","",INDEX(選手一覧!$G$7:$G$2738,$F1319))</f>
        <v>442</v>
      </c>
    </row>
    <row r="1320" customFormat="false" ht="15" hidden="false" customHeight="false" outlineLevel="0" collapsed="false">
      <c r="A1320" s="12" t="n">
        <v>1316</v>
      </c>
      <c r="B1320" s="10" t="s">
        <v>802</v>
      </c>
      <c r="C1320" s="10" t="s">
        <v>803</v>
      </c>
      <c r="D1320" s="11" t="n">
        <v>0.00297164351851852</v>
      </c>
      <c r="E1320" s="18" t="n">
        <f aca="false">ROUND((D1320-$D$5)*86400,2)</f>
        <v>31.72</v>
      </c>
      <c r="F1320" s="12" t="n">
        <v>524</v>
      </c>
      <c r="G1320" s="11" t="n">
        <f aca="false">IF(INDEX(選手一覧!$D$7:$D$2738,$F1320)="","",INDEX(選手一覧!$D$7:$D$2738,$F1320))</f>
        <v>0.0109100694444444</v>
      </c>
      <c r="H1320" s="12" t="n">
        <f aca="false">IF(INDEX(選手一覧!$E$7:$E$2738,$F1320)="","",INDEX(選手一覧!$E$7:$E$2738,$F1320))</f>
        <v>938</v>
      </c>
      <c r="I1320" s="11" t="n">
        <f aca="false">IF(INDEX(選手一覧!$F$7:$F$2738,$F1320)="","",INDEX(選手一覧!$F$7:$F$2738,$F1320))</f>
        <v>0.00687256944444444</v>
      </c>
      <c r="J1320" s="12" t="n">
        <f aca="false">IF(INDEX(選手一覧!$G$7:$G$2738,$F1320)="","",INDEX(選手一覧!$G$7:$G$2738,$F1320))</f>
        <v>220</v>
      </c>
    </row>
    <row r="1321" customFormat="false" ht="15" hidden="false" customHeight="false" outlineLevel="0" collapsed="false">
      <c r="A1321" s="12" t="n">
        <v>1317</v>
      </c>
      <c r="B1321" s="10" t="s">
        <v>3745</v>
      </c>
      <c r="C1321" s="10" t="s">
        <v>1223</v>
      </c>
      <c r="D1321" s="11" t="n">
        <v>0.00297175925925926</v>
      </c>
      <c r="E1321" s="18" t="n">
        <f aca="false">ROUND((D1321-$D$5)*86400,2)</f>
        <v>31.73</v>
      </c>
      <c r="F1321" s="12" t="n">
        <v>2654</v>
      </c>
      <c r="G1321" s="11" t="str">
        <f aca="false">IF(INDEX(選手一覧!$D$7:$D$2738,$F1321)="","",INDEX(選手一覧!$D$7:$D$2738,$F1321))</f>
        <v/>
      </c>
      <c r="H1321" s="12" t="str">
        <f aca="false">IF(INDEX(選手一覧!$E$7:$E$2738,$F1321)="","",INDEX(選手一覧!$E$7:$E$2738,$F1321))</f>
        <v/>
      </c>
      <c r="I1321" s="11" t="str">
        <f aca="false">IF(INDEX(選手一覧!$F$7:$F$2738,$F1321)="","",INDEX(選手一覧!$F$7:$F$2738,$F1321))</f>
        <v/>
      </c>
      <c r="J1321" s="12" t="str">
        <f aca="false">IF(INDEX(選手一覧!$G$7:$G$2738,$F1321)="","",INDEX(選手一覧!$G$7:$G$2738,$F1321))</f>
        <v/>
      </c>
    </row>
    <row r="1322" customFormat="false" ht="15" hidden="false" customHeight="false" outlineLevel="0" collapsed="false">
      <c r="A1322" s="12" t="n">
        <v>1318</v>
      </c>
      <c r="B1322" s="10" t="s">
        <v>3747</v>
      </c>
      <c r="C1322" s="10" t="s">
        <v>546</v>
      </c>
      <c r="D1322" s="11" t="n">
        <v>0.00297222222222222</v>
      </c>
      <c r="E1322" s="18" t="n">
        <f aca="false">ROUND((D1322-$D$5)*86400,2)</f>
        <v>31.77</v>
      </c>
      <c r="F1322" s="12" t="n">
        <v>2656</v>
      </c>
      <c r="G1322" s="11" t="str">
        <f aca="false">IF(INDEX(選手一覧!$D$7:$D$2738,$F1322)="","",INDEX(選手一覧!$D$7:$D$2738,$F1322))</f>
        <v/>
      </c>
      <c r="H1322" s="12" t="str">
        <f aca="false">IF(INDEX(選手一覧!$E$7:$E$2738,$F1322)="","",INDEX(選手一覧!$E$7:$E$2738,$F1322))</f>
        <v/>
      </c>
      <c r="I1322" s="11" t="str">
        <f aca="false">IF(INDEX(選手一覧!$F$7:$F$2738,$F1322)="","",INDEX(選手一覧!$F$7:$F$2738,$F1322))</f>
        <v/>
      </c>
      <c r="J1322" s="12" t="str">
        <f aca="false">IF(INDEX(選手一覧!$G$7:$G$2738,$F1322)="","",INDEX(選手一覧!$G$7:$G$2738,$F1322))</f>
        <v/>
      </c>
    </row>
    <row r="1323" customFormat="false" ht="15" hidden="false" customHeight="false" outlineLevel="0" collapsed="false">
      <c r="A1323" s="12" t="n">
        <v>1319</v>
      </c>
      <c r="B1323" s="10" t="s">
        <v>2869</v>
      </c>
      <c r="C1323" s="10" t="s">
        <v>874</v>
      </c>
      <c r="D1323" s="11" t="n">
        <v>0.00297222222222222</v>
      </c>
      <c r="E1323" s="18" t="n">
        <f aca="false">ROUND((D1323-$D$5)*86400,2)</f>
        <v>31.77</v>
      </c>
      <c r="F1323" s="12" t="n">
        <v>2008</v>
      </c>
      <c r="G1323" s="11" t="n">
        <f aca="false">IF(INDEX(選手一覧!$D$7:$D$2738,$F1323)="","",INDEX(選手一覧!$D$7:$D$2738,$F1323))</f>
        <v>0.0109334490740741</v>
      </c>
      <c r="H1323" s="12" t="n">
        <f aca="false">IF(INDEX(選手一覧!$E$7:$E$2738,$F1323)="","",INDEX(選手一覧!$E$7:$E$2738,$F1323))</f>
        <v>973</v>
      </c>
      <c r="I1323" s="11" t="str">
        <f aca="false">IF(INDEX(選手一覧!$F$7:$F$2738,$F1323)="","",INDEX(選手一覧!$F$7:$F$2738,$F1323))</f>
        <v/>
      </c>
      <c r="J1323" s="12" t="str">
        <f aca="false">IF(INDEX(選手一覧!$G$7:$G$2738,$F1323)="","",INDEX(選手一覧!$G$7:$G$2738,$F1323))</f>
        <v/>
      </c>
    </row>
    <row r="1324" customFormat="false" ht="15" hidden="false" customHeight="false" outlineLevel="0" collapsed="false">
      <c r="A1324" s="12" t="n">
        <v>1320</v>
      </c>
      <c r="B1324" s="10" t="s">
        <v>2758</v>
      </c>
      <c r="C1324" s="10" t="s">
        <v>2024</v>
      </c>
      <c r="D1324" s="11" t="n">
        <v>0.00297268518518519</v>
      </c>
      <c r="E1324" s="18" t="n">
        <f aca="false">ROUND((D1324-$D$5)*86400,2)</f>
        <v>31.81</v>
      </c>
      <c r="F1324" s="12" t="n">
        <v>1932</v>
      </c>
      <c r="G1324" s="11" t="n">
        <f aca="false">IF(INDEX(選手一覧!$D$7:$D$2738,$F1324)="","",INDEX(選手一覧!$D$7:$D$2738,$F1324))</f>
        <v>0.0109074074074074</v>
      </c>
      <c r="H1324" s="12" t="n">
        <f aca="false">IF(INDEX(選手一覧!$E$7:$E$2738,$F1324)="","",INDEX(選手一覧!$E$7:$E$2738,$F1324))</f>
        <v>932</v>
      </c>
      <c r="I1324" s="11" t="n">
        <f aca="false">IF(INDEX(選手一覧!$F$7:$F$2738,$F1324)="","",INDEX(選手一覧!$F$7:$F$2738,$F1324))</f>
        <v>0.0076775462962963</v>
      </c>
      <c r="J1324" s="12" t="n">
        <f aca="false">IF(INDEX(選手一覧!$G$7:$G$2738,$F1324)="","",INDEX(選手一覧!$G$7:$G$2738,$F1324))</f>
        <v>1056</v>
      </c>
    </row>
    <row r="1325" customFormat="false" ht="15" hidden="false" customHeight="false" outlineLevel="0" collapsed="false">
      <c r="A1325" s="12" t="n">
        <v>1321</v>
      </c>
      <c r="B1325" s="10" t="s">
        <v>3753</v>
      </c>
      <c r="C1325" s="10" t="s">
        <v>3754</v>
      </c>
      <c r="D1325" s="11" t="n">
        <v>0.00297337962962963</v>
      </c>
      <c r="E1325" s="18" t="n">
        <f aca="false">ROUND((D1325-$D$5)*86400,2)</f>
        <v>31.87</v>
      </c>
      <c r="F1325" s="12" t="n">
        <v>2660</v>
      </c>
      <c r="G1325" s="11" t="str">
        <f aca="false">IF(INDEX(選手一覧!$D$7:$D$2738,$F1325)="","",INDEX(選手一覧!$D$7:$D$2738,$F1325))</f>
        <v/>
      </c>
      <c r="H1325" s="12" t="str">
        <f aca="false">IF(INDEX(選手一覧!$E$7:$E$2738,$F1325)="","",INDEX(選手一覧!$E$7:$E$2738,$F1325))</f>
        <v/>
      </c>
      <c r="I1325" s="11" t="str">
        <f aca="false">IF(INDEX(選手一覧!$F$7:$F$2738,$F1325)="","",INDEX(選手一覧!$F$7:$F$2738,$F1325))</f>
        <v/>
      </c>
      <c r="J1325" s="12" t="str">
        <f aca="false">IF(INDEX(選手一覧!$G$7:$G$2738,$F1325)="","",INDEX(選手一覧!$G$7:$G$2738,$F1325))</f>
        <v/>
      </c>
    </row>
    <row r="1326" customFormat="false" ht="15" hidden="false" customHeight="false" outlineLevel="0" collapsed="false">
      <c r="A1326" s="12" t="n">
        <v>1322</v>
      </c>
      <c r="B1326" s="10" t="s">
        <v>3756</v>
      </c>
      <c r="C1326" s="10" t="s">
        <v>1205</v>
      </c>
      <c r="D1326" s="11" t="n">
        <v>0.00297372685185185</v>
      </c>
      <c r="E1326" s="18" t="n">
        <f aca="false">ROUND((D1326-$D$5)*86400,2)</f>
        <v>31.9</v>
      </c>
      <c r="F1326" s="12" t="n">
        <v>2662</v>
      </c>
      <c r="G1326" s="11" t="str">
        <f aca="false">IF(INDEX(選手一覧!$D$7:$D$2738,$F1326)="","",INDEX(選手一覧!$D$7:$D$2738,$F1326))</f>
        <v/>
      </c>
      <c r="H1326" s="12" t="str">
        <f aca="false">IF(INDEX(選手一覧!$E$7:$E$2738,$F1326)="","",INDEX(選手一覧!$E$7:$E$2738,$F1326))</f>
        <v/>
      </c>
      <c r="I1326" s="11" t="str">
        <f aca="false">IF(INDEX(選手一覧!$F$7:$F$2738,$F1326)="","",INDEX(選手一覧!$F$7:$F$2738,$F1326))</f>
        <v/>
      </c>
      <c r="J1326" s="12" t="str">
        <f aca="false">IF(INDEX(選手一覧!$G$7:$G$2738,$F1326)="","",INDEX(選手一覧!$G$7:$G$2738,$F1326))</f>
        <v/>
      </c>
    </row>
    <row r="1327" customFormat="false" ht="15" hidden="false" customHeight="false" outlineLevel="0" collapsed="false">
      <c r="A1327" s="12" t="n">
        <v>1323</v>
      </c>
      <c r="B1327" s="10" t="s">
        <v>2825</v>
      </c>
      <c r="C1327" s="10" t="s">
        <v>1005</v>
      </c>
      <c r="D1327" s="11" t="n">
        <v>0.00297407407407407</v>
      </c>
      <c r="E1327" s="18" t="n">
        <f aca="false">ROUND((D1327-$D$5)*86400,2)</f>
        <v>31.93</v>
      </c>
      <c r="F1327" s="12" t="n">
        <v>1979</v>
      </c>
      <c r="G1327" s="11" t="n">
        <f aca="false">IF(INDEX(選手一覧!$D$7:$D$2738,$F1327)="","",INDEX(選手一覧!$D$7:$D$2738,$F1327))</f>
        <v>0.0109230324074074</v>
      </c>
      <c r="H1327" s="12" t="n">
        <f aca="false">IF(INDEX(選手一覧!$E$7:$E$2738,$F1327)="","",INDEX(選手一覧!$E$7:$E$2738,$F1327))</f>
        <v>958</v>
      </c>
      <c r="I1327" s="11" t="str">
        <f aca="false">IF(INDEX(選手一覧!$F$7:$F$2738,$F1327)="","",INDEX(選手一覧!$F$7:$F$2738,$F1327))</f>
        <v/>
      </c>
      <c r="J1327" s="12" t="str">
        <f aca="false">IF(INDEX(選手一覧!$G$7:$G$2738,$F1327)="","",INDEX(選手一覧!$G$7:$G$2738,$F1327))</f>
        <v/>
      </c>
    </row>
    <row r="1328" customFormat="false" ht="15" hidden="false" customHeight="false" outlineLevel="0" collapsed="false">
      <c r="A1328" s="12" t="n">
        <v>1324</v>
      </c>
      <c r="B1328" s="10" t="s">
        <v>3459</v>
      </c>
      <c r="C1328" s="10" t="s">
        <v>577</v>
      </c>
      <c r="D1328" s="11" t="n">
        <v>0.00297430555555556</v>
      </c>
      <c r="E1328" s="18" t="n">
        <f aca="false">ROUND((D1328-$D$5)*86400,2)</f>
        <v>31.95</v>
      </c>
      <c r="F1328" s="12" t="n">
        <v>2437</v>
      </c>
      <c r="G1328" s="11" t="n">
        <f aca="false">IF(INDEX(選手一覧!$D$7:$D$2738,$F1328)="","",INDEX(選手一覧!$D$7:$D$2738,$F1328))</f>
        <v>0.011050462962963</v>
      </c>
      <c r="H1328" s="12" t="n">
        <f aca="false">IF(INDEX(選手一覧!$E$7:$E$2738,$F1328)="","",INDEX(選手一覧!$E$7:$E$2738,$F1328))</f>
        <v>1198</v>
      </c>
      <c r="I1328" s="11" t="str">
        <f aca="false">IF(INDEX(選手一覧!$F$7:$F$2738,$F1328)="","",INDEX(選手一覧!$F$7:$F$2738,$F1328))</f>
        <v/>
      </c>
      <c r="J1328" s="12" t="str">
        <f aca="false">IF(INDEX(選手一覧!$G$7:$G$2738,$F1328)="","",INDEX(選手一覧!$G$7:$G$2738,$F1328))</f>
        <v/>
      </c>
    </row>
    <row r="1329" customFormat="false" ht="15" hidden="false" customHeight="false" outlineLevel="0" collapsed="false">
      <c r="A1329" s="12" t="n">
        <v>1325</v>
      </c>
      <c r="B1329" s="10" t="s">
        <v>3761</v>
      </c>
      <c r="C1329" s="10" t="s">
        <v>2769</v>
      </c>
      <c r="D1329" s="11" t="n">
        <v>0.00297465277777778</v>
      </c>
      <c r="E1329" s="18" t="n">
        <f aca="false">ROUND((D1329-$D$5)*86400,2)</f>
        <v>31.98</v>
      </c>
      <c r="F1329" s="12" t="n">
        <v>2666</v>
      </c>
      <c r="G1329" s="11" t="str">
        <f aca="false">IF(INDEX(選手一覧!$D$7:$D$2738,$F1329)="","",INDEX(選手一覧!$D$7:$D$2738,$F1329))</f>
        <v/>
      </c>
      <c r="H1329" s="12" t="str">
        <f aca="false">IF(INDEX(選手一覧!$E$7:$E$2738,$F1329)="","",INDEX(選手一覧!$E$7:$E$2738,$F1329))</f>
        <v/>
      </c>
      <c r="I1329" s="11" t="str">
        <f aca="false">IF(INDEX(選手一覧!$F$7:$F$2738,$F1329)="","",INDEX(選手一覧!$F$7:$F$2738,$F1329))</f>
        <v/>
      </c>
      <c r="J1329" s="12" t="str">
        <f aca="false">IF(INDEX(選手一覧!$G$7:$G$2738,$F1329)="","",INDEX(選手一覧!$G$7:$G$2738,$F1329))</f>
        <v/>
      </c>
    </row>
    <row r="1330" customFormat="false" ht="15" hidden="false" customHeight="false" outlineLevel="0" collapsed="false">
      <c r="A1330" s="12" t="n">
        <v>1326</v>
      </c>
      <c r="B1330" s="10" t="s">
        <v>1722</v>
      </c>
      <c r="C1330" s="10" t="s">
        <v>1723</v>
      </c>
      <c r="D1330" s="11" t="n">
        <v>0.00297523148148148</v>
      </c>
      <c r="E1330" s="18" t="n">
        <f aca="false">ROUND((D1330-$D$5)*86400,2)</f>
        <v>32.03</v>
      </c>
      <c r="F1330" s="12" t="n">
        <v>1187</v>
      </c>
      <c r="G1330" s="11" t="str">
        <f aca="false">IF(INDEX(選手一覧!$D$7:$D$2738,$F1330)="","",INDEX(選手一覧!$D$7:$D$2738,$F1330))</f>
        <v/>
      </c>
      <c r="H1330" s="12" t="str">
        <f aca="false">IF(INDEX(選手一覧!$E$7:$E$2738,$F1330)="","",INDEX(選手一覧!$E$7:$E$2738,$F1330))</f>
        <v/>
      </c>
      <c r="I1330" s="11" t="n">
        <f aca="false">IF(INDEX(選手一覧!$F$7:$F$2738,$F1330)="","",INDEX(選手一覧!$F$7:$F$2738,$F1330))</f>
        <v>0.00720856481481482</v>
      </c>
      <c r="J1330" s="12" t="n">
        <f aca="false">IF(INDEX(選手一覧!$G$7:$G$2738,$F1330)="","",INDEX(選手一覧!$G$7:$G$2738,$F1330))</f>
        <v>544</v>
      </c>
    </row>
    <row r="1331" customFormat="false" ht="15" hidden="false" customHeight="false" outlineLevel="0" collapsed="false">
      <c r="A1331" s="12" t="n">
        <v>1327</v>
      </c>
      <c r="B1331" s="10" t="s">
        <v>3765</v>
      </c>
      <c r="C1331" s="10" t="s">
        <v>32</v>
      </c>
      <c r="D1331" s="11" t="n">
        <v>0.00297523148148148</v>
      </c>
      <c r="E1331" s="18" t="n">
        <f aca="false">ROUND((D1331-$D$5)*86400,2)</f>
        <v>32.03</v>
      </c>
      <c r="F1331" s="12" t="n">
        <v>2669</v>
      </c>
      <c r="G1331" s="11" t="str">
        <f aca="false">IF(INDEX(選手一覧!$D$7:$D$2738,$F1331)="","",INDEX(選手一覧!$D$7:$D$2738,$F1331))</f>
        <v/>
      </c>
      <c r="H1331" s="12" t="str">
        <f aca="false">IF(INDEX(選手一覧!$E$7:$E$2738,$F1331)="","",INDEX(選手一覧!$E$7:$E$2738,$F1331))</f>
        <v/>
      </c>
      <c r="I1331" s="11" t="str">
        <f aca="false">IF(INDEX(選手一覧!$F$7:$F$2738,$F1331)="","",INDEX(選手一覧!$F$7:$F$2738,$F1331))</f>
        <v/>
      </c>
      <c r="J1331" s="12" t="str">
        <f aca="false">IF(INDEX(選手一覧!$G$7:$G$2738,$F1331)="","",INDEX(選手一覧!$G$7:$G$2738,$F1331))</f>
        <v/>
      </c>
    </row>
    <row r="1332" customFormat="false" ht="15" hidden="false" customHeight="false" outlineLevel="0" collapsed="false">
      <c r="A1332" s="12" t="n">
        <v>1328</v>
      </c>
      <c r="B1332" s="10" t="s">
        <v>2525</v>
      </c>
      <c r="C1332" s="10" t="s">
        <v>660</v>
      </c>
      <c r="D1332" s="11" t="n">
        <v>0.00297523148148148</v>
      </c>
      <c r="E1332" s="18" t="n">
        <f aca="false">ROUND((D1332-$D$5)*86400,2)</f>
        <v>32.03</v>
      </c>
      <c r="F1332" s="12" t="n">
        <v>1763</v>
      </c>
      <c r="G1332" s="11" t="n">
        <f aca="false">IF(INDEX(選手一覧!$D$7:$D$2738,$F1332)="","",INDEX(選手一覧!$D$7:$D$2738,$F1332))</f>
        <v>0.0108545138888889</v>
      </c>
      <c r="H1332" s="12" t="n">
        <f aca="false">IF(INDEX(選手一覧!$E$7:$E$2738,$F1332)="","",INDEX(選手一覧!$E$7:$E$2738,$F1332))</f>
        <v>843</v>
      </c>
      <c r="I1332" s="11" t="str">
        <f aca="false">IF(INDEX(選手一覧!$F$7:$F$2738,$F1332)="","",INDEX(選手一覧!$F$7:$F$2738,$F1332))</f>
        <v/>
      </c>
      <c r="J1332" s="12" t="str">
        <f aca="false">IF(INDEX(選手一覧!$G$7:$G$2738,$F1332)="","",INDEX(選手一覧!$G$7:$G$2738,$F1332))</f>
        <v/>
      </c>
    </row>
    <row r="1333" customFormat="false" ht="15" hidden="false" customHeight="false" outlineLevel="0" collapsed="false">
      <c r="A1333" s="12" t="n">
        <v>1329</v>
      </c>
      <c r="B1333" s="10" t="s">
        <v>1706</v>
      </c>
      <c r="C1333" s="10" t="s">
        <v>254</v>
      </c>
      <c r="D1333" s="11" t="n">
        <v>0.0029755787037037</v>
      </c>
      <c r="E1333" s="18" t="n">
        <f aca="false">ROUND((D1333-$D$5)*86400,2)</f>
        <v>32.06</v>
      </c>
      <c r="F1333" s="12" t="n">
        <v>1176</v>
      </c>
      <c r="G1333" s="11" t="str">
        <f aca="false">IF(INDEX(選手一覧!$D$7:$D$2738,$F1333)="","",INDEX(選手一覧!$D$7:$D$2738,$F1333))</f>
        <v/>
      </c>
      <c r="H1333" s="12" t="str">
        <f aca="false">IF(INDEX(選手一覧!$E$7:$E$2738,$F1333)="","",INDEX(選手一覧!$E$7:$E$2738,$F1333))</f>
        <v/>
      </c>
      <c r="I1333" s="11" t="n">
        <f aca="false">IF(INDEX(選手一覧!$F$7:$F$2738,$F1333)="","",INDEX(選手一覧!$F$7:$F$2738,$F1333))</f>
        <v>0.00720127314814815</v>
      </c>
      <c r="J1333" s="12" t="n">
        <f aca="false">IF(INDEX(選手一覧!$G$7:$G$2738,$F1333)="","",INDEX(選手一覧!$G$7:$G$2738,$F1333))</f>
        <v>538</v>
      </c>
    </row>
    <row r="1334" customFormat="false" ht="15" hidden="false" customHeight="false" outlineLevel="0" collapsed="false">
      <c r="A1334" s="12" t="n">
        <v>1330</v>
      </c>
      <c r="B1334" s="10" t="s">
        <v>2051</v>
      </c>
      <c r="C1334" s="10" t="s">
        <v>27</v>
      </c>
      <c r="D1334" s="11" t="n">
        <v>0.00297569444444445</v>
      </c>
      <c r="E1334" s="18" t="n">
        <f aca="false">ROUND((D1334-$D$5)*86400,2)</f>
        <v>32.07</v>
      </c>
      <c r="F1334" s="12" t="n">
        <v>1417</v>
      </c>
      <c r="G1334" s="11" t="n">
        <f aca="false">IF(INDEX(選手一覧!$D$7:$D$2738,$F1334)="","",INDEX(選手一覧!$D$7:$D$2738,$F1334))</f>
        <v>0.0107510416666667</v>
      </c>
      <c r="H1334" s="12" t="n">
        <f aca="false">IF(INDEX(選手一覧!$E$7:$E$2738,$F1334)="","",INDEX(選手一覧!$E$7:$E$2738,$F1334))</f>
        <v>669</v>
      </c>
      <c r="I1334" s="11" t="str">
        <f aca="false">IF(INDEX(選手一覧!$F$7:$F$2738,$F1334)="","",INDEX(選手一覧!$F$7:$F$2738,$F1334))</f>
        <v/>
      </c>
      <c r="J1334" s="12" t="str">
        <f aca="false">IF(INDEX(選手一覧!$G$7:$G$2738,$F1334)="","",INDEX(選手一覧!$G$7:$G$2738,$F1334))</f>
        <v/>
      </c>
    </row>
    <row r="1335" customFormat="false" ht="15" hidden="false" customHeight="false" outlineLevel="0" collapsed="false">
      <c r="A1335" s="12" t="n">
        <v>1331</v>
      </c>
      <c r="B1335" s="10" t="s">
        <v>3773</v>
      </c>
      <c r="C1335" s="10" t="s">
        <v>803</v>
      </c>
      <c r="D1335" s="11" t="n">
        <v>0.00297569444444445</v>
      </c>
      <c r="E1335" s="18" t="n">
        <f aca="false">ROUND((D1335-$D$5)*86400,2)</f>
        <v>32.07</v>
      </c>
      <c r="F1335" s="12" t="n">
        <v>2674</v>
      </c>
      <c r="G1335" s="11" t="str">
        <f aca="false">IF(INDEX(選手一覧!$D$7:$D$2738,$F1335)="","",INDEX(選手一覧!$D$7:$D$2738,$F1335))</f>
        <v/>
      </c>
      <c r="H1335" s="12" t="str">
        <f aca="false">IF(INDEX(選手一覧!$E$7:$E$2738,$F1335)="","",INDEX(選手一覧!$E$7:$E$2738,$F1335))</f>
        <v/>
      </c>
      <c r="I1335" s="11" t="str">
        <f aca="false">IF(INDEX(選手一覧!$F$7:$F$2738,$F1335)="","",INDEX(選手一覧!$F$7:$F$2738,$F1335))</f>
        <v/>
      </c>
      <c r="J1335" s="12" t="str">
        <f aca="false">IF(INDEX(選手一覧!$G$7:$G$2738,$F1335)="","",INDEX(選手一覧!$G$7:$G$2738,$F1335))</f>
        <v/>
      </c>
    </row>
    <row r="1336" customFormat="false" ht="15" hidden="false" customHeight="false" outlineLevel="0" collapsed="false">
      <c r="A1336" s="12" t="n">
        <v>1332</v>
      </c>
      <c r="B1336" s="10" t="s">
        <v>2694</v>
      </c>
      <c r="C1336" s="10" t="s">
        <v>134</v>
      </c>
      <c r="D1336" s="11" t="n">
        <v>0.00297569444444445</v>
      </c>
      <c r="E1336" s="18" t="n">
        <f aca="false">ROUND((D1336-$D$5)*86400,2)</f>
        <v>32.07</v>
      </c>
      <c r="F1336" s="12" t="n">
        <v>1886</v>
      </c>
      <c r="G1336" s="11" t="n">
        <f aca="false">IF(INDEX(選手一覧!$D$7:$D$2738,$F1336)="","",INDEX(選手一覧!$D$7:$D$2738,$F1336))</f>
        <v>0.0108908564814815</v>
      </c>
      <c r="H1336" s="12" t="n">
        <f aca="false">IF(INDEX(選手一覧!$E$7:$E$2738,$F1336)="","",INDEX(選手一覧!$E$7:$E$2738,$F1336))</f>
        <v>905</v>
      </c>
      <c r="I1336" s="11" t="str">
        <f aca="false">IF(INDEX(選手一覧!$F$7:$F$2738,$F1336)="","",INDEX(選手一覧!$F$7:$F$2738,$F1336))</f>
        <v/>
      </c>
      <c r="J1336" s="12" t="str">
        <f aca="false">IF(INDEX(選手一覧!$G$7:$G$2738,$F1336)="","",INDEX(選手一覧!$G$7:$G$2738,$F1336))</f>
        <v/>
      </c>
    </row>
    <row r="1337" customFormat="false" ht="15" hidden="false" customHeight="false" outlineLevel="0" collapsed="false">
      <c r="A1337" s="12" t="n">
        <v>1333</v>
      </c>
      <c r="B1337" s="10" t="s">
        <v>2316</v>
      </c>
      <c r="C1337" s="10" t="s">
        <v>906</v>
      </c>
      <c r="D1337" s="11" t="n">
        <v>0.00297581018518519</v>
      </c>
      <c r="E1337" s="18" t="n">
        <f aca="false">ROUND((D1337-$D$5)*86400,2)</f>
        <v>32.08</v>
      </c>
      <c r="F1337" s="12" t="n">
        <v>1599</v>
      </c>
      <c r="G1337" s="11" t="str">
        <f aca="false">IF(INDEX(選手一覧!$D$7:$D$2738,$F1337)="","",INDEX(選手一覧!$D$7:$D$2738,$F1337))</f>
        <v/>
      </c>
      <c r="H1337" s="12" t="str">
        <f aca="false">IF(INDEX(選手一覧!$E$7:$E$2738,$F1337)="","",INDEX(選手一覧!$E$7:$E$2738,$F1337))</f>
        <v/>
      </c>
      <c r="I1337" s="11" t="n">
        <f aca="false">IF(INDEX(選手一覧!$F$7:$F$2738,$F1337)="","",INDEX(選手一覧!$F$7:$F$2738,$F1337))</f>
        <v>0.00738969907407408</v>
      </c>
      <c r="J1337" s="12" t="n">
        <f aca="false">IF(INDEX(選手一覧!$G$7:$G$2738,$F1337)="","",INDEX(選手一覧!$G$7:$G$2738,$F1337))</f>
        <v>762</v>
      </c>
    </row>
    <row r="1338" customFormat="false" ht="15" hidden="false" customHeight="false" outlineLevel="0" collapsed="false">
      <c r="A1338" s="12" t="n">
        <v>1334</v>
      </c>
      <c r="B1338" s="10" t="s">
        <v>3779</v>
      </c>
      <c r="C1338" s="10" t="s">
        <v>326</v>
      </c>
      <c r="D1338" s="11" t="n">
        <v>0.00297604166666667</v>
      </c>
      <c r="E1338" s="18" t="n">
        <f aca="false">ROUND((D1338-$D$5)*86400,2)</f>
        <v>32.1</v>
      </c>
      <c r="F1338" s="12" t="n">
        <v>2678</v>
      </c>
      <c r="G1338" s="11" t="str">
        <f aca="false">IF(INDEX(選手一覧!$D$7:$D$2738,$F1338)="","",INDEX(選手一覧!$D$7:$D$2738,$F1338))</f>
        <v/>
      </c>
      <c r="H1338" s="12" t="str">
        <f aca="false">IF(INDEX(選手一覧!$E$7:$E$2738,$F1338)="","",INDEX(選手一覧!$E$7:$E$2738,$F1338))</f>
        <v/>
      </c>
      <c r="I1338" s="11" t="str">
        <f aca="false">IF(INDEX(選手一覧!$F$7:$F$2738,$F1338)="","",INDEX(選手一覧!$F$7:$F$2738,$F1338))</f>
        <v/>
      </c>
      <c r="J1338" s="12" t="str">
        <f aca="false">IF(INDEX(選手一覧!$G$7:$G$2738,$F1338)="","",INDEX(選手一覧!$G$7:$G$2738,$F1338))</f>
        <v/>
      </c>
    </row>
    <row r="1339" customFormat="false" ht="15" hidden="false" customHeight="false" outlineLevel="0" collapsed="false">
      <c r="A1339" s="12" t="n">
        <v>1335</v>
      </c>
      <c r="B1339" s="10" t="s">
        <v>1446</v>
      </c>
      <c r="C1339" s="10" t="s">
        <v>680</v>
      </c>
      <c r="D1339" s="11" t="n">
        <v>0.00297615740740741</v>
      </c>
      <c r="E1339" s="18" t="n">
        <f aca="false">ROUND((D1339-$D$5)*86400,2)</f>
        <v>32.11</v>
      </c>
      <c r="F1339" s="12" t="n">
        <v>990</v>
      </c>
      <c r="G1339" s="11" t="n">
        <f aca="false">IF(INDEX(選手一覧!$D$7:$D$2738,$F1339)="","",INDEX(選手一覧!$D$7:$D$2738,$F1339))</f>
        <v>0.0105847222222222</v>
      </c>
      <c r="H1339" s="12" t="n">
        <f aca="false">IF(INDEX(選手一覧!$E$7:$E$2738,$F1339)="","",INDEX(選手一覧!$E$7:$E$2738,$F1339))</f>
        <v>443</v>
      </c>
      <c r="I1339" s="11" t="n">
        <f aca="false">IF(INDEX(選手一覧!$F$7:$F$2738,$F1339)="","",INDEX(選手一覧!$F$7:$F$2738,$F1339))</f>
        <v>0.00725046296296296</v>
      </c>
      <c r="J1339" s="12" t="n">
        <f aca="false">IF(INDEX(選手一覧!$G$7:$G$2738,$F1339)="","",INDEX(選手一覧!$G$7:$G$2738,$F1339))</f>
        <v>597</v>
      </c>
    </row>
    <row r="1340" customFormat="false" ht="15" hidden="false" customHeight="false" outlineLevel="0" collapsed="false">
      <c r="A1340" s="12" t="n">
        <v>1336</v>
      </c>
      <c r="B1340" s="10" t="s">
        <v>3784</v>
      </c>
      <c r="C1340" s="10" t="s">
        <v>387</v>
      </c>
      <c r="D1340" s="11" t="n">
        <v>0.00297627314814815</v>
      </c>
      <c r="E1340" s="18" t="n">
        <f aca="false">ROUND((D1340-$D$5)*86400,2)</f>
        <v>32.12</v>
      </c>
      <c r="F1340" s="12" t="n">
        <v>2681</v>
      </c>
      <c r="G1340" s="11" t="str">
        <f aca="false">IF(INDEX(選手一覧!$D$7:$D$2738,$F1340)="","",INDEX(選手一覧!$D$7:$D$2738,$F1340))</f>
        <v/>
      </c>
      <c r="H1340" s="12" t="str">
        <f aca="false">IF(INDEX(選手一覧!$E$7:$E$2738,$F1340)="","",INDEX(選手一覧!$E$7:$E$2738,$F1340))</f>
        <v/>
      </c>
      <c r="I1340" s="11" t="str">
        <f aca="false">IF(INDEX(選手一覧!$F$7:$F$2738,$F1340)="","",INDEX(選手一覧!$F$7:$F$2738,$F1340))</f>
        <v/>
      </c>
      <c r="J1340" s="12" t="str">
        <f aca="false">IF(INDEX(選手一覧!$G$7:$G$2738,$F1340)="","",INDEX(選手一覧!$G$7:$G$2738,$F1340))</f>
        <v/>
      </c>
    </row>
    <row r="1341" customFormat="false" ht="15" hidden="false" customHeight="false" outlineLevel="0" collapsed="false">
      <c r="A1341" s="12" t="n">
        <v>1337</v>
      </c>
      <c r="B1341" s="10" t="s">
        <v>867</v>
      </c>
      <c r="C1341" s="10" t="s">
        <v>302</v>
      </c>
      <c r="D1341" s="11" t="n">
        <v>0.00297673611111111</v>
      </c>
      <c r="E1341" s="18" t="n">
        <f aca="false">ROUND((D1341-$D$5)*86400,2)</f>
        <v>32.16</v>
      </c>
      <c r="F1341" s="12" t="n">
        <v>567</v>
      </c>
      <c r="G1341" s="11" t="n">
        <f aca="false">IF(INDEX(選手一覧!$D$7:$D$2738,$F1341)="","",INDEX(選手一覧!$D$7:$D$2738,$F1341))</f>
        <v>0.0109295138888889</v>
      </c>
      <c r="H1341" s="12" t="n">
        <f aca="false">IF(INDEX(選手一覧!$E$7:$E$2738,$F1341)="","",INDEX(選手一覧!$E$7:$E$2738,$F1341))</f>
        <v>966</v>
      </c>
      <c r="I1341" s="11" t="n">
        <f aca="false">IF(INDEX(選手一覧!$F$7:$F$2738,$F1341)="","",INDEX(選手一覧!$F$7:$F$2738,$F1341))</f>
        <v>0.00689884259259259</v>
      </c>
      <c r="J1341" s="12" t="n">
        <f aca="false">IF(INDEX(選手一覧!$G$7:$G$2738,$F1341)="","",INDEX(選手一覧!$G$7:$G$2738,$F1341))</f>
        <v>239</v>
      </c>
    </row>
    <row r="1342" customFormat="false" ht="15" hidden="false" customHeight="false" outlineLevel="0" collapsed="false">
      <c r="A1342" s="12" t="n">
        <v>1338</v>
      </c>
      <c r="B1342" s="10" t="s">
        <v>3788</v>
      </c>
      <c r="C1342" s="10" t="s">
        <v>1023</v>
      </c>
      <c r="D1342" s="11" t="n">
        <v>0.00297673611111111</v>
      </c>
      <c r="E1342" s="18" t="n">
        <f aca="false">ROUND((D1342-$D$5)*86400,2)</f>
        <v>32.16</v>
      </c>
      <c r="F1342" s="12" t="n">
        <v>2684</v>
      </c>
      <c r="G1342" s="11" t="str">
        <f aca="false">IF(INDEX(選手一覧!$D$7:$D$2738,$F1342)="","",INDEX(選手一覧!$D$7:$D$2738,$F1342))</f>
        <v/>
      </c>
      <c r="H1342" s="12" t="str">
        <f aca="false">IF(INDEX(選手一覧!$E$7:$E$2738,$F1342)="","",INDEX(選手一覧!$E$7:$E$2738,$F1342))</f>
        <v/>
      </c>
      <c r="I1342" s="11" t="str">
        <f aca="false">IF(INDEX(選手一覧!$F$7:$F$2738,$F1342)="","",INDEX(選手一覧!$F$7:$F$2738,$F1342))</f>
        <v/>
      </c>
      <c r="J1342" s="12" t="str">
        <f aca="false">IF(INDEX(選手一覧!$G$7:$G$2738,$F1342)="","",INDEX(選手一覧!$G$7:$G$2738,$F1342))</f>
        <v/>
      </c>
    </row>
    <row r="1343" customFormat="false" ht="15" hidden="false" customHeight="false" outlineLevel="0" collapsed="false">
      <c r="A1343" s="12" t="n">
        <v>1339</v>
      </c>
      <c r="B1343" s="10" t="s">
        <v>1938</v>
      </c>
      <c r="C1343" s="10" t="s">
        <v>213</v>
      </c>
      <c r="D1343" s="11" t="n">
        <v>0.00297673611111111</v>
      </c>
      <c r="E1343" s="18" t="n">
        <f aca="false">ROUND((D1343-$D$5)*86400,2)</f>
        <v>32.16</v>
      </c>
      <c r="F1343" s="12" t="n">
        <v>1331</v>
      </c>
      <c r="G1343" s="11" t="n">
        <f aca="false">IF(INDEX(選手一覧!$D$7:$D$2738,$F1343)="","",INDEX(選手一覧!$D$7:$D$2738,$F1343))</f>
        <v>0.0107248842592593</v>
      </c>
      <c r="H1343" s="12" t="n">
        <f aca="false">IF(INDEX(選手一覧!$E$7:$E$2738,$F1343)="","",INDEX(選手一覧!$E$7:$E$2738,$F1343))</f>
        <v>622</v>
      </c>
      <c r="I1343" s="11" t="str">
        <f aca="false">IF(INDEX(選手一覧!$F$7:$F$2738,$F1343)="","",INDEX(選手一覧!$F$7:$F$2738,$F1343))</f>
        <v/>
      </c>
      <c r="J1343" s="12" t="str">
        <f aca="false">IF(INDEX(選手一覧!$G$7:$G$2738,$F1343)="","",INDEX(選手一覧!$G$7:$G$2738,$F1343))</f>
        <v/>
      </c>
    </row>
    <row r="1344" customFormat="false" ht="15" hidden="false" customHeight="false" outlineLevel="0" collapsed="false">
      <c r="A1344" s="12" t="n">
        <v>1340</v>
      </c>
      <c r="B1344" s="10" t="s">
        <v>2421</v>
      </c>
      <c r="C1344" s="10" t="s">
        <v>440</v>
      </c>
      <c r="D1344" s="11" t="n">
        <v>0.00297685185185185</v>
      </c>
      <c r="E1344" s="18" t="n">
        <f aca="false">ROUND((D1344-$D$5)*86400,2)</f>
        <v>32.17</v>
      </c>
      <c r="F1344" s="12" t="n">
        <v>1685</v>
      </c>
      <c r="G1344" s="11" t="n">
        <f aca="false">IF(INDEX(選手一覧!$D$7:$D$2738,$F1344)="","",INDEX(選手一覧!$D$7:$D$2738,$F1344))</f>
        <v>0.0108377314814815</v>
      </c>
      <c r="H1344" s="12" t="n">
        <f aca="false">IF(INDEX(選手一覧!$E$7:$E$2738,$F1344)="","",INDEX(選手一覧!$E$7:$E$2738,$F1344))</f>
        <v>806</v>
      </c>
      <c r="I1344" s="11" t="str">
        <f aca="false">IF(INDEX(選手一覧!$F$7:$F$2738,$F1344)="","",INDEX(選手一覧!$F$7:$F$2738,$F1344))</f>
        <v/>
      </c>
      <c r="J1344" s="12" t="str">
        <f aca="false">IF(INDEX(選手一覧!$G$7:$G$2738,$F1344)="","",INDEX(選手一覧!$G$7:$G$2738,$F1344))</f>
        <v/>
      </c>
    </row>
    <row r="1345" customFormat="false" ht="15" hidden="false" customHeight="false" outlineLevel="0" collapsed="false">
      <c r="A1345" s="12" t="n">
        <v>1341</v>
      </c>
      <c r="B1345" s="10" t="s">
        <v>3792</v>
      </c>
      <c r="C1345" s="10" t="s">
        <v>1830</v>
      </c>
      <c r="D1345" s="11" t="n">
        <v>0.00297719907407407</v>
      </c>
      <c r="E1345" s="18" t="n">
        <f aca="false">ROUND((D1345-$D$5)*86400,2)</f>
        <v>32.2</v>
      </c>
      <c r="F1345" s="12" t="n">
        <v>2688</v>
      </c>
      <c r="G1345" s="11" t="str">
        <f aca="false">IF(INDEX(選手一覧!$D$7:$D$2738,$F1345)="","",INDEX(選手一覧!$D$7:$D$2738,$F1345))</f>
        <v/>
      </c>
      <c r="H1345" s="12" t="str">
        <f aca="false">IF(INDEX(選手一覧!$E$7:$E$2738,$F1345)="","",INDEX(選手一覧!$E$7:$E$2738,$F1345))</f>
        <v/>
      </c>
      <c r="I1345" s="11" t="str">
        <f aca="false">IF(INDEX(選手一覧!$F$7:$F$2738,$F1345)="","",INDEX(選手一覧!$F$7:$F$2738,$F1345))</f>
        <v/>
      </c>
      <c r="J1345" s="12" t="str">
        <f aca="false">IF(INDEX(選手一覧!$G$7:$G$2738,$F1345)="","",INDEX(選手一覧!$G$7:$G$2738,$F1345))</f>
        <v/>
      </c>
    </row>
    <row r="1346" customFormat="false" ht="15" hidden="false" customHeight="false" outlineLevel="0" collapsed="false">
      <c r="A1346" s="12" t="n">
        <v>1342</v>
      </c>
      <c r="B1346" s="10" t="s">
        <v>3794</v>
      </c>
      <c r="C1346" s="10" t="s">
        <v>1225</v>
      </c>
      <c r="D1346" s="11" t="n">
        <v>0.00297731481481482</v>
      </c>
      <c r="E1346" s="18" t="n">
        <f aca="false">ROUND((D1346-$D$5)*86400,2)</f>
        <v>32.21</v>
      </c>
      <c r="F1346" s="12" t="n">
        <v>2690</v>
      </c>
      <c r="G1346" s="11" t="str">
        <f aca="false">IF(INDEX(選手一覧!$D$7:$D$2738,$F1346)="","",INDEX(選手一覧!$D$7:$D$2738,$F1346))</f>
        <v/>
      </c>
      <c r="H1346" s="12" t="str">
        <f aca="false">IF(INDEX(選手一覧!$E$7:$E$2738,$F1346)="","",INDEX(選手一覧!$E$7:$E$2738,$F1346))</f>
        <v/>
      </c>
      <c r="I1346" s="11" t="str">
        <f aca="false">IF(INDEX(選手一覧!$F$7:$F$2738,$F1346)="","",INDEX(選手一覧!$F$7:$F$2738,$F1346))</f>
        <v/>
      </c>
      <c r="J1346" s="12" t="str">
        <f aca="false">IF(INDEX(選手一覧!$G$7:$G$2738,$F1346)="","",INDEX(選手一覧!$G$7:$G$2738,$F1346))</f>
        <v/>
      </c>
    </row>
    <row r="1347" customFormat="false" ht="15" hidden="false" customHeight="false" outlineLevel="0" collapsed="false">
      <c r="A1347" s="12" t="n">
        <v>1343</v>
      </c>
      <c r="B1347" s="10" t="s">
        <v>1032</v>
      </c>
      <c r="C1347" s="10" t="s">
        <v>1033</v>
      </c>
      <c r="D1347" s="11" t="n">
        <v>0.00297743055555556</v>
      </c>
      <c r="E1347" s="18" t="n">
        <f aca="false">ROUND((D1347-$D$5)*86400,2)</f>
        <v>32.22</v>
      </c>
      <c r="F1347" s="12" t="n">
        <v>693</v>
      </c>
      <c r="G1347" s="11" t="n">
        <f aca="false">IF(INDEX(選手一覧!$D$7:$D$2738,$F1347)="","",INDEX(選手一覧!$D$7:$D$2738,$F1347))</f>
        <v>0.0110798611111111</v>
      </c>
      <c r="H1347" s="12" t="n">
        <f aca="false">IF(INDEX(選手一覧!$E$7:$E$2738,$F1347)="","",INDEX(選手一覧!$E$7:$E$2738,$F1347))</f>
        <v>1251</v>
      </c>
      <c r="I1347" s="11" t="n">
        <f aca="false">IF(INDEX(選手一覧!$F$7:$F$2738,$F1347)="","",INDEX(選手一覧!$F$7:$F$2738,$F1347))</f>
        <v>0.00696331018518519</v>
      </c>
      <c r="J1347" s="12" t="n">
        <f aca="false">IF(INDEX(選手一覧!$G$7:$G$2738,$F1347)="","",INDEX(選手一覧!$G$7:$G$2738,$F1347))</f>
        <v>297</v>
      </c>
    </row>
    <row r="1348" customFormat="false" ht="15" hidden="false" customHeight="false" outlineLevel="0" collapsed="false">
      <c r="A1348" s="12" t="n">
        <v>1344</v>
      </c>
      <c r="B1348" s="10" t="s">
        <v>2325</v>
      </c>
      <c r="C1348" s="10" t="s">
        <v>210</v>
      </c>
      <c r="D1348" s="11" t="n">
        <v>0.0029775462962963</v>
      </c>
      <c r="E1348" s="18" t="n">
        <f aca="false">ROUND((D1348-$D$5)*86400,2)</f>
        <v>32.23</v>
      </c>
      <c r="F1348" s="12" t="n">
        <v>1607</v>
      </c>
      <c r="G1348" s="11" t="n">
        <f aca="false">IF(INDEX(選手一覧!$D$7:$D$2738,$F1348)="","",INDEX(選手一覧!$D$7:$D$2738,$F1348))</f>
        <v>0.0108108796296296</v>
      </c>
      <c r="H1348" s="12" t="n">
        <f aca="false">IF(INDEX(選手一覧!$E$7:$E$2738,$F1348)="","",INDEX(選手一覧!$E$7:$E$2738,$F1348))</f>
        <v>765</v>
      </c>
      <c r="I1348" s="11" t="str">
        <f aca="false">IF(INDEX(選手一覧!$F$7:$F$2738,$F1348)="","",INDEX(選手一覧!$F$7:$F$2738,$F1348))</f>
        <v/>
      </c>
      <c r="J1348" s="12" t="str">
        <f aca="false">IF(INDEX(選手一覧!$G$7:$G$2738,$F1348)="","",INDEX(選手一覧!$G$7:$G$2738,$F1348))</f>
        <v/>
      </c>
    </row>
    <row r="1349" customFormat="false" ht="15" hidden="false" customHeight="false" outlineLevel="0" collapsed="false">
      <c r="A1349" s="12" t="n">
        <v>1345</v>
      </c>
      <c r="B1349" s="10" t="s">
        <v>3799</v>
      </c>
      <c r="C1349" s="10" t="s">
        <v>3800</v>
      </c>
      <c r="D1349" s="11" t="n">
        <v>0.002978125</v>
      </c>
      <c r="E1349" s="18" t="n">
        <f aca="false">ROUND((D1349-$D$5)*86400,2)</f>
        <v>32.28</v>
      </c>
      <c r="F1349" s="12" t="n">
        <v>2694</v>
      </c>
      <c r="G1349" s="11" t="str">
        <f aca="false">IF(INDEX(選手一覧!$D$7:$D$2738,$F1349)="","",INDEX(選手一覧!$D$7:$D$2738,$F1349))</f>
        <v/>
      </c>
      <c r="H1349" s="12" t="str">
        <f aca="false">IF(INDEX(選手一覧!$E$7:$E$2738,$F1349)="","",INDEX(選手一覧!$E$7:$E$2738,$F1349))</f>
        <v/>
      </c>
      <c r="I1349" s="11" t="str">
        <f aca="false">IF(INDEX(選手一覧!$F$7:$F$2738,$F1349)="","",INDEX(選手一覧!$F$7:$F$2738,$F1349))</f>
        <v/>
      </c>
      <c r="J1349" s="12" t="str">
        <f aca="false">IF(INDEX(選手一覧!$G$7:$G$2738,$F1349)="","",INDEX(選手一覧!$G$7:$G$2738,$F1349))</f>
        <v/>
      </c>
    </row>
    <row r="1350" customFormat="false" ht="15" hidden="false" customHeight="false" outlineLevel="0" collapsed="false">
      <c r="A1350" s="12" t="n">
        <v>1346</v>
      </c>
      <c r="B1350" s="10" t="s">
        <v>1104</v>
      </c>
      <c r="C1350" s="10" t="s">
        <v>460</v>
      </c>
      <c r="D1350" s="11" t="n">
        <v>0.00297835648148148</v>
      </c>
      <c r="E1350" s="18" t="n">
        <f aca="false">ROUND((D1350-$D$5)*86400,2)</f>
        <v>32.3</v>
      </c>
      <c r="F1350" s="12" t="n">
        <v>744</v>
      </c>
      <c r="G1350" s="11" t="n">
        <f aca="false">IF(INDEX(選手一覧!$D$7:$D$2738,$F1350)="","",INDEX(選手一覧!$D$7:$D$2738,$F1350))</f>
        <v>0.0104766203703704</v>
      </c>
      <c r="H1350" s="12" t="n">
        <f aca="false">IF(INDEX(選手一覧!$E$7:$E$2738,$F1350)="","",INDEX(選手一覧!$E$7:$E$2738,$F1350))</f>
        <v>322</v>
      </c>
      <c r="I1350" s="11" t="str">
        <f aca="false">IF(INDEX(選手一覧!$F$7:$F$2738,$F1350)="","",INDEX(選手一覧!$F$7:$F$2738,$F1350))</f>
        <v/>
      </c>
      <c r="J1350" s="12" t="str">
        <f aca="false">IF(INDEX(選手一覧!$G$7:$G$2738,$F1350)="","",INDEX(選手一覧!$G$7:$G$2738,$F1350))</f>
        <v/>
      </c>
    </row>
    <row r="1351" customFormat="false" ht="15" hidden="false" customHeight="false" outlineLevel="0" collapsed="false">
      <c r="A1351" s="12" t="n">
        <v>1347</v>
      </c>
      <c r="B1351" s="10" t="s">
        <v>3803</v>
      </c>
      <c r="C1351" s="10" t="s">
        <v>486</v>
      </c>
      <c r="D1351" s="11" t="n">
        <v>0.00297847222222222</v>
      </c>
      <c r="E1351" s="18" t="n">
        <f aca="false">ROUND((D1351-$D$5)*86400,2)</f>
        <v>32.31</v>
      </c>
      <c r="F1351" s="12" t="n">
        <v>2697</v>
      </c>
      <c r="G1351" s="11" t="str">
        <f aca="false">IF(INDEX(選手一覧!$D$7:$D$2738,$F1351)="","",INDEX(選手一覧!$D$7:$D$2738,$F1351))</f>
        <v/>
      </c>
      <c r="H1351" s="12" t="str">
        <f aca="false">IF(INDEX(選手一覧!$E$7:$E$2738,$F1351)="","",INDEX(選手一覧!$E$7:$E$2738,$F1351))</f>
        <v/>
      </c>
      <c r="I1351" s="11" t="str">
        <f aca="false">IF(INDEX(選手一覧!$F$7:$F$2738,$F1351)="","",INDEX(選手一覧!$F$7:$F$2738,$F1351))</f>
        <v/>
      </c>
      <c r="J1351" s="12" t="str">
        <f aca="false">IF(INDEX(選手一覧!$G$7:$G$2738,$F1351)="","",INDEX(選手一覧!$G$7:$G$2738,$F1351))</f>
        <v/>
      </c>
    </row>
    <row r="1352" customFormat="false" ht="15" hidden="false" customHeight="false" outlineLevel="0" collapsed="false">
      <c r="A1352" s="12" t="n">
        <v>1348</v>
      </c>
      <c r="B1352" s="10" t="s">
        <v>3806</v>
      </c>
      <c r="C1352" s="10" t="s">
        <v>2100</v>
      </c>
      <c r="D1352" s="11" t="n">
        <v>0.00297893518518519</v>
      </c>
      <c r="E1352" s="18" t="n">
        <f aca="false">ROUND((D1352-$D$5)*86400,2)</f>
        <v>32.35</v>
      </c>
      <c r="F1352" s="12" t="n">
        <v>2699</v>
      </c>
      <c r="G1352" s="11" t="str">
        <f aca="false">IF(INDEX(選手一覧!$D$7:$D$2738,$F1352)="","",INDEX(選手一覧!$D$7:$D$2738,$F1352))</f>
        <v/>
      </c>
      <c r="H1352" s="12" t="str">
        <f aca="false">IF(INDEX(選手一覧!$E$7:$E$2738,$F1352)="","",INDEX(選手一覧!$E$7:$E$2738,$F1352))</f>
        <v/>
      </c>
      <c r="I1352" s="11" t="str">
        <f aca="false">IF(INDEX(選手一覧!$F$7:$F$2738,$F1352)="","",INDEX(選手一覧!$F$7:$F$2738,$F1352))</f>
        <v/>
      </c>
      <c r="J1352" s="12" t="str">
        <f aca="false">IF(INDEX(選手一覧!$G$7:$G$2738,$F1352)="","",INDEX(選手一覧!$G$7:$G$2738,$F1352))</f>
        <v/>
      </c>
    </row>
    <row r="1353" customFormat="false" ht="15" hidden="false" customHeight="false" outlineLevel="0" collapsed="false">
      <c r="A1353" s="12" t="n">
        <v>1349</v>
      </c>
      <c r="B1353" s="10" t="s">
        <v>2971</v>
      </c>
      <c r="C1353" s="10" t="s">
        <v>754</v>
      </c>
      <c r="D1353" s="11" t="n">
        <v>0.00297916666666667</v>
      </c>
      <c r="E1353" s="18" t="n">
        <f aca="false">ROUND((D1353-$D$5)*86400,2)</f>
        <v>32.37</v>
      </c>
      <c r="F1353" s="12" t="n">
        <v>2086</v>
      </c>
      <c r="G1353" s="11" t="n">
        <f aca="false">IF(INDEX(選手一覧!$D$7:$D$2738,$F1353)="","",INDEX(選手一覧!$D$7:$D$2738,$F1353))</f>
        <v>0.0109548611111111</v>
      </c>
      <c r="H1353" s="12" t="n">
        <f aca="false">IF(INDEX(選手一覧!$E$7:$E$2738,$F1353)="","",INDEX(選手一覧!$E$7:$E$2738,$F1353))</f>
        <v>1013</v>
      </c>
      <c r="I1353" s="11" t="str">
        <f aca="false">IF(INDEX(選手一覧!$F$7:$F$2738,$F1353)="","",INDEX(選手一覧!$F$7:$F$2738,$F1353))</f>
        <v/>
      </c>
      <c r="J1353" s="12" t="str">
        <f aca="false">IF(INDEX(選手一覧!$G$7:$G$2738,$F1353)="","",INDEX(選手一覧!$G$7:$G$2738,$F1353))</f>
        <v/>
      </c>
    </row>
    <row r="1354" customFormat="false" ht="15" hidden="false" customHeight="false" outlineLevel="0" collapsed="false">
      <c r="A1354" s="12" t="n">
        <v>1350</v>
      </c>
      <c r="B1354" s="10" t="s">
        <v>1077</v>
      </c>
      <c r="C1354" s="10" t="s">
        <v>124</v>
      </c>
      <c r="D1354" s="11" t="n">
        <v>0.00297962962962963</v>
      </c>
      <c r="E1354" s="18" t="n">
        <f aca="false">ROUND((D1354-$D$5)*86400,2)</f>
        <v>32.41</v>
      </c>
      <c r="F1354" s="12" t="n">
        <v>723</v>
      </c>
      <c r="G1354" s="11" t="n">
        <f aca="false">IF(INDEX(選手一覧!$D$7:$D$2738,$F1354)="","",INDEX(選手一覧!$D$7:$D$2738,$F1354))</f>
        <v>0.0104604166666667</v>
      </c>
      <c r="H1354" s="12" t="n">
        <f aca="false">IF(INDEX(選手一覧!$E$7:$E$2738,$F1354)="","",INDEX(選手一覧!$E$7:$E$2738,$F1354))</f>
        <v>311</v>
      </c>
      <c r="I1354" s="11" t="str">
        <f aca="false">IF(INDEX(選手一覧!$F$7:$F$2738,$F1354)="","",INDEX(選手一覧!$F$7:$F$2738,$F1354))</f>
        <v/>
      </c>
      <c r="J1354" s="12" t="str">
        <f aca="false">IF(INDEX(選手一覧!$G$7:$G$2738,$F1354)="","",INDEX(選手一覧!$G$7:$G$2738,$F1354))</f>
        <v/>
      </c>
    </row>
    <row r="1355" customFormat="false" ht="15" hidden="false" customHeight="false" outlineLevel="0" collapsed="false">
      <c r="A1355" s="12" t="n">
        <v>1351</v>
      </c>
      <c r="B1355" s="10" t="s">
        <v>1605</v>
      </c>
      <c r="C1355" s="10" t="s">
        <v>688</v>
      </c>
      <c r="D1355" s="11" t="n">
        <v>0.00297962962962963</v>
      </c>
      <c r="E1355" s="18" t="n">
        <f aca="false">ROUND((D1355-$D$5)*86400,2)</f>
        <v>32.41</v>
      </c>
      <c r="F1355" s="12" t="n">
        <v>1108</v>
      </c>
      <c r="G1355" s="11" t="n">
        <f aca="false">IF(INDEX(選手一覧!$D$7:$D$2738,$F1355)="","",INDEX(選手一覧!$D$7:$D$2738,$F1355))</f>
        <v>0.0106230324074074</v>
      </c>
      <c r="H1355" s="12" t="n">
        <f aca="false">IF(INDEX(選手一覧!$E$7:$E$2738,$F1355)="","",INDEX(選手一覧!$E$7:$E$2738,$F1355))</f>
        <v>501</v>
      </c>
      <c r="I1355" s="11" t="str">
        <f aca="false">IF(INDEX(選手一覧!$F$7:$F$2738,$F1355)="","",INDEX(選手一覧!$F$7:$F$2738,$F1355))</f>
        <v/>
      </c>
      <c r="J1355" s="12" t="str">
        <f aca="false">IF(INDEX(選手一覧!$G$7:$G$2738,$F1355)="","",INDEX(選手一覧!$G$7:$G$2738,$F1355))</f>
        <v/>
      </c>
    </row>
    <row r="1356" customFormat="false" ht="15" hidden="false" customHeight="false" outlineLevel="0" collapsed="false">
      <c r="A1356" s="12" t="n">
        <v>1352</v>
      </c>
      <c r="B1356" s="10" t="s">
        <v>3814</v>
      </c>
      <c r="C1356" s="10" t="s">
        <v>511</v>
      </c>
      <c r="D1356" s="11" t="n">
        <v>0.00297997685185185</v>
      </c>
      <c r="E1356" s="18" t="n">
        <f aca="false">ROUND((D1356-$D$5)*86400,2)</f>
        <v>32.44</v>
      </c>
      <c r="F1356" s="12" t="n">
        <v>2704</v>
      </c>
      <c r="G1356" s="11" t="str">
        <f aca="false">IF(INDEX(選手一覧!$D$7:$D$2738,$F1356)="","",INDEX(選手一覧!$D$7:$D$2738,$F1356))</f>
        <v/>
      </c>
      <c r="H1356" s="12" t="str">
        <f aca="false">IF(INDEX(選手一覧!$E$7:$E$2738,$F1356)="","",INDEX(選手一覧!$E$7:$E$2738,$F1356))</f>
        <v/>
      </c>
      <c r="I1356" s="11" t="str">
        <f aca="false">IF(INDEX(選手一覧!$F$7:$F$2738,$F1356)="","",INDEX(選手一覧!$F$7:$F$2738,$F1356))</f>
        <v/>
      </c>
      <c r="J1356" s="12" t="str">
        <f aca="false">IF(INDEX(選手一覧!$G$7:$G$2738,$F1356)="","",INDEX(選手一覧!$G$7:$G$2738,$F1356))</f>
        <v/>
      </c>
    </row>
    <row r="1357" customFormat="false" ht="15" hidden="false" customHeight="false" outlineLevel="0" collapsed="false">
      <c r="A1357" s="12" t="n">
        <v>1353</v>
      </c>
      <c r="B1357" s="10" t="s">
        <v>3816</v>
      </c>
      <c r="C1357" s="10" t="s">
        <v>3020</v>
      </c>
      <c r="D1357" s="11" t="n">
        <v>0.00297997685185185</v>
      </c>
      <c r="E1357" s="18" t="n">
        <f aca="false">ROUND((D1357-$D$5)*86400,2)</f>
        <v>32.44</v>
      </c>
      <c r="F1357" s="12" t="n">
        <v>2706</v>
      </c>
      <c r="G1357" s="11" t="str">
        <f aca="false">IF(INDEX(選手一覧!$D$7:$D$2738,$F1357)="","",INDEX(選手一覧!$D$7:$D$2738,$F1357))</f>
        <v/>
      </c>
      <c r="H1357" s="12" t="str">
        <f aca="false">IF(INDEX(選手一覧!$E$7:$E$2738,$F1357)="","",INDEX(選手一覧!$E$7:$E$2738,$F1357))</f>
        <v/>
      </c>
      <c r="I1357" s="11" t="str">
        <f aca="false">IF(INDEX(選手一覧!$F$7:$F$2738,$F1357)="","",INDEX(選手一覧!$F$7:$F$2738,$F1357))</f>
        <v/>
      </c>
      <c r="J1357" s="12" t="str">
        <f aca="false">IF(INDEX(選手一覧!$G$7:$G$2738,$F1357)="","",INDEX(選手一覧!$G$7:$G$2738,$F1357))</f>
        <v/>
      </c>
    </row>
    <row r="1358" customFormat="false" ht="15" hidden="false" customHeight="false" outlineLevel="0" collapsed="false">
      <c r="A1358" s="12" t="n">
        <v>1354</v>
      </c>
      <c r="B1358" s="10" t="s">
        <v>3818</v>
      </c>
      <c r="C1358" s="10" t="s">
        <v>3819</v>
      </c>
      <c r="D1358" s="11" t="n">
        <v>0.00297997685185185</v>
      </c>
      <c r="E1358" s="18" t="n">
        <f aca="false">ROUND((D1358-$D$5)*86400,2)</f>
        <v>32.44</v>
      </c>
      <c r="F1358" s="12" t="n">
        <v>2708</v>
      </c>
      <c r="G1358" s="11" t="str">
        <f aca="false">IF(INDEX(選手一覧!$D$7:$D$2738,$F1358)="","",INDEX(選手一覧!$D$7:$D$2738,$F1358))</f>
        <v/>
      </c>
      <c r="H1358" s="12" t="str">
        <f aca="false">IF(INDEX(選手一覧!$E$7:$E$2738,$F1358)="","",INDEX(選手一覧!$E$7:$E$2738,$F1358))</f>
        <v/>
      </c>
      <c r="I1358" s="11" t="str">
        <f aca="false">IF(INDEX(選手一覧!$F$7:$F$2738,$F1358)="","",INDEX(選手一覧!$F$7:$F$2738,$F1358))</f>
        <v/>
      </c>
      <c r="J1358" s="12" t="str">
        <f aca="false">IF(INDEX(選手一覧!$G$7:$G$2738,$F1358)="","",INDEX(選手一覧!$G$7:$G$2738,$F1358))</f>
        <v/>
      </c>
    </row>
    <row r="1359" customFormat="false" ht="15" hidden="false" customHeight="false" outlineLevel="0" collapsed="false">
      <c r="A1359" s="12" t="n">
        <v>1355</v>
      </c>
      <c r="B1359" s="10" t="s">
        <v>739</v>
      </c>
      <c r="C1359" s="10" t="s">
        <v>72</v>
      </c>
      <c r="D1359" s="11" t="n">
        <v>0.00298055555555556</v>
      </c>
      <c r="E1359" s="18" t="n">
        <f aca="false">ROUND((D1359-$D$5)*86400,2)</f>
        <v>32.49</v>
      </c>
      <c r="F1359" s="12" t="n">
        <v>477</v>
      </c>
      <c r="G1359" s="11" t="n">
        <f aca="false">IF(INDEX(選手一覧!$D$7:$D$2738,$F1359)="","",INDEX(選手一覧!$D$7:$D$2738,$F1359))</f>
        <v>0.0103476851851852</v>
      </c>
      <c r="H1359" s="12" t="n">
        <f aca="false">IF(INDEX(選手一覧!$E$7:$E$2738,$F1359)="","",INDEX(選手一覧!$E$7:$E$2738,$F1359))</f>
        <v>200</v>
      </c>
      <c r="I1359" s="11" t="str">
        <f aca="false">IF(INDEX(選手一覧!$F$7:$F$2738,$F1359)="","",INDEX(選手一覧!$F$7:$F$2738,$F1359))</f>
        <v/>
      </c>
      <c r="J1359" s="12" t="str">
        <f aca="false">IF(INDEX(選手一覧!$G$7:$G$2738,$F1359)="","",INDEX(選手一覧!$G$7:$G$2738,$F1359))</f>
        <v/>
      </c>
    </row>
    <row r="1360" customFormat="false" ht="15" hidden="false" customHeight="false" outlineLevel="0" collapsed="false">
      <c r="A1360" s="12" t="n">
        <v>1356</v>
      </c>
      <c r="B1360" s="10" t="s">
        <v>499</v>
      </c>
      <c r="C1360" s="10" t="s">
        <v>500</v>
      </c>
      <c r="D1360" s="11" t="n">
        <v>0.00298101851851852</v>
      </c>
      <c r="E1360" s="18" t="n">
        <f aca="false">ROUND((D1360-$D$5)*86400,2)</f>
        <v>32.53</v>
      </c>
      <c r="F1360" s="12" t="n">
        <v>311</v>
      </c>
      <c r="G1360" s="11" t="n">
        <f aca="false">IF(INDEX(選手一覧!$D$7:$D$2738,$F1360)="","",INDEX(選手一覧!$D$7:$D$2738,$F1360))</f>
        <v>0.0109840277777778</v>
      </c>
      <c r="H1360" s="12" t="n">
        <f aca="false">IF(INDEX(選手一覧!$E$7:$E$2738,$F1360)="","",INDEX(選手一覧!$E$7:$E$2738,$F1360))</f>
        <v>1065</v>
      </c>
      <c r="I1360" s="11" t="n">
        <f aca="false">IF(INDEX(選手一覧!$F$7:$F$2738,$F1360)="","",INDEX(選手一覧!$F$7:$F$2738,$F1360))</f>
        <v>0.00675092592592593</v>
      </c>
      <c r="J1360" s="12" t="n">
        <f aca="false">IF(INDEX(選手一覧!$G$7:$G$2738,$F1360)="","",INDEX(選手一覧!$G$7:$G$2738,$F1360))</f>
        <v>129</v>
      </c>
    </row>
    <row r="1361" customFormat="false" ht="15" hidden="false" customHeight="false" outlineLevel="0" collapsed="false">
      <c r="A1361" s="12" t="n">
        <v>1357</v>
      </c>
      <c r="B1361" s="10" t="s">
        <v>3823</v>
      </c>
      <c r="C1361" s="10" t="s">
        <v>2041</v>
      </c>
      <c r="D1361" s="11" t="n">
        <v>0.00298101851851852</v>
      </c>
      <c r="E1361" s="18" t="n">
        <f aca="false">ROUND((D1361-$D$5)*86400,2)</f>
        <v>32.53</v>
      </c>
      <c r="F1361" s="12" t="n">
        <v>2712</v>
      </c>
      <c r="G1361" s="11" t="str">
        <f aca="false">IF(INDEX(選手一覧!$D$7:$D$2738,$F1361)="","",INDEX(選手一覧!$D$7:$D$2738,$F1361))</f>
        <v/>
      </c>
      <c r="H1361" s="12" t="str">
        <f aca="false">IF(INDEX(選手一覧!$E$7:$E$2738,$F1361)="","",INDEX(選手一覧!$E$7:$E$2738,$F1361))</f>
        <v/>
      </c>
      <c r="I1361" s="11" t="str">
        <f aca="false">IF(INDEX(選手一覧!$F$7:$F$2738,$F1361)="","",INDEX(選手一覧!$F$7:$F$2738,$F1361))</f>
        <v/>
      </c>
      <c r="J1361" s="12" t="str">
        <f aca="false">IF(INDEX(選手一覧!$G$7:$G$2738,$F1361)="","",INDEX(選手一覧!$G$7:$G$2738,$F1361))</f>
        <v/>
      </c>
    </row>
  </sheetData>
  <autoFilter ref="A4:J1361"/>
  <conditionalFormatting sqref="A5:A1361 H5:H1361 J5:J1361">
    <cfRule type="cellIs" priority="2" operator="lessThanOrEqual" aboveAverage="0" equalAverage="0" bottom="0" percent="0" rank="0" text="" dxfId="7">
      <formula>10</formula>
    </cfRule>
    <cfRule type="cellIs" priority="3" operator="lessThanOrEqual" aboveAverage="0" equalAverage="0" bottom="0" percent="0" rank="0" text="" dxfId="8">
      <formula>50</formula>
    </cfRule>
    <cfRule type="cellIs" priority="4" operator="lessThanOrEqual" aboveAverage="0" equalAverage="0" bottom="0" percent="0" rank="0" text="" dxfId="9">
      <formula>100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2026-10-18T05:35:37Z</dcterms:created>
  <dc:creator>openpyxl</dc:creator>
  <dc:description/>
  <dc:language>en-US</dc:language>
  <cp:lastModifiedBy/>
  <dcterms:modified xsi:type="dcterms:W3CDTF">2026-10-18T05:35:39Z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